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202300"/>
  <mc:AlternateContent xmlns:mc="http://schemas.openxmlformats.org/markup-compatibility/2006">
    <mc:Choice Requires="x15">
      <x15ac:absPath xmlns:x15ac="http://schemas.microsoft.com/office/spreadsheetml/2010/11/ac" url="C:\Users\manba\Documents\Examen_2_G2-C4F813-BenjamínGutiérrezPadua\"/>
    </mc:Choice>
  </mc:AlternateContent>
  <xr:revisionPtr revIDLastSave="0" documentId="13_ncr:1_{67102D48-BF60-491A-95EE-AF8E5DB92691}" xr6:coauthVersionLast="47" xr6:coauthVersionMax="47" xr10:uidLastSave="{00000000-0000-0000-0000-000000000000}"/>
  <bookViews>
    <workbookView xWindow="-108" yWindow="-108" windowWidth="23256" windowHeight="12456" activeTab="1" xr2:uid="{D4EA1EDD-D9F4-4D28-BB62-008CA6F8CE64}"/>
  </bookViews>
  <sheets>
    <sheet name="moras" sheetId="2" r:id="rId1"/>
    <sheet name="EDA" sheetId="1" r:id="rId2"/>
  </sheets>
  <definedNames>
    <definedName name="ExternalData_1" localSheetId="0" hidden="1">moras!$A$1:$I$5001</definedName>
  </definedNames>
  <calcPr calcId="191029"/>
  <pivotCaches>
    <pivotCache cacheId="14"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2" l="1"/>
  <c r="N4" i="2"/>
  <c r="N5" i="2"/>
  <c r="N6" i="2"/>
  <c r="N7" i="2"/>
  <c r="N8" i="2"/>
  <c r="N9" i="2"/>
  <c r="N10" i="2"/>
  <c r="N11" i="2"/>
  <c r="N12" i="2"/>
  <c r="N13" i="2"/>
  <c r="N14" i="2"/>
  <c r="N15" i="2"/>
  <c r="N16" i="2"/>
  <c r="N17" i="2"/>
  <c r="N18" i="2"/>
  <c r="N19" i="2"/>
  <c r="N20" i="2"/>
  <c r="N21" i="2"/>
  <c r="N23" i="2"/>
  <c r="N24" i="2"/>
  <c r="N25" i="2"/>
  <c r="N26" i="2"/>
  <c r="N27" i="2"/>
  <c r="N28" i="2"/>
  <c r="N29" i="2"/>
  <c r="N30" i="2"/>
  <c r="N31" i="2"/>
  <c r="N32" i="2"/>
  <c r="N33" i="2"/>
  <c r="N34" i="2"/>
  <c r="N35" i="2"/>
  <c r="N36"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N1002" i="2"/>
  <c r="N1003" i="2"/>
  <c r="N1004" i="2"/>
  <c r="N1005" i="2"/>
  <c r="N1006" i="2"/>
  <c r="N1007" i="2"/>
  <c r="N1008" i="2"/>
  <c r="N1009" i="2"/>
  <c r="N1010" i="2"/>
  <c r="N1011" i="2"/>
  <c r="N1012" i="2"/>
  <c r="N1013" i="2"/>
  <c r="N1014" i="2"/>
  <c r="N1015" i="2"/>
  <c r="N1016" i="2"/>
  <c r="N1017" i="2"/>
  <c r="N1018" i="2"/>
  <c r="N1019" i="2"/>
  <c r="N1020" i="2"/>
  <c r="N1021" i="2"/>
  <c r="N1022" i="2"/>
  <c r="N1023" i="2"/>
  <c r="N1024" i="2"/>
  <c r="N1025" i="2"/>
  <c r="N1026" i="2"/>
  <c r="N1027" i="2"/>
  <c r="N1028" i="2"/>
  <c r="N1029" i="2"/>
  <c r="N1030" i="2"/>
  <c r="N1031" i="2"/>
  <c r="N1032" i="2"/>
  <c r="N1033" i="2"/>
  <c r="N1034" i="2"/>
  <c r="N1035" i="2"/>
  <c r="N1036" i="2"/>
  <c r="N1037" i="2"/>
  <c r="N1038" i="2"/>
  <c r="N1039" i="2"/>
  <c r="N1040" i="2"/>
  <c r="N1041" i="2"/>
  <c r="N1042" i="2"/>
  <c r="N1043" i="2"/>
  <c r="N1044" i="2"/>
  <c r="N1045" i="2"/>
  <c r="N1046" i="2"/>
  <c r="N1047" i="2"/>
  <c r="N1048" i="2"/>
  <c r="N1049" i="2"/>
  <c r="N1050" i="2"/>
  <c r="N1051" i="2"/>
  <c r="N1052" i="2"/>
  <c r="N1053" i="2"/>
  <c r="N1054" i="2"/>
  <c r="N1055" i="2"/>
  <c r="N1056" i="2"/>
  <c r="N1057" i="2"/>
  <c r="N1058" i="2"/>
  <c r="N1059" i="2"/>
  <c r="N1060" i="2"/>
  <c r="N1061" i="2"/>
  <c r="N1062" i="2"/>
  <c r="N1063" i="2"/>
  <c r="N1064" i="2"/>
  <c r="N1065" i="2"/>
  <c r="N1066" i="2"/>
  <c r="N1067" i="2"/>
  <c r="N1068" i="2"/>
  <c r="N1069" i="2"/>
  <c r="N1070" i="2"/>
  <c r="N1071" i="2"/>
  <c r="N1072" i="2"/>
  <c r="N1073" i="2"/>
  <c r="N1074" i="2"/>
  <c r="N1075" i="2"/>
  <c r="N1076" i="2"/>
  <c r="N1077" i="2"/>
  <c r="N1078" i="2"/>
  <c r="N1079" i="2"/>
  <c r="N1080" i="2"/>
  <c r="N1081" i="2"/>
  <c r="N1082" i="2"/>
  <c r="N1083" i="2"/>
  <c r="N1084" i="2"/>
  <c r="N1085" i="2"/>
  <c r="N1086" i="2"/>
  <c r="N1087" i="2"/>
  <c r="N1088" i="2"/>
  <c r="N1089" i="2"/>
  <c r="N1090" i="2"/>
  <c r="N1091" i="2"/>
  <c r="N1092" i="2"/>
  <c r="N1093" i="2"/>
  <c r="N1094" i="2"/>
  <c r="N1095" i="2"/>
  <c r="N1096" i="2"/>
  <c r="N1097" i="2"/>
  <c r="N1098" i="2"/>
  <c r="N1099" i="2"/>
  <c r="N1100" i="2"/>
  <c r="N1101" i="2"/>
  <c r="N1102" i="2"/>
  <c r="N1103" i="2"/>
  <c r="N1104" i="2"/>
  <c r="N1105" i="2"/>
  <c r="N1106" i="2"/>
  <c r="N1107" i="2"/>
  <c r="N1108" i="2"/>
  <c r="N1109" i="2"/>
  <c r="N1110" i="2"/>
  <c r="N1111" i="2"/>
  <c r="N1112" i="2"/>
  <c r="N1113" i="2"/>
  <c r="N1114" i="2"/>
  <c r="N1115" i="2"/>
  <c r="N1116" i="2"/>
  <c r="N1117" i="2"/>
  <c r="N1118" i="2"/>
  <c r="N1119" i="2"/>
  <c r="N1120" i="2"/>
  <c r="N1121" i="2"/>
  <c r="N1122" i="2"/>
  <c r="N1123" i="2"/>
  <c r="N1124" i="2"/>
  <c r="N1125" i="2"/>
  <c r="N1126" i="2"/>
  <c r="N1127" i="2"/>
  <c r="N1128" i="2"/>
  <c r="N1129" i="2"/>
  <c r="N1130" i="2"/>
  <c r="N1131" i="2"/>
  <c r="N1132" i="2"/>
  <c r="N1133" i="2"/>
  <c r="N1134" i="2"/>
  <c r="N1135" i="2"/>
  <c r="N1136" i="2"/>
  <c r="N1137" i="2"/>
  <c r="N1138" i="2"/>
  <c r="N1139" i="2"/>
  <c r="N1140" i="2"/>
  <c r="N1141" i="2"/>
  <c r="N1142" i="2"/>
  <c r="N1143" i="2"/>
  <c r="N1144" i="2"/>
  <c r="N1145" i="2"/>
  <c r="N1146" i="2"/>
  <c r="N1147" i="2"/>
  <c r="N1148" i="2"/>
  <c r="N1149" i="2"/>
  <c r="N1150" i="2"/>
  <c r="N1151" i="2"/>
  <c r="N1152" i="2"/>
  <c r="N1153" i="2"/>
  <c r="N1154" i="2"/>
  <c r="N1155" i="2"/>
  <c r="N1156" i="2"/>
  <c r="N1157" i="2"/>
  <c r="N1158" i="2"/>
  <c r="N1159" i="2"/>
  <c r="N1160" i="2"/>
  <c r="N1161" i="2"/>
  <c r="N1162" i="2"/>
  <c r="N1163" i="2"/>
  <c r="N1164" i="2"/>
  <c r="N1165" i="2"/>
  <c r="N1166" i="2"/>
  <c r="N1167" i="2"/>
  <c r="N1168" i="2"/>
  <c r="N1169" i="2"/>
  <c r="N1170" i="2"/>
  <c r="N1171" i="2"/>
  <c r="N1172" i="2"/>
  <c r="N1173" i="2"/>
  <c r="N1174" i="2"/>
  <c r="N1175" i="2"/>
  <c r="N1176" i="2"/>
  <c r="N1177" i="2"/>
  <c r="N1178" i="2"/>
  <c r="N1179" i="2"/>
  <c r="N1180" i="2"/>
  <c r="N1181" i="2"/>
  <c r="N1182" i="2"/>
  <c r="N1183" i="2"/>
  <c r="N1184" i="2"/>
  <c r="N1185" i="2"/>
  <c r="N1186" i="2"/>
  <c r="N1187" i="2"/>
  <c r="N1188" i="2"/>
  <c r="N1189" i="2"/>
  <c r="N1190" i="2"/>
  <c r="N1191" i="2"/>
  <c r="N1192" i="2"/>
  <c r="N1193" i="2"/>
  <c r="N1194" i="2"/>
  <c r="N1195" i="2"/>
  <c r="N1196" i="2"/>
  <c r="N1197" i="2"/>
  <c r="N1198" i="2"/>
  <c r="N1199" i="2"/>
  <c r="N1200" i="2"/>
  <c r="N1201" i="2"/>
  <c r="N1202" i="2"/>
  <c r="N1203" i="2"/>
  <c r="N1204" i="2"/>
  <c r="N1205" i="2"/>
  <c r="N1206" i="2"/>
  <c r="N1207" i="2"/>
  <c r="N1208" i="2"/>
  <c r="N1209" i="2"/>
  <c r="N1210" i="2"/>
  <c r="N1211" i="2"/>
  <c r="N1212" i="2"/>
  <c r="N1213" i="2"/>
  <c r="N1214" i="2"/>
  <c r="N1215" i="2"/>
  <c r="N1216" i="2"/>
  <c r="N1217" i="2"/>
  <c r="N1218" i="2"/>
  <c r="N1219" i="2"/>
  <c r="N1220" i="2"/>
  <c r="N1221" i="2"/>
  <c r="N1222" i="2"/>
  <c r="N1223" i="2"/>
  <c r="N1224" i="2"/>
  <c r="N1225" i="2"/>
  <c r="N1226" i="2"/>
  <c r="N1227" i="2"/>
  <c r="N1228" i="2"/>
  <c r="N1229" i="2"/>
  <c r="N1230" i="2"/>
  <c r="N1231" i="2"/>
  <c r="N1232" i="2"/>
  <c r="N1233" i="2"/>
  <c r="N1234" i="2"/>
  <c r="N1235" i="2"/>
  <c r="N1236" i="2"/>
  <c r="N1237" i="2"/>
  <c r="N1238" i="2"/>
  <c r="N1239" i="2"/>
  <c r="N1240" i="2"/>
  <c r="N1241" i="2"/>
  <c r="N1242" i="2"/>
  <c r="N1243" i="2"/>
  <c r="N1244" i="2"/>
  <c r="N1245" i="2"/>
  <c r="N1246" i="2"/>
  <c r="N1247" i="2"/>
  <c r="N1248" i="2"/>
  <c r="N1249" i="2"/>
  <c r="N1250" i="2"/>
  <c r="N1251" i="2"/>
  <c r="N1252" i="2"/>
  <c r="N1253" i="2"/>
  <c r="N1254" i="2"/>
  <c r="N1255" i="2"/>
  <c r="N1256" i="2"/>
  <c r="N1257" i="2"/>
  <c r="N1258" i="2"/>
  <c r="N1259" i="2"/>
  <c r="N1260" i="2"/>
  <c r="N1261" i="2"/>
  <c r="N1262" i="2"/>
  <c r="N1263" i="2"/>
  <c r="N1264" i="2"/>
  <c r="N1265" i="2"/>
  <c r="N1266" i="2"/>
  <c r="N1267" i="2"/>
  <c r="N1268" i="2"/>
  <c r="N1269" i="2"/>
  <c r="N1270" i="2"/>
  <c r="N1271" i="2"/>
  <c r="N1272" i="2"/>
  <c r="N1273" i="2"/>
  <c r="N1274" i="2"/>
  <c r="N1275" i="2"/>
  <c r="N1276" i="2"/>
  <c r="N1277" i="2"/>
  <c r="N1278" i="2"/>
  <c r="N1279" i="2"/>
  <c r="N1280" i="2"/>
  <c r="N1281" i="2"/>
  <c r="N1282" i="2"/>
  <c r="N1283" i="2"/>
  <c r="N1284" i="2"/>
  <c r="N1285" i="2"/>
  <c r="N1286" i="2"/>
  <c r="N1287" i="2"/>
  <c r="N1288" i="2"/>
  <c r="N1289" i="2"/>
  <c r="N1290" i="2"/>
  <c r="N1291" i="2"/>
  <c r="N1292" i="2"/>
  <c r="N1293" i="2"/>
  <c r="N1294" i="2"/>
  <c r="N1295" i="2"/>
  <c r="N1296" i="2"/>
  <c r="N1297" i="2"/>
  <c r="N1298" i="2"/>
  <c r="N1299" i="2"/>
  <c r="N1300" i="2"/>
  <c r="N1301" i="2"/>
  <c r="N1302" i="2"/>
  <c r="N1303" i="2"/>
  <c r="N1304" i="2"/>
  <c r="N1305" i="2"/>
  <c r="N1306" i="2"/>
  <c r="N1307" i="2"/>
  <c r="N1308" i="2"/>
  <c r="N1309" i="2"/>
  <c r="N1310" i="2"/>
  <c r="N1311" i="2"/>
  <c r="N1312" i="2"/>
  <c r="N1313" i="2"/>
  <c r="N1314" i="2"/>
  <c r="N1315" i="2"/>
  <c r="N1316" i="2"/>
  <c r="N1317" i="2"/>
  <c r="N1318" i="2"/>
  <c r="N1319" i="2"/>
  <c r="N1320" i="2"/>
  <c r="N1321" i="2"/>
  <c r="N1322" i="2"/>
  <c r="N1323" i="2"/>
  <c r="N1324" i="2"/>
  <c r="N1325" i="2"/>
  <c r="N1326" i="2"/>
  <c r="N1327" i="2"/>
  <c r="N1328" i="2"/>
  <c r="N1329" i="2"/>
  <c r="N1330" i="2"/>
  <c r="N1331" i="2"/>
  <c r="N1332" i="2"/>
  <c r="N1333" i="2"/>
  <c r="N1334" i="2"/>
  <c r="N1335" i="2"/>
  <c r="N1336" i="2"/>
  <c r="N1337" i="2"/>
  <c r="N1338" i="2"/>
  <c r="N1339" i="2"/>
  <c r="N1340" i="2"/>
  <c r="N1341" i="2"/>
  <c r="N1342" i="2"/>
  <c r="N1343" i="2"/>
  <c r="N1344" i="2"/>
  <c r="N1345" i="2"/>
  <c r="N1346" i="2"/>
  <c r="N1347" i="2"/>
  <c r="N1348" i="2"/>
  <c r="N1349" i="2"/>
  <c r="N1350" i="2"/>
  <c r="N1351" i="2"/>
  <c r="N1352" i="2"/>
  <c r="N1353" i="2"/>
  <c r="N1354" i="2"/>
  <c r="N1355" i="2"/>
  <c r="N1356" i="2"/>
  <c r="N1357" i="2"/>
  <c r="N1358" i="2"/>
  <c r="N1359" i="2"/>
  <c r="N1360" i="2"/>
  <c r="N1361" i="2"/>
  <c r="N1362" i="2"/>
  <c r="N1363" i="2"/>
  <c r="N1364" i="2"/>
  <c r="N1365" i="2"/>
  <c r="N1366" i="2"/>
  <c r="N1367" i="2"/>
  <c r="N1368" i="2"/>
  <c r="N1369" i="2"/>
  <c r="N1370" i="2"/>
  <c r="N1371" i="2"/>
  <c r="N1372" i="2"/>
  <c r="N1373" i="2"/>
  <c r="N1374" i="2"/>
  <c r="N1375" i="2"/>
  <c r="N1376" i="2"/>
  <c r="N1377" i="2"/>
  <c r="N1378" i="2"/>
  <c r="N1379" i="2"/>
  <c r="N1380" i="2"/>
  <c r="N1381" i="2"/>
  <c r="N1382" i="2"/>
  <c r="N1383" i="2"/>
  <c r="N1384" i="2"/>
  <c r="N1385" i="2"/>
  <c r="N1386" i="2"/>
  <c r="N1387" i="2"/>
  <c r="N1388" i="2"/>
  <c r="N1389" i="2"/>
  <c r="N1390" i="2"/>
  <c r="N1391" i="2"/>
  <c r="N1392" i="2"/>
  <c r="N1393" i="2"/>
  <c r="N1394" i="2"/>
  <c r="N1395" i="2"/>
  <c r="N1396" i="2"/>
  <c r="N1397" i="2"/>
  <c r="N1398" i="2"/>
  <c r="N1399" i="2"/>
  <c r="N1400" i="2"/>
  <c r="N1401" i="2"/>
  <c r="N1402" i="2"/>
  <c r="N1403" i="2"/>
  <c r="N1404" i="2"/>
  <c r="N1405" i="2"/>
  <c r="N1406" i="2"/>
  <c r="N1407" i="2"/>
  <c r="N1408" i="2"/>
  <c r="N1409" i="2"/>
  <c r="N1410" i="2"/>
  <c r="N1411" i="2"/>
  <c r="N1412" i="2"/>
  <c r="N1413" i="2"/>
  <c r="N1414" i="2"/>
  <c r="N1415" i="2"/>
  <c r="N1416" i="2"/>
  <c r="N1417" i="2"/>
  <c r="N1418" i="2"/>
  <c r="N1419" i="2"/>
  <c r="N1420" i="2"/>
  <c r="N1421" i="2"/>
  <c r="N1422" i="2"/>
  <c r="N1423" i="2"/>
  <c r="N1424" i="2"/>
  <c r="N1425" i="2"/>
  <c r="N1426" i="2"/>
  <c r="N1427" i="2"/>
  <c r="N1428" i="2"/>
  <c r="N1429" i="2"/>
  <c r="N1430" i="2"/>
  <c r="N1431" i="2"/>
  <c r="N1432" i="2"/>
  <c r="N1433" i="2"/>
  <c r="N1434" i="2"/>
  <c r="N1435" i="2"/>
  <c r="N1436" i="2"/>
  <c r="N1437" i="2"/>
  <c r="N1438" i="2"/>
  <c r="N1439" i="2"/>
  <c r="N1440" i="2"/>
  <c r="N1441" i="2"/>
  <c r="N1442" i="2"/>
  <c r="N1443" i="2"/>
  <c r="N1444" i="2"/>
  <c r="N1445" i="2"/>
  <c r="N1446" i="2"/>
  <c r="N1447" i="2"/>
  <c r="N1448" i="2"/>
  <c r="N1449" i="2"/>
  <c r="N1450" i="2"/>
  <c r="N1451" i="2"/>
  <c r="N1452" i="2"/>
  <c r="N1453" i="2"/>
  <c r="N1454" i="2"/>
  <c r="N1455" i="2"/>
  <c r="N1456" i="2"/>
  <c r="N1457" i="2"/>
  <c r="N1458" i="2"/>
  <c r="N1459" i="2"/>
  <c r="N1460" i="2"/>
  <c r="N1461" i="2"/>
  <c r="N1462" i="2"/>
  <c r="N1463" i="2"/>
  <c r="N1464" i="2"/>
  <c r="N1465" i="2"/>
  <c r="N1466" i="2"/>
  <c r="N1467" i="2"/>
  <c r="N1468" i="2"/>
  <c r="N1469" i="2"/>
  <c r="N1470" i="2"/>
  <c r="N1471" i="2"/>
  <c r="N1472" i="2"/>
  <c r="N1473" i="2"/>
  <c r="N1474" i="2"/>
  <c r="N1475" i="2"/>
  <c r="N1476" i="2"/>
  <c r="N1477" i="2"/>
  <c r="N1478" i="2"/>
  <c r="N1479" i="2"/>
  <c r="N1480" i="2"/>
  <c r="N1481" i="2"/>
  <c r="N1482" i="2"/>
  <c r="N1483" i="2"/>
  <c r="N1484" i="2"/>
  <c r="N1485" i="2"/>
  <c r="N1486" i="2"/>
  <c r="N1487" i="2"/>
  <c r="N1488" i="2"/>
  <c r="N1489" i="2"/>
  <c r="N1490" i="2"/>
  <c r="N1491" i="2"/>
  <c r="N1492" i="2"/>
  <c r="N1493" i="2"/>
  <c r="N1494" i="2"/>
  <c r="N1495" i="2"/>
  <c r="N1496" i="2"/>
  <c r="N1497" i="2"/>
  <c r="N1498" i="2"/>
  <c r="N1499" i="2"/>
  <c r="N1500" i="2"/>
  <c r="N1501" i="2"/>
  <c r="N1502" i="2"/>
  <c r="N1503" i="2"/>
  <c r="N1504" i="2"/>
  <c r="N1505" i="2"/>
  <c r="N1506" i="2"/>
  <c r="N1507" i="2"/>
  <c r="N1508" i="2"/>
  <c r="N1509" i="2"/>
  <c r="N1510" i="2"/>
  <c r="N1511" i="2"/>
  <c r="N1512" i="2"/>
  <c r="N1513" i="2"/>
  <c r="N1514" i="2"/>
  <c r="N1515" i="2"/>
  <c r="N1516" i="2"/>
  <c r="N1517" i="2"/>
  <c r="N1518" i="2"/>
  <c r="N1519" i="2"/>
  <c r="N1520" i="2"/>
  <c r="N1521" i="2"/>
  <c r="N1522" i="2"/>
  <c r="N1523" i="2"/>
  <c r="N1524" i="2"/>
  <c r="N1525" i="2"/>
  <c r="N1526" i="2"/>
  <c r="N1527" i="2"/>
  <c r="N1528" i="2"/>
  <c r="N1529" i="2"/>
  <c r="N1530" i="2"/>
  <c r="N1531" i="2"/>
  <c r="N1532" i="2"/>
  <c r="N1533" i="2"/>
  <c r="N1534" i="2"/>
  <c r="N1535" i="2"/>
  <c r="N1536" i="2"/>
  <c r="N1537" i="2"/>
  <c r="N1538" i="2"/>
  <c r="N1539" i="2"/>
  <c r="N1540" i="2"/>
  <c r="N1541" i="2"/>
  <c r="N1542" i="2"/>
  <c r="N1543" i="2"/>
  <c r="N1544" i="2"/>
  <c r="N1545" i="2"/>
  <c r="N1546" i="2"/>
  <c r="N1547" i="2"/>
  <c r="N1548" i="2"/>
  <c r="N1549" i="2"/>
  <c r="N1550" i="2"/>
  <c r="N1551" i="2"/>
  <c r="N1552" i="2"/>
  <c r="N1553" i="2"/>
  <c r="N1554" i="2"/>
  <c r="N1555" i="2"/>
  <c r="N1556" i="2"/>
  <c r="N1557" i="2"/>
  <c r="N1558" i="2"/>
  <c r="N1559" i="2"/>
  <c r="N1560" i="2"/>
  <c r="N1561" i="2"/>
  <c r="N1562" i="2"/>
  <c r="N1563" i="2"/>
  <c r="N1564" i="2"/>
  <c r="N1565" i="2"/>
  <c r="N1566" i="2"/>
  <c r="N1567" i="2"/>
  <c r="N1568" i="2"/>
  <c r="N1569" i="2"/>
  <c r="N1570" i="2"/>
  <c r="N1571" i="2"/>
  <c r="N1572" i="2"/>
  <c r="N1573" i="2"/>
  <c r="N1574" i="2"/>
  <c r="N1575" i="2"/>
  <c r="N1576" i="2"/>
  <c r="N1577" i="2"/>
  <c r="N1578" i="2"/>
  <c r="N1579" i="2"/>
  <c r="N1580" i="2"/>
  <c r="N1581" i="2"/>
  <c r="N1582" i="2"/>
  <c r="N1583" i="2"/>
  <c r="N1584" i="2"/>
  <c r="N1585" i="2"/>
  <c r="N1586" i="2"/>
  <c r="N1587" i="2"/>
  <c r="N1588" i="2"/>
  <c r="N1589" i="2"/>
  <c r="N1590" i="2"/>
  <c r="N1591" i="2"/>
  <c r="N1592" i="2"/>
  <c r="N1593" i="2"/>
  <c r="N1594" i="2"/>
  <c r="N1595" i="2"/>
  <c r="N1596" i="2"/>
  <c r="N1597" i="2"/>
  <c r="N1598" i="2"/>
  <c r="N1599" i="2"/>
  <c r="N1600" i="2"/>
  <c r="N1601" i="2"/>
  <c r="N1602" i="2"/>
  <c r="N1603" i="2"/>
  <c r="N1604" i="2"/>
  <c r="N1605" i="2"/>
  <c r="N1606" i="2"/>
  <c r="N1607" i="2"/>
  <c r="N1608" i="2"/>
  <c r="N1609" i="2"/>
  <c r="N1610" i="2"/>
  <c r="N1611" i="2"/>
  <c r="N1612" i="2"/>
  <c r="N1613" i="2"/>
  <c r="N1614" i="2"/>
  <c r="N1615" i="2"/>
  <c r="N1616" i="2"/>
  <c r="N1617" i="2"/>
  <c r="N1618" i="2"/>
  <c r="N1619" i="2"/>
  <c r="N1620" i="2"/>
  <c r="N1621" i="2"/>
  <c r="N1622" i="2"/>
  <c r="N1623" i="2"/>
  <c r="N1624" i="2"/>
  <c r="N1625" i="2"/>
  <c r="N1626" i="2"/>
  <c r="N1627" i="2"/>
  <c r="N1628" i="2"/>
  <c r="N1629" i="2"/>
  <c r="N1630" i="2"/>
  <c r="N1631" i="2"/>
  <c r="N1632" i="2"/>
  <c r="N1633" i="2"/>
  <c r="N1634" i="2"/>
  <c r="N1635" i="2"/>
  <c r="N1636" i="2"/>
  <c r="N1637" i="2"/>
  <c r="N1638" i="2"/>
  <c r="N1639" i="2"/>
  <c r="N1640" i="2"/>
  <c r="N1641" i="2"/>
  <c r="N1642" i="2"/>
  <c r="N1643" i="2"/>
  <c r="N1644" i="2"/>
  <c r="N1645" i="2"/>
  <c r="N1646" i="2"/>
  <c r="N1647" i="2"/>
  <c r="N1648" i="2"/>
  <c r="N1649" i="2"/>
  <c r="N1650" i="2"/>
  <c r="N1651" i="2"/>
  <c r="N1652" i="2"/>
  <c r="N1653" i="2"/>
  <c r="N1654" i="2"/>
  <c r="N1655" i="2"/>
  <c r="N1656" i="2"/>
  <c r="N1657" i="2"/>
  <c r="N1658" i="2"/>
  <c r="N1659" i="2"/>
  <c r="N1660" i="2"/>
  <c r="N1661" i="2"/>
  <c r="N1662" i="2"/>
  <c r="N1663" i="2"/>
  <c r="N1664" i="2"/>
  <c r="N1665" i="2"/>
  <c r="N1666" i="2"/>
  <c r="N1667" i="2"/>
  <c r="N1668" i="2"/>
  <c r="N1669" i="2"/>
  <c r="N1670" i="2"/>
  <c r="N1671" i="2"/>
  <c r="N1672" i="2"/>
  <c r="N1673" i="2"/>
  <c r="N1674" i="2"/>
  <c r="N1675" i="2"/>
  <c r="N1676" i="2"/>
  <c r="N1677" i="2"/>
  <c r="N1678" i="2"/>
  <c r="N1679" i="2"/>
  <c r="N1680" i="2"/>
  <c r="N1681" i="2"/>
  <c r="N1682" i="2"/>
  <c r="N1683" i="2"/>
  <c r="N1684" i="2"/>
  <c r="N1685" i="2"/>
  <c r="N1686" i="2"/>
  <c r="N1687" i="2"/>
  <c r="N1688" i="2"/>
  <c r="N1689" i="2"/>
  <c r="N1690" i="2"/>
  <c r="N1691" i="2"/>
  <c r="N1692" i="2"/>
  <c r="N1693" i="2"/>
  <c r="N1694" i="2"/>
  <c r="N1695" i="2"/>
  <c r="N1696" i="2"/>
  <c r="N1697" i="2"/>
  <c r="N1698" i="2"/>
  <c r="N1699" i="2"/>
  <c r="N1700" i="2"/>
  <c r="N1701" i="2"/>
  <c r="N1702" i="2"/>
  <c r="N1703" i="2"/>
  <c r="N1704" i="2"/>
  <c r="N1705" i="2"/>
  <c r="N1706" i="2"/>
  <c r="N1707" i="2"/>
  <c r="N1708" i="2"/>
  <c r="N1709" i="2"/>
  <c r="N1710" i="2"/>
  <c r="N1711" i="2"/>
  <c r="N1712" i="2"/>
  <c r="N1713" i="2"/>
  <c r="N1714" i="2"/>
  <c r="N1715" i="2"/>
  <c r="N1716" i="2"/>
  <c r="N1717" i="2"/>
  <c r="N1718" i="2"/>
  <c r="N1719" i="2"/>
  <c r="N1720" i="2"/>
  <c r="N1721" i="2"/>
  <c r="N1722" i="2"/>
  <c r="N1723" i="2"/>
  <c r="N1724" i="2"/>
  <c r="N1725" i="2"/>
  <c r="N1726" i="2"/>
  <c r="N1727" i="2"/>
  <c r="N1728" i="2"/>
  <c r="N1729" i="2"/>
  <c r="N1730" i="2"/>
  <c r="N1731" i="2"/>
  <c r="N1732" i="2"/>
  <c r="N1733" i="2"/>
  <c r="N1734" i="2"/>
  <c r="N1735" i="2"/>
  <c r="N1736" i="2"/>
  <c r="N1737" i="2"/>
  <c r="N1738" i="2"/>
  <c r="N1739" i="2"/>
  <c r="N1740" i="2"/>
  <c r="N1741" i="2"/>
  <c r="N1742" i="2"/>
  <c r="N1743" i="2"/>
  <c r="N1744" i="2"/>
  <c r="N1745" i="2"/>
  <c r="N1746" i="2"/>
  <c r="N1747" i="2"/>
  <c r="N1748" i="2"/>
  <c r="N1749" i="2"/>
  <c r="N1750" i="2"/>
  <c r="N1751" i="2"/>
  <c r="N1752" i="2"/>
  <c r="N1753" i="2"/>
  <c r="N1754" i="2"/>
  <c r="N1755" i="2"/>
  <c r="N1756" i="2"/>
  <c r="N1757" i="2"/>
  <c r="N1758" i="2"/>
  <c r="N1759" i="2"/>
  <c r="N1760" i="2"/>
  <c r="N1761" i="2"/>
  <c r="N1762" i="2"/>
  <c r="N1763" i="2"/>
  <c r="N1764" i="2"/>
  <c r="N1765" i="2"/>
  <c r="N1766" i="2"/>
  <c r="N1767" i="2"/>
  <c r="N1768" i="2"/>
  <c r="N1769" i="2"/>
  <c r="N1770" i="2"/>
  <c r="N1771" i="2"/>
  <c r="N1772" i="2"/>
  <c r="N1773" i="2"/>
  <c r="N1774" i="2"/>
  <c r="N1775" i="2"/>
  <c r="N1776" i="2"/>
  <c r="N1777" i="2"/>
  <c r="N1778" i="2"/>
  <c r="N1779" i="2"/>
  <c r="N1780" i="2"/>
  <c r="N1781" i="2"/>
  <c r="N1782" i="2"/>
  <c r="N1783" i="2"/>
  <c r="N1784" i="2"/>
  <c r="N1785" i="2"/>
  <c r="N1786" i="2"/>
  <c r="N1787" i="2"/>
  <c r="N1788" i="2"/>
  <c r="N1789" i="2"/>
  <c r="N1790" i="2"/>
  <c r="N1791" i="2"/>
  <c r="N1792" i="2"/>
  <c r="N1793" i="2"/>
  <c r="N1794" i="2"/>
  <c r="N1795" i="2"/>
  <c r="N1796" i="2"/>
  <c r="N1797" i="2"/>
  <c r="N1798" i="2"/>
  <c r="N1799" i="2"/>
  <c r="N1800" i="2"/>
  <c r="N1801" i="2"/>
  <c r="N1802" i="2"/>
  <c r="N1803" i="2"/>
  <c r="N1804" i="2"/>
  <c r="N1805" i="2"/>
  <c r="N1806" i="2"/>
  <c r="N1807" i="2"/>
  <c r="N1808" i="2"/>
  <c r="N1809" i="2"/>
  <c r="N1810" i="2"/>
  <c r="N1811" i="2"/>
  <c r="N1812" i="2"/>
  <c r="N1813" i="2"/>
  <c r="N1814" i="2"/>
  <c r="N1815" i="2"/>
  <c r="N1816" i="2"/>
  <c r="N1817" i="2"/>
  <c r="N1818" i="2"/>
  <c r="N1819" i="2"/>
  <c r="N1820" i="2"/>
  <c r="N1821" i="2"/>
  <c r="N1822" i="2"/>
  <c r="N1823" i="2"/>
  <c r="N1824" i="2"/>
  <c r="N1825" i="2"/>
  <c r="N1826" i="2"/>
  <c r="N1827" i="2"/>
  <c r="N1828" i="2"/>
  <c r="N1829" i="2"/>
  <c r="N1830" i="2"/>
  <c r="N1831" i="2"/>
  <c r="N1832" i="2"/>
  <c r="N1833" i="2"/>
  <c r="N1834" i="2"/>
  <c r="N1835" i="2"/>
  <c r="N1836" i="2"/>
  <c r="N1837" i="2"/>
  <c r="N1838" i="2"/>
  <c r="N1839" i="2"/>
  <c r="N1840" i="2"/>
  <c r="N1841" i="2"/>
  <c r="N1842" i="2"/>
  <c r="N1843" i="2"/>
  <c r="N1844" i="2"/>
  <c r="N1845" i="2"/>
  <c r="N1846" i="2"/>
  <c r="N1847" i="2"/>
  <c r="N1848" i="2"/>
  <c r="N1849" i="2"/>
  <c r="N1850" i="2"/>
  <c r="N1851" i="2"/>
  <c r="N1852" i="2"/>
  <c r="N1853" i="2"/>
  <c r="N1854" i="2"/>
  <c r="N1855" i="2"/>
  <c r="N1856" i="2"/>
  <c r="N1857" i="2"/>
  <c r="N1858" i="2"/>
  <c r="N1859" i="2"/>
  <c r="N1860" i="2"/>
  <c r="N1861" i="2"/>
  <c r="N1862" i="2"/>
  <c r="N1863" i="2"/>
  <c r="N1864" i="2"/>
  <c r="N1865" i="2"/>
  <c r="N1866" i="2"/>
  <c r="N1867" i="2"/>
  <c r="N1868" i="2"/>
  <c r="N1869" i="2"/>
  <c r="N1870" i="2"/>
  <c r="N1871" i="2"/>
  <c r="N1872" i="2"/>
  <c r="N1873" i="2"/>
  <c r="N1874" i="2"/>
  <c r="N1875" i="2"/>
  <c r="N1876" i="2"/>
  <c r="N1877" i="2"/>
  <c r="N1878" i="2"/>
  <c r="N1879" i="2"/>
  <c r="N1880" i="2"/>
  <c r="N1881" i="2"/>
  <c r="N1882" i="2"/>
  <c r="N1883" i="2"/>
  <c r="N1884" i="2"/>
  <c r="N1885" i="2"/>
  <c r="N1886" i="2"/>
  <c r="N1887" i="2"/>
  <c r="N1888" i="2"/>
  <c r="N1889" i="2"/>
  <c r="N1890" i="2"/>
  <c r="N1891" i="2"/>
  <c r="N1892" i="2"/>
  <c r="N1893" i="2"/>
  <c r="N1894" i="2"/>
  <c r="N1895" i="2"/>
  <c r="N1896" i="2"/>
  <c r="N1897" i="2"/>
  <c r="N1898" i="2"/>
  <c r="N1899" i="2"/>
  <c r="N1900" i="2"/>
  <c r="N1901" i="2"/>
  <c r="N1902" i="2"/>
  <c r="N1903" i="2"/>
  <c r="N1904" i="2"/>
  <c r="N1905" i="2"/>
  <c r="N1906" i="2"/>
  <c r="N1907" i="2"/>
  <c r="N1908" i="2"/>
  <c r="N1909" i="2"/>
  <c r="N1910" i="2"/>
  <c r="N1911" i="2"/>
  <c r="N1912" i="2"/>
  <c r="N1913" i="2"/>
  <c r="N1914" i="2"/>
  <c r="N1915" i="2"/>
  <c r="N1916" i="2"/>
  <c r="N1917" i="2"/>
  <c r="N1918" i="2"/>
  <c r="N1919" i="2"/>
  <c r="N1920" i="2"/>
  <c r="N1921" i="2"/>
  <c r="N1922" i="2"/>
  <c r="N1923" i="2"/>
  <c r="N1924" i="2"/>
  <c r="N1925" i="2"/>
  <c r="N1926" i="2"/>
  <c r="N1927" i="2"/>
  <c r="N1928" i="2"/>
  <c r="N1929" i="2"/>
  <c r="N1930" i="2"/>
  <c r="N1931" i="2"/>
  <c r="N1932" i="2"/>
  <c r="N1933" i="2"/>
  <c r="N1934" i="2"/>
  <c r="N1935" i="2"/>
  <c r="N1936" i="2"/>
  <c r="N1937" i="2"/>
  <c r="N1938" i="2"/>
  <c r="N1939" i="2"/>
  <c r="N1940" i="2"/>
  <c r="N1941" i="2"/>
  <c r="N1942" i="2"/>
  <c r="N1943" i="2"/>
  <c r="N1944" i="2"/>
  <c r="N1945" i="2"/>
  <c r="N1946" i="2"/>
  <c r="N1947" i="2"/>
  <c r="N1948" i="2"/>
  <c r="N1949" i="2"/>
  <c r="N1950" i="2"/>
  <c r="N1951" i="2"/>
  <c r="N1952" i="2"/>
  <c r="N1953" i="2"/>
  <c r="N1954" i="2"/>
  <c r="N1955" i="2"/>
  <c r="N1956" i="2"/>
  <c r="N1957" i="2"/>
  <c r="N1958" i="2"/>
  <c r="N1959" i="2"/>
  <c r="N1960" i="2"/>
  <c r="N1961" i="2"/>
  <c r="N1962" i="2"/>
  <c r="N1963" i="2"/>
  <c r="N1964" i="2"/>
  <c r="N1965" i="2"/>
  <c r="N1966" i="2"/>
  <c r="N1967" i="2"/>
  <c r="N1968" i="2"/>
  <c r="N1969" i="2"/>
  <c r="N1970" i="2"/>
  <c r="N1971" i="2"/>
  <c r="N1972" i="2"/>
  <c r="N1973" i="2"/>
  <c r="N1974" i="2"/>
  <c r="N1975" i="2"/>
  <c r="N1976" i="2"/>
  <c r="N1977" i="2"/>
  <c r="N1978" i="2"/>
  <c r="N1979" i="2"/>
  <c r="N1980" i="2"/>
  <c r="N1981" i="2"/>
  <c r="N1982" i="2"/>
  <c r="N1983" i="2"/>
  <c r="N1984" i="2"/>
  <c r="N1985" i="2"/>
  <c r="N1986" i="2"/>
  <c r="N1987" i="2"/>
  <c r="N1988" i="2"/>
  <c r="N1989" i="2"/>
  <c r="N1990" i="2"/>
  <c r="N1991" i="2"/>
  <c r="N1992" i="2"/>
  <c r="N1993" i="2"/>
  <c r="N1994" i="2"/>
  <c r="N1995" i="2"/>
  <c r="N1996" i="2"/>
  <c r="N1997" i="2"/>
  <c r="N1998" i="2"/>
  <c r="N1999" i="2"/>
  <c r="N2000" i="2"/>
  <c r="N2001" i="2"/>
  <c r="N2002" i="2"/>
  <c r="N2003" i="2"/>
  <c r="N2004" i="2"/>
  <c r="N2005" i="2"/>
  <c r="N2006" i="2"/>
  <c r="N2007" i="2"/>
  <c r="N2008" i="2"/>
  <c r="N2009" i="2"/>
  <c r="N2010" i="2"/>
  <c r="N2011" i="2"/>
  <c r="N2012" i="2"/>
  <c r="N2013" i="2"/>
  <c r="N2014" i="2"/>
  <c r="N2015" i="2"/>
  <c r="N2016" i="2"/>
  <c r="N2017" i="2"/>
  <c r="N2018" i="2"/>
  <c r="N2019" i="2"/>
  <c r="N2020" i="2"/>
  <c r="N2021" i="2"/>
  <c r="N2022" i="2"/>
  <c r="N2023" i="2"/>
  <c r="N2024" i="2"/>
  <c r="N2025" i="2"/>
  <c r="N2026" i="2"/>
  <c r="N2027" i="2"/>
  <c r="N2028" i="2"/>
  <c r="N2029" i="2"/>
  <c r="N2030" i="2"/>
  <c r="N2031" i="2"/>
  <c r="N2032" i="2"/>
  <c r="N2033" i="2"/>
  <c r="N2034" i="2"/>
  <c r="N2035" i="2"/>
  <c r="N2036" i="2"/>
  <c r="N2037" i="2"/>
  <c r="N2038" i="2"/>
  <c r="N2039" i="2"/>
  <c r="N2040" i="2"/>
  <c r="N2041" i="2"/>
  <c r="N2042" i="2"/>
  <c r="N2043" i="2"/>
  <c r="N2044" i="2"/>
  <c r="N2045" i="2"/>
  <c r="N2046" i="2"/>
  <c r="N2047" i="2"/>
  <c r="N2048" i="2"/>
  <c r="N2049" i="2"/>
  <c r="N2050" i="2"/>
  <c r="N2051" i="2"/>
  <c r="N2052" i="2"/>
  <c r="N2053" i="2"/>
  <c r="N2054" i="2"/>
  <c r="N2055" i="2"/>
  <c r="N2056" i="2"/>
  <c r="N2057" i="2"/>
  <c r="N2058" i="2"/>
  <c r="N2059" i="2"/>
  <c r="N2060" i="2"/>
  <c r="N2061" i="2"/>
  <c r="N2062" i="2"/>
  <c r="N2063" i="2"/>
  <c r="N2064" i="2"/>
  <c r="N2065" i="2"/>
  <c r="N2066" i="2"/>
  <c r="N2067" i="2"/>
  <c r="N2068" i="2"/>
  <c r="N2069" i="2"/>
  <c r="N2070" i="2"/>
  <c r="N2071" i="2"/>
  <c r="N2072" i="2"/>
  <c r="N2073" i="2"/>
  <c r="N2074" i="2"/>
  <c r="N2075" i="2"/>
  <c r="N2076" i="2"/>
  <c r="N2077" i="2"/>
  <c r="N2078" i="2"/>
  <c r="N2079" i="2"/>
  <c r="N2080" i="2"/>
  <c r="N2081" i="2"/>
  <c r="N2082" i="2"/>
  <c r="N2083" i="2"/>
  <c r="N2084" i="2"/>
  <c r="N2085" i="2"/>
  <c r="N2086" i="2"/>
  <c r="N2087" i="2"/>
  <c r="N2088" i="2"/>
  <c r="N2089" i="2"/>
  <c r="N2090" i="2"/>
  <c r="N2091" i="2"/>
  <c r="N2092" i="2"/>
  <c r="N2093" i="2"/>
  <c r="N2094" i="2"/>
  <c r="N2095" i="2"/>
  <c r="N2096" i="2"/>
  <c r="N2097" i="2"/>
  <c r="N2098" i="2"/>
  <c r="N2099" i="2"/>
  <c r="N2100" i="2"/>
  <c r="N2101" i="2"/>
  <c r="N2102" i="2"/>
  <c r="N2103" i="2"/>
  <c r="N2104" i="2"/>
  <c r="N2105" i="2"/>
  <c r="N2106" i="2"/>
  <c r="N2107" i="2"/>
  <c r="N2108" i="2"/>
  <c r="N2109" i="2"/>
  <c r="N2110" i="2"/>
  <c r="N2111" i="2"/>
  <c r="N2112" i="2"/>
  <c r="N2113" i="2"/>
  <c r="N2114" i="2"/>
  <c r="N2115" i="2"/>
  <c r="N2116" i="2"/>
  <c r="N2117" i="2"/>
  <c r="N2118" i="2"/>
  <c r="N2119" i="2"/>
  <c r="N2120" i="2"/>
  <c r="N2121" i="2"/>
  <c r="N2122" i="2"/>
  <c r="N2123" i="2"/>
  <c r="N2124" i="2"/>
  <c r="N2125" i="2"/>
  <c r="N2126" i="2"/>
  <c r="N2127" i="2"/>
  <c r="N2128" i="2"/>
  <c r="N2129" i="2"/>
  <c r="N2130" i="2"/>
  <c r="N2131" i="2"/>
  <c r="N2132" i="2"/>
  <c r="N2133" i="2"/>
  <c r="N2134" i="2"/>
  <c r="N2135" i="2"/>
  <c r="N2136" i="2"/>
  <c r="N2137" i="2"/>
  <c r="N2138" i="2"/>
  <c r="N2139" i="2"/>
  <c r="N2140" i="2"/>
  <c r="N2141" i="2"/>
  <c r="N2142" i="2"/>
  <c r="N2143" i="2"/>
  <c r="N2144" i="2"/>
  <c r="N2145" i="2"/>
  <c r="N2146" i="2"/>
  <c r="N2147" i="2"/>
  <c r="N2148" i="2"/>
  <c r="N2149" i="2"/>
  <c r="N2150" i="2"/>
  <c r="N2151" i="2"/>
  <c r="N2152" i="2"/>
  <c r="N2153" i="2"/>
  <c r="N2154" i="2"/>
  <c r="N2155" i="2"/>
  <c r="N2156" i="2"/>
  <c r="N2157" i="2"/>
  <c r="N2158" i="2"/>
  <c r="N2159" i="2"/>
  <c r="N2160" i="2"/>
  <c r="N2161" i="2"/>
  <c r="N2162" i="2"/>
  <c r="N2163" i="2"/>
  <c r="N2164" i="2"/>
  <c r="N2165" i="2"/>
  <c r="N2166" i="2"/>
  <c r="N2167" i="2"/>
  <c r="N2168" i="2"/>
  <c r="N2169" i="2"/>
  <c r="N2170" i="2"/>
  <c r="N2171" i="2"/>
  <c r="N2172" i="2"/>
  <c r="N2173" i="2"/>
  <c r="N2174" i="2"/>
  <c r="N2175" i="2"/>
  <c r="N2176" i="2"/>
  <c r="N2177" i="2"/>
  <c r="N2178" i="2"/>
  <c r="N2179" i="2"/>
  <c r="N2180" i="2"/>
  <c r="N2181" i="2"/>
  <c r="N2182" i="2"/>
  <c r="N2183" i="2"/>
  <c r="N2184" i="2"/>
  <c r="N2185" i="2"/>
  <c r="N2186" i="2"/>
  <c r="N2187" i="2"/>
  <c r="N2188" i="2"/>
  <c r="N2189" i="2"/>
  <c r="N2190" i="2"/>
  <c r="N2191" i="2"/>
  <c r="N2192" i="2"/>
  <c r="N2193" i="2"/>
  <c r="N2194" i="2"/>
  <c r="N2195" i="2"/>
  <c r="N2196" i="2"/>
  <c r="N2197" i="2"/>
  <c r="N2198" i="2"/>
  <c r="N2199" i="2"/>
  <c r="N2200" i="2"/>
  <c r="N2201" i="2"/>
  <c r="N2202" i="2"/>
  <c r="N2203" i="2"/>
  <c r="N2204" i="2"/>
  <c r="N2205" i="2"/>
  <c r="N2206" i="2"/>
  <c r="N2207" i="2"/>
  <c r="N2208" i="2"/>
  <c r="N2209" i="2"/>
  <c r="N2210" i="2"/>
  <c r="N2211" i="2"/>
  <c r="N2212" i="2"/>
  <c r="N2213" i="2"/>
  <c r="N2214" i="2"/>
  <c r="N2215" i="2"/>
  <c r="N2216" i="2"/>
  <c r="N2217" i="2"/>
  <c r="N2218" i="2"/>
  <c r="N2219" i="2"/>
  <c r="N2220" i="2"/>
  <c r="N2221" i="2"/>
  <c r="N2222" i="2"/>
  <c r="N2223" i="2"/>
  <c r="N2224" i="2"/>
  <c r="N2225" i="2"/>
  <c r="N2226" i="2"/>
  <c r="N2227" i="2"/>
  <c r="N2228" i="2"/>
  <c r="N2229" i="2"/>
  <c r="N2230" i="2"/>
  <c r="N2231" i="2"/>
  <c r="N2232" i="2"/>
  <c r="N2233" i="2"/>
  <c r="N2234" i="2"/>
  <c r="N2235" i="2"/>
  <c r="N2236" i="2"/>
  <c r="N2237" i="2"/>
  <c r="N2238" i="2"/>
  <c r="N2239" i="2"/>
  <c r="N2240" i="2"/>
  <c r="N2241" i="2"/>
  <c r="N2242" i="2"/>
  <c r="N2243" i="2"/>
  <c r="N2244" i="2"/>
  <c r="N2245" i="2"/>
  <c r="N2246" i="2"/>
  <c r="N2247" i="2"/>
  <c r="N2248" i="2"/>
  <c r="N2249" i="2"/>
  <c r="N2250" i="2"/>
  <c r="N2251" i="2"/>
  <c r="N2252" i="2"/>
  <c r="N2253" i="2"/>
  <c r="N2254" i="2"/>
  <c r="N2255" i="2"/>
  <c r="N2256" i="2"/>
  <c r="N2257" i="2"/>
  <c r="N2258" i="2"/>
  <c r="N2259" i="2"/>
  <c r="N2260" i="2"/>
  <c r="N2261" i="2"/>
  <c r="N2262" i="2"/>
  <c r="N2263" i="2"/>
  <c r="N2264" i="2"/>
  <c r="N2265" i="2"/>
  <c r="N2266" i="2"/>
  <c r="N2267" i="2"/>
  <c r="N2268" i="2"/>
  <c r="N2269" i="2"/>
  <c r="N2270" i="2"/>
  <c r="N2271" i="2"/>
  <c r="N2272" i="2"/>
  <c r="N2273" i="2"/>
  <c r="N2274" i="2"/>
  <c r="N2275" i="2"/>
  <c r="N2276" i="2"/>
  <c r="N2277" i="2"/>
  <c r="N2278" i="2"/>
  <c r="N2279" i="2"/>
  <c r="N2280" i="2"/>
  <c r="N2281" i="2"/>
  <c r="N2282" i="2"/>
  <c r="N2283" i="2"/>
  <c r="N2284" i="2"/>
  <c r="N2285" i="2"/>
  <c r="N2286" i="2"/>
  <c r="N2287" i="2"/>
  <c r="N2288" i="2"/>
  <c r="N2289" i="2"/>
  <c r="N2290" i="2"/>
  <c r="N2291" i="2"/>
  <c r="N2292" i="2"/>
  <c r="N2293" i="2"/>
  <c r="N2294" i="2"/>
  <c r="N2295" i="2"/>
  <c r="N2296" i="2"/>
  <c r="N2297" i="2"/>
  <c r="N2298" i="2"/>
  <c r="N2299" i="2"/>
  <c r="N2300" i="2"/>
  <c r="N2301" i="2"/>
  <c r="N2302" i="2"/>
  <c r="N2303" i="2"/>
  <c r="N2304" i="2"/>
  <c r="N2305" i="2"/>
  <c r="N2306" i="2"/>
  <c r="N2307" i="2"/>
  <c r="N2308" i="2"/>
  <c r="N2309" i="2"/>
  <c r="N2310" i="2"/>
  <c r="N2311" i="2"/>
  <c r="N2312" i="2"/>
  <c r="N2313" i="2"/>
  <c r="N2314" i="2"/>
  <c r="N2315" i="2"/>
  <c r="N2316" i="2"/>
  <c r="N2317" i="2"/>
  <c r="N2318" i="2"/>
  <c r="N2319" i="2"/>
  <c r="N2320" i="2"/>
  <c r="N2321" i="2"/>
  <c r="N2322" i="2"/>
  <c r="N2323" i="2"/>
  <c r="N2324" i="2"/>
  <c r="N2325" i="2"/>
  <c r="N2326" i="2"/>
  <c r="N2327" i="2"/>
  <c r="N2328" i="2"/>
  <c r="N2329" i="2"/>
  <c r="N2330" i="2"/>
  <c r="N2331" i="2"/>
  <c r="N2332" i="2"/>
  <c r="N2333" i="2"/>
  <c r="N2334" i="2"/>
  <c r="N2335" i="2"/>
  <c r="N2336" i="2"/>
  <c r="N2337" i="2"/>
  <c r="N2338" i="2"/>
  <c r="N2339" i="2"/>
  <c r="N2340" i="2"/>
  <c r="N2341" i="2"/>
  <c r="N2342" i="2"/>
  <c r="N2343" i="2"/>
  <c r="N2344" i="2"/>
  <c r="N2345" i="2"/>
  <c r="N2346" i="2"/>
  <c r="N2347" i="2"/>
  <c r="N2348" i="2"/>
  <c r="N2349" i="2"/>
  <c r="N2350" i="2"/>
  <c r="N2351" i="2"/>
  <c r="N2352" i="2"/>
  <c r="N2353" i="2"/>
  <c r="N2354" i="2"/>
  <c r="N2355" i="2"/>
  <c r="N2356" i="2"/>
  <c r="N2357" i="2"/>
  <c r="N2358" i="2"/>
  <c r="N2359" i="2"/>
  <c r="N2360" i="2"/>
  <c r="N2361" i="2"/>
  <c r="N2362" i="2"/>
  <c r="N2363" i="2"/>
  <c r="N2364" i="2"/>
  <c r="N2365" i="2"/>
  <c r="N2366" i="2"/>
  <c r="N2367" i="2"/>
  <c r="N2368" i="2"/>
  <c r="N2369" i="2"/>
  <c r="N2370" i="2"/>
  <c r="N2371" i="2"/>
  <c r="N2372" i="2"/>
  <c r="N2373" i="2"/>
  <c r="N2374" i="2"/>
  <c r="N2375" i="2"/>
  <c r="N2376" i="2"/>
  <c r="N2377" i="2"/>
  <c r="N2378" i="2"/>
  <c r="N2379" i="2"/>
  <c r="N2380" i="2"/>
  <c r="N2381" i="2"/>
  <c r="N2382" i="2"/>
  <c r="N2383" i="2"/>
  <c r="N2384" i="2"/>
  <c r="N2385" i="2"/>
  <c r="N2386" i="2"/>
  <c r="N2387" i="2"/>
  <c r="N2388" i="2"/>
  <c r="N2389" i="2"/>
  <c r="N2390" i="2"/>
  <c r="N2391" i="2"/>
  <c r="N2392" i="2"/>
  <c r="N2393" i="2"/>
  <c r="N2394" i="2"/>
  <c r="N2395" i="2"/>
  <c r="N2396" i="2"/>
  <c r="N2397" i="2"/>
  <c r="N2398" i="2"/>
  <c r="N2399" i="2"/>
  <c r="N2400" i="2"/>
  <c r="N2401" i="2"/>
  <c r="N2402" i="2"/>
  <c r="N2403" i="2"/>
  <c r="N2404" i="2"/>
  <c r="N2405" i="2"/>
  <c r="N2406" i="2"/>
  <c r="N2407" i="2"/>
  <c r="N2408" i="2"/>
  <c r="N2409" i="2"/>
  <c r="N2410" i="2"/>
  <c r="N2411" i="2"/>
  <c r="N2412" i="2"/>
  <c r="N2413" i="2"/>
  <c r="N2414" i="2"/>
  <c r="N2415" i="2"/>
  <c r="N2416" i="2"/>
  <c r="N2417" i="2"/>
  <c r="N2418" i="2"/>
  <c r="N2419" i="2"/>
  <c r="N2420" i="2"/>
  <c r="N2421" i="2"/>
  <c r="N2422" i="2"/>
  <c r="N2423" i="2"/>
  <c r="N2424" i="2"/>
  <c r="N2425" i="2"/>
  <c r="N2426" i="2"/>
  <c r="N2427" i="2"/>
  <c r="N2428" i="2"/>
  <c r="N2429" i="2"/>
  <c r="N2430" i="2"/>
  <c r="N2431" i="2"/>
  <c r="N2432" i="2"/>
  <c r="N2433" i="2"/>
  <c r="N2434" i="2"/>
  <c r="N2435" i="2"/>
  <c r="N2436" i="2"/>
  <c r="N2437" i="2"/>
  <c r="N2438" i="2"/>
  <c r="N2439" i="2"/>
  <c r="N2440" i="2"/>
  <c r="N2441" i="2"/>
  <c r="N2442" i="2"/>
  <c r="N2443" i="2"/>
  <c r="N2444" i="2"/>
  <c r="N2445" i="2"/>
  <c r="N2446" i="2"/>
  <c r="N2447" i="2"/>
  <c r="N2448" i="2"/>
  <c r="N2449" i="2"/>
  <c r="N2450" i="2"/>
  <c r="N2451" i="2"/>
  <c r="N2452" i="2"/>
  <c r="N2453" i="2"/>
  <c r="N2454" i="2"/>
  <c r="N2455" i="2"/>
  <c r="N2456" i="2"/>
  <c r="N2457" i="2"/>
  <c r="N2458" i="2"/>
  <c r="N2459" i="2"/>
  <c r="N2460" i="2"/>
  <c r="N2461" i="2"/>
  <c r="N2462" i="2"/>
  <c r="N2463" i="2"/>
  <c r="N2464" i="2"/>
  <c r="N2465" i="2"/>
  <c r="N2466" i="2"/>
  <c r="N2467" i="2"/>
  <c r="N2468" i="2"/>
  <c r="N2469" i="2"/>
  <c r="N2470" i="2"/>
  <c r="N2471" i="2"/>
  <c r="N2472" i="2"/>
  <c r="N2473" i="2"/>
  <c r="N2474" i="2"/>
  <c r="N2475" i="2"/>
  <c r="N2476" i="2"/>
  <c r="N2477" i="2"/>
  <c r="N2478" i="2"/>
  <c r="N2479" i="2"/>
  <c r="N2480" i="2"/>
  <c r="N2481" i="2"/>
  <c r="N2482" i="2"/>
  <c r="N2483" i="2"/>
  <c r="N2484" i="2"/>
  <c r="N2485" i="2"/>
  <c r="N2486" i="2"/>
  <c r="N2487" i="2"/>
  <c r="N2488" i="2"/>
  <c r="N2489" i="2"/>
  <c r="N2490" i="2"/>
  <c r="N2491" i="2"/>
  <c r="N2492" i="2"/>
  <c r="N2493" i="2"/>
  <c r="N2494" i="2"/>
  <c r="N2495" i="2"/>
  <c r="N2496" i="2"/>
  <c r="N2497" i="2"/>
  <c r="N2498" i="2"/>
  <c r="N2499" i="2"/>
  <c r="N2500" i="2"/>
  <c r="N2501" i="2"/>
  <c r="N2502" i="2"/>
  <c r="N2503" i="2"/>
  <c r="N2504" i="2"/>
  <c r="N2505" i="2"/>
  <c r="N2506" i="2"/>
  <c r="N2507" i="2"/>
  <c r="N2508" i="2"/>
  <c r="N2509" i="2"/>
  <c r="N2510" i="2"/>
  <c r="N2511" i="2"/>
  <c r="N2512" i="2"/>
  <c r="N2513" i="2"/>
  <c r="N2514" i="2"/>
  <c r="N2515" i="2"/>
  <c r="N2516" i="2"/>
  <c r="N2517" i="2"/>
  <c r="N2518" i="2"/>
  <c r="N2519" i="2"/>
  <c r="N2520" i="2"/>
  <c r="N2521" i="2"/>
  <c r="N2522" i="2"/>
  <c r="N2523" i="2"/>
  <c r="N2524" i="2"/>
  <c r="N2525" i="2"/>
  <c r="N2526" i="2"/>
  <c r="N2527" i="2"/>
  <c r="N2528" i="2"/>
  <c r="N2529" i="2"/>
  <c r="N2530" i="2"/>
  <c r="N2531" i="2"/>
  <c r="N2532" i="2"/>
  <c r="N2533" i="2"/>
  <c r="N2534" i="2"/>
  <c r="N2535" i="2"/>
  <c r="N2536" i="2"/>
  <c r="N2537" i="2"/>
  <c r="N2538" i="2"/>
  <c r="N2539" i="2"/>
  <c r="N2540" i="2"/>
  <c r="N2541" i="2"/>
  <c r="N2542" i="2"/>
  <c r="N2543" i="2"/>
  <c r="N2544" i="2"/>
  <c r="N2545" i="2"/>
  <c r="N2546" i="2"/>
  <c r="N2547" i="2"/>
  <c r="N2548" i="2"/>
  <c r="N2549" i="2"/>
  <c r="N2550" i="2"/>
  <c r="N2551" i="2"/>
  <c r="N2552" i="2"/>
  <c r="N2553" i="2"/>
  <c r="N2554" i="2"/>
  <c r="N2555" i="2"/>
  <c r="N2556" i="2"/>
  <c r="N2557" i="2"/>
  <c r="N2558" i="2"/>
  <c r="N2559" i="2"/>
  <c r="N2560" i="2"/>
  <c r="N2561" i="2"/>
  <c r="N2562" i="2"/>
  <c r="N2563" i="2"/>
  <c r="N2564" i="2"/>
  <c r="N2565" i="2"/>
  <c r="N2566" i="2"/>
  <c r="N2567" i="2"/>
  <c r="N2568" i="2"/>
  <c r="N2569" i="2"/>
  <c r="N2570" i="2"/>
  <c r="N2571" i="2"/>
  <c r="N2572" i="2"/>
  <c r="N2573" i="2"/>
  <c r="N2574" i="2"/>
  <c r="N2575" i="2"/>
  <c r="N2576" i="2"/>
  <c r="N2577" i="2"/>
  <c r="N2578" i="2"/>
  <c r="N2579" i="2"/>
  <c r="N2580" i="2"/>
  <c r="N2581" i="2"/>
  <c r="N2582" i="2"/>
  <c r="N2583" i="2"/>
  <c r="N2584" i="2"/>
  <c r="N2585" i="2"/>
  <c r="N2586" i="2"/>
  <c r="N2587" i="2"/>
  <c r="N2588" i="2"/>
  <c r="N2589" i="2"/>
  <c r="N2590" i="2"/>
  <c r="N2591" i="2"/>
  <c r="N2592" i="2"/>
  <c r="N2593" i="2"/>
  <c r="N2594" i="2"/>
  <c r="N2595" i="2"/>
  <c r="N2596" i="2"/>
  <c r="N2597" i="2"/>
  <c r="N2598" i="2"/>
  <c r="N2599" i="2"/>
  <c r="N2600" i="2"/>
  <c r="N2601" i="2"/>
  <c r="N2602" i="2"/>
  <c r="N2603" i="2"/>
  <c r="N2604" i="2"/>
  <c r="N2605" i="2"/>
  <c r="N2606" i="2"/>
  <c r="N2607" i="2"/>
  <c r="N2608" i="2"/>
  <c r="N2609" i="2"/>
  <c r="N2610" i="2"/>
  <c r="N2611" i="2"/>
  <c r="N2612" i="2"/>
  <c r="N2613" i="2"/>
  <c r="N2614" i="2"/>
  <c r="N2615" i="2"/>
  <c r="N2616" i="2"/>
  <c r="N2617" i="2"/>
  <c r="N2618" i="2"/>
  <c r="N2619" i="2"/>
  <c r="N2620" i="2"/>
  <c r="N2621" i="2"/>
  <c r="N2622" i="2"/>
  <c r="N2623" i="2"/>
  <c r="N2624" i="2"/>
  <c r="N2625" i="2"/>
  <c r="N2626" i="2"/>
  <c r="N2627" i="2"/>
  <c r="N2628" i="2"/>
  <c r="N2629" i="2"/>
  <c r="N2630" i="2"/>
  <c r="N2631" i="2"/>
  <c r="N2632" i="2"/>
  <c r="N2633" i="2"/>
  <c r="N2634" i="2"/>
  <c r="N2635" i="2"/>
  <c r="N2636" i="2"/>
  <c r="N2637" i="2"/>
  <c r="N2638" i="2"/>
  <c r="N2639" i="2"/>
  <c r="N2640" i="2"/>
  <c r="N2641" i="2"/>
  <c r="N2642" i="2"/>
  <c r="N2643" i="2"/>
  <c r="N2644" i="2"/>
  <c r="N2645" i="2"/>
  <c r="N2646" i="2"/>
  <c r="N2647" i="2"/>
  <c r="N2648" i="2"/>
  <c r="N2649" i="2"/>
  <c r="N2650" i="2"/>
  <c r="N2651" i="2"/>
  <c r="N2652" i="2"/>
  <c r="N2653" i="2"/>
  <c r="N2654" i="2"/>
  <c r="N2655" i="2"/>
  <c r="N2656" i="2"/>
  <c r="N2657" i="2"/>
  <c r="N2658" i="2"/>
  <c r="N2659" i="2"/>
  <c r="N2660" i="2"/>
  <c r="N2661" i="2"/>
  <c r="N2662" i="2"/>
  <c r="N2663" i="2"/>
  <c r="N2664" i="2"/>
  <c r="N2665" i="2"/>
  <c r="N2666" i="2"/>
  <c r="N2667" i="2"/>
  <c r="N2668" i="2"/>
  <c r="N2669" i="2"/>
  <c r="N2670" i="2"/>
  <c r="N2671" i="2"/>
  <c r="N2672" i="2"/>
  <c r="N2673" i="2"/>
  <c r="N2674" i="2"/>
  <c r="N2675" i="2"/>
  <c r="N2676" i="2"/>
  <c r="N2677" i="2"/>
  <c r="N2678" i="2"/>
  <c r="N2679" i="2"/>
  <c r="N2680" i="2"/>
  <c r="N2681" i="2"/>
  <c r="N2682" i="2"/>
  <c r="N2683" i="2"/>
  <c r="N2684" i="2"/>
  <c r="N2685" i="2"/>
  <c r="N2686" i="2"/>
  <c r="N2687" i="2"/>
  <c r="N2688" i="2"/>
  <c r="N2689" i="2"/>
  <c r="N2690" i="2"/>
  <c r="N2691" i="2"/>
  <c r="N2692" i="2"/>
  <c r="N2693" i="2"/>
  <c r="N2694" i="2"/>
  <c r="N2695" i="2"/>
  <c r="N2696" i="2"/>
  <c r="N2697" i="2"/>
  <c r="N2698" i="2"/>
  <c r="N2699" i="2"/>
  <c r="N2700" i="2"/>
  <c r="N2701" i="2"/>
  <c r="N2702" i="2"/>
  <c r="N2703" i="2"/>
  <c r="N2704" i="2"/>
  <c r="N2705" i="2"/>
  <c r="N2706" i="2"/>
  <c r="N2707" i="2"/>
  <c r="N2708" i="2"/>
  <c r="N2709" i="2"/>
  <c r="N2710" i="2"/>
  <c r="N2711" i="2"/>
  <c r="N2712" i="2"/>
  <c r="N2713" i="2"/>
  <c r="N2714" i="2"/>
  <c r="N2715" i="2"/>
  <c r="N2716" i="2"/>
  <c r="N2717" i="2"/>
  <c r="N2718" i="2"/>
  <c r="N2719" i="2"/>
  <c r="N2720" i="2"/>
  <c r="N2721" i="2"/>
  <c r="N2722" i="2"/>
  <c r="N2723" i="2"/>
  <c r="N2724" i="2"/>
  <c r="N2725" i="2"/>
  <c r="N2726" i="2"/>
  <c r="N2727" i="2"/>
  <c r="N2728" i="2"/>
  <c r="N2729" i="2"/>
  <c r="N2730" i="2"/>
  <c r="N2731" i="2"/>
  <c r="N2732" i="2"/>
  <c r="N2733" i="2"/>
  <c r="N2734" i="2"/>
  <c r="N2735" i="2"/>
  <c r="N2736" i="2"/>
  <c r="N2737" i="2"/>
  <c r="N2738" i="2"/>
  <c r="N2739" i="2"/>
  <c r="N2740" i="2"/>
  <c r="N2741" i="2"/>
  <c r="N2742" i="2"/>
  <c r="N2743" i="2"/>
  <c r="N2744" i="2"/>
  <c r="N2745" i="2"/>
  <c r="N2746" i="2"/>
  <c r="N2747" i="2"/>
  <c r="N2748" i="2"/>
  <c r="N2749" i="2"/>
  <c r="N2750" i="2"/>
  <c r="N2751" i="2"/>
  <c r="N2752" i="2"/>
  <c r="N2753" i="2"/>
  <c r="N2754" i="2"/>
  <c r="N2755" i="2"/>
  <c r="N2756" i="2"/>
  <c r="N2757" i="2"/>
  <c r="N2758" i="2"/>
  <c r="N2759" i="2"/>
  <c r="N2760" i="2"/>
  <c r="N2761" i="2"/>
  <c r="N2762" i="2"/>
  <c r="N2763" i="2"/>
  <c r="N2764" i="2"/>
  <c r="N2765" i="2"/>
  <c r="N2766" i="2"/>
  <c r="N2767" i="2"/>
  <c r="N2768" i="2"/>
  <c r="N2769" i="2"/>
  <c r="N2770" i="2"/>
  <c r="N2771" i="2"/>
  <c r="N2772" i="2"/>
  <c r="N2773" i="2"/>
  <c r="N2774" i="2"/>
  <c r="N2775" i="2"/>
  <c r="N2776" i="2"/>
  <c r="N2777" i="2"/>
  <c r="N2778" i="2"/>
  <c r="N2779" i="2"/>
  <c r="N2780" i="2"/>
  <c r="N2781" i="2"/>
  <c r="N2782" i="2"/>
  <c r="N2783" i="2"/>
  <c r="N2784" i="2"/>
  <c r="N2785" i="2"/>
  <c r="N2786" i="2"/>
  <c r="N2787" i="2"/>
  <c r="N2788" i="2"/>
  <c r="N2789" i="2"/>
  <c r="N2790" i="2"/>
  <c r="N2791" i="2"/>
  <c r="N2792" i="2"/>
  <c r="N2793" i="2"/>
  <c r="N2794" i="2"/>
  <c r="N2795" i="2"/>
  <c r="N2796" i="2"/>
  <c r="N2797" i="2"/>
  <c r="N2798" i="2"/>
  <c r="N2799" i="2"/>
  <c r="N2800" i="2"/>
  <c r="N2801" i="2"/>
  <c r="N2802" i="2"/>
  <c r="N2803" i="2"/>
  <c r="N2804" i="2"/>
  <c r="N2805" i="2"/>
  <c r="N2806" i="2"/>
  <c r="N2807" i="2"/>
  <c r="N2808" i="2"/>
  <c r="N2809" i="2"/>
  <c r="N2810" i="2"/>
  <c r="N2811" i="2"/>
  <c r="N2812" i="2"/>
  <c r="N2813" i="2"/>
  <c r="N2814" i="2"/>
  <c r="N2815" i="2"/>
  <c r="N2816" i="2"/>
  <c r="N2817" i="2"/>
  <c r="N2818" i="2"/>
  <c r="N2819" i="2"/>
  <c r="N2820" i="2"/>
  <c r="N2821" i="2"/>
  <c r="N2822" i="2"/>
  <c r="N2823" i="2"/>
  <c r="N2824" i="2"/>
  <c r="N2825" i="2"/>
  <c r="N2826" i="2"/>
  <c r="N2827" i="2"/>
  <c r="N2828" i="2"/>
  <c r="N2829" i="2"/>
  <c r="N2830" i="2"/>
  <c r="N2831" i="2"/>
  <c r="N2832" i="2"/>
  <c r="N2833" i="2"/>
  <c r="N2834" i="2"/>
  <c r="N2835" i="2"/>
  <c r="N2836" i="2"/>
  <c r="N2837" i="2"/>
  <c r="N2838" i="2"/>
  <c r="N2839" i="2"/>
  <c r="N2840" i="2"/>
  <c r="N2841" i="2"/>
  <c r="N2842" i="2"/>
  <c r="N2843" i="2"/>
  <c r="N2844" i="2"/>
  <c r="N2845" i="2"/>
  <c r="N2846" i="2"/>
  <c r="N2847" i="2"/>
  <c r="N2848" i="2"/>
  <c r="N2849" i="2"/>
  <c r="N2850" i="2"/>
  <c r="N2851" i="2"/>
  <c r="N2852" i="2"/>
  <c r="N2853" i="2"/>
  <c r="N2854" i="2"/>
  <c r="N2855" i="2"/>
  <c r="N2856" i="2"/>
  <c r="N2857" i="2"/>
  <c r="N2858" i="2"/>
  <c r="N2859" i="2"/>
  <c r="N2860" i="2"/>
  <c r="N2861" i="2"/>
  <c r="N2862" i="2"/>
  <c r="N2863" i="2"/>
  <c r="N2864" i="2"/>
  <c r="N2865" i="2"/>
  <c r="N2866" i="2"/>
  <c r="N2867" i="2"/>
  <c r="N2868" i="2"/>
  <c r="N2869" i="2"/>
  <c r="N2870" i="2"/>
  <c r="N2871" i="2"/>
  <c r="N2872" i="2"/>
  <c r="N2873" i="2"/>
  <c r="N2874" i="2"/>
  <c r="N2875" i="2"/>
  <c r="N2876" i="2"/>
  <c r="N2877" i="2"/>
  <c r="N2878" i="2"/>
  <c r="N2879" i="2"/>
  <c r="N2880" i="2"/>
  <c r="N2881" i="2"/>
  <c r="N2882" i="2"/>
  <c r="N2883" i="2"/>
  <c r="N2884" i="2"/>
  <c r="N2885" i="2"/>
  <c r="N2886" i="2"/>
  <c r="N2887" i="2"/>
  <c r="N2888" i="2"/>
  <c r="N2889" i="2"/>
  <c r="N2890" i="2"/>
  <c r="N2891" i="2"/>
  <c r="N2892" i="2"/>
  <c r="N2893" i="2"/>
  <c r="N2894" i="2"/>
  <c r="N2895" i="2"/>
  <c r="N2896" i="2"/>
  <c r="N2897" i="2"/>
  <c r="N2898" i="2"/>
  <c r="N2899" i="2"/>
  <c r="N2900" i="2"/>
  <c r="N2901" i="2"/>
  <c r="N2902" i="2"/>
  <c r="N2903" i="2"/>
  <c r="N2904" i="2"/>
  <c r="N2905" i="2"/>
  <c r="N2906" i="2"/>
  <c r="N2907" i="2"/>
  <c r="N2908" i="2"/>
  <c r="N2909" i="2"/>
  <c r="N2910" i="2"/>
  <c r="N2911" i="2"/>
  <c r="N2912" i="2"/>
  <c r="N2913" i="2"/>
  <c r="N2914" i="2"/>
  <c r="N2915" i="2"/>
  <c r="N2916" i="2"/>
  <c r="N2917" i="2"/>
  <c r="N2918" i="2"/>
  <c r="N2919" i="2"/>
  <c r="N2920" i="2"/>
  <c r="N2921" i="2"/>
  <c r="N2922" i="2"/>
  <c r="N2923" i="2"/>
  <c r="N2924" i="2"/>
  <c r="N2925" i="2"/>
  <c r="N2926" i="2"/>
  <c r="N2927" i="2"/>
  <c r="N2928" i="2"/>
  <c r="N2929" i="2"/>
  <c r="N2930" i="2"/>
  <c r="N2931" i="2"/>
  <c r="N2932" i="2"/>
  <c r="N2933" i="2"/>
  <c r="N2934" i="2"/>
  <c r="N2935" i="2"/>
  <c r="N2936" i="2"/>
  <c r="N2937" i="2"/>
  <c r="N2938" i="2"/>
  <c r="N2939" i="2"/>
  <c r="N2940" i="2"/>
  <c r="N2941" i="2"/>
  <c r="N2942" i="2"/>
  <c r="N2943" i="2"/>
  <c r="N2944" i="2"/>
  <c r="N2945" i="2"/>
  <c r="N2946" i="2"/>
  <c r="N2947" i="2"/>
  <c r="N2948" i="2"/>
  <c r="N2949" i="2"/>
  <c r="N2950" i="2"/>
  <c r="N2951" i="2"/>
  <c r="N2952" i="2"/>
  <c r="N2953" i="2"/>
  <c r="N2954" i="2"/>
  <c r="N2955" i="2"/>
  <c r="N2956" i="2"/>
  <c r="N2957" i="2"/>
  <c r="N2958" i="2"/>
  <c r="N2959" i="2"/>
  <c r="N2960" i="2"/>
  <c r="N2961" i="2"/>
  <c r="N2962" i="2"/>
  <c r="N2963" i="2"/>
  <c r="N2964" i="2"/>
  <c r="N2965" i="2"/>
  <c r="N2966" i="2"/>
  <c r="N2967" i="2"/>
  <c r="N2968" i="2"/>
  <c r="N2969" i="2"/>
  <c r="N2970" i="2"/>
  <c r="N2971" i="2"/>
  <c r="N2972" i="2"/>
  <c r="N2973" i="2"/>
  <c r="N2974" i="2"/>
  <c r="N2975" i="2"/>
  <c r="N2976" i="2"/>
  <c r="N2977" i="2"/>
  <c r="N2978" i="2"/>
  <c r="N2979" i="2"/>
  <c r="N2980" i="2"/>
  <c r="N2981" i="2"/>
  <c r="N2982" i="2"/>
  <c r="N2983" i="2"/>
  <c r="N2984" i="2"/>
  <c r="N2985" i="2"/>
  <c r="N2986" i="2"/>
  <c r="N2987" i="2"/>
  <c r="N2988" i="2"/>
  <c r="N2989" i="2"/>
  <c r="N2990" i="2"/>
  <c r="N2991" i="2"/>
  <c r="N2992" i="2"/>
  <c r="N2993" i="2"/>
  <c r="N2994" i="2"/>
  <c r="N2995" i="2"/>
  <c r="N2996" i="2"/>
  <c r="N2997" i="2"/>
  <c r="N2998" i="2"/>
  <c r="N2999" i="2"/>
  <c r="N3000" i="2"/>
  <c r="N3001" i="2"/>
  <c r="N3002" i="2"/>
  <c r="N3003" i="2"/>
  <c r="N3004" i="2"/>
  <c r="N3005" i="2"/>
  <c r="N3006" i="2"/>
  <c r="N3007" i="2"/>
  <c r="N3008" i="2"/>
  <c r="N3009" i="2"/>
  <c r="N3010" i="2"/>
  <c r="N3011" i="2"/>
  <c r="N3012" i="2"/>
  <c r="N3013" i="2"/>
  <c r="N3014" i="2"/>
  <c r="N3015" i="2"/>
  <c r="N3016" i="2"/>
  <c r="N3017" i="2"/>
  <c r="N3018" i="2"/>
  <c r="N3019" i="2"/>
  <c r="N3020" i="2"/>
  <c r="N3021" i="2"/>
  <c r="N3022" i="2"/>
  <c r="N3023" i="2"/>
  <c r="N3024" i="2"/>
  <c r="N3025" i="2"/>
  <c r="N3026" i="2"/>
  <c r="N3027" i="2"/>
  <c r="N3028" i="2"/>
  <c r="N3029" i="2"/>
  <c r="N3030" i="2"/>
  <c r="N3031" i="2"/>
  <c r="N3032" i="2"/>
  <c r="N3033" i="2"/>
  <c r="N3034" i="2"/>
  <c r="N3035" i="2"/>
  <c r="N3036" i="2"/>
  <c r="N3037" i="2"/>
  <c r="N3038" i="2"/>
  <c r="N3039" i="2"/>
  <c r="N3040" i="2"/>
  <c r="N3041" i="2"/>
  <c r="N3042" i="2"/>
  <c r="N3043" i="2"/>
  <c r="N3044" i="2"/>
  <c r="N3045" i="2"/>
  <c r="N3046" i="2"/>
  <c r="N3047" i="2"/>
  <c r="N3048" i="2"/>
  <c r="N3049" i="2"/>
  <c r="N3050" i="2"/>
  <c r="N3051" i="2"/>
  <c r="N3052" i="2"/>
  <c r="N3053" i="2"/>
  <c r="N3054" i="2"/>
  <c r="N3055" i="2"/>
  <c r="N3056" i="2"/>
  <c r="N3057" i="2"/>
  <c r="N3058" i="2"/>
  <c r="N3059" i="2"/>
  <c r="N3060" i="2"/>
  <c r="N3061" i="2"/>
  <c r="N3062" i="2"/>
  <c r="N3063" i="2"/>
  <c r="N3064" i="2"/>
  <c r="N3065" i="2"/>
  <c r="N3066" i="2"/>
  <c r="N3067" i="2"/>
  <c r="N3068" i="2"/>
  <c r="N3069" i="2"/>
  <c r="N3070" i="2"/>
  <c r="N3071" i="2"/>
  <c r="N3072" i="2"/>
  <c r="N3073" i="2"/>
  <c r="N3074" i="2"/>
  <c r="N3075" i="2"/>
  <c r="N3076" i="2"/>
  <c r="N3077" i="2"/>
  <c r="N3078" i="2"/>
  <c r="N3079" i="2"/>
  <c r="N3080" i="2"/>
  <c r="N3081" i="2"/>
  <c r="N3082" i="2"/>
  <c r="N3083" i="2"/>
  <c r="N3084" i="2"/>
  <c r="N3085" i="2"/>
  <c r="N3086" i="2"/>
  <c r="N3087" i="2"/>
  <c r="N3088" i="2"/>
  <c r="N3089" i="2"/>
  <c r="N3090" i="2"/>
  <c r="N3091" i="2"/>
  <c r="N3092" i="2"/>
  <c r="N3093" i="2"/>
  <c r="N3094" i="2"/>
  <c r="N3095" i="2"/>
  <c r="N3096" i="2"/>
  <c r="N3097" i="2"/>
  <c r="N3098" i="2"/>
  <c r="N3099" i="2"/>
  <c r="N3100" i="2"/>
  <c r="N3101" i="2"/>
  <c r="N3102" i="2"/>
  <c r="N3103" i="2"/>
  <c r="N3104" i="2"/>
  <c r="N3105" i="2"/>
  <c r="N3106" i="2"/>
  <c r="N3107" i="2"/>
  <c r="N3108" i="2"/>
  <c r="N3109" i="2"/>
  <c r="N3110" i="2"/>
  <c r="N3111" i="2"/>
  <c r="N3112" i="2"/>
  <c r="N3113" i="2"/>
  <c r="N3114" i="2"/>
  <c r="N3115" i="2"/>
  <c r="N3116" i="2"/>
  <c r="N3117" i="2"/>
  <c r="N3118" i="2"/>
  <c r="N3119" i="2"/>
  <c r="N3120" i="2"/>
  <c r="N3121" i="2"/>
  <c r="N3122" i="2"/>
  <c r="N3123" i="2"/>
  <c r="N3124" i="2"/>
  <c r="N3125" i="2"/>
  <c r="N3126" i="2"/>
  <c r="N3127" i="2"/>
  <c r="N3128" i="2"/>
  <c r="N3129" i="2"/>
  <c r="N3130" i="2"/>
  <c r="N3131" i="2"/>
  <c r="N3132" i="2"/>
  <c r="N3133" i="2"/>
  <c r="N3134" i="2"/>
  <c r="N3135" i="2"/>
  <c r="N3136" i="2"/>
  <c r="N3137" i="2"/>
  <c r="N3138" i="2"/>
  <c r="N3139" i="2"/>
  <c r="N3140" i="2"/>
  <c r="N3141" i="2"/>
  <c r="N3142" i="2"/>
  <c r="N3143" i="2"/>
  <c r="N3144" i="2"/>
  <c r="N3145" i="2"/>
  <c r="N3146" i="2"/>
  <c r="N3147" i="2"/>
  <c r="N3148" i="2"/>
  <c r="N3149" i="2"/>
  <c r="N3150" i="2"/>
  <c r="N3151" i="2"/>
  <c r="N3152" i="2"/>
  <c r="N3153" i="2"/>
  <c r="N3154" i="2"/>
  <c r="N3155" i="2"/>
  <c r="N3156" i="2"/>
  <c r="N3157" i="2"/>
  <c r="N3158" i="2"/>
  <c r="N3159" i="2"/>
  <c r="N3160" i="2"/>
  <c r="N3161" i="2"/>
  <c r="N3162" i="2"/>
  <c r="N3163" i="2"/>
  <c r="N3164" i="2"/>
  <c r="N3165" i="2"/>
  <c r="N3166" i="2"/>
  <c r="N3167" i="2"/>
  <c r="N3168" i="2"/>
  <c r="N3169" i="2"/>
  <c r="N3170" i="2"/>
  <c r="N3171" i="2"/>
  <c r="N3172" i="2"/>
  <c r="N3173" i="2"/>
  <c r="N3174" i="2"/>
  <c r="N3175" i="2"/>
  <c r="N3176" i="2"/>
  <c r="N3177" i="2"/>
  <c r="N3178" i="2"/>
  <c r="N3179" i="2"/>
  <c r="N3180" i="2"/>
  <c r="N3181" i="2"/>
  <c r="N3182" i="2"/>
  <c r="N3183" i="2"/>
  <c r="N3184" i="2"/>
  <c r="N3185" i="2"/>
  <c r="N3186" i="2"/>
  <c r="N3187" i="2"/>
  <c r="N3188" i="2"/>
  <c r="N3189" i="2"/>
  <c r="N3190" i="2"/>
  <c r="N3191" i="2"/>
  <c r="N3192" i="2"/>
  <c r="N3193" i="2"/>
  <c r="N3194" i="2"/>
  <c r="N3195" i="2"/>
  <c r="N3196" i="2"/>
  <c r="N3197" i="2"/>
  <c r="N3198" i="2"/>
  <c r="N3199" i="2"/>
  <c r="N3200" i="2"/>
  <c r="N3201" i="2"/>
  <c r="N3202" i="2"/>
  <c r="N3203" i="2"/>
  <c r="N3204" i="2"/>
  <c r="N3205" i="2"/>
  <c r="N3206" i="2"/>
  <c r="N3207" i="2"/>
  <c r="N3208" i="2"/>
  <c r="N3209" i="2"/>
  <c r="N3210" i="2"/>
  <c r="N3211" i="2"/>
  <c r="N3212" i="2"/>
  <c r="N3213" i="2"/>
  <c r="N3214" i="2"/>
  <c r="N3215" i="2"/>
  <c r="N3216" i="2"/>
  <c r="N3217" i="2"/>
  <c r="N3218" i="2"/>
  <c r="N3219" i="2"/>
  <c r="N3220" i="2"/>
  <c r="N3221" i="2"/>
  <c r="N3222" i="2"/>
  <c r="N3223" i="2"/>
  <c r="N3224" i="2"/>
  <c r="N3225" i="2"/>
  <c r="N3226" i="2"/>
  <c r="N3227" i="2"/>
  <c r="N3228" i="2"/>
  <c r="N3229" i="2"/>
  <c r="N3230" i="2"/>
  <c r="N3231" i="2"/>
  <c r="N3232" i="2"/>
  <c r="N3233" i="2"/>
  <c r="N3234" i="2"/>
  <c r="N3235" i="2"/>
  <c r="N3236" i="2"/>
  <c r="N3237" i="2"/>
  <c r="N3238" i="2"/>
  <c r="N3239" i="2"/>
  <c r="N3240" i="2"/>
  <c r="N3241" i="2"/>
  <c r="N3242" i="2"/>
  <c r="N3243" i="2"/>
  <c r="N3244" i="2"/>
  <c r="N3245" i="2"/>
  <c r="N3246" i="2"/>
  <c r="N3247" i="2"/>
  <c r="N3248" i="2"/>
  <c r="N3249" i="2"/>
  <c r="N3250" i="2"/>
  <c r="N3251" i="2"/>
  <c r="N3252" i="2"/>
  <c r="N3253" i="2"/>
  <c r="N3254" i="2"/>
  <c r="N3255" i="2"/>
  <c r="N3256" i="2"/>
  <c r="N3257" i="2"/>
  <c r="N3258" i="2"/>
  <c r="N3259" i="2"/>
  <c r="N3260" i="2"/>
  <c r="N3261" i="2"/>
  <c r="N3262" i="2"/>
  <c r="N3263" i="2"/>
  <c r="N3264" i="2"/>
  <c r="N3265" i="2"/>
  <c r="N3266" i="2"/>
  <c r="N3267" i="2"/>
  <c r="N3268" i="2"/>
  <c r="N3269" i="2"/>
  <c r="N3270" i="2"/>
  <c r="N3271" i="2"/>
  <c r="N3272" i="2"/>
  <c r="N3273" i="2"/>
  <c r="N3274" i="2"/>
  <c r="N3275" i="2"/>
  <c r="N3276" i="2"/>
  <c r="N3277" i="2"/>
  <c r="N3278" i="2"/>
  <c r="N3279" i="2"/>
  <c r="N3280" i="2"/>
  <c r="N3281" i="2"/>
  <c r="N3282" i="2"/>
  <c r="N3283" i="2"/>
  <c r="N3284" i="2"/>
  <c r="N3285" i="2"/>
  <c r="N3286" i="2"/>
  <c r="N3287" i="2"/>
  <c r="N3288" i="2"/>
  <c r="N3289" i="2"/>
  <c r="N3290" i="2"/>
  <c r="N3291" i="2"/>
  <c r="N3292" i="2"/>
  <c r="N3293" i="2"/>
  <c r="N3294" i="2"/>
  <c r="N3295" i="2"/>
  <c r="N3296" i="2"/>
  <c r="N3297" i="2"/>
  <c r="N3298" i="2"/>
  <c r="N3299" i="2"/>
  <c r="N3300" i="2"/>
  <c r="N3301" i="2"/>
  <c r="N3302" i="2"/>
  <c r="N3303" i="2"/>
  <c r="N3304" i="2"/>
  <c r="N3305" i="2"/>
  <c r="N3306" i="2"/>
  <c r="N3307" i="2"/>
  <c r="N3308" i="2"/>
  <c r="N3309" i="2"/>
  <c r="N3310" i="2"/>
  <c r="N3311" i="2"/>
  <c r="N3312" i="2"/>
  <c r="N3313" i="2"/>
  <c r="N3314" i="2"/>
  <c r="N3315" i="2"/>
  <c r="N3316" i="2"/>
  <c r="N3317" i="2"/>
  <c r="N3318" i="2"/>
  <c r="N3319" i="2"/>
  <c r="N3320" i="2"/>
  <c r="N3321" i="2"/>
  <c r="N3322" i="2"/>
  <c r="N3323" i="2"/>
  <c r="N3324" i="2"/>
  <c r="N3325" i="2"/>
  <c r="N3326" i="2"/>
  <c r="N3327" i="2"/>
  <c r="N3328" i="2"/>
  <c r="N3329" i="2"/>
  <c r="N3330" i="2"/>
  <c r="N3331" i="2"/>
  <c r="N3332" i="2"/>
  <c r="N3333" i="2"/>
  <c r="N3334" i="2"/>
  <c r="N3335" i="2"/>
  <c r="N3336" i="2"/>
  <c r="N3337" i="2"/>
  <c r="N3338" i="2"/>
  <c r="N3339" i="2"/>
  <c r="N3340" i="2"/>
  <c r="N3341" i="2"/>
  <c r="N3342" i="2"/>
  <c r="N3343" i="2"/>
  <c r="N3344" i="2"/>
  <c r="N3345" i="2"/>
  <c r="N3346" i="2"/>
  <c r="N3347" i="2"/>
  <c r="N3348" i="2"/>
  <c r="N3349" i="2"/>
  <c r="N3350" i="2"/>
  <c r="N3351" i="2"/>
  <c r="N3352" i="2"/>
  <c r="N3353" i="2"/>
  <c r="N3354" i="2"/>
  <c r="N3355" i="2"/>
  <c r="N3356" i="2"/>
  <c r="N3357" i="2"/>
  <c r="N3358" i="2"/>
  <c r="N3359" i="2"/>
  <c r="N3360" i="2"/>
  <c r="N3361" i="2"/>
  <c r="N3362" i="2"/>
  <c r="N3363" i="2"/>
  <c r="N3364" i="2"/>
  <c r="N3365" i="2"/>
  <c r="N3366" i="2"/>
  <c r="N3367" i="2"/>
  <c r="N3368" i="2"/>
  <c r="N3369" i="2"/>
  <c r="N3370" i="2"/>
  <c r="N3371" i="2"/>
  <c r="N3372" i="2"/>
  <c r="N3373" i="2"/>
  <c r="N3374" i="2"/>
  <c r="N3375" i="2"/>
  <c r="N3376" i="2"/>
  <c r="N3377" i="2"/>
  <c r="N3378" i="2"/>
  <c r="N3379" i="2"/>
  <c r="N3380" i="2"/>
  <c r="N3381" i="2"/>
  <c r="N3382" i="2"/>
  <c r="N3383" i="2"/>
  <c r="N3384" i="2"/>
  <c r="N3385" i="2"/>
  <c r="N3386" i="2"/>
  <c r="N3387" i="2"/>
  <c r="N3388" i="2"/>
  <c r="N3389" i="2"/>
  <c r="N3390" i="2"/>
  <c r="N3391" i="2"/>
  <c r="N3392" i="2"/>
  <c r="N3393" i="2"/>
  <c r="N3394" i="2"/>
  <c r="N3395" i="2"/>
  <c r="N3396" i="2"/>
  <c r="N3397" i="2"/>
  <c r="N3398" i="2"/>
  <c r="N3399" i="2"/>
  <c r="N3400" i="2"/>
  <c r="N3401" i="2"/>
  <c r="N3402" i="2"/>
  <c r="N3403" i="2"/>
  <c r="N3404" i="2"/>
  <c r="N3405" i="2"/>
  <c r="N3406" i="2"/>
  <c r="N3407" i="2"/>
  <c r="N3408" i="2"/>
  <c r="N3409" i="2"/>
  <c r="N3410" i="2"/>
  <c r="N3411" i="2"/>
  <c r="N3412" i="2"/>
  <c r="N3413" i="2"/>
  <c r="N3414" i="2"/>
  <c r="N3415" i="2"/>
  <c r="N3416" i="2"/>
  <c r="N3417" i="2"/>
  <c r="N3418" i="2"/>
  <c r="N3419" i="2"/>
  <c r="N3420" i="2"/>
  <c r="N3421" i="2"/>
  <c r="N3422" i="2"/>
  <c r="N3423" i="2"/>
  <c r="N3424" i="2"/>
  <c r="N3425" i="2"/>
  <c r="N3426" i="2"/>
  <c r="N3427" i="2"/>
  <c r="N3428" i="2"/>
  <c r="N3429" i="2"/>
  <c r="N3430" i="2"/>
  <c r="N3431" i="2"/>
  <c r="N3432" i="2"/>
  <c r="N3433" i="2"/>
  <c r="N3434" i="2"/>
  <c r="N3435" i="2"/>
  <c r="N3436" i="2"/>
  <c r="N3437" i="2"/>
  <c r="N3438" i="2"/>
  <c r="N3439" i="2"/>
  <c r="N3440" i="2"/>
  <c r="N3441" i="2"/>
  <c r="N3442" i="2"/>
  <c r="N3443" i="2"/>
  <c r="N3444" i="2"/>
  <c r="N3445" i="2"/>
  <c r="N3446" i="2"/>
  <c r="N3447" i="2"/>
  <c r="N3448" i="2"/>
  <c r="N3449" i="2"/>
  <c r="N3450" i="2"/>
  <c r="N3451" i="2"/>
  <c r="N3452" i="2"/>
  <c r="N3453" i="2"/>
  <c r="N3454" i="2"/>
  <c r="N3455" i="2"/>
  <c r="N3456" i="2"/>
  <c r="N3457" i="2"/>
  <c r="N3458" i="2"/>
  <c r="N3459" i="2"/>
  <c r="N3460" i="2"/>
  <c r="N3461" i="2"/>
  <c r="N3462" i="2"/>
  <c r="N3463" i="2"/>
  <c r="N3464" i="2"/>
  <c r="N3465" i="2"/>
  <c r="N3466" i="2"/>
  <c r="N3467" i="2"/>
  <c r="N3468" i="2"/>
  <c r="N3469" i="2"/>
  <c r="N3470" i="2"/>
  <c r="N3471" i="2"/>
  <c r="N3472" i="2"/>
  <c r="N3473" i="2"/>
  <c r="N3474" i="2"/>
  <c r="N3475" i="2"/>
  <c r="N3476" i="2"/>
  <c r="N3477" i="2"/>
  <c r="N3478" i="2"/>
  <c r="N3479" i="2"/>
  <c r="N3480" i="2"/>
  <c r="N3481" i="2"/>
  <c r="N3482" i="2"/>
  <c r="N3483" i="2"/>
  <c r="N3484" i="2"/>
  <c r="N3485" i="2"/>
  <c r="N3486" i="2"/>
  <c r="N3487" i="2"/>
  <c r="N3488" i="2"/>
  <c r="N3489" i="2"/>
  <c r="N3490" i="2"/>
  <c r="N3491" i="2"/>
  <c r="N3492" i="2"/>
  <c r="N3493" i="2"/>
  <c r="N3494" i="2"/>
  <c r="N3495" i="2"/>
  <c r="N3496" i="2"/>
  <c r="N3497" i="2"/>
  <c r="N3498" i="2"/>
  <c r="N3499" i="2"/>
  <c r="N3500" i="2"/>
  <c r="N3501" i="2"/>
  <c r="N3502" i="2"/>
  <c r="N3503" i="2"/>
  <c r="N3504" i="2"/>
  <c r="N3505" i="2"/>
  <c r="N3506" i="2"/>
  <c r="N3507" i="2"/>
  <c r="N3508" i="2"/>
  <c r="N3509" i="2"/>
  <c r="N3510" i="2"/>
  <c r="N3511" i="2"/>
  <c r="N3512" i="2"/>
  <c r="N3513" i="2"/>
  <c r="N3514" i="2"/>
  <c r="N3515" i="2"/>
  <c r="N3516" i="2"/>
  <c r="N3517" i="2"/>
  <c r="N3518" i="2"/>
  <c r="N3519" i="2"/>
  <c r="N3520" i="2"/>
  <c r="N3521" i="2"/>
  <c r="N3522" i="2"/>
  <c r="N3523" i="2"/>
  <c r="N3524" i="2"/>
  <c r="N3525" i="2"/>
  <c r="N3526" i="2"/>
  <c r="N3527" i="2"/>
  <c r="N3528" i="2"/>
  <c r="N3529" i="2"/>
  <c r="N3530" i="2"/>
  <c r="N3531" i="2"/>
  <c r="N3532" i="2"/>
  <c r="N3533" i="2"/>
  <c r="N3534" i="2"/>
  <c r="N3535" i="2"/>
  <c r="N3536" i="2"/>
  <c r="N3537" i="2"/>
  <c r="N3538" i="2"/>
  <c r="N3539" i="2"/>
  <c r="N3540" i="2"/>
  <c r="N3541" i="2"/>
  <c r="N3542" i="2"/>
  <c r="N3543" i="2"/>
  <c r="N3544" i="2"/>
  <c r="N3545" i="2"/>
  <c r="N3546" i="2"/>
  <c r="N3547" i="2"/>
  <c r="N3548" i="2"/>
  <c r="N3549" i="2"/>
  <c r="N3550" i="2"/>
  <c r="N3551" i="2"/>
  <c r="N3552" i="2"/>
  <c r="N3553" i="2"/>
  <c r="N3554" i="2"/>
  <c r="N3555" i="2"/>
  <c r="N3556" i="2"/>
  <c r="N3557" i="2"/>
  <c r="N3558" i="2"/>
  <c r="N3559" i="2"/>
  <c r="N3560" i="2"/>
  <c r="N3561" i="2"/>
  <c r="N3562" i="2"/>
  <c r="N3563" i="2"/>
  <c r="N3564" i="2"/>
  <c r="N3565" i="2"/>
  <c r="N3566" i="2"/>
  <c r="N3567" i="2"/>
  <c r="N3568" i="2"/>
  <c r="N3569" i="2"/>
  <c r="N3570" i="2"/>
  <c r="N3571" i="2"/>
  <c r="N3572" i="2"/>
  <c r="N3573" i="2"/>
  <c r="N3574" i="2"/>
  <c r="N3575" i="2"/>
  <c r="N3576" i="2"/>
  <c r="N3577" i="2"/>
  <c r="N3578" i="2"/>
  <c r="N3579" i="2"/>
  <c r="N3580" i="2"/>
  <c r="N3581" i="2"/>
  <c r="N3582" i="2"/>
  <c r="N3583" i="2"/>
  <c r="N3584" i="2"/>
  <c r="N3585" i="2"/>
  <c r="N3586" i="2"/>
  <c r="N3587" i="2"/>
  <c r="N3588" i="2"/>
  <c r="N3589" i="2"/>
  <c r="N3590" i="2"/>
  <c r="N3591" i="2"/>
  <c r="N3592" i="2"/>
  <c r="N3593" i="2"/>
  <c r="N3594" i="2"/>
  <c r="N3595" i="2"/>
  <c r="N3596" i="2"/>
  <c r="N3597" i="2"/>
  <c r="N3598" i="2"/>
  <c r="N3599" i="2"/>
  <c r="N3600" i="2"/>
  <c r="N3601" i="2"/>
  <c r="N3602" i="2"/>
  <c r="N3603" i="2"/>
  <c r="N3604" i="2"/>
  <c r="N3605" i="2"/>
  <c r="N3606" i="2"/>
  <c r="N3607" i="2"/>
  <c r="N3608" i="2"/>
  <c r="N3609" i="2"/>
  <c r="N3610" i="2"/>
  <c r="N3611" i="2"/>
  <c r="N3612" i="2"/>
  <c r="N3613" i="2"/>
  <c r="N3614" i="2"/>
  <c r="N3615" i="2"/>
  <c r="N3616" i="2"/>
  <c r="N3617" i="2"/>
  <c r="N3618" i="2"/>
  <c r="N3619" i="2"/>
  <c r="N3620" i="2"/>
  <c r="N3621" i="2"/>
  <c r="N3622" i="2"/>
  <c r="N3623" i="2"/>
  <c r="N3624" i="2"/>
  <c r="N3625" i="2"/>
  <c r="N3626" i="2"/>
  <c r="N3627" i="2"/>
  <c r="N3628" i="2"/>
  <c r="N3629" i="2"/>
  <c r="N3630" i="2"/>
  <c r="N3631" i="2"/>
  <c r="N3632" i="2"/>
  <c r="N3633" i="2"/>
  <c r="N3634" i="2"/>
  <c r="N3635" i="2"/>
  <c r="N3636" i="2"/>
  <c r="N3637" i="2"/>
  <c r="N3638" i="2"/>
  <c r="N3639" i="2"/>
  <c r="N3640" i="2"/>
  <c r="N3641" i="2"/>
  <c r="N3642" i="2"/>
  <c r="N3643" i="2"/>
  <c r="N3644" i="2"/>
  <c r="N3645" i="2"/>
  <c r="N3646" i="2"/>
  <c r="N3647" i="2"/>
  <c r="N3648" i="2"/>
  <c r="N3649" i="2"/>
  <c r="N3650" i="2"/>
  <c r="N3651" i="2"/>
  <c r="N3652" i="2"/>
  <c r="N3653" i="2"/>
  <c r="N3654" i="2"/>
  <c r="N3655" i="2"/>
  <c r="N3656" i="2"/>
  <c r="N3657" i="2"/>
  <c r="N3658" i="2"/>
  <c r="N3659" i="2"/>
  <c r="N3660" i="2"/>
  <c r="N3661" i="2"/>
  <c r="N3662" i="2"/>
  <c r="N3663" i="2"/>
  <c r="N3664" i="2"/>
  <c r="N3665" i="2"/>
  <c r="N3666" i="2"/>
  <c r="N3667" i="2"/>
  <c r="N3668" i="2"/>
  <c r="N3669" i="2"/>
  <c r="N3670" i="2"/>
  <c r="N3671" i="2"/>
  <c r="N3672" i="2"/>
  <c r="N3673" i="2"/>
  <c r="N3674" i="2"/>
  <c r="N3675" i="2"/>
  <c r="N3676" i="2"/>
  <c r="N3677" i="2"/>
  <c r="N3678" i="2"/>
  <c r="N3679" i="2"/>
  <c r="N3680" i="2"/>
  <c r="N3681" i="2"/>
  <c r="N3682" i="2"/>
  <c r="N3683" i="2"/>
  <c r="N3684" i="2"/>
  <c r="N3685" i="2"/>
  <c r="N3686" i="2"/>
  <c r="N3687" i="2"/>
  <c r="N3688" i="2"/>
  <c r="N3689" i="2"/>
  <c r="N3690" i="2"/>
  <c r="N3691" i="2"/>
  <c r="N3692" i="2"/>
  <c r="N3693" i="2"/>
  <c r="N3694" i="2"/>
  <c r="N3695" i="2"/>
  <c r="N3696" i="2"/>
  <c r="N3697" i="2"/>
  <c r="N3698" i="2"/>
  <c r="N3699" i="2"/>
  <c r="N3700" i="2"/>
  <c r="N3701" i="2"/>
  <c r="N3702" i="2"/>
  <c r="N3703" i="2"/>
  <c r="N3704" i="2"/>
  <c r="N3705" i="2"/>
  <c r="N3706" i="2"/>
  <c r="N3707" i="2"/>
  <c r="N3708" i="2"/>
  <c r="N3709" i="2"/>
  <c r="N3710" i="2"/>
  <c r="N3711" i="2"/>
  <c r="N3712" i="2"/>
  <c r="N3713" i="2"/>
  <c r="N3714" i="2"/>
  <c r="N3715" i="2"/>
  <c r="N3716" i="2"/>
  <c r="N3717" i="2"/>
  <c r="N3718" i="2"/>
  <c r="N3719" i="2"/>
  <c r="N3720" i="2"/>
  <c r="N3721" i="2"/>
  <c r="N3722" i="2"/>
  <c r="N3723" i="2"/>
  <c r="N3724" i="2"/>
  <c r="N3725" i="2"/>
  <c r="N3726" i="2"/>
  <c r="N3727" i="2"/>
  <c r="N3728" i="2"/>
  <c r="N3729" i="2"/>
  <c r="N3730" i="2"/>
  <c r="N3731" i="2"/>
  <c r="N3732" i="2"/>
  <c r="N3733" i="2"/>
  <c r="N3734" i="2"/>
  <c r="N3735" i="2"/>
  <c r="N3736" i="2"/>
  <c r="N3737" i="2"/>
  <c r="N3738" i="2"/>
  <c r="N3739" i="2"/>
  <c r="N3740" i="2"/>
  <c r="N3741" i="2"/>
  <c r="N3742" i="2"/>
  <c r="N3743" i="2"/>
  <c r="N3744" i="2"/>
  <c r="N3745" i="2"/>
  <c r="N3746" i="2"/>
  <c r="N3747" i="2"/>
  <c r="N3748" i="2"/>
  <c r="N3749" i="2"/>
  <c r="N3750" i="2"/>
  <c r="N3751" i="2"/>
  <c r="N3752" i="2"/>
  <c r="N3753" i="2"/>
  <c r="N3754" i="2"/>
  <c r="N3755" i="2"/>
  <c r="N3756" i="2"/>
  <c r="N3757" i="2"/>
  <c r="N3758" i="2"/>
  <c r="N3759" i="2"/>
  <c r="N3760" i="2"/>
  <c r="N3761" i="2"/>
  <c r="N3762" i="2"/>
  <c r="N3763" i="2"/>
  <c r="N3764" i="2"/>
  <c r="N3765" i="2"/>
  <c r="N3766" i="2"/>
  <c r="N3767" i="2"/>
  <c r="N3768" i="2"/>
  <c r="N3769" i="2"/>
  <c r="N3770" i="2"/>
  <c r="N3771" i="2"/>
  <c r="N3772" i="2"/>
  <c r="N3773" i="2"/>
  <c r="N3774" i="2"/>
  <c r="N3775" i="2"/>
  <c r="N3776" i="2"/>
  <c r="N3777" i="2"/>
  <c r="N3778" i="2"/>
  <c r="N3779" i="2"/>
  <c r="N3780" i="2"/>
  <c r="N3781" i="2"/>
  <c r="N3782" i="2"/>
  <c r="N3783" i="2"/>
  <c r="N3784" i="2"/>
  <c r="N3785" i="2"/>
  <c r="N3786" i="2"/>
  <c r="N3787" i="2"/>
  <c r="N3788" i="2"/>
  <c r="N3789" i="2"/>
  <c r="N3790" i="2"/>
  <c r="N3791" i="2"/>
  <c r="N3792" i="2"/>
  <c r="N3793" i="2"/>
  <c r="N3794" i="2"/>
  <c r="N3795" i="2"/>
  <c r="N3796" i="2"/>
  <c r="N3797" i="2"/>
  <c r="N3798" i="2"/>
  <c r="N3799" i="2"/>
  <c r="N3800" i="2"/>
  <c r="N3801" i="2"/>
  <c r="N3802" i="2"/>
  <c r="N3803" i="2"/>
  <c r="N3804" i="2"/>
  <c r="N3805" i="2"/>
  <c r="N3806" i="2"/>
  <c r="N3807" i="2"/>
  <c r="N3808" i="2"/>
  <c r="N3809" i="2"/>
  <c r="N3810" i="2"/>
  <c r="N3811" i="2"/>
  <c r="N3812" i="2"/>
  <c r="N3813" i="2"/>
  <c r="N3814" i="2"/>
  <c r="N3815" i="2"/>
  <c r="N3816" i="2"/>
  <c r="N3817" i="2"/>
  <c r="N3818" i="2"/>
  <c r="N3819" i="2"/>
  <c r="N3820" i="2"/>
  <c r="N3821" i="2"/>
  <c r="N3822" i="2"/>
  <c r="N3823" i="2"/>
  <c r="N3824" i="2"/>
  <c r="N3825" i="2"/>
  <c r="N3826" i="2"/>
  <c r="N3827" i="2"/>
  <c r="N3828" i="2"/>
  <c r="N3829" i="2"/>
  <c r="N3830" i="2"/>
  <c r="N3831" i="2"/>
  <c r="N3832" i="2"/>
  <c r="N3833" i="2"/>
  <c r="N3834" i="2"/>
  <c r="N3835" i="2"/>
  <c r="N3836" i="2"/>
  <c r="N3837" i="2"/>
  <c r="N3838" i="2"/>
  <c r="N3839" i="2"/>
  <c r="N3840" i="2"/>
  <c r="N3841" i="2"/>
  <c r="N3842" i="2"/>
  <c r="N3843" i="2"/>
  <c r="N3844" i="2"/>
  <c r="N3845" i="2"/>
  <c r="N3846" i="2"/>
  <c r="N3847" i="2"/>
  <c r="N3848" i="2"/>
  <c r="N3849" i="2"/>
  <c r="N3850" i="2"/>
  <c r="N3851" i="2"/>
  <c r="N3852" i="2"/>
  <c r="N3853" i="2"/>
  <c r="N3854" i="2"/>
  <c r="N3855" i="2"/>
  <c r="N3856" i="2"/>
  <c r="N3857" i="2"/>
  <c r="N3858" i="2"/>
  <c r="N3859" i="2"/>
  <c r="N3860" i="2"/>
  <c r="N3861" i="2"/>
  <c r="N3862" i="2"/>
  <c r="N3863" i="2"/>
  <c r="N3864" i="2"/>
  <c r="N3865" i="2"/>
  <c r="N3866" i="2"/>
  <c r="N3867" i="2"/>
  <c r="N3868" i="2"/>
  <c r="N3869" i="2"/>
  <c r="N3870" i="2"/>
  <c r="N3871" i="2"/>
  <c r="N3872" i="2"/>
  <c r="N3873" i="2"/>
  <c r="N3874" i="2"/>
  <c r="N3875" i="2"/>
  <c r="N3876" i="2"/>
  <c r="N3877" i="2"/>
  <c r="N3878" i="2"/>
  <c r="N3879" i="2"/>
  <c r="N3880" i="2"/>
  <c r="N3881" i="2"/>
  <c r="N3882" i="2"/>
  <c r="N3883" i="2"/>
  <c r="N3884" i="2"/>
  <c r="N3885" i="2"/>
  <c r="N3886" i="2"/>
  <c r="N3887" i="2"/>
  <c r="N3888" i="2"/>
  <c r="N3889" i="2"/>
  <c r="N3890" i="2"/>
  <c r="N3891" i="2"/>
  <c r="N3892" i="2"/>
  <c r="N3893" i="2"/>
  <c r="N3894" i="2"/>
  <c r="N3895" i="2"/>
  <c r="N3896" i="2"/>
  <c r="N3897" i="2"/>
  <c r="N3898" i="2"/>
  <c r="N3899" i="2"/>
  <c r="N3900" i="2"/>
  <c r="N3901" i="2"/>
  <c r="N3902" i="2"/>
  <c r="N3903" i="2"/>
  <c r="N3904" i="2"/>
  <c r="N3905" i="2"/>
  <c r="N3906" i="2"/>
  <c r="N3907" i="2"/>
  <c r="N3908" i="2"/>
  <c r="N3909" i="2"/>
  <c r="N3910" i="2"/>
  <c r="N3911" i="2"/>
  <c r="N3912" i="2"/>
  <c r="N3913" i="2"/>
  <c r="N3914" i="2"/>
  <c r="N3915" i="2"/>
  <c r="N3916" i="2"/>
  <c r="N3917" i="2"/>
  <c r="N3918" i="2"/>
  <c r="N3919" i="2"/>
  <c r="N3920" i="2"/>
  <c r="N3921" i="2"/>
  <c r="N3922" i="2"/>
  <c r="N3923" i="2"/>
  <c r="N3924" i="2"/>
  <c r="N3925" i="2"/>
  <c r="N3926" i="2"/>
  <c r="N3927" i="2"/>
  <c r="N3928" i="2"/>
  <c r="N3929" i="2"/>
  <c r="N3930" i="2"/>
  <c r="N3931" i="2"/>
  <c r="N3932" i="2"/>
  <c r="N3933" i="2"/>
  <c r="N3934" i="2"/>
  <c r="N3935" i="2"/>
  <c r="N3936" i="2"/>
  <c r="N3937" i="2"/>
  <c r="N3938" i="2"/>
  <c r="N3939" i="2"/>
  <c r="N3940" i="2"/>
  <c r="N3941" i="2"/>
  <c r="N3942" i="2"/>
  <c r="N3943" i="2"/>
  <c r="N3944" i="2"/>
  <c r="N3945" i="2"/>
  <c r="N3946" i="2"/>
  <c r="N3947" i="2"/>
  <c r="N3948" i="2"/>
  <c r="N3949" i="2"/>
  <c r="N3950" i="2"/>
  <c r="N3951" i="2"/>
  <c r="N3952" i="2"/>
  <c r="N3953" i="2"/>
  <c r="N3954" i="2"/>
  <c r="N3955" i="2"/>
  <c r="N3956" i="2"/>
  <c r="N3957" i="2"/>
  <c r="N3958" i="2"/>
  <c r="N3959" i="2"/>
  <c r="N3960" i="2"/>
  <c r="N3961" i="2"/>
  <c r="N3962" i="2"/>
  <c r="N3963" i="2"/>
  <c r="N3964" i="2"/>
  <c r="N3965" i="2"/>
  <c r="N3966" i="2"/>
  <c r="N3967" i="2"/>
  <c r="N3968" i="2"/>
  <c r="N3969" i="2"/>
  <c r="N3970" i="2"/>
  <c r="N3971" i="2"/>
  <c r="N3972" i="2"/>
  <c r="N3973" i="2"/>
  <c r="N3974" i="2"/>
  <c r="N3975" i="2"/>
  <c r="N3976" i="2"/>
  <c r="N3977" i="2"/>
  <c r="N3978" i="2"/>
  <c r="N3979" i="2"/>
  <c r="N3980" i="2"/>
  <c r="N3981" i="2"/>
  <c r="N3982" i="2"/>
  <c r="N3983" i="2"/>
  <c r="N3984" i="2"/>
  <c r="N3985" i="2"/>
  <c r="N3986" i="2"/>
  <c r="N3987" i="2"/>
  <c r="N3988" i="2"/>
  <c r="N3989" i="2"/>
  <c r="N3990" i="2"/>
  <c r="N3991" i="2"/>
  <c r="N3992" i="2"/>
  <c r="N3993" i="2"/>
  <c r="N3994" i="2"/>
  <c r="N3995" i="2"/>
  <c r="N3996" i="2"/>
  <c r="N3997" i="2"/>
  <c r="N3998" i="2"/>
  <c r="N3999" i="2"/>
  <c r="N4000" i="2"/>
  <c r="N4001" i="2"/>
  <c r="N4002" i="2"/>
  <c r="N4003" i="2"/>
  <c r="N4004" i="2"/>
  <c r="N4005" i="2"/>
  <c r="N4006" i="2"/>
  <c r="N4007" i="2"/>
  <c r="N4008" i="2"/>
  <c r="N4009" i="2"/>
  <c r="N4010" i="2"/>
  <c r="N4011" i="2"/>
  <c r="N4012" i="2"/>
  <c r="N4013" i="2"/>
  <c r="N4014" i="2"/>
  <c r="N4015" i="2"/>
  <c r="N4016" i="2"/>
  <c r="N4017" i="2"/>
  <c r="N4018" i="2"/>
  <c r="N4019" i="2"/>
  <c r="N4020" i="2"/>
  <c r="N4021" i="2"/>
  <c r="N4022" i="2"/>
  <c r="N4023" i="2"/>
  <c r="N4024" i="2"/>
  <c r="N4025" i="2"/>
  <c r="N4026" i="2"/>
  <c r="N4027" i="2"/>
  <c r="N4028" i="2"/>
  <c r="N4029" i="2"/>
  <c r="N4030" i="2"/>
  <c r="N4031" i="2"/>
  <c r="N4032" i="2"/>
  <c r="N4033" i="2"/>
  <c r="N4034" i="2"/>
  <c r="N4035" i="2"/>
  <c r="N4036" i="2"/>
  <c r="N4037" i="2"/>
  <c r="N4038" i="2"/>
  <c r="N4039" i="2"/>
  <c r="N4040" i="2"/>
  <c r="N4041" i="2"/>
  <c r="N4042" i="2"/>
  <c r="N4043" i="2"/>
  <c r="N4044" i="2"/>
  <c r="N4045" i="2"/>
  <c r="N4046" i="2"/>
  <c r="N4047" i="2"/>
  <c r="N4048" i="2"/>
  <c r="N4049" i="2"/>
  <c r="N4050" i="2"/>
  <c r="N4051" i="2"/>
  <c r="N4052" i="2"/>
  <c r="N4053" i="2"/>
  <c r="N4054" i="2"/>
  <c r="N4055" i="2"/>
  <c r="N4056" i="2"/>
  <c r="N4057" i="2"/>
  <c r="N4058" i="2"/>
  <c r="N4059" i="2"/>
  <c r="N4060" i="2"/>
  <c r="N4061" i="2"/>
  <c r="N4062" i="2"/>
  <c r="N4063" i="2"/>
  <c r="N4064" i="2"/>
  <c r="N4065" i="2"/>
  <c r="N4066" i="2"/>
  <c r="N4067" i="2"/>
  <c r="N4068" i="2"/>
  <c r="N4069" i="2"/>
  <c r="N4070" i="2"/>
  <c r="N4071" i="2"/>
  <c r="N4072" i="2"/>
  <c r="N4073" i="2"/>
  <c r="N4074" i="2"/>
  <c r="N4075" i="2"/>
  <c r="N4076" i="2"/>
  <c r="N4077" i="2"/>
  <c r="N4078" i="2"/>
  <c r="N4079" i="2"/>
  <c r="N4080" i="2"/>
  <c r="N4081" i="2"/>
  <c r="N4082" i="2"/>
  <c r="N4083" i="2"/>
  <c r="N4084" i="2"/>
  <c r="N4085" i="2"/>
  <c r="N4086" i="2"/>
  <c r="N4087" i="2"/>
  <c r="N4088" i="2"/>
  <c r="N4089" i="2"/>
  <c r="N4090" i="2"/>
  <c r="N4091" i="2"/>
  <c r="N4092" i="2"/>
  <c r="N4093" i="2"/>
  <c r="N4094" i="2"/>
  <c r="N4095" i="2"/>
  <c r="N4096" i="2"/>
  <c r="N4097" i="2"/>
  <c r="N4098" i="2"/>
  <c r="N4099" i="2"/>
  <c r="N4100" i="2"/>
  <c r="N4101" i="2"/>
  <c r="N4102" i="2"/>
  <c r="N4103" i="2"/>
  <c r="N4104" i="2"/>
  <c r="N4105" i="2"/>
  <c r="N4106" i="2"/>
  <c r="N4107" i="2"/>
  <c r="N4108" i="2"/>
  <c r="N4109" i="2"/>
  <c r="N4110" i="2"/>
  <c r="N4111" i="2"/>
  <c r="N4112" i="2"/>
  <c r="N4113" i="2"/>
  <c r="N4114" i="2"/>
  <c r="N4115" i="2"/>
  <c r="N4116" i="2"/>
  <c r="N4117" i="2"/>
  <c r="N4118" i="2"/>
  <c r="N4119" i="2"/>
  <c r="N4120" i="2"/>
  <c r="N4121" i="2"/>
  <c r="N4122" i="2"/>
  <c r="N4123" i="2"/>
  <c r="N4124" i="2"/>
  <c r="N4125" i="2"/>
  <c r="N4126" i="2"/>
  <c r="N4127" i="2"/>
  <c r="N4128" i="2"/>
  <c r="N4129" i="2"/>
  <c r="N4130" i="2"/>
  <c r="N4131" i="2"/>
  <c r="N4132" i="2"/>
  <c r="N4133" i="2"/>
  <c r="N4134" i="2"/>
  <c r="N4135" i="2"/>
  <c r="N4136" i="2"/>
  <c r="N4137" i="2"/>
  <c r="N4138" i="2"/>
  <c r="N4139" i="2"/>
  <c r="N4140" i="2"/>
  <c r="N4141" i="2"/>
  <c r="N4142" i="2"/>
  <c r="N4143" i="2"/>
  <c r="N4144" i="2"/>
  <c r="N4145" i="2"/>
  <c r="N4146" i="2"/>
  <c r="N4147" i="2"/>
  <c r="N4148" i="2"/>
  <c r="N4149" i="2"/>
  <c r="N4150" i="2"/>
  <c r="N4151" i="2"/>
  <c r="N4152" i="2"/>
  <c r="N4153" i="2"/>
  <c r="N4154" i="2"/>
  <c r="N4155" i="2"/>
  <c r="N4156" i="2"/>
  <c r="N4157" i="2"/>
  <c r="N4158" i="2"/>
  <c r="N4159" i="2"/>
  <c r="N4160" i="2"/>
  <c r="N4161" i="2"/>
  <c r="N4162" i="2"/>
  <c r="N4163" i="2"/>
  <c r="N4164" i="2"/>
  <c r="N4165" i="2"/>
  <c r="N4166" i="2"/>
  <c r="N4167" i="2"/>
  <c r="N4168" i="2"/>
  <c r="N4169" i="2"/>
  <c r="N4170" i="2"/>
  <c r="N4171" i="2"/>
  <c r="N4172" i="2"/>
  <c r="N4173" i="2"/>
  <c r="N4174" i="2"/>
  <c r="N4175" i="2"/>
  <c r="N4176" i="2"/>
  <c r="N4177" i="2"/>
  <c r="N4178" i="2"/>
  <c r="N4179" i="2"/>
  <c r="N4180" i="2"/>
  <c r="N4181" i="2"/>
  <c r="N4182" i="2"/>
  <c r="N4183" i="2"/>
  <c r="N4184" i="2"/>
  <c r="N4185" i="2"/>
  <c r="N4186" i="2"/>
  <c r="N4187" i="2"/>
  <c r="N4188" i="2"/>
  <c r="N4189" i="2"/>
  <c r="N4190" i="2"/>
  <c r="N4191" i="2"/>
  <c r="N4192" i="2"/>
  <c r="N4193" i="2"/>
  <c r="N4194" i="2"/>
  <c r="N4195" i="2"/>
  <c r="N4196" i="2"/>
  <c r="N4197" i="2"/>
  <c r="N4198" i="2"/>
  <c r="N4199" i="2"/>
  <c r="N4200" i="2"/>
  <c r="N4201" i="2"/>
  <c r="N4202" i="2"/>
  <c r="N4203" i="2"/>
  <c r="N4204" i="2"/>
  <c r="N4205" i="2"/>
  <c r="N4206" i="2"/>
  <c r="N4207" i="2"/>
  <c r="N4208" i="2"/>
  <c r="N4209" i="2"/>
  <c r="N4210" i="2"/>
  <c r="N4211" i="2"/>
  <c r="N4212" i="2"/>
  <c r="N4213" i="2"/>
  <c r="N4214" i="2"/>
  <c r="N4215" i="2"/>
  <c r="N4216" i="2"/>
  <c r="N4217" i="2"/>
  <c r="N4218" i="2"/>
  <c r="N4219" i="2"/>
  <c r="N4220" i="2"/>
  <c r="N4221" i="2"/>
  <c r="N4222" i="2"/>
  <c r="N4223" i="2"/>
  <c r="N4224" i="2"/>
  <c r="N4225" i="2"/>
  <c r="N4226" i="2"/>
  <c r="N4227" i="2"/>
  <c r="N4228" i="2"/>
  <c r="N4229" i="2"/>
  <c r="N4230" i="2"/>
  <c r="N4231" i="2"/>
  <c r="N4232" i="2"/>
  <c r="N4233" i="2"/>
  <c r="N4234" i="2"/>
  <c r="N4235" i="2"/>
  <c r="N4236" i="2"/>
  <c r="N4237" i="2"/>
  <c r="N4238" i="2"/>
  <c r="N4239" i="2"/>
  <c r="N4240" i="2"/>
  <c r="N4241" i="2"/>
  <c r="N4242" i="2"/>
  <c r="N4243" i="2"/>
  <c r="N4244" i="2"/>
  <c r="N4245" i="2"/>
  <c r="N4246" i="2"/>
  <c r="N4247" i="2"/>
  <c r="N4248" i="2"/>
  <c r="N4249" i="2"/>
  <c r="N4250" i="2"/>
  <c r="N4251" i="2"/>
  <c r="N4252" i="2"/>
  <c r="N4253" i="2"/>
  <c r="N4254" i="2"/>
  <c r="N4255" i="2"/>
  <c r="N4256" i="2"/>
  <c r="N4257" i="2"/>
  <c r="N4258" i="2"/>
  <c r="N4259" i="2"/>
  <c r="N4260" i="2"/>
  <c r="N4261" i="2"/>
  <c r="N4262" i="2"/>
  <c r="N4263" i="2"/>
  <c r="N4264" i="2"/>
  <c r="N4265" i="2"/>
  <c r="N4266" i="2"/>
  <c r="N4267" i="2"/>
  <c r="N4268" i="2"/>
  <c r="N4269" i="2"/>
  <c r="N4270" i="2"/>
  <c r="N4271" i="2"/>
  <c r="N4272" i="2"/>
  <c r="N4273" i="2"/>
  <c r="N4274" i="2"/>
  <c r="N4275" i="2"/>
  <c r="N4276" i="2"/>
  <c r="N4277" i="2"/>
  <c r="N4278" i="2"/>
  <c r="N4279" i="2"/>
  <c r="N4280" i="2"/>
  <c r="N4281" i="2"/>
  <c r="N4282" i="2"/>
  <c r="N4283" i="2"/>
  <c r="N4284" i="2"/>
  <c r="N4285" i="2"/>
  <c r="N4286" i="2"/>
  <c r="N4287" i="2"/>
  <c r="N4288" i="2"/>
  <c r="N4289" i="2"/>
  <c r="N4290" i="2"/>
  <c r="N4291" i="2"/>
  <c r="N4292" i="2"/>
  <c r="N4293" i="2"/>
  <c r="N4294" i="2"/>
  <c r="N4295" i="2"/>
  <c r="N4296" i="2"/>
  <c r="N4297" i="2"/>
  <c r="N4298" i="2"/>
  <c r="N4299" i="2"/>
  <c r="N4300" i="2"/>
  <c r="N4301" i="2"/>
  <c r="N4302" i="2"/>
  <c r="N4303" i="2"/>
  <c r="N4304" i="2"/>
  <c r="N4305" i="2"/>
  <c r="N4306" i="2"/>
  <c r="N4307" i="2"/>
  <c r="N4308" i="2"/>
  <c r="N4309" i="2"/>
  <c r="N4310" i="2"/>
  <c r="N4311" i="2"/>
  <c r="N4312" i="2"/>
  <c r="N4313" i="2"/>
  <c r="N4314" i="2"/>
  <c r="N4315" i="2"/>
  <c r="N4316" i="2"/>
  <c r="N4317" i="2"/>
  <c r="N4318" i="2"/>
  <c r="N4319" i="2"/>
  <c r="N4320" i="2"/>
  <c r="N4321" i="2"/>
  <c r="N4322" i="2"/>
  <c r="N4323" i="2"/>
  <c r="N4324" i="2"/>
  <c r="N4325" i="2"/>
  <c r="N4326" i="2"/>
  <c r="N4327" i="2"/>
  <c r="N4328" i="2"/>
  <c r="N4329" i="2"/>
  <c r="N4330" i="2"/>
  <c r="N4331" i="2"/>
  <c r="N4332" i="2"/>
  <c r="N4333" i="2"/>
  <c r="N4334" i="2"/>
  <c r="N4335" i="2"/>
  <c r="N4336" i="2"/>
  <c r="N4337" i="2"/>
  <c r="N4338" i="2"/>
  <c r="N4339" i="2"/>
  <c r="N4340" i="2"/>
  <c r="N4341" i="2"/>
  <c r="N4342" i="2"/>
  <c r="N4343" i="2"/>
  <c r="N4344" i="2"/>
  <c r="N4345" i="2"/>
  <c r="N4346" i="2"/>
  <c r="N4347" i="2"/>
  <c r="N4348" i="2"/>
  <c r="N4349" i="2"/>
  <c r="N4350" i="2"/>
  <c r="N4351" i="2"/>
  <c r="N4352" i="2"/>
  <c r="N4353" i="2"/>
  <c r="N4354" i="2"/>
  <c r="N4355" i="2"/>
  <c r="N4356" i="2"/>
  <c r="N4357" i="2"/>
  <c r="N4358" i="2"/>
  <c r="N4359" i="2"/>
  <c r="N4360" i="2"/>
  <c r="N4361" i="2"/>
  <c r="N4362" i="2"/>
  <c r="N4363" i="2"/>
  <c r="N4364" i="2"/>
  <c r="N4365" i="2"/>
  <c r="N4366" i="2"/>
  <c r="N4367" i="2"/>
  <c r="N4368" i="2"/>
  <c r="N4369" i="2"/>
  <c r="N4370" i="2"/>
  <c r="N4371" i="2"/>
  <c r="N4372" i="2"/>
  <c r="N4373" i="2"/>
  <c r="N4374" i="2"/>
  <c r="N4375" i="2"/>
  <c r="N4376" i="2"/>
  <c r="N4377" i="2"/>
  <c r="N4378" i="2"/>
  <c r="N4379" i="2"/>
  <c r="N4380" i="2"/>
  <c r="N4381" i="2"/>
  <c r="N4382" i="2"/>
  <c r="N4383" i="2"/>
  <c r="N4384" i="2"/>
  <c r="N4385" i="2"/>
  <c r="N4386" i="2"/>
  <c r="N4387" i="2"/>
  <c r="N4388" i="2"/>
  <c r="N4389" i="2"/>
  <c r="N4390" i="2"/>
  <c r="N4391" i="2"/>
  <c r="N4392" i="2"/>
  <c r="N4393" i="2"/>
  <c r="N4394" i="2"/>
  <c r="N4395" i="2"/>
  <c r="N4396" i="2"/>
  <c r="N4397" i="2"/>
  <c r="N4398" i="2"/>
  <c r="N4399" i="2"/>
  <c r="N4400" i="2"/>
  <c r="N4401" i="2"/>
  <c r="N4402" i="2"/>
  <c r="N4403" i="2"/>
  <c r="N4404" i="2"/>
  <c r="N4405" i="2"/>
  <c r="N4406" i="2"/>
  <c r="N4407" i="2"/>
  <c r="N4408" i="2"/>
  <c r="N4409" i="2"/>
  <c r="N4410" i="2"/>
  <c r="N4411" i="2"/>
  <c r="N4412" i="2"/>
  <c r="N4413" i="2"/>
  <c r="N4414" i="2"/>
  <c r="N4415" i="2"/>
  <c r="N4416" i="2"/>
  <c r="N4417" i="2"/>
  <c r="N4418" i="2"/>
  <c r="N4419" i="2"/>
  <c r="N4420" i="2"/>
  <c r="N4421" i="2"/>
  <c r="N4422" i="2"/>
  <c r="N4423" i="2"/>
  <c r="N4424" i="2"/>
  <c r="N4425" i="2"/>
  <c r="N4426" i="2"/>
  <c r="N4427" i="2"/>
  <c r="N4428" i="2"/>
  <c r="N4429" i="2"/>
  <c r="N4430" i="2"/>
  <c r="N4431" i="2"/>
  <c r="N4432" i="2"/>
  <c r="N4433" i="2"/>
  <c r="N4434" i="2"/>
  <c r="N4435" i="2"/>
  <c r="N4436" i="2"/>
  <c r="N4437" i="2"/>
  <c r="N4438" i="2"/>
  <c r="N4439" i="2"/>
  <c r="N4440" i="2"/>
  <c r="N4441" i="2"/>
  <c r="N4442" i="2"/>
  <c r="N4443" i="2"/>
  <c r="N4444" i="2"/>
  <c r="N4445" i="2"/>
  <c r="N4446" i="2"/>
  <c r="N4447" i="2"/>
  <c r="N4448" i="2"/>
  <c r="N4449" i="2"/>
  <c r="N4450" i="2"/>
  <c r="N4451" i="2"/>
  <c r="N4452" i="2"/>
  <c r="N4453" i="2"/>
  <c r="N4454" i="2"/>
  <c r="N4455" i="2"/>
  <c r="N4456" i="2"/>
  <c r="N4457" i="2"/>
  <c r="N4458" i="2"/>
  <c r="N4459" i="2"/>
  <c r="N4460" i="2"/>
  <c r="N4461" i="2"/>
  <c r="N4462" i="2"/>
  <c r="N4463" i="2"/>
  <c r="N4464" i="2"/>
  <c r="N4465" i="2"/>
  <c r="N4466" i="2"/>
  <c r="N4467" i="2"/>
  <c r="N4468" i="2"/>
  <c r="N4469" i="2"/>
  <c r="N4470" i="2"/>
  <c r="N4471" i="2"/>
  <c r="N4472" i="2"/>
  <c r="N4473" i="2"/>
  <c r="N4474" i="2"/>
  <c r="N4475" i="2"/>
  <c r="N4476" i="2"/>
  <c r="N4477" i="2"/>
  <c r="N4478" i="2"/>
  <c r="N4479" i="2"/>
  <c r="N4480" i="2"/>
  <c r="N4481" i="2"/>
  <c r="N4482" i="2"/>
  <c r="N4483" i="2"/>
  <c r="N4484" i="2"/>
  <c r="N4485" i="2"/>
  <c r="N4486" i="2"/>
  <c r="N4487" i="2"/>
  <c r="N4488" i="2"/>
  <c r="N4489" i="2"/>
  <c r="N4490" i="2"/>
  <c r="N4491" i="2"/>
  <c r="N4492" i="2"/>
  <c r="N4493" i="2"/>
  <c r="N4494" i="2"/>
  <c r="N4495" i="2"/>
  <c r="N4496" i="2"/>
  <c r="N4497" i="2"/>
  <c r="N4498" i="2"/>
  <c r="N4499" i="2"/>
  <c r="N4500" i="2"/>
  <c r="N4501" i="2"/>
  <c r="N4502" i="2"/>
  <c r="N4503" i="2"/>
  <c r="N4504" i="2"/>
  <c r="N4505" i="2"/>
  <c r="N4506" i="2"/>
  <c r="N4507" i="2"/>
  <c r="N4508" i="2"/>
  <c r="N4509" i="2"/>
  <c r="N4510" i="2"/>
  <c r="N4511" i="2"/>
  <c r="N4512" i="2"/>
  <c r="N4513" i="2"/>
  <c r="N4514" i="2"/>
  <c r="N4515" i="2"/>
  <c r="N4516" i="2"/>
  <c r="N4517" i="2"/>
  <c r="N4518" i="2"/>
  <c r="N4519" i="2"/>
  <c r="N4520" i="2"/>
  <c r="N4521" i="2"/>
  <c r="N4522" i="2"/>
  <c r="N4523" i="2"/>
  <c r="N4524" i="2"/>
  <c r="N4525" i="2"/>
  <c r="N4526" i="2"/>
  <c r="N4527" i="2"/>
  <c r="N4528" i="2"/>
  <c r="N4529" i="2"/>
  <c r="N4530" i="2"/>
  <c r="N4531" i="2"/>
  <c r="N4532" i="2"/>
  <c r="N4533" i="2"/>
  <c r="N4534" i="2"/>
  <c r="N4535" i="2"/>
  <c r="N4536" i="2"/>
  <c r="N4537" i="2"/>
  <c r="N4538" i="2"/>
  <c r="N4539" i="2"/>
  <c r="N4540" i="2"/>
  <c r="N4541" i="2"/>
  <c r="N4542" i="2"/>
  <c r="N4543" i="2"/>
  <c r="N4544" i="2"/>
  <c r="N4545" i="2"/>
  <c r="N4546" i="2"/>
  <c r="N4547" i="2"/>
  <c r="N4548" i="2"/>
  <c r="N4549" i="2"/>
  <c r="N4550" i="2"/>
  <c r="N4551" i="2"/>
  <c r="N4552" i="2"/>
  <c r="N4553" i="2"/>
  <c r="N4554" i="2"/>
  <c r="N4555" i="2"/>
  <c r="N4556" i="2"/>
  <c r="N4557" i="2"/>
  <c r="N4558" i="2"/>
  <c r="N4559" i="2"/>
  <c r="N4560" i="2"/>
  <c r="N4561" i="2"/>
  <c r="N4562" i="2"/>
  <c r="N4563" i="2"/>
  <c r="N4564" i="2"/>
  <c r="N4565" i="2"/>
  <c r="N4566" i="2"/>
  <c r="N4567" i="2"/>
  <c r="N4568" i="2"/>
  <c r="N4569" i="2"/>
  <c r="N4570" i="2"/>
  <c r="N4571" i="2"/>
  <c r="N4572" i="2"/>
  <c r="N4573" i="2"/>
  <c r="N4574" i="2"/>
  <c r="N4575" i="2"/>
  <c r="N4576" i="2"/>
  <c r="N4577" i="2"/>
  <c r="N4578" i="2"/>
  <c r="N4579" i="2"/>
  <c r="N4580" i="2"/>
  <c r="N4581" i="2"/>
  <c r="N4582" i="2"/>
  <c r="N4583" i="2"/>
  <c r="N4584" i="2"/>
  <c r="N4585" i="2"/>
  <c r="N4586" i="2"/>
  <c r="N4587" i="2"/>
  <c r="N4588" i="2"/>
  <c r="N4589" i="2"/>
  <c r="N4590" i="2"/>
  <c r="N4591" i="2"/>
  <c r="N4592" i="2"/>
  <c r="N4593" i="2"/>
  <c r="N4594" i="2"/>
  <c r="N4595" i="2"/>
  <c r="N4596" i="2"/>
  <c r="N4597" i="2"/>
  <c r="N4598" i="2"/>
  <c r="N4599" i="2"/>
  <c r="N4600" i="2"/>
  <c r="N4601" i="2"/>
  <c r="N4602" i="2"/>
  <c r="N4603" i="2"/>
  <c r="N4604" i="2"/>
  <c r="N4605" i="2"/>
  <c r="N4606" i="2"/>
  <c r="N4607" i="2"/>
  <c r="N4608" i="2"/>
  <c r="N4609" i="2"/>
  <c r="N4610" i="2"/>
  <c r="N4611" i="2"/>
  <c r="N4612" i="2"/>
  <c r="N4613" i="2"/>
  <c r="N4614" i="2"/>
  <c r="N4615" i="2"/>
  <c r="N4616" i="2"/>
  <c r="N4617" i="2"/>
  <c r="N4618" i="2"/>
  <c r="N4619" i="2"/>
  <c r="N4620" i="2"/>
  <c r="N4621" i="2"/>
  <c r="N4622" i="2"/>
  <c r="N4623" i="2"/>
  <c r="N4624" i="2"/>
  <c r="N4625" i="2"/>
  <c r="N4626" i="2"/>
  <c r="N4627" i="2"/>
  <c r="N4628" i="2"/>
  <c r="N4629" i="2"/>
  <c r="N4630" i="2"/>
  <c r="N4631" i="2"/>
  <c r="N4632" i="2"/>
  <c r="N4633" i="2"/>
  <c r="N4634" i="2"/>
  <c r="N4635" i="2"/>
  <c r="N4636" i="2"/>
  <c r="N4637" i="2"/>
  <c r="N4638" i="2"/>
  <c r="N4639" i="2"/>
  <c r="N4640" i="2"/>
  <c r="N4641" i="2"/>
  <c r="N4642" i="2"/>
  <c r="N4643" i="2"/>
  <c r="N4644" i="2"/>
  <c r="N4645" i="2"/>
  <c r="N4646" i="2"/>
  <c r="N4647" i="2"/>
  <c r="N4648" i="2"/>
  <c r="N4649" i="2"/>
  <c r="N4650" i="2"/>
  <c r="N4651" i="2"/>
  <c r="N4652" i="2"/>
  <c r="N4653" i="2"/>
  <c r="N4654" i="2"/>
  <c r="N4655" i="2"/>
  <c r="N4656" i="2"/>
  <c r="N4657" i="2"/>
  <c r="N4658" i="2"/>
  <c r="N4659" i="2"/>
  <c r="N4660" i="2"/>
  <c r="N4661" i="2"/>
  <c r="N4662" i="2"/>
  <c r="N4663" i="2"/>
  <c r="N4664" i="2"/>
  <c r="N4665" i="2"/>
  <c r="N4666" i="2"/>
  <c r="N4667" i="2"/>
  <c r="N4668" i="2"/>
  <c r="N4669" i="2"/>
  <c r="N4670" i="2"/>
  <c r="N4671" i="2"/>
  <c r="N4672" i="2"/>
  <c r="N4673" i="2"/>
  <c r="N4674" i="2"/>
  <c r="N4675" i="2"/>
  <c r="N4676" i="2"/>
  <c r="N4677" i="2"/>
  <c r="N4678" i="2"/>
  <c r="N4679" i="2"/>
  <c r="N4680" i="2"/>
  <c r="N4681" i="2"/>
  <c r="N4682" i="2"/>
  <c r="N4683" i="2"/>
  <c r="N4684" i="2"/>
  <c r="N4685" i="2"/>
  <c r="N4686" i="2"/>
  <c r="N4687" i="2"/>
  <c r="N4688" i="2"/>
  <c r="N4689" i="2"/>
  <c r="N4690" i="2"/>
  <c r="N4691" i="2"/>
  <c r="N4692" i="2"/>
  <c r="N4693" i="2"/>
  <c r="N4694" i="2"/>
  <c r="N4695" i="2"/>
  <c r="N4696" i="2"/>
  <c r="N4697" i="2"/>
  <c r="N4698" i="2"/>
  <c r="N4699" i="2"/>
  <c r="N4700" i="2"/>
  <c r="N4701" i="2"/>
  <c r="N4702" i="2"/>
  <c r="N4703" i="2"/>
  <c r="N4704" i="2"/>
  <c r="N4705" i="2"/>
  <c r="N4706" i="2"/>
  <c r="N4707" i="2"/>
  <c r="N4708" i="2"/>
  <c r="N4709" i="2"/>
  <c r="N4710" i="2"/>
  <c r="N4711" i="2"/>
  <c r="N4712" i="2"/>
  <c r="N4713" i="2"/>
  <c r="N4714" i="2"/>
  <c r="N4715" i="2"/>
  <c r="N4716" i="2"/>
  <c r="N4717" i="2"/>
  <c r="N4718" i="2"/>
  <c r="N4719" i="2"/>
  <c r="N4720" i="2"/>
  <c r="N4721" i="2"/>
  <c r="N4722" i="2"/>
  <c r="N4723" i="2"/>
  <c r="N4724" i="2"/>
  <c r="N4725" i="2"/>
  <c r="N4726" i="2"/>
  <c r="N4727" i="2"/>
  <c r="N4728" i="2"/>
  <c r="N4729" i="2"/>
  <c r="N4730" i="2"/>
  <c r="N4731" i="2"/>
  <c r="N4732" i="2"/>
  <c r="N4733" i="2"/>
  <c r="N4734" i="2"/>
  <c r="N4735" i="2"/>
  <c r="N4736" i="2"/>
  <c r="N4737" i="2"/>
  <c r="N4738" i="2"/>
  <c r="N4739" i="2"/>
  <c r="N4740" i="2"/>
  <c r="N4741" i="2"/>
  <c r="N4742" i="2"/>
  <c r="N4743" i="2"/>
  <c r="N4744" i="2"/>
  <c r="N4745" i="2"/>
  <c r="N4746" i="2"/>
  <c r="N4747" i="2"/>
  <c r="N4748" i="2"/>
  <c r="N4749" i="2"/>
  <c r="N4750" i="2"/>
  <c r="N4751" i="2"/>
  <c r="N4752" i="2"/>
  <c r="N4753" i="2"/>
  <c r="N4754" i="2"/>
  <c r="N4755" i="2"/>
  <c r="N4756" i="2"/>
  <c r="N4757" i="2"/>
  <c r="N4758" i="2"/>
  <c r="N4759" i="2"/>
  <c r="N4760" i="2"/>
  <c r="N4761" i="2"/>
  <c r="N4762" i="2"/>
  <c r="N4763" i="2"/>
  <c r="N4764" i="2"/>
  <c r="N4765" i="2"/>
  <c r="N4766" i="2"/>
  <c r="N4767" i="2"/>
  <c r="N4768" i="2"/>
  <c r="N4769" i="2"/>
  <c r="N4770" i="2"/>
  <c r="N4771" i="2"/>
  <c r="N4772" i="2"/>
  <c r="N4773" i="2"/>
  <c r="N4774" i="2"/>
  <c r="N4775" i="2"/>
  <c r="N4776" i="2"/>
  <c r="N4777" i="2"/>
  <c r="N4778" i="2"/>
  <c r="N4779" i="2"/>
  <c r="N4780" i="2"/>
  <c r="N4781" i="2"/>
  <c r="N4782" i="2"/>
  <c r="N4783" i="2"/>
  <c r="N4784" i="2"/>
  <c r="N4785" i="2"/>
  <c r="N4786" i="2"/>
  <c r="N4787" i="2"/>
  <c r="N4788" i="2"/>
  <c r="N4789" i="2"/>
  <c r="N4790" i="2"/>
  <c r="N4791" i="2"/>
  <c r="N4792" i="2"/>
  <c r="N4793" i="2"/>
  <c r="N4794" i="2"/>
  <c r="N4795" i="2"/>
  <c r="N4796" i="2"/>
  <c r="N4797" i="2"/>
  <c r="N4798" i="2"/>
  <c r="N4799" i="2"/>
  <c r="N4800" i="2"/>
  <c r="N4801" i="2"/>
  <c r="N4802" i="2"/>
  <c r="N4803" i="2"/>
  <c r="N4804" i="2"/>
  <c r="N4805" i="2"/>
  <c r="N4806" i="2"/>
  <c r="N4807" i="2"/>
  <c r="N4808" i="2"/>
  <c r="N4809" i="2"/>
  <c r="N4810" i="2"/>
  <c r="N4811" i="2"/>
  <c r="N4812" i="2"/>
  <c r="N4813" i="2"/>
  <c r="N4814" i="2"/>
  <c r="N4815" i="2"/>
  <c r="N4816" i="2"/>
  <c r="N4817" i="2"/>
  <c r="N4818" i="2"/>
  <c r="N4819" i="2"/>
  <c r="N4820" i="2"/>
  <c r="N4821" i="2"/>
  <c r="N4822" i="2"/>
  <c r="N4823" i="2"/>
  <c r="N4824" i="2"/>
  <c r="N4825" i="2"/>
  <c r="N4826" i="2"/>
  <c r="N4827" i="2"/>
  <c r="N4828" i="2"/>
  <c r="N4829" i="2"/>
  <c r="N4830" i="2"/>
  <c r="N4831" i="2"/>
  <c r="N4832" i="2"/>
  <c r="N4833" i="2"/>
  <c r="N4834" i="2"/>
  <c r="N4835" i="2"/>
  <c r="N4836" i="2"/>
  <c r="N4837" i="2"/>
  <c r="N4838" i="2"/>
  <c r="N4839" i="2"/>
  <c r="N4840" i="2"/>
  <c r="N4841" i="2"/>
  <c r="N4842" i="2"/>
  <c r="N4843" i="2"/>
  <c r="N4844" i="2"/>
  <c r="N4845" i="2"/>
  <c r="N4846" i="2"/>
  <c r="N4847" i="2"/>
  <c r="N4848" i="2"/>
  <c r="N4849" i="2"/>
  <c r="N4850" i="2"/>
  <c r="N4851" i="2"/>
  <c r="N4852" i="2"/>
  <c r="N4853" i="2"/>
  <c r="N4854" i="2"/>
  <c r="N4855" i="2"/>
  <c r="N4856" i="2"/>
  <c r="N4857" i="2"/>
  <c r="N4858" i="2"/>
  <c r="N4859" i="2"/>
  <c r="N4860" i="2"/>
  <c r="N4861" i="2"/>
  <c r="N4862" i="2"/>
  <c r="N4863" i="2"/>
  <c r="N4864" i="2"/>
  <c r="N4865" i="2"/>
  <c r="N4866" i="2"/>
  <c r="N4867" i="2"/>
  <c r="N4868" i="2"/>
  <c r="N4869" i="2"/>
  <c r="N4870" i="2"/>
  <c r="N4871" i="2"/>
  <c r="N4872" i="2"/>
  <c r="N4873" i="2"/>
  <c r="N4874" i="2"/>
  <c r="N4875" i="2"/>
  <c r="N4876" i="2"/>
  <c r="N4877" i="2"/>
  <c r="N4878" i="2"/>
  <c r="N4879" i="2"/>
  <c r="N4880" i="2"/>
  <c r="N4881" i="2"/>
  <c r="N4882" i="2"/>
  <c r="N4883" i="2"/>
  <c r="N4884" i="2"/>
  <c r="N4885" i="2"/>
  <c r="N4886" i="2"/>
  <c r="N4887" i="2"/>
  <c r="N4888" i="2"/>
  <c r="N4889" i="2"/>
  <c r="N4890" i="2"/>
  <c r="N4891" i="2"/>
  <c r="N4892" i="2"/>
  <c r="N4893" i="2"/>
  <c r="N4894" i="2"/>
  <c r="N4895" i="2"/>
  <c r="N4896" i="2"/>
  <c r="N4897" i="2"/>
  <c r="N4898" i="2"/>
  <c r="N4899" i="2"/>
  <c r="N4900" i="2"/>
  <c r="N4901" i="2"/>
  <c r="N4902" i="2"/>
  <c r="N4903" i="2"/>
  <c r="N4904" i="2"/>
  <c r="N4905" i="2"/>
  <c r="N4906" i="2"/>
  <c r="N4907" i="2"/>
  <c r="N4908" i="2"/>
  <c r="N4909" i="2"/>
  <c r="N4910" i="2"/>
  <c r="N4911" i="2"/>
  <c r="N4912" i="2"/>
  <c r="N4913" i="2"/>
  <c r="N4914" i="2"/>
  <c r="N4915" i="2"/>
  <c r="N4916" i="2"/>
  <c r="N4917" i="2"/>
  <c r="N4918" i="2"/>
  <c r="N4919" i="2"/>
  <c r="N4920" i="2"/>
  <c r="N4921" i="2"/>
  <c r="N4922" i="2"/>
  <c r="N4923" i="2"/>
  <c r="N4924" i="2"/>
  <c r="N4925" i="2"/>
  <c r="N4926" i="2"/>
  <c r="N4927" i="2"/>
  <c r="N4928" i="2"/>
  <c r="N4929" i="2"/>
  <c r="N4930" i="2"/>
  <c r="N4931" i="2"/>
  <c r="N4932" i="2"/>
  <c r="N4933" i="2"/>
  <c r="N4934" i="2"/>
  <c r="N4935" i="2"/>
  <c r="N4936" i="2"/>
  <c r="N4937" i="2"/>
  <c r="N4938" i="2"/>
  <c r="N4939" i="2"/>
  <c r="N4940" i="2"/>
  <c r="N4941" i="2"/>
  <c r="N4942" i="2"/>
  <c r="N4943" i="2"/>
  <c r="N4944" i="2"/>
  <c r="N4945" i="2"/>
  <c r="N4946" i="2"/>
  <c r="N4947" i="2"/>
  <c r="N4948" i="2"/>
  <c r="N4949" i="2"/>
  <c r="N4950" i="2"/>
  <c r="N4951" i="2"/>
  <c r="N4952" i="2"/>
  <c r="N4953" i="2"/>
  <c r="N4954" i="2"/>
  <c r="N4955" i="2"/>
  <c r="N4956" i="2"/>
  <c r="N4957" i="2"/>
  <c r="N4958" i="2"/>
  <c r="N4959" i="2"/>
  <c r="N4960" i="2"/>
  <c r="N4961" i="2"/>
  <c r="N4962" i="2"/>
  <c r="N4963" i="2"/>
  <c r="N4964" i="2"/>
  <c r="N4965" i="2"/>
  <c r="N4966" i="2"/>
  <c r="N4967" i="2"/>
  <c r="N4968" i="2"/>
  <c r="N4969" i="2"/>
  <c r="N4970" i="2"/>
  <c r="N4971" i="2"/>
  <c r="N4972" i="2"/>
  <c r="N4973" i="2"/>
  <c r="N4974" i="2"/>
  <c r="N4975" i="2"/>
  <c r="N4976" i="2"/>
  <c r="N4977" i="2"/>
  <c r="N4978" i="2"/>
  <c r="N4979" i="2"/>
  <c r="N4980" i="2"/>
  <c r="N4981" i="2"/>
  <c r="N4982" i="2"/>
  <c r="N4983" i="2"/>
  <c r="N4984" i="2"/>
  <c r="N4985" i="2"/>
  <c r="N4986" i="2"/>
  <c r="N4987" i="2"/>
  <c r="N4988" i="2"/>
  <c r="N4989" i="2"/>
  <c r="N4990" i="2"/>
  <c r="N4991" i="2"/>
  <c r="N4992" i="2"/>
  <c r="N4993" i="2"/>
  <c r="N4994" i="2"/>
  <c r="N4995" i="2"/>
  <c r="N4996" i="2"/>
  <c r="N4997" i="2"/>
  <c r="N4998" i="2"/>
  <c r="N4999" i="2"/>
  <c r="N5000" i="2"/>
  <c r="N5001"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2" i="2"/>
  <c r="O54" i="2"/>
  <c r="O55" i="2"/>
  <c r="O56" i="2"/>
  <c r="O57" i="2"/>
  <c r="O58" i="2"/>
  <c r="O59" i="2"/>
  <c r="O60" i="2"/>
  <c r="O61" i="2"/>
  <c r="O62" i="2"/>
  <c r="O63" i="2"/>
  <c r="O64" i="2"/>
  <c r="O65" i="2"/>
  <c r="O66" i="2"/>
  <c r="O67" i="2"/>
  <c r="O68" i="2"/>
  <c r="O69" i="2"/>
  <c r="O70"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60" i="2"/>
  <c r="O561" i="2"/>
  <c r="O562" i="2"/>
  <c r="O563" i="2"/>
  <c r="O564" i="2"/>
  <c r="O565" i="2"/>
  <c r="O566" i="2"/>
  <c r="O567" i="2"/>
  <c r="O568" i="2"/>
  <c r="O569" i="2"/>
  <c r="O570" i="2"/>
  <c r="O571" i="2"/>
  <c r="O572" i="2"/>
  <c r="O573" i="2"/>
  <c r="O574" i="2"/>
  <c r="O575" i="2"/>
  <c r="O576" i="2"/>
  <c r="O577" i="2"/>
  <c r="O578" i="2"/>
  <c r="O579" i="2"/>
  <c r="O580" i="2"/>
  <c r="O581" i="2"/>
  <c r="O582" i="2"/>
  <c r="O583" i="2"/>
  <c r="O584" i="2"/>
  <c r="O585" i="2"/>
  <c r="O586" i="2"/>
  <c r="O587" i="2"/>
  <c r="O588" i="2"/>
  <c r="O589" i="2"/>
  <c r="O590" i="2"/>
  <c r="O591" i="2"/>
  <c r="O592" i="2"/>
  <c r="O593" i="2"/>
  <c r="O594" i="2"/>
  <c r="O595" i="2"/>
  <c r="O596" i="2"/>
  <c r="O597" i="2"/>
  <c r="O598" i="2"/>
  <c r="O599" i="2"/>
  <c r="O600" i="2"/>
  <c r="O601" i="2"/>
  <c r="O602" i="2"/>
  <c r="O603" i="2"/>
  <c r="O604" i="2"/>
  <c r="O605" i="2"/>
  <c r="O606" i="2"/>
  <c r="O607" i="2"/>
  <c r="O608" i="2"/>
  <c r="O609" i="2"/>
  <c r="O610" i="2"/>
  <c r="O611" i="2"/>
  <c r="O612" i="2"/>
  <c r="O613" i="2"/>
  <c r="O614" i="2"/>
  <c r="O615" i="2"/>
  <c r="O616" i="2"/>
  <c r="O617" i="2"/>
  <c r="O618" i="2"/>
  <c r="O619" i="2"/>
  <c r="O620" i="2"/>
  <c r="O621" i="2"/>
  <c r="O622" i="2"/>
  <c r="O623" i="2"/>
  <c r="O624" i="2"/>
  <c r="O625" i="2"/>
  <c r="O626" i="2"/>
  <c r="O627" i="2"/>
  <c r="O628" i="2"/>
  <c r="O629" i="2"/>
  <c r="O630" i="2"/>
  <c r="O631" i="2"/>
  <c r="O632" i="2"/>
  <c r="O633" i="2"/>
  <c r="O634" i="2"/>
  <c r="O635" i="2"/>
  <c r="O636" i="2"/>
  <c r="O637" i="2"/>
  <c r="O638" i="2"/>
  <c r="O639" i="2"/>
  <c r="O640" i="2"/>
  <c r="O641" i="2"/>
  <c r="O642" i="2"/>
  <c r="O643" i="2"/>
  <c r="O644" i="2"/>
  <c r="O645" i="2"/>
  <c r="O646" i="2"/>
  <c r="O647" i="2"/>
  <c r="O648" i="2"/>
  <c r="O649" i="2"/>
  <c r="O650" i="2"/>
  <c r="O651" i="2"/>
  <c r="O652" i="2"/>
  <c r="O653" i="2"/>
  <c r="O654" i="2"/>
  <c r="O655" i="2"/>
  <c r="O656" i="2"/>
  <c r="O657" i="2"/>
  <c r="O658" i="2"/>
  <c r="O659" i="2"/>
  <c r="O660" i="2"/>
  <c r="O661" i="2"/>
  <c r="O662" i="2"/>
  <c r="O663" i="2"/>
  <c r="O664" i="2"/>
  <c r="O665" i="2"/>
  <c r="O666" i="2"/>
  <c r="O667" i="2"/>
  <c r="O668" i="2"/>
  <c r="O669" i="2"/>
  <c r="O670" i="2"/>
  <c r="O671" i="2"/>
  <c r="O672" i="2"/>
  <c r="O673" i="2"/>
  <c r="O674" i="2"/>
  <c r="O675" i="2"/>
  <c r="O676" i="2"/>
  <c r="O677" i="2"/>
  <c r="O678" i="2"/>
  <c r="O679" i="2"/>
  <c r="O680" i="2"/>
  <c r="O681" i="2"/>
  <c r="O682" i="2"/>
  <c r="O683" i="2"/>
  <c r="O684" i="2"/>
  <c r="O685" i="2"/>
  <c r="O686" i="2"/>
  <c r="O687" i="2"/>
  <c r="O688" i="2"/>
  <c r="O689" i="2"/>
  <c r="O690" i="2"/>
  <c r="O691" i="2"/>
  <c r="O692" i="2"/>
  <c r="O693" i="2"/>
  <c r="O694" i="2"/>
  <c r="O695" i="2"/>
  <c r="O696" i="2"/>
  <c r="O697" i="2"/>
  <c r="O698" i="2"/>
  <c r="O699" i="2"/>
  <c r="O700" i="2"/>
  <c r="O701" i="2"/>
  <c r="O702" i="2"/>
  <c r="O703" i="2"/>
  <c r="O704" i="2"/>
  <c r="O705" i="2"/>
  <c r="O706" i="2"/>
  <c r="O707" i="2"/>
  <c r="O708" i="2"/>
  <c r="O709" i="2"/>
  <c r="O710" i="2"/>
  <c r="O711" i="2"/>
  <c r="O712" i="2"/>
  <c r="O713" i="2"/>
  <c r="O714" i="2"/>
  <c r="O715" i="2"/>
  <c r="O716" i="2"/>
  <c r="O717" i="2"/>
  <c r="O718" i="2"/>
  <c r="O719" i="2"/>
  <c r="O720" i="2"/>
  <c r="O721" i="2"/>
  <c r="O722" i="2"/>
  <c r="O723" i="2"/>
  <c r="O724" i="2"/>
  <c r="O725" i="2"/>
  <c r="O726" i="2"/>
  <c r="O727" i="2"/>
  <c r="O728" i="2"/>
  <c r="O729" i="2"/>
  <c r="O730" i="2"/>
  <c r="O731" i="2"/>
  <c r="O732" i="2"/>
  <c r="O733" i="2"/>
  <c r="O734" i="2"/>
  <c r="O735" i="2"/>
  <c r="O736" i="2"/>
  <c r="O737" i="2"/>
  <c r="O738" i="2"/>
  <c r="O739" i="2"/>
  <c r="O740" i="2"/>
  <c r="O741" i="2"/>
  <c r="O742" i="2"/>
  <c r="O743" i="2"/>
  <c r="O744" i="2"/>
  <c r="O745" i="2"/>
  <c r="O746" i="2"/>
  <c r="O747" i="2"/>
  <c r="O748" i="2"/>
  <c r="O749" i="2"/>
  <c r="O750" i="2"/>
  <c r="O751" i="2"/>
  <c r="O752" i="2"/>
  <c r="O753" i="2"/>
  <c r="O754" i="2"/>
  <c r="O755" i="2"/>
  <c r="O756" i="2"/>
  <c r="O757" i="2"/>
  <c r="O758" i="2"/>
  <c r="O759" i="2"/>
  <c r="O760" i="2"/>
  <c r="O761" i="2"/>
  <c r="O762" i="2"/>
  <c r="O763" i="2"/>
  <c r="O764" i="2"/>
  <c r="O765" i="2"/>
  <c r="O766" i="2"/>
  <c r="O767" i="2"/>
  <c r="O768" i="2"/>
  <c r="O769" i="2"/>
  <c r="O770" i="2"/>
  <c r="O771" i="2"/>
  <c r="O772" i="2"/>
  <c r="O773" i="2"/>
  <c r="O774" i="2"/>
  <c r="O775" i="2"/>
  <c r="O776" i="2"/>
  <c r="O777" i="2"/>
  <c r="O778" i="2"/>
  <c r="O779" i="2"/>
  <c r="O780" i="2"/>
  <c r="O781" i="2"/>
  <c r="O782" i="2"/>
  <c r="O783" i="2"/>
  <c r="O784" i="2"/>
  <c r="O785" i="2"/>
  <c r="O786" i="2"/>
  <c r="O787" i="2"/>
  <c r="O788" i="2"/>
  <c r="O789" i="2"/>
  <c r="O790" i="2"/>
  <c r="O791" i="2"/>
  <c r="O792" i="2"/>
  <c r="O793" i="2"/>
  <c r="O794" i="2"/>
  <c r="O795" i="2"/>
  <c r="O796" i="2"/>
  <c r="O797" i="2"/>
  <c r="O798" i="2"/>
  <c r="O799" i="2"/>
  <c r="O800" i="2"/>
  <c r="O801" i="2"/>
  <c r="O802" i="2"/>
  <c r="O803" i="2"/>
  <c r="O804" i="2"/>
  <c r="O805" i="2"/>
  <c r="O806" i="2"/>
  <c r="O807" i="2"/>
  <c r="O808" i="2"/>
  <c r="O809" i="2"/>
  <c r="O810" i="2"/>
  <c r="O811" i="2"/>
  <c r="O812" i="2"/>
  <c r="O813" i="2"/>
  <c r="O814" i="2"/>
  <c r="O815" i="2"/>
  <c r="O816" i="2"/>
  <c r="O817" i="2"/>
  <c r="O818" i="2"/>
  <c r="O819" i="2"/>
  <c r="O820" i="2"/>
  <c r="O821" i="2"/>
  <c r="O822" i="2"/>
  <c r="O823" i="2"/>
  <c r="O824" i="2"/>
  <c r="O825" i="2"/>
  <c r="O826" i="2"/>
  <c r="O827" i="2"/>
  <c r="O828" i="2"/>
  <c r="O829" i="2"/>
  <c r="O830" i="2"/>
  <c r="O831" i="2"/>
  <c r="O832" i="2"/>
  <c r="O833" i="2"/>
  <c r="O834" i="2"/>
  <c r="O835" i="2"/>
  <c r="O836" i="2"/>
  <c r="O837" i="2"/>
  <c r="O838" i="2"/>
  <c r="O839" i="2"/>
  <c r="O840" i="2"/>
  <c r="O841" i="2"/>
  <c r="O842" i="2"/>
  <c r="O843" i="2"/>
  <c r="O844" i="2"/>
  <c r="O845" i="2"/>
  <c r="O846" i="2"/>
  <c r="O847" i="2"/>
  <c r="O848" i="2"/>
  <c r="O849" i="2"/>
  <c r="O850" i="2"/>
  <c r="O851" i="2"/>
  <c r="O852" i="2"/>
  <c r="O853" i="2"/>
  <c r="O854" i="2"/>
  <c r="O855" i="2"/>
  <c r="O856" i="2"/>
  <c r="O857" i="2"/>
  <c r="O858" i="2"/>
  <c r="O859" i="2"/>
  <c r="O860" i="2"/>
  <c r="O861" i="2"/>
  <c r="O862" i="2"/>
  <c r="O863" i="2"/>
  <c r="O864" i="2"/>
  <c r="O865" i="2"/>
  <c r="O866" i="2"/>
  <c r="O867" i="2"/>
  <c r="O868" i="2"/>
  <c r="O869" i="2"/>
  <c r="O870" i="2"/>
  <c r="O871" i="2"/>
  <c r="O872" i="2"/>
  <c r="O873" i="2"/>
  <c r="O874" i="2"/>
  <c r="O875" i="2"/>
  <c r="O876" i="2"/>
  <c r="O877" i="2"/>
  <c r="O878" i="2"/>
  <c r="O879" i="2"/>
  <c r="O880" i="2"/>
  <c r="O881" i="2"/>
  <c r="O882" i="2"/>
  <c r="O883" i="2"/>
  <c r="O884" i="2"/>
  <c r="O885" i="2"/>
  <c r="O886" i="2"/>
  <c r="O887" i="2"/>
  <c r="O888" i="2"/>
  <c r="O889" i="2"/>
  <c r="O890" i="2"/>
  <c r="O891" i="2"/>
  <c r="O892" i="2"/>
  <c r="O893" i="2"/>
  <c r="O894" i="2"/>
  <c r="O895" i="2"/>
  <c r="O896" i="2"/>
  <c r="O897" i="2"/>
  <c r="O898" i="2"/>
  <c r="O899" i="2"/>
  <c r="O900" i="2"/>
  <c r="O901" i="2"/>
  <c r="O902" i="2"/>
  <c r="O903" i="2"/>
  <c r="O904" i="2"/>
  <c r="O905" i="2"/>
  <c r="O906" i="2"/>
  <c r="O907" i="2"/>
  <c r="O908" i="2"/>
  <c r="O909" i="2"/>
  <c r="O910" i="2"/>
  <c r="O911" i="2"/>
  <c r="O912" i="2"/>
  <c r="O913" i="2"/>
  <c r="O914" i="2"/>
  <c r="O915" i="2"/>
  <c r="O916" i="2"/>
  <c r="O917" i="2"/>
  <c r="O918" i="2"/>
  <c r="O919" i="2"/>
  <c r="O920" i="2"/>
  <c r="O921" i="2"/>
  <c r="O922" i="2"/>
  <c r="O923" i="2"/>
  <c r="O924" i="2"/>
  <c r="O925" i="2"/>
  <c r="O926" i="2"/>
  <c r="O927" i="2"/>
  <c r="O928" i="2"/>
  <c r="O929" i="2"/>
  <c r="O930" i="2"/>
  <c r="O931" i="2"/>
  <c r="O932" i="2"/>
  <c r="O933" i="2"/>
  <c r="O934" i="2"/>
  <c r="O935" i="2"/>
  <c r="O936" i="2"/>
  <c r="O937" i="2"/>
  <c r="O938" i="2"/>
  <c r="O939" i="2"/>
  <c r="O940" i="2"/>
  <c r="O941" i="2"/>
  <c r="O942" i="2"/>
  <c r="O943" i="2"/>
  <c r="O944" i="2"/>
  <c r="O945" i="2"/>
  <c r="O946" i="2"/>
  <c r="O947" i="2"/>
  <c r="O948" i="2"/>
  <c r="O949" i="2"/>
  <c r="O950" i="2"/>
  <c r="O951" i="2"/>
  <c r="O952" i="2"/>
  <c r="O953" i="2"/>
  <c r="O954" i="2"/>
  <c r="O955" i="2"/>
  <c r="O956" i="2"/>
  <c r="O957" i="2"/>
  <c r="O958" i="2"/>
  <c r="O959" i="2"/>
  <c r="O960" i="2"/>
  <c r="O961" i="2"/>
  <c r="O962" i="2"/>
  <c r="O963" i="2"/>
  <c r="O964" i="2"/>
  <c r="O965" i="2"/>
  <c r="O966" i="2"/>
  <c r="O967" i="2"/>
  <c r="O968" i="2"/>
  <c r="O969" i="2"/>
  <c r="O970" i="2"/>
  <c r="O971" i="2"/>
  <c r="O972" i="2"/>
  <c r="O973" i="2"/>
  <c r="O974" i="2"/>
  <c r="O975" i="2"/>
  <c r="O976" i="2"/>
  <c r="O977" i="2"/>
  <c r="O978" i="2"/>
  <c r="O979" i="2"/>
  <c r="O980" i="2"/>
  <c r="O981" i="2"/>
  <c r="O982" i="2"/>
  <c r="O983" i="2"/>
  <c r="O984" i="2"/>
  <c r="O985" i="2"/>
  <c r="O986" i="2"/>
  <c r="O987" i="2"/>
  <c r="O988" i="2"/>
  <c r="O989" i="2"/>
  <c r="O990" i="2"/>
  <c r="O991" i="2"/>
  <c r="O992" i="2"/>
  <c r="O993" i="2"/>
  <c r="O994" i="2"/>
  <c r="O995" i="2"/>
  <c r="O996" i="2"/>
  <c r="O997" i="2"/>
  <c r="O998" i="2"/>
  <c r="O999" i="2"/>
  <c r="O1000" i="2"/>
  <c r="O1001" i="2"/>
  <c r="O1002" i="2"/>
  <c r="O1003" i="2"/>
  <c r="O1004" i="2"/>
  <c r="O1005" i="2"/>
  <c r="O1006" i="2"/>
  <c r="O1007" i="2"/>
  <c r="O1008" i="2"/>
  <c r="O1009" i="2"/>
  <c r="O1010" i="2"/>
  <c r="O1011" i="2"/>
  <c r="O1012" i="2"/>
  <c r="O1013" i="2"/>
  <c r="O1014" i="2"/>
  <c r="O1015" i="2"/>
  <c r="O1016" i="2"/>
  <c r="O1017" i="2"/>
  <c r="O1018" i="2"/>
  <c r="O1019" i="2"/>
  <c r="O1020" i="2"/>
  <c r="O1021" i="2"/>
  <c r="O1022" i="2"/>
  <c r="O1023" i="2"/>
  <c r="O1024" i="2"/>
  <c r="O1025" i="2"/>
  <c r="O1026" i="2"/>
  <c r="O1027" i="2"/>
  <c r="O1028" i="2"/>
  <c r="O1029" i="2"/>
  <c r="O1030" i="2"/>
  <c r="O1031" i="2"/>
  <c r="O1032" i="2"/>
  <c r="O1033" i="2"/>
  <c r="O1034" i="2"/>
  <c r="O1035" i="2"/>
  <c r="O1036" i="2"/>
  <c r="O1037" i="2"/>
  <c r="O1038" i="2"/>
  <c r="O1039" i="2"/>
  <c r="O1040" i="2"/>
  <c r="O1041" i="2"/>
  <c r="O1042" i="2"/>
  <c r="O1043" i="2"/>
  <c r="O1044" i="2"/>
  <c r="O1045" i="2"/>
  <c r="O1046" i="2"/>
  <c r="O1047" i="2"/>
  <c r="O1048" i="2"/>
  <c r="O1049" i="2"/>
  <c r="O1050" i="2"/>
  <c r="O1051" i="2"/>
  <c r="O1052" i="2"/>
  <c r="O1053" i="2"/>
  <c r="O1054" i="2"/>
  <c r="O1055" i="2"/>
  <c r="O1056" i="2"/>
  <c r="O1057" i="2"/>
  <c r="O1058" i="2"/>
  <c r="O1059" i="2"/>
  <c r="O1060" i="2"/>
  <c r="O1061" i="2"/>
  <c r="O1062" i="2"/>
  <c r="O1063" i="2"/>
  <c r="O1064" i="2"/>
  <c r="O1065" i="2"/>
  <c r="O1066" i="2"/>
  <c r="O1067" i="2"/>
  <c r="O1068" i="2"/>
  <c r="O1069" i="2"/>
  <c r="O1070" i="2"/>
  <c r="O1071" i="2"/>
  <c r="O1072" i="2"/>
  <c r="O1073" i="2"/>
  <c r="O1074" i="2"/>
  <c r="O1075" i="2"/>
  <c r="O1076" i="2"/>
  <c r="O1077" i="2"/>
  <c r="O1078" i="2"/>
  <c r="O1079" i="2"/>
  <c r="O1080" i="2"/>
  <c r="O1081" i="2"/>
  <c r="O1082" i="2"/>
  <c r="O1083" i="2"/>
  <c r="O1084" i="2"/>
  <c r="O1085" i="2"/>
  <c r="O1086" i="2"/>
  <c r="O1087" i="2"/>
  <c r="O1088" i="2"/>
  <c r="O1089" i="2"/>
  <c r="O1090" i="2"/>
  <c r="O1091" i="2"/>
  <c r="O1092" i="2"/>
  <c r="O1093" i="2"/>
  <c r="O1094" i="2"/>
  <c r="O1095" i="2"/>
  <c r="O1096" i="2"/>
  <c r="O1097" i="2"/>
  <c r="O1098" i="2"/>
  <c r="O1099" i="2"/>
  <c r="O1100" i="2"/>
  <c r="O1101" i="2"/>
  <c r="O1102" i="2"/>
  <c r="O1103" i="2"/>
  <c r="O1104" i="2"/>
  <c r="O1105" i="2"/>
  <c r="O1106" i="2"/>
  <c r="O1107" i="2"/>
  <c r="O1108" i="2"/>
  <c r="O1109" i="2"/>
  <c r="O1110" i="2"/>
  <c r="O1111" i="2"/>
  <c r="O1112" i="2"/>
  <c r="O1113" i="2"/>
  <c r="O1114" i="2"/>
  <c r="O1115" i="2"/>
  <c r="O1116" i="2"/>
  <c r="O1117" i="2"/>
  <c r="O1118" i="2"/>
  <c r="O1119" i="2"/>
  <c r="O1120" i="2"/>
  <c r="O1121" i="2"/>
  <c r="O1122" i="2"/>
  <c r="O1123" i="2"/>
  <c r="O1124" i="2"/>
  <c r="O1125" i="2"/>
  <c r="O1126" i="2"/>
  <c r="O1127" i="2"/>
  <c r="O1128" i="2"/>
  <c r="O1129" i="2"/>
  <c r="O1130" i="2"/>
  <c r="O1131" i="2"/>
  <c r="O1132" i="2"/>
  <c r="O1133" i="2"/>
  <c r="O1134" i="2"/>
  <c r="O1135" i="2"/>
  <c r="O1136" i="2"/>
  <c r="O1137" i="2"/>
  <c r="O1138" i="2"/>
  <c r="O1139" i="2"/>
  <c r="O1140" i="2"/>
  <c r="O1141" i="2"/>
  <c r="O1142" i="2"/>
  <c r="O1143" i="2"/>
  <c r="O1144" i="2"/>
  <c r="O1145" i="2"/>
  <c r="O1146" i="2"/>
  <c r="O1147" i="2"/>
  <c r="O1148" i="2"/>
  <c r="O1149" i="2"/>
  <c r="O1150" i="2"/>
  <c r="O1151" i="2"/>
  <c r="O1152" i="2"/>
  <c r="O1153" i="2"/>
  <c r="O1154" i="2"/>
  <c r="O1155" i="2"/>
  <c r="O1156" i="2"/>
  <c r="O1157" i="2"/>
  <c r="O1158" i="2"/>
  <c r="O1159" i="2"/>
  <c r="O1160" i="2"/>
  <c r="O1161" i="2"/>
  <c r="O1162" i="2"/>
  <c r="O1163" i="2"/>
  <c r="O1164" i="2"/>
  <c r="O1165" i="2"/>
  <c r="O1166" i="2"/>
  <c r="O1167" i="2"/>
  <c r="O1168" i="2"/>
  <c r="O1169" i="2"/>
  <c r="O1170" i="2"/>
  <c r="O1171" i="2"/>
  <c r="O1172" i="2"/>
  <c r="O1173" i="2"/>
  <c r="O1174" i="2"/>
  <c r="O1175" i="2"/>
  <c r="O1176" i="2"/>
  <c r="O1177" i="2"/>
  <c r="O1178" i="2"/>
  <c r="O1179" i="2"/>
  <c r="O1180" i="2"/>
  <c r="O1181" i="2"/>
  <c r="O1182" i="2"/>
  <c r="O1183" i="2"/>
  <c r="O1184" i="2"/>
  <c r="O1185" i="2"/>
  <c r="O1186" i="2"/>
  <c r="O1187" i="2"/>
  <c r="O1188" i="2"/>
  <c r="O1189" i="2"/>
  <c r="O1190" i="2"/>
  <c r="O1191" i="2"/>
  <c r="O1192" i="2"/>
  <c r="O1193" i="2"/>
  <c r="O1194" i="2"/>
  <c r="O1195" i="2"/>
  <c r="O1196" i="2"/>
  <c r="O1197" i="2"/>
  <c r="O1198" i="2"/>
  <c r="O1199" i="2"/>
  <c r="O1200" i="2"/>
  <c r="O1201" i="2"/>
  <c r="O1202" i="2"/>
  <c r="O1203" i="2"/>
  <c r="O1204" i="2"/>
  <c r="O1205" i="2"/>
  <c r="O1206" i="2"/>
  <c r="O1207" i="2"/>
  <c r="O1208" i="2"/>
  <c r="O1209" i="2"/>
  <c r="O1210" i="2"/>
  <c r="O1211" i="2"/>
  <c r="O1212" i="2"/>
  <c r="O1213" i="2"/>
  <c r="O1214" i="2"/>
  <c r="O1215" i="2"/>
  <c r="O1216" i="2"/>
  <c r="O1217" i="2"/>
  <c r="O1218" i="2"/>
  <c r="O1219" i="2"/>
  <c r="O1220" i="2"/>
  <c r="O1221" i="2"/>
  <c r="O1222" i="2"/>
  <c r="O1223" i="2"/>
  <c r="O1224" i="2"/>
  <c r="O1225" i="2"/>
  <c r="O1226" i="2"/>
  <c r="O1227" i="2"/>
  <c r="O1228" i="2"/>
  <c r="O1229" i="2"/>
  <c r="O1230" i="2"/>
  <c r="O1231" i="2"/>
  <c r="O1232" i="2"/>
  <c r="O1233" i="2"/>
  <c r="O1234" i="2"/>
  <c r="O1235" i="2"/>
  <c r="O1236" i="2"/>
  <c r="O1237" i="2"/>
  <c r="O1238" i="2"/>
  <c r="O1239" i="2"/>
  <c r="O1240" i="2"/>
  <c r="O1241" i="2"/>
  <c r="O1242" i="2"/>
  <c r="O1243" i="2"/>
  <c r="O1244" i="2"/>
  <c r="O1245" i="2"/>
  <c r="O1246" i="2"/>
  <c r="O1247" i="2"/>
  <c r="O1248" i="2"/>
  <c r="O1249" i="2"/>
  <c r="O1250" i="2"/>
  <c r="O1251" i="2"/>
  <c r="O1252" i="2"/>
  <c r="O1253" i="2"/>
  <c r="O1254" i="2"/>
  <c r="O1255" i="2"/>
  <c r="O1256" i="2"/>
  <c r="O1257" i="2"/>
  <c r="O1258" i="2"/>
  <c r="O1259" i="2"/>
  <c r="O1260" i="2"/>
  <c r="O1261" i="2"/>
  <c r="O1262" i="2"/>
  <c r="O1263" i="2"/>
  <c r="O1264" i="2"/>
  <c r="O1265" i="2"/>
  <c r="O1266" i="2"/>
  <c r="O1267" i="2"/>
  <c r="O1268" i="2"/>
  <c r="O1269" i="2"/>
  <c r="O1270" i="2"/>
  <c r="O1271" i="2"/>
  <c r="O1272" i="2"/>
  <c r="O1273" i="2"/>
  <c r="O1274" i="2"/>
  <c r="O1275" i="2"/>
  <c r="O1276" i="2"/>
  <c r="O1277" i="2"/>
  <c r="O1278" i="2"/>
  <c r="O1279" i="2"/>
  <c r="O1280" i="2"/>
  <c r="O1281" i="2"/>
  <c r="O1282" i="2"/>
  <c r="O1283" i="2"/>
  <c r="O1284" i="2"/>
  <c r="O1285" i="2"/>
  <c r="O1286" i="2"/>
  <c r="O1287" i="2"/>
  <c r="O1288" i="2"/>
  <c r="O1289" i="2"/>
  <c r="O1290" i="2"/>
  <c r="O1291" i="2"/>
  <c r="O1292" i="2"/>
  <c r="O1293" i="2"/>
  <c r="O1294" i="2"/>
  <c r="O1295" i="2"/>
  <c r="O1296" i="2"/>
  <c r="O1297" i="2"/>
  <c r="O1298" i="2"/>
  <c r="O1299" i="2"/>
  <c r="O1300" i="2"/>
  <c r="O1301" i="2"/>
  <c r="O1302" i="2"/>
  <c r="O1303" i="2"/>
  <c r="O1304" i="2"/>
  <c r="O1305" i="2"/>
  <c r="O1306" i="2"/>
  <c r="O1307" i="2"/>
  <c r="O1308" i="2"/>
  <c r="O1309" i="2"/>
  <c r="O1310" i="2"/>
  <c r="O1311" i="2"/>
  <c r="O1312" i="2"/>
  <c r="O1313" i="2"/>
  <c r="O1314" i="2"/>
  <c r="O1315" i="2"/>
  <c r="O1316" i="2"/>
  <c r="O1317" i="2"/>
  <c r="O1318" i="2"/>
  <c r="O1319" i="2"/>
  <c r="O1320" i="2"/>
  <c r="O1321" i="2"/>
  <c r="O1322" i="2"/>
  <c r="O1323" i="2"/>
  <c r="O1324" i="2"/>
  <c r="O1325" i="2"/>
  <c r="O1326" i="2"/>
  <c r="O1327" i="2"/>
  <c r="O1328" i="2"/>
  <c r="O1329" i="2"/>
  <c r="O1330" i="2"/>
  <c r="O1331" i="2"/>
  <c r="O1332" i="2"/>
  <c r="O1333" i="2"/>
  <c r="O1334" i="2"/>
  <c r="O1335" i="2"/>
  <c r="O1336" i="2"/>
  <c r="O1337" i="2"/>
  <c r="O1338" i="2"/>
  <c r="O1339" i="2"/>
  <c r="O1340" i="2"/>
  <c r="O1341" i="2"/>
  <c r="O1342" i="2"/>
  <c r="O1343" i="2"/>
  <c r="O1344" i="2"/>
  <c r="O1345" i="2"/>
  <c r="O1346" i="2"/>
  <c r="O1347" i="2"/>
  <c r="O1348" i="2"/>
  <c r="O1349" i="2"/>
  <c r="O1350" i="2"/>
  <c r="O1351" i="2"/>
  <c r="O1352" i="2"/>
  <c r="O1353" i="2"/>
  <c r="O1354" i="2"/>
  <c r="O1355" i="2"/>
  <c r="O1356" i="2"/>
  <c r="O1357" i="2"/>
  <c r="O1358" i="2"/>
  <c r="O1359" i="2"/>
  <c r="O1360" i="2"/>
  <c r="O1361" i="2"/>
  <c r="O1362" i="2"/>
  <c r="O1363" i="2"/>
  <c r="O1364" i="2"/>
  <c r="O1365" i="2"/>
  <c r="O1366" i="2"/>
  <c r="O1367" i="2"/>
  <c r="O1368" i="2"/>
  <c r="O1369" i="2"/>
  <c r="O1370" i="2"/>
  <c r="O1371" i="2"/>
  <c r="O1372" i="2"/>
  <c r="O1373" i="2"/>
  <c r="O1374" i="2"/>
  <c r="O1375" i="2"/>
  <c r="O1376" i="2"/>
  <c r="O1377" i="2"/>
  <c r="O1378" i="2"/>
  <c r="O1379" i="2"/>
  <c r="O1380" i="2"/>
  <c r="O1381" i="2"/>
  <c r="O1382" i="2"/>
  <c r="O1383" i="2"/>
  <c r="O1384" i="2"/>
  <c r="O1385" i="2"/>
  <c r="O1386" i="2"/>
  <c r="O1387" i="2"/>
  <c r="O1388" i="2"/>
  <c r="O1389" i="2"/>
  <c r="O1390" i="2"/>
  <c r="O1391" i="2"/>
  <c r="O1392" i="2"/>
  <c r="O1393" i="2"/>
  <c r="O1394" i="2"/>
  <c r="O1395" i="2"/>
  <c r="O1396" i="2"/>
  <c r="O1397" i="2"/>
  <c r="O1398" i="2"/>
  <c r="O1399" i="2"/>
  <c r="O1400" i="2"/>
  <c r="O1401" i="2"/>
  <c r="O1402" i="2"/>
  <c r="O1403" i="2"/>
  <c r="O1404" i="2"/>
  <c r="O1405" i="2"/>
  <c r="O1406" i="2"/>
  <c r="O1407" i="2"/>
  <c r="O1408" i="2"/>
  <c r="O1409" i="2"/>
  <c r="O1410" i="2"/>
  <c r="O1411" i="2"/>
  <c r="O1412" i="2"/>
  <c r="O1413" i="2"/>
  <c r="O1414" i="2"/>
  <c r="O1415" i="2"/>
  <c r="O1416" i="2"/>
  <c r="O1417" i="2"/>
  <c r="O1418" i="2"/>
  <c r="O1419" i="2"/>
  <c r="O1420" i="2"/>
  <c r="O1421" i="2"/>
  <c r="O1422" i="2"/>
  <c r="O1423" i="2"/>
  <c r="O1424" i="2"/>
  <c r="O1425" i="2"/>
  <c r="O1426" i="2"/>
  <c r="O1427" i="2"/>
  <c r="O1428" i="2"/>
  <c r="O1429" i="2"/>
  <c r="O1430" i="2"/>
  <c r="O1431" i="2"/>
  <c r="O1432" i="2"/>
  <c r="O1433" i="2"/>
  <c r="O1434" i="2"/>
  <c r="O1435" i="2"/>
  <c r="O1436" i="2"/>
  <c r="O1437" i="2"/>
  <c r="O1438" i="2"/>
  <c r="O1439" i="2"/>
  <c r="O1440" i="2"/>
  <c r="O1441" i="2"/>
  <c r="O1442" i="2"/>
  <c r="O1443" i="2"/>
  <c r="O1444" i="2"/>
  <c r="O1445" i="2"/>
  <c r="O1446" i="2"/>
  <c r="O1447" i="2"/>
  <c r="O1448" i="2"/>
  <c r="O1449" i="2"/>
  <c r="O1450" i="2"/>
  <c r="O1451" i="2"/>
  <c r="O1452" i="2"/>
  <c r="O1453" i="2"/>
  <c r="O1454" i="2"/>
  <c r="O1455" i="2"/>
  <c r="O1456" i="2"/>
  <c r="O1457" i="2"/>
  <c r="O1458" i="2"/>
  <c r="O1459" i="2"/>
  <c r="O1460" i="2"/>
  <c r="O1461" i="2"/>
  <c r="O1462" i="2"/>
  <c r="O1463" i="2"/>
  <c r="O1464" i="2"/>
  <c r="O1465" i="2"/>
  <c r="O1466" i="2"/>
  <c r="O1467" i="2"/>
  <c r="O1468" i="2"/>
  <c r="O1469" i="2"/>
  <c r="O1470" i="2"/>
  <c r="O1471" i="2"/>
  <c r="O1472" i="2"/>
  <c r="O1473" i="2"/>
  <c r="O1474" i="2"/>
  <c r="O1475" i="2"/>
  <c r="O1476" i="2"/>
  <c r="O1477" i="2"/>
  <c r="O1478" i="2"/>
  <c r="O1479" i="2"/>
  <c r="O1480" i="2"/>
  <c r="O1481" i="2"/>
  <c r="O1482" i="2"/>
  <c r="O1483" i="2"/>
  <c r="O1484" i="2"/>
  <c r="O1485" i="2"/>
  <c r="O1486" i="2"/>
  <c r="O1487" i="2"/>
  <c r="O1488" i="2"/>
  <c r="O1489" i="2"/>
  <c r="O1490" i="2"/>
  <c r="O1491" i="2"/>
  <c r="O1492" i="2"/>
  <c r="O1493" i="2"/>
  <c r="O1494" i="2"/>
  <c r="O1495" i="2"/>
  <c r="O1496" i="2"/>
  <c r="O1497" i="2"/>
  <c r="O1498" i="2"/>
  <c r="O1499" i="2"/>
  <c r="O1500" i="2"/>
  <c r="O1501" i="2"/>
  <c r="O1502" i="2"/>
  <c r="O1503" i="2"/>
  <c r="O1504" i="2"/>
  <c r="O1505" i="2"/>
  <c r="O1506" i="2"/>
  <c r="O1507" i="2"/>
  <c r="O1508" i="2"/>
  <c r="O1509" i="2"/>
  <c r="O1510" i="2"/>
  <c r="O1511" i="2"/>
  <c r="O1512" i="2"/>
  <c r="O1513" i="2"/>
  <c r="O1514" i="2"/>
  <c r="O1515" i="2"/>
  <c r="O1516" i="2"/>
  <c r="O1517" i="2"/>
  <c r="O1518" i="2"/>
  <c r="O1519" i="2"/>
  <c r="O1520" i="2"/>
  <c r="O1521" i="2"/>
  <c r="O1522" i="2"/>
  <c r="O1523" i="2"/>
  <c r="O1524" i="2"/>
  <c r="O1525" i="2"/>
  <c r="O1526" i="2"/>
  <c r="O1527" i="2"/>
  <c r="O1528" i="2"/>
  <c r="O1529" i="2"/>
  <c r="O1530" i="2"/>
  <c r="O1531" i="2"/>
  <c r="O1532" i="2"/>
  <c r="O1533" i="2"/>
  <c r="O1534" i="2"/>
  <c r="O1535" i="2"/>
  <c r="O1536" i="2"/>
  <c r="O1537" i="2"/>
  <c r="O1538" i="2"/>
  <c r="O1539" i="2"/>
  <c r="O1540" i="2"/>
  <c r="O1541" i="2"/>
  <c r="O1542" i="2"/>
  <c r="O1543" i="2"/>
  <c r="O1544" i="2"/>
  <c r="O1545" i="2"/>
  <c r="O1546" i="2"/>
  <c r="O1547" i="2"/>
  <c r="O1548" i="2"/>
  <c r="O1549" i="2"/>
  <c r="O1550" i="2"/>
  <c r="O1551" i="2"/>
  <c r="O1552" i="2"/>
  <c r="O1553" i="2"/>
  <c r="O1554" i="2"/>
  <c r="O1555" i="2"/>
  <c r="O1556" i="2"/>
  <c r="O1557" i="2"/>
  <c r="O1558" i="2"/>
  <c r="O1559" i="2"/>
  <c r="O1560" i="2"/>
  <c r="O1561" i="2"/>
  <c r="O1562" i="2"/>
  <c r="O1563" i="2"/>
  <c r="O1564" i="2"/>
  <c r="O1565" i="2"/>
  <c r="O1566" i="2"/>
  <c r="O1567" i="2"/>
  <c r="O1568" i="2"/>
  <c r="O1569" i="2"/>
  <c r="O1570" i="2"/>
  <c r="O1571" i="2"/>
  <c r="O1572" i="2"/>
  <c r="O1573" i="2"/>
  <c r="O1574" i="2"/>
  <c r="O1575" i="2"/>
  <c r="O1576" i="2"/>
  <c r="O1577" i="2"/>
  <c r="O1578" i="2"/>
  <c r="O1579" i="2"/>
  <c r="O1580" i="2"/>
  <c r="O1581" i="2"/>
  <c r="O1582" i="2"/>
  <c r="O1583" i="2"/>
  <c r="O1584" i="2"/>
  <c r="O1585" i="2"/>
  <c r="O1586" i="2"/>
  <c r="O1587" i="2"/>
  <c r="O1588" i="2"/>
  <c r="O1589" i="2"/>
  <c r="O1590" i="2"/>
  <c r="O1591" i="2"/>
  <c r="O1592" i="2"/>
  <c r="O1593" i="2"/>
  <c r="O1594" i="2"/>
  <c r="O1595" i="2"/>
  <c r="O1596" i="2"/>
  <c r="O1597" i="2"/>
  <c r="O1598" i="2"/>
  <c r="O1599" i="2"/>
  <c r="O1600" i="2"/>
  <c r="O1601" i="2"/>
  <c r="O1602" i="2"/>
  <c r="O1603" i="2"/>
  <c r="O1604" i="2"/>
  <c r="O1605" i="2"/>
  <c r="O1606" i="2"/>
  <c r="O1607" i="2"/>
  <c r="O1608" i="2"/>
  <c r="O1609" i="2"/>
  <c r="O1610" i="2"/>
  <c r="O1611" i="2"/>
  <c r="O1612" i="2"/>
  <c r="O1613" i="2"/>
  <c r="O1614" i="2"/>
  <c r="O1615" i="2"/>
  <c r="O1616" i="2"/>
  <c r="O1617" i="2"/>
  <c r="O1618" i="2"/>
  <c r="O1619" i="2"/>
  <c r="O1620" i="2"/>
  <c r="O1621" i="2"/>
  <c r="O1622" i="2"/>
  <c r="O1623" i="2"/>
  <c r="O1624" i="2"/>
  <c r="O1625" i="2"/>
  <c r="O1626" i="2"/>
  <c r="O1627" i="2"/>
  <c r="O1628" i="2"/>
  <c r="O1629" i="2"/>
  <c r="O1630" i="2"/>
  <c r="O1631" i="2"/>
  <c r="O1632" i="2"/>
  <c r="O1633" i="2"/>
  <c r="O1634" i="2"/>
  <c r="O1635" i="2"/>
  <c r="O1636" i="2"/>
  <c r="O1637" i="2"/>
  <c r="O1638" i="2"/>
  <c r="O1639" i="2"/>
  <c r="O1640" i="2"/>
  <c r="O1641" i="2"/>
  <c r="O1642" i="2"/>
  <c r="O1643" i="2"/>
  <c r="O1644" i="2"/>
  <c r="O1645" i="2"/>
  <c r="O1646" i="2"/>
  <c r="O1647" i="2"/>
  <c r="O1648" i="2"/>
  <c r="O1649" i="2"/>
  <c r="O1650" i="2"/>
  <c r="O1651" i="2"/>
  <c r="O1652" i="2"/>
  <c r="O1653" i="2"/>
  <c r="O1654" i="2"/>
  <c r="O1655" i="2"/>
  <c r="O1656" i="2"/>
  <c r="O1657" i="2"/>
  <c r="O1658" i="2"/>
  <c r="O1659" i="2"/>
  <c r="O1660" i="2"/>
  <c r="O1661" i="2"/>
  <c r="O1662" i="2"/>
  <c r="O1663" i="2"/>
  <c r="O1664" i="2"/>
  <c r="O1665" i="2"/>
  <c r="O1666" i="2"/>
  <c r="O1667" i="2"/>
  <c r="O1668" i="2"/>
  <c r="O1669" i="2"/>
  <c r="O1670" i="2"/>
  <c r="O1671" i="2"/>
  <c r="O1672" i="2"/>
  <c r="O1673" i="2"/>
  <c r="O1674" i="2"/>
  <c r="O1675" i="2"/>
  <c r="O1676" i="2"/>
  <c r="O1677" i="2"/>
  <c r="O1678" i="2"/>
  <c r="O1679" i="2"/>
  <c r="O1680" i="2"/>
  <c r="O1681" i="2"/>
  <c r="O1682" i="2"/>
  <c r="O1683" i="2"/>
  <c r="O1684" i="2"/>
  <c r="O1685" i="2"/>
  <c r="O1686" i="2"/>
  <c r="O1687" i="2"/>
  <c r="O1688" i="2"/>
  <c r="O1689" i="2"/>
  <c r="O1690" i="2"/>
  <c r="O1691" i="2"/>
  <c r="O1692" i="2"/>
  <c r="O1693" i="2"/>
  <c r="O1694" i="2"/>
  <c r="O1695" i="2"/>
  <c r="O1696" i="2"/>
  <c r="O1697" i="2"/>
  <c r="O1698" i="2"/>
  <c r="O1699" i="2"/>
  <c r="O1700" i="2"/>
  <c r="O1701" i="2"/>
  <c r="O1702" i="2"/>
  <c r="O1703" i="2"/>
  <c r="O1704" i="2"/>
  <c r="O1705" i="2"/>
  <c r="O1706" i="2"/>
  <c r="O1707" i="2"/>
  <c r="O1708" i="2"/>
  <c r="O1709" i="2"/>
  <c r="O1710" i="2"/>
  <c r="O1711" i="2"/>
  <c r="O1712" i="2"/>
  <c r="O1713" i="2"/>
  <c r="O1714" i="2"/>
  <c r="O1715" i="2"/>
  <c r="O1716" i="2"/>
  <c r="O1717" i="2"/>
  <c r="O1718" i="2"/>
  <c r="O1719" i="2"/>
  <c r="O1720" i="2"/>
  <c r="O1721" i="2"/>
  <c r="O1722" i="2"/>
  <c r="O1723" i="2"/>
  <c r="O1724" i="2"/>
  <c r="O1725" i="2"/>
  <c r="O1726" i="2"/>
  <c r="O1727" i="2"/>
  <c r="O1728" i="2"/>
  <c r="O1729" i="2"/>
  <c r="O1730" i="2"/>
  <c r="O1731" i="2"/>
  <c r="O1732" i="2"/>
  <c r="O1733" i="2"/>
  <c r="O1734" i="2"/>
  <c r="O1735" i="2"/>
  <c r="O1736" i="2"/>
  <c r="O1737" i="2"/>
  <c r="O1738" i="2"/>
  <c r="O1739" i="2"/>
  <c r="O1740" i="2"/>
  <c r="O1741" i="2"/>
  <c r="O1742" i="2"/>
  <c r="O1743" i="2"/>
  <c r="O1744" i="2"/>
  <c r="O1745" i="2"/>
  <c r="O1746" i="2"/>
  <c r="O1747" i="2"/>
  <c r="O1748" i="2"/>
  <c r="O1749" i="2"/>
  <c r="O1750" i="2"/>
  <c r="O1751" i="2"/>
  <c r="O1752" i="2"/>
  <c r="O1753" i="2"/>
  <c r="O1754" i="2"/>
  <c r="O1755" i="2"/>
  <c r="O1756" i="2"/>
  <c r="O1757" i="2"/>
  <c r="O1758" i="2"/>
  <c r="O1759" i="2"/>
  <c r="O1760" i="2"/>
  <c r="O1761" i="2"/>
  <c r="O1762" i="2"/>
  <c r="O1763" i="2"/>
  <c r="O1764" i="2"/>
  <c r="O1765" i="2"/>
  <c r="O1766" i="2"/>
  <c r="O1767" i="2"/>
  <c r="O1768" i="2"/>
  <c r="O1769" i="2"/>
  <c r="O1770" i="2"/>
  <c r="O1771" i="2"/>
  <c r="O1772" i="2"/>
  <c r="O1773" i="2"/>
  <c r="O1774" i="2"/>
  <c r="O1775" i="2"/>
  <c r="O1776" i="2"/>
  <c r="O1777" i="2"/>
  <c r="O1778" i="2"/>
  <c r="O1779" i="2"/>
  <c r="O1780" i="2"/>
  <c r="O1781" i="2"/>
  <c r="O1782" i="2"/>
  <c r="O1783" i="2"/>
  <c r="O1784" i="2"/>
  <c r="O1785" i="2"/>
  <c r="O1786" i="2"/>
  <c r="O1787" i="2"/>
  <c r="O1788" i="2"/>
  <c r="O1789" i="2"/>
  <c r="O1790" i="2"/>
  <c r="O1791" i="2"/>
  <c r="O1792" i="2"/>
  <c r="O1793" i="2"/>
  <c r="O1794" i="2"/>
  <c r="O1795" i="2"/>
  <c r="O1796" i="2"/>
  <c r="O1797" i="2"/>
  <c r="O1798" i="2"/>
  <c r="O1799" i="2"/>
  <c r="O1800" i="2"/>
  <c r="O1801" i="2"/>
  <c r="O1802" i="2"/>
  <c r="O1803" i="2"/>
  <c r="O1804" i="2"/>
  <c r="O1805" i="2"/>
  <c r="O1806" i="2"/>
  <c r="O1807" i="2"/>
  <c r="O1808" i="2"/>
  <c r="O1809" i="2"/>
  <c r="O1810" i="2"/>
  <c r="O1811" i="2"/>
  <c r="O1812" i="2"/>
  <c r="O1813" i="2"/>
  <c r="O1814" i="2"/>
  <c r="O1815" i="2"/>
  <c r="O1816" i="2"/>
  <c r="O1817" i="2"/>
  <c r="O1818" i="2"/>
  <c r="O1819" i="2"/>
  <c r="O1820" i="2"/>
  <c r="O1821" i="2"/>
  <c r="O1822" i="2"/>
  <c r="O1823" i="2"/>
  <c r="O1824" i="2"/>
  <c r="O1825" i="2"/>
  <c r="O1826" i="2"/>
  <c r="O1827" i="2"/>
  <c r="O1828" i="2"/>
  <c r="O1829" i="2"/>
  <c r="O1830" i="2"/>
  <c r="O1831" i="2"/>
  <c r="O1832" i="2"/>
  <c r="O1833" i="2"/>
  <c r="O1834" i="2"/>
  <c r="O1835" i="2"/>
  <c r="O1836" i="2"/>
  <c r="O1837" i="2"/>
  <c r="O1838" i="2"/>
  <c r="O1839" i="2"/>
  <c r="O1840" i="2"/>
  <c r="O1841" i="2"/>
  <c r="O1842" i="2"/>
  <c r="O1843" i="2"/>
  <c r="O1844" i="2"/>
  <c r="O1845" i="2"/>
  <c r="O1846" i="2"/>
  <c r="O1847" i="2"/>
  <c r="O1848" i="2"/>
  <c r="O1849" i="2"/>
  <c r="O1850" i="2"/>
  <c r="O1851" i="2"/>
  <c r="O1852" i="2"/>
  <c r="O1853" i="2"/>
  <c r="O1854" i="2"/>
  <c r="O1855" i="2"/>
  <c r="O1856" i="2"/>
  <c r="O1857" i="2"/>
  <c r="O1858" i="2"/>
  <c r="O1859" i="2"/>
  <c r="O1860" i="2"/>
  <c r="O1861" i="2"/>
  <c r="O1862" i="2"/>
  <c r="O1863" i="2"/>
  <c r="O1864" i="2"/>
  <c r="O1865" i="2"/>
  <c r="O1866" i="2"/>
  <c r="O1867" i="2"/>
  <c r="O1868" i="2"/>
  <c r="O1869" i="2"/>
  <c r="O1870" i="2"/>
  <c r="O1871" i="2"/>
  <c r="O1872" i="2"/>
  <c r="O1873" i="2"/>
  <c r="O1874" i="2"/>
  <c r="O1875" i="2"/>
  <c r="O1876" i="2"/>
  <c r="O1877" i="2"/>
  <c r="O1878" i="2"/>
  <c r="O1879" i="2"/>
  <c r="O1880" i="2"/>
  <c r="O1881" i="2"/>
  <c r="O1882" i="2"/>
  <c r="O1883" i="2"/>
  <c r="O1884" i="2"/>
  <c r="O1885" i="2"/>
  <c r="O1886" i="2"/>
  <c r="O1887" i="2"/>
  <c r="O1888" i="2"/>
  <c r="O1889" i="2"/>
  <c r="O1890" i="2"/>
  <c r="O1891" i="2"/>
  <c r="O1892" i="2"/>
  <c r="O1893" i="2"/>
  <c r="O1894" i="2"/>
  <c r="O1895" i="2"/>
  <c r="O1896" i="2"/>
  <c r="O1897" i="2"/>
  <c r="O1898" i="2"/>
  <c r="O1899" i="2"/>
  <c r="O1900" i="2"/>
  <c r="O1901" i="2"/>
  <c r="O1902" i="2"/>
  <c r="O1903" i="2"/>
  <c r="O1904" i="2"/>
  <c r="O1905" i="2"/>
  <c r="O1906" i="2"/>
  <c r="O1907" i="2"/>
  <c r="O1908" i="2"/>
  <c r="O1909" i="2"/>
  <c r="O1910" i="2"/>
  <c r="O1911" i="2"/>
  <c r="O1912" i="2"/>
  <c r="O1913" i="2"/>
  <c r="O1914" i="2"/>
  <c r="O1915" i="2"/>
  <c r="O1916" i="2"/>
  <c r="O1917" i="2"/>
  <c r="O1918" i="2"/>
  <c r="O1919" i="2"/>
  <c r="O1920" i="2"/>
  <c r="O1921" i="2"/>
  <c r="O1922" i="2"/>
  <c r="O1923" i="2"/>
  <c r="O1924" i="2"/>
  <c r="O1925" i="2"/>
  <c r="O1926" i="2"/>
  <c r="O1927" i="2"/>
  <c r="O1928" i="2"/>
  <c r="O1929" i="2"/>
  <c r="O1930" i="2"/>
  <c r="O1931" i="2"/>
  <c r="O1932" i="2"/>
  <c r="O1933" i="2"/>
  <c r="O1934" i="2"/>
  <c r="O1935" i="2"/>
  <c r="O1936" i="2"/>
  <c r="O1937" i="2"/>
  <c r="O1938" i="2"/>
  <c r="O1939" i="2"/>
  <c r="O1940" i="2"/>
  <c r="O1941" i="2"/>
  <c r="O1942" i="2"/>
  <c r="O1943" i="2"/>
  <c r="O1944" i="2"/>
  <c r="O1945" i="2"/>
  <c r="O1946" i="2"/>
  <c r="O1947" i="2"/>
  <c r="O1948" i="2"/>
  <c r="O1949" i="2"/>
  <c r="O1950" i="2"/>
  <c r="O1951" i="2"/>
  <c r="O1952" i="2"/>
  <c r="O1953" i="2"/>
  <c r="O1954" i="2"/>
  <c r="O1955" i="2"/>
  <c r="O1956" i="2"/>
  <c r="O1957" i="2"/>
  <c r="O1958" i="2"/>
  <c r="O1959" i="2"/>
  <c r="O1960" i="2"/>
  <c r="O1961" i="2"/>
  <c r="O1962" i="2"/>
  <c r="O1963" i="2"/>
  <c r="O1964" i="2"/>
  <c r="O1965" i="2"/>
  <c r="O1966" i="2"/>
  <c r="O1967" i="2"/>
  <c r="O1968" i="2"/>
  <c r="O1969" i="2"/>
  <c r="O1970" i="2"/>
  <c r="O1971" i="2"/>
  <c r="O1972" i="2"/>
  <c r="O1973" i="2"/>
  <c r="O1974" i="2"/>
  <c r="O1975" i="2"/>
  <c r="O1976" i="2"/>
  <c r="O1977" i="2"/>
  <c r="O1978" i="2"/>
  <c r="O1979" i="2"/>
  <c r="O1980" i="2"/>
  <c r="O1981" i="2"/>
  <c r="O1982" i="2"/>
  <c r="O1983" i="2"/>
  <c r="O1984" i="2"/>
  <c r="O1985" i="2"/>
  <c r="O1986" i="2"/>
  <c r="O1987" i="2"/>
  <c r="O1988" i="2"/>
  <c r="O1989" i="2"/>
  <c r="O1990" i="2"/>
  <c r="O1991" i="2"/>
  <c r="O1992" i="2"/>
  <c r="O1993" i="2"/>
  <c r="O1994" i="2"/>
  <c r="O1995" i="2"/>
  <c r="O1996" i="2"/>
  <c r="O1997" i="2"/>
  <c r="O1998" i="2"/>
  <c r="O1999" i="2"/>
  <c r="O2000" i="2"/>
  <c r="O2001" i="2"/>
  <c r="O2002" i="2"/>
  <c r="O2003" i="2"/>
  <c r="O2004" i="2"/>
  <c r="O2005" i="2"/>
  <c r="O2006" i="2"/>
  <c r="O2007" i="2"/>
  <c r="O2008" i="2"/>
  <c r="O2009" i="2"/>
  <c r="O2010" i="2"/>
  <c r="O2011" i="2"/>
  <c r="O2012" i="2"/>
  <c r="O2013" i="2"/>
  <c r="O2014" i="2"/>
  <c r="O2015" i="2"/>
  <c r="O2016" i="2"/>
  <c r="O2017" i="2"/>
  <c r="O2018" i="2"/>
  <c r="O2019" i="2"/>
  <c r="O2020" i="2"/>
  <c r="O2021" i="2"/>
  <c r="O2022" i="2"/>
  <c r="O2023" i="2"/>
  <c r="O2024" i="2"/>
  <c r="O2025" i="2"/>
  <c r="O2026" i="2"/>
  <c r="O2027" i="2"/>
  <c r="O2028" i="2"/>
  <c r="O2029" i="2"/>
  <c r="O2030" i="2"/>
  <c r="O2031" i="2"/>
  <c r="O2032" i="2"/>
  <c r="O2033" i="2"/>
  <c r="O2034" i="2"/>
  <c r="O2035" i="2"/>
  <c r="O2036" i="2"/>
  <c r="O2037" i="2"/>
  <c r="O2038" i="2"/>
  <c r="O2039" i="2"/>
  <c r="O2040" i="2"/>
  <c r="O2041" i="2"/>
  <c r="O2042" i="2"/>
  <c r="O2043" i="2"/>
  <c r="O2044" i="2"/>
  <c r="O2045" i="2"/>
  <c r="O2046" i="2"/>
  <c r="O2047" i="2"/>
  <c r="O2048" i="2"/>
  <c r="O2049" i="2"/>
  <c r="O2050" i="2"/>
  <c r="O2051" i="2"/>
  <c r="O2052" i="2"/>
  <c r="O2053" i="2"/>
  <c r="O2054" i="2"/>
  <c r="O2055" i="2"/>
  <c r="O2056" i="2"/>
  <c r="O2057" i="2"/>
  <c r="O2058" i="2"/>
  <c r="O2059" i="2"/>
  <c r="O2060" i="2"/>
  <c r="O2061" i="2"/>
  <c r="O2062" i="2"/>
  <c r="O2063" i="2"/>
  <c r="O2064" i="2"/>
  <c r="O2065" i="2"/>
  <c r="O2066" i="2"/>
  <c r="O2067" i="2"/>
  <c r="O2068" i="2"/>
  <c r="O2069" i="2"/>
  <c r="O2070" i="2"/>
  <c r="O2071" i="2"/>
  <c r="O2072" i="2"/>
  <c r="O2073" i="2"/>
  <c r="O2074" i="2"/>
  <c r="O2075" i="2"/>
  <c r="O2076" i="2"/>
  <c r="O2077" i="2"/>
  <c r="O2078" i="2"/>
  <c r="O2079" i="2"/>
  <c r="O2080" i="2"/>
  <c r="O2081" i="2"/>
  <c r="O2082" i="2"/>
  <c r="O2083" i="2"/>
  <c r="O2084" i="2"/>
  <c r="O2085" i="2"/>
  <c r="O2086" i="2"/>
  <c r="O2087" i="2"/>
  <c r="O2088" i="2"/>
  <c r="O2089" i="2"/>
  <c r="O2090" i="2"/>
  <c r="O2091" i="2"/>
  <c r="O2092" i="2"/>
  <c r="O2093" i="2"/>
  <c r="O2094" i="2"/>
  <c r="O2095" i="2"/>
  <c r="O2096" i="2"/>
  <c r="O2097" i="2"/>
  <c r="O2098" i="2"/>
  <c r="O2099" i="2"/>
  <c r="O2100" i="2"/>
  <c r="O2101" i="2"/>
  <c r="O2102" i="2"/>
  <c r="O2103" i="2"/>
  <c r="O2104" i="2"/>
  <c r="O2105" i="2"/>
  <c r="O2106" i="2"/>
  <c r="O2107" i="2"/>
  <c r="O2108" i="2"/>
  <c r="O2109" i="2"/>
  <c r="O2110" i="2"/>
  <c r="O2111" i="2"/>
  <c r="O2112" i="2"/>
  <c r="O2113" i="2"/>
  <c r="O2114" i="2"/>
  <c r="O2115" i="2"/>
  <c r="O2116" i="2"/>
  <c r="O2117" i="2"/>
  <c r="O2118" i="2"/>
  <c r="O2119" i="2"/>
  <c r="O2120" i="2"/>
  <c r="O2121" i="2"/>
  <c r="O2122" i="2"/>
  <c r="O2123" i="2"/>
  <c r="O2124" i="2"/>
  <c r="O2125" i="2"/>
  <c r="O2126" i="2"/>
  <c r="O2127" i="2"/>
  <c r="O2128" i="2"/>
  <c r="O2129" i="2"/>
  <c r="O2130" i="2"/>
  <c r="O2131" i="2"/>
  <c r="O2132" i="2"/>
  <c r="O2133" i="2"/>
  <c r="O2134" i="2"/>
  <c r="O2135" i="2"/>
  <c r="O2136" i="2"/>
  <c r="O2137" i="2"/>
  <c r="O2138" i="2"/>
  <c r="O2139" i="2"/>
  <c r="O2140" i="2"/>
  <c r="O2141" i="2"/>
  <c r="O2142" i="2"/>
  <c r="O2143" i="2"/>
  <c r="O2144" i="2"/>
  <c r="O2145" i="2"/>
  <c r="O2146" i="2"/>
  <c r="O2147" i="2"/>
  <c r="O2148" i="2"/>
  <c r="O2149" i="2"/>
  <c r="O2150" i="2"/>
  <c r="O2151" i="2"/>
  <c r="O2152" i="2"/>
  <c r="O2153" i="2"/>
  <c r="O2154" i="2"/>
  <c r="O2155" i="2"/>
  <c r="O2156" i="2"/>
  <c r="O2157" i="2"/>
  <c r="O2158" i="2"/>
  <c r="O2159" i="2"/>
  <c r="O2160" i="2"/>
  <c r="O2161" i="2"/>
  <c r="O2162" i="2"/>
  <c r="O2163" i="2"/>
  <c r="O2164" i="2"/>
  <c r="O2165" i="2"/>
  <c r="O2166" i="2"/>
  <c r="O2167" i="2"/>
  <c r="O2168" i="2"/>
  <c r="O2169" i="2"/>
  <c r="O2170" i="2"/>
  <c r="O2171" i="2"/>
  <c r="O2172" i="2"/>
  <c r="O2173" i="2"/>
  <c r="O2174" i="2"/>
  <c r="O2175" i="2"/>
  <c r="O2176" i="2"/>
  <c r="O2177" i="2"/>
  <c r="O2178" i="2"/>
  <c r="O2179" i="2"/>
  <c r="O2180" i="2"/>
  <c r="O2181" i="2"/>
  <c r="O2182" i="2"/>
  <c r="O2183" i="2"/>
  <c r="O2184" i="2"/>
  <c r="O2185" i="2"/>
  <c r="O2186" i="2"/>
  <c r="O2187" i="2"/>
  <c r="O2188" i="2"/>
  <c r="O2189" i="2"/>
  <c r="O2190" i="2"/>
  <c r="O2191" i="2"/>
  <c r="O2192" i="2"/>
  <c r="O2193" i="2"/>
  <c r="O2194" i="2"/>
  <c r="O2195" i="2"/>
  <c r="O2196" i="2"/>
  <c r="O2197" i="2"/>
  <c r="O2198" i="2"/>
  <c r="O2199" i="2"/>
  <c r="O2200" i="2"/>
  <c r="O2201" i="2"/>
  <c r="O2202" i="2"/>
  <c r="O2203" i="2"/>
  <c r="O2204" i="2"/>
  <c r="O2205" i="2"/>
  <c r="O2206" i="2"/>
  <c r="O2207" i="2"/>
  <c r="O2208" i="2"/>
  <c r="O2209" i="2"/>
  <c r="O2210" i="2"/>
  <c r="O2211" i="2"/>
  <c r="O2212" i="2"/>
  <c r="O2213" i="2"/>
  <c r="O2214" i="2"/>
  <c r="O2215" i="2"/>
  <c r="O2216" i="2"/>
  <c r="O2217" i="2"/>
  <c r="O2218" i="2"/>
  <c r="O2219" i="2"/>
  <c r="O2220" i="2"/>
  <c r="O2221" i="2"/>
  <c r="O2222" i="2"/>
  <c r="O2223" i="2"/>
  <c r="O2224" i="2"/>
  <c r="O2225" i="2"/>
  <c r="O2226" i="2"/>
  <c r="O2227" i="2"/>
  <c r="O2228" i="2"/>
  <c r="O2229" i="2"/>
  <c r="O2230" i="2"/>
  <c r="O2231" i="2"/>
  <c r="O2232" i="2"/>
  <c r="O2233" i="2"/>
  <c r="O2234" i="2"/>
  <c r="O2235" i="2"/>
  <c r="O2236" i="2"/>
  <c r="O2237" i="2"/>
  <c r="O2238" i="2"/>
  <c r="O2239" i="2"/>
  <c r="O2240" i="2"/>
  <c r="O2241" i="2"/>
  <c r="O2242" i="2"/>
  <c r="O2243" i="2"/>
  <c r="O2244" i="2"/>
  <c r="O2245" i="2"/>
  <c r="O2246" i="2"/>
  <c r="O2247" i="2"/>
  <c r="O2248" i="2"/>
  <c r="O2249" i="2"/>
  <c r="O2250" i="2"/>
  <c r="O2251" i="2"/>
  <c r="O2252" i="2"/>
  <c r="O2253" i="2"/>
  <c r="O2254" i="2"/>
  <c r="O2255" i="2"/>
  <c r="O2256" i="2"/>
  <c r="O2257" i="2"/>
  <c r="O2258" i="2"/>
  <c r="O2259" i="2"/>
  <c r="O2260" i="2"/>
  <c r="O2261" i="2"/>
  <c r="O2262" i="2"/>
  <c r="O2263" i="2"/>
  <c r="O2264" i="2"/>
  <c r="O2265" i="2"/>
  <c r="O2266" i="2"/>
  <c r="O2267" i="2"/>
  <c r="O2268" i="2"/>
  <c r="O2269" i="2"/>
  <c r="O2270" i="2"/>
  <c r="O2271" i="2"/>
  <c r="O2272" i="2"/>
  <c r="O2273" i="2"/>
  <c r="O2274" i="2"/>
  <c r="O2275" i="2"/>
  <c r="O2276" i="2"/>
  <c r="O2277" i="2"/>
  <c r="O2278" i="2"/>
  <c r="O2279" i="2"/>
  <c r="O2280" i="2"/>
  <c r="O2281" i="2"/>
  <c r="O2282" i="2"/>
  <c r="O2283" i="2"/>
  <c r="O2284" i="2"/>
  <c r="O2285" i="2"/>
  <c r="O2286" i="2"/>
  <c r="O2287" i="2"/>
  <c r="O2288" i="2"/>
  <c r="O2289" i="2"/>
  <c r="O2290" i="2"/>
  <c r="O2291" i="2"/>
  <c r="O2292" i="2"/>
  <c r="O2293" i="2"/>
  <c r="O2294" i="2"/>
  <c r="O2295" i="2"/>
  <c r="O2296" i="2"/>
  <c r="O2297" i="2"/>
  <c r="O2298" i="2"/>
  <c r="O2299" i="2"/>
  <c r="O2300" i="2"/>
  <c r="O2301" i="2"/>
  <c r="O2302" i="2"/>
  <c r="O2303" i="2"/>
  <c r="O2304" i="2"/>
  <c r="O2305" i="2"/>
  <c r="O2306" i="2"/>
  <c r="O2307" i="2"/>
  <c r="O2308" i="2"/>
  <c r="O2309" i="2"/>
  <c r="O2310" i="2"/>
  <c r="O2311" i="2"/>
  <c r="O2312" i="2"/>
  <c r="O2313" i="2"/>
  <c r="O2314" i="2"/>
  <c r="O2315" i="2"/>
  <c r="O2316" i="2"/>
  <c r="O2317" i="2"/>
  <c r="O2318" i="2"/>
  <c r="O2319" i="2"/>
  <c r="O2320" i="2"/>
  <c r="O2321" i="2"/>
  <c r="O2322" i="2"/>
  <c r="O2323" i="2"/>
  <c r="O2324" i="2"/>
  <c r="O2325" i="2"/>
  <c r="O2326" i="2"/>
  <c r="O2327" i="2"/>
  <c r="O2328" i="2"/>
  <c r="O2329" i="2"/>
  <c r="O2330" i="2"/>
  <c r="O2331" i="2"/>
  <c r="O2332" i="2"/>
  <c r="O2333" i="2"/>
  <c r="O2334" i="2"/>
  <c r="O2335" i="2"/>
  <c r="O2336" i="2"/>
  <c r="O2337" i="2"/>
  <c r="O2338" i="2"/>
  <c r="O2339" i="2"/>
  <c r="O2340" i="2"/>
  <c r="O2341" i="2"/>
  <c r="O2342" i="2"/>
  <c r="O2343" i="2"/>
  <c r="O2344" i="2"/>
  <c r="O2345" i="2"/>
  <c r="O2346" i="2"/>
  <c r="O2347" i="2"/>
  <c r="O2348" i="2"/>
  <c r="O2349" i="2"/>
  <c r="O2350" i="2"/>
  <c r="O2351" i="2"/>
  <c r="O2352" i="2"/>
  <c r="O2353" i="2"/>
  <c r="O2354" i="2"/>
  <c r="O2355" i="2"/>
  <c r="O2356" i="2"/>
  <c r="O2357" i="2"/>
  <c r="O2358" i="2"/>
  <c r="O2359" i="2"/>
  <c r="O2360" i="2"/>
  <c r="O2361" i="2"/>
  <c r="O2362" i="2"/>
  <c r="O2363" i="2"/>
  <c r="O2364" i="2"/>
  <c r="O2365" i="2"/>
  <c r="O2366" i="2"/>
  <c r="O2367" i="2"/>
  <c r="O2368" i="2"/>
  <c r="O2369" i="2"/>
  <c r="O2370" i="2"/>
  <c r="O2371" i="2"/>
  <c r="O2372" i="2"/>
  <c r="O2373" i="2"/>
  <c r="O2374" i="2"/>
  <c r="O2375" i="2"/>
  <c r="O2376" i="2"/>
  <c r="O2377" i="2"/>
  <c r="O2378" i="2"/>
  <c r="O2379" i="2"/>
  <c r="O2380" i="2"/>
  <c r="O2381" i="2"/>
  <c r="O2382" i="2"/>
  <c r="O2383" i="2"/>
  <c r="O2384" i="2"/>
  <c r="O2385" i="2"/>
  <c r="O2386" i="2"/>
  <c r="O2387" i="2"/>
  <c r="O2388" i="2"/>
  <c r="O2389" i="2"/>
  <c r="O2390" i="2"/>
  <c r="O2391" i="2"/>
  <c r="O2392" i="2"/>
  <c r="O2393" i="2"/>
  <c r="O2394" i="2"/>
  <c r="O2395" i="2"/>
  <c r="O2396" i="2"/>
  <c r="O2397" i="2"/>
  <c r="O2398" i="2"/>
  <c r="O2399" i="2"/>
  <c r="O2400" i="2"/>
  <c r="O2401" i="2"/>
  <c r="O2402" i="2"/>
  <c r="O2403" i="2"/>
  <c r="O2404" i="2"/>
  <c r="O2405" i="2"/>
  <c r="O2406" i="2"/>
  <c r="O2407" i="2"/>
  <c r="O2408" i="2"/>
  <c r="O2409" i="2"/>
  <c r="O2410" i="2"/>
  <c r="O2411" i="2"/>
  <c r="O2412" i="2"/>
  <c r="O2413" i="2"/>
  <c r="O2414" i="2"/>
  <c r="O2415" i="2"/>
  <c r="O2416" i="2"/>
  <c r="O2417" i="2"/>
  <c r="O2418" i="2"/>
  <c r="O2419" i="2"/>
  <c r="O2420" i="2"/>
  <c r="O2421" i="2"/>
  <c r="O2422" i="2"/>
  <c r="O2423" i="2"/>
  <c r="O2424" i="2"/>
  <c r="O2425" i="2"/>
  <c r="O2426" i="2"/>
  <c r="O2427" i="2"/>
  <c r="O2428" i="2"/>
  <c r="O2429" i="2"/>
  <c r="O2430" i="2"/>
  <c r="O2431" i="2"/>
  <c r="O2432" i="2"/>
  <c r="O2433" i="2"/>
  <c r="O2434" i="2"/>
  <c r="O2435" i="2"/>
  <c r="O2436" i="2"/>
  <c r="O2437" i="2"/>
  <c r="O2438" i="2"/>
  <c r="O2439" i="2"/>
  <c r="O2440" i="2"/>
  <c r="O2441" i="2"/>
  <c r="O2442" i="2"/>
  <c r="O2443" i="2"/>
  <c r="O2444" i="2"/>
  <c r="O2445" i="2"/>
  <c r="O2446" i="2"/>
  <c r="O2447" i="2"/>
  <c r="O2448" i="2"/>
  <c r="O2449" i="2"/>
  <c r="O2450" i="2"/>
  <c r="O2451" i="2"/>
  <c r="O2452" i="2"/>
  <c r="O2453" i="2"/>
  <c r="O2454" i="2"/>
  <c r="O2455" i="2"/>
  <c r="O2456" i="2"/>
  <c r="O2457" i="2"/>
  <c r="O2458" i="2"/>
  <c r="O2459" i="2"/>
  <c r="O2460" i="2"/>
  <c r="O2461" i="2"/>
  <c r="O2462" i="2"/>
  <c r="O2463" i="2"/>
  <c r="O2464" i="2"/>
  <c r="O2465" i="2"/>
  <c r="O2466" i="2"/>
  <c r="O2467" i="2"/>
  <c r="O2468" i="2"/>
  <c r="O2469" i="2"/>
  <c r="O2470" i="2"/>
  <c r="O2471" i="2"/>
  <c r="O2472" i="2"/>
  <c r="O2473" i="2"/>
  <c r="O2474" i="2"/>
  <c r="O2475" i="2"/>
  <c r="O2476" i="2"/>
  <c r="O2477" i="2"/>
  <c r="O2478" i="2"/>
  <c r="O2479" i="2"/>
  <c r="O2480" i="2"/>
  <c r="O2481" i="2"/>
  <c r="O2482" i="2"/>
  <c r="O2483" i="2"/>
  <c r="O2484" i="2"/>
  <c r="O2485" i="2"/>
  <c r="O2486" i="2"/>
  <c r="O2487" i="2"/>
  <c r="O2488" i="2"/>
  <c r="O2489" i="2"/>
  <c r="O2490" i="2"/>
  <c r="O2491" i="2"/>
  <c r="O2492" i="2"/>
  <c r="O2493" i="2"/>
  <c r="O2494" i="2"/>
  <c r="O2495" i="2"/>
  <c r="O2496" i="2"/>
  <c r="O2497" i="2"/>
  <c r="O2498" i="2"/>
  <c r="O2499" i="2"/>
  <c r="O2500" i="2"/>
  <c r="O2501" i="2"/>
  <c r="O2502" i="2"/>
  <c r="O2503" i="2"/>
  <c r="O2504" i="2"/>
  <c r="O2505" i="2"/>
  <c r="O2506" i="2"/>
  <c r="O2507" i="2"/>
  <c r="O2508" i="2"/>
  <c r="O2509" i="2"/>
  <c r="O2510" i="2"/>
  <c r="O2511" i="2"/>
  <c r="O2512" i="2"/>
  <c r="O2513" i="2"/>
  <c r="O2514" i="2"/>
  <c r="O2515" i="2"/>
  <c r="O2516" i="2"/>
  <c r="O2517" i="2"/>
  <c r="O2518" i="2"/>
  <c r="O2519" i="2"/>
  <c r="O2520" i="2"/>
  <c r="O2521" i="2"/>
  <c r="O2522" i="2"/>
  <c r="O2523" i="2"/>
  <c r="O2524" i="2"/>
  <c r="O2525" i="2"/>
  <c r="O2526" i="2"/>
  <c r="O2527" i="2"/>
  <c r="O2528" i="2"/>
  <c r="O2529" i="2"/>
  <c r="O2530" i="2"/>
  <c r="O2531" i="2"/>
  <c r="O2532" i="2"/>
  <c r="O2533" i="2"/>
  <c r="O2534" i="2"/>
  <c r="O2535" i="2"/>
  <c r="O2536" i="2"/>
  <c r="O2537" i="2"/>
  <c r="O2538" i="2"/>
  <c r="O2539" i="2"/>
  <c r="O2540" i="2"/>
  <c r="O2541" i="2"/>
  <c r="O2542" i="2"/>
  <c r="O2543" i="2"/>
  <c r="O2544" i="2"/>
  <c r="O2545" i="2"/>
  <c r="O2546" i="2"/>
  <c r="O2547" i="2"/>
  <c r="O2548" i="2"/>
  <c r="O2549" i="2"/>
  <c r="O2550" i="2"/>
  <c r="O2551" i="2"/>
  <c r="O2552" i="2"/>
  <c r="O2553" i="2"/>
  <c r="O2554" i="2"/>
  <c r="O2555" i="2"/>
  <c r="O2556" i="2"/>
  <c r="O2557" i="2"/>
  <c r="O2558" i="2"/>
  <c r="O2559" i="2"/>
  <c r="O2560" i="2"/>
  <c r="O2561" i="2"/>
  <c r="O2562" i="2"/>
  <c r="O2563" i="2"/>
  <c r="O2564" i="2"/>
  <c r="O2565" i="2"/>
  <c r="O2566" i="2"/>
  <c r="O2567" i="2"/>
  <c r="O2568" i="2"/>
  <c r="O2569" i="2"/>
  <c r="O2570" i="2"/>
  <c r="O2571" i="2"/>
  <c r="O2572" i="2"/>
  <c r="O2573" i="2"/>
  <c r="O2574" i="2"/>
  <c r="O2575" i="2"/>
  <c r="O2576" i="2"/>
  <c r="O2577" i="2"/>
  <c r="O2578" i="2"/>
  <c r="O2579" i="2"/>
  <c r="O2580" i="2"/>
  <c r="O2581" i="2"/>
  <c r="O2582" i="2"/>
  <c r="O2583" i="2"/>
  <c r="O2584" i="2"/>
  <c r="O2585" i="2"/>
  <c r="O2586" i="2"/>
  <c r="O2587" i="2"/>
  <c r="O2588" i="2"/>
  <c r="O2589" i="2"/>
  <c r="O2590" i="2"/>
  <c r="O2591" i="2"/>
  <c r="O2592" i="2"/>
  <c r="O2593" i="2"/>
  <c r="O2594" i="2"/>
  <c r="O2595" i="2"/>
  <c r="O2596" i="2"/>
  <c r="O2597" i="2"/>
  <c r="O2598" i="2"/>
  <c r="O2599" i="2"/>
  <c r="O2600" i="2"/>
  <c r="O2601" i="2"/>
  <c r="O2602" i="2"/>
  <c r="O2603" i="2"/>
  <c r="O2604" i="2"/>
  <c r="O2605" i="2"/>
  <c r="O2606" i="2"/>
  <c r="O2607" i="2"/>
  <c r="O2608" i="2"/>
  <c r="O2609" i="2"/>
  <c r="O2610" i="2"/>
  <c r="O2611" i="2"/>
  <c r="O2612" i="2"/>
  <c r="O2613" i="2"/>
  <c r="O2614" i="2"/>
  <c r="O2615" i="2"/>
  <c r="O2616" i="2"/>
  <c r="O2617" i="2"/>
  <c r="O2618" i="2"/>
  <c r="O2619" i="2"/>
  <c r="O2620" i="2"/>
  <c r="O2621" i="2"/>
  <c r="O2622" i="2"/>
  <c r="O2623" i="2"/>
  <c r="O2624" i="2"/>
  <c r="O2625" i="2"/>
  <c r="O2626" i="2"/>
  <c r="O2627" i="2"/>
  <c r="O2628" i="2"/>
  <c r="O2629" i="2"/>
  <c r="O2630" i="2"/>
  <c r="O2631" i="2"/>
  <c r="O2632" i="2"/>
  <c r="O2633" i="2"/>
  <c r="O2634" i="2"/>
  <c r="O2635" i="2"/>
  <c r="O2636" i="2"/>
  <c r="O2637" i="2"/>
  <c r="O2638" i="2"/>
  <c r="O2639" i="2"/>
  <c r="O2640" i="2"/>
  <c r="O2641" i="2"/>
  <c r="O2642" i="2"/>
  <c r="O2643" i="2"/>
  <c r="O2644" i="2"/>
  <c r="O2645" i="2"/>
  <c r="O2646" i="2"/>
  <c r="O2647" i="2"/>
  <c r="O2648" i="2"/>
  <c r="O2649" i="2"/>
  <c r="O2650" i="2"/>
  <c r="O2651" i="2"/>
  <c r="O2652" i="2"/>
  <c r="O2653" i="2"/>
  <c r="O2654" i="2"/>
  <c r="O2655" i="2"/>
  <c r="O2656" i="2"/>
  <c r="O2657" i="2"/>
  <c r="O2658" i="2"/>
  <c r="O2659" i="2"/>
  <c r="O2660" i="2"/>
  <c r="O2661" i="2"/>
  <c r="O2662" i="2"/>
  <c r="O2663" i="2"/>
  <c r="O2664" i="2"/>
  <c r="O2665" i="2"/>
  <c r="O2666" i="2"/>
  <c r="O2667" i="2"/>
  <c r="O2668" i="2"/>
  <c r="O2669" i="2"/>
  <c r="O2670" i="2"/>
  <c r="O2671" i="2"/>
  <c r="O2672" i="2"/>
  <c r="O2673" i="2"/>
  <c r="O2674" i="2"/>
  <c r="O2675" i="2"/>
  <c r="O2676" i="2"/>
  <c r="O2677" i="2"/>
  <c r="O2678" i="2"/>
  <c r="O2679" i="2"/>
  <c r="O2680" i="2"/>
  <c r="O2681" i="2"/>
  <c r="O2682" i="2"/>
  <c r="O2683" i="2"/>
  <c r="O2684" i="2"/>
  <c r="O2685" i="2"/>
  <c r="O2686" i="2"/>
  <c r="O2687" i="2"/>
  <c r="O2688" i="2"/>
  <c r="O2689" i="2"/>
  <c r="O2690" i="2"/>
  <c r="O2691" i="2"/>
  <c r="O2692" i="2"/>
  <c r="O2693" i="2"/>
  <c r="O2694" i="2"/>
  <c r="O2695" i="2"/>
  <c r="O2696" i="2"/>
  <c r="O2697" i="2"/>
  <c r="O2698" i="2"/>
  <c r="O2699" i="2"/>
  <c r="O2700" i="2"/>
  <c r="O2701" i="2"/>
  <c r="O2702" i="2"/>
  <c r="O2703" i="2"/>
  <c r="O2704" i="2"/>
  <c r="O2705" i="2"/>
  <c r="O2706" i="2"/>
  <c r="O2707" i="2"/>
  <c r="O2708" i="2"/>
  <c r="O2709" i="2"/>
  <c r="O2710" i="2"/>
  <c r="O2711" i="2"/>
  <c r="O2712" i="2"/>
  <c r="O2713" i="2"/>
  <c r="O2714" i="2"/>
  <c r="O2715" i="2"/>
  <c r="O2716" i="2"/>
  <c r="O2717" i="2"/>
  <c r="O2718" i="2"/>
  <c r="O2719" i="2"/>
  <c r="O2720" i="2"/>
  <c r="O2721" i="2"/>
  <c r="O2722" i="2"/>
  <c r="O2723" i="2"/>
  <c r="O2724" i="2"/>
  <c r="O2725" i="2"/>
  <c r="O2726" i="2"/>
  <c r="O2727" i="2"/>
  <c r="O2728" i="2"/>
  <c r="O2729" i="2"/>
  <c r="O2730" i="2"/>
  <c r="O2731" i="2"/>
  <c r="O2732" i="2"/>
  <c r="O2733" i="2"/>
  <c r="O2734" i="2"/>
  <c r="O2735" i="2"/>
  <c r="O2736" i="2"/>
  <c r="O2737" i="2"/>
  <c r="O2738" i="2"/>
  <c r="O2739" i="2"/>
  <c r="O2740" i="2"/>
  <c r="O2741" i="2"/>
  <c r="O2742" i="2"/>
  <c r="O2743" i="2"/>
  <c r="O2744" i="2"/>
  <c r="O2745" i="2"/>
  <c r="O2746" i="2"/>
  <c r="O2747" i="2"/>
  <c r="O2748" i="2"/>
  <c r="O2749" i="2"/>
  <c r="O2750" i="2"/>
  <c r="O2751" i="2"/>
  <c r="O2752" i="2"/>
  <c r="O2753" i="2"/>
  <c r="O2754" i="2"/>
  <c r="O2755" i="2"/>
  <c r="O2756" i="2"/>
  <c r="O2757" i="2"/>
  <c r="O2758" i="2"/>
  <c r="O2759" i="2"/>
  <c r="O2760" i="2"/>
  <c r="O2761" i="2"/>
  <c r="O2762" i="2"/>
  <c r="O2763" i="2"/>
  <c r="O2764" i="2"/>
  <c r="O2765" i="2"/>
  <c r="O2766" i="2"/>
  <c r="O2767" i="2"/>
  <c r="O2768" i="2"/>
  <c r="O2769" i="2"/>
  <c r="O2770" i="2"/>
  <c r="O2771" i="2"/>
  <c r="O2772" i="2"/>
  <c r="O2773" i="2"/>
  <c r="O2774" i="2"/>
  <c r="O2775" i="2"/>
  <c r="O2776" i="2"/>
  <c r="O2777" i="2"/>
  <c r="O2778" i="2"/>
  <c r="O2779" i="2"/>
  <c r="O2780" i="2"/>
  <c r="O2781" i="2"/>
  <c r="O2782" i="2"/>
  <c r="O2783" i="2"/>
  <c r="O2784" i="2"/>
  <c r="O2785" i="2"/>
  <c r="O2786" i="2"/>
  <c r="O2787" i="2"/>
  <c r="O2788" i="2"/>
  <c r="O2789" i="2"/>
  <c r="O2790" i="2"/>
  <c r="O2791" i="2"/>
  <c r="O2792" i="2"/>
  <c r="O2793" i="2"/>
  <c r="O2794" i="2"/>
  <c r="O2795" i="2"/>
  <c r="O2796" i="2"/>
  <c r="O2797" i="2"/>
  <c r="O2798" i="2"/>
  <c r="O2799" i="2"/>
  <c r="O2800" i="2"/>
  <c r="O2801" i="2"/>
  <c r="O2802" i="2"/>
  <c r="O2803" i="2"/>
  <c r="O2804" i="2"/>
  <c r="O2805" i="2"/>
  <c r="O2806" i="2"/>
  <c r="O2807" i="2"/>
  <c r="O2808" i="2"/>
  <c r="O2809" i="2"/>
  <c r="O2810" i="2"/>
  <c r="O2811" i="2"/>
  <c r="O2812" i="2"/>
  <c r="O2813" i="2"/>
  <c r="O2814" i="2"/>
  <c r="O2815" i="2"/>
  <c r="O2816" i="2"/>
  <c r="O2817" i="2"/>
  <c r="O2818" i="2"/>
  <c r="O2819" i="2"/>
  <c r="O2820" i="2"/>
  <c r="O2821" i="2"/>
  <c r="O2822" i="2"/>
  <c r="O2823" i="2"/>
  <c r="O2824" i="2"/>
  <c r="O2825" i="2"/>
  <c r="O2826" i="2"/>
  <c r="O2827" i="2"/>
  <c r="O2828" i="2"/>
  <c r="O2829" i="2"/>
  <c r="O2830" i="2"/>
  <c r="O2831" i="2"/>
  <c r="O2832" i="2"/>
  <c r="O2833" i="2"/>
  <c r="O2834" i="2"/>
  <c r="O2835" i="2"/>
  <c r="O2836" i="2"/>
  <c r="O2837" i="2"/>
  <c r="O2838" i="2"/>
  <c r="O2839" i="2"/>
  <c r="O2840" i="2"/>
  <c r="O2841" i="2"/>
  <c r="O2842" i="2"/>
  <c r="O2843" i="2"/>
  <c r="O2844" i="2"/>
  <c r="O2845" i="2"/>
  <c r="O2846" i="2"/>
  <c r="O2847" i="2"/>
  <c r="O2848" i="2"/>
  <c r="O2849" i="2"/>
  <c r="O2850" i="2"/>
  <c r="O2851" i="2"/>
  <c r="O2852" i="2"/>
  <c r="O2853" i="2"/>
  <c r="O2854" i="2"/>
  <c r="O2855" i="2"/>
  <c r="O2856" i="2"/>
  <c r="O2857" i="2"/>
  <c r="O2858" i="2"/>
  <c r="O2859" i="2"/>
  <c r="O2860" i="2"/>
  <c r="O2861" i="2"/>
  <c r="O2862" i="2"/>
  <c r="O2863" i="2"/>
  <c r="O2864" i="2"/>
  <c r="O2865" i="2"/>
  <c r="O2866" i="2"/>
  <c r="O2867" i="2"/>
  <c r="O2868" i="2"/>
  <c r="O2869" i="2"/>
  <c r="O2870" i="2"/>
  <c r="O2871" i="2"/>
  <c r="O2872" i="2"/>
  <c r="O2873" i="2"/>
  <c r="O2874" i="2"/>
  <c r="O2875" i="2"/>
  <c r="O2876" i="2"/>
  <c r="O2877" i="2"/>
  <c r="O2878" i="2"/>
  <c r="O2879" i="2"/>
  <c r="O2880" i="2"/>
  <c r="O2881" i="2"/>
  <c r="O2882" i="2"/>
  <c r="O2883" i="2"/>
  <c r="O2884" i="2"/>
  <c r="O2885" i="2"/>
  <c r="O2886" i="2"/>
  <c r="O2887" i="2"/>
  <c r="O2888" i="2"/>
  <c r="O2889" i="2"/>
  <c r="O2890" i="2"/>
  <c r="O2891" i="2"/>
  <c r="O2892" i="2"/>
  <c r="O2893" i="2"/>
  <c r="O2894" i="2"/>
  <c r="O2895" i="2"/>
  <c r="O2896" i="2"/>
  <c r="O2897" i="2"/>
  <c r="O2898" i="2"/>
  <c r="O2899" i="2"/>
  <c r="O2900" i="2"/>
  <c r="O2901" i="2"/>
  <c r="O2902" i="2"/>
  <c r="O2903" i="2"/>
  <c r="O2904" i="2"/>
  <c r="O2905" i="2"/>
  <c r="O2906" i="2"/>
  <c r="O2907" i="2"/>
  <c r="O2908" i="2"/>
  <c r="O2909" i="2"/>
  <c r="O2910" i="2"/>
  <c r="O2911" i="2"/>
  <c r="O2912" i="2"/>
  <c r="O2913" i="2"/>
  <c r="O2914" i="2"/>
  <c r="O2915" i="2"/>
  <c r="O2916" i="2"/>
  <c r="O2917" i="2"/>
  <c r="O2918" i="2"/>
  <c r="O2919" i="2"/>
  <c r="O2920" i="2"/>
  <c r="O2921" i="2"/>
  <c r="O2922" i="2"/>
  <c r="O2923" i="2"/>
  <c r="O2924" i="2"/>
  <c r="O2925" i="2"/>
  <c r="O2926" i="2"/>
  <c r="O2927" i="2"/>
  <c r="O2928" i="2"/>
  <c r="O2929" i="2"/>
  <c r="O2930" i="2"/>
  <c r="O2931" i="2"/>
  <c r="O2932" i="2"/>
  <c r="O2933" i="2"/>
  <c r="O2934" i="2"/>
  <c r="O2935" i="2"/>
  <c r="O2936" i="2"/>
  <c r="O2937" i="2"/>
  <c r="O2938" i="2"/>
  <c r="O2939" i="2"/>
  <c r="O2940" i="2"/>
  <c r="O2941" i="2"/>
  <c r="O2942" i="2"/>
  <c r="O2943" i="2"/>
  <c r="O2944" i="2"/>
  <c r="O2945" i="2"/>
  <c r="O2946" i="2"/>
  <c r="O2947" i="2"/>
  <c r="O2948" i="2"/>
  <c r="O2949" i="2"/>
  <c r="O2950" i="2"/>
  <c r="O2951" i="2"/>
  <c r="O2952" i="2"/>
  <c r="O2953" i="2"/>
  <c r="O2954" i="2"/>
  <c r="O2955" i="2"/>
  <c r="O2956" i="2"/>
  <c r="O2957" i="2"/>
  <c r="O2958" i="2"/>
  <c r="O2959" i="2"/>
  <c r="O2960" i="2"/>
  <c r="O2961" i="2"/>
  <c r="O2962" i="2"/>
  <c r="O2963" i="2"/>
  <c r="O2964" i="2"/>
  <c r="O2965" i="2"/>
  <c r="O2966" i="2"/>
  <c r="O2967" i="2"/>
  <c r="O2968" i="2"/>
  <c r="O2969" i="2"/>
  <c r="O2970" i="2"/>
  <c r="O2971" i="2"/>
  <c r="O2972" i="2"/>
  <c r="O2973" i="2"/>
  <c r="O2974" i="2"/>
  <c r="O2975" i="2"/>
  <c r="O2976" i="2"/>
  <c r="O2977" i="2"/>
  <c r="O2978" i="2"/>
  <c r="O2979" i="2"/>
  <c r="O2980" i="2"/>
  <c r="O2981" i="2"/>
  <c r="O2982" i="2"/>
  <c r="O2983" i="2"/>
  <c r="O2984" i="2"/>
  <c r="O2985" i="2"/>
  <c r="O2986" i="2"/>
  <c r="O2987" i="2"/>
  <c r="O2988" i="2"/>
  <c r="O2989" i="2"/>
  <c r="O2990" i="2"/>
  <c r="O2991" i="2"/>
  <c r="O2992" i="2"/>
  <c r="O2993" i="2"/>
  <c r="O2994" i="2"/>
  <c r="O2995" i="2"/>
  <c r="O2996" i="2"/>
  <c r="O2997" i="2"/>
  <c r="O2998" i="2"/>
  <c r="O2999" i="2"/>
  <c r="O3000" i="2"/>
  <c r="O3001" i="2"/>
  <c r="O3002" i="2"/>
  <c r="O3003" i="2"/>
  <c r="O3004" i="2"/>
  <c r="O3005" i="2"/>
  <c r="O3006" i="2"/>
  <c r="O3007" i="2"/>
  <c r="O3008" i="2"/>
  <c r="O3009" i="2"/>
  <c r="O3010" i="2"/>
  <c r="O3011" i="2"/>
  <c r="O3012" i="2"/>
  <c r="O3013" i="2"/>
  <c r="O3014" i="2"/>
  <c r="O3015" i="2"/>
  <c r="O3016" i="2"/>
  <c r="O3017" i="2"/>
  <c r="O3018" i="2"/>
  <c r="O3019" i="2"/>
  <c r="O3020" i="2"/>
  <c r="O3021" i="2"/>
  <c r="O3022" i="2"/>
  <c r="O3023" i="2"/>
  <c r="O3024" i="2"/>
  <c r="O3025" i="2"/>
  <c r="O3026" i="2"/>
  <c r="O3027" i="2"/>
  <c r="O3028" i="2"/>
  <c r="O3029" i="2"/>
  <c r="O3030" i="2"/>
  <c r="O3031" i="2"/>
  <c r="O3032" i="2"/>
  <c r="O3033" i="2"/>
  <c r="O3034" i="2"/>
  <c r="O3035" i="2"/>
  <c r="O3036" i="2"/>
  <c r="O3037" i="2"/>
  <c r="O3038" i="2"/>
  <c r="O3039" i="2"/>
  <c r="O3040" i="2"/>
  <c r="O3041" i="2"/>
  <c r="O3042" i="2"/>
  <c r="O3043" i="2"/>
  <c r="O3044" i="2"/>
  <c r="O3045" i="2"/>
  <c r="O3046" i="2"/>
  <c r="O3047" i="2"/>
  <c r="O3048" i="2"/>
  <c r="O3049" i="2"/>
  <c r="O3050" i="2"/>
  <c r="O3051" i="2"/>
  <c r="O3052" i="2"/>
  <c r="O3053" i="2"/>
  <c r="O3054" i="2"/>
  <c r="O3055" i="2"/>
  <c r="O3056" i="2"/>
  <c r="O3057" i="2"/>
  <c r="O3058" i="2"/>
  <c r="O3059" i="2"/>
  <c r="O3060" i="2"/>
  <c r="O3061" i="2"/>
  <c r="O3062" i="2"/>
  <c r="O3063" i="2"/>
  <c r="O3064" i="2"/>
  <c r="O3065" i="2"/>
  <c r="O3066" i="2"/>
  <c r="O3067" i="2"/>
  <c r="O3068" i="2"/>
  <c r="O3069" i="2"/>
  <c r="O3070" i="2"/>
  <c r="O3071" i="2"/>
  <c r="O3072" i="2"/>
  <c r="O3073" i="2"/>
  <c r="O3074" i="2"/>
  <c r="O3075" i="2"/>
  <c r="O3076" i="2"/>
  <c r="O3077" i="2"/>
  <c r="O3078" i="2"/>
  <c r="O3079" i="2"/>
  <c r="O3080" i="2"/>
  <c r="O3081" i="2"/>
  <c r="O3082" i="2"/>
  <c r="O3083" i="2"/>
  <c r="O3084" i="2"/>
  <c r="O3085" i="2"/>
  <c r="O3086" i="2"/>
  <c r="O3087" i="2"/>
  <c r="O3088" i="2"/>
  <c r="O3089" i="2"/>
  <c r="O3090" i="2"/>
  <c r="O3091" i="2"/>
  <c r="O3092" i="2"/>
  <c r="O3093" i="2"/>
  <c r="O3094" i="2"/>
  <c r="O3095" i="2"/>
  <c r="O3096" i="2"/>
  <c r="O3097" i="2"/>
  <c r="O3098" i="2"/>
  <c r="O3099" i="2"/>
  <c r="O3100" i="2"/>
  <c r="O3101" i="2"/>
  <c r="O3102" i="2"/>
  <c r="O3103" i="2"/>
  <c r="O3104" i="2"/>
  <c r="O3105" i="2"/>
  <c r="O3106" i="2"/>
  <c r="O3107" i="2"/>
  <c r="O3108" i="2"/>
  <c r="O3109" i="2"/>
  <c r="O3110" i="2"/>
  <c r="O3111" i="2"/>
  <c r="O3112" i="2"/>
  <c r="O3113" i="2"/>
  <c r="O3114" i="2"/>
  <c r="O3115" i="2"/>
  <c r="O3116" i="2"/>
  <c r="O3117" i="2"/>
  <c r="O3118" i="2"/>
  <c r="O3119" i="2"/>
  <c r="O3120" i="2"/>
  <c r="O3121" i="2"/>
  <c r="O3122" i="2"/>
  <c r="O3123" i="2"/>
  <c r="O3124" i="2"/>
  <c r="O3125" i="2"/>
  <c r="O3126" i="2"/>
  <c r="O3127" i="2"/>
  <c r="O3128" i="2"/>
  <c r="O3129" i="2"/>
  <c r="O3130" i="2"/>
  <c r="O3131" i="2"/>
  <c r="O3132" i="2"/>
  <c r="O3133" i="2"/>
  <c r="O3134" i="2"/>
  <c r="O3135" i="2"/>
  <c r="O3136" i="2"/>
  <c r="O3137" i="2"/>
  <c r="O3138" i="2"/>
  <c r="O3139" i="2"/>
  <c r="O3140" i="2"/>
  <c r="O3141" i="2"/>
  <c r="O3142" i="2"/>
  <c r="O3143" i="2"/>
  <c r="O3144" i="2"/>
  <c r="O3145" i="2"/>
  <c r="O3146" i="2"/>
  <c r="O3147" i="2"/>
  <c r="O3148" i="2"/>
  <c r="O3149" i="2"/>
  <c r="O3150" i="2"/>
  <c r="O3151" i="2"/>
  <c r="O3152" i="2"/>
  <c r="O3153" i="2"/>
  <c r="O3154" i="2"/>
  <c r="O3155" i="2"/>
  <c r="O3156" i="2"/>
  <c r="O3157" i="2"/>
  <c r="O3158" i="2"/>
  <c r="O3159" i="2"/>
  <c r="O3160" i="2"/>
  <c r="O3161" i="2"/>
  <c r="O3162" i="2"/>
  <c r="O3163" i="2"/>
  <c r="O3164" i="2"/>
  <c r="O3165" i="2"/>
  <c r="O3166" i="2"/>
  <c r="O3167" i="2"/>
  <c r="O3168" i="2"/>
  <c r="O3169" i="2"/>
  <c r="O3170" i="2"/>
  <c r="O3171" i="2"/>
  <c r="O3172" i="2"/>
  <c r="O3173" i="2"/>
  <c r="O3174" i="2"/>
  <c r="O3175" i="2"/>
  <c r="O3176" i="2"/>
  <c r="O3177" i="2"/>
  <c r="O3178" i="2"/>
  <c r="O3179" i="2"/>
  <c r="O3180" i="2"/>
  <c r="O3181" i="2"/>
  <c r="O3182" i="2"/>
  <c r="O3183" i="2"/>
  <c r="O3184" i="2"/>
  <c r="O3185" i="2"/>
  <c r="O3186" i="2"/>
  <c r="O3187" i="2"/>
  <c r="O3188" i="2"/>
  <c r="O3189" i="2"/>
  <c r="O3190" i="2"/>
  <c r="O3191" i="2"/>
  <c r="O3192" i="2"/>
  <c r="O3193" i="2"/>
  <c r="O3194" i="2"/>
  <c r="O3195" i="2"/>
  <c r="O3196" i="2"/>
  <c r="O3197" i="2"/>
  <c r="O3198" i="2"/>
  <c r="O3199" i="2"/>
  <c r="O3200" i="2"/>
  <c r="O3201" i="2"/>
  <c r="O3202" i="2"/>
  <c r="O3203" i="2"/>
  <c r="O3204" i="2"/>
  <c r="O3205" i="2"/>
  <c r="O3206" i="2"/>
  <c r="O3207" i="2"/>
  <c r="O3208" i="2"/>
  <c r="O3209" i="2"/>
  <c r="O3210" i="2"/>
  <c r="O3211" i="2"/>
  <c r="O3212" i="2"/>
  <c r="O3213" i="2"/>
  <c r="O3214" i="2"/>
  <c r="O3215" i="2"/>
  <c r="O3216" i="2"/>
  <c r="O3217" i="2"/>
  <c r="O3218" i="2"/>
  <c r="O3219" i="2"/>
  <c r="O3220" i="2"/>
  <c r="O3221" i="2"/>
  <c r="O3222" i="2"/>
  <c r="O3223" i="2"/>
  <c r="O3224" i="2"/>
  <c r="O3225" i="2"/>
  <c r="O3226" i="2"/>
  <c r="O3227" i="2"/>
  <c r="O3228" i="2"/>
  <c r="O3229" i="2"/>
  <c r="O3230" i="2"/>
  <c r="O3231" i="2"/>
  <c r="O3232" i="2"/>
  <c r="O3233" i="2"/>
  <c r="O3234" i="2"/>
  <c r="O3235" i="2"/>
  <c r="O3236" i="2"/>
  <c r="O3237" i="2"/>
  <c r="O3238" i="2"/>
  <c r="O3239" i="2"/>
  <c r="O3240" i="2"/>
  <c r="O3241" i="2"/>
  <c r="O3242" i="2"/>
  <c r="O3243" i="2"/>
  <c r="O3244" i="2"/>
  <c r="O3245" i="2"/>
  <c r="O3246" i="2"/>
  <c r="O3247" i="2"/>
  <c r="O3248" i="2"/>
  <c r="O3249" i="2"/>
  <c r="O3250" i="2"/>
  <c r="O3251" i="2"/>
  <c r="O3252" i="2"/>
  <c r="O3253" i="2"/>
  <c r="O3254" i="2"/>
  <c r="O3255" i="2"/>
  <c r="O3256" i="2"/>
  <c r="O3257" i="2"/>
  <c r="O3258" i="2"/>
  <c r="O3259" i="2"/>
  <c r="O3260" i="2"/>
  <c r="O3261" i="2"/>
  <c r="O3262" i="2"/>
  <c r="O3263" i="2"/>
  <c r="O3264" i="2"/>
  <c r="O3265" i="2"/>
  <c r="O3266" i="2"/>
  <c r="O3267" i="2"/>
  <c r="O3268" i="2"/>
  <c r="O3269" i="2"/>
  <c r="O3270" i="2"/>
  <c r="O3271" i="2"/>
  <c r="O3272" i="2"/>
  <c r="O3273" i="2"/>
  <c r="O3274" i="2"/>
  <c r="O3275" i="2"/>
  <c r="O3276" i="2"/>
  <c r="O3277" i="2"/>
  <c r="O3278" i="2"/>
  <c r="O3279" i="2"/>
  <c r="O3280" i="2"/>
  <c r="O3281" i="2"/>
  <c r="O3282" i="2"/>
  <c r="O3283" i="2"/>
  <c r="O3284" i="2"/>
  <c r="O3285" i="2"/>
  <c r="O3286" i="2"/>
  <c r="O3287" i="2"/>
  <c r="O3288" i="2"/>
  <c r="O3289" i="2"/>
  <c r="O3290" i="2"/>
  <c r="O3291" i="2"/>
  <c r="O3292" i="2"/>
  <c r="O3293" i="2"/>
  <c r="O3294" i="2"/>
  <c r="O3295" i="2"/>
  <c r="O3296" i="2"/>
  <c r="O3297" i="2"/>
  <c r="O3298" i="2"/>
  <c r="O3299" i="2"/>
  <c r="O3300" i="2"/>
  <c r="O3301" i="2"/>
  <c r="O3302" i="2"/>
  <c r="O3303" i="2"/>
  <c r="O3304" i="2"/>
  <c r="O3305" i="2"/>
  <c r="O3306" i="2"/>
  <c r="O3307" i="2"/>
  <c r="O3308" i="2"/>
  <c r="O3309" i="2"/>
  <c r="O3310" i="2"/>
  <c r="O3311" i="2"/>
  <c r="O3312" i="2"/>
  <c r="O3313" i="2"/>
  <c r="O3314" i="2"/>
  <c r="O3315" i="2"/>
  <c r="O3316" i="2"/>
  <c r="O3317" i="2"/>
  <c r="O3318" i="2"/>
  <c r="O3319" i="2"/>
  <c r="O3320" i="2"/>
  <c r="O3321" i="2"/>
  <c r="O3322" i="2"/>
  <c r="O3323" i="2"/>
  <c r="O3324" i="2"/>
  <c r="O3325" i="2"/>
  <c r="O3326" i="2"/>
  <c r="O3327" i="2"/>
  <c r="O3328" i="2"/>
  <c r="O3329" i="2"/>
  <c r="O3330" i="2"/>
  <c r="O3331" i="2"/>
  <c r="O3332" i="2"/>
  <c r="O3333" i="2"/>
  <c r="O3334" i="2"/>
  <c r="O3335" i="2"/>
  <c r="O3336" i="2"/>
  <c r="O3337" i="2"/>
  <c r="O3338" i="2"/>
  <c r="O3339" i="2"/>
  <c r="O3340" i="2"/>
  <c r="O3341" i="2"/>
  <c r="O3342" i="2"/>
  <c r="O3343" i="2"/>
  <c r="O3344" i="2"/>
  <c r="O3345" i="2"/>
  <c r="O3346" i="2"/>
  <c r="O3347" i="2"/>
  <c r="O3348" i="2"/>
  <c r="O3349" i="2"/>
  <c r="O3350" i="2"/>
  <c r="O3351" i="2"/>
  <c r="O3352" i="2"/>
  <c r="O3353" i="2"/>
  <c r="O3354" i="2"/>
  <c r="O3355" i="2"/>
  <c r="O3356" i="2"/>
  <c r="O3357" i="2"/>
  <c r="O3358" i="2"/>
  <c r="O3359" i="2"/>
  <c r="O3360" i="2"/>
  <c r="O3361" i="2"/>
  <c r="O3362" i="2"/>
  <c r="O3363" i="2"/>
  <c r="O3364" i="2"/>
  <c r="O3365" i="2"/>
  <c r="O3366" i="2"/>
  <c r="O3367" i="2"/>
  <c r="O3368" i="2"/>
  <c r="O3369" i="2"/>
  <c r="O3370" i="2"/>
  <c r="O3371" i="2"/>
  <c r="O3372" i="2"/>
  <c r="O3373" i="2"/>
  <c r="O3374" i="2"/>
  <c r="O3375" i="2"/>
  <c r="O3376" i="2"/>
  <c r="O3377" i="2"/>
  <c r="O3378" i="2"/>
  <c r="O3379" i="2"/>
  <c r="O3380" i="2"/>
  <c r="O3381" i="2"/>
  <c r="O3382" i="2"/>
  <c r="O3383" i="2"/>
  <c r="O3384" i="2"/>
  <c r="O3385" i="2"/>
  <c r="O3386" i="2"/>
  <c r="O3387" i="2"/>
  <c r="O3388" i="2"/>
  <c r="O3389" i="2"/>
  <c r="O3390" i="2"/>
  <c r="O3391" i="2"/>
  <c r="O3392" i="2"/>
  <c r="O3393" i="2"/>
  <c r="O3394" i="2"/>
  <c r="O3395" i="2"/>
  <c r="O3396" i="2"/>
  <c r="O3397" i="2"/>
  <c r="O3398" i="2"/>
  <c r="O3399" i="2"/>
  <c r="O3400" i="2"/>
  <c r="O3401" i="2"/>
  <c r="O3402" i="2"/>
  <c r="O3403" i="2"/>
  <c r="O3404" i="2"/>
  <c r="O3405" i="2"/>
  <c r="O3406" i="2"/>
  <c r="O3407" i="2"/>
  <c r="O3408" i="2"/>
  <c r="O3409" i="2"/>
  <c r="O3410" i="2"/>
  <c r="O3411" i="2"/>
  <c r="O3412" i="2"/>
  <c r="O3413" i="2"/>
  <c r="O3414" i="2"/>
  <c r="O3415" i="2"/>
  <c r="O3416" i="2"/>
  <c r="O3417" i="2"/>
  <c r="O3418" i="2"/>
  <c r="O3419" i="2"/>
  <c r="O3420" i="2"/>
  <c r="O3421" i="2"/>
  <c r="O3422" i="2"/>
  <c r="O3423" i="2"/>
  <c r="O3424" i="2"/>
  <c r="O3425" i="2"/>
  <c r="O3426" i="2"/>
  <c r="O3427" i="2"/>
  <c r="O3428" i="2"/>
  <c r="O3429" i="2"/>
  <c r="O3430" i="2"/>
  <c r="O3431" i="2"/>
  <c r="O3432" i="2"/>
  <c r="O3433" i="2"/>
  <c r="O3434" i="2"/>
  <c r="O3435" i="2"/>
  <c r="O3436" i="2"/>
  <c r="O3437" i="2"/>
  <c r="O3438" i="2"/>
  <c r="O3439" i="2"/>
  <c r="O3440" i="2"/>
  <c r="O3441" i="2"/>
  <c r="O3442" i="2"/>
  <c r="O3443" i="2"/>
  <c r="O3444" i="2"/>
  <c r="O3445" i="2"/>
  <c r="O3446" i="2"/>
  <c r="O3447" i="2"/>
  <c r="O3448" i="2"/>
  <c r="O3449" i="2"/>
  <c r="O3450" i="2"/>
  <c r="O3451" i="2"/>
  <c r="O3452" i="2"/>
  <c r="O3453" i="2"/>
  <c r="O3454" i="2"/>
  <c r="O3455" i="2"/>
  <c r="O3456" i="2"/>
  <c r="O3457" i="2"/>
  <c r="O3458" i="2"/>
  <c r="O3459" i="2"/>
  <c r="O3460" i="2"/>
  <c r="O3461" i="2"/>
  <c r="O3462" i="2"/>
  <c r="O3463" i="2"/>
  <c r="O3464" i="2"/>
  <c r="O3465" i="2"/>
  <c r="O3466" i="2"/>
  <c r="O3467" i="2"/>
  <c r="O3468" i="2"/>
  <c r="O3469" i="2"/>
  <c r="O3470" i="2"/>
  <c r="O3471" i="2"/>
  <c r="O3472" i="2"/>
  <c r="O3473" i="2"/>
  <c r="O3474" i="2"/>
  <c r="O3475" i="2"/>
  <c r="O3476" i="2"/>
  <c r="O3477" i="2"/>
  <c r="O3478" i="2"/>
  <c r="O3479" i="2"/>
  <c r="O3480" i="2"/>
  <c r="O3481" i="2"/>
  <c r="O3482" i="2"/>
  <c r="O3483" i="2"/>
  <c r="O3484" i="2"/>
  <c r="O3485" i="2"/>
  <c r="O3486" i="2"/>
  <c r="O3487" i="2"/>
  <c r="O3488" i="2"/>
  <c r="O3489" i="2"/>
  <c r="O3490" i="2"/>
  <c r="O3491" i="2"/>
  <c r="O3492" i="2"/>
  <c r="O3493" i="2"/>
  <c r="O3494" i="2"/>
  <c r="O3495" i="2"/>
  <c r="O3496" i="2"/>
  <c r="O3497" i="2"/>
  <c r="O3498" i="2"/>
  <c r="O3499" i="2"/>
  <c r="O3500" i="2"/>
  <c r="O3501" i="2"/>
  <c r="O3502" i="2"/>
  <c r="O3503" i="2"/>
  <c r="O3504" i="2"/>
  <c r="O3505" i="2"/>
  <c r="O3506" i="2"/>
  <c r="O3507" i="2"/>
  <c r="O3508" i="2"/>
  <c r="O3509" i="2"/>
  <c r="O3510" i="2"/>
  <c r="O3511" i="2"/>
  <c r="O3512" i="2"/>
  <c r="O3513" i="2"/>
  <c r="O3514" i="2"/>
  <c r="O3515" i="2"/>
  <c r="O3516" i="2"/>
  <c r="O3517" i="2"/>
  <c r="O3518" i="2"/>
  <c r="O3519" i="2"/>
  <c r="O3520" i="2"/>
  <c r="O3521" i="2"/>
  <c r="O3522" i="2"/>
  <c r="O3523" i="2"/>
  <c r="O3524" i="2"/>
  <c r="O3525" i="2"/>
  <c r="O3526" i="2"/>
  <c r="O3527" i="2"/>
  <c r="O3528" i="2"/>
  <c r="O3529" i="2"/>
  <c r="O3530" i="2"/>
  <c r="O3531" i="2"/>
  <c r="O3532" i="2"/>
  <c r="O3533" i="2"/>
  <c r="O3534" i="2"/>
  <c r="O3535" i="2"/>
  <c r="O3536" i="2"/>
  <c r="O3537" i="2"/>
  <c r="O3538" i="2"/>
  <c r="O3539" i="2"/>
  <c r="O3540" i="2"/>
  <c r="O3541" i="2"/>
  <c r="O3542" i="2"/>
  <c r="O3543" i="2"/>
  <c r="O3544" i="2"/>
  <c r="O3545" i="2"/>
  <c r="O3546" i="2"/>
  <c r="O3547" i="2"/>
  <c r="O3548" i="2"/>
  <c r="O3549" i="2"/>
  <c r="O3550" i="2"/>
  <c r="O3551" i="2"/>
  <c r="O3552" i="2"/>
  <c r="O3553" i="2"/>
  <c r="O3554" i="2"/>
  <c r="O3555" i="2"/>
  <c r="O3556" i="2"/>
  <c r="O3557" i="2"/>
  <c r="O3558" i="2"/>
  <c r="O3559" i="2"/>
  <c r="O3560" i="2"/>
  <c r="O3561" i="2"/>
  <c r="O3562" i="2"/>
  <c r="O3563" i="2"/>
  <c r="O3564" i="2"/>
  <c r="O3565" i="2"/>
  <c r="O3566" i="2"/>
  <c r="O3567" i="2"/>
  <c r="O3568" i="2"/>
  <c r="O3569" i="2"/>
  <c r="O3570" i="2"/>
  <c r="O3571" i="2"/>
  <c r="O3572" i="2"/>
  <c r="O3573" i="2"/>
  <c r="O3574" i="2"/>
  <c r="O3575" i="2"/>
  <c r="O3576" i="2"/>
  <c r="O3577" i="2"/>
  <c r="O3578" i="2"/>
  <c r="O3579" i="2"/>
  <c r="O3580" i="2"/>
  <c r="O3581" i="2"/>
  <c r="O3582" i="2"/>
  <c r="O3583" i="2"/>
  <c r="O3584" i="2"/>
  <c r="O3585" i="2"/>
  <c r="O3586" i="2"/>
  <c r="O3587" i="2"/>
  <c r="O3588" i="2"/>
  <c r="O3589" i="2"/>
  <c r="O3590" i="2"/>
  <c r="O3591" i="2"/>
  <c r="O3592" i="2"/>
  <c r="O3593" i="2"/>
  <c r="O3594" i="2"/>
  <c r="O3595" i="2"/>
  <c r="O3596" i="2"/>
  <c r="O3597" i="2"/>
  <c r="O3598" i="2"/>
  <c r="O3599" i="2"/>
  <c r="O3600" i="2"/>
  <c r="O3601" i="2"/>
  <c r="O3602" i="2"/>
  <c r="O3603" i="2"/>
  <c r="O3604" i="2"/>
  <c r="O3605" i="2"/>
  <c r="O3606" i="2"/>
  <c r="O3607" i="2"/>
  <c r="O3608" i="2"/>
  <c r="O3609" i="2"/>
  <c r="O3610" i="2"/>
  <c r="O3611" i="2"/>
  <c r="O3612" i="2"/>
  <c r="O3613" i="2"/>
  <c r="O3614" i="2"/>
  <c r="O3615" i="2"/>
  <c r="O3616" i="2"/>
  <c r="O3617" i="2"/>
  <c r="O3618" i="2"/>
  <c r="O3619" i="2"/>
  <c r="O3620" i="2"/>
  <c r="O3621" i="2"/>
  <c r="O3622" i="2"/>
  <c r="O3623" i="2"/>
  <c r="O3624" i="2"/>
  <c r="O3625" i="2"/>
  <c r="O3626" i="2"/>
  <c r="O3627" i="2"/>
  <c r="O3628" i="2"/>
  <c r="O3629" i="2"/>
  <c r="O3630" i="2"/>
  <c r="O3631" i="2"/>
  <c r="O3632" i="2"/>
  <c r="O3633" i="2"/>
  <c r="O3634" i="2"/>
  <c r="O3635" i="2"/>
  <c r="O3636" i="2"/>
  <c r="O3637" i="2"/>
  <c r="O3638" i="2"/>
  <c r="O3639" i="2"/>
  <c r="O3640" i="2"/>
  <c r="O3641" i="2"/>
  <c r="O3642" i="2"/>
  <c r="O3643" i="2"/>
  <c r="O3644" i="2"/>
  <c r="O3645" i="2"/>
  <c r="O3646" i="2"/>
  <c r="O3647" i="2"/>
  <c r="O3648" i="2"/>
  <c r="O3649" i="2"/>
  <c r="O3650" i="2"/>
  <c r="O3651" i="2"/>
  <c r="O3652" i="2"/>
  <c r="O3653" i="2"/>
  <c r="O3654" i="2"/>
  <c r="O3655" i="2"/>
  <c r="O3656" i="2"/>
  <c r="O3657" i="2"/>
  <c r="O3658" i="2"/>
  <c r="O3659" i="2"/>
  <c r="O3660" i="2"/>
  <c r="O3661" i="2"/>
  <c r="O3662" i="2"/>
  <c r="O3663" i="2"/>
  <c r="O3664" i="2"/>
  <c r="O3665" i="2"/>
  <c r="O3666" i="2"/>
  <c r="O3667" i="2"/>
  <c r="O3668" i="2"/>
  <c r="O3669" i="2"/>
  <c r="O3670" i="2"/>
  <c r="O3671" i="2"/>
  <c r="O3672" i="2"/>
  <c r="O3673" i="2"/>
  <c r="O3674" i="2"/>
  <c r="O3675" i="2"/>
  <c r="O3676" i="2"/>
  <c r="O3677" i="2"/>
  <c r="O3678" i="2"/>
  <c r="O3679" i="2"/>
  <c r="O3680" i="2"/>
  <c r="O3681" i="2"/>
  <c r="O3682" i="2"/>
  <c r="O3683" i="2"/>
  <c r="O3684" i="2"/>
  <c r="O3685" i="2"/>
  <c r="O3686" i="2"/>
  <c r="O3687" i="2"/>
  <c r="O3688" i="2"/>
  <c r="O3689" i="2"/>
  <c r="O3690" i="2"/>
  <c r="O3691" i="2"/>
  <c r="O3692" i="2"/>
  <c r="O3693" i="2"/>
  <c r="O3694" i="2"/>
  <c r="O3695" i="2"/>
  <c r="O3696" i="2"/>
  <c r="O3697" i="2"/>
  <c r="O3698" i="2"/>
  <c r="O3699" i="2"/>
  <c r="O3700" i="2"/>
  <c r="O3701" i="2"/>
  <c r="O3702" i="2"/>
  <c r="O3703" i="2"/>
  <c r="O3704" i="2"/>
  <c r="O3705" i="2"/>
  <c r="O3706" i="2"/>
  <c r="O3707" i="2"/>
  <c r="O3708" i="2"/>
  <c r="O3709" i="2"/>
  <c r="O3710" i="2"/>
  <c r="O3711" i="2"/>
  <c r="O3712" i="2"/>
  <c r="O3713" i="2"/>
  <c r="O3714" i="2"/>
  <c r="O3715" i="2"/>
  <c r="O3716" i="2"/>
  <c r="O3717" i="2"/>
  <c r="O3718" i="2"/>
  <c r="O3719" i="2"/>
  <c r="O3720" i="2"/>
  <c r="O3721" i="2"/>
  <c r="O3722" i="2"/>
  <c r="O3723" i="2"/>
  <c r="O3724" i="2"/>
  <c r="O3725" i="2"/>
  <c r="O3726" i="2"/>
  <c r="O3727" i="2"/>
  <c r="O3728" i="2"/>
  <c r="O3729" i="2"/>
  <c r="O3730" i="2"/>
  <c r="O3731" i="2"/>
  <c r="O3732" i="2"/>
  <c r="O3733" i="2"/>
  <c r="O3734" i="2"/>
  <c r="O3735" i="2"/>
  <c r="O3736" i="2"/>
  <c r="O3737" i="2"/>
  <c r="O3738" i="2"/>
  <c r="O3739" i="2"/>
  <c r="O3740" i="2"/>
  <c r="O3741" i="2"/>
  <c r="O3742" i="2"/>
  <c r="O3743" i="2"/>
  <c r="O3744" i="2"/>
  <c r="O3745" i="2"/>
  <c r="O3746" i="2"/>
  <c r="O3747" i="2"/>
  <c r="O3748" i="2"/>
  <c r="O3749" i="2"/>
  <c r="O3750" i="2"/>
  <c r="O3751" i="2"/>
  <c r="O3752" i="2"/>
  <c r="O3753" i="2"/>
  <c r="O3754" i="2"/>
  <c r="O3755" i="2"/>
  <c r="O3756" i="2"/>
  <c r="O3757" i="2"/>
  <c r="O3758" i="2"/>
  <c r="O3759" i="2"/>
  <c r="O3760" i="2"/>
  <c r="O3761" i="2"/>
  <c r="O3762" i="2"/>
  <c r="O3763" i="2"/>
  <c r="O3764" i="2"/>
  <c r="O3765" i="2"/>
  <c r="O3766" i="2"/>
  <c r="O3767" i="2"/>
  <c r="O3768" i="2"/>
  <c r="O3769" i="2"/>
  <c r="O3770" i="2"/>
  <c r="O3771" i="2"/>
  <c r="O3772" i="2"/>
  <c r="O3773" i="2"/>
  <c r="O3774" i="2"/>
  <c r="O3775" i="2"/>
  <c r="O3776" i="2"/>
  <c r="O3777" i="2"/>
  <c r="O3778" i="2"/>
  <c r="O3779" i="2"/>
  <c r="O3780" i="2"/>
  <c r="O3781" i="2"/>
  <c r="O3782" i="2"/>
  <c r="O3783" i="2"/>
  <c r="O3784" i="2"/>
  <c r="O3785" i="2"/>
  <c r="O3786" i="2"/>
  <c r="O3787" i="2"/>
  <c r="O3788" i="2"/>
  <c r="O3789" i="2"/>
  <c r="O3790" i="2"/>
  <c r="O3791" i="2"/>
  <c r="O3792" i="2"/>
  <c r="O3793" i="2"/>
  <c r="O3794" i="2"/>
  <c r="O3795" i="2"/>
  <c r="O3796" i="2"/>
  <c r="O3797" i="2"/>
  <c r="O3798" i="2"/>
  <c r="O3799" i="2"/>
  <c r="O3800" i="2"/>
  <c r="O3801" i="2"/>
  <c r="O3802" i="2"/>
  <c r="O3803" i="2"/>
  <c r="O3804" i="2"/>
  <c r="O3805" i="2"/>
  <c r="O3806" i="2"/>
  <c r="O3807" i="2"/>
  <c r="O3808" i="2"/>
  <c r="O3809" i="2"/>
  <c r="O3810" i="2"/>
  <c r="O3811" i="2"/>
  <c r="O3812" i="2"/>
  <c r="O3813" i="2"/>
  <c r="O3814" i="2"/>
  <c r="O3815" i="2"/>
  <c r="O3816" i="2"/>
  <c r="O3817" i="2"/>
  <c r="O3818" i="2"/>
  <c r="O3819" i="2"/>
  <c r="O3820" i="2"/>
  <c r="O3821" i="2"/>
  <c r="O3822" i="2"/>
  <c r="O3823" i="2"/>
  <c r="O3824" i="2"/>
  <c r="O3825" i="2"/>
  <c r="O3826" i="2"/>
  <c r="O3827" i="2"/>
  <c r="O3828" i="2"/>
  <c r="O3829" i="2"/>
  <c r="O3830" i="2"/>
  <c r="O3831" i="2"/>
  <c r="O3832" i="2"/>
  <c r="O3833" i="2"/>
  <c r="O3834" i="2"/>
  <c r="O3835" i="2"/>
  <c r="O3836" i="2"/>
  <c r="O3837" i="2"/>
  <c r="O3838" i="2"/>
  <c r="O3839" i="2"/>
  <c r="O3840" i="2"/>
  <c r="O3841" i="2"/>
  <c r="O3842" i="2"/>
  <c r="O3843" i="2"/>
  <c r="O3844" i="2"/>
  <c r="O3845" i="2"/>
  <c r="O3846" i="2"/>
  <c r="O3847" i="2"/>
  <c r="O3848" i="2"/>
  <c r="O3849" i="2"/>
  <c r="O3850" i="2"/>
  <c r="O3851" i="2"/>
  <c r="O3852" i="2"/>
  <c r="O3853" i="2"/>
  <c r="O3854" i="2"/>
  <c r="O3855" i="2"/>
  <c r="O3856" i="2"/>
  <c r="O3857" i="2"/>
  <c r="O3858" i="2"/>
  <c r="O3859" i="2"/>
  <c r="O3860" i="2"/>
  <c r="O3861" i="2"/>
  <c r="O3862" i="2"/>
  <c r="O3863" i="2"/>
  <c r="O3864" i="2"/>
  <c r="O3865" i="2"/>
  <c r="O3866" i="2"/>
  <c r="O3867" i="2"/>
  <c r="O3868" i="2"/>
  <c r="O3869" i="2"/>
  <c r="O3870" i="2"/>
  <c r="O3871" i="2"/>
  <c r="O3872" i="2"/>
  <c r="O3873" i="2"/>
  <c r="O3874" i="2"/>
  <c r="O3875" i="2"/>
  <c r="O3876" i="2"/>
  <c r="O3877" i="2"/>
  <c r="O3878" i="2"/>
  <c r="O3879" i="2"/>
  <c r="O3880" i="2"/>
  <c r="O3881" i="2"/>
  <c r="O3882" i="2"/>
  <c r="O3883" i="2"/>
  <c r="O3884" i="2"/>
  <c r="O3885" i="2"/>
  <c r="O3886" i="2"/>
  <c r="O3887" i="2"/>
  <c r="O3888" i="2"/>
  <c r="O3889" i="2"/>
  <c r="O3890" i="2"/>
  <c r="O3891" i="2"/>
  <c r="O3892" i="2"/>
  <c r="O3893" i="2"/>
  <c r="O3894" i="2"/>
  <c r="O3895" i="2"/>
  <c r="O3896" i="2"/>
  <c r="O3897" i="2"/>
  <c r="O3898" i="2"/>
  <c r="O3899" i="2"/>
  <c r="O3900" i="2"/>
  <c r="O3901" i="2"/>
  <c r="O3902" i="2"/>
  <c r="O3903" i="2"/>
  <c r="O3904" i="2"/>
  <c r="O3905" i="2"/>
  <c r="O3906" i="2"/>
  <c r="O3907" i="2"/>
  <c r="O3908" i="2"/>
  <c r="O3909" i="2"/>
  <c r="O3910" i="2"/>
  <c r="O3911" i="2"/>
  <c r="O3912" i="2"/>
  <c r="O3913" i="2"/>
  <c r="O3914" i="2"/>
  <c r="O3915" i="2"/>
  <c r="O3916" i="2"/>
  <c r="O3917" i="2"/>
  <c r="O3918" i="2"/>
  <c r="O3919" i="2"/>
  <c r="O3920" i="2"/>
  <c r="O3921" i="2"/>
  <c r="O3922" i="2"/>
  <c r="O3923" i="2"/>
  <c r="O3924" i="2"/>
  <c r="O3925" i="2"/>
  <c r="O3926" i="2"/>
  <c r="O3927" i="2"/>
  <c r="O3928" i="2"/>
  <c r="O3929" i="2"/>
  <c r="O3930" i="2"/>
  <c r="O3931" i="2"/>
  <c r="O3932" i="2"/>
  <c r="O3933" i="2"/>
  <c r="O3934" i="2"/>
  <c r="O3935" i="2"/>
  <c r="O3936" i="2"/>
  <c r="O3937" i="2"/>
  <c r="O3938" i="2"/>
  <c r="O3939" i="2"/>
  <c r="O3940" i="2"/>
  <c r="O3941" i="2"/>
  <c r="O3942" i="2"/>
  <c r="O3943" i="2"/>
  <c r="O3944" i="2"/>
  <c r="O3945" i="2"/>
  <c r="O3946" i="2"/>
  <c r="O3947" i="2"/>
  <c r="O3948" i="2"/>
  <c r="O3949" i="2"/>
  <c r="O3950" i="2"/>
  <c r="O3951" i="2"/>
  <c r="O3952" i="2"/>
  <c r="O3953" i="2"/>
  <c r="O3954" i="2"/>
  <c r="O3955" i="2"/>
  <c r="O3956" i="2"/>
  <c r="O3957" i="2"/>
  <c r="O3958" i="2"/>
  <c r="O3959" i="2"/>
  <c r="O3960" i="2"/>
  <c r="O3961" i="2"/>
  <c r="O3962" i="2"/>
  <c r="O3963" i="2"/>
  <c r="O3964" i="2"/>
  <c r="O3965" i="2"/>
  <c r="O3966" i="2"/>
  <c r="O3967" i="2"/>
  <c r="O3968" i="2"/>
  <c r="O3969" i="2"/>
  <c r="O3970" i="2"/>
  <c r="O3971" i="2"/>
  <c r="O3972" i="2"/>
  <c r="O3973" i="2"/>
  <c r="O3974" i="2"/>
  <c r="O3975" i="2"/>
  <c r="O3976" i="2"/>
  <c r="O3977" i="2"/>
  <c r="O3978" i="2"/>
  <c r="O3979" i="2"/>
  <c r="O3980" i="2"/>
  <c r="O3981" i="2"/>
  <c r="O3982" i="2"/>
  <c r="O3983" i="2"/>
  <c r="O3984" i="2"/>
  <c r="O3985" i="2"/>
  <c r="O3986" i="2"/>
  <c r="O3987" i="2"/>
  <c r="O3988" i="2"/>
  <c r="O3989" i="2"/>
  <c r="O3990" i="2"/>
  <c r="O3991" i="2"/>
  <c r="O3992" i="2"/>
  <c r="O3993" i="2"/>
  <c r="O3994" i="2"/>
  <c r="O3995" i="2"/>
  <c r="O3996" i="2"/>
  <c r="O3997" i="2"/>
  <c r="O3998" i="2"/>
  <c r="O3999" i="2"/>
  <c r="O4000" i="2"/>
  <c r="O4001" i="2"/>
  <c r="O4002" i="2"/>
  <c r="O4003" i="2"/>
  <c r="O4004" i="2"/>
  <c r="O4005" i="2"/>
  <c r="O4006" i="2"/>
  <c r="O4007" i="2"/>
  <c r="O4008" i="2"/>
  <c r="O4009" i="2"/>
  <c r="O4010" i="2"/>
  <c r="O4011" i="2"/>
  <c r="O4012" i="2"/>
  <c r="O4013" i="2"/>
  <c r="O4014" i="2"/>
  <c r="O4015" i="2"/>
  <c r="O4016" i="2"/>
  <c r="O4017" i="2"/>
  <c r="O4018" i="2"/>
  <c r="O4019" i="2"/>
  <c r="O4020" i="2"/>
  <c r="O4021" i="2"/>
  <c r="O4022" i="2"/>
  <c r="O4023" i="2"/>
  <c r="O4024" i="2"/>
  <c r="O4025" i="2"/>
  <c r="O4026" i="2"/>
  <c r="O4027" i="2"/>
  <c r="O4028" i="2"/>
  <c r="O4029" i="2"/>
  <c r="O4030" i="2"/>
  <c r="O4031" i="2"/>
  <c r="O4032" i="2"/>
  <c r="O4033" i="2"/>
  <c r="O4034" i="2"/>
  <c r="O4035" i="2"/>
  <c r="O4036" i="2"/>
  <c r="O4037" i="2"/>
  <c r="O4038" i="2"/>
  <c r="O4039" i="2"/>
  <c r="O4040" i="2"/>
  <c r="O4041" i="2"/>
  <c r="O4042" i="2"/>
  <c r="O4043" i="2"/>
  <c r="O4044" i="2"/>
  <c r="O4045" i="2"/>
  <c r="O4046" i="2"/>
  <c r="O4047" i="2"/>
  <c r="O4048" i="2"/>
  <c r="O4049" i="2"/>
  <c r="O4050" i="2"/>
  <c r="O4051" i="2"/>
  <c r="O4052" i="2"/>
  <c r="O4053" i="2"/>
  <c r="O4054" i="2"/>
  <c r="O4055" i="2"/>
  <c r="O4056" i="2"/>
  <c r="O4057" i="2"/>
  <c r="O4058" i="2"/>
  <c r="O4059" i="2"/>
  <c r="O4060" i="2"/>
  <c r="O4061" i="2"/>
  <c r="O4062" i="2"/>
  <c r="O4063" i="2"/>
  <c r="O4064" i="2"/>
  <c r="O4065" i="2"/>
  <c r="O4066" i="2"/>
  <c r="O4067" i="2"/>
  <c r="O4068" i="2"/>
  <c r="O4069" i="2"/>
  <c r="O4070" i="2"/>
  <c r="O4071" i="2"/>
  <c r="O4072" i="2"/>
  <c r="O4073" i="2"/>
  <c r="O4074" i="2"/>
  <c r="O4075" i="2"/>
  <c r="O4076" i="2"/>
  <c r="O4077" i="2"/>
  <c r="O4078" i="2"/>
  <c r="O4079" i="2"/>
  <c r="O4080" i="2"/>
  <c r="O4081" i="2"/>
  <c r="O4082" i="2"/>
  <c r="O4083" i="2"/>
  <c r="O4084" i="2"/>
  <c r="O4085" i="2"/>
  <c r="O4086" i="2"/>
  <c r="O4087" i="2"/>
  <c r="O4088" i="2"/>
  <c r="O4089" i="2"/>
  <c r="O4090" i="2"/>
  <c r="O4091" i="2"/>
  <c r="O4092" i="2"/>
  <c r="O4093" i="2"/>
  <c r="O4094" i="2"/>
  <c r="O4095" i="2"/>
  <c r="O4096" i="2"/>
  <c r="O4097" i="2"/>
  <c r="O4098" i="2"/>
  <c r="O4099" i="2"/>
  <c r="O4100" i="2"/>
  <c r="O4101" i="2"/>
  <c r="O4102" i="2"/>
  <c r="O4103" i="2"/>
  <c r="O4104" i="2"/>
  <c r="O4105" i="2"/>
  <c r="O4106" i="2"/>
  <c r="O4107" i="2"/>
  <c r="O4108" i="2"/>
  <c r="O4109" i="2"/>
  <c r="O4110" i="2"/>
  <c r="O4111" i="2"/>
  <c r="O4112" i="2"/>
  <c r="O4113" i="2"/>
  <c r="O4114" i="2"/>
  <c r="O4115" i="2"/>
  <c r="O4116" i="2"/>
  <c r="O4117" i="2"/>
  <c r="O4118" i="2"/>
  <c r="O4119" i="2"/>
  <c r="O4120" i="2"/>
  <c r="O4121" i="2"/>
  <c r="O4122" i="2"/>
  <c r="O4123" i="2"/>
  <c r="O4124" i="2"/>
  <c r="O4125" i="2"/>
  <c r="O4126" i="2"/>
  <c r="O4127" i="2"/>
  <c r="O4128" i="2"/>
  <c r="O4129" i="2"/>
  <c r="O4130" i="2"/>
  <c r="O4131" i="2"/>
  <c r="O4132" i="2"/>
  <c r="O4133" i="2"/>
  <c r="O4134" i="2"/>
  <c r="O4135" i="2"/>
  <c r="O4136" i="2"/>
  <c r="O4137" i="2"/>
  <c r="O4138" i="2"/>
  <c r="O4139" i="2"/>
  <c r="O4140" i="2"/>
  <c r="O4141" i="2"/>
  <c r="O4142" i="2"/>
  <c r="O4143" i="2"/>
  <c r="O4144" i="2"/>
  <c r="O4145" i="2"/>
  <c r="O4146" i="2"/>
  <c r="O4147" i="2"/>
  <c r="O4148" i="2"/>
  <c r="O4149" i="2"/>
  <c r="O4150" i="2"/>
  <c r="O4151" i="2"/>
  <c r="O4152" i="2"/>
  <c r="O4153" i="2"/>
  <c r="O4154" i="2"/>
  <c r="O4155" i="2"/>
  <c r="O4156" i="2"/>
  <c r="O4157" i="2"/>
  <c r="O4158" i="2"/>
  <c r="O4159" i="2"/>
  <c r="O4160" i="2"/>
  <c r="O4161" i="2"/>
  <c r="O4162" i="2"/>
  <c r="O4163" i="2"/>
  <c r="O4164" i="2"/>
  <c r="O4165" i="2"/>
  <c r="O4166" i="2"/>
  <c r="O4167" i="2"/>
  <c r="O4168" i="2"/>
  <c r="O4169" i="2"/>
  <c r="O4170" i="2"/>
  <c r="O4171" i="2"/>
  <c r="O4172" i="2"/>
  <c r="O4173" i="2"/>
  <c r="O4174" i="2"/>
  <c r="O4175" i="2"/>
  <c r="O4176" i="2"/>
  <c r="O4177" i="2"/>
  <c r="O4178" i="2"/>
  <c r="O4179" i="2"/>
  <c r="O4180" i="2"/>
  <c r="O4181" i="2"/>
  <c r="O4182" i="2"/>
  <c r="O4183" i="2"/>
  <c r="O4184" i="2"/>
  <c r="O4185" i="2"/>
  <c r="O4186" i="2"/>
  <c r="O4187" i="2"/>
  <c r="O4188" i="2"/>
  <c r="O4189" i="2"/>
  <c r="O4190" i="2"/>
  <c r="O4191" i="2"/>
  <c r="O4192" i="2"/>
  <c r="O4193" i="2"/>
  <c r="O4194" i="2"/>
  <c r="O4195" i="2"/>
  <c r="O4196" i="2"/>
  <c r="O4197" i="2"/>
  <c r="O4198" i="2"/>
  <c r="O4199" i="2"/>
  <c r="O4200" i="2"/>
  <c r="O4201" i="2"/>
  <c r="O4202" i="2"/>
  <c r="O4203" i="2"/>
  <c r="O4204" i="2"/>
  <c r="O4205" i="2"/>
  <c r="O4206" i="2"/>
  <c r="O4207" i="2"/>
  <c r="O4208" i="2"/>
  <c r="O4209" i="2"/>
  <c r="O4210" i="2"/>
  <c r="O4211" i="2"/>
  <c r="O4212" i="2"/>
  <c r="O4213" i="2"/>
  <c r="O4214" i="2"/>
  <c r="O4215" i="2"/>
  <c r="O4216" i="2"/>
  <c r="O4217" i="2"/>
  <c r="O4218" i="2"/>
  <c r="O4219" i="2"/>
  <c r="O4220" i="2"/>
  <c r="O4221" i="2"/>
  <c r="O4222" i="2"/>
  <c r="O4223" i="2"/>
  <c r="O4224" i="2"/>
  <c r="O4225" i="2"/>
  <c r="O4226" i="2"/>
  <c r="O4227" i="2"/>
  <c r="O4228" i="2"/>
  <c r="O4229" i="2"/>
  <c r="O4230" i="2"/>
  <c r="O4231" i="2"/>
  <c r="O4232" i="2"/>
  <c r="O4233" i="2"/>
  <c r="O4234" i="2"/>
  <c r="O4235" i="2"/>
  <c r="O4236" i="2"/>
  <c r="O4237" i="2"/>
  <c r="O4238" i="2"/>
  <c r="O4239" i="2"/>
  <c r="O4240" i="2"/>
  <c r="O4241" i="2"/>
  <c r="O4242" i="2"/>
  <c r="O4243" i="2"/>
  <c r="O4244" i="2"/>
  <c r="O4245" i="2"/>
  <c r="O4246" i="2"/>
  <c r="O4247" i="2"/>
  <c r="O4248" i="2"/>
  <c r="O4249" i="2"/>
  <c r="O4250" i="2"/>
  <c r="O4251" i="2"/>
  <c r="O4252" i="2"/>
  <c r="O4253" i="2"/>
  <c r="O4254" i="2"/>
  <c r="O4255" i="2"/>
  <c r="O4256" i="2"/>
  <c r="O4257" i="2"/>
  <c r="O4258" i="2"/>
  <c r="O4259" i="2"/>
  <c r="O4260" i="2"/>
  <c r="O4261" i="2"/>
  <c r="O4262" i="2"/>
  <c r="O4263" i="2"/>
  <c r="O4264" i="2"/>
  <c r="O4265" i="2"/>
  <c r="O4266" i="2"/>
  <c r="O4267" i="2"/>
  <c r="O4268" i="2"/>
  <c r="O4269" i="2"/>
  <c r="O4270" i="2"/>
  <c r="O4271" i="2"/>
  <c r="O4272" i="2"/>
  <c r="O4273" i="2"/>
  <c r="O4274" i="2"/>
  <c r="O4275" i="2"/>
  <c r="O4276" i="2"/>
  <c r="O4277" i="2"/>
  <c r="O4278" i="2"/>
  <c r="O4279" i="2"/>
  <c r="O4280" i="2"/>
  <c r="O4281" i="2"/>
  <c r="O4282" i="2"/>
  <c r="O4283" i="2"/>
  <c r="O4284" i="2"/>
  <c r="O4285" i="2"/>
  <c r="O4286" i="2"/>
  <c r="O4287" i="2"/>
  <c r="O4288" i="2"/>
  <c r="O4289" i="2"/>
  <c r="O4290" i="2"/>
  <c r="O4291" i="2"/>
  <c r="O4292" i="2"/>
  <c r="O4293" i="2"/>
  <c r="O4294" i="2"/>
  <c r="O4295" i="2"/>
  <c r="O4296" i="2"/>
  <c r="O4297" i="2"/>
  <c r="O4298" i="2"/>
  <c r="O4299" i="2"/>
  <c r="O4300" i="2"/>
  <c r="O4301" i="2"/>
  <c r="O4302" i="2"/>
  <c r="O4303" i="2"/>
  <c r="O4304" i="2"/>
  <c r="O4305" i="2"/>
  <c r="O4306" i="2"/>
  <c r="O4307" i="2"/>
  <c r="O4308" i="2"/>
  <c r="O4309" i="2"/>
  <c r="O4310" i="2"/>
  <c r="O4311" i="2"/>
  <c r="O4312" i="2"/>
  <c r="O4313" i="2"/>
  <c r="O4314" i="2"/>
  <c r="O4315" i="2"/>
  <c r="O4316" i="2"/>
  <c r="O4317" i="2"/>
  <c r="O4318" i="2"/>
  <c r="O4319" i="2"/>
  <c r="O4320" i="2"/>
  <c r="O4321" i="2"/>
  <c r="O4322" i="2"/>
  <c r="O4323" i="2"/>
  <c r="O4324" i="2"/>
  <c r="O4325" i="2"/>
  <c r="O4326" i="2"/>
  <c r="O4327" i="2"/>
  <c r="O4328" i="2"/>
  <c r="O4329" i="2"/>
  <c r="O4330" i="2"/>
  <c r="O4331" i="2"/>
  <c r="O4332" i="2"/>
  <c r="O4333" i="2"/>
  <c r="O4334" i="2"/>
  <c r="O4335" i="2"/>
  <c r="O4336" i="2"/>
  <c r="O4337" i="2"/>
  <c r="O4338" i="2"/>
  <c r="O4339" i="2"/>
  <c r="O4340" i="2"/>
  <c r="O4341" i="2"/>
  <c r="O4342" i="2"/>
  <c r="O4343" i="2"/>
  <c r="O4344" i="2"/>
  <c r="O4345" i="2"/>
  <c r="O4346" i="2"/>
  <c r="O4347" i="2"/>
  <c r="O4348" i="2"/>
  <c r="O4349" i="2"/>
  <c r="O4350" i="2"/>
  <c r="O4351" i="2"/>
  <c r="O4352" i="2"/>
  <c r="O4353" i="2"/>
  <c r="O4354" i="2"/>
  <c r="O4355" i="2"/>
  <c r="O4356" i="2"/>
  <c r="O4357" i="2"/>
  <c r="O4358" i="2"/>
  <c r="O4359" i="2"/>
  <c r="O4360" i="2"/>
  <c r="O4361" i="2"/>
  <c r="O4362" i="2"/>
  <c r="O4363" i="2"/>
  <c r="O4364" i="2"/>
  <c r="O4365" i="2"/>
  <c r="O4366" i="2"/>
  <c r="O4367" i="2"/>
  <c r="O4368" i="2"/>
  <c r="O4369" i="2"/>
  <c r="O4370" i="2"/>
  <c r="O4371" i="2"/>
  <c r="O4372" i="2"/>
  <c r="O4373" i="2"/>
  <c r="O4374" i="2"/>
  <c r="O4375" i="2"/>
  <c r="O4376" i="2"/>
  <c r="O4377" i="2"/>
  <c r="O4378" i="2"/>
  <c r="O4379" i="2"/>
  <c r="O4380" i="2"/>
  <c r="O4381" i="2"/>
  <c r="O4382" i="2"/>
  <c r="O4383" i="2"/>
  <c r="O4384" i="2"/>
  <c r="O4385" i="2"/>
  <c r="O4386" i="2"/>
  <c r="O4387" i="2"/>
  <c r="O4388" i="2"/>
  <c r="O4389" i="2"/>
  <c r="O4390" i="2"/>
  <c r="O4391" i="2"/>
  <c r="O4392" i="2"/>
  <c r="O4393" i="2"/>
  <c r="O4394" i="2"/>
  <c r="O4395" i="2"/>
  <c r="O4396" i="2"/>
  <c r="O4397" i="2"/>
  <c r="O4398" i="2"/>
  <c r="O4399" i="2"/>
  <c r="O4400" i="2"/>
  <c r="O4401" i="2"/>
  <c r="O4402" i="2"/>
  <c r="O4403" i="2"/>
  <c r="O4404" i="2"/>
  <c r="O4405" i="2"/>
  <c r="O4406" i="2"/>
  <c r="O4407" i="2"/>
  <c r="O4408" i="2"/>
  <c r="O4409" i="2"/>
  <c r="O4410" i="2"/>
  <c r="O4411" i="2"/>
  <c r="O4412" i="2"/>
  <c r="O4413" i="2"/>
  <c r="O4414" i="2"/>
  <c r="O4415" i="2"/>
  <c r="O4416" i="2"/>
  <c r="O4417" i="2"/>
  <c r="O4418" i="2"/>
  <c r="O4419" i="2"/>
  <c r="O4420" i="2"/>
  <c r="O4421" i="2"/>
  <c r="O4422" i="2"/>
  <c r="O4423" i="2"/>
  <c r="O4424" i="2"/>
  <c r="O4425" i="2"/>
  <c r="O4426" i="2"/>
  <c r="O4427" i="2"/>
  <c r="O4428" i="2"/>
  <c r="O4429" i="2"/>
  <c r="O4430" i="2"/>
  <c r="O4431" i="2"/>
  <c r="O4432" i="2"/>
  <c r="O4433" i="2"/>
  <c r="O4434" i="2"/>
  <c r="O4435" i="2"/>
  <c r="O4436" i="2"/>
  <c r="O4437" i="2"/>
  <c r="O4438" i="2"/>
  <c r="O4439" i="2"/>
  <c r="O4440" i="2"/>
  <c r="O4441" i="2"/>
  <c r="O4442" i="2"/>
  <c r="O4443" i="2"/>
  <c r="O4444" i="2"/>
  <c r="O4445" i="2"/>
  <c r="O4446" i="2"/>
  <c r="O4447" i="2"/>
  <c r="O4448" i="2"/>
  <c r="O4449" i="2"/>
  <c r="O4450" i="2"/>
  <c r="O4451" i="2"/>
  <c r="O4452" i="2"/>
  <c r="O4453" i="2"/>
  <c r="O4454" i="2"/>
  <c r="O4455" i="2"/>
  <c r="O4456" i="2"/>
  <c r="O4457" i="2"/>
  <c r="O4458" i="2"/>
  <c r="O4459" i="2"/>
  <c r="O4460" i="2"/>
  <c r="O4461" i="2"/>
  <c r="O4462" i="2"/>
  <c r="O4463" i="2"/>
  <c r="O4464" i="2"/>
  <c r="O4465" i="2"/>
  <c r="O4466" i="2"/>
  <c r="O4467" i="2"/>
  <c r="O4468" i="2"/>
  <c r="O4469" i="2"/>
  <c r="O4470" i="2"/>
  <c r="O4471" i="2"/>
  <c r="O4472" i="2"/>
  <c r="O4473" i="2"/>
  <c r="O4474" i="2"/>
  <c r="O4475" i="2"/>
  <c r="O4476" i="2"/>
  <c r="O4477" i="2"/>
  <c r="O4478" i="2"/>
  <c r="O4479" i="2"/>
  <c r="O4480" i="2"/>
  <c r="O4481" i="2"/>
  <c r="O4482" i="2"/>
  <c r="O4483" i="2"/>
  <c r="O4484" i="2"/>
  <c r="O4485" i="2"/>
  <c r="O4486" i="2"/>
  <c r="O4487" i="2"/>
  <c r="O4488" i="2"/>
  <c r="O4489" i="2"/>
  <c r="O4490" i="2"/>
  <c r="O4491" i="2"/>
  <c r="O4492" i="2"/>
  <c r="O4493" i="2"/>
  <c r="O4494" i="2"/>
  <c r="O4495" i="2"/>
  <c r="O4496" i="2"/>
  <c r="O4497" i="2"/>
  <c r="O4498" i="2"/>
  <c r="O4499" i="2"/>
  <c r="O4500" i="2"/>
  <c r="O4501" i="2"/>
  <c r="O4502" i="2"/>
  <c r="O4503" i="2"/>
  <c r="O4504" i="2"/>
  <c r="O4505" i="2"/>
  <c r="O4506" i="2"/>
  <c r="O4507" i="2"/>
  <c r="O4508" i="2"/>
  <c r="O4509" i="2"/>
  <c r="O4510" i="2"/>
  <c r="O4511" i="2"/>
  <c r="O4512" i="2"/>
  <c r="O4513" i="2"/>
  <c r="O4514" i="2"/>
  <c r="O4515" i="2"/>
  <c r="O4516" i="2"/>
  <c r="O4517" i="2"/>
  <c r="O4518" i="2"/>
  <c r="O4519" i="2"/>
  <c r="O4520" i="2"/>
  <c r="O4521" i="2"/>
  <c r="O4522" i="2"/>
  <c r="O4523" i="2"/>
  <c r="O4524" i="2"/>
  <c r="O4525" i="2"/>
  <c r="O4526" i="2"/>
  <c r="O4527" i="2"/>
  <c r="O4528" i="2"/>
  <c r="O4529" i="2"/>
  <c r="O4530" i="2"/>
  <c r="O4531" i="2"/>
  <c r="O4532" i="2"/>
  <c r="O4533" i="2"/>
  <c r="O4534" i="2"/>
  <c r="O4535" i="2"/>
  <c r="O4536" i="2"/>
  <c r="O4537" i="2"/>
  <c r="O4538" i="2"/>
  <c r="O4539" i="2"/>
  <c r="O4540" i="2"/>
  <c r="O4541" i="2"/>
  <c r="O4542" i="2"/>
  <c r="O4543" i="2"/>
  <c r="O4544" i="2"/>
  <c r="O4545" i="2"/>
  <c r="O4546" i="2"/>
  <c r="O4547" i="2"/>
  <c r="O4548" i="2"/>
  <c r="O4549" i="2"/>
  <c r="O4550" i="2"/>
  <c r="O4551" i="2"/>
  <c r="O4552" i="2"/>
  <c r="O4553" i="2"/>
  <c r="O4554" i="2"/>
  <c r="O4555" i="2"/>
  <c r="O4556" i="2"/>
  <c r="O4557" i="2"/>
  <c r="O4558" i="2"/>
  <c r="O4559" i="2"/>
  <c r="O4560" i="2"/>
  <c r="O4561" i="2"/>
  <c r="O4562" i="2"/>
  <c r="O4563" i="2"/>
  <c r="O4564" i="2"/>
  <c r="O4565" i="2"/>
  <c r="O4566" i="2"/>
  <c r="O4567" i="2"/>
  <c r="O4568" i="2"/>
  <c r="O4569" i="2"/>
  <c r="O4570" i="2"/>
  <c r="O4571" i="2"/>
  <c r="O4572" i="2"/>
  <c r="O4573" i="2"/>
  <c r="O4574" i="2"/>
  <c r="O4575" i="2"/>
  <c r="O4576" i="2"/>
  <c r="O4577" i="2"/>
  <c r="O4578" i="2"/>
  <c r="O4579" i="2"/>
  <c r="O4580" i="2"/>
  <c r="O4581" i="2"/>
  <c r="O4582" i="2"/>
  <c r="O4583" i="2"/>
  <c r="O4584" i="2"/>
  <c r="O4585" i="2"/>
  <c r="O4586" i="2"/>
  <c r="O4587" i="2"/>
  <c r="O4588" i="2"/>
  <c r="O4589" i="2"/>
  <c r="O4590" i="2"/>
  <c r="O4591" i="2"/>
  <c r="O4592" i="2"/>
  <c r="O4593" i="2"/>
  <c r="O4594" i="2"/>
  <c r="O4595" i="2"/>
  <c r="O4596" i="2"/>
  <c r="O4597" i="2"/>
  <c r="O4598" i="2"/>
  <c r="O4599" i="2"/>
  <c r="O4600" i="2"/>
  <c r="O4601" i="2"/>
  <c r="O4602" i="2"/>
  <c r="O4603" i="2"/>
  <c r="O4604" i="2"/>
  <c r="O4605" i="2"/>
  <c r="O4606" i="2"/>
  <c r="O4607" i="2"/>
  <c r="O4608" i="2"/>
  <c r="O4609" i="2"/>
  <c r="O4610" i="2"/>
  <c r="O4611" i="2"/>
  <c r="O4612" i="2"/>
  <c r="O4613" i="2"/>
  <c r="O4614" i="2"/>
  <c r="O4615" i="2"/>
  <c r="O4616" i="2"/>
  <c r="O4617" i="2"/>
  <c r="O4618" i="2"/>
  <c r="O4619" i="2"/>
  <c r="O4620" i="2"/>
  <c r="O4621" i="2"/>
  <c r="O4622" i="2"/>
  <c r="O4623" i="2"/>
  <c r="O4624" i="2"/>
  <c r="O4625" i="2"/>
  <c r="O4626" i="2"/>
  <c r="O4627" i="2"/>
  <c r="O4628" i="2"/>
  <c r="O4629" i="2"/>
  <c r="O4630" i="2"/>
  <c r="O4631" i="2"/>
  <c r="O4632" i="2"/>
  <c r="O4633" i="2"/>
  <c r="O4634" i="2"/>
  <c r="O4635" i="2"/>
  <c r="O4636" i="2"/>
  <c r="O4637" i="2"/>
  <c r="O4638" i="2"/>
  <c r="O4639" i="2"/>
  <c r="O4640" i="2"/>
  <c r="O4641" i="2"/>
  <c r="O4642" i="2"/>
  <c r="O4643" i="2"/>
  <c r="O4644" i="2"/>
  <c r="O4645" i="2"/>
  <c r="O4646" i="2"/>
  <c r="O4647" i="2"/>
  <c r="O4648" i="2"/>
  <c r="O4649" i="2"/>
  <c r="O4650" i="2"/>
  <c r="O4651" i="2"/>
  <c r="O4652" i="2"/>
  <c r="O4653" i="2"/>
  <c r="O4654" i="2"/>
  <c r="O4655" i="2"/>
  <c r="O4656" i="2"/>
  <c r="O4657" i="2"/>
  <c r="O4658" i="2"/>
  <c r="O4659" i="2"/>
  <c r="O4660" i="2"/>
  <c r="O4661" i="2"/>
  <c r="O4662" i="2"/>
  <c r="O4663" i="2"/>
  <c r="O4664" i="2"/>
  <c r="O4665" i="2"/>
  <c r="O4666" i="2"/>
  <c r="O4667" i="2"/>
  <c r="O4668" i="2"/>
  <c r="O4669" i="2"/>
  <c r="O4670" i="2"/>
  <c r="O4671" i="2"/>
  <c r="O4672" i="2"/>
  <c r="O4673" i="2"/>
  <c r="O4674" i="2"/>
  <c r="O4675" i="2"/>
  <c r="O4676" i="2"/>
  <c r="O4677" i="2"/>
  <c r="O4678" i="2"/>
  <c r="O4679" i="2"/>
  <c r="O4680" i="2"/>
  <c r="O4681" i="2"/>
  <c r="O4682" i="2"/>
  <c r="O4683" i="2"/>
  <c r="O4684" i="2"/>
  <c r="O4685" i="2"/>
  <c r="O4686" i="2"/>
  <c r="O4687" i="2"/>
  <c r="O4688" i="2"/>
  <c r="O4689" i="2"/>
  <c r="O4690" i="2"/>
  <c r="O4691" i="2"/>
  <c r="O4692" i="2"/>
  <c r="O4693" i="2"/>
  <c r="O4694" i="2"/>
  <c r="O4695" i="2"/>
  <c r="O4696" i="2"/>
  <c r="O4697" i="2"/>
  <c r="O4698" i="2"/>
  <c r="O4699" i="2"/>
  <c r="O4700" i="2"/>
  <c r="O4701" i="2"/>
  <c r="O4702" i="2"/>
  <c r="O4703" i="2"/>
  <c r="O4704" i="2"/>
  <c r="O4705" i="2"/>
  <c r="O4706" i="2"/>
  <c r="O4707" i="2"/>
  <c r="O4708" i="2"/>
  <c r="O4709" i="2"/>
  <c r="O4710" i="2"/>
  <c r="O4711" i="2"/>
  <c r="O4712" i="2"/>
  <c r="O4713" i="2"/>
  <c r="O4714" i="2"/>
  <c r="O4715" i="2"/>
  <c r="O4716" i="2"/>
  <c r="O4717" i="2"/>
  <c r="O4718" i="2"/>
  <c r="O4719" i="2"/>
  <c r="O4720" i="2"/>
  <c r="O4721" i="2"/>
  <c r="O4722" i="2"/>
  <c r="O4723" i="2"/>
  <c r="O4724" i="2"/>
  <c r="O4725" i="2"/>
  <c r="O4726" i="2"/>
  <c r="O4727" i="2"/>
  <c r="O4728" i="2"/>
  <c r="O4729" i="2"/>
  <c r="O4730" i="2"/>
  <c r="O4731" i="2"/>
  <c r="O4732" i="2"/>
  <c r="O4733" i="2"/>
  <c r="O4734" i="2"/>
  <c r="O4735" i="2"/>
  <c r="O4736" i="2"/>
  <c r="O4737" i="2"/>
  <c r="O4738" i="2"/>
  <c r="O4739" i="2"/>
  <c r="O4740" i="2"/>
  <c r="O4741" i="2"/>
  <c r="O4742" i="2"/>
  <c r="O4743" i="2"/>
  <c r="O4744" i="2"/>
  <c r="O4745" i="2"/>
  <c r="O4746" i="2"/>
  <c r="O4747" i="2"/>
  <c r="O4748" i="2"/>
  <c r="O4749" i="2"/>
  <c r="O4750" i="2"/>
  <c r="O4751" i="2"/>
  <c r="O4752" i="2"/>
  <c r="O4753" i="2"/>
  <c r="O4754" i="2"/>
  <c r="O4755" i="2"/>
  <c r="O4756" i="2"/>
  <c r="O4757" i="2"/>
  <c r="O4758" i="2"/>
  <c r="O4759" i="2"/>
  <c r="O4760" i="2"/>
  <c r="O4761" i="2"/>
  <c r="O4762" i="2"/>
  <c r="O4763" i="2"/>
  <c r="O4764" i="2"/>
  <c r="O4765" i="2"/>
  <c r="O4766" i="2"/>
  <c r="O4767" i="2"/>
  <c r="O4768" i="2"/>
  <c r="O4769" i="2"/>
  <c r="O4770" i="2"/>
  <c r="O4771" i="2"/>
  <c r="O4772" i="2"/>
  <c r="O4773" i="2"/>
  <c r="O4774" i="2"/>
  <c r="O4775" i="2"/>
  <c r="O4776" i="2"/>
  <c r="O4777" i="2"/>
  <c r="O4778" i="2"/>
  <c r="O4779" i="2"/>
  <c r="O4780" i="2"/>
  <c r="O4781" i="2"/>
  <c r="O4782" i="2"/>
  <c r="O4783" i="2"/>
  <c r="O4784" i="2"/>
  <c r="O4785" i="2"/>
  <c r="O4786" i="2"/>
  <c r="O4787" i="2"/>
  <c r="O4788" i="2"/>
  <c r="O4789" i="2"/>
  <c r="O4790" i="2"/>
  <c r="O4791" i="2"/>
  <c r="O4792" i="2"/>
  <c r="O4793" i="2"/>
  <c r="O4794" i="2"/>
  <c r="O4795" i="2"/>
  <c r="O4796" i="2"/>
  <c r="O4797" i="2"/>
  <c r="O4798" i="2"/>
  <c r="O4799" i="2"/>
  <c r="O4800" i="2"/>
  <c r="O4801" i="2"/>
  <c r="O4802" i="2"/>
  <c r="O4803" i="2"/>
  <c r="O4804" i="2"/>
  <c r="O4805" i="2"/>
  <c r="O4806" i="2"/>
  <c r="O4807" i="2"/>
  <c r="O4808" i="2"/>
  <c r="O4809" i="2"/>
  <c r="O4810" i="2"/>
  <c r="O4811" i="2"/>
  <c r="O4812" i="2"/>
  <c r="O4813" i="2"/>
  <c r="O4814" i="2"/>
  <c r="O4815" i="2"/>
  <c r="O4816" i="2"/>
  <c r="O4817" i="2"/>
  <c r="O4818" i="2"/>
  <c r="O4819" i="2"/>
  <c r="O4820" i="2"/>
  <c r="O4821" i="2"/>
  <c r="O4822" i="2"/>
  <c r="O4823" i="2"/>
  <c r="O4824" i="2"/>
  <c r="O4825" i="2"/>
  <c r="O4826" i="2"/>
  <c r="O4827" i="2"/>
  <c r="O4828" i="2"/>
  <c r="O4829" i="2"/>
  <c r="O4830" i="2"/>
  <c r="O4831" i="2"/>
  <c r="O4832" i="2"/>
  <c r="O4833" i="2"/>
  <c r="O4834" i="2"/>
  <c r="O4835" i="2"/>
  <c r="O4836" i="2"/>
  <c r="O4837" i="2"/>
  <c r="O4838" i="2"/>
  <c r="O4839" i="2"/>
  <c r="O4840" i="2"/>
  <c r="O4841" i="2"/>
  <c r="O4842" i="2"/>
  <c r="O4843" i="2"/>
  <c r="O4844" i="2"/>
  <c r="O4845" i="2"/>
  <c r="O4846" i="2"/>
  <c r="O4847" i="2"/>
  <c r="O4848" i="2"/>
  <c r="O4849" i="2"/>
  <c r="O4850" i="2"/>
  <c r="O4851" i="2"/>
  <c r="O4852" i="2"/>
  <c r="O4853" i="2"/>
  <c r="O4854" i="2"/>
  <c r="O4855" i="2"/>
  <c r="O4856" i="2"/>
  <c r="O4857" i="2"/>
  <c r="O4858" i="2"/>
  <c r="O4859" i="2"/>
  <c r="O4860" i="2"/>
  <c r="O4861" i="2"/>
  <c r="O4862" i="2"/>
  <c r="O4863" i="2"/>
  <c r="O4864" i="2"/>
  <c r="O4865" i="2"/>
  <c r="O4866" i="2"/>
  <c r="O4867" i="2"/>
  <c r="O4868" i="2"/>
  <c r="O4869" i="2"/>
  <c r="O4870" i="2"/>
  <c r="O4871" i="2"/>
  <c r="O4872" i="2"/>
  <c r="O4873" i="2"/>
  <c r="O4874" i="2"/>
  <c r="O4875" i="2"/>
  <c r="O4876" i="2"/>
  <c r="O4877" i="2"/>
  <c r="O4878" i="2"/>
  <c r="O4879" i="2"/>
  <c r="O4880" i="2"/>
  <c r="O4881" i="2"/>
  <c r="O4882" i="2"/>
  <c r="O4883" i="2"/>
  <c r="O4884" i="2"/>
  <c r="O4885" i="2"/>
  <c r="O4886" i="2"/>
  <c r="O4887" i="2"/>
  <c r="O4888" i="2"/>
  <c r="O4889" i="2"/>
  <c r="O4890" i="2"/>
  <c r="O4891" i="2"/>
  <c r="O4892" i="2"/>
  <c r="O4893" i="2"/>
  <c r="O4894" i="2"/>
  <c r="O4895" i="2"/>
  <c r="O4896" i="2"/>
  <c r="O4897" i="2"/>
  <c r="O4898" i="2"/>
  <c r="O4899" i="2"/>
  <c r="O4900" i="2"/>
  <c r="O4901" i="2"/>
  <c r="O4902" i="2"/>
  <c r="O4903" i="2"/>
  <c r="O4904" i="2"/>
  <c r="O4905" i="2"/>
  <c r="O4906" i="2"/>
  <c r="O4907" i="2"/>
  <c r="O4908" i="2"/>
  <c r="O4909" i="2"/>
  <c r="O4910" i="2"/>
  <c r="O4911" i="2"/>
  <c r="O4912" i="2"/>
  <c r="O4913" i="2"/>
  <c r="O4914" i="2"/>
  <c r="O4915" i="2"/>
  <c r="O4916" i="2"/>
  <c r="O4917" i="2"/>
  <c r="O4918" i="2"/>
  <c r="O4919" i="2"/>
  <c r="O4920" i="2"/>
  <c r="O4921" i="2"/>
  <c r="O4922" i="2"/>
  <c r="O4923" i="2"/>
  <c r="O4924" i="2"/>
  <c r="O4925" i="2"/>
  <c r="O4926" i="2"/>
  <c r="O4927" i="2"/>
  <c r="O4928" i="2"/>
  <c r="O4929" i="2"/>
  <c r="O4930" i="2"/>
  <c r="O4931" i="2"/>
  <c r="O4932" i="2"/>
  <c r="O4933" i="2"/>
  <c r="O4934" i="2"/>
  <c r="O4935" i="2"/>
  <c r="O4936" i="2"/>
  <c r="O4937" i="2"/>
  <c r="O4938" i="2"/>
  <c r="O4939" i="2"/>
  <c r="O4940" i="2"/>
  <c r="O4941" i="2"/>
  <c r="O4942" i="2"/>
  <c r="O4943" i="2"/>
  <c r="O4944" i="2"/>
  <c r="O4945" i="2"/>
  <c r="O4946" i="2"/>
  <c r="O4947" i="2"/>
  <c r="O4948" i="2"/>
  <c r="O4949" i="2"/>
  <c r="O4950" i="2"/>
  <c r="O4951" i="2"/>
  <c r="O4952" i="2"/>
  <c r="O4953" i="2"/>
  <c r="O4954" i="2"/>
  <c r="O4955" i="2"/>
  <c r="O4956" i="2"/>
  <c r="O4957" i="2"/>
  <c r="O4958" i="2"/>
  <c r="O4959" i="2"/>
  <c r="O4960" i="2"/>
  <c r="O4961" i="2"/>
  <c r="O4962" i="2"/>
  <c r="O4963" i="2"/>
  <c r="O4964" i="2"/>
  <c r="O4965" i="2"/>
  <c r="O4966" i="2"/>
  <c r="O4967" i="2"/>
  <c r="O4968" i="2"/>
  <c r="O4969" i="2"/>
  <c r="O4970" i="2"/>
  <c r="O4971" i="2"/>
  <c r="O4972" i="2"/>
  <c r="O4973" i="2"/>
  <c r="O4974" i="2"/>
  <c r="O4975" i="2"/>
  <c r="O4976" i="2"/>
  <c r="O4977" i="2"/>
  <c r="O4978" i="2"/>
  <c r="O4979" i="2"/>
  <c r="O4980" i="2"/>
  <c r="O4981" i="2"/>
  <c r="O4982" i="2"/>
  <c r="O4983" i="2"/>
  <c r="O4984" i="2"/>
  <c r="O4985" i="2"/>
  <c r="O4986" i="2"/>
  <c r="O4987" i="2"/>
  <c r="O4988" i="2"/>
  <c r="O4989" i="2"/>
  <c r="O4990" i="2"/>
  <c r="O4991" i="2"/>
  <c r="O4992" i="2"/>
  <c r="O4993" i="2"/>
  <c r="O4994" i="2"/>
  <c r="O4995" i="2"/>
  <c r="O4996" i="2"/>
  <c r="O4997" i="2"/>
  <c r="O4998" i="2"/>
  <c r="O4999" i="2"/>
  <c r="O5000" i="2"/>
  <c r="O5001" i="2"/>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P496" i="2"/>
  <c r="P497" i="2"/>
  <c r="P498" i="2"/>
  <c r="P499" i="2"/>
  <c r="P500" i="2"/>
  <c r="P501" i="2"/>
  <c r="P502" i="2"/>
  <c r="P503" i="2"/>
  <c r="P504" i="2"/>
  <c r="P505" i="2"/>
  <c r="P506" i="2"/>
  <c r="P507" i="2"/>
  <c r="P508" i="2"/>
  <c r="P509" i="2"/>
  <c r="P510" i="2"/>
  <c r="P511" i="2"/>
  <c r="P512" i="2"/>
  <c r="P513" i="2"/>
  <c r="P514" i="2"/>
  <c r="P515" i="2"/>
  <c r="P516" i="2"/>
  <c r="P517" i="2"/>
  <c r="P518" i="2"/>
  <c r="P519" i="2"/>
  <c r="P520" i="2"/>
  <c r="P521" i="2"/>
  <c r="P522" i="2"/>
  <c r="P523" i="2"/>
  <c r="P524" i="2"/>
  <c r="P525" i="2"/>
  <c r="P526" i="2"/>
  <c r="P527" i="2"/>
  <c r="P528" i="2"/>
  <c r="P529" i="2"/>
  <c r="P530" i="2"/>
  <c r="P531" i="2"/>
  <c r="P532" i="2"/>
  <c r="P533" i="2"/>
  <c r="P534" i="2"/>
  <c r="P535" i="2"/>
  <c r="P536" i="2"/>
  <c r="P537" i="2"/>
  <c r="P538" i="2"/>
  <c r="P539" i="2"/>
  <c r="P540" i="2"/>
  <c r="P541" i="2"/>
  <c r="P542" i="2"/>
  <c r="P543" i="2"/>
  <c r="P544" i="2"/>
  <c r="P545" i="2"/>
  <c r="P546" i="2"/>
  <c r="P547" i="2"/>
  <c r="P548" i="2"/>
  <c r="P549" i="2"/>
  <c r="P550" i="2"/>
  <c r="P551" i="2"/>
  <c r="P552" i="2"/>
  <c r="P553" i="2"/>
  <c r="P554" i="2"/>
  <c r="P555" i="2"/>
  <c r="P556" i="2"/>
  <c r="P557" i="2"/>
  <c r="P558" i="2"/>
  <c r="P559" i="2"/>
  <c r="P560" i="2"/>
  <c r="P561" i="2"/>
  <c r="P562" i="2"/>
  <c r="P563" i="2"/>
  <c r="P564" i="2"/>
  <c r="P565" i="2"/>
  <c r="P566" i="2"/>
  <c r="P567" i="2"/>
  <c r="P568" i="2"/>
  <c r="P569" i="2"/>
  <c r="P570" i="2"/>
  <c r="P571" i="2"/>
  <c r="P572" i="2"/>
  <c r="P573" i="2"/>
  <c r="P574" i="2"/>
  <c r="P575" i="2"/>
  <c r="P576" i="2"/>
  <c r="P577" i="2"/>
  <c r="P578" i="2"/>
  <c r="P579" i="2"/>
  <c r="P580" i="2"/>
  <c r="P581" i="2"/>
  <c r="P582" i="2"/>
  <c r="P583" i="2"/>
  <c r="P584" i="2"/>
  <c r="P585" i="2"/>
  <c r="P586" i="2"/>
  <c r="P587" i="2"/>
  <c r="P588" i="2"/>
  <c r="P589" i="2"/>
  <c r="P590" i="2"/>
  <c r="P591" i="2"/>
  <c r="P592" i="2"/>
  <c r="P593" i="2"/>
  <c r="P594" i="2"/>
  <c r="P595" i="2"/>
  <c r="P596" i="2"/>
  <c r="P597" i="2"/>
  <c r="P598" i="2"/>
  <c r="P599" i="2"/>
  <c r="P600" i="2"/>
  <c r="P601" i="2"/>
  <c r="P602" i="2"/>
  <c r="P603" i="2"/>
  <c r="P604" i="2"/>
  <c r="P605" i="2"/>
  <c r="P606" i="2"/>
  <c r="P607" i="2"/>
  <c r="P608" i="2"/>
  <c r="P609" i="2"/>
  <c r="P610" i="2"/>
  <c r="P611" i="2"/>
  <c r="P612" i="2"/>
  <c r="P613" i="2"/>
  <c r="P614" i="2"/>
  <c r="P615" i="2"/>
  <c r="P616" i="2"/>
  <c r="P617" i="2"/>
  <c r="P618" i="2"/>
  <c r="P619" i="2"/>
  <c r="P620" i="2"/>
  <c r="P621" i="2"/>
  <c r="P622" i="2"/>
  <c r="P623" i="2"/>
  <c r="P624" i="2"/>
  <c r="P625" i="2"/>
  <c r="P626" i="2"/>
  <c r="P627" i="2"/>
  <c r="P628" i="2"/>
  <c r="P629" i="2"/>
  <c r="P630" i="2"/>
  <c r="P631" i="2"/>
  <c r="P632" i="2"/>
  <c r="P633" i="2"/>
  <c r="P634" i="2"/>
  <c r="P635" i="2"/>
  <c r="P636" i="2"/>
  <c r="P637" i="2"/>
  <c r="P638" i="2"/>
  <c r="P639" i="2"/>
  <c r="P640" i="2"/>
  <c r="P641" i="2"/>
  <c r="P642" i="2"/>
  <c r="P643" i="2"/>
  <c r="P644" i="2"/>
  <c r="P645" i="2"/>
  <c r="P646" i="2"/>
  <c r="P647" i="2"/>
  <c r="P648" i="2"/>
  <c r="P649" i="2"/>
  <c r="P650" i="2"/>
  <c r="P651" i="2"/>
  <c r="P652" i="2"/>
  <c r="P653" i="2"/>
  <c r="P654" i="2"/>
  <c r="P655" i="2"/>
  <c r="P656" i="2"/>
  <c r="P657" i="2"/>
  <c r="P658" i="2"/>
  <c r="P659" i="2"/>
  <c r="P660" i="2"/>
  <c r="P661" i="2"/>
  <c r="P662" i="2"/>
  <c r="P663" i="2"/>
  <c r="P664" i="2"/>
  <c r="P665" i="2"/>
  <c r="P666" i="2"/>
  <c r="P667" i="2"/>
  <c r="P668" i="2"/>
  <c r="P669" i="2"/>
  <c r="P670" i="2"/>
  <c r="P671" i="2"/>
  <c r="P672" i="2"/>
  <c r="P673" i="2"/>
  <c r="P674" i="2"/>
  <c r="P675" i="2"/>
  <c r="P676" i="2"/>
  <c r="P677" i="2"/>
  <c r="P678" i="2"/>
  <c r="P679" i="2"/>
  <c r="P680" i="2"/>
  <c r="P681" i="2"/>
  <c r="P682" i="2"/>
  <c r="P683" i="2"/>
  <c r="P684" i="2"/>
  <c r="P685" i="2"/>
  <c r="P686" i="2"/>
  <c r="P687" i="2"/>
  <c r="P688" i="2"/>
  <c r="P689" i="2"/>
  <c r="P690" i="2"/>
  <c r="P691" i="2"/>
  <c r="P692" i="2"/>
  <c r="P693" i="2"/>
  <c r="P694" i="2"/>
  <c r="P695" i="2"/>
  <c r="P696" i="2"/>
  <c r="P697" i="2"/>
  <c r="P698" i="2"/>
  <c r="P699" i="2"/>
  <c r="P700" i="2"/>
  <c r="P701" i="2"/>
  <c r="P702" i="2"/>
  <c r="P703" i="2"/>
  <c r="P704" i="2"/>
  <c r="P705" i="2"/>
  <c r="P706" i="2"/>
  <c r="P707" i="2"/>
  <c r="P708" i="2"/>
  <c r="P709" i="2"/>
  <c r="P710" i="2"/>
  <c r="P711" i="2"/>
  <c r="P712" i="2"/>
  <c r="P713" i="2"/>
  <c r="P714" i="2"/>
  <c r="P715" i="2"/>
  <c r="P716" i="2"/>
  <c r="P717" i="2"/>
  <c r="P718" i="2"/>
  <c r="P719" i="2"/>
  <c r="P720" i="2"/>
  <c r="P721" i="2"/>
  <c r="P722" i="2"/>
  <c r="P723" i="2"/>
  <c r="P724" i="2"/>
  <c r="P725" i="2"/>
  <c r="P726" i="2"/>
  <c r="P727" i="2"/>
  <c r="P728" i="2"/>
  <c r="P729" i="2"/>
  <c r="P730" i="2"/>
  <c r="P731" i="2"/>
  <c r="P732" i="2"/>
  <c r="P733" i="2"/>
  <c r="P734" i="2"/>
  <c r="P735" i="2"/>
  <c r="P736" i="2"/>
  <c r="P737" i="2"/>
  <c r="P738" i="2"/>
  <c r="P739" i="2"/>
  <c r="P740" i="2"/>
  <c r="P741" i="2"/>
  <c r="P742" i="2"/>
  <c r="P743" i="2"/>
  <c r="P744" i="2"/>
  <c r="P745" i="2"/>
  <c r="P746" i="2"/>
  <c r="P747" i="2"/>
  <c r="P748" i="2"/>
  <c r="P749" i="2"/>
  <c r="P750" i="2"/>
  <c r="P751" i="2"/>
  <c r="P752" i="2"/>
  <c r="P753" i="2"/>
  <c r="P754" i="2"/>
  <c r="P755" i="2"/>
  <c r="P756" i="2"/>
  <c r="P757" i="2"/>
  <c r="P758" i="2"/>
  <c r="P759" i="2"/>
  <c r="P760" i="2"/>
  <c r="P761" i="2"/>
  <c r="P762" i="2"/>
  <c r="P763" i="2"/>
  <c r="P764" i="2"/>
  <c r="P765" i="2"/>
  <c r="P766" i="2"/>
  <c r="P767" i="2"/>
  <c r="P768" i="2"/>
  <c r="P769" i="2"/>
  <c r="P770" i="2"/>
  <c r="P771" i="2"/>
  <c r="P772" i="2"/>
  <c r="P773" i="2"/>
  <c r="P774" i="2"/>
  <c r="P775" i="2"/>
  <c r="P776" i="2"/>
  <c r="P777" i="2"/>
  <c r="P778" i="2"/>
  <c r="P779" i="2"/>
  <c r="P780" i="2"/>
  <c r="P781" i="2"/>
  <c r="P782" i="2"/>
  <c r="P783" i="2"/>
  <c r="P784" i="2"/>
  <c r="P785" i="2"/>
  <c r="P786" i="2"/>
  <c r="P787" i="2"/>
  <c r="P788" i="2"/>
  <c r="P789" i="2"/>
  <c r="P790" i="2"/>
  <c r="P791" i="2"/>
  <c r="P792" i="2"/>
  <c r="P793" i="2"/>
  <c r="P794" i="2"/>
  <c r="P795" i="2"/>
  <c r="P796" i="2"/>
  <c r="P797" i="2"/>
  <c r="P798" i="2"/>
  <c r="P799" i="2"/>
  <c r="P800" i="2"/>
  <c r="P801" i="2"/>
  <c r="P802" i="2"/>
  <c r="P803" i="2"/>
  <c r="P804" i="2"/>
  <c r="P805" i="2"/>
  <c r="P806" i="2"/>
  <c r="P807" i="2"/>
  <c r="P808" i="2"/>
  <c r="P809" i="2"/>
  <c r="P810" i="2"/>
  <c r="P811" i="2"/>
  <c r="P812" i="2"/>
  <c r="P813" i="2"/>
  <c r="P814" i="2"/>
  <c r="P815" i="2"/>
  <c r="P816" i="2"/>
  <c r="P817" i="2"/>
  <c r="P818" i="2"/>
  <c r="P819" i="2"/>
  <c r="P820" i="2"/>
  <c r="P821" i="2"/>
  <c r="P822" i="2"/>
  <c r="P823" i="2"/>
  <c r="P824" i="2"/>
  <c r="P825" i="2"/>
  <c r="P826" i="2"/>
  <c r="P827" i="2"/>
  <c r="P828" i="2"/>
  <c r="P829" i="2"/>
  <c r="P830" i="2"/>
  <c r="P831" i="2"/>
  <c r="P832" i="2"/>
  <c r="P833" i="2"/>
  <c r="P834" i="2"/>
  <c r="P835" i="2"/>
  <c r="P836" i="2"/>
  <c r="P837" i="2"/>
  <c r="P838" i="2"/>
  <c r="P839" i="2"/>
  <c r="P840" i="2"/>
  <c r="P841" i="2"/>
  <c r="P842" i="2"/>
  <c r="P843" i="2"/>
  <c r="P844" i="2"/>
  <c r="P845" i="2"/>
  <c r="P846" i="2"/>
  <c r="P847" i="2"/>
  <c r="P848" i="2"/>
  <c r="P849" i="2"/>
  <c r="P850" i="2"/>
  <c r="P851" i="2"/>
  <c r="P852" i="2"/>
  <c r="P853" i="2"/>
  <c r="P854" i="2"/>
  <c r="P855" i="2"/>
  <c r="P856" i="2"/>
  <c r="P857" i="2"/>
  <c r="P858" i="2"/>
  <c r="P859" i="2"/>
  <c r="P860" i="2"/>
  <c r="P861" i="2"/>
  <c r="P862" i="2"/>
  <c r="P863" i="2"/>
  <c r="P864" i="2"/>
  <c r="P865" i="2"/>
  <c r="P866" i="2"/>
  <c r="P867" i="2"/>
  <c r="P868" i="2"/>
  <c r="P869" i="2"/>
  <c r="P870" i="2"/>
  <c r="P871" i="2"/>
  <c r="P872" i="2"/>
  <c r="P873" i="2"/>
  <c r="P874" i="2"/>
  <c r="P875" i="2"/>
  <c r="P876" i="2"/>
  <c r="P877" i="2"/>
  <c r="P878" i="2"/>
  <c r="P879" i="2"/>
  <c r="P880" i="2"/>
  <c r="P881" i="2"/>
  <c r="P882" i="2"/>
  <c r="P883" i="2"/>
  <c r="P884" i="2"/>
  <c r="P885" i="2"/>
  <c r="P886" i="2"/>
  <c r="P887" i="2"/>
  <c r="P888" i="2"/>
  <c r="P889" i="2"/>
  <c r="P890" i="2"/>
  <c r="P891" i="2"/>
  <c r="P892" i="2"/>
  <c r="P893" i="2"/>
  <c r="P894" i="2"/>
  <c r="P895" i="2"/>
  <c r="P896" i="2"/>
  <c r="P897" i="2"/>
  <c r="P898" i="2"/>
  <c r="P899" i="2"/>
  <c r="P900" i="2"/>
  <c r="P901" i="2"/>
  <c r="P902" i="2"/>
  <c r="P903" i="2"/>
  <c r="P904" i="2"/>
  <c r="P905" i="2"/>
  <c r="P906" i="2"/>
  <c r="P907" i="2"/>
  <c r="P908" i="2"/>
  <c r="P909" i="2"/>
  <c r="P910" i="2"/>
  <c r="P911" i="2"/>
  <c r="P912" i="2"/>
  <c r="P913" i="2"/>
  <c r="P914" i="2"/>
  <c r="P915" i="2"/>
  <c r="P916" i="2"/>
  <c r="P917" i="2"/>
  <c r="P918" i="2"/>
  <c r="P919" i="2"/>
  <c r="P920" i="2"/>
  <c r="P921" i="2"/>
  <c r="P922" i="2"/>
  <c r="P923" i="2"/>
  <c r="P924" i="2"/>
  <c r="P925" i="2"/>
  <c r="P926" i="2"/>
  <c r="P927" i="2"/>
  <c r="P928" i="2"/>
  <c r="P929" i="2"/>
  <c r="P930" i="2"/>
  <c r="P931" i="2"/>
  <c r="P932" i="2"/>
  <c r="P933" i="2"/>
  <c r="P934" i="2"/>
  <c r="P935" i="2"/>
  <c r="P936" i="2"/>
  <c r="P937" i="2"/>
  <c r="P938" i="2"/>
  <c r="P939" i="2"/>
  <c r="P940" i="2"/>
  <c r="P941" i="2"/>
  <c r="P942" i="2"/>
  <c r="P943" i="2"/>
  <c r="P944" i="2"/>
  <c r="P945" i="2"/>
  <c r="P946" i="2"/>
  <c r="P947" i="2"/>
  <c r="P948" i="2"/>
  <c r="P949" i="2"/>
  <c r="P950" i="2"/>
  <c r="P951" i="2"/>
  <c r="P952" i="2"/>
  <c r="P953" i="2"/>
  <c r="P954" i="2"/>
  <c r="P955" i="2"/>
  <c r="P956" i="2"/>
  <c r="P957" i="2"/>
  <c r="P958" i="2"/>
  <c r="P959" i="2"/>
  <c r="P960" i="2"/>
  <c r="P961" i="2"/>
  <c r="P962" i="2"/>
  <c r="P963" i="2"/>
  <c r="P964" i="2"/>
  <c r="P965" i="2"/>
  <c r="P966" i="2"/>
  <c r="P967" i="2"/>
  <c r="P968" i="2"/>
  <c r="P969" i="2"/>
  <c r="P970" i="2"/>
  <c r="P971" i="2"/>
  <c r="P972" i="2"/>
  <c r="P973" i="2"/>
  <c r="P974" i="2"/>
  <c r="P975" i="2"/>
  <c r="P976" i="2"/>
  <c r="P977" i="2"/>
  <c r="P978" i="2"/>
  <c r="P979" i="2"/>
  <c r="P980" i="2"/>
  <c r="P981" i="2"/>
  <c r="P982" i="2"/>
  <c r="P983" i="2"/>
  <c r="P984" i="2"/>
  <c r="P985" i="2"/>
  <c r="P986" i="2"/>
  <c r="P987" i="2"/>
  <c r="P988" i="2"/>
  <c r="P989" i="2"/>
  <c r="P990" i="2"/>
  <c r="P991" i="2"/>
  <c r="P992" i="2"/>
  <c r="P993" i="2"/>
  <c r="P994" i="2"/>
  <c r="P995" i="2"/>
  <c r="P996" i="2"/>
  <c r="P997" i="2"/>
  <c r="P998" i="2"/>
  <c r="P999" i="2"/>
  <c r="P1000" i="2"/>
  <c r="P1001" i="2"/>
  <c r="P1002" i="2"/>
  <c r="P1003" i="2"/>
  <c r="P1004" i="2"/>
  <c r="P1005" i="2"/>
  <c r="P1006" i="2"/>
  <c r="P1007" i="2"/>
  <c r="P1008" i="2"/>
  <c r="P1009" i="2"/>
  <c r="P1010" i="2"/>
  <c r="P1011" i="2"/>
  <c r="P1012" i="2"/>
  <c r="P1013" i="2"/>
  <c r="P1014" i="2"/>
  <c r="P1015" i="2"/>
  <c r="P1016" i="2"/>
  <c r="P1017" i="2"/>
  <c r="P1018" i="2"/>
  <c r="P1019" i="2"/>
  <c r="P1020" i="2"/>
  <c r="P1021" i="2"/>
  <c r="P1022" i="2"/>
  <c r="P1023" i="2"/>
  <c r="P1024" i="2"/>
  <c r="P1025" i="2"/>
  <c r="P1026" i="2"/>
  <c r="P1027" i="2"/>
  <c r="P1028" i="2"/>
  <c r="P1029" i="2"/>
  <c r="P1030" i="2"/>
  <c r="P1031" i="2"/>
  <c r="P1032" i="2"/>
  <c r="P1033" i="2"/>
  <c r="P1034" i="2"/>
  <c r="P1035" i="2"/>
  <c r="P1036" i="2"/>
  <c r="P1037" i="2"/>
  <c r="P1038" i="2"/>
  <c r="P1039" i="2"/>
  <c r="P1040" i="2"/>
  <c r="P1041" i="2"/>
  <c r="P1042" i="2"/>
  <c r="P1043" i="2"/>
  <c r="P1044" i="2"/>
  <c r="P1045" i="2"/>
  <c r="P1046" i="2"/>
  <c r="P1047" i="2"/>
  <c r="P1048" i="2"/>
  <c r="P1049" i="2"/>
  <c r="P1050" i="2"/>
  <c r="P1051" i="2"/>
  <c r="P1052" i="2"/>
  <c r="P1053" i="2"/>
  <c r="P1054" i="2"/>
  <c r="P1055" i="2"/>
  <c r="P1056" i="2"/>
  <c r="P1057" i="2"/>
  <c r="P1058" i="2"/>
  <c r="P1059" i="2"/>
  <c r="P1060" i="2"/>
  <c r="P1061" i="2"/>
  <c r="P1062" i="2"/>
  <c r="P1063" i="2"/>
  <c r="P1064" i="2"/>
  <c r="P1065" i="2"/>
  <c r="P1066" i="2"/>
  <c r="P1067" i="2"/>
  <c r="P1068" i="2"/>
  <c r="P1069" i="2"/>
  <c r="P1070" i="2"/>
  <c r="P1071" i="2"/>
  <c r="P1072" i="2"/>
  <c r="P1073" i="2"/>
  <c r="P1074" i="2"/>
  <c r="P1075" i="2"/>
  <c r="P1076" i="2"/>
  <c r="P1077" i="2"/>
  <c r="P1078" i="2"/>
  <c r="P1079" i="2"/>
  <c r="P1080" i="2"/>
  <c r="P1081" i="2"/>
  <c r="P1082" i="2"/>
  <c r="P1083" i="2"/>
  <c r="P1084" i="2"/>
  <c r="P1085" i="2"/>
  <c r="P1086" i="2"/>
  <c r="P1087" i="2"/>
  <c r="P1088" i="2"/>
  <c r="P1089" i="2"/>
  <c r="P1090" i="2"/>
  <c r="P1091" i="2"/>
  <c r="P1092" i="2"/>
  <c r="P1093" i="2"/>
  <c r="P1094" i="2"/>
  <c r="P1095" i="2"/>
  <c r="P1096" i="2"/>
  <c r="P1097" i="2"/>
  <c r="P1098" i="2"/>
  <c r="P1099" i="2"/>
  <c r="P1100" i="2"/>
  <c r="P1101" i="2"/>
  <c r="P1102" i="2"/>
  <c r="P1103" i="2"/>
  <c r="P1104" i="2"/>
  <c r="P1105" i="2"/>
  <c r="P1106" i="2"/>
  <c r="P1107" i="2"/>
  <c r="P1108" i="2"/>
  <c r="P1109" i="2"/>
  <c r="P1110" i="2"/>
  <c r="P1111" i="2"/>
  <c r="P1112" i="2"/>
  <c r="P1113" i="2"/>
  <c r="P1114" i="2"/>
  <c r="P1115" i="2"/>
  <c r="P1116" i="2"/>
  <c r="P1117" i="2"/>
  <c r="P1118" i="2"/>
  <c r="P1119" i="2"/>
  <c r="P1120" i="2"/>
  <c r="P1121" i="2"/>
  <c r="P1122" i="2"/>
  <c r="P1123" i="2"/>
  <c r="P1124" i="2"/>
  <c r="P1125" i="2"/>
  <c r="P1126" i="2"/>
  <c r="P1127" i="2"/>
  <c r="P1128" i="2"/>
  <c r="P1129" i="2"/>
  <c r="P1130" i="2"/>
  <c r="P1131" i="2"/>
  <c r="P1132" i="2"/>
  <c r="P1133" i="2"/>
  <c r="P1134" i="2"/>
  <c r="P1135" i="2"/>
  <c r="P1136" i="2"/>
  <c r="P1137" i="2"/>
  <c r="P1138" i="2"/>
  <c r="P1139" i="2"/>
  <c r="P1140" i="2"/>
  <c r="P1141" i="2"/>
  <c r="P1142" i="2"/>
  <c r="P1143" i="2"/>
  <c r="P1144" i="2"/>
  <c r="P1145" i="2"/>
  <c r="P1146" i="2"/>
  <c r="P1147" i="2"/>
  <c r="P1148" i="2"/>
  <c r="P1149" i="2"/>
  <c r="P1150" i="2"/>
  <c r="P1151" i="2"/>
  <c r="P1152" i="2"/>
  <c r="P1153" i="2"/>
  <c r="P1154" i="2"/>
  <c r="P1155" i="2"/>
  <c r="P1156" i="2"/>
  <c r="P1157" i="2"/>
  <c r="P1158" i="2"/>
  <c r="P1159" i="2"/>
  <c r="P1160" i="2"/>
  <c r="P1161" i="2"/>
  <c r="P1162" i="2"/>
  <c r="P1163" i="2"/>
  <c r="P1164" i="2"/>
  <c r="P1165" i="2"/>
  <c r="P1166" i="2"/>
  <c r="P1167" i="2"/>
  <c r="P1168" i="2"/>
  <c r="P1169" i="2"/>
  <c r="P1170" i="2"/>
  <c r="P1171" i="2"/>
  <c r="P1172" i="2"/>
  <c r="P1173" i="2"/>
  <c r="P1174" i="2"/>
  <c r="P1175" i="2"/>
  <c r="P1176" i="2"/>
  <c r="P1177" i="2"/>
  <c r="P1178" i="2"/>
  <c r="P1179" i="2"/>
  <c r="P1180" i="2"/>
  <c r="P1181" i="2"/>
  <c r="P1182" i="2"/>
  <c r="P1183" i="2"/>
  <c r="P1184" i="2"/>
  <c r="P1185" i="2"/>
  <c r="P1186" i="2"/>
  <c r="P1187" i="2"/>
  <c r="P1188" i="2"/>
  <c r="P1189" i="2"/>
  <c r="P1190" i="2"/>
  <c r="P1191" i="2"/>
  <c r="P1192" i="2"/>
  <c r="P1193" i="2"/>
  <c r="P1194" i="2"/>
  <c r="P1195" i="2"/>
  <c r="P1196" i="2"/>
  <c r="P1197" i="2"/>
  <c r="P1198" i="2"/>
  <c r="P1199" i="2"/>
  <c r="P1200" i="2"/>
  <c r="P1201" i="2"/>
  <c r="P1202" i="2"/>
  <c r="P1203" i="2"/>
  <c r="P1204" i="2"/>
  <c r="P1205" i="2"/>
  <c r="P1206" i="2"/>
  <c r="P1207" i="2"/>
  <c r="P1208" i="2"/>
  <c r="P1209" i="2"/>
  <c r="P1210" i="2"/>
  <c r="P1211" i="2"/>
  <c r="P1212" i="2"/>
  <c r="P1213" i="2"/>
  <c r="P1214" i="2"/>
  <c r="P1215" i="2"/>
  <c r="P1216" i="2"/>
  <c r="P1217" i="2"/>
  <c r="P1218" i="2"/>
  <c r="P1219" i="2"/>
  <c r="P1220" i="2"/>
  <c r="P1221" i="2"/>
  <c r="P1222" i="2"/>
  <c r="P1223" i="2"/>
  <c r="P1224" i="2"/>
  <c r="P1225" i="2"/>
  <c r="P1226" i="2"/>
  <c r="P1227" i="2"/>
  <c r="P1228" i="2"/>
  <c r="P1229" i="2"/>
  <c r="P1230" i="2"/>
  <c r="P1231" i="2"/>
  <c r="P1232" i="2"/>
  <c r="P1233" i="2"/>
  <c r="P1234" i="2"/>
  <c r="P1235" i="2"/>
  <c r="P1236" i="2"/>
  <c r="P1237" i="2"/>
  <c r="P1238" i="2"/>
  <c r="P1239" i="2"/>
  <c r="P1240" i="2"/>
  <c r="P1241" i="2"/>
  <c r="P1242" i="2"/>
  <c r="P1243" i="2"/>
  <c r="P1244" i="2"/>
  <c r="P1245" i="2"/>
  <c r="P1246" i="2"/>
  <c r="P1247" i="2"/>
  <c r="P1248" i="2"/>
  <c r="P1249" i="2"/>
  <c r="P1250" i="2"/>
  <c r="P1251" i="2"/>
  <c r="P1252" i="2"/>
  <c r="P1253" i="2"/>
  <c r="P1254" i="2"/>
  <c r="P1255" i="2"/>
  <c r="P1256" i="2"/>
  <c r="P1257" i="2"/>
  <c r="P1258" i="2"/>
  <c r="P1259" i="2"/>
  <c r="P1260" i="2"/>
  <c r="P1261" i="2"/>
  <c r="P1262" i="2"/>
  <c r="P1263" i="2"/>
  <c r="P1264" i="2"/>
  <c r="P1265" i="2"/>
  <c r="P1266" i="2"/>
  <c r="P1267" i="2"/>
  <c r="P1268" i="2"/>
  <c r="P1269" i="2"/>
  <c r="P1270" i="2"/>
  <c r="P1271" i="2"/>
  <c r="P1272" i="2"/>
  <c r="P1273" i="2"/>
  <c r="P1274" i="2"/>
  <c r="P1275" i="2"/>
  <c r="P1276" i="2"/>
  <c r="P1277" i="2"/>
  <c r="P1278" i="2"/>
  <c r="P1279" i="2"/>
  <c r="P1280" i="2"/>
  <c r="P1281" i="2"/>
  <c r="P1282" i="2"/>
  <c r="P1283" i="2"/>
  <c r="P1284" i="2"/>
  <c r="P1285" i="2"/>
  <c r="P1286" i="2"/>
  <c r="P1287" i="2"/>
  <c r="P1288" i="2"/>
  <c r="P1289" i="2"/>
  <c r="P1290" i="2"/>
  <c r="P1291" i="2"/>
  <c r="P1292" i="2"/>
  <c r="P1293" i="2"/>
  <c r="P1294" i="2"/>
  <c r="P1295" i="2"/>
  <c r="P1296" i="2"/>
  <c r="P1297" i="2"/>
  <c r="P1298" i="2"/>
  <c r="P1299" i="2"/>
  <c r="P1300" i="2"/>
  <c r="P1301" i="2"/>
  <c r="P1302" i="2"/>
  <c r="P1303" i="2"/>
  <c r="P1304" i="2"/>
  <c r="P1305" i="2"/>
  <c r="P1306" i="2"/>
  <c r="P1307" i="2"/>
  <c r="P1308" i="2"/>
  <c r="P1309" i="2"/>
  <c r="P1310" i="2"/>
  <c r="P1311" i="2"/>
  <c r="P1312" i="2"/>
  <c r="P1313" i="2"/>
  <c r="P1314" i="2"/>
  <c r="P1315" i="2"/>
  <c r="P1316" i="2"/>
  <c r="P1317" i="2"/>
  <c r="P1318" i="2"/>
  <c r="P1319" i="2"/>
  <c r="P1320" i="2"/>
  <c r="P1321" i="2"/>
  <c r="P1322" i="2"/>
  <c r="P1323" i="2"/>
  <c r="P1324" i="2"/>
  <c r="P1325" i="2"/>
  <c r="P1326" i="2"/>
  <c r="P1327" i="2"/>
  <c r="P1328" i="2"/>
  <c r="P1329" i="2"/>
  <c r="P1330" i="2"/>
  <c r="P1331" i="2"/>
  <c r="P1332" i="2"/>
  <c r="P1333" i="2"/>
  <c r="P1334" i="2"/>
  <c r="P1335" i="2"/>
  <c r="P1336" i="2"/>
  <c r="P1337" i="2"/>
  <c r="P1338" i="2"/>
  <c r="P1339" i="2"/>
  <c r="P1340" i="2"/>
  <c r="P1341" i="2"/>
  <c r="P1342" i="2"/>
  <c r="P1343" i="2"/>
  <c r="P1344" i="2"/>
  <c r="P1345" i="2"/>
  <c r="P1346" i="2"/>
  <c r="P1347" i="2"/>
  <c r="P1348" i="2"/>
  <c r="P1349" i="2"/>
  <c r="P1350" i="2"/>
  <c r="P1351" i="2"/>
  <c r="P1352" i="2"/>
  <c r="P1353" i="2"/>
  <c r="P1354" i="2"/>
  <c r="P1355" i="2"/>
  <c r="P1356" i="2"/>
  <c r="P1357" i="2"/>
  <c r="P1358" i="2"/>
  <c r="P1359" i="2"/>
  <c r="P1360" i="2"/>
  <c r="P1361" i="2"/>
  <c r="P1362" i="2"/>
  <c r="P1363" i="2"/>
  <c r="P1364" i="2"/>
  <c r="P1365" i="2"/>
  <c r="P1366" i="2"/>
  <c r="P1367" i="2"/>
  <c r="P1368" i="2"/>
  <c r="P1369" i="2"/>
  <c r="P1370" i="2"/>
  <c r="P1371" i="2"/>
  <c r="P1372" i="2"/>
  <c r="P1373" i="2"/>
  <c r="P1374" i="2"/>
  <c r="P1375" i="2"/>
  <c r="P1376" i="2"/>
  <c r="P1377" i="2"/>
  <c r="P1378" i="2"/>
  <c r="P1379" i="2"/>
  <c r="P1380" i="2"/>
  <c r="P1381" i="2"/>
  <c r="P1382" i="2"/>
  <c r="P1383" i="2"/>
  <c r="P1384" i="2"/>
  <c r="P1385" i="2"/>
  <c r="P1386" i="2"/>
  <c r="P1387" i="2"/>
  <c r="P1388" i="2"/>
  <c r="P1389" i="2"/>
  <c r="P1390" i="2"/>
  <c r="P1391" i="2"/>
  <c r="P1392" i="2"/>
  <c r="P1393" i="2"/>
  <c r="P1394" i="2"/>
  <c r="P1395" i="2"/>
  <c r="P1396" i="2"/>
  <c r="P1397" i="2"/>
  <c r="P1398" i="2"/>
  <c r="P1399" i="2"/>
  <c r="P1400" i="2"/>
  <c r="P1401" i="2"/>
  <c r="P1402" i="2"/>
  <c r="P1403" i="2"/>
  <c r="P1404" i="2"/>
  <c r="P1405" i="2"/>
  <c r="P1406" i="2"/>
  <c r="P1407" i="2"/>
  <c r="P1408" i="2"/>
  <c r="P1409" i="2"/>
  <c r="P1410" i="2"/>
  <c r="P1411" i="2"/>
  <c r="P1412" i="2"/>
  <c r="P1413" i="2"/>
  <c r="P1414" i="2"/>
  <c r="P1415" i="2"/>
  <c r="P1416" i="2"/>
  <c r="P1417" i="2"/>
  <c r="P1418" i="2"/>
  <c r="P1419" i="2"/>
  <c r="P1420" i="2"/>
  <c r="P1421" i="2"/>
  <c r="P1422" i="2"/>
  <c r="P1423" i="2"/>
  <c r="P1424" i="2"/>
  <c r="P1425" i="2"/>
  <c r="P1426" i="2"/>
  <c r="P1427" i="2"/>
  <c r="P1428" i="2"/>
  <c r="P1429" i="2"/>
  <c r="P1430" i="2"/>
  <c r="P1431" i="2"/>
  <c r="P1432" i="2"/>
  <c r="P1433" i="2"/>
  <c r="P1434" i="2"/>
  <c r="P1435" i="2"/>
  <c r="P1436" i="2"/>
  <c r="P1437" i="2"/>
  <c r="P1438" i="2"/>
  <c r="P1439" i="2"/>
  <c r="P1440" i="2"/>
  <c r="P1441" i="2"/>
  <c r="P1442" i="2"/>
  <c r="P1443" i="2"/>
  <c r="P1444" i="2"/>
  <c r="P1445" i="2"/>
  <c r="P1446" i="2"/>
  <c r="P1447" i="2"/>
  <c r="P1448" i="2"/>
  <c r="P1449" i="2"/>
  <c r="P1450" i="2"/>
  <c r="P1451" i="2"/>
  <c r="P1452" i="2"/>
  <c r="P1453" i="2"/>
  <c r="P1454" i="2"/>
  <c r="P1455" i="2"/>
  <c r="P1456" i="2"/>
  <c r="P1457" i="2"/>
  <c r="P1458" i="2"/>
  <c r="P1459" i="2"/>
  <c r="P1460" i="2"/>
  <c r="P1461" i="2"/>
  <c r="P1462" i="2"/>
  <c r="P1463" i="2"/>
  <c r="P1464" i="2"/>
  <c r="P1465" i="2"/>
  <c r="P1466" i="2"/>
  <c r="P1467" i="2"/>
  <c r="P1468" i="2"/>
  <c r="P1469" i="2"/>
  <c r="P1470" i="2"/>
  <c r="P1471" i="2"/>
  <c r="P1472" i="2"/>
  <c r="P1473" i="2"/>
  <c r="P1474" i="2"/>
  <c r="P1475" i="2"/>
  <c r="P1476" i="2"/>
  <c r="P1477" i="2"/>
  <c r="P1478" i="2"/>
  <c r="P1479" i="2"/>
  <c r="P1480" i="2"/>
  <c r="P1481" i="2"/>
  <c r="P1482" i="2"/>
  <c r="P1483" i="2"/>
  <c r="P1484" i="2"/>
  <c r="P1485" i="2"/>
  <c r="P1486" i="2"/>
  <c r="P1487" i="2"/>
  <c r="P1488" i="2"/>
  <c r="P1489" i="2"/>
  <c r="P1490" i="2"/>
  <c r="P1491" i="2"/>
  <c r="P1492" i="2"/>
  <c r="P1493" i="2"/>
  <c r="P1494" i="2"/>
  <c r="P1495" i="2"/>
  <c r="P1496" i="2"/>
  <c r="P1497" i="2"/>
  <c r="P1498" i="2"/>
  <c r="P1499" i="2"/>
  <c r="P1500" i="2"/>
  <c r="P1501" i="2"/>
  <c r="P1502" i="2"/>
  <c r="P1503" i="2"/>
  <c r="P1504" i="2"/>
  <c r="P1505" i="2"/>
  <c r="P1506" i="2"/>
  <c r="P1507" i="2"/>
  <c r="P1508" i="2"/>
  <c r="P1509" i="2"/>
  <c r="P1510" i="2"/>
  <c r="P1511" i="2"/>
  <c r="P1512" i="2"/>
  <c r="P1513" i="2"/>
  <c r="P1514" i="2"/>
  <c r="P1515" i="2"/>
  <c r="P1516" i="2"/>
  <c r="P1517" i="2"/>
  <c r="P1518" i="2"/>
  <c r="P1519" i="2"/>
  <c r="P1520" i="2"/>
  <c r="P1521" i="2"/>
  <c r="P1522" i="2"/>
  <c r="P1523" i="2"/>
  <c r="P1524" i="2"/>
  <c r="P1525" i="2"/>
  <c r="P1526" i="2"/>
  <c r="P1527" i="2"/>
  <c r="P1528" i="2"/>
  <c r="P1529" i="2"/>
  <c r="P1530" i="2"/>
  <c r="P1531" i="2"/>
  <c r="P1532" i="2"/>
  <c r="P1533" i="2"/>
  <c r="P1534" i="2"/>
  <c r="P1535" i="2"/>
  <c r="P1536" i="2"/>
  <c r="P1537" i="2"/>
  <c r="P1538" i="2"/>
  <c r="P1539" i="2"/>
  <c r="P1540" i="2"/>
  <c r="P1541" i="2"/>
  <c r="P1542" i="2"/>
  <c r="P1543" i="2"/>
  <c r="P1544" i="2"/>
  <c r="P1545" i="2"/>
  <c r="P1546" i="2"/>
  <c r="P1547" i="2"/>
  <c r="P1548" i="2"/>
  <c r="P1549" i="2"/>
  <c r="P1550" i="2"/>
  <c r="P1551" i="2"/>
  <c r="P1552" i="2"/>
  <c r="P1553" i="2"/>
  <c r="P1554" i="2"/>
  <c r="P1555" i="2"/>
  <c r="P1556" i="2"/>
  <c r="P1557" i="2"/>
  <c r="P1558" i="2"/>
  <c r="P1559" i="2"/>
  <c r="P1560" i="2"/>
  <c r="P1561" i="2"/>
  <c r="P1562" i="2"/>
  <c r="P1563" i="2"/>
  <c r="P1564" i="2"/>
  <c r="P1565" i="2"/>
  <c r="P1566" i="2"/>
  <c r="P1567" i="2"/>
  <c r="P1568" i="2"/>
  <c r="P1569" i="2"/>
  <c r="P1570" i="2"/>
  <c r="P1571" i="2"/>
  <c r="P1572" i="2"/>
  <c r="P1573" i="2"/>
  <c r="P1574" i="2"/>
  <c r="P1575" i="2"/>
  <c r="P1576" i="2"/>
  <c r="P1577" i="2"/>
  <c r="P1578" i="2"/>
  <c r="P1579" i="2"/>
  <c r="P1580" i="2"/>
  <c r="P1581" i="2"/>
  <c r="P1582" i="2"/>
  <c r="P1583" i="2"/>
  <c r="P1584" i="2"/>
  <c r="P1585" i="2"/>
  <c r="P1586" i="2"/>
  <c r="P1587" i="2"/>
  <c r="P1588" i="2"/>
  <c r="P1589" i="2"/>
  <c r="P1590" i="2"/>
  <c r="P1591" i="2"/>
  <c r="P1592" i="2"/>
  <c r="P1593" i="2"/>
  <c r="P1594" i="2"/>
  <c r="P1595" i="2"/>
  <c r="P1596" i="2"/>
  <c r="P1597" i="2"/>
  <c r="P1598" i="2"/>
  <c r="P1599" i="2"/>
  <c r="P1600" i="2"/>
  <c r="P1601" i="2"/>
  <c r="P1602" i="2"/>
  <c r="P1603" i="2"/>
  <c r="P1604" i="2"/>
  <c r="P1605" i="2"/>
  <c r="P1606" i="2"/>
  <c r="P1607" i="2"/>
  <c r="P1608" i="2"/>
  <c r="P1609" i="2"/>
  <c r="P1610" i="2"/>
  <c r="P1611" i="2"/>
  <c r="P1612" i="2"/>
  <c r="P1613" i="2"/>
  <c r="P1614" i="2"/>
  <c r="P1615" i="2"/>
  <c r="P1616" i="2"/>
  <c r="P1617" i="2"/>
  <c r="P1618" i="2"/>
  <c r="P1619" i="2"/>
  <c r="P1620" i="2"/>
  <c r="P1621" i="2"/>
  <c r="P1622" i="2"/>
  <c r="P1623" i="2"/>
  <c r="P1624" i="2"/>
  <c r="P1625" i="2"/>
  <c r="P1626" i="2"/>
  <c r="P1627" i="2"/>
  <c r="P1628" i="2"/>
  <c r="P1629" i="2"/>
  <c r="P1630" i="2"/>
  <c r="P1631" i="2"/>
  <c r="P1632" i="2"/>
  <c r="P1633" i="2"/>
  <c r="P1634" i="2"/>
  <c r="P1635" i="2"/>
  <c r="P1636" i="2"/>
  <c r="P1637" i="2"/>
  <c r="P1638" i="2"/>
  <c r="P1639" i="2"/>
  <c r="P1640" i="2"/>
  <c r="P1641" i="2"/>
  <c r="P1642" i="2"/>
  <c r="P1643" i="2"/>
  <c r="P1644" i="2"/>
  <c r="P1645" i="2"/>
  <c r="P1646" i="2"/>
  <c r="P1647" i="2"/>
  <c r="P1648" i="2"/>
  <c r="P1649" i="2"/>
  <c r="P1650" i="2"/>
  <c r="P1651" i="2"/>
  <c r="P1652" i="2"/>
  <c r="P1653" i="2"/>
  <c r="P1654" i="2"/>
  <c r="P1655" i="2"/>
  <c r="P1656" i="2"/>
  <c r="P1657" i="2"/>
  <c r="P1658" i="2"/>
  <c r="P1659" i="2"/>
  <c r="P1660" i="2"/>
  <c r="P1661" i="2"/>
  <c r="P1662" i="2"/>
  <c r="P1663" i="2"/>
  <c r="P1664" i="2"/>
  <c r="P1665" i="2"/>
  <c r="P1666" i="2"/>
  <c r="P1667" i="2"/>
  <c r="P1668" i="2"/>
  <c r="P1669" i="2"/>
  <c r="P1670" i="2"/>
  <c r="P1671" i="2"/>
  <c r="P1672" i="2"/>
  <c r="P1673" i="2"/>
  <c r="P1674" i="2"/>
  <c r="P1675" i="2"/>
  <c r="P1676" i="2"/>
  <c r="P1677" i="2"/>
  <c r="P1678" i="2"/>
  <c r="P1679" i="2"/>
  <c r="P1680" i="2"/>
  <c r="P1681" i="2"/>
  <c r="P1682" i="2"/>
  <c r="P1683" i="2"/>
  <c r="P1684" i="2"/>
  <c r="P1685" i="2"/>
  <c r="P1686" i="2"/>
  <c r="P1687" i="2"/>
  <c r="P1688" i="2"/>
  <c r="P1689" i="2"/>
  <c r="P1690" i="2"/>
  <c r="P1691" i="2"/>
  <c r="P1692" i="2"/>
  <c r="P1693" i="2"/>
  <c r="P1694" i="2"/>
  <c r="P1695" i="2"/>
  <c r="P1696" i="2"/>
  <c r="P1697" i="2"/>
  <c r="P1698" i="2"/>
  <c r="P1699" i="2"/>
  <c r="P1700" i="2"/>
  <c r="P1701" i="2"/>
  <c r="P1702" i="2"/>
  <c r="P1703" i="2"/>
  <c r="P1704" i="2"/>
  <c r="P1705" i="2"/>
  <c r="P1706" i="2"/>
  <c r="P1707" i="2"/>
  <c r="P1708" i="2"/>
  <c r="P1709" i="2"/>
  <c r="P1710" i="2"/>
  <c r="P1711" i="2"/>
  <c r="P1712" i="2"/>
  <c r="P1713" i="2"/>
  <c r="P1714" i="2"/>
  <c r="P1715" i="2"/>
  <c r="P1716" i="2"/>
  <c r="P1717" i="2"/>
  <c r="P1718" i="2"/>
  <c r="P1719" i="2"/>
  <c r="P1720" i="2"/>
  <c r="P1721" i="2"/>
  <c r="P1722" i="2"/>
  <c r="P1723" i="2"/>
  <c r="P1724" i="2"/>
  <c r="P1725" i="2"/>
  <c r="P1726" i="2"/>
  <c r="P1727" i="2"/>
  <c r="P1728" i="2"/>
  <c r="P1729" i="2"/>
  <c r="P1730" i="2"/>
  <c r="P1731" i="2"/>
  <c r="P1732" i="2"/>
  <c r="P1733" i="2"/>
  <c r="P1734" i="2"/>
  <c r="P1735" i="2"/>
  <c r="P1736" i="2"/>
  <c r="P1737" i="2"/>
  <c r="P1738" i="2"/>
  <c r="P1739" i="2"/>
  <c r="P1740" i="2"/>
  <c r="P1741" i="2"/>
  <c r="P1742" i="2"/>
  <c r="P1743" i="2"/>
  <c r="P1744" i="2"/>
  <c r="P1745" i="2"/>
  <c r="P1746" i="2"/>
  <c r="P1747" i="2"/>
  <c r="P1748" i="2"/>
  <c r="P1749" i="2"/>
  <c r="P1750" i="2"/>
  <c r="P1751" i="2"/>
  <c r="P1752" i="2"/>
  <c r="P1753" i="2"/>
  <c r="P1754" i="2"/>
  <c r="P1755" i="2"/>
  <c r="P1756" i="2"/>
  <c r="P1757" i="2"/>
  <c r="P1758" i="2"/>
  <c r="P1759" i="2"/>
  <c r="P1760" i="2"/>
  <c r="P1761" i="2"/>
  <c r="P1762" i="2"/>
  <c r="P1763" i="2"/>
  <c r="P1764" i="2"/>
  <c r="P1765" i="2"/>
  <c r="P1766" i="2"/>
  <c r="P1767" i="2"/>
  <c r="P1768" i="2"/>
  <c r="P1769" i="2"/>
  <c r="P1770" i="2"/>
  <c r="P1771" i="2"/>
  <c r="P1772" i="2"/>
  <c r="P1773" i="2"/>
  <c r="P1774" i="2"/>
  <c r="P1775" i="2"/>
  <c r="P1776" i="2"/>
  <c r="P1777" i="2"/>
  <c r="P1778" i="2"/>
  <c r="P1779" i="2"/>
  <c r="P1780" i="2"/>
  <c r="P1781" i="2"/>
  <c r="P1782" i="2"/>
  <c r="P1783" i="2"/>
  <c r="P1784" i="2"/>
  <c r="P1785" i="2"/>
  <c r="P1786" i="2"/>
  <c r="P1787" i="2"/>
  <c r="P1788" i="2"/>
  <c r="P1789" i="2"/>
  <c r="P1790" i="2"/>
  <c r="P1791" i="2"/>
  <c r="P1792" i="2"/>
  <c r="P1793" i="2"/>
  <c r="P1794" i="2"/>
  <c r="P1795" i="2"/>
  <c r="P1796" i="2"/>
  <c r="P1797" i="2"/>
  <c r="P1798" i="2"/>
  <c r="P1799" i="2"/>
  <c r="P1800" i="2"/>
  <c r="P1801" i="2"/>
  <c r="P1802" i="2"/>
  <c r="P1803" i="2"/>
  <c r="P1804" i="2"/>
  <c r="P1805" i="2"/>
  <c r="P1806" i="2"/>
  <c r="P1807" i="2"/>
  <c r="P1808" i="2"/>
  <c r="P1809" i="2"/>
  <c r="P1810" i="2"/>
  <c r="P1811" i="2"/>
  <c r="P1812" i="2"/>
  <c r="P1813" i="2"/>
  <c r="P1814" i="2"/>
  <c r="P1815" i="2"/>
  <c r="P1816" i="2"/>
  <c r="P1817" i="2"/>
  <c r="P1818" i="2"/>
  <c r="P1819" i="2"/>
  <c r="P1820" i="2"/>
  <c r="P1821" i="2"/>
  <c r="P1822" i="2"/>
  <c r="P1823" i="2"/>
  <c r="P1824" i="2"/>
  <c r="P1825" i="2"/>
  <c r="P1826" i="2"/>
  <c r="P1827" i="2"/>
  <c r="P1828" i="2"/>
  <c r="P1829" i="2"/>
  <c r="P1830" i="2"/>
  <c r="P1831" i="2"/>
  <c r="P1832" i="2"/>
  <c r="P1833" i="2"/>
  <c r="P1834" i="2"/>
  <c r="P1835" i="2"/>
  <c r="P1836" i="2"/>
  <c r="P1837" i="2"/>
  <c r="P1838" i="2"/>
  <c r="P1839" i="2"/>
  <c r="P1840" i="2"/>
  <c r="P1841" i="2"/>
  <c r="P1842" i="2"/>
  <c r="P1843" i="2"/>
  <c r="P1844" i="2"/>
  <c r="P1845" i="2"/>
  <c r="P1846" i="2"/>
  <c r="P1847" i="2"/>
  <c r="P1848" i="2"/>
  <c r="P1849" i="2"/>
  <c r="P1850" i="2"/>
  <c r="P1851" i="2"/>
  <c r="P1852" i="2"/>
  <c r="P1853" i="2"/>
  <c r="P1854" i="2"/>
  <c r="P1855" i="2"/>
  <c r="P1856" i="2"/>
  <c r="P1857" i="2"/>
  <c r="P1858" i="2"/>
  <c r="P1859" i="2"/>
  <c r="P1860" i="2"/>
  <c r="P1861" i="2"/>
  <c r="P1862" i="2"/>
  <c r="P1863" i="2"/>
  <c r="P1864" i="2"/>
  <c r="P1865" i="2"/>
  <c r="P1866" i="2"/>
  <c r="P1867" i="2"/>
  <c r="P1868" i="2"/>
  <c r="P1869" i="2"/>
  <c r="P1870" i="2"/>
  <c r="P1871" i="2"/>
  <c r="P1872" i="2"/>
  <c r="P1873" i="2"/>
  <c r="P1874" i="2"/>
  <c r="P1875" i="2"/>
  <c r="P1876" i="2"/>
  <c r="P1877" i="2"/>
  <c r="P1878" i="2"/>
  <c r="P1879" i="2"/>
  <c r="P1880" i="2"/>
  <c r="P1881" i="2"/>
  <c r="P1882" i="2"/>
  <c r="P1883" i="2"/>
  <c r="P1884" i="2"/>
  <c r="P1885" i="2"/>
  <c r="P1886" i="2"/>
  <c r="P1887" i="2"/>
  <c r="P1888" i="2"/>
  <c r="P1889" i="2"/>
  <c r="P1890" i="2"/>
  <c r="P1891" i="2"/>
  <c r="P1892" i="2"/>
  <c r="P1893" i="2"/>
  <c r="P1894" i="2"/>
  <c r="P1895" i="2"/>
  <c r="P1896" i="2"/>
  <c r="P1897" i="2"/>
  <c r="P1898" i="2"/>
  <c r="P1899" i="2"/>
  <c r="P1900" i="2"/>
  <c r="P1901" i="2"/>
  <c r="P1902" i="2"/>
  <c r="P1903" i="2"/>
  <c r="P1904" i="2"/>
  <c r="P1905" i="2"/>
  <c r="P1906" i="2"/>
  <c r="P1907" i="2"/>
  <c r="P1908" i="2"/>
  <c r="P1909" i="2"/>
  <c r="P1910" i="2"/>
  <c r="P1911" i="2"/>
  <c r="P1912" i="2"/>
  <c r="P1913" i="2"/>
  <c r="P1914" i="2"/>
  <c r="P1915" i="2"/>
  <c r="P1916" i="2"/>
  <c r="P1917" i="2"/>
  <c r="P1918" i="2"/>
  <c r="P1919" i="2"/>
  <c r="P1920" i="2"/>
  <c r="P1921" i="2"/>
  <c r="P1922" i="2"/>
  <c r="P1923" i="2"/>
  <c r="P1924" i="2"/>
  <c r="P1925" i="2"/>
  <c r="P1926" i="2"/>
  <c r="P1927" i="2"/>
  <c r="P1928" i="2"/>
  <c r="P1929" i="2"/>
  <c r="P1930" i="2"/>
  <c r="P1931" i="2"/>
  <c r="P1932" i="2"/>
  <c r="P1933" i="2"/>
  <c r="P1934" i="2"/>
  <c r="P1935" i="2"/>
  <c r="P1936" i="2"/>
  <c r="P1937" i="2"/>
  <c r="P1938" i="2"/>
  <c r="P1939" i="2"/>
  <c r="P1940" i="2"/>
  <c r="P1941" i="2"/>
  <c r="P1942" i="2"/>
  <c r="P1943" i="2"/>
  <c r="P1944" i="2"/>
  <c r="P1945" i="2"/>
  <c r="P1946" i="2"/>
  <c r="P1947" i="2"/>
  <c r="P1948" i="2"/>
  <c r="P1949" i="2"/>
  <c r="P1950" i="2"/>
  <c r="P1951" i="2"/>
  <c r="P1952" i="2"/>
  <c r="P1953" i="2"/>
  <c r="P1954" i="2"/>
  <c r="P1955" i="2"/>
  <c r="P1956" i="2"/>
  <c r="P1957" i="2"/>
  <c r="P1958" i="2"/>
  <c r="P1959" i="2"/>
  <c r="P1960" i="2"/>
  <c r="P1961" i="2"/>
  <c r="P1962" i="2"/>
  <c r="P1963" i="2"/>
  <c r="P1964" i="2"/>
  <c r="P1965" i="2"/>
  <c r="P1966" i="2"/>
  <c r="P1967" i="2"/>
  <c r="P1968" i="2"/>
  <c r="P1969" i="2"/>
  <c r="P1970" i="2"/>
  <c r="P1971" i="2"/>
  <c r="P1972" i="2"/>
  <c r="P1973" i="2"/>
  <c r="P1974" i="2"/>
  <c r="P1975" i="2"/>
  <c r="P1976" i="2"/>
  <c r="P1977" i="2"/>
  <c r="P1978" i="2"/>
  <c r="P1979" i="2"/>
  <c r="P1980" i="2"/>
  <c r="P1981" i="2"/>
  <c r="P1982" i="2"/>
  <c r="P1983" i="2"/>
  <c r="P1984" i="2"/>
  <c r="P1985" i="2"/>
  <c r="P1986" i="2"/>
  <c r="P1987" i="2"/>
  <c r="P1988" i="2"/>
  <c r="P1989" i="2"/>
  <c r="P1990" i="2"/>
  <c r="P1991" i="2"/>
  <c r="P1992" i="2"/>
  <c r="P1993" i="2"/>
  <c r="P1994" i="2"/>
  <c r="P1995" i="2"/>
  <c r="P1996" i="2"/>
  <c r="P1997" i="2"/>
  <c r="P1998" i="2"/>
  <c r="P1999" i="2"/>
  <c r="P2000" i="2"/>
  <c r="P2001" i="2"/>
  <c r="P2002" i="2"/>
  <c r="P2003" i="2"/>
  <c r="P2004" i="2"/>
  <c r="P2005" i="2"/>
  <c r="P2006" i="2"/>
  <c r="P2007" i="2"/>
  <c r="P2008" i="2"/>
  <c r="P2009" i="2"/>
  <c r="P2010" i="2"/>
  <c r="P2011" i="2"/>
  <c r="P2012" i="2"/>
  <c r="P2013" i="2"/>
  <c r="P2014" i="2"/>
  <c r="P2015" i="2"/>
  <c r="P2016" i="2"/>
  <c r="P2017" i="2"/>
  <c r="P2018" i="2"/>
  <c r="P2019" i="2"/>
  <c r="P2020" i="2"/>
  <c r="P2021" i="2"/>
  <c r="P2022" i="2"/>
  <c r="P2023" i="2"/>
  <c r="P2024" i="2"/>
  <c r="P2025" i="2"/>
  <c r="P2026" i="2"/>
  <c r="P2027" i="2"/>
  <c r="P2028" i="2"/>
  <c r="P2029" i="2"/>
  <c r="P2030" i="2"/>
  <c r="P2031" i="2"/>
  <c r="P2032" i="2"/>
  <c r="P2033" i="2"/>
  <c r="P2034" i="2"/>
  <c r="P2035" i="2"/>
  <c r="P2036" i="2"/>
  <c r="P2037" i="2"/>
  <c r="P2038" i="2"/>
  <c r="P2039" i="2"/>
  <c r="P2040" i="2"/>
  <c r="P2041" i="2"/>
  <c r="P2042" i="2"/>
  <c r="P2043" i="2"/>
  <c r="P2044" i="2"/>
  <c r="P2045" i="2"/>
  <c r="P2046" i="2"/>
  <c r="P2047" i="2"/>
  <c r="P2048" i="2"/>
  <c r="P2049" i="2"/>
  <c r="P2050" i="2"/>
  <c r="P2051" i="2"/>
  <c r="P2052" i="2"/>
  <c r="P2053" i="2"/>
  <c r="P2054" i="2"/>
  <c r="P2055" i="2"/>
  <c r="P2056" i="2"/>
  <c r="P2057" i="2"/>
  <c r="P2058" i="2"/>
  <c r="P2059" i="2"/>
  <c r="P2060" i="2"/>
  <c r="P2061" i="2"/>
  <c r="P2062" i="2"/>
  <c r="P2063" i="2"/>
  <c r="P2064" i="2"/>
  <c r="P2065" i="2"/>
  <c r="P2066" i="2"/>
  <c r="P2067" i="2"/>
  <c r="P2068" i="2"/>
  <c r="P2069" i="2"/>
  <c r="P2070" i="2"/>
  <c r="P2071" i="2"/>
  <c r="P2072" i="2"/>
  <c r="P2073" i="2"/>
  <c r="P2074" i="2"/>
  <c r="P2075" i="2"/>
  <c r="P2076" i="2"/>
  <c r="P2077" i="2"/>
  <c r="P2078" i="2"/>
  <c r="P2079" i="2"/>
  <c r="P2080" i="2"/>
  <c r="P2081" i="2"/>
  <c r="P2082" i="2"/>
  <c r="P2083" i="2"/>
  <c r="P2084" i="2"/>
  <c r="P2085" i="2"/>
  <c r="P2086" i="2"/>
  <c r="P2087" i="2"/>
  <c r="P2088" i="2"/>
  <c r="P2089" i="2"/>
  <c r="P2090" i="2"/>
  <c r="P2091" i="2"/>
  <c r="P2092" i="2"/>
  <c r="P2093" i="2"/>
  <c r="P2094" i="2"/>
  <c r="P2095" i="2"/>
  <c r="P2096" i="2"/>
  <c r="P2097" i="2"/>
  <c r="P2098" i="2"/>
  <c r="P2099" i="2"/>
  <c r="P2100" i="2"/>
  <c r="P2101" i="2"/>
  <c r="P2102" i="2"/>
  <c r="P2103" i="2"/>
  <c r="P2104" i="2"/>
  <c r="P2105" i="2"/>
  <c r="P2106" i="2"/>
  <c r="P2107" i="2"/>
  <c r="P2108" i="2"/>
  <c r="P2109" i="2"/>
  <c r="P2110" i="2"/>
  <c r="P2111" i="2"/>
  <c r="P2112" i="2"/>
  <c r="P2113" i="2"/>
  <c r="P2114" i="2"/>
  <c r="P2115" i="2"/>
  <c r="P2116" i="2"/>
  <c r="P2117" i="2"/>
  <c r="P2118" i="2"/>
  <c r="P2119" i="2"/>
  <c r="P2120" i="2"/>
  <c r="P2121" i="2"/>
  <c r="P2122" i="2"/>
  <c r="P2123" i="2"/>
  <c r="P2124" i="2"/>
  <c r="P2125" i="2"/>
  <c r="P2126" i="2"/>
  <c r="P2127" i="2"/>
  <c r="P2128" i="2"/>
  <c r="P2129" i="2"/>
  <c r="P2130" i="2"/>
  <c r="P2131" i="2"/>
  <c r="P2132" i="2"/>
  <c r="P2133" i="2"/>
  <c r="P2134" i="2"/>
  <c r="P2135" i="2"/>
  <c r="P2136" i="2"/>
  <c r="P2137" i="2"/>
  <c r="P2138" i="2"/>
  <c r="P2139" i="2"/>
  <c r="P2140" i="2"/>
  <c r="P2141" i="2"/>
  <c r="P2142" i="2"/>
  <c r="P2143" i="2"/>
  <c r="P2144" i="2"/>
  <c r="P2145" i="2"/>
  <c r="P2146" i="2"/>
  <c r="P2147" i="2"/>
  <c r="P2148" i="2"/>
  <c r="P2149" i="2"/>
  <c r="P2150" i="2"/>
  <c r="P2151" i="2"/>
  <c r="P2152" i="2"/>
  <c r="P2153" i="2"/>
  <c r="P2154" i="2"/>
  <c r="P2155" i="2"/>
  <c r="P2156" i="2"/>
  <c r="P2157" i="2"/>
  <c r="P2158" i="2"/>
  <c r="P2159" i="2"/>
  <c r="P2160" i="2"/>
  <c r="P2161" i="2"/>
  <c r="P2162" i="2"/>
  <c r="P2163" i="2"/>
  <c r="P2164" i="2"/>
  <c r="P2165" i="2"/>
  <c r="P2166" i="2"/>
  <c r="P2167" i="2"/>
  <c r="P2168" i="2"/>
  <c r="P2169" i="2"/>
  <c r="P2170" i="2"/>
  <c r="P2171" i="2"/>
  <c r="P2172" i="2"/>
  <c r="P2173" i="2"/>
  <c r="P2174" i="2"/>
  <c r="P2175" i="2"/>
  <c r="P2176" i="2"/>
  <c r="P2177" i="2"/>
  <c r="P2178" i="2"/>
  <c r="P2179" i="2"/>
  <c r="P2180" i="2"/>
  <c r="P2181" i="2"/>
  <c r="P2182" i="2"/>
  <c r="P2183" i="2"/>
  <c r="P2184" i="2"/>
  <c r="P2185" i="2"/>
  <c r="P2186" i="2"/>
  <c r="P2187" i="2"/>
  <c r="P2188" i="2"/>
  <c r="P2189" i="2"/>
  <c r="P2190" i="2"/>
  <c r="P2191" i="2"/>
  <c r="P2192" i="2"/>
  <c r="P2193" i="2"/>
  <c r="P2194" i="2"/>
  <c r="P2195" i="2"/>
  <c r="P2196" i="2"/>
  <c r="P2197" i="2"/>
  <c r="P2198" i="2"/>
  <c r="P2199" i="2"/>
  <c r="P2200" i="2"/>
  <c r="P2201" i="2"/>
  <c r="P2202" i="2"/>
  <c r="P2203" i="2"/>
  <c r="P2204" i="2"/>
  <c r="P2205" i="2"/>
  <c r="P2206" i="2"/>
  <c r="P2207" i="2"/>
  <c r="P2208" i="2"/>
  <c r="P2209" i="2"/>
  <c r="P2210" i="2"/>
  <c r="P2211" i="2"/>
  <c r="P2212" i="2"/>
  <c r="P2213" i="2"/>
  <c r="P2214" i="2"/>
  <c r="P2215" i="2"/>
  <c r="P2216" i="2"/>
  <c r="P2217" i="2"/>
  <c r="P2218" i="2"/>
  <c r="P2219" i="2"/>
  <c r="P2220" i="2"/>
  <c r="P2221" i="2"/>
  <c r="P2222" i="2"/>
  <c r="P2223" i="2"/>
  <c r="P2224" i="2"/>
  <c r="P2225" i="2"/>
  <c r="P2226" i="2"/>
  <c r="P2227" i="2"/>
  <c r="P2228" i="2"/>
  <c r="P2229" i="2"/>
  <c r="P2230" i="2"/>
  <c r="P2231" i="2"/>
  <c r="P2232" i="2"/>
  <c r="P2233" i="2"/>
  <c r="P2234" i="2"/>
  <c r="P2235" i="2"/>
  <c r="P2236" i="2"/>
  <c r="P2237" i="2"/>
  <c r="P2238" i="2"/>
  <c r="P2239" i="2"/>
  <c r="P2240" i="2"/>
  <c r="P2241" i="2"/>
  <c r="P2242" i="2"/>
  <c r="P2243" i="2"/>
  <c r="P2244" i="2"/>
  <c r="P2245" i="2"/>
  <c r="P2246" i="2"/>
  <c r="P2247" i="2"/>
  <c r="P2248" i="2"/>
  <c r="P2249" i="2"/>
  <c r="P2250" i="2"/>
  <c r="P2251" i="2"/>
  <c r="P2252" i="2"/>
  <c r="P2253" i="2"/>
  <c r="P2254" i="2"/>
  <c r="P2255" i="2"/>
  <c r="P2256" i="2"/>
  <c r="P2257" i="2"/>
  <c r="P2258" i="2"/>
  <c r="P2259" i="2"/>
  <c r="P2260" i="2"/>
  <c r="P2261" i="2"/>
  <c r="P2262" i="2"/>
  <c r="P2263" i="2"/>
  <c r="P2264" i="2"/>
  <c r="P2265" i="2"/>
  <c r="P2266" i="2"/>
  <c r="P2267" i="2"/>
  <c r="P2268" i="2"/>
  <c r="P2269" i="2"/>
  <c r="P2270" i="2"/>
  <c r="P2271" i="2"/>
  <c r="P2272" i="2"/>
  <c r="P2273" i="2"/>
  <c r="P2274" i="2"/>
  <c r="P2275" i="2"/>
  <c r="P2276" i="2"/>
  <c r="P2277" i="2"/>
  <c r="P2278" i="2"/>
  <c r="P2279" i="2"/>
  <c r="P2280" i="2"/>
  <c r="P2281" i="2"/>
  <c r="P2282" i="2"/>
  <c r="P2283" i="2"/>
  <c r="P2284" i="2"/>
  <c r="P2285" i="2"/>
  <c r="P2286" i="2"/>
  <c r="P2287" i="2"/>
  <c r="P2288" i="2"/>
  <c r="P2289" i="2"/>
  <c r="P2290" i="2"/>
  <c r="P2291" i="2"/>
  <c r="P2292" i="2"/>
  <c r="P2293" i="2"/>
  <c r="P2294" i="2"/>
  <c r="P2295" i="2"/>
  <c r="P2296" i="2"/>
  <c r="P2297" i="2"/>
  <c r="P2298" i="2"/>
  <c r="P2299" i="2"/>
  <c r="P2300" i="2"/>
  <c r="P2301" i="2"/>
  <c r="P2302" i="2"/>
  <c r="P2303" i="2"/>
  <c r="P2304" i="2"/>
  <c r="P2305" i="2"/>
  <c r="P2306" i="2"/>
  <c r="P2307" i="2"/>
  <c r="P2308" i="2"/>
  <c r="P2309" i="2"/>
  <c r="P2310" i="2"/>
  <c r="P2311" i="2"/>
  <c r="P2312" i="2"/>
  <c r="P2313" i="2"/>
  <c r="P2314" i="2"/>
  <c r="P2315" i="2"/>
  <c r="P2316" i="2"/>
  <c r="P2317" i="2"/>
  <c r="P2318" i="2"/>
  <c r="P2319" i="2"/>
  <c r="P2320" i="2"/>
  <c r="P2321" i="2"/>
  <c r="P2322" i="2"/>
  <c r="P2323" i="2"/>
  <c r="P2324" i="2"/>
  <c r="P2325" i="2"/>
  <c r="P2326" i="2"/>
  <c r="P2327" i="2"/>
  <c r="P2328" i="2"/>
  <c r="P2329" i="2"/>
  <c r="P2330" i="2"/>
  <c r="P2331" i="2"/>
  <c r="P2332" i="2"/>
  <c r="P2333" i="2"/>
  <c r="P2334" i="2"/>
  <c r="P2335" i="2"/>
  <c r="P2336" i="2"/>
  <c r="P2337" i="2"/>
  <c r="P2338" i="2"/>
  <c r="P2339" i="2"/>
  <c r="P2340" i="2"/>
  <c r="P2341" i="2"/>
  <c r="P2342" i="2"/>
  <c r="P2343" i="2"/>
  <c r="P2344" i="2"/>
  <c r="P2345" i="2"/>
  <c r="P2346" i="2"/>
  <c r="P2347" i="2"/>
  <c r="P2348" i="2"/>
  <c r="P2349" i="2"/>
  <c r="P2350" i="2"/>
  <c r="P2351" i="2"/>
  <c r="P2352" i="2"/>
  <c r="P2353" i="2"/>
  <c r="P2354" i="2"/>
  <c r="P2355" i="2"/>
  <c r="P2356" i="2"/>
  <c r="P2357" i="2"/>
  <c r="P2358" i="2"/>
  <c r="P2359" i="2"/>
  <c r="P2360" i="2"/>
  <c r="P2361" i="2"/>
  <c r="P2362" i="2"/>
  <c r="P2363" i="2"/>
  <c r="P2364" i="2"/>
  <c r="P2365" i="2"/>
  <c r="P2366" i="2"/>
  <c r="P2367" i="2"/>
  <c r="P2368" i="2"/>
  <c r="P2369" i="2"/>
  <c r="P2370" i="2"/>
  <c r="P2371" i="2"/>
  <c r="P2372" i="2"/>
  <c r="P2373" i="2"/>
  <c r="P2374" i="2"/>
  <c r="P2375" i="2"/>
  <c r="P2376" i="2"/>
  <c r="P2377" i="2"/>
  <c r="P2378" i="2"/>
  <c r="P2379" i="2"/>
  <c r="P2380" i="2"/>
  <c r="P2381" i="2"/>
  <c r="P2382" i="2"/>
  <c r="P2383" i="2"/>
  <c r="P2384" i="2"/>
  <c r="P2385" i="2"/>
  <c r="P2386" i="2"/>
  <c r="P2387" i="2"/>
  <c r="P2388" i="2"/>
  <c r="P2389" i="2"/>
  <c r="P2390" i="2"/>
  <c r="P2391" i="2"/>
  <c r="P2392" i="2"/>
  <c r="P2393" i="2"/>
  <c r="P2394" i="2"/>
  <c r="P2395" i="2"/>
  <c r="P2396" i="2"/>
  <c r="P2397" i="2"/>
  <c r="P2398" i="2"/>
  <c r="P2399" i="2"/>
  <c r="P2400" i="2"/>
  <c r="P2401" i="2"/>
  <c r="P2402" i="2"/>
  <c r="P2403" i="2"/>
  <c r="P2404" i="2"/>
  <c r="P2405" i="2"/>
  <c r="P2406" i="2"/>
  <c r="P2407" i="2"/>
  <c r="P2408" i="2"/>
  <c r="P2409" i="2"/>
  <c r="P2410" i="2"/>
  <c r="P2411" i="2"/>
  <c r="P2412" i="2"/>
  <c r="P2413" i="2"/>
  <c r="P2414" i="2"/>
  <c r="P2415" i="2"/>
  <c r="P2416" i="2"/>
  <c r="P2417" i="2"/>
  <c r="P2418" i="2"/>
  <c r="P2419" i="2"/>
  <c r="P2420" i="2"/>
  <c r="P2421" i="2"/>
  <c r="P2422" i="2"/>
  <c r="P2423" i="2"/>
  <c r="P2424" i="2"/>
  <c r="P2425" i="2"/>
  <c r="P2426" i="2"/>
  <c r="P2427" i="2"/>
  <c r="P2428" i="2"/>
  <c r="P2429" i="2"/>
  <c r="P2430" i="2"/>
  <c r="P2431" i="2"/>
  <c r="P2432" i="2"/>
  <c r="P2433" i="2"/>
  <c r="P2434" i="2"/>
  <c r="P2435" i="2"/>
  <c r="P2436" i="2"/>
  <c r="P2437" i="2"/>
  <c r="P2438" i="2"/>
  <c r="P2439" i="2"/>
  <c r="P2440" i="2"/>
  <c r="P2441" i="2"/>
  <c r="P2442" i="2"/>
  <c r="P2443" i="2"/>
  <c r="P2444" i="2"/>
  <c r="P2445" i="2"/>
  <c r="P2446" i="2"/>
  <c r="P2447" i="2"/>
  <c r="P2448" i="2"/>
  <c r="P2449" i="2"/>
  <c r="P2450" i="2"/>
  <c r="P2451" i="2"/>
  <c r="P2452" i="2"/>
  <c r="P2453" i="2"/>
  <c r="P2454" i="2"/>
  <c r="P2455" i="2"/>
  <c r="P2456" i="2"/>
  <c r="P2457" i="2"/>
  <c r="P2458" i="2"/>
  <c r="P2459" i="2"/>
  <c r="P2460" i="2"/>
  <c r="P2461" i="2"/>
  <c r="P2462" i="2"/>
  <c r="P2463" i="2"/>
  <c r="P2464" i="2"/>
  <c r="P2465" i="2"/>
  <c r="P2466" i="2"/>
  <c r="P2467" i="2"/>
  <c r="P2468" i="2"/>
  <c r="P2469" i="2"/>
  <c r="P2470" i="2"/>
  <c r="P2471" i="2"/>
  <c r="P2472" i="2"/>
  <c r="P2473" i="2"/>
  <c r="P2474" i="2"/>
  <c r="P2475" i="2"/>
  <c r="P2476" i="2"/>
  <c r="P2477" i="2"/>
  <c r="P2478" i="2"/>
  <c r="P2479" i="2"/>
  <c r="P2480" i="2"/>
  <c r="P2481" i="2"/>
  <c r="P2482" i="2"/>
  <c r="P2483" i="2"/>
  <c r="P2484" i="2"/>
  <c r="P2485" i="2"/>
  <c r="P2486" i="2"/>
  <c r="P2487" i="2"/>
  <c r="P2488" i="2"/>
  <c r="P2489" i="2"/>
  <c r="P2490" i="2"/>
  <c r="P2491" i="2"/>
  <c r="P2492" i="2"/>
  <c r="P2493" i="2"/>
  <c r="P2494" i="2"/>
  <c r="P2495" i="2"/>
  <c r="P2496" i="2"/>
  <c r="P2497" i="2"/>
  <c r="P2498" i="2"/>
  <c r="P2499" i="2"/>
  <c r="P2500" i="2"/>
  <c r="P2501" i="2"/>
  <c r="P2502" i="2"/>
  <c r="P2503" i="2"/>
  <c r="P2504" i="2"/>
  <c r="P2505" i="2"/>
  <c r="P2506" i="2"/>
  <c r="P2507" i="2"/>
  <c r="P2508" i="2"/>
  <c r="P2509" i="2"/>
  <c r="P2510" i="2"/>
  <c r="P2511" i="2"/>
  <c r="P2512" i="2"/>
  <c r="P2513" i="2"/>
  <c r="P2514" i="2"/>
  <c r="P2515" i="2"/>
  <c r="P2516" i="2"/>
  <c r="P2517" i="2"/>
  <c r="P2518" i="2"/>
  <c r="P2519" i="2"/>
  <c r="P2520" i="2"/>
  <c r="P2521" i="2"/>
  <c r="P2522" i="2"/>
  <c r="P2523" i="2"/>
  <c r="P2524" i="2"/>
  <c r="P2525" i="2"/>
  <c r="P2526" i="2"/>
  <c r="P2527" i="2"/>
  <c r="P2528" i="2"/>
  <c r="P2529" i="2"/>
  <c r="P2530" i="2"/>
  <c r="P2531" i="2"/>
  <c r="P2532" i="2"/>
  <c r="P2533" i="2"/>
  <c r="P2534" i="2"/>
  <c r="P2535" i="2"/>
  <c r="P2536" i="2"/>
  <c r="P2537" i="2"/>
  <c r="P2538" i="2"/>
  <c r="P2539" i="2"/>
  <c r="P2540" i="2"/>
  <c r="P2541" i="2"/>
  <c r="P2542" i="2"/>
  <c r="P2543" i="2"/>
  <c r="P2544" i="2"/>
  <c r="P2545" i="2"/>
  <c r="P2546" i="2"/>
  <c r="P2547" i="2"/>
  <c r="P2548" i="2"/>
  <c r="P2549" i="2"/>
  <c r="P2550" i="2"/>
  <c r="P2551" i="2"/>
  <c r="P2552" i="2"/>
  <c r="P2553" i="2"/>
  <c r="P2554" i="2"/>
  <c r="P2555" i="2"/>
  <c r="P2556" i="2"/>
  <c r="P2557" i="2"/>
  <c r="P2558" i="2"/>
  <c r="P2559" i="2"/>
  <c r="P2560" i="2"/>
  <c r="P2561" i="2"/>
  <c r="P2562" i="2"/>
  <c r="P2563" i="2"/>
  <c r="P2564" i="2"/>
  <c r="P2565" i="2"/>
  <c r="P2566" i="2"/>
  <c r="P2567" i="2"/>
  <c r="P2568" i="2"/>
  <c r="P2569" i="2"/>
  <c r="P2570" i="2"/>
  <c r="P2571" i="2"/>
  <c r="P2572" i="2"/>
  <c r="P2573" i="2"/>
  <c r="P2574" i="2"/>
  <c r="P2575" i="2"/>
  <c r="P2576" i="2"/>
  <c r="P2577" i="2"/>
  <c r="P2578" i="2"/>
  <c r="P2579" i="2"/>
  <c r="P2580" i="2"/>
  <c r="P2581" i="2"/>
  <c r="P2582" i="2"/>
  <c r="P2583" i="2"/>
  <c r="P2584" i="2"/>
  <c r="P2585" i="2"/>
  <c r="P2586" i="2"/>
  <c r="P2587" i="2"/>
  <c r="P2588" i="2"/>
  <c r="P2589" i="2"/>
  <c r="P2590" i="2"/>
  <c r="P2591" i="2"/>
  <c r="P2592" i="2"/>
  <c r="P2593" i="2"/>
  <c r="P2594" i="2"/>
  <c r="P2595" i="2"/>
  <c r="P2596" i="2"/>
  <c r="P2597" i="2"/>
  <c r="P2598" i="2"/>
  <c r="P2599" i="2"/>
  <c r="P2600" i="2"/>
  <c r="P2601" i="2"/>
  <c r="P2602" i="2"/>
  <c r="P2603" i="2"/>
  <c r="P2604" i="2"/>
  <c r="P2605" i="2"/>
  <c r="P2606" i="2"/>
  <c r="P2607" i="2"/>
  <c r="P2608" i="2"/>
  <c r="P2609" i="2"/>
  <c r="P2610" i="2"/>
  <c r="P2611" i="2"/>
  <c r="P2612" i="2"/>
  <c r="P2613" i="2"/>
  <c r="P2614" i="2"/>
  <c r="P2615" i="2"/>
  <c r="P2616" i="2"/>
  <c r="P2617" i="2"/>
  <c r="P2618" i="2"/>
  <c r="P2619" i="2"/>
  <c r="P2620" i="2"/>
  <c r="P2621" i="2"/>
  <c r="P2622" i="2"/>
  <c r="P2623" i="2"/>
  <c r="P2624" i="2"/>
  <c r="P2625" i="2"/>
  <c r="P2626" i="2"/>
  <c r="P2627" i="2"/>
  <c r="P2628" i="2"/>
  <c r="P2629" i="2"/>
  <c r="P2630" i="2"/>
  <c r="P2631" i="2"/>
  <c r="P2632" i="2"/>
  <c r="P2633" i="2"/>
  <c r="P2634" i="2"/>
  <c r="P2635" i="2"/>
  <c r="P2636" i="2"/>
  <c r="P2637" i="2"/>
  <c r="P2638" i="2"/>
  <c r="P2639" i="2"/>
  <c r="P2640" i="2"/>
  <c r="P2641" i="2"/>
  <c r="P2642" i="2"/>
  <c r="P2643" i="2"/>
  <c r="P2644" i="2"/>
  <c r="P2645" i="2"/>
  <c r="P2646" i="2"/>
  <c r="P2647" i="2"/>
  <c r="P2648" i="2"/>
  <c r="P2649" i="2"/>
  <c r="P2650" i="2"/>
  <c r="P2651" i="2"/>
  <c r="P2652" i="2"/>
  <c r="P2653" i="2"/>
  <c r="P2654" i="2"/>
  <c r="P2655" i="2"/>
  <c r="P2656" i="2"/>
  <c r="P2657" i="2"/>
  <c r="P2658" i="2"/>
  <c r="P2659" i="2"/>
  <c r="P2660" i="2"/>
  <c r="P2661" i="2"/>
  <c r="P2662" i="2"/>
  <c r="P2663" i="2"/>
  <c r="P2664" i="2"/>
  <c r="P2665" i="2"/>
  <c r="P2666" i="2"/>
  <c r="P2667" i="2"/>
  <c r="P2668" i="2"/>
  <c r="P2669" i="2"/>
  <c r="P2670" i="2"/>
  <c r="P2671" i="2"/>
  <c r="P2672" i="2"/>
  <c r="P2673" i="2"/>
  <c r="P2674" i="2"/>
  <c r="P2675" i="2"/>
  <c r="P2676" i="2"/>
  <c r="P2677" i="2"/>
  <c r="P2678" i="2"/>
  <c r="P2679" i="2"/>
  <c r="P2680" i="2"/>
  <c r="P2681" i="2"/>
  <c r="P2682" i="2"/>
  <c r="P2683" i="2"/>
  <c r="P2684" i="2"/>
  <c r="P2685" i="2"/>
  <c r="P2686" i="2"/>
  <c r="P2687" i="2"/>
  <c r="P2688" i="2"/>
  <c r="P2689" i="2"/>
  <c r="P2690" i="2"/>
  <c r="P2691" i="2"/>
  <c r="P2692" i="2"/>
  <c r="P2693" i="2"/>
  <c r="P2694" i="2"/>
  <c r="P2695" i="2"/>
  <c r="P2696" i="2"/>
  <c r="P2697" i="2"/>
  <c r="P2698" i="2"/>
  <c r="P2699" i="2"/>
  <c r="P2700" i="2"/>
  <c r="P2701" i="2"/>
  <c r="P2702" i="2"/>
  <c r="P2703" i="2"/>
  <c r="P2704" i="2"/>
  <c r="P2705" i="2"/>
  <c r="P2706" i="2"/>
  <c r="P2707" i="2"/>
  <c r="P2708" i="2"/>
  <c r="P2709" i="2"/>
  <c r="P2710" i="2"/>
  <c r="P2711" i="2"/>
  <c r="P2712" i="2"/>
  <c r="P2713" i="2"/>
  <c r="P2714" i="2"/>
  <c r="P2715" i="2"/>
  <c r="P2716" i="2"/>
  <c r="P2717" i="2"/>
  <c r="P2718" i="2"/>
  <c r="P2719" i="2"/>
  <c r="P2720" i="2"/>
  <c r="P2721" i="2"/>
  <c r="P2722" i="2"/>
  <c r="P2723" i="2"/>
  <c r="P2724" i="2"/>
  <c r="P2725" i="2"/>
  <c r="P2726" i="2"/>
  <c r="P2727" i="2"/>
  <c r="P2728" i="2"/>
  <c r="P2729" i="2"/>
  <c r="P2730" i="2"/>
  <c r="P2731" i="2"/>
  <c r="P2732" i="2"/>
  <c r="P2733" i="2"/>
  <c r="P2734" i="2"/>
  <c r="P2735" i="2"/>
  <c r="P2736" i="2"/>
  <c r="P2737" i="2"/>
  <c r="P2738" i="2"/>
  <c r="P2739" i="2"/>
  <c r="P2740" i="2"/>
  <c r="P2741" i="2"/>
  <c r="P2742" i="2"/>
  <c r="P2743" i="2"/>
  <c r="P2744" i="2"/>
  <c r="P2745" i="2"/>
  <c r="P2746" i="2"/>
  <c r="P2747" i="2"/>
  <c r="P2748" i="2"/>
  <c r="P2749" i="2"/>
  <c r="P2750" i="2"/>
  <c r="P2751" i="2"/>
  <c r="P2752" i="2"/>
  <c r="P2753" i="2"/>
  <c r="P2754" i="2"/>
  <c r="P2755" i="2"/>
  <c r="P2756" i="2"/>
  <c r="P2757" i="2"/>
  <c r="P2758" i="2"/>
  <c r="P2759" i="2"/>
  <c r="P2760" i="2"/>
  <c r="P2761" i="2"/>
  <c r="P2762" i="2"/>
  <c r="P2763" i="2"/>
  <c r="P2764" i="2"/>
  <c r="P2765" i="2"/>
  <c r="P2766" i="2"/>
  <c r="P2767" i="2"/>
  <c r="P2768" i="2"/>
  <c r="P2769" i="2"/>
  <c r="P2770" i="2"/>
  <c r="P2771" i="2"/>
  <c r="P2772" i="2"/>
  <c r="P2773" i="2"/>
  <c r="P2774" i="2"/>
  <c r="P2775" i="2"/>
  <c r="P2776" i="2"/>
  <c r="P2777" i="2"/>
  <c r="P2778" i="2"/>
  <c r="P2779" i="2"/>
  <c r="P2780" i="2"/>
  <c r="P2781" i="2"/>
  <c r="P2782" i="2"/>
  <c r="P2783" i="2"/>
  <c r="P2784" i="2"/>
  <c r="P2785" i="2"/>
  <c r="P2786" i="2"/>
  <c r="P2787" i="2"/>
  <c r="P2788" i="2"/>
  <c r="P2789" i="2"/>
  <c r="P2790" i="2"/>
  <c r="P2791" i="2"/>
  <c r="P2792" i="2"/>
  <c r="P2793" i="2"/>
  <c r="P2794" i="2"/>
  <c r="P2795" i="2"/>
  <c r="P2796" i="2"/>
  <c r="P2797" i="2"/>
  <c r="P2798" i="2"/>
  <c r="P2799" i="2"/>
  <c r="P2800" i="2"/>
  <c r="P2801" i="2"/>
  <c r="P2802" i="2"/>
  <c r="P2803" i="2"/>
  <c r="P2804" i="2"/>
  <c r="P2805" i="2"/>
  <c r="P2806" i="2"/>
  <c r="P2807" i="2"/>
  <c r="P2808" i="2"/>
  <c r="P2809" i="2"/>
  <c r="P2810" i="2"/>
  <c r="P2811" i="2"/>
  <c r="P2812" i="2"/>
  <c r="P2813" i="2"/>
  <c r="P2814" i="2"/>
  <c r="P2815" i="2"/>
  <c r="P2816" i="2"/>
  <c r="P2817" i="2"/>
  <c r="P2818" i="2"/>
  <c r="P2819" i="2"/>
  <c r="P2820" i="2"/>
  <c r="P2821" i="2"/>
  <c r="P2822" i="2"/>
  <c r="P2823" i="2"/>
  <c r="P2824" i="2"/>
  <c r="P2825" i="2"/>
  <c r="P2826" i="2"/>
  <c r="P2827" i="2"/>
  <c r="P2828" i="2"/>
  <c r="P2829" i="2"/>
  <c r="P2830" i="2"/>
  <c r="P2831" i="2"/>
  <c r="P2832" i="2"/>
  <c r="P2833" i="2"/>
  <c r="P2834" i="2"/>
  <c r="P2835" i="2"/>
  <c r="P2836" i="2"/>
  <c r="P2837" i="2"/>
  <c r="P2838" i="2"/>
  <c r="P2839" i="2"/>
  <c r="P2840" i="2"/>
  <c r="P2841" i="2"/>
  <c r="P2842" i="2"/>
  <c r="P2843" i="2"/>
  <c r="P2844" i="2"/>
  <c r="P2845" i="2"/>
  <c r="P2846" i="2"/>
  <c r="P2847" i="2"/>
  <c r="P2848" i="2"/>
  <c r="P2849" i="2"/>
  <c r="P2850" i="2"/>
  <c r="P2851" i="2"/>
  <c r="P2852" i="2"/>
  <c r="P2853" i="2"/>
  <c r="P2854" i="2"/>
  <c r="P2855" i="2"/>
  <c r="P2856" i="2"/>
  <c r="P2857" i="2"/>
  <c r="P2858" i="2"/>
  <c r="P2859" i="2"/>
  <c r="P2860" i="2"/>
  <c r="P2861" i="2"/>
  <c r="P2862" i="2"/>
  <c r="P2863" i="2"/>
  <c r="P2864" i="2"/>
  <c r="P2865" i="2"/>
  <c r="P2866" i="2"/>
  <c r="P2867" i="2"/>
  <c r="P2868" i="2"/>
  <c r="P2869" i="2"/>
  <c r="P2870" i="2"/>
  <c r="P2871" i="2"/>
  <c r="P2872" i="2"/>
  <c r="P2873" i="2"/>
  <c r="P2874" i="2"/>
  <c r="P2875" i="2"/>
  <c r="P2876" i="2"/>
  <c r="P2877" i="2"/>
  <c r="P2878" i="2"/>
  <c r="P2879" i="2"/>
  <c r="P2880" i="2"/>
  <c r="P2881" i="2"/>
  <c r="P2882" i="2"/>
  <c r="P2883" i="2"/>
  <c r="P2884" i="2"/>
  <c r="P2885" i="2"/>
  <c r="P2886" i="2"/>
  <c r="P2887" i="2"/>
  <c r="P2888" i="2"/>
  <c r="P2889" i="2"/>
  <c r="P2890" i="2"/>
  <c r="P2891" i="2"/>
  <c r="P2892" i="2"/>
  <c r="P2893" i="2"/>
  <c r="P2894" i="2"/>
  <c r="P2895" i="2"/>
  <c r="P2896" i="2"/>
  <c r="P2897" i="2"/>
  <c r="P2898" i="2"/>
  <c r="P2899" i="2"/>
  <c r="P2900" i="2"/>
  <c r="P2901" i="2"/>
  <c r="P2902" i="2"/>
  <c r="P2903" i="2"/>
  <c r="P2904" i="2"/>
  <c r="P2905" i="2"/>
  <c r="P2906" i="2"/>
  <c r="P2907" i="2"/>
  <c r="P2908" i="2"/>
  <c r="P2909" i="2"/>
  <c r="P2910" i="2"/>
  <c r="P2911" i="2"/>
  <c r="P2912" i="2"/>
  <c r="P2913" i="2"/>
  <c r="P2914" i="2"/>
  <c r="P2915" i="2"/>
  <c r="P2916" i="2"/>
  <c r="P2917" i="2"/>
  <c r="P2918" i="2"/>
  <c r="P2919" i="2"/>
  <c r="P2920" i="2"/>
  <c r="P2921" i="2"/>
  <c r="P2922" i="2"/>
  <c r="P2923" i="2"/>
  <c r="P2924" i="2"/>
  <c r="P2925" i="2"/>
  <c r="P2926" i="2"/>
  <c r="P2927" i="2"/>
  <c r="P2928" i="2"/>
  <c r="P2929" i="2"/>
  <c r="P2930" i="2"/>
  <c r="P2931" i="2"/>
  <c r="P2932" i="2"/>
  <c r="P2933" i="2"/>
  <c r="P2934" i="2"/>
  <c r="P2935" i="2"/>
  <c r="P2936" i="2"/>
  <c r="P2937" i="2"/>
  <c r="P2938" i="2"/>
  <c r="P2939" i="2"/>
  <c r="P2940" i="2"/>
  <c r="P2941" i="2"/>
  <c r="P2942" i="2"/>
  <c r="P2943" i="2"/>
  <c r="P2944" i="2"/>
  <c r="P2945" i="2"/>
  <c r="P2946" i="2"/>
  <c r="P2947" i="2"/>
  <c r="P2948" i="2"/>
  <c r="P2949" i="2"/>
  <c r="P2950" i="2"/>
  <c r="P2951" i="2"/>
  <c r="P2952" i="2"/>
  <c r="P2953" i="2"/>
  <c r="P2954" i="2"/>
  <c r="P2955" i="2"/>
  <c r="P2956" i="2"/>
  <c r="P2957" i="2"/>
  <c r="P2958" i="2"/>
  <c r="P2959" i="2"/>
  <c r="P2960" i="2"/>
  <c r="P2961" i="2"/>
  <c r="P2962" i="2"/>
  <c r="P2963" i="2"/>
  <c r="P2964" i="2"/>
  <c r="P2965" i="2"/>
  <c r="P2966" i="2"/>
  <c r="P2967" i="2"/>
  <c r="P2968" i="2"/>
  <c r="P2969" i="2"/>
  <c r="P2970" i="2"/>
  <c r="P2971" i="2"/>
  <c r="P2972" i="2"/>
  <c r="P2973" i="2"/>
  <c r="P2974" i="2"/>
  <c r="P2975" i="2"/>
  <c r="P2976" i="2"/>
  <c r="P2977" i="2"/>
  <c r="P2978" i="2"/>
  <c r="P2979" i="2"/>
  <c r="P2980" i="2"/>
  <c r="P2981" i="2"/>
  <c r="P2982" i="2"/>
  <c r="P2983" i="2"/>
  <c r="P2984" i="2"/>
  <c r="P2985" i="2"/>
  <c r="P2986" i="2"/>
  <c r="P2987" i="2"/>
  <c r="P2988" i="2"/>
  <c r="P2989" i="2"/>
  <c r="P2990" i="2"/>
  <c r="P2991" i="2"/>
  <c r="P2992" i="2"/>
  <c r="P2993" i="2"/>
  <c r="P2994" i="2"/>
  <c r="P2995" i="2"/>
  <c r="P2996" i="2"/>
  <c r="P2997" i="2"/>
  <c r="P2998" i="2"/>
  <c r="P2999" i="2"/>
  <c r="P3000" i="2"/>
  <c r="P3001" i="2"/>
  <c r="P3002" i="2"/>
  <c r="P3003" i="2"/>
  <c r="P3004" i="2"/>
  <c r="P3005" i="2"/>
  <c r="P3006" i="2"/>
  <c r="P3007" i="2"/>
  <c r="P3008" i="2"/>
  <c r="P3009" i="2"/>
  <c r="P3010" i="2"/>
  <c r="P3011" i="2"/>
  <c r="P3012" i="2"/>
  <c r="P3013" i="2"/>
  <c r="P3014" i="2"/>
  <c r="P3015" i="2"/>
  <c r="P3016" i="2"/>
  <c r="P3017" i="2"/>
  <c r="P3018" i="2"/>
  <c r="P3019" i="2"/>
  <c r="P3020" i="2"/>
  <c r="P3021" i="2"/>
  <c r="P3022" i="2"/>
  <c r="P3023" i="2"/>
  <c r="P3024" i="2"/>
  <c r="P3025" i="2"/>
  <c r="P3026" i="2"/>
  <c r="P3027" i="2"/>
  <c r="P3028" i="2"/>
  <c r="P3029" i="2"/>
  <c r="P3030" i="2"/>
  <c r="P3031" i="2"/>
  <c r="P3032" i="2"/>
  <c r="P3033" i="2"/>
  <c r="P3034" i="2"/>
  <c r="P3035" i="2"/>
  <c r="P3036" i="2"/>
  <c r="P3037" i="2"/>
  <c r="P3038" i="2"/>
  <c r="P3039" i="2"/>
  <c r="P3040" i="2"/>
  <c r="P3041" i="2"/>
  <c r="P3042" i="2"/>
  <c r="P3043" i="2"/>
  <c r="P3044" i="2"/>
  <c r="P3045" i="2"/>
  <c r="P3046" i="2"/>
  <c r="P3047" i="2"/>
  <c r="P3048" i="2"/>
  <c r="P3049" i="2"/>
  <c r="P3050" i="2"/>
  <c r="P3051" i="2"/>
  <c r="P3052" i="2"/>
  <c r="P3053" i="2"/>
  <c r="P3054" i="2"/>
  <c r="P3055" i="2"/>
  <c r="P3056" i="2"/>
  <c r="P3057" i="2"/>
  <c r="P3058" i="2"/>
  <c r="P3059" i="2"/>
  <c r="P3060" i="2"/>
  <c r="P3061" i="2"/>
  <c r="P3062" i="2"/>
  <c r="P3063" i="2"/>
  <c r="P3064" i="2"/>
  <c r="P3065" i="2"/>
  <c r="P3066" i="2"/>
  <c r="P3067" i="2"/>
  <c r="P3068" i="2"/>
  <c r="P3069" i="2"/>
  <c r="P3070" i="2"/>
  <c r="P3071" i="2"/>
  <c r="P3072" i="2"/>
  <c r="P3073" i="2"/>
  <c r="P3074" i="2"/>
  <c r="P3075" i="2"/>
  <c r="P3076" i="2"/>
  <c r="P3077" i="2"/>
  <c r="P3078" i="2"/>
  <c r="P3079" i="2"/>
  <c r="P3080" i="2"/>
  <c r="P3081" i="2"/>
  <c r="P3082" i="2"/>
  <c r="P3083" i="2"/>
  <c r="P3084" i="2"/>
  <c r="P3085" i="2"/>
  <c r="P3086" i="2"/>
  <c r="P3087" i="2"/>
  <c r="P3088" i="2"/>
  <c r="P3089" i="2"/>
  <c r="P3090" i="2"/>
  <c r="P3091" i="2"/>
  <c r="P3092" i="2"/>
  <c r="P3093" i="2"/>
  <c r="P3094" i="2"/>
  <c r="P3095" i="2"/>
  <c r="P3096" i="2"/>
  <c r="P3097" i="2"/>
  <c r="P3098" i="2"/>
  <c r="P3099" i="2"/>
  <c r="P3100" i="2"/>
  <c r="P3101" i="2"/>
  <c r="P3102" i="2"/>
  <c r="P3103" i="2"/>
  <c r="P3104" i="2"/>
  <c r="P3105" i="2"/>
  <c r="P3106" i="2"/>
  <c r="P3107" i="2"/>
  <c r="P3108" i="2"/>
  <c r="P3109" i="2"/>
  <c r="P3110" i="2"/>
  <c r="P3111" i="2"/>
  <c r="P3112" i="2"/>
  <c r="P3113" i="2"/>
  <c r="P3114" i="2"/>
  <c r="P3115" i="2"/>
  <c r="P3116" i="2"/>
  <c r="P3117" i="2"/>
  <c r="P3118" i="2"/>
  <c r="P3119" i="2"/>
  <c r="P3120" i="2"/>
  <c r="P3121" i="2"/>
  <c r="P3122" i="2"/>
  <c r="P3123" i="2"/>
  <c r="P3124" i="2"/>
  <c r="P3125" i="2"/>
  <c r="P3126" i="2"/>
  <c r="P3127" i="2"/>
  <c r="P3128" i="2"/>
  <c r="P3129" i="2"/>
  <c r="P3130" i="2"/>
  <c r="P3131" i="2"/>
  <c r="P3132" i="2"/>
  <c r="P3133" i="2"/>
  <c r="P3134" i="2"/>
  <c r="P3135" i="2"/>
  <c r="P3136" i="2"/>
  <c r="P3137" i="2"/>
  <c r="P3138" i="2"/>
  <c r="P3139" i="2"/>
  <c r="P3140" i="2"/>
  <c r="P3141" i="2"/>
  <c r="P3142" i="2"/>
  <c r="P3143" i="2"/>
  <c r="P3144" i="2"/>
  <c r="P3145" i="2"/>
  <c r="P3146" i="2"/>
  <c r="P3147" i="2"/>
  <c r="P3148" i="2"/>
  <c r="P3149" i="2"/>
  <c r="P3150" i="2"/>
  <c r="P3151" i="2"/>
  <c r="P3152" i="2"/>
  <c r="P3153" i="2"/>
  <c r="P3154" i="2"/>
  <c r="P3155" i="2"/>
  <c r="P3156" i="2"/>
  <c r="P3157" i="2"/>
  <c r="P3158" i="2"/>
  <c r="P3159" i="2"/>
  <c r="P3160" i="2"/>
  <c r="P3161" i="2"/>
  <c r="P3162" i="2"/>
  <c r="P3163" i="2"/>
  <c r="P3164" i="2"/>
  <c r="P3165" i="2"/>
  <c r="P3166" i="2"/>
  <c r="P3167" i="2"/>
  <c r="P3168" i="2"/>
  <c r="P3169" i="2"/>
  <c r="P3170" i="2"/>
  <c r="P3171" i="2"/>
  <c r="P3172" i="2"/>
  <c r="P3173" i="2"/>
  <c r="P3174" i="2"/>
  <c r="P3175" i="2"/>
  <c r="P3176" i="2"/>
  <c r="P3177" i="2"/>
  <c r="P3178" i="2"/>
  <c r="P3179" i="2"/>
  <c r="P3180" i="2"/>
  <c r="P3181" i="2"/>
  <c r="P3182" i="2"/>
  <c r="P3183" i="2"/>
  <c r="P3184" i="2"/>
  <c r="P3185" i="2"/>
  <c r="P3186" i="2"/>
  <c r="P3187" i="2"/>
  <c r="P3188" i="2"/>
  <c r="P3189" i="2"/>
  <c r="P3190" i="2"/>
  <c r="P3191" i="2"/>
  <c r="P3192" i="2"/>
  <c r="P3193" i="2"/>
  <c r="P3194" i="2"/>
  <c r="P3195" i="2"/>
  <c r="P3196" i="2"/>
  <c r="P3197" i="2"/>
  <c r="P3198" i="2"/>
  <c r="P3199" i="2"/>
  <c r="P3200" i="2"/>
  <c r="P3201" i="2"/>
  <c r="P3202" i="2"/>
  <c r="P3203" i="2"/>
  <c r="P3204" i="2"/>
  <c r="P3205" i="2"/>
  <c r="P3206" i="2"/>
  <c r="P3207" i="2"/>
  <c r="P3208" i="2"/>
  <c r="P3209" i="2"/>
  <c r="P3210" i="2"/>
  <c r="P3211" i="2"/>
  <c r="P3212" i="2"/>
  <c r="P3213" i="2"/>
  <c r="P3214" i="2"/>
  <c r="P3215" i="2"/>
  <c r="P3216" i="2"/>
  <c r="P3217" i="2"/>
  <c r="P3218" i="2"/>
  <c r="P3219" i="2"/>
  <c r="P3220" i="2"/>
  <c r="P3221" i="2"/>
  <c r="P3222" i="2"/>
  <c r="P3223" i="2"/>
  <c r="P3224" i="2"/>
  <c r="P3225" i="2"/>
  <c r="P3226" i="2"/>
  <c r="P3227" i="2"/>
  <c r="P3228" i="2"/>
  <c r="P3229" i="2"/>
  <c r="P3230" i="2"/>
  <c r="P3231" i="2"/>
  <c r="P3232" i="2"/>
  <c r="P3233" i="2"/>
  <c r="P3234" i="2"/>
  <c r="P3235" i="2"/>
  <c r="P3236" i="2"/>
  <c r="P3237" i="2"/>
  <c r="P3238" i="2"/>
  <c r="P3239" i="2"/>
  <c r="P3240" i="2"/>
  <c r="P3241" i="2"/>
  <c r="P3242" i="2"/>
  <c r="P3243" i="2"/>
  <c r="P3244" i="2"/>
  <c r="P3245" i="2"/>
  <c r="P3246" i="2"/>
  <c r="P3247" i="2"/>
  <c r="P3248" i="2"/>
  <c r="P3249" i="2"/>
  <c r="P3250" i="2"/>
  <c r="P3251" i="2"/>
  <c r="P3252" i="2"/>
  <c r="P3253" i="2"/>
  <c r="P3254" i="2"/>
  <c r="P3255" i="2"/>
  <c r="P3256" i="2"/>
  <c r="P3257" i="2"/>
  <c r="P3258" i="2"/>
  <c r="P3259" i="2"/>
  <c r="P3260" i="2"/>
  <c r="P3261" i="2"/>
  <c r="P3262" i="2"/>
  <c r="P3263" i="2"/>
  <c r="P3264" i="2"/>
  <c r="P3265" i="2"/>
  <c r="P3266" i="2"/>
  <c r="P3267" i="2"/>
  <c r="P3268" i="2"/>
  <c r="P3269" i="2"/>
  <c r="P3270" i="2"/>
  <c r="P3271" i="2"/>
  <c r="P3272" i="2"/>
  <c r="P3273" i="2"/>
  <c r="P3274" i="2"/>
  <c r="P3275" i="2"/>
  <c r="P3276" i="2"/>
  <c r="P3277" i="2"/>
  <c r="P3278" i="2"/>
  <c r="P3279" i="2"/>
  <c r="P3280" i="2"/>
  <c r="P3281" i="2"/>
  <c r="P3282" i="2"/>
  <c r="P3283" i="2"/>
  <c r="P3284" i="2"/>
  <c r="P3285" i="2"/>
  <c r="P3286" i="2"/>
  <c r="P3287" i="2"/>
  <c r="P3288" i="2"/>
  <c r="P3289" i="2"/>
  <c r="P3290" i="2"/>
  <c r="P3291" i="2"/>
  <c r="P3292" i="2"/>
  <c r="P3293" i="2"/>
  <c r="P3294" i="2"/>
  <c r="P3295" i="2"/>
  <c r="P3296" i="2"/>
  <c r="P3297" i="2"/>
  <c r="P3298" i="2"/>
  <c r="P3299" i="2"/>
  <c r="P3300" i="2"/>
  <c r="P3301" i="2"/>
  <c r="P3302" i="2"/>
  <c r="P3303" i="2"/>
  <c r="P3304" i="2"/>
  <c r="P3305" i="2"/>
  <c r="P3306" i="2"/>
  <c r="P3307" i="2"/>
  <c r="P3308" i="2"/>
  <c r="P3309" i="2"/>
  <c r="P3310" i="2"/>
  <c r="P3311" i="2"/>
  <c r="P3312" i="2"/>
  <c r="P3313" i="2"/>
  <c r="P3314" i="2"/>
  <c r="P3315" i="2"/>
  <c r="P3316" i="2"/>
  <c r="P3317" i="2"/>
  <c r="P3318" i="2"/>
  <c r="P3319" i="2"/>
  <c r="P3320" i="2"/>
  <c r="P3321" i="2"/>
  <c r="P3322" i="2"/>
  <c r="P3323" i="2"/>
  <c r="P3324" i="2"/>
  <c r="P3325" i="2"/>
  <c r="P3326" i="2"/>
  <c r="P3327" i="2"/>
  <c r="P3328" i="2"/>
  <c r="P3329" i="2"/>
  <c r="P3330" i="2"/>
  <c r="P3331" i="2"/>
  <c r="P3332" i="2"/>
  <c r="P3333" i="2"/>
  <c r="P3334" i="2"/>
  <c r="P3335" i="2"/>
  <c r="P3336" i="2"/>
  <c r="P3337" i="2"/>
  <c r="P3338" i="2"/>
  <c r="P3339" i="2"/>
  <c r="P3340" i="2"/>
  <c r="P3341" i="2"/>
  <c r="P3342" i="2"/>
  <c r="P3343" i="2"/>
  <c r="P3344" i="2"/>
  <c r="P3345" i="2"/>
  <c r="P3346" i="2"/>
  <c r="P3347" i="2"/>
  <c r="P3348" i="2"/>
  <c r="P3349" i="2"/>
  <c r="P3350" i="2"/>
  <c r="P3351" i="2"/>
  <c r="P3352" i="2"/>
  <c r="P3353" i="2"/>
  <c r="P3354" i="2"/>
  <c r="P3355" i="2"/>
  <c r="P3356" i="2"/>
  <c r="P3357" i="2"/>
  <c r="P3358" i="2"/>
  <c r="P3359" i="2"/>
  <c r="P3360" i="2"/>
  <c r="P3361" i="2"/>
  <c r="P3362" i="2"/>
  <c r="P3363" i="2"/>
  <c r="P3364" i="2"/>
  <c r="P3365" i="2"/>
  <c r="P3366" i="2"/>
  <c r="P3367" i="2"/>
  <c r="P3368" i="2"/>
  <c r="P3369" i="2"/>
  <c r="P3370" i="2"/>
  <c r="P3371" i="2"/>
  <c r="P3372" i="2"/>
  <c r="P3373" i="2"/>
  <c r="P3374" i="2"/>
  <c r="P3375" i="2"/>
  <c r="P3376" i="2"/>
  <c r="P3377" i="2"/>
  <c r="P3378" i="2"/>
  <c r="P3379" i="2"/>
  <c r="P3380" i="2"/>
  <c r="P3381" i="2"/>
  <c r="P3382" i="2"/>
  <c r="P3383" i="2"/>
  <c r="P3384" i="2"/>
  <c r="P3385" i="2"/>
  <c r="P3386" i="2"/>
  <c r="P3387" i="2"/>
  <c r="P3388" i="2"/>
  <c r="P3389" i="2"/>
  <c r="P3390" i="2"/>
  <c r="P3391" i="2"/>
  <c r="P3392" i="2"/>
  <c r="P3393" i="2"/>
  <c r="P3394" i="2"/>
  <c r="P3395" i="2"/>
  <c r="P3396" i="2"/>
  <c r="P3397" i="2"/>
  <c r="P3398" i="2"/>
  <c r="P3399" i="2"/>
  <c r="P3400" i="2"/>
  <c r="P3401" i="2"/>
  <c r="P3402" i="2"/>
  <c r="P3403" i="2"/>
  <c r="P3404" i="2"/>
  <c r="P3405" i="2"/>
  <c r="P3406" i="2"/>
  <c r="P3407" i="2"/>
  <c r="P3408" i="2"/>
  <c r="P3409" i="2"/>
  <c r="P3410" i="2"/>
  <c r="P3411" i="2"/>
  <c r="P3412" i="2"/>
  <c r="P3413" i="2"/>
  <c r="P3414" i="2"/>
  <c r="P3415" i="2"/>
  <c r="P3416" i="2"/>
  <c r="P3417" i="2"/>
  <c r="P3418" i="2"/>
  <c r="P3419" i="2"/>
  <c r="P3420" i="2"/>
  <c r="P3421" i="2"/>
  <c r="P3422" i="2"/>
  <c r="P3423" i="2"/>
  <c r="P3424" i="2"/>
  <c r="P3425" i="2"/>
  <c r="P3426" i="2"/>
  <c r="P3427" i="2"/>
  <c r="P3428" i="2"/>
  <c r="P3429" i="2"/>
  <c r="P3430" i="2"/>
  <c r="P3431" i="2"/>
  <c r="P3432" i="2"/>
  <c r="P3433" i="2"/>
  <c r="P3434" i="2"/>
  <c r="P3435" i="2"/>
  <c r="P3436" i="2"/>
  <c r="P3437" i="2"/>
  <c r="P3438" i="2"/>
  <c r="P3439" i="2"/>
  <c r="P3440" i="2"/>
  <c r="P3441" i="2"/>
  <c r="P3442" i="2"/>
  <c r="P3443" i="2"/>
  <c r="P3444" i="2"/>
  <c r="P3445" i="2"/>
  <c r="P3446" i="2"/>
  <c r="P3447" i="2"/>
  <c r="P3448" i="2"/>
  <c r="P3449" i="2"/>
  <c r="P3450" i="2"/>
  <c r="P3451" i="2"/>
  <c r="P3452" i="2"/>
  <c r="P3453" i="2"/>
  <c r="P3454" i="2"/>
  <c r="P3455" i="2"/>
  <c r="P3456" i="2"/>
  <c r="P3457" i="2"/>
  <c r="P3458" i="2"/>
  <c r="P3459" i="2"/>
  <c r="P3460" i="2"/>
  <c r="P3461" i="2"/>
  <c r="P3462" i="2"/>
  <c r="P3463" i="2"/>
  <c r="P3464" i="2"/>
  <c r="P3465" i="2"/>
  <c r="P3466" i="2"/>
  <c r="P3467" i="2"/>
  <c r="P3468" i="2"/>
  <c r="P3469" i="2"/>
  <c r="P3470" i="2"/>
  <c r="P3471" i="2"/>
  <c r="P3472" i="2"/>
  <c r="P3473" i="2"/>
  <c r="P3474" i="2"/>
  <c r="P3475" i="2"/>
  <c r="P3476" i="2"/>
  <c r="P3477" i="2"/>
  <c r="P3478" i="2"/>
  <c r="P3479" i="2"/>
  <c r="P3480" i="2"/>
  <c r="P3481" i="2"/>
  <c r="P3482" i="2"/>
  <c r="P3483" i="2"/>
  <c r="P3484" i="2"/>
  <c r="P3485" i="2"/>
  <c r="P3486" i="2"/>
  <c r="P3487" i="2"/>
  <c r="P3488" i="2"/>
  <c r="P3489" i="2"/>
  <c r="P3490" i="2"/>
  <c r="P3491" i="2"/>
  <c r="P3492" i="2"/>
  <c r="P3493" i="2"/>
  <c r="P3494" i="2"/>
  <c r="P3495" i="2"/>
  <c r="P3496" i="2"/>
  <c r="P3497" i="2"/>
  <c r="P3498" i="2"/>
  <c r="P3499" i="2"/>
  <c r="P3500" i="2"/>
  <c r="P3501" i="2"/>
  <c r="P3502" i="2"/>
  <c r="P3503" i="2"/>
  <c r="P3504" i="2"/>
  <c r="P3505" i="2"/>
  <c r="P3506" i="2"/>
  <c r="P3507" i="2"/>
  <c r="P3508" i="2"/>
  <c r="P3509" i="2"/>
  <c r="P3510" i="2"/>
  <c r="P3511" i="2"/>
  <c r="P3512" i="2"/>
  <c r="P3513" i="2"/>
  <c r="P3514" i="2"/>
  <c r="P3515" i="2"/>
  <c r="P3516" i="2"/>
  <c r="P3517" i="2"/>
  <c r="P3518" i="2"/>
  <c r="P3519" i="2"/>
  <c r="P3520" i="2"/>
  <c r="P3521" i="2"/>
  <c r="P3522" i="2"/>
  <c r="P3523" i="2"/>
  <c r="P3524" i="2"/>
  <c r="P3525" i="2"/>
  <c r="P3526" i="2"/>
  <c r="P3527" i="2"/>
  <c r="P3528" i="2"/>
  <c r="P3529" i="2"/>
  <c r="P3530" i="2"/>
  <c r="P3531" i="2"/>
  <c r="P3532" i="2"/>
  <c r="P3533" i="2"/>
  <c r="P3534" i="2"/>
  <c r="P3535" i="2"/>
  <c r="P3536" i="2"/>
  <c r="P3537" i="2"/>
  <c r="P3538" i="2"/>
  <c r="P3539" i="2"/>
  <c r="P3540" i="2"/>
  <c r="P3541" i="2"/>
  <c r="P3542" i="2"/>
  <c r="P3543" i="2"/>
  <c r="P3544" i="2"/>
  <c r="P3545" i="2"/>
  <c r="P3546" i="2"/>
  <c r="P3547" i="2"/>
  <c r="P3548" i="2"/>
  <c r="P3549" i="2"/>
  <c r="P3550" i="2"/>
  <c r="P3551" i="2"/>
  <c r="P3552" i="2"/>
  <c r="P3553" i="2"/>
  <c r="P3554" i="2"/>
  <c r="P3555" i="2"/>
  <c r="P3556" i="2"/>
  <c r="P3557" i="2"/>
  <c r="P3558" i="2"/>
  <c r="P3559" i="2"/>
  <c r="P3560" i="2"/>
  <c r="P3561" i="2"/>
  <c r="P3562" i="2"/>
  <c r="P3563" i="2"/>
  <c r="P3564" i="2"/>
  <c r="P3565" i="2"/>
  <c r="P3566" i="2"/>
  <c r="P3567" i="2"/>
  <c r="P3568" i="2"/>
  <c r="P3569" i="2"/>
  <c r="P3570" i="2"/>
  <c r="P3571" i="2"/>
  <c r="P3572" i="2"/>
  <c r="P3573" i="2"/>
  <c r="P3574" i="2"/>
  <c r="P3575" i="2"/>
  <c r="P3576" i="2"/>
  <c r="P3577" i="2"/>
  <c r="P3578" i="2"/>
  <c r="P3579" i="2"/>
  <c r="P3580" i="2"/>
  <c r="P3581" i="2"/>
  <c r="P3582" i="2"/>
  <c r="P3583" i="2"/>
  <c r="P3584" i="2"/>
  <c r="P3585" i="2"/>
  <c r="P3586" i="2"/>
  <c r="P3587" i="2"/>
  <c r="P3588" i="2"/>
  <c r="P3589" i="2"/>
  <c r="P3590" i="2"/>
  <c r="P3591" i="2"/>
  <c r="P3592" i="2"/>
  <c r="P3593" i="2"/>
  <c r="P3594" i="2"/>
  <c r="P3595" i="2"/>
  <c r="P3596" i="2"/>
  <c r="P3597" i="2"/>
  <c r="P3598" i="2"/>
  <c r="P3599" i="2"/>
  <c r="P3600" i="2"/>
  <c r="P3601" i="2"/>
  <c r="P3602" i="2"/>
  <c r="P3603" i="2"/>
  <c r="P3604" i="2"/>
  <c r="P3605" i="2"/>
  <c r="P3606" i="2"/>
  <c r="P3607" i="2"/>
  <c r="P3608" i="2"/>
  <c r="P3609" i="2"/>
  <c r="P3610" i="2"/>
  <c r="P3611" i="2"/>
  <c r="P3612" i="2"/>
  <c r="P3613" i="2"/>
  <c r="P3614" i="2"/>
  <c r="P3615" i="2"/>
  <c r="P3616" i="2"/>
  <c r="P3617" i="2"/>
  <c r="P3618" i="2"/>
  <c r="P3619" i="2"/>
  <c r="P3620" i="2"/>
  <c r="P3621" i="2"/>
  <c r="P3622" i="2"/>
  <c r="P3623" i="2"/>
  <c r="P3624" i="2"/>
  <c r="P3625" i="2"/>
  <c r="P3626" i="2"/>
  <c r="P3627" i="2"/>
  <c r="P3628" i="2"/>
  <c r="P3629" i="2"/>
  <c r="P3630" i="2"/>
  <c r="P3631" i="2"/>
  <c r="P3632" i="2"/>
  <c r="P3633" i="2"/>
  <c r="P3634" i="2"/>
  <c r="P3635" i="2"/>
  <c r="P3636" i="2"/>
  <c r="P3637" i="2"/>
  <c r="P3638" i="2"/>
  <c r="P3639" i="2"/>
  <c r="P3640" i="2"/>
  <c r="P3641" i="2"/>
  <c r="P3642" i="2"/>
  <c r="P3643" i="2"/>
  <c r="P3644" i="2"/>
  <c r="P3645" i="2"/>
  <c r="P3646" i="2"/>
  <c r="P3647" i="2"/>
  <c r="P3648" i="2"/>
  <c r="P3649" i="2"/>
  <c r="P3650" i="2"/>
  <c r="P3651" i="2"/>
  <c r="P3652" i="2"/>
  <c r="P3653" i="2"/>
  <c r="P3654" i="2"/>
  <c r="P3655" i="2"/>
  <c r="P3656" i="2"/>
  <c r="P3657" i="2"/>
  <c r="P3658" i="2"/>
  <c r="P3659" i="2"/>
  <c r="P3660" i="2"/>
  <c r="P3661" i="2"/>
  <c r="P3662" i="2"/>
  <c r="P3663" i="2"/>
  <c r="P3664" i="2"/>
  <c r="P3665" i="2"/>
  <c r="P3666" i="2"/>
  <c r="P3667" i="2"/>
  <c r="P3668" i="2"/>
  <c r="P3669" i="2"/>
  <c r="P3670" i="2"/>
  <c r="P3671" i="2"/>
  <c r="P3672" i="2"/>
  <c r="P3673" i="2"/>
  <c r="P3674" i="2"/>
  <c r="P3675" i="2"/>
  <c r="P3676" i="2"/>
  <c r="P3677" i="2"/>
  <c r="P3678" i="2"/>
  <c r="P3679" i="2"/>
  <c r="P3680" i="2"/>
  <c r="P3681" i="2"/>
  <c r="P3682" i="2"/>
  <c r="P3683" i="2"/>
  <c r="P3684" i="2"/>
  <c r="P3685" i="2"/>
  <c r="P3686" i="2"/>
  <c r="P3687" i="2"/>
  <c r="P3688" i="2"/>
  <c r="P3689" i="2"/>
  <c r="P3690" i="2"/>
  <c r="P3691" i="2"/>
  <c r="P3692" i="2"/>
  <c r="P3693" i="2"/>
  <c r="P3694" i="2"/>
  <c r="P3695" i="2"/>
  <c r="P3696" i="2"/>
  <c r="P3697" i="2"/>
  <c r="P3698" i="2"/>
  <c r="P3699" i="2"/>
  <c r="P3700" i="2"/>
  <c r="P3701" i="2"/>
  <c r="P3702" i="2"/>
  <c r="P3703" i="2"/>
  <c r="P3704" i="2"/>
  <c r="P3705" i="2"/>
  <c r="P3706" i="2"/>
  <c r="P3707" i="2"/>
  <c r="P3708" i="2"/>
  <c r="P3709" i="2"/>
  <c r="P3710" i="2"/>
  <c r="P3711" i="2"/>
  <c r="P3712" i="2"/>
  <c r="P3713" i="2"/>
  <c r="P3714" i="2"/>
  <c r="P3715" i="2"/>
  <c r="P3716" i="2"/>
  <c r="P3717" i="2"/>
  <c r="P3718" i="2"/>
  <c r="P3719" i="2"/>
  <c r="P3720" i="2"/>
  <c r="P3721" i="2"/>
  <c r="P3722" i="2"/>
  <c r="P3723" i="2"/>
  <c r="P3724" i="2"/>
  <c r="P3725" i="2"/>
  <c r="P3726" i="2"/>
  <c r="P3727" i="2"/>
  <c r="P3728" i="2"/>
  <c r="P3729" i="2"/>
  <c r="P3730" i="2"/>
  <c r="P3731" i="2"/>
  <c r="P3732" i="2"/>
  <c r="P3733" i="2"/>
  <c r="P3734" i="2"/>
  <c r="P3735" i="2"/>
  <c r="P3736" i="2"/>
  <c r="P3737" i="2"/>
  <c r="P3738" i="2"/>
  <c r="P3739" i="2"/>
  <c r="P3740" i="2"/>
  <c r="P3741" i="2"/>
  <c r="P3742" i="2"/>
  <c r="P3743" i="2"/>
  <c r="P3744" i="2"/>
  <c r="P3745" i="2"/>
  <c r="P3746" i="2"/>
  <c r="P3747" i="2"/>
  <c r="P3748" i="2"/>
  <c r="P3749" i="2"/>
  <c r="P3750" i="2"/>
  <c r="P3751" i="2"/>
  <c r="P3752" i="2"/>
  <c r="P3753" i="2"/>
  <c r="P3754" i="2"/>
  <c r="P3755" i="2"/>
  <c r="P3756" i="2"/>
  <c r="P3757" i="2"/>
  <c r="P3758" i="2"/>
  <c r="P3759" i="2"/>
  <c r="P3760" i="2"/>
  <c r="P3761" i="2"/>
  <c r="P3762" i="2"/>
  <c r="P3763" i="2"/>
  <c r="P3764" i="2"/>
  <c r="P3765" i="2"/>
  <c r="P3766" i="2"/>
  <c r="P3767" i="2"/>
  <c r="P3768" i="2"/>
  <c r="P3769" i="2"/>
  <c r="P3770" i="2"/>
  <c r="P3771" i="2"/>
  <c r="P3772" i="2"/>
  <c r="P3773" i="2"/>
  <c r="P3774" i="2"/>
  <c r="P3775" i="2"/>
  <c r="P3776" i="2"/>
  <c r="P3777" i="2"/>
  <c r="P3778" i="2"/>
  <c r="P3779" i="2"/>
  <c r="P3780" i="2"/>
  <c r="P3781" i="2"/>
  <c r="P3782" i="2"/>
  <c r="P3783" i="2"/>
  <c r="P3784" i="2"/>
  <c r="P3785" i="2"/>
  <c r="P3786" i="2"/>
  <c r="P3787" i="2"/>
  <c r="P3788" i="2"/>
  <c r="P3789" i="2"/>
  <c r="P3790" i="2"/>
  <c r="P3791" i="2"/>
  <c r="P3792" i="2"/>
  <c r="P3793" i="2"/>
  <c r="P3794" i="2"/>
  <c r="P3795" i="2"/>
  <c r="P3796" i="2"/>
  <c r="P3797" i="2"/>
  <c r="P3798" i="2"/>
  <c r="P3799" i="2"/>
  <c r="P3800" i="2"/>
  <c r="P3801" i="2"/>
  <c r="P3802" i="2"/>
  <c r="P3803" i="2"/>
  <c r="P3804" i="2"/>
  <c r="P3805" i="2"/>
  <c r="P3806" i="2"/>
  <c r="P3807" i="2"/>
  <c r="P3808" i="2"/>
  <c r="P3809" i="2"/>
  <c r="P3810" i="2"/>
  <c r="P3811" i="2"/>
  <c r="P3812" i="2"/>
  <c r="P3813" i="2"/>
  <c r="P3814" i="2"/>
  <c r="P3815" i="2"/>
  <c r="P3816" i="2"/>
  <c r="P3817" i="2"/>
  <c r="P3818" i="2"/>
  <c r="P3819" i="2"/>
  <c r="P3820" i="2"/>
  <c r="P3821" i="2"/>
  <c r="P3822" i="2"/>
  <c r="P3823" i="2"/>
  <c r="P3824" i="2"/>
  <c r="P3825" i="2"/>
  <c r="P3826" i="2"/>
  <c r="P3827" i="2"/>
  <c r="P3828" i="2"/>
  <c r="P3829" i="2"/>
  <c r="P3830" i="2"/>
  <c r="P3831" i="2"/>
  <c r="P3832" i="2"/>
  <c r="P3833" i="2"/>
  <c r="P3834" i="2"/>
  <c r="P3835" i="2"/>
  <c r="P3836" i="2"/>
  <c r="P3837" i="2"/>
  <c r="P3838" i="2"/>
  <c r="P3839" i="2"/>
  <c r="P3840" i="2"/>
  <c r="P3841" i="2"/>
  <c r="P3842" i="2"/>
  <c r="P3843" i="2"/>
  <c r="P3844" i="2"/>
  <c r="P3845" i="2"/>
  <c r="P3846" i="2"/>
  <c r="P3847" i="2"/>
  <c r="P3848" i="2"/>
  <c r="P3849" i="2"/>
  <c r="P3850" i="2"/>
  <c r="P3851" i="2"/>
  <c r="P3852" i="2"/>
  <c r="P3853" i="2"/>
  <c r="P3854" i="2"/>
  <c r="P3855" i="2"/>
  <c r="P3856" i="2"/>
  <c r="P3857" i="2"/>
  <c r="P3858" i="2"/>
  <c r="P3859" i="2"/>
  <c r="P3860" i="2"/>
  <c r="P3861" i="2"/>
  <c r="P3862" i="2"/>
  <c r="P3863" i="2"/>
  <c r="P3864" i="2"/>
  <c r="P3865" i="2"/>
  <c r="P3866" i="2"/>
  <c r="P3867" i="2"/>
  <c r="P3868" i="2"/>
  <c r="P3869" i="2"/>
  <c r="P3870" i="2"/>
  <c r="P3871" i="2"/>
  <c r="P3872" i="2"/>
  <c r="P3873" i="2"/>
  <c r="P3874" i="2"/>
  <c r="P3875" i="2"/>
  <c r="P3876" i="2"/>
  <c r="P3877" i="2"/>
  <c r="P3878" i="2"/>
  <c r="P3879" i="2"/>
  <c r="P3880" i="2"/>
  <c r="P3881" i="2"/>
  <c r="P3882" i="2"/>
  <c r="P3883" i="2"/>
  <c r="P3884" i="2"/>
  <c r="P3885" i="2"/>
  <c r="P3886" i="2"/>
  <c r="P3887" i="2"/>
  <c r="P3888" i="2"/>
  <c r="P3889" i="2"/>
  <c r="P3890" i="2"/>
  <c r="P3891" i="2"/>
  <c r="P3892" i="2"/>
  <c r="P3893" i="2"/>
  <c r="P3894" i="2"/>
  <c r="P3895" i="2"/>
  <c r="P3896" i="2"/>
  <c r="P3897" i="2"/>
  <c r="P3898" i="2"/>
  <c r="P3899" i="2"/>
  <c r="P3900" i="2"/>
  <c r="P3901" i="2"/>
  <c r="P3902" i="2"/>
  <c r="P3903" i="2"/>
  <c r="P3904" i="2"/>
  <c r="P3905" i="2"/>
  <c r="P3906" i="2"/>
  <c r="P3907" i="2"/>
  <c r="P3908" i="2"/>
  <c r="P3909" i="2"/>
  <c r="P3910" i="2"/>
  <c r="P3911" i="2"/>
  <c r="P3912" i="2"/>
  <c r="P3913" i="2"/>
  <c r="P3914" i="2"/>
  <c r="P3915" i="2"/>
  <c r="P3916" i="2"/>
  <c r="P3917" i="2"/>
  <c r="P3918" i="2"/>
  <c r="P3919" i="2"/>
  <c r="P3920" i="2"/>
  <c r="P3921" i="2"/>
  <c r="P3922" i="2"/>
  <c r="P3923" i="2"/>
  <c r="P3924" i="2"/>
  <c r="P3925" i="2"/>
  <c r="P3926" i="2"/>
  <c r="P3927" i="2"/>
  <c r="P3928" i="2"/>
  <c r="P3929" i="2"/>
  <c r="P3930" i="2"/>
  <c r="P3931" i="2"/>
  <c r="P3932" i="2"/>
  <c r="P3933" i="2"/>
  <c r="P3934" i="2"/>
  <c r="P3935" i="2"/>
  <c r="P3936" i="2"/>
  <c r="P3937" i="2"/>
  <c r="P3938" i="2"/>
  <c r="P3939" i="2"/>
  <c r="P3940" i="2"/>
  <c r="P3941" i="2"/>
  <c r="P3942" i="2"/>
  <c r="P3943" i="2"/>
  <c r="P3944" i="2"/>
  <c r="P3945" i="2"/>
  <c r="P3946" i="2"/>
  <c r="P3947" i="2"/>
  <c r="P3948" i="2"/>
  <c r="P3949" i="2"/>
  <c r="P3950" i="2"/>
  <c r="P3951" i="2"/>
  <c r="P3952" i="2"/>
  <c r="P3953" i="2"/>
  <c r="P3954" i="2"/>
  <c r="P3955" i="2"/>
  <c r="P3956" i="2"/>
  <c r="P3957" i="2"/>
  <c r="P3958" i="2"/>
  <c r="P3959" i="2"/>
  <c r="P3960" i="2"/>
  <c r="P3961" i="2"/>
  <c r="P3962" i="2"/>
  <c r="P3963" i="2"/>
  <c r="P3964" i="2"/>
  <c r="P3965" i="2"/>
  <c r="P3966" i="2"/>
  <c r="P3967" i="2"/>
  <c r="P3968" i="2"/>
  <c r="P3969" i="2"/>
  <c r="P3970" i="2"/>
  <c r="P3971" i="2"/>
  <c r="P3972" i="2"/>
  <c r="P3973" i="2"/>
  <c r="P3974" i="2"/>
  <c r="P3975" i="2"/>
  <c r="P3976" i="2"/>
  <c r="P3977" i="2"/>
  <c r="P3978" i="2"/>
  <c r="P3979" i="2"/>
  <c r="P3980" i="2"/>
  <c r="P3981" i="2"/>
  <c r="P3982" i="2"/>
  <c r="P3983" i="2"/>
  <c r="P3984" i="2"/>
  <c r="P3985" i="2"/>
  <c r="P3986" i="2"/>
  <c r="P3987" i="2"/>
  <c r="P3988" i="2"/>
  <c r="P3989" i="2"/>
  <c r="P3990" i="2"/>
  <c r="P3991" i="2"/>
  <c r="P3992" i="2"/>
  <c r="P3993" i="2"/>
  <c r="P3994" i="2"/>
  <c r="P3995" i="2"/>
  <c r="P3996" i="2"/>
  <c r="P3997" i="2"/>
  <c r="P3998" i="2"/>
  <c r="P3999" i="2"/>
  <c r="P4000" i="2"/>
  <c r="P4001" i="2"/>
  <c r="P4002" i="2"/>
  <c r="P4003" i="2"/>
  <c r="P4004" i="2"/>
  <c r="P4005" i="2"/>
  <c r="P4006" i="2"/>
  <c r="P4007" i="2"/>
  <c r="P4008" i="2"/>
  <c r="P4009" i="2"/>
  <c r="P4010" i="2"/>
  <c r="P4011" i="2"/>
  <c r="P4012" i="2"/>
  <c r="P4013" i="2"/>
  <c r="P4014" i="2"/>
  <c r="P4015" i="2"/>
  <c r="P4016" i="2"/>
  <c r="P4017" i="2"/>
  <c r="P4018" i="2"/>
  <c r="P4019" i="2"/>
  <c r="P4020" i="2"/>
  <c r="P4021" i="2"/>
  <c r="P4022" i="2"/>
  <c r="P4023" i="2"/>
  <c r="P4024" i="2"/>
  <c r="P4025" i="2"/>
  <c r="P4026" i="2"/>
  <c r="P4027" i="2"/>
  <c r="P4028" i="2"/>
  <c r="P4029" i="2"/>
  <c r="P4030" i="2"/>
  <c r="P4031" i="2"/>
  <c r="P4032" i="2"/>
  <c r="P4033" i="2"/>
  <c r="P4034" i="2"/>
  <c r="P4035" i="2"/>
  <c r="P4036" i="2"/>
  <c r="P4037" i="2"/>
  <c r="P4038" i="2"/>
  <c r="P4039" i="2"/>
  <c r="P4040" i="2"/>
  <c r="P4041" i="2"/>
  <c r="P4042" i="2"/>
  <c r="P4043" i="2"/>
  <c r="P4044" i="2"/>
  <c r="P4045" i="2"/>
  <c r="P4046" i="2"/>
  <c r="P4047" i="2"/>
  <c r="P4048" i="2"/>
  <c r="P4049" i="2"/>
  <c r="P4050" i="2"/>
  <c r="P4051" i="2"/>
  <c r="P4052" i="2"/>
  <c r="P4053" i="2"/>
  <c r="P4054" i="2"/>
  <c r="P4055" i="2"/>
  <c r="P4056" i="2"/>
  <c r="P4057" i="2"/>
  <c r="P4058" i="2"/>
  <c r="P4059" i="2"/>
  <c r="P4060" i="2"/>
  <c r="P4061" i="2"/>
  <c r="P4062" i="2"/>
  <c r="P4063" i="2"/>
  <c r="P4064" i="2"/>
  <c r="P4065" i="2"/>
  <c r="P4066" i="2"/>
  <c r="P4067" i="2"/>
  <c r="P4068" i="2"/>
  <c r="P4069" i="2"/>
  <c r="P4070" i="2"/>
  <c r="P4071" i="2"/>
  <c r="P4072" i="2"/>
  <c r="P4073" i="2"/>
  <c r="P4074" i="2"/>
  <c r="P4075" i="2"/>
  <c r="P4076" i="2"/>
  <c r="P4077" i="2"/>
  <c r="P4078" i="2"/>
  <c r="P4079" i="2"/>
  <c r="P4080" i="2"/>
  <c r="P4081" i="2"/>
  <c r="P4082" i="2"/>
  <c r="P4083" i="2"/>
  <c r="P4084" i="2"/>
  <c r="P4085" i="2"/>
  <c r="P4086" i="2"/>
  <c r="P4087" i="2"/>
  <c r="P4088" i="2"/>
  <c r="P4089" i="2"/>
  <c r="P4090" i="2"/>
  <c r="P4091" i="2"/>
  <c r="P4092" i="2"/>
  <c r="P4093" i="2"/>
  <c r="P4094" i="2"/>
  <c r="P4095" i="2"/>
  <c r="P4096" i="2"/>
  <c r="P4097" i="2"/>
  <c r="P4098" i="2"/>
  <c r="P4099" i="2"/>
  <c r="P4100" i="2"/>
  <c r="P4101" i="2"/>
  <c r="P4102" i="2"/>
  <c r="P4103" i="2"/>
  <c r="P4104" i="2"/>
  <c r="P4105" i="2"/>
  <c r="P4106" i="2"/>
  <c r="P4107" i="2"/>
  <c r="P4108" i="2"/>
  <c r="P4109" i="2"/>
  <c r="P4110" i="2"/>
  <c r="P4111" i="2"/>
  <c r="P4112" i="2"/>
  <c r="P4113" i="2"/>
  <c r="P4114" i="2"/>
  <c r="P4115" i="2"/>
  <c r="P4116" i="2"/>
  <c r="P4117" i="2"/>
  <c r="P4118" i="2"/>
  <c r="P4119" i="2"/>
  <c r="P4120" i="2"/>
  <c r="P4121" i="2"/>
  <c r="P4122" i="2"/>
  <c r="P4123" i="2"/>
  <c r="P4124" i="2"/>
  <c r="P4125" i="2"/>
  <c r="P4126" i="2"/>
  <c r="P4127" i="2"/>
  <c r="P4128" i="2"/>
  <c r="P4129" i="2"/>
  <c r="P4130" i="2"/>
  <c r="P4131" i="2"/>
  <c r="P4132" i="2"/>
  <c r="P4133" i="2"/>
  <c r="P4134" i="2"/>
  <c r="P4135" i="2"/>
  <c r="P4136" i="2"/>
  <c r="P4137" i="2"/>
  <c r="P4138" i="2"/>
  <c r="P4139" i="2"/>
  <c r="P4140" i="2"/>
  <c r="P4141" i="2"/>
  <c r="P4142" i="2"/>
  <c r="P4143" i="2"/>
  <c r="P4144" i="2"/>
  <c r="P4145" i="2"/>
  <c r="P4146" i="2"/>
  <c r="P4147" i="2"/>
  <c r="P4148" i="2"/>
  <c r="P4149" i="2"/>
  <c r="P4150" i="2"/>
  <c r="P4151" i="2"/>
  <c r="P4152" i="2"/>
  <c r="P4153" i="2"/>
  <c r="P4154" i="2"/>
  <c r="P4155" i="2"/>
  <c r="P4156" i="2"/>
  <c r="P4157" i="2"/>
  <c r="P4158" i="2"/>
  <c r="P4159" i="2"/>
  <c r="P4160" i="2"/>
  <c r="P4161" i="2"/>
  <c r="P4162" i="2"/>
  <c r="P4163" i="2"/>
  <c r="P4164" i="2"/>
  <c r="P4165" i="2"/>
  <c r="P4166" i="2"/>
  <c r="P4167" i="2"/>
  <c r="P4168" i="2"/>
  <c r="P4169" i="2"/>
  <c r="P4170" i="2"/>
  <c r="P4171" i="2"/>
  <c r="P4172" i="2"/>
  <c r="P4173" i="2"/>
  <c r="P4174" i="2"/>
  <c r="P4175" i="2"/>
  <c r="P4176" i="2"/>
  <c r="P4177" i="2"/>
  <c r="P4178" i="2"/>
  <c r="P4179" i="2"/>
  <c r="P4180" i="2"/>
  <c r="P4181" i="2"/>
  <c r="P4182" i="2"/>
  <c r="P4183" i="2"/>
  <c r="P4184" i="2"/>
  <c r="P4185" i="2"/>
  <c r="P4186" i="2"/>
  <c r="P4187" i="2"/>
  <c r="P4188" i="2"/>
  <c r="P4189" i="2"/>
  <c r="P4190" i="2"/>
  <c r="P4191" i="2"/>
  <c r="P4192" i="2"/>
  <c r="P4193" i="2"/>
  <c r="P4194" i="2"/>
  <c r="P4195" i="2"/>
  <c r="P4196" i="2"/>
  <c r="P4197" i="2"/>
  <c r="P4198" i="2"/>
  <c r="P4199" i="2"/>
  <c r="P4200" i="2"/>
  <c r="P4201" i="2"/>
  <c r="P4202" i="2"/>
  <c r="P4203" i="2"/>
  <c r="P4204" i="2"/>
  <c r="P4205" i="2"/>
  <c r="P4206" i="2"/>
  <c r="P4207" i="2"/>
  <c r="P4208" i="2"/>
  <c r="P4209" i="2"/>
  <c r="P4210" i="2"/>
  <c r="P4211" i="2"/>
  <c r="P4212" i="2"/>
  <c r="P4213" i="2"/>
  <c r="P4214" i="2"/>
  <c r="P4215" i="2"/>
  <c r="P4216" i="2"/>
  <c r="P4217" i="2"/>
  <c r="P4218" i="2"/>
  <c r="P4219" i="2"/>
  <c r="P4220" i="2"/>
  <c r="P4221" i="2"/>
  <c r="P4222" i="2"/>
  <c r="P4223" i="2"/>
  <c r="P4224" i="2"/>
  <c r="P4225" i="2"/>
  <c r="P4226" i="2"/>
  <c r="P4227" i="2"/>
  <c r="P4228" i="2"/>
  <c r="P4229" i="2"/>
  <c r="P4230" i="2"/>
  <c r="P4231" i="2"/>
  <c r="P4232" i="2"/>
  <c r="P4233" i="2"/>
  <c r="P4234" i="2"/>
  <c r="P4235" i="2"/>
  <c r="P4236" i="2"/>
  <c r="P4237" i="2"/>
  <c r="P4238" i="2"/>
  <c r="P4239" i="2"/>
  <c r="P4240" i="2"/>
  <c r="P4241" i="2"/>
  <c r="P4242" i="2"/>
  <c r="P4243" i="2"/>
  <c r="P4244" i="2"/>
  <c r="P4245" i="2"/>
  <c r="P4246" i="2"/>
  <c r="P4247" i="2"/>
  <c r="P4248" i="2"/>
  <c r="P4249" i="2"/>
  <c r="P4250" i="2"/>
  <c r="P4251" i="2"/>
  <c r="P4252" i="2"/>
  <c r="P4253" i="2"/>
  <c r="P4254" i="2"/>
  <c r="P4255" i="2"/>
  <c r="P4256" i="2"/>
  <c r="P4257" i="2"/>
  <c r="P4258" i="2"/>
  <c r="P4259" i="2"/>
  <c r="P4260" i="2"/>
  <c r="P4261" i="2"/>
  <c r="P4262" i="2"/>
  <c r="P4263" i="2"/>
  <c r="P4264" i="2"/>
  <c r="P4265" i="2"/>
  <c r="P4266" i="2"/>
  <c r="P4267" i="2"/>
  <c r="P4268" i="2"/>
  <c r="P4269" i="2"/>
  <c r="P4270" i="2"/>
  <c r="P4271" i="2"/>
  <c r="P4272" i="2"/>
  <c r="P4273" i="2"/>
  <c r="P4274" i="2"/>
  <c r="P4275" i="2"/>
  <c r="P4276" i="2"/>
  <c r="P4277" i="2"/>
  <c r="P4278" i="2"/>
  <c r="P4279" i="2"/>
  <c r="P4280" i="2"/>
  <c r="P4281" i="2"/>
  <c r="P4282" i="2"/>
  <c r="P4283" i="2"/>
  <c r="P4284" i="2"/>
  <c r="P4285" i="2"/>
  <c r="P4286" i="2"/>
  <c r="P4287" i="2"/>
  <c r="P4288" i="2"/>
  <c r="P4289" i="2"/>
  <c r="P4290" i="2"/>
  <c r="P4291" i="2"/>
  <c r="P4292" i="2"/>
  <c r="P4293" i="2"/>
  <c r="P4294" i="2"/>
  <c r="P4295" i="2"/>
  <c r="P4296" i="2"/>
  <c r="P4297" i="2"/>
  <c r="P4298" i="2"/>
  <c r="P4299" i="2"/>
  <c r="P4300" i="2"/>
  <c r="P4301" i="2"/>
  <c r="P4302" i="2"/>
  <c r="P4303" i="2"/>
  <c r="P4304" i="2"/>
  <c r="P4305" i="2"/>
  <c r="P4306" i="2"/>
  <c r="P4307" i="2"/>
  <c r="P4308" i="2"/>
  <c r="P4309" i="2"/>
  <c r="P4310" i="2"/>
  <c r="P4311" i="2"/>
  <c r="P4312" i="2"/>
  <c r="P4313" i="2"/>
  <c r="P4314" i="2"/>
  <c r="P4315" i="2"/>
  <c r="P4316" i="2"/>
  <c r="P4317" i="2"/>
  <c r="P4318" i="2"/>
  <c r="P4319" i="2"/>
  <c r="P4320" i="2"/>
  <c r="P4321" i="2"/>
  <c r="P4322" i="2"/>
  <c r="P4323" i="2"/>
  <c r="P4324" i="2"/>
  <c r="P4325" i="2"/>
  <c r="P4326" i="2"/>
  <c r="P4327" i="2"/>
  <c r="P4328" i="2"/>
  <c r="P4329" i="2"/>
  <c r="P4330" i="2"/>
  <c r="P4331" i="2"/>
  <c r="P4332" i="2"/>
  <c r="P4333" i="2"/>
  <c r="P4334" i="2"/>
  <c r="P4335" i="2"/>
  <c r="P4336" i="2"/>
  <c r="P4337" i="2"/>
  <c r="P4338" i="2"/>
  <c r="P4339" i="2"/>
  <c r="P4340" i="2"/>
  <c r="P4341" i="2"/>
  <c r="P4342" i="2"/>
  <c r="P4343" i="2"/>
  <c r="P4344" i="2"/>
  <c r="P4345" i="2"/>
  <c r="P4346" i="2"/>
  <c r="P4347" i="2"/>
  <c r="P4348" i="2"/>
  <c r="P4349" i="2"/>
  <c r="P4350" i="2"/>
  <c r="P4351" i="2"/>
  <c r="P4352" i="2"/>
  <c r="P4353" i="2"/>
  <c r="P4354" i="2"/>
  <c r="P4355" i="2"/>
  <c r="P4356" i="2"/>
  <c r="P4357" i="2"/>
  <c r="P4358" i="2"/>
  <c r="P4359" i="2"/>
  <c r="P4360" i="2"/>
  <c r="P4361" i="2"/>
  <c r="P4362" i="2"/>
  <c r="P4363" i="2"/>
  <c r="P4364" i="2"/>
  <c r="P4365" i="2"/>
  <c r="P4366" i="2"/>
  <c r="P4367" i="2"/>
  <c r="P4368" i="2"/>
  <c r="P4369" i="2"/>
  <c r="P4370" i="2"/>
  <c r="P4371" i="2"/>
  <c r="P4372" i="2"/>
  <c r="P4373" i="2"/>
  <c r="P4374" i="2"/>
  <c r="P4375" i="2"/>
  <c r="P4376" i="2"/>
  <c r="P4377" i="2"/>
  <c r="P4378" i="2"/>
  <c r="P4379" i="2"/>
  <c r="P4380" i="2"/>
  <c r="P4381" i="2"/>
  <c r="P4382" i="2"/>
  <c r="P4383" i="2"/>
  <c r="P4384" i="2"/>
  <c r="P4385" i="2"/>
  <c r="P4386" i="2"/>
  <c r="P4387" i="2"/>
  <c r="P4388" i="2"/>
  <c r="P4389" i="2"/>
  <c r="P4390" i="2"/>
  <c r="P4391" i="2"/>
  <c r="P4392" i="2"/>
  <c r="P4393" i="2"/>
  <c r="P4394" i="2"/>
  <c r="P4395" i="2"/>
  <c r="P4396" i="2"/>
  <c r="P4397" i="2"/>
  <c r="P4398" i="2"/>
  <c r="P4399" i="2"/>
  <c r="P4400" i="2"/>
  <c r="P4401" i="2"/>
  <c r="P4402" i="2"/>
  <c r="P4403" i="2"/>
  <c r="P4404" i="2"/>
  <c r="P4405" i="2"/>
  <c r="P4406" i="2"/>
  <c r="P4407" i="2"/>
  <c r="P4408" i="2"/>
  <c r="P4409" i="2"/>
  <c r="P4410" i="2"/>
  <c r="P4411" i="2"/>
  <c r="P4412" i="2"/>
  <c r="P4413" i="2"/>
  <c r="P4414" i="2"/>
  <c r="P4415" i="2"/>
  <c r="P4416" i="2"/>
  <c r="P4417" i="2"/>
  <c r="P4418" i="2"/>
  <c r="P4419" i="2"/>
  <c r="P4420" i="2"/>
  <c r="P4421" i="2"/>
  <c r="P4422" i="2"/>
  <c r="P4423" i="2"/>
  <c r="P4424" i="2"/>
  <c r="P4425" i="2"/>
  <c r="P4426" i="2"/>
  <c r="P4427" i="2"/>
  <c r="P4428" i="2"/>
  <c r="P4429" i="2"/>
  <c r="P4430" i="2"/>
  <c r="P4431" i="2"/>
  <c r="P4432" i="2"/>
  <c r="P4433" i="2"/>
  <c r="P4434" i="2"/>
  <c r="P4435" i="2"/>
  <c r="P4436" i="2"/>
  <c r="P4437" i="2"/>
  <c r="P4438" i="2"/>
  <c r="P4439" i="2"/>
  <c r="P4440" i="2"/>
  <c r="P4441" i="2"/>
  <c r="P4442" i="2"/>
  <c r="P4443" i="2"/>
  <c r="P4444" i="2"/>
  <c r="P4445" i="2"/>
  <c r="P4446" i="2"/>
  <c r="P4447" i="2"/>
  <c r="P4448" i="2"/>
  <c r="P4449" i="2"/>
  <c r="P4450" i="2"/>
  <c r="P4451" i="2"/>
  <c r="P4452" i="2"/>
  <c r="P4453" i="2"/>
  <c r="P4454" i="2"/>
  <c r="P4455" i="2"/>
  <c r="P4456" i="2"/>
  <c r="P4457" i="2"/>
  <c r="P4458" i="2"/>
  <c r="P4459" i="2"/>
  <c r="P4460" i="2"/>
  <c r="P4461" i="2"/>
  <c r="P4462" i="2"/>
  <c r="P4463" i="2"/>
  <c r="P4464" i="2"/>
  <c r="P4465" i="2"/>
  <c r="P4466" i="2"/>
  <c r="P4467" i="2"/>
  <c r="P4468" i="2"/>
  <c r="P4469" i="2"/>
  <c r="P4470" i="2"/>
  <c r="P4471" i="2"/>
  <c r="P4472" i="2"/>
  <c r="P4473" i="2"/>
  <c r="P4474" i="2"/>
  <c r="P4475" i="2"/>
  <c r="P4476" i="2"/>
  <c r="P4477" i="2"/>
  <c r="P4478" i="2"/>
  <c r="P4479" i="2"/>
  <c r="P4480" i="2"/>
  <c r="P4481" i="2"/>
  <c r="P4482" i="2"/>
  <c r="P4483" i="2"/>
  <c r="P4484" i="2"/>
  <c r="P4485" i="2"/>
  <c r="P4486" i="2"/>
  <c r="P4487" i="2"/>
  <c r="P4488" i="2"/>
  <c r="P4489" i="2"/>
  <c r="P4490" i="2"/>
  <c r="P4491" i="2"/>
  <c r="P4492" i="2"/>
  <c r="P4493" i="2"/>
  <c r="P4494" i="2"/>
  <c r="P4495" i="2"/>
  <c r="P4496" i="2"/>
  <c r="P4497" i="2"/>
  <c r="P4498" i="2"/>
  <c r="P4499" i="2"/>
  <c r="P4500" i="2"/>
  <c r="P4501" i="2"/>
  <c r="P4502" i="2"/>
  <c r="P4503" i="2"/>
  <c r="P4504" i="2"/>
  <c r="P4505" i="2"/>
  <c r="P4506" i="2"/>
  <c r="P4507" i="2"/>
  <c r="P4508" i="2"/>
  <c r="P4509" i="2"/>
  <c r="P4510" i="2"/>
  <c r="P4511" i="2"/>
  <c r="P4512" i="2"/>
  <c r="P4513" i="2"/>
  <c r="P4514" i="2"/>
  <c r="P4515" i="2"/>
  <c r="P4516" i="2"/>
  <c r="P4517" i="2"/>
  <c r="P4518" i="2"/>
  <c r="P4519" i="2"/>
  <c r="P4520" i="2"/>
  <c r="P4521" i="2"/>
  <c r="P4522" i="2"/>
  <c r="P4523" i="2"/>
  <c r="P4524" i="2"/>
  <c r="P4525" i="2"/>
  <c r="P4526" i="2"/>
  <c r="P4527" i="2"/>
  <c r="P4528" i="2"/>
  <c r="P4529" i="2"/>
  <c r="P4530" i="2"/>
  <c r="P4531" i="2"/>
  <c r="P4532" i="2"/>
  <c r="P4533" i="2"/>
  <c r="P4534" i="2"/>
  <c r="P4535" i="2"/>
  <c r="P4536" i="2"/>
  <c r="P4537" i="2"/>
  <c r="P4538" i="2"/>
  <c r="P4539" i="2"/>
  <c r="P4540" i="2"/>
  <c r="P4541" i="2"/>
  <c r="P4542" i="2"/>
  <c r="P4543" i="2"/>
  <c r="P4544" i="2"/>
  <c r="P4545" i="2"/>
  <c r="P4546" i="2"/>
  <c r="P4547" i="2"/>
  <c r="P4548" i="2"/>
  <c r="P4549" i="2"/>
  <c r="P4550" i="2"/>
  <c r="P4551" i="2"/>
  <c r="P4552" i="2"/>
  <c r="P4553" i="2"/>
  <c r="P4554" i="2"/>
  <c r="P4555" i="2"/>
  <c r="P4556" i="2"/>
  <c r="P4557" i="2"/>
  <c r="P4558" i="2"/>
  <c r="P4559" i="2"/>
  <c r="P4560" i="2"/>
  <c r="P4561" i="2"/>
  <c r="P4562" i="2"/>
  <c r="P4563" i="2"/>
  <c r="P4564" i="2"/>
  <c r="P4565" i="2"/>
  <c r="P4566" i="2"/>
  <c r="P4567" i="2"/>
  <c r="P4568" i="2"/>
  <c r="P4569" i="2"/>
  <c r="P4570" i="2"/>
  <c r="P4571" i="2"/>
  <c r="P4572" i="2"/>
  <c r="P4573" i="2"/>
  <c r="P4574" i="2"/>
  <c r="P4575" i="2"/>
  <c r="P4576" i="2"/>
  <c r="P4577" i="2"/>
  <c r="P4578" i="2"/>
  <c r="P4579" i="2"/>
  <c r="P4580" i="2"/>
  <c r="P4581" i="2"/>
  <c r="P4582" i="2"/>
  <c r="P4583" i="2"/>
  <c r="P4584" i="2"/>
  <c r="P4585" i="2"/>
  <c r="P4586" i="2"/>
  <c r="P4587" i="2"/>
  <c r="P4588" i="2"/>
  <c r="P4589" i="2"/>
  <c r="P4590" i="2"/>
  <c r="P4591" i="2"/>
  <c r="P4592" i="2"/>
  <c r="P4593" i="2"/>
  <c r="P4594" i="2"/>
  <c r="P4595" i="2"/>
  <c r="P4596" i="2"/>
  <c r="P4597" i="2"/>
  <c r="P4598" i="2"/>
  <c r="P4599" i="2"/>
  <c r="P4600" i="2"/>
  <c r="P4601" i="2"/>
  <c r="P4602" i="2"/>
  <c r="P4603" i="2"/>
  <c r="P4604" i="2"/>
  <c r="P4605" i="2"/>
  <c r="P4606" i="2"/>
  <c r="P4607" i="2"/>
  <c r="P4608" i="2"/>
  <c r="P4609" i="2"/>
  <c r="P4610" i="2"/>
  <c r="P4611" i="2"/>
  <c r="P4612" i="2"/>
  <c r="P4613" i="2"/>
  <c r="P4614" i="2"/>
  <c r="P4615" i="2"/>
  <c r="P4616" i="2"/>
  <c r="P4617" i="2"/>
  <c r="P4618" i="2"/>
  <c r="P4619" i="2"/>
  <c r="P4620" i="2"/>
  <c r="P4621" i="2"/>
  <c r="P4622" i="2"/>
  <c r="P4623" i="2"/>
  <c r="P4624" i="2"/>
  <c r="P4625" i="2"/>
  <c r="P4626" i="2"/>
  <c r="P4627" i="2"/>
  <c r="P4628" i="2"/>
  <c r="P4629" i="2"/>
  <c r="P4630" i="2"/>
  <c r="P4631" i="2"/>
  <c r="P4632" i="2"/>
  <c r="P4633" i="2"/>
  <c r="P4634" i="2"/>
  <c r="P4635" i="2"/>
  <c r="P4636" i="2"/>
  <c r="P4637" i="2"/>
  <c r="P4638" i="2"/>
  <c r="P4639" i="2"/>
  <c r="P4640" i="2"/>
  <c r="P4641" i="2"/>
  <c r="P4642" i="2"/>
  <c r="P4643" i="2"/>
  <c r="P4644" i="2"/>
  <c r="P4645" i="2"/>
  <c r="P4646" i="2"/>
  <c r="P4647" i="2"/>
  <c r="P4648" i="2"/>
  <c r="P4649" i="2"/>
  <c r="P4650" i="2"/>
  <c r="P4651" i="2"/>
  <c r="P4652" i="2"/>
  <c r="P4653" i="2"/>
  <c r="P4654" i="2"/>
  <c r="P4655" i="2"/>
  <c r="P4656" i="2"/>
  <c r="P4657" i="2"/>
  <c r="P4658" i="2"/>
  <c r="P4659" i="2"/>
  <c r="P4660" i="2"/>
  <c r="P4661" i="2"/>
  <c r="P4662" i="2"/>
  <c r="P4663" i="2"/>
  <c r="P4664" i="2"/>
  <c r="P4665" i="2"/>
  <c r="P4666" i="2"/>
  <c r="P4667" i="2"/>
  <c r="P4668" i="2"/>
  <c r="P4669" i="2"/>
  <c r="P4670" i="2"/>
  <c r="P4671" i="2"/>
  <c r="P4672" i="2"/>
  <c r="P4673" i="2"/>
  <c r="P4674" i="2"/>
  <c r="P4675" i="2"/>
  <c r="P4676" i="2"/>
  <c r="P4677" i="2"/>
  <c r="P4678" i="2"/>
  <c r="P4679" i="2"/>
  <c r="P4680" i="2"/>
  <c r="P4681" i="2"/>
  <c r="P4682" i="2"/>
  <c r="P4683" i="2"/>
  <c r="P4684" i="2"/>
  <c r="P4685" i="2"/>
  <c r="P4686" i="2"/>
  <c r="P4687" i="2"/>
  <c r="P4688" i="2"/>
  <c r="P4689" i="2"/>
  <c r="P4690" i="2"/>
  <c r="P4691" i="2"/>
  <c r="P4692" i="2"/>
  <c r="P4693" i="2"/>
  <c r="P4694" i="2"/>
  <c r="P4695" i="2"/>
  <c r="P4696" i="2"/>
  <c r="P4697" i="2"/>
  <c r="P4698" i="2"/>
  <c r="P4699" i="2"/>
  <c r="P4700" i="2"/>
  <c r="P4701" i="2"/>
  <c r="P4702" i="2"/>
  <c r="P4703" i="2"/>
  <c r="P4704" i="2"/>
  <c r="P4705" i="2"/>
  <c r="P4706" i="2"/>
  <c r="P4707" i="2"/>
  <c r="P4708" i="2"/>
  <c r="P4709" i="2"/>
  <c r="P4710" i="2"/>
  <c r="P4711" i="2"/>
  <c r="P4712" i="2"/>
  <c r="P4713" i="2"/>
  <c r="P4714" i="2"/>
  <c r="P4715" i="2"/>
  <c r="P4716" i="2"/>
  <c r="P4717" i="2"/>
  <c r="P4718" i="2"/>
  <c r="P4719" i="2"/>
  <c r="P4720" i="2"/>
  <c r="P4721" i="2"/>
  <c r="P4722" i="2"/>
  <c r="P4723" i="2"/>
  <c r="P4724" i="2"/>
  <c r="P4725" i="2"/>
  <c r="P4726" i="2"/>
  <c r="P4727" i="2"/>
  <c r="P4728" i="2"/>
  <c r="P4729" i="2"/>
  <c r="P4730" i="2"/>
  <c r="P4731" i="2"/>
  <c r="P4732" i="2"/>
  <c r="P4733" i="2"/>
  <c r="P4734" i="2"/>
  <c r="P4735" i="2"/>
  <c r="P4736" i="2"/>
  <c r="P4737" i="2"/>
  <c r="P4738" i="2"/>
  <c r="P4739" i="2"/>
  <c r="P4740" i="2"/>
  <c r="P4741" i="2"/>
  <c r="P4742" i="2"/>
  <c r="P4743" i="2"/>
  <c r="P4744" i="2"/>
  <c r="P4745" i="2"/>
  <c r="P4746" i="2"/>
  <c r="P4747" i="2"/>
  <c r="P4748" i="2"/>
  <c r="P4749" i="2"/>
  <c r="P4750" i="2"/>
  <c r="P4751" i="2"/>
  <c r="P4752" i="2"/>
  <c r="P4753" i="2"/>
  <c r="P4754" i="2"/>
  <c r="P4755" i="2"/>
  <c r="P4756" i="2"/>
  <c r="P4757" i="2"/>
  <c r="P4758" i="2"/>
  <c r="P4759" i="2"/>
  <c r="P4760" i="2"/>
  <c r="P4761" i="2"/>
  <c r="P4762" i="2"/>
  <c r="P4763" i="2"/>
  <c r="P4764" i="2"/>
  <c r="P4765" i="2"/>
  <c r="P4766" i="2"/>
  <c r="P4767" i="2"/>
  <c r="P4768" i="2"/>
  <c r="P4769" i="2"/>
  <c r="P4770" i="2"/>
  <c r="P4771" i="2"/>
  <c r="P4772" i="2"/>
  <c r="P4773" i="2"/>
  <c r="P4774" i="2"/>
  <c r="P4775" i="2"/>
  <c r="P4776" i="2"/>
  <c r="P4777" i="2"/>
  <c r="P4778" i="2"/>
  <c r="P4779" i="2"/>
  <c r="P4780" i="2"/>
  <c r="P4781" i="2"/>
  <c r="P4782" i="2"/>
  <c r="P4783" i="2"/>
  <c r="P4784" i="2"/>
  <c r="P4785" i="2"/>
  <c r="P4786" i="2"/>
  <c r="P4787" i="2"/>
  <c r="P4788" i="2"/>
  <c r="P4789" i="2"/>
  <c r="P4790" i="2"/>
  <c r="P4791" i="2"/>
  <c r="P4792" i="2"/>
  <c r="P4793" i="2"/>
  <c r="P4794" i="2"/>
  <c r="P4795" i="2"/>
  <c r="P4796" i="2"/>
  <c r="P4797" i="2"/>
  <c r="P4798" i="2"/>
  <c r="P4799" i="2"/>
  <c r="P4800" i="2"/>
  <c r="P4801" i="2"/>
  <c r="P4802" i="2"/>
  <c r="P4803" i="2"/>
  <c r="P4804" i="2"/>
  <c r="P4805" i="2"/>
  <c r="P4806" i="2"/>
  <c r="P4807" i="2"/>
  <c r="P4808" i="2"/>
  <c r="P4809" i="2"/>
  <c r="P4810" i="2"/>
  <c r="P4811" i="2"/>
  <c r="P4812" i="2"/>
  <c r="P4813" i="2"/>
  <c r="P4814" i="2"/>
  <c r="P4815" i="2"/>
  <c r="P4816" i="2"/>
  <c r="P4817" i="2"/>
  <c r="P4818" i="2"/>
  <c r="P4819" i="2"/>
  <c r="P4820" i="2"/>
  <c r="P4821" i="2"/>
  <c r="P4822" i="2"/>
  <c r="P4823" i="2"/>
  <c r="P4824" i="2"/>
  <c r="P4825" i="2"/>
  <c r="P4826" i="2"/>
  <c r="P4827" i="2"/>
  <c r="P4828" i="2"/>
  <c r="P4829" i="2"/>
  <c r="P4830" i="2"/>
  <c r="P4831" i="2"/>
  <c r="P4832" i="2"/>
  <c r="P4833" i="2"/>
  <c r="P4834" i="2"/>
  <c r="P4835" i="2"/>
  <c r="P4836" i="2"/>
  <c r="P4837" i="2"/>
  <c r="P4838" i="2"/>
  <c r="P4839" i="2"/>
  <c r="P4840" i="2"/>
  <c r="P4841" i="2"/>
  <c r="P4842" i="2"/>
  <c r="P4843" i="2"/>
  <c r="P4844" i="2"/>
  <c r="P4845" i="2"/>
  <c r="P4846" i="2"/>
  <c r="P4847" i="2"/>
  <c r="P4848" i="2"/>
  <c r="P4849" i="2"/>
  <c r="P4850" i="2"/>
  <c r="P4851" i="2"/>
  <c r="P4852" i="2"/>
  <c r="P4853" i="2"/>
  <c r="P4854" i="2"/>
  <c r="P4855" i="2"/>
  <c r="P4856" i="2"/>
  <c r="P4857" i="2"/>
  <c r="P4858" i="2"/>
  <c r="P4859" i="2"/>
  <c r="P4860" i="2"/>
  <c r="P4861" i="2"/>
  <c r="P4862" i="2"/>
  <c r="P4863" i="2"/>
  <c r="P4864" i="2"/>
  <c r="P4865" i="2"/>
  <c r="P4866" i="2"/>
  <c r="P4867" i="2"/>
  <c r="P4868" i="2"/>
  <c r="P4869" i="2"/>
  <c r="P4870" i="2"/>
  <c r="P4871" i="2"/>
  <c r="P4872" i="2"/>
  <c r="P4873" i="2"/>
  <c r="P4874" i="2"/>
  <c r="P4875" i="2"/>
  <c r="P4876" i="2"/>
  <c r="P4877" i="2"/>
  <c r="P4878" i="2"/>
  <c r="P4879" i="2"/>
  <c r="P4880" i="2"/>
  <c r="P4881" i="2"/>
  <c r="P4882" i="2"/>
  <c r="P4883" i="2"/>
  <c r="P4884" i="2"/>
  <c r="P4885" i="2"/>
  <c r="P4886" i="2"/>
  <c r="P4887" i="2"/>
  <c r="P4888" i="2"/>
  <c r="P4889" i="2"/>
  <c r="P4890" i="2"/>
  <c r="P4891" i="2"/>
  <c r="P4892" i="2"/>
  <c r="P4893" i="2"/>
  <c r="P4894" i="2"/>
  <c r="P4895" i="2"/>
  <c r="P4896" i="2"/>
  <c r="P4897" i="2"/>
  <c r="P4898" i="2"/>
  <c r="P4899" i="2"/>
  <c r="P4900" i="2"/>
  <c r="P4901" i="2"/>
  <c r="P4902" i="2"/>
  <c r="P4903" i="2"/>
  <c r="P4904" i="2"/>
  <c r="P4905" i="2"/>
  <c r="P4906" i="2"/>
  <c r="P4907" i="2"/>
  <c r="P4908" i="2"/>
  <c r="P4909" i="2"/>
  <c r="P4910" i="2"/>
  <c r="P4911" i="2"/>
  <c r="P4912" i="2"/>
  <c r="P4913" i="2"/>
  <c r="P4914" i="2"/>
  <c r="P4915" i="2"/>
  <c r="P4916" i="2"/>
  <c r="P4917" i="2"/>
  <c r="P4918" i="2"/>
  <c r="P4919" i="2"/>
  <c r="P4920" i="2"/>
  <c r="P4921" i="2"/>
  <c r="P4922" i="2"/>
  <c r="P4923" i="2"/>
  <c r="P4924" i="2"/>
  <c r="P4925" i="2"/>
  <c r="P4926" i="2"/>
  <c r="P4927" i="2"/>
  <c r="P4928" i="2"/>
  <c r="P4929" i="2"/>
  <c r="P4930" i="2"/>
  <c r="P4931" i="2"/>
  <c r="P4932" i="2"/>
  <c r="P4933" i="2"/>
  <c r="P4934" i="2"/>
  <c r="P4935" i="2"/>
  <c r="P4936" i="2"/>
  <c r="P4937" i="2"/>
  <c r="P4938" i="2"/>
  <c r="P4939" i="2"/>
  <c r="P4940" i="2"/>
  <c r="P4941" i="2"/>
  <c r="P4942" i="2"/>
  <c r="P4943" i="2"/>
  <c r="P4944" i="2"/>
  <c r="P4945" i="2"/>
  <c r="P4946" i="2"/>
  <c r="P4947" i="2"/>
  <c r="P4948" i="2"/>
  <c r="P4949" i="2"/>
  <c r="P4950" i="2"/>
  <c r="P4951" i="2"/>
  <c r="P4952" i="2"/>
  <c r="P4953" i="2"/>
  <c r="P4954" i="2"/>
  <c r="P4955" i="2"/>
  <c r="P4956" i="2"/>
  <c r="P4957" i="2"/>
  <c r="P4958" i="2"/>
  <c r="P4959" i="2"/>
  <c r="P4960" i="2"/>
  <c r="P4961" i="2"/>
  <c r="P4962" i="2"/>
  <c r="P4963" i="2"/>
  <c r="P4964" i="2"/>
  <c r="P4965" i="2"/>
  <c r="P4966" i="2"/>
  <c r="P4967" i="2"/>
  <c r="P4968" i="2"/>
  <c r="P4969" i="2"/>
  <c r="P4970" i="2"/>
  <c r="P4971" i="2"/>
  <c r="P4972" i="2"/>
  <c r="P4973" i="2"/>
  <c r="P4974" i="2"/>
  <c r="P4975" i="2"/>
  <c r="P4976" i="2"/>
  <c r="P4977" i="2"/>
  <c r="P4978" i="2"/>
  <c r="P4979" i="2"/>
  <c r="P4980" i="2"/>
  <c r="P4981" i="2"/>
  <c r="P4982" i="2"/>
  <c r="P4983" i="2"/>
  <c r="P4984" i="2"/>
  <c r="P4985" i="2"/>
  <c r="P4986" i="2"/>
  <c r="P4987" i="2"/>
  <c r="P4988" i="2"/>
  <c r="P4989" i="2"/>
  <c r="P4990" i="2"/>
  <c r="P4991" i="2"/>
  <c r="P4992" i="2"/>
  <c r="P4993" i="2"/>
  <c r="P4994" i="2"/>
  <c r="P4995" i="2"/>
  <c r="P4996" i="2"/>
  <c r="P4997" i="2"/>
  <c r="P4998" i="2"/>
  <c r="P4999" i="2"/>
  <c r="P5000" i="2"/>
  <c r="P5001" i="2"/>
  <c r="B32" i="1"/>
  <c r="A32" i="1"/>
  <c r="P152" i="2" s="1"/>
  <c r="I21" i="1"/>
  <c r="H21" i="1"/>
  <c r="G21" i="1"/>
  <c r="F21" i="1"/>
  <c r="A21" i="1"/>
  <c r="B21" i="1"/>
  <c r="D21" i="1"/>
  <c r="B15" i="1"/>
  <c r="F8" i="1"/>
  <c r="A15" i="1" s="1"/>
  <c r="E8" i="1"/>
  <c r="O51" i="2" s="1"/>
  <c r="D8" i="1"/>
  <c r="C8" i="1"/>
  <c r="B8" i="1"/>
  <c r="A8" i="1"/>
  <c r="P73" i="2" l="1"/>
  <c r="O53" i="2"/>
  <c r="J2" i="2"/>
  <c r="K2" i="2" s="1"/>
  <c r="J6" i="2"/>
  <c r="K6" i="2" s="1"/>
  <c r="J10" i="2"/>
  <c r="K10" i="2" s="1"/>
  <c r="J14" i="2"/>
  <c r="K14" i="2" s="1"/>
  <c r="J18" i="2"/>
  <c r="K18" i="2" s="1"/>
  <c r="J22" i="2"/>
  <c r="K22" i="2" s="1"/>
  <c r="J26" i="2"/>
  <c r="K26" i="2" s="1"/>
  <c r="J30" i="2"/>
  <c r="K30" i="2" s="1"/>
  <c r="J34" i="2"/>
  <c r="K34" i="2" s="1"/>
  <c r="J38" i="2"/>
  <c r="K38" i="2" s="1"/>
  <c r="J42" i="2"/>
  <c r="K42" i="2" s="1"/>
  <c r="J46" i="2"/>
  <c r="K46" i="2" s="1"/>
  <c r="J50" i="2"/>
  <c r="K50" i="2" s="1"/>
  <c r="J54" i="2"/>
  <c r="K54" i="2" s="1"/>
  <c r="J58" i="2"/>
  <c r="K58" i="2" s="1"/>
  <c r="J62" i="2"/>
  <c r="K62" i="2" s="1"/>
  <c r="J66" i="2"/>
  <c r="K66" i="2" s="1"/>
  <c r="J70" i="2"/>
  <c r="K70" i="2" s="1"/>
  <c r="J74" i="2"/>
  <c r="K74" i="2" s="1"/>
  <c r="J78" i="2"/>
  <c r="K78" i="2" s="1"/>
  <c r="J82" i="2"/>
  <c r="K82" i="2" s="1"/>
  <c r="J86" i="2"/>
  <c r="K86" i="2" s="1"/>
  <c r="J90" i="2"/>
  <c r="K90" i="2" s="1"/>
  <c r="J94" i="2"/>
  <c r="K94" i="2" s="1"/>
  <c r="J98" i="2"/>
  <c r="K98" i="2" s="1"/>
  <c r="J102" i="2"/>
  <c r="K102" i="2" s="1"/>
  <c r="J106" i="2"/>
  <c r="K106" i="2" s="1"/>
  <c r="J110" i="2"/>
  <c r="K110" i="2" s="1"/>
  <c r="J114" i="2"/>
  <c r="K114" i="2" s="1"/>
  <c r="J118" i="2"/>
  <c r="K118" i="2" s="1"/>
  <c r="J122" i="2"/>
  <c r="K122" i="2" s="1"/>
  <c r="J126" i="2"/>
  <c r="K126" i="2" s="1"/>
  <c r="J130" i="2"/>
  <c r="K130" i="2" s="1"/>
  <c r="J134" i="2"/>
  <c r="K134" i="2" s="1"/>
  <c r="J138" i="2"/>
  <c r="K138" i="2" s="1"/>
  <c r="J142" i="2"/>
  <c r="K142" i="2" s="1"/>
  <c r="J146" i="2"/>
  <c r="K146" i="2" s="1"/>
  <c r="J150" i="2"/>
  <c r="K150" i="2" s="1"/>
  <c r="J154" i="2"/>
  <c r="K154" i="2" s="1"/>
  <c r="J158" i="2"/>
  <c r="K158" i="2" s="1"/>
  <c r="J162" i="2"/>
  <c r="K162" i="2" s="1"/>
  <c r="J166" i="2"/>
  <c r="K166" i="2" s="1"/>
  <c r="J170" i="2"/>
  <c r="K170" i="2" s="1"/>
  <c r="J174" i="2"/>
  <c r="K174" i="2" s="1"/>
  <c r="J178" i="2"/>
  <c r="K178" i="2" s="1"/>
  <c r="J182" i="2"/>
  <c r="K182" i="2" s="1"/>
  <c r="J186" i="2"/>
  <c r="K186" i="2" s="1"/>
  <c r="J190" i="2"/>
  <c r="K190" i="2" s="1"/>
  <c r="J194" i="2"/>
  <c r="K194" i="2" s="1"/>
  <c r="J198" i="2"/>
  <c r="K198" i="2" s="1"/>
  <c r="J202" i="2"/>
  <c r="K202" i="2" s="1"/>
  <c r="J206" i="2"/>
  <c r="K206" i="2" s="1"/>
  <c r="J210" i="2"/>
  <c r="K210" i="2" s="1"/>
  <c r="J214" i="2"/>
  <c r="K214" i="2" s="1"/>
  <c r="J218" i="2"/>
  <c r="K218" i="2" s="1"/>
  <c r="J222" i="2"/>
  <c r="K222" i="2" s="1"/>
  <c r="J226" i="2"/>
  <c r="K226" i="2" s="1"/>
  <c r="J230" i="2"/>
  <c r="K230" i="2" s="1"/>
  <c r="J234" i="2"/>
  <c r="K234" i="2" s="1"/>
  <c r="J238" i="2"/>
  <c r="K238" i="2" s="1"/>
  <c r="J242" i="2"/>
  <c r="K242" i="2" s="1"/>
  <c r="J246" i="2"/>
  <c r="K246" i="2" s="1"/>
  <c r="J250" i="2"/>
  <c r="K250" i="2" s="1"/>
  <c r="J254" i="2"/>
  <c r="K254" i="2" s="1"/>
  <c r="J258" i="2"/>
  <c r="K258" i="2" s="1"/>
  <c r="J262" i="2"/>
  <c r="K262" i="2" s="1"/>
  <c r="J266" i="2"/>
  <c r="K266" i="2" s="1"/>
  <c r="J270" i="2"/>
  <c r="K270" i="2" s="1"/>
  <c r="J274" i="2"/>
  <c r="K274" i="2" s="1"/>
  <c r="J278" i="2"/>
  <c r="K278" i="2" s="1"/>
  <c r="J282" i="2"/>
  <c r="K282" i="2" s="1"/>
  <c r="J286" i="2"/>
  <c r="K286" i="2" s="1"/>
  <c r="J290" i="2"/>
  <c r="K290" i="2" s="1"/>
  <c r="J294" i="2"/>
  <c r="K294" i="2" s="1"/>
  <c r="J298" i="2"/>
  <c r="K298" i="2" s="1"/>
  <c r="J302" i="2"/>
  <c r="K302" i="2" s="1"/>
  <c r="J306" i="2"/>
  <c r="K306" i="2" s="1"/>
  <c r="J310" i="2"/>
  <c r="K310" i="2" s="1"/>
  <c r="J314" i="2"/>
  <c r="K314" i="2" s="1"/>
  <c r="J318" i="2"/>
  <c r="K318" i="2" s="1"/>
  <c r="J322" i="2"/>
  <c r="K322" i="2" s="1"/>
  <c r="J326" i="2"/>
  <c r="K326" i="2" s="1"/>
  <c r="J330" i="2"/>
  <c r="K330" i="2" s="1"/>
  <c r="J334" i="2"/>
  <c r="K334" i="2" s="1"/>
  <c r="J338" i="2"/>
  <c r="K338" i="2" s="1"/>
  <c r="J3" i="2"/>
  <c r="K3" i="2" s="1"/>
  <c r="J7" i="2"/>
  <c r="K7" i="2" s="1"/>
  <c r="J11" i="2"/>
  <c r="K11" i="2" s="1"/>
  <c r="J15" i="2"/>
  <c r="K15" i="2" s="1"/>
  <c r="J19" i="2"/>
  <c r="K19" i="2" s="1"/>
  <c r="J23" i="2"/>
  <c r="K23" i="2" s="1"/>
  <c r="J27" i="2"/>
  <c r="K27" i="2" s="1"/>
  <c r="J31" i="2"/>
  <c r="K31" i="2" s="1"/>
  <c r="J35" i="2"/>
  <c r="K35" i="2" s="1"/>
  <c r="J39" i="2"/>
  <c r="K39" i="2" s="1"/>
  <c r="J43" i="2"/>
  <c r="K43" i="2" s="1"/>
  <c r="J47" i="2"/>
  <c r="K47" i="2" s="1"/>
  <c r="J51" i="2"/>
  <c r="K51" i="2" s="1"/>
  <c r="J55" i="2"/>
  <c r="K55" i="2" s="1"/>
  <c r="J59" i="2"/>
  <c r="K59" i="2" s="1"/>
  <c r="J63" i="2"/>
  <c r="K63" i="2" s="1"/>
  <c r="J67" i="2"/>
  <c r="K67" i="2" s="1"/>
  <c r="J71" i="2"/>
  <c r="K71" i="2" s="1"/>
  <c r="J75" i="2"/>
  <c r="K75" i="2" s="1"/>
  <c r="J79" i="2"/>
  <c r="K79" i="2" s="1"/>
  <c r="J83" i="2"/>
  <c r="K83" i="2" s="1"/>
  <c r="J87" i="2"/>
  <c r="K87" i="2" s="1"/>
  <c r="J91" i="2"/>
  <c r="K91" i="2" s="1"/>
  <c r="J95" i="2"/>
  <c r="K95" i="2" s="1"/>
  <c r="J99" i="2"/>
  <c r="K99" i="2" s="1"/>
  <c r="J103" i="2"/>
  <c r="K103" i="2" s="1"/>
  <c r="J107" i="2"/>
  <c r="K107" i="2" s="1"/>
  <c r="J111" i="2"/>
  <c r="K111" i="2" s="1"/>
  <c r="J115" i="2"/>
  <c r="K115" i="2" s="1"/>
  <c r="J119" i="2"/>
  <c r="K119" i="2" s="1"/>
  <c r="J123" i="2"/>
  <c r="K123" i="2" s="1"/>
  <c r="J127" i="2"/>
  <c r="K127" i="2" s="1"/>
  <c r="J131" i="2"/>
  <c r="K131" i="2" s="1"/>
  <c r="J135" i="2"/>
  <c r="K135" i="2" s="1"/>
  <c r="J139" i="2"/>
  <c r="K139" i="2" s="1"/>
  <c r="J143" i="2"/>
  <c r="K143" i="2" s="1"/>
  <c r="J147" i="2"/>
  <c r="K147" i="2" s="1"/>
  <c r="J151" i="2"/>
  <c r="K151" i="2" s="1"/>
  <c r="J155" i="2"/>
  <c r="K155" i="2" s="1"/>
  <c r="J159" i="2"/>
  <c r="K159" i="2" s="1"/>
  <c r="J163" i="2"/>
  <c r="K163" i="2" s="1"/>
  <c r="J167" i="2"/>
  <c r="K167" i="2" s="1"/>
  <c r="J171" i="2"/>
  <c r="K171" i="2" s="1"/>
  <c r="J175" i="2"/>
  <c r="K175" i="2" s="1"/>
  <c r="J179" i="2"/>
  <c r="K179" i="2" s="1"/>
  <c r="J183" i="2"/>
  <c r="K183" i="2" s="1"/>
  <c r="J187" i="2"/>
  <c r="K187" i="2" s="1"/>
  <c r="J191" i="2"/>
  <c r="K191" i="2" s="1"/>
  <c r="J195" i="2"/>
  <c r="K195" i="2" s="1"/>
  <c r="J199" i="2"/>
  <c r="K199" i="2" s="1"/>
  <c r="J203" i="2"/>
  <c r="K203" i="2" s="1"/>
  <c r="J207" i="2"/>
  <c r="K207" i="2" s="1"/>
  <c r="J211" i="2"/>
  <c r="K211" i="2" s="1"/>
  <c r="J215" i="2"/>
  <c r="K215" i="2" s="1"/>
  <c r="J219" i="2"/>
  <c r="K219" i="2" s="1"/>
  <c r="J223" i="2"/>
  <c r="K223" i="2" s="1"/>
  <c r="J227" i="2"/>
  <c r="K227" i="2" s="1"/>
  <c r="J231" i="2"/>
  <c r="K231" i="2" s="1"/>
  <c r="J235" i="2"/>
  <c r="K235" i="2" s="1"/>
  <c r="J239" i="2"/>
  <c r="K239" i="2" s="1"/>
  <c r="J243" i="2"/>
  <c r="K243" i="2" s="1"/>
  <c r="J247" i="2"/>
  <c r="K247" i="2" s="1"/>
  <c r="J251" i="2"/>
  <c r="K251" i="2" s="1"/>
  <c r="J255" i="2"/>
  <c r="K255" i="2" s="1"/>
  <c r="J259" i="2"/>
  <c r="K259" i="2" s="1"/>
  <c r="J263" i="2"/>
  <c r="K263" i="2" s="1"/>
  <c r="J267" i="2"/>
  <c r="K267" i="2" s="1"/>
  <c r="J271" i="2"/>
  <c r="K271" i="2" s="1"/>
  <c r="J275" i="2"/>
  <c r="K275" i="2" s="1"/>
  <c r="J279" i="2"/>
  <c r="K279" i="2" s="1"/>
  <c r="J283" i="2"/>
  <c r="K283" i="2" s="1"/>
  <c r="J287" i="2"/>
  <c r="K287" i="2" s="1"/>
  <c r="J291" i="2"/>
  <c r="K291" i="2" s="1"/>
  <c r="J295" i="2"/>
  <c r="K295" i="2" s="1"/>
  <c r="J299" i="2"/>
  <c r="K299" i="2" s="1"/>
  <c r="J303" i="2"/>
  <c r="K303" i="2" s="1"/>
  <c r="J307" i="2"/>
  <c r="K307" i="2" s="1"/>
  <c r="J311" i="2"/>
  <c r="K311" i="2" s="1"/>
  <c r="J315" i="2"/>
  <c r="K315" i="2" s="1"/>
  <c r="J319" i="2"/>
  <c r="K319" i="2" s="1"/>
  <c r="J323" i="2"/>
  <c r="K323" i="2" s="1"/>
  <c r="J327" i="2"/>
  <c r="K327" i="2" s="1"/>
  <c r="J331" i="2"/>
  <c r="K331" i="2" s="1"/>
  <c r="J335" i="2"/>
  <c r="K335" i="2" s="1"/>
  <c r="J339" i="2"/>
  <c r="K339" i="2" s="1"/>
  <c r="J4" i="2"/>
  <c r="K4" i="2" s="1"/>
  <c r="J8" i="2"/>
  <c r="K8" i="2" s="1"/>
  <c r="J12" i="2"/>
  <c r="K12" i="2" s="1"/>
  <c r="J16" i="2"/>
  <c r="K16" i="2" s="1"/>
  <c r="J20" i="2"/>
  <c r="K20" i="2" s="1"/>
  <c r="J24" i="2"/>
  <c r="K24" i="2" s="1"/>
  <c r="J28" i="2"/>
  <c r="K28" i="2" s="1"/>
  <c r="J32" i="2"/>
  <c r="K32" i="2" s="1"/>
  <c r="J36" i="2"/>
  <c r="K36" i="2" s="1"/>
  <c r="J40" i="2"/>
  <c r="K40" i="2" s="1"/>
  <c r="J44" i="2"/>
  <c r="K44" i="2" s="1"/>
  <c r="J48" i="2"/>
  <c r="K48" i="2" s="1"/>
  <c r="J52" i="2"/>
  <c r="K52" i="2" s="1"/>
  <c r="J56" i="2"/>
  <c r="K56" i="2" s="1"/>
  <c r="J60" i="2"/>
  <c r="K60" i="2" s="1"/>
  <c r="J64" i="2"/>
  <c r="K64" i="2" s="1"/>
  <c r="J68" i="2"/>
  <c r="K68" i="2" s="1"/>
  <c r="J72" i="2"/>
  <c r="K72" i="2" s="1"/>
  <c r="J76" i="2"/>
  <c r="K76" i="2" s="1"/>
  <c r="J80" i="2"/>
  <c r="K80" i="2" s="1"/>
  <c r="J84" i="2"/>
  <c r="K84" i="2" s="1"/>
  <c r="J88" i="2"/>
  <c r="K88" i="2" s="1"/>
  <c r="J92" i="2"/>
  <c r="K92" i="2" s="1"/>
  <c r="J96" i="2"/>
  <c r="K96" i="2" s="1"/>
  <c r="J100" i="2"/>
  <c r="K100" i="2" s="1"/>
  <c r="J104" i="2"/>
  <c r="K104" i="2" s="1"/>
  <c r="J108" i="2"/>
  <c r="K108" i="2" s="1"/>
  <c r="J112" i="2"/>
  <c r="K112" i="2" s="1"/>
  <c r="J116" i="2"/>
  <c r="K116" i="2" s="1"/>
  <c r="J120" i="2"/>
  <c r="K120" i="2" s="1"/>
  <c r="J124" i="2"/>
  <c r="K124" i="2" s="1"/>
  <c r="J128" i="2"/>
  <c r="K128" i="2" s="1"/>
  <c r="J132" i="2"/>
  <c r="K132" i="2" s="1"/>
  <c r="J136" i="2"/>
  <c r="K136" i="2" s="1"/>
  <c r="J140" i="2"/>
  <c r="K140" i="2" s="1"/>
  <c r="J144" i="2"/>
  <c r="K144" i="2" s="1"/>
  <c r="J148" i="2"/>
  <c r="K148" i="2" s="1"/>
  <c r="J152" i="2"/>
  <c r="K152" i="2" s="1"/>
  <c r="J156" i="2"/>
  <c r="K156" i="2" s="1"/>
  <c r="J160" i="2"/>
  <c r="K160" i="2" s="1"/>
  <c r="J164" i="2"/>
  <c r="K164" i="2" s="1"/>
  <c r="J168" i="2"/>
  <c r="K168" i="2" s="1"/>
  <c r="J172" i="2"/>
  <c r="K172" i="2" s="1"/>
  <c r="J176" i="2"/>
  <c r="K176" i="2" s="1"/>
  <c r="J180" i="2"/>
  <c r="K180" i="2" s="1"/>
  <c r="J184" i="2"/>
  <c r="K184" i="2" s="1"/>
  <c r="J188" i="2"/>
  <c r="K188" i="2" s="1"/>
  <c r="J192" i="2"/>
  <c r="K192" i="2" s="1"/>
  <c r="J196" i="2"/>
  <c r="K196" i="2" s="1"/>
  <c r="J200" i="2"/>
  <c r="K200" i="2" s="1"/>
  <c r="J204" i="2"/>
  <c r="K204" i="2" s="1"/>
  <c r="J208" i="2"/>
  <c r="K208" i="2" s="1"/>
  <c r="J212" i="2"/>
  <c r="K212" i="2" s="1"/>
  <c r="J216" i="2"/>
  <c r="K216" i="2" s="1"/>
  <c r="J220" i="2"/>
  <c r="K220" i="2" s="1"/>
  <c r="J224" i="2"/>
  <c r="K224" i="2" s="1"/>
  <c r="J228" i="2"/>
  <c r="K228" i="2" s="1"/>
  <c r="J232" i="2"/>
  <c r="K232" i="2" s="1"/>
  <c r="J236" i="2"/>
  <c r="K236" i="2" s="1"/>
  <c r="J240" i="2"/>
  <c r="K240" i="2" s="1"/>
  <c r="J244" i="2"/>
  <c r="K244" i="2" s="1"/>
  <c r="J248" i="2"/>
  <c r="K248" i="2" s="1"/>
  <c r="J252" i="2"/>
  <c r="K252" i="2" s="1"/>
  <c r="J256" i="2"/>
  <c r="K256" i="2" s="1"/>
  <c r="J260" i="2"/>
  <c r="K260" i="2" s="1"/>
  <c r="J264" i="2"/>
  <c r="K264" i="2" s="1"/>
  <c r="J268" i="2"/>
  <c r="K268" i="2" s="1"/>
  <c r="J272" i="2"/>
  <c r="K272" i="2" s="1"/>
  <c r="J276" i="2"/>
  <c r="K276" i="2" s="1"/>
  <c r="J280" i="2"/>
  <c r="K280" i="2" s="1"/>
  <c r="J284" i="2"/>
  <c r="K284" i="2" s="1"/>
  <c r="J288" i="2"/>
  <c r="K288" i="2" s="1"/>
  <c r="J292" i="2"/>
  <c r="K292" i="2" s="1"/>
  <c r="J296" i="2"/>
  <c r="K296" i="2" s="1"/>
  <c r="J300" i="2"/>
  <c r="K300" i="2" s="1"/>
  <c r="J304" i="2"/>
  <c r="K304" i="2" s="1"/>
  <c r="J308" i="2"/>
  <c r="K308" i="2" s="1"/>
  <c r="J312" i="2"/>
  <c r="K312" i="2" s="1"/>
  <c r="J316" i="2"/>
  <c r="K316" i="2" s="1"/>
  <c r="J320" i="2"/>
  <c r="K320" i="2" s="1"/>
  <c r="J324" i="2"/>
  <c r="K324" i="2" s="1"/>
  <c r="J328" i="2"/>
  <c r="K328" i="2" s="1"/>
  <c r="J332" i="2"/>
  <c r="K332" i="2" s="1"/>
  <c r="J336" i="2"/>
  <c r="K336" i="2" s="1"/>
  <c r="J340" i="2"/>
  <c r="K340" i="2" s="1"/>
  <c r="J5" i="2"/>
  <c r="K5" i="2" s="1"/>
  <c r="J9" i="2"/>
  <c r="K9" i="2" s="1"/>
  <c r="J13" i="2"/>
  <c r="K13" i="2" s="1"/>
  <c r="J17" i="2"/>
  <c r="K17" i="2" s="1"/>
  <c r="J21" i="2"/>
  <c r="K21" i="2" s="1"/>
  <c r="J25" i="2"/>
  <c r="K25" i="2" s="1"/>
  <c r="J29" i="2"/>
  <c r="K29" i="2" s="1"/>
  <c r="J33" i="2"/>
  <c r="K33" i="2" s="1"/>
  <c r="J37" i="2"/>
  <c r="K37" i="2" s="1"/>
  <c r="J41" i="2"/>
  <c r="K41" i="2" s="1"/>
  <c r="J45" i="2"/>
  <c r="K45" i="2" s="1"/>
  <c r="J49" i="2"/>
  <c r="K49" i="2" s="1"/>
  <c r="J53" i="2"/>
  <c r="K53" i="2" s="1"/>
  <c r="J57" i="2"/>
  <c r="K57" i="2" s="1"/>
  <c r="J61" i="2"/>
  <c r="K61" i="2" s="1"/>
  <c r="J65" i="2"/>
  <c r="K65" i="2" s="1"/>
  <c r="J69" i="2"/>
  <c r="K69" i="2" s="1"/>
  <c r="J73" i="2"/>
  <c r="K73" i="2" s="1"/>
  <c r="J77" i="2"/>
  <c r="K77" i="2" s="1"/>
  <c r="J81" i="2"/>
  <c r="K81" i="2" s="1"/>
  <c r="J85" i="2"/>
  <c r="K85" i="2" s="1"/>
  <c r="J89" i="2"/>
  <c r="K89" i="2" s="1"/>
  <c r="J93" i="2"/>
  <c r="K93" i="2" s="1"/>
  <c r="J97" i="2"/>
  <c r="K97" i="2" s="1"/>
  <c r="J101" i="2"/>
  <c r="K101" i="2" s="1"/>
  <c r="J105" i="2"/>
  <c r="K105" i="2" s="1"/>
  <c r="J109" i="2"/>
  <c r="K109" i="2" s="1"/>
  <c r="J113" i="2"/>
  <c r="K113" i="2" s="1"/>
  <c r="J117" i="2"/>
  <c r="K117" i="2" s="1"/>
  <c r="J121" i="2"/>
  <c r="K121" i="2" s="1"/>
  <c r="J125" i="2"/>
  <c r="K125" i="2" s="1"/>
  <c r="J129" i="2"/>
  <c r="K129" i="2" s="1"/>
  <c r="J133" i="2"/>
  <c r="K133" i="2" s="1"/>
  <c r="J137" i="2"/>
  <c r="K137" i="2" s="1"/>
  <c r="J141" i="2"/>
  <c r="K141" i="2" s="1"/>
  <c r="J145" i="2"/>
  <c r="K145" i="2" s="1"/>
  <c r="J149" i="2"/>
  <c r="K149" i="2" s="1"/>
  <c r="J153" i="2"/>
  <c r="K153" i="2" s="1"/>
  <c r="J157" i="2"/>
  <c r="K157" i="2" s="1"/>
  <c r="J161" i="2"/>
  <c r="K161" i="2" s="1"/>
  <c r="J165" i="2"/>
  <c r="K165" i="2" s="1"/>
  <c r="J169" i="2"/>
  <c r="K169" i="2" s="1"/>
  <c r="J173" i="2"/>
  <c r="K173" i="2" s="1"/>
  <c r="J177" i="2"/>
  <c r="K177" i="2" s="1"/>
  <c r="J181" i="2"/>
  <c r="K181" i="2" s="1"/>
  <c r="J185" i="2"/>
  <c r="K185" i="2" s="1"/>
  <c r="J189" i="2"/>
  <c r="K189" i="2" s="1"/>
  <c r="J193" i="2"/>
  <c r="K193" i="2" s="1"/>
  <c r="J197" i="2"/>
  <c r="K197" i="2" s="1"/>
  <c r="J201" i="2"/>
  <c r="K201" i="2" s="1"/>
  <c r="J205" i="2"/>
  <c r="K205" i="2" s="1"/>
  <c r="J209" i="2"/>
  <c r="K209" i="2" s="1"/>
  <c r="J213" i="2"/>
  <c r="K213" i="2" s="1"/>
  <c r="J217" i="2"/>
  <c r="K217" i="2" s="1"/>
  <c r="J221" i="2"/>
  <c r="K221" i="2" s="1"/>
  <c r="J225" i="2"/>
  <c r="K225" i="2" s="1"/>
  <c r="J229" i="2"/>
  <c r="K229" i="2" s="1"/>
  <c r="J233" i="2"/>
  <c r="K233" i="2" s="1"/>
  <c r="J237" i="2"/>
  <c r="K237" i="2" s="1"/>
  <c r="J241" i="2"/>
  <c r="K241" i="2" s="1"/>
  <c r="J245" i="2"/>
  <c r="K245" i="2" s="1"/>
  <c r="J249" i="2"/>
  <c r="K249" i="2" s="1"/>
  <c r="J253" i="2"/>
  <c r="K253" i="2" s="1"/>
  <c r="J257" i="2"/>
  <c r="K257" i="2" s="1"/>
  <c r="J261" i="2"/>
  <c r="K261" i="2" s="1"/>
  <c r="J265" i="2"/>
  <c r="K265" i="2" s="1"/>
  <c r="J269" i="2"/>
  <c r="K269" i="2" s="1"/>
  <c r="J273" i="2"/>
  <c r="K273" i="2" s="1"/>
  <c r="J277" i="2"/>
  <c r="K277" i="2" s="1"/>
  <c r="J281" i="2"/>
  <c r="K281" i="2" s="1"/>
  <c r="J285" i="2"/>
  <c r="K285" i="2" s="1"/>
  <c r="J289" i="2"/>
  <c r="K289" i="2" s="1"/>
  <c r="J293" i="2"/>
  <c r="K293" i="2" s="1"/>
  <c r="J297" i="2"/>
  <c r="K297" i="2" s="1"/>
  <c r="J301" i="2"/>
  <c r="K301" i="2" s="1"/>
  <c r="J305" i="2"/>
  <c r="K305" i="2" s="1"/>
  <c r="J309" i="2"/>
  <c r="K309" i="2" s="1"/>
  <c r="J313" i="2"/>
  <c r="K313" i="2" s="1"/>
  <c r="J317" i="2"/>
  <c r="K317" i="2" s="1"/>
  <c r="J321" i="2"/>
  <c r="K321" i="2" s="1"/>
  <c r="J325" i="2"/>
  <c r="K325" i="2" s="1"/>
  <c r="J329" i="2"/>
  <c r="K329" i="2" s="1"/>
  <c r="J333" i="2"/>
  <c r="K333" i="2" s="1"/>
  <c r="J337" i="2"/>
  <c r="K337" i="2" s="1"/>
  <c r="J341" i="2"/>
  <c r="K341" i="2" s="1"/>
  <c r="J342" i="2"/>
  <c r="K342" i="2" s="1"/>
  <c r="J346" i="2"/>
  <c r="K346" i="2" s="1"/>
  <c r="J350" i="2"/>
  <c r="K350" i="2" s="1"/>
  <c r="J354" i="2"/>
  <c r="K354" i="2" s="1"/>
  <c r="J358" i="2"/>
  <c r="K358" i="2" s="1"/>
  <c r="J362" i="2"/>
  <c r="K362" i="2" s="1"/>
  <c r="J366" i="2"/>
  <c r="K366" i="2" s="1"/>
  <c r="J370" i="2"/>
  <c r="K370" i="2" s="1"/>
  <c r="J374" i="2"/>
  <c r="K374" i="2" s="1"/>
  <c r="J378" i="2"/>
  <c r="K378" i="2" s="1"/>
  <c r="J382" i="2"/>
  <c r="K382" i="2" s="1"/>
  <c r="J386" i="2"/>
  <c r="K386" i="2" s="1"/>
  <c r="J390" i="2"/>
  <c r="K390" i="2" s="1"/>
  <c r="J394" i="2"/>
  <c r="K394" i="2" s="1"/>
  <c r="J398" i="2"/>
  <c r="K398" i="2" s="1"/>
  <c r="J402" i="2"/>
  <c r="K402" i="2" s="1"/>
  <c r="J406" i="2"/>
  <c r="K406" i="2" s="1"/>
  <c r="J410" i="2"/>
  <c r="K410" i="2" s="1"/>
  <c r="J414" i="2"/>
  <c r="K414" i="2" s="1"/>
  <c r="J418" i="2"/>
  <c r="K418" i="2" s="1"/>
  <c r="J422" i="2"/>
  <c r="K422" i="2" s="1"/>
  <c r="J426" i="2"/>
  <c r="K426" i="2" s="1"/>
  <c r="J430" i="2"/>
  <c r="K430" i="2" s="1"/>
  <c r="J434" i="2"/>
  <c r="K434" i="2" s="1"/>
  <c r="J438" i="2"/>
  <c r="K438" i="2" s="1"/>
  <c r="J442" i="2"/>
  <c r="K442" i="2" s="1"/>
  <c r="J446" i="2"/>
  <c r="K446" i="2" s="1"/>
  <c r="J450" i="2"/>
  <c r="K450" i="2" s="1"/>
  <c r="J454" i="2"/>
  <c r="K454" i="2" s="1"/>
  <c r="J458" i="2"/>
  <c r="K458" i="2" s="1"/>
  <c r="J462" i="2"/>
  <c r="K462" i="2" s="1"/>
  <c r="J466" i="2"/>
  <c r="K466" i="2" s="1"/>
  <c r="J470" i="2"/>
  <c r="K470" i="2" s="1"/>
  <c r="J474" i="2"/>
  <c r="K474" i="2" s="1"/>
  <c r="J478" i="2"/>
  <c r="K478" i="2" s="1"/>
  <c r="J482" i="2"/>
  <c r="K482" i="2" s="1"/>
  <c r="J486" i="2"/>
  <c r="K486" i="2" s="1"/>
  <c r="J490" i="2"/>
  <c r="K490" i="2" s="1"/>
  <c r="J494" i="2"/>
  <c r="K494" i="2" s="1"/>
  <c r="J498" i="2"/>
  <c r="K498" i="2" s="1"/>
  <c r="J502" i="2"/>
  <c r="K502" i="2" s="1"/>
  <c r="J506" i="2"/>
  <c r="K506" i="2" s="1"/>
  <c r="J510" i="2"/>
  <c r="K510" i="2" s="1"/>
  <c r="J514" i="2"/>
  <c r="K514" i="2" s="1"/>
  <c r="J518" i="2"/>
  <c r="K518" i="2" s="1"/>
  <c r="J522" i="2"/>
  <c r="K522" i="2" s="1"/>
  <c r="J526" i="2"/>
  <c r="K526" i="2" s="1"/>
  <c r="J530" i="2"/>
  <c r="K530" i="2" s="1"/>
  <c r="J534" i="2"/>
  <c r="K534" i="2" s="1"/>
  <c r="J538" i="2"/>
  <c r="K538" i="2" s="1"/>
  <c r="J542" i="2"/>
  <c r="K542" i="2" s="1"/>
  <c r="J546" i="2"/>
  <c r="K546" i="2" s="1"/>
  <c r="J550" i="2"/>
  <c r="K550" i="2" s="1"/>
  <c r="J554" i="2"/>
  <c r="K554" i="2" s="1"/>
  <c r="J558" i="2"/>
  <c r="K558" i="2" s="1"/>
  <c r="J562" i="2"/>
  <c r="K562" i="2" s="1"/>
  <c r="J566" i="2"/>
  <c r="K566" i="2" s="1"/>
  <c r="J570" i="2"/>
  <c r="K570" i="2" s="1"/>
  <c r="J574" i="2"/>
  <c r="K574" i="2" s="1"/>
  <c r="J578" i="2"/>
  <c r="K578" i="2" s="1"/>
  <c r="J582" i="2"/>
  <c r="K582" i="2" s="1"/>
  <c r="J586" i="2"/>
  <c r="K586" i="2" s="1"/>
  <c r="J590" i="2"/>
  <c r="K590" i="2" s="1"/>
  <c r="J594" i="2"/>
  <c r="K594" i="2" s="1"/>
  <c r="J598" i="2"/>
  <c r="K598" i="2" s="1"/>
  <c r="J343" i="2"/>
  <c r="K343" i="2" s="1"/>
  <c r="J347" i="2"/>
  <c r="K347" i="2" s="1"/>
  <c r="J351" i="2"/>
  <c r="K351" i="2" s="1"/>
  <c r="J355" i="2"/>
  <c r="K355" i="2" s="1"/>
  <c r="J359" i="2"/>
  <c r="K359" i="2" s="1"/>
  <c r="J363" i="2"/>
  <c r="K363" i="2" s="1"/>
  <c r="J367" i="2"/>
  <c r="K367" i="2" s="1"/>
  <c r="J371" i="2"/>
  <c r="K371" i="2" s="1"/>
  <c r="J375" i="2"/>
  <c r="K375" i="2" s="1"/>
  <c r="J379" i="2"/>
  <c r="K379" i="2" s="1"/>
  <c r="J383" i="2"/>
  <c r="K383" i="2" s="1"/>
  <c r="J387" i="2"/>
  <c r="K387" i="2" s="1"/>
  <c r="J391" i="2"/>
  <c r="K391" i="2" s="1"/>
  <c r="J395" i="2"/>
  <c r="K395" i="2" s="1"/>
  <c r="J399" i="2"/>
  <c r="K399" i="2" s="1"/>
  <c r="J403" i="2"/>
  <c r="K403" i="2" s="1"/>
  <c r="J407" i="2"/>
  <c r="K407" i="2" s="1"/>
  <c r="J411" i="2"/>
  <c r="K411" i="2" s="1"/>
  <c r="J415" i="2"/>
  <c r="K415" i="2" s="1"/>
  <c r="J419" i="2"/>
  <c r="K419" i="2" s="1"/>
  <c r="J423" i="2"/>
  <c r="K423" i="2" s="1"/>
  <c r="J427" i="2"/>
  <c r="K427" i="2" s="1"/>
  <c r="J431" i="2"/>
  <c r="K431" i="2" s="1"/>
  <c r="J435" i="2"/>
  <c r="K435" i="2" s="1"/>
  <c r="J439" i="2"/>
  <c r="K439" i="2" s="1"/>
  <c r="J443" i="2"/>
  <c r="K443" i="2" s="1"/>
  <c r="J447" i="2"/>
  <c r="K447" i="2" s="1"/>
  <c r="J451" i="2"/>
  <c r="K451" i="2" s="1"/>
  <c r="J455" i="2"/>
  <c r="K455" i="2" s="1"/>
  <c r="J459" i="2"/>
  <c r="K459" i="2" s="1"/>
  <c r="J463" i="2"/>
  <c r="K463" i="2" s="1"/>
  <c r="J467" i="2"/>
  <c r="K467" i="2" s="1"/>
  <c r="J471" i="2"/>
  <c r="K471" i="2" s="1"/>
  <c r="J475" i="2"/>
  <c r="K475" i="2" s="1"/>
  <c r="J479" i="2"/>
  <c r="K479" i="2" s="1"/>
  <c r="J483" i="2"/>
  <c r="K483" i="2" s="1"/>
  <c r="J487" i="2"/>
  <c r="K487" i="2" s="1"/>
  <c r="J491" i="2"/>
  <c r="K491" i="2" s="1"/>
  <c r="J495" i="2"/>
  <c r="K495" i="2" s="1"/>
  <c r="J499" i="2"/>
  <c r="K499" i="2" s="1"/>
  <c r="J503" i="2"/>
  <c r="K503" i="2" s="1"/>
  <c r="J507" i="2"/>
  <c r="K507" i="2" s="1"/>
  <c r="J511" i="2"/>
  <c r="K511" i="2" s="1"/>
  <c r="J515" i="2"/>
  <c r="K515" i="2" s="1"/>
  <c r="J519" i="2"/>
  <c r="K519" i="2" s="1"/>
  <c r="J523" i="2"/>
  <c r="K523" i="2" s="1"/>
  <c r="J527" i="2"/>
  <c r="K527" i="2" s="1"/>
  <c r="J531" i="2"/>
  <c r="K531" i="2" s="1"/>
  <c r="J535" i="2"/>
  <c r="K535" i="2" s="1"/>
  <c r="J539" i="2"/>
  <c r="K539" i="2" s="1"/>
  <c r="J543" i="2"/>
  <c r="K543" i="2" s="1"/>
  <c r="J547" i="2"/>
  <c r="K547" i="2" s="1"/>
  <c r="J551" i="2"/>
  <c r="K551" i="2" s="1"/>
  <c r="J555" i="2"/>
  <c r="K555" i="2" s="1"/>
  <c r="J559" i="2"/>
  <c r="K559" i="2" s="1"/>
  <c r="J563" i="2"/>
  <c r="K563" i="2" s="1"/>
  <c r="J567" i="2"/>
  <c r="K567" i="2" s="1"/>
  <c r="J571" i="2"/>
  <c r="K571" i="2" s="1"/>
  <c r="J575" i="2"/>
  <c r="K575" i="2" s="1"/>
  <c r="J579" i="2"/>
  <c r="K579" i="2" s="1"/>
  <c r="J583" i="2"/>
  <c r="K583" i="2" s="1"/>
  <c r="J587" i="2"/>
  <c r="K587" i="2" s="1"/>
  <c r="J591" i="2"/>
  <c r="K591" i="2" s="1"/>
  <c r="J595" i="2"/>
  <c r="K595" i="2" s="1"/>
  <c r="J599" i="2"/>
  <c r="K599" i="2" s="1"/>
  <c r="J603" i="2"/>
  <c r="K603" i="2" s="1"/>
  <c r="J607" i="2"/>
  <c r="K607" i="2" s="1"/>
  <c r="J611" i="2"/>
  <c r="K611" i="2" s="1"/>
  <c r="J615" i="2"/>
  <c r="K615" i="2" s="1"/>
  <c r="J619" i="2"/>
  <c r="K619" i="2" s="1"/>
  <c r="J623" i="2"/>
  <c r="K623" i="2" s="1"/>
  <c r="J627" i="2"/>
  <c r="K627" i="2" s="1"/>
  <c r="J631" i="2"/>
  <c r="K631" i="2" s="1"/>
  <c r="J635" i="2"/>
  <c r="K635" i="2" s="1"/>
  <c r="J639" i="2"/>
  <c r="K639" i="2" s="1"/>
  <c r="J643" i="2"/>
  <c r="K643" i="2" s="1"/>
  <c r="J647" i="2"/>
  <c r="K647" i="2" s="1"/>
  <c r="J651" i="2"/>
  <c r="K651" i="2" s="1"/>
  <c r="J655" i="2"/>
  <c r="K655" i="2" s="1"/>
  <c r="J659" i="2"/>
  <c r="K659" i="2" s="1"/>
  <c r="J663" i="2"/>
  <c r="K663" i="2" s="1"/>
  <c r="J667" i="2"/>
  <c r="K667" i="2" s="1"/>
  <c r="J671" i="2"/>
  <c r="K671" i="2" s="1"/>
  <c r="J675" i="2"/>
  <c r="K675" i="2" s="1"/>
  <c r="J679" i="2"/>
  <c r="K679" i="2" s="1"/>
  <c r="J683" i="2"/>
  <c r="K683" i="2" s="1"/>
  <c r="J687" i="2"/>
  <c r="K687" i="2" s="1"/>
  <c r="J691" i="2"/>
  <c r="K691" i="2" s="1"/>
  <c r="J695" i="2"/>
  <c r="K695" i="2" s="1"/>
  <c r="J699" i="2"/>
  <c r="K699" i="2" s="1"/>
  <c r="J703" i="2"/>
  <c r="K703" i="2" s="1"/>
  <c r="J707" i="2"/>
  <c r="K707" i="2" s="1"/>
  <c r="J711" i="2"/>
  <c r="K711" i="2" s="1"/>
  <c r="J715" i="2"/>
  <c r="K715" i="2" s="1"/>
  <c r="J719" i="2"/>
  <c r="K719" i="2" s="1"/>
  <c r="J723" i="2"/>
  <c r="K723" i="2" s="1"/>
  <c r="J727" i="2"/>
  <c r="K727" i="2" s="1"/>
  <c r="J731" i="2"/>
  <c r="K731" i="2" s="1"/>
  <c r="J735" i="2"/>
  <c r="K735" i="2" s="1"/>
  <c r="J739" i="2"/>
  <c r="K739" i="2" s="1"/>
  <c r="J743" i="2"/>
  <c r="K743" i="2" s="1"/>
  <c r="J747" i="2"/>
  <c r="K747" i="2" s="1"/>
  <c r="J751" i="2"/>
  <c r="K751" i="2" s="1"/>
  <c r="J755" i="2"/>
  <c r="K755" i="2" s="1"/>
  <c r="J344" i="2"/>
  <c r="K344" i="2" s="1"/>
  <c r="J348" i="2"/>
  <c r="K348" i="2" s="1"/>
  <c r="J352" i="2"/>
  <c r="K352" i="2" s="1"/>
  <c r="J356" i="2"/>
  <c r="K356" i="2" s="1"/>
  <c r="J360" i="2"/>
  <c r="K360" i="2" s="1"/>
  <c r="J364" i="2"/>
  <c r="K364" i="2" s="1"/>
  <c r="J368" i="2"/>
  <c r="K368" i="2" s="1"/>
  <c r="J372" i="2"/>
  <c r="K372" i="2" s="1"/>
  <c r="J376" i="2"/>
  <c r="K376" i="2" s="1"/>
  <c r="J380" i="2"/>
  <c r="K380" i="2" s="1"/>
  <c r="J384" i="2"/>
  <c r="K384" i="2" s="1"/>
  <c r="J388" i="2"/>
  <c r="K388" i="2" s="1"/>
  <c r="J392" i="2"/>
  <c r="K392" i="2" s="1"/>
  <c r="J396" i="2"/>
  <c r="K396" i="2" s="1"/>
  <c r="J400" i="2"/>
  <c r="K400" i="2" s="1"/>
  <c r="J404" i="2"/>
  <c r="K404" i="2" s="1"/>
  <c r="J408" i="2"/>
  <c r="K408" i="2" s="1"/>
  <c r="J412" i="2"/>
  <c r="K412" i="2" s="1"/>
  <c r="J416" i="2"/>
  <c r="K416" i="2" s="1"/>
  <c r="J420" i="2"/>
  <c r="K420" i="2" s="1"/>
  <c r="J424" i="2"/>
  <c r="K424" i="2" s="1"/>
  <c r="J428" i="2"/>
  <c r="K428" i="2" s="1"/>
  <c r="J432" i="2"/>
  <c r="K432" i="2" s="1"/>
  <c r="J436" i="2"/>
  <c r="K436" i="2" s="1"/>
  <c r="J440" i="2"/>
  <c r="K440" i="2" s="1"/>
  <c r="J444" i="2"/>
  <c r="K444" i="2" s="1"/>
  <c r="J448" i="2"/>
  <c r="K448" i="2" s="1"/>
  <c r="J452" i="2"/>
  <c r="K452" i="2" s="1"/>
  <c r="J456" i="2"/>
  <c r="K456" i="2" s="1"/>
  <c r="J460" i="2"/>
  <c r="K460" i="2" s="1"/>
  <c r="J464" i="2"/>
  <c r="K464" i="2" s="1"/>
  <c r="J468" i="2"/>
  <c r="K468" i="2" s="1"/>
  <c r="J472" i="2"/>
  <c r="K472" i="2" s="1"/>
  <c r="J476" i="2"/>
  <c r="K476" i="2" s="1"/>
  <c r="J480" i="2"/>
  <c r="K480" i="2" s="1"/>
  <c r="J484" i="2"/>
  <c r="K484" i="2" s="1"/>
  <c r="J488" i="2"/>
  <c r="K488" i="2" s="1"/>
  <c r="J492" i="2"/>
  <c r="K492" i="2" s="1"/>
  <c r="J496" i="2"/>
  <c r="K496" i="2" s="1"/>
  <c r="J500" i="2"/>
  <c r="K500" i="2" s="1"/>
  <c r="J504" i="2"/>
  <c r="K504" i="2" s="1"/>
  <c r="J508" i="2"/>
  <c r="K508" i="2" s="1"/>
  <c r="J512" i="2"/>
  <c r="K512" i="2" s="1"/>
  <c r="J516" i="2"/>
  <c r="K516" i="2" s="1"/>
  <c r="J520" i="2"/>
  <c r="K520" i="2" s="1"/>
  <c r="J524" i="2"/>
  <c r="K524" i="2" s="1"/>
  <c r="J528" i="2"/>
  <c r="K528" i="2" s="1"/>
  <c r="J532" i="2"/>
  <c r="K532" i="2" s="1"/>
  <c r="J536" i="2"/>
  <c r="K536" i="2" s="1"/>
  <c r="J540" i="2"/>
  <c r="K540" i="2" s="1"/>
  <c r="J544" i="2"/>
  <c r="K544" i="2" s="1"/>
  <c r="J548" i="2"/>
  <c r="K548" i="2" s="1"/>
  <c r="J552" i="2"/>
  <c r="K552" i="2" s="1"/>
  <c r="J556" i="2"/>
  <c r="K556" i="2" s="1"/>
  <c r="J560" i="2"/>
  <c r="K560" i="2" s="1"/>
  <c r="J564" i="2"/>
  <c r="K564" i="2" s="1"/>
  <c r="J568" i="2"/>
  <c r="K568" i="2" s="1"/>
  <c r="J572" i="2"/>
  <c r="K572" i="2" s="1"/>
  <c r="J576" i="2"/>
  <c r="K576" i="2" s="1"/>
  <c r="J580" i="2"/>
  <c r="K580" i="2" s="1"/>
  <c r="J584" i="2"/>
  <c r="K584" i="2" s="1"/>
  <c r="J588" i="2"/>
  <c r="K588" i="2" s="1"/>
  <c r="J592" i="2"/>
  <c r="K592" i="2" s="1"/>
  <c r="J596" i="2"/>
  <c r="K596" i="2" s="1"/>
  <c r="J600" i="2"/>
  <c r="K600" i="2" s="1"/>
  <c r="J604" i="2"/>
  <c r="K604" i="2" s="1"/>
  <c r="J608" i="2"/>
  <c r="K608" i="2" s="1"/>
  <c r="J612" i="2"/>
  <c r="K612" i="2" s="1"/>
  <c r="J616" i="2"/>
  <c r="K616" i="2" s="1"/>
  <c r="J620" i="2"/>
  <c r="K620" i="2" s="1"/>
  <c r="J624" i="2"/>
  <c r="K624" i="2" s="1"/>
  <c r="J628" i="2"/>
  <c r="K628" i="2" s="1"/>
  <c r="J632" i="2"/>
  <c r="K632" i="2" s="1"/>
  <c r="J636" i="2"/>
  <c r="K636" i="2" s="1"/>
  <c r="J640" i="2"/>
  <c r="K640" i="2" s="1"/>
  <c r="J644" i="2"/>
  <c r="K644" i="2" s="1"/>
  <c r="J648" i="2"/>
  <c r="K648" i="2" s="1"/>
  <c r="J652" i="2"/>
  <c r="K652" i="2" s="1"/>
  <c r="J656" i="2"/>
  <c r="K656" i="2" s="1"/>
  <c r="J660" i="2"/>
  <c r="K660" i="2" s="1"/>
  <c r="J664" i="2"/>
  <c r="K664" i="2" s="1"/>
  <c r="J668" i="2"/>
  <c r="K668" i="2" s="1"/>
  <c r="J672" i="2"/>
  <c r="K672" i="2" s="1"/>
  <c r="J676" i="2"/>
  <c r="K676" i="2" s="1"/>
  <c r="J680" i="2"/>
  <c r="K680" i="2" s="1"/>
  <c r="J684" i="2"/>
  <c r="K684" i="2" s="1"/>
  <c r="J688" i="2"/>
  <c r="K688" i="2" s="1"/>
  <c r="J692" i="2"/>
  <c r="K692" i="2" s="1"/>
  <c r="J696" i="2"/>
  <c r="K696" i="2" s="1"/>
  <c r="J700" i="2"/>
  <c r="K700" i="2" s="1"/>
  <c r="J704" i="2"/>
  <c r="K704" i="2" s="1"/>
  <c r="J708" i="2"/>
  <c r="K708" i="2" s="1"/>
  <c r="J712" i="2"/>
  <c r="K712" i="2" s="1"/>
  <c r="J716" i="2"/>
  <c r="K716" i="2" s="1"/>
  <c r="J720" i="2"/>
  <c r="K720" i="2" s="1"/>
  <c r="J724" i="2"/>
  <c r="K724" i="2" s="1"/>
  <c r="J728" i="2"/>
  <c r="K728" i="2" s="1"/>
  <c r="J732" i="2"/>
  <c r="K732" i="2" s="1"/>
  <c r="J736" i="2"/>
  <c r="K736" i="2" s="1"/>
  <c r="J740" i="2"/>
  <c r="K740" i="2" s="1"/>
  <c r="J744" i="2"/>
  <c r="K744" i="2" s="1"/>
  <c r="J748" i="2"/>
  <c r="K748" i="2" s="1"/>
  <c r="J752" i="2"/>
  <c r="K752" i="2" s="1"/>
  <c r="J756" i="2"/>
  <c r="K756" i="2" s="1"/>
  <c r="J760" i="2"/>
  <c r="K760" i="2" s="1"/>
  <c r="J764" i="2"/>
  <c r="K764" i="2" s="1"/>
  <c r="J768" i="2"/>
  <c r="K768" i="2" s="1"/>
  <c r="J772" i="2"/>
  <c r="K772" i="2" s="1"/>
  <c r="J776" i="2"/>
  <c r="K776" i="2" s="1"/>
  <c r="J780" i="2"/>
  <c r="K780" i="2" s="1"/>
  <c r="J784" i="2"/>
  <c r="K784" i="2" s="1"/>
  <c r="J788" i="2"/>
  <c r="K788" i="2" s="1"/>
  <c r="J792" i="2"/>
  <c r="K792" i="2" s="1"/>
  <c r="J796" i="2"/>
  <c r="K796" i="2" s="1"/>
  <c r="J800" i="2"/>
  <c r="K800" i="2" s="1"/>
  <c r="J804" i="2"/>
  <c r="K804" i="2" s="1"/>
  <c r="J808" i="2"/>
  <c r="K808" i="2" s="1"/>
  <c r="J812" i="2"/>
  <c r="K812" i="2" s="1"/>
  <c r="J816" i="2"/>
  <c r="K816" i="2" s="1"/>
  <c r="J820" i="2"/>
  <c r="K820" i="2" s="1"/>
  <c r="J824" i="2"/>
  <c r="K824" i="2" s="1"/>
  <c r="J828" i="2"/>
  <c r="K828" i="2" s="1"/>
  <c r="J832" i="2"/>
  <c r="K832" i="2" s="1"/>
  <c r="J836" i="2"/>
  <c r="K836" i="2" s="1"/>
  <c r="J840" i="2"/>
  <c r="K840" i="2" s="1"/>
  <c r="J844" i="2"/>
  <c r="K844" i="2" s="1"/>
  <c r="J848" i="2"/>
  <c r="K848" i="2" s="1"/>
  <c r="J852" i="2"/>
  <c r="K852" i="2" s="1"/>
  <c r="J856" i="2"/>
  <c r="K856" i="2" s="1"/>
  <c r="J860" i="2"/>
  <c r="K860" i="2" s="1"/>
  <c r="J864" i="2"/>
  <c r="K864" i="2" s="1"/>
  <c r="J868" i="2"/>
  <c r="K868" i="2" s="1"/>
  <c r="J872" i="2"/>
  <c r="K872" i="2" s="1"/>
  <c r="J876" i="2"/>
  <c r="K876" i="2" s="1"/>
  <c r="J880" i="2"/>
  <c r="K880" i="2" s="1"/>
  <c r="J884" i="2"/>
  <c r="K884" i="2" s="1"/>
  <c r="J888" i="2"/>
  <c r="K888" i="2" s="1"/>
  <c r="J892" i="2"/>
  <c r="K892" i="2" s="1"/>
  <c r="J896" i="2"/>
  <c r="K896" i="2" s="1"/>
  <c r="J900" i="2"/>
  <c r="K900" i="2" s="1"/>
  <c r="J904" i="2"/>
  <c r="K904" i="2" s="1"/>
  <c r="J908" i="2"/>
  <c r="K908" i="2" s="1"/>
  <c r="J912" i="2"/>
  <c r="K912" i="2" s="1"/>
  <c r="J916" i="2"/>
  <c r="K916" i="2" s="1"/>
  <c r="J920" i="2"/>
  <c r="K920" i="2" s="1"/>
  <c r="J924" i="2"/>
  <c r="K924" i="2" s="1"/>
  <c r="J928" i="2"/>
  <c r="K928" i="2" s="1"/>
  <c r="J932" i="2"/>
  <c r="K932" i="2" s="1"/>
  <c r="J936" i="2"/>
  <c r="K936" i="2" s="1"/>
  <c r="J940" i="2"/>
  <c r="K940" i="2" s="1"/>
  <c r="J944" i="2"/>
  <c r="K944" i="2" s="1"/>
  <c r="J948" i="2"/>
  <c r="K948" i="2" s="1"/>
  <c r="J952" i="2"/>
  <c r="K952" i="2" s="1"/>
  <c r="J956" i="2"/>
  <c r="K956" i="2" s="1"/>
  <c r="J960" i="2"/>
  <c r="K960" i="2" s="1"/>
  <c r="J964" i="2"/>
  <c r="K964" i="2" s="1"/>
  <c r="J968" i="2"/>
  <c r="K968" i="2" s="1"/>
  <c r="J972" i="2"/>
  <c r="K972" i="2" s="1"/>
  <c r="J976" i="2"/>
  <c r="K976" i="2" s="1"/>
  <c r="J980" i="2"/>
  <c r="K980" i="2" s="1"/>
  <c r="J984" i="2"/>
  <c r="K984" i="2" s="1"/>
  <c r="J988" i="2"/>
  <c r="K988" i="2" s="1"/>
  <c r="J992" i="2"/>
  <c r="K992" i="2" s="1"/>
  <c r="J996" i="2"/>
  <c r="K996" i="2" s="1"/>
  <c r="J1000" i="2"/>
  <c r="K1000" i="2" s="1"/>
  <c r="J1004" i="2"/>
  <c r="K1004" i="2" s="1"/>
  <c r="J1008" i="2"/>
  <c r="K1008" i="2" s="1"/>
  <c r="J1012" i="2"/>
  <c r="K1012" i="2" s="1"/>
  <c r="J1016" i="2"/>
  <c r="K1016" i="2" s="1"/>
  <c r="J1020" i="2"/>
  <c r="K1020" i="2" s="1"/>
  <c r="J345" i="2"/>
  <c r="K345" i="2" s="1"/>
  <c r="J349" i="2"/>
  <c r="K349" i="2" s="1"/>
  <c r="J353" i="2"/>
  <c r="K353" i="2" s="1"/>
  <c r="J357" i="2"/>
  <c r="K357" i="2" s="1"/>
  <c r="J361" i="2"/>
  <c r="K361" i="2" s="1"/>
  <c r="J365" i="2"/>
  <c r="K365" i="2" s="1"/>
  <c r="J369" i="2"/>
  <c r="K369" i="2" s="1"/>
  <c r="J373" i="2"/>
  <c r="K373" i="2" s="1"/>
  <c r="J377" i="2"/>
  <c r="K377" i="2" s="1"/>
  <c r="J381" i="2"/>
  <c r="K381" i="2" s="1"/>
  <c r="J385" i="2"/>
  <c r="K385" i="2" s="1"/>
  <c r="J389" i="2"/>
  <c r="K389" i="2" s="1"/>
  <c r="J393" i="2"/>
  <c r="K393" i="2" s="1"/>
  <c r="J397" i="2"/>
  <c r="K397" i="2" s="1"/>
  <c r="J401" i="2"/>
  <c r="K401" i="2" s="1"/>
  <c r="J405" i="2"/>
  <c r="K405" i="2" s="1"/>
  <c r="J409" i="2"/>
  <c r="K409" i="2" s="1"/>
  <c r="J413" i="2"/>
  <c r="K413" i="2" s="1"/>
  <c r="J417" i="2"/>
  <c r="K417" i="2" s="1"/>
  <c r="J421" i="2"/>
  <c r="K421" i="2" s="1"/>
  <c r="J425" i="2"/>
  <c r="K425" i="2" s="1"/>
  <c r="J429" i="2"/>
  <c r="K429" i="2" s="1"/>
  <c r="J433" i="2"/>
  <c r="K433" i="2" s="1"/>
  <c r="J437" i="2"/>
  <c r="K437" i="2" s="1"/>
  <c r="J441" i="2"/>
  <c r="K441" i="2" s="1"/>
  <c r="J445" i="2"/>
  <c r="K445" i="2" s="1"/>
  <c r="J449" i="2"/>
  <c r="K449" i="2" s="1"/>
  <c r="J453" i="2"/>
  <c r="K453" i="2" s="1"/>
  <c r="J457" i="2"/>
  <c r="K457" i="2" s="1"/>
  <c r="J461" i="2"/>
  <c r="K461" i="2" s="1"/>
  <c r="J465" i="2"/>
  <c r="K465" i="2" s="1"/>
  <c r="J469" i="2"/>
  <c r="K469" i="2" s="1"/>
  <c r="J473" i="2"/>
  <c r="K473" i="2" s="1"/>
  <c r="J477" i="2"/>
  <c r="K477" i="2" s="1"/>
  <c r="J481" i="2"/>
  <c r="K481" i="2" s="1"/>
  <c r="J485" i="2"/>
  <c r="K485" i="2" s="1"/>
  <c r="J489" i="2"/>
  <c r="K489" i="2" s="1"/>
  <c r="J493" i="2"/>
  <c r="K493" i="2" s="1"/>
  <c r="J497" i="2"/>
  <c r="K497" i="2" s="1"/>
  <c r="J501" i="2"/>
  <c r="K501" i="2" s="1"/>
  <c r="J505" i="2"/>
  <c r="K505" i="2" s="1"/>
  <c r="J509" i="2"/>
  <c r="K509" i="2" s="1"/>
  <c r="J513" i="2"/>
  <c r="K513" i="2" s="1"/>
  <c r="J517" i="2"/>
  <c r="K517" i="2" s="1"/>
  <c r="J521" i="2"/>
  <c r="K521" i="2" s="1"/>
  <c r="J525" i="2"/>
  <c r="K525" i="2" s="1"/>
  <c r="J529" i="2"/>
  <c r="K529" i="2" s="1"/>
  <c r="J533" i="2"/>
  <c r="K533" i="2" s="1"/>
  <c r="J537" i="2"/>
  <c r="K537" i="2" s="1"/>
  <c r="J541" i="2"/>
  <c r="K541" i="2" s="1"/>
  <c r="J545" i="2"/>
  <c r="K545" i="2" s="1"/>
  <c r="J549" i="2"/>
  <c r="K549" i="2" s="1"/>
  <c r="J553" i="2"/>
  <c r="K553" i="2" s="1"/>
  <c r="J557" i="2"/>
  <c r="K557" i="2" s="1"/>
  <c r="J561" i="2"/>
  <c r="K561" i="2" s="1"/>
  <c r="J565" i="2"/>
  <c r="K565" i="2" s="1"/>
  <c r="J569" i="2"/>
  <c r="K569" i="2" s="1"/>
  <c r="J573" i="2"/>
  <c r="K573" i="2" s="1"/>
  <c r="J577" i="2"/>
  <c r="K577" i="2" s="1"/>
  <c r="J581" i="2"/>
  <c r="K581" i="2" s="1"/>
  <c r="J585" i="2"/>
  <c r="K585" i="2" s="1"/>
  <c r="J589" i="2"/>
  <c r="K589" i="2" s="1"/>
  <c r="J593" i="2"/>
  <c r="K593" i="2" s="1"/>
  <c r="J597" i="2"/>
  <c r="K597" i="2" s="1"/>
  <c r="J601" i="2"/>
  <c r="K601" i="2" s="1"/>
  <c r="J605" i="2"/>
  <c r="K605" i="2" s="1"/>
  <c r="J609" i="2"/>
  <c r="K609" i="2" s="1"/>
  <c r="J613" i="2"/>
  <c r="K613" i="2" s="1"/>
  <c r="J617" i="2"/>
  <c r="K617" i="2" s="1"/>
  <c r="J621" i="2"/>
  <c r="K621" i="2" s="1"/>
  <c r="J625" i="2"/>
  <c r="K625" i="2" s="1"/>
  <c r="J629" i="2"/>
  <c r="K629" i="2" s="1"/>
  <c r="J633" i="2"/>
  <c r="K633" i="2" s="1"/>
  <c r="J637" i="2"/>
  <c r="K637" i="2" s="1"/>
  <c r="J641" i="2"/>
  <c r="K641" i="2" s="1"/>
  <c r="J645" i="2"/>
  <c r="K645" i="2" s="1"/>
  <c r="J649" i="2"/>
  <c r="K649" i="2" s="1"/>
  <c r="J653" i="2"/>
  <c r="K653" i="2" s="1"/>
  <c r="J657" i="2"/>
  <c r="K657" i="2" s="1"/>
  <c r="J661" i="2"/>
  <c r="K661" i="2" s="1"/>
  <c r="J665" i="2"/>
  <c r="K665" i="2" s="1"/>
  <c r="J669" i="2"/>
  <c r="K669" i="2" s="1"/>
  <c r="J673" i="2"/>
  <c r="K673" i="2" s="1"/>
  <c r="J677" i="2"/>
  <c r="K677" i="2" s="1"/>
  <c r="J681" i="2"/>
  <c r="K681" i="2" s="1"/>
  <c r="J685" i="2"/>
  <c r="K685" i="2" s="1"/>
  <c r="J689" i="2"/>
  <c r="K689" i="2" s="1"/>
  <c r="J693" i="2"/>
  <c r="K693" i="2" s="1"/>
  <c r="J697" i="2"/>
  <c r="K697" i="2" s="1"/>
  <c r="J701" i="2"/>
  <c r="K701" i="2" s="1"/>
  <c r="J705" i="2"/>
  <c r="K705" i="2" s="1"/>
  <c r="J709" i="2"/>
  <c r="K709" i="2" s="1"/>
  <c r="J713" i="2"/>
  <c r="K713" i="2" s="1"/>
  <c r="J717" i="2"/>
  <c r="K717" i="2" s="1"/>
  <c r="J721" i="2"/>
  <c r="K721" i="2" s="1"/>
  <c r="J725" i="2"/>
  <c r="K725" i="2" s="1"/>
  <c r="J729" i="2"/>
  <c r="K729" i="2" s="1"/>
  <c r="J733" i="2"/>
  <c r="K733" i="2" s="1"/>
  <c r="J737" i="2"/>
  <c r="K737" i="2" s="1"/>
  <c r="J741" i="2"/>
  <c r="K741" i="2" s="1"/>
  <c r="J745" i="2"/>
  <c r="K745" i="2" s="1"/>
  <c r="J749" i="2"/>
  <c r="K749" i="2" s="1"/>
  <c r="J753" i="2"/>
  <c r="K753" i="2" s="1"/>
  <c r="J757" i="2"/>
  <c r="K757" i="2" s="1"/>
  <c r="J761" i="2"/>
  <c r="K761" i="2" s="1"/>
  <c r="J765" i="2"/>
  <c r="K765" i="2" s="1"/>
  <c r="J769" i="2"/>
  <c r="K769" i="2" s="1"/>
  <c r="J773" i="2"/>
  <c r="K773" i="2" s="1"/>
  <c r="J777" i="2"/>
  <c r="K777" i="2" s="1"/>
  <c r="J781" i="2"/>
  <c r="K781" i="2" s="1"/>
  <c r="J785" i="2"/>
  <c r="K785" i="2" s="1"/>
  <c r="J789" i="2"/>
  <c r="K789" i="2" s="1"/>
  <c r="J793" i="2"/>
  <c r="K793" i="2" s="1"/>
  <c r="J797" i="2"/>
  <c r="K797" i="2" s="1"/>
  <c r="J801" i="2"/>
  <c r="K801" i="2" s="1"/>
  <c r="J805" i="2"/>
  <c r="K805" i="2" s="1"/>
  <c r="J809" i="2"/>
  <c r="K809" i="2" s="1"/>
  <c r="J813" i="2"/>
  <c r="K813" i="2" s="1"/>
  <c r="J817" i="2"/>
  <c r="K817" i="2" s="1"/>
  <c r="J821" i="2"/>
  <c r="K821" i="2" s="1"/>
  <c r="J825" i="2"/>
  <c r="K825" i="2" s="1"/>
  <c r="J829" i="2"/>
  <c r="K829" i="2" s="1"/>
  <c r="J833" i="2"/>
  <c r="K833" i="2" s="1"/>
  <c r="J837" i="2"/>
  <c r="K837" i="2" s="1"/>
  <c r="J841" i="2"/>
  <c r="K841" i="2" s="1"/>
  <c r="J845" i="2"/>
  <c r="K845" i="2" s="1"/>
  <c r="J849" i="2"/>
  <c r="K849" i="2" s="1"/>
  <c r="J853" i="2"/>
  <c r="K853" i="2" s="1"/>
  <c r="J857" i="2"/>
  <c r="K857" i="2" s="1"/>
  <c r="J861" i="2"/>
  <c r="K861" i="2" s="1"/>
  <c r="J865" i="2"/>
  <c r="K865" i="2" s="1"/>
  <c r="J869" i="2"/>
  <c r="K869" i="2" s="1"/>
  <c r="J873" i="2"/>
  <c r="K873" i="2" s="1"/>
  <c r="J877" i="2"/>
  <c r="K877" i="2" s="1"/>
  <c r="J881" i="2"/>
  <c r="K881" i="2" s="1"/>
  <c r="J885" i="2"/>
  <c r="K885" i="2" s="1"/>
  <c r="J889" i="2"/>
  <c r="K889" i="2" s="1"/>
  <c r="J893" i="2"/>
  <c r="K893" i="2" s="1"/>
  <c r="J897" i="2"/>
  <c r="K897" i="2" s="1"/>
  <c r="J901" i="2"/>
  <c r="K901" i="2" s="1"/>
  <c r="J905" i="2"/>
  <c r="K905" i="2" s="1"/>
  <c r="J909" i="2"/>
  <c r="K909" i="2" s="1"/>
  <c r="J913" i="2"/>
  <c r="K913" i="2" s="1"/>
  <c r="J917" i="2"/>
  <c r="K917" i="2" s="1"/>
  <c r="J921" i="2"/>
  <c r="K921" i="2" s="1"/>
  <c r="J925" i="2"/>
  <c r="K925" i="2" s="1"/>
  <c r="J929" i="2"/>
  <c r="K929" i="2" s="1"/>
  <c r="J933" i="2"/>
  <c r="K933" i="2" s="1"/>
  <c r="J937" i="2"/>
  <c r="K937" i="2" s="1"/>
  <c r="J941" i="2"/>
  <c r="K941" i="2" s="1"/>
  <c r="J945" i="2"/>
  <c r="K945" i="2" s="1"/>
  <c r="J949" i="2"/>
  <c r="K949" i="2" s="1"/>
  <c r="J953" i="2"/>
  <c r="K953" i="2" s="1"/>
  <c r="J957" i="2"/>
  <c r="K957" i="2" s="1"/>
  <c r="J961" i="2"/>
  <c r="K961" i="2" s="1"/>
  <c r="J965" i="2"/>
  <c r="K965" i="2" s="1"/>
  <c r="J969" i="2"/>
  <c r="K969" i="2" s="1"/>
  <c r="J973" i="2"/>
  <c r="K973" i="2" s="1"/>
  <c r="J977" i="2"/>
  <c r="K977" i="2" s="1"/>
  <c r="J981" i="2"/>
  <c r="K981" i="2" s="1"/>
  <c r="J985" i="2"/>
  <c r="K985" i="2" s="1"/>
  <c r="J989" i="2"/>
  <c r="K989" i="2" s="1"/>
  <c r="J993" i="2"/>
  <c r="K993" i="2" s="1"/>
  <c r="J997" i="2"/>
  <c r="K997" i="2" s="1"/>
  <c r="J1001" i="2"/>
  <c r="K1001" i="2" s="1"/>
  <c r="J1005" i="2"/>
  <c r="K1005" i="2" s="1"/>
  <c r="J1009" i="2"/>
  <c r="K1009" i="2" s="1"/>
  <c r="J1013" i="2"/>
  <c r="K1013" i="2" s="1"/>
  <c r="J1017" i="2"/>
  <c r="K1017" i="2" s="1"/>
  <c r="J1021" i="2"/>
  <c r="K1021" i="2" s="1"/>
  <c r="J602" i="2"/>
  <c r="K602" i="2" s="1"/>
  <c r="J618" i="2"/>
  <c r="K618" i="2" s="1"/>
  <c r="J634" i="2"/>
  <c r="K634" i="2" s="1"/>
  <c r="J650" i="2"/>
  <c r="K650" i="2" s="1"/>
  <c r="J666" i="2"/>
  <c r="K666" i="2" s="1"/>
  <c r="J682" i="2"/>
  <c r="K682" i="2" s="1"/>
  <c r="J698" i="2"/>
  <c r="K698" i="2" s="1"/>
  <c r="J714" i="2"/>
  <c r="K714" i="2" s="1"/>
  <c r="J730" i="2"/>
  <c r="K730" i="2" s="1"/>
  <c r="J746" i="2"/>
  <c r="K746" i="2" s="1"/>
  <c r="J759" i="2"/>
  <c r="K759" i="2" s="1"/>
  <c r="J767" i="2"/>
  <c r="K767" i="2" s="1"/>
  <c r="J775" i="2"/>
  <c r="K775" i="2" s="1"/>
  <c r="J783" i="2"/>
  <c r="K783" i="2" s="1"/>
  <c r="J791" i="2"/>
  <c r="K791" i="2" s="1"/>
  <c r="J799" i="2"/>
  <c r="K799" i="2" s="1"/>
  <c r="J807" i="2"/>
  <c r="K807" i="2" s="1"/>
  <c r="J815" i="2"/>
  <c r="K815" i="2" s="1"/>
  <c r="J823" i="2"/>
  <c r="K823" i="2" s="1"/>
  <c r="J831" i="2"/>
  <c r="K831" i="2" s="1"/>
  <c r="J839" i="2"/>
  <c r="K839" i="2" s="1"/>
  <c r="J847" i="2"/>
  <c r="K847" i="2" s="1"/>
  <c r="J855" i="2"/>
  <c r="K855" i="2" s="1"/>
  <c r="J863" i="2"/>
  <c r="K863" i="2" s="1"/>
  <c r="J871" i="2"/>
  <c r="K871" i="2" s="1"/>
  <c r="J879" i="2"/>
  <c r="K879" i="2" s="1"/>
  <c r="J887" i="2"/>
  <c r="K887" i="2" s="1"/>
  <c r="J895" i="2"/>
  <c r="K895" i="2" s="1"/>
  <c r="J903" i="2"/>
  <c r="K903" i="2" s="1"/>
  <c r="J911" i="2"/>
  <c r="K911" i="2" s="1"/>
  <c r="J919" i="2"/>
  <c r="K919" i="2" s="1"/>
  <c r="J927" i="2"/>
  <c r="K927" i="2" s="1"/>
  <c r="J935" i="2"/>
  <c r="K935" i="2" s="1"/>
  <c r="J943" i="2"/>
  <c r="K943" i="2" s="1"/>
  <c r="J951" i="2"/>
  <c r="K951" i="2" s="1"/>
  <c r="J959" i="2"/>
  <c r="K959" i="2" s="1"/>
  <c r="J967" i="2"/>
  <c r="K967" i="2" s="1"/>
  <c r="J975" i="2"/>
  <c r="K975" i="2" s="1"/>
  <c r="J983" i="2"/>
  <c r="K983" i="2" s="1"/>
  <c r="J991" i="2"/>
  <c r="K991" i="2" s="1"/>
  <c r="J999" i="2"/>
  <c r="K999" i="2" s="1"/>
  <c r="J1007" i="2"/>
  <c r="K1007" i="2" s="1"/>
  <c r="J1015" i="2"/>
  <c r="K1015" i="2" s="1"/>
  <c r="J1023" i="2"/>
  <c r="K1023" i="2" s="1"/>
  <c r="J1027" i="2"/>
  <c r="K1027" i="2" s="1"/>
  <c r="J1031" i="2"/>
  <c r="K1031" i="2" s="1"/>
  <c r="J1035" i="2"/>
  <c r="K1035" i="2" s="1"/>
  <c r="J1039" i="2"/>
  <c r="K1039" i="2" s="1"/>
  <c r="J1043" i="2"/>
  <c r="K1043" i="2" s="1"/>
  <c r="J1047" i="2"/>
  <c r="K1047" i="2" s="1"/>
  <c r="J1051" i="2"/>
  <c r="K1051" i="2" s="1"/>
  <c r="J1055" i="2"/>
  <c r="K1055" i="2" s="1"/>
  <c r="J1059" i="2"/>
  <c r="K1059" i="2" s="1"/>
  <c r="J1063" i="2"/>
  <c r="K1063" i="2" s="1"/>
  <c r="J1067" i="2"/>
  <c r="K1067" i="2" s="1"/>
  <c r="J1071" i="2"/>
  <c r="K1071" i="2" s="1"/>
  <c r="J1075" i="2"/>
  <c r="K1075" i="2" s="1"/>
  <c r="J1079" i="2"/>
  <c r="K1079" i="2" s="1"/>
  <c r="J1083" i="2"/>
  <c r="K1083" i="2" s="1"/>
  <c r="J1087" i="2"/>
  <c r="K1087" i="2" s="1"/>
  <c r="J1091" i="2"/>
  <c r="K1091" i="2" s="1"/>
  <c r="J1095" i="2"/>
  <c r="K1095" i="2" s="1"/>
  <c r="J1099" i="2"/>
  <c r="K1099" i="2" s="1"/>
  <c r="J1103" i="2"/>
  <c r="K1103" i="2" s="1"/>
  <c r="J1107" i="2"/>
  <c r="K1107" i="2" s="1"/>
  <c r="J1111" i="2"/>
  <c r="K1111" i="2" s="1"/>
  <c r="J1115" i="2"/>
  <c r="K1115" i="2" s="1"/>
  <c r="J1119" i="2"/>
  <c r="K1119" i="2" s="1"/>
  <c r="J1123" i="2"/>
  <c r="K1123" i="2" s="1"/>
  <c r="J1127" i="2"/>
  <c r="K1127" i="2" s="1"/>
  <c r="J1131" i="2"/>
  <c r="K1131" i="2" s="1"/>
  <c r="J1135" i="2"/>
  <c r="K1135" i="2" s="1"/>
  <c r="J1139" i="2"/>
  <c r="K1139" i="2" s="1"/>
  <c r="J1143" i="2"/>
  <c r="K1143" i="2" s="1"/>
  <c r="J1147" i="2"/>
  <c r="K1147" i="2" s="1"/>
  <c r="J1151" i="2"/>
  <c r="K1151" i="2" s="1"/>
  <c r="J1155" i="2"/>
  <c r="K1155" i="2" s="1"/>
  <c r="J1159" i="2"/>
  <c r="K1159" i="2" s="1"/>
  <c r="J1163" i="2"/>
  <c r="K1163" i="2" s="1"/>
  <c r="J1167" i="2"/>
  <c r="K1167" i="2" s="1"/>
  <c r="J1171" i="2"/>
  <c r="K1171" i="2" s="1"/>
  <c r="J1175" i="2"/>
  <c r="K1175" i="2" s="1"/>
  <c r="J1179" i="2"/>
  <c r="K1179" i="2" s="1"/>
  <c r="J1183" i="2"/>
  <c r="K1183" i="2" s="1"/>
  <c r="J1187" i="2"/>
  <c r="K1187" i="2" s="1"/>
  <c r="J1191" i="2"/>
  <c r="K1191" i="2" s="1"/>
  <c r="J1195" i="2"/>
  <c r="K1195" i="2" s="1"/>
  <c r="J1199" i="2"/>
  <c r="K1199" i="2" s="1"/>
  <c r="J1203" i="2"/>
  <c r="K1203" i="2" s="1"/>
  <c r="J1207" i="2"/>
  <c r="K1207" i="2" s="1"/>
  <c r="J1211" i="2"/>
  <c r="K1211" i="2" s="1"/>
  <c r="J1215" i="2"/>
  <c r="K1215" i="2" s="1"/>
  <c r="J1219" i="2"/>
  <c r="K1219" i="2" s="1"/>
  <c r="J1223" i="2"/>
  <c r="K1223" i="2" s="1"/>
  <c r="J1227" i="2"/>
  <c r="K1227" i="2" s="1"/>
  <c r="J1231" i="2"/>
  <c r="K1231" i="2" s="1"/>
  <c r="J1235" i="2"/>
  <c r="K1235" i="2" s="1"/>
  <c r="J1239" i="2"/>
  <c r="K1239" i="2" s="1"/>
  <c r="J1243" i="2"/>
  <c r="K1243" i="2" s="1"/>
  <c r="J1247" i="2"/>
  <c r="K1247" i="2" s="1"/>
  <c r="J1251" i="2"/>
  <c r="K1251" i="2" s="1"/>
  <c r="J1255" i="2"/>
  <c r="K1255" i="2" s="1"/>
  <c r="J1259" i="2"/>
  <c r="K1259" i="2" s="1"/>
  <c r="J1263" i="2"/>
  <c r="K1263" i="2" s="1"/>
  <c r="J1267" i="2"/>
  <c r="K1267" i="2" s="1"/>
  <c r="J1271" i="2"/>
  <c r="K1271" i="2" s="1"/>
  <c r="J1275" i="2"/>
  <c r="K1275" i="2" s="1"/>
  <c r="J1279" i="2"/>
  <c r="K1279" i="2" s="1"/>
  <c r="J1283" i="2"/>
  <c r="K1283" i="2" s="1"/>
  <c r="J1287" i="2"/>
  <c r="K1287" i="2" s="1"/>
  <c r="J1291" i="2"/>
  <c r="K1291" i="2" s="1"/>
  <c r="J1295" i="2"/>
  <c r="K1295" i="2" s="1"/>
  <c r="J1299" i="2"/>
  <c r="K1299" i="2" s="1"/>
  <c r="J1303" i="2"/>
  <c r="K1303" i="2" s="1"/>
  <c r="J1307" i="2"/>
  <c r="K1307" i="2" s="1"/>
  <c r="J1311" i="2"/>
  <c r="K1311" i="2" s="1"/>
  <c r="J1315" i="2"/>
  <c r="K1315" i="2" s="1"/>
  <c r="J1319" i="2"/>
  <c r="K1319" i="2" s="1"/>
  <c r="J1323" i="2"/>
  <c r="K1323" i="2" s="1"/>
  <c r="J1327" i="2"/>
  <c r="K1327" i="2" s="1"/>
  <c r="J1331" i="2"/>
  <c r="K1331" i="2" s="1"/>
  <c r="J1335" i="2"/>
  <c r="K1335" i="2" s="1"/>
  <c r="J1339" i="2"/>
  <c r="K1339" i="2" s="1"/>
  <c r="J1343" i="2"/>
  <c r="K1343" i="2" s="1"/>
  <c r="J1347" i="2"/>
  <c r="K1347" i="2" s="1"/>
  <c r="J1351" i="2"/>
  <c r="K1351" i="2" s="1"/>
  <c r="J1355" i="2"/>
  <c r="K1355" i="2" s="1"/>
  <c r="J1359" i="2"/>
  <c r="K1359" i="2" s="1"/>
  <c r="J1363" i="2"/>
  <c r="K1363" i="2" s="1"/>
  <c r="J1367" i="2"/>
  <c r="K1367" i="2" s="1"/>
  <c r="J1371" i="2"/>
  <c r="K1371" i="2" s="1"/>
  <c r="J1375" i="2"/>
  <c r="K1375" i="2" s="1"/>
  <c r="J1379" i="2"/>
  <c r="K1379" i="2" s="1"/>
  <c r="J1383" i="2"/>
  <c r="K1383" i="2" s="1"/>
  <c r="J1387" i="2"/>
  <c r="K1387" i="2" s="1"/>
  <c r="J1391" i="2"/>
  <c r="K1391" i="2" s="1"/>
  <c r="J1395" i="2"/>
  <c r="K1395" i="2" s="1"/>
  <c r="J1399" i="2"/>
  <c r="K1399" i="2" s="1"/>
  <c r="J1403" i="2"/>
  <c r="K1403" i="2" s="1"/>
  <c r="J1407" i="2"/>
  <c r="K1407" i="2" s="1"/>
  <c r="J1411" i="2"/>
  <c r="K1411" i="2" s="1"/>
  <c r="J1415" i="2"/>
  <c r="K1415" i="2" s="1"/>
  <c r="J1419" i="2"/>
  <c r="K1419" i="2" s="1"/>
  <c r="J1423" i="2"/>
  <c r="K1423" i="2" s="1"/>
  <c r="J1427" i="2"/>
  <c r="K1427" i="2" s="1"/>
  <c r="J1431" i="2"/>
  <c r="K1431" i="2" s="1"/>
  <c r="J1435" i="2"/>
  <c r="K1435" i="2" s="1"/>
  <c r="J1439" i="2"/>
  <c r="K1439" i="2" s="1"/>
  <c r="J1443" i="2"/>
  <c r="K1443" i="2" s="1"/>
  <c r="J1447" i="2"/>
  <c r="K1447" i="2" s="1"/>
  <c r="J1451" i="2"/>
  <c r="K1451" i="2" s="1"/>
  <c r="J1455" i="2"/>
  <c r="K1455" i="2" s="1"/>
  <c r="J1459" i="2"/>
  <c r="K1459" i="2" s="1"/>
  <c r="J1463" i="2"/>
  <c r="K1463" i="2" s="1"/>
  <c r="J1467" i="2"/>
  <c r="K1467" i="2" s="1"/>
  <c r="J1471" i="2"/>
  <c r="K1471" i="2" s="1"/>
  <c r="J1475" i="2"/>
  <c r="K1475" i="2" s="1"/>
  <c r="J1479" i="2"/>
  <c r="K1479" i="2" s="1"/>
  <c r="J1483" i="2"/>
  <c r="K1483" i="2" s="1"/>
  <c r="J1487" i="2"/>
  <c r="K1487" i="2" s="1"/>
  <c r="J1491" i="2"/>
  <c r="K1491" i="2" s="1"/>
  <c r="J1495" i="2"/>
  <c r="K1495" i="2" s="1"/>
  <c r="J1499" i="2"/>
  <c r="K1499" i="2" s="1"/>
  <c r="J1503" i="2"/>
  <c r="K1503" i="2" s="1"/>
  <c r="J1507" i="2"/>
  <c r="K1507" i="2" s="1"/>
  <c r="J1511" i="2"/>
  <c r="K1511" i="2" s="1"/>
  <c r="J1515" i="2"/>
  <c r="K1515" i="2" s="1"/>
  <c r="J1519" i="2"/>
  <c r="K1519" i="2" s="1"/>
  <c r="J1523" i="2"/>
  <c r="K1523" i="2" s="1"/>
  <c r="J1527" i="2"/>
  <c r="K1527" i="2" s="1"/>
  <c r="J606" i="2"/>
  <c r="K606" i="2" s="1"/>
  <c r="J622" i="2"/>
  <c r="K622" i="2" s="1"/>
  <c r="J638" i="2"/>
  <c r="K638" i="2" s="1"/>
  <c r="J654" i="2"/>
  <c r="K654" i="2" s="1"/>
  <c r="J670" i="2"/>
  <c r="K670" i="2" s="1"/>
  <c r="J686" i="2"/>
  <c r="K686" i="2" s="1"/>
  <c r="J702" i="2"/>
  <c r="K702" i="2" s="1"/>
  <c r="J718" i="2"/>
  <c r="K718" i="2" s="1"/>
  <c r="J734" i="2"/>
  <c r="K734" i="2" s="1"/>
  <c r="J750" i="2"/>
  <c r="K750" i="2" s="1"/>
  <c r="J762" i="2"/>
  <c r="K762" i="2" s="1"/>
  <c r="J770" i="2"/>
  <c r="K770" i="2" s="1"/>
  <c r="J778" i="2"/>
  <c r="K778" i="2" s="1"/>
  <c r="J786" i="2"/>
  <c r="K786" i="2" s="1"/>
  <c r="J794" i="2"/>
  <c r="K794" i="2" s="1"/>
  <c r="J802" i="2"/>
  <c r="K802" i="2" s="1"/>
  <c r="J810" i="2"/>
  <c r="K810" i="2" s="1"/>
  <c r="J818" i="2"/>
  <c r="K818" i="2" s="1"/>
  <c r="J826" i="2"/>
  <c r="K826" i="2" s="1"/>
  <c r="J834" i="2"/>
  <c r="K834" i="2" s="1"/>
  <c r="J842" i="2"/>
  <c r="K842" i="2" s="1"/>
  <c r="J850" i="2"/>
  <c r="K850" i="2" s="1"/>
  <c r="J858" i="2"/>
  <c r="K858" i="2" s="1"/>
  <c r="J866" i="2"/>
  <c r="K866" i="2" s="1"/>
  <c r="J874" i="2"/>
  <c r="K874" i="2" s="1"/>
  <c r="J882" i="2"/>
  <c r="K882" i="2" s="1"/>
  <c r="J890" i="2"/>
  <c r="K890" i="2" s="1"/>
  <c r="J898" i="2"/>
  <c r="K898" i="2" s="1"/>
  <c r="J906" i="2"/>
  <c r="K906" i="2" s="1"/>
  <c r="J914" i="2"/>
  <c r="K914" i="2" s="1"/>
  <c r="J922" i="2"/>
  <c r="K922" i="2" s="1"/>
  <c r="J930" i="2"/>
  <c r="K930" i="2" s="1"/>
  <c r="J938" i="2"/>
  <c r="K938" i="2" s="1"/>
  <c r="J946" i="2"/>
  <c r="K946" i="2" s="1"/>
  <c r="J954" i="2"/>
  <c r="K954" i="2" s="1"/>
  <c r="J962" i="2"/>
  <c r="K962" i="2" s="1"/>
  <c r="J970" i="2"/>
  <c r="K970" i="2" s="1"/>
  <c r="J978" i="2"/>
  <c r="K978" i="2" s="1"/>
  <c r="J986" i="2"/>
  <c r="K986" i="2" s="1"/>
  <c r="J994" i="2"/>
  <c r="K994" i="2" s="1"/>
  <c r="J1002" i="2"/>
  <c r="K1002" i="2" s="1"/>
  <c r="J1010" i="2"/>
  <c r="K1010" i="2" s="1"/>
  <c r="J1018" i="2"/>
  <c r="K1018" i="2" s="1"/>
  <c r="J1024" i="2"/>
  <c r="K1024" i="2" s="1"/>
  <c r="J1028" i="2"/>
  <c r="K1028" i="2" s="1"/>
  <c r="J1032" i="2"/>
  <c r="K1032" i="2" s="1"/>
  <c r="J1036" i="2"/>
  <c r="K1036" i="2" s="1"/>
  <c r="J1040" i="2"/>
  <c r="K1040" i="2" s="1"/>
  <c r="J1044" i="2"/>
  <c r="K1044" i="2" s="1"/>
  <c r="J1048" i="2"/>
  <c r="K1048" i="2" s="1"/>
  <c r="J1052" i="2"/>
  <c r="K1052" i="2" s="1"/>
  <c r="J1056" i="2"/>
  <c r="K1056" i="2" s="1"/>
  <c r="J1060" i="2"/>
  <c r="K1060" i="2" s="1"/>
  <c r="J1064" i="2"/>
  <c r="K1064" i="2" s="1"/>
  <c r="J1068" i="2"/>
  <c r="K1068" i="2" s="1"/>
  <c r="J1072" i="2"/>
  <c r="K1072" i="2" s="1"/>
  <c r="J1076" i="2"/>
  <c r="K1076" i="2" s="1"/>
  <c r="J1080" i="2"/>
  <c r="K1080" i="2" s="1"/>
  <c r="J1084" i="2"/>
  <c r="K1084" i="2" s="1"/>
  <c r="J1088" i="2"/>
  <c r="K1088" i="2" s="1"/>
  <c r="J1092" i="2"/>
  <c r="K1092" i="2" s="1"/>
  <c r="J1096" i="2"/>
  <c r="K1096" i="2" s="1"/>
  <c r="J1100" i="2"/>
  <c r="K1100" i="2" s="1"/>
  <c r="J1104" i="2"/>
  <c r="K1104" i="2" s="1"/>
  <c r="J1108" i="2"/>
  <c r="K1108" i="2" s="1"/>
  <c r="J1112" i="2"/>
  <c r="K1112" i="2" s="1"/>
  <c r="J1116" i="2"/>
  <c r="K1116" i="2" s="1"/>
  <c r="J1120" i="2"/>
  <c r="K1120" i="2" s="1"/>
  <c r="J1124" i="2"/>
  <c r="K1124" i="2" s="1"/>
  <c r="J1128" i="2"/>
  <c r="K1128" i="2" s="1"/>
  <c r="J1132" i="2"/>
  <c r="K1132" i="2" s="1"/>
  <c r="J1136" i="2"/>
  <c r="K1136" i="2" s="1"/>
  <c r="J1140" i="2"/>
  <c r="K1140" i="2" s="1"/>
  <c r="J1144" i="2"/>
  <c r="K1144" i="2" s="1"/>
  <c r="J1148" i="2"/>
  <c r="K1148" i="2" s="1"/>
  <c r="J1152" i="2"/>
  <c r="K1152" i="2" s="1"/>
  <c r="J1156" i="2"/>
  <c r="K1156" i="2" s="1"/>
  <c r="J1160" i="2"/>
  <c r="K1160" i="2" s="1"/>
  <c r="J1164" i="2"/>
  <c r="K1164" i="2" s="1"/>
  <c r="J1168" i="2"/>
  <c r="K1168" i="2" s="1"/>
  <c r="J1172" i="2"/>
  <c r="K1172" i="2" s="1"/>
  <c r="J1176" i="2"/>
  <c r="K1176" i="2" s="1"/>
  <c r="J1180" i="2"/>
  <c r="K1180" i="2" s="1"/>
  <c r="J1184" i="2"/>
  <c r="K1184" i="2" s="1"/>
  <c r="J1188" i="2"/>
  <c r="K1188" i="2" s="1"/>
  <c r="J1192" i="2"/>
  <c r="K1192" i="2" s="1"/>
  <c r="J1196" i="2"/>
  <c r="K1196" i="2" s="1"/>
  <c r="J1200" i="2"/>
  <c r="K1200" i="2" s="1"/>
  <c r="J1204" i="2"/>
  <c r="K1204" i="2" s="1"/>
  <c r="J1208" i="2"/>
  <c r="K1208" i="2" s="1"/>
  <c r="J1212" i="2"/>
  <c r="K1212" i="2" s="1"/>
  <c r="J1216" i="2"/>
  <c r="K1216" i="2" s="1"/>
  <c r="J1220" i="2"/>
  <c r="K1220" i="2" s="1"/>
  <c r="J1224" i="2"/>
  <c r="K1224" i="2" s="1"/>
  <c r="J1228" i="2"/>
  <c r="K1228" i="2" s="1"/>
  <c r="J1232" i="2"/>
  <c r="K1232" i="2" s="1"/>
  <c r="J1236" i="2"/>
  <c r="K1236" i="2" s="1"/>
  <c r="J1240" i="2"/>
  <c r="K1240" i="2" s="1"/>
  <c r="J1244" i="2"/>
  <c r="K1244" i="2" s="1"/>
  <c r="J1248" i="2"/>
  <c r="K1248" i="2" s="1"/>
  <c r="J1252" i="2"/>
  <c r="K1252" i="2" s="1"/>
  <c r="J1256" i="2"/>
  <c r="K1256" i="2" s="1"/>
  <c r="J1260" i="2"/>
  <c r="K1260" i="2" s="1"/>
  <c r="J1264" i="2"/>
  <c r="K1264" i="2" s="1"/>
  <c r="J1268" i="2"/>
  <c r="K1268" i="2" s="1"/>
  <c r="J1272" i="2"/>
  <c r="K1272" i="2" s="1"/>
  <c r="J1276" i="2"/>
  <c r="K1276" i="2" s="1"/>
  <c r="J1280" i="2"/>
  <c r="K1280" i="2" s="1"/>
  <c r="J1284" i="2"/>
  <c r="K1284" i="2" s="1"/>
  <c r="J1288" i="2"/>
  <c r="K1288" i="2" s="1"/>
  <c r="J1292" i="2"/>
  <c r="K1292" i="2" s="1"/>
  <c r="J1296" i="2"/>
  <c r="K1296" i="2" s="1"/>
  <c r="J1300" i="2"/>
  <c r="K1300" i="2" s="1"/>
  <c r="J1304" i="2"/>
  <c r="K1304" i="2" s="1"/>
  <c r="J1308" i="2"/>
  <c r="K1308" i="2" s="1"/>
  <c r="J1312" i="2"/>
  <c r="K1312" i="2" s="1"/>
  <c r="J1316" i="2"/>
  <c r="K1316" i="2" s="1"/>
  <c r="J1320" i="2"/>
  <c r="K1320" i="2" s="1"/>
  <c r="J1324" i="2"/>
  <c r="K1324" i="2" s="1"/>
  <c r="J1328" i="2"/>
  <c r="K1328" i="2" s="1"/>
  <c r="J1332" i="2"/>
  <c r="K1332" i="2" s="1"/>
  <c r="J1336" i="2"/>
  <c r="K1336" i="2" s="1"/>
  <c r="J1340" i="2"/>
  <c r="K1340" i="2" s="1"/>
  <c r="J1344" i="2"/>
  <c r="K1344" i="2" s="1"/>
  <c r="J1348" i="2"/>
  <c r="K1348" i="2" s="1"/>
  <c r="J1352" i="2"/>
  <c r="K1352" i="2" s="1"/>
  <c r="J1356" i="2"/>
  <c r="K1356" i="2" s="1"/>
  <c r="J1360" i="2"/>
  <c r="K1360" i="2" s="1"/>
  <c r="J1364" i="2"/>
  <c r="K1364" i="2" s="1"/>
  <c r="J1368" i="2"/>
  <c r="K1368" i="2" s="1"/>
  <c r="J1372" i="2"/>
  <c r="K1372" i="2" s="1"/>
  <c r="J1376" i="2"/>
  <c r="K1376" i="2" s="1"/>
  <c r="J1380" i="2"/>
  <c r="K1380" i="2" s="1"/>
  <c r="J1384" i="2"/>
  <c r="K1384" i="2" s="1"/>
  <c r="J1388" i="2"/>
  <c r="K1388" i="2" s="1"/>
  <c r="J1392" i="2"/>
  <c r="K1392" i="2" s="1"/>
  <c r="J1396" i="2"/>
  <c r="K1396" i="2" s="1"/>
  <c r="J1400" i="2"/>
  <c r="K1400" i="2" s="1"/>
  <c r="J1404" i="2"/>
  <c r="K1404" i="2" s="1"/>
  <c r="J1408" i="2"/>
  <c r="K1408" i="2" s="1"/>
  <c r="J1412" i="2"/>
  <c r="K1412" i="2" s="1"/>
  <c r="J1416" i="2"/>
  <c r="K1416" i="2" s="1"/>
  <c r="J1420" i="2"/>
  <c r="K1420" i="2" s="1"/>
  <c r="J1424" i="2"/>
  <c r="K1424" i="2" s="1"/>
  <c r="J1428" i="2"/>
  <c r="K1428" i="2" s="1"/>
  <c r="J1432" i="2"/>
  <c r="K1432" i="2" s="1"/>
  <c r="J1436" i="2"/>
  <c r="K1436" i="2" s="1"/>
  <c r="J1440" i="2"/>
  <c r="K1440" i="2" s="1"/>
  <c r="J1444" i="2"/>
  <c r="K1444" i="2" s="1"/>
  <c r="J1448" i="2"/>
  <c r="K1448" i="2" s="1"/>
  <c r="J1452" i="2"/>
  <c r="K1452" i="2" s="1"/>
  <c r="J1456" i="2"/>
  <c r="K1456" i="2" s="1"/>
  <c r="J1460" i="2"/>
  <c r="K1460" i="2" s="1"/>
  <c r="J1464" i="2"/>
  <c r="K1464" i="2" s="1"/>
  <c r="J1468" i="2"/>
  <c r="K1468" i="2" s="1"/>
  <c r="J1472" i="2"/>
  <c r="K1472" i="2" s="1"/>
  <c r="J1476" i="2"/>
  <c r="K1476" i="2" s="1"/>
  <c r="J1480" i="2"/>
  <c r="K1480" i="2" s="1"/>
  <c r="J1484" i="2"/>
  <c r="K1484" i="2" s="1"/>
  <c r="J1488" i="2"/>
  <c r="K1488" i="2" s="1"/>
  <c r="J1492" i="2"/>
  <c r="K1492" i="2" s="1"/>
  <c r="J1496" i="2"/>
  <c r="K1496" i="2" s="1"/>
  <c r="J1500" i="2"/>
  <c r="K1500" i="2" s="1"/>
  <c r="J1504" i="2"/>
  <c r="K1504" i="2" s="1"/>
  <c r="J1508" i="2"/>
  <c r="K1508" i="2" s="1"/>
  <c r="J1512" i="2"/>
  <c r="K1512" i="2" s="1"/>
  <c r="J1516" i="2"/>
  <c r="K1516" i="2" s="1"/>
  <c r="J1520" i="2"/>
  <c r="K1520" i="2" s="1"/>
  <c r="J1524" i="2"/>
  <c r="K1524" i="2" s="1"/>
  <c r="J1528" i="2"/>
  <c r="K1528" i="2" s="1"/>
  <c r="J610" i="2"/>
  <c r="K610" i="2" s="1"/>
  <c r="J626" i="2"/>
  <c r="K626" i="2" s="1"/>
  <c r="J642" i="2"/>
  <c r="K642" i="2" s="1"/>
  <c r="J658" i="2"/>
  <c r="K658" i="2" s="1"/>
  <c r="J674" i="2"/>
  <c r="K674" i="2" s="1"/>
  <c r="J690" i="2"/>
  <c r="K690" i="2" s="1"/>
  <c r="J706" i="2"/>
  <c r="K706" i="2" s="1"/>
  <c r="J722" i="2"/>
  <c r="K722" i="2" s="1"/>
  <c r="J738" i="2"/>
  <c r="K738" i="2" s="1"/>
  <c r="J754" i="2"/>
  <c r="K754" i="2" s="1"/>
  <c r="J763" i="2"/>
  <c r="K763" i="2" s="1"/>
  <c r="J771" i="2"/>
  <c r="K771" i="2" s="1"/>
  <c r="J779" i="2"/>
  <c r="K779" i="2" s="1"/>
  <c r="J787" i="2"/>
  <c r="K787" i="2" s="1"/>
  <c r="J795" i="2"/>
  <c r="K795" i="2" s="1"/>
  <c r="J803" i="2"/>
  <c r="K803" i="2" s="1"/>
  <c r="J811" i="2"/>
  <c r="K811" i="2" s="1"/>
  <c r="J819" i="2"/>
  <c r="K819" i="2" s="1"/>
  <c r="J827" i="2"/>
  <c r="K827" i="2" s="1"/>
  <c r="J835" i="2"/>
  <c r="K835" i="2" s="1"/>
  <c r="J843" i="2"/>
  <c r="K843" i="2" s="1"/>
  <c r="J851" i="2"/>
  <c r="K851" i="2" s="1"/>
  <c r="J859" i="2"/>
  <c r="K859" i="2" s="1"/>
  <c r="J867" i="2"/>
  <c r="K867" i="2" s="1"/>
  <c r="J875" i="2"/>
  <c r="K875" i="2" s="1"/>
  <c r="J883" i="2"/>
  <c r="K883" i="2" s="1"/>
  <c r="J891" i="2"/>
  <c r="K891" i="2" s="1"/>
  <c r="J899" i="2"/>
  <c r="K899" i="2" s="1"/>
  <c r="J907" i="2"/>
  <c r="K907" i="2" s="1"/>
  <c r="J915" i="2"/>
  <c r="K915" i="2" s="1"/>
  <c r="J923" i="2"/>
  <c r="K923" i="2" s="1"/>
  <c r="J931" i="2"/>
  <c r="K931" i="2" s="1"/>
  <c r="J939" i="2"/>
  <c r="K939" i="2" s="1"/>
  <c r="J947" i="2"/>
  <c r="K947" i="2" s="1"/>
  <c r="J955" i="2"/>
  <c r="K955" i="2" s="1"/>
  <c r="J963" i="2"/>
  <c r="K963" i="2" s="1"/>
  <c r="J971" i="2"/>
  <c r="K971" i="2" s="1"/>
  <c r="J979" i="2"/>
  <c r="K979" i="2" s="1"/>
  <c r="J987" i="2"/>
  <c r="K987" i="2" s="1"/>
  <c r="J995" i="2"/>
  <c r="K995" i="2" s="1"/>
  <c r="J1003" i="2"/>
  <c r="K1003" i="2" s="1"/>
  <c r="J1011" i="2"/>
  <c r="K1011" i="2" s="1"/>
  <c r="J1019" i="2"/>
  <c r="K1019" i="2" s="1"/>
  <c r="J1025" i="2"/>
  <c r="K1025" i="2" s="1"/>
  <c r="J1029" i="2"/>
  <c r="K1029" i="2" s="1"/>
  <c r="J1033" i="2"/>
  <c r="K1033" i="2" s="1"/>
  <c r="J1037" i="2"/>
  <c r="K1037" i="2" s="1"/>
  <c r="J1041" i="2"/>
  <c r="K1041" i="2" s="1"/>
  <c r="J1045" i="2"/>
  <c r="K1045" i="2" s="1"/>
  <c r="J1049" i="2"/>
  <c r="K1049" i="2" s="1"/>
  <c r="J1053" i="2"/>
  <c r="K1053" i="2" s="1"/>
  <c r="J1057" i="2"/>
  <c r="K1057" i="2" s="1"/>
  <c r="J1061" i="2"/>
  <c r="K1061" i="2" s="1"/>
  <c r="J1065" i="2"/>
  <c r="K1065" i="2" s="1"/>
  <c r="J1069" i="2"/>
  <c r="K1069" i="2" s="1"/>
  <c r="J1073" i="2"/>
  <c r="K1073" i="2" s="1"/>
  <c r="J1077" i="2"/>
  <c r="K1077" i="2" s="1"/>
  <c r="J1081" i="2"/>
  <c r="K1081" i="2" s="1"/>
  <c r="J1085" i="2"/>
  <c r="K1085" i="2" s="1"/>
  <c r="J1089" i="2"/>
  <c r="K1089" i="2" s="1"/>
  <c r="J1093" i="2"/>
  <c r="K1093" i="2" s="1"/>
  <c r="J1097" i="2"/>
  <c r="K1097" i="2" s="1"/>
  <c r="J1101" i="2"/>
  <c r="K1101" i="2" s="1"/>
  <c r="J1105" i="2"/>
  <c r="K1105" i="2" s="1"/>
  <c r="J1109" i="2"/>
  <c r="K1109" i="2" s="1"/>
  <c r="J1113" i="2"/>
  <c r="K1113" i="2" s="1"/>
  <c r="J1117" i="2"/>
  <c r="K1117" i="2" s="1"/>
  <c r="J1121" i="2"/>
  <c r="K1121" i="2" s="1"/>
  <c r="J1125" i="2"/>
  <c r="K1125" i="2" s="1"/>
  <c r="J1129" i="2"/>
  <c r="K1129" i="2" s="1"/>
  <c r="J1133" i="2"/>
  <c r="K1133" i="2" s="1"/>
  <c r="J1137" i="2"/>
  <c r="K1137" i="2" s="1"/>
  <c r="J1141" i="2"/>
  <c r="K1141" i="2" s="1"/>
  <c r="J1145" i="2"/>
  <c r="K1145" i="2" s="1"/>
  <c r="J1149" i="2"/>
  <c r="K1149" i="2" s="1"/>
  <c r="J1153" i="2"/>
  <c r="K1153" i="2" s="1"/>
  <c r="J1157" i="2"/>
  <c r="K1157" i="2" s="1"/>
  <c r="J1161" i="2"/>
  <c r="K1161" i="2" s="1"/>
  <c r="J1165" i="2"/>
  <c r="K1165" i="2" s="1"/>
  <c r="J1169" i="2"/>
  <c r="K1169" i="2" s="1"/>
  <c r="J1173" i="2"/>
  <c r="K1173" i="2" s="1"/>
  <c r="J1177" i="2"/>
  <c r="K1177" i="2" s="1"/>
  <c r="J1181" i="2"/>
  <c r="K1181" i="2" s="1"/>
  <c r="J1185" i="2"/>
  <c r="K1185" i="2" s="1"/>
  <c r="J1189" i="2"/>
  <c r="K1189" i="2" s="1"/>
  <c r="J1193" i="2"/>
  <c r="K1193" i="2" s="1"/>
  <c r="J1197" i="2"/>
  <c r="K1197" i="2" s="1"/>
  <c r="J1201" i="2"/>
  <c r="K1201" i="2" s="1"/>
  <c r="J1205" i="2"/>
  <c r="K1205" i="2" s="1"/>
  <c r="J1209" i="2"/>
  <c r="K1209" i="2" s="1"/>
  <c r="J1213" i="2"/>
  <c r="K1213" i="2" s="1"/>
  <c r="J1217" i="2"/>
  <c r="K1217" i="2" s="1"/>
  <c r="J1221" i="2"/>
  <c r="K1221" i="2" s="1"/>
  <c r="J1225" i="2"/>
  <c r="K1225" i="2" s="1"/>
  <c r="J1229" i="2"/>
  <c r="K1229" i="2" s="1"/>
  <c r="J1233" i="2"/>
  <c r="K1233" i="2" s="1"/>
  <c r="J1237" i="2"/>
  <c r="K1237" i="2" s="1"/>
  <c r="J1241" i="2"/>
  <c r="K1241" i="2" s="1"/>
  <c r="J1245" i="2"/>
  <c r="K1245" i="2" s="1"/>
  <c r="J1249" i="2"/>
  <c r="K1249" i="2" s="1"/>
  <c r="J1253" i="2"/>
  <c r="K1253" i="2" s="1"/>
  <c r="J1257" i="2"/>
  <c r="K1257" i="2" s="1"/>
  <c r="J1261" i="2"/>
  <c r="K1261" i="2" s="1"/>
  <c r="J1265" i="2"/>
  <c r="K1265" i="2" s="1"/>
  <c r="J1269" i="2"/>
  <c r="K1269" i="2" s="1"/>
  <c r="J1273" i="2"/>
  <c r="K1273" i="2" s="1"/>
  <c r="J1277" i="2"/>
  <c r="K1277" i="2" s="1"/>
  <c r="J1281" i="2"/>
  <c r="K1281" i="2" s="1"/>
  <c r="J1285" i="2"/>
  <c r="K1285" i="2" s="1"/>
  <c r="J1289" i="2"/>
  <c r="K1289" i="2" s="1"/>
  <c r="J1293" i="2"/>
  <c r="K1293" i="2" s="1"/>
  <c r="J1297" i="2"/>
  <c r="K1297" i="2" s="1"/>
  <c r="J1301" i="2"/>
  <c r="K1301" i="2" s="1"/>
  <c r="J1305" i="2"/>
  <c r="K1305" i="2" s="1"/>
  <c r="J1309" i="2"/>
  <c r="K1309" i="2" s="1"/>
  <c r="J1313" i="2"/>
  <c r="K1313" i="2" s="1"/>
  <c r="J1317" i="2"/>
  <c r="K1317" i="2" s="1"/>
  <c r="J1321" i="2"/>
  <c r="K1321" i="2" s="1"/>
  <c r="J1325" i="2"/>
  <c r="K1325" i="2" s="1"/>
  <c r="J1329" i="2"/>
  <c r="K1329" i="2" s="1"/>
  <c r="J1333" i="2"/>
  <c r="K1333" i="2" s="1"/>
  <c r="J1337" i="2"/>
  <c r="K1337" i="2" s="1"/>
  <c r="J1341" i="2"/>
  <c r="K1341" i="2" s="1"/>
  <c r="J1345" i="2"/>
  <c r="K1345" i="2" s="1"/>
  <c r="J1349" i="2"/>
  <c r="K1349" i="2" s="1"/>
  <c r="J1353" i="2"/>
  <c r="K1353" i="2" s="1"/>
  <c r="J1357" i="2"/>
  <c r="K1357" i="2" s="1"/>
  <c r="J1361" i="2"/>
  <c r="K1361" i="2" s="1"/>
  <c r="J1365" i="2"/>
  <c r="K1365" i="2" s="1"/>
  <c r="J1369" i="2"/>
  <c r="K1369" i="2" s="1"/>
  <c r="J1373" i="2"/>
  <c r="K1373" i="2" s="1"/>
  <c r="J1377" i="2"/>
  <c r="K1377" i="2" s="1"/>
  <c r="J1381" i="2"/>
  <c r="K1381" i="2" s="1"/>
  <c r="J1385" i="2"/>
  <c r="K1385" i="2" s="1"/>
  <c r="J1389" i="2"/>
  <c r="K1389" i="2" s="1"/>
  <c r="J1393" i="2"/>
  <c r="K1393" i="2" s="1"/>
  <c r="J1397" i="2"/>
  <c r="K1397" i="2" s="1"/>
  <c r="J1401" i="2"/>
  <c r="K1401" i="2" s="1"/>
  <c r="J1405" i="2"/>
  <c r="K1405" i="2" s="1"/>
  <c r="J1409" i="2"/>
  <c r="K1409" i="2" s="1"/>
  <c r="J1413" i="2"/>
  <c r="K1413" i="2" s="1"/>
  <c r="J1417" i="2"/>
  <c r="K1417" i="2" s="1"/>
  <c r="J1421" i="2"/>
  <c r="K1421" i="2" s="1"/>
  <c r="J1425" i="2"/>
  <c r="K1425" i="2" s="1"/>
  <c r="J1429" i="2"/>
  <c r="K1429" i="2" s="1"/>
  <c r="J1433" i="2"/>
  <c r="K1433" i="2" s="1"/>
  <c r="J1437" i="2"/>
  <c r="K1437" i="2" s="1"/>
  <c r="J1441" i="2"/>
  <c r="K1441" i="2" s="1"/>
  <c r="J1445" i="2"/>
  <c r="K1445" i="2" s="1"/>
  <c r="J1449" i="2"/>
  <c r="K1449" i="2" s="1"/>
  <c r="J1453" i="2"/>
  <c r="K1453" i="2" s="1"/>
  <c r="J1457" i="2"/>
  <c r="K1457" i="2" s="1"/>
  <c r="J1461" i="2"/>
  <c r="K1461" i="2" s="1"/>
  <c r="J1465" i="2"/>
  <c r="K1465" i="2" s="1"/>
  <c r="J1469" i="2"/>
  <c r="K1469" i="2" s="1"/>
  <c r="J1473" i="2"/>
  <c r="K1473" i="2" s="1"/>
  <c r="J1477" i="2"/>
  <c r="K1477" i="2" s="1"/>
  <c r="J1481" i="2"/>
  <c r="K1481" i="2" s="1"/>
  <c r="J1485" i="2"/>
  <c r="K1485" i="2" s="1"/>
  <c r="J1489" i="2"/>
  <c r="K1489" i="2" s="1"/>
  <c r="J1493" i="2"/>
  <c r="K1493" i="2" s="1"/>
  <c r="J1497" i="2"/>
  <c r="K1497" i="2" s="1"/>
  <c r="J1501" i="2"/>
  <c r="K1501" i="2" s="1"/>
  <c r="J1505" i="2"/>
  <c r="K1505" i="2" s="1"/>
  <c r="J1509" i="2"/>
  <c r="K1509" i="2" s="1"/>
  <c r="J1513" i="2"/>
  <c r="K1513" i="2" s="1"/>
  <c r="J1517" i="2"/>
  <c r="K1517" i="2" s="1"/>
  <c r="J1521" i="2"/>
  <c r="K1521" i="2" s="1"/>
  <c r="J1525" i="2"/>
  <c r="K1525" i="2" s="1"/>
  <c r="J1529" i="2"/>
  <c r="K1529" i="2" s="1"/>
  <c r="J1533" i="2"/>
  <c r="K1533" i="2" s="1"/>
  <c r="J1537" i="2"/>
  <c r="K1537" i="2" s="1"/>
  <c r="J1541" i="2"/>
  <c r="K1541" i="2" s="1"/>
  <c r="J1545" i="2"/>
  <c r="K1545" i="2" s="1"/>
  <c r="J1549" i="2"/>
  <c r="K1549" i="2" s="1"/>
  <c r="J1553" i="2"/>
  <c r="K1553" i="2" s="1"/>
  <c r="J1557" i="2"/>
  <c r="K1557" i="2" s="1"/>
  <c r="J1561" i="2"/>
  <c r="K1561" i="2" s="1"/>
  <c r="J1565" i="2"/>
  <c r="K1565" i="2" s="1"/>
  <c r="J1569" i="2"/>
  <c r="K1569" i="2" s="1"/>
  <c r="J1573" i="2"/>
  <c r="K1573" i="2" s="1"/>
  <c r="J1577" i="2"/>
  <c r="K1577" i="2" s="1"/>
  <c r="J1581" i="2"/>
  <c r="K1581" i="2" s="1"/>
  <c r="J1585" i="2"/>
  <c r="K1585" i="2" s="1"/>
  <c r="J1589" i="2"/>
  <c r="K1589" i="2" s="1"/>
  <c r="J1593" i="2"/>
  <c r="K1593" i="2" s="1"/>
  <c r="J1597" i="2"/>
  <c r="K1597" i="2" s="1"/>
  <c r="J1601" i="2"/>
  <c r="K1601" i="2" s="1"/>
  <c r="J1605" i="2"/>
  <c r="K1605" i="2" s="1"/>
  <c r="J1609" i="2"/>
  <c r="K1609" i="2" s="1"/>
  <c r="J1613" i="2"/>
  <c r="K1613" i="2" s="1"/>
  <c r="J1617" i="2"/>
  <c r="K1617" i="2" s="1"/>
  <c r="J1621" i="2"/>
  <c r="K1621" i="2" s="1"/>
  <c r="J1625" i="2"/>
  <c r="K1625" i="2" s="1"/>
  <c r="J1629" i="2"/>
  <c r="K1629" i="2" s="1"/>
  <c r="J1633" i="2"/>
  <c r="K1633" i="2" s="1"/>
  <c r="J1637" i="2"/>
  <c r="K1637" i="2" s="1"/>
  <c r="J1641" i="2"/>
  <c r="K1641" i="2" s="1"/>
  <c r="J1645" i="2"/>
  <c r="K1645" i="2" s="1"/>
  <c r="J1649" i="2"/>
  <c r="K1649" i="2" s="1"/>
  <c r="J1653" i="2"/>
  <c r="K1653" i="2" s="1"/>
  <c r="J1657" i="2"/>
  <c r="K1657" i="2" s="1"/>
  <c r="J1661" i="2"/>
  <c r="K1661" i="2" s="1"/>
  <c r="J1665" i="2"/>
  <c r="K1665" i="2" s="1"/>
  <c r="J1669" i="2"/>
  <c r="K1669" i="2" s="1"/>
  <c r="J1673" i="2"/>
  <c r="K1673" i="2" s="1"/>
  <c r="J1677" i="2"/>
  <c r="K1677" i="2" s="1"/>
  <c r="J1681" i="2"/>
  <c r="K1681" i="2" s="1"/>
  <c r="J1685" i="2"/>
  <c r="K1685" i="2" s="1"/>
  <c r="J1689" i="2"/>
  <c r="K1689" i="2" s="1"/>
  <c r="J1693" i="2"/>
  <c r="K1693" i="2" s="1"/>
  <c r="J1697" i="2"/>
  <c r="K1697" i="2" s="1"/>
  <c r="J1701" i="2"/>
  <c r="K1701" i="2" s="1"/>
  <c r="J1705" i="2"/>
  <c r="K1705" i="2" s="1"/>
  <c r="J1709" i="2"/>
  <c r="K1709" i="2" s="1"/>
  <c r="J1713" i="2"/>
  <c r="K1713" i="2" s="1"/>
  <c r="J1717" i="2"/>
  <c r="K1717" i="2" s="1"/>
  <c r="J1721" i="2"/>
  <c r="K1721" i="2" s="1"/>
  <c r="J1725" i="2"/>
  <c r="K1725" i="2" s="1"/>
  <c r="J1729" i="2"/>
  <c r="K1729" i="2" s="1"/>
  <c r="J614" i="2"/>
  <c r="K614" i="2" s="1"/>
  <c r="J678" i="2"/>
  <c r="K678" i="2" s="1"/>
  <c r="J742" i="2"/>
  <c r="K742" i="2" s="1"/>
  <c r="J782" i="2"/>
  <c r="K782" i="2" s="1"/>
  <c r="J814" i="2"/>
  <c r="K814" i="2" s="1"/>
  <c r="J846" i="2"/>
  <c r="K846" i="2" s="1"/>
  <c r="J878" i="2"/>
  <c r="K878" i="2" s="1"/>
  <c r="J910" i="2"/>
  <c r="K910" i="2" s="1"/>
  <c r="J942" i="2"/>
  <c r="K942" i="2" s="1"/>
  <c r="J974" i="2"/>
  <c r="K974" i="2" s="1"/>
  <c r="J1006" i="2"/>
  <c r="K1006" i="2" s="1"/>
  <c r="J1030" i="2"/>
  <c r="K1030" i="2" s="1"/>
  <c r="J1046" i="2"/>
  <c r="K1046" i="2" s="1"/>
  <c r="J1062" i="2"/>
  <c r="K1062" i="2" s="1"/>
  <c r="J1078" i="2"/>
  <c r="K1078" i="2" s="1"/>
  <c r="J1094" i="2"/>
  <c r="K1094" i="2" s="1"/>
  <c r="J1110" i="2"/>
  <c r="K1110" i="2" s="1"/>
  <c r="J1126" i="2"/>
  <c r="K1126" i="2" s="1"/>
  <c r="J1142" i="2"/>
  <c r="K1142" i="2" s="1"/>
  <c r="J1158" i="2"/>
  <c r="K1158" i="2" s="1"/>
  <c r="J1174" i="2"/>
  <c r="K1174" i="2" s="1"/>
  <c r="J1190" i="2"/>
  <c r="K1190" i="2" s="1"/>
  <c r="J1206" i="2"/>
  <c r="K1206" i="2" s="1"/>
  <c r="J1222" i="2"/>
  <c r="K1222" i="2" s="1"/>
  <c r="J1238" i="2"/>
  <c r="K1238" i="2" s="1"/>
  <c r="J1254" i="2"/>
  <c r="K1254" i="2" s="1"/>
  <c r="J1270" i="2"/>
  <c r="K1270" i="2" s="1"/>
  <c r="J1286" i="2"/>
  <c r="K1286" i="2" s="1"/>
  <c r="J1302" i="2"/>
  <c r="K1302" i="2" s="1"/>
  <c r="J1318" i="2"/>
  <c r="K1318" i="2" s="1"/>
  <c r="J1334" i="2"/>
  <c r="K1334" i="2" s="1"/>
  <c r="J1350" i="2"/>
  <c r="K1350" i="2" s="1"/>
  <c r="J1366" i="2"/>
  <c r="K1366" i="2" s="1"/>
  <c r="J1382" i="2"/>
  <c r="K1382" i="2" s="1"/>
  <c r="J1398" i="2"/>
  <c r="K1398" i="2" s="1"/>
  <c r="J1414" i="2"/>
  <c r="K1414" i="2" s="1"/>
  <c r="J1430" i="2"/>
  <c r="K1430" i="2" s="1"/>
  <c r="J1446" i="2"/>
  <c r="K1446" i="2" s="1"/>
  <c r="J1462" i="2"/>
  <c r="K1462" i="2" s="1"/>
  <c r="J1478" i="2"/>
  <c r="K1478" i="2" s="1"/>
  <c r="J1494" i="2"/>
  <c r="K1494" i="2" s="1"/>
  <c r="J1510" i="2"/>
  <c r="K1510" i="2" s="1"/>
  <c r="J1526" i="2"/>
  <c r="K1526" i="2" s="1"/>
  <c r="J1534" i="2"/>
  <c r="K1534" i="2" s="1"/>
  <c r="J1539" i="2"/>
  <c r="K1539" i="2" s="1"/>
  <c r="J1544" i="2"/>
  <c r="K1544" i="2" s="1"/>
  <c r="J1550" i="2"/>
  <c r="K1550" i="2" s="1"/>
  <c r="J1555" i="2"/>
  <c r="K1555" i="2" s="1"/>
  <c r="J1560" i="2"/>
  <c r="K1560" i="2" s="1"/>
  <c r="J1566" i="2"/>
  <c r="K1566" i="2" s="1"/>
  <c r="J1571" i="2"/>
  <c r="K1571" i="2" s="1"/>
  <c r="J1576" i="2"/>
  <c r="K1576" i="2" s="1"/>
  <c r="J1582" i="2"/>
  <c r="K1582" i="2" s="1"/>
  <c r="J1587" i="2"/>
  <c r="K1587" i="2" s="1"/>
  <c r="J1592" i="2"/>
  <c r="K1592" i="2" s="1"/>
  <c r="J1598" i="2"/>
  <c r="K1598" i="2" s="1"/>
  <c r="J1603" i="2"/>
  <c r="K1603" i="2" s="1"/>
  <c r="J1608" i="2"/>
  <c r="K1608" i="2" s="1"/>
  <c r="J1614" i="2"/>
  <c r="K1614" i="2" s="1"/>
  <c r="J1619" i="2"/>
  <c r="K1619" i="2" s="1"/>
  <c r="J1624" i="2"/>
  <c r="K1624" i="2" s="1"/>
  <c r="J1630" i="2"/>
  <c r="K1630" i="2" s="1"/>
  <c r="J1635" i="2"/>
  <c r="K1635" i="2" s="1"/>
  <c r="J1640" i="2"/>
  <c r="K1640" i="2" s="1"/>
  <c r="J1646" i="2"/>
  <c r="K1646" i="2" s="1"/>
  <c r="J1651" i="2"/>
  <c r="K1651" i="2" s="1"/>
  <c r="J1656" i="2"/>
  <c r="K1656" i="2" s="1"/>
  <c r="J1662" i="2"/>
  <c r="K1662" i="2" s="1"/>
  <c r="J1667" i="2"/>
  <c r="K1667" i="2" s="1"/>
  <c r="J1672" i="2"/>
  <c r="K1672" i="2" s="1"/>
  <c r="J1678" i="2"/>
  <c r="K1678" i="2" s="1"/>
  <c r="J1683" i="2"/>
  <c r="K1683" i="2" s="1"/>
  <c r="J1688" i="2"/>
  <c r="K1688" i="2" s="1"/>
  <c r="J1694" i="2"/>
  <c r="K1694" i="2" s="1"/>
  <c r="J1699" i="2"/>
  <c r="K1699" i="2" s="1"/>
  <c r="J1704" i="2"/>
  <c r="K1704" i="2" s="1"/>
  <c r="J1710" i="2"/>
  <c r="K1710" i="2" s="1"/>
  <c r="J1715" i="2"/>
  <c r="K1715" i="2" s="1"/>
  <c r="J1720" i="2"/>
  <c r="K1720" i="2" s="1"/>
  <c r="J1726" i="2"/>
  <c r="K1726" i="2" s="1"/>
  <c r="J1731" i="2"/>
  <c r="K1731" i="2" s="1"/>
  <c r="J1735" i="2"/>
  <c r="K1735" i="2" s="1"/>
  <c r="J1739" i="2"/>
  <c r="K1739" i="2" s="1"/>
  <c r="J1743" i="2"/>
  <c r="K1743" i="2" s="1"/>
  <c r="J1747" i="2"/>
  <c r="K1747" i="2" s="1"/>
  <c r="J1751" i="2"/>
  <c r="K1751" i="2" s="1"/>
  <c r="J1755" i="2"/>
  <c r="K1755" i="2" s="1"/>
  <c r="J1759" i="2"/>
  <c r="K1759" i="2" s="1"/>
  <c r="J1763" i="2"/>
  <c r="K1763" i="2" s="1"/>
  <c r="J1767" i="2"/>
  <c r="K1767" i="2" s="1"/>
  <c r="J1771" i="2"/>
  <c r="K1771" i="2" s="1"/>
  <c r="J1775" i="2"/>
  <c r="K1775" i="2" s="1"/>
  <c r="J1779" i="2"/>
  <c r="K1779" i="2" s="1"/>
  <c r="J1783" i="2"/>
  <c r="K1783" i="2" s="1"/>
  <c r="J1787" i="2"/>
  <c r="K1787" i="2" s="1"/>
  <c r="J1791" i="2"/>
  <c r="K1791" i="2" s="1"/>
  <c r="J1795" i="2"/>
  <c r="K1795" i="2" s="1"/>
  <c r="J1799" i="2"/>
  <c r="K1799" i="2" s="1"/>
  <c r="J1803" i="2"/>
  <c r="K1803" i="2" s="1"/>
  <c r="J1807" i="2"/>
  <c r="K1807" i="2" s="1"/>
  <c r="J1811" i="2"/>
  <c r="K1811" i="2" s="1"/>
  <c r="J1815" i="2"/>
  <c r="K1815" i="2" s="1"/>
  <c r="J1819" i="2"/>
  <c r="K1819" i="2" s="1"/>
  <c r="J1823" i="2"/>
  <c r="K1823" i="2" s="1"/>
  <c r="J1827" i="2"/>
  <c r="K1827" i="2" s="1"/>
  <c r="J1831" i="2"/>
  <c r="K1831" i="2" s="1"/>
  <c r="J1835" i="2"/>
  <c r="K1835" i="2" s="1"/>
  <c r="J1839" i="2"/>
  <c r="K1839" i="2" s="1"/>
  <c r="J1843" i="2"/>
  <c r="K1843" i="2" s="1"/>
  <c r="J1847" i="2"/>
  <c r="K1847" i="2" s="1"/>
  <c r="J1851" i="2"/>
  <c r="K1851" i="2" s="1"/>
  <c r="J1855" i="2"/>
  <c r="K1855" i="2" s="1"/>
  <c r="J1859" i="2"/>
  <c r="K1859" i="2" s="1"/>
  <c r="J1863" i="2"/>
  <c r="K1863" i="2" s="1"/>
  <c r="J1867" i="2"/>
  <c r="K1867" i="2" s="1"/>
  <c r="J1871" i="2"/>
  <c r="K1871" i="2" s="1"/>
  <c r="J1875" i="2"/>
  <c r="K1875" i="2" s="1"/>
  <c r="J1879" i="2"/>
  <c r="K1879" i="2" s="1"/>
  <c r="J1883" i="2"/>
  <c r="K1883" i="2" s="1"/>
  <c r="J1887" i="2"/>
  <c r="K1887" i="2" s="1"/>
  <c r="J1891" i="2"/>
  <c r="K1891" i="2" s="1"/>
  <c r="J1895" i="2"/>
  <c r="K1895" i="2" s="1"/>
  <c r="J1899" i="2"/>
  <c r="K1899" i="2" s="1"/>
  <c r="J1903" i="2"/>
  <c r="K1903" i="2" s="1"/>
  <c r="J1907" i="2"/>
  <c r="K1907" i="2" s="1"/>
  <c r="J1911" i="2"/>
  <c r="K1911" i="2" s="1"/>
  <c r="J1915" i="2"/>
  <c r="K1915" i="2" s="1"/>
  <c r="J1919" i="2"/>
  <c r="K1919" i="2" s="1"/>
  <c r="J1923" i="2"/>
  <c r="K1923" i="2" s="1"/>
  <c r="J1927" i="2"/>
  <c r="K1927" i="2" s="1"/>
  <c r="J1931" i="2"/>
  <c r="K1931" i="2" s="1"/>
  <c r="J1935" i="2"/>
  <c r="K1935" i="2" s="1"/>
  <c r="J1939" i="2"/>
  <c r="K1939" i="2" s="1"/>
  <c r="J1943" i="2"/>
  <c r="K1943" i="2" s="1"/>
  <c r="J1947" i="2"/>
  <c r="K1947" i="2" s="1"/>
  <c r="J1951" i="2"/>
  <c r="K1951" i="2" s="1"/>
  <c r="J1955" i="2"/>
  <c r="K1955" i="2" s="1"/>
  <c r="J1959" i="2"/>
  <c r="K1959" i="2" s="1"/>
  <c r="J1963" i="2"/>
  <c r="K1963" i="2" s="1"/>
  <c r="J1967" i="2"/>
  <c r="K1967" i="2" s="1"/>
  <c r="J1971" i="2"/>
  <c r="K1971" i="2" s="1"/>
  <c r="J1975" i="2"/>
  <c r="K1975" i="2" s="1"/>
  <c r="J1979" i="2"/>
  <c r="K1979" i="2" s="1"/>
  <c r="J1983" i="2"/>
  <c r="K1983" i="2" s="1"/>
  <c r="J1987" i="2"/>
  <c r="K1987" i="2" s="1"/>
  <c r="J1991" i="2"/>
  <c r="K1991" i="2" s="1"/>
  <c r="J1995" i="2"/>
  <c r="K1995" i="2" s="1"/>
  <c r="J1999" i="2"/>
  <c r="K1999" i="2" s="1"/>
  <c r="J2003" i="2"/>
  <c r="K2003" i="2" s="1"/>
  <c r="J2007" i="2"/>
  <c r="K2007" i="2" s="1"/>
  <c r="J2011" i="2"/>
  <c r="K2011" i="2" s="1"/>
  <c r="J2015" i="2"/>
  <c r="K2015" i="2" s="1"/>
  <c r="J2019" i="2"/>
  <c r="K2019" i="2" s="1"/>
  <c r="J2023" i="2"/>
  <c r="K2023" i="2" s="1"/>
  <c r="J2027" i="2"/>
  <c r="K2027" i="2" s="1"/>
  <c r="J2031" i="2"/>
  <c r="K2031" i="2" s="1"/>
  <c r="J2035" i="2"/>
  <c r="K2035" i="2" s="1"/>
  <c r="J2039" i="2"/>
  <c r="K2039" i="2" s="1"/>
  <c r="J2043" i="2"/>
  <c r="K2043" i="2" s="1"/>
  <c r="J2047" i="2"/>
  <c r="K2047" i="2" s="1"/>
  <c r="J2051" i="2"/>
  <c r="K2051" i="2" s="1"/>
  <c r="J2055" i="2"/>
  <c r="K2055" i="2" s="1"/>
  <c r="J2059" i="2"/>
  <c r="K2059" i="2" s="1"/>
  <c r="J2063" i="2"/>
  <c r="K2063" i="2" s="1"/>
  <c r="J2067" i="2"/>
  <c r="K2067" i="2" s="1"/>
  <c r="J2071" i="2"/>
  <c r="K2071" i="2" s="1"/>
  <c r="J2075" i="2"/>
  <c r="K2075" i="2" s="1"/>
  <c r="J2079" i="2"/>
  <c r="K2079" i="2" s="1"/>
  <c r="J2083" i="2"/>
  <c r="K2083" i="2" s="1"/>
  <c r="J2087" i="2"/>
  <c r="K2087" i="2" s="1"/>
  <c r="J2091" i="2"/>
  <c r="K2091" i="2" s="1"/>
  <c r="J2095" i="2"/>
  <c r="K2095" i="2" s="1"/>
  <c r="J2099" i="2"/>
  <c r="K2099" i="2" s="1"/>
  <c r="J2103" i="2"/>
  <c r="K2103" i="2" s="1"/>
  <c r="J2107" i="2"/>
  <c r="K2107" i="2" s="1"/>
  <c r="J2111" i="2"/>
  <c r="K2111" i="2" s="1"/>
  <c r="J2115" i="2"/>
  <c r="K2115" i="2" s="1"/>
  <c r="J2119" i="2"/>
  <c r="K2119" i="2" s="1"/>
  <c r="J2123" i="2"/>
  <c r="K2123" i="2" s="1"/>
  <c r="J2127" i="2"/>
  <c r="K2127" i="2" s="1"/>
  <c r="J2131" i="2"/>
  <c r="K2131" i="2" s="1"/>
  <c r="J2135" i="2"/>
  <c r="K2135" i="2" s="1"/>
  <c r="J2139" i="2"/>
  <c r="K2139" i="2" s="1"/>
  <c r="J2143" i="2"/>
  <c r="K2143" i="2" s="1"/>
  <c r="J2147" i="2"/>
  <c r="K2147" i="2" s="1"/>
  <c r="J2151" i="2"/>
  <c r="K2151" i="2" s="1"/>
  <c r="J2155" i="2"/>
  <c r="K2155" i="2" s="1"/>
  <c r="J2159" i="2"/>
  <c r="K2159" i="2" s="1"/>
  <c r="J2163" i="2"/>
  <c r="K2163" i="2" s="1"/>
  <c r="J2167" i="2"/>
  <c r="K2167" i="2" s="1"/>
  <c r="J2171" i="2"/>
  <c r="K2171" i="2" s="1"/>
  <c r="J2175" i="2"/>
  <c r="K2175" i="2" s="1"/>
  <c r="J2179" i="2"/>
  <c r="K2179" i="2" s="1"/>
  <c r="J2183" i="2"/>
  <c r="K2183" i="2" s="1"/>
  <c r="J2187" i="2"/>
  <c r="K2187" i="2" s="1"/>
  <c r="J2191" i="2"/>
  <c r="K2191" i="2" s="1"/>
  <c r="J2195" i="2"/>
  <c r="K2195" i="2" s="1"/>
  <c r="J2199" i="2"/>
  <c r="K2199" i="2" s="1"/>
  <c r="J2203" i="2"/>
  <c r="K2203" i="2" s="1"/>
  <c r="J2207" i="2"/>
  <c r="K2207" i="2" s="1"/>
  <c r="J2211" i="2"/>
  <c r="K2211" i="2" s="1"/>
  <c r="J2215" i="2"/>
  <c r="K2215" i="2" s="1"/>
  <c r="J2219" i="2"/>
  <c r="K2219" i="2" s="1"/>
  <c r="J2223" i="2"/>
  <c r="K2223" i="2" s="1"/>
  <c r="J2227" i="2"/>
  <c r="K2227" i="2" s="1"/>
  <c r="J2231" i="2"/>
  <c r="K2231" i="2" s="1"/>
  <c r="J2235" i="2"/>
  <c r="K2235" i="2" s="1"/>
  <c r="J2239" i="2"/>
  <c r="K2239" i="2" s="1"/>
  <c r="J2243" i="2"/>
  <c r="K2243" i="2" s="1"/>
  <c r="J2247" i="2"/>
  <c r="K2247" i="2" s="1"/>
  <c r="J2251" i="2"/>
  <c r="K2251" i="2" s="1"/>
  <c r="J2255" i="2"/>
  <c r="K2255" i="2" s="1"/>
  <c r="J2259" i="2"/>
  <c r="K2259" i="2" s="1"/>
  <c r="J2263" i="2"/>
  <c r="K2263" i="2" s="1"/>
  <c r="J2267" i="2"/>
  <c r="K2267" i="2" s="1"/>
  <c r="J2271" i="2"/>
  <c r="K2271" i="2" s="1"/>
  <c r="J2275" i="2"/>
  <c r="K2275" i="2" s="1"/>
  <c r="J2279" i="2"/>
  <c r="K2279" i="2" s="1"/>
  <c r="J2283" i="2"/>
  <c r="K2283" i="2" s="1"/>
  <c r="J2287" i="2"/>
  <c r="K2287" i="2" s="1"/>
  <c r="J2291" i="2"/>
  <c r="K2291" i="2" s="1"/>
  <c r="J2295" i="2"/>
  <c r="K2295" i="2" s="1"/>
  <c r="J2299" i="2"/>
  <c r="K2299" i="2" s="1"/>
  <c r="J2303" i="2"/>
  <c r="K2303" i="2" s="1"/>
  <c r="J2307" i="2"/>
  <c r="K2307" i="2" s="1"/>
  <c r="J2311" i="2"/>
  <c r="K2311" i="2" s="1"/>
  <c r="J2315" i="2"/>
  <c r="K2315" i="2" s="1"/>
  <c r="J2319" i="2"/>
  <c r="K2319" i="2" s="1"/>
  <c r="J2323" i="2"/>
  <c r="K2323" i="2" s="1"/>
  <c r="J2327" i="2"/>
  <c r="K2327" i="2" s="1"/>
  <c r="J2331" i="2"/>
  <c r="K2331" i="2" s="1"/>
  <c r="J2335" i="2"/>
  <c r="K2335" i="2" s="1"/>
  <c r="J2339" i="2"/>
  <c r="K2339" i="2" s="1"/>
  <c r="J2343" i="2"/>
  <c r="K2343" i="2" s="1"/>
  <c r="J2347" i="2"/>
  <c r="K2347" i="2" s="1"/>
  <c r="J2351" i="2"/>
  <c r="K2351" i="2" s="1"/>
  <c r="J2355" i="2"/>
  <c r="K2355" i="2" s="1"/>
  <c r="J2359" i="2"/>
  <c r="K2359" i="2" s="1"/>
  <c r="J2363" i="2"/>
  <c r="K2363" i="2" s="1"/>
  <c r="J2367" i="2"/>
  <c r="K2367" i="2" s="1"/>
  <c r="J2371" i="2"/>
  <c r="K2371" i="2" s="1"/>
  <c r="J2375" i="2"/>
  <c r="K2375" i="2" s="1"/>
  <c r="J2379" i="2"/>
  <c r="K2379" i="2" s="1"/>
  <c r="J2383" i="2"/>
  <c r="K2383" i="2" s="1"/>
  <c r="J2387" i="2"/>
  <c r="K2387" i="2" s="1"/>
  <c r="J2391" i="2"/>
  <c r="K2391" i="2" s="1"/>
  <c r="J2395" i="2"/>
  <c r="K2395" i="2" s="1"/>
  <c r="J2399" i="2"/>
  <c r="K2399" i="2" s="1"/>
  <c r="J2403" i="2"/>
  <c r="K2403" i="2" s="1"/>
  <c r="J2407" i="2"/>
  <c r="K2407" i="2" s="1"/>
  <c r="J2411" i="2"/>
  <c r="K2411" i="2" s="1"/>
  <c r="J2415" i="2"/>
  <c r="K2415" i="2" s="1"/>
  <c r="J2419" i="2"/>
  <c r="K2419" i="2" s="1"/>
  <c r="J2423" i="2"/>
  <c r="K2423" i="2" s="1"/>
  <c r="J2427" i="2"/>
  <c r="K2427" i="2" s="1"/>
  <c r="J2431" i="2"/>
  <c r="K2431" i="2" s="1"/>
  <c r="J2435" i="2"/>
  <c r="K2435" i="2" s="1"/>
  <c r="J2439" i="2"/>
  <c r="K2439" i="2" s="1"/>
  <c r="J2443" i="2"/>
  <c r="K2443" i="2" s="1"/>
  <c r="J2447" i="2"/>
  <c r="K2447" i="2" s="1"/>
  <c r="J2451" i="2"/>
  <c r="K2451" i="2" s="1"/>
  <c r="J2455" i="2"/>
  <c r="K2455" i="2" s="1"/>
  <c r="J2459" i="2"/>
  <c r="K2459" i="2" s="1"/>
  <c r="J2463" i="2"/>
  <c r="K2463" i="2" s="1"/>
  <c r="J2467" i="2"/>
  <c r="K2467" i="2" s="1"/>
  <c r="J2471" i="2"/>
  <c r="K2471" i="2" s="1"/>
  <c r="J2475" i="2"/>
  <c r="K2475" i="2" s="1"/>
  <c r="J2479" i="2"/>
  <c r="K2479" i="2" s="1"/>
  <c r="J2483" i="2"/>
  <c r="K2483" i="2" s="1"/>
  <c r="J2487" i="2"/>
  <c r="K2487" i="2" s="1"/>
  <c r="J2491" i="2"/>
  <c r="K2491" i="2" s="1"/>
  <c r="J2495" i="2"/>
  <c r="K2495" i="2" s="1"/>
  <c r="J2499" i="2"/>
  <c r="K2499" i="2" s="1"/>
  <c r="J2503" i="2"/>
  <c r="K2503" i="2" s="1"/>
  <c r="J2507" i="2"/>
  <c r="K2507" i="2" s="1"/>
  <c r="J2511" i="2"/>
  <c r="K2511" i="2" s="1"/>
  <c r="J2515" i="2"/>
  <c r="K2515" i="2" s="1"/>
  <c r="J2519" i="2"/>
  <c r="K2519" i="2" s="1"/>
  <c r="J2523" i="2"/>
  <c r="K2523" i="2" s="1"/>
  <c r="J2527" i="2"/>
  <c r="K2527" i="2" s="1"/>
  <c r="J2531" i="2"/>
  <c r="K2531" i="2" s="1"/>
  <c r="J2535" i="2"/>
  <c r="K2535" i="2" s="1"/>
  <c r="J2539" i="2"/>
  <c r="K2539" i="2" s="1"/>
  <c r="J2543" i="2"/>
  <c r="K2543" i="2" s="1"/>
  <c r="J2547" i="2"/>
  <c r="K2547" i="2" s="1"/>
  <c r="J630" i="2"/>
  <c r="K630" i="2" s="1"/>
  <c r="J694" i="2"/>
  <c r="K694" i="2" s="1"/>
  <c r="J758" i="2"/>
  <c r="K758" i="2" s="1"/>
  <c r="J790" i="2"/>
  <c r="K790" i="2" s="1"/>
  <c r="J822" i="2"/>
  <c r="K822" i="2" s="1"/>
  <c r="J854" i="2"/>
  <c r="K854" i="2" s="1"/>
  <c r="J886" i="2"/>
  <c r="K886" i="2" s="1"/>
  <c r="J918" i="2"/>
  <c r="K918" i="2" s="1"/>
  <c r="J950" i="2"/>
  <c r="K950" i="2" s="1"/>
  <c r="J982" i="2"/>
  <c r="K982" i="2" s="1"/>
  <c r="J1014" i="2"/>
  <c r="K1014" i="2" s="1"/>
  <c r="J1034" i="2"/>
  <c r="K1034" i="2" s="1"/>
  <c r="J1050" i="2"/>
  <c r="K1050" i="2" s="1"/>
  <c r="J1066" i="2"/>
  <c r="K1066" i="2" s="1"/>
  <c r="J1082" i="2"/>
  <c r="K1082" i="2" s="1"/>
  <c r="J1098" i="2"/>
  <c r="K1098" i="2" s="1"/>
  <c r="J1114" i="2"/>
  <c r="K1114" i="2" s="1"/>
  <c r="J1130" i="2"/>
  <c r="K1130" i="2" s="1"/>
  <c r="J1146" i="2"/>
  <c r="K1146" i="2" s="1"/>
  <c r="J1162" i="2"/>
  <c r="K1162" i="2" s="1"/>
  <c r="J1178" i="2"/>
  <c r="K1178" i="2" s="1"/>
  <c r="J1194" i="2"/>
  <c r="K1194" i="2" s="1"/>
  <c r="J1210" i="2"/>
  <c r="K1210" i="2" s="1"/>
  <c r="J1226" i="2"/>
  <c r="K1226" i="2" s="1"/>
  <c r="J1242" i="2"/>
  <c r="K1242" i="2" s="1"/>
  <c r="J1258" i="2"/>
  <c r="K1258" i="2" s="1"/>
  <c r="J1274" i="2"/>
  <c r="K1274" i="2" s="1"/>
  <c r="J1290" i="2"/>
  <c r="K1290" i="2" s="1"/>
  <c r="J1306" i="2"/>
  <c r="K1306" i="2" s="1"/>
  <c r="J1322" i="2"/>
  <c r="K1322" i="2" s="1"/>
  <c r="J1338" i="2"/>
  <c r="K1338" i="2" s="1"/>
  <c r="J1354" i="2"/>
  <c r="K1354" i="2" s="1"/>
  <c r="J1370" i="2"/>
  <c r="K1370" i="2" s="1"/>
  <c r="J1386" i="2"/>
  <c r="K1386" i="2" s="1"/>
  <c r="J1402" i="2"/>
  <c r="K1402" i="2" s="1"/>
  <c r="J1418" i="2"/>
  <c r="K1418" i="2" s="1"/>
  <c r="J1434" i="2"/>
  <c r="K1434" i="2" s="1"/>
  <c r="J1450" i="2"/>
  <c r="K1450" i="2" s="1"/>
  <c r="J1466" i="2"/>
  <c r="K1466" i="2" s="1"/>
  <c r="J1482" i="2"/>
  <c r="K1482" i="2" s="1"/>
  <c r="J1498" i="2"/>
  <c r="K1498" i="2" s="1"/>
  <c r="J1514" i="2"/>
  <c r="K1514" i="2" s="1"/>
  <c r="J1530" i="2"/>
  <c r="K1530" i="2" s="1"/>
  <c r="J1535" i="2"/>
  <c r="K1535" i="2" s="1"/>
  <c r="J1540" i="2"/>
  <c r="K1540" i="2" s="1"/>
  <c r="J1546" i="2"/>
  <c r="K1546" i="2" s="1"/>
  <c r="J1551" i="2"/>
  <c r="K1551" i="2" s="1"/>
  <c r="J1556" i="2"/>
  <c r="K1556" i="2" s="1"/>
  <c r="J1562" i="2"/>
  <c r="K1562" i="2" s="1"/>
  <c r="J1567" i="2"/>
  <c r="K1567" i="2" s="1"/>
  <c r="J1572" i="2"/>
  <c r="K1572" i="2" s="1"/>
  <c r="J1578" i="2"/>
  <c r="K1578" i="2" s="1"/>
  <c r="J1583" i="2"/>
  <c r="K1583" i="2" s="1"/>
  <c r="J1588" i="2"/>
  <c r="K1588" i="2" s="1"/>
  <c r="J1594" i="2"/>
  <c r="K1594" i="2" s="1"/>
  <c r="J1599" i="2"/>
  <c r="K1599" i="2" s="1"/>
  <c r="J1604" i="2"/>
  <c r="K1604" i="2" s="1"/>
  <c r="J1610" i="2"/>
  <c r="K1610" i="2" s="1"/>
  <c r="J1615" i="2"/>
  <c r="K1615" i="2" s="1"/>
  <c r="J1620" i="2"/>
  <c r="K1620" i="2" s="1"/>
  <c r="J1626" i="2"/>
  <c r="K1626" i="2" s="1"/>
  <c r="J1631" i="2"/>
  <c r="K1631" i="2" s="1"/>
  <c r="J1636" i="2"/>
  <c r="K1636" i="2" s="1"/>
  <c r="J1642" i="2"/>
  <c r="K1642" i="2" s="1"/>
  <c r="J1647" i="2"/>
  <c r="K1647" i="2" s="1"/>
  <c r="J1652" i="2"/>
  <c r="K1652" i="2" s="1"/>
  <c r="J1658" i="2"/>
  <c r="K1658" i="2" s="1"/>
  <c r="J1663" i="2"/>
  <c r="K1663" i="2" s="1"/>
  <c r="J1668" i="2"/>
  <c r="K1668" i="2" s="1"/>
  <c r="J1674" i="2"/>
  <c r="K1674" i="2" s="1"/>
  <c r="J1679" i="2"/>
  <c r="K1679" i="2" s="1"/>
  <c r="J1684" i="2"/>
  <c r="K1684" i="2" s="1"/>
  <c r="J1690" i="2"/>
  <c r="K1690" i="2" s="1"/>
  <c r="J1695" i="2"/>
  <c r="K1695" i="2" s="1"/>
  <c r="J1700" i="2"/>
  <c r="K1700" i="2" s="1"/>
  <c r="J1706" i="2"/>
  <c r="K1706" i="2" s="1"/>
  <c r="J1711" i="2"/>
  <c r="K1711" i="2" s="1"/>
  <c r="J1716" i="2"/>
  <c r="K1716" i="2" s="1"/>
  <c r="J1722" i="2"/>
  <c r="K1722" i="2" s="1"/>
  <c r="J1727" i="2"/>
  <c r="K1727" i="2" s="1"/>
  <c r="J1732" i="2"/>
  <c r="K1732" i="2" s="1"/>
  <c r="J1736" i="2"/>
  <c r="K1736" i="2" s="1"/>
  <c r="J1740" i="2"/>
  <c r="K1740" i="2" s="1"/>
  <c r="J1744" i="2"/>
  <c r="K1744" i="2" s="1"/>
  <c r="J1748" i="2"/>
  <c r="K1748" i="2" s="1"/>
  <c r="J1752" i="2"/>
  <c r="K1752" i="2" s="1"/>
  <c r="J1756" i="2"/>
  <c r="K1756" i="2" s="1"/>
  <c r="J1760" i="2"/>
  <c r="K1760" i="2" s="1"/>
  <c r="J1764" i="2"/>
  <c r="K1764" i="2" s="1"/>
  <c r="J1768" i="2"/>
  <c r="K1768" i="2" s="1"/>
  <c r="J1772" i="2"/>
  <c r="K1772" i="2" s="1"/>
  <c r="J1776" i="2"/>
  <c r="K1776" i="2" s="1"/>
  <c r="J1780" i="2"/>
  <c r="K1780" i="2" s="1"/>
  <c r="J1784" i="2"/>
  <c r="K1784" i="2" s="1"/>
  <c r="J1788" i="2"/>
  <c r="K1788" i="2" s="1"/>
  <c r="J1792" i="2"/>
  <c r="K1792" i="2" s="1"/>
  <c r="J1796" i="2"/>
  <c r="K1796" i="2" s="1"/>
  <c r="J1800" i="2"/>
  <c r="K1800" i="2" s="1"/>
  <c r="J1804" i="2"/>
  <c r="K1804" i="2" s="1"/>
  <c r="J1808" i="2"/>
  <c r="K1808" i="2" s="1"/>
  <c r="J1812" i="2"/>
  <c r="K1812" i="2" s="1"/>
  <c r="J1816" i="2"/>
  <c r="K1816" i="2" s="1"/>
  <c r="J1820" i="2"/>
  <c r="K1820" i="2" s="1"/>
  <c r="J1824" i="2"/>
  <c r="K1824" i="2" s="1"/>
  <c r="J1828" i="2"/>
  <c r="K1828" i="2" s="1"/>
  <c r="J1832" i="2"/>
  <c r="K1832" i="2" s="1"/>
  <c r="J1836" i="2"/>
  <c r="K1836" i="2" s="1"/>
  <c r="J1840" i="2"/>
  <c r="K1840" i="2" s="1"/>
  <c r="J1844" i="2"/>
  <c r="K1844" i="2" s="1"/>
  <c r="J1848" i="2"/>
  <c r="K1848" i="2" s="1"/>
  <c r="J1852" i="2"/>
  <c r="K1852" i="2" s="1"/>
  <c r="J1856" i="2"/>
  <c r="K1856" i="2" s="1"/>
  <c r="J1860" i="2"/>
  <c r="K1860" i="2" s="1"/>
  <c r="J1864" i="2"/>
  <c r="K1864" i="2" s="1"/>
  <c r="J1868" i="2"/>
  <c r="K1868" i="2" s="1"/>
  <c r="J1872" i="2"/>
  <c r="K1872" i="2" s="1"/>
  <c r="J1876" i="2"/>
  <c r="K1876" i="2" s="1"/>
  <c r="J1880" i="2"/>
  <c r="K1880" i="2" s="1"/>
  <c r="J1884" i="2"/>
  <c r="K1884" i="2" s="1"/>
  <c r="J1888" i="2"/>
  <c r="K1888" i="2" s="1"/>
  <c r="J1892" i="2"/>
  <c r="K1892" i="2" s="1"/>
  <c r="J1896" i="2"/>
  <c r="K1896" i="2" s="1"/>
  <c r="J1900" i="2"/>
  <c r="K1900" i="2" s="1"/>
  <c r="J1904" i="2"/>
  <c r="K1904" i="2" s="1"/>
  <c r="J1908" i="2"/>
  <c r="K1908" i="2" s="1"/>
  <c r="J1912" i="2"/>
  <c r="K1912" i="2" s="1"/>
  <c r="J1916" i="2"/>
  <c r="K1916" i="2" s="1"/>
  <c r="J1920" i="2"/>
  <c r="K1920" i="2" s="1"/>
  <c r="J1924" i="2"/>
  <c r="K1924" i="2" s="1"/>
  <c r="J1928" i="2"/>
  <c r="K1928" i="2" s="1"/>
  <c r="J1932" i="2"/>
  <c r="K1932" i="2" s="1"/>
  <c r="J1936" i="2"/>
  <c r="K1936" i="2" s="1"/>
  <c r="J1940" i="2"/>
  <c r="K1940" i="2" s="1"/>
  <c r="J1944" i="2"/>
  <c r="K1944" i="2" s="1"/>
  <c r="J1948" i="2"/>
  <c r="K1948" i="2" s="1"/>
  <c r="J1952" i="2"/>
  <c r="K1952" i="2" s="1"/>
  <c r="J1956" i="2"/>
  <c r="K1956" i="2" s="1"/>
  <c r="J1960" i="2"/>
  <c r="K1960" i="2" s="1"/>
  <c r="J1964" i="2"/>
  <c r="K1964" i="2" s="1"/>
  <c r="J1968" i="2"/>
  <c r="K1968" i="2" s="1"/>
  <c r="J1972" i="2"/>
  <c r="K1972" i="2" s="1"/>
  <c r="J1976" i="2"/>
  <c r="K1976" i="2" s="1"/>
  <c r="J1980" i="2"/>
  <c r="K1980" i="2" s="1"/>
  <c r="J1984" i="2"/>
  <c r="K1984" i="2" s="1"/>
  <c r="J1988" i="2"/>
  <c r="K1988" i="2" s="1"/>
  <c r="J1992" i="2"/>
  <c r="K1992" i="2" s="1"/>
  <c r="J1996" i="2"/>
  <c r="K1996" i="2" s="1"/>
  <c r="J2000" i="2"/>
  <c r="K2000" i="2" s="1"/>
  <c r="J2004" i="2"/>
  <c r="K2004" i="2" s="1"/>
  <c r="J2008" i="2"/>
  <c r="K2008" i="2" s="1"/>
  <c r="J2012" i="2"/>
  <c r="K2012" i="2" s="1"/>
  <c r="J2016" i="2"/>
  <c r="K2016" i="2" s="1"/>
  <c r="J2020" i="2"/>
  <c r="K2020" i="2" s="1"/>
  <c r="J2024" i="2"/>
  <c r="K2024" i="2" s="1"/>
  <c r="J2028" i="2"/>
  <c r="K2028" i="2" s="1"/>
  <c r="J2032" i="2"/>
  <c r="K2032" i="2" s="1"/>
  <c r="J2036" i="2"/>
  <c r="K2036" i="2" s="1"/>
  <c r="J2040" i="2"/>
  <c r="K2040" i="2" s="1"/>
  <c r="J2044" i="2"/>
  <c r="K2044" i="2" s="1"/>
  <c r="J2048" i="2"/>
  <c r="K2048" i="2" s="1"/>
  <c r="J2052" i="2"/>
  <c r="K2052" i="2" s="1"/>
  <c r="J2056" i="2"/>
  <c r="K2056" i="2" s="1"/>
  <c r="J2060" i="2"/>
  <c r="K2060" i="2" s="1"/>
  <c r="J2064" i="2"/>
  <c r="K2064" i="2" s="1"/>
  <c r="J2068" i="2"/>
  <c r="K2068" i="2" s="1"/>
  <c r="J2072" i="2"/>
  <c r="K2072" i="2" s="1"/>
  <c r="J2076" i="2"/>
  <c r="K2076" i="2" s="1"/>
  <c r="J2080" i="2"/>
  <c r="K2080" i="2" s="1"/>
  <c r="J2084" i="2"/>
  <c r="K2084" i="2" s="1"/>
  <c r="J2088" i="2"/>
  <c r="K2088" i="2" s="1"/>
  <c r="J2092" i="2"/>
  <c r="K2092" i="2" s="1"/>
  <c r="J2096" i="2"/>
  <c r="K2096" i="2" s="1"/>
  <c r="J2100" i="2"/>
  <c r="K2100" i="2" s="1"/>
  <c r="J2104" i="2"/>
  <c r="K2104" i="2" s="1"/>
  <c r="J2108" i="2"/>
  <c r="K2108" i="2" s="1"/>
  <c r="J2112" i="2"/>
  <c r="K2112" i="2" s="1"/>
  <c r="J2116" i="2"/>
  <c r="K2116" i="2" s="1"/>
  <c r="J2120" i="2"/>
  <c r="K2120" i="2" s="1"/>
  <c r="J2124" i="2"/>
  <c r="K2124" i="2" s="1"/>
  <c r="J2128" i="2"/>
  <c r="K2128" i="2" s="1"/>
  <c r="J2132" i="2"/>
  <c r="K2132" i="2" s="1"/>
  <c r="J2136" i="2"/>
  <c r="K2136" i="2" s="1"/>
  <c r="J2140" i="2"/>
  <c r="K2140" i="2" s="1"/>
  <c r="J2144" i="2"/>
  <c r="K2144" i="2" s="1"/>
  <c r="J2148" i="2"/>
  <c r="K2148" i="2" s="1"/>
  <c r="J2152" i="2"/>
  <c r="K2152" i="2" s="1"/>
  <c r="J2156" i="2"/>
  <c r="K2156" i="2" s="1"/>
  <c r="J2160" i="2"/>
  <c r="K2160" i="2" s="1"/>
  <c r="J2164" i="2"/>
  <c r="K2164" i="2" s="1"/>
  <c r="J2168" i="2"/>
  <c r="K2168" i="2" s="1"/>
  <c r="J2172" i="2"/>
  <c r="K2172" i="2" s="1"/>
  <c r="J2176" i="2"/>
  <c r="K2176" i="2" s="1"/>
  <c r="J2180" i="2"/>
  <c r="K2180" i="2" s="1"/>
  <c r="J2184" i="2"/>
  <c r="K2184" i="2" s="1"/>
  <c r="J2188" i="2"/>
  <c r="K2188" i="2" s="1"/>
  <c r="J2192" i="2"/>
  <c r="K2192" i="2" s="1"/>
  <c r="J2196" i="2"/>
  <c r="K2196" i="2" s="1"/>
  <c r="J2200" i="2"/>
  <c r="K2200" i="2" s="1"/>
  <c r="J2204" i="2"/>
  <c r="K2204" i="2" s="1"/>
  <c r="J2208" i="2"/>
  <c r="K2208" i="2" s="1"/>
  <c r="J2212" i="2"/>
  <c r="K2212" i="2" s="1"/>
  <c r="J2216" i="2"/>
  <c r="K2216" i="2" s="1"/>
  <c r="J2220" i="2"/>
  <c r="K2220" i="2" s="1"/>
  <c r="J2224" i="2"/>
  <c r="K2224" i="2" s="1"/>
  <c r="J2228" i="2"/>
  <c r="K2228" i="2" s="1"/>
  <c r="J2232" i="2"/>
  <c r="K2232" i="2" s="1"/>
  <c r="J2236" i="2"/>
  <c r="K2236" i="2" s="1"/>
  <c r="J2240" i="2"/>
  <c r="K2240" i="2" s="1"/>
  <c r="J2244" i="2"/>
  <c r="K2244" i="2" s="1"/>
  <c r="J2248" i="2"/>
  <c r="K2248" i="2" s="1"/>
  <c r="J2252" i="2"/>
  <c r="K2252" i="2" s="1"/>
  <c r="J2256" i="2"/>
  <c r="K2256" i="2" s="1"/>
  <c r="J2260" i="2"/>
  <c r="K2260" i="2" s="1"/>
  <c r="J2264" i="2"/>
  <c r="K2264" i="2" s="1"/>
  <c r="J2268" i="2"/>
  <c r="K2268" i="2" s="1"/>
  <c r="J2272" i="2"/>
  <c r="K2272" i="2" s="1"/>
  <c r="J2276" i="2"/>
  <c r="K2276" i="2" s="1"/>
  <c r="J2280" i="2"/>
  <c r="K2280" i="2" s="1"/>
  <c r="J2284" i="2"/>
  <c r="K2284" i="2" s="1"/>
  <c r="J2288" i="2"/>
  <c r="K2288" i="2" s="1"/>
  <c r="J2292" i="2"/>
  <c r="K2292" i="2" s="1"/>
  <c r="J2296" i="2"/>
  <c r="K2296" i="2" s="1"/>
  <c r="J2300" i="2"/>
  <c r="K2300" i="2" s="1"/>
  <c r="J2304" i="2"/>
  <c r="K2304" i="2" s="1"/>
  <c r="J2308" i="2"/>
  <c r="K2308" i="2" s="1"/>
  <c r="J2312" i="2"/>
  <c r="K2312" i="2" s="1"/>
  <c r="J2316" i="2"/>
  <c r="K2316" i="2" s="1"/>
  <c r="J2320" i="2"/>
  <c r="K2320" i="2" s="1"/>
  <c r="J2324" i="2"/>
  <c r="K2324" i="2" s="1"/>
  <c r="J2328" i="2"/>
  <c r="K2328" i="2" s="1"/>
  <c r="J2332" i="2"/>
  <c r="K2332" i="2" s="1"/>
  <c r="J2336" i="2"/>
  <c r="K2336" i="2" s="1"/>
  <c r="J2340" i="2"/>
  <c r="K2340" i="2" s="1"/>
  <c r="J2344" i="2"/>
  <c r="K2344" i="2" s="1"/>
  <c r="J2348" i="2"/>
  <c r="K2348" i="2" s="1"/>
  <c r="J2352" i="2"/>
  <c r="K2352" i="2" s="1"/>
  <c r="J2356" i="2"/>
  <c r="K2356" i="2" s="1"/>
  <c r="J2360" i="2"/>
  <c r="K2360" i="2" s="1"/>
  <c r="J2364" i="2"/>
  <c r="K2364" i="2" s="1"/>
  <c r="J2368" i="2"/>
  <c r="K2368" i="2" s="1"/>
  <c r="J2372" i="2"/>
  <c r="K2372" i="2" s="1"/>
  <c r="J2376" i="2"/>
  <c r="K2376" i="2" s="1"/>
  <c r="J2380" i="2"/>
  <c r="K2380" i="2" s="1"/>
  <c r="J2384" i="2"/>
  <c r="K2384" i="2" s="1"/>
  <c r="J2388" i="2"/>
  <c r="K2388" i="2" s="1"/>
  <c r="J2392" i="2"/>
  <c r="K2392" i="2" s="1"/>
  <c r="J2396" i="2"/>
  <c r="K2396" i="2" s="1"/>
  <c r="J2400" i="2"/>
  <c r="K2400" i="2" s="1"/>
  <c r="J2404" i="2"/>
  <c r="K2404" i="2" s="1"/>
  <c r="J2408" i="2"/>
  <c r="K2408" i="2" s="1"/>
  <c r="J2412" i="2"/>
  <c r="K2412" i="2" s="1"/>
  <c r="J2416" i="2"/>
  <c r="K2416" i="2" s="1"/>
  <c r="J2420" i="2"/>
  <c r="K2420" i="2" s="1"/>
  <c r="J2424" i="2"/>
  <c r="K2424" i="2" s="1"/>
  <c r="J2428" i="2"/>
  <c r="K2428" i="2" s="1"/>
  <c r="J2432" i="2"/>
  <c r="K2432" i="2" s="1"/>
  <c r="J2436" i="2"/>
  <c r="K2436" i="2" s="1"/>
  <c r="J2440" i="2"/>
  <c r="K2440" i="2" s="1"/>
  <c r="J2444" i="2"/>
  <c r="K2444" i="2" s="1"/>
  <c r="J2448" i="2"/>
  <c r="K2448" i="2" s="1"/>
  <c r="J2452" i="2"/>
  <c r="K2452" i="2" s="1"/>
  <c r="J2456" i="2"/>
  <c r="K2456" i="2" s="1"/>
  <c r="J2460" i="2"/>
  <c r="K2460" i="2" s="1"/>
  <c r="J2464" i="2"/>
  <c r="K2464" i="2" s="1"/>
  <c r="J2468" i="2"/>
  <c r="K2468" i="2" s="1"/>
  <c r="J2472" i="2"/>
  <c r="K2472" i="2" s="1"/>
  <c r="J2476" i="2"/>
  <c r="K2476" i="2" s="1"/>
  <c r="J2480" i="2"/>
  <c r="K2480" i="2" s="1"/>
  <c r="J2484" i="2"/>
  <c r="K2484" i="2" s="1"/>
  <c r="J2488" i="2"/>
  <c r="K2488" i="2" s="1"/>
  <c r="J2492" i="2"/>
  <c r="K2492" i="2" s="1"/>
  <c r="J2496" i="2"/>
  <c r="K2496" i="2" s="1"/>
  <c r="J2500" i="2"/>
  <c r="K2500" i="2" s="1"/>
  <c r="J2504" i="2"/>
  <c r="K2504" i="2" s="1"/>
  <c r="J2508" i="2"/>
  <c r="K2508" i="2" s="1"/>
  <c r="J2512" i="2"/>
  <c r="K2512" i="2" s="1"/>
  <c r="J2516" i="2"/>
  <c r="K2516" i="2" s="1"/>
  <c r="J2520" i="2"/>
  <c r="K2520" i="2" s="1"/>
  <c r="J2524" i="2"/>
  <c r="K2524" i="2" s="1"/>
  <c r="J2528" i="2"/>
  <c r="K2528" i="2" s="1"/>
  <c r="J2532" i="2"/>
  <c r="K2532" i="2" s="1"/>
  <c r="J2536" i="2"/>
  <c r="K2536" i="2" s="1"/>
  <c r="J2540" i="2"/>
  <c r="K2540" i="2" s="1"/>
  <c r="J2544" i="2"/>
  <c r="K2544" i="2" s="1"/>
  <c r="J2548" i="2"/>
  <c r="K2548" i="2" s="1"/>
  <c r="J646" i="2"/>
  <c r="K646" i="2" s="1"/>
  <c r="J710" i="2"/>
  <c r="K710" i="2" s="1"/>
  <c r="J766" i="2"/>
  <c r="K766" i="2" s="1"/>
  <c r="J798" i="2"/>
  <c r="K798" i="2" s="1"/>
  <c r="J830" i="2"/>
  <c r="K830" i="2" s="1"/>
  <c r="J862" i="2"/>
  <c r="K862" i="2" s="1"/>
  <c r="J894" i="2"/>
  <c r="K894" i="2" s="1"/>
  <c r="J926" i="2"/>
  <c r="K926" i="2" s="1"/>
  <c r="J958" i="2"/>
  <c r="K958" i="2" s="1"/>
  <c r="J990" i="2"/>
  <c r="K990" i="2" s="1"/>
  <c r="J1022" i="2"/>
  <c r="K1022" i="2" s="1"/>
  <c r="J1038" i="2"/>
  <c r="K1038" i="2" s="1"/>
  <c r="J1054" i="2"/>
  <c r="K1054" i="2" s="1"/>
  <c r="J1070" i="2"/>
  <c r="K1070" i="2" s="1"/>
  <c r="J1086" i="2"/>
  <c r="K1086" i="2" s="1"/>
  <c r="J1102" i="2"/>
  <c r="K1102" i="2" s="1"/>
  <c r="J1118" i="2"/>
  <c r="K1118" i="2" s="1"/>
  <c r="J1134" i="2"/>
  <c r="K1134" i="2" s="1"/>
  <c r="J1150" i="2"/>
  <c r="K1150" i="2" s="1"/>
  <c r="J1166" i="2"/>
  <c r="K1166" i="2" s="1"/>
  <c r="J1182" i="2"/>
  <c r="K1182" i="2" s="1"/>
  <c r="J1198" i="2"/>
  <c r="K1198" i="2" s="1"/>
  <c r="J1214" i="2"/>
  <c r="K1214" i="2" s="1"/>
  <c r="J1230" i="2"/>
  <c r="K1230" i="2" s="1"/>
  <c r="J1246" i="2"/>
  <c r="K1246" i="2" s="1"/>
  <c r="J1262" i="2"/>
  <c r="K1262" i="2" s="1"/>
  <c r="J1278" i="2"/>
  <c r="K1278" i="2" s="1"/>
  <c r="J1294" i="2"/>
  <c r="K1294" i="2" s="1"/>
  <c r="J1310" i="2"/>
  <c r="K1310" i="2" s="1"/>
  <c r="J1326" i="2"/>
  <c r="K1326" i="2" s="1"/>
  <c r="J1342" i="2"/>
  <c r="K1342" i="2" s="1"/>
  <c r="J1358" i="2"/>
  <c r="K1358" i="2" s="1"/>
  <c r="J1374" i="2"/>
  <c r="K1374" i="2" s="1"/>
  <c r="J1390" i="2"/>
  <c r="K1390" i="2" s="1"/>
  <c r="J1406" i="2"/>
  <c r="K1406" i="2" s="1"/>
  <c r="J1422" i="2"/>
  <c r="K1422" i="2" s="1"/>
  <c r="J1438" i="2"/>
  <c r="K1438" i="2" s="1"/>
  <c r="J1454" i="2"/>
  <c r="K1454" i="2" s="1"/>
  <c r="J1470" i="2"/>
  <c r="K1470" i="2" s="1"/>
  <c r="J1486" i="2"/>
  <c r="K1486" i="2" s="1"/>
  <c r="J1502" i="2"/>
  <c r="K1502" i="2" s="1"/>
  <c r="J1518" i="2"/>
  <c r="K1518" i="2" s="1"/>
  <c r="J1531" i="2"/>
  <c r="K1531" i="2" s="1"/>
  <c r="J1536" i="2"/>
  <c r="K1536" i="2" s="1"/>
  <c r="J1542" i="2"/>
  <c r="K1542" i="2" s="1"/>
  <c r="J1547" i="2"/>
  <c r="K1547" i="2" s="1"/>
  <c r="J1552" i="2"/>
  <c r="K1552" i="2" s="1"/>
  <c r="J1558" i="2"/>
  <c r="K1558" i="2" s="1"/>
  <c r="J1563" i="2"/>
  <c r="K1563" i="2" s="1"/>
  <c r="J1568" i="2"/>
  <c r="K1568" i="2" s="1"/>
  <c r="J1574" i="2"/>
  <c r="K1574" i="2" s="1"/>
  <c r="J1579" i="2"/>
  <c r="K1579" i="2" s="1"/>
  <c r="J1584" i="2"/>
  <c r="K1584" i="2" s="1"/>
  <c r="J1590" i="2"/>
  <c r="K1590" i="2" s="1"/>
  <c r="J1595" i="2"/>
  <c r="K1595" i="2" s="1"/>
  <c r="J1600" i="2"/>
  <c r="K1600" i="2" s="1"/>
  <c r="J1606" i="2"/>
  <c r="K1606" i="2" s="1"/>
  <c r="J1611" i="2"/>
  <c r="K1611" i="2" s="1"/>
  <c r="J1616" i="2"/>
  <c r="K1616" i="2" s="1"/>
  <c r="J1622" i="2"/>
  <c r="K1622" i="2" s="1"/>
  <c r="J1627" i="2"/>
  <c r="K1627" i="2" s="1"/>
  <c r="J1632" i="2"/>
  <c r="K1632" i="2" s="1"/>
  <c r="J1638" i="2"/>
  <c r="K1638" i="2" s="1"/>
  <c r="J1643" i="2"/>
  <c r="K1643" i="2" s="1"/>
  <c r="J1648" i="2"/>
  <c r="K1648" i="2" s="1"/>
  <c r="J1654" i="2"/>
  <c r="K1654" i="2" s="1"/>
  <c r="J1659" i="2"/>
  <c r="K1659" i="2" s="1"/>
  <c r="J1664" i="2"/>
  <c r="K1664" i="2" s="1"/>
  <c r="J1670" i="2"/>
  <c r="K1670" i="2" s="1"/>
  <c r="J1675" i="2"/>
  <c r="K1675" i="2" s="1"/>
  <c r="J1680" i="2"/>
  <c r="K1680" i="2" s="1"/>
  <c r="J1686" i="2"/>
  <c r="K1686" i="2" s="1"/>
  <c r="J1691" i="2"/>
  <c r="K1691" i="2" s="1"/>
  <c r="J1696" i="2"/>
  <c r="K1696" i="2" s="1"/>
  <c r="J1702" i="2"/>
  <c r="K1702" i="2" s="1"/>
  <c r="J1707" i="2"/>
  <c r="K1707" i="2" s="1"/>
  <c r="J1712" i="2"/>
  <c r="K1712" i="2" s="1"/>
  <c r="J1718" i="2"/>
  <c r="K1718" i="2" s="1"/>
  <c r="J1723" i="2"/>
  <c r="K1723" i="2" s="1"/>
  <c r="J1728" i="2"/>
  <c r="K1728" i="2" s="1"/>
  <c r="J1733" i="2"/>
  <c r="K1733" i="2" s="1"/>
  <c r="J1737" i="2"/>
  <c r="K1737" i="2" s="1"/>
  <c r="J1741" i="2"/>
  <c r="K1741" i="2" s="1"/>
  <c r="J1745" i="2"/>
  <c r="K1745" i="2" s="1"/>
  <c r="J1749" i="2"/>
  <c r="K1749" i="2" s="1"/>
  <c r="J1753" i="2"/>
  <c r="K1753" i="2" s="1"/>
  <c r="J1757" i="2"/>
  <c r="K1757" i="2" s="1"/>
  <c r="J1761" i="2"/>
  <c r="K1761" i="2" s="1"/>
  <c r="J1765" i="2"/>
  <c r="K1765" i="2" s="1"/>
  <c r="J1769" i="2"/>
  <c r="K1769" i="2" s="1"/>
  <c r="J1773" i="2"/>
  <c r="K1773" i="2" s="1"/>
  <c r="J1777" i="2"/>
  <c r="K1777" i="2" s="1"/>
  <c r="J1781" i="2"/>
  <c r="K1781" i="2" s="1"/>
  <c r="J1785" i="2"/>
  <c r="K1785" i="2" s="1"/>
  <c r="J1789" i="2"/>
  <c r="K1789" i="2" s="1"/>
  <c r="J1793" i="2"/>
  <c r="K1793" i="2" s="1"/>
  <c r="J1797" i="2"/>
  <c r="K1797" i="2" s="1"/>
  <c r="J1801" i="2"/>
  <c r="K1801" i="2" s="1"/>
  <c r="J1805" i="2"/>
  <c r="K1805" i="2" s="1"/>
  <c r="J1809" i="2"/>
  <c r="K1809" i="2" s="1"/>
  <c r="J1813" i="2"/>
  <c r="K1813" i="2" s="1"/>
  <c r="J1817" i="2"/>
  <c r="K1817" i="2" s="1"/>
  <c r="J1821" i="2"/>
  <c r="K1821" i="2" s="1"/>
  <c r="J1825" i="2"/>
  <c r="K1825" i="2" s="1"/>
  <c r="J1829" i="2"/>
  <c r="K1829" i="2" s="1"/>
  <c r="J1833" i="2"/>
  <c r="K1833" i="2" s="1"/>
  <c r="J1837" i="2"/>
  <c r="K1837" i="2" s="1"/>
  <c r="J1841" i="2"/>
  <c r="K1841" i="2" s="1"/>
  <c r="J1845" i="2"/>
  <c r="K1845" i="2" s="1"/>
  <c r="J1849" i="2"/>
  <c r="K1849" i="2" s="1"/>
  <c r="J1853" i="2"/>
  <c r="K1853" i="2" s="1"/>
  <c r="J1857" i="2"/>
  <c r="K1857" i="2" s="1"/>
  <c r="J1861" i="2"/>
  <c r="K1861" i="2" s="1"/>
  <c r="J1865" i="2"/>
  <c r="K1865" i="2" s="1"/>
  <c r="J1869" i="2"/>
  <c r="K1869" i="2" s="1"/>
  <c r="J1873" i="2"/>
  <c r="K1873" i="2" s="1"/>
  <c r="J1877" i="2"/>
  <c r="K1877" i="2" s="1"/>
  <c r="J1881" i="2"/>
  <c r="K1881" i="2" s="1"/>
  <c r="J1885" i="2"/>
  <c r="K1885" i="2" s="1"/>
  <c r="J1889" i="2"/>
  <c r="K1889" i="2" s="1"/>
  <c r="J1893" i="2"/>
  <c r="K1893" i="2" s="1"/>
  <c r="J1897" i="2"/>
  <c r="K1897" i="2" s="1"/>
  <c r="J1901" i="2"/>
  <c r="K1901" i="2" s="1"/>
  <c r="J1905" i="2"/>
  <c r="K1905" i="2" s="1"/>
  <c r="J1909" i="2"/>
  <c r="K1909" i="2" s="1"/>
  <c r="J1913" i="2"/>
  <c r="K1913" i="2" s="1"/>
  <c r="J1917" i="2"/>
  <c r="K1917" i="2" s="1"/>
  <c r="J1921" i="2"/>
  <c r="K1921" i="2" s="1"/>
  <c r="J1925" i="2"/>
  <c r="K1925" i="2" s="1"/>
  <c r="J1929" i="2"/>
  <c r="K1929" i="2" s="1"/>
  <c r="J1933" i="2"/>
  <c r="K1933" i="2" s="1"/>
  <c r="J1937" i="2"/>
  <c r="K1937" i="2" s="1"/>
  <c r="J1941" i="2"/>
  <c r="K1941" i="2" s="1"/>
  <c r="J1945" i="2"/>
  <c r="K1945" i="2" s="1"/>
  <c r="J1949" i="2"/>
  <c r="K1949" i="2" s="1"/>
  <c r="J1953" i="2"/>
  <c r="K1953" i="2" s="1"/>
  <c r="J1957" i="2"/>
  <c r="K1957" i="2" s="1"/>
  <c r="J1961" i="2"/>
  <c r="K1961" i="2" s="1"/>
  <c r="J1965" i="2"/>
  <c r="K1965" i="2" s="1"/>
  <c r="J1969" i="2"/>
  <c r="K1969" i="2" s="1"/>
  <c r="J1973" i="2"/>
  <c r="K1973" i="2" s="1"/>
  <c r="J1977" i="2"/>
  <c r="K1977" i="2" s="1"/>
  <c r="J1981" i="2"/>
  <c r="K1981" i="2" s="1"/>
  <c r="J1985" i="2"/>
  <c r="K1985" i="2" s="1"/>
  <c r="J1989" i="2"/>
  <c r="K1989" i="2" s="1"/>
  <c r="J1993" i="2"/>
  <c r="K1993" i="2" s="1"/>
  <c r="J1997" i="2"/>
  <c r="K1997" i="2" s="1"/>
  <c r="J2001" i="2"/>
  <c r="K2001" i="2" s="1"/>
  <c r="J2005" i="2"/>
  <c r="K2005" i="2" s="1"/>
  <c r="J2009" i="2"/>
  <c r="K2009" i="2" s="1"/>
  <c r="J2013" i="2"/>
  <c r="K2013" i="2" s="1"/>
  <c r="J2017" i="2"/>
  <c r="K2017" i="2" s="1"/>
  <c r="J2021" i="2"/>
  <c r="K2021" i="2" s="1"/>
  <c r="J2025" i="2"/>
  <c r="K2025" i="2" s="1"/>
  <c r="J2029" i="2"/>
  <c r="K2029" i="2" s="1"/>
  <c r="J2033" i="2"/>
  <c r="K2033" i="2" s="1"/>
  <c r="J2037" i="2"/>
  <c r="K2037" i="2" s="1"/>
  <c r="J2041" i="2"/>
  <c r="K2041" i="2" s="1"/>
  <c r="J2045" i="2"/>
  <c r="K2045" i="2" s="1"/>
  <c r="J2049" i="2"/>
  <c r="K2049" i="2" s="1"/>
  <c r="J2053" i="2"/>
  <c r="K2053" i="2" s="1"/>
  <c r="J2057" i="2"/>
  <c r="K2057" i="2" s="1"/>
  <c r="J2061" i="2"/>
  <c r="K2061" i="2" s="1"/>
  <c r="J2065" i="2"/>
  <c r="K2065" i="2" s="1"/>
  <c r="J2069" i="2"/>
  <c r="K2069" i="2" s="1"/>
  <c r="J2073" i="2"/>
  <c r="K2073" i="2" s="1"/>
  <c r="J2077" i="2"/>
  <c r="K2077" i="2" s="1"/>
  <c r="J2081" i="2"/>
  <c r="K2081" i="2" s="1"/>
  <c r="J2085" i="2"/>
  <c r="K2085" i="2" s="1"/>
  <c r="J2089" i="2"/>
  <c r="K2089" i="2" s="1"/>
  <c r="J2093" i="2"/>
  <c r="K2093" i="2" s="1"/>
  <c r="J2097" i="2"/>
  <c r="K2097" i="2" s="1"/>
  <c r="J2101" i="2"/>
  <c r="K2101" i="2" s="1"/>
  <c r="J2105" i="2"/>
  <c r="K2105" i="2" s="1"/>
  <c r="J2109" i="2"/>
  <c r="K2109" i="2" s="1"/>
  <c r="J2113" i="2"/>
  <c r="K2113" i="2" s="1"/>
  <c r="J2117" i="2"/>
  <c r="K2117" i="2" s="1"/>
  <c r="J2121" i="2"/>
  <c r="K2121" i="2" s="1"/>
  <c r="J2125" i="2"/>
  <c r="K2125" i="2" s="1"/>
  <c r="J2129" i="2"/>
  <c r="K2129" i="2" s="1"/>
  <c r="J2133" i="2"/>
  <c r="K2133" i="2" s="1"/>
  <c r="J2137" i="2"/>
  <c r="K2137" i="2" s="1"/>
  <c r="J2141" i="2"/>
  <c r="K2141" i="2" s="1"/>
  <c r="J2145" i="2"/>
  <c r="K2145" i="2" s="1"/>
  <c r="J2149" i="2"/>
  <c r="K2149" i="2" s="1"/>
  <c r="J2153" i="2"/>
  <c r="K2153" i="2" s="1"/>
  <c r="J2157" i="2"/>
  <c r="K2157" i="2" s="1"/>
  <c r="J2161" i="2"/>
  <c r="K2161" i="2" s="1"/>
  <c r="J2165" i="2"/>
  <c r="K2165" i="2" s="1"/>
  <c r="J2169" i="2"/>
  <c r="K2169" i="2" s="1"/>
  <c r="J2173" i="2"/>
  <c r="K2173" i="2" s="1"/>
  <c r="J2177" i="2"/>
  <c r="K2177" i="2" s="1"/>
  <c r="J2181" i="2"/>
  <c r="K2181" i="2" s="1"/>
  <c r="J2185" i="2"/>
  <c r="K2185" i="2" s="1"/>
  <c r="J2189" i="2"/>
  <c r="K2189" i="2" s="1"/>
  <c r="J2193" i="2"/>
  <c r="K2193" i="2" s="1"/>
  <c r="J2197" i="2"/>
  <c r="K2197" i="2" s="1"/>
  <c r="J2201" i="2"/>
  <c r="K2201" i="2" s="1"/>
  <c r="J2205" i="2"/>
  <c r="K2205" i="2" s="1"/>
  <c r="J2209" i="2"/>
  <c r="K2209" i="2" s="1"/>
  <c r="J2213" i="2"/>
  <c r="K2213" i="2" s="1"/>
  <c r="J2217" i="2"/>
  <c r="K2217" i="2" s="1"/>
  <c r="J2221" i="2"/>
  <c r="K2221" i="2" s="1"/>
  <c r="J2225" i="2"/>
  <c r="K2225" i="2" s="1"/>
  <c r="J2229" i="2"/>
  <c r="K2229" i="2" s="1"/>
  <c r="J2233" i="2"/>
  <c r="K2233" i="2" s="1"/>
  <c r="J2237" i="2"/>
  <c r="K2237" i="2" s="1"/>
  <c r="J2241" i="2"/>
  <c r="K2241" i="2" s="1"/>
  <c r="J2245" i="2"/>
  <c r="K2245" i="2" s="1"/>
  <c r="J2249" i="2"/>
  <c r="K2249" i="2" s="1"/>
  <c r="J2253" i="2"/>
  <c r="K2253" i="2" s="1"/>
  <c r="J2257" i="2"/>
  <c r="K2257" i="2" s="1"/>
  <c r="J2261" i="2"/>
  <c r="K2261" i="2" s="1"/>
  <c r="J2265" i="2"/>
  <c r="K2265" i="2" s="1"/>
  <c r="J2269" i="2"/>
  <c r="K2269" i="2" s="1"/>
  <c r="J2273" i="2"/>
  <c r="K2273" i="2" s="1"/>
  <c r="J2277" i="2"/>
  <c r="K2277" i="2" s="1"/>
  <c r="J2281" i="2"/>
  <c r="K2281" i="2" s="1"/>
  <c r="J2285" i="2"/>
  <c r="K2285" i="2" s="1"/>
  <c r="J2289" i="2"/>
  <c r="K2289" i="2" s="1"/>
  <c r="J2293" i="2"/>
  <c r="K2293" i="2" s="1"/>
  <c r="J2297" i="2"/>
  <c r="K2297" i="2" s="1"/>
  <c r="J2301" i="2"/>
  <c r="K2301" i="2" s="1"/>
  <c r="J2305" i="2"/>
  <c r="K2305" i="2" s="1"/>
  <c r="J2309" i="2"/>
  <c r="K2309" i="2" s="1"/>
  <c r="J2313" i="2"/>
  <c r="K2313" i="2" s="1"/>
  <c r="J2317" i="2"/>
  <c r="K2317" i="2" s="1"/>
  <c r="J2321" i="2"/>
  <c r="K2321" i="2" s="1"/>
  <c r="J2325" i="2"/>
  <c r="K2325" i="2" s="1"/>
  <c r="J2329" i="2"/>
  <c r="K2329" i="2" s="1"/>
  <c r="J2333" i="2"/>
  <c r="K2333" i="2" s="1"/>
  <c r="J2337" i="2"/>
  <c r="K2337" i="2" s="1"/>
  <c r="J2341" i="2"/>
  <c r="K2341" i="2" s="1"/>
  <c r="J2345" i="2"/>
  <c r="K2345" i="2" s="1"/>
  <c r="J2349" i="2"/>
  <c r="K2349" i="2" s="1"/>
  <c r="J2353" i="2"/>
  <c r="K2353" i="2" s="1"/>
  <c r="J2357" i="2"/>
  <c r="K2357" i="2" s="1"/>
  <c r="J2361" i="2"/>
  <c r="K2361" i="2" s="1"/>
  <c r="J2365" i="2"/>
  <c r="K2365" i="2" s="1"/>
  <c r="J2369" i="2"/>
  <c r="K2369" i="2" s="1"/>
  <c r="J2373" i="2"/>
  <c r="K2373" i="2" s="1"/>
  <c r="J2377" i="2"/>
  <c r="K2377" i="2" s="1"/>
  <c r="J2381" i="2"/>
  <c r="K2381" i="2" s="1"/>
  <c r="J2385" i="2"/>
  <c r="K2385" i="2" s="1"/>
  <c r="J2389" i="2"/>
  <c r="K2389" i="2" s="1"/>
  <c r="J2393" i="2"/>
  <c r="K2393" i="2" s="1"/>
  <c r="J2397" i="2"/>
  <c r="K2397" i="2" s="1"/>
  <c r="J2401" i="2"/>
  <c r="K2401" i="2" s="1"/>
  <c r="J2405" i="2"/>
  <c r="K2405" i="2" s="1"/>
  <c r="J2409" i="2"/>
  <c r="K2409" i="2" s="1"/>
  <c r="J2413" i="2"/>
  <c r="K2413" i="2" s="1"/>
  <c r="J2417" i="2"/>
  <c r="K2417" i="2" s="1"/>
  <c r="J2421" i="2"/>
  <c r="K2421" i="2" s="1"/>
  <c r="J2425" i="2"/>
  <c r="K2425" i="2" s="1"/>
  <c r="J2429" i="2"/>
  <c r="K2429" i="2" s="1"/>
  <c r="J2433" i="2"/>
  <c r="K2433" i="2" s="1"/>
  <c r="J2437" i="2"/>
  <c r="K2437" i="2" s="1"/>
  <c r="J2441" i="2"/>
  <c r="K2441" i="2" s="1"/>
  <c r="J2445" i="2"/>
  <c r="K2445" i="2" s="1"/>
  <c r="J2449" i="2"/>
  <c r="K2449" i="2" s="1"/>
  <c r="J2453" i="2"/>
  <c r="K2453" i="2" s="1"/>
  <c r="J2457" i="2"/>
  <c r="K2457" i="2" s="1"/>
  <c r="J2461" i="2"/>
  <c r="K2461" i="2" s="1"/>
  <c r="J2465" i="2"/>
  <c r="K2465" i="2" s="1"/>
  <c r="J2469" i="2"/>
  <c r="K2469" i="2" s="1"/>
  <c r="J2473" i="2"/>
  <c r="K2473" i="2" s="1"/>
  <c r="J2477" i="2"/>
  <c r="K2477" i="2" s="1"/>
  <c r="J2481" i="2"/>
  <c r="K2481" i="2" s="1"/>
  <c r="J2485" i="2"/>
  <c r="K2485" i="2" s="1"/>
  <c r="J2489" i="2"/>
  <c r="K2489" i="2" s="1"/>
  <c r="J2493" i="2"/>
  <c r="K2493" i="2" s="1"/>
  <c r="J2497" i="2"/>
  <c r="K2497" i="2" s="1"/>
  <c r="J2501" i="2"/>
  <c r="K2501" i="2" s="1"/>
  <c r="J2505" i="2"/>
  <c r="K2505" i="2" s="1"/>
  <c r="J2509" i="2"/>
  <c r="K2509" i="2" s="1"/>
  <c r="J2513" i="2"/>
  <c r="K2513" i="2" s="1"/>
  <c r="J2517" i="2"/>
  <c r="K2517" i="2" s="1"/>
  <c r="J2521" i="2"/>
  <c r="K2521" i="2" s="1"/>
  <c r="J2525" i="2"/>
  <c r="K2525" i="2" s="1"/>
  <c r="J2529" i="2"/>
  <c r="K2529" i="2" s="1"/>
  <c r="J2533" i="2"/>
  <c r="K2533" i="2" s="1"/>
  <c r="J2537" i="2"/>
  <c r="K2537" i="2" s="1"/>
  <c r="J2541" i="2"/>
  <c r="K2541" i="2" s="1"/>
  <c r="J2545" i="2"/>
  <c r="K2545" i="2" s="1"/>
  <c r="J2549" i="2"/>
  <c r="K2549" i="2" s="1"/>
  <c r="J2553" i="2"/>
  <c r="K2553" i="2" s="1"/>
  <c r="J2557" i="2"/>
  <c r="K2557" i="2" s="1"/>
  <c r="J2561" i="2"/>
  <c r="K2561" i="2" s="1"/>
  <c r="J2565" i="2"/>
  <c r="K2565" i="2" s="1"/>
  <c r="J2569" i="2"/>
  <c r="K2569" i="2" s="1"/>
  <c r="J2573" i="2"/>
  <c r="K2573" i="2" s="1"/>
  <c r="J2577" i="2"/>
  <c r="K2577" i="2" s="1"/>
  <c r="J2581" i="2"/>
  <c r="K2581" i="2" s="1"/>
  <c r="J2585" i="2"/>
  <c r="K2585" i="2" s="1"/>
  <c r="J2589" i="2"/>
  <c r="K2589" i="2" s="1"/>
  <c r="J2593" i="2"/>
  <c r="K2593" i="2" s="1"/>
  <c r="J2597" i="2"/>
  <c r="K2597" i="2" s="1"/>
  <c r="J2601" i="2"/>
  <c r="K2601" i="2" s="1"/>
  <c r="J2605" i="2"/>
  <c r="K2605" i="2" s="1"/>
  <c r="J2609" i="2"/>
  <c r="K2609" i="2" s="1"/>
  <c r="J2613" i="2"/>
  <c r="K2613" i="2" s="1"/>
  <c r="J2617" i="2"/>
  <c r="K2617" i="2" s="1"/>
  <c r="J2621" i="2"/>
  <c r="K2621" i="2" s="1"/>
  <c r="J2625" i="2"/>
  <c r="K2625" i="2" s="1"/>
  <c r="J2629" i="2"/>
  <c r="K2629" i="2" s="1"/>
  <c r="J2633" i="2"/>
  <c r="K2633" i="2" s="1"/>
  <c r="J2637" i="2"/>
  <c r="K2637" i="2" s="1"/>
  <c r="J2641" i="2"/>
  <c r="K2641" i="2" s="1"/>
  <c r="J2645" i="2"/>
  <c r="K2645" i="2" s="1"/>
  <c r="J2649" i="2"/>
  <c r="K2649" i="2" s="1"/>
  <c r="J2653" i="2"/>
  <c r="K2653" i="2" s="1"/>
  <c r="J2657" i="2"/>
  <c r="K2657" i="2" s="1"/>
  <c r="J2661" i="2"/>
  <c r="K2661" i="2" s="1"/>
  <c r="J2665" i="2"/>
  <c r="K2665" i="2" s="1"/>
  <c r="J2669" i="2"/>
  <c r="K2669" i="2" s="1"/>
  <c r="J2673" i="2"/>
  <c r="K2673" i="2" s="1"/>
  <c r="J2677" i="2"/>
  <c r="K2677" i="2" s="1"/>
  <c r="J2681" i="2"/>
  <c r="K2681" i="2" s="1"/>
  <c r="J2685" i="2"/>
  <c r="K2685" i="2" s="1"/>
  <c r="J2689" i="2"/>
  <c r="K2689" i="2" s="1"/>
  <c r="J2693" i="2"/>
  <c r="K2693" i="2" s="1"/>
  <c r="J2697" i="2"/>
  <c r="K2697" i="2" s="1"/>
  <c r="J2701" i="2"/>
  <c r="K2701" i="2" s="1"/>
  <c r="J2705" i="2"/>
  <c r="K2705" i="2" s="1"/>
  <c r="J2709" i="2"/>
  <c r="K2709" i="2" s="1"/>
  <c r="J2713" i="2"/>
  <c r="K2713" i="2" s="1"/>
  <c r="J2717" i="2"/>
  <c r="K2717" i="2" s="1"/>
  <c r="J2721" i="2"/>
  <c r="K2721" i="2" s="1"/>
  <c r="J2725" i="2"/>
  <c r="K2725" i="2" s="1"/>
  <c r="J2729" i="2"/>
  <c r="K2729" i="2" s="1"/>
  <c r="J2733" i="2"/>
  <c r="K2733" i="2" s="1"/>
  <c r="J2737" i="2"/>
  <c r="K2737" i="2" s="1"/>
  <c r="J2741" i="2"/>
  <c r="K2741" i="2" s="1"/>
  <c r="J2745" i="2"/>
  <c r="K2745" i="2" s="1"/>
  <c r="J2749" i="2"/>
  <c r="K2749" i="2" s="1"/>
  <c r="J2753" i="2"/>
  <c r="K2753" i="2" s="1"/>
  <c r="J2757" i="2"/>
  <c r="K2757" i="2" s="1"/>
  <c r="J2761" i="2"/>
  <c r="K2761" i="2" s="1"/>
  <c r="J2765" i="2"/>
  <c r="K2765" i="2" s="1"/>
  <c r="J2769" i="2"/>
  <c r="K2769" i="2" s="1"/>
  <c r="J2773" i="2"/>
  <c r="K2773" i="2" s="1"/>
  <c r="J662" i="2"/>
  <c r="K662" i="2" s="1"/>
  <c r="J838" i="2"/>
  <c r="K838" i="2" s="1"/>
  <c r="J966" i="2"/>
  <c r="K966" i="2" s="1"/>
  <c r="J1058" i="2"/>
  <c r="K1058" i="2" s="1"/>
  <c r="J1122" i="2"/>
  <c r="K1122" i="2" s="1"/>
  <c r="J1186" i="2"/>
  <c r="K1186" i="2" s="1"/>
  <c r="J1250" i="2"/>
  <c r="K1250" i="2" s="1"/>
  <c r="J1314" i="2"/>
  <c r="K1314" i="2" s="1"/>
  <c r="J1378" i="2"/>
  <c r="K1378" i="2" s="1"/>
  <c r="J1442" i="2"/>
  <c r="K1442" i="2" s="1"/>
  <c r="J1506" i="2"/>
  <c r="K1506" i="2" s="1"/>
  <c r="J1543" i="2"/>
  <c r="K1543" i="2" s="1"/>
  <c r="J1564" i="2"/>
  <c r="K1564" i="2" s="1"/>
  <c r="J1586" i="2"/>
  <c r="K1586" i="2" s="1"/>
  <c r="J1607" i="2"/>
  <c r="K1607" i="2" s="1"/>
  <c r="J1628" i="2"/>
  <c r="K1628" i="2" s="1"/>
  <c r="J1650" i="2"/>
  <c r="K1650" i="2" s="1"/>
  <c r="J1671" i="2"/>
  <c r="K1671" i="2" s="1"/>
  <c r="J1692" i="2"/>
  <c r="K1692" i="2" s="1"/>
  <c r="J1714" i="2"/>
  <c r="K1714" i="2" s="1"/>
  <c r="J1734" i="2"/>
  <c r="K1734" i="2" s="1"/>
  <c r="J1750" i="2"/>
  <c r="K1750" i="2" s="1"/>
  <c r="J1766" i="2"/>
  <c r="K1766" i="2" s="1"/>
  <c r="J1782" i="2"/>
  <c r="K1782" i="2" s="1"/>
  <c r="J1798" i="2"/>
  <c r="K1798" i="2" s="1"/>
  <c r="J1814" i="2"/>
  <c r="K1814" i="2" s="1"/>
  <c r="J1830" i="2"/>
  <c r="K1830" i="2" s="1"/>
  <c r="J1846" i="2"/>
  <c r="K1846" i="2" s="1"/>
  <c r="J1862" i="2"/>
  <c r="K1862" i="2" s="1"/>
  <c r="J1878" i="2"/>
  <c r="K1878" i="2" s="1"/>
  <c r="J1894" i="2"/>
  <c r="K1894" i="2" s="1"/>
  <c r="J1910" i="2"/>
  <c r="K1910" i="2" s="1"/>
  <c r="J1926" i="2"/>
  <c r="K1926" i="2" s="1"/>
  <c r="J1942" i="2"/>
  <c r="K1942" i="2" s="1"/>
  <c r="J1958" i="2"/>
  <c r="K1958" i="2" s="1"/>
  <c r="J1974" i="2"/>
  <c r="K1974" i="2" s="1"/>
  <c r="J1990" i="2"/>
  <c r="K1990" i="2" s="1"/>
  <c r="J2006" i="2"/>
  <c r="K2006" i="2" s="1"/>
  <c r="J2022" i="2"/>
  <c r="K2022" i="2" s="1"/>
  <c r="J2038" i="2"/>
  <c r="K2038" i="2" s="1"/>
  <c r="J2054" i="2"/>
  <c r="K2054" i="2" s="1"/>
  <c r="J2070" i="2"/>
  <c r="K2070" i="2" s="1"/>
  <c r="J2086" i="2"/>
  <c r="K2086" i="2" s="1"/>
  <c r="J2102" i="2"/>
  <c r="K2102" i="2" s="1"/>
  <c r="J2118" i="2"/>
  <c r="K2118" i="2" s="1"/>
  <c r="J2134" i="2"/>
  <c r="K2134" i="2" s="1"/>
  <c r="J2150" i="2"/>
  <c r="K2150" i="2" s="1"/>
  <c r="J2166" i="2"/>
  <c r="K2166" i="2" s="1"/>
  <c r="J2182" i="2"/>
  <c r="K2182" i="2" s="1"/>
  <c r="J2198" i="2"/>
  <c r="K2198" i="2" s="1"/>
  <c r="J2214" i="2"/>
  <c r="K2214" i="2" s="1"/>
  <c r="J2230" i="2"/>
  <c r="K2230" i="2" s="1"/>
  <c r="J2246" i="2"/>
  <c r="K2246" i="2" s="1"/>
  <c r="J2262" i="2"/>
  <c r="K2262" i="2" s="1"/>
  <c r="J2278" i="2"/>
  <c r="K2278" i="2" s="1"/>
  <c r="J2294" i="2"/>
  <c r="K2294" i="2" s="1"/>
  <c r="J2310" i="2"/>
  <c r="K2310" i="2" s="1"/>
  <c r="J2326" i="2"/>
  <c r="K2326" i="2" s="1"/>
  <c r="J2342" i="2"/>
  <c r="K2342" i="2" s="1"/>
  <c r="J2358" i="2"/>
  <c r="K2358" i="2" s="1"/>
  <c r="J2374" i="2"/>
  <c r="K2374" i="2" s="1"/>
  <c r="J2390" i="2"/>
  <c r="K2390" i="2" s="1"/>
  <c r="J2406" i="2"/>
  <c r="K2406" i="2" s="1"/>
  <c r="J2422" i="2"/>
  <c r="K2422" i="2" s="1"/>
  <c r="J2438" i="2"/>
  <c r="K2438" i="2" s="1"/>
  <c r="J2454" i="2"/>
  <c r="K2454" i="2" s="1"/>
  <c r="J2470" i="2"/>
  <c r="K2470" i="2" s="1"/>
  <c r="J2486" i="2"/>
  <c r="K2486" i="2" s="1"/>
  <c r="J2502" i="2"/>
  <c r="K2502" i="2" s="1"/>
  <c r="J2518" i="2"/>
  <c r="K2518" i="2" s="1"/>
  <c r="J2534" i="2"/>
  <c r="K2534" i="2" s="1"/>
  <c r="J2550" i="2"/>
  <c r="K2550" i="2" s="1"/>
  <c r="J2555" i="2"/>
  <c r="K2555" i="2" s="1"/>
  <c r="J2560" i="2"/>
  <c r="K2560" i="2" s="1"/>
  <c r="J2566" i="2"/>
  <c r="K2566" i="2" s="1"/>
  <c r="J2571" i="2"/>
  <c r="K2571" i="2" s="1"/>
  <c r="J2576" i="2"/>
  <c r="K2576" i="2" s="1"/>
  <c r="J2582" i="2"/>
  <c r="K2582" i="2" s="1"/>
  <c r="J2587" i="2"/>
  <c r="K2587" i="2" s="1"/>
  <c r="J2592" i="2"/>
  <c r="K2592" i="2" s="1"/>
  <c r="J2598" i="2"/>
  <c r="K2598" i="2" s="1"/>
  <c r="J2603" i="2"/>
  <c r="K2603" i="2" s="1"/>
  <c r="J2608" i="2"/>
  <c r="K2608" i="2" s="1"/>
  <c r="J2614" i="2"/>
  <c r="K2614" i="2" s="1"/>
  <c r="J2619" i="2"/>
  <c r="K2619" i="2" s="1"/>
  <c r="J2624" i="2"/>
  <c r="K2624" i="2" s="1"/>
  <c r="J2630" i="2"/>
  <c r="K2630" i="2" s="1"/>
  <c r="J2635" i="2"/>
  <c r="K2635" i="2" s="1"/>
  <c r="J2640" i="2"/>
  <c r="K2640" i="2" s="1"/>
  <c r="J2646" i="2"/>
  <c r="K2646" i="2" s="1"/>
  <c r="J2651" i="2"/>
  <c r="K2651" i="2" s="1"/>
  <c r="J2656" i="2"/>
  <c r="K2656" i="2" s="1"/>
  <c r="J2662" i="2"/>
  <c r="K2662" i="2" s="1"/>
  <c r="J2667" i="2"/>
  <c r="K2667" i="2" s="1"/>
  <c r="J2672" i="2"/>
  <c r="K2672" i="2" s="1"/>
  <c r="J2678" i="2"/>
  <c r="K2678" i="2" s="1"/>
  <c r="J2683" i="2"/>
  <c r="K2683" i="2" s="1"/>
  <c r="J2688" i="2"/>
  <c r="K2688" i="2" s="1"/>
  <c r="J2694" i="2"/>
  <c r="K2694" i="2" s="1"/>
  <c r="J2699" i="2"/>
  <c r="K2699" i="2" s="1"/>
  <c r="J2704" i="2"/>
  <c r="K2704" i="2" s="1"/>
  <c r="J2710" i="2"/>
  <c r="K2710" i="2" s="1"/>
  <c r="J2715" i="2"/>
  <c r="K2715" i="2" s="1"/>
  <c r="J2720" i="2"/>
  <c r="K2720" i="2" s="1"/>
  <c r="J2726" i="2"/>
  <c r="K2726" i="2" s="1"/>
  <c r="J2731" i="2"/>
  <c r="K2731" i="2" s="1"/>
  <c r="J2736" i="2"/>
  <c r="K2736" i="2" s="1"/>
  <c r="J2742" i="2"/>
  <c r="K2742" i="2" s="1"/>
  <c r="J2747" i="2"/>
  <c r="K2747" i="2" s="1"/>
  <c r="J2752" i="2"/>
  <c r="K2752" i="2" s="1"/>
  <c r="J2758" i="2"/>
  <c r="K2758" i="2" s="1"/>
  <c r="J2763" i="2"/>
  <c r="K2763" i="2" s="1"/>
  <c r="J2768" i="2"/>
  <c r="K2768" i="2" s="1"/>
  <c r="J2774" i="2"/>
  <c r="K2774" i="2" s="1"/>
  <c r="J2778" i="2"/>
  <c r="K2778" i="2" s="1"/>
  <c r="J2782" i="2"/>
  <c r="K2782" i="2" s="1"/>
  <c r="J2786" i="2"/>
  <c r="K2786" i="2" s="1"/>
  <c r="J2790" i="2"/>
  <c r="K2790" i="2" s="1"/>
  <c r="J2794" i="2"/>
  <c r="K2794" i="2" s="1"/>
  <c r="J2798" i="2"/>
  <c r="K2798" i="2" s="1"/>
  <c r="J2802" i="2"/>
  <c r="K2802" i="2" s="1"/>
  <c r="J2806" i="2"/>
  <c r="K2806" i="2" s="1"/>
  <c r="J2810" i="2"/>
  <c r="K2810" i="2" s="1"/>
  <c r="J2814" i="2"/>
  <c r="K2814" i="2" s="1"/>
  <c r="J2818" i="2"/>
  <c r="K2818" i="2" s="1"/>
  <c r="J2822" i="2"/>
  <c r="K2822" i="2" s="1"/>
  <c r="J2826" i="2"/>
  <c r="K2826" i="2" s="1"/>
  <c r="J2830" i="2"/>
  <c r="K2830" i="2" s="1"/>
  <c r="J2834" i="2"/>
  <c r="K2834" i="2" s="1"/>
  <c r="J2838" i="2"/>
  <c r="K2838" i="2" s="1"/>
  <c r="J2842" i="2"/>
  <c r="K2842" i="2" s="1"/>
  <c r="J2846" i="2"/>
  <c r="K2846" i="2" s="1"/>
  <c r="J2850" i="2"/>
  <c r="K2850" i="2" s="1"/>
  <c r="J2854" i="2"/>
  <c r="K2854" i="2" s="1"/>
  <c r="J2858" i="2"/>
  <c r="K2858" i="2" s="1"/>
  <c r="J2862" i="2"/>
  <c r="K2862" i="2" s="1"/>
  <c r="J2866" i="2"/>
  <c r="K2866" i="2" s="1"/>
  <c r="J2870" i="2"/>
  <c r="K2870" i="2" s="1"/>
  <c r="J2874" i="2"/>
  <c r="K2874" i="2" s="1"/>
  <c r="J2878" i="2"/>
  <c r="K2878" i="2" s="1"/>
  <c r="J2882" i="2"/>
  <c r="K2882" i="2" s="1"/>
  <c r="J2886" i="2"/>
  <c r="K2886" i="2" s="1"/>
  <c r="J2890" i="2"/>
  <c r="K2890" i="2" s="1"/>
  <c r="J2894" i="2"/>
  <c r="K2894" i="2" s="1"/>
  <c r="J2898" i="2"/>
  <c r="K2898" i="2" s="1"/>
  <c r="J2902" i="2"/>
  <c r="K2902" i="2" s="1"/>
  <c r="J2906" i="2"/>
  <c r="K2906" i="2" s="1"/>
  <c r="J2910" i="2"/>
  <c r="K2910" i="2" s="1"/>
  <c r="J2914" i="2"/>
  <c r="K2914" i="2" s="1"/>
  <c r="J2918" i="2"/>
  <c r="K2918" i="2" s="1"/>
  <c r="J2922" i="2"/>
  <c r="K2922" i="2" s="1"/>
  <c r="J2926" i="2"/>
  <c r="K2926" i="2" s="1"/>
  <c r="J2930" i="2"/>
  <c r="K2930" i="2" s="1"/>
  <c r="J2934" i="2"/>
  <c r="K2934" i="2" s="1"/>
  <c r="J2938" i="2"/>
  <c r="K2938" i="2" s="1"/>
  <c r="J2942" i="2"/>
  <c r="K2942" i="2" s="1"/>
  <c r="J2946" i="2"/>
  <c r="K2946" i="2" s="1"/>
  <c r="J2950" i="2"/>
  <c r="K2950" i="2" s="1"/>
  <c r="J2954" i="2"/>
  <c r="K2954" i="2" s="1"/>
  <c r="J2958" i="2"/>
  <c r="K2958" i="2" s="1"/>
  <c r="J2962" i="2"/>
  <c r="K2962" i="2" s="1"/>
  <c r="J2966" i="2"/>
  <c r="K2966" i="2" s="1"/>
  <c r="J2970" i="2"/>
  <c r="K2970" i="2" s="1"/>
  <c r="J2974" i="2"/>
  <c r="K2974" i="2" s="1"/>
  <c r="J2978" i="2"/>
  <c r="K2978" i="2" s="1"/>
  <c r="J2982" i="2"/>
  <c r="K2982" i="2" s="1"/>
  <c r="J2986" i="2"/>
  <c r="K2986" i="2" s="1"/>
  <c r="J2990" i="2"/>
  <c r="K2990" i="2" s="1"/>
  <c r="J2994" i="2"/>
  <c r="K2994" i="2" s="1"/>
  <c r="J2998" i="2"/>
  <c r="K2998" i="2" s="1"/>
  <c r="J3002" i="2"/>
  <c r="K3002" i="2" s="1"/>
  <c r="J3006" i="2"/>
  <c r="K3006" i="2" s="1"/>
  <c r="J3010" i="2"/>
  <c r="K3010" i="2" s="1"/>
  <c r="J3014" i="2"/>
  <c r="K3014" i="2" s="1"/>
  <c r="J3018" i="2"/>
  <c r="K3018" i="2" s="1"/>
  <c r="J3022" i="2"/>
  <c r="K3022" i="2" s="1"/>
  <c r="J3026" i="2"/>
  <c r="K3026" i="2" s="1"/>
  <c r="J3030" i="2"/>
  <c r="K3030" i="2" s="1"/>
  <c r="J3034" i="2"/>
  <c r="K3034" i="2" s="1"/>
  <c r="J3038" i="2"/>
  <c r="K3038" i="2" s="1"/>
  <c r="J3042" i="2"/>
  <c r="K3042" i="2" s="1"/>
  <c r="J3046" i="2"/>
  <c r="K3046" i="2" s="1"/>
  <c r="J3050" i="2"/>
  <c r="K3050" i="2" s="1"/>
  <c r="J3054" i="2"/>
  <c r="K3054" i="2" s="1"/>
  <c r="J3058" i="2"/>
  <c r="K3058" i="2" s="1"/>
  <c r="J3062" i="2"/>
  <c r="K3062" i="2" s="1"/>
  <c r="J3066" i="2"/>
  <c r="K3066" i="2" s="1"/>
  <c r="J3070" i="2"/>
  <c r="K3070" i="2" s="1"/>
  <c r="J3074" i="2"/>
  <c r="K3074" i="2" s="1"/>
  <c r="J3078" i="2"/>
  <c r="K3078" i="2" s="1"/>
  <c r="J3082" i="2"/>
  <c r="K3082" i="2" s="1"/>
  <c r="J3086" i="2"/>
  <c r="K3086" i="2" s="1"/>
  <c r="J3090" i="2"/>
  <c r="K3090" i="2" s="1"/>
  <c r="J3094" i="2"/>
  <c r="K3094" i="2" s="1"/>
  <c r="J3098" i="2"/>
  <c r="K3098" i="2" s="1"/>
  <c r="J3102" i="2"/>
  <c r="K3102" i="2" s="1"/>
  <c r="J3106" i="2"/>
  <c r="K3106" i="2" s="1"/>
  <c r="J3110" i="2"/>
  <c r="K3110" i="2" s="1"/>
  <c r="J3114" i="2"/>
  <c r="K3114" i="2" s="1"/>
  <c r="J3118" i="2"/>
  <c r="K3118" i="2" s="1"/>
  <c r="J3122" i="2"/>
  <c r="K3122" i="2" s="1"/>
  <c r="J3126" i="2"/>
  <c r="K3126" i="2" s="1"/>
  <c r="J3130" i="2"/>
  <c r="K3130" i="2" s="1"/>
  <c r="J3134" i="2"/>
  <c r="K3134" i="2" s="1"/>
  <c r="J3138" i="2"/>
  <c r="K3138" i="2" s="1"/>
  <c r="J3142" i="2"/>
  <c r="K3142" i="2" s="1"/>
  <c r="J3146" i="2"/>
  <c r="K3146" i="2" s="1"/>
  <c r="J3150" i="2"/>
  <c r="K3150" i="2" s="1"/>
  <c r="J3154" i="2"/>
  <c r="K3154" i="2" s="1"/>
  <c r="J3158" i="2"/>
  <c r="K3158" i="2" s="1"/>
  <c r="J3162" i="2"/>
  <c r="K3162" i="2" s="1"/>
  <c r="J3166" i="2"/>
  <c r="K3166" i="2" s="1"/>
  <c r="J3170" i="2"/>
  <c r="K3170" i="2" s="1"/>
  <c r="J3174" i="2"/>
  <c r="K3174" i="2" s="1"/>
  <c r="J3178" i="2"/>
  <c r="K3178" i="2" s="1"/>
  <c r="J3182" i="2"/>
  <c r="K3182" i="2" s="1"/>
  <c r="J3186" i="2"/>
  <c r="K3186" i="2" s="1"/>
  <c r="J3190" i="2"/>
  <c r="K3190" i="2" s="1"/>
  <c r="J3194" i="2"/>
  <c r="K3194" i="2" s="1"/>
  <c r="J3198" i="2"/>
  <c r="K3198" i="2" s="1"/>
  <c r="J3202" i="2"/>
  <c r="K3202" i="2" s="1"/>
  <c r="J3206" i="2"/>
  <c r="K3206" i="2" s="1"/>
  <c r="J3210" i="2"/>
  <c r="K3210" i="2" s="1"/>
  <c r="J3214" i="2"/>
  <c r="K3214" i="2" s="1"/>
  <c r="J3218" i="2"/>
  <c r="K3218" i="2" s="1"/>
  <c r="J3222" i="2"/>
  <c r="K3222" i="2" s="1"/>
  <c r="J3226" i="2"/>
  <c r="K3226" i="2" s="1"/>
  <c r="J3230" i="2"/>
  <c r="K3230" i="2" s="1"/>
  <c r="J3234" i="2"/>
  <c r="K3234" i="2" s="1"/>
  <c r="J3238" i="2"/>
  <c r="K3238" i="2" s="1"/>
  <c r="J3242" i="2"/>
  <c r="K3242" i="2" s="1"/>
  <c r="J3246" i="2"/>
  <c r="K3246" i="2" s="1"/>
  <c r="J3250" i="2"/>
  <c r="K3250" i="2" s="1"/>
  <c r="J3254" i="2"/>
  <c r="K3254" i="2" s="1"/>
  <c r="J3258" i="2"/>
  <c r="K3258" i="2" s="1"/>
  <c r="J3262" i="2"/>
  <c r="K3262" i="2" s="1"/>
  <c r="J3266" i="2"/>
  <c r="K3266" i="2" s="1"/>
  <c r="J3270" i="2"/>
  <c r="K3270" i="2" s="1"/>
  <c r="J3274" i="2"/>
  <c r="K3274" i="2" s="1"/>
  <c r="J3278" i="2"/>
  <c r="K3278" i="2" s="1"/>
  <c r="J3282" i="2"/>
  <c r="K3282" i="2" s="1"/>
  <c r="J3286" i="2"/>
  <c r="K3286" i="2" s="1"/>
  <c r="J3290" i="2"/>
  <c r="K3290" i="2" s="1"/>
  <c r="J3294" i="2"/>
  <c r="K3294" i="2" s="1"/>
  <c r="J3298" i="2"/>
  <c r="K3298" i="2" s="1"/>
  <c r="J3302" i="2"/>
  <c r="K3302" i="2" s="1"/>
  <c r="J3306" i="2"/>
  <c r="K3306" i="2" s="1"/>
  <c r="J3310" i="2"/>
  <c r="K3310" i="2" s="1"/>
  <c r="J3314" i="2"/>
  <c r="K3314" i="2" s="1"/>
  <c r="J3318" i="2"/>
  <c r="K3318" i="2" s="1"/>
  <c r="J3322" i="2"/>
  <c r="K3322" i="2" s="1"/>
  <c r="J3326" i="2"/>
  <c r="K3326" i="2" s="1"/>
  <c r="J3330" i="2"/>
  <c r="K3330" i="2" s="1"/>
  <c r="J3334" i="2"/>
  <c r="K3334" i="2" s="1"/>
  <c r="J3338" i="2"/>
  <c r="K3338" i="2" s="1"/>
  <c r="J3342" i="2"/>
  <c r="K3342" i="2" s="1"/>
  <c r="J3346" i="2"/>
  <c r="K3346" i="2" s="1"/>
  <c r="J3350" i="2"/>
  <c r="K3350" i="2" s="1"/>
  <c r="J3354" i="2"/>
  <c r="K3354" i="2" s="1"/>
  <c r="J3358" i="2"/>
  <c r="K3358" i="2" s="1"/>
  <c r="J3362" i="2"/>
  <c r="K3362" i="2" s="1"/>
  <c r="J3366" i="2"/>
  <c r="K3366" i="2" s="1"/>
  <c r="J3370" i="2"/>
  <c r="K3370" i="2" s="1"/>
  <c r="J3374" i="2"/>
  <c r="K3374" i="2" s="1"/>
  <c r="J3378" i="2"/>
  <c r="K3378" i="2" s="1"/>
  <c r="J3382" i="2"/>
  <c r="K3382" i="2" s="1"/>
  <c r="J3386" i="2"/>
  <c r="K3386" i="2" s="1"/>
  <c r="J3390" i="2"/>
  <c r="K3390" i="2" s="1"/>
  <c r="J3394" i="2"/>
  <c r="K3394" i="2" s="1"/>
  <c r="J3398" i="2"/>
  <c r="K3398" i="2" s="1"/>
  <c r="J3402" i="2"/>
  <c r="K3402" i="2" s="1"/>
  <c r="J3406" i="2"/>
  <c r="K3406" i="2" s="1"/>
  <c r="J3410" i="2"/>
  <c r="K3410" i="2" s="1"/>
  <c r="J3414" i="2"/>
  <c r="K3414" i="2" s="1"/>
  <c r="J3418" i="2"/>
  <c r="K3418" i="2" s="1"/>
  <c r="J3422" i="2"/>
  <c r="K3422" i="2" s="1"/>
  <c r="J3426" i="2"/>
  <c r="K3426" i="2" s="1"/>
  <c r="J3430" i="2"/>
  <c r="K3430" i="2" s="1"/>
  <c r="J3434" i="2"/>
  <c r="K3434" i="2" s="1"/>
  <c r="J3438" i="2"/>
  <c r="K3438" i="2" s="1"/>
  <c r="J3442" i="2"/>
  <c r="K3442" i="2" s="1"/>
  <c r="J3446" i="2"/>
  <c r="K3446" i="2" s="1"/>
  <c r="J3450" i="2"/>
  <c r="K3450" i="2" s="1"/>
  <c r="J3454" i="2"/>
  <c r="K3454" i="2" s="1"/>
  <c r="J3458" i="2"/>
  <c r="K3458" i="2" s="1"/>
  <c r="J3462" i="2"/>
  <c r="K3462" i="2" s="1"/>
  <c r="J3466" i="2"/>
  <c r="K3466" i="2" s="1"/>
  <c r="J3470" i="2"/>
  <c r="K3470" i="2" s="1"/>
  <c r="J3474" i="2"/>
  <c r="K3474" i="2" s="1"/>
  <c r="J3478" i="2"/>
  <c r="K3478" i="2" s="1"/>
  <c r="J3482" i="2"/>
  <c r="K3482" i="2" s="1"/>
  <c r="J3486" i="2"/>
  <c r="K3486" i="2" s="1"/>
  <c r="J3490" i="2"/>
  <c r="K3490" i="2" s="1"/>
  <c r="J3494" i="2"/>
  <c r="K3494" i="2" s="1"/>
  <c r="J3498" i="2"/>
  <c r="K3498" i="2" s="1"/>
  <c r="J3502" i="2"/>
  <c r="K3502" i="2" s="1"/>
  <c r="J3506" i="2"/>
  <c r="K3506" i="2" s="1"/>
  <c r="J3510" i="2"/>
  <c r="K3510" i="2" s="1"/>
  <c r="J3514" i="2"/>
  <c r="K3514" i="2" s="1"/>
  <c r="J3518" i="2"/>
  <c r="K3518" i="2" s="1"/>
  <c r="J3522" i="2"/>
  <c r="K3522" i="2" s="1"/>
  <c r="J3526" i="2"/>
  <c r="K3526" i="2" s="1"/>
  <c r="J3530" i="2"/>
  <c r="K3530" i="2" s="1"/>
  <c r="J3534" i="2"/>
  <c r="K3534" i="2" s="1"/>
  <c r="J3538" i="2"/>
  <c r="K3538" i="2" s="1"/>
  <c r="J3542" i="2"/>
  <c r="K3542" i="2" s="1"/>
  <c r="J3546" i="2"/>
  <c r="K3546" i="2" s="1"/>
  <c r="J3550" i="2"/>
  <c r="K3550" i="2" s="1"/>
  <c r="J3554" i="2"/>
  <c r="K3554" i="2" s="1"/>
  <c r="J3558" i="2"/>
  <c r="K3558" i="2" s="1"/>
  <c r="J3562" i="2"/>
  <c r="K3562" i="2" s="1"/>
  <c r="J3566" i="2"/>
  <c r="K3566" i="2" s="1"/>
  <c r="J3570" i="2"/>
  <c r="K3570" i="2" s="1"/>
  <c r="J3574" i="2"/>
  <c r="K3574" i="2" s="1"/>
  <c r="J3578" i="2"/>
  <c r="K3578" i="2" s="1"/>
  <c r="J3582" i="2"/>
  <c r="K3582" i="2" s="1"/>
  <c r="J3586" i="2"/>
  <c r="K3586" i="2" s="1"/>
  <c r="J3590" i="2"/>
  <c r="K3590" i="2" s="1"/>
  <c r="J3594" i="2"/>
  <c r="K3594" i="2" s="1"/>
  <c r="J3598" i="2"/>
  <c r="K3598" i="2" s="1"/>
  <c r="J3602" i="2"/>
  <c r="K3602" i="2" s="1"/>
  <c r="J3606" i="2"/>
  <c r="K3606" i="2" s="1"/>
  <c r="J3610" i="2"/>
  <c r="K3610" i="2" s="1"/>
  <c r="J3614" i="2"/>
  <c r="K3614" i="2" s="1"/>
  <c r="J3618" i="2"/>
  <c r="K3618" i="2" s="1"/>
  <c r="J3622" i="2"/>
  <c r="K3622" i="2" s="1"/>
  <c r="J3626" i="2"/>
  <c r="K3626" i="2" s="1"/>
  <c r="J3630" i="2"/>
  <c r="K3630" i="2" s="1"/>
  <c r="J3634" i="2"/>
  <c r="K3634" i="2" s="1"/>
  <c r="J3638" i="2"/>
  <c r="K3638" i="2" s="1"/>
  <c r="J3642" i="2"/>
  <c r="K3642" i="2" s="1"/>
  <c r="J3646" i="2"/>
  <c r="K3646" i="2" s="1"/>
  <c r="J3650" i="2"/>
  <c r="K3650" i="2" s="1"/>
  <c r="J3654" i="2"/>
  <c r="K3654" i="2" s="1"/>
  <c r="J3658" i="2"/>
  <c r="K3658" i="2" s="1"/>
  <c r="J3662" i="2"/>
  <c r="K3662" i="2" s="1"/>
  <c r="J3666" i="2"/>
  <c r="K3666" i="2" s="1"/>
  <c r="J3670" i="2"/>
  <c r="K3670" i="2" s="1"/>
  <c r="J3674" i="2"/>
  <c r="K3674" i="2" s="1"/>
  <c r="J3678" i="2"/>
  <c r="K3678" i="2" s="1"/>
  <c r="J3682" i="2"/>
  <c r="K3682" i="2" s="1"/>
  <c r="J726" i="2"/>
  <c r="K726" i="2" s="1"/>
  <c r="J870" i="2"/>
  <c r="K870" i="2" s="1"/>
  <c r="J998" i="2"/>
  <c r="K998" i="2" s="1"/>
  <c r="J1074" i="2"/>
  <c r="K1074" i="2" s="1"/>
  <c r="J1138" i="2"/>
  <c r="K1138" i="2" s="1"/>
  <c r="J1202" i="2"/>
  <c r="K1202" i="2" s="1"/>
  <c r="J1266" i="2"/>
  <c r="K1266" i="2" s="1"/>
  <c r="J1330" i="2"/>
  <c r="K1330" i="2" s="1"/>
  <c r="J1394" i="2"/>
  <c r="K1394" i="2" s="1"/>
  <c r="J1458" i="2"/>
  <c r="K1458" i="2" s="1"/>
  <c r="J1522" i="2"/>
  <c r="K1522" i="2" s="1"/>
  <c r="J1548" i="2"/>
  <c r="K1548" i="2" s="1"/>
  <c r="J1570" i="2"/>
  <c r="K1570" i="2" s="1"/>
  <c r="J1591" i="2"/>
  <c r="K1591" i="2" s="1"/>
  <c r="J1612" i="2"/>
  <c r="K1612" i="2" s="1"/>
  <c r="J1634" i="2"/>
  <c r="K1634" i="2" s="1"/>
  <c r="J1655" i="2"/>
  <c r="K1655" i="2" s="1"/>
  <c r="J1676" i="2"/>
  <c r="K1676" i="2" s="1"/>
  <c r="J1698" i="2"/>
  <c r="K1698" i="2" s="1"/>
  <c r="J1719" i="2"/>
  <c r="K1719" i="2" s="1"/>
  <c r="J1738" i="2"/>
  <c r="K1738" i="2" s="1"/>
  <c r="J1754" i="2"/>
  <c r="K1754" i="2" s="1"/>
  <c r="J1770" i="2"/>
  <c r="K1770" i="2" s="1"/>
  <c r="J1786" i="2"/>
  <c r="K1786" i="2" s="1"/>
  <c r="J1802" i="2"/>
  <c r="K1802" i="2" s="1"/>
  <c r="J1818" i="2"/>
  <c r="K1818" i="2" s="1"/>
  <c r="J1834" i="2"/>
  <c r="K1834" i="2" s="1"/>
  <c r="J1850" i="2"/>
  <c r="K1850" i="2" s="1"/>
  <c r="J1866" i="2"/>
  <c r="K1866" i="2" s="1"/>
  <c r="J1882" i="2"/>
  <c r="K1882" i="2" s="1"/>
  <c r="J1898" i="2"/>
  <c r="K1898" i="2" s="1"/>
  <c r="J1914" i="2"/>
  <c r="K1914" i="2" s="1"/>
  <c r="J1930" i="2"/>
  <c r="K1930" i="2" s="1"/>
  <c r="J1946" i="2"/>
  <c r="K1946" i="2" s="1"/>
  <c r="J1962" i="2"/>
  <c r="K1962" i="2" s="1"/>
  <c r="J1978" i="2"/>
  <c r="K1978" i="2" s="1"/>
  <c r="J1994" i="2"/>
  <c r="K1994" i="2" s="1"/>
  <c r="J2010" i="2"/>
  <c r="K2010" i="2" s="1"/>
  <c r="J2026" i="2"/>
  <c r="K2026" i="2" s="1"/>
  <c r="J2042" i="2"/>
  <c r="K2042" i="2" s="1"/>
  <c r="J2058" i="2"/>
  <c r="K2058" i="2" s="1"/>
  <c r="J2074" i="2"/>
  <c r="K2074" i="2" s="1"/>
  <c r="J2090" i="2"/>
  <c r="K2090" i="2" s="1"/>
  <c r="J2106" i="2"/>
  <c r="K2106" i="2" s="1"/>
  <c r="J2122" i="2"/>
  <c r="K2122" i="2" s="1"/>
  <c r="J2138" i="2"/>
  <c r="K2138" i="2" s="1"/>
  <c r="J2154" i="2"/>
  <c r="K2154" i="2" s="1"/>
  <c r="J2170" i="2"/>
  <c r="K2170" i="2" s="1"/>
  <c r="J2186" i="2"/>
  <c r="K2186" i="2" s="1"/>
  <c r="J2202" i="2"/>
  <c r="K2202" i="2" s="1"/>
  <c r="J2218" i="2"/>
  <c r="K2218" i="2" s="1"/>
  <c r="J2234" i="2"/>
  <c r="K2234" i="2" s="1"/>
  <c r="J2250" i="2"/>
  <c r="K2250" i="2" s="1"/>
  <c r="J2266" i="2"/>
  <c r="K2266" i="2" s="1"/>
  <c r="J2282" i="2"/>
  <c r="K2282" i="2" s="1"/>
  <c r="J2298" i="2"/>
  <c r="K2298" i="2" s="1"/>
  <c r="J2314" i="2"/>
  <c r="K2314" i="2" s="1"/>
  <c r="J2330" i="2"/>
  <c r="K2330" i="2" s="1"/>
  <c r="J2346" i="2"/>
  <c r="K2346" i="2" s="1"/>
  <c r="J2362" i="2"/>
  <c r="K2362" i="2" s="1"/>
  <c r="J2378" i="2"/>
  <c r="K2378" i="2" s="1"/>
  <c r="J2394" i="2"/>
  <c r="K2394" i="2" s="1"/>
  <c r="J2410" i="2"/>
  <c r="K2410" i="2" s="1"/>
  <c r="J2426" i="2"/>
  <c r="K2426" i="2" s="1"/>
  <c r="J2442" i="2"/>
  <c r="K2442" i="2" s="1"/>
  <c r="J2458" i="2"/>
  <c r="K2458" i="2" s="1"/>
  <c r="J2474" i="2"/>
  <c r="K2474" i="2" s="1"/>
  <c r="J2490" i="2"/>
  <c r="K2490" i="2" s="1"/>
  <c r="J2506" i="2"/>
  <c r="K2506" i="2" s="1"/>
  <c r="J2522" i="2"/>
  <c r="K2522" i="2" s="1"/>
  <c r="J2538" i="2"/>
  <c r="K2538" i="2" s="1"/>
  <c r="J2551" i="2"/>
  <c r="K2551" i="2" s="1"/>
  <c r="J2556" i="2"/>
  <c r="K2556" i="2" s="1"/>
  <c r="J2562" i="2"/>
  <c r="K2562" i="2" s="1"/>
  <c r="J2567" i="2"/>
  <c r="K2567" i="2" s="1"/>
  <c r="J2572" i="2"/>
  <c r="K2572" i="2" s="1"/>
  <c r="J2578" i="2"/>
  <c r="K2578" i="2" s="1"/>
  <c r="J2583" i="2"/>
  <c r="K2583" i="2" s="1"/>
  <c r="J2588" i="2"/>
  <c r="K2588" i="2" s="1"/>
  <c r="J2594" i="2"/>
  <c r="K2594" i="2" s="1"/>
  <c r="J2599" i="2"/>
  <c r="K2599" i="2" s="1"/>
  <c r="J2604" i="2"/>
  <c r="K2604" i="2" s="1"/>
  <c r="J2610" i="2"/>
  <c r="K2610" i="2" s="1"/>
  <c r="J2615" i="2"/>
  <c r="K2615" i="2" s="1"/>
  <c r="J2620" i="2"/>
  <c r="K2620" i="2" s="1"/>
  <c r="J2626" i="2"/>
  <c r="K2626" i="2" s="1"/>
  <c r="J2631" i="2"/>
  <c r="K2631" i="2" s="1"/>
  <c r="J2636" i="2"/>
  <c r="K2636" i="2" s="1"/>
  <c r="J2642" i="2"/>
  <c r="K2642" i="2" s="1"/>
  <c r="J2647" i="2"/>
  <c r="K2647" i="2" s="1"/>
  <c r="J2652" i="2"/>
  <c r="K2652" i="2" s="1"/>
  <c r="J2658" i="2"/>
  <c r="K2658" i="2" s="1"/>
  <c r="J2663" i="2"/>
  <c r="K2663" i="2" s="1"/>
  <c r="J2668" i="2"/>
  <c r="K2668" i="2" s="1"/>
  <c r="J2674" i="2"/>
  <c r="K2674" i="2" s="1"/>
  <c r="J2679" i="2"/>
  <c r="K2679" i="2" s="1"/>
  <c r="J2684" i="2"/>
  <c r="K2684" i="2" s="1"/>
  <c r="J2690" i="2"/>
  <c r="K2690" i="2" s="1"/>
  <c r="J2695" i="2"/>
  <c r="K2695" i="2" s="1"/>
  <c r="J2700" i="2"/>
  <c r="K2700" i="2" s="1"/>
  <c r="J2706" i="2"/>
  <c r="K2706" i="2" s="1"/>
  <c r="J2711" i="2"/>
  <c r="K2711" i="2" s="1"/>
  <c r="J2716" i="2"/>
  <c r="K2716" i="2" s="1"/>
  <c r="J2722" i="2"/>
  <c r="K2722" i="2" s="1"/>
  <c r="J2727" i="2"/>
  <c r="K2727" i="2" s="1"/>
  <c r="J2732" i="2"/>
  <c r="K2732" i="2" s="1"/>
  <c r="J2738" i="2"/>
  <c r="K2738" i="2" s="1"/>
  <c r="J2743" i="2"/>
  <c r="K2743" i="2" s="1"/>
  <c r="J2748" i="2"/>
  <c r="K2748" i="2" s="1"/>
  <c r="J2754" i="2"/>
  <c r="K2754" i="2" s="1"/>
  <c r="J2759" i="2"/>
  <c r="K2759" i="2" s="1"/>
  <c r="J2764" i="2"/>
  <c r="K2764" i="2" s="1"/>
  <c r="J2770" i="2"/>
  <c r="K2770" i="2" s="1"/>
  <c r="J2775" i="2"/>
  <c r="K2775" i="2" s="1"/>
  <c r="J2779" i="2"/>
  <c r="K2779" i="2" s="1"/>
  <c r="J2783" i="2"/>
  <c r="K2783" i="2" s="1"/>
  <c r="J2787" i="2"/>
  <c r="K2787" i="2" s="1"/>
  <c r="J2791" i="2"/>
  <c r="K2791" i="2" s="1"/>
  <c r="J2795" i="2"/>
  <c r="K2795" i="2" s="1"/>
  <c r="J2799" i="2"/>
  <c r="K2799" i="2" s="1"/>
  <c r="J2803" i="2"/>
  <c r="K2803" i="2" s="1"/>
  <c r="J2807" i="2"/>
  <c r="K2807" i="2" s="1"/>
  <c r="J2811" i="2"/>
  <c r="K2811" i="2" s="1"/>
  <c r="J2815" i="2"/>
  <c r="K2815" i="2" s="1"/>
  <c r="J2819" i="2"/>
  <c r="K2819" i="2" s="1"/>
  <c r="J2823" i="2"/>
  <c r="K2823" i="2" s="1"/>
  <c r="J2827" i="2"/>
  <c r="K2827" i="2" s="1"/>
  <c r="J2831" i="2"/>
  <c r="K2831" i="2" s="1"/>
  <c r="J2835" i="2"/>
  <c r="K2835" i="2" s="1"/>
  <c r="J2839" i="2"/>
  <c r="K2839" i="2" s="1"/>
  <c r="J2843" i="2"/>
  <c r="K2843" i="2" s="1"/>
  <c r="J2847" i="2"/>
  <c r="K2847" i="2" s="1"/>
  <c r="J2851" i="2"/>
  <c r="K2851" i="2" s="1"/>
  <c r="J2855" i="2"/>
  <c r="K2855" i="2" s="1"/>
  <c r="J2859" i="2"/>
  <c r="K2859" i="2" s="1"/>
  <c r="J2863" i="2"/>
  <c r="K2863" i="2" s="1"/>
  <c r="J2867" i="2"/>
  <c r="K2867" i="2" s="1"/>
  <c r="J2871" i="2"/>
  <c r="K2871" i="2" s="1"/>
  <c r="J2875" i="2"/>
  <c r="K2875" i="2" s="1"/>
  <c r="J2879" i="2"/>
  <c r="K2879" i="2" s="1"/>
  <c r="J2883" i="2"/>
  <c r="K2883" i="2" s="1"/>
  <c r="J2887" i="2"/>
  <c r="K2887" i="2" s="1"/>
  <c r="J2891" i="2"/>
  <c r="K2891" i="2" s="1"/>
  <c r="J2895" i="2"/>
  <c r="K2895" i="2" s="1"/>
  <c r="J2899" i="2"/>
  <c r="K2899" i="2" s="1"/>
  <c r="J2903" i="2"/>
  <c r="K2903" i="2" s="1"/>
  <c r="J2907" i="2"/>
  <c r="K2907" i="2" s="1"/>
  <c r="J2911" i="2"/>
  <c r="K2911" i="2" s="1"/>
  <c r="J2915" i="2"/>
  <c r="K2915" i="2" s="1"/>
  <c r="J2919" i="2"/>
  <c r="K2919" i="2" s="1"/>
  <c r="J2923" i="2"/>
  <c r="K2923" i="2" s="1"/>
  <c r="J2927" i="2"/>
  <c r="K2927" i="2" s="1"/>
  <c r="J2931" i="2"/>
  <c r="K2931" i="2" s="1"/>
  <c r="J2935" i="2"/>
  <c r="K2935" i="2" s="1"/>
  <c r="J2939" i="2"/>
  <c r="K2939" i="2" s="1"/>
  <c r="J2943" i="2"/>
  <c r="K2943" i="2" s="1"/>
  <c r="J2947" i="2"/>
  <c r="K2947" i="2" s="1"/>
  <c r="J2951" i="2"/>
  <c r="K2951" i="2" s="1"/>
  <c r="J2955" i="2"/>
  <c r="K2955" i="2" s="1"/>
  <c r="J2959" i="2"/>
  <c r="K2959" i="2" s="1"/>
  <c r="J2963" i="2"/>
  <c r="K2963" i="2" s="1"/>
  <c r="J2967" i="2"/>
  <c r="K2967" i="2" s="1"/>
  <c r="J2971" i="2"/>
  <c r="K2971" i="2" s="1"/>
  <c r="J2975" i="2"/>
  <c r="K2975" i="2" s="1"/>
  <c r="J2979" i="2"/>
  <c r="K2979" i="2" s="1"/>
  <c r="J2983" i="2"/>
  <c r="K2983" i="2" s="1"/>
  <c r="J2987" i="2"/>
  <c r="K2987" i="2" s="1"/>
  <c r="J2991" i="2"/>
  <c r="K2991" i="2" s="1"/>
  <c r="J2995" i="2"/>
  <c r="K2995" i="2" s="1"/>
  <c r="J2999" i="2"/>
  <c r="K2999" i="2" s="1"/>
  <c r="J3003" i="2"/>
  <c r="K3003" i="2" s="1"/>
  <c r="J3007" i="2"/>
  <c r="K3007" i="2" s="1"/>
  <c r="J3011" i="2"/>
  <c r="K3011" i="2" s="1"/>
  <c r="J3015" i="2"/>
  <c r="K3015" i="2" s="1"/>
  <c r="J3019" i="2"/>
  <c r="K3019" i="2" s="1"/>
  <c r="J3023" i="2"/>
  <c r="K3023" i="2" s="1"/>
  <c r="J3027" i="2"/>
  <c r="K3027" i="2" s="1"/>
  <c r="J3031" i="2"/>
  <c r="K3031" i="2" s="1"/>
  <c r="J3035" i="2"/>
  <c r="K3035" i="2" s="1"/>
  <c r="J3039" i="2"/>
  <c r="K3039" i="2" s="1"/>
  <c r="J3043" i="2"/>
  <c r="K3043" i="2" s="1"/>
  <c r="J3047" i="2"/>
  <c r="K3047" i="2" s="1"/>
  <c r="J3051" i="2"/>
  <c r="K3051" i="2" s="1"/>
  <c r="J3055" i="2"/>
  <c r="K3055" i="2" s="1"/>
  <c r="J3059" i="2"/>
  <c r="K3059" i="2" s="1"/>
  <c r="J3063" i="2"/>
  <c r="K3063" i="2" s="1"/>
  <c r="J3067" i="2"/>
  <c r="K3067" i="2" s="1"/>
  <c r="J3071" i="2"/>
  <c r="K3071" i="2" s="1"/>
  <c r="J3075" i="2"/>
  <c r="K3075" i="2" s="1"/>
  <c r="J3079" i="2"/>
  <c r="K3079" i="2" s="1"/>
  <c r="J3083" i="2"/>
  <c r="K3083" i="2" s="1"/>
  <c r="J3087" i="2"/>
  <c r="K3087" i="2" s="1"/>
  <c r="J3091" i="2"/>
  <c r="K3091" i="2" s="1"/>
  <c r="J3095" i="2"/>
  <c r="K3095" i="2" s="1"/>
  <c r="J3099" i="2"/>
  <c r="K3099" i="2" s="1"/>
  <c r="J3103" i="2"/>
  <c r="K3103" i="2" s="1"/>
  <c r="J3107" i="2"/>
  <c r="K3107" i="2" s="1"/>
  <c r="J3111" i="2"/>
  <c r="K3111" i="2" s="1"/>
  <c r="J3115" i="2"/>
  <c r="K3115" i="2" s="1"/>
  <c r="J3119" i="2"/>
  <c r="K3119" i="2" s="1"/>
  <c r="J3123" i="2"/>
  <c r="K3123" i="2" s="1"/>
  <c r="J3127" i="2"/>
  <c r="K3127" i="2" s="1"/>
  <c r="J3131" i="2"/>
  <c r="K3131" i="2" s="1"/>
  <c r="J3135" i="2"/>
  <c r="K3135" i="2" s="1"/>
  <c r="J3139" i="2"/>
  <c r="K3139" i="2" s="1"/>
  <c r="J3143" i="2"/>
  <c r="K3143" i="2" s="1"/>
  <c r="J3147" i="2"/>
  <c r="K3147" i="2" s="1"/>
  <c r="J3151" i="2"/>
  <c r="K3151" i="2" s="1"/>
  <c r="J3155" i="2"/>
  <c r="K3155" i="2" s="1"/>
  <c r="J3159" i="2"/>
  <c r="K3159" i="2" s="1"/>
  <c r="J3163" i="2"/>
  <c r="K3163" i="2" s="1"/>
  <c r="J3167" i="2"/>
  <c r="K3167" i="2" s="1"/>
  <c r="J3171" i="2"/>
  <c r="K3171" i="2" s="1"/>
  <c r="J3175" i="2"/>
  <c r="K3175" i="2" s="1"/>
  <c r="J3179" i="2"/>
  <c r="K3179" i="2" s="1"/>
  <c r="J3183" i="2"/>
  <c r="K3183" i="2" s="1"/>
  <c r="J3187" i="2"/>
  <c r="K3187" i="2" s="1"/>
  <c r="J3191" i="2"/>
  <c r="K3191" i="2" s="1"/>
  <c r="J3195" i="2"/>
  <c r="K3195" i="2" s="1"/>
  <c r="J3199" i="2"/>
  <c r="K3199" i="2" s="1"/>
  <c r="J3203" i="2"/>
  <c r="K3203" i="2" s="1"/>
  <c r="J3207" i="2"/>
  <c r="K3207" i="2" s="1"/>
  <c r="J3211" i="2"/>
  <c r="K3211" i="2" s="1"/>
  <c r="J3215" i="2"/>
  <c r="K3215" i="2" s="1"/>
  <c r="J3219" i="2"/>
  <c r="K3219" i="2" s="1"/>
  <c r="J3223" i="2"/>
  <c r="K3223" i="2" s="1"/>
  <c r="J3227" i="2"/>
  <c r="K3227" i="2" s="1"/>
  <c r="J3231" i="2"/>
  <c r="K3231" i="2" s="1"/>
  <c r="J3235" i="2"/>
  <c r="K3235" i="2" s="1"/>
  <c r="J3239" i="2"/>
  <c r="K3239" i="2" s="1"/>
  <c r="J3243" i="2"/>
  <c r="K3243" i="2" s="1"/>
  <c r="J3247" i="2"/>
  <c r="K3247" i="2" s="1"/>
  <c r="J3251" i="2"/>
  <c r="K3251" i="2" s="1"/>
  <c r="J3255" i="2"/>
  <c r="K3255" i="2" s="1"/>
  <c r="J3259" i="2"/>
  <c r="K3259" i="2" s="1"/>
  <c r="J3263" i="2"/>
  <c r="K3263" i="2" s="1"/>
  <c r="J3267" i="2"/>
  <c r="K3267" i="2" s="1"/>
  <c r="J3271" i="2"/>
  <c r="K3271" i="2" s="1"/>
  <c r="J3275" i="2"/>
  <c r="K3275" i="2" s="1"/>
  <c r="J3279" i="2"/>
  <c r="K3279" i="2" s="1"/>
  <c r="J3283" i="2"/>
  <c r="K3283" i="2" s="1"/>
  <c r="J3287" i="2"/>
  <c r="K3287" i="2" s="1"/>
  <c r="J3291" i="2"/>
  <c r="K3291" i="2" s="1"/>
  <c r="J3295" i="2"/>
  <c r="K3295" i="2" s="1"/>
  <c r="J3299" i="2"/>
  <c r="K3299" i="2" s="1"/>
  <c r="J3303" i="2"/>
  <c r="K3303" i="2" s="1"/>
  <c r="J3307" i="2"/>
  <c r="K3307" i="2" s="1"/>
  <c r="J3311" i="2"/>
  <c r="K3311" i="2" s="1"/>
  <c r="J3315" i="2"/>
  <c r="K3315" i="2" s="1"/>
  <c r="J3319" i="2"/>
  <c r="K3319" i="2" s="1"/>
  <c r="J3323" i="2"/>
  <c r="K3323" i="2" s="1"/>
  <c r="J3327" i="2"/>
  <c r="K3327" i="2" s="1"/>
  <c r="J3331" i="2"/>
  <c r="K3331" i="2" s="1"/>
  <c r="J3335" i="2"/>
  <c r="K3335" i="2" s="1"/>
  <c r="J3339" i="2"/>
  <c r="K3339" i="2" s="1"/>
  <c r="J3343" i="2"/>
  <c r="K3343" i="2" s="1"/>
  <c r="J3347" i="2"/>
  <c r="K3347" i="2" s="1"/>
  <c r="J3351" i="2"/>
  <c r="K3351" i="2" s="1"/>
  <c r="J3355" i="2"/>
  <c r="K3355" i="2" s="1"/>
  <c r="J3359" i="2"/>
  <c r="K3359" i="2" s="1"/>
  <c r="J3363" i="2"/>
  <c r="K3363" i="2" s="1"/>
  <c r="J3367" i="2"/>
  <c r="K3367" i="2" s="1"/>
  <c r="J3371" i="2"/>
  <c r="K3371" i="2" s="1"/>
  <c r="J3375" i="2"/>
  <c r="K3375" i="2" s="1"/>
  <c r="J3379" i="2"/>
  <c r="K3379" i="2" s="1"/>
  <c r="J3383" i="2"/>
  <c r="K3383" i="2" s="1"/>
  <c r="J3387" i="2"/>
  <c r="K3387" i="2" s="1"/>
  <c r="J3391" i="2"/>
  <c r="K3391" i="2" s="1"/>
  <c r="J3395" i="2"/>
  <c r="K3395" i="2" s="1"/>
  <c r="J3399" i="2"/>
  <c r="K3399" i="2" s="1"/>
  <c r="J3403" i="2"/>
  <c r="K3403" i="2" s="1"/>
  <c r="J3407" i="2"/>
  <c r="K3407" i="2" s="1"/>
  <c r="J3411" i="2"/>
  <c r="K3411" i="2" s="1"/>
  <c r="J3415" i="2"/>
  <c r="K3415" i="2" s="1"/>
  <c r="J3419" i="2"/>
  <c r="K3419" i="2" s="1"/>
  <c r="J3423" i="2"/>
  <c r="K3423" i="2" s="1"/>
  <c r="J3427" i="2"/>
  <c r="K3427" i="2" s="1"/>
  <c r="J3431" i="2"/>
  <c r="K3431" i="2" s="1"/>
  <c r="J3435" i="2"/>
  <c r="K3435" i="2" s="1"/>
  <c r="J3439" i="2"/>
  <c r="K3439" i="2" s="1"/>
  <c r="J3443" i="2"/>
  <c r="K3443" i="2" s="1"/>
  <c r="J3447" i="2"/>
  <c r="K3447" i="2" s="1"/>
  <c r="J774" i="2"/>
  <c r="K774" i="2" s="1"/>
  <c r="J902" i="2"/>
  <c r="K902" i="2" s="1"/>
  <c r="J1026" i="2"/>
  <c r="K1026" i="2" s="1"/>
  <c r="J1090" i="2"/>
  <c r="K1090" i="2" s="1"/>
  <c r="J1154" i="2"/>
  <c r="K1154" i="2" s="1"/>
  <c r="J1218" i="2"/>
  <c r="K1218" i="2" s="1"/>
  <c r="J1282" i="2"/>
  <c r="K1282" i="2" s="1"/>
  <c r="J1346" i="2"/>
  <c r="K1346" i="2" s="1"/>
  <c r="J1410" i="2"/>
  <c r="K1410" i="2" s="1"/>
  <c r="J1474" i="2"/>
  <c r="K1474" i="2" s="1"/>
  <c r="J1532" i="2"/>
  <c r="K1532" i="2" s="1"/>
  <c r="J1554" i="2"/>
  <c r="K1554" i="2" s="1"/>
  <c r="J1575" i="2"/>
  <c r="K1575" i="2" s="1"/>
  <c r="J1596" i="2"/>
  <c r="K1596" i="2" s="1"/>
  <c r="J1618" i="2"/>
  <c r="K1618" i="2" s="1"/>
  <c r="J1639" i="2"/>
  <c r="K1639" i="2" s="1"/>
  <c r="J1660" i="2"/>
  <c r="K1660" i="2" s="1"/>
  <c r="J1682" i="2"/>
  <c r="K1682" i="2" s="1"/>
  <c r="J1703" i="2"/>
  <c r="K1703" i="2" s="1"/>
  <c r="J1724" i="2"/>
  <c r="K1724" i="2" s="1"/>
  <c r="J1742" i="2"/>
  <c r="K1742" i="2" s="1"/>
  <c r="J1758" i="2"/>
  <c r="K1758" i="2" s="1"/>
  <c r="J1774" i="2"/>
  <c r="K1774" i="2" s="1"/>
  <c r="J1790" i="2"/>
  <c r="K1790" i="2" s="1"/>
  <c r="J1806" i="2"/>
  <c r="K1806" i="2" s="1"/>
  <c r="J1822" i="2"/>
  <c r="K1822" i="2" s="1"/>
  <c r="J1838" i="2"/>
  <c r="K1838" i="2" s="1"/>
  <c r="J1854" i="2"/>
  <c r="K1854" i="2" s="1"/>
  <c r="J1870" i="2"/>
  <c r="K1870" i="2" s="1"/>
  <c r="J1886" i="2"/>
  <c r="K1886" i="2" s="1"/>
  <c r="J1902" i="2"/>
  <c r="K1902" i="2" s="1"/>
  <c r="J1918" i="2"/>
  <c r="K1918" i="2" s="1"/>
  <c r="J1934" i="2"/>
  <c r="K1934" i="2" s="1"/>
  <c r="J1950" i="2"/>
  <c r="K1950" i="2" s="1"/>
  <c r="J1966" i="2"/>
  <c r="K1966" i="2" s="1"/>
  <c r="J1982" i="2"/>
  <c r="K1982" i="2" s="1"/>
  <c r="J1998" i="2"/>
  <c r="K1998" i="2" s="1"/>
  <c r="J2014" i="2"/>
  <c r="K2014" i="2" s="1"/>
  <c r="J2030" i="2"/>
  <c r="K2030" i="2" s="1"/>
  <c r="J2046" i="2"/>
  <c r="K2046" i="2" s="1"/>
  <c r="J2062" i="2"/>
  <c r="K2062" i="2" s="1"/>
  <c r="J2078" i="2"/>
  <c r="K2078" i="2" s="1"/>
  <c r="J2094" i="2"/>
  <c r="K2094" i="2" s="1"/>
  <c r="J2110" i="2"/>
  <c r="K2110" i="2" s="1"/>
  <c r="J2126" i="2"/>
  <c r="K2126" i="2" s="1"/>
  <c r="J2142" i="2"/>
  <c r="K2142" i="2" s="1"/>
  <c r="J2158" i="2"/>
  <c r="K2158" i="2" s="1"/>
  <c r="J2174" i="2"/>
  <c r="K2174" i="2" s="1"/>
  <c r="J2190" i="2"/>
  <c r="K2190" i="2" s="1"/>
  <c r="J2206" i="2"/>
  <c r="K2206" i="2" s="1"/>
  <c r="J2222" i="2"/>
  <c r="K2222" i="2" s="1"/>
  <c r="J2238" i="2"/>
  <c r="K2238" i="2" s="1"/>
  <c r="J2254" i="2"/>
  <c r="K2254" i="2" s="1"/>
  <c r="J2270" i="2"/>
  <c r="K2270" i="2" s="1"/>
  <c r="J2286" i="2"/>
  <c r="K2286" i="2" s="1"/>
  <c r="J2302" i="2"/>
  <c r="K2302" i="2" s="1"/>
  <c r="J2318" i="2"/>
  <c r="K2318" i="2" s="1"/>
  <c r="J2334" i="2"/>
  <c r="K2334" i="2" s="1"/>
  <c r="J2350" i="2"/>
  <c r="K2350" i="2" s="1"/>
  <c r="J2366" i="2"/>
  <c r="K2366" i="2" s="1"/>
  <c r="J2382" i="2"/>
  <c r="K2382" i="2" s="1"/>
  <c r="J2398" i="2"/>
  <c r="K2398" i="2" s="1"/>
  <c r="J2414" i="2"/>
  <c r="K2414" i="2" s="1"/>
  <c r="J2430" i="2"/>
  <c r="K2430" i="2" s="1"/>
  <c r="J2446" i="2"/>
  <c r="K2446" i="2" s="1"/>
  <c r="J2462" i="2"/>
  <c r="K2462" i="2" s="1"/>
  <c r="J2478" i="2"/>
  <c r="K2478" i="2" s="1"/>
  <c r="J2494" i="2"/>
  <c r="K2494" i="2" s="1"/>
  <c r="J2510" i="2"/>
  <c r="K2510" i="2" s="1"/>
  <c r="J2526" i="2"/>
  <c r="K2526" i="2" s="1"/>
  <c r="J2542" i="2"/>
  <c r="K2542" i="2" s="1"/>
  <c r="J2552" i="2"/>
  <c r="K2552" i="2" s="1"/>
  <c r="J2558" i="2"/>
  <c r="K2558" i="2" s="1"/>
  <c r="J2563" i="2"/>
  <c r="K2563" i="2" s="1"/>
  <c r="J2568" i="2"/>
  <c r="K2568" i="2" s="1"/>
  <c r="J2574" i="2"/>
  <c r="K2574" i="2" s="1"/>
  <c r="J2579" i="2"/>
  <c r="K2579" i="2" s="1"/>
  <c r="J2584" i="2"/>
  <c r="K2584" i="2" s="1"/>
  <c r="J2590" i="2"/>
  <c r="K2590" i="2" s="1"/>
  <c r="J2595" i="2"/>
  <c r="K2595" i="2" s="1"/>
  <c r="J2600" i="2"/>
  <c r="K2600" i="2" s="1"/>
  <c r="J2606" i="2"/>
  <c r="K2606" i="2" s="1"/>
  <c r="J2611" i="2"/>
  <c r="K2611" i="2" s="1"/>
  <c r="J2616" i="2"/>
  <c r="K2616" i="2" s="1"/>
  <c r="J2622" i="2"/>
  <c r="K2622" i="2" s="1"/>
  <c r="J2627" i="2"/>
  <c r="K2627" i="2" s="1"/>
  <c r="J2632" i="2"/>
  <c r="K2632" i="2" s="1"/>
  <c r="J2638" i="2"/>
  <c r="K2638" i="2" s="1"/>
  <c r="J2643" i="2"/>
  <c r="K2643" i="2" s="1"/>
  <c r="J2648" i="2"/>
  <c r="K2648" i="2" s="1"/>
  <c r="J2654" i="2"/>
  <c r="K2654" i="2" s="1"/>
  <c r="J2659" i="2"/>
  <c r="K2659" i="2" s="1"/>
  <c r="J2664" i="2"/>
  <c r="K2664" i="2" s="1"/>
  <c r="J2670" i="2"/>
  <c r="K2670" i="2" s="1"/>
  <c r="J2675" i="2"/>
  <c r="K2675" i="2" s="1"/>
  <c r="J2680" i="2"/>
  <c r="K2680" i="2" s="1"/>
  <c r="J2686" i="2"/>
  <c r="K2686" i="2" s="1"/>
  <c r="J2691" i="2"/>
  <c r="K2691" i="2" s="1"/>
  <c r="J2696" i="2"/>
  <c r="K2696" i="2" s="1"/>
  <c r="J2702" i="2"/>
  <c r="K2702" i="2" s="1"/>
  <c r="J2707" i="2"/>
  <c r="K2707" i="2" s="1"/>
  <c r="J2712" i="2"/>
  <c r="K2712" i="2" s="1"/>
  <c r="J2718" i="2"/>
  <c r="K2718" i="2" s="1"/>
  <c r="J2723" i="2"/>
  <c r="K2723" i="2" s="1"/>
  <c r="J2728" i="2"/>
  <c r="K2728" i="2" s="1"/>
  <c r="J2734" i="2"/>
  <c r="K2734" i="2" s="1"/>
  <c r="J2739" i="2"/>
  <c r="K2739" i="2" s="1"/>
  <c r="J2744" i="2"/>
  <c r="K2744" i="2" s="1"/>
  <c r="J2750" i="2"/>
  <c r="K2750" i="2" s="1"/>
  <c r="J2755" i="2"/>
  <c r="K2755" i="2" s="1"/>
  <c r="J2760" i="2"/>
  <c r="K2760" i="2" s="1"/>
  <c r="J2766" i="2"/>
  <c r="K2766" i="2" s="1"/>
  <c r="J2771" i="2"/>
  <c r="K2771" i="2" s="1"/>
  <c r="J2776" i="2"/>
  <c r="K2776" i="2" s="1"/>
  <c r="J2780" i="2"/>
  <c r="K2780" i="2" s="1"/>
  <c r="J2784" i="2"/>
  <c r="K2784" i="2" s="1"/>
  <c r="J2788" i="2"/>
  <c r="K2788" i="2" s="1"/>
  <c r="J2792" i="2"/>
  <c r="K2792" i="2" s="1"/>
  <c r="J2796" i="2"/>
  <c r="K2796" i="2" s="1"/>
  <c r="J2800" i="2"/>
  <c r="K2800" i="2" s="1"/>
  <c r="J2804" i="2"/>
  <c r="K2804" i="2" s="1"/>
  <c r="J2808" i="2"/>
  <c r="K2808" i="2" s="1"/>
  <c r="J2812" i="2"/>
  <c r="K2812" i="2" s="1"/>
  <c r="J2816" i="2"/>
  <c r="K2816" i="2" s="1"/>
  <c r="J2820" i="2"/>
  <c r="K2820" i="2" s="1"/>
  <c r="J2824" i="2"/>
  <c r="K2824" i="2" s="1"/>
  <c r="J2828" i="2"/>
  <c r="K2828" i="2" s="1"/>
  <c r="J2832" i="2"/>
  <c r="K2832" i="2" s="1"/>
  <c r="J2836" i="2"/>
  <c r="K2836" i="2" s="1"/>
  <c r="J2840" i="2"/>
  <c r="K2840" i="2" s="1"/>
  <c r="J2844" i="2"/>
  <c r="K2844" i="2" s="1"/>
  <c r="J2848" i="2"/>
  <c r="K2848" i="2" s="1"/>
  <c r="J2852" i="2"/>
  <c r="K2852" i="2" s="1"/>
  <c r="J2856" i="2"/>
  <c r="K2856" i="2" s="1"/>
  <c r="J2860" i="2"/>
  <c r="K2860" i="2" s="1"/>
  <c r="J2864" i="2"/>
  <c r="K2864" i="2" s="1"/>
  <c r="J2868" i="2"/>
  <c r="K2868" i="2" s="1"/>
  <c r="J2872" i="2"/>
  <c r="K2872" i="2" s="1"/>
  <c r="J2876" i="2"/>
  <c r="K2876" i="2" s="1"/>
  <c r="J2880" i="2"/>
  <c r="K2880" i="2" s="1"/>
  <c r="J2884" i="2"/>
  <c r="K2884" i="2" s="1"/>
  <c r="J2888" i="2"/>
  <c r="K2888" i="2" s="1"/>
  <c r="J2892" i="2"/>
  <c r="K2892" i="2" s="1"/>
  <c r="J2896" i="2"/>
  <c r="K2896" i="2" s="1"/>
  <c r="J2900" i="2"/>
  <c r="K2900" i="2" s="1"/>
  <c r="J2904" i="2"/>
  <c r="K2904" i="2" s="1"/>
  <c r="J2908" i="2"/>
  <c r="K2908" i="2" s="1"/>
  <c r="J2912" i="2"/>
  <c r="K2912" i="2" s="1"/>
  <c r="J2916" i="2"/>
  <c r="K2916" i="2" s="1"/>
  <c r="J2920" i="2"/>
  <c r="K2920" i="2" s="1"/>
  <c r="J2924" i="2"/>
  <c r="K2924" i="2" s="1"/>
  <c r="J2928" i="2"/>
  <c r="K2928" i="2" s="1"/>
  <c r="J2932" i="2"/>
  <c r="K2932" i="2" s="1"/>
  <c r="J2936" i="2"/>
  <c r="K2936" i="2" s="1"/>
  <c r="J2940" i="2"/>
  <c r="K2940" i="2" s="1"/>
  <c r="J2944" i="2"/>
  <c r="K2944" i="2" s="1"/>
  <c r="J2948" i="2"/>
  <c r="K2948" i="2" s="1"/>
  <c r="J2952" i="2"/>
  <c r="K2952" i="2" s="1"/>
  <c r="J2956" i="2"/>
  <c r="K2956" i="2" s="1"/>
  <c r="J2960" i="2"/>
  <c r="K2960" i="2" s="1"/>
  <c r="J2964" i="2"/>
  <c r="K2964" i="2" s="1"/>
  <c r="J2968" i="2"/>
  <c r="K2968" i="2" s="1"/>
  <c r="J2972" i="2"/>
  <c r="K2972" i="2" s="1"/>
  <c r="J2976" i="2"/>
  <c r="K2976" i="2" s="1"/>
  <c r="J2980" i="2"/>
  <c r="K2980" i="2" s="1"/>
  <c r="J2984" i="2"/>
  <c r="K2984" i="2" s="1"/>
  <c r="J2988" i="2"/>
  <c r="K2988" i="2" s="1"/>
  <c r="J2992" i="2"/>
  <c r="K2992" i="2" s="1"/>
  <c r="J2996" i="2"/>
  <c r="K2996" i="2" s="1"/>
  <c r="J3000" i="2"/>
  <c r="K3000" i="2" s="1"/>
  <c r="J3004" i="2"/>
  <c r="K3004" i="2" s="1"/>
  <c r="J3008" i="2"/>
  <c r="K3008" i="2" s="1"/>
  <c r="J3012" i="2"/>
  <c r="K3012" i="2" s="1"/>
  <c r="J3016" i="2"/>
  <c r="K3016" i="2" s="1"/>
  <c r="J3020" i="2"/>
  <c r="K3020" i="2" s="1"/>
  <c r="J3024" i="2"/>
  <c r="K3024" i="2" s="1"/>
  <c r="J3028" i="2"/>
  <c r="K3028" i="2" s="1"/>
  <c r="J3032" i="2"/>
  <c r="K3032" i="2" s="1"/>
  <c r="J3036" i="2"/>
  <c r="K3036" i="2" s="1"/>
  <c r="J3040" i="2"/>
  <c r="K3040" i="2" s="1"/>
  <c r="J3044" i="2"/>
  <c r="K3044" i="2" s="1"/>
  <c r="J3048" i="2"/>
  <c r="K3048" i="2" s="1"/>
  <c r="J3052" i="2"/>
  <c r="K3052" i="2" s="1"/>
  <c r="J3056" i="2"/>
  <c r="K3056" i="2" s="1"/>
  <c r="J3060" i="2"/>
  <c r="K3060" i="2" s="1"/>
  <c r="J3064" i="2"/>
  <c r="K3064" i="2" s="1"/>
  <c r="J3068" i="2"/>
  <c r="K3068" i="2" s="1"/>
  <c r="J3072" i="2"/>
  <c r="K3072" i="2" s="1"/>
  <c r="J3076" i="2"/>
  <c r="K3076" i="2" s="1"/>
  <c r="J3080" i="2"/>
  <c r="K3080" i="2" s="1"/>
  <c r="J3084" i="2"/>
  <c r="K3084" i="2" s="1"/>
  <c r="J3088" i="2"/>
  <c r="K3088" i="2" s="1"/>
  <c r="J3092" i="2"/>
  <c r="K3092" i="2" s="1"/>
  <c r="J3096" i="2"/>
  <c r="K3096" i="2" s="1"/>
  <c r="J3100" i="2"/>
  <c r="K3100" i="2" s="1"/>
  <c r="J3104" i="2"/>
  <c r="K3104" i="2" s="1"/>
  <c r="J3108" i="2"/>
  <c r="K3108" i="2" s="1"/>
  <c r="J3112" i="2"/>
  <c r="K3112" i="2" s="1"/>
  <c r="J3116" i="2"/>
  <c r="K3116" i="2" s="1"/>
  <c r="J3120" i="2"/>
  <c r="K3120" i="2" s="1"/>
  <c r="J3124" i="2"/>
  <c r="K3124" i="2" s="1"/>
  <c r="J3128" i="2"/>
  <c r="K3128" i="2" s="1"/>
  <c r="J3132" i="2"/>
  <c r="K3132" i="2" s="1"/>
  <c r="J3136" i="2"/>
  <c r="K3136" i="2" s="1"/>
  <c r="J3140" i="2"/>
  <c r="K3140" i="2" s="1"/>
  <c r="J3144" i="2"/>
  <c r="K3144" i="2" s="1"/>
  <c r="J3148" i="2"/>
  <c r="K3148" i="2" s="1"/>
  <c r="J3152" i="2"/>
  <c r="K3152" i="2" s="1"/>
  <c r="J3156" i="2"/>
  <c r="K3156" i="2" s="1"/>
  <c r="J3160" i="2"/>
  <c r="K3160" i="2" s="1"/>
  <c r="J3164" i="2"/>
  <c r="K3164" i="2" s="1"/>
  <c r="J3168" i="2"/>
  <c r="K3168" i="2" s="1"/>
  <c r="J3172" i="2"/>
  <c r="K3172" i="2" s="1"/>
  <c r="J3176" i="2"/>
  <c r="K3176" i="2" s="1"/>
  <c r="J3180" i="2"/>
  <c r="K3180" i="2" s="1"/>
  <c r="J3184" i="2"/>
  <c r="K3184" i="2" s="1"/>
  <c r="J3188" i="2"/>
  <c r="K3188" i="2" s="1"/>
  <c r="J3192" i="2"/>
  <c r="K3192" i="2" s="1"/>
  <c r="J3196" i="2"/>
  <c r="K3196" i="2" s="1"/>
  <c r="J3200" i="2"/>
  <c r="K3200" i="2" s="1"/>
  <c r="J3204" i="2"/>
  <c r="K3204" i="2" s="1"/>
  <c r="J3208" i="2"/>
  <c r="K3208" i="2" s="1"/>
  <c r="J3212" i="2"/>
  <c r="K3212" i="2" s="1"/>
  <c r="J3216" i="2"/>
  <c r="K3216" i="2" s="1"/>
  <c r="J3220" i="2"/>
  <c r="K3220" i="2" s="1"/>
  <c r="J3224" i="2"/>
  <c r="K3224" i="2" s="1"/>
  <c r="J3228" i="2"/>
  <c r="K3228" i="2" s="1"/>
  <c r="J3232" i="2"/>
  <c r="K3232" i="2" s="1"/>
  <c r="J3236" i="2"/>
  <c r="K3236" i="2" s="1"/>
  <c r="J3240" i="2"/>
  <c r="K3240" i="2" s="1"/>
  <c r="J3244" i="2"/>
  <c r="K3244" i="2" s="1"/>
  <c r="J3248" i="2"/>
  <c r="K3248" i="2" s="1"/>
  <c r="J3252" i="2"/>
  <c r="K3252" i="2" s="1"/>
  <c r="J3256" i="2"/>
  <c r="K3256" i="2" s="1"/>
  <c r="J3260" i="2"/>
  <c r="K3260" i="2" s="1"/>
  <c r="J3264" i="2"/>
  <c r="K3264" i="2" s="1"/>
  <c r="J3268" i="2"/>
  <c r="K3268" i="2" s="1"/>
  <c r="J3272" i="2"/>
  <c r="K3272" i="2" s="1"/>
  <c r="J3276" i="2"/>
  <c r="K3276" i="2" s="1"/>
  <c r="J3280" i="2"/>
  <c r="K3280" i="2" s="1"/>
  <c r="J3284" i="2"/>
  <c r="K3284" i="2" s="1"/>
  <c r="J3288" i="2"/>
  <c r="K3288" i="2" s="1"/>
  <c r="J3292" i="2"/>
  <c r="K3292" i="2" s="1"/>
  <c r="J3296" i="2"/>
  <c r="K3296" i="2" s="1"/>
  <c r="J3300" i="2"/>
  <c r="K3300" i="2" s="1"/>
  <c r="J3304" i="2"/>
  <c r="K3304" i="2" s="1"/>
  <c r="J3308" i="2"/>
  <c r="K3308" i="2" s="1"/>
  <c r="J3312" i="2"/>
  <c r="K3312" i="2" s="1"/>
  <c r="J3316" i="2"/>
  <c r="K3316" i="2" s="1"/>
  <c r="J3320" i="2"/>
  <c r="K3320" i="2" s="1"/>
  <c r="J3324" i="2"/>
  <c r="K3324" i="2" s="1"/>
  <c r="J3328" i="2"/>
  <c r="K3328" i="2" s="1"/>
  <c r="J3332" i="2"/>
  <c r="K3332" i="2" s="1"/>
  <c r="J3336" i="2"/>
  <c r="K3336" i="2" s="1"/>
  <c r="J3340" i="2"/>
  <c r="K3340" i="2" s="1"/>
  <c r="J3344" i="2"/>
  <c r="K3344" i="2" s="1"/>
  <c r="J3348" i="2"/>
  <c r="K3348" i="2" s="1"/>
  <c r="J806" i="2"/>
  <c r="K806" i="2" s="1"/>
  <c r="J1170" i="2"/>
  <c r="K1170" i="2" s="1"/>
  <c r="J1426" i="2"/>
  <c r="K1426" i="2" s="1"/>
  <c r="J1580" i="2"/>
  <c r="K1580" i="2" s="1"/>
  <c r="J1666" i="2"/>
  <c r="K1666" i="2" s="1"/>
  <c r="J1746" i="2"/>
  <c r="K1746" i="2" s="1"/>
  <c r="J1810" i="2"/>
  <c r="K1810" i="2" s="1"/>
  <c r="J1874" i="2"/>
  <c r="K1874" i="2" s="1"/>
  <c r="J1938" i="2"/>
  <c r="K1938" i="2" s="1"/>
  <c r="J2002" i="2"/>
  <c r="K2002" i="2" s="1"/>
  <c r="J2066" i="2"/>
  <c r="K2066" i="2" s="1"/>
  <c r="J2130" i="2"/>
  <c r="K2130" i="2" s="1"/>
  <c r="J2194" i="2"/>
  <c r="K2194" i="2" s="1"/>
  <c r="J2258" i="2"/>
  <c r="K2258" i="2" s="1"/>
  <c r="J2322" i="2"/>
  <c r="K2322" i="2" s="1"/>
  <c r="J2386" i="2"/>
  <c r="K2386" i="2" s="1"/>
  <c r="J2450" i="2"/>
  <c r="K2450" i="2" s="1"/>
  <c r="J2514" i="2"/>
  <c r="K2514" i="2" s="1"/>
  <c r="J2559" i="2"/>
  <c r="K2559" i="2" s="1"/>
  <c r="J2580" i="2"/>
  <c r="K2580" i="2" s="1"/>
  <c r="J2602" i="2"/>
  <c r="K2602" i="2" s="1"/>
  <c r="J2623" i="2"/>
  <c r="K2623" i="2" s="1"/>
  <c r="J2644" i="2"/>
  <c r="K2644" i="2" s="1"/>
  <c r="J2666" i="2"/>
  <c r="K2666" i="2" s="1"/>
  <c r="J2687" i="2"/>
  <c r="K2687" i="2" s="1"/>
  <c r="J2708" i="2"/>
  <c r="K2708" i="2" s="1"/>
  <c r="J2730" i="2"/>
  <c r="K2730" i="2" s="1"/>
  <c r="J2751" i="2"/>
  <c r="K2751" i="2" s="1"/>
  <c r="J2772" i="2"/>
  <c r="K2772" i="2" s="1"/>
  <c r="J2789" i="2"/>
  <c r="K2789" i="2" s="1"/>
  <c r="J2805" i="2"/>
  <c r="K2805" i="2" s="1"/>
  <c r="J2821" i="2"/>
  <c r="K2821" i="2" s="1"/>
  <c r="J2837" i="2"/>
  <c r="K2837" i="2" s="1"/>
  <c r="J2853" i="2"/>
  <c r="K2853" i="2" s="1"/>
  <c r="J2869" i="2"/>
  <c r="K2869" i="2" s="1"/>
  <c r="J2885" i="2"/>
  <c r="K2885" i="2" s="1"/>
  <c r="J2901" i="2"/>
  <c r="K2901" i="2" s="1"/>
  <c r="J2917" i="2"/>
  <c r="K2917" i="2" s="1"/>
  <c r="J2933" i="2"/>
  <c r="K2933" i="2" s="1"/>
  <c r="J2949" i="2"/>
  <c r="K2949" i="2" s="1"/>
  <c r="J2965" i="2"/>
  <c r="K2965" i="2" s="1"/>
  <c r="J2981" i="2"/>
  <c r="K2981" i="2" s="1"/>
  <c r="J2997" i="2"/>
  <c r="K2997" i="2" s="1"/>
  <c r="J3013" i="2"/>
  <c r="K3013" i="2" s="1"/>
  <c r="J3029" i="2"/>
  <c r="K3029" i="2" s="1"/>
  <c r="J3045" i="2"/>
  <c r="K3045" i="2" s="1"/>
  <c r="J3061" i="2"/>
  <c r="K3061" i="2" s="1"/>
  <c r="J3077" i="2"/>
  <c r="K3077" i="2" s="1"/>
  <c r="J3093" i="2"/>
  <c r="K3093" i="2" s="1"/>
  <c r="J3109" i="2"/>
  <c r="K3109" i="2" s="1"/>
  <c r="J3125" i="2"/>
  <c r="K3125" i="2" s="1"/>
  <c r="J3141" i="2"/>
  <c r="K3141" i="2" s="1"/>
  <c r="J3157" i="2"/>
  <c r="K3157" i="2" s="1"/>
  <c r="J3173" i="2"/>
  <c r="K3173" i="2" s="1"/>
  <c r="J3189" i="2"/>
  <c r="K3189" i="2" s="1"/>
  <c r="J3205" i="2"/>
  <c r="K3205" i="2" s="1"/>
  <c r="J3221" i="2"/>
  <c r="K3221" i="2" s="1"/>
  <c r="J3237" i="2"/>
  <c r="K3237" i="2" s="1"/>
  <c r="J3253" i="2"/>
  <c r="K3253" i="2" s="1"/>
  <c r="J3269" i="2"/>
  <c r="K3269" i="2" s="1"/>
  <c r="J3285" i="2"/>
  <c r="K3285" i="2" s="1"/>
  <c r="J3301" i="2"/>
  <c r="K3301" i="2" s="1"/>
  <c r="J3317" i="2"/>
  <c r="K3317" i="2" s="1"/>
  <c r="J3333" i="2"/>
  <c r="K3333" i="2" s="1"/>
  <c r="J3349" i="2"/>
  <c r="K3349" i="2" s="1"/>
  <c r="J3357" i="2"/>
  <c r="K3357" i="2" s="1"/>
  <c r="J3365" i="2"/>
  <c r="K3365" i="2" s="1"/>
  <c r="J3373" i="2"/>
  <c r="K3373" i="2" s="1"/>
  <c r="J3381" i="2"/>
  <c r="K3381" i="2" s="1"/>
  <c r="J3389" i="2"/>
  <c r="K3389" i="2" s="1"/>
  <c r="J3397" i="2"/>
  <c r="K3397" i="2" s="1"/>
  <c r="J3405" i="2"/>
  <c r="K3405" i="2" s="1"/>
  <c r="J3413" i="2"/>
  <c r="K3413" i="2" s="1"/>
  <c r="J3421" i="2"/>
  <c r="K3421" i="2" s="1"/>
  <c r="J3429" i="2"/>
  <c r="K3429" i="2" s="1"/>
  <c r="J3437" i="2"/>
  <c r="K3437" i="2" s="1"/>
  <c r="J3445" i="2"/>
  <c r="K3445" i="2" s="1"/>
  <c r="J3452" i="2"/>
  <c r="K3452" i="2" s="1"/>
  <c r="J3457" i="2"/>
  <c r="K3457" i="2" s="1"/>
  <c r="J3463" i="2"/>
  <c r="K3463" i="2" s="1"/>
  <c r="J3468" i="2"/>
  <c r="K3468" i="2" s="1"/>
  <c r="J3473" i="2"/>
  <c r="K3473" i="2" s="1"/>
  <c r="J3479" i="2"/>
  <c r="K3479" i="2" s="1"/>
  <c r="J3484" i="2"/>
  <c r="K3484" i="2" s="1"/>
  <c r="J3489" i="2"/>
  <c r="K3489" i="2" s="1"/>
  <c r="J3495" i="2"/>
  <c r="K3495" i="2" s="1"/>
  <c r="J3500" i="2"/>
  <c r="K3500" i="2" s="1"/>
  <c r="J3505" i="2"/>
  <c r="K3505" i="2" s="1"/>
  <c r="J3511" i="2"/>
  <c r="K3511" i="2" s="1"/>
  <c r="J3516" i="2"/>
  <c r="K3516" i="2" s="1"/>
  <c r="J3521" i="2"/>
  <c r="K3521" i="2" s="1"/>
  <c r="J3527" i="2"/>
  <c r="K3527" i="2" s="1"/>
  <c r="J3532" i="2"/>
  <c r="K3532" i="2" s="1"/>
  <c r="J3537" i="2"/>
  <c r="K3537" i="2" s="1"/>
  <c r="J3543" i="2"/>
  <c r="K3543" i="2" s="1"/>
  <c r="J3548" i="2"/>
  <c r="K3548" i="2" s="1"/>
  <c r="J3553" i="2"/>
  <c r="K3553" i="2" s="1"/>
  <c r="J3559" i="2"/>
  <c r="K3559" i="2" s="1"/>
  <c r="J3564" i="2"/>
  <c r="K3564" i="2" s="1"/>
  <c r="J3569" i="2"/>
  <c r="K3569" i="2" s="1"/>
  <c r="J3575" i="2"/>
  <c r="K3575" i="2" s="1"/>
  <c r="J3580" i="2"/>
  <c r="K3580" i="2" s="1"/>
  <c r="J3585" i="2"/>
  <c r="K3585" i="2" s="1"/>
  <c r="J3591" i="2"/>
  <c r="K3591" i="2" s="1"/>
  <c r="J3596" i="2"/>
  <c r="K3596" i="2" s="1"/>
  <c r="J3601" i="2"/>
  <c r="K3601" i="2" s="1"/>
  <c r="J3607" i="2"/>
  <c r="K3607" i="2" s="1"/>
  <c r="J3612" i="2"/>
  <c r="K3612" i="2" s="1"/>
  <c r="J3617" i="2"/>
  <c r="K3617" i="2" s="1"/>
  <c r="J3623" i="2"/>
  <c r="K3623" i="2" s="1"/>
  <c r="J3628" i="2"/>
  <c r="K3628" i="2" s="1"/>
  <c r="J3633" i="2"/>
  <c r="K3633" i="2" s="1"/>
  <c r="J3639" i="2"/>
  <c r="K3639" i="2" s="1"/>
  <c r="J3644" i="2"/>
  <c r="K3644" i="2" s="1"/>
  <c r="J3649" i="2"/>
  <c r="K3649" i="2" s="1"/>
  <c r="J3655" i="2"/>
  <c r="K3655" i="2" s="1"/>
  <c r="J3660" i="2"/>
  <c r="K3660" i="2" s="1"/>
  <c r="J3665" i="2"/>
  <c r="K3665" i="2" s="1"/>
  <c r="J3671" i="2"/>
  <c r="K3671" i="2" s="1"/>
  <c r="J3676" i="2"/>
  <c r="K3676" i="2" s="1"/>
  <c r="J3681" i="2"/>
  <c r="K3681" i="2" s="1"/>
  <c r="J3686" i="2"/>
  <c r="K3686" i="2" s="1"/>
  <c r="J3690" i="2"/>
  <c r="K3690" i="2" s="1"/>
  <c r="J3694" i="2"/>
  <c r="K3694" i="2" s="1"/>
  <c r="J3698" i="2"/>
  <c r="K3698" i="2" s="1"/>
  <c r="J3702" i="2"/>
  <c r="K3702" i="2" s="1"/>
  <c r="J3706" i="2"/>
  <c r="K3706" i="2" s="1"/>
  <c r="J3710" i="2"/>
  <c r="K3710" i="2" s="1"/>
  <c r="J3714" i="2"/>
  <c r="K3714" i="2" s="1"/>
  <c r="J3718" i="2"/>
  <c r="K3718" i="2" s="1"/>
  <c r="J3722" i="2"/>
  <c r="K3722" i="2" s="1"/>
  <c r="J3726" i="2"/>
  <c r="K3726" i="2" s="1"/>
  <c r="J3730" i="2"/>
  <c r="K3730" i="2" s="1"/>
  <c r="J3734" i="2"/>
  <c r="K3734" i="2" s="1"/>
  <c r="J3738" i="2"/>
  <c r="K3738" i="2" s="1"/>
  <c r="J3742" i="2"/>
  <c r="K3742" i="2" s="1"/>
  <c r="J3746" i="2"/>
  <c r="K3746" i="2" s="1"/>
  <c r="J3750" i="2"/>
  <c r="K3750" i="2" s="1"/>
  <c r="J3754" i="2"/>
  <c r="K3754" i="2" s="1"/>
  <c r="J3758" i="2"/>
  <c r="K3758" i="2" s="1"/>
  <c r="J3762" i="2"/>
  <c r="K3762" i="2" s="1"/>
  <c r="J3766" i="2"/>
  <c r="K3766" i="2" s="1"/>
  <c r="J3770" i="2"/>
  <c r="K3770" i="2" s="1"/>
  <c r="J3774" i="2"/>
  <c r="K3774" i="2" s="1"/>
  <c r="J3778" i="2"/>
  <c r="K3778" i="2" s="1"/>
  <c r="J3782" i="2"/>
  <c r="K3782" i="2" s="1"/>
  <c r="J3786" i="2"/>
  <c r="K3786" i="2" s="1"/>
  <c r="J3790" i="2"/>
  <c r="K3790" i="2" s="1"/>
  <c r="J3794" i="2"/>
  <c r="K3794" i="2" s="1"/>
  <c r="J3798" i="2"/>
  <c r="K3798" i="2" s="1"/>
  <c r="J3802" i="2"/>
  <c r="K3802" i="2" s="1"/>
  <c r="J3806" i="2"/>
  <c r="K3806" i="2" s="1"/>
  <c r="J3810" i="2"/>
  <c r="K3810" i="2" s="1"/>
  <c r="J3814" i="2"/>
  <c r="K3814" i="2" s="1"/>
  <c r="J3818" i="2"/>
  <c r="K3818" i="2" s="1"/>
  <c r="J3822" i="2"/>
  <c r="K3822" i="2" s="1"/>
  <c r="J3826" i="2"/>
  <c r="K3826" i="2" s="1"/>
  <c r="J3830" i="2"/>
  <c r="K3830" i="2" s="1"/>
  <c r="J3834" i="2"/>
  <c r="K3834" i="2" s="1"/>
  <c r="J3838" i="2"/>
  <c r="K3838" i="2" s="1"/>
  <c r="J3842" i="2"/>
  <c r="K3842" i="2" s="1"/>
  <c r="J3846" i="2"/>
  <c r="K3846" i="2" s="1"/>
  <c r="J3850" i="2"/>
  <c r="K3850" i="2" s="1"/>
  <c r="J3854" i="2"/>
  <c r="K3854" i="2" s="1"/>
  <c r="J3858" i="2"/>
  <c r="K3858" i="2" s="1"/>
  <c r="J3862" i="2"/>
  <c r="K3862" i="2" s="1"/>
  <c r="J3866" i="2"/>
  <c r="K3866" i="2" s="1"/>
  <c r="J3870" i="2"/>
  <c r="K3870" i="2" s="1"/>
  <c r="J3874" i="2"/>
  <c r="K3874" i="2" s="1"/>
  <c r="J3878" i="2"/>
  <c r="K3878" i="2" s="1"/>
  <c r="J3882" i="2"/>
  <c r="K3882" i="2" s="1"/>
  <c r="J3886" i="2"/>
  <c r="K3886" i="2" s="1"/>
  <c r="J3890" i="2"/>
  <c r="K3890" i="2" s="1"/>
  <c r="J3894" i="2"/>
  <c r="K3894" i="2" s="1"/>
  <c r="J3898" i="2"/>
  <c r="K3898" i="2" s="1"/>
  <c r="J3902" i="2"/>
  <c r="K3902" i="2" s="1"/>
  <c r="J3906" i="2"/>
  <c r="K3906" i="2" s="1"/>
  <c r="J3910" i="2"/>
  <c r="K3910" i="2" s="1"/>
  <c r="J3914" i="2"/>
  <c r="K3914" i="2" s="1"/>
  <c r="J3918" i="2"/>
  <c r="K3918" i="2" s="1"/>
  <c r="J3922" i="2"/>
  <c r="K3922" i="2" s="1"/>
  <c r="J3926" i="2"/>
  <c r="K3926" i="2" s="1"/>
  <c r="J3930" i="2"/>
  <c r="K3930" i="2" s="1"/>
  <c r="J3934" i="2"/>
  <c r="K3934" i="2" s="1"/>
  <c r="J3938" i="2"/>
  <c r="K3938" i="2" s="1"/>
  <c r="J3942" i="2"/>
  <c r="K3942" i="2" s="1"/>
  <c r="J3946" i="2"/>
  <c r="K3946" i="2" s="1"/>
  <c r="J3950" i="2"/>
  <c r="K3950" i="2" s="1"/>
  <c r="J3954" i="2"/>
  <c r="K3954" i="2" s="1"/>
  <c r="J3958" i="2"/>
  <c r="K3958" i="2" s="1"/>
  <c r="J3962" i="2"/>
  <c r="K3962" i="2" s="1"/>
  <c r="J3966" i="2"/>
  <c r="K3966" i="2" s="1"/>
  <c r="J3970" i="2"/>
  <c r="K3970" i="2" s="1"/>
  <c r="J3974" i="2"/>
  <c r="K3974" i="2" s="1"/>
  <c r="J3978" i="2"/>
  <c r="K3978" i="2" s="1"/>
  <c r="J3982" i="2"/>
  <c r="K3982" i="2" s="1"/>
  <c r="J3986" i="2"/>
  <c r="K3986" i="2" s="1"/>
  <c r="J3990" i="2"/>
  <c r="K3990" i="2" s="1"/>
  <c r="J3994" i="2"/>
  <c r="K3994" i="2" s="1"/>
  <c r="J3998" i="2"/>
  <c r="K3998" i="2" s="1"/>
  <c r="J4002" i="2"/>
  <c r="K4002" i="2" s="1"/>
  <c r="J4006" i="2"/>
  <c r="K4006" i="2" s="1"/>
  <c r="J4010" i="2"/>
  <c r="K4010" i="2" s="1"/>
  <c r="J4014" i="2"/>
  <c r="K4014" i="2" s="1"/>
  <c r="J4018" i="2"/>
  <c r="K4018" i="2" s="1"/>
  <c r="J4022" i="2"/>
  <c r="K4022" i="2" s="1"/>
  <c r="J4026" i="2"/>
  <c r="K4026" i="2" s="1"/>
  <c r="J4030" i="2"/>
  <c r="K4030" i="2" s="1"/>
  <c r="J4034" i="2"/>
  <c r="K4034" i="2" s="1"/>
  <c r="J4038" i="2"/>
  <c r="K4038" i="2" s="1"/>
  <c r="J4042" i="2"/>
  <c r="K4042" i="2" s="1"/>
  <c r="J4046" i="2"/>
  <c r="K4046" i="2" s="1"/>
  <c r="J4050" i="2"/>
  <c r="K4050" i="2" s="1"/>
  <c r="J4054" i="2"/>
  <c r="K4054" i="2" s="1"/>
  <c r="J4058" i="2"/>
  <c r="K4058" i="2" s="1"/>
  <c r="J4062" i="2"/>
  <c r="K4062" i="2" s="1"/>
  <c r="J4066" i="2"/>
  <c r="K4066" i="2" s="1"/>
  <c r="J4070" i="2"/>
  <c r="K4070" i="2" s="1"/>
  <c r="J4074" i="2"/>
  <c r="K4074" i="2" s="1"/>
  <c r="J4078" i="2"/>
  <c r="K4078" i="2" s="1"/>
  <c r="J4082" i="2"/>
  <c r="K4082" i="2" s="1"/>
  <c r="J4086" i="2"/>
  <c r="K4086" i="2" s="1"/>
  <c r="J4090" i="2"/>
  <c r="K4090" i="2" s="1"/>
  <c r="J4094" i="2"/>
  <c r="K4094" i="2" s="1"/>
  <c r="J4098" i="2"/>
  <c r="K4098" i="2" s="1"/>
  <c r="J4102" i="2"/>
  <c r="K4102" i="2" s="1"/>
  <c r="J4106" i="2"/>
  <c r="K4106" i="2" s="1"/>
  <c r="J4110" i="2"/>
  <c r="K4110" i="2" s="1"/>
  <c r="J4114" i="2"/>
  <c r="K4114" i="2" s="1"/>
  <c r="J4118" i="2"/>
  <c r="K4118" i="2" s="1"/>
  <c r="J4122" i="2"/>
  <c r="K4122" i="2" s="1"/>
  <c r="J4126" i="2"/>
  <c r="K4126" i="2" s="1"/>
  <c r="J4130" i="2"/>
  <c r="K4130" i="2" s="1"/>
  <c r="J4134" i="2"/>
  <c r="K4134" i="2" s="1"/>
  <c r="J4138" i="2"/>
  <c r="K4138" i="2" s="1"/>
  <c r="J4142" i="2"/>
  <c r="K4142" i="2" s="1"/>
  <c r="J4146" i="2"/>
  <c r="K4146" i="2" s="1"/>
  <c r="J4150" i="2"/>
  <c r="K4150" i="2" s="1"/>
  <c r="J4154" i="2"/>
  <c r="K4154" i="2" s="1"/>
  <c r="J4158" i="2"/>
  <c r="K4158" i="2" s="1"/>
  <c r="J4162" i="2"/>
  <c r="K4162" i="2" s="1"/>
  <c r="J4166" i="2"/>
  <c r="K4166" i="2" s="1"/>
  <c r="J4170" i="2"/>
  <c r="K4170" i="2" s="1"/>
  <c r="J4174" i="2"/>
  <c r="K4174" i="2" s="1"/>
  <c r="J4178" i="2"/>
  <c r="K4178" i="2" s="1"/>
  <c r="J4182" i="2"/>
  <c r="K4182" i="2" s="1"/>
  <c r="J4186" i="2"/>
  <c r="K4186" i="2" s="1"/>
  <c r="J4190" i="2"/>
  <c r="K4190" i="2" s="1"/>
  <c r="J4194" i="2"/>
  <c r="K4194" i="2" s="1"/>
  <c r="J4198" i="2"/>
  <c r="K4198" i="2" s="1"/>
  <c r="J4202" i="2"/>
  <c r="K4202" i="2" s="1"/>
  <c r="J4206" i="2"/>
  <c r="K4206" i="2" s="1"/>
  <c r="J4210" i="2"/>
  <c r="K4210" i="2" s="1"/>
  <c r="J4214" i="2"/>
  <c r="K4214" i="2" s="1"/>
  <c r="J4218" i="2"/>
  <c r="K4218" i="2" s="1"/>
  <c r="J4222" i="2"/>
  <c r="K4222" i="2" s="1"/>
  <c r="J4226" i="2"/>
  <c r="K4226" i="2" s="1"/>
  <c r="J4230" i="2"/>
  <c r="K4230" i="2" s="1"/>
  <c r="J4234" i="2"/>
  <c r="K4234" i="2" s="1"/>
  <c r="J4238" i="2"/>
  <c r="K4238" i="2" s="1"/>
  <c r="J4242" i="2"/>
  <c r="K4242" i="2" s="1"/>
  <c r="J4246" i="2"/>
  <c r="K4246" i="2" s="1"/>
  <c r="J4250" i="2"/>
  <c r="K4250" i="2" s="1"/>
  <c r="J4254" i="2"/>
  <c r="K4254" i="2" s="1"/>
  <c r="J4258" i="2"/>
  <c r="K4258" i="2" s="1"/>
  <c r="J4262" i="2"/>
  <c r="K4262" i="2" s="1"/>
  <c r="J4266" i="2"/>
  <c r="K4266" i="2" s="1"/>
  <c r="J4270" i="2"/>
  <c r="K4270" i="2" s="1"/>
  <c r="J4274" i="2"/>
  <c r="K4274" i="2" s="1"/>
  <c r="J4278" i="2"/>
  <c r="K4278" i="2" s="1"/>
  <c r="J4282" i="2"/>
  <c r="K4282" i="2" s="1"/>
  <c r="J4286" i="2"/>
  <c r="K4286" i="2" s="1"/>
  <c r="J4290" i="2"/>
  <c r="K4290" i="2" s="1"/>
  <c r="J4294" i="2"/>
  <c r="K4294" i="2" s="1"/>
  <c r="J4298" i="2"/>
  <c r="K4298" i="2" s="1"/>
  <c r="J4302" i="2"/>
  <c r="K4302" i="2" s="1"/>
  <c r="J4306" i="2"/>
  <c r="K4306" i="2" s="1"/>
  <c r="J4310" i="2"/>
  <c r="K4310" i="2" s="1"/>
  <c r="J4314" i="2"/>
  <c r="K4314" i="2" s="1"/>
  <c r="J4318" i="2"/>
  <c r="K4318" i="2" s="1"/>
  <c r="J4322" i="2"/>
  <c r="K4322" i="2" s="1"/>
  <c r="J4326" i="2"/>
  <c r="K4326" i="2" s="1"/>
  <c r="J934" i="2"/>
  <c r="K934" i="2" s="1"/>
  <c r="J1234" i="2"/>
  <c r="K1234" i="2" s="1"/>
  <c r="J1490" i="2"/>
  <c r="K1490" i="2" s="1"/>
  <c r="J1602" i="2"/>
  <c r="K1602" i="2" s="1"/>
  <c r="J1687" i="2"/>
  <c r="K1687" i="2" s="1"/>
  <c r="J1762" i="2"/>
  <c r="K1762" i="2" s="1"/>
  <c r="J1826" i="2"/>
  <c r="K1826" i="2" s="1"/>
  <c r="J1890" i="2"/>
  <c r="K1890" i="2" s="1"/>
  <c r="J1954" i="2"/>
  <c r="K1954" i="2" s="1"/>
  <c r="J2018" i="2"/>
  <c r="K2018" i="2" s="1"/>
  <c r="J2082" i="2"/>
  <c r="K2082" i="2" s="1"/>
  <c r="J2146" i="2"/>
  <c r="K2146" i="2" s="1"/>
  <c r="J2210" i="2"/>
  <c r="K2210" i="2" s="1"/>
  <c r="J2274" i="2"/>
  <c r="K2274" i="2" s="1"/>
  <c r="J2338" i="2"/>
  <c r="K2338" i="2" s="1"/>
  <c r="J2402" i="2"/>
  <c r="K2402" i="2" s="1"/>
  <c r="J2466" i="2"/>
  <c r="K2466" i="2" s="1"/>
  <c r="J2530" i="2"/>
  <c r="K2530" i="2" s="1"/>
  <c r="J2564" i="2"/>
  <c r="K2564" i="2" s="1"/>
  <c r="J2586" i="2"/>
  <c r="K2586" i="2" s="1"/>
  <c r="J2607" i="2"/>
  <c r="K2607" i="2" s="1"/>
  <c r="J2628" i="2"/>
  <c r="K2628" i="2" s="1"/>
  <c r="J2650" i="2"/>
  <c r="K2650" i="2" s="1"/>
  <c r="J2671" i="2"/>
  <c r="K2671" i="2" s="1"/>
  <c r="J2692" i="2"/>
  <c r="K2692" i="2" s="1"/>
  <c r="J2714" i="2"/>
  <c r="K2714" i="2" s="1"/>
  <c r="J2735" i="2"/>
  <c r="K2735" i="2" s="1"/>
  <c r="J2756" i="2"/>
  <c r="K2756" i="2" s="1"/>
  <c r="J2777" i="2"/>
  <c r="K2777" i="2" s="1"/>
  <c r="J2793" i="2"/>
  <c r="K2793" i="2" s="1"/>
  <c r="J2809" i="2"/>
  <c r="K2809" i="2" s="1"/>
  <c r="J2825" i="2"/>
  <c r="K2825" i="2" s="1"/>
  <c r="J2841" i="2"/>
  <c r="K2841" i="2" s="1"/>
  <c r="J2857" i="2"/>
  <c r="K2857" i="2" s="1"/>
  <c r="J2873" i="2"/>
  <c r="K2873" i="2" s="1"/>
  <c r="J2889" i="2"/>
  <c r="K2889" i="2" s="1"/>
  <c r="J2905" i="2"/>
  <c r="K2905" i="2" s="1"/>
  <c r="J2921" i="2"/>
  <c r="K2921" i="2" s="1"/>
  <c r="J2937" i="2"/>
  <c r="K2937" i="2" s="1"/>
  <c r="J2953" i="2"/>
  <c r="K2953" i="2" s="1"/>
  <c r="J2969" i="2"/>
  <c r="K2969" i="2" s="1"/>
  <c r="J2985" i="2"/>
  <c r="K2985" i="2" s="1"/>
  <c r="J3001" i="2"/>
  <c r="K3001" i="2" s="1"/>
  <c r="J3017" i="2"/>
  <c r="K3017" i="2" s="1"/>
  <c r="J3033" i="2"/>
  <c r="K3033" i="2" s="1"/>
  <c r="J3049" i="2"/>
  <c r="K3049" i="2" s="1"/>
  <c r="J3065" i="2"/>
  <c r="K3065" i="2" s="1"/>
  <c r="J3081" i="2"/>
  <c r="K3081" i="2" s="1"/>
  <c r="J3097" i="2"/>
  <c r="K3097" i="2" s="1"/>
  <c r="J3113" i="2"/>
  <c r="K3113" i="2" s="1"/>
  <c r="J3129" i="2"/>
  <c r="K3129" i="2" s="1"/>
  <c r="J3145" i="2"/>
  <c r="K3145" i="2" s="1"/>
  <c r="J3161" i="2"/>
  <c r="K3161" i="2" s="1"/>
  <c r="J3177" i="2"/>
  <c r="K3177" i="2" s="1"/>
  <c r="J3193" i="2"/>
  <c r="K3193" i="2" s="1"/>
  <c r="J3209" i="2"/>
  <c r="K3209" i="2" s="1"/>
  <c r="J3225" i="2"/>
  <c r="K3225" i="2" s="1"/>
  <c r="J3241" i="2"/>
  <c r="K3241" i="2" s="1"/>
  <c r="J3257" i="2"/>
  <c r="K3257" i="2" s="1"/>
  <c r="J3273" i="2"/>
  <c r="K3273" i="2" s="1"/>
  <c r="J3289" i="2"/>
  <c r="K3289" i="2" s="1"/>
  <c r="J3305" i="2"/>
  <c r="K3305" i="2" s="1"/>
  <c r="J3321" i="2"/>
  <c r="K3321" i="2" s="1"/>
  <c r="J3337" i="2"/>
  <c r="K3337" i="2" s="1"/>
  <c r="J3352" i="2"/>
  <c r="K3352" i="2" s="1"/>
  <c r="J3360" i="2"/>
  <c r="K3360" i="2" s="1"/>
  <c r="J3368" i="2"/>
  <c r="K3368" i="2" s="1"/>
  <c r="J3376" i="2"/>
  <c r="K3376" i="2" s="1"/>
  <c r="J3384" i="2"/>
  <c r="K3384" i="2" s="1"/>
  <c r="J3392" i="2"/>
  <c r="K3392" i="2" s="1"/>
  <c r="J3400" i="2"/>
  <c r="K3400" i="2" s="1"/>
  <c r="J3408" i="2"/>
  <c r="K3408" i="2" s="1"/>
  <c r="J3416" i="2"/>
  <c r="K3416" i="2" s="1"/>
  <c r="J3424" i="2"/>
  <c r="K3424" i="2" s="1"/>
  <c r="J3432" i="2"/>
  <c r="K3432" i="2" s="1"/>
  <c r="J3440" i="2"/>
  <c r="K3440" i="2" s="1"/>
  <c r="J3448" i="2"/>
  <c r="K3448" i="2" s="1"/>
  <c r="J3453" i="2"/>
  <c r="K3453" i="2" s="1"/>
  <c r="J3459" i="2"/>
  <c r="K3459" i="2" s="1"/>
  <c r="J3464" i="2"/>
  <c r="K3464" i="2" s="1"/>
  <c r="J3469" i="2"/>
  <c r="K3469" i="2" s="1"/>
  <c r="J3475" i="2"/>
  <c r="K3475" i="2" s="1"/>
  <c r="J3480" i="2"/>
  <c r="K3480" i="2" s="1"/>
  <c r="J3485" i="2"/>
  <c r="K3485" i="2" s="1"/>
  <c r="J3491" i="2"/>
  <c r="K3491" i="2" s="1"/>
  <c r="J3496" i="2"/>
  <c r="K3496" i="2" s="1"/>
  <c r="J3501" i="2"/>
  <c r="K3501" i="2" s="1"/>
  <c r="J3507" i="2"/>
  <c r="K3507" i="2" s="1"/>
  <c r="J3512" i="2"/>
  <c r="K3512" i="2" s="1"/>
  <c r="J3517" i="2"/>
  <c r="K3517" i="2" s="1"/>
  <c r="J3523" i="2"/>
  <c r="K3523" i="2" s="1"/>
  <c r="J3528" i="2"/>
  <c r="K3528" i="2" s="1"/>
  <c r="J3533" i="2"/>
  <c r="K3533" i="2" s="1"/>
  <c r="J3539" i="2"/>
  <c r="K3539" i="2" s="1"/>
  <c r="J3544" i="2"/>
  <c r="K3544" i="2" s="1"/>
  <c r="J3549" i="2"/>
  <c r="K3549" i="2" s="1"/>
  <c r="J3555" i="2"/>
  <c r="K3555" i="2" s="1"/>
  <c r="J3560" i="2"/>
  <c r="K3560" i="2" s="1"/>
  <c r="J3565" i="2"/>
  <c r="K3565" i="2" s="1"/>
  <c r="J3571" i="2"/>
  <c r="K3571" i="2" s="1"/>
  <c r="J3576" i="2"/>
  <c r="K3576" i="2" s="1"/>
  <c r="J3581" i="2"/>
  <c r="K3581" i="2" s="1"/>
  <c r="J3587" i="2"/>
  <c r="K3587" i="2" s="1"/>
  <c r="J3592" i="2"/>
  <c r="K3592" i="2" s="1"/>
  <c r="J3597" i="2"/>
  <c r="K3597" i="2" s="1"/>
  <c r="J3603" i="2"/>
  <c r="K3603" i="2" s="1"/>
  <c r="J3608" i="2"/>
  <c r="K3608" i="2" s="1"/>
  <c r="J3613" i="2"/>
  <c r="K3613" i="2" s="1"/>
  <c r="J3619" i="2"/>
  <c r="K3619" i="2" s="1"/>
  <c r="J3624" i="2"/>
  <c r="K3624" i="2" s="1"/>
  <c r="J3629" i="2"/>
  <c r="K3629" i="2" s="1"/>
  <c r="J3635" i="2"/>
  <c r="K3635" i="2" s="1"/>
  <c r="J3640" i="2"/>
  <c r="K3640" i="2" s="1"/>
  <c r="J3645" i="2"/>
  <c r="K3645" i="2" s="1"/>
  <c r="J3651" i="2"/>
  <c r="K3651" i="2" s="1"/>
  <c r="J3656" i="2"/>
  <c r="K3656" i="2" s="1"/>
  <c r="J3661" i="2"/>
  <c r="K3661" i="2" s="1"/>
  <c r="J3667" i="2"/>
  <c r="K3667" i="2" s="1"/>
  <c r="J3672" i="2"/>
  <c r="K3672" i="2" s="1"/>
  <c r="J3677" i="2"/>
  <c r="K3677" i="2" s="1"/>
  <c r="J3683" i="2"/>
  <c r="K3683" i="2" s="1"/>
  <c r="J3687" i="2"/>
  <c r="K3687" i="2" s="1"/>
  <c r="J3691" i="2"/>
  <c r="K3691" i="2" s="1"/>
  <c r="J3695" i="2"/>
  <c r="K3695" i="2" s="1"/>
  <c r="J3699" i="2"/>
  <c r="K3699" i="2" s="1"/>
  <c r="J3703" i="2"/>
  <c r="K3703" i="2" s="1"/>
  <c r="J3707" i="2"/>
  <c r="K3707" i="2" s="1"/>
  <c r="J3711" i="2"/>
  <c r="K3711" i="2" s="1"/>
  <c r="J3715" i="2"/>
  <c r="K3715" i="2" s="1"/>
  <c r="J3719" i="2"/>
  <c r="K3719" i="2" s="1"/>
  <c r="J3723" i="2"/>
  <c r="K3723" i="2" s="1"/>
  <c r="J3727" i="2"/>
  <c r="K3727" i="2" s="1"/>
  <c r="J3731" i="2"/>
  <c r="K3731" i="2" s="1"/>
  <c r="J3735" i="2"/>
  <c r="K3735" i="2" s="1"/>
  <c r="J3739" i="2"/>
  <c r="K3739" i="2" s="1"/>
  <c r="J3743" i="2"/>
  <c r="K3743" i="2" s="1"/>
  <c r="J3747" i="2"/>
  <c r="K3747" i="2" s="1"/>
  <c r="J3751" i="2"/>
  <c r="K3751" i="2" s="1"/>
  <c r="J3755" i="2"/>
  <c r="K3755" i="2" s="1"/>
  <c r="J3759" i="2"/>
  <c r="K3759" i="2" s="1"/>
  <c r="J3763" i="2"/>
  <c r="K3763" i="2" s="1"/>
  <c r="J3767" i="2"/>
  <c r="K3767" i="2" s="1"/>
  <c r="J3771" i="2"/>
  <c r="K3771" i="2" s="1"/>
  <c r="J3775" i="2"/>
  <c r="K3775" i="2" s="1"/>
  <c r="J3779" i="2"/>
  <c r="K3779" i="2" s="1"/>
  <c r="J3783" i="2"/>
  <c r="K3783" i="2" s="1"/>
  <c r="J3787" i="2"/>
  <c r="K3787" i="2" s="1"/>
  <c r="J3791" i="2"/>
  <c r="K3791" i="2" s="1"/>
  <c r="J3795" i="2"/>
  <c r="K3795" i="2" s="1"/>
  <c r="J3799" i="2"/>
  <c r="K3799" i="2" s="1"/>
  <c r="J3803" i="2"/>
  <c r="K3803" i="2" s="1"/>
  <c r="J3807" i="2"/>
  <c r="K3807" i="2" s="1"/>
  <c r="J3811" i="2"/>
  <c r="K3811" i="2" s="1"/>
  <c r="J3815" i="2"/>
  <c r="K3815" i="2" s="1"/>
  <c r="J3819" i="2"/>
  <c r="K3819" i="2" s="1"/>
  <c r="J3823" i="2"/>
  <c r="K3823" i="2" s="1"/>
  <c r="J3827" i="2"/>
  <c r="K3827" i="2" s="1"/>
  <c r="J3831" i="2"/>
  <c r="K3831" i="2" s="1"/>
  <c r="J3835" i="2"/>
  <c r="K3835" i="2" s="1"/>
  <c r="J3839" i="2"/>
  <c r="K3839" i="2" s="1"/>
  <c r="J3843" i="2"/>
  <c r="K3843" i="2" s="1"/>
  <c r="J3847" i="2"/>
  <c r="K3847" i="2" s="1"/>
  <c r="J3851" i="2"/>
  <c r="K3851" i="2" s="1"/>
  <c r="J3855" i="2"/>
  <c r="K3855" i="2" s="1"/>
  <c r="J3859" i="2"/>
  <c r="K3859" i="2" s="1"/>
  <c r="J3863" i="2"/>
  <c r="K3863" i="2" s="1"/>
  <c r="J3867" i="2"/>
  <c r="K3867" i="2" s="1"/>
  <c r="J3871" i="2"/>
  <c r="K3871" i="2" s="1"/>
  <c r="J3875" i="2"/>
  <c r="K3875" i="2" s="1"/>
  <c r="J3879" i="2"/>
  <c r="K3879" i="2" s="1"/>
  <c r="J3883" i="2"/>
  <c r="K3883" i="2" s="1"/>
  <c r="J3887" i="2"/>
  <c r="K3887" i="2" s="1"/>
  <c r="J3891" i="2"/>
  <c r="K3891" i="2" s="1"/>
  <c r="J3895" i="2"/>
  <c r="K3895" i="2" s="1"/>
  <c r="J3899" i="2"/>
  <c r="K3899" i="2" s="1"/>
  <c r="J3903" i="2"/>
  <c r="K3903" i="2" s="1"/>
  <c r="J3907" i="2"/>
  <c r="K3907" i="2" s="1"/>
  <c r="J3911" i="2"/>
  <c r="K3911" i="2" s="1"/>
  <c r="J3915" i="2"/>
  <c r="K3915" i="2" s="1"/>
  <c r="J3919" i="2"/>
  <c r="K3919" i="2" s="1"/>
  <c r="J3923" i="2"/>
  <c r="K3923" i="2" s="1"/>
  <c r="J3927" i="2"/>
  <c r="K3927" i="2" s="1"/>
  <c r="J3931" i="2"/>
  <c r="K3931" i="2" s="1"/>
  <c r="J3935" i="2"/>
  <c r="K3935" i="2" s="1"/>
  <c r="J3939" i="2"/>
  <c r="K3939" i="2" s="1"/>
  <c r="J3943" i="2"/>
  <c r="K3943" i="2" s="1"/>
  <c r="J3947" i="2"/>
  <c r="K3947" i="2" s="1"/>
  <c r="J3951" i="2"/>
  <c r="K3951" i="2" s="1"/>
  <c r="J3955" i="2"/>
  <c r="K3955" i="2" s="1"/>
  <c r="J3959" i="2"/>
  <c r="K3959" i="2" s="1"/>
  <c r="J3963" i="2"/>
  <c r="K3963" i="2" s="1"/>
  <c r="J3967" i="2"/>
  <c r="K3967" i="2" s="1"/>
  <c r="J3971" i="2"/>
  <c r="K3971" i="2" s="1"/>
  <c r="J3975" i="2"/>
  <c r="K3975" i="2" s="1"/>
  <c r="J3979" i="2"/>
  <c r="K3979" i="2" s="1"/>
  <c r="J3983" i="2"/>
  <c r="K3983" i="2" s="1"/>
  <c r="J3987" i="2"/>
  <c r="K3987" i="2" s="1"/>
  <c r="J3991" i="2"/>
  <c r="K3991" i="2" s="1"/>
  <c r="J3995" i="2"/>
  <c r="K3995" i="2" s="1"/>
  <c r="J3999" i="2"/>
  <c r="K3999" i="2" s="1"/>
  <c r="J4003" i="2"/>
  <c r="K4003" i="2" s="1"/>
  <c r="J4007" i="2"/>
  <c r="K4007" i="2" s="1"/>
  <c r="J4011" i="2"/>
  <c r="K4011" i="2" s="1"/>
  <c r="J4015" i="2"/>
  <c r="K4015" i="2" s="1"/>
  <c r="J4019" i="2"/>
  <c r="K4019" i="2" s="1"/>
  <c r="J4023" i="2"/>
  <c r="K4023" i="2" s="1"/>
  <c r="J4027" i="2"/>
  <c r="K4027" i="2" s="1"/>
  <c r="J4031" i="2"/>
  <c r="K4031" i="2" s="1"/>
  <c r="J4035" i="2"/>
  <c r="K4035" i="2" s="1"/>
  <c r="J4039" i="2"/>
  <c r="K4039" i="2" s="1"/>
  <c r="J4043" i="2"/>
  <c r="K4043" i="2" s="1"/>
  <c r="J4047" i="2"/>
  <c r="K4047" i="2" s="1"/>
  <c r="J4051" i="2"/>
  <c r="K4051" i="2" s="1"/>
  <c r="J4055" i="2"/>
  <c r="K4055" i="2" s="1"/>
  <c r="J4059" i="2"/>
  <c r="K4059" i="2" s="1"/>
  <c r="J4063" i="2"/>
  <c r="K4063" i="2" s="1"/>
  <c r="J4067" i="2"/>
  <c r="K4067" i="2" s="1"/>
  <c r="J4071" i="2"/>
  <c r="K4071" i="2" s="1"/>
  <c r="J4075" i="2"/>
  <c r="K4075" i="2" s="1"/>
  <c r="J4079" i="2"/>
  <c r="K4079" i="2" s="1"/>
  <c r="J4083" i="2"/>
  <c r="K4083" i="2" s="1"/>
  <c r="J4087" i="2"/>
  <c r="K4087" i="2" s="1"/>
  <c r="J4091" i="2"/>
  <c r="K4091" i="2" s="1"/>
  <c r="J4095" i="2"/>
  <c r="K4095" i="2" s="1"/>
  <c r="J4099" i="2"/>
  <c r="K4099" i="2" s="1"/>
  <c r="J4103" i="2"/>
  <c r="K4103" i="2" s="1"/>
  <c r="J4107" i="2"/>
  <c r="K4107" i="2" s="1"/>
  <c r="J4111" i="2"/>
  <c r="K4111" i="2" s="1"/>
  <c r="J4115" i="2"/>
  <c r="K4115" i="2" s="1"/>
  <c r="J4119" i="2"/>
  <c r="K4119" i="2" s="1"/>
  <c r="J4123" i="2"/>
  <c r="K4123" i="2" s="1"/>
  <c r="J4127" i="2"/>
  <c r="K4127" i="2" s="1"/>
  <c r="J4131" i="2"/>
  <c r="K4131" i="2" s="1"/>
  <c r="J4135" i="2"/>
  <c r="K4135" i="2" s="1"/>
  <c r="J4139" i="2"/>
  <c r="K4139" i="2" s="1"/>
  <c r="J4143" i="2"/>
  <c r="K4143" i="2" s="1"/>
  <c r="J4147" i="2"/>
  <c r="K4147" i="2" s="1"/>
  <c r="J4151" i="2"/>
  <c r="K4151" i="2" s="1"/>
  <c r="J4155" i="2"/>
  <c r="K4155" i="2" s="1"/>
  <c r="J4159" i="2"/>
  <c r="K4159" i="2" s="1"/>
  <c r="J4163" i="2"/>
  <c r="K4163" i="2" s="1"/>
  <c r="J4167" i="2"/>
  <c r="K4167" i="2" s="1"/>
  <c r="J4171" i="2"/>
  <c r="K4171" i="2" s="1"/>
  <c r="J4175" i="2"/>
  <c r="K4175" i="2" s="1"/>
  <c r="J4179" i="2"/>
  <c r="K4179" i="2" s="1"/>
  <c r="J4183" i="2"/>
  <c r="K4183" i="2" s="1"/>
  <c r="J4187" i="2"/>
  <c r="K4187" i="2" s="1"/>
  <c r="J4191" i="2"/>
  <c r="K4191" i="2" s="1"/>
  <c r="J4195" i="2"/>
  <c r="K4195" i="2" s="1"/>
  <c r="J4199" i="2"/>
  <c r="K4199" i="2" s="1"/>
  <c r="J4203" i="2"/>
  <c r="K4203" i="2" s="1"/>
  <c r="J4207" i="2"/>
  <c r="K4207" i="2" s="1"/>
  <c r="J4211" i="2"/>
  <c r="K4211" i="2" s="1"/>
  <c r="J4215" i="2"/>
  <c r="K4215" i="2" s="1"/>
  <c r="J4219" i="2"/>
  <c r="K4219" i="2" s="1"/>
  <c r="J4223" i="2"/>
  <c r="K4223" i="2" s="1"/>
  <c r="J4227" i="2"/>
  <c r="K4227" i="2" s="1"/>
  <c r="J4231" i="2"/>
  <c r="K4231" i="2" s="1"/>
  <c r="J4235" i="2"/>
  <c r="K4235" i="2" s="1"/>
  <c r="J4239" i="2"/>
  <c r="K4239" i="2" s="1"/>
  <c r="J4243" i="2"/>
  <c r="K4243" i="2" s="1"/>
  <c r="J4247" i="2"/>
  <c r="K4247" i="2" s="1"/>
  <c r="J4251" i="2"/>
  <c r="K4251" i="2" s="1"/>
  <c r="J4255" i="2"/>
  <c r="K4255" i="2" s="1"/>
  <c r="J4259" i="2"/>
  <c r="K4259" i="2" s="1"/>
  <c r="J4263" i="2"/>
  <c r="K4263" i="2" s="1"/>
  <c r="J4267" i="2"/>
  <c r="K4267" i="2" s="1"/>
  <c r="J4271" i="2"/>
  <c r="K4271" i="2" s="1"/>
  <c r="J4275" i="2"/>
  <c r="K4275" i="2" s="1"/>
  <c r="J4279" i="2"/>
  <c r="K4279" i="2" s="1"/>
  <c r="J4283" i="2"/>
  <c r="K4283" i="2" s="1"/>
  <c r="J4287" i="2"/>
  <c r="K4287" i="2" s="1"/>
  <c r="J4291" i="2"/>
  <c r="K4291" i="2" s="1"/>
  <c r="J4295" i="2"/>
  <c r="K4295" i="2" s="1"/>
  <c r="J4299" i="2"/>
  <c r="K4299" i="2" s="1"/>
  <c r="J4303" i="2"/>
  <c r="K4303" i="2" s="1"/>
  <c r="J4307" i="2"/>
  <c r="K4307" i="2" s="1"/>
  <c r="J4311" i="2"/>
  <c r="K4311" i="2" s="1"/>
  <c r="J4315" i="2"/>
  <c r="K4315" i="2" s="1"/>
  <c r="J4319" i="2"/>
  <c r="K4319" i="2" s="1"/>
  <c r="J4323" i="2"/>
  <c r="K4323" i="2" s="1"/>
  <c r="J4327" i="2"/>
  <c r="K4327" i="2" s="1"/>
  <c r="J4331" i="2"/>
  <c r="K4331" i="2" s="1"/>
  <c r="J4335" i="2"/>
  <c r="K4335" i="2" s="1"/>
  <c r="J4339" i="2"/>
  <c r="K4339" i="2" s="1"/>
  <c r="J4343" i="2"/>
  <c r="K4343" i="2" s="1"/>
  <c r="J4347" i="2"/>
  <c r="K4347" i="2" s="1"/>
  <c r="J4351" i="2"/>
  <c r="K4351" i="2" s="1"/>
  <c r="J4355" i="2"/>
  <c r="K4355" i="2" s="1"/>
  <c r="J4359" i="2"/>
  <c r="K4359" i="2" s="1"/>
  <c r="J4363" i="2"/>
  <c r="K4363" i="2" s="1"/>
  <c r="J4367" i="2"/>
  <c r="K4367" i="2" s="1"/>
  <c r="J4371" i="2"/>
  <c r="K4371" i="2" s="1"/>
  <c r="J4375" i="2"/>
  <c r="K4375" i="2" s="1"/>
  <c r="J4379" i="2"/>
  <c r="K4379" i="2" s="1"/>
  <c r="J4383" i="2"/>
  <c r="K4383" i="2" s="1"/>
  <c r="J4387" i="2"/>
  <c r="K4387" i="2" s="1"/>
  <c r="J4391" i="2"/>
  <c r="K4391" i="2" s="1"/>
  <c r="J4395" i="2"/>
  <c r="K4395" i="2" s="1"/>
  <c r="J4399" i="2"/>
  <c r="K4399" i="2" s="1"/>
  <c r="J4403" i="2"/>
  <c r="K4403" i="2" s="1"/>
  <c r="J4407" i="2"/>
  <c r="K4407" i="2" s="1"/>
  <c r="J4411" i="2"/>
  <c r="K4411" i="2" s="1"/>
  <c r="J4415" i="2"/>
  <c r="K4415" i="2" s="1"/>
  <c r="J4419" i="2"/>
  <c r="K4419" i="2" s="1"/>
  <c r="J4423" i="2"/>
  <c r="K4423" i="2" s="1"/>
  <c r="J4427" i="2"/>
  <c r="K4427" i="2" s="1"/>
  <c r="J4431" i="2"/>
  <c r="K4431" i="2" s="1"/>
  <c r="J4435" i="2"/>
  <c r="K4435" i="2" s="1"/>
  <c r="J4439" i="2"/>
  <c r="K4439" i="2" s="1"/>
  <c r="J4443" i="2"/>
  <c r="K4443" i="2" s="1"/>
  <c r="J4447" i="2"/>
  <c r="K4447" i="2" s="1"/>
  <c r="J4451" i="2"/>
  <c r="K4451" i="2" s="1"/>
  <c r="J4455" i="2"/>
  <c r="K4455" i="2" s="1"/>
  <c r="J4459" i="2"/>
  <c r="K4459" i="2" s="1"/>
  <c r="J4463" i="2"/>
  <c r="K4463" i="2" s="1"/>
  <c r="J4467" i="2"/>
  <c r="K4467" i="2" s="1"/>
  <c r="J4471" i="2"/>
  <c r="K4471" i="2" s="1"/>
  <c r="J4475" i="2"/>
  <c r="K4475" i="2" s="1"/>
  <c r="J4479" i="2"/>
  <c r="K4479" i="2" s="1"/>
  <c r="J4483" i="2"/>
  <c r="K4483" i="2" s="1"/>
  <c r="J4487" i="2"/>
  <c r="K4487" i="2" s="1"/>
  <c r="J4491" i="2"/>
  <c r="K4491" i="2" s="1"/>
  <c r="J4495" i="2"/>
  <c r="K4495" i="2" s="1"/>
  <c r="J4499" i="2"/>
  <c r="K4499" i="2" s="1"/>
  <c r="J4503" i="2"/>
  <c r="K4503" i="2" s="1"/>
  <c r="J4507" i="2"/>
  <c r="K4507" i="2" s="1"/>
  <c r="J4511" i="2"/>
  <c r="K4511" i="2" s="1"/>
  <c r="J4515" i="2"/>
  <c r="K4515" i="2" s="1"/>
  <c r="J4519" i="2"/>
  <c r="K4519" i="2" s="1"/>
  <c r="J4523" i="2"/>
  <c r="K4523" i="2" s="1"/>
  <c r="J4527" i="2"/>
  <c r="K4527" i="2" s="1"/>
  <c r="J4531" i="2"/>
  <c r="K4531" i="2" s="1"/>
  <c r="J4535" i="2"/>
  <c r="K4535" i="2" s="1"/>
  <c r="J4539" i="2"/>
  <c r="K4539" i="2" s="1"/>
  <c r="J4543" i="2"/>
  <c r="K4543" i="2" s="1"/>
  <c r="J4547" i="2"/>
  <c r="K4547" i="2" s="1"/>
  <c r="J4551" i="2"/>
  <c r="K4551" i="2" s="1"/>
  <c r="J4555" i="2"/>
  <c r="K4555" i="2" s="1"/>
  <c r="J4559" i="2"/>
  <c r="K4559" i="2" s="1"/>
  <c r="J4563" i="2"/>
  <c r="K4563" i="2" s="1"/>
  <c r="J1042" i="2"/>
  <c r="K1042" i="2" s="1"/>
  <c r="J1298" i="2"/>
  <c r="K1298" i="2" s="1"/>
  <c r="J1538" i="2"/>
  <c r="K1538" i="2" s="1"/>
  <c r="J1623" i="2"/>
  <c r="K1623" i="2" s="1"/>
  <c r="J1708" i="2"/>
  <c r="K1708" i="2" s="1"/>
  <c r="J1778" i="2"/>
  <c r="K1778" i="2" s="1"/>
  <c r="J1842" i="2"/>
  <c r="K1842" i="2" s="1"/>
  <c r="J1906" i="2"/>
  <c r="K1906" i="2" s="1"/>
  <c r="J1970" i="2"/>
  <c r="K1970" i="2" s="1"/>
  <c r="J2034" i="2"/>
  <c r="K2034" i="2" s="1"/>
  <c r="J2098" i="2"/>
  <c r="K2098" i="2" s="1"/>
  <c r="J2162" i="2"/>
  <c r="K2162" i="2" s="1"/>
  <c r="J2226" i="2"/>
  <c r="K2226" i="2" s="1"/>
  <c r="J2290" i="2"/>
  <c r="K2290" i="2" s="1"/>
  <c r="J2354" i="2"/>
  <c r="K2354" i="2" s="1"/>
  <c r="J2418" i="2"/>
  <c r="K2418" i="2" s="1"/>
  <c r="J2482" i="2"/>
  <c r="K2482" i="2" s="1"/>
  <c r="J2546" i="2"/>
  <c r="K2546" i="2" s="1"/>
  <c r="J2570" i="2"/>
  <c r="K2570" i="2" s="1"/>
  <c r="J2591" i="2"/>
  <c r="K2591" i="2" s="1"/>
  <c r="J2612" i="2"/>
  <c r="K2612" i="2" s="1"/>
  <c r="J2634" i="2"/>
  <c r="K2634" i="2" s="1"/>
  <c r="J2655" i="2"/>
  <c r="K2655" i="2" s="1"/>
  <c r="J2676" i="2"/>
  <c r="K2676" i="2" s="1"/>
  <c r="J2698" i="2"/>
  <c r="K2698" i="2" s="1"/>
  <c r="J2719" i="2"/>
  <c r="K2719" i="2" s="1"/>
  <c r="J2740" i="2"/>
  <c r="K2740" i="2" s="1"/>
  <c r="J2762" i="2"/>
  <c r="K2762" i="2" s="1"/>
  <c r="J2781" i="2"/>
  <c r="K2781" i="2" s="1"/>
  <c r="J2797" i="2"/>
  <c r="K2797" i="2" s="1"/>
  <c r="J2813" i="2"/>
  <c r="K2813" i="2" s="1"/>
  <c r="J2829" i="2"/>
  <c r="K2829" i="2" s="1"/>
  <c r="J2845" i="2"/>
  <c r="K2845" i="2" s="1"/>
  <c r="J2861" i="2"/>
  <c r="K2861" i="2" s="1"/>
  <c r="J2877" i="2"/>
  <c r="K2877" i="2" s="1"/>
  <c r="J2893" i="2"/>
  <c r="K2893" i="2" s="1"/>
  <c r="J2909" i="2"/>
  <c r="K2909" i="2" s="1"/>
  <c r="J2925" i="2"/>
  <c r="K2925" i="2" s="1"/>
  <c r="J2941" i="2"/>
  <c r="K2941" i="2" s="1"/>
  <c r="J2957" i="2"/>
  <c r="K2957" i="2" s="1"/>
  <c r="J2973" i="2"/>
  <c r="K2973" i="2" s="1"/>
  <c r="J2989" i="2"/>
  <c r="K2989" i="2" s="1"/>
  <c r="J3005" i="2"/>
  <c r="K3005" i="2" s="1"/>
  <c r="J3021" i="2"/>
  <c r="K3021" i="2" s="1"/>
  <c r="J3037" i="2"/>
  <c r="K3037" i="2" s="1"/>
  <c r="J3053" i="2"/>
  <c r="K3053" i="2" s="1"/>
  <c r="J3069" i="2"/>
  <c r="K3069" i="2" s="1"/>
  <c r="J3085" i="2"/>
  <c r="K3085" i="2" s="1"/>
  <c r="J3101" i="2"/>
  <c r="K3101" i="2" s="1"/>
  <c r="J3117" i="2"/>
  <c r="K3117" i="2" s="1"/>
  <c r="J3133" i="2"/>
  <c r="K3133" i="2" s="1"/>
  <c r="J3149" i="2"/>
  <c r="K3149" i="2" s="1"/>
  <c r="J3165" i="2"/>
  <c r="K3165" i="2" s="1"/>
  <c r="J3181" i="2"/>
  <c r="K3181" i="2" s="1"/>
  <c r="J3197" i="2"/>
  <c r="K3197" i="2" s="1"/>
  <c r="J3213" i="2"/>
  <c r="K3213" i="2" s="1"/>
  <c r="J3229" i="2"/>
  <c r="K3229" i="2" s="1"/>
  <c r="J3245" i="2"/>
  <c r="K3245" i="2" s="1"/>
  <c r="J3261" i="2"/>
  <c r="K3261" i="2" s="1"/>
  <c r="J3277" i="2"/>
  <c r="K3277" i="2" s="1"/>
  <c r="J3293" i="2"/>
  <c r="K3293" i="2" s="1"/>
  <c r="J3309" i="2"/>
  <c r="K3309" i="2" s="1"/>
  <c r="J3325" i="2"/>
  <c r="K3325" i="2" s="1"/>
  <c r="J3341" i="2"/>
  <c r="K3341" i="2" s="1"/>
  <c r="J3353" i="2"/>
  <c r="K3353" i="2" s="1"/>
  <c r="J3361" i="2"/>
  <c r="K3361" i="2" s="1"/>
  <c r="J3369" i="2"/>
  <c r="K3369" i="2" s="1"/>
  <c r="J3377" i="2"/>
  <c r="K3377" i="2" s="1"/>
  <c r="J3385" i="2"/>
  <c r="K3385" i="2" s="1"/>
  <c r="J3393" i="2"/>
  <c r="K3393" i="2" s="1"/>
  <c r="J3401" i="2"/>
  <c r="K3401" i="2" s="1"/>
  <c r="J3409" i="2"/>
  <c r="K3409" i="2" s="1"/>
  <c r="J3417" i="2"/>
  <c r="K3417" i="2" s="1"/>
  <c r="J3425" i="2"/>
  <c r="K3425" i="2" s="1"/>
  <c r="J3433" i="2"/>
  <c r="K3433" i="2" s="1"/>
  <c r="J3441" i="2"/>
  <c r="K3441" i="2" s="1"/>
  <c r="J3449" i="2"/>
  <c r="K3449" i="2" s="1"/>
  <c r="J3455" i="2"/>
  <c r="K3455" i="2" s="1"/>
  <c r="J3460" i="2"/>
  <c r="K3460" i="2" s="1"/>
  <c r="J3465" i="2"/>
  <c r="K3465" i="2" s="1"/>
  <c r="J3471" i="2"/>
  <c r="K3471" i="2" s="1"/>
  <c r="J3476" i="2"/>
  <c r="K3476" i="2" s="1"/>
  <c r="J3481" i="2"/>
  <c r="K3481" i="2" s="1"/>
  <c r="J3487" i="2"/>
  <c r="K3487" i="2" s="1"/>
  <c r="J3492" i="2"/>
  <c r="K3492" i="2" s="1"/>
  <c r="J3497" i="2"/>
  <c r="K3497" i="2" s="1"/>
  <c r="J3503" i="2"/>
  <c r="K3503" i="2" s="1"/>
  <c r="J3508" i="2"/>
  <c r="K3508" i="2" s="1"/>
  <c r="J3513" i="2"/>
  <c r="K3513" i="2" s="1"/>
  <c r="J3519" i="2"/>
  <c r="K3519" i="2" s="1"/>
  <c r="J3524" i="2"/>
  <c r="K3524" i="2" s="1"/>
  <c r="J3529" i="2"/>
  <c r="K3529" i="2" s="1"/>
  <c r="J3535" i="2"/>
  <c r="K3535" i="2" s="1"/>
  <c r="J3540" i="2"/>
  <c r="K3540" i="2" s="1"/>
  <c r="J3545" i="2"/>
  <c r="K3545" i="2" s="1"/>
  <c r="J3551" i="2"/>
  <c r="K3551" i="2" s="1"/>
  <c r="J3556" i="2"/>
  <c r="K3556" i="2" s="1"/>
  <c r="J3561" i="2"/>
  <c r="K3561" i="2" s="1"/>
  <c r="J3567" i="2"/>
  <c r="K3567" i="2" s="1"/>
  <c r="J3572" i="2"/>
  <c r="K3572" i="2" s="1"/>
  <c r="J3577" i="2"/>
  <c r="K3577" i="2" s="1"/>
  <c r="J3583" i="2"/>
  <c r="K3583" i="2" s="1"/>
  <c r="J3588" i="2"/>
  <c r="K3588" i="2" s="1"/>
  <c r="J3593" i="2"/>
  <c r="K3593" i="2" s="1"/>
  <c r="J3599" i="2"/>
  <c r="K3599" i="2" s="1"/>
  <c r="J3604" i="2"/>
  <c r="K3604" i="2" s="1"/>
  <c r="J3609" i="2"/>
  <c r="K3609" i="2" s="1"/>
  <c r="J3615" i="2"/>
  <c r="K3615" i="2" s="1"/>
  <c r="J3620" i="2"/>
  <c r="K3620" i="2" s="1"/>
  <c r="J3625" i="2"/>
  <c r="K3625" i="2" s="1"/>
  <c r="J3631" i="2"/>
  <c r="K3631" i="2" s="1"/>
  <c r="J3636" i="2"/>
  <c r="K3636" i="2" s="1"/>
  <c r="J3641" i="2"/>
  <c r="K3641" i="2" s="1"/>
  <c r="J3647" i="2"/>
  <c r="K3647" i="2" s="1"/>
  <c r="J3652" i="2"/>
  <c r="K3652" i="2" s="1"/>
  <c r="J3657" i="2"/>
  <c r="K3657" i="2" s="1"/>
  <c r="J3663" i="2"/>
  <c r="K3663" i="2" s="1"/>
  <c r="J3668" i="2"/>
  <c r="K3668" i="2" s="1"/>
  <c r="J3673" i="2"/>
  <c r="K3673" i="2" s="1"/>
  <c r="J3679" i="2"/>
  <c r="K3679" i="2" s="1"/>
  <c r="J3684" i="2"/>
  <c r="K3684" i="2" s="1"/>
  <c r="J3688" i="2"/>
  <c r="K3688" i="2" s="1"/>
  <c r="J3692" i="2"/>
  <c r="K3692" i="2" s="1"/>
  <c r="J3696" i="2"/>
  <c r="K3696" i="2" s="1"/>
  <c r="J3700" i="2"/>
  <c r="K3700" i="2" s="1"/>
  <c r="J3704" i="2"/>
  <c r="K3704" i="2" s="1"/>
  <c r="J3708" i="2"/>
  <c r="K3708" i="2" s="1"/>
  <c r="J3712" i="2"/>
  <c r="K3712" i="2" s="1"/>
  <c r="J3716" i="2"/>
  <c r="K3716" i="2" s="1"/>
  <c r="J3720" i="2"/>
  <c r="K3720" i="2" s="1"/>
  <c r="J3724" i="2"/>
  <c r="K3724" i="2" s="1"/>
  <c r="J3728" i="2"/>
  <c r="K3728" i="2" s="1"/>
  <c r="J3732" i="2"/>
  <c r="K3732" i="2" s="1"/>
  <c r="J3736" i="2"/>
  <c r="K3736" i="2" s="1"/>
  <c r="J3740" i="2"/>
  <c r="K3740" i="2" s="1"/>
  <c r="J3744" i="2"/>
  <c r="K3744" i="2" s="1"/>
  <c r="J3748" i="2"/>
  <c r="K3748" i="2" s="1"/>
  <c r="J3752" i="2"/>
  <c r="K3752" i="2" s="1"/>
  <c r="J3756" i="2"/>
  <c r="K3756" i="2" s="1"/>
  <c r="J3760" i="2"/>
  <c r="K3760" i="2" s="1"/>
  <c r="J3764" i="2"/>
  <c r="K3764" i="2" s="1"/>
  <c r="J3768" i="2"/>
  <c r="K3768" i="2" s="1"/>
  <c r="J3772" i="2"/>
  <c r="K3772" i="2" s="1"/>
  <c r="J3776" i="2"/>
  <c r="K3776" i="2" s="1"/>
  <c r="J3780" i="2"/>
  <c r="K3780" i="2" s="1"/>
  <c r="J3784" i="2"/>
  <c r="K3784" i="2" s="1"/>
  <c r="J3788" i="2"/>
  <c r="K3788" i="2" s="1"/>
  <c r="J3792" i="2"/>
  <c r="K3792" i="2" s="1"/>
  <c r="J3796" i="2"/>
  <c r="K3796" i="2" s="1"/>
  <c r="J3800" i="2"/>
  <c r="K3800" i="2" s="1"/>
  <c r="J3804" i="2"/>
  <c r="K3804" i="2" s="1"/>
  <c r="J3808" i="2"/>
  <c r="K3808" i="2" s="1"/>
  <c r="J3812" i="2"/>
  <c r="K3812" i="2" s="1"/>
  <c r="J3816" i="2"/>
  <c r="K3816" i="2" s="1"/>
  <c r="J3820" i="2"/>
  <c r="K3820" i="2" s="1"/>
  <c r="J3824" i="2"/>
  <c r="K3824" i="2" s="1"/>
  <c r="J3828" i="2"/>
  <c r="K3828" i="2" s="1"/>
  <c r="J3832" i="2"/>
  <c r="K3832" i="2" s="1"/>
  <c r="J3836" i="2"/>
  <c r="K3836" i="2" s="1"/>
  <c r="J3840" i="2"/>
  <c r="K3840" i="2" s="1"/>
  <c r="J3844" i="2"/>
  <c r="K3844" i="2" s="1"/>
  <c r="J3848" i="2"/>
  <c r="K3848" i="2" s="1"/>
  <c r="J3852" i="2"/>
  <c r="K3852" i="2" s="1"/>
  <c r="J3856" i="2"/>
  <c r="K3856" i="2" s="1"/>
  <c r="J3860" i="2"/>
  <c r="K3860" i="2" s="1"/>
  <c r="J3864" i="2"/>
  <c r="K3864" i="2" s="1"/>
  <c r="J3868" i="2"/>
  <c r="K3868" i="2" s="1"/>
  <c r="J3872" i="2"/>
  <c r="K3872" i="2" s="1"/>
  <c r="J3876" i="2"/>
  <c r="K3876" i="2" s="1"/>
  <c r="J3880" i="2"/>
  <c r="K3880" i="2" s="1"/>
  <c r="J3884" i="2"/>
  <c r="K3884" i="2" s="1"/>
  <c r="J3888" i="2"/>
  <c r="K3888" i="2" s="1"/>
  <c r="J3892" i="2"/>
  <c r="K3892" i="2" s="1"/>
  <c r="J3896" i="2"/>
  <c r="K3896" i="2" s="1"/>
  <c r="J3900" i="2"/>
  <c r="K3900" i="2" s="1"/>
  <c r="J3904" i="2"/>
  <c r="K3904" i="2" s="1"/>
  <c r="J3908" i="2"/>
  <c r="K3908" i="2" s="1"/>
  <c r="J3912" i="2"/>
  <c r="K3912" i="2" s="1"/>
  <c r="J3916" i="2"/>
  <c r="K3916" i="2" s="1"/>
  <c r="J3920" i="2"/>
  <c r="K3920" i="2" s="1"/>
  <c r="J3924" i="2"/>
  <c r="K3924" i="2" s="1"/>
  <c r="J3928" i="2"/>
  <c r="K3928" i="2" s="1"/>
  <c r="J3932" i="2"/>
  <c r="K3932" i="2" s="1"/>
  <c r="J3936" i="2"/>
  <c r="K3936" i="2" s="1"/>
  <c r="J3940" i="2"/>
  <c r="K3940" i="2" s="1"/>
  <c r="J3944" i="2"/>
  <c r="K3944" i="2" s="1"/>
  <c r="J3948" i="2"/>
  <c r="K3948" i="2" s="1"/>
  <c r="J3952" i="2"/>
  <c r="K3952" i="2" s="1"/>
  <c r="J3956" i="2"/>
  <c r="K3956" i="2" s="1"/>
  <c r="J3960" i="2"/>
  <c r="K3960" i="2" s="1"/>
  <c r="J3964" i="2"/>
  <c r="K3964" i="2" s="1"/>
  <c r="J3968" i="2"/>
  <c r="K3968" i="2" s="1"/>
  <c r="J3972" i="2"/>
  <c r="K3972" i="2" s="1"/>
  <c r="J3976" i="2"/>
  <c r="K3976" i="2" s="1"/>
  <c r="J3980" i="2"/>
  <c r="K3980" i="2" s="1"/>
  <c r="J3984" i="2"/>
  <c r="K3984" i="2" s="1"/>
  <c r="J3988" i="2"/>
  <c r="K3988" i="2" s="1"/>
  <c r="J3992" i="2"/>
  <c r="K3992" i="2" s="1"/>
  <c r="J3996" i="2"/>
  <c r="K3996" i="2" s="1"/>
  <c r="J4000" i="2"/>
  <c r="K4000" i="2" s="1"/>
  <c r="J4004" i="2"/>
  <c r="K4004" i="2" s="1"/>
  <c r="J4008" i="2"/>
  <c r="K4008" i="2" s="1"/>
  <c r="J4012" i="2"/>
  <c r="K4012" i="2" s="1"/>
  <c r="J4016" i="2"/>
  <c r="K4016" i="2" s="1"/>
  <c r="J4020" i="2"/>
  <c r="K4020" i="2" s="1"/>
  <c r="J4024" i="2"/>
  <c r="K4024" i="2" s="1"/>
  <c r="J4028" i="2"/>
  <c r="K4028" i="2" s="1"/>
  <c r="J4032" i="2"/>
  <c r="K4032" i="2" s="1"/>
  <c r="J4036" i="2"/>
  <c r="K4036" i="2" s="1"/>
  <c r="J4040" i="2"/>
  <c r="K4040" i="2" s="1"/>
  <c r="J4044" i="2"/>
  <c r="K4044" i="2" s="1"/>
  <c r="J4048" i="2"/>
  <c r="K4048" i="2" s="1"/>
  <c r="J4052" i="2"/>
  <c r="K4052" i="2" s="1"/>
  <c r="J4056" i="2"/>
  <c r="K4056" i="2" s="1"/>
  <c r="J4060" i="2"/>
  <c r="K4060" i="2" s="1"/>
  <c r="J4064" i="2"/>
  <c r="K4064" i="2" s="1"/>
  <c r="J4068" i="2"/>
  <c r="K4068" i="2" s="1"/>
  <c r="J4072" i="2"/>
  <c r="K4072" i="2" s="1"/>
  <c r="J4076" i="2"/>
  <c r="K4076" i="2" s="1"/>
  <c r="J4080" i="2"/>
  <c r="K4080" i="2" s="1"/>
  <c r="J4084" i="2"/>
  <c r="K4084" i="2" s="1"/>
  <c r="J4088" i="2"/>
  <c r="K4088" i="2" s="1"/>
  <c r="J4092" i="2"/>
  <c r="K4092" i="2" s="1"/>
  <c r="J4096" i="2"/>
  <c r="K4096" i="2" s="1"/>
  <c r="J4100" i="2"/>
  <c r="K4100" i="2" s="1"/>
  <c r="J4104" i="2"/>
  <c r="K4104" i="2" s="1"/>
  <c r="J4108" i="2"/>
  <c r="K4108" i="2" s="1"/>
  <c r="J4112" i="2"/>
  <c r="K4112" i="2" s="1"/>
  <c r="J4116" i="2"/>
  <c r="K4116" i="2" s="1"/>
  <c r="J4120" i="2"/>
  <c r="K4120" i="2" s="1"/>
  <c r="J4124" i="2"/>
  <c r="K4124" i="2" s="1"/>
  <c r="J4128" i="2"/>
  <c r="K4128" i="2" s="1"/>
  <c r="J4132" i="2"/>
  <c r="K4132" i="2" s="1"/>
  <c r="J4136" i="2"/>
  <c r="K4136" i="2" s="1"/>
  <c r="J4140" i="2"/>
  <c r="K4140" i="2" s="1"/>
  <c r="J4144" i="2"/>
  <c r="K4144" i="2" s="1"/>
  <c r="J4148" i="2"/>
  <c r="K4148" i="2" s="1"/>
  <c r="J4152" i="2"/>
  <c r="K4152" i="2" s="1"/>
  <c r="J4156" i="2"/>
  <c r="K4156" i="2" s="1"/>
  <c r="J4160" i="2"/>
  <c r="K4160" i="2" s="1"/>
  <c r="J4164" i="2"/>
  <c r="K4164" i="2" s="1"/>
  <c r="J4168" i="2"/>
  <c r="K4168" i="2" s="1"/>
  <c r="J4172" i="2"/>
  <c r="K4172" i="2" s="1"/>
  <c r="J4176" i="2"/>
  <c r="K4176" i="2" s="1"/>
  <c r="J4180" i="2"/>
  <c r="K4180" i="2" s="1"/>
  <c r="J4184" i="2"/>
  <c r="K4184" i="2" s="1"/>
  <c r="J4188" i="2"/>
  <c r="K4188" i="2" s="1"/>
  <c r="J4192" i="2"/>
  <c r="K4192" i="2" s="1"/>
  <c r="J4196" i="2"/>
  <c r="K4196" i="2" s="1"/>
  <c r="J4200" i="2"/>
  <c r="K4200" i="2" s="1"/>
  <c r="J4204" i="2"/>
  <c r="K4204" i="2" s="1"/>
  <c r="J4208" i="2"/>
  <c r="K4208" i="2" s="1"/>
  <c r="J4212" i="2"/>
  <c r="K4212" i="2" s="1"/>
  <c r="J4216" i="2"/>
  <c r="K4216" i="2" s="1"/>
  <c r="J4220" i="2"/>
  <c r="K4220" i="2" s="1"/>
  <c r="J4224" i="2"/>
  <c r="K4224" i="2" s="1"/>
  <c r="J4228" i="2"/>
  <c r="K4228" i="2" s="1"/>
  <c r="J4232" i="2"/>
  <c r="K4232" i="2" s="1"/>
  <c r="J4236" i="2"/>
  <c r="K4236" i="2" s="1"/>
  <c r="J4240" i="2"/>
  <c r="K4240" i="2" s="1"/>
  <c r="J4244" i="2"/>
  <c r="K4244" i="2" s="1"/>
  <c r="J4248" i="2"/>
  <c r="K4248" i="2" s="1"/>
  <c r="J4252" i="2"/>
  <c r="K4252" i="2" s="1"/>
  <c r="J4256" i="2"/>
  <c r="K4256" i="2" s="1"/>
  <c r="J4260" i="2"/>
  <c r="K4260" i="2" s="1"/>
  <c r="J4264" i="2"/>
  <c r="K4264" i="2" s="1"/>
  <c r="J4268" i="2"/>
  <c r="K4268" i="2" s="1"/>
  <c r="J4272" i="2"/>
  <c r="K4272" i="2" s="1"/>
  <c r="J4276" i="2"/>
  <c r="K4276" i="2" s="1"/>
  <c r="J4280" i="2"/>
  <c r="K4280" i="2" s="1"/>
  <c r="J4284" i="2"/>
  <c r="K4284" i="2" s="1"/>
  <c r="J4288" i="2"/>
  <c r="K4288" i="2" s="1"/>
  <c r="J4292" i="2"/>
  <c r="K4292" i="2" s="1"/>
  <c r="J4296" i="2"/>
  <c r="K4296" i="2" s="1"/>
  <c r="J4300" i="2"/>
  <c r="K4300" i="2" s="1"/>
  <c r="J4304" i="2"/>
  <c r="K4304" i="2" s="1"/>
  <c r="J4308" i="2"/>
  <c r="K4308" i="2" s="1"/>
  <c r="J4312" i="2"/>
  <c r="K4312" i="2" s="1"/>
  <c r="J4316" i="2"/>
  <c r="K4316" i="2" s="1"/>
  <c r="J4320" i="2"/>
  <c r="K4320" i="2" s="1"/>
  <c r="J4324" i="2"/>
  <c r="K4324" i="2" s="1"/>
  <c r="J4328" i="2"/>
  <c r="K4328" i="2" s="1"/>
  <c r="J4332" i="2"/>
  <c r="K4332" i="2" s="1"/>
  <c r="J4336" i="2"/>
  <c r="K4336" i="2" s="1"/>
  <c r="J4340" i="2"/>
  <c r="K4340" i="2" s="1"/>
  <c r="J4344" i="2"/>
  <c r="K4344" i="2" s="1"/>
  <c r="J4348" i="2"/>
  <c r="K4348" i="2" s="1"/>
  <c r="J4352" i="2"/>
  <c r="K4352" i="2" s="1"/>
  <c r="J4356" i="2"/>
  <c r="K4356" i="2" s="1"/>
  <c r="J4360" i="2"/>
  <c r="K4360" i="2" s="1"/>
  <c r="J4364" i="2"/>
  <c r="K4364" i="2" s="1"/>
  <c r="J4368" i="2"/>
  <c r="K4368" i="2" s="1"/>
  <c r="J4372" i="2"/>
  <c r="K4372" i="2" s="1"/>
  <c r="J4376" i="2"/>
  <c r="K4376" i="2" s="1"/>
  <c r="J4380" i="2"/>
  <c r="K4380" i="2" s="1"/>
  <c r="J4384" i="2"/>
  <c r="K4384" i="2" s="1"/>
  <c r="J4388" i="2"/>
  <c r="K4388" i="2" s="1"/>
  <c r="J4392" i="2"/>
  <c r="K4392" i="2" s="1"/>
  <c r="J4396" i="2"/>
  <c r="K4396" i="2" s="1"/>
  <c r="J4400" i="2"/>
  <c r="K4400" i="2" s="1"/>
  <c r="J4404" i="2"/>
  <c r="K4404" i="2" s="1"/>
  <c r="J4408" i="2"/>
  <c r="K4408" i="2" s="1"/>
  <c r="J4412" i="2"/>
  <c r="K4412" i="2" s="1"/>
  <c r="J4416" i="2"/>
  <c r="K4416" i="2" s="1"/>
  <c r="J4420" i="2"/>
  <c r="K4420" i="2" s="1"/>
  <c r="J4424" i="2"/>
  <c r="K4424" i="2" s="1"/>
  <c r="J4428" i="2"/>
  <c r="K4428" i="2" s="1"/>
  <c r="J4432" i="2"/>
  <c r="K4432" i="2" s="1"/>
  <c r="J4436" i="2"/>
  <c r="K4436" i="2" s="1"/>
  <c r="J4440" i="2"/>
  <c r="K4440" i="2" s="1"/>
  <c r="J4444" i="2"/>
  <c r="K4444" i="2" s="1"/>
  <c r="J4448" i="2"/>
  <c r="K4448" i="2" s="1"/>
  <c r="J4452" i="2"/>
  <c r="K4452" i="2" s="1"/>
  <c r="J4456" i="2"/>
  <c r="K4456" i="2" s="1"/>
  <c r="J4460" i="2"/>
  <c r="K4460" i="2" s="1"/>
  <c r="J4464" i="2"/>
  <c r="K4464" i="2" s="1"/>
  <c r="J4468" i="2"/>
  <c r="K4468" i="2" s="1"/>
  <c r="J4472" i="2"/>
  <c r="K4472" i="2" s="1"/>
  <c r="J4476" i="2"/>
  <c r="K4476" i="2" s="1"/>
  <c r="J4480" i="2"/>
  <c r="K4480" i="2" s="1"/>
  <c r="J4484" i="2"/>
  <c r="K4484" i="2" s="1"/>
  <c r="J4488" i="2"/>
  <c r="K4488" i="2" s="1"/>
  <c r="J4492" i="2"/>
  <c r="K4492" i="2" s="1"/>
  <c r="J4496" i="2"/>
  <c r="K4496" i="2" s="1"/>
  <c r="J4500" i="2"/>
  <c r="K4500" i="2" s="1"/>
  <c r="J4504" i="2"/>
  <c r="K4504" i="2" s="1"/>
  <c r="J4508" i="2"/>
  <c r="K4508" i="2" s="1"/>
  <c r="J4512" i="2"/>
  <c r="K4512" i="2" s="1"/>
  <c r="J4516" i="2"/>
  <c r="K4516" i="2" s="1"/>
  <c r="J4520" i="2"/>
  <c r="K4520" i="2" s="1"/>
  <c r="J4524" i="2"/>
  <c r="K4524" i="2" s="1"/>
  <c r="J4528" i="2"/>
  <c r="K4528" i="2" s="1"/>
  <c r="J4532" i="2"/>
  <c r="K4532" i="2" s="1"/>
  <c r="J4536" i="2"/>
  <c r="K4536" i="2" s="1"/>
  <c r="J4540" i="2"/>
  <c r="K4540" i="2" s="1"/>
  <c r="J1106" i="2"/>
  <c r="K1106" i="2" s="1"/>
  <c r="J1730" i="2"/>
  <c r="K1730" i="2" s="1"/>
  <c r="J1986" i="2"/>
  <c r="K1986" i="2" s="1"/>
  <c r="J2242" i="2"/>
  <c r="K2242" i="2" s="1"/>
  <c r="J2498" i="2"/>
  <c r="K2498" i="2" s="1"/>
  <c r="J2618" i="2"/>
  <c r="K2618" i="2" s="1"/>
  <c r="J2703" i="2"/>
  <c r="K2703" i="2" s="1"/>
  <c r="J2785" i="2"/>
  <c r="K2785" i="2" s="1"/>
  <c r="J2849" i="2"/>
  <c r="K2849" i="2" s="1"/>
  <c r="J2913" i="2"/>
  <c r="K2913" i="2" s="1"/>
  <c r="J2977" i="2"/>
  <c r="K2977" i="2" s="1"/>
  <c r="J3041" i="2"/>
  <c r="K3041" i="2" s="1"/>
  <c r="J3105" i="2"/>
  <c r="K3105" i="2" s="1"/>
  <c r="J3169" i="2"/>
  <c r="K3169" i="2" s="1"/>
  <c r="J3233" i="2"/>
  <c r="K3233" i="2" s="1"/>
  <c r="J3297" i="2"/>
  <c r="K3297" i="2" s="1"/>
  <c r="J3356" i="2"/>
  <c r="K3356" i="2" s="1"/>
  <c r="J3388" i="2"/>
  <c r="K3388" i="2" s="1"/>
  <c r="J3420" i="2"/>
  <c r="K3420" i="2" s="1"/>
  <c r="J3451" i="2"/>
  <c r="K3451" i="2" s="1"/>
  <c r="J3472" i="2"/>
  <c r="K3472" i="2" s="1"/>
  <c r="J3493" i="2"/>
  <c r="K3493" i="2" s="1"/>
  <c r="J3515" i="2"/>
  <c r="K3515" i="2" s="1"/>
  <c r="J3536" i="2"/>
  <c r="K3536" i="2" s="1"/>
  <c r="J3557" i="2"/>
  <c r="K3557" i="2" s="1"/>
  <c r="J3579" i="2"/>
  <c r="K3579" i="2" s="1"/>
  <c r="J3600" i="2"/>
  <c r="K3600" i="2" s="1"/>
  <c r="J3621" i="2"/>
  <c r="K3621" i="2" s="1"/>
  <c r="J3643" i="2"/>
  <c r="K3643" i="2" s="1"/>
  <c r="J3664" i="2"/>
  <c r="K3664" i="2" s="1"/>
  <c r="J3685" i="2"/>
  <c r="K3685" i="2" s="1"/>
  <c r="J3701" i="2"/>
  <c r="K3701" i="2" s="1"/>
  <c r="J3717" i="2"/>
  <c r="K3717" i="2" s="1"/>
  <c r="J3733" i="2"/>
  <c r="K3733" i="2" s="1"/>
  <c r="J3749" i="2"/>
  <c r="K3749" i="2" s="1"/>
  <c r="J3765" i="2"/>
  <c r="K3765" i="2" s="1"/>
  <c r="J3781" i="2"/>
  <c r="K3781" i="2" s="1"/>
  <c r="J3797" i="2"/>
  <c r="K3797" i="2" s="1"/>
  <c r="J3813" i="2"/>
  <c r="K3813" i="2" s="1"/>
  <c r="J3829" i="2"/>
  <c r="K3829" i="2" s="1"/>
  <c r="J3845" i="2"/>
  <c r="K3845" i="2" s="1"/>
  <c r="J3861" i="2"/>
  <c r="K3861" i="2" s="1"/>
  <c r="J3877" i="2"/>
  <c r="K3877" i="2" s="1"/>
  <c r="J3893" i="2"/>
  <c r="K3893" i="2" s="1"/>
  <c r="J3909" i="2"/>
  <c r="K3909" i="2" s="1"/>
  <c r="J3925" i="2"/>
  <c r="K3925" i="2" s="1"/>
  <c r="J3941" i="2"/>
  <c r="K3941" i="2" s="1"/>
  <c r="J3957" i="2"/>
  <c r="K3957" i="2" s="1"/>
  <c r="J3973" i="2"/>
  <c r="K3973" i="2" s="1"/>
  <c r="J3989" i="2"/>
  <c r="K3989" i="2" s="1"/>
  <c r="J4005" i="2"/>
  <c r="K4005" i="2" s="1"/>
  <c r="J4021" i="2"/>
  <c r="K4021" i="2" s="1"/>
  <c r="J4037" i="2"/>
  <c r="K4037" i="2" s="1"/>
  <c r="J4053" i="2"/>
  <c r="K4053" i="2" s="1"/>
  <c r="J4069" i="2"/>
  <c r="K4069" i="2" s="1"/>
  <c r="J4085" i="2"/>
  <c r="K4085" i="2" s="1"/>
  <c r="J4101" i="2"/>
  <c r="K4101" i="2" s="1"/>
  <c r="J4117" i="2"/>
  <c r="K4117" i="2" s="1"/>
  <c r="J4133" i="2"/>
  <c r="K4133" i="2" s="1"/>
  <c r="J4149" i="2"/>
  <c r="K4149" i="2" s="1"/>
  <c r="J4165" i="2"/>
  <c r="K4165" i="2" s="1"/>
  <c r="J4181" i="2"/>
  <c r="K4181" i="2" s="1"/>
  <c r="J4197" i="2"/>
  <c r="K4197" i="2" s="1"/>
  <c r="J4213" i="2"/>
  <c r="K4213" i="2" s="1"/>
  <c r="J4229" i="2"/>
  <c r="K4229" i="2" s="1"/>
  <c r="J4245" i="2"/>
  <c r="K4245" i="2" s="1"/>
  <c r="J4261" i="2"/>
  <c r="K4261" i="2" s="1"/>
  <c r="J4277" i="2"/>
  <c r="K4277" i="2" s="1"/>
  <c r="J4293" i="2"/>
  <c r="K4293" i="2" s="1"/>
  <c r="J4309" i="2"/>
  <c r="K4309" i="2" s="1"/>
  <c r="J4325" i="2"/>
  <c r="K4325" i="2" s="1"/>
  <c r="J4334" i="2"/>
  <c r="K4334" i="2" s="1"/>
  <c r="J4342" i="2"/>
  <c r="K4342" i="2" s="1"/>
  <c r="J4350" i="2"/>
  <c r="K4350" i="2" s="1"/>
  <c r="J4358" i="2"/>
  <c r="K4358" i="2" s="1"/>
  <c r="J4366" i="2"/>
  <c r="K4366" i="2" s="1"/>
  <c r="J4374" i="2"/>
  <c r="K4374" i="2" s="1"/>
  <c r="J4382" i="2"/>
  <c r="K4382" i="2" s="1"/>
  <c r="J4390" i="2"/>
  <c r="K4390" i="2" s="1"/>
  <c r="J4398" i="2"/>
  <c r="K4398" i="2" s="1"/>
  <c r="J4406" i="2"/>
  <c r="K4406" i="2" s="1"/>
  <c r="J4414" i="2"/>
  <c r="K4414" i="2" s="1"/>
  <c r="J4422" i="2"/>
  <c r="K4422" i="2" s="1"/>
  <c r="J4430" i="2"/>
  <c r="K4430" i="2" s="1"/>
  <c r="J4438" i="2"/>
  <c r="K4438" i="2" s="1"/>
  <c r="J4446" i="2"/>
  <c r="K4446" i="2" s="1"/>
  <c r="J4454" i="2"/>
  <c r="K4454" i="2" s="1"/>
  <c r="J4462" i="2"/>
  <c r="K4462" i="2" s="1"/>
  <c r="J4470" i="2"/>
  <c r="K4470" i="2" s="1"/>
  <c r="J4478" i="2"/>
  <c r="K4478" i="2" s="1"/>
  <c r="J4486" i="2"/>
  <c r="K4486" i="2" s="1"/>
  <c r="J4494" i="2"/>
  <c r="K4494" i="2" s="1"/>
  <c r="J4502" i="2"/>
  <c r="K4502" i="2" s="1"/>
  <c r="J4510" i="2"/>
  <c r="K4510" i="2" s="1"/>
  <c r="J4518" i="2"/>
  <c r="K4518" i="2" s="1"/>
  <c r="J4526" i="2"/>
  <c r="K4526" i="2" s="1"/>
  <c r="J4534" i="2"/>
  <c r="K4534" i="2" s="1"/>
  <c r="J4542" i="2"/>
  <c r="K4542" i="2" s="1"/>
  <c r="J4548" i="2"/>
  <c r="K4548" i="2" s="1"/>
  <c r="J4553" i="2"/>
  <c r="K4553" i="2" s="1"/>
  <c r="J4558" i="2"/>
  <c r="K4558" i="2" s="1"/>
  <c r="J4564" i="2"/>
  <c r="K4564" i="2" s="1"/>
  <c r="J4568" i="2"/>
  <c r="K4568" i="2" s="1"/>
  <c r="J4572" i="2"/>
  <c r="K4572" i="2" s="1"/>
  <c r="J4576" i="2"/>
  <c r="K4576" i="2" s="1"/>
  <c r="J4580" i="2"/>
  <c r="K4580" i="2" s="1"/>
  <c r="J4584" i="2"/>
  <c r="K4584" i="2" s="1"/>
  <c r="J4588" i="2"/>
  <c r="K4588" i="2" s="1"/>
  <c r="J4592" i="2"/>
  <c r="K4592" i="2" s="1"/>
  <c r="J4596" i="2"/>
  <c r="K4596" i="2" s="1"/>
  <c r="J4600" i="2"/>
  <c r="K4600" i="2" s="1"/>
  <c r="J4604" i="2"/>
  <c r="K4604" i="2" s="1"/>
  <c r="J4608" i="2"/>
  <c r="K4608" i="2" s="1"/>
  <c r="J4612" i="2"/>
  <c r="K4612" i="2" s="1"/>
  <c r="J4616" i="2"/>
  <c r="K4616" i="2" s="1"/>
  <c r="J4620" i="2"/>
  <c r="K4620" i="2" s="1"/>
  <c r="J4624" i="2"/>
  <c r="K4624" i="2" s="1"/>
  <c r="J4628" i="2"/>
  <c r="K4628" i="2" s="1"/>
  <c r="J4632" i="2"/>
  <c r="K4632" i="2" s="1"/>
  <c r="J4636" i="2"/>
  <c r="K4636" i="2" s="1"/>
  <c r="J4640" i="2"/>
  <c r="K4640" i="2" s="1"/>
  <c r="J4644" i="2"/>
  <c r="K4644" i="2" s="1"/>
  <c r="J4648" i="2"/>
  <c r="K4648" i="2" s="1"/>
  <c r="J4652" i="2"/>
  <c r="K4652" i="2" s="1"/>
  <c r="J4656" i="2"/>
  <c r="K4656" i="2" s="1"/>
  <c r="J4660" i="2"/>
  <c r="K4660" i="2" s="1"/>
  <c r="J4664" i="2"/>
  <c r="K4664" i="2" s="1"/>
  <c r="J4668" i="2"/>
  <c r="K4668" i="2" s="1"/>
  <c r="J4672" i="2"/>
  <c r="K4672" i="2" s="1"/>
  <c r="J4676" i="2"/>
  <c r="K4676" i="2" s="1"/>
  <c r="J4680" i="2"/>
  <c r="K4680" i="2" s="1"/>
  <c r="J4684" i="2"/>
  <c r="K4684" i="2" s="1"/>
  <c r="J4688" i="2"/>
  <c r="K4688" i="2" s="1"/>
  <c r="J4692" i="2"/>
  <c r="K4692" i="2" s="1"/>
  <c r="J4696" i="2"/>
  <c r="K4696" i="2" s="1"/>
  <c r="J4700" i="2"/>
  <c r="K4700" i="2" s="1"/>
  <c r="J4704" i="2"/>
  <c r="K4704" i="2" s="1"/>
  <c r="J4708" i="2"/>
  <c r="K4708" i="2" s="1"/>
  <c r="J4712" i="2"/>
  <c r="K4712" i="2" s="1"/>
  <c r="J4716" i="2"/>
  <c r="K4716" i="2" s="1"/>
  <c r="J4720" i="2"/>
  <c r="K4720" i="2" s="1"/>
  <c r="J4724" i="2"/>
  <c r="K4724" i="2" s="1"/>
  <c r="J4728" i="2"/>
  <c r="K4728" i="2" s="1"/>
  <c r="J4732" i="2"/>
  <c r="K4732" i="2" s="1"/>
  <c r="J4736" i="2"/>
  <c r="K4736" i="2" s="1"/>
  <c r="J4740" i="2"/>
  <c r="K4740" i="2" s="1"/>
  <c r="J4744" i="2"/>
  <c r="K4744" i="2" s="1"/>
  <c r="J4748" i="2"/>
  <c r="K4748" i="2" s="1"/>
  <c r="J4752" i="2"/>
  <c r="K4752" i="2" s="1"/>
  <c r="J4756" i="2"/>
  <c r="K4756" i="2" s="1"/>
  <c r="J4760" i="2"/>
  <c r="K4760" i="2" s="1"/>
  <c r="J4764" i="2"/>
  <c r="K4764" i="2" s="1"/>
  <c r="J4768" i="2"/>
  <c r="K4768" i="2" s="1"/>
  <c r="J4772" i="2"/>
  <c r="K4772" i="2" s="1"/>
  <c r="J4776" i="2"/>
  <c r="K4776" i="2" s="1"/>
  <c r="J4780" i="2"/>
  <c r="K4780" i="2" s="1"/>
  <c r="J4784" i="2"/>
  <c r="K4784" i="2" s="1"/>
  <c r="J4788" i="2"/>
  <c r="K4788" i="2" s="1"/>
  <c r="J4792" i="2"/>
  <c r="K4792" i="2" s="1"/>
  <c r="J4796" i="2"/>
  <c r="K4796" i="2" s="1"/>
  <c r="J4800" i="2"/>
  <c r="K4800" i="2" s="1"/>
  <c r="J4804" i="2"/>
  <c r="K4804" i="2" s="1"/>
  <c r="J4808" i="2"/>
  <c r="K4808" i="2" s="1"/>
  <c r="J4812" i="2"/>
  <c r="K4812" i="2" s="1"/>
  <c r="J4816" i="2"/>
  <c r="K4816" i="2" s="1"/>
  <c r="J4820" i="2"/>
  <c r="K4820" i="2" s="1"/>
  <c r="J4824" i="2"/>
  <c r="K4824" i="2" s="1"/>
  <c r="J4828" i="2"/>
  <c r="K4828" i="2" s="1"/>
  <c r="J4832" i="2"/>
  <c r="K4832" i="2" s="1"/>
  <c r="J4836" i="2"/>
  <c r="K4836" i="2" s="1"/>
  <c r="J4840" i="2"/>
  <c r="K4840" i="2" s="1"/>
  <c r="J4844" i="2"/>
  <c r="K4844" i="2" s="1"/>
  <c r="J4848" i="2"/>
  <c r="K4848" i="2" s="1"/>
  <c r="J4852" i="2"/>
  <c r="K4852" i="2" s="1"/>
  <c r="J4856" i="2"/>
  <c r="K4856" i="2" s="1"/>
  <c r="J4860" i="2"/>
  <c r="K4860" i="2" s="1"/>
  <c r="J4864" i="2"/>
  <c r="K4864" i="2" s="1"/>
  <c r="J4868" i="2"/>
  <c r="K4868" i="2" s="1"/>
  <c r="J4872" i="2"/>
  <c r="K4872" i="2" s="1"/>
  <c r="J4876" i="2"/>
  <c r="K4876" i="2" s="1"/>
  <c r="J4880" i="2"/>
  <c r="K4880" i="2" s="1"/>
  <c r="J4884" i="2"/>
  <c r="K4884" i="2" s="1"/>
  <c r="J4888" i="2"/>
  <c r="K4888" i="2" s="1"/>
  <c r="J4892" i="2"/>
  <c r="K4892" i="2" s="1"/>
  <c r="J4896" i="2"/>
  <c r="K4896" i="2" s="1"/>
  <c r="J4900" i="2"/>
  <c r="K4900" i="2" s="1"/>
  <c r="J4904" i="2"/>
  <c r="K4904" i="2" s="1"/>
  <c r="J4908" i="2"/>
  <c r="K4908" i="2" s="1"/>
  <c r="J4912" i="2"/>
  <c r="K4912" i="2" s="1"/>
  <c r="J4916" i="2"/>
  <c r="K4916" i="2" s="1"/>
  <c r="J4920" i="2"/>
  <c r="K4920" i="2" s="1"/>
  <c r="J4924" i="2"/>
  <c r="K4924" i="2" s="1"/>
  <c r="J4928" i="2"/>
  <c r="K4928" i="2" s="1"/>
  <c r="J4932" i="2"/>
  <c r="K4932" i="2" s="1"/>
  <c r="J4936" i="2"/>
  <c r="K4936" i="2" s="1"/>
  <c r="J4940" i="2"/>
  <c r="K4940" i="2" s="1"/>
  <c r="J4944" i="2"/>
  <c r="K4944" i="2" s="1"/>
  <c r="J4948" i="2"/>
  <c r="K4948" i="2" s="1"/>
  <c r="J4952" i="2"/>
  <c r="K4952" i="2" s="1"/>
  <c r="J4956" i="2"/>
  <c r="K4956" i="2" s="1"/>
  <c r="J4960" i="2"/>
  <c r="K4960" i="2" s="1"/>
  <c r="J4964" i="2"/>
  <c r="K4964" i="2" s="1"/>
  <c r="J4968" i="2"/>
  <c r="K4968" i="2" s="1"/>
  <c r="J4972" i="2"/>
  <c r="K4972" i="2" s="1"/>
  <c r="J4976" i="2"/>
  <c r="K4976" i="2" s="1"/>
  <c r="J4980" i="2"/>
  <c r="K4980" i="2" s="1"/>
  <c r="J4984" i="2"/>
  <c r="K4984" i="2" s="1"/>
  <c r="J4988" i="2"/>
  <c r="K4988" i="2" s="1"/>
  <c r="J4992" i="2"/>
  <c r="K4992" i="2" s="1"/>
  <c r="J4996" i="2"/>
  <c r="K4996" i="2" s="1"/>
  <c r="J5000" i="2"/>
  <c r="K5000" i="2" s="1"/>
  <c r="J1362" i="2"/>
  <c r="K1362" i="2" s="1"/>
  <c r="J1794" i="2"/>
  <c r="K1794" i="2" s="1"/>
  <c r="J2050" i="2"/>
  <c r="K2050" i="2" s="1"/>
  <c r="J2306" i="2"/>
  <c r="K2306" i="2" s="1"/>
  <c r="J2554" i="2"/>
  <c r="K2554" i="2" s="1"/>
  <c r="J2639" i="2"/>
  <c r="K2639" i="2" s="1"/>
  <c r="J2724" i="2"/>
  <c r="K2724" i="2" s="1"/>
  <c r="J2801" i="2"/>
  <c r="K2801" i="2" s="1"/>
  <c r="J2865" i="2"/>
  <c r="K2865" i="2" s="1"/>
  <c r="J2929" i="2"/>
  <c r="K2929" i="2" s="1"/>
  <c r="J2993" i="2"/>
  <c r="K2993" i="2" s="1"/>
  <c r="J3057" i="2"/>
  <c r="K3057" i="2" s="1"/>
  <c r="J3121" i="2"/>
  <c r="K3121" i="2" s="1"/>
  <c r="J3185" i="2"/>
  <c r="K3185" i="2" s="1"/>
  <c r="J3249" i="2"/>
  <c r="K3249" i="2" s="1"/>
  <c r="J3313" i="2"/>
  <c r="K3313" i="2" s="1"/>
  <c r="J3364" i="2"/>
  <c r="K3364" i="2" s="1"/>
  <c r="J3396" i="2"/>
  <c r="K3396" i="2" s="1"/>
  <c r="J3428" i="2"/>
  <c r="K3428" i="2" s="1"/>
  <c r="J3456" i="2"/>
  <c r="K3456" i="2" s="1"/>
  <c r="J3477" i="2"/>
  <c r="K3477" i="2" s="1"/>
  <c r="J3499" i="2"/>
  <c r="K3499" i="2" s="1"/>
  <c r="J3520" i="2"/>
  <c r="K3520" i="2" s="1"/>
  <c r="J3541" i="2"/>
  <c r="K3541" i="2" s="1"/>
  <c r="J3563" i="2"/>
  <c r="K3563" i="2" s="1"/>
  <c r="J3584" i="2"/>
  <c r="K3584" i="2" s="1"/>
  <c r="J3605" i="2"/>
  <c r="K3605" i="2" s="1"/>
  <c r="J3627" i="2"/>
  <c r="K3627" i="2" s="1"/>
  <c r="J3648" i="2"/>
  <c r="K3648" i="2" s="1"/>
  <c r="J3669" i="2"/>
  <c r="K3669" i="2" s="1"/>
  <c r="J3689" i="2"/>
  <c r="K3689" i="2" s="1"/>
  <c r="J3705" i="2"/>
  <c r="K3705" i="2" s="1"/>
  <c r="J3721" i="2"/>
  <c r="K3721" i="2" s="1"/>
  <c r="J3737" i="2"/>
  <c r="K3737" i="2" s="1"/>
  <c r="J3753" i="2"/>
  <c r="K3753" i="2" s="1"/>
  <c r="J3769" i="2"/>
  <c r="K3769" i="2" s="1"/>
  <c r="J3785" i="2"/>
  <c r="K3785" i="2" s="1"/>
  <c r="J3801" i="2"/>
  <c r="K3801" i="2" s="1"/>
  <c r="J3817" i="2"/>
  <c r="K3817" i="2" s="1"/>
  <c r="J3833" i="2"/>
  <c r="K3833" i="2" s="1"/>
  <c r="J3849" i="2"/>
  <c r="K3849" i="2" s="1"/>
  <c r="J3865" i="2"/>
  <c r="K3865" i="2" s="1"/>
  <c r="J3881" i="2"/>
  <c r="K3881" i="2" s="1"/>
  <c r="J3897" i="2"/>
  <c r="K3897" i="2" s="1"/>
  <c r="J3913" i="2"/>
  <c r="K3913" i="2" s="1"/>
  <c r="J3929" i="2"/>
  <c r="K3929" i="2" s="1"/>
  <c r="J3945" i="2"/>
  <c r="K3945" i="2" s="1"/>
  <c r="J3961" i="2"/>
  <c r="K3961" i="2" s="1"/>
  <c r="J3977" i="2"/>
  <c r="K3977" i="2" s="1"/>
  <c r="J3993" i="2"/>
  <c r="K3993" i="2" s="1"/>
  <c r="J4009" i="2"/>
  <c r="K4009" i="2" s="1"/>
  <c r="J4025" i="2"/>
  <c r="K4025" i="2" s="1"/>
  <c r="J4041" i="2"/>
  <c r="K4041" i="2" s="1"/>
  <c r="J4057" i="2"/>
  <c r="K4057" i="2" s="1"/>
  <c r="J4073" i="2"/>
  <c r="K4073" i="2" s="1"/>
  <c r="J4089" i="2"/>
  <c r="K4089" i="2" s="1"/>
  <c r="J4105" i="2"/>
  <c r="K4105" i="2" s="1"/>
  <c r="J4121" i="2"/>
  <c r="K4121" i="2" s="1"/>
  <c r="J4137" i="2"/>
  <c r="K4137" i="2" s="1"/>
  <c r="J4153" i="2"/>
  <c r="K4153" i="2" s="1"/>
  <c r="J4169" i="2"/>
  <c r="K4169" i="2" s="1"/>
  <c r="J4185" i="2"/>
  <c r="K4185" i="2" s="1"/>
  <c r="J4201" i="2"/>
  <c r="K4201" i="2" s="1"/>
  <c r="J4217" i="2"/>
  <c r="K4217" i="2" s="1"/>
  <c r="J4233" i="2"/>
  <c r="K4233" i="2" s="1"/>
  <c r="J4249" i="2"/>
  <c r="K4249" i="2" s="1"/>
  <c r="J4265" i="2"/>
  <c r="K4265" i="2" s="1"/>
  <c r="J4281" i="2"/>
  <c r="K4281" i="2" s="1"/>
  <c r="J4297" i="2"/>
  <c r="K4297" i="2" s="1"/>
  <c r="J4313" i="2"/>
  <c r="K4313" i="2" s="1"/>
  <c r="J4329" i="2"/>
  <c r="K4329" i="2" s="1"/>
  <c r="J4337" i="2"/>
  <c r="K4337" i="2" s="1"/>
  <c r="J4345" i="2"/>
  <c r="K4345" i="2" s="1"/>
  <c r="J4353" i="2"/>
  <c r="K4353" i="2" s="1"/>
  <c r="J4361" i="2"/>
  <c r="K4361" i="2" s="1"/>
  <c r="J4369" i="2"/>
  <c r="K4369" i="2" s="1"/>
  <c r="J4377" i="2"/>
  <c r="K4377" i="2" s="1"/>
  <c r="J4385" i="2"/>
  <c r="K4385" i="2" s="1"/>
  <c r="J4393" i="2"/>
  <c r="K4393" i="2" s="1"/>
  <c r="J4401" i="2"/>
  <c r="K4401" i="2" s="1"/>
  <c r="J4409" i="2"/>
  <c r="K4409" i="2" s="1"/>
  <c r="J4417" i="2"/>
  <c r="K4417" i="2" s="1"/>
  <c r="J4425" i="2"/>
  <c r="K4425" i="2" s="1"/>
  <c r="J4433" i="2"/>
  <c r="K4433" i="2" s="1"/>
  <c r="J4441" i="2"/>
  <c r="K4441" i="2" s="1"/>
  <c r="J4449" i="2"/>
  <c r="K4449" i="2" s="1"/>
  <c r="J4457" i="2"/>
  <c r="K4457" i="2" s="1"/>
  <c r="J4465" i="2"/>
  <c r="K4465" i="2" s="1"/>
  <c r="J4473" i="2"/>
  <c r="K4473" i="2" s="1"/>
  <c r="J4481" i="2"/>
  <c r="K4481" i="2" s="1"/>
  <c r="J4489" i="2"/>
  <c r="K4489" i="2" s="1"/>
  <c r="J4497" i="2"/>
  <c r="K4497" i="2" s="1"/>
  <c r="J4505" i="2"/>
  <c r="K4505" i="2" s="1"/>
  <c r="J4513" i="2"/>
  <c r="K4513" i="2" s="1"/>
  <c r="J4521" i="2"/>
  <c r="K4521" i="2" s="1"/>
  <c r="J4529" i="2"/>
  <c r="K4529" i="2" s="1"/>
  <c r="J4537" i="2"/>
  <c r="K4537" i="2" s="1"/>
  <c r="J4544" i="2"/>
  <c r="K4544" i="2" s="1"/>
  <c r="J4549" i="2"/>
  <c r="K4549" i="2" s="1"/>
  <c r="J4554" i="2"/>
  <c r="K4554" i="2" s="1"/>
  <c r="J4560" i="2"/>
  <c r="K4560" i="2" s="1"/>
  <c r="J4565" i="2"/>
  <c r="K4565" i="2" s="1"/>
  <c r="J4569" i="2"/>
  <c r="K4569" i="2" s="1"/>
  <c r="J4573" i="2"/>
  <c r="K4573" i="2" s="1"/>
  <c r="J4577" i="2"/>
  <c r="K4577" i="2" s="1"/>
  <c r="J4581" i="2"/>
  <c r="K4581" i="2" s="1"/>
  <c r="J4585" i="2"/>
  <c r="K4585" i="2" s="1"/>
  <c r="J4589" i="2"/>
  <c r="K4589" i="2" s="1"/>
  <c r="J4593" i="2"/>
  <c r="K4593" i="2" s="1"/>
  <c r="J4597" i="2"/>
  <c r="K4597" i="2" s="1"/>
  <c r="J4601" i="2"/>
  <c r="K4601" i="2" s="1"/>
  <c r="J4605" i="2"/>
  <c r="K4605" i="2" s="1"/>
  <c r="J4609" i="2"/>
  <c r="K4609" i="2" s="1"/>
  <c r="J4613" i="2"/>
  <c r="K4613" i="2" s="1"/>
  <c r="J4617" i="2"/>
  <c r="K4617" i="2" s="1"/>
  <c r="J4621" i="2"/>
  <c r="K4621" i="2" s="1"/>
  <c r="J4625" i="2"/>
  <c r="K4625" i="2" s="1"/>
  <c r="J4629" i="2"/>
  <c r="K4629" i="2" s="1"/>
  <c r="J4633" i="2"/>
  <c r="K4633" i="2" s="1"/>
  <c r="J4637" i="2"/>
  <c r="K4637" i="2" s="1"/>
  <c r="J4641" i="2"/>
  <c r="K4641" i="2" s="1"/>
  <c r="J4645" i="2"/>
  <c r="K4645" i="2" s="1"/>
  <c r="J4649" i="2"/>
  <c r="K4649" i="2" s="1"/>
  <c r="J4653" i="2"/>
  <c r="K4653" i="2" s="1"/>
  <c r="J4657" i="2"/>
  <c r="K4657" i="2" s="1"/>
  <c r="J4661" i="2"/>
  <c r="K4661" i="2" s="1"/>
  <c r="J4665" i="2"/>
  <c r="K4665" i="2" s="1"/>
  <c r="J4669" i="2"/>
  <c r="K4669" i="2" s="1"/>
  <c r="J4673" i="2"/>
  <c r="K4673" i="2" s="1"/>
  <c r="J4677" i="2"/>
  <c r="K4677" i="2" s="1"/>
  <c r="J4681" i="2"/>
  <c r="K4681" i="2" s="1"/>
  <c r="J4685" i="2"/>
  <c r="K4685" i="2" s="1"/>
  <c r="J4689" i="2"/>
  <c r="K4689" i="2" s="1"/>
  <c r="J4693" i="2"/>
  <c r="K4693" i="2" s="1"/>
  <c r="J4697" i="2"/>
  <c r="K4697" i="2" s="1"/>
  <c r="J4701" i="2"/>
  <c r="K4701" i="2" s="1"/>
  <c r="J4705" i="2"/>
  <c r="K4705" i="2" s="1"/>
  <c r="J4709" i="2"/>
  <c r="K4709" i="2" s="1"/>
  <c r="J4713" i="2"/>
  <c r="K4713" i="2" s="1"/>
  <c r="J4717" i="2"/>
  <c r="K4717" i="2" s="1"/>
  <c r="J4721" i="2"/>
  <c r="K4721" i="2" s="1"/>
  <c r="J4725" i="2"/>
  <c r="K4725" i="2" s="1"/>
  <c r="J4729" i="2"/>
  <c r="K4729" i="2" s="1"/>
  <c r="J4733" i="2"/>
  <c r="K4733" i="2" s="1"/>
  <c r="J4737" i="2"/>
  <c r="K4737" i="2" s="1"/>
  <c r="J4741" i="2"/>
  <c r="K4741" i="2" s="1"/>
  <c r="J4745" i="2"/>
  <c r="K4745" i="2" s="1"/>
  <c r="J4749" i="2"/>
  <c r="K4749" i="2" s="1"/>
  <c r="J4753" i="2"/>
  <c r="K4753" i="2" s="1"/>
  <c r="J4757" i="2"/>
  <c r="K4757" i="2" s="1"/>
  <c r="J4761" i="2"/>
  <c r="K4761" i="2" s="1"/>
  <c r="J4765" i="2"/>
  <c r="K4765" i="2" s="1"/>
  <c r="J4769" i="2"/>
  <c r="K4769" i="2" s="1"/>
  <c r="J4773" i="2"/>
  <c r="K4773" i="2" s="1"/>
  <c r="J4777" i="2"/>
  <c r="K4777" i="2" s="1"/>
  <c r="J4781" i="2"/>
  <c r="K4781" i="2" s="1"/>
  <c r="J4785" i="2"/>
  <c r="K4785" i="2" s="1"/>
  <c r="J4789" i="2"/>
  <c r="K4789" i="2" s="1"/>
  <c r="J4793" i="2"/>
  <c r="K4793" i="2" s="1"/>
  <c r="J4797" i="2"/>
  <c r="K4797" i="2" s="1"/>
  <c r="J4801" i="2"/>
  <c r="K4801" i="2" s="1"/>
  <c r="J4805" i="2"/>
  <c r="K4805" i="2" s="1"/>
  <c r="J4809" i="2"/>
  <c r="K4809" i="2" s="1"/>
  <c r="J4813" i="2"/>
  <c r="K4813" i="2" s="1"/>
  <c r="J4817" i="2"/>
  <c r="K4817" i="2" s="1"/>
  <c r="J4821" i="2"/>
  <c r="K4821" i="2" s="1"/>
  <c r="J4825" i="2"/>
  <c r="K4825" i="2" s="1"/>
  <c r="J4829" i="2"/>
  <c r="K4829" i="2" s="1"/>
  <c r="J4833" i="2"/>
  <c r="K4833" i="2" s="1"/>
  <c r="J4837" i="2"/>
  <c r="K4837" i="2" s="1"/>
  <c r="J4841" i="2"/>
  <c r="K4841" i="2" s="1"/>
  <c r="J4845" i="2"/>
  <c r="K4845" i="2" s="1"/>
  <c r="J4849" i="2"/>
  <c r="K4849" i="2" s="1"/>
  <c r="J4853" i="2"/>
  <c r="K4853" i="2" s="1"/>
  <c r="J4857" i="2"/>
  <c r="K4857" i="2" s="1"/>
  <c r="J4861" i="2"/>
  <c r="K4861" i="2" s="1"/>
  <c r="J4865" i="2"/>
  <c r="K4865" i="2" s="1"/>
  <c r="J4869" i="2"/>
  <c r="K4869" i="2" s="1"/>
  <c r="J4873" i="2"/>
  <c r="K4873" i="2" s="1"/>
  <c r="J4877" i="2"/>
  <c r="K4877" i="2" s="1"/>
  <c r="J4881" i="2"/>
  <c r="K4881" i="2" s="1"/>
  <c r="J4885" i="2"/>
  <c r="K4885" i="2" s="1"/>
  <c r="J4889" i="2"/>
  <c r="K4889" i="2" s="1"/>
  <c r="J4893" i="2"/>
  <c r="K4893" i="2" s="1"/>
  <c r="J4897" i="2"/>
  <c r="K4897" i="2" s="1"/>
  <c r="J4901" i="2"/>
  <c r="K4901" i="2" s="1"/>
  <c r="J4905" i="2"/>
  <c r="K4905" i="2" s="1"/>
  <c r="J4909" i="2"/>
  <c r="K4909" i="2" s="1"/>
  <c r="J4913" i="2"/>
  <c r="K4913" i="2" s="1"/>
  <c r="J4917" i="2"/>
  <c r="K4917" i="2" s="1"/>
  <c r="J4921" i="2"/>
  <c r="K4921" i="2" s="1"/>
  <c r="J4925" i="2"/>
  <c r="K4925" i="2" s="1"/>
  <c r="J4929" i="2"/>
  <c r="K4929" i="2" s="1"/>
  <c r="J4933" i="2"/>
  <c r="K4933" i="2" s="1"/>
  <c r="J4937" i="2"/>
  <c r="K4937" i="2" s="1"/>
  <c r="J4941" i="2"/>
  <c r="K4941" i="2" s="1"/>
  <c r="J4945" i="2"/>
  <c r="K4945" i="2" s="1"/>
  <c r="J4949" i="2"/>
  <c r="K4949" i="2" s="1"/>
  <c r="J4953" i="2"/>
  <c r="K4953" i="2" s="1"/>
  <c r="J4957" i="2"/>
  <c r="K4957" i="2" s="1"/>
  <c r="J4961" i="2"/>
  <c r="K4961" i="2" s="1"/>
  <c r="J4965" i="2"/>
  <c r="K4965" i="2" s="1"/>
  <c r="J4969" i="2"/>
  <c r="K4969" i="2" s="1"/>
  <c r="J4973" i="2"/>
  <c r="K4973" i="2" s="1"/>
  <c r="J4977" i="2"/>
  <c r="K4977" i="2" s="1"/>
  <c r="J4981" i="2"/>
  <c r="K4981" i="2" s="1"/>
  <c r="J4985" i="2"/>
  <c r="K4985" i="2" s="1"/>
  <c r="J4989" i="2"/>
  <c r="K4989" i="2" s="1"/>
  <c r="J4993" i="2"/>
  <c r="K4993" i="2" s="1"/>
  <c r="J4997" i="2"/>
  <c r="K4997" i="2" s="1"/>
  <c r="J5001" i="2"/>
  <c r="K5001" i="2" s="1"/>
  <c r="J1559" i="2"/>
  <c r="K1559" i="2" s="1"/>
  <c r="J1858" i="2"/>
  <c r="K1858" i="2" s="1"/>
  <c r="J2114" i="2"/>
  <c r="K2114" i="2" s="1"/>
  <c r="J2370" i="2"/>
  <c r="K2370" i="2" s="1"/>
  <c r="J2575" i="2"/>
  <c r="K2575" i="2" s="1"/>
  <c r="J2660" i="2"/>
  <c r="K2660" i="2" s="1"/>
  <c r="J2746" i="2"/>
  <c r="K2746" i="2" s="1"/>
  <c r="J2817" i="2"/>
  <c r="K2817" i="2" s="1"/>
  <c r="J2881" i="2"/>
  <c r="K2881" i="2" s="1"/>
  <c r="J2945" i="2"/>
  <c r="K2945" i="2" s="1"/>
  <c r="J3009" i="2"/>
  <c r="K3009" i="2" s="1"/>
  <c r="J3073" i="2"/>
  <c r="K3073" i="2" s="1"/>
  <c r="J3137" i="2"/>
  <c r="K3137" i="2" s="1"/>
  <c r="J3201" i="2"/>
  <c r="K3201" i="2" s="1"/>
  <c r="J3265" i="2"/>
  <c r="K3265" i="2" s="1"/>
  <c r="J3329" i="2"/>
  <c r="K3329" i="2" s="1"/>
  <c r="J3372" i="2"/>
  <c r="K3372" i="2" s="1"/>
  <c r="J3404" i="2"/>
  <c r="K3404" i="2" s="1"/>
  <c r="J3436" i="2"/>
  <c r="K3436" i="2" s="1"/>
  <c r="J3461" i="2"/>
  <c r="K3461" i="2" s="1"/>
  <c r="J3483" i="2"/>
  <c r="K3483" i="2" s="1"/>
  <c r="J3504" i="2"/>
  <c r="K3504" i="2" s="1"/>
  <c r="J3525" i="2"/>
  <c r="K3525" i="2" s="1"/>
  <c r="J3547" i="2"/>
  <c r="K3547" i="2" s="1"/>
  <c r="J3568" i="2"/>
  <c r="K3568" i="2" s="1"/>
  <c r="J3589" i="2"/>
  <c r="K3589" i="2" s="1"/>
  <c r="J3611" i="2"/>
  <c r="K3611" i="2" s="1"/>
  <c r="J3632" i="2"/>
  <c r="K3632" i="2" s="1"/>
  <c r="J3653" i="2"/>
  <c r="K3653" i="2" s="1"/>
  <c r="J3675" i="2"/>
  <c r="K3675" i="2" s="1"/>
  <c r="J3693" i="2"/>
  <c r="K3693" i="2" s="1"/>
  <c r="J3709" i="2"/>
  <c r="K3709" i="2" s="1"/>
  <c r="J3725" i="2"/>
  <c r="K3725" i="2" s="1"/>
  <c r="J3741" i="2"/>
  <c r="K3741" i="2" s="1"/>
  <c r="J3757" i="2"/>
  <c r="K3757" i="2" s="1"/>
  <c r="J3773" i="2"/>
  <c r="K3773" i="2" s="1"/>
  <c r="J3789" i="2"/>
  <c r="K3789" i="2" s="1"/>
  <c r="J3805" i="2"/>
  <c r="K3805" i="2" s="1"/>
  <c r="J3821" i="2"/>
  <c r="K3821" i="2" s="1"/>
  <c r="J3837" i="2"/>
  <c r="K3837" i="2" s="1"/>
  <c r="J3853" i="2"/>
  <c r="K3853" i="2" s="1"/>
  <c r="J3869" i="2"/>
  <c r="K3869" i="2" s="1"/>
  <c r="J3885" i="2"/>
  <c r="K3885" i="2" s="1"/>
  <c r="J3901" i="2"/>
  <c r="K3901" i="2" s="1"/>
  <c r="J3917" i="2"/>
  <c r="K3917" i="2" s="1"/>
  <c r="J3933" i="2"/>
  <c r="K3933" i="2" s="1"/>
  <c r="J3949" i="2"/>
  <c r="K3949" i="2" s="1"/>
  <c r="J3965" i="2"/>
  <c r="K3965" i="2" s="1"/>
  <c r="J3981" i="2"/>
  <c r="K3981" i="2" s="1"/>
  <c r="J3997" i="2"/>
  <c r="K3997" i="2" s="1"/>
  <c r="J4013" i="2"/>
  <c r="K4013" i="2" s="1"/>
  <c r="J4029" i="2"/>
  <c r="K4029" i="2" s="1"/>
  <c r="J4045" i="2"/>
  <c r="K4045" i="2" s="1"/>
  <c r="J4061" i="2"/>
  <c r="K4061" i="2" s="1"/>
  <c r="J4077" i="2"/>
  <c r="K4077" i="2" s="1"/>
  <c r="J4093" i="2"/>
  <c r="K4093" i="2" s="1"/>
  <c r="J4109" i="2"/>
  <c r="K4109" i="2" s="1"/>
  <c r="J4125" i="2"/>
  <c r="K4125" i="2" s="1"/>
  <c r="J4141" i="2"/>
  <c r="K4141" i="2" s="1"/>
  <c r="J4157" i="2"/>
  <c r="K4157" i="2" s="1"/>
  <c r="J4173" i="2"/>
  <c r="K4173" i="2" s="1"/>
  <c r="J4189" i="2"/>
  <c r="K4189" i="2" s="1"/>
  <c r="J4205" i="2"/>
  <c r="K4205" i="2" s="1"/>
  <c r="J4221" i="2"/>
  <c r="K4221" i="2" s="1"/>
  <c r="J4237" i="2"/>
  <c r="K4237" i="2" s="1"/>
  <c r="J4253" i="2"/>
  <c r="K4253" i="2" s="1"/>
  <c r="J4269" i="2"/>
  <c r="K4269" i="2" s="1"/>
  <c r="J4285" i="2"/>
  <c r="K4285" i="2" s="1"/>
  <c r="J4301" i="2"/>
  <c r="K4301" i="2" s="1"/>
  <c r="J4317" i="2"/>
  <c r="K4317" i="2" s="1"/>
  <c r="J4330" i="2"/>
  <c r="K4330" i="2" s="1"/>
  <c r="J4338" i="2"/>
  <c r="K4338" i="2" s="1"/>
  <c r="J4346" i="2"/>
  <c r="K4346" i="2" s="1"/>
  <c r="J4354" i="2"/>
  <c r="K4354" i="2" s="1"/>
  <c r="J4362" i="2"/>
  <c r="K4362" i="2" s="1"/>
  <c r="J4370" i="2"/>
  <c r="K4370" i="2" s="1"/>
  <c r="J4378" i="2"/>
  <c r="K4378" i="2" s="1"/>
  <c r="J4386" i="2"/>
  <c r="K4386" i="2" s="1"/>
  <c r="J4394" i="2"/>
  <c r="K4394" i="2" s="1"/>
  <c r="J4402" i="2"/>
  <c r="K4402" i="2" s="1"/>
  <c r="J4410" i="2"/>
  <c r="K4410" i="2" s="1"/>
  <c r="J4418" i="2"/>
  <c r="K4418" i="2" s="1"/>
  <c r="J4426" i="2"/>
  <c r="K4426" i="2" s="1"/>
  <c r="J4434" i="2"/>
  <c r="K4434" i="2" s="1"/>
  <c r="J4442" i="2"/>
  <c r="K4442" i="2" s="1"/>
  <c r="J4450" i="2"/>
  <c r="K4450" i="2" s="1"/>
  <c r="J4458" i="2"/>
  <c r="K4458" i="2" s="1"/>
  <c r="J4466" i="2"/>
  <c r="K4466" i="2" s="1"/>
  <c r="J4474" i="2"/>
  <c r="K4474" i="2" s="1"/>
  <c r="J4482" i="2"/>
  <c r="K4482" i="2" s="1"/>
  <c r="J4490" i="2"/>
  <c r="K4490" i="2" s="1"/>
  <c r="J4498" i="2"/>
  <c r="K4498" i="2" s="1"/>
  <c r="J4506" i="2"/>
  <c r="K4506" i="2" s="1"/>
  <c r="J4514" i="2"/>
  <c r="K4514" i="2" s="1"/>
  <c r="J4522" i="2"/>
  <c r="K4522" i="2" s="1"/>
  <c r="J4530" i="2"/>
  <c r="K4530" i="2" s="1"/>
  <c r="J4538" i="2"/>
  <c r="K4538" i="2" s="1"/>
  <c r="J4545" i="2"/>
  <c r="K4545" i="2" s="1"/>
  <c r="J4550" i="2"/>
  <c r="K4550" i="2" s="1"/>
  <c r="J4556" i="2"/>
  <c r="K4556" i="2" s="1"/>
  <c r="J4561" i="2"/>
  <c r="K4561" i="2" s="1"/>
  <c r="J4566" i="2"/>
  <c r="K4566" i="2" s="1"/>
  <c r="J4570" i="2"/>
  <c r="K4570" i="2" s="1"/>
  <c r="J4574" i="2"/>
  <c r="K4574" i="2" s="1"/>
  <c r="J4578" i="2"/>
  <c r="K4578" i="2" s="1"/>
  <c r="J4582" i="2"/>
  <c r="K4582" i="2" s="1"/>
  <c r="J4586" i="2"/>
  <c r="K4586" i="2" s="1"/>
  <c r="J4590" i="2"/>
  <c r="K4590" i="2" s="1"/>
  <c r="J4594" i="2"/>
  <c r="K4594" i="2" s="1"/>
  <c r="J4598" i="2"/>
  <c r="K4598" i="2" s="1"/>
  <c r="J4602" i="2"/>
  <c r="K4602" i="2" s="1"/>
  <c r="J4606" i="2"/>
  <c r="K4606" i="2" s="1"/>
  <c r="J4610" i="2"/>
  <c r="K4610" i="2" s="1"/>
  <c r="J4614" i="2"/>
  <c r="K4614" i="2" s="1"/>
  <c r="J4618" i="2"/>
  <c r="K4618" i="2" s="1"/>
  <c r="J4622" i="2"/>
  <c r="K4622" i="2" s="1"/>
  <c r="J4626" i="2"/>
  <c r="K4626" i="2" s="1"/>
  <c r="J4630" i="2"/>
  <c r="K4630" i="2" s="1"/>
  <c r="J4634" i="2"/>
  <c r="K4634" i="2" s="1"/>
  <c r="J4638" i="2"/>
  <c r="K4638" i="2" s="1"/>
  <c r="J4642" i="2"/>
  <c r="K4642" i="2" s="1"/>
  <c r="J4646" i="2"/>
  <c r="K4646" i="2" s="1"/>
  <c r="J4650" i="2"/>
  <c r="K4650" i="2" s="1"/>
  <c r="J4654" i="2"/>
  <c r="K4654" i="2" s="1"/>
  <c r="J4658" i="2"/>
  <c r="K4658" i="2" s="1"/>
  <c r="J4662" i="2"/>
  <c r="K4662" i="2" s="1"/>
  <c r="J4666" i="2"/>
  <c r="K4666" i="2" s="1"/>
  <c r="J4670" i="2"/>
  <c r="K4670" i="2" s="1"/>
  <c r="J4674" i="2"/>
  <c r="K4674" i="2" s="1"/>
  <c r="J4678" i="2"/>
  <c r="K4678" i="2" s="1"/>
  <c r="J4682" i="2"/>
  <c r="K4682" i="2" s="1"/>
  <c r="J4686" i="2"/>
  <c r="K4686" i="2" s="1"/>
  <c r="J4690" i="2"/>
  <c r="K4690" i="2" s="1"/>
  <c r="J4694" i="2"/>
  <c r="K4694" i="2" s="1"/>
  <c r="J4698" i="2"/>
  <c r="K4698" i="2" s="1"/>
  <c r="J4702" i="2"/>
  <c r="K4702" i="2" s="1"/>
  <c r="J4706" i="2"/>
  <c r="K4706" i="2" s="1"/>
  <c r="J4710" i="2"/>
  <c r="K4710" i="2" s="1"/>
  <c r="J4714" i="2"/>
  <c r="K4714" i="2" s="1"/>
  <c r="J4718" i="2"/>
  <c r="K4718" i="2" s="1"/>
  <c r="J4722" i="2"/>
  <c r="K4722" i="2" s="1"/>
  <c r="J4726" i="2"/>
  <c r="K4726" i="2" s="1"/>
  <c r="J4730" i="2"/>
  <c r="K4730" i="2" s="1"/>
  <c r="J4734" i="2"/>
  <c r="K4734" i="2" s="1"/>
  <c r="J4738" i="2"/>
  <c r="K4738" i="2" s="1"/>
  <c r="J4742" i="2"/>
  <c r="K4742" i="2" s="1"/>
  <c r="J4746" i="2"/>
  <c r="K4746" i="2" s="1"/>
  <c r="J4750" i="2"/>
  <c r="K4750" i="2" s="1"/>
  <c r="J4754" i="2"/>
  <c r="K4754" i="2" s="1"/>
  <c r="J4758" i="2"/>
  <c r="K4758" i="2" s="1"/>
  <c r="J4762" i="2"/>
  <c r="K4762" i="2" s="1"/>
  <c r="J4766" i="2"/>
  <c r="K4766" i="2" s="1"/>
  <c r="J4770" i="2"/>
  <c r="K4770" i="2" s="1"/>
  <c r="J4774" i="2"/>
  <c r="K4774" i="2" s="1"/>
  <c r="J4778" i="2"/>
  <c r="K4778" i="2" s="1"/>
  <c r="J4782" i="2"/>
  <c r="K4782" i="2" s="1"/>
  <c r="J4786" i="2"/>
  <c r="K4786" i="2" s="1"/>
  <c r="J4790" i="2"/>
  <c r="K4790" i="2" s="1"/>
  <c r="J4794" i="2"/>
  <c r="K4794" i="2" s="1"/>
  <c r="J4798" i="2"/>
  <c r="K4798" i="2" s="1"/>
  <c r="J4802" i="2"/>
  <c r="K4802" i="2" s="1"/>
  <c r="J4806" i="2"/>
  <c r="K4806" i="2" s="1"/>
  <c r="J4810" i="2"/>
  <c r="K4810" i="2" s="1"/>
  <c r="J4814" i="2"/>
  <c r="K4814" i="2" s="1"/>
  <c r="J4818" i="2"/>
  <c r="K4818" i="2" s="1"/>
  <c r="J4822" i="2"/>
  <c r="K4822" i="2" s="1"/>
  <c r="J4826" i="2"/>
  <c r="K4826" i="2" s="1"/>
  <c r="J4830" i="2"/>
  <c r="K4830" i="2" s="1"/>
  <c r="J4834" i="2"/>
  <c r="K4834" i="2" s="1"/>
  <c r="J4838" i="2"/>
  <c r="K4838" i="2" s="1"/>
  <c r="J4842" i="2"/>
  <c r="K4842" i="2" s="1"/>
  <c r="J4846" i="2"/>
  <c r="K4846" i="2" s="1"/>
  <c r="J4850" i="2"/>
  <c r="K4850" i="2" s="1"/>
  <c r="J4854" i="2"/>
  <c r="K4854" i="2" s="1"/>
  <c r="J4858" i="2"/>
  <c r="K4858" i="2" s="1"/>
  <c r="J4862" i="2"/>
  <c r="K4862" i="2" s="1"/>
  <c r="J4866" i="2"/>
  <c r="K4866" i="2" s="1"/>
  <c r="J4870" i="2"/>
  <c r="K4870" i="2" s="1"/>
  <c r="J4874" i="2"/>
  <c r="K4874" i="2" s="1"/>
  <c r="J4878" i="2"/>
  <c r="K4878" i="2" s="1"/>
  <c r="J4882" i="2"/>
  <c r="K4882" i="2" s="1"/>
  <c r="J4886" i="2"/>
  <c r="K4886" i="2" s="1"/>
  <c r="J4890" i="2"/>
  <c r="K4890" i="2" s="1"/>
  <c r="J4894" i="2"/>
  <c r="K4894" i="2" s="1"/>
  <c r="J4898" i="2"/>
  <c r="K4898" i="2" s="1"/>
  <c r="J4902" i="2"/>
  <c r="K4902" i="2" s="1"/>
  <c r="J4906" i="2"/>
  <c r="K4906" i="2" s="1"/>
  <c r="J4910" i="2"/>
  <c r="K4910" i="2" s="1"/>
  <c r="J4914" i="2"/>
  <c r="K4914" i="2" s="1"/>
  <c r="J4918" i="2"/>
  <c r="K4918" i="2" s="1"/>
  <c r="J4922" i="2"/>
  <c r="K4922" i="2" s="1"/>
  <c r="J4926" i="2"/>
  <c r="K4926" i="2" s="1"/>
  <c r="J4930" i="2"/>
  <c r="K4930" i="2" s="1"/>
  <c r="J4934" i="2"/>
  <c r="K4934" i="2" s="1"/>
  <c r="J4938" i="2"/>
  <c r="K4938" i="2" s="1"/>
  <c r="J4942" i="2"/>
  <c r="K4942" i="2" s="1"/>
  <c r="J4946" i="2"/>
  <c r="K4946" i="2" s="1"/>
  <c r="J4950" i="2"/>
  <c r="K4950" i="2" s="1"/>
  <c r="J4954" i="2"/>
  <c r="K4954" i="2" s="1"/>
  <c r="J4958" i="2"/>
  <c r="K4958" i="2" s="1"/>
  <c r="J4962" i="2"/>
  <c r="K4962" i="2" s="1"/>
  <c r="J4966" i="2"/>
  <c r="K4966" i="2" s="1"/>
  <c r="J4970" i="2"/>
  <c r="K4970" i="2" s="1"/>
  <c r="J4974" i="2"/>
  <c r="K4974" i="2" s="1"/>
  <c r="J4978" i="2"/>
  <c r="K4978" i="2" s="1"/>
  <c r="J4982" i="2"/>
  <c r="K4982" i="2" s="1"/>
  <c r="J4986" i="2"/>
  <c r="K4986" i="2" s="1"/>
  <c r="J4990" i="2"/>
  <c r="K4990" i="2" s="1"/>
  <c r="J4994" i="2"/>
  <c r="K4994" i="2" s="1"/>
  <c r="J4998" i="2"/>
  <c r="K4998" i="2" s="1"/>
  <c r="J1644" i="2"/>
  <c r="K1644" i="2" s="1"/>
  <c r="J1922" i="2"/>
  <c r="K1922" i="2" s="1"/>
  <c r="J2178" i="2"/>
  <c r="K2178" i="2" s="1"/>
  <c r="J2434" i="2"/>
  <c r="K2434" i="2" s="1"/>
  <c r="J2596" i="2"/>
  <c r="K2596" i="2" s="1"/>
  <c r="J2682" i="2"/>
  <c r="K2682" i="2" s="1"/>
  <c r="J2767" i="2"/>
  <c r="K2767" i="2" s="1"/>
  <c r="J2833" i="2"/>
  <c r="K2833" i="2" s="1"/>
  <c r="J2897" i="2"/>
  <c r="K2897" i="2" s="1"/>
  <c r="J2961" i="2"/>
  <c r="K2961" i="2" s="1"/>
  <c r="J3025" i="2"/>
  <c r="K3025" i="2" s="1"/>
  <c r="J3089" i="2"/>
  <c r="K3089" i="2" s="1"/>
  <c r="J3153" i="2"/>
  <c r="K3153" i="2" s="1"/>
  <c r="J3217" i="2"/>
  <c r="K3217" i="2" s="1"/>
  <c r="J3281" i="2"/>
  <c r="K3281" i="2" s="1"/>
  <c r="J3345" i="2"/>
  <c r="K3345" i="2" s="1"/>
  <c r="J3380" i="2"/>
  <c r="K3380" i="2" s="1"/>
  <c r="J3412" i="2"/>
  <c r="K3412" i="2" s="1"/>
  <c r="J3444" i="2"/>
  <c r="K3444" i="2" s="1"/>
  <c r="J3467" i="2"/>
  <c r="K3467" i="2" s="1"/>
  <c r="J3488" i="2"/>
  <c r="K3488" i="2" s="1"/>
  <c r="J3509" i="2"/>
  <c r="K3509" i="2" s="1"/>
  <c r="J3531" i="2"/>
  <c r="K3531" i="2" s="1"/>
  <c r="J3552" i="2"/>
  <c r="K3552" i="2" s="1"/>
  <c r="J3573" i="2"/>
  <c r="K3573" i="2" s="1"/>
  <c r="J3595" i="2"/>
  <c r="K3595" i="2" s="1"/>
  <c r="J3616" i="2"/>
  <c r="K3616" i="2" s="1"/>
  <c r="J3637" i="2"/>
  <c r="K3637" i="2" s="1"/>
  <c r="J3659" i="2"/>
  <c r="K3659" i="2" s="1"/>
  <c r="J3680" i="2"/>
  <c r="K3680" i="2" s="1"/>
  <c r="J3697" i="2"/>
  <c r="K3697" i="2" s="1"/>
  <c r="J3713" i="2"/>
  <c r="K3713" i="2" s="1"/>
  <c r="J3729" i="2"/>
  <c r="K3729" i="2" s="1"/>
  <c r="J3745" i="2"/>
  <c r="K3745" i="2" s="1"/>
  <c r="J3761" i="2"/>
  <c r="K3761" i="2" s="1"/>
  <c r="J3777" i="2"/>
  <c r="K3777" i="2" s="1"/>
  <c r="J3793" i="2"/>
  <c r="K3793" i="2" s="1"/>
  <c r="J3809" i="2"/>
  <c r="K3809" i="2" s="1"/>
  <c r="J3825" i="2"/>
  <c r="K3825" i="2" s="1"/>
  <c r="J3841" i="2"/>
  <c r="K3841" i="2" s="1"/>
  <c r="J3857" i="2"/>
  <c r="K3857" i="2" s="1"/>
  <c r="J3873" i="2"/>
  <c r="K3873" i="2" s="1"/>
  <c r="J3889" i="2"/>
  <c r="K3889" i="2" s="1"/>
  <c r="J3905" i="2"/>
  <c r="K3905" i="2" s="1"/>
  <c r="J3921" i="2"/>
  <c r="K3921" i="2" s="1"/>
  <c r="J3937" i="2"/>
  <c r="K3937" i="2" s="1"/>
  <c r="J3953" i="2"/>
  <c r="K3953" i="2" s="1"/>
  <c r="J3969" i="2"/>
  <c r="K3969" i="2" s="1"/>
  <c r="J3985" i="2"/>
  <c r="K3985" i="2" s="1"/>
  <c r="J4001" i="2"/>
  <c r="K4001" i="2" s="1"/>
  <c r="J4017" i="2"/>
  <c r="K4017" i="2" s="1"/>
  <c r="J4033" i="2"/>
  <c r="K4033" i="2" s="1"/>
  <c r="J4049" i="2"/>
  <c r="K4049" i="2" s="1"/>
  <c r="J4065" i="2"/>
  <c r="K4065" i="2" s="1"/>
  <c r="J4081" i="2"/>
  <c r="K4081" i="2" s="1"/>
  <c r="J4097" i="2"/>
  <c r="K4097" i="2" s="1"/>
  <c r="J4113" i="2"/>
  <c r="K4113" i="2" s="1"/>
  <c r="J4129" i="2"/>
  <c r="K4129" i="2" s="1"/>
  <c r="J4145" i="2"/>
  <c r="K4145" i="2" s="1"/>
  <c r="J4161" i="2"/>
  <c r="K4161" i="2" s="1"/>
  <c r="J4177" i="2"/>
  <c r="K4177" i="2" s="1"/>
  <c r="J4193" i="2"/>
  <c r="K4193" i="2" s="1"/>
  <c r="J4209" i="2"/>
  <c r="K4209" i="2" s="1"/>
  <c r="J4225" i="2"/>
  <c r="K4225" i="2" s="1"/>
  <c r="J4241" i="2"/>
  <c r="K4241" i="2" s="1"/>
  <c r="J4257" i="2"/>
  <c r="K4257" i="2" s="1"/>
  <c r="J4273" i="2"/>
  <c r="K4273" i="2" s="1"/>
  <c r="J4289" i="2"/>
  <c r="K4289" i="2" s="1"/>
  <c r="J4305" i="2"/>
  <c r="K4305" i="2" s="1"/>
  <c r="J4321" i="2"/>
  <c r="K4321" i="2" s="1"/>
  <c r="J4333" i="2"/>
  <c r="K4333" i="2" s="1"/>
  <c r="J4341" i="2"/>
  <c r="K4341" i="2" s="1"/>
  <c r="J4349" i="2"/>
  <c r="K4349" i="2" s="1"/>
  <c r="J4357" i="2"/>
  <c r="K4357" i="2" s="1"/>
  <c r="J4365" i="2"/>
  <c r="K4365" i="2" s="1"/>
  <c r="J4373" i="2"/>
  <c r="K4373" i="2" s="1"/>
  <c r="J4381" i="2"/>
  <c r="K4381" i="2" s="1"/>
  <c r="J4389" i="2"/>
  <c r="K4389" i="2" s="1"/>
  <c r="J4397" i="2"/>
  <c r="K4397" i="2" s="1"/>
  <c r="J4405" i="2"/>
  <c r="K4405" i="2" s="1"/>
  <c r="J4413" i="2"/>
  <c r="K4413" i="2" s="1"/>
  <c r="J4421" i="2"/>
  <c r="K4421" i="2" s="1"/>
  <c r="J4429" i="2"/>
  <c r="K4429" i="2" s="1"/>
  <c r="J4437" i="2"/>
  <c r="K4437" i="2" s="1"/>
  <c r="J4445" i="2"/>
  <c r="K4445" i="2" s="1"/>
  <c r="J4453" i="2"/>
  <c r="K4453" i="2" s="1"/>
  <c r="J4461" i="2"/>
  <c r="K4461" i="2" s="1"/>
  <c r="J4469" i="2"/>
  <c r="K4469" i="2" s="1"/>
  <c r="J4477" i="2"/>
  <c r="K4477" i="2" s="1"/>
  <c r="J4485" i="2"/>
  <c r="K4485" i="2" s="1"/>
  <c r="J4493" i="2"/>
  <c r="K4493" i="2" s="1"/>
  <c r="J4501" i="2"/>
  <c r="K4501" i="2" s="1"/>
  <c r="J4509" i="2"/>
  <c r="K4509" i="2" s="1"/>
  <c r="J4517" i="2"/>
  <c r="K4517" i="2" s="1"/>
  <c r="J4525" i="2"/>
  <c r="K4525" i="2" s="1"/>
  <c r="J4533" i="2"/>
  <c r="K4533" i="2" s="1"/>
  <c r="J4541" i="2"/>
  <c r="K4541" i="2" s="1"/>
  <c r="J4546" i="2"/>
  <c r="K4546" i="2" s="1"/>
  <c r="J4552" i="2"/>
  <c r="K4552" i="2" s="1"/>
  <c r="J4557" i="2"/>
  <c r="K4557" i="2" s="1"/>
  <c r="J4562" i="2"/>
  <c r="K4562" i="2" s="1"/>
  <c r="J4567" i="2"/>
  <c r="K4567" i="2" s="1"/>
  <c r="J4571" i="2"/>
  <c r="K4571" i="2" s="1"/>
  <c r="J4575" i="2"/>
  <c r="K4575" i="2" s="1"/>
  <c r="J4579" i="2"/>
  <c r="K4579" i="2" s="1"/>
  <c r="J4583" i="2"/>
  <c r="K4583" i="2" s="1"/>
  <c r="J4587" i="2"/>
  <c r="K4587" i="2" s="1"/>
  <c r="J4591" i="2"/>
  <c r="K4591" i="2" s="1"/>
  <c r="J4595" i="2"/>
  <c r="K4595" i="2" s="1"/>
  <c r="J4599" i="2"/>
  <c r="K4599" i="2" s="1"/>
  <c r="J4603" i="2"/>
  <c r="K4603" i="2" s="1"/>
  <c r="J4607" i="2"/>
  <c r="K4607" i="2" s="1"/>
  <c r="J4611" i="2"/>
  <c r="K4611" i="2" s="1"/>
  <c r="J4615" i="2"/>
  <c r="K4615" i="2" s="1"/>
  <c r="J4619" i="2"/>
  <c r="K4619" i="2" s="1"/>
  <c r="J4623" i="2"/>
  <c r="K4623" i="2" s="1"/>
  <c r="J4627" i="2"/>
  <c r="K4627" i="2" s="1"/>
  <c r="J4631" i="2"/>
  <c r="K4631" i="2" s="1"/>
  <c r="J4635" i="2"/>
  <c r="K4635" i="2" s="1"/>
  <c r="J4639" i="2"/>
  <c r="K4639" i="2" s="1"/>
  <c r="J4643" i="2"/>
  <c r="K4643" i="2" s="1"/>
  <c r="J4647" i="2"/>
  <c r="K4647" i="2" s="1"/>
  <c r="J4651" i="2"/>
  <c r="K4651" i="2" s="1"/>
  <c r="J4655" i="2"/>
  <c r="K4655" i="2" s="1"/>
  <c r="J4659" i="2"/>
  <c r="K4659" i="2" s="1"/>
  <c r="J4663" i="2"/>
  <c r="K4663" i="2" s="1"/>
  <c r="J4667" i="2"/>
  <c r="K4667" i="2" s="1"/>
  <c r="J4671" i="2"/>
  <c r="K4671" i="2" s="1"/>
  <c r="J4675" i="2"/>
  <c r="K4675" i="2" s="1"/>
  <c r="J4679" i="2"/>
  <c r="K4679" i="2" s="1"/>
  <c r="J4683" i="2"/>
  <c r="K4683" i="2" s="1"/>
  <c r="J4687" i="2"/>
  <c r="K4687" i="2" s="1"/>
  <c r="J4691" i="2"/>
  <c r="K4691" i="2" s="1"/>
  <c r="J4695" i="2"/>
  <c r="K4695" i="2" s="1"/>
  <c r="J4699" i="2"/>
  <c r="K4699" i="2" s="1"/>
  <c r="J4703" i="2"/>
  <c r="K4703" i="2" s="1"/>
  <c r="J4707" i="2"/>
  <c r="K4707" i="2" s="1"/>
  <c r="J4711" i="2"/>
  <c r="K4711" i="2" s="1"/>
  <c r="J4715" i="2"/>
  <c r="K4715" i="2" s="1"/>
  <c r="J4719" i="2"/>
  <c r="K4719" i="2" s="1"/>
  <c r="J4723" i="2"/>
  <c r="K4723" i="2" s="1"/>
  <c r="J4727" i="2"/>
  <c r="K4727" i="2" s="1"/>
  <c r="J4731" i="2"/>
  <c r="K4731" i="2" s="1"/>
  <c r="J4735" i="2"/>
  <c r="K4735" i="2" s="1"/>
  <c r="J4739" i="2"/>
  <c r="K4739" i="2" s="1"/>
  <c r="J4743" i="2"/>
  <c r="K4743" i="2" s="1"/>
  <c r="J4747" i="2"/>
  <c r="K4747" i="2" s="1"/>
  <c r="J4751" i="2"/>
  <c r="K4751" i="2" s="1"/>
  <c r="J4755" i="2"/>
  <c r="K4755" i="2" s="1"/>
  <c r="J4759" i="2"/>
  <c r="K4759" i="2" s="1"/>
  <c r="J4763" i="2"/>
  <c r="K4763" i="2" s="1"/>
  <c r="J4767" i="2"/>
  <c r="K4767" i="2" s="1"/>
  <c r="J4771" i="2"/>
  <c r="K4771" i="2" s="1"/>
  <c r="J4775" i="2"/>
  <c r="K4775" i="2" s="1"/>
  <c r="J4779" i="2"/>
  <c r="K4779" i="2" s="1"/>
  <c r="J4783" i="2"/>
  <c r="K4783" i="2" s="1"/>
  <c r="J4787" i="2"/>
  <c r="K4787" i="2" s="1"/>
  <c r="J4791" i="2"/>
  <c r="K4791" i="2" s="1"/>
  <c r="J4795" i="2"/>
  <c r="K4795" i="2" s="1"/>
  <c r="J4799" i="2"/>
  <c r="K4799" i="2" s="1"/>
  <c r="J4803" i="2"/>
  <c r="K4803" i="2" s="1"/>
  <c r="J4807" i="2"/>
  <c r="K4807" i="2" s="1"/>
  <c r="J4811" i="2"/>
  <c r="K4811" i="2" s="1"/>
  <c r="J4815" i="2"/>
  <c r="K4815" i="2" s="1"/>
  <c r="J4819" i="2"/>
  <c r="K4819" i="2" s="1"/>
  <c r="J4823" i="2"/>
  <c r="K4823" i="2" s="1"/>
  <c r="J4827" i="2"/>
  <c r="K4827" i="2" s="1"/>
  <c r="J4831" i="2"/>
  <c r="K4831" i="2" s="1"/>
  <c r="J4835" i="2"/>
  <c r="K4835" i="2" s="1"/>
  <c r="J4839" i="2"/>
  <c r="K4839" i="2" s="1"/>
  <c r="J4843" i="2"/>
  <c r="K4843" i="2" s="1"/>
  <c r="J4847" i="2"/>
  <c r="K4847" i="2" s="1"/>
  <c r="J4851" i="2"/>
  <c r="K4851" i="2" s="1"/>
  <c r="J4855" i="2"/>
  <c r="K4855" i="2" s="1"/>
  <c r="J4859" i="2"/>
  <c r="K4859" i="2" s="1"/>
  <c r="J4863" i="2"/>
  <c r="K4863" i="2" s="1"/>
  <c r="J4867" i="2"/>
  <c r="K4867" i="2" s="1"/>
  <c r="J4871" i="2"/>
  <c r="K4871" i="2" s="1"/>
  <c r="J4875" i="2"/>
  <c r="K4875" i="2" s="1"/>
  <c r="J4879" i="2"/>
  <c r="K4879" i="2" s="1"/>
  <c r="J4883" i="2"/>
  <c r="K4883" i="2" s="1"/>
  <c r="J4887" i="2"/>
  <c r="K4887" i="2" s="1"/>
  <c r="J4891" i="2"/>
  <c r="K4891" i="2" s="1"/>
  <c r="J4895" i="2"/>
  <c r="K4895" i="2" s="1"/>
  <c r="J4899" i="2"/>
  <c r="K4899" i="2" s="1"/>
  <c r="J4903" i="2"/>
  <c r="K4903" i="2" s="1"/>
  <c r="J4907" i="2"/>
  <c r="K4907" i="2" s="1"/>
  <c r="J4911" i="2"/>
  <c r="K4911" i="2" s="1"/>
  <c r="J4915" i="2"/>
  <c r="K4915" i="2" s="1"/>
  <c r="J4919" i="2"/>
  <c r="K4919" i="2" s="1"/>
  <c r="J4923" i="2"/>
  <c r="K4923" i="2" s="1"/>
  <c r="J4927" i="2"/>
  <c r="K4927" i="2" s="1"/>
  <c r="J4931" i="2"/>
  <c r="K4931" i="2" s="1"/>
  <c r="J4935" i="2"/>
  <c r="K4935" i="2" s="1"/>
  <c r="J4939" i="2"/>
  <c r="K4939" i="2" s="1"/>
  <c r="J4943" i="2"/>
  <c r="K4943" i="2" s="1"/>
  <c r="J4947" i="2"/>
  <c r="K4947" i="2" s="1"/>
  <c r="J4951" i="2"/>
  <c r="K4951" i="2" s="1"/>
  <c r="J4955" i="2"/>
  <c r="K4955" i="2" s="1"/>
  <c r="J4959" i="2"/>
  <c r="K4959" i="2" s="1"/>
  <c r="J4963" i="2"/>
  <c r="K4963" i="2" s="1"/>
  <c r="J4967" i="2"/>
  <c r="K4967" i="2" s="1"/>
  <c r="J4971" i="2"/>
  <c r="K4971" i="2" s="1"/>
  <c r="J4975" i="2"/>
  <c r="K4975" i="2" s="1"/>
  <c r="J4979" i="2"/>
  <c r="K4979" i="2" s="1"/>
  <c r="J4983" i="2"/>
  <c r="K4983" i="2" s="1"/>
  <c r="J4987" i="2"/>
  <c r="K4987" i="2" s="1"/>
  <c r="J4991" i="2"/>
  <c r="K4991" i="2" s="1"/>
  <c r="J4995" i="2"/>
  <c r="K4995" i="2" s="1"/>
  <c r="J4999" i="2"/>
  <c r="K4999" i="2" s="1"/>
  <c r="O71" i="2"/>
  <c r="M8" i="1"/>
  <c r="K8" i="1"/>
  <c r="I8" i="1"/>
  <c r="L8" i="1"/>
  <c r="J8" i="1"/>
  <c r="G15" i="1"/>
  <c r="C21" i="1"/>
  <c r="N8" i="1"/>
  <c r="F15" i="1" s="1"/>
  <c r="N37" i="2" l="1"/>
  <c r="N2" i="2"/>
  <c r="N22" i="2"/>
  <c r="L3" i="2"/>
  <c r="M3" i="2" s="1"/>
  <c r="L7" i="2"/>
  <c r="M7" i="2" s="1"/>
  <c r="L11" i="2"/>
  <c r="M11" i="2" s="1"/>
  <c r="L15" i="2"/>
  <c r="M15" i="2" s="1"/>
  <c r="L19" i="2"/>
  <c r="M19" i="2" s="1"/>
  <c r="L23" i="2"/>
  <c r="M23" i="2" s="1"/>
  <c r="L27" i="2"/>
  <c r="M27" i="2" s="1"/>
  <c r="L31" i="2"/>
  <c r="M31" i="2" s="1"/>
  <c r="L35" i="2"/>
  <c r="M35" i="2" s="1"/>
  <c r="L39" i="2"/>
  <c r="M39" i="2" s="1"/>
  <c r="L43" i="2"/>
  <c r="M43" i="2" s="1"/>
  <c r="L47" i="2"/>
  <c r="M47" i="2" s="1"/>
  <c r="L51" i="2"/>
  <c r="M51" i="2" s="1"/>
  <c r="L55" i="2"/>
  <c r="M55" i="2" s="1"/>
  <c r="L59" i="2"/>
  <c r="M59" i="2" s="1"/>
  <c r="L63" i="2"/>
  <c r="M63" i="2" s="1"/>
  <c r="L67" i="2"/>
  <c r="M67" i="2" s="1"/>
  <c r="L71" i="2"/>
  <c r="M71" i="2" s="1"/>
  <c r="L75" i="2"/>
  <c r="M75" i="2" s="1"/>
  <c r="L79" i="2"/>
  <c r="M79" i="2" s="1"/>
  <c r="L83" i="2"/>
  <c r="M83" i="2" s="1"/>
  <c r="L87" i="2"/>
  <c r="M87" i="2" s="1"/>
  <c r="L91" i="2"/>
  <c r="M91" i="2" s="1"/>
  <c r="L95" i="2"/>
  <c r="M95" i="2" s="1"/>
  <c r="L99" i="2"/>
  <c r="M99" i="2" s="1"/>
  <c r="L103" i="2"/>
  <c r="M103" i="2" s="1"/>
  <c r="L107" i="2"/>
  <c r="M107" i="2" s="1"/>
  <c r="L111" i="2"/>
  <c r="M111" i="2" s="1"/>
  <c r="L115" i="2"/>
  <c r="M115" i="2" s="1"/>
  <c r="L119" i="2"/>
  <c r="M119" i="2" s="1"/>
  <c r="L123" i="2"/>
  <c r="M123" i="2" s="1"/>
  <c r="L127" i="2"/>
  <c r="M127" i="2" s="1"/>
  <c r="L131" i="2"/>
  <c r="M131" i="2" s="1"/>
  <c r="L135" i="2"/>
  <c r="M135" i="2" s="1"/>
  <c r="L139" i="2"/>
  <c r="M139" i="2" s="1"/>
  <c r="L143" i="2"/>
  <c r="M143" i="2" s="1"/>
  <c r="L147" i="2"/>
  <c r="M147" i="2" s="1"/>
  <c r="L151" i="2"/>
  <c r="M151" i="2" s="1"/>
  <c r="L155" i="2"/>
  <c r="M155" i="2" s="1"/>
  <c r="L159" i="2"/>
  <c r="M159" i="2" s="1"/>
  <c r="L163" i="2"/>
  <c r="M163" i="2" s="1"/>
  <c r="L167" i="2"/>
  <c r="M167" i="2" s="1"/>
  <c r="L171" i="2"/>
  <c r="M171" i="2" s="1"/>
  <c r="L175" i="2"/>
  <c r="M175" i="2" s="1"/>
  <c r="L179" i="2"/>
  <c r="M179" i="2" s="1"/>
  <c r="L183" i="2"/>
  <c r="M183" i="2" s="1"/>
  <c r="L187" i="2"/>
  <c r="M187" i="2" s="1"/>
  <c r="L191" i="2"/>
  <c r="M191" i="2" s="1"/>
  <c r="L195" i="2"/>
  <c r="M195" i="2" s="1"/>
  <c r="L199" i="2"/>
  <c r="M199" i="2" s="1"/>
  <c r="L203" i="2"/>
  <c r="M203" i="2" s="1"/>
  <c r="L207" i="2"/>
  <c r="M207" i="2" s="1"/>
  <c r="L211" i="2"/>
  <c r="M211" i="2" s="1"/>
  <c r="L215" i="2"/>
  <c r="M215" i="2" s="1"/>
  <c r="L219" i="2"/>
  <c r="M219" i="2" s="1"/>
  <c r="L223" i="2"/>
  <c r="M223" i="2" s="1"/>
  <c r="L227" i="2"/>
  <c r="M227" i="2" s="1"/>
  <c r="L231" i="2"/>
  <c r="M231" i="2" s="1"/>
  <c r="L235" i="2"/>
  <c r="M235" i="2" s="1"/>
  <c r="L239" i="2"/>
  <c r="M239" i="2" s="1"/>
  <c r="L243" i="2"/>
  <c r="M243" i="2" s="1"/>
  <c r="L247" i="2"/>
  <c r="M247" i="2" s="1"/>
  <c r="L251" i="2"/>
  <c r="M251" i="2" s="1"/>
  <c r="L255" i="2"/>
  <c r="M255" i="2" s="1"/>
  <c r="L259" i="2"/>
  <c r="M259" i="2" s="1"/>
  <c r="L263" i="2"/>
  <c r="M263" i="2" s="1"/>
  <c r="L267" i="2"/>
  <c r="M267" i="2" s="1"/>
  <c r="L271" i="2"/>
  <c r="M271" i="2" s="1"/>
  <c r="L275" i="2"/>
  <c r="M275" i="2" s="1"/>
  <c r="L279" i="2"/>
  <c r="M279" i="2" s="1"/>
  <c r="L283" i="2"/>
  <c r="M283" i="2" s="1"/>
  <c r="L287" i="2"/>
  <c r="M287" i="2" s="1"/>
  <c r="L291" i="2"/>
  <c r="M291" i="2" s="1"/>
  <c r="L295" i="2"/>
  <c r="M295" i="2" s="1"/>
  <c r="L299" i="2"/>
  <c r="M299" i="2" s="1"/>
  <c r="L303" i="2"/>
  <c r="M303" i="2" s="1"/>
  <c r="L307" i="2"/>
  <c r="M307" i="2" s="1"/>
  <c r="L311" i="2"/>
  <c r="M311" i="2" s="1"/>
  <c r="L315" i="2"/>
  <c r="M315" i="2" s="1"/>
  <c r="L319" i="2"/>
  <c r="M319" i="2" s="1"/>
  <c r="L323" i="2"/>
  <c r="M323" i="2" s="1"/>
  <c r="L327" i="2"/>
  <c r="M327" i="2" s="1"/>
  <c r="L331" i="2"/>
  <c r="M331" i="2" s="1"/>
  <c r="L335" i="2"/>
  <c r="M335" i="2" s="1"/>
  <c r="L339" i="2"/>
  <c r="M339" i="2" s="1"/>
  <c r="L343" i="2"/>
  <c r="M343" i="2" s="1"/>
  <c r="L347" i="2"/>
  <c r="M347" i="2" s="1"/>
  <c r="L351" i="2"/>
  <c r="M351" i="2" s="1"/>
  <c r="L355" i="2"/>
  <c r="M355" i="2" s="1"/>
  <c r="L359" i="2"/>
  <c r="M359" i="2" s="1"/>
  <c r="L363" i="2"/>
  <c r="M363" i="2" s="1"/>
  <c r="L367" i="2"/>
  <c r="M367" i="2" s="1"/>
  <c r="L371" i="2"/>
  <c r="M371" i="2" s="1"/>
  <c r="L375" i="2"/>
  <c r="M375" i="2" s="1"/>
  <c r="L379" i="2"/>
  <c r="M379" i="2" s="1"/>
  <c r="L383" i="2"/>
  <c r="M383" i="2" s="1"/>
  <c r="L387" i="2"/>
  <c r="M387" i="2" s="1"/>
  <c r="L391" i="2"/>
  <c r="M391" i="2" s="1"/>
  <c r="L395" i="2"/>
  <c r="M395" i="2" s="1"/>
  <c r="L399" i="2"/>
  <c r="M399" i="2" s="1"/>
  <c r="L403" i="2"/>
  <c r="M403" i="2" s="1"/>
  <c r="L407" i="2"/>
  <c r="M407" i="2" s="1"/>
  <c r="L411" i="2"/>
  <c r="M411" i="2" s="1"/>
  <c r="L415" i="2"/>
  <c r="M415" i="2" s="1"/>
  <c r="L419" i="2"/>
  <c r="M419" i="2" s="1"/>
  <c r="L423" i="2"/>
  <c r="M423" i="2" s="1"/>
  <c r="L427" i="2"/>
  <c r="M427" i="2" s="1"/>
  <c r="L431" i="2"/>
  <c r="M431" i="2" s="1"/>
  <c r="L435" i="2"/>
  <c r="M435" i="2" s="1"/>
  <c r="L439" i="2"/>
  <c r="M439" i="2" s="1"/>
  <c r="L443" i="2"/>
  <c r="M443" i="2" s="1"/>
  <c r="L447" i="2"/>
  <c r="M447" i="2" s="1"/>
  <c r="L451" i="2"/>
  <c r="M451" i="2" s="1"/>
  <c r="L455" i="2"/>
  <c r="M455" i="2" s="1"/>
  <c r="L459" i="2"/>
  <c r="M459" i="2" s="1"/>
  <c r="L463" i="2"/>
  <c r="M463" i="2" s="1"/>
  <c r="L467" i="2"/>
  <c r="M467" i="2" s="1"/>
  <c r="L471" i="2"/>
  <c r="M471" i="2" s="1"/>
  <c r="L475" i="2"/>
  <c r="M475" i="2" s="1"/>
  <c r="L479" i="2"/>
  <c r="M479" i="2" s="1"/>
  <c r="L483" i="2"/>
  <c r="M483" i="2" s="1"/>
  <c r="L487" i="2"/>
  <c r="M487" i="2" s="1"/>
  <c r="L491" i="2"/>
  <c r="M491" i="2" s="1"/>
  <c r="L495" i="2"/>
  <c r="M495" i="2" s="1"/>
  <c r="L499" i="2"/>
  <c r="M499" i="2" s="1"/>
  <c r="L503" i="2"/>
  <c r="M503" i="2" s="1"/>
  <c r="L507" i="2"/>
  <c r="M507" i="2" s="1"/>
  <c r="L511" i="2"/>
  <c r="M511" i="2" s="1"/>
  <c r="L515" i="2"/>
  <c r="M515" i="2" s="1"/>
  <c r="L519" i="2"/>
  <c r="M519" i="2" s="1"/>
  <c r="L523" i="2"/>
  <c r="M523" i="2" s="1"/>
  <c r="L527" i="2"/>
  <c r="M527" i="2" s="1"/>
  <c r="L531" i="2"/>
  <c r="M531" i="2" s="1"/>
  <c r="L535" i="2"/>
  <c r="M535" i="2" s="1"/>
  <c r="L539" i="2"/>
  <c r="M539" i="2" s="1"/>
  <c r="L543" i="2"/>
  <c r="M543" i="2" s="1"/>
  <c r="L547" i="2"/>
  <c r="M547" i="2" s="1"/>
  <c r="L551" i="2"/>
  <c r="M551" i="2" s="1"/>
  <c r="L555" i="2"/>
  <c r="M555" i="2" s="1"/>
  <c r="L559" i="2"/>
  <c r="M559" i="2" s="1"/>
  <c r="L563" i="2"/>
  <c r="M563" i="2" s="1"/>
  <c r="L567" i="2"/>
  <c r="M567" i="2" s="1"/>
  <c r="L571" i="2"/>
  <c r="M571" i="2" s="1"/>
  <c r="L575" i="2"/>
  <c r="M575" i="2" s="1"/>
  <c r="L579" i="2"/>
  <c r="M579" i="2" s="1"/>
  <c r="L583" i="2"/>
  <c r="M583" i="2" s="1"/>
  <c r="L587" i="2"/>
  <c r="M587" i="2" s="1"/>
  <c r="L591" i="2"/>
  <c r="M591" i="2" s="1"/>
  <c r="L595" i="2"/>
  <c r="M595" i="2" s="1"/>
  <c r="L599" i="2"/>
  <c r="M599" i="2" s="1"/>
  <c r="L603" i="2"/>
  <c r="M603" i="2" s="1"/>
  <c r="L607" i="2"/>
  <c r="M607" i="2" s="1"/>
  <c r="L611" i="2"/>
  <c r="M611" i="2" s="1"/>
  <c r="L615" i="2"/>
  <c r="M615" i="2" s="1"/>
  <c r="L619" i="2"/>
  <c r="M619" i="2" s="1"/>
  <c r="L623" i="2"/>
  <c r="M623" i="2" s="1"/>
  <c r="L627" i="2"/>
  <c r="M627" i="2" s="1"/>
  <c r="L631" i="2"/>
  <c r="M631" i="2" s="1"/>
  <c r="L635" i="2"/>
  <c r="M635" i="2" s="1"/>
  <c r="L639" i="2"/>
  <c r="M639" i="2" s="1"/>
  <c r="L643" i="2"/>
  <c r="M643" i="2" s="1"/>
  <c r="L647" i="2"/>
  <c r="M647" i="2" s="1"/>
  <c r="L651" i="2"/>
  <c r="M651" i="2" s="1"/>
  <c r="L655" i="2"/>
  <c r="M655" i="2" s="1"/>
  <c r="L659" i="2"/>
  <c r="M659" i="2" s="1"/>
  <c r="L663" i="2"/>
  <c r="M663" i="2" s="1"/>
  <c r="L667" i="2"/>
  <c r="M667" i="2" s="1"/>
  <c r="L671" i="2"/>
  <c r="M671" i="2" s="1"/>
  <c r="L675" i="2"/>
  <c r="M675" i="2" s="1"/>
  <c r="L679" i="2"/>
  <c r="M679" i="2" s="1"/>
  <c r="L683" i="2"/>
  <c r="M683" i="2" s="1"/>
  <c r="L687" i="2"/>
  <c r="M687" i="2" s="1"/>
  <c r="L691" i="2"/>
  <c r="M691" i="2" s="1"/>
  <c r="L695" i="2"/>
  <c r="M695" i="2" s="1"/>
  <c r="L699" i="2"/>
  <c r="M699" i="2" s="1"/>
  <c r="L703" i="2"/>
  <c r="M703" i="2" s="1"/>
  <c r="L707" i="2"/>
  <c r="M707" i="2" s="1"/>
  <c r="L711" i="2"/>
  <c r="M711" i="2" s="1"/>
  <c r="L715" i="2"/>
  <c r="M715" i="2" s="1"/>
  <c r="L719" i="2"/>
  <c r="M719" i="2" s="1"/>
  <c r="L723" i="2"/>
  <c r="M723" i="2" s="1"/>
  <c r="L727" i="2"/>
  <c r="M727" i="2" s="1"/>
  <c r="L731" i="2"/>
  <c r="M731" i="2" s="1"/>
  <c r="L735" i="2"/>
  <c r="M735" i="2" s="1"/>
  <c r="L739" i="2"/>
  <c r="M739" i="2" s="1"/>
  <c r="L743" i="2"/>
  <c r="M743" i="2" s="1"/>
  <c r="L747" i="2"/>
  <c r="M747" i="2" s="1"/>
  <c r="L4" i="2"/>
  <c r="M4" i="2" s="1"/>
  <c r="L8" i="2"/>
  <c r="M8" i="2" s="1"/>
  <c r="L12" i="2"/>
  <c r="M12" i="2" s="1"/>
  <c r="L16" i="2"/>
  <c r="M16" i="2" s="1"/>
  <c r="L20" i="2"/>
  <c r="M20" i="2" s="1"/>
  <c r="L24" i="2"/>
  <c r="M24" i="2" s="1"/>
  <c r="L28" i="2"/>
  <c r="M28" i="2" s="1"/>
  <c r="L32" i="2"/>
  <c r="M32" i="2" s="1"/>
  <c r="L36" i="2"/>
  <c r="M36" i="2" s="1"/>
  <c r="L40" i="2"/>
  <c r="M40" i="2" s="1"/>
  <c r="L44" i="2"/>
  <c r="M44" i="2" s="1"/>
  <c r="L48" i="2"/>
  <c r="M48" i="2" s="1"/>
  <c r="L52" i="2"/>
  <c r="M52" i="2" s="1"/>
  <c r="L56" i="2"/>
  <c r="M56" i="2" s="1"/>
  <c r="L60" i="2"/>
  <c r="M60" i="2" s="1"/>
  <c r="L64" i="2"/>
  <c r="M64" i="2" s="1"/>
  <c r="L68" i="2"/>
  <c r="M68" i="2" s="1"/>
  <c r="L72" i="2"/>
  <c r="M72" i="2" s="1"/>
  <c r="L76" i="2"/>
  <c r="M76" i="2" s="1"/>
  <c r="L80" i="2"/>
  <c r="M80" i="2" s="1"/>
  <c r="L84" i="2"/>
  <c r="M84" i="2" s="1"/>
  <c r="L88" i="2"/>
  <c r="M88" i="2" s="1"/>
  <c r="L92" i="2"/>
  <c r="M92" i="2" s="1"/>
  <c r="L96" i="2"/>
  <c r="M96" i="2" s="1"/>
  <c r="L100" i="2"/>
  <c r="M100" i="2" s="1"/>
  <c r="L104" i="2"/>
  <c r="M104" i="2" s="1"/>
  <c r="L108" i="2"/>
  <c r="M108" i="2" s="1"/>
  <c r="L112" i="2"/>
  <c r="M112" i="2" s="1"/>
  <c r="L116" i="2"/>
  <c r="M116" i="2" s="1"/>
  <c r="L120" i="2"/>
  <c r="M120" i="2" s="1"/>
  <c r="L124" i="2"/>
  <c r="M124" i="2" s="1"/>
  <c r="L128" i="2"/>
  <c r="M128" i="2" s="1"/>
  <c r="L132" i="2"/>
  <c r="M132" i="2" s="1"/>
  <c r="L136" i="2"/>
  <c r="M136" i="2" s="1"/>
  <c r="L140" i="2"/>
  <c r="M140" i="2" s="1"/>
  <c r="L144" i="2"/>
  <c r="M144" i="2" s="1"/>
  <c r="L148" i="2"/>
  <c r="M148" i="2" s="1"/>
  <c r="L152" i="2"/>
  <c r="M152" i="2" s="1"/>
  <c r="L156" i="2"/>
  <c r="M156" i="2" s="1"/>
  <c r="L160" i="2"/>
  <c r="M160" i="2" s="1"/>
  <c r="L164" i="2"/>
  <c r="M164" i="2" s="1"/>
  <c r="L168" i="2"/>
  <c r="M168" i="2" s="1"/>
  <c r="L172" i="2"/>
  <c r="M172" i="2" s="1"/>
  <c r="L176" i="2"/>
  <c r="M176" i="2" s="1"/>
  <c r="L180" i="2"/>
  <c r="M180" i="2" s="1"/>
  <c r="L184" i="2"/>
  <c r="M184" i="2" s="1"/>
  <c r="L188" i="2"/>
  <c r="M188" i="2" s="1"/>
  <c r="L192" i="2"/>
  <c r="M192" i="2" s="1"/>
  <c r="L196" i="2"/>
  <c r="M196" i="2" s="1"/>
  <c r="L200" i="2"/>
  <c r="M200" i="2" s="1"/>
  <c r="L204" i="2"/>
  <c r="M204" i="2" s="1"/>
  <c r="L208" i="2"/>
  <c r="M208" i="2" s="1"/>
  <c r="L212" i="2"/>
  <c r="M212" i="2" s="1"/>
  <c r="L216" i="2"/>
  <c r="M216" i="2" s="1"/>
  <c r="L220" i="2"/>
  <c r="M220" i="2" s="1"/>
  <c r="L224" i="2"/>
  <c r="M224" i="2" s="1"/>
  <c r="L228" i="2"/>
  <c r="M228" i="2" s="1"/>
  <c r="L232" i="2"/>
  <c r="M232" i="2" s="1"/>
  <c r="L236" i="2"/>
  <c r="M236" i="2" s="1"/>
  <c r="L240" i="2"/>
  <c r="M240" i="2" s="1"/>
  <c r="L244" i="2"/>
  <c r="M244" i="2" s="1"/>
  <c r="L248" i="2"/>
  <c r="M248" i="2" s="1"/>
  <c r="L252" i="2"/>
  <c r="M252" i="2" s="1"/>
  <c r="L256" i="2"/>
  <c r="M256" i="2" s="1"/>
  <c r="L260" i="2"/>
  <c r="M260" i="2" s="1"/>
  <c r="L264" i="2"/>
  <c r="M264" i="2" s="1"/>
  <c r="L268" i="2"/>
  <c r="M268" i="2" s="1"/>
  <c r="L272" i="2"/>
  <c r="M272" i="2" s="1"/>
  <c r="L276" i="2"/>
  <c r="M276" i="2" s="1"/>
  <c r="L280" i="2"/>
  <c r="M280" i="2" s="1"/>
  <c r="L284" i="2"/>
  <c r="M284" i="2" s="1"/>
  <c r="L288" i="2"/>
  <c r="M288" i="2" s="1"/>
  <c r="L292" i="2"/>
  <c r="M292" i="2" s="1"/>
  <c r="L296" i="2"/>
  <c r="M296" i="2" s="1"/>
  <c r="L300" i="2"/>
  <c r="M300" i="2" s="1"/>
  <c r="L304" i="2"/>
  <c r="M304" i="2" s="1"/>
  <c r="L308" i="2"/>
  <c r="M308" i="2" s="1"/>
  <c r="L312" i="2"/>
  <c r="M312" i="2" s="1"/>
  <c r="L316" i="2"/>
  <c r="M316" i="2" s="1"/>
  <c r="L320" i="2"/>
  <c r="M320" i="2" s="1"/>
  <c r="L324" i="2"/>
  <c r="M324" i="2" s="1"/>
  <c r="L328" i="2"/>
  <c r="M328" i="2" s="1"/>
  <c r="L332" i="2"/>
  <c r="M332" i="2" s="1"/>
  <c r="L336" i="2"/>
  <c r="M336" i="2" s="1"/>
  <c r="L340" i="2"/>
  <c r="M340" i="2" s="1"/>
  <c r="L344" i="2"/>
  <c r="M344" i="2" s="1"/>
  <c r="L348" i="2"/>
  <c r="M348" i="2" s="1"/>
  <c r="L352" i="2"/>
  <c r="M352" i="2" s="1"/>
  <c r="L356" i="2"/>
  <c r="M356" i="2" s="1"/>
  <c r="L360" i="2"/>
  <c r="M360" i="2" s="1"/>
  <c r="L364" i="2"/>
  <c r="M364" i="2" s="1"/>
  <c r="L368" i="2"/>
  <c r="M368" i="2" s="1"/>
  <c r="L372" i="2"/>
  <c r="M372" i="2" s="1"/>
  <c r="L376" i="2"/>
  <c r="M376" i="2" s="1"/>
  <c r="L380" i="2"/>
  <c r="M380" i="2" s="1"/>
  <c r="L384" i="2"/>
  <c r="M384" i="2" s="1"/>
  <c r="L388" i="2"/>
  <c r="M388" i="2" s="1"/>
  <c r="L392" i="2"/>
  <c r="M392" i="2" s="1"/>
  <c r="L396" i="2"/>
  <c r="M396" i="2" s="1"/>
  <c r="L400" i="2"/>
  <c r="M400" i="2" s="1"/>
  <c r="L404" i="2"/>
  <c r="M404" i="2" s="1"/>
  <c r="L408" i="2"/>
  <c r="M408" i="2" s="1"/>
  <c r="L412" i="2"/>
  <c r="M412" i="2" s="1"/>
  <c r="L416" i="2"/>
  <c r="M416" i="2" s="1"/>
  <c r="L420" i="2"/>
  <c r="M420" i="2" s="1"/>
  <c r="L424" i="2"/>
  <c r="M424" i="2" s="1"/>
  <c r="L428" i="2"/>
  <c r="M428" i="2" s="1"/>
  <c r="L432" i="2"/>
  <c r="M432" i="2" s="1"/>
  <c r="L436" i="2"/>
  <c r="M436" i="2" s="1"/>
  <c r="L440" i="2"/>
  <c r="M440" i="2" s="1"/>
  <c r="L444" i="2"/>
  <c r="M444" i="2" s="1"/>
  <c r="L448" i="2"/>
  <c r="M448" i="2" s="1"/>
  <c r="L452" i="2"/>
  <c r="M452" i="2" s="1"/>
  <c r="L456" i="2"/>
  <c r="M456" i="2" s="1"/>
  <c r="L460" i="2"/>
  <c r="M460" i="2" s="1"/>
  <c r="L464" i="2"/>
  <c r="M464" i="2" s="1"/>
  <c r="L468" i="2"/>
  <c r="M468" i="2" s="1"/>
  <c r="L472" i="2"/>
  <c r="M472" i="2" s="1"/>
  <c r="L476" i="2"/>
  <c r="M476" i="2" s="1"/>
  <c r="L480" i="2"/>
  <c r="M480" i="2" s="1"/>
  <c r="L484" i="2"/>
  <c r="M484" i="2" s="1"/>
  <c r="L488" i="2"/>
  <c r="M488" i="2" s="1"/>
  <c r="L492" i="2"/>
  <c r="M492" i="2" s="1"/>
  <c r="L496" i="2"/>
  <c r="M496" i="2" s="1"/>
  <c r="L500" i="2"/>
  <c r="M500" i="2" s="1"/>
  <c r="L504" i="2"/>
  <c r="M504" i="2" s="1"/>
  <c r="L508" i="2"/>
  <c r="M508" i="2" s="1"/>
  <c r="L512" i="2"/>
  <c r="M512" i="2" s="1"/>
  <c r="L516" i="2"/>
  <c r="M516" i="2" s="1"/>
  <c r="L520" i="2"/>
  <c r="M520" i="2" s="1"/>
  <c r="L524" i="2"/>
  <c r="M524" i="2" s="1"/>
  <c r="L528" i="2"/>
  <c r="M528" i="2" s="1"/>
  <c r="L532" i="2"/>
  <c r="M532" i="2" s="1"/>
  <c r="L536" i="2"/>
  <c r="M536" i="2" s="1"/>
  <c r="L540" i="2"/>
  <c r="M540" i="2" s="1"/>
  <c r="L544" i="2"/>
  <c r="M544" i="2" s="1"/>
  <c r="L548" i="2"/>
  <c r="M548" i="2" s="1"/>
  <c r="L552" i="2"/>
  <c r="M552" i="2" s="1"/>
  <c r="L556" i="2"/>
  <c r="M556" i="2" s="1"/>
  <c r="L560" i="2"/>
  <c r="M560" i="2" s="1"/>
  <c r="L564" i="2"/>
  <c r="M564" i="2" s="1"/>
  <c r="L568" i="2"/>
  <c r="M568" i="2" s="1"/>
  <c r="L572" i="2"/>
  <c r="M572" i="2" s="1"/>
  <c r="L576" i="2"/>
  <c r="M576" i="2" s="1"/>
  <c r="L580" i="2"/>
  <c r="M580" i="2" s="1"/>
  <c r="L584" i="2"/>
  <c r="M584" i="2" s="1"/>
  <c r="L588" i="2"/>
  <c r="M588" i="2" s="1"/>
  <c r="L592" i="2"/>
  <c r="M592" i="2" s="1"/>
  <c r="L596" i="2"/>
  <c r="M596" i="2" s="1"/>
  <c r="L600" i="2"/>
  <c r="M600" i="2" s="1"/>
  <c r="L604" i="2"/>
  <c r="M604" i="2" s="1"/>
  <c r="L608" i="2"/>
  <c r="M608" i="2" s="1"/>
  <c r="L612" i="2"/>
  <c r="M612" i="2" s="1"/>
  <c r="L616" i="2"/>
  <c r="M616" i="2" s="1"/>
  <c r="L620" i="2"/>
  <c r="M620" i="2" s="1"/>
  <c r="L624" i="2"/>
  <c r="M624" i="2" s="1"/>
  <c r="L628" i="2"/>
  <c r="M628" i="2" s="1"/>
  <c r="L5" i="2"/>
  <c r="M5" i="2" s="1"/>
  <c r="L9" i="2"/>
  <c r="M9" i="2" s="1"/>
  <c r="L13" i="2"/>
  <c r="M13" i="2" s="1"/>
  <c r="L17" i="2"/>
  <c r="M17" i="2" s="1"/>
  <c r="L21" i="2"/>
  <c r="M21" i="2" s="1"/>
  <c r="L25" i="2"/>
  <c r="M25" i="2" s="1"/>
  <c r="L29" i="2"/>
  <c r="M29" i="2" s="1"/>
  <c r="L33" i="2"/>
  <c r="M33" i="2" s="1"/>
  <c r="L37" i="2"/>
  <c r="M37" i="2" s="1"/>
  <c r="L41" i="2"/>
  <c r="M41" i="2" s="1"/>
  <c r="L45" i="2"/>
  <c r="M45" i="2" s="1"/>
  <c r="L49" i="2"/>
  <c r="M49" i="2" s="1"/>
  <c r="L53" i="2"/>
  <c r="M53" i="2" s="1"/>
  <c r="L57" i="2"/>
  <c r="M57" i="2" s="1"/>
  <c r="L61" i="2"/>
  <c r="M61" i="2" s="1"/>
  <c r="L65" i="2"/>
  <c r="M65" i="2" s="1"/>
  <c r="L69" i="2"/>
  <c r="M69" i="2" s="1"/>
  <c r="L73" i="2"/>
  <c r="M73" i="2" s="1"/>
  <c r="L77" i="2"/>
  <c r="M77" i="2" s="1"/>
  <c r="L81" i="2"/>
  <c r="M81" i="2" s="1"/>
  <c r="L85" i="2"/>
  <c r="M85" i="2" s="1"/>
  <c r="L89" i="2"/>
  <c r="M89" i="2" s="1"/>
  <c r="L93" i="2"/>
  <c r="M93" i="2" s="1"/>
  <c r="L97" i="2"/>
  <c r="M97" i="2" s="1"/>
  <c r="L101" i="2"/>
  <c r="M101" i="2" s="1"/>
  <c r="L105" i="2"/>
  <c r="M105" i="2" s="1"/>
  <c r="L109" i="2"/>
  <c r="M109" i="2" s="1"/>
  <c r="L113" i="2"/>
  <c r="M113" i="2" s="1"/>
  <c r="L117" i="2"/>
  <c r="M117" i="2" s="1"/>
  <c r="L121" i="2"/>
  <c r="M121" i="2" s="1"/>
  <c r="L125" i="2"/>
  <c r="M125" i="2" s="1"/>
  <c r="L129" i="2"/>
  <c r="M129" i="2" s="1"/>
  <c r="L133" i="2"/>
  <c r="M133" i="2" s="1"/>
  <c r="L137" i="2"/>
  <c r="M137" i="2" s="1"/>
  <c r="L141" i="2"/>
  <c r="M141" i="2" s="1"/>
  <c r="L145" i="2"/>
  <c r="M145" i="2" s="1"/>
  <c r="L149" i="2"/>
  <c r="M149" i="2" s="1"/>
  <c r="L153" i="2"/>
  <c r="M153" i="2" s="1"/>
  <c r="L157" i="2"/>
  <c r="M157" i="2" s="1"/>
  <c r="L161" i="2"/>
  <c r="M161" i="2" s="1"/>
  <c r="L165" i="2"/>
  <c r="M165" i="2" s="1"/>
  <c r="L169" i="2"/>
  <c r="M169" i="2" s="1"/>
  <c r="L173" i="2"/>
  <c r="M173" i="2" s="1"/>
  <c r="L177" i="2"/>
  <c r="M177" i="2" s="1"/>
  <c r="L181" i="2"/>
  <c r="M181" i="2" s="1"/>
  <c r="L185" i="2"/>
  <c r="M185" i="2" s="1"/>
  <c r="L189" i="2"/>
  <c r="M189" i="2" s="1"/>
  <c r="L193" i="2"/>
  <c r="M193" i="2" s="1"/>
  <c r="L197" i="2"/>
  <c r="M197" i="2" s="1"/>
  <c r="L201" i="2"/>
  <c r="M201" i="2" s="1"/>
  <c r="L205" i="2"/>
  <c r="M205" i="2" s="1"/>
  <c r="L209" i="2"/>
  <c r="M209" i="2" s="1"/>
  <c r="L213" i="2"/>
  <c r="M213" i="2" s="1"/>
  <c r="L217" i="2"/>
  <c r="M217" i="2" s="1"/>
  <c r="L221" i="2"/>
  <c r="M221" i="2" s="1"/>
  <c r="L225" i="2"/>
  <c r="M225" i="2" s="1"/>
  <c r="L229" i="2"/>
  <c r="M229" i="2" s="1"/>
  <c r="L233" i="2"/>
  <c r="M233" i="2" s="1"/>
  <c r="L237" i="2"/>
  <c r="M237" i="2" s="1"/>
  <c r="L241" i="2"/>
  <c r="M241" i="2" s="1"/>
  <c r="L245" i="2"/>
  <c r="M245" i="2" s="1"/>
  <c r="L249" i="2"/>
  <c r="M249" i="2" s="1"/>
  <c r="L253" i="2"/>
  <c r="M253" i="2" s="1"/>
  <c r="L257" i="2"/>
  <c r="M257" i="2" s="1"/>
  <c r="L261" i="2"/>
  <c r="M261" i="2" s="1"/>
  <c r="L265" i="2"/>
  <c r="M265" i="2" s="1"/>
  <c r="L269" i="2"/>
  <c r="M269" i="2" s="1"/>
  <c r="L273" i="2"/>
  <c r="M273" i="2" s="1"/>
  <c r="L277" i="2"/>
  <c r="M277" i="2" s="1"/>
  <c r="L281" i="2"/>
  <c r="M281" i="2" s="1"/>
  <c r="L285" i="2"/>
  <c r="M285" i="2" s="1"/>
  <c r="L289" i="2"/>
  <c r="M289" i="2" s="1"/>
  <c r="L293" i="2"/>
  <c r="M293" i="2" s="1"/>
  <c r="L297" i="2"/>
  <c r="M297" i="2" s="1"/>
  <c r="L301" i="2"/>
  <c r="M301" i="2" s="1"/>
  <c r="L305" i="2"/>
  <c r="M305" i="2" s="1"/>
  <c r="L309" i="2"/>
  <c r="M309" i="2" s="1"/>
  <c r="L313" i="2"/>
  <c r="M313" i="2" s="1"/>
  <c r="L317" i="2"/>
  <c r="M317" i="2" s="1"/>
  <c r="L321" i="2"/>
  <c r="M321" i="2" s="1"/>
  <c r="L325" i="2"/>
  <c r="M325" i="2" s="1"/>
  <c r="L329" i="2"/>
  <c r="M329" i="2" s="1"/>
  <c r="L333" i="2"/>
  <c r="M333" i="2" s="1"/>
  <c r="L337" i="2"/>
  <c r="M337" i="2" s="1"/>
  <c r="L341" i="2"/>
  <c r="M341" i="2" s="1"/>
  <c r="L345" i="2"/>
  <c r="M345" i="2" s="1"/>
  <c r="L349" i="2"/>
  <c r="M349" i="2" s="1"/>
  <c r="L353" i="2"/>
  <c r="M353" i="2" s="1"/>
  <c r="L357" i="2"/>
  <c r="M357" i="2" s="1"/>
  <c r="L361" i="2"/>
  <c r="M361" i="2" s="1"/>
  <c r="L365" i="2"/>
  <c r="M365" i="2" s="1"/>
  <c r="L369" i="2"/>
  <c r="M369" i="2" s="1"/>
  <c r="L373" i="2"/>
  <c r="M373" i="2" s="1"/>
  <c r="L377" i="2"/>
  <c r="M377" i="2" s="1"/>
  <c r="L381" i="2"/>
  <c r="M381" i="2" s="1"/>
  <c r="L385" i="2"/>
  <c r="M385" i="2" s="1"/>
  <c r="L389" i="2"/>
  <c r="M389" i="2" s="1"/>
  <c r="L393" i="2"/>
  <c r="M393" i="2" s="1"/>
  <c r="L397" i="2"/>
  <c r="M397" i="2" s="1"/>
  <c r="L401" i="2"/>
  <c r="M401" i="2" s="1"/>
  <c r="L405" i="2"/>
  <c r="M405" i="2" s="1"/>
  <c r="L409" i="2"/>
  <c r="M409" i="2" s="1"/>
  <c r="L413" i="2"/>
  <c r="M413" i="2" s="1"/>
  <c r="L417" i="2"/>
  <c r="M417" i="2" s="1"/>
  <c r="L421" i="2"/>
  <c r="M421" i="2" s="1"/>
  <c r="L425" i="2"/>
  <c r="M425" i="2" s="1"/>
  <c r="L429" i="2"/>
  <c r="M429" i="2" s="1"/>
  <c r="L433" i="2"/>
  <c r="M433" i="2" s="1"/>
  <c r="L437" i="2"/>
  <c r="M437" i="2" s="1"/>
  <c r="L441" i="2"/>
  <c r="M441" i="2" s="1"/>
  <c r="L445" i="2"/>
  <c r="M445" i="2" s="1"/>
  <c r="L449" i="2"/>
  <c r="M449" i="2" s="1"/>
  <c r="L453" i="2"/>
  <c r="M453" i="2" s="1"/>
  <c r="L457" i="2"/>
  <c r="M457" i="2" s="1"/>
  <c r="L461" i="2"/>
  <c r="M461" i="2" s="1"/>
  <c r="L465" i="2"/>
  <c r="M465" i="2" s="1"/>
  <c r="L469" i="2"/>
  <c r="M469" i="2" s="1"/>
  <c r="L473" i="2"/>
  <c r="M473" i="2" s="1"/>
  <c r="L477" i="2"/>
  <c r="M477" i="2" s="1"/>
  <c r="L481" i="2"/>
  <c r="M481" i="2" s="1"/>
  <c r="L485" i="2"/>
  <c r="M485" i="2" s="1"/>
  <c r="L489" i="2"/>
  <c r="M489" i="2" s="1"/>
  <c r="L493" i="2"/>
  <c r="M493" i="2" s="1"/>
  <c r="L497" i="2"/>
  <c r="M497" i="2" s="1"/>
  <c r="L501" i="2"/>
  <c r="M501" i="2" s="1"/>
  <c r="L505" i="2"/>
  <c r="M505" i="2" s="1"/>
  <c r="L509" i="2"/>
  <c r="M509" i="2" s="1"/>
  <c r="L513" i="2"/>
  <c r="M513" i="2" s="1"/>
  <c r="L517" i="2"/>
  <c r="M517" i="2" s="1"/>
  <c r="L521" i="2"/>
  <c r="M521" i="2" s="1"/>
  <c r="L525" i="2"/>
  <c r="M525" i="2" s="1"/>
  <c r="L529" i="2"/>
  <c r="M529" i="2" s="1"/>
  <c r="L533" i="2"/>
  <c r="M533" i="2" s="1"/>
  <c r="L537" i="2"/>
  <c r="M537" i="2" s="1"/>
  <c r="L541" i="2"/>
  <c r="M541" i="2" s="1"/>
  <c r="L545" i="2"/>
  <c r="M545" i="2" s="1"/>
  <c r="L549" i="2"/>
  <c r="M549" i="2" s="1"/>
  <c r="L553" i="2"/>
  <c r="M553" i="2" s="1"/>
  <c r="L557" i="2"/>
  <c r="M557" i="2" s="1"/>
  <c r="L561" i="2"/>
  <c r="M561" i="2" s="1"/>
  <c r="L565" i="2"/>
  <c r="M565" i="2" s="1"/>
  <c r="L569" i="2"/>
  <c r="M569" i="2" s="1"/>
  <c r="L573" i="2"/>
  <c r="M573" i="2" s="1"/>
  <c r="L577" i="2"/>
  <c r="M577" i="2" s="1"/>
  <c r="L581" i="2"/>
  <c r="M581" i="2" s="1"/>
  <c r="L585" i="2"/>
  <c r="M585" i="2" s="1"/>
  <c r="L589" i="2"/>
  <c r="M589" i="2" s="1"/>
  <c r="L593" i="2"/>
  <c r="M593" i="2" s="1"/>
  <c r="L597" i="2"/>
  <c r="M597" i="2" s="1"/>
  <c r="L601" i="2"/>
  <c r="M601" i="2" s="1"/>
  <c r="L605" i="2"/>
  <c r="M605" i="2" s="1"/>
  <c r="L609" i="2"/>
  <c r="M609" i="2" s="1"/>
  <c r="L613" i="2"/>
  <c r="M613" i="2" s="1"/>
  <c r="L617" i="2"/>
  <c r="M617" i="2" s="1"/>
  <c r="L621" i="2"/>
  <c r="M621" i="2" s="1"/>
  <c r="L625" i="2"/>
  <c r="M625" i="2" s="1"/>
  <c r="L629" i="2"/>
  <c r="M629" i="2" s="1"/>
  <c r="L633" i="2"/>
  <c r="M633" i="2" s="1"/>
  <c r="L637" i="2"/>
  <c r="M637" i="2" s="1"/>
  <c r="L641" i="2"/>
  <c r="M641" i="2" s="1"/>
  <c r="L645" i="2"/>
  <c r="M645" i="2" s="1"/>
  <c r="L649" i="2"/>
  <c r="M649" i="2" s="1"/>
  <c r="L653" i="2"/>
  <c r="M653" i="2" s="1"/>
  <c r="L657" i="2"/>
  <c r="M657" i="2" s="1"/>
  <c r="L661" i="2"/>
  <c r="M661" i="2" s="1"/>
  <c r="L665" i="2"/>
  <c r="M665" i="2" s="1"/>
  <c r="L669" i="2"/>
  <c r="M669" i="2" s="1"/>
  <c r="L673" i="2"/>
  <c r="M673" i="2" s="1"/>
  <c r="L677" i="2"/>
  <c r="M677" i="2" s="1"/>
  <c r="L681" i="2"/>
  <c r="M681" i="2" s="1"/>
  <c r="L685" i="2"/>
  <c r="M685" i="2" s="1"/>
  <c r="L689" i="2"/>
  <c r="M689" i="2" s="1"/>
  <c r="L693" i="2"/>
  <c r="M693" i="2" s="1"/>
  <c r="L697" i="2"/>
  <c r="M697" i="2" s="1"/>
  <c r="L701" i="2"/>
  <c r="M701" i="2" s="1"/>
  <c r="L705" i="2"/>
  <c r="M705" i="2" s="1"/>
  <c r="L709" i="2"/>
  <c r="M709" i="2" s="1"/>
  <c r="L713" i="2"/>
  <c r="M713" i="2" s="1"/>
  <c r="L717" i="2"/>
  <c r="M717" i="2" s="1"/>
  <c r="L721" i="2"/>
  <c r="M721" i="2" s="1"/>
  <c r="L725" i="2"/>
  <c r="M725" i="2" s="1"/>
  <c r="L729" i="2"/>
  <c r="M729" i="2" s="1"/>
  <c r="L733" i="2"/>
  <c r="M733" i="2" s="1"/>
  <c r="L737" i="2"/>
  <c r="M737" i="2" s="1"/>
  <c r="L741" i="2"/>
  <c r="M741" i="2" s="1"/>
  <c r="L745" i="2"/>
  <c r="M745" i="2" s="1"/>
  <c r="L749" i="2"/>
  <c r="M749" i="2" s="1"/>
  <c r="L753" i="2"/>
  <c r="M753" i="2" s="1"/>
  <c r="L757" i="2"/>
  <c r="M757" i="2" s="1"/>
  <c r="L761" i="2"/>
  <c r="M761" i="2" s="1"/>
  <c r="L765" i="2"/>
  <c r="M765" i="2" s="1"/>
  <c r="L769" i="2"/>
  <c r="M769" i="2" s="1"/>
  <c r="L773" i="2"/>
  <c r="M773" i="2" s="1"/>
  <c r="L777" i="2"/>
  <c r="M777" i="2" s="1"/>
  <c r="L781" i="2"/>
  <c r="M781" i="2" s="1"/>
  <c r="L785" i="2"/>
  <c r="M785" i="2" s="1"/>
  <c r="L789" i="2"/>
  <c r="M789" i="2" s="1"/>
  <c r="L793" i="2"/>
  <c r="M793" i="2" s="1"/>
  <c r="L797" i="2"/>
  <c r="M797" i="2" s="1"/>
  <c r="L801" i="2"/>
  <c r="M801" i="2" s="1"/>
  <c r="L805" i="2"/>
  <c r="M805" i="2" s="1"/>
  <c r="L809" i="2"/>
  <c r="M809" i="2" s="1"/>
  <c r="L813" i="2"/>
  <c r="M813" i="2" s="1"/>
  <c r="L817" i="2"/>
  <c r="M817" i="2" s="1"/>
  <c r="L821" i="2"/>
  <c r="M821" i="2" s="1"/>
  <c r="L825" i="2"/>
  <c r="M825" i="2" s="1"/>
  <c r="L829" i="2"/>
  <c r="M829" i="2" s="1"/>
  <c r="L833" i="2"/>
  <c r="M833" i="2" s="1"/>
  <c r="L837" i="2"/>
  <c r="M837" i="2" s="1"/>
  <c r="L841" i="2"/>
  <c r="M841" i="2" s="1"/>
  <c r="L845" i="2"/>
  <c r="M845" i="2" s="1"/>
  <c r="L849" i="2"/>
  <c r="M849" i="2" s="1"/>
  <c r="L853" i="2"/>
  <c r="M853" i="2" s="1"/>
  <c r="L857" i="2"/>
  <c r="M857" i="2" s="1"/>
  <c r="L861" i="2"/>
  <c r="M861" i="2" s="1"/>
  <c r="L865" i="2"/>
  <c r="M865" i="2" s="1"/>
  <c r="L869" i="2"/>
  <c r="M869" i="2" s="1"/>
  <c r="L873" i="2"/>
  <c r="M873" i="2" s="1"/>
  <c r="L877" i="2"/>
  <c r="M877" i="2" s="1"/>
  <c r="L881" i="2"/>
  <c r="M881" i="2" s="1"/>
  <c r="L885" i="2"/>
  <c r="M885" i="2" s="1"/>
  <c r="L889" i="2"/>
  <c r="M889" i="2" s="1"/>
  <c r="L893" i="2"/>
  <c r="M893" i="2" s="1"/>
  <c r="L897" i="2"/>
  <c r="M897" i="2" s="1"/>
  <c r="L901" i="2"/>
  <c r="M901" i="2" s="1"/>
  <c r="L905" i="2"/>
  <c r="M905" i="2" s="1"/>
  <c r="L909" i="2"/>
  <c r="M909" i="2" s="1"/>
  <c r="L913" i="2"/>
  <c r="M913" i="2" s="1"/>
  <c r="L917" i="2"/>
  <c r="M917" i="2" s="1"/>
  <c r="L921" i="2"/>
  <c r="M921" i="2" s="1"/>
  <c r="L925" i="2"/>
  <c r="M925" i="2" s="1"/>
  <c r="L929" i="2"/>
  <c r="M929" i="2" s="1"/>
  <c r="L933" i="2"/>
  <c r="M933" i="2" s="1"/>
  <c r="L937" i="2"/>
  <c r="M937" i="2" s="1"/>
  <c r="L941" i="2"/>
  <c r="M941" i="2" s="1"/>
  <c r="L945" i="2"/>
  <c r="M945" i="2" s="1"/>
  <c r="L949" i="2"/>
  <c r="M949" i="2" s="1"/>
  <c r="L953" i="2"/>
  <c r="M953" i="2" s="1"/>
  <c r="L957" i="2"/>
  <c r="M957" i="2" s="1"/>
  <c r="L961" i="2"/>
  <c r="M961" i="2" s="1"/>
  <c r="L965" i="2"/>
  <c r="M965" i="2" s="1"/>
  <c r="L969" i="2"/>
  <c r="M969" i="2" s="1"/>
  <c r="L973" i="2"/>
  <c r="M973" i="2" s="1"/>
  <c r="L977" i="2"/>
  <c r="M977" i="2" s="1"/>
  <c r="L981" i="2"/>
  <c r="M981" i="2" s="1"/>
  <c r="L985" i="2"/>
  <c r="M985" i="2" s="1"/>
  <c r="L989" i="2"/>
  <c r="M989" i="2" s="1"/>
  <c r="L993" i="2"/>
  <c r="M993" i="2" s="1"/>
  <c r="L997" i="2"/>
  <c r="M997" i="2" s="1"/>
  <c r="L1001" i="2"/>
  <c r="M1001" i="2" s="1"/>
  <c r="L1005" i="2"/>
  <c r="M1005" i="2" s="1"/>
  <c r="L1009" i="2"/>
  <c r="M1009" i="2" s="1"/>
  <c r="L1013" i="2"/>
  <c r="M1013" i="2" s="1"/>
  <c r="L1017" i="2"/>
  <c r="M1017" i="2" s="1"/>
  <c r="L1021" i="2"/>
  <c r="M1021" i="2" s="1"/>
  <c r="L1025" i="2"/>
  <c r="M1025" i="2" s="1"/>
  <c r="L1029" i="2"/>
  <c r="M1029" i="2" s="1"/>
  <c r="L1033" i="2"/>
  <c r="M1033" i="2" s="1"/>
  <c r="L1037" i="2"/>
  <c r="M1037" i="2" s="1"/>
  <c r="L1041" i="2"/>
  <c r="M1041" i="2" s="1"/>
  <c r="L1045" i="2"/>
  <c r="M1045" i="2" s="1"/>
  <c r="L1049" i="2"/>
  <c r="M1049" i="2" s="1"/>
  <c r="L1053" i="2"/>
  <c r="M1053" i="2" s="1"/>
  <c r="L1057" i="2"/>
  <c r="M1057" i="2" s="1"/>
  <c r="L1061" i="2"/>
  <c r="M1061" i="2" s="1"/>
  <c r="L1065" i="2"/>
  <c r="M1065" i="2" s="1"/>
  <c r="L1069" i="2"/>
  <c r="M1069" i="2" s="1"/>
  <c r="L1073" i="2"/>
  <c r="M1073" i="2" s="1"/>
  <c r="L1077" i="2"/>
  <c r="M1077" i="2" s="1"/>
  <c r="L1081" i="2"/>
  <c r="M1081" i="2" s="1"/>
  <c r="L1085" i="2"/>
  <c r="M1085" i="2" s="1"/>
  <c r="L1089" i="2"/>
  <c r="M1089" i="2" s="1"/>
  <c r="L1093" i="2"/>
  <c r="M1093" i="2" s="1"/>
  <c r="L1097" i="2"/>
  <c r="M1097" i="2" s="1"/>
  <c r="L1101" i="2"/>
  <c r="M1101" i="2" s="1"/>
  <c r="L1105" i="2"/>
  <c r="M1105" i="2" s="1"/>
  <c r="L1109" i="2"/>
  <c r="M1109" i="2" s="1"/>
  <c r="L1113" i="2"/>
  <c r="M1113" i="2" s="1"/>
  <c r="L1117" i="2"/>
  <c r="M1117" i="2" s="1"/>
  <c r="L1121" i="2"/>
  <c r="M1121" i="2" s="1"/>
  <c r="L1125" i="2"/>
  <c r="M1125" i="2" s="1"/>
  <c r="L1129" i="2"/>
  <c r="M1129" i="2" s="1"/>
  <c r="L1133" i="2"/>
  <c r="M1133" i="2" s="1"/>
  <c r="L1137" i="2"/>
  <c r="M1137" i="2" s="1"/>
  <c r="L1141" i="2"/>
  <c r="M1141" i="2" s="1"/>
  <c r="L1145" i="2"/>
  <c r="M1145" i="2" s="1"/>
  <c r="L1149" i="2"/>
  <c r="M1149" i="2" s="1"/>
  <c r="L1153" i="2"/>
  <c r="M1153" i="2" s="1"/>
  <c r="L1157" i="2"/>
  <c r="M1157" i="2" s="1"/>
  <c r="L1161" i="2"/>
  <c r="M1161" i="2" s="1"/>
  <c r="L1165" i="2"/>
  <c r="M1165" i="2" s="1"/>
  <c r="L1169" i="2"/>
  <c r="M1169" i="2" s="1"/>
  <c r="L1173" i="2"/>
  <c r="M1173" i="2" s="1"/>
  <c r="L1177" i="2"/>
  <c r="M1177" i="2" s="1"/>
  <c r="L1181" i="2"/>
  <c r="M1181" i="2" s="1"/>
  <c r="L1185" i="2"/>
  <c r="M1185" i="2" s="1"/>
  <c r="L1189" i="2"/>
  <c r="M1189" i="2" s="1"/>
  <c r="L1193" i="2"/>
  <c r="M1193" i="2" s="1"/>
  <c r="L1197" i="2"/>
  <c r="M1197" i="2" s="1"/>
  <c r="L1201" i="2"/>
  <c r="M1201" i="2" s="1"/>
  <c r="L1205" i="2"/>
  <c r="M1205" i="2" s="1"/>
  <c r="L1209" i="2"/>
  <c r="M1209" i="2" s="1"/>
  <c r="L1213" i="2"/>
  <c r="M1213" i="2" s="1"/>
  <c r="L1217" i="2"/>
  <c r="M1217" i="2" s="1"/>
  <c r="L1221" i="2"/>
  <c r="M1221" i="2" s="1"/>
  <c r="L1225" i="2"/>
  <c r="M1225" i="2" s="1"/>
  <c r="L1229" i="2"/>
  <c r="M1229" i="2" s="1"/>
  <c r="L1233" i="2"/>
  <c r="M1233" i="2" s="1"/>
  <c r="L1237" i="2"/>
  <c r="M1237" i="2" s="1"/>
  <c r="L1241" i="2"/>
  <c r="M1241" i="2" s="1"/>
  <c r="L1245" i="2"/>
  <c r="M1245" i="2" s="1"/>
  <c r="L1249" i="2"/>
  <c r="M1249" i="2" s="1"/>
  <c r="L1253" i="2"/>
  <c r="M1253" i="2" s="1"/>
  <c r="L1257" i="2"/>
  <c r="M1257" i="2" s="1"/>
  <c r="L1261" i="2"/>
  <c r="M1261" i="2" s="1"/>
  <c r="L1265" i="2"/>
  <c r="M1265" i="2" s="1"/>
  <c r="L1269" i="2"/>
  <c r="M1269" i="2" s="1"/>
  <c r="L1273" i="2"/>
  <c r="M1273" i="2" s="1"/>
  <c r="L1277" i="2"/>
  <c r="M1277" i="2" s="1"/>
  <c r="L1281" i="2"/>
  <c r="M1281" i="2" s="1"/>
  <c r="L1285" i="2"/>
  <c r="M1285" i="2" s="1"/>
  <c r="L1289" i="2"/>
  <c r="M1289" i="2" s="1"/>
  <c r="L1293" i="2"/>
  <c r="M1293" i="2" s="1"/>
  <c r="L1297" i="2"/>
  <c r="M1297" i="2" s="1"/>
  <c r="L1301" i="2"/>
  <c r="M1301" i="2" s="1"/>
  <c r="L1305" i="2"/>
  <c r="M1305" i="2" s="1"/>
  <c r="L1309" i="2"/>
  <c r="M1309" i="2" s="1"/>
  <c r="L1313" i="2"/>
  <c r="M1313" i="2" s="1"/>
  <c r="L1317" i="2"/>
  <c r="M1317" i="2" s="1"/>
  <c r="L1321" i="2"/>
  <c r="M1321" i="2" s="1"/>
  <c r="L1325" i="2"/>
  <c r="M1325" i="2" s="1"/>
  <c r="L1329" i="2"/>
  <c r="M1329" i="2" s="1"/>
  <c r="L1333" i="2"/>
  <c r="M1333" i="2" s="1"/>
  <c r="L1337" i="2"/>
  <c r="M1337" i="2" s="1"/>
  <c r="L1341" i="2"/>
  <c r="M1341" i="2" s="1"/>
  <c r="L1345" i="2"/>
  <c r="M1345" i="2" s="1"/>
  <c r="L1349" i="2"/>
  <c r="M1349" i="2" s="1"/>
  <c r="L1353" i="2"/>
  <c r="M1353" i="2" s="1"/>
  <c r="L1357" i="2"/>
  <c r="M1357" i="2" s="1"/>
  <c r="L1361" i="2"/>
  <c r="M1361" i="2" s="1"/>
  <c r="L1365" i="2"/>
  <c r="M1365" i="2" s="1"/>
  <c r="L1369" i="2"/>
  <c r="M1369" i="2" s="1"/>
  <c r="L1373" i="2"/>
  <c r="M1373" i="2" s="1"/>
  <c r="L1377" i="2"/>
  <c r="M1377" i="2" s="1"/>
  <c r="L1381" i="2"/>
  <c r="M1381" i="2" s="1"/>
  <c r="L1385" i="2"/>
  <c r="M1385" i="2" s="1"/>
  <c r="L1389" i="2"/>
  <c r="M1389" i="2" s="1"/>
  <c r="L1393" i="2"/>
  <c r="M1393" i="2" s="1"/>
  <c r="L1397" i="2"/>
  <c r="M1397" i="2" s="1"/>
  <c r="L1401" i="2"/>
  <c r="M1401" i="2" s="1"/>
  <c r="L1405" i="2"/>
  <c r="M1405" i="2" s="1"/>
  <c r="L1409" i="2"/>
  <c r="M1409" i="2" s="1"/>
  <c r="L1413" i="2"/>
  <c r="M1413" i="2" s="1"/>
  <c r="L1417" i="2"/>
  <c r="M1417" i="2" s="1"/>
  <c r="L1421" i="2"/>
  <c r="M1421" i="2" s="1"/>
  <c r="L1425" i="2"/>
  <c r="M1425" i="2" s="1"/>
  <c r="L1429" i="2"/>
  <c r="M1429" i="2" s="1"/>
  <c r="L1433" i="2"/>
  <c r="M1433" i="2" s="1"/>
  <c r="L1437" i="2"/>
  <c r="M1437" i="2" s="1"/>
  <c r="L1441" i="2"/>
  <c r="M1441" i="2" s="1"/>
  <c r="L1445" i="2"/>
  <c r="M1445" i="2" s="1"/>
  <c r="L1449" i="2"/>
  <c r="M1449" i="2" s="1"/>
  <c r="L1453" i="2"/>
  <c r="M1453" i="2" s="1"/>
  <c r="L1457" i="2"/>
  <c r="M1457" i="2" s="1"/>
  <c r="L1461" i="2"/>
  <c r="M1461" i="2" s="1"/>
  <c r="L1465" i="2"/>
  <c r="M1465" i="2" s="1"/>
  <c r="L1469" i="2"/>
  <c r="M1469" i="2" s="1"/>
  <c r="L1473" i="2"/>
  <c r="M1473" i="2" s="1"/>
  <c r="L1477" i="2"/>
  <c r="M1477" i="2" s="1"/>
  <c r="L1481" i="2"/>
  <c r="M1481" i="2" s="1"/>
  <c r="L1485" i="2"/>
  <c r="M1485" i="2" s="1"/>
  <c r="L1489" i="2"/>
  <c r="M1489" i="2" s="1"/>
  <c r="L1493" i="2"/>
  <c r="M1493" i="2" s="1"/>
  <c r="L1497" i="2"/>
  <c r="M1497" i="2" s="1"/>
  <c r="L1501" i="2"/>
  <c r="M1501" i="2" s="1"/>
  <c r="L1505" i="2"/>
  <c r="M1505" i="2" s="1"/>
  <c r="L1509" i="2"/>
  <c r="M1509" i="2" s="1"/>
  <c r="L1513" i="2"/>
  <c r="M1513" i="2" s="1"/>
  <c r="L1517" i="2"/>
  <c r="M1517" i="2" s="1"/>
  <c r="L1521" i="2"/>
  <c r="M1521" i="2" s="1"/>
  <c r="L1525" i="2"/>
  <c r="M1525" i="2" s="1"/>
  <c r="L1529" i="2"/>
  <c r="M1529" i="2" s="1"/>
  <c r="L1533" i="2"/>
  <c r="M1533" i="2" s="1"/>
  <c r="L1537" i="2"/>
  <c r="M1537" i="2" s="1"/>
  <c r="L1541" i="2"/>
  <c r="M1541" i="2" s="1"/>
  <c r="L1545" i="2"/>
  <c r="M1545" i="2" s="1"/>
  <c r="L1549" i="2"/>
  <c r="M1549" i="2" s="1"/>
  <c r="L1553" i="2"/>
  <c r="M1553" i="2" s="1"/>
  <c r="L1557" i="2"/>
  <c r="M1557" i="2" s="1"/>
  <c r="L1561" i="2"/>
  <c r="M1561" i="2" s="1"/>
  <c r="L1565" i="2"/>
  <c r="M1565" i="2" s="1"/>
  <c r="L1569" i="2"/>
  <c r="M1569" i="2" s="1"/>
  <c r="L1573" i="2"/>
  <c r="M1573" i="2" s="1"/>
  <c r="L1577" i="2"/>
  <c r="M1577" i="2" s="1"/>
  <c r="L1581" i="2"/>
  <c r="M1581" i="2" s="1"/>
  <c r="L1585" i="2"/>
  <c r="M1585" i="2" s="1"/>
  <c r="L1589" i="2"/>
  <c r="M1589" i="2" s="1"/>
  <c r="L1593" i="2"/>
  <c r="M1593" i="2" s="1"/>
  <c r="L1597" i="2"/>
  <c r="M1597" i="2" s="1"/>
  <c r="L1601" i="2"/>
  <c r="M1601" i="2" s="1"/>
  <c r="L1605" i="2"/>
  <c r="M1605" i="2" s="1"/>
  <c r="L1609" i="2"/>
  <c r="M1609" i="2" s="1"/>
  <c r="L2" i="2"/>
  <c r="M2" i="2" s="1"/>
  <c r="L6" i="2"/>
  <c r="M6" i="2" s="1"/>
  <c r="L10" i="2"/>
  <c r="M10" i="2" s="1"/>
  <c r="L14" i="2"/>
  <c r="M14" i="2" s="1"/>
  <c r="L18" i="2"/>
  <c r="M18" i="2" s="1"/>
  <c r="L22" i="2"/>
  <c r="M22" i="2" s="1"/>
  <c r="L26" i="2"/>
  <c r="M26" i="2" s="1"/>
  <c r="L30" i="2"/>
  <c r="M30" i="2" s="1"/>
  <c r="L34" i="2"/>
  <c r="M34" i="2" s="1"/>
  <c r="L38" i="2"/>
  <c r="M38" i="2" s="1"/>
  <c r="L42" i="2"/>
  <c r="M42" i="2" s="1"/>
  <c r="L46" i="2"/>
  <c r="M46" i="2" s="1"/>
  <c r="L50" i="2"/>
  <c r="M50" i="2" s="1"/>
  <c r="L54" i="2"/>
  <c r="M54" i="2" s="1"/>
  <c r="L58" i="2"/>
  <c r="M58" i="2" s="1"/>
  <c r="L62" i="2"/>
  <c r="M62" i="2" s="1"/>
  <c r="L66" i="2"/>
  <c r="M66" i="2" s="1"/>
  <c r="L70" i="2"/>
  <c r="M70" i="2" s="1"/>
  <c r="L74" i="2"/>
  <c r="M74" i="2" s="1"/>
  <c r="L78" i="2"/>
  <c r="M78" i="2" s="1"/>
  <c r="L82" i="2"/>
  <c r="M82" i="2" s="1"/>
  <c r="L86" i="2"/>
  <c r="M86" i="2" s="1"/>
  <c r="L90" i="2"/>
  <c r="M90" i="2" s="1"/>
  <c r="L94" i="2"/>
  <c r="M94" i="2" s="1"/>
  <c r="L98" i="2"/>
  <c r="M98" i="2" s="1"/>
  <c r="L102" i="2"/>
  <c r="M102" i="2" s="1"/>
  <c r="L106" i="2"/>
  <c r="M106" i="2" s="1"/>
  <c r="L110" i="2"/>
  <c r="M110" i="2" s="1"/>
  <c r="L114" i="2"/>
  <c r="M114" i="2" s="1"/>
  <c r="L118" i="2"/>
  <c r="M118" i="2" s="1"/>
  <c r="L122" i="2"/>
  <c r="M122" i="2" s="1"/>
  <c r="L126" i="2"/>
  <c r="M126" i="2" s="1"/>
  <c r="L130" i="2"/>
  <c r="M130" i="2" s="1"/>
  <c r="L134" i="2"/>
  <c r="M134" i="2" s="1"/>
  <c r="L138" i="2"/>
  <c r="M138" i="2" s="1"/>
  <c r="L142" i="2"/>
  <c r="M142" i="2" s="1"/>
  <c r="L146" i="2"/>
  <c r="M146" i="2" s="1"/>
  <c r="L150" i="2"/>
  <c r="M150" i="2" s="1"/>
  <c r="L154" i="2"/>
  <c r="M154" i="2" s="1"/>
  <c r="L158" i="2"/>
  <c r="M158" i="2" s="1"/>
  <c r="L162" i="2"/>
  <c r="M162" i="2" s="1"/>
  <c r="L166" i="2"/>
  <c r="M166" i="2" s="1"/>
  <c r="L170" i="2"/>
  <c r="M170" i="2" s="1"/>
  <c r="L174" i="2"/>
  <c r="M174" i="2" s="1"/>
  <c r="L178" i="2"/>
  <c r="M178" i="2" s="1"/>
  <c r="L182" i="2"/>
  <c r="M182" i="2" s="1"/>
  <c r="L186" i="2"/>
  <c r="M186" i="2" s="1"/>
  <c r="L190" i="2"/>
  <c r="M190" i="2" s="1"/>
  <c r="L194" i="2"/>
  <c r="M194" i="2" s="1"/>
  <c r="L198" i="2"/>
  <c r="M198" i="2" s="1"/>
  <c r="L202" i="2"/>
  <c r="M202" i="2" s="1"/>
  <c r="L206" i="2"/>
  <c r="M206" i="2" s="1"/>
  <c r="L210" i="2"/>
  <c r="M210" i="2" s="1"/>
  <c r="L214" i="2"/>
  <c r="M214" i="2" s="1"/>
  <c r="L218" i="2"/>
  <c r="M218" i="2" s="1"/>
  <c r="L222" i="2"/>
  <c r="M222" i="2" s="1"/>
  <c r="L226" i="2"/>
  <c r="M226" i="2" s="1"/>
  <c r="L230" i="2"/>
  <c r="M230" i="2" s="1"/>
  <c r="L234" i="2"/>
  <c r="M234" i="2" s="1"/>
  <c r="L238" i="2"/>
  <c r="M238" i="2" s="1"/>
  <c r="L242" i="2"/>
  <c r="M242" i="2" s="1"/>
  <c r="L246" i="2"/>
  <c r="M246" i="2" s="1"/>
  <c r="L250" i="2"/>
  <c r="M250" i="2" s="1"/>
  <c r="L254" i="2"/>
  <c r="M254" i="2" s="1"/>
  <c r="L258" i="2"/>
  <c r="M258" i="2" s="1"/>
  <c r="L262" i="2"/>
  <c r="M262" i="2" s="1"/>
  <c r="L266" i="2"/>
  <c r="M266" i="2" s="1"/>
  <c r="L270" i="2"/>
  <c r="M270" i="2" s="1"/>
  <c r="L274" i="2"/>
  <c r="M274" i="2" s="1"/>
  <c r="L278" i="2"/>
  <c r="M278" i="2" s="1"/>
  <c r="L282" i="2"/>
  <c r="M282" i="2" s="1"/>
  <c r="L286" i="2"/>
  <c r="M286" i="2" s="1"/>
  <c r="L290" i="2"/>
  <c r="M290" i="2" s="1"/>
  <c r="L294" i="2"/>
  <c r="M294" i="2" s="1"/>
  <c r="L298" i="2"/>
  <c r="M298" i="2" s="1"/>
  <c r="L302" i="2"/>
  <c r="M302" i="2" s="1"/>
  <c r="L306" i="2"/>
  <c r="M306" i="2" s="1"/>
  <c r="L310" i="2"/>
  <c r="M310" i="2" s="1"/>
  <c r="L314" i="2"/>
  <c r="M314" i="2" s="1"/>
  <c r="L318" i="2"/>
  <c r="M318" i="2" s="1"/>
  <c r="L322" i="2"/>
  <c r="M322" i="2" s="1"/>
  <c r="L326" i="2"/>
  <c r="M326" i="2" s="1"/>
  <c r="L330" i="2"/>
  <c r="M330" i="2" s="1"/>
  <c r="L334" i="2"/>
  <c r="M334" i="2" s="1"/>
  <c r="L338" i="2"/>
  <c r="M338" i="2" s="1"/>
  <c r="L342" i="2"/>
  <c r="M342" i="2" s="1"/>
  <c r="L346" i="2"/>
  <c r="M346" i="2" s="1"/>
  <c r="L350" i="2"/>
  <c r="M350" i="2" s="1"/>
  <c r="L354" i="2"/>
  <c r="M354" i="2" s="1"/>
  <c r="L358" i="2"/>
  <c r="M358" i="2" s="1"/>
  <c r="L362" i="2"/>
  <c r="M362" i="2" s="1"/>
  <c r="L366" i="2"/>
  <c r="M366" i="2" s="1"/>
  <c r="L370" i="2"/>
  <c r="M370" i="2" s="1"/>
  <c r="L374" i="2"/>
  <c r="M374" i="2" s="1"/>
  <c r="L378" i="2"/>
  <c r="M378" i="2" s="1"/>
  <c r="L382" i="2"/>
  <c r="M382" i="2" s="1"/>
  <c r="L386" i="2"/>
  <c r="M386" i="2" s="1"/>
  <c r="L390" i="2"/>
  <c r="M390" i="2" s="1"/>
  <c r="L394" i="2"/>
  <c r="M394" i="2" s="1"/>
  <c r="L398" i="2"/>
  <c r="M398" i="2" s="1"/>
  <c r="L402" i="2"/>
  <c r="M402" i="2" s="1"/>
  <c r="L406" i="2"/>
  <c r="M406" i="2" s="1"/>
  <c r="L410" i="2"/>
  <c r="M410" i="2" s="1"/>
  <c r="L414" i="2"/>
  <c r="M414" i="2" s="1"/>
  <c r="L418" i="2"/>
  <c r="M418" i="2" s="1"/>
  <c r="L422" i="2"/>
  <c r="M422" i="2" s="1"/>
  <c r="L426" i="2"/>
  <c r="M426" i="2" s="1"/>
  <c r="L430" i="2"/>
  <c r="M430" i="2" s="1"/>
  <c r="L434" i="2"/>
  <c r="M434" i="2" s="1"/>
  <c r="L438" i="2"/>
  <c r="M438" i="2" s="1"/>
  <c r="L442" i="2"/>
  <c r="M442" i="2" s="1"/>
  <c r="L446" i="2"/>
  <c r="M446" i="2" s="1"/>
  <c r="L450" i="2"/>
  <c r="M450" i="2" s="1"/>
  <c r="L454" i="2"/>
  <c r="M454" i="2" s="1"/>
  <c r="L458" i="2"/>
  <c r="M458" i="2" s="1"/>
  <c r="L462" i="2"/>
  <c r="M462" i="2" s="1"/>
  <c r="L466" i="2"/>
  <c r="M466" i="2" s="1"/>
  <c r="L470" i="2"/>
  <c r="M470" i="2" s="1"/>
  <c r="L474" i="2"/>
  <c r="M474" i="2" s="1"/>
  <c r="L478" i="2"/>
  <c r="M478" i="2" s="1"/>
  <c r="L482" i="2"/>
  <c r="M482" i="2" s="1"/>
  <c r="L486" i="2"/>
  <c r="M486" i="2" s="1"/>
  <c r="L490" i="2"/>
  <c r="M490" i="2" s="1"/>
  <c r="L494" i="2"/>
  <c r="M494" i="2" s="1"/>
  <c r="L498" i="2"/>
  <c r="M498" i="2" s="1"/>
  <c r="L502" i="2"/>
  <c r="M502" i="2" s="1"/>
  <c r="L506" i="2"/>
  <c r="M506" i="2" s="1"/>
  <c r="L510" i="2"/>
  <c r="M510" i="2" s="1"/>
  <c r="L514" i="2"/>
  <c r="M514" i="2" s="1"/>
  <c r="L518" i="2"/>
  <c r="M518" i="2" s="1"/>
  <c r="L522" i="2"/>
  <c r="M522" i="2" s="1"/>
  <c r="L526" i="2"/>
  <c r="M526" i="2" s="1"/>
  <c r="L530" i="2"/>
  <c r="M530" i="2" s="1"/>
  <c r="L534" i="2"/>
  <c r="M534" i="2" s="1"/>
  <c r="L538" i="2"/>
  <c r="M538" i="2" s="1"/>
  <c r="L542" i="2"/>
  <c r="M542" i="2" s="1"/>
  <c r="L546" i="2"/>
  <c r="M546" i="2" s="1"/>
  <c r="L550" i="2"/>
  <c r="M550" i="2" s="1"/>
  <c r="L554" i="2"/>
  <c r="M554" i="2" s="1"/>
  <c r="L558" i="2"/>
  <c r="M558" i="2" s="1"/>
  <c r="L562" i="2"/>
  <c r="M562" i="2" s="1"/>
  <c r="L566" i="2"/>
  <c r="M566" i="2" s="1"/>
  <c r="L570" i="2"/>
  <c r="M570" i="2" s="1"/>
  <c r="L574" i="2"/>
  <c r="M574" i="2" s="1"/>
  <c r="L578" i="2"/>
  <c r="M578" i="2" s="1"/>
  <c r="L582" i="2"/>
  <c r="M582" i="2" s="1"/>
  <c r="L586" i="2"/>
  <c r="M586" i="2" s="1"/>
  <c r="L590" i="2"/>
  <c r="M590" i="2" s="1"/>
  <c r="L594" i="2"/>
  <c r="M594" i="2" s="1"/>
  <c r="L598" i="2"/>
  <c r="M598" i="2" s="1"/>
  <c r="L602" i="2"/>
  <c r="M602" i="2" s="1"/>
  <c r="L606" i="2"/>
  <c r="M606" i="2" s="1"/>
  <c r="L610" i="2"/>
  <c r="M610" i="2" s="1"/>
  <c r="L614" i="2"/>
  <c r="M614" i="2" s="1"/>
  <c r="L618" i="2"/>
  <c r="M618" i="2" s="1"/>
  <c r="L622" i="2"/>
  <c r="M622" i="2" s="1"/>
  <c r="L626" i="2"/>
  <c r="M626" i="2" s="1"/>
  <c r="L630" i="2"/>
  <c r="M630" i="2" s="1"/>
  <c r="L634" i="2"/>
  <c r="M634" i="2" s="1"/>
  <c r="L638" i="2"/>
  <c r="M638" i="2" s="1"/>
  <c r="L642" i="2"/>
  <c r="M642" i="2" s="1"/>
  <c r="L646" i="2"/>
  <c r="M646" i="2" s="1"/>
  <c r="L650" i="2"/>
  <c r="M650" i="2" s="1"/>
  <c r="L654" i="2"/>
  <c r="M654" i="2" s="1"/>
  <c r="L658" i="2"/>
  <c r="M658" i="2" s="1"/>
  <c r="L662" i="2"/>
  <c r="M662" i="2" s="1"/>
  <c r="L666" i="2"/>
  <c r="M666" i="2" s="1"/>
  <c r="L670" i="2"/>
  <c r="M670" i="2" s="1"/>
  <c r="L674" i="2"/>
  <c r="M674" i="2" s="1"/>
  <c r="L678" i="2"/>
  <c r="M678" i="2" s="1"/>
  <c r="L682" i="2"/>
  <c r="M682" i="2" s="1"/>
  <c r="L686" i="2"/>
  <c r="M686" i="2" s="1"/>
  <c r="L690" i="2"/>
  <c r="M690" i="2" s="1"/>
  <c r="L694" i="2"/>
  <c r="M694" i="2" s="1"/>
  <c r="L698" i="2"/>
  <c r="M698" i="2" s="1"/>
  <c r="L702" i="2"/>
  <c r="M702" i="2" s="1"/>
  <c r="L706" i="2"/>
  <c r="M706" i="2" s="1"/>
  <c r="L710" i="2"/>
  <c r="M710" i="2" s="1"/>
  <c r="L714" i="2"/>
  <c r="M714" i="2" s="1"/>
  <c r="L718" i="2"/>
  <c r="M718" i="2" s="1"/>
  <c r="L722" i="2"/>
  <c r="M722" i="2" s="1"/>
  <c r="L726" i="2"/>
  <c r="M726" i="2" s="1"/>
  <c r="L730" i="2"/>
  <c r="M730" i="2" s="1"/>
  <c r="L734" i="2"/>
  <c r="M734" i="2" s="1"/>
  <c r="L738" i="2"/>
  <c r="M738" i="2" s="1"/>
  <c r="L742" i="2"/>
  <c r="M742" i="2" s="1"/>
  <c r="L746" i="2"/>
  <c r="M746" i="2" s="1"/>
  <c r="L750" i="2"/>
  <c r="M750" i="2" s="1"/>
  <c r="L754" i="2"/>
  <c r="M754" i="2" s="1"/>
  <c r="L758" i="2"/>
  <c r="M758" i="2" s="1"/>
  <c r="L762" i="2"/>
  <c r="M762" i="2" s="1"/>
  <c r="L766" i="2"/>
  <c r="M766" i="2" s="1"/>
  <c r="L770" i="2"/>
  <c r="M770" i="2" s="1"/>
  <c r="L774" i="2"/>
  <c r="M774" i="2" s="1"/>
  <c r="L778" i="2"/>
  <c r="M778" i="2" s="1"/>
  <c r="L782" i="2"/>
  <c r="M782" i="2" s="1"/>
  <c r="L786" i="2"/>
  <c r="M786" i="2" s="1"/>
  <c r="L790" i="2"/>
  <c r="M790" i="2" s="1"/>
  <c r="L794" i="2"/>
  <c r="M794" i="2" s="1"/>
  <c r="L798" i="2"/>
  <c r="M798" i="2" s="1"/>
  <c r="L802" i="2"/>
  <c r="M802" i="2" s="1"/>
  <c r="L806" i="2"/>
  <c r="M806" i="2" s="1"/>
  <c r="L810" i="2"/>
  <c r="M810" i="2" s="1"/>
  <c r="L814" i="2"/>
  <c r="M814" i="2" s="1"/>
  <c r="L818" i="2"/>
  <c r="M818" i="2" s="1"/>
  <c r="L822" i="2"/>
  <c r="M822" i="2" s="1"/>
  <c r="L826" i="2"/>
  <c r="M826" i="2" s="1"/>
  <c r="L830" i="2"/>
  <c r="M830" i="2" s="1"/>
  <c r="L834" i="2"/>
  <c r="M834" i="2" s="1"/>
  <c r="L838" i="2"/>
  <c r="M838" i="2" s="1"/>
  <c r="L842" i="2"/>
  <c r="M842" i="2" s="1"/>
  <c r="L846" i="2"/>
  <c r="M846" i="2" s="1"/>
  <c r="L850" i="2"/>
  <c r="M850" i="2" s="1"/>
  <c r="L854" i="2"/>
  <c r="M854" i="2" s="1"/>
  <c r="L858" i="2"/>
  <c r="M858" i="2" s="1"/>
  <c r="L862" i="2"/>
  <c r="M862" i="2" s="1"/>
  <c r="L866" i="2"/>
  <c r="M866" i="2" s="1"/>
  <c r="L870" i="2"/>
  <c r="M870" i="2" s="1"/>
  <c r="L874" i="2"/>
  <c r="M874" i="2" s="1"/>
  <c r="L878" i="2"/>
  <c r="M878" i="2" s="1"/>
  <c r="L882" i="2"/>
  <c r="M882" i="2" s="1"/>
  <c r="L886" i="2"/>
  <c r="M886" i="2" s="1"/>
  <c r="L890" i="2"/>
  <c r="M890" i="2" s="1"/>
  <c r="L894" i="2"/>
  <c r="M894" i="2" s="1"/>
  <c r="L898" i="2"/>
  <c r="M898" i="2" s="1"/>
  <c r="L902" i="2"/>
  <c r="M902" i="2" s="1"/>
  <c r="L906" i="2"/>
  <c r="M906" i="2" s="1"/>
  <c r="L910" i="2"/>
  <c r="M910" i="2" s="1"/>
  <c r="L914" i="2"/>
  <c r="M914" i="2" s="1"/>
  <c r="L918" i="2"/>
  <c r="M918" i="2" s="1"/>
  <c r="L922" i="2"/>
  <c r="M922" i="2" s="1"/>
  <c r="L926" i="2"/>
  <c r="M926" i="2" s="1"/>
  <c r="L930" i="2"/>
  <c r="M930" i="2" s="1"/>
  <c r="L934" i="2"/>
  <c r="M934" i="2" s="1"/>
  <c r="L938" i="2"/>
  <c r="M938" i="2" s="1"/>
  <c r="L942" i="2"/>
  <c r="M942" i="2" s="1"/>
  <c r="L946" i="2"/>
  <c r="M946" i="2" s="1"/>
  <c r="L950" i="2"/>
  <c r="M950" i="2" s="1"/>
  <c r="L954" i="2"/>
  <c r="M954" i="2" s="1"/>
  <c r="L958" i="2"/>
  <c r="M958" i="2" s="1"/>
  <c r="L962" i="2"/>
  <c r="M962" i="2" s="1"/>
  <c r="L966" i="2"/>
  <c r="M966" i="2" s="1"/>
  <c r="L970" i="2"/>
  <c r="M970" i="2" s="1"/>
  <c r="L974" i="2"/>
  <c r="M974" i="2" s="1"/>
  <c r="L978" i="2"/>
  <c r="M978" i="2" s="1"/>
  <c r="L982" i="2"/>
  <c r="M982" i="2" s="1"/>
  <c r="L986" i="2"/>
  <c r="M986" i="2" s="1"/>
  <c r="L990" i="2"/>
  <c r="M990" i="2" s="1"/>
  <c r="L994" i="2"/>
  <c r="M994" i="2" s="1"/>
  <c r="L998" i="2"/>
  <c r="M998" i="2" s="1"/>
  <c r="L1002" i="2"/>
  <c r="M1002" i="2" s="1"/>
  <c r="L1006" i="2"/>
  <c r="M1006" i="2" s="1"/>
  <c r="L1010" i="2"/>
  <c r="M1010" i="2" s="1"/>
  <c r="L1014" i="2"/>
  <c r="M1014" i="2" s="1"/>
  <c r="L1018" i="2"/>
  <c r="M1018" i="2" s="1"/>
  <c r="L1022" i="2"/>
  <c r="M1022" i="2" s="1"/>
  <c r="L1026" i="2"/>
  <c r="M1026" i="2" s="1"/>
  <c r="L1030" i="2"/>
  <c r="M1030" i="2" s="1"/>
  <c r="L1034" i="2"/>
  <c r="M1034" i="2" s="1"/>
  <c r="L1038" i="2"/>
  <c r="M1038" i="2" s="1"/>
  <c r="L1042" i="2"/>
  <c r="M1042" i="2" s="1"/>
  <c r="L1046" i="2"/>
  <c r="M1046" i="2" s="1"/>
  <c r="L1050" i="2"/>
  <c r="M1050" i="2" s="1"/>
  <c r="L1054" i="2"/>
  <c r="M1054" i="2" s="1"/>
  <c r="L1058" i="2"/>
  <c r="M1058" i="2" s="1"/>
  <c r="L1062" i="2"/>
  <c r="M1062" i="2" s="1"/>
  <c r="L1066" i="2"/>
  <c r="M1066" i="2" s="1"/>
  <c r="L1070" i="2"/>
  <c r="M1070" i="2" s="1"/>
  <c r="L1074" i="2"/>
  <c r="M1074" i="2" s="1"/>
  <c r="L1078" i="2"/>
  <c r="M1078" i="2" s="1"/>
  <c r="L1082" i="2"/>
  <c r="M1082" i="2" s="1"/>
  <c r="L1086" i="2"/>
  <c r="M1086" i="2" s="1"/>
  <c r="L1090" i="2"/>
  <c r="M1090" i="2" s="1"/>
  <c r="L1094" i="2"/>
  <c r="M1094" i="2" s="1"/>
  <c r="L1098" i="2"/>
  <c r="M1098" i="2" s="1"/>
  <c r="L1102" i="2"/>
  <c r="M1102" i="2" s="1"/>
  <c r="L1106" i="2"/>
  <c r="M1106" i="2" s="1"/>
  <c r="L1110" i="2"/>
  <c r="M1110" i="2" s="1"/>
  <c r="L1114" i="2"/>
  <c r="M1114" i="2" s="1"/>
  <c r="L1118" i="2"/>
  <c r="M1118" i="2" s="1"/>
  <c r="L1122" i="2"/>
  <c r="M1122" i="2" s="1"/>
  <c r="L1126" i="2"/>
  <c r="M1126" i="2" s="1"/>
  <c r="L1130" i="2"/>
  <c r="M1130" i="2" s="1"/>
  <c r="L1134" i="2"/>
  <c r="M1134" i="2" s="1"/>
  <c r="L1138" i="2"/>
  <c r="M1138" i="2" s="1"/>
  <c r="L1142" i="2"/>
  <c r="M1142" i="2" s="1"/>
  <c r="L1146" i="2"/>
  <c r="M1146" i="2" s="1"/>
  <c r="L1150" i="2"/>
  <c r="M1150" i="2" s="1"/>
  <c r="L1154" i="2"/>
  <c r="M1154" i="2" s="1"/>
  <c r="L1158" i="2"/>
  <c r="M1158" i="2" s="1"/>
  <c r="L1162" i="2"/>
  <c r="M1162" i="2" s="1"/>
  <c r="L1166" i="2"/>
  <c r="M1166" i="2" s="1"/>
  <c r="L1170" i="2"/>
  <c r="M1170" i="2" s="1"/>
  <c r="L1174" i="2"/>
  <c r="M1174" i="2" s="1"/>
  <c r="L1178" i="2"/>
  <c r="M1178" i="2" s="1"/>
  <c r="L1182" i="2"/>
  <c r="M1182" i="2" s="1"/>
  <c r="L1186" i="2"/>
  <c r="M1186" i="2" s="1"/>
  <c r="L1190" i="2"/>
  <c r="M1190" i="2" s="1"/>
  <c r="L1194" i="2"/>
  <c r="M1194" i="2" s="1"/>
  <c r="L1198" i="2"/>
  <c r="M1198" i="2" s="1"/>
  <c r="L1202" i="2"/>
  <c r="M1202" i="2" s="1"/>
  <c r="L1206" i="2"/>
  <c r="M1206" i="2" s="1"/>
  <c r="L1210" i="2"/>
  <c r="M1210" i="2" s="1"/>
  <c r="L1214" i="2"/>
  <c r="M1214" i="2" s="1"/>
  <c r="L1218" i="2"/>
  <c r="M1218" i="2" s="1"/>
  <c r="L1222" i="2"/>
  <c r="M1222" i="2" s="1"/>
  <c r="L1226" i="2"/>
  <c r="M1226" i="2" s="1"/>
  <c r="L1230" i="2"/>
  <c r="M1230" i="2" s="1"/>
  <c r="L1234" i="2"/>
  <c r="M1234" i="2" s="1"/>
  <c r="L1238" i="2"/>
  <c r="M1238" i="2" s="1"/>
  <c r="L1242" i="2"/>
  <c r="M1242" i="2" s="1"/>
  <c r="L1246" i="2"/>
  <c r="M1246" i="2" s="1"/>
  <c r="L1250" i="2"/>
  <c r="M1250" i="2" s="1"/>
  <c r="L1254" i="2"/>
  <c r="M1254" i="2" s="1"/>
  <c r="L1258" i="2"/>
  <c r="M1258" i="2" s="1"/>
  <c r="L1262" i="2"/>
  <c r="M1262" i="2" s="1"/>
  <c r="L1266" i="2"/>
  <c r="M1266" i="2" s="1"/>
  <c r="L1270" i="2"/>
  <c r="M1270" i="2" s="1"/>
  <c r="L1274" i="2"/>
  <c r="M1274" i="2" s="1"/>
  <c r="L1278" i="2"/>
  <c r="M1278" i="2" s="1"/>
  <c r="L1282" i="2"/>
  <c r="M1282" i="2" s="1"/>
  <c r="L1286" i="2"/>
  <c r="M1286" i="2" s="1"/>
  <c r="L1290" i="2"/>
  <c r="M1290" i="2" s="1"/>
  <c r="L1294" i="2"/>
  <c r="M1294" i="2" s="1"/>
  <c r="L1298" i="2"/>
  <c r="M1298" i="2" s="1"/>
  <c r="L1302" i="2"/>
  <c r="M1302" i="2" s="1"/>
  <c r="L1306" i="2"/>
  <c r="M1306" i="2" s="1"/>
  <c r="L1310" i="2"/>
  <c r="M1310" i="2" s="1"/>
  <c r="L1314" i="2"/>
  <c r="M1314" i="2" s="1"/>
  <c r="L1318" i="2"/>
  <c r="M1318" i="2" s="1"/>
  <c r="L1322" i="2"/>
  <c r="M1322" i="2" s="1"/>
  <c r="L1326" i="2"/>
  <c r="M1326" i="2" s="1"/>
  <c r="L1330" i="2"/>
  <c r="M1330" i="2" s="1"/>
  <c r="L1334" i="2"/>
  <c r="M1334" i="2" s="1"/>
  <c r="L1338" i="2"/>
  <c r="M1338" i="2" s="1"/>
  <c r="L1342" i="2"/>
  <c r="M1342" i="2" s="1"/>
  <c r="L1346" i="2"/>
  <c r="M1346" i="2" s="1"/>
  <c r="L1350" i="2"/>
  <c r="M1350" i="2" s="1"/>
  <c r="L1354" i="2"/>
  <c r="M1354" i="2" s="1"/>
  <c r="L1358" i="2"/>
  <c r="M1358" i="2" s="1"/>
  <c r="L1362" i="2"/>
  <c r="M1362" i="2" s="1"/>
  <c r="L1366" i="2"/>
  <c r="M1366" i="2" s="1"/>
  <c r="L1370" i="2"/>
  <c r="M1370" i="2" s="1"/>
  <c r="L1374" i="2"/>
  <c r="M1374" i="2" s="1"/>
  <c r="L1378" i="2"/>
  <c r="M1378" i="2" s="1"/>
  <c r="L1382" i="2"/>
  <c r="M1382" i="2" s="1"/>
  <c r="L1386" i="2"/>
  <c r="M1386" i="2" s="1"/>
  <c r="L1390" i="2"/>
  <c r="M1390" i="2" s="1"/>
  <c r="L1394" i="2"/>
  <c r="M1394" i="2" s="1"/>
  <c r="L1398" i="2"/>
  <c r="M1398" i="2" s="1"/>
  <c r="L1402" i="2"/>
  <c r="M1402" i="2" s="1"/>
  <c r="L1406" i="2"/>
  <c r="M1406" i="2" s="1"/>
  <c r="L1410" i="2"/>
  <c r="M1410" i="2" s="1"/>
  <c r="L1414" i="2"/>
  <c r="M1414" i="2" s="1"/>
  <c r="L1418" i="2"/>
  <c r="M1418" i="2" s="1"/>
  <c r="L1422" i="2"/>
  <c r="M1422" i="2" s="1"/>
  <c r="L1426" i="2"/>
  <c r="M1426" i="2" s="1"/>
  <c r="L1430" i="2"/>
  <c r="M1430" i="2" s="1"/>
  <c r="L1434" i="2"/>
  <c r="M1434" i="2" s="1"/>
  <c r="L1438" i="2"/>
  <c r="M1438" i="2" s="1"/>
  <c r="L1442" i="2"/>
  <c r="M1442" i="2" s="1"/>
  <c r="L1446" i="2"/>
  <c r="M1446" i="2" s="1"/>
  <c r="L1450" i="2"/>
  <c r="M1450" i="2" s="1"/>
  <c r="L1454" i="2"/>
  <c r="M1454" i="2" s="1"/>
  <c r="L1458" i="2"/>
  <c r="M1458" i="2" s="1"/>
  <c r="L1462" i="2"/>
  <c r="M1462" i="2" s="1"/>
  <c r="L1466" i="2"/>
  <c r="M1466" i="2" s="1"/>
  <c r="L1470" i="2"/>
  <c r="M1470" i="2" s="1"/>
  <c r="L1474" i="2"/>
  <c r="M1474" i="2" s="1"/>
  <c r="L1478" i="2"/>
  <c r="M1478" i="2" s="1"/>
  <c r="L1482" i="2"/>
  <c r="M1482" i="2" s="1"/>
  <c r="L1486" i="2"/>
  <c r="M1486" i="2" s="1"/>
  <c r="L1490" i="2"/>
  <c r="M1490" i="2" s="1"/>
  <c r="L1494" i="2"/>
  <c r="M1494" i="2" s="1"/>
  <c r="L1498" i="2"/>
  <c r="M1498" i="2" s="1"/>
  <c r="L1502" i="2"/>
  <c r="M1502" i="2" s="1"/>
  <c r="L1506" i="2"/>
  <c r="M1506" i="2" s="1"/>
  <c r="L1510" i="2"/>
  <c r="M1510" i="2" s="1"/>
  <c r="L1514" i="2"/>
  <c r="M1514" i="2" s="1"/>
  <c r="L1518" i="2"/>
  <c r="M1518" i="2" s="1"/>
  <c r="L1522" i="2"/>
  <c r="M1522" i="2" s="1"/>
  <c r="L1526" i="2"/>
  <c r="M1526" i="2" s="1"/>
  <c r="L1530" i="2"/>
  <c r="M1530" i="2" s="1"/>
  <c r="L1534" i="2"/>
  <c r="M1534" i="2" s="1"/>
  <c r="L1538" i="2"/>
  <c r="M1538" i="2" s="1"/>
  <c r="L1542" i="2"/>
  <c r="M1542" i="2" s="1"/>
  <c r="L1546" i="2"/>
  <c r="M1546" i="2" s="1"/>
  <c r="L1550" i="2"/>
  <c r="M1550" i="2" s="1"/>
  <c r="L1554" i="2"/>
  <c r="M1554" i="2" s="1"/>
  <c r="L1558" i="2"/>
  <c r="M1558" i="2" s="1"/>
  <c r="L1562" i="2"/>
  <c r="M1562" i="2" s="1"/>
  <c r="L1566" i="2"/>
  <c r="M1566" i="2" s="1"/>
  <c r="L1570" i="2"/>
  <c r="M1570" i="2" s="1"/>
  <c r="L1574" i="2"/>
  <c r="M1574" i="2" s="1"/>
  <c r="L1578" i="2"/>
  <c r="M1578" i="2" s="1"/>
  <c r="L1582" i="2"/>
  <c r="M1582" i="2" s="1"/>
  <c r="L1586" i="2"/>
  <c r="M1586" i="2" s="1"/>
  <c r="L1590" i="2"/>
  <c r="M1590" i="2" s="1"/>
  <c r="L1594" i="2"/>
  <c r="M1594" i="2" s="1"/>
  <c r="L1598" i="2"/>
  <c r="M1598" i="2" s="1"/>
  <c r="L1602" i="2"/>
  <c r="M1602" i="2" s="1"/>
  <c r="L1606" i="2"/>
  <c r="M1606" i="2" s="1"/>
  <c r="L1610" i="2"/>
  <c r="M1610" i="2" s="1"/>
  <c r="L1614" i="2"/>
  <c r="M1614" i="2" s="1"/>
  <c r="L632" i="2"/>
  <c r="M632" i="2" s="1"/>
  <c r="L648" i="2"/>
  <c r="M648" i="2" s="1"/>
  <c r="L664" i="2"/>
  <c r="M664" i="2" s="1"/>
  <c r="L680" i="2"/>
  <c r="M680" i="2" s="1"/>
  <c r="L696" i="2"/>
  <c r="M696" i="2" s="1"/>
  <c r="L712" i="2"/>
  <c r="M712" i="2" s="1"/>
  <c r="L728" i="2"/>
  <c r="M728" i="2" s="1"/>
  <c r="L744" i="2"/>
  <c r="M744" i="2" s="1"/>
  <c r="L755" i="2"/>
  <c r="M755" i="2" s="1"/>
  <c r="L763" i="2"/>
  <c r="M763" i="2" s="1"/>
  <c r="L771" i="2"/>
  <c r="M771" i="2" s="1"/>
  <c r="L779" i="2"/>
  <c r="M779" i="2" s="1"/>
  <c r="L787" i="2"/>
  <c r="M787" i="2" s="1"/>
  <c r="L795" i="2"/>
  <c r="M795" i="2" s="1"/>
  <c r="L803" i="2"/>
  <c r="M803" i="2" s="1"/>
  <c r="L811" i="2"/>
  <c r="M811" i="2" s="1"/>
  <c r="L819" i="2"/>
  <c r="M819" i="2" s="1"/>
  <c r="L827" i="2"/>
  <c r="M827" i="2" s="1"/>
  <c r="L835" i="2"/>
  <c r="M835" i="2" s="1"/>
  <c r="L843" i="2"/>
  <c r="M843" i="2" s="1"/>
  <c r="L851" i="2"/>
  <c r="M851" i="2" s="1"/>
  <c r="L859" i="2"/>
  <c r="M859" i="2" s="1"/>
  <c r="L867" i="2"/>
  <c r="M867" i="2" s="1"/>
  <c r="L875" i="2"/>
  <c r="M875" i="2" s="1"/>
  <c r="L883" i="2"/>
  <c r="M883" i="2" s="1"/>
  <c r="L891" i="2"/>
  <c r="M891" i="2" s="1"/>
  <c r="L899" i="2"/>
  <c r="M899" i="2" s="1"/>
  <c r="L907" i="2"/>
  <c r="M907" i="2" s="1"/>
  <c r="L915" i="2"/>
  <c r="M915" i="2" s="1"/>
  <c r="L923" i="2"/>
  <c r="M923" i="2" s="1"/>
  <c r="L931" i="2"/>
  <c r="M931" i="2" s="1"/>
  <c r="L939" i="2"/>
  <c r="M939" i="2" s="1"/>
  <c r="L947" i="2"/>
  <c r="M947" i="2" s="1"/>
  <c r="L955" i="2"/>
  <c r="M955" i="2" s="1"/>
  <c r="L963" i="2"/>
  <c r="M963" i="2" s="1"/>
  <c r="L971" i="2"/>
  <c r="M971" i="2" s="1"/>
  <c r="L979" i="2"/>
  <c r="M979" i="2" s="1"/>
  <c r="L987" i="2"/>
  <c r="M987" i="2" s="1"/>
  <c r="L995" i="2"/>
  <c r="M995" i="2" s="1"/>
  <c r="L1003" i="2"/>
  <c r="M1003" i="2" s="1"/>
  <c r="L1011" i="2"/>
  <c r="M1011" i="2" s="1"/>
  <c r="L1019" i="2"/>
  <c r="M1019" i="2" s="1"/>
  <c r="L1027" i="2"/>
  <c r="M1027" i="2" s="1"/>
  <c r="L1035" i="2"/>
  <c r="M1035" i="2" s="1"/>
  <c r="L1043" i="2"/>
  <c r="M1043" i="2" s="1"/>
  <c r="L1051" i="2"/>
  <c r="M1051" i="2" s="1"/>
  <c r="L1059" i="2"/>
  <c r="M1059" i="2" s="1"/>
  <c r="L1067" i="2"/>
  <c r="M1067" i="2" s="1"/>
  <c r="L1075" i="2"/>
  <c r="M1075" i="2" s="1"/>
  <c r="L1083" i="2"/>
  <c r="M1083" i="2" s="1"/>
  <c r="L1091" i="2"/>
  <c r="M1091" i="2" s="1"/>
  <c r="L1099" i="2"/>
  <c r="M1099" i="2" s="1"/>
  <c r="L1107" i="2"/>
  <c r="M1107" i="2" s="1"/>
  <c r="L1115" i="2"/>
  <c r="M1115" i="2" s="1"/>
  <c r="L1123" i="2"/>
  <c r="M1123" i="2" s="1"/>
  <c r="L1131" i="2"/>
  <c r="M1131" i="2" s="1"/>
  <c r="L1139" i="2"/>
  <c r="M1139" i="2" s="1"/>
  <c r="L1147" i="2"/>
  <c r="M1147" i="2" s="1"/>
  <c r="L1155" i="2"/>
  <c r="M1155" i="2" s="1"/>
  <c r="L1163" i="2"/>
  <c r="M1163" i="2" s="1"/>
  <c r="L1171" i="2"/>
  <c r="M1171" i="2" s="1"/>
  <c r="L1179" i="2"/>
  <c r="M1179" i="2" s="1"/>
  <c r="L1187" i="2"/>
  <c r="M1187" i="2" s="1"/>
  <c r="L1195" i="2"/>
  <c r="M1195" i="2" s="1"/>
  <c r="L1203" i="2"/>
  <c r="M1203" i="2" s="1"/>
  <c r="L1211" i="2"/>
  <c r="M1211" i="2" s="1"/>
  <c r="L1219" i="2"/>
  <c r="M1219" i="2" s="1"/>
  <c r="L1227" i="2"/>
  <c r="M1227" i="2" s="1"/>
  <c r="L1235" i="2"/>
  <c r="M1235" i="2" s="1"/>
  <c r="L1243" i="2"/>
  <c r="M1243" i="2" s="1"/>
  <c r="L1251" i="2"/>
  <c r="M1251" i="2" s="1"/>
  <c r="L1259" i="2"/>
  <c r="M1259" i="2" s="1"/>
  <c r="L1267" i="2"/>
  <c r="M1267" i="2" s="1"/>
  <c r="L1275" i="2"/>
  <c r="M1275" i="2" s="1"/>
  <c r="L1283" i="2"/>
  <c r="M1283" i="2" s="1"/>
  <c r="L1291" i="2"/>
  <c r="M1291" i="2" s="1"/>
  <c r="L1299" i="2"/>
  <c r="M1299" i="2" s="1"/>
  <c r="L1307" i="2"/>
  <c r="M1307" i="2" s="1"/>
  <c r="L1315" i="2"/>
  <c r="M1315" i="2" s="1"/>
  <c r="L1323" i="2"/>
  <c r="M1323" i="2" s="1"/>
  <c r="L1331" i="2"/>
  <c r="M1331" i="2" s="1"/>
  <c r="L1339" i="2"/>
  <c r="M1339" i="2" s="1"/>
  <c r="L1347" i="2"/>
  <c r="M1347" i="2" s="1"/>
  <c r="L1355" i="2"/>
  <c r="M1355" i="2" s="1"/>
  <c r="L1363" i="2"/>
  <c r="M1363" i="2" s="1"/>
  <c r="L1371" i="2"/>
  <c r="M1371" i="2" s="1"/>
  <c r="L1379" i="2"/>
  <c r="M1379" i="2" s="1"/>
  <c r="L1387" i="2"/>
  <c r="M1387" i="2" s="1"/>
  <c r="L1395" i="2"/>
  <c r="M1395" i="2" s="1"/>
  <c r="L1403" i="2"/>
  <c r="M1403" i="2" s="1"/>
  <c r="L1411" i="2"/>
  <c r="M1411" i="2" s="1"/>
  <c r="L1419" i="2"/>
  <c r="M1419" i="2" s="1"/>
  <c r="L1427" i="2"/>
  <c r="M1427" i="2" s="1"/>
  <c r="L1435" i="2"/>
  <c r="M1435" i="2" s="1"/>
  <c r="L1443" i="2"/>
  <c r="M1443" i="2" s="1"/>
  <c r="L1451" i="2"/>
  <c r="M1451" i="2" s="1"/>
  <c r="L1459" i="2"/>
  <c r="M1459" i="2" s="1"/>
  <c r="L1467" i="2"/>
  <c r="M1467" i="2" s="1"/>
  <c r="L1475" i="2"/>
  <c r="M1475" i="2" s="1"/>
  <c r="L1483" i="2"/>
  <c r="M1483" i="2" s="1"/>
  <c r="L1491" i="2"/>
  <c r="M1491" i="2" s="1"/>
  <c r="L1499" i="2"/>
  <c r="M1499" i="2" s="1"/>
  <c r="L1507" i="2"/>
  <c r="M1507" i="2" s="1"/>
  <c r="L1515" i="2"/>
  <c r="M1515" i="2" s="1"/>
  <c r="L1523" i="2"/>
  <c r="M1523" i="2" s="1"/>
  <c r="L1531" i="2"/>
  <c r="M1531" i="2" s="1"/>
  <c r="L1539" i="2"/>
  <c r="M1539" i="2" s="1"/>
  <c r="L1547" i="2"/>
  <c r="M1547" i="2" s="1"/>
  <c r="L1555" i="2"/>
  <c r="M1555" i="2" s="1"/>
  <c r="L1563" i="2"/>
  <c r="M1563" i="2" s="1"/>
  <c r="L1571" i="2"/>
  <c r="M1571" i="2" s="1"/>
  <c r="L1579" i="2"/>
  <c r="M1579" i="2" s="1"/>
  <c r="L1587" i="2"/>
  <c r="M1587" i="2" s="1"/>
  <c r="L1595" i="2"/>
  <c r="M1595" i="2" s="1"/>
  <c r="L1603" i="2"/>
  <c r="M1603" i="2" s="1"/>
  <c r="L1611" i="2"/>
  <c r="M1611" i="2" s="1"/>
  <c r="L1616" i="2"/>
  <c r="M1616" i="2" s="1"/>
  <c r="L1620" i="2"/>
  <c r="M1620" i="2" s="1"/>
  <c r="L1624" i="2"/>
  <c r="M1624" i="2" s="1"/>
  <c r="L1628" i="2"/>
  <c r="M1628" i="2" s="1"/>
  <c r="L1632" i="2"/>
  <c r="M1632" i="2" s="1"/>
  <c r="L1636" i="2"/>
  <c r="M1636" i="2" s="1"/>
  <c r="L1640" i="2"/>
  <c r="M1640" i="2" s="1"/>
  <c r="L1644" i="2"/>
  <c r="M1644" i="2" s="1"/>
  <c r="L1648" i="2"/>
  <c r="M1648" i="2" s="1"/>
  <c r="L1652" i="2"/>
  <c r="M1652" i="2" s="1"/>
  <c r="L1656" i="2"/>
  <c r="M1656" i="2" s="1"/>
  <c r="L1660" i="2"/>
  <c r="M1660" i="2" s="1"/>
  <c r="L1664" i="2"/>
  <c r="M1664" i="2" s="1"/>
  <c r="L1668" i="2"/>
  <c r="M1668" i="2" s="1"/>
  <c r="L1672" i="2"/>
  <c r="M1672" i="2" s="1"/>
  <c r="L1676" i="2"/>
  <c r="M1676" i="2" s="1"/>
  <c r="L1680" i="2"/>
  <c r="M1680" i="2" s="1"/>
  <c r="L1684" i="2"/>
  <c r="M1684" i="2" s="1"/>
  <c r="L1688" i="2"/>
  <c r="M1688" i="2" s="1"/>
  <c r="L1692" i="2"/>
  <c r="M1692" i="2" s="1"/>
  <c r="L1696" i="2"/>
  <c r="M1696" i="2" s="1"/>
  <c r="L1700" i="2"/>
  <c r="M1700" i="2" s="1"/>
  <c r="L1704" i="2"/>
  <c r="M1704" i="2" s="1"/>
  <c r="L1708" i="2"/>
  <c r="M1708" i="2" s="1"/>
  <c r="L1712" i="2"/>
  <c r="M1712" i="2" s="1"/>
  <c r="L1716" i="2"/>
  <c r="M1716" i="2" s="1"/>
  <c r="L1720" i="2"/>
  <c r="M1720" i="2" s="1"/>
  <c r="L1724" i="2"/>
  <c r="M1724" i="2" s="1"/>
  <c r="L1728" i="2"/>
  <c r="M1728" i="2" s="1"/>
  <c r="L1732" i="2"/>
  <c r="M1732" i="2" s="1"/>
  <c r="L1736" i="2"/>
  <c r="M1736" i="2" s="1"/>
  <c r="L1740" i="2"/>
  <c r="M1740" i="2" s="1"/>
  <c r="L1744" i="2"/>
  <c r="M1744" i="2" s="1"/>
  <c r="L1748" i="2"/>
  <c r="M1748" i="2" s="1"/>
  <c r="L1752" i="2"/>
  <c r="M1752" i="2" s="1"/>
  <c r="L1756" i="2"/>
  <c r="M1756" i="2" s="1"/>
  <c r="L1760" i="2"/>
  <c r="M1760" i="2" s="1"/>
  <c r="L1764" i="2"/>
  <c r="M1764" i="2" s="1"/>
  <c r="L1768" i="2"/>
  <c r="M1768" i="2" s="1"/>
  <c r="L1772" i="2"/>
  <c r="M1772" i="2" s="1"/>
  <c r="L1776" i="2"/>
  <c r="M1776" i="2" s="1"/>
  <c r="L1780" i="2"/>
  <c r="M1780" i="2" s="1"/>
  <c r="L1784" i="2"/>
  <c r="M1784" i="2" s="1"/>
  <c r="L1788" i="2"/>
  <c r="M1788" i="2" s="1"/>
  <c r="L1792" i="2"/>
  <c r="M1792" i="2" s="1"/>
  <c r="L1796" i="2"/>
  <c r="M1796" i="2" s="1"/>
  <c r="L1800" i="2"/>
  <c r="M1800" i="2" s="1"/>
  <c r="L1804" i="2"/>
  <c r="M1804" i="2" s="1"/>
  <c r="L1808" i="2"/>
  <c r="M1808" i="2" s="1"/>
  <c r="L1812" i="2"/>
  <c r="M1812" i="2" s="1"/>
  <c r="L1816" i="2"/>
  <c r="M1816" i="2" s="1"/>
  <c r="L1820" i="2"/>
  <c r="M1820" i="2" s="1"/>
  <c r="L1824" i="2"/>
  <c r="M1824" i="2" s="1"/>
  <c r="L1828" i="2"/>
  <c r="M1828" i="2" s="1"/>
  <c r="L1832" i="2"/>
  <c r="M1832" i="2" s="1"/>
  <c r="L1836" i="2"/>
  <c r="M1836" i="2" s="1"/>
  <c r="L1840" i="2"/>
  <c r="M1840" i="2" s="1"/>
  <c r="L1844" i="2"/>
  <c r="M1844" i="2" s="1"/>
  <c r="L1848" i="2"/>
  <c r="M1848" i="2" s="1"/>
  <c r="L1852" i="2"/>
  <c r="M1852" i="2" s="1"/>
  <c r="L1856" i="2"/>
  <c r="M1856" i="2" s="1"/>
  <c r="L1860" i="2"/>
  <c r="M1860" i="2" s="1"/>
  <c r="L1864" i="2"/>
  <c r="M1864" i="2" s="1"/>
  <c r="L1868" i="2"/>
  <c r="M1868" i="2" s="1"/>
  <c r="L1872" i="2"/>
  <c r="M1872" i="2" s="1"/>
  <c r="L1876" i="2"/>
  <c r="M1876" i="2" s="1"/>
  <c r="L1880" i="2"/>
  <c r="M1880" i="2" s="1"/>
  <c r="L1884" i="2"/>
  <c r="M1884" i="2" s="1"/>
  <c r="L1888" i="2"/>
  <c r="M1888" i="2" s="1"/>
  <c r="L1892" i="2"/>
  <c r="M1892" i="2" s="1"/>
  <c r="L1896" i="2"/>
  <c r="M1896" i="2" s="1"/>
  <c r="L1900" i="2"/>
  <c r="M1900" i="2" s="1"/>
  <c r="L1904" i="2"/>
  <c r="M1904" i="2" s="1"/>
  <c r="L1908" i="2"/>
  <c r="M1908" i="2" s="1"/>
  <c r="L1912" i="2"/>
  <c r="M1912" i="2" s="1"/>
  <c r="L1916" i="2"/>
  <c r="M1916" i="2" s="1"/>
  <c r="L1920" i="2"/>
  <c r="M1920" i="2" s="1"/>
  <c r="L1924" i="2"/>
  <c r="M1924" i="2" s="1"/>
  <c r="L1928" i="2"/>
  <c r="M1928" i="2" s="1"/>
  <c r="L1932" i="2"/>
  <c r="M1932" i="2" s="1"/>
  <c r="L1936" i="2"/>
  <c r="M1936" i="2" s="1"/>
  <c r="L1940" i="2"/>
  <c r="M1940" i="2" s="1"/>
  <c r="L1944" i="2"/>
  <c r="M1944" i="2" s="1"/>
  <c r="L1948" i="2"/>
  <c r="M1948" i="2" s="1"/>
  <c r="L1952" i="2"/>
  <c r="M1952" i="2" s="1"/>
  <c r="L1956" i="2"/>
  <c r="M1956" i="2" s="1"/>
  <c r="L1960" i="2"/>
  <c r="M1960" i="2" s="1"/>
  <c r="L1964" i="2"/>
  <c r="M1964" i="2" s="1"/>
  <c r="L1968" i="2"/>
  <c r="M1968" i="2" s="1"/>
  <c r="L1972" i="2"/>
  <c r="M1972" i="2" s="1"/>
  <c r="L1976" i="2"/>
  <c r="M1976" i="2" s="1"/>
  <c r="L1980" i="2"/>
  <c r="M1980" i="2" s="1"/>
  <c r="L1984" i="2"/>
  <c r="M1984" i="2" s="1"/>
  <c r="L1988" i="2"/>
  <c r="M1988" i="2" s="1"/>
  <c r="L1992" i="2"/>
  <c r="M1992" i="2" s="1"/>
  <c r="L1996" i="2"/>
  <c r="M1996" i="2" s="1"/>
  <c r="L2000" i="2"/>
  <c r="M2000" i="2" s="1"/>
  <c r="L2004" i="2"/>
  <c r="M2004" i="2" s="1"/>
  <c r="L2008" i="2"/>
  <c r="M2008" i="2" s="1"/>
  <c r="L2012" i="2"/>
  <c r="M2012" i="2" s="1"/>
  <c r="L2016" i="2"/>
  <c r="M2016" i="2" s="1"/>
  <c r="L2020" i="2"/>
  <c r="M2020" i="2" s="1"/>
  <c r="L2024" i="2"/>
  <c r="M2024" i="2" s="1"/>
  <c r="L2028" i="2"/>
  <c r="M2028" i="2" s="1"/>
  <c r="L2032" i="2"/>
  <c r="M2032" i="2" s="1"/>
  <c r="L2036" i="2"/>
  <c r="M2036" i="2" s="1"/>
  <c r="L2040" i="2"/>
  <c r="M2040" i="2" s="1"/>
  <c r="L2044" i="2"/>
  <c r="M2044" i="2" s="1"/>
  <c r="L2048" i="2"/>
  <c r="M2048" i="2" s="1"/>
  <c r="L2052" i="2"/>
  <c r="M2052" i="2" s="1"/>
  <c r="L2056" i="2"/>
  <c r="M2056" i="2" s="1"/>
  <c r="L2060" i="2"/>
  <c r="M2060" i="2" s="1"/>
  <c r="L2064" i="2"/>
  <c r="M2064" i="2" s="1"/>
  <c r="L2068" i="2"/>
  <c r="M2068" i="2" s="1"/>
  <c r="L2072" i="2"/>
  <c r="M2072" i="2" s="1"/>
  <c r="L2076" i="2"/>
  <c r="M2076" i="2" s="1"/>
  <c r="L2080" i="2"/>
  <c r="M2080" i="2" s="1"/>
  <c r="L2084" i="2"/>
  <c r="M2084" i="2" s="1"/>
  <c r="L2088" i="2"/>
  <c r="M2088" i="2" s="1"/>
  <c r="L2092" i="2"/>
  <c r="M2092" i="2" s="1"/>
  <c r="L2096" i="2"/>
  <c r="M2096" i="2" s="1"/>
  <c r="L2100" i="2"/>
  <c r="M2100" i="2" s="1"/>
  <c r="L2104" i="2"/>
  <c r="M2104" i="2" s="1"/>
  <c r="L2108" i="2"/>
  <c r="M2108" i="2" s="1"/>
  <c r="L2112" i="2"/>
  <c r="M2112" i="2" s="1"/>
  <c r="L2116" i="2"/>
  <c r="M2116" i="2" s="1"/>
  <c r="L2120" i="2"/>
  <c r="M2120" i="2" s="1"/>
  <c r="L2124" i="2"/>
  <c r="M2124" i="2" s="1"/>
  <c r="L2128" i="2"/>
  <c r="M2128" i="2" s="1"/>
  <c r="L2132" i="2"/>
  <c r="M2132" i="2" s="1"/>
  <c r="L2136" i="2"/>
  <c r="M2136" i="2" s="1"/>
  <c r="L2140" i="2"/>
  <c r="M2140" i="2" s="1"/>
  <c r="L2144" i="2"/>
  <c r="M2144" i="2" s="1"/>
  <c r="L2148" i="2"/>
  <c r="M2148" i="2" s="1"/>
  <c r="L2152" i="2"/>
  <c r="M2152" i="2" s="1"/>
  <c r="L2156" i="2"/>
  <c r="M2156" i="2" s="1"/>
  <c r="L2160" i="2"/>
  <c r="M2160" i="2" s="1"/>
  <c r="L2164" i="2"/>
  <c r="M2164" i="2" s="1"/>
  <c r="L2168" i="2"/>
  <c r="M2168" i="2" s="1"/>
  <c r="L2172" i="2"/>
  <c r="M2172" i="2" s="1"/>
  <c r="L2176" i="2"/>
  <c r="M2176" i="2" s="1"/>
  <c r="L2180" i="2"/>
  <c r="M2180" i="2" s="1"/>
  <c r="L2184" i="2"/>
  <c r="M2184" i="2" s="1"/>
  <c r="L2188" i="2"/>
  <c r="M2188" i="2" s="1"/>
  <c r="L2192" i="2"/>
  <c r="M2192" i="2" s="1"/>
  <c r="L2196" i="2"/>
  <c r="M2196" i="2" s="1"/>
  <c r="L2200" i="2"/>
  <c r="M2200" i="2" s="1"/>
  <c r="L2204" i="2"/>
  <c r="M2204" i="2" s="1"/>
  <c r="L2208" i="2"/>
  <c r="M2208" i="2" s="1"/>
  <c r="L2212" i="2"/>
  <c r="M2212" i="2" s="1"/>
  <c r="L2216" i="2"/>
  <c r="M2216" i="2" s="1"/>
  <c r="L2220" i="2"/>
  <c r="M2220" i="2" s="1"/>
  <c r="L2224" i="2"/>
  <c r="M2224" i="2" s="1"/>
  <c r="L2228" i="2"/>
  <c r="M2228" i="2" s="1"/>
  <c r="L2232" i="2"/>
  <c r="M2232" i="2" s="1"/>
  <c r="L2236" i="2"/>
  <c r="M2236" i="2" s="1"/>
  <c r="L2240" i="2"/>
  <c r="M2240" i="2" s="1"/>
  <c r="L2244" i="2"/>
  <c r="M2244" i="2" s="1"/>
  <c r="L2248" i="2"/>
  <c r="M2248" i="2" s="1"/>
  <c r="L2252" i="2"/>
  <c r="M2252" i="2" s="1"/>
  <c r="L2256" i="2"/>
  <c r="M2256" i="2" s="1"/>
  <c r="L2260" i="2"/>
  <c r="M2260" i="2" s="1"/>
  <c r="L2264" i="2"/>
  <c r="M2264" i="2" s="1"/>
  <c r="L2268" i="2"/>
  <c r="M2268" i="2" s="1"/>
  <c r="L2272" i="2"/>
  <c r="M2272" i="2" s="1"/>
  <c r="L2276" i="2"/>
  <c r="M2276" i="2" s="1"/>
  <c r="L2280" i="2"/>
  <c r="M2280" i="2" s="1"/>
  <c r="L2284" i="2"/>
  <c r="M2284" i="2" s="1"/>
  <c r="L2288" i="2"/>
  <c r="M2288" i="2" s="1"/>
  <c r="L2292" i="2"/>
  <c r="M2292" i="2" s="1"/>
  <c r="L2296" i="2"/>
  <c r="M2296" i="2" s="1"/>
  <c r="L2300" i="2"/>
  <c r="M2300" i="2" s="1"/>
  <c r="L2304" i="2"/>
  <c r="M2304" i="2" s="1"/>
  <c r="L2308" i="2"/>
  <c r="M2308" i="2" s="1"/>
  <c r="L2312" i="2"/>
  <c r="M2312" i="2" s="1"/>
  <c r="L2316" i="2"/>
  <c r="M2316" i="2" s="1"/>
  <c r="L2320" i="2"/>
  <c r="M2320" i="2" s="1"/>
  <c r="L2324" i="2"/>
  <c r="M2324" i="2" s="1"/>
  <c r="L2328" i="2"/>
  <c r="M2328" i="2" s="1"/>
  <c r="L2332" i="2"/>
  <c r="M2332" i="2" s="1"/>
  <c r="L2336" i="2"/>
  <c r="M2336" i="2" s="1"/>
  <c r="L2340" i="2"/>
  <c r="M2340" i="2" s="1"/>
  <c r="L2344" i="2"/>
  <c r="M2344" i="2" s="1"/>
  <c r="L2348" i="2"/>
  <c r="M2348" i="2" s="1"/>
  <c r="L2352" i="2"/>
  <c r="M2352" i="2" s="1"/>
  <c r="L2356" i="2"/>
  <c r="M2356" i="2" s="1"/>
  <c r="L2360" i="2"/>
  <c r="M2360" i="2" s="1"/>
  <c r="L2364" i="2"/>
  <c r="M2364" i="2" s="1"/>
  <c r="L2368" i="2"/>
  <c r="M2368" i="2" s="1"/>
  <c r="L2372" i="2"/>
  <c r="M2372" i="2" s="1"/>
  <c r="L2376" i="2"/>
  <c r="M2376" i="2" s="1"/>
  <c r="L2380" i="2"/>
  <c r="M2380" i="2" s="1"/>
  <c r="L2384" i="2"/>
  <c r="M2384" i="2" s="1"/>
  <c r="L2388" i="2"/>
  <c r="M2388" i="2" s="1"/>
  <c r="L2392" i="2"/>
  <c r="M2392" i="2" s="1"/>
  <c r="L2396" i="2"/>
  <c r="M2396" i="2" s="1"/>
  <c r="L2400" i="2"/>
  <c r="M2400" i="2" s="1"/>
  <c r="L2404" i="2"/>
  <c r="M2404" i="2" s="1"/>
  <c r="L2408" i="2"/>
  <c r="M2408" i="2" s="1"/>
  <c r="L2412" i="2"/>
  <c r="M2412" i="2" s="1"/>
  <c r="L2416" i="2"/>
  <c r="M2416" i="2" s="1"/>
  <c r="L2420" i="2"/>
  <c r="M2420" i="2" s="1"/>
  <c r="L2424" i="2"/>
  <c r="M2424" i="2" s="1"/>
  <c r="L2428" i="2"/>
  <c r="M2428" i="2" s="1"/>
  <c r="L2432" i="2"/>
  <c r="M2432" i="2" s="1"/>
  <c r="L2436" i="2"/>
  <c r="M2436" i="2" s="1"/>
  <c r="L2440" i="2"/>
  <c r="M2440" i="2" s="1"/>
  <c r="L2444" i="2"/>
  <c r="M2444" i="2" s="1"/>
  <c r="L2448" i="2"/>
  <c r="M2448" i="2" s="1"/>
  <c r="L2452" i="2"/>
  <c r="M2452" i="2" s="1"/>
  <c r="L2456" i="2"/>
  <c r="M2456" i="2" s="1"/>
  <c r="L2460" i="2"/>
  <c r="M2460" i="2" s="1"/>
  <c r="L2464" i="2"/>
  <c r="M2464" i="2" s="1"/>
  <c r="L2468" i="2"/>
  <c r="M2468" i="2" s="1"/>
  <c r="L2472" i="2"/>
  <c r="M2472" i="2" s="1"/>
  <c r="L2476" i="2"/>
  <c r="M2476" i="2" s="1"/>
  <c r="L2480" i="2"/>
  <c r="M2480" i="2" s="1"/>
  <c r="L2484" i="2"/>
  <c r="M2484" i="2" s="1"/>
  <c r="L2488" i="2"/>
  <c r="M2488" i="2" s="1"/>
  <c r="L2492" i="2"/>
  <c r="M2492" i="2" s="1"/>
  <c r="L2496" i="2"/>
  <c r="M2496" i="2" s="1"/>
  <c r="L2500" i="2"/>
  <c r="M2500" i="2" s="1"/>
  <c r="L2504" i="2"/>
  <c r="M2504" i="2" s="1"/>
  <c r="L2508" i="2"/>
  <c r="M2508" i="2" s="1"/>
  <c r="L2512" i="2"/>
  <c r="M2512" i="2" s="1"/>
  <c r="L2516" i="2"/>
  <c r="M2516" i="2" s="1"/>
  <c r="L2520" i="2"/>
  <c r="M2520" i="2" s="1"/>
  <c r="L2524" i="2"/>
  <c r="M2524" i="2" s="1"/>
  <c r="L2528" i="2"/>
  <c r="M2528" i="2" s="1"/>
  <c r="L2532" i="2"/>
  <c r="M2532" i="2" s="1"/>
  <c r="L2536" i="2"/>
  <c r="M2536" i="2" s="1"/>
  <c r="L2540" i="2"/>
  <c r="M2540" i="2" s="1"/>
  <c r="L2544" i="2"/>
  <c r="M2544" i="2" s="1"/>
  <c r="L2548" i="2"/>
  <c r="M2548" i="2" s="1"/>
  <c r="L2552" i="2"/>
  <c r="M2552" i="2" s="1"/>
  <c r="L2556" i="2"/>
  <c r="M2556" i="2" s="1"/>
  <c r="L2560" i="2"/>
  <c r="M2560" i="2" s="1"/>
  <c r="L2564" i="2"/>
  <c r="M2564" i="2" s="1"/>
  <c r="L2568" i="2"/>
  <c r="M2568" i="2" s="1"/>
  <c r="L2572" i="2"/>
  <c r="M2572" i="2" s="1"/>
  <c r="L2576" i="2"/>
  <c r="M2576" i="2" s="1"/>
  <c r="L2580" i="2"/>
  <c r="M2580" i="2" s="1"/>
  <c r="L2584" i="2"/>
  <c r="M2584" i="2" s="1"/>
  <c r="L2588" i="2"/>
  <c r="M2588" i="2" s="1"/>
  <c r="L2592" i="2"/>
  <c r="M2592" i="2" s="1"/>
  <c r="L2596" i="2"/>
  <c r="M2596" i="2" s="1"/>
  <c r="L2600" i="2"/>
  <c r="M2600" i="2" s="1"/>
  <c r="L2604" i="2"/>
  <c r="M2604" i="2" s="1"/>
  <c r="L2608" i="2"/>
  <c r="M2608" i="2" s="1"/>
  <c r="L2612" i="2"/>
  <c r="M2612" i="2" s="1"/>
  <c r="L2616" i="2"/>
  <c r="M2616" i="2" s="1"/>
  <c r="L2620" i="2"/>
  <c r="M2620" i="2" s="1"/>
  <c r="L2624" i="2"/>
  <c r="M2624" i="2" s="1"/>
  <c r="L2628" i="2"/>
  <c r="M2628" i="2" s="1"/>
  <c r="L2632" i="2"/>
  <c r="M2632" i="2" s="1"/>
  <c r="L2636" i="2"/>
  <c r="M2636" i="2" s="1"/>
  <c r="L2640" i="2"/>
  <c r="M2640" i="2" s="1"/>
  <c r="L2644" i="2"/>
  <c r="M2644" i="2" s="1"/>
  <c r="L2648" i="2"/>
  <c r="M2648" i="2" s="1"/>
  <c r="L2652" i="2"/>
  <c r="M2652" i="2" s="1"/>
  <c r="L2656" i="2"/>
  <c r="M2656" i="2" s="1"/>
  <c r="L2660" i="2"/>
  <c r="M2660" i="2" s="1"/>
  <c r="L2664" i="2"/>
  <c r="M2664" i="2" s="1"/>
  <c r="L2668" i="2"/>
  <c r="M2668" i="2" s="1"/>
  <c r="L2672" i="2"/>
  <c r="M2672" i="2" s="1"/>
  <c r="L2676" i="2"/>
  <c r="M2676" i="2" s="1"/>
  <c r="L2680" i="2"/>
  <c r="M2680" i="2" s="1"/>
  <c r="L2684" i="2"/>
  <c r="M2684" i="2" s="1"/>
  <c r="L2688" i="2"/>
  <c r="M2688" i="2" s="1"/>
  <c r="L2692" i="2"/>
  <c r="M2692" i="2" s="1"/>
  <c r="L2696" i="2"/>
  <c r="M2696" i="2" s="1"/>
  <c r="L2700" i="2"/>
  <c r="M2700" i="2" s="1"/>
  <c r="L2704" i="2"/>
  <c r="M2704" i="2" s="1"/>
  <c r="L2708" i="2"/>
  <c r="M2708" i="2" s="1"/>
  <c r="L2712" i="2"/>
  <c r="M2712" i="2" s="1"/>
  <c r="L2716" i="2"/>
  <c r="M2716" i="2" s="1"/>
  <c r="L2720" i="2"/>
  <c r="M2720" i="2" s="1"/>
  <c r="L2724" i="2"/>
  <c r="M2724" i="2" s="1"/>
  <c r="L2728" i="2"/>
  <c r="M2728" i="2" s="1"/>
  <c r="L2732" i="2"/>
  <c r="M2732" i="2" s="1"/>
  <c r="L2736" i="2"/>
  <c r="M2736" i="2" s="1"/>
  <c r="L2740" i="2"/>
  <c r="M2740" i="2" s="1"/>
  <c r="L2744" i="2"/>
  <c r="M2744" i="2" s="1"/>
  <c r="L2748" i="2"/>
  <c r="M2748" i="2" s="1"/>
  <c r="L2752" i="2"/>
  <c r="M2752" i="2" s="1"/>
  <c r="L2756" i="2"/>
  <c r="M2756" i="2" s="1"/>
  <c r="L2760" i="2"/>
  <c r="M2760" i="2" s="1"/>
  <c r="L2764" i="2"/>
  <c r="M2764" i="2" s="1"/>
  <c r="L2768" i="2"/>
  <c r="M2768" i="2" s="1"/>
  <c r="L2772" i="2"/>
  <c r="M2772" i="2" s="1"/>
  <c r="L2776" i="2"/>
  <c r="M2776" i="2" s="1"/>
  <c r="L2780" i="2"/>
  <c r="M2780" i="2" s="1"/>
  <c r="L2784" i="2"/>
  <c r="M2784" i="2" s="1"/>
  <c r="L2788" i="2"/>
  <c r="M2788" i="2" s="1"/>
  <c r="L2792" i="2"/>
  <c r="M2792" i="2" s="1"/>
  <c r="L2796" i="2"/>
  <c r="M2796" i="2" s="1"/>
  <c r="L2800" i="2"/>
  <c r="M2800" i="2" s="1"/>
  <c r="L2804" i="2"/>
  <c r="M2804" i="2" s="1"/>
  <c r="L2808" i="2"/>
  <c r="M2808" i="2" s="1"/>
  <c r="L2812" i="2"/>
  <c r="M2812" i="2" s="1"/>
  <c r="L2816" i="2"/>
  <c r="M2816" i="2" s="1"/>
  <c r="L2820" i="2"/>
  <c r="M2820" i="2" s="1"/>
  <c r="L2824" i="2"/>
  <c r="M2824" i="2" s="1"/>
  <c r="L2828" i="2"/>
  <c r="M2828" i="2" s="1"/>
  <c r="L2832" i="2"/>
  <c r="M2832" i="2" s="1"/>
  <c r="L2836" i="2"/>
  <c r="M2836" i="2" s="1"/>
  <c r="L2840" i="2"/>
  <c r="M2840" i="2" s="1"/>
  <c r="L2844" i="2"/>
  <c r="M2844" i="2" s="1"/>
  <c r="L2848" i="2"/>
  <c r="M2848" i="2" s="1"/>
  <c r="L2852" i="2"/>
  <c r="M2852" i="2" s="1"/>
  <c r="L2856" i="2"/>
  <c r="M2856" i="2" s="1"/>
  <c r="L2860" i="2"/>
  <c r="M2860" i="2" s="1"/>
  <c r="L2864" i="2"/>
  <c r="M2864" i="2" s="1"/>
  <c r="L2868" i="2"/>
  <c r="M2868" i="2" s="1"/>
  <c r="L2872" i="2"/>
  <c r="M2872" i="2" s="1"/>
  <c r="L2876" i="2"/>
  <c r="M2876" i="2" s="1"/>
  <c r="L2880" i="2"/>
  <c r="M2880" i="2" s="1"/>
  <c r="L2884" i="2"/>
  <c r="M2884" i="2" s="1"/>
  <c r="L2888" i="2"/>
  <c r="M2888" i="2" s="1"/>
  <c r="L2892" i="2"/>
  <c r="M2892" i="2" s="1"/>
  <c r="L2896" i="2"/>
  <c r="M2896" i="2" s="1"/>
  <c r="L2900" i="2"/>
  <c r="M2900" i="2" s="1"/>
  <c r="L2904" i="2"/>
  <c r="M2904" i="2" s="1"/>
  <c r="L2908" i="2"/>
  <c r="M2908" i="2" s="1"/>
  <c r="L2912" i="2"/>
  <c r="M2912" i="2" s="1"/>
  <c r="L2916" i="2"/>
  <c r="M2916" i="2" s="1"/>
  <c r="L2920" i="2"/>
  <c r="M2920" i="2" s="1"/>
  <c r="L2924" i="2"/>
  <c r="M2924" i="2" s="1"/>
  <c r="L2928" i="2"/>
  <c r="M2928" i="2" s="1"/>
  <c r="L2932" i="2"/>
  <c r="M2932" i="2" s="1"/>
  <c r="L2936" i="2"/>
  <c r="M2936" i="2" s="1"/>
  <c r="L2940" i="2"/>
  <c r="M2940" i="2" s="1"/>
  <c r="L2944" i="2"/>
  <c r="M2944" i="2" s="1"/>
  <c r="L2948" i="2"/>
  <c r="M2948" i="2" s="1"/>
  <c r="L2952" i="2"/>
  <c r="M2952" i="2" s="1"/>
  <c r="L2956" i="2"/>
  <c r="M2956" i="2" s="1"/>
  <c r="L2960" i="2"/>
  <c r="M2960" i="2" s="1"/>
  <c r="L2964" i="2"/>
  <c r="M2964" i="2" s="1"/>
  <c r="L2968" i="2"/>
  <c r="M2968" i="2" s="1"/>
  <c r="L2972" i="2"/>
  <c r="M2972" i="2" s="1"/>
  <c r="L2976" i="2"/>
  <c r="M2976" i="2" s="1"/>
  <c r="L2980" i="2"/>
  <c r="M2980" i="2" s="1"/>
  <c r="L2984" i="2"/>
  <c r="M2984" i="2" s="1"/>
  <c r="L2988" i="2"/>
  <c r="M2988" i="2" s="1"/>
  <c r="L2992" i="2"/>
  <c r="M2992" i="2" s="1"/>
  <c r="L2996" i="2"/>
  <c r="M2996" i="2" s="1"/>
  <c r="L3000" i="2"/>
  <c r="M3000" i="2" s="1"/>
  <c r="L3004" i="2"/>
  <c r="M3004" i="2" s="1"/>
  <c r="L3008" i="2"/>
  <c r="M3008" i="2" s="1"/>
  <c r="L3012" i="2"/>
  <c r="M3012" i="2" s="1"/>
  <c r="L3016" i="2"/>
  <c r="M3016" i="2" s="1"/>
  <c r="L3020" i="2"/>
  <c r="M3020" i="2" s="1"/>
  <c r="L3024" i="2"/>
  <c r="M3024" i="2" s="1"/>
  <c r="L3028" i="2"/>
  <c r="M3028" i="2" s="1"/>
  <c r="L3032" i="2"/>
  <c r="M3032" i="2" s="1"/>
  <c r="L3036" i="2"/>
  <c r="M3036" i="2" s="1"/>
  <c r="L3040" i="2"/>
  <c r="M3040" i="2" s="1"/>
  <c r="L3044" i="2"/>
  <c r="M3044" i="2" s="1"/>
  <c r="L3048" i="2"/>
  <c r="M3048" i="2" s="1"/>
  <c r="L3052" i="2"/>
  <c r="M3052" i="2" s="1"/>
  <c r="L3056" i="2"/>
  <c r="M3056" i="2" s="1"/>
  <c r="L3060" i="2"/>
  <c r="M3060" i="2" s="1"/>
  <c r="L3064" i="2"/>
  <c r="M3064" i="2" s="1"/>
  <c r="L3068" i="2"/>
  <c r="M3068" i="2" s="1"/>
  <c r="L3072" i="2"/>
  <c r="M3072" i="2" s="1"/>
  <c r="L3076" i="2"/>
  <c r="M3076" i="2" s="1"/>
  <c r="L3080" i="2"/>
  <c r="M3080" i="2" s="1"/>
  <c r="L3084" i="2"/>
  <c r="M3084" i="2" s="1"/>
  <c r="L3088" i="2"/>
  <c r="M3088" i="2" s="1"/>
  <c r="L3092" i="2"/>
  <c r="M3092" i="2" s="1"/>
  <c r="L3096" i="2"/>
  <c r="M3096" i="2" s="1"/>
  <c r="L3100" i="2"/>
  <c r="M3100" i="2" s="1"/>
  <c r="L3104" i="2"/>
  <c r="M3104" i="2" s="1"/>
  <c r="L3108" i="2"/>
  <c r="M3108" i="2" s="1"/>
  <c r="L3112" i="2"/>
  <c r="M3112" i="2" s="1"/>
  <c r="L3116" i="2"/>
  <c r="M3116" i="2" s="1"/>
  <c r="L3120" i="2"/>
  <c r="M3120" i="2" s="1"/>
  <c r="L3124" i="2"/>
  <c r="M3124" i="2" s="1"/>
  <c r="L3128" i="2"/>
  <c r="M3128" i="2" s="1"/>
  <c r="L3132" i="2"/>
  <c r="M3132" i="2" s="1"/>
  <c r="L3136" i="2"/>
  <c r="M3136" i="2" s="1"/>
  <c r="L3140" i="2"/>
  <c r="M3140" i="2" s="1"/>
  <c r="L3144" i="2"/>
  <c r="M3144" i="2" s="1"/>
  <c r="L3148" i="2"/>
  <c r="M3148" i="2" s="1"/>
  <c r="L3152" i="2"/>
  <c r="M3152" i="2" s="1"/>
  <c r="L3156" i="2"/>
  <c r="M3156" i="2" s="1"/>
  <c r="L3160" i="2"/>
  <c r="M3160" i="2" s="1"/>
  <c r="L3164" i="2"/>
  <c r="M3164" i="2" s="1"/>
  <c r="L3168" i="2"/>
  <c r="M3168" i="2" s="1"/>
  <c r="L3172" i="2"/>
  <c r="M3172" i="2" s="1"/>
  <c r="L3176" i="2"/>
  <c r="M3176" i="2" s="1"/>
  <c r="L3180" i="2"/>
  <c r="M3180" i="2" s="1"/>
  <c r="L3184" i="2"/>
  <c r="M3184" i="2" s="1"/>
  <c r="L3188" i="2"/>
  <c r="M3188" i="2" s="1"/>
  <c r="L3192" i="2"/>
  <c r="M3192" i="2" s="1"/>
  <c r="L3196" i="2"/>
  <c r="M3196" i="2" s="1"/>
  <c r="L3200" i="2"/>
  <c r="M3200" i="2" s="1"/>
  <c r="L3204" i="2"/>
  <c r="M3204" i="2" s="1"/>
  <c r="L3208" i="2"/>
  <c r="M3208" i="2" s="1"/>
  <c r="L3212" i="2"/>
  <c r="M3212" i="2" s="1"/>
  <c r="L3216" i="2"/>
  <c r="M3216" i="2" s="1"/>
  <c r="L3220" i="2"/>
  <c r="M3220" i="2" s="1"/>
  <c r="L3224" i="2"/>
  <c r="M3224" i="2" s="1"/>
  <c r="L3228" i="2"/>
  <c r="M3228" i="2" s="1"/>
  <c r="L3232" i="2"/>
  <c r="M3232" i="2" s="1"/>
  <c r="L3236" i="2"/>
  <c r="M3236" i="2" s="1"/>
  <c r="L3240" i="2"/>
  <c r="M3240" i="2" s="1"/>
  <c r="L3244" i="2"/>
  <c r="M3244" i="2" s="1"/>
  <c r="L3248" i="2"/>
  <c r="M3248" i="2" s="1"/>
  <c r="L3252" i="2"/>
  <c r="M3252" i="2" s="1"/>
  <c r="L3256" i="2"/>
  <c r="M3256" i="2" s="1"/>
  <c r="L3260" i="2"/>
  <c r="M3260" i="2" s="1"/>
  <c r="L3264" i="2"/>
  <c r="M3264" i="2" s="1"/>
  <c r="L3268" i="2"/>
  <c r="M3268" i="2" s="1"/>
  <c r="L3272" i="2"/>
  <c r="M3272" i="2" s="1"/>
  <c r="L3276" i="2"/>
  <c r="M3276" i="2" s="1"/>
  <c r="L3280" i="2"/>
  <c r="M3280" i="2" s="1"/>
  <c r="L3284" i="2"/>
  <c r="M3284" i="2" s="1"/>
  <c r="L3288" i="2"/>
  <c r="M3288" i="2" s="1"/>
  <c r="L3292" i="2"/>
  <c r="M3292" i="2" s="1"/>
  <c r="L3296" i="2"/>
  <c r="M3296" i="2" s="1"/>
  <c r="L3300" i="2"/>
  <c r="M3300" i="2" s="1"/>
  <c r="L3304" i="2"/>
  <c r="M3304" i="2" s="1"/>
  <c r="L3308" i="2"/>
  <c r="M3308" i="2" s="1"/>
  <c r="L3312" i="2"/>
  <c r="M3312" i="2" s="1"/>
  <c r="L3316" i="2"/>
  <c r="M3316" i="2" s="1"/>
  <c r="L3320" i="2"/>
  <c r="M3320" i="2" s="1"/>
  <c r="L3324" i="2"/>
  <c r="M3324" i="2" s="1"/>
  <c r="L3328" i="2"/>
  <c r="M3328" i="2" s="1"/>
  <c r="L3332" i="2"/>
  <c r="M3332" i="2" s="1"/>
  <c r="L3336" i="2"/>
  <c r="M3336" i="2" s="1"/>
  <c r="L3340" i="2"/>
  <c r="M3340" i="2" s="1"/>
  <c r="L3344" i="2"/>
  <c r="M3344" i="2" s="1"/>
  <c r="L3348" i="2"/>
  <c r="M3348" i="2" s="1"/>
  <c r="L3352" i="2"/>
  <c r="M3352" i="2" s="1"/>
  <c r="L3356" i="2"/>
  <c r="M3356" i="2" s="1"/>
  <c r="L3360" i="2"/>
  <c r="M3360" i="2" s="1"/>
  <c r="L3364" i="2"/>
  <c r="M3364" i="2" s="1"/>
  <c r="L3368" i="2"/>
  <c r="M3368" i="2" s="1"/>
  <c r="L3372" i="2"/>
  <c r="M3372" i="2" s="1"/>
  <c r="L3376" i="2"/>
  <c r="M3376" i="2" s="1"/>
  <c r="L3380" i="2"/>
  <c r="M3380" i="2" s="1"/>
  <c r="L3384" i="2"/>
  <c r="M3384" i="2" s="1"/>
  <c r="L3388" i="2"/>
  <c r="M3388" i="2" s="1"/>
  <c r="L3392" i="2"/>
  <c r="M3392" i="2" s="1"/>
  <c r="L3396" i="2"/>
  <c r="M3396" i="2" s="1"/>
  <c r="L3400" i="2"/>
  <c r="M3400" i="2" s="1"/>
  <c r="L3404" i="2"/>
  <c r="M3404" i="2" s="1"/>
  <c r="L3408" i="2"/>
  <c r="M3408" i="2" s="1"/>
  <c r="L3412" i="2"/>
  <c r="M3412" i="2" s="1"/>
  <c r="L3416" i="2"/>
  <c r="M3416" i="2" s="1"/>
  <c r="L3420" i="2"/>
  <c r="M3420" i="2" s="1"/>
  <c r="L3424" i="2"/>
  <c r="M3424" i="2" s="1"/>
  <c r="L3428" i="2"/>
  <c r="M3428" i="2" s="1"/>
  <c r="L3432" i="2"/>
  <c r="M3432" i="2" s="1"/>
  <c r="L3436" i="2"/>
  <c r="M3436" i="2" s="1"/>
  <c r="L3440" i="2"/>
  <c r="M3440" i="2" s="1"/>
  <c r="L3444" i="2"/>
  <c r="M3444" i="2" s="1"/>
  <c r="L3448" i="2"/>
  <c r="M3448" i="2" s="1"/>
  <c r="L3452" i="2"/>
  <c r="M3452" i="2" s="1"/>
  <c r="L3456" i="2"/>
  <c r="M3456" i="2" s="1"/>
  <c r="L3460" i="2"/>
  <c r="M3460" i="2" s="1"/>
  <c r="L3464" i="2"/>
  <c r="M3464" i="2" s="1"/>
  <c r="L3468" i="2"/>
  <c r="M3468" i="2" s="1"/>
  <c r="L3472" i="2"/>
  <c r="M3472" i="2" s="1"/>
  <c r="L3476" i="2"/>
  <c r="M3476" i="2" s="1"/>
  <c r="L3480" i="2"/>
  <c r="M3480" i="2" s="1"/>
  <c r="L3484" i="2"/>
  <c r="M3484" i="2" s="1"/>
  <c r="L3488" i="2"/>
  <c r="M3488" i="2" s="1"/>
  <c r="L3492" i="2"/>
  <c r="M3492" i="2" s="1"/>
  <c r="L3496" i="2"/>
  <c r="M3496" i="2" s="1"/>
  <c r="L3500" i="2"/>
  <c r="M3500" i="2" s="1"/>
  <c r="L3504" i="2"/>
  <c r="M3504" i="2" s="1"/>
  <c r="L3508" i="2"/>
  <c r="M3508" i="2" s="1"/>
  <c r="L3512" i="2"/>
  <c r="M3512" i="2" s="1"/>
  <c r="L3516" i="2"/>
  <c r="M3516" i="2" s="1"/>
  <c r="L3520" i="2"/>
  <c r="M3520" i="2" s="1"/>
  <c r="L3524" i="2"/>
  <c r="M3524" i="2" s="1"/>
  <c r="L3528" i="2"/>
  <c r="M3528" i="2" s="1"/>
  <c r="L3532" i="2"/>
  <c r="M3532" i="2" s="1"/>
  <c r="L3536" i="2"/>
  <c r="M3536" i="2" s="1"/>
  <c r="L3540" i="2"/>
  <c r="M3540" i="2" s="1"/>
  <c r="L3544" i="2"/>
  <c r="M3544" i="2" s="1"/>
  <c r="L3548" i="2"/>
  <c r="M3548" i="2" s="1"/>
  <c r="L3552" i="2"/>
  <c r="M3552" i="2" s="1"/>
  <c r="L3556" i="2"/>
  <c r="M3556" i="2" s="1"/>
  <c r="L3560" i="2"/>
  <c r="M3560" i="2" s="1"/>
  <c r="L3564" i="2"/>
  <c r="M3564" i="2" s="1"/>
  <c r="L3568" i="2"/>
  <c r="M3568" i="2" s="1"/>
  <c r="L3572" i="2"/>
  <c r="M3572" i="2" s="1"/>
  <c r="L3576" i="2"/>
  <c r="M3576" i="2" s="1"/>
  <c r="L3580" i="2"/>
  <c r="M3580" i="2" s="1"/>
  <c r="L3584" i="2"/>
  <c r="M3584" i="2" s="1"/>
  <c r="L3588" i="2"/>
  <c r="M3588" i="2" s="1"/>
  <c r="L3592" i="2"/>
  <c r="M3592" i="2" s="1"/>
  <c r="L3596" i="2"/>
  <c r="M3596" i="2" s="1"/>
  <c r="L3600" i="2"/>
  <c r="M3600" i="2" s="1"/>
  <c r="L3604" i="2"/>
  <c r="M3604" i="2" s="1"/>
  <c r="L3608" i="2"/>
  <c r="M3608" i="2" s="1"/>
  <c r="L3612" i="2"/>
  <c r="M3612" i="2" s="1"/>
  <c r="L3616" i="2"/>
  <c r="M3616" i="2" s="1"/>
  <c r="L3620" i="2"/>
  <c r="M3620" i="2" s="1"/>
  <c r="L3624" i="2"/>
  <c r="M3624" i="2" s="1"/>
  <c r="L3628" i="2"/>
  <c r="M3628" i="2" s="1"/>
  <c r="L3632" i="2"/>
  <c r="M3632" i="2" s="1"/>
  <c r="L3636" i="2"/>
  <c r="M3636" i="2" s="1"/>
  <c r="L3640" i="2"/>
  <c r="M3640" i="2" s="1"/>
  <c r="L3644" i="2"/>
  <c r="M3644" i="2" s="1"/>
  <c r="L3648" i="2"/>
  <c r="M3648" i="2" s="1"/>
  <c r="L3652" i="2"/>
  <c r="M3652" i="2" s="1"/>
  <c r="L3656" i="2"/>
  <c r="M3656" i="2" s="1"/>
  <c r="L3660" i="2"/>
  <c r="M3660" i="2" s="1"/>
  <c r="L3664" i="2"/>
  <c r="M3664" i="2" s="1"/>
  <c r="L3668" i="2"/>
  <c r="M3668" i="2" s="1"/>
  <c r="L3672" i="2"/>
  <c r="M3672" i="2" s="1"/>
  <c r="L3676" i="2"/>
  <c r="M3676" i="2" s="1"/>
  <c r="L3680" i="2"/>
  <c r="M3680" i="2" s="1"/>
  <c r="L3684" i="2"/>
  <c r="M3684" i="2" s="1"/>
  <c r="L3688" i="2"/>
  <c r="M3688" i="2" s="1"/>
  <c r="L3692" i="2"/>
  <c r="M3692" i="2" s="1"/>
  <c r="L3696" i="2"/>
  <c r="M3696" i="2" s="1"/>
  <c r="L3700" i="2"/>
  <c r="M3700" i="2" s="1"/>
  <c r="L3704" i="2"/>
  <c r="M3704" i="2" s="1"/>
  <c r="L3708" i="2"/>
  <c r="M3708" i="2" s="1"/>
  <c r="L3712" i="2"/>
  <c r="M3712" i="2" s="1"/>
  <c r="L3716" i="2"/>
  <c r="M3716" i="2" s="1"/>
  <c r="L3720" i="2"/>
  <c r="M3720" i="2" s="1"/>
  <c r="L3724" i="2"/>
  <c r="M3724" i="2" s="1"/>
  <c r="L3728" i="2"/>
  <c r="M3728" i="2" s="1"/>
  <c r="L3732" i="2"/>
  <c r="M3732" i="2" s="1"/>
  <c r="L3736" i="2"/>
  <c r="M3736" i="2" s="1"/>
  <c r="L3740" i="2"/>
  <c r="M3740" i="2" s="1"/>
  <c r="L3744" i="2"/>
  <c r="M3744" i="2" s="1"/>
  <c r="L3748" i="2"/>
  <c r="M3748" i="2" s="1"/>
  <c r="L3752" i="2"/>
  <c r="M3752" i="2" s="1"/>
  <c r="L3756" i="2"/>
  <c r="M3756" i="2" s="1"/>
  <c r="L3760" i="2"/>
  <c r="M3760" i="2" s="1"/>
  <c r="L3764" i="2"/>
  <c r="M3764" i="2" s="1"/>
  <c r="L3768" i="2"/>
  <c r="M3768" i="2" s="1"/>
  <c r="L3772" i="2"/>
  <c r="M3772" i="2" s="1"/>
  <c r="L3776" i="2"/>
  <c r="M3776" i="2" s="1"/>
  <c r="L3780" i="2"/>
  <c r="M3780" i="2" s="1"/>
  <c r="L3784" i="2"/>
  <c r="M3784" i="2" s="1"/>
  <c r="L3788" i="2"/>
  <c r="M3788" i="2" s="1"/>
  <c r="L3792" i="2"/>
  <c r="M3792" i="2" s="1"/>
  <c r="L3796" i="2"/>
  <c r="M3796" i="2" s="1"/>
  <c r="L3800" i="2"/>
  <c r="M3800" i="2" s="1"/>
  <c r="L3804" i="2"/>
  <c r="M3804" i="2" s="1"/>
  <c r="L3808" i="2"/>
  <c r="M3808" i="2" s="1"/>
  <c r="L3812" i="2"/>
  <c r="M3812" i="2" s="1"/>
  <c r="L3816" i="2"/>
  <c r="M3816" i="2" s="1"/>
  <c r="L3820" i="2"/>
  <c r="M3820" i="2" s="1"/>
  <c r="L3824" i="2"/>
  <c r="M3824" i="2" s="1"/>
  <c r="L3828" i="2"/>
  <c r="M3828" i="2" s="1"/>
  <c r="L3832" i="2"/>
  <c r="M3832" i="2" s="1"/>
  <c r="L3836" i="2"/>
  <c r="M3836" i="2" s="1"/>
  <c r="L3840" i="2"/>
  <c r="M3840" i="2" s="1"/>
  <c r="L3844" i="2"/>
  <c r="M3844" i="2" s="1"/>
  <c r="L3848" i="2"/>
  <c r="M3848" i="2" s="1"/>
  <c r="L3852" i="2"/>
  <c r="M3852" i="2" s="1"/>
  <c r="L3856" i="2"/>
  <c r="M3856" i="2" s="1"/>
  <c r="L3860" i="2"/>
  <c r="M3860" i="2" s="1"/>
  <c r="L3864" i="2"/>
  <c r="M3864" i="2" s="1"/>
  <c r="L3868" i="2"/>
  <c r="M3868" i="2" s="1"/>
  <c r="L3872" i="2"/>
  <c r="M3872" i="2" s="1"/>
  <c r="L3876" i="2"/>
  <c r="M3876" i="2" s="1"/>
  <c r="L636" i="2"/>
  <c r="M636" i="2" s="1"/>
  <c r="L652" i="2"/>
  <c r="M652" i="2" s="1"/>
  <c r="L668" i="2"/>
  <c r="M668" i="2" s="1"/>
  <c r="L684" i="2"/>
  <c r="M684" i="2" s="1"/>
  <c r="L700" i="2"/>
  <c r="M700" i="2" s="1"/>
  <c r="L716" i="2"/>
  <c r="M716" i="2" s="1"/>
  <c r="L732" i="2"/>
  <c r="M732" i="2" s="1"/>
  <c r="L748" i="2"/>
  <c r="M748" i="2" s="1"/>
  <c r="L756" i="2"/>
  <c r="M756" i="2" s="1"/>
  <c r="L764" i="2"/>
  <c r="M764" i="2" s="1"/>
  <c r="L772" i="2"/>
  <c r="M772" i="2" s="1"/>
  <c r="L780" i="2"/>
  <c r="M780" i="2" s="1"/>
  <c r="L788" i="2"/>
  <c r="M788" i="2" s="1"/>
  <c r="L796" i="2"/>
  <c r="M796" i="2" s="1"/>
  <c r="L804" i="2"/>
  <c r="M804" i="2" s="1"/>
  <c r="L812" i="2"/>
  <c r="M812" i="2" s="1"/>
  <c r="L820" i="2"/>
  <c r="M820" i="2" s="1"/>
  <c r="L828" i="2"/>
  <c r="M828" i="2" s="1"/>
  <c r="L836" i="2"/>
  <c r="M836" i="2" s="1"/>
  <c r="L844" i="2"/>
  <c r="M844" i="2" s="1"/>
  <c r="L852" i="2"/>
  <c r="M852" i="2" s="1"/>
  <c r="L860" i="2"/>
  <c r="M860" i="2" s="1"/>
  <c r="L868" i="2"/>
  <c r="M868" i="2" s="1"/>
  <c r="L876" i="2"/>
  <c r="M876" i="2" s="1"/>
  <c r="L884" i="2"/>
  <c r="M884" i="2" s="1"/>
  <c r="L892" i="2"/>
  <c r="M892" i="2" s="1"/>
  <c r="L900" i="2"/>
  <c r="M900" i="2" s="1"/>
  <c r="L908" i="2"/>
  <c r="M908" i="2" s="1"/>
  <c r="L916" i="2"/>
  <c r="M916" i="2" s="1"/>
  <c r="L924" i="2"/>
  <c r="M924" i="2" s="1"/>
  <c r="L932" i="2"/>
  <c r="M932" i="2" s="1"/>
  <c r="L940" i="2"/>
  <c r="M940" i="2" s="1"/>
  <c r="L948" i="2"/>
  <c r="M948" i="2" s="1"/>
  <c r="L956" i="2"/>
  <c r="M956" i="2" s="1"/>
  <c r="L964" i="2"/>
  <c r="M964" i="2" s="1"/>
  <c r="L972" i="2"/>
  <c r="M972" i="2" s="1"/>
  <c r="L980" i="2"/>
  <c r="M980" i="2" s="1"/>
  <c r="L988" i="2"/>
  <c r="M988" i="2" s="1"/>
  <c r="L996" i="2"/>
  <c r="M996" i="2" s="1"/>
  <c r="L1004" i="2"/>
  <c r="M1004" i="2" s="1"/>
  <c r="L1012" i="2"/>
  <c r="M1012" i="2" s="1"/>
  <c r="L1020" i="2"/>
  <c r="M1020" i="2" s="1"/>
  <c r="L1028" i="2"/>
  <c r="M1028" i="2" s="1"/>
  <c r="L1036" i="2"/>
  <c r="M1036" i="2" s="1"/>
  <c r="L1044" i="2"/>
  <c r="M1044" i="2" s="1"/>
  <c r="L1052" i="2"/>
  <c r="M1052" i="2" s="1"/>
  <c r="L1060" i="2"/>
  <c r="M1060" i="2" s="1"/>
  <c r="L1068" i="2"/>
  <c r="M1068" i="2" s="1"/>
  <c r="L1076" i="2"/>
  <c r="M1076" i="2" s="1"/>
  <c r="L1084" i="2"/>
  <c r="M1084" i="2" s="1"/>
  <c r="L1092" i="2"/>
  <c r="M1092" i="2" s="1"/>
  <c r="L1100" i="2"/>
  <c r="M1100" i="2" s="1"/>
  <c r="L1108" i="2"/>
  <c r="M1108" i="2" s="1"/>
  <c r="L1116" i="2"/>
  <c r="M1116" i="2" s="1"/>
  <c r="L1124" i="2"/>
  <c r="M1124" i="2" s="1"/>
  <c r="L1132" i="2"/>
  <c r="M1132" i="2" s="1"/>
  <c r="L1140" i="2"/>
  <c r="M1140" i="2" s="1"/>
  <c r="L1148" i="2"/>
  <c r="M1148" i="2" s="1"/>
  <c r="L1156" i="2"/>
  <c r="M1156" i="2" s="1"/>
  <c r="L1164" i="2"/>
  <c r="M1164" i="2" s="1"/>
  <c r="L1172" i="2"/>
  <c r="M1172" i="2" s="1"/>
  <c r="L1180" i="2"/>
  <c r="M1180" i="2" s="1"/>
  <c r="L1188" i="2"/>
  <c r="M1188" i="2" s="1"/>
  <c r="L1196" i="2"/>
  <c r="M1196" i="2" s="1"/>
  <c r="L1204" i="2"/>
  <c r="M1204" i="2" s="1"/>
  <c r="L1212" i="2"/>
  <c r="M1212" i="2" s="1"/>
  <c r="L1220" i="2"/>
  <c r="M1220" i="2" s="1"/>
  <c r="L1228" i="2"/>
  <c r="M1228" i="2" s="1"/>
  <c r="L1236" i="2"/>
  <c r="M1236" i="2" s="1"/>
  <c r="L1244" i="2"/>
  <c r="M1244" i="2" s="1"/>
  <c r="L1252" i="2"/>
  <c r="M1252" i="2" s="1"/>
  <c r="L1260" i="2"/>
  <c r="M1260" i="2" s="1"/>
  <c r="L1268" i="2"/>
  <c r="M1268" i="2" s="1"/>
  <c r="L1276" i="2"/>
  <c r="M1276" i="2" s="1"/>
  <c r="L1284" i="2"/>
  <c r="M1284" i="2" s="1"/>
  <c r="L1292" i="2"/>
  <c r="M1292" i="2" s="1"/>
  <c r="L1300" i="2"/>
  <c r="M1300" i="2" s="1"/>
  <c r="L1308" i="2"/>
  <c r="M1308" i="2" s="1"/>
  <c r="L1316" i="2"/>
  <c r="M1316" i="2" s="1"/>
  <c r="L1324" i="2"/>
  <c r="M1324" i="2" s="1"/>
  <c r="L1332" i="2"/>
  <c r="M1332" i="2" s="1"/>
  <c r="L1340" i="2"/>
  <c r="M1340" i="2" s="1"/>
  <c r="L1348" i="2"/>
  <c r="M1348" i="2" s="1"/>
  <c r="L1356" i="2"/>
  <c r="M1356" i="2" s="1"/>
  <c r="L1364" i="2"/>
  <c r="M1364" i="2" s="1"/>
  <c r="L1372" i="2"/>
  <c r="M1372" i="2" s="1"/>
  <c r="L1380" i="2"/>
  <c r="M1380" i="2" s="1"/>
  <c r="L1388" i="2"/>
  <c r="M1388" i="2" s="1"/>
  <c r="L1396" i="2"/>
  <c r="M1396" i="2" s="1"/>
  <c r="L1404" i="2"/>
  <c r="M1404" i="2" s="1"/>
  <c r="L1412" i="2"/>
  <c r="M1412" i="2" s="1"/>
  <c r="L1420" i="2"/>
  <c r="M1420" i="2" s="1"/>
  <c r="L1428" i="2"/>
  <c r="M1428" i="2" s="1"/>
  <c r="L1436" i="2"/>
  <c r="M1436" i="2" s="1"/>
  <c r="L1444" i="2"/>
  <c r="M1444" i="2" s="1"/>
  <c r="L1452" i="2"/>
  <c r="M1452" i="2" s="1"/>
  <c r="L1460" i="2"/>
  <c r="M1460" i="2" s="1"/>
  <c r="L1468" i="2"/>
  <c r="M1468" i="2" s="1"/>
  <c r="L1476" i="2"/>
  <c r="M1476" i="2" s="1"/>
  <c r="L1484" i="2"/>
  <c r="M1484" i="2" s="1"/>
  <c r="L1492" i="2"/>
  <c r="M1492" i="2" s="1"/>
  <c r="L1500" i="2"/>
  <c r="M1500" i="2" s="1"/>
  <c r="L1508" i="2"/>
  <c r="M1508" i="2" s="1"/>
  <c r="L1516" i="2"/>
  <c r="M1516" i="2" s="1"/>
  <c r="L1524" i="2"/>
  <c r="M1524" i="2" s="1"/>
  <c r="L1532" i="2"/>
  <c r="M1532" i="2" s="1"/>
  <c r="L1540" i="2"/>
  <c r="M1540" i="2" s="1"/>
  <c r="L1548" i="2"/>
  <c r="M1548" i="2" s="1"/>
  <c r="L1556" i="2"/>
  <c r="M1556" i="2" s="1"/>
  <c r="L1564" i="2"/>
  <c r="M1564" i="2" s="1"/>
  <c r="L1572" i="2"/>
  <c r="M1572" i="2" s="1"/>
  <c r="L1580" i="2"/>
  <c r="M1580" i="2" s="1"/>
  <c r="L1588" i="2"/>
  <c r="M1588" i="2" s="1"/>
  <c r="L1596" i="2"/>
  <c r="M1596" i="2" s="1"/>
  <c r="L1604" i="2"/>
  <c r="M1604" i="2" s="1"/>
  <c r="L1612" i="2"/>
  <c r="M1612" i="2" s="1"/>
  <c r="L1617" i="2"/>
  <c r="M1617" i="2" s="1"/>
  <c r="L1621" i="2"/>
  <c r="M1621" i="2" s="1"/>
  <c r="L1625" i="2"/>
  <c r="M1625" i="2" s="1"/>
  <c r="L1629" i="2"/>
  <c r="M1629" i="2" s="1"/>
  <c r="L1633" i="2"/>
  <c r="M1633" i="2" s="1"/>
  <c r="L1637" i="2"/>
  <c r="M1637" i="2" s="1"/>
  <c r="L1641" i="2"/>
  <c r="M1641" i="2" s="1"/>
  <c r="L1645" i="2"/>
  <c r="M1645" i="2" s="1"/>
  <c r="L1649" i="2"/>
  <c r="M1649" i="2" s="1"/>
  <c r="L1653" i="2"/>
  <c r="M1653" i="2" s="1"/>
  <c r="L1657" i="2"/>
  <c r="M1657" i="2" s="1"/>
  <c r="L1661" i="2"/>
  <c r="M1661" i="2" s="1"/>
  <c r="L1665" i="2"/>
  <c r="M1665" i="2" s="1"/>
  <c r="L1669" i="2"/>
  <c r="M1669" i="2" s="1"/>
  <c r="L1673" i="2"/>
  <c r="M1673" i="2" s="1"/>
  <c r="L1677" i="2"/>
  <c r="M1677" i="2" s="1"/>
  <c r="L1681" i="2"/>
  <c r="M1681" i="2" s="1"/>
  <c r="L1685" i="2"/>
  <c r="M1685" i="2" s="1"/>
  <c r="L1689" i="2"/>
  <c r="M1689" i="2" s="1"/>
  <c r="L1693" i="2"/>
  <c r="M1693" i="2" s="1"/>
  <c r="L1697" i="2"/>
  <c r="M1697" i="2" s="1"/>
  <c r="L1701" i="2"/>
  <c r="M1701" i="2" s="1"/>
  <c r="L1705" i="2"/>
  <c r="M1705" i="2" s="1"/>
  <c r="L1709" i="2"/>
  <c r="M1709" i="2" s="1"/>
  <c r="L1713" i="2"/>
  <c r="M1713" i="2" s="1"/>
  <c r="L1717" i="2"/>
  <c r="M1717" i="2" s="1"/>
  <c r="L1721" i="2"/>
  <c r="M1721" i="2" s="1"/>
  <c r="L1725" i="2"/>
  <c r="M1725" i="2" s="1"/>
  <c r="L1729" i="2"/>
  <c r="M1729" i="2" s="1"/>
  <c r="L1733" i="2"/>
  <c r="M1733" i="2" s="1"/>
  <c r="L1737" i="2"/>
  <c r="M1737" i="2" s="1"/>
  <c r="L1741" i="2"/>
  <c r="M1741" i="2" s="1"/>
  <c r="L1745" i="2"/>
  <c r="M1745" i="2" s="1"/>
  <c r="L1749" i="2"/>
  <c r="M1749" i="2" s="1"/>
  <c r="L1753" i="2"/>
  <c r="M1753" i="2" s="1"/>
  <c r="L1757" i="2"/>
  <c r="M1757" i="2" s="1"/>
  <c r="L1761" i="2"/>
  <c r="M1761" i="2" s="1"/>
  <c r="L1765" i="2"/>
  <c r="M1765" i="2" s="1"/>
  <c r="L1769" i="2"/>
  <c r="M1769" i="2" s="1"/>
  <c r="L1773" i="2"/>
  <c r="M1773" i="2" s="1"/>
  <c r="L1777" i="2"/>
  <c r="M1777" i="2" s="1"/>
  <c r="L1781" i="2"/>
  <c r="M1781" i="2" s="1"/>
  <c r="L1785" i="2"/>
  <c r="M1785" i="2" s="1"/>
  <c r="L1789" i="2"/>
  <c r="M1789" i="2" s="1"/>
  <c r="L1793" i="2"/>
  <c r="M1793" i="2" s="1"/>
  <c r="L1797" i="2"/>
  <c r="M1797" i="2" s="1"/>
  <c r="L1801" i="2"/>
  <c r="M1801" i="2" s="1"/>
  <c r="L1805" i="2"/>
  <c r="M1805" i="2" s="1"/>
  <c r="L1809" i="2"/>
  <c r="M1809" i="2" s="1"/>
  <c r="L1813" i="2"/>
  <c r="M1813" i="2" s="1"/>
  <c r="L1817" i="2"/>
  <c r="M1817" i="2" s="1"/>
  <c r="L1821" i="2"/>
  <c r="M1821" i="2" s="1"/>
  <c r="L1825" i="2"/>
  <c r="M1825" i="2" s="1"/>
  <c r="L1829" i="2"/>
  <c r="M1829" i="2" s="1"/>
  <c r="L1833" i="2"/>
  <c r="M1833" i="2" s="1"/>
  <c r="L1837" i="2"/>
  <c r="M1837" i="2" s="1"/>
  <c r="L1841" i="2"/>
  <c r="M1841" i="2" s="1"/>
  <c r="L1845" i="2"/>
  <c r="M1845" i="2" s="1"/>
  <c r="L1849" i="2"/>
  <c r="M1849" i="2" s="1"/>
  <c r="L1853" i="2"/>
  <c r="M1853" i="2" s="1"/>
  <c r="L1857" i="2"/>
  <c r="M1857" i="2" s="1"/>
  <c r="L1861" i="2"/>
  <c r="M1861" i="2" s="1"/>
  <c r="L1865" i="2"/>
  <c r="M1865" i="2" s="1"/>
  <c r="L1869" i="2"/>
  <c r="M1869" i="2" s="1"/>
  <c r="L1873" i="2"/>
  <c r="M1873" i="2" s="1"/>
  <c r="L1877" i="2"/>
  <c r="M1877" i="2" s="1"/>
  <c r="L1881" i="2"/>
  <c r="M1881" i="2" s="1"/>
  <c r="L1885" i="2"/>
  <c r="M1885" i="2" s="1"/>
  <c r="L1889" i="2"/>
  <c r="M1889" i="2" s="1"/>
  <c r="L1893" i="2"/>
  <c r="M1893" i="2" s="1"/>
  <c r="L1897" i="2"/>
  <c r="M1897" i="2" s="1"/>
  <c r="L1901" i="2"/>
  <c r="M1901" i="2" s="1"/>
  <c r="L1905" i="2"/>
  <c r="M1905" i="2" s="1"/>
  <c r="L1909" i="2"/>
  <c r="M1909" i="2" s="1"/>
  <c r="L1913" i="2"/>
  <c r="M1913" i="2" s="1"/>
  <c r="L1917" i="2"/>
  <c r="M1917" i="2" s="1"/>
  <c r="L1921" i="2"/>
  <c r="M1921" i="2" s="1"/>
  <c r="L1925" i="2"/>
  <c r="M1925" i="2" s="1"/>
  <c r="L1929" i="2"/>
  <c r="M1929" i="2" s="1"/>
  <c r="L1933" i="2"/>
  <c r="M1933" i="2" s="1"/>
  <c r="L1937" i="2"/>
  <c r="M1937" i="2" s="1"/>
  <c r="L1941" i="2"/>
  <c r="M1941" i="2" s="1"/>
  <c r="L1945" i="2"/>
  <c r="M1945" i="2" s="1"/>
  <c r="L1949" i="2"/>
  <c r="M1949" i="2" s="1"/>
  <c r="L1953" i="2"/>
  <c r="M1953" i="2" s="1"/>
  <c r="L1957" i="2"/>
  <c r="M1957" i="2" s="1"/>
  <c r="L1961" i="2"/>
  <c r="M1961" i="2" s="1"/>
  <c r="L1965" i="2"/>
  <c r="M1965" i="2" s="1"/>
  <c r="L1969" i="2"/>
  <c r="M1969" i="2" s="1"/>
  <c r="L1973" i="2"/>
  <c r="M1973" i="2" s="1"/>
  <c r="L1977" i="2"/>
  <c r="M1977" i="2" s="1"/>
  <c r="L1981" i="2"/>
  <c r="M1981" i="2" s="1"/>
  <c r="L1985" i="2"/>
  <c r="M1985" i="2" s="1"/>
  <c r="L1989" i="2"/>
  <c r="M1989" i="2" s="1"/>
  <c r="L1993" i="2"/>
  <c r="M1993" i="2" s="1"/>
  <c r="L1997" i="2"/>
  <c r="M1997" i="2" s="1"/>
  <c r="L2001" i="2"/>
  <c r="M2001" i="2" s="1"/>
  <c r="L2005" i="2"/>
  <c r="M2005" i="2" s="1"/>
  <c r="L2009" i="2"/>
  <c r="M2009" i="2" s="1"/>
  <c r="L2013" i="2"/>
  <c r="M2013" i="2" s="1"/>
  <c r="L2017" i="2"/>
  <c r="M2017" i="2" s="1"/>
  <c r="L2021" i="2"/>
  <c r="M2021" i="2" s="1"/>
  <c r="L2025" i="2"/>
  <c r="M2025" i="2" s="1"/>
  <c r="L2029" i="2"/>
  <c r="M2029" i="2" s="1"/>
  <c r="L2033" i="2"/>
  <c r="M2033" i="2" s="1"/>
  <c r="L2037" i="2"/>
  <c r="M2037" i="2" s="1"/>
  <c r="L2041" i="2"/>
  <c r="M2041" i="2" s="1"/>
  <c r="L2045" i="2"/>
  <c r="M2045" i="2" s="1"/>
  <c r="L2049" i="2"/>
  <c r="M2049" i="2" s="1"/>
  <c r="L2053" i="2"/>
  <c r="M2053" i="2" s="1"/>
  <c r="L2057" i="2"/>
  <c r="M2057" i="2" s="1"/>
  <c r="L2061" i="2"/>
  <c r="M2061" i="2" s="1"/>
  <c r="L2065" i="2"/>
  <c r="M2065" i="2" s="1"/>
  <c r="L2069" i="2"/>
  <c r="M2069" i="2" s="1"/>
  <c r="L2073" i="2"/>
  <c r="M2073" i="2" s="1"/>
  <c r="L2077" i="2"/>
  <c r="M2077" i="2" s="1"/>
  <c r="L2081" i="2"/>
  <c r="M2081" i="2" s="1"/>
  <c r="L2085" i="2"/>
  <c r="M2085" i="2" s="1"/>
  <c r="L2089" i="2"/>
  <c r="M2089" i="2" s="1"/>
  <c r="L2093" i="2"/>
  <c r="M2093" i="2" s="1"/>
  <c r="L2097" i="2"/>
  <c r="M2097" i="2" s="1"/>
  <c r="L2101" i="2"/>
  <c r="M2101" i="2" s="1"/>
  <c r="L2105" i="2"/>
  <c r="M2105" i="2" s="1"/>
  <c r="L2109" i="2"/>
  <c r="M2109" i="2" s="1"/>
  <c r="L2113" i="2"/>
  <c r="M2113" i="2" s="1"/>
  <c r="L2117" i="2"/>
  <c r="M2117" i="2" s="1"/>
  <c r="L2121" i="2"/>
  <c r="M2121" i="2" s="1"/>
  <c r="L2125" i="2"/>
  <c r="M2125" i="2" s="1"/>
  <c r="L2129" i="2"/>
  <c r="M2129" i="2" s="1"/>
  <c r="L2133" i="2"/>
  <c r="M2133" i="2" s="1"/>
  <c r="L2137" i="2"/>
  <c r="M2137" i="2" s="1"/>
  <c r="L2141" i="2"/>
  <c r="M2141" i="2" s="1"/>
  <c r="L2145" i="2"/>
  <c r="M2145" i="2" s="1"/>
  <c r="L2149" i="2"/>
  <c r="M2149" i="2" s="1"/>
  <c r="L2153" i="2"/>
  <c r="M2153" i="2" s="1"/>
  <c r="L2157" i="2"/>
  <c r="M2157" i="2" s="1"/>
  <c r="L2161" i="2"/>
  <c r="M2161" i="2" s="1"/>
  <c r="L2165" i="2"/>
  <c r="M2165" i="2" s="1"/>
  <c r="L2169" i="2"/>
  <c r="M2169" i="2" s="1"/>
  <c r="L2173" i="2"/>
  <c r="M2173" i="2" s="1"/>
  <c r="L2177" i="2"/>
  <c r="M2177" i="2" s="1"/>
  <c r="L2181" i="2"/>
  <c r="M2181" i="2" s="1"/>
  <c r="L2185" i="2"/>
  <c r="M2185" i="2" s="1"/>
  <c r="L2189" i="2"/>
  <c r="M2189" i="2" s="1"/>
  <c r="L2193" i="2"/>
  <c r="M2193" i="2" s="1"/>
  <c r="L2197" i="2"/>
  <c r="M2197" i="2" s="1"/>
  <c r="L2201" i="2"/>
  <c r="M2201" i="2" s="1"/>
  <c r="L2205" i="2"/>
  <c r="M2205" i="2" s="1"/>
  <c r="L2209" i="2"/>
  <c r="M2209" i="2" s="1"/>
  <c r="L2213" i="2"/>
  <c r="M2213" i="2" s="1"/>
  <c r="L2217" i="2"/>
  <c r="M2217" i="2" s="1"/>
  <c r="L2221" i="2"/>
  <c r="M2221" i="2" s="1"/>
  <c r="L2225" i="2"/>
  <c r="M2225" i="2" s="1"/>
  <c r="L2229" i="2"/>
  <c r="M2229" i="2" s="1"/>
  <c r="L2233" i="2"/>
  <c r="M2233" i="2" s="1"/>
  <c r="L2237" i="2"/>
  <c r="M2237" i="2" s="1"/>
  <c r="L2241" i="2"/>
  <c r="M2241" i="2" s="1"/>
  <c r="L2245" i="2"/>
  <c r="M2245" i="2" s="1"/>
  <c r="L2249" i="2"/>
  <c r="M2249" i="2" s="1"/>
  <c r="L2253" i="2"/>
  <c r="M2253" i="2" s="1"/>
  <c r="L2257" i="2"/>
  <c r="M2257" i="2" s="1"/>
  <c r="L2261" i="2"/>
  <c r="M2261" i="2" s="1"/>
  <c r="L2265" i="2"/>
  <c r="M2265" i="2" s="1"/>
  <c r="L2269" i="2"/>
  <c r="M2269" i="2" s="1"/>
  <c r="L2273" i="2"/>
  <c r="M2273" i="2" s="1"/>
  <c r="L2277" i="2"/>
  <c r="M2277" i="2" s="1"/>
  <c r="L2281" i="2"/>
  <c r="M2281" i="2" s="1"/>
  <c r="L2285" i="2"/>
  <c r="M2285" i="2" s="1"/>
  <c r="L2289" i="2"/>
  <c r="M2289" i="2" s="1"/>
  <c r="L2293" i="2"/>
  <c r="M2293" i="2" s="1"/>
  <c r="L2297" i="2"/>
  <c r="M2297" i="2" s="1"/>
  <c r="L2301" i="2"/>
  <c r="M2301" i="2" s="1"/>
  <c r="L2305" i="2"/>
  <c r="M2305" i="2" s="1"/>
  <c r="L2309" i="2"/>
  <c r="M2309" i="2" s="1"/>
  <c r="L2313" i="2"/>
  <c r="M2313" i="2" s="1"/>
  <c r="L2317" i="2"/>
  <c r="M2317" i="2" s="1"/>
  <c r="L2321" i="2"/>
  <c r="M2321" i="2" s="1"/>
  <c r="L2325" i="2"/>
  <c r="M2325" i="2" s="1"/>
  <c r="L2329" i="2"/>
  <c r="M2329" i="2" s="1"/>
  <c r="L2333" i="2"/>
  <c r="M2333" i="2" s="1"/>
  <c r="L2337" i="2"/>
  <c r="M2337" i="2" s="1"/>
  <c r="L2341" i="2"/>
  <c r="M2341" i="2" s="1"/>
  <c r="L2345" i="2"/>
  <c r="M2345" i="2" s="1"/>
  <c r="L2349" i="2"/>
  <c r="M2349" i="2" s="1"/>
  <c r="L2353" i="2"/>
  <c r="M2353" i="2" s="1"/>
  <c r="L2357" i="2"/>
  <c r="M2357" i="2" s="1"/>
  <c r="L2361" i="2"/>
  <c r="M2361" i="2" s="1"/>
  <c r="L2365" i="2"/>
  <c r="M2365" i="2" s="1"/>
  <c r="L2369" i="2"/>
  <c r="M2369" i="2" s="1"/>
  <c r="L2373" i="2"/>
  <c r="M2373" i="2" s="1"/>
  <c r="L2377" i="2"/>
  <c r="M2377" i="2" s="1"/>
  <c r="L2381" i="2"/>
  <c r="M2381" i="2" s="1"/>
  <c r="L2385" i="2"/>
  <c r="M2385" i="2" s="1"/>
  <c r="L2389" i="2"/>
  <c r="M2389" i="2" s="1"/>
  <c r="L2393" i="2"/>
  <c r="M2393" i="2" s="1"/>
  <c r="L2397" i="2"/>
  <c r="M2397" i="2" s="1"/>
  <c r="L2401" i="2"/>
  <c r="M2401" i="2" s="1"/>
  <c r="L2405" i="2"/>
  <c r="M2405" i="2" s="1"/>
  <c r="L2409" i="2"/>
  <c r="M2409" i="2" s="1"/>
  <c r="L2413" i="2"/>
  <c r="M2413" i="2" s="1"/>
  <c r="L2417" i="2"/>
  <c r="M2417" i="2" s="1"/>
  <c r="L2421" i="2"/>
  <c r="M2421" i="2" s="1"/>
  <c r="L2425" i="2"/>
  <c r="M2425" i="2" s="1"/>
  <c r="L2429" i="2"/>
  <c r="M2429" i="2" s="1"/>
  <c r="L2433" i="2"/>
  <c r="M2433" i="2" s="1"/>
  <c r="L2437" i="2"/>
  <c r="M2437" i="2" s="1"/>
  <c r="L2441" i="2"/>
  <c r="M2441" i="2" s="1"/>
  <c r="L2445" i="2"/>
  <c r="M2445" i="2" s="1"/>
  <c r="L2449" i="2"/>
  <c r="M2449" i="2" s="1"/>
  <c r="L2453" i="2"/>
  <c r="M2453" i="2" s="1"/>
  <c r="L2457" i="2"/>
  <c r="M2457" i="2" s="1"/>
  <c r="L2461" i="2"/>
  <c r="M2461" i="2" s="1"/>
  <c r="L2465" i="2"/>
  <c r="M2465" i="2" s="1"/>
  <c r="L2469" i="2"/>
  <c r="M2469" i="2" s="1"/>
  <c r="L2473" i="2"/>
  <c r="M2473" i="2" s="1"/>
  <c r="L2477" i="2"/>
  <c r="M2477" i="2" s="1"/>
  <c r="L2481" i="2"/>
  <c r="M2481" i="2" s="1"/>
  <c r="L2485" i="2"/>
  <c r="M2485" i="2" s="1"/>
  <c r="L2489" i="2"/>
  <c r="M2489" i="2" s="1"/>
  <c r="L2493" i="2"/>
  <c r="M2493" i="2" s="1"/>
  <c r="L2497" i="2"/>
  <c r="M2497" i="2" s="1"/>
  <c r="L2501" i="2"/>
  <c r="M2501" i="2" s="1"/>
  <c r="L2505" i="2"/>
  <c r="M2505" i="2" s="1"/>
  <c r="L2509" i="2"/>
  <c r="M2509" i="2" s="1"/>
  <c r="L2513" i="2"/>
  <c r="M2513" i="2" s="1"/>
  <c r="L2517" i="2"/>
  <c r="M2517" i="2" s="1"/>
  <c r="L2521" i="2"/>
  <c r="M2521" i="2" s="1"/>
  <c r="L2525" i="2"/>
  <c r="M2525" i="2" s="1"/>
  <c r="L2529" i="2"/>
  <c r="M2529" i="2" s="1"/>
  <c r="L2533" i="2"/>
  <c r="M2533" i="2" s="1"/>
  <c r="L2537" i="2"/>
  <c r="M2537" i="2" s="1"/>
  <c r="L2541" i="2"/>
  <c r="M2541" i="2" s="1"/>
  <c r="L2545" i="2"/>
  <c r="M2545" i="2" s="1"/>
  <c r="L2549" i="2"/>
  <c r="M2549" i="2" s="1"/>
  <c r="L2553" i="2"/>
  <c r="M2553" i="2" s="1"/>
  <c r="L2557" i="2"/>
  <c r="M2557" i="2" s="1"/>
  <c r="L2561" i="2"/>
  <c r="M2561" i="2" s="1"/>
  <c r="L2565" i="2"/>
  <c r="M2565" i="2" s="1"/>
  <c r="L2569" i="2"/>
  <c r="M2569" i="2" s="1"/>
  <c r="L2573" i="2"/>
  <c r="M2573" i="2" s="1"/>
  <c r="L2577" i="2"/>
  <c r="M2577" i="2" s="1"/>
  <c r="L2581" i="2"/>
  <c r="M2581" i="2" s="1"/>
  <c r="L2585" i="2"/>
  <c r="M2585" i="2" s="1"/>
  <c r="L2589" i="2"/>
  <c r="M2589" i="2" s="1"/>
  <c r="L2593" i="2"/>
  <c r="M2593" i="2" s="1"/>
  <c r="L2597" i="2"/>
  <c r="M2597" i="2" s="1"/>
  <c r="L2601" i="2"/>
  <c r="M2601" i="2" s="1"/>
  <c r="L2605" i="2"/>
  <c r="M2605" i="2" s="1"/>
  <c r="L2609" i="2"/>
  <c r="M2609" i="2" s="1"/>
  <c r="L2613" i="2"/>
  <c r="M2613" i="2" s="1"/>
  <c r="L2617" i="2"/>
  <c r="M2617" i="2" s="1"/>
  <c r="L2621" i="2"/>
  <c r="M2621" i="2" s="1"/>
  <c r="L2625" i="2"/>
  <c r="M2625" i="2" s="1"/>
  <c r="L2629" i="2"/>
  <c r="M2629" i="2" s="1"/>
  <c r="L2633" i="2"/>
  <c r="M2633" i="2" s="1"/>
  <c r="L2637" i="2"/>
  <c r="M2637" i="2" s="1"/>
  <c r="L2641" i="2"/>
  <c r="M2641" i="2" s="1"/>
  <c r="L2645" i="2"/>
  <c r="M2645" i="2" s="1"/>
  <c r="L2649" i="2"/>
  <c r="M2649" i="2" s="1"/>
  <c r="L2653" i="2"/>
  <c r="M2653" i="2" s="1"/>
  <c r="L2657" i="2"/>
  <c r="M2657" i="2" s="1"/>
  <c r="L2661" i="2"/>
  <c r="M2661" i="2" s="1"/>
  <c r="L2665" i="2"/>
  <c r="M2665" i="2" s="1"/>
  <c r="L2669" i="2"/>
  <c r="M2669" i="2" s="1"/>
  <c r="L2673" i="2"/>
  <c r="M2673" i="2" s="1"/>
  <c r="L2677" i="2"/>
  <c r="M2677" i="2" s="1"/>
  <c r="L2681" i="2"/>
  <c r="M2681" i="2" s="1"/>
  <c r="L2685" i="2"/>
  <c r="M2685" i="2" s="1"/>
  <c r="L2689" i="2"/>
  <c r="M2689" i="2" s="1"/>
  <c r="L2693" i="2"/>
  <c r="M2693" i="2" s="1"/>
  <c r="L2697" i="2"/>
  <c r="M2697" i="2" s="1"/>
  <c r="L2701" i="2"/>
  <c r="M2701" i="2" s="1"/>
  <c r="L2705" i="2"/>
  <c r="M2705" i="2" s="1"/>
  <c r="L2709" i="2"/>
  <c r="M2709" i="2" s="1"/>
  <c r="L2713" i="2"/>
  <c r="M2713" i="2" s="1"/>
  <c r="L2717" i="2"/>
  <c r="M2717" i="2" s="1"/>
  <c r="L2721" i="2"/>
  <c r="M2721" i="2" s="1"/>
  <c r="L2725" i="2"/>
  <c r="M2725" i="2" s="1"/>
  <c r="L2729" i="2"/>
  <c r="M2729" i="2" s="1"/>
  <c r="L2733" i="2"/>
  <c r="M2733" i="2" s="1"/>
  <c r="L2737" i="2"/>
  <c r="M2737" i="2" s="1"/>
  <c r="L2741" i="2"/>
  <c r="M2741" i="2" s="1"/>
  <c r="L2745" i="2"/>
  <c r="M2745" i="2" s="1"/>
  <c r="L2749" i="2"/>
  <c r="M2749" i="2" s="1"/>
  <c r="L2753" i="2"/>
  <c r="M2753" i="2" s="1"/>
  <c r="L2757" i="2"/>
  <c r="M2757" i="2" s="1"/>
  <c r="L2761" i="2"/>
  <c r="M2761" i="2" s="1"/>
  <c r="L2765" i="2"/>
  <c r="M2765" i="2" s="1"/>
  <c r="L2769" i="2"/>
  <c r="M2769" i="2" s="1"/>
  <c r="L2773" i="2"/>
  <c r="M2773" i="2" s="1"/>
  <c r="L2777" i="2"/>
  <c r="M2777" i="2" s="1"/>
  <c r="L2781" i="2"/>
  <c r="M2781" i="2" s="1"/>
  <c r="L2785" i="2"/>
  <c r="M2785" i="2" s="1"/>
  <c r="L2789" i="2"/>
  <c r="M2789" i="2" s="1"/>
  <c r="L2793" i="2"/>
  <c r="M2793" i="2" s="1"/>
  <c r="L2797" i="2"/>
  <c r="M2797" i="2" s="1"/>
  <c r="L2801" i="2"/>
  <c r="M2801" i="2" s="1"/>
  <c r="L2805" i="2"/>
  <c r="M2805" i="2" s="1"/>
  <c r="L2809" i="2"/>
  <c r="M2809" i="2" s="1"/>
  <c r="L2813" i="2"/>
  <c r="M2813" i="2" s="1"/>
  <c r="L2817" i="2"/>
  <c r="M2817" i="2" s="1"/>
  <c r="L2821" i="2"/>
  <c r="M2821" i="2" s="1"/>
  <c r="L2825" i="2"/>
  <c r="M2825" i="2" s="1"/>
  <c r="L2829" i="2"/>
  <c r="M2829" i="2" s="1"/>
  <c r="L2833" i="2"/>
  <c r="M2833" i="2" s="1"/>
  <c r="L2837" i="2"/>
  <c r="M2837" i="2" s="1"/>
  <c r="L2841" i="2"/>
  <c r="M2841" i="2" s="1"/>
  <c r="L2845" i="2"/>
  <c r="M2845" i="2" s="1"/>
  <c r="L2849" i="2"/>
  <c r="M2849" i="2" s="1"/>
  <c r="L2853" i="2"/>
  <c r="M2853" i="2" s="1"/>
  <c r="L2857" i="2"/>
  <c r="M2857" i="2" s="1"/>
  <c r="L2861" i="2"/>
  <c r="M2861" i="2" s="1"/>
  <c r="L2865" i="2"/>
  <c r="M2865" i="2" s="1"/>
  <c r="L2869" i="2"/>
  <c r="M2869" i="2" s="1"/>
  <c r="L2873" i="2"/>
  <c r="M2873" i="2" s="1"/>
  <c r="L2877" i="2"/>
  <c r="M2877" i="2" s="1"/>
  <c r="L2881" i="2"/>
  <c r="M2881" i="2" s="1"/>
  <c r="L2885" i="2"/>
  <c r="M2885" i="2" s="1"/>
  <c r="L2889" i="2"/>
  <c r="M2889" i="2" s="1"/>
  <c r="L2893" i="2"/>
  <c r="M2893" i="2" s="1"/>
  <c r="L2897" i="2"/>
  <c r="M2897" i="2" s="1"/>
  <c r="L2901" i="2"/>
  <c r="M2901" i="2" s="1"/>
  <c r="L2905" i="2"/>
  <c r="M2905" i="2" s="1"/>
  <c r="L2909" i="2"/>
  <c r="M2909" i="2" s="1"/>
  <c r="L2913" i="2"/>
  <c r="M2913" i="2" s="1"/>
  <c r="L2917" i="2"/>
  <c r="M2917" i="2" s="1"/>
  <c r="L2921" i="2"/>
  <c r="M2921" i="2" s="1"/>
  <c r="L2925" i="2"/>
  <c r="M2925" i="2" s="1"/>
  <c r="L2929" i="2"/>
  <c r="M2929" i="2" s="1"/>
  <c r="L2933" i="2"/>
  <c r="M2933" i="2" s="1"/>
  <c r="L2937" i="2"/>
  <c r="M2937" i="2" s="1"/>
  <c r="L2941" i="2"/>
  <c r="M2941" i="2" s="1"/>
  <c r="L2945" i="2"/>
  <c r="M2945" i="2" s="1"/>
  <c r="L2949" i="2"/>
  <c r="M2949" i="2" s="1"/>
  <c r="L2953" i="2"/>
  <c r="M2953" i="2" s="1"/>
  <c r="L2957" i="2"/>
  <c r="M2957" i="2" s="1"/>
  <c r="L2961" i="2"/>
  <c r="M2961" i="2" s="1"/>
  <c r="L2965" i="2"/>
  <c r="M2965" i="2" s="1"/>
  <c r="L2969" i="2"/>
  <c r="M2969" i="2" s="1"/>
  <c r="L2973" i="2"/>
  <c r="M2973" i="2" s="1"/>
  <c r="L2977" i="2"/>
  <c r="M2977" i="2" s="1"/>
  <c r="L2981" i="2"/>
  <c r="M2981" i="2" s="1"/>
  <c r="L2985" i="2"/>
  <c r="M2985" i="2" s="1"/>
  <c r="L2989" i="2"/>
  <c r="M2989" i="2" s="1"/>
  <c r="L2993" i="2"/>
  <c r="M2993" i="2" s="1"/>
  <c r="L2997" i="2"/>
  <c r="M2997" i="2" s="1"/>
  <c r="L3001" i="2"/>
  <c r="M3001" i="2" s="1"/>
  <c r="L3005" i="2"/>
  <c r="M3005" i="2" s="1"/>
  <c r="L3009" i="2"/>
  <c r="M3009" i="2" s="1"/>
  <c r="L3013" i="2"/>
  <c r="M3013" i="2" s="1"/>
  <c r="L3017" i="2"/>
  <c r="M3017" i="2" s="1"/>
  <c r="L3021" i="2"/>
  <c r="M3021" i="2" s="1"/>
  <c r="L3025" i="2"/>
  <c r="M3025" i="2" s="1"/>
  <c r="L3029" i="2"/>
  <c r="M3029" i="2" s="1"/>
  <c r="L3033" i="2"/>
  <c r="M3033" i="2" s="1"/>
  <c r="L3037" i="2"/>
  <c r="M3037" i="2" s="1"/>
  <c r="L3041" i="2"/>
  <c r="M3041" i="2" s="1"/>
  <c r="L3045" i="2"/>
  <c r="M3045" i="2" s="1"/>
  <c r="L3049" i="2"/>
  <c r="M3049" i="2" s="1"/>
  <c r="L3053" i="2"/>
  <c r="M3053" i="2" s="1"/>
  <c r="L3057" i="2"/>
  <c r="M3057" i="2" s="1"/>
  <c r="L3061" i="2"/>
  <c r="M3061" i="2" s="1"/>
  <c r="L3065" i="2"/>
  <c r="M3065" i="2" s="1"/>
  <c r="L3069" i="2"/>
  <c r="M3069" i="2" s="1"/>
  <c r="L3073" i="2"/>
  <c r="M3073" i="2" s="1"/>
  <c r="L3077" i="2"/>
  <c r="M3077" i="2" s="1"/>
  <c r="L3081" i="2"/>
  <c r="M3081" i="2" s="1"/>
  <c r="L3085" i="2"/>
  <c r="M3085" i="2" s="1"/>
  <c r="L3089" i="2"/>
  <c r="M3089" i="2" s="1"/>
  <c r="L3093" i="2"/>
  <c r="M3093" i="2" s="1"/>
  <c r="L3097" i="2"/>
  <c r="M3097" i="2" s="1"/>
  <c r="L3101" i="2"/>
  <c r="M3101" i="2" s="1"/>
  <c r="L3105" i="2"/>
  <c r="M3105" i="2" s="1"/>
  <c r="L3109" i="2"/>
  <c r="M3109" i="2" s="1"/>
  <c r="L3113" i="2"/>
  <c r="M3113" i="2" s="1"/>
  <c r="L3117" i="2"/>
  <c r="M3117" i="2" s="1"/>
  <c r="L3121" i="2"/>
  <c r="M3121" i="2" s="1"/>
  <c r="L3125" i="2"/>
  <c r="M3125" i="2" s="1"/>
  <c r="L3129" i="2"/>
  <c r="M3129" i="2" s="1"/>
  <c r="L3133" i="2"/>
  <c r="M3133" i="2" s="1"/>
  <c r="L3137" i="2"/>
  <c r="M3137" i="2" s="1"/>
  <c r="L3141" i="2"/>
  <c r="M3141" i="2" s="1"/>
  <c r="L3145" i="2"/>
  <c r="M3145" i="2" s="1"/>
  <c r="L3149" i="2"/>
  <c r="M3149" i="2" s="1"/>
  <c r="L3153" i="2"/>
  <c r="M3153" i="2" s="1"/>
  <c r="L3157" i="2"/>
  <c r="M3157" i="2" s="1"/>
  <c r="L3161" i="2"/>
  <c r="M3161" i="2" s="1"/>
  <c r="L3165" i="2"/>
  <c r="M3165" i="2" s="1"/>
  <c r="L3169" i="2"/>
  <c r="M3169" i="2" s="1"/>
  <c r="L3173" i="2"/>
  <c r="M3173" i="2" s="1"/>
  <c r="L3177" i="2"/>
  <c r="M3177" i="2" s="1"/>
  <c r="L3181" i="2"/>
  <c r="M3181" i="2" s="1"/>
  <c r="L3185" i="2"/>
  <c r="M3185" i="2" s="1"/>
  <c r="L3189" i="2"/>
  <c r="M3189" i="2" s="1"/>
  <c r="L3193" i="2"/>
  <c r="M3193" i="2" s="1"/>
  <c r="L3197" i="2"/>
  <c r="M3197" i="2" s="1"/>
  <c r="L3201" i="2"/>
  <c r="M3201" i="2" s="1"/>
  <c r="L3205" i="2"/>
  <c r="M3205" i="2" s="1"/>
  <c r="L3209" i="2"/>
  <c r="M3209" i="2" s="1"/>
  <c r="L3213" i="2"/>
  <c r="M3213" i="2" s="1"/>
  <c r="L3217" i="2"/>
  <c r="M3217" i="2" s="1"/>
  <c r="L3221" i="2"/>
  <c r="M3221" i="2" s="1"/>
  <c r="L3225" i="2"/>
  <c r="M3225" i="2" s="1"/>
  <c r="L3229" i="2"/>
  <c r="M3229" i="2" s="1"/>
  <c r="L3233" i="2"/>
  <c r="M3233" i="2" s="1"/>
  <c r="L3237" i="2"/>
  <c r="M3237" i="2" s="1"/>
  <c r="L3241" i="2"/>
  <c r="M3241" i="2" s="1"/>
  <c r="L3245" i="2"/>
  <c r="M3245" i="2" s="1"/>
  <c r="L3249" i="2"/>
  <c r="M3249" i="2" s="1"/>
  <c r="L3253" i="2"/>
  <c r="M3253" i="2" s="1"/>
  <c r="L3257" i="2"/>
  <c r="M3257" i="2" s="1"/>
  <c r="L3261" i="2"/>
  <c r="M3261" i="2" s="1"/>
  <c r="L3265" i="2"/>
  <c r="M3265" i="2" s="1"/>
  <c r="L3269" i="2"/>
  <c r="M3269" i="2" s="1"/>
  <c r="L3273" i="2"/>
  <c r="M3273" i="2" s="1"/>
  <c r="L3277" i="2"/>
  <c r="M3277" i="2" s="1"/>
  <c r="L3281" i="2"/>
  <c r="M3281" i="2" s="1"/>
  <c r="L3285" i="2"/>
  <c r="M3285" i="2" s="1"/>
  <c r="L3289" i="2"/>
  <c r="M3289" i="2" s="1"/>
  <c r="L3293" i="2"/>
  <c r="M3293" i="2" s="1"/>
  <c r="L3297" i="2"/>
  <c r="M3297" i="2" s="1"/>
  <c r="L3301" i="2"/>
  <c r="M3301" i="2" s="1"/>
  <c r="L3305" i="2"/>
  <c r="M3305" i="2" s="1"/>
  <c r="L3309" i="2"/>
  <c r="M3309" i="2" s="1"/>
  <c r="L3313" i="2"/>
  <c r="M3313" i="2" s="1"/>
  <c r="L3317" i="2"/>
  <c r="M3317" i="2" s="1"/>
  <c r="L3321" i="2"/>
  <c r="M3321" i="2" s="1"/>
  <c r="L3325" i="2"/>
  <c r="M3325" i="2" s="1"/>
  <c r="L3329" i="2"/>
  <c r="M3329" i="2" s="1"/>
  <c r="L3333" i="2"/>
  <c r="M3333" i="2" s="1"/>
  <c r="L3337" i="2"/>
  <c r="M3337" i="2" s="1"/>
  <c r="L3341" i="2"/>
  <c r="M3341" i="2" s="1"/>
  <c r="L3345" i="2"/>
  <c r="M3345" i="2" s="1"/>
  <c r="L3349" i="2"/>
  <c r="M3349" i="2" s="1"/>
  <c r="L3353" i="2"/>
  <c r="M3353" i="2" s="1"/>
  <c r="L3357" i="2"/>
  <c r="M3357" i="2" s="1"/>
  <c r="L3361" i="2"/>
  <c r="M3361" i="2" s="1"/>
  <c r="L3365" i="2"/>
  <c r="M3365" i="2" s="1"/>
  <c r="L3369" i="2"/>
  <c r="M3369" i="2" s="1"/>
  <c r="L3373" i="2"/>
  <c r="M3373" i="2" s="1"/>
  <c r="L3377" i="2"/>
  <c r="M3377" i="2" s="1"/>
  <c r="L3381" i="2"/>
  <c r="M3381" i="2" s="1"/>
  <c r="L3385" i="2"/>
  <c r="M3385" i="2" s="1"/>
  <c r="L3389" i="2"/>
  <c r="M3389" i="2" s="1"/>
  <c r="L3393" i="2"/>
  <c r="M3393" i="2" s="1"/>
  <c r="L3397" i="2"/>
  <c r="M3397" i="2" s="1"/>
  <c r="L3401" i="2"/>
  <c r="M3401" i="2" s="1"/>
  <c r="L3405" i="2"/>
  <c r="M3405" i="2" s="1"/>
  <c r="L3409" i="2"/>
  <c r="M3409" i="2" s="1"/>
  <c r="L3413" i="2"/>
  <c r="M3413" i="2" s="1"/>
  <c r="L3417" i="2"/>
  <c r="M3417" i="2" s="1"/>
  <c r="L3421" i="2"/>
  <c r="M3421" i="2" s="1"/>
  <c r="L3425" i="2"/>
  <c r="M3425" i="2" s="1"/>
  <c r="L3429" i="2"/>
  <c r="M3429" i="2" s="1"/>
  <c r="L3433" i="2"/>
  <c r="M3433" i="2" s="1"/>
  <c r="L3437" i="2"/>
  <c r="M3437" i="2" s="1"/>
  <c r="L3441" i="2"/>
  <c r="M3441" i="2" s="1"/>
  <c r="L3445" i="2"/>
  <c r="M3445" i="2" s="1"/>
  <c r="L3449" i="2"/>
  <c r="M3449" i="2" s="1"/>
  <c r="L3453" i="2"/>
  <c r="M3453" i="2" s="1"/>
  <c r="L3457" i="2"/>
  <c r="M3457" i="2" s="1"/>
  <c r="L3461" i="2"/>
  <c r="M3461" i="2" s="1"/>
  <c r="L3465" i="2"/>
  <c r="M3465" i="2" s="1"/>
  <c r="L3469" i="2"/>
  <c r="M3469" i="2" s="1"/>
  <c r="L3473" i="2"/>
  <c r="M3473" i="2" s="1"/>
  <c r="L3477" i="2"/>
  <c r="M3477" i="2" s="1"/>
  <c r="L3481" i="2"/>
  <c r="M3481" i="2" s="1"/>
  <c r="L3485" i="2"/>
  <c r="M3485" i="2" s="1"/>
  <c r="L3489" i="2"/>
  <c r="M3489" i="2" s="1"/>
  <c r="L3493" i="2"/>
  <c r="M3493" i="2" s="1"/>
  <c r="L3497" i="2"/>
  <c r="M3497" i="2" s="1"/>
  <c r="L3501" i="2"/>
  <c r="M3501" i="2" s="1"/>
  <c r="L3505" i="2"/>
  <c r="M3505" i="2" s="1"/>
  <c r="L3509" i="2"/>
  <c r="M3509" i="2" s="1"/>
  <c r="L3513" i="2"/>
  <c r="M3513" i="2" s="1"/>
  <c r="L3517" i="2"/>
  <c r="M3517" i="2" s="1"/>
  <c r="L3521" i="2"/>
  <c r="M3521" i="2" s="1"/>
  <c r="L3525" i="2"/>
  <c r="M3525" i="2" s="1"/>
  <c r="L3529" i="2"/>
  <c r="M3529" i="2" s="1"/>
  <c r="L3533" i="2"/>
  <c r="M3533" i="2" s="1"/>
  <c r="L3537" i="2"/>
  <c r="M3537" i="2" s="1"/>
  <c r="L3541" i="2"/>
  <c r="M3541" i="2" s="1"/>
  <c r="L3545" i="2"/>
  <c r="M3545" i="2" s="1"/>
  <c r="L3549" i="2"/>
  <c r="M3549" i="2" s="1"/>
  <c r="L3553" i="2"/>
  <c r="M3553" i="2" s="1"/>
  <c r="L3557" i="2"/>
  <c r="M3557" i="2" s="1"/>
  <c r="L3561" i="2"/>
  <c r="M3561" i="2" s="1"/>
  <c r="L3565" i="2"/>
  <c r="M3565" i="2" s="1"/>
  <c r="L3569" i="2"/>
  <c r="M3569" i="2" s="1"/>
  <c r="L3573" i="2"/>
  <c r="M3573" i="2" s="1"/>
  <c r="L3577" i="2"/>
  <c r="M3577" i="2" s="1"/>
  <c r="L3581" i="2"/>
  <c r="M3581" i="2" s="1"/>
  <c r="L3585" i="2"/>
  <c r="M3585" i="2" s="1"/>
  <c r="L3589" i="2"/>
  <c r="M3589" i="2" s="1"/>
  <c r="L3593" i="2"/>
  <c r="M3593" i="2" s="1"/>
  <c r="L3597" i="2"/>
  <c r="M3597" i="2" s="1"/>
  <c r="L3601" i="2"/>
  <c r="M3601" i="2" s="1"/>
  <c r="L3605" i="2"/>
  <c r="M3605" i="2" s="1"/>
  <c r="L3609" i="2"/>
  <c r="M3609" i="2" s="1"/>
  <c r="L3613" i="2"/>
  <c r="M3613" i="2" s="1"/>
  <c r="L3617" i="2"/>
  <c r="M3617" i="2" s="1"/>
  <c r="L3621" i="2"/>
  <c r="M3621" i="2" s="1"/>
  <c r="L3625" i="2"/>
  <c r="M3625" i="2" s="1"/>
  <c r="L3629" i="2"/>
  <c r="M3629" i="2" s="1"/>
  <c r="L3633" i="2"/>
  <c r="M3633" i="2" s="1"/>
  <c r="L3637" i="2"/>
  <c r="M3637" i="2" s="1"/>
  <c r="L3641" i="2"/>
  <c r="M3641" i="2" s="1"/>
  <c r="L3645" i="2"/>
  <c r="M3645" i="2" s="1"/>
  <c r="L640" i="2"/>
  <c r="M640" i="2" s="1"/>
  <c r="L656" i="2"/>
  <c r="M656" i="2" s="1"/>
  <c r="L672" i="2"/>
  <c r="M672" i="2" s="1"/>
  <c r="L688" i="2"/>
  <c r="M688" i="2" s="1"/>
  <c r="L704" i="2"/>
  <c r="M704" i="2" s="1"/>
  <c r="L720" i="2"/>
  <c r="M720" i="2" s="1"/>
  <c r="L736" i="2"/>
  <c r="M736" i="2" s="1"/>
  <c r="L751" i="2"/>
  <c r="M751" i="2" s="1"/>
  <c r="L759" i="2"/>
  <c r="M759" i="2" s="1"/>
  <c r="L767" i="2"/>
  <c r="M767" i="2" s="1"/>
  <c r="L775" i="2"/>
  <c r="M775" i="2" s="1"/>
  <c r="L783" i="2"/>
  <c r="M783" i="2" s="1"/>
  <c r="L791" i="2"/>
  <c r="M791" i="2" s="1"/>
  <c r="L799" i="2"/>
  <c r="M799" i="2" s="1"/>
  <c r="L807" i="2"/>
  <c r="M807" i="2" s="1"/>
  <c r="L815" i="2"/>
  <c r="M815" i="2" s="1"/>
  <c r="L823" i="2"/>
  <c r="M823" i="2" s="1"/>
  <c r="L831" i="2"/>
  <c r="M831" i="2" s="1"/>
  <c r="L839" i="2"/>
  <c r="M839" i="2" s="1"/>
  <c r="L847" i="2"/>
  <c r="M847" i="2" s="1"/>
  <c r="L855" i="2"/>
  <c r="M855" i="2" s="1"/>
  <c r="L863" i="2"/>
  <c r="M863" i="2" s="1"/>
  <c r="L871" i="2"/>
  <c r="M871" i="2" s="1"/>
  <c r="L879" i="2"/>
  <c r="M879" i="2" s="1"/>
  <c r="L887" i="2"/>
  <c r="M887" i="2" s="1"/>
  <c r="L895" i="2"/>
  <c r="M895" i="2" s="1"/>
  <c r="L903" i="2"/>
  <c r="M903" i="2" s="1"/>
  <c r="L911" i="2"/>
  <c r="M911" i="2" s="1"/>
  <c r="L919" i="2"/>
  <c r="M919" i="2" s="1"/>
  <c r="L927" i="2"/>
  <c r="M927" i="2" s="1"/>
  <c r="L935" i="2"/>
  <c r="M935" i="2" s="1"/>
  <c r="L943" i="2"/>
  <c r="M943" i="2" s="1"/>
  <c r="L951" i="2"/>
  <c r="M951" i="2" s="1"/>
  <c r="L959" i="2"/>
  <c r="M959" i="2" s="1"/>
  <c r="L967" i="2"/>
  <c r="M967" i="2" s="1"/>
  <c r="L975" i="2"/>
  <c r="M975" i="2" s="1"/>
  <c r="L983" i="2"/>
  <c r="M983" i="2" s="1"/>
  <c r="L991" i="2"/>
  <c r="M991" i="2" s="1"/>
  <c r="L999" i="2"/>
  <c r="M999" i="2" s="1"/>
  <c r="L1007" i="2"/>
  <c r="M1007" i="2" s="1"/>
  <c r="L1015" i="2"/>
  <c r="M1015" i="2" s="1"/>
  <c r="L1023" i="2"/>
  <c r="M1023" i="2" s="1"/>
  <c r="L1031" i="2"/>
  <c r="M1031" i="2" s="1"/>
  <c r="L1039" i="2"/>
  <c r="M1039" i="2" s="1"/>
  <c r="L1047" i="2"/>
  <c r="M1047" i="2" s="1"/>
  <c r="L1055" i="2"/>
  <c r="M1055" i="2" s="1"/>
  <c r="L1063" i="2"/>
  <c r="M1063" i="2" s="1"/>
  <c r="L1071" i="2"/>
  <c r="M1071" i="2" s="1"/>
  <c r="L1079" i="2"/>
  <c r="M1079" i="2" s="1"/>
  <c r="L1087" i="2"/>
  <c r="M1087" i="2" s="1"/>
  <c r="L1095" i="2"/>
  <c r="M1095" i="2" s="1"/>
  <c r="L1103" i="2"/>
  <c r="M1103" i="2" s="1"/>
  <c r="L1111" i="2"/>
  <c r="M1111" i="2" s="1"/>
  <c r="L1119" i="2"/>
  <c r="M1119" i="2" s="1"/>
  <c r="L1127" i="2"/>
  <c r="M1127" i="2" s="1"/>
  <c r="L1135" i="2"/>
  <c r="M1135" i="2" s="1"/>
  <c r="L1143" i="2"/>
  <c r="M1143" i="2" s="1"/>
  <c r="L1151" i="2"/>
  <c r="M1151" i="2" s="1"/>
  <c r="L1159" i="2"/>
  <c r="M1159" i="2" s="1"/>
  <c r="L1167" i="2"/>
  <c r="M1167" i="2" s="1"/>
  <c r="L1175" i="2"/>
  <c r="M1175" i="2" s="1"/>
  <c r="L1183" i="2"/>
  <c r="M1183" i="2" s="1"/>
  <c r="L1191" i="2"/>
  <c r="M1191" i="2" s="1"/>
  <c r="L1199" i="2"/>
  <c r="M1199" i="2" s="1"/>
  <c r="L1207" i="2"/>
  <c r="M1207" i="2" s="1"/>
  <c r="L1215" i="2"/>
  <c r="M1215" i="2" s="1"/>
  <c r="L1223" i="2"/>
  <c r="M1223" i="2" s="1"/>
  <c r="L1231" i="2"/>
  <c r="M1231" i="2" s="1"/>
  <c r="L1239" i="2"/>
  <c r="M1239" i="2" s="1"/>
  <c r="L1247" i="2"/>
  <c r="M1247" i="2" s="1"/>
  <c r="L1255" i="2"/>
  <c r="M1255" i="2" s="1"/>
  <c r="L1263" i="2"/>
  <c r="M1263" i="2" s="1"/>
  <c r="L1271" i="2"/>
  <c r="M1271" i="2" s="1"/>
  <c r="L1279" i="2"/>
  <c r="M1279" i="2" s="1"/>
  <c r="L1287" i="2"/>
  <c r="M1287" i="2" s="1"/>
  <c r="L1295" i="2"/>
  <c r="M1295" i="2" s="1"/>
  <c r="L1303" i="2"/>
  <c r="M1303" i="2" s="1"/>
  <c r="L1311" i="2"/>
  <c r="M1311" i="2" s="1"/>
  <c r="L1319" i="2"/>
  <c r="M1319" i="2" s="1"/>
  <c r="L1327" i="2"/>
  <c r="M1327" i="2" s="1"/>
  <c r="L1335" i="2"/>
  <c r="M1335" i="2" s="1"/>
  <c r="L1343" i="2"/>
  <c r="M1343" i="2" s="1"/>
  <c r="L1351" i="2"/>
  <c r="M1351" i="2" s="1"/>
  <c r="L1359" i="2"/>
  <c r="M1359" i="2" s="1"/>
  <c r="L1367" i="2"/>
  <c r="M1367" i="2" s="1"/>
  <c r="L1375" i="2"/>
  <c r="M1375" i="2" s="1"/>
  <c r="L1383" i="2"/>
  <c r="M1383" i="2" s="1"/>
  <c r="L1391" i="2"/>
  <c r="M1391" i="2" s="1"/>
  <c r="L1399" i="2"/>
  <c r="M1399" i="2" s="1"/>
  <c r="L1407" i="2"/>
  <c r="M1407" i="2" s="1"/>
  <c r="L1415" i="2"/>
  <c r="M1415" i="2" s="1"/>
  <c r="L1423" i="2"/>
  <c r="M1423" i="2" s="1"/>
  <c r="L1431" i="2"/>
  <c r="M1431" i="2" s="1"/>
  <c r="L1439" i="2"/>
  <c r="M1439" i="2" s="1"/>
  <c r="L1447" i="2"/>
  <c r="M1447" i="2" s="1"/>
  <c r="L1455" i="2"/>
  <c r="M1455" i="2" s="1"/>
  <c r="L1463" i="2"/>
  <c r="M1463" i="2" s="1"/>
  <c r="L1471" i="2"/>
  <c r="M1471" i="2" s="1"/>
  <c r="L1479" i="2"/>
  <c r="M1479" i="2" s="1"/>
  <c r="L1487" i="2"/>
  <c r="M1487" i="2" s="1"/>
  <c r="L1495" i="2"/>
  <c r="M1495" i="2" s="1"/>
  <c r="L1503" i="2"/>
  <c r="M1503" i="2" s="1"/>
  <c r="L1511" i="2"/>
  <c r="M1511" i="2" s="1"/>
  <c r="L1519" i="2"/>
  <c r="M1519" i="2" s="1"/>
  <c r="L1527" i="2"/>
  <c r="M1527" i="2" s="1"/>
  <c r="L1535" i="2"/>
  <c r="M1535" i="2" s="1"/>
  <c r="L1543" i="2"/>
  <c r="M1543" i="2" s="1"/>
  <c r="L1551" i="2"/>
  <c r="M1551" i="2" s="1"/>
  <c r="L1559" i="2"/>
  <c r="M1559" i="2" s="1"/>
  <c r="L1567" i="2"/>
  <c r="M1567" i="2" s="1"/>
  <c r="L1575" i="2"/>
  <c r="M1575" i="2" s="1"/>
  <c r="L1583" i="2"/>
  <c r="M1583" i="2" s="1"/>
  <c r="L1591" i="2"/>
  <c r="M1591" i="2" s="1"/>
  <c r="L1599" i="2"/>
  <c r="M1599" i="2" s="1"/>
  <c r="L1607" i="2"/>
  <c r="M1607" i="2" s="1"/>
  <c r="L1613" i="2"/>
  <c r="M1613" i="2" s="1"/>
  <c r="L1618" i="2"/>
  <c r="M1618" i="2" s="1"/>
  <c r="L1622" i="2"/>
  <c r="M1622" i="2" s="1"/>
  <c r="L1626" i="2"/>
  <c r="M1626" i="2" s="1"/>
  <c r="L1630" i="2"/>
  <c r="M1630" i="2" s="1"/>
  <c r="L1634" i="2"/>
  <c r="M1634" i="2" s="1"/>
  <c r="L1638" i="2"/>
  <c r="M1638" i="2" s="1"/>
  <c r="L1642" i="2"/>
  <c r="M1642" i="2" s="1"/>
  <c r="L1646" i="2"/>
  <c r="M1646" i="2" s="1"/>
  <c r="L1650" i="2"/>
  <c r="M1650" i="2" s="1"/>
  <c r="L1654" i="2"/>
  <c r="M1654" i="2" s="1"/>
  <c r="L1658" i="2"/>
  <c r="M1658" i="2" s="1"/>
  <c r="L1662" i="2"/>
  <c r="M1662" i="2" s="1"/>
  <c r="L1666" i="2"/>
  <c r="M1666" i="2" s="1"/>
  <c r="L1670" i="2"/>
  <c r="M1670" i="2" s="1"/>
  <c r="L1674" i="2"/>
  <c r="M1674" i="2" s="1"/>
  <c r="L1678" i="2"/>
  <c r="M1678" i="2" s="1"/>
  <c r="L1682" i="2"/>
  <c r="M1682" i="2" s="1"/>
  <c r="L1686" i="2"/>
  <c r="M1686" i="2" s="1"/>
  <c r="L1690" i="2"/>
  <c r="M1690" i="2" s="1"/>
  <c r="L1694" i="2"/>
  <c r="M1694" i="2" s="1"/>
  <c r="L1698" i="2"/>
  <c r="M1698" i="2" s="1"/>
  <c r="L1702" i="2"/>
  <c r="M1702" i="2" s="1"/>
  <c r="L1706" i="2"/>
  <c r="M1706" i="2" s="1"/>
  <c r="L1710" i="2"/>
  <c r="M1710" i="2" s="1"/>
  <c r="L1714" i="2"/>
  <c r="M1714" i="2" s="1"/>
  <c r="L1718" i="2"/>
  <c r="M1718" i="2" s="1"/>
  <c r="L1722" i="2"/>
  <c r="M1722" i="2" s="1"/>
  <c r="L1726" i="2"/>
  <c r="M1726" i="2" s="1"/>
  <c r="L1730" i="2"/>
  <c r="M1730" i="2" s="1"/>
  <c r="L1734" i="2"/>
  <c r="M1734" i="2" s="1"/>
  <c r="L1738" i="2"/>
  <c r="M1738" i="2" s="1"/>
  <c r="L1742" i="2"/>
  <c r="M1742" i="2" s="1"/>
  <c r="L1746" i="2"/>
  <c r="M1746" i="2" s="1"/>
  <c r="L1750" i="2"/>
  <c r="M1750" i="2" s="1"/>
  <c r="L1754" i="2"/>
  <c r="M1754" i="2" s="1"/>
  <c r="L1758" i="2"/>
  <c r="M1758" i="2" s="1"/>
  <c r="L1762" i="2"/>
  <c r="M1762" i="2" s="1"/>
  <c r="L1766" i="2"/>
  <c r="M1766" i="2" s="1"/>
  <c r="L1770" i="2"/>
  <c r="M1770" i="2" s="1"/>
  <c r="L1774" i="2"/>
  <c r="M1774" i="2" s="1"/>
  <c r="L1778" i="2"/>
  <c r="M1778" i="2" s="1"/>
  <c r="L1782" i="2"/>
  <c r="M1782" i="2" s="1"/>
  <c r="L1786" i="2"/>
  <c r="M1786" i="2" s="1"/>
  <c r="L1790" i="2"/>
  <c r="M1790" i="2" s="1"/>
  <c r="L1794" i="2"/>
  <c r="M1794" i="2" s="1"/>
  <c r="L1798" i="2"/>
  <c r="M1798" i="2" s="1"/>
  <c r="L1802" i="2"/>
  <c r="M1802" i="2" s="1"/>
  <c r="L1806" i="2"/>
  <c r="M1806" i="2" s="1"/>
  <c r="L1810" i="2"/>
  <c r="M1810" i="2" s="1"/>
  <c r="L1814" i="2"/>
  <c r="M1814" i="2" s="1"/>
  <c r="L1818" i="2"/>
  <c r="M1818" i="2" s="1"/>
  <c r="L1822" i="2"/>
  <c r="M1822" i="2" s="1"/>
  <c r="L1826" i="2"/>
  <c r="M1826" i="2" s="1"/>
  <c r="L1830" i="2"/>
  <c r="M1830" i="2" s="1"/>
  <c r="L1834" i="2"/>
  <c r="M1834" i="2" s="1"/>
  <c r="L1838" i="2"/>
  <c r="M1838" i="2" s="1"/>
  <c r="L1842" i="2"/>
  <c r="M1842" i="2" s="1"/>
  <c r="L1846" i="2"/>
  <c r="M1846" i="2" s="1"/>
  <c r="L1850" i="2"/>
  <c r="M1850" i="2" s="1"/>
  <c r="L1854" i="2"/>
  <c r="M1854" i="2" s="1"/>
  <c r="L1858" i="2"/>
  <c r="M1858" i="2" s="1"/>
  <c r="L1862" i="2"/>
  <c r="M1862" i="2" s="1"/>
  <c r="L1866" i="2"/>
  <c r="M1866" i="2" s="1"/>
  <c r="L1870" i="2"/>
  <c r="M1870" i="2" s="1"/>
  <c r="L1874" i="2"/>
  <c r="M1874" i="2" s="1"/>
  <c r="L1878" i="2"/>
  <c r="M1878" i="2" s="1"/>
  <c r="L1882" i="2"/>
  <c r="M1882" i="2" s="1"/>
  <c r="L1886" i="2"/>
  <c r="M1886" i="2" s="1"/>
  <c r="L1890" i="2"/>
  <c r="M1890" i="2" s="1"/>
  <c r="L1894" i="2"/>
  <c r="M1894" i="2" s="1"/>
  <c r="L1898" i="2"/>
  <c r="M1898" i="2" s="1"/>
  <c r="L1902" i="2"/>
  <c r="M1902" i="2" s="1"/>
  <c r="L1906" i="2"/>
  <c r="M1906" i="2" s="1"/>
  <c r="L1910" i="2"/>
  <c r="M1910" i="2" s="1"/>
  <c r="L1914" i="2"/>
  <c r="M1914" i="2" s="1"/>
  <c r="L1918" i="2"/>
  <c r="M1918" i="2" s="1"/>
  <c r="L1922" i="2"/>
  <c r="M1922" i="2" s="1"/>
  <c r="L1926" i="2"/>
  <c r="M1926" i="2" s="1"/>
  <c r="L1930" i="2"/>
  <c r="M1930" i="2" s="1"/>
  <c r="L1934" i="2"/>
  <c r="M1934" i="2" s="1"/>
  <c r="L1938" i="2"/>
  <c r="M1938" i="2" s="1"/>
  <c r="L1942" i="2"/>
  <c r="M1942" i="2" s="1"/>
  <c r="L1946" i="2"/>
  <c r="M1946" i="2" s="1"/>
  <c r="L1950" i="2"/>
  <c r="M1950" i="2" s="1"/>
  <c r="L1954" i="2"/>
  <c r="M1954" i="2" s="1"/>
  <c r="L1958" i="2"/>
  <c r="M1958" i="2" s="1"/>
  <c r="L1962" i="2"/>
  <c r="M1962" i="2" s="1"/>
  <c r="L1966" i="2"/>
  <c r="M1966" i="2" s="1"/>
  <c r="L1970" i="2"/>
  <c r="M1970" i="2" s="1"/>
  <c r="L1974" i="2"/>
  <c r="M1974" i="2" s="1"/>
  <c r="L1978" i="2"/>
  <c r="M1978" i="2" s="1"/>
  <c r="L1982" i="2"/>
  <c r="M1982" i="2" s="1"/>
  <c r="L1986" i="2"/>
  <c r="M1986" i="2" s="1"/>
  <c r="L1990" i="2"/>
  <c r="M1990" i="2" s="1"/>
  <c r="L1994" i="2"/>
  <c r="M1994" i="2" s="1"/>
  <c r="L1998" i="2"/>
  <c r="M1998" i="2" s="1"/>
  <c r="L2002" i="2"/>
  <c r="M2002" i="2" s="1"/>
  <c r="L2006" i="2"/>
  <c r="M2006" i="2" s="1"/>
  <c r="L2010" i="2"/>
  <c r="M2010" i="2" s="1"/>
  <c r="L2014" i="2"/>
  <c r="M2014" i="2" s="1"/>
  <c r="L2018" i="2"/>
  <c r="M2018" i="2" s="1"/>
  <c r="L2022" i="2"/>
  <c r="M2022" i="2" s="1"/>
  <c r="L2026" i="2"/>
  <c r="M2026" i="2" s="1"/>
  <c r="L2030" i="2"/>
  <c r="M2030" i="2" s="1"/>
  <c r="L2034" i="2"/>
  <c r="M2034" i="2" s="1"/>
  <c r="L2038" i="2"/>
  <c r="M2038" i="2" s="1"/>
  <c r="L2042" i="2"/>
  <c r="M2042" i="2" s="1"/>
  <c r="L2046" i="2"/>
  <c r="M2046" i="2" s="1"/>
  <c r="L2050" i="2"/>
  <c r="M2050" i="2" s="1"/>
  <c r="L2054" i="2"/>
  <c r="M2054" i="2" s="1"/>
  <c r="L2058" i="2"/>
  <c r="M2058" i="2" s="1"/>
  <c r="L2062" i="2"/>
  <c r="M2062" i="2" s="1"/>
  <c r="L2066" i="2"/>
  <c r="M2066" i="2" s="1"/>
  <c r="L2070" i="2"/>
  <c r="M2070" i="2" s="1"/>
  <c r="L2074" i="2"/>
  <c r="M2074" i="2" s="1"/>
  <c r="L2078" i="2"/>
  <c r="M2078" i="2" s="1"/>
  <c r="L2082" i="2"/>
  <c r="M2082" i="2" s="1"/>
  <c r="L2086" i="2"/>
  <c r="M2086" i="2" s="1"/>
  <c r="L2090" i="2"/>
  <c r="M2090" i="2" s="1"/>
  <c r="L2094" i="2"/>
  <c r="M2094" i="2" s="1"/>
  <c r="L2098" i="2"/>
  <c r="M2098" i="2" s="1"/>
  <c r="L2102" i="2"/>
  <c r="M2102" i="2" s="1"/>
  <c r="L2106" i="2"/>
  <c r="M2106" i="2" s="1"/>
  <c r="L2110" i="2"/>
  <c r="M2110" i="2" s="1"/>
  <c r="L2114" i="2"/>
  <c r="M2114" i="2" s="1"/>
  <c r="L2118" i="2"/>
  <c r="M2118" i="2" s="1"/>
  <c r="L2122" i="2"/>
  <c r="M2122" i="2" s="1"/>
  <c r="L2126" i="2"/>
  <c r="M2126" i="2" s="1"/>
  <c r="L2130" i="2"/>
  <c r="M2130" i="2" s="1"/>
  <c r="L2134" i="2"/>
  <c r="M2134" i="2" s="1"/>
  <c r="L2138" i="2"/>
  <c r="M2138" i="2" s="1"/>
  <c r="L2142" i="2"/>
  <c r="M2142" i="2" s="1"/>
  <c r="L2146" i="2"/>
  <c r="M2146" i="2" s="1"/>
  <c r="L2150" i="2"/>
  <c r="M2150" i="2" s="1"/>
  <c r="L2154" i="2"/>
  <c r="M2154" i="2" s="1"/>
  <c r="L2158" i="2"/>
  <c r="M2158" i="2" s="1"/>
  <c r="L2162" i="2"/>
  <c r="M2162" i="2" s="1"/>
  <c r="L2166" i="2"/>
  <c r="M2166" i="2" s="1"/>
  <c r="L2170" i="2"/>
  <c r="M2170" i="2" s="1"/>
  <c r="L2174" i="2"/>
  <c r="M2174" i="2" s="1"/>
  <c r="L2178" i="2"/>
  <c r="M2178" i="2" s="1"/>
  <c r="L2182" i="2"/>
  <c r="M2182" i="2" s="1"/>
  <c r="L2186" i="2"/>
  <c r="M2186" i="2" s="1"/>
  <c r="L2190" i="2"/>
  <c r="M2190" i="2" s="1"/>
  <c r="L2194" i="2"/>
  <c r="M2194" i="2" s="1"/>
  <c r="L2198" i="2"/>
  <c r="M2198" i="2" s="1"/>
  <c r="L2202" i="2"/>
  <c r="M2202" i="2" s="1"/>
  <c r="L2206" i="2"/>
  <c r="M2206" i="2" s="1"/>
  <c r="L2210" i="2"/>
  <c r="M2210" i="2" s="1"/>
  <c r="L2214" i="2"/>
  <c r="M2214" i="2" s="1"/>
  <c r="L2218" i="2"/>
  <c r="M2218" i="2" s="1"/>
  <c r="L2222" i="2"/>
  <c r="M2222" i="2" s="1"/>
  <c r="L2226" i="2"/>
  <c r="M2226" i="2" s="1"/>
  <c r="L2230" i="2"/>
  <c r="M2230" i="2" s="1"/>
  <c r="L2234" i="2"/>
  <c r="M2234" i="2" s="1"/>
  <c r="L2238" i="2"/>
  <c r="M2238" i="2" s="1"/>
  <c r="L2242" i="2"/>
  <c r="M2242" i="2" s="1"/>
  <c r="L2246" i="2"/>
  <c r="M2246" i="2" s="1"/>
  <c r="L2250" i="2"/>
  <c r="M2250" i="2" s="1"/>
  <c r="L2254" i="2"/>
  <c r="M2254" i="2" s="1"/>
  <c r="L2258" i="2"/>
  <c r="M2258" i="2" s="1"/>
  <c r="L2262" i="2"/>
  <c r="M2262" i="2" s="1"/>
  <c r="L2266" i="2"/>
  <c r="M2266" i="2" s="1"/>
  <c r="L2270" i="2"/>
  <c r="M2270" i="2" s="1"/>
  <c r="L2274" i="2"/>
  <c r="M2274" i="2" s="1"/>
  <c r="L2278" i="2"/>
  <c r="M2278" i="2" s="1"/>
  <c r="L2282" i="2"/>
  <c r="M2282" i="2" s="1"/>
  <c r="L2286" i="2"/>
  <c r="M2286" i="2" s="1"/>
  <c r="L2290" i="2"/>
  <c r="M2290" i="2" s="1"/>
  <c r="L2294" i="2"/>
  <c r="M2294" i="2" s="1"/>
  <c r="L2298" i="2"/>
  <c r="M2298" i="2" s="1"/>
  <c r="L2302" i="2"/>
  <c r="M2302" i="2" s="1"/>
  <c r="L2306" i="2"/>
  <c r="M2306" i="2" s="1"/>
  <c r="L2310" i="2"/>
  <c r="M2310" i="2" s="1"/>
  <c r="L2314" i="2"/>
  <c r="M2314" i="2" s="1"/>
  <c r="L2318" i="2"/>
  <c r="M2318" i="2" s="1"/>
  <c r="L2322" i="2"/>
  <c r="M2322" i="2" s="1"/>
  <c r="L2326" i="2"/>
  <c r="M2326" i="2" s="1"/>
  <c r="L2330" i="2"/>
  <c r="M2330" i="2" s="1"/>
  <c r="L2334" i="2"/>
  <c r="M2334" i="2" s="1"/>
  <c r="L2338" i="2"/>
  <c r="M2338" i="2" s="1"/>
  <c r="L2342" i="2"/>
  <c r="M2342" i="2" s="1"/>
  <c r="L2346" i="2"/>
  <c r="M2346" i="2" s="1"/>
  <c r="L2350" i="2"/>
  <c r="M2350" i="2" s="1"/>
  <c r="L2354" i="2"/>
  <c r="M2354" i="2" s="1"/>
  <c r="L2358" i="2"/>
  <c r="M2358" i="2" s="1"/>
  <c r="L2362" i="2"/>
  <c r="M2362" i="2" s="1"/>
  <c r="L2366" i="2"/>
  <c r="M2366" i="2" s="1"/>
  <c r="L2370" i="2"/>
  <c r="M2370" i="2" s="1"/>
  <c r="L2374" i="2"/>
  <c r="M2374" i="2" s="1"/>
  <c r="L2378" i="2"/>
  <c r="M2378" i="2" s="1"/>
  <c r="L2382" i="2"/>
  <c r="M2382" i="2" s="1"/>
  <c r="L2386" i="2"/>
  <c r="M2386" i="2" s="1"/>
  <c r="L2390" i="2"/>
  <c r="M2390" i="2" s="1"/>
  <c r="L2394" i="2"/>
  <c r="M2394" i="2" s="1"/>
  <c r="L2398" i="2"/>
  <c r="M2398" i="2" s="1"/>
  <c r="L2402" i="2"/>
  <c r="M2402" i="2" s="1"/>
  <c r="L2406" i="2"/>
  <c r="M2406" i="2" s="1"/>
  <c r="L2410" i="2"/>
  <c r="M2410" i="2" s="1"/>
  <c r="L2414" i="2"/>
  <c r="M2414" i="2" s="1"/>
  <c r="L2418" i="2"/>
  <c r="M2418" i="2" s="1"/>
  <c r="L2422" i="2"/>
  <c r="M2422" i="2" s="1"/>
  <c r="L2426" i="2"/>
  <c r="M2426" i="2" s="1"/>
  <c r="L2430" i="2"/>
  <c r="M2430" i="2" s="1"/>
  <c r="L2434" i="2"/>
  <c r="M2434" i="2" s="1"/>
  <c r="L2438" i="2"/>
  <c r="M2438" i="2" s="1"/>
  <c r="L2442" i="2"/>
  <c r="M2442" i="2" s="1"/>
  <c r="L2446" i="2"/>
  <c r="M2446" i="2" s="1"/>
  <c r="L2450" i="2"/>
  <c r="M2450" i="2" s="1"/>
  <c r="L2454" i="2"/>
  <c r="M2454" i="2" s="1"/>
  <c r="L2458" i="2"/>
  <c r="M2458" i="2" s="1"/>
  <c r="L2462" i="2"/>
  <c r="M2462" i="2" s="1"/>
  <c r="L2466" i="2"/>
  <c r="M2466" i="2" s="1"/>
  <c r="L2470" i="2"/>
  <c r="M2470" i="2" s="1"/>
  <c r="L2474" i="2"/>
  <c r="M2474" i="2" s="1"/>
  <c r="L2478" i="2"/>
  <c r="M2478" i="2" s="1"/>
  <c r="L2482" i="2"/>
  <c r="M2482" i="2" s="1"/>
  <c r="L2486" i="2"/>
  <c r="M2486" i="2" s="1"/>
  <c r="L2490" i="2"/>
  <c r="M2490" i="2" s="1"/>
  <c r="L2494" i="2"/>
  <c r="M2494" i="2" s="1"/>
  <c r="L2498" i="2"/>
  <c r="M2498" i="2" s="1"/>
  <c r="L2502" i="2"/>
  <c r="M2502" i="2" s="1"/>
  <c r="L2506" i="2"/>
  <c r="M2506" i="2" s="1"/>
  <c r="L2510" i="2"/>
  <c r="M2510" i="2" s="1"/>
  <c r="L2514" i="2"/>
  <c r="M2514" i="2" s="1"/>
  <c r="L2518" i="2"/>
  <c r="M2518" i="2" s="1"/>
  <c r="L2522" i="2"/>
  <c r="M2522" i="2" s="1"/>
  <c r="L2526" i="2"/>
  <c r="M2526" i="2" s="1"/>
  <c r="L2530" i="2"/>
  <c r="M2530" i="2" s="1"/>
  <c r="L2534" i="2"/>
  <c r="M2534" i="2" s="1"/>
  <c r="L2538" i="2"/>
  <c r="M2538" i="2" s="1"/>
  <c r="L2542" i="2"/>
  <c r="M2542" i="2" s="1"/>
  <c r="L2546" i="2"/>
  <c r="M2546" i="2" s="1"/>
  <c r="L2550" i="2"/>
  <c r="M2550" i="2" s="1"/>
  <c r="L2554" i="2"/>
  <c r="M2554" i="2" s="1"/>
  <c r="L2558" i="2"/>
  <c r="M2558" i="2" s="1"/>
  <c r="L2562" i="2"/>
  <c r="M2562" i="2" s="1"/>
  <c r="L2566" i="2"/>
  <c r="M2566" i="2" s="1"/>
  <c r="L2570" i="2"/>
  <c r="M2570" i="2" s="1"/>
  <c r="L2574" i="2"/>
  <c r="M2574" i="2" s="1"/>
  <c r="L2578" i="2"/>
  <c r="M2578" i="2" s="1"/>
  <c r="L2582" i="2"/>
  <c r="M2582" i="2" s="1"/>
  <c r="L2586" i="2"/>
  <c r="M2586" i="2" s="1"/>
  <c r="L2590" i="2"/>
  <c r="M2590" i="2" s="1"/>
  <c r="L2594" i="2"/>
  <c r="M2594" i="2" s="1"/>
  <c r="L2598" i="2"/>
  <c r="M2598" i="2" s="1"/>
  <c r="L2602" i="2"/>
  <c r="M2602" i="2" s="1"/>
  <c r="L2606" i="2"/>
  <c r="M2606" i="2" s="1"/>
  <c r="L2610" i="2"/>
  <c r="M2610" i="2" s="1"/>
  <c r="L2614" i="2"/>
  <c r="M2614" i="2" s="1"/>
  <c r="L2618" i="2"/>
  <c r="M2618" i="2" s="1"/>
  <c r="L2622" i="2"/>
  <c r="M2622" i="2" s="1"/>
  <c r="L2626" i="2"/>
  <c r="M2626" i="2" s="1"/>
  <c r="L2630" i="2"/>
  <c r="M2630" i="2" s="1"/>
  <c r="L2634" i="2"/>
  <c r="M2634" i="2" s="1"/>
  <c r="L2638" i="2"/>
  <c r="M2638" i="2" s="1"/>
  <c r="L2642" i="2"/>
  <c r="M2642" i="2" s="1"/>
  <c r="L2646" i="2"/>
  <c r="M2646" i="2" s="1"/>
  <c r="L2650" i="2"/>
  <c r="M2650" i="2" s="1"/>
  <c r="L2654" i="2"/>
  <c r="M2654" i="2" s="1"/>
  <c r="L2658" i="2"/>
  <c r="M2658" i="2" s="1"/>
  <c r="L2662" i="2"/>
  <c r="M2662" i="2" s="1"/>
  <c r="L2666" i="2"/>
  <c r="M2666" i="2" s="1"/>
  <c r="L2670" i="2"/>
  <c r="M2670" i="2" s="1"/>
  <c r="L2674" i="2"/>
  <c r="M2674" i="2" s="1"/>
  <c r="L2678" i="2"/>
  <c r="M2678" i="2" s="1"/>
  <c r="L2682" i="2"/>
  <c r="M2682" i="2" s="1"/>
  <c r="L2686" i="2"/>
  <c r="M2686" i="2" s="1"/>
  <c r="L2690" i="2"/>
  <c r="M2690" i="2" s="1"/>
  <c r="L2694" i="2"/>
  <c r="M2694" i="2" s="1"/>
  <c r="L2698" i="2"/>
  <c r="M2698" i="2" s="1"/>
  <c r="L2702" i="2"/>
  <c r="M2702" i="2" s="1"/>
  <c r="L2706" i="2"/>
  <c r="M2706" i="2" s="1"/>
  <c r="L2710" i="2"/>
  <c r="M2710" i="2" s="1"/>
  <c r="L2714" i="2"/>
  <c r="M2714" i="2" s="1"/>
  <c r="L2718" i="2"/>
  <c r="M2718" i="2" s="1"/>
  <c r="L2722" i="2"/>
  <c r="M2722" i="2" s="1"/>
  <c r="L2726" i="2"/>
  <c r="M2726" i="2" s="1"/>
  <c r="L2730" i="2"/>
  <c r="M2730" i="2" s="1"/>
  <c r="L2734" i="2"/>
  <c r="M2734" i="2" s="1"/>
  <c r="L2738" i="2"/>
  <c r="M2738" i="2" s="1"/>
  <c r="L2742" i="2"/>
  <c r="M2742" i="2" s="1"/>
  <c r="L2746" i="2"/>
  <c r="M2746" i="2" s="1"/>
  <c r="L2750" i="2"/>
  <c r="M2750" i="2" s="1"/>
  <c r="L2754" i="2"/>
  <c r="M2754" i="2" s="1"/>
  <c r="L2758" i="2"/>
  <c r="M2758" i="2" s="1"/>
  <c r="L2762" i="2"/>
  <c r="M2762" i="2" s="1"/>
  <c r="L2766" i="2"/>
  <c r="M2766" i="2" s="1"/>
  <c r="L2770" i="2"/>
  <c r="M2770" i="2" s="1"/>
  <c r="L2774" i="2"/>
  <c r="M2774" i="2" s="1"/>
  <c r="L2778" i="2"/>
  <c r="M2778" i="2" s="1"/>
  <c r="L2782" i="2"/>
  <c r="M2782" i="2" s="1"/>
  <c r="L2786" i="2"/>
  <c r="M2786" i="2" s="1"/>
  <c r="L2790" i="2"/>
  <c r="M2790" i="2" s="1"/>
  <c r="L2794" i="2"/>
  <c r="M2794" i="2" s="1"/>
  <c r="L2798" i="2"/>
  <c r="M2798" i="2" s="1"/>
  <c r="L2802" i="2"/>
  <c r="M2802" i="2" s="1"/>
  <c r="L2806" i="2"/>
  <c r="M2806" i="2" s="1"/>
  <c r="L2810" i="2"/>
  <c r="M2810" i="2" s="1"/>
  <c r="L2814" i="2"/>
  <c r="M2814" i="2" s="1"/>
  <c r="L2818" i="2"/>
  <c r="M2818" i="2" s="1"/>
  <c r="L2822" i="2"/>
  <c r="M2822" i="2" s="1"/>
  <c r="L2826" i="2"/>
  <c r="M2826" i="2" s="1"/>
  <c r="L2830" i="2"/>
  <c r="M2830" i="2" s="1"/>
  <c r="L2834" i="2"/>
  <c r="M2834" i="2" s="1"/>
  <c r="L2838" i="2"/>
  <c r="M2838" i="2" s="1"/>
  <c r="L2842" i="2"/>
  <c r="M2842" i="2" s="1"/>
  <c r="L2846" i="2"/>
  <c r="M2846" i="2" s="1"/>
  <c r="L2850" i="2"/>
  <c r="M2850" i="2" s="1"/>
  <c r="L2854" i="2"/>
  <c r="M2854" i="2" s="1"/>
  <c r="L2858" i="2"/>
  <c r="M2858" i="2" s="1"/>
  <c r="L2862" i="2"/>
  <c r="M2862" i="2" s="1"/>
  <c r="L2866" i="2"/>
  <c r="M2866" i="2" s="1"/>
  <c r="L2870" i="2"/>
  <c r="M2870" i="2" s="1"/>
  <c r="L2874" i="2"/>
  <c r="M2874" i="2" s="1"/>
  <c r="L2878" i="2"/>
  <c r="M2878" i="2" s="1"/>
  <c r="L2882" i="2"/>
  <c r="M2882" i="2" s="1"/>
  <c r="L2886" i="2"/>
  <c r="M2886" i="2" s="1"/>
  <c r="L2890" i="2"/>
  <c r="M2890" i="2" s="1"/>
  <c r="L2894" i="2"/>
  <c r="M2894" i="2" s="1"/>
  <c r="L2898" i="2"/>
  <c r="M2898" i="2" s="1"/>
  <c r="L2902" i="2"/>
  <c r="M2902" i="2" s="1"/>
  <c r="L2906" i="2"/>
  <c r="M2906" i="2" s="1"/>
  <c r="L2910" i="2"/>
  <c r="M2910" i="2" s="1"/>
  <c r="L2914" i="2"/>
  <c r="M2914" i="2" s="1"/>
  <c r="L2918" i="2"/>
  <c r="M2918" i="2" s="1"/>
  <c r="L2922" i="2"/>
  <c r="M2922" i="2" s="1"/>
  <c r="L2926" i="2"/>
  <c r="M2926" i="2" s="1"/>
  <c r="L2930" i="2"/>
  <c r="M2930" i="2" s="1"/>
  <c r="L2934" i="2"/>
  <c r="M2934" i="2" s="1"/>
  <c r="L2938" i="2"/>
  <c r="M2938" i="2" s="1"/>
  <c r="L2942" i="2"/>
  <c r="M2942" i="2" s="1"/>
  <c r="L2946" i="2"/>
  <c r="M2946" i="2" s="1"/>
  <c r="L2950" i="2"/>
  <c r="M2950" i="2" s="1"/>
  <c r="L2954" i="2"/>
  <c r="M2954" i="2" s="1"/>
  <c r="L2958" i="2"/>
  <c r="M2958" i="2" s="1"/>
  <c r="L2962" i="2"/>
  <c r="M2962" i="2" s="1"/>
  <c r="L2966" i="2"/>
  <c r="M2966" i="2" s="1"/>
  <c r="L2970" i="2"/>
  <c r="M2970" i="2" s="1"/>
  <c r="L2974" i="2"/>
  <c r="M2974" i="2" s="1"/>
  <c r="L2978" i="2"/>
  <c r="M2978" i="2" s="1"/>
  <c r="L2982" i="2"/>
  <c r="M2982" i="2" s="1"/>
  <c r="L2986" i="2"/>
  <c r="M2986" i="2" s="1"/>
  <c r="L2990" i="2"/>
  <c r="M2990" i="2" s="1"/>
  <c r="L2994" i="2"/>
  <c r="M2994" i="2" s="1"/>
  <c r="L2998" i="2"/>
  <c r="M2998" i="2" s="1"/>
  <c r="L3002" i="2"/>
  <c r="M3002" i="2" s="1"/>
  <c r="L3006" i="2"/>
  <c r="M3006" i="2" s="1"/>
  <c r="L3010" i="2"/>
  <c r="M3010" i="2" s="1"/>
  <c r="L3014" i="2"/>
  <c r="M3014" i="2" s="1"/>
  <c r="L3018" i="2"/>
  <c r="M3018" i="2" s="1"/>
  <c r="L3022" i="2"/>
  <c r="M3022" i="2" s="1"/>
  <c r="L3026" i="2"/>
  <c r="M3026" i="2" s="1"/>
  <c r="L3030" i="2"/>
  <c r="M3030" i="2" s="1"/>
  <c r="L3034" i="2"/>
  <c r="M3034" i="2" s="1"/>
  <c r="L3038" i="2"/>
  <c r="M3038" i="2" s="1"/>
  <c r="L3042" i="2"/>
  <c r="M3042" i="2" s="1"/>
  <c r="L3046" i="2"/>
  <c r="M3046" i="2" s="1"/>
  <c r="L3050" i="2"/>
  <c r="M3050" i="2" s="1"/>
  <c r="L3054" i="2"/>
  <c r="M3054" i="2" s="1"/>
  <c r="L3058" i="2"/>
  <c r="M3058" i="2" s="1"/>
  <c r="L3062" i="2"/>
  <c r="M3062" i="2" s="1"/>
  <c r="L3066" i="2"/>
  <c r="M3066" i="2" s="1"/>
  <c r="L3070" i="2"/>
  <c r="M3070" i="2" s="1"/>
  <c r="L3074" i="2"/>
  <c r="M3074" i="2" s="1"/>
  <c r="L3078" i="2"/>
  <c r="M3078" i="2" s="1"/>
  <c r="L3082" i="2"/>
  <c r="M3082" i="2" s="1"/>
  <c r="L3086" i="2"/>
  <c r="M3086" i="2" s="1"/>
  <c r="L3090" i="2"/>
  <c r="M3090" i="2" s="1"/>
  <c r="L3094" i="2"/>
  <c r="M3094" i="2" s="1"/>
  <c r="L3098" i="2"/>
  <c r="M3098" i="2" s="1"/>
  <c r="L3102" i="2"/>
  <c r="M3102" i="2" s="1"/>
  <c r="L3106" i="2"/>
  <c r="M3106" i="2" s="1"/>
  <c r="L3110" i="2"/>
  <c r="M3110" i="2" s="1"/>
  <c r="L3114" i="2"/>
  <c r="M3114" i="2" s="1"/>
  <c r="L3118" i="2"/>
  <c r="M3118" i="2" s="1"/>
  <c r="L3122" i="2"/>
  <c r="M3122" i="2" s="1"/>
  <c r="L3126" i="2"/>
  <c r="M3126" i="2" s="1"/>
  <c r="L3130" i="2"/>
  <c r="M3130" i="2" s="1"/>
  <c r="L3134" i="2"/>
  <c r="M3134" i="2" s="1"/>
  <c r="L3138" i="2"/>
  <c r="M3138" i="2" s="1"/>
  <c r="L3142" i="2"/>
  <c r="M3142" i="2" s="1"/>
  <c r="L3146" i="2"/>
  <c r="M3146" i="2" s="1"/>
  <c r="L3150" i="2"/>
  <c r="M3150" i="2" s="1"/>
  <c r="L3154" i="2"/>
  <c r="M3154" i="2" s="1"/>
  <c r="L3158" i="2"/>
  <c r="M3158" i="2" s="1"/>
  <c r="L3162" i="2"/>
  <c r="M3162" i="2" s="1"/>
  <c r="L3166" i="2"/>
  <c r="M3166" i="2" s="1"/>
  <c r="L3170" i="2"/>
  <c r="M3170" i="2" s="1"/>
  <c r="L3174" i="2"/>
  <c r="M3174" i="2" s="1"/>
  <c r="L3178" i="2"/>
  <c r="M3178" i="2" s="1"/>
  <c r="L3182" i="2"/>
  <c r="M3182" i="2" s="1"/>
  <c r="L3186" i="2"/>
  <c r="M3186" i="2" s="1"/>
  <c r="L3190" i="2"/>
  <c r="M3190" i="2" s="1"/>
  <c r="L3194" i="2"/>
  <c r="M3194" i="2" s="1"/>
  <c r="L3198" i="2"/>
  <c r="M3198" i="2" s="1"/>
  <c r="L3202" i="2"/>
  <c r="M3202" i="2" s="1"/>
  <c r="L3206" i="2"/>
  <c r="M3206" i="2" s="1"/>
  <c r="L3210" i="2"/>
  <c r="M3210" i="2" s="1"/>
  <c r="L3214" i="2"/>
  <c r="M3214" i="2" s="1"/>
  <c r="L3218" i="2"/>
  <c r="M3218" i="2" s="1"/>
  <c r="L3222" i="2"/>
  <c r="M3222" i="2" s="1"/>
  <c r="L3226" i="2"/>
  <c r="M3226" i="2" s="1"/>
  <c r="L3230" i="2"/>
  <c r="M3230" i="2" s="1"/>
  <c r="L3234" i="2"/>
  <c r="M3234" i="2" s="1"/>
  <c r="L3238" i="2"/>
  <c r="M3238" i="2" s="1"/>
  <c r="L3242" i="2"/>
  <c r="M3242" i="2" s="1"/>
  <c r="L3246" i="2"/>
  <c r="M3246" i="2" s="1"/>
  <c r="L3250" i="2"/>
  <c r="M3250" i="2" s="1"/>
  <c r="L3254" i="2"/>
  <c r="M3254" i="2" s="1"/>
  <c r="L3258" i="2"/>
  <c r="M3258" i="2" s="1"/>
  <c r="L3262" i="2"/>
  <c r="M3262" i="2" s="1"/>
  <c r="L3266" i="2"/>
  <c r="M3266" i="2" s="1"/>
  <c r="L3270" i="2"/>
  <c r="M3270" i="2" s="1"/>
  <c r="L3274" i="2"/>
  <c r="M3274" i="2" s="1"/>
  <c r="L3278" i="2"/>
  <c r="M3278" i="2" s="1"/>
  <c r="L3282" i="2"/>
  <c r="M3282" i="2" s="1"/>
  <c r="L3286" i="2"/>
  <c r="M3286" i="2" s="1"/>
  <c r="L3290" i="2"/>
  <c r="M3290" i="2" s="1"/>
  <c r="L3294" i="2"/>
  <c r="M3294" i="2" s="1"/>
  <c r="L3298" i="2"/>
  <c r="M3298" i="2" s="1"/>
  <c r="L3302" i="2"/>
  <c r="M3302" i="2" s="1"/>
  <c r="L3306" i="2"/>
  <c r="M3306" i="2" s="1"/>
  <c r="L3310" i="2"/>
  <c r="M3310" i="2" s="1"/>
  <c r="L3314" i="2"/>
  <c r="M3314" i="2" s="1"/>
  <c r="L3318" i="2"/>
  <c r="M3318" i="2" s="1"/>
  <c r="L3322" i="2"/>
  <c r="M3322" i="2" s="1"/>
  <c r="L3326" i="2"/>
  <c r="M3326" i="2" s="1"/>
  <c r="L3330" i="2"/>
  <c r="M3330" i="2" s="1"/>
  <c r="L3334" i="2"/>
  <c r="M3334" i="2" s="1"/>
  <c r="L3338" i="2"/>
  <c r="M3338" i="2" s="1"/>
  <c r="L3342" i="2"/>
  <c r="M3342" i="2" s="1"/>
  <c r="L3346" i="2"/>
  <c r="M3346" i="2" s="1"/>
  <c r="L3350" i="2"/>
  <c r="M3350" i="2" s="1"/>
  <c r="L3354" i="2"/>
  <c r="M3354" i="2" s="1"/>
  <c r="L3358" i="2"/>
  <c r="M3358" i="2" s="1"/>
  <c r="L3362" i="2"/>
  <c r="M3362" i="2" s="1"/>
  <c r="L3366" i="2"/>
  <c r="M3366" i="2" s="1"/>
  <c r="L3370" i="2"/>
  <c r="M3370" i="2" s="1"/>
  <c r="L3374" i="2"/>
  <c r="M3374" i="2" s="1"/>
  <c r="L3378" i="2"/>
  <c r="M3378" i="2" s="1"/>
  <c r="L3382" i="2"/>
  <c r="M3382" i="2" s="1"/>
  <c r="L3386" i="2"/>
  <c r="M3386" i="2" s="1"/>
  <c r="L3390" i="2"/>
  <c r="M3390" i="2" s="1"/>
  <c r="L3394" i="2"/>
  <c r="M3394" i="2" s="1"/>
  <c r="L3398" i="2"/>
  <c r="M3398" i="2" s="1"/>
  <c r="L3402" i="2"/>
  <c r="M3402" i="2" s="1"/>
  <c r="L3406" i="2"/>
  <c r="M3406" i="2" s="1"/>
  <c r="L3410" i="2"/>
  <c r="M3410" i="2" s="1"/>
  <c r="L3414" i="2"/>
  <c r="M3414" i="2" s="1"/>
  <c r="L3418" i="2"/>
  <c r="M3418" i="2" s="1"/>
  <c r="L3422" i="2"/>
  <c r="M3422" i="2" s="1"/>
  <c r="L3426" i="2"/>
  <c r="M3426" i="2" s="1"/>
  <c r="L3430" i="2"/>
  <c r="M3430" i="2" s="1"/>
  <c r="L3434" i="2"/>
  <c r="M3434" i="2" s="1"/>
  <c r="L3438" i="2"/>
  <c r="M3438" i="2" s="1"/>
  <c r="L3442" i="2"/>
  <c r="M3442" i="2" s="1"/>
  <c r="L3446" i="2"/>
  <c r="M3446" i="2" s="1"/>
  <c r="L3450" i="2"/>
  <c r="M3450" i="2" s="1"/>
  <c r="L3454" i="2"/>
  <c r="M3454" i="2" s="1"/>
  <c r="L3458" i="2"/>
  <c r="M3458" i="2" s="1"/>
  <c r="L3462" i="2"/>
  <c r="M3462" i="2" s="1"/>
  <c r="L3466" i="2"/>
  <c r="M3466" i="2" s="1"/>
  <c r="L3470" i="2"/>
  <c r="M3470" i="2" s="1"/>
  <c r="L3474" i="2"/>
  <c r="M3474" i="2" s="1"/>
  <c r="L3478" i="2"/>
  <c r="M3478" i="2" s="1"/>
  <c r="L3482" i="2"/>
  <c r="M3482" i="2" s="1"/>
  <c r="L3486" i="2"/>
  <c r="M3486" i="2" s="1"/>
  <c r="L3490" i="2"/>
  <c r="M3490" i="2" s="1"/>
  <c r="L3494" i="2"/>
  <c r="M3494" i="2" s="1"/>
  <c r="L3498" i="2"/>
  <c r="M3498" i="2" s="1"/>
  <c r="L3502" i="2"/>
  <c r="M3502" i="2" s="1"/>
  <c r="L3506" i="2"/>
  <c r="M3506" i="2" s="1"/>
  <c r="L3510" i="2"/>
  <c r="M3510" i="2" s="1"/>
  <c r="L3514" i="2"/>
  <c r="M3514" i="2" s="1"/>
  <c r="L3518" i="2"/>
  <c r="M3518" i="2" s="1"/>
  <c r="L3522" i="2"/>
  <c r="M3522" i="2" s="1"/>
  <c r="L3526" i="2"/>
  <c r="M3526" i="2" s="1"/>
  <c r="L3530" i="2"/>
  <c r="M3530" i="2" s="1"/>
  <c r="L3534" i="2"/>
  <c r="M3534" i="2" s="1"/>
  <c r="L3538" i="2"/>
  <c r="M3538" i="2" s="1"/>
  <c r="L3542" i="2"/>
  <c r="M3542" i="2" s="1"/>
  <c r="L3546" i="2"/>
  <c r="M3546" i="2" s="1"/>
  <c r="L3550" i="2"/>
  <c r="M3550" i="2" s="1"/>
  <c r="L3554" i="2"/>
  <c r="M3554" i="2" s="1"/>
  <c r="L3558" i="2"/>
  <c r="M3558" i="2" s="1"/>
  <c r="L3562" i="2"/>
  <c r="M3562" i="2" s="1"/>
  <c r="L3566" i="2"/>
  <c r="M3566" i="2" s="1"/>
  <c r="L3570" i="2"/>
  <c r="M3570" i="2" s="1"/>
  <c r="L3574" i="2"/>
  <c r="M3574" i="2" s="1"/>
  <c r="L3578" i="2"/>
  <c r="M3578" i="2" s="1"/>
  <c r="L3582" i="2"/>
  <c r="M3582" i="2" s="1"/>
  <c r="L3586" i="2"/>
  <c r="M3586" i="2" s="1"/>
  <c r="L3590" i="2"/>
  <c r="M3590" i="2" s="1"/>
  <c r="L3594" i="2"/>
  <c r="M3594" i="2" s="1"/>
  <c r="L3598" i="2"/>
  <c r="M3598" i="2" s="1"/>
  <c r="L3602" i="2"/>
  <c r="M3602" i="2" s="1"/>
  <c r="L3606" i="2"/>
  <c r="M3606" i="2" s="1"/>
  <c r="L3610" i="2"/>
  <c r="M3610" i="2" s="1"/>
  <c r="L3614" i="2"/>
  <c r="M3614" i="2" s="1"/>
  <c r="L3618" i="2"/>
  <c r="M3618" i="2" s="1"/>
  <c r="L3622" i="2"/>
  <c r="M3622" i="2" s="1"/>
  <c r="L3626" i="2"/>
  <c r="M3626" i="2" s="1"/>
  <c r="L3630" i="2"/>
  <c r="M3630" i="2" s="1"/>
  <c r="L3634" i="2"/>
  <c r="M3634" i="2" s="1"/>
  <c r="L3638" i="2"/>
  <c r="M3638" i="2" s="1"/>
  <c r="L3642" i="2"/>
  <c r="M3642" i="2" s="1"/>
  <c r="L3646" i="2"/>
  <c r="M3646" i="2" s="1"/>
  <c r="L3650" i="2"/>
  <c r="M3650" i="2" s="1"/>
  <c r="L3654" i="2"/>
  <c r="M3654" i="2" s="1"/>
  <c r="L3658" i="2"/>
  <c r="M3658" i="2" s="1"/>
  <c r="L3662" i="2"/>
  <c r="M3662" i="2" s="1"/>
  <c r="L3666" i="2"/>
  <c r="M3666" i="2" s="1"/>
  <c r="L3670" i="2"/>
  <c r="M3670" i="2" s="1"/>
  <c r="L3674" i="2"/>
  <c r="M3674" i="2" s="1"/>
  <c r="L3678" i="2"/>
  <c r="M3678" i="2" s="1"/>
  <c r="L3682" i="2"/>
  <c r="M3682" i="2" s="1"/>
  <c r="L3686" i="2"/>
  <c r="M3686" i="2" s="1"/>
  <c r="L3690" i="2"/>
  <c r="M3690" i="2" s="1"/>
  <c r="L3694" i="2"/>
  <c r="M3694" i="2" s="1"/>
  <c r="L3698" i="2"/>
  <c r="M3698" i="2" s="1"/>
  <c r="L3702" i="2"/>
  <c r="M3702" i="2" s="1"/>
  <c r="L3706" i="2"/>
  <c r="M3706" i="2" s="1"/>
  <c r="L3710" i="2"/>
  <c r="M3710" i="2" s="1"/>
  <c r="L3714" i="2"/>
  <c r="M3714" i="2" s="1"/>
  <c r="L3718" i="2"/>
  <c r="M3718" i="2" s="1"/>
  <c r="L3722" i="2"/>
  <c r="M3722" i="2" s="1"/>
  <c r="L3726" i="2"/>
  <c r="M3726" i="2" s="1"/>
  <c r="L3730" i="2"/>
  <c r="M3730" i="2" s="1"/>
  <c r="L3734" i="2"/>
  <c r="M3734" i="2" s="1"/>
  <c r="L3738" i="2"/>
  <c r="M3738" i="2" s="1"/>
  <c r="L3742" i="2"/>
  <c r="M3742" i="2" s="1"/>
  <c r="L3746" i="2"/>
  <c r="M3746" i="2" s="1"/>
  <c r="L3750" i="2"/>
  <c r="M3750" i="2" s="1"/>
  <c r="L3754" i="2"/>
  <c r="M3754" i="2" s="1"/>
  <c r="L3758" i="2"/>
  <c r="M3758" i="2" s="1"/>
  <c r="L3762" i="2"/>
  <c r="M3762" i="2" s="1"/>
  <c r="L3766" i="2"/>
  <c r="M3766" i="2" s="1"/>
  <c r="L3770" i="2"/>
  <c r="M3770" i="2" s="1"/>
  <c r="L3774" i="2"/>
  <c r="M3774" i="2" s="1"/>
  <c r="L3778" i="2"/>
  <c r="M3778" i="2" s="1"/>
  <c r="L3782" i="2"/>
  <c r="M3782" i="2" s="1"/>
  <c r="L3786" i="2"/>
  <c r="M3786" i="2" s="1"/>
  <c r="L3790" i="2"/>
  <c r="M3790" i="2" s="1"/>
  <c r="L3794" i="2"/>
  <c r="M3794" i="2" s="1"/>
  <c r="L3798" i="2"/>
  <c r="M3798" i="2" s="1"/>
  <c r="L3802" i="2"/>
  <c r="M3802" i="2" s="1"/>
  <c r="L3806" i="2"/>
  <c r="M3806" i="2" s="1"/>
  <c r="L3810" i="2"/>
  <c r="M3810" i="2" s="1"/>
  <c r="L3814" i="2"/>
  <c r="M3814" i="2" s="1"/>
  <c r="L3818" i="2"/>
  <c r="M3818" i="2" s="1"/>
  <c r="L3822" i="2"/>
  <c r="M3822" i="2" s="1"/>
  <c r="L3826" i="2"/>
  <c r="M3826" i="2" s="1"/>
  <c r="L3830" i="2"/>
  <c r="M3830" i="2" s="1"/>
  <c r="L3834" i="2"/>
  <c r="M3834" i="2" s="1"/>
  <c r="L3838" i="2"/>
  <c r="M3838" i="2" s="1"/>
  <c r="L3842" i="2"/>
  <c r="M3842" i="2" s="1"/>
  <c r="L3846" i="2"/>
  <c r="M3846" i="2" s="1"/>
  <c r="L3850" i="2"/>
  <c r="M3850" i="2" s="1"/>
  <c r="L3854" i="2"/>
  <c r="M3854" i="2" s="1"/>
  <c r="L3858" i="2"/>
  <c r="M3858" i="2" s="1"/>
  <c r="L3862" i="2"/>
  <c r="M3862" i="2" s="1"/>
  <c r="L3866" i="2"/>
  <c r="M3866" i="2" s="1"/>
  <c r="L3870" i="2"/>
  <c r="M3870" i="2" s="1"/>
  <c r="L3874" i="2"/>
  <c r="M3874" i="2" s="1"/>
  <c r="L3878" i="2"/>
  <c r="M3878" i="2" s="1"/>
  <c r="L3882" i="2"/>
  <c r="M3882" i="2" s="1"/>
  <c r="L3886" i="2"/>
  <c r="M3886" i="2" s="1"/>
  <c r="L3890" i="2"/>
  <c r="M3890" i="2" s="1"/>
  <c r="L3894" i="2"/>
  <c r="M3894" i="2" s="1"/>
  <c r="L3898" i="2"/>
  <c r="M3898" i="2" s="1"/>
  <c r="L3902" i="2"/>
  <c r="M3902" i="2" s="1"/>
  <c r="L3906" i="2"/>
  <c r="M3906" i="2" s="1"/>
  <c r="L3910" i="2"/>
  <c r="M3910" i="2" s="1"/>
  <c r="L3914" i="2"/>
  <c r="M3914" i="2" s="1"/>
  <c r="L3918" i="2"/>
  <c r="M3918" i="2" s="1"/>
  <c r="L3922" i="2"/>
  <c r="M3922" i="2" s="1"/>
  <c r="L3926" i="2"/>
  <c r="M3926" i="2" s="1"/>
  <c r="L3930" i="2"/>
  <c r="M3930" i="2" s="1"/>
  <c r="L3934" i="2"/>
  <c r="M3934" i="2" s="1"/>
  <c r="L3938" i="2"/>
  <c r="M3938" i="2" s="1"/>
  <c r="L3942" i="2"/>
  <c r="M3942" i="2" s="1"/>
  <c r="L3946" i="2"/>
  <c r="M3946" i="2" s="1"/>
  <c r="L3950" i="2"/>
  <c r="M3950" i="2" s="1"/>
  <c r="L3954" i="2"/>
  <c r="M3954" i="2" s="1"/>
  <c r="L3958" i="2"/>
  <c r="M3958" i="2" s="1"/>
  <c r="L3962" i="2"/>
  <c r="M3962" i="2" s="1"/>
  <c r="L3966" i="2"/>
  <c r="M3966" i="2" s="1"/>
  <c r="L3970" i="2"/>
  <c r="M3970" i="2" s="1"/>
  <c r="L3974" i="2"/>
  <c r="M3974" i="2" s="1"/>
  <c r="L3978" i="2"/>
  <c r="M3978" i="2" s="1"/>
  <c r="L3982" i="2"/>
  <c r="M3982" i="2" s="1"/>
  <c r="L3986" i="2"/>
  <c r="M3986" i="2" s="1"/>
  <c r="L3990" i="2"/>
  <c r="M3990" i="2" s="1"/>
  <c r="L3994" i="2"/>
  <c r="M3994" i="2" s="1"/>
  <c r="L3998" i="2"/>
  <c r="M3998" i="2" s="1"/>
  <c r="L4002" i="2"/>
  <c r="M4002" i="2" s="1"/>
  <c r="L4006" i="2"/>
  <c r="M4006" i="2" s="1"/>
  <c r="L4010" i="2"/>
  <c r="M4010" i="2" s="1"/>
  <c r="L4014" i="2"/>
  <c r="M4014" i="2" s="1"/>
  <c r="L4018" i="2"/>
  <c r="M4018" i="2" s="1"/>
  <c r="L4022" i="2"/>
  <c r="M4022" i="2" s="1"/>
  <c r="L4026" i="2"/>
  <c r="M4026" i="2" s="1"/>
  <c r="L4030" i="2"/>
  <c r="M4030" i="2" s="1"/>
  <c r="L4034" i="2"/>
  <c r="M4034" i="2" s="1"/>
  <c r="L4038" i="2"/>
  <c r="M4038" i="2" s="1"/>
  <c r="L4042" i="2"/>
  <c r="M4042" i="2" s="1"/>
  <c r="L4046" i="2"/>
  <c r="M4046" i="2" s="1"/>
  <c r="L4050" i="2"/>
  <c r="M4050" i="2" s="1"/>
  <c r="L4054" i="2"/>
  <c r="M4054" i="2" s="1"/>
  <c r="L4058" i="2"/>
  <c r="M4058" i="2" s="1"/>
  <c r="L4062" i="2"/>
  <c r="M4062" i="2" s="1"/>
  <c r="L4066" i="2"/>
  <c r="M4066" i="2" s="1"/>
  <c r="L4070" i="2"/>
  <c r="M4070" i="2" s="1"/>
  <c r="L4074" i="2"/>
  <c r="M4074" i="2" s="1"/>
  <c r="L4078" i="2"/>
  <c r="M4078" i="2" s="1"/>
  <c r="L4082" i="2"/>
  <c r="M4082" i="2" s="1"/>
  <c r="L4086" i="2"/>
  <c r="M4086" i="2" s="1"/>
  <c r="L4090" i="2"/>
  <c r="M4090" i="2" s="1"/>
  <c r="L4094" i="2"/>
  <c r="M4094" i="2" s="1"/>
  <c r="L4098" i="2"/>
  <c r="M4098" i="2" s="1"/>
  <c r="L4102" i="2"/>
  <c r="M4102" i="2" s="1"/>
  <c r="L4106" i="2"/>
  <c r="M4106" i="2" s="1"/>
  <c r="L4110" i="2"/>
  <c r="M4110" i="2" s="1"/>
  <c r="L4114" i="2"/>
  <c r="M4114" i="2" s="1"/>
  <c r="L4118" i="2"/>
  <c r="M4118" i="2" s="1"/>
  <c r="L4122" i="2"/>
  <c r="M4122" i="2" s="1"/>
  <c r="L4126" i="2"/>
  <c r="M4126" i="2" s="1"/>
  <c r="L4130" i="2"/>
  <c r="M4130" i="2" s="1"/>
  <c r="L4134" i="2"/>
  <c r="M4134" i="2" s="1"/>
  <c r="L4138" i="2"/>
  <c r="M4138" i="2" s="1"/>
  <c r="L4142" i="2"/>
  <c r="M4142" i="2" s="1"/>
  <c r="L4146" i="2"/>
  <c r="M4146" i="2" s="1"/>
  <c r="L4150" i="2"/>
  <c r="M4150" i="2" s="1"/>
  <c r="L4154" i="2"/>
  <c r="M4154" i="2" s="1"/>
  <c r="L4158" i="2"/>
  <c r="M4158" i="2" s="1"/>
  <c r="L4162" i="2"/>
  <c r="M4162" i="2" s="1"/>
  <c r="L4166" i="2"/>
  <c r="M4166" i="2" s="1"/>
  <c r="L4170" i="2"/>
  <c r="M4170" i="2" s="1"/>
  <c r="L4174" i="2"/>
  <c r="M4174" i="2" s="1"/>
  <c r="L4178" i="2"/>
  <c r="M4178" i="2" s="1"/>
  <c r="L4182" i="2"/>
  <c r="M4182" i="2" s="1"/>
  <c r="L4186" i="2"/>
  <c r="M4186" i="2" s="1"/>
  <c r="L4190" i="2"/>
  <c r="M4190" i="2" s="1"/>
  <c r="L4194" i="2"/>
  <c r="M4194" i="2" s="1"/>
  <c r="L4198" i="2"/>
  <c r="M4198" i="2" s="1"/>
  <c r="L4202" i="2"/>
  <c r="M4202" i="2" s="1"/>
  <c r="L4206" i="2"/>
  <c r="M4206" i="2" s="1"/>
  <c r="L4210" i="2"/>
  <c r="M4210" i="2" s="1"/>
  <c r="L4214" i="2"/>
  <c r="M4214" i="2" s="1"/>
  <c r="L4218" i="2"/>
  <c r="M4218" i="2" s="1"/>
  <c r="L4222" i="2"/>
  <c r="M4222" i="2" s="1"/>
  <c r="L4226" i="2"/>
  <c r="M4226" i="2" s="1"/>
  <c r="L4230" i="2"/>
  <c r="M4230" i="2" s="1"/>
  <c r="L4234" i="2"/>
  <c r="M4234" i="2" s="1"/>
  <c r="L4238" i="2"/>
  <c r="M4238" i="2" s="1"/>
  <c r="L4242" i="2"/>
  <c r="M4242" i="2" s="1"/>
  <c r="L4246" i="2"/>
  <c r="M4246" i="2" s="1"/>
  <c r="L4250" i="2"/>
  <c r="M4250" i="2" s="1"/>
  <c r="L4254" i="2"/>
  <c r="M4254" i="2" s="1"/>
  <c r="L4258" i="2"/>
  <c r="M4258" i="2" s="1"/>
  <c r="L4262" i="2"/>
  <c r="M4262" i="2" s="1"/>
  <c r="L4266" i="2"/>
  <c r="M4266" i="2" s="1"/>
  <c r="L4270" i="2"/>
  <c r="M4270" i="2" s="1"/>
  <c r="L4274" i="2"/>
  <c r="M4274" i="2" s="1"/>
  <c r="L4278" i="2"/>
  <c r="M4278" i="2" s="1"/>
  <c r="L4282" i="2"/>
  <c r="M4282" i="2" s="1"/>
  <c r="L4286" i="2"/>
  <c r="M4286" i="2" s="1"/>
  <c r="L4290" i="2"/>
  <c r="M4290" i="2" s="1"/>
  <c r="L4294" i="2"/>
  <c r="M4294" i="2" s="1"/>
  <c r="L4298" i="2"/>
  <c r="M4298" i="2" s="1"/>
  <c r="L4302" i="2"/>
  <c r="M4302" i="2" s="1"/>
  <c r="L4306" i="2"/>
  <c r="M4306" i="2" s="1"/>
  <c r="L4310" i="2"/>
  <c r="M4310" i="2" s="1"/>
  <c r="L4314" i="2"/>
  <c r="M4314" i="2" s="1"/>
  <c r="L4318" i="2"/>
  <c r="M4318" i="2" s="1"/>
  <c r="L4322" i="2"/>
  <c r="M4322" i="2" s="1"/>
  <c r="L4326" i="2"/>
  <c r="M4326" i="2" s="1"/>
  <c r="L4330" i="2"/>
  <c r="M4330" i="2" s="1"/>
  <c r="L4334" i="2"/>
  <c r="M4334" i="2" s="1"/>
  <c r="L4338" i="2"/>
  <c r="M4338" i="2" s="1"/>
  <c r="L4342" i="2"/>
  <c r="M4342" i="2" s="1"/>
  <c r="L4346" i="2"/>
  <c r="M4346" i="2" s="1"/>
  <c r="L4350" i="2"/>
  <c r="M4350" i="2" s="1"/>
  <c r="L4354" i="2"/>
  <c r="M4354" i="2" s="1"/>
  <c r="L4358" i="2"/>
  <c r="M4358" i="2" s="1"/>
  <c r="L4362" i="2"/>
  <c r="M4362" i="2" s="1"/>
  <c r="L4366" i="2"/>
  <c r="M4366" i="2" s="1"/>
  <c r="L4370" i="2"/>
  <c r="M4370" i="2" s="1"/>
  <c r="L4374" i="2"/>
  <c r="M4374" i="2" s="1"/>
  <c r="L4378" i="2"/>
  <c r="M4378" i="2" s="1"/>
  <c r="L4382" i="2"/>
  <c r="M4382" i="2" s="1"/>
  <c r="L4386" i="2"/>
  <c r="M4386" i="2" s="1"/>
  <c r="L4390" i="2"/>
  <c r="M4390" i="2" s="1"/>
  <c r="L4394" i="2"/>
  <c r="M4394" i="2" s="1"/>
  <c r="L4398" i="2"/>
  <c r="M4398" i="2" s="1"/>
  <c r="L4402" i="2"/>
  <c r="M4402" i="2" s="1"/>
  <c r="L4406" i="2"/>
  <c r="M4406" i="2" s="1"/>
  <c r="L4410" i="2"/>
  <c r="M4410" i="2" s="1"/>
  <c r="L4414" i="2"/>
  <c r="M4414" i="2" s="1"/>
  <c r="L4418" i="2"/>
  <c r="M4418" i="2" s="1"/>
  <c r="L4422" i="2"/>
  <c r="M4422" i="2" s="1"/>
  <c r="L4426" i="2"/>
  <c r="M4426" i="2" s="1"/>
  <c r="L4430" i="2"/>
  <c r="M4430" i="2" s="1"/>
  <c r="L4434" i="2"/>
  <c r="M4434" i="2" s="1"/>
  <c r="L4438" i="2"/>
  <c r="M4438" i="2" s="1"/>
  <c r="L4442" i="2"/>
  <c r="M4442" i="2" s="1"/>
  <c r="L4446" i="2"/>
  <c r="M4446" i="2" s="1"/>
  <c r="L4450" i="2"/>
  <c r="M4450" i="2" s="1"/>
  <c r="L4454" i="2"/>
  <c r="M4454" i="2" s="1"/>
  <c r="L4458" i="2"/>
  <c r="M4458" i="2" s="1"/>
  <c r="L4462" i="2"/>
  <c r="M4462" i="2" s="1"/>
  <c r="L4466" i="2"/>
  <c r="M4466" i="2" s="1"/>
  <c r="L4470" i="2"/>
  <c r="M4470" i="2" s="1"/>
  <c r="L4474" i="2"/>
  <c r="M4474" i="2" s="1"/>
  <c r="L4478" i="2"/>
  <c r="M4478" i="2" s="1"/>
  <c r="L4482" i="2"/>
  <c r="M4482" i="2" s="1"/>
  <c r="L4486" i="2"/>
  <c r="M4486" i="2" s="1"/>
  <c r="L4490" i="2"/>
  <c r="M4490" i="2" s="1"/>
  <c r="L4494" i="2"/>
  <c r="M4494" i="2" s="1"/>
  <c r="L4498" i="2"/>
  <c r="M4498" i="2" s="1"/>
  <c r="L4502" i="2"/>
  <c r="M4502" i="2" s="1"/>
  <c r="L4506" i="2"/>
  <c r="M4506" i="2" s="1"/>
  <c r="L4510" i="2"/>
  <c r="M4510" i="2" s="1"/>
  <c r="L4514" i="2"/>
  <c r="M4514" i="2" s="1"/>
  <c r="L4518" i="2"/>
  <c r="M4518" i="2" s="1"/>
  <c r="L4522" i="2"/>
  <c r="M4522" i="2" s="1"/>
  <c r="L4526" i="2"/>
  <c r="M4526" i="2" s="1"/>
  <c r="L4530" i="2"/>
  <c r="M4530" i="2" s="1"/>
  <c r="L4534" i="2"/>
  <c r="M4534" i="2" s="1"/>
  <c r="L4538" i="2"/>
  <c r="M4538" i="2" s="1"/>
  <c r="L4542" i="2"/>
  <c r="M4542" i="2" s="1"/>
  <c r="L4546" i="2"/>
  <c r="M4546" i="2" s="1"/>
  <c r="L4550" i="2"/>
  <c r="M4550" i="2" s="1"/>
  <c r="L4554" i="2"/>
  <c r="M4554" i="2" s="1"/>
  <c r="L4558" i="2"/>
  <c r="M4558" i="2" s="1"/>
  <c r="L4562" i="2"/>
  <c r="M4562" i="2" s="1"/>
  <c r="L4566" i="2"/>
  <c r="M4566" i="2" s="1"/>
  <c r="L4570" i="2"/>
  <c r="M4570" i="2" s="1"/>
  <c r="L4574" i="2"/>
  <c r="M4574" i="2" s="1"/>
  <c r="L4578" i="2"/>
  <c r="M4578" i="2" s="1"/>
  <c r="L4582" i="2"/>
  <c r="M4582" i="2" s="1"/>
  <c r="L4586" i="2"/>
  <c r="M4586" i="2" s="1"/>
  <c r="L4590" i="2"/>
  <c r="M4590" i="2" s="1"/>
  <c r="L4594" i="2"/>
  <c r="M4594" i="2" s="1"/>
  <c r="L4598" i="2"/>
  <c r="M4598" i="2" s="1"/>
  <c r="L4602" i="2"/>
  <c r="M4602" i="2" s="1"/>
  <c r="L4606" i="2"/>
  <c r="M4606" i="2" s="1"/>
  <c r="L4610" i="2"/>
  <c r="M4610" i="2" s="1"/>
  <c r="L4614" i="2"/>
  <c r="M4614" i="2" s="1"/>
  <c r="L4618" i="2"/>
  <c r="M4618" i="2" s="1"/>
  <c r="L4622" i="2"/>
  <c r="M4622" i="2" s="1"/>
  <c r="L4626" i="2"/>
  <c r="M4626" i="2" s="1"/>
  <c r="L4630" i="2"/>
  <c r="M4630" i="2" s="1"/>
  <c r="L4634" i="2"/>
  <c r="M4634" i="2" s="1"/>
  <c r="L4638" i="2"/>
  <c r="M4638" i="2" s="1"/>
  <c r="L4642" i="2"/>
  <c r="M4642" i="2" s="1"/>
  <c r="L4646" i="2"/>
  <c r="M4646" i="2" s="1"/>
  <c r="L4650" i="2"/>
  <c r="M4650" i="2" s="1"/>
  <c r="L4654" i="2"/>
  <c r="M4654" i="2" s="1"/>
  <c r="L4658" i="2"/>
  <c r="M4658" i="2" s="1"/>
  <c r="L4662" i="2"/>
  <c r="M4662" i="2" s="1"/>
  <c r="L4666" i="2"/>
  <c r="M4666" i="2" s="1"/>
  <c r="L4670" i="2"/>
  <c r="M4670" i="2" s="1"/>
  <c r="L4674" i="2"/>
  <c r="M4674" i="2" s="1"/>
  <c r="L4678" i="2"/>
  <c r="M4678" i="2" s="1"/>
  <c r="L4682" i="2"/>
  <c r="M4682" i="2" s="1"/>
  <c r="L4686" i="2"/>
  <c r="M4686" i="2" s="1"/>
  <c r="L4690" i="2"/>
  <c r="M4690" i="2" s="1"/>
  <c r="L4694" i="2"/>
  <c r="M4694" i="2" s="1"/>
  <c r="L4698" i="2"/>
  <c r="M4698" i="2" s="1"/>
  <c r="L4702" i="2"/>
  <c r="M4702" i="2" s="1"/>
  <c r="L4706" i="2"/>
  <c r="M4706" i="2" s="1"/>
  <c r="L4710" i="2"/>
  <c r="M4710" i="2" s="1"/>
  <c r="L4714" i="2"/>
  <c r="M4714" i="2" s="1"/>
  <c r="L4718" i="2"/>
  <c r="M4718" i="2" s="1"/>
  <c r="L4722" i="2"/>
  <c r="M4722" i="2" s="1"/>
  <c r="L4726" i="2"/>
  <c r="M4726" i="2" s="1"/>
  <c r="L4730" i="2"/>
  <c r="M4730" i="2" s="1"/>
  <c r="L4734" i="2"/>
  <c r="M4734" i="2" s="1"/>
  <c r="L4738" i="2"/>
  <c r="M4738" i="2" s="1"/>
  <c r="L4742" i="2"/>
  <c r="M4742" i="2" s="1"/>
  <c r="L4746" i="2"/>
  <c r="M4746" i="2" s="1"/>
  <c r="L4750" i="2"/>
  <c r="M4750" i="2" s="1"/>
  <c r="L4754" i="2"/>
  <c r="M4754" i="2" s="1"/>
  <c r="L4758" i="2"/>
  <c r="M4758" i="2" s="1"/>
  <c r="L4762" i="2"/>
  <c r="M4762" i="2" s="1"/>
  <c r="L4766" i="2"/>
  <c r="M4766" i="2" s="1"/>
  <c r="L4770" i="2"/>
  <c r="M4770" i="2" s="1"/>
  <c r="L4774" i="2"/>
  <c r="M4774" i="2" s="1"/>
  <c r="L4778" i="2"/>
  <c r="M4778" i="2" s="1"/>
  <c r="L4782" i="2"/>
  <c r="M4782" i="2" s="1"/>
  <c r="L4786" i="2"/>
  <c r="M4786" i="2" s="1"/>
  <c r="L4790" i="2"/>
  <c r="M4790" i="2" s="1"/>
  <c r="L4794" i="2"/>
  <c r="M4794" i="2" s="1"/>
  <c r="L4798" i="2"/>
  <c r="M4798" i="2" s="1"/>
  <c r="L4802" i="2"/>
  <c r="M4802" i="2" s="1"/>
  <c r="L4806" i="2"/>
  <c r="M4806" i="2" s="1"/>
  <c r="L4810" i="2"/>
  <c r="M4810" i="2" s="1"/>
  <c r="L4814" i="2"/>
  <c r="M4814" i="2" s="1"/>
  <c r="L4818" i="2"/>
  <c r="M4818" i="2" s="1"/>
  <c r="L4822" i="2"/>
  <c r="M4822" i="2" s="1"/>
  <c r="L4826" i="2"/>
  <c r="M4826" i="2" s="1"/>
  <c r="L4830" i="2"/>
  <c r="M4830" i="2" s="1"/>
  <c r="L4834" i="2"/>
  <c r="M4834" i="2" s="1"/>
  <c r="L4838" i="2"/>
  <c r="M4838" i="2" s="1"/>
  <c r="L4842" i="2"/>
  <c r="M4842" i="2" s="1"/>
  <c r="L4846" i="2"/>
  <c r="M4846" i="2" s="1"/>
  <c r="L4850" i="2"/>
  <c r="M4850" i="2" s="1"/>
  <c r="L4854" i="2"/>
  <c r="M4854" i="2" s="1"/>
  <c r="L4858" i="2"/>
  <c r="M4858" i="2" s="1"/>
  <c r="L4862" i="2"/>
  <c r="M4862" i="2" s="1"/>
  <c r="L4866" i="2"/>
  <c r="M4866" i="2" s="1"/>
  <c r="L4870" i="2"/>
  <c r="M4870" i="2" s="1"/>
  <c r="L4874" i="2"/>
  <c r="M4874" i="2" s="1"/>
  <c r="L4878" i="2"/>
  <c r="M4878" i="2" s="1"/>
  <c r="L4882" i="2"/>
  <c r="M4882" i="2" s="1"/>
  <c r="L4886" i="2"/>
  <c r="M4886" i="2" s="1"/>
  <c r="L4890" i="2"/>
  <c r="M4890" i="2" s="1"/>
  <c r="L4894" i="2"/>
  <c r="M4894" i="2" s="1"/>
  <c r="L4898" i="2"/>
  <c r="M4898" i="2" s="1"/>
  <c r="L4902" i="2"/>
  <c r="M4902" i="2" s="1"/>
  <c r="L4906" i="2"/>
  <c r="M4906" i="2" s="1"/>
  <c r="L4910" i="2"/>
  <c r="M4910" i="2" s="1"/>
  <c r="L4914" i="2"/>
  <c r="M4914" i="2" s="1"/>
  <c r="L4918" i="2"/>
  <c r="M4918" i="2" s="1"/>
  <c r="L4922" i="2"/>
  <c r="M4922" i="2" s="1"/>
  <c r="L644" i="2"/>
  <c r="M644" i="2" s="1"/>
  <c r="L660" i="2"/>
  <c r="M660" i="2" s="1"/>
  <c r="L676" i="2"/>
  <c r="M676" i="2" s="1"/>
  <c r="L692" i="2"/>
  <c r="M692" i="2" s="1"/>
  <c r="L708" i="2"/>
  <c r="M708" i="2" s="1"/>
  <c r="L724" i="2"/>
  <c r="M724" i="2" s="1"/>
  <c r="L740" i="2"/>
  <c r="M740" i="2" s="1"/>
  <c r="L752" i="2"/>
  <c r="M752" i="2" s="1"/>
  <c r="L760" i="2"/>
  <c r="M760" i="2" s="1"/>
  <c r="L768" i="2"/>
  <c r="M768" i="2" s="1"/>
  <c r="L776" i="2"/>
  <c r="M776" i="2" s="1"/>
  <c r="L784" i="2"/>
  <c r="M784" i="2" s="1"/>
  <c r="L792" i="2"/>
  <c r="M792" i="2" s="1"/>
  <c r="L800" i="2"/>
  <c r="M800" i="2" s="1"/>
  <c r="L808" i="2"/>
  <c r="M808" i="2" s="1"/>
  <c r="L816" i="2"/>
  <c r="M816" i="2" s="1"/>
  <c r="L824" i="2"/>
  <c r="M824" i="2" s="1"/>
  <c r="L832" i="2"/>
  <c r="M832" i="2" s="1"/>
  <c r="L840" i="2"/>
  <c r="M840" i="2" s="1"/>
  <c r="L848" i="2"/>
  <c r="M848" i="2" s="1"/>
  <c r="L856" i="2"/>
  <c r="M856" i="2" s="1"/>
  <c r="L864" i="2"/>
  <c r="M864" i="2" s="1"/>
  <c r="L872" i="2"/>
  <c r="M872" i="2" s="1"/>
  <c r="L880" i="2"/>
  <c r="M880" i="2" s="1"/>
  <c r="L888" i="2"/>
  <c r="M888" i="2" s="1"/>
  <c r="L896" i="2"/>
  <c r="M896" i="2" s="1"/>
  <c r="L904" i="2"/>
  <c r="M904" i="2" s="1"/>
  <c r="L912" i="2"/>
  <c r="M912" i="2" s="1"/>
  <c r="L920" i="2"/>
  <c r="M920" i="2" s="1"/>
  <c r="L928" i="2"/>
  <c r="M928" i="2" s="1"/>
  <c r="L936" i="2"/>
  <c r="M936" i="2" s="1"/>
  <c r="L944" i="2"/>
  <c r="M944" i="2" s="1"/>
  <c r="L952" i="2"/>
  <c r="M952" i="2" s="1"/>
  <c r="L960" i="2"/>
  <c r="M960" i="2" s="1"/>
  <c r="L968" i="2"/>
  <c r="M968" i="2" s="1"/>
  <c r="L976" i="2"/>
  <c r="M976" i="2" s="1"/>
  <c r="L984" i="2"/>
  <c r="M984" i="2" s="1"/>
  <c r="L992" i="2"/>
  <c r="M992" i="2" s="1"/>
  <c r="L1000" i="2"/>
  <c r="M1000" i="2" s="1"/>
  <c r="L1008" i="2"/>
  <c r="M1008" i="2" s="1"/>
  <c r="L1016" i="2"/>
  <c r="M1016" i="2" s="1"/>
  <c r="L1024" i="2"/>
  <c r="M1024" i="2" s="1"/>
  <c r="L1032" i="2"/>
  <c r="M1032" i="2" s="1"/>
  <c r="L1040" i="2"/>
  <c r="M1040" i="2" s="1"/>
  <c r="L1048" i="2"/>
  <c r="M1048" i="2" s="1"/>
  <c r="L1056" i="2"/>
  <c r="M1056" i="2" s="1"/>
  <c r="L1064" i="2"/>
  <c r="M1064" i="2" s="1"/>
  <c r="L1072" i="2"/>
  <c r="M1072" i="2" s="1"/>
  <c r="L1080" i="2"/>
  <c r="M1080" i="2" s="1"/>
  <c r="L1088" i="2"/>
  <c r="M1088" i="2" s="1"/>
  <c r="L1096" i="2"/>
  <c r="M1096" i="2" s="1"/>
  <c r="L1104" i="2"/>
  <c r="M1104" i="2" s="1"/>
  <c r="L1112" i="2"/>
  <c r="M1112" i="2" s="1"/>
  <c r="L1120" i="2"/>
  <c r="M1120" i="2" s="1"/>
  <c r="L1128" i="2"/>
  <c r="M1128" i="2" s="1"/>
  <c r="L1136" i="2"/>
  <c r="M1136" i="2" s="1"/>
  <c r="L1144" i="2"/>
  <c r="M1144" i="2" s="1"/>
  <c r="L1152" i="2"/>
  <c r="M1152" i="2" s="1"/>
  <c r="L1160" i="2"/>
  <c r="M1160" i="2" s="1"/>
  <c r="L1168" i="2"/>
  <c r="M1168" i="2" s="1"/>
  <c r="L1176" i="2"/>
  <c r="M1176" i="2" s="1"/>
  <c r="L1184" i="2"/>
  <c r="M1184" i="2" s="1"/>
  <c r="L1192" i="2"/>
  <c r="M1192" i="2" s="1"/>
  <c r="L1200" i="2"/>
  <c r="M1200" i="2" s="1"/>
  <c r="L1208" i="2"/>
  <c r="M1208" i="2" s="1"/>
  <c r="L1216" i="2"/>
  <c r="M1216" i="2" s="1"/>
  <c r="L1224" i="2"/>
  <c r="M1224" i="2" s="1"/>
  <c r="L1232" i="2"/>
  <c r="M1232" i="2" s="1"/>
  <c r="L1240" i="2"/>
  <c r="M1240" i="2" s="1"/>
  <c r="L1248" i="2"/>
  <c r="M1248" i="2" s="1"/>
  <c r="L1256" i="2"/>
  <c r="M1256" i="2" s="1"/>
  <c r="L1264" i="2"/>
  <c r="M1264" i="2" s="1"/>
  <c r="L1272" i="2"/>
  <c r="M1272" i="2" s="1"/>
  <c r="L1280" i="2"/>
  <c r="M1280" i="2" s="1"/>
  <c r="L1288" i="2"/>
  <c r="M1288" i="2" s="1"/>
  <c r="L1296" i="2"/>
  <c r="M1296" i="2" s="1"/>
  <c r="L1304" i="2"/>
  <c r="M1304" i="2" s="1"/>
  <c r="L1312" i="2"/>
  <c r="M1312" i="2" s="1"/>
  <c r="L1320" i="2"/>
  <c r="M1320" i="2" s="1"/>
  <c r="L1328" i="2"/>
  <c r="M1328" i="2" s="1"/>
  <c r="L1336" i="2"/>
  <c r="M1336" i="2" s="1"/>
  <c r="L1344" i="2"/>
  <c r="M1344" i="2" s="1"/>
  <c r="L1352" i="2"/>
  <c r="M1352" i="2" s="1"/>
  <c r="L1360" i="2"/>
  <c r="M1360" i="2" s="1"/>
  <c r="L1368" i="2"/>
  <c r="M1368" i="2" s="1"/>
  <c r="L1376" i="2"/>
  <c r="M1376" i="2" s="1"/>
  <c r="L1384" i="2"/>
  <c r="M1384" i="2" s="1"/>
  <c r="L1392" i="2"/>
  <c r="M1392" i="2" s="1"/>
  <c r="L1400" i="2"/>
  <c r="M1400" i="2" s="1"/>
  <c r="L1408" i="2"/>
  <c r="M1408" i="2" s="1"/>
  <c r="L1416" i="2"/>
  <c r="M1416" i="2" s="1"/>
  <c r="L1424" i="2"/>
  <c r="M1424" i="2" s="1"/>
  <c r="L1432" i="2"/>
  <c r="M1432" i="2" s="1"/>
  <c r="L1440" i="2"/>
  <c r="M1440" i="2" s="1"/>
  <c r="L1448" i="2"/>
  <c r="M1448" i="2" s="1"/>
  <c r="L1456" i="2"/>
  <c r="M1456" i="2" s="1"/>
  <c r="L1464" i="2"/>
  <c r="M1464" i="2" s="1"/>
  <c r="L1472" i="2"/>
  <c r="M1472" i="2" s="1"/>
  <c r="L1480" i="2"/>
  <c r="M1480" i="2" s="1"/>
  <c r="L1488" i="2"/>
  <c r="M1488" i="2" s="1"/>
  <c r="L1496" i="2"/>
  <c r="M1496" i="2" s="1"/>
  <c r="L1504" i="2"/>
  <c r="M1504" i="2" s="1"/>
  <c r="L1512" i="2"/>
  <c r="M1512" i="2" s="1"/>
  <c r="L1520" i="2"/>
  <c r="M1520" i="2" s="1"/>
  <c r="L1528" i="2"/>
  <c r="M1528" i="2" s="1"/>
  <c r="L1536" i="2"/>
  <c r="M1536" i="2" s="1"/>
  <c r="L1544" i="2"/>
  <c r="M1544" i="2" s="1"/>
  <c r="L1552" i="2"/>
  <c r="M1552" i="2" s="1"/>
  <c r="L1560" i="2"/>
  <c r="M1560" i="2" s="1"/>
  <c r="L1568" i="2"/>
  <c r="M1568" i="2" s="1"/>
  <c r="L1576" i="2"/>
  <c r="M1576" i="2" s="1"/>
  <c r="L1584" i="2"/>
  <c r="M1584" i="2" s="1"/>
  <c r="L1592" i="2"/>
  <c r="M1592" i="2" s="1"/>
  <c r="L1600" i="2"/>
  <c r="M1600" i="2" s="1"/>
  <c r="L1608" i="2"/>
  <c r="M1608" i="2" s="1"/>
  <c r="L1615" i="2"/>
  <c r="M1615" i="2" s="1"/>
  <c r="L1619" i="2"/>
  <c r="M1619" i="2" s="1"/>
  <c r="L1623" i="2"/>
  <c r="M1623" i="2" s="1"/>
  <c r="L1627" i="2"/>
  <c r="M1627" i="2" s="1"/>
  <c r="L1631" i="2"/>
  <c r="M1631" i="2" s="1"/>
  <c r="L1635" i="2"/>
  <c r="M1635" i="2" s="1"/>
  <c r="L1639" i="2"/>
  <c r="M1639" i="2" s="1"/>
  <c r="L1643" i="2"/>
  <c r="M1643" i="2" s="1"/>
  <c r="L1647" i="2"/>
  <c r="M1647" i="2" s="1"/>
  <c r="L1651" i="2"/>
  <c r="M1651" i="2" s="1"/>
  <c r="L1655" i="2"/>
  <c r="M1655" i="2" s="1"/>
  <c r="L1659" i="2"/>
  <c r="M1659" i="2" s="1"/>
  <c r="L1663" i="2"/>
  <c r="M1663" i="2" s="1"/>
  <c r="L1667" i="2"/>
  <c r="M1667" i="2" s="1"/>
  <c r="L1671" i="2"/>
  <c r="M1671" i="2" s="1"/>
  <c r="L1675" i="2"/>
  <c r="M1675" i="2" s="1"/>
  <c r="L1679" i="2"/>
  <c r="M1679" i="2" s="1"/>
  <c r="L1683" i="2"/>
  <c r="M1683" i="2" s="1"/>
  <c r="L1687" i="2"/>
  <c r="M1687" i="2" s="1"/>
  <c r="L1691" i="2"/>
  <c r="M1691" i="2" s="1"/>
  <c r="L1695" i="2"/>
  <c r="M1695" i="2" s="1"/>
  <c r="L1699" i="2"/>
  <c r="M1699" i="2" s="1"/>
  <c r="L1703" i="2"/>
  <c r="M1703" i="2" s="1"/>
  <c r="L1707" i="2"/>
  <c r="M1707" i="2" s="1"/>
  <c r="L1711" i="2"/>
  <c r="M1711" i="2" s="1"/>
  <c r="L1715" i="2"/>
  <c r="M1715" i="2" s="1"/>
  <c r="L1719" i="2"/>
  <c r="M1719" i="2" s="1"/>
  <c r="L1723" i="2"/>
  <c r="M1723" i="2" s="1"/>
  <c r="L1727" i="2"/>
  <c r="M1727" i="2" s="1"/>
  <c r="L1731" i="2"/>
  <c r="M1731" i="2" s="1"/>
  <c r="L1735" i="2"/>
  <c r="M1735" i="2" s="1"/>
  <c r="L1739" i="2"/>
  <c r="M1739" i="2" s="1"/>
  <c r="L1743" i="2"/>
  <c r="M1743" i="2" s="1"/>
  <c r="L1747" i="2"/>
  <c r="M1747" i="2" s="1"/>
  <c r="L1751" i="2"/>
  <c r="M1751" i="2" s="1"/>
  <c r="L1755" i="2"/>
  <c r="M1755" i="2" s="1"/>
  <c r="L1759" i="2"/>
  <c r="M1759" i="2" s="1"/>
  <c r="L1763" i="2"/>
  <c r="M1763" i="2" s="1"/>
  <c r="L1767" i="2"/>
  <c r="M1767" i="2" s="1"/>
  <c r="L1771" i="2"/>
  <c r="M1771" i="2" s="1"/>
  <c r="L1775" i="2"/>
  <c r="M1775" i="2" s="1"/>
  <c r="L1779" i="2"/>
  <c r="M1779" i="2" s="1"/>
  <c r="L1783" i="2"/>
  <c r="M1783" i="2" s="1"/>
  <c r="L1787" i="2"/>
  <c r="M1787" i="2" s="1"/>
  <c r="L1791" i="2"/>
  <c r="M1791" i="2" s="1"/>
  <c r="L1795" i="2"/>
  <c r="M1795" i="2" s="1"/>
  <c r="L1799" i="2"/>
  <c r="M1799" i="2" s="1"/>
  <c r="L1803" i="2"/>
  <c r="M1803" i="2" s="1"/>
  <c r="L1807" i="2"/>
  <c r="M1807" i="2" s="1"/>
  <c r="L1811" i="2"/>
  <c r="M1811" i="2" s="1"/>
  <c r="L1815" i="2"/>
  <c r="M1815" i="2" s="1"/>
  <c r="L1819" i="2"/>
  <c r="M1819" i="2" s="1"/>
  <c r="L1823" i="2"/>
  <c r="M1823" i="2" s="1"/>
  <c r="L1827" i="2"/>
  <c r="M1827" i="2" s="1"/>
  <c r="L1831" i="2"/>
  <c r="M1831" i="2" s="1"/>
  <c r="L1835" i="2"/>
  <c r="M1835" i="2" s="1"/>
  <c r="L1839" i="2"/>
  <c r="M1839" i="2" s="1"/>
  <c r="L1843" i="2"/>
  <c r="M1843" i="2" s="1"/>
  <c r="L1847" i="2"/>
  <c r="M1847" i="2" s="1"/>
  <c r="L1851" i="2"/>
  <c r="M1851" i="2" s="1"/>
  <c r="L1855" i="2"/>
  <c r="M1855" i="2" s="1"/>
  <c r="L1859" i="2"/>
  <c r="M1859" i="2" s="1"/>
  <c r="L1863" i="2"/>
  <c r="M1863" i="2" s="1"/>
  <c r="L1867" i="2"/>
  <c r="M1867" i="2" s="1"/>
  <c r="L1871" i="2"/>
  <c r="M1871" i="2" s="1"/>
  <c r="L1875" i="2"/>
  <c r="M1875" i="2" s="1"/>
  <c r="L1879" i="2"/>
  <c r="M1879" i="2" s="1"/>
  <c r="L1883" i="2"/>
  <c r="M1883" i="2" s="1"/>
  <c r="L1887" i="2"/>
  <c r="M1887" i="2" s="1"/>
  <c r="L1891" i="2"/>
  <c r="M1891" i="2" s="1"/>
  <c r="L1895" i="2"/>
  <c r="M1895" i="2" s="1"/>
  <c r="L1899" i="2"/>
  <c r="M1899" i="2" s="1"/>
  <c r="L1903" i="2"/>
  <c r="M1903" i="2" s="1"/>
  <c r="L1907" i="2"/>
  <c r="M1907" i="2" s="1"/>
  <c r="L1911" i="2"/>
  <c r="M1911" i="2" s="1"/>
  <c r="L1915" i="2"/>
  <c r="M1915" i="2" s="1"/>
  <c r="L1919" i="2"/>
  <c r="M1919" i="2" s="1"/>
  <c r="L1923" i="2"/>
  <c r="M1923" i="2" s="1"/>
  <c r="L1927" i="2"/>
  <c r="M1927" i="2" s="1"/>
  <c r="L1931" i="2"/>
  <c r="M1931" i="2" s="1"/>
  <c r="L1935" i="2"/>
  <c r="M1935" i="2" s="1"/>
  <c r="L1939" i="2"/>
  <c r="M1939" i="2" s="1"/>
  <c r="L1943" i="2"/>
  <c r="M1943" i="2" s="1"/>
  <c r="L1947" i="2"/>
  <c r="M1947" i="2" s="1"/>
  <c r="L1951" i="2"/>
  <c r="M1951" i="2" s="1"/>
  <c r="L1955" i="2"/>
  <c r="M1955" i="2" s="1"/>
  <c r="L1959" i="2"/>
  <c r="M1959" i="2" s="1"/>
  <c r="L1963" i="2"/>
  <c r="M1963" i="2" s="1"/>
  <c r="L1967" i="2"/>
  <c r="M1967" i="2" s="1"/>
  <c r="L1971" i="2"/>
  <c r="M1971" i="2" s="1"/>
  <c r="L1975" i="2"/>
  <c r="M1975" i="2" s="1"/>
  <c r="L1979" i="2"/>
  <c r="M1979" i="2" s="1"/>
  <c r="L1983" i="2"/>
  <c r="M1983" i="2" s="1"/>
  <c r="L1987" i="2"/>
  <c r="M1987" i="2" s="1"/>
  <c r="L1991" i="2"/>
  <c r="M1991" i="2" s="1"/>
  <c r="L1995" i="2"/>
  <c r="M1995" i="2" s="1"/>
  <c r="L1999" i="2"/>
  <c r="M1999" i="2" s="1"/>
  <c r="L2003" i="2"/>
  <c r="M2003" i="2" s="1"/>
  <c r="L2007" i="2"/>
  <c r="M2007" i="2" s="1"/>
  <c r="L2011" i="2"/>
  <c r="M2011" i="2" s="1"/>
  <c r="L2015" i="2"/>
  <c r="M2015" i="2" s="1"/>
  <c r="L2019" i="2"/>
  <c r="M2019" i="2" s="1"/>
  <c r="L2023" i="2"/>
  <c r="M2023" i="2" s="1"/>
  <c r="L2027" i="2"/>
  <c r="M2027" i="2" s="1"/>
  <c r="L2031" i="2"/>
  <c r="M2031" i="2" s="1"/>
  <c r="L2035" i="2"/>
  <c r="M2035" i="2" s="1"/>
  <c r="L2039" i="2"/>
  <c r="M2039" i="2" s="1"/>
  <c r="L2043" i="2"/>
  <c r="M2043" i="2" s="1"/>
  <c r="L2047" i="2"/>
  <c r="M2047" i="2" s="1"/>
  <c r="L2051" i="2"/>
  <c r="M2051" i="2" s="1"/>
  <c r="L2055" i="2"/>
  <c r="M2055" i="2" s="1"/>
  <c r="L2059" i="2"/>
  <c r="M2059" i="2" s="1"/>
  <c r="L2063" i="2"/>
  <c r="M2063" i="2" s="1"/>
  <c r="L2067" i="2"/>
  <c r="M2067" i="2" s="1"/>
  <c r="L2071" i="2"/>
  <c r="M2071" i="2" s="1"/>
  <c r="L2075" i="2"/>
  <c r="M2075" i="2" s="1"/>
  <c r="L2079" i="2"/>
  <c r="M2079" i="2" s="1"/>
  <c r="L2083" i="2"/>
  <c r="M2083" i="2" s="1"/>
  <c r="L2087" i="2"/>
  <c r="M2087" i="2" s="1"/>
  <c r="L2091" i="2"/>
  <c r="M2091" i="2" s="1"/>
  <c r="L2095" i="2"/>
  <c r="M2095" i="2" s="1"/>
  <c r="L2099" i="2"/>
  <c r="M2099" i="2" s="1"/>
  <c r="L2103" i="2"/>
  <c r="M2103" i="2" s="1"/>
  <c r="L2107" i="2"/>
  <c r="M2107" i="2" s="1"/>
  <c r="L2111" i="2"/>
  <c r="M2111" i="2" s="1"/>
  <c r="L2115" i="2"/>
  <c r="M2115" i="2" s="1"/>
  <c r="L2119" i="2"/>
  <c r="M2119" i="2" s="1"/>
  <c r="L2123" i="2"/>
  <c r="M2123" i="2" s="1"/>
  <c r="L2127" i="2"/>
  <c r="M2127" i="2" s="1"/>
  <c r="L2131" i="2"/>
  <c r="M2131" i="2" s="1"/>
  <c r="L2135" i="2"/>
  <c r="M2135" i="2" s="1"/>
  <c r="L2139" i="2"/>
  <c r="M2139" i="2" s="1"/>
  <c r="L2143" i="2"/>
  <c r="M2143" i="2" s="1"/>
  <c r="L2147" i="2"/>
  <c r="M2147" i="2" s="1"/>
  <c r="L2151" i="2"/>
  <c r="M2151" i="2" s="1"/>
  <c r="L2155" i="2"/>
  <c r="M2155" i="2" s="1"/>
  <c r="L2159" i="2"/>
  <c r="M2159" i="2" s="1"/>
  <c r="L2163" i="2"/>
  <c r="M2163" i="2" s="1"/>
  <c r="L2167" i="2"/>
  <c r="M2167" i="2" s="1"/>
  <c r="L2171" i="2"/>
  <c r="M2171" i="2" s="1"/>
  <c r="L2175" i="2"/>
  <c r="M2175" i="2" s="1"/>
  <c r="L2179" i="2"/>
  <c r="M2179" i="2" s="1"/>
  <c r="L2183" i="2"/>
  <c r="M2183" i="2" s="1"/>
  <c r="L2187" i="2"/>
  <c r="M2187" i="2" s="1"/>
  <c r="L2191" i="2"/>
  <c r="M2191" i="2" s="1"/>
  <c r="L2195" i="2"/>
  <c r="M2195" i="2" s="1"/>
  <c r="L2199" i="2"/>
  <c r="M2199" i="2" s="1"/>
  <c r="L2203" i="2"/>
  <c r="M2203" i="2" s="1"/>
  <c r="L2207" i="2"/>
  <c r="M2207" i="2" s="1"/>
  <c r="L2211" i="2"/>
  <c r="M2211" i="2" s="1"/>
  <c r="L2215" i="2"/>
  <c r="M2215" i="2" s="1"/>
  <c r="L2219" i="2"/>
  <c r="M2219" i="2" s="1"/>
  <c r="L2223" i="2"/>
  <c r="M2223" i="2" s="1"/>
  <c r="L2227" i="2"/>
  <c r="M2227" i="2" s="1"/>
  <c r="L2231" i="2"/>
  <c r="M2231" i="2" s="1"/>
  <c r="L2235" i="2"/>
  <c r="M2235" i="2" s="1"/>
  <c r="L2239" i="2"/>
  <c r="M2239" i="2" s="1"/>
  <c r="L2243" i="2"/>
  <c r="M2243" i="2" s="1"/>
  <c r="L2247" i="2"/>
  <c r="M2247" i="2" s="1"/>
  <c r="L2251" i="2"/>
  <c r="M2251" i="2" s="1"/>
  <c r="L2255" i="2"/>
  <c r="M2255" i="2" s="1"/>
  <c r="L2259" i="2"/>
  <c r="M2259" i="2" s="1"/>
  <c r="L2263" i="2"/>
  <c r="M2263" i="2" s="1"/>
  <c r="L2267" i="2"/>
  <c r="M2267" i="2" s="1"/>
  <c r="L2271" i="2"/>
  <c r="M2271" i="2" s="1"/>
  <c r="L2275" i="2"/>
  <c r="M2275" i="2" s="1"/>
  <c r="L2279" i="2"/>
  <c r="M2279" i="2" s="1"/>
  <c r="L2283" i="2"/>
  <c r="M2283" i="2" s="1"/>
  <c r="L2287" i="2"/>
  <c r="M2287" i="2" s="1"/>
  <c r="L2291" i="2"/>
  <c r="M2291" i="2" s="1"/>
  <c r="L2295" i="2"/>
  <c r="M2295" i="2" s="1"/>
  <c r="L2299" i="2"/>
  <c r="M2299" i="2" s="1"/>
  <c r="L2303" i="2"/>
  <c r="M2303" i="2" s="1"/>
  <c r="L2307" i="2"/>
  <c r="M2307" i="2" s="1"/>
  <c r="L2311" i="2"/>
  <c r="M2311" i="2" s="1"/>
  <c r="L2315" i="2"/>
  <c r="M2315" i="2" s="1"/>
  <c r="L2319" i="2"/>
  <c r="M2319" i="2" s="1"/>
  <c r="L2323" i="2"/>
  <c r="M2323" i="2" s="1"/>
  <c r="L2327" i="2"/>
  <c r="M2327" i="2" s="1"/>
  <c r="L2331" i="2"/>
  <c r="M2331" i="2" s="1"/>
  <c r="L2335" i="2"/>
  <c r="M2335" i="2" s="1"/>
  <c r="L2339" i="2"/>
  <c r="M2339" i="2" s="1"/>
  <c r="L2343" i="2"/>
  <c r="M2343" i="2" s="1"/>
  <c r="L2347" i="2"/>
  <c r="M2347" i="2" s="1"/>
  <c r="L2351" i="2"/>
  <c r="M2351" i="2" s="1"/>
  <c r="L2355" i="2"/>
  <c r="M2355" i="2" s="1"/>
  <c r="L2359" i="2"/>
  <c r="M2359" i="2" s="1"/>
  <c r="L2363" i="2"/>
  <c r="M2363" i="2" s="1"/>
  <c r="L2367" i="2"/>
  <c r="M2367" i="2" s="1"/>
  <c r="L2371" i="2"/>
  <c r="M2371" i="2" s="1"/>
  <c r="L2375" i="2"/>
  <c r="M2375" i="2" s="1"/>
  <c r="L2379" i="2"/>
  <c r="M2379" i="2" s="1"/>
  <c r="L2383" i="2"/>
  <c r="M2383" i="2" s="1"/>
  <c r="L2387" i="2"/>
  <c r="M2387" i="2" s="1"/>
  <c r="L2391" i="2"/>
  <c r="M2391" i="2" s="1"/>
  <c r="L2395" i="2"/>
  <c r="M2395" i="2" s="1"/>
  <c r="L2399" i="2"/>
  <c r="M2399" i="2" s="1"/>
  <c r="L2403" i="2"/>
  <c r="M2403" i="2" s="1"/>
  <c r="L2407" i="2"/>
  <c r="M2407" i="2" s="1"/>
  <c r="L2411" i="2"/>
  <c r="M2411" i="2" s="1"/>
  <c r="L2415" i="2"/>
  <c r="M2415" i="2" s="1"/>
  <c r="L2419" i="2"/>
  <c r="M2419" i="2" s="1"/>
  <c r="L2423" i="2"/>
  <c r="M2423" i="2" s="1"/>
  <c r="L2427" i="2"/>
  <c r="M2427" i="2" s="1"/>
  <c r="L2431" i="2"/>
  <c r="M2431" i="2" s="1"/>
  <c r="L2435" i="2"/>
  <c r="M2435" i="2" s="1"/>
  <c r="L2439" i="2"/>
  <c r="M2439" i="2" s="1"/>
  <c r="L2443" i="2"/>
  <c r="M2443" i="2" s="1"/>
  <c r="L2447" i="2"/>
  <c r="M2447" i="2" s="1"/>
  <c r="L2451" i="2"/>
  <c r="M2451" i="2" s="1"/>
  <c r="L2455" i="2"/>
  <c r="M2455" i="2" s="1"/>
  <c r="L2459" i="2"/>
  <c r="M2459" i="2" s="1"/>
  <c r="L2463" i="2"/>
  <c r="M2463" i="2" s="1"/>
  <c r="L2467" i="2"/>
  <c r="M2467" i="2" s="1"/>
  <c r="L2471" i="2"/>
  <c r="M2471" i="2" s="1"/>
  <c r="L2475" i="2"/>
  <c r="M2475" i="2" s="1"/>
  <c r="L2479" i="2"/>
  <c r="M2479" i="2" s="1"/>
  <c r="L2483" i="2"/>
  <c r="M2483" i="2" s="1"/>
  <c r="L2487" i="2"/>
  <c r="M2487" i="2" s="1"/>
  <c r="L2491" i="2"/>
  <c r="M2491" i="2" s="1"/>
  <c r="L2495" i="2"/>
  <c r="M2495" i="2" s="1"/>
  <c r="L2499" i="2"/>
  <c r="M2499" i="2" s="1"/>
  <c r="L2503" i="2"/>
  <c r="M2503" i="2" s="1"/>
  <c r="L2507" i="2"/>
  <c r="M2507" i="2" s="1"/>
  <c r="L2511" i="2"/>
  <c r="M2511" i="2" s="1"/>
  <c r="L2515" i="2"/>
  <c r="M2515" i="2" s="1"/>
  <c r="L2519" i="2"/>
  <c r="M2519" i="2" s="1"/>
  <c r="L2523" i="2"/>
  <c r="M2523" i="2" s="1"/>
  <c r="L2527" i="2"/>
  <c r="M2527" i="2" s="1"/>
  <c r="L2531" i="2"/>
  <c r="M2531" i="2" s="1"/>
  <c r="L2535" i="2"/>
  <c r="M2535" i="2" s="1"/>
  <c r="L2539" i="2"/>
  <c r="M2539" i="2" s="1"/>
  <c r="L2543" i="2"/>
  <c r="M2543" i="2" s="1"/>
  <c r="L2547" i="2"/>
  <c r="M2547" i="2" s="1"/>
  <c r="L2551" i="2"/>
  <c r="M2551" i="2" s="1"/>
  <c r="L2555" i="2"/>
  <c r="M2555" i="2" s="1"/>
  <c r="L2559" i="2"/>
  <c r="M2559" i="2" s="1"/>
  <c r="L2563" i="2"/>
  <c r="M2563" i="2" s="1"/>
  <c r="L2567" i="2"/>
  <c r="M2567" i="2" s="1"/>
  <c r="L2571" i="2"/>
  <c r="M2571" i="2" s="1"/>
  <c r="L2575" i="2"/>
  <c r="M2575" i="2" s="1"/>
  <c r="L2579" i="2"/>
  <c r="M2579" i="2" s="1"/>
  <c r="L2583" i="2"/>
  <c r="M2583" i="2" s="1"/>
  <c r="L2587" i="2"/>
  <c r="M2587" i="2" s="1"/>
  <c r="L2591" i="2"/>
  <c r="M2591" i="2" s="1"/>
  <c r="L2595" i="2"/>
  <c r="M2595" i="2" s="1"/>
  <c r="L2599" i="2"/>
  <c r="M2599" i="2" s="1"/>
  <c r="L2603" i="2"/>
  <c r="M2603" i="2" s="1"/>
  <c r="L2607" i="2"/>
  <c r="M2607" i="2" s="1"/>
  <c r="L2611" i="2"/>
  <c r="M2611" i="2" s="1"/>
  <c r="L2615" i="2"/>
  <c r="M2615" i="2" s="1"/>
  <c r="L2619" i="2"/>
  <c r="M2619" i="2" s="1"/>
  <c r="L2623" i="2"/>
  <c r="M2623" i="2" s="1"/>
  <c r="L2627" i="2"/>
  <c r="M2627" i="2" s="1"/>
  <c r="L2631" i="2"/>
  <c r="M2631" i="2" s="1"/>
  <c r="L2635" i="2"/>
  <c r="M2635" i="2" s="1"/>
  <c r="L2639" i="2"/>
  <c r="M2639" i="2" s="1"/>
  <c r="L2643" i="2"/>
  <c r="M2643" i="2" s="1"/>
  <c r="L2647" i="2"/>
  <c r="M2647" i="2" s="1"/>
  <c r="L2651" i="2"/>
  <c r="M2651" i="2" s="1"/>
  <c r="L2655" i="2"/>
  <c r="M2655" i="2" s="1"/>
  <c r="L2659" i="2"/>
  <c r="M2659" i="2" s="1"/>
  <c r="L2663" i="2"/>
  <c r="M2663" i="2" s="1"/>
  <c r="L2667" i="2"/>
  <c r="M2667" i="2" s="1"/>
  <c r="L2671" i="2"/>
  <c r="M2671" i="2" s="1"/>
  <c r="L2675" i="2"/>
  <c r="M2675" i="2" s="1"/>
  <c r="L2679" i="2"/>
  <c r="M2679" i="2" s="1"/>
  <c r="L2683" i="2"/>
  <c r="M2683" i="2" s="1"/>
  <c r="L2687" i="2"/>
  <c r="M2687" i="2" s="1"/>
  <c r="L2691" i="2"/>
  <c r="M2691" i="2" s="1"/>
  <c r="L2695" i="2"/>
  <c r="M2695" i="2" s="1"/>
  <c r="L2699" i="2"/>
  <c r="M2699" i="2" s="1"/>
  <c r="L2703" i="2"/>
  <c r="M2703" i="2" s="1"/>
  <c r="L2707" i="2"/>
  <c r="M2707" i="2" s="1"/>
  <c r="L2711" i="2"/>
  <c r="M2711" i="2" s="1"/>
  <c r="L2715" i="2"/>
  <c r="M2715" i="2" s="1"/>
  <c r="L2719" i="2"/>
  <c r="M2719" i="2" s="1"/>
  <c r="L2723" i="2"/>
  <c r="M2723" i="2" s="1"/>
  <c r="L2727" i="2"/>
  <c r="M2727" i="2" s="1"/>
  <c r="L2731" i="2"/>
  <c r="M2731" i="2" s="1"/>
  <c r="L2735" i="2"/>
  <c r="M2735" i="2" s="1"/>
  <c r="L2739" i="2"/>
  <c r="M2739" i="2" s="1"/>
  <c r="L2743" i="2"/>
  <c r="M2743" i="2" s="1"/>
  <c r="L2747" i="2"/>
  <c r="M2747" i="2" s="1"/>
  <c r="L2751" i="2"/>
  <c r="M2751" i="2" s="1"/>
  <c r="L2755" i="2"/>
  <c r="M2755" i="2" s="1"/>
  <c r="L2759" i="2"/>
  <c r="M2759" i="2" s="1"/>
  <c r="L2763" i="2"/>
  <c r="M2763" i="2" s="1"/>
  <c r="L2767" i="2"/>
  <c r="M2767" i="2" s="1"/>
  <c r="L2771" i="2"/>
  <c r="M2771" i="2" s="1"/>
  <c r="L2775" i="2"/>
  <c r="M2775" i="2" s="1"/>
  <c r="L2779" i="2"/>
  <c r="M2779" i="2" s="1"/>
  <c r="L2783" i="2"/>
  <c r="M2783" i="2" s="1"/>
  <c r="L2787" i="2"/>
  <c r="M2787" i="2" s="1"/>
  <c r="L2791" i="2"/>
  <c r="M2791" i="2" s="1"/>
  <c r="L2795" i="2"/>
  <c r="M2795" i="2" s="1"/>
  <c r="L2799" i="2"/>
  <c r="M2799" i="2" s="1"/>
  <c r="L2803" i="2"/>
  <c r="M2803" i="2" s="1"/>
  <c r="L2807" i="2"/>
  <c r="M2807" i="2" s="1"/>
  <c r="L2811" i="2"/>
  <c r="M2811" i="2" s="1"/>
  <c r="L2815" i="2"/>
  <c r="M2815" i="2" s="1"/>
  <c r="L2819" i="2"/>
  <c r="M2819" i="2" s="1"/>
  <c r="L2823" i="2"/>
  <c r="M2823" i="2" s="1"/>
  <c r="L2827" i="2"/>
  <c r="M2827" i="2" s="1"/>
  <c r="L2831" i="2"/>
  <c r="M2831" i="2" s="1"/>
  <c r="L2835" i="2"/>
  <c r="M2835" i="2" s="1"/>
  <c r="L2839" i="2"/>
  <c r="M2839" i="2" s="1"/>
  <c r="L2843" i="2"/>
  <c r="M2843" i="2" s="1"/>
  <c r="L2847" i="2"/>
  <c r="M2847" i="2" s="1"/>
  <c r="L2851" i="2"/>
  <c r="M2851" i="2" s="1"/>
  <c r="L2855" i="2"/>
  <c r="M2855" i="2" s="1"/>
  <c r="L2859" i="2"/>
  <c r="M2859" i="2" s="1"/>
  <c r="L2863" i="2"/>
  <c r="M2863" i="2" s="1"/>
  <c r="L2867" i="2"/>
  <c r="M2867" i="2" s="1"/>
  <c r="L2871" i="2"/>
  <c r="M2871" i="2" s="1"/>
  <c r="L2875" i="2"/>
  <c r="M2875" i="2" s="1"/>
  <c r="L2879" i="2"/>
  <c r="M2879" i="2" s="1"/>
  <c r="L2883" i="2"/>
  <c r="M2883" i="2" s="1"/>
  <c r="L2887" i="2"/>
  <c r="M2887" i="2" s="1"/>
  <c r="L2891" i="2"/>
  <c r="M2891" i="2" s="1"/>
  <c r="L2895" i="2"/>
  <c r="M2895" i="2" s="1"/>
  <c r="L2899" i="2"/>
  <c r="M2899" i="2" s="1"/>
  <c r="L2903" i="2"/>
  <c r="M2903" i="2" s="1"/>
  <c r="L2907" i="2"/>
  <c r="M2907" i="2" s="1"/>
  <c r="L2911" i="2"/>
  <c r="M2911" i="2" s="1"/>
  <c r="L2915" i="2"/>
  <c r="M2915" i="2" s="1"/>
  <c r="L2919" i="2"/>
  <c r="M2919" i="2" s="1"/>
  <c r="L2923" i="2"/>
  <c r="M2923" i="2" s="1"/>
  <c r="L2927" i="2"/>
  <c r="M2927" i="2" s="1"/>
  <c r="L2931" i="2"/>
  <c r="M2931" i="2" s="1"/>
  <c r="L2935" i="2"/>
  <c r="M2935" i="2" s="1"/>
  <c r="L2939" i="2"/>
  <c r="M2939" i="2" s="1"/>
  <c r="L2943" i="2"/>
  <c r="M2943" i="2" s="1"/>
  <c r="L2947" i="2"/>
  <c r="M2947" i="2" s="1"/>
  <c r="L2951" i="2"/>
  <c r="M2951" i="2" s="1"/>
  <c r="L2955" i="2"/>
  <c r="M2955" i="2" s="1"/>
  <c r="L2959" i="2"/>
  <c r="M2959" i="2" s="1"/>
  <c r="L2963" i="2"/>
  <c r="M2963" i="2" s="1"/>
  <c r="L2967" i="2"/>
  <c r="M2967" i="2" s="1"/>
  <c r="L2971" i="2"/>
  <c r="M2971" i="2" s="1"/>
  <c r="L2975" i="2"/>
  <c r="M2975" i="2" s="1"/>
  <c r="L2979" i="2"/>
  <c r="M2979" i="2" s="1"/>
  <c r="L2983" i="2"/>
  <c r="M2983" i="2" s="1"/>
  <c r="L2987" i="2"/>
  <c r="M2987" i="2" s="1"/>
  <c r="L2991" i="2"/>
  <c r="M2991" i="2" s="1"/>
  <c r="L2995" i="2"/>
  <c r="M2995" i="2" s="1"/>
  <c r="L2999" i="2"/>
  <c r="M2999" i="2" s="1"/>
  <c r="L3003" i="2"/>
  <c r="M3003" i="2" s="1"/>
  <c r="L3007" i="2"/>
  <c r="M3007" i="2" s="1"/>
  <c r="L3011" i="2"/>
  <c r="M3011" i="2" s="1"/>
  <c r="L3015" i="2"/>
  <c r="M3015" i="2" s="1"/>
  <c r="L3019" i="2"/>
  <c r="M3019" i="2" s="1"/>
  <c r="L3023" i="2"/>
  <c r="M3023" i="2" s="1"/>
  <c r="L3027" i="2"/>
  <c r="M3027" i="2" s="1"/>
  <c r="L3031" i="2"/>
  <c r="M3031" i="2" s="1"/>
  <c r="L3035" i="2"/>
  <c r="M3035" i="2" s="1"/>
  <c r="L3039" i="2"/>
  <c r="M3039" i="2" s="1"/>
  <c r="L3043" i="2"/>
  <c r="M3043" i="2" s="1"/>
  <c r="L3047" i="2"/>
  <c r="M3047" i="2" s="1"/>
  <c r="L3051" i="2"/>
  <c r="M3051" i="2" s="1"/>
  <c r="L3055" i="2"/>
  <c r="M3055" i="2" s="1"/>
  <c r="L3059" i="2"/>
  <c r="M3059" i="2" s="1"/>
  <c r="L3063" i="2"/>
  <c r="M3063" i="2" s="1"/>
  <c r="L3067" i="2"/>
  <c r="M3067" i="2" s="1"/>
  <c r="L3071" i="2"/>
  <c r="M3071" i="2" s="1"/>
  <c r="L3075" i="2"/>
  <c r="M3075" i="2" s="1"/>
  <c r="L3079" i="2"/>
  <c r="M3079" i="2" s="1"/>
  <c r="L3083" i="2"/>
  <c r="M3083" i="2" s="1"/>
  <c r="L3087" i="2"/>
  <c r="M3087" i="2" s="1"/>
  <c r="L3091" i="2"/>
  <c r="M3091" i="2" s="1"/>
  <c r="L3095" i="2"/>
  <c r="M3095" i="2" s="1"/>
  <c r="L3099" i="2"/>
  <c r="M3099" i="2" s="1"/>
  <c r="L3103" i="2"/>
  <c r="M3103" i="2" s="1"/>
  <c r="L3107" i="2"/>
  <c r="M3107" i="2" s="1"/>
  <c r="L3111" i="2"/>
  <c r="M3111" i="2" s="1"/>
  <c r="L3115" i="2"/>
  <c r="M3115" i="2" s="1"/>
  <c r="L3119" i="2"/>
  <c r="M3119" i="2" s="1"/>
  <c r="L3123" i="2"/>
  <c r="M3123" i="2" s="1"/>
  <c r="L3127" i="2"/>
  <c r="M3127" i="2" s="1"/>
  <c r="L3131" i="2"/>
  <c r="M3131" i="2" s="1"/>
  <c r="L3135" i="2"/>
  <c r="M3135" i="2" s="1"/>
  <c r="L3139" i="2"/>
  <c r="M3139" i="2" s="1"/>
  <c r="L3143" i="2"/>
  <c r="M3143" i="2" s="1"/>
  <c r="L3147" i="2"/>
  <c r="M3147" i="2" s="1"/>
  <c r="L3151" i="2"/>
  <c r="M3151" i="2" s="1"/>
  <c r="L3155" i="2"/>
  <c r="M3155" i="2" s="1"/>
  <c r="L3159" i="2"/>
  <c r="M3159" i="2" s="1"/>
  <c r="L3163" i="2"/>
  <c r="M3163" i="2" s="1"/>
  <c r="L3167" i="2"/>
  <c r="M3167" i="2" s="1"/>
  <c r="L3171" i="2"/>
  <c r="M3171" i="2" s="1"/>
  <c r="L3175" i="2"/>
  <c r="M3175" i="2" s="1"/>
  <c r="L3179" i="2"/>
  <c r="M3179" i="2" s="1"/>
  <c r="L3183" i="2"/>
  <c r="M3183" i="2" s="1"/>
  <c r="L3187" i="2"/>
  <c r="M3187" i="2" s="1"/>
  <c r="L3191" i="2"/>
  <c r="M3191" i="2" s="1"/>
  <c r="L3195" i="2"/>
  <c r="M3195" i="2" s="1"/>
  <c r="L3199" i="2"/>
  <c r="M3199" i="2" s="1"/>
  <c r="L3203" i="2"/>
  <c r="M3203" i="2" s="1"/>
  <c r="L3207" i="2"/>
  <c r="M3207" i="2" s="1"/>
  <c r="L3211" i="2"/>
  <c r="M3211" i="2" s="1"/>
  <c r="L3215" i="2"/>
  <c r="M3215" i="2" s="1"/>
  <c r="L3219" i="2"/>
  <c r="M3219" i="2" s="1"/>
  <c r="L3223" i="2"/>
  <c r="M3223" i="2" s="1"/>
  <c r="L3227" i="2"/>
  <c r="M3227" i="2" s="1"/>
  <c r="L3231" i="2"/>
  <c r="M3231" i="2" s="1"/>
  <c r="L3235" i="2"/>
  <c r="M3235" i="2" s="1"/>
  <c r="L3239" i="2"/>
  <c r="M3239" i="2" s="1"/>
  <c r="L3243" i="2"/>
  <c r="M3243" i="2" s="1"/>
  <c r="L3247" i="2"/>
  <c r="M3247" i="2" s="1"/>
  <c r="L3251" i="2"/>
  <c r="M3251" i="2" s="1"/>
  <c r="L3255" i="2"/>
  <c r="M3255" i="2" s="1"/>
  <c r="L3259" i="2"/>
  <c r="M3259" i="2" s="1"/>
  <c r="L3263" i="2"/>
  <c r="M3263" i="2" s="1"/>
  <c r="L3267" i="2"/>
  <c r="M3267" i="2" s="1"/>
  <c r="L3271" i="2"/>
  <c r="M3271" i="2" s="1"/>
  <c r="L3275" i="2"/>
  <c r="M3275" i="2" s="1"/>
  <c r="L3279" i="2"/>
  <c r="M3279" i="2" s="1"/>
  <c r="L3283" i="2"/>
  <c r="M3283" i="2" s="1"/>
  <c r="L3287" i="2"/>
  <c r="M3287" i="2" s="1"/>
  <c r="L3291" i="2"/>
  <c r="M3291" i="2" s="1"/>
  <c r="L3295" i="2"/>
  <c r="M3295" i="2" s="1"/>
  <c r="L3299" i="2"/>
  <c r="M3299" i="2" s="1"/>
  <c r="L3303" i="2"/>
  <c r="M3303" i="2" s="1"/>
  <c r="L3307" i="2"/>
  <c r="M3307" i="2" s="1"/>
  <c r="L3311" i="2"/>
  <c r="M3311" i="2" s="1"/>
  <c r="L3315" i="2"/>
  <c r="M3315" i="2" s="1"/>
  <c r="L3319" i="2"/>
  <c r="M3319" i="2" s="1"/>
  <c r="L3323" i="2"/>
  <c r="M3323" i="2" s="1"/>
  <c r="L3327" i="2"/>
  <c r="M3327" i="2" s="1"/>
  <c r="L3331" i="2"/>
  <c r="M3331" i="2" s="1"/>
  <c r="L3335" i="2"/>
  <c r="M3335" i="2" s="1"/>
  <c r="L3339" i="2"/>
  <c r="M3339" i="2" s="1"/>
  <c r="L3343" i="2"/>
  <c r="M3343" i="2" s="1"/>
  <c r="L3347" i="2"/>
  <c r="M3347" i="2" s="1"/>
  <c r="L3351" i="2"/>
  <c r="M3351" i="2" s="1"/>
  <c r="L3355" i="2"/>
  <c r="M3355" i="2" s="1"/>
  <c r="L3359" i="2"/>
  <c r="M3359" i="2" s="1"/>
  <c r="L3363" i="2"/>
  <c r="M3363" i="2" s="1"/>
  <c r="L3367" i="2"/>
  <c r="M3367" i="2" s="1"/>
  <c r="L3371" i="2"/>
  <c r="M3371" i="2" s="1"/>
  <c r="L3375" i="2"/>
  <c r="M3375" i="2" s="1"/>
  <c r="L3379" i="2"/>
  <c r="M3379" i="2" s="1"/>
  <c r="L3383" i="2"/>
  <c r="M3383" i="2" s="1"/>
  <c r="L3387" i="2"/>
  <c r="M3387" i="2" s="1"/>
  <c r="L3391" i="2"/>
  <c r="M3391" i="2" s="1"/>
  <c r="L3395" i="2"/>
  <c r="M3395" i="2" s="1"/>
  <c r="L3399" i="2"/>
  <c r="M3399" i="2" s="1"/>
  <c r="L3403" i="2"/>
  <c r="M3403" i="2" s="1"/>
  <c r="L3407" i="2"/>
  <c r="M3407" i="2" s="1"/>
  <c r="L3411" i="2"/>
  <c r="M3411" i="2" s="1"/>
  <c r="L3415" i="2"/>
  <c r="M3415" i="2" s="1"/>
  <c r="L3419" i="2"/>
  <c r="M3419" i="2" s="1"/>
  <c r="L3423" i="2"/>
  <c r="M3423" i="2" s="1"/>
  <c r="L3427" i="2"/>
  <c r="M3427" i="2" s="1"/>
  <c r="L3431" i="2"/>
  <c r="M3431" i="2" s="1"/>
  <c r="L3435" i="2"/>
  <c r="M3435" i="2" s="1"/>
  <c r="L3439" i="2"/>
  <c r="M3439" i="2" s="1"/>
  <c r="L3443" i="2"/>
  <c r="M3443" i="2" s="1"/>
  <c r="L3447" i="2"/>
  <c r="M3447" i="2" s="1"/>
  <c r="L3451" i="2"/>
  <c r="M3451" i="2" s="1"/>
  <c r="L3455" i="2"/>
  <c r="M3455" i="2" s="1"/>
  <c r="L3459" i="2"/>
  <c r="M3459" i="2" s="1"/>
  <c r="L3463" i="2"/>
  <c r="M3463" i="2" s="1"/>
  <c r="L3467" i="2"/>
  <c r="M3467" i="2" s="1"/>
  <c r="L3471" i="2"/>
  <c r="M3471" i="2" s="1"/>
  <c r="L3475" i="2"/>
  <c r="M3475" i="2" s="1"/>
  <c r="L3479" i="2"/>
  <c r="M3479" i="2" s="1"/>
  <c r="L3483" i="2"/>
  <c r="M3483" i="2" s="1"/>
  <c r="L3487" i="2"/>
  <c r="M3487" i="2" s="1"/>
  <c r="L3491" i="2"/>
  <c r="M3491" i="2" s="1"/>
  <c r="L3495" i="2"/>
  <c r="M3495" i="2" s="1"/>
  <c r="L3499" i="2"/>
  <c r="M3499" i="2" s="1"/>
  <c r="L3503" i="2"/>
  <c r="M3503" i="2" s="1"/>
  <c r="L3507" i="2"/>
  <c r="M3507" i="2" s="1"/>
  <c r="L3511" i="2"/>
  <c r="M3511" i="2" s="1"/>
  <c r="L3515" i="2"/>
  <c r="M3515" i="2" s="1"/>
  <c r="L3519" i="2"/>
  <c r="M3519" i="2" s="1"/>
  <c r="L3523" i="2"/>
  <c r="M3523" i="2" s="1"/>
  <c r="L3527" i="2"/>
  <c r="M3527" i="2" s="1"/>
  <c r="L3531" i="2"/>
  <c r="M3531" i="2" s="1"/>
  <c r="L3535" i="2"/>
  <c r="M3535" i="2" s="1"/>
  <c r="L3539" i="2"/>
  <c r="M3539" i="2" s="1"/>
  <c r="L3543" i="2"/>
  <c r="M3543" i="2" s="1"/>
  <c r="L3547" i="2"/>
  <c r="M3547" i="2" s="1"/>
  <c r="L3551" i="2"/>
  <c r="M3551" i="2" s="1"/>
  <c r="L3555" i="2"/>
  <c r="M3555" i="2" s="1"/>
  <c r="L3559" i="2"/>
  <c r="M3559" i="2" s="1"/>
  <c r="L3563" i="2"/>
  <c r="M3563" i="2" s="1"/>
  <c r="L3567" i="2"/>
  <c r="M3567" i="2" s="1"/>
  <c r="L3571" i="2"/>
  <c r="M3571" i="2" s="1"/>
  <c r="L3575" i="2"/>
  <c r="M3575" i="2" s="1"/>
  <c r="L3579" i="2"/>
  <c r="M3579" i="2" s="1"/>
  <c r="L3583" i="2"/>
  <c r="M3583" i="2" s="1"/>
  <c r="L3587" i="2"/>
  <c r="M3587" i="2" s="1"/>
  <c r="L3591" i="2"/>
  <c r="M3591" i="2" s="1"/>
  <c r="L3595" i="2"/>
  <c r="M3595" i="2" s="1"/>
  <c r="L3599" i="2"/>
  <c r="M3599" i="2" s="1"/>
  <c r="L3603" i="2"/>
  <c r="M3603" i="2" s="1"/>
  <c r="L3607" i="2"/>
  <c r="M3607" i="2" s="1"/>
  <c r="L3611" i="2"/>
  <c r="M3611" i="2" s="1"/>
  <c r="L3615" i="2"/>
  <c r="M3615" i="2" s="1"/>
  <c r="L3619" i="2"/>
  <c r="M3619" i="2" s="1"/>
  <c r="L3623" i="2"/>
  <c r="M3623" i="2" s="1"/>
  <c r="L3627" i="2"/>
  <c r="M3627" i="2" s="1"/>
  <c r="L3631" i="2"/>
  <c r="M3631" i="2" s="1"/>
  <c r="L3635" i="2"/>
  <c r="M3635" i="2" s="1"/>
  <c r="L3639" i="2"/>
  <c r="M3639" i="2" s="1"/>
  <c r="L3643" i="2"/>
  <c r="M3643" i="2" s="1"/>
  <c r="L3647" i="2"/>
  <c r="M3647" i="2" s="1"/>
  <c r="L3651" i="2"/>
  <c r="M3651" i="2" s="1"/>
  <c r="L3655" i="2"/>
  <c r="M3655" i="2" s="1"/>
  <c r="L3659" i="2"/>
  <c r="M3659" i="2" s="1"/>
  <c r="L3663" i="2"/>
  <c r="M3663" i="2" s="1"/>
  <c r="L3667" i="2"/>
  <c r="M3667" i="2" s="1"/>
  <c r="L3671" i="2"/>
  <c r="M3671" i="2" s="1"/>
  <c r="L3675" i="2"/>
  <c r="M3675" i="2" s="1"/>
  <c r="L3679" i="2"/>
  <c r="M3679" i="2" s="1"/>
  <c r="L3683" i="2"/>
  <c r="M3683" i="2" s="1"/>
  <c r="L3687" i="2"/>
  <c r="M3687" i="2" s="1"/>
  <c r="L3691" i="2"/>
  <c r="M3691" i="2" s="1"/>
  <c r="L3695" i="2"/>
  <c r="M3695" i="2" s="1"/>
  <c r="L3699" i="2"/>
  <c r="M3699" i="2" s="1"/>
  <c r="L3703" i="2"/>
  <c r="M3703" i="2" s="1"/>
  <c r="L3707" i="2"/>
  <c r="M3707" i="2" s="1"/>
  <c r="L3711" i="2"/>
  <c r="M3711" i="2" s="1"/>
  <c r="L3715" i="2"/>
  <c r="M3715" i="2" s="1"/>
  <c r="L3719" i="2"/>
  <c r="M3719" i="2" s="1"/>
  <c r="L3723" i="2"/>
  <c r="M3723" i="2" s="1"/>
  <c r="L3727" i="2"/>
  <c r="M3727" i="2" s="1"/>
  <c r="L3731" i="2"/>
  <c r="M3731" i="2" s="1"/>
  <c r="L3735" i="2"/>
  <c r="M3735" i="2" s="1"/>
  <c r="L3739" i="2"/>
  <c r="M3739" i="2" s="1"/>
  <c r="L3743" i="2"/>
  <c r="M3743" i="2" s="1"/>
  <c r="L3747" i="2"/>
  <c r="M3747" i="2" s="1"/>
  <c r="L3751" i="2"/>
  <c r="M3751" i="2" s="1"/>
  <c r="L3755" i="2"/>
  <c r="M3755" i="2" s="1"/>
  <c r="L3759" i="2"/>
  <c r="M3759" i="2" s="1"/>
  <c r="L3763" i="2"/>
  <c r="M3763" i="2" s="1"/>
  <c r="L3767" i="2"/>
  <c r="M3767" i="2" s="1"/>
  <c r="L3771" i="2"/>
  <c r="M3771" i="2" s="1"/>
  <c r="L3775" i="2"/>
  <c r="M3775" i="2" s="1"/>
  <c r="L3779" i="2"/>
  <c r="M3779" i="2" s="1"/>
  <c r="L3783" i="2"/>
  <c r="M3783" i="2" s="1"/>
  <c r="L3787" i="2"/>
  <c r="M3787" i="2" s="1"/>
  <c r="L3791" i="2"/>
  <c r="M3791" i="2" s="1"/>
  <c r="L3795" i="2"/>
  <c r="M3795" i="2" s="1"/>
  <c r="L3799" i="2"/>
  <c r="M3799" i="2" s="1"/>
  <c r="L3803" i="2"/>
  <c r="M3803" i="2" s="1"/>
  <c r="L3807" i="2"/>
  <c r="M3807" i="2" s="1"/>
  <c r="L3811" i="2"/>
  <c r="M3811" i="2" s="1"/>
  <c r="L3815" i="2"/>
  <c r="M3815" i="2" s="1"/>
  <c r="L3819" i="2"/>
  <c r="M3819" i="2" s="1"/>
  <c r="L3823" i="2"/>
  <c r="M3823" i="2" s="1"/>
  <c r="L3827" i="2"/>
  <c r="M3827" i="2" s="1"/>
  <c r="L3831" i="2"/>
  <c r="M3831" i="2" s="1"/>
  <c r="L3835" i="2"/>
  <c r="M3835" i="2" s="1"/>
  <c r="L3839" i="2"/>
  <c r="M3839" i="2" s="1"/>
  <c r="L3843" i="2"/>
  <c r="M3843" i="2" s="1"/>
  <c r="L3847" i="2"/>
  <c r="M3847" i="2" s="1"/>
  <c r="L3851" i="2"/>
  <c r="M3851" i="2" s="1"/>
  <c r="L3855" i="2"/>
  <c r="M3855" i="2" s="1"/>
  <c r="L3859" i="2"/>
  <c r="M3859" i="2" s="1"/>
  <c r="L3863" i="2"/>
  <c r="M3863" i="2" s="1"/>
  <c r="L3867" i="2"/>
  <c r="M3867" i="2" s="1"/>
  <c r="L3871" i="2"/>
  <c r="M3871" i="2" s="1"/>
  <c r="L3875" i="2"/>
  <c r="M3875" i="2" s="1"/>
  <c r="L3879" i="2"/>
  <c r="M3879" i="2" s="1"/>
  <c r="L3883" i="2"/>
  <c r="M3883" i="2" s="1"/>
  <c r="L3887" i="2"/>
  <c r="M3887" i="2" s="1"/>
  <c r="L3891" i="2"/>
  <c r="M3891" i="2" s="1"/>
  <c r="L3895" i="2"/>
  <c r="M3895" i="2" s="1"/>
  <c r="L3899" i="2"/>
  <c r="M3899" i="2" s="1"/>
  <c r="L3903" i="2"/>
  <c r="M3903" i="2" s="1"/>
  <c r="L3907" i="2"/>
  <c r="M3907" i="2" s="1"/>
  <c r="L3911" i="2"/>
  <c r="M3911" i="2" s="1"/>
  <c r="L3915" i="2"/>
  <c r="M3915" i="2" s="1"/>
  <c r="L3919" i="2"/>
  <c r="M3919" i="2" s="1"/>
  <c r="L3923" i="2"/>
  <c r="M3923" i="2" s="1"/>
  <c r="L3927" i="2"/>
  <c r="M3927" i="2" s="1"/>
  <c r="L3931" i="2"/>
  <c r="M3931" i="2" s="1"/>
  <c r="L3935" i="2"/>
  <c r="M3935" i="2" s="1"/>
  <c r="L3939" i="2"/>
  <c r="M3939" i="2" s="1"/>
  <c r="L3943" i="2"/>
  <c r="M3943" i="2" s="1"/>
  <c r="L3947" i="2"/>
  <c r="M3947" i="2" s="1"/>
  <c r="L3951" i="2"/>
  <c r="M3951" i="2" s="1"/>
  <c r="L3955" i="2"/>
  <c r="M3955" i="2" s="1"/>
  <c r="L3959" i="2"/>
  <c r="M3959" i="2" s="1"/>
  <c r="L3963" i="2"/>
  <c r="M3963" i="2" s="1"/>
  <c r="L3967" i="2"/>
  <c r="M3967" i="2" s="1"/>
  <c r="L3971" i="2"/>
  <c r="M3971" i="2" s="1"/>
  <c r="L3975" i="2"/>
  <c r="M3975" i="2" s="1"/>
  <c r="L3979" i="2"/>
  <c r="M3979" i="2" s="1"/>
  <c r="L3983" i="2"/>
  <c r="M3983" i="2" s="1"/>
  <c r="L3987" i="2"/>
  <c r="M3987" i="2" s="1"/>
  <c r="L3991" i="2"/>
  <c r="M3991" i="2" s="1"/>
  <c r="L3995" i="2"/>
  <c r="M3995" i="2" s="1"/>
  <c r="L3999" i="2"/>
  <c r="M3999" i="2" s="1"/>
  <c r="L4003" i="2"/>
  <c r="M4003" i="2" s="1"/>
  <c r="L4007" i="2"/>
  <c r="M4007" i="2" s="1"/>
  <c r="L4011" i="2"/>
  <c r="M4011" i="2" s="1"/>
  <c r="L4015" i="2"/>
  <c r="M4015" i="2" s="1"/>
  <c r="L4019" i="2"/>
  <c r="M4019" i="2" s="1"/>
  <c r="L4023" i="2"/>
  <c r="M4023" i="2" s="1"/>
  <c r="L4027" i="2"/>
  <c r="M4027" i="2" s="1"/>
  <c r="L4031" i="2"/>
  <c r="M4031" i="2" s="1"/>
  <c r="L4035" i="2"/>
  <c r="M4035" i="2" s="1"/>
  <c r="L4039" i="2"/>
  <c r="M4039" i="2" s="1"/>
  <c r="L4043" i="2"/>
  <c r="M4043" i="2" s="1"/>
  <c r="L4047" i="2"/>
  <c r="M4047" i="2" s="1"/>
  <c r="L4051" i="2"/>
  <c r="M4051" i="2" s="1"/>
  <c r="L4055" i="2"/>
  <c r="M4055" i="2" s="1"/>
  <c r="L4059" i="2"/>
  <c r="M4059" i="2" s="1"/>
  <c r="L4063" i="2"/>
  <c r="M4063" i="2" s="1"/>
  <c r="L4067" i="2"/>
  <c r="M4067" i="2" s="1"/>
  <c r="L4071" i="2"/>
  <c r="M4071" i="2" s="1"/>
  <c r="L4075" i="2"/>
  <c r="M4075" i="2" s="1"/>
  <c r="L4079" i="2"/>
  <c r="M4079" i="2" s="1"/>
  <c r="L4083" i="2"/>
  <c r="M4083" i="2" s="1"/>
  <c r="L4087" i="2"/>
  <c r="M4087" i="2" s="1"/>
  <c r="L4091" i="2"/>
  <c r="M4091" i="2" s="1"/>
  <c r="L4095" i="2"/>
  <c r="M4095" i="2" s="1"/>
  <c r="L4099" i="2"/>
  <c r="M4099" i="2" s="1"/>
  <c r="L4103" i="2"/>
  <c r="M4103" i="2" s="1"/>
  <c r="L4107" i="2"/>
  <c r="M4107" i="2" s="1"/>
  <c r="L4111" i="2"/>
  <c r="M4111" i="2" s="1"/>
  <c r="L4115" i="2"/>
  <c r="M4115" i="2" s="1"/>
  <c r="L4119" i="2"/>
  <c r="M4119" i="2" s="1"/>
  <c r="L4123" i="2"/>
  <c r="M4123" i="2" s="1"/>
  <c r="L4127" i="2"/>
  <c r="M4127" i="2" s="1"/>
  <c r="L4131" i="2"/>
  <c r="M4131" i="2" s="1"/>
  <c r="L4135" i="2"/>
  <c r="M4135" i="2" s="1"/>
  <c r="L4139" i="2"/>
  <c r="M4139" i="2" s="1"/>
  <c r="L4143" i="2"/>
  <c r="M4143" i="2" s="1"/>
  <c r="L4147" i="2"/>
  <c r="M4147" i="2" s="1"/>
  <c r="L4151" i="2"/>
  <c r="M4151" i="2" s="1"/>
  <c r="L4155" i="2"/>
  <c r="M4155" i="2" s="1"/>
  <c r="L4159" i="2"/>
  <c r="M4159" i="2" s="1"/>
  <c r="L4163" i="2"/>
  <c r="M4163" i="2" s="1"/>
  <c r="L4167" i="2"/>
  <c r="M4167" i="2" s="1"/>
  <c r="L4171" i="2"/>
  <c r="M4171" i="2" s="1"/>
  <c r="L4175" i="2"/>
  <c r="M4175" i="2" s="1"/>
  <c r="L4179" i="2"/>
  <c r="M4179" i="2" s="1"/>
  <c r="L4183" i="2"/>
  <c r="M4183" i="2" s="1"/>
  <c r="L4187" i="2"/>
  <c r="M4187" i="2" s="1"/>
  <c r="L4191" i="2"/>
  <c r="M4191" i="2" s="1"/>
  <c r="L4195" i="2"/>
  <c r="M4195" i="2" s="1"/>
  <c r="L4199" i="2"/>
  <c r="M4199" i="2" s="1"/>
  <c r="L4203" i="2"/>
  <c r="M4203" i="2" s="1"/>
  <c r="L4207" i="2"/>
  <c r="M4207" i="2" s="1"/>
  <c r="L4211" i="2"/>
  <c r="M4211" i="2" s="1"/>
  <c r="L4215" i="2"/>
  <c r="M4215" i="2" s="1"/>
  <c r="L4219" i="2"/>
  <c r="M4219" i="2" s="1"/>
  <c r="L4223" i="2"/>
  <c r="M4223" i="2" s="1"/>
  <c r="L4227" i="2"/>
  <c r="M4227" i="2" s="1"/>
  <c r="L4231" i="2"/>
  <c r="M4231" i="2" s="1"/>
  <c r="L4235" i="2"/>
  <c r="M4235" i="2" s="1"/>
  <c r="L4239" i="2"/>
  <c r="M4239" i="2" s="1"/>
  <c r="L4243" i="2"/>
  <c r="M4243" i="2" s="1"/>
  <c r="L4247" i="2"/>
  <c r="M4247" i="2" s="1"/>
  <c r="L4251" i="2"/>
  <c r="M4251" i="2" s="1"/>
  <c r="L4255" i="2"/>
  <c r="M4255" i="2" s="1"/>
  <c r="L4259" i="2"/>
  <c r="M4259" i="2" s="1"/>
  <c r="L4263" i="2"/>
  <c r="M4263" i="2" s="1"/>
  <c r="L4267" i="2"/>
  <c r="M4267" i="2" s="1"/>
  <c r="L4271" i="2"/>
  <c r="M4271" i="2" s="1"/>
  <c r="L4275" i="2"/>
  <c r="M4275" i="2" s="1"/>
  <c r="L4279" i="2"/>
  <c r="M4279" i="2" s="1"/>
  <c r="L4283" i="2"/>
  <c r="M4283" i="2" s="1"/>
  <c r="L4287" i="2"/>
  <c r="M4287" i="2" s="1"/>
  <c r="L4291" i="2"/>
  <c r="M4291" i="2" s="1"/>
  <c r="L4295" i="2"/>
  <c r="M4295" i="2" s="1"/>
  <c r="L4299" i="2"/>
  <c r="M4299" i="2" s="1"/>
  <c r="L4303" i="2"/>
  <c r="M4303" i="2" s="1"/>
  <c r="L4307" i="2"/>
  <c r="M4307" i="2" s="1"/>
  <c r="L4311" i="2"/>
  <c r="M4311" i="2" s="1"/>
  <c r="L4315" i="2"/>
  <c r="M4315" i="2" s="1"/>
  <c r="L4319" i="2"/>
  <c r="M4319" i="2" s="1"/>
  <c r="L4323" i="2"/>
  <c r="M4323" i="2" s="1"/>
  <c r="L4327" i="2"/>
  <c r="M4327" i="2" s="1"/>
  <c r="L4331" i="2"/>
  <c r="M4331" i="2" s="1"/>
  <c r="L4335" i="2"/>
  <c r="M4335" i="2" s="1"/>
  <c r="L4339" i="2"/>
  <c r="M4339" i="2" s="1"/>
  <c r="L4343" i="2"/>
  <c r="M4343" i="2" s="1"/>
  <c r="L4347" i="2"/>
  <c r="M4347" i="2" s="1"/>
  <c r="L4351" i="2"/>
  <c r="M4351" i="2" s="1"/>
  <c r="L4355" i="2"/>
  <c r="M4355" i="2" s="1"/>
  <c r="L4359" i="2"/>
  <c r="M4359" i="2" s="1"/>
  <c r="L4363" i="2"/>
  <c r="M4363" i="2" s="1"/>
  <c r="L4367" i="2"/>
  <c r="M4367" i="2" s="1"/>
  <c r="L4371" i="2"/>
  <c r="M4371" i="2" s="1"/>
  <c r="L4375" i="2"/>
  <c r="M4375" i="2" s="1"/>
  <c r="L4379" i="2"/>
  <c r="M4379" i="2" s="1"/>
  <c r="L4383" i="2"/>
  <c r="M4383" i="2" s="1"/>
  <c r="L4387" i="2"/>
  <c r="M4387" i="2" s="1"/>
  <c r="L4391" i="2"/>
  <c r="M4391" i="2" s="1"/>
  <c r="L4395" i="2"/>
  <c r="M4395" i="2" s="1"/>
  <c r="L4399" i="2"/>
  <c r="M4399" i="2" s="1"/>
  <c r="L4403" i="2"/>
  <c r="M4403" i="2" s="1"/>
  <c r="L4407" i="2"/>
  <c r="M4407" i="2" s="1"/>
  <c r="L4411" i="2"/>
  <c r="M4411" i="2" s="1"/>
  <c r="L4415" i="2"/>
  <c r="M4415" i="2" s="1"/>
  <c r="L4419" i="2"/>
  <c r="M4419" i="2" s="1"/>
  <c r="L4423" i="2"/>
  <c r="M4423" i="2" s="1"/>
  <c r="L4427" i="2"/>
  <c r="M4427" i="2" s="1"/>
  <c r="L4431" i="2"/>
  <c r="M4431" i="2" s="1"/>
  <c r="L4435" i="2"/>
  <c r="M4435" i="2" s="1"/>
  <c r="L4439" i="2"/>
  <c r="M4439" i="2" s="1"/>
  <c r="L4443" i="2"/>
  <c r="M4443" i="2" s="1"/>
  <c r="L4447" i="2"/>
  <c r="M4447" i="2" s="1"/>
  <c r="L4451" i="2"/>
  <c r="M4451" i="2" s="1"/>
  <c r="L4455" i="2"/>
  <c r="M4455" i="2" s="1"/>
  <c r="L4459" i="2"/>
  <c r="M4459" i="2" s="1"/>
  <c r="L4463" i="2"/>
  <c r="M4463" i="2" s="1"/>
  <c r="L4467" i="2"/>
  <c r="M4467" i="2" s="1"/>
  <c r="L4471" i="2"/>
  <c r="M4471" i="2" s="1"/>
  <c r="L4475" i="2"/>
  <c r="M4475" i="2" s="1"/>
  <c r="L4479" i="2"/>
  <c r="M4479" i="2" s="1"/>
  <c r="L4483" i="2"/>
  <c r="M4483" i="2" s="1"/>
  <c r="L4487" i="2"/>
  <c r="M4487" i="2" s="1"/>
  <c r="L4491" i="2"/>
  <c r="M4491" i="2" s="1"/>
  <c r="L4495" i="2"/>
  <c r="M4495" i="2" s="1"/>
  <c r="L4499" i="2"/>
  <c r="M4499" i="2" s="1"/>
  <c r="L4503" i="2"/>
  <c r="M4503" i="2" s="1"/>
  <c r="L4507" i="2"/>
  <c r="M4507" i="2" s="1"/>
  <c r="L4511" i="2"/>
  <c r="M4511" i="2" s="1"/>
  <c r="L4515" i="2"/>
  <c r="M4515" i="2" s="1"/>
  <c r="L4519" i="2"/>
  <c r="M4519" i="2" s="1"/>
  <c r="L4523" i="2"/>
  <c r="M4523" i="2" s="1"/>
  <c r="L4527" i="2"/>
  <c r="M4527" i="2" s="1"/>
  <c r="L4531" i="2"/>
  <c r="M4531" i="2" s="1"/>
  <c r="L4535" i="2"/>
  <c r="M4535" i="2" s="1"/>
  <c r="L4539" i="2"/>
  <c r="M4539" i="2" s="1"/>
  <c r="L4543" i="2"/>
  <c r="M4543" i="2" s="1"/>
  <c r="L4547" i="2"/>
  <c r="M4547" i="2" s="1"/>
  <c r="L4551" i="2"/>
  <c r="M4551" i="2" s="1"/>
  <c r="L4555" i="2"/>
  <c r="M4555" i="2" s="1"/>
  <c r="L4559" i="2"/>
  <c r="M4559" i="2" s="1"/>
  <c r="L4563" i="2"/>
  <c r="M4563" i="2" s="1"/>
  <c r="L4567" i="2"/>
  <c r="M4567" i="2" s="1"/>
  <c r="L4571" i="2"/>
  <c r="M4571" i="2" s="1"/>
  <c r="L4575" i="2"/>
  <c r="M4575" i="2" s="1"/>
  <c r="L4579" i="2"/>
  <c r="M4579" i="2" s="1"/>
  <c r="L4583" i="2"/>
  <c r="M4583" i="2" s="1"/>
  <c r="L4587" i="2"/>
  <c r="M4587" i="2" s="1"/>
  <c r="L4591" i="2"/>
  <c r="M4591" i="2" s="1"/>
  <c r="L4595" i="2"/>
  <c r="M4595" i="2" s="1"/>
  <c r="L4599" i="2"/>
  <c r="M4599" i="2" s="1"/>
  <c r="L4603" i="2"/>
  <c r="M4603" i="2" s="1"/>
  <c r="L4607" i="2"/>
  <c r="M4607" i="2" s="1"/>
  <c r="L4611" i="2"/>
  <c r="M4611" i="2" s="1"/>
  <c r="L4615" i="2"/>
  <c r="M4615" i="2" s="1"/>
  <c r="L4619" i="2"/>
  <c r="M4619" i="2" s="1"/>
  <c r="L4623" i="2"/>
  <c r="M4623" i="2" s="1"/>
  <c r="L4627" i="2"/>
  <c r="M4627" i="2" s="1"/>
  <c r="L4631" i="2"/>
  <c r="M4631" i="2" s="1"/>
  <c r="L4635" i="2"/>
  <c r="M4635" i="2" s="1"/>
  <c r="L4639" i="2"/>
  <c r="M4639" i="2" s="1"/>
  <c r="L4643" i="2"/>
  <c r="M4643" i="2" s="1"/>
  <c r="L4647" i="2"/>
  <c r="M4647" i="2" s="1"/>
  <c r="L4651" i="2"/>
  <c r="M4651" i="2" s="1"/>
  <c r="L4655" i="2"/>
  <c r="M4655" i="2" s="1"/>
  <c r="L4659" i="2"/>
  <c r="M4659" i="2" s="1"/>
  <c r="L4663" i="2"/>
  <c r="M4663" i="2" s="1"/>
  <c r="L4667" i="2"/>
  <c r="M4667" i="2" s="1"/>
  <c r="L4671" i="2"/>
  <c r="M4671" i="2" s="1"/>
  <c r="L4675" i="2"/>
  <c r="M4675" i="2" s="1"/>
  <c r="L4679" i="2"/>
  <c r="M4679" i="2" s="1"/>
  <c r="L4683" i="2"/>
  <c r="M4683" i="2" s="1"/>
  <c r="L4687" i="2"/>
  <c r="M4687" i="2" s="1"/>
  <c r="L4691" i="2"/>
  <c r="M4691" i="2" s="1"/>
  <c r="L4695" i="2"/>
  <c r="M4695" i="2" s="1"/>
  <c r="L4699" i="2"/>
  <c r="M4699" i="2" s="1"/>
  <c r="L4703" i="2"/>
  <c r="M4703" i="2" s="1"/>
  <c r="L4707" i="2"/>
  <c r="M4707" i="2" s="1"/>
  <c r="L4711" i="2"/>
  <c r="M4711" i="2" s="1"/>
  <c r="L4715" i="2"/>
  <c r="M4715" i="2" s="1"/>
  <c r="L4719" i="2"/>
  <c r="M4719" i="2" s="1"/>
  <c r="L4723" i="2"/>
  <c r="M4723" i="2" s="1"/>
  <c r="L4727" i="2"/>
  <c r="M4727" i="2" s="1"/>
  <c r="L4731" i="2"/>
  <c r="M4731" i="2" s="1"/>
  <c r="L4735" i="2"/>
  <c r="M4735" i="2" s="1"/>
  <c r="L4739" i="2"/>
  <c r="M4739" i="2" s="1"/>
  <c r="L4743" i="2"/>
  <c r="M4743" i="2" s="1"/>
  <c r="L4747" i="2"/>
  <c r="M4747" i="2" s="1"/>
  <c r="L4751" i="2"/>
  <c r="M4751" i="2" s="1"/>
  <c r="L4755" i="2"/>
  <c r="M4755" i="2" s="1"/>
  <c r="L4759" i="2"/>
  <c r="M4759" i="2" s="1"/>
  <c r="L4763" i="2"/>
  <c r="M4763" i="2" s="1"/>
  <c r="L4767" i="2"/>
  <c r="M4767" i="2" s="1"/>
  <c r="L4771" i="2"/>
  <c r="M4771" i="2" s="1"/>
  <c r="L4775" i="2"/>
  <c r="M4775" i="2" s="1"/>
  <c r="L4779" i="2"/>
  <c r="M4779" i="2" s="1"/>
  <c r="L4783" i="2"/>
  <c r="M4783" i="2" s="1"/>
  <c r="L4787" i="2"/>
  <c r="M4787" i="2" s="1"/>
  <c r="L4791" i="2"/>
  <c r="M4791" i="2" s="1"/>
  <c r="L4795" i="2"/>
  <c r="M4795" i="2" s="1"/>
  <c r="L4799" i="2"/>
  <c r="M4799" i="2" s="1"/>
  <c r="L4803" i="2"/>
  <c r="M4803" i="2" s="1"/>
  <c r="L4807" i="2"/>
  <c r="M4807" i="2" s="1"/>
  <c r="L4811" i="2"/>
  <c r="M4811" i="2" s="1"/>
  <c r="L4815" i="2"/>
  <c r="M4815" i="2" s="1"/>
  <c r="L4819" i="2"/>
  <c r="M4819" i="2" s="1"/>
  <c r="L4823" i="2"/>
  <c r="M4823" i="2" s="1"/>
  <c r="L4827" i="2"/>
  <c r="M4827" i="2" s="1"/>
  <c r="L4831" i="2"/>
  <c r="M4831" i="2" s="1"/>
  <c r="L4835" i="2"/>
  <c r="M4835" i="2" s="1"/>
  <c r="L4839" i="2"/>
  <c r="M4839" i="2" s="1"/>
  <c r="L4843" i="2"/>
  <c r="M4843" i="2" s="1"/>
  <c r="L4847" i="2"/>
  <c r="M4847" i="2" s="1"/>
  <c r="L4851" i="2"/>
  <c r="M4851" i="2" s="1"/>
  <c r="L4855" i="2"/>
  <c r="M4855" i="2" s="1"/>
  <c r="L4859" i="2"/>
  <c r="M4859" i="2" s="1"/>
  <c r="L4863" i="2"/>
  <c r="M4863" i="2" s="1"/>
  <c r="L4867" i="2"/>
  <c r="M4867" i="2" s="1"/>
  <c r="L4871" i="2"/>
  <c r="M4871" i="2" s="1"/>
  <c r="L4875" i="2"/>
  <c r="M4875" i="2" s="1"/>
  <c r="L4879" i="2"/>
  <c r="M4879" i="2" s="1"/>
  <c r="L4883" i="2"/>
  <c r="M4883" i="2" s="1"/>
  <c r="L4887" i="2"/>
  <c r="M4887" i="2" s="1"/>
  <c r="L4891" i="2"/>
  <c r="M4891" i="2" s="1"/>
  <c r="L4895" i="2"/>
  <c r="M4895" i="2" s="1"/>
  <c r="L4899" i="2"/>
  <c r="M4899" i="2" s="1"/>
  <c r="L4903" i="2"/>
  <c r="M4903" i="2" s="1"/>
  <c r="L4907" i="2"/>
  <c r="M4907" i="2" s="1"/>
  <c r="L4911" i="2"/>
  <c r="M4911" i="2" s="1"/>
  <c r="L4915" i="2"/>
  <c r="M4915" i="2" s="1"/>
  <c r="L4919" i="2"/>
  <c r="M4919" i="2" s="1"/>
  <c r="L4923" i="2"/>
  <c r="M4923" i="2" s="1"/>
  <c r="L3649" i="2"/>
  <c r="M3649" i="2" s="1"/>
  <c r="L3665" i="2"/>
  <c r="M3665" i="2" s="1"/>
  <c r="L3681" i="2"/>
  <c r="M3681" i="2" s="1"/>
  <c r="L3697" i="2"/>
  <c r="M3697" i="2" s="1"/>
  <c r="L3713" i="2"/>
  <c r="M3713" i="2" s="1"/>
  <c r="L3729" i="2"/>
  <c r="M3729" i="2" s="1"/>
  <c r="L3745" i="2"/>
  <c r="M3745" i="2" s="1"/>
  <c r="L3761" i="2"/>
  <c r="M3761" i="2" s="1"/>
  <c r="L3777" i="2"/>
  <c r="M3777" i="2" s="1"/>
  <c r="L3793" i="2"/>
  <c r="M3793" i="2" s="1"/>
  <c r="L3809" i="2"/>
  <c r="M3809" i="2" s="1"/>
  <c r="L3825" i="2"/>
  <c r="M3825" i="2" s="1"/>
  <c r="L3841" i="2"/>
  <c r="M3841" i="2" s="1"/>
  <c r="L3857" i="2"/>
  <c r="M3857" i="2" s="1"/>
  <c r="L3873" i="2"/>
  <c r="M3873" i="2" s="1"/>
  <c r="L3884" i="2"/>
  <c r="M3884" i="2" s="1"/>
  <c r="L3892" i="2"/>
  <c r="M3892" i="2" s="1"/>
  <c r="L3900" i="2"/>
  <c r="M3900" i="2" s="1"/>
  <c r="L3908" i="2"/>
  <c r="M3908" i="2" s="1"/>
  <c r="L3916" i="2"/>
  <c r="M3916" i="2" s="1"/>
  <c r="L3924" i="2"/>
  <c r="M3924" i="2" s="1"/>
  <c r="L3932" i="2"/>
  <c r="M3932" i="2" s="1"/>
  <c r="L3940" i="2"/>
  <c r="M3940" i="2" s="1"/>
  <c r="L3948" i="2"/>
  <c r="M3948" i="2" s="1"/>
  <c r="L3956" i="2"/>
  <c r="M3956" i="2" s="1"/>
  <c r="L3964" i="2"/>
  <c r="M3964" i="2" s="1"/>
  <c r="L3972" i="2"/>
  <c r="M3972" i="2" s="1"/>
  <c r="L3980" i="2"/>
  <c r="M3980" i="2" s="1"/>
  <c r="L3988" i="2"/>
  <c r="M3988" i="2" s="1"/>
  <c r="L3996" i="2"/>
  <c r="M3996" i="2" s="1"/>
  <c r="L4004" i="2"/>
  <c r="M4004" i="2" s="1"/>
  <c r="L4012" i="2"/>
  <c r="M4012" i="2" s="1"/>
  <c r="L4020" i="2"/>
  <c r="M4020" i="2" s="1"/>
  <c r="L4028" i="2"/>
  <c r="M4028" i="2" s="1"/>
  <c r="L4036" i="2"/>
  <c r="M4036" i="2" s="1"/>
  <c r="L4044" i="2"/>
  <c r="M4044" i="2" s="1"/>
  <c r="L4052" i="2"/>
  <c r="M4052" i="2" s="1"/>
  <c r="L4060" i="2"/>
  <c r="M4060" i="2" s="1"/>
  <c r="L4068" i="2"/>
  <c r="M4068" i="2" s="1"/>
  <c r="L4076" i="2"/>
  <c r="M4076" i="2" s="1"/>
  <c r="L4084" i="2"/>
  <c r="M4084" i="2" s="1"/>
  <c r="L4092" i="2"/>
  <c r="M4092" i="2" s="1"/>
  <c r="L4100" i="2"/>
  <c r="M4100" i="2" s="1"/>
  <c r="L4108" i="2"/>
  <c r="M4108" i="2" s="1"/>
  <c r="L4116" i="2"/>
  <c r="M4116" i="2" s="1"/>
  <c r="L4124" i="2"/>
  <c r="M4124" i="2" s="1"/>
  <c r="L4132" i="2"/>
  <c r="M4132" i="2" s="1"/>
  <c r="L4140" i="2"/>
  <c r="M4140" i="2" s="1"/>
  <c r="L4148" i="2"/>
  <c r="M4148" i="2" s="1"/>
  <c r="L4156" i="2"/>
  <c r="M4156" i="2" s="1"/>
  <c r="L4164" i="2"/>
  <c r="M4164" i="2" s="1"/>
  <c r="L4172" i="2"/>
  <c r="M4172" i="2" s="1"/>
  <c r="L4180" i="2"/>
  <c r="M4180" i="2" s="1"/>
  <c r="L4188" i="2"/>
  <c r="M4188" i="2" s="1"/>
  <c r="L4196" i="2"/>
  <c r="M4196" i="2" s="1"/>
  <c r="L4204" i="2"/>
  <c r="M4204" i="2" s="1"/>
  <c r="L4212" i="2"/>
  <c r="M4212" i="2" s="1"/>
  <c r="L4220" i="2"/>
  <c r="M4220" i="2" s="1"/>
  <c r="L4228" i="2"/>
  <c r="M4228" i="2" s="1"/>
  <c r="L4236" i="2"/>
  <c r="M4236" i="2" s="1"/>
  <c r="L4244" i="2"/>
  <c r="M4244" i="2" s="1"/>
  <c r="L4252" i="2"/>
  <c r="M4252" i="2" s="1"/>
  <c r="L4260" i="2"/>
  <c r="M4260" i="2" s="1"/>
  <c r="L4268" i="2"/>
  <c r="M4268" i="2" s="1"/>
  <c r="L4276" i="2"/>
  <c r="M4276" i="2" s="1"/>
  <c r="L4284" i="2"/>
  <c r="M4284" i="2" s="1"/>
  <c r="L4292" i="2"/>
  <c r="M4292" i="2" s="1"/>
  <c r="L4300" i="2"/>
  <c r="M4300" i="2" s="1"/>
  <c r="L4308" i="2"/>
  <c r="M4308" i="2" s="1"/>
  <c r="L4316" i="2"/>
  <c r="M4316" i="2" s="1"/>
  <c r="L4324" i="2"/>
  <c r="M4324" i="2" s="1"/>
  <c r="L4332" i="2"/>
  <c r="M4332" i="2" s="1"/>
  <c r="L4340" i="2"/>
  <c r="M4340" i="2" s="1"/>
  <c r="L4348" i="2"/>
  <c r="M4348" i="2" s="1"/>
  <c r="L4356" i="2"/>
  <c r="M4356" i="2" s="1"/>
  <c r="L4364" i="2"/>
  <c r="M4364" i="2" s="1"/>
  <c r="L4372" i="2"/>
  <c r="M4372" i="2" s="1"/>
  <c r="L4380" i="2"/>
  <c r="M4380" i="2" s="1"/>
  <c r="L4388" i="2"/>
  <c r="M4388" i="2" s="1"/>
  <c r="L4396" i="2"/>
  <c r="M4396" i="2" s="1"/>
  <c r="L4404" i="2"/>
  <c r="M4404" i="2" s="1"/>
  <c r="L4412" i="2"/>
  <c r="M4412" i="2" s="1"/>
  <c r="L4420" i="2"/>
  <c r="M4420" i="2" s="1"/>
  <c r="L4428" i="2"/>
  <c r="M4428" i="2" s="1"/>
  <c r="L4436" i="2"/>
  <c r="M4436" i="2" s="1"/>
  <c r="L4444" i="2"/>
  <c r="M4444" i="2" s="1"/>
  <c r="L4452" i="2"/>
  <c r="M4452" i="2" s="1"/>
  <c r="L4460" i="2"/>
  <c r="M4460" i="2" s="1"/>
  <c r="L4468" i="2"/>
  <c r="M4468" i="2" s="1"/>
  <c r="L4476" i="2"/>
  <c r="M4476" i="2" s="1"/>
  <c r="L4484" i="2"/>
  <c r="M4484" i="2" s="1"/>
  <c r="L4492" i="2"/>
  <c r="M4492" i="2" s="1"/>
  <c r="L4500" i="2"/>
  <c r="M4500" i="2" s="1"/>
  <c r="L4508" i="2"/>
  <c r="M4508" i="2" s="1"/>
  <c r="L4516" i="2"/>
  <c r="M4516" i="2" s="1"/>
  <c r="L4524" i="2"/>
  <c r="M4524" i="2" s="1"/>
  <c r="L4532" i="2"/>
  <c r="M4532" i="2" s="1"/>
  <c r="L4540" i="2"/>
  <c r="M4540" i="2" s="1"/>
  <c r="L4548" i="2"/>
  <c r="M4548" i="2" s="1"/>
  <c r="L4556" i="2"/>
  <c r="M4556" i="2" s="1"/>
  <c r="L4564" i="2"/>
  <c r="M4564" i="2" s="1"/>
  <c r="L4572" i="2"/>
  <c r="M4572" i="2" s="1"/>
  <c r="L4580" i="2"/>
  <c r="M4580" i="2" s="1"/>
  <c r="L4588" i="2"/>
  <c r="M4588" i="2" s="1"/>
  <c r="L4596" i="2"/>
  <c r="M4596" i="2" s="1"/>
  <c r="L4604" i="2"/>
  <c r="M4604" i="2" s="1"/>
  <c r="L4612" i="2"/>
  <c r="M4612" i="2" s="1"/>
  <c r="L4620" i="2"/>
  <c r="M4620" i="2" s="1"/>
  <c r="L4628" i="2"/>
  <c r="M4628" i="2" s="1"/>
  <c r="L4636" i="2"/>
  <c r="M4636" i="2" s="1"/>
  <c r="L4644" i="2"/>
  <c r="M4644" i="2" s="1"/>
  <c r="L4652" i="2"/>
  <c r="M4652" i="2" s="1"/>
  <c r="L4660" i="2"/>
  <c r="M4660" i="2" s="1"/>
  <c r="L4668" i="2"/>
  <c r="M4668" i="2" s="1"/>
  <c r="L4676" i="2"/>
  <c r="M4676" i="2" s="1"/>
  <c r="L4684" i="2"/>
  <c r="M4684" i="2" s="1"/>
  <c r="L4692" i="2"/>
  <c r="M4692" i="2" s="1"/>
  <c r="L4700" i="2"/>
  <c r="M4700" i="2" s="1"/>
  <c r="L4708" i="2"/>
  <c r="M4708" i="2" s="1"/>
  <c r="L4716" i="2"/>
  <c r="M4716" i="2" s="1"/>
  <c r="L4724" i="2"/>
  <c r="M4724" i="2" s="1"/>
  <c r="L4732" i="2"/>
  <c r="M4732" i="2" s="1"/>
  <c r="L4740" i="2"/>
  <c r="M4740" i="2" s="1"/>
  <c r="L4748" i="2"/>
  <c r="M4748" i="2" s="1"/>
  <c r="L4756" i="2"/>
  <c r="M4756" i="2" s="1"/>
  <c r="L4764" i="2"/>
  <c r="M4764" i="2" s="1"/>
  <c r="L4772" i="2"/>
  <c r="M4772" i="2" s="1"/>
  <c r="L4780" i="2"/>
  <c r="M4780" i="2" s="1"/>
  <c r="L4788" i="2"/>
  <c r="M4788" i="2" s="1"/>
  <c r="L4796" i="2"/>
  <c r="M4796" i="2" s="1"/>
  <c r="L4804" i="2"/>
  <c r="M4804" i="2" s="1"/>
  <c r="L4812" i="2"/>
  <c r="M4812" i="2" s="1"/>
  <c r="L4820" i="2"/>
  <c r="M4820" i="2" s="1"/>
  <c r="L4828" i="2"/>
  <c r="M4828" i="2" s="1"/>
  <c r="L4836" i="2"/>
  <c r="M4836" i="2" s="1"/>
  <c r="L4844" i="2"/>
  <c r="M4844" i="2" s="1"/>
  <c r="L4852" i="2"/>
  <c r="M4852" i="2" s="1"/>
  <c r="L4860" i="2"/>
  <c r="M4860" i="2" s="1"/>
  <c r="L4868" i="2"/>
  <c r="M4868" i="2" s="1"/>
  <c r="L4876" i="2"/>
  <c r="M4876" i="2" s="1"/>
  <c r="L4884" i="2"/>
  <c r="M4884" i="2" s="1"/>
  <c r="L4892" i="2"/>
  <c r="M4892" i="2" s="1"/>
  <c r="L4900" i="2"/>
  <c r="M4900" i="2" s="1"/>
  <c r="L4908" i="2"/>
  <c r="M4908" i="2" s="1"/>
  <c r="L4916" i="2"/>
  <c r="M4916" i="2" s="1"/>
  <c r="L4924" i="2"/>
  <c r="M4924" i="2" s="1"/>
  <c r="L4928" i="2"/>
  <c r="M4928" i="2" s="1"/>
  <c r="L4932" i="2"/>
  <c r="M4932" i="2" s="1"/>
  <c r="L4936" i="2"/>
  <c r="M4936" i="2" s="1"/>
  <c r="L4940" i="2"/>
  <c r="M4940" i="2" s="1"/>
  <c r="L4944" i="2"/>
  <c r="M4944" i="2" s="1"/>
  <c r="L4948" i="2"/>
  <c r="M4948" i="2" s="1"/>
  <c r="L4952" i="2"/>
  <c r="M4952" i="2" s="1"/>
  <c r="L4956" i="2"/>
  <c r="M4956" i="2" s="1"/>
  <c r="L4960" i="2"/>
  <c r="M4960" i="2" s="1"/>
  <c r="L4964" i="2"/>
  <c r="M4964" i="2" s="1"/>
  <c r="L4968" i="2"/>
  <c r="M4968" i="2" s="1"/>
  <c r="L4972" i="2"/>
  <c r="M4972" i="2" s="1"/>
  <c r="L4976" i="2"/>
  <c r="M4976" i="2" s="1"/>
  <c r="L4980" i="2"/>
  <c r="M4980" i="2" s="1"/>
  <c r="L4984" i="2"/>
  <c r="M4984" i="2" s="1"/>
  <c r="L4988" i="2"/>
  <c r="M4988" i="2" s="1"/>
  <c r="L4992" i="2"/>
  <c r="M4992" i="2" s="1"/>
  <c r="L4996" i="2"/>
  <c r="M4996" i="2" s="1"/>
  <c r="L5000" i="2"/>
  <c r="M5000" i="2" s="1"/>
  <c r="L3653" i="2"/>
  <c r="M3653" i="2" s="1"/>
  <c r="L3669" i="2"/>
  <c r="M3669" i="2" s="1"/>
  <c r="L3685" i="2"/>
  <c r="M3685" i="2" s="1"/>
  <c r="L3701" i="2"/>
  <c r="M3701" i="2" s="1"/>
  <c r="L3717" i="2"/>
  <c r="M3717" i="2" s="1"/>
  <c r="L3733" i="2"/>
  <c r="M3733" i="2" s="1"/>
  <c r="L3749" i="2"/>
  <c r="M3749" i="2" s="1"/>
  <c r="L3765" i="2"/>
  <c r="M3765" i="2" s="1"/>
  <c r="L3781" i="2"/>
  <c r="M3781" i="2" s="1"/>
  <c r="L3797" i="2"/>
  <c r="M3797" i="2" s="1"/>
  <c r="L3813" i="2"/>
  <c r="M3813" i="2" s="1"/>
  <c r="L3829" i="2"/>
  <c r="M3829" i="2" s="1"/>
  <c r="L3845" i="2"/>
  <c r="M3845" i="2" s="1"/>
  <c r="L3861" i="2"/>
  <c r="M3861" i="2" s="1"/>
  <c r="L3877" i="2"/>
  <c r="M3877" i="2" s="1"/>
  <c r="L3885" i="2"/>
  <c r="M3885" i="2" s="1"/>
  <c r="L3893" i="2"/>
  <c r="M3893" i="2" s="1"/>
  <c r="L3901" i="2"/>
  <c r="M3901" i="2" s="1"/>
  <c r="L3909" i="2"/>
  <c r="M3909" i="2" s="1"/>
  <c r="L3917" i="2"/>
  <c r="M3917" i="2" s="1"/>
  <c r="L3925" i="2"/>
  <c r="M3925" i="2" s="1"/>
  <c r="L3933" i="2"/>
  <c r="M3933" i="2" s="1"/>
  <c r="L3941" i="2"/>
  <c r="M3941" i="2" s="1"/>
  <c r="L3949" i="2"/>
  <c r="M3949" i="2" s="1"/>
  <c r="L3957" i="2"/>
  <c r="M3957" i="2" s="1"/>
  <c r="L3965" i="2"/>
  <c r="M3965" i="2" s="1"/>
  <c r="L3973" i="2"/>
  <c r="M3973" i="2" s="1"/>
  <c r="L3981" i="2"/>
  <c r="M3981" i="2" s="1"/>
  <c r="L3989" i="2"/>
  <c r="M3989" i="2" s="1"/>
  <c r="L3997" i="2"/>
  <c r="M3997" i="2" s="1"/>
  <c r="L4005" i="2"/>
  <c r="M4005" i="2" s="1"/>
  <c r="L4013" i="2"/>
  <c r="M4013" i="2" s="1"/>
  <c r="L4021" i="2"/>
  <c r="M4021" i="2" s="1"/>
  <c r="L4029" i="2"/>
  <c r="M4029" i="2" s="1"/>
  <c r="L4037" i="2"/>
  <c r="M4037" i="2" s="1"/>
  <c r="L4045" i="2"/>
  <c r="M4045" i="2" s="1"/>
  <c r="L4053" i="2"/>
  <c r="M4053" i="2" s="1"/>
  <c r="L4061" i="2"/>
  <c r="M4061" i="2" s="1"/>
  <c r="L4069" i="2"/>
  <c r="M4069" i="2" s="1"/>
  <c r="L4077" i="2"/>
  <c r="M4077" i="2" s="1"/>
  <c r="L4085" i="2"/>
  <c r="M4085" i="2" s="1"/>
  <c r="L4093" i="2"/>
  <c r="M4093" i="2" s="1"/>
  <c r="L4101" i="2"/>
  <c r="M4101" i="2" s="1"/>
  <c r="L4109" i="2"/>
  <c r="M4109" i="2" s="1"/>
  <c r="L4117" i="2"/>
  <c r="M4117" i="2" s="1"/>
  <c r="L4125" i="2"/>
  <c r="M4125" i="2" s="1"/>
  <c r="L4133" i="2"/>
  <c r="M4133" i="2" s="1"/>
  <c r="L4141" i="2"/>
  <c r="M4141" i="2" s="1"/>
  <c r="L4149" i="2"/>
  <c r="M4149" i="2" s="1"/>
  <c r="L4157" i="2"/>
  <c r="M4157" i="2" s="1"/>
  <c r="L4165" i="2"/>
  <c r="M4165" i="2" s="1"/>
  <c r="L4173" i="2"/>
  <c r="M4173" i="2" s="1"/>
  <c r="L4181" i="2"/>
  <c r="M4181" i="2" s="1"/>
  <c r="L4189" i="2"/>
  <c r="M4189" i="2" s="1"/>
  <c r="L4197" i="2"/>
  <c r="M4197" i="2" s="1"/>
  <c r="L4205" i="2"/>
  <c r="M4205" i="2" s="1"/>
  <c r="L4213" i="2"/>
  <c r="M4213" i="2" s="1"/>
  <c r="L4221" i="2"/>
  <c r="M4221" i="2" s="1"/>
  <c r="L4229" i="2"/>
  <c r="M4229" i="2" s="1"/>
  <c r="L4237" i="2"/>
  <c r="M4237" i="2" s="1"/>
  <c r="L4245" i="2"/>
  <c r="M4245" i="2" s="1"/>
  <c r="L4253" i="2"/>
  <c r="M4253" i="2" s="1"/>
  <c r="L4261" i="2"/>
  <c r="M4261" i="2" s="1"/>
  <c r="L4269" i="2"/>
  <c r="M4269" i="2" s="1"/>
  <c r="L4277" i="2"/>
  <c r="M4277" i="2" s="1"/>
  <c r="L4285" i="2"/>
  <c r="M4285" i="2" s="1"/>
  <c r="L4293" i="2"/>
  <c r="M4293" i="2" s="1"/>
  <c r="L4301" i="2"/>
  <c r="M4301" i="2" s="1"/>
  <c r="L4309" i="2"/>
  <c r="M4309" i="2" s="1"/>
  <c r="L4317" i="2"/>
  <c r="M4317" i="2" s="1"/>
  <c r="L4325" i="2"/>
  <c r="M4325" i="2" s="1"/>
  <c r="L4333" i="2"/>
  <c r="M4333" i="2" s="1"/>
  <c r="L4341" i="2"/>
  <c r="M4341" i="2" s="1"/>
  <c r="L4349" i="2"/>
  <c r="M4349" i="2" s="1"/>
  <c r="L4357" i="2"/>
  <c r="M4357" i="2" s="1"/>
  <c r="L4365" i="2"/>
  <c r="M4365" i="2" s="1"/>
  <c r="L4373" i="2"/>
  <c r="M4373" i="2" s="1"/>
  <c r="L4381" i="2"/>
  <c r="M4381" i="2" s="1"/>
  <c r="L4389" i="2"/>
  <c r="M4389" i="2" s="1"/>
  <c r="L4397" i="2"/>
  <c r="M4397" i="2" s="1"/>
  <c r="L4405" i="2"/>
  <c r="M4405" i="2" s="1"/>
  <c r="L4413" i="2"/>
  <c r="M4413" i="2" s="1"/>
  <c r="L4421" i="2"/>
  <c r="M4421" i="2" s="1"/>
  <c r="L4429" i="2"/>
  <c r="M4429" i="2" s="1"/>
  <c r="L4437" i="2"/>
  <c r="M4437" i="2" s="1"/>
  <c r="L4445" i="2"/>
  <c r="M4445" i="2" s="1"/>
  <c r="L4453" i="2"/>
  <c r="M4453" i="2" s="1"/>
  <c r="L4461" i="2"/>
  <c r="M4461" i="2" s="1"/>
  <c r="L4469" i="2"/>
  <c r="M4469" i="2" s="1"/>
  <c r="L4477" i="2"/>
  <c r="M4477" i="2" s="1"/>
  <c r="L4485" i="2"/>
  <c r="M4485" i="2" s="1"/>
  <c r="L4493" i="2"/>
  <c r="M4493" i="2" s="1"/>
  <c r="L4501" i="2"/>
  <c r="M4501" i="2" s="1"/>
  <c r="L4509" i="2"/>
  <c r="M4509" i="2" s="1"/>
  <c r="L4517" i="2"/>
  <c r="M4517" i="2" s="1"/>
  <c r="L4525" i="2"/>
  <c r="M4525" i="2" s="1"/>
  <c r="L4533" i="2"/>
  <c r="M4533" i="2" s="1"/>
  <c r="L4541" i="2"/>
  <c r="M4541" i="2" s="1"/>
  <c r="L4549" i="2"/>
  <c r="M4549" i="2" s="1"/>
  <c r="L4557" i="2"/>
  <c r="M4557" i="2" s="1"/>
  <c r="L4565" i="2"/>
  <c r="M4565" i="2" s="1"/>
  <c r="L4573" i="2"/>
  <c r="M4573" i="2" s="1"/>
  <c r="L4581" i="2"/>
  <c r="M4581" i="2" s="1"/>
  <c r="L4589" i="2"/>
  <c r="M4589" i="2" s="1"/>
  <c r="L4597" i="2"/>
  <c r="M4597" i="2" s="1"/>
  <c r="L4605" i="2"/>
  <c r="M4605" i="2" s="1"/>
  <c r="L4613" i="2"/>
  <c r="M4613" i="2" s="1"/>
  <c r="L4621" i="2"/>
  <c r="M4621" i="2" s="1"/>
  <c r="L4629" i="2"/>
  <c r="M4629" i="2" s="1"/>
  <c r="L4637" i="2"/>
  <c r="M4637" i="2" s="1"/>
  <c r="L4645" i="2"/>
  <c r="M4645" i="2" s="1"/>
  <c r="L4653" i="2"/>
  <c r="M4653" i="2" s="1"/>
  <c r="L4661" i="2"/>
  <c r="M4661" i="2" s="1"/>
  <c r="L4669" i="2"/>
  <c r="M4669" i="2" s="1"/>
  <c r="L4677" i="2"/>
  <c r="M4677" i="2" s="1"/>
  <c r="L4685" i="2"/>
  <c r="M4685" i="2" s="1"/>
  <c r="L4693" i="2"/>
  <c r="M4693" i="2" s="1"/>
  <c r="L4701" i="2"/>
  <c r="M4701" i="2" s="1"/>
  <c r="L4709" i="2"/>
  <c r="M4709" i="2" s="1"/>
  <c r="L4717" i="2"/>
  <c r="M4717" i="2" s="1"/>
  <c r="L4725" i="2"/>
  <c r="M4725" i="2" s="1"/>
  <c r="L4733" i="2"/>
  <c r="M4733" i="2" s="1"/>
  <c r="L4741" i="2"/>
  <c r="M4741" i="2" s="1"/>
  <c r="L4749" i="2"/>
  <c r="M4749" i="2" s="1"/>
  <c r="L4757" i="2"/>
  <c r="M4757" i="2" s="1"/>
  <c r="L4765" i="2"/>
  <c r="M4765" i="2" s="1"/>
  <c r="L4773" i="2"/>
  <c r="M4773" i="2" s="1"/>
  <c r="L4781" i="2"/>
  <c r="M4781" i="2" s="1"/>
  <c r="L4789" i="2"/>
  <c r="M4789" i="2" s="1"/>
  <c r="L4797" i="2"/>
  <c r="M4797" i="2" s="1"/>
  <c r="L4805" i="2"/>
  <c r="M4805" i="2" s="1"/>
  <c r="L4813" i="2"/>
  <c r="M4813" i="2" s="1"/>
  <c r="L4821" i="2"/>
  <c r="M4821" i="2" s="1"/>
  <c r="L4829" i="2"/>
  <c r="M4829" i="2" s="1"/>
  <c r="L4837" i="2"/>
  <c r="M4837" i="2" s="1"/>
  <c r="L4845" i="2"/>
  <c r="M4845" i="2" s="1"/>
  <c r="L4853" i="2"/>
  <c r="M4853" i="2" s="1"/>
  <c r="L4861" i="2"/>
  <c r="M4861" i="2" s="1"/>
  <c r="L4869" i="2"/>
  <c r="M4869" i="2" s="1"/>
  <c r="L4877" i="2"/>
  <c r="M4877" i="2" s="1"/>
  <c r="L4885" i="2"/>
  <c r="M4885" i="2" s="1"/>
  <c r="L4893" i="2"/>
  <c r="M4893" i="2" s="1"/>
  <c r="L4901" i="2"/>
  <c r="M4901" i="2" s="1"/>
  <c r="L4909" i="2"/>
  <c r="M4909" i="2" s="1"/>
  <c r="L4917" i="2"/>
  <c r="M4917" i="2" s="1"/>
  <c r="L4925" i="2"/>
  <c r="M4925" i="2" s="1"/>
  <c r="L4929" i="2"/>
  <c r="M4929" i="2" s="1"/>
  <c r="L4933" i="2"/>
  <c r="M4933" i="2" s="1"/>
  <c r="L4937" i="2"/>
  <c r="M4937" i="2" s="1"/>
  <c r="L4941" i="2"/>
  <c r="M4941" i="2" s="1"/>
  <c r="L4945" i="2"/>
  <c r="M4945" i="2" s="1"/>
  <c r="L4949" i="2"/>
  <c r="M4949" i="2" s="1"/>
  <c r="L4953" i="2"/>
  <c r="M4953" i="2" s="1"/>
  <c r="L4957" i="2"/>
  <c r="M4957" i="2" s="1"/>
  <c r="L4961" i="2"/>
  <c r="M4961" i="2" s="1"/>
  <c r="L4965" i="2"/>
  <c r="M4965" i="2" s="1"/>
  <c r="L4969" i="2"/>
  <c r="M4969" i="2" s="1"/>
  <c r="L4973" i="2"/>
  <c r="M4973" i="2" s="1"/>
  <c r="L4977" i="2"/>
  <c r="M4977" i="2" s="1"/>
  <c r="L4981" i="2"/>
  <c r="M4981" i="2" s="1"/>
  <c r="L4985" i="2"/>
  <c r="M4985" i="2" s="1"/>
  <c r="L4989" i="2"/>
  <c r="M4989" i="2" s="1"/>
  <c r="L4993" i="2"/>
  <c r="M4993" i="2" s="1"/>
  <c r="L4997" i="2"/>
  <c r="M4997" i="2" s="1"/>
  <c r="L5001" i="2"/>
  <c r="M5001" i="2" s="1"/>
  <c r="L3657" i="2"/>
  <c r="M3657" i="2" s="1"/>
  <c r="L3673" i="2"/>
  <c r="M3673" i="2" s="1"/>
  <c r="L3689" i="2"/>
  <c r="M3689" i="2" s="1"/>
  <c r="L3705" i="2"/>
  <c r="M3705" i="2" s="1"/>
  <c r="L3721" i="2"/>
  <c r="M3721" i="2" s="1"/>
  <c r="L3737" i="2"/>
  <c r="M3737" i="2" s="1"/>
  <c r="L3753" i="2"/>
  <c r="M3753" i="2" s="1"/>
  <c r="L3769" i="2"/>
  <c r="M3769" i="2" s="1"/>
  <c r="L3785" i="2"/>
  <c r="M3785" i="2" s="1"/>
  <c r="L3801" i="2"/>
  <c r="M3801" i="2" s="1"/>
  <c r="L3817" i="2"/>
  <c r="M3817" i="2" s="1"/>
  <c r="L3833" i="2"/>
  <c r="M3833" i="2" s="1"/>
  <c r="L3849" i="2"/>
  <c r="M3849" i="2" s="1"/>
  <c r="L3865" i="2"/>
  <c r="M3865" i="2" s="1"/>
  <c r="L3880" i="2"/>
  <c r="M3880" i="2" s="1"/>
  <c r="L3888" i="2"/>
  <c r="M3888" i="2" s="1"/>
  <c r="L3896" i="2"/>
  <c r="M3896" i="2" s="1"/>
  <c r="L3904" i="2"/>
  <c r="M3904" i="2" s="1"/>
  <c r="L3912" i="2"/>
  <c r="M3912" i="2" s="1"/>
  <c r="L3920" i="2"/>
  <c r="M3920" i="2" s="1"/>
  <c r="L3928" i="2"/>
  <c r="M3928" i="2" s="1"/>
  <c r="L3936" i="2"/>
  <c r="M3936" i="2" s="1"/>
  <c r="L3944" i="2"/>
  <c r="M3944" i="2" s="1"/>
  <c r="L3952" i="2"/>
  <c r="M3952" i="2" s="1"/>
  <c r="L3960" i="2"/>
  <c r="M3960" i="2" s="1"/>
  <c r="L3968" i="2"/>
  <c r="M3968" i="2" s="1"/>
  <c r="L3976" i="2"/>
  <c r="M3976" i="2" s="1"/>
  <c r="L3984" i="2"/>
  <c r="M3984" i="2" s="1"/>
  <c r="L3992" i="2"/>
  <c r="M3992" i="2" s="1"/>
  <c r="L4000" i="2"/>
  <c r="M4000" i="2" s="1"/>
  <c r="L4008" i="2"/>
  <c r="M4008" i="2" s="1"/>
  <c r="L4016" i="2"/>
  <c r="M4016" i="2" s="1"/>
  <c r="L4024" i="2"/>
  <c r="M4024" i="2" s="1"/>
  <c r="L4032" i="2"/>
  <c r="M4032" i="2" s="1"/>
  <c r="L4040" i="2"/>
  <c r="M4040" i="2" s="1"/>
  <c r="L4048" i="2"/>
  <c r="M4048" i="2" s="1"/>
  <c r="L4056" i="2"/>
  <c r="M4056" i="2" s="1"/>
  <c r="L4064" i="2"/>
  <c r="M4064" i="2" s="1"/>
  <c r="L4072" i="2"/>
  <c r="M4072" i="2" s="1"/>
  <c r="L4080" i="2"/>
  <c r="M4080" i="2" s="1"/>
  <c r="L4088" i="2"/>
  <c r="M4088" i="2" s="1"/>
  <c r="L4096" i="2"/>
  <c r="M4096" i="2" s="1"/>
  <c r="L4104" i="2"/>
  <c r="M4104" i="2" s="1"/>
  <c r="L4112" i="2"/>
  <c r="M4112" i="2" s="1"/>
  <c r="L4120" i="2"/>
  <c r="M4120" i="2" s="1"/>
  <c r="L4128" i="2"/>
  <c r="M4128" i="2" s="1"/>
  <c r="L4136" i="2"/>
  <c r="M4136" i="2" s="1"/>
  <c r="L4144" i="2"/>
  <c r="M4144" i="2" s="1"/>
  <c r="L4152" i="2"/>
  <c r="M4152" i="2" s="1"/>
  <c r="L4160" i="2"/>
  <c r="M4160" i="2" s="1"/>
  <c r="L4168" i="2"/>
  <c r="M4168" i="2" s="1"/>
  <c r="L4176" i="2"/>
  <c r="M4176" i="2" s="1"/>
  <c r="L4184" i="2"/>
  <c r="M4184" i="2" s="1"/>
  <c r="L4192" i="2"/>
  <c r="M4192" i="2" s="1"/>
  <c r="L4200" i="2"/>
  <c r="M4200" i="2" s="1"/>
  <c r="L4208" i="2"/>
  <c r="M4208" i="2" s="1"/>
  <c r="L4216" i="2"/>
  <c r="M4216" i="2" s="1"/>
  <c r="L4224" i="2"/>
  <c r="M4224" i="2" s="1"/>
  <c r="L4232" i="2"/>
  <c r="M4232" i="2" s="1"/>
  <c r="L4240" i="2"/>
  <c r="M4240" i="2" s="1"/>
  <c r="L4248" i="2"/>
  <c r="M4248" i="2" s="1"/>
  <c r="L4256" i="2"/>
  <c r="M4256" i="2" s="1"/>
  <c r="L4264" i="2"/>
  <c r="M4264" i="2" s="1"/>
  <c r="L4272" i="2"/>
  <c r="M4272" i="2" s="1"/>
  <c r="L4280" i="2"/>
  <c r="M4280" i="2" s="1"/>
  <c r="L4288" i="2"/>
  <c r="M4288" i="2" s="1"/>
  <c r="L4296" i="2"/>
  <c r="M4296" i="2" s="1"/>
  <c r="L4304" i="2"/>
  <c r="M4304" i="2" s="1"/>
  <c r="L4312" i="2"/>
  <c r="M4312" i="2" s="1"/>
  <c r="L4320" i="2"/>
  <c r="M4320" i="2" s="1"/>
  <c r="L4328" i="2"/>
  <c r="M4328" i="2" s="1"/>
  <c r="L4336" i="2"/>
  <c r="M4336" i="2" s="1"/>
  <c r="L4344" i="2"/>
  <c r="M4344" i="2" s="1"/>
  <c r="L4352" i="2"/>
  <c r="M4352" i="2" s="1"/>
  <c r="L4360" i="2"/>
  <c r="M4360" i="2" s="1"/>
  <c r="L4368" i="2"/>
  <c r="M4368" i="2" s="1"/>
  <c r="L4376" i="2"/>
  <c r="M4376" i="2" s="1"/>
  <c r="L4384" i="2"/>
  <c r="M4384" i="2" s="1"/>
  <c r="L4392" i="2"/>
  <c r="M4392" i="2" s="1"/>
  <c r="L4400" i="2"/>
  <c r="M4400" i="2" s="1"/>
  <c r="L4408" i="2"/>
  <c r="M4408" i="2" s="1"/>
  <c r="L4416" i="2"/>
  <c r="M4416" i="2" s="1"/>
  <c r="L4424" i="2"/>
  <c r="M4424" i="2" s="1"/>
  <c r="L4432" i="2"/>
  <c r="M4432" i="2" s="1"/>
  <c r="L4440" i="2"/>
  <c r="M4440" i="2" s="1"/>
  <c r="L4448" i="2"/>
  <c r="M4448" i="2" s="1"/>
  <c r="L4456" i="2"/>
  <c r="M4456" i="2" s="1"/>
  <c r="L4464" i="2"/>
  <c r="M4464" i="2" s="1"/>
  <c r="L4472" i="2"/>
  <c r="M4472" i="2" s="1"/>
  <c r="L4480" i="2"/>
  <c r="M4480" i="2" s="1"/>
  <c r="L4488" i="2"/>
  <c r="M4488" i="2" s="1"/>
  <c r="L4496" i="2"/>
  <c r="M4496" i="2" s="1"/>
  <c r="L4504" i="2"/>
  <c r="M4504" i="2" s="1"/>
  <c r="L4512" i="2"/>
  <c r="M4512" i="2" s="1"/>
  <c r="L4520" i="2"/>
  <c r="M4520" i="2" s="1"/>
  <c r="L4528" i="2"/>
  <c r="M4528" i="2" s="1"/>
  <c r="L4536" i="2"/>
  <c r="M4536" i="2" s="1"/>
  <c r="L4544" i="2"/>
  <c r="M4544" i="2" s="1"/>
  <c r="L4552" i="2"/>
  <c r="M4552" i="2" s="1"/>
  <c r="L4560" i="2"/>
  <c r="M4560" i="2" s="1"/>
  <c r="L4568" i="2"/>
  <c r="M4568" i="2" s="1"/>
  <c r="L4576" i="2"/>
  <c r="M4576" i="2" s="1"/>
  <c r="L4584" i="2"/>
  <c r="M4584" i="2" s="1"/>
  <c r="L4592" i="2"/>
  <c r="M4592" i="2" s="1"/>
  <c r="L4600" i="2"/>
  <c r="M4600" i="2" s="1"/>
  <c r="L4608" i="2"/>
  <c r="M4608" i="2" s="1"/>
  <c r="L4616" i="2"/>
  <c r="M4616" i="2" s="1"/>
  <c r="L4624" i="2"/>
  <c r="M4624" i="2" s="1"/>
  <c r="L4632" i="2"/>
  <c r="M4632" i="2" s="1"/>
  <c r="L4640" i="2"/>
  <c r="M4640" i="2" s="1"/>
  <c r="L4648" i="2"/>
  <c r="M4648" i="2" s="1"/>
  <c r="L4656" i="2"/>
  <c r="M4656" i="2" s="1"/>
  <c r="L4664" i="2"/>
  <c r="M4664" i="2" s="1"/>
  <c r="L4672" i="2"/>
  <c r="M4672" i="2" s="1"/>
  <c r="L4680" i="2"/>
  <c r="M4680" i="2" s="1"/>
  <c r="L4688" i="2"/>
  <c r="M4688" i="2" s="1"/>
  <c r="L4696" i="2"/>
  <c r="M4696" i="2" s="1"/>
  <c r="L4704" i="2"/>
  <c r="M4704" i="2" s="1"/>
  <c r="L4712" i="2"/>
  <c r="M4712" i="2" s="1"/>
  <c r="L4720" i="2"/>
  <c r="M4720" i="2" s="1"/>
  <c r="L4728" i="2"/>
  <c r="M4728" i="2" s="1"/>
  <c r="L4736" i="2"/>
  <c r="M4736" i="2" s="1"/>
  <c r="L4744" i="2"/>
  <c r="M4744" i="2" s="1"/>
  <c r="L4752" i="2"/>
  <c r="M4752" i="2" s="1"/>
  <c r="L4760" i="2"/>
  <c r="M4760" i="2" s="1"/>
  <c r="L4768" i="2"/>
  <c r="M4768" i="2" s="1"/>
  <c r="L4776" i="2"/>
  <c r="M4776" i="2" s="1"/>
  <c r="L4784" i="2"/>
  <c r="M4784" i="2" s="1"/>
  <c r="L4792" i="2"/>
  <c r="M4792" i="2" s="1"/>
  <c r="L4800" i="2"/>
  <c r="M4800" i="2" s="1"/>
  <c r="L4808" i="2"/>
  <c r="M4808" i="2" s="1"/>
  <c r="L4816" i="2"/>
  <c r="M4816" i="2" s="1"/>
  <c r="L4824" i="2"/>
  <c r="M4824" i="2" s="1"/>
  <c r="L4832" i="2"/>
  <c r="M4832" i="2" s="1"/>
  <c r="L4840" i="2"/>
  <c r="M4840" i="2" s="1"/>
  <c r="L4848" i="2"/>
  <c r="M4848" i="2" s="1"/>
  <c r="L4856" i="2"/>
  <c r="M4856" i="2" s="1"/>
  <c r="L4864" i="2"/>
  <c r="M4864" i="2" s="1"/>
  <c r="L4872" i="2"/>
  <c r="M4872" i="2" s="1"/>
  <c r="L4880" i="2"/>
  <c r="M4880" i="2" s="1"/>
  <c r="L4888" i="2"/>
  <c r="M4888" i="2" s="1"/>
  <c r="L4896" i="2"/>
  <c r="M4896" i="2" s="1"/>
  <c r="L4904" i="2"/>
  <c r="M4904" i="2" s="1"/>
  <c r="L4912" i="2"/>
  <c r="M4912" i="2" s="1"/>
  <c r="L4920" i="2"/>
  <c r="M4920" i="2" s="1"/>
  <c r="L4926" i="2"/>
  <c r="M4926" i="2" s="1"/>
  <c r="L4930" i="2"/>
  <c r="M4930" i="2" s="1"/>
  <c r="L4934" i="2"/>
  <c r="M4934" i="2" s="1"/>
  <c r="L4938" i="2"/>
  <c r="M4938" i="2" s="1"/>
  <c r="L4942" i="2"/>
  <c r="M4942" i="2" s="1"/>
  <c r="L4946" i="2"/>
  <c r="M4946" i="2" s="1"/>
  <c r="L4950" i="2"/>
  <c r="M4950" i="2" s="1"/>
  <c r="L4954" i="2"/>
  <c r="M4954" i="2" s="1"/>
  <c r="L4958" i="2"/>
  <c r="M4958" i="2" s="1"/>
  <c r="L4962" i="2"/>
  <c r="M4962" i="2" s="1"/>
  <c r="L4966" i="2"/>
  <c r="M4966" i="2" s="1"/>
  <c r="L4970" i="2"/>
  <c r="M4970" i="2" s="1"/>
  <c r="L4974" i="2"/>
  <c r="M4974" i="2" s="1"/>
  <c r="L4978" i="2"/>
  <c r="M4978" i="2" s="1"/>
  <c r="L4982" i="2"/>
  <c r="M4982" i="2" s="1"/>
  <c r="L4986" i="2"/>
  <c r="M4986" i="2" s="1"/>
  <c r="L4990" i="2"/>
  <c r="M4990" i="2" s="1"/>
  <c r="L4994" i="2"/>
  <c r="M4994" i="2" s="1"/>
  <c r="L4998" i="2"/>
  <c r="M4998" i="2" s="1"/>
  <c r="L3661" i="2"/>
  <c r="M3661" i="2" s="1"/>
  <c r="L3677" i="2"/>
  <c r="M3677" i="2" s="1"/>
  <c r="L3693" i="2"/>
  <c r="M3693" i="2" s="1"/>
  <c r="L3709" i="2"/>
  <c r="M3709" i="2" s="1"/>
  <c r="L3725" i="2"/>
  <c r="M3725" i="2" s="1"/>
  <c r="L3741" i="2"/>
  <c r="M3741" i="2" s="1"/>
  <c r="L3757" i="2"/>
  <c r="M3757" i="2" s="1"/>
  <c r="L3773" i="2"/>
  <c r="M3773" i="2" s="1"/>
  <c r="L3789" i="2"/>
  <c r="M3789" i="2" s="1"/>
  <c r="L3805" i="2"/>
  <c r="M3805" i="2" s="1"/>
  <c r="L3821" i="2"/>
  <c r="M3821" i="2" s="1"/>
  <c r="L3837" i="2"/>
  <c r="M3837" i="2" s="1"/>
  <c r="L3853" i="2"/>
  <c r="M3853" i="2" s="1"/>
  <c r="L3869" i="2"/>
  <c r="M3869" i="2" s="1"/>
  <c r="L3881" i="2"/>
  <c r="M3881" i="2" s="1"/>
  <c r="L3889" i="2"/>
  <c r="M3889" i="2" s="1"/>
  <c r="L3897" i="2"/>
  <c r="M3897" i="2" s="1"/>
  <c r="L3905" i="2"/>
  <c r="M3905" i="2" s="1"/>
  <c r="L3913" i="2"/>
  <c r="M3913" i="2" s="1"/>
  <c r="L3921" i="2"/>
  <c r="M3921" i="2" s="1"/>
  <c r="L3929" i="2"/>
  <c r="M3929" i="2" s="1"/>
  <c r="L3937" i="2"/>
  <c r="M3937" i="2" s="1"/>
  <c r="L3945" i="2"/>
  <c r="M3945" i="2" s="1"/>
  <c r="L3953" i="2"/>
  <c r="M3953" i="2" s="1"/>
  <c r="L3961" i="2"/>
  <c r="M3961" i="2" s="1"/>
  <c r="L3969" i="2"/>
  <c r="M3969" i="2" s="1"/>
  <c r="L3977" i="2"/>
  <c r="M3977" i="2" s="1"/>
  <c r="L3985" i="2"/>
  <c r="M3985" i="2" s="1"/>
  <c r="L3993" i="2"/>
  <c r="M3993" i="2" s="1"/>
  <c r="L4001" i="2"/>
  <c r="M4001" i="2" s="1"/>
  <c r="L4009" i="2"/>
  <c r="M4009" i="2" s="1"/>
  <c r="L4017" i="2"/>
  <c r="M4017" i="2" s="1"/>
  <c r="L4025" i="2"/>
  <c r="M4025" i="2" s="1"/>
  <c r="L4033" i="2"/>
  <c r="M4033" i="2" s="1"/>
  <c r="L4041" i="2"/>
  <c r="M4041" i="2" s="1"/>
  <c r="L4049" i="2"/>
  <c r="M4049" i="2" s="1"/>
  <c r="L4057" i="2"/>
  <c r="M4057" i="2" s="1"/>
  <c r="L4065" i="2"/>
  <c r="M4065" i="2" s="1"/>
  <c r="L4073" i="2"/>
  <c r="M4073" i="2" s="1"/>
  <c r="L4081" i="2"/>
  <c r="M4081" i="2" s="1"/>
  <c r="L4089" i="2"/>
  <c r="M4089" i="2" s="1"/>
  <c r="L4097" i="2"/>
  <c r="M4097" i="2" s="1"/>
  <c r="L4105" i="2"/>
  <c r="M4105" i="2" s="1"/>
  <c r="L4113" i="2"/>
  <c r="M4113" i="2" s="1"/>
  <c r="L4121" i="2"/>
  <c r="M4121" i="2" s="1"/>
  <c r="L4129" i="2"/>
  <c r="M4129" i="2" s="1"/>
  <c r="L4137" i="2"/>
  <c r="M4137" i="2" s="1"/>
  <c r="L4145" i="2"/>
  <c r="M4145" i="2" s="1"/>
  <c r="L4153" i="2"/>
  <c r="M4153" i="2" s="1"/>
  <c r="L4161" i="2"/>
  <c r="M4161" i="2" s="1"/>
  <c r="L4169" i="2"/>
  <c r="M4169" i="2" s="1"/>
  <c r="L4177" i="2"/>
  <c r="M4177" i="2" s="1"/>
  <c r="L4185" i="2"/>
  <c r="M4185" i="2" s="1"/>
  <c r="L4193" i="2"/>
  <c r="M4193" i="2" s="1"/>
  <c r="L4201" i="2"/>
  <c r="M4201" i="2" s="1"/>
  <c r="L4209" i="2"/>
  <c r="M4209" i="2" s="1"/>
  <c r="L4217" i="2"/>
  <c r="M4217" i="2" s="1"/>
  <c r="L4225" i="2"/>
  <c r="M4225" i="2" s="1"/>
  <c r="L4233" i="2"/>
  <c r="M4233" i="2" s="1"/>
  <c r="L4241" i="2"/>
  <c r="M4241" i="2" s="1"/>
  <c r="L4249" i="2"/>
  <c r="M4249" i="2" s="1"/>
  <c r="L4257" i="2"/>
  <c r="M4257" i="2" s="1"/>
  <c r="L4265" i="2"/>
  <c r="M4265" i="2" s="1"/>
  <c r="L4273" i="2"/>
  <c r="M4273" i="2" s="1"/>
  <c r="L4281" i="2"/>
  <c r="M4281" i="2" s="1"/>
  <c r="L4289" i="2"/>
  <c r="M4289" i="2" s="1"/>
  <c r="L4297" i="2"/>
  <c r="M4297" i="2" s="1"/>
  <c r="L4305" i="2"/>
  <c r="M4305" i="2" s="1"/>
  <c r="L4313" i="2"/>
  <c r="M4313" i="2" s="1"/>
  <c r="L4321" i="2"/>
  <c r="M4321" i="2" s="1"/>
  <c r="L4329" i="2"/>
  <c r="M4329" i="2" s="1"/>
  <c r="L4337" i="2"/>
  <c r="M4337" i="2" s="1"/>
  <c r="L4345" i="2"/>
  <c r="M4345" i="2" s="1"/>
  <c r="L4353" i="2"/>
  <c r="M4353" i="2" s="1"/>
  <c r="L4361" i="2"/>
  <c r="M4361" i="2" s="1"/>
  <c r="L4369" i="2"/>
  <c r="M4369" i="2" s="1"/>
  <c r="L4377" i="2"/>
  <c r="M4377" i="2" s="1"/>
  <c r="L4385" i="2"/>
  <c r="M4385" i="2" s="1"/>
  <c r="L4393" i="2"/>
  <c r="M4393" i="2" s="1"/>
  <c r="L4401" i="2"/>
  <c r="M4401" i="2" s="1"/>
  <c r="L4409" i="2"/>
  <c r="M4409" i="2" s="1"/>
  <c r="L4417" i="2"/>
  <c r="M4417" i="2" s="1"/>
  <c r="L4425" i="2"/>
  <c r="M4425" i="2" s="1"/>
  <c r="L4433" i="2"/>
  <c r="M4433" i="2" s="1"/>
  <c r="L4441" i="2"/>
  <c r="M4441" i="2" s="1"/>
  <c r="L4449" i="2"/>
  <c r="M4449" i="2" s="1"/>
  <c r="L4457" i="2"/>
  <c r="M4457" i="2" s="1"/>
  <c r="L4465" i="2"/>
  <c r="M4465" i="2" s="1"/>
  <c r="L4473" i="2"/>
  <c r="M4473" i="2" s="1"/>
  <c r="L4481" i="2"/>
  <c r="M4481" i="2" s="1"/>
  <c r="L4489" i="2"/>
  <c r="M4489" i="2" s="1"/>
  <c r="L4497" i="2"/>
  <c r="M4497" i="2" s="1"/>
  <c r="L4505" i="2"/>
  <c r="M4505" i="2" s="1"/>
  <c r="L4513" i="2"/>
  <c r="M4513" i="2" s="1"/>
  <c r="L4521" i="2"/>
  <c r="M4521" i="2" s="1"/>
  <c r="L4529" i="2"/>
  <c r="M4529" i="2" s="1"/>
  <c r="L4537" i="2"/>
  <c r="M4537" i="2" s="1"/>
  <c r="L4545" i="2"/>
  <c r="M4545" i="2" s="1"/>
  <c r="L4553" i="2"/>
  <c r="M4553" i="2" s="1"/>
  <c r="L4561" i="2"/>
  <c r="M4561" i="2" s="1"/>
  <c r="L4569" i="2"/>
  <c r="M4569" i="2" s="1"/>
  <c r="L4577" i="2"/>
  <c r="M4577" i="2" s="1"/>
  <c r="L4585" i="2"/>
  <c r="M4585" i="2" s="1"/>
  <c r="L4593" i="2"/>
  <c r="M4593" i="2" s="1"/>
  <c r="L4601" i="2"/>
  <c r="M4601" i="2" s="1"/>
  <c r="L4609" i="2"/>
  <c r="M4609" i="2" s="1"/>
  <c r="L4617" i="2"/>
  <c r="M4617" i="2" s="1"/>
  <c r="L4625" i="2"/>
  <c r="M4625" i="2" s="1"/>
  <c r="L4633" i="2"/>
  <c r="M4633" i="2" s="1"/>
  <c r="L4641" i="2"/>
  <c r="M4641" i="2" s="1"/>
  <c r="L4649" i="2"/>
  <c r="M4649" i="2" s="1"/>
  <c r="L4657" i="2"/>
  <c r="M4657" i="2" s="1"/>
  <c r="L4665" i="2"/>
  <c r="M4665" i="2" s="1"/>
  <c r="L4673" i="2"/>
  <c r="M4673" i="2" s="1"/>
  <c r="L4681" i="2"/>
  <c r="M4681" i="2" s="1"/>
  <c r="L4689" i="2"/>
  <c r="M4689" i="2" s="1"/>
  <c r="L4697" i="2"/>
  <c r="M4697" i="2" s="1"/>
  <c r="L4705" i="2"/>
  <c r="M4705" i="2" s="1"/>
  <c r="L4713" i="2"/>
  <c r="M4713" i="2" s="1"/>
  <c r="L4721" i="2"/>
  <c r="M4721" i="2" s="1"/>
  <c r="L4729" i="2"/>
  <c r="M4729" i="2" s="1"/>
  <c r="L4737" i="2"/>
  <c r="M4737" i="2" s="1"/>
  <c r="L4745" i="2"/>
  <c r="M4745" i="2" s="1"/>
  <c r="L4753" i="2"/>
  <c r="M4753" i="2" s="1"/>
  <c r="L4761" i="2"/>
  <c r="M4761" i="2" s="1"/>
  <c r="L4769" i="2"/>
  <c r="M4769" i="2" s="1"/>
  <c r="L4777" i="2"/>
  <c r="M4777" i="2" s="1"/>
  <c r="L4785" i="2"/>
  <c r="M4785" i="2" s="1"/>
  <c r="L4793" i="2"/>
  <c r="M4793" i="2" s="1"/>
  <c r="L4801" i="2"/>
  <c r="M4801" i="2" s="1"/>
  <c r="L4809" i="2"/>
  <c r="M4809" i="2" s="1"/>
  <c r="L4817" i="2"/>
  <c r="M4817" i="2" s="1"/>
  <c r="L4825" i="2"/>
  <c r="M4825" i="2" s="1"/>
  <c r="L4833" i="2"/>
  <c r="M4833" i="2" s="1"/>
  <c r="L4841" i="2"/>
  <c r="M4841" i="2" s="1"/>
  <c r="L4849" i="2"/>
  <c r="M4849" i="2" s="1"/>
  <c r="L4857" i="2"/>
  <c r="M4857" i="2" s="1"/>
  <c r="L4865" i="2"/>
  <c r="M4865" i="2" s="1"/>
  <c r="L4873" i="2"/>
  <c r="M4873" i="2" s="1"/>
  <c r="L4881" i="2"/>
  <c r="M4881" i="2" s="1"/>
  <c r="L4889" i="2"/>
  <c r="M4889" i="2" s="1"/>
  <c r="L4897" i="2"/>
  <c r="M4897" i="2" s="1"/>
  <c r="L4905" i="2"/>
  <c r="M4905" i="2" s="1"/>
  <c r="L4913" i="2"/>
  <c r="M4913" i="2" s="1"/>
  <c r="L4921" i="2"/>
  <c r="M4921" i="2" s="1"/>
  <c r="L4927" i="2"/>
  <c r="M4927" i="2" s="1"/>
  <c r="L4931" i="2"/>
  <c r="M4931" i="2" s="1"/>
  <c r="L4935" i="2"/>
  <c r="M4935" i="2" s="1"/>
  <c r="L4939" i="2"/>
  <c r="M4939" i="2" s="1"/>
  <c r="L4943" i="2"/>
  <c r="M4943" i="2" s="1"/>
  <c r="L4947" i="2"/>
  <c r="M4947" i="2" s="1"/>
  <c r="L4951" i="2"/>
  <c r="M4951" i="2" s="1"/>
  <c r="L4955" i="2"/>
  <c r="M4955" i="2" s="1"/>
  <c r="L4959" i="2"/>
  <c r="M4959" i="2" s="1"/>
  <c r="L4963" i="2"/>
  <c r="M4963" i="2" s="1"/>
  <c r="L4967" i="2"/>
  <c r="M4967" i="2" s="1"/>
  <c r="L4971" i="2"/>
  <c r="M4971" i="2" s="1"/>
  <c r="L4975" i="2"/>
  <c r="M4975" i="2" s="1"/>
  <c r="L4979" i="2"/>
  <c r="M4979" i="2" s="1"/>
  <c r="L4983" i="2"/>
  <c r="M4983" i="2" s="1"/>
  <c r="L4987" i="2"/>
  <c r="M4987" i="2" s="1"/>
  <c r="L4991" i="2"/>
  <c r="M4991" i="2" s="1"/>
  <c r="L4995" i="2"/>
  <c r="M4995" i="2" s="1"/>
  <c r="L4999" i="2"/>
  <c r="M4999" i="2" s="1"/>
  <c r="E21"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96F908E-F995-4BE1-A134-3003A631E9B8}" keepAlive="1" name="Query - moras" description="Connection to the 'moras' query in the workbook." type="5" refreshedVersion="8" background="1" saveData="1">
    <dbPr connection="Provider=Microsoft.Mashup.OleDb.1;Data Source=$Workbook$;Location=moras;Extended Properties=&quot;&quot;" command="SELECT * FROM [moras]"/>
  </connection>
</connections>
</file>

<file path=xl/sharedStrings.xml><?xml version="1.0" encoding="utf-8"?>
<sst xmlns="http://schemas.openxmlformats.org/spreadsheetml/2006/main" count="30103" uniqueCount="77">
  <si>
    <t>IDENTIFICACION</t>
  </si>
  <si>
    <t>SEXO</t>
  </si>
  <si>
    <t>SALARIO</t>
  </si>
  <si>
    <t>TIPO_ASEGURAMIENTO</t>
  </si>
  <si>
    <t>SECTOR</t>
  </si>
  <si>
    <t>INDICADOR_ACTIVO</t>
  </si>
  <si>
    <t>INDICADOR.EXTRANJERO</t>
  </si>
  <si>
    <t>INDICADOR_MOROSO</t>
  </si>
  <si>
    <t>EDAD</t>
  </si>
  <si>
    <t>HOMBRE</t>
  </si>
  <si>
    <t>ASALARIADO</t>
  </si>
  <si>
    <t>SECTOR PUBLICO</t>
  </si>
  <si>
    <t>SI</t>
  </si>
  <si>
    <t>NO</t>
  </si>
  <si>
    <t>PENSIONADOS EN SU PROPIO SISTEMA</t>
  </si>
  <si>
    <t>MUJER</t>
  </si>
  <si>
    <t>SECTOR PRIVADO</t>
  </si>
  <si>
    <t>ASEGURADO VOLUNTARIO</t>
  </si>
  <si>
    <t>TRABAJADOR INDEPENDIENTE</t>
  </si>
  <si>
    <t>CONVENIOS ESPECIALES DE TRABAJADORES INDEPENDIENTES</t>
  </si>
  <si>
    <t/>
  </si>
  <si>
    <t>CONVENIOS ESPECIALES DE ASEGURADOS VOLUNTARIOS</t>
  </si>
  <si>
    <t>Benjamín Gutiérrez Padua. C4F813</t>
  </si>
  <si>
    <t>Ejecución de lineamientos dados para la actividad</t>
  </si>
  <si>
    <t>Se determinan que las variables numérica a considerar para el resumen de los cinco números son:  Edad &amp; Salario, dado que el identificador único ID funge como casi un contador</t>
  </si>
  <si>
    <t>Máx</t>
  </si>
  <si>
    <t>Quantil 1</t>
  </si>
  <si>
    <t>Mediana</t>
  </si>
  <si>
    <t>Promedio</t>
  </si>
  <si>
    <t>Mín</t>
  </si>
  <si>
    <r>
      <t xml:space="preserve">Resumen de cinco números </t>
    </r>
    <r>
      <rPr>
        <b/>
        <sz val="11"/>
        <color theme="1"/>
        <rFont val="Aptos Narrow"/>
        <family val="2"/>
        <scheme val="minor"/>
      </rPr>
      <t>Edad</t>
    </r>
    <r>
      <rPr>
        <sz val="11"/>
        <color theme="1"/>
        <rFont val="Aptos Narrow"/>
        <family val="2"/>
        <scheme val="minor"/>
      </rPr>
      <t>:</t>
    </r>
  </si>
  <si>
    <t>Quantil 3</t>
  </si>
  <si>
    <r>
      <t xml:space="preserve">Resumen de cinco números </t>
    </r>
    <r>
      <rPr>
        <b/>
        <sz val="11"/>
        <color theme="1"/>
        <rFont val="Aptos Narrow"/>
        <family val="2"/>
        <scheme val="minor"/>
      </rPr>
      <t>Salario</t>
    </r>
    <r>
      <rPr>
        <sz val="11"/>
        <color theme="1"/>
        <rFont val="Aptos Narrow"/>
        <family val="2"/>
        <scheme val="minor"/>
      </rPr>
      <t>:</t>
    </r>
  </si>
  <si>
    <t>1)</t>
  </si>
  <si>
    <t>2)</t>
  </si>
  <si>
    <t xml:space="preserve">Se investiga el Z-Score y se observa que para cada observación aplicar : </t>
  </si>
  <si>
    <t>En donde x es la observación  𝛾 la media &amp;  𝜎 la desviación estandar</t>
  </si>
  <si>
    <t>Desviación Estandar</t>
  </si>
  <si>
    <t>Edad_atípica</t>
  </si>
  <si>
    <t>Z-Score Edad</t>
  </si>
  <si>
    <t>Z-Score Salario</t>
  </si>
  <si>
    <t>Salario_atípico</t>
  </si>
  <si>
    <t>Datos Z-Score Salario</t>
  </si>
  <si>
    <t xml:space="preserve">Datos para el Z-Score edad </t>
  </si>
  <si>
    <t xml:space="preserve">Promedio </t>
  </si>
  <si>
    <t xml:space="preserve">3) </t>
  </si>
  <si>
    <t>Detección de porcentaje NA's de cada columna</t>
  </si>
  <si>
    <t>ID</t>
  </si>
  <si>
    <t>Sexo</t>
  </si>
  <si>
    <t>Salario</t>
  </si>
  <si>
    <t>Sector</t>
  </si>
  <si>
    <t>Activo</t>
  </si>
  <si>
    <t>Extranjero</t>
  </si>
  <si>
    <t xml:space="preserve"> Aseguramiento</t>
  </si>
  <si>
    <t>Moroso</t>
  </si>
  <si>
    <t>Edad</t>
  </si>
  <si>
    <t>4)</t>
  </si>
  <si>
    <t>Imputación de valores faltantes</t>
  </si>
  <si>
    <r>
      <t>Edad:</t>
    </r>
    <r>
      <rPr>
        <sz val="11"/>
        <color theme="1"/>
        <rFont val="Aptos Narrow"/>
        <family val="2"/>
        <scheme val="minor"/>
      </rPr>
      <t xml:space="preserve">  De manera análoga  al Salario, se va a optar por imputar respecto a la Mediana , como el valor de referencia que no tergiversa los datos</t>
    </r>
  </si>
  <si>
    <r>
      <rPr>
        <b/>
        <sz val="11"/>
        <color theme="1"/>
        <rFont val="Aptos Narrow"/>
        <family val="2"/>
        <scheme val="minor"/>
      </rPr>
      <t>Salario :</t>
    </r>
    <r>
      <rPr>
        <sz val="11"/>
        <color theme="1"/>
        <rFont val="Aptos Narrow"/>
        <family val="2"/>
        <scheme val="minor"/>
      </rPr>
      <t xml:space="preserve"> Dado que el porcentaje de ausentes es menor al 1% , se considera conveniente realizar la imputación mediante la asignación de la mediana que es el valor medio de los datos ordenados, de modo que no se infla el valor imputado como podría darse al seleccionar el promedio que canaliza los valores que más se puedan desviar, y de esta forma  se imputa sin generar tergiversaciones. </t>
    </r>
  </si>
  <si>
    <r>
      <t xml:space="preserve">Aseguramiento: </t>
    </r>
    <r>
      <rPr>
        <sz val="11"/>
        <color theme="1"/>
        <rFont val="Aptos Narrow"/>
        <family val="2"/>
        <scheme val="minor"/>
      </rPr>
      <t xml:space="preserve"> Para este componente se ha identificado que los ausentes son el ID 72  y el ID  151  que correspondenden respectivamente al sector público y  privado respectivamente, por lo que se optará por imputar tomando de referencia la moda considerando la moda del tipo de aseguramiento respecto a la categoría sector, es decir: por ejemplo si la moda de los que cumplen estar en la categoría sector privado es asalariado, entonces imputar el tipo de aseguramiento por asalariado, y dado que el porcentaje de ausentes son menor al 0.05 %  y resulta que sus Z-score respectivos indicaron que no son atípicos (para ninguna de las dos evaluaciones) esto no supondrá una alteración significativa del  conjunto de datos al  imputarlo de esta manera</t>
    </r>
  </si>
  <si>
    <t>Salario_imputado</t>
  </si>
  <si>
    <t>Edad_imputado</t>
  </si>
  <si>
    <t>Moda Público</t>
  </si>
  <si>
    <t>Moda Privado</t>
  </si>
  <si>
    <t>Row Labels</t>
  </si>
  <si>
    <t>Grand Total</t>
  </si>
  <si>
    <t>Count of TIPO_ASEGURAMIENTO</t>
  </si>
  <si>
    <t>Column Labels</t>
  </si>
  <si>
    <t xml:space="preserve">Tabla dinámica para la identificación de modas por categoría </t>
  </si>
  <si>
    <t xml:space="preserve">*Los NA por imputar </t>
  </si>
  <si>
    <t>* Las modas (los m'as frecuentes al hacer el conteo)</t>
  </si>
  <si>
    <t>Tipo_Asegurado_Imputado</t>
  </si>
  <si>
    <t>Se simplifica la validación de la imputación de asegurado revisando si solo es NA porque las modas para los dos sectores coinciden en subcategoría de mayor frecuencia</t>
  </si>
  <si>
    <r>
      <t>5)</t>
    </r>
    <r>
      <rPr>
        <sz val="11"/>
        <color theme="1"/>
        <rFont val="Aptos Narrow"/>
        <family val="2"/>
        <scheme val="minor"/>
      </rPr>
      <t>Realizo gráficas para visualizar la cantidad de individuos por cada categoría</t>
    </r>
  </si>
  <si>
    <t>Count of Tipo_Asegurado_Imputado</t>
  </si>
  <si>
    <t>Abordamos esto mediante graficos de barras en los que se desglosará una comparación por frecuencia absoluta de cada categoría de aseguramiento con su respectivo sector (público o privado), haciendo uso de la tabla  dinámica análoga a la anterior pero sin los valores ausentes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</si>
</sst>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5" formatCode="0.000"/>
    <numFmt numFmtId="166" formatCode="0.00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2">
    <fill>
      <patternFill patternType="none"/>
    </fill>
    <fill>
      <patternFill patternType="gray125"/>
    </fill>
  </fills>
  <borders count="8">
    <border>
      <left/>
      <right/>
      <top/>
      <bottom/>
      <diagonal/>
    </border>
    <border>
      <left/>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17">
    <xf numFmtId="0" fontId="0" fillId="0" borderId="0" xfId="0"/>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1" fillId="0" borderId="0" xfId="0" applyFont="1"/>
    <xf numFmtId="0" fontId="0" fillId="0" borderId="1" xfId="0" applyBorder="1" applyAlignment="1">
      <alignment horizontal="center"/>
    </xf>
    <xf numFmtId="0" fontId="0" fillId="0" borderId="1" xfId="0" applyBorder="1"/>
    <xf numFmtId="165" fontId="0" fillId="0" borderId="5" xfId="0" applyNumberFormat="1" applyBorder="1"/>
    <xf numFmtId="2" fontId="0" fillId="0" borderId="6" xfId="0" applyNumberFormat="1" applyBorder="1"/>
    <xf numFmtId="166" fontId="0" fillId="0" borderId="6" xfId="0" applyNumberFormat="1" applyBorder="1"/>
    <xf numFmtId="0" fontId="0" fillId="0" borderId="0" xfId="0" applyBorder="1" applyAlignment="1">
      <alignment horizontal="center"/>
    </xf>
    <xf numFmtId="0"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R"/>
              <a:t>Distribución absoluta individuos</a:t>
            </a:r>
            <a:r>
              <a:rPr lang="es-CR" baseline="0"/>
              <a:t> por categoría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EDA!$B$59</c:f>
              <c:strCache>
                <c:ptCount val="1"/>
                <c:pt idx="0">
                  <c:v>SECTOR PRIVADO</c:v>
                </c:pt>
              </c:strCache>
            </c:strRef>
          </c:tx>
          <c:spPr>
            <a:solidFill>
              <a:schemeClr val="accent1"/>
            </a:solidFill>
            <a:ln>
              <a:noFill/>
            </a:ln>
            <a:effectLst/>
          </c:spPr>
          <c:invertIfNegative val="0"/>
          <c:cat>
            <c:strRef>
              <c:f>EDA!$A$60:$A$65</c:f>
              <c:strCache>
                <c:ptCount val="6"/>
                <c:pt idx="0">
                  <c:v>ASALARIADO</c:v>
                </c:pt>
                <c:pt idx="1">
                  <c:v>ASEGURADO VOLUNTARIO</c:v>
                </c:pt>
                <c:pt idx="2">
                  <c:v>CONVENIOS ESPECIALES DE ASEGURADOS VOLUNTARIOS</c:v>
                </c:pt>
                <c:pt idx="3">
                  <c:v>CONVENIOS ESPECIALES DE TRABAJADORES INDEPENDIENTES</c:v>
                </c:pt>
                <c:pt idx="4">
                  <c:v>PENSIONADOS EN SU PROPIO SISTEMA</c:v>
                </c:pt>
                <c:pt idx="5">
                  <c:v>TRABAJADOR INDEPENDIENTE</c:v>
                </c:pt>
              </c:strCache>
            </c:strRef>
          </c:cat>
          <c:val>
            <c:numRef>
              <c:f>EDA!$B$60:$B$65</c:f>
              <c:numCache>
                <c:formatCode>General</c:formatCode>
                <c:ptCount val="6"/>
                <c:pt idx="0">
                  <c:v>2582</c:v>
                </c:pt>
                <c:pt idx="1">
                  <c:v>436</c:v>
                </c:pt>
                <c:pt idx="2">
                  <c:v>31</c:v>
                </c:pt>
                <c:pt idx="3">
                  <c:v>157</c:v>
                </c:pt>
                <c:pt idx="5">
                  <c:v>700</c:v>
                </c:pt>
              </c:numCache>
            </c:numRef>
          </c:val>
          <c:extLst>
            <c:ext xmlns:c16="http://schemas.microsoft.com/office/drawing/2014/chart" uri="{C3380CC4-5D6E-409C-BE32-E72D297353CC}">
              <c16:uniqueId val="{00000000-EDE8-471C-936F-F32E41E37BEB}"/>
            </c:ext>
          </c:extLst>
        </c:ser>
        <c:ser>
          <c:idx val="1"/>
          <c:order val="1"/>
          <c:tx>
            <c:strRef>
              <c:f>EDA!$C$59</c:f>
              <c:strCache>
                <c:ptCount val="1"/>
                <c:pt idx="0">
                  <c:v>SECTOR PUBLICO</c:v>
                </c:pt>
              </c:strCache>
            </c:strRef>
          </c:tx>
          <c:spPr>
            <a:solidFill>
              <a:schemeClr val="accent2"/>
            </a:solidFill>
            <a:ln>
              <a:noFill/>
            </a:ln>
            <a:effectLst/>
          </c:spPr>
          <c:invertIfNegative val="0"/>
          <c:cat>
            <c:strRef>
              <c:f>EDA!$A$60:$A$65</c:f>
              <c:strCache>
                <c:ptCount val="6"/>
                <c:pt idx="0">
                  <c:v>ASALARIADO</c:v>
                </c:pt>
                <c:pt idx="1">
                  <c:v>ASEGURADO VOLUNTARIO</c:v>
                </c:pt>
                <c:pt idx="2">
                  <c:v>CONVENIOS ESPECIALES DE ASEGURADOS VOLUNTARIOS</c:v>
                </c:pt>
                <c:pt idx="3">
                  <c:v>CONVENIOS ESPECIALES DE TRABAJADORES INDEPENDIENTES</c:v>
                </c:pt>
                <c:pt idx="4">
                  <c:v>PENSIONADOS EN SU PROPIO SISTEMA</c:v>
                </c:pt>
                <c:pt idx="5">
                  <c:v>TRABAJADOR INDEPENDIENTE</c:v>
                </c:pt>
              </c:strCache>
            </c:strRef>
          </c:cat>
          <c:val>
            <c:numRef>
              <c:f>EDA!$C$60:$C$65</c:f>
              <c:numCache>
                <c:formatCode>General</c:formatCode>
                <c:ptCount val="6"/>
                <c:pt idx="0">
                  <c:v>882</c:v>
                </c:pt>
                <c:pt idx="4">
                  <c:v>212</c:v>
                </c:pt>
              </c:numCache>
            </c:numRef>
          </c:val>
          <c:extLst>
            <c:ext xmlns:c16="http://schemas.microsoft.com/office/drawing/2014/chart" uri="{C3380CC4-5D6E-409C-BE32-E72D297353CC}">
              <c16:uniqueId val="{00000001-EDE8-471C-936F-F32E41E37BEB}"/>
            </c:ext>
          </c:extLst>
        </c:ser>
        <c:dLbls>
          <c:showLegendKey val="0"/>
          <c:showVal val="0"/>
          <c:showCatName val="0"/>
          <c:showSerName val="0"/>
          <c:showPercent val="0"/>
          <c:showBubbleSize val="0"/>
        </c:dLbls>
        <c:gapWidth val="219"/>
        <c:overlap val="-27"/>
        <c:axId val="122471855"/>
        <c:axId val="122473775"/>
        <c:extLst>
          <c:ext xmlns:c15="http://schemas.microsoft.com/office/drawing/2012/chart" uri="{02D57815-91ED-43cb-92C2-25804820EDAC}">
            <c15:filteredBarSeries>
              <c15:ser>
                <c:idx val="2"/>
                <c:order val="2"/>
                <c:tx>
                  <c:strRef>
                    <c:extLst>
                      <c:ext uri="{02D57815-91ED-43cb-92C2-25804820EDAC}">
                        <c15:formulaRef>
                          <c15:sqref>EDA!$D$59</c15:sqref>
                        </c15:formulaRef>
                      </c:ext>
                    </c:extLst>
                    <c:strCache>
                      <c:ptCount val="1"/>
                      <c:pt idx="0">
                        <c:v>Grand Total</c:v>
                      </c:pt>
                    </c:strCache>
                  </c:strRef>
                </c:tx>
                <c:spPr>
                  <a:solidFill>
                    <a:schemeClr val="accent3"/>
                  </a:solidFill>
                  <a:ln>
                    <a:noFill/>
                  </a:ln>
                  <a:effectLst/>
                </c:spPr>
                <c:invertIfNegative val="0"/>
                <c:cat>
                  <c:strRef>
                    <c:extLst>
                      <c:ext uri="{02D57815-91ED-43cb-92C2-25804820EDAC}">
                        <c15:formulaRef>
                          <c15:sqref>EDA!$A$60:$A$65</c15:sqref>
                        </c15:formulaRef>
                      </c:ext>
                    </c:extLst>
                    <c:strCache>
                      <c:ptCount val="6"/>
                      <c:pt idx="0">
                        <c:v>ASALARIADO</c:v>
                      </c:pt>
                      <c:pt idx="1">
                        <c:v>ASEGURADO VOLUNTARIO</c:v>
                      </c:pt>
                      <c:pt idx="2">
                        <c:v>CONVENIOS ESPECIALES DE ASEGURADOS VOLUNTARIOS</c:v>
                      </c:pt>
                      <c:pt idx="3">
                        <c:v>CONVENIOS ESPECIALES DE TRABAJADORES INDEPENDIENTES</c:v>
                      </c:pt>
                      <c:pt idx="4">
                        <c:v>PENSIONADOS EN SU PROPIO SISTEMA</c:v>
                      </c:pt>
                      <c:pt idx="5">
                        <c:v>TRABAJADOR INDEPENDIENTE</c:v>
                      </c:pt>
                    </c:strCache>
                  </c:strRef>
                </c:cat>
                <c:val>
                  <c:numRef>
                    <c:extLst>
                      <c:ext uri="{02D57815-91ED-43cb-92C2-25804820EDAC}">
                        <c15:formulaRef>
                          <c15:sqref>EDA!$D$60:$D$65</c15:sqref>
                        </c15:formulaRef>
                      </c:ext>
                    </c:extLst>
                    <c:numCache>
                      <c:formatCode>General</c:formatCode>
                      <c:ptCount val="6"/>
                      <c:pt idx="0">
                        <c:v>3464</c:v>
                      </c:pt>
                      <c:pt idx="1">
                        <c:v>436</c:v>
                      </c:pt>
                      <c:pt idx="2">
                        <c:v>31</c:v>
                      </c:pt>
                      <c:pt idx="3">
                        <c:v>157</c:v>
                      </c:pt>
                      <c:pt idx="4">
                        <c:v>212</c:v>
                      </c:pt>
                      <c:pt idx="5">
                        <c:v>700</c:v>
                      </c:pt>
                    </c:numCache>
                  </c:numRef>
                </c:val>
                <c:extLst>
                  <c:ext xmlns:c16="http://schemas.microsoft.com/office/drawing/2014/chart" uri="{C3380CC4-5D6E-409C-BE32-E72D297353CC}">
                    <c16:uniqueId val="{00000002-EDE8-471C-936F-F32E41E37BEB}"/>
                  </c:ext>
                </c:extLst>
              </c15:ser>
            </c15:filteredBarSeries>
          </c:ext>
        </c:extLst>
      </c:barChart>
      <c:catAx>
        <c:axId val="122471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22473775"/>
        <c:crosses val="autoZero"/>
        <c:auto val="1"/>
        <c:lblAlgn val="ctr"/>
        <c:lblOffset val="100"/>
        <c:noMultiLvlLbl val="0"/>
      </c:catAx>
      <c:valAx>
        <c:axId val="1224737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2247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1706880</xdr:colOff>
      <xdr:row>10</xdr:row>
      <xdr:rowOff>34290</xdr:rowOff>
    </xdr:from>
    <xdr:ext cx="444865" cy="289888"/>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8A414509-B537-1246-2AB8-0E6A46C65184}"/>
                </a:ext>
              </a:extLst>
            </xdr:cNvPr>
            <xdr:cNvSpPr txBox="1"/>
          </xdr:nvSpPr>
          <xdr:spPr>
            <a:xfrm>
              <a:off x="3992880" y="1878330"/>
              <a:ext cx="444865" cy="289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0" i="1">
                        <a:latin typeface="Cambria Math" panose="02040503050406030204" pitchFamily="18" charset="0"/>
                      </a:rPr>
                      <m:t> </m:t>
                    </m:r>
                    <m:f>
                      <m:fPr>
                        <m:ctrlPr>
                          <a:rPr lang="en-US" sz="1100" b="0" i="1">
                            <a:latin typeface="Cambria Math" panose="02040503050406030204" pitchFamily="18" charset="0"/>
                          </a:rPr>
                        </m:ctrlPr>
                      </m:fPr>
                      <m:num>
                        <m:r>
                          <a:rPr lang="en-US" sz="1100" b="0" i="1">
                            <a:latin typeface="Cambria Math" panose="02040503050406030204" pitchFamily="18" charset="0"/>
                          </a:rPr>
                          <m:t>𝑥</m:t>
                        </m:r>
                        <m:r>
                          <a:rPr lang="en-US" sz="1100" b="0" i="1">
                            <a:latin typeface="Cambria Math" panose="02040503050406030204" pitchFamily="18" charset="0"/>
                          </a:rPr>
                          <m:t>− </m:t>
                        </m:r>
                        <m:r>
                          <a:rPr lang="en-US" sz="1100" b="0" i="1">
                            <a:latin typeface="Cambria Math" panose="02040503050406030204" pitchFamily="18" charset="0"/>
                            <a:ea typeface="Cambria Math" panose="02040503050406030204" pitchFamily="18" charset="0"/>
                          </a:rPr>
                          <m:t>𝛾</m:t>
                        </m:r>
                      </m:num>
                      <m:den>
                        <m:r>
                          <a:rPr lang="en-US" sz="1100" b="0" i="1">
                            <a:latin typeface="Cambria Math" panose="02040503050406030204" pitchFamily="18" charset="0"/>
                            <a:ea typeface="Cambria Math" panose="02040503050406030204" pitchFamily="18" charset="0"/>
                          </a:rPr>
                          <m:t>𝜎</m:t>
                        </m:r>
                      </m:den>
                    </m:f>
                    <m:r>
                      <a:rPr lang="en-US" sz="1100" b="0" i="1">
                        <a:latin typeface="Cambria Math" panose="02040503050406030204" pitchFamily="18" charset="0"/>
                      </a:rPr>
                      <m:t> </m:t>
                    </m:r>
                  </m:oMath>
                </m:oMathPara>
              </a14:m>
              <a:endParaRPr lang="es-CR" sz="1100"/>
            </a:p>
          </xdr:txBody>
        </xdr:sp>
      </mc:Choice>
      <mc:Fallback>
        <xdr:sp macro="" textlink="">
          <xdr:nvSpPr>
            <xdr:cNvPr id="2" name="TextBox 1">
              <a:extLst>
                <a:ext uri="{FF2B5EF4-FFF2-40B4-BE49-F238E27FC236}">
                  <a16:creationId xmlns:a16="http://schemas.microsoft.com/office/drawing/2014/main" id="{8A414509-B537-1246-2AB8-0E6A46C65184}"/>
                </a:ext>
              </a:extLst>
            </xdr:cNvPr>
            <xdr:cNvSpPr txBox="1"/>
          </xdr:nvSpPr>
          <xdr:spPr>
            <a:xfrm>
              <a:off x="3992880" y="1878330"/>
              <a:ext cx="444865" cy="289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0" i="0">
                  <a:latin typeface="Cambria Math" panose="02040503050406030204" pitchFamily="18" charset="0"/>
                </a:rPr>
                <a:t>  (𝑥− </a:t>
              </a:r>
              <a:r>
                <a:rPr lang="en-US" sz="1100" b="0" i="0">
                  <a:latin typeface="Cambria Math" panose="02040503050406030204" pitchFamily="18" charset="0"/>
                  <a:ea typeface="Cambria Math" panose="02040503050406030204" pitchFamily="18" charset="0"/>
                </a:rPr>
                <a:t>𝛾)/𝜎 </a:t>
              </a:r>
              <a:r>
                <a:rPr lang="en-US" sz="1100" b="0" i="0">
                  <a:latin typeface="Cambria Math" panose="02040503050406030204" pitchFamily="18" charset="0"/>
                </a:rPr>
                <a:t> </a:t>
              </a:r>
              <a:endParaRPr lang="es-CR" sz="1100"/>
            </a:p>
          </xdr:txBody>
        </xdr:sp>
      </mc:Fallback>
    </mc:AlternateContent>
    <xdr:clientData/>
  </xdr:oneCellAnchor>
  <xdr:twoCellAnchor>
    <xdr:from>
      <xdr:col>1</xdr:col>
      <xdr:colOff>7620</xdr:colOff>
      <xdr:row>67</xdr:row>
      <xdr:rowOff>3810</xdr:rowOff>
    </xdr:from>
    <xdr:to>
      <xdr:col>9</xdr:col>
      <xdr:colOff>15240</xdr:colOff>
      <xdr:row>99</xdr:row>
      <xdr:rowOff>144780</xdr:rowOff>
    </xdr:to>
    <xdr:graphicFrame macro="">
      <xdr:nvGraphicFramePr>
        <xdr:cNvPr id="5" name="Chart 4">
          <a:extLst>
            <a:ext uri="{FF2B5EF4-FFF2-40B4-BE49-F238E27FC236}">
              <a16:creationId xmlns:a16="http://schemas.microsoft.com/office/drawing/2014/main" id="{7C63D4F4-079F-7EC1-27B3-E28B368596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98613</xdr:colOff>
      <xdr:row>67</xdr:row>
      <xdr:rowOff>0</xdr:rowOff>
    </xdr:from>
    <xdr:to>
      <xdr:col>16</xdr:col>
      <xdr:colOff>251013</xdr:colOff>
      <xdr:row>99</xdr:row>
      <xdr:rowOff>170330</xdr:rowOff>
    </xdr:to>
    <xdr:sp macro="" textlink="">
      <xdr:nvSpPr>
        <xdr:cNvPr id="6" name="TextBox 5">
          <a:extLst>
            <a:ext uri="{FF2B5EF4-FFF2-40B4-BE49-F238E27FC236}">
              <a16:creationId xmlns:a16="http://schemas.microsoft.com/office/drawing/2014/main" id="{921361B1-AB0A-B3FA-D998-17367A9447FF}"/>
            </a:ext>
          </a:extLst>
        </xdr:cNvPr>
        <xdr:cNvSpPr txBox="1"/>
      </xdr:nvSpPr>
      <xdr:spPr>
        <a:xfrm>
          <a:off x="11178989" y="12057529"/>
          <a:ext cx="4706471" cy="59077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b="1"/>
            <a:t>Análisis de los resultados observados</a:t>
          </a:r>
        </a:p>
        <a:p>
          <a:r>
            <a:rPr lang="es-CR" sz="1100" baseline="0"/>
            <a:t>   </a:t>
          </a:r>
          <a:r>
            <a:rPr lang="es-CR" sz="1100"/>
            <a:t>En la presente gráfica se muestra la distribución absoluta de los cinco mil individuos del conjunto de datos en cada una de las respectivas categorías como los son Asalariado, Asegurado Voluntario, Convenios Especiales tanto como de Asegurado Voluntario y Trabajador independiente , pensionado en su propio sistema y como trabajador independiente, del cual se extraen las siguientes conclusiones.</a:t>
          </a:r>
        </a:p>
        <a:p>
          <a:r>
            <a:rPr lang="es-CR" sz="1100" b="1"/>
            <a:t>Asalariado: </a:t>
          </a:r>
          <a:r>
            <a:rPr lang="es-CR" sz="1100" b="0"/>
            <a:t>Suponen la categoría</a:t>
          </a:r>
          <a:r>
            <a:rPr lang="es-CR" sz="1100" b="0" baseline="0"/>
            <a:t> en la que mayor concentración de invidivuos pertenece tanto para el Sector público como el privado.</a:t>
          </a:r>
        </a:p>
        <a:p>
          <a:r>
            <a:rPr lang="es-CR" sz="1100" b="1" baseline="0"/>
            <a:t>Asegurado voluntario: </a:t>
          </a:r>
          <a:r>
            <a:rPr lang="es-CR" sz="1100" b="0" baseline="0"/>
            <a:t>No se observa ningún trabajador del sector público en esta categoría, es la tercera de más concentración para los miembros del sector privado.</a:t>
          </a:r>
        </a:p>
        <a:p>
          <a:r>
            <a:rPr lang="es-CR" sz="1100" b="1" baseline="0"/>
            <a:t>Convenio Especial- Asegurado Voluntario: </a:t>
          </a:r>
          <a:r>
            <a:rPr lang="es-CR" sz="1100" b="0" baseline="0"/>
            <a:t>Se puede denotar que es la categoría de tipo de asegurado en la que menor cantidad de población hay concentrada de la muestra tomada, nuev.amente no se observa ningún trabajador del sector público en esta categoría.</a:t>
          </a:r>
          <a:endParaRPr lang="es-CR" sz="1100" b="1" baseline="0"/>
        </a:p>
        <a:p>
          <a:r>
            <a:rPr lang="es-CR" sz="1100" b="1" baseline="0"/>
            <a:t>Convenio Especial- Trabajadores Independientes: </a:t>
          </a:r>
          <a:r>
            <a:rPr lang="es-CR" sz="1100" b="0" baseline="0"/>
            <a:t>Es la segunda categoría de menor concetración de población de toda la muestra tomada (en términos absolutos, es decir tanto privado como público en conjunto)  y no se precisan a individuos del sector privado en esta categoría. </a:t>
          </a:r>
          <a:endParaRPr lang="es-CR" sz="1100" b="1" baseline="0"/>
        </a:p>
        <a:p>
          <a:r>
            <a:rPr lang="es-CR" sz="1100" b="1" baseline="0"/>
            <a:t>Pensionado en su Propio Sistema:  </a:t>
          </a:r>
          <a:r>
            <a:rPr lang="es-CR" sz="1100" b="0" baseline="0"/>
            <a:t>Tercera categoría en la que menos concetración de individuos hay en terminos absolutos y ninguna de las observaciones corresponde al sector privado, esta muestra puede corresponder a individuos que se encuentren en el sistema de la Junta de Pensiones del Magisterio Nacional  (JUPEMA) o bien del fondo de Jubilaciones y Pensiones del Poder Judicial. </a:t>
          </a:r>
          <a:endParaRPr lang="es-CR" sz="1100" b="1" baseline="0"/>
        </a:p>
        <a:p>
          <a:r>
            <a:rPr lang="es-CR" sz="1100" b="1" baseline="0"/>
            <a:t>Trabajador Independiente: </a:t>
          </a:r>
          <a:r>
            <a:rPr lang="es-CR" sz="1100" b="0" baseline="0"/>
            <a:t>Es la categoría de segunda mayor concentración para los individuos del sector privado y no se observa ningún individuo del sector público en este componente.</a:t>
          </a:r>
          <a:endParaRPr lang="es-CR" sz="1100" b="1" baseline="0"/>
        </a:p>
        <a:p>
          <a:endParaRPr lang="es-CR" sz="1100" b="1" baseline="0"/>
        </a:p>
        <a:p>
          <a:r>
            <a:rPr lang="es-CR" sz="1100" b="1" baseline="0"/>
            <a:t>En general:</a:t>
          </a:r>
        </a:p>
        <a:p>
          <a:r>
            <a:rPr lang="es-CR" sz="1100" b="0" baseline="0"/>
            <a:t>   La representación gráfica permite inferir que la mayor proporción de la población son asalariados (dependen de un patrono) y que en términos generales hay una mayor concentración de inviduos en el sector privado que público.</a:t>
          </a:r>
        </a:p>
        <a:p>
          <a:endParaRPr lang="es-CR" sz="11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enjamín Gutiérrez Padua" refreshedDate="45991.507431365739" createdVersion="8" refreshedVersion="8" minRefreshableVersion="3" recordCount="5000" xr:uid="{4DAEB97F-FBB8-4DCF-9F9A-07D751B2032B}">
  <cacheSource type="worksheet">
    <worksheetSource name="moras"/>
  </cacheSource>
  <cacheFields count="16">
    <cacheField name="IDENTIFICACION" numFmtId="0">
      <sharedItems containsSemiMixedTypes="0" containsString="0" containsNumber="1" containsInteger="1" minValue="1" maxValue="5000"/>
    </cacheField>
    <cacheField name="SEXO" numFmtId="0">
      <sharedItems/>
    </cacheField>
    <cacheField name="SALARIO" numFmtId="0">
      <sharedItems containsString="0" containsBlank="1" containsNumber="1" containsInteger="1" minValue="10" maxValue="1158018598"/>
    </cacheField>
    <cacheField name="TIPO_ASEGURAMIENTO" numFmtId="0">
      <sharedItems count="7">
        <s v="ASALARIADO"/>
        <s v="PENSIONADOS EN SU PROPIO SISTEMA"/>
        <s v="ASEGURADO VOLUNTARIO"/>
        <s v="TRABAJADOR INDEPENDIENTE"/>
        <s v="CONVENIOS ESPECIALES DE TRABAJADORES INDEPENDIENTES"/>
        <s v=""/>
        <s v="CONVENIOS ESPECIALES DE ASEGURADOS VOLUNTARIOS"/>
      </sharedItems>
    </cacheField>
    <cacheField name="SECTOR" numFmtId="0">
      <sharedItems count="2">
        <s v="SECTOR PUBLICO"/>
        <s v="SECTOR PRIVADO"/>
      </sharedItems>
    </cacheField>
    <cacheField name="INDICADOR_ACTIVO" numFmtId="0">
      <sharedItems/>
    </cacheField>
    <cacheField name="INDICADOR.EXTRANJERO" numFmtId="0">
      <sharedItems/>
    </cacheField>
    <cacheField name="INDICADOR_MOROSO" numFmtId="0">
      <sharedItems/>
    </cacheField>
    <cacheField name="EDAD" numFmtId="0">
      <sharedItems containsString="0" containsBlank="1" containsNumber="1" containsInteger="1" minValue="14" maxValue="99"/>
    </cacheField>
    <cacheField name="Z-Score Edad" numFmtId="0">
      <sharedItems containsSemiMixedTypes="0" containsString="0" containsNumber="1" minValue="1.4403128587172659E-3" maxValue="4.0242341272555553"/>
    </cacheField>
    <cacheField name="Edad_atípica" numFmtId="0">
      <sharedItems/>
    </cacheField>
    <cacheField name="Z-Score Salario" numFmtId="0">
      <sharedItems containsSemiMixedTypes="0" containsString="0" containsNumber="1" minValue="1.1965706221306876E-3" maxValue="18.89459295796507"/>
    </cacheField>
    <cacheField name="Salario_atípico" numFmtId="0">
      <sharedItems/>
    </cacheField>
    <cacheField name="Salario_imputado" numFmtId="0">
      <sharedItems containsSemiMixedTypes="0" containsString="0" containsNumber="1" containsInteger="1" minValue="10" maxValue="1158018598"/>
    </cacheField>
    <cacheField name="Edad_imputado" numFmtId="0">
      <sharedItems containsSemiMixedTypes="0" containsString="0" containsNumber="1" containsInteger="1" minValue="14" maxValue="99"/>
    </cacheField>
    <cacheField name="Tipo_Asegurado_Imputado" numFmtId="0">
      <sharedItems count="6">
        <s v="ASALARIADO"/>
        <s v="PENSIONADOS EN SU PROPIO SISTEMA"/>
        <s v="ASEGURADO VOLUNTARIO"/>
        <s v="TRABAJADOR INDEPENDIENTE"/>
        <s v="CONVENIOS ESPECIALES DE TRABAJADORES INDEPENDIENTES"/>
        <s v="CONVENIOS ESPECIALES DE ASEGURADOS VOLUNTARIO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
    <s v="HOMBRE"/>
    <m/>
    <x v="0"/>
    <x v="0"/>
    <s v="SI"/>
    <s v="NO"/>
    <s v="NO"/>
    <n v="42"/>
    <n v="1.4403128587172659E-3"/>
    <s v="No"/>
    <n v="0.3756539722078181"/>
    <s v="No"/>
    <n v="639148"/>
    <n v="42"/>
    <x v="0"/>
  </r>
  <r>
    <n v="2"/>
    <s v="HOMBRE"/>
    <n v="3315014"/>
    <x v="1"/>
    <x v="0"/>
    <s v="SI"/>
    <s v="NO"/>
    <s v="NO"/>
    <n v="77"/>
    <n v="2.47157686555853"/>
    <s v="Sí"/>
    <n v="0.32048979913900172"/>
    <s v="No"/>
    <n v="3315014"/>
    <n v="77"/>
    <x v="1"/>
  </r>
  <r>
    <n v="3"/>
    <s v="MUJER"/>
    <n v="27048601"/>
    <x v="0"/>
    <x v="1"/>
    <s v="SI"/>
    <s v="NO"/>
    <s v="NO"/>
    <n v="45"/>
    <n v="0.21316630309012977"/>
    <s v="No"/>
    <n v="7.4453842369544374E-2"/>
    <s v="No"/>
    <n v="27048601"/>
    <n v="45"/>
    <x v="0"/>
  </r>
  <r>
    <n v="4"/>
    <s v="MUJER"/>
    <n v="54494983"/>
    <x v="0"/>
    <x v="1"/>
    <s v="SI"/>
    <s v="NO"/>
    <s v="NO"/>
    <n v="49"/>
    <n v="0.49546762339867978"/>
    <s v="No"/>
    <n v="0.53118101358536651"/>
    <s v="No"/>
    <n v="54494983"/>
    <n v="49"/>
    <x v="0"/>
  </r>
  <r>
    <n v="5"/>
    <s v="MUJER"/>
    <n v="210000"/>
    <x v="0"/>
    <x v="1"/>
    <s v="SI"/>
    <s v="NO"/>
    <s v="NO"/>
    <n v="42"/>
    <n v="1.4403128587172659E-3"/>
    <s v="No"/>
    <n v="0.37215942396625667"/>
    <s v="No"/>
    <n v="210000"/>
    <n v="42"/>
    <x v="0"/>
  </r>
  <r>
    <n v="6"/>
    <s v="HOMBRE"/>
    <n v="397150"/>
    <x v="0"/>
    <x v="1"/>
    <s v="SI"/>
    <s v="NO"/>
    <s v="NO"/>
    <n v="44"/>
    <n v="0.14259097301299228"/>
    <s v="No"/>
    <n v="0.369045115854789"/>
    <s v="No"/>
    <n v="397150"/>
    <n v="44"/>
    <x v="0"/>
  </r>
  <r>
    <n v="7"/>
    <s v="HOMBRE"/>
    <n v="854712"/>
    <x v="0"/>
    <x v="1"/>
    <s v="SI"/>
    <s v="NO"/>
    <s v="NO"/>
    <n v="38"/>
    <n v="0.28086100744983278"/>
    <s v="No"/>
    <n v="0.36143096117619222"/>
    <s v="No"/>
    <n v="854712"/>
    <n v="38"/>
    <x v="0"/>
  </r>
  <r>
    <n v="8"/>
    <s v="HOMBRE"/>
    <n v="401000"/>
    <x v="0"/>
    <x v="1"/>
    <s v="SI"/>
    <s v="SI"/>
    <s v="SI"/>
    <n v="36"/>
    <n v="0.42201166760410774"/>
    <s v="No"/>
    <n v="0.36898104913702706"/>
    <s v="No"/>
    <n v="401000"/>
    <n v="36"/>
    <x v="0"/>
  </r>
  <r>
    <n v="9"/>
    <s v="MUJER"/>
    <n v="26470396"/>
    <x v="0"/>
    <x v="1"/>
    <s v="SI"/>
    <s v="NO"/>
    <s v="NO"/>
    <n v="21"/>
    <n v="1.4806416187611704"/>
    <s v="No"/>
    <n v="6.4832103007582409E-2"/>
    <s v="No"/>
    <n v="26470396"/>
    <n v="21"/>
    <x v="0"/>
  </r>
  <r>
    <n v="10"/>
    <s v="HOMBRE"/>
    <n v="467712685"/>
    <x v="0"/>
    <x v="1"/>
    <s v="SI"/>
    <s v="NO"/>
    <s v="NO"/>
    <n v="40"/>
    <n v="0.13971034729555773"/>
    <s v="No"/>
    <n v="7.4074152702812981"/>
    <s v="Sí"/>
    <n v="467712685"/>
    <n v="40"/>
    <x v="0"/>
  </r>
  <r>
    <n v="11"/>
    <s v="MUJER"/>
    <n v="1200000"/>
    <x v="0"/>
    <x v="1"/>
    <s v="SI"/>
    <s v="NO"/>
    <s v="NO"/>
    <n v="30"/>
    <n v="0.84546364806693275"/>
    <s v="No"/>
    <n v="0.35568512511318151"/>
    <s v="No"/>
    <n v="1200000"/>
    <n v="30"/>
    <x v="0"/>
  </r>
  <r>
    <n v="12"/>
    <s v="MUJER"/>
    <n v="1030132"/>
    <x v="0"/>
    <x v="0"/>
    <s v="SI"/>
    <s v="NO"/>
    <s v="SI"/>
    <n v="58"/>
    <n v="1.1306455940929174"/>
    <s v="No"/>
    <n v="0.35851184854507462"/>
    <s v="No"/>
    <n v="1030132"/>
    <n v="58"/>
    <x v="0"/>
  </r>
  <r>
    <n v="13"/>
    <s v="HOMBRE"/>
    <n v="7312875"/>
    <x v="0"/>
    <x v="0"/>
    <s v="SI"/>
    <s v="NO"/>
    <s v="NO"/>
    <n v="40"/>
    <n v="0.13971034729555773"/>
    <s v="No"/>
    <n v="0.2539625699601592"/>
    <s v="No"/>
    <n v="7312875"/>
    <n v="40"/>
    <x v="0"/>
  </r>
  <r>
    <n v="14"/>
    <s v="HOMBRE"/>
    <n v="282305"/>
    <x v="2"/>
    <x v="1"/>
    <s v="SI"/>
    <s v="NO"/>
    <s v="NO"/>
    <n v="51"/>
    <n v="0.6366182835529548"/>
    <s v="No"/>
    <n v="0.37095621772527526"/>
    <s v="No"/>
    <n v="282305"/>
    <n v="51"/>
    <x v="2"/>
  </r>
  <r>
    <n v="15"/>
    <s v="MUJER"/>
    <n v="34339086"/>
    <x v="3"/>
    <x v="1"/>
    <s v="SI"/>
    <s v="NO"/>
    <s v="NO"/>
    <n v="59"/>
    <n v="1.2012209241700549"/>
    <s v="No"/>
    <n v="0.19577265921182921"/>
    <s v="No"/>
    <n v="34339086"/>
    <n v="59"/>
    <x v="3"/>
  </r>
  <r>
    <n v="16"/>
    <s v="MUJER"/>
    <n v="19434895"/>
    <x v="0"/>
    <x v="0"/>
    <s v="SI"/>
    <s v="NO"/>
    <s v="NO"/>
    <n v="58"/>
    <n v="1.1306455940929174"/>
    <s v="No"/>
    <n v="5.224360007838675E-2"/>
    <s v="No"/>
    <n v="19434895"/>
    <n v="58"/>
    <x v="0"/>
  </r>
  <r>
    <n v="17"/>
    <s v="MUJER"/>
    <n v="1108980"/>
    <x v="0"/>
    <x v="0"/>
    <s v="SI"/>
    <s v="NO"/>
    <s v="SI"/>
    <n v="36"/>
    <n v="0.42201166760410774"/>
    <s v="No"/>
    <n v="0.35719976216530969"/>
    <s v="No"/>
    <n v="1108980"/>
    <n v="36"/>
    <x v="0"/>
  </r>
  <r>
    <n v="18"/>
    <s v="MUJER"/>
    <n v="133157"/>
    <x v="0"/>
    <x v="1"/>
    <s v="SI"/>
    <s v="NO"/>
    <s v="NO"/>
    <n v="39"/>
    <n v="0.21028567737269524"/>
    <s v="No"/>
    <n v="0.37343814573066769"/>
    <s v="No"/>
    <n v="133157"/>
    <n v="39"/>
    <x v="0"/>
  </r>
  <r>
    <n v="19"/>
    <s v="HOMBRE"/>
    <n v="553939"/>
    <x v="0"/>
    <x v="1"/>
    <s v="SI"/>
    <s v="NO"/>
    <s v="NO"/>
    <n v="45"/>
    <n v="0.21316630309012977"/>
    <s v="No"/>
    <n v="0.36643603621552151"/>
    <s v="No"/>
    <n v="553939"/>
    <n v="45"/>
    <x v="0"/>
  </r>
  <r>
    <n v="20"/>
    <s v="MUJER"/>
    <n v="309820"/>
    <x v="2"/>
    <x v="1"/>
    <s v="SI"/>
    <s v="SI"/>
    <s v="SI"/>
    <n v="52"/>
    <n v="0.70719361363009237"/>
    <s v="No"/>
    <n v="0.37049834870210119"/>
    <s v="No"/>
    <n v="309820"/>
    <n v="52"/>
    <x v="2"/>
  </r>
  <r>
    <n v="21"/>
    <s v="MUJER"/>
    <m/>
    <x v="0"/>
    <x v="1"/>
    <s v="SI"/>
    <s v="SI"/>
    <s v="NO"/>
    <n v="28"/>
    <n v="0.98661430822120777"/>
    <s v="No"/>
    <n v="0.3756539722078181"/>
    <s v="No"/>
    <n v="639148"/>
    <n v="28"/>
    <x v="0"/>
  </r>
  <r>
    <n v="22"/>
    <s v="HOMBRE"/>
    <n v="278030"/>
    <x v="4"/>
    <x v="1"/>
    <s v="SI"/>
    <s v="NO"/>
    <s v="NO"/>
    <n v="59"/>
    <n v="1.2012209241700549"/>
    <s v="No"/>
    <n v="0.37102735674304993"/>
    <s v="No"/>
    <n v="278030"/>
    <n v="59"/>
    <x v="4"/>
  </r>
  <r>
    <n v="23"/>
    <s v="HOMBRE"/>
    <n v="2124814"/>
    <x v="0"/>
    <x v="1"/>
    <s v="SI"/>
    <s v="NO"/>
    <s v="NO"/>
    <n v="32"/>
    <n v="0.70431298791265773"/>
    <s v="No"/>
    <n v="0.34029556731569877"/>
    <s v="No"/>
    <n v="2124814"/>
    <n v="32"/>
    <x v="0"/>
  </r>
  <r>
    <n v="24"/>
    <s v="HOMBRE"/>
    <n v="19174468"/>
    <x v="0"/>
    <x v="1"/>
    <s v="SI"/>
    <s v="NO"/>
    <s v="NO"/>
    <n v="18"/>
    <n v="1.6923676089925828"/>
    <s v="No"/>
    <n v="5.6577289196982523E-2"/>
    <s v="No"/>
    <n v="19174468"/>
    <n v="18"/>
    <x v="0"/>
  </r>
  <r>
    <n v="25"/>
    <s v="MUJER"/>
    <n v="1117489"/>
    <x v="0"/>
    <x v="0"/>
    <s v="SI"/>
    <s v="NO"/>
    <s v="SI"/>
    <n v="36"/>
    <n v="0.42201166760410774"/>
    <s v="No"/>
    <n v="0.3570581663987028"/>
    <s v="No"/>
    <n v="1117489"/>
    <n v="36"/>
    <x v="0"/>
  </r>
  <r>
    <n v="26"/>
    <s v="HOMBRE"/>
    <n v="1451530"/>
    <x v="1"/>
    <x v="0"/>
    <s v="SI"/>
    <s v="NO"/>
    <s v="NO"/>
    <n v="62"/>
    <n v="1.4129469144014672"/>
    <s v="No"/>
    <n v="0.35149948835508654"/>
    <s v="No"/>
    <n v="1451530"/>
    <n v="62"/>
    <x v="1"/>
  </r>
  <r>
    <n v="27"/>
    <s v="HOMBRE"/>
    <n v="66700"/>
    <x v="0"/>
    <x v="1"/>
    <s v="SI"/>
    <s v="NO"/>
    <s v="NO"/>
    <n v="38"/>
    <n v="0.28086100744983278"/>
    <s v="No"/>
    <n v="0.37454403712347456"/>
    <s v="No"/>
    <n v="66700"/>
    <n v="38"/>
    <x v="0"/>
  </r>
  <r>
    <n v="28"/>
    <s v="MUJER"/>
    <n v="73410"/>
    <x v="0"/>
    <x v="1"/>
    <s v="SI"/>
    <s v="SI"/>
    <s v="NO"/>
    <n v="22"/>
    <n v="1.4100662886840327"/>
    <s v="No"/>
    <n v="0.37443237798680373"/>
    <s v="No"/>
    <n v="73410"/>
    <n v="22"/>
    <x v="0"/>
  </r>
  <r>
    <n v="29"/>
    <s v="HOMBRE"/>
    <n v="81535566"/>
    <x v="0"/>
    <x v="0"/>
    <s v="SI"/>
    <s v="NO"/>
    <s v="NO"/>
    <n v="42"/>
    <n v="1.4403128587172659E-3"/>
    <s v="No"/>
    <n v="0.98115540298272508"/>
    <s v="No"/>
    <n v="81535566"/>
    <n v="42"/>
    <x v="0"/>
  </r>
  <r>
    <n v="30"/>
    <s v="HOMBRE"/>
    <n v="398125"/>
    <x v="0"/>
    <x v="1"/>
    <s v="SI"/>
    <s v="NO"/>
    <s v="NO"/>
    <n v="38"/>
    <n v="0.28086100744983278"/>
    <s v="No"/>
    <n v="0.3690288911665246"/>
    <s v="No"/>
    <n v="398125"/>
    <n v="38"/>
    <x v="0"/>
  </r>
  <r>
    <n v="31"/>
    <s v="HOMBRE"/>
    <n v="60676396"/>
    <x v="0"/>
    <x v="1"/>
    <s v="SI"/>
    <s v="NO"/>
    <s v="NO"/>
    <n v="39"/>
    <n v="0.21028567737269524"/>
    <s v="No"/>
    <n v="0.63404408944019908"/>
    <s v="No"/>
    <n v="60676396"/>
    <n v="39"/>
    <x v="0"/>
  </r>
  <r>
    <n v="32"/>
    <s v="HOMBRE"/>
    <n v="360420"/>
    <x v="3"/>
    <x v="1"/>
    <s v="SI"/>
    <s v="NO"/>
    <s v="SI"/>
    <n v="53"/>
    <n v="0.77776894370722982"/>
    <s v="No"/>
    <n v="0.36965632898294398"/>
    <s v="No"/>
    <n v="360420"/>
    <n v="53"/>
    <x v="3"/>
  </r>
  <r>
    <n v="33"/>
    <s v="MUJER"/>
    <n v="297046"/>
    <x v="0"/>
    <x v="1"/>
    <s v="SI"/>
    <s v="SI"/>
    <s v="NO"/>
    <n v="41"/>
    <n v="6.9135017218420233E-2"/>
    <s v="No"/>
    <n v="0.37071091707942361"/>
    <s v="No"/>
    <n v="297046"/>
    <n v="41"/>
    <x v="0"/>
  </r>
  <r>
    <n v="34"/>
    <s v="HOMBRE"/>
    <n v="558030"/>
    <x v="0"/>
    <x v="1"/>
    <s v="SI"/>
    <s v="NO"/>
    <s v="NO"/>
    <n v="28"/>
    <n v="0.98661430822120777"/>
    <s v="No"/>
    <n v="0.3663679590876347"/>
    <s v="No"/>
    <n v="558030"/>
    <n v="28"/>
    <x v="0"/>
  </r>
  <r>
    <n v="35"/>
    <s v="HOMBRE"/>
    <n v="6830903"/>
    <x v="0"/>
    <x v="1"/>
    <s v="SI"/>
    <s v="NO"/>
    <s v="NO"/>
    <n v="43"/>
    <n v="7.2015642935854773E-2"/>
    <s v="No"/>
    <n v="0.26198292427007269"/>
    <s v="No"/>
    <n v="6830903"/>
    <n v="43"/>
    <x v="0"/>
  </r>
  <r>
    <n v="36"/>
    <s v="HOMBRE"/>
    <m/>
    <x v="0"/>
    <x v="0"/>
    <s v="SI"/>
    <s v="NO"/>
    <s v="NO"/>
    <n v="62"/>
    <n v="1.4129469144014672"/>
    <s v="No"/>
    <n v="0.3756539722078181"/>
    <s v="No"/>
    <n v="639148"/>
    <n v="62"/>
    <x v="0"/>
  </r>
  <r>
    <n v="37"/>
    <s v="HOMBRE"/>
    <n v="15523075"/>
    <x v="0"/>
    <x v="1"/>
    <s v="SI"/>
    <s v="SI"/>
    <s v="NO"/>
    <n v="41"/>
    <n v="6.9135017218420233E-2"/>
    <s v="No"/>
    <n v="0.11733904627983791"/>
    <s v="No"/>
    <n v="15523075"/>
    <n v="41"/>
    <x v="0"/>
  </r>
  <r>
    <n v="38"/>
    <s v="HOMBRE"/>
    <n v="1531575"/>
    <x v="2"/>
    <x v="1"/>
    <s v="SI"/>
    <s v="SI"/>
    <s v="NO"/>
    <n v="66"/>
    <n v="1.6952482347100173"/>
    <s v="No"/>
    <n v="0.35016748305034473"/>
    <s v="No"/>
    <n v="1531575"/>
    <n v="66"/>
    <x v="2"/>
  </r>
  <r>
    <n v="39"/>
    <s v="HOMBRE"/>
    <n v="322056909"/>
    <x v="0"/>
    <x v="1"/>
    <s v="SI"/>
    <s v="NO"/>
    <s v="NO"/>
    <n v="48"/>
    <n v="0.42489229332154227"/>
    <s v="No"/>
    <n v="4.9836003374524305"/>
    <s v="Sí"/>
    <n v="322056909"/>
    <n v="48"/>
    <x v="0"/>
  </r>
  <r>
    <n v="40"/>
    <s v="HOMBRE"/>
    <n v="658917"/>
    <x v="0"/>
    <x v="0"/>
    <s v="SI"/>
    <s v="NO"/>
    <s v="SI"/>
    <n v="56"/>
    <n v="0.9894949339386423"/>
    <s v="No"/>
    <n v="0.36468912819027088"/>
    <s v="No"/>
    <n v="658917"/>
    <n v="56"/>
    <x v="0"/>
  </r>
  <r>
    <n v="41"/>
    <s v="HOMBRE"/>
    <n v="6317076"/>
    <x v="0"/>
    <x v="1"/>
    <s v="SI"/>
    <s v="NO"/>
    <s v="NO"/>
    <n v="25"/>
    <n v="1.1983402984526204"/>
    <s v="No"/>
    <n v="0.27053336826681923"/>
    <s v="No"/>
    <n v="6317076"/>
    <n v="25"/>
    <x v="0"/>
  </r>
  <r>
    <n v="42"/>
    <s v="MUJER"/>
    <n v="977376"/>
    <x v="0"/>
    <x v="1"/>
    <s v="SI"/>
    <s v="NO"/>
    <s v="NO"/>
    <n v="33"/>
    <n v="0.63373765783552027"/>
    <s v="No"/>
    <n v="0.35938974562617848"/>
    <s v="No"/>
    <n v="977376"/>
    <n v="33"/>
    <x v="0"/>
  </r>
  <r>
    <n v="43"/>
    <s v="MUJER"/>
    <n v="278030"/>
    <x v="4"/>
    <x v="1"/>
    <s v="SI"/>
    <s v="SI"/>
    <s v="NO"/>
    <n v="23"/>
    <n v="1.3394909586068953"/>
    <s v="No"/>
    <n v="0.37102735674304993"/>
    <s v="No"/>
    <n v="278030"/>
    <n v="23"/>
    <x v="4"/>
  </r>
  <r>
    <n v="44"/>
    <s v="HOMBRE"/>
    <n v="633750"/>
    <x v="0"/>
    <x v="1"/>
    <s v="SI"/>
    <s v="NO"/>
    <s v="NO"/>
    <n v="43"/>
    <n v="7.2015642935854773E-2"/>
    <s v="No"/>
    <n v="0.36510792483596316"/>
    <s v="No"/>
    <n v="633750"/>
    <n v="43"/>
    <x v="0"/>
  </r>
  <r>
    <n v="45"/>
    <s v="MUJER"/>
    <n v="376776"/>
    <x v="0"/>
    <x v="1"/>
    <s v="SI"/>
    <s v="NO"/>
    <s v="NO"/>
    <n v="27"/>
    <n v="1.0571896382983452"/>
    <s v="No"/>
    <n v="0.36938415359704413"/>
    <s v="No"/>
    <n v="376776"/>
    <n v="27"/>
    <x v="0"/>
  </r>
  <r>
    <n v="46"/>
    <s v="MUJER"/>
    <n v="187838622"/>
    <x v="0"/>
    <x v="1"/>
    <s v="SI"/>
    <s v="NO"/>
    <s v="NO"/>
    <n v="28"/>
    <n v="0.98661430822120777"/>
    <s v="No"/>
    <n v="2.7501132954465524"/>
    <s v="Sí"/>
    <n v="187838622"/>
    <n v="28"/>
    <x v="0"/>
  </r>
  <r>
    <n v="47"/>
    <s v="MUJER"/>
    <n v="2224883"/>
    <x v="0"/>
    <x v="1"/>
    <s v="SI"/>
    <s v="NO"/>
    <s v="NO"/>
    <n v="49"/>
    <n v="0.49546762339867978"/>
    <s v="No"/>
    <n v="0.33863034851577112"/>
    <s v="No"/>
    <n v="2224883"/>
    <n v="49"/>
    <x v="0"/>
  </r>
  <r>
    <n v="48"/>
    <s v="MUJER"/>
    <n v="349000"/>
    <x v="0"/>
    <x v="1"/>
    <s v="SI"/>
    <s v="NO"/>
    <s v="NO"/>
    <n v="36"/>
    <n v="0.42201166760410774"/>
    <s v="No"/>
    <n v="0.36984636584446129"/>
    <s v="No"/>
    <n v="349000"/>
    <n v="36"/>
    <x v="0"/>
  </r>
  <r>
    <n v="49"/>
    <s v="HOMBRE"/>
    <n v="67506969"/>
    <x v="0"/>
    <x v="1"/>
    <s v="SI"/>
    <s v="NO"/>
    <s v="NO"/>
    <n v="39"/>
    <n v="0.21028567737269524"/>
    <s v="No"/>
    <n v="0.74770964594499345"/>
    <s v="No"/>
    <n v="67506969"/>
    <n v="39"/>
    <x v="0"/>
  </r>
  <r>
    <n v="50"/>
    <s v="HOMBRE"/>
    <n v="443282"/>
    <x v="0"/>
    <x v="1"/>
    <s v="SI"/>
    <s v="SI"/>
    <s v="NO"/>
    <m/>
    <n v="2.9627235503810581"/>
    <s v="Sí"/>
    <n v="0.36827744680964752"/>
    <s v="No"/>
    <n v="443282"/>
    <n v="41"/>
    <x v="0"/>
  </r>
  <r>
    <n v="51"/>
    <s v="HOMBRE"/>
    <n v="29704499"/>
    <x v="3"/>
    <x v="1"/>
    <s v="SI"/>
    <s v="NO"/>
    <s v="NO"/>
    <n v="66"/>
    <n v="1.6952482347100173"/>
    <s v="No"/>
    <n v="0.11864985992033703"/>
    <s v="No"/>
    <n v="29704499"/>
    <n v="66"/>
    <x v="3"/>
  </r>
  <r>
    <n v="52"/>
    <s v="HOMBRE"/>
    <n v="150545892"/>
    <x v="0"/>
    <x v="0"/>
    <s v="SI"/>
    <s v="NO"/>
    <s v="NO"/>
    <m/>
    <n v="2.9627235503810581"/>
    <s v="Sí"/>
    <n v="2.1295359428535794"/>
    <s v="Sí"/>
    <n v="150545892"/>
    <n v="41"/>
    <x v="0"/>
  </r>
  <r>
    <n v="53"/>
    <s v="MUJER"/>
    <n v="743436"/>
    <x v="0"/>
    <x v="1"/>
    <s v="SI"/>
    <s v="NO"/>
    <s v="NO"/>
    <n v="28"/>
    <n v="0.98661430822120777"/>
    <s v="No"/>
    <n v="0.3632826723672779"/>
    <s v="No"/>
    <n v="743436"/>
    <n v="28"/>
    <x v="0"/>
  </r>
  <r>
    <n v="54"/>
    <s v="HOMBRE"/>
    <n v="379422"/>
    <x v="3"/>
    <x v="1"/>
    <s v="SI"/>
    <s v="NO"/>
    <s v="NO"/>
    <n v="43"/>
    <n v="7.2015642935854773E-2"/>
    <s v="No"/>
    <n v="0.36934012228920043"/>
    <s v="No"/>
    <n v="379422"/>
    <n v="43"/>
    <x v="3"/>
  </r>
  <r>
    <n v="55"/>
    <s v="HOMBRE"/>
    <n v="300000"/>
    <x v="2"/>
    <x v="1"/>
    <s v="SI"/>
    <s v="NO"/>
    <s v="NO"/>
    <n v="44"/>
    <n v="0.14259097301299228"/>
    <s v="No"/>
    <n v="0.37066176043415894"/>
    <s v="No"/>
    <n v="300000"/>
    <n v="44"/>
    <x v="2"/>
  </r>
  <r>
    <n v="56"/>
    <s v="MUJER"/>
    <n v="15978722"/>
    <x v="0"/>
    <x v="1"/>
    <s v="SI"/>
    <s v="SI"/>
    <s v="NO"/>
    <n v="44"/>
    <n v="0.14259097301299228"/>
    <s v="No"/>
    <n v="0.10975675855306301"/>
    <s v="No"/>
    <n v="15978722"/>
    <n v="44"/>
    <x v="0"/>
  </r>
  <r>
    <n v="57"/>
    <s v="MUJER"/>
    <n v="26774104"/>
    <x v="0"/>
    <x v="1"/>
    <s v="SI"/>
    <s v="NO"/>
    <s v="NO"/>
    <n v="32"/>
    <n v="0.70431298791265773"/>
    <s v="No"/>
    <n v="6.9886018518763984E-2"/>
    <s v="No"/>
    <n v="26774104"/>
    <n v="32"/>
    <x v="0"/>
  </r>
  <r>
    <n v="58"/>
    <s v="MUJER"/>
    <n v="376777"/>
    <x v="0"/>
    <x v="1"/>
    <s v="SI"/>
    <s v="NO"/>
    <s v="NO"/>
    <n v="43"/>
    <n v="7.2015642935854773E-2"/>
    <s v="No"/>
    <n v="0.3693841369563382"/>
    <s v="No"/>
    <n v="376777"/>
    <n v="43"/>
    <x v="0"/>
  </r>
  <r>
    <n v="59"/>
    <s v="HOMBRE"/>
    <n v="386161"/>
    <x v="3"/>
    <x v="1"/>
    <s v="SI"/>
    <s v="NO"/>
    <s v="SI"/>
    <n v="45"/>
    <n v="0.21316630309012977"/>
    <s v="No"/>
    <n v="0.36922798057205813"/>
    <s v="No"/>
    <n v="386161"/>
    <n v="45"/>
    <x v="3"/>
  </r>
  <r>
    <n v="60"/>
    <s v="HOMBRE"/>
    <n v="278030"/>
    <x v="4"/>
    <x v="1"/>
    <s v="SI"/>
    <s v="NO"/>
    <s v="NO"/>
    <n v="22"/>
    <n v="1.4100662886840327"/>
    <s v="No"/>
    <n v="0.37102735674304993"/>
    <s v="No"/>
    <n v="278030"/>
    <n v="22"/>
    <x v="4"/>
  </r>
  <r>
    <n v="61"/>
    <s v="HOMBRE"/>
    <n v="159401266"/>
    <x v="0"/>
    <x v="1"/>
    <s v="SI"/>
    <s v="NO"/>
    <s v="NO"/>
    <n v="32"/>
    <n v="0.70431298791265773"/>
    <s v="No"/>
    <n v="2.2768956173300965"/>
    <s v="Sí"/>
    <n v="159401266"/>
    <n v="32"/>
    <x v="0"/>
  </r>
  <r>
    <n v="62"/>
    <s v="HOMBRE"/>
    <n v="140172503"/>
    <x v="1"/>
    <x v="0"/>
    <s v="SI"/>
    <s v="NO"/>
    <s v="NO"/>
    <n v="85"/>
    <n v="3.03617950617563"/>
    <s v="Sí"/>
    <n v="1.9569154271917584"/>
    <s v="No"/>
    <n v="140172503"/>
    <n v="85"/>
    <x v="1"/>
  </r>
  <r>
    <n v="63"/>
    <s v="HOMBRE"/>
    <n v="36635849"/>
    <x v="0"/>
    <x v="1"/>
    <s v="SI"/>
    <s v="NO"/>
    <s v="NO"/>
    <n v="51"/>
    <n v="0.6366182835529548"/>
    <s v="No"/>
    <n v="0.23399241684484492"/>
    <s v="No"/>
    <n v="36635849"/>
    <n v="51"/>
    <x v="0"/>
  </r>
  <r>
    <n v="64"/>
    <s v="MUJER"/>
    <n v="411794"/>
    <x v="3"/>
    <x v="1"/>
    <s v="SI"/>
    <s v="NO"/>
    <s v="NO"/>
    <n v="53"/>
    <n v="0.77776894370722982"/>
    <s v="No"/>
    <n v="0.36880142935741078"/>
    <s v="No"/>
    <n v="411794"/>
    <n v="53"/>
    <x v="3"/>
  </r>
  <r>
    <n v="65"/>
    <s v="HOMBRE"/>
    <n v="34051083"/>
    <x v="0"/>
    <x v="1"/>
    <s v="SI"/>
    <s v="NO"/>
    <s v="NO"/>
    <n v="40"/>
    <n v="0.13971034729555773"/>
    <s v="No"/>
    <n v="0.1909800859869987"/>
    <s v="No"/>
    <n v="34051083"/>
    <n v="40"/>
    <x v="0"/>
  </r>
  <r>
    <n v="66"/>
    <s v="HOMBRE"/>
    <n v="3217736"/>
    <x v="0"/>
    <x v="1"/>
    <s v="SI"/>
    <s v="NO"/>
    <s v="NO"/>
    <n v="32"/>
    <n v="0.70431298791265773"/>
    <s v="No"/>
    <n v="0.32210857372872842"/>
    <s v="No"/>
    <n v="3217736"/>
    <n v="32"/>
    <x v="0"/>
  </r>
  <r>
    <n v="67"/>
    <s v="HOMBRE"/>
    <n v="13360353"/>
    <x v="1"/>
    <x v="0"/>
    <s v="SI"/>
    <s v="NO"/>
    <s v="NO"/>
    <n v="72"/>
    <n v="2.1187002151728422"/>
    <s v="Sí"/>
    <n v="0.15332826705167682"/>
    <s v="No"/>
    <n v="13360353"/>
    <n v="72"/>
    <x v="1"/>
  </r>
  <r>
    <n v="68"/>
    <s v="HOMBRE"/>
    <n v="14043581"/>
    <x v="1"/>
    <x v="0"/>
    <s v="SI"/>
    <s v="NO"/>
    <s v="NO"/>
    <n v="74"/>
    <n v="2.2598508753271176"/>
    <s v="Sí"/>
    <n v="0.14195887083269815"/>
    <s v="No"/>
    <n v="14043581"/>
    <n v="74"/>
    <x v="1"/>
  </r>
  <r>
    <n v="69"/>
    <s v="HOMBRE"/>
    <n v="18669325"/>
    <x v="0"/>
    <x v="0"/>
    <s v="SI"/>
    <s v="NO"/>
    <s v="NO"/>
    <n v="57"/>
    <n v="1.0600702640157798"/>
    <s v="No"/>
    <n v="6.4983225303587536E-2"/>
    <s v="No"/>
    <n v="18669325"/>
    <n v="57"/>
    <x v="0"/>
  </r>
  <r>
    <n v="70"/>
    <s v="HOMBRE"/>
    <n v="299647"/>
    <x v="2"/>
    <x v="1"/>
    <s v="SI"/>
    <s v="NO"/>
    <s v="NO"/>
    <m/>
    <n v="2.9627235503810581"/>
    <s v="Sí"/>
    <n v="0.37066763460334595"/>
    <s v="No"/>
    <n v="299647"/>
    <n v="41"/>
    <x v="2"/>
  </r>
  <r>
    <n v="71"/>
    <s v="MUJER"/>
    <n v="5441635"/>
    <x v="0"/>
    <x v="1"/>
    <s v="SI"/>
    <s v="NO"/>
    <s v="NO"/>
    <n v="24"/>
    <n v="1.2689156285297578"/>
    <s v="No"/>
    <n v="0.28510132449129905"/>
    <s v="No"/>
    <n v="5441635"/>
    <n v="24"/>
    <x v="0"/>
  </r>
  <r>
    <n v="72"/>
    <s v="MUJER"/>
    <n v="2128928"/>
    <x v="5"/>
    <x v="0"/>
    <s v="SI"/>
    <s v="NO"/>
    <s v="SI"/>
    <n v="42"/>
    <n v="1.4403128587172659E-3"/>
    <s v="No"/>
    <n v="0.34022710745157597"/>
    <s v="No"/>
    <n v="2128928"/>
    <n v="42"/>
    <x v="0"/>
  </r>
  <r>
    <n v="73"/>
    <s v="HOMBRE"/>
    <n v="278030"/>
    <x v="4"/>
    <x v="1"/>
    <s v="SI"/>
    <s v="NO"/>
    <s v="NO"/>
    <n v="57"/>
    <n v="1.0600702640157798"/>
    <s v="No"/>
    <n v="0.37102735674304993"/>
    <s v="No"/>
    <n v="278030"/>
    <n v="57"/>
    <x v="4"/>
  </r>
  <r>
    <n v="74"/>
    <s v="MUJER"/>
    <n v="5089728"/>
    <x v="0"/>
    <x v="0"/>
    <s v="SI"/>
    <s v="NO"/>
    <s v="NO"/>
    <n v="46"/>
    <n v="0.2837416331672673"/>
    <s v="No"/>
    <n v="0.29095730538674258"/>
    <s v="No"/>
    <n v="5089728"/>
    <n v="46"/>
    <x v="0"/>
  </r>
  <r>
    <n v="75"/>
    <s v="HOMBRE"/>
    <n v="47642406"/>
    <x v="0"/>
    <x v="1"/>
    <s v="SI"/>
    <s v="NO"/>
    <s v="NO"/>
    <n v="24"/>
    <n v="1.2689156285297578"/>
    <s v="No"/>
    <n v="0.41714929498768016"/>
    <s v="No"/>
    <n v="47642406"/>
    <n v="24"/>
    <x v="0"/>
  </r>
  <r>
    <n v="76"/>
    <s v="MUJER"/>
    <n v="278035"/>
    <x v="3"/>
    <x v="1"/>
    <s v="SI"/>
    <s v="NO"/>
    <s v="SI"/>
    <n v="27"/>
    <n v="1.0571896382983452"/>
    <s v="No"/>
    <n v="0.37102727353952036"/>
    <s v="No"/>
    <n v="278035"/>
    <n v="27"/>
    <x v="3"/>
  </r>
  <r>
    <n v="77"/>
    <s v="HOMBRE"/>
    <n v="297046"/>
    <x v="2"/>
    <x v="1"/>
    <s v="NO"/>
    <s v="NO"/>
    <s v="SI"/>
    <n v="29"/>
    <n v="0.91603897814407031"/>
    <s v="No"/>
    <n v="0.37071091707942361"/>
    <s v="No"/>
    <n v="297046"/>
    <n v="29"/>
    <x v="2"/>
  </r>
  <r>
    <n v="78"/>
    <s v="MUJER"/>
    <n v="6438592"/>
    <x v="0"/>
    <x v="0"/>
    <s v="SI"/>
    <s v="NO"/>
    <s v="NO"/>
    <n v="35"/>
    <n v="0.49258699768124525"/>
    <s v="No"/>
    <n v="0.26851125624719263"/>
    <s v="No"/>
    <n v="6438592"/>
    <n v="35"/>
    <x v="0"/>
  </r>
  <r>
    <n v="79"/>
    <s v="HOMBRE"/>
    <n v="36467816"/>
    <x v="0"/>
    <x v="1"/>
    <s v="SI"/>
    <s v="NO"/>
    <s v="NO"/>
    <n v="28"/>
    <n v="0.98661430822120777"/>
    <s v="No"/>
    <n v="0.2311962291083007"/>
    <s v="No"/>
    <n v="36467816"/>
    <n v="28"/>
    <x v="0"/>
  </r>
  <r>
    <n v="80"/>
    <s v="MUJER"/>
    <n v="297046"/>
    <x v="2"/>
    <x v="1"/>
    <s v="SI"/>
    <s v="NO"/>
    <s v="NO"/>
    <n v="50"/>
    <n v="0.56604295347581735"/>
    <s v="No"/>
    <n v="0.37071091707942361"/>
    <s v="No"/>
    <n v="297046"/>
    <n v="50"/>
    <x v="2"/>
  </r>
  <r>
    <n v="81"/>
    <s v="MUJER"/>
    <n v="909000"/>
    <x v="0"/>
    <x v="1"/>
    <s v="SI"/>
    <s v="NO"/>
    <s v="SI"/>
    <n v="27"/>
    <n v="1.0571896382983452"/>
    <s v="No"/>
    <n v="0.36052757053363088"/>
    <s v="No"/>
    <n v="909000"/>
    <n v="27"/>
    <x v="0"/>
  </r>
  <r>
    <n v="82"/>
    <s v="MUJER"/>
    <n v="176961096"/>
    <x v="0"/>
    <x v="0"/>
    <s v="SI"/>
    <s v="NO"/>
    <s v="NO"/>
    <n v="56"/>
    <n v="0.9894949339386423"/>
    <s v="No"/>
    <n v="2.5691035842282739"/>
    <s v="Sí"/>
    <n v="176961096"/>
    <n v="56"/>
    <x v="0"/>
  </r>
  <r>
    <n v="83"/>
    <s v="HOMBRE"/>
    <n v="415861"/>
    <x v="3"/>
    <x v="1"/>
    <s v="SI"/>
    <s v="NO"/>
    <s v="SI"/>
    <n v="34"/>
    <n v="0.56316232775838282"/>
    <s v="No"/>
    <n v="0.36873375160646588"/>
    <s v="No"/>
    <n v="415861"/>
    <n v="34"/>
    <x v="3"/>
  </r>
  <r>
    <n v="84"/>
    <s v="MUJER"/>
    <n v="1404047"/>
    <x v="0"/>
    <x v="0"/>
    <s v="SI"/>
    <s v="NO"/>
    <s v="SI"/>
    <n v="53"/>
    <n v="0.77776894370722982"/>
    <s v="No"/>
    <n v="0.35228963899391541"/>
    <s v="No"/>
    <n v="1404047"/>
    <n v="53"/>
    <x v="0"/>
  </r>
  <r>
    <n v="85"/>
    <s v="MUJER"/>
    <n v="45784257"/>
    <x v="0"/>
    <x v="1"/>
    <s v="SI"/>
    <s v="NO"/>
    <s v="NO"/>
    <n v="50"/>
    <n v="0.56604295347581735"/>
    <s v="No"/>
    <n v="0.38622838393763687"/>
    <s v="No"/>
    <n v="45784257"/>
    <n v="50"/>
    <x v="0"/>
  </r>
  <r>
    <n v="86"/>
    <s v="MUJER"/>
    <n v="297046"/>
    <x v="2"/>
    <x v="1"/>
    <s v="SI"/>
    <s v="NO"/>
    <s v="NO"/>
    <n v="36"/>
    <n v="0.42201166760410774"/>
    <s v="No"/>
    <n v="0.37071091707942361"/>
    <s v="No"/>
    <n v="297046"/>
    <n v="36"/>
    <x v="2"/>
  </r>
  <r>
    <n v="87"/>
    <s v="HOMBRE"/>
    <n v="34735626"/>
    <x v="0"/>
    <x v="1"/>
    <s v="SI"/>
    <s v="NO"/>
    <s v="NO"/>
    <n v="38"/>
    <n v="0.28086100744983278"/>
    <s v="No"/>
    <n v="0.20237136473425188"/>
    <s v="No"/>
    <n v="34735626"/>
    <n v="38"/>
    <x v="0"/>
  </r>
  <r>
    <n v="88"/>
    <s v="MUJER"/>
    <n v="432031"/>
    <x v="0"/>
    <x v="0"/>
    <s v="SI"/>
    <s v="NO"/>
    <s v="SI"/>
    <n v="31"/>
    <n v="0.77488831798979529"/>
    <s v="No"/>
    <n v="0.36846467139186567"/>
    <s v="No"/>
    <n v="432031"/>
    <n v="31"/>
    <x v="0"/>
  </r>
  <r>
    <n v="89"/>
    <s v="HOMBRE"/>
    <n v="419292"/>
    <x v="3"/>
    <x v="1"/>
    <s v="SI"/>
    <s v="SI"/>
    <s v="NO"/>
    <n v="36"/>
    <n v="0.42201166760410774"/>
    <s v="No"/>
    <n v="0.36867665734448113"/>
    <s v="No"/>
    <n v="419292"/>
    <n v="36"/>
    <x v="3"/>
  </r>
  <r>
    <n v="90"/>
    <s v="MUJER"/>
    <n v="62203582"/>
    <x v="0"/>
    <x v="0"/>
    <s v="SI"/>
    <s v="NO"/>
    <s v="NO"/>
    <n v="30"/>
    <n v="0.84546364806693275"/>
    <s v="No"/>
    <n v="0.65945754253942379"/>
    <s v="No"/>
    <n v="62203582"/>
    <n v="30"/>
    <x v="0"/>
  </r>
  <r>
    <n v="91"/>
    <s v="HOMBRE"/>
    <n v="4831425"/>
    <x v="0"/>
    <x v="1"/>
    <s v="SI"/>
    <s v="NO"/>
    <s v="NO"/>
    <n v="33"/>
    <n v="0.63373765783552027"/>
    <s v="No"/>
    <n v="0.29525564964598083"/>
    <s v="No"/>
    <n v="4831425"/>
    <n v="33"/>
    <x v="0"/>
  </r>
  <r>
    <n v="92"/>
    <s v="HOMBRE"/>
    <n v="6093207"/>
    <x v="0"/>
    <x v="0"/>
    <s v="SI"/>
    <s v="NO"/>
    <s v="NO"/>
    <n v="39"/>
    <n v="0.21028567737269524"/>
    <s v="No"/>
    <n v="0.27425870645867689"/>
    <s v="No"/>
    <n v="6093207"/>
    <n v="39"/>
    <x v="0"/>
  </r>
  <r>
    <n v="93"/>
    <s v="HOMBRE"/>
    <n v="9829028"/>
    <x v="0"/>
    <x v="0"/>
    <s v="SI"/>
    <s v="NO"/>
    <s v="NO"/>
    <n v="49"/>
    <n v="0.49546762339867978"/>
    <s v="No"/>
    <n v="0.2120920078570665"/>
    <s v="No"/>
    <n v="9829028"/>
    <n v="49"/>
    <x v="0"/>
  </r>
  <r>
    <n v="94"/>
    <s v="MUJER"/>
    <n v="800002"/>
    <x v="0"/>
    <x v="1"/>
    <s v="SI"/>
    <s v="NO"/>
    <s v="NO"/>
    <n v="30"/>
    <n v="0.84546364806693275"/>
    <s v="No"/>
    <n v="0.36234137419664852"/>
    <s v="No"/>
    <n v="800002"/>
    <n v="30"/>
    <x v="0"/>
  </r>
  <r>
    <n v="95"/>
    <s v="HOMBRE"/>
    <n v="938875"/>
    <x v="0"/>
    <x v="1"/>
    <s v="SI"/>
    <s v="NO"/>
    <s v="NO"/>
    <n v="28"/>
    <n v="0.98661430822120777"/>
    <s v="No"/>
    <n v="0.36003042944450397"/>
    <s v="No"/>
    <n v="938875"/>
    <n v="28"/>
    <x v="0"/>
  </r>
  <r>
    <n v="96"/>
    <s v="MUJER"/>
    <n v="41262563"/>
    <x v="0"/>
    <x v="1"/>
    <s v="SI"/>
    <s v="NO"/>
    <s v="NO"/>
    <n v="26"/>
    <n v="1.1277649683754829"/>
    <s v="No"/>
    <n v="0.31098420385869041"/>
    <s v="No"/>
    <n v="41262563"/>
    <n v="26"/>
    <x v="0"/>
  </r>
  <r>
    <n v="97"/>
    <s v="HOMBRE"/>
    <n v="234334"/>
    <x v="0"/>
    <x v="1"/>
    <s v="SI"/>
    <s v="NO"/>
    <s v="NO"/>
    <n v="21"/>
    <n v="1.4806416187611704"/>
    <s v="No"/>
    <n v="0.37175448902858932"/>
    <s v="No"/>
    <n v="234334"/>
    <n v="21"/>
    <x v="0"/>
  </r>
  <r>
    <n v="98"/>
    <s v="MUJER"/>
    <n v="675720"/>
    <x v="0"/>
    <x v="0"/>
    <s v="SI"/>
    <s v="NO"/>
    <s v="NO"/>
    <n v="36"/>
    <n v="0.42201166760410774"/>
    <s v="No"/>
    <n v="0.36440951440882824"/>
    <s v="No"/>
    <n v="675720"/>
    <n v="36"/>
    <x v="0"/>
  </r>
  <r>
    <n v="99"/>
    <s v="MUJER"/>
    <n v="28374598"/>
    <x v="0"/>
    <x v="1"/>
    <s v="SI"/>
    <s v="NO"/>
    <s v="NO"/>
    <n v="22"/>
    <n v="1.4100662886840327"/>
    <s v="No"/>
    <n v="9.6519368487000087E-2"/>
    <s v="No"/>
    <n v="28374598"/>
    <n v="22"/>
    <x v="0"/>
  </r>
  <r>
    <n v="100"/>
    <s v="MUJER"/>
    <n v="37290384"/>
    <x v="0"/>
    <x v="0"/>
    <s v="SI"/>
    <s v="NO"/>
    <s v="NO"/>
    <n v="50"/>
    <n v="0.56604295347581735"/>
    <s v="No"/>
    <n v="0.24488434128908493"/>
    <s v="No"/>
    <n v="37290384"/>
    <n v="50"/>
    <x v="0"/>
  </r>
  <r>
    <n v="101"/>
    <s v="MUJER"/>
    <n v="300000"/>
    <x v="0"/>
    <x v="1"/>
    <s v="SI"/>
    <s v="NO"/>
    <s v="NO"/>
    <n v="33"/>
    <n v="0.63373765783552027"/>
    <s v="No"/>
    <n v="0.37066176043415894"/>
    <s v="No"/>
    <n v="300000"/>
    <n v="33"/>
    <x v="0"/>
  </r>
  <r>
    <n v="102"/>
    <s v="MUJER"/>
    <n v="377900"/>
    <x v="0"/>
    <x v="1"/>
    <s v="SI"/>
    <s v="NO"/>
    <s v="NO"/>
    <n v="57"/>
    <n v="1.0600702640157798"/>
    <s v="No"/>
    <n v="0.36936544944359878"/>
    <s v="No"/>
    <n v="377900"/>
    <n v="57"/>
    <x v="0"/>
  </r>
  <r>
    <n v="103"/>
    <s v="HOMBRE"/>
    <n v="300018"/>
    <x v="2"/>
    <x v="1"/>
    <s v="SI"/>
    <s v="NO"/>
    <s v="NO"/>
    <n v="63"/>
    <n v="1.4835222444786049"/>
    <s v="No"/>
    <n v="0.37066146090145252"/>
    <s v="No"/>
    <n v="300018"/>
    <n v="63"/>
    <x v="2"/>
  </r>
  <r>
    <n v="104"/>
    <s v="MUJER"/>
    <n v="30664332"/>
    <x v="0"/>
    <x v="1"/>
    <s v="SI"/>
    <s v="NO"/>
    <s v="NO"/>
    <n v="30"/>
    <n v="0.84546364806693275"/>
    <s v="No"/>
    <n v="0.13462215859815899"/>
    <s v="No"/>
    <n v="30664332"/>
    <n v="30"/>
    <x v="0"/>
  </r>
  <r>
    <n v="105"/>
    <s v="HOMBRE"/>
    <n v="462759"/>
    <x v="0"/>
    <x v="1"/>
    <s v="SI"/>
    <s v="NO"/>
    <s v="NO"/>
    <n v="35"/>
    <n v="0.49258699768124525"/>
    <s v="No"/>
    <n v="0.36795333578059564"/>
    <s v="No"/>
    <n v="462759"/>
    <n v="35"/>
    <x v="0"/>
  </r>
  <r>
    <n v="106"/>
    <s v="MUJER"/>
    <n v="1411236"/>
    <x v="0"/>
    <x v="0"/>
    <s v="SI"/>
    <s v="NO"/>
    <s v="NO"/>
    <n v="30"/>
    <n v="0.84546364806693275"/>
    <s v="No"/>
    <n v="0.3521700089591126"/>
    <s v="No"/>
    <n v="1411236"/>
    <n v="30"/>
    <x v="0"/>
  </r>
  <r>
    <n v="107"/>
    <s v="HOMBRE"/>
    <n v="310124"/>
    <x v="2"/>
    <x v="1"/>
    <s v="SI"/>
    <s v="NO"/>
    <s v="NO"/>
    <n v="51"/>
    <n v="0.6366182835529548"/>
    <s v="No"/>
    <n v="0.37049328992750385"/>
    <s v="No"/>
    <n v="310124"/>
    <n v="51"/>
    <x v="2"/>
  </r>
  <r>
    <n v="108"/>
    <s v="HOMBRE"/>
    <n v="505145"/>
    <x v="3"/>
    <x v="1"/>
    <s v="SI"/>
    <s v="SI"/>
    <s v="SI"/>
    <n v="30"/>
    <n v="0.84546364806693275"/>
    <s v="No"/>
    <n v="0.36724800281980124"/>
    <s v="No"/>
    <n v="505145"/>
    <n v="30"/>
    <x v="3"/>
  </r>
  <r>
    <n v="109"/>
    <s v="HOMBRE"/>
    <n v="386161"/>
    <x v="3"/>
    <x v="1"/>
    <s v="SI"/>
    <s v="NO"/>
    <s v="SI"/>
    <n v="44"/>
    <n v="0.14259097301299228"/>
    <s v="No"/>
    <n v="0.36922798057205813"/>
    <s v="No"/>
    <n v="386161"/>
    <n v="44"/>
    <x v="3"/>
  </r>
  <r>
    <n v="110"/>
    <s v="MUJER"/>
    <n v="2979735"/>
    <x v="0"/>
    <x v="0"/>
    <s v="SI"/>
    <s v="NO"/>
    <s v="NO"/>
    <n v="43"/>
    <n v="7.2015642935854773E-2"/>
    <s v="No"/>
    <n v="0.32606907837653726"/>
    <s v="No"/>
    <n v="2979735"/>
    <n v="43"/>
    <x v="0"/>
  </r>
  <r>
    <n v="111"/>
    <s v="MUJER"/>
    <n v="3380499"/>
    <x v="0"/>
    <x v="1"/>
    <s v="SI"/>
    <s v="NO"/>
    <s v="NO"/>
    <n v="43"/>
    <n v="7.2015642935854773E-2"/>
    <s v="No"/>
    <n v="0.31940008251234148"/>
    <s v="No"/>
    <n v="3380499"/>
    <n v="43"/>
    <x v="0"/>
  </r>
  <r>
    <n v="112"/>
    <s v="MUJER"/>
    <n v="298155"/>
    <x v="2"/>
    <x v="1"/>
    <s v="SI"/>
    <s v="NO"/>
    <s v="NO"/>
    <n v="47"/>
    <n v="0.35431696324440481"/>
    <s v="No"/>
    <n v="0.37069246253656696"/>
    <s v="No"/>
    <n v="298155"/>
    <n v="47"/>
    <x v="2"/>
  </r>
  <r>
    <n v="113"/>
    <s v="MUJER"/>
    <n v="27803099"/>
    <x v="4"/>
    <x v="1"/>
    <s v="SI"/>
    <s v="NO"/>
    <s v="NO"/>
    <n v="30"/>
    <n v="0.84546364806693275"/>
    <s v="No"/>
    <n v="8.7009221698885322E-2"/>
    <s v="No"/>
    <n v="27803099"/>
    <n v="30"/>
    <x v="4"/>
  </r>
  <r>
    <n v="114"/>
    <s v="MUJER"/>
    <n v="3820264"/>
    <x v="0"/>
    <x v="1"/>
    <s v="SI"/>
    <s v="NO"/>
    <s v="NO"/>
    <n v="44"/>
    <n v="0.14259097301299228"/>
    <s v="No"/>
    <n v="0.31208208247686409"/>
    <s v="No"/>
    <n v="3820264"/>
    <n v="44"/>
    <x v="0"/>
  </r>
  <r>
    <n v="115"/>
    <s v="MUJER"/>
    <n v="23948557"/>
    <x v="0"/>
    <x v="1"/>
    <s v="SI"/>
    <s v="NO"/>
    <s v="NO"/>
    <n v="21"/>
    <n v="1.4806416187611704"/>
    <s v="No"/>
    <n v="2.2866921850672985E-2"/>
    <s v="No"/>
    <n v="23948557"/>
    <n v="21"/>
    <x v="0"/>
  </r>
  <r>
    <n v="116"/>
    <s v="HOMBRE"/>
    <n v="67287347"/>
    <x v="0"/>
    <x v="1"/>
    <s v="SI"/>
    <s v="SI"/>
    <s v="NO"/>
    <n v="32"/>
    <n v="0.70431298791265773"/>
    <s v="No"/>
    <n v="0.74405498083114485"/>
    <s v="No"/>
    <n v="67287347"/>
    <n v="32"/>
    <x v="0"/>
  </r>
  <r>
    <n v="117"/>
    <s v="MUJER"/>
    <n v="995442"/>
    <x v="0"/>
    <x v="1"/>
    <s v="SI"/>
    <s v="SI"/>
    <s v="SI"/>
    <n v="52"/>
    <n v="0.70719361363009237"/>
    <s v="No"/>
    <n v="0.35908911463316873"/>
    <s v="No"/>
    <n v="995442"/>
    <n v="52"/>
    <x v="0"/>
  </r>
  <r>
    <n v="118"/>
    <s v="HOMBRE"/>
    <n v="65986458"/>
    <x v="0"/>
    <x v="1"/>
    <s v="SI"/>
    <s v="NO"/>
    <s v="NO"/>
    <n v="27"/>
    <n v="1.0571896382983452"/>
    <s v="No"/>
    <n v="0.7224072695577326"/>
    <s v="No"/>
    <n v="65986458"/>
    <n v="27"/>
    <x v="0"/>
  </r>
  <r>
    <n v="119"/>
    <s v="HOMBRE"/>
    <n v="6817587"/>
    <x v="0"/>
    <x v="1"/>
    <s v="SI"/>
    <s v="NO"/>
    <s v="NO"/>
    <n v="30"/>
    <n v="0.84546364806693275"/>
    <s v="No"/>
    <n v="0.26220451190999949"/>
    <s v="No"/>
    <n v="6817587"/>
    <n v="30"/>
    <x v="0"/>
  </r>
  <r>
    <n v="120"/>
    <s v="MUJER"/>
    <n v="297046"/>
    <x v="2"/>
    <x v="1"/>
    <s v="SI"/>
    <s v="SI"/>
    <s v="SI"/>
    <n v="37"/>
    <n v="0.35143633752697023"/>
    <s v="No"/>
    <n v="0.37071091707942361"/>
    <s v="No"/>
    <n v="297046"/>
    <n v="37"/>
    <x v="2"/>
  </r>
  <r>
    <n v="121"/>
    <s v="MUJER"/>
    <n v="14992963"/>
    <x v="0"/>
    <x v="1"/>
    <s v="SI"/>
    <s v="SI"/>
    <s v="NO"/>
    <n v="28"/>
    <n v="0.98661430822120777"/>
    <s v="No"/>
    <n v="0.12616048417236458"/>
    <s v="No"/>
    <n v="14992963"/>
    <n v="28"/>
    <x v="0"/>
  </r>
  <r>
    <n v="122"/>
    <s v="MUJER"/>
    <n v="297514"/>
    <x v="2"/>
    <x v="1"/>
    <s v="SI"/>
    <s v="NO"/>
    <s v="NO"/>
    <n v="45"/>
    <n v="0.21316630309012977"/>
    <s v="No"/>
    <n v="0.37070312922905668"/>
    <s v="No"/>
    <n v="297514"/>
    <n v="45"/>
    <x v="2"/>
  </r>
  <r>
    <n v="123"/>
    <s v="MUJER"/>
    <n v="297062"/>
    <x v="2"/>
    <x v="1"/>
    <s v="SI"/>
    <s v="NO"/>
    <s v="NO"/>
    <n v="40"/>
    <n v="0.13971034729555773"/>
    <s v="No"/>
    <n v="0.37071065082812898"/>
    <s v="No"/>
    <n v="297062"/>
    <n v="40"/>
    <x v="2"/>
  </r>
  <r>
    <n v="124"/>
    <s v="HOMBRE"/>
    <n v="1179097"/>
    <x v="0"/>
    <x v="1"/>
    <s v="SI"/>
    <s v="NO"/>
    <s v="NO"/>
    <n v="41"/>
    <n v="6.9135017218420233E-2"/>
    <s v="No"/>
    <n v="0.35603296578886418"/>
    <s v="No"/>
    <n v="1179097"/>
    <n v="41"/>
    <x v="0"/>
  </r>
  <r>
    <n v="125"/>
    <s v="HOMBRE"/>
    <n v="300018"/>
    <x v="2"/>
    <x v="1"/>
    <s v="SI"/>
    <s v="NO"/>
    <s v="NO"/>
    <n v="82"/>
    <n v="2.8244535159442172"/>
    <s v="Sí"/>
    <n v="0.37066146090145252"/>
    <s v="No"/>
    <n v="300018"/>
    <n v="82"/>
    <x v="2"/>
  </r>
  <r>
    <n v="126"/>
    <s v="MUJER"/>
    <n v="36699625"/>
    <x v="0"/>
    <x v="1"/>
    <s v="SI"/>
    <s v="NO"/>
    <s v="NO"/>
    <n v="44"/>
    <n v="0.14259097301299228"/>
    <s v="No"/>
    <n v="0.23505369450510122"/>
    <s v="No"/>
    <n v="36699625"/>
    <n v="44"/>
    <x v="0"/>
  </r>
  <r>
    <n v="127"/>
    <s v="MUJER"/>
    <n v="97671218"/>
    <x v="0"/>
    <x v="1"/>
    <s v="SI"/>
    <s v="NO"/>
    <s v="NO"/>
    <n v="32"/>
    <n v="0.70431298791265773"/>
    <s v="No"/>
    <n v="1.2496640426162811"/>
    <s v="No"/>
    <n v="97671218"/>
    <n v="32"/>
    <x v="0"/>
  </r>
  <r>
    <n v="128"/>
    <s v="MUJER"/>
    <n v="212500"/>
    <x v="0"/>
    <x v="1"/>
    <s v="SI"/>
    <s v="SI"/>
    <s v="NO"/>
    <n v="45"/>
    <n v="0.21316630309012977"/>
    <s v="No"/>
    <n v="0.37211782220147621"/>
    <s v="No"/>
    <n v="212500"/>
    <n v="45"/>
    <x v="0"/>
  </r>
  <r>
    <n v="129"/>
    <s v="HOMBRE"/>
    <n v="300018"/>
    <x v="3"/>
    <x v="1"/>
    <s v="SI"/>
    <s v="NO"/>
    <s v="NO"/>
    <n v="58"/>
    <n v="1.1306455940929174"/>
    <s v="No"/>
    <n v="0.37066146090145252"/>
    <s v="No"/>
    <n v="300018"/>
    <n v="58"/>
    <x v="3"/>
  </r>
  <r>
    <n v="130"/>
    <s v="HOMBRE"/>
    <n v="489327"/>
    <x v="0"/>
    <x v="0"/>
    <s v="SI"/>
    <s v="NO"/>
    <s v="NO"/>
    <n v="33"/>
    <n v="0.63373765783552027"/>
    <s v="No"/>
    <n v="0.36751122550592041"/>
    <s v="No"/>
    <n v="489327"/>
    <n v="33"/>
    <x v="0"/>
  </r>
  <r>
    <n v="131"/>
    <s v="MUJER"/>
    <n v="299647"/>
    <x v="2"/>
    <x v="1"/>
    <s v="SI"/>
    <s v="NO"/>
    <s v="NO"/>
    <n v="50"/>
    <n v="0.56604295347581735"/>
    <s v="No"/>
    <n v="0.37066763460334595"/>
    <s v="No"/>
    <n v="299647"/>
    <n v="50"/>
    <x v="2"/>
  </r>
  <r>
    <n v="132"/>
    <s v="HOMBRE"/>
    <n v="109366656"/>
    <x v="0"/>
    <x v="1"/>
    <s v="SI"/>
    <s v="NO"/>
    <s v="SI"/>
    <n v="55"/>
    <n v="0.91891960386150484"/>
    <s v="No"/>
    <n v="1.4442843868886166"/>
    <s v="No"/>
    <n v="109366656"/>
    <n v="55"/>
    <x v="0"/>
  </r>
  <r>
    <n v="133"/>
    <s v="HOMBRE"/>
    <n v="67762604"/>
    <x v="0"/>
    <x v="1"/>
    <s v="SI"/>
    <s v="NO"/>
    <s v="NO"/>
    <n v="57"/>
    <n v="1.0600702640157798"/>
    <s v="No"/>
    <n v="0.75196359280085801"/>
    <s v="No"/>
    <n v="67762604"/>
    <n v="57"/>
    <x v="0"/>
  </r>
  <r>
    <n v="134"/>
    <s v="HOMBRE"/>
    <n v="46206322"/>
    <x v="0"/>
    <x v="1"/>
    <s v="SI"/>
    <s v="NO"/>
    <s v="NO"/>
    <n v="54"/>
    <n v="0.84834427378436728"/>
    <s v="No"/>
    <n v="0.39325184347846837"/>
    <s v="No"/>
    <n v="46206322"/>
    <n v="54"/>
    <x v="0"/>
  </r>
  <r>
    <n v="135"/>
    <s v="HOMBRE"/>
    <n v="9667905"/>
    <x v="0"/>
    <x v="0"/>
    <s v="SI"/>
    <s v="NO"/>
    <s v="NO"/>
    <n v="43"/>
    <n v="7.2015642935854773E-2"/>
    <s v="No"/>
    <n v="0.21477320831575747"/>
    <s v="No"/>
    <n v="9667905"/>
    <n v="43"/>
    <x v="0"/>
  </r>
  <r>
    <n v="136"/>
    <s v="HOMBRE"/>
    <n v="31824284"/>
    <x v="0"/>
    <x v="0"/>
    <s v="SI"/>
    <s v="NO"/>
    <s v="NO"/>
    <n v="59"/>
    <n v="1.2012209241700549"/>
    <s v="No"/>
    <n v="0.15392457870242393"/>
    <s v="No"/>
    <n v="31824284"/>
    <n v="59"/>
    <x v="0"/>
  </r>
  <r>
    <n v="137"/>
    <s v="HOMBRE"/>
    <n v="141113497"/>
    <x v="0"/>
    <x v="1"/>
    <s v="SI"/>
    <s v="NO"/>
    <s v="NO"/>
    <n v="31"/>
    <n v="0.77488831798979529"/>
    <s v="No"/>
    <n v="1.9725742316109003"/>
    <s v="Sí"/>
    <n v="141113497"/>
    <n v="31"/>
    <x v="0"/>
  </r>
  <r>
    <n v="138"/>
    <s v="MUJER"/>
    <n v="402904"/>
    <x v="6"/>
    <x v="1"/>
    <s v="SI"/>
    <s v="SI"/>
    <s v="NO"/>
    <n v="24"/>
    <n v="1.2689156285297578"/>
    <s v="No"/>
    <n v="0.36894936523297023"/>
    <s v="No"/>
    <n v="402904"/>
    <n v="24"/>
    <x v="5"/>
  </r>
  <r>
    <n v="139"/>
    <s v="HOMBRE"/>
    <n v="35690388"/>
    <x v="0"/>
    <x v="1"/>
    <s v="SI"/>
    <s v="NO"/>
    <s v="NO"/>
    <n v="43"/>
    <n v="7.2015642935854773E-2"/>
    <s v="No"/>
    <n v="0.21825927839239309"/>
    <s v="No"/>
    <n v="35690388"/>
    <n v="43"/>
    <x v="0"/>
  </r>
  <r>
    <n v="140"/>
    <s v="HOMBRE"/>
    <n v="278035"/>
    <x v="2"/>
    <x v="1"/>
    <s v="SI"/>
    <s v="NO"/>
    <s v="NO"/>
    <n v="41"/>
    <n v="6.9135017218420233E-2"/>
    <s v="No"/>
    <n v="0.37102727353952036"/>
    <s v="No"/>
    <n v="278035"/>
    <n v="41"/>
    <x v="2"/>
  </r>
  <r>
    <n v="141"/>
    <s v="MUJER"/>
    <n v="297046"/>
    <x v="3"/>
    <x v="1"/>
    <s v="SI"/>
    <s v="NO"/>
    <s v="NO"/>
    <n v="65"/>
    <n v="1.6246729046328798"/>
    <s v="No"/>
    <n v="0.37071091707942361"/>
    <s v="No"/>
    <n v="297046"/>
    <n v="65"/>
    <x v="3"/>
  </r>
  <r>
    <n v="142"/>
    <s v="MUJER"/>
    <n v="400000"/>
    <x v="0"/>
    <x v="1"/>
    <s v="SI"/>
    <s v="NO"/>
    <s v="NO"/>
    <n v="46"/>
    <n v="0.2837416331672673"/>
    <s v="No"/>
    <n v="0.36899768984293924"/>
    <s v="No"/>
    <n v="400000"/>
    <n v="46"/>
    <x v="0"/>
  </r>
  <r>
    <n v="143"/>
    <s v="MUJER"/>
    <n v="49711436"/>
    <x v="0"/>
    <x v="0"/>
    <s v="SI"/>
    <s v="NO"/>
    <s v="NO"/>
    <n v="28"/>
    <n v="0.98661430822120777"/>
    <s v="No"/>
    <n v="0.45157941474119351"/>
    <s v="No"/>
    <n v="49711436"/>
    <n v="28"/>
    <x v="0"/>
  </r>
  <r>
    <n v="144"/>
    <s v="HOMBRE"/>
    <n v="270074"/>
    <x v="0"/>
    <x v="1"/>
    <s v="SI"/>
    <s v="NO"/>
    <s v="SI"/>
    <n v="60"/>
    <n v="1.2717962542471923"/>
    <s v="No"/>
    <n v="0.37115975019928737"/>
    <s v="No"/>
    <n v="270074"/>
    <n v="60"/>
    <x v="0"/>
  </r>
  <r>
    <n v="145"/>
    <s v="HOMBRE"/>
    <n v="68066864"/>
    <x v="0"/>
    <x v="1"/>
    <s v="SI"/>
    <s v="NO"/>
    <s v="NO"/>
    <n v="37"/>
    <n v="0.35143633752697023"/>
    <s v="No"/>
    <n v="0.75702669398170308"/>
    <s v="No"/>
    <n v="68066864"/>
    <n v="37"/>
    <x v="0"/>
  </r>
  <r>
    <n v="146"/>
    <s v="MUJER"/>
    <n v="148500"/>
    <x v="0"/>
    <x v="1"/>
    <s v="SI"/>
    <s v="NO"/>
    <s v="NO"/>
    <n v="50"/>
    <n v="0.56604295347581735"/>
    <s v="No"/>
    <n v="0.37318282737985681"/>
    <s v="No"/>
    <n v="148500"/>
    <n v="50"/>
    <x v="0"/>
  </r>
  <r>
    <n v="147"/>
    <s v="MUJER"/>
    <n v="372323"/>
    <x v="0"/>
    <x v="0"/>
    <s v="SI"/>
    <s v="NO"/>
    <s v="NO"/>
    <n v="29"/>
    <n v="0.91603897814407031"/>
    <s v="No"/>
    <n v="0.36945825466047111"/>
    <s v="No"/>
    <n v="372323"/>
    <n v="29"/>
    <x v="0"/>
  </r>
  <r>
    <n v="148"/>
    <s v="MUJER"/>
    <n v="10692898"/>
    <x v="1"/>
    <x v="0"/>
    <s v="SI"/>
    <s v="NO"/>
    <s v="NO"/>
    <n v="86"/>
    <n v="3.1067548362527675"/>
    <s v="Sí"/>
    <n v="0.19771660124069673"/>
    <s v="No"/>
    <n v="10692898"/>
    <n v="86"/>
    <x v="1"/>
  </r>
  <r>
    <n v="149"/>
    <s v="MUJER"/>
    <n v="258000"/>
    <x v="0"/>
    <x v="1"/>
    <s v="SI"/>
    <s v="NO"/>
    <s v="NO"/>
    <n v="30"/>
    <n v="0.84546364806693275"/>
    <s v="No"/>
    <n v="0.37136067008247126"/>
    <s v="No"/>
    <n v="258000"/>
    <n v="30"/>
    <x v="0"/>
  </r>
  <r>
    <n v="150"/>
    <s v="MUJER"/>
    <n v="304345"/>
    <x v="2"/>
    <x v="1"/>
    <s v="SI"/>
    <s v="NO"/>
    <s v="NO"/>
    <n v="50"/>
    <n v="0.56604295347581735"/>
    <s v="No"/>
    <n v="0.37058945656697045"/>
    <s v="No"/>
    <n v="304345"/>
    <n v="50"/>
    <x v="2"/>
  </r>
  <r>
    <n v="151"/>
    <s v="MUJER"/>
    <n v="299647"/>
    <x v="5"/>
    <x v="1"/>
    <s v="SI"/>
    <s v="NO"/>
    <s v="NO"/>
    <n v="40"/>
    <n v="0.13971034729555773"/>
    <s v="No"/>
    <n v="0.37066763460334595"/>
    <s v="No"/>
    <n v="299647"/>
    <n v="40"/>
    <x v="0"/>
  </r>
  <r>
    <n v="152"/>
    <s v="HOMBRE"/>
    <n v="253472"/>
    <x v="0"/>
    <x v="1"/>
    <s v="SI"/>
    <s v="SI"/>
    <s v="NO"/>
    <n v="21"/>
    <n v="1.4806416187611704"/>
    <s v="No"/>
    <n v="0.37143601919884167"/>
    <s v="No"/>
    <n v="253472"/>
    <n v="21"/>
    <x v="0"/>
  </r>
  <r>
    <n v="153"/>
    <s v="HOMBRE"/>
    <n v="851079"/>
    <x v="0"/>
    <x v="1"/>
    <s v="SI"/>
    <s v="NO"/>
    <s v="NO"/>
    <n v="58"/>
    <n v="1.1306455940929174"/>
    <s v="No"/>
    <n v="0.36149141686077124"/>
    <s v="No"/>
    <n v="851079"/>
    <n v="58"/>
    <x v="0"/>
  </r>
  <r>
    <n v="154"/>
    <s v="MUJER"/>
    <n v="3539115"/>
    <x v="0"/>
    <x v="0"/>
    <s v="SI"/>
    <s v="NO"/>
    <s v="NO"/>
    <n v="41"/>
    <n v="6.9135017218420233E-2"/>
    <s v="No"/>
    <n v="0.31676060030337239"/>
    <s v="No"/>
    <n v="3539115"/>
    <n v="41"/>
    <x v="0"/>
  </r>
  <r>
    <n v="155"/>
    <s v="MUJER"/>
    <n v="513465"/>
    <x v="0"/>
    <x v="1"/>
    <s v="SI"/>
    <s v="NO"/>
    <s v="NO"/>
    <n v="49"/>
    <n v="0.49546762339867978"/>
    <s v="No"/>
    <n v="0.36710955214661178"/>
    <s v="No"/>
    <n v="513465"/>
    <n v="49"/>
    <x v="0"/>
  </r>
  <r>
    <n v="156"/>
    <s v="HOMBRE"/>
    <n v="300018"/>
    <x v="2"/>
    <x v="1"/>
    <s v="SI"/>
    <s v="NO"/>
    <s v="NO"/>
    <n v="57"/>
    <n v="1.0600702640157798"/>
    <s v="No"/>
    <n v="0.37066146090145252"/>
    <s v="No"/>
    <n v="300018"/>
    <n v="57"/>
    <x v="2"/>
  </r>
  <r>
    <n v="157"/>
    <s v="HOMBRE"/>
    <n v="65949108"/>
    <x v="0"/>
    <x v="1"/>
    <s v="SI"/>
    <s v="NO"/>
    <s v="NO"/>
    <n v="27"/>
    <n v="1.0571896382983452"/>
    <s v="No"/>
    <n v="0.72178573919191202"/>
    <s v="No"/>
    <n v="65949108"/>
    <n v="27"/>
    <x v="0"/>
  </r>
  <r>
    <n v="158"/>
    <s v="HOMBRE"/>
    <n v="356000"/>
    <x v="0"/>
    <x v="1"/>
    <s v="SI"/>
    <s v="NO"/>
    <s v="SI"/>
    <n v="56"/>
    <n v="0.9894949339386423"/>
    <s v="No"/>
    <n v="0.3697298809030759"/>
    <s v="No"/>
    <n v="356000"/>
    <n v="56"/>
    <x v="0"/>
  </r>
  <r>
    <n v="159"/>
    <s v="HOMBRE"/>
    <n v="315941"/>
    <x v="0"/>
    <x v="1"/>
    <s v="SI"/>
    <s v="SI"/>
    <s v="NO"/>
    <n v="52"/>
    <n v="0.70719361363009237"/>
    <s v="No"/>
    <n v="0.37039649094121263"/>
    <s v="No"/>
    <n v="315941"/>
    <n v="52"/>
    <x v="0"/>
  </r>
  <r>
    <n v="160"/>
    <s v="HOMBRE"/>
    <n v="42750638"/>
    <x v="4"/>
    <x v="1"/>
    <s v="SI"/>
    <s v="NO"/>
    <s v="NO"/>
    <n v="28"/>
    <n v="0.98661430822120777"/>
    <s v="No"/>
    <n v="0.33574682230898317"/>
    <s v="No"/>
    <n v="42750638"/>
    <n v="28"/>
    <x v="4"/>
  </r>
  <r>
    <n v="161"/>
    <s v="HOMBRE"/>
    <n v="299441"/>
    <x v="3"/>
    <x v="1"/>
    <s v="SI"/>
    <s v="NO"/>
    <s v="NO"/>
    <n v="54"/>
    <n v="0.84834427378436728"/>
    <s v="No"/>
    <n v="0.37067106258876387"/>
    <s v="No"/>
    <n v="299441"/>
    <n v="54"/>
    <x v="3"/>
  </r>
  <r>
    <n v="162"/>
    <s v="HOMBRE"/>
    <n v="360458"/>
    <x v="0"/>
    <x v="0"/>
    <s v="SI"/>
    <s v="NO"/>
    <s v="NO"/>
    <n v="30"/>
    <n v="0.84546364806693275"/>
    <s v="No"/>
    <n v="0.36965569663611936"/>
    <s v="No"/>
    <n v="360458"/>
    <n v="30"/>
    <x v="0"/>
  </r>
  <r>
    <n v="163"/>
    <s v="HOMBRE"/>
    <n v="297050"/>
    <x v="3"/>
    <x v="1"/>
    <s v="SI"/>
    <s v="NO"/>
    <s v="NO"/>
    <n v="46"/>
    <n v="0.2837416331672673"/>
    <s v="No"/>
    <n v="0.37071085051659991"/>
    <s v="No"/>
    <n v="297050"/>
    <n v="46"/>
    <x v="3"/>
  </r>
  <r>
    <n v="164"/>
    <s v="HOMBRE"/>
    <n v="3386596"/>
    <x v="0"/>
    <x v="1"/>
    <s v="SI"/>
    <s v="SI"/>
    <s v="NO"/>
    <n v="33"/>
    <n v="0.63373765783552027"/>
    <s v="No"/>
    <n v="0.31929862412839477"/>
    <s v="No"/>
    <n v="3386596"/>
    <n v="33"/>
    <x v="0"/>
  </r>
  <r>
    <n v="165"/>
    <s v="HOMBRE"/>
    <n v="460590154"/>
    <x v="0"/>
    <x v="0"/>
    <s v="SI"/>
    <s v="NO"/>
    <s v="NO"/>
    <n v="68"/>
    <n v="1.8363988948642924"/>
    <s v="No"/>
    <n v="7.2888913265597903"/>
    <s v="Sí"/>
    <n v="460590154"/>
    <n v="68"/>
    <x v="0"/>
  </r>
  <r>
    <n v="166"/>
    <s v="HOMBRE"/>
    <n v="299647"/>
    <x v="2"/>
    <x v="1"/>
    <s v="SI"/>
    <s v="NO"/>
    <s v="NO"/>
    <n v="68"/>
    <n v="1.8363988948642924"/>
    <s v="No"/>
    <n v="0.37066763460334595"/>
    <s v="No"/>
    <n v="299647"/>
    <n v="68"/>
    <x v="2"/>
  </r>
  <r>
    <n v="167"/>
    <s v="MUJER"/>
    <n v="111053"/>
    <x v="0"/>
    <x v="1"/>
    <s v="SI"/>
    <s v="NO"/>
    <s v="NO"/>
    <n v="54"/>
    <n v="0.84834427378436728"/>
    <s v="No"/>
    <n v="0.37380597189415088"/>
    <s v="No"/>
    <n v="111053"/>
    <n v="54"/>
    <x v="0"/>
  </r>
  <r>
    <n v="168"/>
    <s v="HOMBRE"/>
    <n v="371304"/>
    <x v="3"/>
    <x v="1"/>
    <s v="SI"/>
    <s v="NO"/>
    <s v="SI"/>
    <n v="46"/>
    <n v="0.2837416331672673"/>
    <s v="No"/>
    <n v="0.36947521153979562"/>
    <s v="No"/>
    <n v="371304"/>
    <n v="46"/>
    <x v="3"/>
  </r>
  <r>
    <n v="169"/>
    <s v="MUJER"/>
    <n v="67236554"/>
    <x v="0"/>
    <x v="1"/>
    <s v="SI"/>
    <s v="NO"/>
    <s v="NO"/>
    <n v="38"/>
    <n v="0.28086100744983278"/>
    <s v="No"/>
    <n v="0.74320974945574669"/>
    <s v="No"/>
    <n v="67236554"/>
    <n v="38"/>
    <x v="0"/>
  </r>
  <r>
    <n v="170"/>
    <s v="HOMBRE"/>
    <n v="475269"/>
    <x v="3"/>
    <x v="1"/>
    <s v="SI"/>
    <s v="NO"/>
    <s v="SI"/>
    <n v="63"/>
    <n v="1.4835222444786049"/>
    <s v="No"/>
    <n v="0.36774516054963408"/>
    <s v="No"/>
    <n v="475269"/>
    <n v="63"/>
    <x v="3"/>
  </r>
  <r>
    <n v="171"/>
    <s v="HOMBRE"/>
    <n v="360420"/>
    <x v="3"/>
    <x v="1"/>
    <s v="SI"/>
    <s v="NO"/>
    <s v="SI"/>
    <n v="33"/>
    <n v="0.63373765783552027"/>
    <s v="No"/>
    <n v="0.36965632898294398"/>
    <s v="No"/>
    <n v="360420"/>
    <n v="33"/>
    <x v="3"/>
  </r>
  <r>
    <n v="172"/>
    <s v="HOMBRE"/>
    <n v="278030"/>
    <x v="4"/>
    <x v="1"/>
    <s v="SI"/>
    <s v="NO"/>
    <s v="NO"/>
    <n v="48"/>
    <n v="0.42489229332154227"/>
    <s v="No"/>
    <n v="0.37102735674304993"/>
    <s v="No"/>
    <n v="278030"/>
    <n v="48"/>
    <x v="4"/>
  </r>
  <r>
    <n v="173"/>
    <s v="HOMBRE"/>
    <n v="47254614"/>
    <x v="0"/>
    <x v="1"/>
    <s v="SI"/>
    <s v="NO"/>
    <s v="NO"/>
    <n v="28"/>
    <n v="0.98661430822120777"/>
    <s v="No"/>
    <n v="0.41069616236057738"/>
    <s v="No"/>
    <n v="47254614"/>
    <n v="28"/>
    <x v="0"/>
  </r>
  <r>
    <n v="174"/>
    <s v="HOMBRE"/>
    <n v="1110262"/>
    <x v="0"/>
    <x v="1"/>
    <s v="SI"/>
    <s v="NO"/>
    <s v="NO"/>
    <n v="23"/>
    <n v="1.3394909586068953"/>
    <s v="No"/>
    <n v="0.35717842878033024"/>
    <s v="No"/>
    <n v="1110262"/>
    <n v="23"/>
    <x v="0"/>
  </r>
  <r>
    <n v="175"/>
    <s v="MUJER"/>
    <n v="4442592"/>
    <x v="0"/>
    <x v="1"/>
    <s v="SI"/>
    <s v="NO"/>
    <s v="NO"/>
    <n v="28"/>
    <n v="0.98661430822120777"/>
    <s v="No"/>
    <n v="0.30172610524793825"/>
    <s v="No"/>
    <n v="4442592"/>
    <n v="28"/>
    <x v="0"/>
  </r>
  <r>
    <n v="176"/>
    <s v="HOMBRE"/>
    <n v="79380112"/>
    <x v="0"/>
    <x v="1"/>
    <s v="SI"/>
    <s v="SI"/>
    <s v="NO"/>
    <n v="36"/>
    <n v="0.42201166760410774"/>
    <s v="No"/>
    <n v="0.945287126861456"/>
    <s v="No"/>
    <n v="79380112"/>
    <n v="36"/>
    <x v="0"/>
  </r>
  <r>
    <n v="177"/>
    <s v="MUJER"/>
    <n v="50496325"/>
    <x v="0"/>
    <x v="1"/>
    <s v="SI"/>
    <s v="NO"/>
    <s v="NO"/>
    <n v="44"/>
    <n v="0.14259097301299228"/>
    <s v="No"/>
    <n v="0.46464052176391202"/>
    <s v="No"/>
    <n v="50496325"/>
    <n v="44"/>
    <x v="0"/>
  </r>
  <r>
    <n v="178"/>
    <s v="HOMBRE"/>
    <n v="3458025"/>
    <x v="0"/>
    <x v="1"/>
    <s v="SI"/>
    <s v="NO"/>
    <s v="NO"/>
    <n v="52"/>
    <n v="0.70719361363009237"/>
    <s v="No"/>
    <n v="0.31810999514579247"/>
    <s v="No"/>
    <n v="3458025"/>
    <n v="52"/>
    <x v="0"/>
  </r>
  <r>
    <n v="179"/>
    <s v="HOMBRE"/>
    <n v="413497"/>
    <x v="3"/>
    <x v="1"/>
    <s v="SI"/>
    <s v="NO"/>
    <s v="SI"/>
    <n v="54"/>
    <n v="0.84834427378436728"/>
    <s v="No"/>
    <n v="0.3687730902352423"/>
    <s v="No"/>
    <n v="413497"/>
    <n v="54"/>
    <x v="3"/>
  </r>
  <r>
    <n v="180"/>
    <s v="HOMBRE"/>
    <n v="683560"/>
    <x v="0"/>
    <x v="0"/>
    <s v="SI"/>
    <s v="NO"/>
    <s v="NO"/>
    <n v="61"/>
    <n v="1.3423715843243298"/>
    <s v="No"/>
    <n v="0.36427905127447663"/>
    <s v="No"/>
    <n v="683560"/>
    <n v="61"/>
    <x v="0"/>
  </r>
  <r>
    <n v="181"/>
    <s v="HOMBRE"/>
    <n v="375000"/>
    <x v="0"/>
    <x v="1"/>
    <s v="SI"/>
    <s v="NO"/>
    <s v="SI"/>
    <n v="27"/>
    <n v="1.0571896382983452"/>
    <s v="No"/>
    <n v="0.36941370749074415"/>
    <s v="No"/>
    <n v="375000"/>
    <n v="27"/>
    <x v="0"/>
  </r>
  <r>
    <n v="182"/>
    <s v="MUJER"/>
    <n v="1244526"/>
    <x v="0"/>
    <x v="1"/>
    <s v="SI"/>
    <s v="NO"/>
    <s v="NO"/>
    <n v="26"/>
    <n v="1.1277649683754829"/>
    <s v="No"/>
    <n v="0.35494418104173497"/>
    <s v="No"/>
    <n v="1244526"/>
    <n v="26"/>
    <x v="0"/>
  </r>
  <r>
    <n v="183"/>
    <s v="MUJER"/>
    <n v="1379419"/>
    <x v="1"/>
    <x v="0"/>
    <s v="SI"/>
    <s v="NO"/>
    <s v="NO"/>
    <n v="70"/>
    <n v="1.9775495550185673"/>
    <s v="Sí"/>
    <n v="0.35269946629912097"/>
    <s v="No"/>
    <n v="1379419"/>
    <n v="70"/>
    <x v="1"/>
  </r>
  <r>
    <n v="184"/>
    <s v="MUJER"/>
    <n v="987935"/>
    <x v="0"/>
    <x v="0"/>
    <s v="SI"/>
    <s v="NO"/>
    <s v="NO"/>
    <n v="36"/>
    <n v="0.42201166760410774"/>
    <s v="No"/>
    <n v="0.35921403641245159"/>
    <s v="No"/>
    <n v="987935"/>
    <n v="36"/>
    <x v="0"/>
  </r>
  <r>
    <n v="185"/>
    <s v="HOMBRE"/>
    <n v="3734653"/>
    <x v="0"/>
    <x v="1"/>
    <s v="SI"/>
    <s v="NO"/>
    <s v="NO"/>
    <n v="39"/>
    <n v="0.21028567737269524"/>
    <s v="No"/>
    <n v="0.31350670995071317"/>
    <s v="No"/>
    <n v="3734653"/>
    <n v="39"/>
    <x v="0"/>
  </r>
  <r>
    <n v="186"/>
    <s v="HOMBRE"/>
    <n v="165495"/>
    <x v="0"/>
    <x v="1"/>
    <s v="SI"/>
    <s v="NO"/>
    <s v="NO"/>
    <n v="59"/>
    <n v="1.2012209241700549"/>
    <s v="No"/>
    <n v="0.37290001858287902"/>
    <s v="No"/>
    <n v="165495"/>
    <n v="59"/>
    <x v="0"/>
  </r>
  <r>
    <n v="187"/>
    <s v="MUJER"/>
    <n v="297046"/>
    <x v="2"/>
    <x v="1"/>
    <s v="SI"/>
    <s v="NO"/>
    <s v="NO"/>
    <n v="64"/>
    <n v="1.5540975745557424"/>
    <s v="No"/>
    <n v="0.37071091707942361"/>
    <s v="No"/>
    <n v="297046"/>
    <n v="64"/>
    <x v="2"/>
  </r>
  <r>
    <n v="188"/>
    <s v="MUJER"/>
    <n v="2050000"/>
    <x v="0"/>
    <x v="1"/>
    <s v="SI"/>
    <s v="NO"/>
    <s v="NO"/>
    <n v="46"/>
    <n v="0.2837416331672673"/>
    <s v="No"/>
    <n v="0.34154052508781391"/>
    <s v="No"/>
    <n v="2050000"/>
    <n v="46"/>
    <x v="0"/>
  </r>
  <r>
    <n v="189"/>
    <s v="MUJER"/>
    <n v="297045"/>
    <x v="3"/>
    <x v="1"/>
    <s v="SI"/>
    <s v="NO"/>
    <s v="SI"/>
    <n v="38"/>
    <n v="0.28086100744983278"/>
    <s v="No"/>
    <n v="0.37071093372012948"/>
    <s v="No"/>
    <n v="297045"/>
    <n v="38"/>
    <x v="3"/>
  </r>
  <r>
    <n v="190"/>
    <s v="MUJER"/>
    <n v="297045"/>
    <x v="3"/>
    <x v="1"/>
    <s v="NO"/>
    <s v="NO"/>
    <s v="SI"/>
    <n v="42"/>
    <n v="1.4403128587172659E-3"/>
    <s v="No"/>
    <n v="0.37071093372012948"/>
    <s v="No"/>
    <n v="297045"/>
    <n v="42"/>
    <x v="3"/>
  </r>
  <r>
    <n v="191"/>
    <s v="MUJER"/>
    <n v="405063"/>
    <x v="3"/>
    <x v="1"/>
    <s v="SI"/>
    <s v="NO"/>
    <s v="SI"/>
    <n v="69"/>
    <n v="1.9069742249414299"/>
    <s v="No"/>
    <n v="0.3689134379489058"/>
    <s v="No"/>
    <n v="405063"/>
    <n v="69"/>
    <x v="3"/>
  </r>
  <r>
    <n v="192"/>
    <s v="MUJER"/>
    <n v="49620833"/>
    <x v="0"/>
    <x v="1"/>
    <s v="SI"/>
    <s v="SI"/>
    <s v="NO"/>
    <n v="45"/>
    <n v="0.21316630309012977"/>
    <s v="No"/>
    <n v="0.45007171686343067"/>
    <s v="No"/>
    <n v="49620833"/>
    <n v="45"/>
    <x v="0"/>
  </r>
  <r>
    <n v="193"/>
    <s v="HOMBRE"/>
    <n v="203315005"/>
    <x v="4"/>
    <x v="1"/>
    <s v="SI"/>
    <s v="NO"/>
    <s v="NO"/>
    <n v="46"/>
    <n v="0.2837416331672673"/>
    <s v="No"/>
    <n v="3.0076512335340806"/>
    <s v="Sí"/>
    <n v="203315005"/>
    <n v="46"/>
    <x v="4"/>
  </r>
  <r>
    <n v="194"/>
    <s v="MUJER"/>
    <n v="155250"/>
    <x v="0"/>
    <x v="1"/>
    <s v="SI"/>
    <s v="NO"/>
    <s v="NO"/>
    <n v="36"/>
    <n v="0.42201166760410774"/>
    <s v="No"/>
    <n v="0.37307050261494951"/>
    <s v="No"/>
    <n v="155250"/>
    <n v="36"/>
    <x v="0"/>
  </r>
  <r>
    <n v="195"/>
    <s v="MUJER"/>
    <n v="278030"/>
    <x v="3"/>
    <x v="1"/>
    <s v="SI"/>
    <s v="NO"/>
    <s v="SI"/>
    <n v="56"/>
    <n v="0.9894949339386423"/>
    <s v="No"/>
    <n v="0.37102735674304993"/>
    <s v="No"/>
    <n v="278030"/>
    <n v="56"/>
    <x v="3"/>
  </r>
  <r>
    <n v="196"/>
    <s v="MUJER"/>
    <n v="846788"/>
    <x v="0"/>
    <x v="0"/>
    <s v="SI"/>
    <s v="NO"/>
    <s v="SI"/>
    <n v="31"/>
    <n v="0.77488831798979529"/>
    <s v="No"/>
    <n v="0.36156282212984048"/>
    <s v="No"/>
    <n v="846788"/>
    <n v="31"/>
    <x v="0"/>
  </r>
  <r>
    <n v="197"/>
    <s v="HOMBRE"/>
    <n v="300018"/>
    <x v="3"/>
    <x v="1"/>
    <s v="SI"/>
    <s v="NO"/>
    <s v="NO"/>
    <n v="32"/>
    <n v="0.70431298791265773"/>
    <s v="No"/>
    <n v="0.37066146090145252"/>
    <s v="No"/>
    <n v="300018"/>
    <n v="32"/>
    <x v="3"/>
  </r>
  <r>
    <n v="198"/>
    <s v="MUJER"/>
    <n v="1476004"/>
    <x v="1"/>
    <x v="0"/>
    <s v="SI"/>
    <s v="NO"/>
    <s v="NO"/>
    <n v="68"/>
    <n v="1.8363988948642924"/>
    <s v="No"/>
    <n v="0.35109222371859145"/>
    <s v="No"/>
    <n v="1476004"/>
    <n v="68"/>
    <x v="1"/>
  </r>
  <r>
    <n v="199"/>
    <s v="HOMBRE"/>
    <n v="174167"/>
    <x v="0"/>
    <x v="1"/>
    <s v="SI"/>
    <s v="SI"/>
    <s v="NO"/>
    <n v="32"/>
    <n v="0.70431298791265773"/>
    <s v="No"/>
    <n v="0.37275571038120847"/>
    <s v="No"/>
    <n v="174167"/>
    <n v="32"/>
    <x v="0"/>
  </r>
  <r>
    <n v="200"/>
    <s v="HOMBRE"/>
    <n v="62203584"/>
    <x v="0"/>
    <x v="0"/>
    <s v="SI"/>
    <s v="NO"/>
    <s v="NO"/>
    <n v="27"/>
    <n v="1.0571896382983452"/>
    <s v="No"/>
    <n v="0.65945757582083564"/>
    <s v="No"/>
    <n v="62203584"/>
    <n v="27"/>
    <x v="0"/>
  </r>
  <r>
    <n v="201"/>
    <s v="HOMBRE"/>
    <n v="563607"/>
    <x v="3"/>
    <x v="1"/>
    <s v="SI"/>
    <s v="NO"/>
    <s v="SI"/>
    <n v="72"/>
    <n v="2.1187002151728422"/>
    <s v="Sí"/>
    <n v="0.36627515387076237"/>
    <s v="No"/>
    <n v="563607"/>
    <n v="72"/>
    <x v="3"/>
  </r>
  <r>
    <n v="202"/>
    <s v="MUJER"/>
    <n v="38619046"/>
    <x v="0"/>
    <x v="1"/>
    <s v="SI"/>
    <s v="NO"/>
    <s v="NO"/>
    <n v="33"/>
    <n v="0.63373765783552027"/>
    <s v="No"/>
    <n v="0.26699421488779662"/>
    <s v="No"/>
    <n v="38619046"/>
    <n v="33"/>
    <x v="0"/>
  </r>
  <r>
    <n v="203"/>
    <s v="HOMBRE"/>
    <n v="378684"/>
    <x v="3"/>
    <x v="1"/>
    <s v="SI"/>
    <s v="NO"/>
    <s v="SI"/>
    <n v="38"/>
    <n v="0.28086100744983278"/>
    <s v="No"/>
    <n v="0.36935240313016365"/>
    <s v="No"/>
    <n v="378684"/>
    <n v="38"/>
    <x v="3"/>
  </r>
  <r>
    <n v="204"/>
    <s v="HOMBRE"/>
    <n v="16230572"/>
    <x v="0"/>
    <x v="1"/>
    <s v="SI"/>
    <s v="NO"/>
    <s v="NO"/>
    <n v="31"/>
    <n v="0.77488831798979529"/>
    <s v="No"/>
    <n v="0.10556579676907614"/>
    <s v="No"/>
    <n v="16230572"/>
    <n v="31"/>
    <x v="0"/>
  </r>
  <r>
    <n v="205"/>
    <s v="MUJER"/>
    <n v="12683508"/>
    <x v="1"/>
    <x v="0"/>
    <s v="SI"/>
    <s v="NO"/>
    <s v="NO"/>
    <n v="67"/>
    <n v="1.765823564787155"/>
    <s v="No"/>
    <n v="0.16459144564481792"/>
    <s v="No"/>
    <n v="12683508"/>
    <n v="67"/>
    <x v="1"/>
  </r>
  <r>
    <n v="206"/>
    <s v="HOMBRE"/>
    <n v="404467"/>
    <x v="2"/>
    <x v="1"/>
    <s v="SI"/>
    <s v="NO"/>
    <s v="NO"/>
    <n v="64"/>
    <n v="1.5540975745557424"/>
    <s v="No"/>
    <n v="0.36892335580962943"/>
    <s v="No"/>
    <n v="404467"/>
    <n v="64"/>
    <x v="2"/>
  </r>
  <r>
    <n v="207"/>
    <s v="HOMBRE"/>
    <n v="58651131"/>
    <x v="0"/>
    <x v="1"/>
    <s v="SI"/>
    <s v="NO"/>
    <s v="NO"/>
    <n v="24"/>
    <n v="1.2689156285297578"/>
    <s v="No"/>
    <n v="0.60034225018093301"/>
    <s v="No"/>
    <n v="58651131"/>
    <n v="24"/>
    <x v="0"/>
  </r>
  <r>
    <n v="208"/>
    <s v="HOMBRE"/>
    <n v="8082955"/>
    <x v="0"/>
    <x v="0"/>
    <s v="SI"/>
    <s v="NO"/>
    <s v="NO"/>
    <n v="42"/>
    <n v="1.4403128587172659E-3"/>
    <s v="No"/>
    <n v="0.24114789515129437"/>
    <s v="No"/>
    <n v="8082955"/>
    <n v="42"/>
    <x v="0"/>
  </r>
  <r>
    <n v="209"/>
    <s v="MUJER"/>
    <n v="81981667"/>
    <x v="0"/>
    <x v="1"/>
    <s v="SI"/>
    <s v="SI"/>
    <s v="NO"/>
    <n v="32"/>
    <n v="0.70431298791265773"/>
    <s v="No"/>
    <n v="0.98857883853086215"/>
    <s v="No"/>
    <n v="81981667"/>
    <n v="32"/>
    <x v="0"/>
  </r>
  <r>
    <n v="210"/>
    <s v="HOMBRE"/>
    <n v="57724"/>
    <x v="0"/>
    <x v="1"/>
    <s v="SI"/>
    <s v="NO"/>
    <s v="SI"/>
    <n v="19"/>
    <n v="1.6217922789154453"/>
    <s v="No"/>
    <n v="0.37469340409974244"/>
    <s v="No"/>
    <n v="57724"/>
    <n v="19"/>
    <x v="0"/>
  </r>
  <r>
    <n v="211"/>
    <s v="MUJER"/>
    <n v="22302234"/>
    <x v="0"/>
    <x v="0"/>
    <s v="SI"/>
    <s v="NO"/>
    <s v="NO"/>
    <n v="56"/>
    <n v="0.9894949339386423"/>
    <s v="No"/>
    <n v="4.5290550288132067E-3"/>
    <s v="No"/>
    <n v="22302234"/>
    <n v="56"/>
    <x v="0"/>
  </r>
  <r>
    <n v="212"/>
    <s v="HOMBRE"/>
    <n v="68165618"/>
    <x v="0"/>
    <x v="1"/>
    <s v="SI"/>
    <s v="NO"/>
    <s v="NO"/>
    <n v="42"/>
    <n v="1.4403128587172659E-3"/>
    <s v="No"/>
    <n v="0.75867003025335622"/>
    <s v="No"/>
    <n v="68165618"/>
    <n v="42"/>
    <x v="0"/>
  </r>
  <r>
    <n v="213"/>
    <s v="MUJER"/>
    <n v="161195932"/>
    <x v="0"/>
    <x v="0"/>
    <s v="SI"/>
    <s v="NO"/>
    <s v="NO"/>
    <n v="47"/>
    <n v="0.35431696324440481"/>
    <s v="No"/>
    <n v="2.3067601264467159"/>
    <s v="Sí"/>
    <n v="161195932"/>
    <n v="47"/>
    <x v="0"/>
  </r>
  <r>
    <n v="214"/>
    <s v="MUJER"/>
    <n v="130779787"/>
    <x v="0"/>
    <x v="1"/>
    <s v="SI"/>
    <s v="NO"/>
    <s v="NO"/>
    <n v="30"/>
    <n v="0.84546364806693275"/>
    <s v="No"/>
    <n v="1.8006140025189692"/>
    <s v="No"/>
    <n v="130779787"/>
    <n v="30"/>
    <x v="0"/>
  </r>
  <r>
    <n v="215"/>
    <s v="HOMBRE"/>
    <n v="366599"/>
    <x v="0"/>
    <x v="1"/>
    <s v="SI"/>
    <s v="NO"/>
    <s v="NO"/>
    <n v="53"/>
    <n v="0.77776894370722982"/>
    <s v="No"/>
    <n v="0.36955350606111254"/>
    <s v="No"/>
    <n v="366599"/>
    <n v="53"/>
    <x v="0"/>
  </r>
  <r>
    <n v="216"/>
    <s v="HOMBRE"/>
    <n v="462831"/>
    <x v="3"/>
    <x v="1"/>
    <s v="SI"/>
    <s v="NO"/>
    <s v="NO"/>
    <n v="32"/>
    <n v="0.70431298791265773"/>
    <s v="No"/>
    <n v="0.36795213764976997"/>
    <s v="No"/>
    <n v="462831"/>
    <n v="32"/>
    <x v="3"/>
  </r>
  <r>
    <n v="217"/>
    <s v="HOMBRE"/>
    <n v="639148"/>
    <x v="3"/>
    <x v="1"/>
    <s v="SI"/>
    <s v="NO"/>
    <s v="SI"/>
    <n v="41"/>
    <n v="6.9135017218420233E-2"/>
    <s v="No"/>
    <n v="0.36501809830544912"/>
    <s v="No"/>
    <n v="639148"/>
    <n v="41"/>
    <x v="3"/>
  </r>
  <r>
    <n v="218"/>
    <s v="HOMBRE"/>
    <n v="310124"/>
    <x v="3"/>
    <x v="1"/>
    <s v="SI"/>
    <s v="NO"/>
    <s v="NO"/>
    <n v="34"/>
    <n v="0.56316232775838282"/>
    <s v="No"/>
    <n v="0.37049328992750385"/>
    <s v="No"/>
    <n v="310124"/>
    <n v="34"/>
    <x v="3"/>
  </r>
  <r>
    <n v="219"/>
    <s v="MUJER"/>
    <n v="800000"/>
    <x v="0"/>
    <x v="1"/>
    <s v="SI"/>
    <s v="NO"/>
    <s v="NO"/>
    <n v="30"/>
    <n v="0.84546364806693275"/>
    <s v="No"/>
    <n v="0.36234140747806037"/>
    <s v="No"/>
    <n v="800000"/>
    <n v="30"/>
    <x v="0"/>
  </r>
  <r>
    <n v="220"/>
    <s v="MUJER"/>
    <n v="1520118"/>
    <x v="0"/>
    <x v="0"/>
    <s v="SI"/>
    <s v="NO"/>
    <s v="NO"/>
    <n v="32"/>
    <n v="0.70431298791265773"/>
    <s v="No"/>
    <n v="0.35035813561798074"/>
    <s v="No"/>
    <n v="1520118"/>
    <n v="32"/>
    <x v="0"/>
  </r>
  <r>
    <n v="221"/>
    <s v="MUJER"/>
    <n v="460000"/>
    <x v="0"/>
    <x v="1"/>
    <s v="SI"/>
    <s v="NO"/>
    <s v="NO"/>
    <n v="28"/>
    <n v="0.98661430822120777"/>
    <s v="No"/>
    <n v="0.36799924748820739"/>
    <s v="No"/>
    <n v="460000"/>
    <n v="28"/>
    <x v="0"/>
  </r>
  <r>
    <n v="222"/>
    <s v="MUJER"/>
    <n v="446964"/>
    <x v="0"/>
    <x v="1"/>
    <s v="SI"/>
    <s v="NO"/>
    <s v="NO"/>
    <n v="64"/>
    <n v="1.5540975745557424"/>
    <s v="No"/>
    <n v="0.36821617573047882"/>
    <s v="No"/>
    <n v="446964"/>
    <n v="64"/>
    <x v="0"/>
  </r>
  <r>
    <n v="223"/>
    <s v="MUJER"/>
    <n v="241000"/>
    <x v="0"/>
    <x v="1"/>
    <s v="SI"/>
    <s v="SI"/>
    <s v="NO"/>
    <n v="35"/>
    <n v="0.49258699768124525"/>
    <s v="No"/>
    <n v="0.37164356208297861"/>
    <s v="No"/>
    <n v="241000"/>
    <n v="35"/>
    <x v="0"/>
  </r>
  <r>
    <n v="224"/>
    <s v="HOMBRE"/>
    <n v="125432213"/>
    <x v="0"/>
    <x v="1"/>
    <s v="SI"/>
    <s v="NO"/>
    <s v="NO"/>
    <n v="33"/>
    <n v="0.63373765783552027"/>
    <s v="No"/>
    <n v="1.7116265962412573"/>
    <s v="No"/>
    <n v="125432213"/>
    <n v="33"/>
    <x v="0"/>
  </r>
  <r>
    <n v="225"/>
    <s v="HOMBRE"/>
    <n v="503396"/>
    <x v="0"/>
    <x v="0"/>
    <s v="SI"/>
    <s v="NO"/>
    <s v="NO"/>
    <n v="55"/>
    <n v="0.91891960386150484"/>
    <s v="No"/>
    <n v="0.36727710741444169"/>
    <s v="No"/>
    <n v="503396"/>
    <n v="55"/>
    <x v="0"/>
  </r>
  <r>
    <n v="226"/>
    <s v="HOMBRE"/>
    <n v="1845300"/>
    <x v="0"/>
    <x v="1"/>
    <s v="SI"/>
    <s v="NO"/>
    <s v="NO"/>
    <n v="37"/>
    <n v="0.35143633752697023"/>
    <s v="No"/>
    <n v="0.34494687758804066"/>
    <s v="No"/>
    <n v="1845300"/>
    <n v="37"/>
    <x v="0"/>
  </r>
  <r>
    <n v="227"/>
    <s v="HOMBRE"/>
    <n v="505464"/>
    <x v="3"/>
    <x v="1"/>
    <s v="SI"/>
    <s v="NO"/>
    <s v="NO"/>
    <n v="42"/>
    <n v="1.4403128587172659E-3"/>
    <s v="No"/>
    <n v="0.36724269443461527"/>
    <s v="No"/>
    <n v="505464"/>
    <n v="42"/>
    <x v="3"/>
  </r>
  <r>
    <n v="228"/>
    <s v="MUJER"/>
    <n v="10835937"/>
    <x v="0"/>
    <x v="0"/>
    <s v="SI"/>
    <s v="NO"/>
    <s v="NO"/>
    <n v="30"/>
    <n v="0.84546364806693275"/>
    <s v="No"/>
    <n v="0.19533633130772196"/>
    <s v="No"/>
    <n v="10835937"/>
    <n v="30"/>
    <x v="0"/>
  </r>
  <r>
    <n v="229"/>
    <s v="MUJER"/>
    <n v="450680"/>
    <x v="3"/>
    <x v="1"/>
    <s v="SI"/>
    <s v="NO"/>
    <s v="SI"/>
    <n v="28"/>
    <n v="0.98661430822120777"/>
    <s v="No"/>
    <n v="0.36815433886730908"/>
    <s v="No"/>
    <n v="450680"/>
    <n v="28"/>
    <x v="3"/>
  </r>
  <r>
    <n v="230"/>
    <s v="HOMBRE"/>
    <n v="407031"/>
    <x v="0"/>
    <x v="1"/>
    <s v="SI"/>
    <s v="NO"/>
    <s v="NO"/>
    <n v="51"/>
    <n v="0.6366182835529548"/>
    <s v="No"/>
    <n v="0.36888068903967058"/>
    <s v="No"/>
    <n v="407031"/>
    <n v="51"/>
    <x v="0"/>
  </r>
  <r>
    <n v="231"/>
    <s v="HOMBRE"/>
    <n v="800000"/>
    <x v="0"/>
    <x v="1"/>
    <s v="SI"/>
    <s v="NO"/>
    <s v="NO"/>
    <n v="54"/>
    <n v="0.84834427378436728"/>
    <s v="No"/>
    <n v="0.36234140747806037"/>
    <s v="No"/>
    <n v="800000"/>
    <n v="54"/>
    <x v="0"/>
  </r>
  <r>
    <n v="232"/>
    <s v="HOMBRE"/>
    <n v="36630213"/>
    <x v="0"/>
    <x v="1"/>
    <s v="SI"/>
    <s v="NO"/>
    <s v="NO"/>
    <n v="52"/>
    <n v="0.70719361363009237"/>
    <s v="No"/>
    <n v="0.23389862982632378"/>
    <s v="No"/>
    <n v="36630213"/>
    <n v="52"/>
    <x v="0"/>
  </r>
  <r>
    <n v="233"/>
    <s v="MUJER"/>
    <n v="80110065"/>
    <x v="0"/>
    <x v="1"/>
    <s v="SI"/>
    <s v="NO"/>
    <s v="NO"/>
    <n v="46"/>
    <n v="0.2837416331672673"/>
    <s v="No"/>
    <n v="0.95743406006418208"/>
    <s v="No"/>
    <n v="80110065"/>
    <n v="46"/>
    <x v="0"/>
  </r>
  <r>
    <n v="234"/>
    <s v="HOMBRE"/>
    <n v="278030"/>
    <x v="4"/>
    <x v="1"/>
    <s v="SI"/>
    <s v="NO"/>
    <s v="NO"/>
    <n v="37"/>
    <n v="0.35143633752697023"/>
    <s v="No"/>
    <n v="0.37102735674304993"/>
    <s v="No"/>
    <n v="278030"/>
    <n v="37"/>
    <x v="4"/>
  </r>
  <r>
    <n v="235"/>
    <s v="MUJER"/>
    <n v="300018"/>
    <x v="2"/>
    <x v="1"/>
    <s v="SI"/>
    <s v="NO"/>
    <s v="NO"/>
    <n v="56"/>
    <n v="0.9894949339386423"/>
    <s v="No"/>
    <n v="0.37066146090145252"/>
    <s v="No"/>
    <n v="300018"/>
    <n v="56"/>
    <x v="2"/>
  </r>
  <r>
    <n v="236"/>
    <s v="MUJER"/>
    <n v="100247271"/>
    <x v="0"/>
    <x v="0"/>
    <s v="SI"/>
    <s v="NO"/>
    <s v="NO"/>
    <n v="51"/>
    <n v="0.6366182835529548"/>
    <s v="No"/>
    <n v="1.2925313830035143"/>
    <s v="No"/>
    <n v="100247271"/>
    <n v="51"/>
    <x v="0"/>
  </r>
  <r>
    <n v="237"/>
    <s v="HOMBRE"/>
    <n v="90459572"/>
    <x v="0"/>
    <x v="1"/>
    <s v="SI"/>
    <s v="NO"/>
    <s v="NO"/>
    <n v="39"/>
    <n v="0.21028567737269524"/>
    <s v="No"/>
    <n v="1.1296571623874081"/>
    <s v="No"/>
    <n v="90459572"/>
    <n v="39"/>
    <x v="0"/>
  </r>
  <r>
    <n v="238"/>
    <s v="MUJER"/>
    <n v="354854"/>
    <x v="0"/>
    <x v="1"/>
    <s v="SI"/>
    <s v="NO"/>
    <s v="NO"/>
    <n v="25"/>
    <n v="1.1983402984526204"/>
    <s v="No"/>
    <n v="0.36974895115205131"/>
    <s v="No"/>
    <n v="354854"/>
    <n v="25"/>
    <x v="0"/>
  </r>
  <r>
    <n v="239"/>
    <s v="MUJER"/>
    <n v="4489275"/>
    <x v="0"/>
    <x v="1"/>
    <s v="SI"/>
    <s v="NO"/>
    <s v="NO"/>
    <n v="45"/>
    <n v="0.21316630309012977"/>
    <s v="No"/>
    <n v="0.30094926717383913"/>
    <s v="No"/>
    <n v="4489275"/>
    <n v="45"/>
    <x v="0"/>
  </r>
  <r>
    <n v="240"/>
    <s v="MUJER"/>
    <n v="762579"/>
    <x v="0"/>
    <x v="1"/>
    <s v="SI"/>
    <s v="NO"/>
    <s v="NO"/>
    <n v="26"/>
    <n v="1.1277649683754829"/>
    <s v="No"/>
    <n v="0.36296411933400069"/>
    <s v="No"/>
    <n v="762579"/>
    <n v="26"/>
    <x v="0"/>
  </r>
  <r>
    <n v="241"/>
    <s v="HOMBRE"/>
    <n v="500000"/>
    <x v="0"/>
    <x v="1"/>
    <s v="SI"/>
    <s v="NO"/>
    <s v="SI"/>
    <n v="61"/>
    <n v="1.3423715843243298"/>
    <s v="No"/>
    <n v="0.36733361925171953"/>
    <s v="No"/>
    <n v="500000"/>
    <n v="61"/>
    <x v="0"/>
  </r>
  <r>
    <n v="242"/>
    <s v="HOMBRE"/>
    <n v="6063456"/>
    <x v="0"/>
    <x v="1"/>
    <s v="SI"/>
    <s v="NO"/>
    <s v="NO"/>
    <n v="21"/>
    <n v="1.4806416187611704"/>
    <s v="No"/>
    <n v="0.27475378410027068"/>
    <s v="No"/>
    <n v="6063456"/>
    <n v="21"/>
    <x v="0"/>
  </r>
  <r>
    <n v="243"/>
    <s v="MUJER"/>
    <n v="411069"/>
    <x v="3"/>
    <x v="1"/>
    <s v="SI"/>
    <s v="NO"/>
    <s v="SI"/>
    <n v="56"/>
    <n v="0.9894949339386423"/>
    <s v="No"/>
    <n v="0.36881349386919715"/>
    <s v="No"/>
    <n v="411069"/>
    <n v="56"/>
    <x v="3"/>
  </r>
  <r>
    <n v="244"/>
    <s v="HOMBRE"/>
    <n v="636770"/>
    <x v="0"/>
    <x v="1"/>
    <s v="SI"/>
    <s v="NO"/>
    <s v="NO"/>
    <n v="37"/>
    <n v="0.35143633752697023"/>
    <s v="No"/>
    <n v="0.36505766990410832"/>
    <s v="No"/>
    <n v="636770"/>
    <n v="37"/>
    <x v="0"/>
  </r>
  <r>
    <n v="245"/>
    <s v="HOMBRE"/>
    <n v="299647"/>
    <x v="2"/>
    <x v="1"/>
    <s v="SI"/>
    <s v="NO"/>
    <s v="NO"/>
    <n v="42"/>
    <n v="1.4403128587172659E-3"/>
    <s v="No"/>
    <n v="0.37066763460334595"/>
    <s v="No"/>
    <n v="299647"/>
    <n v="42"/>
    <x v="2"/>
  </r>
  <r>
    <n v="246"/>
    <s v="HOMBRE"/>
    <n v="43518243"/>
    <x v="0"/>
    <x v="1"/>
    <s v="SI"/>
    <s v="NO"/>
    <s v="NO"/>
    <n v="24"/>
    <n v="1.2689156285297578"/>
    <s v="No"/>
    <n v="0.34852031137071532"/>
    <s v="No"/>
    <n v="43518243"/>
    <n v="24"/>
    <x v="0"/>
  </r>
  <r>
    <n v="247"/>
    <s v="MUJER"/>
    <n v="2891000"/>
    <x v="0"/>
    <x v="1"/>
    <s v="SI"/>
    <s v="NO"/>
    <s v="NO"/>
    <n v="32"/>
    <n v="0.70431298791265773"/>
    <s v="No"/>
    <n v="0.32754569141565609"/>
    <s v="No"/>
    <n v="2891000"/>
    <n v="32"/>
    <x v="0"/>
  </r>
  <r>
    <n v="248"/>
    <s v="HOMBRE"/>
    <n v="409154"/>
    <x v="0"/>
    <x v="0"/>
    <s v="SI"/>
    <s v="NO"/>
    <s v="SI"/>
    <n v="36"/>
    <n v="0.42201166760410774"/>
    <s v="No"/>
    <n v="0.36884536082101899"/>
    <s v="No"/>
    <n v="409154"/>
    <n v="36"/>
    <x v="0"/>
  </r>
  <r>
    <n v="249"/>
    <s v="MUJER"/>
    <n v="556132"/>
    <x v="0"/>
    <x v="0"/>
    <s v="SI"/>
    <s v="NO"/>
    <s v="NO"/>
    <n v="51"/>
    <n v="0.6366182835529548"/>
    <s v="No"/>
    <n v="0.36639954314745604"/>
    <s v="No"/>
    <n v="556132"/>
    <n v="51"/>
    <x v="0"/>
  </r>
  <r>
    <n v="250"/>
    <s v="MUJER"/>
    <n v="173710"/>
    <x v="0"/>
    <x v="1"/>
    <s v="SI"/>
    <s v="NO"/>
    <s v="NO"/>
    <n v="20"/>
    <n v="1.5512169488383079"/>
    <s v="No"/>
    <n v="0.37276331518381034"/>
    <s v="No"/>
    <n v="173710"/>
    <n v="20"/>
    <x v="0"/>
  </r>
  <r>
    <n v="251"/>
    <s v="MUJER"/>
    <n v="60189822"/>
    <x v="0"/>
    <x v="0"/>
    <s v="SI"/>
    <s v="NO"/>
    <s v="NO"/>
    <n v="21"/>
    <n v="1.4806416187611704"/>
    <s v="No"/>
    <n v="0.6259471546016776"/>
    <s v="No"/>
    <n v="60189822"/>
    <n v="21"/>
    <x v="0"/>
  </r>
  <r>
    <n v="252"/>
    <s v="HOMBRE"/>
    <n v="297046"/>
    <x v="2"/>
    <x v="1"/>
    <s v="SI"/>
    <s v="NO"/>
    <s v="NO"/>
    <n v="26"/>
    <n v="1.1277649683754829"/>
    <s v="No"/>
    <n v="0.37071091707942361"/>
    <s v="No"/>
    <n v="297046"/>
    <n v="26"/>
    <x v="2"/>
  </r>
  <r>
    <n v="253"/>
    <s v="HOMBRE"/>
    <n v="45508765"/>
    <x v="0"/>
    <x v="1"/>
    <s v="SI"/>
    <s v="NO"/>
    <s v="NO"/>
    <n v="58"/>
    <n v="1.1306455940929174"/>
    <s v="No"/>
    <n v="0.38164400258447384"/>
    <s v="No"/>
    <n v="45508765"/>
    <n v="58"/>
    <x v="0"/>
  </r>
  <r>
    <n v="254"/>
    <s v="HOMBRE"/>
    <n v="278030"/>
    <x v="4"/>
    <x v="1"/>
    <s v="SI"/>
    <s v="NO"/>
    <s v="SI"/>
    <n v="50"/>
    <n v="0.56604295347581735"/>
    <s v="No"/>
    <n v="0.37102735674304993"/>
    <s v="No"/>
    <n v="278030"/>
    <n v="50"/>
    <x v="4"/>
  </r>
  <r>
    <n v="255"/>
    <s v="MUJER"/>
    <n v="11982616"/>
    <x v="0"/>
    <x v="0"/>
    <s v="SI"/>
    <s v="NO"/>
    <s v="NO"/>
    <n v="43"/>
    <n v="7.2015642935854773E-2"/>
    <s v="No"/>
    <n v="0.17625478329302963"/>
    <s v="No"/>
    <n v="11982616"/>
    <n v="43"/>
    <x v="0"/>
  </r>
  <r>
    <n v="256"/>
    <s v="MUJER"/>
    <n v="43014781"/>
    <x v="0"/>
    <x v="1"/>
    <s v="SI"/>
    <s v="NO"/>
    <s v="NO"/>
    <n v="50"/>
    <n v="0.56604295347581735"/>
    <s v="No"/>
    <n v="0.34014234829074869"/>
    <s v="No"/>
    <n v="43014781"/>
    <n v="50"/>
    <x v="0"/>
  </r>
  <r>
    <n v="257"/>
    <s v="MUJER"/>
    <n v="500000"/>
    <x v="0"/>
    <x v="1"/>
    <s v="SI"/>
    <s v="NO"/>
    <s v="SI"/>
    <n v="23"/>
    <n v="1.3394909586068953"/>
    <s v="No"/>
    <n v="0.36733361925171953"/>
    <s v="No"/>
    <n v="500000"/>
    <n v="23"/>
    <x v="0"/>
  </r>
  <r>
    <n v="258"/>
    <s v="MUJER"/>
    <n v="181962578"/>
    <x v="0"/>
    <x v="1"/>
    <s v="SI"/>
    <s v="NO"/>
    <s v="NO"/>
    <n v="38"/>
    <n v="0.28086100744983278"/>
    <s v="No"/>
    <n v="2.6523317753154219"/>
    <s v="Sí"/>
    <n v="181962578"/>
    <n v="38"/>
    <x v="0"/>
  </r>
  <r>
    <n v="259"/>
    <s v="MUJER"/>
    <n v="355312"/>
    <x v="0"/>
    <x v="1"/>
    <s v="SI"/>
    <s v="NO"/>
    <s v="NO"/>
    <n v="56"/>
    <n v="0.9894949339386423"/>
    <s v="No"/>
    <n v="0.36974132970874352"/>
    <s v="No"/>
    <n v="355312"/>
    <n v="56"/>
    <x v="0"/>
  </r>
  <r>
    <n v="260"/>
    <s v="HOMBRE"/>
    <n v="262016"/>
    <x v="0"/>
    <x v="1"/>
    <s v="SI"/>
    <s v="NO"/>
    <s v="NO"/>
    <n v="40"/>
    <n v="0.13971034729555773"/>
    <s v="No"/>
    <n v="0.37129384100752783"/>
    <s v="No"/>
    <n v="262016"/>
    <n v="40"/>
    <x v="0"/>
  </r>
  <r>
    <n v="261"/>
    <s v="HOMBRE"/>
    <n v="50721275"/>
    <x v="0"/>
    <x v="0"/>
    <s v="SI"/>
    <s v="NO"/>
    <s v="NO"/>
    <n v="62"/>
    <n v="1.4129469144014672"/>
    <s v="No"/>
    <n v="0.46838384855886078"/>
    <s v="No"/>
    <n v="50721275"/>
    <n v="62"/>
    <x v="0"/>
  </r>
  <r>
    <n v="262"/>
    <s v="HOMBRE"/>
    <n v="319590"/>
    <x v="0"/>
    <x v="1"/>
    <s v="SI"/>
    <s v="NO"/>
    <s v="NO"/>
    <n v="28"/>
    <n v="0.98661430822120777"/>
    <s v="No"/>
    <n v="0.37033576900533899"/>
    <s v="No"/>
    <n v="319590"/>
    <n v="28"/>
    <x v="0"/>
  </r>
  <r>
    <n v="263"/>
    <s v="HOMBRE"/>
    <n v="331181"/>
    <x v="3"/>
    <x v="1"/>
    <s v="SI"/>
    <s v="NO"/>
    <s v="SI"/>
    <n v="62"/>
    <n v="1.4129469144014672"/>
    <s v="No"/>
    <n v="0.37014288658311073"/>
    <s v="No"/>
    <n v="331181"/>
    <n v="62"/>
    <x v="3"/>
  </r>
  <r>
    <n v="264"/>
    <s v="HOMBRE"/>
    <n v="509509"/>
    <x v="3"/>
    <x v="1"/>
    <s v="SI"/>
    <s v="NO"/>
    <s v="NO"/>
    <n v="42"/>
    <n v="1.4403128587172659E-3"/>
    <s v="No"/>
    <n v="0.36717538277920042"/>
    <s v="No"/>
    <n v="509509"/>
    <n v="42"/>
    <x v="3"/>
  </r>
  <r>
    <n v="265"/>
    <s v="MUJER"/>
    <n v="820120"/>
    <x v="0"/>
    <x v="1"/>
    <s v="SI"/>
    <s v="NO"/>
    <s v="NO"/>
    <n v="27"/>
    <n v="1.0571896382983452"/>
    <s v="No"/>
    <n v="0.36200659647510697"/>
    <s v="No"/>
    <n v="820120"/>
    <n v="27"/>
    <x v="0"/>
  </r>
  <r>
    <n v="266"/>
    <s v="MUJER"/>
    <n v="439400"/>
    <x v="0"/>
    <x v="1"/>
    <s v="SI"/>
    <s v="NO"/>
    <s v="NO"/>
    <n v="34"/>
    <n v="0.56316232775838282"/>
    <s v="No"/>
    <n v="0.36834204602999865"/>
    <s v="No"/>
    <n v="439400"/>
    <n v="34"/>
    <x v="0"/>
  </r>
  <r>
    <n v="267"/>
    <s v="HOMBRE"/>
    <n v="2184000"/>
    <x v="0"/>
    <x v="1"/>
    <s v="SI"/>
    <s v="NO"/>
    <s v="NO"/>
    <n v="41"/>
    <n v="6.9135017218420233E-2"/>
    <s v="No"/>
    <n v="0.33931067049557945"/>
    <s v="No"/>
    <n v="2184000"/>
    <n v="41"/>
    <x v="0"/>
  </r>
  <r>
    <n v="268"/>
    <s v="MUJER"/>
    <n v="110000"/>
    <x v="0"/>
    <x v="1"/>
    <s v="SI"/>
    <s v="SI"/>
    <s v="NO"/>
    <n v="28"/>
    <n v="0.98661430822120777"/>
    <s v="No"/>
    <n v="0.37382349455747643"/>
    <s v="No"/>
    <n v="110000"/>
    <n v="28"/>
    <x v="0"/>
  </r>
  <r>
    <n v="269"/>
    <s v="HOMBRE"/>
    <n v="180000"/>
    <x v="0"/>
    <x v="1"/>
    <s v="SI"/>
    <s v="NO"/>
    <s v="NO"/>
    <n v="45"/>
    <n v="0.21316630309012977"/>
    <s v="No"/>
    <n v="0.37265864514362262"/>
    <s v="No"/>
    <n v="180000"/>
    <n v="45"/>
    <x v="0"/>
  </r>
  <r>
    <n v="270"/>
    <s v="MUJER"/>
    <n v="350000"/>
    <x v="0"/>
    <x v="1"/>
    <s v="SI"/>
    <s v="NO"/>
    <s v="NO"/>
    <n v="29"/>
    <n v="0.91603897814407031"/>
    <s v="No"/>
    <n v="0.36982972513854911"/>
    <s v="No"/>
    <n v="350000"/>
    <n v="29"/>
    <x v="0"/>
  </r>
  <r>
    <n v="271"/>
    <s v="HOMBRE"/>
    <n v="281250"/>
    <x v="0"/>
    <x v="0"/>
    <s v="SI"/>
    <s v="NO"/>
    <s v="NO"/>
    <n v="58"/>
    <n v="1.1306455940929174"/>
    <s v="No"/>
    <n v="0.37097377367001266"/>
    <s v="No"/>
    <n v="281250"/>
    <n v="58"/>
    <x v="0"/>
  </r>
  <r>
    <n v="272"/>
    <s v="MUJER"/>
    <n v="82936458"/>
    <x v="0"/>
    <x v="1"/>
    <s v="SI"/>
    <s v="NO"/>
    <s v="NO"/>
    <n v="30"/>
    <n v="0.84546364806693275"/>
    <s v="No"/>
    <n v="1.0044672347694747"/>
    <s v="No"/>
    <n v="82936458"/>
    <n v="30"/>
    <x v="0"/>
  </r>
  <r>
    <n v="273"/>
    <s v="MUJER"/>
    <n v="403983"/>
    <x v="3"/>
    <x v="1"/>
    <s v="SI"/>
    <s v="NO"/>
    <s v="SI"/>
    <n v="41"/>
    <n v="6.9135017218420233E-2"/>
    <s v="No"/>
    <n v="0.36893140991129098"/>
    <s v="No"/>
    <n v="403983"/>
    <n v="41"/>
    <x v="3"/>
  </r>
  <r>
    <n v="274"/>
    <s v="MUJER"/>
    <n v="545646"/>
    <x v="0"/>
    <x v="1"/>
    <s v="SI"/>
    <s v="NO"/>
    <s v="NO"/>
    <n v="44"/>
    <n v="0.14259097301299228"/>
    <s v="No"/>
    <n v="0.36657403758965135"/>
    <s v="No"/>
    <n v="545646"/>
    <n v="44"/>
    <x v="0"/>
  </r>
  <r>
    <n v="275"/>
    <s v="HOMBRE"/>
    <n v="417064"/>
    <x v="0"/>
    <x v="1"/>
    <s v="SI"/>
    <s v="NO"/>
    <s v="NO"/>
    <n v="59"/>
    <n v="1.2012209241700549"/>
    <s v="No"/>
    <n v="0.36871373283725351"/>
    <s v="No"/>
    <n v="417064"/>
    <n v="59"/>
    <x v="0"/>
  </r>
  <r>
    <n v="276"/>
    <s v="HOMBRE"/>
    <n v="62133379"/>
    <x v="0"/>
    <x v="1"/>
    <s v="SI"/>
    <s v="NO"/>
    <s v="NO"/>
    <n v="47"/>
    <n v="0.35431696324440481"/>
    <s v="No"/>
    <n v="0.65828931506226984"/>
    <s v="No"/>
    <n v="62133379"/>
    <n v="47"/>
    <x v="0"/>
  </r>
  <r>
    <n v="277"/>
    <s v="HOMBRE"/>
    <n v="297046"/>
    <x v="2"/>
    <x v="1"/>
    <s v="SI"/>
    <s v="NO"/>
    <s v="NO"/>
    <n v="24"/>
    <n v="1.2689156285297578"/>
    <s v="No"/>
    <n v="0.37071091707942361"/>
    <s v="No"/>
    <n v="297046"/>
    <n v="24"/>
    <x v="2"/>
  </r>
  <r>
    <n v="278"/>
    <s v="MUJER"/>
    <n v="5278245"/>
    <x v="1"/>
    <x v="0"/>
    <s v="SI"/>
    <s v="NO"/>
    <s v="NO"/>
    <n v="68"/>
    <n v="1.8363988948642924"/>
    <s v="No"/>
    <n v="0.28782024943029294"/>
    <s v="No"/>
    <n v="5278245"/>
    <n v="68"/>
    <x v="1"/>
  </r>
  <r>
    <n v="279"/>
    <s v="HOMBRE"/>
    <n v="278030"/>
    <x v="4"/>
    <x v="1"/>
    <s v="SI"/>
    <s v="NO"/>
    <s v="NO"/>
    <n v="43"/>
    <n v="7.2015642935854773E-2"/>
    <s v="No"/>
    <n v="0.37102735674304993"/>
    <s v="No"/>
    <n v="278030"/>
    <n v="43"/>
    <x v="4"/>
  </r>
  <r>
    <n v="280"/>
    <s v="MUJER"/>
    <n v="300000"/>
    <x v="2"/>
    <x v="1"/>
    <s v="SI"/>
    <s v="SI"/>
    <s v="NO"/>
    <n v="57"/>
    <n v="1.0600702640157798"/>
    <s v="No"/>
    <n v="0.37066176043415894"/>
    <s v="No"/>
    <n v="300000"/>
    <n v="57"/>
    <x v="2"/>
  </r>
  <r>
    <n v="281"/>
    <s v="MUJER"/>
    <n v="45339384"/>
    <x v="0"/>
    <x v="1"/>
    <s v="SI"/>
    <s v="NO"/>
    <s v="NO"/>
    <n v="31"/>
    <n v="0.77488831798979529"/>
    <s v="No"/>
    <n v="0.37882538317636"/>
    <s v="No"/>
    <n v="45339384"/>
    <n v="31"/>
    <x v="0"/>
  </r>
  <r>
    <n v="282"/>
    <s v="MUJER"/>
    <n v="297062"/>
    <x v="3"/>
    <x v="1"/>
    <s v="SI"/>
    <s v="NO"/>
    <s v="SI"/>
    <n v="40"/>
    <n v="0.13971034729555773"/>
    <s v="No"/>
    <n v="0.37071065082812898"/>
    <s v="No"/>
    <n v="297062"/>
    <n v="40"/>
    <x v="3"/>
  </r>
  <r>
    <n v="283"/>
    <s v="MUJER"/>
    <n v="24543697"/>
    <x v="0"/>
    <x v="1"/>
    <s v="SI"/>
    <s v="NO"/>
    <s v="NO"/>
    <n v="27"/>
    <n v="1.0571896382983452"/>
    <s v="No"/>
    <n v="3.2770471567258014E-2"/>
    <s v="No"/>
    <n v="24543697"/>
    <n v="27"/>
    <x v="0"/>
  </r>
  <r>
    <n v="284"/>
    <s v="HOMBRE"/>
    <n v="2005101"/>
    <x v="0"/>
    <x v="1"/>
    <s v="SI"/>
    <s v="NO"/>
    <s v="NO"/>
    <n v="32"/>
    <n v="0.70431298791265773"/>
    <s v="No"/>
    <n v="0.34228767614256561"/>
    <s v="No"/>
    <n v="2005101"/>
    <n v="32"/>
    <x v="0"/>
  </r>
  <r>
    <n v="285"/>
    <s v="MUJER"/>
    <n v="342332"/>
    <x v="3"/>
    <x v="1"/>
    <s v="SI"/>
    <s v="NO"/>
    <s v="NO"/>
    <n v="61"/>
    <n v="1.3423715843243298"/>
    <s v="No"/>
    <n v="0.36995732607148379"/>
    <s v="No"/>
    <n v="342332"/>
    <n v="61"/>
    <x v="3"/>
  </r>
  <r>
    <n v="286"/>
    <s v="HOMBRE"/>
    <n v="1000000"/>
    <x v="0"/>
    <x v="1"/>
    <s v="SI"/>
    <s v="NO"/>
    <s v="SI"/>
    <n v="52"/>
    <n v="0.70719361363009237"/>
    <s v="No"/>
    <n v="0.35901326629562091"/>
    <s v="No"/>
    <n v="1000000"/>
    <n v="52"/>
    <x v="0"/>
  </r>
  <r>
    <n v="287"/>
    <s v="HOMBRE"/>
    <n v="34751423"/>
    <x v="0"/>
    <x v="1"/>
    <s v="SI"/>
    <s v="NO"/>
    <s v="NO"/>
    <n v="30"/>
    <n v="0.84546364806693275"/>
    <s v="No"/>
    <n v="0.20263423796554686"/>
    <s v="No"/>
    <n v="34751423"/>
    <n v="30"/>
    <x v="0"/>
  </r>
  <r>
    <n v="288"/>
    <s v="MUJER"/>
    <n v="750000"/>
    <x v="0"/>
    <x v="1"/>
    <s v="SI"/>
    <s v="NO"/>
    <s v="SI"/>
    <n v="28"/>
    <n v="0.98661430822120777"/>
    <s v="No"/>
    <n v="0.3631734427736702"/>
    <s v="No"/>
    <n v="750000"/>
    <n v="28"/>
    <x v="0"/>
  </r>
  <r>
    <n v="289"/>
    <s v="HOMBRE"/>
    <n v="33636494"/>
    <x v="0"/>
    <x v="1"/>
    <s v="SI"/>
    <s v="NO"/>
    <s v="NO"/>
    <n v="24"/>
    <n v="1.2689156285297578"/>
    <s v="No"/>
    <n v="0.18408103236356677"/>
    <s v="No"/>
    <n v="33636494"/>
    <n v="24"/>
    <x v="0"/>
  </r>
  <r>
    <n v="290"/>
    <s v="HOMBRE"/>
    <n v="351055"/>
    <x v="3"/>
    <x v="1"/>
    <s v="SI"/>
    <s v="NO"/>
    <s v="SI"/>
    <n v="51"/>
    <n v="0.6366182835529548"/>
    <s v="No"/>
    <n v="0.36981216919381171"/>
    <s v="No"/>
    <n v="351055"/>
    <n v="51"/>
    <x v="3"/>
  </r>
  <r>
    <n v="291"/>
    <s v="HOMBRE"/>
    <n v="345385"/>
    <x v="0"/>
    <x v="1"/>
    <s v="SI"/>
    <s v="NO"/>
    <s v="NO"/>
    <n v="32"/>
    <n v="0.70431298791265773"/>
    <s v="No"/>
    <n v="0.36990652199633389"/>
    <s v="No"/>
    <n v="345385"/>
    <n v="32"/>
    <x v="0"/>
  </r>
  <r>
    <n v="292"/>
    <s v="HOMBRE"/>
    <n v="396805"/>
    <x v="0"/>
    <x v="1"/>
    <s v="SI"/>
    <s v="NO"/>
    <s v="NO"/>
    <n v="40"/>
    <n v="0.13971034729555773"/>
    <s v="No"/>
    <n v="0.36905085689832873"/>
    <s v="No"/>
    <n v="396805"/>
    <n v="40"/>
    <x v="0"/>
  </r>
  <r>
    <n v="293"/>
    <s v="MUJER"/>
    <n v="297045"/>
    <x v="3"/>
    <x v="1"/>
    <s v="SI"/>
    <s v="NO"/>
    <s v="SI"/>
    <n v="62"/>
    <n v="1.4129469144014672"/>
    <s v="No"/>
    <n v="0.37071093372012948"/>
    <s v="No"/>
    <n v="297045"/>
    <n v="62"/>
    <x v="3"/>
  </r>
  <r>
    <n v="294"/>
    <s v="HOMBRE"/>
    <n v="131385297"/>
    <x v="0"/>
    <x v="1"/>
    <s v="SI"/>
    <s v="NO"/>
    <s v="NO"/>
    <n v="52"/>
    <n v="0.70719361363009237"/>
    <s v="No"/>
    <n v="1.8106901163558637"/>
    <s v="No"/>
    <n v="131385297"/>
    <n v="52"/>
    <x v="0"/>
  </r>
  <r>
    <n v="295"/>
    <s v="HOMBRE"/>
    <n v="328192"/>
    <x v="3"/>
    <x v="1"/>
    <s v="SI"/>
    <s v="SI"/>
    <s v="SI"/>
    <n v="32"/>
    <n v="0.70431298791265773"/>
    <s v="No"/>
    <n v="0.37019262565308231"/>
    <s v="No"/>
    <n v="328192"/>
    <n v="32"/>
    <x v="3"/>
  </r>
  <r>
    <n v="296"/>
    <s v="MUJER"/>
    <n v="478452"/>
    <x v="3"/>
    <x v="1"/>
    <s v="SI"/>
    <s v="NO"/>
    <s v="SI"/>
    <n v="58"/>
    <n v="1.1306455940929174"/>
    <s v="No"/>
    <n v="0.36769219318271557"/>
    <s v="No"/>
    <n v="478452"/>
    <n v="58"/>
    <x v="3"/>
  </r>
  <r>
    <n v="297"/>
    <s v="HOMBRE"/>
    <n v="299647"/>
    <x v="3"/>
    <x v="1"/>
    <s v="SI"/>
    <s v="NO"/>
    <s v="SI"/>
    <n v="57"/>
    <n v="1.0600702640157798"/>
    <s v="No"/>
    <n v="0.37066763460334595"/>
    <s v="No"/>
    <n v="299647"/>
    <n v="57"/>
    <x v="3"/>
  </r>
  <r>
    <n v="298"/>
    <s v="HOMBRE"/>
    <n v="26336019"/>
    <x v="0"/>
    <x v="1"/>
    <s v="SI"/>
    <s v="NO"/>
    <s v="NO"/>
    <n v="24"/>
    <n v="1.2689156285297578"/>
    <s v="No"/>
    <n v="6.2595974869219084E-2"/>
    <s v="No"/>
    <n v="26336019"/>
    <n v="24"/>
    <x v="0"/>
  </r>
  <r>
    <n v="299"/>
    <s v="MUJER"/>
    <n v="2312395"/>
    <x v="0"/>
    <x v="0"/>
    <s v="SI"/>
    <s v="NO"/>
    <s v="NO"/>
    <n v="61"/>
    <n v="1.3423715843243298"/>
    <s v="No"/>
    <n v="0.33717408705998292"/>
    <s v="No"/>
    <n v="2312395"/>
    <n v="61"/>
    <x v="0"/>
  </r>
  <r>
    <n v="300"/>
    <s v="HOMBRE"/>
    <n v="300000"/>
    <x v="0"/>
    <x v="1"/>
    <s v="SI"/>
    <s v="NO"/>
    <s v="NO"/>
    <n v="26"/>
    <n v="1.1277649683754829"/>
    <s v="No"/>
    <n v="0.37066176043415894"/>
    <s v="No"/>
    <n v="300000"/>
    <n v="26"/>
    <x v="0"/>
  </r>
  <r>
    <n v="301"/>
    <s v="HOMBRE"/>
    <n v="1819599"/>
    <x v="1"/>
    <x v="0"/>
    <s v="SI"/>
    <s v="NO"/>
    <s v="NO"/>
    <n v="80"/>
    <n v="2.6833028557899423"/>
    <s v="Sí"/>
    <n v="0.34537456037069003"/>
    <s v="No"/>
    <n v="1819599"/>
    <n v="80"/>
    <x v="1"/>
  </r>
  <r>
    <n v="302"/>
    <s v="HOMBRE"/>
    <n v="551500"/>
    <x v="0"/>
    <x v="1"/>
    <s v="SI"/>
    <s v="NO"/>
    <s v="NO"/>
    <n v="34"/>
    <n v="0.56316232775838282"/>
    <s v="No"/>
    <n v="0.36647662289724137"/>
    <s v="No"/>
    <n v="551500"/>
    <n v="34"/>
    <x v="0"/>
  </r>
  <r>
    <n v="303"/>
    <s v="MUJER"/>
    <n v="33877581"/>
    <x v="0"/>
    <x v="1"/>
    <s v="SI"/>
    <s v="NO"/>
    <s v="NO"/>
    <n v="46"/>
    <n v="0.2837416331672673"/>
    <s v="No"/>
    <n v="0.18809289022982065"/>
    <s v="No"/>
    <n v="33877581"/>
    <n v="46"/>
    <x v="0"/>
  </r>
  <r>
    <n v="304"/>
    <s v="MUJER"/>
    <n v="278030"/>
    <x v="4"/>
    <x v="1"/>
    <s v="SI"/>
    <s v="NO"/>
    <s v="NO"/>
    <n v="70"/>
    <n v="1.9775495550185673"/>
    <s v="Sí"/>
    <n v="0.37102735674304993"/>
    <s v="No"/>
    <n v="278030"/>
    <n v="70"/>
    <x v="4"/>
  </r>
  <r>
    <n v="305"/>
    <s v="MUJER"/>
    <n v="1068785"/>
    <x v="1"/>
    <x v="0"/>
    <s v="SI"/>
    <s v="NO"/>
    <s v="NO"/>
    <n v="63"/>
    <n v="1.4835222444786049"/>
    <s v="No"/>
    <n v="0.35786863533945046"/>
    <s v="No"/>
    <n v="1068785"/>
    <n v="63"/>
    <x v="1"/>
  </r>
  <r>
    <n v="306"/>
    <s v="HOMBRE"/>
    <n v="254995842"/>
    <x v="0"/>
    <x v="1"/>
    <s v="SI"/>
    <s v="NO"/>
    <s v="NO"/>
    <n v="41"/>
    <n v="6.9135017218420233E-2"/>
    <s v="No"/>
    <n v="3.8676568433472789"/>
    <s v="Sí"/>
    <n v="254995842"/>
    <n v="41"/>
    <x v="0"/>
  </r>
  <r>
    <n v="307"/>
    <s v="HOMBRE"/>
    <n v="181084"/>
    <x v="0"/>
    <x v="1"/>
    <s v="SI"/>
    <s v="NO"/>
    <s v="NO"/>
    <n v="55"/>
    <n v="0.91891960386150484"/>
    <s v="No"/>
    <n v="0.37264060661841381"/>
    <s v="No"/>
    <n v="181084"/>
    <n v="55"/>
    <x v="0"/>
  </r>
  <r>
    <n v="308"/>
    <s v="HOMBRE"/>
    <n v="10593816"/>
    <x v="0"/>
    <x v="1"/>
    <s v="SI"/>
    <s v="NO"/>
    <s v="NO"/>
    <n v="28"/>
    <n v="0.98661430822120777"/>
    <s v="No"/>
    <n v="0.19936539566388906"/>
    <s v="No"/>
    <n v="10593816"/>
    <n v="28"/>
    <x v="0"/>
  </r>
  <r>
    <n v="309"/>
    <s v="HOMBRE"/>
    <n v="343178"/>
    <x v="0"/>
    <x v="1"/>
    <s v="SI"/>
    <s v="NO"/>
    <s v="SI"/>
    <n v="32"/>
    <n v="0.70431298791265773"/>
    <s v="No"/>
    <n v="0.36994324803428208"/>
    <s v="No"/>
    <n v="343178"/>
    <n v="32"/>
    <x v="0"/>
  </r>
  <r>
    <n v="310"/>
    <s v="HOMBRE"/>
    <n v="606620"/>
    <x v="0"/>
    <x v="1"/>
    <s v="SI"/>
    <s v="NO"/>
    <s v="NO"/>
    <n v="20"/>
    <n v="1.5512169488383079"/>
    <s v="No"/>
    <n v="0.36555938718736103"/>
    <s v="No"/>
    <n v="606620"/>
    <n v="20"/>
    <x v="0"/>
  </r>
  <r>
    <n v="311"/>
    <s v="HOMBRE"/>
    <n v="3205245"/>
    <x v="0"/>
    <x v="1"/>
    <s v="SI"/>
    <s v="NO"/>
    <s v="NO"/>
    <n v="29"/>
    <n v="0.91603897814407031"/>
    <s v="No"/>
    <n v="0.32231643278627764"/>
    <s v="No"/>
    <n v="3205245"/>
    <n v="29"/>
    <x v="0"/>
  </r>
  <r>
    <n v="312"/>
    <s v="MUJER"/>
    <n v="117166667"/>
    <x v="0"/>
    <x v="1"/>
    <s v="SI"/>
    <s v="NO"/>
    <s v="NO"/>
    <n v="51"/>
    <n v="0.6366182835529548"/>
    <s v="No"/>
    <n v="1.5740820760515197"/>
    <s v="No"/>
    <n v="117166667"/>
    <n v="51"/>
    <x v="0"/>
  </r>
  <r>
    <n v="313"/>
    <s v="MUJER"/>
    <n v="113848"/>
    <x v="0"/>
    <x v="1"/>
    <s v="SI"/>
    <s v="NO"/>
    <s v="NO"/>
    <n v="31"/>
    <n v="0.77488831798979529"/>
    <s v="No"/>
    <n v="0.37375946112112629"/>
    <s v="No"/>
    <n v="113848"/>
    <n v="31"/>
    <x v="0"/>
  </r>
  <r>
    <n v="314"/>
    <s v="HOMBRE"/>
    <n v="391476"/>
    <x v="0"/>
    <x v="0"/>
    <s v="SI"/>
    <s v="NO"/>
    <s v="NO"/>
    <n v="60"/>
    <n v="1.2717962542471923"/>
    <s v="No"/>
    <n v="0.36913953522013482"/>
    <s v="No"/>
    <n v="391476"/>
    <n v="60"/>
    <x v="0"/>
  </r>
  <r>
    <n v="315"/>
    <s v="MUJER"/>
    <n v="558250"/>
    <x v="0"/>
    <x v="1"/>
    <s v="SI"/>
    <s v="NO"/>
    <s v="NO"/>
    <n v="28"/>
    <n v="0.98661430822120777"/>
    <s v="No"/>
    <n v="0.36636429813233401"/>
    <s v="No"/>
    <n v="558250"/>
    <n v="28"/>
    <x v="0"/>
  </r>
  <r>
    <n v="316"/>
    <s v="HOMBRE"/>
    <n v="313164"/>
    <x v="0"/>
    <x v="1"/>
    <s v="SI"/>
    <s v="NO"/>
    <s v="NO"/>
    <n v="56"/>
    <n v="0.9894949339386423"/>
    <s v="No"/>
    <n v="0.3704427021815308"/>
    <s v="No"/>
    <n v="313164"/>
    <n v="56"/>
    <x v="0"/>
  </r>
  <r>
    <n v="317"/>
    <s v="HOMBRE"/>
    <n v="433000"/>
    <x v="0"/>
    <x v="1"/>
    <s v="SI"/>
    <s v="NO"/>
    <s v="NO"/>
    <n v="45"/>
    <n v="0.21316630309012977"/>
    <s v="No"/>
    <n v="0.36844854654783671"/>
    <s v="No"/>
    <n v="433000"/>
    <n v="45"/>
    <x v="0"/>
  </r>
  <r>
    <n v="318"/>
    <s v="HOMBRE"/>
    <n v="12445388"/>
    <x v="0"/>
    <x v="1"/>
    <s v="SI"/>
    <s v="NO"/>
    <s v="NO"/>
    <n v="40"/>
    <n v="0.13971034729555773"/>
    <s v="No"/>
    <n v="0.16855393053663031"/>
    <s v="No"/>
    <n v="12445388"/>
    <n v="40"/>
    <x v="0"/>
  </r>
  <r>
    <n v="319"/>
    <s v="MUJER"/>
    <n v="382136"/>
    <x v="3"/>
    <x v="1"/>
    <s v="SI"/>
    <s v="NO"/>
    <s v="SI"/>
    <n v="42"/>
    <n v="1.4403128587172659E-3"/>
    <s v="No"/>
    <n v="0.36929495941335472"/>
    <s v="No"/>
    <n v="382136"/>
    <n v="42"/>
    <x v="3"/>
  </r>
  <r>
    <n v="320"/>
    <s v="HOMBRE"/>
    <n v="297046"/>
    <x v="3"/>
    <x v="1"/>
    <s v="SI"/>
    <s v="NO"/>
    <s v="NO"/>
    <n v="50"/>
    <n v="0.56604295347581735"/>
    <s v="No"/>
    <n v="0.37071091707942361"/>
    <s v="No"/>
    <n v="297046"/>
    <n v="50"/>
    <x v="3"/>
  </r>
  <r>
    <n v="321"/>
    <s v="HOMBRE"/>
    <n v="4018142"/>
    <x v="0"/>
    <x v="1"/>
    <s v="SI"/>
    <s v="NO"/>
    <s v="NO"/>
    <n v="46"/>
    <n v="0.2837416331672673"/>
    <s v="No"/>
    <n v="0.3087892528723703"/>
    <s v="No"/>
    <n v="4018142"/>
    <n v="46"/>
    <x v="0"/>
  </r>
  <r>
    <n v="322"/>
    <s v="MUJER"/>
    <n v="1103954"/>
    <x v="0"/>
    <x v="0"/>
    <s v="SI"/>
    <s v="NO"/>
    <s v="SI"/>
    <n v="60"/>
    <n v="1.2717962542471923"/>
    <s v="No"/>
    <n v="0.35728339835322437"/>
    <s v="No"/>
    <n v="1103954"/>
    <n v="60"/>
    <x v="0"/>
  </r>
  <r>
    <n v="323"/>
    <s v="HOMBRE"/>
    <n v="207648"/>
    <x v="0"/>
    <x v="1"/>
    <s v="SI"/>
    <s v="NO"/>
    <s v="NO"/>
    <n v="28"/>
    <n v="0.98661430822120777"/>
    <s v="No"/>
    <n v="0.37219856290656217"/>
    <s v="No"/>
    <n v="207648"/>
    <n v="28"/>
    <x v="0"/>
  </r>
  <r>
    <n v="324"/>
    <s v="HOMBRE"/>
    <n v="7197525"/>
    <x v="0"/>
    <x v="0"/>
    <s v="SI"/>
    <s v="NO"/>
    <s v="NO"/>
    <n v="39"/>
    <n v="0.21028567737269524"/>
    <s v="No"/>
    <n v="0.25588207538713109"/>
    <s v="No"/>
    <n v="7197525"/>
    <n v="39"/>
    <x v="0"/>
  </r>
  <r>
    <n v="325"/>
    <s v="MUJER"/>
    <n v="140000"/>
    <x v="0"/>
    <x v="1"/>
    <s v="SI"/>
    <s v="SI"/>
    <s v="SI"/>
    <n v="49"/>
    <n v="0.49546762339867978"/>
    <s v="No"/>
    <n v="0.37332427338011048"/>
    <s v="No"/>
    <n v="140000"/>
    <n v="49"/>
    <x v="0"/>
  </r>
  <r>
    <n v="326"/>
    <s v="MUJER"/>
    <n v="188309397"/>
    <x v="0"/>
    <x v="1"/>
    <s v="SI"/>
    <s v="NO"/>
    <s v="NO"/>
    <n v="34"/>
    <n v="0.56316232775838282"/>
    <s v="No"/>
    <n v="2.7579473237723673"/>
    <s v="Sí"/>
    <n v="188309397"/>
    <n v="34"/>
    <x v="0"/>
  </r>
  <r>
    <n v="327"/>
    <s v="MUJER"/>
    <n v="136608912"/>
    <x v="1"/>
    <x v="0"/>
    <s v="SI"/>
    <s v="SI"/>
    <s v="NO"/>
    <n v="73"/>
    <n v="2.1892755452499797"/>
    <s v="Sí"/>
    <n v="1.8976147573694058"/>
    <s v="No"/>
    <n v="136608912"/>
    <n v="73"/>
    <x v="1"/>
  </r>
  <r>
    <n v="328"/>
    <s v="HOMBRE"/>
    <n v="298155"/>
    <x v="3"/>
    <x v="1"/>
    <s v="SI"/>
    <s v="NO"/>
    <s v="SI"/>
    <n v="39"/>
    <n v="0.21028567737269524"/>
    <s v="No"/>
    <n v="0.37069246253656696"/>
    <s v="No"/>
    <n v="298155"/>
    <n v="39"/>
    <x v="3"/>
  </r>
  <r>
    <n v="329"/>
    <s v="HOMBRE"/>
    <n v="499999"/>
    <x v="0"/>
    <x v="1"/>
    <s v="SI"/>
    <s v="NO"/>
    <s v="NO"/>
    <n v="31"/>
    <n v="0.77488831798979529"/>
    <s v="No"/>
    <n v="0.3673336358924254"/>
    <s v="No"/>
    <n v="499999"/>
    <n v="31"/>
    <x v="0"/>
  </r>
  <r>
    <n v="330"/>
    <s v="HOMBRE"/>
    <n v="1340908"/>
    <x v="0"/>
    <x v="0"/>
    <s v="SI"/>
    <s v="NO"/>
    <s v="NO"/>
    <n v="54"/>
    <n v="0.84834427378436728"/>
    <s v="No"/>
    <n v="0.35334031652450559"/>
    <s v="No"/>
    <n v="1340908"/>
    <n v="54"/>
    <x v="0"/>
  </r>
  <r>
    <n v="331"/>
    <s v="HOMBRE"/>
    <n v="300000"/>
    <x v="0"/>
    <x v="1"/>
    <s v="SI"/>
    <s v="SI"/>
    <s v="NO"/>
    <n v="28"/>
    <n v="0.98661430822120777"/>
    <s v="No"/>
    <n v="0.37066176043415894"/>
    <s v="No"/>
    <n v="300000"/>
    <n v="28"/>
    <x v="0"/>
  </r>
  <r>
    <n v="332"/>
    <s v="MUJER"/>
    <n v="297046"/>
    <x v="2"/>
    <x v="1"/>
    <s v="SI"/>
    <s v="SI"/>
    <s v="NO"/>
    <n v="27"/>
    <n v="1.0571896382983452"/>
    <s v="No"/>
    <n v="0.37071091707942361"/>
    <s v="No"/>
    <n v="297046"/>
    <n v="27"/>
    <x v="2"/>
  </r>
  <r>
    <n v="333"/>
    <s v="HOMBRE"/>
    <n v="3042329"/>
    <x v="0"/>
    <x v="1"/>
    <s v="SI"/>
    <s v="SI"/>
    <s v="NO"/>
    <n v="24"/>
    <n v="1.2689156285297578"/>
    <s v="No"/>
    <n v="0.32502747003066917"/>
    <s v="No"/>
    <n v="3042329"/>
    <n v="24"/>
    <x v="0"/>
  </r>
  <r>
    <n v="334"/>
    <s v="HOMBRE"/>
    <n v="509509"/>
    <x v="3"/>
    <x v="1"/>
    <s v="SI"/>
    <s v="NO"/>
    <s v="SI"/>
    <n v="35"/>
    <n v="0.49258699768124525"/>
    <s v="No"/>
    <n v="0.36717538277920042"/>
    <s v="No"/>
    <n v="509509"/>
    <n v="35"/>
    <x v="3"/>
  </r>
  <r>
    <n v="335"/>
    <s v="HOMBRE"/>
    <n v="1202425"/>
    <x v="0"/>
    <x v="0"/>
    <s v="SI"/>
    <s v="NO"/>
    <s v="NO"/>
    <n v="40"/>
    <n v="0.13971034729555773"/>
    <s v="No"/>
    <n v="0.35564477140134443"/>
    <s v="No"/>
    <n v="1202425"/>
    <n v="40"/>
    <x v="0"/>
  </r>
  <r>
    <n v="336"/>
    <s v="HOMBRE"/>
    <n v="59144527"/>
    <x v="0"/>
    <x v="1"/>
    <s v="SI"/>
    <s v="NO"/>
    <s v="NO"/>
    <n v="30"/>
    <n v="0.84546364806693275"/>
    <s v="No"/>
    <n v="0.60855270791518745"/>
    <s v="No"/>
    <n v="59144527"/>
    <n v="30"/>
    <x v="0"/>
  </r>
  <r>
    <n v="337"/>
    <s v="MUJER"/>
    <n v="195318327"/>
    <x v="0"/>
    <x v="1"/>
    <s v="SI"/>
    <s v="NO"/>
    <s v="NO"/>
    <n v="36"/>
    <n v="0.42201166760410774"/>
    <s v="No"/>
    <n v="2.8745808666615433"/>
    <s v="Sí"/>
    <n v="195318327"/>
    <n v="36"/>
    <x v="0"/>
  </r>
  <r>
    <n v="338"/>
    <s v="MUJER"/>
    <n v="57079864"/>
    <x v="0"/>
    <x v="1"/>
    <s v="SI"/>
    <s v="NO"/>
    <s v="NO"/>
    <n v="26"/>
    <n v="1.1277649683754829"/>
    <s v="No"/>
    <n v="0.57419525812439276"/>
    <s v="No"/>
    <n v="57079864"/>
    <n v="26"/>
    <x v="0"/>
  </r>
  <r>
    <n v="339"/>
    <s v="MUJER"/>
    <n v="539203"/>
    <x v="0"/>
    <x v="1"/>
    <s v="SI"/>
    <s v="NO"/>
    <s v="NO"/>
    <n v="29"/>
    <n v="0.91603897814407031"/>
    <s v="No"/>
    <n v="0.36668125365784365"/>
    <s v="No"/>
    <n v="539203"/>
    <n v="29"/>
    <x v="0"/>
  </r>
  <r>
    <n v="340"/>
    <s v="MUJER"/>
    <n v="35954427"/>
    <x v="6"/>
    <x v="1"/>
    <s v="SI"/>
    <s v="SI"/>
    <s v="NO"/>
    <n v="32"/>
    <n v="0.70431298791265773"/>
    <s v="No"/>
    <n v="0.22265307374074372"/>
    <s v="No"/>
    <n v="35954427"/>
    <n v="32"/>
    <x v="5"/>
  </r>
  <r>
    <n v="341"/>
    <s v="MUJER"/>
    <n v="5164465"/>
    <x v="0"/>
    <x v="0"/>
    <s v="SI"/>
    <s v="NO"/>
    <s v="NO"/>
    <n v="33"/>
    <n v="0.63373765783552027"/>
    <s v="No"/>
    <n v="0.28971362894898273"/>
    <s v="No"/>
    <n v="5164465"/>
    <n v="33"/>
    <x v="0"/>
  </r>
  <r>
    <n v="342"/>
    <s v="MUJER"/>
    <n v="378355"/>
    <x v="0"/>
    <x v="1"/>
    <s v="SI"/>
    <s v="SI"/>
    <s v="NO"/>
    <n v="62"/>
    <n v="1.4129469144014672"/>
    <s v="No"/>
    <n v="0.36935787792240876"/>
    <s v="No"/>
    <n v="378355"/>
    <n v="62"/>
    <x v="0"/>
  </r>
  <r>
    <n v="343"/>
    <s v="HOMBRE"/>
    <n v="4545582"/>
    <x v="0"/>
    <x v="0"/>
    <s v="SI"/>
    <s v="NO"/>
    <s v="NO"/>
    <n v="34"/>
    <n v="0.56316232775838282"/>
    <s v="No"/>
    <n v="0.30001227894604104"/>
    <s v="No"/>
    <n v="4545582"/>
    <n v="34"/>
    <x v="0"/>
  </r>
  <r>
    <n v="344"/>
    <s v="MUJER"/>
    <n v="403983"/>
    <x v="3"/>
    <x v="1"/>
    <s v="SI"/>
    <s v="NO"/>
    <s v="SI"/>
    <n v="67"/>
    <n v="1.765823564787155"/>
    <s v="No"/>
    <n v="0.36893140991129098"/>
    <s v="No"/>
    <n v="403983"/>
    <n v="67"/>
    <x v="3"/>
  </r>
  <r>
    <n v="345"/>
    <s v="MUJER"/>
    <n v="15441875"/>
    <x v="0"/>
    <x v="1"/>
    <s v="SI"/>
    <s v="SI"/>
    <s v="NO"/>
    <n v="28"/>
    <n v="0.98661430822120777"/>
    <s v="No"/>
    <n v="0.11869027159990832"/>
    <s v="No"/>
    <n v="15441875"/>
    <n v="28"/>
    <x v="0"/>
  </r>
  <r>
    <n v="346"/>
    <s v="HOMBRE"/>
    <n v="328196"/>
    <x v="3"/>
    <x v="1"/>
    <s v="SI"/>
    <s v="SI"/>
    <s v="SI"/>
    <n v="27"/>
    <n v="1.0571896382983452"/>
    <s v="No"/>
    <n v="0.37019255909025867"/>
    <s v="No"/>
    <n v="328196"/>
    <n v="27"/>
    <x v="3"/>
  </r>
  <r>
    <n v="347"/>
    <s v="HOMBRE"/>
    <n v="57409445"/>
    <x v="0"/>
    <x v="1"/>
    <s v="SI"/>
    <s v="NO"/>
    <s v="NO"/>
    <n v="57"/>
    <n v="1.0600702640157798"/>
    <s v="No"/>
    <n v="0.57967971861964052"/>
    <s v="No"/>
    <n v="57409445"/>
    <n v="57"/>
    <x v="0"/>
  </r>
  <r>
    <n v="348"/>
    <s v="MUJER"/>
    <n v="132051873"/>
    <x v="0"/>
    <x v="0"/>
    <s v="SI"/>
    <s v="NO"/>
    <s v="NO"/>
    <n v="34"/>
    <n v="0.56316232775838282"/>
    <s v="No"/>
    <n v="1.8217824115399925"/>
    <s v="No"/>
    <n v="132051873"/>
    <n v="34"/>
    <x v="0"/>
  </r>
  <r>
    <n v="349"/>
    <s v="HOMBRE"/>
    <n v="356455"/>
    <x v="3"/>
    <x v="1"/>
    <s v="SI"/>
    <s v="NO"/>
    <s v="SI"/>
    <n v="40"/>
    <n v="0.13971034729555773"/>
    <s v="No"/>
    <n v="0.36972230938188588"/>
    <s v="No"/>
    <n v="356455"/>
    <n v="40"/>
    <x v="3"/>
  </r>
  <r>
    <n v="350"/>
    <s v="HOMBRE"/>
    <n v="297046"/>
    <x v="3"/>
    <x v="1"/>
    <s v="SI"/>
    <s v="NO"/>
    <s v="NO"/>
    <n v="42"/>
    <n v="1.4403128587172659E-3"/>
    <s v="No"/>
    <n v="0.37071091707942361"/>
    <s v="No"/>
    <n v="297046"/>
    <n v="42"/>
    <x v="3"/>
  </r>
  <r>
    <n v="351"/>
    <s v="HOMBRE"/>
    <n v="50568639"/>
    <x v="0"/>
    <x v="1"/>
    <s v="SI"/>
    <s v="NO"/>
    <s v="NO"/>
    <n v="22"/>
    <n v="1.4100662886840327"/>
    <s v="No"/>
    <n v="0.46584387777124664"/>
    <s v="No"/>
    <n v="50568639"/>
    <n v="22"/>
    <x v="0"/>
  </r>
  <r>
    <n v="352"/>
    <s v="MUJER"/>
    <n v="5117892"/>
    <x v="0"/>
    <x v="1"/>
    <s v="SI"/>
    <s v="NO"/>
    <s v="NO"/>
    <n v="29"/>
    <n v="0.91603897814407031"/>
    <s v="No"/>
    <n v="0.29048863654543144"/>
    <s v="No"/>
    <n v="5117892"/>
    <n v="29"/>
    <x v="0"/>
  </r>
  <r>
    <n v="353"/>
    <s v="MUJER"/>
    <n v="33309401"/>
    <x v="0"/>
    <x v="1"/>
    <s v="SI"/>
    <s v="NO"/>
    <s v="NO"/>
    <n v="32"/>
    <n v="0.70431298791265773"/>
    <s v="No"/>
    <n v="0.17863797394462846"/>
    <s v="No"/>
    <n v="33309401"/>
    <n v="32"/>
    <x v="0"/>
  </r>
  <r>
    <n v="354"/>
    <s v="MUJER"/>
    <n v="419608"/>
    <x v="3"/>
    <x v="1"/>
    <s v="SI"/>
    <s v="NO"/>
    <s v="NO"/>
    <n v="43"/>
    <n v="7.2015642935854773E-2"/>
    <s v="No"/>
    <n v="0.36867139888141287"/>
    <s v="No"/>
    <n v="419608"/>
    <n v="43"/>
    <x v="3"/>
  </r>
  <r>
    <n v="355"/>
    <s v="MUJER"/>
    <n v="297046"/>
    <x v="3"/>
    <x v="1"/>
    <s v="SI"/>
    <s v="NO"/>
    <s v="SI"/>
    <n v="28"/>
    <n v="0.98661430822120777"/>
    <s v="No"/>
    <n v="0.37071091707942361"/>
    <s v="No"/>
    <n v="297046"/>
    <n v="28"/>
    <x v="3"/>
  </r>
  <r>
    <n v="356"/>
    <s v="HOMBRE"/>
    <n v="297046"/>
    <x v="3"/>
    <x v="1"/>
    <s v="SI"/>
    <s v="NO"/>
    <s v="SI"/>
    <n v="39"/>
    <n v="0.21028567737269524"/>
    <s v="No"/>
    <n v="0.37071091707942361"/>
    <s v="No"/>
    <n v="297046"/>
    <n v="39"/>
    <x v="3"/>
  </r>
  <r>
    <n v="357"/>
    <s v="HOMBRE"/>
    <n v="1540950"/>
    <x v="2"/>
    <x v="1"/>
    <s v="SI"/>
    <s v="SI"/>
    <s v="NO"/>
    <n v="63"/>
    <n v="1.4835222444786049"/>
    <s v="No"/>
    <n v="0.35001147643241787"/>
    <s v="No"/>
    <n v="1540950"/>
    <n v="63"/>
    <x v="2"/>
  </r>
  <r>
    <n v="358"/>
    <s v="MUJER"/>
    <n v="416150"/>
    <x v="0"/>
    <x v="1"/>
    <s v="SI"/>
    <s v="SI"/>
    <s v="NO"/>
    <n v="30"/>
    <n v="0.84546364806693275"/>
    <s v="No"/>
    <n v="0.36872894244245724"/>
    <s v="No"/>
    <n v="416150"/>
    <n v="30"/>
    <x v="0"/>
  </r>
  <r>
    <n v="359"/>
    <s v="HOMBRE"/>
    <n v="400353"/>
    <x v="3"/>
    <x v="1"/>
    <s v="SI"/>
    <s v="NO"/>
    <s v="NO"/>
    <n v="30"/>
    <n v="0.84546364806693275"/>
    <s v="No"/>
    <n v="0.36899181567375222"/>
    <s v="No"/>
    <n v="400353"/>
    <n v="30"/>
    <x v="3"/>
  </r>
  <r>
    <n v="360"/>
    <s v="HOMBRE"/>
    <n v="323296"/>
    <x v="3"/>
    <x v="1"/>
    <s v="SI"/>
    <s v="SI"/>
    <s v="SI"/>
    <n v="67"/>
    <n v="1.765823564787155"/>
    <s v="No"/>
    <n v="0.37027409854922838"/>
    <s v="No"/>
    <n v="323296"/>
    <n v="67"/>
    <x v="3"/>
  </r>
  <r>
    <n v="361"/>
    <s v="MUJER"/>
    <n v="159000"/>
    <x v="0"/>
    <x v="1"/>
    <s v="SI"/>
    <s v="NO"/>
    <s v="NO"/>
    <n v="49"/>
    <n v="0.49546762339867978"/>
    <s v="No"/>
    <n v="0.37300809996777873"/>
    <s v="No"/>
    <n v="159000"/>
    <n v="49"/>
    <x v="0"/>
  </r>
  <r>
    <n v="362"/>
    <s v="MUJER"/>
    <n v="1724286"/>
    <x v="0"/>
    <x v="1"/>
    <s v="SI"/>
    <s v="NO"/>
    <s v="NO"/>
    <n v="27"/>
    <n v="1.0571896382983452"/>
    <s v="No"/>
    <n v="0.34696063597329929"/>
    <s v="No"/>
    <n v="1724286"/>
    <n v="27"/>
    <x v="0"/>
  </r>
  <r>
    <n v="363"/>
    <s v="MUJER"/>
    <n v="1331904"/>
    <x v="0"/>
    <x v="0"/>
    <s v="SI"/>
    <s v="NO"/>
    <s v="NO"/>
    <n v="42"/>
    <n v="1.4403128587172659E-3"/>
    <s v="No"/>
    <n v="0.35349014944053903"/>
    <s v="No"/>
    <n v="1331904"/>
    <n v="42"/>
    <x v="0"/>
  </r>
  <r>
    <n v="364"/>
    <s v="HOMBRE"/>
    <n v="339750"/>
    <x v="2"/>
    <x v="1"/>
    <s v="SI"/>
    <s v="SI"/>
    <s v="NO"/>
    <n v="30"/>
    <n v="0.84546364806693275"/>
    <s v="No"/>
    <n v="0.37000029237414911"/>
    <s v="No"/>
    <n v="339750"/>
    <n v="30"/>
    <x v="2"/>
  </r>
  <r>
    <n v="365"/>
    <s v="HOMBRE"/>
    <n v="445567"/>
    <x v="3"/>
    <x v="1"/>
    <s v="SI"/>
    <s v="NO"/>
    <s v="SI"/>
    <n v="74"/>
    <n v="2.2598508753271176"/>
    <s v="Sí"/>
    <n v="0.36823942279663813"/>
    <s v="No"/>
    <n v="445567"/>
    <n v="74"/>
    <x v="3"/>
  </r>
  <r>
    <n v="366"/>
    <s v="HOMBRE"/>
    <n v="107612741"/>
    <x v="0"/>
    <x v="1"/>
    <s v="SI"/>
    <s v="NO"/>
    <s v="NO"/>
    <n v="48"/>
    <n v="0.42489229332154227"/>
    <s v="No"/>
    <n v="1.4150980031786253"/>
    <s v="No"/>
    <n v="107612741"/>
    <n v="48"/>
    <x v="0"/>
  </r>
  <r>
    <n v="367"/>
    <s v="HOMBRE"/>
    <n v="59737925"/>
    <x v="0"/>
    <x v="1"/>
    <s v="SI"/>
    <s v="NO"/>
    <s v="NO"/>
    <n v="36"/>
    <n v="0.42201166760410774"/>
    <s v="No"/>
    <n v="0.6184272695220735"/>
    <s v="No"/>
    <n v="59737925"/>
    <n v="36"/>
    <x v="0"/>
  </r>
  <r>
    <n v="368"/>
    <s v="HOMBRE"/>
    <n v="400000"/>
    <x v="0"/>
    <x v="1"/>
    <s v="SI"/>
    <s v="SI"/>
    <s v="NO"/>
    <n v="34"/>
    <n v="0.56316232775838282"/>
    <s v="No"/>
    <n v="0.36899768984293924"/>
    <s v="No"/>
    <n v="400000"/>
    <n v="34"/>
    <x v="0"/>
  </r>
  <r>
    <n v="369"/>
    <s v="HOMBRE"/>
    <n v="10652"/>
    <x v="0"/>
    <x v="1"/>
    <s v="SI"/>
    <s v="SI"/>
    <s v="NO"/>
    <n v="42"/>
    <n v="1.4403128587172659E-3"/>
    <s v="No"/>
    <n v="0.37547671540844141"/>
    <s v="No"/>
    <n v="10652"/>
    <n v="42"/>
    <x v="0"/>
  </r>
  <r>
    <n v="370"/>
    <s v="MUJER"/>
    <n v="47450998"/>
    <x v="0"/>
    <x v="1"/>
    <s v="SI"/>
    <s v="NO"/>
    <s v="NO"/>
    <n v="28"/>
    <n v="0.98661430822120777"/>
    <s v="No"/>
    <n v="0.41396413075043831"/>
    <s v="No"/>
    <n v="47450998"/>
    <n v="28"/>
    <x v="0"/>
  </r>
  <r>
    <n v="371"/>
    <s v="MUJER"/>
    <n v="305324724"/>
    <x v="1"/>
    <x v="0"/>
    <s v="SI"/>
    <s v="NO"/>
    <s v="NO"/>
    <n v="99"/>
    <n v="4.0242341272555553"/>
    <s v="Sí"/>
    <n v="4.7051649675989529"/>
    <s v="Sí"/>
    <n v="305324724"/>
    <n v="99"/>
    <x v="1"/>
  </r>
  <r>
    <n v="372"/>
    <s v="HOMBRE"/>
    <n v="123306023"/>
    <x v="0"/>
    <x v="1"/>
    <s v="SI"/>
    <s v="NO"/>
    <s v="NO"/>
    <n v="30"/>
    <n v="0.84546364806693275"/>
    <s v="No"/>
    <n v="1.676245293737803"/>
    <s v="No"/>
    <n v="123306023"/>
    <n v="30"/>
    <x v="0"/>
  </r>
  <r>
    <n v="373"/>
    <s v="MUJER"/>
    <n v="52901448"/>
    <x v="0"/>
    <x v="1"/>
    <s v="SI"/>
    <s v="NO"/>
    <s v="NO"/>
    <n v="29"/>
    <n v="0.91603897814407031"/>
    <s v="No"/>
    <n v="0.50466346628957348"/>
    <s v="No"/>
    <n v="52901448"/>
    <n v="29"/>
    <x v="0"/>
  </r>
  <r>
    <n v="374"/>
    <s v="HOMBRE"/>
    <n v="297000"/>
    <x v="3"/>
    <x v="1"/>
    <s v="SI"/>
    <s v="NO"/>
    <s v="NO"/>
    <n v="21"/>
    <n v="1.4806416187611704"/>
    <s v="No"/>
    <n v="0.37071168255189557"/>
    <s v="No"/>
    <n v="297000"/>
    <n v="21"/>
    <x v="3"/>
  </r>
  <r>
    <n v="375"/>
    <s v="HOMBRE"/>
    <n v="71145786"/>
    <x v="0"/>
    <x v="1"/>
    <s v="SI"/>
    <s v="SI"/>
    <s v="NO"/>
    <n v="44"/>
    <n v="0.14259097301299228"/>
    <s v="No"/>
    <n v="0.80826212951029708"/>
    <s v="No"/>
    <n v="71145786"/>
    <n v="44"/>
    <x v="0"/>
  </r>
  <r>
    <n v="376"/>
    <s v="HOMBRE"/>
    <n v="7655321"/>
    <x v="0"/>
    <x v="1"/>
    <s v="SI"/>
    <s v="SI"/>
    <s v="NO"/>
    <n v="43"/>
    <n v="7.2015642935854773E-2"/>
    <s v="No"/>
    <n v="0.24826402678335091"/>
    <s v="No"/>
    <n v="7655321"/>
    <n v="43"/>
    <x v="0"/>
  </r>
  <r>
    <n v="377"/>
    <s v="MUJER"/>
    <n v="300018"/>
    <x v="3"/>
    <x v="1"/>
    <s v="SI"/>
    <s v="NO"/>
    <s v="NO"/>
    <n v="55"/>
    <n v="0.91891960386150484"/>
    <s v="No"/>
    <n v="0.37066146090145252"/>
    <s v="No"/>
    <n v="300018"/>
    <n v="55"/>
    <x v="3"/>
  </r>
  <r>
    <n v="378"/>
    <s v="HOMBRE"/>
    <n v="594092"/>
    <x v="3"/>
    <x v="1"/>
    <s v="SI"/>
    <s v="NO"/>
    <s v="SI"/>
    <n v="53"/>
    <n v="0.77776894370722982"/>
    <s v="No"/>
    <n v="0.36576786195102906"/>
    <s v="No"/>
    <n v="594092"/>
    <n v="53"/>
    <x v="3"/>
  </r>
  <r>
    <n v="379"/>
    <s v="MUJER"/>
    <n v="94339665"/>
    <x v="0"/>
    <x v="0"/>
    <s v="SI"/>
    <s v="NO"/>
    <s v="NO"/>
    <n v="38"/>
    <n v="0.28086100744983278"/>
    <s v="No"/>
    <n v="1.1942246489123829"/>
    <s v="No"/>
    <n v="94339665"/>
    <n v="38"/>
    <x v="0"/>
  </r>
  <r>
    <n v="380"/>
    <s v="HOMBRE"/>
    <n v="280000"/>
    <x v="0"/>
    <x v="1"/>
    <s v="SI"/>
    <s v="NO"/>
    <s v="NO"/>
    <n v="33"/>
    <n v="0.63373765783552027"/>
    <s v="No"/>
    <n v="0.37099457455240292"/>
    <s v="No"/>
    <n v="280000"/>
    <n v="33"/>
    <x v="0"/>
  </r>
  <r>
    <n v="381"/>
    <s v="HOMBRE"/>
    <n v="14141305"/>
    <x v="0"/>
    <x v="0"/>
    <s v="SI"/>
    <s v="NO"/>
    <s v="NO"/>
    <n v="34"/>
    <n v="0.56316232775838282"/>
    <s v="No"/>
    <n v="0.14033267448813461"/>
    <s v="No"/>
    <n v="14141305"/>
    <n v="34"/>
    <x v="0"/>
  </r>
  <r>
    <n v="382"/>
    <s v="MUJER"/>
    <n v="300018"/>
    <x v="3"/>
    <x v="1"/>
    <s v="SI"/>
    <s v="NO"/>
    <s v="SI"/>
    <n v="32"/>
    <n v="0.70431298791265773"/>
    <s v="No"/>
    <n v="0.37066146090145252"/>
    <s v="No"/>
    <n v="300018"/>
    <n v="32"/>
    <x v="3"/>
  </r>
  <r>
    <n v="383"/>
    <s v="HOMBRE"/>
    <n v="69550819"/>
    <x v="0"/>
    <x v="1"/>
    <s v="SI"/>
    <s v="NO"/>
    <s v="NO"/>
    <n v="36"/>
    <n v="0.42201166760410774"/>
    <s v="No"/>
    <n v="0.78172075272363761"/>
    <s v="No"/>
    <n v="69550819"/>
    <n v="36"/>
    <x v="0"/>
  </r>
  <r>
    <n v="384"/>
    <s v="HOMBRE"/>
    <n v="343811"/>
    <x v="3"/>
    <x v="1"/>
    <s v="SI"/>
    <s v="NO"/>
    <s v="NO"/>
    <n v="64"/>
    <n v="1.5540975745557424"/>
    <s v="No"/>
    <n v="0.36993271446743969"/>
    <s v="No"/>
    <n v="343811"/>
    <n v="64"/>
    <x v="3"/>
  </r>
  <r>
    <n v="385"/>
    <s v="HOMBRE"/>
    <n v="356858"/>
    <x v="3"/>
    <x v="1"/>
    <s v="SI"/>
    <s v="NO"/>
    <s v="NO"/>
    <n v="57"/>
    <n v="1.0600702640157798"/>
    <s v="No"/>
    <n v="0.36971560317740326"/>
    <s v="No"/>
    <n v="356858"/>
    <n v="57"/>
    <x v="3"/>
  </r>
  <r>
    <n v="386"/>
    <s v="MUJER"/>
    <n v="131492486"/>
    <x v="0"/>
    <x v="1"/>
    <s v="SI"/>
    <s v="NO"/>
    <s v="NO"/>
    <n v="37"/>
    <n v="0.35143633752697023"/>
    <s v="No"/>
    <n v="1.8124738169818864"/>
    <s v="No"/>
    <n v="131492486"/>
    <n v="37"/>
    <x v="0"/>
  </r>
  <r>
    <n v="387"/>
    <s v="HOMBRE"/>
    <n v="65287258"/>
    <x v="0"/>
    <x v="1"/>
    <s v="SI"/>
    <s v="SI"/>
    <s v="NO"/>
    <n v="54"/>
    <n v="0.84834427378436728"/>
    <s v="No"/>
    <n v="0.71077208798392433"/>
    <s v="No"/>
    <n v="65287258"/>
    <n v="54"/>
    <x v="0"/>
  </r>
  <r>
    <n v="388"/>
    <s v="HOMBRE"/>
    <n v="297045"/>
    <x v="2"/>
    <x v="1"/>
    <s v="SI"/>
    <s v="NO"/>
    <s v="NO"/>
    <n v="44"/>
    <n v="0.14259097301299228"/>
    <s v="No"/>
    <n v="0.37071093372012948"/>
    <s v="No"/>
    <n v="297045"/>
    <n v="44"/>
    <x v="2"/>
  </r>
  <r>
    <n v="389"/>
    <s v="HOMBRE"/>
    <n v="4633137"/>
    <x v="0"/>
    <x v="0"/>
    <s v="SI"/>
    <s v="NO"/>
    <s v="NO"/>
    <n v="36"/>
    <n v="0.42201166760410774"/>
    <s v="No"/>
    <n v="0.2985553019398986"/>
    <s v="No"/>
    <n v="4633137"/>
    <n v="36"/>
    <x v="0"/>
  </r>
  <r>
    <n v="390"/>
    <s v="MUJER"/>
    <n v="144000"/>
    <x v="0"/>
    <x v="1"/>
    <s v="SI"/>
    <s v="NO"/>
    <s v="NO"/>
    <n v="20"/>
    <n v="1.5512169488383079"/>
    <s v="No"/>
    <n v="0.37325771055646173"/>
    <s v="No"/>
    <n v="144000"/>
    <n v="20"/>
    <x v="0"/>
  </r>
  <r>
    <n v="391"/>
    <s v="HOMBRE"/>
    <n v="610513"/>
    <x v="3"/>
    <x v="1"/>
    <s v="SI"/>
    <s v="NO"/>
    <s v="SI"/>
    <n v="34"/>
    <n v="0.56316232775838282"/>
    <s v="No"/>
    <n v="0.36549460491924485"/>
    <s v="No"/>
    <n v="610513"/>
    <n v="34"/>
    <x v="3"/>
  </r>
  <r>
    <n v="392"/>
    <s v="MUJER"/>
    <n v="950292"/>
    <x v="0"/>
    <x v="1"/>
    <s v="SI"/>
    <s v="NO"/>
    <s v="NO"/>
    <n v="38"/>
    <n v="0.28086100744983278"/>
    <s v="No"/>
    <n v="0.35984044250510444"/>
    <s v="No"/>
    <n v="950292"/>
    <n v="38"/>
    <x v="0"/>
  </r>
  <r>
    <n v="393"/>
    <s v="HOMBRE"/>
    <n v="798210"/>
    <x v="0"/>
    <x v="0"/>
    <s v="SI"/>
    <s v="NO"/>
    <s v="NO"/>
    <n v="39"/>
    <n v="0.21028567737269524"/>
    <s v="No"/>
    <n v="0.36237119434164322"/>
    <s v="No"/>
    <n v="798210"/>
    <n v="39"/>
    <x v="0"/>
  </r>
  <r>
    <n v="394"/>
    <s v="HOMBRE"/>
    <n v="783125"/>
    <x v="0"/>
    <x v="1"/>
    <s v="SI"/>
    <s v="NO"/>
    <s v="SI"/>
    <n v="32"/>
    <n v="0.70431298791265773"/>
    <s v="No"/>
    <n v="0.36262221939032868"/>
    <s v="No"/>
    <n v="783125"/>
    <n v="32"/>
    <x v="0"/>
  </r>
  <r>
    <n v="395"/>
    <s v="HOMBRE"/>
    <n v="46655321"/>
    <x v="0"/>
    <x v="1"/>
    <s v="SI"/>
    <s v="NO"/>
    <s v="NO"/>
    <n v="36"/>
    <n v="0.42201166760410774"/>
    <s v="No"/>
    <n v="0.40072350379233901"/>
    <s v="No"/>
    <n v="46655321"/>
    <n v="36"/>
    <x v="0"/>
  </r>
  <r>
    <n v="396"/>
    <s v="HOMBRE"/>
    <n v="14290"/>
    <x v="0"/>
    <x v="1"/>
    <s v="SI"/>
    <s v="NO"/>
    <s v="NO"/>
    <n v="57"/>
    <n v="1.0600702640157798"/>
    <s v="No"/>
    <n v="0.37541617652033282"/>
    <s v="No"/>
    <n v="14290"/>
    <n v="57"/>
    <x v="0"/>
  </r>
  <r>
    <n v="397"/>
    <s v="HOMBRE"/>
    <n v="289448"/>
    <x v="3"/>
    <x v="1"/>
    <s v="SI"/>
    <s v="NO"/>
    <s v="NO"/>
    <n v="52"/>
    <n v="0.70719361363009237"/>
    <s v="No"/>
    <n v="0.37083735316294447"/>
    <s v="No"/>
    <n v="289448"/>
    <n v="52"/>
    <x v="3"/>
  </r>
  <r>
    <n v="398"/>
    <s v="HOMBRE"/>
    <n v="3234327"/>
    <x v="0"/>
    <x v="1"/>
    <s v="SI"/>
    <s v="SI"/>
    <s v="NO"/>
    <n v="50"/>
    <n v="0.56604295347581735"/>
    <s v="No"/>
    <n v="0.32183248777693912"/>
    <s v="No"/>
    <n v="3234327"/>
    <n v="50"/>
    <x v="0"/>
  </r>
  <r>
    <n v="399"/>
    <s v="MUJER"/>
    <n v="577151"/>
    <x v="0"/>
    <x v="0"/>
    <s v="SI"/>
    <s v="NO"/>
    <s v="NO"/>
    <n v="34"/>
    <n v="0.56316232775838282"/>
    <s v="No"/>
    <n v="0.3660497721498876"/>
    <s v="No"/>
    <n v="577151"/>
    <n v="34"/>
    <x v="0"/>
  </r>
  <r>
    <n v="400"/>
    <s v="HOMBRE"/>
    <n v="6223356"/>
    <x v="0"/>
    <x v="1"/>
    <s v="SI"/>
    <s v="NO"/>
    <s v="NO"/>
    <n v="50"/>
    <n v="0.56604295347581735"/>
    <s v="No"/>
    <n v="0.27209293522491035"/>
    <s v="No"/>
    <n v="6223356"/>
    <n v="50"/>
    <x v="0"/>
  </r>
  <r>
    <n v="401"/>
    <s v="MUJER"/>
    <n v="205048"/>
    <x v="0"/>
    <x v="1"/>
    <s v="SI"/>
    <s v="SI"/>
    <s v="NO"/>
    <n v="36"/>
    <n v="0.42201166760410774"/>
    <s v="No"/>
    <n v="0.3722418287419339"/>
    <s v="No"/>
    <n v="205048"/>
    <n v="36"/>
    <x v="0"/>
  </r>
  <r>
    <n v="402"/>
    <s v="HOMBRE"/>
    <n v="27803099"/>
    <x v="4"/>
    <x v="1"/>
    <s v="SI"/>
    <s v="NO"/>
    <s v="NO"/>
    <n v="52"/>
    <n v="0.70719361363009237"/>
    <s v="No"/>
    <n v="8.7009221698885322E-2"/>
    <s v="No"/>
    <n v="27803099"/>
    <n v="52"/>
    <x v="4"/>
  </r>
  <r>
    <n v="403"/>
    <s v="HOMBRE"/>
    <n v="42569965"/>
    <x v="0"/>
    <x v="1"/>
    <s v="SI"/>
    <s v="NO"/>
    <s v="NO"/>
    <n v="42"/>
    <n v="1.4403128587172659E-3"/>
    <s v="No"/>
    <n v="0.33274029604970878"/>
    <s v="No"/>
    <n v="42569965"/>
    <n v="42"/>
    <x v="0"/>
  </r>
  <r>
    <n v="404"/>
    <s v="HOMBRE"/>
    <n v="7411877"/>
    <x v="0"/>
    <x v="0"/>
    <s v="SI"/>
    <s v="NO"/>
    <s v="NO"/>
    <n v="22"/>
    <n v="1.4100662886840327"/>
    <s v="No"/>
    <n v="0.25231510679343983"/>
    <s v="No"/>
    <n v="7411877"/>
    <n v="22"/>
    <x v="0"/>
  </r>
  <r>
    <n v="405"/>
    <s v="HOMBRE"/>
    <n v="1063180"/>
    <x v="0"/>
    <x v="1"/>
    <s v="SI"/>
    <s v="NO"/>
    <s v="NO"/>
    <n v="55"/>
    <n v="0.91891960386150484"/>
    <s v="No"/>
    <n v="0.35796190649608833"/>
    <s v="No"/>
    <n v="1063180"/>
    <n v="55"/>
    <x v="0"/>
  </r>
  <r>
    <n v="406"/>
    <s v="HOMBRE"/>
    <n v="614527"/>
    <x v="0"/>
    <x v="1"/>
    <s v="SI"/>
    <s v="NO"/>
    <s v="NO"/>
    <n v="38"/>
    <n v="0.28086100744983278"/>
    <s v="No"/>
    <n v="0.36542780912571332"/>
    <s v="No"/>
    <n v="614527"/>
    <n v="38"/>
    <x v="0"/>
  </r>
  <r>
    <n v="407"/>
    <s v="HOMBRE"/>
    <n v="278030"/>
    <x v="4"/>
    <x v="1"/>
    <s v="SI"/>
    <s v="NO"/>
    <s v="NO"/>
    <n v="42"/>
    <n v="1.4403128587172659E-3"/>
    <s v="No"/>
    <n v="0.37102735674304993"/>
    <s v="No"/>
    <n v="278030"/>
    <n v="42"/>
    <x v="4"/>
  </r>
  <r>
    <n v="408"/>
    <s v="MUJER"/>
    <n v="398320"/>
    <x v="0"/>
    <x v="0"/>
    <s v="SI"/>
    <s v="NO"/>
    <s v="SI"/>
    <n v="62"/>
    <n v="1.4129469144014672"/>
    <s v="No"/>
    <n v="0.36902564622887174"/>
    <s v="No"/>
    <n v="398320"/>
    <n v="62"/>
    <x v="0"/>
  </r>
  <r>
    <n v="409"/>
    <s v="HOMBRE"/>
    <n v="302188"/>
    <x v="2"/>
    <x v="1"/>
    <s v="SI"/>
    <s v="NO"/>
    <s v="NO"/>
    <n v="36"/>
    <n v="0.42201166760410774"/>
    <s v="No"/>
    <n v="0.37062535056962309"/>
    <s v="No"/>
    <n v="302188"/>
    <n v="36"/>
    <x v="2"/>
  </r>
  <r>
    <n v="410"/>
    <s v="HOMBRE"/>
    <n v="500000"/>
    <x v="0"/>
    <x v="1"/>
    <s v="SI"/>
    <s v="NO"/>
    <s v="NO"/>
    <n v="22"/>
    <n v="1.4100662886840327"/>
    <s v="No"/>
    <n v="0.36733361925171953"/>
    <s v="No"/>
    <n v="500000"/>
    <n v="22"/>
    <x v="0"/>
  </r>
  <r>
    <n v="411"/>
    <s v="MUJER"/>
    <n v="594092"/>
    <x v="3"/>
    <x v="1"/>
    <s v="SI"/>
    <s v="NO"/>
    <s v="NO"/>
    <n v="55"/>
    <n v="0.91891960386150484"/>
    <s v="No"/>
    <n v="0.36576786195102906"/>
    <s v="No"/>
    <n v="594092"/>
    <n v="55"/>
    <x v="3"/>
  </r>
  <r>
    <n v="412"/>
    <s v="HOMBRE"/>
    <n v="639148"/>
    <x v="3"/>
    <x v="1"/>
    <s v="SI"/>
    <s v="SI"/>
    <s v="SI"/>
    <n v="49"/>
    <n v="0.49546762339867978"/>
    <s v="No"/>
    <n v="0.36501809830544912"/>
    <s v="No"/>
    <n v="639148"/>
    <n v="49"/>
    <x v="3"/>
  </r>
  <r>
    <n v="413"/>
    <s v="HOMBRE"/>
    <n v="415861"/>
    <x v="3"/>
    <x v="1"/>
    <s v="SI"/>
    <s v="SI"/>
    <s v="SI"/>
    <n v="45"/>
    <n v="0.21316630309012977"/>
    <s v="No"/>
    <n v="0.36873375160646588"/>
    <s v="No"/>
    <n v="415861"/>
    <n v="45"/>
    <x v="3"/>
  </r>
  <r>
    <n v="414"/>
    <s v="HOMBRE"/>
    <n v="85432845"/>
    <x v="0"/>
    <x v="0"/>
    <s v="SI"/>
    <s v="NO"/>
    <s v="NO"/>
    <n v="50"/>
    <n v="0.56604295347581735"/>
    <s v="No"/>
    <n v="1.046008876679507"/>
    <s v="No"/>
    <n v="85432845"/>
    <n v="50"/>
    <x v="0"/>
  </r>
  <r>
    <n v="415"/>
    <s v="HOMBRE"/>
    <n v="293000"/>
    <x v="0"/>
    <x v="1"/>
    <s v="SI"/>
    <s v="NO"/>
    <s v="NO"/>
    <n v="38"/>
    <n v="0.28086100744983278"/>
    <s v="No"/>
    <n v="0.37077824537554432"/>
    <s v="No"/>
    <n v="293000"/>
    <n v="38"/>
    <x v="0"/>
  </r>
  <r>
    <n v="416"/>
    <s v="HOMBRE"/>
    <n v="213192"/>
    <x v="0"/>
    <x v="1"/>
    <s v="SI"/>
    <s v="NO"/>
    <s v="NO"/>
    <n v="30"/>
    <n v="0.84546364806693275"/>
    <s v="No"/>
    <n v="0.37210630683298496"/>
    <s v="No"/>
    <n v="213192"/>
    <n v="30"/>
    <x v="0"/>
  </r>
  <r>
    <n v="417"/>
    <s v="MUJER"/>
    <n v="5063660"/>
    <x v="0"/>
    <x v="0"/>
    <s v="SI"/>
    <s v="NO"/>
    <s v="SI"/>
    <n v="40"/>
    <n v="0.13971034729555773"/>
    <s v="No"/>
    <n v="0.29139109530846175"/>
    <s v="No"/>
    <n v="5063660"/>
    <n v="40"/>
    <x v="0"/>
  </r>
  <r>
    <n v="418"/>
    <s v="MUJER"/>
    <n v="736280"/>
    <x v="0"/>
    <x v="1"/>
    <s v="SI"/>
    <s v="NO"/>
    <s v="NO"/>
    <n v="33"/>
    <n v="0.63373765783552027"/>
    <s v="No"/>
    <n v="0.36340175325878554"/>
    <s v="No"/>
    <n v="736280"/>
    <n v="33"/>
    <x v="0"/>
  </r>
  <r>
    <n v="419"/>
    <s v="HOMBRE"/>
    <n v="200000"/>
    <x v="0"/>
    <x v="1"/>
    <s v="SI"/>
    <s v="NO"/>
    <s v="NO"/>
    <n v="46"/>
    <n v="0.2837416331672673"/>
    <s v="No"/>
    <n v="0.3723258310253787"/>
    <s v="No"/>
    <n v="200000"/>
    <n v="46"/>
    <x v="0"/>
  </r>
  <r>
    <n v="420"/>
    <s v="HOMBRE"/>
    <n v="92670"/>
    <x v="0"/>
    <x v="1"/>
    <s v="SI"/>
    <s v="NO"/>
    <s v="NO"/>
    <n v="22"/>
    <n v="1.4100662886840327"/>
    <s v="No"/>
    <n v="0.37411187799093482"/>
    <s v="No"/>
    <n v="92670"/>
    <n v="22"/>
    <x v="0"/>
  </r>
  <r>
    <n v="421"/>
    <s v="HOMBRE"/>
    <n v="4927391"/>
    <x v="0"/>
    <x v="1"/>
    <s v="SI"/>
    <s v="SI"/>
    <s v="NO"/>
    <n v="45"/>
    <n v="0.21316630309012977"/>
    <s v="No"/>
    <n v="0.29365870766241092"/>
    <s v="No"/>
    <n v="4927391"/>
    <n v="45"/>
    <x v="0"/>
  </r>
  <r>
    <n v="422"/>
    <s v="HOMBRE"/>
    <n v="13622442"/>
    <x v="0"/>
    <x v="1"/>
    <s v="SI"/>
    <s v="NO"/>
    <s v="NO"/>
    <n v="30"/>
    <n v="0.84546364806693275"/>
    <s v="No"/>
    <n v="0.14896692107985496"/>
    <s v="No"/>
    <n v="13622442"/>
    <n v="30"/>
    <x v="0"/>
  </r>
  <r>
    <n v="423"/>
    <s v="HOMBRE"/>
    <n v="1189549"/>
    <x v="3"/>
    <x v="1"/>
    <s v="SI"/>
    <s v="NO"/>
    <s v="NO"/>
    <n v="50"/>
    <n v="0.56604295347581735"/>
    <s v="No"/>
    <n v="0.35585903713066985"/>
    <s v="No"/>
    <n v="1189549"/>
    <n v="50"/>
    <x v="3"/>
  </r>
  <r>
    <n v="424"/>
    <s v="MUJER"/>
    <n v="339035"/>
    <x v="0"/>
    <x v="1"/>
    <s v="SI"/>
    <s v="NO"/>
    <s v="NO"/>
    <n v="40"/>
    <n v="0.13971034729555773"/>
    <s v="No"/>
    <n v="0.37001219047887635"/>
    <s v="No"/>
    <n v="339035"/>
    <n v="40"/>
    <x v="0"/>
  </r>
  <r>
    <n v="425"/>
    <s v="HOMBRE"/>
    <n v="581850"/>
    <x v="0"/>
    <x v="1"/>
    <s v="SI"/>
    <s v="NO"/>
    <s v="NO"/>
    <n v="32"/>
    <n v="0.70431298791265773"/>
    <s v="No"/>
    <n v="0.36597157747280618"/>
    <s v="No"/>
    <n v="581850"/>
    <n v="32"/>
    <x v="0"/>
  </r>
  <r>
    <n v="426"/>
    <s v="HOMBRE"/>
    <n v="425737"/>
    <x v="3"/>
    <x v="1"/>
    <s v="SI"/>
    <s v="NO"/>
    <s v="SI"/>
    <n v="52"/>
    <n v="0.70719361363009237"/>
    <s v="No"/>
    <n v="0.36856940799487703"/>
    <s v="No"/>
    <n v="425737"/>
    <n v="52"/>
    <x v="3"/>
  </r>
  <r>
    <n v="427"/>
    <s v="MUJER"/>
    <n v="622188"/>
    <x v="0"/>
    <x v="1"/>
    <s v="SI"/>
    <s v="NO"/>
    <s v="NO"/>
    <n v="31"/>
    <n v="0.77488831798979529"/>
    <s v="No"/>
    <n v="0.36530032467771995"/>
    <s v="No"/>
    <n v="622188"/>
    <n v="31"/>
    <x v="0"/>
  </r>
  <r>
    <n v="428"/>
    <s v="MUJER"/>
    <n v="519825"/>
    <x v="3"/>
    <x v="1"/>
    <s v="SI"/>
    <s v="NO"/>
    <s v="SI"/>
    <n v="52"/>
    <n v="0.70719361363009237"/>
    <s v="No"/>
    <n v="0.3670037172570102"/>
    <s v="No"/>
    <n v="519825"/>
    <n v="52"/>
    <x v="3"/>
  </r>
  <r>
    <n v="429"/>
    <s v="MUJER"/>
    <n v="651555"/>
    <x v="0"/>
    <x v="1"/>
    <s v="SI"/>
    <s v="NO"/>
    <s v="NO"/>
    <n v="39"/>
    <n v="0.21028567737269524"/>
    <s v="No"/>
    <n v="0.36481163706719649"/>
    <s v="No"/>
    <n v="651555"/>
    <n v="39"/>
    <x v="0"/>
  </r>
  <r>
    <n v="430"/>
    <s v="HOMBRE"/>
    <n v="432667"/>
    <x v="0"/>
    <x v="1"/>
    <s v="SI"/>
    <s v="NO"/>
    <s v="NO"/>
    <n v="23"/>
    <n v="1.3394909586068953"/>
    <s v="No"/>
    <n v="0.36845408790290551"/>
    <s v="No"/>
    <n v="432667"/>
    <n v="23"/>
    <x v="0"/>
  </r>
  <r>
    <n v="431"/>
    <s v="MUJER"/>
    <n v="575270"/>
    <x v="0"/>
    <x v="1"/>
    <s v="SI"/>
    <s v="NO"/>
    <s v="NO"/>
    <n v="54"/>
    <n v="0.84834427378436728"/>
    <s v="No"/>
    <n v="0.36608107331770845"/>
    <s v="No"/>
    <n v="575270"/>
    <n v="54"/>
    <x v="0"/>
  </r>
  <r>
    <n v="432"/>
    <s v="MUJER"/>
    <n v="297046"/>
    <x v="2"/>
    <x v="1"/>
    <s v="SI"/>
    <s v="NO"/>
    <s v="NO"/>
    <n v="54"/>
    <n v="0.84834427378436728"/>
    <s v="No"/>
    <n v="0.37071091707942361"/>
    <s v="No"/>
    <n v="297046"/>
    <n v="54"/>
    <x v="2"/>
  </r>
  <r>
    <n v="433"/>
    <s v="HOMBRE"/>
    <n v="10714667"/>
    <x v="0"/>
    <x v="1"/>
    <s v="SI"/>
    <s v="SI"/>
    <s v="NO"/>
    <n v="34"/>
    <n v="0.56316232775838282"/>
    <s v="No"/>
    <n v="0.19735434971369412"/>
    <s v="No"/>
    <n v="10714667"/>
    <n v="34"/>
    <x v="0"/>
  </r>
  <r>
    <n v="434"/>
    <s v="MUJER"/>
    <n v="389357"/>
    <x v="0"/>
    <x v="1"/>
    <s v="SI"/>
    <s v="NO"/>
    <s v="SI"/>
    <n v="51"/>
    <n v="0.6366182835529548"/>
    <s v="No"/>
    <n v="0.36917479687596277"/>
    <s v="No"/>
    <n v="389357"/>
    <n v="51"/>
    <x v="0"/>
  </r>
  <r>
    <n v="435"/>
    <s v="HOMBRE"/>
    <n v="408495"/>
    <x v="0"/>
    <x v="1"/>
    <s v="SI"/>
    <s v="NO"/>
    <s v="NO"/>
    <n v="49"/>
    <n v="0.49546762339867978"/>
    <s v="No"/>
    <n v="0.36885632704621513"/>
    <s v="No"/>
    <n v="408495"/>
    <n v="49"/>
    <x v="0"/>
  </r>
  <r>
    <n v="436"/>
    <s v="HOMBRE"/>
    <n v="150222"/>
    <x v="0"/>
    <x v="1"/>
    <s v="SI"/>
    <s v="NO"/>
    <s v="NO"/>
    <n v="56"/>
    <n v="0.9894949339386423"/>
    <s v="No"/>
    <n v="0.37315417208427604"/>
    <s v="No"/>
    <n v="150222"/>
    <n v="56"/>
    <x v="0"/>
  </r>
  <r>
    <n v="437"/>
    <s v="MUJER"/>
    <n v="297046"/>
    <x v="2"/>
    <x v="1"/>
    <s v="SI"/>
    <s v="SI"/>
    <s v="NO"/>
    <n v="47"/>
    <n v="0.35431696324440481"/>
    <s v="No"/>
    <n v="0.37071091707942361"/>
    <s v="No"/>
    <n v="297046"/>
    <n v="47"/>
    <x v="2"/>
  </r>
  <r>
    <n v="438"/>
    <s v="HOMBRE"/>
    <n v="10422543"/>
    <x v="0"/>
    <x v="1"/>
    <s v="SI"/>
    <s v="NO"/>
    <s v="NO"/>
    <n v="41"/>
    <n v="6.9135017218420233E-2"/>
    <s v="No"/>
    <n v="0.20221549928758881"/>
    <s v="No"/>
    <n v="10422543"/>
    <n v="41"/>
    <x v="0"/>
  </r>
  <r>
    <n v="439"/>
    <s v="HOMBRE"/>
    <n v="685221"/>
    <x v="1"/>
    <x v="0"/>
    <s v="SI"/>
    <s v="NO"/>
    <s v="NO"/>
    <n v="81"/>
    <n v="2.7538781858670798"/>
    <s v="Sí"/>
    <n v="0.36425141106195646"/>
    <s v="No"/>
    <n v="685221"/>
    <n v="81"/>
    <x v="1"/>
  </r>
  <r>
    <n v="440"/>
    <s v="HOMBRE"/>
    <n v="80674007"/>
    <x v="0"/>
    <x v="1"/>
    <s v="SI"/>
    <s v="NO"/>
    <s v="NO"/>
    <n v="23"/>
    <n v="1.3394909586068953"/>
    <s v="No"/>
    <n v="0.9668184530377183"/>
    <s v="No"/>
    <n v="80674007"/>
    <n v="23"/>
    <x v="0"/>
  </r>
  <r>
    <n v="441"/>
    <s v="MUJER"/>
    <n v="140000"/>
    <x v="0"/>
    <x v="1"/>
    <s v="SI"/>
    <s v="SI"/>
    <s v="NO"/>
    <n v="39"/>
    <n v="0.21028567737269524"/>
    <s v="No"/>
    <n v="0.37332427338011048"/>
    <s v="No"/>
    <n v="140000"/>
    <n v="39"/>
    <x v="0"/>
  </r>
  <r>
    <n v="442"/>
    <s v="MUJER"/>
    <n v="567930"/>
    <x v="3"/>
    <x v="1"/>
    <s v="SI"/>
    <s v="NO"/>
    <s v="SI"/>
    <n v="74"/>
    <n v="2.2598508753271176"/>
    <s v="Sí"/>
    <n v="0.36620321609910395"/>
    <s v="No"/>
    <n v="567930"/>
    <n v="74"/>
    <x v="3"/>
  </r>
  <r>
    <n v="443"/>
    <s v="HOMBRE"/>
    <n v="539324"/>
    <x v="0"/>
    <x v="0"/>
    <s v="SI"/>
    <s v="NO"/>
    <s v="NO"/>
    <n v="38"/>
    <n v="0.28086100744983278"/>
    <s v="No"/>
    <n v="0.36667924013242825"/>
    <s v="No"/>
    <n v="539324"/>
    <n v="38"/>
    <x v="0"/>
  </r>
  <r>
    <n v="444"/>
    <s v="MUJER"/>
    <n v="10563333"/>
    <x v="0"/>
    <x v="0"/>
    <s v="SI"/>
    <s v="NO"/>
    <s v="NO"/>
    <n v="40"/>
    <n v="0.13971034729555773"/>
    <s v="No"/>
    <n v="0.19987265430221057"/>
    <s v="No"/>
    <n v="10563333"/>
    <n v="40"/>
    <x v="0"/>
  </r>
  <r>
    <n v="445"/>
    <s v="HOMBRE"/>
    <n v="310544"/>
    <x v="2"/>
    <x v="1"/>
    <s v="SI"/>
    <s v="NO"/>
    <s v="NO"/>
    <n v="58"/>
    <n v="1.1306455940929174"/>
    <s v="No"/>
    <n v="0.37048630083102074"/>
    <s v="No"/>
    <n v="310544"/>
    <n v="58"/>
    <x v="2"/>
  </r>
  <r>
    <n v="446"/>
    <s v="MUJER"/>
    <n v="37532153"/>
    <x v="0"/>
    <x v="1"/>
    <s v="SI"/>
    <s v="NO"/>
    <s v="SI"/>
    <n v="32"/>
    <n v="0.70431298791265773"/>
    <s v="No"/>
    <n v="0.2489075481167709"/>
    <s v="No"/>
    <n v="37532153"/>
    <n v="32"/>
    <x v="0"/>
  </r>
  <r>
    <n v="447"/>
    <s v="HOMBRE"/>
    <n v="255660"/>
    <x v="0"/>
    <x v="1"/>
    <s v="SI"/>
    <s v="SI"/>
    <s v="NO"/>
    <n v="22"/>
    <n v="1.4100662886840327"/>
    <s v="No"/>
    <n v="0.37139960933430577"/>
    <s v="No"/>
    <n v="255660"/>
    <n v="22"/>
    <x v="0"/>
  </r>
  <r>
    <n v="448"/>
    <s v="MUJER"/>
    <n v="2138625"/>
    <x v="0"/>
    <x v="1"/>
    <s v="SI"/>
    <s v="NO"/>
    <s v="NO"/>
    <n v="32"/>
    <n v="0.70431298791265773"/>
    <s v="No"/>
    <n v="0.34006574252634542"/>
    <s v="No"/>
    <n v="2138625"/>
    <n v="32"/>
    <x v="0"/>
  </r>
  <r>
    <n v="449"/>
    <s v="MUJER"/>
    <n v="404463"/>
    <x v="3"/>
    <x v="1"/>
    <s v="SI"/>
    <s v="NO"/>
    <s v="SI"/>
    <n v="38"/>
    <n v="0.28086100744983278"/>
    <s v="No"/>
    <n v="0.36892342237245312"/>
    <s v="No"/>
    <n v="404463"/>
    <n v="38"/>
    <x v="3"/>
  </r>
  <r>
    <n v="450"/>
    <s v="HOMBRE"/>
    <n v="5712732"/>
    <x v="0"/>
    <x v="1"/>
    <s v="SI"/>
    <s v="NO"/>
    <s v="NO"/>
    <n v="37"/>
    <n v="0.35143633752697023"/>
    <s v="No"/>
    <n v="0.28059007904062011"/>
    <s v="No"/>
    <n v="5712732"/>
    <n v="37"/>
    <x v="0"/>
  </r>
  <r>
    <n v="451"/>
    <s v="MUJER"/>
    <n v="163302324"/>
    <x v="0"/>
    <x v="0"/>
    <s v="SI"/>
    <s v="NO"/>
    <s v="NO"/>
    <n v="31"/>
    <n v="0.77488831798979529"/>
    <s v="No"/>
    <n v="2.3418119762545206"/>
    <s v="Sí"/>
    <n v="163302324"/>
    <n v="31"/>
    <x v="0"/>
  </r>
  <r>
    <n v="452"/>
    <s v="HOMBRE"/>
    <n v="269000"/>
    <x v="0"/>
    <x v="1"/>
    <s v="SI"/>
    <s v="SI"/>
    <s v="NO"/>
    <n v="43"/>
    <n v="7.2015642935854773E-2"/>
    <s v="No"/>
    <n v="0.37117762231743706"/>
    <s v="No"/>
    <n v="269000"/>
    <n v="43"/>
    <x v="0"/>
  </r>
  <r>
    <n v="453"/>
    <s v="HOMBRE"/>
    <n v="53166667"/>
    <x v="0"/>
    <x v="1"/>
    <s v="SI"/>
    <s v="NO"/>
    <s v="NO"/>
    <n v="29"/>
    <n v="0.91603897814407031"/>
    <s v="No"/>
    <n v="0.50907689767090047"/>
    <s v="No"/>
    <n v="53166667"/>
    <n v="29"/>
    <x v="0"/>
  </r>
  <r>
    <n v="454"/>
    <s v="MUJER"/>
    <n v="326339364"/>
    <x v="0"/>
    <x v="0"/>
    <s v="SI"/>
    <s v="NO"/>
    <s v="NO"/>
    <n v="39"/>
    <n v="0.21028567737269524"/>
    <s v="No"/>
    <n v="5.0548634116896487"/>
    <s v="Sí"/>
    <n v="326339364"/>
    <n v="39"/>
    <x v="0"/>
  </r>
  <r>
    <n v="455"/>
    <s v="HOMBRE"/>
    <n v="404950"/>
    <x v="0"/>
    <x v="1"/>
    <s v="SI"/>
    <s v="SI"/>
    <s v="NO"/>
    <n v="36"/>
    <n v="0.42201166760410774"/>
    <s v="No"/>
    <n v="0.36891531834867386"/>
    <s v="No"/>
    <n v="404950"/>
    <n v="36"/>
    <x v="0"/>
  </r>
  <r>
    <n v="456"/>
    <s v="HOMBRE"/>
    <n v="154993632"/>
    <x v="0"/>
    <x v="1"/>
    <s v="SI"/>
    <s v="NO"/>
    <s v="NO"/>
    <n v="39"/>
    <n v="0.21028567737269524"/>
    <s v="No"/>
    <n v="2.2035494761674954"/>
    <s v="Sí"/>
    <n v="154993632"/>
    <n v="39"/>
    <x v="0"/>
  </r>
  <r>
    <n v="457"/>
    <s v="MUJER"/>
    <n v="300018"/>
    <x v="3"/>
    <x v="1"/>
    <s v="SI"/>
    <s v="NO"/>
    <s v="NO"/>
    <n v="56"/>
    <n v="0.9894949339386423"/>
    <s v="No"/>
    <n v="0.37066146090145252"/>
    <s v="No"/>
    <n v="300018"/>
    <n v="56"/>
    <x v="3"/>
  </r>
  <r>
    <n v="458"/>
    <s v="MUJER"/>
    <n v="157790"/>
    <x v="0"/>
    <x v="1"/>
    <s v="SI"/>
    <s v="NO"/>
    <s v="NO"/>
    <n v="24"/>
    <n v="1.2689156285297578"/>
    <s v="No"/>
    <n v="0.37302823522193251"/>
    <s v="No"/>
    <n v="157790"/>
    <n v="24"/>
    <x v="0"/>
  </r>
  <r>
    <n v="459"/>
    <s v="HOMBRE"/>
    <n v="164203778"/>
    <x v="1"/>
    <x v="0"/>
    <s v="SI"/>
    <s v="NO"/>
    <s v="NO"/>
    <n v="80"/>
    <n v="2.6833028557899423"/>
    <s v="Sí"/>
    <n v="2.3568128071618943"/>
    <s v="Sí"/>
    <n v="164203778"/>
    <n v="80"/>
    <x v="1"/>
  </r>
  <r>
    <n v="460"/>
    <s v="HOMBRE"/>
    <n v="33520506"/>
    <x v="0"/>
    <x v="1"/>
    <s v="SI"/>
    <s v="SI"/>
    <s v="NO"/>
    <n v="52"/>
    <n v="0.70719361363009237"/>
    <s v="No"/>
    <n v="0.18215091016622284"/>
    <s v="No"/>
    <n v="33520506"/>
    <n v="52"/>
    <x v="0"/>
  </r>
  <r>
    <n v="461"/>
    <s v="MUJER"/>
    <n v="639148"/>
    <x v="3"/>
    <x v="1"/>
    <s v="SI"/>
    <s v="SI"/>
    <s v="NO"/>
    <n v="44"/>
    <n v="0.14259097301299228"/>
    <s v="No"/>
    <n v="0.36501809830544912"/>
    <s v="No"/>
    <n v="639148"/>
    <n v="44"/>
    <x v="3"/>
  </r>
  <r>
    <n v="462"/>
    <s v="HOMBRE"/>
    <n v="31696469"/>
    <x v="0"/>
    <x v="1"/>
    <s v="SI"/>
    <s v="SI"/>
    <s v="NO"/>
    <n v="19"/>
    <n v="1.6217922789154453"/>
    <s v="No"/>
    <n v="0.15179764687625644"/>
    <s v="No"/>
    <n v="31696469"/>
    <n v="19"/>
    <x v="0"/>
  </r>
  <r>
    <n v="463"/>
    <s v="MUJER"/>
    <n v="52537354"/>
    <x v="0"/>
    <x v="1"/>
    <s v="SI"/>
    <s v="NO"/>
    <s v="NO"/>
    <n v="27"/>
    <n v="1.0571896382983452"/>
    <s v="No"/>
    <n v="0.49860468511117789"/>
    <s v="No"/>
    <n v="52537354"/>
    <n v="27"/>
    <x v="0"/>
  </r>
  <r>
    <n v="464"/>
    <s v="MUJER"/>
    <n v="150000"/>
    <x v="0"/>
    <x v="1"/>
    <s v="SI"/>
    <s v="NO"/>
    <s v="NO"/>
    <n v="42"/>
    <n v="1.4403128587172659E-3"/>
    <s v="No"/>
    <n v="0.37315786632098852"/>
    <s v="No"/>
    <n v="150000"/>
    <n v="42"/>
    <x v="0"/>
  </r>
  <r>
    <n v="465"/>
    <s v="MUJER"/>
    <n v="1346033"/>
    <x v="1"/>
    <x v="0"/>
    <s v="SI"/>
    <s v="NO"/>
    <s v="NO"/>
    <n v="55"/>
    <n v="0.91891960386150484"/>
    <s v="No"/>
    <n v="0.35325503290670562"/>
    <s v="No"/>
    <n v="1346033"/>
    <n v="55"/>
    <x v="1"/>
  </r>
  <r>
    <n v="466"/>
    <s v="MUJER"/>
    <n v="96327853"/>
    <x v="0"/>
    <x v="0"/>
    <s v="SI"/>
    <s v="NO"/>
    <s v="NO"/>
    <n v="57"/>
    <n v="1.0600702640157798"/>
    <s v="No"/>
    <n v="1.2273095007185424"/>
    <s v="No"/>
    <n v="96327853"/>
    <n v="57"/>
    <x v="0"/>
  </r>
  <r>
    <n v="467"/>
    <s v="HOMBRE"/>
    <n v="217278641"/>
    <x v="0"/>
    <x v="0"/>
    <s v="SI"/>
    <s v="NO"/>
    <s v="NO"/>
    <n v="34"/>
    <n v="0.56316232775838282"/>
    <s v="No"/>
    <n v="3.2400159936750499"/>
    <s v="Sí"/>
    <n v="217278641"/>
    <n v="34"/>
    <x v="0"/>
  </r>
  <r>
    <n v="468"/>
    <s v="HOMBRE"/>
    <n v="400000"/>
    <x v="0"/>
    <x v="1"/>
    <s v="SI"/>
    <s v="NO"/>
    <s v="NO"/>
    <n v="35"/>
    <n v="0.49258699768124525"/>
    <s v="No"/>
    <n v="0.36899768984293924"/>
    <s v="No"/>
    <n v="400000"/>
    <n v="35"/>
    <x v="0"/>
  </r>
  <r>
    <n v="469"/>
    <s v="MUJER"/>
    <n v="35525275"/>
    <x v="0"/>
    <x v="1"/>
    <s v="SI"/>
    <s v="NO"/>
    <s v="NO"/>
    <n v="47"/>
    <n v="0.35431696324440481"/>
    <s v="No"/>
    <n v="0.21551168151711247"/>
    <s v="No"/>
    <n v="35525275"/>
    <n v="47"/>
    <x v="0"/>
  </r>
  <r>
    <n v="470"/>
    <s v="HOMBRE"/>
    <n v="451135"/>
    <x v="0"/>
    <x v="1"/>
    <s v="SI"/>
    <s v="NO"/>
    <s v="NO"/>
    <n v="28"/>
    <n v="0.98661430822120777"/>
    <s v="No"/>
    <n v="0.36814676734611901"/>
    <s v="No"/>
    <n v="451135"/>
    <n v="28"/>
    <x v="0"/>
  </r>
  <r>
    <n v="471"/>
    <s v="MUJER"/>
    <n v="1554200"/>
    <x v="0"/>
    <x v="0"/>
    <s v="SI"/>
    <s v="NO"/>
    <s v="SI"/>
    <n v="55"/>
    <n v="0.91891960386150484"/>
    <s v="No"/>
    <n v="0.34979098707908124"/>
    <s v="No"/>
    <n v="1554200"/>
    <n v="55"/>
    <x v="0"/>
  </r>
  <r>
    <n v="472"/>
    <s v="MUJER"/>
    <n v="300000"/>
    <x v="3"/>
    <x v="1"/>
    <s v="SI"/>
    <s v="NO"/>
    <s v="NO"/>
    <n v="41"/>
    <n v="6.9135017218420233E-2"/>
    <s v="No"/>
    <n v="0.37066176043415894"/>
    <s v="No"/>
    <n v="300000"/>
    <n v="41"/>
    <x v="3"/>
  </r>
  <r>
    <n v="473"/>
    <s v="HOMBRE"/>
    <n v="22979917"/>
    <x v="0"/>
    <x v="1"/>
    <s v="SI"/>
    <s v="NO"/>
    <s v="NO"/>
    <n v="34"/>
    <n v="0.56316232775838282"/>
    <s v="No"/>
    <n v="6.748068475882313E-3"/>
    <s v="No"/>
    <n v="22979917"/>
    <n v="34"/>
    <x v="0"/>
  </r>
  <r>
    <n v="474"/>
    <s v="HOMBRE"/>
    <n v="202270"/>
    <x v="0"/>
    <x v="1"/>
    <s v="SI"/>
    <s v="NO"/>
    <s v="SI"/>
    <n v="27"/>
    <n v="1.0571896382983452"/>
    <s v="No"/>
    <n v="0.372288056622958"/>
    <s v="No"/>
    <n v="202270"/>
    <n v="27"/>
    <x v="0"/>
  </r>
  <r>
    <n v="475"/>
    <s v="HOMBRE"/>
    <n v="278030"/>
    <x v="4"/>
    <x v="1"/>
    <s v="SI"/>
    <s v="NO"/>
    <s v="NO"/>
    <n v="43"/>
    <n v="7.2015642935854773E-2"/>
    <s v="No"/>
    <n v="0.37102735674304993"/>
    <s v="No"/>
    <n v="278030"/>
    <n v="43"/>
    <x v="4"/>
  </r>
  <r>
    <n v="476"/>
    <s v="HOMBRE"/>
    <n v="298195"/>
    <x v="3"/>
    <x v="1"/>
    <s v="SI"/>
    <s v="NO"/>
    <s v="SI"/>
    <n v="40"/>
    <n v="0.13971034729555773"/>
    <s v="No"/>
    <n v="0.37069179690833048"/>
    <s v="No"/>
    <n v="298195"/>
    <n v="40"/>
    <x v="3"/>
  </r>
  <r>
    <n v="477"/>
    <s v="HOMBRE"/>
    <n v="297050"/>
    <x v="2"/>
    <x v="1"/>
    <s v="SI"/>
    <s v="NO"/>
    <s v="NO"/>
    <n v="48"/>
    <n v="0.42489229332154227"/>
    <s v="No"/>
    <n v="0.37071085051659991"/>
    <s v="No"/>
    <n v="297050"/>
    <n v="48"/>
    <x v="2"/>
  </r>
  <r>
    <n v="478"/>
    <s v="HOMBRE"/>
    <n v="51899998"/>
    <x v="0"/>
    <x v="1"/>
    <s v="SI"/>
    <s v="NO"/>
    <s v="NO"/>
    <n v="49"/>
    <n v="0.49546762339867978"/>
    <s v="No"/>
    <n v="0.48799863135380356"/>
    <s v="No"/>
    <n v="51899998"/>
    <n v="49"/>
    <x v="0"/>
  </r>
  <r>
    <n v="479"/>
    <s v="HOMBRE"/>
    <n v="3309108"/>
    <x v="0"/>
    <x v="0"/>
    <s v="SI"/>
    <s v="NO"/>
    <s v="NO"/>
    <n v="47"/>
    <n v="0.35431696324440481"/>
    <s v="No"/>
    <n v="0.32058807914811915"/>
    <s v="No"/>
    <n v="3309108"/>
    <n v="47"/>
    <x v="0"/>
  </r>
  <r>
    <n v="480"/>
    <s v="HOMBRE"/>
    <n v="575846"/>
    <x v="3"/>
    <x v="1"/>
    <s v="SI"/>
    <s v="SI"/>
    <s v="SI"/>
    <n v="46"/>
    <n v="0.2837416331672673"/>
    <s v="No"/>
    <n v="0.36607148827110303"/>
    <s v="No"/>
    <n v="575846"/>
    <n v="46"/>
    <x v="3"/>
  </r>
  <r>
    <n v="481"/>
    <s v="HOMBRE"/>
    <n v="458557"/>
    <x v="3"/>
    <x v="1"/>
    <s v="SI"/>
    <s v="NO"/>
    <s v="SI"/>
    <n v="49"/>
    <n v="0.49546762339867978"/>
    <s v="No"/>
    <n v="0.36802326002683872"/>
    <s v="No"/>
    <n v="458557"/>
    <n v="49"/>
    <x v="3"/>
  </r>
  <r>
    <n v="482"/>
    <s v="HOMBRE"/>
    <n v="449214"/>
    <x v="0"/>
    <x v="1"/>
    <s v="SI"/>
    <s v="SI"/>
    <s v="NO"/>
    <n v="47"/>
    <n v="0.35431696324440481"/>
    <s v="No"/>
    <n v="0.36817873414217639"/>
    <s v="No"/>
    <n v="449214"/>
    <n v="47"/>
    <x v="0"/>
  </r>
  <r>
    <n v="483"/>
    <s v="HOMBRE"/>
    <n v="957595"/>
    <x v="0"/>
    <x v="1"/>
    <s v="SI"/>
    <s v="NO"/>
    <s v="NO"/>
    <n v="30"/>
    <n v="0.84546364806693275"/>
    <s v="No"/>
    <n v="0.35971891542982765"/>
    <s v="No"/>
    <n v="957595"/>
    <n v="30"/>
    <x v="0"/>
  </r>
  <r>
    <n v="484"/>
    <s v="HOMBRE"/>
    <n v="667314"/>
    <x v="0"/>
    <x v="0"/>
    <s v="SI"/>
    <s v="NO"/>
    <s v="NO"/>
    <n v="40"/>
    <n v="0.13971034729555773"/>
    <s v="No"/>
    <n v="0.36454939618272614"/>
    <s v="No"/>
    <n v="667314"/>
    <n v="40"/>
    <x v="0"/>
  </r>
  <r>
    <n v="485"/>
    <s v="MUJER"/>
    <n v="297046"/>
    <x v="2"/>
    <x v="1"/>
    <s v="SI"/>
    <s v="NO"/>
    <s v="NO"/>
    <n v="49"/>
    <n v="0.49546762339867978"/>
    <s v="No"/>
    <n v="0.37071091707942361"/>
    <s v="No"/>
    <n v="297046"/>
    <n v="49"/>
    <x v="2"/>
  </r>
  <r>
    <n v="486"/>
    <s v="MUJER"/>
    <n v="1476678"/>
    <x v="0"/>
    <x v="0"/>
    <s v="SI"/>
    <s v="NO"/>
    <s v="SI"/>
    <n v="54"/>
    <n v="0.84834427378436728"/>
    <s v="No"/>
    <n v="0.35108100788280661"/>
    <s v="No"/>
    <n v="1476678"/>
    <n v="54"/>
    <x v="0"/>
  </r>
  <r>
    <n v="487"/>
    <s v="HOMBRE"/>
    <n v="17083365"/>
    <x v="0"/>
    <x v="0"/>
    <s v="SI"/>
    <s v="NO"/>
    <s v="NO"/>
    <n v="25"/>
    <n v="1.1983402984526204"/>
    <s v="No"/>
    <n v="9.1374719252095782E-2"/>
    <s v="No"/>
    <n v="17083365"/>
    <n v="25"/>
    <x v="0"/>
  </r>
  <r>
    <n v="488"/>
    <s v="HOMBRE"/>
    <n v="294619"/>
    <x v="0"/>
    <x v="1"/>
    <s v="SI"/>
    <s v="NO"/>
    <s v="NO"/>
    <n v="46"/>
    <n v="0.2837416331672673"/>
    <s v="No"/>
    <n v="0.37075130407267248"/>
    <s v="No"/>
    <n v="294619"/>
    <n v="46"/>
    <x v="0"/>
  </r>
  <r>
    <n v="489"/>
    <s v="MUJER"/>
    <n v="480000"/>
    <x v="0"/>
    <x v="1"/>
    <s v="SI"/>
    <s v="NO"/>
    <s v="NO"/>
    <n v="26"/>
    <n v="1.1277649683754829"/>
    <s v="No"/>
    <n v="0.36766643336996346"/>
    <s v="No"/>
    <n v="480000"/>
    <n v="26"/>
    <x v="0"/>
  </r>
  <r>
    <n v="490"/>
    <s v="HOMBRE"/>
    <n v="131000"/>
    <x v="0"/>
    <x v="1"/>
    <s v="SI"/>
    <s v="NO"/>
    <s v="NO"/>
    <n v="53"/>
    <n v="0.77776894370722982"/>
    <s v="No"/>
    <n v="0.37347403973332027"/>
    <s v="No"/>
    <n v="131000"/>
    <n v="53"/>
    <x v="0"/>
  </r>
  <r>
    <n v="491"/>
    <s v="HOMBRE"/>
    <n v="2034486"/>
    <x v="0"/>
    <x v="1"/>
    <s v="SI"/>
    <s v="NO"/>
    <s v="NO"/>
    <n v="36"/>
    <n v="0.42201166760410774"/>
    <s v="No"/>
    <n v="0.34179868899933574"/>
    <s v="No"/>
    <n v="2034486"/>
    <n v="36"/>
    <x v="0"/>
  </r>
  <r>
    <n v="492"/>
    <s v="HOMBRE"/>
    <n v="450886"/>
    <x v="3"/>
    <x v="1"/>
    <s v="SI"/>
    <s v="NO"/>
    <s v="NO"/>
    <n v="42"/>
    <n v="1.4403128587172659E-3"/>
    <s v="No"/>
    <n v="0.36815091088189117"/>
    <s v="No"/>
    <n v="450886"/>
    <n v="42"/>
    <x v="3"/>
  </r>
  <r>
    <n v="493"/>
    <s v="HOMBRE"/>
    <n v="911309"/>
    <x v="3"/>
    <x v="1"/>
    <s v="SI"/>
    <s v="NO"/>
    <s v="NO"/>
    <n v="51"/>
    <n v="0.6366182835529548"/>
    <s v="No"/>
    <n v="0.36048914714367963"/>
    <s v="No"/>
    <n v="911309"/>
    <n v="51"/>
    <x v="3"/>
  </r>
  <r>
    <n v="494"/>
    <s v="HOMBRE"/>
    <n v="297046"/>
    <x v="2"/>
    <x v="1"/>
    <s v="SI"/>
    <s v="SI"/>
    <s v="NO"/>
    <n v="36"/>
    <n v="0.42201166760410774"/>
    <s v="No"/>
    <n v="0.37071091707942361"/>
    <s v="No"/>
    <n v="297046"/>
    <n v="36"/>
    <x v="2"/>
  </r>
  <r>
    <n v="495"/>
    <s v="MUJER"/>
    <n v="57032228"/>
    <x v="0"/>
    <x v="1"/>
    <s v="SI"/>
    <s v="SI"/>
    <s v="NO"/>
    <n v="43"/>
    <n v="7.2015642935854773E-2"/>
    <s v="No"/>
    <n v="0.5734025614575593"/>
    <s v="No"/>
    <n v="57032228"/>
    <n v="43"/>
    <x v="0"/>
  </r>
  <r>
    <n v="496"/>
    <s v="HOMBRE"/>
    <n v="39823935"/>
    <x v="0"/>
    <x v="1"/>
    <s v="SI"/>
    <s v="NO"/>
    <s v="NO"/>
    <n v="20"/>
    <n v="1.5512169488383079"/>
    <s v="No"/>
    <n v="0.28704441839363798"/>
    <s v="No"/>
    <n v="39823935"/>
    <n v="20"/>
    <x v="0"/>
  </r>
  <r>
    <n v="497"/>
    <s v="HOMBRE"/>
    <n v="525200"/>
    <x v="0"/>
    <x v="1"/>
    <s v="SI"/>
    <s v="NO"/>
    <s v="NO"/>
    <n v="32"/>
    <n v="0.70431298791265773"/>
    <s v="No"/>
    <n v="0.36691427346273214"/>
    <s v="No"/>
    <n v="525200"/>
    <n v="32"/>
    <x v="0"/>
  </r>
  <r>
    <n v="498"/>
    <s v="MUJER"/>
    <n v="278030"/>
    <x v="4"/>
    <x v="1"/>
    <s v="SI"/>
    <s v="NO"/>
    <s v="NO"/>
    <n v="47"/>
    <n v="0.35431696324440481"/>
    <s v="No"/>
    <n v="0.37102735674304993"/>
    <s v="No"/>
    <n v="278030"/>
    <n v="47"/>
    <x v="4"/>
  </r>
  <r>
    <n v="499"/>
    <s v="HOMBRE"/>
    <n v="447826"/>
    <x v="3"/>
    <x v="1"/>
    <s v="SI"/>
    <s v="NO"/>
    <s v="SI"/>
    <n v="56"/>
    <n v="0.9894949339386423"/>
    <s v="No"/>
    <n v="0.36820183144198249"/>
    <s v="No"/>
    <n v="447826"/>
    <n v="56"/>
    <x v="3"/>
  </r>
  <r>
    <n v="500"/>
    <s v="MUJER"/>
    <n v="600000"/>
    <x v="0"/>
    <x v="1"/>
    <s v="SI"/>
    <s v="NO"/>
    <s v="NO"/>
    <n v="37"/>
    <n v="0.35143633752697023"/>
    <s v="No"/>
    <n v="0.36566954866049978"/>
    <s v="No"/>
    <n v="600000"/>
    <n v="37"/>
    <x v="0"/>
  </r>
  <r>
    <n v="501"/>
    <s v="HOMBRE"/>
    <n v="461711"/>
    <x v="3"/>
    <x v="1"/>
    <s v="SI"/>
    <s v="SI"/>
    <s v="SI"/>
    <n v="40"/>
    <n v="0.13971034729555773"/>
    <s v="No"/>
    <n v="0.36797077524039162"/>
    <s v="No"/>
    <n v="461711"/>
    <n v="40"/>
    <x v="3"/>
  </r>
  <r>
    <n v="502"/>
    <s v="HOMBRE"/>
    <n v="482134"/>
    <x v="3"/>
    <x v="1"/>
    <s v="SI"/>
    <s v="NO"/>
    <s v="NO"/>
    <n v="69"/>
    <n v="1.9069742249414299"/>
    <s v="No"/>
    <n v="0.36763092210354681"/>
    <s v="No"/>
    <n v="482134"/>
    <n v="69"/>
    <x v="3"/>
  </r>
  <r>
    <n v="503"/>
    <s v="MUJER"/>
    <n v="355157"/>
    <x v="0"/>
    <x v="1"/>
    <s v="SI"/>
    <s v="NO"/>
    <s v="NO"/>
    <n v="40"/>
    <n v="0.13971034729555773"/>
    <s v="No"/>
    <n v="0.3697439090181599"/>
    <s v="No"/>
    <n v="355157"/>
    <n v="40"/>
    <x v="0"/>
  </r>
  <r>
    <n v="504"/>
    <s v="HOMBRE"/>
    <n v="202928516"/>
    <x v="0"/>
    <x v="1"/>
    <s v="SI"/>
    <s v="NO"/>
    <s v="NO"/>
    <n v="38"/>
    <n v="0.28086100744983278"/>
    <s v="No"/>
    <n v="3.0012197837467811"/>
    <s v="Sí"/>
    <n v="202928516"/>
    <n v="38"/>
    <x v="0"/>
  </r>
  <r>
    <n v="505"/>
    <s v="HOMBRE"/>
    <n v="278030"/>
    <x v="4"/>
    <x v="1"/>
    <s v="SI"/>
    <s v="NO"/>
    <s v="NO"/>
    <n v="54"/>
    <n v="0.84834427378436728"/>
    <s v="No"/>
    <n v="0.37102735674304993"/>
    <s v="No"/>
    <n v="278030"/>
    <n v="54"/>
    <x v="4"/>
  </r>
  <r>
    <n v="506"/>
    <s v="HOMBRE"/>
    <n v="1041805"/>
    <x v="0"/>
    <x v="1"/>
    <s v="SI"/>
    <s v="NO"/>
    <s v="NO"/>
    <n v="28"/>
    <n v="0.98661430822120777"/>
    <s v="No"/>
    <n v="0.35831760158496151"/>
    <s v="No"/>
    <n v="1041805"/>
    <n v="28"/>
    <x v="0"/>
  </r>
  <r>
    <n v="507"/>
    <s v="MUJER"/>
    <n v="450000"/>
    <x v="0"/>
    <x v="1"/>
    <s v="SI"/>
    <s v="NO"/>
    <s v="NO"/>
    <n v="54"/>
    <n v="0.84834427378436728"/>
    <s v="No"/>
    <n v="0.36816565454732936"/>
    <s v="No"/>
    <n v="450000"/>
    <n v="54"/>
    <x v="0"/>
  </r>
  <r>
    <n v="508"/>
    <s v="MUJER"/>
    <n v="300018"/>
    <x v="2"/>
    <x v="1"/>
    <s v="SI"/>
    <s v="NO"/>
    <s v="NO"/>
    <n v="55"/>
    <n v="0.91891960386150484"/>
    <s v="No"/>
    <n v="0.37066146090145252"/>
    <s v="No"/>
    <n v="300018"/>
    <n v="55"/>
    <x v="2"/>
  </r>
  <r>
    <n v="509"/>
    <s v="HOMBRE"/>
    <n v="56277045"/>
    <x v="0"/>
    <x v="1"/>
    <s v="SI"/>
    <s v="NO"/>
    <s v="NO"/>
    <n v="36"/>
    <n v="0.42201166760410774"/>
    <s v="No"/>
    <n v="0.56083578324466843"/>
    <s v="No"/>
    <n v="56277045"/>
    <n v="36"/>
    <x v="0"/>
  </r>
  <r>
    <n v="510"/>
    <s v="MUJER"/>
    <n v="571789"/>
    <x v="3"/>
    <x v="1"/>
    <s v="SI"/>
    <s v="NO"/>
    <s v="NO"/>
    <n v="30"/>
    <n v="0.84546364806693275"/>
    <s v="No"/>
    <n v="0.3661389996149888"/>
    <s v="No"/>
    <n v="571789"/>
    <n v="30"/>
    <x v="3"/>
  </r>
  <r>
    <n v="511"/>
    <s v="HOMBRE"/>
    <n v="896977"/>
    <x v="0"/>
    <x v="1"/>
    <s v="SI"/>
    <s v="NO"/>
    <s v="NO"/>
    <n v="53"/>
    <n v="0.77776894370722982"/>
    <s v="No"/>
    <n v="0.36072764174081323"/>
    <s v="No"/>
    <n v="896977"/>
    <n v="53"/>
    <x v="0"/>
  </r>
  <r>
    <n v="512"/>
    <s v="MUJER"/>
    <n v="220000"/>
    <x v="0"/>
    <x v="1"/>
    <s v="SI"/>
    <s v="NO"/>
    <s v="NO"/>
    <n v="19"/>
    <n v="1.6217922789154453"/>
    <s v="No"/>
    <n v="0.37199301690713471"/>
    <s v="No"/>
    <n v="220000"/>
    <n v="19"/>
    <x v="0"/>
  </r>
  <r>
    <n v="513"/>
    <s v="HOMBRE"/>
    <n v="447772"/>
    <x v="0"/>
    <x v="0"/>
    <s v="SI"/>
    <s v="NO"/>
    <s v="NO"/>
    <n v="41"/>
    <n v="6.9135017218420233E-2"/>
    <s v="No"/>
    <n v="0.36820273004010173"/>
    <s v="No"/>
    <n v="447772"/>
    <n v="41"/>
    <x v="0"/>
  </r>
  <r>
    <n v="514"/>
    <s v="HOMBRE"/>
    <n v="297046"/>
    <x v="2"/>
    <x v="1"/>
    <s v="SI"/>
    <s v="NO"/>
    <s v="NO"/>
    <n v="39"/>
    <n v="0.21028567737269524"/>
    <s v="No"/>
    <n v="0.37071091707942361"/>
    <s v="No"/>
    <n v="297046"/>
    <n v="39"/>
    <x v="2"/>
  </r>
  <r>
    <n v="515"/>
    <s v="HOMBRE"/>
    <n v="3195744"/>
    <x v="0"/>
    <x v="1"/>
    <s v="SI"/>
    <s v="NO"/>
    <s v="SI"/>
    <n v="52"/>
    <n v="0.70719361363009237"/>
    <s v="No"/>
    <n v="0.32247453613314947"/>
    <s v="No"/>
    <n v="3195744"/>
    <n v="52"/>
    <x v="0"/>
  </r>
  <r>
    <n v="516"/>
    <s v="HOMBRE"/>
    <n v="34339086"/>
    <x v="0"/>
    <x v="1"/>
    <s v="SI"/>
    <s v="SI"/>
    <s v="NO"/>
    <n v="64"/>
    <n v="1.5540975745557424"/>
    <s v="No"/>
    <n v="0.19577265921182921"/>
    <s v="No"/>
    <n v="34339086"/>
    <n v="64"/>
    <x v="0"/>
  </r>
  <r>
    <n v="517"/>
    <s v="MUJER"/>
    <n v="18434285"/>
    <x v="0"/>
    <x v="1"/>
    <s v="SI"/>
    <s v="NO"/>
    <s v="NO"/>
    <n v="28"/>
    <n v="0.98661430822120777"/>
    <s v="No"/>
    <n v="6.8894456821190372E-2"/>
    <s v="No"/>
    <n v="18434285"/>
    <n v="28"/>
    <x v="0"/>
  </r>
  <r>
    <n v="518"/>
    <s v="HOMBRE"/>
    <n v="699800"/>
    <x v="0"/>
    <x v="1"/>
    <s v="SI"/>
    <s v="NO"/>
    <s v="NO"/>
    <n v="26"/>
    <n v="1.1277649683754829"/>
    <s v="No"/>
    <n v="0.3640088062104625"/>
    <s v="No"/>
    <n v="699800"/>
    <n v="26"/>
    <x v="0"/>
  </r>
  <r>
    <n v="519"/>
    <s v="MUJER"/>
    <n v="1772988"/>
    <x v="0"/>
    <x v="1"/>
    <s v="SI"/>
    <s v="NO"/>
    <s v="NO"/>
    <n v="33"/>
    <n v="0.63373765783552027"/>
    <s v="No"/>
    <n v="0.34615020031396343"/>
    <s v="No"/>
    <n v="1772988"/>
    <n v="33"/>
    <x v="0"/>
  </r>
  <r>
    <n v="520"/>
    <s v="HOMBRE"/>
    <n v="159914396"/>
    <x v="0"/>
    <x v="0"/>
    <s v="SI"/>
    <s v="NO"/>
    <s v="NO"/>
    <n v="31"/>
    <n v="0.77488831798979529"/>
    <s v="No"/>
    <n v="2.2854344627548224"/>
    <s v="Sí"/>
    <n v="159914396"/>
    <n v="31"/>
    <x v="0"/>
  </r>
  <r>
    <n v="521"/>
    <s v="HOMBRE"/>
    <n v="55629612"/>
    <x v="1"/>
    <x v="0"/>
    <s v="SI"/>
    <s v="NO"/>
    <s v="NO"/>
    <n v="63"/>
    <n v="1.4835222444786049"/>
    <s v="No"/>
    <n v="0.55006204109381696"/>
    <s v="No"/>
    <n v="55629612"/>
    <n v="63"/>
    <x v="1"/>
  </r>
  <r>
    <n v="522"/>
    <s v="MUJER"/>
    <n v="206538"/>
    <x v="0"/>
    <x v="1"/>
    <s v="SI"/>
    <s v="NO"/>
    <s v="SI"/>
    <n v="56"/>
    <n v="0.9894949339386423"/>
    <s v="No"/>
    <n v="0.37221703409012474"/>
    <s v="No"/>
    <n v="206538"/>
    <n v="56"/>
    <x v="0"/>
  </r>
  <r>
    <n v="523"/>
    <s v="HOMBRE"/>
    <n v="436481"/>
    <x v="3"/>
    <x v="1"/>
    <s v="SI"/>
    <s v="NO"/>
    <s v="SI"/>
    <n v="51"/>
    <n v="0.6366182835529548"/>
    <s v="No"/>
    <n v="0.36839062025055636"/>
    <s v="No"/>
    <n v="436481"/>
    <n v="51"/>
    <x v="3"/>
  </r>
  <r>
    <n v="524"/>
    <s v="HOMBRE"/>
    <n v="318445"/>
    <x v="3"/>
    <x v="1"/>
    <s v="SI"/>
    <s v="NO"/>
    <s v="NO"/>
    <n v="47"/>
    <n v="0.35431696324440481"/>
    <s v="No"/>
    <n v="0.37035482261360847"/>
    <s v="No"/>
    <n v="318445"/>
    <n v="47"/>
    <x v="3"/>
  </r>
  <r>
    <n v="525"/>
    <s v="MUJER"/>
    <n v="280000"/>
    <x v="0"/>
    <x v="1"/>
    <s v="SI"/>
    <s v="NO"/>
    <s v="NO"/>
    <n v="27"/>
    <n v="1.0571896382983452"/>
    <s v="No"/>
    <n v="0.37099457455240292"/>
    <s v="No"/>
    <n v="280000"/>
    <n v="27"/>
    <x v="0"/>
  </r>
  <r>
    <n v="526"/>
    <s v="MUJER"/>
    <n v="25007075"/>
    <x v="0"/>
    <x v="1"/>
    <s v="SI"/>
    <s v="NO"/>
    <s v="NO"/>
    <n v="54"/>
    <n v="0.84834427378436728"/>
    <s v="No"/>
    <n v="4.0481408591440116E-2"/>
    <s v="No"/>
    <n v="25007075"/>
    <n v="54"/>
    <x v="0"/>
  </r>
  <r>
    <n v="527"/>
    <s v="HOMBRE"/>
    <n v="1214203"/>
    <x v="0"/>
    <x v="0"/>
    <s v="SI"/>
    <s v="NO"/>
    <s v="NO"/>
    <n v="36"/>
    <n v="0.42201166760410774"/>
    <s v="No"/>
    <n v="0.35544877716711054"/>
    <s v="No"/>
    <n v="1214203"/>
    <n v="36"/>
    <x v="0"/>
  </r>
  <r>
    <n v="528"/>
    <s v="HOMBRE"/>
    <n v="430371"/>
    <x v="3"/>
    <x v="1"/>
    <s v="SI"/>
    <s v="NO"/>
    <s v="SI"/>
    <n v="34"/>
    <n v="0.56316232775838282"/>
    <s v="No"/>
    <n v="0.36849229496367991"/>
    <s v="No"/>
    <n v="430371"/>
    <n v="34"/>
    <x v="3"/>
  </r>
  <r>
    <n v="529"/>
    <s v="HOMBRE"/>
    <n v="5582445"/>
    <x v="0"/>
    <x v="1"/>
    <s v="SI"/>
    <s v="NO"/>
    <s v="NO"/>
    <n v="51"/>
    <n v="0.6366182835529548"/>
    <s v="No"/>
    <n v="0.28275814669180255"/>
    <s v="No"/>
    <n v="5582445"/>
    <n v="51"/>
    <x v="0"/>
  </r>
  <r>
    <n v="530"/>
    <s v="MUJER"/>
    <n v="304913"/>
    <x v="0"/>
    <x v="0"/>
    <s v="SI"/>
    <s v="NO"/>
    <s v="NO"/>
    <n v="45"/>
    <n v="0.21316630309012977"/>
    <s v="No"/>
    <n v="0.37058000464601232"/>
    <s v="No"/>
    <n v="304913"/>
    <n v="45"/>
    <x v="0"/>
  </r>
  <r>
    <n v="531"/>
    <s v="HOMBRE"/>
    <n v="1736277"/>
    <x v="0"/>
    <x v="0"/>
    <s v="SI"/>
    <s v="NO"/>
    <s v="NO"/>
    <n v="42"/>
    <n v="1.4403128587172659E-3"/>
    <s v="No"/>
    <n v="0.34676109726870613"/>
    <s v="No"/>
    <n v="1736277"/>
    <n v="42"/>
    <x v="0"/>
  </r>
  <r>
    <n v="532"/>
    <s v="MUJER"/>
    <n v="93481014"/>
    <x v="0"/>
    <x v="0"/>
    <s v="SI"/>
    <s v="NO"/>
    <s v="NO"/>
    <n v="44"/>
    <n v="0.14259097301299228"/>
    <s v="No"/>
    <n v="1.1799360901401688"/>
    <s v="No"/>
    <n v="93481014"/>
    <n v="44"/>
    <x v="0"/>
  </r>
  <r>
    <n v="533"/>
    <s v="MUJER"/>
    <n v="319303"/>
    <x v="2"/>
    <x v="1"/>
    <s v="SI"/>
    <s v="SI"/>
    <s v="SI"/>
    <n v="42"/>
    <n v="1.4403128587172659E-3"/>
    <s v="No"/>
    <n v="0.37034054488793583"/>
    <s v="No"/>
    <n v="319303"/>
    <n v="42"/>
    <x v="2"/>
  </r>
  <r>
    <n v="534"/>
    <s v="MUJER"/>
    <n v="629752"/>
    <x v="0"/>
    <x v="0"/>
    <s v="SI"/>
    <s v="NO"/>
    <s v="NO"/>
    <n v="35"/>
    <n v="0.49258699768124525"/>
    <s v="No"/>
    <n v="0.36517445437820012"/>
    <s v="No"/>
    <n v="629752"/>
    <n v="35"/>
    <x v="0"/>
  </r>
  <r>
    <n v="535"/>
    <s v="HOMBRE"/>
    <n v="10700"/>
    <x v="0"/>
    <x v="1"/>
    <s v="SI"/>
    <s v="NO"/>
    <s v="NO"/>
    <n v="22"/>
    <n v="1.4100662886840327"/>
    <s v="No"/>
    <n v="0.3754759166545576"/>
    <s v="No"/>
    <n v="10700"/>
    <n v="22"/>
    <x v="0"/>
  </r>
  <r>
    <n v="536"/>
    <s v="HOMBRE"/>
    <n v="278030"/>
    <x v="4"/>
    <x v="1"/>
    <s v="SI"/>
    <s v="NO"/>
    <s v="NO"/>
    <n v="56"/>
    <n v="0.9894949339386423"/>
    <s v="No"/>
    <n v="0.37102735674304993"/>
    <s v="No"/>
    <n v="278030"/>
    <n v="56"/>
    <x v="4"/>
  </r>
  <r>
    <n v="537"/>
    <s v="HOMBRE"/>
    <n v="15553002"/>
    <x v="0"/>
    <x v="0"/>
    <s v="SI"/>
    <s v="NO"/>
    <s v="NO"/>
    <n v="51"/>
    <n v="0.6366182835529548"/>
    <s v="No"/>
    <n v="0.11684103987400359"/>
    <s v="No"/>
    <n v="15553002"/>
    <n v="51"/>
    <x v="0"/>
  </r>
  <r>
    <n v="538"/>
    <s v="HOMBRE"/>
    <n v="812000"/>
    <x v="0"/>
    <x v="1"/>
    <s v="SI"/>
    <s v="NO"/>
    <s v="SI"/>
    <n v="30"/>
    <n v="0.84546364806693275"/>
    <s v="No"/>
    <n v="0.362141719007114"/>
    <s v="No"/>
    <n v="812000"/>
    <n v="30"/>
    <x v="0"/>
  </r>
  <r>
    <n v="539"/>
    <s v="HOMBRE"/>
    <n v="563607"/>
    <x v="3"/>
    <x v="1"/>
    <s v="SI"/>
    <s v="SI"/>
    <s v="SI"/>
    <n v="53"/>
    <n v="0.77776894370722982"/>
    <s v="No"/>
    <n v="0.36627515387076237"/>
    <s v="No"/>
    <n v="563607"/>
    <n v="53"/>
    <x v="3"/>
  </r>
  <r>
    <n v="540"/>
    <s v="HOMBRE"/>
    <n v="175000"/>
    <x v="0"/>
    <x v="1"/>
    <s v="SI"/>
    <s v="NO"/>
    <s v="NO"/>
    <n v="29"/>
    <n v="0.91603897814407031"/>
    <s v="No"/>
    <n v="0.37274184867318361"/>
    <s v="No"/>
    <n v="175000"/>
    <n v="29"/>
    <x v="0"/>
  </r>
  <r>
    <n v="541"/>
    <s v="HOMBRE"/>
    <n v="403293"/>
    <x v="2"/>
    <x v="1"/>
    <s v="SI"/>
    <s v="SI"/>
    <s v="NO"/>
    <n v="29"/>
    <n v="0.91603897814407031"/>
    <s v="No"/>
    <n v="0.36894289199837038"/>
    <s v="No"/>
    <n v="403293"/>
    <n v="29"/>
    <x v="2"/>
  </r>
  <r>
    <n v="542"/>
    <s v="HOMBRE"/>
    <n v="152379576"/>
    <x v="0"/>
    <x v="0"/>
    <s v="SI"/>
    <s v="NO"/>
    <s v="NO"/>
    <n v="61"/>
    <n v="1.3423715843243298"/>
    <s v="No"/>
    <n v="2.160049739033481"/>
    <s v="Sí"/>
    <n v="152379576"/>
    <n v="61"/>
    <x v="0"/>
  </r>
  <r>
    <n v="543"/>
    <s v="HOMBRE"/>
    <n v="997036"/>
    <x v="0"/>
    <x v="0"/>
    <s v="SI"/>
    <s v="NO"/>
    <s v="NO"/>
    <n v="63"/>
    <n v="1.4835222444786049"/>
    <s v="No"/>
    <n v="0.35906258934794466"/>
    <s v="No"/>
    <n v="997036"/>
    <n v="63"/>
    <x v="0"/>
  </r>
  <r>
    <n v="544"/>
    <s v="HOMBRE"/>
    <n v="53293425"/>
    <x v="0"/>
    <x v="1"/>
    <s v="SI"/>
    <s v="NO"/>
    <s v="NO"/>
    <n v="36"/>
    <n v="0.42201166760410774"/>
    <s v="No"/>
    <n v="0.51118624027091875"/>
    <s v="No"/>
    <n v="53293425"/>
    <n v="36"/>
    <x v="0"/>
  </r>
  <r>
    <n v="545"/>
    <s v="HOMBRE"/>
    <n v="8773125"/>
    <x v="0"/>
    <x v="1"/>
    <s v="SI"/>
    <s v="NO"/>
    <s v="NO"/>
    <n v="29"/>
    <n v="0.91603897814407031"/>
    <s v="No"/>
    <n v="0.22966297915187325"/>
    <s v="No"/>
    <n v="8773125"/>
    <n v="29"/>
    <x v="0"/>
  </r>
  <r>
    <n v="546"/>
    <s v="HOMBRE"/>
    <n v="1738706"/>
    <x v="1"/>
    <x v="0"/>
    <s v="SI"/>
    <s v="NO"/>
    <s v="NO"/>
    <n v="50"/>
    <n v="0.56604295347581735"/>
    <s v="No"/>
    <n v="0.34672067699404541"/>
    <s v="No"/>
    <n v="1738706"/>
    <n v="50"/>
    <x v="1"/>
  </r>
  <r>
    <n v="547"/>
    <s v="HOMBRE"/>
    <n v="48759214"/>
    <x v="1"/>
    <x v="0"/>
    <s v="SI"/>
    <s v="NO"/>
    <s v="NO"/>
    <n v="69"/>
    <n v="1.9069742249414299"/>
    <s v="No"/>
    <n v="0.43573376847606926"/>
    <s v="No"/>
    <n v="48759214"/>
    <n v="69"/>
    <x v="1"/>
  </r>
  <r>
    <n v="548"/>
    <s v="MUJER"/>
    <n v="77298175"/>
    <x v="0"/>
    <x v="1"/>
    <s v="SI"/>
    <s v="NO"/>
    <s v="NO"/>
    <n v="37"/>
    <n v="0.35143633752697023"/>
    <s v="No"/>
    <n v="0.91064222551673391"/>
    <s v="No"/>
    <n v="77298175"/>
    <n v="37"/>
    <x v="0"/>
  </r>
  <r>
    <n v="549"/>
    <s v="MUJER"/>
    <n v="297046"/>
    <x v="2"/>
    <x v="1"/>
    <s v="SI"/>
    <s v="NO"/>
    <s v="NO"/>
    <n v="43"/>
    <n v="7.2015642935854773E-2"/>
    <s v="No"/>
    <n v="0.37071091707942361"/>
    <s v="No"/>
    <n v="297046"/>
    <n v="43"/>
    <x v="2"/>
  </r>
  <r>
    <n v="550"/>
    <s v="HOMBRE"/>
    <n v="1769790"/>
    <x v="0"/>
    <x v="1"/>
    <s v="SI"/>
    <s v="NO"/>
    <s v="NO"/>
    <n v="25"/>
    <n v="1.1983402984526204"/>
    <s v="No"/>
    <n v="0.34620341729147064"/>
    <s v="No"/>
    <n v="1769790"/>
    <n v="25"/>
    <x v="0"/>
  </r>
  <r>
    <n v="551"/>
    <s v="MUJER"/>
    <n v="5612725"/>
    <x v="0"/>
    <x v="0"/>
    <s v="SI"/>
    <s v="NO"/>
    <s v="NO"/>
    <n v="52"/>
    <n v="0.70719361363009237"/>
    <s v="No"/>
    <n v="0.28225426611678123"/>
    <s v="No"/>
    <n v="5612725"/>
    <n v="52"/>
    <x v="0"/>
  </r>
  <r>
    <n v="552"/>
    <s v="HOMBRE"/>
    <n v="108860302"/>
    <x v="0"/>
    <x v="1"/>
    <s v="SI"/>
    <s v="NO"/>
    <s v="NO"/>
    <n v="38"/>
    <n v="0.28086100744983278"/>
    <s v="No"/>
    <n v="1.435858298887152"/>
    <s v="No"/>
    <n v="108860302"/>
    <n v="38"/>
    <x v="0"/>
  </r>
  <r>
    <n v="553"/>
    <s v="HOMBRE"/>
    <n v="102430076"/>
    <x v="0"/>
    <x v="1"/>
    <s v="SI"/>
    <s v="NO"/>
    <s v="NO"/>
    <n v="38"/>
    <n v="0.28086100744983278"/>
    <s v="No"/>
    <n v="1.328854799072188"/>
    <s v="No"/>
    <n v="102430076"/>
    <n v="38"/>
    <x v="0"/>
  </r>
  <r>
    <n v="554"/>
    <s v="HOMBRE"/>
    <n v="278030"/>
    <x v="4"/>
    <x v="1"/>
    <s v="SI"/>
    <s v="NO"/>
    <s v="NO"/>
    <n v="30"/>
    <n v="0.84546364806693275"/>
    <s v="No"/>
    <n v="0.37102735674304993"/>
    <s v="No"/>
    <n v="278030"/>
    <n v="30"/>
    <x v="4"/>
  </r>
  <r>
    <n v="555"/>
    <s v="MUJER"/>
    <n v="426667"/>
    <x v="0"/>
    <x v="1"/>
    <s v="SI"/>
    <s v="NO"/>
    <s v="NO"/>
    <n v="25"/>
    <n v="1.1983402984526204"/>
    <s v="No"/>
    <n v="0.36855393213837867"/>
    <s v="No"/>
    <n v="426667"/>
    <n v="25"/>
    <x v="0"/>
  </r>
  <r>
    <n v="556"/>
    <s v="HOMBRE"/>
    <n v="523027"/>
    <x v="3"/>
    <x v="1"/>
    <s v="SI"/>
    <s v="NO"/>
    <s v="SI"/>
    <n v="33"/>
    <n v="0.63373765783552027"/>
    <s v="No"/>
    <n v="0.36695043371667935"/>
    <s v="No"/>
    <n v="523027"/>
    <n v="33"/>
    <x v="3"/>
  </r>
  <r>
    <n v="557"/>
    <s v="HOMBRE"/>
    <n v="358433"/>
    <x v="0"/>
    <x v="1"/>
    <s v="SI"/>
    <s v="NO"/>
    <s v="NO"/>
    <n v="42"/>
    <n v="1.4403128587172659E-3"/>
    <s v="No"/>
    <n v="0.36968939406559154"/>
    <s v="No"/>
    <n v="358433"/>
    <n v="42"/>
    <x v="0"/>
  </r>
  <r>
    <n v="558"/>
    <s v="MUJER"/>
    <n v="2903073"/>
    <x v="0"/>
    <x v="0"/>
    <s v="SI"/>
    <s v="NO"/>
    <s v="NO"/>
    <n v="25"/>
    <n v="1.1983402984526204"/>
    <s v="No"/>
    <n v="0.32734478817317814"/>
    <s v="No"/>
    <n v="2903073"/>
    <n v="25"/>
    <x v="0"/>
  </r>
  <r>
    <n v="559"/>
    <s v="HOMBRE"/>
    <n v="475208"/>
    <x v="0"/>
    <x v="0"/>
    <s v="SI"/>
    <s v="NO"/>
    <s v="NO"/>
    <n v="41"/>
    <n v="6.9135017218420233E-2"/>
    <s v="No"/>
    <n v="0.36774617563269468"/>
    <s v="No"/>
    <n v="475208"/>
    <n v="41"/>
    <x v="0"/>
  </r>
  <r>
    <n v="560"/>
    <s v="HOMBRE"/>
    <n v="385702"/>
    <x v="2"/>
    <x v="1"/>
    <s v="SI"/>
    <s v="NO"/>
    <s v="NO"/>
    <n v="32"/>
    <n v="0.70431298791265773"/>
    <s v="No"/>
    <n v="0.36923561865607185"/>
    <s v="No"/>
    <n v="385702"/>
    <n v="32"/>
    <x v="2"/>
  </r>
  <r>
    <n v="561"/>
    <s v="HOMBRE"/>
    <n v="297046"/>
    <x v="3"/>
    <x v="1"/>
    <s v="SI"/>
    <s v="NO"/>
    <s v="NO"/>
    <n v="61"/>
    <n v="1.3423715843243298"/>
    <s v="No"/>
    <n v="0.37071091707942361"/>
    <s v="No"/>
    <n v="297046"/>
    <n v="61"/>
    <x v="3"/>
  </r>
  <r>
    <n v="562"/>
    <s v="MUJER"/>
    <n v="344000"/>
    <x v="0"/>
    <x v="1"/>
    <s v="SI"/>
    <s v="NO"/>
    <s v="NO"/>
    <n v="26"/>
    <n v="1.1277649683754829"/>
    <s v="No"/>
    <n v="0.36992956937402227"/>
    <s v="No"/>
    <n v="344000"/>
    <n v="26"/>
    <x v="0"/>
  </r>
  <r>
    <n v="563"/>
    <s v="MUJER"/>
    <n v="13025565"/>
    <x v="0"/>
    <x v="0"/>
    <s v="SI"/>
    <s v="NO"/>
    <s v="NO"/>
    <n v="41"/>
    <n v="6.9135017218420233E-2"/>
    <s v="No"/>
    <n v="0.15889937570260948"/>
    <s v="No"/>
    <n v="13025565"/>
    <n v="41"/>
    <x v="0"/>
  </r>
  <r>
    <n v="564"/>
    <s v="MUJER"/>
    <n v="93946154"/>
    <x v="0"/>
    <x v="1"/>
    <s v="SI"/>
    <s v="NO"/>
    <s v="NO"/>
    <n v="25"/>
    <n v="1.1983402984526204"/>
    <s v="No"/>
    <n v="1.1876763480881682"/>
    <s v="No"/>
    <n v="93946154"/>
    <n v="25"/>
    <x v="0"/>
  </r>
  <r>
    <n v="565"/>
    <s v="HOMBRE"/>
    <n v="4021394"/>
    <x v="0"/>
    <x v="1"/>
    <s v="SI"/>
    <s v="NO"/>
    <s v="NO"/>
    <n v="39"/>
    <n v="0.21028567737269524"/>
    <s v="No"/>
    <n v="0.30873513729674384"/>
    <s v="No"/>
    <n v="4021394"/>
    <n v="39"/>
    <x v="0"/>
  </r>
  <r>
    <n v="566"/>
    <s v="HOMBRE"/>
    <n v="387763"/>
    <x v="3"/>
    <x v="1"/>
    <s v="SI"/>
    <s v="NO"/>
    <s v="NO"/>
    <n v="53"/>
    <n v="0.77776894370722982"/>
    <s v="No"/>
    <n v="0.36920132216118678"/>
    <s v="No"/>
    <n v="387763"/>
    <n v="53"/>
    <x v="3"/>
  </r>
  <r>
    <n v="567"/>
    <s v="HOMBRE"/>
    <n v="370000"/>
    <x v="0"/>
    <x v="1"/>
    <s v="SI"/>
    <s v="SI"/>
    <s v="NO"/>
    <n v="45"/>
    <n v="0.21316630309012977"/>
    <s v="No"/>
    <n v="0.36949691102030513"/>
    <s v="No"/>
    <n v="370000"/>
    <n v="45"/>
    <x v="0"/>
  </r>
  <r>
    <n v="568"/>
    <s v="MUJER"/>
    <n v="44433333"/>
    <x v="0"/>
    <x v="1"/>
    <s v="SI"/>
    <s v="NO"/>
    <s v="NO"/>
    <n v="23"/>
    <n v="1.3394909586068953"/>
    <s v="No"/>
    <n v="0.36374805494390783"/>
    <s v="No"/>
    <n v="44433333"/>
    <n v="23"/>
    <x v="0"/>
  </r>
  <r>
    <n v="569"/>
    <s v="HOMBRE"/>
    <n v="179344"/>
    <x v="0"/>
    <x v="1"/>
    <s v="SI"/>
    <s v="NO"/>
    <s v="NO"/>
    <n v="29"/>
    <n v="0.91603897814407031"/>
    <s v="No"/>
    <n v="0.37266956144670099"/>
    <s v="No"/>
    <n v="179344"/>
    <n v="29"/>
    <x v="0"/>
  </r>
  <r>
    <n v="570"/>
    <s v="MUJER"/>
    <n v="289448"/>
    <x v="3"/>
    <x v="1"/>
    <s v="SI"/>
    <s v="NO"/>
    <s v="NO"/>
    <n v="52"/>
    <n v="0.70719361363009237"/>
    <s v="No"/>
    <n v="0.37083735316294447"/>
    <s v="No"/>
    <n v="289448"/>
    <n v="52"/>
    <x v="3"/>
  </r>
  <r>
    <n v="571"/>
    <s v="HOMBRE"/>
    <n v="588210"/>
    <x v="0"/>
    <x v="0"/>
    <s v="SI"/>
    <s v="NO"/>
    <s v="SI"/>
    <n v="35"/>
    <n v="0.49258699768124525"/>
    <s v="No"/>
    <n v="0.36586574258320459"/>
    <s v="No"/>
    <n v="588210"/>
    <n v="35"/>
    <x v="0"/>
  </r>
  <r>
    <n v="572"/>
    <s v="HOMBRE"/>
    <n v="336000"/>
    <x v="0"/>
    <x v="1"/>
    <s v="SI"/>
    <s v="NO"/>
    <s v="NO"/>
    <n v="53"/>
    <n v="0.77776894370722982"/>
    <s v="No"/>
    <n v="0.37006269502131983"/>
    <s v="No"/>
    <n v="336000"/>
    <n v="53"/>
    <x v="0"/>
  </r>
  <r>
    <n v="573"/>
    <s v="HOMBRE"/>
    <n v="4521928"/>
    <x v="0"/>
    <x v="1"/>
    <s v="SI"/>
    <s v="NO"/>
    <s v="NO"/>
    <n v="49"/>
    <n v="0.49546762339867978"/>
    <s v="No"/>
    <n v="0.30040589820368813"/>
    <s v="No"/>
    <n v="4521928"/>
    <n v="49"/>
    <x v="0"/>
  </r>
  <r>
    <n v="574"/>
    <s v="HOMBRE"/>
    <n v="360000"/>
    <x v="0"/>
    <x v="1"/>
    <s v="SI"/>
    <s v="NO"/>
    <s v="NO"/>
    <n v="36"/>
    <n v="0.42201166760410774"/>
    <s v="No"/>
    <n v="0.36966331807942709"/>
    <s v="No"/>
    <n v="360000"/>
    <n v="36"/>
    <x v="0"/>
  </r>
  <r>
    <n v="575"/>
    <s v="MUJER"/>
    <n v="303335429"/>
    <x v="0"/>
    <x v="0"/>
    <s v="SI"/>
    <s v="NO"/>
    <s v="NO"/>
    <n v="27"/>
    <n v="1.0571896382983452"/>
    <s v="No"/>
    <n v="4.6720616945313491"/>
    <s v="Sí"/>
    <n v="303335429"/>
    <n v="27"/>
    <x v="0"/>
  </r>
  <r>
    <n v="576"/>
    <s v="MUJER"/>
    <n v="117679718"/>
    <x v="0"/>
    <x v="1"/>
    <s v="SI"/>
    <s v="NO"/>
    <s v="NO"/>
    <n v="60"/>
    <n v="1.2717962542471923"/>
    <s v="No"/>
    <n v="1.5826196068604783"/>
    <s v="No"/>
    <n v="117679718"/>
    <n v="60"/>
    <x v="0"/>
  </r>
  <r>
    <n v="577"/>
    <s v="HOMBRE"/>
    <n v="293293"/>
    <x v="0"/>
    <x v="1"/>
    <s v="SI"/>
    <s v="NO"/>
    <s v="NO"/>
    <n v="51"/>
    <n v="0.6366182835529548"/>
    <s v="No"/>
    <n v="0.37077336964871205"/>
    <s v="No"/>
    <n v="293293"/>
    <n v="51"/>
    <x v="0"/>
  </r>
  <r>
    <n v="578"/>
    <s v="HOMBRE"/>
    <n v="297046"/>
    <x v="2"/>
    <x v="1"/>
    <s v="SI"/>
    <s v="NO"/>
    <s v="NO"/>
    <n v="30"/>
    <n v="0.84546364806693275"/>
    <s v="No"/>
    <n v="0.37071091707942361"/>
    <s v="No"/>
    <n v="297046"/>
    <n v="30"/>
    <x v="2"/>
  </r>
  <r>
    <n v="579"/>
    <s v="MUJER"/>
    <n v="9621284"/>
    <x v="0"/>
    <x v="1"/>
    <s v="SI"/>
    <s v="NO"/>
    <s v="NO"/>
    <n v="32"/>
    <n v="0.70431298791265773"/>
    <s v="No"/>
    <n v="0.21554901466609"/>
    <s v="No"/>
    <n v="9621284"/>
    <n v="32"/>
    <x v="0"/>
  </r>
  <r>
    <n v="580"/>
    <s v="HOMBRE"/>
    <n v="80094546"/>
    <x v="0"/>
    <x v="1"/>
    <s v="SI"/>
    <s v="NO"/>
    <s v="NO"/>
    <n v="46"/>
    <n v="0.2837416331672673"/>
    <s v="No"/>
    <n v="0.95717581294913068"/>
    <s v="No"/>
    <n v="80094546"/>
    <n v="46"/>
    <x v="0"/>
  </r>
  <r>
    <n v="581"/>
    <s v="HOMBRE"/>
    <n v="445567"/>
    <x v="3"/>
    <x v="1"/>
    <s v="SI"/>
    <s v="NO"/>
    <s v="SI"/>
    <n v="56"/>
    <n v="0.9894949339386423"/>
    <s v="No"/>
    <n v="0.36823942279663813"/>
    <s v="No"/>
    <n v="445567"/>
    <n v="56"/>
    <x v="3"/>
  </r>
  <r>
    <n v="582"/>
    <s v="HOMBRE"/>
    <n v="130000"/>
    <x v="0"/>
    <x v="1"/>
    <s v="SI"/>
    <s v="NO"/>
    <s v="NO"/>
    <n v="26"/>
    <n v="1.1277649683754829"/>
    <s v="No"/>
    <n v="0.37349068043923245"/>
    <s v="No"/>
    <n v="130000"/>
    <n v="26"/>
    <x v="0"/>
  </r>
  <r>
    <n v="583"/>
    <s v="HOMBRE"/>
    <n v="75313072"/>
    <x v="0"/>
    <x v="1"/>
    <s v="SI"/>
    <s v="NO"/>
    <s v="NO"/>
    <n v="22"/>
    <n v="1.4100662886840327"/>
    <s v="No"/>
    <n v="0.87760871028831355"/>
    <s v="No"/>
    <n v="75313072"/>
    <n v="22"/>
    <x v="0"/>
  </r>
  <r>
    <n v="584"/>
    <s v="HOMBRE"/>
    <n v="180000"/>
    <x v="0"/>
    <x v="1"/>
    <s v="SI"/>
    <s v="NO"/>
    <s v="NO"/>
    <n v="28"/>
    <n v="0.98661430822120777"/>
    <s v="No"/>
    <n v="0.37265864514362262"/>
    <s v="No"/>
    <n v="180000"/>
    <n v="28"/>
    <x v="0"/>
  </r>
  <r>
    <n v="585"/>
    <s v="HOMBRE"/>
    <n v="377035"/>
    <x v="3"/>
    <x v="1"/>
    <s v="SI"/>
    <s v="NO"/>
    <s v="SI"/>
    <n v="49"/>
    <n v="0.49546762339867978"/>
    <s v="No"/>
    <n v="0.36937984365421284"/>
    <s v="No"/>
    <n v="377035"/>
    <n v="49"/>
    <x v="3"/>
  </r>
  <r>
    <n v="586"/>
    <s v="MUJER"/>
    <n v="308874"/>
    <x v="0"/>
    <x v="0"/>
    <s v="SI"/>
    <s v="NO"/>
    <s v="SI"/>
    <n v="57"/>
    <n v="1.0600702640157798"/>
    <s v="No"/>
    <n v="0.37051409080989411"/>
    <s v="No"/>
    <n v="308874"/>
    <n v="57"/>
    <x v="0"/>
  </r>
  <r>
    <n v="587"/>
    <s v="MUJER"/>
    <n v="15910515"/>
    <x v="0"/>
    <x v="0"/>
    <s v="SI"/>
    <s v="NO"/>
    <s v="NO"/>
    <n v="62"/>
    <n v="1.4129469144014672"/>
    <s v="No"/>
    <n v="0.11089177118121624"/>
    <s v="No"/>
    <n v="15910515"/>
    <n v="62"/>
    <x v="0"/>
  </r>
  <r>
    <n v="588"/>
    <s v="HOMBRE"/>
    <n v="415503"/>
    <x v="0"/>
    <x v="1"/>
    <s v="SI"/>
    <s v="NO"/>
    <s v="NO"/>
    <n v="52"/>
    <n v="0.70719361363009237"/>
    <s v="No"/>
    <n v="0.36873970897918246"/>
    <s v="No"/>
    <n v="415503"/>
    <n v="52"/>
    <x v="0"/>
  </r>
  <r>
    <n v="589"/>
    <s v="MUJER"/>
    <n v="3975599"/>
    <x v="0"/>
    <x v="1"/>
    <s v="SI"/>
    <s v="NO"/>
    <s v="NO"/>
    <n v="21"/>
    <n v="1.4806416187611704"/>
    <s v="No"/>
    <n v="0.30949719842399293"/>
    <s v="No"/>
    <n v="3975599"/>
    <n v="21"/>
    <x v="0"/>
  </r>
  <r>
    <n v="590"/>
    <s v="MUJER"/>
    <n v="1422244"/>
    <x v="1"/>
    <x v="0"/>
    <s v="SI"/>
    <s v="NO"/>
    <s v="NO"/>
    <n v="77"/>
    <n v="2.47157686555853"/>
    <s v="Sí"/>
    <n v="0.35198682806843112"/>
    <s v="No"/>
    <n v="1422244"/>
    <n v="77"/>
    <x v="1"/>
  </r>
  <r>
    <n v="591"/>
    <s v="MUJER"/>
    <n v="297046"/>
    <x v="2"/>
    <x v="1"/>
    <s v="SI"/>
    <s v="NO"/>
    <s v="NO"/>
    <n v="26"/>
    <n v="1.1277649683754829"/>
    <s v="No"/>
    <n v="0.37071091707942361"/>
    <s v="No"/>
    <n v="297046"/>
    <n v="26"/>
    <x v="2"/>
  </r>
  <r>
    <n v="592"/>
    <s v="MUJER"/>
    <n v="1039384"/>
    <x v="0"/>
    <x v="0"/>
    <s v="SI"/>
    <s v="NO"/>
    <s v="SI"/>
    <n v="43"/>
    <n v="7.2015642935854773E-2"/>
    <s v="No"/>
    <n v="0.35835788873397495"/>
    <s v="No"/>
    <n v="1039384"/>
    <n v="43"/>
    <x v="0"/>
  </r>
  <r>
    <n v="593"/>
    <s v="HOMBRE"/>
    <n v="310363"/>
    <x v="2"/>
    <x v="1"/>
    <s v="SI"/>
    <s v="NO"/>
    <s v="NO"/>
    <n v="60"/>
    <n v="1.2717962542471923"/>
    <s v="No"/>
    <n v="0.37048931279879083"/>
    <s v="No"/>
    <n v="310363"/>
    <n v="60"/>
    <x v="2"/>
  </r>
  <r>
    <n v="594"/>
    <s v="HOMBRE"/>
    <n v="1150000"/>
    <x v="0"/>
    <x v="1"/>
    <s v="SI"/>
    <s v="NO"/>
    <s v="NO"/>
    <n v="37"/>
    <n v="0.35143633752697023"/>
    <s v="No"/>
    <n v="0.35651716040879133"/>
    <s v="No"/>
    <n v="1150000"/>
    <n v="37"/>
    <x v="0"/>
  </r>
  <r>
    <n v="595"/>
    <s v="MUJER"/>
    <n v="360191"/>
    <x v="0"/>
    <x v="0"/>
    <s v="SI"/>
    <s v="NO"/>
    <s v="SI"/>
    <n v="42"/>
    <n v="1.4403128587172659E-3"/>
    <s v="No"/>
    <n v="0.36966013970459788"/>
    <s v="No"/>
    <n v="360191"/>
    <n v="42"/>
    <x v="0"/>
  </r>
  <r>
    <n v="596"/>
    <s v="HOMBRE"/>
    <n v="218343778"/>
    <x v="0"/>
    <x v="0"/>
    <s v="SI"/>
    <s v="NO"/>
    <s v="NO"/>
    <n v="43"/>
    <n v="7.2015642935854773E-2"/>
    <s v="No"/>
    <n v="3.2577406252482497"/>
    <s v="Sí"/>
    <n v="218343778"/>
    <n v="43"/>
    <x v="0"/>
  </r>
  <r>
    <n v="597"/>
    <s v="HOMBRE"/>
    <n v="278030"/>
    <x v="4"/>
    <x v="1"/>
    <s v="SI"/>
    <s v="NO"/>
    <s v="NO"/>
    <n v="53"/>
    <n v="0.77776894370722982"/>
    <s v="No"/>
    <n v="0.37102735674304993"/>
    <s v="No"/>
    <n v="278030"/>
    <n v="53"/>
    <x v="4"/>
  </r>
  <r>
    <n v="598"/>
    <s v="MUJER"/>
    <n v="51807351"/>
    <x v="0"/>
    <x v="1"/>
    <s v="SI"/>
    <s v="NO"/>
    <s v="NO"/>
    <n v="46"/>
    <n v="0.2837416331672673"/>
    <s v="No"/>
    <n v="0.48645691987315626"/>
    <s v="No"/>
    <n v="51807351"/>
    <n v="46"/>
    <x v="0"/>
  </r>
  <r>
    <n v="599"/>
    <s v="HOMBRE"/>
    <n v="3904862"/>
    <x v="0"/>
    <x v="0"/>
    <s v="SI"/>
    <s v="NO"/>
    <s v="NO"/>
    <n v="51"/>
    <n v="0.6366182835529548"/>
    <s v="No"/>
    <n v="0.31067431203810403"/>
    <s v="No"/>
    <n v="3904862"/>
    <n v="51"/>
    <x v="0"/>
  </r>
  <r>
    <n v="600"/>
    <s v="HOMBRE"/>
    <n v="217039356"/>
    <x v="0"/>
    <x v="0"/>
    <s v="SI"/>
    <s v="NO"/>
    <s v="NO"/>
    <n v="41"/>
    <n v="6.9135017218420233E-2"/>
    <s v="No"/>
    <n v="3.2360341223608495"/>
    <s v="Sí"/>
    <n v="217039356"/>
    <n v="41"/>
    <x v="0"/>
  </r>
  <r>
    <n v="601"/>
    <s v="HOMBRE"/>
    <n v="299825"/>
    <x v="3"/>
    <x v="1"/>
    <s v="SI"/>
    <s v="SI"/>
    <s v="SI"/>
    <n v="36"/>
    <n v="0.42201166760410774"/>
    <s v="No"/>
    <n v="0.37066467255769359"/>
    <s v="No"/>
    <n v="299825"/>
    <n v="36"/>
    <x v="3"/>
  </r>
  <r>
    <n v="602"/>
    <s v="MUJER"/>
    <n v="273601"/>
    <x v="0"/>
    <x v="1"/>
    <s v="SI"/>
    <s v="SI"/>
    <s v="NO"/>
    <n v="39"/>
    <n v="0.21028567737269524"/>
    <s v="No"/>
    <n v="0.37110105842953506"/>
    <s v="No"/>
    <n v="273601"/>
    <n v="39"/>
    <x v="0"/>
  </r>
  <r>
    <n v="603"/>
    <s v="HOMBRE"/>
    <n v="7515468"/>
    <x v="0"/>
    <x v="1"/>
    <s v="SI"/>
    <s v="NO"/>
    <s v="NO"/>
    <n v="29"/>
    <n v="0.91603897814407031"/>
    <s v="No"/>
    <n v="0.25059127942728943"/>
    <s v="No"/>
    <n v="7515468"/>
    <n v="29"/>
    <x v="0"/>
  </r>
  <r>
    <n v="604"/>
    <s v="HOMBRE"/>
    <n v="839652"/>
    <x v="3"/>
    <x v="1"/>
    <s v="SI"/>
    <s v="NO"/>
    <s v="SI"/>
    <n v="77"/>
    <n v="2.47157686555853"/>
    <s v="Sí"/>
    <n v="0.36168157020722991"/>
    <s v="No"/>
    <n v="839652"/>
    <n v="77"/>
    <x v="3"/>
  </r>
  <r>
    <n v="605"/>
    <s v="MUJER"/>
    <n v="174239477"/>
    <x v="0"/>
    <x v="1"/>
    <s v="SI"/>
    <s v="NO"/>
    <s v="NO"/>
    <n v="39"/>
    <n v="0.21028567737269524"/>
    <s v="No"/>
    <n v="2.523813922844226"/>
    <s v="Sí"/>
    <n v="174239477"/>
    <n v="39"/>
    <x v="0"/>
  </r>
  <r>
    <n v="606"/>
    <s v="HOMBRE"/>
    <n v="1008778"/>
    <x v="1"/>
    <x v="0"/>
    <s v="SI"/>
    <s v="NO"/>
    <s v="NO"/>
    <n v="75"/>
    <n v="2.330426205404255"/>
    <s v="Sí"/>
    <n v="0.35886719417912366"/>
    <s v="No"/>
    <n v="1008778"/>
    <n v="75"/>
    <x v="1"/>
  </r>
  <r>
    <n v="607"/>
    <s v="HOMBRE"/>
    <n v="58755163"/>
    <x v="1"/>
    <x v="0"/>
    <s v="SI"/>
    <s v="NO"/>
    <s v="NO"/>
    <n v="68"/>
    <n v="1.8363988948642924"/>
    <s v="No"/>
    <n v="0.60207341609839071"/>
    <s v="No"/>
    <n v="58755163"/>
    <n v="68"/>
    <x v="1"/>
  </r>
  <r>
    <n v="608"/>
    <s v="MUJER"/>
    <n v="112200"/>
    <x v="0"/>
    <x v="1"/>
    <s v="SI"/>
    <s v="NO"/>
    <s v="NO"/>
    <n v="53"/>
    <n v="0.77776894370722982"/>
    <s v="No"/>
    <n v="0.3737868850044696"/>
    <s v="No"/>
    <n v="112200"/>
    <n v="53"/>
    <x v="0"/>
  </r>
  <r>
    <n v="609"/>
    <s v="MUJER"/>
    <n v="927718"/>
    <x v="0"/>
    <x v="0"/>
    <s v="SI"/>
    <s v="NO"/>
    <s v="SI"/>
    <n v="29"/>
    <n v="0.91603897814407031"/>
    <s v="No"/>
    <n v="0.36021608980036635"/>
    <s v="No"/>
    <n v="927718"/>
    <n v="29"/>
    <x v="0"/>
  </r>
  <r>
    <n v="610"/>
    <s v="HOMBRE"/>
    <n v="40016655"/>
    <x v="0"/>
    <x v="1"/>
    <s v="SI"/>
    <s v="SI"/>
    <s v="NO"/>
    <n v="31"/>
    <n v="0.77488831798979529"/>
    <s v="No"/>
    <n v="0.29025141523703663"/>
    <s v="No"/>
    <n v="40016655"/>
    <n v="31"/>
    <x v="0"/>
  </r>
  <r>
    <n v="611"/>
    <s v="MUJER"/>
    <n v="1173695"/>
    <x v="1"/>
    <x v="0"/>
    <s v="SI"/>
    <s v="NO"/>
    <s v="NO"/>
    <n v="71"/>
    <n v="2.0481248850957048"/>
    <s v="Sí"/>
    <n v="0.35612285888220185"/>
    <s v="No"/>
    <n v="1173695"/>
    <n v="71"/>
    <x v="1"/>
  </r>
  <r>
    <n v="612"/>
    <s v="MUJER"/>
    <n v="317000"/>
    <x v="0"/>
    <x v="1"/>
    <s v="SI"/>
    <s v="NO"/>
    <s v="SI"/>
    <n v="39"/>
    <n v="0.21028567737269524"/>
    <s v="No"/>
    <n v="0.37037886843365159"/>
    <s v="No"/>
    <n v="317000"/>
    <n v="39"/>
    <x v="0"/>
  </r>
  <r>
    <n v="613"/>
    <s v="HOMBRE"/>
    <n v="36936793"/>
    <x v="0"/>
    <x v="0"/>
    <s v="SI"/>
    <s v="NO"/>
    <s v="NO"/>
    <n v="35"/>
    <n v="0.49258699768124525"/>
    <s v="No"/>
    <n v="0.23900033744488519"/>
    <s v="No"/>
    <n v="36936793"/>
    <n v="35"/>
    <x v="0"/>
  </r>
  <r>
    <n v="614"/>
    <s v="MUJER"/>
    <n v="453746"/>
    <x v="1"/>
    <x v="0"/>
    <s v="SI"/>
    <s v="NO"/>
    <s v="NO"/>
    <n v="81"/>
    <n v="2.7538781858670798"/>
    <s v="Sí"/>
    <n v="0.36810331846298228"/>
    <s v="No"/>
    <n v="453746"/>
    <n v="81"/>
    <x v="1"/>
  </r>
  <r>
    <n v="615"/>
    <s v="HOMBRE"/>
    <n v="319572"/>
    <x v="0"/>
    <x v="1"/>
    <s v="SI"/>
    <s v="SI"/>
    <s v="NO"/>
    <n v="43"/>
    <n v="7.2015642935854773E-2"/>
    <s v="No"/>
    <n v="0.3703360685380454"/>
    <s v="No"/>
    <n v="319572"/>
    <n v="43"/>
    <x v="0"/>
  </r>
  <r>
    <n v="616"/>
    <s v="HOMBRE"/>
    <n v="1486691"/>
    <x v="0"/>
    <x v="0"/>
    <s v="SI"/>
    <s v="NO"/>
    <s v="SI"/>
    <n v="31"/>
    <n v="0.77488831798979529"/>
    <s v="No"/>
    <n v="0.35091438449450779"/>
    <s v="No"/>
    <n v="1486691"/>
    <n v="31"/>
    <x v="0"/>
  </r>
  <r>
    <n v="617"/>
    <s v="HOMBRE"/>
    <n v="352881"/>
    <x v="3"/>
    <x v="1"/>
    <s v="SI"/>
    <s v="NO"/>
    <s v="NO"/>
    <n v="53"/>
    <n v="0.77776894370722982"/>
    <s v="No"/>
    <n v="0.36978178326481603"/>
    <s v="No"/>
    <n v="352881"/>
    <n v="53"/>
    <x v="3"/>
  </r>
  <r>
    <n v="618"/>
    <s v="MUJER"/>
    <n v="352852"/>
    <x v="0"/>
    <x v="0"/>
    <s v="SI"/>
    <s v="NO"/>
    <s v="NO"/>
    <n v="53"/>
    <n v="0.77776894370722982"/>
    <s v="No"/>
    <n v="0.36978226584528751"/>
    <s v="No"/>
    <n v="352852"/>
    <n v="53"/>
    <x v="0"/>
  </r>
  <r>
    <n v="619"/>
    <s v="HOMBRE"/>
    <n v="223463"/>
    <x v="0"/>
    <x v="1"/>
    <s v="SI"/>
    <s v="SI"/>
    <s v="NO"/>
    <n v="20"/>
    <n v="1.5512169488383079"/>
    <s v="No"/>
    <n v="0.37193539014256077"/>
    <s v="No"/>
    <n v="223463"/>
    <n v="20"/>
    <x v="0"/>
  </r>
  <r>
    <n v="620"/>
    <s v="HOMBRE"/>
    <n v="573400"/>
    <x v="0"/>
    <x v="1"/>
    <s v="SI"/>
    <s v="NO"/>
    <s v="NO"/>
    <n v="23"/>
    <n v="1.3394909586068953"/>
    <s v="No"/>
    <n v="0.36611219143776425"/>
    <s v="No"/>
    <n v="573400"/>
    <n v="23"/>
    <x v="0"/>
  </r>
  <r>
    <n v="621"/>
    <s v="HOMBRE"/>
    <n v="278030"/>
    <x v="4"/>
    <x v="1"/>
    <s v="SI"/>
    <s v="NO"/>
    <s v="NO"/>
    <n v="78"/>
    <n v="2.5421521956356674"/>
    <s v="Sí"/>
    <n v="0.37102735674304993"/>
    <s v="No"/>
    <n v="278030"/>
    <n v="78"/>
    <x v="4"/>
  </r>
  <r>
    <n v="622"/>
    <s v="MUJER"/>
    <n v="502100"/>
    <x v="3"/>
    <x v="1"/>
    <s v="SI"/>
    <s v="NO"/>
    <s v="NO"/>
    <n v="48"/>
    <n v="0.42489229332154227"/>
    <s v="No"/>
    <n v="0.36729867376930392"/>
    <s v="No"/>
    <n v="502100"/>
    <n v="48"/>
    <x v="3"/>
  </r>
  <r>
    <n v="623"/>
    <s v="HOMBRE"/>
    <n v="215000"/>
    <x v="0"/>
    <x v="1"/>
    <s v="SI"/>
    <s v="NO"/>
    <s v="NO"/>
    <n v="60"/>
    <n v="1.2717962542471923"/>
    <s v="No"/>
    <n v="0.37207622043669569"/>
    <s v="No"/>
    <n v="215000"/>
    <n v="60"/>
    <x v="0"/>
  </r>
  <r>
    <n v="624"/>
    <s v="HOMBRE"/>
    <n v="367392"/>
    <x v="0"/>
    <x v="1"/>
    <s v="SI"/>
    <s v="NO"/>
    <s v="NO"/>
    <n v="24"/>
    <n v="1.2689156285297578"/>
    <s v="No"/>
    <n v="0.36954030998132414"/>
    <s v="No"/>
    <n v="367392"/>
    <n v="24"/>
    <x v="0"/>
  </r>
  <r>
    <n v="625"/>
    <s v="MUJER"/>
    <n v="150000"/>
    <x v="0"/>
    <x v="1"/>
    <s v="SI"/>
    <s v="NO"/>
    <s v="NO"/>
    <n v="44"/>
    <n v="0.14259097301299228"/>
    <s v="No"/>
    <n v="0.37315786632098852"/>
    <s v="No"/>
    <n v="150000"/>
    <n v="44"/>
    <x v="0"/>
  </r>
  <r>
    <n v="626"/>
    <s v="HOMBRE"/>
    <n v="67966062"/>
    <x v="0"/>
    <x v="1"/>
    <s v="SI"/>
    <s v="NO"/>
    <s v="NO"/>
    <n v="21"/>
    <n v="1.4806416187611704"/>
    <s v="No"/>
    <n v="0.75534927754434178"/>
    <s v="No"/>
    <n v="67966062"/>
    <n v="21"/>
    <x v="0"/>
  </r>
  <r>
    <n v="627"/>
    <s v="HOMBRE"/>
    <n v="2796475"/>
    <x v="0"/>
    <x v="0"/>
    <s v="SI"/>
    <s v="NO"/>
    <s v="SI"/>
    <n v="52"/>
    <n v="0.70719361363009237"/>
    <s v="No"/>
    <n v="0.32911865414200653"/>
    <s v="No"/>
    <n v="2796475"/>
    <n v="52"/>
    <x v="0"/>
  </r>
  <r>
    <n v="628"/>
    <s v="MUJER"/>
    <n v="35954427"/>
    <x v="6"/>
    <x v="1"/>
    <s v="SI"/>
    <s v="SI"/>
    <s v="NO"/>
    <n v="46"/>
    <n v="0.2837416331672673"/>
    <s v="No"/>
    <n v="0.22265307374074372"/>
    <s v="No"/>
    <n v="35954427"/>
    <n v="46"/>
    <x v="5"/>
  </r>
  <r>
    <n v="629"/>
    <s v="HOMBRE"/>
    <n v="298018"/>
    <x v="2"/>
    <x v="1"/>
    <s v="SI"/>
    <s v="NO"/>
    <s v="NO"/>
    <n v="36"/>
    <n v="0.42201166760410774"/>
    <s v="No"/>
    <n v="0.37069474231327693"/>
    <s v="No"/>
    <n v="298018"/>
    <n v="36"/>
    <x v="2"/>
  </r>
  <r>
    <n v="630"/>
    <s v="MUJER"/>
    <n v="382136"/>
    <x v="3"/>
    <x v="1"/>
    <s v="SI"/>
    <s v="NO"/>
    <s v="NO"/>
    <n v="53"/>
    <n v="0.77776894370722982"/>
    <s v="No"/>
    <n v="0.36929495941335472"/>
    <s v="No"/>
    <n v="382136"/>
    <n v="53"/>
    <x v="3"/>
  </r>
  <r>
    <n v="631"/>
    <s v="MUJER"/>
    <n v="297046"/>
    <x v="2"/>
    <x v="1"/>
    <s v="SI"/>
    <s v="NO"/>
    <s v="SI"/>
    <n v="35"/>
    <n v="0.49258699768124525"/>
    <s v="No"/>
    <n v="0.37071091707942361"/>
    <s v="No"/>
    <n v="297046"/>
    <n v="35"/>
    <x v="2"/>
  </r>
  <r>
    <n v="632"/>
    <s v="HOMBRE"/>
    <n v="297046"/>
    <x v="2"/>
    <x v="1"/>
    <s v="SI"/>
    <s v="NO"/>
    <s v="NO"/>
    <n v="39"/>
    <n v="0.21028567737269524"/>
    <s v="No"/>
    <n v="0.37071091707942361"/>
    <s v="No"/>
    <n v="297046"/>
    <n v="39"/>
    <x v="2"/>
  </r>
  <r>
    <n v="633"/>
    <s v="MUJER"/>
    <n v="347615"/>
    <x v="3"/>
    <x v="1"/>
    <s v="SI"/>
    <s v="NO"/>
    <s v="NO"/>
    <n v="36"/>
    <n v="0.42201166760410774"/>
    <s v="No"/>
    <n v="0.36986941322214967"/>
    <s v="No"/>
    <n v="347615"/>
    <n v="36"/>
    <x v="3"/>
  </r>
  <r>
    <n v="634"/>
    <s v="MUJER"/>
    <n v="297044"/>
    <x v="2"/>
    <x v="1"/>
    <s v="SI"/>
    <s v="NO"/>
    <s v="NO"/>
    <n v="19"/>
    <n v="1.6217922789154453"/>
    <s v="No"/>
    <n v="0.3707109503608354"/>
    <s v="No"/>
    <n v="297044"/>
    <n v="19"/>
    <x v="2"/>
  </r>
  <r>
    <n v="635"/>
    <s v="MUJER"/>
    <n v="297046"/>
    <x v="2"/>
    <x v="1"/>
    <s v="SI"/>
    <s v="NO"/>
    <s v="NO"/>
    <n v="31"/>
    <n v="0.77488831798979529"/>
    <s v="No"/>
    <n v="0.37071091707942361"/>
    <s v="No"/>
    <n v="297046"/>
    <n v="31"/>
    <x v="2"/>
  </r>
  <r>
    <n v="636"/>
    <s v="HOMBRE"/>
    <n v="1169887"/>
    <x v="0"/>
    <x v="0"/>
    <s v="SI"/>
    <s v="NO"/>
    <s v="NO"/>
    <n v="45"/>
    <n v="0.21316630309012977"/>
    <s v="No"/>
    <n v="0.35618622669031547"/>
    <s v="No"/>
    <n v="1169887"/>
    <n v="45"/>
    <x v="0"/>
  </r>
  <r>
    <n v="637"/>
    <s v="HOMBRE"/>
    <n v="125314582"/>
    <x v="0"/>
    <x v="0"/>
    <s v="SI"/>
    <s v="NO"/>
    <s v="NO"/>
    <n v="34"/>
    <n v="0.56316232775838282"/>
    <s v="No"/>
    <n v="1.7096691333640996"/>
    <s v="No"/>
    <n v="125314582"/>
    <n v="34"/>
    <x v="0"/>
  </r>
  <r>
    <n v="638"/>
    <s v="HOMBRE"/>
    <n v="5770325"/>
    <x v="0"/>
    <x v="1"/>
    <s v="SI"/>
    <s v="NO"/>
    <s v="NO"/>
    <n v="53"/>
    <n v="0.77776894370722982"/>
    <s v="No"/>
    <n v="0.27963169086501893"/>
    <s v="No"/>
    <n v="5770325"/>
    <n v="53"/>
    <x v="0"/>
  </r>
  <r>
    <n v="639"/>
    <s v="HOMBRE"/>
    <n v="305704"/>
    <x v="3"/>
    <x v="1"/>
    <s v="SI"/>
    <s v="NO"/>
    <s v="NO"/>
    <n v="68"/>
    <n v="1.8363988948642924"/>
    <s v="No"/>
    <n v="0.37056684184763578"/>
    <s v="No"/>
    <n v="305704"/>
    <n v="68"/>
    <x v="3"/>
  </r>
  <r>
    <n v="640"/>
    <s v="MUJER"/>
    <n v="297045"/>
    <x v="2"/>
    <x v="1"/>
    <s v="SI"/>
    <s v="NO"/>
    <s v="NO"/>
    <n v="30"/>
    <n v="0.84546364806693275"/>
    <s v="No"/>
    <n v="0.37071093372012948"/>
    <s v="No"/>
    <n v="297045"/>
    <n v="30"/>
    <x v="2"/>
  </r>
  <r>
    <n v="641"/>
    <s v="MUJER"/>
    <n v="697711"/>
    <x v="1"/>
    <x v="0"/>
    <s v="SI"/>
    <s v="NO"/>
    <s v="NO"/>
    <n v="76"/>
    <n v="2.4010015354813925"/>
    <s v="Sí"/>
    <n v="0.36404356864511311"/>
    <s v="No"/>
    <n v="697711"/>
    <n v="76"/>
    <x v="1"/>
  </r>
  <r>
    <n v="642"/>
    <s v="HOMBRE"/>
    <n v="16110565"/>
    <x v="0"/>
    <x v="0"/>
    <s v="SI"/>
    <s v="NO"/>
    <s v="NO"/>
    <n v="55"/>
    <n v="0.91891960386150484"/>
    <s v="No"/>
    <n v="0.10756279796348119"/>
    <s v="No"/>
    <n v="16110565"/>
    <n v="55"/>
    <x v="0"/>
  </r>
  <r>
    <n v="643"/>
    <s v="HOMBRE"/>
    <n v="278030"/>
    <x v="4"/>
    <x v="1"/>
    <s v="SI"/>
    <s v="NO"/>
    <s v="NO"/>
    <n v="26"/>
    <n v="1.1277649683754829"/>
    <s v="No"/>
    <n v="0.37102735674304993"/>
    <s v="No"/>
    <n v="278030"/>
    <n v="26"/>
    <x v="4"/>
  </r>
  <r>
    <n v="644"/>
    <s v="MUJER"/>
    <n v="970360"/>
    <x v="0"/>
    <x v="0"/>
    <s v="SI"/>
    <s v="NO"/>
    <s v="NO"/>
    <n v="41"/>
    <n v="6.9135017218420233E-2"/>
    <s v="No"/>
    <n v="0.35950649681885843"/>
    <s v="No"/>
    <n v="970360"/>
    <n v="41"/>
    <x v="0"/>
  </r>
  <r>
    <n v="645"/>
    <s v="MUJER"/>
    <n v="15978723"/>
    <x v="0"/>
    <x v="1"/>
    <s v="SI"/>
    <s v="NO"/>
    <s v="NO"/>
    <n v="36"/>
    <n v="0.42201166760410774"/>
    <s v="No"/>
    <n v="0.10975674191235708"/>
    <s v="No"/>
    <n v="15978723"/>
    <n v="36"/>
    <x v="0"/>
  </r>
  <r>
    <n v="646"/>
    <s v="HOMBRE"/>
    <n v="680400"/>
    <x v="0"/>
    <x v="1"/>
    <s v="SI"/>
    <s v="NO"/>
    <s v="NO"/>
    <n v="63"/>
    <n v="1.4835222444786049"/>
    <s v="No"/>
    <n v="0.36433163590515916"/>
    <s v="No"/>
    <n v="680400"/>
    <n v="63"/>
    <x v="0"/>
  </r>
  <r>
    <n v="647"/>
    <s v="MUJER"/>
    <n v="155665339"/>
    <x v="0"/>
    <x v="1"/>
    <s v="SI"/>
    <s v="NO"/>
    <s v="NO"/>
    <n v="44"/>
    <n v="0.14259097301299228"/>
    <s v="No"/>
    <n v="2.2147271548136596"/>
    <s v="Sí"/>
    <n v="155665339"/>
    <n v="44"/>
    <x v="0"/>
  </r>
  <r>
    <n v="648"/>
    <s v="MUJER"/>
    <n v="280000"/>
    <x v="0"/>
    <x v="1"/>
    <s v="SI"/>
    <s v="SI"/>
    <s v="NO"/>
    <n v="59"/>
    <n v="1.2012209241700549"/>
    <s v="No"/>
    <n v="0.37099457455240292"/>
    <s v="No"/>
    <n v="280000"/>
    <n v="59"/>
    <x v="0"/>
  </r>
  <r>
    <n v="649"/>
    <s v="HOMBRE"/>
    <n v="311895"/>
    <x v="3"/>
    <x v="1"/>
    <s v="SI"/>
    <s v="NO"/>
    <s v="SI"/>
    <n v="41"/>
    <n v="6.9135017218420233E-2"/>
    <s v="No"/>
    <n v="0.37046381923733335"/>
    <s v="No"/>
    <n v="311895"/>
    <n v="41"/>
    <x v="3"/>
  </r>
  <r>
    <n v="650"/>
    <s v="HOMBRE"/>
    <n v="297046"/>
    <x v="2"/>
    <x v="1"/>
    <s v="NO"/>
    <s v="SI"/>
    <s v="NO"/>
    <n v="71"/>
    <n v="2.0481248850957048"/>
    <s v="Sí"/>
    <n v="0.37071091707942361"/>
    <s v="No"/>
    <n v="297046"/>
    <n v="71"/>
    <x v="2"/>
  </r>
  <r>
    <n v="651"/>
    <s v="MUJER"/>
    <n v="540000"/>
    <x v="0"/>
    <x v="1"/>
    <s v="SI"/>
    <s v="NO"/>
    <s v="NO"/>
    <n v="26"/>
    <n v="1.1277649683754829"/>
    <s v="No"/>
    <n v="0.36666799101523162"/>
    <s v="No"/>
    <n v="540000"/>
    <n v="26"/>
    <x v="0"/>
  </r>
  <r>
    <n v="652"/>
    <s v="MUJER"/>
    <n v="312690"/>
    <x v="0"/>
    <x v="0"/>
    <s v="SI"/>
    <s v="NO"/>
    <s v="NO"/>
    <n v="57"/>
    <n v="1.0600702640157798"/>
    <s v="No"/>
    <n v="0.37045058987613316"/>
    <s v="No"/>
    <n v="312690"/>
    <n v="57"/>
    <x v="0"/>
  </r>
  <r>
    <n v="653"/>
    <s v="HOMBRE"/>
    <n v="216975"/>
    <x v="0"/>
    <x v="1"/>
    <s v="SI"/>
    <s v="NO"/>
    <s v="NO"/>
    <n v="32"/>
    <n v="0.70431298791265773"/>
    <s v="No"/>
    <n v="0.37204335504251912"/>
    <s v="No"/>
    <n v="216975"/>
    <n v="32"/>
    <x v="0"/>
  </r>
  <r>
    <n v="654"/>
    <s v="HOMBRE"/>
    <n v="25449492"/>
    <x v="0"/>
    <x v="0"/>
    <s v="SI"/>
    <s v="NO"/>
    <s v="NO"/>
    <n v="31"/>
    <n v="0.77488831798979529"/>
    <s v="No"/>
    <n v="4.7843539778996656E-2"/>
    <s v="No"/>
    <n v="25449492"/>
    <n v="31"/>
    <x v="0"/>
  </r>
  <r>
    <n v="655"/>
    <s v="HOMBRE"/>
    <n v="278030"/>
    <x v="4"/>
    <x v="1"/>
    <s v="SI"/>
    <s v="SI"/>
    <s v="NO"/>
    <n v="38"/>
    <n v="0.28086100744983278"/>
    <s v="No"/>
    <n v="0.37102735674304993"/>
    <s v="No"/>
    <n v="278030"/>
    <n v="38"/>
    <x v="4"/>
  </r>
  <r>
    <n v="656"/>
    <s v="HOMBRE"/>
    <n v="29117801"/>
    <x v="0"/>
    <x v="1"/>
    <s v="SI"/>
    <s v="NO"/>
    <s v="NO"/>
    <n v="34"/>
    <n v="0.56316232775838282"/>
    <s v="No"/>
    <n v="0.10888679104306277"/>
    <s v="No"/>
    <n v="29117801"/>
    <n v="34"/>
    <x v="0"/>
  </r>
  <r>
    <n v="657"/>
    <s v="HOMBRE"/>
    <n v="1181901"/>
    <x v="0"/>
    <x v="0"/>
    <s v="SI"/>
    <s v="NO"/>
    <s v="NO"/>
    <n v="55"/>
    <n v="0.91891960386150484"/>
    <s v="No"/>
    <n v="0.35598630524948632"/>
    <s v="No"/>
    <n v="1181901"/>
    <n v="55"/>
    <x v="0"/>
  </r>
  <r>
    <n v="658"/>
    <s v="HOMBRE"/>
    <n v="49453906"/>
    <x v="0"/>
    <x v="1"/>
    <s v="SI"/>
    <s v="SI"/>
    <s v="NO"/>
    <n v="39"/>
    <n v="0.21028567737269524"/>
    <s v="No"/>
    <n v="0.44729393374762533"/>
    <s v="No"/>
    <n v="49453906"/>
    <n v="39"/>
    <x v="0"/>
  </r>
  <r>
    <n v="659"/>
    <s v="MUJER"/>
    <n v="299647"/>
    <x v="2"/>
    <x v="1"/>
    <s v="SI"/>
    <s v="NO"/>
    <s v="NO"/>
    <n v="51"/>
    <n v="0.6366182835529548"/>
    <s v="No"/>
    <n v="0.37066763460334595"/>
    <s v="No"/>
    <n v="299647"/>
    <n v="51"/>
    <x v="2"/>
  </r>
  <r>
    <n v="660"/>
    <s v="HOMBRE"/>
    <n v="386161"/>
    <x v="3"/>
    <x v="1"/>
    <s v="SI"/>
    <s v="NO"/>
    <s v="SI"/>
    <n v="49"/>
    <n v="0.49546762339867978"/>
    <s v="No"/>
    <n v="0.36922798057205813"/>
    <s v="No"/>
    <n v="386161"/>
    <n v="49"/>
    <x v="3"/>
  </r>
  <r>
    <n v="661"/>
    <s v="HOMBRE"/>
    <n v="300000"/>
    <x v="3"/>
    <x v="1"/>
    <s v="SI"/>
    <s v="NO"/>
    <s v="NO"/>
    <n v="30"/>
    <n v="0.84546364806693275"/>
    <s v="No"/>
    <n v="0.37066176043415894"/>
    <s v="No"/>
    <n v="300000"/>
    <n v="30"/>
    <x v="3"/>
  </r>
  <r>
    <n v="662"/>
    <s v="HOMBRE"/>
    <n v="242587986"/>
    <x v="0"/>
    <x v="1"/>
    <s v="SI"/>
    <s v="NO"/>
    <s v="NO"/>
    <n v="31"/>
    <n v="0.77488831798979529"/>
    <s v="No"/>
    <n v="3.6611813606503878"/>
    <s v="Sí"/>
    <n v="242587986"/>
    <n v="31"/>
    <x v="0"/>
  </r>
  <r>
    <n v="663"/>
    <s v="HOMBRE"/>
    <n v="55261601"/>
    <x v="0"/>
    <x v="1"/>
    <s v="SI"/>
    <s v="NO"/>
    <s v="NO"/>
    <n v="30"/>
    <n v="0.84546364806693275"/>
    <s v="No"/>
    <n v="0.54393807827036333"/>
    <s v="No"/>
    <n v="55261601"/>
    <n v="30"/>
    <x v="0"/>
  </r>
  <r>
    <n v="664"/>
    <s v="HOMBRE"/>
    <n v="45496533"/>
    <x v="0"/>
    <x v="1"/>
    <s v="SI"/>
    <s v="NO"/>
    <s v="SI"/>
    <n v="48"/>
    <n v="0.42489229332154227"/>
    <s v="No"/>
    <n v="0.38144045346975586"/>
    <s v="No"/>
    <n v="45496533"/>
    <n v="48"/>
    <x v="0"/>
  </r>
  <r>
    <n v="665"/>
    <s v="MUJER"/>
    <n v="834260"/>
    <x v="0"/>
    <x v="0"/>
    <s v="SI"/>
    <s v="NO"/>
    <s v="SI"/>
    <n v="42"/>
    <n v="1.4403128587172659E-3"/>
    <s v="No"/>
    <n v="0.36177129689350851"/>
    <s v="No"/>
    <n v="834260"/>
    <n v="42"/>
    <x v="0"/>
  </r>
  <r>
    <n v="666"/>
    <s v="HOMBRE"/>
    <n v="329950"/>
    <x v="3"/>
    <x v="1"/>
    <s v="SI"/>
    <s v="NO"/>
    <s v="SI"/>
    <n v="41"/>
    <n v="6.9135017218420233E-2"/>
    <s v="No"/>
    <n v="0.37016337129208865"/>
    <s v="No"/>
    <n v="329950"/>
    <n v="41"/>
    <x v="3"/>
  </r>
  <r>
    <n v="667"/>
    <s v="HOMBRE"/>
    <n v="1198"/>
    <x v="0"/>
    <x v="1"/>
    <s v="SI"/>
    <s v="NO"/>
    <s v="NO"/>
    <n v="25"/>
    <n v="1.1983402984526204"/>
    <s v="No"/>
    <n v="0.37563403664213529"/>
    <s v="No"/>
    <n v="1198"/>
    <n v="25"/>
    <x v="0"/>
  </r>
  <r>
    <n v="668"/>
    <s v="MUJER"/>
    <n v="29333333"/>
    <x v="0"/>
    <x v="1"/>
    <s v="SI"/>
    <s v="NO"/>
    <s v="NO"/>
    <n v="24"/>
    <n v="1.2689156285297578"/>
    <s v="No"/>
    <n v="0.11247339566973046"/>
    <s v="No"/>
    <n v="29333333"/>
    <n v="24"/>
    <x v="0"/>
  </r>
  <r>
    <n v="669"/>
    <s v="HOMBRE"/>
    <n v="580000"/>
    <x v="0"/>
    <x v="1"/>
    <s v="SI"/>
    <s v="NO"/>
    <s v="NO"/>
    <n v="36"/>
    <n v="0.42201166760410774"/>
    <s v="No"/>
    <n v="0.36600236277874376"/>
    <s v="No"/>
    <n v="580000"/>
    <n v="36"/>
    <x v="0"/>
  </r>
  <r>
    <n v="670"/>
    <s v="MUJER"/>
    <n v="817600"/>
    <x v="0"/>
    <x v="1"/>
    <s v="SI"/>
    <s v="NO"/>
    <s v="NO"/>
    <n v="38"/>
    <n v="0.28086100744983278"/>
    <s v="No"/>
    <n v="0.3620485310540057"/>
    <s v="No"/>
    <n v="817600"/>
    <n v="38"/>
    <x v="0"/>
  </r>
  <r>
    <n v="671"/>
    <s v="MUJER"/>
    <n v="38059081"/>
    <x v="0"/>
    <x v="1"/>
    <s v="SI"/>
    <s v="NO"/>
    <s v="NO"/>
    <n v="33"/>
    <n v="0.63373765783552027"/>
    <s v="No"/>
    <n v="0.25767600200167312"/>
    <s v="No"/>
    <n v="38059081"/>
    <n v="33"/>
    <x v="0"/>
  </r>
  <r>
    <n v="672"/>
    <s v="MUJER"/>
    <n v="278868"/>
    <x v="0"/>
    <x v="1"/>
    <s v="SI"/>
    <s v="NO"/>
    <s v="NO"/>
    <n v="22"/>
    <n v="1.4100662886840327"/>
    <s v="No"/>
    <n v="0.3710134118314955"/>
    <s v="No"/>
    <n v="278868"/>
    <n v="22"/>
    <x v="0"/>
  </r>
  <r>
    <n v="673"/>
    <s v="HOMBRE"/>
    <n v="6005385"/>
    <x v="0"/>
    <x v="1"/>
    <s v="SI"/>
    <s v="NO"/>
    <s v="NO"/>
    <n v="27"/>
    <n v="1.0571896382983452"/>
    <s v="No"/>
    <n v="0.27572012653329786"/>
    <s v="No"/>
    <n v="6005385"/>
    <n v="27"/>
    <x v="0"/>
  </r>
  <r>
    <n v="674"/>
    <s v="HOMBRE"/>
    <n v="476481614"/>
    <x v="0"/>
    <x v="1"/>
    <s v="SI"/>
    <s v="SI"/>
    <s v="NO"/>
    <n v="53"/>
    <n v="0.77776894370722982"/>
    <s v="No"/>
    <n v="7.5533364389352347"/>
    <s v="Sí"/>
    <n v="476481614"/>
    <n v="53"/>
    <x v="0"/>
  </r>
  <r>
    <n v="675"/>
    <s v="HOMBRE"/>
    <n v="278035"/>
    <x v="2"/>
    <x v="1"/>
    <s v="SI"/>
    <s v="NO"/>
    <s v="SI"/>
    <n v="54"/>
    <n v="0.84834427378436728"/>
    <s v="No"/>
    <n v="0.37102727353952036"/>
    <s v="No"/>
    <n v="278035"/>
    <n v="54"/>
    <x v="2"/>
  </r>
  <r>
    <n v="676"/>
    <s v="MUJER"/>
    <n v="5215081"/>
    <x v="0"/>
    <x v="0"/>
    <s v="SI"/>
    <s v="NO"/>
    <s v="NO"/>
    <n v="65"/>
    <n v="1.6246729046328798"/>
    <s v="No"/>
    <n v="0.28887134297853095"/>
    <s v="No"/>
    <n v="5215081"/>
    <n v="65"/>
    <x v="0"/>
  </r>
  <r>
    <n v="677"/>
    <s v="HOMBRE"/>
    <n v="319600"/>
    <x v="0"/>
    <x v="1"/>
    <s v="SI"/>
    <s v="NO"/>
    <s v="NO"/>
    <n v="61"/>
    <n v="1.3423715843243298"/>
    <s v="No"/>
    <n v="0.37033560259827991"/>
    <s v="No"/>
    <n v="319600"/>
    <n v="61"/>
    <x v="0"/>
  </r>
  <r>
    <n v="678"/>
    <s v="MUJER"/>
    <n v="152460"/>
    <x v="0"/>
    <x v="1"/>
    <s v="SI"/>
    <s v="NO"/>
    <s v="NO"/>
    <n v="65"/>
    <n v="1.6246729046328798"/>
    <s v="No"/>
    <n v="0.37311693018444453"/>
    <s v="No"/>
    <n v="152460"/>
    <n v="65"/>
    <x v="0"/>
  </r>
  <r>
    <n v="679"/>
    <s v="HOMBRE"/>
    <n v="608941"/>
    <x v="3"/>
    <x v="1"/>
    <s v="SI"/>
    <s v="NO"/>
    <s v="SI"/>
    <n v="45"/>
    <n v="0.21316630309012977"/>
    <s v="No"/>
    <n v="0.36552076410893886"/>
    <s v="No"/>
    <n v="608941"/>
    <n v="45"/>
    <x v="3"/>
  </r>
  <r>
    <n v="680"/>
    <s v="MUJER"/>
    <n v="45496233"/>
    <x v="0"/>
    <x v="1"/>
    <s v="SI"/>
    <s v="NO"/>
    <s v="NO"/>
    <n v="44"/>
    <n v="0.14259097301299228"/>
    <s v="No"/>
    <n v="0.38143546125798222"/>
    <s v="No"/>
    <n v="45496233"/>
    <n v="44"/>
    <x v="0"/>
  </r>
  <r>
    <n v="681"/>
    <s v="HOMBRE"/>
    <n v="458557"/>
    <x v="3"/>
    <x v="1"/>
    <s v="SI"/>
    <s v="NO"/>
    <s v="NO"/>
    <n v="54"/>
    <n v="0.84834427378436728"/>
    <s v="No"/>
    <n v="0.36802326002683872"/>
    <s v="No"/>
    <n v="458557"/>
    <n v="54"/>
    <x v="3"/>
  </r>
  <r>
    <n v="682"/>
    <s v="MUJER"/>
    <n v="79153855"/>
    <x v="0"/>
    <x v="0"/>
    <s v="SI"/>
    <s v="NO"/>
    <s v="NO"/>
    <n v="40"/>
    <n v="0.13971034729555773"/>
    <s v="No"/>
    <n v="0.94152205066387995"/>
    <s v="No"/>
    <n v="79153855"/>
    <n v="40"/>
    <x v="0"/>
  </r>
  <r>
    <n v="683"/>
    <s v="HOMBRE"/>
    <n v="240000"/>
    <x v="0"/>
    <x v="1"/>
    <s v="SI"/>
    <s v="NO"/>
    <s v="NO"/>
    <n v="18"/>
    <n v="1.6923676089925828"/>
    <s v="No"/>
    <n v="0.37166020278889078"/>
    <s v="No"/>
    <n v="240000"/>
    <n v="18"/>
    <x v="0"/>
  </r>
  <r>
    <n v="684"/>
    <s v="HOMBRE"/>
    <n v="278030"/>
    <x v="4"/>
    <x v="1"/>
    <s v="SI"/>
    <s v="NO"/>
    <s v="NO"/>
    <n v="52"/>
    <n v="0.70719361363009237"/>
    <s v="No"/>
    <n v="0.37102735674304993"/>
    <s v="No"/>
    <n v="278030"/>
    <n v="52"/>
    <x v="4"/>
  </r>
  <r>
    <n v="685"/>
    <s v="MUJER"/>
    <n v="211571004"/>
    <x v="0"/>
    <x v="0"/>
    <s v="SI"/>
    <s v="NO"/>
    <s v="NO"/>
    <n v="46"/>
    <n v="0.2837416331672673"/>
    <s v="No"/>
    <n v="3.1450368849044743"/>
    <s v="Sí"/>
    <n v="211571004"/>
    <n v="46"/>
    <x v="0"/>
  </r>
  <r>
    <n v="686"/>
    <s v="MUJER"/>
    <n v="450000"/>
    <x v="0"/>
    <x v="1"/>
    <s v="SI"/>
    <s v="NO"/>
    <s v="NO"/>
    <n v="21"/>
    <n v="1.4806416187611704"/>
    <s v="No"/>
    <n v="0.36816565454732936"/>
    <s v="No"/>
    <n v="450000"/>
    <n v="21"/>
    <x v="0"/>
  </r>
  <r>
    <n v="687"/>
    <s v="HOMBRE"/>
    <n v="594527"/>
    <x v="3"/>
    <x v="1"/>
    <s v="SI"/>
    <s v="NO"/>
    <s v="SI"/>
    <n v="53"/>
    <n v="0.77776894370722982"/>
    <s v="No"/>
    <n v="0.36576062324395725"/>
    <s v="No"/>
    <n v="594527"/>
    <n v="53"/>
    <x v="3"/>
  </r>
  <r>
    <n v="688"/>
    <s v="HOMBRE"/>
    <n v="311895"/>
    <x v="3"/>
    <x v="1"/>
    <s v="SI"/>
    <s v="NO"/>
    <s v="SI"/>
    <n v="37"/>
    <n v="0.35143633752697023"/>
    <s v="No"/>
    <n v="0.37046381923733335"/>
    <s v="No"/>
    <n v="311895"/>
    <n v="37"/>
    <x v="3"/>
  </r>
  <r>
    <n v="689"/>
    <s v="MUJER"/>
    <n v="360000"/>
    <x v="0"/>
    <x v="1"/>
    <s v="SI"/>
    <s v="NO"/>
    <s v="NO"/>
    <n v="52"/>
    <n v="0.70719361363009237"/>
    <s v="No"/>
    <n v="0.36966331807942709"/>
    <s v="No"/>
    <n v="360000"/>
    <n v="52"/>
    <x v="0"/>
  </r>
  <r>
    <n v="690"/>
    <s v="MUJER"/>
    <n v="369131"/>
    <x v="3"/>
    <x v="1"/>
    <s v="SI"/>
    <s v="NO"/>
    <s v="NO"/>
    <n v="47"/>
    <n v="0.35431696324440481"/>
    <s v="No"/>
    <n v="0.36951137179374283"/>
    <s v="No"/>
    <n v="369131"/>
    <n v="47"/>
    <x v="3"/>
  </r>
  <r>
    <n v="691"/>
    <s v="MUJER"/>
    <n v="1041736"/>
    <x v="0"/>
    <x v="1"/>
    <s v="SI"/>
    <s v="NO"/>
    <s v="NO"/>
    <n v="24"/>
    <n v="1.2689156285297578"/>
    <s v="No"/>
    <n v="0.35831874979366946"/>
    <s v="No"/>
    <n v="1041736"/>
    <n v="24"/>
    <x v="0"/>
  </r>
  <r>
    <n v="692"/>
    <s v="HOMBRE"/>
    <n v="311895"/>
    <x v="3"/>
    <x v="1"/>
    <s v="SI"/>
    <s v="NO"/>
    <s v="NO"/>
    <n v="40"/>
    <n v="0.13971034729555773"/>
    <s v="No"/>
    <n v="0.37046381923733335"/>
    <s v="No"/>
    <n v="311895"/>
    <n v="40"/>
    <x v="3"/>
  </r>
  <r>
    <n v="693"/>
    <s v="HOMBRE"/>
    <n v="12566043"/>
    <x v="0"/>
    <x v="0"/>
    <s v="SI"/>
    <s v="NO"/>
    <s v="NO"/>
    <n v="36"/>
    <n v="0.42201166760410774"/>
    <s v="No"/>
    <n v="0.16654614616479416"/>
    <s v="No"/>
    <n v="12566043"/>
    <n v="36"/>
    <x v="0"/>
  </r>
  <r>
    <n v="694"/>
    <s v="HOMBRE"/>
    <n v="2921811"/>
    <x v="0"/>
    <x v="1"/>
    <s v="SI"/>
    <s v="NO"/>
    <s v="NO"/>
    <n v="42"/>
    <n v="1.4403128587172659E-3"/>
    <s v="No"/>
    <n v="0.32703297462579534"/>
    <s v="No"/>
    <n v="2921811"/>
    <n v="42"/>
    <x v="0"/>
  </r>
  <r>
    <n v="695"/>
    <s v="HOMBRE"/>
    <n v="64342684"/>
    <x v="0"/>
    <x v="0"/>
    <s v="SI"/>
    <s v="NO"/>
    <s v="NO"/>
    <n v="34"/>
    <n v="0.56316232775838282"/>
    <s v="No"/>
    <n v="0.69505370983761661"/>
    <s v="No"/>
    <n v="64342684"/>
    <n v="34"/>
    <x v="0"/>
  </r>
  <r>
    <n v="696"/>
    <s v="HOMBRE"/>
    <n v="3777301"/>
    <x v="0"/>
    <x v="1"/>
    <s v="SI"/>
    <s v="NO"/>
    <s v="NO"/>
    <n v="43"/>
    <n v="7.2015642935854773E-2"/>
    <s v="No"/>
    <n v="0.31279701712496982"/>
    <s v="No"/>
    <n v="3777301"/>
    <n v="43"/>
    <x v="0"/>
  </r>
  <r>
    <n v="697"/>
    <s v="HOMBRE"/>
    <n v="326653"/>
    <x v="0"/>
    <x v="1"/>
    <s v="SI"/>
    <s v="NO"/>
    <s v="NO"/>
    <n v="53"/>
    <n v="0.77776894370722982"/>
    <s v="No"/>
    <n v="0.37021823569948115"/>
    <s v="No"/>
    <n v="326653"/>
    <n v="53"/>
    <x v="0"/>
  </r>
  <r>
    <n v="698"/>
    <s v="HOMBRE"/>
    <n v="81428932"/>
    <x v="0"/>
    <x v="1"/>
    <s v="SI"/>
    <s v="NO"/>
    <s v="NO"/>
    <n v="36"/>
    <n v="0.42201166760410774"/>
    <s v="No"/>
    <n v="0.9793809379484838"/>
    <s v="No"/>
    <n v="81428932"/>
    <n v="36"/>
    <x v="0"/>
  </r>
  <r>
    <n v="699"/>
    <s v="HOMBRE"/>
    <n v="800000"/>
    <x v="0"/>
    <x v="1"/>
    <s v="SI"/>
    <s v="NO"/>
    <s v="NO"/>
    <n v="25"/>
    <n v="1.1983402984526204"/>
    <s v="No"/>
    <n v="0.36234140747806037"/>
    <s v="No"/>
    <n v="800000"/>
    <n v="25"/>
    <x v="0"/>
  </r>
  <r>
    <n v="700"/>
    <s v="HOMBRE"/>
    <n v="12742177"/>
    <x v="0"/>
    <x v="1"/>
    <s v="SI"/>
    <s v="NO"/>
    <s v="NO"/>
    <n v="49"/>
    <n v="0.49546762339867978"/>
    <s v="No"/>
    <n v="0.16361515206965521"/>
    <s v="No"/>
    <n v="12742177"/>
    <n v="49"/>
    <x v="0"/>
  </r>
  <r>
    <n v="701"/>
    <s v="HOMBRE"/>
    <n v="278030"/>
    <x v="4"/>
    <x v="1"/>
    <s v="SI"/>
    <s v="NO"/>
    <s v="NO"/>
    <n v="40"/>
    <n v="0.13971034729555773"/>
    <s v="No"/>
    <n v="0.37102735674304993"/>
    <s v="No"/>
    <n v="278030"/>
    <n v="40"/>
    <x v="4"/>
  </r>
  <r>
    <n v="702"/>
    <s v="HOMBRE"/>
    <n v="112084999"/>
    <x v="1"/>
    <x v="0"/>
    <s v="SI"/>
    <s v="NO"/>
    <s v="NO"/>
    <n v="63"/>
    <n v="1.4835222444786049"/>
    <s v="No"/>
    <n v="1.4895195333200966"/>
    <s v="No"/>
    <n v="112084999"/>
    <n v="63"/>
    <x v="1"/>
  </r>
  <r>
    <n v="703"/>
    <s v="MUJER"/>
    <n v="297078"/>
    <x v="0"/>
    <x v="1"/>
    <s v="SI"/>
    <s v="NO"/>
    <s v="NO"/>
    <n v="26"/>
    <n v="1.1277649683754829"/>
    <s v="No"/>
    <n v="0.37071038457683442"/>
    <s v="No"/>
    <n v="297078"/>
    <n v="26"/>
    <x v="0"/>
  </r>
  <r>
    <n v="704"/>
    <s v="MUJER"/>
    <n v="890323"/>
    <x v="0"/>
    <x v="0"/>
    <s v="SI"/>
    <s v="NO"/>
    <s v="NO"/>
    <n v="39"/>
    <n v="0.21028567737269524"/>
    <s v="No"/>
    <n v="0.36083836899795296"/>
    <s v="No"/>
    <n v="890323"/>
    <n v="39"/>
    <x v="0"/>
  </r>
  <r>
    <n v="705"/>
    <s v="HOMBRE"/>
    <n v="387953"/>
    <x v="3"/>
    <x v="1"/>
    <s v="SI"/>
    <s v="SI"/>
    <s v="SI"/>
    <n v="39"/>
    <n v="0.21028567737269524"/>
    <s v="No"/>
    <n v="0.36919816042706349"/>
    <s v="No"/>
    <n v="387953"/>
    <n v="39"/>
    <x v="3"/>
  </r>
  <r>
    <n v="706"/>
    <s v="HOMBRE"/>
    <n v="148360"/>
    <x v="0"/>
    <x v="1"/>
    <s v="SI"/>
    <s v="NO"/>
    <s v="NO"/>
    <n v="58"/>
    <n v="1.1306455940929174"/>
    <s v="No"/>
    <n v="0.37318515707868455"/>
    <s v="No"/>
    <n v="148360"/>
    <n v="58"/>
    <x v="0"/>
  </r>
  <r>
    <n v="707"/>
    <s v="MUJER"/>
    <n v="33751175"/>
    <x v="0"/>
    <x v="0"/>
    <s v="SI"/>
    <s v="NO"/>
    <s v="NO"/>
    <n v="30"/>
    <n v="0.84546364806693275"/>
    <s v="No"/>
    <n v="0.18598940515828347"/>
    <s v="No"/>
    <n v="33751175"/>
    <n v="30"/>
    <x v="0"/>
  </r>
  <r>
    <n v="708"/>
    <s v="MUJER"/>
    <n v="223874"/>
    <x v="0"/>
    <x v="1"/>
    <s v="SI"/>
    <s v="NO"/>
    <s v="NO"/>
    <n v="58"/>
    <n v="1.1306455940929174"/>
    <s v="No"/>
    <n v="0.37192855081243087"/>
    <s v="No"/>
    <n v="223874"/>
    <n v="58"/>
    <x v="0"/>
  </r>
  <r>
    <n v="709"/>
    <s v="HOMBRE"/>
    <n v="35153184"/>
    <x v="0"/>
    <x v="1"/>
    <s v="SI"/>
    <s v="NO"/>
    <s v="NO"/>
    <n v="26"/>
    <n v="1.1277649683754829"/>
    <s v="No"/>
    <n v="0.2093198246135371"/>
    <s v="No"/>
    <n v="35153184"/>
    <n v="26"/>
    <x v="0"/>
  </r>
  <r>
    <n v="710"/>
    <s v="MUJER"/>
    <n v="300018"/>
    <x v="3"/>
    <x v="1"/>
    <s v="SI"/>
    <s v="SI"/>
    <s v="SI"/>
    <n v="38"/>
    <n v="0.28086100744983278"/>
    <s v="No"/>
    <n v="0.37066146090145252"/>
    <s v="No"/>
    <n v="300018"/>
    <n v="38"/>
    <x v="3"/>
  </r>
  <r>
    <n v="711"/>
    <s v="HOMBRE"/>
    <n v="808140178"/>
    <x v="0"/>
    <x v="1"/>
    <s v="SI"/>
    <s v="NO"/>
    <s v="NO"/>
    <n v="34"/>
    <n v="0.56316232775838282"/>
    <s v="No"/>
    <n v="13.072369065720862"/>
    <s v="Sí"/>
    <n v="808140178"/>
    <n v="34"/>
    <x v="0"/>
  </r>
  <r>
    <n v="712"/>
    <s v="MUJER"/>
    <n v="244860"/>
    <x v="0"/>
    <x v="1"/>
    <s v="SI"/>
    <s v="NO"/>
    <s v="NO"/>
    <n v="56"/>
    <n v="0.9894949339386423"/>
    <s v="No"/>
    <n v="0.37157932895815748"/>
    <s v="No"/>
    <n v="244860"/>
    <n v="56"/>
    <x v="0"/>
  </r>
  <r>
    <n v="713"/>
    <s v="HOMBRE"/>
    <n v="27803099"/>
    <x v="4"/>
    <x v="1"/>
    <s v="SI"/>
    <s v="NO"/>
    <s v="NO"/>
    <n v="73"/>
    <n v="2.1892755452499797"/>
    <s v="Sí"/>
    <n v="8.7009221698885322E-2"/>
    <s v="No"/>
    <n v="27803099"/>
    <n v="73"/>
    <x v="4"/>
  </r>
  <r>
    <n v="714"/>
    <s v="MUJER"/>
    <n v="14150948"/>
    <x v="1"/>
    <x v="0"/>
    <s v="SI"/>
    <s v="NO"/>
    <s v="NO"/>
    <n v="89"/>
    <n v="3.3184808264841799"/>
    <s v="Sí"/>
    <n v="0.1401722081610233"/>
    <s v="No"/>
    <n v="14150948"/>
    <n v="89"/>
    <x v="1"/>
  </r>
  <r>
    <n v="715"/>
    <s v="HOMBRE"/>
    <n v="80628131"/>
    <x v="0"/>
    <x v="1"/>
    <s v="SI"/>
    <s v="NO"/>
    <s v="NO"/>
    <n v="41"/>
    <n v="6.9135017218420233E-2"/>
    <s v="No"/>
    <n v="0.96605504401329034"/>
    <s v="No"/>
    <n v="80628131"/>
    <n v="41"/>
    <x v="0"/>
  </r>
  <r>
    <n v="716"/>
    <s v="HOMBRE"/>
    <n v="360561"/>
    <x v="0"/>
    <x v="1"/>
    <s v="SI"/>
    <s v="NO"/>
    <s v="NO"/>
    <n v="28"/>
    <n v="0.98661430822120777"/>
    <s v="No"/>
    <n v="0.36965398264341037"/>
    <s v="No"/>
    <n v="360561"/>
    <n v="28"/>
    <x v="0"/>
  </r>
  <r>
    <n v="717"/>
    <s v="MUJER"/>
    <n v="5937493"/>
    <x v="0"/>
    <x v="1"/>
    <s v="SI"/>
    <s v="NO"/>
    <s v="NO"/>
    <n v="27"/>
    <n v="1.0571896382983452"/>
    <s v="No"/>
    <n v="0.27684989733908877"/>
    <s v="No"/>
    <n v="5937493"/>
    <n v="27"/>
    <x v="0"/>
  </r>
  <r>
    <n v="718"/>
    <s v="MUJER"/>
    <n v="29926123"/>
    <x v="0"/>
    <x v="0"/>
    <s v="SI"/>
    <s v="NO"/>
    <s v="NO"/>
    <n v="44"/>
    <n v="0.14259097301299228"/>
    <s v="No"/>
    <n v="0.12233783972742182"/>
    <s v="No"/>
    <n v="29926123"/>
    <n v="44"/>
    <x v="0"/>
  </r>
  <r>
    <n v="719"/>
    <s v="HOMBRE"/>
    <n v="22697482"/>
    <x v="0"/>
    <x v="1"/>
    <s v="SI"/>
    <s v="NO"/>
    <s v="NO"/>
    <n v="31"/>
    <n v="0.77488831798979529"/>
    <s v="No"/>
    <n v="2.0481507015709033E-3"/>
    <s v="No"/>
    <n v="22697482"/>
    <n v="31"/>
    <x v="0"/>
  </r>
  <r>
    <n v="720"/>
    <s v="HOMBRE"/>
    <n v="380825"/>
    <x v="1"/>
    <x v="0"/>
    <s v="SI"/>
    <s v="NO"/>
    <s v="NO"/>
    <n v="68"/>
    <n v="1.8363988948642924"/>
    <s v="No"/>
    <n v="0.36931677537880564"/>
    <s v="No"/>
    <n v="380825"/>
    <n v="68"/>
    <x v="1"/>
  </r>
  <r>
    <n v="721"/>
    <s v="HOMBRE"/>
    <n v="403092"/>
    <x v="3"/>
    <x v="1"/>
    <s v="SI"/>
    <s v="NO"/>
    <s v="SI"/>
    <n v="55"/>
    <n v="0.91891960386150484"/>
    <s v="No"/>
    <n v="0.36894623678025873"/>
    <s v="No"/>
    <n v="403092"/>
    <n v="55"/>
    <x v="3"/>
  </r>
  <r>
    <n v="722"/>
    <s v="HOMBRE"/>
    <n v="408100"/>
    <x v="0"/>
    <x v="1"/>
    <s v="SI"/>
    <s v="SI"/>
    <s v="NO"/>
    <n v="50"/>
    <n v="0.56604295347581735"/>
    <s v="No"/>
    <n v="0.36886290012505046"/>
    <s v="No"/>
    <n v="408100"/>
    <n v="50"/>
    <x v="0"/>
  </r>
  <r>
    <n v="723"/>
    <s v="HOMBRE"/>
    <n v="46326061"/>
    <x v="0"/>
    <x v="1"/>
    <s v="SI"/>
    <s v="NO"/>
    <s v="NO"/>
    <n v="21"/>
    <n v="1.4806416187611704"/>
    <s v="No"/>
    <n v="0.39524438496368897"/>
    <s v="No"/>
    <n v="46326061"/>
    <n v="21"/>
    <x v="0"/>
  </r>
  <r>
    <n v="724"/>
    <s v="HOMBRE"/>
    <n v="37750613"/>
    <x v="0"/>
    <x v="1"/>
    <s v="SI"/>
    <s v="NO"/>
    <s v="SI"/>
    <n v="23"/>
    <n v="1.3394909586068953"/>
    <s v="No"/>
    <n v="0.25254287673034953"/>
    <s v="No"/>
    <n v="37750613"/>
    <n v="23"/>
    <x v="0"/>
  </r>
  <r>
    <n v="725"/>
    <s v="MUJER"/>
    <n v="297045"/>
    <x v="3"/>
    <x v="1"/>
    <s v="SI"/>
    <s v="SI"/>
    <s v="SI"/>
    <n v="43"/>
    <n v="7.2015642935854773E-2"/>
    <s v="No"/>
    <n v="0.37071093372012948"/>
    <s v="No"/>
    <n v="297045"/>
    <n v="43"/>
    <x v="3"/>
  </r>
  <r>
    <n v="726"/>
    <s v="HOMBRE"/>
    <n v="48602"/>
    <x v="0"/>
    <x v="1"/>
    <s v="SI"/>
    <s v="NO"/>
    <s v="NO"/>
    <n v="33"/>
    <n v="0.63373765783552027"/>
    <s v="No"/>
    <n v="0.3748452006190735"/>
    <s v="No"/>
    <n v="48602"/>
    <n v="33"/>
    <x v="0"/>
  </r>
  <r>
    <n v="727"/>
    <s v="MUJER"/>
    <n v="375000"/>
    <x v="0"/>
    <x v="1"/>
    <s v="SI"/>
    <s v="NO"/>
    <s v="NO"/>
    <n v="36"/>
    <n v="0.42201166760410774"/>
    <s v="No"/>
    <n v="0.36941370749074415"/>
    <s v="No"/>
    <n v="375000"/>
    <n v="36"/>
    <x v="0"/>
  </r>
  <r>
    <n v="728"/>
    <s v="HOMBRE"/>
    <n v="63076115"/>
    <x v="0"/>
    <x v="1"/>
    <s v="SI"/>
    <s v="NO"/>
    <s v="NO"/>
    <n v="20"/>
    <n v="1.5512169488383079"/>
    <s v="No"/>
    <n v="0.67397710759111096"/>
    <s v="No"/>
    <n v="63076115"/>
    <n v="20"/>
    <x v="0"/>
  </r>
  <r>
    <n v="729"/>
    <s v="MUJER"/>
    <n v="19587442"/>
    <x v="1"/>
    <x v="0"/>
    <s v="SI"/>
    <s v="NO"/>
    <s v="NO"/>
    <n v="67"/>
    <n v="1.765823564787155"/>
    <s v="No"/>
    <n v="4.9705110313598803E-2"/>
    <s v="No"/>
    <n v="19587442"/>
    <n v="67"/>
    <x v="1"/>
  </r>
  <r>
    <n v="730"/>
    <s v="MUJER"/>
    <n v="650000"/>
    <x v="0"/>
    <x v="1"/>
    <s v="SI"/>
    <s v="NO"/>
    <s v="NO"/>
    <n v="39"/>
    <n v="0.21028567737269524"/>
    <s v="No"/>
    <n v="0.36483751336488995"/>
    <s v="No"/>
    <n v="650000"/>
    <n v="39"/>
    <x v="0"/>
  </r>
  <r>
    <n v="731"/>
    <s v="HOMBRE"/>
    <n v="100543578"/>
    <x v="1"/>
    <x v="0"/>
    <s v="SI"/>
    <s v="NO"/>
    <s v="NO"/>
    <n v="60"/>
    <n v="1.2717962542471923"/>
    <s v="No"/>
    <n v="1.2974621406502398"/>
    <s v="No"/>
    <n v="100543578"/>
    <n v="60"/>
    <x v="1"/>
  </r>
  <r>
    <n v="732"/>
    <s v="MUJER"/>
    <n v="639148"/>
    <x v="3"/>
    <x v="1"/>
    <s v="SI"/>
    <s v="SI"/>
    <s v="SI"/>
    <n v="49"/>
    <n v="0.49546762339867978"/>
    <s v="No"/>
    <n v="0.36501809830544912"/>
    <s v="No"/>
    <n v="639148"/>
    <n v="49"/>
    <x v="3"/>
  </r>
  <r>
    <n v="733"/>
    <s v="HOMBRE"/>
    <n v="13292039"/>
    <x v="0"/>
    <x v="0"/>
    <s v="SI"/>
    <s v="NO"/>
    <s v="NO"/>
    <n v="45"/>
    <n v="0.21316630309012977"/>
    <s v="No"/>
    <n v="0.15446506023536266"/>
    <s v="No"/>
    <n v="13292039"/>
    <n v="45"/>
    <x v="0"/>
  </r>
  <r>
    <n v="734"/>
    <s v="MUJER"/>
    <n v="37086103"/>
    <x v="0"/>
    <x v="1"/>
    <s v="SI"/>
    <s v="NO"/>
    <s v="NO"/>
    <n v="48"/>
    <n v="0.42489229332154227"/>
    <s v="No"/>
    <n v="0.24148496124463537"/>
    <s v="No"/>
    <n v="37086103"/>
    <n v="48"/>
    <x v="0"/>
  </r>
  <r>
    <n v="735"/>
    <s v="HOMBRE"/>
    <n v="266312"/>
    <x v="0"/>
    <x v="1"/>
    <s v="SI"/>
    <s v="NO"/>
    <s v="NO"/>
    <n v="22"/>
    <n v="1.4100662886840327"/>
    <s v="No"/>
    <n v="0.37122235253492908"/>
    <s v="No"/>
    <n v="266312"/>
    <n v="22"/>
    <x v="0"/>
  </r>
  <r>
    <n v="736"/>
    <s v="MUJER"/>
    <n v="841070"/>
    <x v="0"/>
    <x v="1"/>
    <s v="SI"/>
    <s v="NO"/>
    <s v="NO"/>
    <n v="25"/>
    <n v="1.1983402984526204"/>
    <s v="No"/>
    <n v="0.36165797368624641"/>
    <s v="No"/>
    <n v="841070"/>
    <n v="25"/>
    <x v="0"/>
  </r>
  <r>
    <n v="737"/>
    <s v="HOMBRE"/>
    <n v="278035"/>
    <x v="3"/>
    <x v="1"/>
    <s v="SI"/>
    <s v="NO"/>
    <s v="NO"/>
    <n v="30"/>
    <n v="0.84546364806693275"/>
    <s v="No"/>
    <n v="0.37102727353952036"/>
    <s v="No"/>
    <n v="278035"/>
    <n v="30"/>
    <x v="3"/>
  </r>
  <r>
    <n v="738"/>
    <s v="MUJER"/>
    <n v="310124"/>
    <x v="3"/>
    <x v="1"/>
    <s v="SI"/>
    <s v="NO"/>
    <s v="NO"/>
    <n v="44"/>
    <n v="0.14259097301299228"/>
    <s v="No"/>
    <n v="0.37049328992750385"/>
    <s v="No"/>
    <n v="310124"/>
    <n v="44"/>
    <x v="3"/>
  </r>
  <r>
    <n v="739"/>
    <s v="HOMBRE"/>
    <n v="299647"/>
    <x v="2"/>
    <x v="1"/>
    <s v="SI"/>
    <s v="NO"/>
    <s v="NO"/>
    <n v="67"/>
    <n v="1.765823564787155"/>
    <s v="No"/>
    <n v="0.37066763460334595"/>
    <s v="No"/>
    <n v="299647"/>
    <n v="67"/>
    <x v="2"/>
  </r>
  <r>
    <n v="740"/>
    <s v="MUJER"/>
    <n v="300018"/>
    <x v="2"/>
    <x v="1"/>
    <s v="SI"/>
    <s v="NO"/>
    <s v="NO"/>
    <n v="61"/>
    <n v="1.3423715843243298"/>
    <s v="No"/>
    <n v="0.37066146090145252"/>
    <s v="No"/>
    <n v="300018"/>
    <n v="61"/>
    <x v="2"/>
  </r>
  <r>
    <n v="741"/>
    <s v="MUJER"/>
    <n v="278030"/>
    <x v="4"/>
    <x v="1"/>
    <s v="SI"/>
    <s v="NO"/>
    <s v="NO"/>
    <n v="41"/>
    <n v="6.9135017218420233E-2"/>
    <s v="No"/>
    <n v="0.37102735674304993"/>
    <s v="No"/>
    <n v="278030"/>
    <n v="41"/>
    <x v="4"/>
  </r>
  <r>
    <n v="742"/>
    <s v="MUJER"/>
    <n v="194000"/>
    <x v="0"/>
    <x v="1"/>
    <s v="SI"/>
    <s v="SI"/>
    <s v="NO"/>
    <n v="33"/>
    <n v="0.63373765783552027"/>
    <s v="No"/>
    <n v="0.37242567526085185"/>
    <s v="No"/>
    <n v="194000"/>
    <n v="33"/>
    <x v="0"/>
  </r>
  <r>
    <n v="743"/>
    <s v="HOMBRE"/>
    <n v="639148"/>
    <x v="3"/>
    <x v="1"/>
    <s v="SI"/>
    <s v="NO"/>
    <s v="SI"/>
    <n v="39"/>
    <n v="0.21028567737269524"/>
    <s v="No"/>
    <n v="0.36501809830544912"/>
    <s v="No"/>
    <n v="639148"/>
    <n v="39"/>
    <x v="3"/>
  </r>
  <r>
    <n v="744"/>
    <s v="MUJER"/>
    <n v="23201633"/>
    <x v="0"/>
    <x v="1"/>
    <s v="SI"/>
    <s v="SI"/>
    <s v="SI"/>
    <n v="47"/>
    <n v="0.35431696324440481"/>
    <s v="No"/>
    <n v="1.0437579227911022E-2"/>
    <s v="No"/>
    <n v="23201633"/>
    <n v="47"/>
    <x v="0"/>
  </r>
  <r>
    <n v="745"/>
    <s v="HOMBRE"/>
    <n v="25565875"/>
    <x v="0"/>
    <x v="1"/>
    <s v="SI"/>
    <s v="NO"/>
    <s v="NO"/>
    <n v="32"/>
    <n v="0.70431298791265773"/>
    <s v="No"/>
    <n v="4.9780235055175898E-2"/>
    <s v="No"/>
    <n v="25565875"/>
    <n v="32"/>
    <x v="0"/>
  </r>
  <r>
    <n v="746"/>
    <s v="HOMBRE"/>
    <n v="311586"/>
    <x v="0"/>
    <x v="1"/>
    <s v="SI"/>
    <s v="NO"/>
    <s v="NO"/>
    <n v="51"/>
    <n v="0.6366182835529548"/>
    <s v="No"/>
    <n v="0.37046896121546025"/>
    <s v="No"/>
    <n v="311586"/>
    <n v="51"/>
    <x v="0"/>
  </r>
  <r>
    <n v="747"/>
    <s v="MUJER"/>
    <n v="9338645"/>
    <x v="0"/>
    <x v="0"/>
    <s v="SI"/>
    <s v="NO"/>
    <s v="NO"/>
    <n v="31"/>
    <n v="0.77488831798979529"/>
    <s v="No"/>
    <n v="0.22025232714440751"/>
    <s v="No"/>
    <n v="9338645"/>
    <n v="31"/>
    <x v="0"/>
  </r>
  <r>
    <n v="748"/>
    <s v="HOMBRE"/>
    <n v="310124"/>
    <x v="3"/>
    <x v="1"/>
    <s v="SI"/>
    <s v="NO"/>
    <s v="NO"/>
    <n v="45"/>
    <n v="0.21316630309012977"/>
    <s v="No"/>
    <n v="0.37049328992750385"/>
    <s v="No"/>
    <n v="310124"/>
    <n v="45"/>
    <x v="3"/>
  </r>
  <r>
    <n v="749"/>
    <s v="MUJER"/>
    <n v="35954427"/>
    <x v="0"/>
    <x v="1"/>
    <s v="SI"/>
    <s v="NO"/>
    <s v="NO"/>
    <n v="25"/>
    <n v="1.1983402984526204"/>
    <s v="No"/>
    <n v="0.22265307374074372"/>
    <s v="No"/>
    <n v="35954427"/>
    <n v="25"/>
    <x v="0"/>
  </r>
  <r>
    <n v="750"/>
    <s v="HOMBRE"/>
    <n v="298000"/>
    <x v="2"/>
    <x v="1"/>
    <s v="SI"/>
    <s v="NO"/>
    <s v="NO"/>
    <n v="63"/>
    <n v="1.4835222444786049"/>
    <s v="No"/>
    <n v="0.37069504184598334"/>
    <s v="No"/>
    <n v="298000"/>
    <n v="63"/>
    <x v="2"/>
  </r>
  <r>
    <n v="751"/>
    <s v="MUJER"/>
    <n v="990303"/>
    <x v="1"/>
    <x v="0"/>
    <s v="SI"/>
    <s v="NO"/>
    <s v="NO"/>
    <n v="80"/>
    <n v="2.6833028557899423"/>
    <s v="Sí"/>
    <n v="0.35917463122085153"/>
    <s v="No"/>
    <n v="990303"/>
    <n v="80"/>
    <x v="1"/>
  </r>
  <r>
    <n v="752"/>
    <s v="MUJER"/>
    <n v="297046"/>
    <x v="2"/>
    <x v="1"/>
    <s v="SI"/>
    <s v="NO"/>
    <s v="NO"/>
    <n v="39"/>
    <n v="0.21028567737269524"/>
    <s v="No"/>
    <n v="0.37071091707942361"/>
    <s v="No"/>
    <n v="297046"/>
    <n v="39"/>
    <x v="2"/>
  </r>
  <r>
    <n v="753"/>
    <s v="HOMBRE"/>
    <n v="27603561"/>
    <x v="0"/>
    <x v="0"/>
    <s v="SI"/>
    <s v="NO"/>
    <s v="NO"/>
    <n v="28"/>
    <n v="0.98661430822120777"/>
    <s v="No"/>
    <n v="8.3688768522577311E-2"/>
    <s v="No"/>
    <n v="27603561"/>
    <n v="28"/>
    <x v="0"/>
  </r>
  <r>
    <n v="754"/>
    <s v="HOMBRE"/>
    <n v="224466912"/>
    <x v="0"/>
    <x v="1"/>
    <s v="SI"/>
    <s v="NO"/>
    <s v="NO"/>
    <n v="37"/>
    <n v="0.35143633752697023"/>
    <s v="No"/>
    <n v="3.3596338974032252"/>
    <s v="Sí"/>
    <n v="224466912"/>
    <n v="37"/>
    <x v="0"/>
  </r>
  <r>
    <n v="755"/>
    <s v="MUJER"/>
    <n v="297045"/>
    <x v="3"/>
    <x v="1"/>
    <s v="SI"/>
    <s v="NO"/>
    <s v="SI"/>
    <n v="53"/>
    <n v="0.77776894370722982"/>
    <s v="No"/>
    <n v="0.37071093372012948"/>
    <s v="No"/>
    <n v="297045"/>
    <n v="53"/>
    <x v="3"/>
  </r>
  <r>
    <n v="756"/>
    <s v="HOMBRE"/>
    <n v="127185272"/>
    <x v="0"/>
    <x v="1"/>
    <s v="SI"/>
    <s v="NO"/>
    <s v="NO"/>
    <n v="34"/>
    <n v="0.56316232775838282"/>
    <s v="No"/>
    <n v="1.7407987355069878"/>
    <s v="No"/>
    <n v="127185272"/>
    <n v="34"/>
    <x v="0"/>
  </r>
  <r>
    <n v="757"/>
    <s v="MUJER"/>
    <n v="205854897"/>
    <x v="0"/>
    <x v="0"/>
    <s v="SI"/>
    <s v="NO"/>
    <s v="NO"/>
    <n v="38"/>
    <n v="0.28086100744983278"/>
    <s v="No"/>
    <n v="3.0499168293548227"/>
    <s v="Sí"/>
    <n v="205854897"/>
    <n v="38"/>
    <x v="0"/>
  </r>
  <r>
    <n v="758"/>
    <s v="MUJER"/>
    <n v="352379"/>
    <x v="0"/>
    <x v="1"/>
    <s v="SI"/>
    <s v="NO"/>
    <s v="NO"/>
    <n v="39"/>
    <n v="0.21028567737269524"/>
    <s v="No"/>
    <n v="0.369790136899184"/>
    <s v="No"/>
    <n v="352379"/>
    <n v="39"/>
    <x v="0"/>
  </r>
  <r>
    <n v="759"/>
    <s v="MUJER"/>
    <n v="238995108"/>
    <x v="0"/>
    <x v="0"/>
    <s v="SI"/>
    <s v="NO"/>
    <s v="NO"/>
    <n v="61"/>
    <n v="1.3423715843243298"/>
    <s v="No"/>
    <n v="3.6013933344739848"/>
    <s v="Sí"/>
    <n v="238995108"/>
    <n v="61"/>
    <x v="0"/>
  </r>
  <r>
    <n v="760"/>
    <s v="MUJER"/>
    <n v="450886"/>
    <x v="3"/>
    <x v="1"/>
    <s v="SI"/>
    <s v="NO"/>
    <s v="SI"/>
    <n v="51"/>
    <n v="0.6366182835529548"/>
    <s v="No"/>
    <n v="0.36815091088189117"/>
    <s v="No"/>
    <n v="450886"/>
    <n v="51"/>
    <x v="3"/>
  </r>
  <r>
    <n v="761"/>
    <s v="HOMBRE"/>
    <n v="55863576"/>
    <x v="0"/>
    <x v="1"/>
    <s v="SI"/>
    <s v="NO"/>
    <s v="NO"/>
    <n v="34"/>
    <n v="0.56316232775838282"/>
    <s v="No"/>
    <n v="0.55395536721185823"/>
    <s v="No"/>
    <n v="55863576"/>
    <n v="34"/>
    <x v="0"/>
  </r>
  <r>
    <n v="762"/>
    <s v="HOMBRE"/>
    <n v="489159"/>
    <x v="0"/>
    <x v="1"/>
    <s v="SI"/>
    <s v="SI"/>
    <s v="NO"/>
    <n v="34"/>
    <n v="0.56316232775838282"/>
    <s v="No"/>
    <n v="0.36751402114451365"/>
    <s v="No"/>
    <n v="489159"/>
    <n v="34"/>
    <x v="0"/>
  </r>
  <r>
    <n v="763"/>
    <s v="MUJER"/>
    <n v="463300"/>
    <x v="0"/>
    <x v="1"/>
    <s v="SI"/>
    <s v="NO"/>
    <s v="NO"/>
    <n v="40"/>
    <n v="0.13971034729555773"/>
    <s v="No"/>
    <n v="0.36794433315869718"/>
    <s v="No"/>
    <n v="463300"/>
    <n v="40"/>
    <x v="0"/>
  </r>
  <r>
    <n v="764"/>
    <s v="HOMBRE"/>
    <n v="36090476"/>
    <x v="0"/>
    <x v="1"/>
    <s v="SI"/>
    <s v="SI"/>
    <s v="NO"/>
    <n v="43"/>
    <n v="7.2015642935854773E-2"/>
    <s v="No"/>
    <n v="0.22491702513939221"/>
    <s v="No"/>
    <n v="36090476"/>
    <n v="43"/>
    <x v="0"/>
  </r>
  <r>
    <n v="765"/>
    <s v="MUJER"/>
    <n v="1156421"/>
    <x v="0"/>
    <x v="0"/>
    <s v="SI"/>
    <s v="NO"/>
    <s v="SI"/>
    <n v="36"/>
    <n v="0.42201166760410774"/>
    <s v="No"/>
    <n v="0.35641031043612914"/>
    <s v="No"/>
    <n v="1156421"/>
    <n v="36"/>
    <x v="0"/>
  </r>
  <r>
    <n v="766"/>
    <s v="HOMBRE"/>
    <n v="388293"/>
    <x v="0"/>
    <x v="1"/>
    <s v="SI"/>
    <s v="NO"/>
    <s v="NO"/>
    <n v="53"/>
    <n v="0.77776894370722982"/>
    <s v="No"/>
    <n v="0.36919250258705333"/>
    <s v="No"/>
    <n v="388293"/>
    <n v="53"/>
    <x v="0"/>
  </r>
  <r>
    <n v="767"/>
    <s v="HOMBRE"/>
    <n v="1214906"/>
    <x v="0"/>
    <x v="0"/>
    <s v="SI"/>
    <s v="NO"/>
    <s v="NO"/>
    <n v="29"/>
    <n v="0.91603897814407031"/>
    <s v="No"/>
    <n v="0.35543707875085429"/>
    <s v="No"/>
    <n v="1214906"/>
    <n v="29"/>
    <x v="0"/>
  </r>
  <r>
    <n v="768"/>
    <s v="HOMBRE"/>
    <n v="795801"/>
    <x v="0"/>
    <x v="0"/>
    <s v="SI"/>
    <s v="NO"/>
    <s v="NO"/>
    <n v="36"/>
    <n v="0.42201166760410774"/>
    <s v="No"/>
    <n v="0.36241128180218568"/>
    <s v="No"/>
    <n v="795801"/>
    <n v="36"/>
    <x v="0"/>
  </r>
  <r>
    <n v="769"/>
    <s v="MUJER"/>
    <n v="3186192"/>
    <x v="0"/>
    <x v="1"/>
    <s v="SI"/>
    <s v="SI"/>
    <s v="NO"/>
    <n v="42"/>
    <n v="1.4403128587172659E-3"/>
    <s v="No"/>
    <n v="0.32263348815602277"/>
    <s v="No"/>
    <n v="3186192"/>
    <n v="42"/>
    <x v="0"/>
  </r>
  <r>
    <n v="770"/>
    <s v="HOMBRE"/>
    <n v="6500785"/>
    <x v="0"/>
    <x v="0"/>
    <s v="SI"/>
    <s v="NO"/>
    <s v="NO"/>
    <n v="34"/>
    <n v="0.56316232775838282"/>
    <s v="No"/>
    <n v="0.26747632082439537"/>
    <s v="No"/>
    <n v="6500785"/>
    <n v="34"/>
    <x v="0"/>
  </r>
  <r>
    <n v="771"/>
    <s v="HOMBRE"/>
    <n v="433085"/>
    <x v="3"/>
    <x v="1"/>
    <s v="SI"/>
    <s v="SI"/>
    <s v="SI"/>
    <n v="53"/>
    <n v="0.77776894370722982"/>
    <s v="No"/>
    <n v="0.36844713208783419"/>
    <s v="No"/>
    <n v="433085"/>
    <n v="53"/>
    <x v="3"/>
  </r>
  <r>
    <n v="772"/>
    <s v="MUJER"/>
    <n v="294000"/>
    <x v="0"/>
    <x v="1"/>
    <s v="SI"/>
    <s v="NO"/>
    <s v="NO"/>
    <n v="24"/>
    <n v="1.2689156285297578"/>
    <s v="No"/>
    <n v="0.37076160466963215"/>
    <s v="No"/>
    <n v="294000"/>
    <n v="24"/>
    <x v="0"/>
  </r>
  <r>
    <n v="773"/>
    <s v="HOMBRE"/>
    <n v="405063"/>
    <x v="3"/>
    <x v="1"/>
    <s v="SI"/>
    <s v="NO"/>
    <s v="SI"/>
    <n v="72"/>
    <n v="2.1187002151728422"/>
    <s v="Sí"/>
    <n v="0.3689134379489058"/>
    <s v="No"/>
    <n v="405063"/>
    <n v="72"/>
    <x v="3"/>
  </r>
  <r>
    <n v="774"/>
    <s v="HOMBRE"/>
    <n v="299647"/>
    <x v="2"/>
    <x v="1"/>
    <s v="SI"/>
    <s v="NO"/>
    <s v="NO"/>
    <n v="59"/>
    <n v="1.2012209241700549"/>
    <s v="No"/>
    <n v="0.37066763460334595"/>
    <s v="No"/>
    <n v="299647"/>
    <n v="59"/>
    <x v="2"/>
  </r>
  <r>
    <n v="775"/>
    <s v="HOMBRE"/>
    <n v="10000"/>
    <x v="0"/>
    <x v="1"/>
    <s v="SI"/>
    <s v="SI"/>
    <s v="NO"/>
    <n v="51"/>
    <n v="0.6366182835529548"/>
    <s v="No"/>
    <n v="0.37548756514869613"/>
    <s v="No"/>
    <n v="10000"/>
    <n v="51"/>
    <x v="0"/>
  </r>
  <r>
    <n v="776"/>
    <s v="HOMBRE"/>
    <n v="36497692"/>
    <x v="0"/>
    <x v="1"/>
    <s v="SI"/>
    <s v="NO"/>
    <s v="SI"/>
    <n v="51"/>
    <n v="0.6366182835529548"/>
    <s v="No"/>
    <n v="0.23169338683813351"/>
    <s v="No"/>
    <n v="36497692"/>
    <n v="51"/>
    <x v="0"/>
  </r>
  <r>
    <n v="777"/>
    <s v="MUJER"/>
    <n v="102524"/>
    <x v="0"/>
    <x v="1"/>
    <s v="SI"/>
    <s v="NO"/>
    <s v="NO"/>
    <n v="47"/>
    <n v="0.35431696324440481"/>
    <s v="No"/>
    <n v="0.37394790047487603"/>
    <s v="No"/>
    <n v="102524"/>
    <n v="47"/>
    <x v="0"/>
  </r>
  <r>
    <n v="778"/>
    <s v="HOMBRE"/>
    <n v="63651233"/>
    <x v="0"/>
    <x v="1"/>
    <s v="SI"/>
    <s v="NO"/>
    <s v="NO"/>
    <n v="22"/>
    <n v="1.4100662886840327"/>
    <s v="No"/>
    <n v="0.68354747709392194"/>
    <s v="No"/>
    <n v="63651233"/>
    <n v="22"/>
    <x v="0"/>
  </r>
  <r>
    <n v="779"/>
    <s v="HOMBRE"/>
    <n v="278030"/>
    <x v="4"/>
    <x v="1"/>
    <s v="SI"/>
    <s v="NO"/>
    <s v="NO"/>
    <n v="55"/>
    <n v="0.91891960386150484"/>
    <s v="No"/>
    <n v="0.37102735674304993"/>
    <s v="No"/>
    <n v="278030"/>
    <n v="55"/>
    <x v="4"/>
  </r>
  <r>
    <n v="780"/>
    <s v="HOMBRE"/>
    <n v="45369352"/>
    <x v="0"/>
    <x v="1"/>
    <s v="SI"/>
    <s v="SI"/>
    <s v="NO"/>
    <n v="49"/>
    <n v="0.49546762339867978"/>
    <s v="No"/>
    <n v="0.3793240718511367"/>
    <s v="No"/>
    <n v="45369352"/>
    <n v="49"/>
    <x v="0"/>
  </r>
  <r>
    <n v="781"/>
    <s v="MUJER"/>
    <n v="113148765"/>
    <x v="1"/>
    <x v="0"/>
    <s v="SI"/>
    <s v="NO"/>
    <s v="NO"/>
    <n v="68"/>
    <n v="1.8363988948642924"/>
    <s v="No"/>
    <n v="1.5072213504854908"/>
    <s v="No"/>
    <n v="113148765"/>
    <n v="68"/>
    <x v="1"/>
  </r>
  <r>
    <n v="782"/>
    <s v="HOMBRE"/>
    <n v="297045"/>
    <x v="2"/>
    <x v="1"/>
    <s v="SI"/>
    <s v="SI"/>
    <s v="NO"/>
    <n v="66"/>
    <n v="1.6952482347100173"/>
    <s v="No"/>
    <n v="0.37071093372012948"/>
    <s v="No"/>
    <n v="297045"/>
    <n v="66"/>
    <x v="2"/>
  </r>
  <r>
    <n v="783"/>
    <s v="MUJER"/>
    <n v="629382"/>
    <x v="0"/>
    <x v="1"/>
    <s v="SI"/>
    <s v="NO"/>
    <s v="NO"/>
    <n v="29"/>
    <n v="0.91603897814407031"/>
    <s v="No"/>
    <n v="0.36518061143938763"/>
    <s v="No"/>
    <n v="629382"/>
    <n v="29"/>
    <x v="0"/>
  </r>
  <r>
    <n v="784"/>
    <s v="HOMBRE"/>
    <n v="338166"/>
    <x v="3"/>
    <x v="1"/>
    <s v="SI"/>
    <s v="NO"/>
    <s v="NO"/>
    <n v="36"/>
    <n v="0.42201166760410774"/>
    <s v="No"/>
    <n v="0.37002665125231404"/>
    <s v="No"/>
    <n v="338166"/>
    <n v="36"/>
    <x v="3"/>
  </r>
  <r>
    <n v="785"/>
    <s v="HOMBRE"/>
    <n v="350000"/>
    <x v="0"/>
    <x v="1"/>
    <s v="SI"/>
    <s v="SI"/>
    <s v="NO"/>
    <n v="38"/>
    <n v="0.28086100744983278"/>
    <s v="No"/>
    <n v="0.36982972513854911"/>
    <s v="No"/>
    <n v="350000"/>
    <n v="38"/>
    <x v="0"/>
  </r>
  <r>
    <n v="786"/>
    <s v="HOMBRE"/>
    <n v="85000"/>
    <x v="0"/>
    <x v="1"/>
    <s v="SI"/>
    <s v="SI"/>
    <s v="SI"/>
    <n v="38"/>
    <n v="0.28086100744983278"/>
    <s v="No"/>
    <n v="0.37423951220528134"/>
    <s v="No"/>
    <n v="85000"/>
    <n v="38"/>
    <x v="0"/>
  </r>
  <r>
    <n v="787"/>
    <s v="MUJER"/>
    <n v="6759184"/>
    <x v="0"/>
    <x v="1"/>
    <s v="SI"/>
    <s v="NO"/>
    <s v="NO"/>
    <n v="32"/>
    <n v="0.70431298791265773"/>
    <s v="No"/>
    <n v="0.26317637905738955"/>
    <s v="No"/>
    <n v="6759184"/>
    <n v="32"/>
    <x v="0"/>
  </r>
  <r>
    <n v="788"/>
    <s v="MUJER"/>
    <n v="250000"/>
    <x v="0"/>
    <x v="1"/>
    <s v="SI"/>
    <s v="NO"/>
    <s v="NO"/>
    <n v="37"/>
    <n v="0.35143633752697023"/>
    <s v="No"/>
    <n v="0.37149379572976882"/>
    <s v="No"/>
    <n v="250000"/>
    <n v="37"/>
    <x v="0"/>
  </r>
  <r>
    <n v="789"/>
    <s v="HOMBRE"/>
    <n v="118764948"/>
    <x v="0"/>
    <x v="0"/>
    <s v="SI"/>
    <s v="NO"/>
    <s v="NO"/>
    <n v="51"/>
    <n v="0.6366182835529548"/>
    <s v="No"/>
    <n v="1.6006786001375721"/>
    <s v="No"/>
    <n v="118764948"/>
    <n v="51"/>
    <x v="0"/>
  </r>
  <r>
    <n v="790"/>
    <s v="HOMBRE"/>
    <n v="33725454"/>
    <x v="0"/>
    <x v="1"/>
    <s v="SI"/>
    <s v="NO"/>
    <s v="NO"/>
    <n v="38"/>
    <n v="0.28086100744983278"/>
    <s v="No"/>
    <n v="0.18556138956151583"/>
    <s v="No"/>
    <n v="33725454"/>
    <n v="38"/>
    <x v="0"/>
  </r>
  <r>
    <n v="791"/>
    <s v="MUJER"/>
    <n v="297046"/>
    <x v="2"/>
    <x v="1"/>
    <s v="SI"/>
    <s v="NO"/>
    <s v="NO"/>
    <n v="52"/>
    <n v="0.70719361363009237"/>
    <s v="No"/>
    <n v="0.37071091707942361"/>
    <s v="No"/>
    <n v="297046"/>
    <n v="52"/>
    <x v="2"/>
  </r>
  <r>
    <n v="792"/>
    <s v="MUJER"/>
    <n v="297102"/>
    <x v="2"/>
    <x v="1"/>
    <s v="SI"/>
    <s v="NO"/>
    <s v="NO"/>
    <n v="53"/>
    <n v="0.77776894370722982"/>
    <s v="No"/>
    <n v="0.37070998519989251"/>
    <s v="No"/>
    <n v="297102"/>
    <n v="53"/>
    <x v="2"/>
  </r>
  <r>
    <n v="793"/>
    <s v="HOMBRE"/>
    <n v="1998877"/>
    <x v="0"/>
    <x v="0"/>
    <s v="SI"/>
    <s v="NO"/>
    <s v="SI"/>
    <n v="50"/>
    <n v="0.56604295347581735"/>
    <s v="No"/>
    <n v="0.34239124789616315"/>
    <s v="No"/>
    <n v="1998877"/>
    <n v="50"/>
    <x v="0"/>
  </r>
  <r>
    <n v="794"/>
    <s v="HOMBRE"/>
    <n v="208000"/>
    <x v="0"/>
    <x v="1"/>
    <s v="SI"/>
    <s v="NO"/>
    <s v="NO"/>
    <n v="29"/>
    <n v="0.91603897814407031"/>
    <s v="No"/>
    <n v="0.37219270537808108"/>
    <s v="No"/>
    <n v="208000"/>
    <n v="29"/>
    <x v="0"/>
  </r>
  <r>
    <n v="795"/>
    <s v="MUJER"/>
    <n v="47905166"/>
    <x v="0"/>
    <x v="1"/>
    <s v="SI"/>
    <s v="NO"/>
    <s v="NO"/>
    <n v="47"/>
    <n v="0.35431696324440481"/>
    <s v="No"/>
    <n v="0.42152180687316909"/>
    <s v="No"/>
    <n v="47905166"/>
    <n v="47"/>
    <x v="0"/>
  </r>
  <r>
    <n v="796"/>
    <s v="HOMBRE"/>
    <n v="114609407"/>
    <x v="0"/>
    <x v="0"/>
    <s v="SI"/>
    <s v="NO"/>
    <s v="NO"/>
    <n v="48"/>
    <n v="0.42489229332154227"/>
    <s v="No"/>
    <n v="1.5315274644504944"/>
    <s v="No"/>
    <n v="114609407"/>
    <n v="48"/>
    <x v="0"/>
  </r>
  <r>
    <n v="797"/>
    <s v="MUJER"/>
    <n v="720000"/>
    <x v="0"/>
    <x v="1"/>
    <s v="SI"/>
    <s v="SI"/>
    <s v="NO"/>
    <n v="34"/>
    <n v="0.56316232775838282"/>
    <s v="No"/>
    <n v="0.36367266395103615"/>
    <s v="No"/>
    <n v="720000"/>
    <n v="34"/>
    <x v="0"/>
  </r>
  <r>
    <n v="798"/>
    <s v="MUJER"/>
    <n v="45154984"/>
    <x v="0"/>
    <x v="1"/>
    <s v="SI"/>
    <s v="NO"/>
    <s v="NO"/>
    <n v="44"/>
    <n v="0.14259097301299228"/>
    <s v="No"/>
    <n v="0.37575683700615081"/>
    <s v="No"/>
    <n v="45154984"/>
    <n v="44"/>
    <x v="0"/>
  </r>
  <r>
    <n v="799"/>
    <s v="MUJER"/>
    <n v="382136"/>
    <x v="3"/>
    <x v="1"/>
    <s v="SI"/>
    <s v="NO"/>
    <s v="SI"/>
    <n v="35"/>
    <n v="0.49258699768124525"/>
    <s v="No"/>
    <n v="0.36929495941335472"/>
    <s v="No"/>
    <n v="382136"/>
    <n v="35"/>
    <x v="3"/>
  </r>
  <r>
    <n v="800"/>
    <s v="HOMBRE"/>
    <n v="200000"/>
    <x v="0"/>
    <x v="1"/>
    <s v="SI"/>
    <s v="NO"/>
    <s v="NO"/>
    <n v="38"/>
    <n v="0.28086100744983278"/>
    <s v="No"/>
    <n v="0.3723258310253787"/>
    <s v="No"/>
    <n v="200000"/>
    <n v="38"/>
    <x v="0"/>
  </r>
  <r>
    <n v="801"/>
    <s v="HOMBRE"/>
    <n v="1017758"/>
    <x v="3"/>
    <x v="1"/>
    <s v="SI"/>
    <s v="NO"/>
    <s v="NO"/>
    <n v="61"/>
    <n v="1.3423715843243298"/>
    <s v="No"/>
    <n v="0.35871776064003214"/>
    <s v="No"/>
    <n v="1017758"/>
    <n v="61"/>
    <x v="3"/>
  </r>
  <r>
    <n v="802"/>
    <s v="MUJER"/>
    <n v="76951515"/>
    <x v="0"/>
    <x v="0"/>
    <s v="SI"/>
    <s v="NO"/>
    <s v="NO"/>
    <n v="42"/>
    <n v="1.4403128587172659E-3"/>
    <s v="No"/>
    <n v="0.90487355840521166"/>
    <s v="No"/>
    <n v="76951515"/>
    <n v="42"/>
    <x v="0"/>
  </r>
  <r>
    <n v="803"/>
    <s v="MUJER"/>
    <n v="938855"/>
    <x v="1"/>
    <x v="0"/>
    <s v="SI"/>
    <s v="NO"/>
    <s v="NO"/>
    <n v="73"/>
    <n v="2.1892755452499797"/>
    <s v="Sí"/>
    <n v="0.36003076225862224"/>
    <s v="No"/>
    <n v="938855"/>
    <n v="73"/>
    <x v="1"/>
  </r>
  <r>
    <n v="804"/>
    <s v="HOMBRE"/>
    <n v="75000"/>
    <x v="0"/>
    <x v="1"/>
    <s v="SI"/>
    <s v="NO"/>
    <s v="NO"/>
    <n v="26"/>
    <n v="1.1277649683754829"/>
    <s v="No"/>
    <n v="0.37440591926440331"/>
    <s v="No"/>
    <n v="75000"/>
    <n v="26"/>
    <x v="0"/>
  </r>
  <r>
    <n v="805"/>
    <s v="MUJER"/>
    <n v="43000709"/>
    <x v="0"/>
    <x v="1"/>
    <s v="SI"/>
    <s v="NO"/>
    <s v="NO"/>
    <n v="25"/>
    <n v="1.1983402984526204"/>
    <s v="No"/>
    <n v="0.33990818027715225"/>
    <s v="No"/>
    <n v="43000709"/>
    <n v="25"/>
    <x v="0"/>
  </r>
  <r>
    <n v="806"/>
    <s v="HOMBRE"/>
    <n v="533558"/>
    <x v="3"/>
    <x v="1"/>
    <s v="SI"/>
    <s v="SI"/>
    <s v="SI"/>
    <n v="41"/>
    <n v="6.9135017218420233E-2"/>
    <s v="No"/>
    <n v="0.366775190442718"/>
    <s v="No"/>
    <n v="533558"/>
    <n v="41"/>
    <x v="3"/>
  </r>
  <r>
    <n v="807"/>
    <s v="MUJER"/>
    <n v="347514"/>
    <x v="0"/>
    <x v="1"/>
    <s v="SI"/>
    <s v="NO"/>
    <s v="NO"/>
    <n v="20"/>
    <n v="1.5512169488383079"/>
    <s v="No"/>
    <n v="0.3698710939334468"/>
    <s v="No"/>
    <n v="347514"/>
    <n v="20"/>
    <x v="0"/>
  </r>
  <r>
    <n v="808"/>
    <s v="HOMBRE"/>
    <n v="226500"/>
    <x v="0"/>
    <x v="1"/>
    <s v="SI"/>
    <s v="NO"/>
    <s v="NO"/>
    <n v="35"/>
    <n v="0.49258699768124525"/>
    <s v="No"/>
    <n v="0.37188485231870544"/>
    <s v="No"/>
    <n v="226500"/>
    <n v="35"/>
    <x v="0"/>
  </r>
  <r>
    <n v="809"/>
    <s v="MUJER"/>
    <n v="545926"/>
    <x v="3"/>
    <x v="1"/>
    <s v="SI"/>
    <s v="NO"/>
    <s v="NO"/>
    <n v="40"/>
    <n v="0.13971034729555773"/>
    <s v="No"/>
    <n v="0.36656937819199598"/>
    <s v="No"/>
    <n v="545926"/>
    <n v="40"/>
    <x v="3"/>
  </r>
  <r>
    <n v="810"/>
    <s v="HOMBRE"/>
    <n v="289717"/>
    <x v="3"/>
    <x v="1"/>
    <s v="SI"/>
    <s v="NO"/>
    <s v="SI"/>
    <n v="30"/>
    <n v="0.84546364806693275"/>
    <s v="No"/>
    <n v="0.3708328768130541"/>
    <s v="No"/>
    <n v="289717"/>
    <n v="30"/>
    <x v="3"/>
  </r>
  <r>
    <n v="811"/>
    <s v="HOMBRE"/>
    <n v="1765910"/>
    <x v="0"/>
    <x v="1"/>
    <s v="SI"/>
    <s v="NO"/>
    <s v="NO"/>
    <n v="56"/>
    <n v="0.9894949339386423"/>
    <s v="No"/>
    <n v="0.34626798323040997"/>
    <s v="No"/>
    <n v="1765910"/>
    <n v="56"/>
    <x v="0"/>
  </r>
  <r>
    <n v="812"/>
    <s v="HOMBRE"/>
    <n v="35311982"/>
    <x v="0"/>
    <x v="1"/>
    <s v="SI"/>
    <s v="NO"/>
    <s v="NO"/>
    <n v="36"/>
    <n v="0.42201166760410774"/>
    <s v="No"/>
    <n v="0.2119623354309822"/>
    <s v="No"/>
    <n v="35311982"/>
    <n v="36"/>
    <x v="0"/>
  </r>
  <r>
    <n v="813"/>
    <s v="MUJER"/>
    <n v="4423075"/>
    <x v="0"/>
    <x v="1"/>
    <s v="SI"/>
    <s v="NO"/>
    <s v="NO"/>
    <n v="32"/>
    <n v="0.70431298791265773"/>
    <s v="No"/>
    <n v="0.30205088190522655"/>
    <s v="No"/>
    <n v="4423075"/>
    <n v="32"/>
    <x v="0"/>
  </r>
  <r>
    <n v="814"/>
    <s v="HOMBRE"/>
    <n v="382136"/>
    <x v="3"/>
    <x v="1"/>
    <s v="SI"/>
    <s v="NO"/>
    <s v="SI"/>
    <n v="46"/>
    <n v="0.2837416331672673"/>
    <s v="No"/>
    <n v="0.36929495941335472"/>
    <s v="No"/>
    <n v="382136"/>
    <n v="46"/>
    <x v="3"/>
  </r>
  <r>
    <n v="815"/>
    <s v="MUJER"/>
    <n v="115500"/>
    <x v="0"/>
    <x v="1"/>
    <s v="SI"/>
    <s v="NO"/>
    <s v="NO"/>
    <n v="51"/>
    <n v="0.6366182835529548"/>
    <s v="No"/>
    <n v="0.37373197067495934"/>
    <s v="No"/>
    <n v="115500"/>
    <n v="51"/>
    <x v="0"/>
  </r>
  <r>
    <n v="816"/>
    <s v="MUJER"/>
    <n v="328989256"/>
    <x v="0"/>
    <x v="0"/>
    <s v="SI"/>
    <s v="NO"/>
    <s v="NO"/>
    <n v="43"/>
    <n v="7.2015642935854773E-2"/>
    <s v="No"/>
    <n v="5.0989594851607327"/>
    <s v="Sí"/>
    <n v="328989256"/>
    <n v="43"/>
    <x v="0"/>
  </r>
  <r>
    <n v="817"/>
    <s v="HOMBRE"/>
    <n v="8926875"/>
    <x v="0"/>
    <x v="1"/>
    <s v="SI"/>
    <s v="NO"/>
    <s v="NO"/>
    <n v="35"/>
    <n v="0.49258699768124525"/>
    <s v="No"/>
    <n v="0.22710447061787292"/>
    <s v="No"/>
    <n v="8926875"/>
    <n v="35"/>
    <x v="0"/>
  </r>
  <r>
    <n v="818"/>
    <s v="MUJER"/>
    <n v="26147698"/>
    <x v="0"/>
    <x v="0"/>
    <s v="SI"/>
    <s v="NO"/>
    <s v="NO"/>
    <n v="33"/>
    <n v="0.63373765783552027"/>
    <s v="No"/>
    <n v="5.9462180491128197E-2"/>
    <s v="No"/>
    <n v="26147698"/>
    <n v="33"/>
    <x v="0"/>
  </r>
  <r>
    <n v="819"/>
    <s v="HOMBRE"/>
    <n v="22939518"/>
    <x v="0"/>
    <x v="1"/>
    <s v="SI"/>
    <s v="NO"/>
    <s v="NO"/>
    <n v="57"/>
    <n v="1.0600702640157798"/>
    <s v="No"/>
    <n v="6.0758005977354593E-3"/>
    <s v="No"/>
    <n v="22939518"/>
    <n v="57"/>
    <x v="0"/>
  </r>
  <r>
    <n v="820"/>
    <s v="MUJER"/>
    <n v="85464684"/>
    <x v="0"/>
    <x v="0"/>
    <s v="SI"/>
    <s v="NO"/>
    <s v="NO"/>
    <n v="24"/>
    <n v="1.2689156285297578"/>
    <s v="No"/>
    <n v="1.0465387001150455"/>
    <s v="No"/>
    <n v="85464684"/>
    <n v="24"/>
    <x v="0"/>
  </r>
  <r>
    <n v="821"/>
    <s v="HOMBRE"/>
    <n v="43840225"/>
    <x v="0"/>
    <x v="1"/>
    <s v="SI"/>
    <s v="NO"/>
    <s v="NO"/>
    <n v="28"/>
    <n v="0.98661430822120777"/>
    <s v="No"/>
    <n v="0.3538783191417364"/>
    <s v="No"/>
    <n v="43840225"/>
    <n v="28"/>
    <x v="0"/>
  </r>
  <r>
    <n v="822"/>
    <s v="HOMBRE"/>
    <n v="44061225"/>
    <x v="0"/>
    <x v="1"/>
    <s v="SI"/>
    <s v="NO"/>
    <s v="NO"/>
    <n v="24"/>
    <n v="1.2689156285297578"/>
    <s v="No"/>
    <n v="0.35755591514833196"/>
    <s v="No"/>
    <n v="44061225"/>
    <n v="24"/>
    <x v="0"/>
  </r>
  <r>
    <n v="823"/>
    <s v="HOMBRE"/>
    <n v="299784"/>
    <x v="2"/>
    <x v="1"/>
    <s v="SI"/>
    <s v="NO"/>
    <s v="NO"/>
    <n v="50"/>
    <n v="0.56604295347581735"/>
    <s v="No"/>
    <n v="0.37066535482663598"/>
    <s v="No"/>
    <n v="299784"/>
    <n v="50"/>
    <x v="2"/>
  </r>
  <r>
    <n v="824"/>
    <s v="HOMBRE"/>
    <n v="320283"/>
    <x v="3"/>
    <x v="1"/>
    <s v="SI"/>
    <s v="NO"/>
    <s v="SI"/>
    <n v="36"/>
    <n v="0.42201166760410774"/>
    <s v="No"/>
    <n v="0.37032423699614186"/>
    <s v="No"/>
    <n v="320283"/>
    <n v="36"/>
    <x v="3"/>
  </r>
  <r>
    <n v="825"/>
    <s v="HOMBRE"/>
    <n v="255360"/>
    <x v="0"/>
    <x v="1"/>
    <s v="SI"/>
    <s v="NO"/>
    <s v="NO"/>
    <n v="25"/>
    <n v="1.1983402984526204"/>
    <s v="No"/>
    <n v="0.37140460154607946"/>
    <s v="No"/>
    <n v="255360"/>
    <n v="25"/>
    <x v="0"/>
  </r>
  <r>
    <n v="826"/>
    <s v="MUJER"/>
    <n v="387500"/>
    <x v="0"/>
    <x v="1"/>
    <s v="SI"/>
    <s v="NO"/>
    <s v="NO"/>
    <n v="38"/>
    <n v="0.28086100744983278"/>
    <s v="No"/>
    <n v="0.36920569866684172"/>
    <s v="No"/>
    <n v="387500"/>
    <n v="38"/>
    <x v="0"/>
  </r>
  <r>
    <n v="827"/>
    <s v="HOMBRE"/>
    <n v="310124"/>
    <x v="3"/>
    <x v="1"/>
    <s v="SI"/>
    <s v="NO"/>
    <s v="NO"/>
    <n v="65"/>
    <n v="1.6246729046328798"/>
    <s v="No"/>
    <n v="0.37049328992750385"/>
    <s v="No"/>
    <n v="310124"/>
    <n v="65"/>
    <x v="3"/>
  </r>
  <r>
    <n v="828"/>
    <s v="MUJER"/>
    <n v="34339086"/>
    <x v="0"/>
    <x v="1"/>
    <s v="SI"/>
    <s v="NO"/>
    <s v="NO"/>
    <n v="28"/>
    <n v="0.98661430822120777"/>
    <s v="No"/>
    <n v="0.19577265921182921"/>
    <s v="No"/>
    <n v="34339086"/>
    <n v="28"/>
    <x v="0"/>
  </r>
  <r>
    <n v="829"/>
    <s v="MUJER"/>
    <n v="391062"/>
    <x v="0"/>
    <x v="1"/>
    <s v="SI"/>
    <s v="NO"/>
    <s v="NO"/>
    <n v="33"/>
    <n v="0.63373765783552027"/>
    <s v="No"/>
    <n v="0.36914642447238244"/>
    <s v="No"/>
    <n v="391062"/>
    <n v="33"/>
    <x v="0"/>
  </r>
  <r>
    <n v="830"/>
    <s v="HOMBRE"/>
    <n v="584267"/>
    <x v="0"/>
    <x v="0"/>
    <s v="SI"/>
    <s v="NO"/>
    <s v="NO"/>
    <n v="29"/>
    <n v="0.91603897814407031"/>
    <s v="No"/>
    <n v="0.36593135688661638"/>
    <s v="No"/>
    <n v="584267"/>
    <n v="29"/>
    <x v="0"/>
  </r>
  <r>
    <n v="831"/>
    <s v="HOMBRE"/>
    <n v="10349361"/>
    <x v="0"/>
    <x v="0"/>
    <s v="SI"/>
    <s v="NO"/>
    <s v="NO"/>
    <n v="49"/>
    <n v="0.49546762339867978"/>
    <s v="No"/>
    <n v="0.20343329942765523"/>
    <s v="No"/>
    <n v="10349361"/>
    <n v="49"/>
    <x v="0"/>
  </r>
  <r>
    <n v="832"/>
    <s v="HOMBRE"/>
    <n v="410000"/>
    <x v="0"/>
    <x v="1"/>
    <s v="SI"/>
    <s v="NO"/>
    <s v="NO"/>
    <n v="32"/>
    <n v="0.70431298791265773"/>
    <s v="No"/>
    <n v="0.36883128278381727"/>
    <s v="No"/>
    <n v="410000"/>
    <n v="32"/>
    <x v="0"/>
  </r>
  <r>
    <n v="833"/>
    <s v="HOMBRE"/>
    <n v="297046"/>
    <x v="2"/>
    <x v="1"/>
    <s v="SI"/>
    <s v="NO"/>
    <s v="NO"/>
    <n v="53"/>
    <n v="0.77776894370722982"/>
    <s v="No"/>
    <n v="0.37071091707942361"/>
    <s v="No"/>
    <n v="297046"/>
    <n v="53"/>
    <x v="2"/>
  </r>
  <r>
    <n v="834"/>
    <s v="MUJER"/>
    <n v="62203584"/>
    <x v="0"/>
    <x v="0"/>
    <s v="SI"/>
    <s v="NO"/>
    <s v="NO"/>
    <n v="26"/>
    <n v="1.1277649683754829"/>
    <s v="No"/>
    <n v="0.65945757582083564"/>
    <s v="No"/>
    <n v="62203584"/>
    <n v="26"/>
    <x v="0"/>
  </r>
  <r>
    <n v="835"/>
    <s v="MUJER"/>
    <n v="917703"/>
    <x v="0"/>
    <x v="0"/>
    <s v="SI"/>
    <s v="NO"/>
    <s v="NO"/>
    <n v="44"/>
    <n v="0.14259097301299228"/>
    <s v="No"/>
    <n v="0.36038274647007701"/>
    <s v="No"/>
    <n v="917703"/>
    <n v="44"/>
    <x v="0"/>
  </r>
  <r>
    <n v="836"/>
    <s v="HOMBRE"/>
    <n v="2414544"/>
    <x v="0"/>
    <x v="1"/>
    <s v="SI"/>
    <s v="SI"/>
    <s v="NO"/>
    <n v="23"/>
    <n v="1.3394909586068953"/>
    <s v="No"/>
    <n v="0.33547425559175786"/>
    <s v="No"/>
    <n v="2414544"/>
    <n v="23"/>
    <x v="0"/>
  </r>
  <r>
    <n v="837"/>
    <s v="MUJER"/>
    <n v="440000"/>
    <x v="0"/>
    <x v="1"/>
    <s v="SI"/>
    <s v="SI"/>
    <s v="NO"/>
    <n v="39"/>
    <n v="0.21028567737269524"/>
    <s v="No"/>
    <n v="0.36833206160645132"/>
    <s v="No"/>
    <n v="440000"/>
    <n v="39"/>
    <x v="0"/>
  </r>
  <r>
    <n v="838"/>
    <s v="MUJER"/>
    <n v="623738"/>
    <x v="0"/>
    <x v="1"/>
    <s v="SI"/>
    <s v="NO"/>
    <s v="NO"/>
    <n v="26"/>
    <n v="1.1277649683754829"/>
    <s v="No"/>
    <n v="0.36527453158355605"/>
    <s v="No"/>
    <n v="623738"/>
    <n v="26"/>
    <x v="0"/>
  </r>
  <r>
    <n v="839"/>
    <s v="HOMBRE"/>
    <n v="599294"/>
    <x v="2"/>
    <x v="1"/>
    <s v="SI"/>
    <s v="NO"/>
    <s v="NO"/>
    <n v="54"/>
    <n v="0.84834427378436728"/>
    <s v="No"/>
    <n v="0.36568129699887381"/>
    <s v="No"/>
    <n v="599294"/>
    <n v="54"/>
    <x v="2"/>
  </r>
  <r>
    <n v="840"/>
    <s v="MUJER"/>
    <n v="55509579"/>
    <x v="0"/>
    <x v="1"/>
    <s v="SI"/>
    <s v="NO"/>
    <s v="NO"/>
    <n v="33"/>
    <n v="0.63373765783552027"/>
    <s v="No"/>
    <n v="0.54806460724105821"/>
    <s v="No"/>
    <n v="55509579"/>
    <n v="33"/>
    <x v="0"/>
  </r>
  <r>
    <n v="841"/>
    <s v="MUJER"/>
    <n v="330550"/>
    <x v="0"/>
    <x v="1"/>
    <s v="SI"/>
    <s v="NO"/>
    <s v="NO"/>
    <n v="59"/>
    <n v="1.2012209241700549"/>
    <s v="No"/>
    <n v="0.37015338686854132"/>
    <s v="No"/>
    <n v="330550"/>
    <n v="59"/>
    <x v="0"/>
  </r>
  <r>
    <n v="842"/>
    <s v="MUJER"/>
    <n v="2917593"/>
    <x v="0"/>
    <x v="1"/>
    <s v="SI"/>
    <s v="NO"/>
    <s v="SI"/>
    <n v="51"/>
    <n v="0.6366182835529548"/>
    <s v="No"/>
    <n v="0.32710316512333298"/>
    <s v="No"/>
    <n v="2917593"/>
    <n v="51"/>
    <x v="0"/>
  </r>
  <r>
    <n v="843"/>
    <s v="MUJER"/>
    <n v="84236576"/>
    <x v="0"/>
    <x v="1"/>
    <s v="SI"/>
    <s v="NO"/>
    <s v="NO"/>
    <n v="29"/>
    <n v="0.91603897814407031"/>
    <s v="No"/>
    <n v="1.0261021160586288"/>
    <s v="No"/>
    <n v="84236576"/>
    <n v="29"/>
    <x v="0"/>
  </r>
  <r>
    <n v="844"/>
    <s v="MUJER"/>
    <n v="43291667"/>
    <x v="0"/>
    <x v="1"/>
    <s v="SI"/>
    <s v="NO"/>
    <s v="NO"/>
    <n v="23"/>
    <n v="1.3394909586068953"/>
    <s v="No"/>
    <n v="0.34474992678795335"/>
    <s v="No"/>
    <n v="43291667"/>
    <n v="23"/>
    <x v="0"/>
  </r>
  <r>
    <n v="845"/>
    <s v="HOMBRE"/>
    <n v="319224"/>
    <x v="0"/>
    <x v="1"/>
    <s v="SI"/>
    <s v="NO"/>
    <s v="NO"/>
    <n v="27"/>
    <n v="1.0571896382983452"/>
    <s v="No"/>
    <n v="0.37034185950370285"/>
    <s v="No"/>
    <n v="319224"/>
    <n v="27"/>
    <x v="0"/>
  </r>
  <r>
    <n v="846"/>
    <s v="MUJER"/>
    <n v="3697124"/>
    <x v="1"/>
    <x v="0"/>
    <s v="SI"/>
    <s v="NO"/>
    <s v="NO"/>
    <n v="73"/>
    <n v="2.1892755452499797"/>
    <s v="Sí"/>
    <n v="0.31413121900289204"/>
    <s v="No"/>
    <n v="3697124"/>
    <n v="73"/>
    <x v="1"/>
  </r>
  <r>
    <n v="847"/>
    <s v="MUJER"/>
    <n v="278030"/>
    <x v="2"/>
    <x v="1"/>
    <s v="SI"/>
    <s v="NO"/>
    <s v="SI"/>
    <n v="56"/>
    <n v="0.9894949339386423"/>
    <s v="No"/>
    <n v="0.37102735674304993"/>
    <s v="No"/>
    <n v="278030"/>
    <n v="56"/>
    <x v="2"/>
  </r>
  <r>
    <n v="848"/>
    <s v="MUJER"/>
    <n v="41632846"/>
    <x v="0"/>
    <x v="0"/>
    <s v="SI"/>
    <s v="NO"/>
    <s v="NO"/>
    <n v="55"/>
    <n v="0.91891960386150484"/>
    <s v="No"/>
    <n v="0.31714597436597647"/>
    <s v="No"/>
    <n v="41632846"/>
    <n v="55"/>
    <x v="0"/>
  </r>
  <r>
    <n v="849"/>
    <s v="HOMBRE"/>
    <n v="19075395"/>
    <x v="0"/>
    <x v="0"/>
    <s v="SI"/>
    <s v="NO"/>
    <s v="NO"/>
    <n v="56"/>
    <n v="0.9894949339386423"/>
    <s v="No"/>
    <n v="5.8225933853821632E-2"/>
    <s v="No"/>
    <n v="19075395"/>
    <n v="56"/>
    <x v="0"/>
  </r>
  <r>
    <n v="850"/>
    <s v="MUJER"/>
    <n v="350000"/>
    <x v="0"/>
    <x v="1"/>
    <s v="SI"/>
    <s v="NO"/>
    <s v="NO"/>
    <n v="51"/>
    <n v="0.6366182835529548"/>
    <s v="No"/>
    <n v="0.36982972513854911"/>
    <s v="No"/>
    <n v="350000"/>
    <n v="51"/>
    <x v="0"/>
  </r>
  <r>
    <n v="851"/>
    <s v="HOMBRE"/>
    <n v="310124"/>
    <x v="3"/>
    <x v="1"/>
    <s v="SI"/>
    <s v="SI"/>
    <s v="NO"/>
    <n v="41"/>
    <n v="6.9135017218420233E-2"/>
    <s v="No"/>
    <n v="0.37049328992750385"/>
    <s v="No"/>
    <n v="310124"/>
    <n v="41"/>
    <x v="3"/>
  </r>
  <r>
    <n v="852"/>
    <s v="MUJER"/>
    <n v="400000"/>
    <x v="0"/>
    <x v="1"/>
    <s v="SI"/>
    <s v="NO"/>
    <s v="NO"/>
    <n v="41"/>
    <n v="6.9135017218420233E-2"/>
    <s v="No"/>
    <n v="0.36899768984293924"/>
    <s v="No"/>
    <n v="400000"/>
    <n v="41"/>
    <x v="0"/>
  </r>
  <r>
    <n v="853"/>
    <s v="HOMBRE"/>
    <n v="353469"/>
    <x v="0"/>
    <x v="1"/>
    <s v="SI"/>
    <s v="NO"/>
    <s v="NO"/>
    <n v="44"/>
    <n v="0.14259097301299228"/>
    <s v="No"/>
    <n v="0.36977199852973969"/>
    <s v="No"/>
    <n v="353469"/>
    <n v="44"/>
    <x v="0"/>
  </r>
  <r>
    <n v="854"/>
    <s v="HOMBRE"/>
    <n v="362010"/>
    <x v="0"/>
    <x v="1"/>
    <s v="SI"/>
    <s v="NO"/>
    <s v="SI"/>
    <n v="72"/>
    <n v="2.1187002151728422"/>
    <s v="Sí"/>
    <n v="0.36962987026054361"/>
    <s v="No"/>
    <n v="362010"/>
    <n v="72"/>
    <x v="0"/>
  </r>
  <r>
    <n v="855"/>
    <s v="HOMBRE"/>
    <n v="154795343"/>
    <x v="0"/>
    <x v="1"/>
    <s v="SI"/>
    <s v="NO"/>
    <s v="NO"/>
    <n v="25"/>
    <n v="1.1983402984526204"/>
    <s v="No"/>
    <n v="2.2002498072328716"/>
    <s v="Sí"/>
    <n v="154795343"/>
    <n v="25"/>
    <x v="0"/>
  </r>
  <r>
    <n v="856"/>
    <s v="MUJER"/>
    <n v="297046"/>
    <x v="3"/>
    <x v="1"/>
    <s v="SI"/>
    <s v="NO"/>
    <s v="NO"/>
    <n v="34"/>
    <n v="0.56316232775838282"/>
    <s v="No"/>
    <n v="0.37071091707942361"/>
    <s v="No"/>
    <n v="297046"/>
    <n v="34"/>
    <x v="3"/>
  </r>
  <r>
    <n v="857"/>
    <s v="HOMBRE"/>
    <n v="65381062"/>
    <x v="0"/>
    <x v="1"/>
    <s v="SI"/>
    <s v="NO"/>
    <s v="NO"/>
    <n v="59"/>
    <n v="1.2012209241700549"/>
    <s v="No"/>
    <n v="0.71233305276131209"/>
    <s v="No"/>
    <n v="65381062"/>
    <n v="59"/>
    <x v="0"/>
  </r>
  <r>
    <n v="858"/>
    <s v="MUJER"/>
    <n v="790070"/>
    <x v="1"/>
    <x v="0"/>
    <s v="SI"/>
    <s v="NO"/>
    <s v="NO"/>
    <n v="69"/>
    <n v="1.9069742249414299"/>
    <s v="No"/>
    <n v="0.36250664968776847"/>
    <s v="No"/>
    <n v="790070"/>
    <n v="69"/>
    <x v="1"/>
  </r>
  <r>
    <n v="859"/>
    <s v="HOMBRE"/>
    <n v="546563"/>
    <x v="3"/>
    <x v="1"/>
    <s v="SI"/>
    <s v="NO"/>
    <s v="SI"/>
    <n v="51"/>
    <n v="0.6366182835529548"/>
    <s v="No"/>
    <n v="0.36655877806232989"/>
    <s v="No"/>
    <n v="546563"/>
    <n v="51"/>
    <x v="3"/>
  </r>
  <r>
    <n v="860"/>
    <s v="MUJER"/>
    <n v="260000"/>
    <x v="0"/>
    <x v="1"/>
    <s v="SI"/>
    <s v="NO"/>
    <s v="SI"/>
    <n v="37"/>
    <n v="0.35143633752697023"/>
    <s v="No"/>
    <n v="0.37132738867064685"/>
    <s v="No"/>
    <n v="260000"/>
    <n v="37"/>
    <x v="0"/>
  </r>
  <r>
    <n v="861"/>
    <s v="HOMBRE"/>
    <n v="343391"/>
    <x v="0"/>
    <x v="1"/>
    <s v="SI"/>
    <s v="NO"/>
    <s v="NO"/>
    <n v="32"/>
    <n v="0.70431298791265773"/>
    <s v="No"/>
    <n v="0.36993970356392281"/>
    <s v="No"/>
    <n v="343391"/>
    <n v="32"/>
    <x v="0"/>
  </r>
  <r>
    <n v="862"/>
    <s v="MUJER"/>
    <n v="114247"/>
    <x v="0"/>
    <x v="0"/>
    <s v="SI"/>
    <s v="NO"/>
    <s v="NO"/>
    <n v="29"/>
    <n v="0.91603897814407031"/>
    <s v="No"/>
    <n v="0.37375282147946731"/>
    <s v="No"/>
    <n v="114247"/>
    <n v="29"/>
    <x v="0"/>
  </r>
  <r>
    <n v="863"/>
    <s v="MUJER"/>
    <n v="100186"/>
    <x v="0"/>
    <x v="1"/>
    <s v="SI"/>
    <s v="NO"/>
    <s v="NO"/>
    <n v="48"/>
    <n v="0.42489229332154227"/>
    <s v="No"/>
    <n v="0.37398680644529869"/>
    <s v="No"/>
    <n v="100186"/>
    <n v="48"/>
    <x v="0"/>
  </r>
  <r>
    <n v="864"/>
    <s v="HOMBRE"/>
    <n v="1500000"/>
    <x v="0"/>
    <x v="1"/>
    <s v="SI"/>
    <s v="SI"/>
    <s v="NO"/>
    <n v="62"/>
    <n v="1.4129469144014672"/>
    <s v="No"/>
    <n v="0.35069291333952235"/>
    <s v="No"/>
    <n v="1500000"/>
    <n v="62"/>
    <x v="0"/>
  </r>
  <r>
    <n v="865"/>
    <s v="MUJER"/>
    <n v="278030"/>
    <x v="3"/>
    <x v="1"/>
    <s v="SI"/>
    <s v="SI"/>
    <s v="SI"/>
    <n v="40"/>
    <n v="0.13971034729555773"/>
    <s v="No"/>
    <n v="0.37102735674304993"/>
    <s v="No"/>
    <n v="278030"/>
    <n v="40"/>
    <x v="3"/>
  </r>
  <r>
    <n v="866"/>
    <s v="HOMBRE"/>
    <n v="44525824"/>
    <x v="0"/>
    <x v="1"/>
    <s v="SI"/>
    <s v="NO"/>
    <s v="NO"/>
    <n v="45"/>
    <n v="0.21316630309012977"/>
    <s v="No"/>
    <n v="0.36528717047443288"/>
    <s v="No"/>
    <n v="44525824"/>
    <n v="45"/>
    <x v="0"/>
  </r>
  <r>
    <n v="867"/>
    <s v="HOMBRE"/>
    <n v="257920"/>
    <x v="0"/>
    <x v="1"/>
    <s v="SI"/>
    <s v="SI"/>
    <s v="NO"/>
    <n v="58"/>
    <n v="1.1306455940929174"/>
    <s v="No"/>
    <n v="0.3713620013389442"/>
    <s v="No"/>
    <n v="257920"/>
    <n v="58"/>
    <x v="0"/>
  </r>
  <r>
    <n v="868"/>
    <s v="HOMBRE"/>
    <n v="177692256"/>
    <x v="0"/>
    <x v="1"/>
    <s v="SI"/>
    <s v="NO"/>
    <s v="NO"/>
    <n v="27"/>
    <n v="1.0571896382983452"/>
    <s v="No"/>
    <n v="2.5812706027630359"/>
    <s v="Sí"/>
    <n v="177692256"/>
    <n v="27"/>
    <x v="0"/>
  </r>
  <r>
    <n v="869"/>
    <s v="HOMBRE"/>
    <n v="757568"/>
    <x v="0"/>
    <x v="0"/>
    <s v="SI"/>
    <s v="NO"/>
    <s v="NO"/>
    <n v="47"/>
    <n v="0.35431696324440481"/>
    <s v="No"/>
    <n v="0.36304750591132673"/>
    <s v="No"/>
    <n v="757568"/>
    <n v="47"/>
    <x v="0"/>
  </r>
  <r>
    <n v="870"/>
    <s v="HOMBRE"/>
    <n v="509509"/>
    <x v="3"/>
    <x v="1"/>
    <s v="SI"/>
    <s v="NO"/>
    <s v="SI"/>
    <n v="63"/>
    <n v="1.4835222444786049"/>
    <s v="No"/>
    <n v="0.36717538277920042"/>
    <s v="No"/>
    <n v="509509"/>
    <n v="63"/>
    <x v="3"/>
  </r>
  <r>
    <n v="871"/>
    <s v="HOMBRE"/>
    <n v="805518"/>
    <x v="0"/>
    <x v="1"/>
    <s v="SI"/>
    <s v="NO"/>
    <s v="NO"/>
    <n v="61"/>
    <n v="1.3423715843243298"/>
    <s v="No"/>
    <n v="0.36224958406283686"/>
    <s v="No"/>
    <n v="805518"/>
    <n v="61"/>
    <x v="0"/>
  </r>
  <r>
    <n v="872"/>
    <s v="HOMBRE"/>
    <n v="255660"/>
    <x v="0"/>
    <x v="1"/>
    <s v="SI"/>
    <s v="NO"/>
    <s v="NO"/>
    <n v="30"/>
    <n v="0.84546364806693275"/>
    <s v="No"/>
    <n v="0.37139960933430577"/>
    <s v="No"/>
    <n v="255660"/>
    <n v="30"/>
    <x v="0"/>
  </r>
  <r>
    <n v="873"/>
    <s v="MUJER"/>
    <n v="517272"/>
    <x v="3"/>
    <x v="1"/>
    <s v="SI"/>
    <s v="NO"/>
    <s v="NO"/>
    <n v="60"/>
    <n v="1.2717962542471923"/>
    <s v="No"/>
    <n v="0.36704620097920404"/>
    <s v="No"/>
    <n v="517272"/>
    <n v="60"/>
    <x v="3"/>
  </r>
  <r>
    <n v="874"/>
    <s v="HOMBRE"/>
    <n v="297050"/>
    <x v="2"/>
    <x v="1"/>
    <s v="SI"/>
    <s v="NO"/>
    <s v="SI"/>
    <n v="37"/>
    <n v="0.35143633752697023"/>
    <s v="No"/>
    <n v="0.37071085051659991"/>
    <s v="No"/>
    <n v="297050"/>
    <n v="37"/>
    <x v="2"/>
  </r>
  <r>
    <n v="875"/>
    <s v="HOMBRE"/>
    <n v="315687"/>
    <x v="0"/>
    <x v="1"/>
    <s v="SI"/>
    <s v="SI"/>
    <s v="SI"/>
    <n v="45"/>
    <n v="0.21316630309012977"/>
    <s v="No"/>
    <n v="0.3704007176805143"/>
    <s v="No"/>
    <n v="315687"/>
    <n v="45"/>
    <x v="0"/>
  </r>
  <r>
    <n v="876"/>
    <s v="MUJER"/>
    <n v="372300"/>
    <x v="0"/>
    <x v="1"/>
    <s v="SI"/>
    <s v="NO"/>
    <s v="SI"/>
    <n v="26"/>
    <n v="1.1277649683754829"/>
    <s v="No"/>
    <n v="0.36945863739670709"/>
    <s v="No"/>
    <n v="372300"/>
    <n v="26"/>
    <x v="0"/>
  </r>
  <r>
    <n v="877"/>
    <s v="HOMBRE"/>
    <n v="67873405"/>
    <x v="0"/>
    <x v="1"/>
    <s v="SI"/>
    <s v="NO"/>
    <s v="NO"/>
    <n v="33"/>
    <n v="0.63373765783552027"/>
    <s v="No"/>
    <n v="0.75380739965663535"/>
    <s v="No"/>
    <n v="67873405"/>
    <n v="33"/>
    <x v="0"/>
  </r>
  <r>
    <n v="878"/>
    <s v="MUJER"/>
    <n v="315617"/>
    <x v="2"/>
    <x v="1"/>
    <s v="SI"/>
    <s v="NO"/>
    <s v="NO"/>
    <n v="35"/>
    <n v="0.49258699768124525"/>
    <s v="No"/>
    <n v="0.37040188252992817"/>
    <s v="No"/>
    <n v="315617"/>
    <n v="35"/>
    <x v="2"/>
  </r>
  <r>
    <n v="879"/>
    <s v="HOMBRE"/>
    <n v="145590615"/>
    <x v="4"/>
    <x v="1"/>
    <s v="SI"/>
    <s v="NO"/>
    <s v="NO"/>
    <n v="38"/>
    <n v="0.28086100744983278"/>
    <s v="No"/>
    <n v="2.0470766355831049"/>
    <s v="Sí"/>
    <n v="145590615"/>
    <n v="38"/>
    <x v="4"/>
  </r>
  <r>
    <n v="880"/>
    <s v="MUJER"/>
    <n v="166295"/>
    <x v="0"/>
    <x v="1"/>
    <s v="SI"/>
    <s v="NO"/>
    <s v="NO"/>
    <n v="50"/>
    <n v="0.56604295347581735"/>
    <s v="No"/>
    <n v="0.37288670601814927"/>
    <s v="No"/>
    <n v="166295"/>
    <n v="50"/>
    <x v="0"/>
  </r>
  <r>
    <n v="881"/>
    <s v="MUJER"/>
    <n v="58870125"/>
    <x v="0"/>
    <x v="1"/>
    <s v="SI"/>
    <s v="NO"/>
    <s v="NO"/>
    <n v="27"/>
    <n v="1.0571896382983452"/>
    <s v="No"/>
    <n v="0.60398646493146879"/>
    <s v="No"/>
    <n v="58870125"/>
    <n v="27"/>
    <x v="0"/>
  </r>
  <r>
    <n v="882"/>
    <s v="MUJER"/>
    <n v="297046"/>
    <x v="2"/>
    <x v="1"/>
    <s v="SI"/>
    <s v="NO"/>
    <s v="NO"/>
    <n v="61"/>
    <n v="1.3423715843243298"/>
    <s v="No"/>
    <n v="0.37071091707942361"/>
    <s v="No"/>
    <n v="297046"/>
    <n v="61"/>
    <x v="2"/>
  </r>
  <r>
    <n v="883"/>
    <s v="HOMBRE"/>
    <n v="503465"/>
    <x v="0"/>
    <x v="0"/>
    <s v="SI"/>
    <s v="NO"/>
    <s v="SI"/>
    <n v="56"/>
    <n v="0.9894949339386423"/>
    <s v="No"/>
    <n v="0.36727595920573375"/>
    <s v="No"/>
    <n v="503465"/>
    <n v="56"/>
    <x v="0"/>
  </r>
  <r>
    <n v="884"/>
    <s v="MUJER"/>
    <n v="5348155"/>
    <x v="0"/>
    <x v="0"/>
    <s v="SI"/>
    <s v="NO"/>
    <s v="NO"/>
    <n v="29"/>
    <n v="0.91603897814407031"/>
    <s v="No"/>
    <n v="0.28665689767997121"/>
    <s v="No"/>
    <n v="5348155"/>
    <n v="29"/>
    <x v="0"/>
  </r>
  <r>
    <n v="885"/>
    <s v="MUJER"/>
    <n v="401010"/>
    <x v="3"/>
    <x v="1"/>
    <s v="SI"/>
    <s v="NO"/>
    <s v="SI"/>
    <n v="50"/>
    <n v="0.56604295347581735"/>
    <s v="No"/>
    <n v="0.36898088272996793"/>
    <s v="No"/>
    <n v="401010"/>
    <n v="50"/>
    <x v="3"/>
  </r>
  <r>
    <n v="886"/>
    <s v="HOMBRE"/>
    <n v="325000"/>
    <x v="0"/>
    <x v="1"/>
    <s v="SI"/>
    <s v="NO"/>
    <s v="NO"/>
    <n v="37"/>
    <n v="0.35143633752697023"/>
    <s v="No"/>
    <n v="0.37024574278635403"/>
    <s v="No"/>
    <n v="325000"/>
    <n v="37"/>
    <x v="0"/>
  </r>
  <r>
    <n v="887"/>
    <s v="HOMBRE"/>
    <n v="1142714"/>
    <x v="0"/>
    <x v="1"/>
    <s v="SI"/>
    <s v="NO"/>
    <s v="NO"/>
    <n v="37"/>
    <n v="0.35143633752697023"/>
    <s v="No"/>
    <n v="0.35663840459206764"/>
    <s v="No"/>
    <n v="1142714"/>
    <n v="37"/>
    <x v="0"/>
  </r>
  <r>
    <n v="888"/>
    <s v="HOMBRE"/>
    <n v="55364206"/>
    <x v="0"/>
    <x v="1"/>
    <s v="SI"/>
    <s v="NO"/>
    <s v="NO"/>
    <n v="27"/>
    <n v="1.0571896382983452"/>
    <s v="No"/>
    <n v="0.54564549790048433"/>
    <s v="No"/>
    <n v="55364206"/>
    <n v="27"/>
    <x v="0"/>
  </r>
  <r>
    <n v="889"/>
    <s v="HOMBRE"/>
    <n v="168300"/>
    <x v="0"/>
    <x v="1"/>
    <s v="SI"/>
    <s v="SI"/>
    <s v="NO"/>
    <n v="23"/>
    <n v="1.3394909586068953"/>
    <s v="No"/>
    <n v="0.3728533414027953"/>
    <s v="No"/>
    <n v="168300"/>
    <n v="23"/>
    <x v="0"/>
  </r>
  <r>
    <n v="890"/>
    <s v="HOMBRE"/>
    <n v="290371"/>
    <x v="3"/>
    <x v="1"/>
    <s v="SI"/>
    <s v="NO"/>
    <s v="NO"/>
    <n v="34"/>
    <n v="0.56316232775838282"/>
    <s v="No"/>
    <n v="0.37082199379138747"/>
    <s v="No"/>
    <n v="290371"/>
    <n v="34"/>
    <x v="3"/>
  </r>
  <r>
    <n v="891"/>
    <s v="HOMBRE"/>
    <n v="268777885"/>
    <x v="0"/>
    <x v="1"/>
    <s v="SI"/>
    <s v="NO"/>
    <s v="NO"/>
    <n v="51"/>
    <n v="0.6366182835529548"/>
    <s v="No"/>
    <n v="4.0969997677795345"/>
    <s v="Sí"/>
    <n v="268777885"/>
    <n v="51"/>
    <x v="0"/>
  </r>
  <r>
    <n v="892"/>
    <s v="HOMBRE"/>
    <n v="130000"/>
    <x v="0"/>
    <x v="1"/>
    <s v="SI"/>
    <s v="SI"/>
    <s v="NO"/>
    <n v="22"/>
    <n v="1.4100662886840327"/>
    <s v="No"/>
    <n v="0.37349068043923245"/>
    <s v="No"/>
    <n v="130000"/>
    <n v="22"/>
    <x v="0"/>
  </r>
  <r>
    <n v="893"/>
    <s v="HOMBRE"/>
    <n v="5750325"/>
    <x v="0"/>
    <x v="1"/>
    <s v="SI"/>
    <s v="NO"/>
    <s v="NO"/>
    <n v="35"/>
    <n v="0.49258699768124525"/>
    <s v="No"/>
    <n v="0.27996450498326286"/>
    <s v="No"/>
    <n v="5750325"/>
    <n v="35"/>
    <x v="0"/>
  </r>
  <r>
    <n v="894"/>
    <s v="HOMBRE"/>
    <n v="42326813"/>
    <x v="0"/>
    <x v="1"/>
    <s v="SI"/>
    <s v="NO"/>
    <s v="NO"/>
    <n v="59"/>
    <n v="1.2012209241700549"/>
    <s v="No"/>
    <n v="0.32869407512574622"/>
    <s v="No"/>
    <n v="42326813"/>
    <n v="59"/>
    <x v="0"/>
  </r>
  <r>
    <n v="895"/>
    <s v="HOMBRE"/>
    <n v="4475419"/>
    <x v="0"/>
    <x v="1"/>
    <s v="SI"/>
    <s v="SI"/>
    <s v="NO"/>
    <n v="31"/>
    <n v="0.77488831798979529"/>
    <s v="No"/>
    <n v="0.30117984079495852"/>
    <s v="No"/>
    <n v="4475419"/>
    <n v="31"/>
    <x v="0"/>
  </r>
  <r>
    <n v="896"/>
    <s v="HOMBRE"/>
    <n v="639148"/>
    <x v="3"/>
    <x v="1"/>
    <s v="SI"/>
    <s v="SI"/>
    <s v="NO"/>
    <n v="70"/>
    <n v="1.9775495550185673"/>
    <s v="Sí"/>
    <n v="0.36501809830544912"/>
    <s v="No"/>
    <n v="639148"/>
    <n v="70"/>
    <x v="3"/>
  </r>
  <r>
    <n v="897"/>
    <s v="MUJER"/>
    <n v="40674256"/>
    <x v="0"/>
    <x v="1"/>
    <s v="SI"/>
    <s v="NO"/>
    <s v="NO"/>
    <n v="28"/>
    <n v="0.98661430822120777"/>
    <s v="No"/>
    <n v="0.30119436008560341"/>
    <s v="No"/>
    <n v="40674256"/>
    <n v="28"/>
    <x v="0"/>
  </r>
  <r>
    <n v="898"/>
    <s v="HOMBRE"/>
    <n v="356653"/>
    <x v="3"/>
    <x v="1"/>
    <s v="SI"/>
    <s v="NO"/>
    <s v="SI"/>
    <n v="47"/>
    <n v="0.35431696324440481"/>
    <s v="No"/>
    <n v="0.36971901452211525"/>
    <s v="No"/>
    <n v="356653"/>
    <n v="47"/>
    <x v="3"/>
  </r>
  <r>
    <n v="899"/>
    <s v="HOMBRE"/>
    <n v="550000"/>
    <x v="0"/>
    <x v="1"/>
    <s v="SI"/>
    <s v="NO"/>
    <s v="SI"/>
    <n v="25"/>
    <n v="1.1983402984526204"/>
    <s v="No"/>
    <n v="0.36650158395610966"/>
    <s v="No"/>
    <n v="550000"/>
    <n v="25"/>
    <x v="0"/>
  </r>
  <r>
    <n v="900"/>
    <s v="HOMBRE"/>
    <n v="181377365"/>
    <x v="0"/>
    <x v="1"/>
    <s v="SI"/>
    <s v="NO"/>
    <s v="NO"/>
    <n v="58"/>
    <n v="1.1306455940929174"/>
    <s v="No"/>
    <n v="2.642593417886427"/>
    <s v="Sí"/>
    <n v="181377365"/>
    <n v="58"/>
    <x v="0"/>
  </r>
  <r>
    <n v="901"/>
    <s v="MUJER"/>
    <n v="1807234"/>
    <x v="0"/>
    <x v="1"/>
    <s v="SI"/>
    <s v="NO"/>
    <s v="NO"/>
    <n v="39"/>
    <n v="0.21028567737269524"/>
    <s v="No"/>
    <n v="0.34558032269929434"/>
    <s v="No"/>
    <n v="1807234"/>
    <n v="39"/>
    <x v="0"/>
  </r>
  <r>
    <n v="902"/>
    <s v="HOMBRE"/>
    <n v="450000"/>
    <x v="0"/>
    <x v="1"/>
    <s v="SI"/>
    <s v="NO"/>
    <s v="NO"/>
    <n v="58"/>
    <n v="1.1306455940929174"/>
    <s v="No"/>
    <n v="0.36816565454732936"/>
    <s v="No"/>
    <n v="450000"/>
    <n v="58"/>
    <x v="0"/>
  </r>
  <r>
    <n v="903"/>
    <s v="MUJER"/>
    <n v="297046"/>
    <x v="3"/>
    <x v="1"/>
    <s v="SI"/>
    <s v="NO"/>
    <s v="NO"/>
    <n v="34"/>
    <n v="0.56316232775838282"/>
    <s v="No"/>
    <n v="0.37071091707942361"/>
    <s v="No"/>
    <n v="297046"/>
    <n v="34"/>
    <x v="3"/>
  </r>
  <r>
    <n v="904"/>
    <s v="HOMBRE"/>
    <n v="78501642"/>
    <x v="0"/>
    <x v="1"/>
    <s v="SI"/>
    <s v="NO"/>
    <s v="NO"/>
    <n v="22"/>
    <n v="1.4100662886840327"/>
    <s v="No"/>
    <n v="0.93066876593876813"/>
    <s v="No"/>
    <n v="78501642"/>
    <n v="22"/>
    <x v="0"/>
  </r>
  <r>
    <n v="905"/>
    <s v="HOMBRE"/>
    <n v="299065"/>
    <x v="0"/>
    <x v="1"/>
    <s v="SI"/>
    <s v="NO"/>
    <s v="NO"/>
    <n v="36"/>
    <n v="0.42201166760410774"/>
    <s v="No"/>
    <n v="0.37067731949418686"/>
    <s v="No"/>
    <n v="299065"/>
    <n v="36"/>
    <x v="0"/>
  </r>
  <r>
    <n v="906"/>
    <s v="MUJER"/>
    <n v="338166"/>
    <x v="3"/>
    <x v="1"/>
    <s v="SI"/>
    <s v="NO"/>
    <s v="SI"/>
    <n v="29"/>
    <n v="0.91603897814407031"/>
    <s v="No"/>
    <n v="0.37002665125231404"/>
    <s v="No"/>
    <n v="338166"/>
    <n v="29"/>
    <x v="3"/>
  </r>
  <r>
    <n v="907"/>
    <s v="MUJER"/>
    <n v="262375652"/>
    <x v="0"/>
    <x v="0"/>
    <s v="SI"/>
    <s v="NO"/>
    <s v="NO"/>
    <n v="42"/>
    <n v="1.4403128587172659E-3"/>
    <s v="No"/>
    <n v="3.9904620912451709"/>
    <s v="Sí"/>
    <n v="262375652"/>
    <n v="42"/>
    <x v="0"/>
  </r>
  <r>
    <n v="908"/>
    <s v="MUJER"/>
    <n v="20855265"/>
    <x v="0"/>
    <x v="0"/>
    <s v="SI"/>
    <s v="NO"/>
    <s v="NO"/>
    <n v="56"/>
    <n v="0.9894949339386423"/>
    <s v="No"/>
    <n v="2.8607640621879243E-2"/>
    <s v="No"/>
    <n v="20855265"/>
    <n v="56"/>
    <x v="0"/>
  </r>
  <r>
    <n v="909"/>
    <s v="HOMBRE"/>
    <n v="9304278"/>
    <x v="0"/>
    <x v="1"/>
    <s v="SI"/>
    <s v="NO"/>
    <s v="NO"/>
    <n v="33"/>
    <n v="0.63373765783552027"/>
    <s v="No"/>
    <n v="0.22082421828449197"/>
    <s v="No"/>
    <n v="9304278"/>
    <n v="33"/>
    <x v="0"/>
  </r>
  <r>
    <n v="910"/>
    <s v="HOMBRE"/>
    <n v="150000"/>
    <x v="0"/>
    <x v="1"/>
    <s v="SI"/>
    <s v="NO"/>
    <s v="NO"/>
    <n v="43"/>
    <n v="7.2015642935854773E-2"/>
    <s v="No"/>
    <n v="0.37315786632098852"/>
    <s v="No"/>
    <n v="150000"/>
    <n v="43"/>
    <x v="0"/>
  </r>
  <r>
    <n v="911"/>
    <s v="HOMBRE"/>
    <n v="299647"/>
    <x v="2"/>
    <x v="1"/>
    <s v="SI"/>
    <s v="NO"/>
    <s v="NO"/>
    <n v="75"/>
    <n v="2.330426205404255"/>
    <s v="Sí"/>
    <n v="0.37066763460334595"/>
    <s v="No"/>
    <n v="299647"/>
    <n v="75"/>
    <x v="2"/>
  </r>
  <r>
    <n v="912"/>
    <s v="HOMBRE"/>
    <n v="385548"/>
    <x v="3"/>
    <x v="1"/>
    <s v="SI"/>
    <s v="NO"/>
    <s v="SI"/>
    <n v="66"/>
    <n v="1.6952482347100173"/>
    <s v="No"/>
    <n v="0.36923818132478231"/>
    <s v="No"/>
    <n v="385548"/>
    <n v="66"/>
    <x v="3"/>
  </r>
  <r>
    <n v="913"/>
    <s v="HOMBRE"/>
    <n v="289404826"/>
    <x v="1"/>
    <x v="0"/>
    <s v="SI"/>
    <s v="NO"/>
    <s v="NO"/>
    <n v="63"/>
    <n v="1.4835222444786049"/>
    <s v="No"/>
    <n v="4.4402466268287775"/>
    <s v="Sí"/>
    <n v="289404826"/>
    <n v="63"/>
    <x v="1"/>
  </r>
  <r>
    <n v="914"/>
    <s v="MUJER"/>
    <n v="297046"/>
    <x v="2"/>
    <x v="1"/>
    <s v="SI"/>
    <s v="NO"/>
    <s v="SI"/>
    <n v="60"/>
    <n v="1.2717962542471923"/>
    <s v="No"/>
    <n v="0.37071091707942361"/>
    <s v="No"/>
    <n v="297046"/>
    <n v="60"/>
    <x v="2"/>
  </r>
  <r>
    <n v="915"/>
    <s v="MUJER"/>
    <n v="451350"/>
    <x v="0"/>
    <x v="1"/>
    <s v="SI"/>
    <s v="NO"/>
    <s v="NO"/>
    <n v="25"/>
    <n v="1.1983402984526204"/>
    <s v="No"/>
    <n v="0.36814318959434789"/>
    <s v="No"/>
    <n v="451350"/>
    <n v="25"/>
    <x v="0"/>
  </r>
  <r>
    <n v="916"/>
    <s v="MUJER"/>
    <n v="639148"/>
    <x v="3"/>
    <x v="1"/>
    <s v="SI"/>
    <s v="SI"/>
    <s v="NO"/>
    <n v="66"/>
    <n v="1.6952482347100173"/>
    <s v="No"/>
    <n v="0.36501809830544912"/>
    <s v="No"/>
    <n v="639148"/>
    <n v="66"/>
    <x v="3"/>
  </r>
  <r>
    <n v="917"/>
    <s v="HOMBRE"/>
    <n v="152908526"/>
    <x v="0"/>
    <x v="0"/>
    <s v="SI"/>
    <s v="NO"/>
    <s v="NO"/>
    <n v="28"/>
    <n v="0.98661430822120777"/>
    <s v="No"/>
    <n v="2.1688518404257375"/>
    <s v="Sí"/>
    <n v="152908526"/>
    <n v="28"/>
    <x v="0"/>
  </r>
  <r>
    <n v="918"/>
    <s v="HOMBRE"/>
    <n v="23021272"/>
    <x v="0"/>
    <x v="1"/>
    <s v="SI"/>
    <s v="NO"/>
    <s v="NO"/>
    <n v="20"/>
    <n v="1.5512169488383079"/>
    <s v="No"/>
    <n v="7.4362448688812272E-3"/>
    <s v="No"/>
    <n v="23021272"/>
    <n v="20"/>
    <x v="0"/>
  </r>
  <r>
    <n v="919"/>
    <s v="HOMBRE"/>
    <n v="620245"/>
    <x v="3"/>
    <x v="1"/>
    <s v="SI"/>
    <s v="NO"/>
    <s v="SI"/>
    <n v="37"/>
    <n v="0.35143633752697023"/>
    <s v="No"/>
    <n v="0.36533265756930738"/>
    <s v="No"/>
    <n v="620245"/>
    <n v="37"/>
    <x v="3"/>
  </r>
  <r>
    <n v="920"/>
    <s v="HOMBRE"/>
    <n v="353240"/>
    <x v="0"/>
    <x v="0"/>
    <s v="SI"/>
    <s v="NO"/>
    <s v="NO"/>
    <n v="35"/>
    <n v="0.49258699768124525"/>
    <s v="No"/>
    <n v="0.36977580925139358"/>
    <s v="No"/>
    <n v="353240"/>
    <n v="35"/>
    <x v="0"/>
  </r>
  <r>
    <n v="921"/>
    <s v="HOMBRE"/>
    <n v="5230016"/>
    <x v="0"/>
    <x v="1"/>
    <s v="SI"/>
    <s v="NO"/>
    <s v="NO"/>
    <n v="38"/>
    <n v="0.28086100744983278"/>
    <s v="No"/>
    <n v="0.28862281403573226"/>
    <s v="No"/>
    <n v="5230016"/>
    <n v="38"/>
    <x v="0"/>
  </r>
  <r>
    <n v="922"/>
    <s v="HOMBRE"/>
    <n v="4771721"/>
    <x v="0"/>
    <x v="1"/>
    <s v="SI"/>
    <s v="NO"/>
    <s v="NO"/>
    <n v="20"/>
    <n v="1.5512169488383079"/>
    <s v="No"/>
    <n v="0.29624916635176268"/>
    <s v="No"/>
    <n v="4771721"/>
    <n v="20"/>
    <x v="0"/>
  </r>
  <r>
    <n v="923"/>
    <s v="HOMBRE"/>
    <n v="297046"/>
    <x v="3"/>
    <x v="1"/>
    <s v="SI"/>
    <s v="NO"/>
    <s v="NO"/>
    <n v="35"/>
    <n v="0.49258699768124525"/>
    <s v="No"/>
    <n v="0.37071091707942361"/>
    <s v="No"/>
    <n v="297046"/>
    <n v="35"/>
    <x v="3"/>
  </r>
  <r>
    <n v="924"/>
    <s v="HOMBRE"/>
    <n v="458557"/>
    <x v="3"/>
    <x v="1"/>
    <s v="SI"/>
    <s v="SI"/>
    <s v="SI"/>
    <n v="41"/>
    <n v="6.9135017218420233E-2"/>
    <s v="No"/>
    <n v="0.36802326002683872"/>
    <s v="No"/>
    <n v="458557"/>
    <n v="41"/>
    <x v="3"/>
  </r>
  <r>
    <n v="925"/>
    <s v="HOMBRE"/>
    <n v="639148"/>
    <x v="3"/>
    <x v="1"/>
    <s v="SI"/>
    <s v="NO"/>
    <s v="SI"/>
    <n v="50"/>
    <n v="0.56604295347581735"/>
    <s v="No"/>
    <n v="0.36501809830544912"/>
    <s v="No"/>
    <n v="639148"/>
    <n v="50"/>
    <x v="3"/>
  </r>
  <r>
    <n v="926"/>
    <s v="MUJER"/>
    <n v="299647"/>
    <x v="2"/>
    <x v="1"/>
    <s v="SI"/>
    <s v="NO"/>
    <s v="NO"/>
    <n v="68"/>
    <n v="1.8363988948642924"/>
    <s v="No"/>
    <n v="0.37066763460334595"/>
    <s v="No"/>
    <n v="299647"/>
    <n v="68"/>
    <x v="2"/>
  </r>
  <r>
    <n v="927"/>
    <s v="MUJER"/>
    <n v="9965439"/>
    <x v="0"/>
    <x v="0"/>
    <s v="SI"/>
    <s v="NO"/>
    <s v="NO"/>
    <n v="54"/>
    <n v="0.84834427378436728"/>
    <s v="No"/>
    <n v="0.20982203252287779"/>
    <s v="No"/>
    <n v="9965439"/>
    <n v="54"/>
    <x v="0"/>
  </r>
  <r>
    <n v="928"/>
    <s v="HOMBRE"/>
    <n v="355000"/>
    <x v="0"/>
    <x v="1"/>
    <s v="SI"/>
    <s v="NO"/>
    <s v="NO"/>
    <n v="60"/>
    <n v="1.2717962542471923"/>
    <s v="No"/>
    <n v="0.36974652160898813"/>
    <s v="No"/>
    <n v="355000"/>
    <n v="60"/>
    <x v="0"/>
  </r>
  <r>
    <n v="929"/>
    <s v="MUJER"/>
    <n v="319590"/>
    <x v="0"/>
    <x v="1"/>
    <s v="SI"/>
    <s v="NO"/>
    <s v="NO"/>
    <n v="35"/>
    <n v="0.49258699768124525"/>
    <s v="No"/>
    <n v="0.37033576900533899"/>
    <s v="No"/>
    <n v="319590"/>
    <n v="35"/>
    <x v="0"/>
  </r>
  <r>
    <n v="930"/>
    <s v="MUJER"/>
    <n v="74000"/>
    <x v="0"/>
    <x v="1"/>
    <s v="SI"/>
    <s v="NO"/>
    <s v="NO"/>
    <n v="34"/>
    <n v="0.56316232775838282"/>
    <s v="No"/>
    <n v="0.37442255997031554"/>
    <s v="No"/>
    <n v="74000"/>
    <n v="34"/>
    <x v="0"/>
  </r>
  <r>
    <n v="931"/>
    <s v="HOMBRE"/>
    <n v="44254673"/>
    <x v="0"/>
    <x v="1"/>
    <s v="SI"/>
    <s v="NO"/>
    <s v="NO"/>
    <n v="40"/>
    <n v="0.13971034729555773"/>
    <s v="No"/>
    <n v="0.36077502642563469"/>
    <s v="No"/>
    <n v="44254673"/>
    <n v="40"/>
    <x v="0"/>
  </r>
  <r>
    <n v="932"/>
    <s v="HOMBRE"/>
    <n v="1249086"/>
    <x v="1"/>
    <x v="0"/>
    <s v="SI"/>
    <s v="NO"/>
    <s v="NO"/>
    <n v="73"/>
    <n v="2.1892755452499797"/>
    <s v="Sí"/>
    <n v="0.35486829942277537"/>
    <s v="No"/>
    <n v="1249086"/>
    <n v="73"/>
    <x v="1"/>
  </r>
  <r>
    <n v="933"/>
    <s v="HOMBRE"/>
    <n v="505000"/>
    <x v="0"/>
    <x v="1"/>
    <s v="SI"/>
    <s v="NO"/>
    <s v="NO"/>
    <n v="21"/>
    <n v="1.4806416187611704"/>
    <s v="No"/>
    <n v="0.36725041572215855"/>
    <s v="No"/>
    <n v="505000"/>
    <n v="21"/>
    <x v="0"/>
  </r>
  <r>
    <n v="934"/>
    <s v="HOMBRE"/>
    <n v="2471797"/>
    <x v="1"/>
    <x v="0"/>
    <s v="SI"/>
    <s v="NO"/>
    <s v="NO"/>
    <n v="78"/>
    <n v="2.5421521956356674"/>
    <s v="Sí"/>
    <n v="0.33452152525616685"/>
    <s v="No"/>
    <n v="2471797"/>
    <n v="78"/>
    <x v="1"/>
  </r>
  <r>
    <n v="935"/>
    <s v="MUJER"/>
    <n v="146600"/>
    <x v="0"/>
    <x v="1"/>
    <s v="SI"/>
    <s v="NO"/>
    <s v="NO"/>
    <n v="36"/>
    <n v="0.42201166760410774"/>
    <s v="No"/>
    <n v="0.37321444472109"/>
    <s v="No"/>
    <n v="146600"/>
    <n v="36"/>
    <x v="0"/>
  </r>
  <r>
    <n v="936"/>
    <s v="MUJER"/>
    <n v="30093262"/>
    <x v="0"/>
    <x v="1"/>
    <s v="SI"/>
    <s v="NO"/>
    <s v="NO"/>
    <n v="52"/>
    <n v="0.70719361363009237"/>
    <s v="No"/>
    <n v="0.12511915067288054"/>
    <s v="No"/>
    <n v="30093262"/>
    <n v="52"/>
    <x v="0"/>
  </r>
  <r>
    <n v="937"/>
    <s v="HOMBRE"/>
    <n v="275000"/>
    <x v="0"/>
    <x v="1"/>
    <s v="SI"/>
    <s v="NO"/>
    <s v="NO"/>
    <n v="42"/>
    <n v="1.4403128587172659E-3"/>
    <s v="No"/>
    <n v="0.3710777780819639"/>
    <s v="No"/>
    <n v="275000"/>
    <n v="42"/>
    <x v="0"/>
  </r>
  <r>
    <n v="938"/>
    <s v="HOMBRE"/>
    <n v="515165"/>
    <x v="0"/>
    <x v="1"/>
    <s v="SI"/>
    <s v="NO"/>
    <s v="NO"/>
    <n v="46"/>
    <n v="0.2837416331672673"/>
    <s v="No"/>
    <n v="0.36708126294656107"/>
    <s v="No"/>
    <n v="515165"/>
    <n v="46"/>
    <x v="0"/>
  </r>
  <r>
    <n v="939"/>
    <s v="MUJER"/>
    <n v="297046"/>
    <x v="2"/>
    <x v="1"/>
    <s v="SI"/>
    <s v="NO"/>
    <s v="NO"/>
    <n v="56"/>
    <n v="0.9894949339386423"/>
    <s v="No"/>
    <n v="0.37071091707942361"/>
    <s v="No"/>
    <n v="297046"/>
    <n v="56"/>
    <x v="2"/>
  </r>
  <r>
    <n v="940"/>
    <s v="MUJER"/>
    <n v="12052625"/>
    <x v="0"/>
    <x v="0"/>
    <s v="SI"/>
    <s v="NO"/>
    <s v="NO"/>
    <n v="31"/>
    <n v="0.77488831798979529"/>
    <s v="No"/>
    <n v="0.17508978411282261"/>
    <s v="No"/>
    <n v="12052625"/>
    <n v="31"/>
    <x v="0"/>
  </r>
  <r>
    <n v="941"/>
    <s v="HOMBRE"/>
    <n v="15780466"/>
    <x v="0"/>
    <x v="1"/>
    <s v="SI"/>
    <s v="NO"/>
    <s v="NO"/>
    <n v="35"/>
    <n v="0.49258699768124525"/>
    <s v="No"/>
    <n v="0.11305587834439157"/>
    <s v="No"/>
    <n v="15780466"/>
    <n v="35"/>
    <x v="0"/>
  </r>
  <r>
    <n v="942"/>
    <s v="MUJER"/>
    <n v="27167309"/>
    <x v="0"/>
    <x v="1"/>
    <s v="SI"/>
    <s v="NO"/>
    <s v="NO"/>
    <n v="24"/>
    <n v="1.2689156285297578"/>
    <s v="No"/>
    <n v="7.6429227286969478E-2"/>
    <s v="No"/>
    <n v="27167309"/>
    <n v="24"/>
    <x v="0"/>
  </r>
  <r>
    <n v="943"/>
    <s v="HOMBRE"/>
    <n v="297050"/>
    <x v="2"/>
    <x v="1"/>
    <s v="SI"/>
    <s v="NO"/>
    <s v="NO"/>
    <n v="46"/>
    <n v="0.2837416331672673"/>
    <s v="No"/>
    <n v="0.37071085051659991"/>
    <s v="No"/>
    <n v="297050"/>
    <n v="46"/>
    <x v="2"/>
  </r>
  <r>
    <n v="944"/>
    <s v="MUJER"/>
    <n v="691550"/>
    <x v="0"/>
    <x v="1"/>
    <s v="SI"/>
    <s v="NO"/>
    <s v="SI"/>
    <n v="43"/>
    <n v="7.2015642935854773E-2"/>
    <s v="No"/>
    <n v="0.36414609203423814"/>
    <s v="No"/>
    <n v="691550"/>
    <n v="43"/>
    <x v="0"/>
  </r>
  <r>
    <n v="945"/>
    <s v="MUJER"/>
    <n v="322474"/>
    <x v="2"/>
    <x v="1"/>
    <s v="SI"/>
    <s v="NO"/>
    <s v="NO"/>
    <n v="28"/>
    <n v="0.98661430822120777"/>
    <s v="No"/>
    <n v="0.37028777720948824"/>
    <s v="No"/>
    <n v="322474"/>
    <n v="28"/>
    <x v="2"/>
  </r>
  <r>
    <n v="946"/>
    <s v="HOMBRE"/>
    <n v="540083"/>
    <x v="3"/>
    <x v="1"/>
    <s v="SI"/>
    <s v="NO"/>
    <s v="SI"/>
    <n v="60"/>
    <n v="1.2717962542471923"/>
    <s v="No"/>
    <n v="0.3666666098366409"/>
    <s v="No"/>
    <n v="540083"/>
    <n v="60"/>
    <x v="3"/>
  </r>
  <r>
    <n v="947"/>
    <s v="MUJER"/>
    <n v="291108"/>
    <x v="0"/>
    <x v="1"/>
    <s v="SI"/>
    <s v="SI"/>
    <s v="NO"/>
    <n v="40"/>
    <n v="0.13971034729555773"/>
    <s v="No"/>
    <n v="0.37080972959113023"/>
    <s v="No"/>
    <n v="291108"/>
    <n v="40"/>
    <x v="0"/>
  </r>
  <r>
    <n v="948"/>
    <s v="MUJER"/>
    <n v="5574495"/>
    <x v="0"/>
    <x v="0"/>
    <s v="SI"/>
    <s v="NO"/>
    <s v="NO"/>
    <n v="36"/>
    <n v="0.42201166760410774"/>
    <s v="No"/>
    <n v="0.2828904403038045"/>
    <s v="No"/>
    <n v="5574495"/>
    <n v="36"/>
    <x v="0"/>
  </r>
  <r>
    <n v="949"/>
    <s v="HOMBRE"/>
    <n v="682612"/>
    <x v="0"/>
    <x v="1"/>
    <s v="SI"/>
    <s v="NO"/>
    <s v="NO"/>
    <n v="31"/>
    <n v="0.77488831798979529"/>
    <s v="No"/>
    <n v="0.36429482666368135"/>
    <s v="No"/>
    <n v="682612"/>
    <n v="31"/>
    <x v="0"/>
  </r>
  <r>
    <n v="950"/>
    <s v="MUJER"/>
    <n v="359550"/>
    <x v="0"/>
    <x v="1"/>
    <s v="SI"/>
    <s v="NO"/>
    <s v="NO"/>
    <n v="54"/>
    <n v="0.84834427378436728"/>
    <s v="No"/>
    <n v="0.3696708063970876"/>
    <s v="No"/>
    <n v="359550"/>
    <n v="54"/>
    <x v="0"/>
  </r>
  <r>
    <n v="951"/>
    <s v="MUJER"/>
    <n v="44488615"/>
    <x v="0"/>
    <x v="1"/>
    <s v="SI"/>
    <s v="NO"/>
    <s v="NO"/>
    <n v="43"/>
    <n v="7.2015642935854773E-2"/>
    <s v="No"/>
    <n v="0.36466798644814591"/>
    <s v="No"/>
    <n v="44488615"/>
    <n v="43"/>
    <x v="0"/>
  </r>
  <r>
    <n v="952"/>
    <s v="HOMBRE"/>
    <n v="102737502"/>
    <x v="1"/>
    <x v="0"/>
    <s v="SI"/>
    <s v="NO"/>
    <s v="NO"/>
    <n v="65"/>
    <n v="1.6246729046328798"/>
    <s v="No"/>
    <n v="1.333970584727951"/>
    <s v="No"/>
    <n v="102737502"/>
    <n v="65"/>
    <x v="1"/>
  </r>
  <r>
    <n v="953"/>
    <s v="HOMBRE"/>
    <n v="297046"/>
    <x v="2"/>
    <x v="1"/>
    <s v="SI"/>
    <s v="NO"/>
    <s v="NO"/>
    <n v="24"/>
    <n v="1.2689156285297578"/>
    <s v="No"/>
    <n v="0.37071091707942361"/>
    <s v="No"/>
    <n v="297046"/>
    <n v="24"/>
    <x v="2"/>
  </r>
  <r>
    <n v="954"/>
    <s v="HOMBRE"/>
    <n v="26683125"/>
    <x v="0"/>
    <x v="1"/>
    <s v="SI"/>
    <s v="NO"/>
    <s v="NO"/>
    <n v="21"/>
    <n v="1.4806416187611704"/>
    <s v="No"/>
    <n v="6.8372063735578192E-2"/>
    <s v="No"/>
    <n v="26683125"/>
    <n v="21"/>
    <x v="0"/>
  </r>
  <r>
    <n v="955"/>
    <s v="HOMBRE"/>
    <n v="9436842"/>
    <x v="0"/>
    <x v="0"/>
    <s v="SI"/>
    <s v="NO"/>
    <s v="NO"/>
    <n v="39"/>
    <n v="0.21028567737269524"/>
    <s v="No"/>
    <n v="0.21861825974594748"/>
    <s v="No"/>
    <n v="9436842"/>
    <n v="39"/>
    <x v="0"/>
  </r>
  <r>
    <n v="956"/>
    <s v="HOMBRE"/>
    <n v="814208"/>
    <x v="3"/>
    <x v="1"/>
    <s v="SI"/>
    <s v="NO"/>
    <s v="NO"/>
    <n v="49"/>
    <n v="0.49546762339867978"/>
    <s v="No"/>
    <n v="0.36210497632845989"/>
    <s v="No"/>
    <n v="814208"/>
    <n v="49"/>
    <x v="3"/>
  </r>
  <r>
    <n v="957"/>
    <s v="HOMBRE"/>
    <n v="298155"/>
    <x v="3"/>
    <x v="1"/>
    <s v="SI"/>
    <s v="NO"/>
    <s v="NO"/>
    <n v="63"/>
    <n v="1.4835222444786049"/>
    <s v="No"/>
    <n v="0.37069246253656696"/>
    <s v="No"/>
    <n v="298155"/>
    <n v="63"/>
    <x v="3"/>
  </r>
  <r>
    <n v="958"/>
    <s v="MUJER"/>
    <n v="110258395"/>
    <x v="0"/>
    <x v="1"/>
    <s v="SI"/>
    <s v="NO"/>
    <s v="NO"/>
    <n v="36"/>
    <n v="0.42201166760410774"/>
    <s v="No"/>
    <n v="1.4591235533380535"/>
    <s v="No"/>
    <n v="110258395"/>
    <n v="36"/>
    <x v="0"/>
  </r>
  <r>
    <n v="959"/>
    <s v="HOMBRE"/>
    <n v="326749"/>
    <x v="2"/>
    <x v="1"/>
    <s v="SI"/>
    <s v="NO"/>
    <s v="NO"/>
    <n v="47"/>
    <n v="0.35431696324440481"/>
    <s v="No"/>
    <n v="0.37021663819171358"/>
    <s v="No"/>
    <n v="326749"/>
    <n v="47"/>
    <x v="2"/>
  </r>
  <r>
    <n v="960"/>
    <s v="HOMBRE"/>
    <n v="419576"/>
    <x v="3"/>
    <x v="1"/>
    <s v="SI"/>
    <s v="NO"/>
    <s v="NO"/>
    <n v="59"/>
    <n v="1.2012209241700549"/>
    <s v="No"/>
    <n v="0.36867193138400206"/>
    <s v="No"/>
    <n v="419576"/>
    <n v="59"/>
    <x v="3"/>
  </r>
  <r>
    <n v="961"/>
    <s v="MUJER"/>
    <n v="182805675"/>
    <x v="0"/>
    <x v="1"/>
    <s v="SI"/>
    <s v="NO"/>
    <s v="NO"/>
    <n v="40"/>
    <n v="0.13971034729555773"/>
    <s v="No"/>
    <n v="2.6663615045478775"/>
    <s v="Sí"/>
    <n v="182805675"/>
    <n v="40"/>
    <x v="0"/>
  </r>
  <r>
    <n v="962"/>
    <s v="HOMBRE"/>
    <n v="133578414"/>
    <x v="0"/>
    <x v="1"/>
    <s v="SI"/>
    <s v="NO"/>
    <s v="NO"/>
    <n v="36"/>
    <n v="0.42201166760410774"/>
    <s v="No"/>
    <n v="1.8471851313839041"/>
    <s v="No"/>
    <n v="133578414"/>
    <n v="36"/>
    <x v="0"/>
  </r>
  <r>
    <n v="963"/>
    <s v="HOMBRE"/>
    <n v="302470"/>
    <x v="2"/>
    <x v="1"/>
    <s v="SI"/>
    <s v="NO"/>
    <s v="NO"/>
    <n v="43"/>
    <n v="7.2015642935854773E-2"/>
    <s v="No"/>
    <n v="0.37062065789055582"/>
    <s v="No"/>
    <n v="302470"/>
    <n v="43"/>
    <x v="2"/>
  </r>
  <r>
    <n v="964"/>
    <s v="MUJER"/>
    <n v="538365"/>
    <x v="1"/>
    <x v="0"/>
    <s v="SI"/>
    <s v="NO"/>
    <s v="NO"/>
    <n v="71"/>
    <n v="2.0481248850957048"/>
    <s v="Sí"/>
    <n v="0.36669519856939808"/>
    <s v="No"/>
    <n v="538365"/>
    <n v="71"/>
    <x v="1"/>
  </r>
  <r>
    <n v="965"/>
    <s v="MUJER"/>
    <n v="38342024"/>
    <x v="0"/>
    <x v="1"/>
    <s v="SI"/>
    <s v="NO"/>
    <s v="NO"/>
    <n v="23"/>
    <n v="1.3394909586068953"/>
    <s v="No"/>
    <n v="0.26238437325458797"/>
    <s v="No"/>
    <n v="38342024"/>
    <n v="23"/>
    <x v="0"/>
  </r>
  <r>
    <n v="966"/>
    <s v="MUJER"/>
    <n v="2385230"/>
    <x v="0"/>
    <x v="1"/>
    <s v="SI"/>
    <s v="NO"/>
    <s v="NO"/>
    <n v="61"/>
    <n v="1.3423715843243298"/>
    <s v="No"/>
    <n v="0.33596206124486805"/>
    <s v="No"/>
    <n v="2385230"/>
    <n v="61"/>
    <x v="0"/>
  </r>
  <r>
    <n v="967"/>
    <s v="MUJER"/>
    <n v="300018"/>
    <x v="2"/>
    <x v="1"/>
    <s v="SI"/>
    <s v="NO"/>
    <s v="NO"/>
    <n v="47"/>
    <n v="0.35431696324440481"/>
    <s v="No"/>
    <n v="0.37066146090145252"/>
    <s v="No"/>
    <n v="300018"/>
    <n v="47"/>
    <x v="2"/>
  </r>
  <r>
    <n v="968"/>
    <s v="MUJER"/>
    <n v="3091001"/>
    <x v="0"/>
    <x v="1"/>
    <s v="SI"/>
    <s v="NO"/>
    <s v="NO"/>
    <n v="20"/>
    <n v="1.5512169488383079"/>
    <s v="No"/>
    <n v="0.32421753359251071"/>
    <s v="No"/>
    <n v="3091001"/>
    <n v="20"/>
    <x v="0"/>
  </r>
  <r>
    <n v="969"/>
    <s v="HOMBRE"/>
    <n v="300000"/>
    <x v="0"/>
    <x v="1"/>
    <s v="SI"/>
    <s v="NO"/>
    <s v="NO"/>
    <n v="60"/>
    <n v="1.2717962542471923"/>
    <s v="No"/>
    <n v="0.37066176043415894"/>
    <s v="No"/>
    <n v="300000"/>
    <n v="60"/>
    <x v="0"/>
  </r>
  <r>
    <n v="970"/>
    <s v="HOMBRE"/>
    <n v="420000"/>
    <x v="0"/>
    <x v="1"/>
    <s v="SI"/>
    <s v="NO"/>
    <s v="NO"/>
    <n v="25"/>
    <n v="1.1983402984526204"/>
    <s v="No"/>
    <n v="0.36866487572469531"/>
    <s v="No"/>
    <n v="420000"/>
    <n v="25"/>
    <x v="0"/>
  </r>
  <r>
    <n v="971"/>
    <s v="HOMBRE"/>
    <n v="13269888"/>
    <x v="0"/>
    <x v="0"/>
    <s v="SI"/>
    <s v="NO"/>
    <s v="NO"/>
    <n v="38"/>
    <n v="0.28086100744983278"/>
    <s v="No"/>
    <n v="0.15483366851202374"/>
    <s v="No"/>
    <n v="13269888"/>
    <n v="38"/>
    <x v="0"/>
  </r>
  <r>
    <n v="972"/>
    <s v="HOMBRE"/>
    <n v="405798"/>
    <x v="3"/>
    <x v="1"/>
    <s v="SI"/>
    <s v="NO"/>
    <s v="SI"/>
    <n v="60"/>
    <n v="1.2717962542471923"/>
    <s v="No"/>
    <n v="0.3689012070300603"/>
    <s v="No"/>
    <n v="405798"/>
    <n v="60"/>
    <x v="3"/>
  </r>
  <r>
    <n v="973"/>
    <s v="MUJER"/>
    <n v="299647"/>
    <x v="2"/>
    <x v="1"/>
    <s v="SI"/>
    <s v="NO"/>
    <s v="NO"/>
    <n v="40"/>
    <n v="0.13971034729555773"/>
    <s v="No"/>
    <n v="0.37066763460334595"/>
    <s v="No"/>
    <n v="299647"/>
    <n v="40"/>
    <x v="2"/>
  </r>
  <r>
    <n v="974"/>
    <s v="MUJER"/>
    <n v="837414"/>
    <x v="3"/>
    <x v="1"/>
    <s v="SI"/>
    <s v="NO"/>
    <s v="NO"/>
    <n v="65"/>
    <n v="1.6246729046328798"/>
    <s v="No"/>
    <n v="0.36171881210706142"/>
    <s v="No"/>
    <n v="837414"/>
    <n v="65"/>
    <x v="3"/>
  </r>
  <r>
    <n v="975"/>
    <s v="HOMBRE"/>
    <n v="32911993"/>
    <x v="0"/>
    <x v="1"/>
    <s v="SI"/>
    <s v="NO"/>
    <s v="NO"/>
    <n v="28"/>
    <n v="0.98661430822120777"/>
    <s v="No"/>
    <n v="0.17202482428947399"/>
    <s v="No"/>
    <n v="32911993"/>
    <n v="28"/>
    <x v="0"/>
  </r>
  <r>
    <n v="976"/>
    <s v="HOMBRE"/>
    <n v="9664672"/>
    <x v="0"/>
    <x v="1"/>
    <s v="SI"/>
    <s v="SI"/>
    <s v="NO"/>
    <n v="29"/>
    <n v="0.91603897814407031"/>
    <s v="No"/>
    <n v="0.21482700771797159"/>
    <s v="No"/>
    <n v="9664672"/>
    <n v="29"/>
    <x v="0"/>
  </r>
  <r>
    <n v="977"/>
    <s v="MUJER"/>
    <n v="4247474"/>
    <x v="0"/>
    <x v="1"/>
    <s v="SI"/>
    <s v="NO"/>
    <s v="NO"/>
    <n v="49"/>
    <n v="0.49546762339867978"/>
    <s v="No"/>
    <n v="0.3049730065041143"/>
    <s v="No"/>
    <n v="4247474"/>
    <n v="49"/>
    <x v="0"/>
  </r>
  <r>
    <n v="978"/>
    <s v="MUJER"/>
    <n v="951165"/>
    <x v="1"/>
    <x v="0"/>
    <s v="SI"/>
    <s v="NO"/>
    <s v="NO"/>
    <n v="69"/>
    <n v="1.9069742249414299"/>
    <s v="No"/>
    <n v="0.3598259151688431"/>
    <s v="No"/>
    <n v="951165"/>
    <n v="69"/>
    <x v="1"/>
  </r>
  <r>
    <n v="979"/>
    <s v="HOMBRE"/>
    <n v="48056024"/>
    <x v="0"/>
    <x v="1"/>
    <s v="SI"/>
    <s v="NO"/>
    <s v="NO"/>
    <n v="25"/>
    <n v="1.1983402984526204"/>
    <s v="No"/>
    <n v="0.42403219048567131"/>
    <s v="No"/>
    <n v="48056024"/>
    <n v="25"/>
    <x v="0"/>
  </r>
  <r>
    <n v="980"/>
    <s v="MUJER"/>
    <n v="1713724"/>
    <x v="1"/>
    <x v="0"/>
    <s v="SI"/>
    <s v="NO"/>
    <s v="NO"/>
    <n v="63"/>
    <n v="1.4835222444786049"/>
    <s v="No"/>
    <n v="0.3471363951091439"/>
    <s v="No"/>
    <n v="1713724"/>
    <n v="63"/>
    <x v="1"/>
  </r>
  <r>
    <n v="981"/>
    <s v="HOMBRE"/>
    <n v="8486917"/>
    <x v="0"/>
    <x v="1"/>
    <s v="SI"/>
    <s v="NO"/>
    <s v="NO"/>
    <n v="49"/>
    <n v="0.49546762339867978"/>
    <s v="No"/>
    <n v="0.23442568230959138"/>
    <s v="No"/>
    <n v="8486917"/>
    <n v="49"/>
    <x v="0"/>
  </r>
  <r>
    <n v="982"/>
    <s v="MUJER"/>
    <n v="297046"/>
    <x v="2"/>
    <x v="1"/>
    <s v="SI"/>
    <s v="SI"/>
    <s v="NO"/>
    <n v="51"/>
    <n v="0.6366182835529548"/>
    <s v="No"/>
    <n v="0.37071091707942361"/>
    <s v="No"/>
    <n v="297046"/>
    <n v="51"/>
    <x v="2"/>
  </r>
  <r>
    <n v="983"/>
    <s v="HOMBRE"/>
    <n v="27803099"/>
    <x v="4"/>
    <x v="1"/>
    <s v="SI"/>
    <s v="NO"/>
    <s v="NO"/>
    <n v="30"/>
    <n v="0.84546364806693275"/>
    <s v="No"/>
    <n v="8.7009221698885322E-2"/>
    <s v="No"/>
    <n v="27803099"/>
    <n v="30"/>
    <x v="4"/>
  </r>
  <r>
    <n v="984"/>
    <s v="MUJER"/>
    <n v="297045"/>
    <x v="2"/>
    <x v="1"/>
    <s v="SI"/>
    <s v="NO"/>
    <s v="NO"/>
    <n v="59"/>
    <n v="1.2012209241700549"/>
    <s v="No"/>
    <n v="0.37071093372012948"/>
    <s v="No"/>
    <n v="297045"/>
    <n v="59"/>
    <x v="2"/>
  </r>
  <r>
    <n v="985"/>
    <s v="MUJER"/>
    <n v="2979735"/>
    <x v="0"/>
    <x v="0"/>
    <s v="SI"/>
    <s v="NO"/>
    <s v="SI"/>
    <n v="42"/>
    <n v="1.4403128587172659E-3"/>
    <s v="No"/>
    <n v="0.32606907837653726"/>
    <s v="No"/>
    <n v="2979735"/>
    <n v="42"/>
    <x v="0"/>
  </r>
  <r>
    <n v="986"/>
    <s v="MUJER"/>
    <n v="107934994"/>
    <x v="0"/>
    <x v="1"/>
    <s v="SI"/>
    <s v="NO"/>
    <s v="NO"/>
    <n v="37"/>
    <n v="0.35143633752697023"/>
    <s v="No"/>
    <n v="1.4204605205809486"/>
    <s v="No"/>
    <n v="107934994"/>
    <n v="37"/>
    <x v="0"/>
  </r>
  <r>
    <n v="987"/>
    <s v="HOMBRE"/>
    <n v="326749"/>
    <x v="2"/>
    <x v="1"/>
    <s v="SI"/>
    <s v="NO"/>
    <s v="NO"/>
    <n v="56"/>
    <n v="0.9894949339386423"/>
    <s v="No"/>
    <n v="0.37021663819171358"/>
    <s v="No"/>
    <n v="326749"/>
    <n v="56"/>
    <x v="2"/>
  </r>
  <r>
    <n v="988"/>
    <s v="HOMBRE"/>
    <n v="37792685"/>
    <x v="0"/>
    <x v="1"/>
    <s v="SI"/>
    <s v="NO"/>
    <s v="NO"/>
    <n v="22"/>
    <n v="1.4100662886840327"/>
    <s v="No"/>
    <n v="0.25324298450948746"/>
    <s v="No"/>
    <n v="37792685"/>
    <n v="22"/>
    <x v="0"/>
  </r>
  <r>
    <n v="989"/>
    <s v="HOMBRE"/>
    <n v="324047"/>
    <x v="3"/>
    <x v="1"/>
    <s v="SI"/>
    <s v="SI"/>
    <s v="SI"/>
    <n v="48"/>
    <n v="0.42489229332154227"/>
    <s v="No"/>
    <n v="0.37026160137908837"/>
    <s v="No"/>
    <n v="324047"/>
    <n v="48"/>
    <x v="3"/>
  </r>
  <r>
    <n v="990"/>
    <s v="MUJER"/>
    <n v="374301"/>
    <x v="3"/>
    <x v="1"/>
    <s v="SI"/>
    <s v="NO"/>
    <s v="NO"/>
    <n v="33"/>
    <n v="0.63373765783552027"/>
    <s v="No"/>
    <n v="0.36942533934417682"/>
    <s v="No"/>
    <n v="374301"/>
    <n v="33"/>
    <x v="3"/>
  </r>
  <r>
    <n v="991"/>
    <s v="MUJER"/>
    <n v="2979738"/>
    <x v="0"/>
    <x v="0"/>
    <s v="SI"/>
    <s v="NO"/>
    <s v="NO"/>
    <n v="60"/>
    <n v="1.2717962542471923"/>
    <s v="No"/>
    <n v="0.32606902845441954"/>
    <s v="No"/>
    <n v="2979738"/>
    <n v="60"/>
    <x v="0"/>
  </r>
  <r>
    <n v="992"/>
    <s v="MUJER"/>
    <n v="355060"/>
    <x v="0"/>
    <x v="1"/>
    <s v="SI"/>
    <s v="SI"/>
    <s v="NO"/>
    <n v="56"/>
    <n v="0.9894949339386423"/>
    <s v="No"/>
    <n v="0.36974552316663339"/>
    <s v="No"/>
    <n v="355060"/>
    <n v="56"/>
    <x v="0"/>
  </r>
  <r>
    <n v="993"/>
    <s v="MUJER"/>
    <n v="297046"/>
    <x v="2"/>
    <x v="1"/>
    <s v="SI"/>
    <s v="NO"/>
    <s v="NO"/>
    <n v="19"/>
    <n v="1.6217922789154453"/>
    <s v="No"/>
    <n v="0.37071091707942361"/>
    <s v="No"/>
    <n v="297046"/>
    <n v="19"/>
    <x v="2"/>
  </r>
  <r>
    <n v="994"/>
    <s v="HOMBRE"/>
    <n v="342028"/>
    <x v="0"/>
    <x v="1"/>
    <s v="SI"/>
    <s v="NO"/>
    <s v="NO"/>
    <n v="35"/>
    <n v="0.49258699768124525"/>
    <s v="No"/>
    <n v="0.36996238484608113"/>
    <s v="No"/>
    <n v="342028"/>
    <n v="35"/>
    <x v="0"/>
  </r>
  <r>
    <n v="995"/>
    <s v="HOMBRE"/>
    <n v="343836"/>
    <x v="3"/>
    <x v="1"/>
    <s v="SI"/>
    <s v="SI"/>
    <s v="SI"/>
    <n v="40"/>
    <n v="0.13971034729555773"/>
    <s v="No"/>
    <n v="0.36993229844979186"/>
    <s v="No"/>
    <n v="343836"/>
    <n v="40"/>
    <x v="3"/>
  </r>
  <r>
    <n v="996"/>
    <s v="HOMBRE"/>
    <n v="43059165"/>
    <x v="0"/>
    <x v="1"/>
    <s v="SI"/>
    <s v="NO"/>
    <s v="NO"/>
    <n v="23"/>
    <n v="1.3394909586068953"/>
    <s v="No"/>
    <n v="0.34088092938195563"/>
    <s v="No"/>
    <n v="43059165"/>
    <n v="23"/>
    <x v="0"/>
  </r>
  <r>
    <n v="997"/>
    <s v="HOMBRE"/>
    <n v="97907994"/>
    <x v="0"/>
    <x v="0"/>
    <s v="SI"/>
    <s v="NO"/>
    <s v="NO"/>
    <n v="48"/>
    <n v="0.42489229332154227"/>
    <s v="No"/>
    <n v="1.2536041623993475"/>
    <s v="No"/>
    <n v="97907994"/>
    <n v="48"/>
    <x v="0"/>
  </r>
  <r>
    <n v="998"/>
    <s v="MUJER"/>
    <n v="4286627"/>
    <x v="0"/>
    <x v="1"/>
    <s v="SI"/>
    <s v="SI"/>
    <s v="NO"/>
    <n v="45"/>
    <n v="0.21316630309012977"/>
    <s v="No"/>
    <n v="0.30432147294553408"/>
    <s v="No"/>
    <n v="4286627"/>
    <n v="45"/>
    <x v="0"/>
  </r>
  <r>
    <n v="999"/>
    <s v="HOMBRE"/>
    <n v="278030"/>
    <x v="4"/>
    <x v="1"/>
    <s v="SI"/>
    <s v="NO"/>
    <s v="NO"/>
    <n v="62"/>
    <n v="1.4129469144014672"/>
    <s v="No"/>
    <n v="0.37102735674304993"/>
    <s v="No"/>
    <n v="278030"/>
    <n v="62"/>
    <x v="4"/>
  </r>
  <r>
    <n v="1000"/>
    <s v="HOMBRE"/>
    <n v="32474192"/>
    <x v="0"/>
    <x v="1"/>
    <s v="SI"/>
    <s v="SI"/>
    <s v="NO"/>
    <n v="47"/>
    <n v="0.35431696324440481"/>
    <s v="No"/>
    <n v="0.16473950660040818"/>
    <s v="No"/>
    <n v="32474192"/>
    <n v="47"/>
    <x v="0"/>
  </r>
  <r>
    <n v="1001"/>
    <s v="HOMBRE"/>
    <n v="39012811"/>
    <x v="0"/>
    <x v="1"/>
    <s v="SI"/>
    <s v="NO"/>
    <s v="NO"/>
    <n v="30"/>
    <n v="0.84546364806693275"/>
    <s v="No"/>
    <n v="0.27354674245131294"/>
    <s v="No"/>
    <n v="39012811"/>
    <n v="30"/>
    <x v="0"/>
  </r>
  <r>
    <n v="1002"/>
    <s v="HOMBRE"/>
    <n v="713928"/>
    <x v="0"/>
    <x v="1"/>
    <s v="SI"/>
    <s v="SI"/>
    <s v="NO"/>
    <n v="24"/>
    <n v="1.2689156285297578"/>
    <s v="No"/>
    <n v="0.36377370631733502"/>
    <s v="No"/>
    <n v="713928"/>
    <n v="24"/>
    <x v="0"/>
  </r>
  <r>
    <n v="1003"/>
    <s v="HOMBRE"/>
    <n v="1077120"/>
    <x v="0"/>
    <x v="1"/>
    <s v="SI"/>
    <s v="NO"/>
    <s v="NO"/>
    <n v="44"/>
    <n v="0.14259097301299228"/>
    <s v="No"/>
    <n v="0.3577299350556723"/>
    <s v="No"/>
    <n v="1077120"/>
    <n v="44"/>
    <x v="0"/>
  </r>
  <r>
    <n v="1004"/>
    <s v="MUJER"/>
    <n v="43373895"/>
    <x v="0"/>
    <x v="1"/>
    <s v="SI"/>
    <s v="NO"/>
    <s v="NO"/>
    <n v="45"/>
    <n v="0.21316630309012977"/>
    <s v="No"/>
    <n v="0.3461182587537015"/>
    <s v="No"/>
    <n v="43373895"/>
    <n v="45"/>
    <x v="0"/>
  </r>
  <r>
    <n v="1005"/>
    <s v="MUJER"/>
    <n v="17638709"/>
    <x v="1"/>
    <x v="0"/>
    <s v="SI"/>
    <s v="NO"/>
    <s v="NO"/>
    <n v="88"/>
    <n v="3.2479054964070424"/>
    <s v="Sí"/>
    <n v="8.213340306799255E-2"/>
    <s v="No"/>
    <n v="17638709"/>
    <n v="88"/>
    <x v="1"/>
  </r>
  <r>
    <n v="1006"/>
    <s v="HOMBRE"/>
    <n v="278030"/>
    <x v="4"/>
    <x v="1"/>
    <s v="SI"/>
    <s v="NO"/>
    <s v="NO"/>
    <n v="50"/>
    <n v="0.56604295347581735"/>
    <s v="No"/>
    <n v="0.37102735674304993"/>
    <s v="No"/>
    <n v="278030"/>
    <n v="50"/>
    <x v="4"/>
  </r>
  <r>
    <n v="1007"/>
    <s v="MUJER"/>
    <n v="14070342"/>
    <x v="0"/>
    <x v="1"/>
    <s v="SI"/>
    <s v="NO"/>
    <s v="NO"/>
    <n v="31"/>
    <n v="0.77488831798979529"/>
    <s v="No"/>
    <n v="0.14151354890178186"/>
    <s v="No"/>
    <n v="14070342"/>
    <n v="31"/>
    <x v="0"/>
  </r>
  <r>
    <n v="1008"/>
    <s v="HOMBRE"/>
    <n v="165666667"/>
    <x v="0"/>
    <x v="1"/>
    <s v="SI"/>
    <s v="NO"/>
    <s v="NO"/>
    <n v="37"/>
    <n v="0.35143633752697023"/>
    <s v="No"/>
    <n v="2.3811563127930828"/>
    <s v="Sí"/>
    <n v="165666667"/>
    <n v="37"/>
    <x v="0"/>
  </r>
  <r>
    <n v="1009"/>
    <s v="MUJER"/>
    <n v="199161"/>
    <x v="0"/>
    <x v="1"/>
    <s v="SI"/>
    <s v="SI"/>
    <s v="SI"/>
    <n v="54"/>
    <n v="0.84834427378436728"/>
    <s v="No"/>
    <n v="0.37233979257763899"/>
    <s v="No"/>
    <n v="199161"/>
    <n v="54"/>
    <x v="0"/>
  </r>
  <r>
    <n v="1010"/>
    <s v="HOMBRE"/>
    <n v="600473"/>
    <x v="0"/>
    <x v="0"/>
    <s v="SI"/>
    <s v="NO"/>
    <s v="NO"/>
    <n v="32"/>
    <n v="0.70431298791265773"/>
    <s v="No"/>
    <n v="0.36566167760660334"/>
    <s v="No"/>
    <n v="600473"/>
    <n v="32"/>
    <x v="0"/>
  </r>
  <r>
    <n v="1011"/>
    <s v="HOMBRE"/>
    <n v="544648"/>
    <x v="3"/>
    <x v="1"/>
    <s v="SI"/>
    <s v="NO"/>
    <s v="NO"/>
    <n v="39"/>
    <n v="0.21028567737269524"/>
    <s v="No"/>
    <n v="0.36659064501415173"/>
    <s v="No"/>
    <n v="544648"/>
    <n v="39"/>
    <x v="3"/>
  </r>
  <r>
    <n v="1012"/>
    <s v="MUJER"/>
    <n v="75795207"/>
    <x v="0"/>
    <x v="0"/>
    <s v="SI"/>
    <s v="NO"/>
    <s v="NO"/>
    <n v="34"/>
    <n v="0.56316232775838282"/>
    <s v="No"/>
    <n v="0.88563177703329077"/>
    <s v="No"/>
    <n v="75795207"/>
    <n v="34"/>
    <x v="0"/>
  </r>
  <r>
    <n v="1013"/>
    <s v="HOMBRE"/>
    <n v="297045"/>
    <x v="2"/>
    <x v="1"/>
    <s v="SI"/>
    <s v="NO"/>
    <s v="NO"/>
    <n v="60"/>
    <n v="1.2717962542471923"/>
    <s v="No"/>
    <n v="0.37071093372012948"/>
    <s v="No"/>
    <n v="297045"/>
    <n v="60"/>
    <x v="2"/>
  </r>
  <r>
    <n v="1014"/>
    <s v="MUJER"/>
    <n v="514678"/>
    <x v="1"/>
    <x v="0"/>
    <s v="SI"/>
    <s v="NO"/>
    <s v="NO"/>
    <n v="73"/>
    <n v="2.1892755452499797"/>
    <s v="Sí"/>
    <n v="0.36708936697034028"/>
    <s v="No"/>
    <n v="514678"/>
    <n v="73"/>
    <x v="1"/>
  </r>
  <r>
    <n v="1015"/>
    <s v="HOMBRE"/>
    <n v="207840"/>
    <x v="0"/>
    <x v="1"/>
    <s v="SI"/>
    <s v="SI"/>
    <s v="NO"/>
    <n v="41"/>
    <n v="6.9135017218420233E-2"/>
    <s v="No"/>
    <n v="0.37219536789102703"/>
    <s v="No"/>
    <n v="207840"/>
    <n v="41"/>
    <x v="0"/>
  </r>
  <r>
    <n v="1016"/>
    <s v="MUJER"/>
    <n v="592970"/>
    <x v="0"/>
    <x v="0"/>
    <s v="SI"/>
    <s v="NO"/>
    <s v="SI"/>
    <n v="37"/>
    <n v="0.35143633752697023"/>
    <s v="No"/>
    <n v="0.36578653282306256"/>
    <s v="No"/>
    <n v="592970"/>
    <n v="37"/>
    <x v="0"/>
  </r>
  <r>
    <n v="1017"/>
    <s v="HOMBRE"/>
    <n v="418054"/>
    <x v="3"/>
    <x v="1"/>
    <s v="SI"/>
    <s v="NO"/>
    <s v="SI"/>
    <n v="48"/>
    <n v="0.42489229332154227"/>
    <s v="No"/>
    <n v="0.36869725853840041"/>
    <s v="No"/>
    <n v="418054"/>
    <n v="48"/>
    <x v="3"/>
  </r>
  <r>
    <n v="1018"/>
    <s v="HOMBRE"/>
    <n v="140375"/>
    <x v="0"/>
    <x v="1"/>
    <s v="SI"/>
    <s v="NO"/>
    <s v="NO"/>
    <n v="54"/>
    <n v="0.84834427378436728"/>
    <s v="No"/>
    <n v="0.37331803311539341"/>
    <s v="No"/>
    <n v="140375"/>
    <n v="54"/>
    <x v="0"/>
  </r>
  <r>
    <n v="1019"/>
    <s v="MUJER"/>
    <n v="21520897"/>
    <x v="0"/>
    <x v="0"/>
    <s v="SI"/>
    <s v="NO"/>
    <s v="NO"/>
    <n v="42"/>
    <n v="1.4403128587172659E-3"/>
    <s v="No"/>
    <n v="1.7531054264131613E-2"/>
    <s v="No"/>
    <n v="21520897"/>
    <n v="42"/>
    <x v="0"/>
  </r>
  <r>
    <n v="1020"/>
    <s v="MUJER"/>
    <n v="1444541"/>
    <x v="1"/>
    <x v="0"/>
    <s v="SI"/>
    <s v="NO"/>
    <s v="NO"/>
    <n v="69"/>
    <n v="1.9069742249414299"/>
    <s v="No"/>
    <n v="0.35161579024870687"/>
    <s v="No"/>
    <n v="1444541"/>
    <n v="69"/>
    <x v="1"/>
  </r>
  <r>
    <n v="1021"/>
    <s v="HOMBRE"/>
    <n v="326749"/>
    <x v="3"/>
    <x v="1"/>
    <s v="SI"/>
    <s v="NO"/>
    <s v="SI"/>
    <n v="58"/>
    <n v="1.1306455940929174"/>
    <s v="No"/>
    <n v="0.37021663819171358"/>
    <s v="No"/>
    <n v="326749"/>
    <n v="58"/>
    <x v="3"/>
  </r>
  <r>
    <n v="1022"/>
    <s v="HOMBRE"/>
    <n v="46448208"/>
    <x v="0"/>
    <x v="0"/>
    <s v="SI"/>
    <s v="NO"/>
    <s v="NO"/>
    <n v="37"/>
    <n v="0.35143633752697023"/>
    <s v="No"/>
    <n v="0.3972769972687461"/>
    <s v="No"/>
    <n v="46448208"/>
    <n v="37"/>
    <x v="0"/>
  </r>
  <r>
    <n v="1023"/>
    <s v="MUJER"/>
    <n v="51705385"/>
    <x v="0"/>
    <x v="1"/>
    <s v="SI"/>
    <s v="NO"/>
    <s v="SI"/>
    <n v="28"/>
    <n v="0.98661430822120777"/>
    <s v="No"/>
    <n v="0.48476013365411313"/>
    <s v="No"/>
    <n v="51705385"/>
    <n v="28"/>
    <x v="0"/>
  </r>
  <r>
    <n v="1024"/>
    <s v="HOMBRE"/>
    <n v="3692520"/>
    <x v="0"/>
    <x v="1"/>
    <s v="SI"/>
    <s v="NO"/>
    <s v="NO"/>
    <n v="47"/>
    <n v="0.35431696324440481"/>
    <s v="No"/>
    <n v="0.31420783281291176"/>
    <s v="No"/>
    <n v="3692520"/>
    <n v="47"/>
    <x v="0"/>
  </r>
  <r>
    <n v="1025"/>
    <s v="HOMBRE"/>
    <n v="333671"/>
    <x v="0"/>
    <x v="1"/>
    <s v="SI"/>
    <s v="SI"/>
    <s v="NO"/>
    <n v="23"/>
    <n v="1.3394909586068953"/>
    <s v="No"/>
    <n v="0.37010145122538934"/>
    <s v="No"/>
    <n v="333671"/>
    <n v="23"/>
    <x v="0"/>
  </r>
  <r>
    <n v="1026"/>
    <s v="MUJER"/>
    <n v="50457188"/>
    <x v="0"/>
    <x v="1"/>
    <s v="SI"/>
    <s v="NO"/>
    <s v="NO"/>
    <n v="31"/>
    <n v="0.77488831798979529"/>
    <s v="No"/>
    <n v="0.46398925445662637"/>
    <s v="No"/>
    <n v="50457188"/>
    <n v="31"/>
    <x v="0"/>
  </r>
  <r>
    <n v="1027"/>
    <s v="MUJER"/>
    <n v="264120"/>
    <x v="0"/>
    <x v="1"/>
    <s v="SI"/>
    <s v="NO"/>
    <s v="SI"/>
    <n v="32"/>
    <n v="0.70431298791265773"/>
    <s v="No"/>
    <n v="0.37125882896228857"/>
    <s v="No"/>
    <n v="264120"/>
    <n v="32"/>
    <x v="0"/>
  </r>
  <r>
    <n v="1028"/>
    <s v="MUJER"/>
    <n v="76657522"/>
    <x v="1"/>
    <x v="0"/>
    <s v="SI"/>
    <s v="NO"/>
    <s v="NO"/>
    <n v="71"/>
    <n v="2.0481248850957048"/>
    <s v="Sí"/>
    <n v="0.89998130735196702"/>
    <s v="No"/>
    <n v="76657522"/>
    <n v="71"/>
    <x v="1"/>
  </r>
  <r>
    <n v="1029"/>
    <s v="HOMBRE"/>
    <n v="10200068"/>
    <x v="0"/>
    <x v="1"/>
    <s v="SI"/>
    <s v="NO"/>
    <s v="NO"/>
    <n v="30"/>
    <n v="0.84546364806693275"/>
    <s v="No"/>
    <n v="0.20591764033540486"/>
    <s v="No"/>
    <n v="10200068"/>
    <n v="30"/>
    <x v="0"/>
  </r>
  <r>
    <n v="1030"/>
    <s v="HOMBRE"/>
    <n v="701742"/>
    <x v="0"/>
    <x v="0"/>
    <s v="SI"/>
    <s v="NO"/>
    <s v="NO"/>
    <n v="30"/>
    <n v="0.84546364806693275"/>
    <s v="No"/>
    <n v="0.36397648995958104"/>
    <s v="No"/>
    <n v="701742"/>
    <n v="30"/>
    <x v="0"/>
  </r>
  <r>
    <n v="1031"/>
    <s v="HOMBRE"/>
    <n v="320000"/>
    <x v="0"/>
    <x v="1"/>
    <s v="SI"/>
    <s v="SI"/>
    <s v="NO"/>
    <n v="41"/>
    <n v="6.9135017218420233E-2"/>
    <s v="No"/>
    <n v="0.37032894631591501"/>
    <s v="No"/>
    <n v="320000"/>
    <n v="41"/>
    <x v="0"/>
  </r>
  <r>
    <n v="1032"/>
    <s v="HOMBRE"/>
    <n v="134027034"/>
    <x v="0"/>
    <x v="1"/>
    <s v="SI"/>
    <s v="NO"/>
    <s v="NO"/>
    <n v="32"/>
    <n v="0.70431298791265773"/>
    <s v="No"/>
    <n v="1.8546504848702339"/>
    <s v="No"/>
    <n v="134027034"/>
    <n v="32"/>
    <x v="0"/>
  </r>
  <r>
    <n v="1033"/>
    <s v="HOMBRE"/>
    <n v="639148"/>
    <x v="3"/>
    <x v="1"/>
    <s v="SI"/>
    <s v="NO"/>
    <s v="SI"/>
    <n v="73"/>
    <n v="2.1892755452499797"/>
    <s v="Sí"/>
    <n v="0.36501809830544912"/>
    <s v="No"/>
    <n v="639148"/>
    <n v="73"/>
    <x v="3"/>
  </r>
  <r>
    <n v="1034"/>
    <s v="MUJER"/>
    <n v="1790761"/>
    <x v="0"/>
    <x v="0"/>
    <s v="SI"/>
    <s v="NO"/>
    <s v="SI"/>
    <n v="54"/>
    <n v="0.84834427378436728"/>
    <s v="No"/>
    <n v="0.34585444504778595"/>
    <s v="No"/>
    <n v="1790761"/>
    <n v="54"/>
    <x v="0"/>
  </r>
  <r>
    <n v="1035"/>
    <s v="HOMBRE"/>
    <n v="1170360"/>
    <x v="4"/>
    <x v="1"/>
    <s v="SI"/>
    <s v="NO"/>
    <s v="NO"/>
    <n v="61"/>
    <n v="1.3423715843243298"/>
    <s v="No"/>
    <n v="0.35617835563641903"/>
    <s v="No"/>
    <n v="1170360"/>
    <n v="61"/>
    <x v="4"/>
  </r>
  <r>
    <n v="1036"/>
    <s v="MUJER"/>
    <n v="19610625"/>
    <x v="0"/>
    <x v="0"/>
    <s v="SI"/>
    <s v="NO"/>
    <s v="NO"/>
    <n v="38"/>
    <n v="0.28086100744983278"/>
    <s v="No"/>
    <n v="4.9319328828436336E-2"/>
    <s v="No"/>
    <n v="19610625"/>
    <n v="38"/>
    <x v="0"/>
  </r>
  <r>
    <n v="1037"/>
    <s v="MUJER"/>
    <n v="1510021"/>
    <x v="0"/>
    <x v="0"/>
    <s v="SI"/>
    <s v="NO"/>
    <s v="SI"/>
    <n v="46"/>
    <n v="0.2837416331672673"/>
    <s v="No"/>
    <n v="0.3505261568255762"/>
    <s v="No"/>
    <n v="1510021"/>
    <n v="46"/>
    <x v="0"/>
  </r>
  <r>
    <n v="1038"/>
    <s v="HOMBRE"/>
    <n v="297058"/>
    <x v="2"/>
    <x v="1"/>
    <s v="NO"/>
    <s v="NO"/>
    <s v="SI"/>
    <n v="43"/>
    <n v="7.2015642935854773E-2"/>
    <s v="No"/>
    <n v="0.37071071739095263"/>
    <s v="No"/>
    <n v="297058"/>
    <n v="43"/>
    <x v="2"/>
  </r>
  <r>
    <n v="1039"/>
    <s v="MUJER"/>
    <n v="465916"/>
    <x v="0"/>
    <x v="0"/>
    <s v="SI"/>
    <s v="NO"/>
    <s v="NO"/>
    <n v="36"/>
    <n v="0.42201166760410774"/>
    <s v="No"/>
    <n v="0.36790080107203083"/>
    <s v="No"/>
    <n v="465916"/>
    <n v="36"/>
    <x v="0"/>
  </r>
  <r>
    <n v="1040"/>
    <s v="MUJER"/>
    <n v="6327044"/>
    <x v="0"/>
    <x v="0"/>
    <s v="SI"/>
    <s v="NO"/>
    <s v="NO"/>
    <n v="35"/>
    <n v="0.49258699768124525"/>
    <s v="No"/>
    <n v="0.27036749371028646"/>
    <s v="No"/>
    <n v="6327044"/>
    <n v="35"/>
    <x v="0"/>
  </r>
  <r>
    <n v="1041"/>
    <s v="MUJER"/>
    <n v="952206"/>
    <x v="0"/>
    <x v="0"/>
    <s v="SI"/>
    <s v="NO"/>
    <s v="SI"/>
    <n v="57"/>
    <n v="1.0600702640157798"/>
    <s v="No"/>
    <n v="0.35980859219398847"/>
    <s v="No"/>
    <n v="952206"/>
    <n v="57"/>
    <x v="0"/>
  </r>
  <r>
    <n v="1042"/>
    <s v="HOMBRE"/>
    <n v="190299484"/>
    <x v="0"/>
    <x v="0"/>
    <s v="SI"/>
    <s v="NO"/>
    <s v="NO"/>
    <n v="40"/>
    <n v="0.13971034729555773"/>
    <s v="No"/>
    <n v="2.7910637762790538"/>
    <s v="Sí"/>
    <n v="190299484"/>
    <n v="40"/>
    <x v="0"/>
  </r>
  <r>
    <n v="1043"/>
    <s v="MUJER"/>
    <n v="121520699"/>
    <x v="0"/>
    <x v="1"/>
    <s v="SI"/>
    <s v="NO"/>
    <s v="NO"/>
    <n v="36"/>
    <n v="0.42201166760410774"/>
    <s v="No"/>
    <n v="1.6465362420958154"/>
    <s v="No"/>
    <n v="121520699"/>
    <n v="36"/>
    <x v="0"/>
  </r>
  <r>
    <n v="1044"/>
    <s v="MUJER"/>
    <n v="51858468"/>
    <x v="0"/>
    <x v="1"/>
    <s v="SI"/>
    <s v="NO"/>
    <s v="NO"/>
    <n v="19"/>
    <n v="1.6217922789154453"/>
    <s v="No"/>
    <n v="0.48730754283727001"/>
    <s v="No"/>
    <n v="51858468"/>
    <n v="19"/>
    <x v="0"/>
  </r>
  <r>
    <n v="1045"/>
    <s v="MUJER"/>
    <n v="42676725"/>
    <x v="0"/>
    <x v="1"/>
    <s v="SI"/>
    <s v="NO"/>
    <s v="NO"/>
    <n v="27"/>
    <n v="1.0571896382983452"/>
    <s v="No"/>
    <n v="0.33451685781289497"/>
    <s v="No"/>
    <n v="42676725"/>
    <n v="27"/>
    <x v="0"/>
  </r>
  <r>
    <n v="1046"/>
    <s v="HOMBRE"/>
    <n v="32577937"/>
    <x v="0"/>
    <x v="1"/>
    <s v="SI"/>
    <s v="NO"/>
    <s v="NO"/>
    <n v="20"/>
    <n v="1.5512169488383079"/>
    <s v="No"/>
    <n v="0.16646589663526906"/>
    <s v="No"/>
    <n v="32577937"/>
    <n v="20"/>
    <x v="0"/>
  </r>
  <r>
    <n v="1047"/>
    <s v="HOMBRE"/>
    <n v="355776"/>
    <x v="0"/>
    <x v="1"/>
    <s v="SI"/>
    <s v="NO"/>
    <s v="NO"/>
    <n v="22"/>
    <n v="1.4100662886840327"/>
    <s v="No"/>
    <n v="0.36973360842120023"/>
    <s v="No"/>
    <n v="355776"/>
    <n v="22"/>
    <x v="0"/>
  </r>
  <r>
    <n v="1048"/>
    <s v="HOMBRE"/>
    <n v="150000"/>
    <x v="0"/>
    <x v="1"/>
    <s v="SI"/>
    <s v="SI"/>
    <s v="NO"/>
    <n v="31"/>
    <n v="0.77488831798979529"/>
    <s v="No"/>
    <n v="0.37315786632098852"/>
    <s v="No"/>
    <n v="150000"/>
    <n v="31"/>
    <x v="0"/>
  </r>
  <r>
    <n v="1049"/>
    <s v="HOMBRE"/>
    <n v="297429"/>
    <x v="3"/>
    <x v="1"/>
    <s v="SI"/>
    <s v="NO"/>
    <s v="SI"/>
    <n v="28"/>
    <n v="0.98661430822120777"/>
    <s v="No"/>
    <n v="0.3707045436890592"/>
    <s v="No"/>
    <n v="297429"/>
    <n v="28"/>
    <x v="3"/>
  </r>
  <r>
    <n v="1050"/>
    <s v="HOMBRE"/>
    <n v="327400"/>
    <x v="0"/>
    <x v="1"/>
    <s v="SI"/>
    <s v="NO"/>
    <s v="NO"/>
    <n v="27"/>
    <n v="1.0571896382983452"/>
    <s v="No"/>
    <n v="0.37020580509216477"/>
    <s v="No"/>
    <n v="327400"/>
    <n v="27"/>
    <x v="0"/>
  </r>
  <r>
    <n v="1051"/>
    <s v="HOMBRE"/>
    <n v="474222964"/>
    <x v="0"/>
    <x v="1"/>
    <s v="SI"/>
    <s v="NO"/>
    <s v="NO"/>
    <n v="49"/>
    <n v="0.49546762339867978"/>
    <s v="No"/>
    <n v="7.515750908526651"/>
    <s v="Sí"/>
    <n v="474222964"/>
    <n v="49"/>
    <x v="0"/>
  </r>
  <r>
    <n v="1052"/>
    <s v="MUJER"/>
    <n v="396057"/>
    <x v="3"/>
    <x v="1"/>
    <s v="SI"/>
    <s v="NO"/>
    <s v="NO"/>
    <n v="19"/>
    <n v="1.6217922789154453"/>
    <s v="No"/>
    <n v="0.36906330414635102"/>
    <s v="No"/>
    <n v="396057"/>
    <n v="19"/>
    <x v="3"/>
  </r>
  <r>
    <n v="1053"/>
    <s v="HOMBRE"/>
    <n v="14921265"/>
    <x v="0"/>
    <x v="0"/>
    <s v="SI"/>
    <s v="NO"/>
    <s v="NO"/>
    <n v="41"/>
    <n v="6.9135017218420233E-2"/>
    <s v="No"/>
    <n v="0.12735358950485728"/>
    <s v="No"/>
    <n v="14921265"/>
    <n v="41"/>
    <x v="0"/>
  </r>
  <r>
    <n v="1054"/>
    <s v="HOMBRE"/>
    <n v="1301239"/>
    <x v="1"/>
    <x v="0"/>
    <s v="SI"/>
    <s v="NO"/>
    <s v="NO"/>
    <n v="76"/>
    <n v="2.4010015354813925"/>
    <s v="Sí"/>
    <n v="0.35400043668733655"/>
    <s v="No"/>
    <n v="1301239"/>
    <n v="76"/>
    <x v="1"/>
  </r>
  <r>
    <n v="1055"/>
    <s v="MUJER"/>
    <n v="35954427"/>
    <x v="6"/>
    <x v="1"/>
    <s v="SI"/>
    <s v="SI"/>
    <s v="NO"/>
    <n v="26"/>
    <n v="1.1277649683754829"/>
    <s v="No"/>
    <n v="0.22265307374074372"/>
    <s v="No"/>
    <n v="35954427"/>
    <n v="26"/>
    <x v="5"/>
  </r>
  <r>
    <n v="1056"/>
    <s v="MUJER"/>
    <n v="297110"/>
    <x v="3"/>
    <x v="1"/>
    <s v="SI"/>
    <s v="NO"/>
    <s v="SI"/>
    <n v="35"/>
    <n v="0.49258699768124525"/>
    <s v="No"/>
    <n v="0.37070985207424523"/>
    <s v="No"/>
    <n v="297110"/>
    <n v="35"/>
    <x v="3"/>
  </r>
  <r>
    <n v="1057"/>
    <s v="MUJER"/>
    <n v="46750065"/>
    <x v="0"/>
    <x v="1"/>
    <s v="SI"/>
    <s v="NO"/>
    <s v="NO"/>
    <n v="43"/>
    <n v="7.2015642935854773E-2"/>
    <s v="No"/>
    <n v="0.40230011083328421"/>
    <s v="No"/>
    <n v="46750065"/>
    <n v="43"/>
    <x v="0"/>
  </r>
  <r>
    <n v="1058"/>
    <s v="MUJER"/>
    <n v="297046"/>
    <x v="2"/>
    <x v="1"/>
    <s v="SI"/>
    <s v="SI"/>
    <s v="NO"/>
    <n v="22"/>
    <n v="1.4100662886840327"/>
    <s v="No"/>
    <n v="0.37071091707942361"/>
    <s v="No"/>
    <n v="297046"/>
    <n v="22"/>
    <x v="2"/>
  </r>
  <r>
    <n v="1059"/>
    <s v="HOMBRE"/>
    <n v="27696483"/>
    <x v="0"/>
    <x v="1"/>
    <s v="SI"/>
    <s v="NO"/>
    <s v="NO"/>
    <n v="58"/>
    <n v="1.1306455940929174"/>
    <s v="No"/>
    <n v="8.5235056197350501E-2"/>
    <s v="No"/>
    <n v="27696483"/>
    <n v="58"/>
    <x v="0"/>
  </r>
  <r>
    <n v="1060"/>
    <s v="HOMBRE"/>
    <n v="360000"/>
    <x v="0"/>
    <x v="1"/>
    <s v="SI"/>
    <s v="NO"/>
    <s v="NO"/>
    <n v="40"/>
    <n v="0.13971034729555773"/>
    <s v="No"/>
    <n v="0.36966331807942709"/>
    <s v="No"/>
    <n v="360000"/>
    <n v="40"/>
    <x v="0"/>
  </r>
  <r>
    <n v="1061"/>
    <s v="HOMBRE"/>
    <n v="49154023"/>
    <x v="0"/>
    <x v="1"/>
    <s v="SI"/>
    <s v="NO"/>
    <s v="NO"/>
    <n v="50"/>
    <n v="0.56604295347581735"/>
    <s v="No"/>
    <n v="0.44230366893655793"/>
    <s v="No"/>
    <n v="49154023"/>
    <n v="50"/>
    <x v="0"/>
  </r>
  <r>
    <n v="1062"/>
    <s v="MUJER"/>
    <n v="307401"/>
    <x v="0"/>
    <x v="0"/>
    <s v="SI"/>
    <s v="NO"/>
    <s v="SI"/>
    <n v="28"/>
    <n v="0.98661430822120777"/>
    <s v="No"/>
    <n v="0.37053860256970278"/>
    <s v="No"/>
    <n v="307401"/>
    <n v="28"/>
    <x v="0"/>
  </r>
  <r>
    <n v="1063"/>
    <s v="HOMBRE"/>
    <n v="14151022"/>
    <x v="1"/>
    <x v="0"/>
    <s v="SI"/>
    <s v="NO"/>
    <s v="NO"/>
    <n v="90"/>
    <n v="3.3890561565613173"/>
    <s v="Sí"/>
    <n v="0.14017097674878579"/>
    <s v="No"/>
    <n v="14151022"/>
    <n v="90"/>
    <x v="1"/>
  </r>
  <r>
    <n v="1064"/>
    <s v="MUJER"/>
    <n v="721809"/>
    <x v="0"/>
    <x v="0"/>
    <s v="SI"/>
    <s v="NO"/>
    <s v="SI"/>
    <n v="46"/>
    <n v="0.2837416331672673"/>
    <s v="No"/>
    <n v="0.36364256091404096"/>
    <s v="No"/>
    <n v="721809"/>
    <n v="46"/>
    <x v="0"/>
  </r>
  <r>
    <n v="1065"/>
    <s v="HOMBRE"/>
    <n v="363793"/>
    <x v="0"/>
    <x v="1"/>
    <s v="SI"/>
    <s v="SI"/>
    <s v="NO"/>
    <n v="51"/>
    <n v="0.6366182835529548"/>
    <s v="No"/>
    <n v="0.36960019988190218"/>
    <s v="No"/>
    <n v="363793"/>
    <n v="51"/>
    <x v="0"/>
  </r>
  <r>
    <n v="1066"/>
    <s v="HOMBRE"/>
    <n v="592200"/>
    <x v="0"/>
    <x v="1"/>
    <s v="SI"/>
    <s v="SI"/>
    <s v="NO"/>
    <n v="53"/>
    <n v="0.77776894370722982"/>
    <s v="No"/>
    <n v="0.36579934616661491"/>
    <s v="No"/>
    <n v="592200"/>
    <n v="53"/>
    <x v="0"/>
  </r>
  <r>
    <n v="1067"/>
    <s v="MUJER"/>
    <n v="2196851"/>
    <x v="0"/>
    <x v="1"/>
    <s v="SI"/>
    <s v="NO"/>
    <s v="NO"/>
    <n v="41"/>
    <n v="6.9135017218420233E-2"/>
    <s v="No"/>
    <n v="0.3390968207839018"/>
    <s v="No"/>
    <n v="2196851"/>
    <n v="41"/>
    <x v="0"/>
  </r>
  <r>
    <n v="1068"/>
    <s v="HOMBRE"/>
    <n v="49510862"/>
    <x v="0"/>
    <x v="0"/>
    <s v="SI"/>
    <s v="NO"/>
    <s v="NO"/>
    <n v="25"/>
    <n v="1.1983402984526204"/>
    <s v="No"/>
    <n v="0.44824172179356048"/>
    <s v="No"/>
    <n v="49510862"/>
    <n v="25"/>
    <x v="0"/>
  </r>
  <r>
    <n v="1069"/>
    <s v="MUJER"/>
    <n v="380000"/>
    <x v="0"/>
    <x v="1"/>
    <s v="SI"/>
    <s v="NO"/>
    <s v="NO"/>
    <n v="57"/>
    <n v="1.0600702640157798"/>
    <s v="No"/>
    <n v="0.36933050396118317"/>
    <s v="No"/>
    <n v="380000"/>
    <n v="57"/>
    <x v="0"/>
  </r>
  <r>
    <n v="1070"/>
    <s v="MUJER"/>
    <n v="218305404"/>
    <x v="0"/>
    <x v="1"/>
    <s v="SI"/>
    <s v="NO"/>
    <s v="NO"/>
    <n v="32"/>
    <n v="0.70431298791265773"/>
    <s v="No"/>
    <n v="3.2571020547995753"/>
    <s v="Sí"/>
    <n v="218305404"/>
    <n v="32"/>
    <x v="0"/>
  </r>
  <r>
    <n v="1071"/>
    <s v="HOMBRE"/>
    <n v="651535"/>
    <x v="0"/>
    <x v="1"/>
    <s v="SI"/>
    <s v="NO"/>
    <s v="NO"/>
    <n v="34"/>
    <n v="0.56316232775838282"/>
    <s v="No"/>
    <n v="0.3648119698813147"/>
    <s v="No"/>
    <n v="651535"/>
    <n v="34"/>
    <x v="0"/>
  </r>
  <r>
    <n v="1072"/>
    <s v="MUJER"/>
    <n v="278030"/>
    <x v="4"/>
    <x v="1"/>
    <s v="SI"/>
    <s v="NO"/>
    <s v="NO"/>
    <n v="29"/>
    <n v="0.91603897814407031"/>
    <s v="No"/>
    <n v="0.37102735674304993"/>
    <s v="No"/>
    <n v="278030"/>
    <n v="29"/>
    <x v="4"/>
  </r>
  <r>
    <n v="1073"/>
    <s v="HOMBRE"/>
    <n v="299647"/>
    <x v="2"/>
    <x v="1"/>
    <s v="SI"/>
    <s v="NO"/>
    <s v="NO"/>
    <n v="64"/>
    <n v="1.5540975745557424"/>
    <s v="No"/>
    <n v="0.37066763460334595"/>
    <s v="No"/>
    <n v="299647"/>
    <n v="64"/>
    <x v="2"/>
  </r>
  <r>
    <n v="1074"/>
    <s v="MUJER"/>
    <n v="347520"/>
    <x v="0"/>
    <x v="1"/>
    <s v="SI"/>
    <s v="NO"/>
    <s v="NO"/>
    <n v="35"/>
    <n v="0.49258699768124525"/>
    <s v="No"/>
    <n v="0.36987099408921137"/>
    <s v="No"/>
    <n v="347520"/>
    <n v="35"/>
    <x v="0"/>
  </r>
  <r>
    <n v="1075"/>
    <s v="HOMBRE"/>
    <n v="594640"/>
    <x v="0"/>
    <x v="1"/>
    <s v="SI"/>
    <s v="NO"/>
    <s v="NO"/>
    <n v="36"/>
    <n v="0.42201166760410774"/>
    <s v="No"/>
    <n v="0.36575874284418919"/>
    <s v="No"/>
    <n v="594640"/>
    <n v="36"/>
    <x v="0"/>
  </r>
  <r>
    <n v="1076"/>
    <s v="HOMBRE"/>
    <n v="207858"/>
    <x v="0"/>
    <x v="1"/>
    <s v="SI"/>
    <s v="NO"/>
    <s v="NO"/>
    <n v="55"/>
    <n v="0.91891960386150484"/>
    <s v="No"/>
    <n v="0.37219506835832061"/>
    <s v="No"/>
    <n v="207858"/>
    <n v="55"/>
    <x v="0"/>
  </r>
  <r>
    <n v="1077"/>
    <s v="HOMBRE"/>
    <n v="3211392"/>
    <x v="0"/>
    <x v="0"/>
    <s v="SI"/>
    <s v="NO"/>
    <s v="NO"/>
    <n v="60"/>
    <n v="1.2717962542471923"/>
    <s v="No"/>
    <n v="0.32221414236703538"/>
    <s v="No"/>
    <n v="3211392"/>
    <n v="60"/>
    <x v="0"/>
  </r>
  <r>
    <n v="1078"/>
    <s v="HOMBRE"/>
    <n v="63155063"/>
    <x v="0"/>
    <x v="1"/>
    <s v="SI"/>
    <s v="NO"/>
    <s v="NO"/>
    <n v="38"/>
    <n v="0.28086100744983278"/>
    <s v="No"/>
    <n v="0.67529085804146705"/>
    <s v="No"/>
    <n v="63155063"/>
    <n v="38"/>
    <x v="0"/>
  </r>
  <r>
    <n v="1079"/>
    <s v="HOMBRE"/>
    <n v="37422212"/>
    <x v="0"/>
    <x v="1"/>
    <s v="SI"/>
    <s v="NO"/>
    <s v="NO"/>
    <n v="31"/>
    <n v="0.77488831798979529"/>
    <s v="No"/>
    <n v="0.24707805226807805"/>
    <s v="No"/>
    <n v="37422212"/>
    <n v="31"/>
    <x v="0"/>
  </r>
  <r>
    <n v="1080"/>
    <s v="MUJER"/>
    <n v="338166"/>
    <x v="2"/>
    <x v="1"/>
    <s v="SI"/>
    <s v="NO"/>
    <s v="NO"/>
    <n v="63"/>
    <n v="1.4835222444786049"/>
    <s v="No"/>
    <n v="0.37002665125231404"/>
    <s v="No"/>
    <n v="338166"/>
    <n v="63"/>
    <x v="2"/>
  </r>
  <r>
    <n v="1081"/>
    <s v="MUJER"/>
    <n v="180000"/>
    <x v="0"/>
    <x v="1"/>
    <s v="SI"/>
    <s v="SI"/>
    <s v="NO"/>
    <n v="78"/>
    <n v="2.5421521956356674"/>
    <s v="Sí"/>
    <n v="0.37265864514362262"/>
    <s v="No"/>
    <n v="180000"/>
    <n v="78"/>
    <x v="0"/>
  </r>
  <r>
    <n v="1082"/>
    <s v="MUJER"/>
    <n v="582638"/>
    <x v="3"/>
    <x v="1"/>
    <s v="SI"/>
    <s v="SI"/>
    <s v="SI"/>
    <n v="60"/>
    <n v="1.2717962542471923"/>
    <s v="No"/>
    <n v="0.36595846459654735"/>
    <s v="No"/>
    <n v="582638"/>
    <n v="60"/>
    <x v="3"/>
  </r>
  <r>
    <n v="1083"/>
    <s v="MUJER"/>
    <n v="8182404"/>
    <x v="0"/>
    <x v="1"/>
    <s v="SI"/>
    <s v="NO"/>
    <s v="NO"/>
    <n v="26"/>
    <n v="1.1277649683754829"/>
    <s v="No"/>
    <n v="0.23949299358903228"/>
    <s v="No"/>
    <n v="8182404"/>
    <n v="26"/>
    <x v="0"/>
  </r>
  <r>
    <n v="1084"/>
    <s v="MUJER"/>
    <n v="317915"/>
    <x v="0"/>
    <x v="1"/>
    <s v="SI"/>
    <s v="NO"/>
    <s v="NO"/>
    <n v="41"/>
    <n v="6.9135017218420233E-2"/>
    <s v="No"/>
    <n v="0.37036364218774193"/>
    <s v="No"/>
    <n v="317915"/>
    <n v="41"/>
    <x v="0"/>
  </r>
  <r>
    <n v="1085"/>
    <s v="HOMBRE"/>
    <n v="44969475"/>
    <x v="0"/>
    <x v="1"/>
    <s v="SI"/>
    <s v="NO"/>
    <s v="NO"/>
    <n v="21"/>
    <n v="1.4806416187611704"/>
    <s v="No"/>
    <n v="0.37266983629308503"/>
    <s v="No"/>
    <n v="44969475"/>
    <n v="21"/>
    <x v="0"/>
  </r>
  <r>
    <n v="1086"/>
    <s v="MUJER"/>
    <n v="607000"/>
    <x v="0"/>
    <x v="1"/>
    <s v="SI"/>
    <s v="NO"/>
    <s v="NO"/>
    <n v="41"/>
    <n v="6.9135017218420233E-2"/>
    <s v="No"/>
    <n v="0.36555306371911445"/>
    <s v="No"/>
    <n v="607000"/>
    <n v="41"/>
    <x v="0"/>
  </r>
  <r>
    <n v="1087"/>
    <s v="HOMBRE"/>
    <n v="302470"/>
    <x v="3"/>
    <x v="1"/>
    <s v="SI"/>
    <s v="NO"/>
    <s v="SI"/>
    <n v="31"/>
    <n v="0.77488831798979529"/>
    <s v="No"/>
    <n v="0.37062065789055582"/>
    <s v="No"/>
    <n v="302470"/>
    <n v="31"/>
    <x v="3"/>
  </r>
  <r>
    <n v="1088"/>
    <s v="HOMBRE"/>
    <n v="300000"/>
    <x v="0"/>
    <x v="1"/>
    <s v="SI"/>
    <s v="NO"/>
    <s v="NO"/>
    <n v="58"/>
    <n v="1.1306455940929174"/>
    <s v="No"/>
    <n v="0.37066176043415894"/>
    <s v="No"/>
    <n v="300000"/>
    <n v="58"/>
    <x v="0"/>
  </r>
  <r>
    <n v="1089"/>
    <s v="HOMBRE"/>
    <n v="359543"/>
    <x v="0"/>
    <x v="1"/>
    <s v="SI"/>
    <s v="NO"/>
    <s v="NO"/>
    <n v="20"/>
    <n v="1.5512169488383079"/>
    <s v="No"/>
    <n v="0.36967092288202902"/>
    <s v="No"/>
    <n v="359543"/>
    <n v="20"/>
    <x v="0"/>
  </r>
  <r>
    <n v="1090"/>
    <s v="MUJER"/>
    <n v="717302"/>
    <x v="0"/>
    <x v="1"/>
    <s v="SI"/>
    <s v="NO"/>
    <s v="NO"/>
    <n v="42"/>
    <n v="1.4403128587172659E-3"/>
    <s v="No"/>
    <n v="0.36371756057558724"/>
    <s v="No"/>
    <n v="717302"/>
    <n v="42"/>
    <x v="0"/>
  </r>
  <r>
    <n v="1091"/>
    <s v="HOMBRE"/>
    <n v="3015974"/>
    <x v="0"/>
    <x v="1"/>
    <s v="SI"/>
    <s v="SI"/>
    <s v="NO"/>
    <n v="46"/>
    <n v="0.2837416331672673"/>
    <s v="No"/>
    <n v="0.32546603583498512"/>
    <s v="No"/>
    <n v="3015974"/>
    <n v="46"/>
    <x v="0"/>
  </r>
  <r>
    <n v="1092"/>
    <s v="MUJER"/>
    <n v="297046"/>
    <x v="2"/>
    <x v="1"/>
    <s v="SI"/>
    <s v="NO"/>
    <s v="NO"/>
    <n v="34"/>
    <n v="0.56316232775838282"/>
    <s v="No"/>
    <n v="0.37071091707942361"/>
    <s v="No"/>
    <n v="297046"/>
    <n v="34"/>
    <x v="2"/>
  </r>
  <r>
    <n v="1093"/>
    <s v="HOMBRE"/>
    <n v="700000"/>
    <x v="0"/>
    <x v="1"/>
    <s v="SI"/>
    <s v="NO"/>
    <s v="NO"/>
    <n v="22"/>
    <n v="1.4100662886840327"/>
    <s v="No"/>
    <n v="0.36400547806928008"/>
    <s v="No"/>
    <n v="700000"/>
    <n v="22"/>
    <x v="0"/>
  </r>
  <r>
    <n v="1094"/>
    <s v="MUJER"/>
    <n v="384000"/>
    <x v="0"/>
    <x v="1"/>
    <s v="SI"/>
    <s v="NO"/>
    <s v="NO"/>
    <n v="48"/>
    <n v="0.42489229332154227"/>
    <s v="No"/>
    <n v="0.36926394113753441"/>
    <s v="No"/>
    <n v="384000"/>
    <n v="48"/>
    <x v="0"/>
  </r>
  <r>
    <n v="1095"/>
    <s v="HOMBRE"/>
    <n v="7833499"/>
    <x v="0"/>
    <x v="0"/>
    <s v="SI"/>
    <s v="NO"/>
    <s v="NO"/>
    <n v="45"/>
    <n v="0.21316630309012977"/>
    <s v="No"/>
    <n v="0.24529901908532742"/>
    <s v="No"/>
    <n v="7833499"/>
    <n v="45"/>
    <x v="0"/>
  </r>
  <r>
    <n v="1096"/>
    <s v="HOMBRE"/>
    <n v="161555007"/>
    <x v="0"/>
    <x v="1"/>
    <s v="SI"/>
    <s v="NO"/>
    <s v="SI"/>
    <n v="37"/>
    <n v="0.35143633752697023"/>
    <s v="No"/>
    <n v="2.312735387922138"/>
    <s v="Sí"/>
    <n v="161555007"/>
    <n v="37"/>
    <x v="0"/>
  </r>
  <r>
    <n v="1097"/>
    <s v="MUJER"/>
    <n v="247663"/>
    <x v="0"/>
    <x v="1"/>
    <s v="SI"/>
    <s v="NO"/>
    <s v="NO"/>
    <n v="19"/>
    <n v="1.6217922789154453"/>
    <s v="No"/>
    <n v="0.37153268505948561"/>
    <s v="No"/>
    <n v="247663"/>
    <n v="19"/>
    <x v="0"/>
  </r>
  <r>
    <n v="1098"/>
    <s v="MUJER"/>
    <n v="126761639"/>
    <x v="0"/>
    <x v="1"/>
    <s v="SI"/>
    <s v="NO"/>
    <s v="NO"/>
    <n v="35"/>
    <n v="0.49258699768124525"/>
    <s v="No"/>
    <n v="1.733749183339286"/>
    <s v="No"/>
    <n v="126761639"/>
    <n v="35"/>
    <x v="0"/>
  </r>
  <r>
    <n v="1099"/>
    <s v="HOMBRE"/>
    <n v="377999"/>
    <x v="3"/>
    <x v="1"/>
    <s v="SI"/>
    <s v="NO"/>
    <s v="SI"/>
    <n v="37"/>
    <n v="0.35143633752697023"/>
    <s v="No"/>
    <n v="0.36936380201371349"/>
    <s v="No"/>
    <n v="377999"/>
    <n v="37"/>
    <x v="3"/>
  </r>
  <r>
    <n v="1100"/>
    <s v="MUJER"/>
    <n v="297044"/>
    <x v="2"/>
    <x v="1"/>
    <s v="SI"/>
    <s v="NO"/>
    <s v="NO"/>
    <n v="53"/>
    <n v="0.77776894370722982"/>
    <s v="No"/>
    <n v="0.3707109503608354"/>
    <s v="No"/>
    <n v="297044"/>
    <n v="53"/>
    <x v="2"/>
  </r>
  <r>
    <n v="1101"/>
    <s v="HOMBRE"/>
    <n v="278030"/>
    <x v="4"/>
    <x v="1"/>
    <s v="SI"/>
    <s v="NO"/>
    <s v="NO"/>
    <n v="24"/>
    <n v="1.2689156285297578"/>
    <s v="No"/>
    <n v="0.37102735674304993"/>
    <s v="No"/>
    <n v="278030"/>
    <n v="24"/>
    <x v="4"/>
  </r>
  <r>
    <n v="1102"/>
    <s v="HOMBRE"/>
    <n v="297045"/>
    <x v="3"/>
    <x v="1"/>
    <s v="SI"/>
    <s v="NO"/>
    <s v="SI"/>
    <n v="33"/>
    <n v="0.63373765783552027"/>
    <s v="No"/>
    <n v="0.37071093372012948"/>
    <s v="No"/>
    <n v="297045"/>
    <n v="33"/>
    <x v="3"/>
  </r>
  <r>
    <n v="1103"/>
    <s v="HOMBRE"/>
    <n v="239460"/>
    <x v="0"/>
    <x v="1"/>
    <s v="SI"/>
    <s v="NO"/>
    <s v="NO"/>
    <n v="26"/>
    <n v="1.1277649683754829"/>
    <s v="No"/>
    <n v="0.37166918877008337"/>
    <s v="No"/>
    <n v="239460"/>
    <n v="26"/>
    <x v="0"/>
  </r>
  <r>
    <n v="1104"/>
    <s v="HOMBRE"/>
    <n v="331181"/>
    <x v="3"/>
    <x v="1"/>
    <s v="SI"/>
    <s v="SI"/>
    <s v="SI"/>
    <n v="30"/>
    <n v="0.84546364806693275"/>
    <s v="No"/>
    <n v="0.37014288658311073"/>
    <s v="No"/>
    <n v="331181"/>
    <n v="30"/>
    <x v="3"/>
  </r>
  <r>
    <n v="1105"/>
    <s v="HOMBRE"/>
    <n v="58084094"/>
    <x v="0"/>
    <x v="1"/>
    <s v="SI"/>
    <s v="NO"/>
    <s v="NO"/>
    <n v="37"/>
    <n v="0.35143633752697023"/>
    <s v="No"/>
    <n v="0.59090635422259852"/>
    <s v="No"/>
    <n v="58084094"/>
    <n v="37"/>
    <x v="0"/>
  </r>
  <r>
    <n v="1106"/>
    <s v="MUJER"/>
    <n v="850000"/>
    <x v="0"/>
    <x v="1"/>
    <s v="SI"/>
    <s v="NO"/>
    <s v="NO"/>
    <n v="38"/>
    <n v="0.28086100744983278"/>
    <s v="No"/>
    <n v="0.36150937218245049"/>
    <s v="No"/>
    <n v="850000"/>
    <n v="38"/>
    <x v="0"/>
  </r>
  <r>
    <n v="1107"/>
    <s v="HOMBRE"/>
    <n v="367500"/>
    <x v="0"/>
    <x v="1"/>
    <s v="SI"/>
    <s v="NO"/>
    <s v="NO"/>
    <n v="32"/>
    <n v="0.70431298791265773"/>
    <s v="No"/>
    <n v="0.36953851278508565"/>
    <s v="No"/>
    <n v="367500"/>
    <n v="32"/>
    <x v="0"/>
  </r>
  <r>
    <n v="1108"/>
    <s v="HOMBRE"/>
    <n v="594092"/>
    <x v="3"/>
    <x v="1"/>
    <s v="SI"/>
    <s v="NO"/>
    <s v="NO"/>
    <n v="62"/>
    <n v="1.4129469144014672"/>
    <s v="No"/>
    <n v="0.36576786195102906"/>
    <s v="No"/>
    <n v="594092"/>
    <n v="62"/>
    <x v="3"/>
  </r>
  <r>
    <n v="1109"/>
    <s v="MUJER"/>
    <n v="297046"/>
    <x v="3"/>
    <x v="1"/>
    <s v="SI"/>
    <s v="NO"/>
    <s v="NO"/>
    <n v="33"/>
    <n v="0.63373765783552027"/>
    <s v="No"/>
    <n v="0.37071091707942361"/>
    <s v="No"/>
    <n v="297046"/>
    <n v="33"/>
    <x v="3"/>
  </r>
  <r>
    <n v="1110"/>
    <s v="HOMBRE"/>
    <n v="429000"/>
    <x v="0"/>
    <x v="1"/>
    <s v="SI"/>
    <s v="SI"/>
    <s v="NO"/>
    <n v="53"/>
    <n v="0.77776894370722982"/>
    <s v="No"/>
    <n v="0.36851510937148552"/>
    <s v="No"/>
    <n v="429000"/>
    <n v="53"/>
    <x v="0"/>
  </r>
  <r>
    <n v="1111"/>
    <s v="HOMBRE"/>
    <n v="46074268"/>
    <x v="0"/>
    <x v="1"/>
    <s v="SI"/>
    <s v="NO"/>
    <s v="NO"/>
    <n v="34"/>
    <n v="0.56316232775838282"/>
    <s v="No"/>
    <n v="0.39105437169993912"/>
    <s v="No"/>
    <n v="46074268"/>
    <n v="34"/>
    <x v="0"/>
  </r>
  <r>
    <n v="1112"/>
    <s v="MUJER"/>
    <n v="46939706"/>
    <x v="0"/>
    <x v="1"/>
    <s v="SI"/>
    <s v="NO"/>
    <s v="NO"/>
    <n v="21"/>
    <n v="1.4806416187611704"/>
    <s v="No"/>
    <n v="0.4054558709431792"/>
    <s v="No"/>
    <n v="46939706"/>
    <n v="21"/>
    <x v="0"/>
  </r>
  <r>
    <n v="1113"/>
    <s v="HOMBRE"/>
    <n v="509509"/>
    <x v="3"/>
    <x v="1"/>
    <s v="SI"/>
    <s v="NO"/>
    <s v="SI"/>
    <n v="48"/>
    <n v="0.42489229332154227"/>
    <s v="No"/>
    <n v="0.36717538277920042"/>
    <s v="No"/>
    <n v="509509"/>
    <n v="48"/>
    <x v="3"/>
  </r>
  <r>
    <n v="1114"/>
    <s v="MUJER"/>
    <n v="297046"/>
    <x v="2"/>
    <x v="1"/>
    <s v="SI"/>
    <s v="NO"/>
    <s v="NO"/>
    <n v="43"/>
    <n v="7.2015642935854773E-2"/>
    <s v="No"/>
    <n v="0.37071091707942361"/>
    <s v="No"/>
    <n v="297046"/>
    <n v="43"/>
    <x v="2"/>
  </r>
  <r>
    <n v="1115"/>
    <s v="MUJER"/>
    <n v="326036"/>
    <x v="0"/>
    <x v="1"/>
    <s v="SI"/>
    <s v="NO"/>
    <s v="SI"/>
    <n v="54"/>
    <n v="0.84834427378436728"/>
    <s v="No"/>
    <n v="0.37022850301502896"/>
    <s v="No"/>
    <n v="326036"/>
    <n v="54"/>
    <x v="0"/>
  </r>
  <r>
    <n v="1116"/>
    <s v="HOMBRE"/>
    <n v="297046"/>
    <x v="3"/>
    <x v="1"/>
    <s v="SI"/>
    <s v="NO"/>
    <s v="NO"/>
    <n v="53"/>
    <n v="0.77776894370722982"/>
    <s v="No"/>
    <n v="0.37071091707942361"/>
    <s v="No"/>
    <n v="297046"/>
    <n v="53"/>
    <x v="3"/>
  </r>
  <r>
    <n v="1117"/>
    <s v="HOMBRE"/>
    <n v="425000"/>
    <x v="0"/>
    <x v="1"/>
    <s v="SI"/>
    <s v="NO"/>
    <s v="NO"/>
    <n v="20"/>
    <n v="1.5512169488383079"/>
    <s v="No"/>
    <n v="0.36858167219513432"/>
    <s v="No"/>
    <n v="425000"/>
    <n v="20"/>
    <x v="0"/>
  </r>
  <r>
    <n v="1118"/>
    <s v="HOMBRE"/>
    <n v="142710052"/>
    <x v="0"/>
    <x v="0"/>
    <s v="SI"/>
    <s v="NO"/>
    <s v="NO"/>
    <n v="44"/>
    <n v="0.14259097301299228"/>
    <s v="No"/>
    <n v="1.9991420338385484"/>
    <s v="Sí"/>
    <n v="142710052"/>
    <n v="44"/>
    <x v="0"/>
  </r>
  <r>
    <n v="1119"/>
    <s v="HOMBRE"/>
    <n v="321287"/>
    <x v="2"/>
    <x v="1"/>
    <s v="SI"/>
    <s v="NO"/>
    <s v="NO"/>
    <n v="54"/>
    <n v="0.84834427378436728"/>
    <s v="No"/>
    <n v="0.37030752972740599"/>
    <s v="No"/>
    <n v="321287"/>
    <n v="54"/>
    <x v="2"/>
  </r>
  <r>
    <n v="1120"/>
    <s v="HOMBRE"/>
    <n v="610142"/>
    <x v="3"/>
    <x v="1"/>
    <s v="SI"/>
    <s v="NO"/>
    <s v="NO"/>
    <n v="61"/>
    <n v="1.3423715843243298"/>
    <s v="No"/>
    <n v="0.36550077862113828"/>
    <s v="No"/>
    <n v="610142"/>
    <n v="61"/>
    <x v="3"/>
  </r>
  <r>
    <n v="1121"/>
    <s v="HOMBRE"/>
    <n v="1602501"/>
    <x v="1"/>
    <x v="0"/>
    <s v="SI"/>
    <s v="NO"/>
    <s v="NO"/>
    <n v="60"/>
    <n v="1.2717962542471923"/>
    <s v="No"/>
    <n v="0.3489872243428162"/>
    <s v="No"/>
    <n v="1602501"/>
    <n v="60"/>
    <x v="1"/>
  </r>
  <r>
    <n v="1122"/>
    <s v="HOMBRE"/>
    <n v="44008631"/>
    <x v="0"/>
    <x v="1"/>
    <s v="SI"/>
    <s v="NO"/>
    <s v="NO"/>
    <n v="53"/>
    <n v="0.77776894370722982"/>
    <s v="No"/>
    <n v="0.35668071386158584"/>
    <s v="No"/>
    <n v="44008631"/>
    <n v="53"/>
    <x v="0"/>
  </r>
  <r>
    <n v="1123"/>
    <s v="HOMBRE"/>
    <n v="812849"/>
    <x v="2"/>
    <x v="1"/>
    <s v="SI"/>
    <s v="SI"/>
    <s v="NO"/>
    <n v="74"/>
    <n v="2.2598508753271176"/>
    <s v="Sí"/>
    <n v="0.36212759104779452"/>
    <s v="No"/>
    <n v="812849"/>
    <n v="74"/>
    <x v="2"/>
  </r>
  <r>
    <n v="1124"/>
    <s v="HOMBRE"/>
    <n v="449060"/>
    <x v="0"/>
    <x v="0"/>
    <s v="SI"/>
    <s v="NO"/>
    <s v="SI"/>
    <n v="58"/>
    <n v="1.1306455940929174"/>
    <s v="No"/>
    <n v="0.36818129681088685"/>
    <s v="No"/>
    <n v="449060"/>
    <n v="58"/>
    <x v="0"/>
  </r>
  <r>
    <n v="1125"/>
    <s v="HOMBRE"/>
    <n v="326753"/>
    <x v="2"/>
    <x v="1"/>
    <s v="SI"/>
    <s v="NO"/>
    <s v="NO"/>
    <n v="42"/>
    <n v="1.4403128587172659E-3"/>
    <s v="No"/>
    <n v="0.37021657162888993"/>
    <s v="No"/>
    <n v="326753"/>
    <n v="42"/>
    <x v="2"/>
  </r>
  <r>
    <n v="1126"/>
    <s v="HOMBRE"/>
    <n v="36406251"/>
    <x v="0"/>
    <x v="1"/>
    <s v="SI"/>
    <s v="NO"/>
    <s v="NO"/>
    <n v="27"/>
    <n v="1.0571896382983452"/>
    <s v="No"/>
    <n v="0.2301717440488163"/>
    <s v="No"/>
    <n v="36406251"/>
    <n v="27"/>
    <x v="0"/>
  </r>
  <r>
    <n v="1127"/>
    <s v="HOMBRE"/>
    <n v="27803099"/>
    <x v="4"/>
    <x v="1"/>
    <s v="SI"/>
    <s v="NO"/>
    <s v="NO"/>
    <n v="31"/>
    <n v="0.77488831798979529"/>
    <s v="No"/>
    <n v="8.7009221698885322E-2"/>
    <s v="No"/>
    <n v="27803099"/>
    <n v="31"/>
    <x v="4"/>
  </r>
  <r>
    <n v="1128"/>
    <s v="HOMBRE"/>
    <n v="87664038"/>
    <x v="0"/>
    <x v="1"/>
    <s v="SI"/>
    <s v="NO"/>
    <s v="NO"/>
    <n v="49"/>
    <n v="0.49546762339867978"/>
    <s v="No"/>
    <n v="1.0831375032258599"/>
    <s v="No"/>
    <n v="87664038"/>
    <n v="49"/>
    <x v="0"/>
  </r>
  <r>
    <n v="1129"/>
    <s v="HOMBRE"/>
    <n v="288203"/>
    <x v="0"/>
    <x v="0"/>
    <s v="SI"/>
    <s v="NO"/>
    <s v="SI"/>
    <n v="26"/>
    <n v="1.1277649683754829"/>
    <s v="No"/>
    <n v="0.37085807084180517"/>
    <s v="No"/>
    <n v="288203"/>
    <n v="26"/>
    <x v="0"/>
  </r>
  <r>
    <n v="1130"/>
    <s v="HOMBRE"/>
    <n v="5145083"/>
    <x v="0"/>
    <x v="1"/>
    <s v="SI"/>
    <s v="SI"/>
    <s v="NO"/>
    <n v="50"/>
    <n v="0.56604295347581735"/>
    <s v="No"/>
    <n v="0.29003615911097291"/>
    <s v="No"/>
    <n v="5145083"/>
    <n v="50"/>
    <x v="0"/>
  </r>
  <r>
    <n v="1131"/>
    <s v="HOMBRE"/>
    <n v="53844665"/>
    <x v="0"/>
    <x v="1"/>
    <s v="SI"/>
    <s v="NO"/>
    <s v="NO"/>
    <n v="28"/>
    <n v="0.98661430822120777"/>
    <s v="No"/>
    <n v="0.52035926299795832"/>
    <s v="No"/>
    <n v="53844665"/>
    <n v="28"/>
    <x v="0"/>
  </r>
  <r>
    <n v="1132"/>
    <s v="MUJER"/>
    <n v="19825715"/>
    <x v="1"/>
    <x v="0"/>
    <s v="SI"/>
    <s v="NO"/>
    <s v="NO"/>
    <n v="97"/>
    <n v="3.8830834671012799"/>
    <s v="Sí"/>
    <n v="4.574007939378185E-2"/>
    <s v="No"/>
    <n v="19825715"/>
    <n v="97"/>
    <x v="1"/>
  </r>
  <r>
    <n v="1133"/>
    <s v="HOMBRE"/>
    <n v="278030"/>
    <x v="4"/>
    <x v="1"/>
    <s v="SI"/>
    <s v="SI"/>
    <s v="NO"/>
    <n v="39"/>
    <n v="0.21028567737269524"/>
    <s v="No"/>
    <n v="0.37102735674304993"/>
    <s v="No"/>
    <n v="278030"/>
    <n v="39"/>
    <x v="4"/>
  </r>
  <r>
    <n v="1134"/>
    <s v="HOMBRE"/>
    <n v="636889"/>
    <x v="3"/>
    <x v="1"/>
    <s v="SI"/>
    <s v="NO"/>
    <s v="SI"/>
    <n v="49"/>
    <n v="0.49546762339867978"/>
    <s v="No"/>
    <n v="0.36505568966010477"/>
    <s v="No"/>
    <n v="636889"/>
    <n v="49"/>
    <x v="3"/>
  </r>
  <r>
    <n v="1135"/>
    <s v="HOMBRE"/>
    <n v="600000"/>
    <x v="0"/>
    <x v="1"/>
    <s v="SI"/>
    <s v="SI"/>
    <s v="SI"/>
    <n v="58"/>
    <n v="1.1306455940929174"/>
    <s v="No"/>
    <n v="0.36566954866049978"/>
    <s v="No"/>
    <n v="600000"/>
    <n v="58"/>
    <x v="0"/>
  </r>
  <r>
    <n v="1136"/>
    <s v="MUJER"/>
    <n v="297139"/>
    <x v="2"/>
    <x v="1"/>
    <s v="NO"/>
    <s v="NO"/>
    <s v="SI"/>
    <n v="41"/>
    <n v="6.9135017218420233E-2"/>
    <s v="No"/>
    <n v="0.37070936949377375"/>
    <s v="No"/>
    <n v="297139"/>
    <n v="41"/>
    <x v="2"/>
  </r>
  <r>
    <n v="1137"/>
    <s v="MUJER"/>
    <n v="277000"/>
    <x v="0"/>
    <x v="1"/>
    <s v="SI"/>
    <s v="NO"/>
    <s v="NO"/>
    <n v="46"/>
    <n v="0.2837416331672673"/>
    <s v="No"/>
    <n v="0.3710444966701395"/>
    <s v="No"/>
    <n v="277000"/>
    <n v="46"/>
    <x v="0"/>
  </r>
  <r>
    <n v="1138"/>
    <s v="HOMBRE"/>
    <n v="635014"/>
    <x v="3"/>
    <x v="1"/>
    <s v="SI"/>
    <s v="NO"/>
    <s v="NO"/>
    <n v="51"/>
    <n v="0.6366182835529548"/>
    <s v="No"/>
    <n v="0.36508689098369013"/>
    <s v="No"/>
    <n v="635014"/>
    <n v="51"/>
    <x v="3"/>
  </r>
  <r>
    <n v="1139"/>
    <s v="HOMBRE"/>
    <n v="79912"/>
    <x v="0"/>
    <x v="1"/>
    <s v="SI"/>
    <s v="NO"/>
    <s v="NO"/>
    <n v="19"/>
    <n v="1.6217922789154453"/>
    <s v="No"/>
    <n v="0.37432418011696261"/>
    <s v="No"/>
    <n v="79912"/>
    <n v="19"/>
    <x v="0"/>
  </r>
  <r>
    <n v="1140"/>
    <s v="HOMBRE"/>
    <n v="39351227"/>
    <x v="0"/>
    <x v="1"/>
    <s v="SI"/>
    <s v="NO"/>
    <s v="NO"/>
    <n v="44"/>
    <n v="0.14259097301299228"/>
    <s v="No"/>
    <n v="0.27917822358329508"/>
    <s v="No"/>
    <n v="39351227"/>
    <n v="44"/>
    <x v="0"/>
  </r>
  <r>
    <n v="1141"/>
    <s v="MUJER"/>
    <n v="297046"/>
    <x v="2"/>
    <x v="1"/>
    <s v="SI"/>
    <s v="NO"/>
    <s v="SI"/>
    <n v="21"/>
    <n v="1.4806416187611704"/>
    <s v="No"/>
    <n v="0.37071091707942361"/>
    <s v="No"/>
    <n v="297046"/>
    <n v="21"/>
    <x v="2"/>
  </r>
  <r>
    <n v="1142"/>
    <s v="MUJER"/>
    <n v="12573688"/>
    <x v="0"/>
    <x v="0"/>
    <s v="SI"/>
    <s v="NO"/>
    <s v="NO"/>
    <n v="34"/>
    <n v="0.56316232775838282"/>
    <s v="No"/>
    <n v="0.1664189279680954"/>
    <s v="No"/>
    <n v="12573688"/>
    <n v="34"/>
    <x v="0"/>
  </r>
  <r>
    <n v="1143"/>
    <s v="HOMBRE"/>
    <n v="12798545"/>
    <x v="0"/>
    <x v="0"/>
    <s v="SI"/>
    <s v="NO"/>
    <s v="NO"/>
    <n v="39"/>
    <n v="0.21028567737269524"/>
    <s v="No"/>
    <n v="0.16267714875879649"/>
    <s v="No"/>
    <n v="12798545"/>
    <n v="39"/>
    <x v="0"/>
  </r>
  <r>
    <n v="1144"/>
    <s v="MUJER"/>
    <n v="385000"/>
    <x v="0"/>
    <x v="1"/>
    <s v="SI"/>
    <s v="NO"/>
    <s v="NO"/>
    <n v="25"/>
    <n v="1.1983402984526204"/>
    <s v="No"/>
    <n v="0.36924730043162218"/>
    <s v="No"/>
    <n v="385000"/>
    <n v="25"/>
    <x v="0"/>
  </r>
  <r>
    <n v="1145"/>
    <s v="HOMBRE"/>
    <n v="555522"/>
    <x v="0"/>
    <x v="1"/>
    <s v="SI"/>
    <s v="NO"/>
    <s v="NO"/>
    <n v="53"/>
    <n v="0.77776894370722982"/>
    <s v="No"/>
    <n v="0.3664096939780625"/>
    <s v="No"/>
    <n v="555522"/>
    <n v="53"/>
    <x v="0"/>
  </r>
  <r>
    <n v="1146"/>
    <s v="HOMBRE"/>
    <n v="11901859"/>
    <x v="0"/>
    <x v="0"/>
    <s v="SI"/>
    <s v="NO"/>
    <s v="NO"/>
    <n v="44"/>
    <n v="0.14259097301299228"/>
    <s v="No"/>
    <n v="0.17759863678038093"/>
    <s v="No"/>
    <n v="11901859"/>
    <n v="44"/>
    <x v="0"/>
  </r>
  <r>
    <n v="1147"/>
    <s v="MUJER"/>
    <n v="5505905"/>
    <x v="0"/>
    <x v="0"/>
    <s v="SI"/>
    <s v="NO"/>
    <s v="NO"/>
    <n v="26"/>
    <n v="1.1277649683754829"/>
    <s v="No"/>
    <n v="0.2840318263223221"/>
    <s v="No"/>
    <n v="5505905"/>
    <n v="26"/>
    <x v="0"/>
  </r>
  <r>
    <n v="1148"/>
    <s v="HOMBRE"/>
    <n v="297046"/>
    <x v="3"/>
    <x v="1"/>
    <s v="SI"/>
    <s v="NO"/>
    <s v="NO"/>
    <n v="50"/>
    <n v="0.56604295347581735"/>
    <s v="No"/>
    <n v="0.37071091707942361"/>
    <s v="No"/>
    <n v="297046"/>
    <n v="50"/>
    <x v="3"/>
  </r>
  <r>
    <n v="1149"/>
    <s v="MUJER"/>
    <n v="475006"/>
    <x v="0"/>
    <x v="1"/>
    <s v="SI"/>
    <s v="NO"/>
    <s v="NO"/>
    <n v="24"/>
    <n v="1.2689156285297578"/>
    <s v="No"/>
    <n v="0.36774953705528896"/>
    <s v="No"/>
    <n v="475006"/>
    <n v="24"/>
    <x v="0"/>
  </r>
  <r>
    <n v="1150"/>
    <s v="MUJER"/>
    <n v="356649"/>
    <x v="3"/>
    <x v="1"/>
    <s v="SI"/>
    <s v="NO"/>
    <s v="SI"/>
    <n v="48"/>
    <n v="0.42489229332154227"/>
    <s v="No"/>
    <n v="0.36971908108493889"/>
    <s v="No"/>
    <n v="356649"/>
    <n v="48"/>
    <x v="3"/>
  </r>
  <r>
    <n v="1151"/>
    <s v="HOMBRE"/>
    <n v="278030"/>
    <x v="4"/>
    <x v="1"/>
    <s v="SI"/>
    <s v="NO"/>
    <s v="NO"/>
    <n v="38"/>
    <n v="0.28086100744983278"/>
    <s v="No"/>
    <n v="0.37102735674304993"/>
    <s v="No"/>
    <n v="278030"/>
    <n v="38"/>
    <x v="4"/>
  </r>
  <r>
    <n v="1152"/>
    <s v="MUJER"/>
    <n v="290000"/>
    <x v="0"/>
    <x v="1"/>
    <s v="SI"/>
    <s v="NO"/>
    <s v="NO"/>
    <n v="57"/>
    <n v="1.0600702640157798"/>
    <s v="No"/>
    <n v="0.3708281674932809"/>
    <s v="No"/>
    <n v="290000"/>
    <n v="57"/>
    <x v="0"/>
  </r>
  <r>
    <n v="1153"/>
    <s v="MUJER"/>
    <n v="1122731"/>
    <x v="1"/>
    <x v="0"/>
    <s v="SI"/>
    <s v="NO"/>
    <s v="NO"/>
    <n v="63"/>
    <n v="1.4835222444786049"/>
    <s v="No"/>
    <n v="0.35697093581831107"/>
    <s v="No"/>
    <n v="1122731"/>
    <n v="63"/>
    <x v="1"/>
  </r>
  <r>
    <n v="1154"/>
    <s v="MUJER"/>
    <n v="15511665"/>
    <x v="0"/>
    <x v="0"/>
    <s v="SI"/>
    <s v="NO"/>
    <s v="NO"/>
    <n v="31"/>
    <n v="0.77488831798979529"/>
    <s v="No"/>
    <n v="0.11752891673429608"/>
    <s v="No"/>
    <n v="15511665"/>
    <n v="31"/>
    <x v="0"/>
  </r>
  <r>
    <n v="1155"/>
    <s v="MUJER"/>
    <n v="479260"/>
    <x v="0"/>
    <x v="1"/>
    <s v="SI"/>
    <s v="NO"/>
    <s v="NO"/>
    <n v="28"/>
    <n v="0.98661430822120777"/>
    <s v="No"/>
    <n v="0.36767874749233848"/>
    <s v="No"/>
    <n v="479260"/>
    <n v="28"/>
    <x v="0"/>
  </r>
  <r>
    <n v="1156"/>
    <s v="MUJER"/>
    <n v="1235915"/>
    <x v="1"/>
    <x v="0"/>
    <s v="SI"/>
    <s v="NO"/>
    <s v="NO"/>
    <n v="64"/>
    <n v="1.5540975745557424"/>
    <s v="No"/>
    <n v="0.35508747416034492"/>
    <s v="No"/>
    <n v="1235915"/>
    <n v="64"/>
    <x v="1"/>
  </r>
  <r>
    <n v="1157"/>
    <s v="HOMBRE"/>
    <n v="45423029"/>
    <x v="0"/>
    <x v="0"/>
    <s v="SI"/>
    <s v="NO"/>
    <s v="NO"/>
    <n v="42"/>
    <n v="1.4403128587172659E-3"/>
    <s v="No"/>
    <n v="0.38021729502238572"/>
    <s v="No"/>
    <n v="45423029"/>
    <n v="42"/>
    <x v="0"/>
  </r>
  <r>
    <n v="1158"/>
    <s v="HOMBRE"/>
    <n v="7673267"/>
    <x v="0"/>
    <x v="0"/>
    <s v="SI"/>
    <s v="NO"/>
    <s v="NO"/>
    <n v="37"/>
    <n v="0.35143633752697023"/>
    <s v="No"/>
    <n v="0.24796539267505061"/>
    <s v="No"/>
    <n v="7673267"/>
    <n v="37"/>
    <x v="0"/>
  </r>
  <r>
    <n v="1159"/>
    <s v="HOMBRE"/>
    <n v="322474"/>
    <x v="3"/>
    <x v="1"/>
    <s v="SI"/>
    <s v="NO"/>
    <s v="SI"/>
    <n v="28"/>
    <n v="0.98661430822120777"/>
    <s v="No"/>
    <n v="0.37028777720948824"/>
    <s v="No"/>
    <n v="322474"/>
    <n v="28"/>
    <x v="3"/>
  </r>
  <r>
    <n v="1160"/>
    <s v="MUJER"/>
    <n v="400000"/>
    <x v="0"/>
    <x v="1"/>
    <s v="SI"/>
    <s v="NO"/>
    <s v="SI"/>
    <n v="37"/>
    <n v="0.35143633752697023"/>
    <s v="No"/>
    <n v="0.36899768984293924"/>
    <s v="No"/>
    <n v="400000"/>
    <n v="37"/>
    <x v="0"/>
  </r>
  <r>
    <n v="1161"/>
    <s v="HOMBRE"/>
    <n v="44579984"/>
    <x v="0"/>
    <x v="1"/>
    <s v="SI"/>
    <s v="SI"/>
    <s v="NO"/>
    <n v="34"/>
    <n v="0.56316232775838282"/>
    <s v="No"/>
    <n v="0.36618843110663746"/>
    <s v="No"/>
    <n v="44579984"/>
    <n v="34"/>
    <x v="0"/>
  </r>
  <r>
    <n v="1162"/>
    <s v="HOMBRE"/>
    <n v="297046"/>
    <x v="2"/>
    <x v="1"/>
    <s v="SI"/>
    <s v="NO"/>
    <s v="NO"/>
    <n v="48"/>
    <n v="0.42489229332154227"/>
    <s v="No"/>
    <n v="0.37071091707942361"/>
    <s v="No"/>
    <n v="297046"/>
    <n v="48"/>
    <x v="2"/>
  </r>
  <r>
    <n v="1163"/>
    <s v="MUJER"/>
    <n v="62772031"/>
    <x v="0"/>
    <x v="1"/>
    <s v="SI"/>
    <s v="NO"/>
    <s v="NO"/>
    <n v="20"/>
    <n v="1.5512169488383079"/>
    <s v="No"/>
    <n v="0.66891693517450634"/>
    <s v="No"/>
    <n v="62772031"/>
    <n v="20"/>
    <x v="0"/>
  </r>
  <r>
    <n v="1164"/>
    <s v="HOMBRE"/>
    <n v="540000"/>
    <x v="0"/>
    <x v="1"/>
    <s v="SI"/>
    <s v="NO"/>
    <s v="NO"/>
    <n v="28"/>
    <n v="0.98661430822120777"/>
    <s v="No"/>
    <n v="0.36666799101523162"/>
    <s v="No"/>
    <n v="540000"/>
    <n v="28"/>
    <x v="0"/>
  </r>
  <r>
    <n v="1165"/>
    <s v="MUJER"/>
    <n v="4758325"/>
    <x v="0"/>
    <x v="1"/>
    <s v="SI"/>
    <s v="NO"/>
    <s v="NO"/>
    <n v="26"/>
    <n v="1.1277649683754829"/>
    <s v="No"/>
    <n v="0.29647208524816249"/>
    <s v="No"/>
    <n v="4758325"/>
    <n v="26"/>
    <x v="0"/>
  </r>
  <r>
    <n v="1166"/>
    <s v="HOMBRE"/>
    <n v="32451638"/>
    <x v="0"/>
    <x v="0"/>
    <s v="SI"/>
    <s v="NO"/>
    <s v="NO"/>
    <n v="54"/>
    <n v="0.84834427378436728"/>
    <s v="No"/>
    <n v="0.16436419211926448"/>
    <s v="No"/>
    <n v="32451638"/>
    <n v="54"/>
    <x v="0"/>
  </r>
  <r>
    <n v="1167"/>
    <s v="MUJER"/>
    <n v="3300500"/>
    <x v="0"/>
    <x v="1"/>
    <s v="SI"/>
    <s v="NO"/>
    <s v="NO"/>
    <n v="48"/>
    <n v="0.42489229332154227"/>
    <s v="No"/>
    <n v="0.32073132234461132"/>
    <s v="No"/>
    <n v="3300500"/>
    <n v="48"/>
    <x v="0"/>
  </r>
  <r>
    <n v="1168"/>
    <s v="HOMBRE"/>
    <n v="387626"/>
    <x v="3"/>
    <x v="1"/>
    <s v="SI"/>
    <s v="NO"/>
    <s v="SI"/>
    <n v="32"/>
    <n v="0.70431298791265773"/>
    <s v="No"/>
    <n v="0.36920360193789675"/>
    <s v="No"/>
    <n v="387626"/>
    <n v="32"/>
    <x v="3"/>
  </r>
  <r>
    <n v="1169"/>
    <s v="HOMBRE"/>
    <n v="802029"/>
    <x v="3"/>
    <x v="1"/>
    <s v="SI"/>
    <s v="NO"/>
    <s v="NO"/>
    <n v="60"/>
    <n v="1.2717962542471923"/>
    <s v="No"/>
    <n v="0.3623076434857645"/>
    <s v="No"/>
    <n v="802029"/>
    <n v="60"/>
    <x v="3"/>
  </r>
  <r>
    <n v="1170"/>
    <s v="HOMBRE"/>
    <n v="331171"/>
    <x v="0"/>
    <x v="1"/>
    <s v="SI"/>
    <s v="NO"/>
    <s v="NO"/>
    <n v="47"/>
    <n v="0.35431696324440481"/>
    <s v="No"/>
    <n v="0.37014305299016986"/>
    <s v="No"/>
    <n v="331171"/>
    <n v="47"/>
    <x v="0"/>
  </r>
  <r>
    <n v="1171"/>
    <s v="HOMBRE"/>
    <n v="365205272"/>
    <x v="1"/>
    <x v="0"/>
    <s v="SI"/>
    <s v="NO"/>
    <s v="NO"/>
    <n v="67"/>
    <n v="1.765823564787155"/>
    <s v="No"/>
    <n v="5.7016195567281596"/>
    <s v="Sí"/>
    <n v="365205272"/>
    <n v="67"/>
    <x v="1"/>
  </r>
  <r>
    <n v="1172"/>
    <s v="HOMBRE"/>
    <n v="203698028"/>
    <x v="0"/>
    <x v="1"/>
    <s v="SI"/>
    <s v="NO"/>
    <s v="NO"/>
    <n v="36"/>
    <n v="0.42201166760410774"/>
    <s v="No"/>
    <n v="3.0140250066346881"/>
    <s v="Sí"/>
    <n v="203698028"/>
    <n v="36"/>
    <x v="0"/>
  </r>
  <r>
    <n v="1173"/>
    <s v="HOMBRE"/>
    <n v="27946372"/>
    <x v="1"/>
    <x v="0"/>
    <s v="SI"/>
    <s v="NO"/>
    <s v="NO"/>
    <n v="72"/>
    <n v="2.1187002151728422"/>
    <s v="Sí"/>
    <n v="8.9393385557043542E-2"/>
    <s v="No"/>
    <n v="27946372"/>
    <n v="72"/>
    <x v="1"/>
  </r>
  <r>
    <n v="1174"/>
    <s v="HOMBRE"/>
    <n v="17001399"/>
    <x v="0"/>
    <x v="1"/>
    <s v="SI"/>
    <s v="NO"/>
    <s v="NO"/>
    <n v="40"/>
    <n v="0.13971034729555773"/>
    <s v="No"/>
    <n v="9.2738691352894934E-2"/>
    <s v="No"/>
    <n v="17001399"/>
    <n v="40"/>
    <x v="0"/>
  </r>
  <r>
    <n v="1175"/>
    <s v="MUJER"/>
    <n v="307580"/>
    <x v="0"/>
    <x v="1"/>
    <s v="SI"/>
    <s v="NO"/>
    <s v="NO"/>
    <n v="19"/>
    <n v="1.6217922789154453"/>
    <s v="No"/>
    <n v="0.37053562388334449"/>
    <s v="No"/>
    <n v="307580"/>
    <n v="19"/>
    <x v="0"/>
  </r>
  <r>
    <n v="1176"/>
    <s v="HOMBRE"/>
    <n v="7296894"/>
    <x v="0"/>
    <x v="1"/>
    <s v="SI"/>
    <s v="SI"/>
    <s v="NO"/>
    <n v="38"/>
    <n v="0.28086100744983278"/>
    <s v="No"/>
    <n v="0.25422850508134198"/>
    <s v="No"/>
    <n v="7296894"/>
    <n v="38"/>
    <x v="0"/>
  </r>
  <r>
    <n v="1177"/>
    <s v="MUJER"/>
    <n v="28786275"/>
    <x v="0"/>
    <x v="0"/>
    <s v="SI"/>
    <s v="NO"/>
    <s v="NO"/>
    <n v="56"/>
    <n v="0.9894949339386423"/>
    <s v="No"/>
    <n v="0.10336996437481569"/>
    <s v="No"/>
    <n v="28786275"/>
    <n v="56"/>
    <x v="0"/>
  </r>
  <r>
    <n v="1178"/>
    <s v="HOMBRE"/>
    <n v="42058335"/>
    <x v="0"/>
    <x v="1"/>
    <s v="SI"/>
    <s v="NO"/>
    <s v="NO"/>
    <n v="42"/>
    <n v="1.4403128587172659E-3"/>
    <s v="No"/>
    <n v="0.32422641168385136"/>
    <s v="No"/>
    <n v="42058335"/>
    <n v="42"/>
    <x v="0"/>
  </r>
  <r>
    <n v="1179"/>
    <s v="MUJER"/>
    <n v="716640"/>
    <x v="0"/>
    <x v="1"/>
    <s v="SI"/>
    <s v="NO"/>
    <s v="NO"/>
    <n v="31"/>
    <n v="0.77488831798979529"/>
    <s v="No"/>
    <n v="0.3637285767229011"/>
    <s v="No"/>
    <n v="716640"/>
    <n v="31"/>
    <x v="0"/>
  </r>
  <r>
    <n v="1180"/>
    <s v="HOMBRE"/>
    <n v="330000"/>
    <x v="0"/>
    <x v="1"/>
    <s v="SI"/>
    <s v="SI"/>
    <s v="SI"/>
    <n v="56"/>
    <n v="0.9894949339386423"/>
    <s v="No"/>
    <n v="0.37016253925679304"/>
    <s v="No"/>
    <n v="330000"/>
    <n v="56"/>
    <x v="0"/>
  </r>
  <r>
    <n v="1181"/>
    <s v="HOMBRE"/>
    <n v="38971632"/>
    <x v="0"/>
    <x v="1"/>
    <s v="SI"/>
    <s v="NO"/>
    <s v="NO"/>
    <n v="50"/>
    <n v="0.56604295347581735"/>
    <s v="No"/>
    <n v="0.27286149482255462"/>
    <s v="No"/>
    <n v="38971632"/>
    <n v="50"/>
    <x v="0"/>
  </r>
  <r>
    <n v="1182"/>
    <s v="MUJER"/>
    <n v="297046"/>
    <x v="2"/>
    <x v="1"/>
    <s v="SI"/>
    <s v="NO"/>
    <s v="NO"/>
    <n v="42"/>
    <n v="1.4403128587172659E-3"/>
    <s v="No"/>
    <n v="0.37071091707942361"/>
    <s v="No"/>
    <n v="297046"/>
    <n v="42"/>
    <x v="2"/>
  </r>
  <r>
    <n v="1183"/>
    <s v="MUJER"/>
    <n v="299647"/>
    <x v="2"/>
    <x v="1"/>
    <s v="SI"/>
    <s v="NO"/>
    <s v="NO"/>
    <n v="83"/>
    <n v="2.8950288460213551"/>
    <s v="Sí"/>
    <n v="0.37066763460334595"/>
    <s v="No"/>
    <n v="299647"/>
    <n v="83"/>
    <x v="2"/>
  </r>
  <r>
    <n v="1184"/>
    <s v="MUJER"/>
    <n v="53065496"/>
    <x v="0"/>
    <x v="1"/>
    <s v="SI"/>
    <s v="NO"/>
    <s v="NO"/>
    <n v="26"/>
    <n v="1.1277649683754829"/>
    <s v="No"/>
    <n v="0.50739334081305754"/>
    <s v="No"/>
    <n v="53065496"/>
    <n v="26"/>
    <x v="0"/>
  </r>
  <r>
    <n v="1185"/>
    <s v="MUJER"/>
    <n v="580000"/>
    <x v="0"/>
    <x v="1"/>
    <s v="SI"/>
    <s v="NO"/>
    <s v="NO"/>
    <n v="29"/>
    <n v="0.91603897814407031"/>
    <s v="No"/>
    <n v="0.36600236277874376"/>
    <s v="No"/>
    <n v="580000"/>
    <n v="29"/>
    <x v="0"/>
  </r>
  <r>
    <n v="1186"/>
    <s v="MUJER"/>
    <n v="59015682"/>
    <x v="0"/>
    <x v="1"/>
    <s v="SI"/>
    <s v="NO"/>
    <s v="NO"/>
    <n v="27"/>
    <n v="1.0571896382983452"/>
    <s v="No"/>
    <n v="0.60640863616193041"/>
    <s v="No"/>
    <n v="59015682"/>
    <n v="27"/>
    <x v="0"/>
  </r>
  <r>
    <n v="1187"/>
    <s v="MUJER"/>
    <n v="113671666"/>
    <x v="0"/>
    <x v="1"/>
    <s v="SI"/>
    <s v="NO"/>
    <s v="NO"/>
    <n v="27"/>
    <n v="1.0571896382983452"/>
    <s v="No"/>
    <n v="1.5159227922476846"/>
    <s v="No"/>
    <n v="113671666"/>
    <n v="27"/>
    <x v="0"/>
  </r>
  <r>
    <n v="1188"/>
    <s v="HOMBRE"/>
    <n v="458557"/>
    <x v="3"/>
    <x v="1"/>
    <s v="SI"/>
    <s v="NO"/>
    <s v="NO"/>
    <n v="42"/>
    <n v="1.4403128587172659E-3"/>
    <s v="No"/>
    <n v="0.36802326002683872"/>
    <s v="No"/>
    <n v="458557"/>
    <n v="42"/>
    <x v="3"/>
  </r>
  <r>
    <n v="1189"/>
    <s v="HOMBRE"/>
    <n v="127349063"/>
    <x v="0"/>
    <x v="1"/>
    <s v="SI"/>
    <s v="NO"/>
    <s v="NO"/>
    <n v="27"/>
    <n v="1.0571896382983452"/>
    <s v="No"/>
    <n v="1.7435243333690527"/>
    <s v="No"/>
    <n v="127349063"/>
    <n v="27"/>
    <x v="0"/>
  </r>
  <r>
    <n v="1190"/>
    <s v="HOMBRE"/>
    <n v="403983"/>
    <x v="3"/>
    <x v="1"/>
    <s v="SI"/>
    <s v="NO"/>
    <s v="SI"/>
    <n v="43"/>
    <n v="7.2015642935854773E-2"/>
    <s v="No"/>
    <n v="0.36893140991129098"/>
    <s v="No"/>
    <n v="403983"/>
    <n v="43"/>
    <x v="3"/>
  </r>
  <r>
    <n v="1191"/>
    <s v="HOMBRE"/>
    <n v="1646695"/>
    <x v="0"/>
    <x v="0"/>
    <s v="SI"/>
    <s v="NO"/>
    <s v="SI"/>
    <n v="54"/>
    <n v="0.84834427378436728"/>
    <s v="No"/>
    <n v="0.34825180498573255"/>
    <s v="No"/>
    <n v="1646695"/>
    <n v="54"/>
    <x v="0"/>
  </r>
  <r>
    <n v="1192"/>
    <s v="MUJER"/>
    <n v="634764"/>
    <x v="1"/>
    <x v="0"/>
    <s v="SI"/>
    <s v="NO"/>
    <s v="NO"/>
    <n v="69"/>
    <n v="1.9069742249414299"/>
    <s v="No"/>
    <n v="0.36509105116016816"/>
    <s v="No"/>
    <n v="634764"/>
    <n v="69"/>
    <x v="1"/>
  </r>
  <r>
    <n v="1193"/>
    <s v="HOMBRE"/>
    <n v="303131"/>
    <x v="1"/>
    <x v="0"/>
    <s v="SI"/>
    <s v="NO"/>
    <s v="NO"/>
    <n v="88"/>
    <n v="3.2479054964070424"/>
    <s v="Sí"/>
    <n v="0.37060965838394788"/>
    <s v="No"/>
    <n v="303131"/>
    <n v="88"/>
    <x v="1"/>
  </r>
  <r>
    <n v="1194"/>
    <s v="MUJER"/>
    <n v="298751"/>
    <x v="3"/>
    <x v="1"/>
    <s v="SI"/>
    <s v="NO"/>
    <s v="SI"/>
    <n v="36"/>
    <n v="0.42201166760410774"/>
    <s v="No"/>
    <n v="0.37068254467584327"/>
    <s v="No"/>
    <n v="298751"/>
    <n v="36"/>
    <x v="3"/>
  </r>
  <r>
    <n v="1195"/>
    <s v="MUJER"/>
    <n v="220000"/>
    <x v="0"/>
    <x v="1"/>
    <s v="SI"/>
    <s v="NO"/>
    <s v="NO"/>
    <n v="25"/>
    <n v="1.1983402984526204"/>
    <s v="No"/>
    <n v="0.37199301690713471"/>
    <s v="No"/>
    <n v="220000"/>
    <n v="25"/>
    <x v="0"/>
  </r>
  <r>
    <n v="1196"/>
    <s v="HOMBRE"/>
    <n v="446228"/>
    <x v="0"/>
    <x v="1"/>
    <s v="SI"/>
    <s v="NO"/>
    <s v="NO"/>
    <n v="30"/>
    <n v="0.84546364806693275"/>
    <s v="No"/>
    <n v="0.36822842329003019"/>
    <s v="No"/>
    <n v="446228"/>
    <n v="30"/>
    <x v="0"/>
  </r>
  <r>
    <n v="1197"/>
    <s v="HOMBRE"/>
    <n v="24000"/>
    <x v="0"/>
    <x v="1"/>
    <s v="SI"/>
    <s v="SI"/>
    <s v="NO"/>
    <n v="35"/>
    <n v="0.49258699768124525"/>
    <s v="No"/>
    <n v="0.37525459526592536"/>
    <s v="No"/>
    <n v="24000"/>
    <n v="35"/>
    <x v="0"/>
  </r>
  <r>
    <n v="1198"/>
    <s v="HOMBRE"/>
    <n v="1201593"/>
    <x v="0"/>
    <x v="1"/>
    <s v="SI"/>
    <s v="NO"/>
    <s v="NO"/>
    <n v="66"/>
    <n v="1.6952482347100173"/>
    <s v="No"/>
    <n v="0.35565861646866337"/>
    <s v="No"/>
    <n v="1201593"/>
    <n v="66"/>
    <x v="0"/>
  </r>
  <r>
    <n v="1199"/>
    <s v="HOMBRE"/>
    <n v="29682251"/>
    <x v="0"/>
    <x v="1"/>
    <s v="SI"/>
    <s v="SI"/>
    <s v="NO"/>
    <n v="27"/>
    <n v="1.0571896382983452"/>
    <s v="No"/>
    <n v="0.11827963749520247"/>
    <s v="No"/>
    <n v="29682251"/>
    <n v="27"/>
    <x v="0"/>
  </r>
  <r>
    <n v="1200"/>
    <s v="MUJER"/>
    <n v="278031"/>
    <x v="2"/>
    <x v="1"/>
    <s v="SI"/>
    <s v="NO"/>
    <s v="SI"/>
    <n v="46"/>
    <n v="0.2837416331672673"/>
    <s v="No"/>
    <n v="0.37102734010234401"/>
    <s v="No"/>
    <n v="278031"/>
    <n v="46"/>
    <x v="2"/>
  </r>
  <r>
    <n v="1201"/>
    <s v="HOMBRE"/>
    <n v="305704"/>
    <x v="3"/>
    <x v="1"/>
    <s v="SI"/>
    <s v="NO"/>
    <s v="SI"/>
    <n v="62"/>
    <n v="1.4129469144014672"/>
    <s v="No"/>
    <n v="0.37056684184763578"/>
    <s v="No"/>
    <n v="305704"/>
    <n v="62"/>
    <x v="3"/>
  </r>
  <r>
    <n v="1202"/>
    <s v="MUJER"/>
    <n v="164917"/>
    <x v="0"/>
    <x v="0"/>
    <s v="SI"/>
    <s v="NO"/>
    <s v="NO"/>
    <n v="42"/>
    <n v="1.4403128587172659E-3"/>
    <s v="No"/>
    <n v="0.37290963691089629"/>
    <s v="No"/>
    <n v="164917"/>
    <n v="42"/>
    <x v="0"/>
  </r>
  <r>
    <n v="1203"/>
    <s v="HOMBRE"/>
    <n v="278030"/>
    <x v="4"/>
    <x v="1"/>
    <s v="SI"/>
    <s v="NO"/>
    <s v="SI"/>
    <n v="68"/>
    <n v="1.8363988948642924"/>
    <s v="No"/>
    <n v="0.37102735674304993"/>
    <s v="No"/>
    <n v="278030"/>
    <n v="68"/>
    <x v="4"/>
  </r>
  <r>
    <n v="1204"/>
    <s v="HOMBRE"/>
    <n v="297046"/>
    <x v="3"/>
    <x v="1"/>
    <s v="SI"/>
    <s v="SI"/>
    <s v="SI"/>
    <n v="51"/>
    <n v="0.6366182835529548"/>
    <s v="No"/>
    <n v="0.37071091707942361"/>
    <s v="No"/>
    <n v="297046"/>
    <n v="51"/>
    <x v="3"/>
  </r>
  <r>
    <n v="1205"/>
    <s v="HOMBRE"/>
    <n v="14894005"/>
    <x v="0"/>
    <x v="0"/>
    <s v="SI"/>
    <s v="NO"/>
    <s v="NO"/>
    <n v="33"/>
    <n v="0.63373765783552027"/>
    <s v="No"/>
    <n v="0.12780721514802379"/>
    <s v="No"/>
    <n v="14894005"/>
    <n v="33"/>
    <x v="0"/>
  </r>
  <r>
    <n v="1206"/>
    <s v="HOMBRE"/>
    <n v="355741"/>
    <x v="3"/>
    <x v="1"/>
    <s v="SI"/>
    <s v="NO"/>
    <s v="SI"/>
    <n v="66"/>
    <n v="1.6952482347100173"/>
    <s v="No"/>
    <n v="0.3697341908459072"/>
    <s v="No"/>
    <n v="355741"/>
    <n v="66"/>
    <x v="3"/>
  </r>
  <r>
    <n v="1207"/>
    <s v="MUJER"/>
    <n v="3148285"/>
    <x v="0"/>
    <x v="1"/>
    <s v="SI"/>
    <s v="SI"/>
    <s v="NO"/>
    <n v="22"/>
    <n v="1.4100662886840327"/>
    <s v="No"/>
    <n v="0.32326428739503643"/>
    <s v="No"/>
    <n v="3148285"/>
    <n v="22"/>
    <x v="0"/>
  </r>
  <r>
    <n v="1208"/>
    <s v="MUJER"/>
    <n v="297045"/>
    <x v="2"/>
    <x v="1"/>
    <s v="SI"/>
    <s v="NO"/>
    <s v="NO"/>
    <n v="49"/>
    <n v="0.49546762339867978"/>
    <s v="No"/>
    <n v="0.37071093372012948"/>
    <s v="No"/>
    <n v="297045"/>
    <n v="49"/>
    <x v="2"/>
  </r>
  <r>
    <n v="1209"/>
    <s v="HOMBRE"/>
    <n v="335543816"/>
    <x v="0"/>
    <x v="0"/>
    <s v="SI"/>
    <s v="NO"/>
    <s v="NO"/>
    <n v="34"/>
    <n v="0.56316232775838282"/>
    <s v="No"/>
    <n v="5.2080319905045833"/>
    <s v="Sí"/>
    <n v="335543816"/>
    <n v="34"/>
    <x v="0"/>
  </r>
  <r>
    <n v="1210"/>
    <s v="HOMBRE"/>
    <n v="278030"/>
    <x v="4"/>
    <x v="1"/>
    <s v="SI"/>
    <s v="NO"/>
    <s v="NO"/>
    <n v="42"/>
    <n v="1.4403128587172659E-3"/>
    <s v="No"/>
    <n v="0.37102735674304993"/>
    <s v="No"/>
    <n v="278030"/>
    <n v="42"/>
    <x v="4"/>
  </r>
  <r>
    <n v="1211"/>
    <s v="HOMBRE"/>
    <n v="1177801"/>
    <x v="1"/>
    <x v="0"/>
    <s v="SI"/>
    <s v="NO"/>
    <s v="NO"/>
    <n v="82"/>
    <n v="2.8244535159442172"/>
    <s v="Sí"/>
    <n v="0.35605453214372634"/>
    <s v="No"/>
    <n v="1177801"/>
    <n v="82"/>
    <x v="1"/>
  </r>
  <r>
    <n v="1212"/>
    <s v="HOMBRE"/>
    <n v="297046"/>
    <x v="3"/>
    <x v="1"/>
    <s v="SI"/>
    <s v="NO"/>
    <s v="NO"/>
    <n v="38"/>
    <n v="0.28086100744983278"/>
    <s v="No"/>
    <n v="0.37071091707942361"/>
    <s v="No"/>
    <n v="297046"/>
    <n v="38"/>
    <x v="3"/>
  </r>
  <r>
    <n v="1213"/>
    <s v="HOMBRE"/>
    <n v="278030"/>
    <x v="4"/>
    <x v="1"/>
    <s v="SI"/>
    <s v="NO"/>
    <s v="NO"/>
    <n v="64"/>
    <n v="1.5540975745557424"/>
    <s v="No"/>
    <n v="0.37102735674304993"/>
    <s v="No"/>
    <n v="278030"/>
    <n v="64"/>
    <x v="4"/>
  </r>
  <r>
    <n v="1214"/>
    <s v="HOMBRE"/>
    <n v="3580557"/>
    <x v="1"/>
    <x v="0"/>
    <s v="SI"/>
    <s v="NO"/>
    <s v="NO"/>
    <n v="82"/>
    <n v="2.8244535159442172"/>
    <s v="Sí"/>
    <n v="0.31607097616895913"/>
    <s v="No"/>
    <n v="3580557"/>
    <n v="82"/>
    <x v="1"/>
  </r>
  <r>
    <n v="1215"/>
    <s v="HOMBRE"/>
    <n v="159780"/>
    <x v="0"/>
    <x v="1"/>
    <s v="SI"/>
    <s v="SI"/>
    <s v="SI"/>
    <n v="37"/>
    <n v="0.35143633752697023"/>
    <s v="No"/>
    <n v="0.37299512021716724"/>
    <s v="No"/>
    <n v="159780"/>
    <n v="37"/>
    <x v="0"/>
  </r>
  <r>
    <n v="1216"/>
    <s v="HOMBRE"/>
    <n v="592110"/>
    <x v="0"/>
    <x v="1"/>
    <s v="SI"/>
    <s v="NO"/>
    <s v="NO"/>
    <n v="21"/>
    <n v="1.4806416187611704"/>
    <s v="No"/>
    <n v="0.36580084383014705"/>
    <s v="No"/>
    <n v="592110"/>
    <n v="21"/>
    <x v="0"/>
  </r>
  <r>
    <n v="1217"/>
    <s v="HOMBRE"/>
    <n v="64070561"/>
    <x v="0"/>
    <x v="1"/>
    <s v="SI"/>
    <s v="SI"/>
    <s v="NO"/>
    <n v="25"/>
    <n v="1.1983402984526204"/>
    <s v="No"/>
    <n v="0.69052539102267174"/>
    <s v="No"/>
    <n v="64070561"/>
    <n v="25"/>
    <x v="0"/>
  </r>
  <r>
    <n v="1218"/>
    <s v="HOMBRE"/>
    <n v="3000000"/>
    <x v="0"/>
    <x v="1"/>
    <s v="SI"/>
    <s v="NO"/>
    <s v="NO"/>
    <n v="53"/>
    <n v="0.77776894370722982"/>
    <s v="No"/>
    <n v="0.3257318544712266"/>
    <s v="No"/>
    <n v="3000000"/>
    <n v="53"/>
    <x v="0"/>
  </r>
  <r>
    <n v="1219"/>
    <s v="HOMBRE"/>
    <n v="28699048"/>
    <x v="0"/>
    <x v="1"/>
    <s v="SI"/>
    <s v="NO"/>
    <s v="NO"/>
    <n v="20"/>
    <n v="1.5512169488383079"/>
    <s v="No"/>
    <n v="0.10191844552021247"/>
    <s v="No"/>
    <n v="28699048"/>
    <n v="20"/>
    <x v="0"/>
  </r>
  <r>
    <n v="1220"/>
    <s v="MUJER"/>
    <n v="297046"/>
    <x v="2"/>
    <x v="1"/>
    <s v="SI"/>
    <s v="SI"/>
    <s v="NO"/>
    <n v="19"/>
    <n v="1.6217922789154453"/>
    <s v="No"/>
    <n v="0.37071091707942361"/>
    <s v="No"/>
    <n v="297046"/>
    <n v="19"/>
    <x v="2"/>
  </r>
  <r>
    <n v="1221"/>
    <s v="MUJER"/>
    <n v="48613905"/>
    <x v="0"/>
    <x v="1"/>
    <s v="SI"/>
    <s v="NO"/>
    <s v="NO"/>
    <n v="48"/>
    <n v="0.42489229332154227"/>
    <s v="No"/>
    <n v="0.43331572414067382"/>
    <s v="No"/>
    <n v="48613905"/>
    <n v="48"/>
    <x v="0"/>
  </r>
  <r>
    <n v="1222"/>
    <s v="HOMBRE"/>
    <n v="40418198"/>
    <x v="0"/>
    <x v="1"/>
    <s v="SI"/>
    <s v="SI"/>
    <s v="NO"/>
    <n v="57"/>
    <n v="1.0600702640157798"/>
    <s v="No"/>
    <n v="0.29693337421113802"/>
    <s v="No"/>
    <n v="40418198"/>
    <n v="57"/>
    <x v="0"/>
  </r>
  <r>
    <n v="1223"/>
    <s v="HOMBRE"/>
    <n v="297046"/>
    <x v="2"/>
    <x v="1"/>
    <s v="SI"/>
    <s v="NO"/>
    <s v="NO"/>
    <n v="31"/>
    <n v="0.77488831798979529"/>
    <s v="No"/>
    <n v="0.37071091707942361"/>
    <s v="No"/>
    <n v="297046"/>
    <n v="31"/>
    <x v="2"/>
  </r>
  <r>
    <n v="1224"/>
    <s v="MUJER"/>
    <n v="22709748"/>
    <x v="0"/>
    <x v="1"/>
    <s v="SI"/>
    <s v="NO"/>
    <s v="NO"/>
    <n v="36"/>
    <n v="0.42201166760410774"/>
    <s v="No"/>
    <n v="2.252265600289914E-3"/>
    <s v="No"/>
    <n v="22709748"/>
    <n v="36"/>
    <x v="0"/>
  </r>
  <r>
    <n v="1225"/>
    <s v="HOMBRE"/>
    <n v="415869"/>
    <x v="3"/>
    <x v="1"/>
    <s v="SI"/>
    <s v="SI"/>
    <s v="SI"/>
    <n v="61"/>
    <n v="1.3423715843243298"/>
    <s v="No"/>
    <n v="0.36873361848081859"/>
    <s v="No"/>
    <n v="415869"/>
    <n v="61"/>
    <x v="3"/>
  </r>
  <r>
    <n v="1226"/>
    <s v="MUJER"/>
    <n v="418017"/>
    <x v="0"/>
    <x v="1"/>
    <s v="SI"/>
    <s v="NO"/>
    <s v="NO"/>
    <n v="33"/>
    <n v="0.63373765783552027"/>
    <s v="No"/>
    <n v="0.36869787424451916"/>
    <s v="No"/>
    <n v="418017"/>
    <n v="33"/>
    <x v="0"/>
  </r>
  <r>
    <n v="1227"/>
    <s v="HOMBRE"/>
    <n v="40332012"/>
    <x v="0"/>
    <x v="1"/>
    <s v="SI"/>
    <s v="NO"/>
    <s v="NO"/>
    <n v="40"/>
    <n v="0.13971034729555773"/>
    <s v="No"/>
    <n v="0.29549917833138939"/>
    <s v="No"/>
    <n v="40332012"/>
    <n v="40"/>
    <x v="0"/>
  </r>
  <r>
    <n v="1228"/>
    <s v="MUJER"/>
    <n v="293611"/>
    <x v="3"/>
    <x v="1"/>
    <s v="SI"/>
    <s v="NO"/>
    <s v="NO"/>
    <n v="29"/>
    <n v="0.91603897814407031"/>
    <s v="No"/>
    <n v="0.370768077904232"/>
    <s v="No"/>
    <n v="293611"/>
    <n v="29"/>
    <x v="3"/>
  </r>
  <r>
    <n v="1229"/>
    <s v="HOMBRE"/>
    <n v="404463"/>
    <x v="3"/>
    <x v="1"/>
    <s v="SI"/>
    <s v="NO"/>
    <s v="SI"/>
    <n v="57"/>
    <n v="1.0600702640157798"/>
    <s v="No"/>
    <n v="0.36892342237245312"/>
    <s v="No"/>
    <n v="404463"/>
    <n v="57"/>
    <x v="3"/>
  </r>
  <r>
    <n v="1230"/>
    <s v="HOMBRE"/>
    <n v="7906128"/>
    <x v="0"/>
    <x v="1"/>
    <s v="SI"/>
    <s v="NO"/>
    <s v="NO"/>
    <n v="45"/>
    <n v="0.21316630309012977"/>
    <s v="No"/>
    <n v="0.24409042125563046"/>
    <s v="No"/>
    <n v="7906128"/>
    <n v="45"/>
    <x v="0"/>
  </r>
  <r>
    <n v="1231"/>
    <s v="MUJER"/>
    <n v="35147579"/>
    <x v="0"/>
    <x v="1"/>
    <s v="SI"/>
    <s v="NO"/>
    <s v="NO"/>
    <n v="33"/>
    <n v="0.63373765783552027"/>
    <s v="No"/>
    <n v="0.20922655345689925"/>
    <s v="No"/>
    <n v="35147579"/>
    <n v="33"/>
    <x v="0"/>
  </r>
  <r>
    <n v="1232"/>
    <s v="HOMBRE"/>
    <n v="140000"/>
    <x v="0"/>
    <x v="1"/>
    <s v="SI"/>
    <s v="NO"/>
    <s v="NO"/>
    <n v="24"/>
    <n v="1.2689156285297578"/>
    <s v="No"/>
    <n v="0.37332427338011048"/>
    <s v="No"/>
    <n v="140000"/>
    <n v="24"/>
    <x v="0"/>
  </r>
  <r>
    <n v="1233"/>
    <s v="HOMBRE"/>
    <n v="367656"/>
    <x v="0"/>
    <x v="1"/>
    <s v="SI"/>
    <s v="NO"/>
    <s v="NO"/>
    <n v="46"/>
    <n v="0.2837416331672673"/>
    <s v="No"/>
    <n v="0.36953591683496334"/>
    <s v="No"/>
    <n v="367656"/>
    <n v="46"/>
    <x v="0"/>
  </r>
  <r>
    <n v="1234"/>
    <s v="HOMBRE"/>
    <n v="43735605"/>
    <x v="0"/>
    <x v="1"/>
    <s v="SI"/>
    <s v="SI"/>
    <s v="NO"/>
    <n v="29"/>
    <n v="0.91603897814407031"/>
    <s v="No"/>
    <n v="0.3521373684892023"/>
    <s v="No"/>
    <n v="43735605"/>
    <n v="29"/>
    <x v="0"/>
  </r>
  <r>
    <n v="1235"/>
    <s v="MUJER"/>
    <n v="650000"/>
    <x v="0"/>
    <x v="1"/>
    <s v="SI"/>
    <s v="NO"/>
    <s v="NO"/>
    <n v="39"/>
    <n v="0.21028567737269524"/>
    <s v="No"/>
    <n v="0.36483751336488995"/>
    <s v="No"/>
    <n v="650000"/>
    <n v="39"/>
    <x v="0"/>
  </r>
  <r>
    <n v="1236"/>
    <s v="HOMBRE"/>
    <n v="297046"/>
    <x v="3"/>
    <x v="1"/>
    <s v="SI"/>
    <s v="NO"/>
    <s v="SI"/>
    <n v="30"/>
    <n v="0.84546364806693275"/>
    <s v="No"/>
    <n v="0.37071091707942361"/>
    <s v="No"/>
    <n v="297046"/>
    <n v="30"/>
    <x v="3"/>
  </r>
  <r>
    <n v="1237"/>
    <s v="MUJER"/>
    <n v="694194"/>
    <x v="0"/>
    <x v="0"/>
    <s v="SI"/>
    <s v="NO"/>
    <s v="NO"/>
    <n v="33"/>
    <n v="0.63373765783552027"/>
    <s v="No"/>
    <n v="0.3641020940078063"/>
    <s v="No"/>
    <n v="694194"/>
    <n v="33"/>
    <x v="0"/>
  </r>
  <r>
    <n v="1238"/>
    <s v="HOMBRE"/>
    <n v="297046"/>
    <x v="2"/>
    <x v="1"/>
    <s v="SI"/>
    <s v="SI"/>
    <s v="NO"/>
    <n v="26"/>
    <n v="1.1277649683754829"/>
    <s v="No"/>
    <n v="0.37071091707942361"/>
    <s v="No"/>
    <n v="297046"/>
    <n v="26"/>
    <x v="2"/>
  </r>
  <r>
    <n v="1239"/>
    <s v="MUJER"/>
    <n v="199066908"/>
    <x v="0"/>
    <x v="0"/>
    <s v="SI"/>
    <s v="NO"/>
    <s v="NO"/>
    <n v="38"/>
    <n v="0.28086100744983278"/>
    <s v="No"/>
    <n v="2.9369599006705931"/>
    <s v="Sí"/>
    <n v="199066908"/>
    <n v="38"/>
    <x v="0"/>
  </r>
  <r>
    <n v="1240"/>
    <s v="HOMBRE"/>
    <n v="7164805"/>
    <x v="0"/>
    <x v="0"/>
    <s v="SI"/>
    <s v="NO"/>
    <s v="NO"/>
    <n v="59"/>
    <n v="1.2012209241700549"/>
    <s v="No"/>
    <n v="0.25642655928457819"/>
    <s v="No"/>
    <n v="7164805"/>
    <n v="59"/>
    <x v="0"/>
  </r>
  <r>
    <n v="1241"/>
    <s v="HOMBRE"/>
    <n v="6296027"/>
    <x v="0"/>
    <x v="1"/>
    <s v="SI"/>
    <s v="NO"/>
    <s v="NO"/>
    <n v="36"/>
    <n v="0.42201166760410774"/>
    <s v="No"/>
    <n v="0.27088363848556507"/>
    <s v="No"/>
    <n v="6296027"/>
    <n v="36"/>
    <x v="0"/>
  </r>
  <r>
    <n v="1242"/>
    <s v="MUJER"/>
    <n v="1398575"/>
    <x v="0"/>
    <x v="1"/>
    <s v="SI"/>
    <s v="NO"/>
    <s v="NO"/>
    <n v="33"/>
    <n v="0.63373765783552027"/>
    <s v="No"/>
    <n v="0.35238069693666696"/>
    <s v="No"/>
    <n v="1398575"/>
    <n v="33"/>
    <x v="0"/>
  </r>
  <r>
    <n v="1243"/>
    <s v="MUJER"/>
    <n v="627456"/>
    <x v="0"/>
    <x v="1"/>
    <s v="SI"/>
    <s v="NO"/>
    <s v="NO"/>
    <n v="50"/>
    <n v="0.56604295347581735"/>
    <s v="No"/>
    <n v="0.36521266143897452"/>
    <s v="No"/>
    <n v="627456"/>
    <n v="50"/>
    <x v="0"/>
  </r>
  <r>
    <n v="1244"/>
    <s v="HOMBRE"/>
    <n v="38714805"/>
    <x v="0"/>
    <x v="1"/>
    <s v="SI"/>
    <s v="NO"/>
    <s v="NO"/>
    <n v="61"/>
    <n v="1.3423715843243298"/>
    <s v="No"/>
    <n v="0.26858771224524275"/>
    <s v="No"/>
    <n v="38714805"/>
    <n v="61"/>
    <x v="0"/>
  </r>
  <r>
    <n v="1245"/>
    <s v="HOMBRE"/>
    <n v="102109309"/>
    <x v="0"/>
    <x v="1"/>
    <s v="SI"/>
    <s v="NO"/>
    <s v="NO"/>
    <n v="61"/>
    <n v="1.3423715843243298"/>
    <s v="No"/>
    <n v="1.3235170097588502"/>
    <s v="No"/>
    <n v="102109309"/>
    <n v="61"/>
    <x v="0"/>
  </r>
  <r>
    <n v="1246"/>
    <s v="HOMBRE"/>
    <n v="350000"/>
    <x v="0"/>
    <x v="1"/>
    <s v="SI"/>
    <s v="NO"/>
    <s v="NO"/>
    <n v="38"/>
    <n v="0.28086100744983278"/>
    <s v="No"/>
    <n v="0.36982972513854911"/>
    <s v="No"/>
    <n v="350000"/>
    <n v="38"/>
    <x v="0"/>
  </r>
  <r>
    <n v="1247"/>
    <s v="HOMBRE"/>
    <n v="260000"/>
    <x v="0"/>
    <x v="1"/>
    <s v="SI"/>
    <s v="NO"/>
    <s v="SI"/>
    <n v="40"/>
    <n v="0.13971034729555773"/>
    <s v="No"/>
    <n v="0.37132738867064685"/>
    <s v="No"/>
    <n v="260000"/>
    <n v="40"/>
    <x v="0"/>
  </r>
  <r>
    <n v="1248"/>
    <s v="HOMBRE"/>
    <n v="227645404"/>
    <x v="0"/>
    <x v="1"/>
    <s v="SI"/>
    <s v="NO"/>
    <s v="NO"/>
    <n v="49"/>
    <n v="0.49546762339867978"/>
    <s v="No"/>
    <n v="3.4125262480194967"/>
    <s v="Sí"/>
    <n v="227645404"/>
    <n v="49"/>
    <x v="0"/>
  </r>
  <r>
    <n v="1249"/>
    <s v="MUJER"/>
    <n v="278030"/>
    <x v="2"/>
    <x v="1"/>
    <s v="SI"/>
    <s v="SI"/>
    <s v="NO"/>
    <n v="67"/>
    <n v="1.765823564787155"/>
    <s v="No"/>
    <n v="0.37102735674304993"/>
    <s v="No"/>
    <n v="278030"/>
    <n v="67"/>
    <x v="2"/>
  </r>
  <r>
    <n v="1250"/>
    <s v="MUJER"/>
    <n v="346913"/>
    <x v="0"/>
    <x v="1"/>
    <s v="SI"/>
    <s v="NO"/>
    <s v="NO"/>
    <n v="52"/>
    <n v="0.70719361363009237"/>
    <s v="No"/>
    <n v="0.36988109499770006"/>
    <s v="No"/>
    <n v="346913"/>
    <n v="52"/>
    <x v="0"/>
  </r>
  <r>
    <n v="1251"/>
    <s v="HOMBRE"/>
    <n v="42609665"/>
    <x v="0"/>
    <x v="1"/>
    <s v="SI"/>
    <s v="NO"/>
    <s v="NO"/>
    <n v="63"/>
    <n v="1.4835222444786049"/>
    <s v="No"/>
    <n v="0.33340093207442301"/>
    <s v="No"/>
    <n v="42609665"/>
    <n v="63"/>
    <x v="0"/>
  </r>
  <r>
    <n v="1252"/>
    <s v="MUJER"/>
    <n v="25107218"/>
    <x v="1"/>
    <x v="0"/>
    <s v="SI"/>
    <s v="NO"/>
    <s v="NO"/>
    <n v="14"/>
    <n v="1.9746689293011328"/>
    <s v="Sí"/>
    <n v="4.2147858803605283E-2"/>
    <s v="No"/>
    <n v="25107218"/>
    <n v="14"/>
    <x v="1"/>
  </r>
  <r>
    <n v="1253"/>
    <s v="MUJER"/>
    <n v="747594"/>
    <x v="0"/>
    <x v="0"/>
    <s v="SI"/>
    <s v="NO"/>
    <s v="NO"/>
    <n v="31"/>
    <n v="0.77488831798979529"/>
    <s v="No"/>
    <n v="0.36321348031209499"/>
    <s v="No"/>
    <n v="747594"/>
    <n v="31"/>
    <x v="0"/>
  </r>
  <r>
    <n v="1254"/>
    <s v="HOMBRE"/>
    <n v="59374005"/>
    <x v="0"/>
    <x v="1"/>
    <s v="SI"/>
    <s v="NO"/>
    <s v="NO"/>
    <n v="26"/>
    <n v="1.1277649683754829"/>
    <s v="No"/>
    <n v="0.61237138382650669"/>
    <s v="No"/>
    <n v="59374005"/>
    <n v="26"/>
    <x v="0"/>
  </r>
  <r>
    <n v="1255"/>
    <s v="HOMBRE"/>
    <n v="714425"/>
    <x v="0"/>
    <x v="1"/>
    <s v="SI"/>
    <s v="NO"/>
    <s v="NO"/>
    <n v="33"/>
    <n v="0.63373765783552027"/>
    <s v="No"/>
    <n v="0.36376543588649662"/>
    <s v="No"/>
    <n v="714425"/>
    <n v="33"/>
    <x v="0"/>
  </r>
  <r>
    <n v="1256"/>
    <s v="HOMBRE"/>
    <n v="117648204"/>
    <x v="0"/>
    <x v="1"/>
    <s v="SI"/>
    <s v="NO"/>
    <s v="NO"/>
    <n v="52"/>
    <n v="0.70719361363009237"/>
    <s v="No"/>
    <n v="1.5820951916543613"/>
    <s v="No"/>
    <n v="117648204"/>
    <n v="52"/>
    <x v="0"/>
  </r>
  <r>
    <n v="1257"/>
    <s v="HOMBRE"/>
    <n v="100638825"/>
    <x v="0"/>
    <x v="1"/>
    <s v="SI"/>
    <s v="NO"/>
    <s v="NO"/>
    <n v="52"/>
    <n v="0.70719361363009237"/>
    <s v="No"/>
    <n v="1.2990471179662588"/>
    <s v="No"/>
    <n v="100638825"/>
    <n v="52"/>
    <x v="0"/>
  </r>
  <r>
    <n v="1258"/>
    <s v="HOMBRE"/>
    <n v="278035"/>
    <x v="3"/>
    <x v="1"/>
    <s v="SI"/>
    <s v="NO"/>
    <s v="NO"/>
    <n v="32"/>
    <n v="0.70431298791265773"/>
    <s v="No"/>
    <n v="0.37102727353952036"/>
    <s v="No"/>
    <n v="278035"/>
    <n v="32"/>
    <x v="3"/>
  </r>
  <r>
    <n v="1259"/>
    <s v="MUJER"/>
    <n v="35339858"/>
    <x v="0"/>
    <x v="1"/>
    <s v="SI"/>
    <s v="NO"/>
    <s v="NO"/>
    <n v="27"/>
    <n v="1.0571896382983452"/>
    <s v="No"/>
    <n v="0.2124262117489906"/>
    <s v="No"/>
    <n v="35339858"/>
    <n v="27"/>
    <x v="0"/>
  </r>
  <r>
    <n v="1260"/>
    <s v="HOMBRE"/>
    <n v="278030"/>
    <x v="4"/>
    <x v="1"/>
    <s v="SI"/>
    <s v="NO"/>
    <s v="NO"/>
    <n v="68"/>
    <n v="1.8363988948642924"/>
    <s v="No"/>
    <n v="0.37102735674304993"/>
    <s v="No"/>
    <n v="278030"/>
    <n v="68"/>
    <x v="4"/>
  </r>
  <r>
    <n v="1261"/>
    <s v="HOMBRE"/>
    <n v="53191106"/>
    <x v="0"/>
    <x v="1"/>
    <s v="SI"/>
    <s v="NO"/>
    <s v="NO"/>
    <n v="27"/>
    <n v="1.0571896382983452"/>
    <s v="No"/>
    <n v="0.50948357988268866"/>
    <s v="No"/>
    <n v="53191106"/>
    <n v="27"/>
    <x v="0"/>
  </r>
  <r>
    <n v="1262"/>
    <s v="MUJER"/>
    <n v="273622"/>
    <x v="0"/>
    <x v="1"/>
    <s v="SI"/>
    <s v="NO"/>
    <s v="NO"/>
    <n v="47"/>
    <n v="0.35431696324440481"/>
    <s v="No"/>
    <n v="0.37110070897471087"/>
    <s v="No"/>
    <n v="273622"/>
    <n v="47"/>
    <x v="0"/>
  </r>
  <r>
    <n v="1263"/>
    <s v="HOMBRE"/>
    <n v="347320"/>
    <x v="0"/>
    <x v="1"/>
    <s v="SI"/>
    <s v="SI"/>
    <s v="NO"/>
    <n v="42"/>
    <n v="1.4403128587172659E-3"/>
    <s v="No"/>
    <n v="0.36987432223039379"/>
    <s v="No"/>
    <n v="347320"/>
    <n v="42"/>
    <x v="0"/>
  </r>
  <r>
    <n v="1264"/>
    <s v="MUJER"/>
    <n v="11247915"/>
    <x v="0"/>
    <x v="1"/>
    <s v="SI"/>
    <s v="NO"/>
    <s v="NO"/>
    <n v="28"/>
    <n v="0.98661430822120777"/>
    <s v="No"/>
    <n v="0.18848072656742679"/>
    <s v="No"/>
    <n v="11247915"/>
    <n v="28"/>
    <x v="0"/>
  </r>
  <r>
    <n v="1265"/>
    <s v="MUJER"/>
    <n v="205000"/>
    <x v="0"/>
    <x v="1"/>
    <s v="SI"/>
    <s v="NO"/>
    <s v="NO"/>
    <n v="45"/>
    <n v="0.21316630309012977"/>
    <s v="No"/>
    <n v="0.37224262749581766"/>
    <s v="No"/>
    <n v="205000"/>
    <n v="45"/>
    <x v="0"/>
  </r>
  <r>
    <n v="1266"/>
    <s v="MUJER"/>
    <n v="630000"/>
    <x v="0"/>
    <x v="1"/>
    <s v="SI"/>
    <s v="NO"/>
    <s v="NO"/>
    <n v="64"/>
    <n v="1.5540975745557424"/>
    <s v="No"/>
    <n v="0.36517032748313388"/>
    <s v="No"/>
    <n v="630000"/>
    <n v="64"/>
    <x v="0"/>
  </r>
  <r>
    <n v="1267"/>
    <s v="HOMBRE"/>
    <n v="920750"/>
    <x v="0"/>
    <x v="1"/>
    <s v="SI"/>
    <s v="NO"/>
    <s v="SI"/>
    <n v="46"/>
    <n v="0.2837416331672673"/>
    <s v="No"/>
    <n v="0.36033204223916254"/>
    <s v="No"/>
    <n v="920750"/>
    <n v="46"/>
    <x v="0"/>
  </r>
  <r>
    <n v="1268"/>
    <s v="HOMBRE"/>
    <n v="703681"/>
    <x v="0"/>
    <x v="1"/>
    <s v="SI"/>
    <s v="NO"/>
    <s v="NO"/>
    <n v="32"/>
    <n v="0.70431298791265773"/>
    <s v="No"/>
    <n v="0.3639442236308173"/>
    <s v="No"/>
    <n v="703681"/>
    <n v="32"/>
    <x v="0"/>
  </r>
  <r>
    <n v="1269"/>
    <s v="MUJER"/>
    <n v="365528"/>
    <x v="0"/>
    <x v="0"/>
    <s v="SI"/>
    <s v="NO"/>
    <s v="NO"/>
    <n v="34"/>
    <n v="0.56316232775838282"/>
    <s v="No"/>
    <n v="0.3695713282571445"/>
    <s v="No"/>
    <n v="365528"/>
    <n v="34"/>
    <x v="0"/>
  </r>
  <r>
    <n v="1270"/>
    <s v="HOMBRE"/>
    <n v="305704"/>
    <x v="3"/>
    <x v="1"/>
    <s v="SI"/>
    <s v="NO"/>
    <s v="NO"/>
    <n v="57"/>
    <n v="1.0600702640157798"/>
    <s v="No"/>
    <n v="0.37056684184763578"/>
    <s v="No"/>
    <n v="305704"/>
    <n v="57"/>
    <x v="3"/>
  </r>
  <r>
    <n v="1271"/>
    <s v="HOMBRE"/>
    <n v="17940184"/>
    <x v="0"/>
    <x v="1"/>
    <s v="SI"/>
    <s v="NO"/>
    <s v="NO"/>
    <n v="24"/>
    <n v="1.2689156285297578"/>
    <s v="No"/>
    <n v="7.7116646253112903E-2"/>
    <s v="No"/>
    <n v="17940184"/>
    <n v="24"/>
    <x v="0"/>
  </r>
  <r>
    <n v="1272"/>
    <s v="HOMBRE"/>
    <n v="308333"/>
    <x v="0"/>
    <x v="1"/>
    <s v="SI"/>
    <s v="NO"/>
    <s v="NO"/>
    <n v="25"/>
    <n v="1.1983402984526204"/>
    <s v="No"/>
    <n v="0.37052309343179263"/>
    <s v="No"/>
    <n v="308333"/>
    <n v="25"/>
    <x v="0"/>
  </r>
  <r>
    <n v="1273"/>
    <s v="HOMBRE"/>
    <n v="233471875"/>
    <x v="0"/>
    <x v="1"/>
    <s v="SI"/>
    <s v="NO"/>
    <s v="NO"/>
    <n v="33"/>
    <n v="0.63373765783552027"/>
    <s v="No"/>
    <n v="3.5094828384364423"/>
    <s v="Sí"/>
    <n v="233471875"/>
    <n v="33"/>
    <x v="0"/>
  </r>
  <r>
    <n v="1274"/>
    <s v="MUJER"/>
    <n v="17204453"/>
    <x v="0"/>
    <x v="0"/>
    <s v="SI"/>
    <s v="NO"/>
    <s v="NO"/>
    <n v="43"/>
    <n v="7.2015642935854773E-2"/>
    <s v="No"/>
    <n v="8.9359729454599648E-2"/>
    <s v="No"/>
    <n v="17204453"/>
    <n v="43"/>
    <x v="0"/>
  </r>
  <r>
    <n v="1275"/>
    <s v="MUJER"/>
    <n v="54228148"/>
    <x v="0"/>
    <x v="1"/>
    <s v="SI"/>
    <s v="NO"/>
    <s v="NO"/>
    <n v="36"/>
    <n v="0.42201166760410774"/>
    <s v="No"/>
    <n v="0.52674069082328545"/>
    <s v="No"/>
    <n v="54228148"/>
    <n v="36"/>
    <x v="0"/>
  </r>
  <r>
    <n v="1276"/>
    <s v="HOMBRE"/>
    <n v="48647039"/>
    <x v="0"/>
    <x v="1"/>
    <s v="SI"/>
    <s v="NO"/>
    <s v="NO"/>
    <n v="69"/>
    <n v="1.9069742249414299"/>
    <s v="No"/>
    <n v="0.43386709729036854"/>
    <s v="No"/>
    <n v="48647039"/>
    <n v="69"/>
    <x v="0"/>
  </r>
  <r>
    <n v="1277"/>
    <s v="HOMBRE"/>
    <n v="170502"/>
    <x v="0"/>
    <x v="1"/>
    <s v="SI"/>
    <s v="SI"/>
    <s v="SI"/>
    <n v="52"/>
    <n v="0.70719361363009237"/>
    <s v="No"/>
    <n v="0.37281669856837668"/>
    <s v="No"/>
    <n v="170502"/>
    <n v="52"/>
    <x v="0"/>
  </r>
  <r>
    <n v="1278"/>
    <s v="HOMBRE"/>
    <n v="762500"/>
    <x v="0"/>
    <x v="1"/>
    <s v="SI"/>
    <s v="NO"/>
    <s v="NO"/>
    <n v="38"/>
    <n v="0.28086100744983278"/>
    <s v="No"/>
    <n v="0.36296543394976777"/>
    <s v="No"/>
    <n v="762500"/>
    <n v="38"/>
    <x v="0"/>
  </r>
  <r>
    <n v="1279"/>
    <s v="HOMBRE"/>
    <n v="282305"/>
    <x v="2"/>
    <x v="1"/>
    <s v="SI"/>
    <s v="SI"/>
    <s v="NO"/>
    <n v="45"/>
    <n v="0.21316630309012977"/>
    <s v="No"/>
    <n v="0.37095621772527526"/>
    <s v="No"/>
    <n v="282305"/>
    <n v="45"/>
    <x v="2"/>
  </r>
  <r>
    <n v="1280"/>
    <s v="HOMBRE"/>
    <n v="297045"/>
    <x v="2"/>
    <x v="1"/>
    <s v="SI"/>
    <s v="NO"/>
    <s v="NO"/>
    <n v="42"/>
    <n v="1.4403128587172659E-3"/>
    <s v="No"/>
    <n v="0.37071093372012948"/>
    <s v="No"/>
    <n v="297045"/>
    <n v="42"/>
    <x v="2"/>
  </r>
  <r>
    <n v="1281"/>
    <s v="MUJER"/>
    <n v="40022896"/>
    <x v="0"/>
    <x v="1"/>
    <s v="SI"/>
    <s v="NO"/>
    <s v="NO"/>
    <n v="44"/>
    <n v="0.14259097301299228"/>
    <s v="No"/>
    <n v="0.29035526988263466"/>
    <s v="No"/>
    <n v="40022896"/>
    <n v="44"/>
    <x v="0"/>
  </r>
  <r>
    <n v="1282"/>
    <s v="HOMBRE"/>
    <n v="49001349"/>
    <x v="0"/>
    <x v="1"/>
    <s v="SI"/>
    <s v="SI"/>
    <s v="NO"/>
    <n v="40"/>
    <n v="0.13971034729555773"/>
    <s v="No"/>
    <n v="0.4397630658021191"/>
    <s v="No"/>
    <n v="49001349"/>
    <n v="40"/>
    <x v="0"/>
  </r>
  <r>
    <n v="1283"/>
    <s v="HOMBRE"/>
    <n v="34339157"/>
    <x v="0"/>
    <x v="1"/>
    <s v="SI"/>
    <s v="NO"/>
    <s v="NO"/>
    <n v="36"/>
    <n v="0.42201166760410774"/>
    <s v="No"/>
    <n v="0.19577384070194898"/>
    <s v="No"/>
    <n v="34339157"/>
    <n v="36"/>
    <x v="0"/>
  </r>
  <r>
    <n v="1284"/>
    <s v="MUJER"/>
    <n v="332161"/>
    <x v="2"/>
    <x v="1"/>
    <s v="SI"/>
    <s v="SI"/>
    <s v="NO"/>
    <n v="40"/>
    <n v="0.13971034729555773"/>
    <s v="No"/>
    <n v="0.37012657869131677"/>
    <s v="No"/>
    <n v="332161"/>
    <n v="40"/>
    <x v="2"/>
  </r>
  <r>
    <n v="1285"/>
    <s v="HOMBRE"/>
    <n v="108333699"/>
    <x v="0"/>
    <x v="1"/>
    <s v="SI"/>
    <s v="SI"/>
    <s v="NO"/>
    <n v="48"/>
    <n v="0.42489229332154227"/>
    <s v="No"/>
    <n v="1.4270952532316712"/>
    <s v="No"/>
    <n v="108333699"/>
    <n v="48"/>
    <x v="0"/>
  </r>
  <r>
    <n v="1286"/>
    <s v="HOMBRE"/>
    <n v="28908333"/>
    <x v="0"/>
    <x v="1"/>
    <s v="SI"/>
    <s v="NO"/>
    <s v="NO"/>
    <n v="26"/>
    <n v="1.1277649683754829"/>
    <s v="No"/>
    <n v="0.10540109565704665"/>
    <s v="No"/>
    <n v="28908333"/>
    <n v="26"/>
    <x v="0"/>
  </r>
  <r>
    <n v="1287"/>
    <s v="MUJER"/>
    <n v="37763482"/>
    <x v="0"/>
    <x v="1"/>
    <s v="SI"/>
    <s v="NO"/>
    <s v="NO"/>
    <n v="23"/>
    <n v="1.3394909586068953"/>
    <s v="No"/>
    <n v="0.2527570259747336"/>
    <s v="No"/>
    <n v="37763482"/>
    <n v="23"/>
    <x v="0"/>
  </r>
  <r>
    <n v="1288"/>
    <s v="HOMBRE"/>
    <n v="278030"/>
    <x v="4"/>
    <x v="1"/>
    <s v="SI"/>
    <s v="NO"/>
    <s v="NO"/>
    <n v="56"/>
    <n v="0.9894949339386423"/>
    <s v="No"/>
    <n v="0.37102735674304993"/>
    <s v="No"/>
    <n v="278030"/>
    <n v="56"/>
    <x v="4"/>
  </r>
  <r>
    <n v="1289"/>
    <s v="MUJER"/>
    <n v="297046"/>
    <x v="3"/>
    <x v="1"/>
    <s v="SI"/>
    <s v="NO"/>
    <s v="NO"/>
    <n v="40"/>
    <n v="0.13971034729555773"/>
    <s v="No"/>
    <n v="0.37071091707942361"/>
    <s v="No"/>
    <n v="297046"/>
    <n v="40"/>
    <x v="3"/>
  </r>
  <r>
    <n v="1290"/>
    <s v="HOMBRE"/>
    <n v="382136"/>
    <x v="3"/>
    <x v="1"/>
    <s v="SI"/>
    <s v="SI"/>
    <s v="SI"/>
    <n v="55"/>
    <n v="0.91891960386150484"/>
    <s v="No"/>
    <n v="0.36929495941335472"/>
    <s v="No"/>
    <n v="382136"/>
    <n v="55"/>
    <x v="3"/>
  </r>
  <r>
    <n v="1291"/>
    <s v="HOMBRE"/>
    <n v="609030"/>
    <x v="3"/>
    <x v="1"/>
    <s v="SI"/>
    <s v="NO"/>
    <s v="SI"/>
    <n v="57"/>
    <n v="1.0600702640157798"/>
    <s v="No"/>
    <n v="0.36551928308611265"/>
    <s v="No"/>
    <n v="609030"/>
    <n v="57"/>
    <x v="3"/>
  </r>
  <r>
    <n v="1292"/>
    <s v="HOMBRE"/>
    <n v="465239"/>
    <x v="3"/>
    <x v="1"/>
    <s v="SI"/>
    <s v="NO"/>
    <s v="SI"/>
    <n v="36"/>
    <n v="0.42201166760410774"/>
    <s v="No"/>
    <n v="0.36791206682993338"/>
    <s v="No"/>
    <n v="465239"/>
    <n v="36"/>
    <x v="3"/>
  </r>
  <r>
    <n v="1293"/>
    <s v="HOMBRE"/>
    <n v="44924384"/>
    <x v="0"/>
    <x v="1"/>
    <s v="SI"/>
    <s v="NO"/>
    <s v="NO"/>
    <n v="34"/>
    <n v="0.56316232775838282"/>
    <s v="No"/>
    <n v="0.37191949022279819"/>
    <s v="No"/>
    <n v="44924384"/>
    <n v="34"/>
    <x v="0"/>
  </r>
  <r>
    <n v="1294"/>
    <s v="HOMBRE"/>
    <n v="60000"/>
    <x v="0"/>
    <x v="1"/>
    <s v="SI"/>
    <s v="NO"/>
    <s v="SI"/>
    <n v="18"/>
    <n v="1.6923676089925828"/>
    <s v="No"/>
    <n v="0.37465552985308626"/>
    <s v="No"/>
    <n v="60000"/>
    <n v="18"/>
    <x v="0"/>
  </r>
  <r>
    <n v="1295"/>
    <s v="HOMBRE"/>
    <n v="395499"/>
    <x v="0"/>
    <x v="1"/>
    <s v="SI"/>
    <s v="NO"/>
    <s v="NO"/>
    <n v="27"/>
    <n v="1.0571896382983452"/>
    <s v="No"/>
    <n v="0.36907258966025003"/>
    <s v="No"/>
    <n v="395499"/>
    <n v="27"/>
    <x v="0"/>
  </r>
  <r>
    <n v="1296"/>
    <s v="MUJER"/>
    <n v="382136"/>
    <x v="3"/>
    <x v="1"/>
    <s v="SI"/>
    <s v="NO"/>
    <s v="SI"/>
    <n v="62"/>
    <n v="1.4129469144014672"/>
    <s v="No"/>
    <n v="0.36929495941335472"/>
    <s v="No"/>
    <n v="382136"/>
    <n v="62"/>
    <x v="3"/>
  </r>
  <r>
    <n v="1297"/>
    <s v="MUJER"/>
    <n v="558849"/>
    <x v="0"/>
    <x v="0"/>
    <s v="SI"/>
    <s v="NO"/>
    <s v="NO"/>
    <n v="33"/>
    <n v="0.63373765783552027"/>
    <s v="No"/>
    <n v="0.36635433034949261"/>
    <s v="No"/>
    <n v="558849"/>
    <n v="33"/>
    <x v="0"/>
  </r>
  <r>
    <n v="1298"/>
    <s v="HOMBRE"/>
    <n v="300000"/>
    <x v="0"/>
    <x v="1"/>
    <s v="SI"/>
    <s v="SI"/>
    <s v="NO"/>
    <n v="36"/>
    <n v="0.42201166760410774"/>
    <s v="No"/>
    <n v="0.37066176043415894"/>
    <s v="No"/>
    <n v="300000"/>
    <n v="36"/>
    <x v="0"/>
  </r>
  <r>
    <n v="1299"/>
    <s v="MUJER"/>
    <n v="280000"/>
    <x v="0"/>
    <x v="1"/>
    <s v="SI"/>
    <s v="NO"/>
    <s v="NO"/>
    <n v="33"/>
    <n v="0.63373765783552027"/>
    <s v="No"/>
    <n v="0.37099457455240292"/>
    <s v="No"/>
    <n v="280000"/>
    <n v="33"/>
    <x v="0"/>
  </r>
  <r>
    <n v="1300"/>
    <s v="MUJER"/>
    <n v="44838772"/>
    <x v="0"/>
    <x v="1"/>
    <s v="SI"/>
    <s v="NO"/>
    <s v="NO"/>
    <n v="49"/>
    <n v="0.49546762339867978"/>
    <s v="No"/>
    <n v="0.37049484610824313"/>
    <s v="No"/>
    <n v="44838772"/>
    <n v="49"/>
    <x v="0"/>
  </r>
  <r>
    <n v="1301"/>
    <s v="MUJER"/>
    <n v="302470"/>
    <x v="2"/>
    <x v="1"/>
    <s v="SI"/>
    <s v="SI"/>
    <s v="NO"/>
    <n v="29"/>
    <n v="0.91603897814407031"/>
    <s v="No"/>
    <n v="0.37062065789055582"/>
    <s v="No"/>
    <n v="302470"/>
    <n v="29"/>
    <x v="2"/>
  </r>
  <r>
    <n v="1302"/>
    <s v="MUJER"/>
    <n v="195143"/>
    <x v="0"/>
    <x v="0"/>
    <s v="SI"/>
    <s v="NO"/>
    <s v="NO"/>
    <n v="39"/>
    <n v="0.21028567737269524"/>
    <s v="No"/>
    <n v="0.37240665493399422"/>
    <s v="No"/>
    <n v="195143"/>
    <n v="39"/>
    <x v="0"/>
  </r>
  <r>
    <n v="1303"/>
    <s v="HOMBRE"/>
    <n v="51338302"/>
    <x v="0"/>
    <x v="1"/>
    <s v="SI"/>
    <s v="NO"/>
    <s v="NO"/>
    <n v="42"/>
    <n v="1.4403128587172659E-3"/>
    <s v="No"/>
    <n v="0.47865161340574608"/>
    <s v="No"/>
    <n v="51338302"/>
    <n v="42"/>
    <x v="0"/>
  </r>
  <r>
    <n v="1304"/>
    <s v="HOMBRE"/>
    <n v="278030"/>
    <x v="4"/>
    <x v="1"/>
    <s v="SI"/>
    <s v="NO"/>
    <s v="NO"/>
    <n v="61"/>
    <n v="1.3423715843243298"/>
    <s v="No"/>
    <n v="0.37102735674304993"/>
    <s v="No"/>
    <n v="278030"/>
    <n v="61"/>
    <x v="4"/>
  </r>
  <r>
    <n v="1305"/>
    <s v="HOMBRE"/>
    <n v="343390"/>
    <x v="0"/>
    <x v="1"/>
    <s v="SI"/>
    <s v="NO"/>
    <s v="NO"/>
    <n v="28"/>
    <n v="0.98661430822120777"/>
    <s v="No"/>
    <n v="0.36993972020462873"/>
    <s v="No"/>
    <n v="343390"/>
    <n v="28"/>
    <x v="0"/>
  </r>
  <r>
    <n v="1306"/>
    <s v="MUJER"/>
    <n v="120480559"/>
    <x v="0"/>
    <x v="1"/>
    <s v="SI"/>
    <s v="NO"/>
    <s v="NO"/>
    <n v="41"/>
    <n v="6.9135017218420233E-2"/>
    <s v="No"/>
    <n v="1.6292275782483026"/>
    <s v="No"/>
    <n v="120480559"/>
    <n v="41"/>
    <x v="0"/>
  </r>
  <r>
    <n v="1307"/>
    <s v="HOMBRE"/>
    <n v="1611500"/>
    <x v="0"/>
    <x v="1"/>
    <s v="SI"/>
    <s v="NO"/>
    <s v="NO"/>
    <n v="26"/>
    <n v="1.1277649683754829"/>
    <s v="No"/>
    <n v="0.34883747463031234"/>
    <s v="No"/>
    <n v="1611500"/>
    <n v="26"/>
    <x v="0"/>
  </r>
  <r>
    <n v="1308"/>
    <s v="MUJER"/>
    <n v="1047569"/>
    <x v="0"/>
    <x v="0"/>
    <s v="SI"/>
    <s v="NO"/>
    <s v="NO"/>
    <n v="47"/>
    <n v="0.35431696324440481"/>
    <s v="No"/>
    <n v="0.35822168455608361"/>
    <s v="No"/>
    <n v="1047569"/>
    <n v="47"/>
    <x v="0"/>
  </r>
  <r>
    <n v="1309"/>
    <s v="HOMBRE"/>
    <n v="526800"/>
    <x v="0"/>
    <x v="1"/>
    <s v="SI"/>
    <s v="NO"/>
    <s v="NO"/>
    <n v="44"/>
    <n v="0.14259097301299228"/>
    <s v="No"/>
    <n v="0.36688764833327264"/>
    <s v="No"/>
    <n v="526800"/>
    <n v="44"/>
    <x v="0"/>
  </r>
  <r>
    <n v="1310"/>
    <s v="HOMBRE"/>
    <n v="58002127"/>
    <x v="0"/>
    <x v="0"/>
    <s v="SI"/>
    <s v="NO"/>
    <s v="NO"/>
    <n v="29"/>
    <n v="0.91603897814407031"/>
    <s v="No"/>
    <n v="0.5895423654810934"/>
    <s v="No"/>
    <n v="58002127"/>
    <n v="29"/>
    <x v="0"/>
  </r>
  <r>
    <n v="1311"/>
    <s v="HOMBRE"/>
    <n v="52608362"/>
    <x v="0"/>
    <x v="1"/>
    <s v="SI"/>
    <s v="NO"/>
    <s v="NO"/>
    <n v="24"/>
    <n v="1.2689156285297578"/>
    <s v="No"/>
    <n v="0.49978630835659121"/>
    <s v="No"/>
    <n v="52608362"/>
    <n v="24"/>
    <x v="0"/>
  </r>
  <r>
    <n v="1312"/>
    <s v="MUJER"/>
    <n v="91069365"/>
    <x v="0"/>
    <x v="0"/>
    <s v="SI"/>
    <s v="NO"/>
    <s v="NO"/>
    <n v="40"/>
    <n v="0.13971034729555773"/>
    <s v="No"/>
    <n v="1.1398045483677244"/>
    <s v="No"/>
    <n v="91069365"/>
    <n v="40"/>
    <x v="0"/>
  </r>
  <r>
    <n v="1313"/>
    <s v="HOMBRE"/>
    <n v="49304678"/>
    <x v="0"/>
    <x v="1"/>
    <s v="SI"/>
    <s v="NO"/>
    <s v="NO"/>
    <n v="22"/>
    <n v="1.4100662886840327"/>
    <s v="No"/>
    <n v="0.44481067448576"/>
    <s v="No"/>
    <n v="49304678"/>
    <n v="22"/>
    <x v="0"/>
  </r>
  <r>
    <n v="1314"/>
    <s v="HOMBRE"/>
    <n v="330798"/>
    <x v="3"/>
    <x v="1"/>
    <s v="SI"/>
    <s v="NO"/>
    <s v="NO"/>
    <n v="33"/>
    <n v="0.63373765783552027"/>
    <s v="No"/>
    <n v="0.37014925997347509"/>
    <s v="No"/>
    <n v="330798"/>
    <n v="33"/>
    <x v="3"/>
  </r>
  <r>
    <n v="1315"/>
    <s v="HOMBRE"/>
    <n v="252094998"/>
    <x v="1"/>
    <x v="0"/>
    <s v="SI"/>
    <s v="NO"/>
    <s v="NO"/>
    <n v="67"/>
    <n v="1.765823564787155"/>
    <s v="No"/>
    <n v="3.8193847514461172"/>
    <s v="Sí"/>
    <n v="252094998"/>
    <n v="67"/>
    <x v="1"/>
  </r>
  <r>
    <n v="1316"/>
    <s v="MUJER"/>
    <n v="297045"/>
    <x v="2"/>
    <x v="1"/>
    <s v="SI"/>
    <s v="NO"/>
    <s v="NO"/>
    <n v="28"/>
    <n v="0.98661430822120777"/>
    <s v="No"/>
    <n v="0.37071093372012948"/>
    <s v="No"/>
    <n v="297045"/>
    <n v="28"/>
    <x v="2"/>
  </r>
  <r>
    <n v="1317"/>
    <s v="HOMBRE"/>
    <n v="3067233"/>
    <x v="0"/>
    <x v="1"/>
    <s v="SI"/>
    <s v="SI"/>
    <s v="NO"/>
    <n v="41"/>
    <n v="6.9135017218420233E-2"/>
    <s v="No"/>
    <n v="0.32461304989063183"/>
    <s v="No"/>
    <n v="3067233"/>
    <n v="41"/>
    <x v="0"/>
  </r>
  <r>
    <n v="1318"/>
    <s v="MUJER"/>
    <n v="300000"/>
    <x v="0"/>
    <x v="1"/>
    <s v="SI"/>
    <s v="SI"/>
    <s v="NO"/>
    <n v="37"/>
    <n v="0.35143633752697023"/>
    <s v="No"/>
    <n v="0.37066176043415894"/>
    <s v="No"/>
    <n v="300000"/>
    <n v="37"/>
    <x v="0"/>
  </r>
  <r>
    <n v="1319"/>
    <s v="HOMBRE"/>
    <n v="6668547"/>
    <x v="0"/>
    <x v="1"/>
    <s v="SI"/>
    <s v="NO"/>
    <s v="NO"/>
    <n v="23"/>
    <n v="1.3394909586068953"/>
    <s v="No"/>
    <n v="0.26468464271915337"/>
    <s v="No"/>
    <n v="6668547"/>
    <n v="23"/>
    <x v="0"/>
  </r>
  <r>
    <n v="1320"/>
    <s v="MUJER"/>
    <n v="397927"/>
    <x v="0"/>
    <x v="1"/>
    <s v="SI"/>
    <s v="NO"/>
    <s v="NO"/>
    <n v="27"/>
    <n v="1.0571896382983452"/>
    <s v="No"/>
    <n v="0.36903218602629523"/>
    <s v="No"/>
    <n v="397927"/>
    <n v="27"/>
    <x v="0"/>
  </r>
  <r>
    <n v="1321"/>
    <s v="HOMBRE"/>
    <n v="1214487"/>
    <x v="0"/>
    <x v="0"/>
    <s v="SI"/>
    <s v="NO"/>
    <s v="NO"/>
    <n v="47"/>
    <n v="0.35431696324440481"/>
    <s v="No"/>
    <n v="0.35544405120663147"/>
    <s v="No"/>
    <n v="1214487"/>
    <n v="47"/>
    <x v="0"/>
  </r>
  <r>
    <n v="1322"/>
    <s v="MUJER"/>
    <n v="778239"/>
    <x v="0"/>
    <x v="0"/>
    <s v="SI"/>
    <s v="NO"/>
    <s v="NO"/>
    <n v="33"/>
    <n v="0.63373765783552027"/>
    <s v="No"/>
    <n v="0.36270352587941568"/>
    <s v="No"/>
    <n v="778239"/>
    <n v="33"/>
    <x v="0"/>
  </r>
  <r>
    <n v="1323"/>
    <s v="HOMBRE"/>
    <n v="87046831"/>
    <x v="0"/>
    <x v="1"/>
    <s v="SI"/>
    <s v="NO"/>
    <s v="NO"/>
    <n v="45"/>
    <n v="0.21316630309012977"/>
    <s v="No"/>
    <n v="1.0728667430519103"/>
    <s v="No"/>
    <n v="87046831"/>
    <n v="45"/>
    <x v="0"/>
  </r>
  <r>
    <n v="1324"/>
    <s v="HOMBRE"/>
    <n v="370000"/>
    <x v="0"/>
    <x v="1"/>
    <s v="SI"/>
    <s v="NO"/>
    <s v="SI"/>
    <n v="41"/>
    <n v="6.9135017218420233E-2"/>
    <s v="No"/>
    <n v="0.36949691102030513"/>
    <s v="No"/>
    <n v="370000"/>
    <n v="41"/>
    <x v="0"/>
  </r>
  <r>
    <n v="1325"/>
    <s v="MUJER"/>
    <n v="28954695"/>
    <x v="0"/>
    <x v="1"/>
    <s v="SI"/>
    <s v="NO"/>
    <s v="SI"/>
    <n v="22"/>
    <n v="1.4100662886840327"/>
    <s v="No"/>
    <n v="0.10617259206454793"/>
    <s v="No"/>
    <n v="28954695"/>
    <n v="22"/>
    <x v="0"/>
  </r>
  <r>
    <n v="1326"/>
    <s v="HOMBRE"/>
    <n v="278030"/>
    <x v="4"/>
    <x v="1"/>
    <s v="SI"/>
    <s v="NO"/>
    <s v="NO"/>
    <n v="36"/>
    <n v="0.42201166760410774"/>
    <s v="No"/>
    <n v="0.37102735674304993"/>
    <s v="No"/>
    <n v="278030"/>
    <n v="36"/>
    <x v="4"/>
  </r>
  <r>
    <n v="1327"/>
    <s v="MUJER"/>
    <n v="190000"/>
    <x v="0"/>
    <x v="1"/>
    <s v="SI"/>
    <s v="SI"/>
    <s v="NO"/>
    <n v="45"/>
    <n v="0.21316630309012977"/>
    <s v="No"/>
    <n v="0.37249223808450066"/>
    <s v="No"/>
    <n v="190000"/>
    <n v="45"/>
    <x v="0"/>
  </r>
  <r>
    <n v="1328"/>
    <s v="HOMBRE"/>
    <n v="385702"/>
    <x v="3"/>
    <x v="1"/>
    <s v="SI"/>
    <s v="NO"/>
    <s v="SI"/>
    <n v="60"/>
    <n v="1.2717962542471923"/>
    <s v="No"/>
    <n v="0.36923561865607185"/>
    <s v="No"/>
    <n v="385702"/>
    <n v="60"/>
    <x v="3"/>
  </r>
  <r>
    <n v="1329"/>
    <s v="HOMBRE"/>
    <n v="278030"/>
    <x v="4"/>
    <x v="1"/>
    <s v="SI"/>
    <s v="SI"/>
    <s v="NO"/>
    <n v="37"/>
    <n v="0.35143633752697023"/>
    <s v="No"/>
    <n v="0.37102735674304993"/>
    <s v="No"/>
    <n v="278030"/>
    <n v="37"/>
    <x v="4"/>
  </r>
  <r>
    <n v="1330"/>
    <s v="HOMBRE"/>
    <n v="324390"/>
    <x v="0"/>
    <x v="1"/>
    <s v="SI"/>
    <s v="NO"/>
    <s v="NO"/>
    <n v="24"/>
    <n v="1.2689156285297578"/>
    <s v="No"/>
    <n v="0.37025589361696049"/>
    <s v="No"/>
    <n v="324390"/>
    <n v="24"/>
    <x v="0"/>
  </r>
  <r>
    <n v="1331"/>
    <s v="MUJER"/>
    <n v="2187872"/>
    <x v="1"/>
    <x v="0"/>
    <s v="SI"/>
    <s v="NO"/>
    <s v="NO"/>
    <n v="68"/>
    <n v="1.8363988948642924"/>
    <s v="No"/>
    <n v="0.33924623768228745"/>
    <s v="No"/>
    <n v="2187872"/>
    <n v="68"/>
    <x v="1"/>
  </r>
  <r>
    <n v="1332"/>
    <s v="HOMBRE"/>
    <n v="305704"/>
    <x v="2"/>
    <x v="1"/>
    <s v="SI"/>
    <s v="SI"/>
    <s v="NO"/>
    <n v="87"/>
    <n v="3.1773301663299049"/>
    <s v="Sí"/>
    <n v="0.37056684184763578"/>
    <s v="No"/>
    <n v="305704"/>
    <n v="87"/>
    <x v="2"/>
  </r>
  <r>
    <n v="1333"/>
    <s v="MUJER"/>
    <n v="38948125"/>
    <x v="0"/>
    <x v="1"/>
    <s v="SI"/>
    <s v="SI"/>
    <s v="NO"/>
    <n v="45"/>
    <n v="0.21316630309012977"/>
    <s v="No"/>
    <n v="0.27247032174867658"/>
    <s v="No"/>
    <n v="38948125"/>
    <n v="45"/>
    <x v="0"/>
  </r>
  <r>
    <n v="1334"/>
    <s v="HOMBRE"/>
    <n v="450000"/>
    <x v="0"/>
    <x v="1"/>
    <s v="SI"/>
    <s v="NO"/>
    <s v="NO"/>
    <n v="23"/>
    <n v="1.3394909586068953"/>
    <s v="No"/>
    <n v="0.36816565454732936"/>
    <s v="No"/>
    <n v="450000"/>
    <n v="23"/>
    <x v="0"/>
  </r>
  <r>
    <n v="1335"/>
    <s v="MUJER"/>
    <n v="489897"/>
    <x v="0"/>
    <x v="1"/>
    <s v="SI"/>
    <s v="NO"/>
    <s v="NO"/>
    <n v="21"/>
    <n v="1.4806416187611704"/>
    <s v="No"/>
    <n v="0.36750174030355043"/>
    <s v="No"/>
    <n v="489897"/>
    <n v="21"/>
    <x v="0"/>
  </r>
  <r>
    <n v="1336"/>
    <s v="HOMBRE"/>
    <n v="977750"/>
    <x v="0"/>
    <x v="1"/>
    <s v="SI"/>
    <s v="NO"/>
    <s v="NO"/>
    <n v="31"/>
    <n v="0.77488831798979529"/>
    <s v="No"/>
    <n v="0.35938352200216733"/>
    <s v="No"/>
    <n v="977750"/>
    <n v="31"/>
    <x v="0"/>
  </r>
  <r>
    <n v="1337"/>
    <s v="HOMBRE"/>
    <n v="305000"/>
    <x v="0"/>
    <x v="1"/>
    <s v="SI"/>
    <s v="SI"/>
    <s v="NO"/>
    <n v="37"/>
    <n v="0.35143633752697023"/>
    <s v="No"/>
    <n v="0.37057855690459796"/>
    <s v="No"/>
    <n v="305000"/>
    <n v="37"/>
    <x v="0"/>
  </r>
  <r>
    <n v="1338"/>
    <s v="MUJER"/>
    <n v="297046"/>
    <x v="2"/>
    <x v="1"/>
    <s v="SI"/>
    <s v="NO"/>
    <s v="NO"/>
    <n v="31"/>
    <n v="0.77488831798979529"/>
    <s v="No"/>
    <n v="0.37071091707942361"/>
    <s v="No"/>
    <n v="297046"/>
    <n v="31"/>
    <x v="2"/>
  </r>
  <r>
    <n v="1339"/>
    <s v="HOMBRE"/>
    <n v="6524956"/>
    <x v="0"/>
    <x v="1"/>
    <s v="SI"/>
    <s v="SI"/>
    <s v="NO"/>
    <n v="26"/>
    <n v="1.1277649683754829"/>
    <s v="No"/>
    <n v="0.26707409832179169"/>
    <s v="No"/>
    <n v="6524956"/>
    <n v="26"/>
    <x v="0"/>
  </r>
  <r>
    <n v="1340"/>
    <s v="MUJER"/>
    <n v="659264"/>
    <x v="0"/>
    <x v="0"/>
    <s v="SI"/>
    <s v="NO"/>
    <s v="NO"/>
    <n v="40"/>
    <n v="0.13971034729555773"/>
    <s v="No"/>
    <n v="0.36468335386531936"/>
    <s v="No"/>
    <n v="659264"/>
    <n v="40"/>
    <x v="0"/>
  </r>
  <r>
    <n v="1341"/>
    <s v="MUJER"/>
    <n v="89680293"/>
    <x v="0"/>
    <x v="0"/>
    <s v="SI"/>
    <s v="NO"/>
    <s v="NO"/>
    <n v="38"/>
    <n v="0.28086100744983278"/>
    <s v="No"/>
    <n v="1.116689409724857"/>
    <s v="No"/>
    <n v="89680293"/>
    <n v="38"/>
    <x v="0"/>
  </r>
  <r>
    <n v="1342"/>
    <s v="HOMBRE"/>
    <n v="319572"/>
    <x v="0"/>
    <x v="1"/>
    <s v="SI"/>
    <s v="NO"/>
    <s v="SI"/>
    <n v="38"/>
    <n v="0.28086100744983278"/>
    <s v="No"/>
    <n v="0.3703360685380454"/>
    <s v="No"/>
    <n v="319572"/>
    <n v="38"/>
    <x v="0"/>
  </r>
  <r>
    <n v="1343"/>
    <s v="HOMBRE"/>
    <n v="62929261"/>
    <x v="0"/>
    <x v="1"/>
    <s v="SI"/>
    <s v="NO"/>
    <s v="NO"/>
    <n v="42"/>
    <n v="1.4403128587172659E-3"/>
    <s v="No"/>
    <n v="0.67153335336508113"/>
    <s v="No"/>
    <n v="62929261"/>
    <n v="42"/>
    <x v="0"/>
  </r>
  <r>
    <n v="1344"/>
    <s v="MUJER"/>
    <n v="1408126"/>
    <x v="0"/>
    <x v="0"/>
    <s v="SI"/>
    <s v="NO"/>
    <s v="NO"/>
    <n v="37"/>
    <n v="0.35143633752697023"/>
    <s v="No"/>
    <n v="0.35222176155449952"/>
    <s v="No"/>
    <n v="1408126"/>
    <n v="37"/>
    <x v="0"/>
  </r>
  <r>
    <n v="1345"/>
    <s v="HOMBRE"/>
    <n v="1575682"/>
    <x v="0"/>
    <x v="0"/>
    <s v="SI"/>
    <s v="NO"/>
    <s v="NO"/>
    <n v="38"/>
    <n v="0.28086100744983278"/>
    <s v="No"/>
    <n v="0.34943351143467544"/>
    <s v="No"/>
    <n v="1575682"/>
    <n v="38"/>
    <x v="0"/>
  </r>
  <r>
    <n v="1346"/>
    <s v="MUJER"/>
    <n v="26833333"/>
    <x v="0"/>
    <x v="1"/>
    <s v="SI"/>
    <s v="NO"/>
    <s v="NO"/>
    <n v="29"/>
    <n v="0.91603897814407031"/>
    <s v="No"/>
    <n v="7.0871630889237508E-2"/>
    <s v="No"/>
    <n v="26833333"/>
    <n v="29"/>
    <x v="0"/>
  </r>
  <r>
    <n v="1347"/>
    <s v="MUJER"/>
    <n v="308000"/>
    <x v="0"/>
    <x v="1"/>
    <s v="SI"/>
    <s v="NO"/>
    <s v="NO"/>
    <n v="57"/>
    <n v="1.0600702640157798"/>
    <s v="No"/>
    <n v="0.37052863478686138"/>
    <s v="No"/>
    <n v="308000"/>
    <n v="57"/>
    <x v="0"/>
  </r>
  <r>
    <n v="1348"/>
    <s v="HOMBRE"/>
    <n v="350000"/>
    <x v="0"/>
    <x v="1"/>
    <s v="SI"/>
    <s v="NO"/>
    <s v="SI"/>
    <n v="31"/>
    <n v="0.77488831798979529"/>
    <s v="No"/>
    <n v="0.36982972513854911"/>
    <s v="No"/>
    <n v="350000"/>
    <n v="31"/>
    <x v="0"/>
  </r>
  <r>
    <n v="1349"/>
    <s v="MUJER"/>
    <n v="5907065"/>
    <x v="0"/>
    <x v="0"/>
    <s v="SI"/>
    <s v="NO"/>
    <s v="NO"/>
    <n v="32"/>
    <n v="0.70431298791265773"/>
    <s v="No"/>
    <n v="0.27735624073858511"/>
    <s v="No"/>
    <n v="5907065"/>
    <n v="32"/>
    <x v="0"/>
  </r>
  <r>
    <n v="1350"/>
    <s v="MUJER"/>
    <n v="759928"/>
    <x v="1"/>
    <x v="0"/>
    <s v="SI"/>
    <s v="NO"/>
    <s v="NO"/>
    <n v="78"/>
    <n v="2.5421521956356674"/>
    <s v="Sí"/>
    <n v="0.36300823384537395"/>
    <s v="No"/>
    <n v="759928"/>
    <n v="78"/>
    <x v="1"/>
  </r>
  <r>
    <n v="1351"/>
    <s v="HOMBRE"/>
    <n v="18266909"/>
    <x v="0"/>
    <x v="0"/>
    <s v="SI"/>
    <s v="NO"/>
    <s v="NO"/>
    <n v="37"/>
    <n v="0.35143633752697023"/>
    <s v="No"/>
    <n v="7.1679711613950287E-2"/>
    <s v="No"/>
    <n v="18266909"/>
    <n v="37"/>
    <x v="0"/>
  </r>
  <r>
    <n v="1352"/>
    <s v="HOMBRE"/>
    <n v="1954127"/>
    <x v="0"/>
    <x v="0"/>
    <s v="SI"/>
    <s v="NO"/>
    <s v="NO"/>
    <n v="63"/>
    <n v="1.4835222444786049"/>
    <s v="No"/>
    <n v="0.34313591948573396"/>
    <s v="No"/>
    <n v="1954127"/>
    <n v="63"/>
    <x v="0"/>
  </r>
  <r>
    <n v="1353"/>
    <s v="MUJER"/>
    <n v="72789634"/>
    <x v="0"/>
    <x v="0"/>
    <s v="SI"/>
    <s v="NO"/>
    <s v="NO"/>
    <n v="28"/>
    <n v="0.98661430822120777"/>
    <s v="No"/>
    <n v="0.83561692064265058"/>
    <s v="No"/>
    <n v="72789634"/>
    <n v="28"/>
    <x v="0"/>
  </r>
  <r>
    <n v="1354"/>
    <s v="HOMBRE"/>
    <n v="300018"/>
    <x v="3"/>
    <x v="1"/>
    <s v="SI"/>
    <s v="NO"/>
    <s v="SI"/>
    <n v="53"/>
    <n v="0.77776894370722982"/>
    <s v="No"/>
    <n v="0.37066146090145252"/>
    <s v="No"/>
    <n v="300018"/>
    <n v="53"/>
    <x v="3"/>
  </r>
  <r>
    <n v="1355"/>
    <s v="HOMBRE"/>
    <n v="428100"/>
    <x v="0"/>
    <x v="0"/>
    <s v="SI"/>
    <s v="NO"/>
    <s v="NO"/>
    <n v="22"/>
    <n v="1.4100662886840327"/>
    <s v="No"/>
    <n v="0.36853008600680648"/>
    <s v="No"/>
    <n v="428100"/>
    <n v="22"/>
    <x v="0"/>
  </r>
  <r>
    <n v="1356"/>
    <s v="MUJER"/>
    <n v="35954427"/>
    <x v="6"/>
    <x v="1"/>
    <s v="SI"/>
    <s v="SI"/>
    <s v="NO"/>
    <n v="35"/>
    <n v="0.49258699768124525"/>
    <s v="No"/>
    <n v="0.22265307374074372"/>
    <s v="No"/>
    <n v="35954427"/>
    <n v="35"/>
    <x v="5"/>
  </r>
  <r>
    <n v="1357"/>
    <s v="MUJER"/>
    <n v="297046"/>
    <x v="2"/>
    <x v="1"/>
    <s v="SI"/>
    <s v="NO"/>
    <s v="NO"/>
    <n v="40"/>
    <n v="0.13971034729555773"/>
    <s v="No"/>
    <n v="0.37071091707942361"/>
    <s v="No"/>
    <n v="297046"/>
    <n v="40"/>
    <x v="2"/>
  </r>
  <r>
    <n v="1358"/>
    <s v="HOMBRE"/>
    <n v="58928256"/>
    <x v="0"/>
    <x v="0"/>
    <s v="SI"/>
    <s v="NO"/>
    <s v="NO"/>
    <n v="30"/>
    <n v="0.84546364806693275"/>
    <s v="No"/>
    <n v="0.60495380580685065"/>
    <s v="No"/>
    <n v="58928256"/>
    <n v="30"/>
    <x v="0"/>
  </r>
  <r>
    <n v="1359"/>
    <s v="HOMBRE"/>
    <n v="129988"/>
    <x v="0"/>
    <x v="0"/>
    <s v="SI"/>
    <s v="NO"/>
    <s v="SI"/>
    <n v="32"/>
    <n v="0.70431298791265773"/>
    <s v="No"/>
    <n v="0.37349088012770343"/>
    <s v="No"/>
    <n v="129988"/>
    <n v="32"/>
    <x v="0"/>
  </r>
  <r>
    <n v="1360"/>
    <s v="HOMBRE"/>
    <n v="41795415"/>
    <x v="0"/>
    <x v="1"/>
    <s v="SI"/>
    <s v="NO"/>
    <s v="SI"/>
    <n v="31"/>
    <n v="0.77488831798979529"/>
    <s v="No"/>
    <n v="0.31985123728541648"/>
    <s v="No"/>
    <n v="41795415"/>
    <n v="31"/>
    <x v="0"/>
  </r>
  <r>
    <n v="1361"/>
    <s v="HOMBRE"/>
    <n v="80728252"/>
    <x v="0"/>
    <x v="1"/>
    <s v="SI"/>
    <s v="NO"/>
    <s v="NO"/>
    <n v="24"/>
    <n v="1.2689156285297578"/>
    <s v="No"/>
    <n v="0.9677211281299255"/>
    <s v="No"/>
    <n v="80728252"/>
    <n v="24"/>
    <x v="0"/>
  </r>
  <r>
    <n v="1362"/>
    <s v="MUJER"/>
    <n v="801760"/>
    <x v="0"/>
    <x v="1"/>
    <s v="SI"/>
    <s v="NO"/>
    <s v="SI"/>
    <n v="45"/>
    <n v="0.21316630309012977"/>
    <s v="No"/>
    <n v="0.36231211983565492"/>
    <s v="No"/>
    <n v="801760"/>
    <n v="45"/>
    <x v="0"/>
  </r>
  <r>
    <n v="1363"/>
    <s v="HOMBRE"/>
    <n v="1456705"/>
    <x v="0"/>
    <x v="1"/>
    <s v="SI"/>
    <s v="NO"/>
    <s v="NO"/>
    <n v="51"/>
    <n v="0.6366182835529548"/>
    <s v="No"/>
    <n v="0.35141337270199091"/>
    <s v="No"/>
    <n v="1456705"/>
    <n v="51"/>
    <x v="0"/>
  </r>
  <r>
    <n v="1364"/>
    <s v="MUJER"/>
    <n v="337920"/>
    <x v="0"/>
    <x v="1"/>
    <s v="SI"/>
    <s v="NO"/>
    <s v="SI"/>
    <n v="27"/>
    <n v="1.0571896382983452"/>
    <s v="No"/>
    <n v="0.37003074486596843"/>
    <s v="No"/>
    <n v="337920"/>
    <n v="27"/>
    <x v="0"/>
  </r>
  <r>
    <n v="1365"/>
    <s v="MUJER"/>
    <n v="38727929"/>
    <x v="0"/>
    <x v="1"/>
    <s v="SI"/>
    <s v="NO"/>
    <s v="NO"/>
    <n v="35"/>
    <n v="0.49258699768124525"/>
    <s v="No"/>
    <n v="0.26880610486963441"/>
    <s v="No"/>
    <n v="38727929"/>
    <n v="35"/>
    <x v="0"/>
  </r>
  <r>
    <n v="1366"/>
    <s v="HOMBRE"/>
    <n v="351604"/>
    <x v="0"/>
    <x v="1"/>
    <s v="SI"/>
    <s v="NO"/>
    <s v="NO"/>
    <n v="22"/>
    <n v="1.4100662886840327"/>
    <s v="No"/>
    <n v="0.36980303344626592"/>
    <s v="No"/>
    <n v="351604"/>
    <n v="22"/>
    <x v="0"/>
  </r>
  <r>
    <n v="1367"/>
    <s v="MUJER"/>
    <n v="300018"/>
    <x v="2"/>
    <x v="1"/>
    <s v="SI"/>
    <s v="SI"/>
    <s v="NO"/>
    <n v="45"/>
    <n v="0.21316630309012977"/>
    <s v="No"/>
    <n v="0.37066146090145252"/>
    <s v="No"/>
    <n v="300018"/>
    <n v="45"/>
    <x v="2"/>
  </r>
  <r>
    <n v="1368"/>
    <s v="HOMBRE"/>
    <n v="232960"/>
    <x v="0"/>
    <x v="1"/>
    <s v="SI"/>
    <s v="NO"/>
    <s v="NO"/>
    <n v="60"/>
    <n v="1.2717962542471923"/>
    <s v="No"/>
    <n v="0.37177735335851264"/>
    <s v="No"/>
    <n v="232960"/>
    <n v="60"/>
    <x v="0"/>
  </r>
  <r>
    <n v="1369"/>
    <s v="MUJER"/>
    <n v="297046"/>
    <x v="2"/>
    <x v="1"/>
    <s v="SI"/>
    <s v="NO"/>
    <s v="NO"/>
    <n v="56"/>
    <n v="0.9894949339386423"/>
    <s v="No"/>
    <n v="0.37071091707942361"/>
    <s v="No"/>
    <n v="297046"/>
    <n v="56"/>
    <x v="2"/>
  </r>
  <r>
    <n v="1370"/>
    <s v="HOMBRE"/>
    <n v="683000"/>
    <x v="0"/>
    <x v="1"/>
    <s v="SI"/>
    <s v="NO"/>
    <s v="NO"/>
    <n v="38"/>
    <n v="0.28086100744983278"/>
    <s v="No"/>
    <n v="0.36428837006978743"/>
    <s v="No"/>
    <n v="683000"/>
    <n v="38"/>
    <x v="0"/>
  </r>
  <r>
    <n v="1371"/>
    <s v="MUJER"/>
    <n v="876520"/>
    <x v="0"/>
    <x v="1"/>
    <s v="SI"/>
    <s v="NO"/>
    <s v="NO"/>
    <n v="32"/>
    <n v="0.70431298791265773"/>
    <s v="No"/>
    <n v="0.36106806066165903"/>
    <s v="No"/>
    <n v="876520"/>
    <n v="32"/>
    <x v="0"/>
  </r>
  <r>
    <n v="1372"/>
    <s v="HOMBRE"/>
    <n v="409455"/>
    <x v="0"/>
    <x v="1"/>
    <s v="SI"/>
    <s v="NO"/>
    <s v="NO"/>
    <n v="25"/>
    <n v="1.1983402984526204"/>
    <s v="No"/>
    <n v="0.36884035196853943"/>
    <s v="No"/>
    <n v="409455"/>
    <n v="25"/>
    <x v="0"/>
  </r>
  <r>
    <n v="1373"/>
    <s v="HOMBRE"/>
    <n v="365490892"/>
    <x v="1"/>
    <x v="0"/>
    <s v="SI"/>
    <s v="NO"/>
    <s v="NO"/>
    <n v="62"/>
    <n v="1.4129469144014672"/>
    <s v="No"/>
    <n v="5.7063724751508014"/>
    <s v="Sí"/>
    <n v="365490892"/>
    <n v="62"/>
    <x v="1"/>
  </r>
  <r>
    <n v="1374"/>
    <s v="HOMBRE"/>
    <n v="120246662"/>
    <x v="0"/>
    <x v="1"/>
    <s v="SI"/>
    <s v="NO"/>
    <s v="NO"/>
    <n v="39"/>
    <n v="0.21028567737269524"/>
    <s v="No"/>
    <n v="1.6253353670575574"/>
    <s v="No"/>
    <n v="120246662"/>
    <n v="39"/>
    <x v="0"/>
  </r>
  <r>
    <n v="1375"/>
    <s v="MUJER"/>
    <n v="29708247"/>
    <x v="0"/>
    <x v="0"/>
    <s v="SI"/>
    <s v="NO"/>
    <s v="NO"/>
    <n v="41"/>
    <n v="6.9135017218420233E-2"/>
    <s v="No"/>
    <n v="0.11871222928609594"/>
    <s v="No"/>
    <n v="29708247"/>
    <n v="41"/>
    <x v="0"/>
  </r>
  <r>
    <n v="1376"/>
    <s v="HOMBRE"/>
    <n v="350000"/>
    <x v="0"/>
    <x v="1"/>
    <s v="SI"/>
    <s v="NO"/>
    <s v="NO"/>
    <n v="53"/>
    <n v="0.77776894370722982"/>
    <s v="No"/>
    <n v="0.36982972513854911"/>
    <s v="No"/>
    <n v="350000"/>
    <n v="53"/>
    <x v="0"/>
  </r>
  <r>
    <n v="1377"/>
    <s v="MUJER"/>
    <n v="243000"/>
    <x v="0"/>
    <x v="1"/>
    <s v="SI"/>
    <s v="NO"/>
    <s v="NO"/>
    <n v="46"/>
    <n v="0.2837416331672673"/>
    <s v="No"/>
    <n v="0.3716102806711542"/>
    <s v="No"/>
    <n v="243000"/>
    <n v="46"/>
    <x v="0"/>
  </r>
  <r>
    <n v="1378"/>
    <s v="MUJER"/>
    <n v="210000"/>
    <x v="0"/>
    <x v="1"/>
    <s v="SI"/>
    <s v="SI"/>
    <s v="NO"/>
    <n v="38"/>
    <n v="0.28086100744983278"/>
    <s v="No"/>
    <n v="0.37215942396625667"/>
    <s v="No"/>
    <n v="210000"/>
    <n v="38"/>
    <x v="0"/>
  </r>
  <r>
    <n v="1379"/>
    <s v="MUJER"/>
    <n v="115473948"/>
    <x v="0"/>
    <x v="0"/>
    <s v="SI"/>
    <s v="NO"/>
    <s v="NO"/>
    <n v="30"/>
    <n v="0.84546364806693275"/>
    <s v="No"/>
    <n v="1.5459140369805311"/>
    <s v="No"/>
    <n v="115473948"/>
    <n v="30"/>
    <x v="0"/>
  </r>
  <r>
    <n v="1380"/>
    <s v="HOMBRE"/>
    <n v="305704"/>
    <x v="3"/>
    <x v="1"/>
    <s v="SI"/>
    <s v="NO"/>
    <s v="SI"/>
    <n v="41"/>
    <n v="6.9135017218420233E-2"/>
    <s v="No"/>
    <n v="0.37056684184763578"/>
    <s v="No"/>
    <n v="305704"/>
    <n v="41"/>
    <x v="3"/>
  </r>
  <r>
    <n v="1381"/>
    <s v="HOMBRE"/>
    <n v="243888783"/>
    <x v="0"/>
    <x v="1"/>
    <s v="SI"/>
    <s v="NO"/>
    <s v="NO"/>
    <n v="32"/>
    <n v="0.70431298791265773"/>
    <s v="No"/>
    <n v="3.682827540978856"/>
    <s v="Sí"/>
    <n v="243888783"/>
    <n v="32"/>
    <x v="0"/>
  </r>
  <r>
    <n v="1382"/>
    <s v="MUJER"/>
    <n v="285127"/>
    <x v="0"/>
    <x v="0"/>
    <s v="SI"/>
    <s v="NO"/>
    <s v="NO"/>
    <n v="59"/>
    <n v="1.2012209241700549"/>
    <s v="No"/>
    <n v="0.37090925765319105"/>
    <s v="No"/>
    <n v="285127"/>
    <n v="59"/>
    <x v="0"/>
  </r>
  <r>
    <n v="1383"/>
    <s v="HOMBRE"/>
    <n v="27803099"/>
    <x v="4"/>
    <x v="1"/>
    <s v="SI"/>
    <s v="NO"/>
    <s v="NO"/>
    <n v="52"/>
    <n v="0.70719361363009237"/>
    <s v="No"/>
    <n v="8.7009221698885322E-2"/>
    <s v="No"/>
    <n v="27803099"/>
    <n v="52"/>
    <x v="4"/>
  </r>
  <r>
    <n v="1384"/>
    <s v="HOMBRE"/>
    <n v="1580792"/>
    <x v="0"/>
    <x v="1"/>
    <s v="SI"/>
    <s v="NO"/>
    <s v="NO"/>
    <n v="28"/>
    <n v="0.98661430822120777"/>
    <s v="No"/>
    <n v="0.34934847742746411"/>
    <s v="No"/>
    <n v="1580792"/>
    <n v="28"/>
    <x v="0"/>
  </r>
  <r>
    <n v="1385"/>
    <s v="MUJER"/>
    <n v="297139"/>
    <x v="2"/>
    <x v="1"/>
    <s v="SI"/>
    <s v="SI"/>
    <s v="NO"/>
    <n v="43"/>
    <n v="7.2015642935854773E-2"/>
    <s v="No"/>
    <n v="0.37070936949377375"/>
    <s v="No"/>
    <n v="297139"/>
    <n v="43"/>
    <x v="2"/>
  </r>
  <r>
    <n v="1386"/>
    <s v="MUJER"/>
    <n v="297046"/>
    <x v="2"/>
    <x v="1"/>
    <s v="SI"/>
    <s v="NO"/>
    <s v="NO"/>
    <n v="64"/>
    <n v="1.5540975745557424"/>
    <s v="No"/>
    <n v="0.37071091707942361"/>
    <s v="No"/>
    <n v="297046"/>
    <n v="64"/>
    <x v="2"/>
  </r>
  <r>
    <n v="1387"/>
    <s v="HOMBRE"/>
    <n v="278030"/>
    <x v="4"/>
    <x v="1"/>
    <s v="SI"/>
    <s v="NO"/>
    <s v="NO"/>
    <n v="32"/>
    <n v="0.70431298791265773"/>
    <s v="No"/>
    <n v="0.37102735674304993"/>
    <s v="No"/>
    <n v="278030"/>
    <n v="32"/>
    <x v="4"/>
  </r>
  <r>
    <n v="1388"/>
    <s v="HOMBRE"/>
    <n v="580000"/>
    <x v="0"/>
    <x v="1"/>
    <s v="SI"/>
    <s v="NO"/>
    <s v="NO"/>
    <n v="24"/>
    <n v="1.2689156285297578"/>
    <s v="No"/>
    <n v="0.36600236277874376"/>
    <s v="No"/>
    <n v="580000"/>
    <n v="24"/>
    <x v="0"/>
  </r>
  <r>
    <n v="1389"/>
    <s v="MUJER"/>
    <n v="504976"/>
    <x v="3"/>
    <x v="1"/>
    <s v="SI"/>
    <s v="NO"/>
    <s v="NO"/>
    <n v="36"/>
    <n v="0.42201166760410774"/>
    <s v="No"/>
    <n v="0.3672508150991004"/>
    <s v="No"/>
    <n v="504976"/>
    <n v="36"/>
    <x v="3"/>
  </r>
  <r>
    <n v="1390"/>
    <s v="HOMBRE"/>
    <n v="482000"/>
    <x v="0"/>
    <x v="1"/>
    <s v="SI"/>
    <s v="NO"/>
    <s v="SI"/>
    <n v="36"/>
    <n v="0.42201166760410774"/>
    <s v="No"/>
    <n v="0.36763315195813906"/>
    <s v="No"/>
    <n v="482000"/>
    <n v="36"/>
    <x v="0"/>
  </r>
  <r>
    <n v="1391"/>
    <s v="HOMBRE"/>
    <n v="639148"/>
    <x v="2"/>
    <x v="1"/>
    <s v="SI"/>
    <s v="NO"/>
    <s v="NO"/>
    <n v="79"/>
    <n v="2.6127275257128049"/>
    <s v="Sí"/>
    <n v="0.36501809830544912"/>
    <s v="No"/>
    <n v="639148"/>
    <n v="79"/>
    <x v="2"/>
  </r>
  <r>
    <n v="1392"/>
    <s v="HOMBRE"/>
    <n v="263640"/>
    <x v="0"/>
    <x v="1"/>
    <s v="SI"/>
    <s v="NO"/>
    <s v="NO"/>
    <n v="31"/>
    <n v="0.77488831798979529"/>
    <s v="No"/>
    <n v="0.37126681650112642"/>
    <s v="No"/>
    <n v="263640"/>
    <n v="31"/>
    <x v="0"/>
  </r>
  <r>
    <n v="1393"/>
    <s v="MUJER"/>
    <n v="846529"/>
    <x v="0"/>
    <x v="0"/>
    <s v="SI"/>
    <s v="NO"/>
    <s v="NO"/>
    <n v="28"/>
    <n v="0.98661430822120777"/>
    <s v="No"/>
    <n v="0.36156713207267172"/>
    <s v="No"/>
    <n v="846529"/>
    <n v="28"/>
    <x v="0"/>
  </r>
  <r>
    <n v="1394"/>
    <s v="MUJER"/>
    <n v="2408909"/>
    <x v="1"/>
    <x v="0"/>
    <s v="SI"/>
    <s v="NO"/>
    <s v="NO"/>
    <n v="83"/>
    <n v="2.8950288460213551"/>
    <s v="Sí"/>
    <n v="0.33556802596957314"/>
    <s v="No"/>
    <n v="2408909"/>
    <n v="83"/>
    <x v="1"/>
  </r>
  <r>
    <n v="1395"/>
    <s v="HOMBRE"/>
    <n v="924156"/>
    <x v="0"/>
    <x v="1"/>
    <s v="SI"/>
    <s v="NO"/>
    <s v="NO"/>
    <n v="28"/>
    <n v="0.98661430822120777"/>
    <s v="No"/>
    <n v="0.36027536399482563"/>
    <s v="No"/>
    <n v="924156"/>
    <n v="28"/>
    <x v="0"/>
  </r>
  <r>
    <n v="1396"/>
    <s v="MUJER"/>
    <n v="18150715"/>
    <x v="0"/>
    <x v="0"/>
    <s v="SI"/>
    <s v="NO"/>
    <s v="NO"/>
    <n v="35"/>
    <n v="0.49258699768124525"/>
    <s v="No"/>
    <n v="7.3613261796712126E-2"/>
    <s v="No"/>
    <n v="18150715"/>
    <n v="35"/>
    <x v="0"/>
  </r>
  <r>
    <n v="1397"/>
    <s v="HOMBRE"/>
    <n v="585937"/>
    <x v="3"/>
    <x v="1"/>
    <s v="SI"/>
    <s v="NO"/>
    <s v="SI"/>
    <n v="57"/>
    <n v="1.0600702640157798"/>
    <s v="No"/>
    <n v="0.36590356690774301"/>
    <s v="No"/>
    <n v="585937"/>
    <n v="57"/>
    <x v="3"/>
  </r>
  <r>
    <n v="1398"/>
    <s v="HOMBRE"/>
    <n v="22370212"/>
    <x v="0"/>
    <x v="1"/>
    <s v="SI"/>
    <s v="NO"/>
    <s v="NO"/>
    <n v="53"/>
    <n v="0.77776894370722982"/>
    <s v="No"/>
    <n v="3.3978531223138667E-3"/>
    <s v="No"/>
    <n v="22370212"/>
    <n v="53"/>
    <x v="0"/>
  </r>
  <r>
    <n v="1399"/>
    <s v="HOMBRE"/>
    <n v="15580799"/>
    <x v="0"/>
    <x v="1"/>
    <s v="SI"/>
    <s v="NO"/>
    <s v="NO"/>
    <n v="42"/>
    <n v="1.4403128587172659E-3"/>
    <s v="No"/>
    <n v="0.11637847817176224"/>
    <s v="No"/>
    <n v="15580799"/>
    <n v="42"/>
    <x v="0"/>
  </r>
  <r>
    <n v="1400"/>
    <s v="HOMBRE"/>
    <n v="36197688"/>
    <x v="0"/>
    <x v="1"/>
    <s v="SI"/>
    <s v="NO"/>
    <s v="NO"/>
    <n v="48"/>
    <n v="0.42489229332154227"/>
    <s v="No"/>
    <n v="0.22670110850165071"/>
    <s v="No"/>
    <n v="36197688"/>
    <n v="48"/>
    <x v="0"/>
  </r>
  <r>
    <n v="1401"/>
    <s v="HOMBRE"/>
    <n v="573500"/>
    <x v="0"/>
    <x v="1"/>
    <s v="SI"/>
    <s v="NO"/>
    <s v="NO"/>
    <n v="26"/>
    <n v="1.1277649683754829"/>
    <s v="No"/>
    <n v="0.36611052736717303"/>
    <s v="No"/>
    <n v="573500"/>
    <n v="26"/>
    <x v="0"/>
  </r>
  <r>
    <n v="1402"/>
    <s v="HOMBRE"/>
    <n v="180000"/>
    <x v="0"/>
    <x v="1"/>
    <s v="SI"/>
    <s v="NO"/>
    <s v="SI"/>
    <n v="47"/>
    <n v="0.35431696324440481"/>
    <s v="No"/>
    <n v="0.37265864514362262"/>
    <s v="No"/>
    <n v="180000"/>
    <n v="47"/>
    <x v="0"/>
  </r>
  <r>
    <n v="1403"/>
    <s v="HOMBRE"/>
    <n v="811540"/>
    <x v="0"/>
    <x v="1"/>
    <s v="SI"/>
    <s v="NO"/>
    <s v="NO"/>
    <n v="21"/>
    <n v="1.4806416187611704"/>
    <s v="No"/>
    <n v="0.36214937373183359"/>
    <s v="No"/>
    <n v="811540"/>
    <n v="21"/>
    <x v="0"/>
  </r>
  <r>
    <n v="1404"/>
    <s v="MUJER"/>
    <n v="760842"/>
    <x v="1"/>
    <x v="0"/>
    <s v="SI"/>
    <s v="NO"/>
    <s v="NO"/>
    <n v="75"/>
    <n v="2.330426205404255"/>
    <s v="Sí"/>
    <n v="0.36299302424017016"/>
    <s v="No"/>
    <n v="760842"/>
    <n v="75"/>
    <x v="1"/>
  </r>
  <r>
    <n v="1405"/>
    <s v="HOMBRE"/>
    <n v="125573608"/>
    <x v="0"/>
    <x v="1"/>
    <s v="SI"/>
    <s v="NO"/>
    <s v="NO"/>
    <n v="41"/>
    <n v="6.9135017218420233E-2"/>
    <s v="No"/>
    <n v="1.7139795088537124"/>
    <s v="No"/>
    <n v="125573608"/>
    <n v="41"/>
    <x v="0"/>
  </r>
  <r>
    <n v="1406"/>
    <s v="HOMBRE"/>
    <n v="114661122"/>
    <x v="0"/>
    <x v="0"/>
    <s v="SI"/>
    <s v="NO"/>
    <s v="NO"/>
    <n v="27"/>
    <n v="1.0571896382983452"/>
    <s v="No"/>
    <n v="1.5323880385567437"/>
    <s v="No"/>
    <n v="114661122"/>
    <n v="27"/>
    <x v="0"/>
  </r>
  <r>
    <n v="1407"/>
    <s v="HOMBRE"/>
    <n v="149717249"/>
    <x v="0"/>
    <x v="0"/>
    <s v="SI"/>
    <s v="NO"/>
    <s v="NO"/>
    <n v="47"/>
    <n v="0.35431696324440481"/>
    <s v="No"/>
    <n v="2.1157467383843787"/>
    <s v="Sí"/>
    <n v="149717249"/>
    <n v="47"/>
    <x v="0"/>
  </r>
  <r>
    <n v="1408"/>
    <s v="HOMBRE"/>
    <n v="137284755"/>
    <x v="0"/>
    <x v="0"/>
    <s v="SI"/>
    <s v="NO"/>
    <s v="NO"/>
    <n v="56"/>
    <n v="0.9894949339386423"/>
    <s v="No"/>
    <n v="1.9088612619752228"/>
    <s v="No"/>
    <n v="137284755"/>
    <n v="56"/>
    <x v="0"/>
  </r>
  <r>
    <n v="1409"/>
    <s v="MUJER"/>
    <n v="830543"/>
    <x v="0"/>
    <x v="0"/>
    <s v="SI"/>
    <s v="NO"/>
    <s v="SI"/>
    <n v="39"/>
    <n v="0.21028567737269524"/>
    <s v="No"/>
    <n v="0.36183315039738412"/>
    <s v="No"/>
    <n v="830543"/>
    <n v="39"/>
    <x v="0"/>
  </r>
  <r>
    <n v="1410"/>
    <s v="HOMBRE"/>
    <n v="65089742"/>
    <x v="0"/>
    <x v="1"/>
    <s v="SI"/>
    <s v="NO"/>
    <s v="NO"/>
    <n v="38"/>
    <n v="0.28086100744983278"/>
    <s v="No"/>
    <n v="0.70748528231497076"/>
    <s v="No"/>
    <n v="65089742"/>
    <n v="38"/>
    <x v="0"/>
  </r>
  <r>
    <n v="1411"/>
    <s v="HOMBRE"/>
    <n v="46359772"/>
    <x v="0"/>
    <x v="1"/>
    <s v="SI"/>
    <s v="SI"/>
    <s v="NO"/>
    <n v="47"/>
    <n v="0.35431696324440481"/>
    <s v="No"/>
    <n v="0.39580535980069503"/>
    <s v="No"/>
    <n v="46359772"/>
    <n v="47"/>
    <x v="0"/>
  </r>
  <r>
    <n v="1412"/>
    <s v="MUJER"/>
    <n v="297050"/>
    <x v="2"/>
    <x v="1"/>
    <s v="SI"/>
    <s v="NO"/>
    <s v="NO"/>
    <n v="31"/>
    <n v="0.77488831798979529"/>
    <s v="No"/>
    <n v="0.37071085051659991"/>
    <s v="No"/>
    <n v="297050"/>
    <n v="31"/>
    <x v="2"/>
  </r>
  <r>
    <n v="1413"/>
    <s v="HOMBRE"/>
    <n v="297110"/>
    <x v="2"/>
    <x v="1"/>
    <s v="SI"/>
    <s v="NO"/>
    <s v="NO"/>
    <n v="36"/>
    <n v="0.42201166760410774"/>
    <s v="No"/>
    <n v="0.37070985207424523"/>
    <s v="No"/>
    <n v="297110"/>
    <n v="36"/>
    <x v="2"/>
  </r>
  <r>
    <n v="1414"/>
    <s v="MUJER"/>
    <n v="297045"/>
    <x v="2"/>
    <x v="1"/>
    <s v="SI"/>
    <s v="NO"/>
    <s v="NO"/>
    <n v="33"/>
    <n v="0.63373765783552027"/>
    <s v="No"/>
    <n v="0.37071093372012948"/>
    <s v="No"/>
    <n v="297045"/>
    <n v="33"/>
    <x v="2"/>
  </r>
  <r>
    <n v="1415"/>
    <s v="MUJER"/>
    <n v="278030"/>
    <x v="4"/>
    <x v="1"/>
    <s v="SI"/>
    <s v="NO"/>
    <s v="NO"/>
    <n v="35"/>
    <n v="0.49258699768124525"/>
    <s v="No"/>
    <n v="0.37102735674304993"/>
    <s v="No"/>
    <n v="278030"/>
    <n v="35"/>
    <x v="4"/>
  </r>
  <r>
    <n v="1416"/>
    <s v="MUJER"/>
    <n v="1158018598"/>
    <x v="0"/>
    <x v="1"/>
    <s v="SI"/>
    <s v="NO"/>
    <s v="NO"/>
    <n v="46"/>
    <n v="0.2837416331672673"/>
    <s v="No"/>
    <n v="18.89459295796507"/>
    <s v="Sí"/>
    <n v="1158018598"/>
    <n v="46"/>
    <x v="0"/>
  </r>
  <r>
    <n v="1417"/>
    <s v="HOMBRE"/>
    <n v="200702976"/>
    <x v="0"/>
    <x v="0"/>
    <s v="SI"/>
    <s v="NO"/>
    <s v="NO"/>
    <n v="54"/>
    <n v="0.84834427378436728"/>
    <s v="No"/>
    <n v="2.9641852271109501"/>
    <s v="Sí"/>
    <n v="200702976"/>
    <n v="54"/>
    <x v="0"/>
  </r>
  <r>
    <n v="1418"/>
    <s v="HOMBRE"/>
    <n v="74023733"/>
    <x v="0"/>
    <x v="0"/>
    <s v="SI"/>
    <s v="NO"/>
    <s v="NO"/>
    <n v="52"/>
    <n v="0.70719361363009237"/>
    <s v="No"/>
    <n v="0.85615319916818722"/>
    <s v="No"/>
    <n v="74023733"/>
    <n v="52"/>
    <x v="0"/>
  </r>
  <r>
    <n v="1419"/>
    <s v="HOMBRE"/>
    <n v="140000"/>
    <x v="0"/>
    <x v="1"/>
    <s v="SI"/>
    <s v="NO"/>
    <s v="NO"/>
    <n v="42"/>
    <n v="1.4403128587172659E-3"/>
    <s v="No"/>
    <n v="0.37332427338011048"/>
    <s v="No"/>
    <n v="140000"/>
    <n v="42"/>
    <x v="0"/>
  </r>
  <r>
    <n v="1420"/>
    <s v="MUJER"/>
    <n v="300018"/>
    <x v="3"/>
    <x v="1"/>
    <s v="SI"/>
    <s v="NO"/>
    <s v="SI"/>
    <n v="58"/>
    <n v="1.1306455940929174"/>
    <s v="No"/>
    <n v="0.37066146090145252"/>
    <s v="No"/>
    <n v="300018"/>
    <n v="58"/>
    <x v="3"/>
  </r>
  <r>
    <n v="1421"/>
    <s v="MUJER"/>
    <n v="297045"/>
    <x v="2"/>
    <x v="1"/>
    <s v="SI"/>
    <s v="NO"/>
    <s v="SI"/>
    <n v="27"/>
    <n v="1.0571896382983452"/>
    <s v="No"/>
    <n v="0.37071093372012948"/>
    <s v="No"/>
    <n v="297045"/>
    <n v="27"/>
    <x v="2"/>
  </r>
  <r>
    <n v="1422"/>
    <s v="HOMBRE"/>
    <n v="266625"/>
    <x v="0"/>
    <x v="1"/>
    <s v="SI"/>
    <s v="NO"/>
    <s v="NO"/>
    <n v="50"/>
    <n v="0.56604295347581735"/>
    <s v="No"/>
    <n v="0.37121714399397854"/>
    <s v="No"/>
    <n v="266625"/>
    <n v="50"/>
    <x v="0"/>
  </r>
  <r>
    <n v="1423"/>
    <s v="HOMBRE"/>
    <n v="282305"/>
    <x v="3"/>
    <x v="1"/>
    <s v="SI"/>
    <s v="NO"/>
    <s v="SI"/>
    <n v="34"/>
    <n v="0.56316232775838282"/>
    <s v="No"/>
    <n v="0.37095621772527526"/>
    <s v="No"/>
    <n v="282305"/>
    <n v="34"/>
    <x v="3"/>
  </r>
  <r>
    <n v="1424"/>
    <s v="HOMBRE"/>
    <n v="57414148"/>
    <x v="0"/>
    <x v="1"/>
    <s v="SI"/>
    <s v="NO"/>
    <s v="NO"/>
    <n v="22"/>
    <n v="1.4100662886840327"/>
    <s v="No"/>
    <n v="0.57975797985954558"/>
    <s v="No"/>
    <n v="57414148"/>
    <n v="22"/>
    <x v="0"/>
  </r>
  <r>
    <n v="1425"/>
    <s v="MUJER"/>
    <n v="2072167"/>
    <x v="1"/>
    <x v="0"/>
    <s v="SI"/>
    <s v="NO"/>
    <s v="NO"/>
    <n v="67"/>
    <n v="1.765823564787155"/>
    <s v="No"/>
    <n v="0.34117165055985821"/>
    <s v="No"/>
    <n v="2072167"/>
    <n v="67"/>
    <x v="1"/>
  </r>
  <r>
    <n v="1426"/>
    <s v="HOMBRE"/>
    <n v="278030"/>
    <x v="4"/>
    <x v="1"/>
    <s v="SI"/>
    <s v="NO"/>
    <s v="NO"/>
    <n v="56"/>
    <n v="0.9894949339386423"/>
    <s v="No"/>
    <n v="0.37102735674304993"/>
    <s v="No"/>
    <n v="278030"/>
    <n v="56"/>
    <x v="4"/>
  </r>
  <r>
    <n v="1427"/>
    <s v="MUJER"/>
    <n v="21667465"/>
    <x v="0"/>
    <x v="0"/>
    <s v="SI"/>
    <s v="NO"/>
    <s v="NO"/>
    <n v="32"/>
    <n v="0.70431298791265773"/>
    <s v="No"/>
    <n v="1.5092059279992697E-2"/>
    <s v="No"/>
    <n v="21667465"/>
    <n v="32"/>
    <x v="0"/>
  </r>
  <r>
    <n v="1428"/>
    <s v="MUJER"/>
    <n v="53225769"/>
    <x v="0"/>
    <x v="1"/>
    <s v="SI"/>
    <s v="NO"/>
    <s v="NO"/>
    <n v="42"/>
    <n v="1.4403128587172659E-3"/>
    <s v="No"/>
    <n v="0.51006039667172309"/>
    <s v="No"/>
    <n v="53225769"/>
    <n v="42"/>
    <x v="0"/>
  </r>
  <r>
    <n v="1429"/>
    <s v="HOMBRE"/>
    <n v="276253665"/>
    <x v="0"/>
    <x v="1"/>
    <s v="SI"/>
    <s v="SI"/>
    <s v="NO"/>
    <n v="42"/>
    <n v="1.4403128587172659E-3"/>
    <s v="No"/>
    <n v="4.2214020242238206"/>
    <s v="Sí"/>
    <n v="276253665"/>
    <n v="42"/>
    <x v="0"/>
  </r>
  <r>
    <n v="1430"/>
    <s v="MUJER"/>
    <n v="278030"/>
    <x v="4"/>
    <x v="1"/>
    <s v="SI"/>
    <s v="NO"/>
    <s v="NO"/>
    <n v="60"/>
    <n v="1.2717962542471923"/>
    <s v="No"/>
    <n v="0.37102735674304993"/>
    <s v="No"/>
    <n v="278030"/>
    <n v="60"/>
    <x v="4"/>
  </r>
  <r>
    <n v="1431"/>
    <s v="HOMBRE"/>
    <n v="43718354"/>
    <x v="0"/>
    <x v="1"/>
    <s v="SI"/>
    <s v="NO"/>
    <s v="NO"/>
    <n v="46"/>
    <n v="0.2837416331672673"/>
    <s v="No"/>
    <n v="0.35185029967151099"/>
    <s v="No"/>
    <n v="43718354"/>
    <n v="46"/>
    <x v="0"/>
  </r>
  <r>
    <n v="1432"/>
    <s v="HOMBRE"/>
    <n v="41762303"/>
    <x v="0"/>
    <x v="1"/>
    <s v="SI"/>
    <s v="NO"/>
    <s v="NO"/>
    <n v="27"/>
    <n v="1.0571896382983452"/>
    <s v="No"/>
    <n v="0.31930023023125181"/>
    <s v="No"/>
    <n v="41762303"/>
    <n v="27"/>
    <x v="0"/>
  </r>
  <r>
    <n v="1433"/>
    <s v="MUJER"/>
    <n v="170502"/>
    <x v="0"/>
    <x v="1"/>
    <s v="SI"/>
    <s v="NO"/>
    <s v="NO"/>
    <n v="47"/>
    <n v="0.35431696324440481"/>
    <s v="No"/>
    <n v="0.37281669856837668"/>
    <s v="No"/>
    <n v="170502"/>
    <n v="47"/>
    <x v="0"/>
  </r>
  <r>
    <n v="1434"/>
    <s v="HOMBRE"/>
    <n v="573826"/>
    <x v="3"/>
    <x v="1"/>
    <s v="SI"/>
    <s v="NO"/>
    <s v="SI"/>
    <n v="61"/>
    <n v="1.3423715843243298"/>
    <s v="No"/>
    <n v="0.36610510249704564"/>
    <s v="No"/>
    <n v="573826"/>
    <n v="61"/>
    <x v="3"/>
  </r>
  <r>
    <n v="1435"/>
    <s v="MUJER"/>
    <n v="297045"/>
    <x v="2"/>
    <x v="1"/>
    <s v="SI"/>
    <s v="NO"/>
    <s v="SI"/>
    <n v="23"/>
    <n v="1.3394909586068953"/>
    <s v="No"/>
    <n v="0.37071093372012948"/>
    <s v="No"/>
    <n v="297045"/>
    <n v="23"/>
    <x v="2"/>
  </r>
  <r>
    <n v="1436"/>
    <s v="HOMBRE"/>
    <n v="40619091"/>
    <x v="0"/>
    <x v="0"/>
    <s v="SI"/>
    <s v="SI"/>
    <s v="NO"/>
    <n v="22"/>
    <n v="1.4100662886840327"/>
    <s v="No"/>
    <n v="0.30027637554395703"/>
    <s v="No"/>
    <n v="40619091"/>
    <n v="22"/>
    <x v="0"/>
  </r>
  <r>
    <n v="1437"/>
    <s v="HOMBRE"/>
    <n v="297046"/>
    <x v="2"/>
    <x v="1"/>
    <s v="SI"/>
    <s v="SI"/>
    <s v="NO"/>
    <n v="44"/>
    <n v="0.14259097301299228"/>
    <s v="No"/>
    <n v="0.37071091707942361"/>
    <s v="No"/>
    <n v="297046"/>
    <n v="44"/>
    <x v="2"/>
  </r>
  <r>
    <n v="1438"/>
    <s v="MUJER"/>
    <n v="313897"/>
    <x v="0"/>
    <x v="0"/>
    <s v="SI"/>
    <s v="NO"/>
    <s v="SI"/>
    <n v="31"/>
    <n v="0.77488831798979529"/>
    <s v="No"/>
    <n v="0.37043050454409715"/>
    <s v="No"/>
    <n v="313897"/>
    <n v="31"/>
    <x v="0"/>
  </r>
  <r>
    <n v="1439"/>
    <s v="MUJER"/>
    <n v="496170"/>
    <x v="0"/>
    <x v="1"/>
    <s v="SI"/>
    <s v="SI"/>
    <s v="NO"/>
    <n v="28"/>
    <n v="0.98661430822120777"/>
    <s v="No"/>
    <n v="0.36739735315536326"/>
    <s v="No"/>
    <n v="496170"/>
    <n v="28"/>
    <x v="0"/>
  </r>
  <r>
    <n v="1440"/>
    <s v="HOMBRE"/>
    <n v="952596"/>
    <x v="0"/>
    <x v="1"/>
    <s v="SI"/>
    <s v="NO"/>
    <s v="NO"/>
    <n v="61"/>
    <n v="1.3423715843243298"/>
    <s v="No"/>
    <n v="0.3598021023186827"/>
    <s v="No"/>
    <n v="952596"/>
    <n v="61"/>
    <x v="0"/>
  </r>
  <r>
    <n v="1441"/>
    <s v="MUJER"/>
    <n v="644244"/>
    <x v="0"/>
    <x v="1"/>
    <s v="SI"/>
    <s v="NO"/>
    <s v="NO"/>
    <n v="25"/>
    <n v="1.1983402984526204"/>
    <s v="No"/>
    <n v="0.36493329726812057"/>
    <s v="No"/>
    <n v="644244"/>
    <n v="25"/>
    <x v="0"/>
  </r>
  <r>
    <n v="1442"/>
    <s v="HOMBRE"/>
    <n v="297045"/>
    <x v="2"/>
    <x v="1"/>
    <s v="SI"/>
    <s v="NO"/>
    <s v="NO"/>
    <n v="36"/>
    <n v="0.42201166760410774"/>
    <s v="No"/>
    <n v="0.37071093372012948"/>
    <s v="No"/>
    <n v="297045"/>
    <n v="36"/>
    <x v="2"/>
  </r>
  <r>
    <n v="1443"/>
    <s v="MUJER"/>
    <n v="29704499"/>
    <x v="4"/>
    <x v="1"/>
    <s v="SI"/>
    <s v="SI"/>
    <s v="NO"/>
    <n v="56"/>
    <n v="0.9894949339386423"/>
    <s v="No"/>
    <n v="0.11864985992033703"/>
    <s v="No"/>
    <n v="29704499"/>
    <n v="56"/>
    <x v="4"/>
  </r>
  <r>
    <n v="1444"/>
    <s v="MUJER"/>
    <n v="15911324"/>
    <x v="0"/>
    <x v="0"/>
    <s v="SI"/>
    <s v="NO"/>
    <s v="NO"/>
    <n v="51"/>
    <n v="0.6366182835529548"/>
    <s v="No"/>
    <n v="0.11087830885013326"/>
    <s v="No"/>
    <n v="15911324"/>
    <n v="51"/>
    <x v="0"/>
  </r>
  <r>
    <n v="1445"/>
    <s v="HOMBRE"/>
    <n v="130000"/>
    <x v="0"/>
    <x v="1"/>
    <s v="SI"/>
    <s v="SI"/>
    <s v="NO"/>
    <n v="40"/>
    <n v="0.13971034729555773"/>
    <s v="No"/>
    <n v="0.37349068043923245"/>
    <s v="No"/>
    <n v="130000"/>
    <n v="40"/>
    <x v="0"/>
  </r>
  <r>
    <n v="1446"/>
    <s v="HOMBRE"/>
    <n v="86819139"/>
    <x v="0"/>
    <x v="1"/>
    <s v="SI"/>
    <s v="NO"/>
    <s v="NO"/>
    <n v="30"/>
    <n v="0.84546364806693275"/>
    <s v="No"/>
    <n v="1.0690777874413504"/>
    <s v="No"/>
    <n v="86819139"/>
    <n v="30"/>
    <x v="0"/>
  </r>
  <r>
    <n v="1447"/>
    <s v="MUJER"/>
    <n v="12231333"/>
    <x v="0"/>
    <x v="1"/>
    <s v="SI"/>
    <s v="NO"/>
    <s v="NO"/>
    <n v="42"/>
    <n v="1.4403128587172659E-3"/>
    <s v="No"/>
    <n v="0.17211595684066566"/>
    <s v="No"/>
    <n v="12231333"/>
    <n v="42"/>
    <x v="0"/>
  </r>
  <r>
    <n v="1448"/>
    <s v="HOMBRE"/>
    <n v="337000"/>
    <x v="0"/>
    <x v="1"/>
    <s v="SI"/>
    <s v="SI"/>
    <s v="NO"/>
    <n v="42"/>
    <n v="1.4403128587172659E-3"/>
    <s v="No"/>
    <n v="0.37004605431540766"/>
    <s v="No"/>
    <n v="337000"/>
    <n v="42"/>
    <x v="0"/>
  </r>
  <r>
    <n v="1449"/>
    <s v="MUJER"/>
    <n v="14481165"/>
    <x v="0"/>
    <x v="0"/>
    <s v="SI"/>
    <s v="NO"/>
    <s v="NO"/>
    <n v="42"/>
    <n v="1.4403128587172659E-3"/>
    <s v="No"/>
    <n v="0.13467716417681527"/>
    <s v="No"/>
    <n v="14481165"/>
    <n v="42"/>
    <x v="0"/>
  </r>
  <r>
    <n v="1450"/>
    <s v="MUJER"/>
    <n v="327716"/>
    <x v="2"/>
    <x v="1"/>
    <s v="SI"/>
    <s v="NO"/>
    <s v="NO"/>
    <n v="40"/>
    <n v="0.13971034729555773"/>
    <s v="No"/>
    <n v="0.37020054662909652"/>
    <s v="No"/>
    <n v="327716"/>
    <n v="40"/>
    <x v="2"/>
  </r>
  <r>
    <n v="1451"/>
    <s v="MUJER"/>
    <n v="297044"/>
    <x v="6"/>
    <x v="1"/>
    <s v="SI"/>
    <s v="NO"/>
    <s v="NO"/>
    <n v="27"/>
    <n v="1.0571896382983452"/>
    <s v="No"/>
    <n v="0.3707109503608354"/>
    <s v="No"/>
    <n v="297044"/>
    <n v="27"/>
    <x v="5"/>
  </r>
  <r>
    <n v="1452"/>
    <s v="HOMBRE"/>
    <n v="278030"/>
    <x v="4"/>
    <x v="1"/>
    <s v="SI"/>
    <s v="NO"/>
    <s v="NO"/>
    <n v="48"/>
    <n v="0.42489229332154227"/>
    <s v="No"/>
    <n v="0.37102735674304993"/>
    <s v="No"/>
    <n v="278030"/>
    <n v="48"/>
    <x v="4"/>
  </r>
  <r>
    <n v="1453"/>
    <s v="HOMBRE"/>
    <n v="477915"/>
    <x v="0"/>
    <x v="0"/>
    <s v="SI"/>
    <s v="NO"/>
    <s v="NO"/>
    <n v="21"/>
    <n v="1.4806416187611704"/>
    <s v="No"/>
    <n v="0.36770112924179038"/>
    <s v="No"/>
    <n v="477915"/>
    <n v="21"/>
    <x v="0"/>
  </r>
  <r>
    <n v="1454"/>
    <s v="HOMBRE"/>
    <n v="547209034"/>
    <x v="0"/>
    <x v="0"/>
    <s v="SI"/>
    <s v="NO"/>
    <s v="NO"/>
    <n v="42"/>
    <n v="1.4403128587172659E-3"/>
    <s v="No"/>
    <n v="8.7302906350836871"/>
    <s v="Sí"/>
    <n v="547209034"/>
    <n v="42"/>
    <x v="0"/>
  </r>
  <r>
    <n v="1455"/>
    <s v="MUJER"/>
    <n v="19682239"/>
    <x v="1"/>
    <x v="0"/>
    <s v="SI"/>
    <s v="NO"/>
    <s v="NO"/>
    <n v="94"/>
    <n v="3.6713574768698676"/>
    <s v="Sí"/>
    <n v="4.8127621315240253E-2"/>
    <s v="No"/>
    <n v="19682239"/>
    <n v="94"/>
    <x v="1"/>
  </r>
  <r>
    <n v="1456"/>
    <s v="MUJER"/>
    <n v="575000"/>
    <x v="0"/>
    <x v="1"/>
    <s v="SI"/>
    <s v="NO"/>
    <s v="SI"/>
    <n v="32"/>
    <n v="0.70431298791265773"/>
    <s v="No"/>
    <n v="0.36608556630830474"/>
    <s v="No"/>
    <n v="575000"/>
    <n v="32"/>
    <x v="0"/>
  </r>
  <r>
    <n v="1457"/>
    <s v="MUJER"/>
    <n v="298957"/>
    <x v="2"/>
    <x v="1"/>
    <s v="SI"/>
    <s v="NO"/>
    <s v="NO"/>
    <n v="32"/>
    <n v="0.70431298791265773"/>
    <s v="No"/>
    <n v="0.37067911669042536"/>
    <s v="No"/>
    <n v="298957"/>
    <n v="32"/>
    <x v="2"/>
  </r>
  <r>
    <n v="1458"/>
    <s v="MUJER"/>
    <n v="752947"/>
    <x v="0"/>
    <x v="1"/>
    <s v="SI"/>
    <s v="NO"/>
    <s v="NO"/>
    <n v="25"/>
    <n v="1.1983402984526204"/>
    <s v="No"/>
    <n v="0.363124402613347"/>
    <s v="No"/>
    <n v="752947"/>
    <n v="25"/>
    <x v="0"/>
  </r>
  <r>
    <n v="1459"/>
    <s v="HOMBRE"/>
    <n v="278030"/>
    <x v="4"/>
    <x v="1"/>
    <s v="SI"/>
    <s v="NO"/>
    <s v="NO"/>
    <n v="61"/>
    <n v="1.3423715843243298"/>
    <s v="No"/>
    <n v="0.37102735674304993"/>
    <s v="No"/>
    <n v="278030"/>
    <n v="61"/>
    <x v="4"/>
  </r>
  <r>
    <n v="1460"/>
    <s v="MUJER"/>
    <n v="27803099"/>
    <x v="4"/>
    <x v="1"/>
    <s v="SI"/>
    <s v="NO"/>
    <s v="NO"/>
    <n v="34"/>
    <n v="0.56316232775838282"/>
    <s v="No"/>
    <n v="8.7009221698885322E-2"/>
    <s v="No"/>
    <n v="27803099"/>
    <n v="34"/>
    <x v="4"/>
  </r>
  <r>
    <n v="1461"/>
    <s v="MUJER"/>
    <n v="79149902"/>
    <x v="0"/>
    <x v="1"/>
    <s v="SI"/>
    <s v="NO"/>
    <s v="NO"/>
    <n v="29"/>
    <n v="0.91603897814407031"/>
    <s v="No"/>
    <n v="0.94145626995340903"/>
    <s v="No"/>
    <n v="79149902"/>
    <n v="29"/>
    <x v="0"/>
  </r>
  <r>
    <n v="1462"/>
    <s v="HOMBRE"/>
    <n v="371304"/>
    <x v="3"/>
    <x v="1"/>
    <s v="SI"/>
    <s v="NO"/>
    <s v="SI"/>
    <n v="37"/>
    <n v="0.35143633752697023"/>
    <s v="No"/>
    <n v="0.36947521153979562"/>
    <s v="No"/>
    <n v="371304"/>
    <n v="37"/>
    <x v="3"/>
  </r>
  <r>
    <n v="1463"/>
    <s v="MUJER"/>
    <n v="16118705"/>
    <x v="0"/>
    <x v="0"/>
    <s v="SI"/>
    <s v="NO"/>
    <s v="NO"/>
    <n v="33"/>
    <n v="0.63373765783552027"/>
    <s v="No"/>
    <n v="0.10742734261735591"/>
    <s v="No"/>
    <n v="16118705"/>
    <n v="33"/>
    <x v="0"/>
  </r>
  <r>
    <n v="1464"/>
    <s v="HOMBRE"/>
    <n v="77194742"/>
    <x v="0"/>
    <x v="1"/>
    <s v="SI"/>
    <s v="NO"/>
    <s v="NO"/>
    <n v="40"/>
    <n v="0.13971034729555773"/>
    <s v="No"/>
    <n v="0.90892102738211766"/>
    <s v="No"/>
    <n v="77194742"/>
    <n v="40"/>
    <x v="0"/>
  </r>
  <r>
    <n v="1465"/>
    <s v="HOMBRE"/>
    <n v="278030"/>
    <x v="4"/>
    <x v="1"/>
    <s v="SI"/>
    <s v="NO"/>
    <s v="NO"/>
    <n v="53"/>
    <n v="0.77776894370722982"/>
    <s v="No"/>
    <n v="0.37102735674304993"/>
    <s v="No"/>
    <n v="278030"/>
    <n v="53"/>
    <x v="4"/>
  </r>
  <r>
    <n v="1466"/>
    <s v="MUJER"/>
    <n v="13580255"/>
    <x v="0"/>
    <x v="0"/>
    <s v="SI"/>
    <s v="NO"/>
    <s v="NO"/>
    <n v="32"/>
    <n v="0.70431298791265773"/>
    <s v="No"/>
    <n v="0.14966894254017282"/>
    <s v="No"/>
    <n v="13580255"/>
    <n v="32"/>
    <x v="0"/>
  </r>
  <r>
    <n v="1467"/>
    <s v="HOMBRE"/>
    <n v="104970032"/>
    <x v="0"/>
    <x v="1"/>
    <s v="SI"/>
    <s v="NO"/>
    <s v="NO"/>
    <n v="37"/>
    <n v="0.35143633752697023"/>
    <s v="No"/>
    <n v="1.3711214598981087"/>
    <s v="No"/>
    <n v="104970032"/>
    <n v="37"/>
    <x v="0"/>
  </r>
  <r>
    <n v="1468"/>
    <s v="HOMBRE"/>
    <n v="311173"/>
    <x v="3"/>
    <x v="1"/>
    <s v="SI"/>
    <s v="NO"/>
    <s v="SI"/>
    <n v="33"/>
    <n v="0.63373765783552027"/>
    <s v="No"/>
    <n v="0.370475833827002"/>
    <s v="No"/>
    <n v="311173"/>
    <n v="33"/>
    <x v="3"/>
  </r>
  <r>
    <n v="1469"/>
    <s v="HOMBRE"/>
    <n v="266800"/>
    <x v="0"/>
    <x v="1"/>
    <s v="SI"/>
    <s v="NO"/>
    <s v="NO"/>
    <n v="44"/>
    <n v="0.14259097301299228"/>
    <s v="No"/>
    <n v="0.37121423187044389"/>
    <s v="No"/>
    <n v="266800"/>
    <n v="44"/>
    <x v="0"/>
  </r>
  <r>
    <n v="1470"/>
    <s v="HOMBRE"/>
    <n v="196925"/>
    <x v="0"/>
    <x v="1"/>
    <s v="SI"/>
    <s v="NO"/>
    <s v="SI"/>
    <n v="22"/>
    <n v="1.4100662886840327"/>
    <s v="No"/>
    <n v="0.37237700119605865"/>
    <s v="No"/>
    <n v="196925"/>
    <n v="22"/>
    <x v="0"/>
  </r>
  <r>
    <n v="1471"/>
    <s v="HOMBRE"/>
    <n v="342027"/>
    <x v="0"/>
    <x v="1"/>
    <s v="SI"/>
    <s v="SI"/>
    <s v="NO"/>
    <n v="61"/>
    <n v="1.3423715843243298"/>
    <s v="No"/>
    <n v="0.36996240148678705"/>
    <s v="No"/>
    <n v="342027"/>
    <n v="61"/>
    <x v="0"/>
  </r>
  <r>
    <n v="1472"/>
    <s v="MUJER"/>
    <n v="1104062"/>
    <x v="1"/>
    <x v="0"/>
    <s v="SI"/>
    <s v="NO"/>
    <s v="NO"/>
    <n v="91"/>
    <n v="3.4596314866384548"/>
    <s v="Sí"/>
    <n v="0.35728160115698587"/>
    <s v="No"/>
    <n v="1104062"/>
    <n v="91"/>
    <x v="1"/>
  </r>
  <r>
    <n v="1473"/>
    <s v="HOMBRE"/>
    <n v="155880"/>
    <x v="0"/>
    <x v="1"/>
    <s v="SI"/>
    <s v="NO"/>
    <s v="NO"/>
    <n v="36"/>
    <n v="0.42201166760410774"/>
    <s v="No"/>
    <n v="0.37306001897022478"/>
    <s v="No"/>
    <n v="155880"/>
    <n v="36"/>
    <x v="0"/>
  </r>
  <r>
    <n v="1474"/>
    <s v="HOMBRE"/>
    <n v="297046"/>
    <x v="2"/>
    <x v="1"/>
    <s v="SI"/>
    <s v="NO"/>
    <s v="NO"/>
    <n v="51"/>
    <n v="0.6366182835529548"/>
    <s v="No"/>
    <n v="0.37071091707942361"/>
    <s v="No"/>
    <n v="297046"/>
    <n v="51"/>
    <x v="2"/>
  </r>
  <r>
    <n v="1475"/>
    <s v="HOMBRE"/>
    <n v="338166"/>
    <x v="3"/>
    <x v="1"/>
    <s v="SI"/>
    <s v="NO"/>
    <s v="NO"/>
    <n v="56"/>
    <n v="0.9894949339386423"/>
    <s v="No"/>
    <n v="0.37002665125231404"/>
    <s v="No"/>
    <n v="338166"/>
    <n v="56"/>
    <x v="3"/>
  </r>
  <r>
    <n v="1476"/>
    <s v="HOMBRE"/>
    <n v="650000"/>
    <x v="0"/>
    <x v="1"/>
    <s v="SI"/>
    <s v="NO"/>
    <s v="SI"/>
    <n v="31"/>
    <n v="0.77488831798979529"/>
    <s v="No"/>
    <n v="0.36483751336488995"/>
    <s v="No"/>
    <n v="650000"/>
    <n v="31"/>
    <x v="0"/>
  </r>
  <r>
    <n v="1477"/>
    <s v="HOMBRE"/>
    <n v="49063883"/>
    <x v="0"/>
    <x v="0"/>
    <s v="SI"/>
    <s v="NO"/>
    <s v="NO"/>
    <n v="55"/>
    <n v="0.91891960386150484"/>
    <s v="No"/>
    <n v="0.44080367570563245"/>
    <s v="No"/>
    <n v="49063883"/>
    <n v="55"/>
    <x v="0"/>
  </r>
  <r>
    <n v="1478"/>
    <s v="MUJER"/>
    <n v="432363"/>
    <x v="1"/>
    <x v="0"/>
    <s v="SI"/>
    <s v="NO"/>
    <s v="NO"/>
    <n v="80"/>
    <n v="2.6833028557899423"/>
    <s v="Sí"/>
    <n v="0.36845914667750279"/>
    <s v="No"/>
    <n v="432363"/>
    <n v="80"/>
    <x v="1"/>
  </r>
  <r>
    <n v="1479"/>
    <s v="HOMBRE"/>
    <n v="360420"/>
    <x v="3"/>
    <x v="1"/>
    <s v="SI"/>
    <s v="NO"/>
    <s v="SI"/>
    <n v="32"/>
    <n v="0.70431298791265773"/>
    <s v="No"/>
    <n v="0.36965632898294398"/>
    <s v="No"/>
    <n v="360420"/>
    <n v="32"/>
    <x v="3"/>
  </r>
  <r>
    <n v="1480"/>
    <s v="HOMBRE"/>
    <n v="35167001"/>
    <x v="0"/>
    <x v="1"/>
    <s v="SI"/>
    <s v="NO"/>
    <s v="NO"/>
    <n v="21"/>
    <n v="1.4806416187611704"/>
    <s v="No"/>
    <n v="0.20954974924712594"/>
    <s v="No"/>
    <n v="35167001"/>
    <n v="21"/>
    <x v="0"/>
  </r>
  <r>
    <n v="1481"/>
    <s v="MUJER"/>
    <n v="52860629"/>
    <x v="0"/>
    <x v="0"/>
    <s v="SI"/>
    <s v="NO"/>
    <s v="NO"/>
    <n v="29"/>
    <n v="0.91603897814407031"/>
    <s v="No"/>
    <n v="0.50398420931494348"/>
    <s v="No"/>
    <n v="52860629"/>
    <n v="29"/>
    <x v="0"/>
  </r>
  <r>
    <n v="1482"/>
    <s v="MUJER"/>
    <n v="23987315"/>
    <x v="0"/>
    <x v="0"/>
    <s v="SI"/>
    <s v="NO"/>
    <s v="NO"/>
    <n v="29"/>
    <n v="0.91603897814407031"/>
    <s v="No"/>
    <n v="2.3511882330417923E-2"/>
    <s v="No"/>
    <n v="23987315"/>
    <n v="29"/>
    <x v="0"/>
  </r>
  <r>
    <n v="1483"/>
    <s v="HOMBRE"/>
    <n v="327400"/>
    <x v="0"/>
    <x v="1"/>
    <s v="SI"/>
    <s v="NO"/>
    <s v="NO"/>
    <n v="21"/>
    <n v="1.4806416187611704"/>
    <s v="No"/>
    <n v="0.37020580509216477"/>
    <s v="No"/>
    <n v="327400"/>
    <n v="21"/>
    <x v="0"/>
  </r>
  <r>
    <n v="1484"/>
    <s v="MUJER"/>
    <n v="228749"/>
    <x v="0"/>
    <x v="0"/>
    <s v="SI"/>
    <s v="NO"/>
    <s v="SI"/>
    <n v="56"/>
    <n v="0.9894949339386423"/>
    <s v="No"/>
    <n v="0.37184742737110893"/>
    <s v="No"/>
    <n v="228749"/>
    <n v="56"/>
    <x v="0"/>
  </r>
  <r>
    <n v="1485"/>
    <s v="MUJER"/>
    <n v="1139623"/>
    <x v="1"/>
    <x v="0"/>
    <s v="SI"/>
    <s v="NO"/>
    <s v="NO"/>
    <n v="78"/>
    <n v="2.5421521956356674"/>
    <s v="Sí"/>
    <n v="0.35668984101404222"/>
    <s v="No"/>
    <n v="1139623"/>
    <n v="78"/>
    <x v="1"/>
  </r>
  <r>
    <n v="1486"/>
    <s v="HOMBRE"/>
    <n v="28614568"/>
    <x v="0"/>
    <x v="1"/>
    <s v="SI"/>
    <s v="NO"/>
    <s v="NO"/>
    <n v="51"/>
    <n v="0.6366182835529548"/>
    <s v="No"/>
    <n v="0.10051263868475005"/>
    <s v="No"/>
    <n v="28614568"/>
    <n v="51"/>
    <x v="0"/>
  </r>
  <r>
    <n v="1487"/>
    <s v="HOMBRE"/>
    <n v="297045"/>
    <x v="2"/>
    <x v="1"/>
    <s v="SI"/>
    <s v="NO"/>
    <s v="NO"/>
    <n v="25"/>
    <n v="1.1983402984526204"/>
    <s v="No"/>
    <n v="0.37071093372012948"/>
    <s v="No"/>
    <n v="297045"/>
    <n v="25"/>
    <x v="2"/>
  </r>
  <r>
    <n v="1488"/>
    <s v="HOMBRE"/>
    <n v="73425296"/>
    <x v="0"/>
    <x v="1"/>
    <s v="SI"/>
    <s v="NO"/>
    <s v="NO"/>
    <n v="60"/>
    <n v="1.2717962542471923"/>
    <s v="No"/>
    <n v="0.84619478504420964"/>
    <s v="No"/>
    <n v="73425296"/>
    <n v="60"/>
    <x v="0"/>
  </r>
  <r>
    <n v="1489"/>
    <s v="HOMBRE"/>
    <n v="59277223"/>
    <x v="0"/>
    <x v="0"/>
    <s v="SI"/>
    <s v="NO"/>
    <s v="NO"/>
    <n v="25"/>
    <n v="1.1983402984526204"/>
    <s v="No"/>
    <n v="0.61076086302691235"/>
    <s v="No"/>
    <n v="59277223"/>
    <n v="25"/>
    <x v="0"/>
  </r>
  <r>
    <n v="1490"/>
    <s v="HOMBRE"/>
    <n v="303333"/>
    <x v="0"/>
    <x v="1"/>
    <s v="SI"/>
    <s v="SI"/>
    <s v="NO"/>
    <n v="38"/>
    <n v="0.28086100744983278"/>
    <s v="No"/>
    <n v="0.37060629696135361"/>
    <s v="No"/>
    <n v="303333"/>
    <n v="38"/>
    <x v="0"/>
  </r>
  <r>
    <n v="1491"/>
    <s v="HOMBRE"/>
    <n v="347135"/>
    <x v="2"/>
    <x v="1"/>
    <s v="SI"/>
    <s v="NO"/>
    <s v="NO"/>
    <n v="54"/>
    <n v="0.84834427378436728"/>
    <s v="No"/>
    <n v="0.36987740076098752"/>
    <s v="No"/>
    <n v="347135"/>
    <n v="54"/>
    <x v="2"/>
  </r>
  <r>
    <n v="1492"/>
    <s v="HOMBRE"/>
    <n v="639148"/>
    <x v="3"/>
    <x v="1"/>
    <s v="SI"/>
    <s v="NO"/>
    <s v="NO"/>
    <n v="63"/>
    <n v="1.4835222444786049"/>
    <s v="No"/>
    <n v="0.36501809830544912"/>
    <s v="No"/>
    <n v="639148"/>
    <n v="63"/>
    <x v="3"/>
  </r>
  <r>
    <n v="1493"/>
    <s v="HOMBRE"/>
    <n v="435801"/>
    <x v="0"/>
    <x v="1"/>
    <s v="SI"/>
    <s v="SI"/>
    <s v="NO"/>
    <n v="47"/>
    <n v="0.35431696324440481"/>
    <s v="No"/>
    <n v="0.36840193593057668"/>
    <s v="No"/>
    <n v="435801"/>
    <n v="47"/>
    <x v="0"/>
  </r>
  <r>
    <n v="1494"/>
    <s v="HOMBRE"/>
    <n v="48482952"/>
    <x v="0"/>
    <x v="1"/>
    <s v="SI"/>
    <s v="NO"/>
    <s v="NO"/>
    <n v="25"/>
    <n v="1.1983402984526204"/>
    <s v="No"/>
    <n v="0.43113657377935383"/>
    <s v="No"/>
    <n v="48482952"/>
    <n v="25"/>
    <x v="0"/>
  </r>
  <r>
    <n v="1495"/>
    <s v="MUJER"/>
    <n v="9236625"/>
    <x v="0"/>
    <x v="0"/>
    <s v="SI"/>
    <s v="NO"/>
    <s v="NO"/>
    <n v="23"/>
    <n v="1.3394909586068953"/>
    <s v="No"/>
    <n v="0.22195001196156985"/>
    <s v="No"/>
    <n v="9236625"/>
    <n v="23"/>
    <x v="0"/>
  </r>
  <r>
    <n v="1496"/>
    <s v="MUJER"/>
    <n v="863546"/>
    <x v="0"/>
    <x v="0"/>
    <s v="SI"/>
    <s v="NO"/>
    <s v="SI"/>
    <n v="31"/>
    <n v="0.77488831798979529"/>
    <s v="No"/>
    <n v="0.36128395718016387"/>
    <s v="No"/>
    <n v="863546"/>
    <n v="31"/>
    <x v="0"/>
  </r>
  <r>
    <n v="1497"/>
    <s v="MUJER"/>
    <n v="399659"/>
    <x v="3"/>
    <x v="1"/>
    <s v="SI"/>
    <s v="SI"/>
    <s v="SI"/>
    <n v="46"/>
    <n v="0.2837416331672673"/>
    <s v="No"/>
    <n v="0.36900336432365527"/>
    <s v="No"/>
    <n v="399659"/>
    <n v="46"/>
    <x v="3"/>
  </r>
  <r>
    <n v="1498"/>
    <s v="MUJER"/>
    <n v="194047641"/>
    <x v="0"/>
    <x v="1"/>
    <s v="SI"/>
    <s v="NO"/>
    <s v="NO"/>
    <n v="34"/>
    <n v="0.56316232775838282"/>
    <s v="No"/>
    <n v="2.8534357546287969"/>
    <s v="Sí"/>
    <n v="194047641"/>
    <n v="34"/>
    <x v="0"/>
  </r>
  <r>
    <n v="1499"/>
    <s v="MUJER"/>
    <n v="571508"/>
    <x v="0"/>
    <x v="0"/>
    <s v="SI"/>
    <s v="NO"/>
    <s v="NO"/>
    <n v="29"/>
    <n v="0.91603897814407031"/>
    <s v="No"/>
    <n v="0.3661436756533501"/>
    <s v="No"/>
    <n v="571508"/>
    <n v="29"/>
    <x v="0"/>
  </r>
  <r>
    <n v="1500"/>
    <s v="HOMBRE"/>
    <n v="93210937"/>
    <x v="0"/>
    <x v="1"/>
    <s v="SI"/>
    <s v="NO"/>
    <s v="NO"/>
    <n v="41"/>
    <n v="6.9135017218420233E-2"/>
    <s v="No"/>
    <n v="1.1754418182095203"/>
    <s v="No"/>
    <n v="93210937"/>
    <n v="41"/>
    <x v="0"/>
  </r>
  <r>
    <n v="1501"/>
    <s v="HOMBRE"/>
    <n v="155000"/>
    <x v="0"/>
    <x v="1"/>
    <s v="SI"/>
    <s v="NO"/>
    <s v="SI"/>
    <n v="53"/>
    <n v="0.77776894370722982"/>
    <s v="No"/>
    <n v="0.37307466279142754"/>
    <s v="No"/>
    <n v="155000"/>
    <n v="53"/>
    <x v="0"/>
  </r>
  <r>
    <n v="1502"/>
    <s v="MUJER"/>
    <n v="859613"/>
    <x v="0"/>
    <x v="1"/>
    <s v="SI"/>
    <s v="NO"/>
    <s v="NO"/>
    <n v="22"/>
    <n v="1.4100662886840327"/>
    <s v="No"/>
    <n v="0.36134940507651653"/>
    <s v="No"/>
    <n v="859613"/>
    <n v="22"/>
    <x v="0"/>
  </r>
  <r>
    <n v="1503"/>
    <s v="MUJER"/>
    <n v="159000"/>
    <x v="0"/>
    <x v="1"/>
    <s v="SI"/>
    <s v="SI"/>
    <s v="SI"/>
    <n v="49"/>
    <n v="0.49546762339867978"/>
    <s v="No"/>
    <n v="0.37300809996777873"/>
    <s v="No"/>
    <n v="159000"/>
    <n v="49"/>
    <x v="0"/>
  </r>
  <r>
    <n v="1504"/>
    <s v="HOMBRE"/>
    <n v="540083"/>
    <x v="3"/>
    <x v="1"/>
    <s v="SI"/>
    <s v="NO"/>
    <s v="SI"/>
    <n v="60"/>
    <n v="1.2717962542471923"/>
    <s v="No"/>
    <n v="0.3666666098366409"/>
    <s v="No"/>
    <n v="540083"/>
    <n v="60"/>
    <x v="3"/>
  </r>
  <r>
    <n v="1505"/>
    <s v="HOMBRE"/>
    <n v="2817770"/>
    <x v="0"/>
    <x v="0"/>
    <s v="SI"/>
    <s v="NO"/>
    <s v="NO"/>
    <n v="59"/>
    <n v="1.2012209241700549"/>
    <s v="No"/>
    <n v="0.32876429030960624"/>
    <s v="No"/>
    <n v="2817770"/>
    <n v="59"/>
    <x v="0"/>
  </r>
  <r>
    <n v="1506"/>
    <s v="MUJER"/>
    <n v="6880698"/>
    <x v="0"/>
    <x v="1"/>
    <s v="SI"/>
    <s v="SI"/>
    <s v="NO"/>
    <n v="25"/>
    <n v="1.1983402984526204"/>
    <s v="No"/>
    <n v="0.2611543003191748"/>
    <s v="No"/>
    <n v="6880698"/>
    <n v="25"/>
    <x v="0"/>
  </r>
  <r>
    <n v="1507"/>
    <s v="MUJER"/>
    <n v="361500"/>
    <x v="0"/>
    <x v="1"/>
    <s v="SI"/>
    <s v="NO"/>
    <s v="SI"/>
    <n v="49"/>
    <n v="0.49546762339867978"/>
    <s v="No"/>
    <n v="0.36963835702055881"/>
    <s v="No"/>
    <n v="361500"/>
    <n v="49"/>
    <x v="0"/>
  </r>
  <r>
    <n v="1508"/>
    <s v="MUJER"/>
    <n v="937245"/>
    <x v="3"/>
    <x v="1"/>
    <s v="SI"/>
    <s v="NO"/>
    <s v="SI"/>
    <n v="61"/>
    <n v="1.3423715843243298"/>
    <s v="No"/>
    <n v="0.36005755379514087"/>
    <s v="No"/>
    <n v="937245"/>
    <n v="61"/>
    <x v="3"/>
  </r>
  <r>
    <n v="1509"/>
    <s v="HOMBRE"/>
    <n v="1858320"/>
    <x v="0"/>
    <x v="1"/>
    <s v="SI"/>
    <s v="NO"/>
    <s v="NO"/>
    <n v="36"/>
    <n v="0.42201166760410774"/>
    <s v="No"/>
    <n v="0.34473021559706385"/>
    <s v="No"/>
    <n v="1858320"/>
    <n v="36"/>
    <x v="0"/>
  </r>
  <r>
    <n v="1510"/>
    <s v="HOMBRE"/>
    <n v="297046"/>
    <x v="3"/>
    <x v="1"/>
    <s v="SI"/>
    <s v="SI"/>
    <s v="SI"/>
    <n v="29"/>
    <n v="0.91603897814407031"/>
    <s v="No"/>
    <n v="0.37071091707942361"/>
    <s v="No"/>
    <n v="297046"/>
    <n v="29"/>
    <x v="3"/>
  </r>
  <r>
    <n v="1511"/>
    <s v="HOMBRE"/>
    <n v="54645748"/>
    <x v="0"/>
    <x v="1"/>
    <s v="SI"/>
    <s v="NO"/>
    <s v="NO"/>
    <n v="33"/>
    <n v="0.63373765783552027"/>
    <s v="No"/>
    <n v="0.53368984961221899"/>
    <s v="No"/>
    <n v="54645748"/>
    <n v="33"/>
    <x v="0"/>
  </r>
  <r>
    <n v="1512"/>
    <s v="HOMBRE"/>
    <n v="297044"/>
    <x v="4"/>
    <x v="1"/>
    <s v="SI"/>
    <s v="NO"/>
    <s v="NO"/>
    <n v="61"/>
    <n v="1.3423715843243298"/>
    <s v="No"/>
    <n v="0.3707109503608354"/>
    <s v="No"/>
    <n v="297044"/>
    <n v="61"/>
    <x v="4"/>
  </r>
  <r>
    <n v="1513"/>
    <s v="MUJER"/>
    <n v="120000"/>
    <x v="0"/>
    <x v="1"/>
    <s v="SI"/>
    <s v="NO"/>
    <s v="NO"/>
    <n v="42"/>
    <n v="1.4403128587172659E-3"/>
    <s v="No"/>
    <n v="0.37365708749835447"/>
    <s v="No"/>
    <n v="120000"/>
    <n v="42"/>
    <x v="0"/>
  </r>
  <r>
    <n v="1514"/>
    <s v="MUJER"/>
    <n v="12960016"/>
    <x v="0"/>
    <x v="0"/>
    <s v="SI"/>
    <s v="NO"/>
    <s v="NO"/>
    <n v="47"/>
    <n v="0.35431696324440481"/>
    <s v="No"/>
    <n v="0.1599901573344481"/>
    <s v="No"/>
    <n v="12960016"/>
    <n v="47"/>
    <x v="0"/>
  </r>
  <r>
    <n v="1515"/>
    <s v="HOMBRE"/>
    <n v="1346350"/>
    <x v="0"/>
    <x v="1"/>
    <s v="SI"/>
    <s v="NO"/>
    <s v="NO"/>
    <n v="47"/>
    <n v="0.35431696324440481"/>
    <s v="No"/>
    <n v="0.35324975780293144"/>
    <s v="No"/>
    <n v="1346350"/>
    <n v="47"/>
    <x v="0"/>
  </r>
  <r>
    <n v="1516"/>
    <s v="MUJER"/>
    <n v="1089100"/>
    <x v="0"/>
    <x v="1"/>
    <s v="SI"/>
    <s v="NO"/>
    <s v="NO"/>
    <n v="35"/>
    <n v="0.49258699768124525"/>
    <s v="No"/>
    <n v="0.35753057939884414"/>
    <s v="No"/>
    <n v="1089100"/>
    <n v="35"/>
    <x v="0"/>
  </r>
  <r>
    <n v="1517"/>
    <s v="HOMBRE"/>
    <n v="766610"/>
    <x v="0"/>
    <x v="0"/>
    <s v="SI"/>
    <s v="NO"/>
    <s v="NO"/>
    <n v="53"/>
    <n v="0.77776894370722982"/>
    <s v="No"/>
    <n v="0.36289704064846862"/>
    <s v="No"/>
    <n v="766610"/>
    <n v="53"/>
    <x v="0"/>
  </r>
  <r>
    <n v="1518"/>
    <s v="MUJER"/>
    <n v="72789634"/>
    <x v="0"/>
    <x v="0"/>
    <s v="SI"/>
    <s v="NO"/>
    <s v="NO"/>
    <n v="34"/>
    <n v="0.56316232775838282"/>
    <s v="No"/>
    <n v="0.83561692064265058"/>
    <s v="No"/>
    <n v="72789634"/>
    <n v="34"/>
    <x v="0"/>
  </r>
  <r>
    <n v="1519"/>
    <s v="HOMBRE"/>
    <n v="257765647"/>
    <x v="0"/>
    <x v="0"/>
    <s v="SI"/>
    <s v="NO"/>
    <s v="NO"/>
    <n v="37"/>
    <n v="0.35143633752697023"/>
    <s v="No"/>
    <n v="3.9137483537864122"/>
    <s v="Sí"/>
    <n v="257765647"/>
    <n v="37"/>
    <x v="0"/>
  </r>
  <r>
    <n v="1520"/>
    <s v="MUJER"/>
    <n v="269415976"/>
    <x v="0"/>
    <x v="1"/>
    <s v="SI"/>
    <s v="NO"/>
    <s v="NO"/>
    <n v="28"/>
    <n v="0.98661430822120777"/>
    <s v="No"/>
    <n v="4.1076180524557548"/>
    <s v="Sí"/>
    <n v="269415976"/>
    <n v="28"/>
    <x v="0"/>
  </r>
  <r>
    <n v="1521"/>
    <s v="MUJER"/>
    <n v="3620474"/>
    <x v="0"/>
    <x v="0"/>
    <s v="SI"/>
    <s v="NO"/>
    <s v="NO"/>
    <n v="32"/>
    <n v="0.70431298791265773"/>
    <s v="No"/>
    <n v="0.31540672911106193"/>
    <s v="No"/>
    <n v="3620474"/>
    <n v="32"/>
    <x v="0"/>
  </r>
  <r>
    <n v="1522"/>
    <s v="MUJER"/>
    <n v="300018"/>
    <x v="3"/>
    <x v="1"/>
    <s v="SI"/>
    <s v="NO"/>
    <s v="NO"/>
    <n v="47"/>
    <n v="0.35431696324440481"/>
    <s v="No"/>
    <n v="0.37066146090145252"/>
    <s v="No"/>
    <n v="300018"/>
    <n v="47"/>
    <x v="3"/>
  </r>
  <r>
    <n v="1523"/>
    <s v="MUJER"/>
    <n v="382325"/>
    <x v="0"/>
    <x v="1"/>
    <s v="SI"/>
    <s v="SI"/>
    <s v="NO"/>
    <n v="33"/>
    <n v="0.63373765783552027"/>
    <s v="No"/>
    <n v="0.36929181431993729"/>
    <s v="No"/>
    <n v="382325"/>
    <n v="33"/>
    <x v="0"/>
  </r>
  <r>
    <n v="1524"/>
    <s v="MUJER"/>
    <n v="326749"/>
    <x v="3"/>
    <x v="1"/>
    <s v="SI"/>
    <s v="NO"/>
    <s v="NO"/>
    <n v="56"/>
    <n v="0.9894949339386423"/>
    <s v="No"/>
    <n v="0.37021663819171358"/>
    <s v="No"/>
    <n v="326749"/>
    <n v="56"/>
    <x v="3"/>
  </r>
  <r>
    <n v="1525"/>
    <s v="HOMBRE"/>
    <n v="61103644"/>
    <x v="1"/>
    <x v="0"/>
    <s v="SI"/>
    <s v="NO"/>
    <s v="NO"/>
    <n v="93"/>
    <n v="3.6007821467927301"/>
    <s v="Sí"/>
    <n v="0.64115379775977344"/>
    <s v="No"/>
    <n v="61103644"/>
    <n v="93"/>
    <x v="1"/>
  </r>
  <r>
    <n v="1526"/>
    <s v="MUJER"/>
    <n v="278031"/>
    <x v="2"/>
    <x v="1"/>
    <s v="SI"/>
    <s v="NO"/>
    <s v="SI"/>
    <n v="43"/>
    <n v="7.2015642935854773E-2"/>
    <s v="No"/>
    <n v="0.37102734010234401"/>
    <s v="No"/>
    <n v="278031"/>
    <n v="43"/>
    <x v="2"/>
  </r>
  <r>
    <n v="1527"/>
    <s v="HOMBRE"/>
    <n v="27519165"/>
    <x v="0"/>
    <x v="1"/>
    <s v="SI"/>
    <s v="NO"/>
    <s v="NO"/>
    <n v="22"/>
    <n v="1.4100662886840327"/>
    <s v="No"/>
    <n v="8.2284359506411525E-2"/>
    <s v="No"/>
    <n v="27519165"/>
    <n v="22"/>
    <x v="0"/>
  </r>
  <r>
    <n v="1528"/>
    <s v="HOMBRE"/>
    <n v="273980"/>
    <x v="0"/>
    <x v="1"/>
    <s v="SI"/>
    <s v="NO"/>
    <s v="NO"/>
    <n v="23"/>
    <n v="1.3394909586068953"/>
    <s v="No"/>
    <n v="0.37109475160199434"/>
    <s v="No"/>
    <n v="273980"/>
    <n v="23"/>
    <x v="0"/>
  </r>
  <r>
    <n v="1529"/>
    <s v="MUJER"/>
    <n v="16645675"/>
    <x v="0"/>
    <x v="0"/>
    <s v="SI"/>
    <s v="NO"/>
    <s v="NO"/>
    <n v="45"/>
    <n v="0.21316630309012977"/>
    <s v="No"/>
    <n v="9.8658189822805359E-2"/>
    <s v="No"/>
    <n v="16645675"/>
    <n v="45"/>
    <x v="0"/>
  </r>
  <r>
    <n v="1530"/>
    <s v="HOMBRE"/>
    <n v="18504687"/>
    <x v="0"/>
    <x v="0"/>
    <s v="SI"/>
    <s v="NO"/>
    <s v="NO"/>
    <n v="25"/>
    <n v="1.1983402984526204"/>
    <s v="No"/>
    <n v="6.7722917843559854E-2"/>
    <s v="No"/>
    <n v="18504687"/>
    <n v="25"/>
    <x v="0"/>
  </r>
  <r>
    <n v="1531"/>
    <s v="HOMBRE"/>
    <n v="63457692"/>
    <x v="0"/>
    <x v="1"/>
    <s v="SI"/>
    <s v="NO"/>
    <s v="NO"/>
    <n v="44"/>
    <n v="0.14259097301299228"/>
    <s v="No"/>
    <n v="0.68032681823096941"/>
    <s v="No"/>
    <n v="63457692"/>
    <n v="44"/>
    <x v="0"/>
  </r>
  <r>
    <n v="1532"/>
    <s v="HOMBRE"/>
    <n v="513543"/>
    <x v="0"/>
    <x v="0"/>
    <s v="SI"/>
    <s v="NO"/>
    <s v="NO"/>
    <n v="32"/>
    <n v="0.70431298791265773"/>
    <s v="No"/>
    <n v="0.36710825417155063"/>
    <s v="No"/>
    <n v="513543"/>
    <n v="32"/>
    <x v="0"/>
  </r>
  <r>
    <n v="1533"/>
    <s v="MUJER"/>
    <n v="38331862"/>
    <x v="0"/>
    <x v="1"/>
    <s v="SI"/>
    <s v="NO"/>
    <s v="NO"/>
    <n v="25"/>
    <n v="1.1983402984526204"/>
    <s v="No"/>
    <n v="0.2622152704011082"/>
    <s v="No"/>
    <n v="38331862"/>
    <n v="25"/>
    <x v="0"/>
  </r>
  <r>
    <n v="1534"/>
    <s v="MUJER"/>
    <n v="1161325"/>
    <x v="0"/>
    <x v="1"/>
    <s v="SI"/>
    <s v="NO"/>
    <s v="NO"/>
    <n v="35"/>
    <n v="0.49258699768124525"/>
    <s v="No"/>
    <n v="0.35632870441433573"/>
    <s v="No"/>
    <n v="1161325"/>
    <n v="35"/>
    <x v="0"/>
  </r>
  <r>
    <n v="1535"/>
    <s v="MUJER"/>
    <n v="297139"/>
    <x v="2"/>
    <x v="1"/>
    <s v="SI"/>
    <s v="NO"/>
    <s v="NO"/>
    <n v="25"/>
    <n v="1.1983402984526204"/>
    <s v="No"/>
    <n v="0.37070936949377375"/>
    <s v="No"/>
    <n v="297139"/>
    <n v="25"/>
    <x v="2"/>
  </r>
  <r>
    <n v="1536"/>
    <s v="HOMBRE"/>
    <n v="278030"/>
    <x v="4"/>
    <x v="1"/>
    <s v="SI"/>
    <s v="NO"/>
    <s v="NO"/>
    <n v="25"/>
    <n v="1.1983402984526204"/>
    <s v="No"/>
    <n v="0.37102735674304993"/>
    <s v="No"/>
    <n v="278030"/>
    <n v="25"/>
    <x v="4"/>
  </r>
  <r>
    <n v="1537"/>
    <s v="MUJER"/>
    <n v="101340"/>
    <x v="0"/>
    <x v="1"/>
    <s v="SI"/>
    <s v="NO"/>
    <s v="NO"/>
    <n v="20"/>
    <n v="1.5512169488383079"/>
    <s v="No"/>
    <n v="0.37396760307067606"/>
    <s v="No"/>
    <n v="101340"/>
    <n v="20"/>
    <x v="0"/>
  </r>
  <r>
    <n v="1538"/>
    <s v="MUJER"/>
    <n v="3976309"/>
    <x v="0"/>
    <x v="1"/>
    <s v="SI"/>
    <s v="NO"/>
    <s v="NO"/>
    <n v="32"/>
    <n v="0.70431298791265773"/>
    <s v="No"/>
    <n v="0.30948538352279525"/>
    <s v="No"/>
    <n v="3976309"/>
    <n v="32"/>
    <x v="0"/>
  </r>
  <r>
    <n v="1539"/>
    <s v="HOMBRE"/>
    <n v="500060"/>
    <x v="0"/>
    <x v="1"/>
    <s v="SI"/>
    <s v="SI"/>
    <s v="SI"/>
    <n v="49"/>
    <n v="0.49546762339867978"/>
    <s v="No"/>
    <n v="0.3673326208093648"/>
    <s v="No"/>
    <n v="500060"/>
    <n v="49"/>
    <x v="0"/>
  </r>
  <r>
    <n v="1540"/>
    <s v="MUJER"/>
    <n v="1000000"/>
    <x v="0"/>
    <x v="1"/>
    <s v="SI"/>
    <s v="NO"/>
    <s v="NO"/>
    <n v="22"/>
    <n v="1.4100662886840327"/>
    <s v="No"/>
    <n v="0.35901326629562091"/>
    <s v="No"/>
    <n v="1000000"/>
    <n v="22"/>
    <x v="0"/>
  </r>
  <r>
    <n v="1541"/>
    <s v="MUJER"/>
    <n v="308568"/>
    <x v="2"/>
    <x v="1"/>
    <s v="SI"/>
    <s v="NO"/>
    <s v="NO"/>
    <n v="48"/>
    <n v="0.42489229332154227"/>
    <s v="No"/>
    <n v="0.37051918286590324"/>
    <s v="No"/>
    <n v="308568"/>
    <n v="48"/>
    <x v="2"/>
  </r>
  <r>
    <n v="1542"/>
    <s v="HOMBRE"/>
    <n v="297046"/>
    <x v="3"/>
    <x v="1"/>
    <s v="SI"/>
    <s v="SI"/>
    <s v="NO"/>
    <n v="35"/>
    <n v="0.49258699768124525"/>
    <s v="No"/>
    <n v="0.37071091707942361"/>
    <s v="No"/>
    <n v="297046"/>
    <n v="35"/>
    <x v="3"/>
  </r>
  <r>
    <n v="1543"/>
    <s v="HOMBRE"/>
    <n v="297046"/>
    <x v="3"/>
    <x v="1"/>
    <s v="SI"/>
    <s v="SI"/>
    <s v="NO"/>
    <n v="32"/>
    <n v="0.70431298791265773"/>
    <s v="No"/>
    <n v="0.37071091707942361"/>
    <s v="No"/>
    <n v="297046"/>
    <n v="32"/>
    <x v="3"/>
  </r>
  <r>
    <n v="1544"/>
    <s v="MUJER"/>
    <n v="70414251"/>
    <x v="0"/>
    <x v="1"/>
    <s v="SI"/>
    <s v="NO"/>
    <s v="NO"/>
    <n v="41"/>
    <n v="6.9135017218420233E-2"/>
    <s v="No"/>
    <n v="0.79608887071081791"/>
    <s v="No"/>
    <n v="70414251"/>
    <n v="41"/>
    <x v="0"/>
  </r>
  <r>
    <n v="1545"/>
    <s v="HOMBRE"/>
    <n v="306667"/>
    <x v="0"/>
    <x v="1"/>
    <s v="SI"/>
    <s v="SI"/>
    <s v="NO"/>
    <n v="27"/>
    <n v="1.0571896382983452"/>
    <s v="No"/>
    <n v="0.37055081684784236"/>
    <s v="No"/>
    <n v="306667"/>
    <n v="27"/>
    <x v="0"/>
  </r>
  <r>
    <n v="1546"/>
    <s v="MUJER"/>
    <n v="639148"/>
    <x v="3"/>
    <x v="1"/>
    <s v="SI"/>
    <s v="NO"/>
    <s v="NO"/>
    <n v="68"/>
    <n v="1.8363988948642924"/>
    <s v="No"/>
    <n v="0.36501809830544912"/>
    <s v="No"/>
    <n v="639148"/>
    <n v="68"/>
    <x v="3"/>
  </r>
  <r>
    <n v="1547"/>
    <s v="HOMBRE"/>
    <n v="43906324"/>
    <x v="0"/>
    <x v="1"/>
    <s v="SI"/>
    <s v="NO"/>
    <s v="NO"/>
    <n v="41"/>
    <n v="6.9135017218420233E-2"/>
    <s v="No"/>
    <n v="0.35497825316182668"/>
    <s v="No"/>
    <n v="43906324"/>
    <n v="41"/>
    <x v="0"/>
  </r>
  <r>
    <n v="1548"/>
    <s v="MUJER"/>
    <n v="35954427"/>
    <x v="6"/>
    <x v="1"/>
    <s v="SI"/>
    <s v="SI"/>
    <s v="NO"/>
    <n v="59"/>
    <n v="1.2012209241700549"/>
    <s v="No"/>
    <n v="0.22265307374074372"/>
    <s v="No"/>
    <n v="35954427"/>
    <n v="59"/>
    <x v="5"/>
  </r>
  <r>
    <n v="1549"/>
    <s v="MUJER"/>
    <n v="313256"/>
    <x v="0"/>
    <x v="1"/>
    <s v="SI"/>
    <s v="SI"/>
    <s v="NO"/>
    <n v="34"/>
    <n v="0.56316232775838282"/>
    <s v="No"/>
    <n v="0.37044117123658687"/>
    <s v="No"/>
    <n v="313256"/>
    <n v="34"/>
    <x v="0"/>
  </r>
  <r>
    <n v="1550"/>
    <s v="MUJER"/>
    <n v="299152"/>
    <x v="0"/>
    <x v="0"/>
    <s v="SI"/>
    <s v="NO"/>
    <s v="NO"/>
    <n v="38"/>
    <n v="0.28086100744983278"/>
    <s v="No"/>
    <n v="0.3706758717527725"/>
    <s v="No"/>
    <n v="299152"/>
    <n v="38"/>
    <x v="0"/>
  </r>
  <r>
    <n v="1551"/>
    <s v="MUJER"/>
    <n v="1397631"/>
    <x v="0"/>
    <x v="0"/>
    <s v="SI"/>
    <s v="NO"/>
    <s v="SI"/>
    <n v="48"/>
    <n v="0.42489229332154227"/>
    <s v="No"/>
    <n v="0.35239640576304804"/>
    <s v="No"/>
    <n v="1397631"/>
    <n v="48"/>
    <x v="0"/>
  </r>
  <r>
    <n v="1552"/>
    <s v="MUJER"/>
    <n v="57183008"/>
    <x v="0"/>
    <x v="1"/>
    <s v="SI"/>
    <s v="SI"/>
    <s v="NO"/>
    <n v="33"/>
    <n v="0.63373765783552027"/>
    <s v="No"/>
    <n v="0.57591164709500042"/>
    <s v="No"/>
    <n v="57183008"/>
    <n v="33"/>
    <x v="0"/>
  </r>
  <r>
    <n v="1553"/>
    <s v="HOMBRE"/>
    <n v="297046"/>
    <x v="2"/>
    <x v="1"/>
    <s v="SI"/>
    <s v="NO"/>
    <s v="NO"/>
    <n v="49"/>
    <n v="0.49546762339867978"/>
    <s v="No"/>
    <n v="0.37071091707942361"/>
    <s v="No"/>
    <n v="297046"/>
    <n v="49"/>
    <x v="2"/>
  </r>
  <r>
    <n v="1554"/>
    <s v="MUJER"/>
    <n v="240174304"/>
    <x v="0"/>
    <x v="1"/>
    <s v="SI"/>
    <s v="NO"/>
    <s v="NO"/>
    <n v="45"/>
    <n v="0.21316630309012977"/>
    <s v="No"/>
    <n v="3.6210159883228239"/>
    <s v="Sí"/>
    <n v="240174304"/>
    <n v="45"/>
    <x v="0"/>
  </r>
  <r>
    <n v="1555"/>
    <s v="MUJER"/>
    <n v="26347309"/>
    <x v="1"/>
    <x v="0"/>
    <s v="SI"/>
    <s v="NO"/>
    <s v="NO"/>
    <n v="73"/>
    <n v="2.1892755452499797"/>
    <s v="Sí"/>
    <n v="6.2783848438967796E-2"/>
    <s v="No"/>
    <n v="26347309"/>
    <n v="73"/>
    <x v="1"/>
  </r>
  <r>
    <n v="1556"/>
    <s v="HOMBRE"/>
    <n v="7642503"/>
    <x v="0"/>
    <x v="0"/>
    <s v="SI"/>
    <s v="NO"/>
    <s v="NO"/>
    <n v="45"/>
    <n v="0.21316630309012977"/>
    <s v="No"/>
    <n v="0.24847732735173345"/>
    <s v="No"/>
    <n v="7642503"/>
    <n v="45"/>
    <x v="0"/>
  </r>
  <r>
    <n v="1557"/>
    <s v="MUJER"/>
    <n v="310124"/>
    <x v="3"/>
    <x v="1"/>
    <s v="NO"/>
    <s v="NO"/>
    <s v="NO"/>
    <n v="36"/>
    <n v="0.42201166760410774"/>
    <s v="No"/>
    <n v="0.37049328992750385"/>
    <s v="No"/>
    <n v="310124"/>
    <n v="36"/>
    <x v="3"/>
  </r>
  <r>
    <n v="1558"/>
    <s v="MUJER"/>
    <n v="4129235"/>
    <x v="0"/>
    <x v="0"/>
    <s v="SI"/>
    <s v="NO"/>
    <s v="NO"/>
    <n v="30"/>
    <n v="0.84546364806693275"/>
    <s v="No"/>
    <n v="0.30694058693046661"/>
    <s v="No"/>
    <n v="4129235"/>
    <n v="30"/>
    <x v="0"/>
  </r>
  <r>
    <n v="1559"/>
    <s v="HOMBRE"/>
    <n v="639148"/>
    <x v="3"/>
    <x v="1"/>
    <s v="SI"/>
    <s v="SI"/>
    <s v="SI"/>
    <n v="47"/>
    <n v="0.35431696324440481"/>
    <s v="No"/>
    <n v="0.36501809830544912"/>
    <s v="No"/>
    <n v="639148"/>
    <n v="47"/>
    <x v="3"/>
  </r>
  <r>
    <n v="1560"/>
    <s v="MUJER"/>
    <n v="787019"/>
    <x v="0"/>
    <x v="1"/>
    <s v="SI"/>
    <s v="NO"/>
    <s v="NO"/>
    <n v="45"/>
    <n v="0.21316630309012977"/>
    <s v="No"/>
    <n v="0.36255742048150658"/>
    <s v="No"/>
    <n v="787019"/>
    <n v="45"/>
    <x v="0"/>
  </r>
  <r>
    <n v="1561"/>
    <s v="MUJER"/>
    <n v="355312"/>
    <x v="0"/>
    <x v="1"/>
    <s v="SI"/>
    <s v="NO"/>
    <s v="NO"/>
    <n v="44"/>
    <n v="0.14259097301299228"/>
    <s v="No"/>
    <n v="0.36974132970874352"/>
    <s v="No"/>
    <n v="355312"/>
    <n v="44"/>
    <x v="0"/>
  </r>
  <r>
    <n v="1562"/>
    <s v="HOMBRE"/>
    <n v="399910"/>
    <x v="2"/>
    <x v="1"/>
    <s v="SI"/>
    <s v="SI"/>
    <s v="NO"/>
    <n v="46"/>
    <n v="0.2837416331672673"/>
    <s v="No"/>
    <n v="0.36899918750647132"/>
    <s v="No"/>
    <n v="399910"/>
    <n v="46"/>
    <x v="2"/>
  </r>
  <r>
    <n v="1563"/>
    <s v="MUJER"/>
    <n v="500383"/>
    <x v="0"/>
    <x v="1"/>
    <s v="SI"/>
    <s v="NO"/>
    <s v="NO"/>
    <n v="36"/>
    <n v="0.42201166760410774"/>
    <s v="No"/>
    <n v="0.36732724586135512"/>
    <s v="No"/>
    <n v="500383"/>
    <n v="36"/>
    <x v="0"/>
  </r>
  <r>
    <n v="1564"/>
    <s v="HOMBRE"/>
    <n v="106954474"/>
    <x v="0"/>
    <x v="1"/>
    <s v="SI"/>
    <s v="NO"/>
    <s v="NO"/>
    <n v="46"/>
    <n v="0.2837416331672673"/>
    <s v="No"/>
    <n v="1.404143975619921"/>
    <s v="No"/>
    <n v="106954474"/>
    <n v="46"/>
    <x v="0"/>
  </r>
  <r>
    <n v="1565"/>
    <s v="MUJER"/>
    <n v="284512"/>
    <x v="0"/>
    <x v="1"/>
    <s v="SI"/>
    <s v="NO"/>
    <s v="NO"/>
    <n v="29"/>
    <n v="0.91603897814407031"/>
    <s v="No"/>
    <n v="0.37091949168732707"/>
    <s v="No"/>
    <n v="284512"/>
    <n v="29"/>
    <x v="0"/>
  </r>
  <r>
    <n v="1566"/>
    <s v="HOMBRE"/>
    <n v="2900000"/>
    <x v="0"/>
    <x v="1"/>
    <s v="SI"/>
    <s v="NO"/>
    <s v="NO"/>
    <n v="35"/>
    <n v="0.49258699768124525"/>
    <s v="No"/>
    <n v="0.3273959250624463"/>
    <s v="No"/>
    <n v="2900000"/>
    <n v="35"/>
    <x v="0"/>
  </r>
  <r>
    <n v="1567"/>
    <s v="HOMBRE"/>
    <n v="39832708"/>
    <x v="0"/>
    <x v="1"/>
    <s v="SI"/>
    <s v="NO"/>
    <s v="NO"/>
    <n v="38"/>
    <n v="0.28086100744983278"/>
    <s v="No"/>
    <n v="0.28719040730660567"/>
    <s v="No"/>
    <n v="39832708"/>
    <n v="38"/>
    <x v="0"/>
  </r>
  <r>
    <n v="1568"/>
    <s v="HOMBRE"/>
    <n v="64241854"/>
    <x v="0"/>
    <x v="1"/>
    <s v="SI"/>
    <s v="NO"/>
    <s v="NO"/>
    <n v="53"/>
    <n v="0.77776894370722982"/>
    <s v="No"/>
    <n v="0.69337582746048976"/>
    <s v="No"/>
    <n v="64241854"/>
    <n v="53"/>
    <x v="0"/>
  </r>
  <r>
    <n v="1569"/>
    <s v="HOMBRE"/>
    <n v="509509"/>
    <x v="3"/>
    <x v="1"/>
    <s v="SI"/>
    <s v="NO"/>
    <s v="NO"/>
    <n v="56"/>
    <n v="0.9894949339386423"/>
    <s v="No"/>
    <n v="0.36717538277920042"/>
    <s v="No"/>
    <n v="509509"/>
    <n v="56"/>
    <x v="3"/>
  </r>
  <r>
    <n v="1570"/>
    <s v="HOMBRE"/>
    <n v="608941"/>
    <x v="3"/>
    <x v="1"/>
    <s v="SI"/>
    <s v="NO"/>
    <s v="SI"/>
    <n v="57"/>
    <n v="1.0600702640157798"/>
    <s v="No"/>
    <n v="0.36552076410893886"/>
    <s v="No"/>
    <n v="608941"/>
    <n v="57"/>
    <x v="3"/>
  </r>
  <r>
    <n v="1571"/>
    <s v="HOMBRE"/>
    <n v="53715698"/>
    <x v="0"/>
    <x v="1"/>
    <s v="SI"/>
    <s v="NO"/>
    <s v="NO"/>
    <n v="21"/>
    <n v="1.4806416187611704"/>
    <s v="No"/>
    <n v="0.51821316107857995"/>
    <s v="No"/>
    <n v="53715698"/>
    <n v="21"/>
    <x v="0"/>
  </r>
  <r>
    <n v="1572"/>
    <s v="MUJER"/>
    <n v="1545800"/>
    <x v="0"/>
    <x v="0"/>
    <s v="SI"/>
    <s v="NO"/>
    <s v="NO"/>
    <n v="55"/>
    <n v="0.91891960386150484"/>
    <s v="No"/>
    <n v="0.3499307690087437"/>
    <s v="No"/>
    <n v="1545800"/>
    <n v="55"/>
    <x v="0"/>
  </r>
  <r>
    <n v="1573"/>
    <s v="MUJER"/>
    <n v="1070405"/>
    <x v="0"/>
    <x v="0"/>
    <s v="SI"/>
    <s v="NO"/>
    <s v="NO"/>
    <n v="30"/>
    <n v="0.84546364806693275"/>
    <s v="No"/>
    <n v="0.35784167739587269"/>
    <s v="No"/>
    <n v="1070405"/>
    <n v="30"/>
    <x v="0"/>
  </r>
  <r>
    <n v="1574"/>
    <s v="HOMBRE"/>
    <n v="625396"/>
    <x v="3"/>
    <x v="1"/>
    <s v="SI"/>
    <s v="NO"/>
    <s v="NO"/>
    <n v="44"/>
    <n v="0.14259097301299228"/>
    <s v="No"/>
    <n v="0.36524694129315366"/>
    <s v="No"/>
    <n v="625396"/>
    <n v="44"/>
    <x v="3"/>
  </r>
  <r>
    <n v="1575"/>
    <s v="MUJER"/>
    <n v="925000"/>
    <x v="0"/>
    <x v="1"/>
    <s v="SI"/>
    <s v="NO"/>
    <s v="NO"/>
    <n v="49"/>
    <n v="0.49546762339867978"/>
    <s v="No"/>
    <n v="0.3602613192390357"/>
    <s v="No"/>
    <n v="925000"/>
    <n v="49"/>
    <x v="0"/>
  </r>
  <r>
    <n v="1576"/>
    <s v="HOMBRE"/>
    <n v="2618973"/>
    <x v="0"/>
    <x v="1"/>
    <s v="SI"/>
    <s v="SI"/>
    <s v="NO"/>
    <n v="57"/>
    <n v="1.0600702640157798"/>
    <s v="No"/>
    <n v="0.33207241272283333"/>
    <s v="No"/>
    <n v="2618973"/>
    <n v="57"/>
    <x v="0"/>
  </r>
  <r>
    <n v="1577"/>
    <s v="MUJER"/>
    <n v="297046"/>
    <x v="2"/>
    <x v="1"/>
    <s v="SI"/>
    <s v="SI"/>
    <s v="SI"/>
    <n v="43"/>
    <n v="7.2015642935854773E-2"/>
    <s v="No"/>
    <n v="0.37071091707942361"/>
    <s v="No"/>
    <n v="297046"/>
    <n v="43"/>
    <x v="2"/>
  </r>
  <r>
    <n v="1578"/>
    <s v="MUJER"/>
    <n v="58270518"/>
    <x v="0"/>
    <x v="1"/>
    <s v="SI"/>
    <s v="NO"/>
    <s v="NO"/>
    <n v="30"/>
    <n v="0.84546364806693275"/>
    <s v="No"/>
    <n v="0.59400858118157396"/>
    <s v="No"/>
    <n v="58270518"/>
    <n v="30"/>
    <x v="0"/>
  </r>
  <r>
    <n v="1579"/>
    <s v="HOMBRE"/>
    <n v="4968432"/>
    <x v="0"/>
    <x v="1"/>
    <s v="SI"/>
    <s v="NO"/>
    <s v="NO"/>
    <n v="42"/>
    <n v="1.4403128587172659E-3"/>
    <s v="No"/>
    <n v="0.29297575645106844"/>
    <s v="No"/>
    <n v="4968432"/>
    <n v="42"/>
    <x v="0"/>
  </r>
  <r>
    <n v="1580"/>
    <s v="HOMBRE"/>
    <n v="427025"/>
    <x v="0"/>
    <x v="1"/>
    <s v="SI"/>
    <s v="NO"/>
    <s v="NO"/>
    <n v="32"/>
    <n v="0.70431298791265773"/>
    <s v="No"/>
    <n v="0.36854797476566209"/>
    <s v="No"/>
    <n v="427025"/>
    <n v="32"/>
    <x v="0"/>
  </r>
  <r>
    <n v="1581"/>
    <s v="MUJER"/>
    <n v="18836297"/>
    <x v="0"/>
    <x v="1"/>
    <s v="SI"/>
    <s v="NO"/>
    <s v="NO"/>
    <n v="34"/>
    <n v="0.56316232775838282"/>
    <s v="No"/>
    <n v="6.2204693356016152E-2"/>
    <s v="No"/>
    <n v="18836297"/>
    <n v="34"/>
    <x v="0"/>
  </r>
  <r>
    <n v="1582"/>
    <s v="HOMBRE"/>
    <n v="5279565"/>
    <x v="0"/>
    <x v="0"/>
    <s v="SI"/>
    <s v="NO"/>
    <s v="NO"/>
    <n v="23"/>
    <n v="1.3394909586068953"/>
    <s v="No"/>
    <n v="0.28779828369848881"/>
    <s v="No"/>
    <n v="5279565"/>
    <n v="23"/>
    <x v="0"/>
  </r>
  <r>
    <n v="1583"/>
    <s v="HOMBRE"/>
    <n v="8113059"/>
    <x v="1"/>
    <x v="0"/>
    <s v="SI"/>
    <s v="NO"/>
    <s v="NO"/>
    <n v="83"/>
    <n v="2.8950288460213551"/>
    <s v="Sí"/>
    <n v="0.24064694334051359"/>
    <s v="No"/>
    <n v="8113059"/>
    <n v="83"/>
    <x v="1"/>
  </r>
  <r>
    <n v="1584"/>
    <s v="MUJER"/>
    <n v="16597239"/>
    <x v="0"/>
    <x v="1"/>
    <s v="SI"/>
    <s v="SI"/>
    <s v="NO"/>
    <n v="28"/>
    <n v="0.98661430822120777"/>
    <s v="No"/>
    <n v="9.9464199054368541E-2"/>
    <s v="No"/>
    <n v="16597239"/>
    <n v="28"/>
    <x v="0"/>
  </r>
  <r>
    <n v="1585"/>
    <s v="HOMBRE"/>
    <n v="74965126"/>
    <x v="0"/>
    <x v="1"/>
    <s v="SI"/>
    <s v="NO"/>
    <s v="NO"/>
    <n v="32"/>
    <n v="0.70431298791265773"/>
    <s v="No"/>
    <n v="0.87181864322898817"/>
    <s v="No"/>
    <n v="74965126"/>
    <n v="32"/>
    <x v="0"/>
  </r>
  <r>
    <n v="1586"/>
    <s v="MUJER"/>
    <n v="61201595"/>
    <x v="0"/>
    <x v="1"/>
    <s v="SI"/>
    <s v="NO"/>
    <s v="NO"/>
    <n v="42"/>
    <n v="1.4403128587172659E-3"/>
    <s v="No"/>
    <n v="0.64278377154457911"/>
    <s v="No"/>
    <n v="61201595"/>
    <n v="42"/>
    <x v="0"/>
  </r>
  <r>
    <n v="1587"/>
    <s v="HOMBRE"/>
    <n v="825000"/>
    <x v="0"/>
    <x v="1"/>
    <s v="SI"/>
    <s v="NO"/>
    <s v="NO"/>
    <n v="50"/>
    <n v="0.56604295347581735"/>
    <s v="No"/>
    <n v="0.36192538983025546"/>
    <s v="No"/>
    <n v="825000"/>
    <n v="50"/>
    <x v="0"/>
  </r>
  <r>
    <n v="1588"/>
    <s v="MUJER"/>
    <n v="19007647"/>
    <x v="0"/>
    <x v="1"/>
    <s v="SI"/>
    <s v="NO"/>
    <s v="NO"/>
    <n v="26"/>
    <n v="1.1277649683754829"/>
    <s v="No"/>
    <n v="5.9353308397961164E-2"/>
    <s v="No"/>
    <n v="19007647"/>
    <n v="26"/>
    <x v="0"/>
  </r>
  <r>
    <n v="1589"/>
    <s v="MUJER"/>
    <n v="300018"/>
    <x v="2"/>
    <x v="1"/>
    <s v="SI"/>
    <s v="NO"/>
    <s v="NO"/>
    <n v="47"/>
    <n v="0.35431696324440481"/>
    <s v="No"/>
    <n v="0.37066146090145252"/>
    <s v="No"/>
    <n v="300018"/>
    <n v="47"/>
    <x v="2"/>
  </r>
  <r>
    <n v="1590"/>
    <s v="MUJER"/>
    <n v="65736639"/>
    <x v="0"/>
    <x v="0"/>
    <s v="SI"/>
    <s v="NO"/>
    <s v="NO"/>
    <n v="40"/>
    <n v="0.13971034729555773"/>
    <s v="No"/>
    <n v="0.71825010504745346"/>
    <s v="No"/>
    <n v="65736639"/>
    <n v="40"/>
    <x v="0"/>
  </r>
  <r>
    <n v="1591"/>
    <s v="HOMBRE"/>
    <n v="4107395"/>
    <x v="1"/>
    <x v="0"/>
    <s v="SI"/>
    <s v="NO"/>
    <s v="NO"/>
    <n v="80"/>
    <n v="2.6833028557899423"/>
    <s v="Sí"/>
    <n v="0.30730401994758899"/>
    <s v="No"/>
    <n v="4107395"/>
    <n v="80"/>
    <x v="1"/>
  </r>
  <r>
    <n v="1592"/>
    <s v="HOMBRE"/>
    <n v="534683"/>
    <x v="3"/>
    <x v="1"/>
    <s v="SI"/>
    <s v="NO"/>
    <s v="NO"/>
    <n v="48"/>
    <n v="0.42489229332154227"/>
    <s v="No"/>
    <n v="0.36675646964856679"/>
    <s v="No"/>
    <n v="534683"/>
    <n v="48"/>
    <x v="3"/>
  </r>
  <r>
    <n v="1593"/>
    <s v="HOMBRE"/>
    <n v="1316155"/>
    <x v="0"/>
    <x v="1"/>
    <s v="SI"/>
    <s v="SI"/>
    <s v="NO"/>
    <n v="39"/>
    <n v="0.21028567737269524"/>
    <s v="No"/>
    <n v="0.35375222391795025"/>
    <s v="No"/>
    <n v="1316155"/>
    <n v="39"/>
    <x v="0"/>
  </r>
  <r>
    <n v="1594"/>
    <s v="MUJER"/>
    <n v="300000"/>
    <x v="2"/>
    <x v="1"/>
    <s v="SI"/>
    <s v="NO"/>
    <s v="NO"/>
    <n v="21"/>
    <n v="1.4806416187611704"/>
    <s v="No"/>
    <n v="0.37066176043415894"/>
    <s v="No"/>
    <n v="300000"/>
    <n v="21"/>
    <x v="2"/>
  </r>
  <r>
    <n v="1595"/>
    <s v="HOMBRE"/>
    <n v="1400000"/>
    <x v="0"/>
    <x v="1"/>
    <s v="SI"/>
    <s v="NO"/>
    <s v="NO"/>
    <n v="34"/>
    <n v="0.56316232775838282"/>
    <s v="No"/>
    <n v="0.35235698393074205"/>
    <s v="No"/>
    <n v="1400000"/>
    <n v="34"/>
    <x v="0"/>
  </r>
  <r>
    <n v="1596"/>
    <s v="HOMBRE"/>
    <n v="200000"/>
    <x v="0"/>
    <x v="1"/>
    <s v="SI"/>
    <s v="NO"/>
    <s v="NO"/>
    <n v="32"/>
    <n v="0.70431298791265773"/>
    <s v="No"/>
    <n v="0.3723258310253787"/>
    <s v="No"/>
    <n v="200000"/>
    <n v="32"/>
    <x v="0"/>
  </r>
  <r>
    <n v="1597"/>
    <s v="MUJER"/>
    <n v="21642345"/>
    <x v="0"/>
    <x v="1"/>
    <s v="SI"/>
    <s v="NO"/>
    <s v="NO"/>
    <n v="28"/>
    <n v="0.98661430822120777"/>
    <s v="No"/>
    <n v="1.551007381250709E-2"/>
    <s v="No"/>
    <n v="21642345"/>
    <n v="28"/>
    <x v="0"/>
  </r>
  <r>
    <n v="1598"/>
    <s v="HOMBRE"/>
    <n v="829250"/>
    <x v="0"/>
    <x v="0"/>
    <s v="SI"/>
    <s v="NO"/>
    <s v="NO"/>
    <n v="47"/>
    <n v="0.35431696324440481"/>
    <s v="No"/>
    <n v="0.36185466683012862"/>
    <s v="No"/>
    <n v="829250"/>
    <n v="47"/>
    <x v="0"/>
  </r>
  <r>
    <n v="1599"/>
    <s v="HOMBRE"/>
    <n v="370090"/>
    <x v="3"/>
    <x v="1"/>
    <s v="SI"/>
    <s v="NO"/>
    <s v="SI"/>
    <n v="40"/>
    <n v="0.13971034729555773"/>
    <s v="No"/>
    <n v="0.36949541335677305"/>
    <s v="No"/>
    <n v="370090"/>
    <n v="40"/>
    <x v="3"/>
  </r>
  <r>
    <n v="1600"/>
    <s v="MUJER"/>
    <n v="32812706"/>
    <x v="0"/>
    <x v="1"/>
    <s v="SI"/>
    <s v="NO"/>
    <s v="NO"/>
    <n v="45"/>
    <n v="0.21316630309012977"/>
    <s v="No"/>
    <n v="0.17037261852156968"/>
    <s v="No"/>
    <n v="32812706"/>
    <n v="45"/>
    <x v="0"/>
  </r>
  <r>
    <n v="1601"/>
    <s v="HOMBRE"/>
    <n v="1414186"/>
    <x v="0"/>
    <x v="0"/>
    <s v="SI"/>
    <s v="NO"/>
    <s v="SI"/>
    <n v="50"/>
    <n v="0.56604295347581735"/>
    <s v="No"/>
    <n v="0.35212091887667163"/>
    <s v="No"/>
    <n v="1414186"/>
    <n v="50"/>
    <x v="0"/>
  </r>
  <r>
    <n v="1602"/>
    <s v="HOMBRE"/>
    <n v="11836234"/>
    <x v="0"/>
    <x v="0"/>
    <s v="SI"/>
    <s v="NO"/>
    <s v="NO"/>
    <n v="41"/>
    <n v="6.9135017218420233E-2"/>
    <s v="No"/>
    <n v="0.17869068310586886"/>
    <s v="No"/>
    <n v="11836234"/>
    <n v="41"/>
    <x v="0"/>
  </r>
  <r>
    <n v="1603"/>
    <s v="MUJER"/>
    <n v="43350"/>
    <x v="0"/>
    <x v="1"/>
    <s v="SI"/>
    <s v="NO"/>
    <s v="NO"/>
    <n v="51"/>
    <n v="0.6366182835529548"/>
    <s v="No"/>
    <n v="0.37493259760652436"/>
    <s v="No"/>
    <n v="43350"/>
    <n v="51"/>
    <x v="0"/>
  </r>
  <r>
    <n v="1604"/>
    <s v="MUJER"/>
    <n v="10636475"/>
    <x v="0"/>
    <x v="0"/>
    <s v="SI"/>
    <s v="NO"/>
    <s v="NO"/>
    <n v="56"/>
    <n v="0.9894949339386423"/>
    <s v="No"/>
    <n v="0.19865551979038062"/>
    <s v="No"/>
    <n v="10636475"/>
    <n v="56"/>
    <x v="0"/>
  </r>
  <r>
    <n v="1605"/>
    <s v="MUJER"/>
    <n v="297046"/>
    <x v="3"/>
    <x v="1"/>
    <s v="SI"/>
    <s v="NO"/>
    <s v="SI"/>
    <n v="42"/>
    <n v="1.4403128587172659E-3"/>
    <s v="No"/>
    <n v="0.37071091707942361"/>
    <s v="No"/>
    <n v="297046"/>
    <n v="42"/>
    <x v="3"/>
  </r>
  <r>
    <n v="1606"/>
    <s v="MUJER"/>
    <n v="659230"/>
    <x v="0"/>
    <x v="1"/>
    <s v="SI"/>
    <s v="NO"/>
    <s v="NO"/>
    <n v="21"/>
    <n v="1.4806416187611704"/>
    <s v="No"/>
    <n v="0.36468391964932034"/>
    <s v="No"/>
    <n v="659230"/>
    <n v="21"/>
    <x v="0"/>
  </r>
  <r>
    <n v="1607"/>
    <s v="HOMBRE"/>
    <n v="38669962"/>
    <x v="0"/>
    <x v="1"/>
    <s v="SI"/>
    <s v="NO"/>
    <s v="NO"/>
    <n v="58"/>
    <n v="1.1306455940929174"/>
    <s v="No"/>
    <n v="0.26784149307002209"/>
    <s v="No"/>
    <n v="38669962"/>
    <n v="58"/>
    <x v="0"/>
  </r>
  <r>
    <n v="1608"/>
    <s v="MUJER"/>
    <n v="400000"/>
    <x v="0"/>
    <x v="1"/>
    <s v="SI"/>
    <s v="NO"/>
    <s v="NO"/>
    <n v="20"/>
    <n v="1.5512169488383079"/>
    <s v="No"/>
    <n v="0.36899768984293924"/>
    <s v="No"/>
    <n v="400000"/>
    <n v="20"/>
    <x v="0"/>
  </r>
  <r>
    <n v="1609"/>
    <s v="HOMBRE"/>
    <n v="9330045"/>
    <x v="0"/>
    <x v="0"/>
    <s v="SI"/>
    <s v="NO"/>
    <s v="NO"/>
    <n v="38"/>
    <n v="0.28086100744983278"/>
    <s v="No"/>
    <n v="0.2203954372152524"/>
    <s v="No"/>
    <n v="9330045"/>
    <n v="38"/>
    <x v="0"/>
  </r>
  <r>
    <n v="1610"/>
    <s v="HOMBRE"/>
    <n v="1552521"/>
    <x v="0"/>
    <x v="0"/>
    <s v="SI"/>
    <s v="NO"/>
    <s v="SI"/>
    <n v="38"/>
    <n v="0.28086100744983278"/>
    <s v="No"/>
    <n v="0.34981892682430782"/>
    <s v="No"/>
    <n v="1552521"/>
    <n v="38"/>
    <x v="0"/>
  </r>
  <r>
    <n v="1611"/>
    <s v="MUJER"/>
    <n v="6959448"/>
    <x v="0"/>
    <x v="0"/>
    <s v="SI"/>
    <s v="NO"/>
    <s v="NO"/>
    <n v="54"/>
    <n v="0.84834427378436728"/>
    <s v="No"/>
    <n v="0.25984384472858929"/>
    <s v="No"/>
    <n v="6959448"/>
    <n v="54"/>
    <x v="0"/>
  </r>
  <r>
    <n v="1612"/>
    <s v="HOMBRE"/>
    <n v="636889"/>
    <x v="3"/>
    <x v="1"/>
    <s v="SI"/>
    <s v="SI"/>
    <s v="SI"/>
    <n v="59"/>
    <n v="1.2012209241700549"/>
    <s v="No"/>
    <n v="0.36505568966010477"/>
    <s v="No"/>
    <n v="636889"/>
    <n v="59"/>
    <x v="3"/>
  </r>
  <r>
    <n v="1613"/>
    <s v="MUJER"/>
    <n v="374751"/>
    <x v="0"/>
    <x v="0"/>
    <s v="SI"/>
    <s v="NO"/>
    <s v="NO"/>
    <n v="58"/>
    <n v="1.1306455940929174"/>
    <s v="No"/>
    <n v="0.36941785102651631"/>
    <s v="No"/>
    <n v="374751"/>
    <n v="58"/>
    <x v="0"/>
  </r>
  <r>
    <n v="1614"/>
    <s v="HOMBRE"/>
    <n v="2996442"/>
    <x v="0"/>
    <x v="1"/>
    <s v="SI"/>
    <s v="NO"/>
    <s v="NO"/>
    <n v="43"/>
    <n v="7.2015642935854773E-2"/>
    <s v="No"/>
    <n v="0.32579106210286218"/>
    <s v="No"/>
    <n v="2996442"/>
    <n v="43"/>
    <x v="0"/>
  </r>
  <r>
    <n v="1615"/>
    <s v="MUJER"/>
    <n v="46275986"/>
    <x v="0"/>
    <x v="1"/>
    <s v="SI"/>
    <s v="NO"/>
    <s v="NO"/>
    <n v="57"/>
    <n v="1.0600702640157798"/>
    <s v="No"/>
    <n v="0.39441110161513571"/>
    <s v="No"/>
    <n v="46275986"/>
    <n v="57"/>
    <x v="0"/>
  </r>
  <r>
    <n v="1616"/>
    <s v="HOMBRE"/>
    <n v="516873"/>
    <x v="3"/>
    <x v="1"/>
    <s v="SI"/>
    <s v="NO"/>
    <s v="NO"/>
    <n v="45"/>
    <n v="0.21316630309012977"/>
    <s v="No"/>
    <n v="0.36705284062086302"/>
    <s v="No"/>
    <n v="516873"/>
    <n v="45"/>
    <x v="3"/>
  </r>
  <r>
    <n v="1617"/>
    <s v="MUJER"/>
    <n v="73230132"/>
    <x v="0"/>
    <x v="1"/>
    <s v="SI"/>
    <s v="NO"/>
    <s v="NO"/>
    <n v="44"/>
    <n v="0.14259097301299228"/>
    <s v="No"/>
    <n v="0.84294711831556157"/>
    <s v="No"/>
    <n v="73230132"/>
    <n v="44"/>
    <x v="0"/>
  </r>
  <r>
    <n v="1618"/>
    <s v="HOMBRE"/>
    <n v="298018"/>
    <x v="3"/>
    <x v="1"/>
    <s v="SI"/>
    <s v="NO"/>
    <s v="SI"/>
    <n v="26"/>
    <n v="1.1277649683754829"/>
    <s v="No"/>
    <n v="0.37069474231327693"/>
    <s v="No"/>
    <n v="298018"/>
    <n v="26"/>
    <x v="3"/>
  </r>
  <r>
    <n v="1619"/>
    <s v="MUJER"/>
    <n v="297046"/>
    <x v="2"/>
    <x v="1"/>
    <s v="SI"/>
    <s v="NO"/>
    <s v="NO"/>
    <n v="58"/>
    <n v="1.1306455940929174"/>
    <s v="No"/>
    <n v="0.37071091707942361"/>
    <s v="No"/>
    <n v="297046"/>
    <n v="58"/>
    <x v="2"/>
  </r>
  <r>
    <n v="1620"/>
    <s v="MUJER"/>
    <n v="282216"/>
    <x v="0"/>
    <x v="1"/>
    <s v="SI"/>
    <s v="SI"/>
    <s v="NO"/>
    <n v="22"/>
    <n v="1.4100662886840327"/>
    <s v="No"/>
    <n v="0.37095769874810147"/>
    <s v="No"/>
    <n v="282216"/>
    <n v="22"/>
    <x v="0"/>
  </r>
  <r>
    <n v="1621"/>
    <s v="HOMBRE"/>
    <n v="83858607"/>
    <x v="0"/>
    <x v="0"/>
    <s v="SI"/>
    <s v="NO"/>
    <s v="NO"/>
    <n v="31"/>
    <n v="0.77488831798979529"/>
    <s v="No"/>
    <n v="1.0198124450857016"/>
    <s v="No"/>
    <n v="83858607"/>
    <n v="31"/>
    <x v="0"/>
  </r>
  <r>
    <n v="1622"/>
    <s v="HOMBRE"/>
    <n v="77414269"/>
    <x v="0"/>
    <x v="1"/>
    <s v="SI"/>
    <s v="NO"/>
    <s v="NO"/>
    <n v="41"/>
    <n v="6.9135017218420233E-2"/>
    <s v="No"/>
    <n v="0.91257411162890456"/>
    <s v="No"/>
    <n v="77414269"/>
    <n v="41"/>
    <x v="0"/>
  </r>
  <r>
    <n v="1623"/>
    <s v="HOMBRE"/>
    <n v="297429"/>
    <x v="3"/>
    <x v="1"/>
    <s v="SI"/>
    <s v="NO"/>
    <s v="SI"/>
    <n v="52"/>
    <n v="0.70719361363009237"/>
    <s v="No"/>
    <n v="0.3707045436890592"/>
    <s v="No"/>
    <n v="297429"/>
    <n v="52"/>
    <x v="3"/>
  </r>
  <r>
    <n v="1624"/>
    <s v="MUJER"/>
    <n v="28358822"/>
    <x v="0"/>
    <x v="1"/>
    <s v="SI"/>
    <s v="NO"/>
    <s v="NO"/>
    <n v="29"/>
    <n v="0.91603897814407031"/>
    <s v="No"/>
    <n v="9.6256844710529268E-2"/>
    <s v="No"/>
    <n v="28358822"/>
    <n v="29"/>
    <x v="0"/>
  </r>
  <r>
    <n v="1625"/>
    <s v="HOMBRE"/>
    <n v="13571875"/>
    <x v="0"/>
    <x v="1"/>
    <s v="SI"/>
    <s v="NO"/>
    <s v="NO"/>
    <n v="36"/>
    <n v="0.42201166760410774"/>
    <s v="No"/>
    <n v="0.14980839165571705"/>
    <s v="No"/>
    <n v="13571875"/>
    <n v="36"/>
    <x v="0"/>
  </r>
  <r>
    <n v="1626"/>
    <s v="MUJER"/>
    <n v="54679478"/>
    <x v="0"/>
    <x v="1"/>
    <s v="SI"/>
    <s v="NO"/>
    <s v="NO"/>
    <n v="41"/>
    <n v="6.9135017218420233E-2"/>
    <s v="No"/>
    <n v="0.53425114062263734"/>
    <s v="No"/>
    <n v="54679478"/>
    <n v="41"/>
    <x v="0"/>
  </r>
  <r>
    <n v="1627"/>
    <s v="MUJER"/>
    <n v="442840"/>
    <x v="0"/>
    <x v="0"/>
    <s v="SI"/>
    <s v="NO"/>
    <s v="SI"/>
    <n v="46"/>
    <n v="0.2837416331672673"/>
    <s v="No"/>
    <n v="0.36828480200166069"/>
    <s v="No"/>
    <n v="442840"/>
    <n v="46"/>
    <x v="0"/>
  </r>
  <r>
    <n v="1628"/>
    <s v="MUJER"/>
    <n v="299441"/>
    <x v="3"/>
    <x v="1"/>
    <s v="SI"/>
    <s v="NO"/>
    <s v="NO"/>
    <n v="45"/>
    <n v="0.21316630309012977"/>
    <s v="No"/>
    <n v="0.37067106258876387"/>
    <s v="No"/>
    <n v="299441"/>
    <n v="45"/>
    <x v="3"/>
  </r>
  <r>
    <n v="1629"/>
    <s v="HOMBRE"/>
    <n v="297045"/>
    <x v="2"/>
    <x v="1"/>
    <s v="NO"/>
    <s v="NO"/>
    <s v="SI"/>
    <n v="70"/>
    <n v="1.9775495550185673"/>
    <s v="Sí"/>
    <n v="0.37071093372012948"/>
    <s v="No"/>
    <n v="297045"/>
    <n v="70"/>
    <x v="2"/>
  </r>
  <r>
    <n v="1630"/>
    <s v="HOMBRE"/>
    <n v="299647"/>
    <x v="2"/>
    <x v="1"/>
    <s v="SI"/>
    <s v="NO"/>
    <s v="NO"/>
    <n v="78"/>
    <n v="2.5421521956356674"/>
    <s v="Sí"/>
    <n v="0.37066763460334595"/>
    <s v="No"/>
    <n v="299647"/>
    <n v="78"/>
    <x v="2"/>
  </r>
  <r>
    <n v="1631"/>
    <s v="MUJER"/>
    <n v="581394"/>
    <x v="0"/>
    <x v="0"/>
    <s v="SI"/>
    <s v="NO"/>
    <s v="SI"/>
    <n v="30"/>
    <n v="0.84546364806693275"/>
    <s v="No"/>
    <n v="0.36597916563470212"/>
    <s v="No"/>
    <n v="581394"/>
    <n v="30"/>
    <x v="0"/>
  </r>
  <r>
    <n v="1632"/>
    <s v="HOMBRE"/>
    <n v="33519553"/>
    <x v="0"/>
    <x v="1"/>
    <s v="SI"/>
    <s v="NO"/>
    <s v="SI"/>
    <n v="47"/>
    <n v="0.35431696324440481"/>
    <s v="No"/>
    <n v="0.18213505157348853"/>
    <s v="No"/>
    <n v="33519553"/>
    <n v="47"/>
    <x v="0"/>
  </r>
  <r>
    <n v="1633"/>
    <s v="HOMBRE"/>
    <n v="412441"/>
    <x v="0"/>
    <x v="1"/>
    <s v="SI"/>
    <s v="NO"/>
    <s v="NO"/>
    <n v="57"/>
    <n v="1.0600702640157798"/>
    <s v="No"/>
    <n v="0.36879066282068557"/>
    <s v="No"/>
    <n v="412441"/>
    <n v="57"/>
    <x v="0"/>
  </r>
  <r>
    <n v="1634"/>
    <s v="MUJER"/>
    <n v="297044"/>
    <x v="0"/>
    <x v="1"/>
    <s v="SI"/>
    <s v="NO"/>
    <s v="NO"/>
    <n v="32"/>
    <n v="0.70431298791265773"/>
    <s v="No"/>
    <n v="0.3707109503608354"/>
    <s v="No"/>
    <n v="297044"/>
    <n v="32"/>
    <x v="0"/>
  </r>
  <r>
    <n v="1635"/>
    <s v="MUJER"/>
    <n v="400000"/>
    <x v="0"/>
    <x v="1"/>
    <s v="SI"/>
    <s v="NO"/>
    <s v="NO"/>
    <n v="36"/>
    <n v="0.42201166760410774"/>
    <s v="No"/>
    <n v="0.36899768984293924"/>
    <s v="No"/>
    <n v="400000"/>
    <n v="36"/>
    <x v="0"/>
  </r>
  <r>
    <n v="1636"/>
    <s v="HOMBRE"/>
    <n v="6764431"/>
    <x v="0"/>
    <x v="1"/>
    <s v="SI"/>
    <s v="NO"/>
    <s v="NO"/>
    <n v="38"/>
    <n v="0.28086100744983278"/>
    <s v="No"/>
    <n v="0.26308906527346826"/>
    <s v="No"/>
    <n v="6764431"/>
    <n v="38"/>
    <x v="0"/>
  </r>
  <r>
    <n v="1637"/>
    <s v="HOMBRE"/>
    <n v="12160184"/>
    <x v="0"/>
    <x v="1"/>
    <s v="SI"/>
    <s v="NO"/>
    <s v="NO"/>
    <n v="52"/>
    <n v="0.70719361363009237"/>
    <s v="No"/>
    <n v="0.17329992642561259"/>
    <s v="No"/>
    <n v="12160184"/>
    <n v="52"/>
    <x v="0"/>
  </r>
  <r>
    <n v="1638"/>
    <s v="HOMBRE"/>
    <n v="509509"/>
    <x v="3"/>
    <x v="1"/>
    <s v="SI"/>
    <s v="SI"/>
    <s v="SI"/>
    <n v="38"/>
    <n v="0.28086100744983278"/>
    <s v="No"/>
    <n v="0.36717538277920042"/>
    <s v="No"/>
    <n v="509509"/>
    <n v="38"/>
    <x v="3"/>
  </r>
  <r>
    <n v="1639"/>
    <s v="HOMBRE"/>
    <n v="356653"/>
    <x v="3"/>
    <x v="1"/>
    <s v="SI"/>
    <s v="SI"/>
    <s v="SI"/>
    <n v="51"/>
    <n v="0.6366182835529548"/>
    <s v="No"/>
    <n v="0.36971901452211525"/>
    <s v="No"/>
    <n v="356653"/>
    <n v="51"/>
    <x v="3"/>
  </r>
  <r>
    <n v="1640"/>
    <s v="MUJER"/>
    <n v="219280"/>
    <x v="0"/>
    <x v="0"/>
    <s v="SI"/>
    <s v="NO"/>
    <s v="NO"/>
    <n v="26"/>
    <n v="1.1277649683754829"/>
    <s v="No"/>
    <n v="0.37200499821539151"/>
    <s v="No"/>
    <n v="219280"/>
    <n v="26"/>
    <x v="0"/>
  </r>
  <r>
    <n v="1641"/>
    <s v="HOMBRE"/>
    <n v="24500635"/>
    <x v="0"/>
    <x v="1"/>
    <s v="SI"/>
    <s v="NO"/>
    <s v="NO"/>
    <n v="61"/>
    <n v="1.3423715843243298"/>
    <s v="No"/>
    <n v="3.2053889489266983E-2"/>
    <s v="No"/>
    <n v="24500635"/>
    <n v="61"/>
    <x v="0"/>
  </r>
  <r>
    <n v="1642"/>
    <s v="HOMBRE"/>
    <n v="35954427"/>
    <x v="3"/>
    <x v="1"/>
    <s v="SI"/>
    <s v="NO"/>
    <s v="NO"/>
    <n v="29"/>
    <n v="0.91603897814407031"/>
    <s v="No"/>
    <n v="0.22265307374074372"/>
    <s v="No"/>
    <n v="35954427"/>
    <n v="29"/>
    <x v="3"/>
  </r>
  <r>
    <n v="1643"/>
    <s v="MUJER"/>
    <n v="8824375"/>
    <x v="1"/>
    <x v="0"/>
    <s v="SI"/>
    <s v="NO"/>
    <s v="NO"/>
    <n v="92"/>
    <n v="3.5302068167155927"/>
    <s v="Sí"/>
    <n v="0.22881014297387314"/>
    <s v="No"/>
    <n v="8824375"/>
    <n v="92"/>
    <x v="1"/>
  </r>
  <r>
    <n v="1644"/>
    <s v="HOMBRE"/>
    <n v="297045"/>
    <x v="2"/>
    <x v="1"/>
    <s v="SI"/>
    <s v="NO"/>
    <s v="NO"/>
    <n v="35"/>
    <n v="0.49258699768124525"/>
    <s v="No"/>
    <n v="0.37071093372012948"/>
    <s v="No"/>
    <n v="297045"/>
    <n v="35"/>
    <x v="2"/>
  </r>
  <r>
    <n v="1645"/>
    <s v="HOMBRE"/>
    <n v="85298267"/>
    <x v="0"/>
    <x v="1"/>
    <s v="SI"/>
    <s v="NO"/>
    <s v="NO"/>
    <n v="31"/>
    <n v="0.77488831798979529"/>
    <s v="No"/>
    <n v="1.0437694037592553"/>
    <s v="No"/>
    <n v="85298267"/>
    <n v="31"/>
    <x v="0"/>
  </r>
  <r>
    <n v="1646"/>
    <s v="HOMBRE"/>
    <n v="251559"/>
    <x v="0"/>
    <x v="1"/>
    <s v="SI"/>
    <s v="SI"/>
    <s v="NO"/>
    <n v="20"/>
    <n v="1.5512169488383079"/>
    <s v="No"/>
    <n v="0.37146785286925171"/>
    <s v="No"/>
    <n v="251559"/>
    <n v="20"/>
    <x v="0"/>
  </r>
  <r>
    <n v="1647"/>
    <s v="HOMBRE"/>
    <n v="325521387"/>
    <x v="6"/>
    <x v="1"/>
    <s v="SI"/>
    <s v="NO"/>
    <s v="NO"/>
    <n v="58"/>
    <n v="1.1306455940929174"/>
    <s v="No"/>
    <n v="5.0412516969897068"/>
    <s v="Sí"/>
    <n v="325521387"/>
    <n v="58"/>
    <x v="5"/>
  </r>
  <r>
    <n v="1648"/>
    <s v="MUJER"/>
    <n v="79084309"/>
    <x v="0"/>
    <x v="1"/>
    <s v="SI"/>
    <s v="NO"/>
    <s v="NO"/>
    <n v="37"/>
    <n v="0.35143633752697023"/>
    <s v="No"/>
    <n v="0.94036475613051029"/>
    <s v="No"/>
    <n v="79084309"/>
    <n v="37"/>
    <x v="0"/>
  </r>
  <r>
    <n v="1649"/>
    <s v="HOMBRE"/>
    <n v="1129271"/>
    <x v="0"/>
    <x v="0"/>
    <s v="SI"/>
    <s v="NO"/>
    <s v="NO"/>
    <n v="32"/>
    <n v="0.70431298791265773"/>
    <s v="No"/>
    <n v="0.35686210560164527"/>
    <s v="No"/>
    <n v="1129271"/>
    <n v="32"/>
    <x v="0"/>
  </r>
  <r>
    <n v="1650"/>
    <s v="HOMBRE"/>
    <n v="87500"/>
    <x v="0"/>
    <x v="1"/>
    <s v="SI"/>
    <s v="NO"/>
    <s v="NO"/>
    <n v="25"/>
    <n v="1.1983402984526204"/>
    <s v="No"/>
    <n v="0.37419791044050082"/>
    <s v="No"/>
    <n v="87500"/>
    <n v="25"/>
    <x v="0"/>
  </r>
  <r>
    <n v="1651"/>
    <s v="MUJER"/>
    <n v="480000"/>
    <x v="0"/>
    <x v="1"/>
    <s v="SI"/>
    <s v="NO"/>
    <s v="NO"/>
    <n v="24"/>
    <n v="1.2689156285297578"/>
    <s v="No"/>
    <n v="0.36766643336996346"/>
    <s v="No"/>
    <n v="480000"/>
    <n v="24"/>
    <x v="0"/>
  </r>
  <r>
    <n v="1652"/>
    <s v="MUJER"/>
    <n v="299647"/>
    <x v="2"/>
    <x v="1"/>
    <s v="SI"/>
    <s v="NO"/>
    <s v="NO"/>
    <n v="60"/>
    <n v="1.2717962542471923"/>
    <s v="No"/>
    <n v="0.37066763460334595"/>
    <s v="No"/>
    <n v="299647"/>
    <n v="60"/>
    <x v="2"/>
  </r>
  <r>
    <n v="1653"/>
    <s v="HOMBRE"/>
    <n v="27803099"/>
    <x v="4"/>
    <x v="1"/>
    <s v="SI"/>
    <s v="NO"/>
    <s v="NO"/>
    <n v="27"/>
    <n v="1.0571896382983452"/>
    <s v="No"/>
    <n v="8.7009221698885322E-2"/>
    <s v="No"/>
    <n v="27803099"/>
    <n v="27"/>
    <x v="4"/>
  </r>
  <r>
    <n v="1654"/>
    <s v="HOMBRE"/>
    <n v="335058886"/>
    <x v="0"/>
    <x v="1"/>
    <s v="SI"/>
    <s v="NO"/>
    <s v="NO"/>
    <n v="38"/>
    <n v="0.28086100744983278"/>
    <s v="No"/>
    <n v="5.199962412986582"/>
    <s v="Sí"/>
    <n v="335058886"/>
    <n v="38"/>
    <x v="0"/>
  </r>
  <r>
    <n v="1655"/>
    <s v="HOMBRE"/>
    <n v="2349011"/>
    <x v="0"/>
    <x v="1"/>
    <s v="SI"/>
    <s v="NO"/>
    <s v="NO"/>
    <n v="36"/>
    <n v="0.42201166760410774"/>
    <s v="No"/>
    <n v="0.33656477097230192"/>
    <s v="No"/>
    <n v="2349011"/>
    <n v="36"/>
    <x v="0"/>
  </r>
  <r>
    <n v="1656"/>
    <s v="HOMBRE"/>
    <n v="11085375"/>
    <x v="0"/>
    <x v="1"/>
    <s v="SI"/>
    <s v="NO"/>
    <s v="NO"/>
    <n v="45"/>
    <n v="0.21316630309012977"/>
    <s v="No"/>
    <n v="0.19118550690639532"/>
    <s v="No"/>
    <n v="11085375"/>
    <n v="45"/>
    <x v="0"/>
  </r>
  <r>
    <n v="1657"/>
    <s v="MUJER"/>
    <n v="6004149"/>
    <x v="0"/>
    <x v="1"/>
    <s v="SI"/>
    <s v="NO"/>
    <s v="SI"/>
    <n v="21"/>
    <n v="1.4806416187611704"/>
    <s v="No"/>
    <n v="0.27574069444580535"/>
    <s v="No"/>
    <n v="6004149"/>
    <n v="21"/>
    <x v="0"/>
  </r>
  <r>
    <n v="1658"/>
    <s v="HOMBRE"/>
    <n v="418000"/>
    <x v="0"/>
    <x v="1"/>
    <s v="SI"/>
    <s v="NO"/>
    <s v="NO"/>
    <n v="51"/>
    <n v="0.6366182835529548"/>
    <s v="No"/>
    <n v="0.36869815713651971"/>
    <s v="No"/>
    <n v="418000"/>
    <n v="51"/>
    <x v="0"/>
  </r>
  <r>
    <n v="1659"/>
    <s v="HOMBRE"/>
    <n v="287787"/>
    <x v="0"/>
    <x v="1"/>
    <s v="SI"/>
    <s v="NO"/>
    <s v="NO"/>
    <n v="19"/>
    <n v="1.6217922789154453"/>
    <s v="No"/>
    <n v="0.37086499337546464"/>
    <s v="No"/>
    <n v="287787"/>
    <n v="19"/>
    <x v="0"/>
  </r>
  <r>
    <n v="1660"/>
    <s v="MUJER"/>
    <n v="53873804"/>
    <x v="0"/>
    <x v="1"/>
    <s v="SI"/>
    <s v="NO"/>
    <s v="NO"/>
    <n v="36"/>
    <n v="0.42201166760410774"/>
    <s v="No"/>
    <n v="0.5208441565275338"/>
    <s v="No"/>
    <n v="53873804"/>
    <n v="36"/>
    <x v="0"/>
  </r>
  <r>
    <n v="1661"/>
    <s v="HOMBRE"/>
    <n v="59753333"/>
    <x v="0"/>
    <x v="1"/>
    <s v="SI"/>
    <s v="SI"/>
    <s v="NO"/>
    <n v="30"/>
    <n v="0.84546364806693275"/>
    <s v="No"/>
    <n v="0.61868366951876863"/>
    <s v="No"/>
    <n v="59753333"/>
    <n v="30"/>
    <x v="0"/>
  </r>
  <r>
    <n v="1662"/>
    <s v="MUJER"/>
    <n v="619489"/>
    <x v="0"/>
    <x v="0"/>
    <s v="SI"/>
    <s v="NO"/>
    <s v="NO"/>
    <n v="37"/>
    <n v="0.35143633752697023"/>
    <s v="No"/>
    <n v="0.36534523794297696"/>
    <s v="No"/>
    <n v="619489"/>
    <n v="37"/>
    <x v="0"/>
  </r>
  <r>
    <n v="1663"/>
    <s v="MUJER"/>
    <n v="278032"/>
    <x v="2"/>
    <x v="1"/>
    <s v="SI"/>
    <s v="NO"/>
    <s v="NO"/>
    <n v="45"/>
    <n v="0.21316630309012977"/>
    <s v="No"/>
    <n v="0.37102732346163808"/>
    <s v="No"/>
    <n v="278032"/>
    <n v="45"/>
    <x v="2"/>
  </r>
  <r>
    <n v="1664"/>
    <s v="MUJER"/>
    <n v="297650"/>
    <x v="0"/>
    <x v="1"/>
    <s v="SI"/>
    <s v="SI"/>
    <s v="SI"/>
    <n v="39"/>
    <n v="0.21028567737269524"/>
    <s v="No"/>
    <n v="0.37070086609305264"/>
    <s v="No"/>
    <n v="297650"/>
    <n v="39"/>
    <x v="0"/>
  </r>
  <r>
    <n v="1665"/>
    <s v="HOMBRE"/>
    <n v="266312"/>
    <x v="0"/>
    <x v="1"/>
    <s v="SI"/>
    <s v="NO"/>
    <s v="NO"/>
    <n v="29"/>
    <n v="0.91603897814407031"/>
    <s v="No"/>
    <n v="0.37122235253492908"/>
    <s v="No"/>
    <n v="266312"/>
    <n v="29"/>
    <x v="0"/>
  </r>
  <r>
    <n v="1666"/>
    <s v="HOMBRE"/>
    <n v="40376418"/>
    <x v="0"/>
    <x v="1"/>
    <s v="SI"/>
    <s v="NO"/>
    <s v="NO"/>
    <n v="31"/>
    <n v="0.77488831798979529"/>
    <s v="No"/>
    <n v="0.29623812551812639"/>
    <s v="No"/>
    <n v="40376418"/>
    <n v="31"/>
    <x v="0"/>
  </r>
  <r>
    <n v="1667"/>
    <s v="HOMBRE"/>
    <n v="440373"/>
    <x v="0"/>
    <x v="0"/>
    <s v="SI"/>
    <s v="SI"/>
    <s v="NO"/>
    <n v="27"/>
    <n v="1.0571896382983452"/>
    <s v="No"/>
    <n v="0.3683258546231461"/>
    <s v="No"/>
    <n v="440373"/>
    <n v="27"/>
    <x v="0"/>
  </r>
  <r>
    <n v="1668"/>
    <s v="MUJER"/>
    <n v="3812113"/>
    <x v="1"/>
    <x v="0"/>
    <s v="SI"/>
    <s v="NO"/>
    <s v="NO"/>
    <n v="66"/>
    <n v="1.6952482347100173"/>
    <s v="No"/>
    <n v="0.31221772087075439"/>
    <s v="No"/>
    <n v="3812113"/>
    <n v="66"/>
    <x v="1"/>
  </r>
  <r>
    <n v="1669"/>
    <s v="MUJER"/>
    <n v="908129"/>
    <x v="0"/>
    <x v="0"/>
    <s v="SI"/>
    <s v="NO"/>
    <s v="SI"/>
    <n v="49"/>
    <n v="0.49546762339867978"/>
    <s v="No"/>
    <n v="0.36054206458848037"/>
    <s v="No"/>
    <n v="908129"/>
    <n v="49"/>
    <x v="0"/>
  </r>
  <r>
    <n v="1670"/>
    <s v="HOMBRE"/>
    <n v="131198"/>
    <x v="0"/>
    <x v="1"/>
    <s v="SI"/>
    <s v="NO"/>
    <s v="NO"/>
    <n v="20"/>
    <n v="1.5512169488383079"/>
    <s v="No"/>
    <n v="0.37347074487354964"/>
    <s v="No"/>
    <n v="131198"/>
    <n v="20"/>
    <x v="0"/>
  </r>
  <r>
    <n v="1671"/>
    <s v="MUJER"/>
    <n v="58292103"/>
    <x v="0"/>
    <x v="1"/>
    <s v="SI"/>
    <s v="NO"/>
    <s v="NO"/>
    <n v="31"/>
    <n v="0.77488831798979529"/>
    <s v="No"/>
    <n v="0.59436777081868875"/>
    <s v="No"/>
    <n v="58292103"/>
    <n v="31"/>
    <x v="0"/>
  </r>
  <r>
    <n v="1672"/>
    <s v="HOMBRE"/>
    <n v="2511039"/>
    <x v="0"/>
    <x v="1"/>
    <s v="SI"/>
    <s v="NO"/>
    <s v="NO"/>
    <n v="19"/>
    <n v="1.6217922789154453"/>
    <s v="No"/>
    <n v="0.33386851067476042"/>
    <s v="No"/>
    <n v="2511039"/>
    <n v="19"/>
    <x v="0"/>
  </r>
  <r>
    <n v="1673"/>
    <s v="MUJER"/>
    <n v="297046"/>
    <x v="2"/>
    <x v="1"/>
    <s v="SI"/>
    <s v="NO"/>
    <s v="NO"/>
    <n v="38"/>
    <n v="0.28086100744983278"/>
    <s v="No"/>
    <n v="0.37071091707942361"/>
    <s v="No"/>
    <n v="297046"/>
    <n v="38"/>
    <x v="2"/>
  </r>
  <r>
    <n v="1674"/>
    <s v="MUJER"/>
    <n v="27803099"/>
    <x v="2"/>
    <x v="1"/>
    <s v="SI"/>
    <s v="SI"/>
    <s v="NO"/>
    <n v="44"/>
    <n v="0.14259097301299228"/>
    <s v="No"/>
    <n v="8.7009221698885322E-2"/>
    <s v="No"/>
    <n v="27803099"/>
    <n v="44"/>
    <x v="2"/>
  </r>
  <r>
    <n v="1675"/>
    <s v="MUJER"/>
    <n v="373396"/>
    <x v="0"/>
    <x v="0"/>
    <s v="SI"/>
    <s v="NO"/>
    <s v="NO"/>
    <n v="29"/>
    <n v="0.91603897814407031"/>
    <s v="No"/>
    <n v="0.36944039918302735"/>
    <s v="No"/>
    <n v="373396"/>
    <n v="29"/>
    <x v="0"/>
  </r>
  <r>
    <n v="1676"/>
    <s v="HOMBRE"/>
    <n v="297110"/>
    <x v="3"/>
    <x v="1"/>
    <s v="SI"/>
    <s v="NO"/>
    <s v="SI"/>
    <n v="35"/>
    <n v="0.49258699768124525"/>
    <s v="No"/>
    <n v="0.37070985207424523"/>
    <s v="No"/>
    <n v="297110"/>
    <n v="35"/>
    <x v="3"/>
  </r>
  <r>
    <n v="1677"/>
    <s v="HOMBRE"/>
    <n v="296000"/>
    <x v="0"/>
    <x v="1"/>
    <s v="SI"/>
    <s v="NO"/>
    <s v="NO"/>
    <n v="28"/>
    <n v="0.98661430822120777"/>
    <s v="No"/>
    <n v="0.37072832325780775"/>
    <s v="No"/>
    <n v="296000"/>
    <n v="28"/>
    <x v="0"/>
  </r>
  <r>
    <n v="1678"/>
    <s v="HOMBRE"/>
    <n v="424103"/>
    <x v="3"/>
    <x v="1"/>
    <s v="SI"/>
    <s v="NO"/>
    <s v="SI"/>
    <n v="35"/>
    <n v="0.49258699768124525"/>
    <s v="No"/>
    <n v="0.36859659890833757"/>
    <s v="No"/>
    <n v="424103"/>
    <n v="35"/>
    <x v="3"/>
  </r>
  <r>
    <n v="1679"/>
    <s v="HOMBRE"/>
    <n v="11000"/>
    <x v="0"/>
    <x v="1"/>
    <s v="SI"/>
    <s v="NO"/>
    <s v="SI"/>
    <n v="32"/>
    <n v="0.70431298791265773"/>
    <s v="No"/>
    <n v="0.37547092444278396"/>
    <s v="No"/>
    <n v="11000"/>
    <n v="32"/>
    <x v="0"/>
  </r>
  <r>
    <n v="1680"/>
    <s v="HOMBRE"/>
    <n v="365500"/>
    <x v="0"/>
    <x v="1"/>
    <s v="SI"/>
    <s v="NO"/>
    <s v="NO"/>
    <n v="32"/>
    <n v="0.70431298791265773"/>
    <s v="No"/>
    <n v="0.36957179419691005"/>
    <s v="No"/>
    <n v="365500"/>
    <n v="32"/>
    <x v="0"/>
  </r>
  <r>
    <n v="1681"/>
    <s v="HOMBRE"/>
    <n v="25600"/>
    <x v="0"/>
    <x v="1"/>
    <s v="SI"/>
    <s v="SI"/>
    <s v="SI"/>
    <n v="45"/>
    <n v="0.21316630309012977"/>
    <s v="No"/>
    <n v="0.37522797013646586"/>
    <s v="No"/>
    <n v="25600"/>
    <n v="45"/>
    <x v="0"/>
  </r>
  <r>
    <n v="1682"/>
    <s v="HOMBRE"/>
    <n v="27696448"/>
    <x v="0"/>
    <x v="1"/>
    <s v="SI"/>
    <s v="NO"/>
    <s v="NO"/>
    <n v="25"/>
    <n v="1.1983402984526204"/>
    <s v="No"/>
    <n v="8.5234473772643579E-2"/>
    <s v="No"/>
    <n v="27696448"/>
    <n v="25"/>
    <x v="0"/>
  </r>
  <r>
    <n v="1683"/>
    <s v="HOMBRE"/>
    <n v="10384615"/>
    <x v="0"/>
    <x v="1"/>
    <s v="SI"/>
    <s v="NO"/>
    <s v="NO"/>
    <n v="58"/>
    <n v="1.1306455940929174"/>
    <s v="No"/>
    <n v="0.20284664798142663"/>
    <s v="No"/>
    <n v="10384615"/>
    <n v="58"/>
    <x v="0"/>
  </r>
  <r>
    <n v="1684"/>
    <s v="HOMBRE"/>
    <n v="24969135"/>
    <x v="0"/>
    <x v="1"/>
    <s v="SI"/>
    <s v="NO"/>
    <s v="NO"/>
    <n v="24"/>
    <n v="1.2689156285297578"/>
    <s v="No"/>
    <n v="3.9850060209131358E-2"/>
    <s v="No"/>
    <n v="24969135"/>
    <n v="24"/>
    <x v="0"/>
  </r>
  <r>
    <n v="1685"/>
    <s v="HOMBRE"/>
    <n v="30648066"/>
    <x v="0"/>
    <x v="0"/>
    <s v="SI"/>
    <s v="NO"/>
    <s v="NO"/>
    <n v="25"/>
    <n v="1.1983402984526204"/>
    <s v="No"/>
    <n v="0.13435148087579118"/>
    <s v="No"/>
    <n v="30648066"/>
    <n v="25"/>
    <x v="0"/>
  </r>
  <r>
    <n v="1686"/>
    <s v="HOMBRE"/>
    <n v="280000"/>
    <x v="0"/>
    <x v="1"/>
    <s v="SI"/>
    <s v="NO"/>
    <s v="NO"/>
    <n v="85"/>
    <n v="3.03617950617563"/>
    <s v="Sí"/>
    <n v="0.37099457455240292"/>
    <s v="No"/>
    <n v="280000"/>
    <n v="85"/>
    <x v="0"/>
  </r>
  <r>
    <n v="1687"/>
    <s v="HOMBRE"/>
    <n v="165000"/>
    <x v="0"/>
    <x v="1"/>
    <s v="SI"/>
    <s v="NO"/>
    <s v="NO"/>
    <n v="38"/>
    <n v="0.28086100744983278"/>
    <s v="No"/>
    <n v="0.37290825573230557"/>
    <s v="No"/>
    <n v="165000"/>
    <n v="38"/>
    <x v="0"/>
  </r>
  <r>
    <n v="1688"/>
    <s v="MUJER"/>
    <n v="29626563"/>
    <x v="0"/>
    <x v="1"/>
    <s v="SI"/>
    <s v="NO"/>
    <s v="SI"/>
    <n v="38"/>
    <n v="0.28086100744983278"/>
    <s v="No"/>
    <n v="0.11735294986436404"/>
    <s v="No"/>
    <n v="29626563"/>
    <n v="38"/>
    <x v="0"/>
  </r>
  <r>
    <n v="1689"/>
    <s v="MUJER"/>
    <n v="1766548"/>
    <x v="0"/>
    <x v="1"/>
    <s v="SI"/>
    <s v="NO"/>
    <s v="NO"/>
    <n v="32"/>
    <n v="0.70431298791265773"/>
    <s v="No"/>
    <n v="0.34625736646003802"/>
    <s v="No"/>
    <n v="1766548"/>
    <n v="32"/>
    <x v="0"/>
  </r>
  <r>
    <n v="1690"/>
    <s v="HOMBRE"/>
    <n v="297046"/>
    <x v="2"/>
    <x v="1"/>
    <s v="SI"/>
    <s v="NO"/>
    <s v="NO"/>
    <n v="21"/>
    <n v="1.4806416187611704"/>
    <s v="No"/>
    <n v="0.37071091707942361"/>
    <s v="No"/>
    <n v="297046"/>
    <n v="21"/>
    <x v="2"/>
  </r>
  <r>
    <n v="1691"/>
    <s v="HOMBRE"/>
    <n v="278030"/>
    <x v="4"/>
    <x v="1"/>
    <s v="SI"/>
    <s v="NO"/>
    <s v="NO"/>
    <n v="36"/>
    <n v="0.42201166760410774"/>
    <s v="No"/>
    <n v="0.37102735674304993"/>
    <s v="No"/>
    <n v="278030"/>
    <n v="36"/>
    <x v="4"/>
  </r>
  <r>
    <n v="1692"/>
    <s v="HOMBRE"/>
    <n v="838098"/>
    <x v="0"/>
    <x v="1"/>
    <s v="SI"/>
    <s v="NO"/>
    <s v="NO"/>
    <n v="40"/>
    <n v="0.13971034729555773"/>
    <s v="No"/>
    <n v="0.3617074298642175"/>
    <s v="No"/>
    <n v="838098"/>
    <n v="40"/>
    <x v="0"/>
  </r>
  <r>
    <n v="1693"/>
    <s v="HOMBRE"/>
    <n v="594092"/>
    <x v="3"/>
    <x v="1"/>
    <s v="SI"/>
    <s v="NO"/>
    <s v="NO"/>
    <n v="68"/>
    <n v="1.8363988948642924"/>
    <s v="No"/>
    <n v="0.36576786195102906"/>
    <s v="No"/>
    <n v="594092"/>
    <n v="68"/>
    <x v="3"/>
  </r>
  <r>
    <n v="1694"/>
    <s v="MUJER"/>
    <n v="6158056"/>
    <x v="0"/>
    <x v="1"/>
    <s v="SI"/>
    <s v="NO"/>
    <s v="NO"/>
    <n v="29"/>
    <n v="0.91603897814407031"/>
    <s v="No"/>
    <n v="0.27317957332097681"/>
    <s v="No"/>
    <n v="6158056"/>
    <n v="29"/>
    <x v="0"/>
  </r>
  <r>
    <n v="1695"/>
    <s v="HOMBRE"/>
    <n v="6253225"/>
    <x v="0"/>
    <x v="1"/>
    <s v="SI"/>
    <s v="NO"/>
    <s v="NO"/>
    <n v="54"/>
    <n v="0.84834427378436728"/>
    <s v="No"/>
    <n v="0.27159589398001893"/>
    <s v="No"/>
    <n v="6253225"/>
    <n v="54"/>
    <x v="0"/>
  </r>
  <r>
    <n v="1696"/>
    <s v="HOMBRE"/>
    <n v="364086"/>
    <x v="3"/>
    <x v="1"/>
    <s v="SI"/>
    <s v="SI"/>
    <s v="SI"/>
    <n v="31"/>
    <n v="0.77488831798979529"/>
    <s v="No"/>
    <n v="0.3695953241550699"/>
    <s v="No"/>
    <n v="364086"/>
    <n v="31"/>
    <x v="3"/>
  </r>
  <r>
    <n v="1697"/>
    <s v="HOMBRE"/>
    <n v="976390"/>
    <x v="0"/>
    <x v="0"/>
    <s v="SI"/>
    <s v="NO"/>
    <s v="NO"/>
    <n v="32"/>
    <n v="0.70431298791265773"/>
    <s v="No"/>
    <n v="0.35940615336220788"/>
    <s v="No"/>
    <n v="976390"/>
    <n v="32"/>
    <x v="0"/>
  </r>
  <r>
    <n v="1698"/>
    <s v="HOMBRE"/>
    <n v="297046"/>
    <x v="2"/>
    <x v="1"/>
    <s v="SI"/>
    <s v="NO"/>
    <s v="NO"/>
    <n v="42"/>
    <n v="1.4403128587172659E-3"/>
    <s v="No"/>
    <n v="0.37071091707942361"/>
    <s v="No"/>
    <n v="297046"/>
    <n v="42"/>
    <x v="2"/>
  </r>
  <r>
    <n v="1699"/>
    <s v="MUJER"/>
    <n v="310869861"/>
    <x v="0"/>
    <x v="1"/>
    <s v="SI"/>
    <s v="NO"/>
    <s v="NO"/>
    <n v="37"/>
    <n v="0.35143633752697023"/>
    <s v="No"/>
    <n v="4.7974399616587968"/>
    <s v="Sí"/>
    <n v="310869861"/>
    <n v="37"/>
    <x v="0"/>
  </r>
  <r>
    <n v="1700"/>
    <s v="HOMBRE"/>
    <n v="30992725"/>
    <x v="0"/>
    <x v="1"/>
    <s v="SI"/>
    <s v="NO"/>
    <s v="NO"/>
    <n v="18"/>
    <n v="1.6923676089925828"/>
    <s v="No"/>
    <n v="0.14008684993478315"/>
    <s v="No"/>
    <n v="30992725"/>
    <n v="18"/>
    <x v="0"/>
  </r>
  <r>
    <n v="1701"/>
    <s v="MUJER"/>
    <n v="370905"/>
    <x v="0"/>
    <x v="0"/>
    <s v="SI"/>
    <s v="NO"/>
    <s v="NO"/>
    <n v="27"/>
    <n v="1.0571896382983452"/>
    <s v="No"/>
    <n v="0.3694818511814546"/>
    <s v="No"/>
    <n v="370905"/>
    <n v="27"/>
    <x v="0"/>
  </r>
  <r>
    <n v="1702"/>
    <s v="HOMBRE"/>
    <n v="352000"/>
    <x v="0"/>
    <x v="1"/>
    <s v="SI"/>
    <s v="NO"/>
    <s v="NO"/>
    <n v="28"/>
    <n v="0.98661430822120777"/>
    <s v="No"/>
    <n v="0.36979644372672471"/>
    <s v="No"/>
    <n v="352000"/>
    <n v="28"/>
    <x v="0"/>
  </r>
  <r>
    <n v="1703"/>
    <s v="HOMBRE"/>
    <n v="39089995"/>
    <x v="0"/>
    <x v="1"/>
    <s v="SI"/>
    <s v="NO"/>
    <s v="NO"/>
    <n v="61"/>
    <n v="1.3423715843243298"/>
    <s v="No"/>
    <n v="0.27483113869643999"/>
    <s v="No"/>
    <n v="39089995"/>
    <n v="61"/>
    <x v="0"/>
  </r>
  <r>
    <n v="1704"/>
    <s v="MUJER"/>
    <n v="46069292"/>
    <x v="0"/>
    <x v="1"/>
    <s v="SI"/>
    <s v="NO"/>
    <s v="NO"/>
    <n v="22"/>
    <n v="1.4100662886840327"/>
    <s v="No"/>
    <n v="0.39097156754731999"/>
    <s v="No"/>
    <n v="46069292"/>
    <n v="22"/>
    <x v="0"/>
  </r>
  <r>
    <n v="1705"/>
    <s v="MUJER"/>
    <n v="4842678"/>
    <x v="1"/>
    <x v="0"/>
    <s v="SI"/>
    <s v="NO"/>
    <s v="NO"/>
    <n v="84"/>
    <n v="2.9656041760984926"/>
    <s v="Sí"/>
    <n v="0.29506839178235089"/>
    <s v="No"/>
    <n v="4842678"/>
    <n v="84"/>
    <x v="1"/>
  </r>
  <r>
    <n v="1706"/>
    <s v="HOMBRE"/>
    <n v="7241167"/>
    <x v="0"/>
    <x v="0"/>
    <s v="SI"/>
    <s v="NO"/>
    <s v="NO"/>
    <n v="56"/>
    <n v="0.9894949339386423"/>
    <s v="No"/>
    <n v="0.25515584169971101"/>
    <s v="No"/>
    <n v="7241167"/>
    <n v="56"/>
    <x v="0"/>
  </r>
  <r>
    <n v="1707"/>
    <s v="HOMBRE"/>
    <n v="620713"/>
    <x v="3"/>
    <x v="1"/>
    <s v="SI"/>
    <s v="NO"/>
    <s v="SI"/>
    <n v="43"/>
    <n v="7.2015642935854773E-2"/>
    <s v="No"/>
    <n v="0.36532486971894046"/>
    <s v="No"/>
    <n v="620713"/>
    <n v="43"/>
    <x v="3"/>
  </r>
  <r>
    <n v="1708"/>
    <s v="HOMBRE"/>
    <n v="297044"/>
    <x v="0"/>
    <x v="1"/>
    <s v="SI"/>
    <s v="NO"/>
    <s v="NO"/>
    <n v="28"/>
    <n v="0.98661430822120777"/>
    <s v="No"/>
    <n v="0.3707109503608354"/>
    <s v="No"/>
    <n v="297044"/>
    <n v="28"/>
    <x v="0"/>
  </r>
  <r>
    <n v="1709"/>
    <s v="HOMBRE"/>
    <n v="17043968"/>
    <x v="0"/>
    <x v="1"/>
    <s v="SI"/>
    <s v="NO"/>
    <s v="SI"/>
    <n v="24"/>
    <n v="1.2689156285297578"/>
    <s v="No"/>
    <n v="9.203031314291861E-2"/>
    <s v="No"/>
    <n v="17043968"/>
    <n v="24"/>
    <x v="0"/>
  </r>
  <r>
    <n v="1710"/>
    <s v="HOMBRE"/>
    <n v="94935"/>
    <x v="0"/>
    <x v="1"/>
    <s v="SI"/>
    <s v="NO"/>
    <s v="NO"/>
    <n v="24"/>
    <n v="1.2689156285297578"/>
    <s v="No"/>
    <n v="0.37407418679204368"/>
    <s v="No"/>
    <n v="94935"/>
    <n v="24"/>
    <x v="0"/>
  </r>
  <r>
    <n v="1711"/>
    <s v="MUJER"/>
    <n v="37496622"/>
    <x v="1"/>
    <x v="0"/>
    <s v="SI"/>
    <s v="NO"/>
    <s v="NO"/>
    <n v="85"/>
    <n v="3.03617950617563"/>
    <s v="Sí"/>
    <n v="0.24831628719500465"/>
    <s v="No"/>
    <n v="37496622"/>
    <n v="85"/>
    <x v="1"/>
  </r>
  <r>
    <n v="1712"/>
    <s v="MUJER"/>
    <n v="787800"/>
    <x v="0"/>
    <x v="1"/>
    <s v="SI"/>
    <s v="NO"/>
    <s v="SI"/>
    <n v="29"/>
    <n v="0.91603897814407031"/>
    <s v="No"/>
    <n v="0.36254442409018917"/>
    <s v="No"/>
    <n v="787800"/>
    <n v="29"/>
    <x v="0"/>
  </r>
  <r>
    <n v="1713"/>
    <s v="MUJER"/>
    <n v="12922052"/>
    <x v="0"/>
    <x v="0"/>
    <s v="SI"/>
    <s v="NO"/>
    <s v="NO"/>
    <n v="50"/>
    <n v="0.56604295347581735"/>
    <s v="No"/>
    <n v="0.16062190509369875"/>
    <s v="No"/>
    <n v="12922052"/>
    <n v="50"/>
    <x v="0"/>
  </r>
  <r>
    <n v="1714"/>
    <s v="MUJER"/>
    <n v="27803099"/>
    <x v="4"/>
    <x v="1"/>
    <s v="SI"/>
    <s v="NO"/>
    <s v="NO"/>
    <n v="44"/>
    <n v="0.14259097301299228"/>
    <s v="No"/>
    <n v="8.7009221698885322E-2"/>
    <s v="No"/>
    <n v="27803099"/>
    <n v="44"/>
    <x v="4"/>
  </r>
  <r>
    <n v="1715"/>
    <s v="HOMBRE"/>
    <n v="513333"/>
    <x v="0"/>
    <x v="1"/>
    <s v="SI"/>
    <s v="NO"/>
    <s v="NO"/>
    <n v="55"/>
    <n v="0.91891960386150484"/>
    <s v="No"/>
    <n v="0.36711174871979219"/>
    <s v="No"/>
    <n v="513333"/>
    <n v="55"/>
    <x v="0"/>
  </r>
  <r>
    <n v="1716"/>
    <s v="HOMBRE"/>
    <n v="703205"/>
    <x v="1"/>
    <x v="0"/>
    <s v="SI"/>
    <s v="NO"/>
    <s v="NO"/>
    <n v="81"/>
    <n v="2.7538781858670798"/>
    <s v="Sí"/>
    <n v="0.36395214460683151"/>
    <s v="No"/>
    <n v="703205"/>
    <n v="81"/>
    <x v="1"/>
  </r>
  <r>
    <n v="1717"/>
    <s v="HOMBRE"/>
    <n v="300018"/>
    <x v="3"/>
    <x v="1"/>
    <s v="SI"/>
    <s v="NO"/>
    <s v="NO"/>
    <n v="32"/>
    <n v="0.70431298791265773"/>
    <s v="No"/>
    <n v="0.37066146090145252"/>
    <s v="No"/>
    <n v="300018"/>
    <n v="32"/>
    <x v="3"/>
  </r>
  <r>
    <n v="1718"/>
    <s v="HOMBRE"/>
    <n v="611625"/>
    <x v="0"/>
    <x v="1"/>
    <s v="SI"/>
    <s v="NO"/>
    <s v="NO"/>
    <n v="41"/>
    <n v="6.9135017218420233E-2"/>
    <s v="No"/>
    <n v="0.36547610045427048"/>
    <s v="No"/>
    <n v="611625"/>
    <n v="41"/>
    <x v="0"/>
  </r>
  <r>
    <n v="1719"/>
    <s v="MUJER"/>
    <n v="845778357"/>
    <x v="0"/>
    <x v="1"/>
    <s v="SI"/>
    <s v="SI"/>
    <s v="NO"/>
    <n v="55"/>
    <n v="0.91891960386150484"/>
    <s v="No"/>
    <n v="13.698694933530497"/>
    <s v="Sí"/>
    <n v="845778357"/>
    <n v="55"/>
    <x v="0"/>
  </r>
  <r>
    <n v="1720"/>
    <s v="HOMBRE"/>
    <n v="41240056"/>
    <x v="0"/>
    <x v="1"/>
    <s v="SI"/>
    <s v="NO"/>
    <s v="NO"/>
    <n v="23"/>
    <n v="1.3394909586068953"/>
    <s v="No"/>
    <n v="0.31060967149072455"/>
    <s v="No"/>
    <n v="41240056"/>
    <n v="23"/>
    <x v="0"/>
  </r>
  <r>
    <n v="1721"/>
    <s v="HOMBRE"/>
    <n v="341319"/>
    <x v="0"/>
    <x v="1"/>
    <s v="SI"/>
    <s v="NO"/>
    <s v="NO"/>
    <n v="39"/>
    <n v="0.21028567737269524"/>
    <s v="No"/>
    <n v="0.36997418310657287"/>
    <s v="No"/>
    <n v="341319"/>
    <n v="39"/>
    <x v="0"/>
  </r>
  <r>
    <n v="1722"/>
    <s v="MUJER"/>
    <n v="1268597"/>
    <x v="1"/>
    <x v="0"/>
    <s v="SI"/>
    <s v="NO"/>
    <s v="NO"/>
    <n v="58"/>
    <n v="1.1306455940929174"/>
    <s v="No"/>
    <n v="0.3545436226097225"/>
    <s v="No"/>
    <n v="1268597"/>
    <n v="58"/>
    <x v="1"/>
  </r>
  <r>
    <n v="1723"/>
    <s v="HOMBRE"/>
    <n v="79640095"/>
    <x v="0"/>
    <x v="0"/>
    <s v="SI"/>
    <s v="NO"/>
    <s v="NO"/>
    <n v="36"/>
    <n v="0.42201166760410774"/>
    <s v="No"/>
    <n v="0.94961342750662669"/>
    <s v="No"/>
    <n v="79640095"/>
    <n v="36"/>
    <x v="0"/>
  </r>
  <r>
    <n v="1724"/>
    <s v="MUJER"/>
    <n v="736729"/>
    <x v="1"/>
    <x v="0"/>
    <s v="SI"/>
    <s v="NO"/>
    <s v="NO"/>
    <n v="61"/>
    <n v="1.3423715843243298"/>
    <s v="No"/>
    <n v="0.36339428158183101"/>
    <s v="No"/>
    <n v="736729"/>
    <n v="61"/>
    <x v="1"/>
  </r>
  <r>
    <n v="1725"/>
    <s v="HOMBRE"/>
    <n v="3939888"/>
    <x v="0"/>
    <x v="0"/>
    <s v="SI"/>
    <s v="NO"/>
    <s v="NO"/>
    <n v="58"/>
    <n v="1.1306455940929174"/>
    <s v="No"/>
    <n v="0.3100914546728234"/>
    <s v="No"/>
    <n v="3939888"/>
    <n v="58"/>
    <x v="0"/>
  </r>
  <r>
    <n v="1726"/>
    <s v="HOMBRE"/>
    <n v="7308463"/>
    <x v="1"/>
    <x v="0"/>
    <s v="SI"/>
    <s v="NO"/>
    <s v="NO"/>
    <n v="73"/>
    <n v="2.1892755452499797"/>
    <s v="Sí"/>
    <n v="0.25403598875464378"/>
    <s v="No"/>
    <n v="7308463"/>
    <n v="73"/>
    <x v="1"/>
  </r>
  <r>
    <n v="1727"/>
    <s v="HOMBRE"/>
    <n v="3410000"/>
    <x v="0"/>
    <x v="1"/>
    <s v="SI"/>
    <s v="NO"/>
    <s v="NO"/>
    <n v="49"/>
    <n v="0.49546762339867978"/>
    <s v="No"/>
    <n v="0.31890916504722572"/>
    <s v="No"/>
    <n v="3410000"/>
    <n v="49"/>
    <x v="0"/>
  </r>
  <r>
    <n v="1728"/>
    <s v="HOMBRE"/>
    <n v="46074172"/>
    <x v="0"/>
    <x v="1"/>
    <s v="SI"/>
    <s v="SI"/>
    <s v="NO"/>
    <n v="31"/>
    <n v="0.77488831798979529"/>
    <s v="No"/>
    <n v="0.39105277419217155"/>
    <s v="No"/>
    <n v="46074172"/>
    <n v="31"/>
    <x v="0"/>
  </r>
  <r>
    <n v="1729"/>
    <s v="MUJER"/>
    <n v="297046"/>
    <x v="2"/>
    <x v="1"/>
    <s v="SI"/>
    <s v="NO"/>
    <s v="NO"/>
    <n v="39"/>
    <n v="0.21028567737269524"/>
    <s v="No"/>
    <n v="0.37071091707942361"/>
    <s v="No"/>
    <n v="297046"/>
    <n v="39"/>
    <x v="2"/>
  </r>
  <r>
    <n v="1730"/>
    <s v="HOMBRE"/>
    <n v="77217752"/>
    <x v="0"/>
    <x v="1"/>
    <s v="SI"/>
    <s v="NO"/>
    <s v="NO"/>
    <n v="28"/>
    <n v="0.98661430822120777"/>
    <s v="No"/>
    <n v="0.9093039300251573"/>
    <s v="No"/>
    <n v="77217752"/>
    <n v="28"/>
    <x v="0"/>
  </r>
  <r>
    <n v="1731"/>
    <s v="MUJER"/>
    <n v="289717"/>
    <x v="3"/>
    <x v="1"/>
    <s v="SI"/>
    <s v="NO"/>
    <s v="NO"/>
    <n v="59"/>
    <n v="1.2012209241700549"/>
    <s v="No"/>
    <n v="0.3708328768130541"/>
    <s v="No"/>
    <n v="289717"/>
    <n v="59"/>
    <x v="3"/>
  </r>
  <r>
    <n v="1732"/>
    <s v="MUJER"/>
    <n v="380000"/>
    <x v="0"/>
    <x v="1"/>
    <s v="SI"/>
    <s v="NO"/>
    <s v="NO"/>
    <n v="57"/>
    <n v="1.0600702640157798"/>
    <s v="No"/>
    <n v="0.36933050396118317"/>
    <s v="No"/>
    <n v="380000"/>
    <n v="57"/>
    <x v="0"/>
  </r>
  <r>
    <n v="1733"/>
    <s v="MUJER"/>
    <n v="115684184"/>
    <x v="0"/>
    <x v="0"/>
    <s v="SI"/>
    <s v="NO"/>
    <s v="NO"/>
    <n v="43"/>
    <n v="7.2015642935854773E-2"/>
    <s v="No"/>
    <n v="1.5494125124286879"/>
    <s v="No"/>
    <n v="115684184"/>
    <n v="43"/>
    <x v="0"/>
  </r>
  <r>
    <n v="1734"/>
    <s v="HOMBRE"/>
    <n v="3874894"/>
    <x v="0"/>
    <x v="1"/>
    <s v="SI"/>
    <s v="NO"/>
    <s v="NO"/>
    <n v="35"/>
    <n v="0.49258699768124525"/>
    <s v="No"/>
    <n v="0.31117300071288073"/>
    <s v="No"/>
    <n v="3874894"/>
    <n v="35"/>
    <x v="0"/>
  </r>
  <r>
    <n v="1735"/>
    <s v="HOMBRE"/>
    <n v="449596"/>
    <x v="0"/>
    <x v="0"/>
    <s v="SI"/>
    <s v="NO"/>
    <s v="NO"/>
    <n v="36"/>
    <n v="0.42201166760410774"/>
    <s v="No"/>
    <n v="0.3681723773925179"/>
    <s v="No"/>
    <n v="449596"/>
    <n v="36"/>
    <x v="0"/>
  </r>
  <r>
    <n v="1736"/>
    <s v="HOMBRE"/>
    <n v="477300"/>
    <x v="0"/>
    <x v="1"/>
    <s v="SI"/>
    <s v="NO"/>
    <s v="NO"/>
    <n v="63"/>
    <n v="1.4835222444786049"/>
    <s v="No"/>
    <n v="0.36771136327592641"/>
    <s v="No"/>
    <n v="477300"/>
    <n v="63"/>
    <x v="0"/>
  </r>
  <r>
    <n v="1737"/>
    <s v="HOMBRE"/>
    <n v="42570355"/>
    <x v="0"/>
    <x v="1"/>
    <s v="SI"/>
    <s v="NO"/>
    <s v="NO"/>
    <n v="44"/>
    <n v="0.14259097301299228"/>
    <s v="No"/>
    <n v="0.33274678592501455"/>
    <s v="No"/>
    <n v="42570355"/>
    <n v="44"/>
    <x v="0"/>
  </r>
  <r>
    <n v="1738"/>
    <s v="HOMBRE"/>
    <n v="8714273"/>
    <x v="0"/>
    <x v="1"/>
    <s v="SI"/>
    <s v="NO"/>
    <s v="NO"/>
    <n v="51"/>
    <n v="0.6366182835529548"/>
    <s v="No"/>
    <n v="0.23064231797621787"/>
    <s v="No"/>
    <n v="8714273"/>
    <n v="51"/>
    <x v="0"/>
  </r>
  <r>
    <n v="1739"/>
    <s v="HOMBRE"/>
    <n v="368750"/>
    <x v="0"/>
    <x v="1"/>
    <s v="SI"/>
    <s v="NO"/>
    <s v="NO"/>
    <n v="41"/>
    <n v="6.9135017218420233E-2"/>
    <s v="No"/>
    <n v="0.36951771190269539"/>
    <s v="No"/>
    <n v="368750"/>
    <n v="41"/>
    <x v="0"/>
  </r>
  <r>
    <n v="1740"/>
    <s v="HOMBRE"/>
    <n v="74415802"/>
    <x v="0"/>
    <x v="0"/>
    <s v="SI"/>
    <s v="NO"/>
    <s v="NO"/>
    <n v="26"/>
    <n v="1.1277649683754829"/>
    <s v="No"/>
    <n v="0.86267750409447641"/>
    <s v="No"/>
    <n v="74415802"/>
    <n v="26"/>
    <x v="0"/>
  </r>
  <r>
    <n v="1741"/>
    <s v="HOMBRE"/>
    <n v="280000"/>
    <x v="0"/>
    <x v="1"/>
    <s v="SI"/>
    <s v="NO"/>
    <s v="SI"/>
    <n v="56"/>
    <n v="0.9894949339386423"/>
    <s v="No"/>
    <n v="0.37099457455240292"/>
    <s v="No"/>
    <n v="280000"/>
    <n v="56"/>
    <x v="0"/>
  </r>
  <r>
    <n v="1742"/>
    <s v="HOMBRE"/>
    <n v="38258415"/>
    <x v="0"/>
    <x v="0"/>
    <s v="SI"/>
    <s v="NO"/>
    <s v="NO"/>
    <n v="47"/>
    <n v="0.35431696324440481"/>
    <s v="No"/>
    <n v="0.26099306047397508"/>
    <s v="No"/>
    <n v="38258415"/>
    <n v="47"/>
    <x v="0"/>
  </r>
  <r>
    <n v="1743"/>
    <s v="MUJER"/>
    <n v="12754405"/>
    <x v="0"/>
    <x v="0"/>
    <s v="SI"/>
    <s v="NO"/>
    <s v="NO"/>
    <n v="58"/>
    <n v="1.1306455940929174"/>
    <s v="No"/>
    <n v="0.16341166951776087"/>
    <s v="No"/>
    <n v="12754405"/>
    <n v="58"/>
    <x v="0"/>
  </r>
  <r>
    <n v="1744"/>
    <s v="MUJER"/>
    <n v="15660461"/>
    <x v="0"/>
    <x v="0"/>
    <s v="SI"/>
    <s v="NO"/>
    <s v="NO"/>
    <n v="28"/>
    <n v="0.98661430822120777"/>
    <s v="No"/>
    <n v="0.11505284625738479"/>
    <s v="No"/>
    <n v="15660461"/>
    <n v="28"/>
    <x v="0"/>
  </r>
  <r>
    <n v="1745"/>
    <s v="MUJER"/>
    <n v="477915"/>
    <x v="0"/>
    <x v="0"/>
    <s v="SI"/>
    <s v="NO"/>
    <s v="NO"/>
    <n v="29"/>
    <n v="0.91603897814407031"/>
    <s v="No"/>
    <n v="0.36770112924179038"/>
    <s v="No"/>
    <n v="477915"/>
    <n v="29"/>
    <x v="0"/>
  </r>
  <r>
    <n v="1746"/>
    <s v="HOMBRE"/>
    <n v="389617"/>
    <x v="0"/>
    <x v="1"/>
    <s v="SI"/>
    <s v="NO"/>
    <s v="NO"/>
    <n v="61"/>
    <n v="1.3423715843243298"/>
    <s v="No"/>
    <n v="0.36917047029242556"/>
    <s v="No"/>
    <n v="389617"/>
    <n v="61"/>
    <x v="0"/>
  </r>
  <r>
    <n v="1747"/>
    <s v="MUJER"/>
    <n v="331218643"/>
    <x v="0"/>
    <x v="0"/>
    <s v="SI"/>
    <s v="NO"/>
    <s v="NO"/>
    <n v="41"/>
    <n v="6.9135017218420233E-2"/>
    <s v="No"/>
    <n v="5.1360580585922078"/>
    <s v="Sí"/>
    <n v="331218643"/>
    <n v="41"/>
    <x v="0"/>
  </r>
  <r>
    <n v="1748"/>
    <s v="HOMBRE"/>
    <n v="331181"/>
    <x v="3"/>
    <x v="1"/>
    <s v="SI"/>
    <s v="NO"/>
    <s v="SI"/>
    <n v="57"/>
    <n v="1.0600702640157798"/>
    <s v="No"/>
    <n v="0.37014288658311073"/>
    <s v="No"/>
    <n v="331181"/>
    <n v="57"/>
    <x v="3"/>
  </r>
  <r>
    <n v="1749"/>
    <s v="HOMBRE"/>
    <n v="196000"/>
    <x v="0"/>
    <x v="1"/>
    <s v="SI"/>
    <s v="NO"/>
    <s v="NO"/>
    <n v="52"/>
    <n v="0.70719361363009237"/>
    <s v="No"/>
    <n v="0.37239239384902745"/>
    <s v="No"/>
    <n v="196000"/>
    <n v="52"/>
    <x v="0"/>
  </r>
  <r>
    <n v="1750"/>
    <s v="HOMBRE"/>
    <n v="430000"/>
    <x v="0"/>
    <x v="1"/>
    <s v="SI"/>
    <s v="NO"/>
    <s v="NO"/>
    <n v="39"/>
    <n v="0.21028567737269524"/>
    <s v="No"/>
    <n v="0.36849846866557334"/>
    <s v="No"/>
    <n v="430000"/>
    <n v="39"/>
    <x v="0"/>
  </r>
  <r>
    <n v="1751"/>
    <s v="MUJER"/>
    <n v="340000"/>
    <x v="0"/>
    <x v="1"/>
    <s v="SI"/>
    <s v="NO"/>
    <s v="NO"/>
    <n v="26"/>
    <n v="1.1277649683754829"/>
    <s v="No"/>
    <n v="0.36999613219767108"/>
    <s v="No"/>
    <n v="340000"/>
    <n v="26"/>
    <x v="0"/>
  </r>
  <r>
    <n v="1752"/>
    <s v="MUJER"/>
    <n v="118322701"/>
    <x v="0"/>
    <x v="1"/>
    <s v="SI"/>
    <s v="NO"/>
    <s v="NO"/>
    <n v="32"/>
    <n v="0.70431298791265773"/>
    <s v="No"/>
    <n v="1.5933192978700206"/>
    <s v="No"/>
    <n v="118322701"/>
    <n v="32"/>
    <x v="0"/>
  </r>
  <r>
    <n v="1753"/>
    <s v="MUJER"/>
    <n v="392375"/>
    <x v="0"/>
    <x v="1"/>
    <s v="SI"/>
    <s v="NO"/>
    <s v="NO"/>
    <n v="33"/>
    <n v="0.63373765783552027"/>
    <s v="No"/>
    <n v="0.36912457522551972"/>
    <s v="No"/>
    <n v="392375"/>
    <n v="33"/>
    <x v="0"/>
  </r>
  <r>
    <n v="1754"/>
    <s v="MUJER"/>
    <n v="278030"/>
    <x v="4"/>
    <x v="1"/>
    <s v="SI"/>
    <s v="NO"/>
    <s v="NO"/>
    <n v="53"/>
    <n v="0.77776894370722982"/>
    <s v="No"/>
    <n v="0.37102735674304993"/>
    <s v="No"/>
    <n v="278030"/>
    <n v="53"/>
    <x v="4"/>
  </r>
  <r>
    <n v="1755"/>
    <s v="MUJER"/>
    <n v="436448"/>
    <x v="3"/>
    <x v="1"/>
    <s v="SI"/>
    <s v="NO"/>
    <s v="NO"/>
    <n v="37"/>
    <n v="0.35143633752697023"/>
    <s v="No"/>
    <n v="0.36839116939385147"/>
    <s v="No"/>
    <n v="436448"/>
    <n v="37"/>
    <x v="3"/>
  </r>
  <r>
    <n v="1756"/>
    <s v="HOMBRE"/>
    <n v="21938152"/>
    <x v="0"/>
    <x v="1"/>
    <s v="SI"/>
    <s v="SI"/>
    <s v="NO"/>
    <n v="53"/>
    <n v="0.77776894370722982"/>
    <s v="No"/>
    <n v="1.0587636518737779E-2"/>
    <s v="No"/>
    <n v="21938152"/>
    <n v="53"/>
    <x v="0"/>
  </r>
  <r>
    <n v="1757"/>
    <s v="MUJER"/>
    <n v="359500"/>
    <x v="0"/>
    <x v="1"/>
    <s v="SI"/>
    <s v="NO"/>
    <s v="NO"/>
    <n v="41"/>
    <n v="6.9135017218420233E-2"/>
    <s v="No"/>
    <n v="0.36967163843238321"/>
    <s v="No"/>
    <n v="359500"/>
    <n v="41"/>
    <x v="0"/>
  </r>
  <r>
    <n v="1758"/>
    <s v="HOMBRE"/>
    <n v="300018"/>
    <x v="3"/>
    <x v="1"/>
    <s v="SI"/>
    <s v="NO"/>
    <s v="SI"/>
    <n v="62"/>
    <n v="1.4129469144014672"/>
    <s v="No"/>
    <n v="0.37066146090145252"/>
    <s v="No"/>
    <n v="300018"/>
    <n v="62"/>
    <x v="3"/>
  </r>
  <r>
    <n v="1759"/>
    <s v="HOMBRE"/>
    <n v="300018"/>
    <x v="2"/>
    <x v="1"/>
    <s v="SI"/>
    <s v="NO"/>
    <s v="NO"/>
    <n v="60"/>
    <n v="1.2717962542471923"/>
    <s v="No"/>
    <n v="0.37066146090145252"/>
    <s v="No"/>
    <n v="300018"/>
    <n v="60"/>
    <x v="2"/>
  </r>
  <r>
    <n v="1760"/>
    <s v="HOMBRE"/>
    <n v="297046"/>
    <x v="2"/>
    <x v="1"/>
    <s v="SI"/>
    <s v="NO"/>
    <s v="NO"/>
    <n v="68"/>
    <n v="1.8363988948642924"/>
    <s v="No"/>
    <n v="0.37071091707942361"/>
    <s v="No"/>
    <n v="297046"/>
    <n v="68"/>
    <x v="2"/>
  </r>
  <r>
    <n v="1761"/>
    <s v="HOMBRE"/>
    <n v="42591667"/>
    <x v="0"/>
    <x v="1"/>
    <s v="SI"/>
    <s v="NO"/>
    <s v="NO"/>
    <n v="22"/>
    <n v="1.4100662886840327"/>
    <s v="No"/>
    <n v="0.33310143264941533"/>
    <s v="No"/>
    <n v="42591667"/>
    <n v="22"/>
    <x v="0"/>
  </r>
  <r>
    <n v="1762"/>
    <s v="MUJER"/>
    <n v="318064"/>
    <x v="3"/>
    <x v="1"/>
    <s v="SI"/>
    <s v="NO"/>
    <s v="SI"/>
    <n v="38"/>
    <n v="0.28086100744983278"/>
    <s v="No"/>
    <n v="0.37036116272256103"/>
    <s v="No"/>
    <n v="318064"/>
    <n v="38"/>
    <x v="3"/>
  </r>
  <r>
    <n v="1763"/>
    <s v="HOMBRE"/>
    <n v="9492451"/>
    <x v="0"/>
    <x v="0"/>
    <s v="SI"/>
    <s v="NO"/>
    <s v="NO"/>
    <n v="44"/>
    <n v="0.14259097301299228"/>
    <s v="No"/>
    <n v="0.21769288673087611"/>
    <s v="No"/>
    <n v="9492451"/>
    <n v="44"/>
    <x v="0"/>
  </r>
  <r>
    <n v="1764"/>
    <s v="HOMBRE"/>
    <n v="329608"/>
    <x v="3"/>
    <x v="1"/>
    <s v="SI"/>
    <s v="NO"/>
    <s v="NO"/>
    <n v="44"/>
    <n v="0.14259097301299228"/>
    <s v="No"/>
    <n v="0.37016906241351061"/>
    <s v="No"/>
    <n v="329608"/>
    <n v="44"/>
    <x v="3"/>
  </r>
  <r>
    <n v="1765"/>
    <s v="MUJER"/>
    <n v="33918814"/>
    <x v="0"/>
    <x v="1"/>
    <s v="SI"/>
    <s v="NO"/>
    <s v="NO"/>
    <n v="24"/>
    <n v="1.2689156285297578"/>
    <s v="No"/>
    <n v="0.18877903645669827"/>
    <s v="No"/>
    <n v="33918814"/>
    <n v="24"/>
    <x v="0"/>
  </r>
  <r>
    <n v="1766"/>
    <s v="MUJER"/>
    <n v="3777606"/>
    <x v="0"/>
    <x v="1"/>
    <s v="SI"/>
    <s v="NO"/>
    <s v="NO"/>
    <n v="19"/>
    <n v="1.6217922789154453"/>
    <s v="No"/>
    <n v="0.31279194170966657"/>
    <s v="No"/>
    <n v="3777606"/>
    <n v="19"/>
    <x v="0"/>
  </r>
  <r>
    <n v="1767"/>
    <s v="HOMBRE"/>
    <n v="300010"/>
    <x v="2"/>
    <x v="1"/>
    <s v="SI"/>
    <s v="NO"/>
    <s v="NO"/>
    <n v="44"/>
    <n v="0.14259097301299228"/>
    <s v="No"/>
    <n v="0.37066159402709981"/>
    <s v="No"/>
    <n v="300010"/>
    <n v="44"/>
    <x v="2"/>
  </r>
  <r>
    <n v="1768"/>
    <s v="MUJER"/>
    <n v="360000"/>
    <x v="0"/>
    <x v="1"/>
    <s v="SI"/>
    <s v="NO"/>
    <s v="NO"/>
    <n v="23"/>
    <n v="1.3394909586068953"/>
    <s v="No"/>
    <n v="0.36966331807942709"/>
    <s v="No"/>
    <n v="360000"/>
    <n v="23"/>
    <x v="0"/>
  </r>
  <r>
    <n v="1769"/>
    <s v="HOMBRE"/>
    <n v="305704"/>
    <x v="2"/>
    <x v="1"/>
    <s v="SI"/>
    <s v="NO"/>
    <s v="NO"/>
    <n v="60"/>
    <n v="1.2717962542471923"/>
    <s v="No"/>
    <n v="0.37056684184763578"/>
    <s v="No"/>
    <n v="305704"/>
    <n v="60"/>
    <x v="2"/>
  </r>
  <r>
    <n v="1770"/>
    <s v="HOMBRE"/>
    <n v="3496703"/>
    <x v="0"/>
    <x v="1"/>
    <s v="SI"/>
    <s v="NO"/>
    <s v="NO"/>
    <n v="32"/>
    <n v="0.70431298791265773"/>
    <s v="No"/>
    <n v="0.31746636592252048"/>
    <s v="No"/>
    <n v="3496703"/>
    <n v="32"/>
    <x v="0"/>
  </r>
  <r>
    <n v="1771"/>
    <s v="HOMBRE"/>
    <n v="38138592"/>
    <x v="0"/>
    <x v="1"/>
    <s v="SI"/>
    <s v="NO"/>
    <s v="NO"/>
    <n v="43"/>
    <n v="7.2015642935854773E-2"/>
    <s v="No"/>
    <n v="0.25899912116945784"/>
    <s v="No"/>
    <n v="38138592"/>
    <n v="43"/>
    <x v="0"/>
  </r>
  <r>
    <n v="1772"/>
    <s v="HOMBRE"/>
    <n v="1272000"/>
    <x v="0"/>
    <x v="1"/>
    <s v="SI"/>
    <s v="NO"/>
    <s v="NO"/>
    <n v="32"/>
    <n v="0.70431298791265773"/>
    <s v="No"/>
    <n v="0.3544869942875033"/>
    <s v="No"/>
    <n v="1272000"/>
    <n v="32"/>
    <x v="0"/>
  </r>
  <r>
    <n v="1773"/>
    <s v="HOMBRE"/>
    <n v="297046"/>
    <x v="2"/>
    <x v="1"/>
    <s v="NO"/>
    <s v="NO"/>
    <s v="SI"/>
    <n v="73"/>
    <n v="2.1892755452499797"/>
    <s v="Sí"/>
    <n v="0.37071091707942361"/>
    <s v="No"/>
    <n v="297046"/>
    <n v="73"/>
    <x v="2"/>
  </r>
  <r>
    <n v="1774"/>
    <s v="HOMBRE"/>
    <n v="343391"/>
    <x v="0"/>
    <x v="1"/>
    <s v="SI"/>
    <s v="NO"/>
    <s v="NO"/>
    <n v="70"/>
    <n v="1.9775495550185673"/>
    <s v="Sí"/>
    <n v="0.36993970356392281"/>
    <s v="No"/>
    <n v="343391"/>
    <n v="70"/>
    <x v="0"/>
  </r>
  <r>
    <n v="1775"/>
    <s v="HOMBRE"/>
    <n v="166204288"/>
    <x v="0"/>
    <x v="0"/>
    <s v="SI"/>
    <s v="NO"/>
    <s v="NO"/>
    <n v="57"/>
    <n v="1.0600702640157798"/>
    <s v="No"/>
    <n v="2.3901027057463042"/>
    <s v="Sí"/>
    <n v="166204288"/>
    <n v="57"/>
    <x v="0"/>
  </r>
  <r>
    <n v="1776"/>
    <s v="HOMBRE"/>
    <n v="50000"/>
    <x v="0"/>
    <x v="1"/>
    <s v="SI"/>
    <s v="NO"/>
    <s v="NO"/>
    <n v="29"/>
    <n v="0.91603897814407031"/>
    <s v="No"/>
    <n v="0.37482193691220822"/>
    <s v="No"/>
    <n v="50000"/>
    <n v="29"/>
    <x v="0"/>
  </r>
  <r>
    <n v="1777"/>
    <s v="MUJER"/>
    <n v="376500"/>
    <x v="0"/>
    <x v="1"/>
    <s v="SI"/>
    <s v="SI"/>
    <s v="NO"/>
    <n v="28"/>
    <n v="0.98661430822120777"/>
    <s v="No"/>
    <n v="0.36938874643187586"/>
    <s v="No"/>
    <n v="376500"/>
    <n v="28"/>
    <x v="0"/>
  </r>
  <r>
    <n v="1778"/>
    <s v="HOMBRE"/>
    <n v="109986375"/>
    <x v="0"/>
    <x v="0"/>
    <s v="SI"/>
    <s v="NO"/>
    <s v="NO"/>
    <n v="40"/>
    <n v="0.13971034729555773"/>
    <s v="No"/>
    <n v="1.4545969485158177"/>
    <s v="No"/>
    <n v="109986375"/>
    <n v="40"/>
    <x v="0"/>
  </r>
  <r>
    <n v="1779"/>
    <s v="MUJER"/>
    <n v="420000"/>
    <x v="0"/>
    <x v="1"/>
    <s v="SI"/>
    <s v="NO"/>
    <s v="NO"/>
    <n v="25"/>
    <n v="1.1983402984526204"/>
    <s v="No"/>
    <n v="0.36866487572469531"/>
    <s v="No"/>
    <n v="420000"/>
    <n v="25"/>
    <x v="0"/>
  </r>
  <r>
    <n v="1780"/>
    <s v="HOMBRE"/>
    <n v="48074721"/>
    <x v="0"/>
    <x v="1"/>
    <s v="SI"/>
    <s v="NO"/>
    <s v="NO"/>
    <n v="62"/>
    <n v="1.4129469144014672"/>
    <s v="No"/>
    <n v="0.42434332176411166"/>
    <s v="No"/>
    <n v="48074721"/>
    <n v="62"/>
    <x v="0"/>
  </r>
  <r>
    <n v="1781"/>
    <s v="HOMBRE"/>
    <n v="40149984"/>
    <x v="0"/>
    <x v="1"/>
    <s v="SI"/>
    <s v="NO"/>
    <s v="NO"/>
    <n v="32"/>
    <n v="0.70431298791265773"/>
    <s v="No"/>
    <n v="0.29247010391560396"/>
    <s v="No"/>
    <n v="40149984"/>
    <n v="32"/>
    <x v="0"/>
  </r>
  <r>
    <n v="1782"/>
    <s v="HOMBRE"/>
    <n v="297046"/>
    <x v="3"/>
    <x v="1"/>
    <s v="SI"/>
    <s v="NO"/>
    <s v="SI"/>
    <n v="34"/>
    <n v="0.56316232775838282"/>
    <s v="No"/>
    <n v="0.37071091707942361"/>
    <s v="No"/>
    <n v="297046"/>
    <n v="34"/>
    <x v="3"/>
  </r>
  <r>
    <n v="1783"/>
    <s v="MUJER"/>
    <n v="580000"/>
    <x v="0"/>
    <x v="1"/>
    <s v="SI"/>
    <s v="NO"/>
    <s v="NO"/>
    <n v="21"/>
    <n v="1.4806416187611704"/>
    <s v="No"/>
    <n v="0.36600236277874376"/>
    <s v="No"/>
    <n v="580000"/>
    <n v="21"/>
    <x v="0"/>
  </r>
  <r>
    <n v="1784"/>
    <s v="HOMBRE"/>
    <n v="319574"/>
    <x v="0"/>
    <x v="1"/>
    <s v="SI"/>
    <s v="SI"/>
    <s v="SI"/>
    <n v="43"/>
    <n v="7.2015642935854773E-2"/>
    <s v="No"/>
    <n v="0.37033603525663361"/>
    <s v="No"/>
    <n v="319574"/>
    <n v="43"/>
    <x v="0"/>
  </r>
  <r>
    <n v="1785"/>
    <s v="MUJER"/>
    <n v="297719"/>
    <x v="2"/>
    <x v="1"/>
    <s v="SI"/>
    <s v="SI"/>
    <s v="NO"/>
    <n v="43"/>
    <n v="7.2015642935854773E-2"/>
    <s v="No"/>
    <n v="0.37069971788434469"/>
    <s v="No"/>
    <n v="297719"/>
    <n v="43"/>
    <x v="2"/>
  </r>
  <r>
    <n v="1786"/>
    <s v="HOMBRE"/>
    <n v="297046"/>
    <x v="2"/>
    <x v="1"/>
    <s v="SI"/>
    <s v="NO"/>
    <s v="NO"/>
    <n v="41"/>
    <n v="6.9135017218420233E-2"/>
    <s v="No"/>
    <n v="0.37071091707942361"/>
    <s v="No"/>
    <n v="297046"/>
    <n v="41"/>
    <x v="2"/>
  </r>
  <r>
    <n v="1787"/>
    <s v="HOMBRE"/>
    <n v="157803317"/>
    <x v="0"/>
    <x v="0"/>
    <s v="SI"/>
    <s v="NO"/>
    <s v="NO"/>
    <n v="50"/>
    <n v="0.56604295347581735"/>
    <s v="No"/>
    <n v="2.250304617958407"/>
    <s v="Sí"/>
    <n v="157803317"/>
    <n v="50"/>
    <x v="0"/>
  </r>
  <r>
    <n v="1788"/>
    <s v="MUJER"/>
    <n v="361421"/>
    <x v="3"/>
    <x v="1"/>
    <s v="SI"/>
    <s v="SI"/>
    <s v="NO"/>
    <n v="56"/>
    <n v="0.9894949339386423"/>
    <s v="No"/>
    <n v="0.36963967163632588"/>
    <s v="No"/>
    <n v="361421"/>
    <n v="56"/>
    <x v="3"/>
  </r>
  <r>
    <n v="1789"/>
    <s v="MUJER"/>
    <n v="1431628"/>
    <x v="0"/>
    <x v="0"/>
    <s v="SI"/>
    <s v="NO"/>
    <s v="SI"/>
    <n v="37"/>
    <n v="0.35143633752697023"/>
    <s v="No"/>
    <n v="0.35183067168415111"/>
    <s v="No"/>
    <n v="1431628"/>
    <n v="37"/>
    <x v="0"/>
  </r>
  <r>
    <n v="1790"/>
    <s v="HOMBRE"/>
    <n v="55486233"/>
    <x v="0"/>
    <x v="1"/>
    <s v="SI"/>
    <s v="NO"/>
    <s v="NO"/>
    <n v="56"/>
    <n v="0.9894949339386423"/>
    <s v="No"/>
    <n v="0.54767611332083199"/>
    <s v="No"/>
    <n v="55486233"/>
    <n v="56"/>
    <x v="0"/>
  </r>
  <r>
    <n v="1791"/>
    <s v="HOMBRE"/>
    <n v="200000"/>
    <x v="0"/>
    <x v="1"/>
    <s v="SI"/>
    <s v="NO"/>
    <s v="SI"/>
    <n v="27"/>
    <n v="1.0571896382983452"/>
    <s v="No"/>
    <n v="0.3723258310253787"/>
    <s v="No"/>
    <n v="200000"/>
    <n v="27"/>
    <x v="0"/>
  </r>
  <r>
    <n v="1792"/>
    <s v="HOMBRE"/>
    <n v="253444495"/>
    <x v="0"/>
    <x v="0"/>
    <s v="SI"/>
    <s v="NO"/>
    <s v="NO"/>
    <n v="38"/>
    <n v="0.28086100744983278"/>
    <s v="No"/>
    <n v="3.8418413341525097"/>
    <s v="Sí"/>
    <n v="253444495"/>
    <n v="38"/>
    <x v="0"/>
  </r>
  <r>
    <n v="1793"/>
    <s v="HOMBRE"/>
    <n v="253000"/>
    <x v="0"/>
    <x v="1"/>
    <s v="SI"/>
    <s v="NO"/>
    <s v="NO"/>
    <n v="48"/>
    <n v="0.42489229332154227"/>
    <s v="No"/>
    <n v="0.37144387361203224"/>
    <s v="No"/>
    <n v="253000"/>
    <n v="48"/>
    <x v="0"/>
  </r>
  <r>
    <n v="1794"/>
    <s v="MUJER"/>
    <n v="325925"/>
    <x v="3"/>
    <x v="1"/>
    <s v="SI"/>
    <s v="NO"/>
    <s v="NO"/>
    <n v="64"/>
    <n v="1.5540975745557424"/>
    <s v="No"/>
    <n v="0.37023035013338523"/>
    <s v="No"/>
    <n v="325925"/>
    <n v="64"/>
    <x v="3"/>
  </r>
  <r>
    <n v="1795"/>
    <s v="MUJER"/>
    <n v="200000"/>
    <x v="0"/>
    <x v="1"/>
    <s v="SI"/>
    <s v="SI"/>
    <s v="NO"/>
    <n v="59"/>
    <n v="1.2012209241700549"/>
    <s v="No"/>
    <n v="0.3723258310253787"/>
    <s v="No"/>
    <n v="200000"/>
    <n v="59"/>
    <x v="0"/>
  </r>
  <r>
    <n v="1796"/>
    <s v="HOMBRE"/>
    <n v="329794"/>
    <x v="3"/>
    <x v="1"/>
    <s v="SI"/>
    <s v="NO"/>
    <s v="SI"/>
    <n v="41"/>
    <n v="6.9135017218420233E-2"/>
    <s v="No"/>
    <n v="0.37016596724221096"/>
    <s v="No"/>
    <n v="329794"/>
    <n v="41"/>
    <x v="3"/>
  </r>
  <r>
    <n v="1797"/>
    <s v="HOMBRE"/>
    <n v="37028728"/>
    <x v="0"/>
    <x v="0"/>
    <s v="SI"/>
    <s v="NO"/>
    <s v="NO"/>
    <n v="46"/>
    <n v="0.2837416331672673"/>
    <s v="No"/>
    <n v="0.24053020074292306"/>
    <s v="No"/>
    <n v="37028728"/>
    <n v="46"/>
    <x v="0"/>
  </r>
  <r>
    <n v="1798"/>
    <s v="MUJER"/>
    <n v="1229350"/>
    <x v="0"/>
    <x v="1"/>
    <s v="SI"/>
    <s v="NO"/>
    <s v="NO"/>
    <n v="33"/>
    <n v="0.63373765783552027"/>
    <s v="No"/>
    <n v="0.35519672039465849"/>
    <s v="No"/>
    <n v="1229350"/>
    <n v="33"/>
    <x v="0"/>
  </r>
  <r>
    <n v="1799"/>
    <s v="HOMBRE"/>
    <n v="300000"/>
    <x v="0"/>
    <x v="1"/>
    <s v="SI"/>
    <s v="NO"/>
    <s v="NO"/>
    <n v="26"/>
    <n v="1.1277649683754829"/>
    <s v="No"/>
    <n v="0.37066176043415894"/>
    <s v="No"/>
    <n v="300000"/>
    <n v="26"/>
    <x v="0"/>
  </r>
  <r>
    <n v="1800"/>
    <s v="HOMBRE"/>
    <n v="298155"/>
    <x v="3"/>
    <x v="1"/>
    <s v="SI"/>
    <s v="NO"/>
    <s v="NO"/>
    <n v="29"/>
    <n v="0.91603897814407031"/>
    <s v="No"/>
    <n v="0.37069246253656696"/>
    <s v="No"/>
    <n v="298155"/>
    <n v="29"/>
    <x v="3"/>
  </r>
  <r>
    <n v="1801"/>
    <s v="MUJER"/>
    <n v="76102705"/>
    <x v="0"/>
    <x v="0"/>
    <s v="SI"/>
    <s v="NO"/>
    <s v="NO"/>
    <n v="28"/>
    <n v="0.98661430822120777"/>
    <s v="No"/>
    <n v="0.89074876081987953"/>
    <s v="No"/>
    <n v="76102705"/>
    <n v="28"/>
    <x v="0"/>
  </r>
  <r>
    <n v="1802"/>
    <s v="HOMBRE"/>
    <n v="3475395"/>
    <x v="0"/>
    <x v="1"/>
    <s v="SI"/>
    <s v="NO"/>
    <s v="NO"/>
    <n v="28"/>
    <n v="0.98661430822120777"/>
    <s v="No"/>
    <n v="0.31782094608409761"/>
    <s v="No"/>
    <n v="3475395"/>
    <n v="28"/>
    <x v="0"/>
  </r>
  <r>
    <n v="1803"/>
    <s v="MUJER"/>
    <n v="319574"/>
    <x v="0"/>
    <x v="1"/>
    <s v="SI"/>
    <s v="SI"/>
    <s v="NO"/>
    <n v="30"/>
    <n v="0.84546364806693275"/>
    <s v="No"/>
    <n v="0.37033603525663361"/>
    <s v="No"/>
    <n v="319574"/>
    <n v="30"/>
    <x v="0"/>
  </r>
  <r>
    <n v="1804"/>
    <s v="HOMBRE"/>
    <n v="35278275"/>
    <x v="0"/>
    <x v="1"/>
    <s v="SI"/>
    <s v="SI"/>
    <s v="NO"/>
    <n v="27"/>
    <n v="1.0571896382983452"/>
    <s v="No"/>
    <n v="0.21140142715679977"/>
    <s v="No"/>
    <n v="35278275"/>
    <n v="27"/>
    <x v="0"/>
  </r>
  <r>
    <n v="1805"/>
    <s v="HOMBRE"/>
    <n v="4534138"/>
    <x v="0"/>
    <x v="1"/>
    <s v="SI"/>
    <s v="NO"/>
    <s v="NO"/>
    <n v="52"/>
    <n v="0.70719361363009237"/>
    <s v="No"/>
    <n v="0.3002027151845002"/>
    <s v="No"/>
    <n v="4534138"/>
    <n v="52"/>
    <x v="0"/>
  </r>
  <r>
    <n v="1806"/>
    <s v="MUJER"/>
    <n v="329950"/>
    <x v="3"/>
    <x v="1"/>
    <s v="SI"/>
    <s v="NO"/>
    <s v="SI"/>
    <n v="43"/>
    <n v="7.2015642935854773E-2"/>
    <s v="No"/>
    <n v="0.37016337129208865"/>
    <s v="No"/>
    <n v="329950"/>
    <n v="43"/>
    <x v="3"/>
  </r>
  <r>
    <n v="1807"/>
    <s v="HOMBRE"/>
    <n v="73444938"/>
    <x v="0"/>
    <x v="0"/>
    <s v="SI"/>
    <s v="NO"/>
    <s v="NO"/>
    <n v="24"/>
    <n v="1.2689156285297578"/>
    <s v="No"/>
    <n v="0.84652164178973699"/>
    <s v="No"/>
    <n v="73444938"/>
    <n v="24"/>
    <x v="0"/>
  </r>
  <r>
    <n v="1808"/>
    <s v="HOMBRE"/>
    <n v="74638068"/>
    <x v="0"/>
    <x v="1"/>
    <s v="SI"/>
    <s v="NO"/>
    <s v="NO"/>
    <n v="37"/>
    <n v="0.35143633752697023"/>
    <s v="No"/>
    <n v="0.86637616723475686"/>
    <s v="No"/>
    <n v="74638068"/>
    <n v="37"/>
    <x v="0"/>
  </r>
  <r>
    <n v="1809"/>
    <s v="MUJER"/>
    <n v="420000"/>
    <x v="0"/>
    <x v="1"/>
    <s v="SI"/>
    <s v="NO"/>
    <s v="NO"/>
    <n v="29"/>
    <n v="0.91603897814407031"/>
    <s v="No"/>
    <n v="0.36866487572469531"/>
    <s v="No"/>
    <n v="420000"/>
    <n v="29"/>
    <x v="0"/>
  </r>
  <r>
    <n v="1810"/>
    <s v="HOMBRE"/>
    <n v="829520"/>
    <x v="0"/>
    <x v="1"/>
    <s v="SI"/>
    <s v="NO"/>
    <s v="NO"/>
    <n v="61"/>
    <n v="1.3423715843243298"/>
    <s v="No"/>
    <n v="0.36185017383953233"/>
    <s v="No"/>
    <n v="829520"/>
    <n v="61"/>
    <x v="0"/>
  </r>
  <r>
    <n v="1811"/>
    <s v="MUJER"/>
    <n v="297046"/>
    <x v="2"/>
    <x v="1"/>
    <s v="SI"/>
    <s v="NO"/>
    <s v="NO"/>
    <n v="53"/>
    <n v="0.77776894370722982"/>
    <s v="No"/>
    <n v="0.37071091707942361"/>
    <s v="No"/>
    <n v="297046"/>
    <n v="53"/>
    <x v="2"/>
  </r>
  <r>
    <n v="1812"/>
    <s v="HOMBRE"/>
    <n v="292180369"/>
    <x v="0"/>
    <x v="1"/>
    <s v="SI"/>
    <s v="NO"/>
    <s v="NO"/>
    <n v="38"/>
    <n v="0.28086100744983278"/>
    <s v="No"/>
    <n v="4.4864336216384348"/>
    <s v="Sí"/>
    <n v="292180369"/>
    <n v="38"/>
    <x v="0"/>
  </r>
  <r>
    <n v="1813"/>
    <s v="HOMBRE"/>
    <n v="299647"/>
    <x v="2"/>
    <x v="1"/>
    <s v="SI"/>
    <s v="NO"/>
    <s v="NO"/>
    <n v="58"/>
    <n v="1.1306455940929174"/>
    <s v="No"/>
    <n v="0.37066763460334595"/>
    <s v="No"/>
    <n v="299647"/>
    <n v="58"/>
    <x v="2"/>
  </r>
  <r>
    <n v="1814"/>
    <s v="MUJER"/>
    <n v="385548"/>
    <x v="2"/>
    <x v="1"/>
    <s v="SI"/>
    <s v="SI"/>
    <s v="NO"/>
    <n v="55"/>
    <n v="0.91891960386150484"/>
    <s v="No"/>
    <n v="0.36923818132478231"/>
    <s v="No"/>
    <n v="385548"/>
    <n v="55"/>
    <x v="2"/>
  </r>
  <r>
    <n v="1815"/>
    <s v="MUJER"/>
    <n v="639148"/>
    <x v="3"/>
    <x v="1"/>
    <s v="SI"/>
    <s v="NO"/>
    <s v="NO"/>
    <n v="34"/>
    <n v="0.56316232775838282"/>
    <s v="No"/>
    <n v="0.36501809830544912"/>
    <s v="No"/>
    <n v="639148"/>
    <n v="34"/>
    <x v="3"/>
  </r>
  <r>
    <n v="1816"/>
    <s v="HOMBRE"/>
    <n v="20260091"/>
    <x v="0"/>
    <x v="1"/>
    <s v="SI"/>
    <s v="NO"/>
    <s v="NO"/>
    <n v="40"/>
    <n v="0.13971034729555773"/>
    <s v="No"/>
    <n v="3.8511756122465289E-2"/>
    <s v="No"/>
    <n v="20260091"/>
    <n v="40"/>
    <x v="0"/>
  </r>
  <r>
    <n v="1817"/>
    <s v="HOMBRE"/>
    <n v="594092"/>
    <x v="3"/>
    <x v="1"/>
    <s v="SI"/>
    <s v="NO"/>
    <s v="SI"/>
    <n v="61"/>
    <n v="1.3423715843243298"/>
    <s v="No"/>
    <n v="0.36576786195102906"/>
    <s v="No"/>
    <n v="594092"/>
    <n v="61"/>
    <x v="3"/>
  </r>
  <r>
    <n v="1818"/>
    <s v="MUJER"/>
    <n v="347514"/>
    <x v="0"/>
    <x v="1"/>
    <s v="SI"/>
    <s v="NO"/>
    <s v="SI"/>
    <n v="20"/>
    <n v="1.5512169488383079"/>
    <s v="No"/>
    <n v="0.3698710939334468"/>
    <s v="No"/>
    <n v="347514"/>
    <n v="20"/>
    <x v="0"/>
  </r>
  <r>
    <n v="1819"/>
    <s v="HOMBRE"/>
    <n v="356858"/>
    <x v="3"/>
    <x v="1"/>
    <s v="SI"/>
    <s v="NO"/>
    <s v="SI"/>
    <n v="42"/>
    <n v="1.4403128587172659E-3"/>
    <s v="No"/>
    <n v="0.36971560317740326"/>
    <s v="No"/>
    <n v="356858"/>
    <n v="42"/>
    <x v="3"/>
  </r>
  <r>
    <n v="1820"/>
    <s v="HOMBRE"/>
    <n v="387953"/>
    <x v="3"/>
    <x v="1"/>
    <s v="NO"/>
    <s v="NO"/>
    <s v="SI"/>
    <n v="32"/>
    <n v="0.70431298791265773"/>
    <s v="No"/>
    <n v="0.36919816042706349"/>
    <s v="No"/>
    <n v="387953"/>
    <n v="32"/>
    <x v="3"/>
  </r>
  <r>
    <n v="1821"/>
    <s v="HOMBRE"/>
    <n v="1742310"/>
    <x v="0"/>
    <x v="1"/>
    <s v="SI"/>
    <s v="NO"/>
    <s v="NO"/>
    <n v="28"/>
    <n v="0.98661430822120777"/>
    <s v="No"/>
    <n v="0.34666070388993786"/>
    <s v="No"/>
    <n v="1742310"/>
    <n v="28"/>
    <x v="0"/>
  </r>
  <r>
    <n v="1822"/>
    <s v="HOMBRE"/>
    <n v="550000"/>
    <x v="0"/>
    <x v="1"/>
    <s v="SI"/>
    <s v="NO"/>
    <s v="NO"/>
    <n v="28"/>
    <n v="0.98661430822120777"/>
    <s v="No"/>
    <n v="0.36650158395610966"/>
    <s v="No"/>
    <n v="550000"/>
    <n v="28"/>
    <x v="0"/>
  </r>
  <r>
    <n v="1823"/>
    <s v="HOMBRE"/>
    <n v="1524359"/>
    <x v="0"/>
    <x v="0"/>
    <s v="SI"/>
    <s v="NO"/>
    <s v="SI"/>
    <n v="51"/>
    <n v="0.6366182835529548"/>
    <s v="No"/>
    <n v="0.35028756238420711"/>
    <s v="No"/>
    <n v="1524359"/>
    <n v="51"/>
    <x v="0"/>
  </r>
  <r>
    <n v="1824"/>
    <s v="MUJER"/>
    <n v="50000"/>
    <x v="0"/>
    <x v="1"/>
    <s v="SI"/>
    <s v="SI"/>
    <s v="NO"/>
    <n v="35"/>
    <n v="0.49258699768124525"/>
    <s v="No"/>
    <n v="0.37482193691220822"/>
    <s v="No"/>
    <n v="50000"/>
    <n v="35"/>
    <x v="0"/>
  </r>
  <r>
    <n v="1825"/>
    <s v="MUJER"/>
    <n v="310124"/>
    <x v="2"/>
    <x v="1"/>
    <s v="SI"/>
    <s v="NO"/>
    <s v="SI"/>
    <n v="32"/>
    <n v="0.70431298791265773"/>
    <s v="No"/>
    <n v="0.37049328992750385"/>
    <s v="No"/>
    <n v="310124"/>
    <n v="32"/>
    <x v="2"/>
  </r>
  <r>
    <n v="1826"/>
    <s v="HOMBRE"/>
    <n v="216200"/>
    <x v="0"/>
    <x v="1"/>
    <s v="SI"/>
    <s v="SI"/>
    <s v="SI"/>
    <n v="29"/>
    <n v="0.91603897814407031"/>
    <s v="No"/>
    <n v="0.37205625158960109"/>
    <s v="No"/>
    <n v="216200"/>
    <n v="29"/>
    <x v="0"/>
  </r>
  <r>
    <n v="1827"/>
    <s v="MUJER"/>
    <n v="577181"/>
    <x v="0"/>
    <x v="0"/>
    <s v="SI"/>
    <s v="NO"/>
    <s v="SI"/>
    <n v="55"/>
    <n v="0.91891960386150484"/>
    <s v="No"/>
    <n v="0.3660492729287102"/>
    <s v="No"/>
    <n v="577181"/>
    <n v="55"/>
    <x v="0"/>
  </r>
  <r>
    <n v="1828"/>
    <s v="MUJER"/>
    <n v="71987323"/>
    <x v="0"/>
    <x v="1"/>
    <s v="SI"/>
    <s v="NO"/>
    <s v="NO"/>
    <n v="26"/>
    <n v="1.1277649683754829"/>
    <s v="No"/>
    <n v="0.82226589924152971"/>
    <s v="No"/>
    <n v="71987323"/>
    <n v="26"/>
    <x v="0"/>
  </r>
  <r>
    <n v="1829"/>
    <s v="MUJER"/>
    <n v="62520197"/>
    <x v="0"/>
    <x v="1"/>
    <s v="SI"/>
    <s v="NO"/>
    <s v="NO"/>
    <n v="24"/>
    <n v="1.2689156285297578"/>
    <s v="No"/>
    <n v="0.6647262396418141"/>
    <s v="No"/>
    <n v="62520197"/>
    <n v="24"/>
    <x v="0"/>
  </r>
  <r>
    <n v="1830"/>
    <s v="HOMBRE"/>
    <n v="294101"/>
    <x v="0"/>
    <x v="1"/>
    <s v="SI"/>
    <s v="NO"/>
    <s v="NO"/>
    <n v="25"/>
    <n v="1.1983402984526204"/>
    <s v="No"/>
    <n v="0.37075992395833501"/>
    <s v="No"/>
    <n v="294101"/>
    <n v="25"/>
    <x v="0"/>
  </r>
  <r>
    <n v="1831"/>
    <s v="MUJER"/>
    <n v="278272"/>
    <x v="2"/>
    <x v="1"/>
    <s v="SI"/>
    <s v="NO"/>
    <s v="NO"/>
    <n v="25"/>
    <n v="1.1983402984526204"/>
    <s v="No"/>
    <n v="0.37102332969221918"/>
    <s v="No"/>
    <n v="278272"/>
    <n v="25"/>
    <x v="2"/>
  </r>
  <r>
    <n v="1832"/>
    <s v="MUJER"/>
    <n v="370275"/>
    <x v="0"/>
    <x v="1"/>
    <s v="SI"/>
    <s v="NO"/>
    <s v="NO"/>
    <n v="36"/>
    <n v="0.42201166760410774"/>
    <s v="No"/>
    <n v="0.36949233482617927"/>
    <s v="No"/>
    <n v="370275"/>
    <n v="36"/>
    <x v="0"/>
  </r>
  <r>
    <n v="1833"/>
    <s v="HOMBRE"/>
    <n v="50332968"/>
    <x v="0"/>
    <x v="1"/>
    <s v="SI"/>
    <s v="SI"/>
    <s v="NO"/>
    <n v="26"/>
    <n v="1.1277649683754829"/>
    <s v="No"/>
    <n v="0.46192214596821324"/>
    <s v="No"/>
    <n v="50332968"/>
    <n v="26"/>
    <x v="0"/>
  </r>
  <r>
    <n v="1834"/>
    <s v="HOMBRE"/>
    <n v="43298625"/>
    <x v="0"/>
    <x v="1"/>
    <s v="SI"/>
    <s v="SI"/>
    <s v="NO"/>
    <n v="45"/>
    <n v="0.21316630309012977"/>
    <s v="No"/>
    <n v="0.34486571281969042"/>
    <s v="No"/>
    <n v="43298625"/>
    <n v="45"/>
    <x v="0"/>
  </r>
  <r>
    <n v="1835"/>
    <s v="HOMBRE"/>
    <n v="346480"/>
    <x v="0"/>
    <x v="1"/>
    <s v="SI"/>
    <s v="NO"/>
    <s v="NO"/>
    <n v="25"/>
    <n v="1.1983402984526204"/>
    <s v="No"/>
    <n v="0.36988830042336002"/>
    <s v="No"/>
    <n v="346480"/>
    <n v="25"/>
    <x v="0"/>
  </r>
  <r>
    <n v="1836"/>
    <s v="HOMBRE"/>
    <n v="903246"/>
    <x v="0"/>
    <x v="0"/>
    <s v="SI"/>
    <s v="NO"/>
    <s v="NO"/>
    <n v="34"/>
    <n v="0.56316232775838282"/>
    <s v="No"/>
    <n v="0.36062332115544965"/>
    <s v="No"/>
    <n v="903246"/>
    <n v="34"/>
    <x v="0"/>
  </r>
  <r>
    <n v="1837"/>
    <s v="HOMBRE"/>
    <n v="320283"/>
    <x v="3"/>
    <x v="1"/>
    <s v="SI"/>
    <s v="NO"/>
    <s v="SI"/>
    <n v="24"/>
    <n v="1.2689156285297578"/>
    <s v="No"/>
    <n v="0.37032423699614186"/>
    <s v="No"/>
    <n v="320283"/>
    <n v="24"/>
    <x v="3"/>
  </r>
  <r>
    <n v="1838"/>
    <s v="MUJER"/>
    <n v="297045"/>
    <x v="2"/>
    <x v="1"/>
    <s v="SI"/>
    <s v="NO"/>
    <s v="NO"/>
    <n v="41"/>
    <n v="6.9135017218420233E-2"/>
    <s v="No"/>
    <n v="0.37071093372012948"/>
    <s v="No"/>
    <n v="297045"/>
    <n v="41"/>
    <x v="2"/>
  </r>
  <r>
    <n v="1839"/>
    <s v="MUJER"/>
    <n v="1019557"/>
    <x v="0"/>
    <x v="0"/>
    <s v="SI"/>
    <s v="NO"/>
    <s v="NO"/>
    <n v="33"/>
    <n v="0.63373765783552027"/>
    <s v="No"/>
    <n v="0.35868782401009608"/>
    <s v="No"/>
    <n v="1019557"/>
    <n v="33"/>
    <x v="0"/>
  </r>
  <r>
    <n v="1840"/>
    <s v="HOMBRE"/>
    <n v="37044066"/>
    <x v="0"/>
    <x v="1"/>
    <s v="SI"/>
    <s v="NO"/>
    <s v="NO"/>
    <n v="42"/>
    <n v="1.4403128587172659E-3"/>
    <s v="No"/>
    <n v="0.24078543589020432"/>
    <s v="No"/>
    <n v="37044066"/>
    <n v="42"/>
    <x v="0"/>
  </r>
  <r>
    <n v="1841"/>
    <s v="MUJER"/>
    <n v="133838"/>
    <x v="0"/>
    <x v="1"/>
    <s v="SI"/>
    <s v="NO"/>
    <s v="NO"/>
    <n v="53"/>
    <n v="0.77776894370722982"/>
    <s v="No"/>
    <n v="0.37342681340994144"/>
    <s v="No"/>
    <n v="133838"/>
    <n v="53"/>
    <x v="0"/>
  </r>
  <r>
    <n v="1842"/>
    <s v="HOMBRE"/>
    <n v="157851116"/>
    <x v="0"/>
    <x v="1"/>
    <s v="SI"/>
    <s v="NO"/>
    <s v="NO"/>
    <n v="36"/>
    <n v="0.42201166760410774"/>
    <s v="No"/>
    <n v="2.2511000270603043"/>
    <s v="Sí"/>
    <n v="157851116"/>
    <n v="36"/>
    <x v="0"/>
  </r>
  <r>
    <n v="1843"/>
    <s v="HOMBRE"/>
    <n v="639148"/>
    <x v="3"/>
    <x v="1"/>
    <s v="SI"/>
    <s v="NO"/>
    <s v="NO"/>
    <n v="45"/>
    <n v="0.21316630309012977"/>
    <s v="No"/>
    <n v="0.36501809830544912"/>
    <s v="No"/>
    <n v="639148"/>
    <n v="45"/>
    <x v="3"/>
  </r>
  <r>
    <n v="1844"/>
    <s v="HOMBRE"/>
    <n v="300018"/>
    <x v="3"/>
    <x v="1"/>
    <s v="SI"/>
    <s v="NO"/>
    <s v="SI"/>
    <n v="42"/>
    <n v="1.4403128587172659E-3"/>
    <s v="No"/>
    <n v="0.37066146090145252"/>
    <s v="No"/>
    <n v="300018"/>
    <n v="42"/>
    <x v="3"/>
  </r>
  <r>
    <n v="1845"/>
    <s v="MUJER"/>
    <n v="390000"/>
    <x v="0"/>
    <x v="1"/>
    <s v="SI"/>
    <s v="NO"/>
    <s v="NO"/>
    <n v="32"/>
    <n v="0.70431298791265773"/>
    <s v="No"/>
    <n v="0.3691640969020612"/>
    <s v="No"/>
    <n v="390000"/>
    <n v="32"/>
    <x v="0"/>
  </r>
  <r>
    <n v="1846"/>
    <s v="HOMBRE"/>
    <n v="299784"/>
    <x v="2"/>
    <x v="1"/>
    <s v="SI"/>
    <s v="NO"/>
    <s v="NO"/>
    <n v="59"/>
    <n v="1.2012209241700549"/>
    <s v="No"/>
    <n v="0.37066535482663598"/>
    <s v="No"/>
    <n v="299784"/>
    <n v="59"/>
    <x v="2"/>
  </r>
  <r>
    <n v="1847"/>
    <s v="HOMBRE"/>
    <n v="648421"/>
    <x v="0"/>
    <x v="1"/>
    <s v="SI"/>
    <s v="NO"/>
    <s v="NO"/>
    <n v="53"/>
    <n v="0.77776894370722982"/>
    <s v="No"/>
    <n v="0.36486378903952532"/>
    <s v="No"/>
    <n v="648421"/>
    <n v="53"/>
    <x v="0"/>
  </r>
  <r>
    <n v="1848"/>
    <s v="MUJER"/>
    <n v="298018"/>
    <x v="3"/>
    <x v="1"/>
    <s v="SI"/>
    <s v="NO"/>
    <s v="SI"/>
    <n v="54"/>
    <n v="0.84834427378436728"/>
    <s v="No"/>
    <n v="0.37069474231327693"/>
    <s v="No"/>
    <n v="298018"/>
    <n v="54"/>
    <x v="3"/>
  </r>
  <r>
    <n v="1849"/>
    <s v="MUJER"/>
    <n v="299046"/>
    <x v="3"/>
    <x v="1"/>
    <s v="SI"/>
    <s v="SI"/>
    <s v="NO"/>
    <n v="40"/>
    <n v="0.13971034729555773"/>
    <s v="No"/>
    <n v="0.3706776356675992"/>
    <s v="No"/>
    <n v="299046"/>
    <n v="40"/>
    <x v="3"/>
  </r>
  <r>
    <n v="1850"/>
    <s v="HOMBRE"/>
    <n v="472038"/>
    <x v="0"/>
    <x v="1"/>
    <s v="SI"/>
    <s v="NO"/>
    <s v="NO"/>
    <n v="28"/>
    <n v="0.98661430822120777"/>
    <s v="No"/>
    <n v="0.3677989266704364"/>
    <s v="No"/>
    <n v="472038"/>
    <n v="28"/>
    <x v="0"/>
  </r>
  <r>
    <n v="1851"/>
    <s v="HOMBRE"/>
    <n v="15098035"/>
    <x v="0"/>
    <x v="0"/>
    <s v="SI"/>
    <s v="NO"/>
    <s v="NO"/>
    <n v="34"/>
    <n v="0.56316232775838282"/>
    <s v="No"/>
    <n v="0.12441201192075819"/>
    <s v="No"/>
    <n v="15098035"/>
    <n v="34"/>
    <x v="0"/>
  </r>
  <r>
    <n v="1852"/>
    <s v="MUJER"/>
    <n v="278030"/>
    <x v="2"/>
    <x v="1"/>
    <s v="SI"/>
    <s v="NO"/>
    <s v="NO"/>
    <n v="37"/>
    <n v="0.35143633752697023"/>
    <s v="No"/>
    <n v="0.37102735674304993"/>
    <s v="No"/>
    <n v="278030"/>
    <n v="37"/>
    <x v="2"/>
  </r>
  <r>
    <n v="1853"/>
    <s v="MUJER"/>
    <n v="259800"/>
    <x v="0"/>
    <x v="1"/>
    <s v="SI"/>
    <s v="NO"/>
    <s v="NO"/>
    <n v="38"/>
    <n v="0.28086100744983278"/>
    <s v="No"/>
    <n v="0.37133071681182928"/>
    <s v="No"/>
    <n v="259800"/>
    <n v="38"/>
    <x v="0"/>
  </r>
  <r>
    <n v="1854"/>
    <s v="HOMBRE"/>
    <n v="973600"/>
    <x v="0"/>
    <x v="1"/>
    <s v="SI"/>
    <s v="NO"/>
    <s v="NO"/>
    <n v="25"/>
    <n v="1.1983402984526204"/>
    <s v="No"/>
    <n v="0.35945258093170296"/>
    <s v="No"/>
    <n v="973600"/>
    <n v="25"/>
    <x v="0"/>
  </r>
  <r>
    <n v="1855"/>
    <s v="HOMBRE"/>
    <n v="485399151"/>
    <x v="0"/>
    <x v="1"/>
    <s v="SI"/>
    <s v="NO"/>
    <s v="NO"/>
    <n v="43"/>
    <n v="7.2015642935854773E-2"/>
    <s v="No"/>
    <n v="7.7017305496133721"/>
    <s v="Sí"/>
    <n v="485399151"/>
    <n v="43"/>
    <x v="0"/>
  </r>
  <r>
    <n v="1856"/>
    <s v="HOMBRE"/>
    <n v="849678"/>
    <x v="3"/>
    <x v="1"/>
    <s v="SI"/>
    <s v="NO"/>
    <s v="SI"/>
    <n v="51"/>
    <n v="0.6366182835529548"/>
    <s v="No"/>
    <n v="0.36151473048975424"/>
    <s v="No"/>
    <n v="849678"/>
    <n v="51"/>
    <x v="3"/>
  </r>
  <r>
    <n v="1857"/>
    <s v="HOMBRE"/>
    <n v="200000"/>
    <x v="0"/>
    <x v="1"/>
    <s v="SI"/>
    <s v="NO"/>
    <s v="SI"/>
    <n v="58"/>
    <n v="1.1306455940929174"/>
    <s v="No"/>
    <n v="0.3723258310253787"/>
    <s v="No"/>
    <n v="200000"/>
    <n v="58"/>
    <x v="0"/>
  </r>
  <r>
    <n v="1858"/>
    <s v="HOMBRE"/>
    <n v="184239971"/>
    <x v="0"/>
    <x v="0"/>
    <s v="SI"/>
    <s v="NO"/>
    <s v="NO"/>
    <n v="51"/>
    <n v="0.6366182835529548"/>
    <s v="No"/>
    <n v="2.6902292024749181"/>
    <s v="Sí"/>
    <n v="184239971"/>
    <n v="51"/>
    <x v="0"/>
  </r>
  <r>
    <n v="1859"/>
    <s v="HOMBRE"/>
    <n v="30310"/>
    <x v="0"/>
    <x v="1"/>
    <s v="SI"/>
    <s v="NO"/>
    <s v="SI"/>
    <n v="34"/>
    <n v="0.56316232775838282"/>
    <s v="No"/>
    <n v="0.37514959241161944"/>
    <s v="No"/>
    <n v="30310"/>
    <n v="34"/>
    <x v="0"/>
  </r>
  <r>
    <n v="1860"/>
    <s v="MUJER"/>
    <n v="359545"/>
    <x v="0"/>
    <x v="1"/>
    <s v="SI"/>
    <s v="NO"/>
    <s v="NO"/>
    <n v="27"/>
    <n v="1.0571896382983452"/>
    <s v="No"/>
    <n v="0.36967088960061717"/>
    <s v="No"/>
    <n v="359545"/>
    <n v="27"/>
    <x v="0"/>
  </r>
  <r>
    <n v="1861"/>
    <s v="HOMBRE"/>
    <n v="55592049"/>
    <x v="0"/>
    <x v="1"/>
    <s v="SI"/>
    <s v="SI"/>
    <s v="NO"/>
    <n v="47"/>
    <n v="0.35431696324440481"/>
    <s v="No"/>
    <n v="0.54943696625763705"/>
    <s v="No"/>
    <n v="55592049"/>
    <n v="47"/>
    <x v="0"/>
  </r>
  <r>
    <n v="1862"/>
    <s v="MUJER"/>
    <n v="297046"/>
    <x v="3"/>
    <x v="1"/>
    <s v="SI"/>
    <s v="NO"/>
    <s v="SI"/>
    <n v="25"/>
    <n v="1.1983402984526204"/>
    <s v="No"/>
    <n v="0.37071091707942361"/>
    <s v="No"/>
    <n v="297046"/>
    <n v="25"/>
    <x v="3"/>
  </r>
  <r>
    <n v="1863"/>
    <s v="HOMBRE"/>
    <n v="31791558"/>
    <x v="0"/>
    <x v="1"/>
    <s v="SI"/>
    <s v="NO"/>
    <s v="NO"/>
    <n v="49"/>
    <n v="0.49546762339867978"/>
    <s v="No"/>
    <n v="0.15337999496074137"/>
    <s v="No"/>
    <n v="31791558"/>
    <n v="49"/>
    <x v="0"/>
  </r>
  <r>
    <n v="1864"/>
    <s v="HOMBRE"/>
    <n v="297045"/>
    <x v="2"/>
    <x v="1"/>
    <s v="SI"/>
    <s v="NO"/>
    <s v="SI"/>
    <n v="49"/>
    <n v="0.49546762339867978"/>
    <s v="No"/>
    <n v="0.37071093372012948"/>
    <s v="No"/>
    <n v="297045"/>
    <n v="49"/>
    <x v="2"/>
  </r>
  <r>
    <n v="1865"/>
    <s v="MUJER"/>
    <n v="10941196"/>
    <x v="0"/>
    <x v="0"/>
    <s v="SI"/>
    <s v="NO"/>
    <s v="NO"/>
    <n v="49"/>
    <n v="0.49546762339867978"/>
    <s v="No"/>
    <n v="0.19358474724411001"/>
    <s v="No"/>
    <n v="10941196"/>
    <n v="49"/>
    <x v="0"/>
  </r>
  <r>
    <n v="1866"/>
    <s v="HOMBRE"/>
    <n v="276587"/>
    <x v="0"/>
    <x v="1"/>
    <s v="SI"/>
    <s v="NO"/>
    <s v="NO"/>
    <n v="34"/>
    <n v="0.56316232775838282"/>
    <s v="No"/>
    <n v="0.3710513692816812"/>
    <s v="No"/>
    <n v="276587"/>
    <n v="34"/>
    <x v="0"/>
  </r>
  <r>
    <n v="1867"/>
    <s v="HOMBRE"/>
    <n v="91835177"/>
    <x v="0"/>
    <x v="1"/>
    <s v="SI"/>
    <s v="NO"/>
    <s v="NO"/>
    <n v="33"/>
    <n v="0.63373765783552027"/>
    <s v="No"/>
    <n v="1.152548200643756"/>
    <s v="No"/>
    <n v="91835177"/>
    <n v="33"/>
    <x v="0"/>
  </r>
  <r>
    <n v="1868"/>
    <s v="HOMBRE"/>
    <n v="639148"/>
    <x v="3"/>
    <x v="1"/>
    <s v="SI"/>
    <s v="NO"/>
    <s v="SI"/>
    <n v="57"/>
    <n v="1.0600702640157798"/>
    <s v="No"/>
    <n v="0.36501809830544912"/>
    <s v="No"/>
    <n v="639148"/>
    <n v="57"/>
    <x v="3"/>
  </r>
  <r>
    <n v="1869"/>
    <s v="HOMBRE"/>
    <n v="4142255"/>
    <x v="0"/>
    <x v="1"/>
    <s v="SI"/>
    <s v="NO"/>
    <s v="NO"/>
    <n v="63"/>
    <n v="1.4835222444786049"/>
    <s v="No"/>
    <n v="0.3067239249394898"/>
    <s v="No"/>
    <n v="4142255"/>
    <n v="63"/>
    <x v="0"/>
  </r>
  <r>
    <n v="1870"/>
    <s v="HOMBRE"/>
    <n v="8521945"/>
    <x v="0"/>
    <x v="1"/>
    <s v="SI"/>
    <s v="NO"/>
    <s v="NO"/>
    <n v="47"/>
    <n v="0.35431696324440481"/>
    <s v="No"/>
    <n v="0.23384279166289892"/>
    <s v="No"/>
    <n v="8521945"/>
    <n v="47"/>
    <x v="0"/>
  </r>
  <r>
    <n v="1871"/>
    <s v="HOMBRE"/>
    <n v="399647"/>
    <x v="3"/>
    <x v="1"/>
    <s v="SI"/>
    <s v="NO"/>
    <s v="NO"/>
    <n v="58"/>
    <n v="1.1306455940929174"/>
    <s v="No"/>
    <n v="0.36900356401212625"/>
    <s v="No"/>
    <n v="399647"/>
    <n v="58"/>
    <x v="3"/>
  </r>
  <r>
    <n v="1872"/>
    <s v="MUJER"/>
    <n v="5743876"/>
    <x v="0"/>
    <x v="0"/>
    <s v="SI"/>
    <s v="NO"/>
    <s v="NO"/>
    <n v="54"/>
    <n v="0.84834427378436728"/>
    <s v="No"/>
    <n v="0.28007182089569066"/>
    <s v="No"/>
    <n v="5743876"/>
    <n v="54"/>
    <x v="0"/>
  </r>
  <r>
    <n v="1873"/>
    <s v="MUJER"/>
    <n v="55098874"/>
    <x v="0"/>
    <x v="0"/>
    <s v="SI"/>
    <s v="NO"/>
    <s v="NO"/>
    <n v="47"/>
    <n v="0.35431696324440481"/>
    <s v="No"/>
    <n v="0.54123018611938922"/>
    <s v="No"/>
    <n v="55098874"/>
    <n v="47"/>
    <x v="0"/>
  </r>
  <r>
    <n v="1874"/>
    <s v="HOMBRE"/>
    <n v="738540"/>
    <x v="0"/>
    <x v="1"/>
    <s v="SI"/>
    <s v="NO"/>
    <s v="NO"/>
    <n v="36"/>
    <n v="0.42201166760410774"/>
    <s v="No"/>
    <n v="0.36336414526342398"/>
    <s v="No"/>
    <n v="738540"/>
    <n v="36"/>
    <x v="0"/>
  </r>
  <r>
    <n v="1875"/>
    <s v="MUJER"/>
    <n v="955500"/>
    <x v="0"/>
    <x v="1"/>
    <s v="SI"/>
    <s v="NO"/>
    <s v="NO"/>
    <n v="45"/>
    <n v="0.21316630309012977"/>
    <s v="No"/>
    <n v="0.3597537777087137"/>
    <s v="No"/>
    <n v="955500"/>
    <n v="45"/>
    <x v="0"/>
  </r>
  <r>
    <n v="1876"/>
    <s v="HOMBRE"/>
    <n v="5222876"/>
    <x v="0"/>
    <x v="1"/>
    <s v="SI"/>
    <s v="NO"/>
    <s v="NO"/>
    <n v="36"/>
    <n v="0.42201166760410774"/>
    <s v="No"/>
    <n v="0.28874162867594538"/>
    <s v="No"/>
    <n v="5222876"/>
    <n v="36"/>
    <x v="0"/>
  </r>
  <r>
    <n v="1877"/>
    <s v="MUJER"/>
    <n v="34296837"/>
    <x v="0"/>
    <x v="1"/>
    <s v="SI"/>
    <s v="NO"/>
    <s v="NO"/>
    <n v="43"/>
    <n v="7.2015642935854773E-2"/>
    <s v="No"/>
    <n v="0.19506960602774479"/>
    <s v="No"/>
    <n v="34296837"/>
    <n v="43"/>
    <x v="0"/>
  </r>
  <r>
    <n v="1878"/>
    <s v="MUJER"/>
    <n v="619612"/>
    <x v="3"/>
    <x v="1"/>
    <s v="SI"/>
    <s v="NO"/>
    <s v="NO"/>
    <n v="40"/>
    <n v="0.13971034729555773"/>
    <s v="No"/>
    <n v="0.36534319113614977"/>
    <s v="No"/>
    <n v="619612"/>
    <n v="40"/>
    <x v="3"/>
  </r>
  <r>
    <n v="1879"/>
    <s v="HOMBRE"/>
    <n v="95275345"/>
    <x v="1"/>
    <x v="0"/>
    <s v="SI"/>
    <s v="NO"/>
    <s v="NO"/>
    <n v="86"/>
    <n v="3.1067548362527675"/>
    <s v="Sí"/>
    <n v="1.2097950246203075"/>
    <s v="No"/>
    <n v="95275345"/>
    <n v="86"/>
    <x v="1"/>
  </r>
  <r>
    <n v="1880"/>
    <s v="MUJER"/>
    <n v="422091"/>
    <x v="3"/>
    <x v="1"/>
    <s v="SI"/>
    <s v="NO"/>
    <s v="NO"/>
    <n v="36"/>
    <n v="0.42201166760410774"/>
    <s v="No"/>
    <n v="0.3686300800086329"/>
    <s v="No"/>
    <n v="422091"/>
    <n v="36"/>
    <x v="3"/>
  </r>
  <r>
    <n v="1881"/>
    <s v="HOMBRE"/>
    <n v="150000"/>
    <x v="0"/>
    <x v="1"/>
    <s v="SI"/>
    <s v="NO"/>
    <s v="NO"/>
    <n v="73"/>
    <n v="2.1892755452499797"/>
    <s v="Sí"/>
    <n v="0.37315786632098852"/>
    <s v="No"/>
    <n v="150000"/>
    <n v="73"/>
    <x v="0"/>
  </r>
  <r>
    <n v="1882"/>
    <s v="HOMBRE"/>
    <n v="10500"/>
    <x v="0"/>
    <x v="1"/>
    <s v="SI"/>
    <s v="SI"/>
    <s v="NO"/>
    <n v="29"/>
    <n v="0.91603897814407031"/>
    <s v="No"/>
    <n v="0.37547924479574002"/>
    <s v="No"/>
    <n v="10500"/>
    <n v="29"/>
    <x v="0"/>
  </r>
  <r>
    <n v="1883"/>
    <s v="HOMBRE"/>
    <n v="27803099"/>
    <x v="4"/>
    <x v="1"/>
    <s v="SI"/>
    <s v="NO"/>
    <s v="NO"/>
    <n v="37"/>
    <n v="0.35143633752697023"/>
    <s v="No"/>
    <n v="8.7009221698885322E-2"/>
    <s v="No"/>
    <n v="27803099"/>
    <n v="37"/>
    <x v="4"/>
  </r>
  <r>
    <n v="1884"/>
    <s v="MUJER"/>
    <n v="756240"/>
    <x v="0"/>
    <x v="0"/>
    <s v="SI"/>
    <s v="NO"/>
    <s v="SI"/>
    <n v="64"/>
    <n v="1.5540975745557424"/>
    <s v="No"/>
    <n v="0.36306960476877809"/>
    <s v="No"/>
    <n v="756240"/>
    <n v="64"/>
    <x v="0"/>
  </r>
  <r>
    <n v="1885"/>
    <s v="HOMBRE"/>
    <n v="600000"/>
    <x v="0"/>
    <x v="1"/>
    <s v="SI"/>
    <s v="NO"/>
    <s v="SI"/>
    <n v="53"/>
    <n v="0.77776894370722982"/>
    <s v="No"/>
    <n v="0.36566954866049978"/>
    <s v="No"/>
    <n v="600000"/>
    <n v="53"/>
    <x v="0"/>
  </r>
  <r>
    <n v="1886"/>
    <s v="HOMBRE"/>
    <n v="35954427"/>
    <x v="6"/>
    <x v="1"/>
    <s v="SI"/>
    <s v="SI"/>
    <s v="NO"/>
    <n v="26"/>
    <n v="1.1277649683754829"/>
    <s v="No"/>
    <n v="0.22265307374074372"/>
    <s v="No"/>
    <n v="35954427"/>
    <n v="26"/>
    <x v="5"/>
  </r>
  <r>
    <n v="1887"/>
    <s v="HOMBRE"/>
    <n v="529650"/>
    <x v="0"/>
    <x v="1"/>
    <s v="SI"/>
    <s v="NO"/>
    <s v="NO"/>
    <n v="55"/>
    <n v="0.91891960386150484"/>
    <s v="No"/>
    <n v="0.36684022232142288"/>
    <s v="No"/>
    <n v="529650"/>
    <n v="55"/>
    <x v="0"/>
  </r>
  <r>
    <n v="1888"/>
    <s v="HOMBRE"/>
    <n v="40696663"/>
    <x v="0"/>
    <x v="1"/>
    <s v="SI"/>
    <s v="NO"/>
    <s v="NO"/>
    <n v="37"/>
    <n v="0.35143633752697023"/>
    <s v="No"/>
    <n v="0.301567228382978"/>
    <s v="No"/>
    <n v="40696663"/>
    <n v="37"/>
    <x v="0"/>
  </r>
  <r>
    <n v="1889"/>
    <s v="HOMBRE"/>
    <n v="185000"/>
    <x v="0"/>
    <x v="1"/>
    <s v="SI"/>
    <s v="NO"/>
    <s v="NO"/>
    <n v="36"/>
    <n v="0.42201166760410774"/>
    <s v="No"/>
    <n v="0.37257544161406164"/>
    <s v="No"/>
    <n v="185000"/>
    <n v="36"/>
    <x v="0"/>
  </r>
  <r>
    <n v="1890"/>
    <s v="MUJER"/>
    <n v="29915238"/>
    <x v="0"/>
    <x v="0"/>
    <s v="SI"/>
    <s v="NO"/>
    <s v="NO"/>
    <n v="36"/>
    <n v="0.42201166760410774"/>
    <s v="No"/>
    <n v="0.12215670564356755"/>
    <s v="No"/>
    <n v="29915238"/>
    <n v="36"/>
    <x v="0"/>
  </r>
  <r>
    <n v="1891"/>
    <s v="HOMBRE"/>
    <n v="170502"/>
    <x v="0"/>
    <x v="1"/>
    <s v="SI"/>
    <s v="NO"/>
    <s v="NO"/>
    <n v="64"/>
    <n v="1.5540975745557424"/>
    <s v="No"/>
    <n v="0.37281669856837668"/>
    <s v="No"/>
    <n v="170502"/>
    <n v="64"/>
    <x v="0"/>
  </r>
  <r>
    <n v="1892"/>
    <s v="MUJER"/>
    <n v="758880"/>
    <x v="0"/>
    <x v="1"/>
    <s v="SI"/>
    <s v="NO"/>
    <s v="NO"/>
    <n v="27"/>
    <n v="1.0571896382983452"/>
    <s v="No"/>
    <n v="0.36302567330516994"/>
    <s v="No"/>
    <n v="758880"/>
    <n v="27"/>
    <x v="0"/>
  </r>
  <r>
    <n v="1893"/>
    <s v="MUJER"/>
    <n v="345600"/>
    <x v="0"/>
    <x v="1"/>
    <s v="SI"/>
    <s v="NO"/>
    <s v="NO"/>
    <n v="23"/>
    <n v="1.3394909586068953"/>
    <s v="No"/>
    <n v="0.36990294424456277"/>
    <s v="No"/>
    <n v="345600"/>
    <n v="23"/>
    <x v="0"/>
  </r>
  <r>
    <n v="1894"/>
    <s v="HOMBRE"/>
    <n v="30933333"/>
    <x v="0"/>
    <x v="1"/>
    <s v="SI"/>
    <s v="NO"/>
    <s v="SI"/>
    <n v="61"/>
    <n v="1.3423715843243298"/>
    <s v="No"/>
    <n v="0.13909852512924595"/>
    <s v="No"/>
    <n v="30933333"/>
    <n v="61"/>
    <x v="0"/>
  </r>
  <r>
    <n v="1895"/>
    <s v="MUJER"/>
    <n v="1188000"/>
    <x v="0"/>
    <x v="1"/>
    <s v="SI"/>
    <s v="NO"/>
    <s v="NO"/>
    <n v="27"/>
    <n v="1.0571896382983452"/>
    <s v="No"/>
    <n v="0.35588481358412788"/>
    <s v="No"/>
    <n v="1188000"/>
    <n v="27"/>
    <x v="0"/>
  </r>
  <r>
    <n v="1896"/>
    <s v="MUJER"/>
    <n v="444296054"/>
    <x v="0"/>
    <x v="1"/>
    <s v="SI"/>
    <s v="NO"/>
    <s v="NO"/>
    <n v="34"/>
    <n v="0.56316232775838282"/>
    <s v="No"/>
    <n v="7.0177460003558583"/>
    <s v="Sí"/>
    <n v="444296054"/>
    <n v="34"/>
    <x v="0"/>
  </r>
  <r>
    <n v="1897"/>
    <s v="HOMBRE"/>
    <n v="451891"/>
    <x v="3"/>
    <x v="1"/>
    <s v="SI"/>
    <s v="NO"/>
    <s v="SI"/>
    <n v="46"/>
    <n v="0.2837416331672673"/>
    <s v="No"/>
    <n v="0.36813418697244943"/>
    <s v="No"/>
    <n v="451891"/>
    <n v="46"/>
    <x v="3"/>
  </r>
  <r>
    <n v="1898"/>
    <s v="MUJER"/>
    <n v="1103237"/>
    <x v="0"/>
    <x v="0"/>
    <s v="SI"/>
    <s v="NO"/>
    <s v="SI"/>
    <n v="30"/>
    <n v="0.84546364806693275"/>
    <s v="No"/>
    <n v="0.35729532973936345"/>
    <s v="No"/>
    <n v="1103237"/>
    <n v="30"/>
    <x v="0"/>
  </r>
  <r>
    <n v="1899"/>
    <s v="HOMBRE"/>
    <n v="387468"/>
    <x v="0"/>
    <x v="0"/>
    <s v="SI"/>
    <s v="NO"/>
    <s v="NO"/>
    <n v="32"/>
    <n v="0.70431298791265773"/>
    <s v="No"/>
    <n v="0.36920623116943091"/>
    <s v="No"/>
    <n v="387468"/>
    <n v="32"/>
    <x v="0"/>
  </r>
  <r>
    <n v="1900"/>
    <s v="MUJER"/>
    <n v="594092"/>
    <x v="3"/>
    <x v="1"/>
    <s v="SI"/>
    <s v="NO"/>
    <s v="NO"/>
    <n v="57"/>
    <n v="1.0600702640157798"/>
    <s v="No"/>
    <n v="0.36576786195102906"/>
    <s v="No"/>
    <n v="594092"/>
    <n v="57"/>
    <x v="3"/>
  </r>
  <r>
    <n v="1901"/>
    <s v="MUJER"/>
    <n v="299647"/>
    <x v="2"/>
    <x v="1"/>
    <s v="SI"/>
    <s v="NO"/>
    <s v="NO"/>
    <n v="78"/>
    <n v="2.5421521956356674"/>
    <s v="Sí"/>
    <n v="0.37066763460334595"/>
    <s v="No"/>
    <n v="299647"/>
    <n v="78"/>
    <x v="2"/>
  </r>
  <r>
    <n v="1902"/>
    <s v="HOMBRE"/>
    <n v="340566"/>
    <x v="3"/>
    <x v="1"/>
    <s v="SI"/>
    <s v="SI"/>
    <s v="NO"/>
    <n v="32"/>
    <n v="0.70431298791265773"/>
    <s v="No"/>
    <n v="0.36998671355812474"/>
    <s v="No"/>
    <n v="340566"/>
    <n v="32"/>
    <x v="3"/>
  </r>
  <r>
    <n v="1903"/>
    <s v="HOMBRE"/>
    <n v="539000"/>
    <x v="0"/>
    <x v="1"/>
    <s v="SI"/>
    <s v="SI"/>
    <s v="NO"/>
    <n v="36"/>
    <n v="0.42201166760410774"/>
    <s v="No"/>
    <n v="0.36668463172114385"/>
    <s v="No"/>
    <n v="539000"/>
    <n v="36"/>
    <x v="0"/>
  </r>
  <r>
    <n v="1904"/>
    <s v="MUJER"/>
    <n v="298155"/>
    <x v="2"/>
    <x v="1"/>
    <s v="SI"/>
    <s v="NO"/>
    <s v="SI"/>
    <n v="54"/>
    <n v="0.84834427378436728"/>
    <s v="No"/>
    <n v="0.37069246253656696"/>
    <s v="No"/>
    <n v="298155"/>
    <n v="54"/>
    <x v="2"/>
  </r>
  <r>
    <n v="1905"/>
    <s v="HOMBRE"/>
    <n v="278030"/>
    <x v="4"/>
    <x v="1"/>
    <s v="SI"/>
    <s v="SI"/>
    <s v="NO"/>
    <n v="54"/>
    <n v="0.84834427378436728"/>
    <s v="No"/>
    <n v="0.37102735674304993"/>
    <s v="No"/>
    <n v="278030"/>
    <n v="54"/>
    <x v="4"/>
  </r>
  <r>
    <n v="1906"/>
    <s v="MUJER"/>
    <n v="65312246"/>
    <x v="0"/>
    <x v="1"/>
    <s v="SI"/>
    <s v="NO"/>
    <s v="NO"/>
    <n v="29"/>
    <n v="0.91603897814407031"/>
    <s v="No"/>
    <n v="0.71118790594325831"/>
    <s v="No"/>
    <n v="65312246"/>
    <n v="29"/>
    <x v="0"/>
  </r>
  <r>
    <n v="1907"/>
    <s v="MUJER"/>
    <n v="899559"/>
    <x v="0"/>
    <x v="0"/>
    <s v="SI"/>
    <s v="NO"/>
    <s v="NO"/>
    <n v="51"/>
    <n v="0.6366182835529548"/>
    <s v="No"/>
    <n v="0.36068467543814792"/>
    <s v="No"/>
    <n v="899559"/>
    <n v="51"/>
    <x v="0"/>
  </r>
  <r>
    <n v="1908"/>
    <s v="HOMBRE"/>
    <n v="3740031"/>
    <x v="0"/>
    <x v="1"/>
    <s v="SI"/>
    <s v="NO"/>
    <s v="NO"/>
    <n v="38"/>
    <n v="0.28086100744983278"/>
    <s v="No"/>
    <n v="0.3134172162343174"/>
    <s v="No"/>
    <n v="3740031"/>
    <n v="38"/>
    <x v="0"/>
  </r>
  <r>
    <n v="1909"/>
    <s v="HOMBRE"/>
    <n v="297046"/>
    <x v="2"/>
    <x v="1"/>
    <s v="SI"/>
    <s v="NO"/>
    <s v="NO"/>
    <n v="67"/>
    <n v="1.765823564787155"/>
    <s v="No"/>
    <n v="0.37071091707942361"/>
    <s v="No"/>
    <n v="297046"/>
    <n v="67"/>
    <x v="2"/>
  </r>
  <r>
    <n v="1910"/>
    <s v="MUJER"/>
    <n v="1150000"/>
    <x v="0"/>
    <x v="1"/>
    <s v="SI"/>
    <s v="NO"/>
    <s v="NO"/>
    <n v="32"/>
    <n v="0.70431298791265773"/>
    <s v="No"/>
    <n v="0.35651716040879133"/>
    <s v="No"/>
    <n v="1150000"/>
    <n v="32"/>
    <x v="0"/>
  </r>
  <r>
    <n v="1911"/>
    <s v="HOMBRE"/>
    <n v="5183333"/>
    <x v="0"/>
    <x v="1"/>
    <s v="SI"/>
    <s v="NO"/>
    <s v="NO"/>
    <n v="37"/>
    <n v="0.35143633752697023"/>
    <s v="No"/>
    <n v="0.28939965210983137"/>
    <s v="No"/>
    <n v="5183333"/>
    <n v="37"/>
    <x v="0"/>
  </r>
  <r>
    <n v="1912"/>
    <s v="HOMBRE"/>
    <n v="22502495"/>
    <x v="0"/>
    <x v="1"/>
    <s v="SI"/>
    <s v="NO"/>
    <s v="NO"/>
    <n v="19"/>
    <n v="1.6217922789154453"/>
    <s v="No"/>
    <n v="1.1965706221306876E-3"/>
    <s v="No"/>
    <n v="22502495"/>
    <n v="19"/>
    <x v="0"/>
  </r>
  <r>
    <n v="1913"/>
    <s v="HOMBRE"/>
    <n v="704330"/>
    <x v="0"/>
    <x v="0"/>
    <s v="SI"/>
    <s v="NO"/>
    <s v="NO"/>
    <n v="32"/>
    <n v="0.70431298791265773"/>
    <s v="No"/>
    <n v="0.36393342381268029"/>
    <s v="No"/>
    <n v="704330"/>
    <n v="32"/>
    <x v="0"/>
  </r>
  <r>
    <n v="1914"/>
    <s v="MUJER"/>
    <n v="277520"/>
    <x v="0"/>
    <x v="1"/>
    <s v="SI"/>
    <s v="SI"/>
    <s v="NO"/>
    <n v="46"/>
    <n v="0.2837416331672673"/>
    <s v="No"/>
    <n v="0.37103584350306512"/>
    <s v="No"/>
    <n v="277520"/>
    <n v="46"/>
    <x v="0"/>
  </r>
  <r>
    <n v="1915"/>
    <s v="MUJER"/>
    <n v="1610392"/>
    <x v="0"/>
    <x v="0"/>
    <s v="SI"/>
    <s v="NO"/>
    <s v="NO"/>
    <n v="46"/>
    <n v="0.2837416331672673"/>
    <s v="No"/>
    <n v="0.34885591253246306"/>
    <s v="No"/>
    <n v="1610392"/>
    <n v="46"/>
    <x v="0"/>
  </r>
  <r>
    <n v="1916"/>
    <s v="MUJER"/>
    <n v="280000"/>
    <x v="0"/>
    <x v="1"/>
    <s v="SI"/>
    <s v="NO"/>
    <s v="NO"/>
    <n v="38"/>
    <n v="0.28086100744983278"/>
    <s v="No"/>
    <n v="0.37099457455240292"/>
    <s v="No"/>
    <n v="280000"/>
    <n v="38"/>
    <x v="0"/>
  </r>
  <r>
    <n v="1917"/>
    <s v="HOMBRE"/>
    <n v="322500"/>
    <x v="0"/>
    <x v="1"/>
    <s v="SI"/>
    <s v="NO"/>
    <s v="SI"/>
    <n v="46"/>
    <n v="0.2837416331672673"/>
    <s v="No"/>
    <n v="0.37028734455113449"/>
    <s v="No"/>
    <n v="322500"/>
    <n v="46"/>
    <x v="0"/>
  </r>
  <r>
    <n v="1918"/>
    <s v="HOMBRE"/>
    <n v="35993118"/>
    <x v="0"/>
    <x v="0"/>
    <s v="SI"/>
    <s v="NO"/>
    <s v="NO"/>
    <n v="60"/>
    <n v="1.2717962542471923"/>
    <s v="No"/>
    <n v="0.22329691929319254"/>
    <s v="No"/>
    <n v="35993118"/>
    <n v="60"/>
    <x v="0"/>
  </r>
  <r>
    <n v="1919"/>
    <s v="MUJER"/>
    <n v="5125579"/>
    <x v="0"/>
    <x v="1"/>
    <s v="SI"/>
    <s v="NO"/>
    <s v="NO"/>
    <n v="35"/>
    <n v="0.49258699768124525"/>
    <s v="No"/>
    <n v="0.29036071943908442"/>
    <s v="No"/>
    <n v="5125579"/>
    <n v="35"/>
    <x v="0"/>
  </r>
  <r>
    <n v="1920"/>
    <s v="MUJER"/>
    <n v="500000"/>
    <x v="0"/>
    <x v="1"/>
    <s v="SI"/>
    <s v="NO"/>
    <s v="NO"/>
    <n v="57"/>
    <n v="1.0600702640157798"/>
    <s v="No"/>
    <n v="0.36733361925171953"/>
    <s v="No"/>
    <n v="500000"/>
    <n v="57"/>
    <x v="0"/>
  </r>
  <r>
    <n v="1921"/>
    <s v="HOMBRE"/>
    <n v="1744445"/>
    <x v="0"/>
    <x v="0"/>
    <s v="SI"/>
    <s v="NO"/>
    <s v="NO"/>
    <n v="40"/>
    <n v="0.13971034729555773"/>
    <s v="No"/>
    <n v="0.34662517598281528"/>
    <s v="No"/>
    <n v="1744445"/>
    <n v="40"/>
    <x v="0"/>
  </r>
  <r>
    <n v="1922"/>
    <s v="MUJER"/>
    <n v="35757642"/>
    <x v="0"/>
    <x v="1"/>
    <s v="SI"/>
    <s v="NO"/>
    <s v="NO"/>
    <n v="35"/>
    <n v="0.49258699768124525"/>
    <s v="No"/>
    <n v="0.21937843242781199"/>
    <s v="No"/>
    <n v="35757642"/>
    <n v="35"/>
    <x v="0"/>
  </r>
  <r>
    <n v="1923"/>
    <s v="HOMBRE"/>
    <n v="2724750"/>
    <x v="0"/>
    <x v="1"/>
    <s v="SI"/>
    <s v="NO"/>
    <s v="NO"/>
    <n v="25"/>
    <n v="1.1983402984526204"/>
    <s v="No"/>
    <n v="0.33031220877355882"/>
    <s v="No"/>
    <n v="2724750"/>
    <n v="25"/>
    <x v="0"/>
  </r>
  <r>
    <n v="1924"/>
    <s v="HOMBRE"/>
    <n v="655672"/>
    <x v="2"/>
    <x v="1"/>
    <s v="SI"/>
    <s v="NO"/>
    <s v="NO"/>
    <n v="58"/>
    <n v="1.1306455940929174"/>
    <s v="No"/>
    <n v="0.36474312728095598"/>
    <s v="No"/>
    <n v="655672"/>
    <n v="58"/>
    <x v="2"/>
  </r>
  <r>
    <n v="1925"/>
    <s v="HOMBRE"/>
    <n v="1257384"/>
    <x v="1"/>
    <x v="0"/>
    <s v="SI"/>
    <s v="NO"/>
    <s v="NO"/>
    <n v="68"/>
    <n v="1.8363988948642924"/>
    <s v="No"/>
    <n v="0.35473021484511597"/>
    <s v="No"/>
    <n v="1257384"/>
    <n v="68"/>
    <x v="1"/>
  </r>
  <r>
    <n v="1926"/>
    <s v="HOMBRE"/>
    <n v="38546082"/>
    <x v="0"/>
    <x v="1"/>
    <s v="SI"/>
    <s v="NO"/>
    <s v="NO"/>
    <n v="20"/>
    <n v="1.5512169488383079"/>
    <s v="No"/>
    <n v="0.26578004242161907"/>
    <s v="No"/>
    <n v="38546082"/>
    <n v="20"/>
    <x v="0"/>
  </r>
  <r>
    <n v="1927"/>
    <s v="HOMBRE"/>
    <n v="45446158"/>
    <x v="0"/>
    <x v="1"/>
    <s v="SI"/>
    <s v="NO"/>
    <s v="SI"/>
    <n v="29"/>
    <n v="0.91603897814407031"/>
    <s v="No"/>
    <n v="0.38060217790942891"/>
    <s v="No"/>
    <n v="45446158"/>
    <n v="29"/>
    <x v="0"/>
  </r>
  <r>
    <n v="1928"/>
    <s v="MUJER"/>
    <n v="277402"/>
    <x v="0"/>
    <x v="1"/>
    <s v="SI"/>
    <s v="NO"/>
    <s v="NO"/>
    <n v="41"/>
    <n v="6.9135017218420233E-2"/>
    <s v="No"/>
    <n v="0.3710378071063628"/>
    <s v="No"/>
    <n v="277402"/>
    <n v="41"/>
    <x v="0"/>
  </r>
  <r>
    <n v="1929"/>
    <s v="HOMBRE"/>
    <n v="297046"/>
    <x v="3"/>
    <x v="1"/>
    <s v="SI"/>
    <s v="NO"/>
    <s v="SI"/>
    <n v="27"/>
    <n v="1.0571896382983452"/>
    <s v="No"/>
    <n v="0.37071091707942361"/>
    <s v="No"/>
    <n v="297046"/>
    <n v="27"/>
    <x v="3"/>
  </r>
  <r>
    <n v="1930"/>
    <s v="HOMBRE"/>
    <n v="154126351"/>
    <x v="0"/>
    <x v="1"/>
    <s v="SI"/>
    <s v="NO"/>
    <s v="NO"/>
    <n v="46"/>
    <n v="0.2837416331672673"/>
    <s v="No"/>
    <n v="2.1891173081032589"/>
    <s v="Sí"/>
    <n v="154126351"/>
    <n v="46"/>
    <x v="0"/>
  </r>
  <r>
    <n v="1931"/>
    <s v="MUJER"/>
    <n v="1017485"/>
    <x v="3"/>
    <x v="1"/>
    <s v="SI"/>
    <s v="NO"/>
    <s v="NO"/>
    <n v="53"/>
    <n v="0.77776894370722982"/>
    <s v="No"/>
    <n v="0.35872230355274615"/>
    <s v="No"/>
    <n v="1017485"/>
    <n v="53"/>
    <x v="3"/>
  </r>
  <r>
    <n v="1932"/>
    <s v="HOMBRE"/>
    <n v="185495225"/>
    <x v="0"/>
    <x v="1"/>
    <s v="SI"/>
    <s v="NO"/>
    <s v="NO"/>
    <n v="33"/>
    <n v="0.63373765783552027"/>
    <s v="No"/>
    <n v="2.7111175151340272"/>
    <s v="Sí"/>
    <n v="185495225"/>
    <n v="33"/>
    <x v="0"/>
  </r>
  <r>
    <n v="1933"/>
    <s v="HOMBRE"/>
    <n v="315617"/>
    <x v="2"/>
    <x v="1"/>
    <s v="SI"/>
    <s v="NO"/>
    <s v="NO"/>
    <n v="56"/>
    <n v="0.9894949339386423"/>
    <s v="No"/>
    <n v="0.37040188252992817"/>
    <s v="No"/>
    <n v="315617"/>
    <n v="56"/>
    <x v="2"/>
  </r>
  <r>
    <n v="1934"/>
    <s v="MUJER"/>
    <n v="310124"/>
    <x v="3"/>
    <x v="1"/>
    <s v="SI"/>
    <s v="NO"/>
    <s v="SI"/>
    <n v="59"/>
    <n v="1.2012209241700549"/>
    <s v="No"/>
    <n v="0.37049328992750385"/>
    <s v="No"/>
    <n v="310124"/>
    <n v="59"/>
    <x v="3"/>
  </r>
  <r>
    <n v="1935"/>
    <s v="HOMBRE"/>
    <n v="240000"/>
    <x v="0"/>
    <x v="1"/>
    <s v="SI"/>
    <s v="NO"/>
    <s v="NO"/>
    <n v="39"/>
    <n v="0.21028567737269524"/>
    <s v="No"/>
    <n v="0.37166020278889078"/>
    <s v="No"/>
    <n v="240000"/>
    <n v="39"/>
    <x v="0"/>
  </r>
  <r>
    <n v="1936"/>
    <s v="MUJER"/>
    <n v="4460616"/>
    <x v="0"/>
    <x v="1"/>
    <s v="SI"/>
    <s v="NO"/>
    <s v="SI"/>
    <n v="59"/>
    <n v="1.2012209241700549"/>
    <s v="No"/>
    <n v="0.30142617316457676"/>
    <s v="No"/>
    <n v="4460616"/>
    <n v="59"/>
    <x v="0"/>
  </r>
  <r>
    <n v="1937"/>
    <s v="HOMBRE"/>
    <n v="566297"/>
    <x v="3"/>
    <x v="1"/>
    <s v="SI"/>
    <s v="NO"/>
    <s v="NO"/>
    <n v="49"/>
    <n v="0.49546762339867978"/>
    <s v="No"/>
    <n v="0.36623039037185856"/>
    <s v="No"/>
    <n v="566297"/>
    <n v="49"/>
    <x v="3"/>
  </r>
  <r>
    <n v="1938"/>
    <s v="MUJER"/>
    <n v="50000"/>
    <x v="0"/>
    <x v="1"/>
    <s v="SI"/>
    <s v="NO"/>
    <s v="SI"/>
    <n v="21"/>
    <n v="1.4806416187611704"/>
    <s v="No"/>
    <n v="0.37482193691220822"/>
    <s v="No"/>
    <n v="50000"/>
    <n v="21"/>
    <x v="0"/>
  </r>
  <r>
    <n v="1939"/>
    <s v="MUJER"/>
    <n v="394998"/>
    <x v="0"/>
    <x v="1"/>
    <s v="SI"/>
    <s v="NO"/>
    <s v="NO"/>
    <n v="29"/>
    <n v="0.91603897814407031"/>
    <s v="No"/>
    <n v="0.36908092665391207"/>
    <s v="No"/>
    <n v="394998"/>
    <n v="29"/>
    <x v="0"/>
  </r>
  <r>
    <n v="1940"/>
    <s v="MUJER"/>
    <n v="320000"/>
    <x v="0"/>
    <x v="1"/>
    <s v="SI"/>
    <s v="NO"/>
    <s v="NO"/>
    <n v="27"/>
    <n v="1.0571896382983452"/>
    <s v="No"/>
    <n v="0.37032894631591501"/>
    <s v="No"/>
    <n v="320000"/>
    <n v="27"/>
    <x v="0"/>
  </r>
  <r>
    <n v="1941"/>
    <s v="HOMBRE"/>
    <n v="95372887"/>
    <x v="0"/>
    <x v="1"/>
    <s v="SI"/>
    <s v="NO"/>
    <s v="NO"/>
    <n v="60"/>
    <n v="1.2717962542471923"/>
    <s v="No"/>
    <n v="1.2114181923563951"/>
    <s v="No"/>
    <n v="95372887"/>
    <n v="60"/>
    <x v="0"/>
  </r>
  <r>
    <n v="1942"/>
    <s v="HOMBRE"/>
    <n v="5074436"/>
    <x v="0"/>
    <x v="1"/>
    <s v="SI"/>
    <s v="NO"/>
    <s v="NO"/>
    <n v="20"/>
    <n v="1.5512169488383079"/>
    <s v="No"/>
    <n v="0.29121177506155194"/>
    <s v="No"/>
    <n v="5074436"/>
    <n v="20"/>
    <x v="0"/>
  </r>
  <r>
    <n v="1943"/>
    <s v="MUJER"/>
    <n v="995680"/>
    <x v="0"/>
    <x v="0"/>
    <s v="SI"/>
    <s v="NO"/>
    <s v="NO"/>
    <n v="35"/>
    <n v="0.49258699768124525"/>
    <s v="No"/>
    <n v="0.35908515414516162"/>
    <s v="No"/>
    <n v="995680"/>
    <n v="35"/>
    <x v="0"/>
  </r>
  <r>
    <n v="1944"/>
    <s v="HOMBRE"/>
    <n v="278030"/>
    <x v="4"/>
    <x v="1"/>
    <s v="SI"/>
    <s v="NO"/>
    <s v="NO"/>
    <n v="64"/>
    <n v="1.5540975745557424"/>
    <s v="No"/>
    <n v="0.37102735674304993"/>
    <s v="No"/>
    <n v="278030"/>
    <n v="64"/>
    <x v="4"/>
  </r>
  <r>
    <n v="1945"/>
    <s v="HOMBRE"/>
    <n v="3401008"/>
    <x v="0"/>
    <x v="1"/>
    <s v="SI"/>
    <s v="NO"/>
    <s v="NO"/>
    <n v="22"/>
    <n v="1.4100662886840327"/>
    <s v="No"/>
    <n v="0.31905879827478822"/>
    <s v="No"/>
    <n v="3401008"/>
    <n v="22"/>
    <x v="0"/>
  </r>
  <r>
    <n v="1946"/>
    <s v="HOMBRE"/>
    <n v="8899765"/>
    <x v="0"/>
    <x v="0"/>
    <s v="SI"/>
    <s v="NO"/>
    <s v="NO"/>
    <n v="30"/>
    <n v="0.84546364806693275"/>
    <s v="No"/>
    <n v="0.22755560015515258"/>
    <s v="No"/>
    <n v="8899765"/>
    <n v="30"/>
    <x v="0"/>
  </r>
  <r>
    <n v="1947"/>
    <s v="HOMBRE"/>
    <n v="55842011"/>
    <x v="0"/>
    <x v="1"/>
    <s v="SI"/>
    <s v="NO"/>
    <s v="NO"/>
    <n v="26"/>
    <n v="1.1277649683754829"/>
    <s v="No"/>
    <n v="0.55359651038886171"/>
    <s v="No"/>
    <n v="55842011"/>
    <n v="26"/>
    <x v="0"/>
  </r>
  <r>
    <n v="1948"/>
    <s v="HOMBRE"/>
    <n v="478452"/>
    <x v="3"/>
    <x v="1"/>
    <s v="SI"/>
    <s v="SI"/>
    <s v="NO"/>
    <n v="49"/>
    <n v="0.49546762339867978"/>
    <s v="No"/>
    <n v="0.36769219318271557"/>
    <s v="No"/>
    <n v="478452"/>
    <n v="49"/>
    <x v="3"/>
  </r>
  <r>
    <n v="1949"/>
    <s v="MUJER"/>
    <n v="594092"/>
    <x v="3"/>
    <x v="1"/>
    <s v="SI"/>
    <s v="NO"/>
    <s v="SI"/>
    <n v="54"/>
    <n v="0.84834427378436728"/>
    <s v="No"/>
    <n v="0.36576786195102906"/>
    <s v="No"/>
    <n v="594092"/>
    <n v="54"/>
    <x v="3"/>
  </r>
  <r>
    <n v="1950"/>
    <s v="MUJER"/>
    <n v="1281095"/>
    <x v="0"/>
    <x v="0"/>
    <s v="SI"/>
    <s v="NO"/>
    <s v="SI"/>
    <n v="43"/>
    <n v="7.2015642935854773E-2"/>
    <s v="No"/>
    <n v="0.35433564706723186"/>
    <s v="No"/>
    <n v="1281095"/>
    <n v="43"/>
    <x v="0"/>
  </r>
  <r>
    <n v="1951"/>
    <s v="HOMBRE"/>
    <n v="610146"/>
    <x v="2"/>
    <x v="1"/>
    <s v="SI"/>
    <s v="NO"/>
    <s v="NO"/>
    <n v="49"/>
    <n v="0.49546762339867978"/>
    <s v="No"/>
    <n v="0.36550071205831464"/>
    <s v="No"/>
    <n v="610146"/>
    <n v="49"/>
    <x v="2"/>
  </r>
  <r>
    <n v="1952"/>
    <s v="HOMBRE"/>
    <n v="278030"/>
    <x v="4"/>
    <x v="1"/>
    <s v="SI"/>
    <s v="NO"/>
    <s v="NO"/>
    <n v="55"/>
    <n v="0.91891960386150484"/>
    <s v="No"/>
    <n v="0.37102735674304993"/>
    <s v="No"/>
    <n v="278030"/>
    <n v="55"/>
    <x v="4"/>
  </r>
  <r>
    <n v="1953"/>
    <s v="MUJER"/>
    <n v="752666"/>
    <x v="0"/>
    <x v="1"/>
    <s v="SI"/>
    <s v="NO"/>
    <s v="NO"/>
    <n v="31"/>
    <n v="0.77488831798979529"/>
    <s v="No"/>
    <n v="0.36312907865170829"/>
    <s v="No"/>
    <n v="752666"/>
    <n v="31"/>
    <x v="0"/>
  </r>
  <r>
    <n v="1954"/>
    <s v="HOMBRE"/>
    <n v="96000"/>
    <x v="0"/>
    <x v="1"/>
    <s v="SI"/>
    <s v="SI"/>
    <s v="NO"/>
    <n v="47"/>
    <n v="0.35431696324440481"/>
    <s v="No"/>
    <n v="0.37405646444024715"/>
    <s v="No"/>
    <n v="96000"/>
    <n v="47"/>
    <x v="0"/>
  </r>
  <r>
    <n v="1955"/>
    <s v="MUJER"/>
    <n v="36360449"/>
    <x v="0"/>
    <x v="1"/>
    <s v="SI"/>
    <s v="NO"/>
    <s v="NO"/>
    <n v="21"/>
    <n v="1.4806416187611704"/>
    <s v="No"/>
    <n v="0.22940956643662583"/>
    <s v="No"/>
    <n v="36360449"/>
    <n v="21"/>
    <x v="0"/>
  </r>
  <r>
    <n v="1956"/>
    <s v="HOMBRE"/>
    <n v="10947276"/>
    <x v="1"/>
    <x v="0"/>
    <s v="SI"/>
    <s v="NO"/>
    <s v="NO"/>
    <n v="70"/>
    <n v="1.9775495550185673"/>
    <s v="Sí"/>
    <n v="0.19348357175216385"/>
    <s v="No"/>
    <n v="10947276"/>
    <n v="70"/>
    <x v="1"/>
  </r>
  <r>
    <n v="1957"/>
    <s v="MUJER"/>
    <n v="297046"/>
    <x v="2"/>
    <x v="1"/>
    <s v="SI"/>
    <s v="NO"/>
    <s v="NO"/>
    <n v="25"/>
    <n v="1.1983402984526204"/>
    <s v="No"/>
    <n v="0.37071091707942361"/>
    <s v="No"/>
    <n v="297046"/>
    <n v="25"/>
    <x v="2"/>
  </r>
  <r>
    <n v="1958"/>
    <s v="HOMBRE"/>
    <n v="297046"/>
    <x v="2"/>
    <x v="1"/>
    <s v="SI"/>
    <s v="NO"/>
    <s v="NO"/>
    <n v="45"/>
    <n v="0.21316630309012977"/>
    <s v="No"/>
    <n v="0.37071091707942361"/>
    <s v="No"/>
    <n v="297046"/>
    <n v="45"/>
    <x v="2"/>
  </r>
  <r>
    <n v="1959"/>
    <s v="MUJER"/>
    <n v="35089948"/>
    <x v="0"/>
    <x v="1"/>
    <s v="SI"/>
    <s v="SI"/>
    <s v="NO"/>
    <n v="38"/>
    <n v="0.28086100744983278"/>
    <s v="No"/>
    <n v="0.20826753293447342"/>
    <s v="No"/>
    <n v="35089948"/>
    <n v="38"/>
    <x v="0"/>
  </r>
  <r>
    <n v="1960"/>
    <s v="HOMBRE"/>
    <n v="639148"/>
    <x v="3"/>
    <x v="1"/>
    <s v="SI"/>
    <s v="NO"/>
    <s v="SI"/>
    <n v="50"/>
    <n v="0.56604295347581735"/>
    <s v="No"/>
    <n v="0.36501809830544912"/>
    <s v="No"/>
    <n v="639148"/>
    <n v="50"/>
    <x v="3"/>
  </r>
  <r>
    <n v="1961"/>
    <s v="MUJER"/>
    <n v="798237"/>
    <x v="0"/>
    <x v="0"/>
    <s v="SI"/>
    <s v="NO"/>
    <s v="SI"/>
    <n v="36"/>
    <n v="0.42201166760410774"/>
    <s v="No"/>
    <n v="0.36237074504258354"/>
    <s v="No"/>
    <n v="798237"/>
    <n v="36"/>
    <x v="0"/>
  </r>
  <r>
    <n v="1962"/>
    <s v="HOMBRE"/>
    <n v="445567"/>
    <x v="3"/>
    <x v="1"/>
    <s v="SI"/>
    <s v="NO"/>
    <s v="SI"/>
    <n v="33"/>
    <n v="0.63373765783552027"/>
    <s v="No"/>
    <n v="0.36823942279663813"/>
    <s v="No"/>
    <n v="445567"/>
    <n v="33"/>
    <x v="3"/>
  </r>
  <r>
    <n v="1963"/>
    <s v="HOMBRE"/>
    <n v="537540"/>
    <x v="0"/>
    <x v="1"/>
    <s v="SI"/>
    <s v="NO"/>
    <s v="NO"/>
    <n v="36"/>
    <n v="0.42201166760410774"/>
    <s v="No"/>
    <n v="0.36670892715177561"/>
    <s v="No"/>
    <n v="537540"/>
    <n v="36"/>
    <x v="0"/>
  </r>
  <r>
    <n v="1964"/>
    <s v="HOMBRE"/>
    <n v="300018"/>
    <x v="3"/>
    <x v="1"/>
    <s v="SI"/>
    <s v="NO"/>
    <s v="NO"/>
    <n v="71"/>
    <n v="2.0481248850957048"/>
    <s v="Sí"/>
    <n v="0.37066146090145252"/>
    <s v="No"/>
    <n v="300018"/>
    <n v="71"/>
    <x v="3"/>
  </r>
  <r>
    <n v="1965"/>
    <s v="HOMBRE"/>
    <n v="150080875"/>
    <x v="0"/>
    <x v="1"/>
    <s v="SI"/>
    <s v="NO"/>
    <s v="NO"/>
    <n v="37"/>
    <n v="0.35143633752697023"/>
    <s v="No"/>
    <n v="2.1217977317124075"/>
    <s v="Sí"/>
    <n v="150080875"/>
    <n v="37"/>
    <x v="0"/>
  </r>
  <r>
    <n v="1966"/>
    <s v="MUJER"/>
    <n v="285000"/>
    <x v="0"/>
    <x v="1"/>
    <s v="SI"/>
    <s v="NO"/>
    <s v="NO"/>
    <n v="27"/>
    <n v="1.0571896382983452"/>
    <s v="No"/>
    <n v="0.37091137102284188"/>
    <s v="No"/>
    <n v="285000"/>
    <n v="27"/>
    <x v="0"/>
  </r>
  <r>
    <n v="1967"/>
    <s v="HOMBRE"/>
    <n v="282305"/>
    <x v="3"/>
    <x v="1"/>
    <s v="SI"/>
    <s v="NO"/>
    <s v="NO"/>
    <n v="29"/>
    <n v="0.91603897814407031"/>
    <s v="No"/>
    <n v="0.37095621772527526"/>
    <s v="No"/>
    <n v="282305"/>
    <n v="29"/>
    <x v="3"/>
  </r>
  <r>
    <n v="1968"/>
    <s v="HOMBRE"/>
    <n v="25466284"/>
    <x v="0"/>
    <x v="0"/>
    <s v="SI"/>
    <s v="NO"/>
    <s v="NO"/>
    <n v="59"/>
    <n v="1.2012209241700549"/>
    <s v="No"/>
    <n v="4.8122970512674272E-2"/>
    <s v="No"/>
    <n v="25466284"/>
    <n v="59"/>
    <x v="0"/>
  </r>
  <r>
    <n v="1969"/>
    <s v="HOMBRE"/>
    <n v="4619355"/>
    <x v="0"/>
    <x v="1"/>
    <s v="SI"/>
    <s v="NO"/>
    <s v="NO"/>
    <n v="28"/>
    <n v="0.98661430822120777"/>
    <s v="No"/>
    <n v="0.29878464414878053"/>
    <s v="No"/>
    <n v="4619355"/>
    <n v="28"/>
    <x v="0"/>
  </r>
  <r>
    <n v="1970"/>
    <s v="MUJER"/>
    <n v="2123561"/>
    <x v="0"/>
    <x v="1"/>
    <s v="SI"/>
    <s v="NO"/>
    <s v="NO"/>
    <n v="27"/>
    <n v="1.0571896382983452"/>
    <s v="No"/>
    <n v="0.34031641812020674"/>
    <s v="No"/>
    <n v="2123561"/>
    <n v="27"/>
    <x v="0"/>
  </r>
  <r>
    <n v="1971"/>
    <s v="HOMBRE"/>
    <n v="297046"/>
    <x v="3"/>
    <x v="1"/>
    <s v="SI"/>
    <s v="NO"/>
    <s v="SI"/>
    <n v="38"/>
    <n v="0.28086100744983278"/>
    <s v="No"/>
    <n v="0.37071091707942361"/>
    <s v="No"/>
    <n v="297046"/>
    <n v="38"/>
    <x v="3"/>
  </r>
  <r>
    <n v="1972"/>
    <s v="MUJER"/>
    <n v="367734"/>
    <x v="3"/>
    <x v="1"/>
    <s v="SI"/>
    <s v="NO"/>
    <s v="NO"/>
    <n v="45"/>
    <n v="0.21316630309012977"/>
    <s v="No"/>
    <n v="0.36953461885990219"/>
    <s v="No"/>
    <n v="367734"/>
    <n v="45"/>
    <x v="3"/>
  </r>
  <r>
    <n v="1973"/>
    <s v="MUJER"/>
    <n v="3553113"/>
    <x v="0"/>
    <x v="0"/>
    <s v="SI"/>
    <s v="NO"/>
    <s v="NO"/>
    <n v="46"/>
    <n v="0.2837416331672673"/>
    <s v="No"/>
    <n v="0.31652766370201346"/>
    <s v="No"/>
    <n v="3553113"/>
    <n v="46"/>
    <x v="0"/>
  </r>
  <r>
    <n v="1974"/>
    <s v="HOMBRE"/>
    <n v="4340894"/>
    <x v="1"/>
    <x v="0"/>
    <s v="SI"/>
    <s v="NO"/>
    <s v="NO"/>
    <n v="54"/>
    <n v="0.84834427378436728"/>
    <s v="No"/>
    <n v="0.30341843175779687"/>
    <s v="No"/>
    <n v="4340894"/>
    <n v="54"/>
    <x v="1"/>
  </r>
  <r>
    <n v="1975"/>
    <s v="MUJER"/>
    <n v="300056"/>
    <x v="1"/>
    <x v="0"/>
    <s v="SI"/>
    <s v="NO"/>
    <s v="NO"/>
    <n v="60"/>
    <n v="1.2717962542471923"/>
    <s v="No"/>
    <n v="0.3706608285546279"/>
    <s v="No"/>
    <n v="300056"/>
    <n v="60"/>
    <x v="1"/>
  </r>
  <r>
    <n v="1976"/>
    <s v="HOMBRE"/>
    <n v="22259723"/>
    <x v="0"/>
    <x v="1"/>
    <s v="SI"/>
    <s v="NO"/>
    <s v="NO"/>
    <n v="23"/>
    <n v="1.3394909586068953"/>
    <s v="No"/>
    <n v="5.2364680778466208E-3"/>
    <s v="No"/>
    <n v="22259723"/>
    <n v="23"/>
    <x v="0"/>
  </r>
  <r>
    <n v="1977"/>
    <s v="HOMBRE"/>
    <n v="409746"/>
    <x v="3"/>
    <x v="1"/>
    <s v="SI"/>
    <s v="NO"/>
    <s v="SI"/>
    <n v="30"/>
    <n v="0.84546364806693275"/>
    <s v="No"/>
    <n v="0.36883550952311894"/>
    <s v="No"/>
    <n v="409746"/>
    <n v="30"/>
    <x v="3"/>
  </r>
  <r>
    <n v="1978"/>
    <s v="HOMBRE"/>
    <n v="3464745"/>
    <x v="0"/>
    <x v="1"/>
    <s v="SI"/>
    <s v="NO"/>
    <s v="NO"/>
    <n v="28"/>
    <n v="0.98661430822120777"/>
    <s v="No"/>
    <n v="0.31799816960206251"/>
    <s v="No"/>
    <n v="3464745"/>
    <n v="28"/>
    <x v="0"/>
  </r>
  <r>
    <n v="1979"/>
    <s v="HOMBRE"/>
    <n v="278030"/>
    <x v="4"/>
    <x v="1"/>
    <s v="SI"/>
    <s v="NO"/>
    <s v="NO"/>
    <n v="86"/>
    <n v="3.1067548362527675"/>
    <s v="Sí"/>
    <n v="0.37102735674304993"/>
    <s v="No"/>
    <n v="278030"/>
    <n v="86"/>
    <x v="4"/>
  </r>
  <r>
    <n v="1980"/>
    <s v="HOMBRE"/>
    <n v="27803099"/>
    <x v="4"/>
    <x v="1"/>
    <s v="SI"/>
    <s v="NO"/>
    <s v="NO"/>
    <n v="27"/>
    <n v="1.0571896382983452"/>
    <s v="No"/>
    <n v="8.7009221698885322E-2"/>
    <s v="No"/>
    <n v="27803099"/>
    <n v="27"/>
    <x v="4"/>
  </r>
  <r>
    <n v="1981"/>
    <s v="HOMBRE"/>
    <n v="530000"/>
    <x v="0"/>
    <x v="1"/>
    <s v="SI"/>
    <s v="NO"/>
    <s v="NO"/>
    <n v="24"/>
    <n v="1.2689156285297578"/>
    <s v="No"/>
    <n v="0.36683439807435358"/>
    <s v="No"/>
    <n v="530000"/>
    <n v="24"/>
    <x v="0"/>
  </r>
  <r>
    <n v="1982"/>
    <s v="MUJER"/>
    <n v="1583743"/>
    <x v="0"/>
    <x v="0"/>
    <s v="SI"/>
    <s v="NO"/>
    <s v="NO"/>
    <n v="58"/>
    <n v="1.1306455940929174"/>
    <s v="No"/>
    <n v="0.34929937070431721"/>
    <s v="No"/>
    <n v="1583743"/>
    <n v="58"/>
    <x v="0"/>
  </r>
  <r>
    <n v="1983"/>
    <s v="MUJER"/>
    <n v="1178626"/>
    <x v="0"/>
    <x v="0"/>
    <s v="SI"/>
    <s v="NO"/>
    <s v="NO"/>
    <n v="36"/>
    <n v="0.42201166760410774"/>
    <s v="No"/>
    <n v="0.35604080356134882"/>
    <s v="No"/>
    <n v="1178626"/>
    <n v="36"/>
    <x v="0"/>
  </r>
  <r>
    <n v="1984"/>
    <s v="HOMBRE"/>
    <n v="297045"/>
    <x v="2"/>
    <x v="1"/>
    <s v="SI"/>
    <s v="NO"/>
    <s v="NO"/>
    <n v="78"/>
    <n v="2.5421521956356674"/>
    <s v="Sí"/>
    <n v="0.37071093372012948"/>
    <s v="No"/>
    <n v="297045"/>
    <n v="78"/>
    <x v="2"/>
  </r>
  <r>
    <n v="1985"/>
    <s v="MUJER"/>
    <n v="48469948"/>
    <x v="0"/>
    <x v="1"/>
    <s v="SI"/>
    <s v="NO"/>
    <s v="NO"/>
    <n v="21"/>
    <n v="1.4806416187611704"/>
    <s v="No"/>
    <n v="0.43092017803967164"/>
    <s v="No"/>
    <n v="48469948"/>
    <n v="21"/>
    <x v="0"/>
  </r>
  <r>
    <n v="1986"/>
    <s v="HOMBRE"/>
    <n v="1782316"/>
    <x v="0"/>
    <x v="0"/>
    <s v="SI"/>
    <s v="NO"/>
    <s v="SI"/>
    <n v="50"/>
    <n v="0.56604295347581735"/>
    <s v="No"/>
    <n v="0.34599497580921446"/>
    <s v="No"/>
    <n v="1782316"/>
    <n v="50"/>
    <x v="0"/>
  </r>
  <r>
    <n v="1987"/>
    <s v="MUJER"/>
    <n v="45467358"/>
    <x v="0"/>
    <x v="1"/>
    <s v="SI"/>
    <s v="NO"/>
    <s v="NO"/>
    <n v="39"/>
    <n v="0.21028567737269524"/>
    <s v="No"/>
    <n v="0.38095496087476749"/>
    <s v="No"/>
    <n v="45467358"/>
    <n v="39"/>
    <x v="0"/>
  </r>
  <r>
    <n v="1988"/>
    <s v="MUJER"/>
    <n v="120000"/>
    <x v="0"/>
    <x v="1"/>
    <s v="SI"/>
    <s v="NO"/>
    <s v="NO"/>
    <n v="32"/>
    <n v="0.70431298791265773"/>
    <s v="No"/>
    <n v="0.37365708749835447"/>
    <s v="No"/>
    <n v="120000"/>
    <n v="32"/>
    <x v="0"/>
  </r>
  <r>
    <n v="1989"/>
    <s v="HOMBRE"/>
    <n v="513274"/>
    <x v="0"/>
    <x v="0"/>
    <s v="SI"/>
    <s v="NO"/>
    <s v="NO"/>
    <n v="57"/>
    <n v="1.0600702640157798"/>
    <s v="No"/>
    <n v="0.367112730521441"/>
    <s v="No"/>
    <n v="513274"/>
    <n v="57"/>
    <x v="0"/>
  </r>
  <r>
    <n v="1990"/>
    <s v="MUJER"/>
    <n v="457059"/>
    <x v="0"/>
    <x v="0"/>
    <s v="SI"/>
    <s v="NO"/>
    <s v="SI"/>
    <n v="59"/>
    <n v="1.2012209241700549"/>
    <s v="No"/>
    <n v="0.36804818780429516"/>
    <s v="No"/>
    <n v="457059"/>
    <n v="59"/>
    <x v="0"/>
  </r>
  <r>
    <n v="1991"/>
    <s v="MUJER"/>
    <n v="1708013"/>
    <x v="1"/>
    <x v="0"/>
    <s v="SI"/>
    <s v="NO"/>
    <s v="NO"/>
    <n v="57"/>
    <n v="1.0600702640157798"/>
    <s v="No"/>
    <n v="0.34723143018060848"/>
    <s v="No"/>
    <n v="1708013"/>
    <n v="57"/>
    <x v="1"/>
  </r>
  <r>
    <n v="1992"/>
    <s v="HOMBRE"/>
    <n v="36298967"/>
    <x v="0"/>
    <x v="1"/>
    <s v="SI"/>
    <s v="NO"/>
    <s v="NO"/>
    <n v="20"/>
    <n v="1.5512169488383079"/>
    <s v="No"/>
    <n v="0.22838646255573214"/>
    <s v="No"/>
    <n v="36298967"/>
    <n v="20"/>
    <x v="0"/>
  </r>
  <r>
    <n v="1993"/>
    <s v="HOMBRE"/>
    <n v="393714"/>
    <x v="0"/>
    <x v="1"/>
    <s v="SI"/>
    <s v="NO"/>
    <s v="NO"/>
    <n v="48"/>
    <n v="0.42489229332154227"/>
    <s v="No"/>
    <n v="0.36910229332030331"/>
    <s v="No"/>
    <n v="393714"/>
    <n v="48"/>
    <x v="0"/>
  </r>
  <r>
    <n v="1994"/>
    <s v="HOMBRE"/>
    <n v="444719"/>
    <x v="3"/>
    <x v="1"/>
    <s v="SI"/>
    <s v="NO"/>
    <s v="SI"/>
    <n v="36"/>
    <n v="0.42201166760410774"/>
    <s v="No"/>
    <n v="0.36825353411525169"/>
    <s v="No"/>
    <n v="444719"/>
    <n v="36"/>
    <x v="3"/>
  </r>
  <r>
    <n v="1995"/>
    <s v="HOMBRE"/>
    <n v="13527237"/>
    <x v="0"/>
    <x v="0"/>
    <s v="SI"/>
    <s v="NO"/>
    <s v="NO"/>
    <n v="29"/>
    <n v="0.91603897814407031"/>
    <s v="No"/>
    <n v="0.1505511994862257"/>
    <s v="No"/>
    <n v="13527237"/>
    <n v="29"/>
    <x v="0"/>
  </r>
  <r>
    <n v="1996"/>
    <s v="HOMBRE"/>
    <n v="299647"/>
    <x v="3"/>
    <x v="1"/>
    <s v="SI"/>
    <s v="NO"/>
    <s v="SI"/>
    <n v="38"/>
    <n v="0.28086100744983278"/>
    <s v="No"/>
    <n v="0.37066763460334595"/>
    <s v="No"/>
    <n v="299647"/>
    <n v="38"/>
    <x v="3"/>
  </r>
  <r>
    <n v="1997"/>
    <s v="MUJER"/>
    <n v="14150948"/>
    <x v="1"/>
    <x v="0"/>
    <s v="SI"/>
    <s v="NO"/>
    <s v="NO"/>
    <n v="91"/>
    <n v="3.4596314866384548"/>
    <s v="Sí"/>
    <n v="0.1401722081610233"/>
    <s v="No"/>
    <n v="14150948"/>
    <n v="91"/>
    <x v="1"/>
  </r>
  <r>
    <n v="1998"/>
    <s v="MUJER"/>
    <n v="350000"/>
    <x v="0"/>
    <x v="0"/>
    <s v="SI"/>
    <s v="NO"/>
    <s v="NO"/>
    <n v="41"/>
    <n v="6.9135017218420233E-2"/>
    <s v="No"/>
    <n v="0.36982972513854911"/>
    <s v="No"/>
    <n v="350000"/>
    <n v="41"/>
    <x v="0"/>
  </r>
  <r>
    <n v="1999"/>
    <s v="MUJER"/>
    <n v="1274218"/>
    <x v="0"/>
    <x v="1"/>
    <s v="SI"/>
    <s v="NO"/>
    <s v="NO"/>
    <n v="25"/>
    <n v="1.1983402984526204"/>
    <s v="No"/>
    <n v="0.35445008520179005"/>
    <s v="No"/>
    <n v="1274218"/>
    <n v="25"/>
    <x v="0"/>
  </r>
  <r>
    <n v="2000"/>
    <s v="HOMBRE"/>
    <n v="266719"/>
    <x v="0"/>
    <x v="1"/>
    <s v="SI"/>
    <s v="NO"/>
    <s v="NO"/>
    <n v="36"/>
    <n v="0.42201166760410774"/>
    <s v="No"/>
    <n v="0.37121557976762276"/>
    <s v="No"/>
    <n v="266719"/>
    <n v="36"/>
    <x v="0"/>
  </r>
  <r>
    <n v="2001"/>
    <s v="MUJER"/>
    <n v="76619868"/>
    <x v="0"/>
    <x v="0"/>
    <s v="SI"/>
    <s v="SI"/>
    <s v="NO"/>
    <n v="36"/>
    <n v="0.42201166760410774"/>
    <s v="No"/>
    <n v="0.89935471821154922"/>
    <s v="No"/>
    <n v="76619868"/>
    <n v="36"/>
    <x v="0"/>
  </r>
  <r>
    <n v="2002"/>
    <s v="HOMBRE"/>
    <n v="152884972"/>
    <x v="0"/>
    <x v="0"/>
    <s v="SI"/>
    <s v="NO"/>
    <s v="NO"/>
    <n v="45"/>
    <n v="0.21316630309012977"/>
    <s v="No"/>
    <n v="2.1684598852386818"/>
    <s v="Sí"/>
    <n v="152884972"/>
    <n v="45"/>
    <x v="0"/>
  </r>
  <r>
    <n v="2003"/>
    <s v="HOMBRE"/>
    <n v="297047"/>
    <x v="3"/>
    <x v="1"/>
    <s v="SI"/>
    <s v="NO"/>
    <s v="NO"/>
    <n v="59"/>
    <n v="1.2012209241700549"/>
    <s v="No"/>
    <n v="0.37071090043871768"/>
    <s v="No"/>
    <n v="297047"/>
    <n v="59"/>
    <x v="3"/>
  </r>
  <r>
    <n v="2004"/>
    <s v="MUJER"/>
    <n v="50000"/>
    <x v="0"/>
    <x v="1"/>
    <s v="SI"/>
    <s v="NO"/>
    <s v="NO"/>
    <n v="40"/>
    <n v="0.13971034729555773"/>
    <s v="No"/>
    <n v="0.37482193691220822"/>
    <s v="No"/>
    <n v="50000"/>
    <n v="40"/>
    <x v="0"/>
  </r>
  <r>
    <n v="2005"/>
    <s v="HOMBRE"/>
    <n v="379361"/>
    <x v="0"/>
    <x v="1"/>
    <s v="SI"/>
    <s v="NO"/>
    <s v="NO"/>
    <n v="39"/>
    <n v="0.21028567737269524"/>
    <s v="No"/>
    <n v="0.3693411373722611"/>
    <s v="No"/>
    <n v="379361"/>
    <n v="39"/>
    <x v="0"/>
  </r>
  <r>
    <n v="2006"/>
    <s v="HOMBRE"/>
    <n v="59438881"/>
    <x v="0"/>
    <x v="1"/>
    <s v="SI"/>
    <s v="NO"/>
    <s v="NO"/>
    <n v="24"/>
    <n v="1.2689156285297578"/>
    <s v="No"/>
    <n v="0.61345096626326634"/>
    <s v="No"/>
    <n v="59438881"/>
    <n v="24"/>
    <x v="0"/>
  </r>
  <r>
    <n v="2007"/>
    <s v="MUJER"/>
    <n v="35402989"/>
    <x v="0"/>
    <x v="1"/>
    <s v="SI"/>
    <s v="NO"/>
    <s v="NO"/>
    <n v="33"/>
    <n v="0.63373765783552027"/>
    <s v="No"/>
    <n v="0.21347675615393352"/>
    <s v="No"/>
    <n v="35402989"/>
    <n v="33"/>
    <x v="0"/>
  </r>
  <r>
    <n v="2008"/>
    <s v="HOMBRE"/>
    <n v="342027"/>
    <x v="0"/>
    <x v="1"/>
    <s v="SI"/>
    <s v="NO"/>
    <s v="NO"/>
    <n v="53"/>
    <n v="0.77776894370722982"/>
    <s v="No"/>
    <n v="0.36996240148678705"/>
    <s v="No"/>
    <n v="342027"/>
    <n v="53"/>
    <x v="0"/>
  </r>
  <r>
    <n v="2009"/>
    <s v="MUJER"/>
    <n v="1059620"/>
    <x v="2"/>
    <x v="1"/>
    <s v="SI"/>
    <s v="SI"/>
    <s v="NO"/>
    <n v="76"/>
    <n v="2.4010015354813925"/>
    <s v="Sí"/>
    <n v="0.35802114740913571"/>
    <s v="No"/>
    <n v="1059620"/>
    <n v="76"/>
    <x v="2"/>
  </r>
  <r>
    <n v="2010"/>
    <s v="MUJER"/>
    <n v="23353736"/>
    <x v="0"/>
    <x v="1"/>
    <s v="SI"/>
    <s v="NO"/>
    <s v="NO"/>
    <n v="33"/>
    <n v="0.63373765783552027"/>
    <s v="No"/>
    <n v="1.296868051927395E-2"/>
    <s v="No"/>
    <n v="23353736"/>
    <n v="33"/>
    <x v="0"/>
  </r>
  <r>
    <n v="2011"/>
    <s v="HOMBRE"/>
    <n v="21613511"/>
    <x v="0"/>
    <x v="0"/>
    <s v="SI"/>
    <s v="NO"/>
    <s v="NO"/>
    <n v="56"/>
    <n v="0.9894949339386423"/>
    <s v="No"/>
    <n v="1.5989891926779382E-2"/>
    <s v="No"/>
    <n v="21613511"/>
    <n v="56"/>
    <x v="0"/>
  </r>
  <r>
    <n v="2012"/>
    <s v="HOMBRE"/>
    <n v="15803453"/>
    <x v="0"/>
    <x v="1"/>
    <s v="SI"/>
    <s v="SI"/>
    <s v="SI"/>
    <n v="34"/>
    <n v="0.56316232775838282"/>
    <s v="No"/>
    <n v="0.11267335843758788"/>
    <s v="No"/>
    <n v="15803453"/>
    <n v="34"/>
    <x v="0"/>
  </r>
  <r>
    <n v="2013"/>
    <s v="HOMBRE"/>
    <n v="433085"/>
    <x v="3"/>
    <x v="1"/>
    <s v="SI"/>
    <s v="NO"/>
    <s v="SI"/>
    <n v="46"/>
    <n v="0.2837416331672673"/>
    <s v="No"/>
    <n v="0.36844713208783419"/>
    <s v="No"/>
    <n v="433085"/>
    <n v="46"/>
    <x v="3"/>
  </r>
  <r>
    <n v="2014"/>
    <s v="HOMBRE"/>
    <n v="76511168"/>
    <x v="1"/>
    <x v="0"/>
    <s v="SI"/>
    <s v="NO"/>
    <s v="NO"/>
    <n v="62"/>
    <n v="1.4129469144014672"/>
    <s v="No"/>
    <n v="0.89754587347889336"/>
    <s v="No"/>
    <n v="76511168"/>
    <n v="62"/>
    <x v="1"/>
  </r>
  <r>
    <n v="2015"/>
    <s v="HOMBRE"/>
    <n v="175000"/>
    <x v="0"/>
    <x v="1"/>
    <s v="SI"/>
    <s v="NO"/>
    <s v="NO"/>
    <n v="39"/>
    <n v="0.21028567737269524"/>
    <s v="No"/>
    <n v="0.37274184867318361"/>
    <s v="No"/>
    <n v="175000"/>
    <n v="39"/>
    <x v="0"/>
  </r>
  <r>
    <n v="2016"/>
    <s v="HOMBRE"/>
    <n v="611409"/>
    <x v="3"/>
    <x v="1"/>
    <s v="SI"/>
    <s v="NO"/>
    <s v="SI"/>
    <n v="68"/>
    <n v="1.8363988948642924"/>
    <s v="No"/>
    <n v="0.36547969484674753"/>
    <s v="No"/>
    <n v="611409"/>
    <n v="68"/>
    <x v="3"/>
  </r>
  <r>
    <n v="2017"/>
    <s v="HOMBRE"/>
    <n v="40547329"/>
    <x v="0"/>
    <x v="1"/>
    <s v="SI"/>
    <s v="SI"/>
    <s v="NO"/>
    <n v="29"/>
    <n v="0.91603897814407031"/>
    <s v="No"/>
    <n v="0.29908220520628592"/>
    <s v="No"/>
    <n v="40547329"/>
    <n v="29"/>
    <x v="0"/>
  </r>
  <r>
    <n v="2018"/>
    <s v="MUJER"/>
    <n v="297046"/>
    <x v="2"/>
    <x v="1"/>
    <s v="NO"/>
    <s v="NO"/>
    <s v="SI"/>
    <n v="27"/>
    <n v="1.0571896382983452"/>
    <s v="No"/>
    <n v="0.37071091707942361"/>
    <s v="No"/>
    <n v="297046"/>
    <n v="27"/>
    <x v="2"/>
  </r>
  <r>
    <n v="2019"/>
    <s v="MUJER"/>
    <n v="297046"/>
    <x v="2"/>
    <x v="1"/>
    <s v="SI"/>
    <s v="NO"/>
    <s v="NO"/>
    <n v="26"/>
    <n v="1.1277649683754829"/>
    <s v="No"/>
    <n v="0.37071091707942361"/>
    <s v="No"/>
    <n v="297046"/>
    <n v="26"/>
    <x v="2"/>
  </r>
  <r>
    <n v="2020"/>
    <s v="MUJER"/>
    <n v="9705295"/>
    <x v="0"/>
    <x v="0"/>
    <s v="SI"/>
    <s v="NO"/>
    <s v="NO"/>
    <n v="37"/>
    <n v="0.35143633752697023"/>
    <s v="No"/>
    <n v="0.21415101232170039"/>
    <s v="No"/>
    <n v="9705295"/>
    <n v="37"/>
    <x v="0"/>
  </r>
  <r>
    <n v="2021"/>
    <s v="MUJER"/>
    <n v="178916105"/>
    <x v="0"/>
    <x v="0"/>
    <s v="SI"/>
    <s v="NO"/>
    <s v="NO"/>
    <n v="41"/>
    <n v="6.9135017218420233E-2"/>
    <s v="No"/>
    <n v="2.6016363140529726"/>
    <s v="Sí"/>
    <n v="178916105"/>
    <n v="41"/>
    <x v="0"/>
  </r>
  <r>
    <n v="2022"/>
    <s v="HOMBRE"/>
    <n v="417000"/>
    <x v="0"/>
    <x v="1"/>
    <s v="SI"/>
    <s v="NO"/>
    <s v="NO"/>
    <n v="42"/>
    <n v="1.4403128587172659E-3"/>
    <s v="No"/>
    <n v="0.36871479784243189"/>
    <s v="No"/>
    <n v="417000"/>
    <n v="42"/>
    <x v="0"/>
  </r>
  <r>
    <n v="2023"/>
    <s v="HOMBRE"/>
    <n v="500000"/>
    <x v="3"/>
    <x v="1"/>
    <s v="SI"/>
    <s v="NO"/>
    <s v="NO"/>
    <n v="31"/>
    <n v="0.77488831798979529"/>
    <s v="No"/>
    <n v="0.36733361925171953"/>
    <s v="No"/>
    <n v="500000"/>
    <n v="31"/>
    <x v="3"/>
  </r>
  <r>
    <n v="2024"/>
    <s v="HOMBRE"/>
    <n v="351360"/>
    <x v="0"/>
    <x v="1"/>
    <s v="SI"/>
    <s v="NO"/>
    <s v="SI"/>
    <n v="61"/>
    <n v="1.3423715843243298"/>
    <s v="No"/>
    <n v="0.36980709377850851"/>
    <s v="No"/>
    <n v="351360"/>
    <n v="61"/>
    <x v="0"/>
  </r>
  <r>
    <n v="2025"/>
    <s v="MUJER"/>
    <n v="297046"/>
    <x v="2"/>
    <x v="1"/>
    <s v="NO"/>
    <s v="NO"/>
    <s v="SI"/>
    <n v="54"/>
    <n v="0.84834427378436728"/>
    <s v="No"/>
    <n v="0.37071091707942361"/>
    <s v="No"/>
    <n v="297046"/>
    <n v="54"/>
    <x v="2"/>
  </r>
  <r>
    <n v="2026"/>
    <s v="MUJER"/>
    <n v="297042"/>
    <x v="3"/>
    <x v="1"/>
    <s v="SI"/>
    <s v="NO"/>
    <s v="NO"/>
    <n v="25"/>
    <n v="1.1983402984526204"/>
    <s v="No"/>
    <n v="0.37071098364224725"/>
    <s v="No"/>
    <n v="297042"/>
    <n v="25"/>
    <x v="3"/>
  </r>
  <r>
    <n v="2027"/>
    <s v="HOMBRE"/>
    <n v="356455"/>
    <x v="3"/>
    <x v="1"/>
    <s v="SI"/>
    <s v="NO"/>
    <s v="SI"/>
    <n v="55"/>
    <n v="0.91891960386150484"/>
    <s v="No"/>
    <n v="0.36972230938188588"/>
    <s v="No"/>
    <n v="356455"/>
    <n v="55"/>
    <x v="3"/>
  </r>
  <r>
    <n v="2028"/>
    <s v="MUJER"/>
    <n v="36933824"/>
    <x v="0"/>
    <x v="1"/>
    <s v="SI"/>
    <s v="NO"/>
    <s v="NO"/>
    <n v="48"/>
    <n v="0.42489229332154227"/>
    <s v="No"/>
    <n v="0.23895093118903188"/>
    <s v="No"/>
    <n v="36933824"/>
    <n v="48"/>
    <x v="0"/>
  </r>
  <r>
    <n v="2029"/>
    <s v="MUJER"/>
    <n v="299837"/>
    <x v="2"/>
    <x v="1"/>
    <s v="NO"/>
    <s v="SI"/>
    <s v="NO"/>
    <n v="52"/>
    <n v="0.70719361363009237"/>
    <s v="No"/>
    <n v="0.37066447286922266"/>
    <s v="No"/>
    <n v="299837"/>
    <n v="52"/>
    <x v="2"/>
  </r>
  <r>
    <n v="2030"/>
    <s v="MUJER"/>
    <n v="267366"/>
    <x v="0"/>
    <x v="1"/>
    <s v="SI"/>
    <s v="NO"/>
    <s v="NO"/>
    <n v="27"/>
    <n v="1.0571896382983452"/>
    <s v="No"/>
    <n v="0.3712048132308976"/>
    <s v="No"/>
    <n v="267366"/>
    <n v="27"/>
    <x v="0"/>
  </r>
  <r>
    <n v="2031"/>
    <s v="HOMBRE"/>
    <n v="340000"/>
    <x v="0"/>
    <x v="1"/>
    <s v="SI"/>
    <s v="NO"/>
    <s v="NO"/>
    <n v="40"/>
    <n v="0.13971034729555773"/>
    <s v="No"/>
    <n v="0.36999613219767108"/>
    <s v="No"/>
    <n v="340000"/>
    <n v="40"/>
    <x v="0"/>
  </r>
  <r>
    <n v="2032"/>
    <s v="HOMBRE"/>
    <n v="505930"/>
    <x v="0"/>
    <x v="1"/>
    <s v="SI"/>
    <s v="NO"/>
    <s v="NO"/>
    <n v="20"/>
    <n v="1.5512169488383079"/>
    <s v="No"/>
    <n v="0.36723493986566019"/>
    <s v="No"/>
    <n v="505930"/>
    <n v="20"/>
    <x v="0"/>
  </r>
  <r>
    <n v="2033"/>
    <s v="HOMBRE"/>
    <n v="275658"/>
    <x v="0"/>
    <x v="1"/>
    <s v="SI"/>
    <s v="SI"/>
    <s v="NO"/>
    <n v="52"/>
    <n v="0.70719361363009237"/>
    <s v="No"/>
    <n v="0.37106682849747363"/>
    <s v="No"/>
    <n v="275658"/>
    <n v="52"/>
    <x v="0"/>
  </r>
  <r>
    <n v="2034"/>
    <s v="HOMBRE"/>
    <n v="278035"/>
    <x v="3"/>
    <x v="1"/>
    <s v="SI"/>
    <s v="NO"/>
    <s v="NO"/>
    <n v="28"/>
    <n v="0.98661430822120777"/>
    <s v="No"/>
    <n v="0.37102727353952036"/>
    <s v="No"/>
    <n v="278035"/>
    <n v="28"/>
    <x v="3"/>
  </r>
  <r>
    <n v="2035"/>
    <s v="MUJER"/>
    <n v="1546084"/>
    <x v="0"/>
    <x v="0"/>
    <s v="SI"/>
    <s v="NO"/>
    <s v="NO"/>
    <n v="47"/>
    <n v="0.35431696324440481"/>
    <s v="No"/>
    <n v="0.34992604304826463"/>
    <s v="No"/>
    <n v="1546084"/>
    <n v="47"/>
    <x v="0"/>
  </r>
  <r>
    <n v="2036"/>
    <s v="HOMBRE"/>
    <n v="810097"/>
    <x v="0"/>
    <x v="1"/>
    <s v="SI"/>
    <s v="NO"/>
    <s v="NO"/>
    <n v="31"/>
    <n v="0.77488831798979529"/>
    <s v="No"/>
    <n v="0.36217338627046491"/>
    <s v="No"/>
    <n v="810097"/>
    <n v="31"/>
    <x v="0"/>
  </r>
  <r>
    <n v="2037"/>
    <s v="HOMBRE"/>
    <n v="106867967"/>
    <x v="0"/>
    <x v="0"/>
    <s v="SI"/>
    <s v="NO"/>
    <s v="NO"/>
    <n v="28"/>
    <n v="0.98661430822120777"/>
    <s v="No"/>
    <n v="1.4027044380735747"/>
    <s v="No"/>
    <n v="106867967"/>
    <n v="28"/>
    <x v="0"/>
  </r>
  <r>
    <n v="2038"/>
    <s v="MUJER"/>
    <n v="1511481"/>
    <x v="1"/>
    <x v="0"/>
    <s v="SI"/>
    <s v="NO"/>
    <s v="NO"/>
    <n v="69"/>
    <n v="1.9069742249414299"/>
    <s v="No"/>
    <n v="0.35050186139494438"/>
    <s v="No"/>
    <n v="1511481"/>
    <n v="69"/>
    <x v="1"/>
  </r>
  <r>
    <n v="2039"/>
    <s v="HOMBRE"/>
    <n v="360000"/>
    <x v="0"/>
    <x v="1"/>
    <s v="SI"/>
    <s v="NO"/>
    <s v="NO"/>
    <n v="49"/>
    <n v="0.49546762339867978"/>
    <s v="No"/>
    <n v="0.36966331807942709"/>
    <s v="No"/>
    <n v="360000"/>
    <n v="49"/>
    <x v="0"/>
  </r>
  <r>
    <n v="2040"/>
    <s v="HOMBRE"/>
    <n v="639148"/>
    <x v="3"/>
    <x v="1"/>
    <s v="SI"/>
    <s v="NO"/>
    <s v="NO"/>
    <n v="54"/>
    <n v="0.84834427378436728"/>
    <s v="No"/>
    <n v="0.36501809830544912"/>
    <s v="No"/>
    <n v="639148"/>
    <n v="54"/>
    <x v="3"/>
  </r>
  <r>
    <n v="2041"/>
    <s v="HOMBRE"/>
    <n v="3002779"/>
    <x v="0"/>
    <x v="1"/>
    <s v="SI"/>
    <s v="SI"/>
    <s v="NO"/>
    <n v="39"/>
    <n v="0.21028567737269524"/>
    <s v="No"/>
    <n v="0.32568560994949658"/>
    <s v="No"/>
    <n v="3002779"/>
    <n v="39"/>
    <x v="0"/>
  </r>
  <r>
    <n v="2042"/>
    <s v="HOMBRE"/>
    <n v="505376"/>
    <x v="0"/>
    <x v="0"/>
    <s v="SI"/>
    <s v="NO"/>
    <s v="SI"/>
    <n v="29"/>
    <n v="0.91603897814407031"/>
    <s v="No"/>
    <n v="0.36724415881673556"/>
    <s v="No"/>
    <n v="505376"/>
    <n v="29"/>
    <x v="0"/>
  </r>
  <r>
    <n v="2043"/>
    <s v="MUJER"/>
    <n v="269568"/>
    <x v="0"/>
    <x v="1"/>
    <s v="SI"/>
    <s v="NO"/>
    <s v="NO"/>
    <n v="28"/>
    <n v="0.98661430822120777"/>
    <s v="No"/>
    <n v="0.37116817039647892"/>
    <s v="No"/>
    <n v="269568"/>
    <n v="28"/>
    <x v="0"/>
  </r>
  <r>
    <n v="2044"/>
    <s v="HOMBRE"/>
    <n v="366000"/>
    <x v="0"/>
    <x v="1"/>
    <s v="SI"/>
    <s v="NO"/>
    <s v="NO"/>
    <n v="51"/>
    <n v="0.6366182835529548"/>
    <s v="No"/>
    <n v="0.36956347384395394"/>
    <s v="No"/>
    <n v="366000"/>
    <n v="51"/>
    <x v="0"/>
  </r>
  <r>
    <n v="2045"/>
    <s v="HOMBRE"/>
    <n v="35724053"/>
    <x v="0"/>
    <x v="1"/>
    <s v="SI"/>
    <s v="NO"/>
    <s v="NO"/>
    <n v="21"/>
    <n v="1.4806416187611704"/>
    <s v="No"/>
    <n v="0.21881948775692719"/>
    <s v="No"/>
    <n v="35724053"/>
    <n v="21"/>
    <x v="0"/>
  </r>
  <r>
    <n v="2046"/>
    <s v="HOMBRE"/>
    <n v="310124"/>
    <x v="3"/>
    <x v="1"/>
    <s v="SI"/>
    <s v="NO"/>
    <s v="SI"/>
    <n v="66"/>
    <n v="1.6952482347100173"/>
    <s v="No"/>
    <n v="0.37049328992750385"/>
    <s v="No"/>
    <n v="310124"/>
    <n v="66"/>
    <x v="3"/>
  </r>
  <r>
    <n v="2047"/>
    <s v="HOMBRE"/>
    <n v="50587511"/>
    <x v="0"/>
    <x v="1"/>
    <s v="SI"/>
    <s v="NO"/>
    <s v="NO"/>
    <n v="29"/>
    <n v="0.91603897814407031"/>
    <s v="No"/>
    <n v="0.46615792117322163"/>
    <s v="No"/>
    <n v="50587511"/>
    <n v="29"/>
    <x v="0"/>
  </r>
  <r>
    <n v="2048"/>
    <s v="HOMBRE"/>
    <n v="34404181"/>
    <x v="0"/>
    <x v="1"/>
    <s v="SI"/>
    <s v="NO"/>
    <s v="NO"/>
    <n v="23"/>
    <n v="1.3394909586068953"/>
    <s v="No"/>
    <n v="0.19685588596318368"/>
    <s v="No"/>
    <n v="34404181"/>
    <n v="23"/>
    <x v="0"/>
  </r>
  <r>
    <n v="2049"/>
    <s v="MUJER"/>
    <n v="731044"/>
    <x v="0"/>
    <x v="0"/>
    <s v="SI"/>
    <s v="NO"/>
    <s v="SI"/>
    <n v="36"/>
    <n v="0.42201166760410774"/>
    <s v="No"/>
    <n v="0.36348888399494184"/>
    <s v="No"/>
    <n v="731044"/>
    <n v="36"/>
    <x v="0"/>
  </r>
  <r>
    <n v="2050"/>
    <s v="MUJER"/>
    <n v="30267895"/>
    <x v="0"/>
    <x v="0"/>
    <s v="SI"/>
    <s v="NO"/>
    <s v="NO"/>
    <n v="58"/>
    <n v="1.1306455940929174"/>
    <s v="No"/>
    <n v="0.12802516706844527"/>
    <s v="No"/>
    <n v="30267895"/>
    <n v="58"/>
    <x v="0"/>
  </r>
  <r>
    <n v="2051"/>
    <s v="MUJER"/>
    <n v="79110677"/>
    <x v="0"/>
    <x v="1"/>
    <s v="SI"/>
    <s v="NO"/>
    <s v="NO"/>
    <n v="48"/>
    <n v="0.42489229332154227"/>
    <s v="No"/>
    <n v="0.94080353826400309"/>
    <s v="No"/>
    <n v="79110677"/>
    <n v="48"/>
    <x v="0"/>
  </r>
  <r>
    <n v="2052"/>
    <s v="MUJER"/>
    <n v="11206894"/>
    <x v="1"/>
    <x v="0"/>
    <s v="SI"/>
    <s v="NO"/>
    <s v="NO"/>
    <n v="68"/>
    <n v="1.8363988948642924"/>
    <s v="No"/>
    <n v="0.18916334496465104"/>
    <s v="No"/>
    <n v="11206894"/>
    <n v="68"/>
    <x v="1"/>
  </r>
  <r>
    <n v="2053"/>
    <s v="HOMBRE"/>
    <n v="297046"/>
    <x v="2"/>
    <x v="1"/>
    <s v="SI"/>
    <s v="NO"/>
    <s v="SI"/>
    <n v="31"/>
    <n v="0.77488831798979529"/>
    <s v="No"/>
    <n v="0.37071091707942361"/>
    <s v="No"/>
    <n v="297046"/>
    <n v="31"/>
    <x v="2"/>
  </r>
  <r>
    <n v="2054"/>
    <s v="MUJER"/>
    <n v="2024000"/>
    <x v="0"/>
    <x v="1"/>
    <s v="SI"/>
    <s v="NO"/>
    <s v="NO"/>
    <n v="26"/>
    <n v="1.1277649683754829"/>
    <s v="No"/>
    <n v="0.34197318344153099"/>
    <s v="No"/>
    <n v="2024000"/>
    <n v="26"/>
    <x v="0"/>
  </r>
  <r>
    <n v="2055"/>
    <s v="MUJER"/>
    <n v="220000"/>
    <x v="0"/>
    <x v="1"/>
    <s v="SI"/>
    <s v="NO"/>
    <s v="NO"/>
    <n v="24"/>
    <n v="1.2689156285297578"/>
    <s v="No"/>
    <n v="0.37199301690713471"/>
    <s v="No"/>
    <n v="220000"/>
    <n v="24"/>
    <x v="0"/>
  </r>
  <r>
    <n v="2056"/>
    <s v="HOMBRE"/>
    <n v="297659"/>
    <x v="3"/>
    <x v="1"/>
    <s v="SI"/>
    <s v="NO"/>
    <s v="NO"/>
    <n v="60"/>
    <n v="1.2717962542471923"/>
    <s v="No"/>
    <n v="0.37070071632669943"/>
    <s v="No"/>
    <n v="297659"/>
    <n v="60"/>
    <x v="3"/>
  </r>
  <r>
    <n v="2057"/>
    <s v="MUJER"/>
    <n v="1286116"/>
    <x v="0"/>
    <x v="0"/>
    <s v="SI"/>
    <s v="NO"/>
    <s v="SI"/>
    <n v="51"/>
    <n v="0.6366182835529548"/>
    <s v="No"/>
    <n v="0.35425209408284675"/>
    <s v="No"/>
    <n v="1286116"/>
    <n v="51"/>
    <x v="0"/>
  </r>
  <r>
    <n v="2058"/>
    <s v="HOMBRE"/>
    <n v="180800"/>
    <x v="0"/>
    <x v="1"/>
    <s v="SI"/>
    <s v="NO"/>
    <s v="SI"/>
    <n v="35"/>
    <n v="0.49258699768124525"/>
    <s v="No"/>
    <n v="0.37264533257889287"/>
    <s v="No"/>
    <n v="180800"/>
    <n v="35"/>
    <x v="0"/>
  </r>
  <r>
    <n v="2059"/>
    <s v="HOMBRE"/>
    <n v="334141"/>
    <x v="3"/>
    <x v="1"/>
    <s v="SI"/>
    <s v="NO"/>
    <s v="SI"/>
    <n v="38"/>
    <n v="0.28086100744983278"/>
    <s v="No"/>
    <n v="0.37009363009361063"/>
    <s v="No"/>
    <n v="334141"/>
    <n v="38"/>
    <x v="3"/>
  </r>
  <r>
    <n v="2060"/>
    <s v="MUJER"/>
    <n v="3565496"/>
    <x v="0"/>
    <x v="1"/>
    <s v="SI"/>
    <s v="NO"/>
    <s v="SI"/>
    <n v="43"/>
    <n v="7.2015642935854773E-2"/>
    <s v="No"/>
    <n v="0.31632160184070274"/>
    <s v="No"/>
    <n v="3565496"/>
    <n v="43"/>
    <x v="0"/>
  </r>
  <r>
    <n v="2061"/>
    <s v="HOMBRE"/>
    <n v="5264418"/>
    <x v="0"/>
    <x v="1"/>
    <s v="SI"/>
    <s v="NO"/>
    <s v="NO"/>
    <n v="43"/>
    <n v="7.2015642935854773E-2"/>
    <s v="No"/>
    <n v="0.28805034047094086"/>
    <s v="No"/>
    <n v="5264418"/>
    <n v="43"/>
    <x v="0"/>
  </r>
  <r>
    <n v="2062"/>
    <s v="MUJER"/>
    <n v="297046"/>
    <x v="2"/>
    <x v="1"/>
    <s v="SI"/>
    <s v="NO"/>
    <s v="NO"/>
    <n v="30"/>
    <n v="0.84546364806693275"/>
    <s v="No"/>
    <n v="0.37071091707942361"/>
    <s v="No"/>
    <n v="297046"/>
    <n v="30"/>
    <x v="2"/>
  </r>
  <r>
    <n v="2063"/>
    <s v="MUJER"/>
    <n v="26964095"/>
    <x v="0"/>
    <x v="1"/>
    <s v="SI"/>
    <s v="NO"/>
    <s v="NO"/>
    <n v="26"/>
    <n v="1.1277649683754829"/>
    <s v="No"/>
    <n v="7.3047602875728243E-2"/>
    <s v="No"/>
    <n v="26964095"/>
    <n v="26"/>
    <x v="0"/>
  </r>
  <r>
    <n v="2064"/>
    <s v="HOMBRE"/>
    <n v="601793"/>
    <x v="0"/>
    <x v="0"/>
    <s v="SI"/>
    <s v="NO"/>
    <s v="NO"/>
    <n v="58"/>
    <n v="1.1306455940929174"/>
    <s v="No"/>
    <n v="0.36563971187479921"/>
    <s v="No"/>
    <n v="601793"/>
    <n v="58"/>
    <x v="0"/>
  </r>
  <r>
    <n v="2065"/>
    <s v="MUJER"/>
    <n v="1000000"/>
    <x v="0"/>
    <x v="1"/>
    <s v="SI"/>
    <s v="NO"/>
    <s v="NO"/>
    <n v="23"/>
    <n v="1.3394909586068953"/>
    <s v="No"/>
    <n v="0.35901326629562091"/>
    <s v="No"/>
    <n v="1000000"/>
    <n v="23"/>
    <x v="0"/>
  </r>
  <r>
    <n v="2066"/>
    <s v="HOMBRE"/>
    <n v="255672"/>
    <x v="0"/>
    <x v="1"/>
    <s v="SI"/>
    <s v="NO"/>
    <s v="NO"/>
    <n v="50"/>
    <n v="0.56604295347581735"/>
    <s v="No"/>
    <n v="0.37139940964583484"/>
    <s v="No"/>
    <n v="255672"/>
    <n v="50"/>
    <x v="0"/>
  </r>
  <r>
    <n v="2067"/>
    <s v="HOMBRE"/>
    <n v="693616"/>
    <x v="0"/>
    <x v="1"/>
    <s v="SI"/>
    <s v="NO"/>
    <s v="NO"/>
    <n v="60"/>
    <n v="1.2717962542471923"/>
    <s v="No"/>
    <n v="0.36411171233582357"/>
    <s v="No"/>
    <n v="693616"/>
    <n v="60"/>
    <x v="0"/>
  </r>
  <r>
    <n v="2068"/>
    <s v="HOMBRE"/>
    <n v="326749"/>
    <x v="3"/>
    <x v="1"/>
    <s v="SI"/>
    <s v="NO"/>
    <s v="SI"/>
    <n v="36"/>
    <n v="0.42201166760410774"/>
    <s v="No"/>
    <n v="0.37021663819171358"/>
    <s v="No"/>
    <n v="326749"/>
    <n v="36"/>
    <x v="3"/>
  </r>
  <r>
    <n v="2069"/>
    <s v="MUJER"/>
    <n v="319576"/>
    <x v="0"/>
    <x v="1"/>
    <s v="SI"/>
    <s v="NO"/>
    <s v="NO"/>
    <n v="44"/>
    <n v="0.14259097301299228"/>
    <s v="No"/>
    <n v="0.37033600197522176"/>
    <s v="No"/>
    <n v="319576"/>
    <n v="44"/>
    <x v="0"/>
  </r>
  <r>
    <n v="2070"/>
    <s v="HOMBRE"/>
    <n v="27803099"/>
    <x v="4"/>
    <x v="1"/>
    <s v="SI"/>
    <s v="NO"/>
    <s v="NO"/>
    <n v="43"/>
    <n v="7.2015642935854773E-2"/>
    <s v="No"/>
    <n v="8.7009221698885322E-2"/>
    <s v="No"/>
    <n v="27803099"/>
    <n v="43"/>
    <x v="4"/>
  </r>
  <r>
    <n v="2071"/>
    <s v="MUJER"/>
    <n v="400000"/>
    <x v="0"/>
    <x v="1"/>
    <s v="SI"/>
    <s v="NO"/>
    <s v="NO"/>
    <n v="40"/>
    <n v="0.13971034729555773"/>
    <s v="No"/>
    <n v="0.36899768984293924"/>
    <s v="No"/>
    <n v="400000"/>
    <n v="40"/>
    <x v="0"/>
  </r>
  <r>
    <n v="2072"/>
    <s v="HOMBRE"/>
    <n v="328192"/>
    <x v="3"/>
    <x v="1"/>
    <s v="SI"/>
    <s v="NO"/>
    <s v="SI"/>
    <n v="43"/>
    <n v="7.2015642935854773E-2"/>
    <s v="No"/>
    <n v="0.37019262565308231"/>
    <s v="No"/>
    <n v="328192"/>
    <n v="43"/>
    <x v="3"/>
  </r>
  <r>
    <n v="2073"/>
    <s v="MUJER"/>
    <n v="1314059"/>
    <x v="1"/>
    <x v="0"/>
    <s v="SI"/>
    <s v="NO"/>
    <s v="NO"/>
    <n v="67"/>
    <n v="1.765823564787155"/>
    <s v="No"/>
    <n v="0.35378710283754222"/>
    <s v="No"/>
    <n v="1314059"/>
    <n v="67"/>
    <x v="1"/>
  </r>
  <r>
    <n v="2074"/>
    <s v="MUJER"/>
    <n v="300018"/>
    <x v="2"/>
    <x v="1"/>
    <s v="SI"/>
    <s v="NO"/>
    <s v="NO"/>
    <n v="59"/>
    <n v="1.2012209241700549"/>
    <s v="No"/>
    <n v="0.37066146090145252"/>
    <s v="No"/>
    <n v="300018"/>
    <n v="59"/>
    <x v="2"/>
  </r>
  <r>
    <n v="2075"/>
    <s v="MUJER"/>
    <n v="400000"/>
    <x v="0"/>
    <x v="1"/>
    <s v="SI"/>
    <s v="NO"/>
    <s v="NO"/>
    <n v="35"/>
    <n v="0.49258699768124525"/>
    <s v="No"/>
    <n v="0.36899768984293924"/>
    <s v="No"/>
    <n v="400000"/>
    <n v="35"/>
    <x v="0"/>
  </r>
  <r>
    <n v="2076"/>
    <s v="HOMBRE"/>
    <n v="550000"/>
    <x v="0"/>
    <x v="1"/>
    <s v="SI"/>
    <s v="NO"/>
    <s v="NO"/>
    <n v="25"/>
    <n v="1.1983402984526204"/>
    <s v="No"/>
    <n v="0.36650158395610966"/>
    <s v="No"/>
    <n v="550000"/>
    <n v="25"/>
    <x v="0"/>
  </r>
  <r>
    <n v="2077"/>
    <s v="MUJER"/>
    <n v="686170"/>
    <x v="3"/>
    <x v="1"/>
    <s v="SI"/>
    <s v="NO"/>
    <s v="SI"/>
    <n v="43"/>
    <n v="7.2015642935854773E-2"/>
    <s v="No"/>
    <n v="0.36423561903204577"/>
    <s v="No"/>
    <n v="686170"/>
    <n v="43"/>
    <x v="3"/>
  </r>
  <r>
    <n v="2078"/>
    <s v="MUJER"/>
    <n v="161550"/>
    <x v="0"/>
    <x v="1"/>
    <s v="SI"/>
    <s v="NO"/>
    <s v="NO"/>
    <n v="39"/>
    <n v="0.21028567737269524"/>
    <s v="No"/>
    <n v="0.37296566616770266"/>
    <s v="No"/>
    <n v="161550"/>
    <n v="39"/>
    <x v="0"/>
  </r>
  <r>
    <n v="2079"/>
    <s v="HOMBRE"/>
    <n v="1038456"/>
    <x v="0"/>
    <x v="1"/>
    <s v="SI"/>
    <s v="NO"/>
    <s v="NO"/>
    <n v="36"/>
    <n v="0.42201166760410774"/>
    <s v="No"/>
    <n v="0.35837333130906146"/>
    <s v="No"/>
    <n v="1038456"/>
    <n v="36"/>
    <x v="0"/>
  </r>
  <r>
    <n v="2080"/>
    <s v="HOMBRE"/>
    <n v="68565334"/>
    <x v="0"/>
    <x v="1"/>
    <s v="SI"/>
    <s v="NO"/>
    <s v="NO"/>
    <n v="44"/>
    <n v="0.14259097301299228"/>
    <s v="No"/>
    <n v="0.76532158665775607"/>
    <s v="No"/>
    <n v="68565334"/>
    <n v="44"/>
    <x v="0"/>
  </r>
  <r>
    <n v="2081"/>
    <s v="HOMBRE"/>
    <n v="594092"/>
    <x v="3"/>
    <x v="1"/>
    <s v="SI"/>
    <s v="SI"/>
    <s v="NO"/>
    <n v="55"/>
    <n v="0.91891960386150484"/>
    <s v="No"/>
    <n v="0.36576786195102906"/>
    <s v="No"/>
    <n v="594092"/>
    <n v="55"/>
    <x v="3"/>
  </r>
  <r>
    <n v="2082"/>
    <s v="HOMBRE"/>
    <n v="457059"/>
    <x v="0"/>
    <x v="0"/>
    <s v="SI"/>
    <s v="NO"/>
    <s v="SI"/>
    <n v="44"/>
    <n v="0.14259097301299228"/>
    <s v="No"/>
    <n v="0.36804818780429516"/>
    <s v="No"/>
    <n v="457059"/>
    <n v="44"/>
    <x v="0"/>
  </r>
  <r>
    <n v="2083"/>
    <s v="HOMBRE"/>
    <n v="250000"/>
    <x v="0"/>
    <x v="1"/>
    <s v="SI"/>
    <s v="SI"/>
    <s v="SI"/>
    <n v="47"/>
    <n v="0.35431696324440481"/>
    <s v="No"/>
    <n v="0.37149379572976882"/>
    <s v="No"/>
    <n v="250000"/>
    <n v="47"/>
    <x v="0"/>
  </r>
  <r>
    <n v="2084"/>
    <s v="MUJER"/>
    <n v="356600"/>
    <x v="0"/>
    <x v="1"/>
    <s v="SI"/>
    <s v="NO"/>
    <s v="NO"/>
    <n v="49"/>
    <n v="0.49546762339867978"/>
    <s v="No"/>
    <n v="0.36971989647952858"/>
    <s v="No"/>
    <n v="356600"/>
    <n v="49"/>
    <x v="0"/>
  </r>
  <r>
    <n v="2085"/>
    <s v="HOMBRE"/>
    <n v="3983343"/>
    <x v="1"/>
    <x v="0"/>
    <s v="SI"/>
    <s v="NO"/>
    <s v="NO"/>
    <n v="69"/>
    <n v="1.9069742249414299"/>
    <s v="No"/>
    <n v="0.30936833279740888"/>
    <s v="No"/>
    <n v="3983343"/>
    <n v="69"/>
    <x v="1"/>
  </r>
  <r>
    <n v="2086"/>
    <s v="HOMBRE"/>
    <n v="300000"/>
    <x v="0"/>
    <x v="1"/>
    <s v="SI"/>
    <s v="NO"/>
    <s v="NO"/>
    <n v="20"/>
    <n v="1.5512169488383079"/>
    <s v="No"/>
    <n v="0.37066176043415894"/>
    <s v="No"/>
    <n v="300000"/>
    <n v="20"/>
    <x v="0"/>
  </r>
  <r>
    <n v="2087"/>
    <s v="HOMBRE"/>
    <n v="110000"/>
    <x v="0"/>
    <x v="1"/>
    <s v="SI"/>
    <s v="NO"/>
    <s v="SI"/>
    <n v="57"/>
    <n v="1.0600702640157798"/>
    <s v="No"/>
    <n v="0.37382349455747643"/>
    <s v="No"/>
    <n v="110000"/>
    <n v="57"/>
    <x v="0"/>
  </r>
  <r>
    <n v="2088"/>
    <s v="MUJER"/>
    <n v="799650"/>
    <x v="0"/>
    <x v="1"/>
    <s v="SI"/>
    <s v="NO"/>
    <s v="NO"/>
    <n v="25"/>
    <n v="1.1983402984526204"/>
    <s v="No"/>
    <n v="0.36234723172512961"/>
    <s v="No"/>
    <n v="799650"/>
    <n v="25"/>
    <x v="0"/>
  </r>
  <r>
    <n v="2089"/>
    <s v="MUJER"/>
    <n v="488750"/>
    <x v="0"/>
    <x v="1"/>
    <s v="SI"/>
    <s v="NO"/>
    <s v="NO"/>
    <n v="24"/>
    <n v="1.2689156285297578"/>
    <s v="No"/>
    <n v="0.36752082719323176"/>
    <s v="No"/>
    <n v="488750"/>
    <n v="24"/>
    <x v="0"/>
  </r>
  <r>
    <n v="2090"/>
    <s v="HOMBRE"/>
    <n v="2038867"/>
    <x v="0"/>
    <x v="1"/>
    <s v="SI"/>
    <s v="NO"/>
    <s v="NO"/>
    <n v="34"/>
    <n v="0.56316232775838282"/>
    <s v="No"/>
    <n v="0.34172578606673437"/>
    <s v="No"/>
    <n v="2038867"/>
    <n v="34"/>
    <x v="0"/>
  </r>
  <r>
    <n v="2091"/>
    <s v="MUJER"/>
    <n v="79393098"/>
    <x v="0"/>
    <x v="0"/>
    <s v="SI"/>
    <s v="NO"/>
    <s v="NO"/>
    <n v="35"/>
    <n v="0.49258699768124525"/>
    <s v="No"/>
    <n v="0.94550322306843182"/>
    <s v="No"/>
    <n v="79393098"/>
    <n v="35"/>
    <x v="0"/>
  </r>
  <r>
    <n v="2092"/>
    <s v="HOMBRE"/>
    <n v="45233726"/>
    <x v="0"/>
    <x v="1"/>
    <s v="SI"/>
    <s v="NO"/>
    <s v="NO"/>
    <n v="40"/>
    <n v="0.13971034729555773"/>
    <s v="No"/>
    <n v="0.37706715947108904"/>
    <s v="No"/>
    <n v="45233726"/>
    <n v="40"/>
    <x v="0"/>
  </r>
  <r>
    <n v="2093"/>
    <s v="HOMBRE"/>
    <n v="40125865"/>
    <x v="0"/>
    <x v="1"/>
    <s v="SI"/>
    <s v="NO"/>
    <s v="NO"/>
    <n v="59"/>
    <n v="1.2012209241700549"/>
    <s v="No"/>
    <n v="0.29206874672970767"/>
    <s v="No"/>
    <n v="40125865"/>
    <n v="59"/>
    <x v="0"/>
  </r>
  <r>
    <n v="2094"/>
    <s v="MUJER"/>
    <n v="47634445"/>
    <x v="0"/>
    <x v="1"/>
    <s v="SI"/>
    <s v="NO"/>
    <s v="NO"/>
    <n v="24"/>
    <n v="1.2689156285297578"/>
    <s v="No"/>
    <n v="0.41701681832791315"/>
    <s v="No"/>
    <n v="47634445"/>
    <n v="24"/>
    <x v="0"/>
  </r>
  <r>
    <n v="2095"/>
    <s v="HOMBRE"/>
    <n v="1934551"/>
    <x v="0"/>
    <x v="1"/>
    <s v="SI"/>
    <s v="NO"/>
    <s v="SI"/>
    <n v="58"/>
    <n v="1.1306455940929174"/>
    <s v="No"/>
    <n v="0.34346167794467114"/>
    <s v="No"/>
    <n v="1934551"/>
    <n v="58"/>
    <x v="0"/>
  </r>
  <r>
    <n v="2096"/>
    <s v="HOMBRE"/>
    <n v="199548254"/>
    <x v="0"/>
    <x v="0"/>
    <s v="SI"/>
    <s v="NO"/>
    <s v="NO"/>
    <n v="34"/>
    <n v="0.56316232775838282"/>
    <s v="No"/>
    <n v="2.9449698378986056"/>
    <s v="Sí"/>
    <n v="199548254"/>
    <n v="34"/>
    <x v="0"/>
  </r>
  <r>
    <n v="2097"/>
    <s v="HOMBRE"/>
    <n v="297949"/>
    <x v="2"/>
    <x v="1"/>
    <s v="SI"/>
    <s v="NO"/>
    <s v="NO"/>
    <n v="37"/>
    <n v="0.35143633752697023"/>
    <s v="No"/>
    <n v="0.37069589052198487"/>
    <s v="No"/>
    <n v="297949"/>
    <n v="37"/>
    <x v="2"/>
  </r>
  <r>
    <n v="2098"/>
    <s v="HOMBRE"/>
    <n v="722064"/>
    <x v="0"/>
    <x v="1"/>
    <s v="SI"/>
    <s v="NO"/>
    <s v="NO"/>
    <n v="33"/>
    <n v="0.63373765783552027"/>
    <s v="No"/>
    <n v="0.36363831753403336"/>
    <s v="No"/>
    <n v="722064"/>
    <n v="33"/>
    <x v="0"/>
  </r>
  <r>
    <n v="2099"/>
    <s v="HOMBRE"/>
    <n v="7539135"/>
    <x v="0"/>
    <x v="0"/>
    <s v="SI"/>
    <s v="NO"/>
    <s v="NO"/>
    <n v="56"/>
    <n v="0.9894949339386423"/>
    <s v="No"/>
    <n v="0.25019744384046544"/>
    <s v="No"/>
    <n v="7539135"/>
    <n v="56"/>
    <x v="0"/>
  </r>
  <r>
    <n v="2100"/>
    <s v="HOMBRE"/>
    <n v="60714285"/>
    <x v="0"/>
    <x v="1"/>
    <s v="SI"/>
    <s v="NO"/>
    <s v="NO"/>
    <n v="31"/>
    <n v="0.77488831798979529"/>
    <s v="No"/>
    <n v="0.63467458914650632"/>
    <s v="No"/>
    <n v="60714285"/>
    <n v="31"/>
    <x v="0"/>
  </r>
  <r>
    <n v="2101"/>
    <s v="HOMBRE"/>
    <n v="260000"/>
    <x v="0"/>
    <x v="1"/>
    <s v="SI"/>
    <s v="NO"/>
    <s v="SI"/>
    <n v="37"/>
    <n v="0.35143633752697023"/>
    <s v="No"/>
    <n v="0.37132738867064685"/>
    <s v="No"/>
    <n v="260000"/>
    <n v="37"/>
    <x v="0"/>
  </r>
  <r>
    <n v="2102"/>
    <s v="HOMBRE"/>
    <n v="742000"/>
    <x v="0"/>
    <x v="1"/>
    <s v="SI"/>
    <s v="NO"/>
    <s v="NO"/>
    <n v="57"/>
    <n v="1.0600702640157798"/>
    <s v="No"/>
    <n v="0.36330656842096781"/>
    <s v="No"/>
    <n v="742000"/>
    <n v="57"/>
    <x v="0"/>
  </r>
  <r>
    <n v="2103"/>
    <s v="HOMBRE"/>
    <n v="170440"/>
    <x v="0"/>
    <x v="1"/>
    <s v="SI"/>
    <s v="NO"/>
    <s v="NO"/>
    <n v="42"/>
    <n v="1.4403128587172659E-3"/>
    <s v="No"/>
    <n v="0.37281773029214321"/>
    <s v="No"/>
    <n v="170440"/>
    <n v="42"/>
    <x v="0"/>
  </r>
  <r>
    <n v="2104"/>
    <s v="MUJER"/>
    <n v="242860"/>
    <x v="0"/>
    <x v="1"/>
    <s v="SI"/>
    <s v="NO"/>
    <s v="SI"/>
    <n v="62"/>
    <n v="1.4129469144014672"/>
    <s v="No"/>
    <n v="0.37161261036998189"/>
    <s v="No"/>
    <n v="242860"/>
    <n v="62"/>
    <x v="0"/>
  </r>
  <r>
    <n v="2105"/>
    <s v="HOMBRE"/>
    <n v="1860734"/>
    <x v="3"/>
    <x v="1"/>
    <s v="SI"/>
    <s v="SI"/>
    <s v="SI"/>
    <n v="52"/>
    <n v="0.70719361363009237"/>
    <s v="No"/>
    <n v="0.34469004493299182"/>
    <s v="No"/>
    <n v="1860734"/>
    <n v="52"/>
    <x v="3"/>
  </r>
  <r>
    <n v="2106"/>
    <s v="HOMBRE"/>
    <n v="62037367"/>
    <x v="0"/>
    <x v="1"/>
    <s v="SI"/>
    <s v="NO"/>
    <s v="NO"/>
    <n v="46"/>
    <n v="0.2837416331672673"/>
    <s v="No"/>
    <n v="0.65669160760622791"/>
    <s v="No"/>
    <n v="62037367"/>
    <n v="46"/>
    <x v="0"/>
  </r>
  <r>
    <n v="2107"/>
    <s v="MUJER"/>
    <n v="1233708"/>
    <x v="0"/>
    <x v="1"/>
    <s v="SI"/>
    <s v="NO"/>
    <s v="NO"/>
    <n v="40"/>
    <n v="0.13971034729555773"/>
    <s v="No"/>
    <n v="0.35512420019829316"/>
    <s v="No"/>
    <n v="1233708"/>
    <n v="40"/>
    <x v="0"/>
  </r>
  <r>
    <n v="2108"/>
    <s v="HOMBRE"/>
    <n v="520000"/>
    <x v="0"/>
    <x v="1"/>
    <s v="SI"/>
    <s v="NO"/>
    <s v="NO"/>
    <n v="45"/>
    <n v="0.21316630309012977"/>
    <s v="No"/>
    <n v="0.36700080513347555"/>
    <s v="No"/>
    <n v="520000"/>
    <n v="45"/>
    <x v="0"/>
  </r>
  <r>
    <n v="2109"/>
    <s v="HOMBRE"/>
    <n v="160000"/>
    <x v="0"/>
    <x v="1"/>
    <s v="SI"/>
    <s v="SI"/>
    <s v="NO"/>
    <n v="26"/>
    <n v="1.1277649683754829"/>
    <s v="No"/>
    <n v="0.37299145926186655"/>
    <s v="No"/>
    <n v="160000"/>
    <n v="26"/>
    <x v="0"/>
  </r>
  <r>
    <n v="2110"/>
    <s v="HOMBRE"/>
    <n v="2963462"/>
    <x v="0"/>
    <x v="1"/>
    <s v="SI"/>
    <s v="NO"/>
    <s v="NO"/>
    <n v="48"/>
    <n v="0.42489229332154227"/>
    <s v="No"/>
    <n v="0.32633987258384645"/>
    <s v="No"/>
    <n v="2963462"/>
    <n v="48"/>
    <x v="0"/>
  </r>
  <r>
    <n v="2111"/>
    <s v="MUJER"/>
    <n v="3294209"/>
    <x v="0"/>
    <x v="0"/>
    <s v="SI"/>
    <s v="NO"/>
    <s v="NO"/>
    <n v="24"/>
    <n v="1.2689156285297578"/>
    <s v="No"/>
    <n v="0.32083600902550496"/>
    <s v="No"/>
    <n v="3294209"/>
    <n v="24"/>
    <x v="0"/>
  </r>
  <r>
    <n v="2112"/>
    <s v="HOMBRE"/>
    <n v="297102"/>
    <x v="3"/>
    <x v="1"/>
    <s v="SI"/>
    <s v="NO"/>
    <s v="NO"/>
    <n v="29"/>
    <n v="0.91603897814407031"/>
    <s v="No"/>
    <n v="0.37070998519989251"/>
    <s v="No"/>
    <n v="297102"/>
    <n v="29"/>
    <x v="3"/>
  </r>
  <r>
    <n v="2113"/>
    <s v="HOMBRE"/>
    <n v="297139"/>
    <x v="2"/>
    <x v="1"/>
    <s v="SI"/>
    <s v="NO"/>
    <s v="NO"/>
    <n v="36"/>
    <n v="0.42201166760410774"/>
    <s v="No"/>
    <n v="0.37070936949377375"/>
    <s v="No"/>
    <n v="297139"/>
    <n v="36"/>
    <x v="2"/>
  </r>
  <r>
    <n v="2114"/>
    <s v="HOMBRE"/>
    <n v="106901375"/>
    <x v="0"/>
    <x v="1"/>
    <s v="SI"/>
    <s v="NO"/>
    <s v="NO"/>
    <n v="27"/>
    <n v="1.0571896382983452"/>
    <s v="No"/>
    <n v="1.4032603707766893"/>
    <s v="No"/>
    <n v="106901375"/>
    <n v="27"/>
    <x v="0"/>
  </r>
  <r>
    <n v="2115"/>
    <s v="MUJER"/>
    <n v="358405"/>
    <x v="0"/>
    <x v="1"/>
    <s v="SI"/>
    <s v="NO"/>
    <s v="NO"/>
    <n v="24"/>
    <n v="1.2689156285297578"/>
    <s v="No"/>
    <n v="0.36968986000535708"/>
    <s v="No"/>
    <n v="358405"/>
    <n v="24"/>
    <x v="0"/>
  </r>
  <r>
    <n v="2116"/>
    <s v="HOMBRE"/>
    <n v="1596417"/>
    <x v="0"/>
    <x v="0"/>
    <s v="SI"/>
    <s v="NO"/>
    <s v="SI"/>
    <n v="47"/>
    <n v="0.35431696324440481"/>
    <s v="No"/>
    <n v="0.34908846639758601"/>
    <s v="No"/>
    <n v="1596417"/>
    <n v="47"/>
    <x v="0"/>
  </r>
  <r>
    <n v="2117"/>
    <s v="HOMBRE"/>
    <n v="303000"/>
    <x v="0"/>
    <x v="1"/>
    <s v="SI"/>
    <s v="NO"/>
    <s v="NO"/>
    <n v="24"/>
    <n v="1.2689156285297578"/>
    <s v="No"/>
    <n v="0.37061183831642236"/>
    <s v="No"/>
    <n v="303000"/>
    <n v="24"/>
    <x v="0"/>
  </r>
  <r>
    <n v="2118"/>
    <s v="HOMBRE"/>
    <n v="4009449"/>
    <x v="0"/>
    <x v="1"/>
    <s v="SI"/>
    <s v="NO"/>
    <s v="NO"/>
    <n v="27"/>
    <n v="1.0571896382983452"/>
    <s v="No"/>
    <n v="0.30893391052886504"/>
    <s v="No"/>
    <n v="4009449"/>
    <n v="27"/>
    <x v="0"/>
  </r>
  <r>
    <n v="2119"/>
    <s v="HOMBRE"/>
    <n v="130000"/>
    <x v="0"/>
    <x v="1"/>
    <s v="SI"/>
    <s v="NO"/>
    <s v="SI"/>
    <n v="27"/>
    <n v="1.0571896382983452"/>
    <s v="No"/>
    <n v="0.37349068043923245"/>
    <s v="No"/>
    <n v="130000"/>
    <n v="27"/>
    <x v="0"/>
  </r>
  <r>
    <n v="2120"/>
    <s v="MUJER"/>
    <n v="284392"/>
    <x v="0"/>
    <x v="0"/>
    <s v="SI"/>
    <s v="NO"/>
    <s v="SI"/>
    <n v="56"/>
    <n v="0.9894949339386423"/>
    <s v="No"/>
    <n v="0.37092148857203655"/>
    <s v="No"/>
    <n v="284392"/>
    <n v="56"/>
    <x v="0"/>
  </r>
  <r>
    <n v="2121"/>
    <s v="HOMBRE"/>
    <n v="68130801"/>
    <x v="0"/>
    <x v="1"/>
    <s v="SI"/>
    <s v="NO"/>
    <s v="NO"/>
    <n v="31"/>
    <n v="0.77488831798979529"/>
    <s v="No"/>
    <n v="0.75809065079561122"/>
    <s v="No"/>
    <n v="68130801"/>
    <n v="31"/>
    <x v="0"/>
  </r>
  <r>
    <n v="2122"/>
    <s v="MUJER"/>
    <n v="1436096"/>
    <x v="1"/>
    <x v="0"/>
    <s v="SI"/>
    <s v="NO"/>
    <s v="NO"/>
    <n v="60"/>
    <n v="1.2717962542471923"/>
    <s v="No"/>
    <n v="0.35175632101013538"/>
    <s v="No"/>
    <n v="1436096"/>
    <n v="60"/>
    <x v="1"/>
  </r>
  <r>
    <n v="2123"/>
    <s v="HOMBRE"/>
    <n v="299647"/>
    <x v="3"/>
    <x v="1"/>
    <s v="SI"/>
    <s v="NO"/>
    <s v="SI"/>
    <n v="48"/>
    <n v="0.42489229332154227"/>
    <s v="No"/>
    <n v="0.37066763460334595"/>
    <s v="No"/>
    <n v="299647"/>
    <n v="48"/>
    <x v="3"/>
  </r>
  <r>
    <n v="2124"/>
    <s v="HOMBRE"/>
    <n v="522249"/>
    <x v="3"/>
    <x v="1"/>
    <s v="SI"/>
    <s v="NO"/>
    <s v="SI"/>
    <n v="30"/>
    <n v="0.84546364806693275"/>
    <s v="No"/>
    <n v="0.36696338018587904"/>
    <s v="No"/>
    <n v="522249"/>
    <n v="30"/>
    <x v="3"/>
  </r>
  <r>
    <n v="2125"/>
    <s v="HOMBRE"/>
    <n v="239911794"/>
    <x v="0"/>
    <x v="1"/>
    <s v="SI"/>
    <s v="NO"/>
    <s v="NO"/>
    <n v="36"/>
    <n v="0.42201166760410774"/>
    <s v="No"/>
    <n v="3.6166476366138132"/>
    <s v="Sí"/>
    <n v="239911794"/>
    <n v="36"/>
    <x v="0"/>
  </r>
  <r>
    <n v="2126"/>
    <s v="HOMBRE"/>
    <n v="143168032"/>
    <x v="0"/>
    <x v="0"/>
    <s v="SI"/>
    <s v="NO"/>
    <s v="NO"/>
    <n v="37"/>
    <n v="0.35143633752697023"/>
    <s v="No"/>
    <n v="2.0067631443322163"/>
    <s v="Sí"/>
    <n v="143168032"/>
    <n v="37"/>
    <x v="0"/>
  </r>
  <r>
    <n v="2127"/>
    <s v="HOMBRE"/>
    <n v="299647"/>
    <x v="2"/>
    <x v="1"/>
    <s v="SI"/>
    <s v="NO"/>
    <s v="SI"/>
    <n v="63"/>
    <n v="1.4835222444786049"/>
    <s v="No"/>
    <n v="0.37066763460334595"/>
    <s v="No"/>
    <n v="299647"/>
    <n v="63"/>
    <x v="2"/>
  </r>
  <r>
    <n v="2128"/>
    <s v="HOMBRE"/>
    <n v="297046"/>
    <x v="3"/>
    <x v="1"/>
    <s v="SI"/>
    <s v="SI"/>
    <s v="SI"/>
    <n v="25"/>
    <n v="1.1983402984526204"/>
    <s v="No"/>
    <n v="0.37071091707942361"/>
    <s v="No"/>
    <n v="297046"/>
    <n v="25"/>
    <x v="3"/>
  </r>
  <r>
    <n v="2129"/>
    <s v="HOMBRE"/>
    <n v="347510"/>
    <x v="0"/>
    <x v="1"/>
    <s v="SI"/>
    <s v="NO"/>
    <s v="NO"/>
    <n v="37"/>
    <n v="0.35143633752697023"/>
    <s v="No"/>
    <n v="0.36987116049627045"/>
    <s v="No"/>
    <n v="347510"/>
    <n v="37"/>
    <x v="0"/>
  </r>
  <r>
    <n v="2130"/>
    <s v="HOMBRE"/>
    <n v="315000"/>
    <x v="0"/>
    <x v="1"/>
    <s v="SI"/>
    <s v="NO"/>
    <s v="NO"/>
    <n v="53"/>
    <n v="0.77776894370722982"/>
    <s v="No"/>
    <n v="0.37041214984547599"/>
    <s v="No"/>
    <n v="315000"/>
    <n v="53"/>
    <x v="0"/>
  </r>
  <r>
    <n v="2131"/>
    <s v="HOMBRE"/>
    <n v="297046"/>
    <x v="3"/>
    <x v="1"/>
    <s v="SI"/>
    <s v="NO"/>
    <s v="NO"/>
    <n v="43"/>
    <n v="7.2015642935854773E-2"/>
    <s v="No"/>
    <n v="0.37071091707942361"/>
    <s v="No"/>
    <n v="297046"/>
    <n v="43"/>
    <x v="3"/>
  </r>
  <r>
    <n v="2132"/>
    <s v="HOMBRE"/>
    <n v="278030"/>
    <x v="4"/>
    <x v="1"/>
    <s v="SI"/>
    <s v="SI"/>
    <s v="NO"/>
    <n v="54"/>
    <n v="0.84834427378436728"/>
    <s v="No"/>
    <n v="0.37102735674304993"/>
    <s v="No"/>
    <n v="278030"/>
    <n v="54"/>
    <x v="4"/>
  </r>
  <r>
    <n v="2133"/>
    <s v="MUJER"/>
    <n v="445821"/>
    <x v="3"/>
    <x v="1"/>
    <s v="SI"/>
    <s v="NO"/>
    <s v="NO"/>
    <n v="39"/>
    <n v="0.21028567737269524"/>
    <s v="No"/>
    <n v="0.36823519605733646"/>
    <s v="No"/>
    <n v="445821"/>
    <n v="39"/>
    <x v="3"/>
  </r>
  <r>
    <n v="2134"/>
    <s v="HOMBRE"/>
    <n v="3067233"/>
    <x v="3"/>
    <x v="1"/>
    <s v="SI"/>
    <s v="SI"/>
    <s v="SI"/>
    <n v="45"/>
    <n v="0.21316630309012977"/>
    <s v="No"/>
    <n v="0.32461304989063183"/>
    <s v="No"/>
    <n v="3067233"/>
    <n v="45"/>
    <x v="3"/>
  </r>
  <r>
    <n v="2135"/>
    <s v="MUJER"/>
    <n v="44543132"/>
    <x v="0"/>
    <x v="1"/>
    <s v="SI"/>
    <s v="NO"/>
    <s v="NO"/>
    <n v="25"/>
    <n v="1.1983402984526204"/>
    <s v="No"/>
    <n v="0.36557518781236115"/>
    <s v="No"/>
    <n v="44543132"/>
    <n v="25"/>
    <x v="0"/>
  </r>
  <r>
    <n v="2136"/>
    <s v="HOMBRE"/>
    <n v="146078678"/>
    <x v="0"/>
    <x v="1"/>
    <s v="SI"/>
    <s v="NO"/>
    <s v="NO"/>
    <n v="32"/>
    <n v="0.70431298791265773"/>
    <s v="No"/>
    <n v="2.0551983484327296"/>
    <s v="Sí"/>
    <n v="146078678"/>
    <n v="32"/>
    <x v="0"/>
  </r>
  <r>
    <n v="2137"/>
    <s v="HOMBRE"/>
    <n v="10652"/>
    <x v="0"/>
    <x v="1"/>
    <s v="SI"/>
    <s v="SI"/>
    <s v="NO"/>
    <n v="24"/>
    <n v="1.2689156285297578"/>
    <s v="No"/>
    <n v="0.37547671540844141"/>
    <s v="No"/>
    <n v="10652"/>
    <n v="24"/>
    <x v="0"/>
  </r>
  <r>
    <n v="2138"/>
    <s v="MUJER"/>
    <n v="278030"/>
    <x v="2"/>
    <x v="1"/>
    <s v="SI"/>
    <s v="NO"/>
    <s v="SI"/>
    <n v="27"/>
    <n v="1.0571896382983452"/>
    <s v="No"/>
    <n v="0.37102735674304993"/>
    <s v="No"/>
    <n v="278030"/>
    <n v="27"/>
    <x v="2"/>
  </r>
  <r>
    <n v="2139"/>
    <s v="MUJER"/>
    <n v="1160116"/>
    <x v="1"/>
    <x v="0"/>
    <s v="SI"/>
    <s v="NO"/>
    <s v="NO"/>
    <n v="66"/>
    <n v="1.6952482347100173"/>
    <s v="No"/>
    <n v="0.35634882302778359"/>
    <s v="No"/>
    <n v="1160116"/>
    <n v="66"/>
    <x v="1"/>
  </r>
  <r>
    <n v="2140"/>
    <s v="HOMBRE"/>
    <n v="342028"/>
    <x v="0"/>
    <x v="1"/>
    <s v="SI"/>
    <s v="NO"/>
    <s v="NO"/>
    <n v="58"/>
    <n v="1.1306455940929174"/>
    <s v="No"/>
    <n v="0.36996238484608113"/>
    <s v="No"/>
    <n v="342028"/>
    <n v="58"/>
    <x v="0"/>
  </r>
  <r>
    <n v="2141"/>
    <s v="HOMBRE"/>
    <n v="239390"/>
    <x v="0"/>
    <x v="1"/>
    <s v="SI"/>
    <s v="NO"/>
    <s v="NO"/>
    <n v="46"/>
    <n v="0.2837416331672673"/>
    <s v="No"/>
    <n v="0.37167035361949724"/>
    <s v="No"/>
    <n v="239390"/>
    <n v="46"/>
    <x v="0"/>
  </r>
  <r>
    <n v="2142"/>
    <s v="HOMBRE"/>
    <n v="1347519"/>
    <x v="0"/>
    <x v="0"/>
    <s v="SI"/>
    <s v="NO"/>
    <s v="NO"/>
    <n v="57"/>
    <n v="1.0600702640157798"/>
    <s v="No"/>
    <n v="0.35323030481772005"/>
    <s v="No"/>
    <n v="1347519"/>
    <n v="57"/>
    <x v="0"/>
  </r>
  <r>
    <n v="2143"/>
    <s v="HOMBRE"/>
    <n v="350000"/>
    <x v="0"/>
    <x v="1"/>
    <s v="SI"/>
    <s v="NO"/>
    <s v="NO"/>
    <n v="37"/>
    <n v="0.35143633752697023"/>
    <s v="No"/>
    <n v="0.36982972513854911"/>
    <s v="No"/>
    <n v="350000"/>
    <n v="37"/>
    <x v="0"/>
  </r>
  <r>
    <n v="2144"/>
    <s v="MUJER"/>
    <n v="295000"/>
    <x v="0"/>
    <x v="1"/>
    <s v="SI"/>
    <s v="NO"/>
    <s v="SI"/>
    <n v="19"/>
    <n v="1.6217922789154453"/>
    <s v="No"/>
    <n v="0.37074496396371992"/>
    <s v="No"/>
    <n v="295000"/>
    <n v="19"/>
    <x v="0"/>
  </r>
  <r>
    <n v="2145"/>
    <s v="HOMBRE"/>
    <n v="302470"/>
    <x v="3"/>
    <x v="1"/>
    <s v="SI"/>
    <s v="NO"/>
    <s v="NO"/>
    <n v="48"/>
    <n v="0.42489229332154227"/>
    <s v="No"/>
    <n v="0.37062065789055582"/>
    <s v="No"/>
    <n v="302470"/>
    <n v="48"/>
    <x v="3"/>
  </r>
  <r>
    <n v="2146"/>
    <s v="MUJER"/>
    <n v="261328145"/>
    <x v="0"/>
    <x v="0"/>
    <s v="SI"/>
    <s v="NO"/>
    <s v="NO"/>
    <n v="47"/>
    <n v="0.35431696324440481"/>
    <s v="No"/>
    <n v="3.973030835317203"/>
    <s v="Sí"/>
    <n v="261328145"/>
    <n v="47"/>
    <x v="0"/>
  </r>
  <r>
    <n v="2147"/>
    <s v="MUJER"/>
    <n v="15040917"/>
    <x v="1"/>
    <x v="0"/>
    <s v="SI"/>
    <s v="NO"/>
    <s v="NO"/>
    <n v="86"/>
    <n v="3.1067548362527675"/>
    <s v="Sí"/>
    <n v="0.12536249576105107"/>
    <s v="No"/>
    <n v="15040917"/>
    <n v="86"/>
    <x v="1"/>
  </r>
  <r>
    <n v="2148"/>
    <s v="HOMBRE"/>
    <n v="77065"/>
    <x v="0"/>
    <x v="1"/>
    <s v="SI"/>
    <s v="NO"/>
    <s v="SI"/>
    <n v="43"/>
    <n v="7.2015642935854773E-2"/>
    <s v="No"/>
    <n v="0.37437155620669466"/>
    <s v="No"/>
    <n v="77065"/>
    <n v="43"/>
    <x v="0"/>
  </r>
  <r>
    <n v="2149"/>
    <s v="HOMBRE"/>
    <n v="42645938"/>
    <x v="0"/>
    <x v="1"/>
    <s v="SI"/>
    <s v="NO"/>
    <s v="NO"/>
    <n v="25"/>
    <n v="1.1983402984526204"/>
    <s v="No"/>
    <n v="0.33400454039997618"/>
    <s v="No"/>
    <n v="42645938"/>
    <n v="25"/>
    <x v="0"/>
  </r>
  <r>
    <n v="2150"/>
    <s v="HOMBRE"/>
    <n v="448880"/>
    <x v="0"/>
    <x v="1"/>
    <s v="SI"/>
    <s v="NO"/>
    <s v="NO"/>
    <n v="33"/>
    <n v="0.63373765783552027"/>
    <s v="No"/>
    <n v="0.36818429213795106"/>
    <s v="No"/>
    <n v="448880"/>
    <n v="33"/>
    <x v="0"/>
  </r>
  <r>
    <n v="2151"/>
    <s v="MUJER"/>
    <n v="10"/>
    <x v="0"/>
    <x v="1"/>
    <s v="SI"/>
    <s v="NO"/>
    <s v="NO"/>
    <n v="26"/>
    <n v="1.1277649683754829"/>
    <s v="No"/>
    <n v="0.37565380580075897"/>
    <s v="No"/>
    <n v="10"/>
    <n v="26"/>
    <x v="0"/>
  </r>
  <r>
    <n v="2152"/>
    <s v="HOMBRE"/>
    <n v="23771786"/>
    <x v="0"/>
    <x v="1"/>
    <s v="SI"/>
    <s v="NO"/>
    <s v="SI"/>
    <n v="23"/>
    <n v="1.3394909586068953"/>
    <s v="No"/>
    <n v="1.9925327625867979E-2"/>
    <s v="No"/>
    <n v="23771786"/>
    <n v="23"/>
    <x v="0"/>
  </r>
  <r>
    <n v="2153"/>
    <s v="HOMBRE"/>
    <n v="297045"/>
    <x v="2"/>
    <x v="1"/>
    <s v="SI"/>
    <s v="SI"/>
    <s v="NO"/>
    <n v="30"/>
    <n v="0.84546364806693275"/>
    <s v="No"/>
    <n v="0.37071093372012948"/>
    <s v="No"/>
    <n v="297045"/>
    <n v="30"/>
    <x v="2"/>
  </r>
  <r>
    <n v="2154"/>
    <s v="MUJER"/>
    <n v="585854"/>
    <x v="1"/>
    <x v="0"/>
    <s v="SI"/>
    <s v="NO"/>
    <s v="NO"/>
    <n v="76"/>
    <n v="2.4010015354813925"/>
    <s v="Sí"/>
    <n v="0.36590494808633373"/>
    <s v="No"/>
    <n v="585854"/>
    <n v="76"/>
    <x v="1"/>
  </r>
  <r>
    <n v="2155"/>
    <s v="HOMBRE"/>
    <n v="404467"/>
    <x v="2"/>
    <x v="1"/>
    <s v="SI"/>
    <s v="NO"/>
    <s v="NO"/>
    <n v="58"/>
    <n v="1.1306455940929174"/>
    <s v="No"/>
    <n v="0.36892335580962943"/>
    <s v="No"/>
    <n v="404467"/>
    <n v="58"/>
    <x v="2"/>
  </r>
  <r>
    <n v="2156"/>
    <s v="HOMBRE"/>
    <n v="594092"/>
    <x v="3"/>
    <x v="1"/>
    <s v="SI"/>
    <s v="SI"/>
    <s v="SI"/>
    <n v="48"/>
    <n v="0.42489229332154227"/>
    <s v="No"/>
    <n v="0.36576786195102906"/>
    <s v="No"/>
    <n v="594092"/>
    <n v="48"/>
    <x v="3"/>
  </r>
  <r>
    <n v="2157"/>
    <s v="HOMBRE"/>
    <n v="138580"/>
    <x v="0"/>
    <x v="1"/>
    <s v="SI"/>
    <s v="NO"/>
    <s v="NO"/>
    <n v="46"/>
    <n v="0.2837416331672673"/>
    <s v="No"/>
    <n v="0.37334790318250582"/>
    <s v="No"/>
    <n v="138580"/>
    <n v="46"/>
    <x v="0"/>
  </r>
  <r>
    <n v="2158"/>
    <s v="MUJER"/>
    <n v="124162795"/>
    <x v="1"/>
    <x v="0"/>
    <s v="SI"/>
    <s v="NO"/>
    <s v="NO"/>
    <n v="63"/>
    <n v="1.4835222444786049"/>
    <s v="No"/>
    <n v="1.6905025846236079"/>
    <s v="No"/>
    <n v="124162795"/>
    <n v="63"/>
    <x v="1"/>
  </r>
  <r>
    <n v="2159"/>
    <s v="HOMBRE"/>
    <n v="91502056"/>
    <x v="0"/>
    <x v="1"/>
    <s v="SI"/>
    <s v="NO"/>
    <s v="NO"/>
    <n v="52"/>
    <n v="0.70719361363009237"/>
    <s v="No"/>
    <n v="1.1470048320495789"/>
    <s v="No"/>
    <n v="91502056"/>
    <n v="52"/>
    <x v="0"/>
  </r>
  <r>
    <n v="2160"/>
    <s v="HOMBRE"/>
    <n v="56937316"/>
    <x v="0"/>
    <x v="1"/>
    <s v="SI"/>
    <s v="NO"/>
    <s v="NO"/>
    <n v="41"/>
    <n v="6.9135017218420233E-2"/>
    <s v="No"/>
    <n v="0.57182315877802081"/>
    <s v="No"/>
    <n v="56937316"/>
    <n v="41"/>
    <x v="0"/>
  </r>
  <r>
    <n v="2161"/>
    <s v="HOMBRE"/>
    <n v="457000"/>
    <x v="0"/>
    <x v="1"/>
    <s v="SI"/>
    <s v="NO"/>
    <s v="NO"/>
    <n v="19"/>
    <n v="1.6217922789154453"/>
    <s v="No"/>
    <n v="0.36804916960594397"/>
    <s v="No"/>
    <n v="457000"/>
    <n v="19"/>
    <x v="0"/>
  </r>
  <r>
    <n v="2162"/>
    <s v="HOMBRE"/>
    <n v="44069647"/>
    <x v="0"/>
    <x v="1"/>
    <s v="SI"/>
    <s v="NO"/>
    <s v="NO"/>
    <n v="27"/>
    <n v="1.0571896382983452"/>
    <s v="No"/>
    <n v="0.35769606317352448"/>
    <s v="No"/>
    <n v="44069647"/>
    <n v="27"/>
    <x v="0"/>
  </r>
  <r>
    <n v="2163"/>
    <s v="MUJER"/>
    <n v="1057538"/>
    <x v="0"/>
    <x v="0"/>
    <s v="SI"/>
    <s v="NO"/>
    <s v="SI"/>
    <n v="38"/>
    <n v="0.28086100744983278"/>
    <s v="No"/>
    <n v="0.35805579335884491"/>
    <s v="No"/>
    <n v="1057538"/>
    <n v="38"/>
    <x v="0"/>
  </r>
  <r>
    <n v="2164"/>
    <s v="HOMBRE"/>
    <n v="42822268"/>
    <x v="0"/>
    <x v="1"/>
    <s v="SI"/>
    <s v="NO"/>
    <s v="SI"/>
    <n v="21"/>
    <n v="1.4806416187611704"/>
    <s v="No"/>
    <n v="0.33693879607347388"/>
    <s v="No"/>
    <n v="42822268"/>
    <n v="21"/>
    <x v="0"/>
  </r>
  <r>
    <n v="2165"/>
    <s v="HOMBRE"/>
    <n v="301566"/>
    <x v="3"/>
    <x v="1"/>
    <s v="SI"/>
    <s v="NO"/>
    <s v="NO"/>
    <n v="20"/>
    <n v="1.5512169488383079"/>
    <s v="No"/>
    <n v="0.37063570108870048"/>
    <s v="No"/>
    <n v="301566"/>
    <n v="20"/>
    <x v="3"/>
  </r>
  <r>
    <n v="2166"/>
    <s v="HOMBRE"/>
    <n v="183333"/>
    <x v="0"/>
    <x v="1"/>
    <s v="SI"/>
    <s v="SI"/>
    <s v="SI"/>
    <n v="30"/>
    <n v="0.84546364806693275"/>
    <s v="No"/>
    <n v="0.37260318167081724"/>
    <s v="No"/>
    <n v="183333"/>
    <n v="30"/>
    <x v="0"/>
  </r>
  <r>
    <n v="2167"/>
    <s v="HOMBRE"/>
    <n v="297045"/>
    <x v="2"/>
    <x v="1"/>
    <s v="SI"/>
    <s v="SI"/>
    <s v="NO"/>
    <n v="28"/>
    <n v="0.98661430822120777"/>
    <s v="No"/>
    <n v="0.37071093372012948"/>
    <s v="No"/>
    <n v="297045"/>
    <n v="28"/>
    <x v="2"/>
  </r>
  <r>
    <n v="2168"/>
    <s v="HOMBRE"/>
    <n v="3353775"/>
    <x v="0"/>
    <x v="1"/>
    <s v="SI"/>
    <s v="NO"/>
    <s v="NO"/>
    <n v="22"/>
    <n v="1.4100662886840327"/>
    <s v="No"/>
    <n v="0.31984478873713901"/>
    <s v="No"/>
    <n v="3353775"/>
    <n v="22"/>
    <x v="0"/>
  </r>
  <r>
    <n v="2169"/>
    <s v="HOMBRE"/>
    <n v="210000"/>
    <x v="0"/>
    <x v="1"/>
    <s v="SI"/>
    <s v="NO"/>
    <s v="NO"/>
    <n v="26"/>
    <n v="1.1277649683754829"/>
    <s v="No"/>
    <n v="0.37215942396625667"/>
    <s v="No"/>
    <n v="210000"/>
    <n v="26"/>
    <x v="0"/>
  </r>
  <r>
    <n v="2170"/>
    <s v="MUJER"/>
    <n v="81388834"/>
    <x v="0"/>
    <x v="0"/>
    <s v="SI"/>
    <s v="NO"/>
    <s v="NO"/>
    <n v="29"/>
    <n v="0.91603897814407031"/>
    <s v="No"/>
    <n v="0.97871367892281658"/>
    <s v="No"/>
    <n v="81388834"/>
    <n v="29"/>
    <x v="0"/>
  </r>
  <r>
    <n v="2171"/>
    <s v="MUJER"/>
    <n v="297045"/>
    <x v="3"/>
    <x v="1"/>
    <s v="SI"/>
    <s v="SI"/>
    <s v="SI"/>
    <n v="41"/>
    <n v="6.9135017218420233E-2"/>
    <s v="No"/>
    <n v="0.37071093372012948"/>
    <s v="No"/>
    <n v="297045"/>
    <n v="41"/>
    <x v="3"/>
  </r>
  <r>
    <n v="2172"/>
    <s v="MUJER"/>
    <n v="91242805"/>
    <x v="0"/>
    <x v="1"/>
    <s v="SI"/>
    <s v="NO"/>
    <s v="NO"/>
    <n v="24"/>
    <n v="1.2689156285297578"/>
    <s v="No"/>
    <n v="1.1426907124011358"/>
    <s v="No"/>
    <n v="91242805"/>
    <n v="24"/>
    <x v="0"/>
  </r>
  <r>
    <n v="2173"/>
    <s v="HOMBRE"/>
    <n v="76228334"/>
    <x v="0"/>
    <x v="1"/>
    <s v="SI"/>
    <s v="NO"/>
    <s v="NO"/>
    <n v="46"/>
    <n v="0.2837416331672673"/>
    <s v="No"/>
    <n v="0.89283931606292299"/>
    <s v="No"/>
    <n v="76228334"/>
    <n v="46"/>
    <x v="0"/>
  </r>
  <r>
    <n v="2174"/>
    <s v="HOMBRE"/>
    <n v="213049"/>
    <x v="0"/>
    <x v="1"/>
    <s v="SI"/>
    <s v="NO"/>
    <s v="NO"/>
    <n v="42"/>
    <n v="1.4403128587172659E-3"/>
    <s v="No"/>
    <n v="0.37210868645393042"/>
    <s v="No"/>
    <n v="213049"/>
    <n v="42"/>
    <x v="0"/>
  </r>
  <r>
    <n v="2175"/>
    <s v="HOMBRE"/>
    <n v="560000"/>
    <x v="0"/>
    <x v="1"/>
    <s v="SI"/>
    <s v="NO"/>
    <s v="NO"/>
    <n v="47"/>
    <n v="0.35431696324440481"/>
    <s v="No"/>
    <n v="0.36633517689698769"/>
    <s v="No"/>
    <n v="560000"/>
    <n v="47"/>
    <x v="0"/>
  </r>
  <r>
    <n v="2176"/>
    <s v="MUJER"/>
    <n v="12739096"/>
    <x v="0"/>
    <x v="1"/>
    <s v="SI"/>
    <s v="SI"/>
    <s v="NO"/>
    <n v="48"/>
    <n v="0.42489229332154227"/>
    <s v="No"/>
    <n v="0.16366642208457069"/>
    <s v="No"/>
    <n v="12739096"/>
    <n v="48"/>
    <x v="0"/>
  </r>
  <r>
    <n v="2177"/>
    <s v="HOMBRE"/>
    <n v="12000"/>
    <x v="0"/>
    <x v="1"/>
    <s v="SI"/>
    <s v="NO"/>
    <s v="SI"/>
    <n v="24"/>
    <n v="1.2689156285297578"/>
    <s v="No"/>
    <n v="0.37545428373687173"/>
    <s v="No"/>
    <n v="12000"/>
    <n v="24"/>
    <x v="0"/>
  </r>
  <r>
    <n v="2178"/>
    <s v="HOMBRE"/>
    <n v="115458675"/>
    <x v="0"/>
    <x v="1"/>
    <s v="SI"/>
    <s v="NO"/>
    <s v="NO"/>
    <n v="30"/>
    <n v="0.84546364806693275"/>
    <s v="No"/>
    <n v="1.5456598834791342"/>
    <s v="No"/>
    <n v="115458675"/>
    <n v="30"/>
    <x v="0"/>
  </r>
  <r>
    <n v="2179"/>
    <s v="HOMBRE"/>
    <n v="39429568"/>
    <x v="0"/>
    <x v="1"/>
    <s v="SI"/>
    <s v="NO"/>
    <s v="NO"/>
    <n v="42"/>
    <n v="1.4403128587172659E-3"/>
    <s v="No"/>
    <n v="0.28048187312516254"/>
    <s v="No"/>
    <n v="39429568"/>
    <n v="42"/>
    <x v="0"/>
  </r>
  <r>
    <n v="2180"/>
    <s v="HOMBRE"/>
    <n v="10000"/>
    <x v="0"/>
    <x v="1"/>
    <s v="SI"/>
    <s v="SI"/>
    <s v="NO"/>
    <n v="34"/>
    <n v="0.56316232775838282"/>
    <s v="No"/>
    <n v="0.37548756514869613"/>
    <s v="No"/>
    <n v="10000"/>
    <n v="34"/>
    <x v="0"/>
  </r>
  <r>
    <n v="2181"/>
    <s v="HOMBRE"/>
    <n v="295970"/>
    <x v="3"/>
    <x v="1"/>
    <s v="SI"/>
    <s v="NO"/>
    <s v="NO"/>
    <n v="28"/>
    <n v="0.98661430822120777"/>
    <s v="No"/>
    <n v="0.37072882247898509"/>
    <s v="No"/>
    <n v="295970"/>
    <n v="28"/>
    <x v="3"/>
  </r>
  <r>
    <n v="2182"/>
    <s v="HOMBRE"/>
    <n v="1042448"/>
    <x v="0"/>
    <x v="1"/>
    <s v="SI"/>
    <s v="NO"/>
    <s v="NO"/>
    <n v="33"/>
    <n v="0.63373765783552027"/>
    <s v="No"/>
    <n v="0.35830690161105999"/>
    <s v="No"/>
    <n v="1042448"/>
    <n v="33"/>
    <x v="0"/>
  </r>
  <r>
    <n v="2183"/>
    <s v="HOMBRE"/>
    <n v="31310976"/>
    <x v="0"/>
    <x v="1"/>
    <s v="SI"/>
    <s v="SI"/>
    <s v="NO"/>
    <n v="55"/>
    <n v="0.91891960386150484"/>
    <s v="No"/>
    <n v="0.14538277123204582"/>
    <s v="No"/>
    <n v="31310976"/>
    <n v="55"/>
    <x v="0"/>
  </r>
  <r>
    <n v="2184"/>
    <s v="HOMBRE"/>
    <n v="203063472"/>
    <x v="0"/>
    <x v="0"/>
    <s v="SI"/>
    <s v="NO"/>
    <s v="NO"/>
    <n v="45"/>
    <n v="0.21316630309012977"/>
    <s v="No"/>
    <n v="3.0034655468538678"/>
    <s v="Sí"/>
    <n v="203063472"/>
    <n v="45"/>
    <x v="0"/>
  </r>
  <r>
    <n v="2185"/>
    <s v="HOMBRE"/>
    <n v="975000"/>
    <x v="0"/>
    <x v="1"/>
    <s v="SI"/>
    <s v="NO"/>
    <s v="NO"/>
    <n v="47"/>
    <n v="0.35431696324440481"/>
    <s v="No"/>
    <n v="0.35942928394342588"/>
    <s v="No"/>
    <n v="975000"/>
    <n v="47"/>
    <x v="0"/>
  </r>
  <r>
    <n v="2186"/>
    <s v="HOMBRE"/>
    <n v="12713365"/>
    <x v="0"/>
    <x v="0"/>
    <s v="SI"/>
    <s v="NO"/>
    <s v="NO"/>
    <n v="35"/>
    <n v="0.49258699768124525"/>
    <s v="No"/>
    <n v="0.16409460408839743"/>
    <s v="No"/>
    <n v="12713365"/>
    <n v="35"/>
    <x v="0"/>
  </r>
  <r>
    <n v="2187"/>
    <s v="HOMBRE"/>
    <n v="3551482"/>
    <x v="1"/>
    <x v="0"/>
    <s v="SI"/>
    <s v="NO"/>
    <s v="NO"/>
    <n v="64"/>
    <n v="1.5540975745557424"/>
    <s v="No"/>
    <n v="0.31655480469335623"/>
    <s v="No"/>
    <n v="3551482"/>
    <n v="64"/>
    <x v="1"/>
  </r>
  <r>
    <n v="2188"/>
    <s v="MUJER"/>
    <n v="297046"/>
    <x v="2"/>
    <x v="1"/>
    <s v="SI"/>
    <s v="NO"/>
    <s v="NO"/>
    <n v="35"/>
    <n v="0.49258699768124525"/>
    <s v="No"/>
    <n v="0.37071091707942361"/>
    <s v="No"/>
    <n v="297046"/>
    <n v="35"/>
    <x v="2"/>
  </r>
  <r>
    <n v="2189"/>
    <s v="MUJER"/>
    <n v="301260"/>
    <x v="2"/>
    <x v="1"/>
    <s v="SI"/>
    <s v="NO"/>
    <s v="NO"/>
    <n v="24"/>
    <n v="1.2689156285297578"/>
    <s v="No"/>
    <n v="0.3706407931447096"/>
    <s v="No"/>
    <n v="301260"/>
    <n v="24"/>
    <x v="2"/>
  </r>
  <r>
    <n v="2190"/>
    <s v="HOMBRE"/>
    <n v="329054"/>
    <x v="0"/>
    <x v="1"/>
    <s v="SI"/>
    <s v="NO"/>
    <s v="NO"/>
    <n v="25"/>
    <n v="1.1983402984526204"/>
    <s v="No"/>
    <n v="0.37017828136458597"/>
    <s v="No"/>
    <n v="329054"/>
    <n v="25"/>
    <x v="0"/>
  </r>
  <r>
    <n v="2191"/>
    <s v="HOMBRE"/>
    <n v="1218000"/>
    <x v="0"/>
    <x v="1"/>
    <s v="SI"/>
    <s v="SI"/>
    <s v="NO"/>
    <n v="49"/>
    <n v="0.49546762339867978"/>
    <s v="No"/>
    <n v="0.35538559240676193"/>
    <s v="No"/>
    <n v="1218000"/>
    <n v="49"/>
    <x v="0"/>
  </r>
  <r>
    <n v="2192"/>
    <s v="MUJER"/>
    <n v="78211881"/>
    <x v="0"/>
    <x v="1"/>
    <s v="SI"/>
    <s v="NO"/>
    <s v="NO"/>
    <n v="27"/>
    <n v="1.0571896382983452"/>
    <s v="No"/>
    <n v="0.92584693835294396"/>
    <s v="No"/>
    <n v="78211881"/>
    <n v="27"/>
    <x v="0"/>
  </r>
  <r>
    <n v="2193"/>
    <s v="MUJER"/>
    <n v="1914699"/>
    <x v="0"/>
    <x v="0"/>
    <s v="SI"/>
    <s v="NO"/>
    <s v="NO"/>
    <n v="59"/>
    <n v="1.2012209241700549"/>
    <s v="No"/>
    <n v="0.3437920292384401"/>
    <s v="No"/>
    <n v="1914699"/>
    <n v="59"/>
    <x v="0"/>
  </r>
  <r>
    <n v="2194"/>
    <s v="HOMBRE"/>
    <n v="347514"/>
    <x v="0"/>
    <x v="1"/>
    <s v="SI"/>
    <s v="NO"/>
    <s v="NO"/>
    <n v="27"/>
    <n v="1.0571896382983452"/>
    <s v="No"/>
    <n v="0.3698710939334468"/>
    <s v="No"/>
    <n v="347514"/>
    <n v="27"/>
    <x v="0"/>
  </r>
  <r>
    <n v="2195"/>
    <s v="MUJER"/>
    <n v="136001"/>
    <x v="0"/>
    <x v="1"/>
    <s v="SI"/>
    <s v="NO"/>
    <s v="NO"/>
    <n v="52"/>
    <n v="0.70719361363009237"/>
    <s v="No"/>
    <n v="0.37339081956305337"/>
    <s v="No"/>
    <n v="136001"/>
    <n v="52"/>
    <x v="0"/>
  </r>
  <r>
    <n v="2196"/>
    <s v="MUJER"/>
    <n v="1002612"/>
    <x v="1"/>
    <x v="0"/>
    <s v="SI"/>
    <s v="NO"/>
    <s v="NO"/>
    <n v="63"/>
    <n v="1.4835222444786049"/>
    <s v="No"/>
    <n v="0.35896980077177826"/>
    <s v="No"/>
    <n v="1002612"/>
    <n v="63"/>
    <x v="1"/>
  </r>
  <r>
    <n v="2197"/>
    <s v="HOMBRE"/>
    <n v="543686"/>
    <x v="0"/>
    <x v="0"/>
    <s v="SI"/>
    <s v="NO"/>
    <s v="SI"/>
    <n v="49"/>
    <n v="0.49546762339867978"/>
    <s v="No"/>
    <n v="0.36660665337323928"/>
    <s v="No"/>
    <n v="543686"/>
    <n v="49"/>
    <x v="0"/>
  </r>
  <r>
    <n v="2198"/>
    <s v="HOMBRE"/>
    <n v="1876456"/>
    <x v="0"/>
    <x v="1"/>
    <s v="SI"/>
    <s v="NO"/>
    <s v="NO"/>
    <n v="47"/>
    <n v="0.35431696324440481"/>
    <s v="No"/>
    <n v="0.34442841975464022"/>
    <s v="No"/>
    <n v="1876456"/>
    <n v="47"/>
    <x v="0"/>
  </r>
  <r>
    <n v="2199"/>
    <s v="HOMBRE"/>
    <n v="837414"/>
    <x v="3"/>
    <x v="1"/>
    <s v="SI"/>
    <s v="NO"/>
    <s v="NO"/>
    <n v="64"/>
    <n v="1.5540975745557424"/>
    <s v="No"/>
    <n v="0.36171881210706142"/>
    <s v="No"/>
    <n v="837414"/>
    <n v="64"/>
    <x v="3"/>
  </r>
  <r>
    <n v="2200"/>
    <s v="HOMBRE"/>
    <n v="14097896"/>
    <x v="0"/>
    <x v="1"/>
    <s v="SI"/>
    <s v="NO"/>
    <s v="NO"/>
    <n v="46"/>
    <n v="0.2837416331672673"/>
    <s v="No"/>
    <n v="0.14105503089107718"/>
    <s v="No"/>
    <n v="14097896"/>
    <n v="46"/>
    <x v="0"/>
  </r>
  <r>
    <n v="2201"/>
    <s v="HOMBRE"/>
    <n v="297046"/>
    <x v="2"/>
    <x v="1"/>
    <s v="SI"/>
    <s v="SI"/>
    <s v="SI"/>
    <n v="37"/>
    <n v="0.35143633752697023"/>
    <s v="No"/>
    <n v="0.37071091707942361"/>
    <s v="No"/>
    <n v="297046"/>
    <n v="37"/>
    <x v="2"/>
  </r>
  <r>
    <n v="2202"/>
    <s v="MUJER"/>
    <n v="376750"/>
    <x v="0"/>
    <x v="1"/>
    <s v="SI"/>
    <s v="NO"/>
    <s v="NO"/>
    <n v="24"/>
    <n v="1.2689156285297578"/>
    <s v="No"/>
    <n v="0.36938458625539783"/>
    <s v="No"/>
    <n v="376750"/>
    <n v="24"/>
    <x v="0"/>
  </r>
  <r>
    <n v="2203"/>
    <s v="HOMBRE"/>
    <n v="50000"/>
    <x v="0"/>
    <x v="1"/>
    <s v="SI"/>
    <s v="SI"/>
    <s v="NO"/>
    <n v="34"/>
    <n v="0.56316232775838282"/>
    <s v="No"/>
    <n v="0.37482193691220822"/>
    <s v="No"/>
    <n v="50000"/>
    <n v="34"/>
    <x v="0"/>
  </r>
  <r>
    <n v="2204"/>
    <s v="MUJER"/>
    <n v="278030"/>
    <x v="4"/>
    <x v="1"/>
    <s v="SI"/>
    <s v="NO"/>
    <s v="NO"/>
    <n v="51"/>
    <n v="0.6366182835529548"/>
    <s v="No"/>
    <n v="0.37102735674304993"/>
    <s v="No"/>
    <n v="278030"/>
    <n v="51"/>
    <x v="4"/>
  </r>
  <r>
    <n v="2205"/>
    <s v="HOMBRE"/>
    <n v="305704"/>
    <x v="2"/>
    <x v="1"/>
    <s v="NO"/>
    <s v="NO"/>
    <s v="NO"/>
    <n v="40"/>
    <n v="0.13971034729555773"/>
    <s v="No"/>
    <n v="0.37056684184763578"/>
    <s v="No"/>
    <n v="305704"/>
    <n v="40"/>
    <x v="2"/>
  </r>
  <r>
    <n v="2206"/>
    <s v="MUJER"/>
    <n v="7192718"/>
    <x v="1"/>
    <x v="0"/>
    <s v="SI"/>
    <s v="NO"/>
    <s v="NO"/>
    <n v="81"/>
    <n v="2.7538781858670798"/>
    <s v="Sí"/>
    <n v="0.25596206726045106"/>
    <s v="No"/>
    <n v="7192718"/>
    <n v="81"/>
    <x v="1"/>
  </r>
  <r>
    <n v="2207"/>
    <s v="MUJER"/>
    <n v="1111989"/>
    <x v="0"/>
    <x v="0"/>
    <s v="SI"/>
    <s v="NO"/>
    <s v="SI"/>
    <n v="53"/>
    <n v="0.77776894370722982"/>
    <s v="No"/>
    <n v="0.3571496902812199"/>
    <s v="No"/>
    <n v="1111989"/>
    <n v="53"/>
    <x v="0"/>
  </r>
  <r>
    <n v="2208"/>
    <s v="MUJER"/>
    <n v="1214632"/>
    <x v="0"/>
    <x v="0"/>
    <s v="SI"/>
    <s v="NO"/>
    <s v="SI"/>
    <n v="57"/>
    <n v="1.0600702640157798"/>
    <s v="No"/>
    <n v="0.35544163830427422"/>
    <s v="No"/>
    <n v="1214632"/>
    <n v="57"/>
    <x v="0"/>
  </r>
  <r>
    <n v="2209"/>
    <s v="MUJER"/>
    <n v="550000"/>
    <x v="0"/>
    <x v="1"/>
    <s v="SI"/>
    <s v="NO"/>
    <s v="NO"/>
    <n v="31"/>
    <n v="0.77488831798979529"/>
    <s v="No"/>
    <n v="0.36650158395610966"/>
    <s v="No"/>
    <n v="550000"/>
    <n v="31"/>
    <x v="0"/>
  </r>
  <r>
    <n v="2210"/>
    <s v="HOMBRE"/>
    <n v="72118776"/>
    <x v="0"/>
    <x v="0"/>
    <s v="SI"/>
    <s v="NO"/>
    <s v="NO"/>
    <n v="49"/>
    <n v="0.49546762339867978"/>
    <s v="No"/>
    <n v="0.82445336995580576"/>
    <s v="No"/>
    <n v="72118776"/>
    <n v="49"/>
    <x v="0"/>
  </r>
  <r>
    <n v="2211"/>
    <s v="HOMBRE"/>
    <n v="333500"/>
    <x v="0"/>
    <x v="1"/>
    <s v="SI"/>
    <s v="NO"/>
    <s v="NO"/>
    <n v="41"/>
    <n v="6.9135017218420233E-2"/>
    <s v="No"/>
    <n v="0.37010429678610035"/>
    <s v="No"/>
    <n v="333500"/>
    <n v="41"/>
    <x v="0"/>
  </r>
  <r>
    <n v="2212"/>
    <s v="HOMBRE"/>
    <n v="1371326"/>
    <x v="0"/>
    <x v="0"/>
    <s v="SI"/>
    <s v="NO"/>
    <s v="NO"/>
    <n v="51"/>
    <n v="0.6366182835529548"/>
    <s v="No"/>
    <n v="0.35283413953206838"/>
    <s v="No"/>
    <n v="1371326"/>
    <n v="51"/>
    <x v="0"/>
  </r>
  <r>
    <n v="2213"/>
    <s v="MUJER"/>
    <n v="619970"/>
    <x v="3"/>
    <x v="1"/>
    <s v="SI"/>
    <s v="NO"/>
    <s v="NO"/>
    <n v="53"/>
    <n v="0.77776894370722982"/>
    <s v="No"/>
    <n v="0.36533723376343324"/>
    <s v="No"/>
    <n v="619970"/>
    <n v="53"/>
    <x v="3"/>
  </r>
  <r>
    <n v="2214"/>
    <s v="HOMBRE"/>
    <n v="361811"/>
    <x v="3"/>
    <x v="1"/>
    <s v="SI"/>
    <s v="NO"/>
    <s v="SI"/>
    <n v="44"/>
    <n v="0.14259097301299228"/>
    <s v="No"/>
    <n v="0.36963318176102011"/>
    <s v="No"/>
    <n v="361811"/>
    <n v="44"/>
    <x v="3"/>
  </r>
  <r>
    <n v="2215"/>
    <s v="MUJER"/>
    <n v="232973804"/>
    <x v="0"/>
    <x v="0"/>
    <s v="SI"/>
    <s v="NO"/>
    <s v="NO"/>
    <n v="59"/>
    <n v="1.2012209241700549"/>
    <s v="No"/>
    <n v="3.5011945854020481"/>
    <s v="Sí"/>
    <n v="232973804"/>
    <n v="59"/>
    <x v="0"/>
  </r>
  <r>
    <n v="2216"/>
    <s v="MUJER"/>
    <n v="343085"/>
    <x v="3"/>
    <x v="1"/>
    <s v="SI"/>
    <s v="NO"/>
    <s v="NO"/>
    <n v="42"/>
    <n v="1.4403128587172659E-3"/>
    <s v="No"/>
    <n v="0.36994479561993193"/>
    <s v="No"/>
    <n v="343085"/>
    <n v="42"/>
    <x v="3"/>
  </r>
  <r>
    <n v="2217"/>
    <s v="MUJER"/>
    <n v="1029228"/>
    <x v="0"/>
    <x v="0"/>
    <s v="SI"/>
    <s v="NO"/>
    <s v="NO"/>
    <n v="38"/>
    <n v="0.28086100744983278"/>
    <s v="No"/>
    <n v="0.35852689174321922"/>
    <s v="No"/>
    <n v="1029228"/>
    <n v="38"/>
    <x v="0"/>
  </r>
  <r>
    <n v="2218"/>
    <s v="MUJER"/>
    <n v="2725702"/>
    <x v="0"/>
    <x v="0"/>
    <s v="SI"/>
    <s v="NO"/>
    <s v="NO"/>
    <n v="55"/>
    <n v="0.91891960386150484"/>
    <s v="No"/>
    <n v="0.33029636682153046"/>
    <s v="No"/>
    <n v="2725702"/>
    <n v="55"/>
    <x v="0"/>
  </r>
  <r>
    <n v="2219"/>
    <s v="HOMBRE"/>
    <n v="297046"/>
    <x v="2"/>
    <x v="1"/>
    <s v="SI"/>
    <s v="NO"/>
    <s v="SI"/>
    <n v="28"/>
    <n v="0.98661430822120777"/>
    <s v="No"/>
    <n v="0.37071091707942361"/>
    <s v="No"/>
    <n v="297046"/>
    <n v="28"/>
    <x v="2"/>
  </r>
  <r>
    <n v="2220"/>
    <s v="HOMBRE"/>
    <n v="807000"/>
    <x v="0"/>
    <x v="1"/>
    <s v="SI"/>
    <s v="NO"/>
    <s v="NO"/>
    <n v="36"/>
    <n v="0.42201166760410774"/>
    <s v="No"/>
    <n v="0.36222492253667499"/>
    <s v="No"/>
    <n v="807000"/>
    <n v="36"/>
    <x v="0"/>
  </r>
  <r>
    <n v="2221"/>
    <s v="HOMBRE"/>
    <n v="299647"/>
    <x v="2"/>
    <x v="1"/>
    <s v="SI"/>
    <s v="NO"/>
    <s v="NO"/>
    <n v="88"/>
    <n v="3.2479054964070424"/>
    <s v="Sí"/>
    <n v="0.37066763460334595"/>
    <s v="No"/>
    <n v="299647"/>
    <n v="88"/>
    <x v="2"/>
  </r>
  <r>
    <n v="2222"/>
    <s v="MUJER"/>
    <n v="370090"/>
    <x v="3"/>
    <x v="1"/>
    <s v="SI"/>
    <s v="NO"/>
    <s v="NO"/>
    <n v="63"/>
    <n v="1.4835222444786049"/>
    <s v="No"/>
    <n v="0.36949541335677305"/>
    <s v="No"/>
    <n v="370090"/>
    <n v="63"/>
    <x v="3"/>
  </r>
  <r>
    <n v="2223"/>
    <s v="HOMBRE"/>
    <n v="26320875"/>
    <x v="0"/>
    <x v="1"/>
    <s v="SI"/>
    <s v="NO"/>
    <s v="NO"/>
    <n v="25"/>
    <n v="1.1983402984526204"/>
    <s v="No"/>
    <n v="6.2343968018884768E-2"/>
    <s v="No"/>
    <n v="26320875"/>
    <n v="25"/>
    <x v="0"/>
  </r>
  <r>
    <n v="2224"/>
    <s v="MUJER"/>
    <n v="343050"/>
    <x v="0"/>
    <x v="0"/>
    <s v="SI"/>
    <s v="NO"/>
    <s v="NO"/>
    <n v="34"/>
    <n v="0.56316232775838282"/>
    <s v="No"/>
    <n v="0.36994537804463884"/>
    <s v="No"/>
    <n v="343050"/>
    <n v="34"/>
    <x v="0"/>
  </r>
  <r>
    <n v="2225"/>
    <s v="HOMBRE"/>
    <n v="848107"/>
    <x v="0"/>
    <x v="0"/>
    <s v="SI"/>
    <s v="NO"/>
    <s v="NO"/>
    <n v="40"/>
    <n v="0.13971034729555773"/>
    <s v="No"/>
    <n v="0.36154087303874227"/>
    <s v="No"/>
    <n v="848107"/>
    <n v="40"/>
    <x v="0"/>
  </r>
  <r>
    <n v="2226"/>
    <s v="MUJER"/>
    <n v="66816667"/>
    <x v="0"/>
    <x v="0"/>
    <s v="SI"/>
    <s v="NO"/>
    <s v="NO"/>
    <n v="34"/>
    <n v="0.56316232775838282"/>
    <s v="No"/>
    <n v="0.73622253337239196"/>
    <s v="No"/>
    <n v="66816667"/>
    <n v="34"/>
    <x v="0"/>
  </r>
  <r>
    <n v="2227"/>
    <s v="HOMBRE"/>
    <n v="99280125"/>
    <x v="0"/>
    <x v="1"/>
    <s v="SI"/>
    <s v="NO"/>
    <s v="NO"/>
    <n v="27"/>
    <n v="1.0571896382983452"/>
    <s v="No"/>
    <n v="1.2764373908433566"/>
    <s v="No"/>
    <n v="99280125"/>
    <n v="27"/>
    <x v="0"/>
  </r>
  <r>
    <n v="2228"/>
    <s v="HOMBRE"/>
    <n v="87475"/>
    <x v="0"/>
    <x v="1"/>
    <s v="SI"/>
    <s v="NO"/>
    <s v="NO"/>
    <n v="53"/>
    <n v="0.77776894370722982"/>
    <s v="No"/>
    <n v="0.37419832645814866"/>
    <s v="No"/>
    <n v="87475"/>
    <n v="53"/>
    <x v="0"/>
  </r>
  <r>
    <n v="2229"/>
    <s v="MUJER"/>
    <n v="404467"/>
    <x v="2"/>
    <x v="1"/>
    <s v="SI"/>
    <s v="NO"/>
    <s v="NO"/>
    <n v="61"/>
    <n v="1.3423715843243298"/>
    <s v="No"/>
    <n v="0.36892335580962943"/>
    <s v="No"/>
    <n v="404467"/>
    <n v="61"/>
    <x v="2"/>
  </r>
  <r>
    <n v="2230"/>
    <s v="HOMBRE"/>
    <n v="103822844"/>
    <x v="0"/>
    <x v="0"/>
    <s v="SI"/>
    <s v="NO"/>
    <s v="NO"/>
    <n v="37"/>
    <n v="0.35143633752697023"/>
    <s v="No"/>
    <n v="1.3520314417641071"/>
    <s v="No"/>
    <n v="103822844"/>
    <n v="37"/>
    <x v="0"/>
  </r>
  <r>
    <n v="2231"/>
    <s v="MUJER"/>
    <n v="297719"/>
    <x v="2"/>
    <x v="1"/>
    <s v="SI"/>
    <s v="NO"/>
    <s v="NO"/>
    <n v="30"/>
    <n v="0.84546364806693275"/>
    <s v="No"/>
    <n v="0.37069971788434469"/>
    <s v="No"/>
    <n v="297719"/>
    <n v="30"/>
    <x v="2"/>
  </r>
  <r>
    <n v="2232"/>
    <s v="MUJER"/>
    <n v="329950"/>
    <x v="3"/>
    <x v="1"/>
    <s v="SI"/>
    <s v="NO"/>
    <s v="NO"/>
    <n v="52"/>
    <n v="0.70719361363009237"/>
    <s v="No"/>
    <n v="0.37016337129208865"/>
    <s v="No"/>
    <n v="329950"/>
    <n v="52"/>
    <x v="3"/>
  </r>
  <r>
    <n v="2233"/>
    <s v="MUJER"/>
    <n v="181379096"/>
    <x v="0"/>
    <x v="1"/>
    <s v="SI"/>
    <s v="NO"/>
    <s v="NO"/>
    <n v="35"/>
    <n v="0.49258699768124525"/>
    <s v="No"/>
    <n v="2.6426222229483614"/>
    <s v="Sí"/>
    <n v="181379096"/>
    <n v="35"/>
    <x v="0"/>
  </r>
  <r>
    <n v="2234"/>
    <s v="HOMBRE"/>
    <n v="639148"/>
    <x v="3"/>
    <x v="1"/>
    <s v="SI"/>
    <s v="NO"/>
    <s v="SI"/>
    <n v="61"/>
    <n v="1.3423715843243298"/>
    <s v="No"/>
    <n v="0.36501809830544912"/>
    <s v="No"/>
    <n v="639148"/>
    <n v="61"/>
    <x v="3"/>
  </r>
  <r>
    <n v="2235"/>
    <s v="HOMBRE"/>
    <n v="1080638"/>
    <x v="0"/>
    <x v="0"/>
    <s v="SI"/>
    <s v="NO"/>
    <s v="NO"/>
    <n v="37"/>
    <n v="0.35143633752697023"/>
    <s v="No"/>
    <n v="0.35767139305227319"/>
    <s v="No"/>
    <n v="1080638"/>
    <n v="37"/>
    <x v="0"/>
  </r>
  <r>
    <n v="2236"/>
    <s v="MUJER"/>
    <n v="78400075"/>
    <x v="0"/>
    <x v="0"/>
    <s v="SI"/>
    <s v="NO"/>
    <s v="NO"/>
    <n v="42"/>
    <n v="1.4403128587172659E-3"/>
    <s v="No"/>
    <n v="0.92897861936138404"/>
    <s v="No"/>
    <n v="78400075"/>
    <n v="42"/>
    <x v="0"/>
  </r>
  <r>
    <n v="2237"/>
    <s v="MUJER"/>
    <n v="6358274"/>
    <x v="1"/>
    <x v="0"/>
    <s v="SI"/>
    <s v="NO"/>
    <s v="NO"/>
    <n v="64"/>
    <n v="1.5540975745557424"/>
    <s v="No"/>
    <n v="0.26984780446464851"/>
    <s v="No"/>
    <n v="6358274"/>
    <n v="64"/>
    <x v="1"/>
  </r>
  <r>
    <n v="2238"/>
    <s v="MUJER"/>
    <n v="278030"/>
    <x v="4"/>
    <x v="1"/>
    <s v="SI"/>
    <s v="NO"/>
    <s v="NO"/>
    <n v="89"/>
    <n v="3.3184808264841799"/>
    <s v="Sí"/>
    <n v="0.37102735674304993"/>
    <s v="No"/>
    <n v="278030"/>
    <n v="89"/>
    <x v="4"/>
  </r>
  <r>
    <n v="2239"/>
    <s v="MUJER"/>
    <n v="62777412"/>
    <x v="0"/>
    <x v="1"/>
    <s v="SI"/>
    <s v="NO"/>
    <s v="NO"/>
    <n v="35"/>
    <n v="0.49258699768124525"/>
    <s v="No"/>
    <n v="0.66900647881301989"/>
    <s v="No"/>
    <n v="62777412"/>
    <n v="35"/>
    <x v="0"/>
  </r>
  <r>
    <n v="2240"/>
    <s v="HOMBRE"/>
    <n v="450000"/>
    <x v="0"/>
    <x v="1"/>
    <s v="SI"/>
    <s v="NO"/>
    <s v="NO"/>
    <n v="58"/>
    <n v="1.1306455940929174"/>
    <s v="No"/>
    <n v="0.36816565454732936"/>
    <s v="No"/>
    <n v="450000"/>
    <n v="58"/>
    <x v="0"/>
  </r>
  <r>
    <n v="2241"/>
    <s v="HOMBRE"/>
    <n v="320000"/>
    <x v="0"/>
    <x v="1"/>
    <s v="SI"/>
    <s v="NO"/>
    <s v="NO"/>
    <n v="31"/>
    <n v="0.77488831798979529"/>
    <s v="No"/>
    <n v="0.37032894631591501"/>
    <s v="No"/>
    <n v="320000"/>
    <n v="31"/>
    <x v="0"/>
  </r>
  <r>
    <n v="2242"/>
    <s v="HOMBRE"/>
    <n v="407782"/>
    <x v="0"/>
    <x v="1"/>
    <s v="SI"/>
    <s v="NO"/>
    <s v="NO"/>
    <n v="22"/>
    <n v="1.4100662886840327"/>
    <s v="No"/>
    <n v="0.36886819186953052"/>
    <s v="No"/>
    <n v="407782"/>
    <n v="22"/>
    <x v="0"/>
  </r>
  <r>
    <n v="2243"/>
    <s v="MUJER"/>
    <n v="297045"/>
    <x v="3"/>
    <x v="1"/>
    <s v="SI"/>
    <s v="NO"/>
    <s v="NO"/>
    <n v="66"/>
    <n v="1.6952482347100173"/>
    <s v="No"/>
    <n v="0.37071093372012948"/>
    <s v="No"/>
    <n v="297045"/>
    <n v="66"/>
    <x v="3"/>
  </r>
  <r>
    <n v="2244"/>
    <s v="HOMBRE"/>
    <n v="430434"/>
    <x v="0"/>
    <x v="1"/>
    <s v="SI"/>
    <s v="NO"/>
    <s v="SI"/>
    <n v="28"/>
    <n v="0.98661430822120777"/>
    <s v="No"/>
    <n v="0.3684912465992074"/>
    <s v="No"/>
    <n v="430434"/>
    <n v="28"/>
    <x v="0"/>
  </r>
  <r>
    <n v="2245"/>
    <s v="HOMBRE"/>
    <n v="47664628"/>
    <x v="0"/>
    <x v="1"/>
    <s v="SI"/>
    <s v="NO"/>
    <s v="NO"/>
    <n v="29"/>
    <n v="0.91603897814407031"/>
    <s v="No"/>
    <n v="0.41751908475446103"/>
    <s v="No"/>
    <n v="47664628"/>
    <n v="29"/>
    <x v="0"/>
  </r>
  <r>
    <n v="2246"/>
    <s v="MUJER"/>
    <n v="1566842"/>
    <x v="0"/>
    <x v="0"/>
    <s v="SI"/>
    <s v="NO"/>
    <s v="NO"/>
    <n v="59"/>
    <n v="1.2012209241700549"/>
    <s v="No"/>
    <n v="0.34958061527493928"/>
    <s v="No"/>
    <n v="1566842"/>
    <n v="59"/>
    <x v="0"/>
  </r>
  <r>
    <n v="2247"/>
    <s v="MUJER"/>
    <n v="86886923"/>
    <x v="0"/>
    <x v="1"/>
    <s v="SI"/>
    <s v="NO"/>
    <s v="NO"/>
    <n v="40"/>
    <n v="0.13971034729555773"/>
    <s v="No"/>
    <n v="1.0702057610509028"/>
    <s v="No"/>
    <n v="86886923"/>
    <n v="40"/>
    <x v="0"/>
  </r>
  <r>
    <n v="2248"/>
    <s v="MUJER"/>
    <n v="306400"/>
    <x v="0"/>
    <x v="1"/>
    <s v="SI"/>
    <s v="NO"/>
    <s v="NO"/>
    <n v="61"/>
    <n v="1.3423715843243298"/>
    <s v="No"/>
    <n v="0.37055525991632088"/>
    <s v="No"/>
    <n v="306400"/>
    <n v="61"/>
    <x v="0"/>
  </r>
  <r>
    <n v="2249"/>
    <s v="HOMBRE"/>
    <n v="408800"/>
    <x v="0"/>
    <x v="1"/>
    <s v="SI"/>
    <s v="NO"/>
    <s v="NO"/>
    <n v="39"/>
    <n v="0.21028567737269524"/>
    <s v="No"/>
    <n v="0.36885125163091192"/>
    <s v="No"/>
    <n v="408800"/>
    <n v="39"/>
    <x v="0"/>
  </r>
  <r>
    <n v="2250"/>
    <s v="HOMBRE"/>
    <n v="46716761"/>
    <x v="0"/>
    <x v="0"/>
    <s v="SI"/>
    <s v="SI"/>
    <s v="NO"/>
    <n v="46"/>
    <n v="0.2837416331672673"/>
    <s v="No"/>
    <n v="0.4017459087635844"/>
    <s v="No"/>
    <n v="46716761"/>
    <n v="46"/>
    <x v="0"/>
  </r>
  <r>
    <n v="2251"/>
    <s v="MUJER"/>
    <n v="376344"/>
    <x v="0"/>
    <x v="1"/>
    <s v="SI"/>
    <s v="NO"/>
    <s v="NO"/>
    <n v="39"/>
    <n v="0.21028567737269524"/>
    <s v="No"/>
    <n v="0.36939134238199817"/>
    <s v="No"/>
    <n v="376344"/>
    <n v="39"/>
    <x v="0"/>
  </r>
  <r>
    <n v="2252"/>
    <s v="HOMBRE"/>
    <n v="327264"/>
    <x v="0"/>
    <x v="0"/>
    <s v="SI"/>
    <s v="NO"/>
    <s v="NO"/>
    <n v="32"/>
    <n v="0.70431298791265773"/>
    <s v="No"/>
    <n v="0.37020806822816882"/>
    <s v="No"/>
    <n v="327264"/>
    <n v="32"/>
    <x v="0"/>
  </r>
  <r>
    <n v="2253"/>
    <s v="HOMBRE"/>
    <n v="750000"/>
    <x v="0"/>
    <x v="1"/>
    <s v="SI"/>
    <s v="NO"/>
    <s v="NO"/>
    <n v="55"/>
    <n v="0.91891960386150484"/>
    <s v="No"/>
    <n v="0.3631734427736702"/>
    <s v="No"/>
    <n v="750000"/>
    <n v="55"/>
    <x v="0"/>
  </r>
  <r>
    <n v="2254"/>
    <s v="HOMBRE"/>
    <n v="423289"/>
    <x v="3"/>
    <x v="1"/>
    <s v="SI"/>
    <s v="NO"/>
    <s v="NO"/>
    <n v="59"/>
    <n v="1.2012209241700549"/>
    <s v="No"/>
    <n v="0.36861014444295009"/>
    <s v="No"/>
    <n v="423289"/>
    <n v="59"/>
    <x v="3"/>
  </r>
  <r>
    <n v="2255"/>
    <s v="MUJER"/>
    <n v="61950639"/>
    <x v="0"/>
    <x v="0"/>
    <s v="SI"/>
    <s v="NO"/>
    <s v="NO"/>
    <n v="34"/>
    <n v="0.56316232775838282"/>
    <s v="No"/>
    <n v="0.6552483924638749"/>
    <s v="No"/>
    <n v="61950639"/>
    <n v="34"/>
    <x v="0"/>
  </r>
  <r>
    <n v="2256"/>
    <s v="MUJER"/>
    <n v="46517989"/>
    <x v="0"/>
    <x v="1"/>
    <s v="SI"/>
    <s v="NO"/>
    <s v="NO"/>
    <n v="39"/>
    <n v="0.21028567737269524"/>
    <s v="No"/>
    <n v="0.39843820236800515"/>
    <s v="No"/>
    <n v="46517989"/>
    <n v="39"/>
    <x v="0"/>
  </r>
  <r>
    <n v="2257"/>
    <s v="HOMBRE"/>
    <n v="56215261"/>
    <x v="0"/>
    <x v="0"/>
    <s v="SI"/>
    <s v="NO"/>
    <s v="NO"/>
    <n v="38"/>
    <n v="0.28086100744983278"/>
    <s v="No"/>
    <n v="0.55980765387058928"/>
    <s v="No"/>
    <n v="56215261"/>
    <n v="38"/>
    <x v="0"/>
  </r>
  <r>
    <n v="2258"/>
    <s v="HOMBRE"/>
    <n v="81142165"/>
    <x v="0"/>
    <x v="0"/>
    <s v="SI"/>
    <s v="NO"/>
    <s v="NO"/>
    <n v="32"/>
    <n v="0.70431298791265773"/>
    <s v="No"/>
    <n v="0.97460893263616077"/>
    <s v="No"/>
    <n v="81142165"/>
    <n v="32"/>
    <x v="0"/>
  </r>
  <r>
    <n v="2259"/>
    <s v="MUJER"/>
    <n v="33893334"/>
    <x v="0"/>
    <x v="1"/>
    <s v="SI"/>
    <s v="NO"/>
    <s v="NO"/>
    <n v="27"/>
    <n v="1.0571896382983452"/>
    <s v="No"/>
    <n v="0.18835503127005548"/>
    <s v="No"/>
    <n v="33893334"/>
    <n v="27"/>
    <x v="0"/>
  </r>
  <r>
    <n v="2260"/>
    <s v="MUJER"/>
    <n v="100000"/>
    <x v="0"/>
    <x v="1"/>
    <s v="SI"/>
    <s v="NO"/>
    <s v="NO"/>
    <n v="29"/>
    <n v="0.91603897814407031"/>
    <s v="No"/>
    <n v="0.3739899016165984"/>
    <s v="No"/>
    <n v="100000"/>
    <n v="29"/>
    <x v="0"/>
  </r>
  <r>
    <n v="2261"/>
    <s v="HOMBRE"/>
    <n v="697648"/>
    <x v="0"/>
    <x v="1"/>
    <s v="SI"/>
    <s v="NO"/>
    <s v="NO"/>
    <n v="61"/>
    <n v="1.3423715843243298"/>
    <s v="No"/>
    <n v="0.36404461700958557"/>
    <s v="No"/>
    <n v="697648"/>
    <n v="61"/>
    <x v="0"/>
  </r>
  <r>
    <n v="2262"/>
    <s v="HOMBRE"/>
    <n v="377498"/>
    <x v="3"/>
    <x v="1"/>
    <s v="SI"/>
    <s v="NO"/>
    <s v="NO"/>
    <n v="37"/>
    <n v="0.35143633752697023"/>
    <s v="No"/>
    <n v="0.36937213900737548"/>
    <s v="No"/>
    <n v="377498"/>
    <n v="37"/>
    <x v="3"/>
  </r>
  <r>
    <n v="2263"/>
    <s v="HOMBRE"/>
    <n v="308750"/>
    <x v="0"/>
    <x v="1"/>
    <s v="SI"/>
    <s v="NO"/>
    <s v="SI"/>
    <n v="35"/>
    <n v="0.49258699768124525"/>
    <s v="No"/>
    <n v="0.37051615425742723"/>
    <s v="No"/>
    <n v="308750"/>
    <n v="35"/>
    <x v="0"/>
  </r>
  <r>
    <n v="2264"/>
    <s v="HOMBRE"/>
    <n v="45135446"/>
    <x v="0"/>
    <x v="1"/>
    <s v="SI"/>
    <s v="NO"/>
    <s v="NO"/>
    <n v="58"/>
    <n v="1.1306455940929174"/>
    <s v="No"/>
    <n v="0.37543171089403832"/>
    <s v="No"/>
    <n v="45135446"/>
    <n v="58"/>
    <x v="0"/>
  </r>
  <r>
    <n v="2265"/>
    <s v="HOMBRE"/>
    <n v="4550015"/>
    <x v="0"/>
    <x v="1"/>
    <s v="SI"/>
    <s v="NO"/>
    <s v="NO"/>
    <n v="20"/>
    <n v="1.5512169488383079"/>
    <s v="No"/>
    <n v="0.29993851069673227"/>
    <s v="No"/>
    <n v="4550015"/>
    <n v="20"/>
    <x v="0"/>
  </r>
  <r>
    <n v="2266"/>
    <s v="MUJER"/>
    <n v="9948825"/>
    <x v="0"/>
    <x v="1"/>
    <s v="SI"/>
    <s v="NO"/>
    <s v="NO"/>
    <n v="50"/>
    <n v="0.56604295347581735"/>
    <s v="No"/>
    <n v="0.21009850121090304"/>
    <s v="No"/>
    <n v="9948825"/>
    <n v="50"/>
    <x v="0"/>
  </r>
  <r>
    <n v="2267"/>
    <s v="HOMBRE"/>
    <n v="509509"/>
    <x v="3"/>
    <x v="1"/>
    <s v="SI"/>
    <s v="SI"/>
    <s v="SI"/>
    <n v="59"/>
    <n v="1.2012209241700549"/>
    <s v="No"/>
    <n v="0.36717538277920042"/>
    <s v="No"/>
    <n v="509509"/>
    <n v="59"/>
    <x v="3"/>
  </r>
  <r>
    <n v="2268"/>
    <s v="HOMBRE"/>
    <n v="349920"/>
    <x v="0"/>
    <x v="1"/>
    <s v="SI"/>
    <s v="NO"/>
    <s v="NO"/>
    <n v="34"/>
    <n v="0.56316232775838282"/>
    <s v="No"/>
    <n v="0.36983105639502206"/>
    <s v="No"/>
    <n v="349920"/>
    <n v="34"/>
    <x v="0"/>
  </r>
  <r>
    <n v="2269"/>
    <s v="HOMBRE"/>
    <n v="177608"/>
    <x v="0"/>
    <x v="1"/>
    <s v="SI"/>
    <s v="SI"/>
    <s v="NO"/>
    <n v="29"/>
    <n v="0.91603897814407031"/>
    <s v="No"/>
    <n v="0.37269844971216459"/>
    <s v="No"/>
    <n v="177608"/>
    <n v="29"/>
    <x v="0"/>
  </r>
  <r>
    <n v="2270"/>
    <s v="MUJER"/>
    <n v="5267368"/>
    <x v="0"/>
    <x v="1"/>
    <s v="SI"/>
    <s v="NO"/>
    <s v="NO"/>
    <n v="25"/>
    <n v="1.1983402984526204"/>
    <s v="No"/>
    <n v="0.28800125038849989"/>
    <s v="No"/>
    <n v="5267368"/>
    <n v="25"/>
    <x v="0"/>
  </r>
  <r>
    <n v="2271"/>
    <s v="HOMBRE"/>
    <n v="49715533"/>
    <x v="0"/>
    <x v="1"/>
    <s v="SI"/>
    <s v="NO"/>
    <s v="NO"/>
    <n v="27"/>
    <n v="1.0571896382983452"/>
    <s v="No"/>
    <n v="0.45164759171331575"/>
    <s v="No"/>
    <n v="49715533"/>
    <n v="27"/>
    <x v="0"/>
  </r>
  <r>
    <n v="2272"/>
    <s v="MUJER"/>
    <n v="423675"/>
    <x v="0"/>
    <x v="1"/>
    <s v="SI"/>
    <s v="NO"/>
    <s v="NO"/>
    <n v="26"/>
    <n v="1.1277649683754829"/>
    <s v="No"/>
    <n v="0.36860372113046797"/>
    <s v="No"/>
    <n v="423675"/>
    <n v="26"/>
    <x v="0"/>
  </r>
  <r>
    <n v="2273"/>
    <s v="HOMBRE"/>
    <n v="292387"/>
    <x v="2"/>
    <x v="1"/>
    <s v="SI"/>
    <s v="SI"/>
    <s v="NO"/>
    <n v="33"/>
    <n v="0.63373765783552027"/>
    <s v="No"/>
    <n v="0.3707884461282685"/>
    <s v="No"/>
    <n v="292387"/>
    <n v="33"/>
    <x v="2"/>
  </r>
  <r>
    <n v="2274"/>
    <s v="MUJER"/>
    <n v="430993"/>
    <x v="1"/>
    <x v="0"/>
    <s v="SI"/>
    <s v="NO"/>
    <s v="NO"/>
    <n v="64"/>
    <n v="1.5540975745557424"/>
    <s v="No"/>
    <n v="0.36848194444460253"/>
    <s v="No"/>
    <n v="430993"/>
    <n v="64"/>
    <x v="1"/>
  </r>
  <r>
    <n v="2275"/>
    <s v="HOMBRE"/>
    <n v="298000"/>
    <x v="0"/>
    <x v="1"/>
    <s v="SI"/>
    <s v="SI"/>
    <s v="NO"/>
    <n v="42"/>
    <n v="1.4403128587172659E-3"/>
    <s v="No"/>
    <n v="0.37069504184598334"/>
    <s v="No"/>
    <n v="298000"/>
    <n v="42"/>
    <x v="0"/>
  </r>
  <r>
    <n v="2276"/>
    <s v="HOMBRE"/>
    <n v="405063"/>
    <x v="3"/>
    <x v="1"/>
    <s v="SI"/>
    <s v="SI"/>
    <s v="SI"/>
    <n v="40"/>
    <n v="0.13971034729555773"/>
    <s v="No"/>
    <n v="0.3689134379489058"/>
    <s v="No"/>
    <n v="405063"/>
    <n v="40"/>
    <x v="3"/>
  </r>
  <r>
    <n v="2277"/>
    <s v="HOMBRE"/>
    <n v="1400000"/>
    <x v="0"/>
    <x v="1"/>
    <s v="SI"/>
    <s v="NO"/>
    <s v="NO"/>
    <n v="30"/>
    <n v="0.84546364806693275"/>
    <s v="No"/>
    <n v="0.35235698393074205"/>
    <s v="No"/>
    <n v="1400000"/>
    <n v="30"/>
    <x v="0"/>
  </r>
  <r>
    <n v="2278"/>
    <s v="MUJER"/>
    <n v="341602"/>
    <x v="3"/>
    <x v="1"/>
    <s v="SI"/>
    <s v="NO"/>
    <s v="NO"/>
    <n v="42"/>
    <n v="1.4403128587172659E-3"/>
    <s v="No"/>
    <n v="0.36996947378679973"/>
    <s v="No"/>
    <n v="341602"/>
    <n v="42"/>
    <x v="3"/>
  </r>
  <r>
    <n v="2279"/>
    <s v="HOMBRE"/>
    <n v="915000"/>
    <x v="0"/>
    <x v="1"/>
    <s v="SI"/>
    <s v="NO"/>
    <s v="NO"/>
    <n v="24"/>
    <n v="1.2689156285297578"/>
    <s v="No"/>
    <n v="0.36042772629815767"/>
    <s v="No"/>
    <n v="915000"/>
    <n v="24"/>
    <x v="0"/>
  </r>
  <r>
    <n v="2280"/>
    <s v="MUJER"/>
    <n v="33916462"/>
    <x v="1"/>
    <x v="0"/>
    <s v="SI"/>
    <s v="NO"/>
    <s v="NO"/>
    <n v="70"/>
    <n v="1.9775495550185673"/>
    <s v="Sí"/>
    <n v="0.18873989751639278"/>
    <s v="No"/>
    <n v="33916462"/>
    <n v="70"/>
    <x v="1"/>
  </r>
  <r>
    <n v="2281"/>
    <s v="HOMBRE"/>
    <n v="278030"/>
    <x v="4"/>
    <x v="1"/>
    <s v="SI"/>
    <s v="NO"/>
    <s v="NO"/>
    <n v="71"/>
    <n v="2.0481248850957048"/>
    <s v="Sí"/>
    <n v="0.37102735674304993"/>
    <s v="No"/>
    <n v="278030"/>
    <n v="71"/>
    <x v="4"/>
  </r>
  <r>
    <n v="2282"/>
    <s v="MUJER"/>
    <n v="4907136"/>
    <x v="0"/>
    <x v="1"/>
    <s v="SI"/>
    <s v="NO"/>
    <s v="NO"/>
    <n v="47"/>
    <n v="0.35431696324440481"/>
    <s v="No"/>
    <n v="0.2939957651606625"/>
    <s v="No"/>
    <n v="4907136"/>
    <n v="47"/>
    <x v="0"/>
  </r>
  <r>
    <n v="2283"/>
    <s v="HOMBRE"/>
    <n v="10513748"/>
    <x v="0"/>
    <x v="0"/>
    <s v="SI"/>
    <s v="NO"/>
    <s v="NO"/>
    <n v="62"/>
    <n v="1.4129469144014672"/>
    <s v="No"/>
    <n v="0.20069778370486685"/>
    <s v="No"/>
    <n v="10513748"/>
    <n v="62"/>
    <x v="0"/>
  </r>
  <r>
    <n v="2284"/>
    <s v="HOMBRE"/>
    <n v="44584144"/>
    <x v="0"/>
    <x v="1"/>
    <s v="SI"/>
    <s v="SI"/>
    <s v="NO"/>
    <n v="57"/>
    <n v="1.0600702640157798"/>
    <s v="No"/>
    <n v="0.36625765644323222"/>
    <s v="No"/>
    <n v="44584144"/>
    <n v="57"/>
    <x v="0"/>
  </r>
  <r>
    <n v="2285"/>
    <s v="MUJER"/>
    <n v="48584398"/>
    <x v="0"/>
    <x v="1"/>
    <s v="SI"/>
    <s v="NO"/>
    <s v="NO"/>
    <n v="25"/>
    <n v="1.1983402984526204"/>
    <s v="No"/>
    <n v="0.43282470683132263"/>
    <s v="No"/>
    <n v="48584398"/>
    <n v="25"/>
    <x v="0"/>
  </r>
  <r>
    <n v="2286"/>
    <s v="HOMBRE"/>
    <n v="370647"/>
    <x v="3"/>
    <x v="1"/>
    <s v="SI"/>
    <s v="NO"/>
    <s v="NO"/>
    <n v="49"/>
    <n v="0.49546762339867978"/>
    <s v="No"/>
    <n v="0.36948614448357997"/>
    <s v="No"/>
    <n v="370647"/>
    <n v="49"/>
    <x v="3"/>
  </r>
  <r>
    <n v="2287"/>
    <s v="MUJER"/>
    <n v="1381018"/>
    <x v="0"/>
    <x v="0"/>
    <s v="SI"/>
    <s v="NO"/>
    <s v="NO"/>
    <n v="31"/>
    <n v="0.77488831798979529"/>
    <s v="No"/>
    <n v="0.35267285781036739"/>
    <s v="No"/>
    <n v="1381018"/>
    <n v="31"/>
    <x v="0"/>
  </r>
  <r>
    <n v="2288"/>
    <s v="HOMBRE"/>
    <n v="338629"/>
    <x v="3"/>
    <x v="1"/>
    <s v="SI"/>
    <s v="NO"/>
    <s v="SI"/>
    <n v="50"/>
    <n v="0.56604295347581735"/>
    <s v="No"/>
    <n v="0.37001894660547668"/>
    <s v="No"/>
    <n v="338629"/>
    <n v="50"/>
    <x v="3"/>
  </r>
  <r>
    <n v="2289"/>
    <s v="HOMBRE"/>
    <n v="10804965"/>
    <x v="0"/>
    <x v="1"/>
    <s v="SI"/>
    <s v="NO"/>
    <s v="NO"/>
    <n v="37"/>
    <n v="0.35143633752697023"/>
    <s v="No"/>
    <n v="0.19585172725123454"/>
    <s v="No"/>
    <n v="10804965"/>
    <n v="37"/>
    <x v="0"/>
  </r>
  <r>
    <n v="2290"/>
    <s v="MUJER"/>
    <n v="294025"/>
    <x v="0"/>
    <x v="1"/>
    <s v="SI"/>
    <s v="NO"/>
    <s v="NO"/>
    <n v="49"/>
    <n v="0.49546762339867978"/>
    <s v="No"/>
    <n v="0.37076118865198432"/>
    <s v="No"/>
    <n v="294025"/>
    <n v="49"/>
    <x v="0"/>
  </r>
  <r>
    <n v="2291"/>
    <s v="HOMBRE"/>
    <n v="300018"/>
    <x v="3"/>
    <x v="1"/>
    <s v="SI"/>
    <s v="NO"/>
    <s v="SI"/>
    <n v="54"/>
    <n v="0.84834427378436728"/>
    <s v="No"/>
    <n v="0.37066146090145252"/>
    <s v="No"/>
    <n v="300018"/>
    <n v="54"/>
    <x v="3"/>
  </r>
  <r>
    <n v="2292"/>
    <s v="HOMBRE"/>
    <n v="278030"/>
    <x v="4"/>
    <x v="1"/>
    <s v="SI"/>
    <s v="NO"/>
    <s v="NO"/>
    <n v="53"/>
    <n v="0.77776894370722982"/>
    <s v="No"/>
    <n v="0.37102735674304993"/>
    <s v="No"/>
    <n v="278030"/>
    <n v="53"/>
    <x v="4"/>
  </r>
  <r>
    <n v="2293"/>
    <s v="HOMBRE"/>
    <n v="299647"/>
    <x v="2"/>
    <x v="1"/>
    <s v="SI"/>
    <s v="NO"/>
    <s v="NO"/>
    <n v="61"/>
    <n v="1.3423715843243298"/>
    <s v="No"/>
    <n v="0.37066763460334595"/>
    <s v="No"/>
    <n v="299647"/>
    <n v="61"/>
    <x v="2"/>
  </r>
  <r>
    <n v="2294"/>
    <s v="MUJER"/>
    <n v="2376310"/>
    <x v="0"/>
    <x v="0"/>
    <s v="SI"/>
    <s v="NO"/>
    <s v="NO"/>
    <n v="45"/>
    <n v="0.21316630309012977"/>
    <s v="No"/>
    <n v="0.33611049634160484"/>
    <s v="No"/>
    <n v="2376310"/>
    <n v="45"/>
    <x v="0"/>
  </r>
  <r>
    <n v="2295"/>
    <s v="MUJER"/>
    <n v="257784"/>
    <x v="0"/>
    <x v="1"/>
    <s v="SI"/>
    <s v="NO"/>
    <s v="NO"/>
    <n v="44"/>
    <n v="0.14259097301299228"/>
    <s v="No"/>
    <n v="0.37136426447494825"/>
    <s v="No"/>
    <n v="257784"/>
    <n v="44"/>
    <x v="0"/>
  </r>
  <r>
    <n v="2296"/>
    <s v="MUJER"/>
    <n v="14980053"/>
    <x v="0"/>
    <x v="1"/>
    <s v="SI"/>
    <s v="NO"/>
    <s v="NO"/>
    <n v="63"/>
    <n v="1.4835222444786049"/>
    <s v="No"/>
    <n v="0.12637531568569105"/>
    <s v="No"/>
    <n v="14980053"/>
    <n v="63"/>
    <x v="0"/>
  </r>
  <r>
    <n v="2297"/>
    <s v="MUJER"/>
    <n v="282305"/>
    <x v="2"/>
    <x v="1"/>
    <s v="SI"/>
    <s v="NO"/>
    <s v="NO"/>
    <n v="52"/>
    <n v="0.70719361363009237"/>
    <s v="No"/>
    <n v="0.37095621772527526"/>
    <s v="No"/>
    <n v="282305"/>
    <n v="52"/>
    <x v="2"/>
  </r>
  <r>
    <n v="2298"/>
    <s v="HOMBRE"/>
    <n v="458557"/>
    <x v="3"/>
    <x v="1"/>
    <s v="SI"/>
    <s v="NO"/>
    <s v="SI"/>
    <n v="30"/>
    <n v="0.84546364806693275"/>
    <s v="No"/>
    <n v="0.36802326002683872"/>
    <s v="No"/>
    <n v="458557"/>
    <n v="30"/>
    <x v="3"/>
  </r>
  <r>
    <n v="2299"/>
    <s v="HOMBRE"/>
    <n v="299647"/>
    <x v="2"/>
    <x v="1"/>
    <s v="SI"/>
    <s v="NO"/>
    <s v="NO"/>
    <n v="54"/>
    <n v="0.84834427378436728"/>
    <s v="No"/>
    <n v="0.37066763460334595"/>
    <s v="No"/>
    <n v="299647"/>
    <n v="54"/>
    <x v="2"/>
  </r>
  <r>
    <n v="2300"/>
    <s v="HOMBRE"/>
    <n v="347000"/>
    <x v="0"/>
    <x v="1"/>
    <s v="SI"/>
    <s v="NO"/>
    <s v="NO"/>
    <n v="18"/>
    <n v="1.6923676089925828"/>
    <s v="No"/>
    <n v="0.36987964725628569"/>
    <s v="No"/>
    <n v="347000"/>
    <n v="18"/>
    <x v="0"/>
  </r>
  <r>
    <n v="2301"/>
    <s v="MUJER"/>
    <n v="297046"/>
    <x v="2"/>
    <x v="1"/>
    <s v="SI"/>
    <s v="NO"/>
    <s v="NO"/>
    <n v="58"/>
    <n v="1.1306455940929174"/>
    <s v="No"/>
    <n v="0.37071091707942361"/>
    <s v="No"/>
    <n v="297046"/>
    <n v="58"/>
    <x v="2"/>
  </r>
  <r>
    <n v="2302"/>
    <s v="HOMBRE"/>
    <n v="1329256"/>
    <x v="0"/>
    <x v="0"/>
    <s v="SI"/>
    <s v="NO"/>
    <s v="SI"/>
    <n v="30"/>
    <n v="0.84546364806693275"/>
    <s v="No"/>
    <n v="0.35353421402979451"/>
    <s v="No"/>
    <n v="1329256"/>
    <n v="30"/>
    <x v="0"/>
  </r>
  <r>
    <n v="2303"/>
    <s v="HOMBRE"/>
    <n v="38233334"/>
    <x v="0"/>
    <x v="1"/>
    <s v="SI"/>
    <s v="NO"/>
    <s v="NO"/>
    <n v="22"/>
    <n v="1.4100662886840327"/>
    <s v="No"/>
    <n v="0.26057569492899124"/>
    <s v="No"/>
    <n v="38233334"/>
    <n v="22"/>
    <x v="0"/>
  </r>
  <r>
    <n v="2304"/>
    <s v="HOMBRE"/>
    <n v="330000"/>
    <x v="0"/>
    <x v="1"/>
    <s v="SI"/>
    <s v="NO"/>
    <s v="NO"/>
    <n v="21"/>
    <n v="1.4806416187611704"/>
    <s v="No"/>
    <n v="0.37016253925679304"/>
    <s v="No"/>
    <n v="330000"/>
    <n v="21"/>
    <x v="0"/>
  </r>
  <r>
    <n v="2305"/>
    <s v="HOMBRE"/>
    <n v="4839767"/>
    <x v="1"/>
    <x v="0"/>
    <s v="SI"/>
    <s v="NO"/>
    <s v="NO"/>
    <n v="72"/>
    <n v="2.1187002151728422"/>
    <s v="Sí"/>
    <n v="0.29511683287726131"/>
    <s v="No"/>
    <n v="4839767"/>
    <n v="72"/>
    <x v="1"/>
  </r>
  <r>
    <n v="2306"/>
    <s v="MUJER"/>
    <n v="34339086"/>
    <x v="0"/>
    <x v="1"/>
    <s v="SI"/>
    <s v="NO"/>
    <s v="SI"/>
    <n v="25"/>
    <n v="1.1983402984526204"/>
    <s v="No"/>
    <n v="0.19577265921182921"/>
    <s v="No"/>
    <n v="34339086"/>
    <n v="25"/>
    <x v="0"/>
  </r>
  <r>
    <n v="2307"/>
    <s v="HOMBRE"/>
    <n v="278030"/>
    <x v="4"/>
    <x v="1"/>
    <s v="SI"/>
    <s v="NO"/>
    <s v="NO"/>
    <n v="59"/>
    <n v="1.2012209241700549"/>
    <s v="No"/>
    <n v="0.37102735674304993"/>
    <s v="No"/>
    <n v="278030"/>
    <n v="59"/>
    <x v="4"/>
  </r>
  <r>
    <n v="2308"/>
    <s v="HOMBRE"/>
    <n v="417995"/>
    <x v="0"/>
    <x v="1"/>
    <s v="SI"/>
    <s v="NO"/>
    <s v="NO"/>
    <n v="40"/>
    <n v="0.13971034729555773"/>
    <s v="No"/>
    <n v="0.36869824034004922"/>
    <s v="No"/>
    <n v="417995"/>
    <n v="40"/>
    <x v="0"/>
  </r>
  <r>
    <n v="2309"/>
    <s v="HOMBRE"/>
    <n v="400000"/>
    <x v="0"/>
    <x v="1"/>
    <s v="SI"/>
    <s v="NO"/>
    <s v="NO"/>
    <n v="56"/>
    <n v="0.9894949339386423"/>
    <s v="No"/>
    <n v="0.36899768984293924"/>
    <s v="No"/>
    <n v="400000"/>
    <n v="56"/>
    <x v="0"/>
  </r>
  <r>
    <n v="2310"/>
    <s v="HOMBRE"/>
    <n v="278030"/>
    <x v="4"/>
    <x v="1"/>
    <s v="SI"/>
    <s v="NO"/>
    <s v="NO"/>
    <n v="45"/>
    <n v="0.21316630309012977"/>
    <s v="No"/>
    <n v="0.37102735674304993"/>
    <s v="No"/>
    <n v="278030"/>
    <n v="45"/>
    <x v="4"/>
  </r>
  <r>
    <n v="2311"/>
    <s v="MUJER"/>
    <n v="297046"/>
    <x v="3"/>
    <x v="1"/>
    <s v="SI"/>
    <s v="NO"/>
    <s v="NO"/>
    <n v="41"/>
    <n v="6.9135017218420233E-2"/>
    <s v="No"/>
    <n v="0.37071091707942361"/>
    <s v="No"/>
    <n v="297046"/>
    <n v="41"/>
    <x v="3"/>
  </r>
  <r>
    <n v="2312"/>
    <s v="HOMBRE"/>
    <n v="639148"/>
    <x v="3"/>
    <x v="1"/>
    <s v="SI"/>
    <s v="NO"/>
    <s v="SI"/>
    <n v="41"/>
    <n v="6.9135017218420233E-2"/>
    <s v="No"/>
    <n v="0.36501809830544912"/>
    <s v="No"/>
    <n v="639148"/>
    <n v="41"/>
    <x v="3"/>
  </r>
  <r>
    <n v="2313"/>
    <s v="HOMBRE"/>
    <n v="69095285"/>
    <x v="0"/>
    <x v="1"/>
    <s v="SI"/>
    <s v="NO"/>
    <s v="NO"/>
    <n v="38"/>
    <n v="0.28086100744983278"/>
    <s v="No"/>
    <n v="0.77414034539663079"/>
    <s v="No"/>
    <n v="69095285"/>
    <n v="38"/>
    <x v="0"/>
  </r>
  <r>
    <n v="2314"/>
    <s v="HOMBRE"/>
    <n v="150000"/>
    <x v="0"/>
    <x v="1"/>
    <s v="SI"/>
    <s v="SI"/>
    <s v="SI"/>
    <n v="41"/>
    <n v="6.9135017218420233E-2"/>
    <s v="No"/>
    <n v="0.37315786632098852"/>
    <s v="No"/>
    <n v="150000"/>
    <n v="41"/>
    <x v="0"/>
  </r>
  <r>
    <n v="2315"/>
    <s v="MUJER"/>
    <n v="750000"/>
    <x v="0"/>
    <x v="1"/>
    <s v="SI"/>
    <s v="NO"/>
    <s v="NO"/>
    <n v="32"/>
    <n v="0.70431298791265773"/>
    <s v="No"/>
    <n v="0.3631734427736702"/>
    <s v="No"/>
    <n v="750000"/>
    <n v="32"/>
    <x v="0"/>
  </r>
  <r>
    <n v="2316"/>
    <s v="MUJER"/>
    <n v="1458494"/>
    <x v="0"/>
    <x v="0"/>
    <s v="SI"/>
    <s v="NO"/>
    <s v="SI"/>
    <n v="49"/>
    <n v="0.49546762339867978"/>
    <s v="No"/>
    <n v="0.35138360247911399"/>
    <s v="No"/>
    <n v="1458494"/>
    <n v="49"/>
    <x v="0"/>
  </r>
  <r>
    <n v="2317"/>
    <s v="MUJER"/>
    <n v="500460"/>
    <x v="0"/>
    <x v="0"/>
    <s v="SI"/>
    <s v="NO"/>
    <s v="NO"/>
    <n v="43"/>
    <n v="7.2015642935854773E-2"/>
    <s v="No"/>
    <n v="0.36732596452699989"/>
    <s v="No"/>
    <n v="500460"/>
    <n v="43"/>
    <x v="0"/>
  </r>
  <r>
    <n v="2318"/>
    <s v="MUJER"/>
    <n v="453432"/>
    <x v="1"/>
    <x v="0"/>
    <s v="SI"/>
    <s v="NO"/>
    <s v="NO"/>
    <n v="67"/>
    <n v="1.765823564787155"/>
    <s v="No"/>
    <n v="0.36810854364463874"/>
    <s v="No"/>
    <n v="453432"/>
    <n v="67"/>
    <x v="1"/>
  </r>
  <r>
    <n v="2319"/>
    <s v="HOMBRE"/>
    <n v="297046"/>
    <x v="2"/>
    <x v="1"/>
    <s v="SI"/>
    <s v="NO"/>
    <s v="NO"/>
    <n v="53"/>
    <n v="0.77776894370722982"/>
    <s v="No"/>
    <n v="0.37071091707942361"/>
    <s v="No"/>
    <n v="297046"/>
    <n v="53"/>
    <x v="2"/>
  </r>
  <r>
    <n v="2320"/>
    <s v="HOMBRE"/>
    <n v="5361429"/>
    <x v="0"/>
    <x v="1"/>
    <s v="SI"/>
    <s v="NO"/>
    <s v="NO"/>
    <n v="20"/>
    <n v="1.5512169488383079"/>
    <s v="No"/>
    <n v="0.28643600894969273"/>
    <s v="No"/>
    <n v="5361429"/>
    <n v="20"/>
    <x v="0"/>
  </r>
  <r>
    <n v="2321"/>
    <s v="MUJER"/>
    <n v="1584930"/>
    <x v="1"/>
    <x v="0"/>
    <s v="SI"/>
    <s v="NO"/>
    <s v="NO"/>
    <n v="71"/>
    <n v="2.0481248850957048"/>
    <s v="Sí"/>
    <n v="0.34927961818639941"/>
    <s v="No"/>
    <n v="1584930"/>
    <n v="71"/>
    <x v="1"/>
  </r>
  <r>
    <n v="2322"/>
    <s v="MUJER"/>
    <n v="2417294"/>
    <x v="0"/>
    <x v="1"/>
    <s v="SI"/>
    <s v="NO"/>
    <s v="NO"/>
    <n v="34"/>
    <n v="0.56316232775838282"/>
    <s v="No"/>
    <n v="0.33542849365049932"/>
    <s v="No"/>
    <n v="2417294"/>
    <n v="34"/>
    <x v="0"/>
  </r>
  <r>
    <n v="2323"/>
    <s v="HOMBRE"/>
    <n v="297046"/>
    <x v="3"/>
    <x v="1"/>
    <s v="SI"/>
    <s v="NO"/>
    <s v="SI"/>
    <n v="43"/>
    <n v="7.2015642935854773E-2"/>
    <s v="No"/>
    <n v="0.37071091707942361"/>
    <s v="No"/>
    <n v="297046"/>
    <n v="43"/>
    <x v="3"/>
  </r>
  <r>
    <n v="2324"/>
    <s v="MUJER"/>
    <n v="40224906"/>
    <x v="0"/>
    <x v="1"/>
    <s v="SI"/>
    <s v="NO"/>
    <s v="NO"/>
    <n v="29"/>
    <n v="0.91603897814407031"/>
    <s v="No"/>
    <n v="0.2937168588839576"/>
    <s v="No"/>
    <n v="40224906"/>
    <n v="29"/>
    <x v="0"/>
  </r>
  <r>
    <n v="2325"/>
    <s v="HOMBRE"/>
    <n v="639148"/>
    <x v="3"/>
    <x v="1"/>
    <s v="SI"/>
    <s v="NO"/>
    <s v="SI"/>
    <n v="46"/>
    <n v="0.2837416331672673"/>
    <s v="No"/>
    <n v="0.36501809830544912"/>
    <s v="No"/>
    <n v="639148"/>
    <n v="46"/>
    <x v="3"/>
  </r>
  <r>
    <n v="2326"/>
    <s v="HOMBRE"/>
    <n v="3282102"/>
    <x v="0"/>
    <x v="1"/>
    <s v="SI"/>
    <s v="NO"/>
    <s v="NO"/>
    <n v="42"/>
    <n v="1.4403128587172659E-3"/>
    <s v="No"/>
    <n v="0.3210374780519839"/>
    <s v="No"/>
    <n v="3282102"/>
    <n v="42"/>
    <x v="0"/>
  </r>
  <r>
    <n v="2327"/>
    <s v="MUJER"/>
    <n v="361045"/>
    <x v="3"/>
    <x v="1"/>
    <s v="SI"/>
    <s v="NO"/>
    <s v="SI"/>
    <n v="42"/>
    <n v="1.4403128587172659E-3"/>
    <s v="No"/>
    <n v="0.36964592854174888"/>
    <s v="No"/>
    <n v="361045"/>
    <n v="42"/>
    <x v="3"/>
  </r>
  <r>
    <n v="2328"/>
    <s v="HOMBRE"/>
    <n v="999312"/>
    <x v="0"/>
    <x v="0"/>
    <s v="SI"/>
    <s v="NO"/>
    <s v="SI"/>
    <n v="28"/>
    <n v="0.98661430822120777"/>
    <s v="No"/>
    <n v="0.35902471510128853"/>
    <s v="No"/>
    <n v="999312"/>
    <n v="28"/>
    <x v="0"/>
  </r>
  <r>
    <n v="2329"/>
    <s v="MUJER"/>
    <n v="121300"/>
    <x v="0"/>
    <x v="1"/>
    <s v="SI"/>
    <s v="NO"/>
    <s v="SI"/>
    <n v="40"/>
    <n v="0.13971034729555773"/>
    <s v="No"/>
    <n v="0.3736354545806686"/>
    <s v="No"/>
    <n v="121300"/>
    <n v="40"/>
    <x v="0"/>
  </r>
  <r>
    <n v="2330"/>
    <s v="HOMBRE"/>
    <n v="27996049"/>
    <x v="0"/>
    <x v="1"/>
    <s v="SI"/>
    <s v="NO"/>
    <s v="NO"/>
    <n v="23"/>
    <n v="1.3394909586068953"/>
    <s v="No"/>
    <n v="9.0220045904643761E-2"/>
    <s v="No"/>
    <n v="27996049"/>
    <n v="23"/>
    <x v="0"/>
  </r>
  <r>
    <n v="2331"/>
    <s v="MUJER"/>
    <n v="11921991"/>
    <x v="1"/>
    <x v="0"/>
    <s v="SI"/>
    <s v="NO"/>
    <s v="NO"/>
    <n v="59"/>
    <n v="1.2012209241700549"/>
    <s v="No"/>
    <n v="0.17726362608895657"/>
    <s v="No"/>
    <n v="11921991"/>
    <n v="59"/>
    <x v="1"/>
  </r>
  <r>
    <n v="2332"/>
    <s v="MUJER"/>
    <n v="430000"/>
    <x v="0"/>
    <x v="1"/>
    <s v="SI"/>
    <s v="NO"/>
    <s v="NO"/>
    <n v="42"/>
    <n v="1.4403128587172659E-3"/>
    <s v="No"/>
    <n v="0.36849846866557334"/>
    <s v="No"/>
    <n v="430000"/>
    <n v="42"/>
    <x v="0"/>
  </r>
  <r>
    <n v="2333"/>
    <s v="MUJER"/>
    <n v="278030"/>
    <x v="2"/>
    <x v="1"/>
    <s v="SI"/>
    <s v="NO"/>
    <s v="SI"/>
    <n v="20"/>
    <n v="1.5512169488383079"/>
    <s v="No"/>
    <n v="0.37102735674304993"/>
    <s v="No"/>
    <n v="278030"/>
    <n v="20"/>
    <x v="2"/>
  </r>
  <r>
    <n v="2334"/>
    <s v="HOMBRE"/>
    <n v="161370264"/>
    <x v="0"/>
    <x v="1"/>
    <s v="SI"/>
    <s v="NO"/>
    <s v="NO"/>
    <n v="32"/>
    <n v="0.70431298791265773"/>
    <s v="No"/>
    <n v="2.3096611339898012"/>
    <s v="Sí"/>
    <n v="161370264"/>
    <n v="32"/>
    <x v="0"/>
  </r>
  <r>
    <n v="2335"/>
    <s v="HOMBRE"/>
    <n v="25451837"/>
    <x v="0"/>
    <x v="1"/>
    <s v="SI"/>
    <s v="NO"/>
    <s v="NO"/>
    <n v="46"/>
    <n v="0.2837416331672673"/>
    <s v="No"/>
    <n v="4.7882562234360757E-2"/>
    <s v="No"/>
    <n v="25451837"/>
    <n v="46"/>
    <x v="0"/>
  </r>
  <r>
    <n v="2336"/>
    <s v="HOMBRE"/>
    <n v="2133715"/>
    <x v="1"/>
    <x v="0"/>
    <s v="SI"/>
    <s v="NO"/>
    <s v="NO"/>
    <n v="83"/>
    <n v="2.8950288460213551"/>
    <s v="Sí"/>
    <n v="0.34014744839237432"/>
    <s v="No"/>
    <n v="2133715"/>
    <n v="83"/>
    <x v="1"/>
  </r>
  <r>
    <n v="2337"/>
    <s v="MUJER"/>
    <n v="81536"/>
    <x v="0"/>
    <x v="0"/>
    <s v="SI"/>
    <s v="NO"/>
    <s v="SI"/>
    <n v="31"/>
    <n v="0.77488831798979529"/>
    <s v="No"/>
    <n v="0.37429715561056121"/>
    <s v="No"/>
    <n v="81536"/>
    <n v="31"/>
    <x v="0"/>
  </r>
  <r>
    <n v="2338"/>
    <s v="MUJER"/>
    <n v="157177"/>
    <x v="0"/>
    <x v="1"/>
    <s v="SI"/>
    <s v="NO"/>
    <s v="NO"/>
    <n v="23"/>
    <n v="1.3394909586068953"/>
    <s v="No"/>
    <n v="0.37303843597465669"/>
    <s v="No"/>
    <n v="157177"/>
    <n v="23"/>
    <x v="0"/>
  </r>
  <r>
    <n v="2339"/>
    <s v="HOMBRE"/>
    <n v="505609"/>
    <x v="0"/>
    <x v="1"/>
    <s v="SI"/>
    <s v="NO"/>
    <s v="NO"/>
    <n v="44"/>
    <n v="0.14259097301299228"/>
    <s v="No"/>
    <n v="0.36724028153225802"/>
    <s v="No"/>
    <n v="505609"/>
    <n v="44"/>
    <x v="0"/>
  </r>
  <r>
    <n v="2340"/>
    <s v="MUJER"/>
    <n v="617762"/>
    <x v="0"/>
    <x v="1"/>
    <s v="SI"/>
    <s v="NO"/>
    <s v="NO"/>
    <n v="61"/>
    <n v="1.3423715843243298"/>
    <s v="No"/>
    <n v="0.36537397644208736"/>
    <s v="No"/>
    <n v="617762"/>
    <n v="61"/>
    <x v="0"/>
  </r>
  <r>
    <n v="2341"/>
    <s v="MUJER"/>
    <n v="299137"/>
    <x v="0"/>
    <x v="0"/>
    <s v="SI"/>
    <s v="NO"/>
    <s v="NO"/>
    <n v="44"/>
    <n v="0.14259097301299228"/>
    <s v="No"/>
    <n v="0.3706761213633612"/>
    <s v="No"/>
    <n v="299137"/>
    <n v="44"/>
    <x v="0"/>
  </r>
  <r>
    <n v="2342"/>
    <s v="MUJER"/>
    <n v="338166"/>
    <x v="3"/>
    <x v="1"/>
    <s v="SI"/>
    <s v="NO"/>
    <s v="NO"/>
    <n v="61"/>
    <n v="1.3423715843243298"/>
    <s v="No"/>
    <n v="0.37002665125231404"/>
    <s v="No"/>
    <n v="338166"/>
    <n v="61"/>
    <x v="3"/>
  </r>
  <r>
    <n v="2343"/>
    <s v="HOMBRE"/>
    <n v="1250000"/>
    <x v="0"/>
    <x v="1"/>
    <s v="SI"/>
    <s v="NO"/>
    <s v="NO"/>
    <n v="29"/>
    <n v="0.91603897814407031"/>
    <s v="No"/>
    <n v="0.35485308981757163"/>
    <s v="No"/>
    <n v="1250000"/>
    <n v="29"/>
    <x v="0"/>
  </r>
  <r>
    <n v="2344"/>
    <s v="MUJER"/>
    <n v="305704"/>
    <x v="2"/>
    <x v="1"/>
    <s v="NO"/>
    <s v="NO"/>
    <s v="NO"/>
    <n v="60"/>
    <n v="1.2717962542471923"/>
    <s v="No"/>
    <n v="0.37056684184763578"/>
    <s v="No"/>
    <n v="305704"/>
    <n v="60"/>
    <x v="2"/>
  </r>
  <r>
    <n v="2345"/>
    <s v="HOMBRE"/>
    <n v="50206388"/>
    <x v="0"/>
    <x v="1"/>
    <s v="SI"/>
    <s v="NO"/>
    <s v="NO"/>
    <n v="22"/>
    <n v="1.4100662886840327"/>
    <s v="No"/>
    <n v="0.45981576541384728"/>
    <s v="No"/>
    <n v="50206388"/>
    <n v="22"/>
    <x v="0"/>
  </r>
  <r>
    <n v="2346"/>
    <s v="HOMBRE"/>
    <n v="84382496"/>
    <x v="0"/>
    <x v="1"/>
    <s v="SI"/>
    <s v="NO"/>
    <s v="NO"/>
    <n v="31"/>
    <n v="0.77488831798979529"/>
    <s v="No"/>
    <n v="1.0285303278653366"/>
    <s v="No"/>
    <n v="84382496"/>
    <n v="31"/>
    <x v="0"/>
  </r>
  <r>
    <n v="2347"/>
    <s v="HOMBRE"/>
    <n v="278030"/>
    <x v="3"/>
    <x v="1"/>
    <s v="SI"/>
    <s v="NO"/>
    <s v="SI"/>
    <n v="39"/>
    <n v="0.21028567737269524"/>
    <s v="No"/>
    <n v="0.37102735674304993"/>
    <s v="No"/>
    <n v="278030"/>
    <n v="39"/>
    <x v="3"/>
  </r>
  <r>
    <n v="2348"/>
    <s v="HOMBRE"/>
    <n v="3475044"/>
    <x v="0"/>
    <x v="1"/>
    <s v="SI"/>
    <s v="SI"/>
    <s v="NO"/>
    <n v="24"/>
    <n v="1.2689156285297578"/>
    <s v="No"/>
    <n v="0.31782678697187278"/>
    <s v="No"/>
    <n v="3475044"/>
    <n v="24"/>
    <x v="0"/>
  </r>
  <r>
    <n v="2349"/>
    <s v="HOMBRE"/>
    <n v="181130847"/>
    <x v="0"/>
    <x v="1"/>
    <s v="SI"/>
    <s v="NO"/>
    <s v="NO"/>
    <n v="43"/>
    <n v="7.2015642935854773E-2"/>
    <s v="No"/>
    <n v="2.6384911843463641"/>
    <s v="Sí"/>
    <n v="181130847"/>
    <n v="43"/>
    <x v="0"/>
  </r>
  <r>
    <n v="2350"/>
    <s v="MUJER"/>
    <n v="35954427"/>
    <x v="6"/>
    <x v="1"/>
    <s v="SI"/>
    <s v="SI"/>
    <s v="NO"/>
    <n v="51"/>
    <n v="0.6366182835529548"/>
    <s v="No"/>
    <n v="0.22265307374074372"/>
    <s v="No"/>
    <n v="35954427"/>
    <n v="51"/>
    <x v="5"/>
  </r>
  <r>
    <n v="2351"/>
    <s v="MUJER"/>
    <n v="278030"/>
    <x v="4"/>
    <x v="1"/>
    <s v="SI"/>
    <s v="NO"/>
    <s v="NO"/>
    <n v="32"/>
    <n v="0.70431298791265773"/>
    <s v="No"/>
    <n v="0.37102735674304993"/>
    <s v="No"/>
    <n v="278030"/>
    <n v="32"/>
    <x v="4"/>
  </r>
  <r>
    <n v="2352"/>
    <s v="MUJER"/>
    <n v="278035"/>
    <x v="2"/>
    <x v="1"/>
    <s v="SI"/>
    <s v="NO"/>
    <s v="NO"/>
    <n v="27"/>
    <n v="1.0571896382983452"/>
    <s v="No"/>
    <n v="0.37102727353952036"/>
    <s v="No"/>
    <n v="278035"/>
    <n v="27"/>
    <x v="2"/>
  </r>
  <r>
    <n v="2353"/>
    <s v="HOMBRE"/>
    <n v="88810164"/>
    <x v="0"/>
    <x v="0"/>
    <s v="SI"/>
    <s v="NO"/>
    <s v="NO"/>
    <n v="30"/>
    <n v="0.84546364806693275"/>
    <s v="No"/>
    <n v="1.1022098489301828"/>
    <s v="No"/>
    <n v="88810164"/>
    <n v="30"/>
    <x v="0"/>
  </r>
  <r>
    <n v="2354"/>
    <s v="MUJER"/>
    <n v="4179712"/>
    <x v="0"/>
    <x v="1"/>
    <s v="SI"/>
    <s v="NO"/>
    <s v="SI"/>
    <n v="40"/>
    <n v="0.13971034729555773"/>
    <s v="No"/>
    <n v="0.3061006140181366"/>
    <s v="No"/>
    <n v="4179712"/>
    <n v="40"/>
    <x v="0"/>
  </r>
  <r>
    <n v="2355"/>
    <s v="MUJER"/>
    <n v="380732"/>
    <x v="0"/>
    <x v="0"/>
    <s v="SI"/>
    <s v="NO"/>
    <s v="SI"/>
    <n v="55"/>
    <n v="0.91891960386150484"/>
    <s v="No"/>
    <n v="0.36931832296445544"/>
    <s v="No"/>
    <n v="380732"/>
    <n v="55"/>
    <x v="0"/>
  </r>
  <r>
    <n v="2356"/>
    <s v="HOMBRE"/>
    <n v="317306967"/>
    <x v="0"/>
    <x v="0"/>
    <s v="SI"/>
    <s v="NO"/>
    <s v="NO"/>
    <n v="54"/>
    <n v="0.84834427378436728"/>
    <s v="No"/>
    <n v="4.9045579495304361"/>
    <s v="Sí"/>
    <n v="317306967"/>
    <n v="54"/>
    <x v="0"/>
  </r>
  <r>
    <n v="2357"/>
    <s v="MUJER"/>
    <n v="355000"/>
    <x v="3"/>
    <x v="1"/>
    <s v="SI"/>
    <s v="NO"/>
    <s v="SI"/>
    <n v="28"/>
    <n v="0.98661430822120777"/>
    <s v="No"/>
    <n v="0.36974652160898813"/>
    <s v="No"/>
    <n v="355000"/>
    <n v="28"/>
    <x v="3"/>
  </r>
  <r>
    <n v="2358"/>
    <s v="HOMBRE"/>
    <n v="563202"/>
    <x v="0"/>
    <x v="1"/>
    <s v="SI"/>
    <s v="NO"/>
    <s v="NO"/>
    <n v="37"/>
    <n v="0.35143633752697023"/>
    <s v="No"/>
    <n v="0.36628189335665684"/>
    <s v="No"/>
    <n v="563202"/>
    <n v="37"/>
    <x v="0"/>
  </r>
  <r>
    <n v="2359"/>
    <s v="HOMBRE"/>
    <n v="299647"/>
    <x v="2"/>
    <x v="1"/>
    <s v="SI"/>
    <s v="NO"/>
    <s v="NO"/>
    <n v="74"/>
    <n v="2.2598508753271176"/>
    <s v="Sí"/>
    <n v="0.37066763460334595"/>
    <s v="No"/>
    <n v="299647"/>
    <n v="74"/>
    <x v="2"/>
  </r>
  <r>
    <n v="2360"/>
    <s v="HOMBRE"/>
    <n v="56495582"/>
    <x v="0"/>
    <x v="1"/>
    <s v="SI"/>
    <s v="NO"/>
    <s v="NO"/>
    <n v="60"/>
    <n v="1.2717962542471923"/>
    <s v="No"/>
    <n v="0.56447239319260234"/>
    <s v="No"/>
    <n v="56495582"/>
    <n v="60"/>
    <x v="0"/>
  </r>
  <r>
    <n v="2361"/>
    <s v="HOMBRE"/>
    <n v="326749"/>
    <x v="3"/>
    <x v="1"/>
    <s v="SI"/>
    <s v="NO"/>
    <s v="SI"/>
    <n v="52"/>
    <n v="0.70719361363009237"/>
    <s v="No"/>
    <n v="0.37021663819171358"/>
    <s v="No"/>
    <n v="326749"/>
    <n v="52"/>
    <x v="3"/>
  </r>
  <r>
    <n v="2362"/>
    <s v="HOMBRE"/>
    <n v="2190000"/>
    <x v="0"/>
    <x v="1"/>
    <s v="SI"/>
    <s v="NO"/>
    <s v="NO"/>
    <n v="59"/>
    <n v="1.2012209241700549"/>
    <s v="No"/>
    <n v="0.33921082626010629"/>
    <s v="No"/>
    <n v="2190000"/>
    <n v="59"/>
    <x v="0"/>
  </r>
  <r>
    <n v="2363"/>
    <s v="MUJER"/>
    <n v="1248185"/>
    <x v="0"/>
    <x v="0"/>
    <s v="SI"/>
    <s v="NO"/>
    <s v="SI"/>
    <n v="60"/>
    <n v="1.2717962542471923"/>
    <s v="No"/>
    <n v="0.35488329269880226"/>
    <s v="No"/>
    <n v="1248185"/>
    <n v="60"/>
    <x v="0"/>
  </r>
  <r>
    <n v="2364"/>
    <s v="MUJER"/>
    <n v="360000"/>
    <x v="0"/>
    <x v="1"/>
    <s v="SI"/>
    <s v="NO"/>
    <s v="NO"/>
    <n v="27"/>
    <n v="1.0571896382983452"/>
    <s v="No"/>
    <n v="0.36966331807942709"/>
    <s v="No"/>
    <n v="360000"/>
    <n v="27"/>
    <x v="0"/>
  </r>
  <r>
    <n v="2365"/>
    <s v="HOMBRE"/>
    <n v="190000"/>
    <x v="0"/>
    <x v="1"/>
    <s v="SI"/>
    <s v="NO"/>
    <s v="SI"/>
    <n v="45"/>
    <n v="0.21316630309012977"/>
    <s v="No"/>
    <n v="0.37249223808450066"/>
    <s v="No"/>
    <n v="190000"/>
    <n v="45"/>
    <x v="0"/>
  </r>
  <r>
    <n v="2366"/>
    <s v="MUJER"/>
    <n v="1287284"/>
    <x v="0"/>
    <x v="0"/>
    <s v="SI"/>
    <s v="NO"/>
    <s v="NO"/>
    <n v="37"/>
    <n v="0.35143633752697023"/>
    <s v="No"/>
    <n v="0.35423265773834128"/>
    <s v="No"/>
    <n v="1287284"/>
    <n v="37"/>
    <x v="0"/>
  </r>
  <r>
    <n v="2367"/>
    <s v="HOMBRE"/>
    <n v="116169785"/>
    <x v="0"/>
    <x v="0"/>
    <s v="SI"/>
    <s v="NO"/>
    <s v="NO"/>
    <n v="41"/>
    <n v="6.9135017218420233E-2"/>
    <s v="No"/>
    <n v="1.5574932558603567"/>
    <s v="No"/>
    <n v="116169785"/>
    <n v="41"/>
    <x v="0"/>
  </r>
  <r>
    <n v="2368"/>
    <s v="HOMBRE"/>
    <n v="520000"/>
    <x v="0"/>
    <x v="1"/>
    <s v="SI"/>
    <s v="NO"/>
    <s v="SI"/>
    <n v="62"/>
    <n v="1.4129469144014672"/>
    <s v="No"/>
    <n v="0.36700080513347555"/>
    <s v="No"/>
    <n v="520000"/>
    <n v="62"/>
    <x v="0"/>
  </r>
  <r>
    <n v="2369"/>
    <s v="HOMBRE"/>
    <n v="1459164"/>
    <x v="0"/>
    <x v="1"/>
    <s v="SI"/>
    <s v="NO"/>
    <s v="NO"/>
    <n v="55"/>
    <n v="0.91891960386150484"/>
    <s v="No"/>
    <n v="0.35137245320615285"/>
    <s v="No"/>
    <n v="1459164"/>
    <n v="55"/>
    <x v="0"/>
  </r>
  <r>
    <n v="2370"/>
    <s v="HOMBRE"/>
    <n v="78510377"/>
    <x v="0"/>
    <x v="1"/>
    <s v="SI"/>
    <s v="NO"/>
    <s v="NO"/>
    <n v="49"/>
    <n v="0.49546762339867978"/>
    <s v="No"/>
    <n v="0.93081412250491113"/>
    <s v="No"/>
    <n v="78510377"/>
    <n v="49"/>
    <x v="0"/>
  </r>
  <r>
    <n v="2371"/>
    <s v="HOMBRE"/>
    <n v="17587458"/>
    <x v="0"/>
    <x v="1"/>
    <s v="SI"/>
    <s v="NO"/>
    <s v="SI"/>
    <n v="38"/>
    <n v="0.28086100744983278"/>
    <s v="No"/>
    <n v="8.2986255886698571E-2"/>
    <s v="No"/>
    <n v="17587458"/>
    <n v="38"/>
    <x v="0"/>
  </r>
  <r>
    <n v="2372"/>
    <s v="HOMBRE"/>
    <n v="341004"/>
    <x v="0"/>
    <x v="1"/>
    <s v="SI"/>
    <s v="SI"/>
    <s v="NO"/>
    <n v="57"/>
    <n v="1.0600702640157798"/>
    <s v="No"/>
    <n v="0.36997942492893521"/>
    <s v="No"/>
    <n v="341004"/>
    <n v="57"/>
    <x v="0"/>
  </r>
  <r>
    <n v="2373"/>
    <s v="MUJER"/>
    <n v="342644735"/>
    <x v="0"/>
    <x v="0"/>
    <s v="SI"/>
    <s v="NO"/>
    <s v="NO"/>
    <n v="42"/>
    <n v="1.4403128587172659E-3"/>
    <s v="No"/>
    <n v="5.3261962952899164"/>
    <s v="Sí"/>
    <n v="342644735"/>
    <n v="42"/>
    <x v="0"/>
  </r>
  <r>
    <n v="2374"/>
    <s v="MUJER"/>
    <n v="638675"/>
    <x v="0"/>
    <x v="1"/>
    <s v="SI"/>
    <s v="NO"/>
    <s v="NO"/>
    <n v="18"/>
    <n v="1.6923676089925828"/>
    <s v="No"/>
    <n v="0.36502596935934556"/>
    <s v="No"/>
    <n v="638675"/>
    <n v="18"/>
    <x v="0"/>
  </r>
  <r>
    <n v="2375"/>
    <s v="HOMBRE"/>
    <n v="587574"/>
    <x v="3"/>
    <x v="1"/>
    <s v="SI"/>
    <s v="SI"/>
    <s v="NO"/>
    <n v="53"/>
    <n v="0.77776894370722982"/>
    <s v="No"/>
    <n v="0.36587632607216475"/>
    <s v="No"/>
    <n v="587574"/>
    <n v="53"/>
    <x v="3"/>
  </r>
  <r>
    <n v="2376"/>
    <s v="MUJER"/>
    <n v="120000"/>
    <x v="0"/>
    <x v="1"/>
    <s v="SI"/>
    <s v="NO"/>
    <s v="SI"/>
    <n v="47"/>
    <n v="0.35431696324440481"/>
    <s v="No"/>
    <n v="0.37365708749835447"/>
    <s v="No"/>
    <n v="120000"/>
    <n v="47"/>
    <x v="0"/>
  </r>
  <r>
    <n v="2377"/>
    <s v="HOMBRE"/>
    <n v="49814167"/>
    <x v="0"/>
    <x v="1"/>
    <s v="SI"/>
    <s v="NO"/>
    <s v="NO"/>
    <n v="49"/>
    <n v="0.49546762339867978"/>
    <s v="No"/>
    <n v="0.45328893110025942"/>
    <s v="No"/>
    <n v="49814167"/>
    <n v="49"/>
    <x v="0"/>
  </r>
  <r>
    <n v="2378"/>
    <s v="HOMBRE"/>
    <n v="56249375"/>
    <x v="0"/>
    <x v="1"/>
    <s v="SI"/>
    <s v="NO"/>
    <s v="NO"/>
    <n v="34"/>
    <n v="0.56316232775838282"/>
    <s v="No"/>
    <n v="0.56037533491207803"/>
    <s v="No"/>
    <n v="56249375"/>
    <n v="34"/>
    <x v="0"/>
  </r>
  <r>
    <n v="2379"/>
    <s v="HOMBRE"/>
    <n v="464100"/>
    <x v="0"/>
    <x v="1"/>
    <s v="SI"/>
    <s v="SI"/>
    <s v="NO"/>
    <n v="29"/>
    <n v="0.91603897814407031"/>
    <s v="No"/>
    <n v="0.36793102059396737"/>
    <s v="No"/>
    <n v="464100"/>
    <n v="29"/>
    <x v="0"/>
  </r>
  <r>
    <n v="2380"/>
    <s v="HOMBRE"/>
    <n v="324953"/>
    <x v="2"/>
    <x v="1"/>
    <s v="SI"/>
    <s v="NO"/>
    <s v="NO"/>
    <n v="33"/>
    <n v="0.63373765783552027"/>
    <s v="No"/>
    <n v="0.37024652489953191"/>
    <s v="No"/>
    <n v="324953"/>
    <n v="33"/>
    <x v="2"/>
  </r>
  <r>
    <n v="2381"/>
    <s v="MUJER"/>
    <n v="318550"/>
    <x v="0"/>
    <x v="1"/>
    <s v="SI"/>
    <s v="NO"/>
    <s v="NO"/>
    <n v="41"/>
    <n v="6.9135017218420233E-2"/>
    <s v="No"/>
    <n v="0.37035307533948769"/>
    <s v="No"/>
    <n v="318550"/>
    <n v="41"/>
    <x v="0"/>
  </r>
  <r>
    <n v="2382"/>
    <s v="HOMBRE"/>
    <n v="33621785"/>
    <x v="0"/>
    <x v="1"/>
    <s v="SI"/>
    <s v="SI"/>
    <s v="NO"/>
    <n v="43"/>
    <n v="7.2015642935854773E-2"/>
    <s v="No"/>
    <n v="0.18383626422030427"/>
    <s v="No"/>
    <n v="33621785"/>
    <n v="43"/>
    <x v="0"/>
  </r>
  <r>
    <n v="2383"/>
    <s v="HOMBRE"/>
    <n v="297045"/>
    <x v="2"/>
    <x v="1"/>
    <s v="SI"/>
    <s v="NO"/>
    <s v="NO"/>
    <n v="24"/>
    <n v="1.2689156285297578"/>
    <s v="No"/>
    <n v="0.37071093372012948"/>
    <s v="No"/>
    <n v="297045"/>
    <n v="24"/>
    <x v="2"/>
  </r>
  <r>
    <n v="2384"/>
    <s v="HOMBRE"/>
    <n v="1614330"/>
    <x v="0"/>
    <x v="0"/>
    <s v="SI"/>
    <s v="NO"/>
    <s v="SI"/>
    <n v="30"/>
    <n v="0.84546364806693275"/>
    <s v="No"/>
    <n v="0.34879038143258084"/>
    <s v="No"/>
    <n v="1614330"/>
    <n v="30"/>
    <x v="0"/>
  </r>
  <r>
    <n v="2385"/>
    <s v="MUJER"/>
    <n v="260000"/>
    <x v="0"/>
    <x v="1"/>
    <s v="SI"/>
    <s v="NO"/>
    <s v="SI"/>
    <n v="39"/>
    <n v="0.21028567737269524"/>
    <s v="No"/>
    <n v="0.37132738867064685"/>
    <s v="No"/>
    <n v="260000"/>
    <n v="39"/>
    <x v="0"/>
  </r>
  <r>
    <n v="2386"/>
    <s v="MUJER"/>
    <n v="278030"/>
    <x v="3"/>
    <x v="1"/>
    <s v="SI"/>
    <s v="NO"/>
    <s v="NO"/>
    <n v="52"/>
    <n v="0.70719361363009237"/>
    <s v="No"/>
    <n v="0.37102735674304993"/>
    <s v="No"/>
    <n v="278030"/>
    <n v="52"/>
    <x v="3"/>
  </r>
  <r>
    <n v="2387"/>
    <s v="MUJER"/>
    <n v="297046"/>
    <x v="3"/>
    <x v="1"/>
    <s v="SI"/>
    <s v="NO"/>
    <s v="SI"/>
    <n v="40"/>
    <n v="0.13971034729555773"/>
    <s v="No"/>
    <n v="0.37071091707942361"/>
    <s v="No"/>
    <n v="297046"/>
    <n v="40"/>
    <x v="3"/>
  </r>
  <r>
    <n v="2388"/>
    <s v="HOMBRE"/>
    <n v="4917062"/>
    <x v="0"/>
    <x v="1"/>
    <s v="SI"/>
    <s v="NO"/>
    <s v="NO"/>
    <n v="50"/>
    <n v="0.56604295347581735"/>
    <s v="No"/>
    <n v="0.29383058951377805"/>
    <s v="No"/>
    <n v="4917062"/>
    <n v="50"/>
    <x v="0"/>
  </r>
  <r>
    <n v="2389"/>
    <s v="HOMBRE"/>
    <n v="1308403"/>
    <x v="0"/>
    <x v="0"/>
    <s v="SI"/>
    <s v="NO"/>
    <s v="NO"/>
    <n v="40"/>
    <n v="0.13971034729555773"/>
    <s v="No"/>
    <n v="0.35388122267018157"/>
    <s v="No"/>
    <n v="1308403"/>
    <n v="40"/>
    <x v="0"/>
  </r>
  <r>
    <n v="2390"/>
    <s v="HOMBRE"/>
    <n v="278030"/>
    <x v="4"/>
    <x v="1"/>
    <s v="SI"/>
    <s v="NO"/>
    <s v="NO"/>
    <n v="28"/>
    <n v="0.98661430822120777"/>
    <s v="No"/>
    <n v="0.37102735674304993"/>
    <s v="No"/>
    <n v="278030"/>
    <n v="28"/>
    <x v="4"/>
  </r>
  <r>
    <n v="2391"/>
    <s v="HOMBRE"/>
    <n v="338629"/>
    <x v="3"/>
    <x v="1"/>
    <s v="SI"/>
    <s v="NO"/>
    <s v="SI"/>
    <n v="39"/>
    <n v="0.21028567737269524"/>
    <s v="No"/>
    <n v="0.37001894660547668"/>
    <s v="No"/>
    <n v="338629"/>
    <n v="39"/>
    <x v="3"/>
  </r>
  <r>
    <n v="2392"/>
    <s v="HOMBRE"/>
    <n v="639148"/>
    <x v="3"/>
    <x v="1"/>
    <s v="SI"/>
    <s v="NO"/>
    <s v="NO"/>
    <n v="48"/>
    <n v="0.42489229332154227"/>
    <s v="No"/>
    <n v="0.36501809830544912"/>
    <s v="No"/>
    <n v="639148"/>
    <n v="48"/>
    <x v="3"/>
  </r>
  <r>
    <n v="2393"/>
    <s v="HOMBRE"/>
    <n v="869420"/>
    <x v="0"/>
    <x v="0"/>
    <s v="SI"/>
    <s v="NO"/>
    <s v="SI"/>
    <n v="46"/>
    <n v="0.2837416331672673"/>
    <s v="No"/>
    <n v="0.36118620967363563"/>
    <s v="No"/>
    <n v="869420"/>
    <n v="46"/>
    <x v="0"/>
  </r>
  <r>
    <n v="2394"/>
    <s v="HOMBRE"/>
    <n v="86400"/>
    <x v="0"/>
    <x v="1"/>
    <s v="SI"/>
    <s v="NO"/>
    <s v="NO"/>
    <n v="24"/>
    <n v="1.2689156285297578"/>
    <s v="No"/>
    <n v="0.37421621521700427"/>
    <s v="No"/>
    <n v="86400"/>
    <n v="24"/>
    <x v="0"/>
  </r>
  <r>
    <n v="2395"/>
    <s v="MUJER"/>
    <n v="466740"/>
    <x v="0"/>
    <x v="0"/>
    <s v="SI"/>
    <s v="NO"/>
    <s v="SI"/>
    <n v="35"/>
    <n v="0.49258699768124525"/>
    <s v="No"/>
    <n v="0.36788708913035917"/>
    <s v="No"/>
    <n v="466740"/>
    <n v="35"/>
    <x v="0"/>
  </r>
  <r>
    <n v="2396"/>
    <s v="MUJER"/>
    <n v="319560"/>
    <x v="0"/>
    <x v="1"/>
    <s v="SI"/>
    <s v="NO"/>
    <s v="SI"/>
    <n v="30"/>
    <n v="0.84546364806693275"/>
    <s v="No"/>
    <n v="0.37033626822651639"/>
    <s v="No"/>
    <n v="319560"/>
    <n v="30"/>
    <x v="0"/>
  </r>
  <r>
    <n v="2397"/>
    <s v="HOMBRE"/>
    <n v="54557925"/>
    <x v="0"/>
    <x v="1"/>
    <s v="SI"/>
    <s v="NO"/>
    <s v="NO"/>
    <n v="39"/>
    <n v="0.21028567737269524"/>
    <s v="No"/>
    <n v="0.53222841289689204"/>
    <s v="No"/>
    <n v="54557925"/>
    <n v="39"/>
    <x v="0"/>
  </r>
  <r>
    <n v="2398"/>
    <s v="HOMBRE"/>
    <n v="297046"/>
    <x v="3"/>
    <x v="1"/>
    <s v="SI"/>
    <s v="SI"/>
    <s v="SI"/>
    <n v="43"/>
    <n v="7.2015642935854773E-2"/>
    <s v="No"/>
    <n v="0.37071091707942361"/>
    <s v="No"/>
    <n v="297046"/>
    <n v="43"/>
    <x v="3"/>
  </r>
  <r>
    <n v="2399"/>
    <s v="HOMBRE"/>
    <n v="46433596"/>
    <x v="0"/>
    <x v="1"/>
    <s v="SI"/>
    <s v="NO"/>
    <s v="NO"/>
    <n v="54"/>
    <n v="0.84834427378436728"/>
    <s v="No"/>
    <n v="0.39703384327395708"/>
    <s v="No"/>
    <n v="46433596"/>
    <n v="54"/>
    <x v="0"/>
  </r>
  <r>
    <n v="2400"/>
    <s v="HOMBRE"/>
    <n v="35000"/>
    <x v="0"/>
    <x v="1"/>
    <s v="SI"/>
    <s v="NO"/>
    <s v="NO"/>
    <n v="34"/>
    <n v="0.56316232775838282"/>
    <s v="No"/>
    <n v="0.37507154750089122"/>
    <s v="No"/>
    <n v="35000"/>
    <n v="34"/>
    <x v="0"/>
  </r>
  <r>
    <n v="2401"/>
    <s v="HOMBRE"/>
    <n v="344805"/>
    <x v="0"/>
    <x v="1"/>
    <s v="SI"/>
    <s v="NO"/>
    <s v="NO"/>
    <n v="47"/>
    <n v="0.35431696324440481"/>
    <s v="No"/>
    <n v="0.36991617360576295"/>
    <s v="No"/>
    <n v="344805"/>
    <n v="47"/>
    <x v="0"/>
  </r>
  <r>
    <n v="2402"/>
    <s v="MUJER"/>
    <n v="323562"/>
    <x v="3"/>
    <x v="1"/>
    <s v="SI"/>
    <s v="NO"/>
    <s v="SI"/>
    <n v="38"/>
    <n v="0.28086100744983278"/>
    <s v="No"/>
    <n v="0.37026967212145578"/>
    <s v="No"/>
    <n v="323562"/>
    <n v="38"/>
    <x v="3"/>
  </r>
  <r>
    <n v="2403"/>
    <s v="MUJER"/>
    <n v="1095589"/>
    <x v="0"/>
    <x v="0"/>
    <s v="SI"/>
    <s v="NO"/>
    <s v="SI"/>
    <n v="37"/>
    <n v="0.35143633752697023"/>
    <s v="No"/>
    <n v="0.35742259785817992"/>
    <s v="No"/>
    <n v="1095589"/>
    <n v="37"/>
    <x v="0"/>
  </r>
  <r>
    <n v="2404"/>
    <s v="HOMBRE"/>
    <n v="54944533"/>
    <x v="0"/>
    <x v="1"/>
    <s v="SI"/>
    <s v="NO"/>
    <s v="NO"/>
    <n v="20"/>
    <n v="1.5512169488383079"/>
    <s v="No"/>
    <n v="0.53866184292819475"/>
    <s v="No"/>
    <n v="54944533"/>
    <n v="20"/>
    <x v="0"/>
  </r>
  <r>
    <n v="2405"/>
    <s v="MUJER"/>
    <n v="2450798"/>
    <x v="0"/>
    <x v="1"/>
    <s v="SI"/>
    <s v="NO"/>
    <s v="NO"/>
    <n v="21"/>
    <n v="1.4806416187611704"/>
    <s v="No"/>
    <n v="0.33487096343961709"/>
    <s v="No"/>
    <n v="2450798"/>
    <n v="21"/>
    <x v="0"/>
  </r>
  <r>
    <n v="2406"/>
    <s v="MUJER"/>
    <n v="38709975"/>
    <x v="0"/>
    <x v="1"/>
    <s v="SI"/>
    <s v="NO"/>
    <s v="NO"/>
    <n v="41"/>
    <n v="6.9135017218420233E-2"/>
    <s v="No"/>
    <n v="0.26850733763568679"/>
    <s v="No"/>
    <n v="38709975"/>
    <n v="41"/>
    <x v="0"/>
  </r>
  <r>
    <n v="2407"/>
    <s v="HOMBRE"/>
    <n v="253571"/>
    <x v="1"/>
    <x v="0"/>
    <s v="SI"/>
    <s v="NO"/>
    <s v="NO"/>
    <n v="56"/>
    <n v="0.9894949339386423"/>
    <s v="No"/>
    <n v="0.37143437176895633"/>
    <s v="No"/>
    <n v="253571"/>
    <n v="56"/>
    <x v="1"/>
  </r>
  <r>
    <n v="2408"/>
    <s v="HOMBRE"/>
    <n v="1187224"/>
    <x v="0"/>
    <x v="0"/>
    <s v="SI"/>
    <s v="NO"/>
    <s v="SI"/>
    <n v="46"/>
    <n v="0.2837416331672673"/>
    <s v="No"/>
    <n v="0.35589772677191572"/>
    <s v="No"/>
    <n v="1187224"/>
    <n v="46"/>
    <x v="0"/>
  </r>
  <r>
    <n v="2409"/>
    <s v="HOMBRE"/>
    <n v="58411533"/>
    <x v="0"/>
    <x v="1"/>
    <s v="SI"/>
    <s v="NO"/>
    <s v="NO"/>
    <n v="46"/>
    <n v="0.2837416331672673"/>
    <s v="No"/>
    <n v="0.59635517032578245"/>
    <s v="No"/>
    <n v="58411533"/>
    <n v="46"/>
    <x v="0"/>
  </r>
  <r>
    <n v="2410"/>
    <s v="MUJER"/>
    <n v="446928"/>
    <x v="0"/>
    <x v="1"/>
    <s v="SI"/>
    <s v="NO"/>
    <s v="NO"/>
    <n v="23"/>
    <n v="1.3394909586068953"/>
    <s v="No"/>
    <n v="0.36821677479589165"/>
    <s v="No"/>
    <n v="446928"/>
    <n v="23"/>
    <x v="0"/>
  </r>
  <r>
    <n v="2411"/>
    <s v="HOMBRE"/>
    <n v="302470"/>
    <x v="2"/>
    <x v="1"/>
    <s v="SI"/>
    <s v="SI"/>
    <s v="NO"/>
    <n v="34"/>
    <n v="0.56316232775838282"/>
    <s v="No"/>
    <n v="0.37062065789055582"/>
    <s v="No"/>
    <n v="302470"/>
    <n v="34"/>
    <x v="2"/>
  </r>
  <r>
    <n v="2412"/>
    <s v="HOMBRE"/>
    <n v="277000"/>
    <x v="0"/>
    <x v="1"/>
    <s v="SI"/>
    <s v="SI"/>
    <s v="SI"/>
    <n v="23"/>
    <n v="1.3394909586068953"/>
    <s v="No"/>
    <n v="0.3710444966701395"/>
    <s v="No"/>
    <n v="277000"/>
    <n v="23"/>
    <x v="0"/>
  </r>
  <r>
    <n v="2413"/>
    <s v="HOMBRE"/>
    <n v="241458"/>
    <x v="0"/>
    <x v="1"/>
    <s v="SI"/>
    <s v="NO"/>
    <s v="SI"/>
    <n v="41"/>
    <n v="6.9135017218420233E-2"/>
    <s v="No"/>
    <n v="0.37163594063967081"/>
    <s v="No"/>
    <n v="241458"/>
    <n v="41"/>
    <x v="0"/>
  </r>
  <r>
    <n v="2414"/>
    <s v="HOMBRE"/>
    <n v="255000"/>
    <x v="0"/>
    <x v="1"/>
    <s v="SI"/>
    <s v="SI"/>
    <s v="SI"/>
    <n v="55"/>
    <n v="0.91891960386150484"/>
    <s v="No"/>
    <n v="0.37141059220020783"/>
    <s v="No"/>
    <n v="255000"/>
    <n v="55"/>
    <x v="0"/>
  </r>
  <r>
    <n v="2415"/>
    <s v="MUJER"/>
    <n v="1332081"/>
    <x v="1"/>
    <x v="0"/>
    <s v="SI"/>
    <s v="NO"/>
    <s v="NO"/>
    <n v="65"/>
    <n v="1.6246729046328798"/>
    <s v="No"/>
    <n v="0.35348720403559258"/>
    <s v="No"/>
    <n v="1332081"/>
    <n v="65"/>
    <x v="1"/>
  </r>
  <r>
    <n v="2416"/>
    <s v="HOMBRE"/>
    <n v="323296"/>
    <x v="3"/>
    <x v="1"/>
    <s v="SI"/>
    <s v="NO"/>
    <s v="NO"/>
    <n v="33"/>
    <n v="0.63373765783552027"/>
    <s v="No"/>
    <n v="0.37027409854922838"/>
    <s v="No"/>
    <n v="323296"/>
    <n v="33"/>
    <x v="3"/>
  </r>
  <r>
    <n v="2417"/>
    <s v="HOMBRE"/>
    <n v="362000"/>
    <x v="0"/>
    <x v="1"/>
    <s v="SI"/>
    <s v="NO"/>
    <s v="NO"/>
    <n v="31"/>
    <n v="0.77488831798979529"/>
    <s v="No"/>
    <n v="0.36963003666760275"/>
    <s v="No"/>
    <n v="362000"/>
    <n v="31"/>
    <x v="0"/>
  </r>
  <r>
    <n v="2418"/>
    <s v="HOMBRE"/>
    <n v="501467"/>
    <x v="3"/>
    <x v="1"/>
    <s v="SI"/>
    <s v="NO"/>
    <s v="NO"/>
    <n v="37"/>
    <n v="0.35143633752697023"/>
    <s v="No"/>
    <n v="0.3673092073361463"/>
    <s v="No"/>
    <n v="501467"/>
    <n v="37"/>
    <x v="3"/>
  </r>
  <r>
    <n v="2419"/>
    <s v="MUJER"/>
    <n v="534933"/>
    <x v="0"/>
    <x v="1"/>
    <s v="SI"/>
    <s v="NO"/>
    <s v="NO"/>
    <n v="59"/>
    <n v="1.2012209241700549"/>
    <s v="No"/>
    <n v="0.36675230947208876"/>
    <s v="No"/>
    <n v="534933"/>
    <n v="59"/>
    <x v="0"/>
  </r>
  <r>
    <n v="2420"/>
    <s v="MUJER"/>
    <n v="375584"/>
    <x v="0"/>
    <x v="0"/>
    <s v="SI"/>
    <s v="NO"/>
    <s v="NO"/>
    <n v="26"/>
    <n v="1.1277649683754829"/>
    <s v="No"/>
    <n v="0.36940398931849144"/>
    <s v="No"/>
    <n v="375584"/>
    <n v="26"/>
    <x v="0"/>
  </r>
  <r>
    <n v="2421"/>
    <s v="HOMBRE"/>
    <n v="41409487"/>
    <x v="0"/>
    <x v="1"/>
    <s v="SI"/>
    <s v="NO"/>
    <s v="NO"/>
    <n v="19"/>
    <n v="1.6217922789154453"/>
    <s v="No"/>
    <n v="0.31342912293413405"/>
    <s v="No"/>
    <n v="41409487"/>
    <n v="19"/>
    <x v="0"/>
  </r>
  <r>
    <n v="2422"/>
    <s v="HOMBRE"/>
    <n v="292387"/>
    <x v="2"/>
    <x v="1"/>
    <s v="SI"/>
    <s v="NO"/>
    <s v="SI"/>
    <n v="52"/>
    <n v="0.70719361363009237"/>
    <s v="No"/>
    <n v="0.3707884461282685"/>
    <s v="No"/>
    <n v="292387"/>
    <n v="52"/>
    <x v="2"/>
  </r>
  <r>
    <n v="2423"/>
    <s v="MUJER"/>
    <n v="75300324"/>
    <x v="0"/>
    <x v="0"/>
    <s v="SI"/>
    <s v="NO"/>
    <s v="NO"/>
    <n v="22"/>
    <n v="1.4100662886840327"/>
    <s v="No"/>
    <n v="0.87739657456934483"/>
    <s v="No"/>
    <n v="75300324"/>
    <n v="22"/>
    <x v="0"/>
  </r>
  <r>
    <n v="2424"/>
    <s v="MUJER"/>
    <n v="375740"/>
    <x v="3"/>
    <x v="1"/>
    <s v="SI"/>
    <s v="NO"/>
    <s v="SI"/>
    <n v="50"/>
    <n v="0.56604295347581735"/>
    <s v="No"/>
    <n v="0.36940139336836914"/>
    <s v="No"/>
    <n v="375740"/>
    <n v="50"/>
    <x v="3"/>
  </r>
  <r>
    <n v="2425"/>
    <s v="MUJER"/>
    <n v="1070560"/>
    <x v="0"/>
    <x v="0"/>
    <s v="SI"/>
    <s v="NO"/>
    <s v="SI"/>
    <n v="34"/>
    <n v="0.56316232775838282"/>
    <s v="No"/>
    <n v="0.35783909808645631"/>
    <s v="No"/>
    <n v="1070560"/>
    <n v="34"/>
    <x v="0"/>
  </r>
  <r>
    <n v="2426"/>
    <s v="MUJER"/>
    <n v="297046"/>
    <x v="2"/>
    <x v="1"/>
    <s v="SI"/>
    <s v="SI"/>
    <s v="NO"/>
    <n v="55"/>
    <n v="0.91891960386150484"/>
    <s v="No"/>
    <n v="0.37071091707942361"/>
    <s v="No"/>
    <n v="297046"/>
    <n v="55"/>
    <x v="2"/>
  </r>
  <r>
    <n v="2427"/>
    <s v="HOMBRE"/>
    <n v="391510"/>
    <x v="0"/>
    <x v="1"/>
    <s v="SI"/>
    <s v="NO"/>
    <s v="NO"/>
    <n v="31"/>
    <n v="0.77488831798979529"/>
    <s v="No"/>
    <n v="0.36913896943613378"/>
    <s v="No"/>
    <n v="391510"/>
    <n v="31"/>
    <x v="0"/>
  </r>
  <r>
    <n v="2428"/>
    <s v="HOMBRE"/>
    <n v="447250"/>
    <x v="0"/>
    <x v="1"/>
    <s v="SI"/>
    <s v="NO"/>
    <s v="NO"/>
    <n v="37"/>
    <n v="0.35143633752697023"/>
    <s v="No"/>
    <n v="0.36821141648858791"/>
    <s v="No"/>
    <n v="447250"/>
    <n v="37"/>
    <x v="0"/>
  </r>
  <r>
    <n v="2429"/>
    <s v="HOMBRE"/>
    <n v="51873806"/>
    <x v="0"/>
    <x v="1"/>
    <s v="SI"/>
    <s v="SI"/>
    <s v="NO"/>
    <n v="41"/>
    <n v="6.9135017218420233E-2"/>
    <s v="No"/>
    <n v="0.48756277798455128"/>
    <s v="No"/>
    <n v="51873806"/>
    <n v="41"/>
    <x v="0"/>
  </r>
  <r>
    <n v="2430"/>
    <s v="MUJER"/>
    <n v="1373096"/>
    <x v="0"/>
    <x v="0"/>
    <s v="SI"/>
    <s v="NO"/>
    <s v="NO"/>
    <n v="37"/>
    <n v="0.35143633752697023"/>
    <s v="No"/>
    <n v="0.3528046854826038"/>
    <s v="No"/>
    <n v="1373096"/>
    <n v="37"/>
    <x v="0"/>
  </r>
  <r>
    <n v="2431"/>
    <s v="MUJER"/>
    <n v="57461166"/>
    <x v="0"/>
    <x v="1"/>
    <s v="SI"/>
    <s v="NO"/>
    <s v="NO"/>
    <n v="37"/>
    <n v="0.35143633752697023"/>
    <s v="No"/>
    <n v="0.58054039257012535"/>
    <s v="No"/>
    <n v="57461166"/>
    <n v="37"/>
    <x v="0"/>
  </r>
  <r>
    <n v="2432"/>
    <s v="HOMBRE"/>
    <n v="4502977"/>
    <x v="0"/>
    <x v="1"/>
    <s v="SI"/>
    <s v="NO"/>
    <s v="NO"/>
    <n v="43"/>
    <n v="7.2015642935854773E-2"/>
    <s v="No"/>
    <n v="0.3007212562214302"/>
    <s v="No"/>
    <n v="4502977"/>
    <n v="43"/>
    <x v="0"/>
  </r>
  <r>
    <n v="2433"/>
    <s v="MUJER"/>
    <n v="477000"/>
    <x v="0"/>
    <x v="1"/>
    <s v="SI"/>
    <s v="NO"/>
    <s v="NO"/>
    <n v="34"/>
    <n v="0.56316232775838282"/>
    <s v="No"/>
    <n v="0.36771635548770004"/>
    <s v="No"/>
    <n v="477000"/>
    <n v="34"/>
    <x v="0"/>
  </r>
  <r>
    <n v="2434"/>
    <s v="HOMBRE"/>
    <n v="416418177"/>
    <x v="0"/>
    <x v="1"/>
    <s v="SI"/>
    <s v="NO"/>
    <s v="NO"/>
    <n v="35"/>
    <n v="0.49258699768124525"/>
    <s v="No"/>
    <n v="6.5538384477424527"/>
    <s v="Sí"/>
    <n v="416418177"/>
    <n v="35"/>
    <x v="0"/>
  </r>
  <r>
    <n v="2435"/>
    <s v="MUJER"/>
    <n v="147669345"/>
    <x v="1"/>
    <x v="0"/>
    <s v="SI"/>
    <s v="NO"/>
    <s v="NO"/>
    <n v="62"/>
    <n v="1.4129469144014672"/>
    <s v="No"/>
    <n v="2.0816681701839665"/>
    <s v="Sí"/>
    <n v="147669345"/>
    <n v="62"/>
    <x v="1"/>
  </r>
  <r>
    <n v="2436"/>
    <s v="HOMBRE"/>
    <n v="278030"/>
    <x v="3"/>
    <x v="1"/>
    <s v="SI"/>
    <s v="NO"/>
    <s v="NO"/>
    <n v="38"/>
    <n v="0.28086100744983278"/>
    <s v="No"/>
    <n v="0.37102735674304993"/>
    <s v="No"/>
    <n v="278030"/>
    <n v="38"/>
    <x v="3"/>
  </r>
  <r>
    <n v="2437"/>
    <s v="HOMBRE"/>
    <n v="5348155"/>
    <x v="0"/>
    <x v="0"/>
    <s v="SI"/>
    <s v="NO"/>
    <s v="NO"/>
    <n v="26"/>
    <n v="1.1277649683754829"/>
    <s v="No"/>
    <n v="0.28665689767997121"/>
    <s v="No"/>
    <n v="5348155"/>
    <n v="26"/>
    <x v="0"/>
  </r>
  <r>
    <n v="2438"/>
    <s v="HOMBRE"/>
    <n v="2767500"/>
    <x v="0"/>
    <x v="1"/>
    <s v="SI"/>
    <s v="NO"/>
    <s v="NO"/>
    <n v="24"/>
    <n v="1.2689156285297578"/>
    <s v="No"/>
    <n v="0.32960081859581242"/>
    <s v="No"/>
    <n v="2767500"/>
    <n v="24"/>
    <x v="0"/>
  </r>
  <r>
    <n v="2439"/>
    <s v="HOMBRE"/>
    <n v="297046"/>
    <x v="3"/>
    <x v="1"/>
    <s v="SI"/>
    <s v="NO"/>
    <s v="NO"/>
    <n v="29"/>
    <n v="0.91603897814407031"/>
    <s v="No"/>
    <n v="0.37071091707942361"/>
    <s v="No"/>
    <n v="297046"/>
    <n v="29"/>
    <x v="3"/>
  </r>
  <r>
    <n v="2440"/>
    <s v="MUJER"/>
    <n v="278030"/>
    <x v="4"/>
    <x v="1"/>
    <s v="SI"/>
    <s v="NO"/>
    <s v="NO"/>
    <n v="39"/>
    <n v="0.21028567737269524"/>
    <s v="No"/>
    <n v="0.37102735674304993"/>
    <s v="No"/>
    <n v="278030"/>
    <n v="39"/>
    <x v="4"/>
  </r>
  <r>
    <n v="2441"/>
    <s v="MUJER"/>
    <n v="436419"/>
    <x v="1"/>
    <x v="0"/>
    <s v="SI"/>
    <s v="NO"/>
    <s v="NO"/>
    <n v="79"/>
    <n v="2.6127275257128049"/>
    <s v="Sí"/>
    <n v="0.36839165197432294"/>
    <s v="No"/>
    <n v="436419"/>
    <n v="79"/>
    <x v="1"/>
  </r>
  <r>
    <n v="2442"/>
    <s v="MUJER"/>
    <n v="734801"/>
    <x v="0"/>
    <x v="0"/>
    <s v="SI"/>
    <s v="NO"/>
    <s v="NO"/>
    <n v="43"/>
    <n v="7.2015642935854773E-2"/>
    <s v="No"/>
    <n v="0.3634263648628297"/>
    <s v="No"/>
    <n v="734801"/>
    <n v="43"/>
    <x v="0"/>
  </r>
  <r>
    <n v="2443"/>
    <s v="HOMBRE"/>
    <n v="639148"/>
    <x v="3"/>
    <x v="1"/>
    <s v="SI"/>
    <s v="NO"/>
    <s v="SI"/>
    <n v="44"/>
    <n v="0.14259097301299228"/>
    <s v="No"/>
    <n v="0.36501809830544912"/>
    <s v="No"/>
    <n v="639148"/>
    <n v="44"/>
    <x v="3"/>
  </r>
  <r>
    <n v="2444"/>
    <s v="MUJER"/>
    <n v="45489951"/>
    <x v="0"/>
    <x v="0"/>
    <s v="SI"/>
    <s v="NO"/>
    <s v="NO"/>
    <n v="59"/>
    <n v="1.2012209241700549"/>
    <s v="No"/>
    <n v="0.38133092434344179"/>
    <s v="No"/>
    <n v="45489951"/>
    <n v="59"/>
    <x v="0"/>
  </r>
  <r>
    <n v="2445"/>
    <s v="MUJER"/>
    <n v="362208485"/>
    <x v="0"/>
    <x v="1"/>
    <s v="SI"/>
    <s v="NO"/>
    <s v="NO"/>
    <n v="35"/>
    <n v="0.49258699768124525"/>
    <s v="No"/>
    <n v="5.6517509055796644"/>
    <s v="Sí"/>
    <n v="362208485"/>
    <n v="35"/>
    <x v="0"/>
  </r>
  <r>
    <n v="2446"/>
    <s v="HOMBRE"/>
    <n v="360000"/>
    <x v="0"/>
    <x v="1"/>
    <s v="SI"/>
    <s v="NO"/>
    <s v="NO"/>
    <n v="37"/>
    <n v="0.35143633752697023"/>
    <s v="No"/>
    <n v="0.36966331807942709"/>
    <s v="No"/>
    <n v="360000"/>
    <n v="37"/>
    <x v="0"/>
  </r>
  <r>
    <n v="2447"/>
    <s v="MUJER"/>
    <n v="1064830"/>
    <x v="0"/>
    <x v="0"/>
    <s v="SI"/>
    <s v="NO"/>
    <s v="SI"/>
    <n v="51"/>
    <n v="0.6366182835529548"/>
    <s v="No"/>
    <n v="0.35793444933133317"/>
    <s v="No"/>
    <n v="1064830"/>
    <n v="51"/>
    <x v="0"/>
  </r>
  <r>
    <n v="2448"/>
    <s v="MUJER"/>
    <n v="624029"/>
    <x v="0"/>
    <x v="1"/>
    <s v="SI"/>
    <s v="NO"/>
    <s v="NO"/>
    <n v="21"/>
    <n v="1.4806416187611704"/>
    <s v="No"/>
    <n v="0.36526968913813562"/>
    <s v="No"/>
    <n v="624029"/>
    <n v="21"/>
    <x v="0"/>
  </r>
  <r>
    <n v="2449"/>
    <s v="HOMBRE"/>
    <n v="297046"/>
    <x v="3"/>
    <x v="1"/>
    <s v="SI"/>
    <s v="NO"/>
    <s v="SI"/>
    <n v="30"/>
    <n v="0.84546364806693275"/>
    <s v="No"/>
    <n v="0.37071091707942361"/>
    <s v="No"/>
    <n v="297046"/>
    <n v="30"/>
    <x v="3"/>
  </r>
  <r>
    <n v="2450"/>
    <s v="MUJER"/>
    <n v="338125"/>
    <x v="0"/>
    <x v="1"/>
    <s v="SI"/>
    <s v="NO"/>
    <s v="NO"/>
    <n v="50"/>
    <n v="0.56604295347581735"/>
    <s v="No"/>
    <n v="0.37002733352125644"/>
    <s v="No"/>
    <n v="338125"/>
    <n v="50"/>
    <x v="0"/>
  </r>
  <r>
    <n v="2451"/>
    <s v="HOMBRE"/>
    <n v="423458"/>
    <x v="3"/>
    <x v="1"/>
    <s v="SI"/>
    <s v="NO"/>
    <s v="NO"/>
    <n v="42"/>
    <n v="1.4403128587172659E-3"/>
    <s v="No"/>
    <n v="0.36860733216365094"/>
    <s v="No"/>
    <n v="423458"/>
    <n v="42"/>
    <x v="3"/>
  </r>
  <r>
    <n v="2452"/>
    <s v="HOMBRE"/>
    <n v="75000"/>
    <x v="0"/>
    <x v="1"/>
    <s v="SI"/>
    <s v="NO"/>
    <s v="SI"/>
    <n v="28"/>
    <n v="0.98661430822120777"/>
    <s v="No"/>
    <n v="0.37440591926440331"/>
    <s v="No"/>
    <n v="75000"/>
    <n v="28"/>
    <x v="0"/>
  </r>
  <r>
    <n v="2453"/>
    <s v="HOMBRE"/>
    <n v="318000"/>
    <x v="0"/>
    <x v="1"/>
    <s v="SI"/>
    <s v="NO"/>
    <s v="SI"/>
    <n v="50"/>
    <n v="0.56604295347581735"/>
    <s v="No"/>
    <n v="0.37036222772773941"/>
    <s v="No"/>
    <n v="318000"/>
    <n v="50"/>
    <x v="0"/>
  </r>
  <r>
    <n v="2454"/>
    <s v="HOMBRE"/>
    <n v="297187"/>
    <x v="3"/>
    <x v="1"/>
    <s v="SI"/>
    <s v="NO"/>
    <s v="NO"/>
    <n v="41"/>
    <n v="6.9135017218420233E-2"/>
    <s v="No"/>
    <n v="0.37070857073988994"/>
    <s v="No"/>
    <n v="297187"/>
    <n v="41"/>
    <x v="3"/>
  </r>
  <r>
    <n v="2455"/>
    <s v="MUJER"/>
    <n v="102388795"/>
    <x v="0"/>
    <x v="0"/>
    <s v="SI"/>
    <s v="NO"/>
    <s v="NO"/>
    <n v="33"/>
    <n v="0.63373765783552027"/>
    <s v="No"/>
    <n v="1.3281678540914266"/>
    <s v="No"/>
    <n v="102388795"/>
    <n v="33"/>
    <x v="0"/>
  </r>
  <r>
    <n v="2456"/>
    <s v="MUJER"/>
    <n v="297046"/>
    <x v="3"/>
    <x v="1"/>
    <s v="SI"/>
    <s v="NO"/>
    <s v="SI"/>
    <n v="34"/>
    <n v="0.56316232775838282"/>
    <s v="No"/>
    <n v="0.37071091707942361"/>
    <s v="No"/>
    <n v="297046"/>
    <n v="34"/>
    <x v="3"/>
  </r>
  <r>
    <n v="2457"/>
    <s v="MUJER"/>
    <n v="937593"/>
    <x v="0"/>
    <x v="0"/>
    <s v="SI"/>
    <s v="NO"/>
    <s v="NO"/>
    <n v="56"/>
    <n v="0.9894949339386423"/>
    <s v="No"/>
    <n v="0.36005176282948342"/>
    <s v="No"/>
    <n v="937593"/>
    <n v="56"/>
    <x v="0"/>
  </r>
  <r>
    <n v="2458"/>
    <s v="MUJER"/>
    <n v="69761629"/>
    <x v="0"/>
    <x v="1"/>
    <s v="SI"/>
    <s v="NO"/>
    <s v="NO"/>
    <n v="34"/>
    <n v="0.56316232775838282"/>
    <s v="No"/>
    <n v="0.78522877993698792"/>
    <s v="No"/>
    <n v="69761629"/>
    <n v="34"/>
    <x v="0"/>
  </r>
  <r>
    <n v="2459"/>
    <s v="HOMBRE"/>
    <n v="620581"/>
    <x v="0"/>
    <x v="0"/>
    <s v="SI"/>
    <s v="NO"/>
    <s v="NO"/>
    <n v="24"/>
    <n v="1.2689156285297578"/>
    <s v="No"/>
    <n v="0.36532706629212086"/>
    <s v="No"/>
    <n v="620581"/>
    <n v="24"/>
    <x v="0"/>
  </r>
  <r>
    <n v="2460"/>
    <s v="MUJER"/>
    <n v="297045"/>
    <x v="2"/>
    <x v="1"/>
    <s v="SI"/>
    <s v="NO"/>
    <s v="NO"/>
    <n v="62"/>
    <n v="1.4129469144014672"/>
    <s v="No"/>
    <n v="0.37071093372012948"/>
    <s v="No"/>
    <n v="297045"/>
    <n v="62"/>
    <x v="2"/>
  </r>
  <r>
    <n v="2461"/>
    <s v="HOMBRE"/>
    <n v="299647"/>
    <x v="2"/>
    <x v="1"/>
    <s v="SI"/>
    <s v="NO"/>
    <s v="NO"/>
    <n v="54"/>
    <n v="0.84834427378436728"/>
    <s v="No"/>
    <n v="0.37066763460334595"/>
    <s v="No"/>
    <n v="299647"/>
    <n v="54"/>
    <x v="2"/>
  </r>
  <r>
    <n v="2462"/>
    <s v="HOMBRE"/>
    <n v="458490"/>
    <x v="0"/>
    <x v="1"/>
    <s v="SI"/>
    <s v="NO"/>
    <s v="NO"/>
    <n v="27"/>
    <n v="1.0571896382983452"/>
    <s v="No"/>
    <n v="0.36802437495413481"/>
    <s v="No"/>
    <n v="458490"/>
    <n v="27"/>
    <x v="0"/>
  </r>
  <r>
    <n v="2463"/>
    <s v="MUJER"/>
    <n v="297044"/>
    <x v="2"/>
    <x v="1"/>
    <s v="SI"/>
    <s v="SI"/>
    <s v="NO"/>
    <n v="57"/>
    <n v="1.0600702640157798"/>
    <s v="No"/>
    <n v="0.3707109503608354"/>
    <s v="No"/>
    <n v="297044"/>
    <n v="57"/>
    <x v="2"/>
  </r>
  <r>
    <n v="2464"/>
    <s v="HOMBRE"/>
    <n v="639148"/>
    <x v="3"/>
    <x v="1"/>
    <s v="SI"/>
    <s v="NO"/>
    <s v="NO"/>
    <n v="42"/>
    <n v="1.4403128587172659E-3"/>
    <s v="No"/>
    <n v="0.36501809830544912"/>
    <s v="No"/>
    <n v="639148"/>
    <n v="42"/>
    <x v="3"/>
  </r>
  <r>
    <n v="2465"/>
    <s v="MUJER"/>
    <n v="70088278"/>
    <x v="0"/>
    <x v="1"/>
    <s v="SI"/>
    <s v="NO"/>
    <s v="NO"/>
    <n v="44"/>
    <n v="0.14259097301299228"/>
    <s v="No"/>
    <n v="0.79066444988250129"/>
    <s v="No"/>
    <n v="70088278"/>
    <n v="44"/>
    <x v="0"/>
  </r>
  <r>
    <n v="2466"/>
    <s v="HOMBRE"/>
    <n v="278030"/>
    <x v="4"/>
    <x v="1"/>
    <s v="SI"/>
    <s v="NO"/>
    <s v="NO"/>
    <n v="64"/>
    <n v="1.5540975745557424"/>
    <s v="No"/>
    <n v="0.37102735674304993"/>
    <s v="No"/>
    <n v="278030"/>
    <n v="64"/>
    <x v="4"/>
  </r>
  <r>
    <n v="2467"/>
    <s v="MUJER"/>
    <n v="6973095"/>
    <x v="0"/>
    <x v="0"/>
    <s v="SI"/>
    <s v="NO"/>
    <s v="NO"/>
    <n v="55"/>
    <n v="0.91891960386150484"/>
    <s v="No"/>
    <n v="0.25961674901500553"/>
    <s v="No"/>
    <n v="6973095"/>
    <n v="55"/>
    <x v="0"/>
  </r>
  <r>
    <n v="2468"/>
    <s v="MUJER"/>
    <n v="278030"/>
    <x v="2"/>
    <x v="1"/>
    <s v="SI"/>
    <s v="NO"/>
    <s v="NO"/>
    <n v="40"/>
    <n v="0.13971034729555773"/>
    <s v="No"/>
    <n v="0.37102735674304993"/>
    <s v="No"/>
    <n v="278030"/>
    <n v="40"/>
    <x v="2"/>
  </r>
  <r>
    <n v="2469"/>
    <s v="MUJER"/>
    <n v="8886155"/>
    <x v="0"/>
    <x v="1"/>
    <s v="SI"/>
    <s v="NO"/>
    <s v="NO"/>
    <n v="39"/>
    <n v="0.21028567737269524"/>
    <s v="No"/>
    <n v="0.22778208016261761"/>
    <s v="No"/>
    <n v="8886155"/>
    <n v="39"/>
    <x v="0"/>
  </r>
  <r>
    <n v="2470"/>
    <s v="HOMBRE"/>
    <n v="386161"/>
    <x v="3"/>
    <x v="1"/>
    <s v="SI"/>
    <s v="NO"/>
    <s v="SI"/>
    <n v="44"/>
    <n v="0.14259097301299228"/>
    <s v="No"/>
    <n v="0.36922798057205813"/>
    <s v="No"/>
    <n v="386161"/>
    <n v="44"/>
    <x v="3"/>
  </r>
  <r>
    <n v="2471"/>
    <s v="MUJER"/>
    <n v="130000"/>
    <x v="0"/>
    <x v="1"/>
    <s v="SI"/>
    <s v="NO"/>
    <s v="SI"/>
    <n v="33"/>
    <n v="0.63373765783552027"/>
    <s v="No"/>
    <n v="0.37349068043923245"/>
    <s v="No"/>
    <n v="130000"/>
    <n v="33"/>
    <x v="0"/>
  </r>
  <r>
    <n v="2472"/>
    <s v="HOMBRE"/>
    <n v="300056"/>
    <x v="1"/>
    <x v="0"/>
    <s v="SI"/>
    <s v="NO"/>
    <s v="NO"/>
    <n v="75"/>
    <n v="2.330426205404255"/>
    <s v="Sí"/>
    <n v="0.3706608285546279"/>
    <s v="No"/>
    <n v="300056"/>
    <n v="75"/>
    <x v="1"/>
  </r>
  <r>
    <n v="2473"/>
    <s v="HOMBRE"/>
    <n v="8424044"/>
    <x v="0"/>
    <x v="0"/>
    <s v="SI"/>
    <s v="NO"/>
    <s v="NO"/>
    <n v="57"/>
    <n v="1.0600702640157798"/>
    <s v="No"/>
    <n v="0.23547193341240896"/>
    <s v="No"/>
    <n v="8424044"/>
    <n v="57"/>
    <x v="0"/>
  </r>
  <r>
    <n v="2474"/>
    <s v="MUJER"/>
    <n v="287616"/>
    <x v="0"/>
    <x v="1"/>
    <s v="SI"/>
    <s v="NO"/>
    <s v="NO"/>
    <n v="24"/>
    <n v="1.2689156285297578"/>
    <s v="No"/>
    <n v="0.37086783893617559"/>
    <s v="No"/>
    <n v="287616"/>
    <n v="24"/>
    <x v="0"/>
  </r>
  <r>
    <n v="2475"/>
    <s v="HOMBRE"/>
    <n v="205612"/>
    <x v="0"/>
    <x v="1"/>
    <s v="SI"/>
    <s v="NO"/>
    <s v="NO"/>
    <n v="33"/>
    <n v="0.63373765783552027"/>
    <s v="No"/>
    <n v="0.37223244338379941"/>
    <s v="No"/>
    <n v="205612"/>
    <n v="33"/>
    <x v="0"/>
  </r>
  <r>
    <n v="2476"/>
    <s v="HOMBRE"/>
    <n v="37772994"/>
    <x v="0"/>
    <x v="1"/>
    <s v="SI"/>
    <s v="NO"/>
    <s v="NO"/>
    <n v="63"/>
    <n v="1.4835222444786049"/>
    <s v="No"/>
    <n v="0.25291531236937037"/>
    <s v="No"/>
    <n v="37772994"/>
    <n v="63"/>
    <x v="0"/>
  </r>
  <r>
    <n v="2477"/>
    <s v="MUJER"/>
    <n v="212000"/>
    <x v="0"/>
    <x v="1"/>
    <s v="SI"/>
    <s v="NO"/>
    <s v="NO"/>
    <n v="55"/>
    <n v="0.91891960386150484"/>
    <s v="No"/>
    <n v="0.37212614255443233"/>
    <s v="No"/>
    <n v="212000"/>
    <n v="55"/>
    <x v="0"/>
  </r>
  <r>
    <n v="2478"/>
    <s v="HOMBRE"/>
    <n v="356455"/>
    <x v="3"/>
    <x v="1"/>
    <s v="SI"/>
    <s v="NO"/>
    <s v="SI"/>
    <n v="57"/>
    <n v="1.0600702640157798"/>
    <s v="No"/>
    <n v="0.36972230938188588"/>
    <s v="No"/>
    <n v="356455"/>
    <n v="57"/>
    <x v="3"/>
  </r>
  <r>
    <n v="2479"/>
    <s v="MUJER"/>
    <n v="1298980"/>
    <x v="1"/>
    <x v="0"/>
    <s v="SI"/>
    <s v="NO"/>
    <s v="NO"/>
    <n v="59"/>
    <n v="1.2012209241700549"/>
    <s v="No"/>
    <n v="0.35403802804199219"/>
    <s v="No"/>
    <n v="1298980"/>
    <n v="59"/>
    <x v="1"/>
  </r>
  <r>
    <n v="2480"/>
    <s v="MUJER"/>
    <n v="14151016"/>
    <x v="1"/>
    <x v="0"/>
    <s v="SI"/>
    <s v="NO"/>
    <s v="NO"/>
    <n v="85"/>
    <n v="3.03617950617563"/>
    <s v="Sí"/>
    <n v="0.14017107659302125"/>
    <s v="No"/>
    <n v="14151016"/>
    <n v="85"/>
    <x v="1"/>
  </r>
  <r>
    <n v="2481"/>
    <s v="HOMBRE"/>
    <n v="278030"/>
    <x v="4"/>
    <x v="1"/>
    <s v="SI"/>
    <s v="NO"/>
    <s v="NO"/>
    <n v="22"/>
    <n v="1.4100662886840327"/>
    <s v="No"/>
    <n v="0.37102735674304993"/>
    <s v="No"/>
    <n v="278030"/>
    <n v="22"/>
    <x v="4"/>
  </r>
  <r>
    <n v="2482"/>
    <s v="HOMBRE"/>
    <n v="347607"/>
    <x v="3"/>
    <x v="1"/>
    <s v="SI"/>
    <s v="NO"/>
    <s v="SI"/>
    <n v="57"/>
    <n v="1.0600702640157798"/>
    <s v="No"/>
    <n v="0.36986954634779701"/>
    <s v="No"/>
    <n v="347607"/>
    <n v="57"/>
    <x v="3"/>
  </r>
  <r>
    <n v="2483"/>
    <s v="HOMBRE"/>
    <n v="176400"/>
    <x v="0"/>
    <x v="1"/>
    <s v="SI"/>
    <s v="NO"/>
    <s v="NO"/>
    <n v="27"/>
    <n v="1.0571896382983452"/>
    <s v="No"/>
    <n v="0.37271855168490653"/>
    <s v="No"/>
    <n v="176400"/>
    <n v="27"/>
    <x v="0"/>
  </r>
  <r>
    <n v="2484"/>
    <s v="MUJER"/>
    <n v="80894775"/>
    <x v="0"/>
    <x v="0"/>
    <s v="SI"/>
    <s v="NO"/>
    <s v="NO"/>
    <n v="58"/>
    <n v="1.1306455940929174"/>
    <s v="No"/>
    <n v="0.9704921884005423"/>
    <s v="No"/>
    <n v="80894775"/>
    <n v="58"/>
    <x v="0"/>
  </r>
  <r>
    <n v="2485"/>
    <s v="MUJER"/>
    <n v="4133335"/>
    <x v="0"/>
    <x v="1"/>
    <s v="SI"/>
    <s v="NO"/>
    <s v="NO"/>
    <n v="25"/>
    <n v="1.1983402984526204"/>
    <s v="No"/>
    <n v="0.30687236003622659"/>
    <s v="No"/>
    <n v="4133335"/>
    <n v="25"/>
    <x v="0"/>
  </r>
  <r>
    <n v="2486"/>
    <s v="MUJER"/>
    <n v="297046"/>
    <x v="2"/>
    <x v="1"/>
    <s v="SI"/>
    <s v="NO"/>
    <s v="SI"/>
    <n v="31"/>
    <n v="0.77488831798979529"/>
    <s v="No"/>
    <n v="0.37071091707942361"/>
    <s v="No"/>
    <n v="297046"/>
    <n v="31"/>
    <x v="2"/>
  </r>
  <r>
    <n v="2487"/>
    <s v="HOMBRE"/>
    <n v="54400192"/>
    <x v="0"/>
    <x v="1"/>
    <s v="SI"/>
    <s v="NO"/>
    <s v="NO"/>
    <n v="22"/>
    <n v="1.4100662886840327"/>
    <s v="No"/>
    <n v="0.52960362443124342"/>
    <s v="No"/>
    <n v="54400192"/>
    <n v="22"/>
    <x v="0"/>
  </r>
  <r>
    <n v="2488"/>
    <s v="MUJER"/>
    <n v="8544175"/>
    <x v="0"/>
    <x v="1"/>
    <s v="SI"/>
    <s v="NO"/>
    <s v="NO"/>
    <n v="26"/>
    <n v="1.1277649683754829"/>
    <s v="No"/>
    <n v="0.2334728687704708"/>
    <s v="No"/>
    <n v="8544175"/>
    <n v="26"/>
    <x v="0"/>
  </r>
  <r>
    <n v="2489"/>
    <s v="HOMBRE"/>
    <n v="216000"/>
    <x v="0"/>
    <x v="1"/>
    <s v="SI"/>
    <s v="NO"/>
    <s v="SI"/>
    <n v="71"/>
    <n v="2.0481248850957048"/>
    <s v="Sí"/>
    <n v="0.37205957973078352"/>
    <s v="No"/>
    <n v="216000"/>
    <n v="71"/>
    <x v="0"/>
  </r>
  <r>
    <n v="2490"/>
    <s v="HOMBRE"/>
    <n v="51689785"/>
    <x v="0"/>
    <x v="1"/>
    <s v="SI"/>
    <s v="NO"/>
    <s v="NO"/>
    <n v="61"/>
    <n v="1.3423715843243298"/>
    <s v="No"/>
    <n v="0.48450053864188286"/>
    <s v="No"/>
    <n v="51689785"/>
    <n v="61"/>
    <x v="0"/>
  </r>
  <r>
    <n v="2491"/>
    <s v="HOMBRE"/>
    <n v="76112215"/>
    <x v="0"/>
    <x v="0"/>
    <s v="SI"/>
    <s v="NO"/>
    <s v="NO"/>
    <n v="30"/>
    <n v="0.84546364806693275"/>
    <s v="No"/>
    <n v="0.89090701393310456"/>
    <s v="No"/>
    <n v="76112215"/>
    <n v="30"/>
    <x v="0"/>
  </r>
  <r>
    <n v="2492"/>
    <s v="HOMBRE"/>
    <n v="546215"/>
    <x v="0"/>
    <x v="1"/>
    <s v="SI"/>
    <s v="NO"/>
    <s v="NO"/>
    <n v="23"/>
    <n v="1.3394909586068953"/>
    <s v="No"/>
    <n v="0.36656456902798734"/>
    <s v="No"/>
    <n v="546215"/>
    <n v="23"/>
    <x v="0"/>
  </r>
  <r>
    <n v="2493"/>
    <s v="MUJER"/>
    <n v="186486572"/>
    <x v="0"/>
    <x v="0"/>
    <s v="SI"/>
    <s v="NO"/>
    <s v="NO"/>
    <n v="34"/>
    <n v="0.56316232775838282"/>
    <s v="No"/>
    <n v="2.7276142290179664"/>
    <s v="Sí"/>
    <n v="186486572"/>
    <n v="34"/>
    <x v="0"/>
  </r>
  <r>
    <n v="2494"/>
    <s v="HOMBRE"/>
    <n v="60000"/>
    <x v="0"/>
    <x v="1"/>
    <s v="SI"/>
    <s v="SI"/>
    <s v="NO"/>
    <n v="38"/>
    <n v="0.28086100744983278"/>
    <s v="No"/>
    <n v="0.37465552985308626"/>
    <s v="No"/>
    <n v="60000"/>
    <n v="38"/>
    <x v="0"/>
  </r>
  <r>
    <n v="2495"/>
    <s v="HOMBRE"/>
    <n v="385137"/>
    <x v="3"/>
    <x v="1"/>
    <s v="SI"/>
    <s v="NO"/>
    <s v="NO"/>
    <n v="36"/>
    <n v="0.42201166760410774"/>
    <s v="No"/>
    <n v="0.36924502065491221"/>
    <s v="No"/>
    <n v="385137"/>
    <n v="36"/>
    <x v="3"/>
  </r>
  <r>
    <n v="2496"/>
    <s v="MUJER"/>
    <n v="323111456"/>
    <x v="1"/>
    <x v="0"/>
    <s v="SI"/>
    <s v="NO"/>
    <s v="NO"/>
    <n v="75"/>
    <n v="2.330426205404255"/>
    <s v="Sí"/>
    <n v="5.0011487439500195"/>
    <s v="Sí"/>
    <n v="323111456"/>
    <n v="75"/>
    <x v="1"/>
  </r>
  <r>
    <n v="2497"/>
    <s v="MUJER"/>
    <n v="2755981"/>
    <x v="0"/>
    <x v="1"/>
    <s v="SI"/>
    <s v="NO"/>
    <s v="NO"/>
    <n v="52"/>
    <n v="0.70719361363009237"/>
    <s v="No"/>
    <n v="0.32979250288721501"/>
    <s v="No"/>
    <n v="2755981"/>
    <n v="52"/>
    <x v="0"/>
  </r>
  <r>
    <n v="2498"/>
    <s v="HOMBRE"/>
    <n v="338655"/>
    <x v="0"/>
    <x v="1"/>
    <s v="SI"/>
    <s v="NO"/>
    <s v="NO"/>
    <n v="36"/>
    <n v="0.42201166760410774"/>
    <s v="No"/>
    <n v="0.37001851394712298"/>
    <s v="No"/>
    <n v="338655"/>
    <n v="36"/>
    <x v="0"/>
  </r>
  <r>
    <n v="2499"/>
    <s v="HOMBRE"/>
    <n v="297046"/>
    <x v="2"/>
    <x v="1"/>
    <s v="SI"/>
    <s v="SI"/>
    <s v="SI"/>
    <n v="52"/>
    <n v="0.70719361363009237"/>
    <s v="No"/>
    <n v="0.37071091707942361"/>
    <s v="No"/>
    <n v="297046"/>
    <n v="52"/>
    <x v="2"/>
  </r>
  <r>
    <n v="2500"/>
    <s v="HOMBRE"/>
    <n v="258000"/>
    <x v="0"/>
    <x v="1"/>
    <s v="SI"/>
    <s v="SI"/>
    <s v="SI"/>
    <n v="41"/>
    <n v="6.9135017218420233E-2"/>
    <s v="No"/>
    <n v="0.37136067008247126"/>
    <s v="No"/>
    <n v="258000"/>
    <n v="41"/>
    <x v="0"/>
  </r>
  <r>
    <n v="2501"/>
    <s v="HOMBRE"/>
    <n v="428100"/>
    <x v="0"/>
    <x v="0"/>
    <s v="SI"/>
    <s v="NO"/>
    <s v="NO"/>
    <n v="36"/>
    <n v="0.42201166760410774"/>
    <s v="No"/>
    <n v="0.36853008600680648"/>
    <s v="No"/>
    <n v="428100"/>
    <n v="36"/>
    <x v="0"/>
  </r>
  <r>
    <n v="2502"/>
    <s v="HOMBRE"/>
    <n v="1814153"/>
    <x v="0"/>
    <x v="0"/>
    <s v="SI"/>
    <s v="NO"/>
    <s v="SI"/>
    <n v="35"/>
    <n v="0.49258699768124525"/>
    <s v="No"/>
    <n v="0.34546518565508788"/>
    <s v="No"/>
    <n v="1814153"/>
    <n v="35"/>
    <x v="0"/>
  </r>
  <r>
    <n v="2503"/>
    <s v="MUJER"/>
    <n v="599078"/>
    <x v="0"/>
    <x v="0"/>
    <s v="SI"/>
    <s v="NO"/>
    <s v="NO"/>
    <n v="63"/>
    <n v="1.4835222444786049"/>
    <s v="No"/>
    <n v="0.36568489139135085"/>
    <s v="No"/>
    <n v="599078"/>
    <n v="63"/>
    <x v="0"/>
  </r>
  <r>
    <n v="2504"/>
    <s v="HOMBRE"/>
    <n v="24252681"/>
    <x v="0"/>
    <x v="0"/>
    <s v="SI"/>
    <s v="NO"/>
    <s v="NO"/>
    <n v="60"/>
    <n v="1.2717962542471923"/>
    <s v="No"/>
    <n v="2.7927759895514041E-2"/>
    <s v="No"/>
    <n v="24252681"/>
    <n v="60"/>
    <x v="0"/>
  </r>
  <r>
    <n v="2505"/>
    <s v="HOMBRE"/>
    <n v="17564935"/>
    <x v="0"/>
    <x v="0"/>
    <s v="SI"/>
    <s v="NO"/>
    <s v="NO"/>
    <n v="31"/>
    <n v="0.77488831798979529"/>
    <s v="No"/>
    <n v="8.3361054505958987E-2"/>
    <s v="No"/>
    <n v="17564935"/>
    <n v="31"/>
    <x v="0"/>
  </r>
  <r>
    <n v="2506"/>
    <s v="MUJER"/>
    <n v="1185569"/>
    <x v="0"/>
    <x v="1"/>
    <s v="SI"/>
    <s v="NO"/>
    <s v="NO"/>
    <n v="42"/>
    <n v="1.4403128587172659E-3"/>
    <s v="No"/>
    <n v="0.3559252671402004"/>
    <s v="No"/>
    <n v="1185569"/>
    <n v="42"/>
    <x v="0"/>
  </r>
  <r>
    <n v="2507"/>
    <s v="HOMBRE"/>
    <n v="103133208"/>
    <x v="0"/>
    <x v="1"/>
    <s v="SI"/>
    <s v="NO"/>
    <s v="NO"/>
    <n v="29"/>
    <n v="0.91603897814407031"/>
    <s v="No"/>
    <n v="1.340555411901643"/>
    <s v="No"/>
    <n v="103133208"/>
    <n v="29"/>
    <x v="0"/>
  </r>
  <r>
    <n v="2508"/>
    <s v="HOMBRE"/>
    <n v="27677319"/>
    <x v="0"/>
    <x v="1"/>
    <s v="SI"/>
    <s v="NO"/>
    <s v="NO"/>
    <n v="47"/>
    <n v="0.35431696324440481"/>
    <s v="No"/>
    <n v="8.4916153709249154E-2"/>
    <s v="No"/>
    <n v="27677319"/>
    <n v="47"/>
    <x v="0"/>
  </r>
  <r>
    <n v="2509"/>
    <s v="MUJER"/>
    <n v="1930775"/>
    <x v="0"/>
    <x v="1"/>
    <s v="SI"/>
    <s v="NO"/>
    <s v="NO"/>
    <n v="52"/>
    <n v="0.70719361363009237"/>
    <s v="No"/>
    <n v="0.34352451325019562"/>
    <s v="No"/>
    <n v="1930775"/>
    <n v="52"/>
    <x v="0"/>
  </r>
  <r>
    <n v="2510"/>
    <s v="HOMBRE"/>
    <n v="246175"/>
    <x v="0"/>
    <x v="1"/>
    <s v="SI"/>
    <s v="NO"/>
    <s v="NO"/>
    <n v="54"/>
    <n v="0.84834427378436728"/>
    <s v="No"/>
    <n v="0.37155744642988298"/>
    <s v="No"/>
    <n v="246175"/>
    <n v="54"/>
    <x v="0"/>
  </r>
  <r>
    <n v="2511"/>
    <s v="HOMBRE"/>
    <n v="39475525"/>
    <x v="0"/>
    <x v="1"/>
    <s v="SI"/>
    <s v="NO"/>
    <s v="NO"/>
    <n v="37"/>
    <n v="0.35143633752697023"/>
    <s v="No"/>
    <n v="0.28124663004676936"/>
    <s v="No"/>
    <n v="39475525"/>
    <n v="37"/>
    <x v="0"/>
  </r>
  <r>
    <n v="2512"/>
    <s v="MUJER"/>
    <n v="500000"/>
    <x v="0"/>
    <x v="1"/>
    <s v="SI"/>
    <s v="NO"/>
    <s v="NO"/>
    <n v="40"/>
    <n v="0.13971034729555773"/>
    <s v="No"/>
    <n v="0.36733361925171953"/>
    <s v="No"/>
    <n v="500000"/>
    <n v="40"/>
    <x v="0"/>
  </r>
  <r>
    <n v="2513"/>
    <s v="HOMBRE"/>
    <n v="352881"/>
    <x v="3"/>
    <x v="1"/>
    <s v="SI"/>
    <s v="NO"/>
    <s v="SI"/>
    <n v="35"/>
    <n v="0.49258699768124525"/>
    <s v="No"/>
    <n v="0.36978178326481603"/>
    <s v="No"/>
    <n v="352881"/>
    <n v="35"/>
    <x v="3"/>
  </r>
  <r>
    <n v="2514"/>
    <s v="HOMBRE"/>
    <n v="639148"/>
    <x v="3"/>
    <x v="1"/>
    <s v="SI"/>
    <s v="NO"/>
    <s v="SI"/>
    <n v="38"/>
    <n v="0.28086100744983278"/>
    <s v="No"/>
    <n v="0.36501809830544912"/>
    <s v="No"/>
    <n v="639148"/>
    <n v="38"/>
    <x v="3"/>
  </r>
  <r>
    <n v="2515"/>
    <s v="HOMBRE"/>
    <n v="347135"/>
    <x v="3"/>
    <x v="1"/>
    <s v="SI"/>
    <s v="SI"/>
    <s v="SI"/>
    <n v="44"/>
    <n v="0.14259097301299228"/>
    <s v="No"/>
    <n v="0.36987740076098752"/>
    <s v="No"/>
    <n v="347135"/>
    <n v="44"/>
    <x v="3"/>
  </r>
  <r>
    <n v="2516"/>
    <s v="HOMBRE"/>
    <n v="4477896"/>
    <x v="0"/>
    <x v="0"/>
    <s v="SI"/>
    <s v="NO"/>
    <s v="NO"/>
    <n v="31"/>
    <n v="0.77488831798979529"/>
    <s v="No"/>
    <n v="0.30113862176641404"/>
    <s v="No"/>
    <n v="4477896"/>
    <n v="31"/>
    <x v="0"/>
  </r>
  <r>
    <n v="2517"/>
    <s v="HOMBRE"/>
    <n v="310124"/>
    <x v="3"/>
    <x v="1"/>
    <s v="SI"/>
    <s v="SI"/>
    <s v="SI"/>
    <n v="41"/>
    <n v="6.9135017218420233E-2"/>
    <s v="No"/>
    <n v="0.37049328992750385"/>
    <s v="No"/>
    <n v="310124"/>
    <n v="41"/>
    <x v="3"/>
  </r>
  <r>
    <n v="2518"/>
    <s v="MUJER"/>
    <n v="111007917"/>
    <x v="0"/>
    <x v="1"/>
    <s v="SI"/>
    <s v="NO"/>
    <s v="NO"/>
    <n v="24"/>
    <n v="1.2689156285297578"/>
    <s v="No"/>
    <n v="1.4715961285147754"/>
    <s v="No"/>
    <n v="111007917"/>
    <n v="24"/>
    <x v="0"/>
  </r>
  <r>
    <n v="2519"/>
    <s v="HOMBRE"/>
    <n v="347500"/>
    <x v="0"/>
    <x v="1"/>
    <s v="SI"/>
    <s v="NO"/>
    <s v="NO"/>
    <n v="42"/>
    <n v="1.4403128587172659E-3"/>
    <s v="No"/>
    <n v="0.36987132690332958"/>
    <s v="No"/>
    <n v="347500"/>
    <n v="42"/>
    <x v="0"/>
  </r>
  <r>
    <n v="2520"/>
    <s v="MUJER"/>
    <n v="134141564"/>
    <x v="0"/>
    <x v="1"/>
    <s v="SI"/>
    <s v="NO"/>
    <s v="NO"/>
    <n v="38"/>
    <n v="0.28086100744983278"/>
    <s v="No"/>
    <n v="1.8565563449183577"/>
    <s v="No"/>
    <n v="134141564"/>
    <n v="38"/>
    <x v="0"/>
  </r>
  <r>
    <n v="2521"/>
    <s v="MUJER"/>
    <n v="31957536"/>
    <x v="0"/>
    <x v="1"/>
    <s v="SI"/>
    <s v="NO"/>
    <s v="NO"/>
    <n v="64"/>
    <n v="1.5540975745557424"/>
    <s v="No"/>
    <n v="0.15614198604663601"/>
    <s v="No"/>
    <n v="31957536"/>
    <n v="64"/>
    <x v="0"/>
  </r>
  <r>
    <n v="2522"/>
    <s v="HOMBRE"/>
    <n v="594092"/>
    <x v="3"/>
    <x v="1"/>
    <s v="SI"/>
    <s v="NO"/>
    <s v="SI"/>
    <n v="42"/>
    <n v="1.4403128587172659E-3"/>
    <s v="No"/>
    <n v="0.36576786195102906"/>
    <s v="No"/>
    <n v="594092"/>
    <n v="42"/>
    <x v="3"/>
  </r>
  <r>
    <n v="2523"/>
    <s v="MUJER"/>
    <n v="405000"/>
    <x v="0"/>
    <x v="1"/>
    <s v="SI"/>
    <s v="NO"/>
    <s v="SI"/>
    <n v="34"/>
    <n v="0.56316232775838282"/>
    <s v="No"/>
    <n v="0.36891448631337825"/>
    <s v="No"/>
    <n v="405000"/>
    <n v="34"/>
    <x v="0"/>
  </r>
  <r>
    <n v="2524"/>
    <s v="MUJER"/>
    <n v="298155"/>
    <x v="2"/>
    <x v="1"/>
    <s v="SI"/>
    <s v="NO"/>
    <s v="NO"/>
    <n v="30"/>
    <n v="0.84546364806693275"/>
    <s v="No"/>
    <n v="0.37069246253656696"/>
    <s v="No"/>
    <n v="298155"/>
    <n v="30"/>
    <x v="2"/>
  </r>
  <r>
    <n v="2525"/>
    <s v="MUJER"/>
    <n v="301260"/>
    <x v="2"/>
    <x v="1"/>
    <s v="SI"/>
    <s v="NO"/>
    <s v="NO"/>
    <n v="38"/>
    <n v="0.28086100744983278"/>
    <s v="No"/>
    <n v="0.3706407931447096"/>
    <s v="No"/>
    <n v="301260"/>
    <n v="38"/>
    <x v="2"/>
  </r>
  <r>
    <n v="2526"/>
    <s v="MUJER"/>
    <n v="1221155"/>
    <x v="0"/>
    <x v="0"/>
    <s v="SI"/>
    <s v="NO"/>
    <s v="SI"/>
    <n v="54"/>
    <n v="0.84834427378436728"/>
    <s v="No"/>
    <n v="0.35533309097960897"/>
    <s v="No"/>
    <n v="1221155"/>
    <n v="54"/>
    <x v="0"/>
  </r>
  <r>
    <n v="2527"/>
    <s v="HOMBRE"/>
    <n v="297046"/>
    <x v="3"/>
    <x v="1"/>
    <s v="SI"/>
    <s v="NO"/>
    <s v="NO"/>
    <n v="43"/>
    <n v="7.2015642935854773E-2"/>
    <s v="No"/>
    <n v="0.37071091707942361"/>
    <s v="No"/>
    <n v="297046"/>
    <n v="43"/>
    <x v="3"/>
  </r>
  <r>
    <n v="2528"/>
    <s v="HOMBRE"/>
    <n v="90735522"/>
    <x v="0"/>
    <x v="1"/>
    <s v="SI"/>
    <s v="NO"/>
    <s v="NO"/>
    <n v="37"/>
    <n v="0.35143633752697023"/>
    <s v="No"/>
    <n v="1.1342491651838789"/>
    <s v="No"/>
    <n v="90735522"/>
    <n v="37"/>
    <x v="0"/>
  </r>
  <r>
    <n v="2529"/>
    <s v="HOMBRE"/>
    <n v="299744"/>
    <x v="3"/>
    <x v="1"/>
    <s v="SI"/>
    <s v="NO"/>
    <s v="SI"/>
    <n v="37"/>
    <n v="0.35143633752697023"/>
    <s v="No"/>
    <n v="0.37066602045487246"/>
    <s v="No"/>
    <n v="299744"/>
    <n v="37"/>
    <x v="3"/>
  </r>
  <r>
    <n v="2530"/>
    <s v="HOMBRE"/>
    <n v="6507796"/>
    <x v="0"/>
    <x v="1"/>
    <s v="SI"/>
    <s v="NO"/>
    <s v="NO"/>
    <n v="38"/>
    <n v="0.28086100744983278"/>
    <s v="No"/>
    <n v="0.26735965283524499"/>
    <s v="No"/>
    <n v="6507796"/>
    <n v="38"/>
    <x v="0"/>
  </r>
  <r>
    <n v="2531"/>
    <s v="HOMBRE"/>
    <n v="334008625"/>
    <x v="0"/>
    <x v="0"/>
    <s v="SI"/>
    <s v="NO"/>
    <s v="NO"/>
    <n v="42"/>
    <n v="1.4403128587172659E-3"/>
    <s v="No"/>
    <n v="5.1824853285545318"/>
    <s v="Sí"/>
    <n v="334008625"/>
    <n v="42"/>
    <x v="0"/>
  </r>
  <r>
    <n v="2532"/>
    <s v="HOMBRE"/>
    <n v="303386"/>
    <x v="0"/>
    <x v="1"/>
    <s v="SI"/>
    <s v="SI"/>
    <s v="NO"/>
    <n v="35"/>
    <n v="0.49258699768124525"/>
    <s v="No"/>
    <n v="0.37060541500394023"/>
    <s v="No"/>
    <n v="303386"/>
    <n v="35"/>
    <x v="0"/>
  </r>
  <r>
    <n v="2533"/>
    <s v="HOMBRE"/>
    <n v="320000"/>
    <x v="0"/>
    <x v="1"/>
    <s v="SI"/>
    <s v="NO"/>
    <s v="SI"/>
    <n v="22"/>
    <n v="1.4100662886840327"/>
    <s v="No"/>
    <n v="0.37032894631591501"/>
    <s v="No"/>
    <n v="320000"/>
    <n v="22"/>
    <x v="0"/>
  </r>
  <r>
    <n v="2534"/>
    <s v="HOMBRE"/>
    <n v="297045"/>
    <x v="3"/>
    <x v="1"/>
    <s v="SI"/>
    <s v="NO"/>
    <s v="NO"/>
    <n v="56"/>
    <n v="0.9894949339386423"/>
    <s v="No"/>
    <n v="0.37071093372012948"/>
    <s v="No"/>
    <n v="297045"/>
    <n v="56"/>
    <x v="3"/>
  </r>
  <r>
    <n v="2535"/>
    <s v="MUJER"/>
    <n v="248190046"/>
    <x v="0"/>
    <x v="1"/>
    <s v="SI"/>
    <s v="NO"/>
    <s v="NO"/>
    <n v="33"/>
    <n v="0.63373765783552027"/>
    <s v="No"/>
    <n v="3.7544035936128712"/>
    <s v="Sí"/>
    <n v="248190046"/>
    <n v="33"/>
    <x v="0"/>
  </r>
  <r>
    <n v="2536"/>
    <s v="MUJER"/>
    <n v="336584"/>
    <x v="0"/>
    <x v="0"/>
    <s v="SI"/>
    <s v="NO"/>
    <s v="NO"/>
    <n v="58"/>
    <n v="1.1306455940929174"/>
    <s v="No"/>
    <n v="0.37005297684906713"/>
    <s v="No"/>
    <n v="336584"/>
    <n v="58"/>
    <x v="0"/>
  </r>
  <r>
    <n v="2537"/>
    <s v="HOMBRE"/>
    <n v="297046"/>
    <x v="2"/>
    <x v="1"/>
    <s v="SI"/>
    <s v="NO"/>
    <s v="NO"/>
    <n v="53"/>
    <n v="0.77776894370722982"/>
    <s v="No"/>
    <n v="0.37071091707942361"/>
    <s v="No"/>
    <n v="297046"/>
    <n v="53"/>
    <x v="2"/>
  </r>
  <r>
    <n v="2538"/>
    <s v="MUJER"/>
    <n v="85500"/>
    <x v="0"/>
    <x v="1"/>
    <s v="SI"/>
    <s v="NO"/>
    <s v="SI"/>
    <n v="27"/>
    <n v="1.0571896382983452"/>
    <s v="No"/>
    <n v="0.37423119185232523"/>
    <s v="No"/>
    <n v="85500"/>
    <n v="27"/>
    <x v="0"/>
  </r>
  <r>
    <n v="2539"/>
    <s v="HOMBRE"/>
    <n v="508656"/>
    <x v="0"/>
    <x v="1"/>
    <s v="SI"/>
    <s v="NO"/>
    <s v="NO"/>
    <n v="49"/>
    <n v="0.49546762339867978"/>
    <s v="No"/>
    <n v="0.36718957730134355"/>
    <s v="No"/>
    <n v="508656"/>
    <n v="49"/>
    <x v="0"/>
  </r>
  <r>
    <n v="2540"/>
    <s v="MUJER"/>
    <n v="402500"/>
    <x v="0"/>
    <x v="1"/>
    <s v="SI"/>
    <s v="NO"/>
    <s v="SI"/>
    <n v="41"/>
    <n v="6.9135017218420233E-2"/>
    <s v="No"/>
    <n v="0.36895608807815872"/>
    <s v="No"/>
    <n v="402500"/>
    <n v="41"/>
    <x v="0"/>
  </r>
  <r>
    <n v="2541"/>
    <s v="MUJER"/>
    <n v="461014"/>
    <x v="0"/>
    <x v="0"/>
    <s v="SI"/>
    <s v="NO"/>
    <s v="SI"/>
    <n v="52"/>
    <n v="0.70719361363009237"/>
    <s v="No"/>
    <n v="0.36798237381241244"/>
    <s v="No"/>
    <n v="461014"/>
    <n v="52"/>
    <x v="0"/>
  </r>
  <r>
    <n v="2542"/>
    <s v="MUJER"/>
    <n v="529279"/>
    <x v="0"/>
    <x v="0"/>
    <s v="SI"/>
    <s v="NO"/>
    <s v="SI"/>
    <n v="23"/>
    <n v="1.3394909586068953"/>
    <s v="No"/>
    <n v="0.36684639602331631"/>
    <s v="No"/>
    <n v="529279"/>
    <n v="23"/>
    <x v="0"/>
  </r>
  <r>
    <n v="2543"/>
    <s v="MUJER"/>
    <n v="75959767"/>
    <x v="0"/>
    <x v="0"/>
    <s v="SI"/>
    <s v="NO"/>
    <s v="NO"/>
    <n v="27"/>
    <n v="1.0571896382983452"/>
    <s v="No"/>
    <n v="0.88837017159820197"/>
    <s v="No"/>
    <n v="75959767"/>
    <n v="27"/>
    <x v="0"/>
  </r>
  <r>
    <n v="2544"/>
    <s v="MUJER"/>
    <n v="6880852"/>
    <x v="0"/>
    <x v="0"/>
    <s v="SI"/>
    <s v="NO"/>
    <s v="NO"/>
    <n v="36"/>
    <n v="0.42201166760410774"/>
    <s v="No"/>
    <n v="0.26115173765046434"/>
    <s v="No"/>
    <n v="6880852"/>
    <n v="36"/>
    <x v="0"/>
  </r>
  <r>
    <n v="2545"/>
    <s v="HOMBRE"/>
    <n v="3616667"/>
    <x v="0"/>
    <x v="1"/>
    <s v="SI"/>
    <s v="SI"/>
    <s v="NO"/>
    <n v="37"/>
    <n v="0.35143633752697023"/>
    <s v="No"/>
    <n v="0.31547008027846968"/>
    <s v="No"/>
    <n v="3616667"/>
    <n v="37"/>
    <x v="0"/>
  </r>
  <r>
    <n v="2546"/>
    <s v="MUJER"/>
    <n v="297046"/>
    <x v="2"/>
    <x v="1"/>
    <s v="NO"/>
    <s v="SI"/>
    <s v="NO"/>
    <n v="50"/>
    <n v="0.56604295347581735"/>
    <s v="No"/>
    <n v="0.37071091707942361"/>
    <s v="No"/>
    <n v="297046"/>
    <n v="50"/>
    <x v="2"/>
  </r>
  <r>
    <n v="2547"/>
    <s v="MUJER"/>
    <n v="30914336"/>
    <x v="0"/>
    <x v="1"/>
    <s v="SI"/>
    <s v="SI"/>
    <s v="NO"/>
    <n v="55"/>
    <n v="0.91891960386150484"/>
    <s v="No"/>
    <n v="0.13878240163903194"/>
    <s v="No"/>
    <n v="30914336"/>
    <n v="55"/>
    <x v="0"/>
  </r>
  <r>
    <n v="2548"/>
    <s v="HOMBRE"/>
    <n v="360000"/>
    <x v="0"/>
    <x v="1"/>
    <s v="SI"/>
    <s v="NO"/>
    <s v="SI"/>
    <n v="32"/>
    <n v="0.70431298791265773"/>
    <s v="No"/>
    <n v="0.36966331807942709"/>
    <s v="No"/>
    <n v="360000"/>
    <n v="32"/>
    <x v="0"/>
  </r>
  <r>
    <n v="2549"/>
    <s v="HOMBRE"/>
    <n v="600000"/>
    <x v="0"/>
    <x v="1"/>
    <s v="SI"/>
    <s v="NO"/>
    <s v="SI"/>
    <n v="50"/>
    <n v="0.56604295347581735"/>
    <s v="No"/>
    <n v="0.36566954866049978"/>
    <s v="No"/>
    <n v="600000"/>
    <n v="50"/>
    <x v="0"/>
  </r>
  <r>
    <n v="2550"/>
    <s v="HOMBRE"/>
    <n v="278030"/>
    <x v="4"/>
    <x v="1"/>
    <s v="SI"/>
    <s v="NO"/>
    <s v="NO"/>
    <n v="40"/>
    <n v="0.13971034729555773"/>
    <s v="No"/>
    <n v="0.37102735674304993"/>
    <s v="No"/>
    <n v="278030"/>
    <n v="40"/>
    <x v="4"/>
  </r>
  <r>
    <n v="2551"/>
    <s v="HOMBRE"/>
    <n v="25123063"/>
    <x v="0"/>
    <x v="1"/>
    <s v="SI"/>
    <s v="NO"/>
    <s v="NO"/>
    <n v="44"/>
    <n v="0.14259097301299228"/>
    <s v="No"/>
    <n v="4.2411530788784048E-2"/>
    <s v="No"/>
    <n v="25123063"/>
    <n v="44"/>
    <x v="0"/>
  </r>
  <r>
    <n v="2552"/>
    <s v="MUJER"/>
    <n v="50000"/>
    <x v="0"/>
    <x v="1"/>
    <s v="SI"/>
    <s v="NO"/>
    <s v="NO"/>
    <n v="20"/>
    <n v="1.5512169488383079"/>
    <s v="No"/>
    <n v="0.37482193691220822"/>
    <s v="No"/>
    <n v="50000"/>
    <n v="20"/>
    <x v="0"/>
  </r>
  <r>
    <n v="2553"/>
    <s v="MUJER"/>
    <n v="358500"/>
    <x v="0"/>
    <x v="1"/>
    <s v="SI"/>
    <s v="NO"/>
    <s v="NO"/>
    <n v="41"/>
    <n v="6.9135017218420233E-2"/>
    <s v="No"/>
    <n v="0.36968827913829544"/>
    <s v="No"/>
    <n v="358500"/>
    <n v="41"/>
    <x v="0"/>
  </r>
  <r>
    <n v="2554"/>
    <s v="HOMBRE"/>
    <n v="456792"/>
    <x v="0"/>
    <x v="1"/>
    <s v="SI"/>
    <s v="NO"/>
    <s v="NO"/>
    <n v="41"/>
    <n v="6.9135017218420233E-2"/>
    <s v="No"/>
    <n v="0.36805263087277373"/>
    <s v="No"/>
    <n v="456792"/>
    <n v="41"/>
    <x v="0"/>
  </r>
  <r>
    <n v="2555"/>
    <s v="HOMBRE"/>
    <n v="381590"/>
    <x v="0"/>
    <x v="1"/>
    <s v="SI"/>
    <s v="NO"/>
    <s v="NO"/>
    <n v="21"/>
    <n v="1.4806416187611704"/>
    <s v="No"/>
    <n v="0.3693040452387828"/>
    <s v="No"/>
    <n v="381590"/>
    <n v="21"/>
    <x v="0"/>
  </r>
  <r>
    <n v="2556"/>
    <s v="HOMBRE"/>
    <n v="330000"/>
    <x v="0"/>
    <x v="1"/>
    <s v="SI"/>
    <s v="NO"/>
    <s v="NO"/>
    <n v="59"/>
    <n v="1.2012209241700549"/>
    <s v="No"/>
    <n v="0.37016253925679304"/>
    <s v="No"/>
    <n v="330000"/>
    <n v="59"/>
    <x v="0"/>
  </r>
  <r>
    <n v="2557"/>
    <s v="MUJER"/>
    <n v="976390"/>
    <x v="0"/>
    <x v="0"/>
    <s v="SI"/>
    <s v="NO"/>
    <s v="NO"/>
    <n v="35"/>
    <n v="0.49258699768124525"/>
    <s v="No"/>
    <n v="0.35940615336220788"/>
    <s v="No"/>
    <n v="976390"/>
    <n v="35"/>
    <x v="0"/>
  </r>
  <r>
    <n v="2558"/>
    <s v="HOMBRE"/>
    <n v="300010"/>
    <x v="2"/>
    <x v="1"/>
    <s v="SI"/>
    <s v="NO"/>
    <s v="NO"/>
    <n v="57"/>
    <n v="1.0600702640157798"/>
    <s v="No"/>
    <n v="0.37066159402709981"/>
    <s v="No"/>
    <n v="300010"/>
    <n v="57"/>
    <x v="2"/>
  </r>
  <r>
    <n v="2559"/>
    <s v="HOMBRE"/>
    <n v="3498528"/>
    <x v="0"/>
    <x v="1"/>
    <s v="SI"/>
    <s v="SI"/>
    <s v="NO"/>
    <n v="40"/>
    <n v="0.13971034729555773"/>
    <s v="No"/>
    <n v="0.31743599663423072"/>
    <s v="No"/>
    <n v="3498528"/>
    <n v="40"/>
    <x v="0"/>
  </r>
  <r>
    <n v="2560"/>
    <s v="MUJER"/>
    <n v="278030"/>
    <x v="4"/>
    <x v="1"/>
    <s v="SI"/>
    <s v="NO"/>
    <s v="SI"/>
    <n v="28"/>
    <n v="0.98661430822120777"/>
    <s v="No"/>
    <n v="0.37102735674304993"/>
    <s v="No"/>
    <n v="278030"/>
    <n v="28"/>
    <x v="4"/>
  </r>
  <r>
    <n v="2561"/>
    <s v="HOMBRE"/>
    <n v="4861623"/>
    <x v="0"/>
    <x v="1"/>
    <s v="SI"/>
    <s v="SI"/>
    <s v="NO"/>
    <n v="35"/>
    <n v="0.49258699768124525"/>
    <s v="No"/>
    <n v="0.29475313360884431"/>
    <s v="No"/>
    <n v="4861623"/>
    <n v="35"/>
    <x v="0"/>
  </r>
  <r>
    <n v="2562"/>
    <s v="HOMBRE"/>
    <n v="589097"/>
    <x v="0"/>
    <x v="1"/>
    <s v="SI"/>
    <s v="NO"/>
    <s v="NO"/>
    <n v="54"/>
    <n v="0.84834427378436728"/>
    <s v="No"/>
    <n v="0.36585098227706048"/>
    <s v="No"/>
    <n v="589097"/>
    <n v="54"/>
    <x v="0"/>
  </r>
  <r>
    <n v="2563"/>
    <s v="HOMBRE"/>
    <n v="4461495"/>
    <x v="0"/>
    <x v="0"/>
    <s v="SI"/>
    <s v="NO"/>
    <s v="NO"/>
    <n v="57"/>
    <n v="1.0600702640157798"/>
    <s v="No"/>
    <n v="0.30141154598407999"/>
    <s v="No"/>
    <n v="4461495"/>
    <n v="57"/>
    <x v="0"/>
  </r>
  <r>
    <n v="2564"/>
    <s v="MUJER"/>
    <n v="681819"/>
    <x v="0"/>
    <x v="0"/>
    <s v="SI"/>
    <s v="NO"/>
    <s v="NO"/>
    <n v="40"/>
    <n v="0.13971034729555773"/>
    <s v="No"/>
    <n v="0.36430802274346974"/>
    <s v="No"/>
    <n v="681819"/>
    <n v="40"/>
    <x v="0"/>
  </r>
  <r>
    <n v="2565"/>
    <s v="HOMBRE"/>
    <n v="28760993"/>
    <x v="0"/>
    <x v="1"/>
    <s v="SI"/>
    <s v="NO"/>
    <s v="NO"/>
    <n v="33"/>
    <n v="0.63373765783552027"/>
    <s v="No"/>
    <n v="0.10294925404794353"/>
    <s v="No"/>
    <n v="28760993"/>
    <n v="33"/>
    <x v="0"/>
  </r>
  <r>
    <n v="2566"/>
    <s v="HOMBRE"/>
    <n v="7114606"/>
    <x v="0"/>
    <x v="0"/>
    <s v="SI"/>
    <s v="NO"/>
    <s v="NO"/>
    <n v="43"/>
    <n v="7.2015642935854773E-2"/>
    <s v="No"/>
    <n v="0.25726190608066457"/>
    <s v="No"/>
    <n v="7114606"/>
    <n v="43"/>
    <x v="0"/>
  </r>
  <r>
    <n v="2567"/>
    <s v="HOMBRE"/>
    <n v="304357"/>
    <x v="3"/>
    <x v="1"/>
    <s v="SI"/>
    <s v="NO"/>
    <s v="SI"/>
    <n v="27"/>
    <n v="1.0571896382983452"/>
    <s v="No"/>
    <n v="0.37058925687849953"/>
    <s v="No"/>
    <n v="304357"/>
    <n v="27"/>
    <x v="3"/>
  </r>
  <r>
    <n v="2568"/>
    <s v="HOMBRE"/>
    <n v="35954427"/>
    <x v="6"/>
    <x v="1"/>
    <s v="SI"/>
    <s v="SI"/>
    <s v="NO"/>
    <n v="28"/>
    <n v="0.98661430822120777"/>
    <s v="No"/>
    <n v="0.22265307374074372"/>
    <s v="No"/>
    <n v="35954427"/>
    <n v="28"/>
    <x v="5"/>
  </r>
  <r>
    <n v="2569"/>
    <s v="HOMBRE"/>
    <n v="145000"/>
    <x v="0"/>
    <x v="1"/>
    <s v="SI"/>
    <s v="NO"/>
    <s v="NO"/>
    <n v="63"/>
    <n v="1.4835222444786049"/>
    <s v="No"/>
    <n v="0.3732410698505495"/>
    <s v="No"/>
    <n v="145000"/>
    <n v="63"/>
    <x v="0"/>
  </r>
  <r>
    <n v="2570"/>
    <s v="HOMBRE"/>
    <n v="634623"/>
    <x v="1"/>
    <x v="0"/>
    <s v="SI"/>
    <s v="NO"/>
    <s v="NO"/>
    <n v="56"/>
    <n v="0.9894949339386423"/>
    <s v="No"/>
    <n v="0.36509339749970182"/>
    <s v="No"/>
    <n v="634623"/>
    <n v="56"/>
    <x v="1"/>
  </r>
  <r>
    <n v="2571"/>
    <s v="MUJER"/>
    <n v="547200"/>
    <x v="0"/>
    <x v="1"/>
    <s v="SI"/>
    <s v="NO"/>
    <s v="NO"/>
    <n v="48"/>
    <n v="0.42489229332154227"/>
    <s v="No"/>
    <n v="0.36654817793266381"/>
    <s v="No"/>
    <n v="547200"/>
    <n v="48"/>
    <x v="0"/>
  </r>
  <r>
    <n v="2572"/>
    <s v="MUJER"/>
    <n v="1044273"/>
    <x v="0"/>
    <x v="0"/>
    <s v="SI"/>
    <s v="NO"/>
    <s v="SI"/>
    <n v="33"/>
    <n v="0.63373765783552027"/>
    <s v="No"/>
    <n v="0.35827653232277024"/>
    <s v="No"/>
    <n v="1044273"/>
    <n v="33"/>
    <x v="0"/>
  </r>
  <r>
    <n v="2573"/>
    <s v="HOMBRE"/>
    <n v="32983681"/>
    <x v="0"/>
    <x v="1"/>
    <s v="SI"/>
    <s v="NO"/>
    <s v="NO"/>
    <n v="55"/>
    <n v="0.91891960386150484"/>
    <s v="No"/>
    <n v="0.17321776321490759"/>
    <s v="No"/>
    <n v="32983681"/>
    <n v="55"/>
    <x v="0"/>
  </r>
  <r>
    <n v="2574"/>
    <s v="HOMBRE"/>
    <n v="297046"/>
    <x v="3"/>
    <x v="1"/>
    <s v="SI"/>
    <s v="NO"/>
    <s v="NO"/>
    <n v="68"/>
    <n v="1.8363988948642924"/>
    <s v="No"/>
    <n v="0.37071091707942361"/>
    <s v="No"/>
    <n v="297046"/>
    <n v="68"/>
    <x v="3"/>
  </r>
  <r>
    <n v="2575"/>
    <s v="HOMBRE"/>
    <n v="47082331"/>
    <x v="0"/>
    <x v="1"/>
    <s v="SI"/>
    <s v="NO"/>
    <s v="NO"/>
    <n v="34"/>
    <n v="0.56316232775838282"/>
    <s v="No"/>
    <n v="0.40782925162390632"/>
    <s v="No"/>
    <n v="47082331"/>
    <n v="34"/>
    <x v="0"/>
  </r>
  <r>
    <n v="2576"/>
    <s v="MUJER"/>
    <n v="100290002"/>
    <x v="0"/>
    <x v="0"/>
    <s v="SI"/>
    <s v="NO"/>
    <s v="NO"/>
    <n v="46"/>
    <n v="0.2837416331672673"/>
    <s v="No"/>
    <n v="1.2932424570078485"/>
    <s v="No"/>
    <n v="100290002"/>
    <n v="46"/>
    <x v="0"/>
  </r>
  <r>
    <n v="2577"/>
    <s v="HOMBRE"/>
    <n v="49014074"/>
    <x v="0"/>
    <x v="1"/>
    <s v="SI"/>
    <s v="NO"/>
    <s v="NO"/>
    <n v="22"/>
    <n v="1.4100662886840327"/>
    <s v="No"/>
    <n v="0.43997481878485184"/>
    <s v="No"/>
    <n v="49014074"/>
    <n v="22"/>
    <x v="0"/>
  </r>
  <r>
    <n v="2578"/>
    <s v="HOMBRE"/>
    <n v="386489"/>
    <x v="0"/>
    <x v="1"/>
    <s v="SI"/>
    <s v="NO"/>
    <s v="NO"/>
    <n v="23"/>
    <n v="1.3394909586068953"/>
    <s v="No"/>
    <n v="0.36922252242051895"/>
    <s v="No"/>
    <n v="386489"/>
    <n v="23"/>
    <x v="0"/>
  </r>
  <r>
    <n v="2579"/>
    <s v="MUJER"/>
    <n v="15978723"/>
    <x v="0"/>
    <x v="1"/>
    <s v="SI"/>
    <s v="NO"/>
    <s v="NO"/>
    <n v="44"/>
    <n v="0.14259097301299228"/>
    <s v="No"/>
    <n v="0.10975674191235708"/>
    <s v="No"/>
    <n v="15978723"/>
    <n v="44"/>
    <x v="0"/>
  </r>
  <r>
    <n v="2580"/>
    <s v="HOMBRE"/>
    <n v="297046"/>
    <x v="2"/>
    <x v="1"/>
    <s v="SI"/>
    <s v="NO"/>
    <s v="NO"/>
    <n v="40"/>
    <n v="0.13971034729555773"/>
    <s v="No"/>
    <n v="0.37071091707942361"/>
    <s v="No"/>
    <n v="297046"/>
    <n v="40"/>
    <x v="2"/>
  </r>
  <r>
    <n v="2581"/>
    <s v="MUJER"/>
    <n v="66186611"/>
    <x v="0"/>
    <x v="1"/>
    <s v="SI"/>
    <s v="NO"/>
    <s v="NO"/>
    <n v="28"/>
    <n v="0.98661430822120777"/>
    <s v="No"/>
    <n v="0.72573795676817665"/>
    <s v="No"/>
    <n v="66186611"/>
    <n v="28"/>
    <x v="0"/>
  </r>
  <r>
    <n v="2582"/>
    <s v="MUJER"/>
    <n v="300611"/>
    <x v="3"/>
    <x v="1"/>
    <s v="SI"/>
    <s v="NO"/>
    <s v="NO"/>
    <n v="51"/>
    <n v="0.6366182835529548"/>
    <s v="No"/>
    <n v="0.37065159296284661"/>
    <s v="No"/>
    <n v="300611"/>
    <n v="51"/>
    <x v="3"/>
  </r>
  <r>
    <n v="2583"/>
    <s v="HOMBRE"/>
    <n v="278030"/>
    <x v="2"/>
    <x v="1"/>
    <s v="SI"/>
    <s v="SI"/>
    <s v="SI"/>
    <n v="34"/>
    <n v="0.56316232775838282"/>
    <s v="No"/>
    <n v="0.37102735674304993"/>
    <s v="No"/>
    <n v="278030"/>
    <n v="34"/>
    <x v="2"/>
  </r>
  <r>
    <n v="2584"/>
    <s v="MUJER"/>
    <n v="1172054"/>
    <x v="1"/>
    <x v="0"/>
    <s v="SI"/>
    <s v="NO"/>
    <s v="NO"/>
    <n v="64"/>
    <n v="1.5540975745557424"/>
    <s v="No"/>
    <n v="0.35615016628060375"/>
    <s v="No"/>
    <n v="1172054"/>
    <n v="64"/>
    <x v="1"/>
  </r>
  <r>
    <n v="2585"/>
    <s v="HOMBRE"/>
    <n v="912169"/>
    <x v="0"/>
    <x v="0"/>
    <s v="SI"/>
    <s v="NO"/>
    <s v="SI"/>
    <n v="36"/>
    <n v="0.42201166760410774"/>
    <s v="No"/>
    <n v="0.36047483613659514"/>
    <s v="No"/>
    <n v="912169"/>
    <n v="36"/>
    <x v="0"/>
  </r>
  <r>
    <n v="2586"/>
    <s v="HOMBRE"/>
    <n v="933638"/>
    <x v="0"/>
    <x v="1"/>
    <s v="SI"/>
    <s v="NO"/>
    <s v="NO"/>
    <n v="46"/>
    <n v="0.2837416331672673"/>
    <s v="No"/>
    <n v="0.36011757682136614"/>
    <s v="No"/>
    <n v="933638"/>
    <n v="46"/>
    <x v="0"/>
  </r>
  <r>
    <n v="2587"/>
    <s v="HOMBRE"/>
    <n v="762828"/>
    <x v="0"/>
    <x v="0"/>
    <s v="SI"/>
    <s v="NO"/>
    <s v="SI"/>
    <n v="60"/>
    <n v="1.2717962542471923"/>
    <s v="No"/>
    <n v="0.36295997579822858"/>
    <s v="No"/>
    <n v="762828"/>
    <n v="60"/>
    <x v="0"/>
  </r>
  <r>
    <n v="2588"/>
    <s v="HOMBRE"/>
    <n v="847871"/>
    <x v="3"/>
    <x v="1"/>
    <s v="SI"/>
    <s v="NO"/>
    <s v="NO"/>
    <n v="51"/>
    <n v="0.6366182835529548"/>
    <s v="No"/>
    <n v="0.36154480024533758"/>
    <s v="No"/>
    <n v="847871"/>
    <n v="51"/>
    <x v="3"/>
  </r>
  <r>
    <n v="2589"/>
    <s v="MUJER"/>
    <n v="38898792"/>
    <x v="0"/>
    <x v="0"/>
    <s v="SI"/>
    <s v="NO"/>
    <s v="NO"/>
    <n v="25"/>
    <n v="1.1983402984526204"/>
    <s v="No"/>
    <n v="0.27164938580391013"/>
    <s v="No"/>
    <n v="38898792"/>
    <n v="25"/>
    <x v="0"/>
  </r>
  <r>
    <n v="2590"/>
    <s v="HOMBRE"/>
    <n v="348650"/>
    <x v="0"/>
    <x v="1"/>
    <s v="SI"/>
    <s v="SI"/>
    <s v="NO"/>
    <n v="52"/>
    <n v="0.70719361363009237"/>
    <s v="No"/>
    <n v="0.36985219009153059"/>
    <s v="No"/>
    <n v="348650"/>
    <n v="52"/>
    <x v="0"/>
  </r>
  <r>
    <n v="2591"/>
    <s v="HOMBRE"/>
    <n v="520560"/>
    <x v="0"/>
    <x v="1"/>
    <s v="SI"/>
    <s v="NO"/>
    <s v="NO"/>
    <n v="40"/>
    <n v="0.13971034729555773"/>
    <s v="No"/>
    <n v="0.36699148633816475"/>
    <s v="No"/>
    <n v="520560"/>
    <n v="40"/>
    <x v="0"/>
  </r>
  <r>
    <n v="2592"/>
    <s v="HOMBRE"/>
    <n v="369500"/>
    <x v="0"/>
    <x v="1"/>
    <s v="SI"/>
    <s v="NO"/>
    <s v="NO"/>
    <n v="43"/>
    <n v="7.2015642935854773E-2"/>
    <s v="No"/>
    <n v="0.36950523137326124"/>
    <s v="No"/>
    <n v="369500"/>
    <n v="43"/>
    <x v="0"/>
  </r>
  <r>
    <n v="2593"/>
    <s v="HOMBRE"/>
    <n v="1013518"/>
    <x v="0"/>
    <x v="1"/>
    <s v="SI"/>
    <s v="NO"/>
    <s v="NO"/>
    <n v="25"/>
    <n v="1.1983402984526204"/>
    <s v="No"/>
    <n v="0.35878831723309984"/>
    <s v="No"/>
    <n v="1013518"/>
    <n v="25"/>
    <x v="0"/>
  </r>
  <r>
    <n v="2594"/>
    <s v="HOMBRE"/>
    <n v="308076752"/>
    <x v="0"/>
    <x v="0"/>
    <s v="SI"/>
    <s v="NO"/>
    <s v="NO"/>
    <n v="42"/>
    <n v="1.4403128587172659E-3"/>
    <s v="No"/>
    <n v="4.7509606562090854"/>
    <s v="Sí"/>
    <n v="308076752"/>
    <n v="42"/>
    <x v="0"/>
  </r>
  <r>
    <n v="2595"/>
    <s v="HOMBRE"/>
    <n v="380217"/>
    <x v="3"/>
    <x v="1"/>
    <s v="SI"/>
    <s v="NO"/>
    <s v="SI"/>
    <n v="46"/>
    <n v="0.2837416331672673"/>
    <s v="No"/>
    <n v="0.36932689292800025"/>
    <s v="No"/>
    <n v="380217"/>
    <n v="46"/>
    <x v="3"/>
  </r>
  <r>
    <n v="2596"/>
    <s v="MUJER"/>
    <n v="285000"/>
    <x v="0"/>
    <x v="1"/>
    <s v="SI"/>
    <s v="NO"/>
    <s v="NO"/>
    <n v="42"/>
    <n v="1.4403128587172659E-3"/>
    <s v="No"/>
    <n v="0.37091137102284188"/>
    <s v="No"/>
    <n v="285000"/>
    <n v="42"/>
    <x v="0"/>
  </r>
  <r>
    <n v="2597"/>
    <s v="HOMBRE"/>
    <n v="169374"/>
    <x v="0"/>
    <x v="1"/>
    <s v="SI"/>
    <s v="SI"/>
    <s v="SI"/>
    <n v="44"/>
    <n v="0.14259097301299228"/>
    <s v="No"/>
    <n v="0.37283546928464562"/>
    <s v="No"/>
    <n v="169374"/>
    <n v="44"/>
    <x v="0"/>
  </r>
  <r>
    <n v="2598"/>
    <s v="HOMBRE"/>
    <n v="359250"/>
    <x v="0"/>
    <x v="1"/>
    <s v="SI"/>
    <s v="NO"/>
    <s v="NO"/>
    <n v="24"/>
    <n v="1.2689156285297578"/>
    <s v="No"/>
    <n v="0.36967579860886129"/>
    <s v="No"/>
    <n v="359250"/>
    <n v="24"/>
    <x v="0"/>
  </r>
  <r>
    <n v="2599"/>
    <s v="MUJER"/>
    <n v="278030"/>
    <x v="6"/>
    <x v="1"/>
    <s v="SI"/>
    <s v="NO"/>
    <s v="NO"/>
    <n v="25"/>
    <n v="1.1983402984526204"/>
    <s v="No"/>
    <n v="0.37102735674304993"/>
    <s v="No"/>
    <n v="278030"/>
    <n v="25"/>
    <x v="5"/>
  </r>
  <r>
    <n v="2600"/>
    <s v="HOMBRE"/>
    <n v="517494"/>
    <x v="3"/>
    <x v="1"/>
    <s v="SI"/>
    <s v="NO"/>
    <s v="SI"/>
    <n v="38"/>
    <n v="0.28086100744983278"/>
    <s v="No"/>
    <n v="0.36704250674249156"/>
    <s v="No"/>
    <n v="517494"/>
    <n v="38"/>
    <x v="3"/>
  </r>
  <r>
    <n v="2601"/>
    <s v="HOMBRE"/>
    <n v="300366"/>
    <x v="0"/>
    <x v="1"/>
    <s v="SI"/>
    <s v="SI"/>
    <s v="NO"/>
    <n v="25"/>
    <n v="1.1983402984526204"/>
    <s v="No"/>
    <n v="0.37065566993579507"/>
    <s v="No"/>
    <n v="300366"/>
    <n v="25"/>
    <x v="0"/>
  </r>
  <r>
    <n v="2602"/>
    <s v="HOMBRE"/>
    <n v="297045"/>
    <x v="3"/>
    <x v="1"/>
    <s v="SI"/>
    <s v="NO"/>
    <s v="NO"/>
    <n v="22"/>
    <n v="1.4100662886840327"/>
    <s v="No"/>
    <n v="0.37071093372012948"/>
    <s v="No"/>
    <n v="297045"/>
    <n v="22"/>
    <x v="3"/>
  </r>
  <r>
    <n v="2603"/>
    <s v="MUJER"/>
    <n v="1214327"/>
    <x v="0"/>
    <x v="0"/>
    <s v="SI"/>
    <s v="NO"/>
    <s v="NO"/>
    <n v="56"/>
    <n v="0.9894949339386423"/>
    <s v="No"/>
    <n v="0.35544671371957742"/>
    <s v="No"/>
    <n v="1214327"/>
    <n v="56"/>
    <x v="0"/>
  </r>
  <r>
    <n v="2604"/>
    <s v="MUJER"/>
    <n v="353400"/>
    <x v="0"/>
    <x v="1"/>
    <s v="SI"/>
    <s v="SI"/>
    <s v="NO"/>
    <n v="47"/>
    <n v="0.35431696324440481"/>
    <s v="No"/>
    <n v="0.36977314673844763"/>
    <s v="No"/>
    <n v="353400"/>
    <n v="47"/>
    <x v="0"/>
  </r>
  <r>
    <n v="2605"/>
    <s v="HOMBRE"/>
    <n v="1614177"/>
    <x v="1"/>
    <x v="0"/>
    <s v="SI"/>
    <s v="NO"/>
    <s v="NO"/>
    <n v="56"/>
    <n v="0.9894949339386423"/>
    <s v="No"/>
    <n v="0.34879292746058538"/>
    <s v="No"/>
    <n v="1614177"/>
    <n v="56"/>
    <x v="1"/>
  </r>
  <r>
    <n v="2606"/>
    <s v="MUJER"/>
    <n v="1488158"/>
    <x v="0"/>
    <x v="0"/>
    <s v="SI"/>
    <s v="NO"/>
    <s v="SI"/>
    <n v="41"/>
    <n v="6.9135017218420233E-2"/>
    <s v="No"/>
    <n v="0.35088997257893456"/>
    <s v="No"/>
    <n v="1488158"/>
    <n v="41"/>
    <x v="0"/>
  </r>
  <r>
    <n v="2607"/>
    <s v="MUJER"/>
    <n v="353418"/>
    <x v="2"/>
    <x v="1"/>
    <s v="SI"/>
    <s v="SI"/>
    <s v="NO"/>
    <n v="56"/>
    <n v="0.9894949339386423"/>
    <s v="No"/>
    <n v="0.36977284720574122"/>
    <s v="No"/>
    <n v="353418"/>
    <n v="56"/>
    <x v="2"/>
  </r>
  <r>
    <n v="2608"/>
    <s v="HOMBRE"/>
    <n v="819375"/>
    <x v="0"/>
    <x v="1"/>
    <s v="SI"/>
    <s v="NO"/>
    <s v="NO"/>
    <n v="41"/>
    <n v="6.9135017218420233E-2"/>
    <s v="No"/>
    <n v="0.36201899380101155"/>
    <s v="No"/>
    <n v="819375"/>
    <n v="41"/>
    <x v="0"/>
  </r>
  <r>
    <n v="2609"/>
    <s v="MUJER"/>
    <n v="1389523"/>
    <x v="0"/>
    <x v="0"/>
    <s v="SI"/>
    <s v="NO"/>
    <s v="SI"/>
    <n v="48"/>
    <n v="0.42489229332154227"/>
    <s v="No"/>
    <n v="0.35253132860658415"/>
    <s v="No"/>
    <n v="1389523"/>
    <n v="48"/>
    <x v="0"/>
  </r>
  <r>
    <n v="2610"/>
    <s v="HOMBRE"/>
    <n v="284326"/>
    <x v="0"/>
    <x v="1"/>
    <s v="SI"/>
    <s v="NO"/>
    <s v="NO"/>
    <n v="28"/>
    <n v="0.98661430822120777"/>
    <s v="No"/>
    <n v="0.37092258685862672"/>
    <s v="No"/>
    <n v="284326"/>
    <n v="28"/>
    <x v="0"/>
  </r>
  <r>
    <n v="2611"/>
    <s v="HOMBRE"/>
    <n v="133302248"/>
    <x v="0"/>
    <x v="0"/>
    <s v="SI"/>
    <s v="NO"/>
    <s v="NO"/>
    <n v="40"/>
    <n v="0.13971034729555773"/>
    <s v="No"/>
    <n v="1.8425895341949561"/>
    <s v="No"/>
    <n v="133302248"/>
    <n v="40"/>
    <x v="0"/>
  </r>
  <r>
    <n v="2612"/>
    <s v="HOMBRE"/>
    <n v="2157206"/>
    <x v="0"/>
    <x v="1"/>
    <s v="SI"/>
    <s v="NO"/>
    <s v="NO"/>
    <n v="30"/>
    <n v="0.84546364806693275"/>
    <s v="No"/>
    <n v="0.3397565415697909"/>
    <s v="No"/>
    <n v="2157206"/>
    <n v="30"/>
    <x v="0"/>
  </r>
  <r>
    <n v="2613"/>
    <s v="HOMBRE"/>
    <n v="32770914"/>
    <x v="0"/>
    <x v="1"/>
    <s v="SI"/>
    <s v="NO"/>
    <s v="NO"/>
    <n v="21"/>
    <n v="1.4806416187611704"/>
    <s v="No"/>
    <n v="0.16967717014008712"/>
    <s v="No"/>
    <n v="32770914"/>
    <n v="21"/>
    <x v="0"/>
  </r>
  <r>
    <n v="2614"/>
    <s v="HOMBRE"/>
    <n v="342027"/>
    <x v="0"/>
    <x v="1"/>
    <s v="SI"/>
    <s v="NO"/>
    <s v="NO"/>
    <n v="37"/>
    <n v="0.35143633752697023"/>
    <s v="No"/>
    <n v="0.36996240148678705"/>
    <s v="No"/>
    <n v="342027"/>
    <n v="37"/>
    <x v="0"/>
  </r>
  <r>
    <n v="2615"/>
    <s v="MUJER"/>
    <n v="1688298"/>
    <x v="0"/>
    <x v="0"/>
    <s v="SI"/>
    <s v="NO"/>
    <s v="NO"/>
    <n v="48"/>
    <n v="0.42489229332154227"/>
    <s v="No"/>
    <n v="0.34755950169766742"/>
    <s v="No"/>
    <n v="1688298"/>
    <n v="48"/>
    <x v="0"/>
  </r>
  <r>
    <n v="2616"/>
    <s v="HOMBRE"/>
    <n v="1000000"/>
    <x v="0"/>
    <x v="1"/>
    <s v="SI"/>
    <s v="NO"/>
    <s v="NO"/>
    <n v="29"/>
    <n v="0.91603897814407031"/>
    <s v="No"/>
    <n v="0.35901326629562091"/>
    <s v="No"/>
    <n v="1000000"/>
    <n v="29"/>
    <x v="0"/>
  </r>
  <r>
    <n v="2617"/>
    <s v="MUJER"/>
    <n v="280000"/>
    <x v="0"/>
    <x v="1"/>
    <s v="SI"/>
    <s v="SI"/>
    <s v="NO"/>
    <n v="25"/>
    <n v="1.1983402984526204"/>
    <s v="No"/>
    <n v="0.37099457455240292"/>
    <s v="No"/>
    <n v="280000"/>
    <n v="25"/>
    <x v="0"/>
  </r>
  <r>
    <n v="2618"/>
    <s v="HOMBRE"/>
    <n v="24650481"/>
    <x v="0"/>
    <x v="1"/>
    <s v="SI"/>
    <s v="NO"/>
    <s v="NO"/>
    <n v="19"/>
    <n v="1.6217922789154453"/>
    <s v="No"/>
    <n v="3.4547432707386076E-2"/>
    <s v="No"/>
    <n v="24650481"/>
    <n v="19"/>
    <x v="0"/>
  </r>
  <r>
    <n v="2619"/>
    <s v="MUJER"/>
    <n v="2128000"/>
    <x v="0"/>
    <x v="1"/>
    <s v="SI"/>
    <s v="NO"/>
    <s v="NO"/>
    <n v="37"/>
    <n v="0.35143633752697023"/>
    <s v="No"/>
    <n v="0.34024255002666254"/>
    <s v="No"/>
    <n v="2128000"/>
    <n v="37"/>
    <x v="0"/>
  </r>
  <r>
    <n v="2620"/>
    <s v="HOMBRE"/>
    <n v="6084143"/>
    <x v="0"/>
    <x v="0"/>
    <s v="SI"/>
    <s v="NO"/>
    <s v="NO"/>
    <n v="38"/>
    <n v="0.28086100744983278"/>
    <s v="No"/>
    <n v="0.27440953781706501"/>
    <s v="No"/>
    <n v="6084143"/>
    <n v="38"/>
    <x v="0"/>
  </r>
  <r>
    <n v="2621"/>
    <s v="HOMBRE"/>
    <n v="297046"/>
    <x v="3"/>
    <x v="1"/>
    <s v="SI"/>
    <s v="NO"/>
    <s v="SI"/>
    <n v="33"/>
    <n v="0.63373765783552027"/>
    <s v="No"/>
    <n v="0.37071091707942361"/>
    <s v="No"/>
    <n v="297046"/>
    <n v="33"/>
    <x v="3"/>
  </r>
  <r>
    <n v="2622"/>
    <s v="HOMBRE"/>
    <n v="297056"/>
    <x v="3"/>
    <x v="1"/>
    <s v="SI"/>
    <s v="NO"/>
    <s v="NO"/>
    <n v="76"/>
    <n v="2.4010015354813925"/>
    <s v="Sí"/>
    <n v="0.37071075067236448"/>
    <s v="No"/>
    <n v="297056"/>
    <n v="76"/>
    <x v="3"/>
  </r>
  <r>
    <n v="2623"/>
    <s v="MUJER"/>
    <n v="60000"/>
    <x v="0"/>
    <x v="1"/>
    <s v="SI"/>
    <s v="SI"/>
    <s v="NO"/>
    <n v="35"/>
    <n v="0.49258699768124525"/>
    <s v="No"/>
    <n v="0.37465552985308626"/>
    <s v="No"/>
    <n v="60000"/>
    <n v="35"/>
    <x v="0"/>
  </r>
  <r>
    <n v="2624"/>
    <s v="HOMBRE"/>
    <n v="51223488"/>
    <x v="0"/>
    <x v="1"/>
    <s v="SI"/>
    <s v="NO"/>
    <s v="NO"/>
    <n v="28"/>
    <n v="0.98661430822120777"/>
    <s v="No"/>
    <n v="0.47674102739714302"/>
    <s v="No"/>
    <n v="51223488"/>
    <n v="28"/>
    <x v="0"/>
  </r>
  <r>
    <n v="2625"/>
    <s v="HOMBRE"/>
    <n v="84231004"/>
    <x v="0"/>
    <x v="1"/>
    <s v="SI"/>
    <s v="NO"/>
    <s v="NO"/>
    <n v="43"/>
    <n v="7.2015642935854773E-2"/>
    <s v="No"/>
    <n v="1.0260093940452859"/>
    <s v="No"/>
    <n v="84231004"/>
    <n v="43"/>
    <x v="0"/>
  </r>
  <r>
    <n v="2626"/>
    <s v="MUJER"/>
    <n v="378558"/>
    <x v="0"/>
    <x v="0"/>
    <s v="SI"/>
    <s v="NO"/>
    <s v="SI"/>
    <n v="34"/>
    <n v="0.56316232775838282"/>
    <s v="No"/>
    <n v="0.36935449985910856"/>
    <s v="No"/>
    <n v="378558"/>
    <n v="34"/>
    <x v="0"/>
  </r>
  <r>
    <n v="2627"/>
    <s v="HOMBRE"/>
    <n v="290000"/>
    <x v="0"/>
    <x v="1"/>
    <s v="SI"/>
    <s v="NO"/>
    <s v="NO"/>
    <n v="38"/>
    <n v="0.28086100744983278"/>
    <s v="No"/>
    <n v="0.3708281674932809"/>
    <s v="No"/>
    <n v="290000"/>
    <n v="38"/>
    <x v="0"/>
  </r>
  <r>
    <n v="2628"/>
    <s v="HOMBRE"/>
    <n v="278030"/>
    <x v="4"/>
    <x v="1"/>
    <s v="SI"/>
    <s v="NO"/>
    <s v="NO"/>
    <n v="43"/>
    <n v="7.2015642935854773E-2"/>
    <s v="No"/>
    <n v="0.37102735674304993"/>
    <s v="No"/>
    <n v="278030"/>
    <n v="43"/>
    <x v="4"/>
  </r>
  <r>
    <n v="2629"/>
    <s v="HOMBRE"/>
    <n v="634725"/>
    <x v="0"/>
    <x v="1"/>
    <s v="SI"/>
    <s v="NO"/>
    <s v="NO"/>
    <n v="34"/>
    <n v="0.56316232775838282"/>
    <s v="No"/>
    <n v="0.36509170014769876"/>
    <s v="No"/>
    <n v="634725"/>
    <n v="34"/>
    <x v="0"/>
  </r>
  <r>
    <n v="2630"/>
    <s v="HOMBRE"/>
    <n v="4709745"/>
    <x v="0"/>
    <x v="1"/>
    <s v="SI"/>
    <s v="NO"/>
    <s v="NO"/>
    <n v="36"/>
    <n v="0.42201166760410774"/>
    <s v="No"/>
    <n v="0.29728049074137702"/>
    <s v="No"/>
    <n v="4709745"/>
    <n v="36"/>
    <x v="0"/>
  </r>
  <r>
    <n v="2631"/>
    <s v="HOMBRE"/>
    <n v="5505905"/>
    <x v="0"/>
    <x v="0"/>
    <s v="SI"/>
    <s v="NO"/>
    <s v="NO"/>
    <n v="24"/>
    <n v="1.2689156285297578"/>
    <s v="No"/>
    <n v="0.2840318263223221"/>
    <s v="No"/>
    <n v="5505905"/>
    <n v="24"/>
    <x v="0"/>
  </r>
  <r>
    <n v="2632"/>
    <s v="HOMBRE"/>
    <n v="278030"/>
    <x v="4"/>
    <x v="1"/>
    <s v="SI"/>
    <s v="NO"/>
    <s v="NO"/>
    <n v="37"/>
    <n v="0.35143633752697023"/>
    <s v="No"/>
    <n v="0.37102735674304993"/>
    <s v="No"/>
    <n v="278030"/>
    <n v="37"/>
    <x v="4"/>
  </r>
  <r>
    <n v="2633"/>
    <s v="MUJER"/>
    <n v="278030"/>
    <x v="2"/>
    <x v="1"/>
    <s v="SI"/>
    <s v="SI"/>
    <s v="NO"/>
    <n v="25"/>
    <n v="1.1983402984526204"/>
    <s v="No"/>
    <n v="0.37102735674304993"/>
    <s v="No"/>
    <n v="278030"/>
    <n v="25"/>
    <x v="2"/>
  </r>
  <r>
    <n v="2634"/>
    <s v="HOMBRE"/>
    <n v="369875"/>
    <x v="0"/>
    <x v="1"/>
    <s v="SI"/>
    <s v="NO"/>
    <s v="NO"/>
    <n v="28"/>
    <n v="0.98661430822120777"/>
    <s v="No"/>
    <n v="0.36949899110854417"/>
    <s v="No"/>
    <n v="369875"/>
    <n v="28"/>
    <x v="0"/>
  </r>
  <r>
    <n v="2635"/>
    <s v="MUJER"/>
    <n v="386020"/>
    <x v="0"/>
    <x v="1"/>
    <s v="SI"/>
    <s v="NO"/>
    <s v="NO"/>
    <n v="59"/>
    <n v="1.2012209241700549"/>
    <s v="No"/>
    <n v="0.36923032691159174"/>
    <s v="No"/>
    <n v="386020"/>
    <n v="59"/>
    <x v="0"/>
  </r>
  <r>
    <n v="2636"/>
    <s v="MUJER"/>
    <n v="539036"/>
    <x v="0"/>
    <x v="0"/>
    <s v="SI"/>
    <s v="NO"/>
    <s v="NO"/>
    <n v="32"/>
    <n v="0.70431298791265773"/>
    <s v="No"/>
    <n v="0.36668403265573096"/>
    <s v="No"/>
    <n v="539036"/>
    <n v="32"/>
    <x v="0"/>
  </r>
  <r>
    <n v="2637"/>
    <s v="HOMBRE"/>
    <n v="623700"/>
    <x v="0"/>
    <x v="1"/>
    <s v="SI"/>
    <s v="NO"/>
    <s v="NO"/>
    <n v="35"/>
    <n v="0.49258699768124525"/>
    <s v="No"/>
    <n v="0.36527516393038073"/>
    <s v="No"/>
    <n v="623700"/>
    <n v="35"/>
    <x v="0"/>
  </r>
  <r>
    <n v="2638"/>
    <s v="HOMBRE"/>
    <n v="302470"/>
    <x v="2"/>
    <x v="1"/>
    <s v="SI"/>
    <s v="NO"/>
    <s v="NO"/>
    <n v="29"/>
    <n v="0.91603897814407031"/>
    <s v="No"/>
    <n v="0.37062065789055582"/>
    <s v="No"/>
    <n v="302470"/>
    <n v="29"/>
    <x v="2"/>
  </r>
  <r>
    <n v="2639"/>
    <s v="MUJER"/>
    <n v="8175747"/>
    <x v="0"/>
    <x v="1"/>
    <s v="SI"/>
    <s v="NO"/>
    <s v="NO"/>
    <n v="22"/>
    <n v="1.4100662886840327"/>
    <s v="No"/>
    <n v="0.23960377076828976"/>
    <s v="No"/>
    <n v="8175747"/>
    <n v="22"/>
    <x v="0"/>
  </r>
  <r>
    <n v="2640"/>
    <s v="HOMBRE"/>
    <n v="70376613"/>
    <x v="0"/>
    <x v="1"/>
    <s v="SI"/>
    <s v="NO"/>
    <s v="NO"/>
    <n v="45"/>
    <n v="0.21316630309012977"/>
    <s v="No"/>
    <n v="0.79546254782169457"/>
    <s v="No"/>
    <n v="70376613"/>
    <n v="45"/>
    <x v="0"/>
  </r>
  <r>
    <n v="2641"/>
    <s v="HOMBRE"/>
    <n v="361421"/>
    <x v="3"/>
    <x v="1"/>
    <s v="SI"/>
    <s v="NO"/>
    <s v="NO"/>
    <n v="51"/>
    <n v="0.6366182835529548"/>
    <s v="No"/>
    <n v="0.36963967163632588"/>
    <s v="No"/>
    <n v="361421"/>
    <n v="51"/>
    <x v="3"/>
  </r>
  <r>
    <n v="2642"/>
    <s v="MUJER"/>
    <n v="33072257"/>
    <x v="0"/>
    <x v="1"/>
    <s v="SI"/>
    <s v="NO"/>
    <s v="NO"/>
    <n v="37"/>
    <n v="0.35143633752697023"/>
    <s v="No"/>
    <n v="0.17469173038178637"/>
    <s v="No"/>
    <n v="33072257"/>
    <n v="37"/>
    <x v="0"/>
  </r>
  <r>
    <n v="2643"/>
    <s v="HOMBRE"/>
    <n v="291514"/>
    <x v="3"/>
    <x v="1"/>
    <s v="SI"/>
    <s v="NO"/>
    <s v="SI"/>
    <n v="28"/>
    <n v="0.98661430822120777"/>
    <s v="No"/>
    <n v="0.37080297346452984"/>
    <s v="No"/>
    <n v="291514"/>
    <n v="28"/>
    <x v="3"/>
  </r>
  <r>
    <n v="2644"/>
    <s v="MUJER"/>
    <n v="199067"/>
    <x v="0"/>
    <x v="0"/>
    <s v="SI"/>
    <s v="NO"/>
    <s v="SI"/>
    <n v="25"/>
    <n v="1.1983402984526204"/>
    <s v="No"/>
    <n v="0.37234135680399477"/>
    <s v="No"/>
    <n v="199067"/>
    <n v="25"/>
    <x v="0"/>
  </r>
  <r>
    <n v="2645"/>
    <s v="HOMBRE"/>
    <n v="14615055"/>
    <x v="0"/>
    <x v="1"/>
    <s v="SI"/>
    <s v="NO"/>
    <s v="NO"/>
    <n v="46"/>
    <n v="0.2837416331672673"/>
    <s v="No"/>
    <n v="0.13244914006223119"/>
    <s v="No"/>
    <n v="14615055"/>
    <n v="46"/>
    <x v="0"/>
  </r>
  <r>
    <n v="2646"/>
    <s v="HOMBRE"/>
    <n v="74539294"/>
    <x v="0"/>
    <x v="1"/>
    <s v="SI"/>
    <s v="NO"/>
    <s v="NO"/>
    <n v="56"/>
    <n v="0.9894949339386423"/>
    <s v="No"/>
    <n v="0.86473249814898545"/>
    <s v="No"/>
    <n v="74539294"/>
    <n v="56"/>
    <x v="0"/>
  </r>
  <r>
    <n v="2647"/>
    <s v="HOMBRE"/>
    <n v="297046"/>
    <x v="3"/>
    <x v="1"/>
    <s v="NO"/>
    <s v="NO"/>
    <s v="NO"/>
    <n v="58"/>
    <n v="1.1306455940929174"/>
    <s v="No"/>
    <n v="0.37071091707942361"/>
    <s v="No"/>
    <n v="297046"/>
    <n v="58"/>
    <x v="3"/>
  </r>
  <r>
    <n v="2648"/>
    <s v="MUJER"/>
    <n v="2029604"/>
    <x v="1"/>
    <x v="0"/>
    <s v="SI"/>
    <s v="NO"/>
    <s v="NO"/>
    <n v="72"/>
    <n v="2.1187002151728422"/>
    <s v="Sí"/>
    <n v="0.34187992892559904"/>
    <s v="No"/>
    <n v="2029604"/>
    <n v="72"/>
    <x v="1"/>
  </r>
  <r>
    <n v="2649"/>
    <s v="MUJER"/>
    <n v="360000"/>
    <x v="0"/>
    <x v="1"/>
    <s v="SI"/>
    <s v="NO"/>
    <s v="NO"/>
    <n v="30"/>
    <n v="0.84546364806693275"/>
    <s v="No"/>
    <n v="0.36966331807942709"/>
    <s v="No"/>
    <n v="360000"/>
    <n v="30"/>
    <x v="0"/>
  </r>
  <r>
    <n v="2650"/>
    <s v="HOMBRE"/>
    <n v="300018"/>
    <x v="3"/>
    <x v="1"/>
    <s v="SI"/>
    <s v="NO"/>
    <s v="SI"/>
    <n v="62"/>
    <n v="1.4129469144014672"/>
    <s v="No"/>
    <n v="0.37066146090145252"/>
    <s v="No"/>
    <n v="300018"/>
    <n v="62"/>
    <x v="3"/>
  </r>
  <r>
    <n v="2651"/>
    <s v="MUJER"/>
    <n v="200000"/>
    <x v="0"/>
    <x v="1"/>
    <s v="SI"/>
    <s v="SI"/>
    <s v="SI"/>
    <n v="42"/>
    <n v="1.4403128587172659E-3"/>
    <s v="No"/>
    <n v="0.3723258310253787"/>
    <s v="No"/>
    <n v="200000"/>
    <n v="42"/>
    <x v="0"/>
  </r>
  <r>
    <n v="2652"/>
    <s v="MUJER"/>
    <n v="799000"/>
    <x v="0"/>
    <x v="1"/>
    <s v="SI"/>
    <s v="NO"/>
    <s v="SI"/>
    <n v="24"/>
    <n v="1.2689156285297578"/>
    <s v="No"/>
    <n v="0.36235804818397255"/>
    <s v="No"/>
    <n v="799000"/>
    <n v="24"/>
    <x v="0"/>
  </r>
  <r>
    <n v="2653"/>
    <s v="MUJER"/>
    <n v="39750445"/>
    <x v="0"/>
    <x v="1"/>
    <s v="SI"/>
    <s v="NO"/>
    <s v="NO"/>
    <n v="22"/>
    <n v="1.4100662886840327"/>
    <s v="No"/>
    <n v="0.28582149291615061"/>
    <s v="No"/>
    <n v="39750445"/>
    <n v="22"/>
    <x v="0"/>
  </r>
  <r>
    <n v="2654"/>
    <s v="MUJER"/>
    <n v="636889"/>
    <x v="3"/>
    <x v="1"/>
    <s v="SI"/>
    <s v="NO"/>
    <s v="NO"/>
    <n v="50"/>
    <n v="0.56604295347581735"/>
    <s v="No"/>
    <n v="0.36505568966010477"/>
    <s v="No"/>
    <n v="636889"/>
    <n v="50"/>
    <x v="3"/>
  </r>
  <r>
    <n v="2655"/>
    <s v="HOMBRE"/>
    <n v="360585"/>
    <x v="0"/>
    <x v="1"/>
    <s v="SI"/>
    <s v="NO"/>
    <s v="NO"/>
    <n v="48"/>
    <n v="0.42489229332154227"/>
    <s v="No"/>
    <n v="0.36965358326646847"/>
    <s v="No"/>
    <n v="360585"/>
    <n v="48"/>
    <x v="0"/>
  </r>
  <r>
    <n v="2656"/>
    <s v="HOMBRE"/>
    <n v="639605"/>
    <x v="0"/>
    <x v="0"/>
    <s v="SI"/>
    <s v="NO"/>
    <s v="NO"/>
    <n v="45"/>
    <n v="0.21316630309012977"/>
    <s v="No"/>
    <n v="0.36501049350284726"/>
    <s v="No"/>
    <n v="639605"/>
    <n v="45"/>
    <x v="0"/>
  </r>
  <r>
    <n v="2657"/>
    <s v="MUJER"/>
    <n v="1644679"/>
    <x v="0"/>
    <x v="0"/>
    <s v="SI"/>
    <s v="NO"/>
    <s v="SI"/>
    <n v="36"/>
    <n v="0.42201166760410774"/>
    <s v="No"/>
    <n v="0.34828535264885158"/>
    <s v="No"/>
    <n v="1644679"/>
    <n v="36"/>
    <x v="0"/>
  </r>
  <r>
    <n v="2658"/>
    <s v="HOMBRE"/>
    <n v="42165026"/>
    <x v="0"/>
    <x v="1"/>
    <s v="SI"/>
    <s v="NO"/>
    <s v="NO"/>
    <n v="37"/>
    <n v="0.35143633752697023"/>
    <s v="No"/>
    <n v="0.3260018252383296"/>
    <s v="No"/>
    <n v="42165026"/>
    <n v="37"/>
    <x v="0"/>
  </r>
  <r>
    <n v="2659"/>
    <s v="HOMBRE"/>
    <n v="6785314"/>
    <x v="0"/>
    <x v="0"/>
    <s v="SI"/>
    <s v="NO"/>
    <s v="NO"/>
    <n v="48"/>
    <n v="0.42489229332154227"/>
    <s v="No"/>
    <n v="0.2627415574119038"/>
    <s v="No"/>
    <n v="6785314"/>
    <n v="48"/>
    <x v="0"/>
  </r>
  <r>
    <n v="2660"/>
    <s v="HOMBRE"/>
    <n v="17536776"/>
    <x v="0"/>
    <x v="1"/>
    <s v="SI"/>
    <s v="NO"/>
    <s v="NO"/>
    <n v="36"/>
    <n v="0.42201166760410774"/>
    <s v="No"/>
    <n v="8.3829640143740544E-2"/>
    <s v="No"/>
    <n v="17536776"/>
    <n v="36"/>
    <x v="0"/>
  </r>
  <r>
    <n v="2661"/>
    <s v="MUJER"/>
    <n v="52290695"/>
    <x v="0"/>
    <x v="1"/>
    <s v="SI"/>
    <s v="SI"/>
    <s v="NO"/>
    <n v="37"/>
    <n v="0.35143633752697023"/>
    <s v="No"/>
    <n v="0.49450010523158128"/>
    <s v="No"/>
    <n v="52290695"/>
    <n v="37"/>
    <x v="0"/>
  </r>
  <r>
    <n v="2662"/>
    <s v="HOMBRE"/>
    <n v="69925107"/>
    <x v="0"/>
    <x v="1"/>
    <s v="SI"/>
    <s v="NO"/>
    <s v="NO"/>
    <n v="24"/>
    <n v="1.2689156285297578"/>
    <s v="No"/>
    <n v="0.7879491692581021"/>
    <s v="No"/>
    <n v="69925107"/>
    <n v="24"/>
    <x v="0"/>
  </r>
  <r>
    <n v="2663"/>
    <s v="MUJER"/>
    <n v="23384277"/>
    <x v="0"/>
    <x v="1"/>
    <s v="SI"/>
    <s v="NO"/>
    <s v="NO"/>
    <n v="22"/>
    <n v="1.4100662886840327"/>
    <s v="No"/>
    <n v="1.3476904318538364E-2"/>
    <s v="No"/>
    <n v="23384277"/>
    <n v="22"/>
    <x v="0"/>
  </r>
  <r>
    <n v="2664"/>
    <s v="MUJER"/>
    <n v="297045"/>
    <x v="2"/>
    <x v="1"/>
    <s v="SI"/>
    <s v="SI"/>
    <s v="NO"/>
    <n v="52"/>
    <n v="0.70719361363009237"/>
    <s v="No"/>
    <n v="0.37071093372012948"/>
    <s v="No"/>
    <n v="297045"/>
    <n v="52"/>
    <x v="2"/>
  </r>
  <r>
    <n v="2665"/>
    <s v="HOMBRE"/>
    <n v="385165"/>
    <x v="3"/>
    <x v="1"/>
    <s v="SI"/>
    <s v="NO"/>
    <s v="SI"/>
    <n v="71"/>
    <n v="2.0481248850957048"/>
    <s v="Sí"/>
    <n v="0.36924455471514667"/>
    <s v="No"/>
    <n v="385165"/>
    <n v="71"/>
    <x v="3"/>
  </r>
  <r>
    <n v="2666"/>
    <s v="HOMBRE"/>
    <n v="40557335"/>
    <x v="0"/>
    <x v="1"/>
    <s v="SI"/>
    <s v="NO"/>
    <s v="NO"/>
    <n v="24"/>
    <n v="1.2689156285297578"/>
    <s v="No"/>
    <n v="0.29924871210964338"/>
    <s v="No"/>
    <n v="40557335"/>
    <n v="24"/>
    <x v="0"/>
  </r>
  <r>
    <n v="2667"/>
    <s v="HOMBRE"/>
    <n v="299441"/>
    <x v="3"/>
    <x v="1"/>
    <s v="SI"/>
    <s v="NO"/>
    <s v="NO"/>
    <n v="61"/>
    <n v="1.3423715843243298"/>
    <s v="No"/>
    <n v="0.37067106258876387"/>
    <s v="No"/>
    <n v="299441"/>
    <n v="61"/>
    <x v="3"/>
  </r>
  <r>
    <n v="2668"/>
    <s v="HOMBRE"/>
    <n v="410402"/>
    <x v="0"/>
    <x v="1"/>
    <s v="SI"/>
    <s v="NO"/>
    <s v="NO"/>
    <n v="45"/>
    <n v="0.21316630309012977"/>
    <s v="No"/>
    <n v="0.36882459322004058"/>
    <s v="No"/>
    <n v="410402"/>
    <n v="45"/>
    <x v="0"/>
  </r>
  <r>
    <n v="2669"/>
    <s v="HOMBRE"/>
    <n v="51611273"/>
    <x v="0"/>
    <x v="1"/>
    <s v="SI"/>
    <s v="NO"/>
    <s v="NO"/>
    <n v="27"/>
    <n v="1.0571896382983452"/>
    <s v="No"/>
    <n v="0.48319404353930445"/>
    <s v="No"/>
    <n v="51611273"/>
    <n v="27"/>
    <x v="0"/>
  </r>
  <r>
    <n v="2670"/>
    <s v="HOMBRE"/>
    <n v="35668625"/>
    <x v="0"/>
    <x v="1"/>
    <s v="SI"/>
    <s v="NO"/>
    <s v="NO"/>
    <n v="38"/>
    <n v="0.28086100744983278"/>
    <s v="No"/>
    <n v="0.21789712670962594"/>
    <s v="No"/>
    <n v="35668625"/>
    <n v="38"/>
    <x v="0"/>
  </r>
  <r>
    <n v="2671"/>
    <s v="MUJER"/>
    <n v="1794936"/>
    <x v="0"/>
    <x v="1"/>
    <s v="SI"/>
    <s v="NO"/>
    <s v="NO"/>
    <n v="29"/>
    <n v="0.91603897814407031"/>
    <s v="No"/>
    <n v="0.34578497010060255"/>
    <s v="No"/>
    <n v="1794936"/>
    <n v="29"/>
    <x v="0"/>
  </r>
  <r>
    <n v="2672"/>
    <s v="HOMBRE"/>
    <n v="6837165"/>
    <x v="0"/>
    <x v="0"/>
    <s v="SI"/>
    <s v="NO"/>
    <s v="NO"/>
    <n v="42"/>
    <n v="1.4403128587172659E-3"/>
    <s v="No"/>
    <n v="0.26187872016965047"/>
    <s v="No"/>
    <n v="6837165"/>
    <n v="42"/>
    <x v="0"/>
  </r>
  <r>
    <n v="2673"/>
    <s v="HOMBRE"/>
    <n v="186718"/>
    <x v="0"/>
    <x v="1"/>
    <s v="SI"/>
    <s v="NO"/>
    <s v="NO"/>
    <n v="31"/>
    <n v="0.77488831798979529"/>
    <s v="No"/>
    <n v="0.37254685288130446"/>
    <s v="No"/>
    <n v="186718"/>
    <n v="31"/>
    <x v="0"/>
  </r>
  <r>
    <n v="2674"/>
    <s v="HOMBRE"/>
    <n v="39960316"/>
    <x v="0"/>
    <x v="1"/>
    <s v="SI"/>
    <s v="NO"/>
    <s v="NO"/>
    <n v="43"/>
    <n v="7.2015642935854773E-2"/>
    <s v="No"/>
    <n v="0.28931389450664935"/>
    <s v="No"/>
    <n v="39960316"/>
    <n v="43"/>
    <x v="0"/>
  </r>
  <r>
    <n v="2675"/>
    <s v="MUJER"/>
    <n v="35482298"/>
    <x v="1"/>
    <x v="0"/>
    <s v="SI"/>
    <s v="NO"/>
    <s v="NO"/>
    <n v="75"/>
    <n v="2.330426205404255"/>
    <s v="Sí"/>
    <n v="0.21479651389912396"/>
    <s v="No"/>
    <n v="35482298"/>
    <n v="75"/>
    <x v="1"/>
  </r>
  <r>
    <n v="2676"/>
    <s v="MUJER"/>
    <n v="4258296"/>
    <x v="0"/>
    <x v="1"/>
    <s v="SI"/>
    <s v="NO"/>
    <s v="NO"/>
    <n v="19"/>
    <n v="1.6217922789154453"/>
    <s v="No"/>
    <n v="0.30479292078473252"/>
    <s v="No"/>
    <n v="4258296"/>
    <n v="19"/>
    <x v="0"/>
  </r>
  <r>
    <n v="2677"/>
    <s v="HOMBRE"/>
    <n v="452229"/>
    <x v="3"/>
    <x v="1"/>
    <s v="SI"/>
    <s v="NO"/>
    <s v="NO"/>
    <n v="34"/>
    <n v="0.56316232775838282"/>
    <s v="No"/>
    <n v="0.36812856241385111"/>
    <s v="No"/>
    <n v="452229"/>
    <n v="34"/>
    <x v="3"/>
  </r>
  <r>
    <n v="2678"/>
    <s v="HOMBRE"/>
    <n v="315605"/>
    <x v="2"/>
    <x v="1"/>
    <s v="SI"/>
    <s v="NO"/>
    <s v="NO"/>
    <n v="58"/>
    <n v="1.1306455940929174"/>
    <s v="No"/>
    <n v="0.3704020822183991"/>
    <s v="No"/>
    <n v="315605"/>
    <n v="58"/>
    <x v="2"/>
  </r>
  <r>
    <n v="2679"/>
    <s v="MUJER"/>
    <n v="7492353"/>
    <x v="0"/>
    <x v="1"/>
    <s v="SI"/>
    <s v="NO"/>
    <s v="NO"/>
    <n v="40"/>
    <n v="0.13971034729555773"/>
    <s v="No"/>
    <n v="0.25097592934444984"/>
    <s v="No"/>
    <n v="7492353"/>
    <n v="40"/>
    <x v="0"/>
  </r>
  <r>
    <n v="2680"/>
    <s v="HOMBRE"/>
    <n v="36649532"/>
    <x v="0"/>
    <x v="1"/>
    <s v="SI"/>
    <s v="NO"/>
    <s v="NO"/>
    <n v="22"/>
    <n v="1.4100662886840327"/>
    <s v="No"/>
    <n v="0.23422011162384154"/>
    <s v="No"/>
    <n v="36649532"/>
    <n v="22"/>
    <x v="0"/>
  </r>
  <r>
    <n v="2681"/>
    <s v="HOMBRE"/>
    <n v="80000"/>
    <x v="0"/>
    <x v="1"/>
    <s v="SI"/>
    <s v="SI"/>
    <s v="NO"/>
    <n v="21"/>
    <n v="1.4806416187611704"/>
    <s v="No"/>
    <n v="0.37432271573484233"/>
    <s v="No"/>
    <n v="80000"/>
    <n v="21"/>
    <x v="0"/>
  </r>
  <r>
    <n v="2682"/>
    <s v="HOMBRE"/>
    <n v="31696469"/>
    <x v="0"/>
    <x v="1"/>
    <s v="SI"/>
    <s v="NO"/>
    <s v="NO"/>
    <n v="20"/>
    <n v="1.5512169488383079"/>
    <s v="No"/>
    <n v="0.15179764687625644"/>
    <s v="No"/>
    <n v="31696469"/>
    <n v="20"/>
    <x v="0"/>
  </r>
  <r>
    <n v="2683"/>
    <s v="MUJER"/>
    <n v="370500"/>
    <x v="0"/>
    <x v="1"/>
    <s v="SI"/>
    <s v="NO"/>
    <s v="NO"/>
    <n v="28"/>
    <n v="0.98661430822120777"/>
    <s v="No"/>
    <n v="0.36948859066734907"/>
    <s v="No"/>
    <n v="370500"/>
    <n v="28"/>
    <x v="0"/>
  </r>
  <r>
    <n v="2684"/>
    <s v="HOMBRE"/>
    <n v="10817096"/>
    <x v="0"/>
    <x v="0"/>
    <s v="SI"/>
    <s v="NO"/>
    <s v="NO"/>
    <n v="59"/>
    <n v="1.2012209241700549"/>
    <s v="No"/>
    <n v="0.19564985884781366"/>
    <s v="No"/>
    <n v="10817096"/>
    <n v="59"/>
    <x v="0"/>
  </r>
  <r>
    <n v="2685"/>
    <s v="MUJER"/>
    <n v="6984267"/>
    <x v="0"/>
    <x v="0"/>
    <s v="SI"/>
    <s v="NO"/>
    <s v="NO"/>
    <n v="35"/>
    <n v="0.49258699768124525"/>
    <s v="No"/>
    <n v="0.25943083904855446"/>
    <s v="No"/>
    <n v="6984267"/>
    <n v="35"/>
    <x v="0"/>
  </r>
  <r>
    <n v="2686"/>
    <s v="HOMBRE"/>
    <n v="431290"/>
    <x v="0"/>
    <x v="1"/>
    <s v="SI"/>
    <s v="NO"/>
    <s v="NO"/>
    <n v="60"/>
    <n v="1.2717962542471923"/>
    <s v="No"/>
    <n v="0.36847700215494661"/>
    <s v="No"/>
    <n v="431290"/>
    <n v="60"/>
    <x v="0"/>
  </r>
  <r>
    <n v="2687"/>
    <s v="HOMBRE"/>
    <n v="297045"/>
    <x v="2"/>
    <x v="1"/>
    <s v="SI"/>
    <s v="NO"/>
    <s v="NO"/>
    <n v="51"/>
    <n v="0.6366182835529548"/>
    <s v="No"/>
    <n v="0.37071093372012948"/>
    <s v="No"/>
    <n v="297045"/>
    <n v="51"/>
    <x v="2"/>
  </r>
  <r>
    <n v="2688"/>
    <s v="HOMBRE"/>
    <n v="610312"/>
    <x v="0"/>
    <x v="1"/>
    <s v="SI"/>
    <s v="NO"/>
    <s v="NO"/>
    <n v="33"/>
    <n v="0.63373765783552027"/>
    <s v="No"/>
    <n v="0.3654979497011332"/>
    <s v="No"/>
    <n v="610312"/>
    <n v="33"/>
    <x v="0"/>
  </r>
  <r>
    <n v="2689"/>
    <s v="MUJER"/>
    <n v="550022"/>
    <x v="0"/>
    <x v="1"/>
    <s v="SI"/>
    <s v="SI"/>
    <s v="NO"/>
    <n v="29"/>
    <n v="0.91603897814407031"/>
    <s v="No"/>
    <n v="0.3665012178605796"/>
    <s v="No"/>
    <n v="550022"/>
    <n v="29"/>
    <x v="0"/>
  </r>
  <r>
    <n v="2690"/>
    <s v="MUJER"/>
    <n v="1264065"/>
    <x v="0"/>
    <x v="0"/>
    <s v="SI"/>
    <s v="NO"/>
    <s v="NO"/>
    <n v="49"/>
    <n v="0.49546762339867978"/>
    <s v="No"/>
    <n v="0.35461903828891655"/>
    <s v="No"/>
    <n v="1264065"/>
    <n v="49"/>
    <x v="0"/>
  </r>
  <r>
    <n v="2691"/>
    <s v="MUJER"/>
    <n v="9119825"/>
    <x v="0"/>
    <x v="0"/>
    <s v="SI"/>
    <s v="NO"/>
    <s v="NO"/>
    <n v="29"/>
    <n v="0.91603897814407031"/>
    <s v="No"/>
    <n v="0.22389364641211448"/>
    <s v="No"/>
    <n v="9119825"/>
    <n v="29"/>
    <x v="0"/>
  </r>
  <r>
    <n v="2692"/>
    <s v="HOMBRE"/>
    <n v="40800"/>
    <x v="0"/>
    <x v="1"/>
    <s v="SI"/>
    <s v="NO"/>
    <s v="NO"/>
    <n v="25"/>
    <n v="1.1983402984526204"/>
    <s v="No"/>
    <n v="0.37497503140660043"/>
    <s v="No"/>
    <n v="40800"/>
    <n v="25"/>
    <x v="0"/>
  </r>
  <r>
    <n v="2693"/>
    <s v="HOMBRE"/>
    <n v="278030"/>
    <x v="4"/>
    <x v="1"/>
    <s v="SI"/>
    <s v="NO"/>
    <s v="NO"/>
    <n v="35"/>
    <n v="0.49258699768124525"/>
    <s v="No"/>
    <n v="0.37102735674304993"/>
    <s v="No"/>
    <n v="278030"/>
    <n v="35"/>
    <x v="4"/>
  </r>
  <r>
    <n v="2694"/>
    <s v="MUJER"/>
    <n v="439474"/>
    <x v="0"/>
    <x v="0"/>
    <s v="SI"/>
    <s v="NO"/>
    <s v="SI"/>
    <n v="57"/>
    <n v="1.0600702640157798"/>
    <s v="No"/>
    <n v="0.36834081461776114"/>
    <s v="No"/>
    <n v="439474"/>
    <n v="57"/>
    <x v="0"/>
  </r>
  <r>
    <n v="2695"/>
    <s v="HOMBRE"/>
    <n v="3500000"/>
    <x v="0"/>
    <x v="1"/>
    <s v="SI"/>
    <s v="NO"/>
    <s v="NO"/>
    <n v="60"/>
    <n v="1.2717962542471923"/>
    <s v="No"/>
    <n v="0.31741150151512798"/>
    <s v="No"/>
    <n v="3500000"/>
    <n v="60"/>
    <x v="0"/>
  </r>
  <r>
    <n v="2696"/>
    <s v="HOMBRE"/>
    <n v="517500"/>
    <x v="0"/>
    <x v="1"/>
    <s v="SI"/>
    <s v="NO"/>
    <s v="NO"/>
    <n v="31"/>
    <n v="0.77488831798979529"/>
    <s v="No"/>
    <n v="0.36704240689825607"/>
    <s v="No"/>
    <n v="517500"/>
    <n v="31"/>
    <x v="0"/>
  </r>
  <r>
    <n v="2697"/>
    <s v="MUJER"/>
    <n v="376000"/>
    <x v="0"/>
    <x v="1"/>
    <s v="SI"/>
    <s v="NO"/>
    <s v="NO"/>
    <n v="32"/>
    <n v="0.70431298791265773"/>
    <s v="No"/>
    <n v="0.36939706678483197"/>
    <s v="No"/>
    <n v="376000"/>
    <n v="32"/>
    <x v="0"/>
  </r>
  <r>
    <n v="2698"/>
    <s v="HOMBRE"/>
    <n v="297230"/>
    <x v="0"/>
    <x v="1"/>
    <s v="SI"/>
    <s v="NO"/>
    <s v="NO"/>
    <n v="24"/>
    <n v="1.2689156285297578"/>
    <s v="No"/>
    <n v="0.37070785518953575"/>
    <s v="No"/>
    <n v="297230"/>
    <n v="24"/>
    <x v="0"/>
  </r>
  <r>
    <n v="2699"/>
    <s v="MUJER"/>
    <n v="300000"/>
    <x v="0"/>
    <x v="1"/>
    <s v="SI"/>
    <s v="NO"/>
    <s v="NO"/>
    <n v="32"/>
    <n v="0.70431298791265773"/>
    <s v="No"/>
    <n v="0.37066176043415894"/>
    <s v="No"/>
    <n v="300000"/>
    <n v="32"/>
    <x v="0"/>
  </r>
  <r>
    <n v="2700"/>
    <s v="MUJER"/>
    <n v="4301039"/>
    <x v="0"/>
    <x v="1"/>
    <s v="SI"/>
    <s v="NO"/>
    <s v="NO"/>
    <n v="22"/>
    <n v="1.4100662886840327"/>
    <s v="No"/>
    <n v="0.30408164709192748"/>
    <s v="No"/>
    <n v="4301039"/>
    <n v="22"/>
    <x v="0"/>
  </r>
  <r>
    <n v="2701"/>
    <s v="HOMBRE"/>
    <n v="858401"/>
    <x v="0"/>
    <x v="1"/>
    <s v="SI"/>
    <s v="NO"/>
    <s v="NO"/>
    <n v="32"/>
    <n v="0.70431298791265773"/>
    <s v="No"/>
    <n v="0.36136957361208216"/>
    <s v="No"/>
    <n v="858401"/>
    <n v="32"/>
    <x v="0"/>
  </r>
  <r>
    <n v="2702"/>
    <s v="MUJER"/>
    <n v="1452304"/>
    <x v="1"/>
    <x v="0"/>
    <s v="SI"/>
    <s v="NO"/>
    <s v="NO"/>
    <n v="60"/>
    <n v="1.2717962542471923"/>
    <s v="No"/>
    <n v="0.35148660844871049"/>
    <s v="No"/>
    <n v="1452304"/>
    <n v="60"/>
    <x v="1"/>
  </r>
  <r>
    <n v="2703"/>
    <s v="MUJER"/>
    <n v="358838"/>
    <x v="0"/>
    <x v="0"/>
    <s v="SI"/>
    <s v="NO"/>
    <s v="NO"/>
    <n v="38"/>
    <n v="0.28086100744983278"/>
    <s v="No"/>
    <n v="0.36968265457969707"/>
    <s v="No"/>
    <n v="358838"/>
    <n v="38"/>
    <x v="0"/>
  </r>
  <r>
    <n v="2704"/>
    <s v="HOMBRE"/>
    <n v="35690347"/>
    <x v="0"/>
    <x v="1"/>
    <s v="SI"/>
    <s v="NO"/>
    <s v="NO"/>
    <n v="49"/>
    <n v="0.49546762339867978"/>
    <s v="No"/>
    <n v="0.21825859612345069"/>
    <s v="No"/>
    <n v="35690347"/>
    <n v="49"/>
    <x v="0"/>
  </r>
  <r>
    <n v="2705"/>
    <s v="HOMBRE"/>
    <n v="300018"/>
    <x v="3"/>
    <x v="1"/>
    <s v="SI"/>
    <s v="NO"/>
    <s v="NO"/>
    <n v="39"/>
    <n v="0.21028567737269524"/>
    <s v="No"/>
    <n v="0.37066146090145252"/>
    <s v="No"/>
    <n v="300018"/>
    <n v="39"/>
    <x v="3"/>
  </r>
  <r>
    <n v="2706"/>
    <s v="MUJER"/>
    <n v="10619465"/>
    <x v="0"/>
    <x v="0"/>
    <s v="SI"/>
    <s v="NO"/>
    <s v="NO"/>
    <n v="29"/>
    <n v="0.91603897814407031"/>
    <s v="No"/>
    <n v="0.19893857819794711"/>
    <s v="No"/>
    <n v="10619465"/>
    <n v="29"/>
    <x v="0"/>
  </r>
  <r>
    <n v="2707"/>
    <s v="HOMBRE"/>
    <n v="79597532"/>
    <x v="0"/>
    <x v="0"/>
    <s v="SI"/>
    <s v="NO"/>
    <s v="NO"/>
    <n v="38"/>
    <n v="0.28086100744983278"/>
    <s v="No"/>
    <n v="0.94890514914088586"/>
    <s v="No"/>
    <n v="79597532"/>
    <n v="38"/>
    <x v="0"/>
  </r>
  <r>
    <n v="2708"/>
    <s v="HOMBRE"/>
    <n v="3852002"/>
    <x v="0"/>
    <x v="1"/>
    <s v="SI"/>
    <s v="NO"/>
    <s v="NO"/>
    <n v="27"/>
    <n v="1.0571896382983452"/>
    <s v="No"/>
    <n v="0.31155393975262274"/>
    <s v="No"/>
    <n v="3852002"/>
    <n v="27"/>
    <x v="0"/>
  </r>
  <r>
    <n v="2709"/>
    <s v="HOMBRE"/>
    <n v="507944"/>
    <x v="3"/>
    <x v="1"/>
    <s v="SI"/>
    <s v="SI"/>
    <s v="SI"/>
    <n v="54"/>
    <n v="0.84834427378436728"/>
    <s v="No"/>
    <n v="0.36720142548395301"/>
    <s v="No"/>
    <n v="507944"/>
    <n v="54"/>
    <x v="3"/>
  </r>
  <r>
    <n v="2710"/>
    <s v="HOMBRE"/>
    <n v="1196608"/>
    <x v="0"/>
    <x v="1"/>
    <s v="SI"/>
    <s v="NO"/>
    <s v="NO"/>
    <n v="33"/>
    <n v="0.63373765783552027"/>
    <s v="No"/>
    <n v="0.35574157038763565"/>
    <s v="No"/>
    <n v="1196608"/>
    <n v="33"/>
    <x v="0"/>
  </r>
  <r>
    <n v="2711"/>
    <s v="HOMBRE"/>
    <n v="38831575"/>
    <x v="0"/>
    <x v="1"/>
    <s v="SI"/>
    <s v="NO"/>
    <s v="NO"/>
    <n v="59"/>
    <n v="1.2012209241700549"/>
    <s v="No"/>
    <n v="0.27053084747460998"/>
    <s v="No"/>
    <n v="38831575"/>
    <n v="59"/>
    <x v="0"/>
  </r>
  <r>
    <n v="2712"/>
    <s v="MUJER"/>
    <n v="210952285"/>
    <x v="0"/>
    <x v="0"/>
    <s v="SI"/>
    <s v="NO"/>
    <s v="NO"/>
    <n v="45"/>
    <n v="0.21316630309012977"/>
    <s v="No"/>
    <n v="3.1347409639831856"/>
    <s v="Sí"/>
    <n v="210952285"/>
    <n v="45"/>
    <x v="0"/>
  </r>
  <r>
    <n v="2713"/>
    <s v="HOMBRE"/>
    <n v="297046"/>
    <x v="2"/>
    <x v="1"/>
    <s v="SI"/>
    <s v="SI"/>
    <s v="SI"/>
    <n v="46"/>
    <n v="0.2837416331672673"/>
    <s v="No"/>
    <n v="0.37071091707942361"/>
    <s v="No"/>
    <n v="297046"/>
    <n v="46"/>
    <x v="2"/>
  </r>
  <r>
    <n v="2714"/>
    <s v="HOMBRE"/>
    <n v="389232"/>
    <x v="0"/>
    <x v="1"/>
    <s v="SI"/>
    <s v="NO"/>
    <s v="NO"/>
    <n v="39"/>
    <n v="0.21028567737269524"/>
    <s v="No"/>
    <n v="0.36917687696420176"/>
    <s v="No"/>
    <n v="389232"/>
    <n v="39"/>
    <x v="0"/>
  </r>
  <r>
    <n v="2715"/>
    <s v="MUJER"/>
    <n v="746903"/>
    <x v="0"/>
    <x v="0"/>
    <s v="SI"/>
    <s v="NO"/>
    <s v="SI"/>
    <n v="31"/>
    <n v="0.77488831798979529"/>
    <s v="No"/>
    <n v="0.36322497903988032"/>
    <s v="No"/>
    <n v="746903"/>
    <n v="31"/>
    <x v="0"/>
  </r>
  <r>
    <n v="2716"/>
    <s v="HOMBRE"/>
    <n v="362250"/>
    <x v="0"/>
    <x v="1"/>
    <s v="SI"/>
    <s v="NO"/>
    <s v="NO"/>
    <n v="44"/>
    <n v="0.14259097301299228"/>
    <s v="No"/>
    <n v="0.36962587649112466"/>
    <s v="No"/>
    <n v="362250"/>
    <n v="44"/>
    <x v="0"/>
  </r>
  <r>
    <n v="2717"/>
    <s v="HOMBRE"/>
    <n v="278030"/>
    <x v="4"/>
    <x v="1"/>
    <s v="SI"/>
    <s v="NO"/>
    <s v="NO"/>
    <n v="30"/>
    <n v="0.84546364806693275"/>
    <s v="No"/>
    <n v="0.37102735674304993"/>
    <s v="No"/>
    <n v="278030"/>
    <n v="30"/>
    <x v="4"/>
  </r>
  <r>
    <n v="2718"/>
    <s v="MUJER"/>
    <n v="250000"/>
    <x v="0"/>
    <x v="1"/>
    <s v="SI"/>
    <s v="SI"/>
    <s v="SI"/>
    <n v="54"/>
    <n v="0.84834427378436728"/>
    <s v="No"/>
    <n v="0.37149379572976882"/>
    <s v="No"/>
    <n v="250000"/>
    <n v="54"/>
    <x v="0"/>
  </r>
  <r>
    <n v="2719"/>
    <s v="MUJER"/>
    <n v="297046"/>
    <x v="2"/>
    <x v="1"/>
    <s v="SI"/>
    <s v="SI"/>
    <s v="NO"/>
    <n v="44"/>
    <n v="0.14259097301299228"/>
    <s v="No"/>
    <n v="0.37071091707942361"/>
    <s v="No"/>
    <n v="297046"/>
    <n v="44"/>
    <x v="2"/>
  </r>
  <r>
    <n v="2720"/>
    <s v="MUJER"/>
    <n v="120000"/>
    <x v="0"/>
    <x v="1"/>
    <s v="SI"/>
    <s v="NO"/>
    <s v="SI"/>
    <n v="55"/>
    <n v="0.91891960386150484"/>
    <s v="No"/>
    <n v="0.37365708749835447"/>
    <s v="No"/>
    <n v="120000"/>
    <n v="55"/>
    <x v="0"/>
  </r>
  <r>
    <n v="2721"/>
    <s v="MUJER"/>
    <n v="315617"/>
    <x v="2"/>
    <x v="1"/>
    <s v="SI"/>
    <s v="NO"/>
    <s v="NO"/>
    <n v="65"/>
    <n v="1.6246729046328798"/>
    <s v="No"/>
    <n v="0.37040188252992817"/>
    <s v="No"/>
    <n v="315617"/>
    <n v="65"/>
    <x v="2"/>
  </r>
  <r>
    <n v="2722"/>
    <s v="HOMBRE"/>
    <n v="103418315"/>
    <x v="0"/>
    <x v="1"/>
    <s v="SI"/>
    <s v="NO"/>
    <s v="NO"/>
    <n v="28"/>
    <n v="0.98661430822120777"/>
    <s v="No"/>
    <n v="1.3452997936421518"/>
    <s v="No"/>
    <n v="103418315"/>
    <n v="28"/>
    <x v="0"/>
  </r>
  <r>
    <n v="2723"/>
    <s v="HOMBRE"/>
    <n v="48402245"/>
    <x v="0"/>
    <x v="1"/>
    <s v="SI"/>
    <s v="NO"/>
    <s v="NO"/>
    <n v="42"/>
    <n v="1.4403128587172659E-3"/>
    <s v="No"/>
    <n v="0.42979355232729816"/>
    <s v="No"/>
    <n v="48402245"/>
    <n v="42"/>
    <x v="0"/>
  </r>
  <r>
    <n v="2724"/>
    <s v="MUJER"/>
    <n v="200000"/>
    <x v="0"/>
    <x v="1"/>
    <s v="SI"/>
    <s v="SI"/>
    <s v="NO"/>
    <n v="53"/>
    <n v="0.77776894370722982"/>
    <s v="No"/>
    <n v="0.3723258310253787"/>
    <s v="No"/>
    <n v="200000"/>
    <n v="53"/>
    <x v="0"/>
  </r>
  <r>
    <n v="2725"/>
    <s v="HOMBRE"/>
    <n v="594092"/>
    <x v="3"/>
    <x v="1"/>
    <s v="SI"/>
    <s v="NO"/>
    <s v="SI"/>
    <n v="67"/>
    <n v="1.765823564787155"/>
    <s v="No"/>
    <n v="0.36576786195102906"/>
    <s v="No"/>
    <n v="594092"/>
    <n v="67"/>
    <x v="3"/>
  </r>
  <r>
    <n v="2726"/>
    <s v="HOMBRE"/>
    <n v="50195024"/>
    <x v="0"/>
    <x v="1"/>
    <s v="SI"/>
    <s v="NO"/>
    <s v="NO"/>
    <n v="46"/>
    <n v="0.2837416331672673"/>
    <s v="No"/>
    <n v="0.45962666043186107"/>
    <s v="No"/>
    <n v="50195024"/>
    <n v="46"/>
    <x v="0"/>
  </r>
  <r>
    <n v="2727"/>
    <s v="HOMBRE"/>
    <n v="297046"/>
    <x v="2"/>
    <x v="1"/>
    <s v="SI"/>
    <s v="NO"/>
    <s v="NO"/>
    <n v="46"/>
    <n v="0.2837416331672673"/>
    <s v="No"/>
    <n v="0.37071091707942361"/>
    <s v="No"/>
    <n v="297046"/>
    <n v="46"/>
    <x v="2"/>
  </r>
  <r>
    <n v="2728"/>
    <s v="HOMBRE"/>
    <n v="360061"/>
    <x v="0"/>
    <x v="1"/>
    <s v="SI"/>
    <s v="NO"/>
    <s v="NO"/>
    <n v="32"/>
    <n v="0.70431298791265773"/>
    <s v="No"/>
    <n v="0.36966230299636649"/>
    <s v="No"/>
    <n v="360061"/>
    <n v="32"/>
    <x v="0"/>
  </r>
  <r>
    <n v="2729"/>
    <s v="MUJER"/>
    <n v="350325"/>
    <x v="0"/>
    <x v="1"/>
    <s v="SI"/>
    <s v="NO"/>
    <s v="NO"/>
    <n v="27"/>
    <n v="1.0571896382983452"/>
    <s v="No"/>
    <n v="0.36982431690912765"/>
    <s v="No"/>
    <n v="350325"/>
    <n v="27"/>
    <x v="0"/>
  </r>
  <r>
    <n v="2730"/>
    <s v="HOMBRE"/>
    <n v="68780261"/>
    <x v="0"/>
    <x v="1"/>
    <s v="SI"/>
    <s v="SI"/>
    <s v="NO"/>
    <n v="47"/>
    <n v="0.35431696324440481"/>
    <s v="No"/>
    <n v="0.76889812365734678"/>
    <s v="No"/>
    <n v="68780261"/>
    <n v="47"/>
    <x v="0"/>
  </r>
  <r>
    <n v="2731"/>
    <s v="MUJER"/>
    <n v="300000"/>
    <x v="0"/>
    <x v="1"/>
    <s v="SI"/>
    <s v="NO"/>
    <s v="NO"/>
    <n v="43"/>
    <n v="7.2015642935854773E-2"/>
    <s v="No"/>
    <n v="0.37066176043415894"/>
    <s v="No"/>
    <n v="300000"/>
    <n v="43"/>
    <x v="0"/>
  </r>
  <r>
    <n v="2732"/>
    <s v="HOMBRE"/>
    <n v="4735279"/>
    <x v="0"/>
    <x v="1"/>
    <s v="SI"/>
    <s v="NO"/>
    <s v="NO"/>
    <n v="29"/>
    <n v="0.91603897814407031"/>
    <s v="No"/>
    <n v="0.29685558695661496"/>
    <s v="No"/>
    <n v="4735279"/>
    <n v="29"/>
    <x v="0"/>
  </r>
  <r>
    <n v="2733"/>
    <s v="HOMBRE"/>
    <n v="404467"/>
    <x v="2"/>
    <x v="1"/>
    <s v="SI"/>
    <s v="NO"/>
    <s v="NO"/>
    <n v="62"/>
    <n v="1.4129469144014672"/>
    <s v="No"/>
    <n v="0.36892335580962943"/>
    <s v="No"/>
    <n v="404467"/>
    <n v="62"/>
    <x v="2"/>
  </r>
  <r>
    <n v="2734"/>
    <s v="MUJER"/>
    <n v="68195886"/>
    <x v="0"/>
    <x v="1"/>
    <s v="SI"/>
    <s v="NO"/>
    <s v="NO"/>
    <n v="28"/>
    <n v="0.98661430822120777"/>
    <s v="No"/>
    <n v="0.75917371113990662"/>
    <s v="No"/>
    <n v="68195886"/>
    <n v="28"/>
    <x v="0"/>
  </r>
  <r>
    <n v="2735"/>
    <s v="HOMBRE"/>
    <n v="1109112"/>
    <x v="0"/>
    <x v="0"/>
    <s v="SI"/>
    <s v="NO"/>
    <s v="NO"/>
    <n v="32"/>
    <n v="0.70431298791265773"/>
    <s v="No"/>
    <n v="0.35719756559212928"/>
    <s v="No"/>
    <n v="1109112"/>
    <n v="32"/>
    <x v="0"/>
  </r>
  <r>
    <n v="2736"/>
    <s v="HOMBRE"/>
    <n v="356025"/>
    <x v="0"/>
    <x v="1"/>
    <s v="SI"/>
    <s v="NO"/>
    <s v="NO"/>
    <n v="22"/>
    <n v="1.4100662886840327"/>
    <s v="No"/>
    <n v="0.36972946488542813"/>
    <s v="No"/>
    <n v="356025"/>
    <n v="22"/>
    <x v="0"/>
  </r>
  <r>
    <n v="2737"/>
    <s v="HOMBRE"/>
    <n v="51323895"/>
    <x v="0"/>
    <x v="1"/>
    <s v="SI"/>
    <s v="NO"/>
    <s v="NO"/>
    <n v="34"/>
    <n v="0.56316232775838282"/>
    <s v="No"/>
    <n v="0.47841187075566904"/>
    <s v="No"/>
    <n v="51323895"/>
    <n v="34"/>
    <x v="0"/>
  </r>
  <r>
    <n v="2738"/>
    <s v="HOMBRE"/>
    <n v="278030"/>
    <x v="6"/>
    <x v="1"/>
    <s v="SI"/>
    <s v="SI"/>
    <s v="NO"/>
    <n v="27"/>
    <n v="1.0571896382983452"/>
    <s v="No"/>
    <n v="0.37102735674304993"/>
    <s v="No"/>
    <n v="278030"/>
    <n v="27"/>
    <x v="5"/>
  </r>
  <r>
    <n v="2739"/>
    <s v="MUJER"/>
    <n v="14151017"/>
    <x v="1"/>
    <x v="0"/>
    <s v="SI"/>
    <s v="NO"/>
    <s v="NO"/>
    <n v="85"/>
    <n v="3.03617950617563"/>
    <s v="Sí"/>
    <n v="0.14017105995231535"/>
    <s v="No"/>
    <n v="14151017"/>
    <n v="85"/>
    <x v="1"/>
  </r>
  <r>
    <n v="2740"/>
    <s v="MUJER"/>
    <n v="135000"/>
    <x v="0"/>
    <x v="1"/>
    <s v="SI"/>
    <s v="NO"/>
    <s v="SI"/>
    <n v="37"/>
    <n v="0.35143633752697023"/>
    <s v="No"/>
    <n v="0.37340747690967147"/>
    <s v="No"/>
    <n v="135000"/>
    <n v="37"/>
    <x v="0"/>
  </r>
  <r>
    <n v="2741"/>
    <s v="HOMBRE"/>
    <n v="678710452"/>
    <x v="0"/>
    <x v="0"/>
    <s v="SI"/>
    <s v="NO"/>
    <s v="NO"/>
    <n v="56"/>
    <n v="0.9894949339386423"/>
    <s v="No"/>
    <n v="10.918567059058601"/>
    <s v="Sí"/>
    <n v="678710452"/>
    <n v="56"/>
    <x v="0"/>
  </r>
  <r>
    <n v="2742"/>
    <s v="MUJER"/>
    <n v="77749445"/>
    <x v="0"/>
    <x v="0"/>
    <s v="SI"/>
    <s v="NO"/>
    <s v="NO"/>
    <n v="32"/>
    <n v="0.70431298791265773"/>
    <s v="No"/>
    <n v="0.91815167687373112"/>
    <s v="No"/>
    <n v="77749445"/>
    <n v="32"/>
    <x v="0"/>
  </r>
  <r>
    <n v="2743"/>
    <s v="HOMBRE"/>
    <n v="550491"/>
    <x v="0"/>
    <x v="1"/>
    <s v="SI"/>
    <s v="NO"/>
    <s v="NO"/>
    <n v="45"/>
    <n v="0.21316630309012977"/>
    <s v="No"/>
    <n v="0.36649341336950675"/>
    <s v="No"/>
    <n v="550491"/>
    <n v="45"/>
    <x v="0"/>
  </r>
  <r>
    <n v="2744"/>
    <s v="MUJER"/>
    <n v="298018"/>
    <x v="2"/>
    <x v="1"/>
    <s v="SI"/>
    <s v="SI"/>
    <s v="NO"/>
    <n v="51"/>
    <n v="0.6366182835529548"/>
    <s v="No"/>
    <n v="0.37069474231327693"/>
    <s v="No"/>
    <n v="298018"/>
    <n v="51"/>
    <x v="2"/>
  </r>
  <r>
    <n v="2745"/>
    <s v="HOMBRE"/>
    <n v="802400"/>
    <x v="0"/>
    <x v="1"/>
    <s v="SI"/>
    <s v="NO"/>
    <s v="NO"/>
    <n v="39"/>
    <n v="0.21028567737269524"/>
    <s v="No"/>
    <n v="0.36230146978387107"/>
    <s v="No"/>
    <n v="802400"/>
    <n v="39"/>
    <x v="0"/>
  </r>
  <r>
    <n v="2746"/>
    <s v="MUJER"/>
    <n v="270000"/>
    <x v="0"/>
    <x v="1"/>
    <s v="SI"/>
    <s v="SI"/>
    <s v="NO"/>
    <n v="28"/>
    <n v="0.98661430822120777"/>
    <s v="No"/>
    <n v="0.37116098161152489"/>
    <s v="No"/>
    <n v="270000"/>
    <n v="28"/>
    <x v="0"/>
  </r>
  <r>
    <n v="2747"/>
    <s v="HOMBRE"/>
    <n v="296700"/>
    <x v="0"/>
    <x v="1"/>
    <s v="SI"/>
    <s v="NO"/>
    <s v="NO"/>
    <n v="31"/>
    <n v="0.77488831798979529"/>
    <s v="No"/>
    <n v="0.37071667476366921"/>
    <s v="No"/>
    <n v="296700"/>
    <n v="31"/>
    <x v="0"/>
  </r>
  <r>
    <n v="2748"/>
    <s v="MUJER"/>
    <n v="1332247"/>
    <x v="0"/>
    <x v="0"/>
    <s v="SI"/>
    <s v="NO"/>
    <s v="NO"/>
    <n v="33"/>
    <n v="0.63373765783552027"/>
    <s v="No"/>
    <n v="0.35348444167841114"/>
    <s v="No"/>
    <n v="1332247"/>
    <n v="33"/>
    <x v="0"/>
  </r>
  <r>
    <n v="2749"/>
    <s v="MUJER"/>
    <n v="327400"/>
    <x v="0"/>
    <x v="1"/>
    <s v="SI"/>
    <s v="NO"/>
    <s v="NO"/>
    <n v="35"/>
    <n v="0.49258699768124525"/>
    <s v="No"/>
    <n v="0.37020580509216477"/>
    <s v="No"/>
    <n v="327400"/>
    <n v="35"/>
    <x v="0"/>
  </r>
  <r>
    <n v="2750"/>
    <s v="HOMBRE"/>
    <n v="454803"/>
    <x v="0"/>
    <x v="1"/>
    <s v="SI"/>
    <s v="NO"/>
    <s v="NO"/>
    <n v="26"/>
    <n v="1.1277649683754829"/>
    <s v="No"/>
    <n v="0.36808572923683308"/>
    <s v="No"/>
    <n v="454803"/>
    <n v="26"/>
    <x v="0"/>
  </r>
  <r>
    <n v="2751"/>
    <s v="MUJER"/>
    <n v="297045"/>
    <x v="3"/>
    <x v="1"/>
    <s v="SI"/>
    <s v="NO"/>
    <s v="NO"/>
    <n v="53"/>
    <n v="0.77776894370722982"/>
    <s v="No"/>
    <n v="0.37071093372012948"/>
    <s v="No"/>
    <n v="297045"/>
    <n v="53"/>
    <x v="3"/>
  </r>
  <r>
    <n v="2752"/>
    <s v="HOMBRE"/>
    <n v="310544"/>
    <x v="3"/>
    <x v="1"/>
    <s v="SI"/>
    <s v="NO"/>
    <s v="SI"/>
    <n v="42"/>
    <n v="1.4403128587172659E-3"/>
    <s v="No"/>
    <n v="0.37048630083102074"/>
    <s v="No"/>
    <n v="310544"/>
    <n v="42"/>
    <x v="3"/>
  </r>
  <r>
    <n v="2753"/>
    <s v="MUJER"/>
    <n v="140215095"/>
    <x v="0"/>
    <x v="1"/>
    <s v="SI"/>
    <s v="NO"/>
    <s v="NO"/>
    <n v="32"/>
    <n v="0.70431298791265773"/>
    <s v="No"/>
    <n v="1.9576241881379706"/>
    <s v="No"/>
    <n v="140215095"/>
    <n v="32"/>
    <x v="0"/>
  </r>
  <r>
    <n v="2754"/>
    <s v="MUJER"/>
    <n v="812430"/>
    <x v="0"/>
    <x v="1"/>
    <s v="SI"/>
    <s v="NO"/>
    <s v="NO"/>
    <n v="27"/>
    <n v="1.0571896382983452"/>
    <s v="No"/>
    <n v="0.36213456350357176"/>
    <s v="No"/>
    <n v="812430"/>
    <n v="27"/>
    <x v="0"/>
  </r>
  <r>
    <n v="2755"/>
    <s v="HOMBRE"/>
    <n v="6102434"/>
    <x v="0"/>
    <x v="1"/>
    <s v="SI"/>
    <s v="NO"/>
    <s v="NO"/>
    <n v="52"/>
    <n v="0.70719361363009237"/>
    <s v="No"/>
    <n v="0.27410516266522506"/>
    <s v="No"/>
    <n v="6102434"/>
    <n v="52"/>
    <x v="0"/>
  </r>
  <r>
    <n v="2756"/>
    <s v="HOMBRE"/>
    <n v="12913333"/>
    <x v="0"/>
    <x v="1"/>
    <s v="SI"/>
    <s v="NO"/>
    <s v="NO"/>
    <n v="35"/>
    <n v="0.49258699768124525"/>
    <s v="No"/>
    <n v="0.16076699540854719"/>
    <s v="No"/>
    <n v="12913333"/>
    <n v="35"/>
    <x v="0"/>
  </r>
  <r>
    <n v="2757"/>
    <s v="HOMBRE"/>
    <n v="1119534"/>
    <x v="3"/>
    <x v="1"/>
    <s v="SI"/>
    <s v="SI"/>
    <s v="SI"/>
    <n v="53"/>
    <n v="0.77776894370722982"/>
    <s v="No"/>
    <n v="0.35702413615511236"/>
    <s v="No"/>
    <n v="1119534"/>
    <n v="53"/>
    <x v="3"/>
  </r>
  <r>
    <n v="2758"/>
    <s v="MUJER"/>
    <n v="302010"/>
    <x v="3"/>
    <x v="1"/>
    <s v="SI"/>
    <s v="NO"/>
    <s v="NO"/>
    <n v="24"/>
    <n v="1.2689156285297578"/>
    <s v="No"/>
    <n v="0.37062831261527546"/>
    <s v="No"/>
    <n v="302010"/>
    <n v="24"/>
    <x v="3"/>
  </r>
  <r>
    <n v="2759"/>
    <s v="MUJER"/>
    <n v="325000"/>
    <x v="0"/>
    <x v="1"/>
    <s v="SI"/>
    <s v="SI"/>
    <s v="NO"/>
    <n v="24"/>
    <n v="1.2689156285297578"/>
    <s v="No"/>
    <n v="0.37024574278635403"/>
    <s v="No"/>
    <n v="325000"/>
    <n v="24"/>
    <x v="0"/>
  </r>
  <r>
    <n v="2760"/>
    <s v="HOMBRE"/>
    <n v="278030"/>
    <x v="4"/>
    <x v="1"/>
    <s v="SI"/>
    <s v="NO"/>
    <s v="NO"/>
    <n v="24"/>
    <n v="1.2689156285297578"/>
    <s v="No"/>
    <n v="0.37102735674304993"/>
    <s v="No"/>
    <n v="278030"/>
    <n v="24"/>
    <x v="4"/>
  </r>
  <r>
    <n v="2761"/>
    <s v="MUJER"/>
    <n v="35954427"/>
    <x v="6"/>
    <x v="1"/>
    <s v="SI"/>
    <s v="SI"/>
    <s v="NO"/>
    <n v="66"/>
    <n v="1.6952482347100173"/>
    <s v="No"/>
    <n v="0.22265307374074372"/>
    <s v="No"/>
    <n v="35954427"/>
    <n v="66"/>
    <x v="5"/>
  </r>
  <r>
    <n v="2762"/>
    <s v="HOMBRE"/>
    <n v="680000"/>
    <x v="0"/>
    <x v="1"/>
    <s v="SI"/>
    <s v="NO"/>
    <s v="NO"/>
    <n v="33"/>
    <n v="0.63373765783552027"/>
    <s v="No"/>
    <n v="0.364338292187524"/>
    <s v="No"/>
    <n v="680000"/>
    <n v="33"/>
    <x v="0"/>
  </r>
  <r>
    <n v="2763"/>
    <s v="MUJER"/>
    <n v="610000"/>
    <x v="0"/>
    <x v="1"/>
    <s v="SI"/>
    <s v="NO"/>
    <s v="NO"/>
    <n v="30"/>
    <n v="0.84546364806693275"/>
    <s v="No"/>
    <n v="0.36550314160137781"/>
    <s v="No"/>
    <n v="610000"/>
    <n v="30"/>
    <x v="0"/>
  </r>
  <r>
    <n v="2764"/>
    <s v="HOMBRE"/>
    <n v="47730736"/>
    <x v="0"/>
    <x v="1"/>
    <s v="SI"/>
    <s v="NO"/>
    <s v="NO"/>
    <n v="63"/>
    <n v="1.4835222444786049"/>
    <s v="No"/>
    <n v="0.41861916854090453"/>
    <s v="No"/>
    <n v="47730736"/>
    <n v="63"/>
    <x v="0"/>
  </r>
  <r>
    <n v="2765"/>
    <s v="HOMBRE"/>
    <n v="385938"/>
    <x v="0"/>
    <x v="1"/>
    <s v="SI"/>
    <s v="NO"/>
    <s v="SI"/>
    <n v="51"/>
    <n v="0.6366182835529548"/>
    <s v="No"/>
    <n v="0.36923169144947654"/>
    <s v="No"/>
    <n v="385938"/>
    <n v="51"/>
    <x v="0"/>
  </r>
  <r>
    <n v="2766"/>
    <s v="MUJER"/>
    <n v="450000"/>
    <x v="0"/>
    <x v="1"/>
    <s v="SI"/>
    <s v="SI"/>
    <s v="NO"/>
    <n v="29"/>
    <n v="0.91603897814407031"/>
    <s v="No"/>
    <n v="0.36816565454732936"/>
    <s v="No"/>
    <n v="450000"/>
    <n v="29"/>
    <x v="0"/>
  </r>
  <r>
    <n v="2767"/>
    <s v="HOMBRE"/>
    <n v="35954427"/>
    <x v="6"/>
    <x v="1"/>
    <s v="SI"/>
    <s v="SI"/>
    <s v="NO"/>
    <n v="59"/>
    <n v="1.2012209241700549"/>
    <s v="No"/>
    <n v="0.22265307374074372"/>
    <s v="No"/>
    <n v="35954427"/>
    <n v="59"/>
    <x v="5"/>
  </r>
  <r>
    <n v="2768"/>
    <s v="HOMBRE"/>
    <n v="7595696"/>
    <x v="0"/>
    <x v="0"/>
    <s v="SI"/>
    <s v="NO"/>
    <s v="NO"/>
    <n v="34"/>
    <n v="0.56316232775838282"/>
    <s v="No"/>
    <n v="0.24925622887336565"/>
    <s v="No"/>
    <n v="7595696"/>
    <n v="34"/>
    <x v="0"/>
  </r>
  <r>
    <n v="2769"/>
    <s v="MUJER"/>
    <n v="894532"/>
    <x v="0"/>
    <x v="0"/>
    <s v="SI"/>
    <s v="NO"/>
    <s v="SI"/>
    <n v="44"/>
    <n v="0.14259097301299228"/>
    <s v="No"/>
    <n v="0.36076832826676852"/>
    <s v="No"/>
    <n v="894532"/>
    <n v="44"/>
    <x v="0"/>
  </r>
  <r>
    <n v="2770"/>
    <s v="HOMBRE"/>
    <n v="11718667"/>
    <x v="0"/>
    <x v="1"/>
    <s v="SI"/>
    <s v="NO"/>
    <s v="NO"/>
    <n v="25"/>
    <n v="1.1983402984526204"/>
    <s v="No"/>
    <n v="0.18064708097784815"/>
    <s v="No"/>
    <n v="11718667"/>
    <n v="25"/>
    <x v="0"/>
  </r>
  <r>
    <n v="2771"/>
    <s v="MUJER"/>
    <n v="1314609"/>
    <x v="0"/>
    <x v="0"/>
    <s v="SI"/>
    <s v="NO"/>
    <s v="NO"/>
    <n v="48"/>
    <n v="0.42489229332154227"/>
    <s v="No"/>
    <n v="0.3537779504492905"/>
    <s v="No"/>
    <n v="1314609"/>
    <n v="48"/>
    <x v="0"/>
  </r>
  <r>
    <n v="2772"/>
    <s v="MUJER"/>
    <n v="298925"/>
    <x v="3"/>
    <x v="1"/>
    <s v="SI"/>
    <s v="SI"/>
    <s v="SI"/>
    <n v="28"/>
    <n v="0.98661430822120777"/>
    <s v="No"/>
    <n v="0.37067964919301455"/>
    <s v="No"/>
    <n v="298925"/>
    <n v="28"/>
    <x v="3"/>
  </r>
  <r>
    <n v="2773"/>
    <s v="HOMBRE"/>
    <n v="410982"/>
    <x v="0"/>
    <x v="1"/>
    <s v="SI"/>
    <s v="NO"/>
    <s v="NO"/>
    <n v="30"/>
    <n v="0.84546364806693275"/>
    <s v="No"/>
    <n v="0.36881494161061151"/>
    <s v="No"/>
    <n v="410982"/>
    <n v="30"/>
    <x v="0"/>
  </r>
  <r>
    <n v="2774"/>
    <s v="MUJER"/>
    <n v="1511127"/>
    <x v="0"/>
    <x v="0"/>
    <s v="SI"/>
    <s v="NO"/>
    <s v="NO"/>
    <n v="36"/>
    <n v="0.42201166760410774"/>
    <s v="No"/>
    <n v="0.35050775220483732"/>
    <s v="No"/>
    <n v="1511127"/>
    <n v="36"/>
    <x v="0"/>
  </r>
  <r>
    <n v="2775"/>
    <s v="MUJER"/>
    <n v="361080"/>
    <x v="0"/>
    <x v="1"/>
    <s v="SI"/>
    <s v="NO"/>
    <s v="NO"/>
    <n v="29"/>
    <n v="0.91603897814407031"/>
    <s v="No"/>
    <n v="0.36964534611704197"/>
    <s v="No"/>
    <n v="361080"/>
    <n v="29"/>
    <x v="0"/>
  </r>
  <r>
    <n v="2776"/>
    <s v="HOMBRE"/>
    <n v="267648665"/>
    <x v="0"/>
    <x v="1"/>
    <s v="SI"/>
    <s v="NO"/>
    <s v="NO"/>
    <n v="26"/>
    <n v="1.1277649683754829"/>
    <s v="No"/>
    <n v="4.0782087498493631"/>
    <s v="Sí"/>
    <n v="267648665"/>
    <n v="26"/>
    <x v="0"/>
  </r>
  <r>
    <n v="2777"/>
    <s v="MUJER"/>
    <n v="298482"/>
    <x v="3"/>
    <x v="1"/>
    <s v="SI"/>
    <s v="NO"/>
    <s v="NO"/>
    <n v="47"/>
    <n v="0.35431696324440481"/>
    <s v="No"/>
    <n v="0.37068702102573364"/>
    <s v="No"/>
    <n v="298482"/>
    <n v="47"/>
    <x v="3"/>
  </r>
  <r>
    <n v="2778"/>
    <s v="HOMBRE"/>
    <n v="160363849"/>
    <x v="0"/>
    <x v="1"/>
    <s v="SI"/>
    <s v="NO"/>
    <s v="NO"/>
    <n v="43"/>
    <n v="7.2015642935854773E-2"/>
    <s v="No"/>
    <n v="2.2929136779491772"/>
    <s v="Sí"/>
    <n v="160363849"/>
    <n v="43"/>
    <x v="0"/>
  </r>
  <r>
    <n v="2779"/>
    <s v="HOMBRE"/>
    <n v="75782241"/>
    <x v="0"/>
    <x v="1"/>
    <s v="SI"/>
    <s v="NO"/>
    <s v="NO"/>
    <n v="31"/>
    <n v="0.77488831798979529"/>
    <s v="No"/>
    <n v="0.88541601364043321"/>
    <s v="No"/>
    <n v="75782241"/>
    <n v="31"/>
    <x v="0"/>
  </r>
  <r>
    <n v="2780"/>
    <s v="MUJER"/>
    <n v="298000"/>
    <x v="3"/>
    <x v="1"/>
    <s v="SI"/>
    <s v="NO"/>
    <s v="NO"/>
    <n v="23"/>
    <n v="1.3394909586068953"/>
    <s v="No"/>
    <n v="0.37069504184598334"/>
    <s v="No"/>
    <n v="298000"/>
    <n v="23"/>
    <x v="3"/>
  </r>
  <r>
    <n v="2781"/>
    <s v="MUJER"/>
    <n v="300018"/>
    <x v="3"/>
    <x v="1"/>
    <s v="SI"/>
    <s v="SI"/>
    <s v="SI"/>
    <n v="49"/>
    <n v="0.49546762339867978"/>
    <s v="No"/>
    <n v="0.37066146090145252"/>
    <s v="No"/>
    <n v="300018"/>
    <n v="49"/>
    <x v="3"/>
  </r>
  <r>
    <n v="2782"/>
    <s v="HOMBRE"/>
    <n v="65156996"/>
    <x v="0"/>
    <x v="1"/>
    <s v="SI"/>
    <s v="NO"/>
    <s v="NO"/>
    <n v="33"/>
    <n v="0.63373765783552027"/>
    <s v="No"/>
    <n v="0.70860443635038972"/>
    <s v="No"/>
    <n v="65156996"/>
    <n v="33"/>
    <x v="0"/>
  </r>
  <r>
    <n v="2783"/>
    <s v="MUJER"/>
    <n v="35954427"/>
    <x v="6"/>
    <x v="1"/>
    <s v="SI"/>
    <s v="SI"/>
    <s v="NO"/>
    <n v="47"/>
    <n v="0.35431696324440481"/>
    <s v="No"/>
    <n v="0.22265307374074372"/>
    <s v="No"/>
    <n v="35954427"/>
    <n v="47"/>
    <x v="5"/>
  </r>
  <r>
    <n v="2784"/>
    <s v="MUJER"/>
    <n v="554128"/>
    <x v="0"/>
    <x v="0"/>
    <s v="SI"/>
    <s v="NO"/>
    <s v="NO"/>
    <n v="26"/>
    <n v="1.1277649683754829"/>
    <s v="No"/>
    <n v="0.36643289112210409"/>
    <s v="No"/>
    <n v="554128"/>
    <n v="26"/>
    <x v="0"/>
  </r>
  <r>
    <n v="2785"/>
    <s v="HOMBRE"/>
    <n v="49335264"/>
    <x v="0"/>
    <x v="1"/>
    <s v="SI"/>
    <s v="NO"/>
    <s v="NO"/>
    <n v="25"/>
    <n v="1.1983402984526204"/>
    <s v="No"/>
    <n v="0.44531964711679045"/>
    <s v="No"/>
    <n v="49335264"/>
    <n v="25"/>
    <x v="0"/>
  </r>
  <r>
    <n v="2786"/>
    <s v="HOMBRE"/>
    <n v="264600"/>
    <x v="0"/>
    <x v="1"/>
    <s v="SI"/>
    <s v="NO"/>
    <s v="NO"/>
    <n v="30"/>
    <n v="0.84546364806693275"/>
    <s v="No"/>
    <n v="0.37125084142345072"/>
    <s v="No"/>
    <n v="264600"/>
    <n v="30"/>
    <x v="0"/>
  </r>
  <r>
    <n v="2787"/>
    <s v="MUJER"/>
    <n v="68193183"/>
    <x v="0"/>
    <x v="1"/>
    <s v="SI"/>
    <s v="NO"/>
    <s v="NO"/>
    <n v="34"/>
    <n v="0.56316232775838282"/>
    <s v="No"/>
    <n v="0.7591287313118259"/>
    <s v="No"/>
    <n v="68193183"/>
    <n v="34"/>
    <x v="0"/>
  </r>
  <r>
    <n v="2788"/>
    <s v="MUJER"/>
    <n v="278030"/>
    <x v="4"/>
    <x v="1"/>
    <s v="SI"/>
    <s v="NO"/>
    <s v="NO"/>
    <n v="25"/>
    <n v="1.1983402984526204"/>
    <s v="No"/>
    <n v="0.37102735674304993"/>
    <s v="No"/>
    <n v="278030"/>
    <n v="25"/>
    <x v="4"/>
  </r>
  <r>
    <n v="2789"/>
    <s v="MUJER"/>
    <n v="1725833"/>
    <x v="0"/>
    <x v="0"/>
    <s v="SI"/>
    <s v="NO"/>
    <s v="NO"/>
    <n v="54"/>
    <n v="0.84834427378436728"/>
    <s v="No"/>
    <n v="0.34693489280125311"/>
    <s v="No"/>
    <n v="1725833"/>
    <n v="54"/>
    <x v="0"/>
  </r>
  <r>
    <n v="2790"/>
    <s v="HOMBRE"/>
    <n v="12131145"/>
    <x v="0"/>
    <x v="0"/>
    <s v="SI"/>
    <s v="NO"/>
    <s v="NO"/>
    <n v="39"/>
    <n v="0.21028567737269524"/>
    <s v="No"/>
    <n v="0.17378315588459689"/>
    <s v="No"/>
    <n v="12131145"/>
    <n v="39"/>
    <x v="0"/>
  </r>
  <r>
    <n v="2791"/>
    <s v="MUJER"/>
    <n v="335772"/>
    <x v="0"/>
    <x v="0"/>
    <s v="SI"/>
    <s v="NO"/>
    <s v="SI"/>
    <n v="51"/>
    <n v="0.6366182835529548"/>
    <s v="No"/>
    <n v="0.37006648910226786"/>
    <s v="No"/>
    <n v="335772"/>
    <n v="51"/>
    <x v="0"/>
  </r>
  <r>
    <n v="2792"/>
    <s v="MUJER"/>
    <n v="49784764"/>
    <x v="0"/>
    <x v="1"/>
    <s v="SI"/>
    <s v="NO"/>
    <s v="NO"/>
    <n v="45"/>
    <n v="0.21316630309012977"/>
    <s v="No"/>
    <n v="0.45279964442432308"/>
    <s v="No"/>
    <n v="49784764"/>
    <n v="45"/>
    <x v="0"/>
  </r>
  <r>
    <n v="2793"/>
    <s v="HOMBRE"/>
    <n v="480488"/>
    <x v="0"/>
    <x v="1"/>
    <s v="SI"/>
    <s v="SI"/>
    <s v="NO"/>
    <n v="23"/>
    <n v="1.3394909586068953"/>
    <s v="No"/>
    <n v="0.36765831270547833"/>
    <s v="No"/>
    <n v="480488"/>
    <n v="23"/>
    <x v="0"/>
  </r>
  <r>
    <n v="2794"/>
    <s v="HOMBRE"/>
    <n v="35954427"/>
    <x v="6"/>
    <x v="1"/>
    <s v="SI"/>
    <s v="SI"/>
    <s v="NO"/>
    <n v="61"/>
    <n v="1.3423715843243298"/>
    <s v="No"/>
    <n v="0.22265307374074372"/>
    <s v="No"/>
    <n v="35954427"/>
    <n v="61"/>
    <x v="5"/>
  </r>
  <r>
    <n v="2795"/>
    <s v="MUJER"/>
    <n v="602634"/>
    <x v="0"/>
    <x v="0"/>
    <s v="SI"/>
    <s v="NO"/>
    <s v="NO"/>
    <n v="35"/>
    <n v="0.49258699768124525"/>
    <s v="No"/>
    <n v="0.36562571704112706"/>
    <s v="No"/>
    <n v="602634"/>
    <n v="35"/>
    <x v="0"/>
  </r>
  <r>
    <n v="2796"/>
    <s v="MUJER"/>
    <n v="297046"/>
    <x v="3"/>
    <x v="1"/>
    <s v="SI"/>
    <s v="NO"/>
    <s v="NO"/>
    <n v="43"/>
    <n v="7.2015642935854773E-2"/>
    <s v="No"/>
    <n v="0.37071091707942361"/>
    <s v="No"/>
    <n v="297046"/>
    <n v="43"/>
    <x v="3"/>
  </r>
  <r>
    <n v="2797"/>
    <s v="MUJER"/>
    <n v="184014675"/>
    <x v="0"/>
    <x v="0"/>
    <s v="SI"/>
    <s v="NO"/>
    <s v="NO"/>
    <n v="49"/>
    <n v="0.49546762339867978"/>
    <s v="No"/>
    <n v="2.6864801179957238"/>
    <s v="Sí"/>
    <n v="184014675"/>
    <n v="49"/>
    <x v="0"/>
  </r>
  <r>
    <n v="2798"/>
    <s v="MUJER"/>
    <n v="297046"/>
    <x v="2"/>
    <x v="1"/>
    <s v="SI"/>
    <s v="NO"/>
    <s v="NO"/>
    <n v="62"/>
    <n v="1.4129469144014672"/>
    <s v="No"/>
    <n v="0.37071091707942361"/>
    <s v="No"/>
    <n v="297046"/>
    <n v="62"/>
    <x v="2"/>
  </r>
  <r>
    <n v="2799"/>
    <s v="MUJER"/>
    <n v="358000"/>
    <x v="0"/>
    <x v="1"/>
    <s v="SI"/>
    <s v="SI"/>
    <s v="NO"/>
    <n v="29"/>
    <n v="0.91603897814407031"/>
    <s v="No"/>
    <n v="0.3696965994912515"/>
    <s v="No"/>
    <n v="358000"/>
    <n v="29"/>
    <x v="0"/>
  </r>
  <r>
    <n v="2800"/>
    <s v="HOMBRE"/>
    <n v="436134"/>
    <x v="0"/>
    <x v="1"/>
    <s v="SI"/>
    <s v="NO"/>
    <s v="NO"/>
    <n v="23"/>
    <n v="1.3394909586068953"/>
    <s v="No"/>
    <n v="0.36839639457550788"/>
    <s v="No"/>
    <n v="436134"/>
    <n v="23"/>
    <x v="0"/>
  </r>
  <r>
    <n v="2801"/>
    <s v="HOMBRE"/>
    <n v="375277"/>
    <x v="0"/>
    <x v="0"/>
    <s v="SI"/>
    <s v="NO"/>
    <s v="SI"/>
    <n v="54"/>
    <n v="0.84834427378436728"/>
    <s v="No"/>
    <n v="0.36940909801520649"/>
    <s v="No"/>
    <n v="375277"/>
    <n v="54"/>
    <x v="0"/>
  </r>
  <r>
    <n v="2802"/>
    <s v="HOMBRE"/>
    <n v="1037264"/>
    <x v="0"/>
    <x v="1"/>
    <s v="SI"/>
    <s v="NO"/>
    <s v="NO"/>
    <n v="36"/>
    <n v="0.42201166760410774"/>
    <s v="No"/>
    <n v="0.35839316703050883"/>
    <s v="No"/>
    <n v="1037264"/>
    <n v="36"/>
    <x v="0"/>
  </r>
  <r>
    <n v="2803"/>
    <s v="HOMBRE"/>
    <n v="70000"/>
    <x v="0"/>
    <x v="1"/>
    <s v="SI"/>
    <s v="NO"/>
    <s v="NO"/>
    <n v="47"/>
    <n v="0.35431696324440481"/>
    <s v="No"/>
    <n v="0.37448912279396429"/>
    <s v="No"/>
    <n v="70000"/>
    <n v="47"/>
    <x v="0"/>
  </r>
  <r>
    <n v="2804"/>
    <s v="HOMBRE"/>
    <n v="38326576"/>
    <x v="0"/>
    <x v="1"/>
    <s v="SI"/>
    <s v="NO"/>
    <s v="NO"/>
    <n v="56"/>
    <n v="0.9894949339386423"/>
    <s v="No"/>
    <n v="0.26212730762965636"/>
    <s v="No"/>
    <n v="38326576"/>
    <n v="56"/>
    <x v="0"/>
  </r>
  <r>
    <n v="2805"/>
    <s v="HOMBRE"/>
    <n v="1302821"/>
    <x v="0"/>
    <x v="0"/>
    <s v="SI"/>
    <s v="NO"/>
    <s v="NO"/>
    <n v="42"/>
    <n v="1.4403128587172659E-3"/>
    <s v="No"/>
    <n v="0.35397411109058347"/>
    <s v="No"/>
    <n v="1302821"/>
    <n v="42"/>
    <x v="0"/>
  </r>
  <r>
    <n v="2806"/>
    <s v="MUJER"/>
    <n v="385886"/>
    <x v="1"/>
    <x v="0"/>
    <s v="SI"/>
    <s v="NO"/>
    <s v="NO"/>
    <n v="73"/>
    <n v="2.1892755452499797"/>
    <s v="Sí"/>
    <n v="0.36923255676618399"/>
    <s v="No"/>
    <n v="385886"/>
    <n v="73"/>
    <x v="1"/>
  </r>
  <r>
    <n v="2807"/>
    <s v="HOMBRE"/>
    <n v="297046"/>
    <x v="3"/>
    <x v="1"/>
    <s v="SI"/>
    <s v="NO"/>
    <s v="SI"/>
    <n v="39"/>
    <n v="0.21028567737269524"/>
    <s v="No"/>
    <n v="0.37071091707942361"/>
    <s v="No"/>
    <n v="297046"/>
    <n v="39"/>
    <x v="3"/>
  </r>
  <r>
    <n v="2808"/>
    <s v="HOMBRE"/>
    <n v="500936"/>
    <x v="0"/>
    <x v="0"/>
    <s v="SI"/>
    <s v="NO"/>
    <s v="NO"/>
    <n v="32"/>
    <n v="0.70431298791265773"/>
    <s v="No"/>
    <n v="0.36731804355098568"/>
    <s v="No"/>
    <n v="500936"/>
    <n v="32"/>
    <x v="0"/>
  </r>
  <r>
    <n v="2809"/>
    <s v="MUJER"/>
    <n v="8600365"/>
    <x v="0"/>
    <x v="0"/>
    <s v="SI"/>
    <s v="NO"/>
    <s v="NO"/>
    <n v="49"/>
    <n v="0.49546762339867978"/>
    <s v="No"/>
    <n v="0.23253782750526444"/>
    <s v="No"/>
    <n v="8600365"/>
    <n v="49"/>
    <x v="0"/>
  </r>
  <r>
    <n v="2810"/>
    <s v="HOMBRE"/>
    <n v="2734507"/>
    <x v="0"/>
    <x v="1"/>
    <s v="SI"/>
    <s v="NO"/>
    <s v="NO"/>
    <n v="18"/>
    <n v="1.6923676089925828"/>
    <s v="No"/>
    <n v="0.33014984540597353"/>
    <s v="No"/>
    <n v="2734507"/>
    <n v="18"/>
    <x v="0"/>
  </r>
  <r>
    <n v="2811"/>
    <s v="MUJER"/>
    <n v="320000"/>
    <x v="0"/>
    <x v="1"/>
    <s v="SI"/>
    <s v="NO"/>
    <s v="SI"/>
    <n v="61"/>
    <n v="1.3423715843243298"/>
    <s v="No"/>
    <n v="0.37032894631591501"/>
    <s v="No"/>
    <n v="320000"/>
    <n v="61"/>
    <x v="0"/>
  </r>
  <r>
    <n v="2812"/>
    <s v="HOMBRE"/>
    <n v="297046"/>
    <x v="2"/>
    <x v="1"/>
    <s v="SI"/>
    <s v="NO"/>
    <s v="NO"/>
    <n v="55"/>
    <n v="0.91891960386150484"/>
    <s v="No"/>
    <n v="0.37071091707942361"/>
    <s v="No"/>
    <n v="297046"/>
    <n v="55"/>
    <x v="2"/>
  </r>
  <r>
    <n v="2813"/>
    <s v="MUJER"/>
    <n v="208326659"/>
    <x v="0"/>
    <x v="0"/>
    <s v="SI"/>
    <s v="NO"/>
    <s v="NO"/>
    <n v="43"/>
    <n v="7.2015642935854773E-2"/>
    <s v="No"/>
    <n v="3.091048693881767"/>
    <s v="Sí"/>
    <n v="208326659"/>
    <n v="43"/>
    <x v="0"/>
  </r>
  <r>
    <n v="2814"/>
    <s v="HOMBRE"/>
    <n v="349790"/>
    <x v="0"/>
    <x v="1"/>
    <s v="SI"/>
    <s v="SI"/>
    <s v="NO"/>
    <n v="20"/>
    <n v="1.5512169488383079"/>
    <s v="No"/>
    <n v="0.36983321968679067"/>
    <s v="No"/>
    <n v="349790"/>
    <n v="20"/>
    <x v="0"/>
  </r>
  <r>
    <n v="2815"/>
    <s v="MUJER"/>
    <n v="682608"/>
    <x v="0"/>
    <x v="1"/>
    <s v="SI"/>
    <s v="NO"/>
    <s v="NO"/>
    <n v="29"/>
    <n v="0.91603897814407031"/>
    <s v="No"/>
    <n v="0.36429489322650499"/>
    <s v="No"/>
    <n v="682608"/>
    <n v="29"/>
    <x v="0"/>
  </r>
  <r>
    <n v="2816"/>
    <s v="HOMBRE"/>
    <n v="1203600"/>
    <x v="0"/>
    <x v="1"/>
    <s v="SI"/>
    <s v="NO"/>
    <s v="NO"/>
    <n v="41"/>
    <n v="6.9135017218420233E-2"/>
    <s v="No"/>
    <n v="0.35562521857189761"/>
    <s v="No"/>
    <n v="1203600"/>
    <n v="41"/>
    <x v="0"/>
  </r>
  <r>
    <n v="2817"/>
    <s v="MUJER"/>
    <n v="72811438"/>
    <x v="0"/>
    <x v="1"/>
    <s v="SI"/>
    <s v="NO"/>
    <s v="NO"/>
    <n v="46"/>
    <n v="0.2837416331672673"/>
    <s v="No"/>
    <n v="0.83597975459436014"/>
    <s v="No"/>
    <n v="72811438"/>
    <n v="46"/>
    <x v="0"/>
  </r>
  <r>
    <n v="2818"/>
    <s v="HOMBRE"/>
    <n v="56833333"/>
    <x v="0"/>
    <x v="1"/>
    <s v="SI"/>
    <s v="NO"/>
    <s v="NO"/>
    <n v="20"/>
    <n v="1.5512169488383079"/>
    <s v="No"/>
    <n v="0.57009280825515285"/>
    <s v="No"/>
    <n v="56833333"/>
    <n v="20"/>
    <x v="0"/>
  </r>
  <r>
    <n v="2819"/>
    <s v="MUJER"/>
    <n v="340654"/>
    <x v="0"/>
    <x v="1"/>
    <s v="SI"/>
    <s v="NO"/>
    <s v="NO"/>
    <n v="45"/>
    <n v="0.21316630309012977"/>
    <s v="No"/>
    <n v="0.3699852491760045"/>
    <s v="No"/>
    <n v="340654"/>
    <n v="45"/>
    <x v="0"/>
  </r>
  <r>
    <n v="2820"/>
    <s v="MUJER"/>
    <n v="18812081"/>
    <x v="1"/>
    <x v="0"/>
    <s v="SI"/>
    <s v="NO"/>
    <s v="NO"/>
    <n v="75"/>
    <n v="2.330426205404255"/>
    <s v="Sí"/>
    <n v="6.2607664690385922E-2"/>
    <s v="No"/>
    <n v="18812081"/>
    <n v="75"/>
    <x v="1"/>
  </r>
  <r>
    <n v="2821"/>
    <s v="HOMBRE"/>
    <n v="639148"/>
    <x v="3"/>
    <x v="1"/>
    <s v="SI"/>
    <s v="NO"/>
    <s v="SI"/>
    <n v="67"/>
    <n v="1.765823564787155"/>
    <s v="No"/>
    <n v="0.36501809830544912"/>
    <s v="No"/>
    <n v="639148"/>
    <n v="67"/>
    <x v="3"/>
  </r>
  <r>
    <n v="2822"/>
    <s v="HOMBRE"/>
    <n v="76884682"/>
    <x v="0"/>
    <x v="1"/>
    <s v="SI"/>
    <s v="NO"/>
    <s v="NO"/>
    <n v="32"/>
    <n v="0.70431298791265773"/>
    <s v="No"/>
    <n v="0.90376141010698174"/>
    <s v="No"/>
    <n v="76884682"/>
    <n v="32"/>
    <x v="0"/>
  </r>
  <r>
    <n v="2823"/>
    <s v="MUJER"/>
    <n v="1292336"/>
    <x v="0"/>
    <x v="0"/>
    <s v="SI"/>
    <s v="NO"/>
    <s v="NO"/>
    <n v="36"/>
    <n v="0.42201166760410774"/>
    <s v="No"/>
    <n v="0.35414858889207285"/>
    <s v="No"/>
    <n v="1292336"/>
    <n v="36"/>
    <x v="0"/>
  </r>
  <r>
    <n v="2824"/>
    <s v="HOMBRE"/>
    <n v="813799"/>
    <x v="0"/>
    <x v="0"/>
    <s v="SI"/>
    <s v="NO"/>
    <s v="NO"/>
    <n v="43"/>
    <n v="7.2015642935854773E-2"/>
    <s v="No"/>
    <n v="0.36211178237717795"/>
    <s v="No"/>
    <n v="813799"/>
    <n v="43"/>
    <x v="0"/>
  </r>
  <r>
    <n v="2825"/>
    <s v="HOMBRE"/>
    <n v="1507112"/>
    <x v="0"/>
    <x v="0"/>
    <s v="SI"/>
    <s v="NO"/>
    <s v="SI"/>
    <n v="50"/>
    <n v="0.56604295347581735"/>
    <s v="No"/>
    <n v="0.35057456463907477"/>
    <s v="No"/>
    <n v="1507112"/>
    <n v="50"/>
    <x v="0"/>
  </r>
  <r>
    <n v="2826"/>
    <s v="HOMBRE"/>
    <n v="115877694"/>
    <x v="0"/>
    <x v="1"/>
    <s v="SI"/>
    <s v="NO"/>
    <s v="NO"/>
    <n v="22"/>
    <n v="1.4100662886840327"/>
    <s v="No"/>
    <n v="1.5526326554297571"/>
    <s v="No"/>
    <n v="115877694"/>
    <n v="22"/>
    <x v="0"/>
  </r>
  <r>
    <n v="2827"/>
    <s v="HOMBRE"/>
    <n v="50470531"/>
    <x v="0"/>
    <x v="1"/>
    <s v="SI"/>
    <s v="NO"/>
    <s v="NO"/>
    <n v="35"/>
    <n v="0.49258699768124525"/>
    <s v="No"/>
    <n v="0.46421129139561279"/>
    <s v="No"/>
    <n v="50470531"/>
    <n v="35"/>
    <x v="0"/>
  </r>
  <r>
    <n v="2828"/>
    <s v="HOMBRE"/>
    <n v="714074"/>
    <x v="0"/>
    <x v="1"/>
    <s v="SI"/>
    <s v="NO"/>
    <s v="NO"/>
    <n v="37"/>
    <n v="0.35143633752697023"/>
    <s v="No"/>
    <n v="0.36377127677427185"/>
    <s v="No"/>
    <n v="714074"/>
    <n v="37"/>
    <x v="0"/>
  </r>
  <r>
    <n v="2829"/>
    <s v="HOMBRE"/>
    <n v="28318196"/>
    <x v="0"/>
    <x v="1"/>
    <s v="SI"/>
    <s v="NO"/>
    <s v="NO"/>
    <n v="50"/>
    <n v="0.56604295347581735"/>
    <s v="No"/>
    <n v="9.5580799392140342E-2"/>
    <s v="No"/>
    <n v="28318196"/>
    <n v="50"/>
    <x v="0"/>
  </r>
  <r>
    <n v="2830"/>
    <s v="HOMBRE"/>
    <n v="52897051"/>
    <x v="0"/>
    <x v="1"/>
    <s v="SI"/>
    <s v="NO"/>
    <s v="NO"/>
    <n v="59"/>
    <n v="1.2012209241700549"/>
    <s v="No"/>
    <n v="0.50459029710567749"/>
    <s v="No"/>
    <n v="52897051"/>
    <n v="59"/>
    <x v="0"/>
  </r>
  <r>
    <n v="2831"/>
    <s v="HOMBRE"/>
    <n v="310124"/>
    <x v="3"/>
    <x v="1"/>
    <s v="SI"/>
    <s v="NO"/>
    <s v="SI"/>
    <n v="29"/>
    <n v="0.91603897814407031"/>
    <s v="No"/>
    <n v="0.37049328992750385"/>
    <s v="No"/>
    <n v="310124"/>
    <n v="29"/>
    <x v="3"/>
  </r>
  <r>
    <n v="2832"/>
    <s v="MUJER"/>
    <n v="371911"/>
    <x v="0"/>
    <x v="0"/>
    <s v="SI"/>
    <s v="NO"/>
    <s v="NO"/>
    <n v="33"/>
    <n v="0.63373765783552027"/>
    <s v="No"/>
    <n v="0.36946511063130694"/>
    <s v="No"/>
    <n v="371911"/>
    <n v="33"/>
    <x v="0"/>
  </r>
  <r>
    <n v="2833"/>
    <s v="HOMBRE"/>
    <n v="220575"/>
    <x v="0"/>
    <x v="1"/>
    <s v="SI"/>
    <s v="SI"/>
    <s v="NO"/>
    <n v="48"/>
    <n v="0.42489229332154227"/>
    <s v="No"/>
    <n v="0.37198344850123521"/>
    <s v="No"/>
    <n v="220575"/>
    <n v="48"/>
    <x v="0"/>
  </r>
  <r>
    <n v="2834"/>
    <s v="HOMBRE"/>
    <n v="233662"/>
    <x v="0"/>
    <x v="1"/>
    <s v="SI"/>
    <s v="NO"/>
    <s v="SI"/>
    <n v="32"/>
    <n v="0.70431298791265773"/>
    <s v="No"/>
    <n v="0.37176567158296231"/>
    <s v="No"/>
    <n v="233662"/>
    <n v="32"/>
    <x v="0"/>
  </r>
  <r>
    <n v="2835"/>
    <s v="HOMBRE"/>
    <n v="448447"/>
    <x v="0"/>
    <x v="1"/>
    <s v="SI"/>
    <s v="NO"/>
    <s v="NO"/>
    <n v="41"/>
    <n v="6.9135017218420233E-2"/>
    <s v="No"/>
    <n v="0.36819149756361103"/>
    <s v="No"/>
    <n v="448447"/>
    <n v="41"/>
    <x v="0"/>
  </r>
  <r>
    <n v="2836"/>
    <s v="MUJER"/>
    <n v="847616"/>
    <x v="0"/>
    <x v="0"/>
    <s v="SI"/>
    <s v="NO"/>
    <s v="NO"/>
    <n v="31"/>
    <n v="0.77488831798979529"/>
    <s v="No"/>
    <n v="0.36154904362534518"/>
    <s v="No"/>
    <n v="847616"/>
    <n v="31"/>
    <x v="0"/>
  </r>
  <r>
    <n v="2837"/>
    <s v="HOMBRE"/>
    <n v="300056"/>
    <x v="1"/>
    <x v="0"/>
    <s v="SI"/>
    <s v="NO"/>
    <s v="NO"/>
    <n v="61"/>
    <n v="1.3423715843243298"/>
    <s v="No"/>
    <n v="0.3706608285546279"/>
    <s v="No"/>
    <n v="300056"/>
    <n v="61"/>
    <x v="1"/>
  </r>
  <r>
    <n v="2838"/>
    <s v="MUJER"/>
    <n v="278030"/>
    <x v="4"/>
    <x v="1"/>
    <s v="SI"/>
    <s v="NO"/>
    <s v="NO"/>
    <n v="23"/>
    <n v="1.3394909586068953"/>
    <s v="No"/>
    <n v="0.37102735674304993"/>
    <s v="No"/>
    <n v="278030"/>
    <n v="23"/>
    <x v="4"/>
  </r>
  <r>
    <n v="2839"/>
    <s v="HOMBRE"/>
    <n v="956230"/>
    <x v="0"/>
    <x v="0"/>
    <s v="SI"/>
    <s v="NO"/>
    <s v="SI"/>
    <n v="60"/>
    <n v="1.2717962542471923"/>
    <s v="No"/>
    <n v="0.35974162999339782"/>
    <s v="No"/>
    <n v="956230"/>
    <n v="60"/>
    <x v="0"/>
  </r>
  <r>
    <n v="2840"/>
    <s v="MUJER"/>
    <n v="41073826"/>
    <x v="0"/>
    <x v="1"/>
    <s v="SI"/>
    <s v="NO"/>
    <s v="NO"/>
    <n v="30"/>
    <n v="0.84546364806693275"/>
    <s v="No"/>
    <n v="0.30784348694694003"/>
    <s v="No"/>
    <n v="41073826"/>
    <n v="30"/>
    <x v="0"/>
  </r>
  <r>
    <n v="2841"/>
    <s v="HOMBRE"/>
    <n v="451015"/>
    <x v="0"/>
    <x v="1"/>
    <s v="SI"/>
    <s v="NO"/>
    <s v="NO"/>
    <n v="28"/>
    <n v="0.98661430822120777"/>
    <s v="No"/>
    <n v="0.36814876423082848"/>
    <s v="No"/>
    <n v="451015"/>
    <n v="28"/>
    <x v="0"/>
  </r>
  <r>
    <n v="2842"/>
    <s v="HOMBRE"/>
    <n v="370000"/>
    <x v="0"/>
    <x v="1"/>
    <s v="SI"/>
    <s v="NO"/>
    <s v="NO"/>
    <n v="45"/>
    <n v="0.21316630309012977"/>
    <s v="No"/>
    <n v="0.36949691102030513"/>
    <s v="No"/>
    <n v="370000"/>
    <n v="45"/>
    <x v="0"/>
  </r>
  <r>
    <n v="2843"/>
    <s v="MUJER"/>
    <n v="297046"/>
    <x v="2"/>
    <x v="1"/>
    <s v="NO"/>
    <s v="NO"/>
    <s v="SI"/>
    <n v="19"/>
    <n v="1.6217922789154453"/>
    <s v="No"/>
    <n v="0.37071091707942361"/>
    <s v="No"/>
    <n v="297046"/>
    <n v="19"/>
    <x v="2"/>
  </r>
  <r>
    <n v="2844"/>
    <s v="HOMBRE"/>
    <n v="5194835"/>
    <x v="0"/>
    <x v="1"/>
    <s v="SI"/>
    <s v="SI"/>
    <s v="SI"/>
    <n v="37"/>
    <n v="0.35143633752697023"/>
    <s v="No"/>
    <n v="0.28920825071042927"/>
    <s v="No"/>
    <n v="5194835"/>
    <n v="37"/>
    <x v="0"/>
  </r>
  <r>
    <n v="2845"/>
    <s v="MUJER"/>
    <n v="221675036"/>
    <x v="0"/>
    <x v="1"/>
    <s v="SI"/>
    <s v="SI"/>
    <s v="NO"/>
    <n v="30"/>
    <n v="0.84546364806693275"/>
    <s v="No"/>
    <n v="3.313175109943904"/>
    <s v="Sí"/>
    <n v="221675036"/>
    <n v="30"/>
    <x v="0"/>
  </r>
  <r>
    <n v="2846"/>
    <s v="HOMBRE"/>
    <n v="241999"/>
    <x v="0"/>
    <x v="1"/>
    <s v="SI"/>
    <s v="NO"/>
    <s v="SI"/>
    <n v="45"/>
    <n v="0.21316630309012977"/>
    <s v="No"/>
    <n v="0.3716269380177723"/>
    <s v="No"/>
    <n v="241999"/>
    <n v="45"/>
    <x v="0"/>
  </r>
  <r>
    <n v="2847"/>
    <s v="MUJER"/>
    <n v="300018"/>
    <x v="2"/>
    <x v="1"/>
    <s v="SI"/>
    <s v="NO"/>
    <s v="NO"/>
    <n v="59"/>
    <n v="1.2012209241700549"/>
    <s v="No"/>
    <n v="0.37066146090145252"/>
    <s v="No"/>
    <n v="300018"/>
    <n v="59"/>
    <x v="2"/>
  </r>
  <r>
    <n v="2848"/>
    <s v="HOMBRE"/>
    <n v="309288"/>
    <x v="0"/>
    <x v="1"/>
    <s v="SI"/>
    <s v="NO"/>
    <s v="NO"/>
    <n v="39"/>
    <n v="0.21028567737269524"/>
    <s v="No"/>
    <n v="0.37050720155764649"/>
    <s v="No"/>
    <n v="309288"/>
    <n v="39"/>
    <x v="0"/>
  </r>
  <r>
    <n v="2849"/>
    <s v="MUJER"/>
    <n v="250750"/>
    <x v="0"/>
    <x v="1"/>
    <s v="SI"/>
    <s v="NO"/>
    <s v="NO"/>
    <n v="31"/>
    <n v="0.77488831798979529"/>
    <s v="No"/>
    <n v="0.37148131520033467"/>
    <s v="No"/>
    <n v="250750"/>
    <n v="31"/>
    <x v="0"/>
  </r>
  <r>
    <n v="2850"/>
    <s v="MUJER"/>
    <n v="155636"/>
    <x v="0"/>
    <x v="1"/>
    <s v="SI"/>
    <s v="NO"/>
    <s v="NO"/>
    <n v="61"/>
    <n v="1.3423715843243298"/>
    <s v="No"/>
    <n v="0.37306407930246738"/>
    <s v="No"/>
    <n v="155636"/>
    <n v="61"/>
    <x v="0"/>
  </r>
  <r>
    <n v="2851"/>
    <s v="HOMBRE"/>
    <n v="617586"/>
    <x v="0"/>
    <x v="1"/>
    <s v="SI"/>
    <s v="NO"/>
    <s v="SI"/>
    <n v="36"/>
    <n v="0.42201166760410774"/>
    <s v="No"/>
    <n v="0.36537690520632787"/>
    <s v="No"/>
    <n v="617586"/>
    <n v="36"/>
    <x v="0"/>
  </r>
  <r>
    <n v="2852"/>
    <s v="HOMBRE"/>
    <n v="450886"/>
    <x v="3"/>
    <x v="1"/>
    <s v="SI"/>
    <s v="NO"/>
    <s v="NO"/>
    <n v="49"/>
    <n v="0.49546762339867978"/>
    <s v="No"/>
    <n v="0.36815091088189117"/>
    <s v="No"/>
    <n v="450886"/>
    <n v="49"/>
    <x v="3"/>
  </r>
  <r>
    <n v="2853"/>
    <s v="MUJER"/>
    <n v="297046"/>
    <x v="2"/>
    <x v="1"/>
    <s v="SI"/>
    <s v="NO"/>
    <s v="NO"/>
    <n v="61"/>
    <n v="1.3423715843243298"/>
    <s v="No"/>
    <n v="0.37071091707942361"/>
    <s v="No"/>
    <n v="297046"/>
    <n v="61"/>
    <x v="2"/>
  </r>
  <r>
    <n v="2854"/>
    <s v="HOMBRE"/>
    <n v="446000"/>
    <x v="0"/>
    <x v="1"/>
    <s v="SI"/>
    <s v="NO"/>
    <s v="NO"/>
    <n v="28"/>
    <n v="0.98661430822120777"/>
    <s v="No"/>
    <n v="0.36823221737097817"/>
    <s v="No"/>
    <n v="446000"/>
    <n v="28"/>
    <x v="0"/>
  </r>
  <r>
    <n v="2855"/>
    <s v="HOMBRE"/>
    <n v="509509"/>
    <x v="3"/>
    <x v="1"/>
    <s v="SI"/>
    <s v="NO"/>
    <s v="SI"/>
    <n v="37"/>
    <n v="0.35143633752697023"/>
    <s v="No"/>
    <n v="0.36717538277920042"/>
    <s v="No"/>
    <n v="509509"/>
    <n v="37"/>
    <x v="3"/>
  </r>
  <r>
    <n v="2856"/>
    <s v="HOMBRE"/>
    <n v="7995715"/>
    <x v="0"/>
    <x v="1"/>
    <s v="SI"/>
    <s v="NO"/>
    <s v="NO"/>
    <n v="22"/>
    <n v="1.4100662886840327"/>
    <s v="No"/>
    <n v="0.24259963033507445"/>
    <s v="No"/>
    <n v="7995715"/>
    <n v="22"/>
    <x v="0"/>
  </r>
  <r>
    <n v="2857"/>
    <s v="HOMBRE"/>
    <n v="297046"/>
    <x v="2"/>
    <x v="1"/>
    <s v="SI"/>
    <s v="SI"/>
    <s v="SI"/>
    <n v="57"/>
    <n v="1.0600702640157798"/>
    <s v="No"/>
    <n v="0.37071091707942361"/>
    <s v="No"/>
    <n v="297046"/>
    <n v="57"/>
    <x v="2"/>
  </r>
  <r>
    <n v="2858"/>
    <s v="MUJER"/>
    <n v="130000"/>
    <x v="0"/>
    <x v="1"/>
    <s v="SI"/>
    <s v="NO"/>
    <s v="NO"/>
    <n v="51"/>
    <n v="0.6366182835529548"/>
    <s v="No"/>
    <n v="0.37349068043923245"/>
    <s v="No"/>
    <n v="130000"/>
    <n v="51"/>
    <x v="0"/>
  </r>
  <r>
    <n v="2859"/>
    <s v="HOMBRE"/>
    <n v="429740"/>
    <x v="0"/>
    <x v="1"/>
    <s v="SI"/>
    <s v="NO"/>
    <s v="NO"/>
    <n v="27"/>
    <n v="1.0571896382983452"/>
    <s v="No"/>
    <n v="0.3685027952491105"/>
    <s v="No"/>
    <n v="429740"/>
    <n v="27"/>
    <x v="0"/>
  </r>
  <r>
    <n v="2860"/>
    <s v="HOMBRE"/>
    <n v="356858"/>
    <x v="3"/>
    <x v="1"/>
    <s v="SI"/>
    <s v="SI"/>
    <s v="SI"/>
    <n v="25"/>
    <n v="1.1983402984526204"/>
    <s v="No"/>
    <n v="0.36971560317740326"/>
    <s v="No"/>
    <n v="356858"/>
    <n v="25"/>
    <x v="3"/>
  </r>
  <r>
    <n v="2861"/>
    <s v="MUJER"/>
    <n v="375000"/>
    <x v="0"/>
    <x v="1"/>
    <s v="SI"/>
    <s v="NO"/>
    <s v="NO"/>
    <n v="42"/>
    <n v="1.4403128587172659E-3"/>
    <s v="No"/>
    <n v="0.36941370749074415"/>
    <s v="No"/>
    <n v="375000"/>
    <n v="42"/>
    <x v="0"/>
  </r>
  <r>
    <n v="2862"/>
    <s v="MUJER"/>
    <n v="384500"/>
    <x v="0"/>
    <x v="1"/>
    <s v="SI"/>
    <s v="NO"/>
    <s v="NO"/>
    <n v="33"/>
    <n v="0.63373765783552027"/>
    <s v="No"/>
    <n v="0.3692556207845783"/>
    <s v="No"/>
    <n v="384500"/>
    <n v="33"/>
    <x v="0"/>
  </r>
  <r>
    <n v="2863"/>
    <s v="HOMBRE"/>
    <n v="368127"/>
    <x v="3"/>
    <x v="1"/>
    <s v="SI"/>
    <s v="NO"/>
    <s v="SI"/>
    <n v="35"/>
    <n v="0.49258699768124525"/>
    <s v="No"/>
    <n v="0.3695280790624787"/>
    <s v="No"/>
    <n v="368127"/>
    <n v="35"/>
    <x v="3"/>
  </r>
  <r>
    <n v="2864"/>
    <s v="HOMBRE"/>
    <n v="258000"/>
    <x v="0"/>
    <x v="1"/>
    <s v="SI"/>
    <s v="NO"/>
    <s v="NO"/>
    <n v="50"/>
    <n v="0.56604295347581735"/>
    <s v="No"/>
    <n v="0.37136067008247126"/>
    <s v="No"/>
    <n v="258000"/>
    <n v="50"/>
    <x v="0"/>
  </r>
  <r>
    <n v="2865"/>
    <s v="HOMBRE"/>
    <n v="23966572"/>
    <x v="0"/>
    <x v="1"/>
    <s v="SI"/>
    <s v="NO"/>
    <s v="NO"/>
    <n v="34"/>
    <n v="0.56316232775838282"/>
    <s v="No"/>
    <n v="2.3166704167681219E-2"/>
    <s v="No"/>
    <n v="23966572"/>
    <n v="34"/>
    <x v="0"/>
  </r>
  <r>
    <n v="2866"/>
    <s v="MUJER"/>
    <n v="297046"/>
    <x v="2"/>
    <x v="1"/>
    <s v="SI"/>
    <s v="NO"/>
    <s v="NO"/>
    <n v="29"/>
    <n v="0.91603897814407031"/>
    <s v="No"/>
    <n v="0.37071091707942361"/>
    <s v="No"/>
    <n v="297046"/>
    <n v="29"/>
    <x v="2"/>
  </r>
  <r>
    <n v="2867"/>
    <s v="HOMBRE"/>
    <n v="335930"/>
    <x v="0"/>
    <x v="1"/>
    <s v="SI"/>
    <s v="NO"/>
    <s v="NO"/>
    <n v="49"/>
    <n v="0.49546762339867978"/>
    <s v="No"/>
    <n v="0.3700638598707337"/>
    <s v="No"/>
    <n v="335930"/>
    <n v="49"/>
    <x v="0"/>
  </r>
  <r>
    <n v="2868"/>
    <s v="MUJER"/>
    <n v="278030"/>
    <x v="4"/>
    <x v="1"/>
    <s v="SI"/>
    <s v="NO"/>
    <s v="NO"/>
    <n v="40"/>
    <n v="0.13971034729555773"/>
    <s v="No"/>
    <n v="0.37102735674304993"/>
    <s v="No"/>
    <n v="278030"/>
    <n v="40"/>
    <x v="4"/>
  </r>
  <r>
    <n v="2869"/>
    <s v="HOMBRE"/>
    <n v="1739925"/>
    <x v="0"/>
    <x v="1"/>
    <s v="SI"/>
    <s v="NO"/>
    <s v="NO"/>
    <n v="43"/>
    <n v="7.2015642935854773E-2"/>
    <s v="No"/>
    <n v="0.34670039197353841"/>
    <s v="No"/>
    <n v="1739925"/>
    <n v="43"/>
    <x v="0"/>
  </r>
  <r>
    <n v="2870"/>
    <s v="MUJER"/>
    <n v="2688750"/>
    <x v="1"/>
    <x v="0"/>
    <s v="SI"/>
    <s v="NO"/>
    <s v="NO"/>
    <n v="80"/>
    <n v="2.6833028557899423"/>
    <s v="Sí"/>
    <n v="0.33091127418639793"/>
    <s v="No"/>
    <n v="2688750"/>
    <n v="80"/>
    <x v="1"/>
  </r>
  <r>
    <n v="2871"/>
    <s v="HOMBRE"/>
    <n v="539969"/>
    <x v="0"/>
    <x v="1"/>
    <s v="SI"/>
    <s v="NO"/>
    <s v="NO"/>
    <n v="47"/>
    <n v="0.35431696324440481"/>
    <s v="No"/>
    <n v="0.36666850687711489"/>
    <s v="No"/>
    <n v="539969"/>
    <n v="47"/>
    <x v="0"/>
  </r>
  <r>
    <n v="2872"/>
    <s v="HOMBRE"/>
    <n v="297045"/>
    <x v="3"/>
    <x v="1"/>
    <s v="SI"/>
    <s v="NO"/>
    <s v="NO"/>
    <n v="54"/>
    <n v="0.84834427378436728"/>
    <s v="No"/>
    <n v="0.37071093372012948"/>
    <s v="No"/>
    <n v="297045"/>
    <n v="54"/>
    <x v="3"/>
  </r>
  <r>
    <n v="2873"/>
    <s v="HOMBRE"/>
    <n v="747205"/>
    <x v="0"/>
    <x v="1"/>
    <s v="SI"/>
    <s v="SI"/>
    <s v="NO"/>
    <n v="31"/>
    <n v="0.77488831798979529"/>
    <s v="No"/>
    <n v="0.36321995354669484"/>
    <s v="No"/>
    <n v="747205"/>
    <n v="31"/>
    <x v="0"/>
  </r>
  <r>
    <n v="2874"/>
    <s v="MUJER"/>
    <n v="3901368"/>
    <x v="0"/>
    <x v="1"/>
    <s v="SI"/>
    <s v="NO"/>
    <s v="NO"/>
    <n v="25"/>
    <n v="1.1983402984526204"/>
    <s v="No"/>
    <n v="0.31073245466456123"/>
    <s v="No"/>
    <n v="3901368"/>
    <n v="25"/>
    <x v="0"/>
  </r>
  <r>
    <n v="2875"/>
    <s v="MUJER"/>
    <n v="338192"/>
    <x v="0"/>
    <x v="0"/>
    <s v="SI"/>
    <s v="NO"/>
    <s v="NO"/>
    <n v="51"/>
    <n v="0.6366182835529548"/>
    <s v="No"/>
    <n v="0.37002621859396034"/>
    <s v="No"/>
    <n v="338192"/>
    <n v="51"/>
    <x v="0"/>
  </r>
  <r>
    <n v="2876"/>
    <s v="MUJER"/>
    <n v="1350000"/>
    <x v="0"/>
    <x v="1"/>
    <s v="SI"/>
    <s v="NO"/>
    <s v="NO"/>
    <n v="57"/>
    <n v="1.0600702640157798"/>
    <s v="No"/>
    <n v="0.35318901922635193"/>
    <s v="No"/>
    <n v="1350000"/>
    <n v="57"/>
    <x v="0"/>
  </r>
  <r>
    <n v="2877"/>
    <s v="MUJER"/>
    <n v="360955414"/>
    <x v="0"/>
    <x v="0"/>
    <s v="SI"/>
    <s v="NO"/>
    <s v="NO"/>
    <n v="55"/>
    <n v="0.91891960386150484"/>
    <s v="No"/>
    <n v="5.6308989195815613"/>
    <s v="Sí"/>
    <n v="360955414"/>
    <n v="55"/>
    <x v="0"/>
  </r>
  <r>
    <n v="2878"/>
    <s v="HOMBRE"/>
    <n v="122041397"/>
    <x v="0"/>
    <x v="1"/>
    <s v="SI"/>
    <s v="NO"/>
    <s v="NO"/>
    <n v="27"/>
    <n v="1.0571896382983452"/>
    <s v="No"/>
    <n v="1.6552010243828845"/>
    <s v="No"/>
    <n v="122041397"/>
    <n v="27"/>
    <x v="0"/>
  </r>
  <r>
    <n v="2879"/>
    <s v="HOMBRE"/>
    <n v="278030"/>
    <x v="4"/>
    <x v="1"/>
    <s v="SI"/>
    <s v="NO"/>
    <s v="NO"/>
    <n v="32"/>
    <n v="0.70431298791265773"/>
    <s v="No"/>
    <n v="0.37102735674304993"/>
    <s v="No"/>
    <n v="278030"/>
    <n v="32"/>
    <x v="4"/>
  </r>
  <r>
    <n v="2880"/>
    <s v="HOMBRE"/>
    <n v="76279688"/>
    <x v="0"/>
    <x v="1"/>
    <s v="SI"/>
    <s v="NO"/>
    <s v="NO"/>
    <n v="26"/>
    <n v="1.1277649683754829"/>
    <s v="No"/>
    <n v="0.89369388287433793"/>
    <s v="No"/>
    <n v="76279688"/>
    <n v="26"/>
    <x v="0"/>
  </r>
  <r>
    <n v="2881"/>
    <s v="HOMBRE"/>
    <n v="41375105"/>
    <x v="0"/>
    <x v="1"/>
    <s v="SI"/>
    <s v="NO"/>
    <s v="NO"/>
    <n v="28"/>
    <n v="0.98661430822120777"/>
    <s v="No"/>
    <n v="0.31285698218346086"/>
    <s v="No"/>
    <n v="41375105"/>
    <n v="28"/>
    <x v="0"/>
  </r>
  <r>
    <n v="2882"/>
    <s v="HOMBRE"/>
    <n v="362000"/>
    <x v="2"/>
    <x v="1"/>
    <s v="SI"/>
    <s v="NO"/>
    <s v="NO"/>
    <n v="35"/>
    <n v="0.49258699768124525"/>
    <s v="No"/>
    <n v="0.36963003666760275"/>
    <s v="No"/>
    <n v="362000"/>
    <n v="35"/>
    <x v="2"/>
  </r>
  <r>
    <n v="2883"/>
    <s v="MUJER"/>
    <n v="297044"/>
    <x v="0"/>
    <x v="1"/>
    <s v="SI"/>
    <s v="NO"/>
    <s v="NO"/>
    <n v="58"/>
    <n v="1.1306455940929174"/>
    <s v="No"/>
    <n v="0.3707109503608354"/>
    <s v="No"/>
    <n v="297044"/>
    <n v="58"/>
    <x v="0"/>
  </r>
  <r>
    <n v="2884"/>
    <s v="HOMBRE"/>
    <n v="2414456"/>
    <x v="0"/>
    <x v="1"/>
    <s v="SI"/>
    <s v="NO"/>
    <s v="NO"/>
    <n v="36"/>
    <n v="0.42201166760410774"/>
    <s v="No"/>
    <n v="0.33547571997387815"/>
    <s v="No"/>
    <n v="2414456"/>
    <n v="36"/>
    <x v="0"/>
  </r>
  <r>
    <n v="2885"/>
    <s v="HOMBRE"/>
    <n v="40665945"/>
    <x v="0"/>
    <x v="0"/>
    <s v="SI"/>
    <s v="NO"/>
    <s v="NO"/>
    <n v="27"/>
    <n v="1.0571896382983452"/>
    <s v="No"/>
    <n v="0.30105605917876715"/>
    <s v="No"/>
    <n v="40665945"/>
    <n v="27"/>
    <x v="0"/>
  </r>
  <r>
    <n v="2886"/>
    <s v="HOMBRE"/>
    <n v="51443514"/>
    <x v="0"/>
    <x v="1"/>
    <s v="SI"/>
    <s v="NO"/>
    <s v="NO"/>
    <n v="48"/>
    <n v="0.42489229332154227"/>
    <s v="No"/>
    <n v="0.48040241535618017"/>
    <s v="No"/>
    <n v="51443514"/>
    <n v="48"/>
    <x v="0"/>
  </r>
  <r>
    <n v="2887"/>
    <s v="MUJER"/>
    <n v="70580713"/>
    <x v="0"/>
    <x v="0"/>
    <s v="SI"/>
    <s v="NO"/>
    <s v="NO"/>
    <n v="34"/>
    <n v="0.56316232775838282"/>
    <s v="No"/>
    <n v="0.7988589158983741"/>
    <s v="No"/>
    <n v="70580713"/>
    <n v="34"/>
    <x v="0"/>
  </r>
  <r>
    <n v="2888"/>
    <s v="MUJER"/>
    <n v="46256985"/>
    <x v="0"/>
    <x v="1"/>
    <s v="SI"/>
    <s v="NO"/>
    <s v="NO"/>
    <n v="27"/>
    <n v="1.0571896382983452"/>
    <s v="No"/>
    <n v="0.39409491156209803"/>
    <s v="No"/>
    <n v="46256985"/>
    <n v="27"/>
    <x v="0"/>
  </r>
  <r>
    <n v="2889"/>
    <s v="HOMBRE"/>
    <n v="100000"/>
    <x v="0"/>
    <x v="1"/>
    <s v="SI"/>
    <s v="NO"/>
    <s v="NO"/>
    <n v="24"/>
    <n v="1.2689156285297578"/>
    <s v="No"/>
    <n v="0.3739899016165984"/>
    <s v="No"/>
    <n v="100000"/>
    <n v="24"/>
    <x v="0"/>
  </r>
  <r>
    <n v="2890"/>
    <s v="HOMBRE"/>
    <n v="337811"/>
    <x v="1"/>
    <x v="0"/>
    <s v="SI"/>
    <s v="NO"/>
    <s v="NO"/>
    <n v="81"/>
    <n v="2.7538781858670798"/>
    <s v="Sí"/>
    <n v="0.37003255870291285"/>
    <s v="No"/>
    <n v="337811"/>
    <n v="81"/>
    <x v="1"/>
  </r>
  <r>
    <n v="2891"/>
    <s v="MUJER"/>
    <n v="35954427"/>
    <x v="6"/>
    <x v="1"/>
    <s v="SI"/>
    <s v="SI"/>
    <s v="NO"/>
    <n v="38"/>
    <n v="0.28086100744983278"/>
    <s v="No"/>
    <n v="0.22265307374074372"/>
    <s v="No"/>
    <n v="35954427"/>
    <n v="38"/>
    <x v="5"/>
  </r>
  <r>
    <n v="2892"/>
    <s v="HOMBRE"/>
    <n v="44438901"/>
    <x v="0"/>
    <x v="0"/>
    <s v="SI"/>
    <s v="NO"/>
    <s v="NO"/>
    <n v="60"/>
    <n v="1.2717962542471923"/>
    <s v="No"/>
    <n v="0.36384071039442695"/>
    <s v="No"/>
    <n v="44438901"/>
    <n v="60"/>
    <x v="0"/>
  </r>
  <r>
    <n v="2893"/>
    <s v="HOMBRE"/>
    <n v="299046"/>
    <x v="2"/>
    <x v="1"/>
    <s v="SI"/>
    <s v="NO"/>
    <s v="NO"/>
    <n v="31"/>
    <n v="0.77488831798979529"/>
    <s v="No"/>
    <n v="0.3706776356675992"/>
    <s v="No"/>
    <n v="299046"/>
    <n v="31"/>
    <x v="2"/>
  </r>
  <r>
    <n v="2894"/>
    <s v="HOMBRE"/>
    <n v="127059665"/>
    <x v="0"/>
    <x v="0"/>
    <s v="SI"/>
    <s v="NO"/>
    <s v="NO"/>
    <n v="44"/>
    <n v="0.14259097301299228"/>
    <s v="No"/>
    <n v="1.7387085463594745"/>
    <s v="No"/>
    <n v="127059665"/>
    <n v="44"/>
    <x v="0"/>
  </r>
  <r>
    <n v="2895"/>
    <s v="HOMBRE"/>
    <n v="92278875"/>
    <x v="0"/>
    <x v="1"/>
    <s v="SI"/>
    <s v="NO"/>
    <s v="NO"/>
    <n v="25"/>
    <n v="1.1983402984526204"/>
    <s v="No"/>
    <n v="1.1599316485755859"/>
    <s v="No"/>
    <n v="92278875"/>
    <n v="25"/>
    <x v="0"/>
  </r>
  <r>
    <n v="2896"/>
    <s v="HOMBRE"/>
    <n v="297045"/>
    <x v="3"/>
    <x v="1"/>
    <s v="SI"/>
    <s v="NO"/>
    <s v="NO"/>
    <n v="49"/>
    <n v="0.49546762339867978"/>
    <s v="No"/>
    <n v="0.37071093372012948"/>
    <s v="No"/>
    <n v="297045"/>
    <n v="49"/>
    <x v="3"/>
  </r>
  <r>
    <n v="2897"/>
    <s v="MUJER"/>
    <n v="105593804"/>
    <x v="0"/>
    <x v="0"/>
    <s v="SI"/>
    <s v="NO"/>
    <s v="NO"/>
    <n v="30"/>
    <n v="0.84546364806693275"/>
    <s v="No"/>
    <n v="1.3815014663063716"/>
    <s v="No"/>
    <n v="105593804"/>
    <n v="30"/>
    <x v="0"/>
  </r>
  <r>
    <n v="2898"/>
    <s v="MUJER"/>
    <n v="639148"/>
    <x v="2"/>
    <x v="1"/>
    <s v="SI"/>
    <s v="NO"/>
    <s v="NO"/>
    <n v="75"/>
    <n v="2.330426205404255"/>
    <s v="Sí"/>
    <n v="0.36501809830544912"/>
    <s v="No"/>
    <n v="639148"/>
    <n v="75"/>
    <x v="2"/>
  </r>
  <r>
    <n v="2899"/>
    <s v="HOMBRE"/>
    <n v="38509362"/>
    <x v="0"/>
    <x v="1"/>
    <s v="SI"/>
    <s v="NO"/>
    <s v="NO"/>
    <n v="44"/>
    <n v="0.14259097301299228"/>
    <s v="No"/>
    <n v="0.26516899570052321"/>
    <s v="No"/>
    <n v="38509362"/>
    <n v="44"/>
    <x v="0"/>
  </r>
  <r>
    <n v="2900"/>
    <s v="HOMBRE"/>
    <n v="64625166"/>
    <x v="0"/>
    <x v="1"/>
    <s v="SI"/>
    <s v="NO"/>
    <s v="NO"/>
    <n v="27"/>
    <n v="1.0571896382983452"/>
    <s v="No"/>
    <n v="0.69975440972510594"/>
    <s v="No"/>
    <n v="64625166"/>
    <n v="27"/>
    <x v="0"/>
  </r>
  <r>
    <n v="2901"/>
    <s v="HOMBRE"/>
    <n v="330000"/>
    <x v="0"/>
    <x v="1"/>
    <s v="SI"/>
    <s v="SI"/>
    <s v="NO"/>
    <n v="47"/>
    <n v="0.35431696324440481"/>
    <s v="No"/>
    <n v="0.37016253925679304"/>
    <s v="No"/>
    <n v="330000"/>
    <n v="47"/>
    <x v="0"/>
  </r>
  <r>
    <n v="2902"/>
    <s v="HOMBRE"/>
    <n v="297046"/>
    <x v="3"/>
    <x v="1"/>
    <s v="SI"/>
    <s v="NO"/>
    <s v="NO"/>
    <n v="63"/>
    <n v="1.4835222444786049"/>
    <s v="No"/>
    <n v="0.37071091707942361"/>
    <s v="No"/>
    <n v="297046"/>
    <n v="63"/>
    <x v="3"/>
  </r>
  <r>
    <n v="2903"/>
    <s v="MUJER"/>
    <n v="62239465"/>
    <x v="0"/>
    <x v="1"/>
    <s v="SI"/>
    <s v="NO"/>
    <s v="SI"/>
    <n v="23"/>
    <n v="1.3394909586068953"/>
    <s v="No"/>
    <n v="0.66005466098967114"/>
    <s v="No"/>
    <n v="62239465"/>
    <n v="23"/>
    <x v="0"/>
  </r>
  <r>
    <n v="2904"/>
    <s v="HOMBRE"/>
    <n v="171000"/>
    <x v="0"/>
    <x v="1"/>
    <s v="SI"/>
    <s v="NO"/>
    <s v="NO"/>
    <n v="56"/>
    <n v="0.9894949339386423"/>
    <s v="No"/>
    <n v="0.37280841149683241"/>
    <s v="No"/>
    <n v="171000"/>
    <n v="56"/>
    <x v="0"/>
  </r>
  <r>
    <n v="2905"/>
    <s v="MUJER"/>
    <n v="38540061"/>
    <x v="0"/>
    <x v="1"/>
    <s v="SI"/>
    <s v="SI"/>
    <s v="NO"/>
    <n v="30"/>
    <n v="0.84546364806693275"/>
    <s v="No"/>
    <n v="0.26567984873132172"/>
    <s v="No"/>
    <n v="38540061"/>
    <n v="30"/>
    <x v="0"/>
  </r>
  <r>
    <n v="2906"/>
    <s v="MUJER"/>
    <n v="161931326"/>
    <x v="0"/>
    <x v="1"/>
    <s v="SI"/>
    <s v="NO"/>
    <s v="NO"/>
    <n v="33"/>
    <n v="0.63373765783552027"/>
    <s v="No"/>
    <n v="2.3189976017303104"/>
    <s v="Sí"/>
    <n v="161931326"/>
    <n v="33"/>
    <x v="0"/>
  </r>
  <r>
    <n v="2907"/>
    <s v="HOMBRE"/>
    <n v="40354167"/>
    <x v="0"/>
    <x v="1"/>
    <s v="SI"/>
    <s v="NO"/>
    <s v="NO"/>
    <n v="43"/>
    <n v="7.2015642935854773E-2"/>
    <s v="No"/>
    <n v="0.29586785317087411"/>
    <s v="No"/>
    <n v="40354167"/>
    <n v="43"/>
    <x v="0"/>
  </r>
  <r>
    <n v="2908"/>
    <s v="HOMBRE"/>
    <n v="600000"/>
    <x v="0"/>
    <x v="1"/>
    <s v="SI"/>
    <s v="NO"/>
    <s v="NO"/>
    <n v="24"/>
    <n v="1.2689156285297578"/>
    <s v="No"/>
    <n v="0.36566954866049978"/>
    <s v="No"/>
    <n v="600000"/>
    <n v="24"/>
    <x v="0"/>
  </r>
  <r>
    <n v="2909"/>
    <s v="HOMBRE"/>
    <n v="319300"/>
    <x v="0"/>
    <x v="1"/>
    <s v="SI"/>
    <s v="NO"/>
    <s v="NO"/>
    <n v="69"/>
    <n v="1.9069742249414299"/>
    <s v="No"/>
    <n v="0.37034059481005355"/>
    <s v="No"/>
    <n v="319300"/>
    <n v="69"/>
    <x v="0"/>
  </r>
  <r>
    <n v="2910"/>
    <s v="HOMBRE"/>
    <n v="445567"/>
    <x v="3"/>
    <x v="1"/>
    <s v="SI"/>
    <s v="NO"/>
    <s v="SI"/>
    <n v="35"/>
    <n v="0.49258699768124525"/>
    <s v="No"/>
    <n v="0.36823942279663813"/>
    <s v="No"/>
    <n v="445567"/>
    <n v="35"/>
    <x v="3"/>
  </r>
  <r>
    <n v="2911"/>
    <s v="HOMBRE"/>
    <n v="314396"/>
    <x v="0"/>
    <x v="0"/>
    <s v="SI"/>
    <s v="NO"/>
    <s v="SI"/>
    <n v="53"/>
    <n v="0.77776894370722982"/>
    <s v="No"/>
    <n v="0.37042220083184696"/>
    <s v="No"/>
    <n v="314396"/>
    <n v="53"/>
    <x v="0"/>
  </r>
  <r>
    <n v="2912"/>
    <s v="MUJER"/>
    <n v="1165110"/>
    <x v="0"/>
    <x v="0"/>
    <s v="SI"/>
    <s v="NO"/>
    <s v="SI"/>
    <n v="38"/>
    <n v="0.28086100744983278"/>
    <s v="No"/>
    <n v="0.35626571934245804"/>
    <s v="No"/>
    <n v="1165110"/>
    <n v="38"/>
    <x v="0"/>
  </r>
  <r>
    <n v="2913"/>
    <s v="HOMBRE"/>
    <n v="639148"/>
    <x v="3"/>
    <x v="1"/>
    <s v="SI"/>
    <s v="NO"/>
    <s v="SI"/>
    <n v="69"/>
    <n v="1.9069742249414299"/>
    <s v="No"/>
    <n v="0.36501809830544912"/>
    <s v="No"/>
    <n v="639148"/>
    <n v="69"/>
    <x v="3"/>
  </r>
  <r>
    <n v="2914"/>
    <s v="MUJER"/>
    <n v="65981965"/>
    <x v="0"/>
    <x v="0"/>
    <s v="SI"/>
    <s v="NO"/>
    <s v="NO"/>
    <n v="26"/>
    <n v="1.1277649683754829"/>
    <s v="No"/>
    <n v="0.72233250286606909"/>
    <s v="No"/>
    <n v="65981965"/>
    <n v="26"/>
    <x v="0"/>
  </r>
  <r>
    <n v="2915"/>
    <s v="MUJER"/>
    <n v="297500"/>
    <x v="2"/>
    <x v="1"/>
    <s v="SI"/>
    <s v="SI"/>
    <s v="NO"/>
    <n v="29"/>
    <n v="0.91603897814407031"/>
    <s v="No"/>
    <n v="0.37070336219893946"/>
    <s v="No"/>
    <n v="297500"/>
    <n v="29"/>
    <x v="2"/>
  </r>
  <r>
    <n v="2916"/>
    <s v="HOMBRE"/>
    <n v="75608419"/>
    <x v="0"/>
    <x v="1"/>
    <s v="SI"/>
    <s v="NO"/>
    <s v="NO"/>
    <n v="21"/>
    <n v="1.4806416187611704"/>
    <s v="No"/>
    <n v="0.88252349285736331"/>
    <s v="No"/>
    <n v="75608419"/>
    <n v="21"/>
    <x v="0"/>
  </r>
  <r>
    <n v="2917"/>
    <s v="MUJER"/>
    <n v="3792375"/>
    <x v="0"/>
    <x v="0"/>
    <s v="SI"/>
    <s v="NO"/>
    <s v="NO"/>
    <n v="25"/>
    <n v="1.1983402984526204"/>
    <s v="No"/>
    <n v="0.31254617512404936"/>
    <s v="No"/>
    <n v="3792375"/>
    <n v="25"/>
    <x v="0"/>
  </r>
  <r>
    <n v="2918"/>
    <s v="HOMBRE"/>
    <n v="31158504"/>
    <x v="0"/>
    <x v="1"/>
    <s v="SI"/>
    <s v="NO"/>
    <s v="NO"/>
    <n v="26"/>
    <n v="1.1277649683754829"/>
    <s v="No"/>
    <n v="0.1428455295202013"/>
    <s v="No"/>
    <n v="31158504"/>
    <n v="26"/>
    <x v="0"/>
  </r>
  <r>
    <n v="2919"/>
    <s v="MUJER"/>
    <n v="19834605"/>
    <x v="0"/>
    <x v="0"/>
    <s v="SI"/>
    <s v="NO"/>
    <s v="NO"/>
    <n v="61"/>
    <n v="1.3423715843243298"/>
    <s v="No"/>
    <n v="4.5592143518222418E-2"/>
    <s v="No"/>
    <n v="19834605"/>
    <n v="61"/>
    <x v="0"/>
  </r>
  <r>
    <n v="2920"/>
    <s v="HOMBRE"/>
    <n v="723495"/>
    <x v="0"/>
    <x v="0"/>
    <s v="SI"/>
    <s v="NO"/>
    <s v="NO"/>
    <n v="37"/>
    <n v="0.35143633752697023"/>
    <s v="No"/>
    <n v="0.36361450468387302"/>
    <s v="No"/>
    <n v="723495"/>
    <n v="37"/>
    <x v="0"/>
  </r>
  <r>
    <n v="2921"/>
    <s v="HOMBRE"/>
    <n v="42697782"/>
    <x v="0"/>
    <x v="1"/>
    <s v="SI"/>
    <s v="SI"/>
    <s v="NO"/>
    <n v="53"/>
    <n v="0.77776894370722982"/>
    <s v="No"/>
    <n v="0.3348672611572881"/>
    <s v="No"/>
    <n v="42697782"/>
    <n v="53"/>
    <x v="0"/>
  </r>
  <r>
    <n v="2922"/>
    <s v="MUJER"/>
    <n v="1459586"/>
    <x v="0"/>
    <x v="0"/>
    <s v="SI"/>
    <s v="NO"/>
    <s v="NO"/>
    <n v="47"/>
    <n v="0.35431696324440481"/>
    <s v="No"/>
    <n v="0.35136543082825789"/>
    <s v="No"/>
    <n v="1459586"/>
    <n v="47"/>
    <x v="0"/>
  </r>
  <r>
    <n v="2923"/>
    <s v="HOMBRE"/>
    <n v="44782578"/>
    <x v="0"/>
    <x v="1"/>
    <s v="SI"/>
    <s v="NO"/>
    <s v="NO"/>
    <n v="53"/>
    <n v="0.77776894370722982"/>
    <s v="No"/>
    <n v="0.36955973828021316"/>
    <s v="No"/>
    <n v="44782578"/>
    <n v="53"/>
    <x v="0"/>
  </r>
  <r>
    <n v="2924"/>
    <s v="MUJER"/>
    <n v="297865"/>
    <x v="3"/>
    <x v="1"/>
    <s v="SI"/>
    <s v="NO"/>
    <s v="NO"/>
    <n v="41"/>
    <n v="6.9135017218420233E-2"/>
    <s v="No"/>
    <n v="0.37069728834128152"/>
    <s v="No"/>
    <n v="297865"/>
    <n v="41"/>
    <x v="3"/>
  </r>
  <r>
    <n v="2925"/>
    <s v="HOMBRE"/>
    <n v="41640624"/>
    <x v="0"/>
    <x v="1"/>
    <s v="SI"/>
    <s v="NO"/>
    <s v="NO"/>
    <n v="35"/>
    <n v="0.49258699768124525"/>
    <s v="No"/>
    <n v="0.31727540577656155"/>
    <s v="No"/>
    <n v="41640624"/>
    <n v="35"/>
    <x v="0"/>
  </r>
  <r>
    <n v="2926"/>
    <s v="HOMBRE"/>
    <n v="54861175"/>
    <x v="0"/>
    <x v="1"/>
    <s v="SI"/>
    <s v="NO"/>
    <s v="NO"/>
    <n v="27"/>
    <n v="1.0571896382983452"/>
    <s v="No"/>
    <n v="0.53727470696476587"/>
    <s v="No"/>
    <n v="54861175"/>
    <n v="27"/>
    <x v="0"/>
  </r>
  <r>
    <n v="2927"/>
    <s v="HOMBRE"/>
    <n v="445567"/>
    <x v="3"/>
    <x v="1"/>
    <s v="SI"/>
    <s v="NO"/>
    <s v="SI"/>
    <n v="52"/>
    <n v="0.70719361363009237"/>
    <s v="No"/>
    <n v="0.36823942279663813"/>
    <s v="No"/>
    <n v="445567"/>
    <n v="52"/>
    <x v="3"/>
  </r>
  <r>
    <n v="2928"/>
    <s v="MUJER"/>
    <n v="918531"/>
    <x v="0"/>
    <x v="1"/>
    <s v="SI"/>
    <s v="NO"/>
    <s v="NO"/>
    <n v="33"/>
    <n v="0.63373765783552027"/>
    <s v="No"/>
    <n v="0.36036896796558171"/>
    <s v="No"/>
    <n v="918531"/>
    <n v="33"/>
    <x v="0"/>
  </r>
  <r>
    <n v="2929"/>
    <s v="HOMBRE"/>
    <n v="484083"/>
    <x v="0"/>
    <x v="1"/>
    <s v="SI"/>
    <s v="NO"/>
    <s v="NO"/>
    <n v="33"/>
    <n v="0.63373765783552027"/>
    <s v="No"/>
    <n v="0.36759848936772394"/>
    <s v="No"/>
    <n v="484083"/>
    <n v="33"/>
    <x v="0"/>
  </r>
  <r>
    <n v="2930"/>
    <s v="HOMBRE"/>
    <n v="437310"/>
    <x v="0"/>
    <x v="1"/>
    <s v="SI"/>
    <s v="NO"/>
    <s v="NO"/>
    <n v="31"/>
    <n v="0.77488831798979529"/>
    <s v="No"/>
    <n v="0.36837682510535513"/>
    <s v="No"/>
    <n v="437310"/>
    <n v="31"/>
    <x v="0"/>
  </r>
  <r>
    <n v="2931"/>
    <s v="HOMBRE"/>
    <n v="33022688"/>
    <x v="0"/>
    <x v="1"/>
    <s v="SI"/>
    <s v="SI"/>
    <s v="NO"/>
    <n v="49"/>
    <n v="0.49546762339867978"/>
    <s v="No"/>
    <n v="0.17386686723042466"/>
    <s v="No"/>
    <n v="33022688"/>
    <n v="49"/>
    <x v="0"/>
  </r>
  <r>
    <n v="2932"/>
    <s v="HOMBRE"/>
    <n v="3217274"/>
    <x v="1"/>
    <x v="0"/>
    <s v="SI"/>
    <s v="NO"/>
    <s v="NO"/>
    <n v="80"/>
    <n v="2.6833028557899423"/>
    <s v="Sí"/>
    <n v="0.32211626173485985"/>
    <s v="No"/>
    <n v="3217274"/>
    <n v="80"/>
    <x v="1"/>
  </r>
  <r>
    <n v="2933"/>
    <s v="MUJER"/>
    <n v="250000"/>
    <x v="0"/>
    <x v="1"/>
    <s v="SI"/>
    <s v="SI"/>
    <s v="NO"/>
    <n v="53"/>
    <n v="0.77776894370722982"/>
    <s v="No"/>
    <n v="0.37149379572976882"/>
    <s v="No"/>
    <n v="250000"/>
    <n v="53"/>
    <x v="0"/>
  </r>
  <r>
    <n v="2934"/>
    <s v="MUJER"/>
    <n v="297046"/>
    <x v="2"/>
    <x v="1"/>
    <s v="SI"/>
    <s v="NO"/>
    <s v="NO"/>
    <n v="55"/>
    <n v="0.91891960386150484"/>
    <s v="No"/>
    <n v="0.37071091707942361"/>
    <s v="No"/>
    <n v="297046"/>
    <n v="55"/>
    <x v="2"/>
  </r>
  <r>
    <n v="2935"/>
    <s v="HOMBRE"/>
    <n v="35954427"/>
    <x v="6"/>
    <x v="1"/>
    <s v="SI"/>
    <s v="SI"/>
    <s v="NO"/>
    <n v="66"/>
    <n v="1.6952482347100173"/>
    <s v="No"/>
    <n v="0.22265307374074372"/>
    <s v="No"/>
    <n v="35954427"/>
    <n v="66"/>
    <x v="5"/>
  </r>
  <r>
    <n v="2936"/>
    <s v="HOMBRE"/>
    <n v="9249999"/>
    <x v="0"/>
    <x v="1"/>
    <s v="SI"/>
    <s v="NO"/>
    <s v="NO"/>
    <n v="27"/>
    <n v="1.0571896382983452"/>
    <s v="No"/>
    <n v="0.22172745916070014"/>
    <s v="No"/>
    <n v="9249999"/>
    <n v="27"/>
    <x v="0"/>
  </r>
  <r>
    <n v="2937"/>
    <s v="MUJER"/>
    <n v="323296"/>
    <x v="2"/>
    <x v="1"/>
    <s v="SI"/>
    <s v="SI"/>
    <s v="NO"/>
    <n v="38"/>
    <n v="0.28086100744983278"/>
    <s v="No"/>
    <n v="0.37027409854922838"/>
    <s v="No"/>
    <n v="323296"/>
    <n v="38"/>
    <x v="2"/>
  </r>
  <r>
    <n v="2938"/>
    <s v="HOMBRE"/>
    <n v="348000"/>
    <x v="0"/>
    <x v="1"/>
    <s v="SI"/>
    <s v="NO"/>
    <s v="SI"/>
    <n v="19"/>
    <n v="1.6217922789154453"/>
    <s v="No"/>
    <n v="0.36986300655037346"/>
    <s v="No"/>
    <n v="348000"/>
    <n v="19"/>
    <x v="0"/>
  </r>
  <r>
    <n v="2939"/>
    <s v="MUJER"/>
    <n v="295000"/>
    <x v="2"/>
    <x v="1"/>
    <s v="SI"/>
    <s v="SI"/>
    <s v="NO"/>
    <n v="33"/>
    <n v="0.63373765783552027"/>
    <s v="No"/>
    <n v="0.37074496396371992"/>
    <s v="No"/>
    <n v="295000"/>
    <n v="33"/>
    <x v="2"/>
  </r>
  <r>
    <n v="2940"/>
    <s v="HOMBRE"/>
    <n v="297045"/>
    <x v="3"/>
    <x v="1"/>
    <s v="SI"/>
    <s v="NO"/>
    <s v="NO"/>
    <n v="49"/>
    <n v="0.49546762339867978"/>
    <s v="No"/>
    <n v="0.37071093372012948"/>
    <s v="No"/>
    <n v="297045"/>
    <n v="49"/>
    <x v="3"/>
  </r>
  <r>
    <n v="2941"/>
    <s v="HOMBRE"/>
    <n v="1889038"/>
    <x v="1"/>
    <x v="0"/>
    <s v="SI"/>
    <s v="NO"/>
    <s v="NO"/>
    <n v="67"/>
    <n v="1.765823564787155"/>
    <s v="No"/>
    <n v="0.344219046392853"/>
    <s v="No"/>
    <n v="1889038"/>
    <n v="67"/>
    <x v="1"/>
  </r>
  <r>
    <n v="2942"/>
    <s v="MUJER"/>
    <n v="1675853"/>
    <x v="1"/>
    <x v="0"/>
    <s v="SI"/>
    <s v="NO"/>
    <s v="NO"/>
    <n v="55"/>
    <n v="0.91891960386150484"/>
    <s v="No"/>
    <n v="0.34776659528274473"/>
    <s v="No"/>
    <n v="1675853"/>
    <n v="55"/>
    <x v="1"/>
  </r>
  <r>
    <n v="2943"/>
    <s v="HOMBRE"/>
    <n v="25000"/>
    <x v="0"/>
    <x v="1"/>
    <s v="SI"/>
    <s v="NO"/>
    <s v="NO"/>
    <n v="18"/>
    <n v="1.6923676089925828"/>
    <s v="No"/>
    <n v="0.37523795456001319"/>
    <s v="No"/>
    <n v="25000"/>
    <n v="18"/>
    <x v="0"/>
  </r>
  <r>
    <n v="2944"/>
    <s v="HOMBRE"/>
    <n v="3777301"/>
    <x v="0"/>
    <x v="1"/>
    <s v="SI"/>
    <s v="NO"/>
    <s v="NO"/>
    <n v="46"/>
    <n v="0.2837416331672673"/>
    <s v="No"/>
    <n v="0.31279701712496982"/>
    <s v="No"/>
    <n v="3777301"/>
    <n v="46"/>
    <x v="0"/>
  </r>
  <r>
    <n v="2945"/>
    <s v="HOMBRE"/>
    <n v="38541182"/>
    <x v="0"/>
    <x v="1"/>
    <s v="SI"/>
    <s v="NO"/>
    <s v="NO"/>
    <n v="24"/>
    <n v="1.2689156285297578"/>
    <s v="No"/>
    <n v="0.2656985029626493"/>
    <s v="No"/>
    <n v="38541182"/>
    <n v="24"/>
    <x v="0"/>
  </r>
  <r>
    <n v="2946"/>
    <s v="MUJER"/>
    <n v="1621195"/>
    <x v="0"/>
    <x v="0"/>
    <s v="SI"/>
    <s v="NO"/>
    <s v="NO"/>
    <n v="31"/>
    <n v="0.77488831798979529"/>
    <s v="No"/>
    <n v="0.34867614298649358"/>
    <s v="No"/>
    <n v="1621195"/>
    <n v="31"/>
    <x v="0"/>
  </r>
  <r>
    <n v="2947"/>
    <s v="MUJER"/>
    <n v="782500"/>
    <x v="0"/>
    <x v="0"/>
    <s v="SI"/>
    <s v="NO"/>
    <s v="NO"/>
    <n v="28"/>
    <n v="0.98661430822120777"/>
    <s v="No"/>
    <n v="0.36263261983152384"/>
    <s v="No"/>
    <n v="782500"/>
    <n v="28"/>
    <x v="0"/>
  </r>
  <r>
    <n v="2948"/>
    <s v="HOMBRE"/>
    <n v="467011"/>
    <x v="0"/>
    <x v="1"/>
    <s v="SI"/>
    <s v="NO"/>
    <s v="NO"/>
    <n v="57"/>
    <n v="1.0600702640157798"/>
    <s v="No"/>
    <n v="0.36788257949905701"/>
    <s v="No"/>
    <n v="467011"/>
    <n v="57"/>
    <x v="0"/>
  </r>
  <r>
    <n v="2949"/>
    <s v="MUJER"/>
    <n v="240000"/>
    <x v="0"/>
    <x v="1"/>
    <s v="SI"/>
    <s v="NO"/>
    <s v="NO"/>
    <n v="41"/>
    <n v="6.9135017218420233E-2"/>
    <s v="No"/>
    <n v="0.37166020278889078"/>
    <s v="No"/>
    <n v="240000"/>
    <n v="41"/>
    <x v="0"/>
  </r>
  <r>
    <n v="2950"/>
    <s v="MUJER"/>
    <n v="80642108"/>
    <x v="0"/>
    <x v="1"/>
    <s v="SI"/>
    <s v="NO"/>
    <s v="NO"/>
    <n v="58"/>
    <n v="1.1306455940929174"/>
    <s v="No"/>
    <n v="0.96628763115982519"/>
    <s v="No"/>
    <n v="80642108"/>
    <n v="58"/>
    <x v="0"/>
  </r>
  <r>
    <n v="2951"/>
    <s v="MUJER"/>
    <n v="400000"/>
    <x v="0"/>
    <x v="1"/>
    <s v="SI"/>
    <s v="NO"/>
    <s v="NO"/>
    <n v="25"/>
    <n v="1.1983402984526204"/>
    <s v="No"/>
    <n v="0.36899768984293924"/>
    <s v="No"/>
    <n v="400000"/>
    <n v="25"/>
    <x v="0"/>
  </r>
  <r>
    <n v="2952"/>
    <s v="HOMBRE"/>
    <n v="299441"/>
    <x v="3"/>
    <x v="1"/>
    <s v="SI"/>
    <s v="SI"/>
    <s v="SI"/>
    <n v="53"/>
    <n v="0.77776894370722982"/>
    <s v="No"/>
    <n v="0.37067106258876387"/>
    <s v="No"/>
    <n v="299441"/>
    <n v="53"/>
    <x v="3"/>
  </r>
  <r>
    <n v="2953"/>
    <s v="HOMBRE"/>
    <n v="37716437"/>
    <x v="0"/>
    <x v="1"/>
    <s v="SI"/>
    <s v="NO"/>
    <s v="NO"/>
    <n v="39"/>
    <n v="0.21028567737269524"/>
    <s v="No"/>
    <n v="0.25197416396509426"/>
    <s v="No"/>
    <n v="37716437"/>
    <n v="39"/>
    <x v="0"/>
  </r>
  <r>
    <n v="2954"/>
    <s v="MUJER"/>
    <n v="523392"/>
    <x v="0"/>
    <x v="1"/>
    <s v="SI"/>
    <s v="NO"/>
    <s v="NO"/>
    <n v="21"/>
    <n v="1.4806416187611704"/>
    <s v="No"/>
    <n v="0.36694435985902141"/>
    <s v="No"/>
    <n v="523392"/>
    <n v="21"/>
    <x v="0"/>
  </r>
  <r>
    <n v="2955"/>
    <s v="HOMBRE"/>
    <n v="297046"/>
    <x v="3"/>
    <x v="1"/>
    <s v="NO"/>
    <s v="NO"/>
    <s v="SI"/>
    <n v="69"/>
    <n v="1.9069742249414299"/>
    <s v="No"/>
    <n v="0.37071091707942361"/>
    <s v="No"/>
    <n v="297046"/>
    <n v="69"/>
    <x v="3"/>
  </r>
  <r>
    <n v="2956"/>
    <s v="MUJER"/>
    <n v="3975599"/>
    <x v="0"/>
    <x v="1"/>
    <s v="SI"/>
    <s v="SI"/>
    <s v="NO"/>
    <n v="26"/>
    <n v="1.1277649683754829"/>
    <s v="No"/>
    <n v="0.30949719842399293"/>
    <s v="No"/>
    <n v="3975599"/>
    <n v="26"/>
    <x v="0"/>
  </r>
  <r>
    <n v="2957"/>
    <s v="HOMBRE"/>
    <n v="56679541"/>
    <x v="0"/>
    <x v="0"/>
    <s v="SI"/>
    <s v="NO"/>
    <s v="NO"/>
    <n v="45"/>
    <n v="0.21316630309012977"/>
    <s v="No"/>
    <n v="0.56753360081150417"/>
    <s v="No"/>
    <n v="56679541"/>
    <n v="45"/>
    <x v="0"/>
  </r>
  <r>
    <n v="2958"/>
    <s v="HOMBRE"/>
    <n v="5904217"/>
    <x v="0"/>
    <x v="0"/>
    <s v="SI"/>
    <s v="NO"/>
    <s v="NO"/>
    <n v="34"/>
    <n v="0.56316232775838282"/>
    <s v="No"/>
    <n v="0.27740363346902303"/>
    <s v="No"/>
    <n v="5904217"/>
    <n v="34"/>
    <x v="0"/>
  </r>
  <r>
    <n v="2959"/>
    <s v="HOMBRE"/>
    <n v="36383334"/>
    <x v="0"/>
    <x v="1"/>
    <s v="SI"/>
    <s v="NO"/>
    <s v="NO"/>
    <n v="33"/>
    <n v="0.63373765783552027"/>
    <s v="No"/>
    <n v="0.22979038899142645"/>
    <s v="No"/>
    <n v="36383334"/>
    <n v="33"/>
    <x v="0"/>
  </r>
  <r>
    <n v="2960"/>
    <s v="HOMBRE"/>
    <n v="297046"/>
    <x v="3"/>
    <x v="1"/>
    <s v="SI"/>
    <s v="SI"/>
    <s v="SI"/>
    <n v="36"/>
    <n v="0.42201166760410774"/>
    <s v="No"/>
    <n v="0.37071091707942361"/>
    <s v="No"/>
    <n v="297046"/>
    <n v="36"/>
    <x v="3"/>
  </r>
  <r>
    <n v="2961"/>
    <s v="HOMBRE"/>
    <n v="225000"/>
    <x v="0"/>
    <x v="1"/>
    <s v="SI"/>
    <s v="SI"/>
    <s v="SI"/>
    <n v="47"/>
    <n v="0.35431696324440481"/>
    <s v="No"/>
    <n v="0.37190981337757373"/>
    <s v="No"/>
    <n v="225000"/>
    <n v="47"/>
    <x v="0"/>
  </r>
  <r>
    <n v="2962"/>
    <s v="HOMBRE"/>
    <n v="105491489"/>
    <x v="0"/>
    <x v="0"/>
    <s v="SI"/>
    <s v="NO"/>
    <s v="NO"/>
    <n v="50"/>
    <n v="0.56604295347581735"/>
    <s v="No"/>
    <n v="1.3797988724809653"/>
    <s v="No"/>
    <n v="105491489"/>
    <n v="50"/>
    <x v="0"/>
  </r>
  <r>
    <n v="2963"/>
    <s v="HOMBRE"/>
    <n v="229028"/>
    <x v="0"/>
    <x v="1"/>
    <s v="SI"/>
    <s v="NO"/>
    <s v="NO"/>
    <n v="20"/>
    <n v="1.5512169488383079"/>
    <s v="No"/>
    <n v="0.37184278461415943"/>
    <s v="No"/>
    <n v="229028"/>
    <n v="20"/>
    <x v="0"/>
  </r>
  <r>
    <n v="2964"/>
    <s v="HOMBRE"/>
    <n v="836076"/>
    <x v="0"/>
    <x v="0"/>
    <s v="SI"/>
    <s v="NO"/>
    <s v="NO"/>
    <n v="32"/>
    <n v="0.70431298791265773"/>
    <s v="No"/>
    <n v="0.36174107737157196"/>
    <s v="No"/>
    <n v="836076"/>
    <n v="32"/>
    <x v="0"/>
  </r>
  <r>
    <n v="2965"/>
    <s v="MUJER"/>
    <n v="297046"/>
    <x v="3"/>
    <x v="1"/>
    <s v="SI"/>
    <s v="NO"/>
    <s v="SI"/>
    <n v="38"/>
    <n v="0.28086100744983278"/>
    <s v="No"/>
    <n v="0.37071091707942361"/>
    <s v="No"/>
    <n v="297046"/>
    <n v="38"/>
    <x v="3"/>
  </r>
  <r>
    <n v="2966"/>
    <s v="MUJER"/>
    <n v="6602597"/>
    <x v="0"/>
    <x v="0"/>
    <s v="SI"/>
    <s v="NO"/>
    <s v="NO"/>
    <n v="24"/>
    <n v="1.2689156285297578"/>
    <s v="No"/>
    <n v="0.26578209727406277"/>
    <s v="No"/>
    <n v="6602597"/>
    <n v="24"/>
    <x v="0"/>
  </r>
  <r>
    <n v="2967"/>
    <s v="MUJER"/>
    <n v="297139"/>
    <x v="2"/>
    <x v="1"/>
    <s v="SI"/>
    <s v="NO"/>
    <s v="NO"/>
    <n v="56"/>
    <n v="0.9894949339386423"/>
    <s v="No"/>
    <n v="0.37070936949377375"/>
    <s v="No"/>
    <n v="297139"/>
    <n v="56"/>
    <x v="2"/>
  </r>
  <r>
    <n v="2968"/>
    <s v="MUJER"/>
    <n v="125334312"/>
    <x v="0"/>
    <x v="1"/>
    <s v="SI"/>
    <s v="NO"/>
    <s v="NO"/>
    <n v="35"/>
    <n v="0.49258699768124525"/>
    <s v="No"/>
    <n v="1.7099974544917473"/>
    <s v="No"/>
    <n v="125334312"/>
    <n v="35"/>
    <x v="0"/>
  </r>
  <r>
    <n v="2969"/>
    <s v="HOMBRE"/>
    <n v="297046"/>
    <x v="3"/>
    <x v="1"/>
    <s v="SI"/>
    <s v="NO"/>
    <s v="NO"/>
    <n v="59"/>
    <n v="1.2012209241700549"/>
    <s v="No"/>
    <n v="0.37071091707942361"/>
    <s v="No"/>
    <n v="297046"/>
    <n v="59"/>
    <x v="3"/>
  </r>
  <r>
    <n v="2970"/>
    <s v="HOMBRE"/>
    <n v="392675"/>
    <x v="3"/>
    <x v="1"/>
    <s v="SI"/>
    <s v="NO"/>
    <s v="NO"/>
    <n v="44"/>
    <n v="0.14259097301299228"/>
    <s v="No"/>
    <n v="0.36911958301374609"/>
    <s v="No"/>
    <n v="392675"/>
    <n v="44"/>
    <x v="3"/>
  </r>
  <r>
    <n v="2971"/>
    <s v="MUJER"/>
    <n v="300018"/>
    <x v="2"/>
    <x v="1"/>
    <s v="SI"/>
    <s v="NO"/>
    <s v="NO"/>
    <n v="58"/>
    <n v="1.1306455940929174"/>
    <s v="No"/>
    <n v="0.37066146090145252"/>
    <s v="No"/>
    <n v="300018"/>
    <n v="58"/>
    <x v="2"/>
  </r>
  <r>
    <n v="2972"/>
    <s v="MUJER"/>
    <n v="127500"/>
    <x v="0"/>
    <x v="1"/>
    <s v="SI"/>
    <s v="NO"/>
    <s v="SI"/>
    <n v="52"/>
    <n v="0.70719361363009237"/>
    <s v="No"/>
    <n v="0.37353228220401297"/>
    <s v="No"/>
    <n v="127500"/>
    <n v="52"/>
    <x v="0"/>
  </r>
  <r>
    <n v="2973"/>
    <s v="MUJER"/>
    <n v="296000"/>
    <x v="0"/>
    <x v="1"/>
    <s v="SI"/>
    <s v="NO"/>
    <s v="NO"/>
    <n v="57"/>
    <n v="1.0600702640157798"/>
    <s v="No"/>
    <n v="0.37072832325780775"/>
    <s v="No"/>
    <n v="296000"/>
    <n v="57"/>
    <x v="0"/>
  </r>
  <r>
    <n v="2974"/>
    <s v="MUJER"/>
    <n v="6485119"/>
    <x v="0"/>
    <x v="1"/>
    <s v="SI"/>
    <s v="NO"/>
    <s v="NO"/>
    <n v="25"/>
    <n v="1.1983402984526204"/>
    <s v="No"/>
    <n v="0.26773701412321588"/>
    <s v="No"/>
    <n v="6485119"/>
    <n v="25"/>
    <x v="0"/>
  </r>
  <r>
    <n v="2975"/>
    <s v="MUJER"/>
    <n v="10"/>
    <x v="0"/>
    <x v="0"/>
    <s v="SI"/>
    <s v="NO"/>
    <s v="NO"/>
    <n v="51"/>
    <n v="0.6366182835529548"/>
    <s v="No"/>
    <n v="0.37565380580075897"/>
    <s v="No"/>
    <n v="10"/>
    <n v="51"/>
    <x v="0"/>
  </r>
  <r>
    <n v="2976"/>
    <s v="MUJER"/>
    <n v="97686832"/>
    <x v="0"/>
    <x v="1"/>
    <s v="SI"/>
    <s v="NO"/>
    <s v="NO"/>
    <n v="37"/>
    <n v="0.35143633752697023"/>
    <s v="No"/>
    <n v="1.2499238705983942"/>
    <s v="No"/>
    <n v="97686832"/>
    <n v="37"/>
    <x v="0"/>
  </r>
  <r>
    <n v="2977"/>
    <s v="HOMBRE"/>
    <n v="301783"/>
    <x v="0"/>
    <x v="1"/>
    <s v="SI"/>
    <s v="NO"/>
    <s v="SI"/>
    <n v="36"/>
    <n v="0.42201166760410774"/>
    <s v="No"/>
    <n v="0.3706320900555175"/>
    <s v="No"/>
    <n v="301783"/>
    <n v="36"/>
    <x v="0"/>
  </r>
  <r>
    <n v="2978"/>
    <s v="HOMBRE"/>
    <n v="299647"/>
    <x v="2"/>
    <x v="1"/>
    <s v="SI"/>
    <s v="NO"/>
    <s v="NO"/>
    <n v="62"/>
    <n v="1.4129469144014672"/>
    <s v="No"/>
    <n v="0.37066763460334595"/>
    <s v="No"/>
    <n v="299647"/>
    <n v="62"/>
    <x v="2"/>
  </r>
  <r>
    <n v="2979"/>
    <s v="MUJER"/>
    <n v="18935691"/>
    <x v="0"/>
    <x v="0"/>
    <s v="SI"/>
    <s v="NO"/>
    <s v="NO"/>
    <n v="54"/>
    <n v="0.84834427378436728"/>
    <s v="No"/>
    <n v="6.0550707032579226E-2"/>
    <s v="No"/>
    <n v="18935691"/>
    <n v="54"/>
    <x v="0"/>
  </r>
  <r>
    <n v="2980"/>
    <s v="HOMBRE"/>
    <n v="173700"/>
    <x v="0"/>
    <x v="1"/>
    <s v="SI"/>
    <s v="NO"/>
    <s v="NO"/>
    <n v="51"/>
    <n v="0.6366182835529548"/>
    <s v="No"/>
    <n v="0.37276348159086947"/>
    <s v="No"/>
    <n v="173700"/>
    <n v="51"/>
    <x v="0"/>
  </r>
  <r>
    <n v="2981"/>
    <s v="MUJER"/>
    <n v="766774"/>
    <x v="0"/>
    <x v="1"/>
    <s v="SI"/>
    <s v="SI"/>
    <s v="NO"/>
    <n v="52"/>
    <n v="0.70719361363009237"/>
    <s v="No"/>
    <n v="0.36289431157269902"/>
    <s v="No"/>
    <n v="766774"/>
    <n v="52"/>
    <x v="0"/>
  </r>
  <r>
    <n v="2982"/>
    <s v="HOMBRE"/>
    <n v="291514"/>
    <x v="2"/>
    <x v="1"/>
    <s v="SI"/>
    <s v="NO"/>
    <s v="NO"/>
    <n v="51"/>
    <n v="0.6366182835529548"/>
    <s v="No"/>
    <n v="0.37080297346452984"/>
    <s v="No"/>
    <n v="291514"/>
    <n v="51"/>
    <x v="2"/>
  </r>
  <r>
    <n v="2983"/>
    <s v="HOMBRE"/>
    <n v="490122"/>
    <x v="3"/>
    <x v="1"/>
    <s v="SI"/>
    <s v="NO"/>
    <s v="NO"/>
    <n v="63"/>
    <n v="1.4835222444786049"/>
    <s v="No"/>
    <n v="0.36749799614472017"/>
    <s v="No"/>
    <n v="490122"/>
    <n v="63"/>
    <x v="3"/>
  </r>
  <r>
    <n v="2984"/>
    <s v="MUJER"/>
    <n v="299647"/>
    <x v="2"/>
    <x v="1"/>
    <s v="SI"/>
    <s v="SI"/>
    <s v="NO"/>
    <n v="69"/>
    <n v="1.9069742249414299"/>
    <s v="No"/>
    <n v="0.37066763460334595"/>
    <s v="No"/>
    <n v="299647"/>
    <n v="69"/>
    <x v="2"/>
  </r>
  <r>
    <n v="2985"/>
    <s v="HOMBRE"/>
    <n v="297046"/>
    <x v="3"/>
    <x v="1"/>
    <s v="NO"/>
    <s v="NO"/>
    <s v="SI"/>
    <n v="55"/>
    <n v="0.91891960386150484"/>
    <s v="No"/>
    <n v="0.37071091707942361"/>
    <s v="No"/>
    <n v="297046"/>
    <n v="55"/>
    <x v="3"/>
  </r>
  <r>
    <n v="2986"/>
    <s v="MUJER"/>
    <n v="300018"/>
    <x v="2"/>
    <x v="1"/>
    <s v="SI"/>
    <s v="NO"/>
    <s v="NO"/>
    <n v="53"/>
    <n v="0.77776894370722982"/>
    <s v="No"/>
    <n v="0.37066146090145252"/>
    <s v="No"/>
    <n v="300018"/>
    <n v="53"/>
    <x v="2"/>
  </r>
  <r>
    <n v="2987"/>
    <s v="HOMBRE"/>
    <n v="321550"/>
    <x v="3"/>
    <x v="1"/>
    <s v="SI"/>
    <s v="NO"/>
    <s v="SI"/>
    <n v="51"/>
    <n v="0.6366182835529548"/>
    <s v="No"/>
    <n v="0.37030315322175111"/>
    <s v="No"/>
    <n v="321550"/>
    <n v="51"/>
    <x v="3"/>
  </r>
  <r>
    <n v="2988"/>
    <s v="HOMBRE"/>
    <n v="422424"/>
    <x v="0"/>
    <x v="1"/>
    <s v="SI"/>
    <s v="NO"/>
    <s v="NO"/>
    <n v="27"/>
    <n v="1.0571896382983452"/>
    <s v="No"/>
    <n v="0.36862453865356415"/>
    <s v="No"/>
    <n v="422424"/>
    <n v="27"/>
    <x v="0"/>
  </r>
  <r>
    <n v="2989"/>
    <s v="MUJER"/>
    <n v="35153184"/>
    <x v="0"/>
    <x v="1"/>
    <s v="SI"/>
    <s v="NO"/>
    <s v="NO"/>
    <n v="38"/>
    <n v="0.28086100744983278"/>
    <s v="No"/>
    <n v="0.2093198246135371"/>
    <s v="No"/>
    <n v="35153184"/>
    <n v="38"/>
    <x v="0"/>
  </r>
  <r>
    <n v="2990"/>
    <s v="HOMBRE"/>
    <n v="356000"/>
    <x v="0"/>
    <x v="1"/>
    <s v="SI"/>
    <s v="NO"/>
    <s v="NO"/>
    <n v="57"/>
    <n v="1.0600702640157798"/>
    <s v="No"/>
    <n v="0.3697298809030759"/>
    <s v="No"/>
    <n v="356000"/>
    <n v="57"/>
    <x v="0"/>
  </r>
  <r>
    <n v="2991"/>
    <s v="MUJER"/>
    <n v="278031"/>
    <x v="2"/>
    <x v="1"/>
    <s v="SI"/>
    <s v="NO"/>
    <s v="NO"/>
    <n v="39"/>
    <n v="0.21028567737269524"/>
    <s v="No"/>
    <n v="0.37102734010234401"/>
    <s v="No"/>
    <n v="278031"/>
    <n v="39"/>
    <x v="2"/>
  </r>
  <r>
    <n v="2992"/>
    <s v="HOMBRE"/>
    <n v="2247500"/>
    <x v="0"/>
    <x v="1"/>
    <s v="SI"/>
    <s v="NO"/>
    <s v="NO"/>
    <n v="45"/>
    <n v="0.21316630309012977"/>
    <s v="No"/>
    <n v="0.33825398567015497"/>
    <s v="No"/>
    <n v="2247500"/>
    <n v="45"/>
    <x v="0"/>
  </r>
  <r>
    <n v="2993"/>
    <s v="HOMBRE"/>
    <n v="340000"/>
    <x v="0"/>
    <x v="1"/>
    <s v="SI"/>
    <s v="NO"/>
    <s v="NO"/>
    <n v="34"/>
    <n v="0.56316232775838282"/>
    <s v="No"/>
    <n v="0.36999613219767108"/>
    <s v="No"/>
    <n v="340000"/>
    <n v="34"/>
    <x v="0"/>
  </r>
  <r>
    <n v="2994"/>
    <s v="HOMBRE"/>
    <n v="50000"/>
    <x v="0"/>
    <x v="1"/>
    <s v="SI"/>
    <s v="SI"/>
    <s v="SI"/>
    <n v="53"/>
    <n v="0.77776894370722982"/>
    <s v="No"/>
    <n v="0.37482193691220822"/>
    <s v="No"/>
    <n v="50000"/>
    <n v="53"/>
    <x v="0"/>
  </r>
  <r>
    <n v="2995"/>
    <s v="HOMBRE"/>
    <n v="389718"/>
    <x v="0"/>
    <x v="1"/>
    <s v="SI"/>
    <s v="NO"/>
    <s v="NO"/>
    <n v="41"/>
    <n v="6.9135017218420233E-2"/>
    <s v="No"/>
    <n v="0.36916878958112842"/>
    <s v="No"/>
    <n v="389718"/>
    <n v="41"/>
    <x v="0"/>
  </r>
  <r>
    <n v="2996"/>
    <s v="MUJER"/>
    <n v="203226293"/>
    <x v="0"/>
    <x v="1"/>
    <s v="SI"/>
    <s v="NO"/>
    <s v="NO"/>
    <n v="54"/>
    <n v="0.84834427378436728"/>
    <s v="No"/>
    <n v="3.0061750032311974"/>
    <s v="Sí"/>
    <n v="203226293"/>
    <n v="54"/>
    <x v="0"/>
  </r>
  <r>
    <n v="2997"/>
    <s v="MUJER"/>
    <n v="89567"/>
    <x v="0"/>
    <x v="0"/>
    <s v="SI"/>
    <s v="NO"/>
    <s v="NO"/>
    <n v="34"/>
    <n v="0.56316232775838282"/>
    <s v="No"/>
    <n v="0.37416351410138032"/>
    <s v="No"/>
    <n v="89567"/>
    <n v="34"/>
    <x v="0"/>
  </r>
  <r>
    <n v="2998"/>
    <s v="HOMBRE"/>
    <n v="316965"/>
    <x v="0"/>
    <x v="1"/>
    <s v="SI"/>
    <s v="NO"/>
    <s v="NO"/>
    <n v="25"/>
    <n v="1.1983402984526204"/>
    <s v="No"/>
    <n v="0.37037945085835855"/>
    <s v="No"/>
    <n v="316965"/>
    <n v="25"/>
    <x v="0"/>
  </r>
  <r>
    <n v="2999"/>
    <s v="MUJER"/>
    <n v="347135"/>
    <x v="2"/>
    <x v="1"/>
    <s v="SI"/>
    <s v="SI"/>
    <s v="NO"/>
    <n v="63"/>
    <n v="1.4835222444786049"/>
    <s v="No"/>
    <n v="0.36987740076098752"/>
    <s v="No"/>
    <n v="347135"/>
    <n v="63"/>
    <x v="2"/>
  </r>
  <r>
    <n v="3000"/>
    <s v="MUJER"/>
    <n v="15016493"/>
    <x v="0"/>
    <x v="1"/>
    <s v="SI"/>
    <s v="SI"/>
    <s v="NO"/>
    <n v="35"/>
    <n v="0.49258699768124525"/>
    <s v="No"/>
    <n v="0.12576892836225059"/>
    <s v="No"/>
    <n v="15016493"/>
    <n v="35"/>
    <x v="0"/>
  </r>
  <r>
    <n v="3001"/>
    <s v="HOMBRE"/>
    <n v="302470"/>
    <x v="3"/>
    <x v="1"/>
    <s v="SI"/>
    <s v="NO"/>
    <s v="NO"/>
    <n v="61"/>
    <n v="1.3423715843243298"/>
    <s v="No"/>
    <n v="0.37062065789055582"/>
    <s v="No"/>
    <n v="302470"/>
    <n v="61"/>
    <x v="3"/>
  </r>
  <r>
    <n v="3002"/>
    <s v="MUJER"/>
    <n v="477140"/>
    <x v="0"/>
    <x v="0"/>
    <s v="SI"/>
    <s v="NO"/>
    <s v="NO"/>
    <n v="48"/>
    <n v="0.42489229332154227"/>
    <s v="No"/>
    <n v="0.36771402578887236"/>
    <s v="No"/>
    <n v="477140"/>
    <n v="48"/>
    <x v="0"/>
  </r>
  <r>
    <n v="3003"/>
    <s v="HOMBRE"/>
    <n v="1194392"/>
    <x v="0"/>
    <x v="1"/>
    <s v="SI"/>
    <s v="NO"/>
    <s v="NO"/>
    <n v="28"/>
    <n v="0.98661430822120777"/>
    <s v="No"/>
    <n v="0.3557784461919371"/>
    <s v="No"/>
    <n v="1194392"/>
    <n v="28"/>
    <x v="0"/>
  </r>
  <r>
    <n v="3004"/>
    <s v="MUJER"/>
    <n v="18760235"/>
    <x v="0"/>
    <x v="0"/>
    <s v="SI"/>
    <s v="NO"/>
    <s v="NO"/>
    <n v="46"/>
    <n v="0.2837416331672673"/>
    <s v="No"/>
    <n v="6.347041872910969E-2"/>
    <s v="No"/>
    <n v="18760235"/>
    <n v="46"/>
    <x v="0"/>
  </r>
  <r>
    <n v="3005"/>
    <s v="MUJER"/>
    <n v="582000"/>
    <x v="0"/>
    <x v="1"/>
    <s v="SI"/>
    <s v="NO"/>
    <s v="NO"/>
    <n v="23"/>
    <n v="1.3394909586068953"/>
    <s v="No"/>
    <n v="0.36596908136691936"/>
    <s v="No"/>
    <n v="582000"/>
    <n v="23"/>
    <x v="0"/>
  </r>
  <r>
    <n v="3006"/>
    <s v="MUJER"/>
    <n v="627691"/>
    <x v="0"/>
    <x v="0"/>
    <s v="SI"/>
    <s v="NO"/>
    <s v="NO"/>
    <n v="41"/>
    <n v="6.9135017218420233E-2"/>
    <s v="No"/>
    <n v="0.36520875087308513"/>
    <s v="No"/>
    <n v="627691"/>
    <n v="41"/>
    <x v="0"/>
  </r>
  <r>
    <n v="3007"/>
    <s v="HOMBRE"/>
    <n v="297046"/>
    <x v="2"/>
    <x v="1"/>
    <s v="SI"/>
    <s v="NO"/>
    <s v="NO"/>
    <n v="59"/>
    <n v="1.2012209241700549"/>
    <s v="No"/>
    <n v="0.37071091707942361"/>
    <s v="No"/>
    <n v="297046"/>
    <n v="59"/>
    <x v="2"/>
  </r>
  <r>
    <n v="3008"/>
    <s v="MUJER"/>
    <n v="944226"/>
    <x v="0"/>
    <x v="0"/>
    <s v="SI"/>
    <s v="NO"/>
    <s v="SI"/>
    <n v="40"/>
    <n v="0.13971034729555773"/>
    <s v="No"/>
    <n v="0.35994138502716783"/>
    <s v="No"/>
    <n v="944226"/>
    <n v="40"/>
    <x v="0"/>
  </r>
  <r>
    <n v="3009"/>
    <s v="MUJER"/>
    <n v="5249730"/>
    <x v="0"/>
    <x v="0"/>
    <s v="SI"/>
    <s v="NO"/>
    <s v="NO"/>
    <n v="63"/>
    <n v="1.4835222444786049"/>
    <s v="No"/>
    <n v="0.28829475915937924"/>
    <s v="No"/>
    <n v="5249730"/>
    <n v="63"/>
    <x v="0"/>
  </r>
  <r>
    <n v="3010"/>
    <s v="MUJER"/>
    <n v="737925"/>
    <x v="0"/>
    <x v="1"/>
    <s v="SI"/>
    <s v="NO"/>
    <s v="NO"/>
    <n v="51"/>
    <n v="0.6366182835529548"/>
    <s v="No"/>
    <n v="0.36337437929756"/>
    <s v="No"/>
    <n v="737925"/>
    <n v="51"/>
    <x v="0"/>
  </r>
  <r>
    <n v="3011"/>
    <s v="MUJER"/>
    <n v="700000"/>
    <x v="0"/>
    <x v="1"/>
    <s v="SI"/>
    <s v="NO"/>
    <s v="NO"/>
    <n v="27"/>
    <n v="1.0571896382983452"/>
    <s v="No"/>
    <n v="0.36400547806928008"/>
    <s v="No"/>
    <n v="700000"/>
    <n v="27"/>
    <x v="0"/>
  </r>
  <r>
    <n v="3012"/>
    <s v="HOMBRE"/>
    <n v="278030"/>
    <x v="4"/>
    <x v="1"/>
    <s v="SI"/>
    <s v="NO"/>
    <s v="NO"/>
    <n v="42"/>
    <n v="1.4403128587172659E-3"/>
    <s v="No"/>
    <n v="0.37102735674304993"/>
    <s v="No"/>
    <n v="278030"/>
    <n v="42"/>
    <x v="4"/>
  </r>
  <r>
    <n v="3013"/>
    <s v="HOMBRE"/>
    <n v="39840134"/>
    <x v="0"/>
    <x v="1"/>
    <s v="SI"/>
    <s v="NO"/>
    <s v="NO"/>
    <n v="38"/>
    <n v="0.28086100744983278"/>
    <s v="No"/>
    <n v="0.28731398118870966"/>
    <s v="No"/>
    <n v="39840134"/>
    <n v="38"/>
    <x v="0"/>
  </r>
  <r>
    <n v="3014"/>
    <s v="HOMBRE"/>
    <n v="3615294"/>
    <x v="0"/>
    <x v="1"/>
    <s v="SI"/>
    <s v="NO"/>
    <s v="NO"/>
    <n v="32"/>
    <n v="0.70431298791265773"/>
    <s v="No"/>
    <n v="0.31549292796768713"/>
    <s v="No"/>
    <n v="3615294"/>
    <n v="32"/>
    <x v="0"/>
  </r>
  <r>
    <n v="3015"/>
    <s v="HOMBRE"/>
    <n v="239959407"/>
    <x v="0"/>
    <x v="1"/>
    <s v="SI"/>
    <s v="NO"/>
    <s v="NO"/>
    <n v="44"/>
    <n v="0.14259097301299228"/>
    <s v="No"/>
    <n v="3.6174399505444104"/>
    <s v="Sí"/>
    <n v="239959407"/>
    <n v="44"/>
    <x v="0"/>
  </r>
  <r>
    <n v="3016"/>
    <s v="MUJER"/>
    <n v="610142"/>
    <x v="3"/>
    <x v="1"/>
    <s v="SI"/>
    <s v="NO"/>
    <s v="NO"/>
    <n v="46"/>
    <n v="0.2837416331672673"/>
    <s v="No"/>
    <n v="0.36550077862113828"/>
    <s v="No"/>
    <n v="610142"/>
    <n v="46"/>
    <x v="3"/>
  </r>
  <r>
    <n v="3017"/>
    <s v="HOMBRE"/>
    <n v="146562744"/>
    <x v="1"/>
    <x v="0"/>
    <s v="SI"/>
    <s v="NO"/>
    <s v="NO"/>
    <n v="61"/>
    <n v="1.3423715843243298"/>
    <s v="No"/>
    <n v="2.063253548380823"/>
    <s v="Sí"/>
    <n v="146562744"/>
    <n v="61"/>
    <x v="1"/>
  </r>
  <r>
    <n v="3018"/>
    <s v="HOMBRE"/>
    <n v="298500"/>
    <x v="2"/>
    <x v="1"/>
    <s v="SI"/>
    <s v="SI"/>
    <s v="NO"/>
    <n v="27"/>
    <n v="1.0571896382983452"/>
    <s v="No"/>
    <n v="0.37068672149302723"/>
    <s v="No"/>
    <n v="298500"/>
    <n v="27"/>
    <x v="2"/>
  </r>
  <r>
    <n v="3019"/>
    <s v="HOMBRE"/>
    <n v="278030"/>
    <x v="4"/>
    <x v="1"/>
    <s v="SI"/>
    <s v="NO"/>
    <s v="NO"/>
    <n v="50"/>
    <n v="0.56604295347581735"/>
    <s v="No"/>
    <n v="0.37102735674304993"/>
    <s v="No"/>
    <n v="278030"/>
    <n v="50"/>
    <x v="4"/>
  </r>
  <r>
    <n v="3020"/>
    <s v="MUJER"/>
    <n v="192192832"/>
    <x v="0"/>
    <x v="0"/>
    <s v="SI"/>
    <s v="NO"/>
    <s v="NO"/>
    <n v="51"/>
    <n v="0.6366182835529548"/>
    <s v="No"/>
    <n v="2.8225704235365008"/>
    <s v="Sí"/>
    <n v="192192832"/>
    <n v="51"/>
    <x v="0"/>
  </r>
  <r>
    <n v="3021"/>
    <s v="HOMBRE"/>
    <n v="639148"/>
    <x v="2"/>
    <x v="1"/>
    <s v="SI"/>
    <s v="SI"/>
    <s v="NO"/>
    <n v="79"/>
    <n v="2.6127275257128049"/>
    <s v="Sí"/>
    <n v="0.36501809830544912"/>
    <s v="No"/>
    <n v="639148"/>
    <n v="79"/>
    <x v="2"/>
  </r>
  <r>
    <n v="3022"/>
    <s v="MUJER"/>
    <n v="322866"/>
    <x v="0"/>
    <x v="1"/>
    <s v="SI"/>
    <s v="NO"/>
    <s v="NO"/>
    <n v="19"/>
    <n v="1.6217922789154453"/>
    <s v="No"/>
    <n v="0.37028125405277063"/>
    <s v="No"/>
    <n v="322866"/>
    <n v="19"/>
    <x v="0"/>
  </r>
  <r>
    <n v="3023"/>
    <s v="HOMBRE"/>
    <n v="40500233"/>
    <x v="0"/>
    <x v="0"/>
    <s v="SI"/>
    <s v="NO"/>
    <s v="NO"/>
    <n v="47"/>
    <n v="0.35431696324440481"/>
    <s v="No"/>
    <n v="0.29829849452064511"/>
    <s v="No"/>
    <n v="40500233"/>
    <n v="47"/>
    <x v="0"/>
  </r>
  <r>
    <n v="3024"/>
    <s v="HOMBRE"/>
    <n v="297046"/>
    <x v="2"/>
    <x v="1"/>
    <s v="SI"/>
    <s v="NO"/>
    <s v="NO"/>
    <n v="64"/>
    <n v="1.5540975745557424"/>
    <s v="No"/>
    <n v="0.37071091707942361"/>
    <s v="No"/>
    <n v="297046"/>
    <n v="64"/>
    <x v="2"/>
  </r>
  <r>
    <n v="3025"/>
    <s v="MUJER"/>
    <n v="6513332"/>
    <x v="0"/>
    <x v="0"/>
    <s v="SI"/>
    <s v="NO"/>
    <s v="NO"/>
    <n v="36"/>
    <n v="0.42201166760410774"/>
    <s v="No"/>
    <n v="0.26726752988731506"/>
    <s v="No"/>
    <n v="6513332"/>
    <n v="36"/>
    <x v="0"/>
  </r>
  <r>
    <n v="3026"/>
    <s v="HOMBRE"/>
    <n v="577384"/>
    <x v="0"/>
    <x v="1"/>
    <s v="SI"/>
    <s v="NO"/>
    <s v="NO"/>
    <n v="41"/>
    <n v="6.9135017218420233E-2"/>
    <s v="No"/>
    <n v="0.36604589486541006"/>
    <s v="No"/>
    <n v="577384"/>
    <n v="41"/>
    <x v="0"/>
  </r>
  <r>
    <n v="3027"/>
    <s v="MUJER"/>
    <n v="12070044"/>
    <x v="0"/>
    <x v="0"/>
    <s v="SI"/>
    <s v="NO"/>
    <s v="NO"/>
    <n v="45"/>
    <n v="0.21316630309012977"/>
    <s v="No"/>
    <n v="0.17479991965653804"/>
    <s v="No"/>
    <n v="12070044"/>
    <n v="45"/>
    <x v="0"/>
  </r>
  <r>
    <n v="3028"/>
    <s v="HOMBRE"/>
    <n v="355880"/>
    <x v="0"/>
    <x v="1"/>
    <s v="SI"/>
    <s v="NO"/>
    <s v="NO"/>
    <n v="41"/>
    <n v="6.9135017218420233E-2"/>
    <s v="No"/>
    <n v="0.36973187778778538"/>
    <s v="No"/>
    <n v="355880"/>
    <n v="41"/>
    <x v="0"/>
  </r>
  <r>
    <n v="3029"/>
    <s v="MUJER"/>
    <n v="278030"/>
    <x v="4"/>
    <x v="1"/>
    <s v="SI"/>
    <s v="NO"/>
    <s v="NO"/>
    <n v="40"/>
    <n v="0.13971034729555773"/>
    <s v="No"/>
    <n v="0.37102735674304993"/>
    <s v="No"/>
    <n v="278030"/>
    <n v="40"/>
    <x v="4"/>
  </r>
  <r>
    <n v="3030"/>
    <s v="HOMBRE"/>
    <n v="1566315"/>
    <x v="1"/>
    <x v="0"/>
    <s v="SI"/>
    <s v="NO"/>
    <s v="NO"/>
    <n v="91"/>
    <n v="3.4596314866384548"/>
    <s v="Sí"/>
    <n v="0.34958938492695496"/>
    <s v="No"/>
    <n v="1566315"/>
    <n v="91"/>
    <x v="1"/>
  </r>
  <r>
    <n v="3031"/>
    <s v="HOMBRE"/>
    <n v="341207"/>
    <x v="0"/>
    <x v="1"/>
    <s v="SI"/>
    <s v="NO"/>
    <s v="SI"/>
    <n v="38"/>
    <n v="0.28086100744983278"/>
    <s v="No"/>
    <n v="0.36997604686563507"/>
    <s v="No"/>
    <n v="341207"/>
    <n v="38"/>
    <x v="0"/>
  </r>
  <r>
    <n v="3032"/>
    <s v="MUJER"/>
    <n v="151741752"/>
    <x v="0"/>
    <x v="0"/>
    <s v="SI"/>
    <s v="NO"/>
    <s v="NO"/>
    <n v="42"/>
    <n v="1.4403128587172659E-3"/>
    <s v="No"/>
    <n v="2.1494358974257395"/>
    <s v="Sí"/>
    <n v="151741752"/>
    <n v="42"/>
    <x v="0"/>
  </r>
  <r>
    <n v="3033"/>
    <s v="HOMBRE"/>
    <n v="2929452"/>
    <x v="0"/>
    <x v="1"/>
    <s v="SI"/>
    <s v="NO"/>
    <s v="NO"/>
    <n v="47"/>
    <n v="0.35431696324440481"/>
    <s v="No"/>
    <n v="0.32690582299192028"/>
    <s v="No"/>
    <n v="2929452"/>
    <n v="47"/>
    <x v="0"/>
  </r>
  <r>
    <n v="3034"/>
    <s v="HOMBRE"/>
    <n v="514062"/>
    <x v="3"/>
    <x v="1"/>
    <s v="SI"/>
    <s v="NO"/>
    <s v="SI"/>
    <n v="45"/>
    <n v="0.21316630309012977"/>
    <s v="No"/>
    <n v="0.36709961764518217"/>
    <s v="No"/>
    <n v="514062"/>
    <n v="45"/>
    <x v="3"/>
  </r>
  <r>
    <n v="3035"/>
    <s v="MUJER"/>
    <n v="1926574"/>
    <x v="0"/>
    <x v="0"/>
    <s v="SI"/>
    <s v="NO"/>
    <s v="NO"/>
    <n v="36"/>
    <n v="0.42201166760410774"/>
    <s v="No"/>
    <n v="0.34359442085573272"/>
    <s v="No"/>
    <n v="1926574"/>
    <n v="36"/>
    <x v="0"/>
  </r>
  <r>
    <n v="3036"/>
    <s v="HOMBRE"/>
    <n v="331181"/>
    <x v="2"/>
    <x v="1"/>
    <s v="SI"/>
    <s v="NO"/>
    <s v="NO"/>
    <n v="41"/>
    <n v="6.9135017218420233E-2"/>
    <s v="No"/>
    <n v="0.37014288658311073"/>
    <s v="No"/>
    <n v="331181"/>
    <n v="41"/>
    <x v="2"/>
  </r>
  <r>
    <n v="3037"/>
    <s v="HOMBRE"/>
    <n v="134620875"/>
    <x v="0"/>
    <x v="1"/>
    <s v="SI"/>
    <s v="NO"/>
    <s v="NO"/>
    <n v="38"/>
    <n v="0.28086100744983278"/>
    <s v="No"/>
    <n v="1.8645324183098388"/>
    <s v="No"/>
    <n v="134620875"/>
    <n v="38"/>
    <x v="0"/>
  </r>
  <r>
    <n v="3038"/>
    <s v="HOMBRE"/>
    <n v="639143"/>
    <x v="6"/>
    <x v="1"/>
    <s v="SI"/>
    <s v="SI"/>
    <s v="NO"/>
    <n v="75"/>
    <n v="2.330426205404255"/>
    <s v="Sí"/>
    <n v="0.36501818150897869"/>
    <s v="No"/>
    <n v="639143"/>
    <n v="75"/>
    <x v="5"/>
  </r>
  <r>
    <n v="3039"/>
    <s v="MUJER"/>
    <n v="54533875"/>
    <x v="0"/>
    <x v="0"/>
    <s v="SI"/>
    <s v="NO"/>
    <s v="NO"/>
    <n v="27"/>
    <n v="1.0571896382983452"/>
    <s v="No"/>
    <n v="0.53182820391970376"/>
    <s v="No"/>
    <n v="54533875"/>
    <n v="27"/>
    <x v="0"/>
  </r>
  <r>
    <n v="3040"/>
    <s v="HOMBRE"/>
    <n v="39654385"/>
    <x v="0"/>
    <x v="1"/>
    <s v="SI"/>
    <s v="NO"/>
    <s v="NO"/>
    <n v="27"/>
    <n v="1.0571896382983452"/>
    <s v="No"/>
    <n v="0.28422298670622498"/>
    <s v="No"/>
    <n v="39654385"/>
    <n v="27"/>
    <x v="0"/>
  </r>
  <r>
    <n v="3041"/>
    <s v="MUJER"/>
    <n v="941448"/>
    <x v="0"/>
    <x v="0"/>
    <s v="SI"/>
    <s v="NO"/>
    <s v="NO"/>
    <n v="27"/>
    <n v="1.0571896382983452"/>
    <s v="No"/>
    <n v="0.35998761290819192"/>
    <s v="No"/>
    <n v="941448"/>
    <n v="27"/>
    <x v="0"/>
  </r>
  <r>
    <n v="3042"/>
    <s v="MUJER"/>
    <n v="929129"/>
    <x v="0"/>
    <x v="0"/>
    <s v="SI"/>
    <s v="NO"/>
    <s v="NO"/>
    <n v="38"/>
    <n v="0.28086100744983278"/>
    <s v="No"/>
    <n v="0.36019260976432427"/>
    <s v="No"/>
    <n v="929129"/>
    <n v="38"/>
    <x v="0"/>
  </r>
  <r>
    <n v="3043"/>
    <s v="HOMBRE"/>
    <n v="352881"/>
    <x v="2"/>
    <x v="1"/>
    <s v="SI"/>
    <s v="SI"/>
    <s v="NO"/>
    <n v="57"/>
    <n v="1.0600702640157798"/>
    <s v="No"/>
    <n v="0.36978178326481603"/>
    <s v="No"/>
    <n v="352881"/>
    <n v="57"/>
    <x v="2"/>
  </r>
  <r>
    <n v="3044"/>
    <s v="HOMBRE"/>
    <n v="34036908"/>
    <x v="0"/>
    <x v="1"/>
    <s v="SI"/>
    <s v="NO"/>
    <s v="NO"/>
    <n v="29"/>
    <n v="0.91603897814407031"/>
    <s v="No"/>
    <n v="0.19074420398069328"/>
    <s v="No"/>
    <n v="34036908"/>
    <n v="29"/>
    <x v="0"/>
  </r>
  <r>
    <n v="3045"/>
    <s v="HOMBRE"/>
    <n v="358468"/>
    <x v="0"/>
    <x v="1"/>
    <s v="SI"/>
    <s v="NO"/>
    <s v="NO"/>
    <n v="42"/>
    <n v="1.4403128587172659E-3"/>
    <s v="No"/>
    <n v="0.36968881164088463"/>
    <s v="No"/>
    <n v="358468"/>
    <n v="42"/>
    <x v="0"/>
  </r>
  <r>
    <n v="3046"/>
    <s v="HOMBRE"/>
    <n v="814688"/>
    <x v="0"/>
    <x v="1"/>
    <s v="SI"/>
    <s v="NO"/>
    <s v="NO"/>
    <n v="36"/>
    <n v="0.42201166760410774"/>
    <s v="No"/>
    <n v="0.36209698878962199"/>
    <s v="No"/>
    <n v="814688"/>
    <n v="36"/>
    <x v="0"/>
  </r>
  <r>
    <n v="3047"/>
    <s v="MUJER"/>
    <n v="358640"/>
    <x v="2"/>
    <x v="1"/>
    <s v="SI"/>
    <s v="SI"/>
    <s v="NO"/>
    <n v="67"/>
    <n v="1.765823564787155"/>
    <s v="No"/>
    <n v="0.3696859494394677"/>
    <s v="No"/>
    <n v="358640"/>
    <n v="67"/>
    <x v="2"/>
  </r>
  <r>
    <n v="3048"/>
    <s v="MUJER"/>
    <n v="1324052"/>
    <x v="0"/>
    <x v="0"/>
    <s v="SI"/>
    <s v="NO"/>
    <s v="SI"/>
    <n v="43"/>
    <n v="7.2015642935854773E-2"/>
    <s v="No"/>
    <n v="0.35362081226336162"/>
    <s v="No"/>
    <n v="1324052"/>
    <n v="43"/>
    <x v="0"/>
  </r>
  <r>
    <n v="3049"/>
    <s v="HOMBRE"/>
    <n v="298018"/>
    <x v="2"/>
    <x v="1"/>
    <s v="SI"/>
    <s v="NO"/>
    <s v="NO"/>
    <n v="29"/>
    <n v="0.91603897814407031"/>
    <s v="No"/>
    <n v="0.37069474231327693"/>
    <s v="No"/>
    <n v="298018"/>
    <n v="29"/>
    <x v="2"/>
  </r>
  <r>
    <n v="3050"/>
    <s v="HOMBRE"/>
    <n v="316030"/>
    <x v="0"/>
    <x v="1"/>
    <s v="SI"/>
    <s v="NO"/>
    <s v="NO"/>
    <n v="52"/>
    <n v="0.70719361363009237"/>
    <s v="No"/>
    <n v="0.37039500991838642"/>
    <s v="No"/>
    <n v="316030"/>
    <n v="52"/>
    <x v="0"/>
  </r>
  <r>
    <n v="3051"/>
    <s v="HOMBRE"/>
    <n v="3042998"/>
    <x v="1"/>
    <x v="0"/>
    <s v="SI"/>
    <s v="NO"/>
    <s v="NO"/>
    <n v="55"/>
    <n v="0.91891960386150484"/>
    <s v="No"/>
    <n v="0.3250163373984139"/>
    <s v="No"/>
    <n v="3042998"/>
    <n v="55"/>
    <x v="1"/>
  </r>
  <r>
    <n v="3052"/>
    <s v="MUJER"/>
    <n v="297046"/>
    <x v="2"/>
    <x v="1"/>
    <s v="SI"/>
    <s v="NO"/>
    <s v="SI"/>
    <n v="36"/>
    <n v="0.42201166760410774"/>
    <s v="No"/>
    <n v="0.37071091707942361"/>
    <s v="No"/>
    <n v="297046"/>
    <n v="36"/>
    <x v="2"/>
  </r>
  <r>
    <n v="3053"/>
    <s v="HOMBRE"/>
    <n v="106560"/>
    <x v="0"/>
    <x v="1"/>
    <s v="SI"/>
    <s v="NO"/>
    <s v="NO"/>
    <n v="47"/>
    <n v="0.35431696324440481"/>
    <s v="No"/>
    <n v="0.37388073858581439"/>
    <s v="No"/>
    <n v="106560"/>
    <n v="47"/>
    <x v="0"/>
  </r>
  <r>
    <n v="3054"/>
    <s v="MUJER"/>
    <n v="407609"/>
    <x v="3"/>
    <x v="1"/>
    <s v="SI"/>
    <s v="NO"/>
    <s v="NO"/>
    <n v="59"/>
    <n v="1.2012209241700549"/>
    <s v="No"/>
    <n v="0.36887107071165331"/>
    <s v="No"/>
    <n v="407609"/>
    <n v="59"/>
    <x v="3"/>
  </r>
  <r>
    <n v="3055"/>
    <s v="HOMBRE"/>
    <n v="639148"/>
    <x v="3"/>
    <x v="1"/>
    <s v="SI"/>
    <s v="NO"/>
    <s v="NO"/>
    <n v="53"/>
    <n v="0.77776894370722982"/>
    <s v="No"/>
    <n v="0.36501809830544912"/>
    <s v="No"/>
    <n v="639148"/>
    <n v="53"/>
    <x v="3"/>
  </r>
  <r>
    <n v="3056"/>
    <s v="HOMBRE"/>
    <n v="405063"/>
    <x v="3"/>
    <x v="1"/>
    <s v="SI"/>
    <s v="NO"/>
    <s v="SI"/>
    <n v="42"/>
    <n v="1.4403128587172659E-3"/>
    <s v="No"/>
    <n v="0.3689134379489058"/>
    <s v="No"/>
    <n v="405063"/>
    <n v="42"/>
    <x v="3"/>
  </r>
  <r>
    <n v="3057"/>
    <s v="MUJER"/>
    <n v="182811474"/>
    <x v="0"/>
    <x v="0"/>
    <s v="SI"/>
    <s v="NO"/>
    <s v="NO"/>
    <n v="33"/>
    <n v="0.63373765783552027"/>
    <s v="No"/>
    <n v="2.6664580040014623"/>
    <s v="Sí"/>
    <n v="182811474"/>
    <n v="33"/>
    <x v="0"/>
  </r>
  <r>
    <n v="3058"/>
    <s v="MUJER"/>
    <n v="383625"/>
    <x v="0"/>
    <x v="1"/>
    <s v="SI"/>
    <s v="NO"/>
    <s v="NO"/>
    <n v="26"/>
    <n v="1.1277649683754829"/>
    <s v="No"/>
    <n v="0.36927018140225149"/>
    <s v="No"/>
    <n v="383625"/>
    <n v="26"/>
    <x v="0"/>
  </r>
  <r>
    <n v="3059"/>
    <s v="HOMBRE"/>
    <n v="278030"/>
    <x v="4"/>
    <x v="1"/>
    <s v="SI"/>
    <s v="NO"/>
    <s v="NO"/>
    <n v="26"/>
    <n v="1.1277649683754829"/>
    <s v="No"/>
    <n v="0.37102735674304993"/>
    <s v="No"/>
    <n v="278030"/>
    <n v="26"/>
    <x v="4"/>
  </r>
  <r>
    <n v="3060"/>
    <s v="MUJER"/>
    <n v="3817836"/>
    <x v="0"/>
    <x v="1"/>
    <s v="SI"/>
    <s v="NO"/>
    <s v="NO"/>
    <n v="31"/>
    <n v="0.77488831798979529"/>
    <s v="No"/>
    <n v="0.31212248611081889"/>
    <s v="No"/>
    <n v="3817836"/>
    <n v="31"/>
    <x v="0"/>
  </r>
  <r>
    <n v="3061"/>
    <s v="MUJER"/>
    <n v="485000"/>
    <x v="0"/>
    <x v="1"/>
    <s v="SI"/>
    <s v="NO"/>
    <s v="NO"/>
    <n v="39"/>
    <n v="0.21028567737269524"/>
    <s v="No"/>
    <n v="0.36758322984040248"/>
    <s v="No"/>
    <n v="485000"/>
    <n v="39"/>
    <x v="0"/>
  </r>
  <r>
    <n v="3062"/>
    <s v="HOMBRE"/>
    <n v="301566"/>
    <x v="3"/>
    <x v="1"/>
    <s v="SI"/>
    <s v="NO"/>
    <s v="SI"/>
    <n v="28"/>
    <n v="0.98661430822120777"/>
    <s v="No"/>
    <n v="0.37063570108870048"/>
    <s v="No"/>
    <n v="301566"/>
    <n v="28"/>
    <x v="3"/>
  </r>
  <r>
    <n v="3063"/>
    <s v="HOMBRE"/>
    <n v="14928006"/>
    <x v="0"/>
    <x v="0"/>
    <s v="SI"/>
    <s v="NO"/>
    <s v="NO"/>
    <n v="37"/>
    <n v="0.35143633752697023"/>
    <s v="No"/>
    <n v="0.12724141450630316"/>
    <s v="No"/>
    <n v="14928006"/>
    <n v="37"/>
    <x v="0"/>
  </r>
  <r>
    <n v="3064"/>
    <s v="MUJER"/>
    <n v="749840"/>
    <x v="0"/>
    <x v="1"/>
    <s v="SI"/>
    <s v="NO"/>
    <s v="NO"/>
    <n v="23"/>
    <n v="1.3394909586068953"/>
    <s v="No"/>
    <n v="0.3631761052866162"/>
    <s v="No"/>
    <n v="749840"/>
    <n v="23"/>
    <x v="0"/>
  </r>
  <r>
    <n v="3065"/>
    <s v="MUJER"/>
    <n v="371527"/>
    <x v="0"/>
    <x v="1"/>
    <s v="SI"/>
    <s v="NO"/>
    <s v="NO"/>
    <n v="35"/>
    <n v="0.49258699768124525"/>
    <s v="No"/>
    <n v="0.36947150066237722"/>
    <s v="No"/>
    <n v="371527"/>
    <n v="35"/>
    <x v="0"/>
  </r>
  <r>
    <n v="3066"/>
    <s v="MUJER"/>
    <n v="297044"/>
    <x v="2"/>
    <x v="1"/>
    <s v="SI"/>
    <s v="SI"/>
    <s v="SI"/>
    <n v="33"/>
    <n v="0.63373765783552027"/>
    <s v="No"/>
    <n v="0.3707109503608354"/>
    <s v="No"/>
    <n v="297044"/>
    <n v="33"/>
    <x v="2"/>
  </r>
  <r>
    <n v="3067"/>
    <s v="MUJER"/>
    <n v="1498971"/>
    <x v="0"/>
    <x v="0"/>
    <s v="SI"/>
    <s v="NO"/>
    <s v="SI"/>
    <n v="42"/>
    <n v="1.4403128587172659E-3"/>
    <s v="No"/>
    <n v="0.350710036625906"/>
    <s v="No"/>
    <n v="1498971"/>
    <n v="42"/>
    <x v="0"/>
  </r>
  <r>
    <n v="3068"/>
    <s v="HOMBRE"/>
    <n v="611409"/>
    <x v="3"/>
    <x v="1"/>
    <s v="SI"/>
    <s v="NO"/>
    <s v="NO"/>
    <n v="45"/>
    <n v="0.21316630309012977"/>
    <s v="No"/>
    <n v="0.36547969484674753"/>
    <s v="No"/>
    <n v="611409"/>
    <n v="45"/>
    <x v="3"/>
  </r>
  <r>
    <n v="3069"/>
    <s v="MUJER"/>
    <n v="390655"/>
    <x v="1"/>
    <x v="0"/>
    <s v="SI"/>
    <s v="NO"/>
    <s v="NO"/>
    <n v="57"/>
    <n v="1.0600702640157798"/>
    <s v="No"/>
    <n v="0.3691531972396887"/>
    <s v="No"/>
    <n v="390655"/>
    <n v="57"/>
    <x v="1"/>
  </r>
  <r>
    <n v="3070"/>
    <s v="HOMBRE"/>
    <n v="406358"/>
    <x v="3"/>
    <x v="1"/>
    <s v="SI"/>
    <s v="SI"/>
    <s v="SI"/>
    <n v="71"/>
    <n v="2.0481248850957048"/>
    <s v="Sí"/>
    <n v="0.3688918882347495"/>
    <s v="No"/>
    <n v="406358"/>
    <n v="71"/>
    <x v="3"/>
  </r>
  <r>
    <n v="3071"/>
    <s v="MUJER"/>
    <n v="1489869"/>
    <x v="0"/>
    <x v="0"/>
    <s v="SI"/>
    <s v="NO"/>
    <s v="NO"/>
    <n v="28"/>
    <n v="0.98661430822120777"/>
    <s v="No"/>
    <n v="0.35086150033111879"/>
    <s v="No"/>
    <n v="1489869"/>
    <n v="28"/>
    <x v="0"/>
  </r>
  <r>
    <n v="3072"/>
    <s v="MUJER"/>
    <n v="10446345"/>
    <x v="0"/>
    <x v="0"/>
    <s v="SI"/>
    <s v="NO"/>
    <s v="NO"/>
    <n v="37"/>
    <n v="0.35143633752697023"/>
    <s v="No"/>
    <n v="0.20181941720546667"/>
    <s v="No"/>
    <n v="10446345"/>
    <n v="37"/>
    <x v="0"/>
  </r>
  <r>
    <n v="3073"/>
    <s v="MUJER"/>
    <n v="37772994"/>
    <x v="0"/>
    <x v="1"/>
    <s v="SI"/>
    <s v="NO"/>
    <s v="NO"/>
    <n v="40"/>
    <n v="0.13971034729555773"/>
    <s v="No"/>
    <n v="0.25291531236937037"/>
    <s v="No"/>
    <n v="37772994"/>
    <n v="40"/>
    <x v="0"/>
  </r>
  <r>
    <n v="3074"/>
    <s v="HOMBRE"/>
    <n v="75000"/>
    <x v="0"/>
    <x v="1"/>
    <s v="SI"/>
    <s v="NO"/>
    <s v="NO"/>
    <n v="29"/>
    <n v="0.91603897814407031"/>
    <s v="No"/>
    <n v="0.37440591926440331"/>
    <s v="No"/>
    <n v="75000"/>
    <n v="29"/>
    <x v="0"/>
  </r>
  <r>
    <n v="3075"/>
    <s v="MUJER"/>
    <n v="341091"/>
    <x v="0"/>
    <x v="1"/>
    <s v="SI"/>
    <s v="NO"/>
    <s v="NO"/>
    <n v="43"/>
    <n v="7.2015642935854773E-2"/>
    <s v="No"/>
    <n v="0.36997797718752085"/>
    <s v="No"/>
    <n v="341091"/>
    <n v="43"/>
    <x v="0"/>
  </r>
  <r>
    <n v="3076"/>
    <s v="MUJER"/>
    <n v="297045"/>
    <x v="2"/>
    <x v="1"/>
    <s v="SI"/>
    <s v="NO"/>
    <s v="NO"/>
    <n v="54"/>
    <n v="0.84834427378436728"/>
    <s v="No"/>
    <n v="0.37071093372012948"/>
    <s v="No"/>
    <n v="297045"/>
    <n v="54"/>
    <x v="2"/>
  </r>
  <r>
    <n v="3077"/>
    <s v="HOMBRE"/>
    <n v="300000"/>
    <x v="0"/>
    <x v="1"/>
    <s v="SI"/>
    <s v="SI"/>
    <s v="NO"/>
    <n v="33"/>
    <n v="0.63373765783552027"/>
    <s v="No"/>
    <n v="0.37066176043415894"/>
    <s v="No"/>
    <n v="300000"/>
    <n v="33"/>
    <x v="0"/>
  </r>
  <r>
    <n v="3078"/>
    <s v="HOMBRE"/>
    <n v="48826633"/>
    <x v="0"/>
    <x v="1"/>
    <s v="SI"/>
    <s v="NO"/>
    <s v="NO"/>
    <n v="31"/>
    <n v="0.77488831798979529"/>
    <s v="No"/>
    <n v="0.43685566822796368"/>
    <s v="No"/>
    <n v="48826633"/>
    <n v="31"/>
    <x v="0"/>
  </r>
  <r>
    <n v="3079"/>
    <s v="HOMBRE"/>
    <n v="278031"/>
    <x v="2"/>
    <x v="1"/>
    <s v="NO"/>
    <s v="NO"/>
    <s v="SI"/>
    <n v="47"/>
    <n v="0.35431696324440481"/>
    <s v="No"/>
    <n v="0.37102734010234401"/>
    <s v="No"/>
    <n v="278031"/>
    <n v="47"/>
    <x v="2"/>
  </r>
  <r>
    <n v="3080"/>
    <s v="HOMBRE"/>
    <n v="7055775"/>
    <x v="0"/>
    <x v="1"/>
    <s v="SI"/>
    <s v="NO"/>
    <s v="NO"/>
    <n v="53"/>
    <n v="0.77776894370722982"/>
    <s v="No"/>
    <n v="0.25824089545018508"/>
    <s v="No"/>
    <n v="7055775"/>
    <n v="53"/>
    <x v="0"/>
  </r>
  <r>
    <n v="3081"/>
    <s v="HOMBRE"/>
    <n v="1291732"/>
    <x v="0"/>
    <x v="0"/>
    <s v="SI"/>
    <s v="NO"/>
    <s v="NO"/>
    <n v="49"/>
    <n v="0.49546762339867978"/>
    <s v="No"/>
    <n v="0.35415863987844381"/>
    <s v="No"/>
    <n v="1291732"/>
    <n v="49"/>
    <x v="0"/>
  </r>
  <r>
    <n v="3082"/>
    <s v="HOMBRE"/>
    <n v="78625675"/>
    <x v="0"/>
    <x v="0"/>
    <s v="SI"/>
    <s v="NO"/>
    <s v="NO"/>
    <n v="26"/>
    <n v="1.1277649683754829"/>
    <s v="No"/>
    <n v="0.93273276261517568"/>
    <s v="No"/>
    <n v="78625675"/>
    <n v="26"/>
    <x v="0"/>
  </r>
  <r>
    <n v="3083"/>
    <s v="MUJER"/>
    <n v="385548"/>
    <x v="3"/>
    <x v="1"/>
    <s v="SI"/>
    <s v="NO"/>
    <s v="SI"/>
    <n v="37"/>
    <n v="0.35143633752697023"/>
    <s v="No"/>
    <n v="0.36923818132478231"/>
    <s v="No"/>
    <n v="385548"/>
    <n v="37"/>
    <x v="3"/>
  </r>
  <r>
    <n v="3084"/>
    <s v="HOMBRE"/>
    <n v="79319096"/>
    <x v="0"/>
    <x v="1"/>
    <s v="SI"/>
    <s v="NO"/>
    <s v="NO"/>
    <n v="59"/>
    <n v="1.2012209241700549"/>
    <s v="No"/>
    <n v="0.94427177754951741"/>
    <s v="No"/>
    <n v="79319096"/>
    <n v="59"/>
    <x v="0"/>
  </r>
  <r>
    <n v="3085"/>
    <s v="HOMBRE"/>
    <n v="297046"/>
    <x v="3"/>
    <x v="1"/>
    <s v="SI"/>
    <s v="NO"/>
    <s v="NO"/>
    <n v="60"/>
    <n v="1.2717962542471923"/>
    <s v="No"/>
    <n v="0.37071091707942361"/>
    <s v="No"/>
    <n v="297046"/>
    <n v="60"/>
    <x v="3"/>
  </r>
  <r>
    <n v="3086"/>
    <s v="MUJER"/>
    <n v="17622156"/>
    <x v="0"/>
    <x v="0"/>
    <s v="SI"/>
    <s v="NO"/>
    <s v="NO"/>
    <n v="57"/>
    <n v="1.0600702640157798"/>
    <s v="No"/>
    <n v="8.2408856672957151E-2"/>
    <s v="No"/>
    <n v="17622156"/>
    <n v="57"/>
    <x v="0"/>
  </r>
  <r>
    <n v="3087"/>
    <s v="MUJER"/>
    <n v="61585017"/>
    <x v="0"/>
    <x v="1"/>
    <s v="SI"/>
    <s v="NO"/>
    <s v="NO"/>
    <n v="53"/>
    <n v="0.77776894370722982"/>
    <s v="No"/>
    <n v="0.64916418428684552"/>
    <s v="No"/>
    <n v="61585017"/>
    <n v="53"/>
    <x v="0"/>
  </r>
  <r>
    <n v="3088"/>
    <s v="HOMBRE"/>
    <n v="299647"/>
    <x v="2"/>
    <x v="1"/>
    <s v="SI"/>
    <s v="NO"/>
    <s v="SI"/>
    <n v="46"/>
    <n v="0.2837416331672673"/>
    <s v="No"/>
    <n v="0.37066763460334595"/>
    <s v="No"/>
    <n v="299647"/>
    <n v="46"/>
    <x v="2"/>
  </r>
  <r>
    <n v="3089"/>
    <s v="HOMBRE"/>
    <n v="1400000"/>
    <x v="0"/>
    <x v="1"/>
    <s v="SI"/>
    <s v="NO"/>
    <s v="NO"/>
    <n v="68"/>
    <n v="1.8363988948642924"/>
    <s v="No"/>
    <n v="0.35235698393074205"/>
    <s v="No"/>
    <n v="1400000"/>
    <n v="68"/>
    <x v="0"/>
  </r>
  <r>
    <n v="3090"/>
    <s v="MUJER"/>
    <n v="37068266"/>
    <x v="0"/>
    <x v="1"/>
    <s v="SI"/>
    <s v="NO"/>
    <s v="SI"/>
    <n v="50"/>
    <n v="0.56604295347581735"/>
    <s v="No"/>
    <n v="0.24118814097327951"/>
    <s v="No"/>
    <n v="37068266"/>
    <n v="50"/>
    <x v="0"/>
  </r>
  <r>
    <n v="3091"/>
    <s v="HOMBRE"/>
    <n v="299441"/>
    <x v="3"/>
    <x v="1"/>
    <s v="SI"/>
    <s v="SI"/>
    <s v="SI"/>
    <n v="40"/>
    <n v="0.13971034729555773"/>
    <s v="No"/>
    <n v="0.37067106258876387"/>
    <s v="No"/>
    <n v="299441"/>
    <n v="40"/>
    <x v="3"/>
  </r>
  <r>
    <n v="3092"/>
    <s v="MUJER"/>
    <n v="1095319"/>
    <x v="0"/>
    <x v="0"/>
    <s v="SI"/>
    <s v="NO"/>
    <s v="SI"/>
    <n v="28"/>
    <n v="0.98661430822120777"/>
    <s v="No"/>
    <n v="0.35742709084877622"/>
    <s v="No"/>
    <n v="1095319"/>
    <n v="28"/>
    <x v="0"/>
  </r>
  <r>
    <n v="3093"/>
    <s v="HOMBRE"/>
    <n v="298698"/>
    <x v="0"/>
    <x v="1"/>
    <s v="SI"/>
    <s v="SI"/>
    <s v="NO"/>
    <n v="49"/>
    <n v="0.49546762339867978"/>
    <s v="No"/>
    <n v="0.37068342663325665"/>
    <s v="No"/>
    <n v="298698"/>
    <n v="49"/>
    <x v="0"/>
  </r>
  <r>
    <n v="3094"/>
    <s v="MUJER"/>
    <n v="124822455"/>
    <x v="0"/>
    <x v="1"/>
    <s v="SI"/>
    <s v="NO"/>
    <s v="NO"/>
    <n v="35"/>
    <n v="0.49258699768124525"/>
    <s v="No"/>
    <n v="1.701479792685648"/>
    <s v="No"/>
    <n v="124822455"/>
    <n v="35"/>
    <x v="0"/>
  </r>
  <r>
    <n v="3095"/>
    <s v="MUJER"/>
    <n v="32933344"/>
    <x v="0"/>
    <x v="1"/>
    <s v="SI"/>
    <s v="NO"/>
    <s v="NO"/>
    <n v="43"/>
    <n v="7.2015642935854773E-2"/>
    <s v="No"/>
    <n v="0.17238012000140532"/>
    <s v="No"/>
    <n v="32933344"/>
    <n v="43"/>
    <x v="0"/>
  </r>
  <r>
    <n v="3096"/>
    <s v="HOMBRE"/>
    <n v="46508416"/>
    <x v="0"/>
    <x v="1"/>
    <s v="SI"/>
    <s v="NO"/>
    <s v="NO"/>
    <n v="27"/>
    <n v="1.0571896382983452"/>
    <s v="No"/>
    <n v="0.39827890089030771"/>
    <s v="No"/>
    <n v="46508416"/>
    <n v="27"/>
    <x v="0"/>
  </r>
  <r>
    <n v="3097"/>
    <s v="MUJER"/>
    <n v="446160"/>
    <x v="0"/>
    <x v="1"/>
    <s v="SI"/>
    <s v="SI"/>
    <s v="NO"/>
    <n v="29"/>
    <n v="0.91603897814407031"/>
    <s v="No"/>
    <n v="0.36822955485803222"/>
    <s v="No"/>
    <n v="446160"/>
    <n v="29"/>
    <x v="0"/>
  </r>
  <r>
    <n v="3098"/>
    <s v="HOMBRE"/>
    <n v="1484376"/>
    <x v="0"/>
    <x v="1"/>
    <s v="SI"/>
    <s v="NO"/>
    <s v="NO"/>
    <n v="55"/>
    <n v="0.91891960386150484"/>
    <s v="No"/>
    <n v="0.35095290772869453"/>
    <s v="No"/>
    <n v="1484376"/>
    <n v="55"/>
    <x v="0"/>
  </r>
  <r>
    <n v="3099"/>
    <s v="HOMBRE"/>
    <n v="60489999"/>
    <x v="0"/>
    <x v="1"/>
    <s v="SI"/>
    <s v="NO"/>
    <s v="NO"/>
    <n v="22"/>
    <n v="1.4100662886840327"/>
    <s v="No"/>
    <n v="0.63094231178028326"/>
    <s v="No"/>
    <n v="60489999"/>
    <n v="22"/>
    <x v="0"/>
  </r>
  <r>
    <n v="3100"/>
    <s v="HOMBRE"/>
    <n v="75800224"/>
    <x v="0"/>
    <x v="1"/>
    <s v="SI"/>
    <s v="NO"/>
    <s v="NO"/>
    <n v="32"/>
    <n v="0.70431298791265773"/>
    <s v="No"/>
    <n v="0.8857152634548523"/>
    <s v="No"/>
    <n v="75800224"/>
    <n v="32"/>
    <x v="0"/>
  </r>
  <r>
    <n v="3101"/>
    <s v="MUJER"/>
    <n v="146988"/>
    <x v="0"/>
    <x v="1"/>
    <s v="SI"/>
    <s v="NO"/>
    <s v="NO"/>
    <n v="36"/>
    <n v="0.42201166760410774"/>
    <s v="No"/>
    <n v="0.37320798812719608"/>
    <s v="No"/>
    <n v="146988"/>
    <n v="36"/>
    <x v="0"/>
  </r>
  <r>
    <n v="3102"/>
    <s v="HOMBRE"/>
    <n v="278031"/>
    <x v="2"/>
    <x v="1"/>
    <s v="NO"/>
    <s v="NO"/>
    <s v="NO"/>
    <n v="34"/>
    <n v="0.56316232775838282"/>
    <s v="No"/>
    <n v="0.37102734010234401"/>
    <s v="No"/>
    <n v="278031"/>
    <n v="34"/>
    <x v="2"/>
  </r>
  <r>
    <n v="3103"/>
    <s v="MUJER"/>
    <n v="477903"/>
    <x v="3"/>
    <x v="1"/>
    <s v="SI"/>
    <s v="NO"/>
    <s v="NO"/>
    <n v="51"/>
    <n v="0.6366182835529548"/>
    <s v="No"/>
    <n v="0.36770132893026136"/>
    <s v="No"/>
    <n v="477903"/>
    <n v="51"/>
    <x v="3"/>
  </r>
  <r>
    <n v="3104"/>
    <s v="HOMBRE"/>
    <n v="744238"/>
    <x v="1"/>
    <x v="0"/>
    <s v="SI"/>
    <s v="NO"/>
    <s v="NO"/>
    <n v="56"/>
    <n v="0.9894949339386423"/>
    <s v="No"/>
    <n v="0.3632693265211363"/>
    <s v="No"/>
    <n v="744238"/>
    <n v="56"/>
    <x v="1"/>
  </r>
  <r>
    <n v="3105"/>
    <s v="MUJER"/>
    <n v="297046"/>
    <x v="2"/>
    <x v="1"/>
    <s v="SI"/>
    <s v="NO"/>
    <s v="NO"/>
    <n v="60"/>
    <n v="1.2717962542471923"/>
    <s v="No"/>
    <n v="0.37071091707942361"/>
    <s v="No"/>
    <n v="297046"/>
    <n v="60"/>
    <x v="2"/>
  </r>
  <r>
    <n v="3106"/>
    <s v="HOMBRE"/>
    <n v="1353797"/>
    <x v="0"/>
    <x v="0"/>
    <s v="SI"/>
    <s v="NO"/>
    <s v="SI"/>
    <n v="44"/>
    <n v="0.14259097301299228"/>
    <s v="No"/>
    <n v="0.35312583446600332"/>
    <s v="No"/>
    <n v="1353797"/>
    <n v="44"/>
    <x v="0"/>
  </r>
  <r>
    <n v="3107"/>
    <s v="MUJER"/>
    <n v="486013"/>
    <x v="3"/>
    <x v="1"/>
    <s v="SI"/>
    <s v="NO"/>
    <s v="NO"/>
    <n v="63"/>
    <n v="1.4835222444786049"/>
    <s v="No"/>
    <n v="0.3675663728053134"/>
    <s v="No"/>
    <n v="486013"/>
    <n v="63"/>
    <x v="3"/>
  </r>
  <r>
    <n v="3108"/>
    <s v="HOMBRE"/>
    <n v="278030"/>
    <x v="4"/>
    <x v="1"/>
    <s v="SI"/>
    <s v="NO"/>
    <s v="NO"/>
    <n v="33"/>
    <n v="0.63373765783552027"/>
    <s v="No"/>
    <n v="0.37102735674304993"/>
    <s v="No"/>
    <n v="278030"/>
    <n v="33"/>
    <x v="4"/>
  </r>
  <r>
    <n v="3109"/>
    <s v="MUJER"/>
    <n v="278030"/>
    <x v="4"/>
    <x v="1"/>
    <s v="SI"/>
    <s v="NO"/>
    <s v="NO"/>
    <n v="40"/>
    <n v="0.13971034729555773"/>
    <s v="No"/>
    <n v="0.37102735674304993"/>
    <s v="No"/>
    <n v="278030"/>
    <n v="40"/>
    <x v="4"/>
  </r>
  <r>
    <n v="3110"/>
    <s v="HOMBRE"/>
    <n v="255744"/>
    <x v="0"/>
    <x v="1"/>
    <s v="SI"/>
    <s v="NO"/>
    <s v="SI"/>
    <n v="26"/>
    <n v="1.1277649683754829"/>
    <s v="No"/>
    <n v="0.37139821151500912"/>
    <s v="No"/>
    <n v="255744"/>
    <n v="26"/>
    <x v="0"/>
  </r>
  <r>
    <n v="3111"/>
    <s v="HOMBRE"/>
    <n v="16023263"/>
    <x v="0"/>
    <x v="0"/>
    <s v="SI"/>
    <s v="NO"/>
    <s v="NO"/>
    <n v="62"/>
    <n v="1.4129469144014672"/>
    <s v="No"/>
    <n v="0.10901556487102783"/>
    <s v="No"/>
    <n v="16023263"/>
    <n v="62"/>
    <x v="0"/>
  </r>
  <r>
    <n v="3112"/>
    <s v="HOMBRE"/>
    <n v="356455"/>
    <x v="3"/>
    <x v="1"/>
    <s v="SI"/>
    <s v="NO"/>
    <s v="SI"/>
    <n v="41"/>
    <n v="6.9135017218420233E-2"/>
    <s v="No"/>
    <n v="0.36972230938188588"/>
    <s v="No"/>
    <n v="356455"/>
    <n v="41"/>
    <x v="3"/>
  </r>
  <r>
    <n v="3113"/>
    <s v="HOMBRE"/>
    <n v="389940"/>
    <x v="3"/>
    <x v="1"/>
    <s v="SI"/>
    <s v="NO"/>
    <s v="SI"/>
    <n v="47"/>
    <n v="0.35431696324440481"/>
    <s v="No"/>
    <n v="0.36916509534441594"/>
    <s v="No"/>
    <n v="389940"/>
    <n v="47"/>
    <x v="3"/>
  </r>
  <r>
    <n v="3114"/>
    <s v="MUJER"/>
    <n v="300018"/>
    <x v="2"/>
    <x v="1"/>
    <s v="SI"/>
    <s v="NO"/>
    <s v="NO"/>
    <n v="43"/>
    <n v="7.2015642935854773E-2"/>
    <s v="No"/>
    <n v="0.37066146090145252"/>
    <s v="No"/>
    <n v="300018"/>
    <n v="43"/>
    <x v="2"/>
  </r>
  <r>
    <n v="3115"/>
    <s v="MUJER"/>
    <n v="110300"/>
    <x v="0"/>
    <x v="1"/>
    <s v="SI"/>
    <s v="NO"/>
    <s v="NO"/>
    <n v="53"/>
    <n v="0.77776894370722982"/>
    <s v="No"/>
    <n v="0.37381850234570274"/>
    <s v="No"/>
    <n v="110300"/>
    <n v="53"/>
    <x v="0"/>
  </r>
  <r>
    <n v="3116"/>
    <s v="HOMBRE"/>
    <n v="24740629"/>
    <x v="0"/>
    <x v="1"/>
    <s v="SI"/>
    <s v="NO"/>
    <s v="NO"/>
    <n v="33"/>
    <n v="0.63373765783552027"/>
    <s v="No"/>
    <n v="3.6047559063958831E-2"/>
    <s v="No"/>
    <n v="24740629"/>
    <n v="33"/>
    <x v="0"/>
  </r>
  <r>
    <n v="3117"/>
    <s v="HOMBRE"/>
    <n v="594092"/>
    <x v="3"/>
    <x v="1"/>
    <s v="SI"/>
    <s v="NO"/>
    <s v="SI"/>
    <n v="62"/>
    <n v="1.4129469144014672"/>
    <s v="No"/>
    <n v="0.36576786195102906"/>
    <s v="No"/>
    <n v="594092"/>
    <n v="62"/>
    <x v="3"/>
  </r>
  <r>
    <n v="3118"/>
    <s v="MUJER"/>
    <n v="297046"/>
    <x v="3"/>
    <x v="1"/>
    <s v="SI"/>
    <s v="NO"/>
    <s v="SI"/>
    <n v="40"/>
    <n v="0.13971034729555773"/>
    <s v="No"/>
    <n v="0.37071091707942361"/>
    <s v="No"/>
    <n v="297046"/>
    <n v="40"/>
    <x v="3"/>
  </r>
  <r>
    <n v="3119"/>
    <s v="HOMBRE"/>
    <n v="546000"/>
    <x v="0"/>
    <x v="1"/>
    <s v="SI"/>
    <s v="NO"/>
    <s v="NO"/>
    <n v="54"/>
    <n v="0.84834427378436728"/>
    <s v="No"/>
    <n v="0.36656814677975846"/>
    <s v="No"/>
    <n v="546000"/>
    <n v="54"/>
    <x v="0"/>
  </r>
  <r>
    <n v="3120"/>
    <s v="HOMBRE"/>
    <n v="3446699"/>
    <x v="0"/>
    <x v="0"/>
    <s v="SI"/>
    <s v="NO"/>
    <s v="NO"/>
    <n v="57"/>
    <n v="1.0600702640157798"/>
    <s v="No"/>
    <n v="0.318298467780954"/>
    <s v="No"/>
    <n v="3446699"/>
    <n v="57"/>
    <x v="0"/>
  </r>
  <r>
    <n v="3121"/>
    <s v="HOMBRE"/>
    <n v="44260585"/>
    <x v="0"/>
    <x v="1"/>
    <s v="SI"/>
    <s v="NO"/>
    <s v="NO"/>
    <n v="22"/>
    <n v="1.4100662886840327"/>
    <s v="No"/>
    <n v="0.36087340627898762"/>
    <s v="No"/>
    <n v="44260585"/>
    <n v="22"/>
    <x v="0"/>
  </r>
  <r>
    <n v="3122"/>
    <s v="HOMBRE"/>
    <n v="1326601"/>
    <x v="1"/>
    <x v="0"/>
    <s v="SI"/>
    <s v="NO"/>
    <s v="NO"/>
    <n v="72"/>
    <n v="2.1187002151728422"/>
    <s v="Sí"/>
    <n v="0.35357839510399142"/>
    <s v="No"/>
    <n v="1326601"/>
    <n v="72"/>
    <x v="1"/>
  </r>
  <r>
    <n v="3123"/>
    <s v="HOMBRE"/>
    <n v="300018"/>
    <x v="3"/>
    <x v="1"/>
    <s v="SI"/>
    <s v="SI"/>
    <s v="SI"/>
    <n v="45"/>
    <n v="0.21316630309012977"/>
    <s v="No"/>
    <n v="0.37066146090145252"/>
    <s v="No"/>
    <n v="300018"/>
    <n v="45"/>
    <x v="3"/>
  </r>
  <r>
    <n v="3124"/>
    <s v="MUJER"/>
    <n v="299000"/>
    <x v="3"/>
    <x v="1"/>
    <s v="SI"/>
    <s v="NO"/>
    <s v="NO"/>
    <n v="28"/>
    <n v="0.98661430822120777"/>
    <s v="No"/>
    <n v="0.37067840114007117"/>
    <s v="No"/>
    <n v="299000"/>
    <n v="28"/>
    <x v="3"/>
  </r>
  <r>
    <n v="3125"/>
    <s v="HOMBRE"/>
    <n v="296540"/>
    <x v="3"/>
    <x v="1"/>
    <s v="SI"/>
    <s v="NO"/>
    <s v="SI"/>
    <n v="44"/>
    <n v="0.14259097301299228"/>
    <s v="No"/>
    <n v="0.37071933727661516"/>
    <s v="No"/>
    <n v="296540"/>
    <n v="44"/>
    <x v="3"/>
  </r>
  <r>
    <n v="3126"/>
    <s v="HOMBRE"/>
    <n v="639148"/>
    <x v="2"/>
    <x v="1"/>
    <s v="SI"/>
    <s v="SI"/>
    <s v="NO"/>
    <n v="76"/>
    <n v="2.4010015354813925"/>
    <s v="Sí"/>
    <n v="0.36501809830544912"/>
    <s v="No"/>
    <n v="639148"/>
    <n v="76"/>
    <x v="2"/>
  </r>
  <r>
    <n v="3127"/>
    <s v="HOMBRE"/>
    <n v="616500"/>
    <x v="0"/>
    <x v="1"/>
    <s v="SI"/>
    <s v="NO"/>
    <s v="NO"/>
    <n v="21"/>
    <n v="1.4806416187611704"/>
    <s v="No"/>
    <n v="0.36539497701294854"/>
    <s v="No"/>
    <n v="616500"/>
    <n v="21"/>
    <x v="0"/>
  </r>
  <r>
    <n v="3128"/>
    <s v="MUJER"/>
    <n v="55795978"/>
    <x v="0"/>
    <x v="0"/>
    <s v="SI"/>
    <s v="NO"/>
    <s v="NO"/>
    <n v="30"/>
    <n v="0.84546364806693275"/>
    <s v="No"/>
    <n v="0.55283048877360552"/>
    <s v="No"/>
    <n v="55795978"/>
    <n v="30"/>
    <x v="0"/>
  </r>
  <r>
    <n v="3129"/>
    <s v="HOMBRE"/>
    <n v="59426732"/>
    <x v="0"/>
    <x v="1"/>
    <s v="SI"/>
    <s v="NO"/>
    <s v="NO"/>
    <n v="34"/>
    <n v="0.56316232775838282"/>
    <s v="No"/>
    <n v="0.61324879832713908"/>
    <s v="No"/>
    <n v="59426732"/>
    <n v="34"/>
    <x v="0"/>
  </r>
  <r>
    <n v="3130"/>
    <s v="HOMBRE"/>
    <n v="375277"/>
    <x v="0"/>
    <x v="0"/>
    <s v="SI"/>
    <s v="NO"/>
    <s v="NO"/>
    <n v="63"/>
    <n v="1.4835222444786049"/>
    <s v="No"/>
    <n v="0.36940909801520649"/>
    <s v="No"/>
    <n v="375277"/>
    <n v="63"/>
    <x v="0"/>
  </r>
  <r>
    <n v="3131"/>
    <s v="HOMBRE"/>
    <n v="153968"/>
    <x v="0"/>
    <x v="1"/>
    <s v="SI"/>
    <s v="NO"/>
    <s v="NO"/>
    <n v="42"/>
    <n v="1.4403128587172659E-3"/>
    <s v="No"/>
    <n v="0.37309183599992896"/>
    <s v="No"/>
    <n v="153968"/>
    <n v="42"/>
    <x v="0"/>
  </r>
  <r>
    <n v="3132"/>
    <s v="HOMBRE"/>
    <n v="352314"/>
    <x v="3"/>
    <x v="1"/>
    <s v="SI"/>
    <s v="NO"/>
    <s v="SI"/>
    <n v="37"/>
    <n v="0.35143633752697023"/>
    <s v="No"/>
    <n v="0.36979121854506825"/>
    <s v="No"/>
    <n v="352314"/>
    <n v="37"/>
    <x v="3"/>
  </r>
  <r>
    <n v="3133"/>
    <s v="HOMBRE"/>
    <n v="138924241"/>
    <x v="0"/>
    <x v="1"/>
    <s v="SI"/>
    <s v="NO"/>
    <s v="NO"/>
    <n v="45"/>
    <n v="0.21316630309012977"/>
    <s v="No"/>
    <n v="1.9361434663483872"/>
    <s v="No"/>
    <n v="138924241"/>
    <n v="45"/>
    <x v="0"/>
  </r>
  <r>
    <n v="3134"/>
    <s v="HOMBRE"/>
    <n v="3769772"/>
    <x v="0"/>
    <x v="0"/>
    <s v="SI"/>
    <s v="NO"/>
    <s v="NO"/>
    <n v="47"/>
    <n v="0.35431696324440481"/>
    <s v="No"/>
    <n v="0.31292230499978274"/>
    <s v="No"/>
    <n v="3769772"/>
    <n v="47"/>
    <x v="0"/>
  </r>
  <r>
    <n v="3135"/>
    <s v="HOMBRE"/>
    <n v="350955"/>
    <x v="0"/>
    <x v="1"/>
    <s v="SI"/>
    <s v="NO"/>
    <s v="NO"/>
    <n v="41"/>
    <n v="6.9135017218420233E-2"/>
    <s v="No"/>
    <n v="0.36981383326440292"/>
    <s v="No"/>
    <n v="350955"/>
    <n v="41"/>
    <x v="0"/>
  </r>
  <r>
    <n v="3136"/>
    <s v="MUJER"/>
    <n v="1275143"/>
    <x v="0"/>
    <x v="1"/>
    <s v="SI"/>
    <s v="NO"/>
    <s v="NO"/>
    <n v="53"/>
    <n v="0.77776894370722982"/>
    <s v="No"/>
    <n v="0.35443469254882126"/>
    <s v="No"/>
    <n v="1275143"/>
    <n v="53"/>
    <x v="0"/>
  </r>
  <r>
    <n v="3137"/>
    <s v="MUJER"/>
    <n v="6664375"/>
    <x v="0"/>
    <x v="0"/>
    <s v="SI"/>
    <s v="NO"/>
    <s v="NO"/>
    <n v="26"/>
    <n v="1.1277649683754829"/>
    <s v="No"/>
    <n v="0.26475406774421906"/>
    <s v="No"/>
    <n v="6664375"/>
    <n v="26"/>
    <x v="0"/>
  </r>
  <r>
    <n v="3138"/>
    <s v="HOMBRE"/>
    <n v="10652"/>
    <x v="0"/>
    <x v="1"/>
    <s v="SI"/>
    <s v="SI"/>
    <s v="NO"/>
    <n v="23"/>
    <n v="1.3394909586068953"/>
    <s v="No"/>
    <n v="0.37547671540844141"/>
    <s v="No"/>
    <n v="10652"/>
    <n v="23"/>
    <x v="0"/>
  </r>
  <r>
    <n v="3139"/>
    <s v="HOMBRE"/>
    <n v="6985595"/>
    <x v="0"/>
    <x v="0"/>
    <s v="SI"/>
    <s v="NO"/>
    <s v="NO"/>
    <n v="31"/>
    <n v="0.77488831798979529"/>
    <s v="No"/>
    <n v="0.25940874019110305"/>
    <s v="No"/>
    <n v="6985595"/>
    <n v="31"/>
    <x v="0"/>
  </r>
  <r>
    <n v="3140"/>
    <s v="MUJER"/>
    <n v="150000"/>
    <x v="0"/>
    <x v="1"/>
    <s v="SI"/>
    <s v="NO"/>
    <s v="NO"/>
    <n v="21"/>
    <n v="1.4806416187611704"/>
    <s v="No"/>
    <n v="0.37315786632098852"/>
    <s v="No"/>
    <n v="150000"/>
    <n v="21"/>
    <x v="0"/>
  </r>
  <r>
    <n v="3141"/>
    <s v="MUJER"/>
    <n v="40615928"/>
    <x v="0"/>
    <x v="1"/>
    <s v="SI"/>
    <s v="NO"/>
    <s v="NO"/>
    <n v="25"/>
    <n v="1.1983402984526204"/>
    <s v="No"/>
    <n v="0.30022374099115678"/>
    <s v="No"/>
    <n v="40615928"/>
    <n v="25"/>
    <x v="0"/>
  </r>
  <r>
    <n v="3142"/>
    <s v="MUJER"/>
    <n v="8011902"/>
    <x v="0"/>
    <x v="1"/>
    <s v="SI"/>
    <s v="NO"/>
    <s v="NO"/>
    <n v="43"/>
    <n v="7.2015642935854773E-2"/>
    <s v="No"/>
    <n v="0.24233026722847373"/>
    <s v="No"/>
    <n v="8011902"/>
    <n v="43"/>
    <x v="0"/>
  </r>
  <r>
    <n v="3143"/>
    <s v="HOMBRE"/>
    <n v="9803535"/>
    <x v="0"/>
    <x v="0"/>
    <s v="SI"/>
    <s v="NO"/>
    <s v="NO"/>
    <n v="34"/>
    <n v="0.56316232775838282"/>
    <s v="No"/>
    <n v="0.21251622937288614"/>
    <s v="No"/>
    <n v="9803535"/>
    <n v="34"/>
    <x v="0"/>
  </r>
  <r>
    <n v="3144"/>
    <s v="HOMBRE"/>
    <n v="84740334"/>
    <x v="0"/>
    <x v="1"/>
    <s v="SI"/>
    <s v="NO"/>
    <s v="NO"/>
    <n v="45"/>
    <n v="0.21316630309012977"/>
    <s v="No"/>
    <n v="1.0344850047875453"/>
    <s v="No"/>
    <n v="84740334"/>
    <n v="45"/>
    <x v="0"/>
  </r>
  <r>
    <n v="3145"/>
    <s v="HOMBRE"/>
    <n v="295505"/>
    <x v="0"/>
    <x v="1"/>
    <s v="SI"/>
    <s v="NO"/>
    <s v="NO"/>
    <n v="36"/>
    <n v="0.42201166760410774"/>
    <s v="No"/>
    <n v="0.37073656040723429"/>
    <s v="No"/>
    <n v="295505"/>
    <n v="36"/>
    <x v="0"/>
  </r>
  <r>
    <n v="3146"/>
    <s v="HOMBRE"/>
    <n v="297046"/>
    <x v="2"/>
    <x v="1"/>
    <s v="SI"/>
    <s v="NO"/>
    <s v="NO"/>
    <n v="25"/>
    <n v="1.1983402984526204"/>
    <s v="No"/>
    <n v="0.37071091707942361"/>
    <s v="No"/>
    <n v="297046"/>
    <n v="25"/>
    <x v="2"/>
  </r>
  <r>
    <n v="3147"/>
    <s v="MUJER"/>
    <n v="457220"/>
    <x v="0"/>
    <x v="0"/>
    <s v="SI"/>
    <s v="NO"/>
    <s v="NO"/>
    <n v="25"/>
    <n v="1.1983402984526204"/>
    <s v="No"/>
    <n v="0.36804550865064334"/>
    <s v="No"/>
    <n v="457220"/>
    <n v="25"/>
    <x v="0"/>
  </r>
  <r>
    <n v="3148"/>
    <s v="HOMBRE"/>
    <n v="458557"/>
    <x v="3"/>
    <x v="1"/>
    <s v="SI"/>
    <s v="NO"/>
    <s v="SI"/>
    <n v="33"/>
    <n v="0.63373765783552027"/>
    <s v="No"/>
    <n v="0.36802326002683872"/>
    <s v="No"/>
    <n v="458557"/>
    <n v="33"/>
    <x v="3"/>
  </r>
  <r>
    <n v="3149"/>
    <s v="MUJER"/>
    <n v="308439"/>
    <x v="3"/>
    <x v="1"/>
    <s v="SI"/>
    <s v="NO"/>
    <s v="SI"/>
    <n v="31"/>
    <n v="0.77488831798979529"/>
    <s v="No"/>
    <n v="0.37052132951696592"/>
    <s v="No"/>
    <n v="308439"/>
    <n v="31"/>
    <x v="3"/>
  </r>
  <r>
    <n v="3150"/>
    <s v="MUJER"/>
    <n v="456605"/>
    <x v="1"/>
    <x v="0"/>
    <s v="SI"/>
    <s v="NO"/>
    <s v="NO"/>
    <n v="67"/>
    <n v="1.765823564787155"/>
    <s v="No"/>
    <n v="0.36805574268477931"/>
    <s v="No"/>
    <n v="456605"/>
    <n v="67"/>
    <x v="1"/>
  </r>
  <r>
    <n v="3151"/>
    <s v="MUJER"/>
    <n v="154295958"/>
    <x v="0"/>
    <x v="1"/>
    <s v="SI"/>
    <s v="NO"/>
    <s v="NO"/>
    <n v="58"/>
    <n v="1.1306455940929174"/>
    <s v="No"/>
    <n v="2.1919396883109092"/>
    <s v="Sí"/>
    <n v="154295958"/>
    <n v="58"/>
    <x v="0"/>
  </r>
  <r>
    <n v="3152"/>
    <s v="HOMBRE"/>
    <n v="297046"/>
    <x v="3"/>
    <x v="1"/>
    <s v="SI"/>
    <s v="NO"/>
    <s v="NO"/>
    <n v="52"/>
    <n v="0.70719361363009237"/>
    <s v="No"/>
    <n v="0.37071091707942361"/>
    <s v="No"/>
    <n v="297046"/>
    <n v="52"/>
    <x v="3"/>
  </r>
  <r>
    <n v="3153"/>
    <s v="HOMBRE"/>
    <n v="433254"/>
    <x v="3"/>
    <x v="1"/>
    <s v="SI"/>
    <s v="NO"/>
    <s v="SI"/>
    <n v="59"/>
    <n v="1.2012209241700549"/>
    <s v="No"/>
    <n v="0.36844431980853504"/>
    <s v="No"/>
    <n v="433254"/>
    <n v="59"/>
    <x v="3"/>
  </r>
  <r>
    <n v="3154"/>
    <s v="HOMBRE"/>
    <n v="4712231"/>
    <x v="0"/>
    <x v="1"/>
    <s v="SI"/>
    <s v="NO"/>
    <s v="NO"/>
    <n v="23"/>
    <n v="1.3394909586068953"/>
    <s v="No"/>
    <n v="0.29723912194647928"/>
    <s v="No"/>
    <n v="4712231"/>
    <n v="23"/>
    <x v="0"/>
  </r>
  <r>
    <n v="3155"/>
    <s v="MUJER"/>
    <n v="53271084"/>
    <x v="0"/>
    <x v="0"/>
    <s v="SI"/>
    <s v="NO"/>
    <s v="NO"/>
    <n v="44"/>
    <n v="0.14259097301299228"/>
    <s v="No"/>
    <n v="0.51081447026013438"/>
    <s v="No"/>
    <n v="53271084"/>
    <n v="44"/>
    <x v="0"/>
  </r>
  <r>
    <n v="3156"/>
    <s v="HOMBRE"/>
    <n v="800000"/>
    <x v="0"/>
    <x v="1"/>
    <s v="SI"/>
    <s v="NO"/>
    <s v="NO"/>
    <n v="35"/>
    <n v="0.49258699768124525"/>
    <s v="No"/>
    <n v="0.36234140747806037"/>
    <s v="No"/>
    <n v="800000"/>
    <n v="35"/>
    <x v="0"/>
  </r>
  <r>
    <n v="3157"/>
    <s v="MUJER"/>
    <n v="246787573"/>
    <x v="0"/>
    <x v="0"/>
    <s v="SI"/>
    <s v="NO"/>
    <s v="NO"/>
    <n v="31"/>
    <n v="0.77488831798979529"/>
    <s v="No"/>
    <n v="3.7310654528700744"/>
    <s v="Sí"/>
    <n v="246787573"/>
    <n v="31"/>
    <x v="0"/>
  </r>
  <r>
    <n v="3158"/>
    <s v="MUJER"/>
    <n v="38451519"/>
    <x v="0"/>
    <x v="1"/>
    <s v="SI"/>
    <s v="NO"/>
    <s v="NO"/>
    <n v="26"/>
    <n v="1.1277649683754829"/>
    <s v="No"/>
    <n v="0.26420644734844401"/>
    <s v="No"/>
    <n v="38451519"/>
    <n v="26"/>
    <x v="0"/>
  </r>
  <r>
    <n v="3159"/>
    <s v="HOMBRE"/>
    <n v="78481069"/>
    <x v="0"/>
    <x v="0"/>
    <s v="SI"/>
    <s v="NO"/>
    <s v="NO"/>
    <n v="35"/>
    <n v="0.49258699768124525"/>
    <s v="No"/>
    <n v="0.93032641669603655"/>
    <s v="No"/>
    <n v="78481069"/>
    <n v="35"/>
    <x v="0"/>
  </r>
  <r>
    <n v="3160"/>
    <s v="MUJER"/>
    <n v="532793"/>
    <x v="0"/>
    <x v="1"/>
    <s v="SI"/>
    <s v="NO"/>
    <s v="NO"/>
    <n v="47"/>
    <n v="0.35431696324440481"/>
    <s v="No"/>
    <n v="0.36678792058274085"/>
    <s v="No"/>
    <n v="532793"/>
    <n v="47"/>
    <x v="0"/>
  </r>
  <r>
    <n v="3161"/>
    <s v="HOMBRE"/>
    <n v="388390"/>
    <x v="0"/>
    <x v="1"/>
    <s v="SI"/>
    <s v="NO"/>
    <s v="NO"/>
    <n v="55"/>
    <n v="0.91891960386150484"/>
    <s v="No"/>
    <n v="0.36919088843857983"/>
    <s v="No"/>
    <n v="388390"/>
    <n v="55"/>
    <x v="0"/>
  </r>
  <r>
    <n v="3162"/>
    <s v="MUJER"/>
    <n v="410367"/>
    <x v="0"/>
    <x v="1"/>
    <s v="SI"/>
    <s v="NO"/>
    <s v="NO"/>
    <n v="38"/>
    <n v="0.28086100744983278"/>
    <s v="No"/>
    <n v="0.36882517564474748"/>
    <s v="No"/>
    <n v="410367"/>
    <n v="38"/>
    <x v="0"/>
  </r>
  <r>
    <n v="3163"/>
    <s v="HOMBRE"/>
    <n v="1583534"/>
    <x v="0"/>
    <x v="0"/>
    <s v="SI"/>
    <s v="NO"/>
    <s v="NO"/>
    <n v="59"/>
    <n v="1.2012209241700549"/>
    <s v="No"/>
    <n v="0.34930284861185285"/>
    <s v="No"/>
    <n v="1583534"/>
    <n v="59"/>
    <x v="0"/>
  </r>
  <r>
    <n v="3164"/>
    <s v="HOMBRE"/>
    <n v="356455"/>
    <x v="3"/>
    <x v="1"/>
    <s v="SI"/>
    <s v="NO"/>
    <s v="SI"/>
    <n v="36"/>
    <n v="0.42201166760410774"/>
    <s v="No"/>
    <n v="0.36972230938188588"/>
    <s v="No"/>
    <n v="356455"/>
    <n v="36"/>
    <x v="3"/>
  </r>
  <r>
    <n v="3165"/>
    <s v="MUJER"/>
    <n v="12572704"/>
    <x v="1"/>
    <x v="0"/>
    <s v="SI"/>
    <s v="NO"/>
    <s v="NO"/>
    <n v="73"/>
    <n v="2.1892755452499797"/>
    <s v="Sí"/>
    <n v="0.16643530242271301"/>
    <s v="No"/>
    <n v="12572704"/>
    <n v="73"/>
    <x v="1"/>
  </r>
  <r>
    <n v="3166"/>
    <s v="HOMBRE"/>
    <n v="26881175"/>
    <x v="0"/>
    <x v="0"/>
    <s v="SI"/>
    <s v="NO"/>
    <s v="NO"/>
    <n v="33"/>
    <n v="0.63373765783552027"/>
    <s v="No"/>
    <n v="7.1667755541488853E-2"/>
    <s v="No"/>
    <n v="26881175"/>
    <n v="33"/>
    <x v="0"/>
  </r>
  <r>
    <n v="3167"/>
    <s v="HOMBRE"/>
    <n v="406824"/>
    <x v="0"/>
    <x v="1"/>
    <s v="SI"/>
    <s v="NO"/>
    <s v="NO"/>
    <n v="25"/>
    <n v="1.1983402984526204"/>
    <s v="No"/>
    <n v="0.36888413366579442"/>
    <s v="No"/>
    <n v="406824"/>
    <n v="25"/>
    <x v="0"/>
  </r>
  <r>
    <n v="3168"/>
    <s v="HOMBRE"/>
    <n v="1872119"/>
    <x v="0"/>
    <x v="0"/>
    <s v="SI"/>
    <s v="NO"/>
    <s v="NO"/>
    <n v="37"/>
    <n v="0.35143633752697023"/>
    <s v="No"/>
    <n v="0.34450059049618142"/>
    <s v="No"/>
    <n v="1872119"/>
    <n v="37"/>
    <x v="0"/>
  </r>
  <r>
    <n v="3169"/>
    <s v="HOMBRE"/>
    <n v="1562879"/>
    <x v="0"/>
    <x v="0"/>
    <s v="SI"/>
    <s v="NO"/>
    <s v="SI"/>
    <n v="42"/>
    <n v="1.4403128587172659E-3"/>
    <s v="No"/>
    <n v="0.34964656239246927"/>
    <s v="No"/>
    <n v="1562879"/>
    <n v="42"/>
    <x v="0"/>
  </r>
  <r>
    <n v="3170"/>
    <s v="MUJER"/>
    <n v="501500"/>
    <x v="0"/>
    <x v="1"/>
    <s v="SI"/>
    <s v="NO"/>
    <s v="SI"/>
    <n v="55"/>
    <n v="0.91891960386150484"/>
    <s v="No"/>
    <n v="0.36730865819285125"/>
    <s v="No"/>
    <n v="501500"/>
    <n v="55"/>
    <x v="0"/>
  </r>
  <r>
    <n v="3171"/>
    <s v="MUJER"/>
    <n v="458371"/>
    <x v="0"/>
    <x v="0"/>
    <s v="SI"/>
    <s v="NO"/>
    <s v="SI"/>
    <n v="43"/>
    <n v="7.2015642935854773E-2"/>
    <s v="No"/>
    <n v="0.36802635519813837"/>
    <s v="No"/>
    <n v="458371"/>
    <n v="43"/>
    <x v="0"/>
  </r>
  <r>
    <n v="3172"/>
    <s v="MUJER"/>
    <n v="466740"/>
    <x v="0"/>
    <x v="0"/>
    <s v="SI"/>
    <s v="NO"/>
    <s v="SI"/>
    <n v="30"/>
    <n v="0.84546364806693275"/>
    <s v="No"/>
    <n v="0.36788708913035917"/>
    <s v="No"/>
    <n v="466740"/>
    <n v="30"/>
    <x v="0"/>
  </r>
  <r>
    <n v="3173"/>
    <s v="HOMBRE"/>
    <n v="41672188"/>
    <x v="0"/>
    <x v="1"/>
    <s v="SI"/>
    <s v="NO"/>
    <s v="NO"/>
    <n v="29"/>
    <n v="0.91603897814407031"/>
    <s v="No"/>
    <n v="0.31780065301797417"/>
    <s v="No"/>
    <n v="41672188"/>
    <n v="29"/>
    <x v="0"/>
  </r>
  <r>
    <n v="3174"/>
    <s v="HOMBRE"/>
    <n v="51864273"/>
    <x v="0"/>
    <x v="1"/>
    <s v="SI"/>
    <s v="SI"/>
    <s v="NO"/>
    <n v="40"/>
    <n v="0.13971034729555773"/>
    <s v="No"/>
    <n v="0.48740414213509031"/>
    <s v="No"/>
    <n v="51864273"/>
    <n v="40"/>
    <x v="0"/>
  </r>
  <r>
    <n v="3175"/>
    <s v="HOMBRE"/>
    <n v="297046"/>
    <x v="3"/>
    <x v="1"/>
    <s v="SI"/>
    <s v="SI"/>
    <s v="SI"/>
    <n v="36"/>
    <n v="0.42201166760410774"/>
    <s v="No"/>
    <n v="0.37071091707942361"/>
    <s v="No"/>
    <n v="297046"/>
    <n v="36"/>
    <x v="3"/>
  </r>
  <r>
    <n v="3176"/>
    <s v="HOMBRE"/>
    <n v="326749"/>
    <x v="3"/>
    <x v="1"/>
    <s v="SI"/>
    <s v="NO"/>
    <s v="SI"/>
    <n v="50"/>
    <n v="0.56604295347581735"/>
    <s v="No"/>
    <n v="0.37021663819171358"/>
    <s v="No"/>
    <n v="326749"/>
    <n v="50"/>
    <x v="3"/>
  </r>
  <r>
    <n v="3177"/>
    <s v="MUJER"/>
    <n v="70352079"/>
    <x v="0"/>
    <x v="1"/>
    <s v="SI"/>
    <s v="NO"/>
    <s v="NO"/>
    <n v="36"/>
    <n v="0.42201166760410774"/>
    <s v="No"/>
    <n v="0.79505428474284479"/>
    <s v="No"/>
    <n v="70352079"/>
    <n v="36"/>
    <x v="0"/>
  </r>
  <r>
    <n v="3178"/>
    <s v="HOMBRE"/>
    <n v="360000"/>
    <x v="0"/>
    <x v="1"/>
    <s v="SI"/>
    <s v="NO"/>
    <s v="NO"/>
    <n v="23"/>
    <n v="1.3394909586068953"/>
    <s v="No"/>
    <n v="0.36966331807942709"/>
    <s v="No"/>
    <n v="360000"/>
    <n v="23"/>
    <x v="0"/>
  </r>
  <r>
    <n v="3179"/>
    <s v="MUJER"/>
    <n v="1251585"/>
    <x v="0"/>
    <x v="0"/>
    <s v="SI"/>
    <s v="NO"/>
    <s v="SI"/>
    <n v="50"/>
    <n v="0.56604295347581735"/>
    <s v="No"/>
    <n v="0.35482671429870083"/>
    <s v="No"/>
    <n v="1251585"/>
    <n v="50"/>
    <x v="0"/>
  </r>
  <r>
    <n v="3180"/>
    <s v="MUJER"/>
    <n v="278030"/>
    <x v="4"/>
    <x v="1"/>
    <s v="SI"/>
    <s v="NO"/>
    <s v="NO"/>
    <n v="35"/>
    <n v="0.49258699768124525"/>
    <s v="No"/>
    <n v="0.37102735674304993"/>
    <s v="No"/>
    <n v="278030"/>
    <n v="35"/>
    <x v="4"/>
  </r>
  <r>
    <n v="3181"/>
    <s v="MUJER"/>
    <n v="473621"/>
    <x v="0"/>
    <x v="0"/>
    <s v="SI"/>
    <s v="NO"/>
    <s v="SI"/>
    <n v="48"/>
    <n v="0.42489229332154227"/>
    <s v="No"/>
    <n v="0.36777258443297739"/>
    <s v="No"/>
    <n v="473621"/>
    <n v="48"/>
    <x v="0"/>
  </r>
  <r>
    <n v="3182"/>
    <s v="HOMBRE"/>
    <n v="559000"/>
    <x v="0"/>
    <x v="1"/>
    <s v="SI"/>
    <s v="NO"/>
    <s v="NO"/>
    <n v="33"/>
    <n v="0.63373765783552027"/>
    <s v="No"/>
    <n v="0.36635181760289987"/>
    <s v="No"/>
    <n v="559000"/>
    <n v="33"/>
    <x v="0"/>
  </r>
  <r>
    <n v="3183"/>
    <s v="HOMBRE"/>
    <n v="484144"/>
    <x v="0"/>
    <x v="1"/>
    <s v="SI"/>
    <s v="NO"/>
    <s v="NO"/>
    <n v="46"/>
    <n v="0.2837416331672673"/>
    <s v="No"/>
    <n v="0.36759747428466333"/>
    <s v="No"/>
    <n v="484144"/>
    <n v="46"/>
    <x v="0"/>
  </r>
  <r>
    <n v="3184"/>
    <s v="MUJER"/>
    <n v="278030"/>
    <x v="2"/>
    <x v="1"/>
    <s v="SI"/>
    <s v="NO"/>
    <s v="NO"/>
    <n v="26"/>
    <n v="1.1277649683754829"/>
    <s v="No"/>
    <n v="0.37102735674304993"/>
    <s v="No"/>
    <n v="278030"/>
    <n v="26"/>
    <x v="2"/>
  </r>
  <r>
    <n v="3185"/>
    <s v="HOMBRE"/>
    <n v="1000000"/>
    <x v="0"/>
    <x v="1"/>
    <s v="SI"/>
    <s v="NO"/>
    <s v="NO"/>
    <n v="24"/>
    <n v="1.2689156285297578"/>
    <s v="No"/>
    <n v="0.35901326629562091"/>
    <s v="No"/>
    <n v="1000000"/>
    <n v="24"/>
    <x v="0"/>
  </r>
  <r>
    <n v="3186"/>
    <s v="HOMBRE"/>
    <n v="5328969"/>
    <x v="0"/>
    <x v="0"/>
    <s v="SI"/>
    <s v="NO"/>
    <s v="NO"/>
    <n v="35"/>
    <n v="0.49258699768124525"/>
    <s v="No"/>
    <n v="0.28697616626360262"/>
    <s v="No"/>
    <n v="5328969"/>
    <n v="35"/>
    <x v="0"/>
  </r>
  <r>
    <n v="3187"/>
    <s v="HOMBRE"/>
    <n v="9144043"/>
    <x v="0"/>
    <x v="1"/>
    <s v="SI"/>
    <s v="NO"/>
    <s v="NO"/>
    <n v="29"/>
    <n v="0.91603897814407031"/>
    <s v="No"/>
    <n v="0.22349064179633291"/>
    <s v="No"/>
    <n v="9144043"/>
    <n v="29"/>
    <x v="0"/>
  </r>
  <r>
    <n v="3188"/>
    <s v="HOMBRE"/>
    <n v="680960"/>
    <x v="0"/>
    <x v="0"/>
    <s v="SI"/>
    <s v="NO"/>
    <s v="NO"/>
    <n v="32"/>
    <n v="0.70431298791265773"/>
    <s v="No"/>
    <n v="0.3643223171098483"/>
    <s v="No"/>
    <n v="680960"/>
    <n v="32"/>
    <x v="0"/>
  </r>
  <r>
    <n v="3189"/>
    <s v="HOMBRE"/>
    <n v="40925603"/>
    <x v="0"/>
    <x v="1"/>
    <s v="SI"/>
    <s v="NO"/>
    <s v="NO"/>
    <n v="34"/>
    <n v="0.56316232775838282"/>
    <s v="No"/>
    <n v="0.30537695159451644"/>
    <s v="No"/>
    <n v="40925603"/>
    <n v="34"/>
    <x v="0"/>
  </r>
  <r>
    <n v="3190"/>
    <s v="MUJER"/>
    <n v="297045"/>
    <x v="3"/>
    <x v="1"/>
    <s v="SI"/>
    <s v="NO"/>
    <s v="NO"/>
    <n v="39"/>
    <n v="0.21028567737269524"/>
    <s v="No"/>
    <n v="0.37071093372012948"/>
    <s v="No"/>
    <n v="297045"/>
    <n v="39"/>
    <x v="3"/>
  </r>
  <r>
    <n v="3191"/>
    <s v="HOMBRE"/>
    <n v="278030"/>
    <x v="4"/>
    <x v="1"/>
    <s v="SI"/>
    <s v="NO"/>
    <s v="NO"/>
    <n v="45"/>
    <n v="0.21316630309012977"/>
    <s v="No"/>
    <n v="0.37102735674304993"/>
    <s v="No"/>
    <n v="278030"/>
    <n v="45"/>
    <x v="4"/>
  </r>
  <r>
    <n v="3192"/>
    <s v="HOMBRE"/>
    <n v="7623596"/>
    <x v="0"/>
    <x v="1"/>
    <s v="SI"/>
    <s v="NO"/>
    <s v="NO"/>
    <n v="34"/>
    <n v="0.56316232775838282"/>
    <s v="No"/>
    <n v="0.24879195317841535"/>
    <s v="No"/>
    <n v="7623596"/>
    <n v="34"/>
    <x v="0"/>
  </r>
  <r>
    <n v="3193"/>
    <s v="MUJER"/>
    <n v="639148"/>
    <x v="3"/>
    <x v="1"/>
    <s v="SI"/>
    <s v="NO"/>
    <s v="SI"/>
    <n v="74"/>
    <n v="2.2598508753271176"/>
    <s v="Sí"/>
    <n v="0.36501809830544912"/>
    <s v="No"/>
    <n v="639148"/>
    <n v="74"/>
    <x v="3"/>
  </r>
  <r>
    <n v="3194"/>
    <s v="HOMBRE"/>
    <n v="4104952"/>
    <x v="0"/>
    <x v="1"/>
    <s v="SI"/>
    <s v="SI"/>
    <s v="SI"/>
    <n v="29"/>
    <n v="0.91603897814407031"/>
    <s v="No"/>
    <n v="0.30734467319213249"/>
    <s v="No"/>
    <n v="4104952"/>
    <n v="29"/>
    <x v="0"/>
  </r>
  <r>
    <n v="3195"/>
    <s v="MUJER"/>
    <n v="50421848"/>
    <x v="0"/>
    <x v="1"/>
    <s v="SI"/>
    <s v="SI"/>
    <s v="NO"/>
    <n v="49"/>
    <n v="0.49546762339867978"/>
    <s v="No"/>
    <n v="0.46340117190968932"/>
    <s v="No"/>
    <n v="50421848"/>
    <n v="49"/>
    <x v="0"/>
  </r>
  <r>
    <n v="3196"/>
    <s v="HOMBRE"/>
    <n v="660746"/>
    <x v="0"/>
    <x v="0"/>
    <s v="SI"/>
    <s v="NO"/>
    <s v="NO"/>
    <n v="35"/>
    <n v="0.49258699768124525"/>
    <s v="No"/>
    <n v="0.36465869233915749"/>
    <s v="No"/>
    <n v="660746"/>
    <n v="35"/>
    <x v="0"/>
  </r>
  <r>
    <n v="3197"/>
    <s v="MUJER"/>
    <n v="87453866"/>
    <x v="0"/>
    <x v="1"/>
    <s v="SI"/>
    <s v="NO"/>
    <s v="NO"/>
    <n v="40"/>
    <n v="0.13971034729555773"/>
    <s v="No"/>
    <n v="1.0796400927828815"/>
    <s v="No"/>
    <n v="87453866"/>
    <n v="40"/>
    <x v="0"/>
  </r>
  <r>
    <n v="3198"/>
    <s v="MUJER"/>
    <n v="346062"/>
    <x v="2"/>
    <x v="1"/>
    <s v="SI"/>
    <s v="NO"/>
    <s v="NO"/>
    <n v="43"/>
    <n v="7.2015642935854773E-2"/>
    <s v="No"/>
    <n v="0.36989525623843134"/>
    <s v="No"/>
    <n v="346062"/>
    <n v="43"/>
    <x v="2"/>
  </r>
  <r>
    <n v="3199"/>
    <s v="MUJER"/>
    <n v="6417829"/>
    <x v="0"/>
    <x v="0"/>
    <s v="SI"/>
    <s v="SI"/>
    <s v="NO"/>
    <n v="55"/>
    <n v="0.91891960386150484"/>
    <s v="No"/>
    <n v="0.26885676722404761"/>
    <s v="No"/>
    <n v="6417829"/>
    <n v="55"/>
    <x v="0"/>
  </r>
  <r>
    <n v="3200"/>
    <s v="MUJER"/>
    <n v="35954427"/>
    <x v="6"/>
    <x v="1"/>
    <s v="SI"/>
    <s v="SI"/>
    <s v="NO"/>
    <n v="32"/>
    <n v="0.70431298791265773"/>
    <s v="No"/>
    <n v="0.22265307374074372"/>
    <s v="No"/>
    <n v="35954427"/>
    <n v="32"/>
    <x v="5"/>
  </r>
  <r>
    <n v="3201"/>
    <s v="HOMBRE"/>
    <n v="32670405"/>
    <x v="0"/>
    <x v="0"/>
    <s v="SI"/>
    <s v="NO"/>
    <s v="NO"/>
    <n v="33"/>
    <n v="0.63373765783552027"/>
    <s v="No"/>
    <n v="0.1680046294295581"/>
    <s v="No"/>
    <n v="32670405"/>
    <n v="33"/>
    <x v="0"/>
  </r>
  <r>
    <n v="3202"/>
    <s v="HOMBRE"/>
    <n v="300018"/>
    <x v="2"/>
    <x v="1"/>
    <s v="SI"/>
    <s v="NO"/>
    <s v="NO"/>
    <n v="85"/>
    <n v="3.03617950617563"/>
    <s v="Sí"/>
    <n v="0.37066146090145252"/>
    <s v="No"/>
    <n v="300018"/>
    <n v="85"/>
    <x v="2"/>
  </r>
  <r>
    <n v="3203"/>
    <s v="HOMBRE"/>
    <n v="116063707"/>
    <x v="0"/>
    <x v="1"/>
    <s v="SI"/>
    <s v="NO"/>
    <s v="SI"/>
    <n v="29"/>
    <n v="0.91603897814407031"/>
    <s v="No"/>
    <n v="1.5557280430586027"/>
    <s v="No"/>
    <n v="116063707"/>
    <n v="29"/>
    <x v="0"/>
  </r>
  <r>
    <n v="3204"/>
    <s v="HOMBRE"/>
    <n v="367220"/>
    <x v="0"/>
    <x v="1"/>
    <s v="SI"/>
    <s v="SI"/>
    <s v="NO"/>
    <n v="25"/>
    <n v="1.1983402984526204"/>
    <s v="No"/>
    <n v="0.36954317218274108"/>
    <s v="No"/>
    <n v="367220"/>
    <n v="25"/>
    <x v="0"/>
  </r>
  <r>
    <n v="3205"/>
    <s v="HOMBRE"/>
    <n v="450886"/>
    <x v="3"/>
    <x v="1"/>
    <s v="SI"/>
    <s v="SI"/>
    <s v="SI"/>
    <n v="45"/>
    <n v="0.21316630309012977"/>
    <s v="No"/>
    <n v="0.36815091088189117"/>
    <s v="No"/>
    <n v="450886"/>
    <n v="45"/>
    <x v="3"/>
  </r>
  <r>
    <n v="3206"/>
    <s v="MUJER"/>
    <n v="80000"/>
    <x v="0"/>
    <x v="1"/>
    <s v="SI"/>
    <s v="NO"/>
    <s v="NO"/>
    <n v="44"/>
    <n v="0.14259097301299228"/>
    <s v="No"/>
    <n v="0.37432271573484233"/>
    <s v="No"/>
    <n v="80000"/>
    <n v="44"/>
    <x v="0"/>
  </r>
  <r>
    <n v="3207"/>
    <s v="HOMBRE"/>
    <n v="297046"/>
    <x v="3"/>
    <x v="1"/>
    <s v="SI"/>
    <s v="SI"/>
    <s v="SI"/>
    <n v="50"/>
    <n v="0.56604295347581735"/>
    <s v="No"/>
    <n v="0.37071091707942361"/>
    <s v="No"/>
    <n v="297046"/>
    <n v="50"/>
    <x v="3"/>
  </r>
  <r>
    <n v="3208"/>
    <s v="MUJER"/>
    <n v="280000"/>
    <x v="0"/>
    <x v="1"/>
    <s v="SI"/>
    <s v="SI"/>
    <s v="SI"/>
    <n v="44"/>
    <n v="0.14259097301299228"/>
    <s v="No"/>
    <n v="0.37099457455240292"/>
    <s v="No"/>
    <n v="280000"/>
    <n v="44"/>
    <x v="0"/>
  </r>
  <r>
    <n v="3209"/>
    <s v="MUJER"/>
    <n v="575000"/>
    <x v="0"/>
    <x v="1"/>
    <s v="SI"/>
    <s v="NO"/>
    <s v="SI"/>
    <n v="21"/>
    <n v="1.4806416187611704"/>
    <s v="No"/>
    <n v="0.36608556630830474"/>
    <s v="No"/>
    <n v="575000"/>
    <n v="21"/>
    <x v="0"/>
  </r>
  <r>
    <n v="3210"/>
    <s v="HOMBRE"/>
    <n v="356455"/>
    <x v="3"/>
    <x v="1"/>
    <s v="SI"/>
    <s v="NO"/>
    <s v="SI"/>
    <n v="50"/>
    <n v="0.56604295347581735"/>
    <s v="No"/>
    <n v="0.36972230938188588"/>
    <s v="No"/>
    <n v="356455"/>
    <n v="50"/>
    <x v="3"/>
  </r>
  <r>
    <n v="3211"/>
    <s v="HOMBRE"/>
    <n v="125088235"/>
    <x v="0"/>
    <x v="0"/>
    <s v="SI"/>
    <s v="NO"/>
    <s v="NO"/>
    <n v="30"/>
    <n v="0.84546364806693275"/>
    <s v="No"/>
    <n v="1.7059025595029917"/>
    <s v="No"/>
    <n v="125088235"/>
    <n v="30"/>
    <x v="0"/>
  </r>
  <r>
    <n v="3212"/>
    <s v="HOMBRE"/>
    <n v="1065177"/>
    <x v="2"/>
    <x v="1"/>
    <s v="SI"/>
    <s v="NO"/>
    <s v="NO"/>
    <n v="59"/>
    <n v="1.2012209241700549"/>
    <s v="No"/>
    <n v="0.35792867500638165"/>
    <s v="No"/>
    <n v="1065177"/>
    <n v="59"/>
    <x v="2"/>
  </r>
  <r>
    <n v="3213"/>
    <s v="HOMBRE"/>
    <n v="285000"/>
    <x v="0"/>
    <x v="1"/>
    <s v="SI"/>
    <s v="NO"/>
    <s v="SI"/>
    <n v="51"/>
    <n v="0.6366182835529548"/>
    <s v="No"/>
    <n v="0.37091137102284188"/>
    <s v="No"/>
    <n v="285000"/>
    <n v="51"/>
    <x v="0"/>
  </r>
  <r>
    <n v="3214"/>
    <s v="MUJER"/>
    <n v="1279275"/>
    <x v="0"/>
    <x v="0"/>
    <s v="SI"/>
    <s v="NO"/>
    <s v="NO"/>
    <n v="31"/>
    <n v="0.77488831798979529"/>
    <s v="No"/>
    <n v="0.35436593315199205"/>
    <s v="No"/>
    <n v="1279275"/>
    <n v="31"/>
    <x v="0"/>
  </r>
  <r>
    <n v="3215"/>
    <s v="MUJER"/>
    <n v="563332"/>
    <x v="0"/>
    <x v="1"/>
    <s v="SI"/>
    <s v="NO"/>
    <s v="NO"/>
    <n v="34"/>
    <n v="0.56316232775838282"/>
    <s v="No"/>
    <n v="0.36627973006488823"/>
    <s v="No"/>
    <n v="563332"/>
    <n v="34"/>
    <x v="0"/>
  </r>
  <r>
    <n v="3216"/>
    <s v="MUJER"/>
    <n v="450886"/>
    <x v="2"/>
    <x v="1"/>
    <s v="SI"/>
    <s v="SI"/>
    <s v="NO"/>
    <n v="95"/>
    <n v="3.741932806947005"/>
    <s v="Sí"/>
    <n v="0.36815091088189117"/>
    <s v="No"/>
    <n v="450886"/>
    <n v="95"/>
    <x v="2"/>
  </r>
  <r>
    <n v="3217"/>
    <s v="HOMBRE"/>
    <n v="58985"/>
    <x v="0"/>
    <x v="1"/>
    <s v="SI"/>
    <s v="NO"/>
    <s v="SI"/>
    <n v="45"/>
    <n v="0.21316630309012977"/>
    <s v="No"/>
    <n v="0.37467242016958713"/>
    <s v="No"/>
    <n v="58985"/>
    <n v="45"/>
    <x v="0"/>
  </r>
  <r>
    <n v="3218"/>
    <s v="HOMBRE"/>
    <n v="278030"/>
    <x v="4"/>
    <x v="1"/>
    <s v="SI"/>
    <s v="NO"/>
    <s v="NO"/>
    <n v="35"/>
    <n v="0.49258699768124525"/>
    <s v="No"/>
    <n v="0.37102735674304993"/>
    <s v="No"/>
    <n v="278030"/>
    <n v="35"/>
    <x v="4"/>
  </r>
  <r>
    <n v="3219"/>
    <s v="HOMBRE"/>
    <n v="3477375"/>
    <x v="0"/>
    <x v="1"/>
    <s v="SI"/>
    <s v="NO"/>
    <s v="NO"/>
    <n v="27"/>
    <n v="1.0571896382983452"/>
    <s v="No"/>
    <n v="0.31778799748639147"/>
    <s v="No"/>
    <n v="3477375"/>
    <n v="27"/>
    <x v="0"/>
  </r>
  <r>
    <n v="3220"/>
    <s v="MUJER"/>
    <n v="45520604"/>
    <x v="0"/>
    <x v="1"/>
    <s v="SI"/>
    <s v="NO"/>
    <s v="NO"/>
    <n v="32"/>
    <n v="0.70431298791265773"/>
    <s v="No"/>
    <n v="0.38184101190176839"/>
    <s v="No"/>
    <n v="45520604"/>
    <n v="32"/>
    <x v="0"/>
  </r>
  <r>
    <n v="3221"/>
    <s v="MUJER"/>
    <n v="3397944"/>
    <x v="0"/>
    <x v="0"/>
    <s v="SI"/>
    <s v="NO"/>
    <s v="NO"/>
    <n v="46"/>
    <n v="0.2837416331672673"/>
    <s v="No"/>
    <n v="0.31910978539770318"/>
    <s v="No"/>
    <n v="3397944"/>
    <n v="46"/>
    <x v="0"/>
  </r>
  <r>
    <n v="3222"/>
    <s v="MUJER"/>
    <n v="445821"/>
    <x v="3"/>
    <x v="1"/>
    <s v="SI"/>
    <s v="NO"/>
    <s v="NO"/>
    <n v="63"/>
    <n v="1.4835222444786049"/>
    <s v="No"/>
    <n v="0.36823519605733646"/>
    <s v="No"/>
    <n v="445821"/>
    <n v="63"/>
    <x v="3"/>
  </r>
  <r>
    <n v="3223"/>
    <s v="HOMBRE"/>
    <n v="326322"/>
    <x v="0"/>
    <x v="1"/>
    <s v="SI"/>
    <s v="NO"/>
    <s v="NO"/>
    <n v="57"/>
    <n v="1.0600702640157798"/>
    <s v="No"/>
    <n v="0.3702237437731381"/>
    <s v="No"/>
    <n v="326322"/>
    <n v="57"/>
    <x v="0"/>
  </r>
  <r>
    <n v="3224"/>
    <s v="HOMBRE"/>
    <n v="278030"/>
    <x v="4"/>
    <x v="1"/>
    <s v="SI"/>
    <s v="NO"/>
    <s v="NO"/>
    <n v="57"/>
    <n v="1.0600702640157798"/>
    <s v="No"/>
    <n v="0.37102735674304993"/>
    <s v="No"/>
    <n v="278030"/>
    <n v="57"/>
    <x v="4"/>
  </r>
  <r>
    <n v="3225"/>
    <s v="HOMBRE"/>
    <n v="300018"/>
    <x v="2"/>
    <x v="1"/>
    <s v="SI"/>
    <s v="NO"/>
    <s v="NO"/>
    <n v="60"/>
    <n v="1.2717962542471923"/>
    <s v="No"/>
    <n v="0.37066146090145252"/>
    <s v="No"/>
    <n v="300018"/>
    <n v="60"/>
    <x v="2"/>
  </r>
  <r>
    <n v="3226"/>
    <s v="MUJER"/>
    <n v="42021494"/>
    <x v="0"/>
    <x v="1"/>
    <s v="SI"/>
    <s v="NO"/>
    <s v="NO"/>
    <n v="34"/>
    <n v="0.56316232775838282"/>
    <s v="No"/>
    <n v="0.3236133514373401"/>
    <s v="No"/>
    <n v="42021494"/>
    <n v="34"/>
    <x v="0"/>
  </r>
  <r>
    <n v="3227"/>
    <s v="HOMBRE"/>
    <n v="20239655"/>
    <x v="0"/>
    <x v="1"/>
    <s v="SI"/>
    <s v="NO"/>
    <s v="NO"/>
    <n v="22"/>
    <n v="1.4100662886840327"/>
    <s v="No"/>
    <n v="3.8851825588486946E-2"/>
    <s v="No"/>
    <n v="20239655"/>
    <n v="22"/>
    <x v="0"/>
  </r>
  <r>
    <n v="3228"/>
    <s v="HOMBRE"/>
    <n v="100002521"/>
    <x v="1"/>
    <x v="0"/>
    <s v="SI"/>
    <s v="NO"/>
    <s v="NO"/>
    <n v="67"/>
    <n v="1.765823564787155"/>
    <s v="No"/>
    <n v="1.2884585702315041"/>
    <s v="No"/>
    <n v="100002521"/>
    <n v="67"/>
    <x v="1"/>
  </r>
  <r>
    <n v="3229"/>
    <s v="HOMBRE"/>
    <n v="924499"/>
    <x v="0"/>
    <x v="0"/>
    <s v="SI"/>
    <s v="NO"/>
    <s v="NO"/>
    <n v="42"/>
    <n v="1.4403128587172659E-3"/>
    <s v="No"/>
    <n v="0.36026965623269774"/>
    <s v="No"/>
    <n v="924499"/>
    <n v="42"/>
    <x v="0"/>
  </r>
  <r>
    <n v="3230"/>
    <s v="HOMBRE"/>
    <n v="336000"/>
    <x v="0"/>
    <x v="1"/>
    <s v="SI"/>
    <s v="NO"/>
    <s v="SI"/>
    <n v="39"/>
    <n v="0.21028567737269524"/>
    <s v="No"/>
    <n v="0.37006269502131983"/>
    <s v="No"/>
    <n v="336000"/>
    <n v="39"/>
    <x v="0"/>
  </r>
  <r>
    <n v="3231"/>
    <s v="HOMBRE"/>
    <n v="278030"/>
    <x v="4"/>
    <x v="1"/>
    <s v="SI"/>
    <s v="NO"/>
    <s v="NO"/>
    <n v="89"/>
    <n v="3.3184808264841799"/>
    <s v="Sí"/>
    <n v="0.37102735674304993"/>
    <s v="No"/>
    <n v="278030"/>
    <n v="89"/>
    <x v="4"/>
  </r>
  <r>
    <n v="3232"/>
    <s v="HOMBRE"/>
    <n v="152945714"/>
    <x v="0"/>
    <x v="1"/>
    <s v="SI"/>
    <s v="NO"/>
    <s v="NO"/>
    <n v="32"/>
    <n v="0.70431298791265773"/>
    <s v="No"/>
    <n v="2.1694706749972004"/>
    <s v="Sí"/>
    <n v="152945714"/>
    <n v="32"/>
    <x v="0"/>
  </r>
  <r>
    <n v="3233"/>
    <s v="HOMBRE"/>
    <n v="297046"/>
    <x v="3"/>
    <x v="1"/>
    <s v="SI"/>
    <s v="NO"/>
    <s v="SI"/>
    <n v="59"/>
    <n v="1.2012209241700549"/>
    <s v="No"/>
    <n v="0.37071091707942361"/>
    <s v="No"/>
    <n v="297046"/>
    <n v="59"/>
    <x v="3"/>
  </r>
  <r>
    <n v="3234"/>
    <s v="HOMBRE"/>
    <n v="358640"/>
    <x v="3"/>
    <x v="1"/>
    <s v="SI"/>
    <s v="NO"/>
    <s v="SI"/>
    <n v="63"/>
    <n v="1.4835222444786049"/>
    <s v="No"/>
    <n v="0.3696859494394677"/>
    <s v="No"/>
    <n v="358640"/>
    <n v="63"/>
    <x v="3"/>
  </r>
  <r>
    <n v="3235"/>
    <s v="HOMBRE"/>
    <n v="414416"/>
    <x v="0"/>
    <x v="1"/>
    <s v="SI"/>
    <s v="NO"/>
    <s v="NO"/>
    <n v="61"/>
    <n v="1.3423715843243298"/>
    <s v="No"/>
    <n v="0.36875779742650899"/>
    <s v="No"/>
    <n v="414416"/>
    <n v="61"/>
    <x v="0"/>
  </r>
  <r>
    <n v="3236"/>
    <s v="MUJER"/>
    <n v="347256"/>
    <x v="0"/>
    <x v="0"/>
    <s v="SI"/>
    <s v="NO"/>
    <s v="SI"/>
    <n v="47"/>
    <n v="0.35431696324440481"/>
    <s v="No"/>
    <n v="0.36987538723557217"/>
    <s v="No"/>
    <n v="347256"/>
    <n v="47"/>
    <x v="0"/>
  </r>
  <r>
    <n v="3237"/>
    <s v="HOMBRE"/>
    <n v="1119534"/>
    <x v="3"/>
    <x v="1"/>
    <s v="SI"/>
    <s v="NO"/>
    <s v="NO"/>
    <n v="71"/>
    <n v="2.0481248850957048"/>
    <s v="Sí"/>
    <n v="0.35702413615511236"/>
    <s v="No"/>
    <n v="1119534"/>
    <n v="71"/>
    <x v="3"/>
  </r>
  <r>
    <n v="3238"/>
    <s v="MUJER"/>
    <n v="34666667"/>
    <x v="0"/>
    <x v="1"/>
    <s v="SI"/>
    <s v="NO"/>
    <s v="NO"/>
    <n v="38"/>
    <n v="0.28086100744983278"/>
    <s v="No"/>
    <n v="0.20122383829525267"/>
    <s v="No"/>
    <n v="34666667"/>
    <n v="38"/>
    <x v="0"/>
  </r>
  <r>
    <n v="3239"/>
    <s v="HOMBRE"/>
    <n v="594092"/>
    <x v="3"/>
    <x v="1"/>
    <s v="SI"/>
    <s v="NO"/>
    <s v="SI"/>
    <n v="39"/>
    <n v="0.21028567737269524"/>
    <s v="No"/>
    <n v="0.36576786195102906"/>
    <s v="No"/>
    <n v="594092"/>
    <n v="39"/>
    <x v="3"/>
  </r>
  <r>
    <n v="3240"/>
    <s v="MUJER"/>
    <n v="175000"/>
    <x v="0"/>
    <x v="1"/>
    <s v="SI"/>
    <s v="NO"/>
    <s v="NO"/>
    <n v="31"/>
    <n v="0.77488831798979529"/>
    <s v="No"/>
    <n v="0.37274184867318361"/>
    <s v="No"/>
    <n v="175000"/>
    <n v="31"/>
    <x v="0"/>
  </r>
  <r>
    <n v="3241"/>
    <s v="MUJER"/>
    <n v="22147343"/>
    <x v="0"/>
    <x v="0"/>
    <s v="SI"/>
    <s v="NO"/>
    <s v="NO"/>
    <n v="54"/>
    <n v="0.84834427378436728"/>
    <s v="No"/>
    <n v="7.1065506082593393E-3"/>
    <s v="No"/>
    <n v="22147343"/>
    <n v="54"/>
    <x v="0"/>
  </r>
  <r>
    <n v="3242"/>
    <s v="MUJER"/>
    <n v="6575625"/>
    <x v="0"/>
    <x v="0"/>
    <s v="SI"/>
    <s v="NO"/>
    <s v="NO"/>
    <n v="27"/>
    <n v="1.0571896382983452"/>
    <s v="No"/>
    <n v="0.26623093039392653"/>
    <s v="No"/>
    <n v="6575625"/>
    <n v="27"/>
    <x v="0"/>
  </r>
  <r>
    <n v="3243"/>
    <s v="HOMBRE"/>
    <n v="297502"/>
    <x v="2"/>
    <x v="1"/>
    <s v="SI"/>
    <s v="NO"/>
    <s v="NO"/>
    <n v="67"/>
    <n v="1.765823564787155"/>
    <s v="No"/>
    <n v="0.37070332891752761"/>
    <s v="No"/>
    <n v="297502"/>
    <n v="67"/>
    <x v="2"/>
  </r>
  <r>
    <n v="3244"/>
    <s v="HOMBRE"/>
    <n v="422231"/>
    <x v="0"/>
    <x v="0"/>
    <s v="SI"/>
    <s v="NO"/>
    <s v="NO"/>
    <n v="49"/>
    <n v="0.49546762339867978"/>
    <s v="No"/>
    <n v="0.36862775030980516"/>
    <s v="No"/>
    <n v="422231"/>
    <n v="49"/>
    <x v="0"/>
  </r>
  <r>
    <n v="3245"/>
    <s v="MUJER"/>
    <n v="5009378"/>
    <x v="0"/>
    <x v="1"/>
    <s v="SI"/>
    <s v="NO"/>
    <s v="NO"/>
    <n v="50"/>
    <n v="0.56604295347581735"/>
    <s v="No"/>
    <n v="0.29229438610678765"/>
    <s v="No"/>
    <n v="5009378"/>
    <n v="50"/>
    <x v="0"/>
  </r>
  <r>
    <n v="3246"/>
    <s v="HOMBRE"/>
    <n v="278031"/>
    <x v="3"/>
    <x v="1"/>
    <s v="SI"/>
    <s v="NO"/>
    <s v="NO"/>
    <n v="42"/>
    <n v="1.4403128587172659E-3"/>
    <s v="No"/>
    <n v="0.37102734010234401"/>
    <s v="No"/>
    <n v="278031"/>
    <n v="42"/>
    <x v="3"/>
  </r>
  <r>
    <n v="3247"/>
    <s v="HOMBRE"/>
    <n v="180000"/>
    <x v="0"/>
    <x v="1"/>
    <s v="SI"/>
    <s v="NO"/>
    <s v="SI"/>
    <n v="41"/>
    <n v="6.9135017218420233E-2"/>
    <s v="No"/>
    <n v="0.37265864514362262"/>
    <s v="No"/>
    <n v="180000"/>
    <n v="41"/>
    <x v="0"/>
  </r>
  <r>
    <n v="3248"/>
    <s v="HOMBRE"/>
    <n v="194000"/>
    <x v="0"/>
    <x v="1"/>
    <s v="SI"/>
    <s v="NO"/>
    <s v="NO"/>
    <n v="57"/>
    <n v="1.0600702640157798"/>
    <s v="No"/>
    <n v="0.37242567526085185"/>
    <s v="No"/>
    <n v="194000"/>
    <n v="57"/>
    <x v="0"/>
  </r>
  <r>
    <n v="3249"/>
    <s v="HOMBRE"/>
    <n v="60631331"/>
    <x v="1"/>
    <x v="0"/>
    <s v="SI"/>
    <s v="NO"/>
    <s v="NO"/>
    <n v="62"/>
    <n v="1.4129469144014672"/>
    <s v="No"/>
    <n v="0.63329417602826588"/>
    <s v="No"/>
    <n v="60631331"/>
    <n v="62"/>
    <x v="1"/>
  </r>
  <r>
    <n v="3250"/>
    <s v="HOMBRE"/>
    <n v="55611675"/>
    <x v="0"/>
    <x v="1"/>
    <s v="SI"/>
    <s v="NO"/>
    <s v="NO"/>
    <n v="52"/>
    <n v="0.70719361363009237"/>
    <s v="No"/>
    <n v="0.54976355675186983"/>
    <s v="No"/>
    <n v="55611675"/>
    <n v="52"/>
    <x v="0"/>
  </r>
  <r>
    <n v="3251"/>
    <s v="HOMBRE"/>
    <n v="110696642"/>
    <x v="0"/>
    <x v="0"/>
    <s v="SI"/>
    <s v="NO"/>
    <s v="NO"/>
    <n v="36"/>
    <n v="0.42201166760410774"/>
    <s v="No"/>
    <n v="1.4664162927819562"/>
    <s v="No"/>
    <n v="110696642"/>
    <n v="36"/>
    <x v="0"/>
  </r>
  <r>
    <n v="3252"/>
    <s v="HOMBRE"/>
    <n v="41506404"/>
    <x v="0"/>
    <x v="1"/>
    <s v="SI"/>
    <s v="NO"/>
    <s v="NO"/>
    <n v="24"/>
    <n v="1.2689156285297578"/>
    <s v="No"/>
    <n v="0.31504189022902646"/>
    <s v="No"/>
    <n v="41506404"/>
    <n v="24"/>
    <x v="0"/>
  </r>
  <r>
    <n v="3253"/>
    <s v="HOMBRE"/>
    <n v="500700"/>
    <x v="0"/>
    <x v="1"/>
    <s v="SI"/>
    <s v="NO"/>
    <s v="NO"/>
    <n v="50"/>
    <n v="0.56604295347581735"/>
    <s v="No"/>
    <n v="0.367321970757581"/>
    <s v="No"/>
    <n v="500700"/>
    <n v="50"/>
    <x v="0"/>
  </r>
  <r>
    <n v="3254"/>
    <s v="MUJER"/>
    <n v="1585515"/>
    <x v="0"/>
    <x v="0"/>
    <s v="SI"/>
    <s v="NO"/>
    <s v="NO"/>
    <n v="61"/>
    <n v="1.3423715843243298"/>
    <s v="No"/>
    <n v="0.34926988337344078"/>
    <s v="No"/>
    <n v="1585515"/>
    <n v="61"/>
    <x v="0"/>
  </r>
  <r>
    <n v="3255"/>
    <s v="HOMBRE"/>
    <n v="567425"/>
    <x v="0"/>
    <x v="0"/>
    <s v="SI"/>
    <s v="NO"/>
    <s v="NO"/>
    <n v="35"/>
    <n v="0.49258699768124525"/>
    <s v="No"/>
    <n v="0.36621161965558963"/>
    <s v="No"/>
    <n v="567425"/>
    <n v="35"/>
    <x v="0"/>
  </r>
  <r>
    <n v="3256"/>
    <s v="HOMBRE"/>
    <n v="3623771"/>
    <x v="0"/>
    <x v="0"/>
    <s v="SI"/>
    <s v="NO"/>
    <s v="NO"/>
    <n v="60"/>
    <n v="1.2717962542471923"/>
    <s v="No"/>
    <n v="0.31535186470366944"/>
    <s v="No"/>
    <n v="3623771"/>
    <n v="60"/>
    <x v="0"/>
  </r>
  <r>
    <n v="3257"/>
    <s v="MUJER"/>
    <n v="310124"/>
    <x v="3"/>
    <x v="1"/>
    <s v="SI"/>
    <s v="NO"/>
    <s v="NO"/>
    <n v="48"/>
    <n v="0.42489229332154227"/>
    <s v="No"/>
    <n v="0.37049328992750385"/>
    <s v="No"/>
    <n v="310124"/>
    <n v="48"/>
    <x v="3"/>
  </r>
  <r>
    <n v="3258"/>
    <s v="HOMBRE"/>
    <n v="55901466"/>
    <x v="0"/>
    <x v="1"/>
    <s v="SI"/>
    <s v="NO"/>
    <s v="SI"/>
    <n v="44"/>
    <n v="0.14259097301299228"/>
    <s v="No"/>
    <n v="0.5545858835588714"/>
    <s v="No"/>
    <n v="55901466"/>
    <n v="44"/>
    <x v="0"/>
  </r>
  <r>
    <n v="3259"/>
    <s v="HOMBRE"/>
    <n v="150000"/>
    <x v="0"/>
    <x v="1"/>
    <s v="SI"/>
    <s v="NO"/>
    <s v="NO"/>
    <n v="24"/>
    <n v="1.2689156285297578"/>
    <s v="No"/>
    <n v="0.37315786632098852"/>
    <s v="No"/>
    <n v="150000"/>
    <n v="24"/>
    <x v="0"/>
  </r>
  <r>
    <n v="3260"/>
    <s v="HOMBRE"/>
    <n v="280000"/>
    <x v="0"/>
    <x v="1"/>
    <s v="SI"/>
    <s v="NO"/>
    <s v="NO"/>
    <n v="40"/>
    <n v="0.13971034729555773"/>
    <s v="No"/>
    <n v="0.37099457455240292"/>
    <s v="No"/>
    <n v="280000"/>
    <n v="40"/>
    <x v="0"/>
  </r>
  <r>
    <n v="3261"/>
    <s v="HOMBRE"/>
    <n v="266716988"/>
    <x v="0"/>
    <x v="0"/>
    <s v="SI"/>
    <s v="NO"/>
    <s v="NO"/>
    <n v="31"/>
    <n v="0.77488831798979529"/>
    <s v="No"/>
    <n v="4.0627049868872049"/>
    <s v="Sí"/>
    <n v="266716988"/>
    <n v="31"/>
    <x v="0"/>
  </r>
  <r>
    <n v="3262"/>
    <s v="HOMBRE"/>
    <n v="315617"/>
    <x v="2"/>
    <x v="1"/>
    <s v="SI"/>
    <s v="NO"/>
    <s v="NO"/>
    <n v="44"/>
    <n v="0.14259097301299228"/>
    <s v="No"/>
    <n v="0.37040188252992817"/>
    <s v="No"/>
    <n v="315617"/>
    <n v="44"/>
    <x v="2"/>
  </r>
  <r>
    <n v="3263"/>
    <s v="MUJER"/>
    <n v="44661091"/>
    <x v="0"/>
    <x v="1"/>
    <s v="SI"/>
    <s v="NO"/>
    <s v="NO"/>
    <n v="23"/>
    <n v="1.3394909586068953"/>
    <s v="No"/>
    <n v="0.36753810884105803"/>
    <s v="No"/>
    <n v="44661091"/>
    <n v="23"/>
    <x v="0"/>
  </r>
  <r>
    <n v="3264"/>
    <s v="HOMBRE"/>
    <n v="549000"/>
    <x v="0"/>
    <x v="1"/>
    <s v="SI"/>
    <s v="NO"/>
    <s v="NO"/>
    <n v="35"/>
    <n v="0.49258699768124525"/>
    <s v="No"/>
    <n v="0.36651822466202183"/>
    <s v="No"/>
    <n v="549000"/>
    <n v="35"/>
    <x v="0"/>
  </r>
  <r>
    <n v="3265"/>
    <s v="MUJER"/>
    <n v="370123"/>
    <x v="2"/>
    <x v="1"/>
    <s v="SI"/>
    <s v="NO"/>
    <s v="NO"/>
    <n v="53"/>
    <n v="0.77776894370722982"/>
    <s v="No"/>
    <n v="0.36949486421347794"/>
    <s v="No"/>
    <n v="370123"/>
    <n v="53"/>
    <x v="2"/>
  </r>
  <r>
    <n v="3266"/>
    <s v="HOMBRE"/>
    <n v="541275549"/>
    <x v="0"/>
    <x v="1"/>
    <s v="SI"/>
    <s v="NO"/>
    <s v="NO"/>
    <n v="34"/>
    <n v="0.56316232775838282"/>
    <s v="No"/>
    <n v="8.6315532561642545"/>
    <s v="Sí"/>
    <n v="541275549"/>
    <n v="34"/>
    <x v="0"/>
  </r>
  <r>
    <n v="3267"/>
    <s v="HOMBRE"/>
    <n v="271250"/>
    <x v="0"/>
    <x v="1"/>
    <s v="SI"/>
    <s v="NO"/>
    <s v="SI"/>
    <n v="19"/>
    <n v="1.6217922789154453"/>
    <s v="No"/>
    <n v="0.37114018072913463"/>
    <s v="No"/>
    <n v="271250"/>
    <n v="19"/>
    <x v="0"/>
  </r>
  <r>
    <n v="3268"/>
    <s v="MUJER"/>
    <n v="300018"/>
    <x v="2"/>
    <x v="1"/>
    <s v="SI"/>
    <s v="NO"/>
    <s v="NO"/>
    <n v="57"/>
    <n v="1.0600702640157798"/>
    <s v="No"/>
    <n v="0.37066146090145252"/>
    <s v="No"/>
    <n v="300018"/>
    <n v="57"/>
    <x v="2"/>
  </r>
  <r>
    <n v="3269"/>
    <s v="HOMBRE"/>
    <n v="516873"/>
    <x v="3"/>
    <x v="1"/>
    <s v="SI"/>
    <s v="NO"/>
    <s v="NO"/>
    <n v="38"/>
    <n v="0.28086100744983278"/>
    <s v="No"/>
    <n v="0.36705284062086302"/>
    <s v="No"/>
    <n v="516873"/>
    <n v="38"/>
    <x v="3"/>
  </r>
  <r>
    <n v="3270"/>
    <s v="HOMBRE"/>
    <n v="678863"/>
    <x v="1"/>
    <x v="0"/>
    <s v="SI"/>
    <s v="NO"/>
    <s v="NO"/>
    <n v="79"/>
    <n v="2.6127275257128049"/>
    <s v="Sí"/>
    <n v="0.3643572126701462"/>
    <s v="No"/>
    <n v="678863"/>
    <n v="79"/>
    <x v="1"/>
  </r>
  <r>
    <n v="3271"/>
    <s v="HOMBRE"/>
    <n v="362964"/>
    <x v="3"/>
    <x v="1"/>
    <s v="SI"/>
    <s v="NO"/>
    <s v="SI"/>
    <n v="52"/>
    <n v="0.70719361363009237"/>
    <s v="No"/>
    <n v="0.36961399502710335"/>
    <s v="No"/>
    <n v="362964"/>
    <n v="52"/>
    <x v="3"/>
  </r>
  <r>
    <n v="3272"/>
    <s v="HOMBRE"/>
    <n v="639148"/>
    <x v="3"/>
    <x v="1"/>
    <s v="SI"/>
    <s v="NO"/>
    <s v="SI"/>
    <n v="43"/>
    <n v="7.2015642935854773E-2"/>
    <s v="No"/>
    <n v="0.36501809830544912"/>
    <s v="No"/>
    <n v="639148"/>
    <n v="43"/>
    <x v="3"/>
  </r>
  <r>
    <n v="3273"/>
    <s v="MUJER"/>
    <n v="100000"/>
    <x v="0"/>
    <x v="1"/>
    <s v="SI"/>
    <s v="SI"/>
    <s v="NO"/>
    <n v="30"/>
    <n v="0.84546364806693275"/>
    <s v="No"/>
    <n v="0.3739899016165984"/>
    <s v="No"/>
    <n v="100000"/>
    <n v="30"/>
    <x v="0"/>
  </r>
  <r>
    <n v="3274"/>
    <s v="MUJER"/>
    <n v="1160614"/>
    <x v="1"/>
    <x v="0"/>
    <s v="SI"/>
    <s v="NO"/>
    <s v="NO"/>
    <n v="65"/>
    <n v="1.6246729046328798"/>
    <s v="No"/>
    <n v="0.35634053595623927"/>
    <s v="No"/>
    <n v="1160614"/>
    <n v="65"/>
    <x v="1"/>
  </r>
  <r>
    <n v="3275"/>
    <s v="HOMBRE"/>
    <n v="298018"/>
    <x v="3"/>
    <x v="1"/>
    <s v="SI"/>
    <s v="SI"/>
    <s v="SI"/>
    <n v="43"/>
    <n v="7.2015642935854773E-2"/>
    <s v="No"/>
    <n v="0.37069474231327693"/>
    <s v="No"/>
    <n v="298018"/>
    <n v="43"/>
    <x v="3"/>
  </r>
  <r>
    <n v="3276"/>
    <s v="HOMBRE"/>
    <n v="27803099"/>
    <x v="4"/>
    <x v="1"/>
    <s v="SI"/>
    <s v="NO"/>
    <s v="NO"/>
    <n v="25"/>
    <n v="1.1983402984526204"/>
    <s v="No"/>
    <n v="8.7009221698885322E-2"/>
    <s v="No"/>
    <n v="27803099"/>
    <n v="25"/>
    <x v="4"/>
  </r>
  <r>
    <n v="3277"/>
    <s v="HOMBRE"/>
    <n v="171899967"/>
    <x v="0"/>
    <x v="1"/>
    <s v="SI"/>
    <s v="SI"/>
    <s v="NO"/>
    <n v="32"/>
    <n v="0.70431298791265773"/>
    <s v="No"/>
    <n v="2.4848828249555814"/>
    <s v="Sí"/>
    <n v="171899967"/>
    <n v="32"/>
    <x v="0"/>
  </r>
  <r>
    <n v="3278"/>
    <s v="HOMBRE"/>
    <n v="35846886"/>
    <x v="0"/>
    <x v="1"/>
    <s v="SI"/>
    <s v="NO"/>
    <s v="NO"/>
    <n v="52"/>
    <n v="0.70719361363009237"/>
    <s v="No"/>
    <n v="0.22086351558624012"/>
    <s v="No"/>
    <n v="35846886"/>
    <n v="52"/>
    <x v="0"/>
  </r>
  <r>
    <n v="3279"/>
    <s v="HOMBRE"/>
    <n v="439167"/>
    <x v="0"/>
    <x v="1"/>
    <s v="SI"/>
    <s v="NO"/>
    <s v="NO"/>
    <n v="44"/>
    <n v="0.14259097301299228"/>
    <s v="No"/>
    <n v="0.36834592331447619"/>
    <s v="No"/>
    <n v="439167"/>
    <n v="44"/>
    <x v="0"/>
  </r>
  <r>
    <n v="3280"/>
    <s v="HOMBRE"/>
    <n v="639148"/>
    <x v="3"/>
    <x v="1"/>
    <s v="SI"/>
    <s v="NO"/>
    <s v="NO"/>
    <n v="54"/>
    <n v="0.84834427378436728"/>
    <s v="No"/>
    <n v="0.36501809830544912"/>
    <s v="No"/>
    <n v="639148"/>
    <n v="54"/>
    <x v="3"/>
  </r>
  <r>
    <n v="3281"/>
    <s v="HOMBRE"/>
    <n v="5898246"/>
    <x v="0"/>
    <x v="1"/>
    <s v="SI"/>
    <s v="NO"/>
    <s v="NO"/>
    <n v="33"/>
    <n v="0.63373765783552027"/>
    <s v="No"/>
    <n v="0.27750299512402476"/>
    <s v="No"/>
    <n v="5898246"/>
    <n v="33"/>
    <x v="0"/>
  </r>
  <r>
    <n v="3282"/>
    <s v="MUJER"/>
    <n v="2643151"/>
    <x v="0"/>
    <x v="1"/>
    <s v="SI"/>
    <s v="NO"/>
    <s v="NO"/>
    <n v="23"/>
    <n v="1.3394909586068953"/>
    <s v="No"/>
    <n v="0.33167007373528823"/>
    <s v="No"/>
    <n v="2643151"/>
    <n v="23"/>
    <x v="0"/>
  </r>
  <r>
    <n v="3283"/>
    <s v="HOMBRE"/>
    <n v="93980174"/>
    <x v="0"/>
    <x v="0"/>
    <s v="SI"/>
    <s v="NO"/>
    <s v="NO"/>
    <n v="34"/>
    <n v="0.56316232775838282"/>
    <s v="No"/>
    <n v="1.1882424649033012"/>
    <s v="No"/>
    <n v="93980174"/>
    <n v="34"/>
    <x v="0"/>
  </r>
  <r>
    <n v="3284"/>
    <s v="HOMBRE"/>
    <n v="297045"/>
    <x v="2"/>
    <x v="1"/>
    <s v="SI"/>
    <s v="SI"/>
    <s v="NO"/>
    <n v="61"/>
    <n v="1.3423715843243298"/>
    <s v="No"/>
    <n v="0.37071093372012948"/>
    <s v="No"/>
    <n v="297045"/>
    <n v="61"/>
    <x v="2"/>
  </r>
  <r>
    <n v="3285"/>
    <s v="MUJER"/>
    <n v="99662896"/>
    <x v="0"/>
    <x v="0"/>
    <s v="SI"/>
    <s v="NO"/>
    <s v="NO"/>
    <n v="34"/>
    <n v="0.56316232775838282"/>
    <s v="No"/>
    <n v="1.2828069704860741"/>
    <s v="No"/>
    <n v="99662896"/>
    <n v="34"/>
    <x v="0"/>
  </r>
  <r>
    <n v="3286"/>
    <s v="HOMBRE"/>
    <n v="600000"/>
    <x v="0"/>
    <x v="1"/>
    <s v="SI"/>
    <s v="NO"/>
    <s v="NO"/>
    <n v="48"/>
    <n v="0.42489229332154227"/>
    <s v="No"/>
    <n v="0.36566954866049978"/>
    <s v="No"/>
    <n v="600000"/>
    <n v="48"/>
    <x v="0"/>
  </r>
  <r>
    <n v="3287"/>
    <s v="HOMBRE"/>
    <n v="193800"/>
    <x v="0"/>
    <x v="1"/>
    <s v="SI"/>
    <s v="NO"/>
    <s v="NO"/>
    <n v="28"/>
    <n v="0.98661430822120777"/>
    <s v="No"/>
    <n v="0.37242900340203428"/>
    <s v="No"/>
    <n v="193800"/>
    <n v="28"/>
    <x v="0"/>
  </r>
  <r>
    <n v="3288"/>
    <s v="HOMBRE"/>
    <n v="278030"/>
    <x v="4"/>
    <x v="1"/>
    <s v="SI"/>
    <s v="NO"/>
    <s v="NO"/>
    <n v="30"/>
    <n v="0.84546364806693275"/>
    <s v="No"/>
    <n v="0.37102735674304993"/>
    <s v="No"/>
    <n v="278030"/>
    <n v="30"/>
    <x v="4"/>
  </r>
  <r>
    <n v="3289"/>
    <s v="HOMBRE"/>
    <n v="53804308"/>
    <x v="0"/>
    <x v="1"/>
    <s v="SI"/>
    <s v="NO"/>
    <s v="NO"/>
    <n v="45"/>
    <n v="0.21316630309012977"/>
    <s v="No"/>
    <n v="0.5196876940294598"/>
    <s v="No"/>
    <n v="53804308"/>
    <n v="45"/>
    <x v="0"/>
  </r>
  <r>
    <n v="3290"/>
    <s v="MUJER"/>
    <n v="465000"/>
    <x v="0"/>
    <x v="1"/>
    <s v="SI"/>
    <s v="NO"/>
    <s v="SI"/>
    <n v="28"/>
    <n v="0.98661430822120777"/>
    <s v="No"/>
    <n v="0.36791604395864641"/>
    <s v="No"/>
    <n v="465000"/>
    <n v="28"/>
    <x v="0"/>
  </r>
  <r>
    <n v="3291"/>
    <s v="HOMBRE"/>
    <n v="318610"/>
    <x v="3"/>
    <x v="1"/>
    <s v="SI"/>
    <s v="NO"/>
    <s v="NO"/>
    <n v="44"/>
    <n v="0.14259097301299228"/>
    <s v="No"/>
    <n v="0.37035207689713295"/>
    <s v="No"/>
    <n v="318610"/>
    <n v="44"/>
    <x v="3"/>
  </r>
  <r>
    <n v="3292"/>
    <s v="MUJER"/>
    <n v="272000"/>
    <x v="0"/>
    <x v="1"/>
    <s v="SI"/>
    <s v="NO"/>
    <s v="NO"/>
    <n v="60"/>
    <n v="1.2717962542471923"/>
    <s v="No"/>
    <n v="0.37112770019970048"/>
    <s v="No"/>
    <n v="272000"/>
    <n v="60"/>
    <x v="0"/>
  </r>
  <r>
    <n v="3293"/>
    <s v="MUJER"/>
    <n v="25882422"/>
    <x v="0"/>
    <x v="0"/>
    <s v="SI"/>
    <s v="NO"/>
    <s v="NO"/>
    <n v="32"/>
    <n v="0.70431298791265773"/>
    <s v="No"/>
    <n v="5.5047800589564183E-2"/>
    <s v="No"/>
    <n v="25882422"/>
    <n v="32"/>
    <x v="0"/>
  </r>
  <r>
    <n v="3294"/>
    <s v="MUJER"/>
    <n v="302470"/>
    <x v="3"/>
    <x v="1"/>
    <s v="SI"/>
    <s v="NO"/>
    <s v="NO"/>
    <n v="28"/>
    <n v="0.98661430822120777"/>
    <s v="No"/>
    <n v="0.37062065789055582"/>
    <s v="No"/>
    <n v="302470"/>
    <n v="28"/>
    <x v="3"/>
  </r>
  <r>
    <n v="3295"/>
    <s v="HOMBRE"/>
    <n v="300018"/>
    <x v="2"/>
    <x v="1"/>
    <s v="NO"/>
    <s v="NO"/>
    <s v="NO"/>
    <n v="85"/>
    <n v="3.03617950617563"/>
    <s v="Sí"/>
    <n v="0.37066146090145252"/>
    <s v="No"/>
    <n v="300018"/>
    <n v="85"/>
    <x v="2"/>
  </r>
  <r>
    <n v="3296"/>
    <s v="MUJER"/>
    <n v="509509"/>
    <x v="3"/>
    <x v="1"/>
    <s v="SI"/>
    <s v="NO"/>
    <s v="SI"/>
    <n v="36"/>
    <n v="0.42201166760410774"/>
    <s v="No"/>
    <n v="0.36717538277920042"/>
    <s v="No"/>
    <n v="509509"/>
    <n v="36"/>
    <x v="3"/>
  </r>
  <r>
    <n v="3297"/>
    <s v="HOMBRE"/>
    <n v="25000"/>
    <x v="0"/>
    <x v="1"/>
    <s v="SI"/>
    <s v="NO"/>
    <s v="NO"/>
    <n v="27"/>
    <n v="1.0571896382983452"/>
    <s v="No"/>
    <n v="0.37523795456001319"/>
    <s v="No"/>
    <n v="25000"/>
    <n v="27"/>
    <x v="0"/>
  </r>
  <r>
    <n v="3298"/>
    <s v="MUJER"/>
    <n v="35502246"/>
    <x v="0"/>
    <x v="1"/>
    <s v="SI"/>
    <s v="NO"/>
    <s v="NO"/>
    <n v="37"/>
    <n v="0.35143633752697023"/>
    <s v="No"/>
    <n v="0.21512846270066047"/>
    <s v="No"/>
    <n v="35502246"/>
    <n v="37"/>
    <x v="0"/>
  </r>
  <r>
    <n v="3299"/>
    <s v="MUJER"/>
    <n v="72789634"/>
    <x v="0"/>
    <x v="0"/>
    <s v="SI"/>
    <s v="NO"/>
    <s v="NO"/>
    <n v="28"/>
    <n v="0.98661430822120777"/>
    <s v="No"/>
    <n v="0.83561692064265058"/>
    <s v="No"/>
    <n v="72789634"/>
    <n v="28"/>
    <x v="0"/>
  </r>
  <r>
    <n v="3300"/>
    <s v="HOMBRE"/>
    <n v="343393"/>
    <x v="0"/>
    <x v="1"/>
    <s v="SI"/>
    <s v="NO"/>
    <s v="NO"/>
    <n v="37"/>
    <n v="0.35143633752697023"/>
    <s v="No"/>
    <n v="0.36993967028251096"/>
    <s v="No"/>
    <n v="343393"/>
    <n v="37"/>
    <x v="0"/>
  </r>
  <r>
    <n v="3301"/>
    <s v="MUJER"/>
    <n v="296610"/>
    <x v="2"/>
    <x v="1"/>
    <s v="SI"/>
    <s v="NO"/>
    <s v="NO"/>
    <n v="22"/>
    <n v="1.4100662886840327"/>
    <s v="No"/>
    <n v="0.37071817242720129"/>
    <s v="No"/>
    <n v="296610"/>
    <n v="22"/>
    <x v="2"/>
  </r>
  <r>
    <n v="3302"/>
    <s v="HOMBRE"/>
    <n v="1309556"/>
    <x v="1"/>
    <x v="0"/>
    <s v="SI"/>
    <s v="NO"/>
    <s v="NO"/>
    <n v="55"/>
    <n v="0.91891960386150484"/>
    <s v="No"/>
    <n v="0.35386203593626481"/>
    <s v="No"/>
    <n v="1309556"/>
    <n v="55"/>
    <x v="1"/>
  </r>
  <r>
    <n v="3303"/>
    <s v="HOMBRE"/>
    <n v="27803099"/>
    <x v="4"/>
    <x v="1"/>
    <s v="SI"/>
    <s v="NO"/>
    <s v="NO"/>
    <n v="64"/>
    <n v="1.5540975745557424"/>
    <s v="No"/>
    <n v="8.7009221698885322E-2"/>
    <s v="No"/>
    <n v="27803099"/>
    <n v="64"/>
    <x v="4"/>
  </r>
  <r>
    <n v="3304"/>
    <s v="HOMBRE"/>
    <n v="184600"/>
    <x v="0"/>
    <x v="1"/>
    <s v="SI"/>
    <s v="NO"/>
    <s v="NO"/>
    <n v="35"/>
    <n v="0.49258699768124525"/>
    <s v="No"/>
    <n v="0.37258209789642649"/>
    <s v="No"/>
    <n v="184600"/>
    <n v="35"/>
    <x v="0"/>
  </r>
  <r>
    <n v="3305"/>
    <s v="MUJER"/>
    <n v="1437897"/>
    <x v="0"/>
    <x v="0"/>
    <s v="SI"/>
    <s v="NO"/>
    <s v="NO"/>
    <n v="59"/>
    <n v="1.2012209241700549"/>
    <s v="No"/>
    <n v="0.35172635109878753"/>
    <s v="No"/>
    <n v="1437897"/>
    <n v="59"/>
    <x v="0"/>
  </r>
  <r>
    <n v="3306"/>
    <s v="HOMBRE"/>
    <n v="298000"/>
    <x v="0"/>
    <x v="1"/>
    <s v="SI"/>
    <s v="NO"/>
    <s v="NO"/>
    <n v="31"/>
    <n v="0.77488831798979529"/>
    <s v="No"/>
    <n v="0.37069504184598334"/>
    <s v="No"/>
    <n v="298000"/>
    <n v="31"/>
    <x v="0"/>
  </r>
  <r>
    <n v="3307"/>
    <s v="HOMBRE"/>
    <n v="324750"/>
    <x v="0"/>
    <x v="1"/>
    <s v="SI"/>
    <s v="NO"/>
    <s v="NO"/>
    <n v="33"/>
    <n v="0.63373765783552027"/>
    <s v="No"/>
    <n v="0.37024990296283206"/>
    <s v="No"/>
    <n v="324750"/>
    <n v="33"/>
    <x v="0"/>
  </r>
  <r>
    <n v="3308"/>
    <s v="MUJER"/>
    <n v="112041672"/>
    <x v="0"/>
    <x v="1"/>
    <s v="SI"/>
    <s v="NO"/>
    <s v="NO"/>
    <n v="33"/>
    <n v="0.63373765783552027"/>
    <s v="No"/>
    <n v="1.4887985414550386"/>
    <s v="No"/>
    <n v="112041672"/>
    <n v="33"/>
    <x v="0"/>
  </r>
  <r>
    <n v="3309"/>
    <s v="HOMBRE"/>
    <n v="484940"/>
    <x v="3"/>
    <x v="1"/>
    <s v="SI"/>
    <s v="NO"/>
    <s v="SI"/>
    <n v="33"/>
    <n v="0.63373765783552027"/>
    <s v="No"/>
    <n v="0.36758422828275722"/>
    <s v="No"/>
    <n v="484940"/>
    <n v="33"/>
    <x v="3"/>
  </r>
  <r>
    <n v="3310"/>
    <s v="MUJER"/>
    <n v="46717525"/>
    <x v="0"/>
    <x v="1"/>
    <s v="SI"/>
    <s v="NO"/>
    <s v="NO"/>
    <n v="28"/>
    <n v="0.98661430822120777"/>
    <s v="No"/>
    <n v="0.40175862226290132"/>
    <s v="No"/>
    <n v="46717525"/>
    <n v="28"/>
    <x v="0"/>
  </r>
  <r>
    <n v="3311"/>
    <s v="MUJER"/>
    <n v="405000"/>
    <x v="0"/>
    <x v="1"/>
    <s v="SI"/>
    <s v="NO"/>
    <s v="NO"/>
    <n v="41"/>
    <n v="6.9135017218420233E-2"/>
    <s v="No"/>
    <n v="0.36891448631337825"/>
    <s v="No"/>
    <n v="405000"/>
    <n v="41"/>
    <x v="0"/>
  </r>
  <r>
    <n v="3312"/>
    <s v="HOMBRE"/>
    <n v="59754997"/>
    <x v="0"/>
    <x v="1"/>
    <s v="SI"/>
    <s v="NO"/>
    <s v="NO"/>
    <n v="25"/>
    <n v="1.1983402984526204"/>
    <s v="No"/>
    <n v="0.61871135965340651"/>
    <s v="No"/>
    <n v="59754997"/>
    <n v="25"/>
    <x v="0"/>
  </r>
  <r>
    <n v="3313"/>
    <s v="MUJER"/>
    <n v="643308"/>
    <x v="1"/>
    <x v="0"/>
    <s v="SI"/>
    <s v="NO"/>
    <s v="NO"/>
    <n v="74"/>
    <n v="2.2598508753271176"/>
    <s v="Sí"/>
    <n v="0.36494887296885437"/>
    <s v="No"/>
    <n v="643308"/>
    <n v="74"/>
    <x v="1"/>
  </r>
  <r>
    <n v="3314"/>
    <s v="MUJER"/>
    <n v="510866"/>
    <x v="0"/>
    <x v="1"/>
    <s v="SI"/>
    <s v="NO"/>
    <s v="NO"/>
    <n v="26"/>
    <n v="1.1277649683754829"/>
    <s v="No"/>
    <n v="0.36715280134127759"/>
    <s v="No"/>
    <n v="510866"/>
    <n v="26"/>
    <x v="0"/>
  </r>
  <r>
    <n v="3315"/>
    <s v="HOMBRE"/>
    <n v="297046"/>
    <x v="2"/>
    <x v="1"/>
    <s v="SI"/>
    <s v="NO"/>
    <s v="NO"/>
    <n v="36"/>
    <n v="0.42201166760410774"/>
    <s v="No"/>
    <n v="0.37071091707942361"/>
    <s v="No"/>
    <n v="297046"/>
    <n v="36"/>
    <x v="2"/>
  </r>
  <r>
    <n v="3316"/>
    <s v="MUJER"/>
    <n v="688499"/>
    <x v="0"/>
    <x v="1"/>
    <s v="SI"/>
    <s v="NO"/>
    <s v="NO"/>
    <n v="32"/>
    <n v="0.70431298791265773"/>
    <s v="No"/>
    <n v="0.36419686282797625"/>
    <s v="No"/>
    <n v="688499"/>
    <n v="32"/>
    <x v="0"/>
  </r>
  <r>
    <n v="3317"/>
    <s v="HOMBRE"/>
    <n v="31025348"/>
    <x v="0"/>
    <x v="1"/>
    <s v="SI"/>
    <s v="NO"/>
    <s v="NO"/>
    <n v="59"/>
    <n v="1.2012209241700549"/>
    <s v="No"/>
    <n v="0.14062971968375676"/>
    <s v="No"/>
    <n v="31025348"/>
    <n v="59"/>
    <x v="0"/>
  </r>
  <r>
    <n v="3318"/>
    <s v="MUJER"/>
    <n v="297046"/>
    <x v="2"/>
    <x v="1"/>
    <s v="SI"/>
    <s v="NO"/>
    <s v="NO"/>
    <n v="57"/>
    <n v="1.0600702640157798"/>
    <s v="No"/>
    <n v="0.37071091707942361"/>
    <s v="No"/>
    <n v="297046"/>
    <n v="57"/>
    <x v="2"/>
  </r>
  <r>
    <n v="3319"/>
    <s v="HOMBRE"/>
    <n v="87709521"/>
    <x v="0"/>
    <x v="1"/>
    <s v="SI"/>
    <s v="NO"/>
    <s v="NO"/>
    <n v="43"/>
    <n v="7.2015642935854773E-2"/>
    <s v="No"/>
    <n v="1.0838943724528645"/>
    <s v="No"/>
    <n v="87709521"/>
    <n v="43"/>
    <x v="0"/>
  </r>
  <r>
    <n v="3320"/>
    <s v="HOMBRE"/>
    <n v="68924569"/>
    <x v="0"/>
    <x v="1"/>
    <s v="SI"/>
    <s v="NO"/>
    <s v="NO"/>
    <n v="38"/>
    <n v="0.28086100744983278"/>
    <s v="No"/>
    <n v="0.77129951064612412"/>
    <s v="No"/>
    <n v="68924569"/>
    <n v="38"/>
    <x v="0"/>
  </r>
  <r>
    <n v="3321"/>
    <s v="MUJER"/>
    <n v="1314275"/>
    <x v="0"/>
    <x v="0"/>
    <s v="SI"/>
    <s v="NO"/>
    <s v="NO"/>
    <n v="46"/>
    <n v="0.2837416331672673"/>
    <s v="No"/>
    <n v="0.35378350844506518"/>
    <s v="No"/>
    <n v="1314275"/>
    <n v="46"/>
    <x v="0"/>
  </r>
  <r>
    <n v="3322"/>
    <s v="MUJER"/>
    <n v="540083"/>
    <x v="2"/>
    <x v="1"/>
    <s v="NO"/>
    <s v="SI"/>
    <s v="SI"/>
    <n v="73"/>
    <n v="2.1892755452499797"/>
    <s v="Sí"/>
    <n v="0.3666666098366409"/>
    <s v="No"/>
    <n v="540083"/>
    <n v="73"/>
    <x v="2"/>
  </r>
  <r>
    <n v="3323"/>
    <s v="HOMBRE"/>
    <n v="609663"/>
    <x v="0"/>
    <x v="1"/>
    <s v="SI"/>
    <s v="NO"/>
    <s v="SI"/>
    <n v="41"/>
    <n v="6.9135017218420233E-2"/>
    <s v="No"/>
    <n v="0.36550874951927026"/>
    <s v="No"/>
    <n v="609663"/>
    <n v="41"/>
    <x v="0"/>
  </r>
  <r>
    <n v="3324"/>
    <s v="HOMBRE"/>
    <n v="72792626"/>
    <x v="0"/>
    <x v="1"/>
    <s v="SI"/>
    <s v="NO"/>
    <s v="NO"/>
    <n v="48"/>
    <n v="0.42489229332154227"/>
    <s v="No"/>
    <n v="0.83566670963473988"/>
    <s v="No"/>
    <n v="72792626"/>
    <n v="48"/>
    <x v="0"/>
  </r>
  <r>
    <n v="3325"/>
    <s v="MUJER"/>
    <n v="1632331"/>
    <x v="0"/>
    <x v="0"/>
    <s v="SI"/>
    <s v="NO"/>
    <s v="NO"/>
    <n v="44"/>
    <n v="0.14259097301299228"/>
    <s v="No"/>
    <n v="0.34849083208545539"/>
    <s v="No"/>
    <n v="1632331"/>
    <n v="44"/>
    <x v="0"/>
  </r>
  <r>
    <n v="3326"/>
    <s v="HOMBRE"/>
    <n v="44493763"/>
    <x v="0"/>
    <x v="1"/>
    <s v="SI"/>
    <s v="SI"/>
    <s v="NO"/>
    <n v="48"/>
    <n v="0.42489229332154227"/>
    <s v="No"/>
    <n v="0.36475365280218192"/>
    <s v="No"/>
    <n v="44493763"/>
    <n v="48"/>
    <x v="0"/>
  </r>
  <r>
    <n v="3327"/>
    <s v="HOMBRE"/>
    <n v="185956"/>
    <x v="0"/>
    <x v="1"/>
    <s v="SI"/>
    <s v="NO"/>
    <s v="NO"/>
    <n v="64"/>
    <n v="1.5540975745557424"/>
    <s v="No"/>
    <n v="0.37255953309920958"/>
    <s v="No"/>
    <n v="185956"/>
    <n v="64"/>
    <x v="0"/>
  </r>
  <r>
    <n v="3328"/>
    <s v="HOMBRE"/>
    <n v="12136802"/>
    <x v="0"/>
    <x v="1"/>
    <s v="SI"/>
    <s v="NO"/>
    <s v="NO"/>
    <n v="26"/>
    <n v="1.1277649683754829"/>
    <s v="No"/>
    <n v="0.17368901941125159"/>
    <s v="No"/>
    <n v="12136802"/>
    <n v="26"/>
    <x v="0"/>
  </r>
  <r>
    <n v="3329"/>
    <s v="HOMBRE"/>
    <n v="532800"/>
    <x v="0"/>
    <x v="1"/>
    <s v="SI"/>
    <s v="NO"/>
    <s v="NO"/>
    <n v="31"/>
    <n v="0.77488831798979529"/>
    <s v="No"/>
    <n v="0.36678780409779943"/>
    <s v="No"/>
    <n v="532800"/>
    <n v="31"/>
    <x v="0"/>
  </r>
  <r>
    <n v="3330"/>
    <s v="HOMBRE"/>
    <n v="106638108"/>
    <x v="0"/>
    <x v="1"/>
    <s v="SI"/>
    <s v="NO"/>
    <s v="NO"/>
    <n v="29"/>
    <n v="0.91603897814407031"/>
    <s v="No"/>
    <n v="1.398879422053303"/>
    <s v="No"/>
    <n v="106638108"/>
    <n v="29"/>
    <x v="0"/>
  </r>
  <r>
    <n v="3331"/>
    <s v="HOMBRE"/>
    <n v="280000"/>
    <x v="3"/>
    <x v="1"/>
    <s v="SI"/>
    <s v="NO"/>
    <s v="NO"/>
    <n v="40"/>
    <n v="0.13971034729555773"/>
    <s v="No"/>
    <n v="0.37099457455240292"/>
    <s v="No"/>
    <n v="280000"/>
    <n v="40"/>
    <x v="3"/>
  </r>
  <r>
    <n v="3332"/>
    <s v="HOMBRE"/>
    <n v="34222526"/>
    <x v="0"/>
    <x v="1"/>
    <s v="SI"/>
    <s v="NO"/>
    <s v="NO"/>
    <n v="44"/>
    <n v="0.14259097301299228"/>
    <s v="No"/>
    <n v="0.1938330185307035"/>
    <s v="No"/>
    <n v="34222526"/>
    <n v="44"/>
    <x v="0"/>
  </r>
  <r>
    <n v="3333"/>
    <s v="MUJER"/>
    <n v="53573647"/>
    <x v="0"/>
    <x v="1"/>
    <s v="SI"/>
    <s v="NO"/>
    <s v="NO"/>
    <n v="35"/>
    <n v="0.49258699768124525"/>
    <s v="No"/>
    <n v="0.5158493321630464"/>
    <s v="No"/>
    <n v="53573647"/>
    <n v="35"/>
    <x v="0"/>
  </r>
  <r>
    <n v="3334"/>
    <s v="HOMBRE"/>
    <n v="28831338"/>
    <x v="0"/>
    <x v="1"/>
    <s v="SI"/>
    <s v="NO"/>
    <s v="NO"/>
    <n v="57"/>
    <n v="1.0600702640157798"/>
    <s v="No"/>
    <n v="0.10411984450533703"/>
    <s v="No"/>
    <n v="28831338"/>
    <n v="57"/>
    <x v="0"/>
  </r>
  <r>
    <n v="3335"/>
    <s v="HOMBRE"/>
    <n v="137499999"/>
    <x v="0"/>
    <x v="1"/>
    <s v="SI"/>
    <s v="SI"/>
    <s v="NO"/>
    <n v="37"/>
    <n v="0.35143633752697023"/>
    <s v="No"/>
    <n v="1.9124430740785878"/>
    <s v="No"/>
    <n v="137499999"/>
    <n v="37"/>
    <x v="0"/>
  </r>
  <r>
    <n v="3336"/>
    <s v="MUJER"/>
    <n v="748465"/>
    <x v="0"/>
    <x v="0"/>
    <s v="SI"/>
    <s v="NO"/>
    <s v="NO"/>
    <n v="40"/>
    <n v="0.13971034729555773"/>
    <s v="No"/>
    <n v="0.36319898625724545"/>
    <s v="No"/>
    <n v="748465"/>
    <n v="40"/>
    <x v="0"/>
  </r>
  <r>
    <n v="3337"/>
    <s v="MUJER"/>
    <n v="2357682"/>
    <x v="0"/>
    <x v="0"/>
    <s v="SI"/>
    <s v="NO"/>
    <s v="NO"/>
    <n v="47"/>
    <n v="0.35431696324440481"/>
    <s v="No"/>
    <n v="0.33642047941133724"/>
    <s v="No"/>
    <n v="2357682"/>
    <n v="47"/>
    <x v="0"/>
  </r>
  <r>
    <n v="3338"/>
    <s v="HOMBRE"/>
    <n v="11200"/>
    <x v="0"/>
    <x v="1"/>
    <s v="SI"/>
    <s v="SI"/>
    <s v="SI"/>
    <n v="24"/>
    <n v="1.2689156285297578"/>
    <s v="No"/>
    <n v="0.37546759630160148"/>
    <s v="No"/>
    <n v="11200"/>
    <n v="24"/>
    <x v="0"/>
  </r>
  <r>
    <n v="3339"/>
    <s v="HOMBRE"/>
    <n v="37742593"/>
    <x v="0"/>
    <x v="1"/>
    <s v="SI"/>
    <s v="NO"/>
    <s v="NO"/>
    <n v="54"/>
    <n v="0.84834427378436728"/>
    <s v="No"/>
    <n v="0.25240941826893371"/>
    <s v="No"/>
    <n v="37742593"/>
    <n v="54"/>
    <x v="0"/>
  </r>
  <r>
    <n v="3340"/>
    <s v="HOMBRE"/>
    <n v="297044"/>
    <x v="2"/>
    <x v="1"/>
    <s v="SI"/>
    <s v="SI"/>
    <s v="NO"/>
    <n v="55"/>
    <n v="0.91891960386150484"/>
    <s v="No"/>
    <n v="0.3707109503608354"/>
    <s v="No"/>
    <n v="297044"/>
    <n v="55"/>
    <x v="2"/>
  </r>
  <r>
    <n v="3341"/>
    <s v="HOMBRE"/>
    <n v="8522133"/>
    <x v="0"/>
    <x v="1"/>
    <s v="SI"/>
    <s v="NO"/>
    <s v="NO"/>
    <n v="52"/>
    <n v="0.70719361363009237"/>
    <s v="No"/>
    <n v="0.23383966321018743"/>
    <s v="No"/>
    <n v="8522133"/>
    <n v="52"/>
    <x v="0"/>
  </r>
  <r>
    <n v="3342"/>
    <s v="HOMBRE"/>
    <n v="297046"/>
    <x v="3"/>
    <x v="1"/>
    <s v="SI"/>
    <s v="NO"/>
    <s v="NO"/>
    <n v="59"/>
    <n v="1.2012209241700549"/>
    <s v="No"/>
    <n v="0.37071091707942361"/>
    <s v="No"/>
    <n v="297046"/>
    <n v="59"/>
    <x v="3"/>
  </r>
  <r>
    <n v="3343"/>
    <s v="HOMBRE"/>
    <n v="280000"/>
    <x v="0"/>
    <x v="1"/>
    <s v="SI"/>
    <s v="NO"/>
    <s v="NO"/>
    <n v="70"/>
    <n v="1.9775495550185673"/>
    <s v="Sí"/>
    <n v="0.37099457455240292"/>
    <s v="No"/>
    <n v="280000"/>
    <n v="70"/>
    <x v="0"/>
  </r>
  <r>
    <n v="3344"/>
    <s v="HOMBRE"/>
    <n v="400000"/>
    <x v="0"/>
    <x v="1"/>
    <s v="SI"/>
    <s v="NO"/>
    <s v="NO"/>
    <n v="47"/>
    <n v="0.35431696324440481"/>
    <s v="No"/>
    <n v="0.36899768984293924"/>
    <s v="No"/>
    <n v="400000"/>
    <n v="47"/>
    <x v="0"/>
  </r>
  <r>
    <n v="3345"/>
    <s v="HOMBRE"/>
    <n v="66495056"/>
    <x v="0"/>
    <x v="1"/>
    <s v="SI"/>
    <s v="SI"/>
    <s v="NO"/>
    <n v="38"/>
    <n v="0.28086100744983278"/>
    <s v="No"/>
    <n v="0.73087069930326432"/>
    <s v="No"/>
    <n v="66495056"/>
    <n v="38"/>
    <x v="0"/>
  </r>
  <r>
    <n v="3346"/>
    <s v="MUJER"/>
    <n v="580000"/>
    <x v="0"/>
    <x v="1"/>
    <s v="SI"/>
    <s v="NO"/>
    <s v="NO"/>
    <n v="25"/>
    <n v="1.1983402984526204"/>
    <s v="No"/>
    <n v="0.36600236277874376"/>
    <s v="No"/>
    <n v="580000"/>
    <n v="25"/>
    <x v="0"/>
  </r>
  <r>
    <n v="3347"/>
    <s v="MUJER"/>
    <n v="183760"/>
    <x v="0"/>
    <x v="1"/>
    <s v="SI"/>
    <s v="SI"/>
    <s v="NO"/>
    <n v="53"/>
    <n v="0.77776894370722982"/>
    <s v="No"/>
    <n v="0.37259607608939277"/>
    <s v="No"/>
    <n v="183760"/>
    <n v="53"/>
    <x v="0"/>
  </r>
  <r>
    <n v="3348"/>
    <s v="MUJER"/>
    <n v="591000"/>
    <x v="0"/>
    <x v="1"/>
    <s v="SI"/>
    <s v="NO"/>
    <s v="NO"/>
    <n v="45"/>
    <n v="0.21316630309012977"/>
    <s v="No"/>
    <n v="0.36581931501370957"/>
    <s v="No"/>
    <n v="591000"/>
    <n v="45"/>
    <x v="0"/>
  </r>
  <r>
    <n v="3349"/>
    <s v="HOMBRE"/>
    <n v="146102323"/>
    <x v="0"/>
    <x v="1"/>
    <s v="SI"/>
    <s v="NO"/>
    <s v="NO"/>
    <n v="30"/>
    <n v="0.84546364806693275"/>
    <s v="No"/>
    <n v="2.0555918179240233"/>
    <s v="Sí"/>
    <n v="146102323"/>
    <n v="30"/>
    <x v="0"/>
  </r>
  <r>
    <n v="3350"/>
    <s v="MUJER"/>
    <n v="1167041"/>
    <x v="0"/>
    <x v="0"/>
    <s v="SI"/>
    <s v="NO"/>
    <s v="SI"/>
    <n v="32"/>
    <n v="0.70431298791265773"/>
    <s v="No"/>
    <n v="0.35623358613934158"/>
    <s v="No"/>
    <n v="1167041"/>
    <n v="32"/>
    <x v="0"/>
  </r>
  <r>
    <n v="3351"/>
    <s v="MUJER"/>
    <n v="240000"/>
    <x v="0"/>
    <x v="1"/>
    <s v="SI"/>
    <s v="SI"/>
    <s v="SI"/>
    <n v="42"/>
    <n v="1.4403128587172659E-3"/>
    <s v="No"/>
    <n v="0.37166020278889078"/>
    <s v="No"/>
    <n v="240000"/>
    <n v="42"/>
    <x v="0"/>
  </r>
  <r>
    <n v="3352"/>
    <s v="MUJER"/>
    <n v="22719758"/>
    <x v="0"/>
    <x v="1"/>
    <s v="SI"/>
    <s v="NO"/>
    <s v="NO"/>
    <n v="36"/>
    <n v="0.42201166760410774"/>
    <s v="No"/>
    <n v="2.4188390664710078E-3"/>
    <s v="No"/>
    <n v="22719758"/>
    <n v="36"/>
    <x v="0"/>
  </r>
  <r>
    <n v="3353"/>
    <s v="MUJER"/>
    <n v="346384"/>
    <x v="0"/>
    <x v="0"/>
    <s v="SI"/>
    <s v="NO"/>
    <s v="NO"/>
    <n v="43"/>
    <n v="7.2015642935854773E-2"/>
    <s v="No"/>
    <n v="0.36988989793112759"/>
    <s v="No"/>
    <n v="346384"/>
    <n v="43"/>
    <x v="0"/>
  </r>
  <r>
    <n v="3354"/>
    <s v="HOMBRE"/>
    <n v="82132728"/>
    <x v="0"/>
    <x v="1"/>
    <s v="SI"/>
    <s v="NO"/>
    <s v="NO"/>
    <n v="60"/>
    <n v="1.2717962542471923"/>
    <s v="No"/>
    <n v="0.99109260020666456"/>
    <s v="No"/>
    <n v="82132728"/>
    <n v="60"/>
    <x v="0"/>
  </r>
  <r>
    <n v="3355"/>
    <s v="HOMBRE"/>
    <n v="350000"/>
    <x v="0"/>
    <x v="1"/>
    <s v="SI"/>
    <s v="NO"/>
    <s v="NO"/>
    <n v="36"/>
    <n v="0.42201166760410774"/>
    <s v="No"/>
    <n v="0.36982972513854911"/>
    <s v="No"/>
    <n v="350000"/>
    <n v="36"/>
    <x v="0"/>
  </r>
  <r>
    <n v="3356"/>
    <s v="HOMBRE"/>
    <n v="35153679"/>
    <x v="0"/>
    <x v="1"/>
    <s v="SI"/>
    <s v="NO"/>
    <s v="NO"/>
    <n v="46"/>
    <n v="0.2837416331672673"/>
    <s v="No"/>
    <n v="0.20932806176296365"/>
    <s v="No"/>
    <n v="35153679"/>
    <n v="46"/>
    <x v="0"/>
  </r>
  <r>
    <n v="3357"/>
    <s v="MUJER"/>
    <n v="2585425"/>
    <x v="0"/>
    <x v="1"/>
    <s v="SI"/>
    <s v="NO"/>
    <s v="NO"/>
    <n v="53"/>
    <n v="0.77776894370722982"/>
    <s v="No"/>
    <n v="0.33263067512477573"/>
    <s v="No"/>
    <n v="2585425"/>
    <n v="53"/>
    <x v="0"/>
  </r>
  <r>
    <n v="3358"/>
    <s v="MUJER"/>
    <n v="297045"/>
    <x v="2"/>
    <x v="1"/>
    <s v="SI"/>
    <s v="SI"/>
    <s v="NO"/>
    <n v="40"/>
    <n v="0.13971034729555773"/>
    <s v="No"/>
    <n v="0.37071093372012948"/>
    <s v="No"/>
    <n v="297045"/>
    <n v="40"/>
    <x v="2"/>
  </r>
  <r>
    <n v="3359"/>
    <s v="MUJER"/>
    <n v="289729"/>
    <x v="0"/>
    <x v="0"/>
    <s v="SI"/>
    <s v="NO"/>
    <s v="SI"/>
    <n v="41"/>
    <n v="6.9135017218420233E-2"/>
    <s v="No"/>
    <n v="0.37083267712458312"/>
    <s v="No"/>
    <n v="289729"/>
    <n v="41"/>
    <x v="0"/>
  </r>
  <r>
    <n v="3360"/>
    <s v="MUJER"/>
    <n v="550000"/>
    <x v="0"/>
    <x v="1"/>
    <s v="SI"/>
    <s v="NO"/>
    <s v="NO"/>
    <n v="22"/>
    <n v="1.4100662886840327"/>
    <s v="No"/>
    <n v="0.36650158395610966"/>
    <s v="No"/>
    <n v="550000"/>
    <n v="22"/>
    <x v="0"/>
  </r>
  <r>
    <n v="3361"/>
    <s v="MUJER"/>
    <n v="141849889"/>
    <x v="0"/>
    <x v="1"/>
    <s v="SI"/>
    <s v="NO"/>
    <s v="NO"/>
    <n v="48"/>
    <n v="0.42489229332154227"/>
    <s v="No"/>
    <n v="1.9848283143189951"/>
    <s v="Sí"/>
    <n v="141849889"/>
    <n v="48"/>
    <x v="0"/>
  </r>
  <r>
    <n v="3362"/>
    <s v="HOMBRE"/>
    <n v="24096206"/>
    <x v="0"/>
    <x v="0"/>
    <s v="SI"/>
    <s v="NO"/>
    <s v="NO"/>
    <n v="52"/>
    <n v="0.70719361363009237"/>
    <s v="No"/>
    <n v="2.5323905437902989E-2"/>
    <s v="No"/>
    <n v="24096206"/>
    <n v="52"/>
    <x v="0"/>
  </r>
  <r>
    <n v="3363"/>
    <s v="MUJER"/>
    <n v="225000"/>
    <x v="0"/>
    <x v="1"/>
    <s v="SI"/>
    <s v="NO"/>
    <s v="NO"/>
    <n v="36"/>
    <n v="0.42201166760410774"/>
    <s v="No"/>
    <n v="0.37190981337757373"/>
    <s v="No"/>
    <n v="225000"/>
    <n v="36"/>
    <x v="0"/>
  </r>
  <r>
    <n v="3364"/>
    <s v="MUJER"/>
    <n v="5781674"/>
    <x v="0"/>
    <x v="0"/>
    <s v="SI"/>
    <s v="NO"/>
    <s v="NO"/>
    <n v="40"/>
    <n v="0.13971034729555773"/>
    <s v="No"/>
    <n v="0.27944283549362142"/>
    <s v="No"/>
    <n v="5781674"/>
    <n v="40"/>
    <x v="0"/>
  </r>
  <r>
    <n v="3365"/>
    <s v="MUJER"/>
    <n v="282305"/>
    <x v="2"/>
    <x v="1"/>
    <s v="NO"/>
    <s v="NO"/>
    <s v="NO"/>
    <n v="65"/>
    <n v="1.6246729046328798"/>
    <s v="No"/>
    <n v="0.37095621772527526"/>
    <s v="No"/>
    <n v="282305"/>
    <n v="65"/>
    <x v="2"/>
  </r>
  <r>
    <n v="3366"/>
    <s v="MUJER"/>
    <n v="58551947"/>
    <x v="0"/>
    <x v="0"/>
    <s v="SI"/>
    <s v="NO"/>
    <s v="NO"/>
    <n v="54"/>
    <n v="0.84834427378436728"/>
    <s v="No"/>
    <n v="0.59869175840573763"/>
    <s v="No"/>
    <n v="58551947"/>
    <n v="54"/>
    <x v="0"/>
  </r>
  <r>
    <n v="3367"/>
    <s v="HOMBRE"/>
    <n v="47720699"/>
    <x v="0"/>
    <x v="1"/>
    <s v="SI"/>
    <s v="NO"/>
    <s v="NO"/>
    <n v="27"/>
    <n v="1.0571896382983452"/>
    <s v="No"/>
    <n v="0.41845214577566381"/>
    <s v="No"/>
    <n v="47720699"/>
    <n v="27"/>
    <x v="0"/>
  </r>
  <r>
    <n v="3368"/>
    <s v="MUJER"/>
    <n v="36674015"/>
    <x v="0"/>
    <x v="1"/>
    <s v="SI"/>
    <s v="NO"/>
    <s v="NO"/>
    <n v="37"/>
    <n v="0.35143633752697023"/>
    <s v="No"/>
    <n v="0.23462752602668985"/>
    <s v="No"/>
    <n v="36674015"/>
    <n v="37"/>
    <x v="0"/>
  </r>
  <r>
    <n v="3369"/>
    <s v="MUJER"/>
    <n v="297045"/>
    <x v="2"/>
    <x v="1"/>
    <s v="SI"/>
    <s v="NO"/>
    <s v="NO"/>
    <n v="29"/>
    <n v="0.91603897814407031"/>
    <s v="No"/>
    <n v="0.37071093372012948"/>
    <s v="No"/>
    <n v="297045"/>
    <n v="29"/>
    <x v="2"/>
  </r>
  <r>
    <n v="3370"/>
    <s v="MUJER"/>
    <n v="375728"/>
    <x v="0"/>
    <x v="1"/>
    <s v="SI"/>
    <s v="SI"/>
    <s v="NO"/>
    <n v="41"/>
    <n v="6.9135017218420233E-2"/>
    <s v="No"/>
    <n v="0.36940159305684006"/>
    <s v="No"/>
    <n v="375728"/>
    <n v="41"/>
    <x v="0"/>
  </r>
  <r>
    <n v="3371"/>
    <s v="HOMBRE"/>
    <n v="54128699"/>
    <x v="0"/>
    <x v="1"/>
    <s v="SI"/>
    <s v="NO"/>
    <s v="NO"/>
    <n v="38"/>
    <n v="0.28086100744983278"/>
    <s v="No"/>
    <n v="0.52508578926102334"/>
    <s v="No"/>
    <n v="54128699"/>
    <n v="38"/>
    <x v="0"/>
  </r>
  <r>
    <n v="3372"/>
    <s v="HOMBRE"/>
    <n v="1486779"/>
    <x v="1"/>
    <x v="0"/>
    <s v="SI"/>
    <s v="NO"/>
    <s v="NO"/>
    <n v="60"/>
    <n v="1.2717962542471923"/>
    <s v="No"/>
    <n v="0.35091292011238751"/>
    <s v="No"/>
    <n v="1486779"/>
    <n v="60"/>
    <x v="1"/>
  </r>
  <r>
    <n v="3373"/>
    <s v="MUJER"/>
    <n v="297045"/>
    <x v="2"/>
    <x v="1"/>
    <s v="SI"/>
    <s v="NO"/>
    <s v="NO"/>
    <n v="62"/>
    <n v="1.4129469144014672"/>
    <s v="No"/>
    <n v="0.37071093372012948"/>
    <s v="No"/>
    <n v="297045"/>
    <n v="62"/>
    <x v="2"/>
  </r>
  <r>
    <n v="3374"/>
    <s v="HOMBRE"/>
    <n v="297046"/>
    <x v="2"/>
    <x v="1"/>
    <s v="SI"/>
    <s v="SI"/>
    <s v="NO"/>
    <n v="38"/>
    <n v="0.28086100744983278"/>
    <s v="No"/>
    <n v="0.37071091707942361"/>
    <s v="No"/>
    <n v="297046"/>
    <n v="38"/>
    <x v="2"/>
  </r>
  <r>
    <n v="3375"/>
    <s v="MUJER"/>
    <n v="557319"/>
    <x v="3"/>
    <x v="1"/>
    <s v="SI"/>
    <s v="NO"/>
    <s v="NO"/>
    <n v="57"/>
    <n v="1.0600702640157798"/>
    <s v="No"/>
    <n v="0.36637979062953829"/>
    <s v="No"/>
    <n v="557319"/>
    <n v="57"/>
    <x v="3"/>
  </r>
  <r>
    <n v="3376"/>
    <s v="HOMBRE"/>
    <n v="8335921"/>
    <x v="0"/>
    <x v="0"/>
    <s v="SI"/>
    <s v="NO"/>
    <s v="NO"/>
    <n v="31"/>
    <n v="0.77488831798979529"/>
    <s v="No"/>
    <n v="0.23693836233950949"/>
    <s v="No"/>
    <n v="8335921"/>
    <n v="31"/>
    <x v="0"/>
  </r>
  <r>
    <n v="3377"/>
    <s v="HOMBRE"/>
    <n v="297950"/>
    <x v="4"/>
    <x v="1"/>
    <s v="SI"/>
    <s v="NO"/>
    <s v="NO"/>
    <n v="44"/>
    <n v="0.14259097301299228"/>
    <s v="No"/>
    <n v="0.37069587388127895"/>
    <s v="No"/>
    <n v="297950"/>
    <n v="44"/>
    <x v="4"/>
  </r>
  <r>
    <n v="3378"/>
    <s v="HOMBRE"/>
    <n v="356455"/>
    <x v="3"/>
    <x v="1"/>
    <s v="SI"/>
    <s v="NO"/>
    <s v="SI"/>
    <n v="40"/>
    <n v="0.13971034729555773"/>
    <s v="No"/>
    <n v="0.36972230938188588"/>
    <s v="No"/>
    <n v="356455"/>
    <n v="40"/>
    <x v="3"/>
  </r>
  <r>
    <n v="3379"/>
    <s v="HOMBRE"/>
    <n v="30043855"/>
    <x v="0"/>
    <x v="1"/>
    <s v="SI"/>
    <s v="NO"/>
    <s v="NO"/>
    <n v="19"/>
    <n v="1.6217922789154453"/>
    <s v="No"/>
    <n v="0.12429698331587662"/>
    <s v="No"/>
    <n v="30043855"/>
    <n v="19"/>
    <x v="0"/>
  </r>
  <r>
    <n v="3380"/>
    <s v="MUJER"/>
    <n v="278030"/>
    <x v="6"/>
    <x v="1"/>
    <s v="SI"/>
    <s v="NO"/>
    <s v="NO"/>
    <n v="27"/>
    <n v="1.0571896382983452"/>
    <s v="No"/>
    <n v="0.37102735674304993"/>
    <s v="No"/>
    <n v="278030"/>
    <n v="27"/>
    <x v="5"/>
  </r>
  <r>
    <n v="3381"/>
    <s v="HOMBRE"/>
    <n v="354166"/>
    <x v="0"/>
    <x v="1"/>
    <s v="SI"/>
    <s v="NO"/>
    <s v="NO"/>
    <n v="25"/>
    <n v="1.1983402984526204"/>
    <s v="No"/>
    <n v="0.36976039995771887"/>
    <s v="No"/>
    <n v="354166"/>
    <n v="25"/>
    <x v="0"/>
  </r>
  <r>
    <n v="3382"/>
    <s v="HOMBRE"/>
    <n v="96385952"/>
    <x v="0"/>
    <x v="0"/>
    <s v="SI"/>
    <s v="NO"/>
    <s v="NO"/>
    <n v="55"/>
    <n v="0.91891960386150484"/>
    <s v="No"/>
    <n v="1.2282763090913351"/>
    <s v="No"/>
    <n v="96385952"/>
    <n v="55"/>
    <x v="0"/>
  </r>
  <r>
    <n v="3383"/>
    <s v="HOMBRE"/>
    <n v="105796708"/>
    <x v="0"/>
    <x v="1"/>
    <s v="SI"/>
    <s v="NO"/>
    <s v="NO"/>
    <n v="31"/>
    <n v="0.77488831798979529"/>
    <s v="No"/>
    <n v="1.3848779320987801"/>
    <s v="No"/>
    <n v="105796708"/>
    <n v="31"/>
    <x v="0"/>
  </r>
  <r>
    <n v="3384"/>
    <s v="HOMBRE"/>
    <n v="58623497"/>
    <x v="0"/>
    <x v="1"/>
    <s v="SI"/>
    <s v="NO"/>
    <s v="NO"/>
    <n v="57"/>
    <n v="1.0600702640157798"/>
    <s v="No"/>
    <n v="0.59988240091375533"/>
    <s v="No"/>
    <n v="58623497"/>
    <n v="57"/>
    <x v="0"/>
  </r>
  <r>
    <n v="3385"/>
    <s v="HOMBRE"/>
    <n v="278030"/>
    <x v="4"/>
    <x v="1"/>
    <s v="SI"/>
    <s v="NO"/>
    <s v="NO"/>
    <n v="29"/>
    <n v="0.91603897814407031"/>
    <s v="No"/>
    <n v="0.37102735674304993"/>
    <s v="No"/>
    <n v="278030"/>
    <n v="29"/>
    <x v="4"/>
  </r>
  <r>
    <n v="3386"/>
    <s v="HOMBRE"/>
    <n v="399148"/>
    <x v="3"/>
    <x v="1"/>
    <s v="SI"/>
    <s v="NO"/>
    <s v="SI"/>
    <n v="59"/>
    <n v="1.2012209241700549"/>
    <s v="No"/>
    <n v="0.36901186772437644"/>
    <s v="No"/>
    <n v="399148"/>
    <n v="59"/>
    <x v="3"/>
  </r>
  <r>
    <n v="3387"/>
    <s v="MUJER"/>
    <n v="137792386"/>
    <x v="0"/>
    <x v="1"/>
    <s v="SI"/>
    <s v="NO"/>
    <s v="NO"/>
    <n v="56"/>
    <n v="0.9894949339386423"/>
    <s v="No"/>
    <n v="1.9173086001581374"/>
    <s v="No"/>
    <n v="137792386"/>
    <n v="56"/>
    <x v="0"/>
  </r>
  <r>
    <n v="3388"/>
    <s v="HOMBRE"/>
    <n v="384000"/>
    <x v="0"/>
    <x v="1"/>
    <s v="SI"/>
    <s v="NO"/>
    <s v="SI"/>
    <n v="43"/>
    <n v="7.2015642935854773E-2"/>
    <s v="No"/>
    <n v="0.36926394113753441"/>
    <s v="No"/>
    <n v="384000"/>
    <n v="43"/>
    <x v="0"/>
  </r>
  <r>
    <n v="3389"/>
    <s v="HOMBRE"/>
    <n v="641830"/>
    <x v="0"/>
    <x v="1"/>
    <s v="SI"/>
    <s v="NO"/>
    <s v="NO"/>
    <n v="50"/>
    <n v="0.56604295347581735"/>
    <s v="No"/>
    <n v="0.3649734679321926"/>
    <s v="No"/>
    <n v="641830"/>
    <n v="50"/>
    <x v="0"/>
  </r>
  <r>
    <n v="3390"/>
    <s v="HOMBRE"/>
    <n v="46768051"/>
    <x v="0"/>
    <x v="1"/>
    <s v="SI"/>
    <s v="SI"/>
    <s v="NO"/>
    <n v="31"/>
    <n v="0.77488831798979529"/>
    <s v="No"/>
    <n v="0.40259941056982101"/>
    <s v="No"/>
    <n v="46768051"/>
    <n v="31"/>
    <x v="0"/>
  </r>
  <r>
    <n v="3391"/>
    <s v="HOMBRE"/>
    <n v="572881"/>
    <x v="0"/>
    <x v="1"/>
    <s v="SI"/>
    <s v="NO"/>
    <s v="NO"/>
    <n v="27"/>
    <n v="1.0571896382983452"/>
    <s v="No"/>
    <n v="0.3661208279641327"/>
    <s v="No"/>
    <n v="572881"/>
    <n v="27"/>
    <x v="0"/>
  </r>
  <r>
    <n v="3392"/>
    <s v="HOMBRE"/>
    <n v="45024243"/>
    <x v="0"/>
    <x v="1"/>
    <s v="SI"/>
    <s v="NO"/>
    <s v="NO"/>
    <n v="24"/>
    <n v="1.2689156285297578"/>
    <s v="No"/>
    <n v="0.37358121447448428"/>
    <s v="No"/>
    <n v="45024243"/>
    <n v="24"/>
    <x v="0"/>
  </r>
  <r>
    <n v="3393"/>
    <s v="HOMBRE"/>
    <n v="6189629"/>
    <x v="0"/>
    <x v="1"/>
    <s v="SI"/>
    <s v="NO"/>
    <s v="NO"/>
    <n v="51"/>
    <n v="0.6366182835529548"/>
    <s v="No"/>
    <n v="0.27265417631321098"/>
    <s v="No"/>
    <n v="6189629"/>
    <n v="51"/>
    <x v="0"/>
  </r>
  <r>
    <n v="3394"/>
    <s v="MUJER"/>
    <n v="319591"/>
    <x v="0"/>
    <x v="1"/>
    <s v="SI"/>
    <s v="SI"/>
    <s v="NO"/>
    <n v="34"/>
    <n v="0.56316232775838282"/>
    <s v="No"/>
    <n v="0.37033575236463312"/>
    <s v="No"/>
    <n v="319591"/>
    <n v="34"/>
    <x v="0"/>
  </r>
  <r>
    <n v="3395"/>
    <s v="HOMBRE"/>
    <n v="316412"/>
    <x v="3"/>
    <x v="1"/>
    <s v="SI"/>
    <s v="NO"/>
    <s v="SI"/>
    <n v="55"/>
    <n v="0.91891960386150484"/>
    <s v="No"/>
    <n v="0.37038865316872799"/>
    <s v="No"/>
    <n v="316412"/>
    <n v="55"/>
    <x v="3"/>
  </r>
  <r>
    <n v="3396"/>
    <s v="MUJER"/>
    <n v="356455"/>
    <x v="3"/>
    <x v="1"/>
    <s v="SI"/>
    <s v="NO"/>
    <s v="NO"/>
    <n v="43"/>
    <n v="7.2015642935854773E-2"/>
    <s v="No"/>
    <n v="0.36972230938188588"/>
    <s v="No"/>
    <n v="356455"/>
    <n v="43"/>
    <x v="3"/>
  </r>
  <r>
    <n v="3397"/>
    <s v="HOMBRE"/>
    <n v="78585582"/>
    <x v="0"/>
    <x v="1"/>
    <s v="SI"/>
    <s v="NO"/>
    <s v="NO"/>
    <n v="55"/>
    <n v="0.91891960386150484"/>
    <s v="No"/>
    <n v="0.93206558679303797"/>
    <s v="No"/>
    <n v="78585582"/>
    <n v="55"/>
    <x v="0"/>
  </r>
  <r>
    <n v="3398"/>
    <s v="HOMBRE"/>
    <n v="420000"/>
    <x v="0"/>
    <x v="1"/>
    <s v="SI"/>
    <s v="NO"/>
    <s v="NO"/>
    <n v="52"/>
    <n v="0.70719361363009237"/>
    <s v="No"/>
    <n v="0.36866487572469531"/>
    <s v="No"/>
    <n v="420000"/>
    <n v="52"/>
    <x v="0"/>
  </r>
  <r>
    <n v="3399"/>
    <s v="HOMBRE"/>
    <n v="405063"/>
    <x v="3"/>
    <x v="1"/>
    <s v="SI"/>
    <s v="NO"/>
    <s v="SI"/>
    <n v="53"/>
    <n v="0.77776894370722982"/>
    <s v="No"/>
    <n v="0.3689134379489058"/>
    <s v="No"/>
    <n v="405063"/>
    <n v="53"/>
    <x v="3"/>
  </r>
  <r>
    <n v="3400"/>
    <s v="MUJER"/>
    <n v="297139"/>
    <x v="2"/>
    <x v="1"/>
    <s v="SI"/>
    <s v="SI"/>
    <s v="NO"/>
    <n v="36"/>
    <n v="0.42201166760410774"/>
    <s v="No"/>
    <n v="0.37070936949377375"/>
    <s v="No"/>
    <n v="297139"/>
    <n v="36"/>
    <x v="2"/>
  </r>
  <r>
    <n v="3401"/>
    <s v="HOMBRE"/>
    <n v="175000"/>
    <x v="0"/>
    <x v="1"/>
    <s v="SI"/>
    <s v="NO"/>
    <s v="NO"/>
    <n v="32"/>
    <n v="0.70431298791265773"/>
    <s v="No"/>
    <n v="0.37274184867318361"/>
    <s v="No"/>
    <n v="175000"/>
    <n v="32"/>
    <x v="0"/>
  </r>
  <r>
    <n v="3402"/>
    <s v="HOMBRE"/>
    <n v="299647"/>
    <x v="2"/>
    <x v="1"/>
    <s v="NO"/>
    <s v="NO"/>
    <s v="NO"/>
    <n v="52"/>
    <n v="0.70719361363009237"/>
    <s v="No"/>
    <n v="0.37066763460334595"/>
    <s v="No"/>
    <n v="299647"/>
    <n v="52"/>
    <x v="2"/>
  </r>
  <r>
    <n v="3403"/>
    <s v="HOMBRE"/>
    <n v="120240274"/>
    <x v="0"/>
    <x v="0"/>
    <s v="SI"/>
    <s v="NO"/>
    <s v="NO"/>
    <n v="53"/>
    <n v="0.77776894370722982"/>
    <s v="No"/>
    <n v="1.6252290662281903"/>
    <s v="No"/>
    <n v="120240274"/>
    <n v="53"/>
    <x v="0"/>
  </r>
  <r>
    <n v="3404"/>
    <s v="HOMBRE"/>
    <n v="26492966"/>
    <x v="0"/>
    <x v="1"/>
    <s v="SI"/>
    <s v="NO"/>
    <s v="NO"/>
    <n v="48"/>
    <n v="0.42489229332154227"/>
    <s v="No"/>
    <n v="6.52076837400207E-2"/>
    <s v="No"/>
    <n v="26492966"/>
    <n v="48"/>
    <x v="0"/>
  </r>
  <r>
    <n v="3405"/>
    <s v="HOMBRE"/>
    <n v="62390214"/>
    <x v="0"/>
    <x v="1"/>
    <s v="SI"/>
    <s v="NO"/>
    <s v="NO"/>
    <n v="44"/>
    <n v="0.14259097301299228"/>
    <s v="No"/>
    <n v="0.66256323076522894"/>
    <s v="No"/>
    <n v="62390214"/>
    <n v="44"/>
    <x v="0"/>
  </r>
  <r>
    <n v="3406"/>
    <s v="MUJER"/>
    <n v="425046"/>
    <x v="0"/>
    <x v="0"/>
    <s v="SI"/>
    <s v="NO"/>
    <s v="NO"/>
    <n v="42"/>
    <n v="1.4403128587172659E-3"/>
    <s v="No"/>
    <n v="0.36858090672266236"/>
    <s v="No"/>
    <n v="425046"/>
    <n v="42"/>
    <x v="0"/>
  </r>
  <r>
    <n v="3407"/>
    <s v="HOMBRE"/>
    <n v="420375"/>
    <x v="0"/>
    <x v="1"/>
    <s v="SI"/>
    <s v="NO"/>
    <s v="NO"/>
    <n v="30"/>
    <n v="0.84546364806693275"/>
    <s v="No"/>
    <n v="0.36865863545997823"/>
    <s v="No"/>
    <n v="420375"/>
    <n v="30"/>
    <x v="0"/>
  </r>
  <r>
    <n v="3408"/>
    <s v="HOMBRE"/>
    <n v="142939925"/>
    <x v="0"/>
    <x v="1"/>
    <s v="SI"/>
    <s v="NO"/>
    <s v="NO"/>
    <n v="51"/>
    <n v="0.6366182835529548"/>
    <s v="No"/>
    <n v="2.0029672828287031"/>
    <s v="Sí"/>
    <n v="142939925"/>
    <n v="51"/>
    <x v="0"/>
  </r>
  <r>
    <n v="3409"/>
    <s v="HOMBRE"/>
    <n v="64078944"/>
    <x v="0"/>
    <x v="1"/>
    <s v="SI"/>
    <s v="NO"/>
    <s v="NO"/>
    <n v="23"/>
    <n v="1.3394909586068953"/>
    <s v="No"/>
    <n v="0.69066489006033371"/>
    <s v="No"/>
    <n v="64078944"/>
    <n v="23"/>
    <x v="0"/>
  </r>
  <r>
    <n v="3410"/>
    <s v="HOMBRE"/>
    <n v="394800"/>
    <x v="0"/>
    <x v="1"/>
    <s v="SI"/>
    <s v="NO"/>
    <s v="NO"/>
    <n v="51"/>
    <n v="0.6366182835529548"/>
    <s v="No"/>
    <n v="0.36908422151368264"/>
    <s v="No"/>
    <n v="394800"/>
    <n v="51"/>
    <x v="0"/>
  </r>
  <r>
    <n v="3411"/>
    <s v="HOMBRE"/>
    <n v="16858742"/>
    <x v="3"/>
    <x v="1"/>
    <s v="SI"/>
    <s v="NO"/>
    <s v="NO"/>
    <n v="75"/>
    <n v="2.330426205404255"/>
    <s v="Sí"/>
    <n v="9.5112604536211245E-2"/>
    <s v="No"/>
    <n v="16858742"/>
    <n v="75"/>
    <x v="3"/>
  </r>
  <r>
    <n v="3412"/>
    <s v="HOMBRE"/>
    <n v="48502535"/>
    <x v="0"/>
    <x v="0"/>
    <s v="SI"/>
    <s v="NO"/>
    <s v="NO"/>
    <n v="30"/>
    <n v="0.84546364806693275"/>
    <s v="No"/>
    <n v="0.43146244872323242"/>
    <s v="No"/>
    <n v="48502535"/>
    <n v="30"/>
    <x v="0"/>
  </r>
  <r>
    <n v="3413"/>
    <s v="HOMBRE"/>
    <n v="263696"/>
    <x v="0"/>
    <x v="1"/>
    <s v="SI"/>
    <s v="NO"/>
    <s v="SI"/>
    <n v="60"/>
    <n v="1.2717962542471923"/>
    <s v="No"/>
    <n v="0.37126588462159538"/>
    <s v="No"/>
    <n v="263696"/>
    <n v="60"/>
    <x v="0"/>
  </r>
  <r>
    <n v="3414"/>
    <s v="HOMBRE"/>
    <n v="362773"/>
    <x v="0"/>
    <x v="0"/>
    <s v="SI"/>
    <s v="NO"/>
    <s v="NO"/>
    <n v="27"/>
    <n v="1.0571896382983452"/>
    <s v="No"/>
    <n v="0.36961717340193262"/>
    <s v="No"/>
    <n v="362773"/>
    <n v="27"/>
    <x v="0"/>
  </r>
  <r>
    <n v="3415"/>
    <s v="HOMBRE"/>
    <n v="400621455"/>
    <x v="0"/>
    <x v="0"/>
    <s v="SI"/>
    <s v="NO"/>
    <s v="NO"/>
    <n v="51"/>
    <n v="0.6366182835529548"/>
    <s v="No"/>
    <n v="6.2909698425637171"/>
    <s v="Sí"/>
    <n v="400621455"/>
    <n v="51"/>
    <x v="0"/>
  </r>
  <r>
    <n v="3416"/>
    <s v="HOMBRE"/>
    <n v="47655635"/>
    <x v="0"/>
    <x v="1"/>
    <s v="SI"/>
    <s v="NO"/>
    <s v="NO"/>
    <n v="26"/>
    <n v="1.1277649683754829"/>
    <s v="No"/>
    <n v="0.4173694348861926"/>
    <s v="No"/>
    <n v="47655635"/>
    <n v="26"/>
    <x v="0"/>
  </r>
  <r>
    <n v="3417"/>
    <s v="HOMBRE"/>
    <n v="67228572"/>
    <x v="0"/>
    <x v="1"/>
    <s v="SI"/>
    <s v="NO"/>
    <s v="NO"/>
    <n v="40"/>
    <n v="0.13971034729555773"/>
    <s v="No"/>
    <n v="0.74307692334115549"/>
    <s v="No"/>
    <n v="67228572"/>
    <n v="40"/>
    <x v="0"/>
  </r>
  <r>
    <n v="3418"/>
    <s v="HOMBRE"/>
    <n v="50133333"/>
    <x v="0"/>
    <x v="1"/>
    <s v="SI"/>
    <s v="NO"/>
    <s v="NO"/>
    <n v="41"/>
    <n v="6.9135017218420233E-2"/>
    <s v="No"/>
    <n v="0.45860007864343172"/>
    <s v="No"/>
    <n v="50133333"/>
    <n v="41"/>
    <x v="0"/>
  </r>
  <r>
    <n v="3419"/>
    <s v="MUJER"/>
    <n v="1038075"/>
    <x v="1"/>
    <x v="0"/>
    <s v="SI"/>
    <s v="NO"/>
    <s v="NO"/>
    <n v="62"/>
    <n v="1.4129469144014672"/>
    <s v="No"/>
    <n v="0.35837967141801402"/>
    <s v="No"/>
    <n v="1038075"/>
    <n v="62"/>
    <x v="1"/>
  </r>
  <r>
    <n v="3420"/>
    <s v="HOMBRE"/>
    <n v="68550253"/>
    <x v="0"/>
    <x v="1"/>
    <s v="SI"/>
    <s v="NO"/>
    <s v="SI"/>
    <n v="58"/>
    <n v="1.1306455940929174"/>
    <s v="No"/>
    <n v="0.7650706281718942"/>
    <s v="No"/>
    <n v="68550253"/>
    <n v="58"/>
    <x v="0"/>
  </r>
  <r>
    <n v="3421"/>
    <s v="HOMBRE"/>
    <n v="389050"/>
    <x v="0"/>
    <x v="1"/>
    <s v="SI"/>
    <s v="SI"/>
    <s v="SI"/>
    <n v="36"/>
    <n v="0.42201166760410774"/>
    <s v="No"/>
    <n v="0.36917990557267777"/>
    <s v="No"/>
    <n v="389050"/>
    <n v="36"/>
    <x v="0"/>
  </r>
  <r>
    <n v="3422"/>
    <s v="HOMBRE"/>
    <n v="959035"/>
    <x v="3"/>
    <x v="1"/>
    <s v="SI"/>
    <s v="NO"/>
    <s v="SI"/>
    <n v="68"/>
    <n v="1.8363988948642924"/>
    <s v="No"/>
    <n v="0.35969495281331409"/>
    <s v="No"/>
    <n v="959035"/>
    <n v="68"/>
    <x v="3"/>
  </r>
  <r>
    <n v="3423"/>
    <s v="HOMBRE"/>
    <n v="400000"/>
    <x v="0"/>
    <x v="1"/>
    <s v="SI"/>
    <s v="NO"/>
    <s v="NO"/>
    <n v="26"/>
    <n v="1.1277649683754829"/>
    <s v="No"/>
    <n v="0.36899768984293924"/>
    <s v="No"/>
    <n v="400000"/>
    <n v="26"/>
    <x v="0"/>
  </r>
  <r>
    <n v="3424"/>
    <s v="MUJER"/>
    <n v="675000"/>
    <x v="0"/>
    <x v="1"/>
    <s v="SI"/>
    <s v="NO"/>
    <s v="NO"/>
    <n v="27"/>
    <n v="1.0571896382983452"/>
    <s v="No"/>
    <n v="0.36442149571708499"/>
    <s v="No"/>
    <n v="675000"/>
    <n v="27"/>
    <x v="0"/>
  </r>
  <r>
    <n v="3425"/>
    <s v="HOMBRE"/>
    <n v="27782807"/>
    <x v="0"/>
    <x v="1"/>
    <s v="SI"/>
    <s v="NO"/>
    <s v="NO"/>
    <n v="22"/>
    <n v="1.4100662886840327"/>
    <s v="No"/>
    <n v="8.6671548494515013E-2"/>
    <s v="No"/>
    <n v="27782807"/>
    <n v="22"/>
    <x v="0"/>
  </r>
  <r>
    <n v="3426"/>
    <s v="HOMBRE"/>
    <n v="270000"/>
    <x v="0"/>
    <x v="1"/>
    <s v="SI"/>
    <s v="NO"/>
    <s v="NO"/>
    <n v="58"/>
    <n v="1.1306455940929174"/>
    <s v="No"/>
    <n v="0.37116098161152489"/>
    <s v="No"/>
    <n v="270000"/>
    <n v="58"/>
    <x v="0"/>
  </r>
  <r>
    <n v="3427"/>
    <s v="MUJER"/>
    <n v="514380"/>
    <x v="0"/>
    <x v="0"/>
    <s v="SI"/>
    <s v="NO"/>
    <s v="NO"/>
    <n v="57"/>
    <n v="1.0600702640157798"/>
    <s v="No"/>
    <n v="0.36709432590070212"/>
    <s v="No"/>
    <n v="514380"/>
    <n v="57"/>
    <x v="0"/>
  </r>
  <r>
    <n v="3428"/>
    <s v="HOMBRE"/>
    <n v="99506979"/>
    <x v="0"/>
    <x v="1"/>
    <s v="SI"/>
    <s v="NO"/>
    <s v="NO"/>
    <n v="37"/>
    <n v="0.35143633752697023"/>
    <s v="No"/>
    <n v="1.2802124015423622"/>
    <s v="No"/>
    <n v="99506979"/>
    <n v="37"/>
    <x v="0"/>
  </r>
  <r>
    <n v="3429"/>
    <s v="HOMBRE"/>
    <n v="278500"/>
    <x v="0"/>
    <x v="1"/>
    <s v="SI"/>
    <s v="NO"/>
    <s v="NO"/>
    <n v="43"/>
    <n v="7.2015642935854773E-2"/>
    <s v="No"/>
    <n v="0.37101953561127121"/>
    <s v="No"/>
    <n v="278500"/>
    <n v="43"/>
    <x v="0"/>
  </r>
  <r>
    <n v="3430"/>
    <s v="MUJER"/>
    <n v="368282"/>
    <x v="0"/>
    <x v="1"/>
    <s v="SI"/>
    <s v="NO"/>
    <s v="NO"/>
    <n v="54"/>
    <n v="0.84834427378436728"/>
    <s v="No"/>
    <n v="0.36952549975306231"/>
    <s v="No"/>
    <n v="368282"/>
    <n v="54"/>
    <x v="0"/>
  </r>
  <r>
    <n v="3431"/>
    <s v="MUJER"/>
    <n v="509509"/>
    <x v="3"/>
    <x v="1"/>
    <s v="SI"/>
    <s v="NO"/>
    <s v="SI"/>
    <n v="45"/>
    <n v="0.21316630309012977"/>
    <s v="No"/>
    <n v="0.36717538277920042"/>
    <s v="No"/>
    <n v="509509"/>
    <n v="45"/>
    <x v="3"/>
  </r>
  <r>
    <n v="3432"/>
    <s v="MUJER"/>
    <n v="690000"/>
    <x v="0"/>
    <x v="1"/>
    <s v="SI"/>
    <s v="NO"/>
    <s v="NO"/>
    <n v="40"/>
    <n v="0.13971034729555773"/>
    <s v="No"/>
    <n v="0.36417188512840204"/>
    <s v="No"/>
    <n v="690000"/>
    <n v="40"/>
    <x v="0"/>
  </r>
  <r>
    <n v="3433"/>
    <s v="HOMBRE"/>
    <n v="404463"/>
    <x v="3"/>
    <x v="1"/>
    <s v="SI"/>
    <s v="NO"/>
    <s v="NO"/>
    <n v="50"/>
    <n v="0.56604295347581735"/>
    <s v="No"/>
    <n v="0.36892342237245312"/>
    <s v="No"/>
    <n v="404463"/>
    <n v="50"/>
    <x v="3"/>
  </r>
  <r>
    <n v="3434"/>
    <s v="HOMBRE"/>
    <n v="873081"/>
    <x v="0"/>
    <x v="0"/>
    <s v="SI"/>
    <s v="NO"/>
    <s v="NO"/>
    <n v="36"/>
    <n v="0.42201166760410774"/>
    <s v="No"/>
    <n v="0.36112528804929106"/>
    <s v="No"/>
    <n v="873081"/>
    <n v="36"/>
    <x v="0"/>
  </r>
  <r>
    <n v="3435"/>
    <s v="MUJER"/>
    <n v="298186"/>
    <x v="2"/>
    <x v="1"/>
    <s v="SI"/>
    <s v="NO"/>
    <s v="NO"/>
    <n v="54"/>
    <n v="0.84834427378436728"/>
    <s v="No"/>
    <n v="0.37069194667468369"/>
    <s v="No"/>
    <n v="298186"/>
    <n v="54"/>
    <x v="2"/>
  </r>
  <r>
    <n v="3436"/>
    <s v="MUJER"/>
    <n v="108876367"/>
    <x v="0"/>
    <x v="1"/>
    <s v="SI"/>
    <s v="NO"/>
    <s v="NO"/>
    <n v="36"/>
    <n v="0.42201166760410774"/>
    <s v="No"/>
    <n v="1.4361256318276314"/>
    <s v="No"/>
    <n v="108876367"/>
    <n v="36"/>
    <x v="0"/>
  </r>
  <r>
    <n v="3437"/>
    <s v="HOMBRE"/>
    <n v="300000"/>
    <x v="2"/>
    <x v="1"/>
    <s v="SI"/>
    <s v="SI"/>
    <s v="NO"/>
    <n v="32"/>
    <n v="0.70431298791265773"/>
    <s v="No"/>
    <n v="0.37066176043415894"/>
    <s v="No"/>
    <n v="300000"/>
    <n v="32"/>
    <x v="2"/>
  </r>
  <r>
    <n v="3438"/>
    <s v="HOMBRE"/>
    <n v="93481014"/>
    <x v="0"/>
    <x v="0"/>
    <s v="SI"/>
    <s v="NO"/>
    <s v="NO"/>
    <n v="34"/>
    <n v="0.56316232775838282"/>
    <s v="No"/>
    <n v="1.1799360901401688"/>
    <s v="No"/>
    <n v="93481014"/>
    <n v="34"/>
    <x v="0"/>
  </r>
  <r>
    <n v="3439"/>
    <s v="MUJER"/>
    <n v="278030"/>
    <x v="4"/>
    <x v="1"/>
    <s v="SI"/>
    <s v="SI"/>
    <s v="NO"/>
    <n v="29"/>
    <n v="0.91603897814407031"/>
    <s v="No"/>
    <n v="0.37102735674304993"/>
    <s v="No"/>
    <n v="278030"/>
    <n v="29"/>
    <x v="4"/>
  </r>
  <r>
    <n v="3440"/>
    <s v="MUJER"/>
    <n v="76589337"/>
    <x v="0"/>
    <x v="1"/>
    <s v="SI"/>
    <s v="NO"/>
    <s v="NO"/>
    <n v="24"/>
    <n v="1.2689156285297578"/>
    <s v="No"/>
    <n v="0.89884666081934395"/>
    <s v="No"/>
    <n v="76589337"/>
    <n v="24"/>
    <x v="0"/>
  </r>
  <r>
    <n v="3441"/>
    <s v="HOMBRE"/>
    <n v="42542615"/>
    <x v="0"/>
    <x v="1"/>
    <s v="SI"/>
    <s v="NO"/>
    <s v="NO"/>
    <n v="21"/>
    <n v="1.4806416187611704"/>
    <s v="No"/>
    <n v="0.33228517274301023"/>
    <s v="No"/>
    <n v="42542615"/>
    <n v="21"/>
    <x v="0"/>
  </r>
  <r>
    <n v="3442"/>
    <s v="MUJER"/>
    <n v="655560"/>
    <x v="0"/>
    <x v="0"/>
    <s v="SI"/>
    <s v="NO"/>
    <s v="NO"/>
    <n v="39"/>
    <n v="0.21028567737269524"/>
    <s v="No"/>
    <n v="0.36474499104001812"/>
    <s v="No"/>
    <n v="655560"/>
    <n v="39"/>
    <x v="0"/>
  </r>
  <r>
    <n v="3443"/>
    <s v="HOMBRE"/>
    <n v="106848"/>
    <x v="0"/>
    <x v="1"/>
    <s v="SI"/>
    <s v="SI"/>
    <s v="NO"/>
    <n v="36"/>
    <n v="0.42201166760410774"/>
    <s v="No"/>
    <n v="0.37387594606251168"/>
    <s v="No"/>
    <n v="106848"/>
    <n v="36"/>
    <x v="0"/>
  </r>
  <r>
    <n v="3444"/>
    <s v="HOMBRE"/>
    <n v="149213065"/>
    <x v="0"/>
    <x v="0"/>
    <s v="SI"/>
    <s v="NO"/>
    <s v="NO"/>
    <n v="58"/>
    <n v="1.1306455940929174"/>
    <s v="No"/>
    <n v="2.1073567607147434"/>
    <s v="Sí"/>
    <n v="149213065"/>
    <n v="58"/>
    <x v="0"/>
  </r>
  <r>
    <n v="3445"/>
    <s v="HOMBRE"/>
    <n v="175130"/>
    <x v="0"/>
    <x v="0"/>
    <s v="SI"/>
    <s v="NO"/>
    <s v="NO"/>
    <n v="36"/>
    <n v="0.42201166760410774"/>
    <s v="No"/>
    <n v="0.372739685381415"/>
    <s v="No"/>
    <n v="175130"/>
    <n v="36"/>
    <x v="0"/>
  </r>
  <r>
    <n v="3446"/>
    <s v="MUJER"/>
    <n v="5164528"/>
    <x v="0"/>
    <x v="0"/>
    <s v="SI"/>
    <s v="NO"/>
    <s v="NO"/>
    <n v="30"/>
    <n v="0.84546364806693275"/>
    <s v="No"/>
    <n v="0.28971258058451022"/>
    <s v="No"/>
    <n v="5164528"/>
    <n v="30"/>
    <x v="0"/>
  </r>
  <r>
    <n v="3447"/>
    <s v="HOMBRE"/>
    <n v="1129232383"/>
    <x v="0"/>
    <x v="1"/>
    <s v="SI"/>
    <s v="SI"/>
    <s v="NO"/>
    <n v="55"/>
    <n v="0.91891960386150484"/>
    <s v="No"/>
    <n v="18.415570019824791"/>
    <s v="Sí"/>
    <n v="1129232383"/>
    <n v="55"/>
    <x v="0"/>
  </r>
  <r>
    <n v="3448"/>
    <s v="MUJER"/>
    <n v="815000"/>
    <x v="0"/>
    <x v="0"/>
    <s v="SI"/>
    <s v="NO"/>
    <s v="NO"/>
    <n v="29"/>
    <n v="0.91603897814407031"/>
    <s v="No"/>
    <n v="0.36209179688937743"/>
    <s v="No"/>
    <n v="815000"/>
    <n v="29"/>
    <x v="0"/>
  </r>
  <r>
    <n v="3449"/>
    <s v="MUJER"/>
    <n v="14500333"/>
    <x v="0"/>
    <x v="0"/>
    <s v="SI"/>
    <s v="NO"/>
    <s v="NO"/>
    <n v="32"/>
    <n v="0.70431298791265773"/>
    <s v="No"/>
    <n v="0.13435819512589028"/>
    <s v="No"/>
    <n v="14500333"/>
    <n v="32"/>
    <x v="0"/>
  </r>
  <r>
    <n v="3450"/>
    <s v="HOMBRE"/>
    <n v="4394151"/>
    <x v="0"/>
    <x v="1"/>
    <s v="SI"/>
    <s v="NO"/>
    <s v="NO"/>
    <n v="52"/>
    <n v="0.70719361363009237"/>
    <s v="No"/>
    <n v="0.30253219768303097"/>
    <s v="No"/>
    <n v="4394151"/>
    <n v="52"/>
    <x v="0"/>
  </r>
  <r>
    <n v="3451"/>
    <s v="HOMBRE"/>
    <n v="405063"/>
    <x v="2"/>
    <x v="1"/>
    <s v="SI"/>
    <s v="NO"/>
    <s v="SI"/>
    <n v="63"/>
    <n v="1.4835222444786049"/>
    <s v="No"/>
    <n v="0.3689134379489058"/>
    <s v="No"/>
    <n v="405063"/>
    <n v="63"/>
    <x v="2"/>
  </r>
  <r>
    <n v="3452"/>
    <s v="HOMBRE"/>
    <n v="91428571"/>
    <x v="0"/>
    <x v="1"/>
    <s v="SI"/>
    <s v="NO"/>
    <s v="NO"/>
    <n v="43"/>
    <n v="7.2015642935854773E-2"/>
    <s v="No"/>
    <n v="1.1457819897756212"/>
    <s v="No"/>
    <n v="91428571"/>
    <n v="43"/>
    <x v="0"/>
  </r>
  <r>
    <n v="3453"/>
    <s v="HOMBRE"/>
    <n v="598673"/>
    <x v="3"/>
    <x v="1"/>
    <s v="NO"/>
    <s v="NO"/>
    <s v="SI"/>
    <n v="45"/>
    <n v="0.21316630309012977"/>
    <s v="No"/>
    <n v="0.36569163087724527"/>
    <s v="No"/>
    <n v="598673"/>
    <n v="45"/>
    <x v="3"/>
  </r>
  <r>
    <n v="3454"/>
    <s v="MUJER"/>
    <n v="62203584"/>
    <x v="0"/>
    <x v="0"/>
    <s v="SI"/>
    <s v="NO"/>
    <s v="NO"/>
    <n v="27"/>
    <n v="1.0571896382983452"/>
    <s v="No"/>
    <n v="0.65945757582083564"/>
    <s v="No"/>
    <n v="62203584"/>
    <n v="27"/>
    <x v="0"/>
  </r>
  <r>
    <n v="3455"/>
    <s v="HOMBRE"/>
    <n v="450000"/>
    <x v="0"/>
    <x v="0"/>
    <s v="SI"/>
    <s v="NO"/>
    <s v="NO"/>
    <n v="25"/>
    <n v="1.1983402984526204"/>
    <s v="No"/>
    <n v="0.36816565454732936"/>
    <s v="No"/>
    <n v="450000"/>
    <n v="25"/>
    <x v="0"/>
  </r>
  <r>
    <n v="3456"/>
    <s v="HOMBRE"/>
    <n v="40000"/>
    <x v="0"/>
    <x v="1"/>
    <s v="SI"/>
    <s v="NO"/>
    <s v="NO"/>
    <n v="22"/>
    <n v="1.4100662886840327"/>
    <s v="No"/>
    <n v="0.37498834397133024"/>
    <s v="No"/>
    <n v="40000"/>
    <n v="22"/>
    <x v="0"/>
  </r>
  <r>
    <n v="3457"/>
    <s v="MUJER"/>
    <n v="92532723"/>
    <x v="1"/>
    <x v="0"/>
    <s v="SI"/>
    <s v="NO"/>
    <s v="NO"/>
    <n v="86"/>
    <n v="3.1067548362527675"/>
    <s v="Sí"/>
    <n v="1.1641558584899856"/>
    <s v="No"/>
    <n v="92532723"/>
    <n v="86"/>
    <x v="1"/>
  </r>
  <r>
    <n v="3458"/>
    <s v="MUJER"/>
    <n v="647099"/>
    <x v="0"/>
    <x v="0"/>
    <s v="SI"/>
    <s v="NO"/>
    <s v="NO"/>
    <n v="35"/>
    <n v="0.49258699768124525"/>
    <s v="No"/>
    <n v="0.36488578805274124"/>
    <s v="No"/>
    <n v="647099"/>
    <n v="35"/>
    <x v="0"/>
  </r>
  <r>
    <n v="3459"/>
    <s v="HOMBRE"/>
    <n v="762280"/>
    <x v="0"/>
    <x v="1"/>
    <s v="SI"/>
    <s v="NO"/>
    <s v="NO"/>
    <n v="39"/>
    <n v="0.21028567737269524"/>
    <s v="No"/>
    <n v="0.36296909490506846"/>
    <s v="No"/>
    <n v="762280"/>
    <n v="39"/>
    <x v="0"/>
  </r>
  <r>
    <n v="3460"/>
    <s v="HOMBRE"/>
    <n v="2000000"/>
    <x v="0"/>
    <x v="1"/>
    <s v="SI"/>
    <s v="NO"/>
    <s v="NO"/>
    <n v="32"/>
    <n v="0.70431298791265773"/>
    <s v="No"/>
    <n v="0.34237256038342373"/>
    <s v="No"/>
    <n v="2000000"/>
    <n v="32"/>
    <x v="0"/>
  </r>
  <r>
    <n v="3461"/>
    <s v="HOMBRE"/>
    <n v="1200000"/>
    <x v="0"/>
    <x v="1"/>
    <s v="SI"/>
    <s v="NO"/>
    <s v="NO"/>
    <n v="30"/>
    <n v="0.84546364806693275"/>
    <s v="No"/>
    <n v="0.35568512511318151"/>
    <s v="No"/>
    <n v="1200000"/>
    <n v="30"/>
    <x v="0"/>
  </r>
  <r>
    <n v="3462"/>
    <s v="MUJER"/>
    <n v="299647"/>
    <x v="2"/>
    <x v="1"/>
    <s v="SI"/>
    <s v="NO"/>
    <s v="NO"/>
    <n v="55"/>
    <n v="0.91891960386150484"/>
    <s v="No"/>
    <n v="0.37066763460334595"/>
    <s v="No"/>
    <n v="299647"/>
    <n v="55"/>
    <x v="2"/>
  </r>
  <r>
    <n v="3463"/>
    <s v="HOMBRE"/>
    <n v="1195224"/>
    <x v="0"/>
    <x v="1"/>
    <s v="SI"/>
    <s v="NO"/>
    <s v="NO"/>
    <n v="28"/>
    <n v="0.98661430822120777"/>
    <s v="No"/>
    <n v="0.35576460112461816"/>
    <s v="No"/>
    <n v="1195224"/>
    <n v="28"/>
    <x v="0"/>
  </r>
  <r>
    <n v="3464"/>
    <s v="HOMBRE"/>
    <n v="426890523"/>
    <x v="0"/>
    <x v="1"/>
    <s v="SI"/>
    <s v="NO"/>
    <s v="NO"/>
    <n v="61"/>
    <n v="1.3423715843243298"/>
    <s v="No"/>
    <n v="6.7281056777392267"/>
    <s v="Sí"/>
    <n v="426890523"/>
    <n v="61"/>
    <x v="0"/>
  </r>
  <r>
    <n v="3465"/>
    <s v="HOMBRE"/>
    <n v="6779454"/>
    <x v="0"/>
    <x v="1"/>
    <s v="SI"/>
    <s v="NO"/>
    <s v="NO"/>
    <n v="61"/>
    <n v="1.3423715843243298"/>
    <s v="No"/>
    <n v="0.26283907194854933"/>
    <s v="No"/>
    <n v="6779454"/>
    <n v="61"/>
    <x v="0"/>
  </r>
  <r>
    <n v="3466"/>
    <s v="HOMBRE"/>
    <n v="434729"/>
    <x v="0"/>
    <x v="1"/>
    <s v="SI"/>
    <s v="NO"/>
    <s v="NO"/>
    <n v="40"/>
    <n v="0.13971034729555773"/>
    <s v="No"/>
    <n v="0.36841977476731452"/>
    <s v="No"/>
    <n v="434729"/>
    <n v="40"/>
    <x v="0"/>
  </r>
  <r>
    <n v="3467"/>
    <s v="MUJER"/>
    <n v="81796342"/>
    <x v="0"/>
    <x v="0"/>
    <s v="SI"/>
    <s v="NO"/>
    <s v="NO"/>
    <n v="52"/>
    <n v="0.70719361363009237"/>
    <s v="No"/>
    <n v="0.98549489970768422"/>
    <s v="No"/>
    <n v="81796342"/>
    <n v="52"/>
    <x v="0"/>
  </r>
  <r>
    <n v="3468"/>
    <s v="MUJER"/>
    <n v="278030"/>
    <x v="2"/>
    <x v="1"/>
    <s v="SI"/>
    <s v="NO"/>
    <s v="NO"/>
    <n v="55"/>
    <n v="0.91891960386150484"/>
    <s v="No"/>
    <n v="0.37102735674304993"/>
    <s v="No"/>
    <n v="278030"/>
    <n v="55"/>
    <x v="2"/>
  </r>
  <r>
    <n v="3469"/>
    <s v="MUJER"/>
    <n v="400000"/>
    <x v="0"/>
    <x v="1"/>
    <s v="SI"/>
    <s v="NO"/>
    <s v="NO"/>
    <n v="40"/>
    <n v="0.13971034729555773"/>
    <s v="No"/>
    <n v="0.36899768984293924"/>
    <s v="No"/>
    <n v="400000"/>
    <n v="40"/>
    <x v="0"/>
  </r>
  <r>
    <n v="3470"/>
    <s v="HOMBRE"/>
    <n v="324880"/>
    <x v="0"/>
    <x v="1"/>
    <s v="SI"/>
    <s v="NO"/>
    <s v="NO"/>
    <n v="37"/>
    <n v="0.35143633752697023"/>
    <s v="No"/>
    <n v="0.3702477396710635"/>
    <s v="No"/>
    <n v="324880"/>
    <n v="37"/>
    <x v="0"/>
  </r>
  <r>
    <n v="3471"/>
    <s v="HOMBRE"/>
    <n v="42707054"/>
    <x v="0"/>
    <x v="1"/>
    <s v="SI"/>
    <s v="SI"/>
    <s v="NO"/>
    <n v="61"/>
    <n v="1.3423715843243298"/>
    <s v="No"/>
    <n v="0.33502155378250598"/>
    <s v="No"/>
    <n v="42707054"/>
    <n v="61"/>
    <x v="0"/>
  </r>
  <r>
    <n v="3472"/>
    <s v="HOMBRE"/>
    <n v="300018"/>
    <x v="3"/>
    <x v="1"/>
    <s v="SI"/>
    <s v="NO"/>
    <s v="SI"/>
    <n v="47"/>
    <n v="0.35431696324440481"/>
    <s v="No"/>
    <n v="0.37066146090145252"/>
    <s v="No"/>
    <n v="300018"/>
    <n v="47"/>
    <x v="3"/>
  </r>
  <r>
    <n v="3473"/>
    <s v="HOMBRE"/>
    <n v="285000"/>
    <x v="0"/>
    <x v="1"/>
    <s v="SI"/>
    <s v="SI"/>
    <s v="NO"/>
    <n v="29"/>
    <n v="0.91603897814407031"/>
    <s v="No"/>
    <n v="0.37091137102284188"/>
    <s v="No"/>
    <n v="285000"/>
    <n v="29"/>
    <x v="0"/>
  </r>
  <r>
    <n v="3474"/>
    <s v="HOMBRE"/>
    <n v="383254"/>
    <x v="3"/>
    <x v="1"/>
    <s v="SI"/>
    <s v="NO"/>
    <s v="NO"/>
    <n v="45"/>
    <n v="0.21316630309012977"/>
    <s v="No"/>
    <n v="0.36927635510414492"/>
    <s v="No"/>
    <n v="383254"/>
    <n v="45"/>
    <x v="3"/>
  </r>
  <r>
    <n v="3475"/>
    <s v="HOMBRE"/>
    <n v="299647"/>
    <x v="2"/>
    <x v="1"/>
    <s v="SI"/>
    <s v="NO"/>
    <s v="NO"/>
    <n v="82"/>
    <n v="2.8244535159442172"/>
    <s v="Sí"/>
    <n v="0.37066763460334595"/>
    <s v="No"/>
    <n v="299647"/>
    <n v="82"/>
    <x v="2"/>
  </r>
  <r>
    <n v="3476"/>
    <s v="MUJER"/>
    <n v="38824395"/>
    <x v="0"/>
    <x v="1"/>
    <s v="SI"/>
    <s v="NO"/>
    <s v="NO"/>
    <n v="27"/>
    <n v="1.0571896382983452"/>
    <s v="No"/>
    <n v="0.27041136720616044"/>
    <s v="No"/>
    <n v="38824395"/>
    <n v="27"/>
    <x v="0"/>
  </r>
  <r>
    <n v="3477"/>
    <s v="HOMBRE"/>
    <n v="40316444"/>
    <x v="0"/>
    <x v="1"/>
    <s v="SI"/>
    <s v="NO"/>
    <s v="NO"/>
    <n v="62"/>
    <n v="1.4129469144014672"/>
    <s v="No"/>
    <n v="0.29524011582174831"/>
    <s v="No"/>
    <n v="40316444"/>
    <n v="62"/>
    <x v="0"/>
  </r>
  <r>
    <n v="3478"/>
    <s v="HOMBRE"/>
    <n v="14173194"/>
    <x v="1"/>
    <x v="0"/>
    <s v="SI"/>
    <s v="NO"/>
    <s v="NO"/>
    <n v="73"/>
    <n v="2.1892755452499797"/>
    <s v="Sí"/>
    <n v="0.13980201901730055"/>
    <s v="No"/>
    <n v="14173194"/>
    <n v="73"/>
    <x v="1"/>
  </r>
  <r>
    <n v="3479"/>
    <s v="HOMBRE"/>
    <n v="29520685"/>
    <x v="0"/>
    <x v="1"/>
    <s v="SI"/>
    <s v="NO"/>
    <s v="NO"/>
    <n v="22"/>
    <n v="1.4100662886840327"/>
    <s v="No"/>
    <n v="0.11559106520379242"/>
    <s v="No"/>
    <n v="29520685"/>
    <n v="22"/>
    <x v="0"/>
  </r>
  <r>
    <n v="3480"/>
    <s v="HOMBRE"/>
    <n v="1006500"/>
    <x v="0"/>
    <x v="1"/>
    <s v="SI"/>
    <s v="NO"/>
    <s v="NO"/>
    <n v="25"/>
    <n v="1.1983402984526204"/>
    <s v="No"/>
    <n v="0.35890510170719164"/>
    <s v="No"/>
    <n v="1006500"/>
    <n v="25"/>
    <x v="0"/>
  </r>
  <r>
    <n v="3481"/>
    <s v="MUJER"/>
    <n v="1314729"/>
    <x v="0"/>
    <x v="0"/>
    <s v="SI"/>
    <s v="NO"/>
    <s v="NO"/>
    <n v="35"/>
    <n v="0.49258699768124525"/>
    <s v="No"/>
    <n v="0.35377595356458102"/>
    <s v="No"/>
    <n v="1314729"/>
    <n v="35"/>
    <x v="0"/>
  </r>
  <r>
    <n v="3482"/>
    <s v="MUJER"/>
    <n v="568820"/>
    <x v="0"/>
    <x v="1"/>
    <s v="SI"/>
    <s v="NO"/>
    <s v="NO"/>
    <n v="28"/>
    <n v="0.98661430822120777"/>
    <s v="No"/>
    <n v="0.36618840587084212"/>
    <s v="No"/>
    <n v="568820"/>
    <n v="28"/>
    <x v="0"/>
  </r>
  <r>
    <n v="3483"/>
    <s v="HOMBRE"/>
    <n v="63720"/>
    <x v="0"/>
    <x v="1"/>
    <s v="SI"/>
    <s v="SI"/>
    <s v="SI"/>
    <n v="22"/>
    <n v="1.4100662886840327"/>
    <s v="No"/>
    <n v="0.37459362642709287"/>
    <s v="No"/>
    <n v="63720"/>
    <n v="22"/>
    <x v="0"/>
  </r>
  <r>
    <n v="3484"/>
    <s v="HOMBRE"/>
    <n v="684986"/>
    <x v="0"/>
    <x v="1"/>
    <s v="SI"/>
    <s v="NO"/>
    <s v="NO"/>
    <n v="44"/>
    <n v="0.14259097301299228"/>
    <s v="No"/>
    <n v="0.3642553216278458"/>
    <s v="No"/>
    <n v="684986"/>
    <n v="44"/>
    <x v="0"/>
  </r>
  <r>
    <n v="3485"/>
    <s v="HOMBRE"/>
    <n v="246000"/>
    <x v="0"/>
    <x v="1"/>
    <s v="SI"/>
    <s v="NO"/>
    <s v="NO"/>
    <n v="38"/>
    <n v="0.28086100744983278"/>
    <s v="No"/>
    <n v="0.37156035855341762"/>
    <s v="No"/>
    <n v="246000"/>
    <n v="38"/>
    <x v="0"/>
  </r>
  <r>
    <n v="3486"/>
    <s v="HOMBRE"/>
    <n v="337480"/>
    <x v="3"/>
    <x v="1"/>
    <s v="SI"/>
    <s v="NO"/>
    <s v="NO"/>
    <n v="29"/>
    <n v="0.91603897814407031"/>
    <s v="No"/>
    <n v="0.37003806677656981"/>
    <s v="No"/>
    <n v="337480"/>
    <n v="29"/>
    <x v="3"/>
  </r>
  <r>
    <n v="3487"/>
    <s v="HOMBRE"/>
    <n v="485860"/>
    <x v="3"/>
    <x v="1"/>
    <s v="SI"/>
    <s v="NO"/>
    <s v="NO"/>
    <n v="42"/>
    <n v="1.4403128587172659E-3"/>
    <s v="No"/>
    <n v="0.36756891883331799"/>
    <s v="No"/>
    <n v="485860"/>
    <n v="42"/>
    <x v="3"/>
  </r>
  <r>
    <n v="3488"/>
    <s v="MUJER"/>
    <n v="889137"/>
    <x v="0"/>
    <x v="0"/>
    <s v="SI"/>
    <s v="NO"/>
    <s v="SI"/>
    <n v="40"/>
    <n v="0.13971034729555773"/>
    <s v="No"/>
    <n v="0.36085810487516484"/>
    <s v="No"/>
    <n v="889137"/>
    <n v="40"/>
    <x v="0"/>
  </r>
  <r>
    <n v="3489"/>
    <s v="HOMBRE"/>
    <n v="324000"/>
    <x v="0"/>
    <x v="1"/>
    <s v="SI"/>
    <s v="NO"/>
    <s v="SI"/>
    <n v="55"/>
    <n v="0.91891960386150484"/>
    <s v="No"/>
    <n v="0.3702623834922662"/>
    <s v="No"/>
    <n v="324000"/>
    <n v="55"/>
    <x v="0"/>
  </r>
  <r>
    <n v="3490"/>
    <s v="MUJER"/>
    <n v="716100"/>
    <x v="0"/>
    <x v="0"/>
    <s v="SI"/>
    <s v="NO"/>
    <s v="SI"/>
    <n v="29"/>
    <n v="0.91603897814407031"/>
    <s v="No"/>
    <n v="0.36373756270409369"/>
    <s v="No"/>
    <n v="716100"/>
    <n v="29"/>
    <x v="0"/>
  </r>
  <r>
    <n v="3491"/>
    <s v="HOMBRE"/>
    <n v="100000"/>
    <x v="0"/>
    <x v="1"/>
    <s v="SI"/>
    <s v="NO"/>
    <s v="SI"/>
    <n v="52"/>
    <n v="0.70719361363009237"/>
    <s v="No"/>
    <n v="0.3739899016165984"/>
    <s v="No"/>
    <n v="100000"/>
    <n v="52"/>
    <x v="0"/>
  </r>
  <r>
    <n v="3492"/>
    <s v="MUJER"/>
    <n v="55023451"/>
    <x v="0"/>
    <x v="1"/>
    <s v="SI"/>
    <s v="NO"/>
    <s v="NO"/>
    <n v="41"/>
    <n v="6.9135017218420233E-2"/>
    <s v="No"/>
    <n v="0.53997509415737355"/>
    <s v="No"/>
    <n v="55023451"/>
    <n v="41"/>
    <x v="0"/>
  </r>
  <r>
    <n v="3493"/>
    <s v="HOMBRE"/>
    <n v="297046"/>
    <x v="2"/>
    <x v="1"/>
    <s v="SI"/>
    <s v="NO"/>
    <s v="NO"/>
    <n v="61"/>
    <n v="1.3423715843243298"/>
    <s v="No"/>
    <n v="0.37071091707942361"/>
    <s v="No"/>
    <n v="297046"/>
    <n v="61"/>
    <x v="2"/>
  </r>
  <r>
    <n v="3494"/>
    <s v="MUJER"/>
    <n v="600000"/>
    <x v="0"/>
    <x v="1"/>
    <s v="SI"/>
    <s v="NO"/>
    <s v="NO"/>
    <n v="36"/>
    <n v="0.42201166760410774"/>
    <s v="No"/>
    <n v="0.36566954866049978"/>
    <s v="No"/>
    <n v="600000"/>
    <n v="36"/>
    <x v="0"/>
  </r>
  <r>
    <n v="3495"/>
    <s v="MUJER"/>
    <n v="51278328"/>
    <x v="0"/>
    <x v="1"/>
    <s v="SI"/>
    <s v="NO"/>
    <s v="NO"/>
    <n v="26"/>
    <n v="1.1277649683754829"/>
    <s v="No"/>
    <n v="0.47765360370936794"/>
    <s v="No"/>
    <n v="51278328"/>
    <n v="26"/>
    <x v="0"/>
  </r>
  <r>
    <n v="3496"/>
    <s v="HOMBRE"/>
    <n v="84000"/>
    <x v="0"/>
    <x v="1"/>
    <s v="SI"/>
    <s v="NO"/>
    <s v="NO"/>
    <n v="56"/>
    <n v="0.9894949339386423"/>
    <s v="No"/>
    <n v="0.37425615291119352"/>
    <s v="No"/>
    <n v="84000"/>
    <n v="56"/>
    <x v="0"/>
  </r>
  <r>
    <n v="3497"/>
    <s v="MUJER"/>
    <n v="6892185"/>
    <x v="0"/>
    <x v="0"/>
    <s v="SI"/>
    <s v="NO"/>
    <s v="NO"/>
    <n v="37"/>
    <n v="0.35143633752697023"/>
    <s v="No"/>
    <n v="0.2609631485303614"/>
    <s v="No"/>
    <n v="6892185"/>
    <n v="37"/>
    <x v="0"/>
  </r>
  <r>
    <n v="3498"/>
    <s v="MUJER"/>
    <n v="3846584"/>
    <x v="0"/>
    <x v="1"/>
    <s v="SI"/>
    <s v="NO"/>
    <s v="NO"/>
    <n v="43"/>
    <n v="7.2015642935854773E-2"/>
    <s v="No"/>
    <n v="0.31164409909725505"/>
    <s v="No"/>
    <n v="3846584"/>
    <n v="43"/>
    <x v="0"/>
  </r>
  <r>
    <n v="3499"/>
    <s v="HOMBRE"/>
    <n v="140000"/>
    <x v="0"/>
    <x v="1"/>
    <s v="SI"/>
    <s v="SI"/>
    <s v="NO"/>
    <n v="57"/>
    <n v="1.0600702640157798"/>
    <s v="No"/>
    <n v="0.37332427338011048"/>
    <s v="No"/>
    <n v="140000"/>
    <n v="57"/>
    <x v="0"/>
  </r>
  <r>
    <n v="3500"/>
    <s v="HOMBRE"/>
    <n v="297046"/>
    <x v="3"/>
    <x v="1"/>
    <s v="SI"/>
    <s v="NO"/>
    <s v="SI"/>
    <n v="61"/>
    <n v="1.3423715843243298"/>
    <s v="No"/>
    <n v="0.37071091707942361"/>
    <s v="No"/>
    <n v="297046"/>
    <n v="61"/>
    <x v="3"/>
  </r>
  <r>
    <n v="3501"/>
    <s v="MUJER"/>
    <n v="27775392"/>
    <x v="0"/>
    <x v="1"/>
    <s v="SI"/>
    <s v="NO"/>
    <s v="NO"/>
    <n v="20"/>
    <n v="1.5512169488383079"/>
    <s v="No"/>
    <n v="8.6548157660176067E-2"/>
    <s v="No"/>
    <n v="27775392"/>
    <n v="20"/>
    <x v="0"/>
  </r>
  <r>
    <n v="3502"/>
    <s v="MUJER"/>
    <n v="278030"/>
    <x v="4"/>
    <x v="1"/>
    <s v="SI"/>
    <s v="NO"/>
    <s v="NO"/>
    <n v="54"/>
    <n v="0.84834427378436728"/>
    <s v="No"/>
    <n v="0.37102735674304993"/>
    <s v="No"/>
    <n v="278030"/>
    <n v="54"/>
    <x v="4"/>
  </r>
  <r>
    <n v="3503"/>
    <s v="HOMBRE"/>
    <n v="742483"/>
    <x v="3"/>
    <x v="1"/>
    <s v="SI"/>
    <s v="NO"/>
    <s v="SI"/>
    <n v="70"/>
    <n v="1.9775495550185673"/>
    <s v="Sí"/>
    <n v="0.36329853096001219"/>
    <s v="No"/>
    <n v="742483"/>
    <n v="70"/>
    <x v="3"/>
  </r>
  <r>
    <n v="3504"/>
    <s v="HOMBRE"/>
    <n v="460800"/>
    <x v="0"/>
    <x v="0"/>
    <s v="SI"/>
    <s v="NO"/>
    <s v="NO"/>
    <n v="60"/>
    <n v="1.2717962542471923"/>
    <s v="No"/>
    <n v="0.36798593492347764"/>
    <s v="No"/>
    <n v="460800"/>
    <n v="60"/>
    <x v="0"/>
  </r>
  <r>
    <n v="3505"/>
    <s v="HOMBRE"/>
    <n v="35040266"/>
    <x v="0"/>
    <x v="1"/>
    <s v="SI"/>
    <s v="NO"/>
    <s v="NO"/>
    <n v="22"/>
    <n v="1.4100662886840327"/>
    <s v="No"/>
    <n v="0.20744078938334362"/>
    <s v="No"/>
    <n v="35040266"/>
    <n v="22"/>
    <x v="0"/>
  </r>
  <r>
    <n v="3506"/>
    <s v="HOMBRE"/>
    <n v="91511976"/>
    <x v="0"/>
    <x v="1"/>
    <s v="SI"/>
    <s v="NO"/>
    <s v="NO"/>
    <n v="37"/>
    <n v="0.35143633752697023"/>
    <s v="No"/>
    <n v="1.1471699078522279"/>
    <s v="No"/>
    <n v="91511976"/>
    <n v="37"/>
    <x v="0"/>
  </r>
  <r>
    <n v="3507"/>
    <s v="MUJER"/>
    <n v="15524292"/>
    <x v="0"/>
    <x v="1"/>
    <s v="SI"/>
    <s v="NO"/>
    <s v="NO"/>
    <n v="24"/>
    <n v="1.2689156285297578"/>
    <s v="No"/>
    <n v="0.11731879454074276"/>
    <s v="No"/>
    <n v="15524292"/>
    <n v="24"/>
    <x v="0"/>
  </r>
  <r>
    <n v="3508"/>
    <s v="MUJER"/>
    <n v="358973"/>
    <x v="0"/>
    <x v="1"/>
    <s v="SI"/>
    <s v="NO"/>
    <s v="NO"/>
    <n v="24"/>
    <n v="1.2689156285297578"/>
    <s v="No"/>
    <n v="0.36968040808439895"/>
    <s v="No"/>
    <n v="358973"/>
    <n v="24"/>
    <x v="0"/>
  </r>
  <r>
    <n v="3509"/>
    <s v="HOMBRE"/>
    <n v="15000"/>
    <x v="0"/>
    <x v="1"/>
    <s v="SI"/>
    <s v="NO"/>
    <s v="NO"/>
    <n v="42"/>
    <n v="1.4403128587172659E-3"/>
    <s v="No"/>
    <n v="0.37540436161913515"/>
    <s v="No"/>
    <n v="15000"/>
    <n v="42"/>
    <x v="0"/>
  </r>
  <r>
    <n v="3510"/>
    <s v="HOMBRE"/>
    <n v="40361234"/>
    <x v="0"/>
    <x v="1"/>
    <s v="SI"/>
    <s v="NO"/>
    <s v="NO"/>
    <n v="37"/>
    <n v="0.35143633752697023"/>
    <s v="No"/>
    <n v="0.29598545303955559"/>
    <s v="No"/>
    <n v="40361234"/>
    <n v="37"/>
    <x v="0"/>
  </r>
  <r>
    <n v="3511"/>
    <s v="MUJER"/>
    <n v="7021456"/>
    <x v="0"/>
    <x v="0"/>
    <s v="SI"/>
    <s v="NO"/>
    <s v="NO"/>
    <n v="35"/>
    <n v="0.49258699768124525"/>
    <s v="No"/>
    <n v="0.25881198783638576"/>
    <s v="No"/>
    <n v="7021456"/>
    <n v="35"/>
    <x v="0"/>
  </r>
  <r>
    <n v="3512"/>
    <s v="HOMBRE"/>
    <n v="54098297"/>
    <x v="0"/>
    <x v="0"/>
    <s v="SI"/>
    <s v="NO"/>
    <s v="NO"/>
    <n v="29"/>
    <n v="0.91603897814407031"/>
    <s v="No"/>
    <n v="0.52457987851988075"/>
    <s v="No"/>
    <n v="54098297"/>
    <n v="29"/>
    <x v="0"/>
  </r>
  <r>
    <n v="3513"/>
    <s v="HOMBRE"/>
    <n v="39994597"/>
    <x v="1"/>
    <x v="0"/>
    <s v="SI"/>
    <s v="NO"/>
    <s v="NO"/>
    <n v="92"/>
    <n v="3.5302068167155927"/>
    <s v="Sí"/>
    <n v="0.2898843545460254"/>
    <s v="No"/>
    <n v="39994597"/>
    <n v="92"/>
    <x v="1"/>
  </r>
  <r>
    <n v="3514"/>
    <s v="HOMBRE"/>
    <n v="470000"/>
    <x v="0"/>
    <x v="1"/>
    <s v="SI"/>
    <s v="NO"/>
    <s v="NO"/>
    <n v="39"/>
    <n v="0.21028567737269524"/>
    <s v="No"/>
    <n v="0.36783284042908543"/>
    <s v="No"/>
    <n v="470000"/>
    <n v="39"/>
    <x v="0"/>
  </r>
  <r>
    <n v="3515"/>
    <s v="HOMBRE"/>
    <n v="514062"/>
    <x v="3"/>
    <x v="1"/>
    <s v="SI"/>
    <s v="NO"/>
    <s v="SI"/>
    <n v="62"/>
    <n v="1.4129469144014672"/>
    <s v="No"/>
    <n v="0.36709961764518217"/>
    <s v="No"/>
    <n v="514062"/>
    <n v="62"/>
    <x v="3"/>
  </r>
  <r>
    <n v="3516"/>
    <s v="MUJER"/>
    <n v="278030"/>
    <x v="4"/>
    <x v="1"/>
    <s v="SI"/>
    <s v="NO"/>
    <s v="NO"/>
    <n v="69"/>
    <n v="1.9069742249414299"/>
    <s v="No"/>
    <n v="0.37102735674304993"/>
    <s v="No"/>
    <n v="278030"/>
    <n v="69"/>
    <x v="4"/>
  </r>
  <r>
    <n v="3517"/>
    <s v="MUJER"/>
    <n v="331181"/>
    <x v="3"/>
    <x v="1"/>
    <s v="SI"/>
    <s v="NO"/>
    <s v="NO"/>
    <n v="59"/>
    <n v="1.2012209241700549"/>
    <s v="No"/>
    <n v="0.37014288658311073"/>
    <s v="No"/>
    <n v="331181"/>
    <n v="59"/>
    <x v="3"/>
  </r>
  <r>
    <n v="3518"/>
    <s v="HOMBRE"/>
    <n v="1516000"/>
    <x v="0"/>
    <x v="1"/>
    <s v="SI"/>
    <s v="NO"/>
    <s v="NO"/>
    <n v="32"/>
    <n v="0.70431298791265773"/>
    <s v="No"/>
    <n v="0.35042666204492717"/>
    <s v="No"/>
    <n v="1516000"/>
    <n v="32"/>
    <x v="0"/>
  </r>
  <r>
    <n v="3519"/>
    <s v="MUJER"/>
    <n v="298821"/>
    <x v="2"/>
    <x v="1"/>
    <s v="SI"/>
    <s v="NO"/>
    <s v="NO"/>
    <n v="47"/>
    <n v="0.35431696324440481"/>
    <s v="No"/>
    <n v="0.37068137982642946"/>
    <s v="No"/>
    <n v="298821"/>
    <n v="47"/>
    <x v="2"/>
  </r>
  <r>
    <n v="3520"/>
    <s v="HOMBRE"/>
    <n v="550000"/>
    <x v="0"/>
    <x v="1"/>
    <s v="SI"/>
    <s v="SI"/>
    <s v="NO"/>
    <n v="31"/>
    <n v="0.77488831798979529"/>
    <s v="No"/>
    <n v="0.36650158395610966"/>
    <s v="No"/>
    <n v="550000"/>
    <n v="31"/>
    <x v="0"/>
  </r>
  <r>
    <n v="3521"/>
    <s v="MUJER"/>
    <n v="1941122"/>
    <x v="0"/>
    <x v="1"/>
    <s v="SI"/>
    <s v="NO"/>
    <s v="NO"/>
    <n v="35"/>
    <n v="0.49258699768124525"/>
    <s v="No"/>
    <n v="0.34335233186612207"/>
    <s v="No"/>
    <n v="1941122"/>
    <n v="35"/>
    <x v="0"/>
  </r>
  <r>
    <n v="3522"/>
    <s v="HOMBRE"/>
    <n v="520421"/>
    <x v="3"/>
    <x v="1"/>
    <s v="SI"/>
    <s v="NO"/>
    <s v="SI"/>
    <n v="58"/>
    <n v="1.1306455940929174"/>
    <s v="No"/>
    <n v="0.36699379939628651"/>
    <s v="No"/>
    <n v="520421"/>
    <n v="58"/>
    <x v="3"/>
  </r>
  <r>
    <n v="3523"/>
    <s v="MUJER"/>
    <n v="26631205"/>
    <x v="0"/>
    <x v="1"/>
    <s v="SI"/>
    <s v="NO"/>
    <s v="NO"/>
    <n v="21"/>
    <n v="1.4806416187611704"/>
    <s v="No"/>
    <n v="6.7508078284616926E-2"/>
    <s v="No"/>
    <n v="26631205"/>
    <n v="21"/>
    <x v="0"/>
  </r>
  <r>
    <n v="3524"/>
    <s v="HOMBRE"/>
    <n v="2743997"/>
    <x v="0"/>
    <x v="1"/>
    <s v="SI"/>
    <s v="NO"/>
    <s v="NO"/>
    <n v="45"/>
    <n v="0.21316630309012977"/>
    <s v="No"/>
    <n v="0.32999192510686681"/>
    <s v="No"/>
    <n v="2743997"/>
    <n v="45"/>
    <x v="0"/>
  </r>
  <r>
    <n v="3525"/>
    <s v="MUJER"/>
    <n v="112573483"/>
    <x v="0"/>
    <x v="0"/>
    <s v="SI"/>
    <s v="NO"/>
    <s v="NO"/>
    <n v="47"/>
    <n v="0.35431696324440481"/>
    <s v="No"/>
    <n v="1.4976482519069101"/>
    <s v="No"/>
    <n v="112573483"/>
    <n v="47"/>
    <x v="0"/>
  </r>
  <r>
    <n v="3526"/>
    <s v="HOMBRE"/>
    <n v="298270"/>
    <x v="0"/>
    <x v="1"/>
    <s v="SI"/>
    <s v="NO"/>
    <s v="NO"/>
    <n v="25"/>
    <n v="1.1983402984526204"/>
    <s v="No"/>
    <n v="0.37069054885538705"/>
    <s v="No"/>
    <n v="298270"/>
    <n v="25"/>
    <x v="0"/>
  </r>
  <r>
    <n v="3527"/>
    <s v="HOMBRE"/>
    <n v="266400"/>
    <x v="0"/>
    <x v="1"/>
    <s v="SI"/>
    <s v="NO"/>
    <s v="SI"/>
    <n v="36"/>
    <n v="0.42201166760410774"/>
    <s v="No"/>
    <n v="0.37122088815280879"/>
    <s v="No"/>
    <n v="266400"/>
    <n v="36"/>
    <x v="0"/>
  </r>
  <r>
    <n v="3528"/>
    <s v="HOMBRE"/>
    <n v="297046"/>
    <x v="3"/>
    <x v="1"/>
    <s v="SI"/>
    <s v="NO"/>
    <s v="NO"/>
    <n v="57"/>
    <n v="1.0600702640157798"/>
    <s v="No"/>
    <n v="0.37071091707942361"/>
    <s v="No"/>
    <n v="297046"/>
    <n v="57"/>
    <x v="3"/>
  </r>
  <r>
    <n v="3529"/>
    <s v="HOMBRE"/>
    <n v="103000"/>
    <x v="0"/>
    <x v="1"/>
    <s v="SI"/>
    <s v="SI"/>
    <s v="SI"/>
    <n v="37"/>
    <n v="0.35143633752697023"/>
    <s v="No"/>
    <n v="0.37393997949886182"/>
    <s v="No"/>
    <n v="103000"/>
    <n v="37"/>
    <x v="0"/>
  </r>
  <r>
    <n v="3530"/>
    <s v="HOMBRE"/>
    <n v="746762"/>
    <x v="0"/>
    <x v="0"/>
    <s v="SI"/>
    <s v="NO"/>
    <s v="NO"/>
    <n v="33"/>
    <n v="0.63373765783552027"/>
    <s v="No"/>
    <n v="0.36322732537941393"/>
    <s v="No"/>
    <n v="746762"/>
    <n v="33"/>
    <x v="0"/>
  </r>
  <r>
    <n v="3531"/>
    <s v="HOMBRE"/>
    <n v="312000"/>
    <x v="0"/>
    <x v="1"/>
    <s v="SI"/>
    <s v="NO"/>
    <s v="SI"/>
    <n v="39"/>
    <n v="0.21028567737269524"/>
    <s v="No"/>
    <n v="0.37046207196321257"/>
    <s v="No"/>
    <n v="312000"/>
    <n v="39"/>
    <x v="0"/>
  </r>
  <r>
    <n v="3532"/>
    <s v="MUJER"/>
    <n v="302470"/>
    <x v="2"/>
    <x v="1"/>
    <s v="SI"/>
    <s v="SI"/>
    <s v="NO"/>
    <n v="28"/>
    <n v="0.98661430822120777"/>
    <s v="No"/>
    <n v="0.37062065789055582"/>
    <s v="No"/>
    <n v="302470"/>
    <n v="28"/>
    <x v="2"/>
  </r>
  <r>
    <n v="3533"/>
    <s v="HOMBRE"/>
    <n v="24281162"/>
    <x v="1"/>
    <x v="0"/>
    <s v="SI"/>
    <s v="NO"/>
    <s v="NO"/>
    <n v="67"/>
    <n v="1.765823564787155"/>
    <s v="No"/>
    <n v="2.840170384059933E-2"/>
    <s v="No"/>
    <n v="24281162"/>
    <n v="67"/>
    <x v="1"/>
  </r>
  <r>
    <n v="3534"/>
    <s v="MUJER"/>
    <n v="510544"/>
    <x v="0"/>
    <x v="1"/>
    <s v="SI"/>
    <s v="NO"/>
    <s v="NO"/>
    <n v="39"/>
    <n v="0.21028567737269524"/>
    <s v="No"/>
    <n v="0.36715815964858128"/>
    <s v="No"/>
    <n v="510544"/>
    <n v="39"/>
    <x v="0"/>
  </r>
  <r>
    <n v="3535"/>
    <s v="HOMBRE"/>
    <n v="639148"/>
    <x v="3"/>
    <x v="1"/>
    <s v="SI"/>
    <s v="NO"/>
    <s v="NO"/>
    <n v="73"/>
    <n v="2.1892755452499797"/>
    <s v="Sí"/>
    <n v="0.36501809830544912"/>
    <s v="No"/>
    <n v="639148"/>
    <n v="73"/>
    <x v="3"/>
  </r>
  <r>
    <n v="3536"/>
    <s v="HOMBRE"/>
    <n v="417679"/>
    <x v="3"/>
    <x v="1"/>
    <s v="SI"/>
    <s v="NO"/>
    <s v="SI"/>
    <n v="47"/>
    <n v="0.35431696324440481"/>
    <s v="No"/>
    <n v="0.36870349880311748"/>
    <s v="No"/>
    <n v="417679"/>
    <n v="47"/>
    <x v="3"/>
  </r>
  <r>
    <n v="3537"/>
    <s v="MUJER"/>
    <n v="283144"/>
    <x v="0"/>
    <x v="1"/>
    <s v="SI"/>
    <s v="NO"/>
    <s v="NO"/>
    <n v="38"/>
    <n v="0.28086100744983278"/>
    <s v="No"/>
    <n v="0.37094225617301496"/>
    <s v="No"/>
    <n v="283144"/>
    <n v="38"/>
    <x v="0"/>
  </r>
  <r>
    <n v="3538"/>
    <s v="HOMBRE"/>
    <n v="468729"/>
    <x v="0"/>
    <x v="0"/>
    <s v="SI"/>
    <s v="NO"/>
    <s v="NO"/>
    <n v="39"/>
    <n v="0.21028567737269524"/>
    <s v="No"/>
    <n v="0.36785399076629982"/>
    <s v="No"/>
    <n v="468729"/>
    <n v="39"/>
    <x v="0"/>
  </r>
  <r>
    <n v="3539"/>
    <s v="HOMBRE"/>
    <n v="41385899"/>
    <x v="0"/>
    <x v="1"/>
    <s v="SI"/>
    <s v="NO"/>
    <s v="SI"/>
    <n v="60"/>
    <n v="1.2717962542471923"/>
    <s v="No"/>
    <n v="0.31303660196307714"/>
    <s v="No"/>
    <n v="41385899"/>
    <n v="60"/>
    <x v="0"/>
  </r>
  <r>
    <n v="3540"/>
    <s v="HOMBRE"/>
    <n v="5851365"/>
    <x v="0"/>
    <x v="0"/>
    <s v="SI"/>
    <s v="NO"/>
    <s v="NO"/>
    <n v="30"/>
    <n v="0.84546364806693275"/>
    <s v="No"/>
    <n v="0.27828312805789446"/>
    <s v="No"/>
    <n v="5851365"/>
    <n v="30"/>
    <x v="0"/>
  </r>
  <r>
    <n v="3541"/>
    <s v="MUJER"/>
    <n v="11900"/>
    <x v="0"/>
    <x v="1"/>
    <s v="SI"/>
    <s v="NO"/>
    <s v="NO"/>
    <n v="45"/>
    <n v="0.21316630309012977"/>
    <s v="No"/>
    <n v="0.37545594780746294"/>
    <s v="No"/>
    <n v="11900"/>
    <n v="45"/>
    <x v="0"/>
  </r>
  <r>
    <n v="3542"/>
    <s v="HOMBRE"/>
    <n v="371501"/>
    <x v="0"/>
    <x v="1"/>
    <s v="SI"/>
    <s v="SI"/>
    <s v="NO"/>
    <n v="59"/>
    <n v="1.2012209241700549"/>
    <s v="No"/>
    <n v="0.36947193332073092"/>
    <s v="No"/>
    <n v="371501"/>
    <n v="59"/>
    <x v="0"/>
  </r>
  <r>
    <n v="3543"/>
    <s v="HOMBRE"/>
    <n v="639148"/>
    <x v="3"/>
    <x v="1"/>
    <s v="SI"/>
    <s v="NO"/>
    <s v="SI"/>
    <n v="66"/>
    <n v="1.6952482347100173"/>
    <s v="No"/>
    <n v="0.36501809830544912"/>
    <s v="No"/>
    <n v="639148"/>
    <n v="66"/>
    <x v="3"/>
  </r>
  <r>
    <n v="3544"/>
    <s v="MUJER"/>
    <n v="7073086"/>
    <x v="0"/>
    <x v="1"/>
    <s v="SI"/>
    <s v="NO"/>
    <s v="NO"/>
    <n v="36"/>
    <n v="0.42201166760410774"/>
    <s v="No"/>
    <n v="0.25795282819013904"/>
    <s v="No"/>
    <n v="7073086"/>
    <n v="36"/>
    <x v="0"/>
  </r>
  <r>
    <n v="3545"/>
    <s v="HOMBRE"/>
    <n v="573826"/>
    <x v="2"/>
    <x v="1"/>
    <s v="SI"/>
    <s v="SI"/>
    <s v="NO"/>
    <n v="38"/>
    <n v="0.28086100744983278"/>
    <s v="No"/>
    <n v="0.36610510249704564"/>
    <s v="No"/>
    <n v="573826"/>
    <n v="38"/>
    <x v="2"/>
  </r>
  <r>
    <n v="3546"/>
    <s v="MUJER"/>
    <n v="1355000"/>
    <x v="0"/>
    <x v="1"/>
    <s v="SI"/>
    <s v="NO"/>
    <s v="NO"/>
    <n v="43"/>
    <n v="7.2015642935854773E-2"/>
    <s v="No"/>
    <n v="0.35310581569679095"/>
    <s v="No"/>
    <n v="1355000"/>
    <n v="43"/>
    <x v="0"/>
  </r>
  <r>
    <n v="3547"/>
    <s v="MUJER"/>
    <n v="1414474"/>
    <x v="1"/>
    <x v="0"/>
    <s v="SI"/>
    <s v="NO"/>
    <s v="NO"/>
    <n v="56"/>
    <n v="0.9894949339386423"/>
    <s v="No"/>
    <n v="0.35211612635336892"/>
    <s v="No"/>
    <n v="1414474"/>
    <n v="56"/>
    <x v="1"/>
  </r>
  <r>
    <n v="3548"/>
    <s v="HOMBRE"/>
    <n v="297280"/>
    <x v="2"/>
    <x v="1"/>
    <s v="SI"/>
    <s v="NO"/>
    <s v="NO"/>
    <n v="64"/>
    <n v="1.5540975745557424"/>
    <s v="No"/>
    <n v="0.37070702315424015"/>
    <s v="No"/>
    <n v="297280"/>
    <n v="64"/>
    <x v="2"/>
  </r>
  <r>
    <n v="3549"/>
    <s v="MUJER"/>
    <n v="542430"/>
    <x v="0"/>
    <x v="1"/>
    <s v="SI"/>
    <s v="NO"/>
    <s v="NO"/>
    <n v="29"/>
    <n v="0.91603897814407031"/>
    <s v="No"/>
    <n v="0.36662755409986497"/>
    <s v="No"/>
    <n v="542430"/>
    <n v="29"/>
    <x v="0"/>
  </r>
  <r>
    <n v="3550"/>
    <s v="HOMBRE"/>
    <n v="118624724"/>
    <x v="0"/>
    <x v="1"/>
    <s v="SI"/>
    <s v="NO"/>
    <s v="NO"/>
    <n v="58"/>
    <n v="1.1306455940929174"/>
    <s v="No"/>
    <n v="1.5983451737917402"/>
    <s v="No"/>
    <n v="118624724"/>
    <n v="58"/>
    <x v="0"/>
  </r>
  <r>
    <n v="3551"/>
    <s v="MUJER"/>
    <n v="495975"/>
    <x v="3"/>
    <x v="1"/>
    <s v="SI"/>
    <s v="NO"/>
    <s v="SI"/>
    <n v="56"/>
    <n v="0.9894949339386423"/>
    <s v="No"/>
    <n v="0.36740059809301612"/>
    <s v="No"/>
    <n v="495975"/>
    <n v="56"/>
    <x v="3"/>
  </r>
  <r>
    <n v="3552"/>
    <s v="HOMBRE"/>
    <n v="490122"/>
    <x v="3"/>
    <x v="1"/>
    <s v="SI"/>
    <s v="SI"/>
    <s v="SI"/>
    <n v="45"/>
    <n v="0.21316630309012977"/>
    <s v="No"/>
    <n v="0.36749799614472017"/>
    <s v="No"/>
    <n v="490122"/>
    <n v="45"/>
    <x v="3"/>
  </r>
  <r>
    <n v="3553"/>
    <s v="MUJER"/>
    <n v="358000"/>
    <x v="0"/>
    <x v="1"/>
    <s v="SI"/>
    <s v="NO"/>
    <s v="SI"/>
    <n v="35"/>
    <n v="0.49258699768124525"/>
    <s v="No"/>
    <n v="0.3696965994912515"/>
    <s v="No"/>
    <n v="358000"/>
    <n v="35"/>
    <x v="0"/>
  </r>
  <r>
    <n v="3554"/>
    <s v="MUJER"/>
    <n v="233615"/>
    <x v="0"/>
    <x v="1"/>
    <s v="SI"/>
    <s v="NO"/>
    <s v="NO"/>
    <n v="20"/>
    <n v="1.5512169488383079"/>
    <s v="No"/>
    <n v="0.37176645369614014"/>
    <s v="No"/>
    <n v="233615"/>
    <n v="20"/>
    <x v="0"/>
  </r>
  <r>
    <n v="3555"/>
    <s v="HOMBRE"/>
    <n v="54028705"/>
    <x v="0"/>
    <x v="1"/>
    <s v="SI"/>
    <s v="NO"/>
    <s v="NO"/>
    <n v="40"/>
    <n v="0.13971034729555773"/>
    <s v="No"/>
    <n v="0.52342181851403913"/>
    <s v="No"/>
    <n v="54028705"/>
    <n v="40"/>
    <x v="0"/>
  </r>
  <r>
    <n v="3556"/>
    <s v="MUJER"/>
    <n v="86254382"/>
    <x v="0"/>
    <x v="0"/>
    <s v="SI"/>
    <s v="NO"/>
    <s v="NO"/>
    <n v="37"/>
    <n v="0.35143633752697023"/>
    <s v="No"/>
    <n v="1.0596798322924956"/>
    <s v="No"/>
    <n v="86254382"/>
    <n v="37"/>
    <x v="0"/>
  </r>
  <r>
    <n v="3557"/>
    <s v="HOMBRE"/>
    <n v="331181"/>
    <x v="3"/>
    <x v="1"/>
    <s v="SI"/>
    <s v="NO"/>
    <s v="SI"/>
    <n v="51"/>
    <n v="0.6366182835529548"/>
    <s v="No"/>
    <n v="0.37014288658311073"/>
    <s v="No"/>
    <n v="331181"/>
    <n v="51"/>
    <x v="3"/>
  </r>
  <r>
    <n v="3558"/>
    <s v="MUJER"/>
    <n v="480541675"/>
    <x v="0"/>
    <x v="0"/>
    <s v="SI"/>
    <s v="NO"/>
    <s v="NO"/>
    <n v="60"/>
    <n v="1.2717962542471923"/>
    <s v="No"/>
    <n v="7.6208987200218159"/>
    <s v="Sí"/>
    <n v="480541675"/>
    <n v="60"/>
    <x v="0"/>
  </r>
  <r>
    <n v="3559"/>
    <s v="HOMBRE"/>
    <n v="857231"/>
    <x v="0"/>
    <x v="1"/>
    <s v="SI"/>
    <s v="NO"/>
    <s v="NO"/>
    <n v="35"/>
    <n v="0.49258699768124525"/>
    <s v="No"/>
    <n v="0.36138904323799942"/>
    <s v="No"/>
    <n v="857231"/>
    <n v="35"/>
    <x v="0"/>
  </r>
  <r>
    <n v="3560"/>
    <s v="MUJER"/>
    <n v="297050"/>
    <x v="2"/>
    <x v="1"/>
    <s v="NO"/>
    <s v="NO"/>
    <s v="SI"/>
    <n v="27"/>
    <n v="1.0571896382983452"/>
    <s v="No"/>
    <n v="0.37071085051659991"/>
    <s v="No"/>
    <n v="297050"/>
    <n v="27"/>
    <x v="2"/>
  </r>
  <r>
    <n v="3561"/>
    <s v="MUJER"/>
    <n v="541045"/>
    <x v="0"/>
    <x v="1"/>
    <s v="SI"/>
    <s v="NO"/>
    <s v="NO"/>
    <n v="28"/>
    <n v="0.98661430822120777"/>
    <s v="No"/>
    <n v="0.36665060147755341"/>
    <s v="No"/>
    <n v="541045"/>
    <n v="28"/>
    <x v="0"/>
  </r>
  <r>
    <n v="3562"/>
    <s v="HOMBRE"/>
    <n v="623822"/>
    <x v="0"/>
    <x v="1"/>
    <s v="SI"/>
    <s v="NO"/>
    <s v="NO"/>
    <n v="27"/>
    <n v="1.0571896382983452"/>
    <s v="No"/>
    <n v="0.36527313376425946"/>
    <s v="No"/>
    <n v="623822"/>
    <n v="27"/>
    <x v="0"/>
  </r>
  <r>
    <n v="3563"/>
    <s v="HOMBRE"/>
    <n v="476987"/>
    <x v="3"/>
    <x v="1"/>
    <s v="SI"/>
    <s v="NO"/>
    <s v="NO"/>
    <n v="52"/>
    <n v="0.70719361363009237"/>
    <s v="No"/>
    <n v="0.36771657181687689"/>
    <s v="No"/>
    <n v="476987"/>
    <n v="52"/>
    <x v="3"/>
  </r>
  <r>
    <n v="3564"/>
    <s v="HOMBRE"/>
    <n v="1976257"/>
    <x v="0"/>
    <x v="0"/>
    <s v="SI"/>
    <s v="NO"/>
    <s v="NO"/>
    <n v="56"/>
    <n v="0.9894949339386423"/>
    <s v="No"/>
    <n v="0.34276766066389702"/>
    <s v="No"/>
    <n v="1976257"/>
    <n v="56"/>
    <x v="0"/>
  </r>
  <r>
    <n v="3565"/>
    <s v="MUJER"/>
    <n v="361783"/>
    <x v="2"/>
    <x v="1"/>
    <s v="SI"/>
    <s v="NO"/>
    <s v="SI"/>
    <n v="52"/>
    <n v="0.70719361363009237"/>
    <s v="No"/>
    <n v="0.36963364770078566"/>
    <s v="No"/>
    <n v="361783"/>
    <n v="52"/>
    <x v="2"/>
  </r>
  <r>
    <n v="3566"/>
    <s v="HOMBRE"/>
    <n v="27998518"/>
    <x v="0"/>
    <x v="1"/>
    <s v="SI"/>
    <s v="NO"/>
    <s v="NO"/>
    <n v="37"/>
    <n v="0.35143633752697023"/>
    <s v="No"/>
    <n v="9.0261131807540973E-2"/>
    <s v="No"/>
    <n v="27998518"/>
    <n v="37"/>
    <x v="0"/>
  </r>
  <r>
    <n v="3567"/>
    <s v="HOMBRE"/>
    <n v="380000"/>
    <x v="0"/>
    <x v="1"/>
    <s v="SI"/>
    <s v="NO"/>
    <s v="NO"/>
    <n v="32"/>
    <n v="0.70431298791265773"/>
    <s v="No"/>
    <n v="0.36933050396118317"/>
    <s v="No"/>
    <n v="380000"/>
    <n v="32"/>
    <x v="0"/>
  </r>
  <r>
    <n v="3568"/>
    <s v="HOMBRE"/>
    <n v="410264712"/>
    <x v="0"/>
    <x v="1"/>
    <s v="SI"/>
    <s v="NO"/>
    <s v="NO"/>
    <n v="34"/>
    <n v="0.56316232775838282"/>
    <s v="No"/>
    <n v="6.4514404463364539"/>
    <s v="Sí"/>
    <n v="410264712"/>
    <n v="34"/>
    <x v="0"/>
  </r>
  <r>
    <n v="3569"/>
    <s v="MUJER"/>
    <n v="4136188"/>
    <x v="0"/>
    <x v="1"/>
    <s v="SI"/>
    <s v="NO"/>
    <s v="NO"/>
    <n v="35"/>
    <n v="0.49258699768124525"/>
    <s v="No"/>
    <n v="0.30682488410225911"/>
    <s v="No"/>
    <n v="4136188"/>
    <n v="35"/>
    <x v="0"/>
  </r>
  <r>
    <n v="3570"/>
    <s v="HOMBRE"/>
    <n v="295477"/>
    <x v="0"/>
    <x v="0"/>
    <s v="SI"/>
    <s v="NO"/>
    <s v="NO"/>
    <n v="28"/>
    <n v="0.98661430822120777"/>
    <s v="No"/>
    <n v="0.37073702634699984"/>
    <s v="No"/>
    <n v="295477"/>
    <n v="28"/>
    <x v="0"/>
  </r>
  <r>
    <n v="3571"/>
    <s v="HOMBRE"/>
    <n v="300018"/>
    <x v="3"/>
    <x v="1"/>
    <s v="SI"/>
    <s v="NO"/>
    <s v="NO"/>
    <n v="61"/>
    <n v="1.3423715843243298"/>
    <s v="No"/>
    <n v="0.37066146090145252"/>
    <s v="No"/>
    <n v="300018"/>
    <n v="61"/>
    <x v="3"/>
  </r>
  <r>
    <n v="3572"/>
    <s v="HOMBRE"/>
    <n v="1700000"/>
    <x v="0"/>
    <x v="1"/>
    <s v="SI"/>
    <s v="NO"/>
    <s v="NO"/>
    <n v="45"/>
    <n v="0.21316630309012977"/>
    <s v="No"/>
    <n v="0.34736477215708289"/>
    <s v="No"/>
    <n v="1700000"/>
    <n v="45"/>
    <x v="0"/>
  </r>
  <r>
    <n v="3573"/>
    <s v="MUJER"/>
    <n v="126097705"/>
    <x v="0"/>
    <x v="0"/>
    <s v="SI"/>
    <s v="NO"/>
    <s v="NO"/>
    <n v="38"/>
    <n v="0.28086100744983278"/>
    <s v="No"/>
    <n v="1.7227008529001773"/>
    <s v="No"/>
    <n v="126097705"/>
    <n v="38"/>
    <x v="0"/>
  </r>
  <r>
    <n v="3574"/>
    <s v="HOMBRE"/>
    <n v="88505325"/>
    <x v="0"/>
    <x v="0"/>
    <s v="SI"/>
    <s v="NO"/>
    <s v="NO"/>
    <n v="35"/>
    <n v="0.49258699768124525"/>
    <s v="No"/>
    <n v="1.0971371127806144"/>
    <s v="No"/>
    <n v="88505325"/>
    <n v="35"/>
    <x v="0"/>
  </r>
  <r>
    <n v="3575"/>
    <s v="MUJER"/>
    <n v="7220107"/>
    <x v="0"/>
    <x v="0"/>
    <s v="SI"/>
    <s v="NO"/>
    <s v="NO"/>
    <n v="36"/>
    <n v="0.42201166760410774"/>
    <s v="No"/>
    <n v="0.2555062949662219"/>
    <s v="No"/>
    <n v="7220107"/>
    <n v="36"/>
    <x v="0"/>
  </r>
  <r>
    <n v="3576"/>
    <s v="HOMBRE"/>
    <n v="413166"/>
    <x v="0"/>
    <x v="1"/>
    <s v="SI"/>
    <s v="NO"/>
    <s v="NO"/>
    <n v="49"/>
    <n v="0.49546762339867978"/>
    <s v="No"/>
    <n v="0.36877859830889925"/>
    <s v="No"/>
    <n v="413166"/>
    <n v="49"/>
    <x v="0"/>
  </r>
  <r>
    <n v="3577"/>
    <s v="MUJER"/>
    <n v="356455"/>
    <x v="3"/>
    <x v="1"/>
    <s v="SI"/>
    <s v="SI"/>
    <s v="SI"/>
    <n v="52"/>
    <n v="0.70719361363009237"/>
    <s v="No"/>
    <n v="0.36972230938188588"/>
    <s v="No"/>
    <n v="356455"/>
    <n v="52"/>
    <x v="3"/>
  </r>
  <r>
    <n v="3578"/>
    <s v="MUJER"/>
    <n v="300000"/>
    <x v="0"/>
    <x v="1"/>
    <s v="SI"/>
    <s v="SI"/>
    <s v="NO"/>
    <n v="41"/>
    <n v="6.9135017218420233E-2"/>
    <s v="No"/>
    <n v="0.37066176043415894"/>
    <s v="No"/>
    <n v="300000"/>
    <n v="41"/>
    <x v="0"/>
  </r>
  <r>
    <n v="3579"/>
    <s v="MUJER"/>
    <n v="1642647"/>
    <x v="1"/>
    <x v="0"/>
    <s v="SI"/>
    <s v="NO"/>
    <s v="NO"/>
    <n v="59"/>
    <n v="1.2012209241700549"/>
    <s v="No"/>
    <n v="0.34831916656326517"/>
    <s v="No"/>
    <n v="1642647"/>
    <n v="59"/>
    <x v="1"/>
  </r>
  <r>
    <n v="3580"/>
    <s v="HOMBRE"/>
    <n v="200000"/>
    <x v="0"/>
    <x v="1"/>
    <s v="SI"/>
    <s v="NO"/>
    <s v="SI"/>
    <n v="30"/>
    <n v="0.84546364806693275"/>
    <s v="No"/>
    <n v="0.3723258310253787"/>
    <s v="No"/>
    <n v="200000"/>
    <n v="30"/>
    <x v="0"/>
  </r>
  <r>
    <n v="3581"/>
    <s v="HOMBRE"/>
    <n v="278030"/>
    <x v="4"/>
    <x v="1"/>
    <s v="SI"/>
    <s v="NO"/>
    <s v="NO"/>
    <n v="35"/>
    <n v="0.49258699768124525"/>
    <s v="No"/>
    <n v="0.37102735674304993"/>
    <s v="No"/>
    <n v="278030"/>
    <n v="35"/>
    <x v="4"/>
  </r>
  <r>
    <n v="3582"/>
    <s v="HOMBRE"/>
    <n v="1184243"/>
    <x v="0"/>
    <x v="0"/>
    <s v="SI"/>
    <s v="NO"/>
    <s v="SI"/>
    <n v="37"/>
    <n v="0.35143633752697023"/>
    <s v="No"/>
    <n v="0.35594733271623996"/>
    <s v="No"/>
    <n v="1184243"/>
    <n v="37"/>
    <x v="0"/>
  </r>
  <r>
    <n v="3583"/>
    <s v="MUJER"/>
    <n v="158673218"/>
    <x v="0"/>
    <x v="0"/>
    <s v="SI"/>
    <s v="NO"/>
    <s v="NO"/>
    <n v="70"/>
    <n v="1.9775495550185673"/>
    <s v="Sí"/>
    <n v="2.2647803846721333"/>
    <s v="Sí"/>
    <n v="158673218"/>
    <n v="70"/>
    <x v="0"/>
  </r>
  <r>
    <n v="3584"/>
    <s v="HOMBRE"/>
    <n v="100000"/>
    <x v="0"/>
    <x v="1"/>
    <s v="SI"/>
    <s v="NO"/>
    <s v="SI"/>
    <n v="41"/>
    <n v="6.9135017218420233E-2"/>
    <s v="No"/>
    <n v="0.3739899016165984"/>
    <s v="No"/>
    <n v="100000"/>
    <n v="41"/>
    <x v="0"/>
  </r>
  <r>
    <n v="3585"/>
    <s v="HOMBRE"/>
    <n v="119824216"/>
    <x v="0"/>
    <x v="1"/>
    <s v="SI"/>
    <s v="NO"/>
    <s v="NO"/>
    <n v="28"/>
    <n v="0.98661430822120777"/>
    <s v="No"/>
    <n v="1.6183055674077733"/>
    <s v="No"/>
    <n v="119824216"/>
    <n v="28"/>
    <x v="0"/>
  </r>
  <r>
    <n v="3586"/>
    <s v="HOMBRE"/>
    <n v="4701625"/>
    <x v="0"/>
    <x v="1"/>
    <s v="SI"/>
    <s v="NO"/>
    <s v="NO"/>
    <n v="43"/>
    <n v="7.2015642935854773E-2"/>
    <s v="No"/>
    <n v="0.29741561327338406"/>
    <s v="No"/>
    <n v="4701625"/>
    <n v="43"/>
    <x v="0"/>
  </r>
  <r>
    <n v="3587"/>
    <s v="HOMBRE"/>
    <n v="300018"/>
    <x v="3"/>
    <x v="1"/>
    <s v="SI"/>
    <s v="NO"/>
    <s v="SI"/>
    <n v="51"/>
    <n v="0.6366182835529548"/>
    <s v="No"/>
    <n v="0.37066146090145252"/>
    <s v="No"/>
    <n v="300018"/>
    <n v="51"/>
    <x v="3"/>
  </r>
  <r>
    <n v="3588"/>
    <s v="MUJER"/>
    <n v="671005"/>
    <x v="0"/>
    <x v="1"/>
    <s v="SI"/>
    <s v="NO"/>
    <s v="SI"/>
    <n v="30"/>
    <n v="0.84546364806693275"/>
    <s v="No"/>
    <n v="0.36448797533720423"/>
    <s v="No"/>
    <n v="671005"/>
    <n v="30"/>
    <x v="0"/>
  </r>
  <r>
    <n v="3589"/>
    <s v="HOMBRE"/>
    <n v="278030"/>
    <x v="4"/>
    <x v="1"/>
    <s v="SI"/>
    <s v="NO"/>
    <s v="NO"/>
    <n v="50"/>
    <n v="0.56604295347581735"/>
    <s v="No"/>
    <n v="0.37102735674304993"/>
    <s v="No"/>
    <n v="278030"/>
    <n v="50"/>
    <x v="4"/>
  </r>
  <r>
    <n v="3590"/>
    <s v="HOMBRE"/>
    <n v="403911956"/>
    <x v="0"/>
    <x v="0"/>
    <s v="SI"/>
    <s v="NO"/>
    <s v="NO"/>
    <n v="59"/>
    <n v="1.2012209241700549"/>
    <s v="No"/>
    <n v="6.3457261020085083"/>
    <s v="Sí"/>
    <n v="403911956"/>
    <n v="59"/>
    <x v="0"/>
  </r>
  <r>
    <n v="3591"/>
    <s v="MUJER"/>
    <n v="297046"/>
    <x v="2"/>
    <x v="1"/>
    <s v="SI"/>
    <s v="NO"/>
    <s v="NO"/>
    <n v="25"/>
    <n v="1.1983402984526204"/>
    <s v="No"/>
    <n v="0.37071091707942361"/>
    <s v="No"/>
    <n v="297046"/>
    <n v="25"/>
    <x v="2"/>
  </r>
  <r>
    <n v="3592"/>
    <s v="HOMBRE"/>
    <n v="9720000"/>
    <x v="0"/>
    <x v="1"/>
    <s v="SI"/>
    <s v="SI"/>
    <s v="NO"/>
    <n v="38"/>
    <n v="0.28086100744983278"/>
    <s v="No"/>
    <n v="0.21390631074126154"/>
    <s v="No"/>
    <n v="9720000"/>
    <n v="38"/>
    <x v="0"/>
  </r>
  <r>
    <n v="3593"/>
    <s v="HOMBRE"/>
    <n v="38534722"/>
    <x v="0"/>
    <x v="1"/>
    <s v="SI"/>
    <s v="NO"/>
    <s v="NO"/>
    <n v="35"/>
    <n v="0.49258699768124525"/>
    <s v="No"/>
    <n v="0.2655910040024565"/>
    <s v="No"/>
    <n v="38534722"/>
    <n v="35"/>
    <x v="0"/>
  </r>
  <r>
    <n v="3594"/>
    <s v="HOMBRE"/>
    <n v="515000"/>
    <x v="0"/>
    <x v="1"/>
    <s v="SI"/>
    <s v="NO"/>
    <s v="NO"/>
    <n v="36"/>
    <n v="0.42201166760410774"/>
    <s v="No"/>
    <n v="0.36708400866303653"/>
    <s v="No"/>
    <n v="515000"/>
    <n v="36"/>
    <x v="0"/>
  </r>
  <r>
    <n v="3595"/>
    <s v="HOMBRE"/>
    <n v="952625"/>
    <x v="0"/>
    <x v="1"/>
    <s v="SI"/>
    <s v="NO"/>
    <s v="NO"/>
    <n v="53"/>
    <n v="0.77776894370722982"/>
    <s v="No"/>
    <n v="0.35980161973821129"/>
    <s v="No"/>
    <n v="952625"/>
    <n v="53"/>
    <x v="0"/>
  </r>
  <r>
    <n v="3596"/>
    <s v="HOMBRE"/>
    <n v="39504425"/>
    <x v="0"/>
    <x v="0"/>
    <s v="SI"/>
    <s v="NO"/>
    <s v="NO"/>
    <n v="56"/>
    <n v="0.9894949339386423"/>
    <s v="No"/>
    <n v="0.28172754644763187"/>
    <s v="No"/>
    <n v="39504425"/>
    <n v="56"/>
    <x v="0"/>
  </r>
  <r>
    <n v="3597"/>
    <s v="HOMBRE"/>
    <n v="270000"/>
    <x v="0"/>
    <x v="1"/>
    <s v="SI"/>
    <s v="NO"/>
    <s v="NO"/>
    <n v="40"/>
    <n v="0.13971034729555773"/>
    <s v="No"/>
    <n v="0.37116098161152489"/>
    <s v="No"/>
    <n v="270000"/>
    <n v="40"/>
    <x v="0"/>
  </r>
  <r>
    <n v="3598"/>
    <s v="MUJER"/>
    <n v="25863945"/>
    <x v="0"/>
    <x v="0"/>
    <s v="SI"/>
    <s v="NO"/>
    <s v="NO"/>
    <n v="32"/>
    <n v="0.70431298791265773"/>
    <s v="No"/>
    <n v="5.4740330266424511E-2"/>
    <s v="No"/>
    <n v="25863945"/>
    <n v="32"/>
    <x v="0"/>
  </r>
  <r>
    <n v="3599"/>
    <s v="HOMBRE"/>
    <n v="302470"/>
    <x v="3"/>
    <x v="1"/>
    <s v="SI"/>
    <s v="NO"/>
    <s v="NO"/>
    <n v="53"/>
    <n v="0.77776894370722982"/>
    <s v="No"/>
    <n v="0.37062065789055582"/>
    <s v="No"/>
    <n v="302470"/>
    <n v="53"/>
    <x v="3"/>
  </r>
  <r>
    <n v="3600"/>
    <s v="MUJER"/>
    <n v="731424"/>
    <x v="0"/>
    <x v="0"/>
    <s v="SI"/>
    <s v="NO"/>
    <s v="SI"/>
    <n v="28"/>
    <n v="0.98661430822120777"/>
    <s v="No"/>
    <n v="0.3634825605266952"/>
    <s v="No"/>
    <n v="731424"/>
    <n v="28"/>
    <x v="0"/>
  </r>
  <r>
    <n v="3601"/>
    <s v="MUJER"/>
    <n v="23968308"/>
    <x v="0"/>
    <x v="1"/>
    <s v="SI"/>
    <s v="NO"/>
    <s v="NO"/>
    <n v="38"/>
    <n v="0.28086100744983278"/>
    <s v="No"/>
    <n v="2.3195592433144792E-2"/>
    <s v="No"/>
    <n v="23968308"/>
    <n v="38"/>
    <x v="0"/>
  </r>
  <r>
    <n v="3602"/>
    <s v="HOMBRE"/>
    <n v="278030"/>
    <x v="4"/>
    <x v="1"/>
    <s v="SI"/>
    <s v="NO"/>
    <s v="NO"/>
    <n v="56"/>
    <n v="0.9894949339386423"/>
    <s v="No"/>
    <n v="0.37102735674304993"/>
    <s v="No"/>
    <n v="278030"/>
    <n v="56"/>
    <x v="4"/>
  </r>
  <r>
    <n v="3603"/>
    <s v="HOMBRE"/>
    <n v="37735076"/>
    <x v="0"/>
    <x v="1"/>
    <s v="SI"/>
    <s v="NO"/>
    <s v="NO"/>
    <n v="35"/>
    <n v="0.49258699768124525"/>
    <s v="No"/>
    <n v="0.25228433008259171"/>
    <s v="No"/>
    <n v="37735076"/>
    <n v="35"/>
    <x v="0"/>
  </r>
  <r>
    <n v="3604"/>
    <s v="MUJER"/>
    <n v="297046"/>
    <x v="3"/>
    <x v="1"/>
    <s v="SI"/>
    <s v="NO"/>
    <s v="SI"/>
    <n v="38"/>
    <n v="0.28086100744983278"/>
    <s v="No"/>
    <n v="0.37071091707942361"/>
    <s v="No"/>
    <n v="297046"/>
    <n v="38"/>
    <x v="3"/>
  </r>
  <r>
    <n v="3605"/>
    <s v="HOMBRE"/>
    <n v="297046"/>
    <x v="2"/>
    <x v="1"/>
    <s v="SI"/>
    <s v="NO"/>
    <s v="NO"/>
    <n v="43"/>
    <n v="7.2015642935854773E-2"/>
    <s v="No"/>
    <n v="0.37071091707942361"/>
    <s v="No"/>
    <n v="297046"/>
    <n v="43"/>
    <x v="2"/>
  </r>
  <r>
    <n v="3606"/>
    <s v="HOMBRE"/>
    <n v="299441"/>
    <x v="3"/>
    <x v="1"/>
    <s v="SI"/>
    <s v="NO"/>
    <s v="NO"/>
    <n v="34"/>
    <n v="0.56316232775838282"/>
    <s v="No"/>
    <n v="0.37067106258876387"/>
    <s v="No"/>
    <n v="299441"/>
    <n v="34"/>
    <x v="3"/>
  </r>
  <r>
    <n v="3607"/>
    <s v="MUJER"/>
    <n v="298390"/>
    <x v="2"/>
    <x v="1"/>
    <s v="SI"/>
    <s v="NO"/>
    <s v="NO"/>
    <n v="35"/>
    <n v="0.49258699768124525"/>
    <s v="No"/>
    <n v="0.37068855197067757"/>
    <s v="No"/>
    <n v="298390"/>
    <n v="35"/>
    <x v="2"/>
  </r>
  <r>
    <n v="3608"/>
    <s v="MUJER"/>
    <n v="774085"/>
    <x v="0"/>
    <x v="1"/>
    <s v="SI"/>
    <s v="NO"/>
    <s v="NO"/>
    <n v="48"/>
    <n v="0.42489229332154227"/>
    <s v="No"/>
    <n v="0.36277265137177495"/>
    <s v="No"/>
    <n v="774085"/>
    <n v="48"/>
    <x v="0"/>
  </r>
  <r>
    <n v="3609"/>
    <s v="MUJER"/>
    <n v="297502"/>
    <x v="2"/>
    <x v="1"/>
    <s v="SI"/>
    <s v="NO"/>
    <s v="NO"/>
    <n v="26"/>
    <n v="1.1277649683754829"/>
    <s v="No"/>
    <n v="0.37070332891752761"/>
    <s v="No"/>
    <n v="297502"/>
    <n v="26"/>
    <x v="2"/>
  </r>
  <r>
    <n v="3610"/>
    <s v="MUJER"/>
    <n v="2240025"/>
    <x v="0"/>
    <x v="0"/>
    <s v="SI"/>
    <s v="NO"/>
    <s v="NO"/>
    <n v="60"/>
    <n v="1.2717962542471923"/>
    <s v="No"/>
    <n v="0.33837837494684864"/>
    <s v="No"/>
    <n v="2240025"/>
    <n v="60"/>
    <x v="0"/>
  </r>
  <r>
    <n v="3611"/>
    <s v="HOMBRE"/>
    <n v="445567"/>
    <x v="3"/>
    <x v="1"/>
    <s v="SI"/>
    <s v="NO"/>
    <s v="NO"/>
    <n v="47"/>
    <n v="0.35431696324440481"/>
    <s v="No"/>
    <n v="0.36823942279663813"/>
    <s v="No"/>
    <n v="445567"/>
    <n v="47"/>
    <x v="3"/>
  </r>
  <r>
    <n v="3612"/>
    <s v="HOMBRE"/>
    <n v="297058"/>
    <x v="3"/>
    <x v="1"/>
    <s v="SI"/>
    <s v="NO"/>
    <s v="NO"/>
    <n v="53"/>
    <n v="0.77776894370722982"/>
    <s v="No"/>
    <n v="0.37071071739095263"/>
    <s v="No"/>
    <n v="297058"/>
    <n v="53"/>
    <x v="3"/>
  </r>
  <r>
    <n v="3613"/>
    <s v="HOMBRE"/>
    <n v="200000"/>
    <x v="0"/>
    <x v="1"/>
    <s v="SI"/>
    <s v="NO"/>
    <s v="NO"/>
    <n v="30"/>
    <n v="0.84546364806693275"/>
    <s v="No"/>
    <n v="0.3723258310253787"/>
    <s v="No"/>
    <n v="200000"/>
    <n v="30"/>
    <x v="0"/>
  </r>
  <r>
    <n v="3614"/>
    <s v="HOMBRE"/>
    <n v="28380305"/>
    <x v="0"/>
    <x v="1"/>
    <s v="SI"/>
    <s v="NO"/>
    <s v="NO"/>
    <n v="19"/>
    <n v="1.6217922789154453"/>
    <s v="No"/>
    <n v="9.6614336995641009E-2"/>
    <s v="No"/>
    <n v="28380305"/>
    <n v="19"/>
    <x v="0"/>
  </r>
  <r>
    <n v="3615"/>
    <s v="HOMBRE"/>
    <n v="36159025"/>
    <x v="0"/>
    <x v="1"/>
    <s v="SI"/>
    <s v="NO"/>
    <s v="NO"/>
    <n v="32"/>
    <n v="0.70431298791265773"/>
    <s v="No"/>
    <n v="0.22605772888896744"/>
    <s v="No"/>
    <n v="36159025"/>
    <n v="32"/>
    <x v="0"/>
  </r>
  <r>
    <n v="3616"/>
    <s v="HOMBRE"/>
    <n v="6204123"/>
    <x v="0"/>
    <x v="0"/>
    <s v="SI"/>
    <s v="NO"/>
    <s v="NO"/>
    <n v="54"/>
    <n v="0.84834427378436728"/>
    <s v="No"/>
    <n v="0.27241298592171964"/>
    <s v="No"/>
    <n v="6204123"/>
    <n v="54"/>
    <x v="0"/>
  </r>
  <r>
    <n v="3617"/>
    <s v="HOMBRE"/>
    <n v="278000"/>
    <x v="0"/>
    <x v="1"/>
    <s v="SI"/>
    <s v="SI"/>
    <s v="SI"/>
    <n v="37"/>
    <n v="0.35143633752697023"/>
    <s v="No"/>
    <n v="0.37102785596422727"/>
    <s v="No"/>
    <n v="278000"/>
    <n v="37"/>
    <x v="0"/>
  </r>
  <r>
    <n v="3618"/>
    <s v="HOMBRE"/>
    <n v="49225024"/>
    <x v="0"/>
    <x v="1"/>
    <s v="SI"/>
    <s v="NO"/>
    <s v="NO"/>
    <n v="39"/>
    <n v="0.21028567737269524"/>
    <s v="No"/>
    <n v="0.44348517569702983"/>
    <s v="No"/>
    <n v="49225024"/>
    <n v="39"/>
    <x v="0"/>
  </r>
  <r>
    <n v="3619"/>
    <s v="MUJER"/>
    <n v="297046"/>
    <x v="3"/>
    <x v="1"/>
    <s v="SI"/>
    <s v="NO"/>
    <s v="SI"/>
    <n v="53"/>
    <n v="0.77776894370722982"/>
    <s v="No"/>
    <n v="0.37071091707942361"/>
    <s v="No"/>
    <n v="297046"/>
    <n v="53"/>
    <x v="3"/>
  </r>
  <r>
    <n v="3620"/>
    <s v="HOMBRE"/>
    <n v="13960545"/>
    <x v="0"/>
    <x v="0"/>
    <s v="SI"/>
    <s v="NO"/>
    <s v="NO"/>
    <n v="40"/>
    <n v="0.13971034729555773"/>
    <s v="No"/>
    <n v="0.14334064848882336"/>
    <s v="No"/>
    <n v="13960545"/>
    <n v="40"/>
    <x v="0"/>
  </r>
  <r>
    <n v="3621"/>
    <s v="MUJER"/>
    <n v="604940"/>
    <x v="3"/>
    <x v="1"/>
    <s v="SI"/>
    <s v="NO"/>
    <s v="NO"/>
    <n v="30"/>
    <n v="0.84546364806693275"/>
    <s v="No"/>
    <n v="0.36558734357329353"/>
    <s v="No"/>
    <n v="604940"/>
    <n v="30"/>
    <x v="3"/>
  </r>
  <r>
    <n v="3622"/>
    <s v="HOMBRE"/>
    <n v="200000"/>
    <x v="0"/>
    <x v="1"/>
    <s v="SI"/>
    <s v="NO"/>
    <s v="NO"/>
    <n v="61"/>
    <n v="1.3423715843243298"/>
    <s v="No"/>
    <n v="0.3723258310253787"/>
    <s v="No"/>
    <n v="200000"/>
    <n v="61"/>
    <x v="0"/>
  </r>
  <r>
    <n v="3623"/>
    <s v="MUJER"/>
    <n v="59242167"/>
    <x v="0"/>
    <x v="1"/>
    <s v="SI"/>
    <s v="NO"/>
    <s v="NO"/>
    <n v="29"/>
    <n v="0.91603897814407031"/>
    <s v="No"/>
    <n v="0.61017750644045443"/>
    <s v="No"/>
    <n v="59242167"/>
    <n v="29"/>
    <x v="0"/>
  </r>
  <r>
    <n v="3624"/>
    <s v="HOMBRE"/>
    <n v="419680"/>
    <x v="0"/>
    <x v="1"/>
    <s v="SI"/>
    <s v="NO"/>
    <s v="NO"/>
    <n v="51"/>
    <n v="0.6366182835529548"/>
    <s v="No"/>
    <n v="0.36867020075058721"/>
    <s v="No"/>
    <n v="419680"/>
    <n v="51"/>
    <x v="0"/>
  </r>
  <r>
    <n v="3625"/>
    <s v="HOMBRE"/>
    <n v="2054741"/>
    <x v="0"/>
    <x v="0"/>
    <s v="SI"/>
    <s v="NO"/>
    <s v="SI"/>
    <n v="60"/>
    <n v="1.2717962542471923"/>
    <s v="No"/>
    <n v="0.34146163150108416"/>
    <s v="No"/>
    <n v="2054741"/>
    <n v="60"/>
    <x v="0"/>
  </r>
  <r>
    <n v="3626"/>
    <s v="HOMBRE"/>
    <n v="24199384"/>
    <x v="0"/>
    <x v="0"/>
    <s v="SI"/>
    <s v="NO"/>
    <s v="NO"/>
    <n v="36"/>
    <n v="0.42201166760410774"/>
    <s v="No"/>
    <n v="2.704086019251167E-2"/>
    <s v="No"/>
    <n v="24199384"/>
    <n v="36"/>
    <x v="0"/>
  </r>
  <r>
    <n v="3627"/>
    <s v="HOMBRE"/>
    <n v="671573"/>
    <x v="0"/>
    <x v="0"/>
    <s v="SI"/>
    <s v="NO"/>
    <s v="NO"/>
    <n v="41"/>
    <n v="6.9135017218420233E-2"/>
    <s v="No"/>
    <n v="0.36447852341624609"/>
    <s v="No"/>
    <n v="671573"/>
    <n v="41"/>
    <x v="0"/>
  </r>
  <r>
    <n v="3628"/>
    <s v="MUJER"/>
    <n v="27803099"/>
    <x v="3"/>
    <x v="1"/>
    <s v="SI"/>
    <s v="SI"/>
    <s v="NO"/>
    <n v="30"/>
    <n v="0.84546364806693275"/>
    <s v="No"/>
    <n v="8.7009221698885322E-2"/>
    <s v="No"/>
    <n v="27803099"/>
    <n v="30"/>
    <x v="3"/>
  </r>
  <r>
    <n v="3629"/>
    <s v="HOMBRE"/>
    <n v="1557874"/>
    <x v="0"/>
    <x v="0"/>
    <s v="SI"/>
    <s v="NO"/>
    <s v="SI"/>
    <n v="32"/>
    <n v="0.70431298791265773"/>
    <s v="No"/>
    <n v="0.34972984912555982"/>
    <s v="No"/>
    <n v="1557874"/>
    <n v="32"/>
    <x v="0"/>
  </r>
  <r>
    <n v="3630"/>
    <s v="MUJER"/>
    <n v="32097997"/>
    <x v="0"/>
    <x v="1"/>
    <s v="SI"/>
    <s v="NO"/>
    <s v="NO"/>
    <n v="29"/>
    <n v="0.91603897814407031"/>
    <s v="No"/>
    <n v="0.15847935623976914"/>
    <s v="No"/>
    <n v="32097997"/>
    <n v="29"/>
    <x v="0"/>
  </r>
  <r>
    <n v="3631"/>
    <s v="MUJER"/>
    <n v="119964"/>
    <x v="0"/>
    <x v="0"/>
    <s v="SI"/>
    <s v="NO"/>
    <s v="SI"/>
    <n v="25"/>
    <n v="1.1983402984526204"/>
    <s v="No"/>
    <n v="0.3736576865637673"/>
    <s v="No"/>
    <n v="119964"/>
    <n v="25"/>
    <x v="0"/>
  </r>
  <r>
    <n v="3632"/>
    <s v="HOMBRE"/>
    <n v="44401107"/>
    <x v="0"/>
    <x v="1"/>
    <s v="SI"/>
    <s v="NO"/>
    <s v="NO"/>
    <n v="23"/>
    <n v="1.3394909586068953"/>
    <s v="No"/>
    <n v="0.36321179155518135"/>
    <s v="No"/>
    <n v="44401107"/>
    <n v="23"/>
    <x v="0"/>
  </r>
  <r>
    <n v="3633"/>
    <s v="HOMBRE"/>
    <n v="391531"/>
    <x v="0"/>
    <x v="1"/>
    <s v="SI"/>
    <s v="SI"/>
    <s v="NO"/>
    <n v="41"/>
    <n v="6.9135017218420233E-2"/>
    <s v="No"/>
    <n v="0.36913861998130965"/>
    <s v="No"/>
    <n v="391531"/>
    <n v="41"/>
    <x v="0"/>
  </r>
  <r>
    <n v="3634"/>
    <s v="MUJER"/>
    <n v="18455775"/>
    <x v="0"/>
    <x v="1"/>
    <s v="SI"/>
    <s v="SI"/>
    <s v="NO"/>
    <n v="33"/>
    <n v="0.63373765783552027"/>
    <s v="No"/>
    <n v="6.8536848051137245E-2"/>
    <s v="No"/>
    <n v="18455775"/>
    <n v="33"/>
    <x v="0"/>
  </r>
  <r>
    <n v="3635"/>
    <s v="HOMBRE"/>
    <n v="297046"/>
    <x v="3"/>
    <x v="1"/>
    <s v="SI"/>
    <s v="NO"/>
    <s v="NO"/>
    <n v="41"/>
    <n v="6.9135017218420233E-2"/>
    <s v="No"/>
    <n v="0.37071091707942361"/>
    <s v="No"/>
    <n v="297046"/>
    <n v="41"/>
    <x v="3"/>
  </r>
  <r>
    <n v="3636"/>
    <s v="HOMBRE"/>
    <n v="299784"/>
    <x v="3"/>
    <x v="1"/>
    <s v="SI"/>
    <s v="NO"/>
    <s v="NO"/>
    <n v="33"/>
    <n v="0.63373765783552027"/>
    <s v="No"/>
    <n v="0.37066535482663598"/>
    <s v="No"/>
    <n v="299784"/>
    <n v="33"/>
    <x v="3"/>
  </r>
  <r>
    <n v="3637"/>
    <s v="HOMBRE"/>
    <n v="668500"/>
    <x v="0"/>
    <x v="1"/>
    <s v="SI"/>
    <s v="NO"/>
    <s v="NO"/>
    <n v="34"/>
    <n v="0.56316232775838282"/>
    <s v="No"/>
    <n v="0.36452966030551431"/>
    <s v="No"/>
    <n v="668500"/>
    <n v="34"/>
    <x v="0"/>
  </r>
  <r>
    <n v="3638"/>
    <s v="MUJER"/>
    <n v="278030"/>
    <x v="4"/>
    <x v="1"/>
    <s v="SI"/>
    <s v="NO"/>
    <s v="NO"/>
    <n v="32"/>
    <n v="0.70431298791265773"/>
    <s v="No"/>
    <n v="0.37102735674304993"/>
    <s v="No"/>
    <n v="278030"/>
    <n v="32"/>
    <x v="4"/>
  </r>
  <r>
    <n v="3639"/>
    <s v="MUJER"/>
    <n v="507944"/>
    <x v="3"/>
    <x v="1"/>
    <s v="SI"/>
    <s v="NO"/>
    <s v="SI"/>
    <n v="77"/>
    <n v="2.47157686555853"/>
    <s v="Sí"/>
    <n v="0.36720142548395301"/>
    <s v="No"/>
    <n v="507944"/>
    <n v="77"/>
    <x v="3"/>
  </r>
  <r>
    <n v="3640"/>
    <s v="MUJER"/>
    <n v="300018"/>
    <x v="2"/>
    <x v="1"/>
    <s v="SI"/>
    <s v="NO"/>
    <s v="NO"/>
    <n v="57"/>
    <n v="1.0600702640157798"/>
    <s v="No"/>
    <n v="0.37066146090145252"/>
    <s v="No"/>
    <n v="300018"/>
    <n v="57"/>
    <x v="2"/>
  </r>
  <r>
    <n v="3641"/>
    <s v="MUJER"/>
    <n v="367500"/>
    <x v="0"/>
    <x v="1"/>
    <s v="SI"/>
    <s v="NO"/>
    <s v="NO"/>
    <n v="54"/>
    <n v="0.84834427378436728"/>
    <s v="No"/>
    <n v="0.36953851278508565"/>
    <s v="No"/>
    <n v="367500"/>
    <n v="54"/>
    <x v="0"/>
  </r>
  <r>
    <n v="3642"/>
    <s v="MUJER"/>
    <n v="1576048"/>
    <x v="3"/>
    <x v="1"/>
    <s v="SI"/>
    <s v="NO"/>
    <s v="SI"/>
    <n v="56"/>
    <n v="0.9894949339386423"/>
    <s v="No"/>
    <n v="0.34942742093631157"/>
    <s v="No"/>
    <n v="1576048"/>
    <n v="56"/>
    <x v="3"/>
  </r>
  <r>
    <n v="3643"/>
    <s v="MUJER"/>
    <n v="392276"/>
    <x v="0"/>
    <x v="0"/>
    <s v="SI"/>
    <s v="NO"/>
    <s v="SI"/>
    <n v="61"/>
    <n v="1.3423715843243298"/>
    <s v="No"/>
    <n v="0.36912622265540507"/>
    <s v="No"/>
    <n v="392276"/>
    <n v="61"/>
    <x v="0"/>
  </r>
  <r>
    <n v="3644"/>
    <s v="HOMBRE"/>
    <n v="474037"/>
    <x v="0"/>
    <x v="1"/>
    <s v="SI"/>
    <s v="NO"/>
    <s v="NO"/>
    <n v="30"/>
    <n v="0.84546364806693275"/>
    <s v="No"/>
    <n v="0.36776566189931792"/>
    <s v="No"/>
    <n v="474037"/>
    <n v="30"/>
    <x v="0"/>
  </r>
  <r>
    <n v="3645"/>
    <s v="MUJER"/>
    <n v="14942401"/>
    <x v="0"/>
    <x v="1"/>
    <s v="SI"/>
    <s v="NO"/>
    <s v="NO"/>
    <n v="32"/>
    <n v="0.70431298791265773"/>
    <s v="No"/>
    <n v="0.12700187154469708"/>
    <s v="No"/>
    <n v="14942401"/>
    <n v="32"/>
    <x v="0"/>
  </r>
  <r>
    <n v="3646"/>
    <s v="MUJER"/>
    <n v="386136"/>
    <x v="0"/>
    <x v="1"/>
    <s v="SI"/>
    <s v="NO"/>
    <s v="NO"/>
    <n v="21"/>
    <n v="1.4806416187611704"/>
    <s v="No"/>
    <n v="0.36922839658970591"/>
    <s v="No"/>
    <n v="386136"/>
    <n v="21"/>
    <x v="0"/>
  </r>
  <r>
    <n v="3647"/>
    <s v="HOMBRE"/>
    <n v="39058132"/>
    <x v="0"/>
    <x v="1"/>
    <s v="SI"/>
    <s v="NO"/>
    <s v="NO"/>
    <n v="22"/>
    <n v="1.4100662886840327"/>
    <s v="No"/>
    <n v="0.27430091588395966"/>
    <s v="No"/>
    <n v="39058132"/>
    <n v="22"/>
    <x v="0"/>
  </r>
  <r>
    <n v="3648"/>
    <s v="MUJER"/>
    <n v="43390287"/>
    <x v="0"/>
    <x v="1"/>
    <s v="SI"/>
    <s v="NO"/>
    <s v="NO"/>
    <n v="31"/>
    <n v="0.77488831798979529"/>
    <s v="No"/>
    <n v="0.34639103320501419"/>
    <s v="No"/>
    <n v="43390287"/>
    <n v="31"/>
    <x v="0"/>
  </r>
  <r>
    <n v="3649"/>
    <s v="HOMBRE"/>
    <n v="295000"/>
    <x v="0"/>
    <x v="1"/>
    <s v="SI"/>
    <s v="NO"/>
    <s v="NO"/>
    <n v="26"/>
    <n v="1.1277649683754829"/>
    <s v="No"/>
    <n v="0.37074496396371992"/>
    <s v="No"/>
    <n v="295000"/>
    <n v="26"/>
    <x v="0"/>
  </r>
  <r>
    <n v="3650"/>
    <s v="HOMBRE"/>
    <n v="300018"/>
    <x v="3"/>
    <x v="1"/>
    <s v="SI"/>
    <s v="NO"/>
    <s v="SI"/>
    <n v="42"/>
    <n v="1.4403128587172659E-3"/>
    <s v="No"/>
    <n v="0.37066146090145252"/>
    <s v="No"/>
    <n v="300018"/>
    <n v="42"/>
    <x v="3"/>
  </r>
  <r>
    <n v="3651"/>
    <s v="HOMBRE"/>
    <n v="61704687"/>
    <x v="0"/>
    <x v="1"/>
    <s v="SI"/>
    <s v="SI"/>
    <s v="NO"/>
    <n v="23"/>
    <n v="1.3394909586068953"/>
    <s v="No"/>
    <n v="0.65115557756335818"/>
    <s v="No"/>
    <n v="61704687"/>
    <n v="23"/>
    <x v="0"/>
  </r>
  <r>
    <n v="3652"/>
    <s v="MUJER"/>
    <n v="650000"/>
    <x v="0"/>
    <x v="1"/>
    <s v="SI"/>
    <s v="NO"/>
    <s v="NO"/>
    <n v="27"/>
    <n v="1.0571896382983452"/>
    <s v="No"/>
    <n v="0.36483751336488995"/>
    <s v="No"/>
    <n v="650000"/>
    <n v="27"/>
    <x v="0"/>
  </r>
  <r>
    <n v="3653"/>
    <s v="HOMBRE"/>
    <n v="339497065"/>
    <x v="0"/>
    <x v="1"/>
    <s v="SI"/>
    <s v="NO"/>
    <s v="NO"/>
    <n v="38"/>
    <n v="0.28086100744983278"/>
    <s v="No"/>
    <n v="5.2738168445112708"/>
    <s v="Sí"/>
    <n v="339497065"/>
    <n v="38"/>
    <x v="0"/>
  </r>
  <r>
    <n v="3654"/>
    <s v="MUJER"/>
    <n v="30995"/>
    <x v="0"/>
    <x v="1"/>
    <s v="SI"/>
    <s v="NO"/>
    <s v="NO"/>
    <n v="31"/>
    <n v="0.77488831798979529"/>
    <s v="No"/>
    <n v="0.37513819352806954"/>
    <s v="No"/>
    <n v="30995"/>
    <n v="31"/>
    <x v="0"/>
  </r>
  <r>
    <n v="3655"/>
    <s v="MUJER"/>
    <n v="35195066"/>
    <x v="0"/>
    <x v="1"/>
    <s v="SI"/>
    <s v="SI"/>
    <s v="NO"/>
    <n v="46"/>
    <n v="0.2837416331672673"/>
    <s v="No"/>
    <n v="0.21001677065855176"/>
    <s v="No"/>
    <n v="35195066"/>
    <n v="46"/>
    <x v="0"/>
  </r>
  <r>
    <n v="3656"/>
    <s v="MUJER"/>
    <n v="590320"/>
    <x v="0"/>
    <x v="1"/>
    <s v="SI"/>
    <s v="NO"/>
    <s v="NO"/>
    <n v="30"/>
    <n v="0.84546364806693275"/>
    <s v="No"/>
    <n v="0.36583063069372984"/>
    <s v="No"/>
    <n v="590320"/>
    <n v="30"/>
    <x v="0"/>
  </r>
  <r>
    <n v="3657"/>
    <s v="HOMBRE"/>
    <n v="32105498"/>
    <x v="0"/>
    <x v="1"/>
    <s v="SI"/>
    <s v="NO"/>
    <s v="NO"/>
    <n v="51"/>
    <n v="0.6366182835529548"/>
    <s v="No"/>
    <n v="0.15860417817481653"/>
    <s v="No"/>
    <n v="32105498"/>
    <n v="51"/>
    <x v="0"/>
  </r>
  <r>
    <n v="3658"/>
    <s v="MUJER"/>
    <n v="40343303"/>
    <x v="0"/>
    <x v="1"/>
    <s v="SI"/>
    <s v="NO"/>
    <s v="SI"/>
    <n v="26"/>
    <n v="1.1277649683754829"/>
    <s v="No"/>
    <n v="0.29568706854184401"/>
    <s v="No"/>
    <n v="40343303"/>
    <n v="26"/>
    <x v="0"/>
  </r>
  <r>
    <n v="3659"/>
    <s v="HOMBRE"/>
    <n v="400000"/>
    <x v="0"/>
    <x v="1"/>
    <s v="SI"/>
    <s v="SI"/>
    <s v="NO"/>
    <n v="30"/>
    <n v="0.84546364806693275"/>
    <s v="No"/>
    <n v="0.36899768984293924"/>
    <s v="No"/>
    <n v="400000"/>
    <n v="30"/>
    <x v="0"/>
  </r>
  <r>
    <n v="3660"/>
    <s v="HOMBRE"/>
    <n v="23455225"/>
    <x v="0"/>
    <x v="0"/>
    <s v="SI"/>
    <s v="NO"/>
    <s v="NO"/>
    <n v="48"/>
    <n v="0.42489229332154227"/>
    <s v="No"/>
    <n v="1.4657529121596929E-2"/>
    <s v="No"/>
    <n v="23455225"/>
    <n v="48"/>
    <x v="0"/>
  </r>
  <r>
    <n v="3661"/>
    <s v="HOMBRE"/>
    <n v="480577"/>
    <x v="3"/>
    <x v="1"/>
    <s v="SI"/>
    <s v="NO"/>
    <s v="NO"/>
    <n v="49"/>
    <n v="0.49546762339867978"/>
    <s v="No"/>
    <n v="0.36765683168265212"/>
    <s v="No"/>
    <n v="480577"/>
    <n v="49"/>
    <x v="3"/>
  </r>
  <r>
    <n v="3662"/>
    <s v="HOMBRE"/>
    <n v="458437"/>
    <x v="0"/>
    <x v="1"/>
    <s v="SI"/>
    <s v="NO"/>
    <s v="NO"/>
    <n v="27"/>
    <n v="1.0571896382983452"/>
    <s v="No"/>
    <n v="0.36802525691154819"/>
    <s v="No"/>
    <n v="458437"/>
    <n v="27"/>
    <x v="0"/>
  </r>
  <r>
    <n v="3663"/>
    <s v="MUJER"/>
    <n v="314569"/>
    <x v="2"/>
    <x v="1"/>
    <s v="SI"/>
    <s v="NO"/>
    <s v="NO"/>
    <n v="61"/>
    <n v="1.3423715843243298"/>
    <s v="No"/>
    <n v="0.37041932198972416"/>
    <s v="No"/>
    <n v="314569"/>
    <n v="61"/>
    <x v="2"/>
  </r>
  <r>
    <n v="3664"/>
    <s v="HOMBRE"/>
    <n v="84000"/>
    <x v="0"/>
    <x v="1"/>
    <s v="SI"/>
    <s v="NO"/>
    <s v="SI"/>
    <n v="32"/>
    <n v="0.70431298791265773"/>
    <s v="No"/>
    <n v="0.37425615291119352"/>
    <s v="No"/>
    <n v="84000"/>
    <n v="32"/>
    <x v="0"/>
  </r>
  <r>
    <n v="3665"/>
    <s v="MUJER"/>
    <n v="297046"/>
    <x v="2"/>
    <x v="1"/>
    <s v="NO"/>
    <s v="SI"/>
    <s v="SI"/>
    <n v="20"/>
    <n v="1.5512169488383079"/>
    <s v="No"/>
    <n v="0.37071091707942361"/>
    <s v="No"/>
    <n v="297046"/>
    <n v="20"/>
    <x v="2"/>
  </r>
  <r>
    <n v="3666"/>
    <s v="MUJER"/>
    <n v="4640766"/>
    <x v="0"/>
    <x v="1"/>
    <s v="SI"/>
    <s v="NO"/>
    <s v="NO"/>
    <n v="30"/>
    <n v="0.84546364806693275"/>
    <s v="No"/>
    <n v="0.29842834999449447"/>
    <s v="No"/>
    <n v="4640766"/>
    <n v="30"/>
    <x v="0"/>
  </r>
  <r>
    <n v="3667"/>
    <s v="MUJER"/>
    <n v="35897625"/>
    <x v="0"/>
    <x v="1"/>
    <s v="SI"/>
    <s v="NO"/>
    <s v="NO"/>
    <n v="19"/>
    <n v="1.6217922789154453"/>
    <s v="No"/>
    <n v="0.22170784836351909"/>
    <s v="No"/>
    <n v="35897625"/>
    <n v="19"/>
    <x v="0"/>
  </r>
  <r>
    <n v="3668"/>
    <s v="MUJER"/>
    <n v="35954427"/>
    <x v="6"/>
    <x v="1"/>
    <s v="SI"/>
    <s v="SI"/>
    <s v="NO"/>
    <n v="29"/>
    <n v="0.91603897814407031"/>
    <s v="No"/>
    <n v="0.22265307374074372"/>
    <s v="No"/>
    <n v="35954427"/>
    <n v="29"/>
    <x v="5"/>
  </r>
  <r>
    <n v="3669"/>
    <s v="HOMBRE"/>
    <n v="278030"/>
    <x v="4"/>
    <x v="1"/>
    <s v="SI"/>
    <s v="NO"/>
    <s v="NO"/>
    <n v="43"/>
    <n v="7.2015642935854773E-2"/>
    <s v="No"/>
    <n v="0.37102735674304993"/>
    <s v="No"/>
    <n v="278030"/>
    <n v="43"/>
    <x v="4"/>
  </r>
  <r>
    <n v="3670"/>
    <s v="HOMBRE"/>
    <n v="212337"/>
    <x v="0"/>
    <x v="1"/>
    <s v="SI"/>
    <s v="NO"/>
    <s v="SI"/>
    <n v="31"/>
    <n v="0.77488831798979529"/>
    <s v="No"/>
    <n v="0.37212053463653988"/>
    <s v="No"/>
    <n v="212337"/>
    <n v="31"/>
    <x v="0"/>
  </r>
  <r>
    <n v="3671"/>
    <s v="HOMBRE"/>
    <n v="79890"/>
    <x v="0"/>
    <x v="1"/>
    <s v="SI"/>
    <s v="SI"/>
    <s v="NO"/>
    <n v="53"/>
    <n v="0.77776894370722982"/>
    <s v="No"/>
    <n v="0.37432454621249267"/>
    <s v="No"/>
    <n v="79890"/>
    <n v="53"/>
    <x v="0"/>
  </r>
  <r>
    <n v="3672"/>
    <s v="HOMBRE"/>
    <n v="278030"/>
    <x v="4"/>
    <x v="1"/>
    <s v="SI"/>
    <s v="NO"/>
    <s v="NO"/>
    <n v="44"/>
    <n v="0.14259097301299228"/>
    <s v="No"/>
    <n v="0.37102735674304993"/>
    <s v="No"/>
    <n v="278030"/>
    <n v="44"/>
    <x v="4"/>
  </r>
  <r>
    <n v="3673"/>
    <s v="MUJER"/>
    <n v="630173"/>
    <x v="1"/>
    <x v="0"/>
    <s v="SI"/>
    <s v="NO"/>
    <s v="NO"/>
    <n v="75"/>
    <n v="2.330426205404255"/>
    <s v="Sí"/>
    <n v="0.36516744864101108"/>
    <s v="No"/>
    <n v="630173"/>
    <n v="75"/>
    <x v="1"/>
  </r>
  <r>
    <n v="3674"/>
    <s v="MUJER"/>
    <n v="1041733"/>
    <x v="0"/>
    <x v="0"/>
    <s v="SI"/>
    <s v="NO"/>
    <s v="SI"/>
    <n v="37"/>
    <n v="0.35143633752697023"/>
    <s v="No"/>
    <n v="0.35831879971578723"/>
    <s v="No"/>
    <n v="1041733"/>
    <n v="37"/>
    <x v="0"/>
  </r>
  <r>
    <n v="3675"/>
    <s v="MUJER"/>
    <n v="440000"/>
    <x v="0"/>
    <x v="1"/>
    <s v="SI"/>
    <s v="NO"/>
    <s v="NO"/>
    <n v="32"/>
    <n v="0.70431298791265773"/>
    <s v="No"/>
    <n v="0.36833206160645132"/>
    <s v="No"/>
    <n v="440000"/>
    <n v="32"/>
    <x v="0"/>
  </r>
  <r>
    <n v="3676"/>
    <s v="HOMBRE"/>
    <n v="278030"/>
    <x v="2"/>
    <x v="1"/>
    <s v="SI"/>
    <s v="NO"/>
    <s v="NO"/>
    <n v="26"/>
    <n v="1.1277649683754829"/>
    <s v="No"/>
    <n v="0.37102735674304993"/>
    <s v="No"/>
    <n v="278030"/>
    <n v="26"/>
    <x v="2"/>
  </r>
  <r>
    <n v="3677"/>
    <s v="HOMBRE"/>
    <n v="450886"/>
    <x v="3"/>
    <x v="1"/>
    <s v="SI"/>
    <s v="NO"/>
    <s v="SI"/>
    <n v="53"/>
    <n v="0.77776894370722982"/>
    <s v="No"/>
    <n v="0.36815091088189117"/>
    <s v="No"/>
    <n v="450886"/>
    <n v="53"/>
    <x v="3"/>
  </r>
  <r>
    <n v="3678"/>
    <s v="MUJER"/>
    <n v="55275104"/>
    <x v="0"/>
    <x v="1"/>
    <s v="SI"/>
    <s v="NO"/>
    <s v="NO"/>
    <n v="27"/>
    <n v="1.0571896382983452"/>
    <s v="No"/>
    <n v="0.54416277772229571"/>
    <s v="No"/>
    <n v="55275104"/>
    <n v="27"/>
    <x v="0"/>
  </r>
  <r>
    <n v="3679"/>
    <s v="HOMBRE"/>
    <n v="34664779"/>
    <x v="0"/>
    <x v="1"/>
    <s v="SI"/>
    <s v="NO"/>
    <s v="NO"/>
    <n v="20"/>
    <n v="1.5512169488383079"/>
    <s v="No"/>
    <n v="0.20119242064249043"/>
    <s v="No"/>
    <n v="34664779"/>
    <n v="20"/>
    <x v="0"/>
  </r>
  <r>
    <n v="3680"/>
    <s v="HOMBRE"/>
    <n v="278030"/>
    <x v="4"/>
    <x v="1"/>
    <s v="SI"/>
    <s v="NO"/>
    <s v="NO"/>
    <n v="53"/>
    <n v="0.77776894370722982"/>
    <s v="No"/>
    <n v="0.37102735674304993"/>
    <s v="No"/>
    <n v="278030"/>
    <n v="53"/>
    <x v="4"/>
  </r>
  <r>
    <n v="3681"/>
    <s v="HOMBRE"/>
    <n v="342027"/>
    <x v="0"/>
    <x v="1"/>
    <s v="SI"/>
    <s v="NO"/>
    <s v="NO"/>
    <n v="24"/>
    <n v="1.2689156285297578"/>
    <s v="No"/>
    <n v="0.36996240148678705"/>
    <s v="No"/>
    <n v="342027"/>
    <n v="24"/>
    <x v="0"/>
  </r>
  <r>
    <n v="3682"/>
    <s v="HOMBRE"/>
    <n v="4055865"/>
    <x v="0"/>
    <x v="1"/>
    <s v="SI"/>
    <s v="NO"/>
    <s v="NO"/>
    <n v="48"/>
    <n v="0.42489229332154227"/>
    <s v="No"/>
    <n v="0.3081615155232445"/>
    <s v="No"/>
    <n v="4055865"/>
    <n v="48"/>
    <x v="0"/>
  </r>
  <r>
    <n v="3683"/>
    <s v="HOMBRE"/>
    <n v="299647"/>
    <x v="2"/>
    <x v="1"/>
    <s v="SI"/>
    <s v="NO"/>
    <s v="NO"/>
    <n v="68"/>
    <n v="1.8363988948642924"/>
    <s v="No"/>
    <n v="0.37066763460334595"/>
    <s v="No"/>
    <n v="299647"/>
    <n v="68"/>
    <x v="2"/>
  </r>
  <r>
    <n v="3684"/>
    <s v="HOMBRE"/>
    <n v="2445742"/>
    <x v="0"/>
    <x v="1"/>
    <s v="SI"/>
    <s v="NO"/>
    <s v="NO"/>
    <n v="42"/>
    <n v="1.4403128587172659E-3"/>
    <s v="No"/>
    <n v="0.33495509884870917"/>
    <s v="No"/>
    <n v="2445742"/>
    <n v="42"/>
    <x v="0"/>
  </r>
  <r>
    <n v="3685"/>
    <s v="MUJER"/>
    <n v="297050"/>
    <x v="2"/>
    <x v="1"/>
    <s v="SI"/>
    <s v="NO"/>
    <s v="NO"/>
    <n v="56"/>
    <n v="0.9894949339386423"/>
    <s v="No"/>
    <n v="0.37071085051659991"/>
    <s v="No"/>
    <n v="297050"/>
    <n v="56"/>
    <x v="2"/>
  </r>
  <r>
    <n v="3686"/>
    <s v="HOMBRE"/>
    <n v="1529247"/>
    <x v="0"/>
    <x v="1"/>
    <s v="SI"/>
    <s v="NO"/>
    <s v="NO"/>
    <n v="28"/>
    <n v="0.98661430822120777"/>
    <s v="No"/>
    <n v="0.35020622261370832"/>
    <s v="No"/>
    <n v="1529247"/>
    <n v="28"/>
    <x v="0"/>
  </r>
  <r>
    <n v="3687"/>
    <s v="HOMBRE"/>
    <n v="200000"/>
    <x v="0"/>
    <x v="1"/>
    <s v="SI"/>
    <s v="NO"/>
    <s v="SI"/>
    <n v="34"/>
    <n v="0.56316232775838282"/>
    <s v="No"/>
    <n v="0.3723258310253787"/>
    <s v="No"/>
    <n v="200000"/>
    <n v="34"/>
    <x v="0"/>
  </r>
  <r>
    <n v="3688"/>
    <s v="MUJER"/>
    <n v="1203138"/>
    <x v="0"/>
    <x v="0"/>
    <s v="SI"/>
    <s v="NO"/>
    <s v="SI"/>
    <n v="37"/>
    <n v="0.35143633752697023"/>
    <s v="No"/>
    <n v="0.35563290657802904"/>
    <s v="No"/>
    <n v="1203138"/>
    <n v="37"/>
    <x v="0"/>
  </r>
  <r>
    <n v="3689"/>
    <s v="MUJER"/>
    <n v="179772"/>
    <x v="0"/>
    <x v="1"/>
    <s v="SI"/>
    <s v="NO"/>
    <s v="NO"/>
    <n v="36"/>
    <n v="0.42201166760410774"/>
    <s v="No"/>
    <n v="0.3726624392245706"/>
    <s v="No"/>
    <n v="179772"/>
    <n v="36"/>
    <x v="0"/>
  </r>
  <r>
    <n v="3690"/>
    <s v="HOMBRE"/>
    <n v="11592222"/>
    <x v="0"/>
    <x v="0"/>
    <s v="SI"/>
    <s v="NO"/>
    <s v="NO"/>
    <n v="58"/>
    <n v="1.1306455940929174"/>
    <s v="No"/>
    <n v="0.18275121503691591"/>
    <s v="No"/>
    <n v="11592222"/>
    <n v="58"/>
    <x v="0"/>
  </r>
  <r>
    <n v="3691"/>
    <s v="HOMBRE"/>
    <n v="9604055"/>
    <x v="0"/>
    <x v="1"/>
    <s v="SI"/>
    <s v="NO"/>
    <s v="NO"/>
    <n v="50"/>
    <n v="0.56604295347581735"/>
    <s v="No"/>
    <n v="0.21583571738825125"/>
    <s v="No"/>
    <n v="9604055"/>
    <n v="50"/>
    <x v="0"/>
  </r>
  <r>
    <n v="3692"/>
    <s v="MUJER"/>
    <n v="297046"/>
    <x v="2"/>
    <x v="1"/>
    <s v="SI"/>
    <s v="NO"/>
    <s v="NO"/>
    <n v="52"/>
    <n v="0.70719361363009237"/>
    <s v="No"/>
    <n v="0.37071091707942361"/>
    <s v="No"/>
    <n v="297046"/>
    <n v="52"/>
    <x v="2"/>
  </r>
  <r>
    <n v="3693"/>
    <s v="HOMBRE"/>
    <n v="297046"/>
    <x v="3"/>
    <x v="1"/>
    <s v="SI"/>
    <s v="NO"/>
    <s v="SI"/>
    <n v="33"/>
    <n v="0.63373765783552027"/>
    <s v="No"/>
    <n v="0.37071091707942361"/>
    <s v="No"/>
    <n v="297046"/>
    <n v="33"/>
    <x v="3"/>
  </r>
  <r>
    <n v="3694"/>
    <s v="HOMBRE"/>
    <n v="65377843"/>
    <x v="0"/>
    <x v="1"/>
    <s v="SI"/>
    <s v="NO"/>
    <s v="NO"/>
    <n v="40"/>
    <n v="0.13971034729555773"/>
    <s v="No"/>
    <n v="0.71227948632898075"/>
    <s v="No"/>
    <n v="65377843"/>
    <n v="40"/>
    <x v="0"/>
  </r>
  <r>
    <n v="3695"/>
    <s v="HOMBRE"/>
    <n v="53886351"/>
    <x v="0"/>
    <x v="1"/>
    <s v="SI"/>
    <s v="NO"/>
    <s v="NO"/>
    <n v="21"/>
    <n v="1.4806416187611704"/>
    <s v="No"/>
    <n v="0.52105294746461417"/>
    <s v="No"/>
    <n v="53886351"/>
    <n v="21"/>
    <x v="0"/>
  </r>
  <r>
    <n v="3696"/>
    <s v="HOMBRE"/>
    <n v="499125"/>
    <x v="0"/>
    <x v="1"/>
    <s v="SI"/>
    <s v="NO"/>
    <s v="SI"/>
    <n v="47"/>
    <n v="0.35431696324440481"/>
    <s v="No"/>
    <n v="0.36734817986939267"/>
    <s v="No"/>
    <n v="499125"/>
    <n v="47"/>
    <x v="0"/>
  </r>
  <r>
    <n v="3697"/>
    <s v="MUJER"/>
    <n v="35954427"/>
    <x v="6"/>
    <x v="1"/>
    <s v="SI"/>
    <s v="SI"/>
    <s v="NO"/>
    <n v="47"/>
    <n v="0.35431696324440481"/>
    <s v="No"/>
    <n v="0.22265307374074372"/>
    <s v="No"/>
    <n v="35954427"/>
    <n v="47"/>
    <x v="5"/>
  </r>
  <r>
    <n v="3698"/>
    <s v="MUJER"/>
    <n v="9608158"/>
    <x v="0"/>
    <x v="0"/>
    <s v="SI"/>
    <s v="NO"/>
    <s v="NO"/>
    <n v="54"/>
    <n v="0.84834427378436728"/>
    <s v="No"/>
    <n v="0.21576744057189351"/>
    <s v="No"/>
    <n v="9608158"/>
    <n v="54"/>
    <x v="0"/>
  </r>
  <r>
    <n v="3699"/>
    <s v="MUJER"/>
    <n v="445641"/>
    <x v="0"/>
    <x v="0"/>
    <s v="SI"/>
    <s v="NO"/>
    <s v="SI"/>
    <n v="41"/>
    <n v="6.9135017218420233E-2"/>
    <s v="No"/>
    <n v="0.36823819138440067"/>
    <s v="No"/>
    <n v="445641"/>
    <n v="41"/>
    <x v="0"/>
  </r>
  <r>
    <n v="3700"/>
    <s v="HOMBRE"/>
    <n v="255659"/>
    <x v="0"/>
    <x v="1"/>
    <s v="SI"/>
    <s v="SI"/>
    <s v="NO"/>
    <n v="23"/>
    <n v="1.3394909586068953"/>
    <s v="No"/>
    <n v="0.37139962597501169"/>
    <s v="No"/>
    <n v="255659"/>
    <n v="23"/>
    <x v="0"/>
  </r>
  <r>
    <n v="3701"/>
    <s v="HOMBRE"/>
    <n v="261512175"/>
    <x v="0"/>
    <x v="0"/>
    <s v="SI"/>
    <s v="NO"/>
    <s v="NO"/>
    <n v="56"/>
    <n v="0.9894949339386423"/>
    <s v="No"/>
    <n v="3.9760932244262248"/>
    <s v="Sí"/>
    <n v="261512175"/>
    <n v="56"/>
    <x v="0"/>
  </r>
  <r>
    <n v="3702"/>
    <s v="HOMBRE"/>
    <n v="94480"/>
    <x v="0"/>
    <x v="1"/>
    <s v="SI"/>
    <s v="NO"/>
    <s v="NO"/>
    <n v="54"/>
    <n v="0.84834427378436728"/>
    <s v="No"/>
    <n v="0.3740817583132337"/>
    <s v="No"/>
    <n v="94480"/>
    <n v="54"/>
    <x v="0"/>
  </r>
  <r>
    <n v="3703"/>
    <s v="HOMBRE"/>
    <n v="411667"/>
    <x v="0"/>
    <x v="1"/>
    <s v="SI"/>
    <s v="NO"/>
    <s v="NO"/>
    <n v="21"/>
    <n v="1.4806416187611704"/>
    <s v="No"/>
    <n v="0.36880354272706162"/>
    <s v="No"/>
    <n v="411667"/>
    <n v="21"/>
    <x v="0"/>
  </r>
  <r>
    <n v="3704"/>
    <s v="HOMBRE"/>
    <n v="101489"/>
    <x v="0"/>
    <x v="1"/>
    <s v="SI"/>
    <s v="NO"/>
    <s v="NO"/>
    <n v="37"/>
    <n v="0.35143633752697023"/>
    <s v="No"/>
    <n v="0.37396512360549511"/>
    <s v="No"/>
    <n v="101489"/>
    <n v="37"/>
    <x v="0"/>
  </r>
  <r>
    <n v="3705"/>
    <s v="HOMBRE"/>
    <n v="10175605"/>
    <x v="0"/>
    <x v="0"/>
    <s v="SI"/>
    <s v="NO"/>
    <s v="NO"/>
    <n v="60"/>
    <n v="1.2717962542471923"/>
    <s v="No"/>
    <n v="0.20632472192413495"/>
    <s v="No"/>
    <n v="10175605"/>
    <n v="60"/>
    <x v="0"/>
  </r>
  <r>
    <n v="3706"/>
    <s v="HOMBRE"/>
    <n v="753064"/>
    <x v="0"/>
    <x v="0"/>
    <s v="SI"/>
    <s v="NO"/>
    <s v="SI"/>
    <n v="53"/>
    <n v="0.77776894370722982"/>
    <s v="No"/>
    <n v="0.36312245565075524"/>
    <s v="No"/>
    <n v="753064"/>
    <n v="53"/>
    <x v="0"/>
  </r>
  <r>
    <n v="3707"/>
    <s v="HOMBRE"/>
    <n v="495975"/>
    <x v="3"/>
    <x v="1"/>
    <s v="SI"/>
    <s v="NO"/>
    <s v="SI"/>
    <n v="33"/>
    <n v="0.63373765783552027"/>
    <s v="No"/>
    <n v="0.36740059809301612"/>
    <s v="No"/>
    <n v="495975"/>
    <n v="33"/>
    <x v="3"/>
  </r>
  <r>
    <n v="3708"/>
    <s v="MUJER"/>
    <n v="639148"/>
    <x v="3"/>
    <x v="1"/>
    <s v="SI"/>
    <s v="NO"/>
    <s v="SI"/>
    <n v="84"/>
    <n v="2.9656041760984926"/>
    <s v="Sí"/>
    <n v="0.36501809830544912"/>
    <s v="No"/>
    <n v="639148"/>
    <n v="84"/>
    <x v="3"/>
  </r>
  <r>
    <n v="3709"/>
    <s v="MUJER"/>
    <n v="1821145"/>
    <x v="0"/>
    <x v="0"/>
    <s v="SI"/>
    <s v="NO"/>
    <s v="SI"/>
    <n v="59"/>
    <n v="1.2012209241700549"/>
    <s v="No"/>
    <n v="0.34534883383934978"/>
    <s v="No"/>
    <n v="1821145"/>
    <n v="59"/>
    <x v="0"/>
  </r>
  <r>
    <n v="3710"/>
    <s v="HOMBRE"/>
    <n v="325000"/>
    <x v="0"/>
    <x v="1"/>
    <s v="SI"/>
    <s v="NO"/>
    <s v="NO"/>
    <n v="38"/>
    <n v="0.28086100744983278"/>
    <s v="No"/>
    <n v="0.37024574278635403"/>
    <s v="No"/>
    <n v="325000"/>
    <n v="38"/>
    <x v="0"/>
  </r>
  <r>
    <n v="3711"/>
    <s v="HOMBRE"/>
    <n v="278030"/>
    <x v="4"/>
    <x v="1"/>
    <s v="SI"/>
    <s v="NO"/>
    <s v="NO"/>
    <n v="49"/>
    <n v="0.49546762339867978"/>
    <s v="No"/>
    <n v="0.37102735674304993"/>
    <s v="No"/>
    <n v="278030"/>
    <n v="49"/>
    <x v="4"/>
  </r>
  <r>
    <n v="3712"/>
    <s v="HOMBRE"/>
    <n v="97910734"/>
    <x v="0"/>
    <x v="1"/>
    <s v="SI"/>
    <s v="NO"/>
    <s v="NO"/>
    <n v="53"/>
    <n v="0.77776894370722982"/>
    <s v="No"/>
    <n v="1.253649757933547"/>
    <s v="No"/>
    <n v="97910734"/>
    <n v="53"/>
    <x v="0"/>
  </r>
  <r>
    <n v="3713"/>
    <s v="HOMBRE"/>
    <n v="297046"/>
    <x v="3"/>
    <x v="1"/>
    <s v="SI"/>
    <s v="NO"/>
    <s v="NO"/>
    <n v="39"/>
    <n v="0.21028567737269524"/>
    <s v="No"/>
    <n v="0.37071091707942361"/>
    <s v="No"/>
    <n v="297046"/>
    <n v="39"/>
    <x v="3"/>
  </r>
  <r>
    <n v="3714"/>
    <s v="MUJER"/>
    <n v="330278"/>
    <x v="0"/>
    <x v="1"/>
    <s v="SI"/>
    <s v="NO"/>
    <s v="NO"/>
    <n v="40"/>
    <n v="0.13971034729555773"/>
    <s v="No"/>
    <n v="0.37015791314054947"/>
    <s v="No"/>
    <n v="330278"/>
    <n v="40"/>
    <x v="0"/>
  </r>
  <r>
    <n v="3715"/>
    <s v="HOMBRE"/>
    <n v="476355"/>
    <x v="0"/>
    <x v="1"/>
    <s v="SI"/>
    <s v="NO"/>
    <s v="NO"/>
    <n v="48"/>
    <n v="0.42489229332154227"/>
    <s v="No"/>
    <n v="0.36772708874301341"/>
    <s v="No"/>
    <n v="476355"/>
    <n v="48"/>
    <x v="0"/>
  </r>
  <r>
    <n v="3716"/>
    <s v="HOMBRE"/>
    <n v="420000"/>
    <x v="0"/>
    <x v="1"/>
    <s v="SI"/>
    <s v="NO"/>
    <s v="NO"/>
    <n v="29"/>
    <n v="0.91603897814407031"/>
    <s v="No"/>
    <n v="0.36866487572469531"/>
    <s v="No"/>
    <n v="420000"/>
    <n v="29"/>
    <x v="0"/>
  </r>
  <r>
    <n v="3717"/>
    <s v="MUJER"/>
    <n v="1333402"/>
    <x v="0"/>
    <x v="0"/>
    <s v="SI"/>
    <s v="NO"/>
    <s v="NO"/>
    <n v="39"/>
    <n v="0.21028567737269524"/>
    <s v="No"/>
    <n v="0.35346522166308258"/>
    <s v="No"/>
    <n v="1333402"/>
    <n v="39"/>
    <x v="0"/>
  </r>
  <r>
    <n v="3718"/>
    <s v="HOMBRE"/>
    <n v="356657"/>
    <x v="2"/>
    <x v="1"/>
    <s v="SI"/>
    <s v="NO"/>
    <s v="SI"/>
    <n v="61"/>
    <n v="1.3423715843243298"/>
    <s v="No"/>
    <n v="0.36971894795929161"/>
    <s v="No"/>
    <n v="356657"/>
    <n v="61"/>
    <x v="2"/>
  </r>
  <r>
    <n v="3719"/>
    <s v="MUJER"/>
    <n v="297046"/>
    <x v="2"/>
    <x v="1"/>
    <s v="SI"/>
    <s v="SI"/>
    <s v="NO"/>
    <n v="31"/>
    <n v="0.77488831798979529"/>
    <s v="No"/>
    <n v="0.37071091707942361"/>
    <s v="No"/>
    <n v="297046"/>
    <n v="31"/>
    <x v="2"/>
  </r>
  <r>
    <n v="3720"/>
    <s v="HOMBRE"/>
    <n v="239421"/>
    <x v="0"/>
    <x v="1"/>
    <s v="SI"/>
    <s v="SI"/>
    <s v="NO"/>
    <n v="22"/>
    <n v="1.4100662886840327"/>
    <s v="No"/>
    <n v="0.37166983775761392"/>
    <s v="No"/>
    <n v="239421"/>
    <n v="22"/>
    <x v="0"/>
  </r>
  <r>
    <n v="3721"/>
    <s v="HOMBRE"/>
    <n v="20239655"/>
    <x v="0"/>
    <x v="1"/>
    <s v="SI"/>
    <s v="NO"/>
    <s v="NO"/>
    <n v="36"/>
    <n v="0.42201166760410774"/>
    <s v="No"/>
    <n v="3.8851825588486946E-2"/>
    <s v="No"/>
    <n v="20239655"/>
    <n v="36"/>
    <x v="0"/>
  </r>
  <r>
    <n v="3722"/>
    <s v="HOMBRE"/>
    <n v="260000"/>
    <x v="0"/>
    <x v="1"/>
    <s v="SI"/>
    <s v="NO"/>
    <s v="SI"/>
    <n v="37"/>
    <n v="0.35143633752697023"/>
    <s v="No"/>
    <n v="0.37132738867064685"/>
    <s v="No"/>
    <n v="260000"/>
    <n v="37"/>
    <x v="0"/>
  </r>
  <r>
    <n v="3723"/>
    <s v="MUJER"/>
    <n v="85803205"/>
    <x v="0"/>
    <x v="0"/>
    <s v="SI"/>
    <s v="NO"/>
    <s v="NO"/>
    <n v="53"/>
    <n v="0.77776894370722982"/>
    <s v="No"/>
    <n v="1.0521719285211484"/>
    <s v="No"/>
    <n v="85803205"/>
    <n v="53"/>
    <x v="0"/>
  </r>
  <r>
    <n v="3724"/>
    <s v="MUJER"/>
    <n v="203655625"/>
    <x v="0"/>
    <x v="1"/>
    <s v="SI"/>
    <s v="NO"/>
    <s v="NO"/>
    <n v="37"/>
    <n v="0.35143633752697023"/>
    <s v="No"/>
    <n v="3.0133193907818931"/>
    <s v="Sí"/>
    <n v="203655625"/>
    <n v="37"/>
    <x v="0"/>
  </r>
  <r>
    <n v="3725"/>
    <s v="HOMBRE"/>
    <n v="454518"/>
    <x v="0"/>
    <x v="1"/>
    <s v="SI"/>
    <s v="NO"/>
    <s v="NO"/>
    <n v="35"/>
    <n v="0.49258699768124525"/>
    <s v="No"/>
    <n v="0.36809047183801807"/>
    <s v="No"/>
    <n v="454518"/>
    <n v="35"/>
    <x v="0"/>
  </r>
  <r>
    <n v="3726"/>
    <s v="HOMBRE"/>
    <n v="45961628"/>
    <x v="0"/>
    <x v="1"/>
    <s v="SI"/>
    <s v="NO"/>
    <s v="NO"/>
    <n v="28"/>
    <n v="0.98661430822120777"/>
    <s v="No"/>
    <n v="0.38917996258598919"/>
    <s v="No"/>
    <n v="45961628"/>
    <n v="28"/>
    <x v="0"/>
  </r>
  <r>
    <n v="3727"/>
    <s v="HOMBRE"/>
    <n v="299744"/>
    <x v="3"/>
    <x v="1"/>
    <s v="SI"/>
    <s v="NO"/>
    <s v="NO"/>
    <n v="40"/>
    <n v="0.13971034729555773"/>
    <s v="No"/>
    <n v="0.37066602045487246"/>
    <s v="No"/>
    <n v="299744"/>
    <n v="40"/>
    <x v="3"/>
  </r>
  <r>
    <n v="3728"/>
    <s v="HOMBRE"/>
    <n v="259037315"/>
    <x v="0"/>
    <x v="0"/>
    <s v="SI"/>
    <s v="NO"/>
    <s v="NO"/>
    <n v="56"/>
    <n v="0.9894949339386423"/>
    <s v="No"/>
    <n v="3.9349098069923643"/>
    <s v="Sí"/>
    <n v="259037315"/>
    <n v="56"/>
    <x v="0"/>
  </r>
  <r>
    <n v="3729"/>
    <s v="HOMBRE"/>
    <n v="5514689"/>
    <x v="0"/>
    <x v="1"/>
    <s v="SI"/>
    <s v="NO"/>
    <s v="NO"/>
    <n v="38"/>
    <n v="0.28086100744983278"/>
    <s v="No"/>
    <n v="0.28388565436158936"/>
    <s v="No"/>
    <n v="5514689"/>
    <n v="38"/>
    <x v="0"/>
  </r>
  <r>
    <n v="3730"/>
    <s v="HOMBRE"/>
    <n v="550000"/>
    <x v="0"/>
    <x v="1"/>
    <s v="SI"/>
    <s v="NO"/>
    <s v="NO"/>
    <n v="58"/>
    <n v="1.1306455940929174"/>
    <s v="No"/>
    <n v="0.36650158395610966"/>
    <s v="No"/>
    <n v="550000"/>
    <n v="58"/>
    <x v="0"/>
  </r>
  <r>
    <n v="3731"/>
    <s v="HOMBRE"/>
    <n v="118292987"/>
    <x v="0"/>
    <x v="1"/>
    <s v="SI"/>
    <s v="NO"/>
    <s v="NO"/>
    <n v="32"/>
    <n v="0.70431298791265773"/>
    <s v="No"/>
    <n v="1.5928248359345456"/>
    <s v="No"/>
    <n v="118292987"/>
    <n v="32"/>
    <x v="0"/>
  </r>
  <r>
    <n v="3732"/>
    <s v="HOMBRE"/>
    <n v="72845402"/>
    <x v="0"/>
    <x v="1"/>
    <s v="SI"/>
    <s v="NO"/>
    <s v="NO"/>
    <n v="35"/>
    <n v="0.49258699768124525"/>
    <s v="No"/>
    <n v="0.83654493952996201"/>
    <s v="No"/>
    <n v="72845402"/>
    <n v="35"/>
    <x v="0"/>
  </r>
  <r>
    <n v="3733"/>
    <s v="HOMBRE"/>
    <n v="53333333"/>
    <x v="0"/>
    <x v="1"/>
    <s v="SI"/>
    <s v="NO"/>
    <s v="NO"/>
    <n v="27"/>
    <n v="1.0571896382983452"/>
    <s v="No"/>
    <n v="0.51185033756246268"/>
    <s v="No"/>
    <n v="53333333"/>
    <n v="27"/>
    <x v="0"/>
  </r>
  <r>
    <n v="3734"/>
    <s v="MUJER"/>
    <n v="319879"/>
    <x v="0"/>
    <x v="0"/>
    <s v="SI"/>
    <s v="NO"/>
    <s v="SI"/>
    <n v="54"/>
    <n v="0.84834427378436728"/>
    <s v="No"/>
    <n v="0.37033095984133041"/>
    <s v="No"/>
    <n v="319879"/>
    <n v="54"/>
    <x v="0"/>
  </r>
  <r>
    <n v="3735"/>
    <s v="HOMBRE"/>
    <n v="32956"/>
    <x v="0"/>
    <x v="1"/>
    <s v="SI"/>
    <s v="NO"/>
    <s v="NO"/>
    <n v="22"/>
    <n v="1.4100662886840327"/>
    <s v="No"/>
    <n v="0.37510556110377574"/>
    <s v="No"/>
    <n v="32956"/>
    <n v="22"/>
    <x v="0"/>
  </r>
  <r>
    <n v="3736"/>
    <s v="HOMBRE"/>
    <n v="450000"/>
    <x v="0"/>
    <x v="1"/>
    <s v="SI"/>
    <s v="NO"/>
    <s v="NO"/>
    <n v="24"/>
    <n v="1.2689156285297578"/>
    <s v="No"/>
    <n v="0.36816565454732936"/>
    <s v="No"/>
    <n v="450000"/>
    <n v="24"/>
    <x v="0"/>
  </r>
  <r>
    <n v="3737"/>
    <s v="MUJER"/>
    <n v="68260723"/>
    <x v="0"/>
    <x v="1"/>
    <s v="SI"/>
    <s v="NO"/>
    <s v="SI"/>
    <n v="28"/>
    <n v="0.98661430822120777"/>
    <s v="No"/>
    <n v="0.76025264458913577"/>
    <s v="No"/>
    <n v="68260723"/>
    <n v="28"/>
    <x v="0"/>
  </r>
  <r>
    <n v="3738"/>
    <s v="MUJER"/>
    <n v="1326562"/>
    <x v="1"/>
    <x v="0"/>
    <s v="SI"/>
    <s v="NO"/>
    <s v="NO"/>
    <n v="59"/>
    <n v="1.2012209241700549"/>
    <s v="No"/>
    <n v="0.35357904409152202"/>
    <s v="No"/>
    <n v="1326562"/>
    <n v="59"/>
    <x v="1"/>
  </r>
  <r>
    <n v="3739"/>
    <s v="HOMBRE"/>
    <n v="195000"/>
    <x v="0"/>
    <x v="1"/>
    <s v="SI"/>
    <s v="NO"/>
    <s v="NO"/>
    <n v="28"/>
    <n v="0.98661430822120777"/>
    <s v="No"/>
    <n v="0.37240903455493968"/>
    <s v="No"/>
    <n v="195000"/>
    <n v="28"/>
    <x v="0"/>
  </r>
  <r>
    <n v="3740"/>
    <s v="MUJER"/>
    <n v="297046"/>
    <x v="3"/>
    <x v="1"/>
    <s v="SI"/>
    <s v="NO"/>
    <s v="NO"/>
    <n v="47"/>
    <n v="0.35431696324440481"/>
    <s v="No"/>
    <n v="0.37071091707942361"/>
    <s v="No"/>
    <n v="297046"/>
    <n v="47"/>
    <x v="3"/>
  </r>
  <r>
    <n v="3741"/>
    <s v="HOMBRE"/>
    <n v="840549"/>
    <x v="0"/>
    <x v="0"/>
    <s v="SI"/>
    <s v="NO"/>
    <s v="NO"/>
    <n v="54"/>
    <n v="0.84834427378436728"/>
    <s v="No"/>
    <n v="0.36166664349402666"/>
    <s v="No"/>
    <n v="840549"/>
    <n v="54"/>
    <x v="0"/>
  </r>
  <r>
    <n v="3742"/>
    <s v="MUJER"/>
    <n v="13432655"/>
    <x v="0"/>
    <x v="0"/>
    <s v="SI"/>
    <s v="NO"/>
    <s v="NO"/>
    <n v="40"/>
    <n v="0.13971034729555773"/>
    <s v="No"/>
    <n v="0.15212511073281312"/>
    <s v="No"/>
    <n v="13432655"/>
    <n v="40"/>
    <x v="0"/>
  </r>
  <r>
    <n v="3743"/>
    <s v="HOMBRE"/>
    <n v="600000"/>
    <x v="0"/>
    <x v="1"/>
    <s v="SI"/>
    <s v="NO"/>
    <s v="NO"/>
    <n v="53"/>
    <n v="0.77776894370722982"/>
    <s v="No"/>
    <n v="0.36566954866049978"/>
    <s v="No"/>
    <n v="600000"/>
    <n v="53"/>
    <x v="0"/>
  </r>
  <r>
    <n v="3744"/>
    <s v="HOMBRE"/>
    <n v="795414"/>
    <x v="0"/>
    <x v="1"/>
    <s v="SI"/>
    <s v="NO"/>
    <s v="NO"/>
    <n v="22"/>
    <n v="1.4100662886840327"/>
    <s v="No"/>
    <n v="0.36241772175537368"/>
    <s v="No"/>
    <n v="795414"/>
    <n v="22"/>
    <x v="0"/>
  </r>
  <r>
    <n v="3745"/>
    <s v="MUJER"/>
    <n v="359545"/>
    <x v="0"/>
    <x v="1"/>
    <s v="SI"/>
    <s v="NO"/>
    <s v="NO"/>
    <n v="30"/>
    <n v="0.84546364806693275"/>
    <s v="No"/>
    <n v="0.36967088960061717"/>
    <s v="No"/>
    <n v="359545"/>
    <n v="30"/>
    <x v="0"/>
  </r>
  <r>
    <n v="3746"/>
    <s v="MUJER"/>
    <n v="351185"/>
    <x v="0"/>
    <x v="1"/>
    <s v="SI"/>
    <s v="NO"/>
    <s v="NO"/>
    <n v="50"/>
    <n v="0.56604295347581735"/>
    <s v="No"/>
    <n v="0.36981000590204316"/>
    <s v="No"/>
    <n v="351185"/>
    <n v="50"/>
    <x v="0"/>
  </r>
  <r>
    <n v="3747"/>
    <s v="HOMBRE"/>
    <n v="39521886"/>
    <x v="0"/>
    <x v="1"/>
    <s v="SI"/>
    <s v="NO"/>
    <s v="NO"/>
    <n v="20"/>
    <n v="1.5512169488383079"/>
    <s v="No"/>
    <n v="0.28201810981356473"/>
    <s v="No"/>
    <n v="39521886"/>
    <n v="20"/>
    <x v="0"/>
  </r>
  <r>
    <n v="3748"/>
    <s v="HOMBRE"/>
    <n v="241119"/>
    <x v="0"/>
    <x v="1"/>
    <s v="SI"/>
    <s v="NO"/>
    <s v="NO"/>
    <n v="47"/>
    <n v="0.35431696324440481"/>
    <s v="No"/>
    <n v="0.37164158183897505"/>
    <s v="No"/>
    <n v="241119"/>
    <n v="47"/>
    <x v="0"/>
  </r>
  <r>
    <n v="3749"/>
    <s v="HOMBRE"/>
    <n v="445567"/>
    <x v="3"/>
    <x v="1"/>
    <s v="SI"/>
    <s v="NO"/>
    <s v="SI"/>
    <n v="50"/>
    <n v="0.56604295347581735"/>
    <s v="No"/>
    <n v="0.36823942279663813"/>
    <s v="No"/>
    <n v="445567"/>
    <n v="50"/>
    <x v="3"/>
  </r>
  <r>
    <n v="3750"/>
    <s v="HOMBRE"/>
    <n v="111677984"/>
    <x v="0"/>
    <x v="1"/>
    <s v="SI"/>
    <s v="NO"/>
    <s v="NO"/>
    <n v="42"/>
    <n v="1.4403128587172659E-3"/>
    <s v="No"/>
    <n v="1.4827465164032436"/>
    <s v="No"/>
    <n v="111677984"/>
    <n v="42"/>
    <x v="0"/>
  </r>
  <r>
    <n v="3751"/>
    <s v="HOMBRE"/>
    <n v="49995833"/>
    <x v="0"/>
    <x v="1"/>
    <s v="SI"/>
    <s v="NO"/>
    <s v="NO"/>
    <n v="27"/>
    <n v="1.0571896382983452"/>
    <s v="No"/>
    <n v="0.45631198158050462"/>
    <s v="No"/>
    <n v="49995833"/>
    <n v="27"/>
    <x v="0"/>
  </r>
  <r>
    <n v="3752"/>
    <s v="MUJER"/>
    <n v="250000"/>
    <x v="0"/>
    <x v="1"/>
    <s v="SI"/>
    <s v="NO"/>
    <s v="NO"/>
    <n v="29"/>
    <n v="0.91603897814407031"/>
    <s v="No"/>
    <n v="0.37149379572976882"/>
    <s v="No"/>
    <n v="250000"/>
    <n v="29"/>
    <x v="0"/>
  </r>
  <r>
    <n v="3753"/>
    <s v="HOMBRE"/>
    <n v="314424"/>
    <x v="0"/>
    <x v="1"/>
    <s v="SI"/>
    <s v="NO"/>
    <s v="NO"/>
    <n v="24"/>
    <n v="1.2689156285297578"/>
    <s v="No"/>
    <n v="0.37042173489208141"/>
    <s v="No"/>
    <n v="314424"/>
    <n v="24"/>
    <x v="0"/>
  </r>
  <r>
    <n v="3754"/>
    <s v="MUJER"/>
    <n v="367892"/>
    <x v="0"/>
    <x v="0"/>
    <s v="SI"/>
    <s v="NO"/>
    <s v="SI"/>
    <n v="43"/>
    <n v="7.2015642935854773E-2"/>
    <s v="No"/>
    <n v="0.36953198962836808"/>
    <s v="No"/>
    <n v="367892"/>
    <n v="43"/>
    <x v="0"/>
  </r>
  <r>
    <n v="3755"/>
    <s v="HOMBRE"/>
    <n v="36118029"/>
    <x v="0"/>
    <x v="0"/>
    <s v="SI"/>
    <s v="NO"/>
    <s v="NO"/>
    <n v="28"/>
    <n v="0.98661430822120777"/>
    <s v="No"/>
    <n v="0.22537552650939099"/>
    <s v="No"/>
    <n v="36118029"/>
    <n v="28"/>
    <x v="0"/>
  </r>
  <r>
    <n v="3756"/>
    <s v="HOMBRE"/>
    <n v="330000"/>
    <x v="0"/>
    <x v="1"/>
    <s v="SI"/>
    <s v="NO"/>
    <s v="NO"/>
    <n v="33"/>
    <n v="0.63373765783552027"/>
    <s v="No"/>
    <n v="0.37016253925679304"/>
    <s v="No"/>
    <n v="330000"/>
    <n v="33"/>
    <x v="0"/>
  </r>
  <r>
    <n v="3757"/>
    <s v="MUJER"/>
    <n v="35954427"/>
    <x v="6"/>
    <x v="1"/>
    <s v="SI"/>
    <s v="SI"/>
    <s v="NO"/>
    <n v="40"/>
    <n v="0.13971034729555773"/>
    <s v="No"/>
    <n v="0.22265307374074372"/>
    <s v="No"/>
    <n v="35954427"/>
    <n v="40"/>
    <x v="5"/>
  </r>
  <r>
    <n v="3758"/>
    <s v="MUJER"/>
    <n v="204800"/>
    <x v="0"/>
    <x v="1"/>
    <s v="SI"/>
    <s v="NO"/>
    <s v="SI"/>
    <n v="31"/>
    <n v="0.77488831798979529"/>
    <s v="No"/>
    <n v="0.37224595563700014"/>
    <s v="No"/>
    <n v="204800"/>
    <n v="31"/>
    <x v="0"/>
  </r>
  <r>
    <n v="3759"/>
    <s v="HOMBRE"/>
    <n v="55315981"/>
    <x v="0"/>
    <x v="1"/>
    <s v="SI"/>
    <s v="NO"/>
    <s v="NO"/>
    <n v="21"/>
    <n v="1.4806416187611704"/>
    <s v="No"/>
    <n v="0.54484299985786866"/>
    <s v="No"/>
    <n v="55315981"/>
    <n v="21"/>
    <x v="0"/>
  </r>
  <r>
    <n v="3760"/>
    <s v="HOMBRE"/>
    <n v="370000"/>
    <x v="0"/>
    <x v="1"/>
    <s v="SI"/>
    <s v="NO"/>
    <s v="NO"/>
    <n v="21"/>
    <n v="1.4806416187611704"/>
    <s v="No"/>
    <n v="0.36949691102030513"/>
    <s v="No"/>
    <n v="370000"/>
    <n v="21"/>
    <x v="0"/>
  </r>
  <r>
    <n v="3761"/>
    <s v="MUJER"/>
    <n v="64074544"/>
    <x v="0"/>
    <x v="1"/>
    <s v="SI"/>
    <s v="NO"/>
    <s v="NO"/>
    <n v="43"/>
    <n v="7.2015642935854773E-2"/>
    <s v="No"/>
    <n v="0.69059167095432006"/>
    <s v="No"/>
    <n v="64074544"/>
    <n v="43"/>
    <x v="0"/>
  </r>
  <r>
    <n v="3762"/>
    <s v="HOMBRE"/>
    <n v="3081665"/>
    <x v="0"/>
    <x v="0"/>
    <s v="SI"/>
    <s v="NO"/>
    <s v="NO"/>
    <n v="52"/>
    <n v="0.70719361363009237"/>
    <s v="No"/>
    <n v="0.32437289122290697"/>
    <s v="No"/>
    <n v="3081665"/>
    <n v="52"/>
    <x v="0"/>
  </r>
  <r>
    <n v="3763"/>
    <s v="HOMBRE"/>
    <n v="486069"/>
    <x v="3"/>
    <x v="1"/>
    <s v="SI"/>
    <s v="NO"/>
    <s v="SI"/>
    <n v="48"/>
    <n v="0.42489229332154227"/>
    <s v="No"/>
    <n v="0.36756544092578236"/>
    <s v="No"/>
    <n v="486069"/>
    <n v="48"/>
    <x v="3"/>
  </r>
  <r>
    <n v="3764"/>
    <s v="MUJER"/>
    <n v="100900"/>
    <x v="0"/>
    <x v="1"/>
    <s v="SI"/>
    <s v="SI"/>
    <s v="NO"/>
    <n v="62"/>
    <n v="1.4129469144014672"/>
    <s v="No"/>
    <n v="0.37397492498127743"/>
    <s v="No"/>
    <n v="100900"/>
    <n v="62"/>
    <x v="0"/>
  </r>
  <r>
    <n v="3765"/>
    <s v="MUJER"/>
    <n v="158920"/>
    <x v="0"/>
    <x v="1"/>
    <s v="SI"/>
    <s v="NO"/>
    <s v="NO"/>
    <n v="39"/>
    <n v="0.21028567737269524"/>
    <s v="No"/>
    <n v="0.37300943122425173"/>
    <s v="No"/>
    <n v="158920"/>
    <n v="39"/>
    <x v="0"/>
  </r>
  <r>
    <n v="3766"/>
    <s v="HOMBRE"/>
    <n v="297046"/>
    <x v="2"/>
    <x v="1"/>
    <s v="SI"/>
    <s v="SI"/>
    <s v="NO"/>
    <n v="50"/>
    <n v="0.56604295347581735"/>
    <s v="No"/>
    <n v="0.37071091707942361"/>
    <s v="No"/>
    <n v="297046"/>
    <n v="50"/>
    <x v="2"/>
  </r>
  <r>
    <n v="3767"/>
    <s v="MUJER"/>
    <n v="297046"/>
    <x v="3"/>
    <x v="1"/>
    <s v="SI"/>
    <s v="NO"/>
    <s v="SI"/>
    <n v="39"/>
    <n v="0.21028567737269524"/>
    <s v="No"/>
    <n v="0.37071091707942361"/>
    <s v="No"/>
    <n v="297046"/>
    <n v="39"/>
    <x v="3"/>
  </r>
  <r>
    <n v="3768"/>
    <s v="MUJER"/>
    <n v="2485588"/>
    <x v="0"/>
    <x v="1"/>
    <s v="SI"/>
    <s v="NO"/>
    <s v="NO"/>
    <n v="23"/>
    <n v="1.3394909586068953"/>
    <s v="No"/>
    <n v="0.33429203328093177"/>
    <s v="No"/>
    <n v="2485588"/>
    <n v="23"/>
    <x v="0"/>
  </r>
  <r>
    <n v="3769"/>
    <s v="HOMBRE"/>
    <n v="300000"/>
    <x v="0"/>
    <x v="1"/>
    <s v="SI"/>
    <s v="NO"/>
    <s v="NO"/>
    <n v="22"/>
    <n v="1.4100662886840327"/>
    <s v="No"/>
    <n v="0.37066176043415894"/>
    <s v="No"/>
    <n v="300000"/>
    <n v="22"/>
    <x v="0"/>
  </r>
  <r>
    <n v="3770"/>
    <s v="HOMBRE"/>
    <n v="7190424"/>
    <x v="0"/>
    <x v="1"/>
    <s v="SI"/>
    <s v="NO"/>
    <s v="NO"/>
    <n v="47"/>
    <n v="0.35431696324440481"/>
    <s v="No"/>
    <n v="0.25600024103981361"/>
    <s v="No"/>
    <n v="7190424"/>
    <n v="47"/>
    <x v="0"/>
  </r>
  <r>
    <n v="3771"/>
    <s v="HOMBRE"/>
    <n v="1450000"/>
    <x v="0"/>
    <x v="1"/>
    <s v="SI"/>
    <s v="NO"/>
    <s v="NO"/>
    <n v="40"/>
    <n v="0.13971034729555773"/>
    <s v="No"/>
    <n v="0.35152494863513217"/>
    <s v="No"/>
    <n v="1450000"/>
    <n v="40"/>
    <x v="0"/>
  </r>
  <r>
    <n v="3772"/>
    <s v="MUJER"/>
    <n v="297046"/>
    <x v="3"/>
    <x v="1"/>
    <s v="SI"/>
    <s v="SI"/>
    <s v="NO"/>
    <n v="48"/>
    <n v="0.42489229332154227"/>
    <s v="No"/>
    <n v="0.37071091707942361"/>
    <s v="No"/>
    <n v="297046"/>
    <n v="48"/>
    <x v="3"/>
  </r>
  <r>
    <n v="3773"/>
    <s v="HOMBRE"/>
    <n v="343798"/>
    <x v="0"/>
    <x v="1"/>
    <s v="SI"/>
    <s v="NO"/>
    <s v="NO"/>
    <n v="62"/>
    <n v="1.4129469144014672"/>
    <s v="No"/>
    <n v="0.36993293079661654"/>
    <s v="No"/>
    <n v="343798"/>
    <n v="62"/>
    <x v="0"/>
  </r>
  <r>
    <n v="3774"/>
    <s v="HOMBRE"/>
    <n v="92730189"/>
    <x v="0"/>
    <x v="0"/>
    <s v="SI"/>
    <s v="NO"/>
    <s v="NO"/>
    <n v="37"/>
    <n v="0.35143633752697023"/>
    <s v="No"/>
    <n v="1.1674418321236435"/>
    <s v="No"/>
    <n v="92730189"/>
    <n v="37"/>
    <x v="0"/>
  </r>
  <r>
    <n v="3775"/>
    <s v="HOMBRE"/>
    <n v="67045576"/>
    <x v="0"/>
    <x v="1"/>
    <s v="SI"/>
    <s v="NO"/>
    <s v="NO"/>
    <n v="33"/>
    <n v="0.63373765783552027"/>
    <s v="No"/>
    <n v="0.74003174072204703"/>
    <s v="No"/>
    <n v="67045576"/>
    <n v="33"/>
    <x v="0"/>
  </r>
  <r>
    <n v="3776"/>
    <s v="HOMBRE"/>
    <n v="55902246"/>
    <x v="0"/>
    <x v="1"/>
    <s v="SI"/>
    <s v="NO"/>
    <s v="NO"/>
    <n v="38"/>
    <n v="0.28086100744983278"/>
    <s v="No"/>
    <n v="0.55459886330948294"/>
    <s v="No"/>
    <n v="55902246"/>
    <n v="38"/>
    <x v="0"/>
  </r>
  <r>
    <n v="3777"/>
    <s v="HOMBRE"/>
    <n v="581009"/>
    <x v="0"/>
    <x v="1"/>
    <s v="SI"/>
    <s v="NO"/>
    <s v="NO"/>
    <n v="49"/>
    <n v="0.49546762339867978"/>
    <s v="No"/>
    <n v="0.36598557230647832"/>
    <s v="No"/>
    <n v="581009"/>
    <n v="49"/>
    <x v="0"/>
  </r>
  <r>
    <n v="3778"/>
    <s v="MUJER"/>
    <n v="1608290"/>
    <x v="0"/>
    <x v="0"/>
    <s v="SI"/>
    <s v="NO"/>
    <s v="NO"/>
    <n v="36"/>
    <n v="0.42201166760410774"/>
    <s v="No"/>
    <n v="0.34889089129629053"/>
    <s v="No"/>
    <n v="1608290"/>
    <n v="36"/>
    <x v="0"/>
  </r>
  <r>
    <n v="3779"/>
    <s v="MUJER"/>
    <n v="1168690"/>
    <x v="0"/>
    <x v="1"/>
    <s v="SI"/>
    <s v="SI"/>
    <s v="NO"/>
    <n v="54"/>
    <n v="0.84834427378436728"/>
    <s v="No"/>
    <n v="0.3562061456152924"/>
    <s v="No"/>
    <n v="1168690"/>
    <n v="54"/>
    <x v="0"/>
  </r>
  <r>
    <n v="3780"/>
    <s v="MUJER"/>
    <n v="110900129"/>
    <x v="0"/>
    <x v="1"/>
    <s v="SI"/>
    <s v="NO"/>
    <s v="NO"/>
    <n v="49"/>
    <n v="0.49546762339867978"/>
    <s v="No"/>
    <n v="1.4698024601059114"/>
    <s v="No"/>
    <n v="110900129"/>
    <n v="49"/>
    <x v="0"/>
  </r>
  <r>
    <n v="3781"/>
    <s v="HOMBRE"/>
    <n v="40961624"/>
    <x v="0"/>
    <x v="1"/>
    <s v="SI"/>
    <s v="NO"/>
    <s v="NO"/>
    <n v="57"/>
    <n v="1.0600702640157798"/>
    <s v="No"/>
    <n v="0.30597636646217968"/>
    <s v="No"/>
    <n v="40961624"/>
    <n v="57"/>
    <x v="0"/>
  </r>
  <r>
    <n v="3782"/>
    <s v="MUJER"/>
    <n v="184000"/>
    <x v="0"/>
    <x v="1"/>
    <s v="SI"/>
    <s v="NO"/>
    <s v="NO"/>
    <n v="53"/>
    <n v="0.77776894370722982"/>
    <s v="No"/>
    <n v="0.37259208231997382"/>
    <s v="No"/>
    <n v="184000"/>
    <n v="53"/>
    <x v="0"/>
  </r>
  <r>
    <n v="3783"/>
    <s v="HOMBRE"/>
    <n v="113333"/>
    <x v="0"/>
    <x v="1"/>
    <s v="SI"/>
    <s v="NO"/>
    <s v="NO"/>
    <n v="38"/>
    <n v="0.28086100744983278"/>
    <s v="No"/>
    <n v="0.37376803108467105"/>
    <s v="No"/>
    <n v="113333"/>
    <n v="38"/>
    <x v="0"/>
  </r>
  <r>
    <n v="3784"/>
    <s v="HOMBRE"/>
    <n v="278030"/>
    <x v="3"/>
    <x v="1"/>
    <s v="SI"/>
    <s v="NO"/>
    <s v="NO"/>
    <n v="24"/>
    <n v="1.2689156285297578"/>
    <s v="No"/>
    <n v="0.37102735674304993"/>
    <s v="No"/>
    <n v="278030"/>
    <n v="24"/>
    <x v="3"/>
  </r>
  <r>
    <n v="3785"/>
    <s v="HOMBRE"/>
    <n v="297046"/>
    <x v="3"/>
    <x v="1"/>
    <s v="SI"/>
    <s v="NO"/>
    <s v="NO"/>
    <n v="60"/>
    <n v="1.2717962542471923"/>
    <s v="No"/>
    <n v="0.37071091707942361"/>
    <s v="No"/>
    <n v="297046"/>
    <n v="60"/>
    <x v="3"/>
  </r>
  <r>
    <n v="3786"/>
    <s v="MUJER"/>
    <n v="70768019"/>
    <x v="0"/>
    <x v="1"/>
    <s v="SI"/>
    <s v="NO"/>
    <s v="NO"/>
    <n v="19"/>
    <n v="1.6217922789154453"/>
    <s v="No"/>
    <n v="0.80197581995996403"/>
    <s v="No"/>
    <n v="70768019"/>
    <n v="19"/>
    <x v="0"/>
  </r>
  <r>
    <n v="3787"/>
    <s v="MUJER"/>
    <n v="361811"/>
    <x v="3"/>
    <x v="1"/>
    <s v="SI"/>
    <s v="NO"/>
    <s v="NO"/>
    <n v="48"/>
    <n v="0.42489229332154227"/>
    <s v="No"/>
    <n v="0.36963318176102011"/>
    <s v="No"/>
    <n v="361811"/>
    <n v="48"/>
    <x v="3"/>
  </r>
  <r>
    <n v="3788"/>
    <s v="MUJER"/>
    <n v="35015837"/>
    <x v="0"/>
    <x v="1"/>
    <s v="SI"/>
    <s v="NO"/>
    <s v="NO"/>
    <n v="36"/>
    <n v="0.42201166760410774"/>
    <s v="No"/>
    <n v="0.20703427357861456"/>
    <s v="No"/>
    <n v="35015837"/>
    <n v="36"/>
    <x v="0"/>
  </r>
  <r>
    <n v="3789"/>
    <s v="HOMBRE"/>
    <n v="4591017"/>
    <x v="1"/>
    <x v="0"/>
    <s v="SI"/>
    <s v="NO"/>
    <s v="NO"/>
    <n v="65"/>
    <n v="1.6246729046328798"/>
    <s v="No"/>
    <n v="0.29925620847292034"/>
    <s v="No"/>
    <n v="4591017"/>
    <n v="65"/>
    <x v="1"/>
  </r>
  <r>
    <n v="3790"/>
    <s v="HOMBRE"/>
    <n v="2369994"/>
    <x v="0"/>
    <x v="0"/>
    <s v="SI"/>
    <s v="NO"/>
    <s v="NO"/>
    <n v="59"/>
    <n v="1.2012209241700549"/>
    <s v="No"/>
    <n v="0.33621559904014625"/>
    <s v="No"/>
    <n v="2369994"/>
    <n v="59"/>
    <x v="0"/>
  </r>
  <r>
    <n v="3791"/>
    <s v="HOMBRE"/>
    <n v="340000"/>
    <x v="0"/>
    <x v="1"/>
    <s v="SI"/>
    <s v="SI"/>
    <s v="SI"/>
    <n v="43"/>
    <n v="7.2015642935854773E-2"/>
    <s v="No"/>
    <n v="0.36999613219767108"/>
    <s v="No"/>
    <n v="340000"/>
    <n v="43"/>
    <x v="0"/>
  </r>
  <r>
    <n v="3792"/>
    <s v="MUJER"/>
    <n v="284340"/>
    <x v="0"/>
    <x v="1"/>
    <s v="SI"/>
    <s v="NO"/>
    <s v="NO"/>
    <n v="20"/>
    <n v="1.5512169488383079"/>
    <s v="No"/>
    <n v="0.37092235388874395"/>
    <s v="No"/>
    <n v="284340"/>
    <n v="20"/>
    <x v="0"/>
  </r>
  <r>
    <n v="3793"/>
    <s v="MUJER"/>
    <n v="1927866"/>
    <x v="1"/>
    <x v="0"/>
    <s v="SI"/>
    <s v="NO"/>
    <s v="NO"/>
    <n v="70"/>
    <n v="1.9775495550185673"/>
    <s v="Sí"/>
    <n v="0.34357292106369419"/>
    <s v="No"/>
    <n v="1927866"/>
    <n v="70"/>
    <x v="1"/>
  </r>
  <r>
    <n v="3794"/>
    <s v="HOMBRE"/>
    <n v="4659064"/>
    <x v="0"/>
    <x v="1"/>
    <s v="SI"/>
    <s v="NO"/>
    <s v="NO"/>
    <n v="27"/>
    <n v="1.0571896382983452"/>
    <s v="No"/>
    <n v="0.2981238583577131"/>
    <s v="No"/>
    <n v="4659064"/>
    <n v="27"/>
    <x v="0"/>
  </r>
  <r>
    <n v="3795"/>
    <s v="MUJER"/>
    <n v="29704499"/>
    <x v="4"/>
    <x v="1"/>
    <s v="SI"/>
    <s v="SI"/>
    <s v="NO"/>
    <n v="56"/>
    <n v="0.9894949339386423"/>
    <s v="No"/>
    <n v="0.11864985992033703"/>
    <s v="No"/>
    <n v="29704499"/>
    <n v="56"/>
    <x v="4"/>
  </r>
  <r>
    <n v="3796"/>
    <s v="HOMBRE"/>
    <n v="400000"/>
    <x v="0"/>
    <x v="1"/>
    <s v="SI"/>
    <s v="NO"/>
    <s v="NO"/>
    <n v="43"/>
    <n v="7.2015642935854773E-2"/>
    <s v="No"/>
    <n v="0.36899768984293924"/>
    <s v="No"/>
    <n v="400000"/>
    <n v="43"/>
    <x v="0"/>
  </r>
  <r>
    <n v="3797"/>
    <s v="HOMBRE"/>
    <n v="297046"/>
    <x v="2"/>
    <x v="1"/>
    <s v="SI"/>
    <s v="NO"/>
    <s v="NO"/>
    <n v="26"/>
    <n v="1.1277649683754829"/>
    <s v="No"/>
    <n v="0.37071091707942361"/>
    <s v="No"/>
    <n v="297046"/>
    <n v="26"/>
    <x v="2"/>
  </r>
  <r>
    <n v="3798"/>
    <s v="HOMBRE"/>
    <n v="278030"/>
    <x v="2"/>
    <x v="1"/>
    <s v="SI"/>
    <s v="NO"/>
    <s v="SI"/>
    <n v="29"/>
    <n v="0.91603897814407031"/>
    <s v="No"/>
    <n v="0.37102735674304993"/>
    <s v="No"/>
    <n v="278030"/>
    <n v="29"/>
    <x v="2"/>
  </r>
  <r>
    <n v="3799"/>
    <s v="MUJER"/>
    <n v="404467"/>
    <x v="2"/>
    <x v="1"/>
    <s v="SI"/>
    <s v="SI"/>
    <s v="NO"/>
    <n v="63"/>
    <n v="1.4835222444786049"/>
    <s v="No"/>
    <n v="0.36892335580962943"/>
    <s v="No"/>
    <n v="404467"/>
    <n v="63"/>
    <x v="2"/>
  </r>
  <r>
    <n v="3800"/>
    <s v="MUJER"/>
    <n v="95441534"/>
    <x v="0"/>
    <x v="1"/>
    <s v="SI"/>
    <s v="NO"/>
    <s v="NO"/>
    <n v="29"/>
    <n v="0.91603897814407031"/>
    <s v="No"/>
    <n v="1.2125605268951496"/>
    <s v="No"/>
    <n v="95441534"/>
    <n v="29"/>
    <x v="0"/>
  </r>
  <r>
    <n v="3801"/>
    <s v="HOMBRE"/>
    <n v="494792"/>
    <x v="0"/>
    <x v="1"/>
    <s v="SI"/>
    <s v="NO"/>
    <s v="NO"/>
    <n v="28"/>
    <n v="0.98661430822120777"/>
    <s v="No"/>
    <n v="0.36742028404811022"/>
    <s v="No"/>
    <n v="494792"/>
    <n v="28"/>
    <x v="0"/>
  </r>
  <r>
    <n v="3802"/>
    <s v="HOMBRE"/>
    <n v="405798"/>
    <x v="2"/>
    <x v="1"/>
    <s v="SI"/>
    <s v="NO"/>
    <s v="NO"/>
    <n v="35"/>
    <n v="0.49258699768124525"/>
    <s v="No"/>
    <n v="0.3689012070300603"/>
    <s v="No"/>
    <n v="405798"/>
    <n v="35"/>
    <x v="2"/>
  </r>
  <r>
    <n v="3803"/>
    <s v="MUJER"/>
    <n v="27445313"/>
    <x v="0"/>
    <x v="1"/>
    <s v="SI"/>
    <s v="NO"/>
    <s v="NO"/>
    <n v="31"/>
    <n v="0.77488831798979529"/>
    <s v="No"/>
    <n v="8.1055410093383934E-2"/>
    <s v="No"/>
    <n v="27445313"/>
    <n v="31"/>
    <x v="0"/>
  </r>
  <r>
    <n v="3804"/>
    <s v="HOMBRE"/>
    <n v="411350"/>
    <x v="0"/>
    <x v="1"/>
    <s v="SI"/>
    <s v="NO"/>
    <s v="NO"/>
    <n v="24"/>
    <n v="1.2689156285297578"/>
    <s v="No"/>
    <n v="0.3688088178308358"/>
    <s v="No"/>
    <n v="411350"/>
    <n v="24"/>
    <x v="0"/>
  </r>
  <r>
    <n v="3805"/>
    <s v="MUJER"/>
    <n v="1586316"/>
    <x v="0"/>
    <x v="0"/>
    <s v="SI"/>
    <s v="NO"/>
    <s v="SI"/>
    <n v="39"/>
    <n v="0.21028567737269524"/>
    <s v="No"/>
    <n v="0.34925655416800511"/>
    <s v="No"/>
    <n v="1586316"/>
    <n v="39"/>
    <x v="0"/>
  </r>
  <r>
    <n v="3806"/>
    <s v="MUJER"/>
    <n v="22148333"/>
    <x v="0"/>
    <x v="1"/>
    <s v="SI"/>
    <s v="NO"/>
    <s v="NO"/>
    <n v="25"/>
    <n v="1.1983402984526204"/>
    <s v="No"/>
    <n v="7.0900763094062643E-3"/>
    <s v="No"/>
    <n v="22148333"/>
    <n v="25"/>
    <x v="0"/>
  </r>
  <r>
    <n v="3807"/>
    <s v="MUJER"/>
    <n v="297046"/>
    <x v="2"/>
    <x v="1"/>
    <s v="SI"/>
    <s v="SI"/>
    <s v="NO"/>
    <n v="32"/>
    <n v="0.70431298791265773"/>
    <s v="No"/>
    <n v="0.37071091707942361"/>
    <s v="No"/>
    <n v="297046"/>
    <n v="32"/>
    <x v="2"/>
  </r>
  <r>
    <n v="3808"/>
    <s v="MUJER"/>
    <n v="35531173"/>
    <x v="0"/>
    <x v="0"/>
    <s v="SI"/>
    <s v="NO"/>
    <s v="NO"/>
    <n v="51"/>
    <n v="0.6366182835529548"/>
    <s v="No"/>
    <n v="0.2156098284005826"/>
    <s v="No"/>
    <n v="35531173"/>
    <n v="51"/>
    <x v="0"/>
  </r>
  <r>
    <n v="3809"/>
    <s v="HOMBRE"/>
    <n v="63270964"/>
    <x v="0"/>
    <x v="1"/>
    <s v="SI"/>
    <s v="NO"/>
    <s v="NO"/>
    <n v="20"/>
    <n v="1.5512169488383079"/>
    <s v="No"/>
    <n v="0.67721953249739664"/>
    <s v="No"/>
    <n v="63270964"/>
    <n v="20"/>
    <x v="0"/>
  </r>
  <r>
    <n v="3810"/>
    <s v="HOMBRE"/>
    <n v="305152"/>
    <x v="3"/>
    <x v="1"/>
    <s v="SI"/>
    <s v="NO"/>
    <s v="SI"/>
    <n v="41"/>
    <n v="6.9135017218420233E-2"/>
    <s v="No"/>
    <n v="0.37057602751729929"/>
    <s v="No"/>
    <n v="305152"/>
    <n v="41"/>
    <x v="3"/>
  </r>
  <r>
    <n v="3811"/>
    <s v="HOMBRE"/>
    <n v="347514"/>
    <x v="0"/>
    <x v="1"/>
    <s v="SI"/>
    <s v="NO"/>
    <s v="SI"/>
    <n v="32"/>
    <n v="0.70431298791265773"/>
    <s v="No"/>
    <n v="0.3698710939334468"/>
    <s v="No"/>
    <n v="347514"/>
    <n v="32"/>
    <x v="0"/>
  </r>
  <r>
    <n v="3812"/>
    <s v="MUJER"/>
    <n v="461827"/>
    <x v="3"/>
    <x v="1"/>
    <s v="SI"/>
    <s v="NO"/>
    <s v="NO"/>
    <n v="52"/>
    <n v="0.70719361363009237"/>
    <s v="No"/>
    <n v="0.36796884491850584"/>
    <s v="No"/>
    <n v="461827"/>
    <n v="52"/>
    <x v="3"/>
  </r>
  <r>
    <n v="3813"/>
    <s v="HOMBRE"/>
    <n v="297050"/>
    <x v="3"/>
    <x v="1"/>
    <s v="SI"/>
    <s v="NO"/>
    <s v="SI"/>
    <n v="29"/>
    <n v="0.91603897814407031"/>
    <s v="No"/>
    <n v="0.37071085051659991"/>
    <s v="No"/>
    <n v="297050"/>
    <n v="29"/>
    <x v="3"/>
  </r>
  <r>
    <n v="3814"/>
    <s v="MUJER"/>
    <n v="740950"/>
    <x v="0"/>
    <x v="1"/>
    <s v="SI"/>
    <s v="NO"/>
    <s v="SI"/>
    <n v="27"/>
    <n v="1.0571896382983452"/>
    <s v="No"/>
    <n v="0.36332404116217559"/>
    <s v="No"/>
    <n v="740950"/>
    <n v="27"/>
    <x v="0"/>
  </r>
  <r>
    <n v="3815"/>
    <s v="MUJER"/>
    <n v="457581"/>
    <x v="0"/>
    <x v="0"/>
    <s v="SI"/>
    <s v="NO"/>
    <s v="SI"/>
    <n v="26"/>
    <n v="1.1277649683754829"/>
    <s v="No"/>
    <n v="0.36803950135580898"/>
    <s v="No"/>
    <n v="457581"/>
    <n v="26"/>
    <x v="0"/>
  </r>
  <r>
    <n v="3816"/>
    <s v="MUJER"/>
    <n v="800000"/>
    <x v="0"/>
    <x v="1"/>
    <s v="SI"/>
    <s v="NO"/>
    <s v="NO"/>
    <n v="31"/>
    <n v="0.77488831798979529"/>
    <s v="No"/>
    <n v="0.36234140747806037"/>
    <s v="No"/>
    <n v="800000"/>
    <n v="31"/>
    <x v="0"/>
  </r>
  <r>
    <n v="3817"/>
    <s v="HOMBRE"/>
    <n v="1725596"/>
    <x v="1"/>
    <x v="0"/>
    <s v="SI"/>
    <s v="NO"/>
    <s v="NO"/>
    <n v="59"/>
    <n v="1.2012209241700549"/>
    <s v="No"/>
    <n v="0.34693883664855429"/>
    <s v="No"/>
    <n v="1725596"/>
    <n v="59"/>
    <x v="1"/>
  </r>
  <r>
    <n v="3818"/>
    <s v="MUJER"/>
    <n v="322000"/>
    <x v="0"/>
    <x v="1"/>
    <s v="SI"/>
    <s v="SI"/>
    <s v="SI"/>
    <n v="57"/>
    <n v="1.0600702640157798"/>
    <s v="No"/>
    <n v="0.3702956649040906"/>
    <s v="No"/>
    <n v="322000"/>
    <n v="57"/>
    <x v="0"/>
  </r>
  <r>
    <n v="3819"/>
    <s v="MUJER"/>
    <n v="10996845"/>
    <x v="0"/>
    <x v="0"/>
    <s v="SI"/>
    <s v="NO"/>
    <s v="NO"/>
    <n v="27"/>
    <n v="1.0571896382983452"/>
    <s v="No"/>
    <n v="0.19265870860080214"/>
    <s v="No"/>
    <n v="10996845"/>
    <n v="27"/>
    <x v="0"/>
  </r>
  <r>
    <n v="3820"/>
    <s v="HOMBRE"/>
    <n v="278030"/>
    <x v="4"/>
    <x v="1"/>
    <s v="SI"/>
    <s v="NO"/>
    <s v="NO"/>
    <n v="57"/>
    <n v="1.0600702640157798"/>
    <s v="No"/>
    <n v="0.37102735674304993"/>
    <s v="No"/>
    <n v="278030"/>
    <n v="57"/>
    <x v="4"/>
  </r>
  <r>
    <n v="3821"/>
    <s v="MUJER"/>
    <n v="427677"/>
    <x v="1"/>
    <x v="0"/>
    <s v="SI"/>
    <s v="NO"/>
    <s v="NO"/>
    <n v="78"/>
    <n v="2.5421521956356674"/>
    <s v="Sí"/>
    <n v="0.36853712502540736"/>
    <s v="No"/>
    <n v="427677"/>
    <n v="78"/>
    <x v="1"/>
  </r>
  <r>
    <n v="3822"/>
    <s v="HOMBRE"/>
    <n v="408034"/>
    <x v="0"/>
    <x v="1"/>
    <s v="SI"/>
    <s v="SI"/>
    <s v="NO"/>
    <n v="57"/>
    <n v="1.0600702640157798"/>
    <s v="No"/>
    <n v="0.36886399841164064"/>
    <s v="No"/>
    <n v="408034"/>
    <n v="57"/>
    <x v="0"/>
  </r>
  <r>
    <n v="3823"/>
    <s v="MUJER"/>
    <n v="1120000"/>
    <x v="0"/>
    <x v="1"/>
    <s v="SI"/>
    <s v="NO"/>
    <s v="NO"/>
    <n v="52"/>
    <n v="0.70719361363009237"/>
    <s v="No"/>
    <n v="0.35701638158615728"/>
    <s v="No"/>
    <n v="1120000"/>
    <n v="52"/>
    <x v="0"/>
  </r>
  <r>
    <n v="3824"/>
    <s v="MUJER"/>
    <n v="639148"/>
    <x v="3"/>
    <x v="1"/>
    <s v="SI"/>
    <s v="SI"/>
    <s v="SI"/>
    <n v="56"/>
    <n v="0.9894949339386423"/>
    <s v="No"/>
    <n v="0.36501809830544912"/>
    <s v="No"/>
    <n v="639148"/>
    <n v="56"/>
    <x v="3"/>
  </r>
  <r>
    <n v="3825"/>
    <s v="HOMBRE"/>
    <n v="83875029"/>
    <x v="0"/>
    <x v="1"/>
    <s v="SI"/>
    <s v="NO"/>
    <s v="NO"/>
    <n v="26"/>
    <n v="1.1277649683754829"/>
    <s v="No"/>
    <n v="1.0200857187581915"/>
    <s v="No"/>
    <n v="83875029"/>
    <n v="26"/>
    <x v="0"/>
  </r>
  <r>
    <n v="3826"/>
    <s v="MUJER"/>
    <n v="56482148"/>
    <x v="1"/>
    <x v="0"/>
    <s v="SI"/>
    <s v="NO"/>
    <s v="NO"/>
    <n v="58"/>
    <n v="1.1306455940929174"/>
    <s v="No"/>
    <n v="0.56424884194937786"/>
    <s v="No"/>
    <n v="56482148"/>
    <n v="58"/>
    <x v="1"/>
  </r>
  <r>
    <n v="3827"/>
    <s v="HOMBRE"/>
    <n v="78817472"/>
    <x v="0"/>
    <x v="1"/>
    <s v="SI"/>
    <s v="NO"/>
    <s v="NO"/>
    <n v="20"/>
    <n v="1.5512169488383079"/>
    <s v="No"/>
    <n v="0.93592440008701738"/>
    <s v="No"/>
    <n v="78817472"/>
    <n v="20"/>
    <x v="0"/>
  </r>
  <r>
    <n v="3828"/>
    <s v="MUJER"/>
    <n v="420405"/>
    <x v="0"/>
    <x v="0"/>
    <s v="SI"/>
    <s v="NO"/>
    <s v="NO"/>
    <n v="21"/>
    <n v="1.4806416187611704"/>
    <s v="No"/>
    <n v="0.36865813623880084"/>
    <s v="No"/>
    <n v="420405"/>
    <n v="21"/>
    <x v="0"/>
  </r>
  <r>
    <n v="3829"/>
    <s v="MUJER"/>
    <n v="933264"/>
    <x v="3"/>
    <x v="1"/>
    <s v="SI"/>
    <s v="NO"/>
    <s v="SI"/>
    <n v="40"/>
    <n v="0.13971034729555773"/>
    <s v="No"/>
    <n v="0.36012380044537734"/>
    <s v="No"/>
    <n v="933264"/>
    <n v="40"/>
    <x v="3"/>
  </r>
  <r>
    <n v="3830"/>
    <s v="MUJER"/>
    <n v="1454350"/>
    <x v="0"/>
    <x v="1"/>
    <s v="SI"/>
    <s v="NO"/>
    <s v="NO"/>
    <n v="36"/>
    <n v="0.42201166760410774"/>
    <s v="No"/>
    <n v="0.35145256156441412"/>
    <s v="No"/>
    <n v="1454350"/>
    <n v="36"/>
    <x v="0"/>
  </r>
  <r>
    <n v="3831"/>
    <s v="MUJER"/>
    <n v="280000"/>
    <x v="2"/>
    <x v="1"/>
    <s v="SI"/>
    <s v="NO"/>
    <s v="NO"/>
    <n v="33"/>
    <n v="0.63373765783552027"/>
    <s v="No"/>
    <n v="0.37099457455240292"/>
    <s v="No"/>
    <n v="280000"/>
    <n v="33"/>
    <x v="2"/>
  </r>
  <r>
    <n v="3832"/>
    <s v="MUJER"/>
    <n v="3988497"/>
    <x v="0"/>
    <x v="0"/>
    <s v="SI"/>
    <s v="NO"/>
    <s v="NO"/>
    <n v="28"/>
    <n v="0.98661430822120777"/>
    <s v="No"/>
    <n v="0.30928256659913739"/>
    <s v="No"/>
    <n v="3988497"/>
    <n v="28"/>
    <x v="0"/>
  </r>
  <r>
    <n v="3833"/>
    <s v="HOMBRE"/>
    <n v="80951338"/>
    <x v="0"/>
    <x v="1"/>
    <s v="SI"/>
    <s v="NO"/>
    <s v="NO"/>
    <n v="36"/>
    <n v="0.42201166760410774"/>
    <s v="No"/>
    <n v="0.97143343664905391"/>
    <s v="No"/>
    <n v="80951338"/>
    <n v="36"/>
    <x v="0"/>
  </r>
  <r>
    <n v="3834"/>
    <s v="HOMBRE"/>
    <n v="190140"/>
    <x v="0"/>
    <x v="1"/>
    <s v="SI"/>
    <s v="SI"/>
    <s v="NO"/>
    <n v="31"/>
    <n v="0.77488831798979529"/>
    <s v="No"/>
    <n v="0.37248990838567292"/>
    <s v="No"/>
    <n v="190140"/>
    <n v="31"/>
    <x v="0"/>
  </r>
  <r>
    <n v="3835"/>
    <s v="HOMBRE"/>
    <n v="297045"/>
    <x v="2"/>
    <x v="1"/>
    <s v="SI"/>
    <s v="NO"/>
    <s v="NO"/>
    <n v="52"/>
    <n v="0.70719361363009237"/>
    <s v="No"/>
    <n v="0.37071093372012948"/>
    <s v="No"/>
    <n v="297045"/>
    <n v="52"/>
    <x v="2"/>
  </r>
  <r>
    <n v="3836"/>
    <s v="HOMBRE"/>
    <n v="46838006"/>
    <x v="0"/>
    <x v="1"/>
    <s v="SI"/>
    <s v="NO"/>
    <s v="NO"/>
    <n v="61"/>
    <n v="1.3423715843243298"/>
    <s v="No"/>
    <n v="0.40376351115190873"/>
    <s v="No"/>
    <n v="46838006"/>
    <n v="61"/>
    <x v="0"/>
  </r>
  <r>
    <n v="3837"/>
    <s v="HOMBRE"/>
    <n v="62875238"/>
    <x v="0"/>
    <x v="1"/>
    <s v="SI"/>
    <s v="NO"/>
    <s v="NO"/>
    <n v="29"/>
    <n v="0.91603897814407031"/>
    <s v="No"/>
    <n v="0.67063437250958646"/>
    <s v="No"/>
    <n v="62875238"/>
    <n v="29"/>
    <x v="0"/>
  </r>
  <r>
    <n v="3838"/>
    <s v="MUJER"/>
    <n v="78128324"/>
    <x v="0"/>
    <x v="0"/>
    <s v="SI"/>
    <s v="NO"/>
    <s v="NO"/>
    <n v="30"/>
    <n v="0.84546364806693275"/>
    <s v="No"/>
    <n v="0.92445649088903847"/>
    <s v="No"/>
    <n v="78128324"/>
    <n v="30"/>
    <x v="0"/>
  </r>
  <r>
    <n v="3839"/>
    <s v="MUJER"/>
    <n v="436446475"/>
    <x v="0"/>
    <x v="0"/>
    <s v="SI"/>
    <s v="NO"/>
    <s v="NO"/>
    <n v="39"/>
    <n v="0.21028567737269524"/>
    <s v="No"/>
    <n v="6.8871234646822996"/>
    <s v="Sí"/>
    <n v="436446475"/>
    <n v="39"/>
    <x v="0"/>
  </r>
  <r>
    <n v="3840"/>
    <s v="HOMBRE"/>
    <n v="49373609"/>
    <x v="0"/>
    <x v="1"/>
    <s v="SI"/>
    <s v="SI"/>
    <s v="NO"/>
    <n v="31"/>
    <n v="0.77488831798979529"/>
    <s v="No"/>
    <n v="0.44595773498499364"/>
    <s v="No"/>
    <n v="49373609"/>
    <n v="31"/>
    <x v="0"/>
  </r>
  <r>
    <n v="3841"/>
    <s v="HOMBRE"/>
    <n v="914000"/>
    <x v="0"/>
    <x v="1"/>
    <s v="SI"/>
    <s v="NO"/>
    <s v="NO"/>
    <n v="27"/>
    <n v="1.0571896382983452"/>
    <s v="No"/>
    <n v="0.3604443670040699"/>
    <s v="No"/>
    <n v="914000"/>
    <n v="27"/>
    <x v="0"/>
  </r>
  <r>
    <n v="3842"/>
    <s v="HOMBRE"/>
    <n v="278030"/>
    <x v="4"/>
    <x v="1"/>
    <s v="SI"/>
    <s v="NO"/>
    <s v="NO"/>
    <n v="34"/>
    <n v="0.56316232775838282"/>
    <s v="No"/>
    <n v="0.37102735674304993"/>
    <s v="No"/>
    <n v="278030"/>
    <n v="34"/>
    <x v="4"/>
  </r>
  <r>
    <n v="3843"/>
    <s v="MUJER"/>
    <n v="1192788"/>
    <x v="1"/>
    <x v="0"/>
    <s v="SI"/>
    <s v="NO"/>
    <s v="NO"/>
    <n v="71"/>
    <n v="2.0481248850957048"/>
    <s v="Sí"/>
    <n v="0.35580513788422025"/>
    <s v="No"/>
    <n v="1192788"/>
    <n v="71"/>
    <x v="1"/>
  </r>
  <r>
    <n v="3844"/>
    <s v="MUJER"/>
    <n v="1203125"/>
    <x v="0"/>
    <x v="1"/>
    <s v="SI"/>
    <s v="NO"/>
    <s v="NO"/>
    <n v="35"/>
    <n v="0.49258699768124525"/>
    <s v="No"/>
    <n v="0.35563312290720589"/>
    <s v="No"/>
    <n v="1203125"/>
    <n v="35"/>
    <x v="0"/>
  </r>
  <r>
    <n v="3845"/>
    <s v="MUJER"/>
    <n v="405871"/>
    <x v="3"/>
    <x v="1"/>
    <s v="SI"/>
    <s v="NO"/>
    <s v="NO"/>
    <n v="67"/>
    <n v="1.765823564787155"/>
    <s v="No"/>
    <n v="0.36889999225852871"/>
    <s v="No"/>
    <n v="405871"/>
    <n v="67"/>
    <x v="3"/>
  </r>
  <r>
    <n v="3846"/>
    <s v="HOMBRE"/>
    <n v="6412165"/>
    <x v="0"/>
    <x v="1"/>
    <s v="SI"/>
    <s v="NO"/>
    <s v="NO"/>
    <n v="28"/>
    <n v="0.98661430822120777"/>
    <s v="No"/>
    <n v="0.2689510201823343"/>
    <s v="No"/>
    <n v="6412165"/>
    <n v="28"/>
    <x v="0"/>
  </r>
  <r>
    <n v="3847"/>
    <s v="HOMBRE"/>
    <n v="310000"/>
    <x v="0"/>
    <x v="1"/>
    <s v="SI"/>
    <s v="NO"/>
    <s v="NO"/>
    <n v="28"/>
    <n v="0.98661430822120777"/>
    <s v="No"/>
    <n v="0.37049535337503697"/>
    <s v="No"/>
    <n v="310000"/>
    <n v="28"/>
    <x v="0"/>
  </r>
  <r>
    <n v="3848"/>
    <s v="HOMBRE"/>
    <n v="613320"/>
    <x v="6"/>
    <x v="1"/>
    <s v="SI"/>
    <s v="SI"/>
    <s v="NO"/>
    <n v="72"/>
    <n v="2.1187002151728422"/>
    <s v="Sí"/>
    <n v="0.36544789445774933"/>
    <s v="No"/>
    <n v="613320"/>
    <n v="72"/>
    <x v="5"/>
  </r>
  <r>
    <n v="3849"/>
    <s v="HOMBRE"/>
    <n v="27696448"/>
    <x v="0"/>
    <x v="1"/>
    <s v="SI"/>
    <s v="SI"/>
    <s v="SI"/>
    <n v="28"/>
    <n v="0.98661430822120777"/>
    <s v="No"/>
    <n v="8.5234473772643579E-2"/>
    <s v="No"/>
    <n v="27696448"/>
    <n v="28"/>
    <x v="0"/>
  </r>
  <r>
    <n v="3850"/>
    <s v="HOMBRE"/>
    <n v="449750"/>
    <x v="0"/>
    <x v="1"/>
    <s v="SI"/>
    <s v="NO"/>
    <s v="NO"/>
    <n v="28"/>
    <n v="0.98661430822120777"/>
    <s v="No"/>
    <n v="0.36816981472380744"/>
    <s v="No"/>
    <n v="449750"/>
    <n v="28"/>
    <x v="0"/>
  </r>
  <r>
    <n v="3851"/>
    <s v="HOMBRE"/>
    <n v="88768945"/>
    <x v="0"/>
    <x v="0"/>
    <s v="SI"/>
    <s v="NO"/>
    <s v="NO"/>
    <n v="29"/>
    <n v="0.91603897814407031"/>
    <s v="No"/>
    <n v="1.1015239356731878"/>
    <s v="No"/>
    <n v="88768945"/>
    <n v="29"/>
    <x v="0"/>
  </r>
  <r>
    <n v="3852"/>
    <s v="MUJER"/>
    <n v="7292307"/>
    <x v="0"/>
    <x v="0"/>
    <s v="SI"/>
    <s v="NO"/>
    <s v="NO"/>
    <n v="27"/>
    <n v="1.0571896382983452"/>
    <s v="No"/>
    <n v="0.25430483599936127"/>
    <s v="No"/>
    <n v="7292307"/>
    <n v="27"/>
    <x v="0"/>
  </r>
  <r>
    <n v="3853"/>
    <s v="HOMBRE"/>
    <n v="388492"/>
    <x v="0"/>
    <x v="1"/>
    <s v="SI"/>
    <s v="NO"/>
    <s v="NO"/>
    <n v="21"/>
    <n v="1.4806416187611704"/>
    <s v="No"/>
    <n v="0.36918919108657677"/>
    <s v="No"/>
    <n v="388492"/>
    <n v="21"/>
    <x v="0"/>
  </r>
  <r>
    <n v="3854"/>
    <s v="HOMBRE"/>
    <n v="396286"/>
    <x v="0"/>
    <x v="1"/>
    <s v="SI"/>
    <s v="NO"/>
    <s v="NO"/>
    <n v="37"/>
    <n v="0.35143633752697023"/>
    <s v="No"/>
    <n v="0.36905949342469713"/>
    <s v="No"/>
    <n v="396286"/>
    <n v="37"/>
    <x v="0"/>
  </r>
  <r>
    <n v="3855"/>
    <s v="MUJER"/>
    <n v="1386388"/>
    <x v="1"/>
    <x v="0"/>
    <s v="SI"/>
    <s v="NO"/>
    <s v="NO"/>
    <n v="75"/>
    <n v="2.330426205404255"/>
    <s v="Sí"/>
    <n v="0.3525834972196189"/>
    <s v="No"/>
    <n v="1386388"/>
    <n v="75"/>
    <x v="1"/>
  </r>
  <r>
    <n v="3856"/>
    <s v="MUJER"/>
    <n v="983308"/>
    <x v="0"/>
    <x v="1"/>
    <s v="SI"/>
    <s v="NO"/>
    <s v="NO"/>
    <n v="27"/>
    <n v="1.0571896382983452"/>
    <s v="No"/>
    <n v="0.35929103295870735"/>
    <s v="No"/>
    <n v="983308"/>
    <n v="27"/>
    <x v="0"/>
  </r>
  <r>
    <n v="3857"/>
    <s v="HOMBRE"/>
    <n v="1007583"/>
    <x v="3"/>
    <x v="1"/>
    <s v="SI"/>
    <s v="NO"/>
    <s v="NO"/>
    <n v="76"/>
    <n v="2.4010015354813925"/>
    <s v="Sí"/>
    <n v="0.35888707982268875"/>
    <s v="No"/>
    <n v="1007583"/>
    <n v="76"/>
    <x v="3"/>
  </r>
  <r>
    <n v="3858"/>
    <s v="MUJER"/>
    <n v="1104599"/>
    <x v="0"/>
    <x v="0"/>
    <s v="SI"/>
    <s v="NO"/>
    <s v="NO"/>
    <n v="50"/>
    <n v="0.56604295347581735"/>
    <s v="No"/>
    <n v="0.357272665097911"/>
    <s v="No"/>
    <n v="1104599"/>
    <n v="50"/>
    <x v="0"/>
  </r>
  <r>
    <n v="3859"/>
    <s v="HOMBRE"/>
    <n v="35060515"/>
    <x v="0"/>
    <x v="1"/>
    <s v="SI"/>
    <s v="NO"/>
    <s v="NO"/>
    <n v="31"/>
    <n v="0.77488831798979529"/>
    <s v="No"/>
    <n v="0.20777774703735971"/>
    <s v="No"/>
    <n v="35060515"/>
    <n v="31"/>
    <x v="0"/>
  </r>
  <r>
    <n v="3860"/>
    <s v="HOMBRE"/>
    <n v="3487494"/>
    <x v="0"/>
    <x v="1"/>
    <s v="SI"/>
    <s v="NO"/>
    <s v="NO"/>
    <n v="55"/>
    <n v="0.91891960386150484"/>
    <s v="No"/>
    <n v="0.3176196101832659"/>
    <s v="No"/>
    <n v="3487494"/>
    <n v="55"/>
    <x v="0"/>
  </r>
  <r>
    <n v="3861"/>
    <s v="HOMBRE"/>
    <n v="299784"/>
    <x v="3"/>
    <x v="1"/>
    <s v="SI"/>
    <s v="NO"/>
    <s v="NO"/>
    <n v="56"/>
    <n v="0.9894949339386423"/>
    <s v="No"/>
    <n v="0.37066535482663598"/>
    <s v="No"/>
    <n v="299784"/>
    <n v="56"/>
    <x v="3"/>
  </r>
  <r>
    <n v="3862"/>
    <s v="MUJER"/>
    <n v="540083"/>
    <x v="3"/>
    <x v="1"/>
    <s v="SI"/>
    <s v="SI"/>
    <s v="SI"/>
    <n v="55"/>
    <n v="0.91891960386150484"/>
    <s v="No"/>
    <n v="0.3666666098366409"/>
    <s v="No"/>
    <n v="540083"/>
    <n v="55"/>
    <x v="3"/>
  </r>
  <r>
    <n v="3863"/>
    <s v="HOMBRE"/>
    <n v="9912287"/>
    <x v="0"/>
    <x v="1"/>
    <s v="SI"/>
    <s v="NO"/>
    <s v="NO"/>
    <n v="44"/>
    <n v="0.14259097301299228"/>
    <s v="No"/>
    <n v="0.21070651932352288"/>
    <s v="No"/>
    <n v="9912287"/>
    <n v="44"/>
    <x v="0"/>
  </r>
  <r>
    <n v="3864"/>
    <s v="HOMBRE"/>
    <n v="278030"/>
    <x v="4"/>
    <x v="1"/>
    <s v="SI"/>
    <s v="NO"/>
    <s v="NO"/>
    <n v="49"/>
    <n v="0.49546762339867978"/>
    <s v="No"/>
    <n v="0.37102735674304993"/>
    <s v="No"/>
    <n v="278030"/>
    <n v="49"/>
    <x v="4"/>
  </r>
  <r>
    <n v="3865"/>
    <s v="MUJER"/>
    <n v="306545"/>
    <x v="0"/>
    <x v="0"/>
    <s v="SI"/>
    <s v="NO"/>
    <s v="SI"/>
    <n v="39"/>
    <n v="0.21028567737269524"/>
    <s v="No"/>
    <n v="0.37055284701396363"/>
    <s v="No"/>
    <n v="306545"/>
    <n v="39"/>
    <x v="0"/>
  </r>
  <r>
    <n v="3866"/>
    <s v="HOMBRE"/>
    <n v="63912135"/>
    <x v="0"/>
    <x v="1"/>
    <s v="SI"/>
    <s v="NO"/>
    <s v="NO"/>
    <n v="36"/>
    <n v="0.42201166760410774"/>
    <s v="No"/>
    <n v="0.687889070547826"/>
    <s v="No"/>
    <n v="63912135"/>
    <n v="36"/>
    <x v="0"/>
  </r>
  <r>
    <n v="3867"/>
    <s v="HOMBRE"/>
    <n v="42251414"/>
    <x v="0"/>
    <x v="1"/>
    <s v="SI"/>
    <s v="NO"/>
    <s v="NO"/>
    <n v="33"/>
    <n v="0.63373765783552027"/>
    <s v="No"/>
    <n v="0.32743938254067245"/>
    <s v="No"/>
    <n v="42251414"/>
    <n v="33"/>
    <x v="0"/>
  </r>
  <r>
    <n v="3868"/>
    <s v="HOMBRE"/>
    <n v="639148"/>
    <x v="3"/>
    <x v="1"/>
    <s v="SI"/>
    <s v="NO"/>
    <s v="NO"/>
    <n v="61"/>
    <n v="1.3423715843243298"/>
    <s v="No"/>
    <n v="0.36501809830544912"/>
    <s v="No"/>
    <n v="639148"/>
    <n v="61"/>
    <x v="3"/>
  </r>
  <r>
    <n v="3869"/>
    <s v="MUJER"/>
    <n v="43876265"/>
    <x v="0"/>
    <x v="1"/>
    <s v="SI"/>
    <s v="NO"/>
    <s v="SI"/>
    <n v="24"/>
    <n v="1.2689156285297578"/>
    <s v="No"/>
    <n v="0.35447805018281198"/>
    <s v="No"/>
    <n v="43876265"/>
    <n v="24"/>
    <x v="0"/>
  </r>
  <r>
    <n v="3870"/>
    <s v="HOMBRE"/>
    <n v="94064655"/>
    <x v="0"/>
    <x v="1"/>
    <s v="SI"/>
    <s v="NO"/>
    <s v="NO"/>
    <n v="55"/>
    <n v="0.91891960386150484"/>
    <s v="No"/>
    <n v="1.1896482883794695"/>
    <s v="No"/>
    <n v="94064655"/>
    <n v="55"/>
    <x v="0"/>
  </r>
  <r>
    <n v="3871"/>
    <s v="HOMBRE"/>
    <n v="29824825"/>
    <x v="0"/>
    <x v="1"/>
    <s v="SI"/>
    <s v="NO"/>
    <s v="NO"/>
    <n v="26"/>
    <n v="1.1277649683754829"/>
    <s v="No"/>
    <n v="0.12065216949992807"/>
    <s v="No"/>
    <n v="29824825"/>
    <n v="26"/>
    <x v="0"/>
  </r>
  <r>
    <n v="3872"/>
    <s v="HOMBRE"/>
    <n v="45051301"/>
    <x v="0"/>
    <x v="0"/>
    <s v="SI"/>
    <s v="NO"/>
    <s v="NO"/>
    <n v="39"/>
    <n v="0.21028567737269524"/>
    <s v="No"/>
    <n v="0.37403147869505649"/>
    <s v="No"/>
    <n v="45051301"/>
    <n v="39"/>
    <x v="0"/>
  </r>
  <r>
    <n v="3873"/>
    <s v="HOMBRE"/>
    <n v="1213949"/>
    <x v="0"/>
    <x v="0"/>
    <s v="SI"/>
    <s v="NO"/>
    <s v="NO"/>
    <n v="41"/>
    <n v="6.9135017218420233E-2"/>
    <s v="No"/>
    <n v="0.35545300390641227"/>
    <s v="No"/>
    <n v="1213949"/>
    <n v="41"/>
    <x v="0"/>
  </r>
  <r>
    <n v="3874"/>
    <s v="HOMBRE"/>
    <n v="37772994"/>
    <x v="0"/>
    <x v="1"/>
    <s v="SI"/>
    <s v="NO"/>
    <s v="NO"/>
    <n v="36"/>
    <n v="0.42201166760410774"/>
    <s v="No"/>
    <n v="0.25291531236937037"/>
    <s v="No"/>
    <n v="37772994"/>
    <n v="36"/>
    <x v="0"/>
  </r>
  <r>
    <n v="3875"/>
    <s v="MUJER"/>
    <n v="1605450"/>
    <x v="0"/>
    <x v="1"/>
    <s v="SI"/>
    <s v="NO"/>
    <s v="NO"/>
    <n v="38"/>
    <n v="0.28086100744983278"/>
    <s v="No"/>
    <n v="0.34893815090108116"/>
    <s v="No"/>
    <n v="1605450"/>
    <n v="38"/>
    <x v="0"/>
  </r>
  <r>
    <n v="3876"/>
    <s v="HOMBRE"/>
    <n v="297102"/>
    <x v="3"/>
    <x v="1"/>
    <s v="SI"/>
    <s v="NO"/>
    <s v="SI"/>
    <n v="64"/>
    <n v="1.5540975745557424"/>
    <s v="No"/>
    <n v="0.37070998519989251"/>
    <s v="No"/>
    <n v="297102"/>
    <n v="64"/>
    <x v="3"/>
  </r>
  <r>
    <n v="3877"/>
    <s v="HOMBRE"/>
    <n v="3916375"/>
    <x v="0"/>
    <x v="1"/>
    <s v="SI"/>
    <s v="NO"/>
    <s v="NO"/>
    <n v="49"/>
    <n v="0.49546762339867978"/>
    <s v="No"/>
    <n v="0.31048272759093687"/>
    <s v="No"/>
    <n v="3916375"/>
    <n v="49"/>
    <x v="0"/>
  </r>
  <r>
    <n v="3878"/>
    <s v="HOMBRE"/>
    <n v="317719"/>
    <x v="2"/>
    <x v="1"/>
    <s v="SI"/>
    <s v="SI"/>
    <s v="NO"/>
    <n v="34"/>
    <n v="0.56316232775838282"/>
    <s v="No"/>
    <n v="0.37036690376610071"/>
    <s v="No"/>
    <n v="317719"/>
    <n v="34"/>
    <x v="2"/>
  </r>
  <r>
    <n v="3879"/>
    <s v="MUJER"/>
    <n v="11618295"/>
    <x v="0"/>
    <x v="0"/>
    <s v="SI"/>
    <s v="NO"/>
    <s v="NO"/>
    <n v="32"/>
    <n v="0.70431298791265773"/>
    <s v="No"/>
    <n v="0.18231734191166721"/>
    <s v="No"/>
    <n v="11618295"/>
    <n v="32"/>
    <x v="0"/>
  </r>
  <r>
    <n v="3880"/>
    <s v="MUJER"/>
    <n v="297050"/>
    <x v="2"/>
    <x v="1"/>
    <s v="SI"/>
    <s v="NO"/>
    <s v="NO"/>
    <n v="55"/>
    <n v="0.91891960386150484"/>
    <s v="No"/>
    <n v="0.37071085051659991"/>
    <s v="No"/>
    <n v="297050"/>
    <n v="55"/>
    <x v="2"/>
  </r>
  <r>
    <n v="3881"/>
    <s v="HOMBRE"/>
    <n v="11174203"/>
    <x v="0"/>
    <x v="1"/>
    <s v="SI"/>
    <s v="NO"/>
    <s v="NO"/>
    <n v="52"/>
    <n v="0.70719361363009237"/>
    <s v="No"/>
    <n v="0.18970734628162667"/>
    <s v="No"/>
    <n v="11174203"/>
    <n v="52"/>
    <x v="0"/>
  </r>
  <r>
    <n v="3882"/>
    <s v="HOMBRE"/>
    <n v="47272192"/>
    <x v="0"/>
    <x v="1"/>
    <s v="SI"/>
    <s v="NO"/>
    <s v="NO"/>
    <n v="60"/>
    <n v="1.2717962542471923"/>
    <s v="No"/>
    <n v="0.410988672689102"/>
    <s v="No"/>
    <n v="47272192"/>
    <n v="60"/>
    <x v="0"/>
  </r>
  <r>
    <n v="3883"/>
    <s v="MUJER"/>
    <n v="300018"/>
    <x v="2"/>
    <x v="1"/>
    <s v="SI"/>
    <s v="NO"/>
    <s v="NO"/>
    <n v="55"/>
    <n v="0.91891960386150484"/>
    <s v="No"/>
    <n v="0.37066146090145252"/>
    <s v="No"/>
    <n v="300018"/>
    <n v="55"/>
    <x v="2"/>
  </r>
  <r>
    <n v="3884"/>
    <s v="HOMBRE"/>
    <n v="235200"/>
    <x v="0"/>
    <x v="1"/>
    <s v="SI"/>
    <s v="NO"/>
    <s v="SI"/>
    <n v="24"/>
    <n v="1.2689156285297578"/>
    <s v="No"/>
    <n v="0.37174007817726934"/>
    <s v="No"/>
    <n v="235200"/>
    <n v="24"/>
    <x v="0"/>
  </r>
  <r>
    <n v="3885"/>
    <s v="MUJER"/>
    <n v="180000"/>
    <x v="0"/>
    <x v="1"/>
    <s v="SI"/>
    <s v="SI"/>
    <s v="NO"/>
    <n v="30"/>
    <n v="0.84546364806693275"/>
    <s v="No"/>
    <n v="0.37265864514362262"/>
    <s v="No"/>
    <n v="180000"/>
    <n v="30"/>
    <x v="0"/>
  </r>
  <r>
    <n v="3886"/>
    <s v="HOMBRE"/>
    <n v="639148"/>
    <x v="3"/>
    <x v="1"/>
    <s v="SI"/>
    <s v="NO"/>
    <s v="NO"/>
    <n v="58"/>
    <n v="1.1306455940929174"/>
    <s v="No"/>
    <n v="0.36501809830544912"/>
    <s v="No"/>
    <n v="639148"/>
    <n v="58"/>
    <x v="3"/>
  </r>
  <r>
    <n v="3887"/>
    <s v="MUJER"/>
    <n v="1461535"/>
    <x v="1"/>
    <x v="0"/>
    <s v="SI"/>
    <s v="NO"/>
    <s v="NO"/>
    <n v="55"/>
    <n v="0.91891960386150484"/>
    <s v="No"/>
    <n v="0.35133299809243501"/>
    <s v="No"/>
    <n v="1461535"/>
    <n v="55"/>
    <x v="1"/>
  </r>
  <r>
    <n v="3888"/>
    <s v="MUJER"/>
    <n v="297046"/>
    <x v="2"/>
    <x v="1"/>
    <s v="SI"/>
    <s v="NO"/>
    <s v="NO"/>
    <n v="60"/>
    <n v="1.2717962542471923"/>
    <s v="No"/>
    <n v="0.37071091707942361"/>
    <s v="No"/>
    <n v="297046"/>
    <n v="60"/>
    <x v="2"/>
  </r>
  <r>
    <n v="3889"/>
    <s v="HOMBRE"/>
    <n v="20806725"/>
    <x v="0"/>
    <x v="0"/>
    <s v="SI"/>
    <s v="NO"/>
    <s v="NO"/>
    <n v="46"/>
    <n v="0.2837416331672673"/>
    <s v="No"/>
    <n v="2.9415380486857295E-2"/>
    <s v="No"/>
    <n v="20806725"/>
    <n v="46"/>
    <x v="0"/>
  </r>
  <r>
    <n v="3890"/>
    <s v="MUJER"/>
    <n v="260000"/>
    <x v="0"/>
    <x v="1"/>
    <s v="SI"/>
    <s v="NO"/>
    <s v="NO"/>
    <n v="29"/>
    <n v="0.91603897814407031"/>
    <s v="No"/>
    <n v="0.37132738867064685"/>
    <s v="No"/>
    <n v="260000"/>
    <n v="29"/>
    <x v="0"/>
  </r>
  <r>
    <n v="3891"/>
    <s v="HOMBRE"/>
    <n v="27496943"/>
    <x v="0"/>
    <x v="1"/>
    <s v="SI"/>
    <s v="NO"/>
    <s v="NO"/>
    <n v="31"/>
    <n v="0.77488831798979529"/>
    <s v="No"/>
    <n v="8.1914569739630683E-2"/>
    <s v="No"/>
    <n v="27496943"/>
    <n v="31"/>
    <x v="0"/>
  </r>
  <r>
    <n v="3892"/>
    <s v="HOMBRE"/>
    <n v="139268783"/>
    <x v="0"/>
    <x v="1"/>
    <s v="SI"/>
    <s v="NO"/>
    <s v="NO"/>
    <n v="55"/>
    <n v="0.91891960386150484"/>
    <s v="No"/>
    <n v="1.9418768884447875"/>
    <s v="No"/>
    <n v="139268783"/>
    <n v="55"/>
    <x v="0"/>
  </r>
  <r>
    <n v="3893"/>
    <s v="HOMBRE"/>
    <n v="546354"/>
    <x v="3"/>
    <x v="1"/>
    <s v="SI"/>
    <s v="SI"/>
    <s v="SI"/>
    <n v="81"/>
    <n v="2.7538781858670798"/>
    <s v="Sí"/>
    <n v="0.36656225596986552"/>
    <s v="No"/>
    <n v="546354"/>
    <n v="81"/>
    <x v="3"/>
  </r>
  <r>
    <n v="3894"/>
    <s v="MUJER"/>
    <n v="297046"/>
    <x v="2"/>
    <x v="1"/>
    <s v="NO"/>
    <s v="NO"/>
    <s v="NO"/>
    <n v="52"/>
    <n v="0.70719361363009237"/>
    <s v="No"/>
    <n v="0.37071091707942361"/>
    <s v="No"/>
    <n v="297046"/>
    <n v="52"/>
    <x v="2"/>
  </r>
  <r>
    <n v="3895"/>
    <s v="HOMBRE"/>
    <n v="459260"/>
    <x v="0"/>
    <x v="1"/>
    <s v="SI"/>
    <s v="NO"/>
    <s v="NO"/>
    <n v="37"/>
    <n v="0.35143633752697023"/>
    <s v="No"/>
    <n v="0.36801156161058241"/>
    <s v="No"/>
    <n v="459260"/>
    <n v="37"/>
    <x v="0"/>
  </r>
  <r>
    <n v="3896"/>
    <s v="HOMBRE"/>
    <n v="7217093"/>
    <x v="0"/>
    <x v="0"/>
    <s v="SI"/>
    <s v="NO"/>
    <s v="NO"/>
    <n v="45"/>
    <n v="0.21316630309012977"/>
    <s v="No"/>
    <n v="0.25555645005384126"/>
    <s v="No"/>
    <n v="7217093"/>
    <n v="45"/>
    <x v="0"/>
  </r>
  <r>
    <n v="3897"/>
    <s v="MUJER"/>
    <n v="465877"/>
    <x v="0"/>
    <x v="1"/>
    <s v="SI"/>
    <s v="NO"/>
    <s v="SI"/>
    <n v="36"/>
    <n v="0.42201166760410774"/>
    <s v="No"/>
    <n v="0.36790145005956143"/>
    <s v="No"/>
    <n v="465877"/>
    <n v="36"/>
    <x v="0"/>
  </r>
  <r>
    <n v="3898"/>
    <s v="MUJER"/>
    <n v="658917"/>
    <x v="0"/>
    <x v="0"/>
    <s v="SI"/>
    <s v="NO"/>
    <s v="SI"/>
    <n v="36"/>
    <n v="0.42201166760410774"/>
    <s v="No"/>
    <n v="0.36468912819027088"/>
    <s v="No"/>
    <n v="658917"/>
    <n v="36"/>
    <x v="0"/>
  </r>
  <r>
    <n v="3899"/>
    <s v="HOMBRE"/>
    <n v="265829543"/>
    <x v="0"/>
    <x v="1"/>
    <s v="SI"/>
    <s v="SI"/>
    <s v="NO"/>
    <n v="30"/>
    <n v="0.84546364806693275"/>
    <s v="No"/>
    <n v="4.0479372756289553"/>
    <s v="Sí"/>
    <n v="265829543"/>
    <n v="30"/>
    <x v="0"/>
  </r>
  <r>
    <n v="3900"/>
    <s v="HOMBRE"/>
    <n v="58322182"/>
    <x v="0"/>
    <x v="1"/>
    <s v="SI"/>
    <s v="SI"/>
    <s v="NO"/>
    <n v="53"/>
    <n v="0.77776894370722982"/>
    <s v="No"/>
    <n v="0.59486830661182166"/>
    <s v="No"/>
    <n v="58322182"/>
    <n v="53"/>
    <x v="0"/>
  </r>
  <r>
    <n v="3901"/>
    <s v="HOMBRE"/>
    <n v="297046"/>
    <x v="3"/>
    <x v="1"/>
    <s v="SI"/>
    <s v="NO"/>
    <s v="NO"/>
    <n v="32"/>
    <n v="0.70431298791265773"/>
    <s v="No"/>
    <n v="0.37071091707942361"/>
    <s v="No"/>
    <n v="297046"/>
    <n v="32"/>
    <x v="3"/>
  </r>
  <r>
    <n v="3902"/>
    <s v="MUJER"/>
    <n v="572000"/>
    <x v="0"/>
    <x v="1"/>
    <s v="SI"/>
    <s v="NO"/>
    <s v="NO"/>
    <n v="50"/>
    <n v="0.56604295347581735"/>
    <s v="No"/>
    <n v="0.36613548842604132"/>
    <s v="No"/>
    <n v="572000"/>
    <n v="50"/>
    <x v="0"/>
  </r>
  <r>
    <n v="3903"/>
    <s v="HOMBRE"/>
    <n v="705100"/>
    <x v="0"/>
    <x v="1"/>
    <s v="SI"/>
    <s v="NO"/>
    <s v="NO"/>
    <n v="64"/>
    <n v="1.5540975745557424"/>
    <s v="No"/>
    <n v="0.36392061046912788"/>
    <s v="No"/>
    <n v="705100"/>
    <n v="64"/>
    <x v="0"/>
  </r>
  <r>
    <n v="3904"/>
    <s v="HOMBRE"/>
    <n v="3661815"/>
    <x v="0"/>
    <x v="1"/>
    <s v="SI"/>
    <s v="NO"/>
    <s v="NO"/>
    <n v="33"/>
    <n v="0.63373765783552027"/>
    <s v="No"/>
    <n v="0.31471878568794581"/>
    <s v="No"/>
    <n v="3661815"/>
    <n v="33"/>
    <x v="0"/>
  </r>
  <r>
    <n v="3905"/>
    <s v="HOMBRE"/>
    <n v="639148"/>
    <x v="3"/>
    <x v="1"/>
    <s v="SI"/>
    <s v="NO"/>
    <s v="SI"/>
    <n v="41"/>
    <n v="6.9135017218420233E-2"/>
    <s v="No"/>
    <n v="0.36501809830544912"/>
    <s v="No"/>
    <n v="639148"/>
    <n v="41"/>
    <x v="3"/>
  </r>
  <r>
    <n v="3906"/>
    <s v="HOMBRE"/>
    <n v="883100"/>
    <x v="0"/>
    <x v="0"/>
    <s v="SI"/>
    <s v="NO"/>
    <s v="NO"/>
    <n v="48"/>
    <n v="0.42489229332154227"/>
    <s v="No"/>
    <n v="0.36095856481675676"/>
    <s v="No"/>
    <n v="883100"/>
    <n v="48"/>
    <x v="0"/>
  </r>
  <r>
    <n v="3907"/>
    <s v="MUJER"/>
    <n v="63445885"/>
    <x v="0"/>
    <x v="0"/>
    <s v="SI"/>
    <s v="NO"/>
    <s v="NO"/>
    <n v="37"/>
    <n v="0.35143633752697023"/>
    <s v="No"/>
    <n v="0.68013034141626405"/>
    <s v="No"/>
    <n v="63445885"/>
    <n v="37"/>
    <x v="0"/>
  </r>
  <r>
    <n v="3908"/>
    <s v="HOMBRE"/>
    <n v="700000"/>
    <x v="0"/>
    <x v="1"/>
    <s v="SI"/>
    <s v="NO"/>
    <s v="NO"/>
    <n v="46"/>
    <n v="0.2837416331672673"/>
    <s v="No"/>
    <n v="0.36400547806928008"/>
    <s v="No"/>
    <n v="700000"/>
    <n v="46"/>
    <x v="0"/>
  </r>
  <r>
    <n v="3909"/>
    <s v="HOMBRE"/>
    <n v="58385975"/>
    <x v="0"/>
    <x v="1"/>
    <s v="SI"/>
    <s v="NO"/>
    <s v="NO"/>
    <n v="62"/>
    <n v="1.4129469144014672"/>
    <s v="No"/>
    <n v="0.59592986716407848"/>
    <s v="No"/>
    <n v="58385975"/>
    <n v="62"/>
    <x v="0"/>
  </r>
  <r>
    <n v="3910"/>
    <s v="MUJER"/>
    <n v="64923817"/>
    <x v="0"/>
    <x v="1"/>
    <s v="SI"/>
    <s v="NO"/>
    <s v="NO"/>
    <n v="27"/>
    <n v="1.0571896382983452"/>
    <s v="No"/>
    <n v="0.7047241731864895"/>
    <s v="No"/>
    <n v="64923817"/>
    <n v="27"/>
    <x v="0"/>
  </r>
  <r>
    <n v="3911"/>
    <s v="MUJER"/>
    <n v="1341939"/>
    <x v="1"/>
    <x v="0"/>
    <s v="SI"/>
    <s v="NO"/>
    <s v="NO"/>
    <n v="76"/>
    <n v="2.4010015354813925"/>
    <s v="Sí"/>
    <n v="0.35332315995671015"/>
    <s v="No"/>
    <n v="1341939"/>
    <n v="76"/>
    <x v="1"/>
  </r>
  <r>
    <n v="3912"/>
    <s v="MUJER"/>
    <n v="170248"/>
    <x v="0"/>
    <x v="1"/>
    <s v="SI"/>
    <s v="NO"/>
    <s v="NO"/>
    <n v="20"/>
    <n v="1.5512169488383079"/>
    <s v="No"/>
    <n v="0.37282092530767835"/>
    <s v="No"/>
    <n v="170248"/>
    <n v="20"/>
    <x v="0"/>
  </r>
  <r>
    <n v="3913"/>
    <s v="HOMBRE"/>
    <n v="301566"/>
    <x v="2"/>
    <x v="1"/>
    <s v="SI"/>
    <s v="NO"/>
    <s v="SI"/>
    <n v="26"/>
    <n v="1.1277649683754829"/>
    <s v="No"/>
    <n v="0.37063570108870048"/>
    <s v="No"/>
    <n v="301566"/>
    <n v="26"/>
    <x v="2"/>
  </r>
  <r>
    <n v="3914"/>
    <s v="HOMBRE"/>
    <n v="326841"/>
    <x v="3"/>
    <x v="1"/>
    <s v="SI"/>
    <s v="NO"/>
    <s v="SI"/>
    <n v="51"/>
    <n v="0.6366182835529548"/>
    <s v="No"/>
    <n v="0.37021510724676965"/>
    <s v="No"/>
    <n v="326841"/>
    <n v="51"/>
    <x v="3"/>
  </r>
  <r>
    <n v="3915"/>
    <s v="HOMBRE"/>
    <n v="260561"/>
    <x v="0"/>
    <x v="1"/>
    <s v="SI"/>
    <s v="NO"/>
    <s v="NO"/>
    <n v="52"/>
    <n v="0.70719361363009237"/>
    <s v="No"/>
    <n v="0.37131805323463007"/>
    <s v="No"/>
    <n v="260561"/>
    <n v="52"/>
    <x v="0"/>
  </r>
  <r>
    <n v="3916"/>
    <s v="HOMBRE"/>
    <n v="478496"/>
    <x v="3"/>
    <x v="1"/>
    <s v="SI"/>
    <s v="NO"/>
    <s v="NO"/>
    <n v="31"/>
    <n v="0.77488831798979529"/>
    <s v="No"/>
    <n v="0.36769146099165539"/>
    <s v="No"/>
    <n v="478496"/>
    <n v="31"/>
    <x v="3"/>
  </r>
  <r>
    <n v="3917"/>
    <s v="HOMBRE"/>
    <n v="297046"/>
    <x v="2"/>
    <x v="1"/>
    <s v="SI"/>
    <s v="NO"/>
    <s v="NO"/>
    <n v="59"/>
    <n v="1.2012209241700549"/>
    <s v="No"/>
    <n v="0.37071091707942361"/>
    <s v="No"/>
    <n v="297046"/>
    <n v="59"/>
    <x v="2"/>
  </r>
  <r>
    <n v="3918"/>
    <s v="MUJER"/>
    <n v="360000"/>
    <x v="0"/>
    <x v="1"/>
    <s v="SI"/>
    <s v="NO"/>
    <s v="NO"/>
    <n v="23"/>
    <n v="1.3394909586068953"/>
    <s v="No"/>
    <n v="0.36966331807942709"/>
    <s v="No"/>
    <n v="360000"/>
    <n v="23"/>
    <x v="0"/>
  </r>
  <r>
    <n v="3919"/>
    <s v="MUJER"/>
    <n v="297046"/>
    <x v="2"/>
    <x v="1"/>
    <s v="SI"/>
    <s v="NO"/>
    <s v="NO"/>
    <n v="43"/>
    <n v="7.2015642935854773E-2"/>
    <s v="No"/>
    <n v="0.37071091707942361"/>
    <s v="No"/>
    <n v="297046"/>
    <n v="43"/>
    <x v="2"/>
  </r>
  <r>
    <n v="3920"/>
    <s v="HOMBRE"/>
    <n v="10"/>
    <x v="0"/>
    <x v="1"/>
    <s v="SI"/>
    <s v="NO"/>
    <s v="NO"/>
    <n v="42"/>
    <n v="1.4403128587172659E-3"/>
    <s v="No"/>
    <n v="0.37565380580075897"/>
    <s v="No"/>
    <n v="10"/>
    <n v="42"/>
    <x v="0"/>
  </r>
  <r>
    <n v="3921"/>
    <s v="HOMBRE"/>
    <n v="310124"/>
    <x v="3"/>
    <x v="1"/>
    <s v="SI"/>
    <s v="SI"/>
    <s v="SI"/>
    <n v="48"/>
    <n v="0.42489229332154227"/>
    <s v="No"/>
    <n v="0.37049328992750385"/>
    <s v="No"/>
    <n v="310124"/>
    <n v="48"/>
    <x v="3"/>
  </r>
  <r>
    <n v="3922"/>
    <s v="HOMBRE"/>
    <n v="148800"/>
    <x v="0"/>
    <x v="1"/>
    <s v="SI"/>
    <s v="NO"/>
    <s v="NO"/>
    <n v="54"/>
    <n v="0.84834427378436728"/>
    <s v="No"/>
    <n v="0.37317783516808317"/>
    <s v="No"/>
    <n v="148800"/>
    <n v="54"/>
    <x v="0"/>
  </r>
  <r>
    <n v="3923"/>
    <s v="HOMBRE"/>
    <n v="192600"/>
    <x v="0"/>
    <x v="1"/>
    <s v="SI"/>
    <s v="SI"/>
    <s v="SI"/>
    <n v="48"/>
    <n v="0.42489229332154227"/>
    <s v="No"/>
    <n v="0.37244897224912893"/>
    <s v="No"/>
    <n v="192600"/>
    <n v="48"/>
    <x v="0"/>
  </r>
  <r>
    <n v="3924"/>
    <s v="HOMBRE"/>
    <n v="305704"/>
    <x v="3"/>
    <x v="1"/>
    <s v="SI"/>
    <s v="NO"/>
    <s v="SI"/>
    <n v="42"/>
    <n v="1.4403128587172659E-3"/>
    <s v="No"/>
    <n v="0.37056684184763578"/>
    <s v="No"/>
    <n v="305704"/>
    <n v="42"/>
    <x v="3"/>
  </r>
  <r>
    <n v="3925"/>
    <s v="HOMBRE"/>
    <n v="297046"/>
    <x v="2"/>
    <x v="1"/>
    <s v="SI"/>
    <s v="NO"/>
    <s v="NO"/>
    <n v="48"/>
    <n v="0.42489229332154227"/>
    <s v="No"/>
    <n v="0.37071091707942361"/>
    <s v="No"/>
    <n v="297046"/>
    <n v="48"/>
    <x v="2"/>
  </r>
  <r>
    <n v="3926"/>
    <s v="HOMBRE"/>
    <n v="148111918"/>
    <x v="0"/>
    <x v="1"/>
    <s v="SI"/>
    <s v="NO"/>
    <s v="NO"/>
    <n v="29"/>
    <n v="0.91603897814407031"/>
    <s v="No"/>
    <n v="2.0890328973216454"/>
    <s v="Sí"/>
    <n v="148111918"/>
    <n v="29"/>
    <x v="0"/>
  </r>
  <r>
    <n v="3927"/>
    <s v="MUJER"/>
    <n v="220000"/>
    <x v="0"/>
    <x v="1"/>
    <s v="SI"/>
    <s v="NO"/>
    <s v="NO"/>
    <n v="58"/>
    <n v="1.1306455940929174"/>
    <s v="No"/>
    <n v="0.37199301690713471"/>
    <s v="No"/>
    <n v="220000"/>
    <n v="58"/>
    <x v="0"/>
  </r>
  <r>
    <n v="3928"/>
    <s v="MUJER"/>
    <n v="856546"/>
    <x v="0"/>
    <x v="0"/>
    <s v="SI"/>
    <s v="NO"/>
    <s v="NO"/>
    <n v="36"/>
    <n v="0.42201166760410774"/>
    <s v="No"/>
    <n v="0.36140044212154926"/>
    <s v="No"/>
    <n v="856546"/>
    <n v="36"/>
    <x v="0"/>
  </r>
  <r>
    <n v="3929"/>
    <s v="MUJER"/>
    <n v="358640"/>
    <x v="3"/>
    <x v="1"/>
    <s v="SI"/>
    <s v="NO"/>
    <s v="SI"/>
    <n v="24"/>
    <n v="1.2689156285297578"/>
    <s v="No"/>
    <n v="0.3696859494394677"/>
    <s v="No"/>
    <n v="358640"/>
    <n v="24"/>
    <x v="3"/>
  </r>
  <r>
    <n v="3930"/>
    <s v="HOMBRE"/>
    <n v="345000"/>
    <x v="0"/>
    <x v="1"/>
    <s v="SI"/>
    <s v="NO"/>
    <s v="NO"/>
    <n v="62"/>
    <n v="1.4129469144014672"/>
    <s v="No"/>
    <n v="0.3699129286681101"/>
    <s v="No"/>
    <n v="345000"/>
    <n v="62"/>
    <x v="0"/>
  </r>
  <r>
    <n v="3931"/>
    <s v="HOMBRE"/>
    <n v="292400"/>
    <x v="0"/>
    <x v="1"/>
    <s v="SI"/>
    <s v="NO"/>
    <s v="NO"/>
    <n v="34"/>
    <n v="0.56316232775838282"/>
    <s v="No"/>
    <n v="0.37078822979909165"/>
    <s v="No"/>
    <n v="292400"/>
    <n v="34"/>
    <x v="0"/>
  </r>
  <r>
    <n v="3932"/>
    <s v="MUJER"/>
    <n v="445400"/>
    <x v="0"/>
    <x v="0"/>
    <s v="SI"/>
    <s v="NO"/>
    <s v="SI"/>
    <n v="52"/>
    <n v="0.70719361363009237"/>
    <s v="No"/>
    <n v="0.36824220179452549"/>
    <s v="No"/>
    <n v="445400"/>
    <n v="52"/>
    <x v="0"/>
  </r>
  <r>
    <n v="3933"/>
    <s v="HOMBRE"/>
    <n v="300000"/>
    <x v="0"/>
    <x v="1"/>
    <s v="SI"/>
    <s v="NO"/>
    <s v="NO"/>
    <n v="50"/>
    <n v="0.56604295347581735"/>
    <s v="No"/>
    <n v="0.37066176043415894"/>
    <s v="No"/>
    <n v="300000"/>
    <n v="50"/>
    <x v="0"/>
  </r>
  <r>
    <n v="3934"/>
    <s v="MUJER"/>
    <n v="343391"/>
    <x v="0"/>
    <x v="1"/>
    <s v="SI"/>
    <s v="NO"/>
    <s v="NO"/>
    <n v="40"/>
    <n v="0.13971034729555773"/>
    <s v="No"/>
    <n v="0.36993970356392281"/>
    <s v="No"/>
    <n v="343391"/>
    <n v="40"/>
    <x v="0"/>
  </r>
  <r>
    <n v="3935"/>
    <s v="HOMBRE"/>
    <n v="6427512"/>
    <x v="0"/>
    <x v="1"/>
    <s v="SI"/>
    <s v="NO"/>
    <s v="NO"/>
    <n v="31"/>
    <n v="0.77488831798979529"/>
    <s v="No"/>
    <n v="0.26869563526869983"/>
    <s v="No"/>
    <n v="6427512"/>
    <n v="31"/>
    <x v="0"/>
  </r>
  <r>
    <n v="3936"/>
    <s v="HOMBRE"/>
    <n v="278030"/>
    <x v="4"/>
    <x v="1"/>
    <s v="SI"/>
    <s v="NO"/>
    <s v="NO"/>
    <n v="42"/>
    <n v="1.4403128587172659E-3"/>
    <s v="No"/>
    <n v="0.37102735674304993"/>
    <s v="No"/>
    <n v="278030"/>
    <n v="42"/>
    <x v="4"/>
  </r>
  <r>
    <n v="3937"/>
    <s v="HOMBRE"/>
    <n v="36715408"/>
    <x v="0"/>
    <x v="1"/>
    <s v="SI"/>
    <s v="NO"/>
    <s v="SI"/>
    <n v="58"/>
    <n v="1.1306455940929174"/>
    <s v="No"/>
    <n v="0.23531633476651342"/>
    <s v="No"/>
    <n v="36715408"/>
    <n v="58"/>
    <x v="0"/>
  </r>
  <r>
    <n v="3938"/>
    <s v="MUJER"/>
    <n v="5081585"/>
    <x v="0"/>
    <x v="0"/>
    <s v="SI"/>
    <s v="NO"/>
    <s v="NO"/>
    <n v="27"/>
    <n v="1.0571896382983452"/>
    <s v="No"/>
    <n v="0.2910928106549856"/>
    <s v="No"/>
    <n v="5081585"/>
    <n v="27"/>
    <x v="0"/>
  </r>
  <r>
    <n v="3939"/>
    <s v="MUJER"/>
    <n v="138000"/>
    <x v="0"/>
    <x v="1"/>
    <s v="SI"/>
    <s v="SI"/>
    <s v="SI"/>
    <n v="59"/>
    <n v="1.2012209241700549"/>
    <s v="No"/>
    <n v="0.37335755479193489"/>
    <s v="No"/>
    <n v="138000"/>
    <n v="59"/>
    <x v="0"/>
  </r>
  <r>
    <n v="3940"/>
    <s v="HOMBRE"/>
    <n v="5326199"/>
    <x v="0"/>
    <x v="1"/>
    <s v="SI"/>
    <s v="NO"/>
    <s v="NO"/>
    <n v="26"/>
    <n v="1.1277649683754829"/>
    <s v="No"/>
    <n v="0.28702226101897943"/>
    <s v="No"/>
    <n v="5326199"/>
    <n v="26"/>
    <x v="0"/>
  </r>
  <r>
    <n v="3941"/>
    <s v="MUJER"/>
    <n v="1787275"/>
    <x v="1"/>
    <x v="0"/>
    <s v="SI"/>
    <s v="NO"/>
    <s v="NO"/>
    <n v="67"/>
    <n v="1.765823564787155"/>
    <s v="No"/>
    <n v="0.34591245454859587"/>
    <s v="No"/>
    <n v="1787275"/>
    <n v="67"/>
    <x v="1"/>
  </r>
  <r>
    <n v="3942"/>
    <s v="MUJER"/>
    <n v="475269"/>
    <x v="3"/>
    <x v="1"/>
    <s v="SI"/>
    <s v="NO"/>
    <s v="SI"/>
    <n v="64"/>
    <n v="1.5540975745557424"/>
    <s v="No"/>
    <n v="0.36774516054963408"/>
    <s v="No"/>
    <n v="475269"/>
    <n v="64"/>
    <x v="3"/>
  </r>
  <r>
    <n v="3943"/>
    <s v="MUJER"/>
    <n v="1955324"/>
    <x v="0"/>
    <x v="0"/>
    <s v="SI"/>
    <s v="NO"/>
    <s v="SI"/>
    <n v="37"/>
    <n v="0.35143633752697023"/>
    <s v="No"/>
    <n v="0.34311600056075708"/>
    <s v="No"/>
    <n v="1955324"/>
    <n v="37"/>
    <x v="0"/>
  </r>
  <r>
    <n v="3944"/>
    <s v="HOMBRE"/>
    <n v="4348062"/>
    <x v="0"/>
    <x v="1"/>
    <s v="SI"/>
    <s v="NO"/>
    <s v="NO"/>
    <n v="43"/>
    <n v="7.2015642935854773E-2"/>
    <s v="No"/>
    <n v="0.30329915117781825"/>
    <s v="No"/>
    <n v="4348062"/>
    <n v="43"/>
    <x v="0"/>
  </r>
  <r>
    <n v="3945"/>
    <s v="MUJER"/>
    <n v="278030"/>
    <x v="4"/>
    <x v="1"/>
    <s v="SI"/>
    <s v="NO"/>
    <s v="NO"/>
    <n v="24"/>
    <n v="1.2689156285297578"/>
    <s v="No"/>
    <n v="0.37102735674304993"/>
    <s v="No"/>
    <n v="278030"/>
    <n v="24"/>
    <x v="4"/>
  </r>
  <r>
    <n v="3946"/>
    <s v="HOMBRE"/>
    <n v="278030"/>
    <x v="4"/>
    <x v="1"/>
    <s v="SI"/>
    <s v="NO"/>
    <s v="NO"/>
    <n v="28"/>
    <n v="0.98661430822120777"/>
    <s v="No"/>
    <n v="0.37102735674304993"/>
    <s v="No"/>
    <n v="278030"/>
    <n v="28"/>
    <x v="4"/>
  </r>
  <r>
    <n v="3947"/>
    <s v="HOMBRE"/>
    <n v="297062"/>
    <x v="3"/>
    <x v="1"/>
    <s v="SI"/>
    <s v="SI"/>
    <s v="SI"/>
    <n v="46"/>
    <n v="0.2837416331672673"/>
    <s v="No"/>
    <n v="0.37071065082812898"/>
    <s v="No"/>
    <n v="297062"/>
    <n v="46"/>
    <x v="3"/>
  </r>
  <r>
    <n v="3948"/>
    <s v="MUJER"/>
    <n v="433430"/>
    <x v="0"/>
    <x v="0"/>
    <s v="SI"/>
    <s v="NO"/>
    <s v="SI"/>
    <n v="48"/>
    <n v="0.42489229332154227"/>
    <s v="No"/>
    <n v="0.36844139104429446"/>
    <s v="No"/>
    <n v="433430"/>
    <n v="48"/>
    <x v="0"/>
  </r>
  <r>
    <n v="3949"/>
    <s v="MUJER"/>
    <n v="220000"/>
    <x v="0"/>
    <x v="1"/>
    <s v="SI"/>
    <s v="NO"/>
    <s v="NO"/>
    <n v="20"/>
    <n v="1.5512169488383079"/>
    <s v="No"/>
    <n v="0.37199301690713471"/>
    <s v="No"/>
    <n v="220000"/>
    <n v="20"/>
    <x v="0"/>
  </r>
  <r>
    <n v="3950"/>
    <s v="HOMBRE"/>
    <n v="202390"/>
    <x v="0"/>
    <x v="1"/>
    <s v="SI"/>
    <s v="SI"/>
    <s v="SI"/>
    <n v="19"/>
    <n v="1.6217922789154453"/>
    <s v="No"/>
    <n v="0.37228605973824852"/>
    <s v="No"/>
    <n v="202390"/>
    <n v="19"/>
    <x v="0"/>
  </r>
  <r>
    <n v="3951"/>
    <s v="HOMBRE"/>
    <n v="72123392"/>
    <x v="0"/>
    <x v="1"/>
    <s v="SI"/>
    <s v="NO"/>
    <s v="NO"/>
    <n v="27"/>
    <n v="1.0571896382983452"/>
    <s v="No"/>
    <n v="0.82453018345429652"/>
    <s v="No"/>
    <n v="72123392"/>
    <n v="27"/>
    <x v="0"/>
  </r>
  <r>
    <n v="3952"/>
    <s v="HOMBRE"/>
    <n v="255000"/>
    <x v="0"/>
    <x v="1"/>
    <s v="SI"/>
    <s v="SI"/>
    <s v="NO"/>
    <n v="34"/>
    <n v="0.56316232775838282"/>
    <s v="No"/>
    <n v="0.37141059220020783"/>
    <s v="No"/>
    <n v="255000"/>
    <n v="34"/>
    <x v="0"/>
  </r>
  <r>
    <n v="3953"/>
    <s v="HOMBRE"/>
    <n v="7285718"/>
    <x v="0"/>
    <x v="0"/>
    <s v="SI"/>
    <s v="NO"/>
    <s v="NO"/>
    <n v="38"/>
    <n v="0.28086100744983278"/>
    <s v="No"/>
    <n v="0.25441448161061669"/>
    <s v="No"/>
    <n v="7285718"/>
    <n v="38"/>
    <x v="0"/>
  </r>
  <r>
    <n v="3954"/>
    <s v="HOMBRE"/>
    <n v="950000"/>
    <x v="0"/>
    <x v="1"/>
    <s v="SI"/>
    <s v="NO"/>
    <s v="NO"/>
    <n v="41"/>
    <n v="6.9135017218420233E-2"/>
    <s v="No"/>
    <n v="0.35984530159123079"/>
    <s v="No"/>
    <n v="950000"/>
    <n v="41"/>
    <x v="0"/>
  </r>
  <r>
    <n v="3955"/>
    <s v="MUJER"/>
    <n v="96473822"/>
    <x v="0"/>
    <x v="1"/>
    <s v="SI"/>
    <s v="NO"/>
    <s v="NO"/>
    <n v="35"/>
    <n v="0.49258699768124525"/>
    <s v="No"/>
    <n v="1.2297385279198398"/>
    <s v="No"/>
    <n v="96473822"/>
    <n v="35"/>
    <x v="0"/>
  </r>
  <r>
    <n v="3956"/>
    <s v="HOMBRE"/>
    <n v="51041515"/>
    <x v="0"/>
    <x v="1"/>
    <s v="SI"/>
    <s v="NO"/>
    <s v="NO"/>
    <n v="34"/>
    <n v="0.56316232775838282"/>
    <s v="No"/>
    <n v="0.47371286822018277"/>
    <s v="No"/>
    <n v="51041515"/>
    <n v="34"/>
    <x v="0"/>
  </r>
  <r>
    <n v="3957"/>
    <s v="HOMBRE"/>
    <n v="183865"/>
    <x v="0"/>
    <x v="1"/>
    <s v="SI"/>
    <s v="NO"/>
    <s v="NO"/>
    <n v="21"/>
    <n v="1.4806416187611704"/>
    <s v="No"/>
    <n v="0.37259432881527199"/>
    <s v="No"/>
    <n v="183865"/>
    <n v="21"/>
    <x v="0"/>
  </r>
  <r>
    <n v="3958"/>
    <s v="HOMBRE"/>
    <n v="1470000"/>
    <x v="0"/>
    <x v="1"/>
    <s v="SI"/>
    <s v="SI"/>
    <s v="SI"/>
    <n v="55"/>
    <n v="0.91891960386150484"/>
    <s v="No"/>
    <n v="0.35119213451688824"/>
    <s v="No"/>
    <n v="1470000"/>
    <n v="55"/>
    <x v="0"/>
  </r>
  <r>
    <n v="3959"/>
    <s v="MUJER"/>
    <n v="200000"/>
    <x v="0"/>
    <x v="1"/>
    <s v="SI"/>
    <s v="NO"/>
    <s v="NO"/>
    <n v="27"/>
    <n v="1.0571896382983452"/>
    <s v="No"/>
    <n v="0.3723258310253787"/>
    <s v="No"/>
    <n v="200000"/>
    <n v="27"/>
    <x v="0"/>
  </r>
  <r>
    <n v="3960"/>
    <s v="MUJER"/>
    <n v="344981"/>
    <x v="0"/>
    <x v="1"/>
    <s v="SI"/>
    <s v="NO"/>
    <s v="NO"/>
    <n v="35"/>
    <n v="0.49258699768124525"/>
    <s v="No"/>
    <n v="0.36991324484152244"/>
    <s v="No"/>
    <n v="344981"/>
    <n v="35"/>
    <x v="0"/>
  </r>
  <r>
    <n v="3961"/>
    <s v="MUJER"/>
    <n v="1332630"/>
    <x v="0"/>
    <x v="0"/>
    <s v="SI"/>
    <s v="NO"/>
    <s v="SI"/>
    <n v="42"/>
    <n v="1.4403128587172659E-3"/>
    <s v="No"/>
    <n v="0.35347806828804679"/>
    <s v="No"/>
    <n v="1332630"/>
    <n v="42"/>
    <x v="0"/>
  </r>
  <r>
    <n v="3962"/>
    <s v="HOMBRE"/>
    <n v="61253244"/>
    <x v="1"/>
    <x v="0"/>
    <s v="SI"/>
    <s v="NO"/>
    <s v="NO"/>
    <n v="67"/>
    <n v="1.765823564787155"/>
    <s v="No"/>
    <n v="0.64364324736423817"/>
    <s v="No"/>
    <n v="61253244"/>
    <n v="67"/>
    <x v="1"/>
  </r>
  <r>
    <n v="3963"/>
    <s v="MUJER"/>
    <n v="355145"/>
    <x v="0"/>
    <x v="0"/>
    <s v="SI"/>
    <s v="NO"/>
    <s v="NO"/>
    <n v="42"/>
    <n v="1.4403128587172659E-3"/>
    <s v="No"/>
    <n v="0.36974410870663083"/>
    <s v="No"/>
    <n v="355145"/>
    <n v="42"/>
    <x v="0"/>
  </r>
  <r>
    <n v="3964"/>
    <s v="MUJER"/>
    <n v="3464745"/>
    <x v="0"/>
    <x v="1"/>
    <s v="SI"/>
    <s v="NO"/>
    <s v="SI"/>
    <n v="30"/>
    <n v="0.84546364806693275"/>
    <s v="No"/>
    <n v="0.31799816960206251"/>
    <s v="No"/>
    <n v="3464745"/>
    <n v="30"/>
    <x v="0"/>
  </r>
  <r>
    <n v="3965"/>
    <s v="HOMBRE"/>
    <n v="2380634"/>
    <x v="0"/>
    <x v="1"/>
    <s v="SI"/>
    <s v="NO"/>
    <s v="NO"/>
    <n v="36"/>
    <n v="0.42201166760410774"/>
    <s v="No"/>
    <n v="0.33603854192924049"/>
    <s v="No"/>
    <n v="2380634"/>
    <n v="36"/>
    <x v="0"/>
  </r>
  <r>
    <n v="3966"/>
    <s v="HOMBRE"/>
    <n v="366350"/>
    <x v="0"/>
    <x v="1"/>
    <s v="SI"/>
    <s v="SI"/>
    <s v="NO"/>
    <n v="35"/>
    <n v="0.49258699768124525"/>
    <s v="No"/>
    <n v="0.3695576495968847"/>
    <s v="No"/>
    <n v="366350"/>
    <n v="35"/>
    <x v="0"/>
  </r>
  <r>
    <n v="3967"/>
    <s v="HOMBRE"/>
    <n v="42071674"/>
    <x v="0"/>
    <x v="1"/>
    <s v="SI"/>
    <s v="NO"/>
    <s v="NO"/>
    <n v="34"/>
    <n v="0.56316232775838282"/>
    <s v="No"/>
    <n v="0.32444838206001414"/>
    <s v="No"/>
    <n v="42071674"/>
    <n v="34"/>
    <x v="0"/>
  </r>
  <r>
    <n v="3968"/>
    <s v="MUJER"/>
    <n v="175000"/>
    <x v="0"/>
    <x v="1"/>
    <s v="SI"/>
    <s v="NO"/>
    <s v="SI"/>
    <n v="40"/>
    <n v="0.13971034729555773"/>
    <s v="No"/>
    <n v="0.37274184867318361"/>
    <s v="No"/>
    <n v="175000"/>
    <n v="40"/>
    <x v="0"/>
  </r>
  <r>
    <n v="3969"/>
    <s v="HOMBRE"/>
    <n v="27803099"/>
    <x v="4"/>
    <x v="1"/>
    <s v="SI"/>
    <s v="NO"/>
    <s v="NO"/>
    <n v="44"/>
    <n v="0.14259097301299228"/>
    <s v="No"/>
    <n v="8.7009221698885322E-2"/>
    <s v="No"/>
    <n v="27803099"/>
    <n v="44"/>
    <x v="4"/>
  </r>
  <r>
    <n v="3970"/>
    <s v="HOMBRE"/>
    <n v="971125"/>
    <x v="0"/>
    <x v="1"/>
    <s v="SI"/>
    <s v="NO"/>
    <s v="NO"/>
    <n v="30"/>
    <n v="0.84546364806693275"/>
    <s v="No"/>
    <n v="0.35949376667883565"/>
    <s v="No"/>
    <n v="971125"/>
    <n v="30"/>
    <x v="0"/>
  </r>
  <r>
    <n v="3971"/>
    <s v="MUJER"/>
    <n v="19041308"/>
    <x v="0"/>
    <x v="1"/>
    <s v="SI"/>
    <s v="NO"/>
    <s v="NO"/>
    <n v="20"/>
    <n v="1.5512169488383079"/>
    <s v="No"/>
    <n v="5.8793165596250696E-2"/>
    <s v="No"/>
    <n v="19041308"/>
    <n v="20"/>
    <x v="0"/>
  </r>
  <r>
    <n v="3972"/>
    <s v="HOMBRE"/>
    <n v="1682812"/>
    <x v="0"/>
    <x v="0"/>
    <s v="SI"/>
    <s v="NO"/>
    <s v="SI"/>
    <n v="46"/>
    <n v="0.2837416331672673"/>
    <s v="No"/>
    <n v="0.34765079261030174"/>
    <s v="No"/>
    <n v="1682812"/>
    <n v="46"/>
    <x v="0"/>
  </r>
  <r>
    <n v="3973"/>
    <s v="MUJER"/>
    <n v="48315654"/>
    <x v="0"/>
    <x v="1"/>
    <s v="SI"/>
    <s v="NO"/>
    <s v="NO"/>
    <n v="41"/>
    <n v="6.9135017218420233E-2"/>
    <s v="No"/>
    <n v="0.42835261696165511"/>
    <s v="No"/>
    <n v="48315654"/>
    <n v="41"/>
    <x v="0"/>
  </r>
  <r>
    <n v="3974"/>
    <s v="MUJER"/>
    <n v="567792"/>
    <x v="0"/>
    <x v="0"/>
    <s v="SI"/>
    <s v="NO"/>
    <s v="SI"/>
    <n v="51"/>
    <n v="0.6366182835529548"/>
    <s v="No"/>
    <n v="0.36620551251651984"/>
    <s v="No"/>
    <n v="567792"/>
    <n v="51"/>
    <x v="0"/>
  </r>
  <r>
    <n v="3975"/>
    <s v="MUJER"/>
    <n v="216627"/>
    <x v="0"/>
    <x v="1"/>
    <s v="SI"/>
    <s v="NO"/>
    <s v="NO"/>
    <n v="42"/>
    <n v="1.4403128587172659E-3"/>
    <s v="No"/>
    <n v="0.37204914600817657"/>
    <s v="No"/>
    <n v="216627"/>
    <n v="42"/>
    <x v="0"/>
  </r>
  <r>
    <n v="3976"/>
    <s v="MUJER"/>
    <n v="297045"/>
    <x v="2"/>
    <x v="1"/>
    <s v="SI"/>
    <s v="SI"/>
    <s v="NO"/>
    <n v="27"/>
    <n v="1.0571896382983452"/>
    <s v="No"/>
    <n v="0.37071093372012948"/>
    <s v="No"/>
    <n v="297045"/>
    <n v="27"/>
    <x v="2"/>
  </r>
  <r>
    <n v="3977"/>
    <s v="MUJER"/>
    <n v="83313024"/>
    <x v="0"/>
    <x v="1"/>
    <s v="SI"/>
    <s v="NO"/>
    <s v="NO"/>
    <n v="26"/>
    <n v="1.1277649683754829"/>
    <s v="No"/>
    <n v="1.0107335588320072"/>
    <s v="No"/>
    <n v="83313024"/>
    <n v="26"/>
    <x v="0"/>
  </r>
  <r>
    <n v="3978"/>
    <s v="MUJER"/>
    <n v="278030"/>
    <x v="2"/>
    <x v="1"/>
    <s v="SI"/>
    <s v="NO"/>
    <s v="NO"/>
    <n v="33"/>
    <n v="0.63373765783552027"/>
    <s v="No"/>
    <n v="0.37102735674304993"/>
    <s v="No"/>
    <n v="278030"/>
    <n v="33"/>
    <x v="2"/>
  </r>
  <r>
    <n v="3979"/>
    <s v="HOMBRE"/>
    <n v="326749"/>
    <x v="3"/>
    <x v="1"/>
    <s v="SI"/>
    <s v="NO"/>
    <s v="NO"/>
    <n v="51"/>
    <n v="0.6366182835529548"/>
    <s v="No"/>
    <n v="0.37021663819171358"/>
    <s v="No"/>
    <n v="326749"/>
    <n v="51"/>
    <x v="3"/>
  </r>
  <r>
    <n v="3980"/>
    <s v="HOMBRE"/>
    <n v="367410"/>
    <x v="0"/>
    <x v="0"/>
    <s v="SI"/>
    <s v="NO"/>
    <s v="SI"/>
    <n v="57"/>
    <n v="1.0600702640157798"/>
    <s v="No"/>
    <n v="0.36954001044861773"/>
    <s v="No"/>
    <n v="367410"/>
    <n v="57"/>
    <x v="0"/>
  </r>
  <r>
    <n v="3981"/>
    <s v="HOMBRE"/>
    <n v="1011737"/>
    <x v="0"/>
    <x v="0"/>
    <s v="SI"/>
    <s v="NO"/>
    <s v="NO"/>
    <n v="48"/>
    <n v="0.42489229332154227"/>
    <s v="No"/>
    <n v="0.35881795433032948"/>
    <s v="No"/>
    <n v="1011737"/>
    <n v="48"/>
    <x v="0"/>
  </r>
  <r>
    <n v="3982"/>
    <s v="MUJER"/>
    <n v="59561409"/>
    <x v="0"/>
    <x v="1"/>
    <s v="SI"/>
    <s v="NO"/>
    <s v="NO"/>
    <n v="21"/>
    <n v="1.4806416187611704"/>
    <s v="No"/>
    <n v="0.61548991867727609"/>
    <s v="No"/>
    <n v="59561409"/>
    <n v="21"/>
    <x v="0"/>
  </r>
  <r>
    <n v="3983"/>
    <s v="HOMBRE"/>
    <n v="73658585"/>
    <x v="0"/>
    <x v="1"/>
    <s v="SI"/>
    <s v="NO"/>
    <s v="NO"/>
    <n v="36"/>
    <n v="0.42201166760410774"/>
    <s v="No"/>
    <n v="0.85007687868576021"/>
    <s v="No"/>
    <n v="73658585"/>
    <n v="36"/>
    <x v="0"/>
  </r>
  <r>
    <n v="3984"/>
    <s v="HOMBRE"/>
    <n v="47779663"/>
    <x v="0"/>
    <x v="0"/>
    <s v="SI"/>
    <s v="NO"/>
    <s v="NO"/>
    <n v="36"/>
    <n v="0.42201166760410774"/>
    <s v="No"/>
    <n v="0.41943334835907059"/>
    <s v="No"/>
    <n v="47779663"/>
    <n v="36"/>
    <x v="0"/>
  </r>
  <r>
    <n v="3985"/>
    <s v="MUJER"/>
    <n v="445567"/>
    <x v="3"/>
    <x v="1"/>
    <s v="SI"/>
    <s v="NO"/>
    <s v="SI"/>
    <n v="51"/>
    <n v="0.6366182835529548"/>
    <s v="No"/>
    <n v="0.36823942279663813"/>
    <s v="No"/>
    <n v="445567"/>
    <n v="51"/>
    <x v="3"/>
  </r>
  <r>
    <n v="3986"/>
    <s v="HOMBRE"/>
    <n v="284281"/>
    <x v="2"/>
    <x v="1"/>
    <s v="NO"/>
    <s v="NO"/>
    <s v="NO"/>
    <n v="30"/>
    <n v="0.84546364806693275"/>
    <s v="No"/>
    <n v="0.37092333569039276"/>
    <s v="No"/>
    <n v="284281"/>
    <n v="30"/>
    <x v="2"/>
  </r>
  <r>
    <n v="3987"/>
    <s v="HOMBRE"/>
    <n v="359170508"/>
    <x v="0"/>
    <x v="1"/>
    <s v="SI"/>
    <s v="NO"/>
    <s v="NO"/>
    <n v="36"/>
    <n v="0.42201166760410774"/>
    <s v="No"/>
    <n v="5.6011968237546457"/>
    <s v="Sí"/>
    <n v="359170508"/>
    <n v="36"/>
    <x v="0"/>
  </r>
  <r>
    <n v="3988"/>
    <s v="MUJER"/>
    <n v="35824666"/>
    <x v="0"/>
    <x v="1"/>
    <s v="SI"/>
    <s v="NO"/>
    <s v="NO"/>
    <n v="28"/>
    <n v="0.98661430822120777"/>
    <s v="No"/>
    <n v="0.2204937591008711"/>
    <s v="No"/>
    <n v="35824666"/>
    <n v="28"/>
    <x v="0"/>
  </r>
  <r>
    <n v="3989"/>
    <s v="HOMBRE"/>
    <n v="297163"/>
    <x v="2"/>
    <x v="1"/>
    <s v="SI"/>
    <s v="NO"/>
    <s v="NO"/>
    <n v="37"/>
    <n v="0.35143633752697023"/>
    <s v="No"/>
    <n v="0.37070897011683185"/>
    <s v="No"/>
    <n v="297163"/>
    <n v="37"/>
    <x v="2"/>
  </r>
  <r>
    <n v="3990"/>
    <s v="HOMBRE"/>
    <n v="360000"/>
    <x v="0"/>
    <x v="1"/>
    <s v="SI"/>
    <s v="NO"/>
    <s v="NO"/>
    <n v="54"/>
    <n v="0.84834427378436728"/>
    <s v="No"/>
    <n v="0.36966331807942709"/>
    <s v="No"/>
    <n v="360000"/>
    <n v="54"/>
    <x v="0"/>
  </r>
  <r>
    <n v="3991"/>
    <s v="MUJER"/>
    <n v="30000"/>
    <x v="0"/>
    <x v="1"/>
    <s v="SI"/>
    <s v="SI"/>
    <s v="NO"/>
    <n v="40"/>
    <n v="0.13971034729555773"/>
    <s v="No"/>
    <n v="0.3751547510304522"/>
    <s v="No"/>
    <n v="30000"/>
    <n v="40"/>
    <x v="0"/>
  </r>
  <r>
    <n v="3992"/>
    <s v="MUJER"/>
    <n v="16485333"/>
    <x v="0"/>
    <x v="1"/>
    <s v="SI"/>
    <s v="NO"/>
    <s v="NO"/>
    <n v="25"/>
    <n v="1.1983402984526204"/>
    <s v="No"/>
    <n v="0.10132639389017888"/>
    <s v="No"/>
    <n v="16485333"/>
    <n v="25"/>
    <x v="0"/>
  </r>
  <r>
    <n v="3993"/>
    <s v="MUJER"/>
    <n v="8673735"/>
    <x v="0"/>
    <x v="0"/>
    <s v="SI"/>
    <s v="NO"/>
    <s v="NO"/>
    <n v="32"/>
    <n v="0.70431298791265773"/>
    <s v="No"/>
    <n v="0.23131689891248652"/>
    <s v="No"/>
    <n v="8673735"/>
    <n v="32"/>
    <x v="0"/>
  </r>
  <r>
    <n v="3994"/>
    <s v="MUJER"/>
    <n v="130169207"/>
    <x v="0"/>
    <x v="1"/>
    <s v="SI"/>
    <s v="NO"/>
    <s v="NO"/>
    <n v="40"/>
    <n v="0.13971034729555773"/>
    <s v="No"/>
    <n v="1.7904535203031"/>
    <s v="No"/>
    <n v="130169207"/>
    <n v="40"/>
    <x v="0"/>
  </r>
  <r>
    <n v="3995"/>
    <s v="MUJER"/>
    <n v="382400"/>
    <x v="0"/>
    <x v="1"/>
    <s v="SI"/>
    <s v="NO"/>
    <s v="NO"/>
    <n v="35"/>
    <n v="0.49258699768124525"/>
    <s v="No"/>
    <n v="0.36929056626699391"/>
    <s v="No"/>
    <n v="382400"/>
    <n v="35"/>
    <x v="0"/>
  </r>
  <r>
    <n v="3996"/>
    <s v="HOMBRE"/>
    <n v="42368709"/>
    <x v="0"/>
    <x v="1"/>
    <s v="SI"/>
    <s v="NO"/>
    <s v="NO"/>
    <n v="52"/>
    <n v="0.70719361363009237"/>
    <s v="No"/>
    <n v="0.32939125414064363"/>
    <s v="No"/>
    <n v="42368709"/>
    <n v="52"/>
    <x v="0"/>
  </r>
  <r>
    <n v="3997"/>
    <s v="HOMBRE"/>
    <n v="342028"/>
    <x v="0"/>
    <x v="1"/>
    <s v="SI"/>
    <s v="NO"/>
    <s v="NO"/>
    <n v="24"/>
    <n v="1.2689156285297578"/>
    <s v="No"/>
    <n v="0.36996238484608113"/>
    <s v="No"/>
    <n v="342028"/>
    <n v="24"/>
    <x v="0"/>
  </r>
  <r>
    <n v="3998"/>
    <s v="HOMBRE"/>
    <n v="300018"/>
    <x v="3"/>
    <x v="1"/>
    <s v="SI"/>
    <s v="NO"/>
    <s v="SI"/>
    <n v="46"/>
    <n v="0.2837416331672673"/>
    <s v="No"/>
    <n v="0.37066146090145252"/>
    <s v="No"/>
    <n v="300018"/>
    <n v="46"/>
    <x v="3"/>
  </r>
  <r>
    <n v="3999"/>
    <s v="MUJER"/>
    <n v="9818475"/>
    <x v="0"/>
    <x v="1"/>
    <s v="SI"/>
    <s v="NO"/>
    <s v="NO"/>
    <n v="34"/>
    <n v="0.56316232775838282"/>
    <s v="No"/>
    <n v="0.21226761722655793"/>
    <s v="No"/>
    <n v="9818475"/>
    <n v="34"/>
    <x v="0"/>
  </r>
  <r>
    <n v="4000"/>
    <s v="MUJER"/>
    <n v="60213281"/>
    <x v="0"/>
    <x v="1"/>
    <s v="SI"/>
    <s v="NO"/>
    <s v="NO"/>
    <n v="23"/>
    <n v="1.3394909586068953"/>
    <s v="No"/>
    <n v="0.62633752892167183"/>
    <s v="No"/>
    <n v="60213281"/>
    <n v="23"/>
    <x v="0"/>
  </r>
  <r>
    <n v="4001"/>
    <s v="HOMBRE"/>
    <n v="35750147"/>
    <x v="0"/>
    <x v="1"/>
    <s v="SI"/>
    <s v="SI"/>
    <s v="NO"/>
    <n v="31"/>
    <n v="0.77488831798979529"/>
    <s v="No"/>
    <n v="0.21925371033700006"/>
    <s v="No"/>
    <n v="35750147"/>
    <n v="31"/>
    <x v="0"/>
  </r>
  <r>
    <n v="4002"/>
    <s v="HOMBRE"/>
    <n v="278030"/>
    <x v="3"/>
    <x v="1"/>
    <s v="SI"/>
    <s v="NO"/>
    <s v="NO"/>
    <n v="30"/>
    <n v="0.84546364806693275"/>
    <s v="No"/>
    <n v="0.37102735674304993"/>
    <s v="No"/>
    <n v="278030"/>
    <n v="30"/>
    <x v="3"/>
  </r>
  <r>
    <n v="4003"/>
    <s v="HOMBRE"/>
    <n v="3969463"/>
    <x v="0"/>
    <x v="0"/>
    <s v="SI"/>
    <s v="NO"/>
    <s v="NO"/>
    <n v="58"/>
    <n v="1.1306455940929174"/>
    <s v="No"/>
    <n v="0.30959930579547018"/>
    <s v="No"/>
    <n v="3969463"/>
    <n v="58"/>
    <x v="0"/>
  </r>
  <r>
    <n v="4004"/>
    <s v="MUJER"/>
    <n v="55066884"/>
    <x v="0"/>
    <x v="1"/>
    <s v="SI"/>
    <s v="NO"/>
    <s v="NO"/>
    <n v="23"/>
    <n v="1.3394909586068953"/>
    <s v="No"/>
    <n v="0.540697849937258"/>
    <s v="No"/>
    <n v="55066884"/>
    <n v="23"/>
    <x v="0"/>
  </r>
  <r>
    <n v="4005"/>
    <s v="HOMBRE"/>
    <n v="403983"/>
    <x v="3"/>
    <x v="1"/>
    <s v="SI"/>
    <s v="SI"/>
    <s v="SI"/>
    <n v="54"/>
    <n v="0.84834427378436728"/>
    <s v="No"/>
    <n v="0.36893140991129098"/>
    <s v="No"/>
    <n v="403983"/>
    <n v="54"/>
    <x v="3"/>
  </r>
  <r>
    <n v="4006"/>
    <s v="HOMBRE"/>
    <n v="35980991"/>
    <x v="0"/>
    <x v="1"/>
    <s v="SI"/>
    <s v="NO"/>
    <s v="NO"/>
    <n v="24"/>
    <n v="1.2689156285297578"/>
    <s v="No"/>
    <n v="0.2230951174525953"/>
    <s v="No"/>
    <n v="35980991"/>
    <n v="24"/>
    <x v="0"/>
  </r>
  <r>
    <n v="4007"/>
    <s v="MUJER"/>
    <n v="297045"/>
    <x v="2"/>
    <x v="1"/>
    <s v="SI"/>
    <s v="SI"/>
    <s v="SI"/>
    <n v="58"/>
    <n v="1.1306455940929174"/>
    <s v="No"/>
    <n v="0.37071093372012948"/>
    <s v="No"/>
    <n v="297045"/>
    <n v="58"/>
    <x v="2"/>
  </r>
  <r>
    <n v="4008"/>
    <s v="MUJER"/>
    <n v="300018"/>
    <x v="2"/>
    <x v="1"/>
    <s v="SI"/>
    <s v="NO"/>
    <s v="NO"/>
    <n v="58"/>
    <n v="1.1306455940929174"/>
    <s v="No"/>
    <n v="0.37066146090145252"/>
    <s v="No"/>
    <n v="300018"/>
    <n v="58"/>
    <x v="2"/>
  </r>
  <r>
    <n v="4009"/>
    <s v="HOMBRE"/>
    <n v="2005186"/>
    <x v="1"/>
    <x v="0"/>
    <s v="SI"/>
    <s v="NO"/>
    <s v="NO"/>
    <n v="40"/>
    <n v="0.13971034729555773"/>
    <s v="No"/>
    <n v="0.3422862616825631"/>
    <s v="No"/>
    <n v="2005186"/>
    <n v="40"/>
    <x v="1"/>
  </r>
  <r>
    <n v="4010"/>
    <s v="MUJER"/>
    <n v="169000694"/>
    <x v="0"/>
    <x v="1"/>
    <s v="SI"/>
    <s v="NO"/>
    <s v="NO"/>
    <n v="45"/>
    <n v="0.21316630309012977"/>
    <s v="No"/>
    <n v="2.4366368756034076"/>
    <s v="Sí"/>
    <n v="169000694"/>
    <n v="45"/>
    <x v="0"/>
  </r>
  <r>
    <n v="4011"/>
    <s v="HOMBRE"/>
    <n v="297046"/>
    <x v="2"/>
    <x v="1"/>
    <s v="SI"/>
    <s v="NO"/>
    <s v="NO"/>
    <n v="35"/>
    <n v="0.49258699768124525"/>
    <s v="No"/>
    <n v="0.37071091707942361"/>
    <s v="No"/>
    <n v="297046"/>
    <n v="35"/>
    <x v="2"/>
  </r>
  <r>
    <n v="4012"/>
    <s v="MUJER"/>
    <n v="1739958"/>
    <x v="0"/>
    <x v="0"/>
    <s v="SI"/>
    <s v="NO"/>
    <s v="NO"/>
    <n v="43"/>
    <n v="7.2015642935854773E-2"/>
    <s v="No"/>
    <n v="0.34669984283024335"/>
    <s v="No"/>
    <n v="1739958"/>
    <n v="43"/>
    <x v="0"/>
  </r>
  <r>
    <n v="4013"/>
    <s v="HOMBRE"/>
    <n v="42035927"/>
    <x v="0"/>
    <x v="1"/>
    <s v="SI"/>
    <s v="NO"/>
    <s v="NO"/>
    <n v="48"/>
    <n v="0.42489229332154227"/>
    <s v="No"/>
    <n v="0.32385352674577084"/>
    <s v="No"/>
    <n v="42035927"/>
    <n v="48"/>
    <x v="0"/>
  </r>
  <r>
    <n v="4014"/>
    <s v="HOMBRE"/>
    <n v="841178"/>
    <x v="0"/>
    <x v="0"/>
    <s v="SI"/>
    <s v="NO"/>
    <s v="NO"/>
    <n v="46"/>
    <n v="0.2837416331672673"/>
    <s v="No"/>
    <n v="0.36165617649000792"/>
    <s v="No"/>
    <n v="841178"/>
    <n v="46"/>
    <x v="0"/>
  </r>
  <r>
    <n v="4015"/>
    <s v="HOMBRE"/>
    <n v="1778646"/>
    <x v="0"/>
    <x v="1"/>
    <s v="SI"/>
    <s v="NO"/>
    <s v="NO"/>
    <n v="33"/>
    <n v="0.63373765783552027"/>
    <s v="No"/>
    <n v="0.34605604719991223"/>
    <s v="No"/>
    <n v="1778646"/>
    <n v="33"/>
    <x v="0"/>
  </r>
  <r>
    <n v="4016"/>
    <s v="MUJER"/>
    <n v="979284"/>
    <x v="1"/>
    <x v="0"/>
    <s v="SI"/>
    <s v="NO"/>
    <s v="NO"/>
    <n v="63"/>
    <n v="1.4835222444786049"/>
    <s v="No"/>
    <n v="0.359357995159298"/>
    <s v="No"/>
    <n v="979284"/>
    <n v="63"/>
    <x v="1"/>
  </r>
  <r>
    <n v="4017"/>
    <s v="MUJER"/>
    <n v="206000"/>
    <x v="0"/>
    <x v="1"/>
    <s v="SI"/>
    <s v="SI"/>
    <s v="NO"/>
    <n v="34"/>
    <n v="0.56316232775838282"/>
    <s v="No"/>
    <n v="0.37222598678990548"/>
    <s v="No"/>
    <n v="206000"/>
    <n v="34"/>
    <x v="0"/>
  </r>
  <r>
    <n v="4018"/>
    <s v="HOMBRE"/>
    <n v="10925963"/>
    <x v="0"/>
    <x v="1"/>
    <s v="SI"/>
    <s v="NO"/>
    <s v="SI"/>
    <n v="23"/>
    <n v="1.3394909586068953"/>
    <s v="No"/>
    <n v="0.1938382351172705"/>
    <s v="No"/>
    <n v="10925963"/>
    <n v="23"/>
    <x v="0"/>
  </r>
  <r>
    <n v="4019"/>
    <s v="HOMBRE"/>
    <n v="378297"/>
    <x v="1"/>
    <x v="0"/>
    <s v="SI"/>
    <s v="NO"/>
    <s v="NO"/>
    <n v="71"/>
    <n v="2.0481248850957048"/>
    <s v="Sí"/>
    <n v="0.36935884308335165"/>
    <s v="No"/>
    <n v="378297"/>
    <n v="71"/>
    <x v="1"/>
  </r>
  <r>
    <n v="4020"/>
    <s v="HOMBRE"/>
    <n v="3364452"/>
    <x v="0"/>
    <x v="1"/>
    <s v="SI"/>
    <s v="NO"/>
    <s v="SI"/>
    <n v="31"/>
    <n v="0.77488831798979529"/>
    <s v="No"/>
    <n v="0.31966711592011449"/>
    <s v="No"/>
    <n v="3364452"/>
    <n v="31"/>
    <x v="0"/>
  </r>
  <r>
    <n v="4021"/>
    <s v="HOMBRE"/>
    <n v="278030"/>
    <x v="4"/>
    <x v="1"/>
    <s v="SI"/>
    <s v="NO"/>
    <s v="NO"/>
    <n v="65"/>
    <n v="1.6246729046328798"/>
    <s v="No"/>
    <n v="0.37102735674304993"/>
    <s v="No"/>
    <n v="278030"/>
    <n v="65"/>
    <x v="4"/>
  </r>
  <r>
    <n v="4022"/>
    <s v="HOMBRE"/>
    <n v="500000"/>
    <x v="0"/>
    <x v="1"/>
    <s v="SI"/>
    <s v="SI"/>
    <s v="NO"/>
    <n v="38"/>
    <n v="0.28086100744983278"/>
    <s v="No"/>
    <n v="0.36733361925171953"/>
    <s v="No"/>
    <n v="500000"/>
    <n v="38"/>
    <x v="0"/>
  </r>
  <r>
    <n v="4023"/>
    <s v="HOMBRE"/>
    <n v="516550"/>
    <x v="0"/>
    <x v="1"/>
    <s v="SI"/>
    <s v="SI"/>
    <s v="NO"/>
    <n v="31"/>
    <n v="0.77488831798979529"/>
    <s v="No"/>
    <n v="0.36705821556887264"/>
    <s v="No"/>
    <n v="516550"/>
    <n v="31"/>
    <x v="0"/>
  </r>
  <r>
    <n v="4024"/>
    <s v="HOMBRE"/>
    <n v="40604576"/>
    <x v="0"/>
    <x v="1"/>
    <s v="SI"/>
    <s v="SI"/>
    <s v="NO"/>
    <n v="49"/>
    <n v="0.49546762339867978"/>
    <s v="No"/>
    <n v="0.3000348356976415"/>
    <s v="No"/>
    <n v="40604576"/>
    <n v="49"/>
    <x v="0"/>
  </r>
  <r>
    <n v="4025"/>
    <s v="HOMBRE"/>
    <n v="72143522"/>
    <x v="0"/>
    <x v="0"/>
    <s v="SI"/>
    <s v="NO"/>
    <s v="NO"/>
    <n v="55"/>
    <n v="0.91891960386150484"/>
    <s v="No"/>
    <n v="0.82486516086430905"/>
    <s v="No"/>
    <n v="72143522"/>
    <n v="55"/>
    <x v="0"/>
  </r>
  <r>
    <n v="4026"/>
    <s v="HOMBRE"/>
    <n v="423168"/>
    <x v="0"/>
    <x v="1"/>
    <s v="SI"/>
    <s v="NO"/>
    <s v="NO"/>
    <n v="21"/>
    <n v="1.4806416187611704"/>
    <s v="No"/>
    <n v="0.36861215796836544"/>
    <s v="No"/>
    <n v="423168"/>
    <n v="21"/>
    <x v="0"/>
  </r>
  <r>
    <n v="4027"/>
    <s v="MUJER"/>
    <n v="27803099"/>
    <x v="2"/>
    <x v="1"/>
    <s v="SI"/>
    <s v="NO"/>
    <s v="NO"/>
    <n v="42"/>
    <n v="1.4403128587172659E-3"/>
    <s v="No"/>
    <n v="8.7009221698885322E-2"/>
    <s v="No"/>
    <n v="27803099"/>
    <n v="42"/>
    <x v="2"/>
  </r>
  <r>
    <n v="4028"/>
    <s v="MUJER"/>
    <n v="28446038"/>
    <x v="0"/>
    <x v="1"/>
    <s v="SI"/>
    <s v="NO"/>
    <s v="NO"/>
    <n v="34"/>
    <n v="0.56316232775838282"/>
    <s v="No"/>
    <n v="9.770818051736746E-2"/>
    <s v="No"/>
    <n v="28446038"/>
    <n v="34"/>
    <x v="0"/>
  </r>
  <r>
    <n v="4029"/>
    <s v="HOMBRE"/>
    <n v="51094944"/>
    <x v="0"/>
    <x v="1"/>
    <s v="SI"/>
    <s v="NO"/>
    <s v="NO"/>
    <n v="38"/>
    <n v="0.28086100744983278"/>
    <s v="No"/>
    <n v="0.4746019644963656"/>
    <s v="No"/>
    <n v="51094944"/>
    <n v="38"/>
    <x v="0"/>
  </r>
  <r>
    <n v="4030"/>
    <s v="MUJER"/>
    <n v="62267726"/>
    <x v="0"/>
    <x v="0"/>
    <s v="SI"/>
    <s v="NO"/>
    <s v="NO"/>
    <n v="31"/>
    <n v="0.77488831798979529"/>
    <s v="No"/>
    <n v="0.66052494397945583"/>
    <s v="No"/>
    <n v="62267726"/>
    <n v="31"/>
    <x v="0"/>
  </r>
  <r>
    <n v="4031"/>
    <s v="HOMBRE"/>
    <n v="57840636"/>
    <x v="0"/>
    <x v="0"/>
    <s v="SI"/>
    <s v="NO"/>
    <s v="NO"/>
    <n v="28"/>
    <n v="0.98661430822120777"/>
    <s v="No"/>
    <n v="0.58685504124262677"/>
    <s v="No"/>
    <n v="57840636"/>
    <n v="28"/>
    <x v="0"/>
  </r>
  <r>
    <n v="4032"/>
    <s v="HOMBRE"/>
    <n v="383231"/>
    <x v="0"/>
    <x v="0"/>
    <s v="SI"/>
    <s v="NO"/>
    <s v="NO"/>
    <n v="23"/>
    <n v="1.3394909586068953"/>
    <s v="No"/>
    <n v="0.36927673784038084"/>
    <s v="No"/>
    <n v="383231"/>
    <n v="23"/>
    <x v="0"/>
  </r>
  <r>
    <n v="4033"/>
    <s v="HOMBRE"/>
    <n v="41566865"/>
    <x v="0"/>
    <x v="1"/>
    <s v="SI"/>
    <s v="SI"/>
    <s v="NO"/>
    <n v="58"/>
    <n v="1.1306455940929174"/>
    <s v="No"/>
    <n v="0.31604800394918381"/>
    <s v="No"/>
    <n v="41566865"/>
    <n v="58"/>
    <x v="0"/>
  </r>
  <r>
    <n v="4034"/>
    <s v="MUJER"/>
    <n v="948047"/>
    <x v="0"/>
    <x v="0"/>
    <s v="SI"/>
    <s v="NO"/>
    <s v="SI"/>
    <n v="32"/>
    <n v="0.70431298791265773"/>
    <s v="No"/>
    <n v="0.35987780088987731"/>
    <s v="No"/>
    <n v="948047"/>
    <n v="32"/>
    <x v="0"/>
  </r>
  <r>
    <n v="4035"/>
    <s v="HOMBRE"/>
    <n v="343391"/>
    <x v="0"/>
    <x v="1"/>
    <s v="SI"/>
    <s v="NO"/>
    <s v="NO"/>
    <n v="48"/>
    <n v="0.42489229332154227"/>
    <s v="No"/>
    <n v="0.36993970356392281"/>
    <s v="No"/>
    <n v="343391"/>
    <n v="48"/>
    <x v="0"/>
  </r>
  <r>
    <n v="4036"/>
    <s v="MUJER"/>
    <n v="320000"/>
    <x v="0"/>
    <x v="1"/>
    <s v="SI"/>
    <s v="NO"/>
    <s v="NO"/>
    <n v="69"/>
    <n v="1.9069742249414299"/>
    <s v="No"/>
    <n v="0.37032894631591501"/>
    <s v="No"/>
    <n v="320000"/>
    <n v="69"/>
    <x v="0"/>
  </r>
  <r>
    <n v="4037"/>
    <s v="MUJER"/>
    <n v="840000"/>
    <x v="0"/>
    <x v="1"/>
    <s v="SI"/>
    <s v="NO"/>
    <s v="NO"/>
    <n v="29"/>
    <n v="0.91603897814407031"/>
    <s v="No"/>
    <n v="0.36167577924157246"/>
    <s v="No"/>
    <n v="840000"/>
    <n v="29"/>
    <x v="0"/>
  </r>
  <r>
    <n v="4038"/>
    <s v="HOMBRE"/>
    <n v="37117326"/>
    <x v="0"/>
    <x v="1"/>
    <s v="SI"/>
    <s v="NO"/>
    <s v="NO"/>
    <n v="31"/>
    <n v="0.77488831798979529"/>
    <s v="No"/>
    <n v="0.24200453400533189"/>
    <s v="No"/>
    <n v="37117326"/>
    <n v="31"/>
    <x v="0"/>
  </r>
  <r>
    <n v="4039"/>
    <s v="HOMBRE"/>
    <n v="570368"/>
    <x v="0"/>
    <x v="1"/>
    <s v="SI"/>
    <s v="NO"/>
    <s v="NO"/>
    <n v="33"/>
    <n v="0.63373765783552027"/>
    <s v="No"/>
    <n v="0.36616264605809001"/>
    <s v="No"/>
    <n v="570368"/>
    <n v="33"/>
    <x v="0"/>
  </r>
  <r>
    <n v="4040"/>
    <s v="MUJER"/>
    <n v="120648907"/>
    <x v="0"/>
    <x v="1"/>
    <s v="SI"/>
    <s v="NO"/>
    <s v="NO"/>
    <n v="29"/>
    <n v="0.91603897814407031"/>
    <s v="No"/>
    <n v="1.6320290078072091"/>
    <s v="No"/>
    <n v="120648907"/>
    <n v="29"/>
    <x v="0"/>
  </r>
  <r>
    <n v="4041"/>
    <s v="HOMBRE"/>
    <n v="1435375"/>
    <x v="0"/>
    <x v="1"/>
    <s v="SI"/>
    <s v="NO"/>
    <s v="NO"/>
    <n v="31"/>
    <n v="0.77488831798979529"/>
    <s v="No"/>
    <n v="0.3517683189590981"/>
    <s v="No"/>
    <n v="1435375"/>
    <n v="31"/>
    <x v="0"/>
  </r>
  <r>
    <n v="4042"/>
    <s v="HOMBRE"/>
    <n v="450000"/>
    <x v="0"/>
    <x v="1"/>
    <s v="SI"/>
    <s v="SI"/>
    <s v="NO"/>
    <n v="39"/>
    <n v="0.21028567737269524"/>
    <s v="No"/>
    <n v="0.36816565454732936"/>
    <s v="No"/>
    <n v="450000"/>
    <n v="39"/>
    <x v="0"/>
  </r>
  <r>
    <n v="4043"/>
    <s v="HOMBRE"/>
    <n v="297046"/>
    <x v="2"/>
    <x v="1"/>
    <s v="SI"/>
    <s v="NO"/>
    <s v="NO"/>
    <n v="64"/>
    <n v="1.5540975745557424"/>
    <s v="No"/>
    <n v="0.37071091707942361"/>
    <s v="No"/>
    <n v="297046"/>
    <n v="64"/>
    <x v="2"/>
  </r>
  <r>
    <n v="4044"/>
    <s v="HOMBRE"/>
    <n v="45500"/>
    <x v="0"/>
    <x v="1"/>
    <s v="SI"/>
    <s v="SI"/>
    <s v="NO"/>
    <n v="41"/>
    <n v="6.9135017218420233E-2"/>
    <s v="No"/>
    <n v="0.37489682008881314"/>
    <s v="No"/>
    <n v="45500"/>
    <n v="41"/>
    <x v="0"/>
  </r>
  <r>
    <n v="4045"/>
    <s v="HOMBRE"/>
    <n v="310740"/>
    <x v="0"/>
    <x v="1"/>
    <s v="SI"/>
    <s v="NO"/>
    <s v="NO"/>
    <n v="39"/>
    <n v="0.21028567737269524"/>
    <s v="No"/>
    <n v="0.37048303925266196"/>
    <s v="No"/>
    <n v="310740"/>
    <n v="39"/>
    <x v="0"/>
  </r>
  <r>
    <n v="4046"/>
    <s v="MUJER"/>
    <n v="173988952"/>
    <x v="0"/>
    <x v="0"/>
    <s v="SI"/>
    <s v="NO"/>
    <s v="NO"/>
    <n v="38"/>
    <n v="0.28086100744983278"/>
    <s v="No"/>
    <n v="2.5196450099955725"/>
    <s v="Sí"/>
    <n v="173988952"/>
    <n v="38"/>
    <x v="0"/>
  </r>
  <r>
    <n v="4047"/>
    <s v="MUJER"/>
    <n v="445322"/>
    <x v="0"/>
    <x v="0"/>
    <s v="SI"/>
    <s v="NO"/>
    <s v="NO"/>
    <n v="24"/>
    <n v="1.2689156285297578"/>
    <s v="No"/>
    <n v="0.36824349976958665"/>
    <s v="No"/>
    <n v="445322"/>
    <n v="24"/>
    <x v="0"/>
  </r>
  <r>
    <n v="4048"/>
    <s v="HOMBRE"/>
    <n v="845279"/>
    <x v="0"/>
    <x v="1"/>
    <s v="SI"/>
    <s v="NO"/>
    <s v="NO"/>
    <n v="41"/>
    <n v="6.9135017218420233E-2"/>
    <s v="No"/>
    <n v="0.36158793295506197"/>
    <s v="No"/>
    <n v="845279"/>
    <n v="41"/>
    <x v="0"/>
  </r>
  <r>
    <n v="4049"/>
    <s v="MUJER"/>
    <n v="222000"/>
    <x v="0"/>
    <x v="1"/>
    <s v="SI"/>
    <s v="NO"/>
    <s v="NO"/>
    <n v="61"/>
    <n v="1.3423715843243298"/>
    <s v="No"/>
    <n v="0.37195973549531031"/>
    <s v="No"/>
    <n v="222000"/>
    <n v="61"/>
    <x v="0"/>
  </r>
  <r>
    <n v="4050"/>
    <s v="HOMBRE"/>
    <n v="35067226"/>
    <x v="0"/>
    <x v="1"/>
    <s v="SI"/>
    <s v="NO"/>
    <s v="NO"/>
    <n v="34"/>
    <n v="0.56316232775838282"/>
    <s v="No"/>
    <n v="0.20788942281473646"/>
    <s v="No"/>
    <n v="35067226"/>
    <n v="34"/>
    <x v="0"/>
  </r>
  <r>
    <n v="4051"/>
    <s v="HOMBRE"/>
    <n v="7823484"/>
    <x v="0"/>
    <x v="1"/>
    <s v="SI"/>
    <s v="NO"/>
    <s v="NO"/>
    <n v="27"/>
    <n v="1.0571896382983452"/>
    <s v="No"/>
    <n v="0.24546567575503808"/>
    <s v="No"/>
    <n v="7823484"/>
    <n v="27"/>
    <x v="0"/>
  </r>
  <r>
    <n v="4052"/>
    <s v="HOMBRE"/>
    <n v="278030"/>
    <x v="4"/>
    <x v="1"/>
    <s v="SI"/>
    <s v="NO"/>
    <s v="NO"/>
    <n v="57"/>
    <n v="1.0600702640157798"/>
    <s v="No"/>
    <n v="0.37102735674304993"/>
    <s v="No"/>
    <n v="278030"/>
    <n v="57"/>
    <x v="4"/>
  </r>
  <r>
    <n v="4053"/>
    <s v="MUJER"/>
    <n v="26930907"/>
    <x v="0"/>
    <x v="0"/>
    <s v="SI"/>
    <s v="NO"/>
    <s v="NO"/>
    <n v="28"/>
    <n v="0.98661430822120777"/>
    <s v="No"/>
    <n v="7.2495331127914245E-2"/>
    <s v="No"/>
    <n v="26930907"/>
    <n v="28"/>
    <x v="0"/>
  </r>
  <r>
    <n v="4054"/>
    <s v="MUJER"/>
    <n v="742483"/>
    <x v="3"/>
    <x v="1"/>
    <s v="SI"/>
    <s v="NO"/>
    <s v="NO"/>
    <n v="50"/>
    <n v="0.56604295347581735"/>
    <s v="No"/>
    <n v="0.36329853096001219"/>
    <s v="No"/>
    <n v="742483"/>
    <n v="50"/>
    <x v="3"/>
  </r>
  <r>
    <n v="4055"/>
    <s v="HOMBRE"/>
    <n v="566297"/>
    <x v="3"/>
    <x v="1"/>
    <s v="SI"/>
    <s v="NO"/>
    <s v="SI"/>
    <n v="42"/>
    <n v="1.4403128587172659E-3"/>
    <s v="No"/>
    <n v="0.36623039037185856"/>
    <s v="No"/>
    <n v="566297"/>
    <n v="42"/>
    <x v="3"/>
  </r>
  <r>
    <n v="4056"/>
    <s v="HOMBRE"/>
    <n v="816719"/>
    <x v="0"/>
    <x v="0"/>
    <s v="SI"/>
    <s v="NO"/>
    <s v="NO"/>
    <n v="56"/>
    <n v="0.9894949339386423"/>
    <s v="No"/>
    <n v="0.36206319151591432"/>
    <s v="No"/>
    <n v="816719"/>
    <n v="56"/>
    <x v="0"/>
  </r>
  <r>
    <n v="4057"/>
    <s v="HOMBRE"/>
    <n v="81807521"/>
    <x v="1"/>
    <x v="0"/>
    <s v="SI"/>
    <s v="NO"/>
    <s v="NO"/>
    <n v="81"/>
    <n v="2.7538781858670798"/>
    <s v="Sí"/>
    <n v="0.98568092615907665"/>
    <s v="No"/>
    <n v="81807521"/>
    <n v="81"/>
    <x v="1"/>
  </r>
  <r>
    <n v="4058"/>
    <s v="MUJER"/>
    <n v="312500"/>
    <x v="0"/>
    <x v="1"/>
    <s v="SI"/>
    <s v="NO"/>
    <s v="NO"/>
    <n v="38"/>
    <n v="0.28086100744983278"/>
    <s v="No"/>
    <n v="0.37045375161025651"/>
    <s v="No"/>
    <n v="312500"/>
    <n v="38"/>
    <x v="0"/>
  </r>
  <r>
    <n v="4059"/>
    <s v="HOMBRE"/>
    <n v="278030"/>
    <x v="4"/>
    <x v="1"/>
    <s v="SI"/>
    <s v="NO"/>
    <s v="NO"/>
    <n v="32"/>
    <n v="0.70431298791265773"/>
    <s v="No"/>
    <n v="0.37102735674304993"/>
    <s v="No"/>
    <n v="278030"/>
    <n v="32"/>
    <x v="4"/>
  </r>
  <r>
    <n v="4060"/>
    <s v="HOMBRE"/>
    <n v="35406087"/>
    <x v="0"/>
    <x v="1"/>
    <s v="SI"/>
    <s v="NO"/>
    <s v="NO"/>
    <n v="36"/>
    <n v="0.42201166760410774"/>
    <s v="No"/>
    <n v="0.21352830906084952"/>
    <s v="No"/>
    <n v="35406087"/>
    <n v="36"/>
    <x v="0"/>
  </r>
  <r>
    <n v="4061"/>
    <s v="HOMBRE"/>
    <n v="5850356"/>
    <x v="0"/>
    <x v="0"/>
    <s v="SI"/>
    <s v="NO"/>
    <s v="NO"/>
    <n v="31"/>
    <n v="0.77488831798979529"/>
    <s v="No"/>
    <n v="0.2782999185301599"/>
    <s v="No"/>
    <n v="5850356"/>
    <n v="31"/>
    <x v="0"/>
  </r>
  <r>
    <n v="4062"/>
    <s v="HOMBRE"/>
    <n v="12049844"/>
    <x v="0"/>
    <x v="1"/>
    <s v="SI"/>
    <s v="NO"/>
    <s v="NO"/>
    <n v="23"/>
    <n v="1.3394909586068953"/>
    <s v="No"/>
    <n v="0.17513606191596442"/>
    <s v="No"/>
    <n v="12049844"/>
    <n v="23"/>
    <x v="0"/>
  </r>
  <r>
    <n v="4063"/>
    <s v="HOMBRE"/>
    <n v="72896119"/>
    <x v="0"/>
    <x v="1"/>
    <s v="SI"/>
    <s v="NO"/>
    <s v="NO"/>
    <n v="35"/>
    <n v="0.49258699768124525"/>
    <s v="No"/>
    <n v="0.83738890621171091"/>
    <s v="No"/>
    <n v="72896119"/>
    <n v="35"/>
    <x v="0"/>
  </r>
  <r>
    <n v="4064"/>
    <s v="HOMBRE"/>
    <n v="787001"/>
    <x v="0"/>
    <x v="1"/>
    <s v="SI"/>
    <s v="NO"/>
    <s v="NO"/>
    <n v="39"/>
    <n v="0.21028567737269524"/>
    <s v="No"/>
    <n v="0.36255772001421299"/>
    <s v="No"/>
    <n v="787001"/>
    <n v="39"/>
    <x v="0"/>
  </r>
  <r>
    <n v="4065"/>
    <s v="HOMBRE"/>
    <n v="589997"/>
    <x v="0"/>
    <x v="0"/>
    <s v="SI"/>
    <s v="NO"/>
    <s v="NO"/>
    <n v="48"/>
    <n v="0.42489229332154227"/>
    <s v="No"/>
    <n v="0.36583600564173951"/>
    <s v="No"/>
    <n v="589997"/>
    <n v="48"/>
    <x v="0"/>
  </r>
  <r>
    <n v="4066"/>
    <s v="MUJER"/>
    <n v="278031"/>
    <x v="3"/>
    <x v="1"/>
    <s v="SI"/>
    <s v="NO"/>
    <s v="NO"/>
    <n v="51"/>
    <n v="0.6366182835529548"/>
    <s v="No"/>
    <n v="0.37102734010234401"/>
    <s v="No"/>
    <n v="278031"/>
    <n v="51"/>
    <x v="3"/>
  </r>
  <r>
    <n v="4067"/>
    <s v="HOMBRE"/>
    <n v="45036888"/>
    <x v="0"/>
    <x v="1"/>
    <s v="SI"/>
    <s v="NO"/>
    <s v="NO"/>
    <n v="26"/>
    <n v="1.1277649683754829"/>
    <s v="No"/>
    <n v="0.37379163620074402"/>
    <s v="No"/>
    <n v="45036888"/>
    <n v="26"/>
    <x v="0"/>
  </r>
  <r>
    <n v="4068"/>
    <s v="HOMBRE"/>
    <n v="800000"/>
    <x v="0"/>
    <x v="1"/>
    <s v="SI"/>
    <s v="NO"/>
    <s v="NO"/>
    <n v="26"/>
    <n v="1.1277649683754829"/>
    <s v="No"/>
    <n v="0.36234140747806037"/>
    <s v="No"/>
    <n v="800000"/>
    <n v="26"/>
    <x v="0"/>
  </r>
  <r>
    <n v="4069"/>
    <s v="HOMBRE"/>
    <n v="394263"/>
    <x v="3"/>
    <x v="1"/>
    <s v="SI"/>
    <s v="SI"/>
    <s v="SI"/>
    <n v="51"/>
    <n v="0.6366182835529548"/>
    <s v="No"/>
    <n v="0.36909315757275751"/>
    <s v="No"/>
    <n v="394263"/>
    <n v="51"/>
    <x v="3"/>
  </r>
  <r>
    <n v="4070"/>
    <s v="HOMBRE"/>
    <n v="145210"/>
    <x v="0"/>
    <x v="1"/>
    <s v="SI"/>
    <s v="NO"/>
    <s v="SI"/>
    <n v="23"/>
    <n v="1.3394909586068953"/>
    <s v="No"/>
    <n v="0.37323757530230794"/>
    <s v="No"/>
    <n v="145210"/>
    <n v="23"/>
    <x v="0"/>
  </r>
  <r>
    <n v="4071"/>
    <s v="HOMBRE"/>
    <n v="381127"/>
    <x v="0"/>
    <x v="1"/>
    <s v="SI"/>
    <s v="NO"/>
    <s v="NO"/>
    <n v="21"/>
    <n v="1.4806416187611704"/>
    <s v="No"/>
    <n v="0.36931174988562016"/>
    <s v="No"/>
    <n v="381127"/>
    <n v="21"/>
    <x v="0"/>
  </r>
  <r>
    <n v="4072"/>
    <s v="HOMBRE"/>
    <n v="6746074"/>
    <x v="0"/>
    <x v="0"/>
    <s v="SI"/>
    <s v="NO"/>
    <s v="NO"/>
    <n v="64"/>
    <n v="1.5540975745557424"/>
    <s v="No"/>
    <n v="0.26339453871189844"/>
    <s v="No"/>
    <n v="6746074"/>
    <n v="64"/>
    <x v="0"/>
  </r>
  <r>
    <n v="4073"/>
    <s v="HOMBRE"/>
    <n v="60000"/>
    <x v="0"/>
    <x v="1"/>
    <s v="SI"/>
    <s v="NO"/>
    <s v="SI"/>
    <n v="56"/>
    <n v="0.9894949339386423"/>
    <s v="No"/>
    <n v="0.37465552985308626"/>
    <s v="No"/>
    <n v="60000"/>
    <n v="56"/>
    <x v="0"/>
  </r>
  <r>
    <n v="4074"/>
    <s v="HOMBRE"/>
    <n v="278030"/>
    <x v="4"/>
    <x v="1"/>
    <s v="SI"/>
    <s v="NO"/>
    <s v="NO"/>
    <n v="62"/>
    <n v="1.4129469144014672"/>
    <s v="No"/>
    <n v="0.37102735674304993"/>
    <s v="No"/>
    <n v="278030"/>
    <n v="62"/>
    <x v="4"/>
  </r>
  <r>
    <n v="4075"/>
    <s v="HOMBRE"/>
    <n v="594092"/>
    <x v="3"/>
    <x v="1"/>
    <s v="SI"/>
    <s v="NO"/>
    <s v="NO"/>
    <n v="41"/>
    <n v="6.9135017218420233E-2"/>
    <s v="No"/>
    <n v="0.36576786195102906"/>
    <s v="No"/>
    <n v="594092"/>
    <n v="41"/>
    <x v="3"/>
  </r>
  <r>
    <n v="4076"/>
    <s v="MUJER"/>
    <n v="438521"/>
    <x v="1"/>
    <x v="0"/>
    <s v="SI"/>
    <s v="NO"/>
    <s v="NO"/>
    <n v="86"/>
    <n v="3.1067548362527675"/>
    <s v="Sí"/>
    <n v="0.36835667321049548"/>
    <s v="No"/>
    <n v="438521"/>
    <n v="86"/>
    <x v="1"/>
  </r>
  <r>
    <n v="4077"/>
    <s v="HOMBRE"/>
    <n v="52705382"/>
    <x v="0"/>
    <x v="1"/>
    <s v="SI"/>
    <s v="NO"/>
    <s v="NO"/>
    <n v="40"/>
    <n v="0.13971034729555773"/>
    <s v="No"/>
    <n v="0.50140078964419255"/>
    <s v="No"/>
    <n v="52705382"/>
    <n v="40"/>
    <x v="0"/>
  </r>
  <r>
    <n v="4078"/>
    <s v="MUJER"/>
    <n v="52860052"/>
    <x v="0"/>
    <x v="1"/>
    <s v="SI"/>
    <s v="NO"/>
    <s v="NO"/>
    <n v="59"/>
    <n v="1.2012209241700549"/>
    <s v="No"/>
    <n v="0.50397460762763213"/>
    <s v="No"/>
    <n v="52860052"/>
    <n v="59"/>
    <x v="0"/>
  </r>
  <r>
    <n v="4079"/>
    <s v="MUJER"/>
    <n v="4470307"/>
    <x v="0"/>
    <x v="0"/>
    <s v="SI"/>
    <s v="NO"/>
    <s v="NO"/>
    <n v="29"/>
    <n v="0.91603897814407031"/>
    <s v="No"/>
    <n v="0.3012649080835817"/>
    <s v="No"/>
    <n v="4470307"/>
    <n v="29"/>
    <x v="0"/>
  </r>
  <r>
    <n v="4080"/>
    <s v="HOMBRE"/>
    <n v="673072"/>
    <x v="0"/>
    <x v="1"/>
    <s v="SI"/>
    <s v="NO"/>
    <s v="NO"/>
    <n v="33"/>
    <n v="0.63373765783552027"/>
    <s v="No"/>
    <n v="0.36445357899808373"/>
    <s v="No"/>
    <n v="673072"/>
    <n v="33"/>
    <x v="0"/>
  </r>
  <r>
    <n v="4081"/>
    <s v="MUJER"/>
    <n v="28498581"/>
    <x v="0"/>
    <x v="0"/>
    <s v="SI"/>
    <s v="NO"/>
    <s v="NO"/>
    <n v="58"/>
    <n v="1.1306455940929174"/>
    <s v="No"/>
    <n v="9.8582533128112035E-2"/>
    <s v="No"/>
    <n v="28498581"/>
    <n v="58"/>
    <x v="0"/>
  </r>
  <r>
    <n v="4082"/>
    <s v="HOMBRE"/>
    <n v="70151648"/>
    <x v="0"/>
    <x v="1"/>
    <s v="SI"/>
    <s v="NO"/>
    <s v="NO"/>
    <n v="38"/>
    <n v="0.28086100744983278"/>
    <s v="No"/>
    <n v="0.79171897141615721"/>
    <s v="No"/>
    <n v="70151648"/>
    <n v="38"/>
    <x v="0"/>
  </r>
  <r>
    <n v="4083"/>
    <s v="HOMBRE"/>
    <n v="278030"/>
    <x v="4"/>
    <x v="1"/>
    <s v="SI"/>
    <s v="NO"/>
    <s v="NO"/>
    <n v="49"/>
    <n v="0.49546762339867978"/>
    <s v="No"/>
    <n v="0.37102735674304993"/>
    <s v="No"/>
    <n v="278030"/>
    <n v="49"/>
    <x v="4"/>
  </r>
  <r>
    <n v="4084"/>
    <s v="HOMBRE"/>
    <n v="114590"/>
    <x v="0"/>
    <x v="1"/>
    <s v="SI"/>
    <s v="NO"/>
    <s v="NO"/>
    <n v="40"/>
    <n v="0.13971034729555773"/>
    <s v="No"/>
    <n v="0.37374711371733943"/>
    <s v="No"/>
    <n v="114590"/>
    <n v="40"/>
    <x v="0"/>
  </r>
  <r>
    <n v="4085"/>
    <s v="MUJER"/>
    <n v="586357"/>
    <x v="1"/>
    <x v="0"/>
    <s v="SI"/>
    <s v="NO"/>
    <s v="NO"/>
    <n v="87"/>
    <n v="3.1773301663299049"/>
    <s v="Sí"/>
    <n v="0.36589657781125989"/>
    <s v="No"/>
    <n v="586357"/>
    <n v="87"/>
    <x v="1"/>
  </r>
  <r>
    <n v="4086"/>
    <s v="MUJER"/>
    <n v="4186055"/>
    <x v="0"/>
    <x v="1"/>
    <s v="SI"/>
    <s v="SI"/>
    <s v="NO"/>
    <n v="39"/>
    <n v="0.21028567737269524"/>
    <s v="No"/>
    <n v="0.30599506202053556"/>
    <s v="No"/>
    <n v="4186055"/>
    <n v="39"/>
    <x v="0"/>
  </r>
  <r>
    <n v="4087"/>
    <s v="HOMBRE"/>
    <n v="385000"/>
    <x v="0"/>
    <x v="1"/>
    <s v="SI"/>
    <s v="NO"/>
    <s v="NO"/>
    <n v="46"/>
    <n v="0.2837416331672673"/>
    <s v="No"/>
    <n v="0.36924730043162218"/>
    <s v="No"/>
    <n v="385000"/>
    <n v="46"/>
    <x v="0"/>
  </r>
  <r>
    <n v="4088"/>
    <s v="HOMBRE"/>
    <n v="373320"/>
    <x v="0"/>
    <x v="1"/>
    <s v="SI"/>
    <s v="NO"/>
    <s v="NO"/>
    <n v="47"/>
    <n v="0.35431696324440481"/>
    <s v="No"/>
    <n v="0.36944166387667665"/>
    <s v="No"/>
    <n v="373320"/>
    <n v="47"/>
    <x v="0"/>
  </r>
  <r>
    <n v="4089"/>
    <s v="HOMBRE"/>
    <n v="356455"/>
    <x v="3"/>
    <x v="1"/>
    <s v="SI"/>
    <s v="NO"/>
    <s v="SI"/>
    <n v="50"/>
    <n v="0.56604295347581735"/>
    <s v="No"/>
    <n v="0.36972230938188588"/>
    <s v="No"/>
    <n v="356455"/>
    <n v="50"/>
    <x v="3"/>
  </r>
  <r>
    <n v="4090"/>
    <s v="MUJER"/>
    <n v="3839325"/>
    <x v="0"/>
    <x v="1"/>
    <s v="SI"/>
    <s v="NO"/>
    <s v="NO"/>
    <n v="27"/>
    <n v="1.0571896382983452"/>
    <s v="No"/>
    <n v="0.31176489398147167"/>
    <s v="No"/>
    <n v="3839325"/>
    <n v="27"/>
    <x v="0"/>
  </r>
  <r>
    <n v="4091"/>
    <s v="MUJER"/>
    <n v="43239493"/>
    <x v="0"/>
    <x v="1"/>
    <s v="SI"/>
    <s v="NO"/>
    <s v="NO"/>
    <n v="25"/>
    <n v="1.1983402984526204"/>
    <s v="No"/>
    <n v="0.34388171459769035"/>
    <s v="No"/>
    <n v="43239493"/>
    <n v="25"/>
    <x v="0"/>
  </r>
  <r>
    <n v="4092"/>
    <s v="MUJER"/>
    <n v="347675"/>
    <x v="0"/>
    <x v="1"/>
    <s v="SI"/>
    <s v="NO"/>
    <s v="NO"/>
    <n v="36"/>
    <n v="0.42201166760410774"/>
    <s v="No"/>
    <n v="0.36986841477979493"/>
    <s v="No"/>
    <n v="347675"/>
    <n v="36"/>
    <x v="0"/>
  </r>
  <r>
    <n v="4093"/>
    <s v="MUJER"/>
    <n v="297045"/>
    <x v="2"/>
    <x v="1"/>
    <s v="SI"/>
    <s v="SI"/>
    <s v="NO"/>
    <n v="39"/>
    <n v="0.21028567737269524"/>
    <s v="No"/>
    <n v="0.37071093372012948"/>
    <s v="No"/>
    <n v="297045"/>
    <n v="39"/>
    <x v="2"/>
  </r>
  <r>
    <n v="4094"/>
    <s v="HOMBRE"/>
    <n v="305704"/>
    <x v="2"/>
    <x v="1"/>
    <s v="SI"/>
    <s v="NO"/>
    <s v="NO"/>
    <n v="34"/>
    <n v="0.56316232775838282"/>
    <s v="No"/>
    <n v="0.37056684184763578"/>
    <s v="No"/>
    <n v="305704"/>
    <n v="34"/>
    <x v="2"/>
  </r>
  <r>
    <n v="4095"/>
    <s v="HOMBRE"/>
    <n v="2586422"/>
    <x v="0"/>
    <x v="0"/>
    <s v="SI"/>
    <s v="NO"/>
    <s v="NO"/>
    <n v="43"/>
    <n v="7.2015642935854773E-2"/>
    <s v="No"/>
    <n v="0.33261408434098128"/>
    <s v="No"/>
    <n v="2586422"/>
    <n v="43"/>
    <x v="0"/>
  </r>
  <r>
    <n v="4096"/>
    <s v="HOMBRE"/>
    <n v="106000"/>
    <x v="0"/>
    <x v="1"/>
    <s v="SI"/>
    <s v="NO"/>
    <s v="NO"/>
    <n v="22"/>
    <n v="1.4100662886840327"/>
    <s v="No"/>
    <n v="0.37389005738112518"/>
    <s v="No"/>
    <n v="106000"/>
    <n v="22"/>
    <x v="0"/>
  </r>
  <r>
    <n v="4097"/>
    <s v="MUJER"/>
    <n v="20166667"/>
    <x v="0"/>
    <x v="1"/>
    <s v="SI"/>
    <s v="SI"/>
    <s v="NO"/>
    <n v="49"/>
    <n v="0.49546762339867978"/>
    <s v="No"/>
    <n v="4.0066397431606393E-2"/>
    <s v="No"/>
    <n v="20166667"/>
    <n v="49"/>
    <x v="0"/>
  </r>
  <r>
    <n v="4098"/>
    <s v="MUJER"/>
    <n v="523886"/>
    <x v="3"/>
    <x v="1"/>
    <s v="SI"/>
    <s v="NO"/>
    <s v="NO"/>
    <n v="23"/>
    <n v="1.3394909586068953"/>
    <s v="No"/>
    <n v="0.36693613935030078"/>
    <s v="No"/>
    <n v="523886"/>
    <n v="23"/>
    <x v="3"/>
  </r>
  <r>
    <n v="4099"/>
    <s v="MUJER"/>
    <n v="329720"/>
    <x v="2"/>
    <x v="1"/>
    <s v="SI"/>
    <s v="SI"/>
    <s v="NO"/>
    <n v="64"/>
    <n v="1.5540975745557424"/>
    <s v="No"/>
    <n v="0.37016719865444847"/>
    <s v="No"/>
    <n v="329720"/>
    <n v="64"/>
    <x v="2"/>
  </r>
  <r>
    <n v="4100"/>
    <s v="HOMBRE"/>
    <n v="623672"/>
    <x v="0"/>
    <x v="1"/>
    <s v="SI"/>
    <s v="NO"/>
    <s v="NO"/>
    <n v="51"/>
    <n v="0.6366182835529548"/>
    <s v="No"/>
    <n v="0.36527562987014628"/>
    <s v="No"/>
    <n v="623672"/>
    <n v="51"/>
    <x v="0"/>
  </r>
  <r>
    <n v="4101"/>
    <s v="MUJER"/>
    <n v="23896429"/>
    <x v="1"/>
    <x v="0"/>
    <s v="SI"/>
    <s v="NO"/>
    <s v="NO"/>
    <n v="85"/>
    <n v="3.03617950617563"/>
    <s v="Sí"/>
    <n v="2.1999475132881974E-2"/>
    <s v="No"/>
    <n v="23896429"/>
    <n v="85"/>
    <x v="1"/>
  </r>
  <r>
    <n v="4102"/>
    <s v="HOMBRE"/>
    <n v="3229166"/>
    <x v="0"/>
    <x v="1"/>
    <s v="SI"/>
    <s v="NO"/>
    <s v="SI"/>
    <n v="39"/>
    <n v="0.21028567737269524"/>
    <s v="No"/>
    <n v="0.32191837046015198"/>
    <s v="No"/>
    <n v="3229166"/>
    <n v="39"/>
    <x v="0"/>
  </r>
  <r>
    <n v="4103"/>
    <s v="MUJER"/>
    <n v="299206"/>
    <x v="0"/>
    <x v="1"/>
    <s v="SI"/>
    <s v="NO"/>
    <s v="NO"/>
    <n v="39"/>
    <n v="0.21028567737269524"/>
    <s v="No"/>
    <n v="0.37067497315465325"/>
    <s v="No"/>
    <n v="299206"/>
    <n v="39"/>
    <x v="0"/>
  </r>
  <r>
    <n v="4104"/>
    <s v="HOMBRE"/>
    <n v="44576176"/>
    <x v="0"/>
    <x v="1"/>
    <s v="SI"/>
    <s v="NO"/>
    <s v="NO"/>
    <n v="30"/>
    <n v="0.84546364806693275"/>
    <s v="No"/>
    <n v="0.36612506329852379"/>
    <s v="No"/>
    <n v="44576176"/>
    <n v="30"/>
    <x v="0"/>
  </r>
  <r>
    <n v="4105"/>
    <s v="HOMBRE"/>
    <n v="297046"/>
    <x v="2"/>
    <x v="1"/>
    <s v="SI"/>
    <s v="NO"/>
    <s v="NO"/>
    <n v="61"/>
    <n v="1.3423715843243298"/>
    <s v="No"/>
    <n v="0.37071091707942361"/>
    <s v="No"/>
    <n v="297046"/>
    <n v="61"/>
    <x v="2"/>
  </r>
  <r>
    <n v="4106"/>
    <s v="MUJER"/>
    <n v="39083333"/>
    <x v="0"/>
    <x v="1"/>
    <s v="SI"/>
    <s v="NO"/>
    <s v="NO"/>
    <n v="41"/>
    <n v="6.9135017218420233E-2"/>
    <s v="No"/>
    <n v="0.27472027831365292"/>
    <s v="No"/>
    <n v="39083333"/>
    <n v="41"/>
    <x v="0"/>
  </r>
  <r>
    <n v="4107"/>
    <s v="MUJER"/>
    <n v="29700"/>
    <x v="0"/>
    <x v="1"/>
    <s v="SI"/>
    <s v="NO"/>
    <s v="NO"/>
    <n v="29"/>
    <n v="0.91603897814407031"/>
    <s v="No"/>
    <n v="0.37515974324222584"/>
    <s v="No"/>
    <n v="29700"/>
    <n v="29"/>
    <x v="0"/>
  </r>
  <r>
    <n v="4108"/>
    <s v="MUJER"/>
    <n v="118639816"/>
    <x v="0"/>
    <x v="1"/>
    <s v="SI"/>
    <s v="NO"/>
    <s v="NO"/>
    <n v="41"/>
    <n v="6.9135017218420233E-2"/>
    <s v="No"/>
    <n v="1.5985963153253671"/>
    <s v="No"/>
    <n v="118639816"/>
    <n v="41"/>
    <x v="0"/>
  </r>
  <r>
    <n v="4109"/>
    <s v="MUJER"/>
    <n v="839613"/>
    <x v="0"/>
    <x v="1"/>
    <s v="SI"/>
    <s v="SI"/>
    <s v="NO"/>
    <n v="29"/>
    <n v="0.91603897814407031"/>
    <s v="No"/>
    <n v="0.36168221919476051"/>
    <s v="No"/>
    <n v="839613"/>
    <n v="29"/>
    <x v="0"/>
  </r>
  <r>
    <n v="4110"/>
    <s v="MUJER"/>
    <n v="1125420"/>
    <x v="0"/>
    <x v="0"/>
    <s v="SI"/>
    <s v="NO"/>
    <s v="SI"/>
    <n v="29"/>
    <n v="0.91603897814407031"/>
    <s v="No"/>
    <n v="0.35692618896011313"/>
    <s v="No"/>
    <n v="1125420"/>
    <n v="29"/>
    <x v="0"/>
  </r>
  <r>
    <n v="4111"/>
    <s v="MUJER"/>
    <n v="432600"/>
    <x v="0"/>
    <x v="1"/>
    <s v="SI"/>
    <s v="NO"/>
    <s v="SI"/>
    <n v="59"/>
    <n v="1.2012209241700549"/>
    <s v="No"/>
    <n v="0.36845520283020161"/>
    <s v="No"/>
    <n v="432600"/>
    <n v="59"/>
    <x v="0"/>
  </r>
  <r>
    <n v="4112"/>
    <s v="HOMBRE"/>
    <n v="403983"/>
    <x v="3"/>
    <x v="1"/>
    <s v="SI"/>
    <s v="NO"/>
    <s v="NO"/>
    <n v="53"/>
    <n v="0.77776894370722982"/>
    <s v="No"/>
    <n v="0.36893140991129098"/>
    <s v="No"/>
    <n v="403983"/>
    <n v="53"/>
    <x v="3"/>
  </r>
  <r>
    <n v="4113"/>
    <s v="MUJER"/>
    <n v="340000"/>
    <x v="0"/>
    <x v="1"/>
    <s v="SI"/>
    <s v="NO"/>
    <s v="SI"/>
    <n v="43"/>
    <n v="7.2015642935854773E-2"/>
    <s v="No"/>
    <n v="0.36999613219767108"/>
    <s v="No"/>
    <n v="340000"/>
    <n v="43"/>
    <x v="0"/>
  </r>
  <r>
    <n v="4114"/>
    <s v="MUJER"/>
    <n v="122196041"/>
    <x v="0"/>
    <x v="0"/>
    <s v="SI"/>
    <s v="NO"/>
    <s v="NO"/>
    <n v="42"/>
    <n v="1.4403128587172659E-3"/>
    <s v="No"/>
    <n v="1.6577744097079705"/>
    <s v="No"/>
    <n v="122196041"/>
    <n v="42"/>
    <x v="0"/>
  </r>
  <r>
    <n v="4115"/>
    <s v="MUJER"/>
    <n v="399934"/>
    <x v="0"/>
    <x v="0"/>
    <s v="SI"/>
    <s v="NO"/>
    <s v="SI"/>
    <n v="36"/>
    <n v="0.42201166760410774"/>
    <s v="No"/>
    <n v="0.36899878812952946"/>
    <s v="No"/>
    <n v="399934"/>
    <n v="36"/>
    <x v="0"/>
  </r>
  <r>
    <n v="4116"/>
    <s v="HOMBRE"/>
    <n v="205570"/>
    <x v="0"/>
    <x v="1"/>
    <s v="SI"/>
    <s v="NO"/>
    <s v="NO"/>
    <n v="38"/>
    <n v="0.28086100744983278"/>
    <s v="No"/>
    <n v="0.37223314229344773"/>
    <s v="No"/>
    <n v="205570"/>
    <n v="38"/>
    <x v="0"/>
  </r>
  <r>
    <n v="4117"/>
    <s v="MUJER"/>
    <n v="300018"/>
    <x v="2"/>
    <x v="1"/>
    <s v="SI"/>
    <s v="NO"/>
    <s v="NO"/>
    <n v="34"/>
    <n v="0.56316232775838282"/>
    <s v="No"/>
    <n v="0.37066146090145252"/>
    <s v="No"/>
    <n v="300018"/>
    <n v="34"/>
    <x v="2"/>
  </r>
  <r>
    <n v="4118"/>
    <s v="MUJER"/>
    <n v="386161"/>
    <x v="3"/>
    <x v="1"/>
    <s v="SI"/>
    <s v="NO"/>
    <s v="SI"/>
    <n v="47"/>
    <n v="0.35431696324440481"/>
    <s v="No"/>
    <n v="0.36922798057205813"/>
    <s v="No"/>
    <n v="386161"/>
    <n v="47"/>
    <x v="3"/>
  </r>
  <r>
    <n v="4119"/>
    <s v="HOMBRE"/>
    <n v="144000"/>
    <x v="0"/>
    <x v="1"/>
    <s v="SI"/>
    <s v="NO"/>
    <s v="NO"/>
    <n v="35"/>
    <n v="0.49258699768124525"/>
    <s v="No"/>
    <n v="0.37325771055646173"/>
    <s v="No"/>
    <n v="144000"/>
    <n v="35"/>
    <x v="0"/>
  </r>
  <r>
    <n v="4120"/>
    <s v="HOMBRE"/>
    <n v="394526"/>
    <x v="3"/>
    <x v="1"/>
    <s v="SI"/>
    <s v="NO"/>
    <s v="SI"/>
    <n v="48"/>
    <n v="0.42489229332154227"/>
    <s v="No"/>
    <n v="0.36908878106710258"/>
    <s v="No"/>
    <n v="394526"/>
    <n v="48"/>
    <x v="3"/>
  </r>
  <r>
    <n v="4121"/>
    <s v="MUJER"/>
    <n v="540083"/>
    <x v="3"/>
    <x v="1"/>
    <s v="SI"/>
    <s v="NO"/>
    <s v="SI"/>
    <n v="41"/>
    <n v="6.9135017218420233E-2"/>
    <s v="No"/>
    <n v="0.3666666098366409"/>
    <s v="No"/>
    <n v="540083"/>
    <n v="41"/>
    <x v="3"/>
  </r>
  <r>
    <n v="4122"/>
    <s v="HOMBRE"/>
    <n v="280000"/>
    <x v="0"/>
    <x v="1"/>
    <s v="SI"/>
    <s v="SI"/>
    <s v="NO"/>
    <n v="26"/>
    <n v="1.1277649683754829"/>
    <s v="No"/>
    <n v="0.37099457455240292"/>
    <s v="No"/>
    <n v="280000"/>
    <n v="26"/>
    <x v="0"/>
  </r>
  <r>
    <n v="4123"/>
    <s v="HOMBRE"/>
    <n v="350000"/>
    <x v="0"/>
    <x v="1"/>
    <s v="SI"/>
    <s v="NO"/>
    <s v="NO"/>
    <n v="25"/>
    <n v="1.1983402984526204"/>
    <s v="No"/>
    <n v="0.36982972513854911"/>
    <s v="No"/>
    <n v="350000"/>
    <n v="25"/>
    <x v="0"/>
  </r>
  <r>
    <n v="4124"/>
    <s v="MUJER"/>
    <n v="382000"/>
    <x v="0"/>
    <x v="1"/>
    <s v="SI"/>
    <s v="NO"/>
    <s v="NO"/>
    <n v="20"/>
    <n v="1.5512169488383079"/>
    <s v="No"/>
    <n v="0.36929722254935876"/>
    <s v="No"/>
    <n v="382000"/>
    <n v="20"/>
    <x v="0"/>
  </r>
  <r>
    <n v="4125"/>
    <s v="HOMBRE"/>
    <n v="933124"/>
    <x v="3"/>
    <x v="1"/>
    <s v="SI"/>
    <s v="NO"/>
    <s v="NO"/>
    <n v="49"/>
    <n v="0.49546762339867978"/>
    <s v="No"/>
    <n v="0.36012613014420503"/>
    <s v="No"/>
    <n v="933124"/>
    <n v="49"/>
    <x v="3"/>
  </r>
  <r>
    <n v="4126"/>
    <s v="MUJER"/>
    <n v="86545702"/>
    <x v="0"/>
    <x v="0"/>
    <s v="SI"/>
    <s v="NO"/>
    <s v="NO"/>
    <n v="42"/>
    <n v="1.4403128587172659E-3"/>
    <s v="No"/>
    <n v="1.0645276027388371"/>
    <s v="No"/>
    <n v="86545702"/>
    <n v="42"/>
    <x v="0"/>
  </r>
  <r>
    <n v="4127"/>
    <s v="MUJER"/>
    <n v="399967"/>
    <x v="1"/>
    <x v="0"/>
    <s v="SI"/>
    <s v="NO"/>
    <s v="NO"/>
    <n v="82"/>
    <n v="2.8244535159442172"/>
    <s v="Sí"/>
    <n v="0.36899823898623435"/>
    <s v="No"/>
    <n v="399967"/>
    <n v="82"/>
    <x v="1"/>
  </r>
  <r>
    <n v="4128"/>
    <s v="HOMBRE"/>
    <n v="436800"/>
    <x v="0"/>
    <x v="1"/>
    <s v="SI"/>
    <s v="NO"/>
    <s v="NO"/>
    <n v="53"/>
    <n v="0.77776894370722982"/>
    <s v="No"/>
    <n v="0.36838531186537038"/>
    <s v="No"/>
    <n v="436800"/>
    <n v="53"/>
    <x v="0"/>
  </r>
  <r>
    <n v="4129"/>
    <s v="HOMBRE"/>
    <n v="437896"/>
    <x v="3"/>
    <x v="1"/>
    <s v="SI"/>
    <s v="NO"/>
    <s v="NO"/>
    <n v="39"/>
    <n v="0.21028567737269524"/>
    <s v="No"/>
    <n v="0.36836707365169064"/>
    <s v="No"/>
    <n v="437896"/>
    <n v="39"/>
    <x v="3"/>
  </r>
  <r>
    <n v="4130"/>
    <s v="HOMBRE"/>
    <n v="297046"/>
    <x v="3"/>
    <x v="1"/>
    <s v="SI"/>
    <s v="NO"/>
    <s v="NO"/>
    <n v="54"/>
    <n v="0.84834427378436728"/>
    <s v="No"/>
    <n v="0.37071091707942361"/>
    <s v="No"/>
    <n v="297046"/>
    <n v="54"/>
    <x v="3"/>
  </r>
  <r>
    <n v="4131"/>
    <s v="MUJER"/>
    <n v="7204086"/>
    <x v="0"/>
    <x v="0"/>
    <s v="SI"/>
    <s v="NO"/>
    <s v="NO"/>
    <n v="45"/>
    <n v="0.21316630309012977"/>
    <s v="No"/>
    <n v="0.25577289571564121"/>
    <s v="No"/>
    <n v="7204086"/>
    <n v="45"/>
    <x v="0"/>
  </r>
  <r>
    <n v="4132"/>
    <s v="HOMBRE"/>
    <n v="301184"/>
    <x v="0"/>
    <x v="1"/>
    <s v="SI"/>
    <s v="NO"/>
    <s v="NO"/>
    <n v="46"/>
    <n v="0.2837416331672673"/>
    <s v="No"/>
    <n v="0.37064205783835891"/>
    <s v="No"/>
    <n v="301184"/>
    <n v="46"/>
    <x v="0"/>
  </r>
  <r>
    <n v="4133"/>
    <s v="HOMBRE"/>
    <n v="230000"/>
    <x v="0"/>
    <x v="1"/>
    <s v="SI"/>
    <s v="NO"/>
    <s v="SI"/>
    <n v="60"/>
    <n v="1.2717962542471923"/>
    <s v="No"/>
    <n v="0.37182660984801275"/>
    <s v="No"/>
    <n v="230000"/>
    <n v="60"/>
    <x v="0"/>
  </r>
  <r>
    <n v="4134"/>
    <s v="MUJER"/>
    <n v="639148"/>
    <x v="3"/>
    <x v="1"/>
    <s v="SI"/>
    <s v="NO"/>
    <s v="NO"/>
    <n v="60"/>
    <n v="1.2717962542471923"/>
    <s v="No"/>
    <n v="0.36501809830544912"/>
    <s v="No"/>
    <n v="639148"/>
    <n v="60"/>
    <x v="3"/>
  </r>
  <r>
    <n v="4135"/>
    <s v="MUJER"/>
    <n v="4707137"/>
    <x v="0"/>
    <x v="1"/>
    <s v="SI"/>
    <s v="NO"/>
    <s v="SI"/>
    <n v="36"/>
    <n v="0.42201166760410774"/>
    <s v="No"/>
    <n v="0.29732388970239604"/>
    <s v="No"/>
    <n v="4707137"/>
    <n v="36"/>
    <x v="0"/>
  </r>
  <r>
    <n v="4136"/>
    <s v="HOMBRE"/>
    <n v="298482"/>
    <x v="3"/>
    <x v="1"/>
    <s v="SI"/>
    <s v="NO"/>
    <s v="NO"/>
    <n v="28"/>
    <n v="0.98661430822120777"/>
    <s v="No"/>
    <n v="0.37068702102573364"/>
    <s v="No"/>
    <n v="298482"/>
    <n v="28"/>
    <x v="3"/>
  </r>
  <r>
    <n v="4137"/>
    <s v="HOMBRE"/>
    <n v="29466186"/>
    <x v="0"/>
    <x v="1"/>
    <s v="SI"/>
    <s v="NO"/>
    <s v="NO"/>
    <n v="25"/>
    <n v="1.1983402984526204"/>
    <s v="No"/>
    <n v="0.11468416337228358"/>
    <s v="No"/>
    <n v="29466186"/>
    <n v="25"/>
    <x v="0"/>
  </r>
  <r>
    <n v="4138"/>
    <s v="HOMBRE"/>
    <n v="431178"/>
    <x v="0"/>
    <x v="1"/>
    <s v="SI"/>
    <s v="NO"/>
    <s v="NO"/>
    <n v="56"/>
    <n v="0.9894949339386423"/>
    <s v="No"/>
    <n v="0.36847886591400875"/>
    <s v="No"/>
    <n v="431178"/>
    <n v="56"/>
    <x v="0"/>
  </r>
  <r>
    <n v="4139"/>
    <s v="MUJER"/>
    <n v="278035"/>
    <x v="2"/>
    <x v="1"/>
    <s v="SI"/>
    <s v="NO"/>
    <s v="NO"/>
    <n v="49"/>
    <n v="0.49546762339867978"/>
    <s v="No"/>
    <n v="0.37102727353952036"/>
    <s v="No"/>
    <n v="278035"/>
    <n v="49"/>
    <x v="2"/>
  </r>
  <r>
    <n v="4140"/>
    <s v="MUJER"/>
    <n v="628333"/>
    <x v="0"/>
    <x v="1"/>
    <s v="SI"/>
    <s v="NO"/>
    <s v="NO"/>
    <n v="32"/>
    <n v="0.70431298791265773"/>
    <s v="No"/>
    <n v="0.36519806753988954"/>
    <s v="No"/>
    <n v="628333"/>
    <n v="32"/>
    <x v="0"/>
  </r>
  <r>
    <n v="4141"/>
    <s v="MUJER"/>
    <n v="52610713"/>
    <x v="0"/>
    <x v="0"/>
    <s v="SI"/>
    <s v="NO"/>
    <s v="NO"/>
    <n v="37"/>
    <n v="0.35143633752697023"/>
    <s v="No"/>
    <n v="0.49982543065619078"/>
    <s v="No"/>
    <n v="52610713"/>
    <n v="37"/>
    <x v="0"/>
  </r>
  <r>
    <n v="4142"/>
    <s v="MUJER"/>
    <n v="278030"/>
    <x v="4"/>
    <x v="1"/>
    <s v="SI"/>
    <s v="NO"/>
    <s v="NO"/>
    <n v="47"/>
    <n v="0.35431696324440481"/>
    <s v="No"/>
    <n v="0.37102735674304993"/>
    <s v="No"/>
    <n v="278030"/>
    <n v="47"/>
    <x v="4"/>
  </r>
  <r>
    <n v="4143"/>
    <s v="MUJER"/>
    <n v="471872"/>
    <x v="0"/>
    <x v="0"/>
    <s v="SI"/>
    <s v="NO"/>
    <s v="SI"/>
    <n v="33"/>
    <n v="0.63373765783552027"/>
    <s v="No"/>
    <n v="0.36780168902761778"/>
    <s v="No"/>
    <n v="471872"/>
    <n v="33"/>
    <x v="0"/>
  </r>
  <r>
    <n v="4144"/>
    <s v="MUJER"/>
    <n v="1416053"/>
    <x v="1"/>
    <x v="0"/>
    <s v="SI"/>
    <s v="NO"/>
    <s v="NO"/>
    <n v="50"/>
    <n v="0.56604295347581735"/>
    <s v="No"/>
    <n v="0.35208985067873355"/>
    <s v="No"/>
    <n v="1416053"/>
    <n v="50"/>
    <x v="1"/>
  </r>
  <r>
    <n v="4145"/>
    <s v="HOMBRE"/>
    <n v="101737798"/>
    <x v="0"/>
    <x v="1"/>
    <s v="SI"/>
    <s v="NO"/>
    <s v="NO"/>
    <n v="48"/>
    <n v="0.42489229332154227"/>
    <s v="No"/>
    <n v="1.317334804464704"/>
    <s v="No"/>
    <n v="101737798"/>
    <n v="48"/>
    <x v="0"/>
  </r>
  <r>
    <n v="4146"/>
    <s v="MUJER"/>
    <n v="15978723"/>
    <x v="0"/>
    <x v="1"/>
    <s v="SI"/>
    <s v="NO"/>
    <s v="NO"/>
    <n v="42"/>
    <n v="1.4403128587172659E-3"/>
    <s v="No"/>
    <n v="0.10975674191235708"/>
    <s v="No"/>
    <n v="15978723"/>
    <n v="42"/>
    <x v="0"/>
  </r>
  <r>
    <n v="4147"/>
    <s v="MUJER"/>
    <n v="561950"/>
    <x v="0"/>
    <x v="0"/>
    <s v="SI"/>
    <s v="NO"/>
    <s v="SI"/>
    <n v="32"/>
    <n v="0.70431298791265773"/>
    <s v="No"/>
    <n v="0.36630272752045889"/>
    <s v="No"/>
    <n v="561950"/>
    <n v="32"/>
    <x v="0"/>
  </r>
  <r>
    <n v="4148"/>
    <s v="HOMBRE"/>
    <n v="500000"/>
    <x v="0"/>
    <x v="1"/>
    <s v="SI"/>
    <s v="SI"/>
    <s v="NO"/>
    <n v="29"/>
    <n v="0.91603897814407031"/>
    <s v="No"/>
    <n v="0.36733361925171953"/>
    <s v="No"/>
    <n v="500000"/>
    <n v="29"/>
    <x v="0"/>
  </r>
  <r>
    <n v="4149"/>
    <s v="HOMBRE"/>
    <n v="895921"/>
    <x v="0"/>
    <x v="1"/>
    <s v="SI"/>
    <s v="NO"/>
    <s v="NO"/>
    <n v="24"/>
    <n v="1.2689156285297578"/>
    <s v="No"/>
    <n v="0.3607452143262565"/>
    <s v="No"/>
    <n v="895921"/>
    <n v="24"/>
    <x v="0"/>
  </r>
  <r>
    <n v="4150"/>
    <s v="MUJER"/>
    <n v="278030"/>
    <x v="2"/>
    <x v="1"/>
    <s v="SI"/>
    <s v="SI"/>
    <s v="NO"/>
    <n v="29"/>
    <n v="0.91603897814407031"/>
    <s v="No"/>
    <n v="0.37102735674304993"/>
    <s v="No"/>
    <n v="278030"/>
    <n v="29"/>
    <x v="2"/>
  </r>
  <r>
    <n v="4151"/>
    <s v="HOMBRE"/>
    <n v="534683"/>
    <x v="3"/>
    <x v="1"/>
    <s v="SI"/>
    <s v="SI"/>
    <s v="SI"/>
    <n v="37"/>
    <n v="0.35143633752697023"/>
    <s v="No"/>
    <n v="0.36675646964856679"/>
    <s v="No"/>
    <n v="534683"/>
    <n v="37"/>
    <x v="3"/>
  </r>
  <r>
    <n v="4152"/>
    <s v="HOMBRE"/>
    <n v="263305"/>
    <x v="0"/>
    <x v="1"/>
    <s v="SI"/>
    <s v="NO"/>
    <s v="SI"/>
    <n v="34"/>
    <n v="0.56316232775838282"/>
    <s v="No"/>
    <n v="0.37127239113760702"/>
    <s v="No"/>
    <n v="263305"/>
    <n v="34"/>
    <x v="0"/>
  </r>
  <r>
    <n v="4153"/>
    <s v="HOMBRE"/>
    <n v="35954427"/>
    <x v="6"/>
    <x v="1"/>
    <s v="SI"/>
    <s v="SI"/>
    <s v="NO"/>
    <n v="20"/>
    <n v="1.5512169488383079"/>
    <s v="No"/>
    <n v="0.22265307374074372"/>
    <s v="No"/>
    <n v="35954427"/>
    <n v="20"/>
    <x v="5"/>
  </r>
  <r>
    <n v="4154"/>
    <s v="HOMBRE"/>
    <n v="331059"/>
    <x v="3"/>
    <x v="1"/>
    <s v="SI"/>
    <s v="NO"/>
    <s v="SI"/>
    <n v="45"/>
    <n v="0.21316630309012977"/>
    <s v="No"/>
    <n v="0.370144916749232"/>
    <s v="No"/>
    <n v="331059"/>
    <n v="45"/>
    <x v="3"/>
  </r>
  <r>
    <n v="4155"/>
    <s v="MUJER"/>
    <n v="122666667"/>
    <x v="0"/>
    <x v="1"/>
    <s v="SI"/>
    <s v="NO"/>
    <s v="NO"/>
    <n v="26"/>
    <n v="1.1277649683754829"/>
    <s v="No"/>
    <n v="1.6656059585686041"/>
    <s v="No"/>
    <n v="122666667"/>
    <n v="26"/>
    <x v="0"/>
  </r>
  <r>
    <n v="4156"/>
    <s v="MUJER"/>
    <n v="750000"/>
    <x v="0"/>
    <x v="1"/>
    <s v="SI"/>
    <s v="NO"/>
    <s v="NO"/>
    <n v="35"/>
    <n v="0.49258699768124525"/>
    <s v="No"/>
    <n v="0.3631734427736702"/>
    <s v="No"/>
    <n v="750000"/>
    <n v="35"/>
    <x v="0"/>
  </r>
  <r>
    <n v="4157"/>
    <s v="HOMBRE"/>
    <n v="433710"/>
    <x v="0"/>
    <x v="1"/>
    <s v="SI"/>
    <s v="NO"/>
    <s v="NO"/>
    <n v="60"/>
    <n v="1.2717962542471923"/>
    <s v="No"/>
    <n v="0.36843673164663909"/>
    <s v="No"/>
    <n v="433710"/>
    <n v="60"/>
    <x v="0"/>
  </r>
  <r>
    <n v="4158"/>
    <s v="HOMBRE"/>
    <n v="540083"/>
    <x v="3"/>
    <x v="1"/>
    <s v="SI"/>
    <s v="NO"/>
    <s v="SI"/>
    <n v="54"/>
    <n v="0.84834427378436728"/>
    <s v="No"/>
    <n v="0.3666666098366409"/>
    <s v="No"/>
    <n v="540083"/>
    <n v="54"/>
    <x v="3"/>
  </r>
  <r>
    <n v="4159"/>
    <s v="HOMBRE"/>
    <n v="5751957"/>
    <x v="0"/>
    <x v="1"/>
    <s v="SI"/>
    <s v="NO"/>
    <s v="NO"/>
    <n v="26"/>
    <n v="1.1277649683754829"/>
    <s v="No"/>
    <n v="0.27993734735121417"/>
    <s v="No"/>
    <n v="5751957"/>
    <n v="26"/>
    <x v="0"/>
  </r>
  <r>
    <n v="4160"/>
    <s v="HOMBRE"/>
    <n v="660110"/>
    <x v="0"/>
    <x v="1"/>
    <s v="SI"/>
    <s v="NO"/>
    <s v="NO"/>
    <n v="54"/>
    <n v="0.84834427378436728"/>
    <s v="No"/>
    <n v="0.36466927582811764"/>
    <s v="No"/>
    <n v="660110"/>
    <n v="54"/>
    <x v="0"/>
  </r>
  <r>
    <n v="4161"/>
    <s v="HOMBRE"/>
    <n v="344000"/>
    <x v="0"/>
    <x v="1"/>
    <s v="SI"/>
    <s v="NO"/>
    <s v="NO"/>
    <n v="33"/>
    <n v="0.63373765783552027"/>
    <s v="No"/>
    <n v="0.36992956937402227"/>
    <s v="No"/>
    <n v="344000"/>
    <n v="33"/>
    <x v="0"/>
  </r>
  <r>
    <n v="4162"/>
    <s v="MUJER"/>
    <n v="12015462"/>
    <x v="0"/>
    <x v="0"/>
    <s v="SI"/>
    <s v="NO"/>
    <s v="NO"/>
    <n v="28"/>
    <n v="0.98661430822120777"/>
    <s v="No"/>
    <n v="0.17570820266663759"/>
    <s v="No"/>
    <n v="12015462"/>
    <n v="28"/>
    <x v="0"/>
  </r>
  <r>
    <n v="4163"/>
    <s v="MUJER"/>
    <n v="429500"/>
    <x v="0"/>
    <x v="1"/>
    <s v="SI"/>
    <s v="NO"/>
    <s v="NO"/>
    <n v="53"/>
    <n v="0.77776894370722982"/>
    <s v="No"/>
    <n v="0.3685067890185294"/>
    <s v="No"/>
    <n v="429500"/>
    <n v="53"/>
    <x v="0"/>
  </r>
  <r>
    <n v="4164"/>
    <s v="HOMBRE"/>
    <n v="78000"/>
    <x v="0"/>
    <x v="1"/>
    <s v="SI"/>
    <s v="NO"/>
    <s v="SI"/>
    <n v="31"/>
    <n v="0.77488831798979529"/>
    <s v="No"/>
    <n v="0.37435599714666673"/>
    <s v="No"/>
    <n v="78000"/>
    <n v="31"/>
    <x v="0"/>
  </r>
  <r>
    <n v="4165"/>
    <s v="HOMBRE"/>
    <n v="318620"/>
    <x v="0"/>
    <x v="1"/>
    <s v="SI"/>
    <s v="NO"/>
    <s v="NO"/>
    <n v="60"/>
    <n v="1.2717962542471923"/>
    <s v="No"/>
    <n v="0.37035191049007382"/>
    <s v="No"/>
    <n v="318620"/>
    <n v="60"/>
    <x v="0"/>
  </r>
  <r>
    <n v="4166"/>
    <s v="HOMBRE"/>
    <n v="326035"/>
    <x v="1"/>
    <x v="0"/>
    <s v="SI"/>
    <s v="NO"/>
    <s v="NO"/>
    <n v="67"/>
    <n v="1.765823564787155"/>
    <s v="No"/>
    <n v="0.37022851965573489"/>
    <s v="No"/>
    <n v="326035"/>
    <n v="67"/>
    <x v="1"/>
  </r>
  <r>
    <n v="4167"/>
    <s v="HOMBRE"/>
    <n v="7350265"/>
    <x v="0"/>
    <x v="1"/>
    <s v="SI"/>
    <s v="SI"/>
    <s v="NO"/>
    <n v="41"/>
    <n v="6.9135017218420233E-2"/>
    <s v="No"/>
    <n v="0.25334037396610209"/>
    <s v="No"/>
    <n v="7350265"/>
    <n v="41"/>
    <x v="0"/>
  </r>
  <r>
    <n v="4168"/>
    <s v="MUJER"/>
    <n v="297429"/>
    <x v="2"/>
    <x v="1"/>
    <s v="SI"/>
    <s v="SI"/>
    <s v="SI"/>
    <n v="38"/>
    <n v="0.28086100744983278"/>
    <s v="No"/>
    <n v="0.3707045436890592"/>
    <s v="No"/>
    <n v="297429"/>
    <n v="38"/>
    <x v="2"/>
  </r>
  <r>
    <n v="4169"/>
    <s v="HOMBRE"/>
    <n v="104226"/>
    <x v="0"/>
    <x v="1"/>
    <s v="SI"/>
    <s v="NO"/>
    <s v="NO"/>
    <n v="22"/>
    <n v="1.4100662886840327"/>
    <s v="No"/>
    <n v="0.37391957799341347"/>
    <s v="No"/>
    <n v="104226"/>
    <n v="22"/>
    <x v="0"/>
  </r>
  <r>
    <n v="4170"/>
    <s v="MUJER"/>
    <n v="316043"/>
    <x v="0"/>
    <x v="0"/>
    <s v="SI"/>
    <s v="NO"/>
    <s v="NO"/>
    <n v="49"/>
    <n v="0.49546762339867978"/>
    <s v="No"/>
    <n v="0.37039479358920957"/>
    <s v="No"/>
    <n v="316043"/>
    <n v="49"/>
    <x v="0"/>
  </r>
  <r>
    <n v="4171"/>
    <s v="HOMBRE"/>
    <n v="82967714"/>
    <x v="0"/>
    <x v="0"/>
    <s v="SI"/>
    <s v="NO"/>
    <s v="NO"/>
    <n v="47"/>
    <n v="0.35431696324440481"/>
    <s v="No"/>
    <n v="1.0049873566734664"/>
    <s v="No"/>
    <n v="82967714"/>
    <n v="47"/>
    <x v="0"/>
  </r>
  <r>
    <n v="4172"/>
    <s v="MUJER"/>
    <n v="5228071"/>
    <x v="1"/>
    <x v="0"/>
    <s v="SI"/>
    <s v="NO"/>
    <s v="NO"/>
    <n v="70"/>
    <n v="1.9775495550185673"/>
    <s v="Sí"/>
    <n v="0.28865518020873149"/>
    <s v="No"/>
    <n v="5228071"/>
    <n v="70"/>
    <x v="1"/>
  </r>
  <r>
    <n v="4173"/>
    <s v="HOMBRE"/>
    <n v="299441"/>
    <x v="2"/>
    <x v="1"/>
    <s v="SI"/>
    <s v="SI"/>
    <s v="NO"/>
    <n v="35"/>
    <n v="0.49258699768124525"/>
    <s v="No"/>
    <n v="0.37067106258876387"/>
    <s v="No"/>
    <n v="299441"/>
    <n v="35"/>
    <x v="2"/>
  </r>
  <r>
    <n v="4174"/>
    <s v="MUJER"/>
    <n v="1594950"/>
    <x v="0"/>
    <x v="1"/>
    <s v="SI"/>
    <s v="NO"/>
    <s v="NO"/>
    <n v="32"/>
    <n v="0.70431298791265773"/>
    <s v="No"/>
    <n v="0.34911287831315924"/>
    <s v="No"/>
    <n v="1594950"/>
    <n v="32"/>
    <x v="0"/>
  </r>
  <r>
    <n v="4175"/>
    <s v="HOMBRE"/>
    <n v="4173174"/>
    <x v="0"/>
    <x v="1"/>
    <s v="SI"/>
    <s v="SI"/>
    <s v="NO"/>
    <n v="32"/>
    <n v="0.70431298791265773"/>
    <s v="No"/>
    <n v="0.30620941095339055"/>
    <s v="No"/>
    <n v="4173174"/>
    <n v="32"/>
    <x v="0"/>
  </r>
  <r>
    <n v="4176"/>
    <s v="HOMBRE"/>
    <n v="42885294"/>
    <x v="0"/>
    <x v="1"/>
    <s v="SI"/>
    <s v="SI"/>
    <s v="NO"/>
    <n v="32"/>
    <n v="0.70431298791265773"/>
    <s v="No"/>
    <n v="0.337987593204296"/>
    <s v="No"/>
    <n v="42885294"/>
    <n v="32"/>
    <x v="0"/>
  </r>
  <r>
    <n v="4177"/>
    <s v="HOMBRE"/>
    <n v="35954427"/>
    <x v="6"/>
    <x v="1"/>
    <s v="SI"/>
    <s v="SI"/>
    <s v="NO"/>
    <n v="61"/>
    <n v="1.3423715843243298"/>
    <s v="No"/>
    <n v="0.22265307374074372"/>
    <s v="No"/>
    <n v="35954427"/>
    <n v="61"/>
    <x v="5"/>
  </r>
  <r>
    <n v="4178"/>
    <s v="HOMBRE"/>
    <n v="14150948"/>
    <x v="1"/>
    <x v="0"/>
    <s v="SI"/>
    <s v="NO"/>
    <s v="NO"/>
    <n v="93"/>
    <n v="3.6007821467927301"/>
    <s v="Sí"/>
    <n v="0.1401722081610233"/>
    <s v="No"/>
    <n v="14150948"/>
    <n v="93"/>
    <x v="1"/>
  </r>
  <r>
    <n v="4179"/>
    <s v="HOMBRE"/>
    <n v="480445"/>
    <x v="0"/>
    <x v="0"/>
    <s v="SI"/>
    <s v="NO"/>
    <s v="NO"/>
    <n v="44"/>
    <n v="0.14259097301299228"/>
    <s v="No"/>
    <n v="0.36765902825583252"/>
    <s v="No"/>
    <n v="480445"/>
    <n v="44"/>
    <x v="0"/>
  </r>
  <r>
    <n v="4180"/>
    <s v="MUJER"/>
    <n v="300000"/>
    <x v="0"/>
    <x v="1"/>
    <s v="SI"/>
    <s v="NO"/>
    <s v="SI"/>
    <n v="43"/>
    <n v="7.2015642935854773E-2"/>
    <s v="No"/>
    <n v="0.37066176043415894"/>
    <s v="No"/>
    <n v="300000"/>
    <n v="43"/>
    <x v="0"/>
  </r>
  <r>
    <n v="4181"/>
    <s v="HOMBRE"/>
    <n v="41749372"/>
    <x v="0"/>
    <x v="1"/>
    <s v="SI"/>
    <s v="SI"/>
    <s v="NO"/>
    <n v="57"/>
    <n v="1.0600702640157798"/>
    <s v="No"/>
    <n v="0.31908504926310116"/>
    <s v="No"/>
    <n v="41749372"/>
    <n v="57"/>
    <x v="0"/>
  </r>
  <r>
    <n v="4182"/>
    <s v="HOMBRE"/>
    <n v="1709162"/>
    <x v="0"/>
    <x v="0"/>
    <s v="SI"/>
    <s v="NO"/>
    <s v="SI"/>
    <n v="45"/>
    <n v="0.21316630309012977"/>
    <s v="No"/>
    <n v="0.34721231000951536"/>
    <s v="No"/>
    <n v="1709162"/>
    <n v="45"/>
    <x v="0"/>
  </r>
  <r>
    <n v="4183"/>
    <s v="HOMBRE"/>
    <n v="999555"/>
    <x v="0"/>
    <x v="0"/>
    <s v="SI"/>
    <s v="NO"/>
    <s v="NO"/>
    <n v="35"/>
    <n v="0.49258699768124525"/>
    <s v="No"/>
    <n v="0.35902067140975186"/>
    <s v="No"/>
    <n v="999555"/>
    <n v="35"/>
    <x v="0"/>
  </r>
  <r>
    <n v="4184"/>
    <s v="HOMBRE"/>
    <n v="54692674"/>
    <x v="0"/>
    <x v="1"/>
    <s v="SI"/>
    <s v="NO"/>
    <s v="NO"/>
    <n v="28"/>
    <n v="0.98661430822120777"/>
    <s v="No"/>
    <n v="0.53447073137785472"/>
    <s v="No"/>
    <n v="54692674"/>
    <n v="28"/>
    <x v="0"/>
  </r>
  <r>
    <n v="4185"/>
    <s v="HOMBRE"/>
    <n v="2000000"/>
    <x v="0"/>
    <x v="1"/>
    <s v="SI"/>
    <s v="NO"/>
    <s v="NO"/>
    <n v="39"/>
    <n v="0.21028567737269524"/>
    <s v="No"/>
    <n v="0.34237256038342373"/>
    <s v="No"/>
    <n v="2000000"/>
    <n v="39"/>
    <x v="0"/>
  </r>
  <r>
    <n v="4186"/>
    <s v="HOMBRE"/>
    <n v="674614"/>
    <x v="0"/>
    <x v="0"/>
    <s v="SI"/>
    <s v="NO"/>
    <s v="NO"/>
    <n v="61"/>
    <n v="1.3423715843243298"/>
    <s v="No"/>
    <n v="0.36442791902956712"/>
    <s v="No"/>
    <n v="674614"/>
    <n v="61"/>
    <x v="0"/>
  </r>
  <r>
    <n v="4187"/>
    <s v="HOMBRE"/>
    <n v="358876"/>
    <x v="0"/>
    <x v="1"/>
    <s v="SI"/>
    <s v="NO"/>
    <s v="NO"/>
    <n v="28"/>
    <n v="0.98661430822120777"/>
    <s v="No"/>
    <n v="0.36968202223287244"/>
    <s v="No"/>
    <n v="358876"/>
    <n v="28"/>
    <x v="0"/>
  </r>
  <r>
    <n v="4188"/>
    <s v="HOMBRE"/>
    <n v="8864782"/>
    <x v="0"/>
    <x v="0"/>
    <s v="SI"/>
    <s v="NO"/>
    <s v="NO"/>
    <n v="35"/>
    <n v="0.49258699768124525"/>
    <s v="No"/>
    <n v="0.22813774197007899"/>
    <s v="No"/>
    <n v="8864782"/>
    <n v="35"/>
    <x v="0"/>
  </r>
  <r>
    <n v="4189"/>
    <s v="HOMBRE"/>
    <n v="540083"/>
    <x v="3"/>
    <x v="1"/>
    <s v="SI"/>
    <s v="SI"/>
    <s v="SI"/>
    <n v="47"/>
    <n v="0.35431696324440481"/>
    <s v="No"/>
    <n v="0.3666666098366409"/>
    <s v="No"/>
    <n v="540083"/>
    <n v="47"/>
    <x v="3"/>
  </r>
  <r>
    <n v="4190"/>
    <s v="MUJER"/>
    <n v="48303791"/>
    <x v="1"/>
    <x v="0"/>
    <s v="SI"/>
    <s v="NO"/>
    <s v="NO"/>
    <n v="84"/>
    <n v="2.9656041760984926"/>
    <s v="Sí"/>
    <n v="0.42815520826741871"/>
    <s v="No"/>
    <n v="48303791"/>
    <n v="84"/>
    <x v="1"/>
  </r>
  <r>
    <n v="4191"/>
    <s v="MUJER"/>
    <n v="385548"/>
    <x v="3"/>
    <x v="1"/>
    <s v="SI"/>
    <s v="NO"/>
    <s v="NO"/>
    <n v="62"/>
    <n v="1.4129469144014672"/>
    <s v="No"/>
    <n v="0.36923818132478231"/>
    <s v="No"/>
    <n v="385548"/>
    <n v="62"/>
    <x v="3"/>
  </r>
  <r>
    <n v="4192"/>
    <s v="HOMBRE"/>
    <n v="28707151"/>
    <x v="0"/>
    <x v="0"/>
    <s v="SI"/>
    <s v="NO"/>
    <s v="NO"/>
    <n v="57"/>
    <n v="1.0600702640157798"/>
    <s v="No"/>
    <n v="0.102053285160219"/>
    <s v="No"/>
    <n v="28707151"/>
    <n v="57"/>
    <x v="0"/>
  </r>
  <r>
    <n v="4193"/>
    <s v="MUJER"/>
    <n v="297044"/>
    <x v="4"/>
    <x v="1"/>
    <s v="SI"/>
    <s v="NO"/>
    <s v="NO"/>
    <n v="55"/>
    <n v="0.91891960386150484"/>
    <s v="No"/>
    <n v="0.3707109503608354"/>
    <s v="No"/>
    <n v="297044"/>
    <n v="55"/>
    <x v="4"/>
  </r>
  <r>
    <n v="4194"/>
    <s v="MUJER"/>
    <n v="302470"/>
    <x v="3"/>
    <x v="1"/>
    <s v="SI"/>
    <s v="NO"/>
    <s v="NO"/>
    <n v="24"/>
    <n v="1.2689156285297578"/>
    <s v="No"/>
    <n v="0.37062065789055582"/>
    <s v="No"/>
    <n v="302470"/>
    <n v="24"/>
    <x v="3"/>
  </r>
  <r>
    <n v="4195"/>
    <s v="MUJER"/>
    <n v="297045"/>
    <x v="3"/>
    <x v="1"/>
    <s v="SI"/>
    <s v="NO"/>
    <s v="NO"/>
    <n v="63"/>
    <n v="1.4835222444786049"/>
    <s v="No"/>
    <n v="0.37071093372012948"/>
    <s v="No"/>
    <n v="297045"/>
    <n v="63"/>
    <x v="3"/>
  </r>
  <r>
    <n v="4196"/>
    <s v="MUJER"/>
    <n v="441000"/>
    <x v="0"/>
    <x v="1"/>
    <s v="SI"/>
    <s v="NO"/>
    <s v="NO"/>
    <n v="22"/>
    <n v="1.4100662886840327"/>
    <s v="No"/>
    <n v="0.36831542090053915"/>
    <s v="No"/>
    <n v="441000"/>
    <n v="22"/>
    <x v="0"/>
  </r>
  <r>
    <n v="4197"/>
    <s v="MUJER"/>
    <n v="181917"/>
    <x v="0"/>
    <x v="1"/>
    <s v="SI"/>
    <s v="NO"/>
    <s v="NO"/>
    <n v="53"/>
    <n v="0.77776894370722982"/>
    <s v="No"/>
    <n v="0.37262674491038894"/>
    <s v="No"/>
    <n v="181917"/>
    <n v="53"/>
    <x v="0"/>
  </r>
  <r>
    <n v="4198"/>
    <s v="HOMBRE"/>
    <n v="297045"/>
    <x v="3"/>
    <x v="1"/>
    <s v="SI"/>
    <s v="NO"/>
    <s v="NO"/>
    <n v="34"/>
    <n v="0.56316232775838282"/>
    <s v="No"/>
    <n v="0.37071093372012948"/>
    <s v="No"/>
    <n v="297045"/>
    <n v="34"/>
    <x v="3"/>
  </r>
  <r>
    <n v="4199"/>
    <s v="HOMBRE"/>
    <n v="48664856"/>
    <x v="0"/>
    <x v="1"/>
    <s v="SI"/>
    <s v="NO"/>
    <s v="NO"/>
    <n v="39"/>
    <n v="0.21028567737269524"/>
    <s v="No"/>
    <n v="0.43416358474760619"/>
    <s v="No"/>
    <n v="48664856"/>
    <n v="39"/>
    <x v="0"/>
  </r>
  <r>
    <n v="4200"/>
    <s v="HOMBRE"/>
    <n v="35954427"/>
    <x v="6"/>
    <x v="1"/>
    <s v="SI"/>
    <s v="SI"/>
    <s v="NO"/>
    <n v="38"/>
    <n v="0.28086100744983278"/>
    <s v="No"/>
    <n v="0.22265307374074372"/>
    <s v="No"/>
    <n v="35954427"/>
    <n v="38"/>
    <x v="5"/>
  </r>
  <r>
    <n v="4201"/>
    <s v="HOMBRE"/>
    <n v="3468974"/>
    <x v="0"/>
    <x v="1"/>
    <s v="SI"/>
    <s v="NO"/>
    <s v="NO"/>
    <n v="21"/>
    <n v="1.4806416187611704"/>
    <s v="No"/>
    <n v="0.3179277960567598"/>
    <s v="No"/>
    <n v="3468974"/>
    <n v="21"/>
    <x v="0"/>
  </r>
  <r>
    <n v="4202"/>
    <s v="MUJER"/>
    <n v="278030"/>
    <x v="3"/>
    <x v="1"/>
    <s v="SI"/>
    <s v="NO"/>
    <s v="NO"/>
    <n v="54"/>
    <n v="0.84834427378436728"/>
    <s v="No"/>
    <n v="0.37102735674304993"/>
    <s v="No"/>
    <n v="278030"/>
    <n v="54"/>
    <x v="3"/>
  </r>
  <r>
    <n v="4203"/>
    <s v="HOMBRE"/>
    <n v="84672345"/>
    <x v="0"/>
    <x v="1"/>
    <s v="SI"/>
    <s v="NO"/>
    <s v="NO"/>
    <n v="35"/>
    <n v="0.49258699768124525"/>
    <s v="No"/>
    <n v="1.0333536198332809"/>
    <s v="No"/>
    <n v="84672345"/>
    <n v="35"/>
    <x v="0"/>
  </r>
  <r>
    <n v="4204"/>
    <s v="HOMBRE"/>
    <n v="300018"/>
    <x v="2"/>
    <x v="1"/>
    <s v="SI"/>
    <s v="NO"/>
    <s v="NO"/>
    <n v="64"/>
    <n v="1.5540975745557424"/>
    <s v="No"/>
    <n v="0.37066146090145252"/>
    <s v="No"/>
    <n v="300018"/>
    <n v="64"/>
    <x v="2"/>
  </r>
  <r>
    <n v="4205"/>
    <s v="MUJER"/>
    <n v="169507"/>
    <x v="0"/>
    <x v="1"/>
    <s v="SI"/>
    <s v="SI"/>
    <s v="NO"/>
    <n v="53"/>
    <n v="0.77776894370722982"/>
    <s v="No"/>
    <n v="0.37283325607075929"/>
    <s v="No"/>
    <n v="169507"/>
    <n v="53"/>
    <x v="0"/>
  </r>
  <r>
    <n v="4206"/>
    <s v="HOMBRE"/>
    <n v="302982"/>
    <x v="3"/>
    <x v="1"/>
    <s v="SI"/>
    <s v="NO"/>
    <s v="NO"/>
    <n v="63"/>
    <n v="1.4835222444786049"/>
    <s v="No"/>
    <n v="0.37061213784912878"/>
    <s v="No"/>
    <n v="302982"/>
    <n v="63"/>
    <x v="3"/>
  </r>
  <r>
    <n v="4207"/>
    <s v="HOMBRE"/>
    <n v="42857143"/>
    <x v="0"/>
    <x v="1"/>
    <s v="SI"/>
    <s v="NO"/>
    <s v="NO"/>
    <n v="34"/>
    <n v="0.56316232775838282"/>
    <s v="No"/>
    <n v="0.33751914069216177"/>
    <s v="No"/>
    <n v="42857143"/>
    <n v="34"/>
    <x v="0"/>
  </r>
  <r>
    <n v="4208"/>
    <s v="HOMBRE"/>
    <n v="418466"/>
    <x v="0"/>
    <x v="1"/>
    <s v="SI"/>
    <s v="NO"/>
    <s v="NO"/>
    <n v="40"/>
    <n v="0.13971034729555773"/>
    <s v="No"/>
    <n v="0.36869040256756458"/>
    <s v="No"/>
    <n v="418466"/>
    <n v="40"/>
    <x v="0"/>
  </r>
  <r>
    <n v="4209"/>
    <s v="HOMBRE"/>
    <n v="407937"/>
    <x v="0"/>
    <x v="1"/>
    <s v="SI"/>
    <s v="NO"/>
    <s v="NO"/>
    <n v="34"/>
    <n v="0.56316232775838282"/>
    <s v="No"/>
    <n v="0.36886561256011413"/>
    <s v="No"/>
    <n v="407937"/>
    <n v="34"/>
    <x v="0"/>
  </r>
  <r>
    <n v="4210"/>
    <s v="HOMBRE"/>
    <n v="461380"/>
    <x v="0"/>
    <x v="1"/>
    <s v="SI"/>
    <s v="NO"/>
    <s v="NO"/>
    <n v="30"/>
    <n v="0.84546364806693275"/>
    <s v="No"/>
    <n v="0.36797628331404858"/>
    <s v="No"/>
    <n v="461380"/>
    <n v="30"/>
    <x v="0"/>
  </r>
  <r>
    <n v="4211"/>
    <s v="HOMBRE"/>
    <n v="746235"/>
    <x v="0"/>
    <x v="1"/>
    <s v="SI"/>
    <s v="NO"/>
    <s v="NO"/>
    <n v="49"/>
    <n v="0.49546762339867978"/>
    <s v="No"/>
    <n v="0.36323609503142962"/>
    <s v="No"/>
    <n v="746235"/>
    <n v="49"/>
    <x v="0"/>
  </r>
  <r>
    <n v="4212"/>
    <s v="HOMBRE"/>
    <n v="104183332"/>
    <x v="0"/>
    <x v="0"/>
    <s v="SI"/>
    <s v="NO"/>
    <s v="NO"/>
    <n v="60"/>
    <n v="1.2717962542471923"/>
    <s v="No"/>
    <n v="1.3580302165569831"/>
    <s v="No"/>
    <n v="104183332"/>
    <n v="60"/>
    <x v="0"/>
  </r>
  <r>
    <n v="4213"/>
    <s v="HOMBRE"/>
    <n v="324047"/>
    <x v="3"/>
    <x v="1"/>
    <s v="NO"/>
    <s v="NO"/>
    <s v="NO"/>
    <n v="65"/>
    <n v="1.6246729046328798"/>
    <s v="No"/>
    <n v="0.37026160137908837"/>
    <s v="No"/>
    <n v="324047"/>
    <n v="65"/>
    <x v="3"/>
  </r>
  <r>
    <n v="4214"/>
    <s v="MUJER"/>
    <n v="148277851"/>
    <x v="0"/>
    <x v="1"/>
    <s v="SI"/>
    <s v="NO"/>
    <s v="SI"/>
    <n v="37"/>
    <n v="0.35143633752697023"/>
    <s v="No"/>
    <n v="2.0917941395757738"/>
    <s v="Sí"/>
    <n v="148277851"/>
    <n v="37"/>
    <x v="0"/>
  </r>
  <r>
    <n v="4215"/>
    <s v="HOMBRE"/>
    <n v="620245"/>
    <x v="3"/>
    <x v="1"/>
    <s v="SI"/>
    <s v="NO"/>
    <s v="NO"/>
    <n v="45"/>
    <n v="0.21316630309012977"/>
    <s v="No"/>
    <n v="0.36533265756930738"/>
    <s v="No"/>
    <n v="620245"/>
    <n v="45"/>
    <x v="3"/>
  </r>
  <r>
    <n v="4216"/>
    <s v="HOMBRE"/>
    <n v="37500"/>
    <x v="0"/>
    <x v="1"/>
    <s v="SI"/>
    <s v="NO"/>
    <s v="SI"/>
    <n v="47"/>
    <n v="0.35431696324440481"/>
    <s v="No"/>
    <n v="0.3750299457361107"/>
    <s v="No"/>
    <n v="37500"/>
    <n v="47"/>
    <x v="0"/>
  </r>
  <r>
    <n v="4217"/>
    <s v="MUJER"/>
    <n v="297045"/>
    <x v="2"/>
    <x v="1"/>
    <s v="SI"/>
    <s v="NO"/>
    <s v="SI"/>
    <n v="48"/>
    <n v="0.42489229332154227"/>
    <s v="No"/>
    <n v="0.37071093372012948"/>
    <s v="No"/>
    <n v="297045"/>
    <n v="48"/>
    <x v="2"/>
  </r>
  <r>
    <n v="4218"/>
    <s v="HOMBRE"/>
    <n v="18107404"/>
    <x v="0"/>
    <x v="0"/>
    <s v="SI"/>
    <s v="NO"/>
    <s v="NO"/>
    <n v="55"/>
    <n v="0.91891960386150484"/>
    <s v="No"/>
    <n v="7.4333987410475297E-2"/>
    <s v="No"/>
    <n v="18107404"/>
    <n v="55"/>
    <x v="0"/>
  </r>
  <r>
    <n v="4219"/>
    <s v="HOMBRE"/>
    <n v="8850000"/>
    <x v="0"/>
    <x v="1"/>
    <s v="SI"/>
    <s v="NO"/>
    <s v="NO"/>
    <n v="41"/>
    <n v="6.9135017218420233E-2"/>
    <s v="No"/>
    <n v="0.2283837248848731"/>
    <s v="No"/>
    <n v="8850000"/>
    <n v="41"/>
    <x v="0"/>
  </r>
  <r>
    <n v="4220"/>
    <s v="MUJER"/>
    <n v="955676"/>
    <x v="3"/>
    <x v="1"/>
    <s v="SI"/>
    <s v="NO"/>
    <s v="NO"/>
    <n v="38"/>
    <n v="0.28086100744983278"/>
    <s v="No"/>
    <n v="0.35975084894447318"/>
    <s v="No"/>
    <n v="955676"/>
    <n v="38"/>
    <x v="3"/>
  </r>
  <r>
    <n v="4221"/>
    <s v="HOMBRE"/>
    <n v="278030"/>
    <x v="4"/>
    <x v="1"/>
    <s v="SI"/>
    <s v="NO"/>
    <s v="NO"/>
    <n v="68"/>
    <n v="1.8363988948642924"/>
    <s v="No"/>
    <n v="0.37102735674304993"/>
    <s v="No"/>
    <n v="278030"/>
    <n v="68"/>
    <x v="4"/>
  </r>
  <r>
    <n v="4222"/>
    <s v="HOMBRE"/>
    <n v="3015022"/>
    <x v="0"/>
    <x v="1"/>
    <s v="SI"/>
    <s v="NO"/>
    <s v="NO"/>
    <n v="29"/>
    <n v="0.91603897814407031"/>
    <s v="No"/>
    <n v="0.32548187778701354"/>
    <s v="No"/>
    <n v="3015022"/>
    <n v="29"/>
    <x v="0"/>
  </r>
  <r>
    <n v="4223"/>
    <s v="HOMBRE"/>
    <n v="1331200"/>
    <x v="0"/>
    <x v="1"/>
    <s v="SI"/>
    <s v="NO"/>
    <s v="NO"/>
    <n v="31"/>
    <n v="0.77488831798979529"/>
    <s v="No"/>
    <n v="0.35350186449750121"/>
    <s v="No"/>
    <n v="1331200"/>
    <n v="31"/>
    <x v="0"/>
  </r>
  <r>
    <n v="4224"/>
    <s v="MUJER"/>
    <n v="36805297"/>
    <x v="0"/>
    <x v="1"/>
    <s v="SI"/>
    <s v="NO"/>
    <s v="NO"/>
    <n v="37"/>
    <n v="0.35143633752697023"/>
    <s v="No"/>
    <n v="0.23681215118025492"/>
    <s v="No"/>
    <n v="36805297"/>
    <n v="37"/>
    <x v="0"/>
  </r>
  <r>
    <n v="4225"/>
    <s v="HOMBRE"/>
    <n v="65000"/>
    <x v="0"/>
    <x v="1"/>
    <s v="SI"/>
    <s v="SI"/>
    <s v="NO"/>
    <n v="33"/>
    <n v="0.63373765783552027"/>
    <s v="No"/>
    <n v="0.37457232632352527"/>
    <s v="No"/>
    <n v="65000"/>
    <n v="33"/>
    <x v="0"/>
  </r>
  <r>
    <n v="4226"/>
    <s v="MUJER"/>
    <n v="4770580"/>
    <x v="1"/>
    <x v="0"/>
    <s v="SI"/>
    <s v="NO"/>
    <s v="NO"/>
    <n v="82"/>
    <n v="2.8244535159442172"/>
    <s v="Sí"/>
    <n v="0.29626815339720852"/>
    <s v="No"/>
    <n v="4770580"/>
    <n v="82"/>
    <x v="1"/>
  </r>
  <r>
    <n v="4227"/>
    <s v="HOMBRE"/>
    <n v="132059441"/>
    <x v="0"/>
    <x v="1"/>
    <s v="SI"/>
    <s v="NO"/>
    <s v="NO"/>
    <n v="26"/>
    <n v="1.1277649683754829"/>
    <s v="No"/>
    <n v="1.8219083484023362"/>
    <s v="No"/>
    <n v="132059441"/>
    <n v="26"/>
    <x v="0"/>
  </r>
  <r>
    <n v="4228"/>
    <s v="HOMBRE"/>
    <n v="349825"/>
    <x v="0"/>
    <x v="1"/>
    <s v="SI"/>
    <s v="NO"/>
    <s v="NO"/>
    <n v="55"/>
    <n v="0.91891960386150484"/>
    <s v="No"/>
    <n v="0.36983263726208371"/>
    <s v="No"/>
    <n v="349825"/>
    <n v="55"/>
    <x v="0"/>
  </r>
  <r>
    <n v="4229"/>
    <s v="MUJER"/>
    <n v="41088145"/>
    <x v="0"/>
    <x v="1"/>
    <s v="SI"/>
    <s v="NO"/>
    <s v="NO"/>
    <n v="45"/>
    <n v="0.21316630309012977"/>
    <s v="No"/>
    <n v="0.30808176521489677"/>
    <s v="No"/>
    <n v="41088145"/>
    <n v="45"/>
    <x v="0"/>
  </r>
  <r>
    <n v="4230"/>
    <s v="HOMBRE"/>
    <n v="600000"/>
    <x v="0"/>
    <x v="1"/>
    <s v="SI"/>
    <s v="NO"/>
    <s v="SI"/>
    <n v="28"/>
    <n v="0.98661430822120777"/>
    <s v="No"/>
    <n v="0.36566954866049978"/>
    <s v="No"/>
    <n v="600000"/>
    <n v="28"/>
    <x v="0"/>
  </r>
  <r>
    <n v="4231"/>
    <s v="MUJER"/>
    <n v="631000"/>
    <x v="0"/>
    <x v="1"/>
    <s v="SI"/>
    <s v="NO"/>
    <s v="NO"/>
    <n v="32"/>
    <n v="0.70431298791265773"/>
    <s v="No"/>
    <n v="0.36515368677722171"/>
    <s v="No"/>
    <n v="631000"/>
    <n v="32"/>
    <x v="0"/>
  </r>
  <r>
    <n v="4232"/>
    <s v="HOMBRE"/>
    <n v="187320189"/>
    <x v="0"/>
    <x v="1"/>
    <s v="SI"/>
    <s v="NO"/>
    <s v="NO"/>
    <n v="49"/>
    <n v="0.49546762339867978"/>
    <s v="No"/>
    <n v="2.7414862043583743"/>
    <s v="Sí"/>
    <n v="187320189"/>
    <n v="49"/>
    <x v="0"/>
  </r>
  <r>
    <n v="4233"/>
    <s v="MUJER"/>
    <n v="875386"/>
    <x v="1"/>
    <x v="0"/>
    <s v="SI"/>
    <s v="NO"/>
    <s v="NO"/>
    <n v="70"/>
    <n v="1.9775495550185673"/>
    <s v="Sí"/>
    <n v="0.36108693122216345"/>
    <s v="No"/>
    <n v="875386"/>
    <n v="70"/>
    <x v="1"/>
  </r>
  <r>
    <n v="4234"/>
    <s v="HOMBRE"/>
    <n v="325000"/>
    <x v="0"/>
    <x v="1"/>
    <s v="SI"/>
    <s v="NO"/>
    <s v="NO"/>
    <n v="55"/>
    <n v="0.91891960386150484"/>
    <s v="No"/>
    <n v="0.37024574278635403"/>
    <s v="No"/>
    <n v="325000"/>
    <n v="55"/>
    <x v="0"/>
  </r>
  <r>
    <n v="4235"/>
    <s v="HOMBRE"/>
    <n v="300018"/>
    <x v="3"/>
    <x v="1"/>
    <s v="SI"/>
    <s v="NO"/>
    <s v="NO"/>
    <n v="38"/>
    <n v="0.28086100744983278"/>
    <s v="No"/>
    <n v="0.37066146090145252"/>
    <s v="No"/>
    <n v="300018"/>
    <n v="38"/>
    <x v="3"/>
  </r>
  <r>
    <n v="4236"/>
    <s v="MUJER"/>
    <n v="326749"/>
    <x v="3"/>
    <x v="1"/>
    <s v="SI"/>
    <s v="NO"/>
    <s v="SI"/>
    <n v="34"/>
    <n v="0.56316232775838282"/>
    <s v="No"/>
    <n v="0.37021663819171358"/>
    <s v="No"/>
    <n v="326749"/>
    <n v="34"/>
    <x v="3"/>
  </r>
  <r>
    <n v="4237"/>
    <s v="MUJER"/>
    <n v="3553104"/>
    <x v="0"/>
    <x v="1"/>
    <s v="SI"/>
    <s v="NO"/>
    <s v="NO"/>
    <n v="22"/>
    <n v="1.4100662886840327"/>
    <s v="No"/>
    <n v="0.31652781346836667"/>
    <s v="No"/>
    <n v="3553104"/>
    <n v="22"/>
    <x v="0"/>
  </r>
  <r>
    <n v="4238"/>
    <s v="HOMBRE"/>
    <n v="278030"/>
    <x v="4"/>
    <x v="1"/>
    <s v="SI"/>
    <s v="NO"/>
    <s v="NO"/>
    <n v="49"/>
    <n v="0.49546762339867978"/>
    <s v="No"/>
    <n v="0.37102735674304993"/>
    <s v="No"/>
    <n v="278030"/>
    <n v="49"/>
    <x v="4"/>
  </r>
  <r>
    <n v="4239"/>
    <s v="HOMBRE"/>
    <n v="24715136"/>
    <x v="0"/>
    <x v="0"/>
    <s v="SI"/>
    <s v="NO"/>
    <s v="NO"/>
    <n v="56"/>
    <n v="0.9894949339386423"/>
    <s v="No"/>
    <n v="3.5623337548139185E-2"/>
    <s v="No"/>
    <n v="24715136"/>
    <n v="56"/>
    <x v="0"/>
  </r>
  <r>
    <n v="4240"/>
    <s v="HOMBRE"/>
    <n v="297046"/>
    <x v="3"/>
    <x v="1"/>
    <s v="SI"/>
    <s v="NO"/>
    <s v="SI"/>
    <n v="35"/>
    <n v="0.49258699768124525"/>
    <s v="No"/>
    <n v="0.37071091707942361"/>
    <s v="No"/>
    <n v="297046"/>
    <n v="35"/>
    <x v="3"/>
  </r>
  <r>
    <n v="4241"/>
    <s v="HOMBRE"/>
    <n v="300018"/>
    <x v="2"/>
    <x v="1"/>
    <s v="SI"/>
    <s v="NO"/>
    <s v="NO"/>
    <n v="68"/>
    <n v="1.8363988948642924"/>
    <s v="No"/>
    <n v="0.37066146090145252"/>
    <s v="No"/>
    <n v="300018"/>
    <n v="68"/>
    <x v="2"/>
  </r>
  <r>
    <n v="4242"/>
    <s v="MUJER"/>
    <n v="72107"/>
    <x v="0"/>
    <x v="1"/>
    <s v="SI"/>
    <s v="NO"/>
    <s v="SI"/>
    <n v="24"/>
    <n v="1.2689156285297578"/>
    <s v="No"/>
    <n v="0.37445406082660732"/>
    <s v="No"/>
    <n v="72107"/>
    <n v="24"/>
    <x v="0"/>
  </r>
  <r>
    <n v="4243"/>
    <s v="MUJER"/>
    <n v="348503"/>
    <x v="0"/>
    <x v="1"/>
    <s v="SI"/>
    <s v="NO"/>
    <s v="NO"/>
    <n v="41"/>
    <n v="6.9135017218420233E-2"/>
    <s v="No"/>
    <n v="0.36985463627529963"/>
    <s v="No"/>
    <n v="348503"/>
    <n v="41"/>
    <x v="0"/>
  </r>
  <r>
    <n v="4244"/>
    <s v="HOMBRE"/>
    <n v="642383"/>
    <x v="0"/>
    <x v="0"/>
    <s v="SI"/>
    <s v="NO"/>
    <s v="NO"/>
    <n v="27"/>
    <n v="1.0571896382983452"/>
    <s v="No"/>
    <n v="0.36496426562182316"/>
    <s v="No"/>
    <n v="642383"/>
    <n v="27"/>
    <x v="0"/>
  </r>
  <r>
    <n v="4245"/>
    <s v="MUJER"/>
    <n v="21850848"/>
    <x v="0"/>
    <x v="1"/>
    <s v="SI"/>
    <s v="SI"/>
    <s v="SI"/>
    <n v="49"/>
    <n v="0.49546762339867978"/>
    <s v="No"/>
    <n v="1.2040436707696242E-2"/>
    <s v="No"/>
    <n v="21850848"/>
    <n v="49"/>
    <x v="0"/>
  </r>
  <r>
    <n v="4246"/>
    <s v="HOMBRE"/>
    <n v="65000012"/>
    <x v="0"/>
    <x v="1"/>
    <s v="SI"/>
    <s v="NO"/>
    <s v="NO"/>
    <n v="27"/>
    <n v="1.0571896382983452"/>
    <s v="No"/>
    <n v="0.70599211177346932"/>
    <s v="No"/>
    <n v="65000012"/>
    <n v="27"/>
    <x v="0"/>
  </r>
  <r>
    <n v="4247"/>
    <s v="HOMBRE"/>
    <n v="406358"/>
    <x v="3"/>
    <x v="1"/>
    <s v="SI"/>
    <s v="NO"/>
    <s v="SI"/>
    <n v="60"/>
    <n v="1.2717962542471923"/>
    <s v="No"/>
    <n v="0.3688918882347495"/>
    <s v="No"/>
    <n v="406358"/>
    <n v="60"/>
    <x v="3"/>
  </r>
  <r>
    <n v="4248"/>
    <s v="HOMBRE"/>
    <n v="100000"/>
    <x v="0"/>
    <x v="1"/>
    <s v="SI"/>
    <s v="NO"/>
    <s v="NO"/>
    <n v="56"/>
    <n v="0.9894949339386423"/>
    <s v="No"/>
    <n v="0.3739899016165984"/>
    <s v="No"/>
    <n v="100000"/>
    <n v="56"/>
    <x v="0"/>
  </r>
  <r>
    <n v="4249"/>
    <s v="HOMBRE"/>
    <n v="1710135"/>
    <x v="0"/>
    <x v="1"/>
    <s v="SI"/>
    <s v="NO"/>
    <s v="NO"/>
    <n v="24"/>
    <n v="1.2689156285297578"/>
    <s v="No"/>
    <n v="0.34719611860266281"/>
    <s v="No"/>
    <n v="1710135"/>
    <n v="24"/>
    <x v="0"/>
  </r>
  <r>
    <n v="4250"/>
    <s v="MUJER"/>
    <n v="9996605"/>
    <x v="0"/>
    <x v="1"/>
    <s v="SI"/>
    <s v="SI"/>
    <s v="NO"/>
    <n v="30"/>
    <n v="0.84546364806693275"/>
    <s v="No"/>
    <n v="0.20930340828241825"/>
    <s v="No"/>
    <n v="9996605"/>
    <n v="30"/>
    <x v="0"/>
  </r>
  <r>
    <n v="4251"/>
    <s v="HOMBRE"/>
    <n v="37051781"/>
    <x v="0"/>
    <x v="1"/>
    <s v="SI"/>
    <s v="NO"/>
    <s v="NO"/>
    <n v="28"/>
    <n v="0.98661430822120777"/>
    <s v="No"/>
    <n v="0.24091381893631694"/>
    <s v="No"/>
    <n v="37051781"/>
    <n v="28"/>
    <x v="0"/>
  </r>
  <r>
    <n v="4252"/>
    <s v="HOMBRE"/>
    <n v="47847357"/>
    <x v="0"/>
    <x v="1"/>
    <s v="SI"/>
    <s v="NO"/>
    <s v="NO"/>
    <n v="26"/>
    <n v="1.1277649683754829"/>
    <s v="No"/>
    <n v="0.42055982430509087"/>
    <s v="No"/>
    <n v="47847357"/>
    <n v="26"/>
    <x v="0"/>
  </r>
  <r>
    <n v="4253"/>
    <s v="MUJER"/>
    <n v="48886443"/>
    <x v="0"/>
    <x v="0"/>
    <s v="SI"/>
    <s v="NO"/>
    <s v="NO"/>
    <n v="25"/>
    <n v="1.1983402984526204"/>
    <s v="No"/>
    <n v="0.43785094884857217"/>
    <s v="No"/>
    <n v="48886443"/>
    <n v="25"/>
    <x v="0"/>
  </r>
  <r>
    <n v="4254"/>
    <s v="HOMBRE"/>
    <n v="440625"/>
    <x v="0"/>
    <x v="1"/>
    <s v="SI"/>
    <s v="NO"/>
    <s v="NO"/>
    <n v="26"/>
    <n v="1.1277649683754829"/>
    <s v="No"/>
    <n v="0.36832166116525622"/>
    <s v="No"/>
    <n v="440625"/>
    <n v="26"/>
    <x v="0"/>
  </r>
  <r>
    <n v="4255"/>
    <s v="HOMBRE"/>
    <n v="32326627"/>
    <x v="0"/>
    <x v="1"/>
    <s v="SI"/>
    <s v="NO"/>
    <s v="NO"/>
    <n v="26"/>
    <n v="1.1277649683754829"/>
    <s v="No"/>
    <n v="0.16228392083247478"/>
    <s v="No"/>
    <n v="32326627"/>
    <n v="26"/>
    <x v="0"/>
  </r>
  <r>
    <n v="4256"/>
    <s v="HOMBRE"/>
    <n v="525000"/>
    <x v="0"/>
    <x v="1"/>
    <s v="SI"/>
    <s v="NO"/>
    <s v="NO"/>
    <n v="66"/>
    <n v="1.6952482347100173"/>
    <s v="No"/>
    <n v="0.36691760160391457"/>
    <s v="No"/>
    <n v="525000"/>
    <n v="66"/>
    <x v="0"/>
  </r>
  <r>
    <n v="4257"/>
    <s v="MUJER"/>
    <n v="297045"/>
    <x v="2"/>
    <x v="1"/>
    <s v="SI"/>
    <s v="NO"/>
    <s v="NO"/>
    <n v="53"/>
    <n v="0.77776894370722982"/>
    <s v="No"/>
    <n v="0.37071093372012948"/>
    <s v="No"/>
    <n v="297045"/>
    <n v="53"/>
    <x v="2"/>
  </r>
  <r>
    <n v="4258"/>
    <s v="HOMBRE"/>
    <n v="36644556"/>
    <x v="0"/>
    <x v="1"/>
    <s v="SI"/>
    <s v="NO"/>
    <s v="NO"/>
    <n v="40"/>
    <n v="0.13971034729555773"/>
    <s v="No"/>
    <n v="0.23413730747122244"/>
    <s v="No"/>
    <n v="36644556"/>
    <n v="40"/>
    <x v="0"/>
  </r>
  <r>
    <n v="4259"/>
    <s v="HOMBRE"/>
    <n v="297586"/>
    <x v="2"/>
    <x v="1"/>
    <s v="SI"/>
    <s v="SI"/>
    <s v="NO"/>
    <n v="61"/>
    <n v="1.3423715843243298"/>
    <s v="No"/>
    <n v="0.37070193109823102"/>
    <s v="No"/>
    <n v="297586"/>
    <n v="61"/>
    <x v="2"/>
  </r>
  <r>
    <n v="4260"/>
    <s v="MUJER"/>
    <n v="1216185"/>
    <x v="0"/>
    <x v="0"/>
    <s v="SI"/>
    <s v="NO"/>
    <s v="SI"/>
    <n v="45"/>
    <n v="0.21316630309012977"/>
    <s v="No"/>
    <n v="0.35541579528799261"/>
    <s v="No"/>
    <n v="1216185"/>
    <n v="45"/>
    <x v="0"/>
  </r>
  <r>
    <n v="4261"/>
    <s v="HOMBRE"/>
    <n v="57520833"/>
    <x v="0"/>
    <x v="1"/>
    <s v="SI"/>
    <s v="NO"/>
    <s v="NO"/>
    <n v="24"/>
    <n v="1.2689156285297578"/>
    <s v="No"/>
    <n v="0.58153329356978833"/>
    <s v="No"/>
    <n v="57520833"/>
    <n v="24"/>
    <x v="0"/>
  </r>
  <r>
    <n v="4262"/>
    <s v="MUJER"/>
    <n v="297046"/>
    <x v="2"/>
    <x v="1"/>
    <s v="SI"/>
    <s v="SI"/>
    <s v="NO"/>
    <n v="59"/>
    <n v="1.2012209241700549"/>
    <s v="No"/>
    <n v="0.37071091707942361"/>
    <s v="No"/>
    <n v="297046"/>
    <n v="59"/>
    <x v="2"/>
  </r>
  <r>
    <n v="4263"/>
    <s v="MUJER"/>
    <n v="705273"/>
    <x v="0"/>
    <x v="1"/>
    <s v="SI"/>
    <s v="NO"/>
    <s v="NO"/>
    <n v="45"/>
    <n v="0.21316630309012977"/>
    <s v="No"/>
    <n v="0.36391773162700508"/>
    <s v="No"/>
    <n v="705273"/>
    <n v="45"/>
    <x v="0"/>
  </r>
  <r>
    <n v="4264"/>
    <s v="MUJER"/>
    <n v="8896875"/>
    <x v="0"/>
    <x v="1"/>
    <s v="SI"/>
    <s v="NO"/>
    <s v="NO"/>
    <n v="31"/>
    <n v="0.77488831798979529"/>
    <s v="No"/>
    <n v="0.22760369179523884"/>
    <s v="No"/>
    <n v="8896875"/>
    <n v="31"/>
    <x v="0"/>
  </r>
  <r>
    <n v="4265"/>
    <s v="HOMBRE"/>
    <n v="452193"/>
    <x v="3"/>
    <x v="1"/>
    <s v="SI"/>
    <s v="NO"/>
    <s v="NO"/>
    <n v="58"/>
    <n v="1.1306455940929174"/>
    <s v="No"/>
    <n v="0.36812916147926394"/>
    <s v="No"/>
    <n v="452193"/>
    <n v="58"/>
    <x v="3"/>
  </r>
  <r>
    <n v="4266"/>
    <s v="MUJER"/>
    <n v="367748"/>
    <x v="3"/>
    <x v="1"/>
    <s v="SI"/>
    <s v="NO"/>
    <s v="NO"/>
    <n v="34"/>
    <n v="0.56316232775838282"/>
    <s v="No"/>
    <n v="0.36953438589001941"/>
    <s v="No"/>
    <n v="367748"/>
    <n v="34"/>
    <x v="3"/>
  </r>
  <r>
    <n v="4267"/>
    <s v="MUJER"/>
    <n v="336000"/>
    <x v="0"/>
    <x v="1"/>
    <s v="SI"/>
    <s v="NO"/>
    <s v="NO"/>
    <n v="26"/>
    <n v="1.1277649683754829"/>
    <s v="No"/>
    <n v="0.37006269502131983"/>
    <s v="No"/>
    <n v="336000"/>
    <n v="26"/>
    <x v="0"/>
  </r>
  <r>
    <n v="4268"/>
    <s v="HOMBRE"/>
    <n v="41981769"/>
    <x v="0"/>
    <x v="1"/>
    <s v="SI"/>
    <s v="SI"/>
    <s v="NO"/>
    <n v="26"/>
    <n v="1.1277649683754829"/>
    <s v="No"/>
    <n v="0.32295229939497805"/>
    <s v="No"/>
    <n v="41981769"/>
    <n v="26"/>
    <x v="0"/>
  </r>
  <r>
    <n v="4269"/>
    <s v="HOMBRE"/>
    <n v="40446875"/>
    <x v="0"/>
    <x v="1"/>
    <s v="SI"/>
    <s v="NO"/>
    <s v="NO"/>
    <n v="28"/>
    <n v="0.98661430822120777"/>
    <s v="No"/>
    <n v="0.29741057973458207"/>
    <s v="No"/>
    <n v="40446875"/>
    <n v="28"/>
    <x v="0"/>
  </r>
  <r>
    <n v="4270"/>
    <s v="HOMBRE"/>
    <n v="279111"/>
    <x v="2"/>
    <x v="1"/>
    <s v="SI"/>
    <s v="NO"/>
    <s v="NO"/>
    <n v="61"/>
    <n v="1.3423715843243298"/>
    <s v="No"/>
    <n v="0.37100936813995883"/>
    <s v="No"/>
    <n v="279111"/>
    <n v="61"/>
    <x v="2"/>
  </r>
  <r>
    <n v="4271"/>
    <s v="HOMBRE"/>
    <n v="778719"/>
    <x v="2"/>
    <x v="1"/>
    <s v="SI"/>
    <s v="SI"/>
    <s v="NO"/>
    <n v="79"/>
    <n v="2.6127275257128049"/>
    <s v="Sí"/>
    <n v="0.36269553834057783"/>
    <s v="No"/>
    <n v="778719"/>
    <n v="79"/>
    <x v="2"/>
  </r>
  <r>
    <n v="4272"/>
    <s v="MUJER"/>
    <n v="600000"/>
    <x v="0"/>
    <x v="1"/>
    <s v="SI"/>
    <s v="NO"/>
    <s v="NO"/>
    <n v="40"/>
    <n v="0.13971034729555773"/>
    <s v="No"/>
    <n v="0.36566954866049978"/>
    <s v="No"/>
    <n v="600000"/>
    <n v="40"/>
    <x v="0"/>
  </r>
  <r>
    <n v="4273"/>
    <s v="HOMBRE"/>
    <n v="800000"/>
    <x v="0"/>
    <x v="1"/>
    <s v="SI"/>
    <s v="NO"/>
    <s v="NO"/>
    <n v="27"/>
    <n v="1.0571896382983452"/>
    <s v="No"/>
    <n v="0.36234140747806037"/>
    <s v="No"/>
    <n v="800000"/>
    <n v="27"/>
    <x v="0"/>
  </r>
  <r>
    <n v="4274"/>
    <s v="HOMBRE"/>
    <n v="439012"/>
    <x v="0"/>
    <x v="1"/>
    <s v="SI"/>
    <s v="SI"/>
    <s v="NO"/>
    <n v="28"/>
    <n v="0.98661430822120777"/>
    <s v="No"/>
    <n v="0.36834850262389257"/>
    <s v="No"/>
    <n v="439012"/>
    <n v="28"/>
    <x v="0"/>
  </r>
  <r>
    <n v="4275"/>
    <s v="MUJER"/>
    <n v="6578148"/>
    <x v="0"/>
    <x v="1"/>
    <s v="SI"/>
    <s v="NO"/>
    <s v="NO"/>
    <n v="38"/>
    <n v="0.28086100744983278"/>
    <s v="No"/>
    <n v="0.26618894589291009"/>
    <s v="No"/>
    <n v="6578148"/>
    <n v="38"/>
    <x v="0"/>
  </r>
  <r>
    <n v="4276"/>
    <s v="HOMBRE"/>
    <n v="36197688"/>
    <x v="0"/>
    <x v="1"/>
    <s v="SI"/>
    <s v="NO"/>
    <s v="NO"/>
    <n v="60"/>
    <n v="1.2717962542471923"/>
    <s v="No"/>
    <n v="0.22670110850165071"/>
    <s v="No"/>
    <n v="36197688"/>
    <n v="60"/>
    <x v="0"/>
  </r>
  <r>
    <n v="4277"/>
    <s v="HOMBRE"/>
    <n v="30789119"/>
    <x v="0"/>
    <x v="1"/>
    <s v="SI"/>
    <s v="NO"/>
    <s v="NO"/>
    <n v="30"/>
    <n v="0.84546364806693275"/>
    <s v="No"/>
    <n v="0.13669870236682433"/>
    <s v="No"/>
    <n v="30789119"/>
    <n v="30"/>
    <x v="0"/>
  </r>
  <r>
    <n v="4278"/>
    <s v="HOMBRE"/>
    <n v="403463"/>
    <x v="0"/>
    <x v="1"/>
    <s v="SI"/>
    <s v="SI"/>
    <s v="NO"/>
    <n v="32"/>
    <n v="0.70431298791265773"/>
    <s v="No"/>
    <n v="0.3689400630783653"/>
    <s v="No"/>
    <n v="403463"/>
    <n v="32"/>
    <x v="0"/>
  </r>
  <r>
    <n v="4279"/>
    <s v="HOMBRE"/>
    <n v="1632939"/>
    <x v="0"/>
    <x v="0"/>
    <s v="SI"/>
    <s v="NO"/>
    <s v="NO"/>
    <n v="58"/>
    <n v="1.1306455940929174"/>
    <s v="No"/>
    <n v="0.34848071453626078"/>
    <s v="No"/>
    <n v="1632939"/>
    <n v="58"/>
    <x v="0"/>
  </r>
  <r>
    <n v="4280"/>
    <s v="HOMBRE"/>
    <n v="360420"/>
    <x v="3"/>
    <x v="1"/>
    <s v="SI"/>
    <s v="NO"/>
    <s v="NO"/>
    <n v="48"/>
    <n v="0.42489229332154227"/>
    <s v="No"/>
    <n v="0.36965632898294398"/>
    <s v="No"/>
    <n v="360420"/>
    <n v="48"/>
    <x v="3"/>
  </r>
  <r>
    <n v="4281"/>
    <s v="HOMBRE"/>
    <n v="42504383"/>
    <x v="0"/>
    <x v="1"/>
    <s v="SI"/>
    <s v="SI"/>
    <s v="NO"/>
    <n v="23"/>
    <n v="1.3394909586068953"/>
    <s v="No"/>
    <n v="0.3316489652745751"/>
    <s v="No"/>
    <n v="42504383"/>
    <n v="23"/>
    <x v="0"/>
  </r>
  <r>
    <n v="4282"/>
    <s v="HOMBRE"/>
    <n v="204000"/>
    <x v="0"/>
    <x v="1"/>
    <s v="SI"/>
    <s v="NO"/>
    <s v="NO"/>
    <n v="27"/>
    <n v="1.0571896382983452"/>
    <s v="No"/>
    <n v="0.37225926820172989"/>
    <s v="No"/>
    <n v="204000"/>
    <n v="27"/>
    <x v="0"/>
  </r>
  <r>
    <n v="4283"/>
    <s v="MUJER"/>
    <n v="330000"/>
    <x v="0"/>
    <x v="0"/>
    <s v="SI"/>
    <s v="NO"/>
    <s v="NO"/>
    <n v="35"/>
    <n v="0.49258699768124525"/>
    <s v="No"/>
    <n v="0.37016253925679304"/>
    <s v="No"/>
    <n v="330000"/>
    <n v="35"/>
    <x v="0"/>
  </r>
  <r>
    <n v="4284"/>
    <s v="HOMBRE"/>
    <n v="150000"/>
    <x v="0"/>
    <x v="1"/>
    <s v="SI"/>
    <s v="NO"/>
    <s v="NO"/>
    <n v="36"/>
    <n v="0.42201166760410774"/>
    <s v="No"/>
    <n v="0.37315786632098852"/>
    <s v="No"/>
    <n v="150000"/>
    <n v="36"/>
    <x v="0"/>
  </r>
  <r>
    <n v="4285"/>
    <s v="MUJER"/>
    <n v="362274"/>
    <x v="0"/>
    <x v="0"/>
    <s v="SI"/>
    <s v="NO"/>
    <s v="NO"/>
    <n v="36"/>
    <n v="0.42201166760410774"/>
    <s v="No"/>
    <n v="0.36962547711418281"/>
    <s v="No"/>
    <n v="362274"/>
    <n v="36"/>
    <x v="0"/>
  </r>
  <r>
    <n v="4286"/>
    <s v="HOMBRE"/>
    <n v="79749"/>
    <x v="0"/>
    <x v="1"/>
    <s v="SI"/>
    <s v="NO"/>
    <s v="NO"/>
    <n v="42"/>
    <n v="1.4403128587172659E-3"/>
    <s v="No"/>
    <n v="0.37432689255202628"/>
    <s v="No"/>
    <n v="79749"/>
    <n v="42"/>
    <x v="0"/>
  </r>
  <r>
    <n v="4287"/>
    <s v="MUJER"/>
    <n v="17770967"/>
    <x v="0"/>
    <x v="0"/>
    <s v="SI"/>
    <s v="NO"/>
    <s v="NO"/>
    <n v="39"/>
    <n v="0.21028567737269524"/>
    <s v="No"/>
    <n v="7.9932536585457167E-2"/>
    <s v="No"/>
    <n v="17770967"/>
    <n v="39"/>
    <x v="0"/>
  </r>
  <r>
    <n v="4288"/>
    <s v="HOMBRE"/>
    <n v="297045"/>
    <x v="2"/>
    <x v="1"/>
    <s v="SI"/>
    <s v="NO"/>
    <s v="NO"/>
    <n v="49"/>
    <n v="0.49546762339867978"/>
    <s v="No"/>
    <n v="0.37071093372012948"/>
    <s v="No"/>
    <n v="297045"/>
    <n v="49"/>
    <x v="2"/>
  </r>
  <r>
    <n v="4289"/>
    <s v="MUJER"/>
    <n v="17514233"/>
    <x v="0"/>
    <x v="0"/>
    <s v="SI"/>
    <s v="NO"/>
    <s v="NO"/>
    <n v="57"/>
    <n v="1.0600702640157798"/>
    <s v="No"/>
    <n v="8.4204771577119197E-2"/>
    <s v="No"/>
    <n v="17514233"/>
    <n v="57"/>
    <x v="0"/>
  </r>
  <r>
    <n v="4290"/>
    <s v="HOMBRE"/>
    <n v="634480"/>
    <x v="0"/>
    <x v="1"/>
    <s v="SI"/>
    <s v="NO"/>
    <s v="NO"/>
    <n v="38"/>
    <n v="0.28086100744983278"/>
    <s v="No"/>
    <n v="0.36509577712064722"/>
    <s v="No"/>
    <n v="634480"/>
    <n v="38"/>
    <x v="0"/>
  </r>
  <r>
    <n v="4291"/>
    <s v="HOMBRE"/>
    <n v="445567"/>
    <x v="3"/>
    <x v="1"/>
    <s v="SI"/>
    <s v="NO"/>
    <s v="NO"/>
    <n v="49"/>
    <n v="0.49546762339867978"/>
    <s v="No"/>
    <n v="0.36823942279663813"/>
    <s v="No"/>
    <n v="445567"/>
    <n v="49"/>
    <x v="3"/>
  </r>
  <r>
    <n v="4292"/>
    <s v="MUJER"/>
    <n v="35954428"/>
    <x v="0"/>
    <x v="1"/>
    <s v="SI"/>
    <s v="NO"/>
    <s v="SI"/>
    <n v="29"/>
    <n v="0.91603897814407031"/>
    <s v="No"/>
    <n v="0.22265309038144962"/>
    <s v="No"/>
    <n v="35954428"/>
    <n v="29"/>
    <x v="0"/>
  </r>
  <r>
    <n v="4293"/>
    <s v="HOMBRE"/>
    <n v="315617"/>
    <x v="2"/>
    <x v="1"/>
    <s v="SI"/>
    <s v="NO"/>
    <s v="NO"/>
    <n v="64"/>
    <n v="1.5540975745557424"/>
    <s v="No"/>
    <n v="0.37040188252992817"/>
    <s v="No"/>
    <n v="315617"/>
    <n v="64"/>
    <x v="2"/>
  </r>
  <r>
    <n v="4294"/>
    <s v="HOMBRE"/>
    <n v="18277743"/>
    <x v="0"/>
    <x v="1"/>
    <s v="SI"/>
    <s v="NO"/>
    <s v="NO"/>
    <n v="42"/>
    <n v="1.4403128587172659E-3"/>
    <s v="No"/>
    <n v="7.1499426206097533E-2"/>
    <s v="No"/>
    <n v="18277743"/>
    <n v="42"/>
    <x v="0"/>
  </r>
  <r>
    <n v="4295"/>
    <s v="MUJER"/>
    <n v="338686"/>
    <x v="0"/>
    <x v="1"/>
    <s v="SI"/>
    <s v="SI"/>
    <s v="NO"/>
    <n v="33"/>
    <n v="0.63373765783552027"/>
    <s v="No"/>
    <n v="0.37001799808523972"/>
    <s v="No"/>
    <n v="338686"/>
    <n v="33"/>
    <x v="0"/>
  </r>
  <r>
    <n v="4296"/>
    <s v="HOMBRE"/>
    <n v="200000"/>
    <x v="0"/>
    <x v="1"/>
    <s v="SI"/>
    <s v="SI"/>
    <s v="SI"/>
    <n v="27"/>
    <n v="1.0571896382983452"/>
    <s v="No"/>
    <n v="0.3723258310253787"/>
    <s v="No"/>
    <n v="200000"/>
    <n v="27"/>
    <x v="0"/>
  </r>
  <r>
    <n v="4297"/>
    <s v="MUJER"/>
    <n v="969577"/>
    <x v="0"/>
    <x v="0"/>
    <s v="SI"/>
    <s v="NO"/>
    <s v="SI"/>
    <n v="44"/>
    <n v="0.14259097301299228"/>
    <s v="No"/>
    <n v="0.35951952649158769"/>
    <s v="No"/>
    <n v="969577"/>
    <n v="44"/>
    <x v="0"/>
  </r>
  <r>
    <n v="4298"/>
    <s v="HOMBRE"/>
    <n v="543582"/>
    <x v="0"/>
    <x v="1"/>
    <s v="SI"/>
    <s v="NO"/>
    <s v="NO"/>
    <n v="49"/>
    <n v="0.49546762339867978"/>
    <s v="No"/>
    <n v="0.36660838400665413"/>
    <s v="No"/>
    <n v="543582"/>
    <n v="49"/>
    <x v="0"/>
  </r>
  <r>
    <n v="4299"/>
    <s v="MUJER"/>
    <n v="1478656"/>
    <x v="1"/>
    <x v="0"/>
    <s v="SI"/>
    <s v="NO"/>
    <s v="NO"/>
    <n v="64"/>
    <n v="1.5540975745557424"/>
    <s v="No"/>
    <n v="0.35104809256651226"/>
    <s v="No"/>
    <n v="1478656"/>
    <n v="64"/>
    <x v="1"/>
  </r>
  <r>
    <n v="4300"/>
    <s v="HOMBRE"/>
    <n v="278030"/>
    <x v="4"/>
    <x v="1"/>
    <s v="SI"/>
    <s v="NO"/>
    <s v="NO"/>
    <n v="50"/>
    <n v="0.56604295347581735"/>
    <s v="No"/>
    <n v="0.37102735674304993"/>
    <s v="No"/>
    <n v="278030"/>
    <n v="50"/>
    <x v="4"/>
  </r>
  <r>
    <n v="4301"/>
    <s v="HOMBRE"/>
    <n v="51246667"/>
    <x v="0"/>
    <x v="1"/>
    <s v="SI"/>
    <s v="NO"/>
    <s v="SI"/>
    <n v="35"/>
    <n v="0.49258699768124525"/>
    <s v="No"/>
    <n v="0.47712674231948188"/>
    <s v="No"/>
    <n v="51246667"/>
    <n v="35"/>
    <x v="0"/>
  </r>
  <r>
    <n v="4302"/>
    <s v="HOMBRE"/>
    <n v="310124"/>
    <x v="2"/>
    <x v="1"/>
    <s v="SI"/>
    <s v="NO"/>
    <s v="NO"/>
    <n v="55"/>
    <n v="0.91891960386150484"/>
    <s v="No"/>
    <n v="0.37049328992750385"/>
    <s v="No"/>
    <n v="310124"/>
    <n v="55"/>
    <x v="2"/>
  </r>
  <r>
    <n v="4303"/>
    <s v="HOMBRE"/>
    <n v="52543696"/>
    <x v="0"/>
    <x v="1"/>
    <s v="SI"/>
    <s v="NO"/>
    <s v="NO"/>
    <n v="33"/>
    <n v="0.63373765783552027"/>
    <s v="No"/>
    <n v="0.49871022046807306"/>
    <s v="No"/>
    <n v="52543696"/>
    <n v="33"/>
    <x v="0"/>
  </r>
  <r>
    <n v="4304"/>
    <s v="HOMBRE"/>
    <n v="406608"/>
    <x v="0"/>
    <x v="1"/>
    <s v="SI"/>
    <s v="SI"/>
    <s v="NO"/>
    <n v="52"/>
    <n v="0.70719361363009237"/>
    <s v="No"/>
    <n v="0.36888772805827141"/>
    <s v="No"/>
    <n v="406608"/>
    <n v="52"/>
    <x v="0"/>
  </r>
  <r>
    <n v="4305"/>
    <s v="HOMBRE"/>
    <n v="400000"/>
    <x v="0"/>
    <x v="1"/>
    <s v="SI"/>
    <s v="SI"/>
    <s v="NO"/>
    <n v="41"/>
    <n v="6.9135017218420233E-2"/>
    <s v="No"/>
    <n v="0.36899768984293924"/>
    <s v="No"/>
    <n v="400000"/>
    <n v="41"/>
    <x v="0"/>
  </r>
  <r>
    <n v="4306"/>
    <s v="MUJER"/>
    <n v="40039851"/>
    <x v="0"/>
    <x v="1"/>
    <s v="SI"/>
    <s v="NO"/>
    <s v="NO"/>
    <n v="26"/>
    <n v="1.1277649683754829"/>
    <s v="No"/>
    <n v="0.29063741305137597"/>
    <s v="No"/>
    <n v="40039851"/>
    <n v="26"/>
    <x v="0"/>
  </r>
  <r>
    <n v="4307"/>
    <s v="HOMBRE"/>
    <n v="89118229"/>
    <x v="0"/>
    <x v="0"/>
    <s v="SI"/>
    <s v="NO"/>
    <s v="NO"/>
    <n v="40"/>
    <n v="0.13971034729555773"/>
    <s v="No"/>
    <n v="1.1073362679970238"/>
    <s v="No"/>
    <n v="89118229"/>
    <n v="40"/>
    <x v="0"/>
  </r>
  <r>
    <n v="4308"/>
    <s v="MUJER"/>
    <n v="375988"/>
    <x v="4"/>
    <x v="1"/>
    <s v="SI"/>
    <s v="NO"/>
    <s v="NO"/>
    <n v="58"/>
    <n v="1.1306455940929174"/>
    <s v="No"/>
    <n v="0.3693972664733029"/>
    <s v="No"/>
    <n v="375988"/>
    <n v="58"/>
    <x v="4"/>
  </r>
  <r>
    <n v="4309"/>
    <s v="MUJER"/>
    <n v="1108329"/>
    <x v="0"/>
    <x v="0"/>
    <s v="SI"/>
    <s v="NO"/>
    <s v="SI"/>
    <n v="34"/>
    <n v="0.56316232775838282"/>
    <s v="No"/>
    <n v="0.35721059526485854"/>
    <s v="No"/>
    <n v="1108329"/>
    <n v="34"/>
    <x v="0"/>
  </r>
  <r>
    <n v="4310"/>
    <s v="MUJER"/>
    <n v="14745755"/>
    <x v="0"/>
    <x v="0"/>
    <s v="SI"/>
    <s v="NO"/>
    <s v="NO"/>
    <n v="46"/>
    <n v="0.2837416331672673"/>
    <s v="No"/>
    <n v="0.13027419979950702"/>
    <s v="No"/>
    <n v="14745755"/>
    <n v="46"/>
    <x v="0"/>
  </r>
  <r>
    <n v="4311"/>
    <s v="MUJER"/>
    <n v="36371195"/>
    <x v="0"/>
    <x v="1"/>
    <s v="SI"/>
    <s v="NO"/>
    <s v="NO"/>
    <n v="30"/>
    <n v="0.84546364806693275"/>
    <s v="No"/>
    <n v="0.2295883874623583"/>
    <s v="No"/>
    <n v="36371195"/>
    <n v="30"/>
    <x v="0"/>
  </r>
  <r>
    <n v="4312"/>
    <s v="MUJER"/>
    <n v="490637"/>
    <x v="1"/>
    <x v="0"/>
    <s v="SI"/>
    <s v="NO"/>
    <s v="NO"/>
    <n v="71"/>
    <n v="2.0481248850957048"/>
    <s v="Sí"/>
    <n v="0.36748942618117542"/>
    <s v="No"/>
    <n v="490637"/>
    <n v="71"/>
    <x v="1"/>
  </r>
  <r>
    <n v="4313"/>
    <s v="MUJER"/>
    <n v="279111"/>
    <x v="3"/>
    <x v="1"/>
    <s v="SI"/>
    <s v="NO"/>
    <s v="NO"/>
    <n v="26"/>
    <n v="1.1277649683754829"/>
    <s v="No"/>
    <n v="0.37100936813995883"/>
    <s v="No"/>
    <n v="279111"/>
    <n v="26"/>
    <x v="3"/>
  </r>
  <r>
    <n v="4314"/>
    <s v="MUJER"/>
    <n v="297050"/>
    <x v="2"/>
    <x v="1"/>
    <s v="SI"/>
    <s v="NO"/>
    <s v="NO"/>
    <n v="43"/>
    <n v="7.2015642935854773E-2"/>
    <s v="No"/>
    <n v="0.37071085051659991"/>
    <s v="No"/>
    <n v="297050"/>
    <n v="43"/>
    <x v="2"/>
  </r>
  <r>
    <n v="4315"/>
    <s v="HOMBRE"/>
    <n v="300018"/>
    <x v="3"/>
    <x v="1"/>
    <s v="SI"/>
    <s v="SI"/>
    <s v="SI"/>
    <n v="32"/>
    <n v="0.70431298791265773"/>
    <s v="No"/>
    <n v="0.37066146090145252"/>
    <s v="No"/>
    <n v="300018"/>
    <n v="32"/>
    <x v="3"/>
  </r>
  <r>
    <n v="4316"/>
    <s v="MUJER"/>
    <n v="297046"/>
    <x v="3"/>
    <x v="1"/>
    <s v="SI"/>
    <s v="SI"/>
    <s v="SI"/>
    <n v="45"/>
    <n v="0.21316630309012977"/>
    <s v="No"/>
    <n v="0.37071091707942361"/>
    <s v="No"/>
    <n v="297046"/>
    <n v="45"/>
    <x v="3"/>
  </r>
  <r>
    <n v="4317"/>
    <s v="MUJER"/>
    <n v="672276"/>
    <x v="0"/>
    <x v="1"/>
    <s v="SI"/>
    <s v="NO"/>
    <s v="NO"/>
    <n v="25"/>
    <n v="1.1983402984526204"/>
    <s v="No"/>
    <n v="0.36446682499998984"/>
    <s v="No"/>
    <n v="672276"/>
    <n v="25"/>
    <x v="0"/>
  </r>
  <r>
    <n v="4318"/>
    <s v="HOMBRE"/>
    <n v="34973717"/>
    <x v="0"/>
    <x v="1"/>
    <s v="SI"/>
    <s v="NO"/>
    <s v="SI"/>
    <n v="26"/>
    <n v="1.1277649683754829"/>
    <s v="No"/>
    <n v="0.20633336704559282"/>
    <s v="No"/>
    <n v="34973717"/>
    <n v="26"/>
    <x v="0"/>
  </r>
  <r>
    <n v="4319"/>
    <s v="MUJER"/>
    <n v="1584055"/>
    <x v="0"/>
    <x v="0"/>
    <s v="SI"/>
    <s v="NO"/>
    <s v="NO"/>
    <n v="39"/>
    <n v="0.21028567737269524"/>
    <s v="No"/>
    <n v="0.3492941788040726"/>
    <s v="No"/>
    <n v="1584055"/>
    <n v="39"/>
    <x v="0"/>
  </r>
  <r>
    <n v="4320"/>
    <s v="MUJER"/>
    <n v="323296"/>
    <x v="2"/>
    <x v="1"/>
    <s v="SI"/>
    <s v="NO"/>
    <s v="NO"/>
    <n v="62"/>
    <n v="1.4129469144014672"/>
    <s v="No"/>
    <n v="0.37027409854922838"/>
    <s v="No"/>
    <n v="323296"/>
    <n v="62"/>
    <x v="2"/>
  </r>
  <r>
    <n v="4321"/>
    <s v="MUJER"/>
    <n v="150000"/>
    <x v="0"/>
    <x v="1"/>
    <s v="SI"/>
    <s v="SI"/>
    <s v="NO"/>
    <n v="62"/>
    <n v="1.4129469144014672"/>
    <s v="No"/>
    <n v="0.37315786632098852"/>
    <s v="No"/>
    <n v="150000"/>
    <n v="62"/>
    <x v="0"/>
  </r>
  <r>
    <n v="4322"/>
    <s v="MUJER"/>
    <n v="1155329"/>
    <x v="1"/>
    <x v="0"/>
    <s v="SI"/>
    <s v="NO"/>
    <s v="NO"/>
    <n v="68"/>
    <n v="1.8363988948642924"/>
    <s v="No"/>
    <n v="0.35642848208698524"/>
    <s v="No"/>
    <n v="1155329"/>
    <n v="68"/>
    <x v="1"/>
  </r>
  <r>
    <n v="4323"/>
    <s v="HOMBRE"/>
    <n v="3391649"/>
    <x v="0"/>
    <x v="1"/>
    <s v="SI"/>
    <s v="NO"/>
    <s v="NO"/>
    <n v="49"/>
    <n v="0.49546762339867978"/>
    <s v="No"/>
    <n v="0.31921453864142046"/>
    <s v="No"/>
    <n v="3391649"/>
    <n v="49"/>
    <x v="0"/>
  </r>
  <r>
    <n v="4324"/>
    <s v="HOMBRE"/>
    <n v="690000"/>
    <x v="0"/>
    <x v="1"/>
    <s v="SI"/>
    <s v="NO"/>
    <s v="NO"/>
    <n v="24"/>
    <n v="1.2689156285297578"/>
    <s v="No"/>
    <n v="0.36417188512840204"/>
    <s v="No"/>
    <n v="690000"/>
    <n v="24"/>
    <x v="0"/>
  </r>
  <r>
    <n v="4325"/>
    <s v="MUJER"/>
    <n v="5066179"/>
    <x v="0"/>
    <x v="0"/>
    <s v="SI"/>
    <s v="NO"/>
    <s v="NO"/>
    <n v="41"/>
    <n v="6.9135017218420233E-2"/>
    <s v="No"/>
    <n v="0.29134917737026894"/>
    <s v="No"/>
    <n v="5066179"/>
    <n v="41"/>
    <x v="0"/>
  </r>
  <r>
    <n v="4326"/>
    <s v="MUJER"/>
    <n v="443270"/>
    <x v="0"/>
    <x v="1"/>
    <s v="SI"/>
    <s v="NO"/>
    <s v="NO"/>
    <n v="43"/>
    <n v="7.2015642935854773E-2"/>
    <s v="No"/>
    <n v="0.36827764649811845"/>
    <s v="No"/>
    <n v="443270"/>
    <n v="43"/>
    <x v="0"/>
  </r>
  <r>
    <n v="4327"/>
    <s v="HOMBRE"/>
    <n v="963090"/>
    <x v="0"/>
    <x v="0"/>
    <s v="SI"/>
    <s v="NO"/>
    <s v="NO"/>
    <n v="50"/>
    <n v="0.56604295347581735"/>
    <s v="No"/>
    <n v="0.35962747475084011"/>
    <s v="No"/>
    <n v="963090"/>
    <n v="50"/>
    <x v="0"/>
  </r>
  <r>
    <n v="4328"/>
    <s v="MUJER"/>
    <n v="512500"/>
    <x v="0"/>
    <x v="1"/>
    <s v="SI"/>
    <s v="NO"/>
    <s v="NO"/>
    <n v="25"/>
    <n v="1.1983402984526204"/>
    <s v="No"/>
    <n v="0.36712561042781705"/>
    <s v="No"/>
    <n v="512500"/>
    <n v="25"/>
    <x v="0"/>
  </r>
  <r>
    <n v="4329"/>
    <s v="HOMBRE"/>
    <n v="2100000"/>
    <x v="0"/>
    <x v="1"/>
    <s v="SI"/>
    <s v="NO"/>
    <s v="NO"/>
    <n v="32"/>
    <n v="0.70431298791265773"/>
    <s v="No"/>
    <n v="0.34070848979220403"/>
    <s v="No"/>
    <n v="2100000"/>
    <n v="32"/>
    <x v="0"/>
  </r>
  <r>
    <n v="4330"/>
    <s v="HOMBRE"/>
    <n v="452438"/>
    <x v="3"/>
    <x v="1"/>
    <s v="SI"/>
    <s v="NO"/>
    <s v="NO"/>
    <n v="63"/>
    <n v="1.4835222444786049"/>
    <s v="No"/>
    <n v="0.36812508450631543"/>
    <s v="No"/>
    <n v="452438"/>
    <n v="63"/>
    <x v="3"/>
  </r>
  <r>
    <n v="4331"/>
    <s v="HOMBRE"/>
    <n v="21900927"/>
    <x v="0"/>
    <x v="0"/>
    <s v="SI"/>
    <s v="NO"/>
    <s v="NO"/>
    <n v="42"/>
    <n v="1.4403128587172659E-3"/>
    <s v="No"/>
    <n v="1.1207086796319319E-2"/>
    <s v="No"/>
    <n v="21900927"/>
    <n v="42"/>
    <x v="0"/>
  </r>
  <r>
    <n v="4332"/>
    <s v="HOMBRE"/>
    <n v="77253323"/>
    <x v="0"/>
    <x v="1"/>
    <s v="SI"/>
    <s v="NO"/>
    <s v="NO"/>
    <n v="48"/>
    <n v="0.42489229332154227"/>
    <s v="No"/>
    <n v="0.90989585657516003"/>
    <s v="No"/>
    <n v="77253323"/>
    <n v="48"/>
    <x v="0"/>
  </r>
  <r>
    <n v="4333"/>
    <s v="HOMBRE"/>
    <n v="378261"/>
    <x v="1"/>
    <x v="0"/>
    <s v="SI"/>
    <s v="NO"/>
    <s v="NO"/>
    <n v="21"/>
    <n v="1.4806416187611704"/>
    <s v="No"/>
    <n v="0.36935944214876448"/>
    <s v="No"/>
    <n v="378261"/>
    <n v="21"/>
    <x v="1"/>
  </r>
  <r>
    <n v="4334"/>
    <s v="MUJER"/>
    <n v="943761846"/>
    <x v="0"/>
    <x v="1"/>
    <s v="SI"/>
    <s v="NO"/>
    <s v="NO"/>
    <n v="37"/>
    <n v="0.35143633752697023"/>
    <s v="No"/>
    <n v="15.329209358230505"/>
    <s v="Sí"/>
    <n v="943761846"/>
    <n v="37"/>
    <x v="0"/>
  </r>
  <r>
    <n v="4335"/>
    <s v="HOMBRE"/>
    <n v="20822083"/>
    <x v="0"/>
    <x v="1"/>
    <s v="SI"/>
    <s v="SI"/>
    <s v="NO"/>
    <n v="54"/>
    <n v="0.84834427378436728"/>
    <s v="No"/>
    <n v="2.9159812525457771E-2"/>
    <s v="No"/>
    <n v="20822083"/>
    <n v="54"/>
    <x v="0"/>
  </r>
  <r>
    <n v="4336"/>
    <s v="MUJER"/>
    <n v="42327621"/>
    <x v="0"/>
    <x v="1"/>
    <s v="SI"/>
    <s v="NO"/>
    <s v="NO"/>
    <n v="18"/>
    <n v="1.6923676089925828"/>
    <s v="No"/>
    <n v="0.32870752081612331"/>
    <s v="No"/>
    <n v="42327621"/>
    <n v="18"/>
    <x v="0"/>
  </r>
  <r>
    <n v="4337"/>
    <s v="MUJER"/>
    <n v="179230"/>
    <x v="0"/>
    <x v="1"/>
    <s v="SI"/>
    <s v="NO"/>
    <s v="NO"/>
    <n v="43"/>
    <n v="7.2015642935854773E-2"/>
    <s v="No"/>
    <n v="0.37267145848717498"/>
    <s v="No"/>
    <n v="179230"/>
    <n v="43"/>
    <x v="0"/>
  </r>
  <r>
    <n v="4338"/>
    <s v="MUJER"/>
    <n v="356455"/>
    <x v="3"/>
    <x v="1"/>
    <s v="SI"/>
    <s v="NO"/>
    <s v="SI"/>
    <n v="47"/>
    <n v="0.35431696324440481"/>
    <s v="No"/>
    <n v="0.36972230938188588"/>
    <s v="No"/>
    <n v="356455"/>
    <n v="47"/>
    <x v="3"/>
  </r>
  <r>
    <n v="4339"/>
    <s v="MUJER"/>
    <n v="72926025"/>
    <x v="0"/>
    <x v="1"/>
    <s v="SI"/>
    <s v="NO"/>
    <s v="NO"/>
    <n v="28"/>
    <n v="0.98661430822120777"/>
    <s v="No"/>
    <n v="0.83788656316272103"/>
    <s v="No"/>
    <n v="72926025"/>
    <n v="28"/>
    <x v="0"/>
  </r>
  <r>
    <n v="4340"/>
    <s v="HOMBRE"/>
    <n v="514804"/>
    <x v="3"/>
    <x v="1"/>
    <s v="SI"/>
    <s v="SI"/>
    <s v="SI"/>
    <n v="34"/>
    <n v="0.56316232775838282"/>
    <s v="No"/>
    <n v="0.36708727024139537"/>
    <s v="No"/>
    <n v="514804"/>
    <n v="34"/>
    <x v="3"/>
  </r>
  <r>
    <n v="4341"/>
    <s v="HOMBRE"/>
    <n v="460000"/>
    <x v="0"/>
    <x v="1"/>
    <s v="SI"/>
    <s v="NO"/>
    <s v="SI"/>
    <n v="25"/>
    <n v="1.1983402984526204"/>
    <s v="No"/>
    <n v="0.36799924748820739"/>
    <s v="No"/>
    <n v="460000"/>
    <n v="25"/>
    <x v="0"/>
  </r>
  <r>
    <n v="4342"/>
    <s v="HOMBRE"/>
    <n v="2012772"/>
    <x v="0"/>
    <x v="0"/>
    <s v="SI"/>
    <s v="NO"/>
    <s v="NO"/>
    <n v="43"/>
    <n v="7.2015642935854773E-2"/>
    <s v="No"/>
    <n v="0.34216002528751316"/>
    <s v="No"/>
    <n v="2012772"/>
    <n v="43"/>
    <x v="0"/>
  </r>
  <r>
    <n v="4343"/>
    <s v="MUJER"/>
    <n v="504535"/>
    <x v="0"/>
    <x v="1"/>
    <s v="SI"/>
    <s v="NO"/>
    <s v="NO"/>
    <n v="59"/>
    <n v="1.2012209241700549"/>
    <s v="No"/>
    <n v="0.3672581536504077"/>
    <s v="No"/>
    <n v="504535"/>
    <n v="59"/>
    <x v="0"/>
  </r>
  <r>
    <n v="4344"/>
    <s v="MUJER"/>
    <n v="90008868"/>
    <x v="0"/>
    <x v="0"/>
    <s v="SI"/>
    <s v="NO"/>
    <s v="NO"/>
    <n v="62"/>
    <n v="1.4129469144014672"/>
    <s v="No"/>
    <n v="1.1221571296699571"/>
    <s v="No"/>
    <n v="90008868"/>
    <n v="62"/>
    <x v="0"/>
  </r>
  <r>
    <n v="4345"/>
    <s v="HOMBRE"/>
    <n v="430000"/>
    <x v="0"/>
    <x v="1"/>
    <s v="SI"/>
    <s v="NO"/>
    <s v="NO"/>
    <n v="21"/>
    <n v="1.4806416187611704"/>
    <s v="No"/>
    <n v="0.36849846866557334"/>
    <s v="No"/>
    <n v="430000"/>
    <n v="21"/>
    <x v="0"/>
  </r>
  <r>
    <n v="4346"/>
    <s v="MUJER"/>
    <n v="31441667"/>
    <x v="0"/>
    <x v="1"/>
    <s v="SI"/>
    <s v="NO"/>
    <s v="NO"/>
    <n v="21"/>
    <n v="1.4806416187611704"/>
    <s v="No"/>
    <n v="0.14755756172841678"/>
    <s v="No"/>
    <n v="31441667"/>
    <n v="21"/>
    <x v="0"/>
  </r>
  <r>
    <n v="4347"/>
    <s v="HOMBRE"/>
    <n v="30570598"/>
    <x v="0"/>
    <x v="0"/>
    <s v="SI"/>
    <s v="NO"/>
    <s v="NO"/>
    <n v="46"/>
    <n v="0.2837416331672673"/>
    <s v="No"/>
    <n v="0.13306235867018509"/>
    <s v="No"/>
    <n v="30570598"/>
    <n v="46"/>
    <x v="0"/>
  </r>
  <r>
    <n v="4348"/>
    <s v="HOMBRE"/>
    <n v="364892"/>
    <x v="0"/>
    <x v="0"/>
    <s v="SI"/>
    <s v="NO"/>
    <s v="NO"/>
    <n v="55"/>
    <n v="0.91891960386150484"/>
    <s v="No"/>
    <n v="0.36958191174610466"/>
    <s v="No"/>
    <n v="364892"/>
    <n v="55"/>
    <x v="0"/>
  </r>
  <r>
    <n v="4349"/>
    <s v="HOMBRE"/>
    <n v="138475"/>
    <x v="0"/>
    <x v="1"/>
    <s v="SI"/>
    <s v="SI"/>
    <s v="NO"/>
    <n v="21"/>
    <n v="1.4806416187611704"/>
    <s v="No"/>
    <n v="0.3733496504566266"/>
    <s v="No"/>
    <n v="138475"/>
    <n v="21"/>
    <x v="0"/>
  </r>
  <r>
    <n v="4350"/>
    <s v="HOMBRE"/>
    <n v="687800"/>
    <x v="0"/>
    <x v="1"/>
    <s v="SI"/>
    <s v="NO"/>
    <s v="NO"/>
    <n v="57"/>
    <n v="1.0600702640157798"/>
    <s v="No"/>
    <n v="0.36420849468140887"/>
    <s v="No"/>
    <n v="687800"/>
    <n v="57"/>
    <x v="0"/>
  </r>
  <r>
    <n v="4351"/>
    <s v="HOMBRE"/>
    <n v="728392"/>
    <x v="0"/>
    <x v="1"/>
    <s v="SI"/>
    <s v="NO"/>
    <s v="NO"/>
    <n v="53"/>
    <n v="0.77776894370722982"/>
    <s v="No"/>
    <n v="0.36353301514702097"/>
    <s v="No"/>
    <n v="728392"/>
    <n v="53"/>
    <x v="0"/>
  </r>
  <r>
    <n v="4352"/>
    <s v="MUJER"/>
    <n v="29222226"/>
    <x v="0"/>
    <x v="0"/>
    <s v="SI"/>
    <s v="NO"/>
    <s v="NO"/>
    <n v="57"/>
    <n v="1.0600702640157798"/>
    <s v="No"/>
    <n v="0.11062449675794396"/>
    <s v="No"/>
    <n v="29222226"/>
    <n v="57"/>
    <x v="0"/>
  </r>
  <r>
    <n v="4353"/>
    <s v="HOMBRE"/>
    <n v="451422"/>
    <x v="0"/>
    <x v="1"/>
    <s v="SI"/>
    <s v="NO"/>
    <s v="NO"/>
    <n v="48"/>
    <n v="0.42489229332154227"/>
    <s v="No"/>
    <n v="0.36814199146352222"/>
    <s v="No"/>
    <n v="451422"/>
    <n v="48"/>
    <x v="0"/>
  </r>
  <r>
    <n v="4354"/>
    <s v="MUJER"/>
    <n v="381331"/>
    <x v="0"/>
    <x v="1"/>
    <s v="SI"/>
    <s v="SI"/>
    <s v="NO"/>
    <n v="33"/>
    <n v="0.63373765783552027"/>
    <s v="No"/>
    <n v="0.36930835518161403"/>
    <s v="No"/>
    <n v="381331"/>
    <n v="33"/>
    <x v="0"/>
  </r>
  <r>
    <n v="4355"/>
    <s v="MUJER"/>
    <n v="369600"/>
    <x v="0"/>
    <x v="1"/>
    <s v="SI"/>
    <s v="NO"/>
    <s v="NO"/>
    <n v="32"/>
    <n v="0.70431298791265773"/>
    <s v="No"/>
    <n v="0.36950356730267003"/>
    <s v="No"/>
    <n v="369600"/>
    <n v="32"/>
    <x v="0"/>
  </r>
  <r>
    <n v="4356"/>
    <s v="MUJER"/>
    <n v="587278"/>
    <x v="1"/>
    <x v="0"/>
    <s v="SI"/>
    <s v="NO"/>
    <s v="NO"/>
    <n v="68"/>
    <n v="1.8363988948642924"/>
    <s v="No"/>
    <n v="0.3658812517211148"/>
    <s v="No"/>
    <n v="587278"/>
    <n v="68"/>
    <x v="1"/>
  </r>
  <r>
    <n v="4357"/>
    <s v="HOMBRE"/>
    <n v="585255"/>
    <x v="0"/>
    <x v="1"/>
    <s v="SI"/>
    <s v="NO"/>
    <s v="NO"/>
    <n v="27"/>
    <n v="1.0571896382983452"/>
    <s v="No"/>
    <n v="0.36591491586917513"/>
    <s v="No"/>
    <n v="585255"/>
    <n v="27"/>
    <x v="0"/>
  </r>
  <r>
    <n v="4358"/>
    <s v="HOMBRE"/>
    <n v="301948"/>
    <x v="4"/>
    <x v="1"/>
    <s v="SI"/>
    <s v="NO"/>
    <s v="NO"/>
    <n v="63"/>
    <n v="1.4835222444786049"/>
    <s v="No"/>
    <n v="0.37062934433904199"/>
    <s v="No"/>
    <n v="301948"/>
    <n v="63"/>
    <x v="4"/>
  </r>
  <r>
    <n v="4359"/>
    <s v="HOMBRE"/>
    <n v="1100000"/>
    <x v="0"/>
    <x v="1"/>
    <s v="SI"/>
    <s v="NO"/>
    <s v="NO"/>
    <n v="34"/>
    <n v="0.56316232775838282"/>
    <s v="No"/>
    <n v="0.35734919570440121"/>
    <s v="No"/>
    <n v="1100000"/>
    <n v="34"/>
    <x v="0"/>
  </r>
  <r>
    <n v="4360"/>
    <s v="MUJER"/>
    <n v="297046"/>
    <x v="2"/>
    <x v="1"/>
    <s v="SI"/>
    <s v="NO"/>
    <s v="SI"/>
    <n v="24"/>
    <n v="1.2689156285297578"/>
    <s v="No"/>
    <n v="0.37071091707942361"/>
    <s v="No"/>
    <n v="297046"/>
    <n v="24"/>
    <x v="2"/>
  </r>
  <r>
    <n v="4361"/>
    <s v="MUJER"/>
    <n v="380000"/>
    <x v="0"/>
    <x v="1"/>
    <s v="SI"/>
    <s v="NO"/>
    <s v="SI"/>
    <n v="44"/>
    <n v="0.14259097301299228"/>
    <s v="No"/>
    <n v="0.36933050396118317"/>
    <s v="No"/>
    <n v="380000"/>
    <n v="44"/>
    <x v="0"/>
  </r>
  <r>
    <n v="4362"/>
    <s v="HOMBRE"/>
    <n v="297046"/>
    <x v="3"/>
    <x v="1"/>
    <s v="SI"/>
    <s v="NO"/>
    <s v="SI"/>
    <n v="25"/>
    <n v="1.1983402984526204"/>
    <s v="No"/>
    <n v="0.37071091707942361"/>
    <s v="No"/>
    <n v="297046"/>
    <n v="25"/>
    <x v="3"/>
  </r>
  <r>
    <n v="4363"/>
    <s v="MUJER"/>
    <n v="1277622"/>
    <x v="0"/>
    <x v="0"/>
    <s v="SI"/>
    <s v="NO"/>
    <s v="SI"/>
    <n v="48"/>
    <n v="0.42489229332154227"/>
    <s v="No"/>
    <n v="0.35439344023886493"/>
    <s v="No"/>
    <n v="1277622"/>
    <n v="48"/>
    <x v="0"/>
  </r>
  <r>
    <n v="4364"/>
    <s v="HOMBRE"/>
    <n v="450000"/>
    <x v="0"/>
    <x v="1"/>
    <s v="SI"/>
    <s v="NO"/>
    <s v="SI"/>
    <n v="28"/>
    <n v="0.98661430822120777"/>
    <s v="No"/>
    <n v="0.36816565454732936"/>
    <s v="No"/>
    <n v="450000"/>
    <n v="28"/>
    <x v="0"/>
  </r>
  <r>
    <n v="4365"/>
    <s v="HOMBRE"/>
    <n v="300018"/>
    <x v="2"/>
    <x v="1"/>
    <s v="SI"/>
    <s v="NO"/>
    <s v="SI"/>
    <n v="90"/>
    <n v="3.3890561565613173"/>
    <s v="Sí"/>
    <n v="0.37066146090145252"/>
    <s v="No"/>
    <n v="300018"/>
    <n v="90"/>
    <x v="2"/>
  </r>
  <r>
    <n v="4366"/>
    <s v="HOMBRE"/>
    <n v="969375"/>
    <x v="0"/>
    <x v="1"/>
    <s v="SI"/>
    <s v="SI"/>
    <s v="NO"/>
    <n v="53"/>
    <n v="0.77776894370722982"/>
    <s v="No"/>
    <n v="0.35952288791418197"/>
    <s v="No"/>
    <n v="969375"/>
    <n v="53"/>
    <x v="0"/>
  </r>
  <r>
    <n v="4367"/>
    <s v="MUJER"/>
    <n v="1464318"/>
    <x v="0"/>
    <x v="0"/>
    <s v="SI"/>
    <s v="NO"/>
    <s v="NO"/>
    <n v="55"/>
    <n v="0.91891960386150484"/>
    <s v="No"/>
    <n v="0.35128668700788135"/>
    <s v="No"/>
    <n v="1464318"/>
    <n v="55"/>
    <x v="0"/>
  </r>
  <r>
    <n v="4368"/>
    <s v="HOMBRE"/>
    <n v="12733561"/>
    <x v="1"/>
    <x v="0"/>
    <s v="SI"/>
    <s v="NO"/>
    <s v="NO"/>
    <n v="70"/>
    <n v="1.9775495550185673"/>
    <s v="Sí"/>
    <n v="0.16375852839179469"/>
    <s v="No"/>
    <n v="12733561"/>
    <n v="70"/>
    <x v="1"/>
  </r>
  <r>
    <n v="4369"/>
    <s v="MUJER"/>
    <n v="35589918"/>
    <x v="1"/>
    <x v="0"/>
    <s v="SI"/>
    <s v="NO"/>
    <s v="NO"/>
    <n v="17"/>
    <n v="1.7629429390697204"/>
    <s v="No"/>
    <n v="0.21658738666939462"/>
    <s v="No"/>
    <n v="35589918"/>
    <n v="17"/>
    <x v="1"/>
  </r>
  <r>
    <n v="4370"/>
    <s v="HOMBRE"/>
    <n v="76029364"/>
    <x v="0"/>
    <x v="1"/>
    <s v="SI"/>
    <s v="SI"/>
    <s v="NO"/>
    <n v="57"/>
    <n v="1.0600702640157798"/>
    <s v="No"/>
    <n v="0.88952831480757311"/>
    <s v="No"/>
    <n v="76029364"/>
    <n v="57"/>
    <x v="0"/>
  </r>
  <r>
    <n v="4371"/>
    <s v="MUJER"/>
    <n v="902500"/>
    <x v="0"/>
    <x v="1"/>
    <s v="SI"/>
    <s v="NO"/>
    <s v="NO"/>
    <n v="27"/>
    <n v="1.0571896382983452"/>
    <s v="No"/>
    <n v="0.36063573512206015"/>
    <s v="No"/>
    <n v="902500"/>
    <n v="27"/>
    <x v="0"/>
  </r>
  <r>
    <n v="4372"/>
    <s v="MUJER"/>
    <n v="346500"/>
    <x v="0"/>
    <x v="1"/>
    <s v="SI"/>
    <s v="NO"/>
    <s v="NO"/>
    <n v="45"/>
    <n v="0.21316630309012977"/>
    <s v="No"/>
    <n v="0.36988796760924181"/>
    <s v="No"/>
    <n v="346500"/>
    <n v="45"/>
    <x v="0"/>
  </r>
  <r>
    <n v="4373"/>
    <s v="HOMBRE"/>
    <n v="343000"/>
    <x v="0"/>
    <x v="1"/>
    <s v="SI"/>
    <s v="NO"/>
    <s v="NO"/>
    <n v="51"/>
    <n v="0.6366182835529548"/>
    <s v="No"/>
    <n v="0.3699462100799345"/>
    <s v="No"/>
    <n v="343000"/>
    <n v="51"/>
    <x v="0"/>
  </r>
  <r>
    <n v="4374"/>
    <s v="HOMBRE"/>
    <n v="297502"/>
    <x v="3"/>
    <x v="1"/>
    <s v="SI"/>
    <s v="NO"/>
    <s v="NO"/>
    <n v="63"/>
    <n v="1.4835222444786049"/>
    <s v="No"/>
    <n v="0.37070332891752761"/>
    <s v="No"/>
    <n v="297502"/>
    <n v="63"/>
    <x v="3"/>
  </r>
  <r>
    <n v="4375"/>
    <s v="MUJER"/>
    <n v="315617"/>
    <x v="2"/>
    <x v="1"/>
    <s v="SI"/>
    <s v="SI"/>
    <s v="NO"/>
    <n v="60"/>
    <n v="1.2717962542471923"/>
    <s v="No"/>
    <n v="0.37040188252992817"/>
    <s v="No"/>
    <n v="315617"/>
    <n v="60"/>
    <x v="2"/>
  </r>
  <r>
    <n v="4376"/>
    <s v="HOMBRE"/>
    <n v="100000"/>
    <x v="0"/>
    <x v="1"/>
    <s v="SI"/>
    <s v="NO"/>
    <s v="SI"/>
    <n v="37"/>
    <n v="0.35143633752697023"/>
    <s v="No"/>
    <n v="0.3739899016165984"/>
    <s v="No"/>
    <n v="100000"/>
    <n v="37"/>
    <x v="0"/>
  </r>
  <r>
    <n v="4377"/>
    <s v="HOMBRE"/>
    <n v="100000"/>
    <x v="0"/>
    <x v="1"/>
    <s v="SI"/>
    <s v="SI"/>
    <s v="SI"/>
    <n v="36"/>
    <n v="0.42201166760410774"/>
    <s v="No"/>
    <n v="0.3739899016165984"/>
    <s v="No"/>
    <n v="100000"/>
    <n v="36"/>
    <x v="0"/>
  </r>
  <r>
    <n v="4378"/>
    <s v="MUJER"/>
    <n v="29253304"/>
    <x v="0"/>
    <x v="0"/>
    <s v="SI"/>
    <s v="NO"/>
    <s v="NO"/>
    <n v="25"/>
    <n v="1.1983402984526204"/>
    <s v="No"/>
    <n v="0.11114165661628322"/>
    <s v="No"/>
    <n v="29253304"/>
    <n v="25"/>
    <x v="0"/>
  </r>
  <r>
    <n v="4379"/>
    <s v="MUJER"/>
    <n v="297046"/>
    <x v="2"/>
    <x v="1"/>
    <s v="SI"/>
    <s v="NO"/>
    <s v="NO"/>
    <n v="55"/>
    <n v="0.91891960386150484"/>
    <s v="No"/>
    <n v="0.37071091707942361"/>
    <s v="No"/>
    <n v="297046"/>
    <n v="55"/>
    <x v="2"/>
  </r>
  <r>
    <n v="4380"/>
    <s v="HOMBRE"/>
    <n v="382136"/>
    <x v="3"/>
    <x v="1"/>
    <s v="SI"/>
    <s v="NO"/>
    <s v="SI"/>
    <n v="63"/>
    <n v="1.4835222444786049"/>
    <s v="No"/>
    <n v="0.36929495941335472"/>
    <s v="No"/>
    <n v="382136"/>
    <n v="63"/>
    <x v="3"/>
  </r>
  <r>
    <n v="4381"/>
    <s v="HOMBRE"/>
    <n v="4885739"/>
    <x v="0"/>
    <x v="1"/>
    <s v="SI"/>
    <s v="NO"/>
    <s v="NO"/>
    <n v="41"/>
    <n v="6.9135017218420233E-2"/>
    <s v="No"/>
    <n v="0.29435182634506579"/>
    <s v="No"/>
    <n v="4885739"/>
    <n v="41"/>
    <x v="0"/>
  </r>
  <r>
    <n v="4382"/>
    <s v="MUJER"/>
    <n v="550000"/>
    <x v="0"/>
    <x v="1"/>
    <s v="SI"/>
    <s v="NO"/>
    <s v="NO"/>
    <n v="27"/>
    <n v="1.0571896382983452"/>
    <s v="No"/>
    <n v="0.36650158395610966"/>
    <s v="No"/>
    <n v="550000"/>
    <n v="27"/>
    <x v="0"/>
  </r>
  <r>
    <n v="4383"/>
    <s v="MUJER"/>
    <n v="1843614"/>
    <x v="0"/>
    <x v="0"/>
    <s v="SI"/>
    <s v="NO"/>
    <s v="NO"/>
    <n v="59"/>
    <n v="1.2012209241700549"/>
    <s v="No"/>
    <n v="0.3449749338182086"/>
    <s v="No"/>
    <n v="1843614"/>
    <n v="59"/>
    <x v="0"/>
  </r>
  <r>
    <n v="4384"/>
    <s v="HOMBRE"/>
    <n v="547158"/>
    <x v="0"/>
    <x v="0"/>
    <s v="SI"/>
    <s v="NO"/>
    <s v="SI"/>
    <n v="22"/>
    <n v="1.4100662886840327"/>
    <s v="No"/>
    <n v="0.36654887684231213"/>
    <s v="No"/>
    <n v="547158"/>
    <n v="22"/>
    <x v="0"/>
  </r>
  <r>
    <n v="4385"/>
    <s v="MUJER"/>
    <n v="1482847"/>
    <x v="0"/>
    <x v="0"/>
    <s v="SI"/>
    <s v="NO"/>
    <s v="SI"/>
    <n v="29"/>
    <n v="0.91603897814407031"/>
    <s v="No"/>
    <n v="0.35097835136803424"/>
    <s v="No"/>
    <n v="1482847"/>
    <n v="29"/>
    <x v="0"/>
  </r>
  <r>
    <n v="4386"/>
    <s v="MUJER"/>
    <n v="92750314"/>
    <x v="0"/>
    <x v="1"/>
    <s v="SI"/>
    <s v="NO"/>
    <s v="NO"/>
    <n v="50"/>
    <n v="0.56604295347581735"/>
    <s v="No"/>
    <n v="1.1677767263301264"/>
    <s v="No"/>
    <n v="92750314"/>
    <n v="50"/>
    <x v="0"/>
  </r>
  <r>
    <n v="4387"/>
    <s v="HOMBRE"/>
    <n v="299647"/>
    <x v="3"/>
    <x v="1"/>
    <s v="SI"/>
    <s v="NO"/>
    <s v="SI"/>
    <n v="36"/>
    <n v="0.42201166760410774"/>
    <s v="No"/>
    <n v="0.37066763460334595"/>
    <s v="No"/>
    <n v="299647"/>
    <n v="36"/>
    <x v="3"/>
  </r>
  <r>
    <n v="4388"/>
    <s v="HOMBRE"/>
    <n v="967077"/>
    <x v="0"/>
    <x v="0"/>
    <s v="SI"/>
    <s v="NO"/>
    <s v="NO"/>
    <n v="53"/>
    <n v="0.77776894370722982"/>
    <s v="No"/>
    <n v="0.35956112825636821"/>
    <s v="No"/>
    <n v="967077"/>
    <n v="53"/>
    <x v="0"/>
  </r>
  <r>
    <n v="4389"/>
    <s v="HOMBRE"/>
    <n v="326749"/>
    <x v="3"/>
    <x v="1"/>
    <s v="SI"/>
    <s v="NO"/>
    <s v="SI"/>
    <n v="54"/>
    <n v="0.84834427378436728"/>
    <s v="No"/>
    <n v="0.37021663819171358"/>
    <s v="No"/>
    <n v="326749"/>
    <n v="54"/>
    <x v="3"/>
  </r>
  <r>
    <n v="4390"/>
    <s v="HOMBRE"/>
    <n v="512287199"/>
    <x v="0"/>
    <x v="0"/>
    <s v="SI"/>
    <s v="NO"/>
    <s v="NO"/>
    <n v="47"/>
    <n v="0.35431696324440481"/>
    <s v="No"/>
    <n v="8.149166648934413"/>
    <s v="Sí"/>
    <n v="512287199"/>
    <n v="47"/>
    <x v="0"/>
  </r>
  <r>
    <n v="4391"/>
    <s v="MUJER"/>
    <n v="53043405"/>
    <x v="0"/>
    <x v="1"/>
    <s v="SI"/>
    <s v="NO"/>
    <s v="NO"/>
    <n v="25"/>
    <n v="1.1983402984526204"/>
    <s v="No"/>
    <n v="0.50702573097875125"/>
    <s v="No"/>
    <n v="53043405"/>
    <n v="25"/>
    <x v="0"/>
  </r>
  <r>
    <n v="4392"/>
    <s v="HOMBRE"/>
    <n v="182182"/>
    <x v="0"/>
    <x v="1"/>
    <s v="SI"/>
    <s v="NO"/>
    <s v="NO"/>
    <n v="26"/>
    <n v="1.1277649683754829"/>
    <s v="No"/>
    <n v="0.37262233512332221"/>
    <s v="No"/>
    <n v="182182"/>
    <n v="26"/>
    <x v="0"/>
  </r>
  <r>
    <n v="4393"/>
    <s v="HOMBRE"/>
    <n v="27803099"/>
    <x v="4"/>
    <x v="1"/>
    <s v="SI"/>
    <s v="NO"/>
    <s v="NO"/>
    <n v="27"/>
    <n v="1.0571896382983452"/>
    <s v="No"/>
    <n v="8.7009221698885322E-2"/>
    <s v="No"/>
    <n v="27803099"/>
    <n v="27"/>
    <x v="4"/>
  </r>
  <r>
    <n v="4394"/>
    <s v="MUJER"/>
    <n v="302470"/>
    <x v="2"/>
    <x v="1"/>
    <s v="SI"/>
    <s v="NO"/>
    <s v="NO"/>
    <n v="54"/>
    <n v="0.84834427378436728"/>
    <s v="No"/>
    <n v="0.37062065789055582"/>
    <s v="No"/>
    <n v="302470"/>
    <n v="54"/>
    <x v="2"/>
  </r>
  <r>
    <n v="4395"/>
    <s v="HOMBRE"/>
    <n v="34771955"/>
    <x v="0"/>
    <x v="1"/>
    <s v="SI"/>
    <s v="NO"/>
    <s v="NO"/>
    <n v="19"/>
    <n v="1.6217922789154453"/>
    <s v="No"/>
    <n v="0.20297590493933609"/>
    <s v="No"/>
    <n v="34771955"/>
    <n v="19"/>
    <x v="0"/>
  </r>
  <r>
    <n v="4396"/>
    <s v="HOMBRE"/>
    <n v="312000"/>
    <x v="0"/>
    <x v="1"/>
    <s v="SI"/>
    <s v="NO"/>
    <s v="SI"/>
    <n v="64"/>
    <n v="1.5540975745557424"/>
    <s v="No"/>
    <n v="0.37046207196321257"/>
    <s v="No"/>
    <n v="312000"/>
    <n v="64"/>
    <x v="0"/>
  </r>
  <r>
    <n v="4397"/>
    <s v="HOMBRE"/>
    <n v="310124"/>
    <x v="3"/>
    <x v="1"/>
    <s v="SI"/>
    <s v="NO"/>
    <s v="NO"/>
    <n v="43"/>
    <n v="7.2015642935854773E-2"/>
    <s v="No"/>
    <n v="0.37049328992750385"/>
    <s v="No"/>
    <n v="310124"/>
    <n v="43"/>
    <x v="3"/>
  </r>
  <r>
    <n v="4398"/>
    <s v="MUJER"/>
    <n v="297046"/>
    <x v="3"/>
    <x v="1"/>
    <s v="SI"/>
    <s v="NO"/>
    <s v="NO"/>
    <n v="27"/>
    <n v="1.0571896382983452"/>
    <s v="No"/>
    <n v="0.37071091707942361"/>
    <s v="No"/>
    <n v="297046"/>
    <n v="27"/>
    <x v="3"/>
  </r>
  <r>
    <n v="4399"/>
    <s v="HOMBRE"/>
    <n v="403776"/>
    <x v="0"/>
    <x v="1"/>
    <s v="SI"/>
    <s v="NO"/>
    <s v="NO"/>
    <n v="23"/>
    <n v="1.3394909586068953"/>
    <s v="No"/>
    <n v="0.36893485453741476"/>
    <s v="No"/>
    <n v="403776"/>
    <n v="23"/>
    <x v="0"/>
  </r>
  <r>
    <n v="4400"/>
    <s v="MUJER"/>
    <n v="1101203"/>
    <x v="0"/>
    <x v="0"/>
    <s v="SI"/>
    <s v="NO"/>
    <s v="NO"/>
    <n v="28"/>
    <n v="0.98661430822120777"/>
    <s v="No"/>
    <n v="0.35732917693518884"/>
    <s v="No"/>
    <n v="1101203"/>
    <n v="28"/>
    <x v="0"/>
  </r>
  <r>
    <n v="4401"/>
    <s v="HOMBRE"/>
    <n v="6150175"/>
    <x v="0"/>
    <x v="0"/>
    <s v="SI"/>
    <s v="NO"/>
    <s v="NO"/>
    <n v="44"/>
    <n v="0.14259097301299228"/>
    <s v="No"/>
    <n v="0.27331071872427082"/>
    <s v="No"/>
    <n v="6150175"/>
    <n v="44"/>
    <x v="0"/>
  </r>
  <r>
    <n v="4402"/>
    <s v="MUJER"/>
    <n v="639148"/>
    <x v="2"/>
    <x v="1"/>
    <s v="SI"/>
    <s v="SI"/>
    <s v="NO"/>
    <n v="66"/>
    <n v="1.6952482347100173"/>
    <s v="No"/>
    <n v="0.36501809830544912"/>
    <s v="No"/>
    <n v="639148"/>
    <n v="66"/>
    <x v="2"/>
  </r>
  <r>
    <n v="4403"/>
    <s v="HOMBRE"/>
    <n v="297046"/>
    <x v="2"/>
    <x v="1"/>
    <s v="SI"/>
    <s v="SI"/>
    <s v="NO"/>
    <n v="50"/>
    <n v="0.56604295347581735"/>
    <s v="No"/>
    <n v="0.37071091707942361"/>
    <s v="No"/>
    <n v="297046"/>
    <n v="50"/>
    <x v="2"/>
  </r>
  <r>
    <n v="4404"/>
    <s v="MUJER"/>
    <n v="150000"/>
    <x v="0"/>
    <x v="1"/>
    <s v="SI"/>
    <s v="NO"/>
    <s v="NO"/>
    <n v="32"/>
    <n v="0.70431298791265773"/>
    <s v="No"/>
    <n v="0.37315786632098852"/>
    <s v="No"/>
    <n v="150000"/>
    <n v="32"/>
    <x v="0"/>
  </r>
  <r>
    <n v="4405"/>
    <s v="HOMBRE"/>
    <n v="360960"/>
    <x v="0"/>
    <x v="1"/>
    <s v="SI"/>
    <s v="NO"/>
    <s v="NO"/>
    <n v="38"/>
    <n v="0.28086100744983278"/>
    <s v="No"/>
    <n v="0.36964734300175139"/>
    <s v="No"/>
    <n v="360960"/>
    <n v="38"/>
    <x v="0"/>
  </r>
  <r>
    <n v="4406"/>
    <s v="MUJER"/>
    <n v="338629"/>
    <x v="3"/>
    <x v="1"/>
    <s v="SI"/>
    <s v="NO"/>
    <s v="SI"/>
    <n v="66"/>
    <n v="1.6952482347100173"/>
    <s v="No"/>
    <n v="0.37001894660547668"/>
    <s v="No"/>
    <n v="338629"/>
    <n v="66"/>
    <x v="3"/>
  </r>
  <r>
    <n v="4407"/>
    <s v="HOMBRE"/>
    <n v="360000"/>
    <x v="0"/>
    <x v="1"/>
    <s v="SI"/>
    <s v="SI"/>
    <s v="NO"/>
    <n v="32"/>
    <n v="0.70431298791265773"/>
    <s v="No"/>
    <n v="0.36966331807942709"/>
    <s v="No"/>
    <n v="360000"/>
    <n v="32"/>
    <x v="0"/>
  </r>
  <r>
    <n v="4408"/>
    <s v="HOMBRE"/>
    <n v="470000"/>
    <x v="0"/>
    <x v="1"/>
    <s v="SI"/>
    <s v="NO"/>
    <s v="NO"/>
    <n v="52"/>
    <n v="0.70719361363009237"/>
    <s v="No"/>
    <n v="0.36783284042908543"/>
    <s v="No"/>
    <n v="470000"/>
    <n v="52"/>
    <x v="0"/>
  </r>
  <r>
    <n v="4409"/>
    <s v="MUJER"/>
    <n v="418415"/>
    <x v="0"/>
    <x v="1"/>
    <s v="SI"/>
    <s v="NO"/>
    <s v="NO"/>
    <n v="30"/>
    <n v="0.84546364806693275"/>
    <s v="No"/>
    <n v="0.36869125124356611"/>
    <s v="No"/>
    <n v="418415"/>
    <n v="30"/>
    <x v="0"/>
  </r>
  <r>
    <n v="4410"/>
    <s v="MUJER"/>
    <n v="43062735"/>
    <x v="0"/>
    <x v="1"/>
    <s v="SI"/>
    <s v="NO"/>
    <s v="NO"/>
    <n v="31"/>
    <n v="0.77488831798979529"/>
    <s v="No"/>
    <n v="0.3409403367020622"/>
    <s v="No"/>
    <n v="43062735"/>
    <n v="31"/>
    <x v="0"/>
  </r>
  <r>
    <n v="4411"/>
    <s v="HOMBRE"/>
    <n v="32539486"/>
    <x v="0"/>
    <x v="0"/>
    <s v="SI"/>
    <s v="NO"/>
    <s v="NO"/>
    <n v="25"/>
    <n v="1.1983402984526204"/>
    <s v="No"/>
    <n v="0.16582604485223917"/>
    <s v="No"/>
    <n v="32539486"/>
    <n v="25"/>
    <x v="0"/>
  </r>
  <r>
    <n v="4412"/>
    <s v="HOMBRE"/>
    <n v="3322334"/>
    <x v="0"/>
    <x v="1"/>
    <s v="SI"/>
    <s v="NO"/>
    <s v="NO"/>
    <n v="30"/>
    <n v="0.84546364806693275"/>
    <s v="No"/>
    <n v="0.32036798917172443"/>
    <s v="No"/>
    <n v="3322334"/>
    <n v="30"/>
    <x v="0"/>
  </r>
  <r>
    <n v="4413"/>
    <s v="MUJER"/>
    <n v="3772487"/>
    <x v="1"/>
    <x v="0"/>
    <s v="SI"/>
    <s v="NO"/>
    <s v="NO"/>
    <n v="83"/>
    <n v="2.8950288460213551"/>
    <s v="Sí"/>
    <n v="0.3128771254832311"/>
    <s v="No"/>
    <n v="3772487"/>
    <n v="83"/>
    <x v="1"/>
  </r>
  <r>
    <n v="4414"/>
    <s v="MUJER"/>
    <n v="150000"/>
    <x v="0"/>
    <x v="1"/>
    <s v="SI"/>
    <s v="SI"/>
    <s v="NO"/>
    <n v="40"/>
    <n v="0.13971034729555773"/>
    <s v="No"/>
    <n v="0.37315786632098852"/>
    <s v="No"/>
    <n v="150000"/>
    <n v="40"/>
    <x v="0"/>
  </r>
  <r>
    <n v="4415"/>
    <s v="HOMBRE"/>
    <n v="310544"/>
    <x v="3"/>
    <x v="1"/>
    <s v="SI"/>
    <s v="SI"/>
    <s v="SI"/>
    <n v="66"/>
    <n v="1.6952482347100173"/>
    <s v="No"/>
    <n v="0.37048630083102074"/>
    <s v="No"/>
    <n v="310544"/>
    <n v="66"/>
    <x v="3"/>
  </r>
  <r>
    <n v="4416"/>
    <s v="HOMBRE"/>
    <n v="391000"/>
    <x v="0"/>
    <x v="1"/>
    <s v="SI"/>
    <s v="NO"/>
    <s v="NO"/>
    <n v="36"/>
    <n v="0.42201166760410774"/>
    <s v="No"/>
    <n v="0.36914745619614903"/>
    <s v="No"/>
    <n v="391000"/>
    <n v="36"/>
    <x v="0"/>
  </r>
  <r>
    <n v="4417"/>
    <s v="HOMBRE"/>
    <n v="356455"/>
    <x v="3"/>
    <x v="1"/>
    <s v="SI"/>
    <s v="NO"/>
    <s v="NO"/>
    <n v="35"/>
    <n v="0.49258699768124525"/>
    <s v="No"/>
    <n v="0.36972230938188588"/>
    <s v="No"/>
    <n v="356455"/>
    <n v="35"/>
    <x v="3"/>
  </r>
  <r>
    <n v="4418"/>
    <s v="HOMBRE"/>
    <n v="639148"/>
    <x v="3"/>
    <x v="1"/>
    <s v="SI"/>
    <s v="NO"/>
    <s v="SI"/>
    <n v="65"/>
    <n v="1.6246729046328798"/>
    <s v="No"/>
    <n v="0.36501809830544912"/>
    <s v="No"/>
    <n v="639148"/>
    <n v="65"/>
    <x v="3"/>
  </r>
  <r>
    <n v="4419"/>
    <s v="MUJER"/>
    <n v="53466"/>
    <x v="0"/>
    <x v="0"/>
    <s v="SI"/>
    <s v="NO"/>
    <s v="NO"/>
    <n v="59"/>
    <n v="1.2012209241700549"/>
    <s v="No"/>
    <n v="0.37476426022551657"/>
    <s v="No"/>
    <n v="53466"/>
    <n v="59"/>
    <x v="0"/>
  </r>
  <r>
    <n v="4420"/>
    <s v="HOMBRE"/>
    <n v="42303854"/>
    <x v="0"/>
    <x v="1"/>
    <s v="SI"/>
    <s v="NO"/>
    <s v="NO"/>
    <n v="32"/>
    <n v="0.70431298791265773"/>
    <s v="No"/>
    <n v="0.32831202115870811"/>
    <s v="No"/>
    <n v="42303854"/>
    <n v="32"/>
    <x v="0"/>
  </r>
  <r>
    <n v="4421"/>
    <s v="HOMBRE"/>
    <n v="33206319"/>
    <x v="0"/>
    <x v="1"/>
    <s v="SI"/>
    <s v="NO"/>
    <s v="NO"/>
    <n v="22"/>
    <n v="1.4100662886840327"/>
    <s v="No"/>
    <n v="0.17692261669778736"/>
    <s v="No"/>
    <n v="33206319"/>
    <n v="22"/>
    <x v="0"/>
  </r>
  <r>
    <n v="4422"/>
    <s v="HOMBRE"/>
    <n v="49146563"/>
    <x v="0"/>
    <x v="1"/>
    <s v="SI"/>
    <s v="SI"/>
    <s v="NO"/>
    <n v="26"/>
    <n v="1.1277649683754829"/>
    <s v="No"/>
    <n v="0.44217952927045295"/>
    <s v="No"/>
    <n v="49146563"/>
    <n v="26"/>
    <x v="0"/>
  </r>
  <r>
    <n v="4423"/>
    <s v="HOMBRE"/>
    <n v="633433"/>
    <x v="3"/>
    <x v="1"/>
    <s v="SI"/>
    <s v="NO"/>
    <s v="NO"/>
    <n v="27"/>
    <n v="1.0571896382983452"/>
    <s v="No"/>
    <n v="0.36511319993973729"/>
    <s v="No"/>
    <n v="633433"/>
    <n v="27"/>
    <x v="3"/>
  </r>
  <r>
    <n v="4424"/>
    <s v="MUJER"/>
    <n v="1021562"/>
    <x v="0"/>
    <x v="0"/>
    <s v="SI"/>
    <s v="NO"/>
    <s v="NO"/>
    <n v="36"/>
    <n v="0.42201166760410774"/>
    <s v="No"/>
    <n v="0.35865445939474211"/>
    <s v="No"/>
    <n v="1021562"/>
    <n v="36"/>
    <x v="0"/>
  </r>
  <r>
    <n v="4425"/>
    <s v="HOMBRE"/>
    <n v="307850"/>
    <x v="0"/>
    <x v="1"/>
    <s v="SI"/>
    <s v="NO"/>
    <s v="NO"/>
    <n v="41"/>
    <n v="6.9135017218420233E-2"/>
    <s v="No"/>
    <n v="0.3705311308927482"/>
    <s v="No"/>
    <n v="307850"/>
    <n v="41"/>
    <x v="0"/>
  </r>
  <r>
    <n v="4426"/>
    <s v="HOMBRE"/>
    <n v="33792596"/>
    <x v="0"/>
    <x v="1"/>
    <s v="SI"/>
    <s v="NO"/>
    <s v="NO"/>
    <n v="23"/>
    <n v="1.3394909586068953"/>
    <s v="No"/>
    <n v="0.18667867983787256"/>
    <s v="No"/>
    <n v="33792596"/>
    <n v="23"/>
    <x v="0"/>
  </r>
  <r>
    <n v="4427"/>
    <s v="HOMBRE"/>
    <n v="8840035"/>
    <x v="0"/>
    <x v="1"/>
    <s v="SI"/>
    <s v="NO"/>
    <s v="NO"/>
    <n v="25"/>
    <n v="1.1983402984526204"/>
    <s v="No"/>
    <n v="0.22854954951928813"/>
    <s v="No"/>
    <n v="8840035"/>
    <n v="25"/>
    <x v="0"/>
  </r>
  <r>
    <n v="4428"/>
    <s v="HOMBRE"/>
    <n v="514062"/>
    <x v="3"/>
    <x v="1"/>
    <s v="SI"/>
    <s v="NO"/>
    <s v="NO"/>
    <n v="60"/>
    <n v="1.2717962542471923"/>
    <s v="No"/>
    <n v="0.36709961764518217"/>
    <s v="No"/>
    <n v="514062"/>
    <n v="60"/>
    <x v="3"/>
  </r>
  <r>
    <n v="4429"/>
    <s v="HOMBRE"/>
    <n v="724000"/>
    <x v="0"/>
    <x v="1"/>
    <s v="SI"/>
    <s v="NO"/>
    <s v="NO"/>
    <n v="29"/>
    <n v="0.91603897814407031"/>
    <s v="No"/>
    <n v="0.36360610112738734"/>
    <s v="No"/>
    <n v="724000"/>
    <n v="29"/>
    <x v="0"/>
  </r>
  <r>
    <n v="4430"/>
    <s v="HOMBRE"/>
    <n v="297045"/>
    <x v="3"/>
    <x v="1"/>
    <s v="SI"/>
    <s v="NO"/>
    <s v="SI"/>
    <n v="56"/>
    <n v="0.9894949339386423"/>
    <s v="No"/>
    <n v="0.37071093372012948"/>
    <s v="No"/>
    <n v="297045"/>
    <n v="56"/>
    <x v="3"/>
  </r>
  <r>
    <n v="4431"/>
    <s v="HOMBRE"/>
    <n v="487739"/>
    <x v="3"/>
    <x v="1"/>
    <s v="SI"/>
    <s v="NO"/>
    <s v="SI"/>
    <n v="45"/>
    <n v="0.21316630309012977"/>
    <s v="No"/>
    <n v="0.36753765094690899"/>
    <s v="No"/>
    <n v="487739"/>
    <n v="45"/>
    <x v="3"/>
  </r>
  <r>
    <n v="4432"/>
    <s v="HOMBRE"/>
    <n v="3706096"/>
    <x v="0"/>
    <x v="1"/>
    <s v="SI"/>
    <s v="SI"/>
    <s v="NO"/>
    <n v="59"/>
    <n v="1.2012209241700549"/>
    <s v="No"/>
    <n v="0.31398191858944779"/>
    <s v="No"/>
    <n v="3706096"/>
    <n v="59"/>
    <x v="0"/>
  </r>
  <r>
    <n v="4433"/>
    <s v="HOMBRE"/>
    <n v="287000"/>
    <x v="0"/>
    <x v="1"/>
    <s v="SI"/>
    <s v="NO"/>
    <s v="NO"/>
    <n v="19"/>
    <n v="1.6217922789154453"/>
    <s v="No"/>
    <n v="0.37087808961101754"/>
    <s v="No"/>
    <n v="287000"/>
    <n v="19"/>
    <x v="0"/>
  </r>
  <r>
    <n v="4434"/>
    <s v="MUJER"/>
    <n v="50136789"/>
    <x v="0"/>
    <x v="1"/>
    <s v="SI"/>
    <s v="NO"/>
    <s v="NO"/>
    <n v="27"/>
    <n v="1.0571896382983452"/>
    <s v="No"/>
    <n v="0.4586575889230643"/>
    <s v="No"/>
    <n v="50136789"/>
    <n v="27"/>
    <x v="0"/>
  </r>
  <r>
    <n v="4435"/>
    <s v="HOMBRE"/>
    <n v="6448944"/>
    <x v="0"/>
    <x v="1"/>
    <s v="SI"/>
    <s v="NO"/>
    <s v="NO"/>
    <n v="37"/>
    <n v="0.35143633752697023"/>
    <s v="No"/>
    <n v="0.26833899165958958"/>
    <s v="No"/>
    <n v="6448944"/>
    <n v="37"/>
    <x v="0"/>
  </r>
  <r>
    <n v="4436"/>
    <s v="MUJER"/>
    <n v="27803099"/>
    <x v="4"/>
    <x v="1"/>
    <s v="SI"/>
    <s v="NO"/>
    <s v="NO"/>
    <n v="20"/>
    <n v="1.5512169488383079"/>
    <s v="No"/>
    <n v="8.7009221698885322E-2"/>
    <s v="No"/>
    <n v="27803099"/>
    <n v="20"/>
    <x v="4"/>
  </r>
  <r>
    <n v="4437"/>
    <s v="MUJER"/>
    <n v="327716"/>
    <x v="2"/>
    <x v="1"/>
    <s v="SI"/>
    <s v="NO"/>
    <s v="NO"/>
    <n v="61"/>
    <n v="1.3423715843243298"/>
    <s v="No"/>
    <n v="0.37020054662909652"/>
    <s v="No"/>
    <n v="327716"/>
    <n v="61"/>
    <x v="2"/>
  </r>
  <r>
    <n v="4438"/>
    <s v="MUJER"/>
    <n v="106407455"/>
    <x v="0"/>
    <x v="1"/>
    <s v="SI"/>
    <s v="NO"/>
    <s v="NO"/>
    <n v="21"/>
    <n v="1.4806416187611704"/>
    <s v="No"/>
    <n v="1.3950411933125368"/>
    <s v="No"/>
    <n v="106407455"/>
    <n v="21"/>
    <x v="0"/>
  </r>
  <r>
    <n v="4439"/>
    <s v="HOMBRE"/>
    <n v="41920705"/>
    <x v="0"/>
    <x v="1"/>
    <s v="SI"/>
    <s v="NO"/>
    <s v="NO"/>
    <n v="48"/>
    <n v="0.42489229332154227"/>
    <s v="No"/>
    <n v="0.32193615132915565"/>
    <s v="No"/>
    <n v="41920705"/>
    <n v="48"/>
    <x v="0"/>
  </r>
  <r>
    <n v="4440"/>
    <s v="HOMBRE"/>
    <n v="1277200"/>
    <x v="0"/>
    <x v="1"/>
    <s v="SI"/>
    <s v="NO"/>
    <s v="NO"/>
    <n v="24"/>
    <n v="1.2689156285297578"/>
    <s v="No"/>
    <n v="0.35440046261675989"/>
    <s v="No"/>
    <n v="1277200"/>
    <n v="24"/>
    <x v="0"/>
  </r>
  <r>
    <n v="4441"/>
    <s v="HOMBRE"/>
    <n v="122891985"/>
    <x v="4"/>
    <x v="1"/>
    <s v="SI"/>
    <s v="NO"/>
    <s v="NO"/>
    <n v="53"/>
    <n v="0.77776894370722982"/>
    <s v="No"/>
    <n v="1.6693554091433285"/>
    <s v="No"/>
    <n v="122891985"/>
    <n v="53"/>
    <x v="4"/>
  </r>
  <r>
    <n v="4442"/>
    <s v="HOMBRE"/>
    <n v="144622181"/>
    <x v="0"/>
    <x v="0"/>
    <s v="SI"/>
    <s v="NO"/>
    <s v="NO"/>
    <n v="60"/>
    <n v="1.2717962542471923"/>
    <s v="No"/>
    <n v="2.0309612101937322"/>
    <s v="Sí"/>
    <n v="144622181"/>
    <n v="60"/>
    <x v="0"/>
  </r>
  <r>
    <n v="4443"/>
    <s v="HOMBRE"/>
    <n v="270900"/>
    <x v="0"/>
    <x v="1"/>
    <s v="SI"/>
    <s v="SI"/>
    <s v="NO"/>
    <n v="43"/>
    <n v="7.2015642935854773E-2"/>
    <s v="No"/>
    <n v="0.37114600497620387"/>
    <s v="No"/>
    <n v="270900"/>
    <n v="43"/>
    <x v="0"/>
  </r>
  <r>
    <n v="4444"/>
    <s v="HOMBRE"/>
    <n v="561517"/>
    <x v="0"/>
    <x v="0"/>
    <s v="SI"/>
    <s v="NO"/>
    <s v="NO"/>
    <n v="42"/>
    <n v="1.4403128587172659E-3"/>
    <s v="No"/>
    <n v="0.36630993294611891"/>
    <s v="No"/>
    <n v="561517"/>
    <n v="42"/>
    <x v="0"/>
  </r>
  <r>
    <n v="4445"/>
    <s v="HOMBRE"/>
    <n v="297046"/>
    <x v="3"/>
    <x v="1"/>
    <s v="SI"/>
    <s v="NO"/>
    <s v="SI"/>
    <n v="26"/>
    <n v="1.1277649683754829"/>
    <s v="No"/>
    <n v="0.37071091707942361"/>
    <s v="No"/>
    <n v="297046"/>
    <n v="26"/>
    <x v="3"/>
  </r>
  <r>
    <n v="4446"/>
    <s v="HOMBRE"/>
    <n v="278030"/>
    <x v="3"/>
    <x v="1"/>
    <s v="SI"/>
    <s v="NO"/>
    <s v="NO"/>
    <n v="29"/>
    <n v="0.91603897814407031"/>
    <s v="No"/>
    <n v="0.37102735674304993"/>
    <s v="No"/>
    <n v="278030"/>
    <n v="29"/>
    <x v="3"/>
  </r>
  <r>
    <n v="4447"/>
    <s v="HOMBRE"/>
    <n v="88587744"/>
    <x v="0"/>
    <x v="1"/>
    <s v="SI"/>
    <s v="NO"/>
    <s v="NO"/>
    <n v="31"/>
    <n v="0.77488831798979529"/>
    <s v="No"/>
    <n v="1.0985086231211918"/>
    <s v="No"/>
    <n v="88587744"/>
    <n v="31"/>
    <x v="0"/>
  </r>
  <r>
    <n v="4448"/>
    <s v="HOMBRE"/>
    <n v="597978"/>
    <x v="0"/>
    <x v="1"/>
    <s v="SI"/>
    <s v="NO"/>
    <s v="NO"/>
    <n v="41"/>
    <n v="6.9135017218420233E-2"/>
    <s v="No"/>
    <n v="0.36570319616785424"/>
    <s v="No"/>
    <n v="597978"/>
    <n v="41"/>
    <x v="0"/>
  </r>
  <r>
    <n v="4449"/>
    <s v="MUJER"/>
    <n v="322634"/>
    <x v="2"/>
    <x v="1"/>
    <s v="SI"/>
    <s v="NO"/>
    <s v="NO"/>
    <n v="79"/>
    <n v="2.6127275257128049"/>
    <s v="Sí"/>
    <n v="0.37028511469654229"/>
    <s v="No"/>
    <n v="322634"/>
    <n v="79"/>
    <x v="2"/>
  </r>
  <r>
    <n v="4450"/>
    <s v="HOMBRE"/>
    <n v="68046353"/>
    <x v="0"/>
    <x v="1"/>
    <s v="SI"/>
    <s v="NO"/>
    <s v="NO"/>
    <n v="21"/>
    <n v="1.4806416187611704"/>
    <s v="No"/>
    <n v="0.75668537646273804"/>
    <s v="No"/>
    <n v="68046353"/>
    <n v="21"/>
    <x v="0"/>
  </r>
  <r>
    <n v="4451"/>
    <s v="HOMBRE"/>
    <n v="35859515"/>
    <x v="0"/>
    <x v="1"/>
    <s v="SI"/>
    <s v="NO"/>
    <s v="NO"/>
    <n v="21"/>
    <n v="1.4806416187611704"/>
    <s v="No"/>
    <n v="0.22107367106120526"/>
    <s v="No"/>
    <n v="35859515"/>
    <n v="21"/>
    <x v="0"/>
  </r>
  <r>
    <n v="4452"/>
    <s v="HOMBRE"/>
    <n v="35878406"/>
    <x v="0"/>
    <x v="1"/>
    <s v="SI"/>
    <s v="SI"/>
    <s v="NO"/>
    <n v="40"/>
    <n v="0.13971034729555773"/>
    <s v="No"/>
    <n v="0.22138803063659257"/>
    <s v="No"/>
    <n v="35878406"/>
    <n v="40"/>
    <x v="0"/>
  </r>
  <r>
    <n v="4453"/>
    <s v="HOMBRE"/>
    <n v="639148"/>
    <x v="3"/>
    <x v="1"/>
    <s v="SI"/>
    <s v="NO"/>
    <s v="SI"/>
    <n v="40"/>
    <n v="0.13971034729555773"/>
    <s v="No"/>
    <n v="0.36501809830544912"/>
    <s v="No"/>
    <n v="639148"/>
    <n v="40"/>
    <x v="3"/>
  </r>
  <r>
    <n v="4454"/>
    <s v="MUJER"/>
    <n v="142800229"/>
    <x v="1"/>
    <x v="0"/>
    <s v="SI"/>
    <s v="NO"/>
    <s v="NO"/>
    <n v="69"/>
    <n v="1.9069742249414299"/>
    <s v="No"/>
    <n v="2.0006426427755928"/>
    <s v="Sí"/>
    <n v="142800229"/>
    <n v="69"/>
    <x v="1"/>
  </r>
  <r>
    <n v="4455"/>
    <s v="HOMBRE"/>
    <n v="297719"/>
    <x v="2"/>
    <x v="1"/>
    <s v="SI"/>
    <s v="NO"/>
    <s v="NO"/>
    <n v="37"/>
    <n v="0.35143633752697023"/>
    <s v="No"/>
    <n v="0.37069971788434469"/>
    <s v="No"/>
    <n v="297719"/>
    <n v="37"/>
    <x v="2"/>
  </r>
  <r>
    <n v="4456"/>
    <s v="MUJER"/>
    <n v="1228568"/>
    <x v="0"/>
    <x v="0"/>
    <s v="SI"/>
    <s v="NO"/>
    <s v="NO"/>
    <n v="44"/>
    <n v="0.14259097301299228"/>
    <s v="No"/>
    <n v="0.35520973342668183"/>
    <s v="No"/>
    <n v="1228568"/>
    <n v="44"/>
    <x v="0"/>
  </r>
  <r>
    <n v="4457"/>
    <s v="MUJER"/>
    <n v="76483791"/>
    <x v="1"/>
    <x v="0"/>
    <s v="SI"/>
    <s v="NO"/>
    <s v="NO"/>
    <n v="82"/>
    <n v="2.8244535159442172"/>
    <s v="Sí"/>
    <n v="0.89709030087313513"/>
    <s v="No"/>
    <n v="76483791"/>
    <n v="82"/>
    <x v="1"/>
  </r>
  <r>
    <n v="4458"/>
    <s v="HOMBRE"/>
    <n v="647500"/>
    <x v="0"/>
    <x v="1"/>
    <s v="SI"/>
    <s v="NO"/>
    <s v="NO"/>
    <n v="25"/>
    <n v="1.1983402984526204"/>
    <s v="No"/>
    <n v="0.36487911512967042"/>
    <s v="No"/>
    <n v="647500"/>
    <n v="25"/>
    <x v="0"/>
  </r>
  <r>
    <n v="4459"/>
    <s v="HOMBRE"/>
    <n v="230000"/>
    <x v="0"/>
    <x v="1"/>
    <s v="SI"/>
    <s v="NO"/>
    <s v="SI"/>
    <n v="53"/>
    <n v="0.77776894370722982"/>
    <s v="No"/>
    <n v="0.37182660984801275"/>
    <s v="No"/>
    <n v="230000"/>
    <n v="53"/>
    <x v="0"/>
  </r>
  <r>
    <n v="4460"/>
    <s v="HOMBRE"/>
    <n v="40776925"/>
    <x v="0"/>
    <x v="1"/>
    <s v="SI"/>
    <s v="NO"/>
    <s v="NO"/>
    <n v="29"/>
    <n v="0.91603897814407031"/>
    <s v="No"/>
    <n v="0.30290284472090279"/>
    <s v="No"/>
    <n v="40776925"/>
    <n v="29"/>
    <x v="0"/>
  </r>
  <r>
    <n v="4461"/>
    <s v="HOMBRE"/>
    <n v="372000"/>
    <x v="0"/>
    <x v="1"/>
    <s v="SI"/>
    <s v="NO"/>
    <s v="NO"/>
    <n v="27"/>
    <n v="1.0571896382983452"/>
    <s v="No"/>
    <n v="0.36946362960848078"/>
    <s v="No"/>
    <n v="372000"/>
    <n v="27"/>
    <x v="0"/>
  </r>
  <r>
    <n v="4462"/>
    <s v="HOMBRE"/>
    <n v="36180678"/>
    <x v="0"/>
    <x v="1"/>
    <s v="SI"/>
    <s v="NO"/>
    <s v="NO"/>
    <n v="22"/>
    <n v="1.4100662886840327"/>
    <s v="No"/>
    <n v="0.22641805009408422"/>
    <s v="No"/>
    <n v="36180678"/>
    <n v="22"/>
    <x v="0"/>
  </r>
  <r>
    <n v="4463"/>
    <s v="MUJER"/>
    <n v="51428571"/>
    <x v="0"/>
    <x v="1"/>
    <s v="SI"/>
    <s v="NO"/>
    <s v="NO"/>
    <n v="39"/>
    <n v="0.21028567737269524"/>
    <s v="No"/>
    <n v="0.48015375328773419"/>
    <s v="No"/>
    <n v="51428571"/>
    <n v="39"/>
    <x v="0"/>
  </r>
  <r>
    <n v="4464"/>
    <s v="HOMBRE"/>
    <n v="356455"/>
    <x v="3"/>
    <x v="1"/>
    <s v="SI"/>
    <s v="SI"/>
    <s v="SI"/>
    <n v="46"/>
    <n v="0.2837416331672673"/>
    <s v="No"/>
    <n v="0.36972230938188588"/>
    <s v="No"/>
    <n v="356455"/>
    <n v="46"/>
    <x v="3"/>
  </r>
  <r>
    <n v="4465"/>
    <s v="MUJER"/>
    <n v="278030"/>
    <x v="2"/>
    <x v="1"/>
    <s v="SI"/>
    <s v="SI"/>
    <s v="SI"/>
    <n v="35"/>
    <n v="0.49258699768124525"/>
    <s v="No"/>
    <n v="0.37102735674304993"/>
    <s v="No"/>
    <n v="278030"/>
    <n v="35"/>
    <x v="2"/>
  </r>
  <r>
    <n v="4466"/>
    <s v="HOMBRE"/>
    <n v="94983965"/>
    <x v="0"/>
    <x v="1"/>
    <s v="SI"/>
    <s v="NO"/>
    <s v="NO"/>
    <n v="25"/>
    <n v="1.1983402984526204"/>
    <s v="No"/>
    <n v="1.2049462557316115"/>
    <s v="No"/>
    <n v="94983965"/>
    <n v="25"/>
    <x v="0"/>
  </r>
  <r>
    <n v="4467"/>
    <s v="HOMBRE"/>
    <n v="41048022"/>
    <x v="0"/>
    <x v="1"/>
    <s v="SI"/>
    <s v="NO"/>
    <s v="NO"/>
    <n v="38"/>
    <n v="0.28086100744983278"/>
    <s v="No"/>
    <n v="0.30741409017158167"/>
    <s v="No"/>
    <n v="41048022"/>
    <n v="38"/>
    <x v="0"/>
  </r>
  <r>
    <n v="4468"/>
    <s v="HOMBRE"/>
    <n v="467721759"/>
    <x v="0"/>
    <x v="0"/>
    <s v="SI"/>
    <s v="NO"/>
    <s v="NO"/>
    <n v="52"/>
    <n v="0.70719361363009237"/>
    <s v="No"/>
    <n v="7.4075662680467449"/>
    <s v="Sí"/>
    <n v="467721759"/>
    <n v="52"/>
    <x v="0"/>
  </r>
  <r>
    <n v="4469"/>
    <s v="HOMBRE"/>
    <n v="46665281"/>
    <x v="0"/>
    <x v="1"/>
    <s v="SI"/>
    <s v="NO"/>
    <s v="NO"/>
    <n v="49"/>
    <n v="0.49546762339867978"/>
    <s v="No"/>
    <n v="0.4008892452232245"/>
    <s v="No"/>
    <n v="46665281"/>
    <n v="49"/>
    <x v="0"/>
  </r>
  <r>
    <n v="4470"/>
    <s v="HOMBRE"/>
    <n v="400000"/>
    <x v="0"/>
    <x v="1"/>
    <s v="SI"/>
    <s v="NO"/>
    <s v="NO"/>
    <n v="21"/>
    <n v="1.4806416187611704"/>
    <s v="No"/>
    <n v="0.36899768984293924"/>
    <s v="No"/>
    <n v="400000"/>
    <n v="21"/>
    <x v="0"/>
  </r>
  <r>
    <n v="4471"/>
    <s v="MUJER"/>
    <n v="365825"/>
    <x v="0"/>
    <x v="1"/>
    <s v="SI"/>
    <s v="NO"/>
    <s v="NO"/>
    <n v="42"/>
    <n v="1.4403128587172659E-3"/>
    <s v="No"/>
    <n v="0.36956638596748859"/>
    <s v="No"/>
    <n v="365825"/>
    <n v="42"/>
    <x v="0"/>
  </r>
  <r>
    <n v="4472"/>
    <s v="HOMBRE"/>
    <n v="615550"/>
    <x v="3"/>
    <x v="1"/>
    <s v="SI"/>
    <s v="NO"/>
    <s v="SI"/>
    <n v="42"/>
    <n v="1.4403128587172659E-3"/>
    <s v="No"/>
    <n v="0.36541078568356511"/>
    <s v="No"/>
    <n v="615550"/>
    <n v="42"/>
    <x v="3"/>
  </r>
  <r>
    <n v="4473"/>
    <s v="MUJER"/>
    <n v="1124365"/>
    <x v="0"/>
    <x v="0"/>
    <s v="SI"/>
    <s v="NO"/>
    <s v="NO"/>
    <n v="41"/>
    <n v="6.9135017218420233E-2"/>
    <s v="No"/>
    <n v="0.35694374490485054"/>
    <s v="No"/>
    <n v="1124365"/>
    <n v="41"/>
    <x v="0"/>
  </r>
  <r>
    <n v="4474"/>
    <s v="HOMBRE"/>
    <n v="45630002"/>
    <x v="0"/>
    <x v="1"/>
    <s v="SI"/>
    <s v="SI"/>
    <s v="NO"/>
    <n v="49"/>
    <n v="0.49546762339867978"/>
    <s v="No"/>
    <n v="0.38366147184715094"/>
    <s v="No"/>
    <n v="45630002"/>
    <n v="49"/>
    <x v="0"/>
  </r>
  <r>
    <n v="4475"/>
    <s v="MUJER"/>
    <n v="2145843"/>
    <x v="0"/>
    <x v="0"/>
    <s v="SI"/>
    <s v="NO"/>
    <s v="NO"/>
    <n v="51"/>
    <n v="0.6366182835529548"/>
    <s v="No"/>
    <n v="0.33994562991107119"/>
    <s v="No"/>
    <n v="2145843"/>
    <n v="51"/>
    <x v="0"/>
  </r>
  <r>
    <n v="4476"/>
    <s v="HOMBRE"/>
    <n v="361811"/>
    <x v="3"/>
    <x v="1"/>
    <s v="SI"/>
    <s v="NO"/>
    <s v="NO"/>
    <n v="31"/>
    <n v="0.77488831798979529"/>
    <s v="No"/>
    <n v="0.36963318176102011"/>
    <s v="No"/>
    <n v="361811"/>
    <n v="31"/>
    <x v="3"/>
  </r>
  <r>
    <n v="4477"/>
    <s v="HOMBRE"/>
    <n v="382136"/>
    <x v="3"/>
    <x v="1"/>
    <s v="SI"/>
    <s v="SI"/>
    <s v="SI"/>
    <n v="40"/>
    <n v="0.13971034729555773"/>
    <s v="No"/>
    <n v="0.36929495941335472"/>
    <s v="No"/>
    <n v="382136"/>
    <n v="40"/>
    <x v="3"/>
  </r>
  <r>
    <n v="4478"/>
    <s v="HOMBRE"/>
    <n v="14912835"/>
    <x v="0"/>
    <x v="0"/>
    <s v="SI"/>
    <s v="NO"/>
    <s v="NO"/>
    <n v="43"/>
    <n v="7.2015642935854773E-2"/>
    <s v="No"/>
    <n v="0.12749387065569712"/>
    <s v="No"/>
    <n v="14912835"/>
    <n v="43"/>
    <x v="0"/>
  </r>
  <r>
    <n v="4479"/>
    <s v="HOMBRE"/>
    <n v="61876276"/>
    <x v="0"/>
    <x v="1"/>
    <s v="SI"/>
    <s v="SI"/>
    <s v="NO"/>
    <n v="47"/>
    <n v="0.35431696324440481"/>
    <s v="No"/>
    <n v="0.65401093965012624"/>
    <s v="No"/>
    <n v="61876276"/>
    <n v="47"/>
    <x v="0"/>
  </r>
  <r>
    <n v="4480"/>
    <s v="MUJER"/>
    <n v="60000"/>
    <x v="0"/>
    <x v="1"/>
    <s v="SI"/>
    <s v="NO"/>
    <s v="SI"/>
    <n v="46"/>
    <n v="0.2837416331672673"/>
    <s v="No"/>
    <n v="0.37465552985308626"/>
    <s v="No"/>
    <n v="60000"/>
    <n v="46"/>
    <x v="0"/>
  </r>
  <r>
    <n v="4481"/>
    <s v="HOMBRE"/>
    <n v="297046"/>
    <x v="2"/>
    <x v="1"/>
    <s v="SI"/>
    <s v="NO"/>
    <s v="NO"/>
    <n v="32"/>
    <n v="0.70431298791265773"/>
    <s v="No"/>
    <n v="0.37071091707942361"/>
    <s v="No"/>
    <n v="297046"/>
    <n v="32"/>
    <x v="2"/>
  </r>
  <r>
    <n v="4482"/>
    <s v="MUJER"/>
    <n v="320000"/>
    <x v="0"/>
    <x v="1"/>
    <s v="SI"/>
    <s v="SI"/>
    <s v="SI"/>
    <n v="38"/>
    <n v="0.28086100744983278"/>
    <s v="No"/>
    <n v="0.37032894631591501"/>
    <s v="No"/>
    <n v="320000"/>
    <n v="38"/>
    <x v="0"/>
  </r>
  <r>
    <n v="4483"/>
    <s v="HOMBRE"/>
    <n v="1160779"/>
    <x v="0"/>
    <x v="0"/>
    <s v="SI"/>
    <s v="NO"/>
    <s v="NO"/>
    <n v="28"/>
    <n v="0.98661430822120777"/>
    <s v="No"/>
    <n v="0.35633779023976375"/>
    <s v="No"/>
    <n v="1160779"/>
    <n v="28"/>
    <x v="0"/>
  </r>
  <r>
    <n v="4484"/>
    <s v="MUJER"/>
    <n v="1034000"/>
    <x v="0"/>
    <x v="1"/>
    <s v="SI"/>
    <s v="NO"/>
    <s v="NO"/>
    <n v="35"/>
    <n v="0.49258699768124525"/>
    <s v="No"/>
    <n v="0.35844748229460621"/>
    <s v="No"/>
    <n v="1034000"/>
    <n v="35"/>
    <x v="0"/>
  </r>
  <r>
    <n v="4485"/>
    <s v="HOMBRE"/>
    <n v="526558"/>
    <x v="0"/>
    <x v="1"/>
    <s v="SI"/>
    <s v="SI"/>
    <s v="NO"/>
    <n v="47"/>
    <n v="0.35431696324440481"/>
    <s v="No"/>
    <n v="0.36689167538410339"/>
    <s v="No"/>
    <n v="526558"/>
    <n v="47"/>
    <x v="0"/>
  </r>
  <r>
    <n v="4486"/>
    <s v="HOMBRE"/>
    <n v="957698"/>
    <x v="0"/>
    <x v="1"/>
    <s v="SI"/>
    <s v="NO"/>
    <s v="NO"/>
    <n v="26"/>
    <n v="1.1277649683754829"/>
    <s v="No"/>
    <n v="0.35971720143711872"/>
    <s v="No"/>
    <n v="957698"/>
    <n v="26"/>
    <x v="0"/>
  </r>
  <r>
    <n v="4487"/>
    <s v="HOMBRE"/>
    <n v="24327086"/>
    <x v="0"/>
    <x v="1"/>
    <s v="SI"/>
    <s v="NO"/>
    <s v="NO"/>
    <n v="49"/>
    <n v="0.49546762339867978"/>
    <s v="No"/>
    <n v="2.9165911618911071E-2"/>
    <s v="No"/>
    <n v="24327086"/>
    <n v="49"/>
    <x v="0"/>
  </r>
  <r>
    <n v="4488"/>
    <s v="HOMBRE"/>
    <n v="70942379"/>
    <x v="0"/>
    <x v="1"/>
    <s v="SI"/>
    <s v="NO"/>
    <s v="NO"/>
    <n v="34"/>
    <n v="0.56316232775838282"/>
    <s v="No"/>
    <n v="0.80487729344281478"/>
    <s v="No"/>
    <n v="70942379"/>
    <n v="34"/>
    <x v="0"/>
  </r>
  <r>
    <n v="4489"/>
    <s v="HOMBRE"/>
    <n v="297046"/>
    <x v="3"/>
    <x v="1"/>
    <s v="SI"/>
    <s v="NO"/>
    <s v="NO"/>
    <n v="54"/>
    <n v="0.84834427378436728"/>
    <s v="No"/>
    <n v="0.37071091707942361"/>
    <s v="No"/>
    <n v="297046"/>
    <n v="54"/>
    <x v="3"/>
  </r>
  <r>
    <n v="4490"/>
    <s v="MUJER"/>
    <n v="297050"/>
    <x v="2"/>
    <x v="1"/>
    <s v="SI"/>
    <s v="NO"/>
    <s v="NO"/>
    <n v="52"/>
    <n v="0.70719361363009237"/>
    <s v="No"/>
    <n v="0.37071085051659991"/>
    <s v="No"/>
    <n v="297050"/>
    <n v="52"/>
    <x v="2"/>
  </r>
  <r>
    <n v="4491"/>
    <s v="HOMBRE"/>
    <n v="299647"/>
    <x v="2"/>
    <x v="1"/>
    <s v="SI"/>
    <s v="NO"/>
    <s v="NO"/>
    <n v="73"/>
    <n v="2.1892755452499797"/>
    <s v="Sí"/>
    <n v="0.37066763460334595"/>
    <s v="No"/>
    <n v="299647"/>
    <n v="73"/>
    <x v="2"/>
  </r>
  <r>
    <n v="4492"/>
    <s v="HOMBRE"/>
    <n v="37265925"/>
    <x v="0"/>
    <x v="1"/>
    <s v="SI"/>
    <s v="SI"/>
    <s v="NO"/>
    <n v="48"/>
    <n v="0.42489229332154227"/>
    <s v="No"/>
    <n v="0.24447732626317847"/>
    <s v="No"/>
    <n v="37265925"/>
    <n v="48"/>
    <x v="0"/>
  </r>
  <r>
    <n v="4493"/>
    <s v="HOMBRE"/>
    <n v="297050"/>
    <x v="2"/>
    <x v="1"/>
    <s v="SI"/>
    <s v="NO"/>
    <s v="NO"/>
    <n v="27"/>
    <n v="1.0571896382983452"/>
    <s v="No"/>
    <n v="0.37071085051659991"/>
    <s v="No"/>
    <n v="297050"/>
    <n v="27"/>
    <x v="2"/>
  </r>
  <r>
    <n v="4494"/>
    <s v="HOMBRE"/>
    <n v="33793318"/>
    <x v="0"/>
    <x v="0"/>
    <s v="SI"/>
    <s v="NO"/>
    <s v="NO"/>
    <n v="24"/>
    <n v="1.2689156285297578"/>
    <s v="No"/>
    <n v="0.18669069442754119"/>
    <s v="No"/>
    <n v="33793318"/>
    <n v="24"/>
    <x v="0"/>
  </r>
  <r>
    <n v="4495"/>
    <s v="HOMBRE"/>
    <n v="557416"/>
    <x v="3"/>
    <x v="1"/>
    <s v="SI"/>
    <s v="NO"/>
    <s v="NO"/>
    <n v="33"/>
    <n v="0.63373765783552027"/>
    <s v="No"/>
    <n v="0.3663781764810648"/>
    <s v="No"/>
    <n v="557416"/>
    <n v="33"/>
    <x v="3"/>
  </r>
  <r>
    <n v="4496"/>
    <s v="MUJER"/>
    <n v="316663"/>
    <x v="3"/>
    <x v="1"/>
    <s v="SI"/>
    <s v="NO"/>
    <s v="SI"/>
    <n v="32"/>
    <n v="0.70431298791265773"/>
    <s v="No"/>
    <n v="0.37038447635154403"/>
    <s v="No"/>
    <n v="316663"/>
    <n v="32"/>
    <x v="3"/>
  </r>
  <r>
    <n v="4497"/>
    <s v="MUJER"/>
    <n v="77942425"/>
    <x v="0"/>
    <x v="0"/>
    <s v="SI"/>
    <s v="NO"/>
    <s v="NO"/>
    <n v="28"/>
    <n v="0.98661430822120777"/>
    <s v="No"/>
    <n v="0.92136300030066698"/>
    <s v="No"/>
    <n v="77942425"/>
    <n v="28"/>
    <x v="0"/>
  </r>
  <r>
    <n v="4498"/>
    <s v="HOMBRE"/>
    <n v="53584293"/>
    <x v="0"/>
    <x v="1"/>
    <s v="SI"/>
    <s v="NO"/>
    <s v="NO"/>
    <n v="36"/>
    <n v="0.42201166760410774"/>
    <s v="No"/>
    <n v="0.51602648911818771"/>
    <s v="No"/>
    <n v="53584293"/>
    <n v="36"/>
    <x v="0"/>
  </r>
  <r>
    <n v="4499"/>
    <s v="MUJER"/>
    <n v="400000"/>
    <x v="0"/>
    <x v="1"/>
    <s v="SI"/>
    <s v="NO"/>
    <s v="NO"/>
    <n v="42"/>
    <n v="1.4403128587172659E-3"/>
    <s v="No"/>
    <n v="0.36899768984293924"/>
    <s v="No"/>
    <n v="400000"/>
    <n v="42"/>
    <x v="0"/>
  </r>
  <r>
    <n v="4500"/>
    <s v="MUJER"/>
    <n v="639148"/>
    <x v="3"/>
    <x v="1"/>
    <s v="SI"/>
    <s v="NO"/>
    <s v="NO"/>
    <n v="56"/>
    <n v="0.9894949339386423"/>
    <s v="No"/>
    <n v="0.36501809830544912"/>
    <s v="No"/>
    <n v="639148"/>
    <n v="56"/>
    <x v="3"/>
  </r>
  <r>
    <n v="4501"/>
    <s v="MUJER"/>
    <n v="404459"/>
    <x v="3"/>
    <x v="1"/>
    <s v="SI"/>
    <s v="NO"/>
    <s v="SI"/>
    <n v="29"/>
    <n v="0.91603897814407031"/>
    <s v="No"/>
    <n v="0.36892348893527677"/>
    <s v="No"/>
    <n v="404459"/>
    <n v="29"/>
    <x v="3"/>
  </r>
  <r>
    <n v="4502"/>
    <s v="MUJER"/>
    <n v="333320"/>
    <x v="0"/>
    <x v="1"/>
    <s v="SI"/>
    <s v="NO"/>
    <s v="NO"/>
    <n v="20"/>
    <n v="1.5512169488383079"/>
    <s v="No"/>
    <n v="0.37010729211316457"/>
    <s v="No"/>
    <n v="333320"/>
    <n v="20"/>
    <x v="0"/>
  </r>
  <r>
    <n v="4503"/>
    <s v="HOMBRE"/>
    <n v="45219821"/>
    <x v="0"/>
    <x v="1"/>
    <s v="SI"/>
    <s v="NO"/>
    <s v="NO"/>
    <n v="31"/>
    <n v="0.77488831798979529"/>
    <s v="No"/>
    <n v="0.37683577045537997"/>
    <s v="No"/>
    <n v="45219821"/>
    <n v="31"/>
    <x v="0"/>
  </r>
  <r>
    <n v="4504"/>
    <s v="HOMBRE"/>
    <n v="126007652"/>
    <x v="0"/>
    <x v="1"/>
    <s v="SI"/>
    <s v="NO"/>
    <s v="NO"/>
    <n v="30"/>
    <n v="0.84546364806693275"/>
    <s v="No"/>
    <n v="1.7212023074106662"/>
    <s v="No"/>
    <n v="126007652"/>
    <n v="30"/>
    <x v="0"/>
  </r>
  <r>
    <n v="4505"/>
    <s v="HOMBRE"/>
    <n v="1045500"/>
    <x v="0"/>
    <x v="1"/>
    <s v="SI"/>
    <s v="NO"/>
    <s v="NO"/>
    <n v="39"/>
    <n v="0.21028567737269524"/>
    <s v="No"/>
    <n v="0.35825611417661596"/>
    <s v="No"/>
    <n v="1045500"/>
    <n v="39"/>
    <x v="0"/>
  </r>
  <r>
    <n v="4506"/>
    <s v="MUJER"/>
    <n v="108483084"/>
    <x v="0"/>
    <x v="0"/>
    <s v="SI"/>
    <s v="NO"/>
    <s v="NO"/>
    <n v="36"/>
    <n v="0.42201166760410774"/>
    <s v="No"/>
    <n v="1.4295811250843649"/>
    <s v="No"/>
    <n v="108483084"/>
    <n v="36"/>
    <x v="0"/>
  </r>
  <r>
    <n v="4507"/>
    <s v="HOMBRE"/>
    <n v="322474"/>
    <x v="2"/>
    <x v="1"/>
    <s v="SI"/>
    <s v="NO"/>
    <s v="NO"/>
    <n v="64"/>
    <n v="1.5540975745557424"/>
    <s v="No"/>
    <n v="0.37028777720948824"/>
    <s v="No"/>
    <n v="322474"/>
    <n v="64"/>
    <x v="2"/>
  </r>
  <r>
    <n v="4508"/>
    <s v="HOMBRE"/>
    <n v="400000"/>
    <x v="0"/>
    <x v="1"/>
    <s v="SI"/>
    <s v="NO"/>
    <s v="SI"/>
    <n v="46"/>
    <n v="0.2837416331672673"/>
    <s v="No"/>
    <n v="0.36899768984293924"/>
    <s v="No"/>
    <n v="400000"/>
    <n v="46"/>
    <x v="0"/>
  </r>
  <r>
    <n v="4509"/>
    <s v="HOMBRE"/>
    <n v="549600"/>
    <x v="3"/>
    <x v="1"/>
    <s v="SI"/>
    <s v="NO"/>
    <s v="NO"/>
    <n v="57"/>
    <n v="1.0600702640157798"/>
    <s v="No"/>
    <n v="0.36650824023847456"/>
    <s v="No"/>
    <n v="549600"/>
    <n v="57"/>
    <x v="3"/>
  </r>
  <r>
    <n v="4510"/>
    <s v="MUJER"/>
    <n v="280000"/>
    <x v="0"/>
    <x v="1"/>
    <s v="SI"/>
    <s v="NO"/>
    <s v="SI"/>
    <n v="48"/>
    <n v="0.42489229332154227"/>
    <s v="No"/>
    <n v="0.37099457455240292"/>
    <s v="No"/>
    <n v="280000"/>
    <n v="48"/>
    <x v="0"/>
  </r>
  <r>
    <n v="4511"/>
    <s v="MUJER"/>
    <n v="114474"/>
    <x v="0"/>
    <x v="1"/>
    <s v="SI"/>
    <s v="NO"/>
    <s v="NO"/>
    <n v="55"/>
    <n v="0.91891960386150484"/>
    <s v="No"/>
    <n v="0.37374904403922526"/>
    <s v="No"/>
    <n v="114474"/>
    <n v="55"/>
    <x v="0"/>
  </r>
  <r>
    <n v="4512"/>
    <s v="MUJER"/>
    <n v="32150909"/>
    <x v="0"/>
    <x v="1"/>
    <s v="SI"/>
    <s v="NO"/>
    <s v="NO"/>
    <n v="37"/>
    <n v="0.35143633752697023"/>
    <s v="No"/>
    <n v="0.15935984927099534"/>
    <s v="No"/>
    <n v="32150909"/>
    <n v="37"/>
    <x v="0"/>
  </r>
  <r>
    <n v="4513"/>
    <s v="HOMBRE"/>
    <n v="43841845"/>
    <x v="0"/>
    <x v="1"/>
    <s v="SI"/>
    <s v="NO"/>
    <s v="NO"/>
    <n v="43"/>
    <n v="7.2015642935854773E-2"/>
    <s v="No"/>
    <n v="0.35390527708531416"/>
    <s v="No"/>
    <n v="43841845"/>
    <n v="43"/>
    <x v="0"/>
  </r>
  <r>
    <n v="4514"/>
    <s v="HOMBRE"/>
    <n v="617575"/>
    <x v="3"/>
    <x v="1"/>
    <s v="SI"/>
    <s v="NO"/>
    <s v="SI"/>
    <n v="45"/>
    <n v="0.21316630309012977"/>
    <s v="No"/>
    <n v="0.36537708825409293"/>
    <s v="No"/>
    <n v="617575"/>
    <n v="45"/>
    <x v="3"/>
  </r>
  <r>
    <n v="4515"/>
    <s v="MUJER"/>
    <n v="542628"/>
    <x v="3"/>
    <x v="1"/>
    <s v="SI"/>
    <s v="NO"/>
    <s v="NO"/>
    <n v="55"/>
    <n v="0.91891960386150484"/>
    <s v="No"/>
    <n v="0.3666242592400944"/>
    <s v="No"/>
    <n v="542628"/>
    <n v="55"/>
    <x v="3"/>
  </r>
  <r>
    <n v="4516"/>
    <s v="HOMBRE"/>
    <n v="31907005"/>
    <x v="0"/>
    <x v="1"/>
    <s v="SI"/>
    <s v="NO"/>
    <s v="NO"/>
    <n v="40"/>
    <n v="0.13971034729555773"/>
    <s v="No"/>
    <n v="0.15530111453618678"/>
    <s v="No"/>
    <n v="31907005"/>
    <n v="40"/>
    <x v="0"/>
  </r>
  <r>
    <n v="4517"/>
    <s v="HOMBRE"/>
    <n v="440000"/>
    <x v="0"/>
    <x v="1"/>
    <s v="SI"/>
    <s v="NO"/>
    <s v="SI"/>
    <n v="58"/>
    <n v="1.1306455940929174"/>
    <s v="No"/>
    <n v="0.36833206160645132"/>
    <s v="No"/>
    <n v="440000"/>
    <n v="58"/>
    <x v="0"/>
  </r>
  <r>
    <n v="4518"/>
    <s v="MUJER"/>
    <n v="5851365"/>
    <x v="0"/>
    <x v="0"/>
    <s v="SI"/>
    <s v="NO"/>
    <s v="NO"/>
    <n v="43"/>
    <n v="7.2015642935854773E-2"/>
    <s v="No"/>
    <n v="0.27828312805789446"/>
    <s v="No"/>
    <n v="5851365"/>
    <n v="43"/>
    <x v="0"/>
  </r>
  <r>
    <n v="4519"/>
    <s v="MUJER"/>
    <n v="350000"/>
    <x v="0"/>
    <x v="1"/>
    <s v="SI"/>
    <s v="NO"/>
    <s v="SI"/>
    <n v="36"/>
    <n v="0.42201166760410774"/>
    <s v="No"/>
    <n v="0.36982972513854911"/>
    <s v="No"/>
    <n v="350000"/>
    <n v="36"/>
    <x v="0"/>
  </r>
  <r>
    <n v="4520"/>
    <s v="HOMBRE"/>
    <n v="403293"/>
    <x v="3"/>
    <x v="1"/>
    <s v="SI"/>
    <s v="NO"/>
    <s v="SI"/>
    <n v="62"/>
    <n v="1.4129469144014672"/>
    <s v="No"/>
    <n v="0.36894289199837038"/>
    <s v="No"/>
    <n v="403293"/>
    <n v="62"/>
    <x v="3"/>
  </r>
  <r>
    <n v="4521"/>
    <s v="HOMBRE"/>
    <n v="323500"/>
    <x v="0"/>
    <x v="1"/>
    <s v="SI"/>
    <s v="NO"/>
    <s v="NO"/>
    <n v="37"/>
    <n v="0.35143633752697023"/>
    <s v="No"/>
    <n v="0.37027070384522232"/>
    <s v="No"/>
    <n v="323500"/>
    <n v="37"/>
    <x v="0"/>
  </r>
  <r>
    <n v="4522"/>
    <s v="HOMBRE"/>
    <n v="78000"/>
    <x v="0"/>
    <x v="1"/>
    <s v="SI"/>
    <s v="NO"/>
    <s v="SI"/>
    <n v="71"/>
    <n v="2.0481248850957048"/>
    <s v="Sí"/>
    <n v="0.37435599714666673"/>
    <s v="No"/>
    <n v="78000"/>
    <n v="71"/>
    <x v="0"/>
  </r>
  <r>
    <n v="4523"/>
    <s v="MUJER"/>
    <n v="85775311"/>
    <x v="0"/>
    <x v="1"/>
    <s v="SI"/>
    <s v="NO"/>
    <s v="NO"/>
    <n v="32"/>
    <n v="0.70431298791265773"/>
    <s v="No"/>
    <n v="1.0517077526704335"/>
    <s v="No"/>
    <n v="85775311"/>
    <n v="32"/>
    <x v="0"/>
  </r>
  <r>
    <n v="4524"/>
    <s v="HOMBRE"/>
    <n v="509509"/>
    <x v="3"/>
    <x v="1"/>
    <s v="SI"/>
    <s v="NO"/>
    <s v="SI"/>
    <n v="40"/>
    <n v="0.13971034729555773"/>
    <s v="No"/>
    <n v="0.36717538277920042"/>
    <s v="No"/>
    <n v="509509"/>
    <n v="40"/>
    <x v="3"/>
  </r>
  <r>
    <n v="4525"/>
    <s v="HOMBRE"/>
    <n v="1523214"/>
    <x v="0"/>
    <x v="0"/>
    <s v="SI"/>
    <s v="NO"/>
    <s v="NO"/>
    <n v="38"/>
    <n v="0.28086100744983278"/>
    <s v="No"/>
    <n v="0.35030661599247659"/>
    <s v="No"/>
    <n v="1523214"/>
    <n v="38"/>
    <x v="0"/>
  </r>
  <r>
    <n v="4526"/>
    <s v="HOMBRE"/>
    <n v="81079974"/>
    <x v="0"/>
    <x v="1"/>
    <s v="SI"/>
    <s v="NO"/>
    <s v="NO"/>
    <n v="47"/>
    <n v="0.35431696324440481"/>
    <s v="No"/>
    <n v="0.97357403049477531"/>
    <s v="No"/>
    <n v="81079974"/>
    <n v="47"/>
    <x v="0"/>
  </r>
  <r>
    <n v="4527"/>
    <s v="MUJER"/>
    <n v="11433182"/>
    <x v="0"/>
    <x v="0"/>
    <s v="SI"/>
    <s v="NO"/>
    <s v="NO"/>
    <n v="59"/>
    <n v="1.2012209241700549"/>
    <s v="No"/>
    <n v="0.18539775290519175"/>
    <s v="No"/>
    <n v="11433182"/>
    <n v="59"/>
    <x v="0"/>
  </r>
  <r>
    <n v="4528"/>
    <s v="HOMBRE"/>
    <n v="297045"/>
    <x v="2"/>
    <x v="1"/>
    <s v="SI"/>
    <s v="SI"/>
    <s v="NO"/>
    <n v="76"/>
    <n v="2.4010015354813925"/>
    <s v="Sí"/>
    <n v="0.37071093372012948"/>
    <s v="No"/>
    <n v="297045"/>
    <n v="76"/>
    <x v="2"/>
  </r>
  <r>
    <n v="4529"/>
    <s v="HOMBRE"/>
    <n v="365464"/>
    <x v="0"/>
    <x v="0"/>
    <s v="SI"/>
    <s v="NO"/>
    <s v="NO"/>
    <n v="31"/>
    <n v="0.77488831798979529"/>
    <s v="No"/>
    <n v="0.36957239326232288"/>
    <s v="No"/>
    <n v="365464"/>
    <n v="31"/>
    <x v="0"/>
  </r>
  <r>
    <n v="4530"/>
    <s v="MUJER"/>
    <n v="19577086"/>
    <x v="0"/>
    <x v="0"/>
    <s v="SI"/>
    <s v="NO"/>
    <s v="NO"/>
    <n v="52"/>
    <n v="0.70719361363009237"/>
    <s v="No"/>
    <n v="4.9877441464025521E-2"/>
    <s v="No"/>
    <n v="19577086"/>
    <n v="52"/>
    <x v="0"/>
  </r>
  <r>
    <n v="4531"/>
    <s v="HOMBRE"/>
    <n v="600000"/>
    <x v="0"/>
    <x v="1"/>
    <s v="SI"/>
    <s v="NO"/>
    <s v="NO"/>
    <n v="32"/>
    <n v="0.70431298791265773"/>
    <s v="No"/>
    <n v="0.36566954866049978"/>
    <s v="No"/>
    <n v="600000"/>
    <n v="32"/>
    <x v="0"/>
  </r>
  <r>
    <n v="4532"/>
    <s v="HOMBRE"/>
    <n v="1610843"/>
    <x v="0"/>
    <x v="0"/>
    <s v="SI"/>
    <s v="NO"/>
    <s v="NO"/>
    <n v="42"/>
    <n v="1.4403128587172659E-3"/>
    <s v="No"/>
    <n v="0.34884840757409669"/>
    <s v="No"/>
    <n v="1610843"/>
    <n v="42"/>
    <x v="0"/>
  </r>
  <r>
    <n v="4533"/>
    <s v="HOMBRE"/>
    <n v="3192744"/>
    <x v="0"/>
    <x v="1"/>
    <s v="SI"/>
    <s v="SI"/>
    <s v="NO"/>
    <n v="36"/>
    <n v="0.42201166760410774"/>
    <s v="No"/>
    <n v="0.32252445825088605"/>
    <s v="No"/>
    <n v="3192744"/>
    <n v="36"/>
    <x v="0"/>
  </r>
  <r>
    <n v="4534"/>
    <s v="HOMBRE"/>
    <n v="42759098"/>
    <x v="0"/>
    <x v="1"/>
    <s v="SI"/>
    <s v="NO"/>
    <s v="SI"/>
    <n v="61"/>
    <n v="1.3423715843243298"/>
    <s v="No"/>
    <n v="0.33588760268100037"/>
    <s v="No"/>
    <n v="42759098"/>
    <n v="61"/>
    <x v="0"/>
  </r>
  <r>
    <n v="4535"/>
    <s v="HOMBRE"/>
    <n v="54342736"/>
    <x v="0"/>
    <x v="1"/>
    <s v="SI"/>
    <s v="NO"/>
    <s v="NO"/>
    <n v="27"/>
    <n v="1.0571896382983452"/>
    <s v="No"/>
    <n v="0.52864751603235227"/>
    <s v="No"/>
    <n v="54342736"/>
    <n v="27"/>
    <x v="0"/>
  </r>
  <r>
    <n v="4536"/>
    <s v="HOMBRE"/>
    <n v="34205963"/>
    <x v="0"/>
    <x v="1"/>
    <s v="SI"/>
    <s v="NO"/>
    <s v="NO"/>
    <n v="49"/>
    <n v="0.49546762339867978"/>
    <s v="No"/>
    <n v="0.19355739851867979"/>
    <s v="No"/>
    <n v="34205963"/>
    <n v="49"/>
    <x v="0"/>
  </r>
  <r>
    <n v="4537"/>
    <s v="MUJER"/>
    <n v="187070454"/>
    <x v="0"/>
    <x v="1"/>
    <s v="SI"/>
    <s v="NO"/>
    <s v="NO"/>
    <n v="28"/>
    <n v="0.98661430822120777"/>
    <s v="No"/>
    <n v="2.7373304376673917"/>
    <s v="Sí"/>
    <n v="187070454"/>
    <n v="28"/>
    <x v="0"/>
  </r>
  <r>
    <n v="4538"/>
    <s v="HOMBRE"/>
    <n v="317000"/>
    <x v="0"/>
    <x v="1"/>
    <s v="SI"/>
    <s v="SI"/>
    <s v="NO"/>
    <n v="53"/>
    <n v="0.77776894370722982"/>
    <s v="No"/>
    <n v="0.37037886843365159"/>
    <s v="No"/>
    <n v="317000"/>
    <n v="53"/>
    <x v="0"/>
  </r>
  <r>
    <n v="4539"/>
    <s v="MUJER"/>
    <n v="40380682"/>
    <x v="0"/>
    <x v="1"/>
    <s v="SI"/>
    <s v="NO"/>
    <s v="NO"/>
    <n v="45"/>
    <n v="0.21316630309012977"/>
    <s v="No"/>
    <n v="0.29630908148813601"/>
    <s v="No"/>
    <n v="40380682"/>
    <n v="45"/>
    <x v="0"/>
  </r>
  <r>
    <n v="4540"/>
    <s v="MUJER"/>
    <n v="17090891"/>
    <x v="0"/>
    <x v="0"/>
    <s v="SI"/>
    <s v="NO"/>
    <s v="NO"/>
    <n v="49"/>
    <n v="0.49546762339867978"/>
    <s v="No"/>
    <n v="9.1249481299400581E-2"/>
    <s v="No"/>
    <n v="17090891"/>
    <n v="49"/>
    <x v="0"/>
  </r>
  <r>
    <n v="4541"/>
    <s v="HOMBRE"/>
    <n v="278030"/>
    <x v="4"/>
    <x v="1"/>
    <s v="SI"/>
    <s v="NO"/>
    <s v="NO"/>
    <n v="43"/>
    <n v="7.2015642935854773E-2"/>
    <s v="No"/>
    <n v="0.37102735674304993"/>
    <s v="No"/>
    <n v="278030"/>
    <n v="43"/>
    <x v="4"/>
  </r>
  <r>
    <n v="4542"/>
    <s v="MUJER"/>
    <n v="35153184"/>
    <x v="0"/>
    <x v="1"/>
    <s v="SI"/>
    <s v="NO"/>
    <s v="NO"/>
    <n v="35"/>
    <n v="0.49258699768124525"/>
    <s v="No"/>
    <n v="0.2093198246135371"/>
    <s v="No"/>
    <n v="35153184"/>
    <n v="35"/>
    <x v="0"/>
  </r>
  <r>
    <n v="4543"/>
    <s v="MUJER"/>
    <n v="568492"/>
    <x v="0"/>
    <x v="0"/>
    <s v="SI"/>
    <s v="NO"/>
    <s v="NO"/>
    <n v="28"/>
    <n v="0.98661430822120777"/>
    <s v="No"/>
    <n v="0.3661938640223813"/>
    <s v="No"/>
    <n v="568492"/>
    <n v="28"/>
    <x v="0"/>
  </r>
  <r>
    <n v="4544"/>
    <s v="HOMBRE"/>
    <n v="353607"/>
    <x v="0"/>
    <x v="1"/>
    <s v="SI"/>
    <s v="NO"/>
    <s v="NO"/>
    <n v="51"/>
    <n v="0.6366182835529548"/>
    <s v="No"/>
    <n v="0.36976970211232379"/>
    <s v="No"/>
    <n v="353607"/>
    <n v="51"/>
    <x v="0"/>
  </r>
  <r>
    <n v="4545"/>
    <s v="MUJER"/>
    <n v="1932000"/>
    <x v="0"/>
    <x v="1"/>
    <s v="SI"/>
    <s v="NO"/>
    <s v="NO"/>
    <n v="51"/>
    <n v="0.6366182835529548"/>
    <s v="No"/>
    <n v="0.34350412838545313"/>
    <s v="No"/>
    <n v="1932000"/>
    <n v="51"/>
    <x v="0"/>
  </r>
  <r>
    <n v="4546"/>
    <s v="MUJER"/>
    <n v="560498"/>
    <x v="3"/>
    <x v="1"/>
    <s v="SI"/>
    <s v="NO"/>
    <s v="SI"/>
    <n v="51"/>
    <n v="0.6366182835529548"/>
    <s v="No"/>
    <n v="0.36632688982544342"/>
    <s v="No"/>
    <n v="560498"/>
    <n v="51"/>
    <x v="3"/>
  </r>
  <r>
    <n v="4547"/>
    <s v="HOMBRE"/>
    <n v="566297"/>
    <x v="2"/>
    <x v="1"/>
    <s v="SI"/>
    <s v="NO"/>
    <s v="NO"/>
    <n v="55"/>
    <n v="0.91891960386150484"/>
    <s v="No"/>
    <n v="0.36623039037185856"/>
    <s v="No"/>
    <n v="566297"/>
    <n v="55"/>
    <x v="2"/>
  </r>
  <r>
    <n v="4548"/>
    <s v="MUJER"/>
    <n v="1330373"/>
    <x v="0"/>
    <x v="0"/>
    <s v="SI"/>
    <s v="NO"/>
    <s v="NO"/>
    <n v="25"/>
    <n v="1.1983402984526204"/>
    <s v="No"/>
    <n v="0.35351562636129064"/>
    <s v="No"/>
    <n v="1330373"/>
    <n v="25"/>
    <x v="0"/>
  </r>
  <r>
    <n v="4549"/>
    <s v="HOMBRE"/>
    <n v="1848072"/>
    <x v="0"/>
    <x v="0"/>
    <s v="SI"/>
    <s v="NO"/>
    <s v="SI"/>
    <n v="63"/>
    <n v="1.4835222444786049"/>
    <s v="No"/>
    <n v="0.34490074955125205"/>
    <s v="No"/>
    <n v="1848072"/>
    <n v="63"/>
    <x v="0"/>
  </r>
  <r>
    <n v="4550"/>
    <s v="HOMBRE"/>
    <n v="162474595"/>
    <x v="0"/>
    <x v="1"/>
    <s v="SI"/>
    <s v="NO"/>
    <s v="NO"/>
    <n v="38"/>
    <n v="0.28086100744983278"/>
    <s v="No"/>
    <n v="2.3280379813905236"/>
    <s v="Sí"/>
    <n v="162474595"/>
    <n v="38"/>
    <x v="0"/>
  </r>
  <r>
    <n v="4551"/>
    <s v="HOMBRE"/>
    <n v="69306336"/>
    <x v="0"/>
    <x v="1"/>
    <s v="SI"/>
    <s v="NO"/>
    <s v="NO"/>
    <n v="45"/>
    <n v="0.21316630309012977"/>
    <s v="No"/>
    <n v="0.77765238302010598"/>
    <s v="No"/>
    <n v="69306336"/>
    <n v="45"/>
    <x v="0"/>
  </r>
  <r>
    <n v="4552"/>
    <s v="HOMBRE"/>
    <n v="47656667"/>
    <x v="0"/>
    <x v="1"/>
    <s v="SI"/>
    <s v="NO"/>
    <s v="NO"/>
    <n v="33"/>
    <n v="0.63373765783552027"/>
    <s v="No"/>
    <n v="0.41738660809469402"/>
    <s v="No"/>
    <n v="47656667"/>
    <n v="33"/>
    <x v="0"/>
  </r>
  <r>
    <n v="4553"/>
    <s v="MUJER"/>
    <n v="297429"/>
    <x v="3"/>
    <x v="1"/>
    <s v="SI"/>
    <s v="NO"/>
    <s v="SI"/>
    <n v="65"/>
    <n v="1.6246729046328798"/>
    <s v="No"/>
    <n v="0.3707045436890592"/>
    <s v="No"/>
    <n v="297429"/>
    <n v="65"/>
    <x v="3"/>
  </r>
  <r>
    <n v="4554"/>
    <s v="HOMBRE"/>
    <n v="35530"/>
    <x v="0"/>
    <x v="1"/>
    <s v="SI"/>
    <s v="SI"/>
    <s v="NO"/>
    <n v="37"/>
    <n v="0.35143633752697023"/>
    <s v="No"/>
    <n v="0.37506272792675777"/>
    <s v="No"/>
    <n v="35530"/>
    <n v="37"/>
    <x v="0"/>
  </r>
  <r>
    <n v="4555"/>
    <s v="HOMBRE"/>
    <n v="47656294"/>
    <x v="0"/>
    <x v="1"/>
    <s v="SI"/>
    <s v="SI"/>
    <s v="NO"/>
    <n v="32"/>
    <n v="0.70431298791265773"/>
    <s v="No"/>
    <n v="0.41738040111138874"/>
    <s v="No"/>
    <n v="47656294"/>
    <n v="32"/>
    <x v="0"/>
  </r>
  <r>
    <n v="4556"/>
    <s v="MUJER"/>
    <n v="297046"/>
    <x v="2"/>
    <x v="1"/>
    <s v="SI"/>
    <s v="SI"/>
    <s v="NO"/>
    <n v="38"/>
    <n v="0.28086100744983278"/>
    <s v="No"/>
    <n v="0.37071091707942361"/>
    <s v="No"/>
    <n v="297046"/>
    <n v="38"/>
    <x v="2"/>
  </r>
  <r>
    <n v="4557"/>
    <s v="HOMBRE"/>
    <n v="381640"/>
    <x v="0"/>
    <x v="1"/>
    <s v="SI"/>
    <s v="NO"/>
    <s v="NO"/>
    <n v="53"/>
    <n v="0.77776894370722982"/>
    <s v="No"/>
    <n v="0.36930321320348719"/>
    <s v="No"/>
    <n v="381640"/>
    <n v="53"/>
    <x v="0"/>
  </r>
  <r>
    <n v="4558"/>
    <s v="HOMBRE"/>
    <n v="323296"/>
    <x v="2"/>
    <x v="1"/>
    <s v="SI"/>
    <s v="NO"/>
    <s v="NO"/>
    <n v="31"/>
    <n v="0.77488831798979529"/>
    <s v="No"/>
    <n v="0.37027409854922838"/>
    <s v="No"/>
    <n v="323296"/>
    <n v="31"/>
    <x v="2"/>
  </r>
  <r>
    <n v="4559"/>
    <s v="HOMBRE"/>
    <n v="1730544"/>
    <x v="0"/>
    <x v="1"/>
    <s v="SI"/>
    <s v="NO"/>
    <s v="NO"/>
    <n v="31"/>
    <n v="0.77488831798979529"/>
    <s v="No"/>
    <n v="0.34685649843570077"/>
    <s v="No"/>
    <n v="1730544"/>
    <n v="31"/>
    <x v="0"/>
  </r>
  <r>
    <n v="4560"/>
    <s v="HOMBRE"/>
    <n v="670740"/>
    <x v="0"/>
    <x v="1"/>
    <s v="SI"/>
    <s v="NO"/>
    <s v="NO"/>
    <n v="27"/>
    <n v="1.0571896382983452"/>
    <s v="No"/>
    <n v="0.36449238512427096"/>
    <s v="No"/>
    <n v="670740"/>
    <n v="27"/>
    <x v="0"/>
  </r>
  <r>
    <n v="4561"/>
    <s v="HOMBRE"/>
    <n v="290000"/>
    <x v="0"/>
    <x v="1"/>
    <s v="SI"/>
    <s v="SI"/>
    <s v="NO"/>
    <n v="42"/>
    <n v="1.4403128587172659E-3"/>
    <s v="No"/>
    <n v="0.3708281674932809"/>
    <s v="No"/>
    <n v="290000"/>
    <n v="42"/>
    <x v="0"/>
  </r>
  <r>
    <n v="4562"/>
    <s v="HOMBRE"/>
    <n v="54209532"/>
    <x v="1"/>
    <x v="0"/>
    <s v="SI"/>
    <s v="NO"/>
    <s v="NO"/>
    <n v="64"/>
    <n v="1.5540975745557424"/>
    <s v="No"/>
    <n v="0.52643090744202392"/>
    <s v="No"/>
    <n v="54209532"/>
    <n v="64"/>
    <x v="1"/>
  </r>
  <r>
    <n v="4563"/>
    <s v="HOMBRE"/>
    <n v="6955747"/>
    <x v="0"/>
    <x v="1"/>
    <s v="SI"/>
    <s v="NO"/>
    <s v="NO"/>
    <n v="55"/>
    <n v="0.91891960386150484"/>
    <s v="No"/>
    <n v="0.25990543198117033"/>
    <s v="No"/>
    <n v="6955747"/>
    <n v="55"/>
    <x v="0"/>
  </r>
  <r>
    <n v="4564"/>
    <s v="HOMBRE"/>
    <n v="299784"/>
    <x v="3"/>
    <x v="1"/>
    <s v="SI"/>
    <s v="NO"/>
    <s v="NO"/>
    <n v="39"/>
    <n v="0.21028567737269524"/>
    <s v="No"/>
    <n v="0.37066535482663598"/>
    <s v="No"/>
    <n v="299784"/>
    <n v="39"/>
    <x v="3"/>
  </r>
  <r>
    <n v="4565"/>
    <s v="HOMBRE"/>
    <n v="1166115"/>
    <x v="0"/>
    <x v="0"/>
    <s v="SI"/>
    <s v="NO"/>
    <s v="SI"/>
    <n v="64"/>
    <n v="1.5540975745557424"/>
    <s v="No"/>
    <n v="0.3562489954330163"/>
    <s v="No"/>
    <n v="1166115"/>
    <n v="64"/>
    <x v="0"/>
  </r>
  <r>
    <n v="4566"/>
    <s v="HOMBRE"/>
    <n v="300018"/>
    <x v="3"/>
    <x v="1"/>
    <s v="SI"/>
    <s v="NO"/>
    <s v="SI"/>
    <n v="51"/>
    <n v="0.6366182835529548"/>
    <s v="No"/>
    <n v="0.37066146090145252"/>
    <s v="No"/>
    <n v="300018"/>
    <n v="51"/>
    <x v="3"/>
  </r>
  <r>
    <n v="4567"/>
    <s v="HOMBRE"/>
    <n v="52423619"/>
    <x v="0"/>
    <x v="1"/>
    <s v="SI"/>
    <s v="NO"/>
    <s v="NO"/>
    <n v="54"/>
    <n v="0.84834427378436728"/>
    <s v="No"/>
    <n v="0.49671205442425415"/>
    <s v="No"/>
    <n v="52423619"/>
    <n v="54"/>
    <x v="0"/>
  </r>
  <r>
    <n v="4568"/>
    <s v="MUJER"/>
    <n v="298155"/>
    <x v="2"/>
    <x v="1"/>
    <s v="SI"/>
    <s v="NO"/>
    <s v="NO"/>
    <n v="75"/>
    <n v="2.330426205404255"/>
    <s v="Sí"/>
    <n v="0.37069246253656696"/>
    <s v="No"/>
    <n v="298155"/>
    <n v="75"/>
    <x v="2"/>
  </r>
  <r>
    <n v="4569"/>
    <s v="HOMBRE"/>
    <n v="34750119"/>
    <x v="0"/>
    <x v="1"/>
    <s v="SI"/>
    <s v="NO"/>
    <s v="NO"/>
    <n v="68"/>
    <n v="1.8363988948642924"/>
    <s v="No"/>
    <n v="0.20261253848503735"/>
    <s v="No"/>
    <n v="34750119"/>
    <n v="68"/>
    <x v="0"/>
  </r>
  <r>
    <n v="4570"/>
    <s v="HOMBRE"/>
    <n v="280000"/>
    <x v="0"/>
    <x v="1"/>
    <s v="SI"/>
    <s v="NO"/>
    <s v="NO"/>
    <n v="24"/>
    <n v="1.2689156285297578"/>
    <s v="No"/>
    <n v="0.37099457455240292"/>
    <s v="No"/>
    <n v="280000"/>
    <n v="24"/>
    <x v="0"/>
  </r>
  <r>
    <n v="4571"/>
    <s v="HOMBRE"/>
    <n v="35011218"/>
    <x v="0"/>
    <x v="1"/>
    <s v="SI"/>
    <s v="NO"/>
    <s v="NO"/>
    <n v="29"/>
    <n v="0.91603897814407031"/>
    <s v="No"/>
    <n v="0.20695741015800612"/>
    <s v="No"/>
    <n v="35011218"/>
    <n v="29"/>
    <x v="0"/>
  </r>
  <r>
    <n v="4572"/>
    <s v="MUJER"/>
    <n v="815000"/>
    <x v="0"/>
    <x v="1"/>
    <s v="SI"/>
    <s v="NO"/>
    <s v="NO"/>
    <n v="28"/>
    <n v="0.98661430822120777"/>
    <s v="No"/>
    <n v="0.36209179688937743"/>
    <s v="No"/>
    <n v="815000"/>
    <n v="28"/>
    <x v="0"/>
  </r>
  <r>
    <n v="4573"/>
    <s v="HOMBRE"/>
    <n v="1207124"/>
    <x v="2"/>
    <x v="1"/>
    <s v="SI"/>
    <s v="NO"/>
    <s v="NO"/>
    <n v="52"/>
    <n v="0.70719361363009237"/>
    <s v="No"/>
    <n v="0.35556657672426301"/>
    <s v="No"/>
    <n v="1207124"/>
    <n v="52"/>
    <x v="2"/>
  </r>
  <r>
    <n v="4574"/>
    <s v="HOMBRE"/>
    <n v="86075063"/>
    <x v="0"/>
    <x v="1"/>
    <s v="SI"/>
    <s v="NO"/>
    <s v="NO"/>
    <n v="25"/>
    <n v="1.1983402984526204"/>
    <s v="No"/>
    <n v="1.0566958375490263"/>
    <s v="No"/>
    <n v="86075063"/>
    <n v="25"/>
    <x v="0"/>
  </r>
  <r>
    <n v="4575"/>
    <s v="HOMBRE"/>
    <n v="278030"/>
    <x v="3"/>
    <x v="1"/>
    <s v="SI"/>
    <s v="NO"/>
    <s v="NO"/>
    <n v="35"/>
    <n v="0.49258699768124525"/>
    <s v="No"/>
    <n v="0.37102735674304993"/>
    <s v="No"/>
    <n v="278030"/>
    <n v="35"/>
    <x v="3"/>
  </r>
  <r>
    <n v="4576"/>
    <s v="HOMBRE"/>
    <n v="297046"/>
    <x v="2"/>
    <x v="1"/>
    <s v="SI"/>
    <s v="NO"/>
    <s v="NO"/>
    <n v="56"/>
    <n v="0.9894949339386423"/>
    <s v="No"/>
    <n v="0.37071091707942361"/>
    <s v="No"/>
    <n v="297046"/>
    <n v="56"/>
    <x v="2"/>
  </r>
  <r>
    <n v="4577"/>
    <s v="MUJER"/>
    <n v="39191675"/>
    <x v="0"/>
    <x v="1"/>
    <s v="SI"/>
    <s v="SI"/>
    <s v="NO"/>
    <n v="33"/>
    <n v="0.63373765783552027"/>
    <s v="No"/>
    <n v="0.2765231656735922"/>
    <s v="No"/>
    <n v="39191675"/>
    <n v="33"/>
    <x v="0"/>
  </r>
  <r>
    <n v="4578"/>
    <s v="HOMBRE"/>
    <n v="442458"/>
    <x v="0"/>
    <x v="1"/>
    <s v="SI"/>
    <s v="SI"/>
    <s v="NO"/>
    <n v="27"/>
    <n v="1.0571896382983452"/>
    <s v="No"/>
    <n v="0.36829115875131918"/>
    <s v="No"/>
    <n v="442458"/>
    <n v="27"/>
    <x v="0"/>
  </r>
  <r>
    <n v="4579"/>
    <s v="HOMBRE"/>
    <n v="639148"/>
    <x v="3"/>
    <x v="1"/>
    <s v="SI"/>
    <s v="NO"/>
    <s v="SI"/>
    <n v="42"/>
    <n v="1.4403128587172659E-3"/>
    <s v="No"/>
    <n v="0.36501809830544912"/>
    <s v="No"/>
    <n v="639148"/>
    <n v="42"/>
    <x v="3"/>
  </r>
  <r>
    <n v="4580"/>
    <s v="HOMBRE"/>
    <n v="4609109"/>
    <x v="0"/>
    <x v="1"/>
    <s v="SI"/>
    <s v="NO"/>
    <s v="NO"/>
    <n v="43"/>
    <n v="7.2015642935854773E-2"/>
    <s v="No"/>
    <n v="0.29895514482155688"/>
    <s v="No"/>
    <n v="4609109"/>
    <n v="43"/>
    <x v="0"/>
  </r>
  <r>
    <n v="4581"/>
    <s v="MUJER"/>
    <n v="361420"/>
    <x v="3"/>
    <x v="1"/>
    <s v="SI"/>
    <s v="NO"/>
    <s v="SI"/>
    <n v="52"/>
    <n v="0.70719361363009237"/>
    <s v="No"/>
    <n v="0.36963968827703181"/>
    <s v="No"/>
    <n v="361420"/>
    <n v="52"/>
    <x v="3"/>
  </r>
  <r>
    <n v="4582"/>
    <s v="HOMBRE"/>
    <n v="301853"/>
    <x v="3"/>
    <x v="1"/>
    <s v="SI"/>
    <s v="NO"/>
    <s v="NO"/>
    <n v="25"/>
    <n v="1.1983402984526204"/>
    <s v="No"/>
    <n v="0.37063092520610363"/>
    <s v="No"/>
    <n v="301853"/>
    <n v="25"/>
    <x v="3"/>
  </r>
  <r>
    <n v="4583"/>
    <s v="HOMBRE"/>
    <n v="26362226"/>
    <x v="0"/>
    <x v="1"/>
    <s v="SI"/>
    <s v="NO"/>
    <s v="NO"/>
    <n v="20"/>
    <n v="1.5512169488383079"/>
    <s v="No"/>
    <n v="6.3032077849060036E-2"/>
    <s v="No"/>
    <n v="26362226"/>
    <n v="20"/>
    <x v="0"/>
  </r>
  <r>
    <n v="4584"/>
    <s v="HOMBRE"/>
    <n v="511600"/>
    <x v="0"/>
    <x v="1"/>
    <s v="SI"/>
    <s v="NO"/>
    <s v="NO"/>
    <n v="22"/>
    <n v="1.4100662886840327"/>
    <s v="No"/>
    <n v="0.36714058706313801"/>
    <s v="No"/>
    <n v="511600"/>
    <n v="22"/>
    <x v="0"/>
  </r>
  <r>
    <n v="4585"/>
    <s v="MUJER"/>
    <n v="83177112"/>
    <x v="0"/>
    <x v="1"/>
    <s v="SI"/>
    <s v="NO"/>
    <s v="NO"/>
    <n v="29"/>
    <n v="0.91603897814407031"/>
    <s v="No"/>
    <n v="1.0084718872100686"/>
    <s v="No"/>
    <n v="83177112"/>
    <n v="29"/>
    <x v="0"/>
  </r>
  <r>
    <n v="4586"/>
    <s v="MUJER"/>
    <n v="297045"/>
    <x v="2"/>
    <x v="1"/>
    <s v="SI"/>
    <s v="NO"/>
    <s v="NO"/>
    <n v="20"/>
    <n v="1.5512169488383079"/>
    <s v="No"/>
    <n v="0.37071093372012948"/>
    <s v="No"/>
    <n v="297045"/>
    <n v="20"/>
    <x v="2"/>
  </r>
  <r>
    <n v="4587"/>
    <s v="HOMBRE"/>
    <n v="518519"/>
    <x v="3"/>
    <x v="1"/>
    <s v="SI"/>
    <s v="NO"/>
    <s v="SI"/>
    <n v="43"/>
    <n v="7.2015642935854773E-2"/>
    <s v="No"/>
    <n v="0.36702545001893155"/>
    <s v="No"/>
    <n v="518519"/>
    <n v="43"/>
    <x v="3"/>
  </r>
  <r>
    <n v="4588"/>
    <s v="HOMBRE"/>
    <n v="239200"/>
    <x v="0"/>
    <x v="1"/>
    <s v="SI"/>
    <s v="NO"/>
    <s v="NO"/>
    <n v="27"/>
    <n v="1.0571896382983452"/>
    <s v="No"/>
    <n v="0.37167351535362053"/>
    <s v="No"/>
    <n v="239200"/>
    <n v="27"/>
    <x v="0"/>
  </r>
  <r>
    <n v="4589"/>
    <s v="HOMBRE"/>
    <n v="445567"/>
    <x v="3"/>
    <x v="1"/>
    <s v="SI"/>
    <s v="NO"/>
    <s v="NO"/>
    <n v="46"/>
    <n v="0.2837416331672673"/>
    <s v="No"/>
    <n v="0.36823942279663813"/>
    <s v="No"/>
    <n v="445567"/>
    <n v="46"/>
    <x v="3"/>
  </r>
  <r>
    <n v="4590"/>
    <s v="MUJER"/>
    <n v="211216"/>
    <x v="0"/>
    <x v="0"/>
    <s v="SI"/>
    <s v="NO"/>
    <s v="NO"/>
    <n v="34"/>
    <n v="0.56316232775838282"/>
    <s v="No"/>
    <n v="0.37213918886786745"/>
    <s v="No"/>
    <n v="211216"/>
    <n v="34"/>
    <x v="0"/>
  </r>
  <r>
    <n v="4591"/>
    <s v="HOMBRE"/>
    <n v="41000002"/>
    <x v="0"/>
    <x v="1"/>
    <s v="SI"/>
    <s v="NO"/>
    <s v="NO"/>
    <n v="25"/>
    <n v="1.1983402984526204"/>
    <s v="No"/>
    <n v="0.30661500347367798"/>
    <s v="No"/>
    <n v="41000002"/>
    <n v="25"/>
    <x v="0"/>
  </r>
  <r>
    <n v="4592"/>
    <s v="HOMBRE"/>
    <n v="33257779"/>
    <x v="0"/>
    <x v="0"/>
    <s v="SI"/>
    <s v="NO"/>
    <s v="NO"/>
    <n v="62"/>
    <n v="1.4129469144014672"/>
    <s v="No"/>
    <n v="0.17777894742402903"/>
    <s v="No"/>
    <n v="33257779"/>
    <n v="62"/>
    <x v="0"/>
  </r>
  <r>
    <n v="4593"/>
    <s v="MUJER"/>
    <n v="30666962"/>
    <x v="0"/>
    <x v="0"/>
    <s v="SI"/>
    <s v="SI"/>
    <s v="NO"/>
    <n v="49"/>
    <n v="0.49546762339867978"/>
    <s v="No"/>
    <n v="0.13466592365470806"/>
    <s v="No"/>
    <n v="30666962"/>
    <n v="49"/>
    <x v="0"/>
  </r>
  <r>
    <n v="4594"/>
    <s v="MUJER"/>
    <n v="40546455"/>
    <x v="0"/>
    <x v="1"/>
    <s v="SI"/>
    <s v="NO"/>
    <s v="NO"/>
    <n v="35"/>
    <n v="0.49258699768124525"/>
    <s v="No"/>
    <n v="0.29906766122931872"/>
    <s v="No"/>
    <n v="40546455"/>
    <n v="35"/>
    <x v="0"/>
  </r>
  <r>
    <n v="4595"/>
    <s v="MUJER"/>
    <n v="56098756"/>
    <x v="1"/>
    <x v="0"/>
    <s v="SI"/>
    <s v="NO"/>
    <s v="NO"/>
    <n v="69"/>
    <n v="1.9069742249414299"/>
    <s v="No"/>
    <n v="0.55786892842828872"/>
    <s v="No"/>
    <n v="56098756"/>
    <n v="69"/>
    <x v="1"/>
  </r>
  <r>
    <n v="4596"/>
    <s v="HOMBRE"/>
    <n v="37473155"/>
    <x v="0"/>
    <x v="1"/>
    <s v="SI"/>
    <s v="SI"/>
    <s v="NO"/>
    <n v="36"/>
    <n v="0.42201166760410774"/>
    <s v="No"/>
    <n v="0.24792577974936311"/>
    <s v="No"/>
    <n v="37473155"/>
    <n v="36"/>
    <x v="0"/>
  </r>
  <r>
    <n v="4597"/>
    <s v="HOMBRE"/>
    <n v="650000"/>
    <x v="0"/>
    <x v="1"/>
    <s v="SI"/>
    <s v="NO"/>
    <s v="NO"/>
    <n v="45"/>
    <n v="0.21316630309012977"/>
    <s v="No"/>
    <n v="0.36483751336488995"/>
    <s v="No"/>
    <n v="650000"/>
    <n v="45"/>
    <x v="0"/>
  </r>
  <r>
    <n v="4598"/>
    <s v="HOMBRE"/>
    <n v="358640"/>
    <x v="2"/>
    <x v="1"/>
    <s v="SI"/>
    <s v="SI"/>
    <s v="NO"/>
    <n v="29"/>
    <n v="0.91603897814407031"/>
    <s v="No"/>
    <n v="0.3696859494394677"/>
    <s v="No"/>
    <n v="358640"/>
    <n v="29"/>
    <x v="2"/>
  </r>
  <r>
    <n v="4599"/>
    <s v="HOMBRE"/>
    <n v="8387863"/>
    <x v="0"/>
    <x v="1"/>
    <s v="SI"/>
    <s v="NO"/>
    <s v="NO"/>
    <n v="79"/>
    <n v="2.6127275257128049"/>
    <s v="Sí"/>
    <n v="0.23607401079301815"/>
    <s v="No"/>
    <n v="8387863"/>
    <n v="79"/>
    <x v="0"/>
  </r>
  <r>
    <n v="4600"/>
    <s v="HOMBRE"/>
    <n v="34458"/>
    <x v="0"/>
    <x v="1"/>
    <s v="SI"/>
    <s v="NO"/>
    <s v="NO"/>
    <n v="43"/>
    <n v="7.2015642935854773E-2"/>
    <s v="No"/>
    <n v="0.3750805667634956"/>
    <s v="No"/>
    <n v="34458"/>
    <n v="43"/>
    <x v="0"/>
  </r>
  <r>
    <n v="4601"/>
    <s v="HOMBRE"/>
    <n v="640000"/>
    <x v="0"/>
    <x v="1"/>
    <s v="SI"/>
    <s v="SI"/>
    <s v="NO"/>
    <n v="44"/>
    <n v="0.14259097301299228"/>
    <s v="No"/>
    <n v="0.36500392042401192"/>
    <s v="No"/>
    <n v="640000"/>
    <n v="44"/>
    <x v="0"/>
  </r>
  <r>
    <n v="4602"/>
    <s v="MUJER"/>
    <n v="736259"/>
    <x v="1"/>
    <x v="0"/>
    <s v="SI"/>
    <s v="NO"/>
    <s v="NO"/>
    <n v="82"/>
    <n v="2.8244535159442172"/>
    <s v="Sí"/>
    <n v="0.36340210271360973"/>
    <s v="No"/>
    <n v="736259"/>
    <n v="82"/>
    <x v="1"/>
  </r>
  <r>
    <n v="4603"/>
    <s v="HOMBRE"/>
    <n v="366300"/>
    <x v="0"/>
    <x v="1"/>
    <s v="SI"/>
    <s v="SI"/>
    <s v="NO"/>
    <n v="27"/>
    <n v="1.0571896382983452"/>
    <s v="No"/>
    <n v="0.3695584816321803"/>
    <s v="No"/>
    <n v="366300"/>
    <n v="27"/>
    <x v="0"/>
  </r>
  <r>
    <n v="4604"/>
    <s v="MUJER"/>
    <n v="98947656"/>
    <x v="0"/>
    <x v="0"/>
    <s v="SI"/>
    <s v="NO"/>
    <s v="NO"/>
    <n v="31"/>
    <n v="0.77488831798979529"/>
    <s v="No"/>
    <n v="1.2709048719894342"/>
    <s v="No"/>
    <n v="98947656"/>
    <n v="31"/>
    <x v="0"/>
  </r>
  <r>
    <n v="4605"/>
    <s v="HOMBRE"/>
    <n v="66485256"/>
    <x v="0"/>
    <x v="0"/>
    <s v="SI"/>
    <s v="NO"/>
    <s v="NO"/>
    <n v="57"/>
    <n v="1.0600702640157798"/>
    <s v="No"/>
    <n v="0.73070762038532477"/>
    <s v="No"/>
    <n v="66485256"/>
    <n v="57"/>
    <x v="0"/>
  </r>
  <r>
    <n v="4606"/>
    <s v="MUJER"/>
    <n v="35557378"/>
    <x v="0"/>
    <x v="1"/>
    <s v="SI"/>
    <s v="NO"/>
    <s v="NO"/>
    <n v="33"/>
    <n v="0.63373765783552027"/>
    <s v="No"/>
    <n v="0.21604589809901173"/>
    <s v="No"/>
    <n v="35557378"/>
    <n v="33"/>
    <x v="0"/>
  </r>
  <r>
    <n v="4607"/>
    <s v="MUJER"/>
    <n v="35347867"/>
    <x v="0"/>
    <x v="1"/>
    <s v="SI"/>
    <s v="NO"/>
    <s v="NO"/>
    <n v="26"/>
    <n v="1.1277649683754829"/>
    <s v="No"/>
    <n v="0.21255948716264139"/>
    <s v="No"/>
    <n v="35347867"/>
    <n v="26"/>
    <x v="0"/>
  </r>
  <r>
    <n v="4608"/>
    <s v="HOMBRE"/>
    <n v="308439"/>
    <x v="2"/>
    <x v="1"/>
    <s v="SI"/>
    <s v="SI"/>
    <s v="NO"/>
    <n v="88"/>
    <n v="3.2479054964070424"/>
    <s v="Sí"/>
    <n v="0.37052132951696592"/>
    <s v="No"/>
    <n v="308439"/>
    <n v="88"/>
    <x v="2"/>
  </r>
  <r>
    <n v="4609"/>
    <s v="HOMBRE"/>
    <n v="278030"/>
    <x v="4"/>
    <x v="1"/>
    <s v="SI"/>
    <s v="NO"/>
    <s v="NO"/>
    <n v="52"/>
    <n v="0.70719361363009237"/>
    <s v="No"/>
    <n v="0.37102735674304993"/>
    <s v="No"/>
    <n v="278030"/>
    <n v="52"/>
    <x v="4"/>
  </r>
  <r>
    <n v="4610"/>
    <s v="MUJER"/>
    <n v="445567"/>
    <x v="2"/>
    <x v="1"/>
    <s v="NO"/>
    <s v="NO"/>
    <s v="NO"/>
    <n v="78"/>
    <n v="2.5421521956356674"/>
    <s v="Sí"/>
    <n v="0.36823942279663813"/>
    <s v="No"/>
    <n v="445567"/>
    <n v="78"/>
    <x v="2"/>
  </r>
  <r>
    <n v="4611"/>
    <s v="HOMBRE"/>
    <n v="39066205"/>
    <x v="0"/>
    <x v="1"/>
    <s v="SI"/>
    <s v="NO"/>
    <s v="SI"/>
    <n v="35"/>
    <n v="0.49258699768124525"/>
    <s v="No"/>
    <n v="0.27443525630278881"/>
    <s v="No"/>
    <n v="39066205"/>
    <n v="35"/>
    <x v="0"/>
  </r>
  <r>
    <n v="4612"/>
    <s v="HOMBRE"/>
    <n v="212000"/>
    <x v="0"/>
    <x v="1"/>
    <s v="SI"/>
    <s v="NO"/>
    <s v="NO"/>
    <n v="24"/>
    <n v="1.2689156285297578"/>
    <s v="No"/>
    <n v="0.37212614255443233"/>
    <s v="No"/>
    <n v="212000"/>
    <n v="24"/>
    <x v="0"/>
  </r>
  <r>
    <n v="4613"/>
    <s v="MUJER"/>
    <n v="308568"/>
    <x v="3"/>
    <x v="1"/>
    <s v="SI"/>
    <s v="NO"/>
    <s v="SI"/>
    <n v="50"/>
    <n v="0.56604295347581735"/>
    <s v="No"/>
    <n v="0.37051918286590324"/>
    <s v="No"/>
    <n v="308568"/>
    <n v="50"/>
    <x v="3"/>
  </r>
  <r>
    <n v="4614"/>
    <s v="HOMBRE"/>
    <n v="560465"/>
    <x v="3"/>
    <x v="1"/>
    <s v="SI"/>
    <s v="NO"/>
    <s v="SI"/>
    <n v="34"/>
    <n v="0.56316232775838282"/>
    <s v="No"/>
    <n v="0.36632743896873854"/>
    <s v="No"/>
    <n v="560465"/>
    <n v="34"/>
    <x v="3"/>
  </r>
  <r>
    <n v="4615"/>
    <s v="MUJER"/>
    <n v="323296"/>
    <x v="3"/>
    <x v="1"/>
    <s v="SI"/>
    <s v="NO"/>
    <s v="SI"/>
    <n v="48"/>
    <n v="0.42489229332154227"/>
    <s v="No"/>
    <n v="0.37027409854922838"/>
    <s v="No"/>
    <n v="323296"/>
    <n v="48"/>
    <x v="3"/>
  </r>
  <r>
    <n v="4616"/>
    <s v="HOMBRE"/>
    <n v="392034"/>
    <x v="0"/>
    <x v="1"/>
    <s v="SI"/>
    <s v="NO"/>
    <s v="NO"/>
    <n v="42"/>
    <n v="1.4403128587172659E-3"/>
    <s v="No"/>
    <n v="0.36913024970623581"/>
    <s v="No"/>
    <n v="392034"/>
    <n v="42"/>
    <x v="0"/>
  </r>
  <r>
    <n v="4617"/>
    <s v="MUJER"/>
    <n v="1700000"/>
    <x v="0"/>
    <x v="1"/>
    <s v="SI"/>
    <s v="NO"/>
    <s v="NO"/>
    <n v="22"/>
    <n v="1.4100662886840327"/>
    <s v="No"/>
    <n v="0.34736477215708289"/>
    <s v="No"/>
    <n v="1700000"/>
    <n v="22"/>
    <x v="0"/>
  </r>
  <r>
    <n v="4618"/>
    <s v="MUJER"/>
    <n v="674375"/>
    <x v="0"/>
    <x v="1"/>
    <s v="SI"/>
    <s v="NO"/>
    <s v="NO"/>
    <n v="37"/>
    <n v="0.35143633752697023"/>
    <s v="No"/>
    <n v="0.36443189615828014"/>
    <s v="No"/>
    <n v="674375"/>
    <n v="37"/>
    <x v="0"/>
  </r>
  <r>
    <n v="4619"/>
    <s v="HOMBRE"/>
    <n v="4022577"/>
    <x v="0"/>
    <x v="1"/>
    <s v="SI"/>
    <s v="NO"/>
    <s v="NO"/>
    <n v="50"/>
    <n v="0.56604295347581735"/>
    <s v="No"/>
    <n v="0.30871545134164974"/>
    <s v="No"/>
    <n v="4022577"/>
    <n v="50"/>
    <x v="0"/>
  </r>
  <r>
    <n v="4620"/>
    <s v="HOMBRE"/>
    <n v="445433"/>
    <x v="0"/>
    <x v="1"/>
    <s v="SI"/>
    <s v="NO"/>
    <s v="NO"/>
    <n v="31"/>
    <n v="0.77488831798979529"/>
    <s v="No"/>
    <n v="0.36824165265123038"/>
    <s v="No"/>
    <n v="445433"/>
    <n v="31"/>
    <x v="0"/>
  </r>
  <r>
    <n v="4621"/>
    <s v="MUJER"/>
    <n v="605498"/>
    <x v="0"/>
    <x v="1"/>
    <s v="SI"/>
    <s v="NO"/>
    <s v="NO"/>
    <n v="26"/>
    <n v="1.1277649683754829"/>
    <s v="No"/>
    <n v="0.36557805805939453"/>
    <s v="No"/>
    <n v="605498"/>
    <n v="26"/>
    <x v="0"/>
  </r>
  <r>
    <n v="4622"/>
    <s v="MUJER"/>
    <n v="897388"/>
    <x v="0"/>
    <x v="0"/>
    <s v="SI"/>
    <s v="NO"/>
    <s v="SI"/>
    <n v="48"/>
    <n v="0.42489229332154227"/>
    <s v="No"/>
    <n v="0.36072080241068333"/>
    <s v="No"/>
    <n v="897388"/>
    <n v="48"/>
    <x v="0"/>
  </r>
  <r>
    <n v="4623"/>
    <s v="MUJER"/>
    <n v="1167986"/>
    <x v="0"/>
    <x v="0"/>
    <s v="SI"/>
    <s v="NO"/>
    <s v="SI"/>
    <n v="61"/>
    <n v="1.3423715843243298"/>
    <s v="No"/>
    <n v="0.35621786067225458"/>
    <s v="No"/>
    <n v="1167986"/>
    <n v="61"/>
    <x v="0"/>
  </r>
  <r>
    <n v="4624"/>
    <s v="HOMBRE"/>
    <n v="509509"/>
    <x v="3"/>
    <x v="1"/>
    <s v="SI"/>
    <s v="SI"/>
    <s v="NO"/>
    <n v="30"/>
    <n v="0.84546364806693275"/>
    <s v="No"/>
    <n v="0.36717538277920042"/>
    <s v="No"/>
    <n v="509509"/>
    <n v="30"/>
    <x v="3"/>
  </r>
  <r>
    <n v="4625"/>
    <s v="HOMBRE"/>
    <n v="609986"/>
    <x v="0"/>
    <x v="1"/>
    <s v="SI"/>
    <s v="NO"/>
    <s v="NO"/>
    <n v="26"/>
    <n v="1.1277649683754829"/>
    <s v="No"/>
    <n v="0.36550337457126059"/>
    <s v="No"/>
    <n v="609986"/>
    <n v="26"/>
    <x v="0"/>
  </r>
  <r>
    <n v="4626"/>
    <s v="MUJER"/>
    <n v="77525833"/>
    <x v="0"/>
    <x v="1"/>
    <s v="SI"/>
    <s v="NO"/>
    <s v="NO"/>
    <n v="23"/>
    <n v="1.3394909586068953"/>
    <s v="No"/>
    <n v="0.91443061534329295"/>
    <s v="No"/>
    <n v="77525833"/>
    <n v="23"/>
    <x v="0"/>
  </r>
  <r>
    <n v="4627"/>
    <s v="HOMBRE"/>
    <n v="54137975"/>
    <x v="0"/>
    <x v="1"/>
    <s v="SI"/>
    <s v="SI"/>
    <s v="NO"/>
    <n v="77"/>
    <n v="2.47157686555853"/>
    <s v="Sí"/>
    <n v="0.52524014844906486"/>
    <s v="No"/>
    <n v="54137975"/>
    <n v="77"/>
    <x v="0"/>
  </r>
  <r>
    <n v="4628"/>
    <s v="MUJER"/>
    <n v="42693593"/>
    <x v="0"/>
    <x v="1"/>
    <s v="SI"/>
    <s v="NO"/>
    <s v="NO"/>
    <n v="28"/>
    <n v="0.98661430822120777"/>
    <s v="No"/>
    <n v="0.33479755324022192"/>
    <s v="No"/>
    <n v="42693593"/>
    <n v="28"/>
    <x v="0"/>
  </r>
  <r>
    <n v="4629"/>
    <s v="HOMBRE"/>
    <n v="13780"/>
    <x v="0"/>
    <x v="1"/>
    <s v="SI"/>
    <s v="NO"/>
    <s v="NO"/>
    <n v="38"/>
    <n v="0.28086100744983278"/>
    <s v="No"/>
    <n v="0.37542466328034801"/>
    <s v="No"/>
    <n v="13780"/>
    <n v="38"/>
    <x v="0"/>
  </r>
  <r>
    <n v="4630"/>
    <s v="HOMBRE"/>
    <n v="300018"/>
    <x v="3"/>
    <x v="1"/>
    <s v="SI"/>
    <s v="NO"/>
    <s v="SI"/>
    <n v="53"/>
    <n v="0.77776894370722982"/>
    <s v="No"/>
    <n v="0.37066146090145252"/>
    <s v="No"/>
    <n v="300018"/>
    <n v="53"/>
    <x v="3"/>
  </r>
  <r>
    <n v="4631"/>
    <s v="HOMBRE"/>
    <n v="11620235"/>
    <x v="0"/>
    <x v="0"/>
    <s v="SI"/>
    <s v="NO"/>
    <s v="NO"/>
    <n v="38"/>
    <n v="0.28086100744983278"/>
    <s v="No"/>
    <n v="0.18228505894219754"/>
    <s v="No"/>
    <n v="11620235"/>
    <n v="38"/>
    <x v="0"/>
  </r>
  <r>
    <n v="4632"/>
    <s v="MUJER"/>
    <n v="2979735"/>
    <x v="0"/>
    <x v="0"/>
    <s v="SI"/>
    <s v="NO"/>
    <s v="NO"/>
    <n v="25"/>
    <n v="1.1983402984526204"/>
    <s v="No"/>
    <n v="0.32606907837653726"/>
    <s v="No"/>
    <n v="2979735"/>
    <n v="25"/>
    <x v="0"/>
  </r>
  <r>
    <n v="4633"/>
    <s v="HOMBRE"/>
    <n v="31190148"/>
    <x v="0"/>
    <x v="1"/>
    <s v="SI"/>
    <s v="NO"/>
    <s v="NO"/>
    <n v="22"/>
    <n v="1.4100662886840327"/>
    <s v="No"/>
    <n v="0.14337210801808686"/>
    <s v="No"/>
    <n v="31190148"/>
    <n v="22"/>
    <x v="0"/>
  </r>
  <r>
    <n v="4634"/>
    <s v="HOMBRE"/>
    <n v="49331235"/>
    <x v="0"/>
    <x v="1"/>
    <s v="SI"/>
    <s v="NO"/>
    <s v="NO"/>
    <n v="51"/>
    <n v="0.6366182835529548"/>
    <s v="No"/>
    <n v="0.44525260171267023"/>
    <s v="No"/>
    <n v="49331235"/>
    <n v="51"/>
    <x v="0"/>
  </r>
  <r>
    <n v="4635"/>
    <s v="MUJER"/>
    <n v="1717983"/>
    <x v="1"/>
    <x v="0"/>
    <s v="SI"/>
    <s v="NO"/>
    <s v="NO"/>
    <n v="68"/>
    <n v="1.8363988948642924"/>
    <s v="No"/>
    <n v="0.34706552234266386"/>
    <s v="No"/>
    <n v="1717983"/>
    <n v="68"/>
    <x v="1"/>
  </r>
  <r>
    <n v="4636"/>
    <s v="MUJER"/>
    <n v="343953"/>
    <x v="0"/>
    <x v="1"/>
    <s v="SI"/>
    <s v="NO"/>
    <s v="NO"/>
    <n v="42"/>
    <n v="1.4403128587172659E-3"/>
    <s v="No"/>
    <n v="0.36993035148720016"/>
    <s v="No"/>
    <n v="343953"/>
    <n v="42"/>
    <x v="0"/>
  </r>
  <r>
    <n v="4637"/>
    <s v="HOMBRE"/>
    <n v="27664449"/>
    <x v="0"/>
    <x v="1"/>
    <s v="SI"/>
    <s v="NO"/>
    <s v="NO"/>
    <n v="37"/>
    <n v="0.35143633752697023"/>
    <s v="No"/>
    <n v="8.4701987824159178E-2"/>
    <s v="No"/>
    <n v="27664449"/>
    <n v="37"/>
    <x v="0"/>
  </r>
  <r>
    <n v="4638"/>
    <s v="MUJER"/>
    <n v="6348864"/>
    <x v="0"/>
    <x v="0"/>
    <s v="SI"/>
    <s v="NO"/>
    <s v="NO"/>
    <n v="39"/>
    <n v="0.21028567737269524"/>
    <s v="No"/>
    <n v="0.27000439350728228"/>
    <s v="No"/>
    <n v="6348864"/>
    <n v="39"/>
    <x v="0"/>
  </r>
  <r>
    <n v="4639"/>
    <s v="HOMBRE"/>
    <n v="297046"/>
    <x v="2"/>
    <x v="1"/>
    <s v="SI"/>
    <s v="NO"/>
    <s v="SI"/>
    <n v="64"/>
    <n v="1.5540975745557424"/>
    <s v="No"/>
    <n v="0.37071091707942361"/>
    <s v="No"/>
    <n v="297046"/>
    <n v="64"/>
    <x v="2"/>
  </r>
  <r>
    <n v="4640"/>
    <s v="MUJER"/>
    <n v="13377341"/>
    <x v="0"/>
    <x v="1"/>
    <s v="SI"/>
    <s v="NO"/>
    <s v="NO"/>
    <n v="26"/>
    <n v="1.1277649683754829"/>
    <s v="No"/>
    <n v="0.15304557473964039"/>
    <s v="No"/>
    <n v="13377341"/>
    <n v="26"/>
    <x v="0"/>
  </r>
  <r>
    <n v="4641"/>
    <s v="HOMBRE"/>
    <n v="1939053"/>
    <x v="0"/>
    <x v="0"/>
    <s v="SI"/>
    <s v="NO"/>
    <s v="NO"/>
    <n v="51"/>
    <n v="0.6366182835529548"/>
    <s v="No"/>
    <n v="0.34338676148665442"/>
    <s v="No"/>
    <n v="1939053"/>
    <n v="51"/>
    <x v="0"/>
  </r>
  <r>
    <n v="4642"/>
    <s v="MUJER"/>
    <n v="696716"/>
    <x v="0"/>
    <x v="0"/>
    <s v="SI"/>
    <s v="NO"/>
    <s v="SI"/>
    <n v="35"/>
    <n v="0.49258699768124525"/>
    <s v="No"/>
    <n v="0.36406012614749572"/>
    <s v="No"/>
    <n v="696716"/>
    <n v="35"/>
    <x v="0"/>
  </r>
  <r>
    <n v="4643"/>
    <s v="HOMBRE"/>
    <n v="312000"/>
    <x v="0"/>
    <x v="1"/>
    <s v="SI"/>
    <s v="SI"/>
    <s v="NO"/>
    <n v="35"/>
    <n v="0.49258699768124525"/>
    <s v="No"/>
    <n v="0.37046207196321257"/>
    <s v="No"/>
    <n v="312000"/>
    <n v="35"/>
    <x v="0"/>
  </r>
  <r>
    <n v="4644"/>
    <s v="HOMBRE"/>
    <n v="297045"/>
    <x v="3"/>
    <x v="1"/>
    <s v="SI"/>
    <s v="NO"/>
    <s v="NO"/>
    <n v="30"/>
    <n v="0.84546364806693275"/>
    <s v="No"/>
    <n v="0.37071093372012948"/>
    <s v="No"/>
    <n v="297045"/>
    <n v="30"/>
    <x v="3"/>
  </r>
  <r>
    <n v="4645"/>
    <s v="MUJER"/>
    <n v="295203"/>
    <x v="3"/>
    <x v="1"/>
    <s v="SI"/>
    <s v="SI"/>
    <s v="SI"/>
    <n v="35"/>
    <n v="0.49258699768124525"/>
    <s v="No"/>
    <n v="0.37074158590041978"/>
    <s v="No"/>
    <n v="295203"/>
    <n v="35"/>
    <x v="3"/>
  </r>
  <r>
    <n v="4646"/>
    <s v="MUJER"/>
    <n v="392686"/>
    <x v="0"/>
    <x v="0"/>
    <s v="SI"/>
    <s v="NO"/>
    <s v="NO"/>
    <n v="56"/>
    <n v="0.9894949339386423"/>
    <s v="No"/>
    <n v="0.36911939996598103"/>
    <s v="No"/>
    <n v="392686"/>
    <n v="56"/>
    <x v="0"/>
  </r>
  <r>
    <n v="4647"/>
    <s v="HOMBRE"/>
    <n v="1544128"/>
    <x v="0"/>
    <x v="0"/>
    <s v="SI"/>
    <s v="NO"/>
    <s v="NO"/>
    <n v="49"/>
    <n v="0.49546762339867978"/>
    <s v="No"/>
    <n v="0.34995859226902892"/>
    <s v="No"/>
    <n v="1544128"/>
    <n v="49"/>
    <x v="0"/>
  </r>
  <r>
    <n v="4648"/>
    <s v="HOMBRE"/>
    <n v="25000"/>
    <x v="0"/>
    <x v="1"/>
    <s v="SI"/>
    <s v="NO"/>
    <s v="NO"/>
    <n v="24"/>
    <n v="1.2689156285297578"/>
    <s v="No"/>
    <n v="0.37523795456001319"/>
    <s v="No"/>
    <n v="25000"/>
    <n v="24"/>
    <x v="0"/>
  </r>
  <r>
    <n v="4649"/>
    <s v="HOMBRE"/>
    <n v="58977212"/>
    <x v="0"/>
    <x v="1"/>
    <s v="SI"/>
    <s v="NO"/>
    <s v="NO"/>
    <n v="23"/>
    <n v="1.3394909586068953"/>
    <s v="No"/>
    <n v="0.60576846820548824"/>
    <s v="No"/>
    <n v="58977212"/>
    <n v="23"/>
    <x v="0"/>
  </r>
  <r>
    <n v="4650"/>
    <s v="HOMBRE"/>
    <n v="297045"/>
    <x v="2"/>
    <x v="1"/>
    <s v="SI"/>
    <s v="SI"/>
    <s v="NO"/>
    <n v="62"/>
    <n v="1.4129469144014672"/>
    <s v="No"/>
    <n v="0.37071093372012948"/>
    <s v="No"/>
    <n v="297045"/>
    <n v="62"/>
    <x v="2"/>
  </r>
  <r>
    <n v="4651"/>
    <s v="HOMBRE"/>
    <n v="64042422"/>
    <x v="0"/>
    <x v="1"/>
    <s v="SI"/>
    <s v="NO"/>
    <s v="NO"/>
    <n v="37"/>
    <n v="0.35143633752697023"/>
    <s v="No"/>
    <n v="0.69005713819900849"/>
    <s v="No"/>
    <n v="64042422"/>
    <n v="37"/>
    <x v="0"/>
  </r>
  <r>
    <n v="4652"/>
    <s v="HOMBRE"/>
    <n v="332791"/>
    <x v="0"/>
    <x v="1"/>
    <s v="SI"/>
    <s v="NO"/>
    <s v="SI"/>
    <n v="37"/>
    <n v="0.35143633752697023"/>
    <s v="No"/>
    <n v="0.3701160950465921"/>
    <s v="No"/>
    <n v="332791"/>
    <n v="37"/>
    <x v="0"/>
  </r>
  <r>
    <n v="4653"/>
    <s v="HOMBRE"/>
    <n v="297046"/>
    <x v="3"/>
    <x v="1"/>
    <s v="SI"/>
    <s v="NO"/>
    <s v="SI"/>
    <n v="55"/>
    <n v="0.91891960386150484"/>
    <s v="No"/>
    <n v="0.37071091707942361"/>
    <s v="No"/>
    <n v="297046"/>
    <n v="55"/>
    <x v="3"/>
  </r>
  <r>
    <n v="4654"/>
    <s v="HOMBRE"/>
    <n v="424277"/>
    <x v="3"/>
    <x v="1"/>
    <s v="SI"/>
    <s v="NO"/>
    <s v="SI"/>
    <n v="49"/>
    <n v="0.49546762339867978"/>
    <s v="No"/>
    <n v="0.36859370342550885"/>
    <s v="No"/>
    <n v="424277"/>
    <n v="49"/>
    <x v="3"/>
  </r>
  <r>
    <n v="4655"/>
    <s v="MUJER"/>
    <n v="462065"/>
    <x v="0"/>
    <x v="1"/>
    <s v="SI"/>
    <s v="NO"/>
    <s v="NO"/>
    <n v="31"/>
    <n v="0.77488831798979529"/>
    <s v="No"/>
    <n v="0.36796488443049874"/>
    <s v="No"/>
    <n v="462065"/>
    <n v="31"/>
    <x v="0"/>
  </r>
  <r>
    <n v="4656"/>
    <s v="HOMBRE"/>
    <n v="91416991"/>
    <x v="0"/>
    <x v="1"/>
    <s v="SI"/>
    <s v="NO"/>
    <s v="NO"/>
    <n v="40"/>
    <n v="0.13971034729555773"/>
    <s v="No"/>
    <n v="1.145589290401158"/>
    <s v="No"/>
    <n v="91416991"/>
    <n v="40"/>
    <x v="0"/>
  </r>
  <r>
    <n v="4657"/>
    <s v="HOMBRE"/>
    <n v="550000"/>
    <x v="0"/>
    <x v="1"/>
    <s v="SI"/>
    <s v="NO"/>
    <s v="SI"/>
    <n v="34"/>
    <n v="0.56316232775838282"/>
    <s v="No"/>
    <n v="0.36650158395610966"/>
    <s v="No"/>
    <n v="550000"/>
    <n v="34"/>
    <x v="0"/>
  </r>
  <r>
    <n v="4658"/>
    <s v="MUJER"/>
    <n v="7633751"/>
    <x v="0"/>
    <x v="0"/>
    <s v="SI"/>
    <s v="NO"/>
    <s v="NO"/>
    <n v="35"/>
    <n v="0.49258699768124525"/>
    <s v="No"/>
    <n v="0.248622966809877"/>
    <s v="No"/>
    <n v="7633751"/>
    <n v="35"/>
    <x v="0"/>
  </r>
  <r>
    <n v="4659"/>
    <s v="MUJER"/>
    <n v="450000"/>
    <x v="0"/>
    <x v="1"/>
    <s v="SI"/>
    <s v="NO"/>
    <s v="NO"/>
    <n v="22"/>
    <n v="1.4100662886840327"/>
    <s v="No"/>
    <n v="0.36816565454732936"/>
    <s v="No"/>
    <n v="450000"/>
    <n v="22"/>
    <x v="0"/>
  </r>
  <r>
    <n v="4660"/>
    <s v="HOMBRE"/>
    <n v="123924"/>
    <x v="0"/>
    <x v="1"/>
    <s v="SI"/>
    <s v="NO"/>
    <s v="NO"/>
    <n v="19"/>
    <n v="1.6217922789154453"/>
    <s v="No"/>
    <n v="0.37359178936835497"/>
    <s v="No"/>
    <n v="123924"/>
    <n v="19"/>
    <x v="0"/>
  </r>
  <r>
    <n v="4661"/>
    <s v="HOMBRE"/>
    <n v="39101295"/>
    <x v="0"/>
    <x v="1"/>
    <s v="SI"/>
    <s v="NO"/>
    <s v="NO"/>
    <n v="21"/>
    <n v="1.4806416187611704"/>
    <s v="No"/>
    <n v="0.27501917867324782"/>
    <s v="No"/>
    <n v="39101295"/>
    <n v="21"/>
    <x v="0"/>
  </r>
  <r>
    <n v="4662"/>
    <s v="HOMBRE"/>
    <n v="364900"/>
    <x v="0"/>
    <x v="1"/>
    <s v="SI"/>
    <s v="SI"/>
    <s v="NO"/>
    <n v="62"/>
    <n v="1.4129469144014672"/>
    <s v="No"/>
    <n v="0.36958177862045738"/>
    <s v="No"/>
    <n v="364900"/>
    <n v="62"/>
    <x v="0"/>
  </r>
  <r>
    <n v="4663"/>
    <s v="HOMBRE"/>
    <n v="796069"/>
    <x v="0"/>
    <x v="0"/>
    <s v="SI"/>
    <s v="NO"/>
    <s v="NO"/>
    <n v="38"/>
    <n v="0.28086100744983278"/>
    <s v="No"/>
    <n v="0.36240682209300124"/>
    <s v="No"/>
    <n v="796069"/>
    <n v="38"/>
    <x v="0"/>
  </r>
  <r>
    <n v="4664"/>
    <s v="HOMBRE"/>
    <n v="9627571"/>
    <x v="1"/>
    <x v="0"/>
    <s v="SI"/>
    <s v="NO"/>
    <s v="NO"/>
    <n v="63"/>
    <n v="1.4835222444786049"/>
    <s v="No"/>
    <n v="0.21544439454802003"/>
    <s v="No"/>
    <n v="9627571"/>
    <n v="63"/>
    <x v="1"/>
  </r>
  <r>
    <n v="4665"/>
    <s v="HOMBRE"/>
    <n v="1453308"/>
    <x v="1"/>
    <x v="0"/>
    <s v="SI"/>
    <s v="NO"/>
    <s v="NO"/>
    <n v="70"/>
    <n v="1.9775495550185673"/>
    <s v="Sí"/>
    <n v="0.35146990117997468"/>
    <s v="No"/>
    <n v="1453308"/>
    <n v="70"/>
    <x v="1"/>
  </r>
  <r>
    <n v="4666"/>
    <s v="HOMBRE"/>
    <n v="74655641"/>
    <x v="0"/>
    <x v="0"/>
    <s v="SI"/>
    <s v="NO"/>
    <s v="NO"/>
    <n v="30"/>
    <n v="0.84546364806693275"/>
    <s v="No"/>
    <n v="0.86666859435975185"/>
    <s v="No"/>
    <n v="74655641"/>
    <n v="30"/>
    <x v="0"/>
  </r>
  <r>
    <n v="4667"/>
    <s v="HOMBRE"/>
    <n v="14225427"/>
    <x v="0"/>
    <x v="0"/>
    <s v="SI"/>
    <s v="NO"/>
    <s v="NO"/>
    <n v="60"/>
    <n v="1.2717962542471923"/>
    <s v="No"/>
    <n v="0.13893282502538876"/>
    <s v="No"/>
    <n v="14225427"/>
    <n v="60"/>
    <x v="0"/>
  </r>
  <r>
    <n v="4668"/>
    <s v="HOMBRE"/>
    <n v="14179965"/>
    <x v="0"/>
    <x v="0"/>
    <s v="SI"/>
    <s v="NO"/>
    <s v="NO"/>
    <n v="32"/>
    <n v="0.70431298791265773"/>
    <s v="No"/>
    <n v="0.13968934479756906"/>
    <s v="No"/>
    <n v="14179965"/>
    <n v="32"/>
    <x v="0"/>
  </r>
  <r>
    <n v="4669"/>
    <s v="MUJER"/>
    <n v="37588238"/>
    <x v="0"/>
    <x v="1"/>
    <s v="SI"/>
    <s v="SI"/>
    <s v="NO"/>
    <n v="56"/>
    <n v="0.9894949339386423"/>
    <s v="No"/>
    <n v="0.24984084210785648"/>
    <s v="No"/>
    <n v="37588238"/>
    <n v="56"/>
    <x v="0"/>
  </r>
  <r>
    <n v="4670"/>
    <s v="MUJER"/>
    <n v="348148"/>
    <x v="1"/>
    <x v="0"/>
    <s v="SI"/>
    <s v="NO"/>
    <s v="NO"/>
    <n v="83"/>
    <n v="2.8950288460213551"/>
    <s v="Sí"/>
    <n v="0.36986054372589849"/>
    <s v="No"/>
    <n v="348148"/>
    <n v="83"/>
    <x v="1"/>
  </r>
  <r>
    <n v="4671"/>
    <s v="MUJER"/>
    <n v="1564419"/>
    <x v="0"/>
    <x v="1"/>
    <s v="SI"/>
    <s v="NO"/>
    <s v="NO"/>
    <n v="43"/>
    <n v="7.2015642935854773E-2"/>
    <s v="No"/>
    <n v="0.34962093570536451"/>
    <s v="No"/>
    <n v="1564419"/>
    <n v="43"/>
    <x v="0"/>
  </r>
  <r>
    <n v="4672"/>
    <s v="HOMBRE"/>
    <n v="298054"/>
    <x v="2"/>
    <x v="1"/>
    <s v="NO"/>
    <s v="NO"/>
    <s v="SI"/>
    <n v="28"/>
    <n v="0.98661430822120777"/>
    <s v="No"/>
    <n v="0.37069414324786409"/>
    <s v="No"/>
    <n v="298054"/>
    <n v="28"/>
    <x v="2"/>
  </r>
  <r>
    <n v="4673"/>
    <s v="HOMBRE"/>
    <n v="53564315"/>
    <x v="0"/>
    <x v="1"/>
    <s v="SI"/>
    <s v="NO"/>
    <s v="NO"/>
    <n v="31"/>
    <n v="0.77488831798979529"/>
    <s v="No"/>
    <n v="0.51569404109547379"/>
    <s v="No"/>
    <n v="53564315"/>
    <n v="31"/>
    <x v="0"/>
  </r>
  <r>
    <n v="4674"/>
    <s v="HOMBRE"/>
    <n v="835000"/>
    <x v="0"/>
    <x v="1"/>
    <s v="SI"/>
    <s v="NO"/>
    <s v="NO"/>
    <n v="32"/>
    <n v="0.70431298791265773"/>
    <s v="No"/>
    <n v="0.36175898277113344"/>
    <s v="No"/>
    <n v="835000"/>
    <n v="32"/>
    <x v="0"/>
  </r>
  <r>
    <n v="4675"/>
    <s v="MUJER"/>
    <n v="297046"/>
    <x v="2"/>
    <x v="1"/>
    <s v="SI"/>
    <s v="NO"/>
    <s v="NO"/>
    <n v="25"/>
    <n v="1.1983402984526204"/>
    <s v="No"/>
    <n v="0.37071091707942361"/>
    <s v="No"/>
    <n v="297046"/>
    <n v="25"/>
    <x v="2"/>
  </r>
  <r>
    <n v="4676"/>
    <s v="HOMBRE"/>
    <n v="185000"/>
    <x v="0"/>
    <x v="1"/>
    <s v="SI"/>
    <s v="NO"/>
    <s v="NO"/>
    <n v="58"/>
    <n v="1.1306455940929174"/>
    <s v="No"/>
    <n v="0.37257544161406164"/>
    <s v="No"/>
    <n v="185000"/>
    <n v="58"/>
    <x v="0"/>
  </r>
  <r>
    <n v="4677"/>
    <s v="HOMBRE"/>
    <n v="1171008"/>
    <x v="0"/>
    <x v="1"/>
    <s v="SI"/>
    <s v="NO"/>
    <s v="NO"/>
    <n v="30"/>
    <n v="0.84546364806693275"/>
    <s v="No"/>
    <n v="0.35616757245898789"/>
    <s v="No"/>
    <n v="1171008"/>
    <n v="30"/>
    <x v="0"/>
  </r>
  <r>
    <n v="4678"/>
    <s v="MUJER"/>
    <n v="515840"/>
    <x v="0"/>
    <x v="1"/>
    <s v="SI"/>
    <s v="NO"/>
    <s v="NO"/>
    <n v="35"/>
    <n v="0.49258699768124525"/>
    <s v="No"/>
    <n v="0.36707003047007031"/>
    <s v="No"/>
    <n v="515840"/>
    <n v="35"/>
    <x v="0"/>
  </r>
  <r>
    <n v="4679"/>
    <s v="MUJER"/>
    <n v="817600"/>
    <x v="0"/>
    <x v="1"/>
    <s v="SI"/>
    <s v="NO"/>
    <s v="NO"/>
    <n v="23"/>
    <n v="1.3394909586068953"/>
    <s v="No"/>
    <n v="0.3620485310540057"/>
    <s v="No"/>
    <n v="817600"/>
    <n v="23"/>
    <x v="0"/>
  </r>
  <r>
    <n v="4680"/>
    <s v="HOMBRE"/>
    <n v="424222"/>
    <x v="0"/>
    <x v="1"/>
    <s v="SI"/>
    <s v="NO"/>
    <s v="NO"/>
    <n v="59"/>
    <n v="1.2012209241700549"/>
    <s v="No"/>
    <n v="0.36859461866433402"/>
    <s v="No"/>
    <n v="424222"/>
    <n v="59"/>
    <x v="0"/>
  </r>
  <r>
    <n v="4681"/>
    <s v="HOMBRE"/>
    <n v="298548"/>
    <x v="4"/>
    <x v="1"/>
    <s v="SI"/>
    <s v="NO"/>
    <s v="NO"/>
    <n v="60"/>
    <n v="1.2717962542471923"/>
    <s v="No"/>
    <n v="0.37068592273914347"/>
    <s v="No"/>
    <n v="298548"/>
    <n v="60"/>
    <x v="4"/>
  </r>
  <r>
    <n v="4682"/>
    <s v="HOMBRE"/>
    <n v="40897827"/>
    <x v="0"/>
    <x v="1"/>
    <s v="SI"/>
    <s v="SI"/>
    <s v="NO"/>
    <n v="27"/>
    <n v="1.0571896382983452"/>
    <s v="No"/>
    <n v="0.30491473934709923"/>
    <s v="No"/>
    <n v="40897827"/>
    <n v="27"/>
    <x v="0"/>
  </r>
  <r>
    <n v="4683"/>
    <s v="HOMBRE"/>
    <n v="445000"/>
    <x v="0"/>
    <x v="1"/>
    <s v="SI"/>
    <s v="SI"/>
    <s v="NO"/>
    <n v="34"/>
    <n v="0.56316232775838282"/>
    <s v="No"/>
    <n v="0.36824885807689034"/>
    <s v="No"/>
    <n v="445000"/>
    <n v="34"/>
    <x v="0"/>
  </r>
  <r>
    <n v="4684"/>
    <s v="HOMBRE"/>
    <n v="534683"/>
    <x v="3"/>
    <x v="1"/>
    <s v="SI"/>
    <s v="NO"/>
    <s v="SI"/>
    <n v="62"/>
    <n v="1.4129469144014672"/>
    <s v="No"/>
    <n v="0.36675646964856679"/>
    <s v="No"/>
    <n v="534683"/>
    <n v="62"/>
    <x v="3"/>
  </r>
  <r>
    <n v="4685"/>
    <s v="MUJER"/>
    <n v="54476114"/>
    <x v="0"/>
    <x v="1"/>
    <s v="SI"/>
    <s v="NO"/>
    <s v="NO"/>
    <n v="35"/>
    <n v="0.49258699768124525"/>
    <s v="No"/>
    <n v="0.53086702010550935"/>
    <s v="No"/>
    <n v="54476114"/>
    <n v="35"/>
    <x v="0"/>
  </r>
  <r>
    <n v="4686"/>
    <s v="MUJER"/>
    <n v="360000"/>
    <x v="0"/>
    <x v="1"/>
    <s v="SI"/>
    <s v="NO"/>
    <s v="NO"/>
    <n v="27"/>
    <n v="1.0571896382983452"/>
    <s v="No"/>
    <n v="0.36966331807942709"/>
    <s v="No"/>
    <n v="360000"/>
    <n v="27"/>
    <x v="0"/>
  </r>
  <r>
    <n v="4687"/>
    <s v="HOMBRE"/>
    <n v="339594"/>
    <x v="0"/>
    <x v="1"/>
    <s v="SI"/>
    <s v="NO"/>
    <s v="NO"/>
    <n v="24"/>
    <n v="1.2689156285297578"/>
    <s v="No"/>
    <n v="0.37000288832427142"/>
    <s v="No"/>
    <n v="339594"/>
    <n v="24"/>
    <x v="0"/>
  </r>
  <r>
    <n v="4688"/>
    <s v="MUJER"/>
    <n v="608956"/>
    <x v="0"/>
    <x v="1"/>
    <s v="SI"/>
    <s v="NO"/>
    <s v="NO"/>
    <n v="35"/>
    <n v="0.49258699768124525"/>
    <s v="No"/>
    <n v="0.36552051449835016"/>
    <s v="No"/>
    <n v="608956"/>
    <n v="35"/>
    <x v="0"/>
  </r>
  <r>
    <n v="4689"/>
    <s v="MUJER"/>
    <n v="14913475"/>
    <x v="0"/>
    <x v="1"/>
    <s v="SI"/>
    <s v="NO"/>
    <s v="NO"/>
    <n v="44"/>
    <n v="0.14259097301299228"/>
    <s v="No"/>
    <n v="0.12748322060391332"/>
    <s v="No"/>
    <n v="14913475"/>
    <n v="44"/>
    <x v="0"/>
  </r>
  <r>
    <n v="4690"/>
    <s v="HOMBRE"/>
    <n v="6032835"/>
    <x v="0"/>
    <x v="0"/>
    <s v="SI"/>
    <s v="NO"/>
    <s v="NO"/>
    <n v="30"/>
    <n v="0.84546364806693275"/>
    <s v="No"/>
    <n v="0.27526333915600804"/>
    <s v="No"/>
    <n v="6032835"/>
    <n v="30"/>
    <x v="0"/>
  </r>
  <r>
    <n v="4691"/>
    <s v="HOMBRE"/>
    <n v="89735936"/>
    <x v="0"/>
    <x v="1"/>
    <s v="SI"/>
    <s v="NO"/>
    <s v="NO"/>
    <n v="23"/>
    <n v="1.3394909586068953"/>
    <s v="No"/>
    <n v="1.1176153485239293"/>
    <s v="No"/>
    <n v="89735936"/>
    <n v="23"/>
    <x v="0"/>
  </r>
  <r>
    <n v="4692"/>
    <s v="MUJER"/>
    <n v="297046"/>
    <x v="2"/>
    <x v="1"/>
    <s v="SI"/>
    <s v="NO"/>
    <s v="NO"/>
    <n v="48"/>
    <n v="0.42489229332154227"/>
    <s v="No"/>
    <n v="0.37071091707942361"/>
    <s v="No"/>
    <n v="297046"/>
    <n v="48"/>
    <x v="2"/>
  </r>
  <r>
    <n v="4693"/>
    <s v="MUJER"/>
    <n v="88383032"/>
    <x v="0"/>
    <x v="0"/>
    <s v="SI"/>
    <s v="NO"/>
    <s v="NO"/>
    <n v="40"/>
    <n v="0.13971034729555773"/>
    <s v="No"/>
    <n v="1.0951020709324941"/>
    <s v="No"/>
    <n v="88383032"/>
    <n v="40"/>
    <x v="0"/>
  </r>
  <r>
    <n v="4694"/>
    <s v="HOMBRE"/>
    <n v="8962309"/>
    <x v="1"/>
    <x v="0"/>
    <s v="SI"/>
    <s v="NO"/>
    <s v="NO"/>
    <n v="68"/>
    <n v="1.8363988948642924"/>
    <s v="No"/>
    <n v="0.22651482384458013"/>
    <s v="No"/>
    <n v="8962309"/>
    <n v="68"/>
    <x v="1"/>
  </r>
  <r>
    <n v="4695"/>
    <s v="HOMBRE"/>
    <n v="297046"/>
    <x v="2"/>
    <x v="1"/>
    <s v="SI"/>
    <s v="NO"/>
    <s v="SI"/>
    <n v="54"/>
    <n v="0.84834427378436728"/>
    <s v="No"/>
    <n v="0.37071091707942361"/>
    <s v="No"/>
    <n v="297046"/>
    <n v="54"/>
    <x v="2"/>
  </r>
  <r>
    <n v="4696"/>
    <s v="HOMBRE"/>
    <n v="43230135"/>
    <x v="0"/>
    <x v="1"/>
    <s v="SI"/>
    <s v="NO"/>
    <s v="NO"/>
    <n v="30"/>
    <n v="0.84546364806693275"/>
    <s v="No"/>
    <n v="0.34372599087176403"/>
    <s v="No"/>
    <n v="43230135"/>
    <n v="30"/>
    <x v="0"/>
  </r>
  <r>
    <n v="4697"/>
    <s v="HOMBRE"/>
    <n v="57894145"/>
    <x v="0"/>
    <x v="1"/>
    <s v="SI"/>
    <s v="NO"/>
    <s v="NO"/>
    <n v="23"/>
    <n v="1.3394909586068953"/>
    <s v="No"/>
    <n v="0.58774546877528255"/>
    <s v="No"/>
    <n v="57894145"/>
    <n v="23"/>
    <x v="0"/>
  </r>
  <r>
    <n v="4698"/>
    <s v="MUJER"/>
    <n v="29230755"/>
    <x v="0"/>
    <x v="0"/>
    <s v="SI"/>
    <s v="NO"/>
    <s v="NO"/>
    <n v="53"/>
    <n v="0.77776894370722982"/>
    <s v="No"/>
    <n v="0.11076642533866909"/>
    <s v="No"/>
    <n v="29230755"/>
    <n v="53"/>
    <x v="0"/>
  </r>
  <r>
    <n v="4699"/>
    <s v="MUJER"/>
    <n v="540376"/>
    <x v="0"/>
    <x v="1"/>
    <s v="SI"/>
    <s v="NO"/>
    <s v="NO"/>
    <n v="35"/>
    <n v="0.49258699768124525"/>
    <s v="No"/>
    <n v="0.36666173410980862"/>
    <s v="No"/>
    <n v="540376"/>
    <n v="35"/>
    <x v="0"/>
  </r>
  <r>
    <n v="4700"/>
    <s v="MUJER"/>
    <n v="1040470"/>
    <x v="0"/>
    <x v="0"/>
    <s v="SI"/>
    <s v="NO"/>
    <s v="SI"/>
    <n v="53"/>
    <n v="0.77776894370722982"/>
    <s v="No"/>
    <n v="0.35833981692735428"/>
    <s v="No"/>
    <n v="1040470"/>
    <n v="53"/>
    <x v="0"/>
  </r>
  <r>
    <n v="4701"/>
    <s v="HOMBRE"/>
    <n v="297046"/>
    <x v="3"/>
    <x v="1"/>
    <s v="SI"/>
    <s v="NO"/>
    <s v="NO"/>
    <n v="21"/>
    <n v="1.4806416187611704"/>
    <s v="No"/>
    <n v="0.37071091707942361"/>
    <s v="No"/>
    <n v="297046"/>
    <n v="21"/>
    <x v="3"/>
  </r>
  <r>
    <n v="4702"/>
    <s v="HOMBRE"/>
    <n v="50013683"/>
    <x v="0"/>
    <x v="1"/>
    <s v="SI"/>
    <s v="NO"/>
    <s v="NO"/>
    <n v="35"/>
    <n v="0.49258699768124525"/>
    <s v="No"/>
    <n v="0.45660901818103733"/>
    <s v="No"/>
    <n v="50013683"/>
    <n v="35"/>
    <x v="0"/>
  </r>
  <r>
    <n v="4703"/>
    <s v="HOMBRE"/>
    <n v="353539"/>
    <x v="3"/>
    <x v="1"/>
    <s v="SI"/>
    <s v="NO"/>
    <s v="NO"/>
    <n v="56"/>
    <n v="0.9894949339386423"/>
    <s v="No"/>
    <n v="0.36977083368032582"/>
    <s v="No"/>
    <n v="353539"/>
    <n v="56"/>
    <x v="3"/>
  </r>
  <r>
    <n v="4704"/>
    <s v="HOMBRE"/>
    <n v="45067708"/>
    <x v="0"/>
    <x v="1"/>
    <s v="SI"/>
    <s v="NO"/>
    <s v="NO"/>
    <n v="28"/>
    <n v="0.98661430822120777"/>
    <s v="No"/>
    <n v="0.37430450275695792"/>
    <s v="No"/>
    <n v="45067708"/>
    <n v="28"/>
    <x v="0"/>
  </r>
  <r>
    <n v="4705"/>
    <s v="HOMBRE"/>
    <n v="65449"/>
    <x v="0"/>
    <x v="1"/>
    <s v="SI"/>
    <s v="SI"/>
    <s v="NO"/>
    <n v="59"/>
    <n v="1.2012209241700549"/>
    <s v="No"/>
    <n v="0.37456485464657069"/>
    <s v="No"/>
    <n v="65449"/>
    <n v="59"/>
    <x v="0"/>
  </r>
  <r>
    <n v="4706"/>
    <s v="HOMBRE"/>
    <n v="505464"/>
    <x v="3"/>
    <x v="1"/>
    <s v="SI"/>
    <s v="NO"/>
    <s v="NO"/>
    <n v="61"/>
    <n v="1.3423715843243298"/>
    <s v="No"/>
    <n v="0.36724269443461527"/>
    <s v="No"/>
    <n v="505464"/>
    <n v="61"/>
    <x v="3"/>
  </r>
  <r>
    <n v="4707"/>
    <s v="HOMBRE"/>
    <n v="159455567"/>
    <x v="0"/>
    <x v="0"/>
    <s v="SI"/>
    <s v="NO"/>
    <s v="NO"/>
    <n v="49"/>
    <n v="0.49546762339867978"/>
    <s v="No"/>
    <n v="2.2777992243018348"/>
    <s v="Sí"/>
    <n v="159455567"/>
    <n v="49"/>
    <x v="0"/>
  </r>
  <r>
    <n v="4708"/>
    <s v="MUJER"/>
    <n v="35954427"/>
    <x v="6"/>
    <x v="1"/>
    <s v="SI"/>
    <s v="SI"/>
    <s v="NO"/>
    <n v="44"/>
    <n v="0.14259097301299228"/>
    <s v="No"/>
    <n v="0.22265307374074372"/>
    <s v="No"/>
    <n v="35954427"/>
    <n v="44"/>
    <x v="5"/>
  </r>
  <r>
    <n v="4709"/>
    <s v="HOMBRE"/>
    <n v="550000"/>
    <x v="0"/>
    <x v="1"/>
    <s v="SI"/>
    <s v="NO"/>
    <s v="NO"/>
    <n v="39"/>
    <n v="0.21028567737269524"/>
    <s v="No"/>
    <n v="0.36650158395610966"/>
    <s v="No"/>
    <n v="550000"/>
    <n v="39"/>
    <x v="0"/>
  </r>
  <r>
    <n v="4710"/>
    <s v="HOMBRE"/>
    <n v="148240413"/>
    <x v="0"/>
    <x v="1"/>
    <s v="SI"/>
    <s v="NO"/>
    <s v="NO"/>
    <n v="56"/>
    <n v="0.9894949339386423"/>
    <s v="No"/>
    <n v="2.091171144827833"/>
    <s v="Sí"/>
    <n v="148240413"/>
    <n v="56"/>
    <x v="0"/>
  </r>
  <r>
    <n v="4711"/>
    <s v="HOMBRE"/>
    <n v="56223245"/>
    <x v="0"/>
    <x v="0"/>
    <s v="SI"/>
    <s v="NO"/>
    <s v="NO"/>
    <n v="47"/>
    <n v="0.35431696324440481"/>
    <s v="No"/>
    <n v="0.55994051326659222"/>
    <s v="No"/>
    <n v="56223245"/>
    <n v="47"/>
    <x v="0"/>
  </r>
  <r>
    <n v="4712"/>
    <s v="MUJER"/>
    <n v="160481"/>
    <x v="0"/>
    <x v="0"/>
    <s v="SI"/>
    <s v="NO"/>
    <s v="NO"/>
    <n v="26"/>
    <n v="1.1277649683754829"/>
    <s v="No"/>
    <n v="0.37298345508232278"/>
    <s v="No"/>
    <n v="160481"/>
    <n v="26"/>
    <x v="0"/>
  </r>
  <r>
    <n v="4713"/>
    <s v="MUJER"/>
    <n v="239681"/>
    <x v="0"/>
    <x v="1"/>
    <s v="SI"/>
    <s v="NO"/>
    <s v="NO"/>
    <n v="34"/>
    <n v="0.56316232775838282"/>
    <s v="No"/>
    <n v="0.37166551117407676"/>
    <s v="No"/>
    <n v="239681"/>
    <n v="34"/>
    <x v="0"/>
  </r>
  <r>
    <n v="4714"/>
    <s v="HOMBRE"/>
    <n v="331398"/>
    <x v="0"/>
    <x v="1"/>
    <s v="SI"/>
    <s v="NO"/>
    <s v="NO"/>
    <n v="30"/>
    <n v="0.84546364806693275"/>
    <s v="No"/>
    <n v="0.37013927554992776"/>
    <s v="No"/>
    <n v="331398"/>
    <n v="30"/>
    <x v="0"/>
  </r>
  <r>
    <n v="4715"/>
    <s v="MUJER"/>
    <n v="42639651"/>
    <x v="0"/>
    <x v="1"/>
    <s v="SI"/>
    <s v="NO"/>
    <s v="NO"/>
    <n v="22"/>
    <n v="1.4100662886840327"/>
    <s v="No"/>
    <n v="0.33389992028190618"/>
    <s v="No"/>
    <n v="42639651"/>
    <n v="22"/>
    <x v="0"/>
  </r>
  <r>
    <n v="4716"/>
    <s v="MUJER"/>
    <n v="297046"/>
    <x v="2"/>
    <x v="1"/>
    <s v="SI"/>
    <s v="SI"/>
    <s v="NO"/>
    <n v="27"/>
    <n v="1.0571896382983452"/>
    <s v="No"/>
    <n v="0.37071091707942361"/>
    <s v="No"/>
    <n v="297046"/>
    <n v="27"/>
    <x v="2"/>
  </r>
  <r>
    <n v="4717"/>
    <s v="HOMBRE"/>
    <n v="80766097"/>
    <x v="0"/>
    <x v="1"/>
    <s v="SI"/>
    <s v="NO"/>
    <s v="NO"/>
    <n v="28"/>
    <n v="0.98661430822120777"/>
    <s v="No"/>
    <n v="0.96835089564517263"/>
    <s v="No"/>
    <n v="80766097"/>
    <n v="28"/>
    <x v="0"/>
  </r>
  <r>
    <n v="4718"/>
    <s v="MUJER"/>
    <n v="34650845"/>
    <x v="0"/>
    <x v="1"/>
    <s v="SI"/>
    <s v="NO"/>
    <s v="NO"/>
    <n v="46"/>
    <n v="0.2837416331672673"/>
    <s v="No"/>
    <n v="0.20096054904630989"/>
    <s v="No"/>
    <n v="34650845"/>
    <n v="46"/>
    <x v="0"/>
  </r>
  <r>
    <n v="4719"/>
    <s v="HOMBRE"/>
    <n v="578500"/>
    <x v="0"/>
    <x v="1"/>
    <s v="SI"/>
    <s v="SI"/>
    <s v="NO"/>
    <n v="56"/>
    <n v="0.9894949339386423"/>
    <s v="No"/>
    <n v="0.36602732383761205"/>
    <s v="No"/>
    <n v="578500"/>
    <n v="56"/>
    <x v="0"/>
  </r>
  <r>
    <n v="4720"/>
    <s v="HOMBRE"/>
    <n v="278030"/>
    <x v="4"/>
    <x v="1"/>
    <s v="SI"/>
    <s v="NO"/>
    <s v="NO"/>
    <n v="36"/>
    <n v="0.42201166760410774"/>
    <s v="No"/>
    <n v="0.37102735674304993"/>
    <s v="No"/>
    <n v="278030"/>
    <n v="36"/>
    <x v="4"/>
  </r>
  <r>
    <n v="4721"/>
    <s v="HOMBRE"/>
    <n v="4393676"/>
    <x v="0"/>
    <x v="1"/>
    <s v="SI"/>
    <s v="SI"/>
    <s v="NO"/>
    <n v="57"/>
    <n v="1.0600702640157798"/>
    <s v="No"/>
    <n v="0.30254010201833925"/>
    <s v="No"/>
    <n v="4393676"/>
    <n v="57"/>
    <x v="0"/>
  </r>
  <r>
    <n v="4722"/>
    <s v="MUJER"/>
    <n v="297046"/>
    <x v="2"/>
    <x v="1"/>
    <s v="SI"/>
    <s v="NO"/>
    <s v="NO"/>
    <n v="41"/>
    <n v="6.9135017218420233E-2"/>
    <s v="No"/>
    <n v="0.37071091707942361"/>
    <s v="No"/>
    <n v="297046"/>
    <n v="41"/>
    <x v="2"/>
  </r>
  <r>
    <n v="4723"/>
    <s v="HOMBRE"/>
    <n v="74448575"/>
    <x v="0"/>
    <x v="0"/>
    <s v="SI"/>
    <s v="NO"/>
    <s v="NO"/>
    <n v="54"/>
    <n v="0.84834427378436728"/>
    <s v="No"/>
    <n v="0.86322286994933684"/>
    <s v="No"/>
    <n v="74448575"/>
    <n v="54"/>
    <x v="0"/>
  </r>
  <r>
    <n v="4724"/>
    <s v="MUJER"/>
    <n v="587429"/>
    <x v="0"/>
    <x v="1"/>
    <s v="SI"/>
    <s v="NO"/>
    <s v="NO"/>
    <n v="43"/>
    <n v="7.2015642935854773E-2"/>
    <s v="No"/>
    <n v="0.36587873897452206"/>
    <s v="No"/>
    <n v="587429"/>
    <n v="43"/>
    <x v="0"/>
  </r>
  <r>
    <n v="4725"/>
    <s v="HOMBRE"/>
    <n v="297045"/>
    <x v="3"/>
    <x v="1"/>
    <s v="SI"/>
    <s v="NO"/>
    <s v="NO"/>
    <n v="45"/>
    <n v="0.21316630309012977"/>
    <s v="No"/>
    <n v="0.37071093372012948"/>
    <s v="No"/>
    <n v="297045"/>
    <n v="45"/>
    <x v="3"/>
  </r>
  <r>
    <n v="4726"/>
    <s v="HOMBRE"/>
    <n v="600000"/>
    <x v="0"/>
    <x v="1"/>
    <s v="SI"/>
    <s v="SI"/>
    <s v="NO"/>
    <n v="46"/>
    <n v="0.2837416331672673"/>
    <s v="No"/>
    <n v="0.36566954866049978"/>
    <s v="No"/>
    <n v="600000"/>
    <n v="46"/>
    <x v="0"/>
  </r>
  <r>
    <n v="4727"/>
    <s v="HOMBRE"/>
    <n v="471303"/>
    <x v="0"/>
    <x v="0"/>
    <s v="SI"/>
    <s v="NO"/>
    <s v="SI"/>
    <n v="56"/>
    <n v="0.9894949339386423"/>
    <s v="No"/>
    <n v="0.36781115758928185"/>
    <s v="No"/>
    <n v="471303"/>
    <n v="56"/>
    <x v="0"/>
  </r>
  <r>
    <n v="4728"/>
    <s v="HOMBRE"/>
    <n v="584267"/>
    <x v="0"/>
    <x v="1"/>
    <s v="SI"/>
    <s v="NO"/>
    <s v="NO"/>
    <n v="34"/>
    <n v="0.56316232775838282"/>
    <s v="No"/>
    <n v="0.36593135688661638"/>
    <s v="No"/>
    <n v="584267"/>
    <n v="34"/>
    <x v="0"/>
  </r>
  <r>
    <n v="4729"/>
    <s v="MUJER"/>
    <n v="455696"/>
    <x v="0"/>
    <x v="0"/>
    <s v="SI"/>
    <s v="NO"/>
    <s v="NO"/>
    <n v="35"/>
    <n v="0.49258699768124525"/>
    <s v="No"/>
    <n v="0.36807086908645348"/>
    <s v="No"/>
    <n v="455696"/>
    <n v="35"/>
    <x v="0"/>
  </r>
  <r>
    <n v="4730"/>
    <s v="HOMBRE"/>
    <n v="50856757"/>
    <x v="0"/>
    <x v="1"/>
    <s v="SI"/>
    <s v="NO"/>
    <s v="NO"/>
    <n v="28"/>
    <n v="0.98661430822120777"/>
    <s v="No"/>
    <n v="0.47063836467725706"/>
    <s v="No"/>
    <n v="50856757"/>
    <n v="28"/>
    <x v="0"/>
  </r>
  <r>
    <n v="4731"/>
    <s v="HOMBRE"/>
    <n v="7800626"/>
    <x v="0"/>
    <x v="1"/>
    <s v="SI"/>
    <s v="NO"/>
    <s v="NO"/>
    <n v="41"/>
    <n v="6.9135017218420233E-2"/>
    <s v="No"/>
    <n v="0.24584604901077908"/>
    <s v="No"/>
    <n v="7800626"/>
    <n v="41"/>
    <x v="0"/>
  </r>
  <r>
    <n v="4732"/>
    <s v="MUJER"/>
    <n v="299152"/>
    <x v="0"/>
    <x v="0"/>
    <s v="SI"/>
    <s v="NO"/>
    <s v="NO"/>
    <n v="48"/>
    <n v="0.42489229332154227"/>
    <s v="No"/>
    <n v="0.3706758717527725"/>
    <s v="No"/>
    <n v="299152"/>
    <n v="48"/>
    <x v="0"/>
  </r>
  <r>
    <n v="4733"/>
    <s v="HOMBRE"/>
    <n v="8375268"/>
    <x v="0"/>
    <x v="1"/>
    <s v="SI"/>
    <s v="SI"/>
    <s v="NO"/>
    <n v="33"/>
    <n v="0.63373765783552027"/>
    <s v="No"/>
    <n v="0.23628360048398228"/>
    <s v="No"/>
    <n v="8375268"/>
    <n v="33"/>
    <x v="0"/>
  </r>
  <r>
    <n v="4734"/>
    <s v="MUJER"/>
    <n v="566297"/>
    <x v="3"/>
    <x v="1"/>
    <s v="SI"/>
    <s v="SI"/>
    <s v="NO"/>
    <n v="59"/>
    <n v="1.2012209241700549"/>
    <s v="No"/>
    <n v="0.36623039037185856"/>
    <s v="No"/>
    <n v="566297"/>
    <n v="59"/>
    <x v="3"/>
  </r>
  <r>
    <n v="4735"/>
    <s v="HOMBRE"/>
    <n v="51570375"/>
    <x v="0"/>
    <x v="0"/>
    <s v="SI"/>
    <s v="NO"/>
    <s v="NO"/>
    <n v="49"/>
    <n v="0.49546762339867978"/>
    <s v="No"/>
    <n v="0.48251347194890737"/>
    <s v="No"/>
    <n v="51570375"/>
    <n v="49"/>
    <x v="0"/>
  </r>
  <r>
    <n v="4736"/>
    <s v="HOMBRE"/>
    <n v="66688858"/>
    <x v="0"/>
    <x v="1"/>
    <s v="SI"/>
    <s v="NO"/>
    <s v="NO"/>
    <n v="57"/>
    <n v="1.0600702640157798"/>
    <s v="No"/>
    <n v="0.73409570139045988"/>
    <s v="No"/>
    <n v="66688858"/>
    <n v="57"/>
    <x v="0"/>
  </r>
  <r>
    <n v="4737"/>
    <s v="MUJER"/>
    <n v="597692"/>
    <x v="0"/>
    <x v="1"/>
    <s v="SI"/>
    <s v="NO"/>
    <s v="NO"/>
    <n v="40"/>
    <n v="0.13971034729555773"/>
    <s v="No"/>
    <n v="0.36570795540974516"/>
    <s v="No"/>
    <n v="597692"/>
    <n v="40"/>
    <x v="0"/>
  </r>
  <r>
    <n v="4738"/>
    <s v="HOMBRE"/>
    <n v="37727453"/>
    <x v="0"/>
    <x v="1"/>
    <s v="SI"/>
    <s v="SI"/>
    <s v="NO"/>
    <n v="21"/>
    <n v="1.4806416187611704"/>
    <s v="No"/>
    <n v="0.25215747798142302"/>
    <s v="No"/>
    <n v="37727453"/>
    <n v="21"/>
    <x v="0"/>
  </r>
  <r>
    <n v="4739"/>
    <s v="HOMBRE"/>
    <n v="426954"/>
    <x v="0"/>
    <x v="0"/>
    <s v="SI"/>
    <s v="NO"/>
    <s v="NO"/>
    <n v="27"/>
    <n v="1.0571896382983452"/>
    <s v="No"/>
    <n v="0.36854915625578188"/>
    <s v="No"/>
    <n v="426954"/>
    <n v="27"/>
    <x v="0"/>
  </r>
  <r>
    <n v="4740"/>
    <s v="HOMBRE"/>
    <n v="40627376"/>
    <x v="0"/>
    <x v="1"/>
    <s v="SI"/>
    <s v="NO"/>
    <s v="NO"/>
    <n v="30"/>
    <n v="0.84546364806693275"/>
    <s v="No"/>
    <n v="0.30041424379243958"/>
    <s v="No"/>
    <n v="40627376"/>
    <n v="30"/>
    <x v="0"/>
  </r>
  <r>
    <n v="4741"/>
    <s v="MUJER"/>
    <n v="278030"/>
    <x v="2"/>
    <x v="1"/>
    <s v="SI"/>
    <s v="NO"/>
    <s v="NO"/>
    <n v="34"/>
    <n v="0.56316232775838282"/>
    <s v="No"/>
    <n v="0.37102735674304993"/>
    <s v="No"/>
    <n v="278030"/>
    <n v="34"/>
    <x v="2"/>
  </r>
  <r>
    <n v="4742"/>
    <s v="HOMBRE"/>
    <n v="4789167"/>
    <x v="0"/>
    <x v="1"/>
    <s v="SI"/>
    <s v="SI"/>
    <s v="NO"/>
    <n v="48"/>
    <n v="0.42489229332154227"/>
    <s v="No"/>
    <n v="0.29595885259641846"/>
    <s v="No"/>
    <n v="4789167"/>
    <n v="48"/>
    <x v="0"/>
  </r>
  <r>
    <n v="4743"/>
    <s v="HOMBRE"/>
    <n v="713217"/>
    <x v="0"/>
    <x v="0"/>
    <s v="SI"/>
    <s v="NO"/>
    <s v="NO"/>
    <n v="32"/>
    <n v="0.70431298791265773"/>
    <s v="No"/>
    <n v="0.36378553785923856"/>
    <s v="No"/>
    <n v="713217"/>
    <n v="32"/>
    <x v="0"/>
  </r>
  <r>
    <n v="4744"/>
    <s v="HOMBRE"/>
    <n v="380000"/>
    <x v="0"/>
    <x v="1"/>
    <s v="SI"/>
    <s v="NO"/>
    <s v="SI"/>
    <n v="22"/>
    <n v="1.4100662886840327"/>
    <s v="No"/>
    <n v="0.36933050396118317"/>
    <s v="No"/>
    <n v="380000"/>
    <n v="22"/>
    <x v="0"/>
  </r>
  <r>
    <n v="4745"/>
    <s v="HOMBRE"/>
    <n v="371789"/>
    <x v="3"/>
    <x v="1"/>
    <s v="SI"/>
    <s v="NO"/>
    <s v="NO"/>
    <n v="55"/>
    <n v="0.91891960386150484"/>
    <s v="No"/>
    <n v="0.36946714079742821"/>
    <s v="No"/>
    <n v="371789"/>
    <n v="55"/>
    <x v="3"/>
  </r>
  <r>
    <n v="4746"/>
    <s v="HOMBRE"/>
    <n v="40965648"/>
    <x v="0"/>
    <x v="1"/>
    <s v="SI"/>
    <s v="SI"/>
    <s v="NO"/>
    <n v="59"/>
    <n v="1.2012209241700549"/>
    <s v="No"/>
    <n v="0.30604332866277034"/>
    <s v="No"/>
    <n v="40965648"/>
    <n v="59"/>
    <x v="0"/>
  </r>
  <r>
    <n v="4747"/>
    <s v="HOMBRE"/>
    <n v="297045"/>
    <x v="2"/>
    <x v="1"/>
    <s v="SI"/>
    <s v="SI"/>
    <s v="NO"/>
    <n v="27"/>
    <n v="1.0571896382983452"/>
    <s v="No"/>
    <n v="0.37071093372012948"/>
    <s v="No"/>
    <n v="297045"/>
    <n v="27"/>
    <x v="2"/>
  </r>
  <r>
    <n v="4748"/>
    <s v="HOMBRE"/>
    <n v="55487949"/>
    <x v="0"/>
    <x v="1"/>
    <s v="SI"/>
    <s v="NO"/>
    <s v="NO"/>
    <n v="30"/>
    <n v="0.84546364806693275"/>
    <s v="No"/>
    <n v="0.54770466877217738"/>
    <s v="No"/>
    <n v="55487949"/>
    <n v="30"/>
    <x v="0"/>
  </r>
  <r>
    <n v="4749"/>
    <s v="MUJER"/>
    <n v="686166"/>
    <x v="3"/>
    <x v="1"/>
    <s v="SI"/>
    <s v="NO"/>
    <s v="NO"/>
    <n v="37"/>
    <n v="0.35143633752697023"/>
    <s v="No"/>
    <n v="0.36423568559486941"/>
    <s v="No"/>
    <n v="686166"/>
    <n v="37"/>
    <x v="3"/>
  </r>
  <r>
    <n v="4750"/>
    <s v="MUJER"/>
    <n v="91946032"/>
    <x v="0"/>
    <x v="0"/>
    <s v="SI"/>
    <s v="NO"/>
    <s v="NO"/>
    <n v="57"/>
    <n v="1.0600702640157798"/>
    <s v="No"/>
    <n v="1.1543929060976525"/>
    <s v="No"/>
    <n v="91946032"/>
    <n v="57"/>
    <x v="0"/>
  </r>
  <r>
    <n v="4751"/>
    <s v="HOMBRE"/>
    <n v="4266149"/>
    <x v="0"/>
    <x v="1"/>
    <s v="SI"/>
    <s v="NO"/>
    <s v="NO"/>
    <n v="33"/>
    <n v="0.63373765783552027"/>
    <s v="No"/>
    <n v="0.30466224132120401"/>
    <s v="No"/>
    <n v="4266149"/>
    <n v="33"/>
    <x v="0"/>
  </r>
  <r>
    <n v="4752"/>
    <s v="MUJER"/>
    <n v="297046"/>
    <x v="2"/>
    <x v="1"/>
    <s v="SI"/>
    <s v="NO"/>
    <s v="NO"/>
    <n v="47"/>
    <n v="0.35431696324440481"/>
    <s v="No"/>
    <n v="0.37071091707942361"/>
    <s v="No"/>
    <n v="297046"/>
    <n v="47"/>
    <x v="2"/>
  </r>
  <r>
    <n v="4753"/>
    <s v="HOMBRE"/>
    <n v="54143"/>
    <x v="0"/>
    <x v="1"/>
    <s v="SI"/>
    <s v="NO"/>
    <s v="NO"/>
    <n v="28"/>
    <n v="0.98661430822120777"/>
    <s v="No"/>
    <n v="0.37475299446761401"/>
    <s v="No"/>
    <n v="54143"/>
    <n v="28"/>
    <x v="0"/>
  </r>
  <r>
    <n v="4754"/>
    <s v="HOMBRE"/>
    <n v="28903315"/>
    <x v="0"/>
    <x v="1"/>
    <s v="SI"/>
    <s v="SI"/>
    <s v="NO"/>
    <n v="21"/>
    <n v="1.4806416187611704"/>
    <s v="No"/>
    <n v="0.10531759259477924"/>
    <s v="No"/>
    <n v="28903315"/>
    <n v="21"/>
    <x v="0"/>
  </r>
  <r>
    <n v="4755"/>
    <s v="HOMBRE"/>
    <n v="485785"/>
    <x v="0"/>
    <x v="1"/>
    <s v="SI"/>
    <s v="NO"/>
    <s v="SI"/>
    <n v="28"/>
    <n v="0.98661430822120777"/>
    <s v="No"/>
    <n v="0.36757016688626137"/>
    <s v="No"/>
    <n v="485785"/>
    <n v="28"/>
    <x v="0"/>
  </r>
  <r>
    <n v="4756"/>
    <s v="HOMBRE"/>
    <n v="34962757"/>
    <x v="0"/>
    <x v="1"/>
    <s v="SI"/>
    <s v="NO"/>
    <s v="NO"/>
    <n v="21"/>
    <n v="1.4806416187611704"/>
    <s v="No"/>
    <n v="0.20615098490879513"/>
    <s v="No"/>
    <n v="34962757"/>
    <n v="21"/>
    <x v="0"/>
  </r>
  <r>
    <n v="4757"/>
    <s v="MUJER"/>
    <n v="173160"/>
    <x v="0"/>
    <x v="1"/>
    <s v="SI"/>
    <s v="NO"/>
    <s v="NO"/>
    <n v="35"/>
    <n v="0.49258699768124525"/>
    <s v="No"/>
    <n v="0.37277246757206206"/>
    <s v="No"/>
    <n v="173160"/>
    <n v="35"/>
    <x v="0"/>
  </r>
  <r>
    <n v="4758"/>
    <s v="MUJER"/>
    <n v="40000"/>
    <x v="0"/>
    <x v="1"/>
    <s v="SI"/>
    <s v="SI"/>
    <s v="NO"/>
    <n v="58"/>
    <n v="1.1306455940929174"/>
    <s v="No"/>
    <n v="0.37498834397133024"/>
    <s v="No"/>
    <n v="40000"/>
    <n v="58"/>
    <x v="0"/>
  </r>
  <r>
    <n v="4759"/>
    <s v="HOMBRE"/>
    <n v="904989"/>
    <x v="0"/>
    <x v="0"/>
    <s v="SI"/>
    <s v="NO"/>
    <s v="NO"/>
    <n v="39"/>
    <n v="0.21028567737269524"/>
    <s v="No"/>
    <n v="0.36059431640504469"/>
    <s v="No"/>
    <n v="904989"/>
    <n v="39"/>
    <x v="0"/>
  </r>
  <r>
    <n v="4760"/>
    <s v="HOMBRE"/>
    <n v="6483025"/>
    <x v="0"/>
    <x v="0"/>
    <s v="SI"/>
    <s v="NO"/>
    <s v="NO"/>
    <n v="59"/>
    <n v="1.2012209241700549"/>
    <s v="No"/>
    <n v="0.267771859761396"/>
    <s v="No"/>
    <n v="6483025"/>
    <n v="59"/>
    <x v="0"/>
  </r>
  <r>
    <n v="4761"/>
    <s v="HOMBRE"/>
    <n v="278030"/>
    <x v="4"/>
    <x v="1"/>
    <s v="SI"/>
    <s v="NO"/>
    <s v="NO"/>
    <n v="55"/>
    <n v="0.91891960386150484"/>
    <s v="No"/>
    <n v="0.37102735674304993"/>
    <s v="No"/>
    <n v="278030"/>
    <n v="55"/>
    <x v="4"/>
  </r>
  <r>
    <n v="4762"/>
    <s v="MUJER"/>
    <n v="639148"/>
    <x v="3"/>
    <x v="1"/>
    <s v="SI"/>
    <s v="NO"/>
    <s v="SI"/>
    <n v="73"/>
    <n v="2.1892755452499797"/>
    <s v="Sí"/>
    <n v="0.36501809830544912"/>
    <s v="No"/>
    <n v="639148"/>
    <n v="73"/>
    <x v="3"/>
  </r>
  <r>
    <n v="4763"/>
    <s v="HOMBRE"/>
    <n v="48867253"/>
    <x v="0"/>
    <x v="1"/>
    <s v="SI"/>
    <s v="NO"/>
    <s v="NO"/>
    <n v="34"/>
    <n v="0.56316232775838282"/>
    <s v="No"/>
    <n v="0.43753161370211713"/>
    <s v="No"/>
    <n v="48867253"/>
    <n v="34"/>
    <x v="0"/>
  </r>
  <r>
    <n v="4764"/>
    <s v="HOMBRE"/>
    <n v="278030"/>
    <x v="4"/>
    <x v="1"/>
    <s v="SI"/>
    <s v="NO"/>
    <s v="SI"/>
    <n v="49"/>
    <n v="0.49546762339867978"/>
    <s v="No"/>
    <n v="0.37102735674304993"/>
    <s v="No"/>
    <n v="278030"/>
    <n v="49"/>
    <x v="4"/>
  </r>
  <r>
    <n v="4765"/>
    <s v="MUJER"/>
    <n v="700000"/>
    <x v="0"/>
    <x v="1"/>
    <s v="SI"/>
    <s v="NO"/>
    <s v="NO"/>
    <n v="32"/>
    <n v="0.70431298791265773"/>
    <s v="No"/>
    <n v="0.36400547806928008"/>
    <s v="No"/>
    <n v="700000"/>
    <n v="32"/>
    <x v="0"/>
  </r>
  <r>
    <n v="4766"/>
    <s v="MUJER"/>
    <n v="1214806"/>
    <x v="0"/>
    <x v="0"/>
    <s v="SI"/>
    <s v="NO"/>
    <s v="NO"/>
    <n v="32"/>
    <n v="0.70431298791265773"/>
    <s v="No"/>
    <n v="0.3554387428214455"/>
    <s v="No"/>
    <n v="1214806"/>
    <n v="32"/>
    <x v="0"/>
  </r>
  <r>
    <n v="4767"/>
    <s v="MUJER"/>
    <n v="299784"/>
    <x v="3"/>
    <x v="1"/>
    <s v="SI"/>
    <s v="SI"/>
    <s v="SI"/>
    <n v="32"/>
    <n v="0.70431298791265773"/>
    <s v="No"/>
    <n v="0.37066535482663598"/>
    <s v="No"/>
    <n v="299784"/>
    <n v="32"/>
    <x v="3"/>
  </r>
  <r>
    <n v="4768"/>
    <s v="MUJER"/>
    <n v="15908947"/>
    <x v="0"/>
    <x v="0"/>
    <s v="SI"/>
    <s v="NO"/>
    <s v="NO"/>
    <n v="44"/>
    <n v="0.14259097301299228"/>
    <s v="No"/>
    <n v="0.11091786380808656"/>
    <s v="No"/>
    <n v="15908947"/>
    <n v="44"/>
    <x v="0"/>
  </r>
  <r>
    <n v="4769"/>
    <s v="HOMBRE"/>
    <n v="259227"/>
    <x v="0"/>
    <x v="1"/>
    <s v="SI"/>
    <s v="NO"/>
    <s v="NO"/>
    <n v="31"/>
    <n v="0.77488831798979529"/>
    <s v="No"/>
    <n v="0.37134025193631698"/>
    <s v="No"/>
    <n v="259227"/>
    <n v="31"/>
    <x v="0"/>
  </r>
  <r>
    <n v="4770"/>
    <s v="MUJER"/>
    <n v="7569366"/>
    <x v="0"/>
    <x v="0"/>
    <s v="SI"/>
    <s v="NO"/>
    <s v="NO"/>
    <n v="48"/>
    <n v="0.42489229332154227"/>
    <s v="No"/>
    <n v="0.2496943786600338"/>
    <s v="No"/>
    <n v="7569366"/>
    <n v="48"/>
    <x v="0"/>
  </r>
  <r>
    <n v="4771"/>
    <s v="HOMBRE"/>
    <n v="174458938"/>
    <x v="0"/>
    <x v="0"/>
    <s v="SI"/>
    <s v="NO"/>
    <s v="NO"/>
    <n v="35"/>
    <n v="0.49258699768124525"/>
    <s v="No"/>
    <n v="2.5274659088044227"/>
    <s v="Sí"/>
    <n v="174458938"/>
    <n v="35"/>
    <x v="0"/>
  </r>
  <r>
    <n v="4772"/>
    <s v="HOMBRE"/>
    <n v="288287"/>
    <x v="0"/>
    <x v="1"/>
    <s v="SI"/>
    <s v="NO"/>
    <s v="NO"/>
    <n v="21"/>
    <n v="1.4806416187611704"/>
    <s v="No"/>
    <n v="0.37085667302250852"/>
    <s v="No"/>
    <n v="288287"/>
    <n v="21"/>
    <x v="0"/>
  </r>
  <r>
    <n v="4773"/>
    <s v="HOMBRE"/>
    <n v="278031"/>
    <x v="2"/>
    <x v="1"/>
    <s v="SI"/>
    <s v="NO"/>
    <s v="NO"/>
    <n v="39"/>
    <n v="0.21028567737269524"/>
    <s v="No"/>
    <n v="0.37102734010234401"/>
    <s v="No"/>
    <n v="278031"/>
    <n v="39"/>
    <x v="2"/>
  </r>
  <r>
    <n v="4774"/>
    <s v="MUJER"/>
    <n v="297046"/>
    <x v="3"/>
    <x v="1"/>
    <s v="SI"/>
    <s v="NO"/>
    <s v="SI"/>
    <n v="24"/>
    <n v="1.2689156285297578"/>
    <s v="No"/>
    <n v="0.37071091707942361"/>
    <s v="No"/>
    <n v="297046"/>
    <n v="24"/>
    <x v="3"/>
  </r>
  <r>
    <n v="4775"/>
    <s v="MUJER"/>
    <n v="334110"/>
    <x v="0"/>
    <x v="1"/>
    <s v="SI"/>
    <s v="NO"/>
    <s v="SI"/>
    <n v="31"/>
    <n v="0.77488831798979529"/>
    <s v="No"/>
    <n v="0.37009414595549389"/>
    <s v="No"/>
    <n v="334110"/>
    <n v="31"/>
    <x v="0"/>
  </r>
  <r>
    <n v="4776"/>
    <s v="HOMBRE"/>
    <n v="1212884"/>
    <x v="0"/>
    <x v="1"/>
    <s v="SI"/>
    <s v="SI"/>
    <s v="NO"/>
    <n v="28"/>
    <n v="0.98661430822120777"/>
    <s v="No"/>
    <n v="0.35547072625820875"/>
    <s v="No"/>
    <n v="1212884"/>
    <n v="28"/>
    <x v="0"/>
  </r>
  <r>
    <n v="4777"/>
    <s v="HOMBRE"/>
    <n v="617386"/>
    <x v="3"/>
    <x v="1"/>
    <s v="SI"/>
    <s v="NO"/>
    <s v="NO"/>
    <n v="40"/>
    <n v="0.13971034729555773"/>
    <s v="No"/>
    <n v="0.36538023334751035"/>
    <s v="No"/>
    <n v="617386"/>
    <n v="40"/>
    <x v="3"/>
  </r>
  <r>
    <n v="4778"/>
    <s v="HOMBRE"/>
    <n v="50000"/>
    <x v="0"/>
    <x v="1"/>
    <s v="SI"/>
    <s v="SI"/>
    <s v="SI"/>
    <n v="41"/>
    <n v="6.9135017218420233E-2"/>
    <s v="No"/>
    <n v="0.37482193691220822"/>
    <s v="No"/>
    <n v="50000"/>
    <n v="41"/>
    <x v="0"/>
  </r>
  <r>
    <n v="4779"/>
    <s v="MUJER"/>
    <n v="17977213"/>
    <x v="0"/>
    <x v="1"/>
    <s v="SI"/>
    <s v="NO"/>
    <s v="NO"/>
    <n v="23"/>
    <n v="1.3394909586068953"/>
    <s v="No"/>
    <n v="7.650045755389015E-2"/>
    <s v="No"/>
    <n v="17977213"/>
    <n v="23"/>
    <x v="0"/>
  </r>
  <r>
    <n v="4780"/>
    <s v="MUJER"/>
    <n v="1602859"/>
    <x v="0"/>
    <x v="0"/>
    <s v="SI"/>
    <s v="NO"/>
    <s v="SI"/>
    <n v="36"/>
    <n v="0.42201166760410774"/>
    <s v="No"/>
    <n v="0.34898126697009962"/>
    <s v="No"/>
    <n v="1602859"/>
    <n v="36"/>
    <x v="0"/>
  </r>
  <r>
    <n v="4781"/>
    <s v="MUJER"/>
    <n v="410351"/>
    <x v="3"/>
    <x v="1"/>
    <s v="SI"/>
    <s v="SI"/>
    <s v="NO"/>
    <n v="54"/>
    <n v="0.84834427378436728"/>
    <s v="No"/>
    <n v="0.36882544189604211"/>
    <s v="No"/>
    <n v="410351"/>
    <n v="54"/>
    <x v="3"/>
  </r>
  <r>
    <n v="4782"/>
    <s v="HOMBRE"/>
    <n v="339953"/>
    <x v="0"/>
    <x v="1"/>
    <s v="SI"/>
    <s v="NO"/>
    <s v="NO"/>
    <n v="33"/>
    <n v="0.63373765783552027"/>
    <s v="No"/>
    <n v="0.36999691431084891"/>
    <s v="No"/>
    <n v="339953"/>
    <n v="33"/>
    <x v="0"/>
  </r>
  <r>
    <n v="4783"/>
    <s v="HOMBRE"/>
    <n v="753198"/>
    <x v="0"/>
    <x v="0"/>
    <s v="SI"/>
    <s v="NO"/>
    <s v="NO"/>
    <n v="51"/>
    <n v="0.6366182835529548"/>
    <s v="No"/>
    <n v="0.36312022579616304"/>
    <s v="No"/>
    <n v="753198"/>
    <n v="51"/>
    <x v="0"/>
  </r>
  <r>
    <n v="4784"/>
    <s v="HOMBRE"/>
    <n v="69774371"/>
    <x v="0"/>
    <x v="1"/>
    <s v="SI"/>
    <s v="SI"/>
    <s v="NO"/>
    <n v="29"/>
    <n v="0.91603897814407031"/>
    <s v="No"/>
    <n v="0.7854408158117212"/>
    <s v="No"/>
    <n v="69774371"/>
    <n v="29"/>
    <x v="0"/>
  </r>
  <r>
    <n v="4785"/>
    <s v="MUJER"/>
    <n v="44573984"/>
    <x v="0"/>
    <x v="1"/>
    <s v="SI"/>
    <s v="NO"/>
    <s v="NO"/>
    <n v="29"/>
    <n v="0.91603897814407031"/>
    <s v="No"/>
    <n v="0.3660885868711643"/>
    <s v="No"/>
    <n v="44573984"/>
    <n v="29"/>
    <x v="0"/>
  </r>
  <r>
    <n v="4786"/>
    <s v="MUJER"/>
    <n v="66055553"/>
    <x v="0"/>
    <x v="1"/>
    <s v="SI"/>
    <s v="NO"/>
    <s v="NO"/>
    <n v="20"/>
    <n v="1.5512169488383079"/>
    <s v="No"/>
    <n v="0.72355705913273582"/>
    <s v="No"/>
    <n v="66055553"/>
    <n v="20"/>
    <x v="0"/>
  </r>
  <r>
    <n v="4787"/>
    <s v="MUJER"/>
    <n v="278030"/>
    <x v="4"/>
    <x v="1"/>
    <s v="SI"/>
    <s v="NO"/>
    <s v="NO"/>
    <n v="60"/>
    <n v="1.2717962542471923"/>
    <s v="No"/>
    <n v="0.37102735674304993"/>
    <s v="No"/>
    <n v="278030"/>
    <n v="60"/>
    <x v="4"/>
  </r>
  <r>
    <n v="4788"/>
    <s v="HOMBRE"/>
    <n v="66662548"/>
    <x v="0"/>
    <x v="0"/>
    <s v="SI"/>
    <s v="NO"/>
    <s v="NO"/>
    <n v="37"/>
    <n v="0.35143633752697023"/>
    <s v="No"/>
    <n v="0.73365788441791002"/>
    <s v="No"/>
    <n v="66662548"/>
    <n v="37"/>
    <x v="0"/>
  </r>
  <r>
    <n v="4789"/>
    <s v="HOMBRE"/>
    <n v="10243131"/>
    <x v="0"/>
    <x v="1"/>
    <s v="SI"/>
    <s v="NO"/>
    <s v="NO"/>
    <n v="26"/>
    <n v="1.1277649683754829"/>
    <s v="No"/>
    <n v="0.20520104161670794"/>
    <s v="No"/>
    <n v="10243131"/>
    <n v="26"/>
    <x v="0"/>
  </r>
  <r>
    <n v="4790"/>
    <s v="HOMBRE"/>
    <n v="375000"/>
    <x v="0"/>
    <x v="1"/>
    <s v="SI"/>
    <s v="NO"/>
    <s v="NO"/>
    <n v="60"/>
    <n v="1.2717962542471923"/>
    <s v="No"/>
    <n v="0.36941370749074415"/>
    <s v="No"/>
    <n v="375000"/>
    <n v="60"/>
    <x v="0"/>
  </r>
  <r>
    <n v="4791"/>
    <s v="HOMBRE"/>
    <n v="445567"/>
    <x v="2"/>
    <x v="1"/>
    <s v="SI"/>
    <s v="NO"/>
    <s v="NO"/>
    <n v="54"/>
    <n v="0.84834427378436728"/>
    <s v="No"/>
    <n v="0.36823942279663813"/>
    <s v="No"/>
    <n v="445567"/>
    <n v="54"/>
    <x v="2"/>
  </r>
  <r>
    <n v="4792"/>
    <s v="HOMBRE"/>
    <n v="297139"/>
    <x v="2"/>
    <x v="1"/>
    <s v="SI"/>
    <s v="NO"/>
    <s v="NO"/>
    <n v="56"/>
    <n v="0.9894949339386423"/>
    <s v="No"/>
    <n v="0.37070936949377375"/>
    <s v="No"/>
    <n v="297139"/>
    <n v="56"/>
    <x v="2"/>
  </r>
  <r>
    <n v="4793"/>
    <s v="HOMBRE"/>
    <n v="2250000"/>
    <x v="0"/>
    <x v="1"/>
    <s v="SI"/>
    <s v="NO"/>
    <s v="NO"/>
    <n v="54"/>
    <n v="0.84834427378436728"/>
    <s v="No"/>
    <n v="0.33821238390537445"/>
    <s v="No"/>
    <n v="2250000"/>
    <n v="54"/>
    <x v="0"/>
  </r>
  <r>
    <n v="4794"/>
    <s v="HOMBRE"/>
    <n v="53461965"/>
    <x v="0"/>
    <x v="1"/>
    <s v="SI"/>
    <s v="NO"/>
    <s v="NO"/>
    <n v="25"/>
    <n v="1.1983402984526204"/>
    <s v="No"/>
    <n v="0.5139908648453605"/>
    <s v="No"/>
    <n v="53461965"/>
    <n v="25"/>
    <x v="0"/>
  </r>
  <r>
    <n v="4795"/>
    <s v="HOMBRE"/>
    <n v="408532"/>
    <x v="0"/>
    <x v="1"/>
    <s v="SI"/>
    <s v="NO"/>
    <s v="NO"/>
    <n v="29"/>
    <n v="0.91603897814407031"/>
    <s v="No"/>
    <n v="0.36885571134009637"/>
    <s v="No"/>
    <n v="408532"/>
    <n v="29"/>
    <x v="0"/>
  </r>
  <r>
    <n v="4796"/>
    <s v="MUJER"/>
    <n v="308439"/>
    <x v="2"/>
    <x v="1"/>
    <s v="SI"/>
    <s v="NO"/>
    <s v="NO"/>
    <n v="31"/>
    <n v="0.77488831798979529"/>
    <s v="No"/>
    <n v="0.37052132951696592"/>
    <s v="No"/>
    <n v="308439"/>
    <n v="31"/>
    <x v="2"/>
  </r>
  <r>
    <n v="4797"/>
    <s v="HOMBRE"/>
    <n v="489279"/>
    <x v="0"/>
    <x v="1"/>
    <s v="SI"/>
    <s v="NO"/>
    <s v="NO"/>
    <n v="49"/>
    <n v="0.49546762339867978"/>
    <s v="No"/>
    <n v="0.36751202425980417"/>
    <s v="No"/>
    <n v="489279"/>
    <n v="49"/>
    <x v="0"/>
  </r>
  <r>
    <n v="4798"/>
    <s v="MUJER"/>
    <n v="56667"/>
    <x v="0"/>
    <x v="1"/>
    <s v="SI"/>
    <s v="NO"/>
    <s v="NO"/>
    <n v="28"/>
    <n v="0.98661430822120777"/>
    <s v="No"/>
    <n v="0.37471099332589164"/>
    <s v="No"/>
    <n v="56667"/>
    <n v="28"/>
    <x v="0"/>
  </r>
  <r>
    <n v="4799"/>
    <s v="MUJER"/>
    <n v="297045"/>
    <x v="3"/>
    <x v="1"/>
    <s v="SI"/>
    <s v="NO"/>
    <s v="SI"/>
    <n v="50"/>
    <n v="0.56604295347581735"/>
    <s v="No"/>
    <n v="0.37071093372012948"/>
    <s v="No"/>
    <n v="297045"/>
    <n v="50"/>
    <x v="3"/>
  </r>
  <r>
    <n v="4800"/>
    <s v="MUJER"/>
    <n v="278030"/>
    <x v="4"/>
    <x v="1"/>
    <s v="SI"/>
    <s v="NO"/>
    <s v="NO"/>
    <n v="55"/>
    <n v="0.91891960386150484"/>
    <s v="No"/>
    <n v="0.37102735674304993"/>
    <s v="No"/>
    <n v="278030"/>
    <n v="55"/>
    <x v="4"/>
  </r>
  <r>
    <n v="4801"/>
    <s v="MUJER"/>
    <n v="468369"/>
    <x v="0"/>
    <x v="1"/>
    <s v="SI"/>
    <s v="NO"/>
    <s v="NO"/>
    <n v="30"/>
    <n v="0.84546364806693275"/>
    <s v="No"/>
    <n v="0.36785998142042825"/>
    <s v="No"/>
    <n v="468369"/>
    <n v="30"/>
    <x v="0"/>
  </r>
  <r>
    <n v="4802"/>
    <s v="MUJER"/>
    <n v="55927095"/>
    <x v="0"/>
    <x v="1"/>
    <s v="SI"/>
    <s v="NO"/>
    <s v="NO"/>
    <n v="30"/>
    <n v="0.84546364806693275"/>
    <s v="No"/>
    <n v="0.55501236821069511"/>
    <s v="No"/>
    <n v="55927095"/>
    <n v="30"/>
    <x v="0"/>
  </r>
  <r>
    <n v="4803"/>
    <s v="HOMBRE"/>
    <n v="352855"/>
    <x v="0"/>
    <x v="1"/>
    <s v="SI"/>
    <s v="NO"/>
    <s v="NO"/>
    <n v="35"/>
    <n v="0.49258699768124525"/>
    <s v="No"/>
    <n v="0.36978221592316979"/>
    <s v="No"/>
    <n v="352855"/>
    <n v="35"/>
    <x v="0"/>
  </r>
  <r>
    <n v="4804"/>
    <s v="HOMBRE"/>
    <n v="68548306"/>
    <x v="0"/>
    <x v="0"/>
    <s v="SI"/>
    <s v="NO"/>
    <s v="NO"/>
    <n v="41"/>
    <n v="6.9135017218420233E-2"/>
    <s v="No"/>
    <n v="0.76503822871748317"/>
    <s v="No"/>
    <n v="68548306"/>
    <n v="41"/>
    <x v="0"/>
  </r>
  <r>
    <n v="4805"/>
    <s v="HOMBRE"/>
    <n v="10554283"/>
    <x v="1"/>
    <x v="0"/>
    <s v="SI"/>
    <s v="NO"/>
    <s v="NO"/>
    <n v="69"/>
    <n v="1.9069742249414299"/>
    <s v="No"/>
    <n v="0.20002325269071594"/>
    <s v="No"/>
    <n v="10554283"/>
    <n v="69"/>
    <x v="1"/>
  </r>
  <r>
    <n v="4806"/>
    <s v="HOMBRE"/>
    <n v="639148"/>
    <x v="3"/>
    <x v="1"/>
    <s v="SI"/>
    <s v="NO"/>
    <s v="NO"/>
    <n v="64"/>
    <n v="1.5540975745557424"/>
    <s v="No"/>
    <n v="0.36501809830544912"/>
    <s v="No"/>
    <n v="639148"/>
    <n v="64"/>
    <x v="3"/>
  </r>
  <r>
    <n v="4807"/>
    <s v="HOMBRE"/>
    <n v="80000"/>
    <x v="0"/>
    <x v="1"/>
    <s v="SI"/>
    <s v="SI"/>
    <s v="NO"/>
    <n v="44"/>
    <n v="0.14259097301299228"/>
    <s v="No"/>
    <n v="0.37432271573484233"/>
    <s v="No"/>
    <n v="80000"/>
    <n v="44"/>
    <x v="0"/>
  </r>
  <r>
    <n v="4808"/>
    <s v="HOMBRE"/>
    <n v="2624502"/>
    <x v="0"/>
    <x v="1"/>
    <s v="SI"/>
    <s v="NO"/>
    <s v="NO"/>
    <n v="49"/>
    <n v="0.49546762339867978"/>
    <s v="No"/>
    <n v="0.33198040625984476"/>
    <s v="No"/>
    <n v="2624502"/>
    <n v="49"/>
    <x v="0"/>
  </r>
  <r>
    <n v="4809"/>
    <s v="HOMBRE"/>
    <n v="53603542"/>
    <x v="0"/>
    <x v="1"/>
    <s v="SI"/>
    <s v="NO"/>
    <s v="NO"/>
    <n v="61"/>
    <n v="1.3423715843243298"/>
    <s v="No"/>
    <n v="0.51634680606629157"/>
    <s v="No"/>
    <n v="53603542"/>
    <n v="61"/>
    <x v="0"/>
  </r>
  <r>
    <n v="4810"/>
    <s v="MUJER"/>
    <n v="37104165"/>
    <x v="0"/>
    <x v="1"/>
    <s v="SI"/>
    <s v="NO"/>
    <s v="NO"/>
    <n v="32"/>
    <n v="0.70431298791265773"/>
    <s v="No"/>
    <n v="0.24178552567482148"/>
    <s v="No"/>
    <n v="37104165"/>
    <n v="32"/>
    <x v="0"/>
  </r>
  <r>
    <n v="4811"/>
    <s v="MUJER"/>
    <n v="696716"/>
    <x v="0"/>
    <x v="0"/>
    <s v="SI"/>
    <s v="NO"/>
    <s v="SI"/>
    <n v="42"/>
    <n v="1.4403128587172659E-3"/>
    <s v="No"/>
    <n v="0.36406012614749572"/>
    <s v="No"/>
    <n v="696716"/>
    <n v="42"/>
    <x v="0"/>
  </r>
  <r>
    <n v="4812"/>
    <s v="HOMBRE"/>
    <n v="38434831"/>
    <x v="0"/>
    <x v="1"/>
    <s v="SI"/>
    <s v="NO"/>
    <s v="NO"/>
    <n v="27"/>
    <n v="1.0571896382983452"/>
    <s v="No"/>
    <n v="0.26392874724818122"/>
    <s v="No"/>
    <n v="38434831"/>
    <n v="27"/>
    <x v="0"/>
  </r>
  <r>
    <n v="4813"/>
    <s v="MUJER"/>
    <n v="240000"/>
    <x v="0"/>
    <x v="1"/>
    <s v="SI"/>
    <s v="SI"/>
    <s v="NO"/>
    <n v="27"/>
    <n v="1.0571896382983452"/>
    <s v="No"/>
    <n v="0.37166020278889078"/>
    <s v="No"/>
    <n v="240000"/>
    <n v="27"/>
    <x v="0"/>
  </r>
  <r>
    <n v="4814"/>
    <s v="HOMBRE"/>
    <n v="14150948"/>
    <x v="1"/>
    <x v="0"/>
    <s v="SI"/>
    <s v="NO"/>
    <s v="NO"/>
    <n v="82"/>
    <n v="2.8244535159442172"/>
    <s v="Sí"/>
    <n v="0.1401722081610233"/>
    <s v="No"/>
    <n v="14150948"/>
    <n v="82"/>
    <x v="1"/>
  </r>
  <r>
    <n v="4815"/>
    <s v="MUJER"/>
    <n v="280306568"/>
    <x v="0"/>
    <x v="0"/>
    <s v="SI"/>
    <s v="NO"/>
    <s v="NO"/>
    <n v="49"/>
    <n v="0.49546762339867978"/>
    <s v="No"/>
    <n v="4.2888451911374821"/>
    <s v="Sí"/>
    <n v="280306568"/>
    <n v="49"/>
    <x v="0"/>
  </r>
  <r>
    <n v="4816"/>
    <s v="HOMBRE"/>
    <n v="80633927"/>
    <x v="0"/>
    <x v="0"/>
    <s v="SI"/>
    <s v="NO"/>
    <s v="NO"/>
    <n v="51"/>
    <n v="0.6366182835529548"/>
    <s v="No"/>
    <n v="0.96615149354475749"/>
    <s v="No"/>
    <n v="80633927"/>
    <n v="51"/>
    <x v="0"/>
  </r>
  <r>
    <n v="4817"/>
    <s v="HOMBRE"/>
    <n v="509509"/>
    <x v="3"/>
    <x v="1"/>
    <s v="SI"/>
    <s v="NO"/>
    <s v="SI"/>
    <n v="58"/>
    <n v="1.1306455940929174"/>
    <s v="No"/>
    <n v="0.36717538277920042"/>
    <s v="No"/>
    <n v="509509"/>
    <n v="58"/>
    <x v="3"/>
  </r>
  <r>
    <n v="4818"/>
    <s v="HOMBRE"/>
    <n v="384956"/>
    <x v="3"/>
    <x v="1"/>
    <s v="SI"/>
    <s v="NO"/>
    <s v="SI"/>
    <n v="42"/>
    <n v="1.4403128587172659E-3"/>
    <s v="No"/>
    <n v="0.36924803262268235"/>
    <s v="No"/>
    <n v="384956"/>
    <n v="42"/>
    <x v="3"/>
  </r>
  <r>
    <n v="4819"/>
    <s v="MUJER"/>
    <n v="1399635"/>
    <x v="1"/>
    <x v="0"/>
    <s v="SI"/>
    <s v="NO"/>
    <s v="NO"/>
    <n v="66"/>
    <n v="1.6952482347100173"/>
    <s v="No"/>
    <n v="0.35236305778839999"/>
    <s v="No"/>
    <n v="1399635"/>
    <n v="66"/>
    <x v="1"/>
  </r>
  <r>
    <n v="4820"/>
    <s v="HOMBRE"/>
    <n v="33630854"/>
    <x v="0"/>
    <x v="1"/>
    <s v="SI"/>
    <s v="SI"/>
    <s v="NO"/>
    <n v="21"/>
    <n v="1.4806416187611704"/>
    <s v="No"/>
    <n v="0.18398717878222198"/>
    <s v="No"/>
    <n v="33630854"/>
    <n v="21"/>
    <x v="0"/>
  </r>
  <r>
    <n v="4821"/>
    <s v="HOMBRE"/>
    <n v="38865568"/>
    <x v="0"/>
    <x v="1"/>
    <s v="SI"/>
    <s v="NO"/>
    <s v="NO"/>
    <n v="36"/>
    <n v="0.42201166760410774"/>
    <s v="No"/>
    <n v="0.27109651499068332"/>
    <s v="No"/>
    <n v="38865568"/>
    <n v="36"/>
    <x v="0"/>
  </r>
  <r>
    <n v="4822"/>
    <s v="HOMBRE"/>
    <n v="458950"/>
    <x v="0"/>
    <x v="1"/>
    <s v="SI"/>
    <s v="NO"/>
    <s v="NO"/>
    <n v="40"/>
    <n v="0.13971034729555773"/>
    <s v="No"/>
    <n v="0.36801672022941523"/>
    <s v="No"/>
    <n v="458950"/>
    <n v="40"/>
    <x v="0"/>
  </r>
  <r>
    <n v="4823"/>
    <s v="HOMBRE"/>
    <n v="20560433"/>
    <x v="0"/>
    <x v="1"/>
    <s v="SI"/>
    <s v="NO"/>
    <s v="NO"/>
    <n v="31"/>
    <n v="0.77488831798979529"/>
    <s v="No"/>
    <n v="3.3513853227384163E-2"/>
    <s v="No"/>
    <n v="20560433"/>
    <n v="31"/>
    <x v="0"/>
  </r>
  <r>
    <n v="4824"/>
    <s v="MUJER"/>
    <n v="45953058"/>
    <x v="0"/>
    <x v="1"/>
    <s v="SI"/>
    <s v="NO"/>
    <s v="NO"/>
    <n v="50"/>
    <n v="0.56604295347581735"/>
    <s v="No"/>
    <n v="0.3890373517363217"/>
    <s v="No"/>
    <n v="45953058"/>
    <n v="50"/>
    <x v="0"/>
  </r>
  <r>
    <n v="4825"/>
    <s v="HOMBRE"/>
    <n v="507184"/>
    <x v="0"/>
    <x v="0"/>
    <s v="SI"/>
    <s v="NO"/>
    <s v="SI"/>
    <n v="60"/>
    <n v="1.2717962542471923"/>
    <s v="No"/>
    <n v="0.36721407242044629"/>
    <s v="No"/>
    <n v="507184"/>
    <n v="60"/>
    <x v="0"/>
  </r>
  <r>
    <n v="4826"/>
    <s v="HOMBRE"/>
    <n v="30270955"/>
    <x v="0"/>
    <x v="1"/>
    <s v="SI"/>
    <s v="NO"/>
    <s v="NO"/>
    <n v="32"/>
    <n v="0.70431298791265773"/>
    <s v="No"/>
    <n v="0.12807608762853659"/>
    <s v="No"/>
    <n v="30270955"/>
    <n v="32"/>
    <x v="0"/>
  </r>
  <r>
    <n v="4827"/>
    <s v="HOMBRE"/>
    <n v="430371"/>
    <x v="3"/>
    <x v="1"/>
    <s v="SI"/>
    <s v="NO"/>
    <s v="NO"/>
    <n v="35"/>
    <n v="0.49258699768124525"/>
    <s v="No"/>
    <n v="0.36849229496367991"/>
    <s v="No"/>
    <n v="430371"/>
    <n v="35"/>
    <x v="3"/>
  </r>
  <r>
    <n v="4828"/>
    <s v="HOMBRE"/>
    <n v="440373"/>
    <x v="0"/>
    <x v="0"/>
    <s v="SI"/>
    <s v="NO"/>
    <s v="NO"/>
    <n v="35"/>
    <n v="0.49258699768124525"/>
    <s v="No"/>
    <n v="0.3683258546231461"/>
    <s v="No"/>
    <n v="440373"/>
    <n v="35"/>
    <x v="0"/>
  </r>
  <r>
    <n v="4829"/>
    <s v="HOMBRE"/>
    <n v="187118058"/>
    <x v="0"/>
    <x v="1"/>
    <s v="SI"/>
    <s v="NO"/>
    <s v="NO"/>
    <n v="39"/>
    <n v="0.21028567737269524"/>
    <s v="No"/>
    <n v="2.7381226018316362"/>
    <s v="Sí"/>
    <n v="187118058"/>
    <n v="39"/>
    <x v="0"/>
  </r>
  <r>
    <n v="4830"/>
    <s v="MUJER"/>
    <n v="504571"/>
    <x v="0"/>
    <x v="0"/>
    <s v="SI"/>
    <s v="NO"/>
    <s v="SI"/>
    <n v="59"/>
    <n v="1.2012209241700549"/>
    <s v="No"/>
    <n v="0.36725755458499487"/>
    <s v="No"/>
    <n v="504571"/>
    <n v="59"/>
    <x v="0"/>
  </r>
  <r>
    <n v="4831"/>
    <s v="MUJER"/>
    <n v="686170"/>
    <x v="3"/>
    <x v="1"/>
    <s v="SI"/>
    <s v="NO"/>
    <s v="SI"/>
    <n v="38"/>
    <n v="0.28086100744983278"/>
    <s v="No"/>
    <n v="0.36423561903204577"/>
    <s v="No"/>
    <n v="686170"/>
    <n v="38"/>
    <x v="3"/>
  </r>
  <r>
    <n v="4832"/>
    <s v="MUJER"/>
    <n v="1072765"/>
    <x v="0"/>
    <x v="0"/>
    <s v="SI"/>
    <s v="NO"/>
    <s v="SI"/>
    <n v="41"/>
    <n v="6.9135017218420233E-2"/>
    <s v="No"/>
    <n v="0.35780240532991991"/>
    <s v="No"/>
    <n v="1072765"/>
    <n v="41"/>
    <x v="0"/>
  </r>
  <r>
    <n v="4833"/>
    <s v="HOMBRE"/>
    <n v="66558697"/>
    <x v="0"/>
    <x v="1"/>
    <s v="SI"/>
    <s v="NO"/>
    <s v="NO"/>
    <n v="27"/>
    <n v="1.0571896382983452"/>
    <s v="No"/>
    <n v="0.73192973046822241"/>
    <s v="No"/>
    <n v="66558697"/>
    <n v="27"/>
    <x v="0"/>
  </r>
  <r>
    <n v="4834"/>
    <s v="MUJER"/>
    <n v="317915"/>
    <x v="0"/>
    <x v="1"/>
    <s v="SI"/>
    <s v="SI"/>
    <s v="NO"/>
    <n v="54"/>
    <n v="0.84834427378436728"/>
    <s v="No"/>
    <n v="0.37036364218774193"/>
    <s v="No"/>
    <n v="317915"/>
    <n v="54"/>
    <x v="0"/>
  </r>
  <r>
    <n v="4835"/>
    <s v="HOMBRE"/>
    <n v="297046"/>
    <x v="2"/>
    <x v="1"/>
    <s v="SI"/>
    <s v="NO"/>
    <s v="NO"/>
    <n v="51"/>
    <n v="0.6366182835529548"/>
    <s v="No"/>
    <n v="0.37071091707942361"/>
    <s v="No"/>
    <n v="297046"/>
    <n v="51"/>
    <x v="2"/>
  </r>
  <r>
    <n v="4836"/>
    <s v="MUJER"/>
    <n v="1182150"/>
    <x v="0"/>
    <x v="1"/>
    <s v="SI"/>
    <s v="NO"/>
    <s v="NO"/>
    <n v="47"/>
    <n v="0.35431696324440481"/>
    <s v="No"/>
    <n v="0.35598216171371422"/>
    <s v="No"/>
    <n v="1182150"/>
    <n v="47"/>
    <x v="0"/>
  </r>
  <r>
    <n v="4837"/>
    <s v="HOMBRE"/>
    <n v="278030"/>
    <x v="4"/>
    <x v="1"/>
    <s v="SI"/>
    <s v="NO"/>
    <s v="NO"/>
    <n v="67"/>
    <n v="1.765823564787155"/>
    <s v="No"/>
    <n v="0.37102735674304993"/>
    <s v="No"/>
    <n v="278030"/>
    <n v="67"/>
    <x v="4"/>
  </r>
  <r>
    <n v="4838"/>
    <s v="HOMBRE"/>
    <n v="9252925"/>
    <x v="0"/>
    <x v="0"/>
    <s v="SI"/>
    <s v="NO"/>
    <s v="NO"/>
    <n v="59"/>
    <n v="1.2012209241700549"/>
    <s v="No"/>
    <n v="0.22167876845520104"/>
    <s v="No"/>
    <n v="9252925"/>
    <n v="59"/>
    <x v="0"/>
  </r>
  <r>
    <n v="4839"/>
    <s v="HOMBRE"/>
    <n v="278030"/>
    <x v="3"/>
    <x v="1"/>
    <s v="SI"/>
    <s v="NO"/>
    <s v="NO"/>
    <n v="46"/>
    <n v="0.2837416331672673"/>
    <s v="No"/>
    <n v="0.37102735674304993"/>
    <s v="No"/>
    <n v="278030"/>
    <n v="46"/>
    <x v="3"/>
  </r>
  <r>
    <n v="4840"/>
    <s v="HOMBRE"/>
    <n v="411350"/>
    <x v="0"/>
    <x v="1"/>
    <s v="SI"/>
    <s v="NO"/>
    <s v="NO"/>
    <n v="44"/>
    <n v="0.14259097301299228"/>
    <s v="No"/>
    <n v="0.3688088178308358"/>
    <s v="No"/>
    <n v="411350"/>
    <n v="44"/>
    <x v="0"/>
  </r>
  <r>
    <n v="4841"/>
    <s v="MUJER"/>
    <n v="2186234"/>
    <x v="0"/>
    <x v="1"/>
    <s v="SI"/>
    <s v="NO"/>
    <s v="NO"/>
    <n v="39"/>
    <n v="0.21028567737269524"/>
    <s v="No"/>
    <n v="0.33927349515857164"/>
    <s v="No"/>
    <n v="2186234"/>
    <n v="39"/>
    <x v="0"/>
  </r>
  <r>
    <n v="4842"/>
    <s v="HOMBRE"/>
    <n v="215378768"/>
    <x v="0"/>
    <x v="1"/>
    <s v="SI"/>
    <s v="NO"/>
    <s v="NO"/>
    <n v="41"/>
    <n v="6.9135017218420233E-2"/>
    <s v="No"/>
    <n v="3.2084007658115259"/>
    <s v="Sí"/>
    <n v="215378768"/>
    <n v="41"/>
    <x v="0"/>
  </r>
  <r>
    <n v="4843"/>
    <s v="MUJER"/>
    <n v="25811856"/>
    <x v="0"/>
    <x v="1"/>
    <s v="SI"/>
    <s v="NO"/>
    <s v="NO"/>
    <n v="21"/>
    <n v="1.4806416187611704"/>
    <s v="No"/>
    <n v="5.3873532536164073E-2"/>
    <s v="No"/>
    <n v="25811856"/>
    <n v="21"/>
    <x v="0"/>
  </r>
  <r>
    <n v="4844"/>
    <s v="HOMBRE"/>
    <n v="420248"/>
    <x v="3"/>
    <x v="1"/>
    <s v="SI"/>
    <s v="NO"/>
    <s v="SI"/>
    <n v="33"/>
    <n v="0.63373765783552027"/>
    <s v="No"/>
    <n v="0.36866074882962907"/>
    <s v="No"/>
    <n v="420248"/>
    <n v="33"/>
    <x v="3"/>
  </r>
  <r>
    <n v="4845"/>
    <s v="HOMBRE"/>
    <n v="734210"/>
    <x v="0"/>
    <x v="1"/>
    <s v="SI"/>
    <s v="NO"/>
    <s v="NO"/>
    <n v="54"/>
    <n v="0.84834427378436728"/>
    <s v="No"/>
    <n v="0.36343619952002382"/>
    <s v="No"/>
    <n v="734210"/>
    <n v="54"/>
    <x v="0"/>
  </r>
  <r>
    <n v="4846"/>
    <s v="MUJER"/>
    <n v="406011"/>
    <x v="0"/>
    <x v="1"/>
    <s v="SI"/>
    <s v="NO"/>
    <s v="NO"/>
    <n v="33"/>
    <n v="0.63373765783552027"/>
    <s v="No"/>
    <n v="0.36889766255970102"/>
    <s v="No"/>
    <n v="406011"/>
    <n v="33"/>
    <x v="0"/>
  </r>
  <r>
    <n v="4847"/>
    <s v="HOMBRE"/>
    <n v="500000"/>
    <x v="0"/>
    <x v="1"/>
    <s v="SI"/>
    <s v="NO"/>
    <s v="NO"/>
    <n v="40"/>
    <n v="0.13971034729555773"/>
    <s v="No"/>
    <n v="0.36733361925171953"/>
    <s v="No"/>
    <n v="500000"/>
    <n v="40"/>
    <x v="0"/>
  </r>
  <r>
    <n v="4848"/>
    <s v="HOMBRE"/>
    <n v="8193226"/>
    <x v="0"/>
    <x v="1"/>
    <s v="SI"/>
    <s v="NO"/>
    <s v="NO"/>
    <n v="39"/>
    <n v="0.21028567737269524"/>
    <s v="No"/>
    <n v="0.23931290786965048"/>
    <s v="No"/>
    <n v="8193226"/>
    <n v="39"/>
    <x v="0"/>
  </r>
  <r>
    <n v="4849"/>
    <s v="HOMBRE"/>
    <n v="316920"/>
    <x v="0"/>
    <x v="1"/>
    <s v="SI"/>
    <s v="NO"/>
    <s v="NO"/>
    <n v="34"/>
    <n v="0.56316232775838282"/>
    <s v="No"/>
    <n v="0.37038019969012459"/>
    <s v="No"/>
    <n v="316920"/>
    <n v="34"/>
    <x v="0"/>
  </r>
  <r>
    <n v="4850"/>
    <s v="HOMBRE"/>
    <n v="41779218"/>
    <x v="0"/>
    <x v="1"/>
    <s v="SI"/>
    <s v="NO"/>
    <s v="NO"/>
    <n v="37"/>
    <n v="0.35143633752697023"/>
    <s v="No"/>
    <n v="0.3195817077717566"/>
    <s v="No"/>
    <n v="41779218"/>
    <n v="37"/>
    <x v="0"/>
  </r>
  <r>
    <n v="4851"/>
    <s v="MUJER"/>
    <n v="297046"/>
    <x v="2"/>
    <x v="1"/>
    <s v="SI"/>
    <s v="NO"/>
    <s v="NO"/>
    <n v="55"/>
    <n v="0.91891960386150484"/>
    <s v="No"/>
    <n v="0.37071091707942361"/>
    <s v="No"/>
    <n v="297046"/>
    <n v="55"/>
    <x v="2"/>
  </r>
  <r>
    <n v="4852"/>
    <s v="HOMBRE"/>
    <n v="37129625"/>
    <x v="0"/>
    <x v="0"/>
    <s v="SI"/>
    <s v="NO"/>
    <s v="NO"/>
    <n v="49"/>
    <n v="0.49546762339867978"/>
    <s v="No"/>
    <n v="0.242209198047346"/>
    <s v="No"/>
    <n v="37129625"/>
    <n v="49"/>
    <x v="0"/>
  </r>
  <r>
    <n v="4853"/>
    <s v="HOMBRE"/>
    <n v="639148"/>
    <x v="3"/>
    <x v="1"/>
    <s v="SI"/>
    <s v="NO"/>
    <s v="NO"/>
    <n v="63"/>
    <n v="1.4835222444786049"/>
    <s v="No"/>
    <n v="0.36501809830544912"/>
    <s v="No"/>
    <n v="639148"/>
    <n v="63"/>
    <x v="3"/>
  </r>
  <r>
    <n v="4854"/>
    <s v="MUJER"/>
    <n v="453750"/>
    <x v="0"/>
    <x v="1"/>
    <s v="SI"/>
    <s v="SI"/>
    <s v="NO"/>
    <n v="27"/>
    <n v="1.0571896382983452"/>
    <s v="No"/>
    <n v="0.36810325190015863"/>
    <s v="No"/>
    <n v="453750"/>
    <n v="27"/>
    <x v="0"/>
  </r>
  <r>
    <n v="4855"/>
    <s v="HOMBRE"/>
    <n v="88904309"/>
    <x v="0"/>
    <x v="0"/>
    <s v="SI"/>
    <s v="NO"/>
    <s v="NO"/>
    <n v="32"/>
    <n v="0.70431298791265773"/>
    <s v="No"/>
    <n v="1.1037764881882866"/>
    <s v="No"/>
    <n v="88904309"/>
    <n v="32"/>
    <x v="0"/>
  </r>
  <r>
    <n v="4856"/>
    <s v="HOMBRE"/>
    <n v="278030"/>
    <x v="2"/>
    <x v="1"/>
    <s v="SI"/>
    <s v="SI"/>
    <s v="NO"/>
    <n v="48"/>
    <n v="0.42489229332154227"/>
    <s v="No"/>
    <n v="0.37102735674304993"/>
    <s v="No"/>
    <n v="278030"/>
    <n v="48"/>
    <x v="2"/>
  </r>
  <r>
    <n v="4857"/>
    <s v="HOMBRE"/>
    <n v="660392"/>
    <x v="2"/>
    <x v="1"/>
    <s v="SI"/>
    <s v="SI"/>
    <s v="NO"/>
    <n v="53"/>
    <n v="0.77776894370722982"/>
    <s v="No"/>
    <n v="0.36466458314905037"/>
    <s v="No"/>
    <n v="660392"/>
    <n v="53"/>
    <x v="2"/>
  </r>
  <r>
    <n v="4858"/>
    <s v="HOMBRE"/>
    <n v="491840"/>
    <x v="1"/>
    <x v="0"/>
    <s v="SI"/>
    <s v="NO"/>
    <s v="NO"/>
    <n v="72"/>
    <n v="2.1187002151728422"/>
    <s v="Sí"/>
    <n v="0.36746940741196304"/>
    <s v="No"/>
    <n v="491840"/>
    <n v="72"/>
    <x v="1"/>
  </r>
  <r>
    <n v="4859"/>
    <s v="HOMBRE"/>
    <n v="1089300"/>
    <x v="0"/>
    <x v="1"/>
    <s v="SI"/>
    <s v="NO"/>
    <s v="NO"/>
    <n v="49"/>
    <n v="0.49546762339867978"/>
    <s v="No"/>
    <n v="0.35752725125766172"/>
    <s v="No"/>
    <n v="1089300"/>
    <n v="49"/>
    <x v="0"/>
  </r>
  <r>
    <n v="4860"/>
    <s v="MUJER"/>
    <n v="352830"/>
    <x v="0"/>
    <x v="1"/>
    <s v="SI"/>
    <s v="NO"/>
    <s v="NO"/>
    <n v="22"/>
    <n v="1.4100662886840327"/>
    <s v="No"/>
    <n v="0.36978263194081756"/>
    <s v="No"/>
    <n v="352830"/>
    <n v="22"/>
    <x v="0"/>
  </r>
  <r>
    <n v="4861"/>
    <s v="HOMBRE"/>
    <n v="14170565"/>
    <x v="0"/>
    <x v="0"/>
    <s v="SI"/>
    <s v="NO"/>
    <s v="NO"/>
    <n v="55"/>
    <n v="0.91891960386150484"/>
    <s v="No"/>
    <n v="0.13984576743314373"/>
    <s v="No"/>
    <n v="14170565"/>
    <n v="55"/>
    <x v="0"/>
  </r>
  <r>
    <n v="4862"/>
    <s v="MUJER"/>
    <n v="974906"/>
    <x v="0"/>
    <x v="0"/>
    <s v="SI"/>
    <s v="NO"/>
    <s v="NO"/>
    <n v="50"/>
    <n v="0.56604295347581735"/>
    <s v="No"/>
    <n v="0.3594308481697816"/>
    <s v="No"/>
    <n v="974906"/>
    <n v="50"/>
    <x v="0"/>
  </r>
  <r>
    <n v="4863"/>
    <s v="MUJER"/>
    <n v="430924"/>
    <x v="0"/>
    <x v="1"/>
    <s v="SI"/>
    <s v="NO"/>
    <s v="NO"/>
    <n v="45"/>
    <n v="0.21316630309012977"/>
    <s v="No"/>
    <n v="0.36848309265331047"/>
    <s v="No"/>
    <n v="430924"/>
    <n v="45"/>
    <x v="0"/>
  </r>
  <r>
    <n v="4864"/>
    <s v="MUJER"/>
    <n v="218650"/>
    <x v="0"/>
    <x v="1"/>
    <s v="SI"/>
    <s v="NO"/>
    <s v="SI"/>
    <n v="50"/>
    <n v="0.56604295347581735"/>
    <s v="No"/>
    <n v="0.37201548186011618"/>
    <s v="No"/>
    <n v="218650"/>
    <n v="50"/>
    <x v="0"/>
  </r>
  <r>
    <n v="4865"/>
    <s v="HOMBRE"/>
    <n v="459223"/>
    <x v="3"/>
    <x v="1"/>
    <s v="SI"/>
    <s v="NO"/>
    <s v="NO"/>
    <n v="58"/>
    <n v="1.1306455940929174"/>
    <s v="No"/>
    <n v="0.36801217731670116"/>
    <s v="No"/>
    <n v="459223"/>
    <n v="58"/>
    <x v="3"/>
  </r>
  <r>
    <n v="4866"/>
    <s v="HOMBRE"/>
    <n v="105750"/>
    <x v="0"/>
    <x v="1"/>
    <s v="SI"/>
    <s v="NO"/>
    <s v="NO"/>
    <n v="38"/>
    <n v="0.28086100744983278"/>
    <s v="No"/>
    <n v="0.37389421755760327"/>
    <s v="No"/>
    <n v="105750"/>
    <n v="38"/>
    <x v="0"/>
  </r>
  <r>
    <n v="4867"/>
    <s v="HOMBRE"/>
    <n v="341002"/>
    <x v="0"/>
    <x v="1"/>
    <s v="SI"/>
    <s v="NO"/>
    <s v="NO"/>
    <n v="36"/>
    <n v="0.42201166760410774"/>
    <s v="No"/>
    <n v="0.36997945821034706"/>
    <s v="No"/>
    <n v="341002"/>
    <n v="36"/>
    <x v="0"/>
  </r>
  <r>
    <n v="4868"/>
    <s v="HOMBRE"/>
    <n v="49756622"/>
    <x v="0"/>
    <x v="1"/>
    <s v="SI"/>
    <s v="NO"/>
    <s v="NO"/>
    <n v="34"/>
    <n v="0.56316232775838282"/>
    <s v="No"/>
    <n v="0.45233134167854205"/>
    <s v="No"/>
    <n v="49756622"/>
    <n v="34"/>
    <x v="0"/>
  </r>
  <r>
    <n v="4869"/>
    <s v="MUJER"/>
    <n v="40754736"/>
    <x v="0"/>
    <x v="0"/>
    <s v="SI"/>
    <s v="NO"/>
    <s v="NO"/>
    <n v="61"/>
    <n v="1.3423715843243298"/>
    <s v="No"/>
    <n v="0.30253360409741703"/>
    <s v="No"/>
    <n v="40754736"/>
    <n v="61"/>
    <x v="0"/>
  </r>
  <r>
    <n v="4870"/>
    <s v="HOMBRE"/>
    <n v="11908588"/>
    <x v="0"/>
    <x v="0"/>
    <s v="SI"/>
    <s v="NO"/>
    <s v="NO"/>
    <n v="59"/>
    <n v="1.2012209241700549"/>
    <s v="No"/>
    <n v="0.17748666147029774"/>
    <s v="No"/>
    <n v="11908588"/>
    <n v="59"/>
    <x v="0"/>
  </r>
  <r>
    <n v="4871"/>
    <s v="MUJER"/>
    <n v="297139"/>
    <x v="3"/>
    <x v="1"/>
    <s v="SI"/>
    <s v="SI"/>
    <s v="SI"/>
    <n v="63"/>
    <n v="1.4835222444786049"/>
    <s v="No"/>
    <n v="0.37070936949377375"/>
    <s v="No"/>
    <n v="297139"/>
    <n v="63"/>
    <x v="3"/>
  </r>
  <r>
    <n v="4872"/>
    <s v="MUJER"/>
    <n v="1990997"/>
    <x v="0"/>
    <x v="0"/>
    <s v="SI"/>
    <s v="NO"/>
    <s v="NO"/>
    <n v="24"/>
    <n v="1.2689156285297578"/>
    <s v="No"/>
    <n v="0.34252237665875124"/>
    <s v="No"/>
    <n v="1990997"/>
    <n v="24"/>
    <x v="0"/>
  </r>
  <r>
    <n v="4873"/>
    <s v="MUJER"/>
    <n v="368050"/>
    <x v="0"/>
    <x v="1"/>
    <s v="SI"/>
    <s v="NO"/>
    <s v="NO"/>
    <n v="42"/>
    <n v="1.4403128587172659E-3"/>
    <s v="No"/>
    <n v="0.36952936039683393"/>
    <s v="No"/>
    <n v="368050"/>
    <n v="42"/>
    <x v="0"/>
  </r>
  <r>
    <n v="4874"/>
    <s v="HOMBRE"/>
    <n v="433136"/>
    <x v="0"/>
    <x v="1"/>
    <s v="SI"/>
    <s v="NO"/>
    <s v="NO"/>
    <n v="50"/>
    <n v="0.56604295347581735"/>
    <s v="No"/>
    <n v="0.36844628341183266"/>
    <s v="No"/>
    <n v="433136"/>
    <n v="50"/>
    <x v="0"/>
  </r>
  <r>
    <n v="4875"/>
    <s v="HOMBRE"/>
    <n v="1295895"/>
    <x v="0"/>
    <x v="1"/>
    <s v="SI"/>
    <s v="NO"/>
    <s v="NO"/>
    <n v="32"/>
    <n v="0.70431298791265773"/>
    <s v="No"/>
    <n v="0.35408936461973134"/>
    <s v="No"/>
    <n v="1295895"/>
    <n v="32"/>
    <x v="0"/>
  </r>
  <r>
    <n v="4876"/>
    <s v="HOMBRE"/>
    <n v="898140"/>
    <x v="0"/>
    <x v="1"/>
    <s v="SI"/>
    <s v="NO"/>
    <s v="NO"/>
    <n v="28"/>
    <n v="0.98661430822120777"/>
    <s v="No"/>
    <n v="0.36070828859983733"/>
    <s v="No"/>
    <n v="898140"/>
    <n v="28"/>
    <x v="0"/>
  </r>
  <r>
    <n v="4877"/>
    <s v="HOMBRE"/>
    <n v="53277564"/>
    <x v="0"/>
    <x v="1"/>
    <s v="SI"/>
    <s v="NO"/>
    <s v="NO"/>
    <n v="47"/>
    <n v="0.35431696324440481"/>
    <s v="No"/>
    <n v="0.51092230203444533"/>
    <s v="No"/>
    <n v="53277564"/>
    <n v="47"/>
    <x v="0"/>
  </r>
  <r>
    <n v="4878"/>
    <s v="MUJER"/>
    <n v="63508035"/>
    <x v="1"/>
    <x v="0"/>
    <s v="SI"/>
    <s v="NO"/>
    <s v="NO"/>
    <n v="65"/>
    <n v="1.6246729046328798"/>
    <s v="No"/>
    <n v="0.68116456128870717"/>
    <s v="No"/>
    <n v="63508035"/>
    <n v="65"/>
    <x v="1"/>
  </r>
  <r>
    <n v="4879"/>
    <s v="MUJER"/>
    <n v="278030"/>
    <x v="4"/>
    <x v="1"/>
    <s v="SI"/>
    <s v="NO"/>
    <s v="NO"/>
    <n v="59"/>
    <n v="1.2012209241700549"/>
    <s v="No"/>
    <n v="0.37102735674304993"/>
    <s v="No"/>
    <n v="278030"/>
    <n v="59"/>
    <x v="4"/>
  </r>
  <r>
    <n v="4880"/>
    <s v="HOMBRE"/>
    <n v="30825932"/>
    <x v="0"/>
    <x v="0"/>
    <s v="SI"/>
    <s v="NO"/>
    <s v="NO"/>
    <n v="55"/>
    <n v="0.91891960386150484"/>
    <s v="No"/>
    <n v="0.13731129667357006"/>
    <s v="No"/>
    <n v="30825932"/>
    <n v="55"/>
    <x v="0"/>
  </r>
  <r>
    <n v="4881"/>
    <s v="HOMBRE"/>
    <n v="4577831"/>
    <x v="0"/>
    <x v="1"/>
    <s v="SI"/>
    <s v="NO"/>
    <s v="NO"/>
    <n v="30"/>
    <n v="0.84546364806693275"/>
    <s v="No"/>
    <n v="0.29947563282107859"/>
    <s v="No"/>
    <n v="4577831"/>
    <n v="30"/>
    <x v="0"/>
  </r>
  <r>
    <n v="4882"/>
    <s v="MUJER"/>
    <n v="45228693"/>
    <x v="0"/>
    <x v="0"/>
    <s v="SI"/>
    <s v="NO"/>
    <s v="NO"/>
    <n v="40"/>
    <n v="0.13971034729555773"/>
    <s v="No"/>
    <n v="0.376983406798233"/>
    <s v="No"/>
    <n v="45228693"/>
    <n v="40"/>
    <x v="0"/>
  </r>
  <r>
    <n v="4883"/>
    <s v="HOMBRE"/>
    <n v="38987739"/>
    <x v="0"/>
    <x v="1"/>
    <s v="SI"/>
    <s v="NO"/>
    <s v="NO"/>
    <n v="31"/>
    <n v="0.77488831798979529"/>
    <s v="No"/>
    <n v="0.27312952667268237"/>
    <s v="No"/>
    <n v="38987739"/>
    <n v="31"/>
    <x v="0"/>
  </r>
  <r>
    <n v="4884"/>
    <s v="HOMBRE"/>
    <n v="69333248"/>
    <x v="0"/>
    <x v="1"/>
    <s v="SI"/>
    <s v="NO"/>
    <s v="NO"/>
    <n v="20"/>
    <n v="1.5512169488383079"/>
    <s v="No"/>
    <n v="0.77810021769761495"/>
    <s v="No"/>
    <n v="69333248"/>
    <n v="20"/>
    <x v="0"/>
  </r>
  <r>
    <n v="4885"/>
    <s v="HOMBRE"/>
    <n v="278030"/>
    <x v="4"/>
    <x v="1"/>
    <s v="SI"/>
    <s v="NO"/>
    <s v="NO"/>
    <n v="49"/>
    <n v="0.49546762339867978"/>
    <s v="No"/>
    <n v="0.37102735674304993"/>
    <s v="No"/>
    <n v="278030"/>
    <n v="49"/>
    <x v="4"/>
  </r>
  <r>
    <n v="4886"/>
    <s v="HOMBRE"/>
    <n v="394319"/>
    <x v="0"/>
    <x v="1"/>
    <s v="SI"/>
    <s v="NO"/>
    <s v="NO"/>
    <n v="34"/>
    <n v="0.56316232775838282"/>
    <s v="No"/>
    <n v="0.36909222569322642"/>
    <s v="No"/>
    <n v="394319"/>
    <n v="34"/>
    <x v="0"/>
  </r>
  <r>
    <n v="4887"/>
    <s v="MUJER"/>
    <n v="351823"/>
    <x v="0"/>
    <x v="0"/>
    <s v="SI"/>
    <s v="NO"/>
    <s v="NO"/>
    <n v="27"/>
    <n v="1.0571896382983452"/>
    <s v="No"/>
    <n v="0.36979938913167115"/>
    <s v="No"/>
    <n v="351823"/>
    <n v="27"/>
    <x v="0"/>
  </r>
  <r>
    <n v="4888"/>
    <s v="HOMBRE"/>
    <n v="23260977"/>
    <x v="0"/>
    <x v="0"/>
    <s v="SI"/>
    <s v="NO"/>
    <s v="NO"/>
    <n v="54"/>
    <n v="0.84834427378436728"/>
    <s v="No"/>
    <n v="1.1425105279564451E-2"/>
    <s v="No"/>
    <n v="23260977"/>
    <n v="54"/>
    <x v="0"/>
  </r>
  <r>
    <n v="4889"/>
    <s v="HOMBRE"/>
    <n v="267520"/>
    <x v="0"/>
    <x v="1"/>
    <s v="SI"/>
    <s v="NO"/>
    <s v="NO"/>
    <n v="56"/>
    <n v="0.9894949339386423"/>
    <s v="No"/>
    <n v="0.37120225056218714"/>
    <s v="No"/>
    <n v="267520"/>
    <n v="56"/>
    <x v="0"/>
  </r>
  <r>
    <n v="4890"/>
    <s v="HOMBRE"/>
    <n v="1645618"/>
    <x v="0"/>
    <x v="1"/>
    <s v="SI"/>
    <s v="NO"/>
    <s v="NO"/>
    <n v="28"/>
    <n v="0.98661430822120777"/>
    <s v="No"/>
    <n v="0.34826972702600001"/>
    <s v="No"/>
    <n v="1645618"/>
    <n v="28"/>
    <x v="0"/>
  </r>
  <r>
    <n v="4891"/>
    <s v="HOMBRE"/>
    <n v="278030"/>
    <x v="4"/>
    <x v="1"/>
    <s v="SI"/>
    <s v="NO"/>
    <s v="NO"/>
    <n v="58"/>
    <n v="1.1306455940929174"/>
    <s v="No"/>
    <n v="0.37102735674304993"/>
    <s v="No"/>
    <n v="278030"/>
    <n v="58"/>
    <x v="4"/>
  </r>
  <r>
    <n v="4892"/>
    <s v="HOMBRE"/>
    <n v="38615"/>
    <x v="0"/>
    <x v="1"/>
    <s v="SI"/>
    <s v="NO"/>
    <s v="NO"/>
    <n v="26"/>
    <n v="1.1277649683754829"/>
    <s v="No"/>
    <n v="0.37501139134901862"/>
    <s v="No"/>
    <n v="38615"/>
    <n v="26"/>
    <x v="0"/>
  </r>
  <r>
    <n v="4893"/>
    <s v="HOMBRE"/>
    <n v="586357"/>
    <x v="1"/>
    <x v="0"/>
    <s v="SI"/>
    <s v="NO"/>
    <s v="NO"/>
    <n v="91"/>
    <n v="3.4596314866384548"/>
    <s v="Sí"/>
    <n v="0.36589657781125989"/>
    <s v="No"/>
    <n v="586357"/>
    <n v="91"/>
    <x v="1"/>
  </r>
  <r>
    <n v="4894"/>
    <s v="HOMBRE"/>
    <n v="63354255"/>
    <x v="0"/>
    <x v="1"/>
    <s v="SI"/>
    <s v="NO"/>
    <s v="NO"/>
    <n v="37"/>
    <n v="0.35143633752697023"/>
    <s v="No"/>
    <n v="0.67860555353352947"/>
    <s v="No"/>
    <n v="63354255"/>
    <n v="37"/>
    <x v="0"/>
  </r>
  <r>
    <n v="4895"/>
    <s v="HOMBRE"/>
    <n v="501669"/>
    <x v="3"/>
    <x v="1"/>
    <s v="SI"/>
    <s v="NO"/>
    <s v="NO"/>
    <n v="44"/>
    <n v="0.14259097301299228"/>
    <s v="No"/>
    <n v="0.36730584591355209"/>
    <s v="No"/>
    <n v="501669"/>
    <n v="44"/>
    <x v="3"/>
  </r>
  <r>
    <n v="4896"/>
    <s v="MUJER"/>
    <n v="787199"/>
    <x v="1"/>
    <x v="0"/>
    <s v="SI"/>
    <s v="NO"/>
    <s v="NO"/>
    <n v="78"/>
    <n v="2.5421521956356674"/>
    <s v="Sí"/>
    <n v="0.36255442515444242"/>
    <s v="No"/>
    <n v="787199"/>
    <n v="78"/>
    <x v="1"/>
  </r>
  <r>
    <n v="4897"/>
    <s v="HOMBRE"/>
    <n v="23079207"/>
    <x v="0"/>
    <x v="0"/>
    <s v="SI"/>
    <s v="NO"/>
    <s v="NO"/>
    <n v="48"/>
    <n v="0.42489229332154227"/>
    <s v="No"/>
    <n v="8.4003241659043708E-3"/>
    <s v="No"/>
    <n v="23079207"/>
    <n v="48"/>
    <x v="0"/>
  </r>
  <r>
    <n v="4898"/>
    <s v="HOMBRE"/>
    <n v="295503"/>
    <x v="0"/>
    <x v="1"/>
    <s v="SI"/>
    <s v="NO"/>
    <s v="NO"/>
    <n v="34"/>
    <n v="0.56316232775838282"/>
    <s v="No"/>
    <n v="0.37073659368864609"/>
    <s v="No"/>
    <n v="295503"/>
    <n v="34"/>
    <x v="0"/>
  </r>
  <r>
    <n v="4899"/>
    <s v="HOMBRE"/>
    <n v="1220204"/>
    <x v="0"/>
    <x v="0"/>
    <s v="SI"/>
    <s v="NO"/>
    <s v="NO"/>
    <n v="45"/>
    <n v="0.21316630309012977"/>
    <s v="No"/>
    <n v="0.35534891629093146"/>
    <s v="No"/>
    <n v="1220204"/>
    <n v="45"/>
    <x v="0"/>
  </r>
  <r>
    <n v="4900"/>
    <s v="HOMBRE"/>
    <n v="639148"/>
    <x v="3"/>
    <x v="1"/>
    <s v="SI"/>
    <s v="NO"/>
    <s v="SI"/>
    <n v="60"/>
    <n v="1.2717962542471923"/>
    <s v="No"/>
    <n v="0.36501809830544912"/>
    <s v="No"/>
    <n v="639148"/>
    <n v="60"/>
    <x v="3"/>
  </r>
  <r>
    <n v="4901"/>
    <s v="MUJER"/>
    <n v="89863965"/>
    <x v="0"/>
    <x v="0"/>
    <s v="SI"/>
    <s v="NO"/>
    <s v="NO"/>
    <n v="32"/>
    <n v="0.70431298791265773"/>
    <s v="No"/>
    <n v="1.1197458414611621"/>
    <s v="No"/>
    <n v="89863965"/>
    <n v="32"/>
    <x v="0"/>
  </r>
  <r>
    <n v="4902"/>
    <s v="HOMBRE"/>
    <n v="278030"/>
    <x v="4"/>
    <x v="1"/>
    <s v="SI"/>
    <s v="NO"/>
    <s v="NO"/>
    <n v="53"/>
    <n v="0.77776894370722982"/>
    <s v="No"/>
    <n v="0.37102735674304993"/>
    <s v="No"/>
    <n v="278030"/>
    <n v="53"/>
    <x v="4"/>
  </r>
  <r>
    <n v="4903"/>
    <s v="HOMBRE"/>
    <n v="310124"/>
    <x v="3"/>
    <x v="1"/>
    <s v="SI"/>
    <s v="NO"/>
    <s v="NO"/>
    <n v="57"/>
    <n v="1.0600702640157798"/>
    <s v="No"/>
    <n v="0.37049328992750385"/>
    <s v="No"/>
    <n v="310124"/>
    <n v="57"/>
    <x v="3"/>
  </r>
  <r>
    <n v="4904"/>
    <s v="HOMBRE"/>
    <n v="99137688"/>
    <x v="0"/>
    <x v="1"/>
    <s v="SI"/>
    <s v="NO"/>
    <s v="NO"/>
    <n v="45"/>
    <n v="0.21316630309012977"/>
    <s v="No"/>
    <n v="1.2740671386153408"/>
    <s v="No"/>
    <n v="99137688"/>
    <n v="45"/>
    <x v="0"/>
  </r>
  <r>
    <n v="4905"/>
    <s v="HOMBRE"/>
    <n v="30892196"/>
    <x v="0"/>
    <x v="1"/>
    <s v="SI"/>
    <s v="NO"/>
    <s v="NO"/>
    <n v="24"/>
    <n v="1.2689156285297578"/>
    <s v="No"/>
    <n v="0.13841397641013589"/>
    <s v="No"/>
    <n v="30892196"/>
    <n v="24"/>
    <x v="0"/>
  </r>
  <r>
    <n v="4906"/>
    <s v="MUJER"/>
    <n v="297046"/>
    <x v="2"/>
    <x v="1"/>
    <s v="SI"/>
    <s v="SI"/>
    <s v="NO"/>
    <n v="39"/>
    <n v="0.21028567737269524"/>
    <s v="No"/>
    <n v="0.37071091707942361"/>
    <s v="No"/>
    <n v="297046"/>
    <n v="39"/>
    <x v="2"/>
  </r>
  <r>
    <n v="4907"/>
    <s v="HOMBRE"/>
    <n v="34756848"/>
    <x v="0"/>
    <x v="1"/>
    <s v="SI"/>
    <s v="NO"/>
    <s v="NO"/>
    <n v="27"/>
    <n v="1.0571896382983452"/>
    <s v="No"/>
    <n v="0.20272451379512052"/>
    <s v="No"/>
    <n v="34756848"/>
    <n v="27"/>
    <x v="0"/>
  </r>
  <r>
    <n v="4908"/>
    <s v="HOMBRE"/>
    <n v="297045"/>
    <x v="3"/>
    <x v="1"/>
    <s v="SI"/>
    <s v="NO"/>
    <s v="SI"/>
    <n v="57"/>
    <n v="1.0600702640157798"/>
    <s v="No"/>
    <n v="0.37071093372012948"/>
    <s v="No"/>
    <n v="297045"/>
    <n v="57"/>
    <x v="3"/>
  </r>
  <r>
    <n v="4909"/>
    <s v="HOMBRE"/>
    <n v="353906"/>
    <x v="3"/>
    <x v="1"/>
    <s v="SI"/>
    <s v="NO"/>
    <s v="NO"/>
    <n v="42"/>
    <n v="1.4403128587172659E-3"/>
    <s v="No"/>
    <n v="0.36976472654125603"/>
    <s v="No"/>
    <n v="353906"/>
    <n v="42"/>
    <x v="3"/>
  </r>
  <r>
    <n v="4910"/>
    <s v="HOMBRE"/>
    <n v="77230"/>
    <x v="0"/>
    <x v="1"/>
    <s v="SI"/>
    <s v="NO"/>
    <s v="NO"/>
    <n v="22"/>
    <n v="1.4100662886840327"/>
    <s v="No"/>
    <n v="0.37436881049021914"/>
    <s v="No"/>
    <n v="77230"/>
    <n v="22"/>
    <x v="0"/>
  </r>
  <r>
    <n v="4911"/>
    <s v="HOMBRE"/>
    <n v="335206"/>
    <x v="0"/>
    <x v="1"/>
    <s v="SI"/>
    <s v="NO"/>
    <s v="NO"/>
    <n v="37"/>
    <n v="0.35143633752697023"/>
    <s v="No"/>
    <n v="0.37007590774181415"/>
    <s v="No"/>
    <n v="335206"/>
    <n v="37"/>
    <x v="0"/>
  </r>
  <r>
    <n v="4912"/>
    <s v="HOMBRE"/>
    <n v="328196"/>
    <x v="3"/>
    <x v="1"/>
    <s v="SI"/>
    <s v="SI"/>
    <s v="SI"/>
    <n v="37"/>
    <n v="0.35143633752697023"/>
    <s v="No"/>
    <n v="0.37019255909025867"/>
    <s v="No"/>
    <n v="328196"/>
    <n v="37"/>
    <x v="3"/>
  </r>
  <r>
    <n v="4913"/>
    <s v="MUJER"/>
    <n v="1354854"/>
    <x v="0"/>
    <x v="0"/>
    <s v="SI"/>
    <s v="NO"/>
    <s v="SI"/>
    <n v="42"/>
    <n v="1.4403128587172659E-3"/>
    <s v="No"/>
    <n v="0.35310824523985412"/>
    <s v="No"/>
    <n v="1354854"/>
    <n v="42"/>
    <x v="0"/>
  </r>
  <r>
    <n v="4914"/>
    <s v="MUJER"/>
    <n v="202147157"/>
    <x v="0"/>
    <x v="0"/>
    <s v="SI"/>
    <s v="NO"/>
    <s v="NO"/>
    <n v="38"/>
    <n v="0.28086100744983278"/>
    <s v="No"/>
    <n v="2.9882174184159327"/>
    <s v="Sí"/>
    <n v="202147157"/>
    <n v="38"/>
    <x v="0"/>
  </r>
  <r>
    <n v="4915"/>
    <s v="HOMBRE"/>
    <n v="275336506"/>
    <x v="0"/>
    <x v="0"/>
    <s v="SI"/>
    <s v="NO"/>
    <s v="NO"/>
    <n v="27"/>
    <n v="1.0571896382983452"/>
    <s v="No"/>
    <n v="4.2061398510300956"/>
    <s v="Sí"/>
    <n v="275336506"/>
    <n v="27"/>
    <x v="0"/>
  </r>
  <r>
    <n v="4916"/>
    <s v="HOMBRE"/>
    <n v="242000"/>
    <x v="0"/>
    <x v="1"/>
    <s v="SI"/>
    <s v="NO"/>
    <s v="NO"/>
    <n v="22"/>
    <n v="1.4100662886840327"/>
    <s v="No"/>
    <n v="0.37162692137706638"/>
    <s v="No"/>
    <n v="242000"/>
    <n v="22"/>
    <x v="0"/>
  </r>
  <r>
    <n v="4917"/>
    <s v="MUJER"/>
    <n v="278030"/>
    <x v="2"/>
    <x v="1"/>
    <s v="SI"/>
    <s v="NO"/>
    <s v="NO"/>
    <n v="60"/>
    <n v="1.2717962542471923"/>
    <s v="No"/>
    <n v="0.37102735674304993"/>
    <s v="No"/>
    <n v="278030"/>
    <n v="60"/>
    <x v="2"/>
  </r>
  <r>
    <n v="4918"/>
    <s v="HOMBRE"/>
    <n v="3706816"/>
    <x v="0"/>
    <x v="1"/>
    <s v="SI"/>
    <s v="NO"/>
    <s v="NO"/>
    <n v="28"/>
    <n v="0.98661430822120777"/>
    <s v="No"/>
    <n v="0.31396993728119099"/>
    <s v="No"/>
    <n v="3706816"/>
    <n v="28"/>
    <x v="0"/>
  </r>
  <r>
    <n v="4919"/>
    <s v="HOMBRE"/>
    <n v="195150"/>
    <x v="0"/>
    <x v="1"/>
    <s v="SI"/>
    <s v="NO"/>
    <s v="NO"/>
    <n v="36"/>
    <n v="0.42201166760410774"/>
    <s v="No"/>
    <n v="0.3724065384490528"/>
    <s v="No"/>
    <n v="195150"/>
    <n v="36"/>
    <x v="0"/>
  </r>
  <r>
    <n v="4920"/>
    <s v="HOMBRE"/>
    <n v="404463"/>
    <x v="3"/>
    <x v="1"/>
    <s v="SI"/>
    <s v="NO"/>
    <s v="NO"/>
    <n v="43"/>
    <n v="7.2015642935854773E-2"/>
    <s v="No"/>
    <n v="0.36892342237245312"/>
    <s v="No"/>
    <n v="404463"/>
    <n v="43"/>
    <x v="3"/>
  </r>
  <r>
    <n v="4921"/>
    <s v="HOMBRE"/>
    <n v="58134926"/>
    <x v="0"/>
    <x v="1"/>
    <s v="SI"/>
    <s v="NO"/>
    <s v="NO"/>
    <n v="46"/>
    <n v="0.2837416331672673"/>
    <s v="No"/>
    <n v="0.59175223458552728"/>
    <s v="No"/>
    <n v="58134926"/>
    <n v="46"/>
    <x v="0"/>
  </r>
  <r>
    <n v="4922"/>
    <s v="HOMBRE"/>
    <n v="903746"/>
    <x v="0"/>
    <x v="1"/>
    <s v="SI"/>
    <s v="NO"/>
    <s v="NO"/>
    <n v="32"/>
    <n v="0.70431298791265773"/>
    <s v="No"/>
    <n v="0.36061500080249353"/>
    <s v="No"/>
    <n v="903746"/>
    <n v="32"/>
    <x v="0"/>
  </r>
  <r>
    <n v="4923"/>
    <s v="HOMBRE"/>
    <n v="278030"/>
    <x v="4"/>
    <x v="1"/>
    <s v="SI"/>
    <s v="NO"/>
    <s v="NO"/>
    <n v="69"/>
    <n v="1.9069742249414299"/>
    <s v="No"/>
    <n v="0.37102735674304993"/>
    <s v="No"/>
    <n v="278030"/>
    <n v="69"/>
    <x v="4"/>
  </r>
  <r>
    <n v="4924"/>
    <s v="MUJER"/>
    <n v="25000"/>
    <x v="0"/>
    <x v="1"/>
    <s v="SI"/>
    <s v="NO"/>
    <s v="NO"/>
    <n v="49"/>
    <n v="0.49546762339867978"/>
    <s v="No"/>
    <n v="0.37523795456001319"/>
    <s v="No"/>
    <n v="25000"/>
    <n v="49"/>
    <x v="0"/>
  </r>
  <r>
    <n v="4925"/>
    <s v="HOMBRE"/>
    <n v="1558990"/>
    <x v="0"/>
    <x v="0"/>
    <s v="SI"/>
    <s v="NO"/>
    <s v="NO"/>
    <n v="43"/>
    <n v="7.2015642935854773E-2"/>
    <s v="No"/>
    <n v="0.34971127809776181"/>
    <s v="No"/>
    <n v="1558990"/>
    <n v="43"/>
    <x v="0"/>
  </r>
  <r>
    <n v="4926"/>
    <s v="HOMBRE"/>
    <n v="117743589"/>
    <x v="0"/>
    <x v="1"/>
    <s v="SI"/>
    <s v="NO"/>
    <s v="NO"/>
    <n v="28"/>
    <n v="0.98661430822120777"/>
    <s v="No"/>
    <n v="1.5836824653877963"/>
    <s v="No"/>
    <n v="117743589"/>
    <n v="28"/>
    <x v="0"/>
  </r>
  <r>
    <n v="4927"/>
    <s v="MUJER"/>
    <n v="19976073"/>
    <x v="0"/>
    <x v="1"/>
    <s v="SI"/>
    <s v="NO"/>
    <s v="NO"/>
    <n v="46"/>
    <n v="0.2837416331672673"/>
    <s v="No"/>
    <n v="4.3238016134235703E-2"/>
    <s v="No"/>
    <n v="19976073"/>
    <n v="46"/>
    <x v="0"/>
  </r>
  <r>
    <n v="4928"/>
    <s v="HOMBRE"/>
    <n v="827454"/>
    <x v="0"/>
    <x v="1"/>
    <s v="SI"/>
    <s v="NO"/>
    <s v="NO"/>
    <n v="22"/>
    <n v="1.4100662886840327"/>
    <s v="No"/>
    <n v="0.36188455353794691"/>
    <s v="No"/>
    <n v="827454"/>
    <n v="22"/>
    <x v="0"/>
  </r>
  <r>
    <n v="4929"/>
    <s v="HOMBRE"/>
    <n v="297045"/>
    <x v="2"/>
    <x v="1"/>
    <s v="SI"/>
    <s v="NO"/>
    <s v="NO"/>
    <n v="59"/>
    <n v="1.2012209241700549"/>
    <s v="No"/>
    <n v="0.37071093372012948"/>
    <s v="No"/>
    <n v="297045"/>
    <n v="59"/>
    <x v="2"/>
  </r>
  <r>
    <n v="4930"/>
    <s v="HOMBRE"/>
    <n v="8427925"/>
    <x v="0"/>
    <x v="0"/>
    <s v="SI"/>
    <s v="NO"/>
    <s v="NO"/>
    <n v="33"/>
    <n v="0.63373765783552027"/>
    <s v="No"/>
    <n v="0.23540735083276371"/>
    <s v="No"/>
    <n v="8427925"/>
    <n v="33"/>
    <x v="0"/>
  </r>
  <r>
    <n v="4931"/>
    <s v="MUJER"/>
    <n v="297046"/>
    <x v="2"/>
    <x v="1"/>
    <s v="SI"/>
    <s v="SI"/>
    <s v="NO"/>
    <n v="33"/>
    <n v="0.63373765783552027"/>
    <s v="No"/>
    <n v="0.37071091707942361"/>
    <s v="No"/>
    <n v="297046"/>
    <n v="33"/>
    <x v="2"/>
  </r>
  <r>
    <n v="4932"/>
    <s v="HOMBRE"/>
    <n v="26899086"/>
    <x v="0"/>
    <x v="1"/>
    <s v="SI"/>
    <s v="NO"/>
    <s v="NO"/>
    <n v="26"/>
    <n v="1.1277649683754829"/>
    <s v="No"/>
    <n v="7.196580722508221E-2"/>
    <s v="No"/>
    <n v="26899086"/>
    <n v="26"/>
    <x v="0"/>
  </r>
  <r>
    <n v="4933"/>
    <s v="MUJER"/>
    <n v="953508"/>
    <x v="1"/>
    <x v="0"/>
    <s v="SI"/>
    <s v="NO"/>
    <s v="NO"/>
    <n v="70"/>
    <n v="1.9775495550185673"/>
    <s v="Sí"/>
    <n v="0.35978692599489082"/>
    <s v="No"/>
    <n v="953508"/>
    <n v="70"/>
    <x v="1"/>
  </r>
  <r>
    <n v="4934"/>
    <s v="MUJER"/>
    <n v="292120"/>
    <x v="0"/>
    <x v="1"/>
    <s v="SI"/>
    <s v="NO"/>
    <s v="NO"/>
    <n v="26"/>
    <n v="1.1277649683754829"/>
    <s v="No"/>
    <n v="0.37079288919674708"/>
    <s v="No"/>
    <n v="292120"/>
    <n v="26"/>
    <x v="0"/>
  </r>
  <r>
    <n v="4935"/>
    <s v="MUJER"/>
    <n v="241756034"/>
    <x v="0"/>
    <x v="0"/>
    <s v="SI"/>
    <s v="NO"/>
    <s v="NO"/>
    <n v="53"/>
    <n v="0.77776894370722982"/>
    <s v="No"/>
    <n v="3.6473370920853236"/>
    <s v="Sí"/>
    <n v="241756034"/>
    <n v="53"/>
    <x v="0"/>
  </r>
  <r>
    <n v="4936"/>
    <s v="MUJER"/>
    <n v="5000"/>
    <x v="0"/>
    <x v="1"/>
    <s v="SI"/>
    <s v="NO"/>
    <s v="NO"/>
    <n v="39"/>
    <n v="0.21028567737269524"/>
    <s v="No"/>
    <n v="0.37557076867825712"/>
    <s v="No"/>
    <n v="5000"/>
    <n v="39"/>
    <x v="0"/>
  </r>
  <r>
    <n v="4937"/>
    <s v="HOMBRE"/>
    <n v="63160625"/>
    <x v="0"/>
    <x v="1"/>
    <s v="SI"/>
    <s v="SI"/>
    <s v="NO"/>
    <n v="20"/>
    <n v="1.5512169488383079"/>
    <s v="No"/>
    <n v="0.67538341364775067"/>
    <s v="No"/>
    <n v="63160625"/>
    <n v="20"/>
    <x v="0"/>
  </r>
  <r>
    <n v="4938"/>
    <s v="HOMBRE"/>
    <n v="299441"/>
    <x v="3"/>
    <x v="1"/>
    <s v="SI"/>
    <s v="NO"/>
    <s v="NO"/>
    <n v="31"/>
    <n v="0.77488831798979529"/>
    <s v="No"/>
    <n v="0.37067106258876387"/>
    <s v="No"/>
    <n v="299441"/>
    <n v="31"/>
    <x v="3"/>
  </r>
  <r>
    <n v="4939"/>
    <s v="MUJER"/>
    <n v="233740"/>
    <x v="0"/>
    <x v="1"/>
    <s v="SI"/>
    <s v="NO"/>
    <s v="NO"/>
    <n v="18"/>
    <n v="1.6923676089925828"/>
    <s v="No"/>
    <n v="0.37176437360790116"/>
    <s v="No"/>
    <n v="233740"/>
    <n v="18"/>
    <x v="0"/>
  </r>
  <r>
    <n v="4940"/>
    <s v="HOMBRE"/>
    <n v="297046"/>
    <x v="2"/>
    <x v="1"/>
    <s v="SI"/>
    <s v="NO"/>
    <s v="NO"/>
    <n v="40"/>
    <n v="0.13971034729555773"/>
    <s v="No"/>
    <n v="0.37071091707942361"/>
    <s v="No"/>
    <n v="297046"/>
    <n v="40"/>
    <x v="2"/>
  </r>
  <r>
    <n v="4941"/>
    <s v="MUJER"/>
    <n v="278030"/>
    <x v="2"/>
    <x v="1"/>
    <s v="SI"/>
    <s v="NO"/>
    <s v="NO"/>
    <n v="50"/>
    <n v="0.56604295347581735"/>
    <s v="No"/>
    <n v="0.37102735674304993"/>
    <s v="No"/>
    <n v="278030"/>
    <n v="50"/>
    <x v="2"/>
  </r>
  <r>
    <n v="4942"/>
    <s v="HOMBRE"/>
    <n v="36703416"/>
    <x v="0"/>
    <x v="1"/>
    <s v="SI"/>
    <s v="NO"/>
    <s v="NO"/>
    <n v="42"/>
    <n v="1.4403128587172659E-3"/>
    <s v="No"/>
    <n v="0.23511677942121437"/>
    <s v="No"/>
    <n v="36703416"/>
    <n v="42"/>
    <x v="0"/>
  </r>
  <r>
    <n v="4943"/>
    <s v="HOMBRE"/>
    <n v="35005088"/>
    <x v="0"/>
    <x v="1"/>
    <s v="SI"/>
    <s v="NO"/>
    <s v="NO"/>
    <n v="26"/>
    <n v="1.1277649683754829"/>
    <s v="No"/>
    <n v="0.20685540263076435"/>
    <s v="No"/>
    <n v="35005088"/>
    <n v="26"/>
    <x v="0"/>
  </r>
  <r>
    <n v="4944"/>
    <s v="HOMBRE"/>
    <n v="1225741"/>
    <x v="0"/>
    <x v="1"/>
    <s v="SI"/>
    <s v="NO"/>
    <s v="NO"/>
    <n v="57"/>
    <n v="1.0600702640157798"/>
    <s v="No"/>
    <n v="0.35525677670229561"/>
    <s v="No"/>
    <n v="1225741"/>
    <n v="57"/>
    <x v="0"/>
  </r>
  <r>
    <n v="4945"/>
    <s v="MUJER"/>
    <n v="297045"/>
    <x v="2"/>
    <x v="1"/>
    <s v="SI"/>
    <s v="NO"/>
    <s v="NO"/>
    <n v="35"/>
    <n v="0.49258699768124525"/>
    <s v="No"/>
    <n v="0.37071093372012948"/>
    <s v="No"/>
    <n v="297045"/>
    <n v="35"/>
    <x v="2"/>
  </r>
  <r>
    <n v="4946"/>
    <s v="HOMBRE"/>
    <n v="278030"/>
    <x v="4"/>
    <x v="1"/>
    <s v="SI"/>
    <s v="NO"/>
    <s v="NO"/>
    <n v="37"/>
    <n v="0.35143633752697023"/>
    <s v="No"/>
    <n v="0.37102735674304993"/>
    <s v="No"/>
    <n v="278030"/>
    <n v="37"/>
    <x v="4"/>
  </r>
  <r>
    <n v="4947"/>
    <s v="MUJER"/>
    <n v="1158417"/>
    <x v="0"/>
    <x v="0"/>
    <s v="SI"/>
    <s v="NO"/>
    <s v="NO"/>
    <n v="39"/>
    <n v="0.21028567737269524"/>
    <s v="No"/>
    <n v="0.35637709558712838"/>
    <s v="No"/>
    <n v="1158417"/>
    <n v="39"/>
    <x v="0"/>
  </r>
  <r>
    <n v="4948"/>
    <s v="MUJER"/>
    <n v="297046"/>
    <x v="2"/>
    <x v="1"/>
    <s v="SI"/>
    <s v="NO"/>
    <s v="NO"/>
    <n v="24"/>
    <n v="1.2689156285297578"/>
    <s v="No"/>
    <n v="0.37071091707942361"/>
    <s v="No"/>
    <n v="297046"/>
    <n v="24"/>
    <x v="2"/>
  </r>
  <r>
    <n v="4949"/>
    <s v="HOMBRE"/>
    <n v="1376386"/>
    <x v="1"/>
    <x v="0"/>
    <s v="SI"/>
    <s v="NO"/>
    <s v="NO"/>
    <n v="67"/>
    <n v="1.765823564787155"/>
    <s v="No"/>
    <n v="0.35274993756015266"/>
    <s v="No"/>
    <n v="1376386"/>
    <n v="67"/>
    <x v="1"/>
  </r>
  <r>
    <n v="4950"/>
    <s v="HOMBRE"/>
    <n v="4206651"/>
    <x v="0"/>
    <x v="0"/>
    <s v="SI"/>
    <s v="NO"/>
    <s v="NO"/>
    <n v="69"/>
    <n v="1.9069742249414299"/>
    <s v="No"/>
    <n v="0.30565233004156794"/>
    <s v="No"/>
    <n v="4206651"/>
    <n v="69"/>
    <x v="0"/>
  </r>
  <r>
    <n v="4951"/>
    <s v="HOMBRE"/>
    <n v="545415"/>
    <x v="0"/>
    <x v="1"/>
    <s v="SI"/>
    <s v="NO"/>
    <s v="NO"/>
    <n v="20"/>
    <n v="1.5512169488383079"/>
    <s v="No"/>
    <n v="0.36657788159271709"/>
    <s v="No"/>
    <n v="545415"/>
    <n v="20"/>
    <x v="0"/>
  </r>
  <r>
    <n v="4952"/>
    <s v="MUJER"/>
    <n v="330000"/>
    <x v="0"/>
    <x v="1"/>
    <s v="SI"/>
    <s v="NO"/>
    <s v="NO"/>
    <n v="25"/>
    <n v="1.1983402984526204"/>
    <s v="No"/>
    <n v="0.37016253925679304"/>
    <s v="No"/>
    <n v="330000"/>
    <n v="25"/>
    <x v="0"/>
  </r>
  <r>
    <n v="4953"/>
    <s v="HOMBRE"/>
    <n v="297046"/>
    <x v="2"/>
    <x v="1"/>
    <s v="SI"/>
    <s v="NO"/>
    <s v="NO"/>
    <n v="62"/>
    <n v="1.4129469144014672"/>
    <s v="No"/>
    <n v="0.37071091707942361"/>
    <s v="No"/>
    <n v="297046"/>
    <n v="62"/>
    <x v="2"/>
  </r>
  <r>
    <n v="4954"/>
    <s v="HOMBRE"/>
    <n v="47925204"/>
    <x v="0"/>
    <x v="1"/>
    <s v="SI"/>
    <s v="NO"/>
    <s v="NO"/>
    <n v="25"/>
    <n v="1.1983402984526204"/>
    <s v="No"/>
    <n v="0.4218552533382377"/>
    <s v="No"/>
    <n v="47925204"/>
    <n v="25"/>
    <x v="0"/>
  </r>
  <r>
    <n v="4955"/>
    <s v="MUJER"/>
    <n v="371690"/>
    <x v="0"/>
    <x v="1"/>
    <s v="SI"/>
    <s v="NO"/>
    <s v="NO"/>
    <n v="48"/>
    <n v="0.42489229332154227"/>
    <s v="No"/>
    <n v="0.36946878822731355"/>
    <s v="No"/>
    <n v="371690"/>
    <n v="48"/>
    <x v="0"/>
  </r>
  <r>
    <n v="4956"/>
    <s v="MUJER"/>
    <n v="1200000"/>
    <x v="0"/>
    <x v="1"/>
    <s v="SI"/>
    <s v="SI"/>
    <s v="NO"/>
    <n v="78"/>
    <n v="2.5421521956356674"/>
    <s v="Sí"/>
    <n v="0.35568512511318151"/>
    <s v="No"/>
    <n v="1200000"/>
    <n v="78"/>
    <x v="0"/>
  </r>
  <r>
    <n v="4957"/>
    <s v="HOMBRE"/>
    <n v="42896015"/>
    <x v="0"/>
    <x v="1"/>
    <s v="SI"/>
    <s v="NO"/>
    <s v="NO"/>
    <n v="41"/>
    <n v="6.9135017218420233E-2"/>
    <s v="No"/>
    <n v="0.33816599821238069"/>
    <s v="No"/>
    <n v="42896015"/>
    <n v="41"/>
    <x v="0"/>
  </r>
  <r>
    <n v="4958"/>
    <s v="HOMBRE"/>
    <n v="290000"/>
    <x v="0"/>
    <x v="1"/>
    <s v="SI"/>
    <s v="SI"/>
    <s v="NO"/>
    <n v="37"/>
    <n v="0.35143633752697023"/>
    <s v="No"/>
    <n v="0.3708281674932809"/>
    <s v="No"/>
    <n v="290000"/>
    <n v="37"/>
    <x v="0"/>
  </r>
  <r>
    <n v="4959"/>
    <s v="HOMBRE"/>
    <n v="54361226"/>
    <x v="0"/>
    <x v="0"/>
    <s v="SI"/>
    <s v="NO"/>
    <s v="NO"/>
    <n v="39"/>
    <n v="0.21028567737269524"/>
    <s v="No"/>
    <n v="0.52895520268466878"/>
    <s v="No"/>
    <n v="54361226"/>
    <n v="39"/>
    <x v="0"/>
  </r>
  <r>
    <n v="4960"/>
    <s v="HOMBRE"/>
    <n v="149130"/>
    <x v="0"/>
    <x v="1"/>
    <s v="SI"/>
    <s v="SI"/>
    <s v="SI"/>
    <n v="29"/>
    <n v="0.91603897814407031"/>
    <s v="No"/>
    <n v="0.37317234373513214"/>
    <s v="No"/>
    <n v="149130"/>
    <n v="29"/>
    <x v="0"/>
  </r>
  <r>
    <n v="4961"/>
    <s v="HOMBRE"/>
    <n v="347603"/>
    <x v="3"/>
    <x v="1"/>
    <s v="SI"/>
    <s v="NO"/>
    <s v="SI"/>
    <n v="46"/>
    <n v="0.2837416331672673"/>
    <s v="No"/>
    <n v="0.36986961291062065"/>
    <s v="No"/>
    <n v="347603"/>
    <n v="46"/>
    <x v="3"/>
  </r>
  <r>
    <n v="4962"/>
    <s v="HOMBRE"/>
    <n v="121165063"/>
    <x v="0"/>
    <x v="1"/>
    <s v="SI"/>
    <s v="NO"/>
    <s v="NO"/>
    <n v="61"/>
    <n v="1.3423715843243298"/>
    <s v="No"/>
    <n v="1.6406182080080252"/>
    <s v="No"/>
    <n v="121165063"/>
    <n v="61"/>
    <x v="0"/>
  </r>
  <r>
    <n v="4963"/>
    <s v="MUJER"/>
    <n v="714152"/>
    <x v="0"/>
    <x v="1"/>
    <s v="SI"/>
    <s v="NO"/>
    <s v="NO"/>
    <n v="31"/>
    <n v="0.77488831798979529"/>
    <s v="No"/>
    <n v="0.36376997879921069"/>
    <s v="No"/>
    <n v="714152"/>
    <n v="31"/>
    <x v="0"/>
  </r>
  <r>
    <n v="4964"/>
    <s v="HOMBRE"/>
    <n v="298000"/>
    <x v="2"/>
    <x v="1"/>
    <s v="SI"/>
    <s v="SI"/>
    <s v="NO"/>
    <n v="31"/>
    <n v="0.77488831798979529"/>
    <s v="No"/>
    <n v="0.37069504184598334"/>
    <s v="No"/>
    <n v="298000"/>
    <n v="31"/>
    <x v="2"/>
  </r>
  <r>
    <n v="4965"/>
    <s v="MUJER"/>
    <n v="349768"/>
    <x v="0"/>
    <x v="0"/>
    <s v="SI"/>
    <s v="NO"/>
    <s v="SI"/>
    <n v="55"/>
    <n v="0.91891960386150484"/>
    <s v="No"/>
    <n v="0.36983358578232073"/>
    <s v="No"/>
    <n v="349768"/>
    <n v="55"/>
    <x v="0"/>
  </r>
  <r>
    <n v="4966"/>
    <s v="MUJER"/>
    <n v="297046"/>
    <x v="2"/>
    <x v="1"/>
    <s v="NO"/>
    <s v="NO"/>
    <s v="NO"/>
    <n v="43"/>
    <n v="7.2015642935854773E-2"/>
    <s v="No"/>
    <n v="0.37071091707942361"/>
    <s v="No"/>
    <n v="297046"/>
    <n v="43"/>
    <x v="2"/>
  </r>
  <r>
    <n v="4967"/>
    <s v="HOMBRE"/>
    <n v="42892814"/>
    <x v="0"/>
    <x v="1"/>
    <s v="SI"/>
    <s v="NO"/>
    <s v="NO"/>
    <n v="36"/>
    <n v="0.42201166760410774"/>
    <s v="No"/>
    <n v="0.33811273131275577"/>
    <s v="No"/>
    <n v="42892814"/>
    <n v="36"/>
    <x v="0"/>
  </r>
  <r>
    <n v="4968"/>
    <s v="MUJER"/>
    <n v="44693837"/>
    <x v="0"/>
    <x v="1"/>
    <s v="SI"/>
    <s v="NO"/>
    <s v="SI"/>
    <n v="30"/>
    <n v="0.84546364806693275"/>
    <s v="No"/>
    <n v="0.36808302539685883"/>
    <s v="No"/>
    <n v="44693837"/>
    <n v="30"/>
    <x v="0"/>
  </r>
  <r>
    <n v="4969"/>
    <s v="MUJER"/>
    <n v="96846727"/>
    <x v="0"/>
    <x v="1"/>
    <s v="SI"/>
    <s v="NO"/>
    <s v="NO"/>
    <n v="33"/>
    <n v="0.63373765783552027"/>
    <s v="No"/>
    <n v="1.2359439303580277"/>
    <s v="No"/>
    <n v="96846727"/>
    <n v="33"/>
    <x v="0"/>
  </r>
  <r>
    <n v="4970"/>
    <s v="MUJER"/>
    <n v="302470"/>
    <x v="3"/>
    <x v="1"/>
    <s v="SI"/>
    <s v="NO"/>
    <s v="NO"/>
    <n v="23"/>
    <n v="1.3394909586068953"/>
    <s v="No"/>
    <n v="0.37062065789055582"/>
    <s v="No"/>
    <n v="302470"/>
    <n v="23"/>
    <x v="3"/>
  </r>
  <r>
    <n v="4971"/>
    <s v="HOMBRE"/>
    <n v="74205313"/>
    <x v="0"/>
    <x v="0"/>
    <s v="SI"/>
    <s v="NO"/>
    <s v="NO"/>
    <n v="39"/>
    <n v="0.21028567737269524"/>
    <s v="No"/>
    <n v="0.85917481854772393"/>
    <s v="No"/>
    <n v="74205313"/>
    <n v="39"/>
    <x v="0"/>
  </r>
  <r>
    <n v="4972"/>
    <s v="HOMBRE"/>
    <n v="44240266"/>
    <x v="0"/>
    <x v="1"/>
    <s v="SI"/>
    <s v="NO"/>
    <s v="NO"/>
    <n v="33"/>
    <n v="0.63373765783552027"/>
    <s v="No"/>
    <n v="0.36053528377555766"/>
    <s v="No"/>
    <n v="44240266"/>
    <n v="33"/>
    <x v="0"/>
  </r>
  <r>
    <n v="4973"/>
    <s v="HOMBRE"/>
    <n v="91149456"/>
    <x v="0"/>
    <x v="1"/>
    <s v="SI"/>
    <s v="NO"/>
    <s v="NO"/>
    <n v="41"/>
    <n v="6.9135017218420233E-2"/>
    <s v="No"/>
    <n v="1.1411373191449383"/>
    <s v="No"/>
    <n v="91149456"/>
    <n v="41"/>
    <x v="0"/>
  </r>
  <r>
    <n v="4974"/>
    <s v="MUJER"/>
    <n v="1000000"/>
    <x v="0"/>
    <x v="1"/>
    <s v="SI"/>
    <s v="NO"/>
    <s v="NO"/>
    <n v="37"/>
    <n v="0.35143633752697023"/>
    <s v="No"/>
    <n v="0.35901326629562091"/>
    <s v="No"/>
    <n v="1000000"/>
    <n v="37"/>
    <x v="0"/>
  </r>
  <r>
    <n v="4975"/>
    <s v="MUJER"/>
    <n v="415284"/>
    <x v="1"/>
    <x v="0"/>
    <s v="SI"/>
    <s v="NO"/>
    <s v="NO"/>
    <n v="66"/>
    <n v="1.6952482347100173"/>
    <s v="No"/>
    <n v="0.36874335329377722"/>
    <s v="No"/>
    <n v="415284"/>
    <n v="66"/>
    <x v="1"/>
  </r>
  <r>
    <n v="4976"/>
    <s v="HOMBRE"/>
    <n v="278030"/>
    <x v="3"/>
    <x v="1"/>
    <s v="SI"/>
    <s v="NO"/>
    <s v="SI"/>
    <n v="25"/>
    <n v="1.1983402984526204"/>
    <s v="No"/>
    <n v="0.37102735674304993"/>
    <s v="No"/>
    <n v="278030"/>
    <n v="25"/>
    <x v="3"/>
  </r>
  <r>
    <n v="4977"/>
    <s v="HOMBRE"/>
    <n v="34651897"/>
    <x v="0"/>
    <x v="1"/>
    <s v="SI"/>
    <s v="NO"/>
    <s v="NO"/>
    <n v="22"/>
    <n v="1.4100662886840327"/>
    <s v="No"/>
    <n v="0.20097805506892952"/>
    <s v="No"/>
    <n v="34651897"/>
    <n v="22"/>
    <x v="0"/>
  </r>
  <r>
    <n v="4978"/>
    <s v="MUJER"/>
    <n v="126175988"/>
    <x v="0"/>
    <x v="0"/>
    <s v="SI"/>
    <s v="NO"/>
    <s v="NO"/>
    <n v="35"/>
    <n v="0.49258699768124525"/>
    <s v="No"/>
    <n v="1.7240035372811018"/>
    <s v="No"/>
    <n v="126175988"/>
    <n v="35"/>
    <x v="0"/>
  </r>
  <r>
    <n v="4979"/>
    <s v="HOMBRE"/>
    <n v="88932028"/>
    <x v="6"/>
    <x v="1"/>
    <s v="SI"/>
    <s v="NO"/>
    <s v="NO"/>
    <n v="59"/>
    <n v="1.2012209241700549"/>
    <s v="No"/>
    <n v="1.1042377519154667"/>
    <s v="No"/>
    <n v="88932028"/>
    <n v="59"/>
    <x v="5"/>
  </r>
  <r>
    <n v="4980"/>
    <s v="HOMBRE"/>
    <n v="297046"/>
    <x v="3"/>
    <x v="1"/>
    <s v="SI"/>
    <s v="SI"/>
    <s v="SI"/>
    <n v="36"/>
    <n v="0.42201166760410774"/>
    <s v="No"/>
    <n v="0.37071091707942361"/>
    <s v="No"/>
    <n v="297046"/>
    <n v="36"/>
    <x v="3"/>
  </r>
  <r>
    <n v="4981"/>
    <s v="HOMBRE"/>
    <n v="385702"/>
    <x v="3"/>
    <x v="1"/>
    <s v="SI"/>
    <s v="NO"/>
    <s v="SI"/>
    <n v="39"/>
    <n v="0.21028567737269524"/>
    <s v="No"/>
    <n v="0.36923561865607185"/>
    <s v="No"/>
    <n v="385702"/>
    <n v="39"/>
    <x v="3"/>
  </r>
  <r>
    <n v="4982"/>
    <s v="HOMBRE"/>
    <n v="299647"/>
    <x v="2"/>
    <x v="1"/>
    <s v="SI"/>
    <s v="NO"/>
    <s v="NO"/>
    <n v="67"/>
    <n v="1.765823564787155"/>
    <s v="No"/>
    <n v="0.37066763460334595"/>
    <s v="No"/>
    <n v="299647"/>
    <n v="67"/>
    <x v="2"/>
  </r>
  <r>
    <n v="4983"/>
    <s v="MUJER"/>
    <n v="32434528"/>
    <x v="0"/>
    <x v="1"/>
    <s v="SI"/>
    <s v="NO"/>
    <s v="NO"/>
    <n v="38"/>
    <n v="0.28086100744983278"/>
    <s v="No"/>
    <n v="0.16407946964110678"/>
    <s v="No"/>
    <n v="32434528"/>
    <n v="38"/>
    <x v="0"/>
  </r>
  <r>
    <n v="4984"/>
    <s v="HOMBRE"/>
    <n v="331181"/>
    <x v="3"/>
    <x v="1"/>
    <s v="SI"/>
    <s v="SI"/>
    <s v="SI"/>
    <n v="55"/>
    <n v="0.91891960386150484"/>
    <s v="No"/>
    <n v="0.37014288658311073"/>
    <s v="No"/>
    <n v="331181"/>
    <n v="55"/>
    <x v="3"/>
  </r>
  <r>
    <n v="4985"/>
    <s v="MUJER"/>
    <n v="376777"/>
    <x v="0"/>
    <x v="1"/>
    <s v="SI"/>
    <s v="NO"/>
    <s v="SI"/>
    <n v="33"/>
    <n v="0.63373765783552027"/>
    <s v="No"/>
    <n v="0.3693841369563382"/>
    <s v="No"/>
    <n v="376777"/>
    <n v="33"/>
    <x v="0"/>
  </r>
  <r>
    <n v="4986"/>
    <s v="MUJER"/>
    <n v="356455"/>
    <x v="3"/>
    <x v="1"/>
    <s v="SI"/>
    <s v="NO"/>
    <s v="NO"/>
    <n v="63"/>
    <n v="1.4835222444786049"/>
    <s v="No"/>
    <n v="0.36972230938188588"/>
    <s v="No"/>
    <n v="356455"/>
    <n v="63"/>
    <x v="3"/>
  </r>
  <r>
    <n v="4987"/>
    <s v="HOMBRE"/>
    <n v="191279711"/>
    <x v="0"/>
    <x v="1"/>
    <s v="SI"/>
    <s v="NO"/>
    <s v="NO"/>
    <n v="49"/>
    <n v="0.49546762339867978"/>
    <s v="No"/>
    <n v="2.8073754455132494"/>
    <s v="Sí"/>
    <n v="191279711"/>
    <n v="49"/>
    <x v="0"/>
  </r>
  <r>
    <n v="4988"/>
    <s v="MUJER"/>
    <n v="1709530"/>
    <x v="0"/>
    <x v="0"/>
    <s v="SI"/>
    <s v="NO"/>
    <s v="SI"/>
    <n v="44"/>
    <n v="0.14259097301299228"/>
    <s v="No"/>
    <n v="0.34720618622973964"/>
    <s v="No"/>
    <n v="1709530"/>
    <n v="44"/>
    <x v="0"/>
  </r>
  <r>
    <n v="4989"/>
    <s v="HOMBRE"/>
    <n v="88241774"/>
    <x v="0"/>
    <x v="1"/>
    <s v="SI"/>
    <s v="NO"/>
    <s v="NO"/>
    <n v="38"/>
    <n v="0.28086100744983278"/>
    <s v="No"/>
    <n v="1.0927514380967491"/>
    <s v="No"/>
    <n v="88241774"/>
    <n v="38"/>
    <x v="0"/>
  </r>
  <r>
    <n v="4990"/>
    <s v="MUJER"/>
    <n v="4388896"/>
    <x v="0"/>
    <x v="1"/>
    <s v="SI"/>
    <s v="NO"/>
    <s v="NO"/>
    <n v="31"/>
    <n v="0.77488831798979529"/>
    <s v="No"/>
    <n v="0.30261964459259955"/>
    <s v="No"/>
    <n v="4388896"/>
    <n v="31"/>
    <x v="0"/>
  </r>
  <r>
    <n v="4991"/>
    <s v="MUJER"/>
    <n v="33586017"/>
    <x v="0"/>
    <x v="0"/>
    <s v="SI"/>
    <s v="NO"/>
    <s v="NO"/>
    <n v="35"/>
    <n v="0.49258699768124525"/>
    <s v="No"/>
    <n v="0.18324105945123678"/>
    <s v="No"/>
    <n v="33586017"/>
    <n v="35"/>
    <x v="0"/>
  </r>
  <r>
    <n v="4992"/>
    <s v="HOMBRE"/>
    <n v="501500"/>
    <x v="0"/>
    <x v="1"/>
    <s v="SI"/>
    <s v="NO"/>
    <s v="NO"/>
    <n v="29"/>
    <n v="0.91603897814407031"/>
    <s v="No"/>
    <n v="0.36730865819285125"/>
    <s v="No"/>
    <n v="501500"/>
    <n v="29"/>
    <x v="0"/>
  </r>
  <r>
    <n v="4993"/>
    <s v="MUJER"/>
    <n v="354835"/>
    <x v="0"/>
    <x v="1"/>
    <s v="SI"/>
    <s v="NO"/>
    <s v="SI"/>
    <n v="26"/>
    <n v="1.1277649683754829"/>
    <s v="No"/>
    <n v="0.36974926732546359"/>
    <s v="No"/>
    <n v="354835"/>
    <n v="26"/>
    <x v="0"/>
  </r>
  <r>
    <n v="4994"/>
    <s v="HOMBRE"/>
    <n v="50104018"/>
    <x v="0"/>
    <x v="1"/>
    <s v="SI"/>
    <s v="NO"/>
    <s v="NO"/>
    <n v="57"/>
    <n v="1.0600702640157798"/>
    <s v="No"/>
    <n v="0.45811225634961567"/>
    <s v="No"/>
    <n v="50104018"/>
    <n v="57"/>
    <x v="0"/>
  </r>
  <r>
    <n v="4995"/>
    <s v="MUJER"/>
    <n v="95836736"/>
    <x v="0"/>
    <x v="0"/>
    <s v="SI"/>
    <s v="NO"/>
    <s v="NO"/>
    <n v="38"/>
    <n v="0.28086100744983278"/>
    <s v="No"/>
    <n v="1.2191369671530619"/>
    <s v="No"/>
    <n v="95836736"/>
    <n v="38"/>
    <x v="0"/>
  </r>
  <r>
    <n v="4996"/>
    <s v="MUJER"/>
    <n v="407579"/>
    <x v="0"/>
    <x v="0"/>
    <s v="SI"/>
    <s v="NO"/>
    <s v="NO"/>
    <n v="43"/>
    <n v="7.2015642935854773E-2"/>
    <s v="No"/>
    <n v="0.36887156993283071"/>
    <s v="No"/>
    <n v="407579"/>
    <n v="43"/>
    <x v="0"/>
  </r>
  <r>
    <n v="4997"/>
    <s v="MUJER"/>
    <n v="400000"/>
    <x v="0"/>
    <x v="1"/>
    <s v="SI"/>
    <s v="NO"/>
    <s v="NO"/>
    <n v="62"/>
    <n v="1.4129469144014672"/>
    <s v="No"/>
    <n v="0.36899768984293924"/>
    <s v="No"/>
    <n v="400000"/>
    <n v="62"/>
    <x v="0"/>
  </r>
  <r>
    <n v="4998"/>
    <s v="MUJER"/>
    <n v="1367154"/>
    <x v="0"/>
    <x v="0"/>
    <s v="SI"/>
    <s v="NO"/>
    <s v="SI"/>
    <n v="56"/>
    <n v="0.9894949339386423"/>
    <s v="No"/>
    <n v="0.35290356455713406"/>
    <s v="No"/>
    <n v="1367154"/>
    <n v="56"/>
    <x v="0"/>
  </r>
  <r>
    <n v="4999"/>
    <s v="HOMBRE"/>
    <n v="18983328"/>
    <x v="0"/>
    <x v="1"/>
    <s v="SI"/>
    <s v="SI"/>
    <s v="NO"/>
    <n v="42"/>
    <n v="1.4403128587172659E-3"/>
    <s v="No"/>
    <n v="5.9757993725039892E-2"/>
    <s v="No"/>
    <n v="18983328"/>
    <n v="42"/>
    <x v="0"/>
  </r>
  <r>
    <n v="5000"/>
    <s v="HOMBRE"/>
    <n v="48907833"/>
    <x v="0"/>
    <x v="1"/>
    <s v="SI"/>
    <s v="NO"/>
    <s v="NO"/>
    <n v="41"/>
    <n v="6.9135017218420233E-2"/>
    <s v="No"/>
    <n v="0.4382068935480341"/>
    <s v="No"/>
    <n v="48907833"/>
    <n v="4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E4069F1-C542-41D8-871C-B312F55F54A9}" name="PivotTable9"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9:D57" firstHeaderRow="1" firstDataRow="2" firstDataCol="1"/>
  <pivotFields count="16">
    <pivotField showAll="0"/>
    <pivotField showAll="0"/>
    <pivotField showAll="0"/>
    <pivotField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axis="axisRow" dataField="1" showAll="0">
      <items count="7">
        <item x="0"/>
        <item x="2"/>
        <item x="5"/>
        <item x="4"/>
        <item x="1"/>
        <item x="3"/>
        <item t="default"/>
      </items>
    </pivotField>
  </pivotFields>
  <rowFields count="1">
    <field x="15"/>
  </rowFields>
  <rowItems count="7">
    <i>
      <x/>
    </i>
    <i>
      <x v="1"/>
    </i>
    <i>
      <x v="2"/>
    </i>
    <i>
      <x v="3"/>
    </i>
    <i>
      <x v="4"/>
    </i>
    <i>
      <x v="5"/>
    </i>
    <i t="grand">
      <x/>
    </i>
  </rowItems>
  <colFields count="1">
    <field x="4"/>
  </colFields>
  <colItems count="3">
    <i>
      <x/>
    </i>
    <i>
      <x v="1"/>
    </i>
    <i t="grand">
      <x/>
    </i>
  </colItems>
  <dataFields count="1">
    <dataField name="Count of Tipo_Asegurado_Imputado" fld="1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2B2DF98-1C85-485B-855F-D36FC78141F9}" name="PivotTable3"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3:G42" firstHeaderRow="1" firstDataRow="2" firstDataCol="1"/>
  <pivotFields count="16">
    <pivotField showAll="0"/>
    <pivotField showAll="0"/>
    <pivotField showAll="0"/>
    <pivotField axis="axisRow" dataField="1" showAll="0">
      <items count="8">
        <item x="5"/>
        <item x="0"/>
        <item x="2"/>
        <item x="6"/>
        <item x="4"/>
        <item x="1"/>
        <item x="3"/>
        <item t="default"/>
      </items>
    </pivotField>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1">
    <field x="4"/>
  </colFields>
  <colItems count="3">
    <i>
      <x/>
    </i>
    <i>
      <x v="1"/>
    </i>
    <i t="grand">
      <x/>
    </i>
  </colItems>
  <dataFields count="1">
    <dataField name="Count of TIPO_ASEGURAMIENTO"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0BFB8CB-4BF2-4862-8B7F-7390108CBF13}" autoFormatId="16" applyNumberFormats="0" applyBorderFormats="0" applyFontFormats="0" applyPatternFormats="0" applyAlignmentFormats="0" applyWidthHeightFormats="0">
  <queryTableRefresh nextId="17" unboundColumnsRight="7">
    <queryTableFields count="16">
      <queryTableField id="1" name="IDENTIFICACION" tableColumnId="1"/>
      <queryTableField id="2" name="SEXO" tableColumnId="2"/>
      <queryTableField id="3" name="SALARIO" tableColumnId="3"/>
      <queryTableField id="4" name="TIPO_ASEGURAMIENTO" tableColumnId="4"/>
      <queryTableField id="5" name="SECTOR" tableColumnId="5"/>
      <queryTableField id="6" name="INDICADOR_ACTIVO" tableColumnId="6"/>
      <queryTableField id="7" name="INDICADOR.EXTRANJERO" tableColumnId="7"/>
      <queryTableField id="8" name="INDICADOR_MOROSO" tableColumnId="8"/>
      <queryTableField id="9" name="EDAD" tableColumnId="9"/>
      <queryTableField id="10" dataBound="0" tableColumnId="10"/>
      <queryTableField id="11" dataBound="0" tableColumnId="11"/>
      <queryTableField id="12" dataBound="0" tableColumnId="12"/>
      <queryTableField id="13" dataBound="0" tableColumnId="13"/>
      <queryTableField id="14" dataBound="0" tableColumnId="14"/>
      <queryTableField id="15" dataBound="0"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CD2A51C-B7C6-424E-A0AC-8A05E0CDC611}" name="moras" displayName="moras" ref="A1:P5001" tableType="queryTable" totalsRowShown="0">
  <autoFilter ref="A1:P5001" xr:uid="{2CD2A51C-B7C6-424E-A0AC-8A05E0CDC611}"/>
  <tableColumns count="16">
    <tableColumn id="1" xr3:uid="{B57B22C8-72F3-4BFE-B529-E2F1D980E811}" uniqueName="1" name="IDENTIFICACION" queryTableFieldId="1"/>
    <tableColumn id="2" xr3:uid="{7F995EF4-A0C9-4351-B337-CC8A231B0BFE}" uniqueName="2" name="SEXO" queryTableFieldId="2" dataDxfId="12"/>
    <tableColumn id="3" xr3:uid="{42614DD8-DCA7-4EF1-9889-4D4FD24A9D16}" uniqueName="3" name="SALARIO" queryTableFieldId="3"/>
    <tableColumn id="4" xr3:uid="{41323571-8B92-41C2-9559-DFF6D538EAC2}" uniqueName="4" name="TIPO_ASEGURAMIENTO" queryTableFieldId="4" dataDxfId="11"/>
    <tableColumn id="5" xr3:uid="{F1DCF4BA-BAF9-4D9D-8045-64FFBE508EC8}" uniqueName="5" name="SECTOR" queryTableFieldId="5" dataDxfId="10"/>
    <tableColumn id="6" xr3:uid="{52BF1991-027C-45A5-8084-EF381FD94DB9}" uniqueName="6" name="INDICADOR_ACTIVO" queryTableFieldId="6" dataDxfId="9"/>
    <tableColumn id="7" xr3:uid="{4F212023-3EE2-478E-BB95-88B5158C7BCA}" uniqueName="7" name="INDICADOR.EXTRANJERO" queryTableFieldId="7" dataDxfId="8"/>
    <tableColumn id="8" xr3:uid="{A6B03C15-96FE-41CC-B9EE-AB0DF5A33C5B}" uniqueName="8" name="INDICADOR_MOROSO" queryTableFieldId="8" dataDxfId="7"/>
    <tableColumn id="9" xr3:uid="{EE00A304-159E-4D7A-A5D9-66A5C41E2207}" uniqueName="9" name="EDAD" queryTableFieldId="9"/>
    <tableColumn id="10" xr3:uid="{FA07CED9-7DDC-4ABB-B586-72C8B3B8FB92}" uniqueName="10" name="Z-Score Edad" queryTableFieldId="10" dataDxfId="6">
      <calculatedColumnFormula>ABS((I2-EDA!$A$15)/EDA!$B$15)</calculatedColumnFormula>
    </tableColumn>
    <tableColumn id="11" xr3:uid="{9E9C947E-2E9D-43E7-90D2-95F073A0D36F}" uniqueName="11" name="Edad_atípica" queryTableFieldId="11" dataDxfId="5">
      <calculatedColumnFormula>IF(J2 &gt;  1.96, "Sí","No")</calculatedColumnFormula>
    </tableColumn>
    <tableColumn id="12" xr3:uid="{2C072C9F-42E3-461A-B05C-D0E01069C89F}" uniqueName="12" name="Z-Score Salario" queryTableFieldId="12" dataDxfId="4">
      <calculatedColumnFormula>ABS((C2-EDA!$F$15)/EDA!$G$15)</calculatedColumnFormula>
    </tableColumn>
    <tableColumn id="13" xr3:uid="{E4D0628F-B717-486D-8193-8D4D46C1FFB9}" uniqueName="13" name="Salario_atípico" queryTableFieldId="13" dataDxfId="3">
      <calculatedColumnFormula>IF(moras[[#This Row],[Z-Score Salario]]&gt;1.96, "Sí", "No")</calculatedColumnFormula>
    </tableColumn>
    <tableColumn id="14" xr3:uid="{2D2F6DE3-3CAA-46F2-B1DC-8B18991D1B0F}" uniqueName="14" name="Salario_imputado" queryTableFieldId="14" dataDxfId="2">
      <calculatedColumnFormula>IF(ISBLANK(moras[[#This Row],[SALARIO]]), EDA!$M$8, moras[[#This Row],[SALARIO]])</calculatedColumnFormula>
    </tableColumn>
    <tableColumn id="15" xr3:uid="{538813B2-7373-4CC0-8BC7-EEB1FA5E2C7C}" uniqueName="15" name="Edad_imputado" queryTableFieldId="15" dataDxfId="1">
      <calculatedColumnFormula xml:space="preserve"> IF(ISBLANK(moras[[#This Row],[EDAD]]), EDA!$E$8, moras[[#This Row],[EDAD]])</calculatedColumnFormula>
    </tableColumn>
    <tableColumn id="16" xr3:uid="{8FDBB36F-85E7-4BFF-ABF2-F8A4AF3F9268}" uniqueName="16" name="Tipo_Asegurado_Imputado" queryTableFieldId="16" dataDxfId="0">
      <calculatedColumnFormula>IF(
    OR(ISBLANK(moras[[#This Row],[TIPO_ASEGURAMIENTO]]), moras[[#This Row],[TIPO_ASEGURAMIENTO]]=""),
    EDA!$A$32,
    moras[[#This Row],[TIPO_ASEGURAMIENTO]]
)</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6215F-9F7C-458A-AE5F-46B621778202}">
  <dimension ref="A1:P5001"/>
  <sheetViews>
    <sheetView topLeftCell="A2" workbookViewId="0">
      <selection activeCell="D25" sqref="D25"/>
    </sheetView>
  </sheetViews>
  <sheetFormatPr defaultRowHeight="14.4" x14ac:dyDescent="0.3"/>
  <cols>
    <col min="1" max="1" width="17.21875" bestFit="1" customWidth="1"/>
    <col min="2" max="2" width="8.33203125" bestFit="1" customWidth="1"/>
    <col min="3" max="3" width="11" bestFit="1" customWidth="1"/>
    <col min="4" max="4" width="52.6640625" bestFit="1" customWidth="1"/>
    <col min="5" max="5" width="15.44140625" bestFit="1" customWidth="1"/>
    <col min="6" max="6" width="20.109375" bestFit="1" customWidth="1"/>
    <col min="7" max="7" width="24.44140625" bestFit="1" customWidth="1"/>
    <col min="8" max="8" width="21.5546875" bestFit="1" customWidth="1"/>
    <col min="9" max="9" width="7.77734375" bestFit="1" customWidth="1"/>
    <col min="10" max="10" width="14.21875" bestFit="1" customWidth="1"/>
    <col min="11" max="11" width="14.109375" bestFit="1" customWidth="1"/>
    <col min="12" max="12" width="16" bestFit="1" customWidth="1"/>
    <col min="13" max="13" width="15.88671875" bestFit="1" customWidth="1"/>
    <col min="14" max="14" width="18.109375" bestFit="1" customWidth="1"/>
    <col min="15" max="15" width="16.44140625" bestFit="1" customWidth="1"/>
    <col min="16" max="16" width="52.6640625" bestFit="1" customWidth="1"/>
  </cols>
  <sheetData>
    <row r="1" spans="1:16" x14ac:dyDescent="0.3">
      <c r="A1" t="s">
        <v>0</v>
      </c>
      <c r="B1" t="s">
        <v>1</v>
      </c>
      <c r="C1" t="s">
        <v>2</v>
      </c>
      <c r="D1" t="s">
        <v>3</v>
      </c>
      <c r="E1" t="s">
        <v>4</v>
      </c>
      <c r="F1" t="s">
        <v>5</v>
      </c>
      <c r="G1" t="s">
        <v>6</v>
      </c>
      <c r="H1" t="s">
        <v>7</v>
      </c>
      <c r="I1" t="s">
        <v>8</v>
      </c>
      <c r="J1" t="s">
        <v>39</v>
      </c>
      <c r="K1" t="s">
        <v>38</v>
      </c>
      <c r="L1" t="s">
        <v>40</v>
      </c>
      <c r="M1" t="s">
        <v>41</v>
      </c>
      <c r="N1" t="s">
        <v>61</v>
      </c>
      <c r="O1" t="s">
        <v>62</v>
      </c>
      <c r="P1" t="s">
        <v>72</v>
      </c>
    </row>
    <row r="2" spans="1:16" x14ac:dyDescent="0.3">
      <c r="A2">
        <v>1</v>
      </c>
      <c r="B2" t="s">
        <v>9</v>
      </c>
      <c r="D2" t="s">
        <v>10</v>
      </c>
      <c r="E2" t="s">
        <v>11</v>
      </c>
      <c r="F2" t="s">
        <v>12</v>
      </c>
      <c r="G2" t="s">
        <v>13</v>
      </c>
      <c r="H2" t="s">
        <v>13</v>
      </c>
      <c r="I2">
        <v>42</v>
      </c>
      <c r="J2">
        <f>ABS((I2-EDA!$A$15)/EDA!$B$15)</f>
        <v>1.4403128587172659E-3</v>
      </c>
      <c r="K2" t="str">
        <f t="shared" ref="K2:K65" si="0">IF(J2 &gt;  1.96, "Sí","No")</f>
        <v>No</v>
      </c>
      <c r="L2">
        <f>ABS((C2-EDA!$F$15)/EDA!$G$15)</f>
        <v>0.3756539722078181</v>
      </c>
      <c r="M2" t="str">
        <f>IF(moras[[#This Row],[Z-Score Salario]]&gt;1.96, "Sí", "No")</f>
        <v>No</v>
      </c>
      <c r="N2" s="14">
        <f>IF(ISBLANK(moras[[#This Row],[SALARIO]]), EDA!$M$8, moras[[#This Row],[SALARIO]])</f>
        <v>639148</v>
      </c>
      <c r="O2" s="14">
        <f xml:space="preserve"> IF(ISBLANK(moras[[#This Row],[EDAD]]), EDA!$E$8, moras[[#This Row],[EDAD]])</f>
        <v>42</v>
      </c>
      <c r="P2" s="14" t="str">
        <f>IF(
    OR(ISBLANK(moras[[#This Row],[TIPO_ASEGURAMIENTO]]), moras[[#This Row],[TIPO_ASEGURAMIENTO]]=""),
    EDA!$A$32,
    moras[[#This Row],[TIPO_ASEGURAMIENTO]]
)</f>
        <v>ASALARIADO</v>
      </c>
    </row>
    <row r="3" spans="1:16" x14ac:dyDescent="0.3">
      <c r="A3">
        <v>2</v>
      </c>
      <c r="B3" t="s">
        <v>9</v>
      </c>
      <c r="C3">
        <v>3315014</v>
      </c>
      <c r="D3" t="s">
        <v>14</v>
      </c>
      <c r="E3" t="s">
        <v>11</v>
      </c>
      <c r="F3" t="s">
        <v>12</v>
      </c>
      <c r="G3" t="s">
        <v>13</v>
      </c>
      <c r="H3" t="s">
        <v>13</v>
      </c>
      <c r="I3">
        <v>77</v>
      </c>
      <c r="J3">
        <f>ABS((I3-EDA!$A$15)/EDA!$B$15)</f>
        <v>2.47157686555853</v>
      </c>
      <c r="K3" t="str">
        <f t="shared" si="0"/>
        <v>Sí</v>
      </c>
      <c r="L3">
        <f>ABS((C3-EDA!$F$15)/EDA!$G$15)</f>
        <v>0.32048979913900172</v>
      </c>
      <c r="M3" t="str">
        <f>IF(moras[[#This Row],[Z-Score Salario]]&gt;1.96, "Sí", "No")</f>
        <v>No</v>
      </c>
      <c r="N3" s="14">
        <f>IF(ISBLANK(moras[[#This Row],[SALARIO]]), EDA!$M$8, moras[[#This Row],[SALARIO]])</f>
        <v>3315014</v>
      </c>
      <c r="O3" s="14">
        <f xml:space="preserve"> IF(ISBLANK(moras[[#This Row],[EDAD]]), EDA!$E$8, moras[[#This Row],[EDAD]])</f>
        <v>77</v>
      </c>
      <c r="P3" s="14" t="str">
        <f>IF(
    OR(ISBLANK(moras[[#This Row],[TIPO_ASEGURAMIENTO]]), moras[[#This Row],[TIPO_ASEGURAMIENTO]]=""),
    EDA!$A$32,
    moras[[#This Row],[TIPO_ASEGURAMIENTO]]
)</f>
        <v>PENSIONADOS EN SU PROPIO SISTEMA</v>
      </c>
    </row>
    <row r="4" spans="1:16" x14ac:dyDescent="0.3">
      <c r="A4">
        <v>3</v>
      </c>
      <c r="B4" t="s">
        <v>15</v>
      </c>
      <c r="C4">
        <v>27048601</v>
      </c>
      <c r="D4" t="s">
        <v>10</v>
      </c>
      <c r="E4" t="s">
        <v>16</v>
      </c>
      <c r="F4" t="s">
        <v>12</v>
      </c>
      <c r="G4" t="s">
        <v>13</v>
      </c>
      <c r="H4" t="s">
        <v>13</v>
      </c>
      <c r="I4">
        <v>45</v>
      </c>
      <c r="J4">
        <f>ABS((I4-EDA!$A$15)/EDA!$B$15)</f>
        <v>0.21316630309012977</v>
      </c>
      <c r="K4" t="str">
        <f t="shared" si="0"/>
        <v>No</v>
      </c>
      <c r="L4">
        <f>ABS((C4-EDA!$F$15)/EDA!$G$15)</f>
        <v>7.4453842369544374E-2</v>
      </c>
      <c r="M4" t="str">
        <f>IF(moras[[#This Row],[Z-Score Salario]]&gt;1.96, "Sí", "No")</f>
        <v>No</v>
      </c>
      <c r="N4" s="14">
        <f>IF(ISBLANK(moras[[#This Row],[SALARIO]]), EDA!$M$8, moras[[#This Row],[SALARIO]])</f>
        <v>27048601</v>
      </c>
      <c r="O4" s="14">
        <f xml:space="preserve"> IF(ISBLANK(moras[[#This Row],[EDAD]]), EDA!$E$8, moras[[#This Row],[EDAD]])</f>
        <v>45</v>
      </c>
      <c r="P4" s="14" t="str">
        <f>IF(
    OR(ISBLANK(moras[[#This Row],[TIPO_ASEGURAMIENTO]]), moras[[#This Row],[TIPO_ASEGURAMIENTO]]=""),
    EDA!$A$32,
    moras[[#This Row],[TIPO_ASEGURAMIENTO]]
)</f>
        <v>ASALARIADO</v>
      </c>
    </row>
    <row r="5" spans="1:16" x14ac:dyDescent="0.3">
      <c r="A5">
        <v>4</v>
      </c>
      <c r="B5" t="s">
        <v>15</v>
      </c>
      <c r="C5">
        <v>54494983</v>
      </c>
      <c r="D5" t="s">
        <v>10</v>
      </c>
      <c r="E5" t="s">
        <v>16</v>
      </c>
      <c r="F5" t="s">
        <v>12</v>
      </c>
      <c r="G5" t="s">
        <v>13</v>
      </c>
      <c r="H5" t="s">
        <v>13</v>
      </c>
      <c r="I5">
        <v>49</v>
      </c>
      <c r="J5">
        <f>ABS((I5-EDA!$A$15)/EDA!$B$15)</f>
        <v>0.49546762339867978</v>
      </c>
      <c r="K5" t="str">
        <f t="shared" si="0"/>
        <v>No</v>
      </c>
      <c r="L5">
        <f>ABS((C5-EDA!$F$15)/EDA!$G$15)</f>
        <v>0.53118101358536651</v>
      </c>
      <c r="M5" t="str">
        <f>IF(moras[[#This Row],[Z-Score Salario]]&gt;1.96, "Sí", "No")</f>
        <v>No</v>
      </c>
      <c r="N5" s="14">
        <f>IF(ISBLANK(moras[[#This Row],[SALARIO]]), EDA!$M$8, moras[[#This Row],[SALARIO]])</f>
        <v>54494983</v>
      </c>
      <c r="O5" s="14">
        <f xml:space="preserve"> IF(ISBLANK(moras[[#This Row],[EDAD]]), EDA!$E$8, moras[[#This Row],[EDAD]])</f>
        <v>49</v>
      </c>
      <c r="P5" s="14" t="str">
        <f>IF(
    OR(ISBLANK(moras[[#This Row],[TIPO_ASEGURAMIENTO]]), moras[[#This Row],[TIPO_ASEGURAMIENTO]]=""),
    EDA!$A$32,
    moras[[#This Row],[TIPO_ASEGURAMIENTO]]
)</f>
        <v>ASALARIADO</v>
      </c>
    </row>
    <row r="6" spans="1:16" x14ac:dyDescent="0.3">
      <c r="A6">
        <v>5</v>
      </c>
      <c r="B6" t="s">
        <v>15</v>
      </c>
      <c r="C6">
        <v>210000</v>
      </c>
      <c r="D6" t="s">
        <v>10</v>
      </c>
      <c r="E6" t="s">
        <v>16</v>
      </c>
      <c r="F6" t="s">
        <v>12</v>
      </c>
      <c r="G6" t="s">
        <v>13</v>
      </c>
      <c r="H6" t="s">
        <v>13</v>
      </c>
      <c r="I6">
        <v>42</v>
      </c>
      <c r="J6">
        <f>ABS((I6-EDA!$A$15)/EDA!$B$15)</f>
        <v>1.4403128587172659E-3</v>
      </c>
      <c r="K6" t="str">
        <f t="shared" si="0"/>
        <v>No</v>
      </c>
      <c r="L6">
        <f>ABS((C6-EDA!$F$15)/EDA!$G$15)</f>
        <v>0.37215942396625667</v>
      </c>
      <c r="M6" t="str">
        <f>IF(moras[[#This Row],[Z-Score Salario]]&gt;1.96, "Sí", "No")</f>
        <v>No</v>
      </c>
      <c r="N6" s="14">
        <f>IF(ISBLANK(moras[[#This Row],[SALARIO]]), EDA!$M$8, moras[[#This Row],[SALARIO]])</f>
        <v>210000</v>
      </c>
      <c r="O6" s="14">
        <f xml:space="preserve"> IF(ISBLANK(moras[[#This Row],[EDAD]]), EDA!$E$8, moras[[#This Row],[EDAD]])</f>
        <v>42</v>
      </c>
      <c r="P6" s="14" t="str">
        <f>IF(
    OR(ISBLANK(moras[[#This Row],[TIPO_ASEGURAMIENTO]]), moras[[#This Row],[TIPO_ASEGURAMIENTO]]=""),
    EDA!$A$32,
    moras[[#This Row],[TIPO_ASEGURAMIENTO]]
)</f>
        <v>ASALARIADO</v>
      </c>
    </row>
    <row r="7" spans="1:16" x14ac:dyDescent="0.3">
      <c r="A7">
        <v>6</v>
      </c>
      <c r="B7" t="s">
        <v>9</v>
      </c>
      <c r="C7">
        <v>397150</v>
      </c>
      <c r="D7" t="s">
        <v>10</v>
      </c>
      <c r="E7" t="s">
        <v>16</v>
      </c>
      <c r="F7" t="s">
        <v>12</v>
      </c>
      <c r="G7" t="s">
        <v>13</v>
      </c>
      <c r="H7" t="s">
        <v>13</v>
      </c>
      <c r="I7">
        <v>44</v>
      </c>
      <c r="J7">
        <f>ABS((I7-EDA!$A$15)/EDA!$B$15)</f>
        <v>0.14259097301299228</v>
      </c>
      <c r="K7" t="str">
        <f t="shared" si="0"/>
        <v>No</v>
      </c>
      <c r="L7">
        <f>ABS((C7-EDA!$F$15)/EDA!$G$15)</f>
        <v>0.369045115854789</v>
      </c>
      <c r="M7" t="str">
        <f>IF(moras[[#This Row],[Z-Score Salario]]&gt;1.96, "Sí", "No")</f>
        <v>No</v>
      </c>
      <c r="N7" s="14">
        <f>IF(ISBLANK(moras[[#This Row],[SALARIO]]), EDA!$M$8, moras[[#This Row],[SALARIO]])</f>
        <v>397150</v>
      </c>
      <c r="O7" s="14">
        <f xml:space="preserve"> IF(ISBLANK(moras[[#This Row],[EDAD]]), EDA!$E$8, moras[[#This Row],[EDAD]])</f>
        <v>44</v>
      </c>
      <c r="P7" s="14" t="str">
        <f>IF(
    OR(ISBLANK(moras[[#This Row],[TIPO_ASEGURAMIENTO]]), moras[[#This Row],[TIPO_ASEGURAMIENTO]]=""),
    EDA!$A$32,
    moras[[#This Row],[TIPO_ASEGURAMIENTO]]
)</f>
        <v>ASALARIADO</v>
      </c>
    </row>
    <row r="8" spans="1:16" x14ac:dyDescent="0.3">
      <c r="A8">
        <v>7</v>
      </c>
      <c r="B8" t="s">
        <v>9</v>
      </c>
      <c r="C8">
        <v>854712</v>
      </c>
      <c r="D8" t="s">
        <v>10</v>
      </c>
      <c r="E8" t="s">
        <v>16</v>
      </c>
      <c r="F8" t="s">
        <v>12</v>
      </c>
      <c r="G8" t="s">
        <v>13</v>
      </c>
      <c r="H8" t="s">
        <v>13</v>
      </c>
      <c r="I8">
        <v>38</v>
      </c>
      <c r="J8">
        <f>ABS((I8-EDA!$A$15)/EDA!$B$15)</f>
        <v>0.28086100744983278</v>
      </c>
      <c r="K8" t="str">
        <f t="shared" si="0"/>
        <v>No</v>
      </c>
      <c r="L8">
        <f>ABS((C8-EDA!$F$15)/EDA!$G$15)</f>
        <v>0.36143096117619222</v>
      </c>
      <c r="M8" t="str">
        <f>IF(moras[[#This Row],[Z-Score Salario]]&gt;1.96, "Sí", "No")</f>
        <v>No</v>
      </c>
      <c r="N8" s="14">
        <f>IF(ISBLANK(moras[[#This Row],[SALARIO]]), EDA!$M$8, moras[[#This Row],[SALARIO]])</f>
        <v>854712</v>
      </c>
      <c r="O8" s="14">
        <f xml:space="preserve"> IF(ISBLANK(moras[[#This Row],[EDAD]]), EDA!$E$8, moras[[#This Row],[EDAD]])</f>
        <v>38</v>
      </c>
      <c r="P8" s="14" t="str">
        <f>IF(
    OR(ISBLANK(moras[[#This Row],[TIPO_ASEGURAMIENTO]]), moras[[#This Row],[TIPO_ASEGURAMIENTO]]=""),
    EDA!$A$32,
    moras[[#This Row],[TIPO_ASEGURAMIENTO]]
)</f>
        <v>ASALARIADO</v>
      </c>
    </row>
    <row r="9" spans="1:16" x14ac:dyDescent="0.3">
      <c r="A9">
        <v>8</v>
      </c>
      <c r="B9" t="s">
        <v>9</v>
      </c>
      <c r="C9">
        <v>401000</v>
      </c>
      <c r="D9" t="s">
        <v>10</v>
      </c>
      <c r="E9" t="s">
        <v>16</v>
      </c>
      <c r="F9" t="s">
        <v>12</v>
      </c>
      <c r="G9" t="s">
        <v>12</v>
      </c>
      <c r="H9" t="s">
        <v>12</v>
      </c>
      <c r="I9">
        <v>36</v>
      </c>
      <c r="J9">
        <f>ABS((I9-EDA!$A$15)/EDA!$B$15)</f>
        <v>0.42201166760410774</v>
      </c>
      <c r="K9" t="str">
        <f t="shared" si="0"/>
        <v>No</v>
      </c>
      <c r="L9">
        <f>ABS((C9-EDA!$F$15)/EDA!$G$15)</f>
        <v>0.36898104913702706</v>
      </c>
      <c r="M9" t="str">
        <f>IF(moras[[#This Row],[Z-Score Salario]]&gt;1.96, "Sí", "No")</f>
        <v>No</v>
      </c>
      <c r="N9" s="14">
        <f>IF(ISBLANK(moras[[#This Row],[SALARIO]]), EDA!$M$8, moras[[#This Row],[SALARIO]])</f>
        <v>401000</v>
      </c>
      <c r="O9" s="14">
        <f xml:space="preserve"> IF(ISBLANK(moras[[#This Row],[EDAD]]), EDA!$E$8, moras[[#This Row],[EDAD]])</f>
        <v>36</v>
      </c>
      <c r="P9" s="14" t="str">
        <f>IF(
    OR(ISBLANK(moras[[#This Row],[TIPO_ASEGURAMIENTO]]), moras[[#This Row],[TIPO_ASEGURAMIENTO]]=""),
    EDA!$A$32,
    moras[[#This Row],[TIPO_ASEGURAMIENTO]]
)</f>
        <v>ASALARIADO</v>
      </c>
    </row>
    <row r="10" spans="1:16" x14ac:dyDescent="0.3">
      <c r="A10">
        <v>9</v>
      </c>
      <c r="B10" t="s">
        <v>15</v>
      </c>
      <c r="C10">
        <v>26470396</v>
      </c>
      <c r="D10" t="s">
        <v>10</v>
      </c>
      <c r="E10" t="s">
        <v>16</v>
      </c>
      <c r="F10" t="s">
        <v>12</v>
      </c>
      <c r="G10" t="s">
        <v>13</v>
      </c>
      <c r="H10" t="s">
        <v>13</v>
      </c>
      <c r="I10">
        <v>21</v>
      </c>
      <c r="J10">
        <f>ABS((I10-EDA!$A$15)/EDA!$B$15)</f>
        <v>1.4806416187611704</v>
      </c>
      <c r="K10" t="str">
        <f t="shared" si="0"/>
        <v>No</v>
      </c>
      <c r="L10">
        <f>ABS((C10-EDA!$F$15)/EDA!$G$15)</f>
        <v>6.4832103007582409E-2</v>
      </c>
      <c r="M10" t="str">
        <f>IF(moras[[#This Row],[Z-Score Salario]]&gt;1.96, "Sí", "No")</f>
        <v>No</v>
      </c>
      <c r="N10" s="14">
        <f>IF(ISBLANK(moras[[#This Row],[SALARIO]]), EDA!$M$8, moras[[#This Row],[SALARIO]])</f>
        <v>26470396</v>
      </c>
      <c r="O10" s="14">
        <f xml:space="preserve"> IF(ISBLANK(moras[[#This Row],[EDAD]]), EDA!$E$8, moras[[#This Row],[EDAD]])</f>
        <v>21</v>
      </c>
      <c r="P10" s="14" t="str">
        <f>IF(
    OR(ISBLANK(moras[[#This Row],[TIPO_ASEGURAMIENTO]]), moras[[#This Row],[TIPO_ASEGURAMIENTO]]=""),
    EDA!$A$32,
    moras[[#This Row],[TIPO_ASEGURAMIENTO]]
)</f>
        <v>ASALARIADO</v>
      </c>
    </row>
    <row r="11" spans="1:16" x14ac:dyDescent="0.3">
      <c r="A11">
        <v>10</v>
      </c>
      <c r="B11" t="s">
        <v>9</v>
      </c>
      <c r="C11">
        <v>467712685</v>
      </c>
      <c r="D11" t="s">
        <v>10</v>
      </c>
      <c r="E11" t="s">
        <v>16</v>
      </c>
      <c r="F11" t="s">
        <v>12</v>
      </c>
      <c r="G11" t="s">
        <v>13</v>
      </c>
      <c r="H11" t="s">
        <v>13</v>
      </c>
      <c r="I11">
        <v>40</v>
      </c>
      <c r="J11">
        <f>ABS((I11-EDA!$A$15)/EDA!$B$15)</f>
        <v>0.13971034729555773</v>
      </c>
      <c r="K11" t="str">
        <f t="shared" si="0"/>
        <v>No</v>
      </c>
      <c r="L11">
        <f>ABS((C11-EDA!$F$15)/EDA!$G$15)</f>
        <v>7.4074152702812981</v>
      </c>
      <c r="M11" t="str">
        <f>IF(moras[[#This Row],[Z-Score Salario]]&gt;1.96, "Sí", "No")</f>
        <v>Sí</v>
      </c>
      <c r="N11" s="14">
        <f>IF(ISBLANK(moras[[#This Row],[SALARIO]]), EDA!$M$8, moras[[#This Row],[SALARIO]])</f>
        <v>467712685</v>
      </c>
      <c r="O11" s="14">
        <f xml:space="preserve"> IF(ISBLANK(moras[[#This Row],[EDAD]]), EDA!$E$8, moras[[#This Row],[EDAD]])</f>
        <v>40</v>
      </c>
      <c r="P11" s="14" t="str">
        <f>IF(
    OR(ISBLANK(moras[[#This Row],[TIPO_ASEGURAMIENTO]]), moras[[#This Row],[TIPO_ASEGURAMIENTO]]=""),
    EDA!$A$32,
    moras[[#This Row],[TIPO_ASEGURAMIENTO]]
)</f>
        <v>ASALARIADO</v>
      </c>
    </row>
    <row r="12" spans="1:16" x14ac:dyDescent="0.3">
      <c r="A12">
        <v>11</v>
      </c>
      <c r="B12" t="s">
        <v>15</v>
      </c>
      <c r="C12">
        <v>1200000</v>
      </c>
      <c r="D12" t="s">
        <v>10</v>
      </c>
      <c r="E12" t="s">
        <v>16</v>
      </c>
      <c r="F12" t="s">
        <v>12</v>
      </c>
      <c r="G12" t="s">
        <v>13</v>
      </c>
      <c r="H12" t="s">
        <v>13</v>
      </c>
      <c r="I12">
        <v>30</v>
      </c>
      <c r="J12">
        <f>ABS((I12-EDA!$A$15)/EDA!$B$15)</f>
        <v>0.84546364806693275</v>
      </c>
      <c r="K12" t="str">
        <f t="shared" si="0"/>
        <v>No</v>
      </c>
      <c r="L12">
        <f>ABS((C12-EDA!$F$15)/EDA!$G$15)</f>
        <v>0.35568512511318151</v>
      </c>
      <c r="M12" t="str">
        <f>IF(moras[[#This Row],[Z-Score Salario]]&gt;1.96, "Sí", "No")</f>
        <v>No</v>
      </c>
      <c r="N12" s="14">
        <f>IF(ISBLANK(moras[[#This Row],[SALARIO]]), EDA!$M$8, moras[[#This Row],[SALARIO]])</f>
        <v>1200000</v>
      </c>
      <c r="O12" s="14">
        <f xml:space="preserve"> IF(ISBLANK(moras[[#This Row],[EDAD]]), EDA!$E$8, moras[[#This Row],[EDAD]])</f>
        <v>30</v>
      </c>
      <c r="P12" s="14" t="str">
        <f>IF(
    OR(ISBLANK(moras[[#This Row],[TIPO_ASEGURAMIENTO]]), moras[[#This Row],[TIPO_ASEGURAMIENTO]]=""),
    EDA!$A$32,
    moras[[#This Row],[TIPO_ASEGURAMIENTO]]
)</f>
        <v>ASALARIADO</v>
      </c>
    </row>
    <row r="13" spans="1:16" x14ac:dyDescent="0.3">
      <c r="A13">
        <v>12</v>
      </c>
      <c r="B13" t="s">
        <v>15</v>
      </c>
      <c r="C13">
        <v>1030132</v>
      </c>
      <c r="D13" t="s">
        <v>10</v>
      </c>
      <c r="E13" t="s">
        <v>11</v>
      </c>
      <c r="F13" t="s">
        <v>12</v>
      </c>
      <c r="G13" t="s">
        <v>13</v>
      </c>
      <c r="H13" t="s">
        <v>12</v>
      </c>
      <c r="I13">
        <v>58</v>
      </c>
      <c r="J13">
        <f>ABS((I13-EDA!$A$15)/EDA!$B$15)</f>
        <v>1.1306455940929174</v>
      </c>
      <c r="K13" t="str">
        <f t="shared" si="0"/>
        <v>No</v>
      </c>
      <c r="L13">
        <f>ABS((C13-EDA!$F$15)/EDA!$G$15)</f>
        <v>0.35851184854507462</v>
      </c>
      <c r="M13" t="str">
        <f>IF(moras[[#This Row],[Z-Score Salario]]&gt;1.96, "Sí", "No")</f>
        <v>No</v>
      </c>
      <c r="N13" s="14">
        <f>IF(ISBLANK(moras[[#This Row],[SALARIO]]), EDA!$M$8, moras[[#This Row],[SALARIO]])</f>
        <v>1030132</v>
      </c>
      <c r="O13" s="14">
        <f xml:space="preserve"> IF(ISBLANK(moras[[#This Row],[EDAD]]), EDA!$E$8, moras[[#This Row],[EDAD]])</f>
        <v>58</v>
      </c>
      <c r="P13" s="14" t="str">
        <f>IF(
    OR(ISBLANK(moras[[#This Row],[TIPO_ASEGURAMIENTO]]), moras[[#This Row],[TIPO_ASEGURAMIENTO]]=""),
    EDA!$A$32,
    moras[[#This Row],[TIPO_ASEGURAMIENTO]]
)</f>
        <v>ASALARIADO</v>
      </c>
    </row>
    <row r="14" spans="1:16" x14ac:dyDescent="0.3">
      <c r="A14">
        <v>13</v>
      </c>
      <c r="B14" t="s">
        <v>9</v>
      </c>
      <c r="C14">
        <v>7312875</v>
      </c>
      <c r="D14" t="s">
        <v>10</v>
      </c>
      <c r="E14" t="s">
        <v>11</v>
      </c>
      <c r="F14" t="s">
        <v>12</v>
      </c>
      <c r="G14" t="s">
        <v>13</v>
      </c>
      <c r="H14" t="s">
        <v>13</v>
      </c>
      <c r="I14">
        <v>40</v>
      </c>
      <c r="J14">
        <f>ABS((I14-EDA!$A$15)/EDA!$B$15)</f>
        <v>0.13971034729555773</v>
      </c>
      <c r="K14" t="str">
        <f t="shared" si="0"/>
        <v>No</v>
      </c>
      <c r="L14">
        <f>ABS((C14-EDA!$F$15)/EDA!$G$15)</f>
        <v>0.2539625699601592</v>
      </c>
      <c r="M14" t="str">
        <f>IF(moras[[#This Row],[Z-Score Salario]]&gt;1.96, "Sí", "No")</f>
        <v>No</v>
      </c>
      <c r="N14" s="14">
        <f>IF(ISBLANK(moras[[#This Row],[SALARIO]]), EDA!$M$8, moras[[#This Row],[SALARIO]])</f>
        <v>7312875</v>
      </c>
      <c r="O14" s="14">
        <f xml:space="preserve"> IF(ISBLANK(moras[[#This Row],[EDAD]]), EDA!$E$8, moras[[#This Row],[EDAD]])</f>
        <v>40</v>
      </c>
      <c r="P14" s="14" t="str">
        <f>IF(
    OR(ISBLANK(moras[[#This Row],[TIPO_ASEGURAMIENTO]]), moras[[#This Row],[TIPO_ASEGURAMIENTO]]=""),
    EDA!$A$32,
    moras[[#This Row],[TIPO_ASEGURAMIENTO]]
)</f>
        <v>ASALARIADO</v>
      </c>
    </row>
    <row r="15" spans="1:16" x14ac:dyDescent="0.3">
      <c r="A15">
        <v>14</v>
      </c>
      <c r="B15" t="s">
        <v>9</v>
      </c>
      <c r="C15">
        <v>282305</v>
      </c>
      <c r="D15" t="s">
        <v>17</v>
      </c>
      <c r="E15" t="s">
        <v>16</v>
      </c>
      <c r="F15" t="s">
        <v>12</v>
      </c>
      <c r="G15" t="s">
        <v>13</v>
      </c>
      <c r="H15" t="s">
        <v>13</v>
      </c>
      <c r="I15">
        <v>51</v>
      </c>
      <c r="J15">
        <f>ABS((I15-EDA!$A$15)/EDA!$B$15)</f>
        <v>0.6366182835529548</v>
      </c>
      <c r="K15" t="str">
        <f t="shared" si="0"/>
        <v>No</v>
      </c>
      <c r="L15">
        <f>ABS((C15-EDA!$F$15)/EDA!$G$15)</f>
        <v>0.37095621772527526</v>
      </c>
      <c r="M15" t="str">
        <f>IF(moras[[#This Row],[Z-Score Salario]]&gt;1.96, "Sí", "No")</f>
        <v>No</v>
      </c>
      <c r="N15" s="14">
        <f>IF(ISBLANK(moras[[#This Row],[SALARIO]]), EDA!$M$8, moras[[#This Row],[SALARIO]])</f>
        <v>282305</v>
      </c>
      <c r="O15" s="14">
        <f xml:space="preserve"> IF(ISBLANK(moras[[#This Row],[EDAD]]), EDA!$E$8, moras[[#This Row],[EDAD]])</f>
        <v>51</v>
      </c>
      <c r="P15" s="14" t="str">
        <f>IF(
    OR(ISBLANK(moras[[#This Row],[TIPO_ASEGURAMIENTO]]), moras[[#This Row],[TIPO_ASEGURAMIENTO]]=""),
    EDA!$A$32,
    moras[[#This Row],[TIPO_ASEGURAMIENTO]]
)</f>
        <v>ASEGURADO VOLUNTARIO</v>
      </c>
    </row>
    <row r="16" spans="1:16" x14ac:dyDescent="0.3">
      <c r="A16">
        <v>15</v>
      </c>
      <c r="B16" t="s">
        <v>15</v>
      </c>
      <c r="C16">
        <v>34339086</v>
      </c>
      <c r="D16" t="s">
        <v>18</v>
      </c>
      <c r="E16" t="s">
        <v>16</v>
      </c>
      <c r="F16" t="s">
        <v>12</v>
      </c>
      <c r="G16" t="s">
        <v>13</v>
      </c>
      <c r="H16" t="s">
        <v>13</v>
      </c>
      <c r="I16">
        <v>59</v>
      </c>
      <c r="J16">
        <f>ABS((I16-EDA!$A$15)/EDA!$B$15)</f>
        <v>1.2012209241700549</v>
      </c>
      <c r="K16" t="str">
        <f t="shared" si="0"/>
        <v>No</v>
      </c>
      <c r="L16">
        <f>ABS((C16-EDA!$F$15)/EDA!$G$15)</f>
        <v>0.19577265921182921</v>
      </c>
      <c r="M16" t="str">
        <f>IF(moras[[#This Row],[Z-Score Salario]]&gt;1.96, "Sí", "No")</f>
        <v>No</v>
      </c>
      <c r="N16" s="14">
        <f>IF(ISBLANK(moras[[#This Row],[SALARIO]]), EDA!$M$8, moras[[#This Row],[SALARIO]])</f>
        <v>34339086</v>
      </c>
      <c r="O16" s="14">
        <f xml:space="preserve"> IF(ISBLANK(moras[[#This Row],[EDAD]]), EDA!$E$8, moras[[#This Row],[EDAD]])</f>
        <v>59</v>
      </c>
      <c r="P16" s="14" t="str">
        <f>IF(
    OR(ISBLANK(moras[[#This Row],[TIPO_ASEGURAMIENTO]]), moras[[#This Row],[TIPO_ASEGURAMIENTO]]=""),
    EDA!$A$32,
    moras[[#This Row],[TIPO_ASEGURAMIENTO]]
)</f>
        <v>TRABAJADOR INDEPENDIENTE</v>
      </c>
    </row>
    <row r="17" spans="1:16" x14ac:dyDescent="0.3">
      <c r="A17">
        <v>16</v>
      </c>
      <c r="B17" t="s">
        <v>15</v>
      </c>
      <c r="C17">
        <v>19434895</v>
      </c>
      <c r="D17" t="s">
        <v>10</v>
      </c>
      <c r="E17" t="s">
        <v>11</v>
      </c>
      <c r="F17" t="s">
        <v>12</v>
      </c>
      <c r="G17" t="s">
        <v>13</v>
      </c>
      <c r="H17" t="s">
        <v>13</v>
      </c>
      <c r="I17">
        <v>58</v>
      </c>
      <c r="J17">
        <f>ABS((I17-EDA!$A$15)/EDA!$B$15)</f>
        <v>1.1306455940929174</v>
      </c>
      <c r="K17" t="str">
        <f t="shared" si="0"/>
        <v>No</v>
      </c>
      <c r="L17">
        <f>ABS((C17-EDA!$F$15)/EDA!$G$15)</f>
        <v>5.224360007838675E-2</v>
      </c>
      <c r="M17" t="str">
        <f>IF(moras[[#This Row],[Z-Score Salario]]&gt;1.96, "Sí", "No")</f>
        <v>No</v>
      </c>
      <c r="N17" s="14">
        <f>IF(ISBLANK(moras[[#This Row],[SALARIO]]), EDA!$M$8, moras[[#This Row],[SALARIO]])</f>
        <v>19434895</v>
      </c>
      <c r="O17" s="14">
        <f xml:space="preserve"> IF(ISBLANK(moras[[#This Row],[EDAD]]), EDA!$E$8, moras[[#This Row],[EDAD]])</f>
        <v>58</v>
      </c>
      <c r="P17" s="14" t="str">
        <f>IF(
    OR(ISBLANK(moras[[#This Row],[TIPO_ASEGURAMIENTO]]), moras[[#This Row],[TIPO_ASEGURAMIENTO]]=""),
    EDA!$A$32,
    moras[[#This Row],[TIPO_ASEGURAMIENTO]]
)</f>
        <v>ASALARIADO</v>
      </c>
    </row>
    <row r="18" spans="1:16" x14ac:dyDescent="0.3">
      <c r="A18">
        <v>17</v>
      </c>
      <c r="B18" t="s">
        <v>15</v>
      </c>
      <c r="C18">
        <v>1108980</v>
      </c>
      <c r="D18" t="s">
        <v>10</v>
      </c>
      <c r="E18" t="s">
        <v>11</v>
      </c>
      <c r="F18" t="s">
        <v>12</v>
      </c>
      <c r="G18" t="s">
        <v>13</v>
      </c>
      <c r="H18" t="s">
        <v>12</v>
      </c>
      <c r="I18">
        <v>36</v>
      </c>
      <c r="J18">
        <f>ABS((I18-EDA!$A$15)/EDA!$B$15)</f>
        <v>0.42201166760410774</v>
      </c>
      <c r="K18" t="str">
        <f t="shared" si="0"/>
        <v>No</v>
      </c>
      <c r="L18">
        <f>ABS((C18-EDA!$F$15)/EDA!$G$15)</f>
        <v>0.35719976216530969</v>
      </c>
      <c r="M18" t="str">
        <f>IF(moras[[#This Row],[Z-Score Salario]]&gt;1.96, "Sí", "No")</f>
        <v>No</v>
      </c>
      <c r="N18" s="14">
        <f>IF(ISBLANK(moras[[#This Row],[SALARIO]]), EDA!$M$8, moras[[#This Row],[SALARIO]])</f>
        <v>1108980</v>
      </c>
      <c r="O18" s="14">
        <f xml:space="preserve"> IF(ISBLANK(moras[[#This Row],[EDAD]]), EDA!$E$8, moras[[#This Row],[EDAD]])</f>
        <v>36</v>
      </c>
      <c r="P18" s="14" t="str">
        <f>IF(
    OR(ISBLANK(moras[[#This Row],[TIPO_ASEGURAMIENTO]]), moras[[#This Row],[TIPO_ASEGURAMIENTO]]=""),
    EDA!$A$32,
    moras[[#This Row],[TIPO_ASEGURAMIENTO]]
)</f>
        <v>ASALARIADO</v>
      </c>
    </row>
    <row r="19" spans="1:16" x14ac:dyDescent="0.3">
      <c r="A19">
        <v>18</v>
      </c>
      <c r="B19" t="s">
        <v>15</v>
      </c>
      <c r="C19">
        <v>133157</v>
      </c>
      <c r="D19" t="s">
        <v>10</v>
      </c>
      <c r="E19" t="s">
        <v>16</v>
      </c>
      <c r="F19" t="s">
        <v>12</v>
      </c>
      <c r="G19" t="s">
        <v>13</v>
      </c>
      <c r="H19" t="s">
        <v>13</v>
      </c>
      <c r="I19">
        <v>39</v>
      </c>
      <c r="J19">
        <f>ABS((I19-EDA!$A$15)/EDA!$B$15)</f>
        <v>0.21028567737269524</v>
      </c>
      <c r="K19" t="str">
        <f t="shared" si="0"/>
        <v>No</v>
      </c>
      <c r="L19">
        <f>ABS((C19-EDA!$F$15)/EDA!$G$15)</f>
        <v>0.37343814573066769</v>
      </c>
      <c r="M19" t="str">
        <f>IF(moras[[#This Row],[Z-Score Salario]]&gt;1.96, "Sí", "No")</f>
        <v>No</v>
      </c>
      <c r="N19" s="14">
        <f>IF(ISBLANK(moras[[#This Row],[SALARIO]]), EDA!$M$8, moras[[#This Row],[SALARIO]])</f>
        <v>133157</v>
      </c>
      <c r="O19" s="14">
        <f xml:space="preserve"> IF(ISBLANK(moras[[#This Row],[EDAD]]), EDA!$E$8, moras[[#This Row],[EDAD]])</f>
        <v>39</v>
      </c>
      <c r="P19" s="14" t="str">
        <f>IF(
    OR(ISBLANK(moras[[#This Row],[TIPO_ASEGURAMIENTO]]), moras[[#This Row],[TIPO_ASEGURAMIENTO]]=""),
    EDA!$A$32,
    moras[[#This Row],[TIPO_ASEGURAMIENTO]]
)</f>
        <v>ASALARIADO</v>
      </c>
    </row>
    <row r="20" spans="1:16" x14ac:dyDescent="0.3">
      <c r="A20">
        <v>19</v>
      </c>
      <c r="B20" t="s">
        <v>9</v>
      </c>
      <c r="C20">
        <v>553939</v>
      </c>
      <c r="D20" t="s">
        <v>10</v>
      </c>
      <c r="E20" t="s">
        <v>16</v>
      </c>
      <c r="F20" t="s">
        <v>12</v>
      </c>
      <c r="G20" t="s">
        <v>13</v>
      </c>
      <c r="H20" t="s">
        <v>13</v>
      </c>
      <c r="I20">
        <v>45</v>
      </c>
      <c r="J20">
        <f>ABS((I20-EDA!$A$15)/EDA!$B$15)</f>
        <v>0.21316630309012977</v>
      </c>
      <c r="K20" t="str">
        <f t="shared" si="0"/>
        <v>No</v>
      </c>
      <c r="L20">
        <f>ABS((C20-EDA!$F$15)/EDA!$G$15)</f>
        <v>0.36643603621552151</v>
      </c>
      <c r="M20" t="str">
        <f>IF(moras[[#This Row],[Z-Score Salario]]&gt;1.96, "Sí", "No")</f>
        <v>No</v>
      </c>
      <c r="N20" s="14">
        <f>IF(ISBLANK(moras[[#This Row],[SALARIO]]), EDA!$M$8, moras[[#This Row],[SALARIO]])</f>
        <v>553939</v>
      </c>
      <c r="O20" s="14">
        <f xml:space="preserve"> IF(ISBLANK(moras[[#This Row],[EDAD]]), EDA!$E$8, moras[[#This Row],[EDAD]])</f>
        <v>45</v>
      </c>
      <c r="P20" s="14" t="str">
        <f>IF(
    OR(ISBLANK(moras[[#This Row],[TIPO_ASEGURAMIENTO]]), moras[[#This Row],[TIPO_ASEGURAMIENTO]]=""),
    EDA!$A$32,
    moras[[#This Row],[TIPO_ASEGURAMIENTO]]
)</f>
        <v>ASALARIADO</v>
      </c>
    </row>
    <row r="21" spans="1:16" x14ac:dyDescent="0.3">
      <c r="A21">
        <v>20</v>
      </c>
      <c r="B21" t="s">
        <v>15</v>
      </c>
      <c r="C21">
        <v>309820</v>
      </c>
      <c r="D21" t="s">
        <v>17</v>
      </c>
      <c r="E21" t="s">
        <v>16</v>
      </c>
      <c r="F21" t="s">
        <v>12</v>
      </c>
      <c r="G21" t="s">
        <v>12</v>
      </c>
      <c r="H21" t="s">
        <v>12</v>
      </c>
      <c r="I21">
        <v>52</v>
      </c>
      <c r="J21">
        <f>ABS((I21-EDA!$A$15)/EDA!$B$15)</f>
        <v>0.70719361363009237</v>
      </c>
      <c r="K21" t="str">
        <f t="shared" si="0"/>
        <v>No</v>
      </c>
      <c r="L21">
        <f>ABS((C21-EDA!$F$15)/EDA!$G$15)</f>
        <v>0.37049834870210119</v>
      </c>
      <c r="M21" t="str">
        <f>IF(moras[[#This Row],[Z-Score Salario]]&gt;1.96, "Sí", "No")</f>
        <v>No</v>
      </c>
      <c r="N21" s="14">
        <f>IF(ISBLANK(moras[[#This Row],[SALARIO]]), EDA!$M$8, moras[[#This Row],[SALARIO]])</f>
        <v>309820</v>
      </c>
      <c r="O21" s="14">
        <f xml:space="preserve"> IF(ISBLANK(moras[[#This Row],[EDAD]]), EDA!$E$8, moras[[#This Row],[EDAD]])</f>
        <v>52</v>
      </c>
      <c r="P21" s="14" t="str">
        <f>IF(
    OR(ISBLANK(moras[[#This Row],[TIPO_ASEGURAMIENTO]]), moras[[#This Row],[TIPO_ASEGURAMIENTO]]=""),
    EDA!$A$32,
    moras[[#This Row],[TIPO_ASEGURAMIENTO]]
)</f>
        <v>ASEGURADO VOLUNTARIO</v>
      </c>
    </row>
    <row r="22" spans="1:16" x14ac:dyDescent="0.3">
      <c r="A22">
        <v>21</v>
      </c>
      <c r="B22" t="s">
        <v>15</v>
      </c>
      <c r="D22" t="s">
        <v>10</v>
      </c>
      <c r="E22" t="s">
        <v>16</v>
      </c>
      <c r="F22" t="s">
        <v>12</v>
      </c>
      <c r="G22" t="s">
        <v>12</v>
      </c>
      <c r="H22" t="s">
        <v>13</v>
      </c>
      <c r="I22">
        <v>28</v>
      </c>
      <c r="J22">
        <f>ABS((I22-EDA!$A$15)/EDA!$B$15)</f>
        <v>0.98661430822120777</v>
      </c>
      <c r="K22" t="str">
        <f t="shared" si="0"/>
        <v>No</v>
      </c>
      <c r="L22">
        <f>ABS((C22-EDA!$F$15)/EDA!$G$15)</f>
        <v>0.3756539722078181</v>
      </c>
      <c r="M22" t="str">
        <f>IF(moras[[#This Row],[Z-Score Salario]]&gt;1.96, "Sí", "No")</f>
        <v>No</v>
      </c>
      <c r="N22" s="14">
        <f>IF(ISBLANK(moras[[#This Row],[SALARIO]]), EDA!$M$8, moras[[#This Row],[SALARIO]])</f>
        <v>639148</v>
      </c>
      <c r="O22" s="14">
        <f xml:space="preserve"> IF(ISBLANK(moras[[#This Row],[EDAD]]), EDA!$E$8, moras[[#This Row],[EDAD]])</f>
        <v>28</v>
      </c>
      <c r="P22" s="14" t="str">
        <f>IF(
    OR(ISBLANK(moras[[#This Row],[TIPO_ASEGURAMIENTO]]), moras[[#This Row],[TIPO_ASEGURAMIENTO]]=""),
    EDA!$A$32,
    moras[[#This Row],[TIPO_ASEGURAMIENTO]]
)</f>
        <v>ASALARIADO</v>
      </c>
    </row>
    <row r="23" spans="1:16" x14ac:dyDescent="0.3">
      <c r="A23">
        <v>22</v>
      </c>
      <c r="B23" t="s">
        <v>9</v>
      </c>
      <c r="C23">
        <v>278030</v>
      </c>
      <c r="D23" t="s">
        <v>19</v>
      </c>
      <c r="E23" t="s">
        <v>16</v>
      </c>
      <c r="F23" t="s">
        <v>12</v>
      </c>
      <c r="G23" t="s">
        <v>13</v>
      </c>
      <c r="H23" t="s">
        <v>13</v>
      </c>
      <c r="I23">
        <v>59</v>
      </c>
      <c r="J23">
        <f>ABS((I23-EDA!$A$15)/EDA!$B$15)</f>
        <v>1.2012209241700549</v>
      </c>
      <c r="K23" t="str">
        <f t="shared" si="0"/>
        <v>No</v>
      </c>
      <c r="L23">
        <f>ABS((C23-EDA!$F$15)/EDA!$G$15)</f>
        <v>0.37102735674304993</v>
      </c>
      <c r="M23" t="str">
        <f>IF(moras[[#This Row],[Z-Score Salario]]&gt;1.96, "Sí", "No")</f>
        <v>No</v>
      </c>
      <c r="N23" s="14">
        <f>IF(ISBLANK(moras[[#This Row],[SALARIO]]), EDA!$M$8, moras[[#This Row],[SALARIO]])</f>
        <v>278030</v>
      </c>
      <c r="O23" s="14">
        <f xml:space="preserve"> IF(ISBLANK(moras[[#This Row],[EDAD]]), EDA!$E$8, moras[[#This Row],[EDAD]])</f>
        <v>59</v>
      </c>
      <c r="P23" s="14" t="str">
        <f>IF(
    OR(ISBLANK(moras[[#This Row],[TIPO_ASEGURAMIENTO]]), moras[[#This Row],[TIPO_ASEGURAMIENTO]]=""),
    EDA!$A$32,
    moras[[#This Row],[TIPO_ASEGURAMIENTO]]
)</f>
        <v>CONVENIOS ESPECIALES DE TRABAJADORES INDEPENDIENTES</v>
      </c>
    </row>
    <row r="24" spans="1:16" x14ac:dyDescent="0.3">
      <c r="A24">
        <v>23</v>
      </c>
      <c r="B24" t="s">
        <v>9</v>
      </c>
      <c r="C24">
        <v>2124814</v>
      </c>
      <c r="D24" t="s">
        <v>10</v>
      </c>
      <c r="E24" t="s">
        <v>16</v>
      </c>
      <c r="F24" t="s">
        <v>12</v>
      </c>
      <c r="G24" t="s">
        <v>13</v>
      </c>
      <c r="H24" t="s">
        <v>13</v>
      </c>
      <c r="I24">
        <v>32</v>
      </c>
      <c r="J24">
        <f>ABS((I24-EDA!$A$15)/EDA!$B$15)</f>
        <v>0.70431298791265773</v>
      </c>
      <c r="K24" t="str">
        <f t="shared" si="0"/>
        <v>No</v>
      </c>
      <c r="L24">
        <f>ABS((C24-EDA!$F$15)/EDA!$G$15)</f>
        <v>0.34029556731569877</v>
      </c>
      <c r="M24" t="str">
        <f>IF(moras[[#This Row],[Z-Score Salario]]&gt;1.96, "Sí", "No")</f>
        <v>No</v>
      </c>
      <c r="N24" s="14">
        <f>IF(ISBLANK(moras[[#This Row],[SALARIO]]), EDA!$M$8, moras[[#This Row],[SALARIO]])</f>
        <v>2124814</v>
      </c>
      <c r="O24" s="14">
        <f xml:space="preserve"> IF(ISBLANK(moras[[#This Row],[EDAD]]), EDA!$E$8, moras[[#This Row],[EDAD]])</f>
        <v>32</v>
      </c>
      <c r="P24" s="14" t="str">
        <f>IF(
    OR(ISBLANK(moras[[#This Row],[TIPO_ASEGURAMIENTO]]), moras[[#This Row],[TIPO_ASEGURAMIENTO]]=""),
    EDA!$A$32,
    moras[[#This Row],[TIPO_ASEGURAMIENTO]]
)</f>
        <v>ASALARIADO</v>
      </c>
    </row>
    <row r="25" spans="1:16" x14ac:dyDescent="0.3">
      <c r="A25">
        <v>24</v>
      </c>
      <c r="B25" t="s">
        <v>9</v>
      </c>
      <c r="C25">
        <v>19174468</v>
      </c>
      <c r="D25" t="s">
        <v>10</v>
      </c>
      <c r="E25" t="s">
        <v>16</v>
      </c>
      <c r="F25" t="s">
        <v>12</v>
      </c>
      <c r="G25" t="s">
        <v>13</v>
      </c>
      <c r="H25" t="s">
        <v>13</v>
      </c>
      <c r="I25">
        <v>18</v>
      </c>
      <c r="J25">
        <f>ABS((I25-EDA!$A$15)/EDA!$B$15)</f>
        <v>1.6923676089925828</v>
      </c>
      <c r="K25" t="str">
        <f t="shared" si="0"/>
        <v>No</v>
      </c>
      <c r="L25">
        <f>ABS((C25-EDA!$F$15)/EDA!$G$15)</f>
        <v>5.6577289196982523E-2</v>
      </c>
      <c r="M25" t="str">
        <f>IF(moras[[#This Row],[Z-Score Salario]]&gt;1.96, "Sí", "No")</f>
        <v>No</v>
      </c>
      <c r="N25" s="14">
        <f>IF(ISBLANK(moras[[#This Row],[SALARIO]]), EDA!$M$8, moras[[#This Row],[SALARIO]])</f>
        <v>19174468</v>
      </c>
      <c r="O25" s="14">
        <f xml:space="preserve"> IF(ISBLANK(moras[[#This Row],[EDAD]]), EDA!$E$8, moras[[#This Row],[EDAD]])</f>
        <v>18</v>
      </c>
      <c r="P25" s="14" t="str">
        <f>IF(
    OR(ISBLANK(moras[[#This Row],[TIPO_ASEGURAMIENTO]]), moras[[#This Row],[TIPO_ASEGURAMIENTO]]=""),
    EDA!$A$32,
    moras[[#This Row],[TIPO_ASEGURAMIENTO]]
)</f>
        <v>ASALARIADO</v>
      </c>
    </row>
    <row r="26" spans="1:16" x14ac:dyDescent="0.3">
      <c r="A26">
        <v>25</v>
      </c>
      <c r="B26" t="s">
        <v>15</v>
      </c>
      <c r="C26">
        <v>1117489</v>
      </c>
      <c r="D26" t="s">
        <v>10</v>
      </c>
      <c r="E26" t="s">
        <v>11</v>
      </c>
      <c r="F26" t="s">
        <v>12</v>
      </c>
      <c r="G26" t="s">
        <v>13</v>
      </c>
      <c r="H26" t="s">
        <v>12</v>
      </c>
      <c r="I26">
        <v>36</v>
      </c>
      <c r="J26">
        <f>ABS((I26-EDA!$A$15)/EDA!$B$15)</f>
        <v>0.42201166760410774</v>
      </c>
      <c r="K26" t="str">
        <f t="shared" si="0"/>
        <v>No</v>
      </c>
      <c r="L26">
        <f>ABS((C26-EDA!$F$15)/EDA!$G$15)</f>
        <v>0.3570581663987028</v>
      </c>
      <c r="M26" t="str">
        <f>IF(moras[[#This Row],[Z-Score Salario]]&gt;1.96, "Sí", "No")</f>
        <v>No</v>
      </c>
      <c r="N26" s="14">
        <f>IF(ISBLANK(moras[[#This Row],[SALARIO]]), EDA!$M$8, moras[[#This Row],[SALARIO]])</f>
        <v>1117489</v>
      </c>
      <c r="O26" s="14">
        <f xml:space="preserve"> IF(ISBLANK(moras[[#This Row],[EDAD]]), EDA!$E$8, moras[[#This Row],[EDAD]])</f>
        <v>36</v>
      </c>
      <c r="P26" s="14" t="str">
        <f>IF(
    OR(ISBLANK(moras[[#This Row],[TIPO_ASEGURAMIENTO]]), moras[[#This Row],[TIPO_ASEGURAMIENTO]]=""),
    EDA!$A$32,
    moras[[#This Row],[TIPO_ASEGURAMIENTO]]
)</f>
        <v>ASALARIADO</v>
      </c>
    </row>
    <row r="27" spans="1:16" x14ac:dyDescent="0.3">
      <c r="A27">
        <v>26</v>
      </c>
      <c r="B27" t="s">
        <v>9</v>
      </c>
      <c r="C27">
        <v>1451530</v>
      </c>
      <c r="D27" t="s">
        <v>14</v>
      </c>
      <c r="E27" t="s">
        <v>11</v>
      </c>
      <c r="F27" t="s">
        <v>12</v>
      </c>
      <c r="G27" t="s">
        <v>13</v>
      </c>
      <c r="H27" t="s">
        <v>13</v>
      </c>
      <c r="I27">
        <v>62</v>
      </c>
      <c r="J27">
        <f>ABS((I27-EDA!$A$15)/EDA!$B$15)</f>
        <v>1.4129469144014672</v>
      </c>
      <c r="K27" t="str">
        <f t="shared" si="0"/>
        <v>No</v>
      </c>
      <c r="L27">
        <f>ABS((C27-EDA!$F$15)/EDA!$G$15)</f>
        <v>0.35149948835508654</v>
      </c>
      <c r="M27" t="str">
        <f>IF(moras[[#This Row],[Z-Score Salario]]&gt;1.96, "Sí", "No")</f>
        <v>No</v>
      </c>
      <c r="N27" s="14">
        <f>IF(ISBLANK(moras[[#This Row],[SALARIO]]), EDA!$M$8, moras[[#This Row],[SALARIO]])</f>
        <v>1451530</v>
      </c>
      <c r="O27" s="14">
        <f xml:space="preserve"> IF(ISBLANK(moras[[#This Row],[EDAD]]), EDA!$E$8, moras[[#This Row],[EDAD]])</f>
        <v>62</v>
      </c>
      <c r="P27" s="14" t="str">
        <f>IF(
    OR(ISBLANK(moras[[#This Row],[TIPO_ASEGURAMIENTO]]), moras[[#This Row],[TIPO_ASEGURAMIENTO]]=""),
    EDA!$A$32,
    moras[[#This Row],[TIPO_ASEGURAMIENTO]]
)</f>
        <v>PENSIONADOS EN SU PROPIO SISTEMA</v>
      </c>
    </row>
    <row r="28" spans="1:16" x14ac:dyDescent="0.3">
      <c r="A28">
        <v>27</v>
      </c>
      <c r="B28" t="s">
        <v>9</v>
      </c>
      <c r="C28">
        <v>66700</v>
      </c>
      <c r="D28" t="s">
        <v>10</v>
      </c>
      <c r="E28" t="s">
        <v>16</v>
      </c>
      <c r="F28" t="s">
        <v>12</v>
      </c>
      <c r="G28" t="s">
        <v>13</v>
      </c>
      <c r="H28" t="s">
        <v>13</v>
      </c>
      <c r="I28">
        <v>38</v>
      </c>
      <c r="J28">
        <f>ABS((I28-EDA!$A$15)/EDA!$B$15)</f>
        <v>0.28086100744983278</v>
      </c>
      <c r="K28" t="str">
        <f t="shared" si="0"/>
        <v>No</v>
      </c>
      <c r="L28">
        <f>ABS((C28-EDA!$F$15)/EDA!$G$15)</f>
        <v>0.37454403712347456</v>
      </c>
      <c r="M28" t="str">
        <f>IF(moras[[#This Row],[Z-Score Salario]]&gt;1.96, "Sí", "No")</f>
        <v>No</v>
      </c>
      <c r="N28" s="14">
        <f>IF(ISBLANK(moras[[#This Row],[SALARIO]]), EDA!$M$8, moras[[#This Row],[SALARIO]])</f>
        <v>66700</v>
      </c>
      <c r="O28" s="14">
        <f xml:space="preserve"> IF(ISBLANK(moras[[#This Row],[EDAD]]), EDA!$E$8, moras[[#This Row],[EDAD]])</f>
        <v>38</v>
      </c>
      <c r="P28" s="14" t="str">
        <f>IF(
    OR(ISBLANK(moras[[#This Row],[TIPO_ASEGURAMIENTO]]), moras[[#This Row],[TIPO_ASEGURAMIENTO]]=""),
    EDA!$A$32,
    moras[[#This Row],[TIPO_ASEGURAMIENTO]]
)</f>
        <v>ASALARIADO</v>
      </c>
    </row>
    <row r="29" spans="1:16" x14ac:dyDescent="0.3">
      <c r="A29">
        <v>28</v>
      </c>
      <c r="B29" t="s">
        <v>15</v>
      </c>
      <c r="C29">
        <v>73410</v>
      </c>
      <c r="D29" t="s">
        <v>10</v>
      </c>
      <c r="E29" t="s">
        <v>16</v>
      </c>
      <c r="F29" t="s">
        <v>12</v>
      </c>
      <c r="G29" t="s">
        <v>12</v>
      </c>
      <c r="H29" t="s">
        <v>13</v>
      </c>
      <c r="I29">
        <v>22</v>
      </c>
      <c r="J29">
        <f>ABS((I29-EDA!$A$15)/EDA!$B$15)</f>
        <v>1.4100662886840327</v>
      </c>
      <c r="K29" t="str">
        <f t="shared" si="0"/>
        <v>No</v>
      </c>
      <c r="L29">
        <f>ABS((C29-EDA!$F$15)/EDA!$G$15)</f>
        <v>0.37443237798680373</v>
      </c>
      <c r="M29" t="str">
        <f>IF(moras[[#This Row],[Z-Score Salario]]&gt;1.96, "Sí", "No")</f>
        <v>No</v>
      </c>
      <c r="N29" s="14">
        <f>IF(ISBLANK(moras[[#This Row],[SALARIO]]), EDA!$M$8, moras[[#This Row],[SALARIO]])</f>
        <v>73410</v>
      </c>
      <c r="O29" s="14">
        <f xml:space="preserve"> IF(ISBLANK(moras[[#This Row],[EDAD]]), EDA!$E$8, moras[[#This Row],[EDAD]])</f>
        <v>22</v>
      </c>
      <c r="P29" s="14" t="str">
        <f>IF(
    OR(ISBLANK(moras[[#This Row],[TIPO_ASEGURAMIENTO]]), moras[[#This Row],[TIPO_ASEGURAMIENTO]]=""),
    EDA!$A$32,
    moras[[#This Row],[TIPO_ASEGURAMIENTO]]
)</f>
        <v>ASALARIADO</v>
      </c>
    </row>
    <row r="30" spans="1:16" x14ac:dyDescent="0.3">
      <c r="A30">
        <v>29</v>
      </c>
      <c r="B30" t="s">
        <v>9</v>
      </c>
      <c r="C30">
        <v>81535566</v>
      </c>
      <c r="D30" t="s">
        <v>10</v>
      </c>
      <c r="E30" t="s">
        <v>11</v>
      </c>
      <c r="F30" t="s">
        <v>12</v>
      </c>
      <c r="G30" t="s">
        <v>13</v>
      </c>
      <c r="H30" t="s">
        <v>13</v>
      </c>
      <c r="I30">
        <v>42</v>
      </c>
      <c r="J30">
        <f>ABS((I30-EDA!$A$15)/EDA!$B$15)</f>
        <v>1.4403128587172659E-3</v>
      </c>
      <c r="K30" t="str">
        <f t="shared" si="0"/>
        <v>No</v>
      </c>
      <c r="L30">
        <f>ABS((C30-EDA!$F$15)/EDA!$G$15)</f>
        <v>0.98115540298272508</v>
      </c>
      <c r="M30" t="str">
        <f>IF(moras[[#This Row],[Z-Score Salario]]&gt;1.96, "Sí", "No")</f>
        <v>No</v>
      </c>
      <c r="N30" s="14">
        <f>IF(ISBLANK(moras[[#This Row],[SALARIO]]), EDA!$M$8, moras[[#This Row],[SALARIO]])</f>
        <v>81535566</v>
      </c>
      <c r="O30" s="14">
        <f xml:space="preserve"> IF(ISBLANK(moras[[#This Row],[EDAD]]), EDA!$E$8, moras[[#This Row],[EDAD]])</f>
        <v>42</v>
      </c>
      <c r="P30" s="14" t="str">
        <f>IF(
    OR(ISBLANK(moras[[#This Row],[TIPO_ASEGURAMIENTO]]), moras[[#This Row],[TIPO_ASEGURAMIENTO]]=""),
    EDA!$A$32,
    moras[[#This Row],[TIPO_ASEGURAMIENTO]]
)</f>
        <v>ASALARIADO</v>
      </c>
    </row>
    <row r="31" spans="1:16" x14ac:dyDescent="0.3">
      <c r="A31">
        <v>30</v>
      </c>
      <c r="B31" t="s">
        <v>9</v>
      </c>
      <c r="C31">
        <v>398125</v>
      </c>
      <c r="D31" t="s">
        <v>10</v>
      </c>
      <c r="E31" t="s">
        <v>16</v>
      </c>
      <c r="F31" t="s">
        <v>12</v>
      </c>
      <c r="G31" t="s">
        <v>13</v>
      </c>
      <c r="H31" t="s">
        <v>13</v>
      </c>
      <c r="I31">
        <v>38</v>
      </c>
      <c r="J31">
        <f>ABS((I31-EDA!$A$15)/EDA!$B$15)</f>
        <v>0.28086100744983278</v>
      </c>
      <c r="K31" t="str">
        <f t="shared" si="0"/>
        <v>No</v>
      </c>
      <c r="L31">
        <f>ABS((C31-EDA!$F$15)/EDA!$G$15)</f>
        <v>0.3690288911665246</v>
      </c>
      <c r="M31" t="str">
        <f>IF(moras[[#This Row],[Z-Score Salario]]&gt;1.96, "Sí", "No")</f>
        <v>No</v>
      </c>
      <c r="N31" s="14">
        <f>IF(ISBLANK(moras[[#This Row],[SALARIO]]), EDA!$M$8, moras[[#This Row],[SALARIO]])</f>
        <v>398125</v>
      </c>
      <c r="O31" s="14">
        <f xml:space="preserve"> IF(ISBLANK(moras[[#This Row],[EDAD]]), EDA!$E$8, moras[[#This Row],[EDAD]])</f>
        <v>38</v>
      </c>
      <c r="P31" s="14" t="str">
        <f>IF(
    OR(ISBLANK(moras[[#This Row],[TIPO_ASEGURAMIENTO]]), moras[[#This Row],[TIPO_ASEGURAMIENTO]]=""),
    EDA!$A$32,
    moras[[#This Row],[TIPO_ASEGURAMIENTO]]
)</f>
        <v>ASALARIADO</v>
      </c>
    </row>
    <row r="32" spans="1:16" x14ac:dyDescent="0.3">
      <c r="A32">
        <v>31</v>
      </c>
      <c r="B32" t="s">
        <v>9</v>
      </c>
      <c r="C32">
        <v>60676396</v>
      </c>
      <c r="D32" t="s">
        <v>10</v>
      </c>
      <c r="E32" t="s">
        <v>16</v>
      </c>
      <c r="F32" t="s">
        <v>12</v>
      </c>
      <c r="G32" t="s">
        <v>13</v>
      </c>
      <c r="H32" t="s">
        <v>13</v>
      </c>
      <c r="I32">
        <v>39</v>
      </c>
      <c r="J32">
        <f>ABS((I32-EDA!$A$15)/EDA!$B$15)</f>
        <v>0.21028567737269524</v>
      </c>
      <c r="K32" t="str">
        <f t="shared" si="0"/>
        <v>No</v>
      </c>
      <c r="L32">
        <f>ABS((C32-EDA!$F$15)/EDA!$G$15)</f>
        <v>0.63404408944019908</v>
      </c>
      <c r="M32" t="str">
        <f>IF(moras[[#This Row],[Z-Score Salario]]&gt;1.96, "Sí", "No")</f>
        <v>No</v>
      </c>
      <c r="N32" s="14">
        <f>IF(ISBLANK(moras[[#This Row],[SALARIO]]), EDA!$M$8, moras[[#This Row],[SALARIO]])</f>
        <v>60676396</v>
      </c>
      <c r="O32" s="14">
        <f xml:space="preserve"> IF(ISBLANK(moras[[#This Row],[EDAD]]), EDA!$E$8, moras[[#This Row],[EDAD]])</f>
        <v>39</v>
      </c>
      <c r="P32" s="14" t="str">
        <f>IF(
    OR(ISBLANK(moras[[#This Row],[TIPO_ASEGURAMIENTO]]), moras[[#This Row],[TIPO_ASEGURAMIENTO]]=""),
    EDA!$A$32,
    moras[[#This Row],[TIPO_ASEGURAMIENTO]]
)</f>
        <v>ASALARIADO</v>
      </c>
    </row>
    <row r="33" spans="1:16" x14ac:dyDescent="0.3">
      <c r="A33">
        <v>32</v>
      </c>
      <c r="B33" t="s">
        <v>9</v>
      </c>
      <c r="C33">
        <v>360420</v>
      </c>
      <c r="D33" t="s">
        <v>18</v>
      </c>
      <c r="E33" t="s">
        <v>16</v>
      </c>
      <c r="F33" t="s">
        <v>12</v>
      </c>
      <c r="G33" t="s">
        <v>13</v>
      </c>
      <c r="H33" t="s">
        <v>12</v>
      </c>
      <c r="I33">
        <v>53</v>
      </c>
      <c r="J33">
        <f>ABS((I33-EDA!$A$15)/EDA!$B$15)</f>
        <v>0.77776894370722982</v>
      </c>
      <c r="K33" t="str">
        <f t="shared" si="0"/>
        <v>No</v>
      </c>
      <c r="L33">
        <f>ABS((C33-EDA!$F$15)/EDA!$G$15)</f>
        <v>0.36965632898294398</v>
      </c>
      <c r="M33" t="str">
        <f>IF(moras[[#This Row],[Z-Score Salario]]&gt;1.96, "Sí", "No")</f>
        <v>No</v>
      </c>
      <c r="N33" s="14">
        <f>IF(ISBLANK(moras[[#This Row],[SALARIO]]), EDA!$M$8, moras[[#This Row],[SALARIO]])</f>
        <v>360420</v>
      </c>
      <c r="O33" s="14">
        <f xml:space="preserve"> IF(ISBLANK(moras[[#This Row],[EDAD]]), EDA!$E$8, moras[[#This Row],[EDAD]])</f>
        <v>53</v>
      </c>
      <c r="P33" s="14" t="str">
        <f>IF(
    OR(ISBLANK(moras[[#This Row],[TIPO_ASEGURAMIENTO]]), moras[[#This Row],[TIPO_ASEGURAMIENTO]]=""),
    EDA!$A$32,
    moras[[#This Row],[TIPO_ASEGURAMIENTO]]
)</f>
        <v>TRABAJADOR INDEPENDIENTE</v>
      </c>
    </row>
    <row r="34" spans="1:16" x14ac:dyDescent="0.3">
      <c r="A34">
        <v>33</v>
      </c>
      <c r="B34" t="s">
        <v>15</v>
      </c>
      <c r="C34">
        <v>297046</v>
      </c>
      <c r="D34" t="s">
        <v>10</v>
      </c>
      <c r="E34" t="s">
        <v>16</v>
      </c>
      <c r="F34" t="s">
        <v>12</v>
      </c>
      <c r="G34" t="s">
        <v>12</v>
      </c>
      <c r="H34" t="s">
        <v>13</v>
      </c>
      <c r="I34">
        <v>41</v>
      </c>
      <c r="J34">
        <f>ABS((I34-EDA!$A$15)/EDA!$B$15)</f>
        <v>6.9135017218420233E-2</v>
      </c>
      <c r="K34" t="str">
        <f t="shared" si="0"/>
        <v>No</v>
      </c>
      <c r="L34">
        <f>ABS((C34-EDA!$F$15)/EDA!$G$15)</f>
        <v>0.37071091707942361</v>
      </c>
      <c r="M34" t="str">
        <f>IF(moras[[#This Row],[Z-Score Salario]]&gt;1.96, "Sí", "No")</f>
        <v>No</v>
      </c>
      <c r="N34" s="14">
        <f>IF(ISBLANK(moras[[#This Row],[SALARIO]]), EDA!$M$8, moras[[#This Row],[SALARIO]])</f>
        <v>297046</v>
      </c>
      <c r="O34" s="14">
        <f xml:space="preserve"> IF(ISBLANK(moras[[#This Row],[EDAD]]), EDA!$E$8, moras[[#This Row],[EDAD]])</f>
        <v>41</v>
      </c>
      <c r="P34" s="14" t="str">
        <f>IF(
    OR(ISBLANK(moras[[#This Row],[TIPO_ASEGURAMIENTO]]), moras[[#This Row],[TIPO_ASEGURAMIENTO]]=""),
    EDA!$A$32,
    moras[[#This Row],[TIPO_ASEGURAMIENTO]]
)</f>
        <v>ASALARIADO</v>
      </c>
    </row>
    <row r="35" spans="1:16" x14ac:dyDescent="0.3">
      <c r="A35">
        <v>34</v>
      </c>
      <c r="B35" t="s">
        <v>9</v>
      </c>
      <c r="C35">
        <v>558030</v>
      </c>
      <c r="D35" t="s">
        <v>10</v>
      </c>
      <c r="E35" t="s">
        <v>16</v>
      </c>
      <c r="F35" t="s">
        <v>12</v>
      </c>
      <c r="G35" t="s">
        <v>13</v>
      </c>
      <c r="H35" t="s">
        <v>13</v>
      </c>
      <c r="I35">
        <v>28</v>
      </c>
      <c r="J35">
        <f>ABS((I35-EDA!$A$15)/EDA!$B$15)</f>
        <v>0.98661430822120777</v>
      </c>
      <c r="K35" t="str">
        <f t="shared" si="0"/>
        <v>No</v>
      </c>
      <c r="L35">
        <f>ABS((C35-EDA!$F$15)/EDA!$G$15)</f>
        <v>0.3663679590876347</v>
      </c>
      <c r="M35" t="str">
        <f>IF(moras[[#This Row],[Z-Score Salario]]&gt;1.96, "Sí", "No")</f>
        <v>No</v>
      </c>
      <c r="N35" s="14">
        <f>IF(ISBLANK(moras[[#This Row],[SALARIO]]), EDA!$M$8, moras[[#This Row],[SALARIO]])</f>
        <v>558030</v>
      </c>
      <c r="O35" s="14">
        <f xml:space="preserve"> IF(ISBLANK(moras[[#This Row],[EDAD]]), EDA!$E$8, moras[[#This Row],[EDAD]])</f>
        <v>28</v>
      </c>
      <c r="P35" s="14" t="str">
        <f>IF(
    OR(ISBLANK(moras[[#This Row],[TIPO_ASEGURAMIENTO]]), moras[[#This Row],[TIPO_ASEGURAMIENTO]]=""),
    EDA!$A$32,
    moras[[#This Row],[TIPO_ASEGURAMIENTO]]
)</f>
        <v>ASALARIADO</v>
      </c>
    </row>
    <row r="36" spans="1:16" x14ac:dyDescent="0.3">
      <c r="A36">
        <v>35</v>
      </c>
      <c r="B36" t="s">
        <v>9</v>
      </c>
      <c r="C36">
        <v>6830903</v>
      </c>
      <c r="D36" t="s">
        <v>10</v>
      </c>
      <c r="E36" t="s">
        <v>16</v>
      </c>
      <c r="F36" t="s">
        <v>12</v>
      </c>
      <c r="G36" t="s">
        <v>13</v>
      </c>
      <c r="H36" t="s">
        <v>13</v>
      </c>
      <c r="I36">
        <v>43</v>
      </c>
      <c r="J36">
        <f>ABS((I36-EDA!$A$15)/EDA!$B$15)</f>
        <v>7.2015642935854773E-2</v>
      </c>
      <c r="K36" t="str">
        <f t="shared" si="0"/>
        <v>No</v>
      </c>
      <c r="L36">
        <f>ABS((C36-EDA!$F$15)/EDA!$G$15)</f>
        <v>0.26198292427007269</v>
      </c>
      <c r="M36" t="str">
        <f>IF(moras[[#This Row],[Z-Score Salario]]&gt;1.96, "Sí", "No")</f>
        <v>No</v>
      </c>
      <c r="N36" s="14">
        <f>IF(ISBLANK(moras[[#This Row],[SALARIO]]), EDA!$M$8, moras[[#This Row],[SALARIO]])</f>
        <v>6830903</v>
      </c>
      <c r="O36" s="14">
        <f xml:space="preserve"> IF(ISBLANK(moras[[#This Row],[EDAD]]), EDA!$E$8, moras[[#This Row],[EDAD]])</f>
        <v>43</v>
      </c>
      <c r="P36" s="14" t="str">
        <f>IF(
    OR(ISBLANK(moras[[#This Row],[TIPO_ASEGURAMIENTO]]), moras[[#This Row],[TIPO_ASEGURAMIENTO]]=""),
    EDA!$A$32,
    moras[[#This Row],[TIPO_ASEGURAMIENTO]]
)</f>
        <v>ASALARIADO</v>
      </c>
    </row>
    <row r="37" spans="1:16" x14ac:dyDescent="0.3">
      <c r="A37">
        <v>36</v>
      </c>
      <c r="B37" t="s">
        <v>9</v>
      </c>
      <c r="D37" t="s">
        <v>10</v>
      </c>
      <c r="E37" t="s">
        <v>11</v>
      </c>
      <c r="F37" t="s">
        <v>12</v>
      </c>
      <c r="G37" t="s">
        <v>13</v>
      </c>
      <c r="H37" t="s">
        <v>13</v>
      </c>
      <c r="I37">
        <v>62</v>
      </c>
      <c r="J37">
        <f>ABS((I37-EDA!$A$15)/EDA!$B$15)</f>
        <v>1.4129469144014672</v>
      </c>
      <c r="K37" t="str">
        <f t="shared" si="0"/>
        <v>No</v>
      </c>
      <c r="L37">
        <f>ABS((C37-EDA!$F$15)/EDA!$G$15)</f>
        <v>0.3756539722078181</v>
      </c>
      <c r="M37" t="str">
        <f>IF(moras[[#This Row],[Z-Score Salario]]&gt;1.96, "Sí", "No")</f>
        <v>No</v>
      </c>
      <c r="N37" s="14">
        <f>IF(ISBLANK(moras[[#This Row],[SALARIO]]), EDA!$M$8, moras[[#This Row],[SALARIO]])</f>
        <v>639148</v>
      </c>
      <c r="O37" s="14">
        <f xml:space="preserve"> IF(ISBLANK(moras[[#This Row],[EDAD]]), EDA!$E$8, moras[[#This Row],[EDAD]])</f>
        <v>62</v>
      </c>
      <c r="P37" s="14" t="str">
        <f>IF(
    OR(ISBLANK(moras[[#This Row],[TIPO_ASEGURAMIENTO]]), moras[[#This Row],[TIPO_ASEGURAMIENTO]]=""),
    EDA!$A$32,
    moras[[#This Row],[TIPO_ASEGURAMIENTO]]
)</f>
        <v>ASALARIADO</v>
      </c>
    </row>
    <row r="38" spans="1:16" x14ac:dyDescent="0.3">
      <c r="A38">
        <v>37</v>
      </c>
      <c r="B38" t="s">
        <v>9</v>
      </c>
      <c r="C38">
        <v>15523075</v>
      </c>
      <c r="D38" t="s">
        <v>10</v>
      </c>
      <c r="E38" t="s">
        <v>16</v>
      </c>
      <c r="F38" t="s">
        <v>12</v>
      </c>
      <c r="G38" t="s">
        <v>12</v>
      </c>
      <c r="H38" t="s">
        <v>13</v>
      </c>
      <c r="I38">
        <v>41</v>
      </c>
      <c r="J38">
        <f>ABS((I38-EDA!$A$15)/EDA!$B$15)</f>
        <v>6.9135017218420233E-2</v>
      </c>
      <c r="K38" t="str">
        <f t="shared" si="0"/>
        <v>No</v>
      </c>
      <c r="L38">
        <f>ABS((C38-EDA!$F$15)/EDA!$G$15)</f>
        <v>0.11733904627983791</v>
      </c>
      <c r="M38" t="str">
        <f>IF(moras[[#This Row],[Z-Score Salario]]&gt;1.96, "Sí", "No")</f>
        <v>No</v>
      </c>
      <c r="N38" s="14">
        <f>IF(ISBLANK(moras[[#This Row],[SALARIO]]), EDA!$M$8, moras[[#This Row],[SALARIO]])</f>
        <v>15523075</v>
      </c>
      <c r="O38" s="14">
        <f xml:space="preserve"> IF(ISBLANK(moras[[#This Row],[EDAD]]), EDA!$E$8, moras[[#This Row],[EDAD]])</f>
        <v>41</v>
      </c>
      <c r="P38" s="14" t="str">
        <f>IF(
    OR(ISBLANK(moras[[#This Row],[TIPO_ASEGURAMIENTO]]), moras[[#This Row],[TIPO_ASEGURAMIENTO]]=""),
    EDA!$A$32,
    moras[[#This Row],[TIPO_ASEGURAMIENTO]]
)</f>
        <v>ASALARIADO</v>
      </c>
    </row>
    <row r="39" spans="1:16" x14ac:dyDescent="0.3">
      <c r="A39">
        <v>38</v>
      </c>
      <c r="B39" t="s">
        <v>9</v>
      </c>
      <c r="C39">
        <v>1531575</v>
      </c>
      <c r="D39" t="s">
        <v>17</v>
      </c>
      <c r="E39" t="s">
        <v>16</v>
      </c>
      <c r="F39" t="s">
        <v>12</v>
      </c>
      <c r="G39" t="s">
        <v>12</v>
      </c>
      <c r="H39" t="s">
        <v>13</v>
      </c>
      <c r="I39">
        <v>66</v>
      </c>
      <c r="J39">
        <f>ABS((I39-EDA!$A$15)/EDA!$B$15)</f>
        <v>1.6952482347100173</v>
      </c>
      <c r="K39" t="str">
        <f t="shared" si="0"/>
        <v>No</v>
      </c>
      <c r="L39">
        <f>ABS((C39-EDA!$F$15)/EDA!$G$15)</f>
        <v>0.35016748305034473</v>
      </c>
      <c r="M39" t="str">
        <f>IF(moras[[#This Row],[Z-Score Salario]]&gt;1.96, "Sí", "No")</f>
        <v>No</v>
      </c>
      <c r="N39" s="14">
        <f>IF(ISBLANK(moras[[#This Row],[SALARIO]]), EDA!$M$8, moras[[#This Row],[SALARIO]])</f>
        <v>1531575</v>
      </c>
      <c r="O39" s="14">
        <f xml:space="preserve"> IF(ISBLANK(moras[[#This Row],[EDAD]]), EDA!$E$8, moras[[#This Row],[EDAD]])</f>
        <v>66</v>
      </c>
      <c r="P39" s="14" t="str">
        <f>IF(
    OR(ISBLANK(moras[[#This Row],[TIPO_ASEGURAMIENTO]]), moras[[#This Row],[TIPO_ASEGURAMIENTO]]=""),
    EDA!$A$32,
    moras[[#This Row],[TIPO_ASEGURAMIENTO]]
)</f>
        <v>ASEGURADO VOLUNTARIO</v>
      </c>
    </row>
    <row r="40" spans="1:16" x14ac:dyDescent="0.3">
      <c r="A40">
        <v>39</v>
      </c>
      <c r="B40" t="s">
        <v>9</v>
      </c>
      <c r="C40">
        <v>322056909</v>
      </c>
      <c r="D40" t="s">
        <v>10</v>
      </c>
      <c r="E40" t="s">
        <v>16</v>
      </c>
      <c r="F40" t="s">
        <v>12</v>
      </c>
      <c r="G40" t="s">
        <v>13</v>
      </c>
      <c r="H40" t="s">
        <v>13</v>
      </c>
      <c r="I40">
        <v>48</v>
      </c>
      <c r="J40">
        <f>ABS((I40-EDA!$A$15)/EDA!$B$15)</f>
        <v>0.42489229332154227</v>
      </c>
      <c r="K40" t="str">
        <f t="shared" si="0"/>
        <v>No</v>
      </c>
      <c r="L40">
        <f>ABS((C40-EDA!$F$15)/EDA!$G$15)</f>
        <v>4.9836003374524305</v>
      </c>
      <c r="M40" t="str">
        <f>IF(moras[[#This Row],[Z-Score Salario]]&gt;1.96, "Sí", "No")</f>
        <v>Sí</v>
      </c>
      <c r="N40" s="14">
        <f>IF(ISBLANK(moras[[#This Row],[SALARIO]]), EDA!$M$8, moras[[#This Row],[SALARIO]])</f>
        <v>322056909</v>
      </c>
      <c r="O40" s="14">
        <f xml:space="preserve"> IF(ISBLANK(moras[[#This Row],[EDAD]]), EDA!$E$8, moras[[#This Row],[EDAD]])</f>
        <v>48</v>
      </c>
      <c r="P40" s="14" t="str">
        <f>IF(
    OR(ISBLANK(moras[[#This Row],[TIPO_ASEGURAMIENTO]]), moras[[#This Row],[TIPO_ASEGURAMIENTO]]=""),
    EDA!$A$32,
    moras[[#This Row],[TIPO_ASEGURAMIENTO]]
)</f>
        <v>ASALARIADO</v>
      </c>
    </row>
    <row r="41" spans="1:16" x14ac:dyDescent="0.3">
      <c r="A41">
        <v>40</v>
      </c>
      <c r="B41" t="s">
        <v>9</v>
      </c>
      <c r="C41">
        <v>658917</v>
      </c>
      <c r="D41" t="s">
        <v>10</v>
      </c>
      <c r="E41" t="s">
        <v>11</v>
      </c>
      <c r="F41" t="s">
        <v>12</v>
      </c>
      <c r="G41" t="s">
        <v>13</v>
      </c>
      <c r="H41" t="s">
        <v>12</v>
      </c>
      <c r="I41">
        <v>56</v>
      </c>
      <c r="J41">
        <f>ABS((I41-EDA!$A$15)/EDA!$B$15)</f>
        <v>0.9894949339386423</v>
      </c>
      <c r="K41" t="str">
        <f t="shared" si="0"/>
        <v>No</v>
      </c>
      <c r="L41">
        <f>ABS((C41-EDA!$F$15)/EDA!$G$15)</f>
        <v>0.36468912819027088</v>
      </c>
      <c r="M41" t="str">
        <f>IF(moras[[#This Row],[Z-Score Salario]]&gt;1.96, "Sí", "No")</f>
        <v>No</v>
      </c>
      <c r="N41" s="14">
        <f>IF(ISBLANK(moras[[#This Row],[SALARIO]]), EDA!$M$8, moras[[#This Row],[SALARIO]])</f>
        <v>658917</v>
      </c>
      <c r="O41" s="14">
        <f xml:space="preserve"> IF(ISBLANK(moras[[#This Row],[EDAD]]), EDA!$E$8, moras[[#This Row],[EDAD]])</f>
        <v>56</v>
      </c>
      <c r="P41" s="14" t="str">
        <f>IF(
    OR(ISBLANK(moras[[#This Row],[TIPO_ASEGURAMIENTO]]), moras[[#This Row],[TIPO_ASEGURAMIENTO]]=""),
    EDA!$A$32,
    moras[[#This Row],[TIPO_ASEGURAMIENTO]]
)</f>
        <v>ASALARIADO</v>
      </c>
    </row>
    <row r="42" spans="1:16" x14ac:dyDescent="0.3">
      <c r="A42">
        <v>41</v>
      </c>
      <c r="B42" t="s">
        <v>9</v>
      </c>
      <c r="C42">
        <v>6317076</v>
      </c>
      <c r="D42" t="s">
        <v>10</v>
      </c>
      <c r="E42" t="s">
        <v>16</v>
      </c>
      <c r="F42" t="s">
        <v>12</v>
      </c>
      <c r="G42" t="s">
        <v>13</v>
      </c>
      <c r="H42" t="s">
        <v>13</v>
      </c>
      <c r="I42">
        <v>25</v>
      </c>
      <c r="J42">
        <f>ABS((I42-EDA!$A$15)/EDA!$B$15)</f>
        <v>1.1983402984526204</v>
      </c>
      <c r="K42" t="str">
        <f t="shared" si="0"/>
        <v>No</v>
      </c>
      <c r="L42">
        <f>ABS((C42-EDA!$F$15)/EDA!$G$15)</f>
        <v>0.27053336826681923</v>
      </c>
      <c r="M42" t="str">
        <f>IF(moras[[#This Row],[Z-Score Salario]]&gt;1.96, "Sí", "No")</f>
        <v>No</v>
      </c>
      <c r="N42" s="14">
        <f>IF(ISBLANK(moras[[#This Row],[SALARIO]]), EDA!$M$8, moras[[#This Row],[SALARIO]])</f>
        <v>6317076</v>
      </c>
      <c r="O42" s="14">
        <f xml:space="preserve"> IF(ISBLANK(moras[[#This Row],[EDAD]]), EDA!$E$8, moras[[#This Row],[EDAD]])</f>
        <v>25</v>
      </c>
      <c r="P42" s="14" t="str">
        <f>IF(
    OR(ISBLANK(moras[[#This Row],[TIPO_ASEGURAMIENTO]]), moras[[#This Row],[TIPO_ASEGURAMIENTO]]=""),
    EDA!$A$32,
    moras[[#This Row],[TIPO_ASEGURAMIENTO]]
)</f>
        <v>ASALARIADO</v>
      </c>
    </row>
    <row r="43" spans="1:16" x14ac:dyDescent="0.3">
      <c r="A43">
        <v>42</v>
      </c>
      <c r="B43" t="s">
        <v>15</v>
      </c>
      <c r="C43">
        <v>977376</v>
      </c>
      <c r="D43" t="s">
        <v>10</v>
      </c>
      <c r="E43" t="s">
        <v>16</v>
      </c>
      <c r="F43" t="s">
        <v>12</v>
      </c>
      <c r="G43" t="s">
        <v>13</v>
      </c>
      <c r="H43" t="s">
        <v>13</v>
      </c>
      <c r="I43">
        <v>33</v>
      </c>
      <c r="J43">
        <f>ABS((I43-EDA!$A$15)/EDA!$B$15)</f>
        <v>0.63373765783552027</v>
      </c>
      <c r="K43" t="str">
        <f t="shared" si="0"/>
        <v>No</v>
      </c>
      <c r="L43">
        <f>ABS((C43-EDA!$F$15)/EDA!$G$15)</f>
        <v>0.35938974562617848</v>
      </c>
      <c r="M43" t="str">
        <f>IF(moras[[#This Row],[Z-Score Salario]]&gt;1.96, "Sí", "No")</f>
        <v>No</v>
      </c>
      <c r="N43" s="14">
        <f>IF(ISBLANK(moras[[#This Row],[SALARIO]]), EDA!$M$8, moras[[#This Row],[SALARIO]])</f>
        <v>977376</v>
      </c>
      <c r="O43" s="14">
        <f xml:space="preserve"> IF(ISBLANK(moras[[#This Row],[EDAD]]), EDA!$E$8, moras[[#This Row],[EDAD]])</f>
        <v>33</v>
      </c>
      <c r="P43" s="14" t="str">
        <f>IF(
    OR(ISBLANK(moras[[#This Row],[TIPO_ASEGURAMIENTO]]), moras[[#This Row],[TIPO_ASEGURAMIENTO]]=""),
    EDA!$A$32,
    moras[[#This Row],[TIPO_ASEGURAMIENTO]]
)</f>
        <v>ASALARIADO</v>
      </c>
    </row>
    <row r="44" spans="1:16" x14ac:dyDescent="0.3">
      <c r="A44">
        <v>43</v>
      </c>
      <c r="B44" t="s">
        <v>15</v>
      </c>
      <c r="C44">
        <v>278030</v>
      </c>
      <c r="D44" t="s">
        <v>19</v>
      </c>
      <c r="E44" t="s">
        <v>16</v>
      </c>
      <c r="F44" t="s">
        <v>12</v>
      </c>
      <c r="G44" t="s">
        <v>12</v>
      </c>
      <c r="H44" t="s">
        <v>13</v>
      </c>
      <c r="I44">
        <v>23</v>
      </c>
      <c r="J44">
        <f>ABS((I44-EDA!$A$15)/EDA!$B$15)</f>
        <v>1.3394909586068953</v>
      </c>
      <c r="K44" t="str">
        <f t="shared" si="0"/>
        <v>No</v>
      </c>
      <c r="L44">
        <f>ABS((C44-EDA!$F$15)/EDA!$G$15)</f>
        <v>0.37102735674304993</v>
      </c>
      <c r="M44" t="str">
        <f>IF(moras[[#This Row],[Z-Score Salario]]&gt;1.96, "Sí", "No")</f>
        <v>No</v>
      </c>
      <c r="N44" s="14">
        <f>IF(ISBLANK(moras[[#This Row],[SALARIO]]), EDA!$M$8, moras[[#This Row],[SALARIO]])</f>
        <v>278030</v>
      </c>
      <c r="O44" s="14">
        <f xml:space="preserve"> IF(ISBLANK(moras[[#This Row],[EDAD]]), EDA!$E$8, moras[[#This Row],[EDAD]])</f>
        <v>23</v>
      </c>
      <c r="P44" s="14" t="str">
        <f>IF(
    OR(ISBLANK(moras[[#This Row],[TIPO_ASEGURAMIENTO]]), moras[[#This Row],[TIPO_ASEGURAMIENTO]]=""),
    EDA!$A$32,
    moras[[#This Row],[TIPO_ASEGURAMIENTO]]
)</f>
        <v>CONVENIOS ESPECIALES DE TRABAJADORES INDEPENDIENTES</v>
      </c>
    </row>
    <row r="45" spans="1:16" x14ac:dyDescent="0.3">
      <c r="A45">
        <v>44</v>
      </c>
      <c r="B45" t="s">
        <v>9</v>
      </c>
      <c r="C45">
        <v>633750</v>
      </c>
      <c r="D45" t="s">
        <v>10</v>
      </c>
      <c r="E45" t="s">
        <v>16</v>
      </c>
      <c r="F45" t="s">
        <v>12</v>
      </c>
      <c r="G45" t="s">
        <v>13</v>
      </c>
      <c r="H45" t="s">
        <v>13</v>
      </c>
      <c r="I45">
        <v>43</v>
      </c>
      <c r="J45">
        <f>ABS((I45-EDA!$A$15)/EDA!$B$15)</f>
        <v>7.2015642935854773E-2</v>
      </c>
      <c r="K45" t="str">
        <f t="shared" si="0"/>
        <v>No</v>
      </c>
      <c r="L45">
        <f>ABS((C45-EDA!$F$15)/EDA!$G$15)</f>
        <v>0.36510792483596316</v>
      </c>
      <c r="M45" t="str">
        <f>IF(moras[[#This Row],[Z-Score Salario]]&gt;1.96, "Sí", "No")</f>
        <v>No</v>
      </c>
      <c r="N45" s="14">
        <f>IF(ISBLANK(moras[[#This Row],[SALARIO]]), EDA!$M$8, moras[[#This Row],[SALARIO]])</f>
        <v>633750</v>
      </c>
      <c r="O45" s="14">
        <f xml:space="preserve"> IF(ISBLANK(moras[[#This Row],[EDAD]]), EDA!$E$8, moras[[#This Row],[EDAD]])</f>
        <v>43</v>
      </c>
      <c r="P45" s="14" t="str">
        <f>IF(
    OR(ISBLANK(moras[[#This Row],[TIPO_ASEGURAMIENTO]]), moras[[#This Row],[TIPO_ASEGURAMIENTO]]=""),
    EDA!$A$32,
    moras[[#This Row],[TIPO_ASEGURAMIENTO]]
)</f>
        <v>ASALARIADO</v>
      </c>
    </row>
    <row r="46" spans="1:16" x14ac:dyDescent="0.3">
      <c r="A46">
        <v>45</v>
      </c>
      <c r="B46" t="s">
        <v>15</v>
      </c>
      <c r="C46">
        <v>376776</v>
      </c>
      <c r="D46" t="s">
        <v>10</v>
      </c>
      <c r="E46" t="s">
        <v>16</v>
      </c>
      <c r="F46" t="s">
        <v>12</v>
      </c>
      <c r="G46" t="s">
        <v>13</v>
      </c>
      <c r="H46" t="s">
        <v>13</v>
      </c>
      <c r="I46">
        <v>27</v>
      </c>
      <c r="J46">
        <f>ABS((I46-EDA!$A$15)/EDA!$B$15)</f>
        <v>1.0571896382983452</v>
      </c>
      <c r="K46" t="str">
        <f t="shared" si="0"/>
        <v>No</v>
      </c>
      <c r="L46">
        <f>ABS((C46-EDA!$F$15)/EDA!$G$15)</f>
        <v>0.36938415359704413</v>
      </c>
      <c r="M46" t="str">
        <f>IF(moras[[#This Row],[Z-Score Salario]]&gt;1.96, "Sí", "No")</f>
        <v>No</v>
      </c>
      <c r="N46" s="14">
        <f>IF(ISBLANK(moras[[#This Row],[SALARIO]]), EDA!$M$8, moras[[#This Row],[SALARIO]])</f>
        <v>376776</v>
      </c>
      <c r="O46" s="14">
        <f xml:space="preserve"> IF(ISBLANK(moras[[#This Row],[EDAD]]), EDA!$E$8, moras[[#This Row],[EDAD]])</f>
        <v>27</v>
      </c>
      <c r="P46" s="14" t="str">
        <f>IF(
    OR(ISBLANK(moras[[#This Row],[TIPO_ASEGURAMIENTO]]), moras[[#This Row],[TIPO_ASEGURAMIENTO]]=""),
    EDA!$A$32,
    moras[[#This Row],[TIPO_ASEGURAMIENTO]]
)</f>
        <v>ASALARIADO</v>
      </c>
    </row>
    <row r="47" spans="1:16" x14ac:dyDescent="0.3">
      <c r="A47">
        <v>46</v>
      </c>
      <c r="B47" t="s">
        <v>15</v>
      </c>
      <c r="C47">
        <v>187838622</v>
      </c>
      <c r="D47" t="s">
        <v>10</v>
      </c>
      <c r="E47" t="s">
        <v>16</v>
      </c>
      <c r="F47" t="s">
        <v>12</v>
      </c>
      <c r="G47" t="s">
        <v>13</v>
      </c>
      <c r="H47" t="s">
        <v>13</v>
      </c>
      <c r="I47">
        <v>28</v>
      </c>
      <c r="J47">
        <f>ABS((I47-EDA!$A$15)/EDA!$B$15)</f>
        <v>0.98661430822120777</v>
      </c>
      <c r="K47" t="str">
        <f t="shared" si="0"/>
        <v>No</v>
      </c>
      <c r="L47">
        <f>ABS((C47-EDA!$F$15)/EDA!$G$15)</f>
        <v>2.7501132954465524</v>
      </c>
      <c r="M47" t="str">
        <f>IF(moras[[#This Row],[Z-Score Salario]]&gt;1.96, "Sí", "No")</f>
        <v>Sí</v>
      </c>
      <c r="N47" s="14">
        <f>IF(ISBLANK(moras[[#This Row],[SALARIO]]), EDA!$M$8, moras[[#This Row],[SALARIO]])</f>
        <v>187838622</v>
      </c>
      <c r="O47" s="14">
        <f xml:space="preserve"> IF(ISBLANK(moras[[#This Row],[EDAD]]), EDA!$E$8, moras[[#This Row],[EDAD]])</f>
        <v>28</v>
      </c>
      <c r="P47" s="14" t="str">
        <f>IF(
    OR(ISBLANK(moras[[#This Row],[TIPO_ASEGURAMIENTO]]), moras[[#This Row],[TIPO_ASEGURAMIENTO]]=""),
    EDA!$A$32,
    moras[[#This Row],[TIPO_ASEGURAMIENTO]]
)</f>
        <v>ASALARIADO</v>
      </c>
    </row>
    <row r="48" spans="1:16" x14ac:dyDescent="0.3">
      <c r="A48">
        <v>47</v>
      </c>
      <c r="B48" t="s">
        <v>15</v>
      </c>
      <c r="C48">
        <v>2224883</v>
      </c>
      <c r="D48" t="s">
        <v>10</v>
      </c>
      <c r="E48" t="s">
        <v>16</v>
      </c>
      <c r="F48" t="s">
        <v>12</v>
      </c>
      <c r="G48" t="s">
        <v>13</v>
      </c>
      <c r="H48" t="s">
        <v>13</v>
      </c>
      <c r="I48">
        <v>49</v>
      </c>
      <c r="J48">
        <f>ABS((I48-EDA!$A$15)/EDA!$B$15)</f>
        <v>0.49546762339867978</v>
      </c>
      <c r="K48" t="str">
        <f t="shared" si="0"/>
        <v>No</v>
      </c>
      <c r="L48">
        <f>ABS((C48-EDA!$F$15)/EDA!$G$15)</f>
        <v>0.33863034851577112</v>
      </c>
      <c r="M48" t="str">
        <f>IF(moras[[#This Row],[Z-Score Salario]]&gt;1.96, "Sí", "No")</f>
        <v>No</v>
      </c>
      <c r="N48" s="14">
        <f>IF(ISBLANK(moras[[#This Row],[SALARIO]]), EDA!$M$8, moras[[#This Row],[SALARIO]])</f>
        <v>2224883</v>
      </c>
      <c r="O48" s="14">
        <f xml:space="preserve"> IF(ISBLANK(moras[[#This Row],[EDAD]]), EDA!$E$8, moras[[#This Row],[EDAD]])</f>
        <v>49</v>
      </c>
      <c r="P48" s="14" t="str">
        <f>IF(
    OR(ISBLANK(moras[[#This Row],[TIPO_ASEGURAMIENTO]]), moras[[#This Row],[TIPO_ASEGURAMIENTO]]=""),
    EDA!$A$32,
    moras[[#This Row],[TIPO_ASEGURAMIENTO]]
)</f>
        <v>ASALARIADO</v>
      </c>
    </row>
    <row r="49" spans="1:16" x14ac:dyDescent="0.3">
      <c r="A49">
        <v>48</v>
      </c>
      <c r="B49" t="s">
        <v>15</v>
      </c>
      <c r="C49">
        <v>349000</v>
      </c>
      <c r="D49" t="s">
        <v>10</v>
      </c>
      <c r="E49" t="s">
        <v>16</v>
      </c>
      <c r="F49" t="s">
        <v>12</v>
      </c>
      <c r="G49" t="s">
        <v>13</v>
      </c>
      <c r="H49" t="s">
        <v>13</v>
      </c>
      <c r="I49">
        <v>36</v>
      </c>
      <c r="J49">
        <f>ABS((I49-EDA!$A$15)/EDA!$B$15)</f>
        <v>0.42201166760410774</v>
      </c>
      <c r="K49" t="str">
        <f t="shared" si="0"/>
        <v>No</v>
      </c>
      <c r="L49">
        <f>ABS((C49-EDA!$F$15)/EDA!$G$15)</f>
        <v>0.36984636584446129</v>
      </c>
      <c r="M49" t="str">
        <f>IF(moras[[#This Row],[Z-Score Salario]]&gt;1.96, "Sí", "No")</f>
        <v>No</v>
      </c>
      <c r="N49" s="14">
        <f>IF(ISBLANK(moras[[#This Row],[SALARIO]]), EDA!$M$8, moras[[#This Row],[SALARIO]])</f>
        <v>349000</v>
      </c>
      <c r="O49" s="14">
        <f xml:space="preserve"> IF(ISBLANK(moras[[#This Row],[EDAD]]), EDA!$E$8, moras[[#This Row],[EDAD]])</f>
        <v>36</v>
      </c>
      <c r="P49" s="14" t="str">
        <f>IF(
    OR(ISBLANK(moras[[#This Row],[TIPO_ASEGURAMIENTO]]), moras[[#This Row],[TIPO_ASEGURAMIENTO]]=""),
    EDA!$A$32,
    moras[[#This Row],[TIPO_ASEGURAMIENTO]]
)</f>
        <v>ASALARIADO</v>
      </c>
    </row>
    <row r="50" spans="1:16" x14ac:dyDescent="0.3">
      <c r="A50">
        <v>49</v>
      </c>
      <c r="B50" t="s">
        <v>9</v>
      </c>
      <c r="C50">
        <v>67506969</v>
      </c>
      <c r="D50" t="s">
        <v>10</v>
      </c>
      <c r="E50" t="s">
        <v>16</v>
      </c>
      <c r="F50" t="s">
        <v>12</v>
      </c>
      <c r="G50" t="s">
        <v>13</v>
      </c>
      <c r="H50" t="s">
        <v>13</v>
      </c>
      <c r="I50">
        <v>39</v>
      </c>
      <c r="J50">
        <f>ABS((I50-EDA!$A$15)/EDA!$B$15)</f>
        <v>0.21028567737269524</v>
      </c>
      <c r="K50" t="str">
        <f t="shared" si="0"/>
        <v>No</v>
      </c>
      <c r="L50">
        <f>ABS((C50-EDA!$F$15)/EDA!$G$15)</f>
        <v>0.74770964594499345</v>
      </c>
      <c r="M50" t="str">
        <f>IF(moras[[#This Row],[Z-Score Salario]]&gt;1.96, "Sí", "No")</f>
        <v>No</v>
      </c>
      <c r="N50" s="14">
        <f>IF(ISBLANK(moras[[#This Row],[SALARIO]]), EDA!$M$8, moras[[#This Row],[SALARIO]])</f>
        <v>67506969</v>
      </c>
      <c r="O50" s="14">
        <f xml:space="preserve"> IF(ISBLANK(moras[[#This Row],[EDAD]]), EDA!$E$8, moras[[#This Row],[EDAD]])</f>
        <v>39</v>
      </c>
      <c r="P50" s="14" t="str">
        <f>IF(
    OR(ISBLANK(moras[[#This Row],[TIPO_ASEGURAMIENTO]]), moras[[#This Row],[TIPO_ASEGURAMIENTO]]=""),
    EDA!$A$32,
    moras[[#This Row],[TIPO_ASEGURAMIENTO]]
)</f>
        <v>ASALARIADO</v>
      </c>
    </row>
    <row r="51" spans="1:16" x14ac:dyDescent="0.3">
      <c r="A51">
        <v>50</v>
      </c>
      <c r="B51" t="s">
        <v>9</v>
      </c>
      <c r="C51">
        <v>443282</v>
      </c>
      <c r="D51" t="s">
        <v>10</v>
      </c>
      <c r="E51" t="s">
        <v>16</v>
      </c>
      <c r="F51" t="s">
        <v>12</v>
      </c>
      <c r="G51" t="s">
        <v>12</v>
      </c>
      <c r="H51" t="s">
        <v>13</v>
      </c>
      <c r="J51">
        <f>ABS((I51-EDA!$A$15)/EDA!$B$15)</f>
        <v>2.9627235503810581</v>
      </c>
      <c r="K51" t="str">
        <f t="shared" si="0"/>
        <v>Sí</v>
      </c>
      <c r="L51">
        <f>ABS((C51-EDA!$F$15)/EDA!$G$15)</f>
        <v>0.36827744680964752</v>
      </c>
      <c r="M51" t="str">
        <f>IF(moras[[#This Row],[Z-Score Salario]]&gt;1.96, "Sí", "No")</f>
        <v>No</v>
      </c>
      <c r="N51" s="14">
        <f>IF(ISBLANK(moras[[#This Row],[SALARIO]]), EDA!$M$8, moras[[#This Row],[SALARIO]])</f>
        <v>443282</v>
      </c>
      <c r="O51" s="14">
        <f xml:space="preserve"> IF(ISBLANK(moras[[#This Row],[EDAD]]), EDA!$E$8, moras[[#This Row],[EDAD]])</f>
        <v>41</v>
      </c>
      <c r="P51" s="14" t="str">
        <f>IF(
    OR(ISBLANK(moras[[#This Row],[TIPO_ASEGURAMIENTO]]), moras[[#This Row],[TIPO_ASEGURAMIENTO]]=""),
    EDA!$A$32,
    moras[[#This Row],[TIPO_ASEGURAMIENTO]]
)</f>
        <v>ASALARIADO</v>
      </c>
    </row>
    <row r="52" spans="1:16" x14ac:dyDescent="0.3">
      <c r="A52">
        <v>51</v>
      </c>
      <c r="B52" t="s">
        <v>9</v>
      </c>
      <c r="C52">
        <v>29704499</v>
      </c>
      <c r="D52" t="s">
        <v>18</v>
      </c>
      <c r="E52" t="s">
        <v>16</v>
      </c>
      <c r="F52" t="s">
        <v>12</v>
      </c>
      <c r="G52" t="s">
        <v>13</v>
      </c>
      <c r="H52" t="s">
        <v>13</v>
      </c>
      <c r="I52">
        <v>66</v>
      </c>
      <c r="J52">
        <f>ABS((I52-EDA!$A$15)/EDA!$B$15)</f>
        <v>1.6952482347100173</v>
      </c>
      <c r="K52" t="str">
        <f t="shared" si="0"/>
        <v>No</v>
      </c>
      <c r="L52">
        <f>ABS((C52-EDA!$F$15)/EDA!$G$15)</f>
        <v>0.11864985992033703</v>
      </c>
      <c r="M52" t="str">
        <f>IF(moras[[#This Row],[Z-Score Salario]]&gt;1.96, "Sí", "No")</f>
        <v>No</v>
      </c>
      <c r="N52" s="14">
        <f>IF(ISBLANK(moras[[#This Row],[SALARIO]]), EDA!$M$8, moras[[#This Row],[SALARIO]])</f>
        <v>29704499</v>
      </c>
      <c r="O52" s="14">
        <f xml:space="preserve"> IF(ISBLANK(moras[[#This Row],[EDAD]]), EDA!$E$8, moras[[#This Row],[EDAD]])</f>
        <v>66</v>
      </c>
      <c r="P52" s="14" t="str">
        <f>IF(
    OR(ISBLANK(moras[[#This Row],[TIPO_ASEGURAMIENTO]]), moras[[#This Row],[TIPO_ASEGURAMIENTO]]=""),
    EDA!$A$32,
    moras[[#This Row],[TIPO_ASEGURAMIENTO]]
)</f>
        <v>TRABAJADOR INDEPENDIENTE</v>
      </c>
    </row>
    <row r="53" spans="1:16" x14ac:dyDescent="0.3">
      <c r="A53">
        <v>52</v>
      </c>
      <c r="B53" t="s">
        <v>9</v>
      </c>
      <c r="C53">
        <v>150545892</v>
      </c>
      <c r="D53" t="s">
        <v>10</v>
      </c>
      <c r="E53" t="s">
        <v>11</v>
      </c>
      <c r="F53" t="s">
        <v>12</v>
      </c>
      <c r="G53" t="s">
        <v>13</v>
      </c>
      <c r="H53" t="s">
        <v>13</v>
      </c>
      <c r="J53">
        <f>ABS((I53-EDA!$A$15)/EDA!$B$15)</f>
        <v>2.9627235503810581</v>
      </c>
      <c r="K53" t="str">
        <f t="shared" si="0"/>
        <v>Sí</v>
      </c>
      <c r="L53">
        <f>ABS((C53-EDA!$F$15)/EDA!$G$15)</f>
        <v>2.1295359428535794</v>
      </c>
      <c r="M53" t="str">
        <f>IF(moras[[#This Row],[Z-Score Salario]]&gt;1.96, "Sí", "No")</f>
        <v>Sí</v>
      </c>
      <c r="N53" s="14">
        <f>IF(ISBLANK(moras[[#This Row],[SALARIO]]), EDA!$M$8, moras[[#This Row],[SALARIO]])</f>
        <v>150545892</v>
      </c>
      <c r="O53" s="14">
        <f xml:space="preserve"> IF(ISBLANK(moras[[#This Row],[EDAD]]), EDA!$E$8, moras[[#This Row],[EDAD]])</f>
        <v>41</v>
      </c>
      <c r="P53" s="14" t="str">
        <f>IF(
    OR(ISBLANK(moras[[#This Row],[TIPO_ASEGURAMIENTO]]), moras[[#This Row],[TIPO_ASEGURAMIENTO]]=""),
    EDA!$A$32,
    moras[[#This Row],[TIPO_ASEGURAMIENTO]]
)</f>
        <v>ASALARIADO</v>
      </c>
    </row>
    <row r="54" spans="1:16" x14ac:dyDescent="0.3">
      <c r="A54">
        <v>53</v>
      </c>
      <c r="B54" t="s">
        <v>15</v>
      </c>
      <c r="C54">
        <v>743436</v>
      </c>
      <c r="D54" t="s">
        <v>10</v>
      </c>
      <c r="E54" t="s">
        <v>16</v>
      </c>
      <c r="F54" t="s">
        <v>12</v>
      </c>
      <c r="G54" t="s">
        <v>13</v>
      </c>
      <c r="H54" t="s">
        <v>13</v>
      </c>
      <c r="I54">
        <v>28</v>
      </c>
      <c r="J54">
        <f>ABS((I54-EDA!$A$15)/EDA!$B$15)</f>
        <v>0.98661430822120777</v>
      </c>
      <c r="K54" t="str">
        <f t="shared" si="0"/>
        <v>No</v>
      </c>
      <c r="L54">
        <f>ABS((C54-EDA!$F$15)/EDA!$G$15)</f>
        <v>0.3632826723672779</v>
      </c>
      <c r="M54" t="str">
        <f>IF(moras[[#This Row],[Z-Score Salario]]&gt;1.96, "Sí", "No")</f>
        <v>No</v>
      </c>
      <c r="N54" s="14">
        <f>IF(ISBLANK(moras[[#This Row],[SALARIO]]), EDA!$M$8, moras[[#This Row],[SALARIO]])</f>
        <v>743436</v>
      </c>
      <c r="O54" s="14">
        <f xml:space="preserve"> IF(ISBLANK(moras[[#This Row],[EDAD]]), EDA!$E$8, moras[[#This Row],[EDAD]])</f>
        <v>28</v>
      </c>
      <c r="P54" s="14" t="str">
        <f>IF(
    OR(ISBLANK(moras[[#This Row],[TIPO_ASEGURAMIENTO]]), moras[[#This Row],[TIPO_ASEGURAMIENTO]]=""),
    EDA!$A$32,
    moras[[#This Row],[TIPO_ASEGURAMIENTO]]
)</f>
        <v>ASALARIADO</v>
      </c>
    </row>
    <row r="55" spans="1:16" x14ac:dyDescent="0.3">
      <c r="A55">
        <v>54</v>
      </c>
      <c r="B55" t="s">
        <v>9</v>
      </c>
      <c r="C55">
        <v>379422</v>
      </c>
      <c r="D55" t="s">
        <v>18</v>
      </c>
      <c r="E55" t="s">
        <v>16</v>
      </c>
      <c r="F55" t="s">
        <v>12</v>
      </c>
      <c r="G55" t="s">
        <v>13</v>
      </c>
      <c r="H55" t="s">
        <v>13</v>
      </c>
      <c r="I55">
        <v>43</v>
      </c>
      <c r="J55">
        <f>ABS((I55-EDA!$A$15)/EDA!$B$15)</f>
        <v>7.2015642935854773E-2</v>
      </c>
      <c r="K55" t="str">
        <f t="shared" si="0"/>
        <v>No</v>
      </c>
      <c r="L55">
        <f>ABS((C55-EDA!$F$15)/EDA!$G$15)</f>
        <v>0.36934012228920043</v>
      </c>
      <c r="M55" t="str">
        <f>IF(moras[[#This Row],[Z-Score Salario]]&gt;1.96, "Sí", "No")</f>
        <v>No</v>
      </c>
      <c r="N55" s="14">
        <f>IF(ISBLANK(moras[[#This Row],[SALARIO]]), EDA!$M$8, moras[[#This Row],[SALARIO]])</f>
        <v>379422</v>
      </c>
      <c r="O55" s="14">
        <f xml:space="preserve"> IF(ISBLANK(moras[[#This Row],[EDAD]]), EDA!$E$8, moras[[#This Row],[EDAD]])</f>
        <v>43</v>
      </c>
      <c r="P55" s="14" t="str">
        <f>IF(
    OR(ISBLANK(moras[[#This Row],[TIPO_ASEGURAMIENTO]]), moras[[#This Row],[TIPO_ASEGURAMIENTO]]=""),
    EDA!$A$32,
    moras[[#This Row],[TIPO_ASEGURAMIENTO]]
)</f>
        <v>TRABAJADOR INDEPENDIENTE</v>
      </c>
    </row>
    <row r="56" spans="1:16" x14ac:dyDescent="0.3">
      <c r="A56">
        <v>55</v>
      </c>
      <c r="B56" t="s">
        <v>9</v>
      </c>
      <c r="C56">
        <v>300000</v>
      </c>
      <c r="D56" t="s">
        <v>17</v>
      </c>
      <c r="E56" t="s">
        <v>16</v>
      </c>
      <c r="F56" t="s">
        <v>12</v>
      </c>
      <c r="G56" t="s">
        <v>13</v>
      </c>
      <c r="H56" t="s">
        <v>13</v>
      </c>
      <c r="I56">
        <v>44</v>
      </c>
      <c r="J56">
        <f>ABS((I56-EDA!$A$15)/EDA!$B$15)</f>
        <v>0.14259097301299228</v>
      </c>
      <c r="K56" t="str">
        <f t="shared" si="0"/>
        <v>No</v>
      </c>
      <c r="L56">
        <f>ABS((C56-EDA!$F$15)/EDA!$G$15)</f>
        <v>0.37066176043415894</v>
      </c>
      <c r="M56" t="str">
        <f>IF(moras[[#This Row],[Z-Score Salario]]&gt;1.96, "Sí", "No")</f>
        <v>No</v>
      </c>
      <c r="N56" s="14">
        <f>IF(ISBLANK(moras[[#This Row],[SALARIO]]), EDA!$M$8, moras[[#This Row],[SALARIO]])</f>
        <v>300000</v>
      </c>
      <c r="O56" s="14">
        <f xml:space="preserve"> IF(ISBLANK(moras[[#This Row],[EDAD]]), EDA!$E$8, moras[[#This Row],[EDAD]])</f>
        <v>44</v>
      </c>
      <c r="P56" s="14" t="str">
        <f>IF(
    OR(ISBLANK(moras[[#This Row],[TIPO_ASEGURAMIENTO]]), moras[[#This Row],[TIPO_ASEGURAMIENTO]]=""),
    EDA!$A$32,
    moras[[#This Row],[TIPO_ASEGURAMIENTO]]
)</f>
        <v>ASEGURADO VOLUNTARIO</v>
      </c>
    </row>
    <row r="57" spans="1:16" x14ac:dyDescent="0.3">
      <c r="A57">
        <v>56</v>
      </c>
      <c r="B57" t="s">
        <v>15</v>
      </c>
      <c r="C57">
        <v>15978722</v>
      </c>
      <c r="D57" t="s">
        <v>10</v>
      </c>
      <c r="E57" t="s">
        <v>16</v>
      </c>
      <c r="F57" t="s">
        <v>12</v>
      </c>
      <c r="G57" t="s">
        <v>12</v>
      </c>
      <c r="H57" t="s">
        <v>13</v>
      </c>
      <c r="I57">
        <v>44</v>
      </c>
      <c r="J57">
        <f>ABS((I57-EDA!$A$15)/EDA!$B$15)</f>
        <v>0.14259097301299228</v>
      </c>
      <c r="K57" t="str">
        <f t="shared" si="0"/>
        <v>No</v>
      </c>
      <c r="L57">
        <f>ABS((C57-EDA!$F$15)/EDA!$G$15)</f>
        <v>0.10975675855306301</v>
      </c>
      <c r="M57" t="str">
        <f>IF(moras[[#This Row],[Z-Score Salario]]&gt;1.96, "Sí", "No")</f>
        <v>No</v>
      </c>
      <c r="N57" s="14">
        <f>IF(ISBLANK(moras[[#This Row],[SALARIO]]), EDA!$M$8, moras[[#This Row],[SALARIO]])</f>
        <v>15978722</v>
      </c>
      <c r="O57" s="14">
        <f xml:space="preserve"> IF(ISBLANK(moras[[#This Row],[EDAD]]), EDA!$E$8, moras[[#This Row],[EDAD]])</f>
        <v>44</v>
      </c>
      <c r="P57" s="14" t="str">
        <f>IF(
    OR(ISBLANK(moras[[#This Row],[TIPO_ASEGURAMIENTO]]), moras[[#This Row],[TIPO_ASEGURAMIENTO]]=""),
    EDA!$A$32,
    moras[[#This Row],[TIPO_ASEGURAMIENTO]]
)</f>
        <v>ASALARIADO</v>
      </c>
    </row>
    <row r="58" spans="1:16" x14ac:dyDescent="0.3">
      <c r="A58">
        <v>57</v>
      </c>
      <c r="B58" t="s">
        <v>15</v>
      </c>
      <c r="C58">
        <v>26774104</v>
      </c>
      <c r="D58" t="s">
        <v>10</v>
      </c>
      <c r="E58" t="s">
        <v>16</v>
      </c>
      <c r="F58" t="s">
        <v>12</v>
      </c>
      <c r="G58" t="s">
        <v>13</v>
      </c>
      <c r="H58" t="s">
        <v>13</v>
      </c>
      <c r="I58">
        <v>32</v>
      </c>
      <c r="J58">
        <f>ABS((I58-EDA!$A$15)/EDA!$B$15)</f>
        <v>0.70431298791265773</v>
      </c>
      <c r="K58" t="str">
        <f t="shared" si="0"/>
        <v>No</v>
      </c>
      <c r="L58">
        <f>ABS((C58-EDA!$F$15)/EDA!$G$15)</f>
        <v>6.9886018518763984E-2</v>
      </c>
      <c r="M58" t="str">
        <f>IF(moras[[#This Row],[Z-Score Salario]]&gt;1.96, "Sí", "No")</f>
        <v>No</v>
      </c>
      <c r="N58" s="14">
        <f>IF(ISBLANK(moras[[#This Row],[SALARIO]]), EDA!$M$8, moras[[#This Row],[SALARIO]])</f>
        <v>26774104</v>
      </c>
      <c r="O58" s="14">
        <f xml:space="preserve"> IF(ISBLANK(moras[[#This Row],[EDAD]]), EDA!$E$8, moras[[#This Row],[EDAD]])</f>
        <v>32</v>
      </c>
      <c r="P58" s="14" t="str">
        <f>IF(
    OR(ISBLANK(moras[[#This Row],[TIPO_ASEGURAMIENTO]]), moras[[#This Row],[TIPO_ASEGURAMIENTO]]=""),
    EDA!$A$32,
    moras[[#This Row],[TIPO_ASEGURAMIENTO]]
)</f>
        <v>ASALARIADO</v>
      </c>
    </row>
    <row r="59" spans="1:16" x14ac:dyDescent="0.3">
      <c r="A59">
        <v>58</v>
      </c>
      <c r="B59" t="s">
        <v>15</v>
      </c>
      <c r="C59">
        <v>376777</v>
      </c>
      <c r="D59" t="s">
        <v>10</v>
      </c>
      <c r="E59" t="s">
        <v>16</v>
      </c>
      <c r="F59" t="s">
        <v>12</v>
      </c>
      <c r="G59" t="s">
        <v>13</v>
      </c>
      <c r="H59" t="s">
        <v>13</v>
      </c>
      <c r="I59">
        <v>43</v>
      </c>
      <c r="J59">
        <f>ABS((I59-EDA!$A$15)/EDA!$B$15)</f>
        <v>7.2015642935854773E-2</v>
      </c>
      <c r="K59" t="str">
        <f t="shared" si="0"/>
        <v>No</v>
      </c>
      <c r="L59">
        <f>ABS((C59-EDA!$F$15)/EDA!$G$15)</f>
        <v>0.3693841369563382</v>
      </c>
      <c r="M59" t="str">
        <f>IF(moras[[#This Row],[Z-Score Salario]]&gt;1.96, "Sí", "No")</f>
        <v>No</v>
      </c>
      <c r="N59" s="14">
        <f>IF(ISBLANK(moras[[#This Row],[SALARIO]]), EDA!$M$8, moras[[#This Row],[SALARIO]])</f>
        <v>376777</v>
      </c>
      <c r="O59" s="14">
        <f xml:space="preserve"> IF(ISBLANK(moras[[#This Row],[EDAD]]), EDA!$E$8, moras[[#This Row],[EDAD]])</f>
        <v>43</v>
      </c>
      <c r="P59" s="14" t="str">
        <f>IF(
    OR(ISBLANK(moras[[#This Row],[TIPO_ASEGURAMIENTO]]), moras[[#This Row],[TIPO_ASEGURAMIENTO]]=""),
    EDA!$A$32,
    moras[[#This Row],[TIPO_ASEGURAMIENTO]]
)</f>
        <v>ASALARIADO</v>
      </c>
    </row>
    <row r="60" spans="1:16" x14ac:dyDescent="0.3">
      <c r="A60">
        <v>59</v>
      </c>
      <c r="B60" t="s">
        <v>9</v>
      </c>
      <c r="C60">
        <v>386161</v>
      </c>
      <c r="D60" t="s">
        <v>18</v>
      </c>
      <c r="E60" t="s">
        <v>16</v>
      </c>
      <c r="F60" t="s">
        <v>12</v>
      </c>
      <c r="G60" t="s">
        <v>13</v>
      </c>
      <c r="H60" t="s">
        <v>12</v>
      </c>
      <c r="I60">
        <v>45</v>
      </c>
      <c r="J60">
        <f>ABS((I60-EDA!$A$15)/EDA!$B$15)</f>
        <v>0.21316630309012977</v>
      </c>
      <c r="K60" t="str">
        <f t="shared" si="0"/>
        <v>No</v>
      </c>
      <c r="L60">
        <f>ABS((C60-EDA!$F$15)/EDA!$G$15)</f>
        <v>0.36922798057205813</v>
      </c>
      <c r="M60" t="str">
        <f>IF(moras[[#This Row],[Z-Score Salario]]&gt;1.96, "Sí", "No")</f>
        <v>No</v>
      </c>
      <c r="N60" s="14">
        <f>IF(ISBLANK(moras[[#This Row],[SALARIO]]), EDA!$M$8, moras[[#This Row],[SALARIO]])</f>
        <v>386161</v>
      </c>
      <c r="O60" s="14">
        <f xml:space="preserve"> IF(ISBLANK(moras[[#This Row],[EDAD]]), EDA!$E$8, moras[[#This Row],[EDAD]])</f>
        <v>45</v>
      </c>
      <c r="P60" s="14" t="str">
        <f>IF(
    OR(ISBLANK(moras[[#This Row],[TIPO_ASEGURAMIENTO]]), moras[[#This Row],[TIPO_ASEGURAMIENTO]]=""),
    EDA!$A$32,
    moras[[#This Row],[TIPO_ASEGURAMIENTO]]
)</f>
        <v>TRABAJADOR INDEPENDIENTE</v>
      </c>
    </row>
    <row r="61" spans="1:16" x14ac:dyDescent="0.3">
      <c r="A61">
        <v>60</v>
      </c>
      <c r="B61" t="s">
        <v>9</v>
      </c>
      <c r="C61">
        <v>278030</v>
      </c>
      <c r="D61" t="s">
        <v>19</v>
      </c>
      <c r="E61" t="s">
        <v>16</v>
      </c>
      <c r="F61" t="s">
        <v>12</v>
      </c>
      <c r="G61" t="s">
        <v>13</v>
      </c>
      <c r="H61" t="s">
        <v>13</v>
      </c>
      <c r="I61">
        <v>22</v>
      </c>
      <c r="J61">
        <f>ABS((I61-EDA!$A$15)/EDA!$B$15)</f>
        <v>1.4100662886840327</v>
      </c>
      <c r="K61" t="str">
        <f t="shared" si="0"/>
        <v>No</v>
      </c>
      <c r="L61">
        <f>ABS((C61-EDA!$F$15)/EDA!$G$15)</f>
        <v>0.37102735674304993</v>
      </c>
      <c r="M61" t="str">
        <f>IF(moras[[#This Row],[Z-Score Salario]]&gt;1.96, "Sí", "No")</f>
        <v>No</v>
      </c>
      <c r="N61" s="14">
        <f>IF(ISBLANK(moras[[#This Row],[SALARIO]]), EDA!$M$8, moras[[#This Row],[SALARIO]])</f>
        <v>278030</v>
      </c>
      <c r="O61" s="14">
        <f xml:space="preserve"> IF(ISBLANK(moras[[#This Row],[EDAD]]), EDA!$E$8, moras[[#This Row],[EDAD]])</f>
        <v>22</v>
      </c>
      <c r="P61" s="14" t="str">
        <f>IF(
    OR(ISBLANK(moras[[#This Row],[TIPO_ASEGURAMIENTO]]), moras[[#This Row],[TIPO_ASEGURAMIENTO]]=""),
    EDA!$A$32,
    moras[[#This Row],[TIPO_ASEGURAMIENTO]]
)</f>
        <v>CONVENIOS ESPECIALES DE TRABAJADORES INDEPENDIENTES</v>
      </c>
    </row>
    <row r="62" spans="1:16" x14ac:dyDescent="0.3">
      <c r="A62">
        <v>61</v>
      </c>
      <c r="B62" t="s">
        <v>9</v>
      </c>
      <c r="C62">
        <v>159401266</v>
      </c>
      <c r="D62" t="s">
        <v>10</v>
      </c>
      <c r="E62" t="s">
        <v>16</v>
      </c>
      <c r="F62" t="s">
        <v>12</v>
      </c>
      <c r="G62" t="s">
        <v>13</v>
      </c>
      <c r="H62" t="s">
        <v>13</v>
      </c>
      <c r="I62">
        <v>32</v>
      </c>
      <c r="J62">
        <f>ABS((I62-EDA!$A$15)/EDA!$B$15)</f>
        <v>0.70431298791265773</v>
      </c>
      <c r="K62" t="str">
        <f t="shared" si="0"/>
        <v>No</v>
      </c>
      <c r="L62">
        <f>ABS((C62-EDA!$F$15)/EDA!$G$15)</f>
        <v>2.2768956173300965</v>
      </c>
      <c r="M62" t="str">
        <f>IF(moras[[#This Row],[Z-Score Salario]]&gt;1.96, "Sí", "No")</f>
        <v>Sí</v>
      </c>
      <c r="N62" s="14">
        <f>IF(ISBLANK(moras[[#This Row],[SALARIO]]), EDA!$M$8, moras[[#This Row],[SALARIO]])</f>
        <v>159401266</v>
      </c>
      <c r="O62" s="14">
        <f xml:space="preserve"> IF(ISBLANK(moras[[#This Row],[EDAD]]), EDA!$E$8, moras[[#This Row],[EDAD]])</f>
        <v>32</v>
      </c>
      <c r="P62" s="14" t="str">
        <f>IF(
    OR(ISBLANK(moras[[#This Row],[TIPO_ASEGURAMIENTO]]), moras[[#This Row],[TIPO_ASEGURAMIENTO]]=""),
    EDA!$A$32,
    moras[[#This Row],[TIPO_ASEGURAMIENTO]]
)</f>
        <v>ASALARIADO</v>
      </c>
    </row>
    <row r="63" spans="1:16" x14ac:dyDescent="0.3">
      <c r="A63">
        <v>62</v>
      </c>
      <c r="B63" t="s">
        <v>9</v>
      </c>
      <c r="C63">
        <v>140172503</v>
      </c>
      <c r="D63" t="s">
        <v>14</v>
      </c>
      <c r="E63" t="s">
        <v>11</v>
      </c>
      <c r="F63" t="s">
        <v>12</v>
      </c>
      <c r="G63" t="s">
        <v>13</v>
      </c>
      <c r="H63" t="s">
        <v>13</v>
      </c>
      <c r="I63">
        <v>85</v>
      </c>
      <c r="J63">
        <f>ABS((I63-EDA!$A$15)/EDA!$B$15)</f>
        <v>3.03617950617563</v>
      </c>
      <c r="K63" t="str">
        <f t="shared" si="0"/>
        <v>Sí</v>
      </c>
      <c r="L63">
        <f>ABS((C63-EDA!$F$15)/EDA!$G$15)</f>
        <v>1.9569154271917584</v>
      </c>
      <c r="M63" t="str">
        <f>IF(moras[[#This Row],[Z-Score Salario]]&gt;1.96, "Sí", "No")</f>
        <v>No</v>
      </c>
      <c r="N63" s="14">
        <f>IF(ISBLANK(moras[[#This Row],[SALARIO]]), EDA!$M$8, moras[[#This Row],[SALARIO]])</f>
        <v>140172503</v>
      </c>
      <c r="O63" s="14">
        <f xml:space="preserve"> IF(ISBLANK(moras[[#This Row],[EDAD]]), EDA!$E$8, moras[[#This Row],[EDAD]])</f>
        <v>85</v>
      </c>
      <c r="P63" s="14" t="str">
        <f>IF(
    OR(ISBLANK(moras[[#This Row],[TIPO_ASEGURAMIENTO]]), moras[[#This Row],[TIPO_ASEGURAMIENTO]]=""),
    EDA!$A$32,
    moras[[#This Row],[TIPO_ASEGURAMIENTO]]
)</f>
        <v>PENSIONADOS EN SU PROPIO SISTEMA</v>
      </c>
    </row>
    <row r="64" spans="1:16" x14ac:dyDescent="0.3">
      <c r="A64">
        <v>63</v>
      </c>
      <c r="B64" t="s">
        <v>9</v>
      </c>
      <c r="C64">
        <v>36635849</v>
      </c>
      <c r="D64" t="s">
        <v>10</v>
      </c>
      <c r="E64" t="s">
        <v>16</v>
      </c>
      <c r="F64" t="s">
        <v>12</v>
      </c>
      <c r="G64" t="s">
        <v>13</v>
      </c>
      <c r="H64" t="s">
        <v>13</v>
      </c>
      <c r="I64">
        <v>51</v>
      </c>
      <c r="J64">
        <f>ABS((I64-EDA!$A$15)/EDA!$B$15)</f>
        <v>0.6366182835529548</v>
      </c>
      <c r="K64" t="str">
        <f t="shared" si="0"/>
        <v>No</v>
      </c>
      <c r="L64">
        <f>ABS((C64-EDA!$F$15)/EDA!$G$15)</f>
        <v>0.23399241684484492</v>
      </c>
      <c r="M64" t="str">
        <f>IF(moras[[#This Row],[Z-Score Salario]]&gt;1.96, "Sí", "No")</f>
        <v>No</v>
      </c>
      <c r="N64" s="14">
        <f>IF(ISBLANK(moras[[#This Row],[SALARIO]]), EDA!$M$8, moras[[#This Row],[SALARIO]])</f>
        <v>36635849</v>
      </c>
      <c r="O64" s="14">
        <f xml:space="preserve"> IF(ISBLANK(moras[[#This Row],[EDAD]]), EDA!$E$8, moras[[#This Row],[EDAD]])</f>
        <v>51</v>
      </c>
      <c r="P64" s="14" t="str">
        <f>IF(
    OR(ISBLANK(moras[[#This Row],[TIPO_ASEGURAMIENTO]]), moras[[#This Row],[TIPO_ASEGURAMIENTO]]=""),
    EDA!$A$32,
    moras[[#This Row],[TIPO_ASEGURAMIENTO]]
)</f>
        <v>ASALARIADO</v>
      </c>
    </row>
    <row r="65" spans="1:16" x14ac:dyDescent="0.3">
      <c r="A65">
        <v>64</v>
      </c>
      <c r="B65" t="s">
        <v>15</v>
      </c>
      <c r="C65">
        <v>411794</v>
      </c>
      <c r="D65" t="s">
        <v>18</v>
      </c>
      <c r="E65" t="s">
        <v>16</v>
      </c>
      <c r="F65" t="s">
        <v>12</v>
      </c>
      <c r="G65" t="s">
        <v>13</v>
      </c>
      <c r="H65" t="s">
        <v>13</v>
      </c>
      <c r="I65">
        <v>53</v>
      </c>
      <c r="J65">
        <f>ABS((I65-EDA!$A$15)/EDA!$B$15)</f>
        <v>0.77776894370722982</v>
      </c>
      <c r="K65" t="str">
        <f t="shared" si="0"/>
        <v>No</v>
      </c>
      <c r="L65">
        <f>ABS((C65-EDA!$F$15)/EDA!$G$15)</f>
        <v>0.36880142935741078</v>
      </c>
      <c r="M65" t="str">
        <f>IF(moras[[#This Row],[Z-Score Salario]]&gt;1.96, "Sí", "No")</f>
        <v>No</v>
      </c>
      <c r="N65" s="14">
        <f>IF(ISBLANK(moras[[#This Row],[SALARIO]]), EDA!$M$8, moras[[#This Row],[SALARIO]])</f>
        <v>411794</v>
      </c>
      <c r="O65" s="14">
        <f xml:space="preserve"> IF(ISBLANK(moras[[#This Row],[EDAD]]), EDA!$E$8, moras[[#This Row],[EDAD]])</f>
        <v>53</v>
      </c>
      <c r="P65" s="14" t="str">
        <f>IF(
    OR(ISBLANK(moras[[#This Row],[TIPO_ASEGURAMIENTO]]), moras[[#This Row],[TIPO_ASEGURAMIENTO]]=""),
    EDA!$A$32,
    moras[[#This Row],[TIPO_ASEGURAMIENTO]]
)</f>
        <v>TRABAJADOR INDEPENDIENTE</v>
      </c>
    </row>
    <row r="66" spans="1:16" x14ac:dyDescent="0.3">
      <c r="A66">
        <v>65</v>
      </c>
      <c r="B66" t="s">
        <v>9</v>
      </c>
      <c r="C66">
        <v>34051083</v>
      </c>
      <c r="D66" t="s">
        <v>10</v>
      </c>
      <c r="E66" t="s">
        <v>16</v>
      </c>
      <c r="F66" t="s">
        <v>12</v>
      </c>
      <c r="G66" t="s">
        <v>13</v>
      </c>
      <c r="H66" t="s">
        <v>13</v>
      </c>
      <c r="I66">
        <v>40</v>
      </c>
      <c r="J66">
        <f>ABS((I66-EDA!$A$15)/EDA!$B$15)</f>
        <v>0.13971034729555773</v>
      </c>
      <c r="K66" t="str">
        <f t="shared" ref="K66:K129" si="1">IF(J66 &gt;  1.96, "Sí","No")</f>
        <v>No</v>
      </c>
      <c r="L66">
        <f>ABS((C66-EDA!$F$15)/EDA!$G$15)</f>
        <v>0.1909800859869987</v>
      </c>
      <c r="M66" t="str">
        <f>IF(moras[[#This Row],[Z-Score Salario]]&gt;1.96, "Sí", "No")</f>
        <v>No</v>
      </c>
      <c r="N66" s="14">
        <f>IF(ISBLANK(moras[[#This Row],[SALARIO]]), EDA!$M$8, moras[[#This Row],[SALARIO]])</f>
        <v>34051083</v>
      </c>
      <c r="O66" s="14">
        <f xml:space="preserve"> IF(ISBLANK(moras[[#This Row],[EDAD]]), EDA!$E$8, moras[[#This Row],[EDAD]])</f>
        <v>40</v>
      </c>
      <c r="P66" s="14" t="str">
        <f>IF(
    OR(ISBLANK(moras[[#This Row],[TIPO_ASEGURAMIENTO]]), moras[[#This Row],[TIPO_ASEGURAMIENTO]]=""),
    EDA!$A$32,
    moras[[#This Row],[TIPO_ASEGURAMIENTO]]
)</f>
        <v>ASALARIADO</v>
      </c>
    </row>
    <row r="67" spans="1:16" x14ac:dyDescent="0.3">
      <c r="A67">
        <v>66</v>
      </c>
      <c r="B67" t="s">
        <v>9</v>
      </c>
      <c r="C67">
        <v>3217736</v>
      </c>
      <c r="D67" t="s">
        <v>10</v>
      </c>
      <c r="E67" t="s">
        <v>16</v>
      </c>
      <c r="F67" t="s">
        <v>12</v>
      </c>
      <c r="G67" t="s">
        <v>13</v>
      </c>
      <c r="H67" t="s">
        <v>13</v>
      </c>
      <c r="I67">
        <v>32</v>
      </c>
      <c r="J67">
        <f>ABS((I67-EDA!$A$15)/EDA!$B$15)</f>
        <v>0.70431298791265773</v>
      </c>
      <c r="K67" t="str">
        <f t="shared" si="1"/>
        <v>No</v>
      </c>
      <c r="L67">
        <f>ABS((C67-EDA!$F$15)/EDA!$G$15)</f>
        <v>0.32210857372872842</v>
      </c>
      <c r="M67" t="str">
        <f>IF(moras[[#This Row],[Z-Score Salario]]&gt;1.96, "Sí", "No")</f>
        <v>No</v>
      </c>
      <c r="N67" s="14">
        <f>IF(ISBLANK(moras[[#This Row],[SALARIO]]), EDA!$M$8, moras[[#This Row],[SALARIO]])</f>
        <v>3217736</v>
      </c>
      <c r="O67" s="14">
        <f xml:space="preserve"> IF(ISBLANK(moras[[#This Row],[EDAD]]), EDA!$E$8, moras[[#This Row],[EDAD]])</f>
        <v>32</v>
      </c>
      <c r="P67" s="14" t="str">
        <f>IF(
    OR(ISBLANK(moras[[#This Row],[TIPO_ASEGURAMIENTO]]), moras[[#This Row],[TIPO_ASEGURAMIENTO]]=""),
    EDA!$A$32,
    moras[[#This Row],[TIPO_ASEGURAMIENTO]]
)</f>
        <v>ASALARIADO</v>
      </c>
    </row>
    <row r="68" spans="1:16" x14ac:dyDescent="0.3">
      <c r="A68">
        <v>67</v>
      </c>
      <c r="B68" t="s">
        <v>9</v>
      </c>
      <c r="C68">
        <v>13360353</v>
      </c>
      <c r="D68" t="s">
        <v>14</v>
      </c>
      <c r="E68" t="s">
        <v>11</v>
      </c>
      <c r="F68" t="s">
        <v>12</v>
      </c>
      <c r="G68" t="s">
        <v>13</v>
      </c>
      <c r="H68" t="s">
        <v>13</v>
      </c>
      <c r="I68">
        <v>72</v>
      </c>
      <c r="J68">
        <f>ABS((I68-EDA!$A$15)/EDA!$B$15)</f>
        <v>2.1187002151728422</v>
      </c>
      <c r="K68" t="str">
        <f t="shared" si="1"/>
        <v>Sí</v>
      </c>
      <c r="L68">
        <f>ABS((C68-EDA!$F$15)/EDA!$G$15)</f>
        <v>0.15332826705167682</v>
      </c>
      <c r="M68" t="str">
        <f>IF(moras[[#This Row],[Z-Score Salario]]&gt;1.96, "Sí", "No")</f>
        <v>No</v>
      </c>
      <c r="N68" s="14">
        <f>IF(ISBLANK(moras[[#This Row],[SALARIO]]), EDA!$M$8, moras[[#This Row],[SALARIO]])</f>
        <v>13360353</v>
      </c>
      <c r="O68" s="14">
        <f xml:space="preserve"> IF(ISBLANK(moras[[#This Row],[EDAD]]), EDA!$E$8, moras[[#This Row],[EDAD]])</f>
        <v>72</v>
      </c>
      <c r="P68" s="14" t="str">
        <f>IF(
    OR(ISBLANK(moras[[#This Row],[TIPO_ASEGURAMIENTO]]), moras[[#This Row],[TIPO_ASEGURAMIENTO]]=""),
    EDA!$A$32,
    moras[[#This Row],[TIPO_ASEGURAMIENTO]]
)</f>
        <v>PENSIONADOS EN SU PROPIO SISTEMA</v>
      </c>
    </row>
    <row r="69" spans="1:16" x14ac:dyDescent="0.3">
      <c r="A69">
        <v>68</v>
      </c>
      <c r="B69" t="s">
        <v>9</v>
      </c>
      <c r="C69">
        <v>14043581</v>
      </c>
      <c r="D69" t="s">
        <v>14</v>
      </c>
      <c r="E69" t="s">
        <v>11</v>
      </c>
      <c r="F69" t="s">
        <v>12</v>
      </c>
      <c r="G69" t="s">
        <v>13</v>
      </c>
      <c r="H69" t="s">
        <v>13</v>
      </c>
      <c r="I69">
        <v>74</v>
      </c>
      <c r="J69">
        <f>ABS((I69-EDA!$A$15)/EDA!$B$15)</f>
        <v>2.2598508753271176</v>
      </c>
      <c r="K69" t="str">
        <f t="shared" si="1"/>
        <v>Sí</v>
      </c>
      <c r="L69">
        <f>ABS((C69-EDA!$F$15)/EDA!$G$15)</f>
        <v>0.14195887083269815</v>
      </c>
      <c r="M69" t="str">
        <f>IF(moras[[#This Row],[Z-Score Salario]]&gt;1.96, "Sí", "No")</f>
        <v>No</v>
      </c>
      <c r="N69" s="14">
        <f>IF(ISBLANK(moras[[#This Row],[SALARIO]]), EDA!$M$8, moras[[#This Row],[SALARIO]])</f>
        <v>14043581</v>
      </c>
      <c r="O69" s="14">
        <f xml:space="preserve"> IF(ISBLANK(moras[[#This Row],[EDAD]]), EDA!$E$8, moras[[#This Row],[EDAD]])</f>
        <v>74</v>
      </c>
      <c r="P69" s="14" t="str">
        <f>IF(
    OR(ISBLANK(moras[[#This Row],[TIPO_ASEGURAMIENTO]]), moras[[#This Row],[TIPO_ASEGURAMIENTO]]=""),
    EDA!$A$32,
    moras[[#This Row],[TIPO_ASEGURAMIENTO]]
)</f>
        <v>PENSIONADOS EN SU PROPIO SISTEMA</v>
      </c>
    </row>
    <row r="70" spans="1:16" x14ac:dyDescent="0.3">
      <c r="A70">
        <v>69</v>
      </c>
      <c r="B70" t="s">
        <v>9</v>
      </c>
      <c r="C70">
        <v>18669325</v>
      </c>
      <c r="D70" t="s">
        <v>10</v>
      </c>
      <c r="E70" t="s">
        <v>11</v>
      </c>
      <c r="F70" t="s">
        <v>12</v>
      </c>
      <c r="G70" t="s">
        <v>13</v>
      </c>
      <c r="H70" t="s">
        <v>13</v>
      </c>
      <c r="I70">
        <v>57</v>
      </c>
      <c r="J70">
        <f>ABS((I70-EDA!$A$15)/EDA!$B$15)</f>
        <v>1.0600702640157798</v>
      </c>
      <c r="K70" t="str">
        <f t="shared" si="1"/>
        <v>No</v>
      </c>
      <c r="L70">
        <f>ABS((C70-EDA!$F$15)/EDA!$G$15)</f>
        <v>6.4983225303587536E-2</v>
      </c>
      <c r="M70" t="str">
        <f>IF(moras[[#This Row],[Z-Score Salario]]&gt;1.96, "Sí", "No")</f>
        <v>No</v>
      </c>
      <c r="N70" s="14">
        <f>IF(ISBLANK(moras[[#This Row],[SALARIO]]), EDA!$M$8, moras[[#This Row],[SALARIO]])</f>
        <v>18669325</v>
      </c>
      <c r="O70" s="14">
        <f xml:space="preserve"> IF(ISBLANK(moras[[#This Row],[EDAD]]), EDA!$E$8, moras[[#This Row],[EDAD]])</f>
        <v>57</v>
      </c>
      <c r="P70" s="14" t="str">
        <f>IF(
    OR(ISBLANK(moras[[#This Row],[TIPO_ASEGURAMIENTO]]), moras[[#This Row],[TIPO_ASEGURAMIENTO]]=""),
    EDA!$A$32,
    moras[[#This Row],[TIPO_ASEGURAMIENTO]]
)</f>
        <v>ASALARIADO</v>
      </c>
    </row>
    <row r="71" spans="1:16" x14ac:dyDescent="0.3">
      <c r="A71">
        <v>70</v>
      </c>
      <c r="B71" t="s">
        <v>9</v>
      </c>
      <c r="C71">
        <v>299647</v>
      </c>
      <c r="D71" t="s">
        <v>17</v>
      </c>
      <c r="E71" t="s">
        <v>16</v>
      </c>
      <c r="F71" t="s">
        <v>12</v>
      </c>
      <c r="G71" t="s">
        <v>13</v>
      </c>
      <c r="H71" t="s">
        <v>13</v>
      </c>
      <c r="J71">
        <f>ABS((I71-EDA!$A$15)/EDA!$B$15)</f>
        <v>2.9627235503810581</v>
      </c>
      <c r="K71" t="str">
        <f t="shared" si="1"/>
        <v>Sí</v>
      </c>
      <c r="L71">
        <f>ABS((C71-EDA!$F$15)/EDA!$G$15)</f>
        <v>0.37066763460334595</v>
      </c>
      <c r="M71" t="str">
        <f>IF(moras[[#This Row],[Z-Score Salario]]&gt;1.96, "Sí", "No")</f>
        <v>No</v>
      </c>
      <c r="N71" s="14">
        <f>IF(ISBLANK(moras[[#This Row],[SALARIO]]), EDA!$M$8, moras[[#This Row],[SALARIO]])</f>
        <v>299647</v>
      </c>
      <c r="O71" s="14">
        <f xml:space="preserve"> IF(ISBLANK(moras[[#This Row],[EDAD]]), EDA!$E$8, moras[[#This Row],[EDAD]])</f>
        <v>41</v>
      </c>
      <c r="P71" s="14" t="str">
        <f>IF(
    OR(ISBLANK(moras[[#This Row],[TIPO_ASEGURAMIENTO]]), moras[[#This Row],[TIPO_ASEGURAMIENTO]]=""),
    EDA!$A$32,
    moras[[#This Row],[TIPO_ASEGURAMIENTO]]
)</f>
        <v>ASEGURADO VOLUNTARIO</v>
      </c>
    </row>
    <row r="72" spans="1:16" x14ac:dyDescent="0.3">
      <c r="A72">
        <v>71</v>
      </c>
      <c r="B72" t="s">
        <v>15</v>
      </c>
      <c r="C72">
        <v>5441635</v>
      </c>
      <c r="D72" t="s">
        <v>10</v>
      </c>
      <c r="E72" t="s">
        <v>16</v>
      </c>
      <c r="F72" t="s">
        <v>12</v>
      </c>
      <c r="G72" t="s">
        <v>13</v>
      </c>
      <c r="H72" t="s">
        <v>13</v>
      </c>
      <c r="I72">
        <v>24</v>
      </c>
      <c r="J72">
        <f>ABS((I72-EDA!$A$15)/EDA!$B$15)</f>
        <v>1.2689156285297578</v>
      </c>
      <c r="K72" t="str">
        <f t="shared" si="1"/>
        <v>No</v>
      </c>
      <c r="L72">
        <f>ABS((C72-EDA!$F$15)/EDA!$G$15)</f>
        <v>0.28510132449129905</v>
      </c>
      <c r="M72" t="str">
        <f>IF(moras[[#This Row],[Z-Score Salario]]&gt;1.96, "Sí", "No")</f>
        <v>No</v>
      </c>
      <c r="N72" s="14">
        <f>IF(ISBLANK(moras[[#This Row],[SALARIO]]), EDA!$M$8, moras[[#This Row],[SALARIO]])</f>
        <v>5441635</v>
      </c>
      <c r="O72" s="14">
        <f xml:space="preserve"> IF(ISBLANK(moras[[#This Row],[EDAD]]), EDA!$E$8, moras[[#This Row],[EDAD]])</f>
        <v>24</v>
      </c>
      <c r="P72" s="14" t="str">
        <f>IF(
    OR(ISBLANK(moras[[#This Row],[TIPO_ASEGURAMIENTO]]), moras[[#This Row],[TIPO_ASEGURAMIENTO]]=""),
    EDA!$A$32,
    moras[[#This Row],[TIPO_ASEGURAMIENTO]]
)</f>
        <v>ASALARIADO</v>
      </c>
    </row>
    <row r="73" spans="1:16" x14ac:dyDescent="0.3">
      <c r="A73">
        <v>72</v>
      </c>
      <c r="B73" t="s">
        <v>15</v>
      </c>
      <c r="C73">
        <v>2128928</v>
      </c>
      <c r="D73" t="s">
        <v>20</v>
      </c>
      <c r="E73" t="s">
        <v>11</v>
      </c>
      <c r="F73" t="s">
        <v>12</v>
      </c>
      <c r="G73" t="s">
        <v>13</v>
      </c>
      <c r="H73" t="s">
        <v>12</v>
      </c>
      <c r="I73">
        <v>42</v>
      </c>
      <c r="J73">
        <f>ABS((I73-EDA!$A$15)/EDA!$B$15)</f>
        <v>1.4403128587172659E-3</v>
      </c>
      <c r="K73" t="str">
        <f t="shared" si="1"/>
        <v>No</v>
      </c>
      <c r="L73">
        <f>ABS((C73-EDA!$F$15)/EDA!$G$15)</f>
        <v>0.34022710745157597</v>
      </c>
      <c r="M73" t="str">
        <f>IF(moras[[#This Row],[Z-Score Salario]]&gt;1.96, "Sí", "No")</f>
        <v>No</v>
      </c>
      <c r="N73" s="14">
        <f>IF(ISBLANK(moras[[#This Row],[SALARIO]]), EDA!$M$8, moras[[#This Row],[SALARIO]])</f>
        <v>2128928</v>
      </c>
      <c r="O73" s="14">
        <f xml:space="preserve"> IF(ISBLANK(moras[[#This Row],[EDAD]]), EDA!$E$8, moras[[#This Row],[EDAD]])</f>
        <v>42</v>
      </c>
      <c r="P73" s="14" t="str">
        <f>IF(
    OR(ISBLANK(moras[[#This Row],[TIPO_ASEGURAMIENTO]]), moras[[#This Row],[TIPO_ASEGURAMIENTO]]=""),
    EDA!$A$32,
    moras[[#This Row],[TIPO_ASEGURAMIENTO]]
)</f>
        <v>ASALARIADO</v>
      </c>
    </row>
    <row r="74" spans="1:16" x14ac:dyDescent="0.3">
      <c r="A74">
        <v>73</v>
      </c>
      <c r="B74" t="s">
        <v>9</v>
      </c>
      <c r="C74">
        <v>278030</v>
      </c>
      <c r="D74" t="s">
        <v>19</v>
      </c>
      <c r="E74" t="s">
        <v>16</v>
      </c>
      <c r="F74" t="s">
        <v>12</v>
      </c>
      <c r="G74" t="s">
        <v>13</v>
      </c>
      <c r="H74" t="s">
        <v>13</v>
      </c>
      <c r="I74">
        <v>57</v>
      </c>
      <c r="J74">
        <f>ABS((I74-EDA!$A$15)/EDA!$B$15)</f>
        <v>1.0600702640157798</v>
      </c>
      <c r="K74" t="str">
        <f t="shared" si="1"/>
        <v>No</v>
      </c>
      <c r="L74">
        <f>ABS((C74-EDA!$F$15)/EDA!$G$15)</f>
        <v>0.37102735674304993</v>
      </c>
      <c r="M74" t="str">
        <f>IF(moras[[#This Row],[Z-Score Salario]]&gt;1.96, "Sí", "No")</f>
        <v>No</v>
      </c>
      <c r="N74" s="14">
        <f>IF(ISBLANK(moras[[#This Row],[SALARIO]]), EDA!$M$8, moras[[#This Row],[SALARIO]])</f>
        <v>278030</v>
      </c>
      <c r="O74" s="14">
        <f xml:space="preserve"> IF(ISBLANK(moras[[#This Row],[EDAD]]), EDA!$E$8, moras[[#This Row],[EDAD]])</f>
        <v>57</v>
      </c>
      <c r="P74" s="14" t="str">
        <f>IF(
    OR(ISBLANK(moras[[#This Row],[TIPO_ASEGURAMIENTO]]), moras[[#This Row],[TIPO_ASEGURAMIENTO]]=""),
    EDA!$A$32,
    moras[[#This Row],[TIPO_ASEGURAMIENTO]]
)</f>
        <v>CONVENIOS ESPECIALES DE TRABAJADORES INDEPENDIENTES</v>
      </c>
    </row>
    <row r="75" spans="1:16" x14ac:dyDescent="0.3">
      <c r="A75">
        <v>74</v>
      </c>
      <c r="B75" t="s">
        <v>15</v>
      </c>
      <c r="C75">
        <v>5089728</v>
      </c>
      <c r="D75" t="s">
        <v>10</v>
      </c>
      <c r="E75" t="s">
        <v>11</v>
      </c>
      <c r="F75" t="s">
        <v>12</v>
      </c>
      <c r="G75" t="s">
        <v>13</v>
      </c>
      <c r="H75" t="s">
        <v>13</v>
      </c>
      <c r="I75">
        <v>46</v>
      </c>
      <c r="J75">
        <f>ABS((I75-EDA!$A$15)/EDA!$B$15)</f>
        <v>0.2837416331672673</v>
      </c>
      <c r="K75" t="str">
        <f t="shared" si="1"/>
        <v>No</v>
      </c>
      <c r="L75">
        <f>ABS((C75-EDA!$F$15)/EDA!$G$15)</f>
        <v>0.29095730538674258</v>
      </c>
      <c r="M75" t="str">
        <f>IF(moras[[#This Row],[Z-Score Salario]]&gt;1.96, "Sí", "No")</f>
        <v>No</v>
      </c>
      <c r="N75" s="14">
        <f>IF(ISBLANK(moras[[#This Row],[SALARIO]]), EDA!$M$8, moras[[#This Row],[SALARIO]])</f>
        <v>5089728</v>
      </c>
      <c r="O75" s="14">
        <f xml:space="preserve"> IF(ISBLANK(moras[[#This Row],[EDAD]]), EDA!$E$8, moras[[#This Row],[EDAD]])</f>
        <v>46</v>
      </c>
      <c r="P75" s="14" t="str">
        <f>IF(
    OR(ISBLANK(moras[[#This Row],[TIPO_ASEGURAMIENTO]]), moras[[#This Row],[TIPO_ASEGURAMIENTO]]=""),
    EDA!$A$32,
    moras[[#This Row],[TIPO_ASEGURAMIENTO]]
)</f>
        <v>ASALARIADO</v>
      </c>
    </row>
    <row r="76" spans="1:16" x14ac:dyDescent="0.3">
      <c r="A76">
        <v>75</v>
      </c>
      <c r="B76" t="s">
        <v>9</v>
      </c>
      <c r="C76">
        <v>47642406</v>
      </c>
      <c r="D76" t="s">
        <v>10</v>
      </c>
      <c r="E76" t="s">
        <v>16</v>
      </c>
      <c r="F76" t="s">
        <v>12</v>
      </c>
      <c r="G76" t="s">
        <v>13</v>
      </c>
      <c r="H76" t="s">
        <v>13</v>
      </c>
      <c r="I76">
        <v>24</v>
      </c>
      <c r="J76">
        <f>ABS((I76-EDA!$A$15)/EDA!$B$15)</f>
        <v>1.2689156285297578</v>
      </c>
      <c r="K76" t="str">
        <f t="shared" si="1"/>
        <v>No</v>
      </c>
      <c r="L76">
        <f>ABS((C76-EDA!$F$15)/EDA!$G$15)</f>
        <v>0.41714929498768016</v>
      </c>
      <c r="M76" t="str">
        <f>IF(moras[[#This Row],[Z-Score Salario]]&gt;1.96, "Sí", "No")</f>
        <v>No</v>
      </c>
      <c r="N76" s="14">
        <f>IF(ISBLANK(moras[[#This Row],[SALARIO]]), EDA!$M$8, moras[[#This Row],[SALARIO]])</f>
        <v>47642406</v>
      </c>
      <c r="O76" s="14">
        <f xml:space="preserve"> IF(ISBLANK(moras[[#This Row],[EDAD]]), EDA!$E$8, moras[[#This Row],[EDAD]])</f>
        <v>24</v>
      </c>
      <c r="P76" s="14" t="str">
        <f>IF(
    OR(ISBLANK(moras[[#This Row],[TIPO_ASEGURAMIENTO]]), moras[[#This Row],[TIPO_ASEGURAMIENTO]]=""),
    EDA!$A$32,
    moras[[#This Row],[TIPO_ASEGURAMIENTO]]
)</f>
        <v>ASALARIADO</v>
      </c>
    </row>
    <row r="77" spans="1:16" x14ac:dyDescent="0.3">
      <c r="A77">
        <v>76</v>
      </c>
      <c r="B77" t="s">
        <v>15</v>
      </c>
      <c r="C77">
        <v>278035</v>
      </c>
      <c r="D77" t="s">
        <v>18</v>
      </c>
      <c r="E77" t="s">
        <v>16</v>
      </c>
      <c r="F77" t="s">
        <v>12</v>
      </c>
      <c r="G77" t="s">
        <v>13</v>
      </c>
      <c r="H77" t="s">
        <v>12</v>
      </c>
      <c r="I77">
        <v>27</v>
      </c>
      <c r="J77">
        <f>ABS((I77-EDA!$A$15)/EDA!$B$15)</f>
        <v>1.0571896382983452</v>
      </c>
      <c r="K77" t="str">
        <f t="shared" si="1"/>
        <v>No</v>
      </c>
      <c r="L77">
        <f>ABS((C77-EDA!$F$15)/EDA!$G$15)</f>
        <v>0.37102727353952036</v>
      </c>
      <c r="M77" t="str">
        <f>IF(moras[[#This Row],[Z-Score Salario]]&gt;1.96, "Sí", "No")</f>
        <v>No</v>
      </c>
      <c r="N77" s="14">
        <f>IF(ISBLANK(moras[[#This Row],[SALARIO]]), EDA!$M$8, moras[[#This Row],[SALARIO]])</f>
        <v>278035</v>
      </c>
      <c r="O77" s="14">
        <f xml:space="preserve"> IF(ISBLANK(moras[[#This Row],[EDAD]]), EDA!$E$8, moras[[#This Row],[EDAD]])</f>
        <v>27</v>
      </c>
      <c r="P77" s="14" t="str">
        <f>IF(
    OR(ISBLANK(moras[[#This Row],[TIPO_ASEGURAMIENTO]]), moras[[#This Row],[TIPO_ASEGURAMIENTO]]=""),
    EDA!$A$32,
    moras[[#This Row],[TIPO_ASEGURAMIENTO]]
)</f>
        <v>TRABAJADOR INDEPENDIENTE</v>
      </c>
    </row>
    <row r="78" spans="1:16" x14ac:dyDescent="0.3">
      <c r="A78">
        <v>77</v>
      </c>
      <c r="B78" t="s">
        <v>9</v>
      </c>
      <c r="C78">
        <v>297046</v>
      </c>
      <c r="D78" t="s">
        <v>17</v>
      </c>
      <c r="E78" t="s">
        <v>16</v>
      </c>
      <c r="F78" t="s">
        <v>13</v>
      </c>
      <c r="G78" t="s">
        <v>13</v>
      </c>
      <c r="H78" t="s">
        <v>12</v>
      </c>
      <c r="I78">
        <v>29</v>
      </c>
      <c r="J78">
        <f>ABS((I78-EDA!$A$15)/EDA!$B$15)</f>
        <v>0.91603897814407031</v>
      </c>
      <c r="K78" t="str">
        <f t="shared" si="1"/>
        <v>No</v>
      </c>
      <c r="L78">
        <f>ABS((C78-EDA!$F$15)/EDA!$G$15)</f>
        <v>0.37071091707942361</v>
      </c>
      <c r="M78" t="str">
        <f>IF(moras[[#This Row],[Z-Score Salario]]&gt;1.96, "Sí", "No")</f>
        <v>No</v>
      </c>
      <c r="N78" s="14">
        <f>IF(ISBLANK(moras[[#This Row],[SALARIO]]), EDA!$M$8, moras[[#This Row],[SALARIO]])</f>
        <v>297046</v>
      </c>
      <c r="O78" s="14">
        <f xml:space="preserve"> IF(ISBLANK(moras[[#This Row],[EDAD]]), EDA!$E$8, moras[[#This Row],[EDAD]])</f>
        <v>29</v>
      </c>
      <c r="P78" s="14" t="str">
        <f>IF(
    OR(ISBLANK(moras[[#This Row],[TIPO_ASEGURAMIENTO]]), moras[[#This Row],[TIPO_ASEGURAMIENTO]]=""),
    EDA!$A$32,
    moras[[#This Row],[TIPO_ASEGURAMIENTO]]
)</f>
        <v>ASEGURADO VOLUNTARIO</v>
      </c>
    </row>
    <row r="79" spans="1:16" x14ac:dyDescent="0.3">
      <c r="A79">
        <v>78</v>
      </c>
      <c r="B79" t="s">
        <v>15</v>
      </c>
      <c r="C79">
        <v>6438592</v>
      </c>
      <c r="D79" t="s">
        <v>10</v>
      </c>
      <c r="E79" t="s">
        <v>11</v>
      </c>
      <c r="F79" t="s">
        <v>12</v>
      </c>
      <c r="G79" t="s">
        <v>13</v>
      </c>
      <c r="H79" t="s">
        <v>13</v>
      </c>
      <c r="I79">
        <v>35</v>
      </c>
      <c r="J79">
        <f>ABS((I79-EDA!$A$15)/EDA!$B$15)</f>
        <v>0.49258699768124525</v>
      </c>
      <c r="K79" t="str">
        <f t="shared" si="1"/>
        <v>No</v>
      </c>
      <c r="L79">
        <f>ABS((C79-EDA!$F$15)/EDA!$G$15)</f>
        <v>0.26851125624719263</v>
      </c>
      <c r="M79" t="str">
        <f>IF(moras[[#This Row],[Z-Score Salario]]&gt;1.96, "Sí", "No")</f>
        <v>No</v>
      </c>
      <c r="N79" s="14">
        <f>IF(ISBLANK(moras[[#This Row],[SALARIO]]), EDA!$M$8, moras[[#This Row],[SALARIO]])</f>
        <v>6438592</v>
      </c>
      <c r="O79" s="14">
        <f xml:space="preserve"> IF(ISBLANK(moras[[#This Row],[EDAD]]), EDA!$E$8, moras[[#This Row],[EDAD]])</f>
        <v>35</v>
      </c>
      <c r="P79" s="14" t="str">
        <f>IF(
    OR(ISBLANK(moras[[#This Row],[TIPO_ASEGURAMIENTO]]), moras[[#This Row],[TIPO_ASEGURAMIENTO]]=""),
    EDA!$A$32,
    moras[[#This Row],[TIPO_ASEGURAMIENTO]]
)</f>
        <v>ASALARIADO</v>
      </c>
    </row>
    <row r="80" spans="1:16" x14ac:dyDescent="0.3">
      <c r="A80">
        <v>79</v>
      </c>
      <c r="B80" t="s">
        <v>9</v>
      </c>
      <c r="C80">
        <v>36467816</v>
      </c>
      <c r="D80" t="s">
        <v>10</v>
      </c>
      <c r="E80" t="s">
        <v>16</v>
      </c>
      <c r="F80" t="s">
        <v>12</v>
      </c>
      <c r="G80" t="s">
        <v>13</v>
      </c>
      <c r="H80" t="s">
        <v>13</v>
      </c>
      <c r="I80">
        <v>28</v>
      </c>
      <c r="J80">
        <f>ABS((I80-EDA!$A$15)/EDA!$B$15)</f>
        <v>0.98661430822120777</v>
      </c>
      <c r="K80" t="str">
        <f t="shared" si="1"/>
        <v>No</v>
      </c>
      <c r="L80">
        <f>ABS((C80-EDA!$F$15)/EDA!$G$15)</f>
        <v>0.2311962291083007</v>
      </c>
      <c r="M80" t="str">
        <f>IF(moras[[#This Row],[Z-Score Salario]]&gt;1.96, "Sí", "No")</f>
        <v>No</v>
      </c>
      <c r="N80" s="14">
        <f>IF(ISBLANK(moras[[#This Row],[SALARIO]]), EDA!$M$8, moras[[#This Row],[SALARIO]])</f>
        <v>36467816</v>
      </c>
      <c r="O80" s="14">
        <f xml:space="preserve"> IF(ISBLANK(moras[[#This Row],[EDAD]]), EDA!$E$8, moras[[#This Row],[EDAD]])</f>
        <v>28</v>
      </c>
      <c r="P80" s="14" t="str">
        <f>IF(
    OR(ISBLANK(moras[[#This Row],[TIPO_ASEGURAMIENTO]]), moras[[#This Row],[TIPO_ASEGURAMIENTO]]=""),
    EDA!$A$32,
    moras[[#This Row],[TIPO_ASEGURAMIENTO]]
)</f>
        <v>ASALARIADO</v>
      </c>
    </row>
    <row r="81" spans="1:16" x14ac:dyDescent="0.3">
      <c r="A81">
        <v>80</v>
      </c>
      <c r="B81" t="s">
        <v>15</v>
      </c>
      <c r="C81">
        <v>297046</v>
      </c>
      <c r="D81" t="s">
        <v>17</v>
      </c>
      <c r="E81" t="s">
        <v>16</v>
      </c>
      <c r="F81" t="s">
        <v>12</v>
      </c>
      <c r="G81" t="s">
        <v>13</v>
      </c>
      <c r="H81" t="s">
        <v>13</v>
      </c>
      <c r="I81">
        <v>50</v>
      </c>
      <c r="J81">
        <f>ABS((I81-EDA!$A$15)/EDA!$B$15)</f>
        <v>0.56604295347581735</v>
      </c>
      <c r="K81" t="str">
        <f t="shared" si="1"/>
        <v>No</v>
      </c>
      <c r="L81">
        <f>ABS((C81-EDA!$F$15)/EDA!$G$15)</f>
        <v>0.37071091707942361</v>
      </c>
      <c r="M81" t="str">
        <f>IF(moras[[#This Row],[Z-Score Salario]]&gt;1.96, "Sí", "No")</f>
        <v>No</v>
      </c>
      <c r="N81" s="14">
        <f>IF(ISBLANK(moras[[#This Row],[SALARIO]]), EDA!$M$8, moras[[#This Row],[SALARIO]])</f>
        <v>297046</v>
      </c>
      <c r="O81" s="14">
        <f xml:space="preserve"> IF(ISBLANK(moras[[#This Row],[EDAD]]), EDA!$E$8, moras[[#This Row],[EDAD]])</f>
        <v>50</v>
      </c>
      <c r="P81" s="14" t="str">
        <f>IF(
    OR(ISBLANK(moras[[#This Row],[TIPO_ASEGURAMIENTO]]), moras[[#This Row],[TIPO_ASEGURAMIENTO]]=""),
    EDA!$A$32,
    moras[[#This Row],[TIPO_ASEGURAMIENTO]]
)</f>
        <v>ASEGURADO VOLUNTARIO</v>
      </c>
    </row>
    <row r="82" spans="1:16" x14ac:dyDescent="0.3">
      <c r="A82">
        <v>81</v>
      </c>
      <c r="B82" t="s">
        <v>15</v>
      </c>
      <c r="C82">
        <v>909000</v>
      </c>
      <c r="D82" t="s">
        <v>10</v>
      </c>
      <c r="E82" t="s">
        <v>16</v>
      </c>
      <c r="F82" t="s">
        <v>12</v>
      </c>
      <c r="G82" t="s">
        <v>13</v>
      </c>
      <c r="H82" t="s">
        <v>12</v>
      </c>
      <c r="I82">
        <v>27</v>
      </c>
      <c r="J82">
        <f>ABS((I82-EDA!$A$15)/EDA!$B$15)</f>
        <v>1.0571896382983452</v>
      </c>
      <c r="K82" t="str">
        <f t="shared" si="1"/>
        <v>No</v>
      </c>
      <c r="L82">
        <f>ABS((C82-EDA!$F$15)/EDA!$G$15)</f>
        <v>0.36052757053363088</v>
      </c>
      <c r="M82" t="str">
        <f>IF(moras[[#This Row],[Z-Score Salario]]&gt;1.96, "Sí", "No")</f>
        <v>No</v>
      </c>
      <c r="N82" s="14">
        <f>IF(ISBLANK(moras[[#This Row],[SALARIO]]), EDA!$M$8, moras[[#This Row],[SALARIO]])</f>
        <v>909000</v>
      </c>
      <c r="O82" s="14">
        <f xml:space="preserve"> IF(ISBLANK(moras[[#This Row],[EDAD]]), EDA!$E$8, moras[[#This Row],[EDAD]])</f>
        <v>27</v>
      </c>
      <c r="P82" s="14" t="str">
        <f>IF(
    OR(ISBLANK(moras[[#This Row],[TIPO_ASEGURAMIENTO]]), moras[[#This Row],[TIPO_ASEGURAMIENTO]]=""),
    EDA!$A$32,
    moras[[#This Row],[TIPO_ASEGURAMIENTO]]
)</f>
        <v>ASALARIADO</v>
      </c>
    </row>
    <row r="83" spans="1:16" x14ac:dyDescent="0.3">
      <c r="A83">
        <v>82</v>
      </c>
      <c r="B83" t="s">
        <v>15</v>
      </c>
      <c r="C83">
        <v>176961096</v>
      </c>
      <c r="D83" t="s">
        <v>10</v>
      </c>
      <c r="E83" t="s">
        <v>11</v>
      </c>
      <c r="F83" t="s">
        <v>12</v>
      </c>
      <c r="G83" t="s">
        <v>13</v>
      </c>
      <c r="H83" t="s">
        <v>13</v>
      </c>
      <c r="I83">
        <v>56</v>
      </c>
      <c r="J83">
        <f>ABS((I83-EDA!$A$15)/EDA!$B$15)</f>
        <v>0.9894949339386423</v>
      </c>
      <c r="K83" t="str">
        <f t="shared" si="1"/>
        <v>No</v>
      </c>
      <c r="L83">
        <f>ABS((C83-EDA!$F$15)/EDA!$G$15)</f>
        <v>2.5691035842282739</v>
      </c>
      <c r="M83" t="str">
        <f>IF(moras[[#This Row],[Z-Score Salario]]&gt;1.96, "Sí", "No")</f>
        <v>Sí</v>
      </c>
      <c r="N83" s="14">
        <f>IF(ISBLANK(moras[[#This Row],[SALARIO]]), EDA!$M$8, moras[[#This Row],[SALARIO]])</f>
        <v>176961096</v>
      </c>
      <c r="O83" s="14">
        <f xml:space="preserve"> IF(ISBLANK(moras[[#This Row],[EDAD]]), EDA!$E$8, moras[[#This Row],[EDAD]])</f>
        <v>56</v>
      </c>
      <c r="P83" s="14" t="str">
        <f>IF(
    OR(ISBLANK(moras[[#This Row],[TIPO_ASEGURAMIENTO]]), moras[[#This Row],[TIPO_ASEGURAMIENTO]]=""),
    EDA!$A$32,
    moras[[#This Row],[TIPO_ASEGURAMIENTO]]
)</f>
        <v>ASALARIADO</v>
      </c>
    </row>
    <row r="84" spans="1:16" x14ac:dyDescent="0.3">
      <c r="A84">
        <v>83</v>
      </c>
      <c r="B84" t="s">
        <v>9</v>
      </c>
      <c r="C84">
        <v>415861</v>
      </c>
      <c r="D84" t="s">
        <v>18</v>
      </c>
      <c r="E84" t="s">
        <v>16</v>
      </c>
      <c r="F84" t="s">
        <v>12</v>
      </c>
      <c r="G84" t="s">
        <v>13</v>
      </c>
      <c r="H84" t="s">
        <v>12</v>
      </c>
      <c r="I84">
        <v>34</v>
      </c>
      <c r="J84">
        <f>ABS((I84-EDA!$A$15)/EDA!$B$15)</f>
        <v>0.56316232775838282</v>
      </c>
      <c r="K84" t="str">
        <f t="shared" si="1"/>
        <v>No</v>
      </c>
      <c r="L84">
        <f>ABS((C84-EDA!$F$15)/EDA!$G$15)</f>
        <v>0.36873375160646588</v>
      </c>
      <c r="M84" t="str">
        <f>IF(moras[[#This Row],[Z-Score Salario]]&gt;1.96, "Sí", "No")</f>
        <v>No</v>
      </c>
      <c r="N84" s="14">
        <f>IF(ISBLANK(moras[[#This Row],[SALARIO]]), EDA!$M$8, moras[[#This Row],[SALARIO]])</f>
        <v>415861</v>
      </c>
      <c r="O84" s="14">
        <f xml:space="preserve"> IF(ISBLANK(moras[[#This Row],[EDAD]]), EDA!$E$8, moras[[#This Row],[EDAD]])</f>
        <v>34</v>
      </c>
      <c r="P84" s="14" t="str">
        <f>IF(
    OR(ISBLANK(moras[[#This Row],[TIPO_ASEGURAMIENTO]]), moras[[#This Row],[TIPO_ASEGURAMIENTO]]=""),
    EDA!$A$32,
    moras[[#This Row],[TIPO_ASEGURAMIENTO]]
)</f>
        <v>TRABAJADOR INDEPENDIENTE</v>
      </c>
    </row>
    <row r="85" spans="1:16" x14ac:dyDescent="0.3">
      <c r="A85">
        <v>84</v>
      </c>
      <c r="B85" t="s">
        <v>15</v>
      </c>
      <c r="C85">
        <v>1404047</v>
      </c>
      <c r="D85" t="s">
        <v>10</v>
      </c>
      <c r="E85" t="s">
        <v>11</v>
      </c>
      <c r="F85" t="s">
        <v>12</v>
      </c>
      <c r="G85" t="s">
        <v>13</v>
      </c>
      <c r="H85" t="s">
        <v>12</v>
      </c>
      <c r="I85">
        <v>53</v>
      </c>
      <c r="J85">
        <f>ABS((I85-EDA!$A$15)/EDA!$B$15)</f>
        <v>0.77776894370722982</v>
      </c>
      <c r="K85" t="str">
        <f t="shared" si="1"/>
        <v>No</v>
      </c>
      <c r="L85">
        <f>ABS((C85-EDA!$F$15)/EDA!$G$15)</f>
        <v>0.35228963899391541</v>
      </c>
      <c r="M85" t="str">
        <f>IF(moras[[#This Row],[Z-Score Salario]]&gt;1.96, "Sí", "No")</f>
        <v>No</v>
      </c>
      <c r="N85" s="14">
        <f>IF(ISBLANK(moras[[#This Row],[SALARIO]]), EDA!$M$8, moras[[#This Row],[SALARIO]])</f>
        <v>1404047</v>
      </c>
      <c r="O85" s="14">
        <f xml:space="preserve"> IF(ISBLANK(moras[[#This Row],[EDAD]]), EDA!$E$8, moras[[#This Row],[EDAD]])</f>
        <v>53</v>
      </c>
      <c r="P85" s="14" t="str">
        <f>IF(
    OR(ISBLANK(moras[[#This Row],[TIPO_ASEGURAMIENTO]]), moras[[#This Row],[TIPO_ASEGURAMIENTO]]=""),
    EDA!$A$32,
    moras[[#This Row],[TIPO_ASEGURAMIENTO]]
)</f>
        <v>ASALARIADO</v>
      </c>
    </row>
    <row r="86" spans="1:16" x14ac:dyDescent="0.3">
      <c r="A86">
        <v>85</v>
      </c>
      <c r="B86" t="s">
        <v>15</v>
      </c>
      <c r="C86">
        <v>45784257</v>
      </c>
      <c r="D86" t="s">
        <v>10</v>
      </c>
      <c r="E86" t="s">
        <v>16</v>
      </c>
      <c r="F86" t="s">
        <v>12</v>
      </c>
      <c r="G86" t="s">
        <v>13</v>
      </c>
      <c r="H86" t="s">
        <v>13</v>
      </c>
      <c r="I86">
        <v>50</v>
      </c>
      <c r="J86">
        <f>ABS((I86-EDA!$A$15)/EDA!$B$15)</f>
        <v>0.56604295347581735</v>
      </c>
      <c r="K86" t="str">
        <f t="shared" si="1"/>
        <v>No</v>
      </c>
      <c r="L86">
        <f>ABS((C86-EDA!$F$15)/EDA!$G$15)</f>
        <v>0.38622838393763687</v>
      </c>
      <c r="M86" t="str">
        <f>IF(moras[[#This Row],[Z-Score Salario]]&gt;1.96, "Sí", "No")</f>
        <v>No</v>
      </c>
      <c r="N86" s="14">
        <f>IF(ISBLANK(moras[[#This Row],[SALARIO]]), EDA!$M$8, moras[[#This Row],[SALARIO]])</f>
        <v>45784257</v>
      </c>
      <c r="O86" s="14">
        <f xml:space="preserve"> IF(ISBLANK(moras[[#This Row],[EDAD]]), EDA!$E$8, moras[[#This Row],[EDAD]])</f>
        <v>50</v>
      </c>
      <c r="P86" s="14" t="str">
        <f>IF(
    OR(ISBLANK(moras[[#This Row],[TIPO_ASEGURAMIENTO]]), moras[[#This Row],[TIPO_ASEGURAMIENTO]]=""),
    EDA!$A$32,
    moras[[#This Row],[TIPO_ASEGURAMIENTO]]
)</f>
        <v>ASALARIADO</v>
      </c>
    </row>
    <row r="87" spans="1:16" x14ac:dyDescent="0.3">
      <c r="A87">
        <v>86</v>
      </c>
      <c r="B87" t="s">
        <v>15</v>
      </c>
      <c r="C87">
        <v>297046</v>
      </c>
      <c r="D87" t="s">
        <v>17</v>
      </c>
      <c r="E87" t="s">
        <v>16</v>
      </c>
      <c r="F87" t="s">
        <v>12</v>
      </c>
      <c r="G87" t="s">
        <v>13</v>
      </c>
      <c r="H87" t="s">
        <v>13</v>
      </c>
      <c r="I87">
        <v>36</v>
      </c>
      <c r="J87">
        <f>ABS((I87-EDA!$A$15)/EDA!$B$15)</f>
        <v>0.42201166760410774</v>
      </c>
      <c r="K87" t="str">
        <f t="shared" si="1"/>
        <v>No</v>
      </c>
      <c r="L87">
        <f>ABS((C87-EDA!$F$15)/EDA!$G$15)</f>
        <v>0.37071091707942361</v>
      </c>
      <c r="M87" t="str">
        <f>IF(moras[[#This Row],[Z-Score Salario]]&gt;1.96, "Sí", "No")</f>
        <v>No</v>
      </c>
      <c r="N87" s="14">
        <f>IF(ISBLANK(moras[[#This Row],[SALARIO]]), EDA!$M$8, moras[[#This Row],[SALARIO]])</f>
        <v>297046</v>
      </c>
      <c r="O87" s="14">
        <f xml:space="preserve"> IF(ISBLANK(moras[[#This Row],[EDAD]]), EDA!$E$8, moras[[#This Row],[EDAD]])</f>
        <v>36</v>
      </c>
      <c r="P87" s="14" t="str">
        <f>IF(
    OR(ISBLANK(moras[[#This Row],[TIPO_ASEGURAMIENTO]]), moras[[#This Row],[TIPO_ASEGURAMIENTO]]=""),
    EDA!$A$32,
    moras[[#This Row],[TIPO_ASEGURAMIENTO]]
)</f>
        <v>ASEGURADO VOLUNTARIO</v>
      </c>
    </row>
    <row r="88" spans="1:16" x14ac:dyDescent="0.3">
      <c r="A88">
        <v>87</v>
      </c>
      <c r="B88" t="s">
        <v>9</v>
      </c>
      <c r="C88">
        <v>34735626</v>
      </c>
      <c r="D88" t="s">
        <v>10</v>
      </c>
      <c r="E88" t="s">
        <v>16</v>
      </c>
      <c r="F88" t="s">
        <v>12</v>
      </c>
      <c r="G88" t="s">
        <v>13</v>
      </c>
      <c r="H88" t="s">
        <v>13</v>
      </c>
      <c r="I88">
        <v>38</v>
      </c>
      <c r="J88">
        <f>ABS((I88-EDA!$A$15)/EDA!$B$15)</f>
        <v>0.28086100744983278</v>
      </c>
      <c r="K88" t="str">
        <f t="shared" si="1"/>
        <v>No</v>
      </c>
      <c r="L88">
        <f>ABS((C88-EDA!$F$15)/EDA!$G$15)</f>
        <v>0.20237136473425188</v>
      </c>
      <c r="M88" t="str">
        <f>IF(moras[[#This Row],[Z-Score Salario]]&gt;1.96, "Sí", "No")</f>
        <v>No</v>
      </c>
      <c r="N88" s="14">
        <f>IF(ISBLANK(moras[[#This Row],[SALARIO]]), EDA!$M$8, moras[[#This Row],[SALARIO]])</f>
        <v>34735626</v>
      </c>
      <c r="O88" s="14">
        <f xml:space="preserve"> IF(ISBLANK(moras[[#This Row],[EDAD]]), EDA!$E$8, moras[[#This Row],[EDAD]])</f>
        <v>38</v>
      </c>
      <c r="P88" s="14" t="str">
        <f>IF(
    OR(ISBLANK(moras[[#This Row],[TIPO_ASEGURAMIENTO]]), moras[[#This Row],[TIPO_ASEGURAMIENTO]]=""),
    EDA!$A$32,
    moras[[#This Row],[TIPO_ASEGURAMIENTO]]
)</f>
        <v>ASALARIADO</v>
      </c>
    </row>
    <row r="89" spans="1:16" x14ac:dyDescent="0.3">
      <c r="A89">
        <v>88</v>
      </c>
      <c r="B89" t="s">
        <v>15</v>
      </c>
      <c r="C89">
        <v>432031</v>
      </c>
      <c r="D89" t="s">
        <v>10</v>
      </c>
      <c r="E89" t="s">
        <v>11</v>
      </c>
      <c r="F89" t="s">
        <v>12</v>
      </c>
      <c r="G89" t="s">
        <v>13</v>
      </c>
      <c r="H89" t="s">
        <v>12</v>
      </c>
      <c r="I89">
        <v>31</v>
      </c>
      <c r="J89">
        <f>ABS((I89-EDA!$A$15)/EDA!$B$15)</f>
        <v>0.77488831798979529</v>
      </c>
      <c r="K89" t="str">
        <f t="shared" si="1"/>
        <v>No</v>
      </c>
      <c r="L89">
        <f>ABS((C89-EDA!$F$15)/EDA!$G$15)</f>
        <v>0.36846467139186567</v>
      </c>
      <c r="M89" t="str">
        <f>IF(moras[[#This Row],[Z-Score Salario]]&gt;1.96, "Sí", "No")</f>
        <v>No</v>
      </c>
      <c r="N89" s="14">
        <f>IF(ISBLANK(moras[[#This Row],[SALARIO]]), EDA!$M$8, moras[[#This Row],[SALARIO]])</f>
        <v>432031</v>
      </c>
      <c r="O89" s="14">
        <f xml:space="preserve"> IF(ISBLANK(moras[[#This Row],[EDAD]]), EDA!$E$8, moras[[#This Row],[EDAD]])</f>
        <v>31</v>
      </c>
      <c r="P89" s="14" t="str">
        <f>IF(
    OR(ISBLANK(moras[[#This Row],[TIPO_ASEGURAMIENTO]]), moras[[#This Row],[TIPO_ASEGURAMIENTO]]=""),
    EDA!$A$32,
    moras[[#This Row],[TIPO_ASEGURAMIENTO]]
)</f>
        <v>ASALARIADO</v>
      </c>
    </row>
    <row r="90" spans="1:16" x14ac:dyDescent="0.3">
      <c r="A90">
        <v>89</v>
      </c>
      <c r="B90" t="s">
        <v>9</v>
      </c>
      <c r="C90">
        <v>419292</v>
      </c>
      <c r="D90" t="s">
        <v>18</v>
      </c>
      <c r="E90" t="s">
        <v>16</v>
      </c>
      <c r="F90" t="s">
        <v>12</v>
      </c>
      <c r="G90" t="s">
        <v>12</v>
      </c>
      <c r="H90" t="s">
        <v>13</v>
      </c>
      <c r="I90">
        <v>36</v>
      </c>
      <c r="J90">
        <f>ABS((I90-EDA!$A$15)/EDA!$B$15)</f>
        <v>0.42201166760410774</v>
      </c>
      <c r="K90" t="str">
        <f t="shared" si="1"/>
        <v>No</v>
      </c>
      <c r="L90">
        <f>ABS((C90-EDA!$F$15)/EDA!$G$15)</f>
        <v>0.36867665734448113</v>
      </c>
      <c r="M90" t="str">
        <f>IF(moras[[#This Row],[Z-Score Salario]]&gt;1.96, "Sí", "No")</f>
        <v>No</v>
      </c>
      <c r="N90" s="14">
        <f>IF(ISBLANK(moras[[#This Row],[SALARIO]]), EDA!$M$8, moras[[#This Row],[SALARIO]])</f>
        <v>419292</v>
      </c>
      <c r="O90" s="14">
        <f xml:space="preserve"> IF(ISBLANK(moras[[#This Row],[EDAD]]), EDA!$E$8, moras[[#This Row],[EDAD]])</f>
        <v>36</v>
      </c>
      <c r="P90" s="14" t="str">
        <f>IF(
    OR(ISBLANK(moras[[#This Row],[TIPO_ASEGURAMIENTO]]), moras[[#This Row],[TIPO_ASEGURAMIENTO]]=""),
    EDA!$A$32,
    moras[[#This Row],[TIPO_ASEGURAMIENTO]]
)</f>
        <v>TRABAJADOR INDEPENDIENTE</v>
      </c>
    </row>
    <row r="91" spans="1:16" x14ac:dyDescent="0.3">
      <c r="A91">
        <v>90</v>
      </c>
      <c r="B91" t="s">
        <v>15</v>
      </c>
      <c r="C91">
        <v>62203582</v>
      </c>
      <c r="D91" t="s">
        <v>10</v>
      </c>
      <c r="E91" t="s">
        <v>11</v>
      </c>
      <c r="F91" t="s">
        <v>12</v>
      </c>
      <c r="G91" t="s">
        <v>13</v>
      </c>
      <c r="H91" t="s">
        <v>13</v>
      </c>
      <c r="I91">
        <v>30</v>
      </c>
      <c r="J91">
        <f>ABS((I91-EDA!$A$15)/EDA!$B$15)</f>
        <v>0.84546364806693275</v>
      </c>
      <c r="K91" t="str">
        <f t="shared" si="1"/>
        <v>No</v>
      </c>
      <c r="L91">
        <f>ABS((C91-EDA!$F$15)/EDA!$G$15)</f>
        <v>0.65945754253942379</v>
      </c>
      <c r="M91" t="str">
        <f>IF(moras[[#This Row],[Z-Score Salario]]&gt;1.96, "Sí", "No")</f>
        <v>No</v>
      </c>
      <c r="N91" s="14">
        <f>IF(ISBLANK(moras[[#This Row],[SALARIO]]), EDA!$M$8, moras[[#This Row],[SALARIO]])</f>
        <v>62203582</v>
      </c>
      <c r="O91" s="14">
        <f xml:space="preserve"> IF(ISBLANK(moras[[#This Row],[EDAD]]), EDA!$E$8, moras[[#This Row],[EDAD]])</f>
        <v>30</v>
      </c>
      <c r="P91" s="14" t="str">
        <f>IF(
    OR(ISBLANK(moras[[#This Row],[TIPO_ASEGURAMIENTO]]), moras[[#This Row],[TIPO_ASEGURAMIENTO]]=""),
    EDA!$A$32,
    moras[[#This Row],[TIPO_ASEGURAMIENTO]]
)</f>
        <v>ASALARIADO</v>
      </c>
    </row>
    <row r="92" spans="1:16" x14ac:dyDescent="0.3">
      <c r="A92">
        <v>91</v>
      </c>
      <c r="B92" t="s">
        <v>9</v>
      </c>
      <c r="C92">
        <v>4831425</v>
      </c>
      <c r="D92" t="s">
        <v>10</v>
      </c>
      <c r="E92" t="s">
        <v>16</v>
      </c>
      <c r="F92" t="s">
        <v>12</v>
      </c>
      <c r="G92" t="s">
        <v>13</v>
      </c>
      <c r="H92" t="s">
        <v>13</v>
      </c>
      <c r="I92">
        <v>33</v>
      </c>
      <c r="J92">
        <f>ABS((I92-EDA!$A$15)/EDA!$B$15)</f>
        <v>0.63373765783552027</v>
      </c>
      <c r="K92" t="str">
        <f t="shared" si="1"/>
        <v>No</v>
      </c>
      <c r="L92">
        <f>ABS((C92-EDA!$F$15)/EDA!$G$15)</f>
        <v>0.29525564964598083</v>
      </c>
      <c r="M92" t="str">
        <f>IF(moras[[#This Row],[Z-Score Salario]]&gt;1.96, "Sí", "No")</f>
        <v>No</v>
      </c>
      <c r="N92" s="14">
        <f>IF(ISBLANK(moras[[#This Row],[SALARIO]]), EDA!$M$8, moras[[#This Row],[SALARIO]])</f>
        <v>4831425</v>
      </c>
      <c r="O92" s="14">
        <f xml:space="preserve"> IF(ISBLANK(moras[[#This Row],[EDAD]]), EDA!$E$8, moras[[#This Row],[EDAD]])</f>
        <v>33</v>
      </c>
      <c r="P92" s="14" t="str">
        <f>IF(
    OR(ISBLANK(moras[[#This Row],[TIPO_ASEGURAMIENTO]]), moras[[#This Row],[TIPO_ASEGURAMIENTO]]=""),
    EDA!$A$32,
    moras[[#This Row],[TIPO_ASEGURAMIENTO]]
)</f>
        <v>ASALARIADO</v>
      </c>
    </row>
    <row r="93" spans="1:16" x14ac:dyDescent="0.3">
      <c r="A93">
        <v>92</v>
      </c>
      <c r="B93" t="s">
        <v>9</v>
      </c>
      <c r="C93">
        <v>6093207</v>
      </c>
      <c r="D93" t="s">
        <v>10</v>
      </c>
      <c r="E93" t="s">
        <v>11</v>
      </c>
      <c r="F93" t="s">
        <v>12</v>
      </c>
      <c r="G93" t="s">
        <v>13</v>
      </c>
      <c r="H93" t="s">
        <v>13</v>
      </c>
      <c r="I93">
        <v>39</v>
      </c>
      <c r="J93">
        <f>ABS((I93-EDA!$A$15)/EDA!$B$15)</f>
        <v>0.21028567737269524</v>
      </c>
      <c r="K93" t="str">
        <f t="shared" si="1"/>
        <v>No</v>
      </c>
      <c r="L93">
        <f>ABS((C93-EDA!$F$15)/EDA!$G$15)</f>
        <v>0.27425870645867689</v>
      </c>
      <c r="M93" t="str">
        <f>IF(moras[[#This Row],[Z-Score Salario]]&gt;1.96, "Sí", "No")</f>
        <v>No</v>
      </c>
      <c r="N93" s="14">
        <f>IF(ISBLANK(moras[[#This Row],[SALARIO]]), EDA!$M$8, moras[[#This Row],[SALARIO]])</f>
        <v>6093207</v>
      </c>
      <c r="O93" s="14">
        <f xml:space="preserve"> IF(ISBLANK(moras[[#This Row],[EDAD]]), EDA!$E$8, moras[[#This Row],[EDAD]])</f>
        <v>39</v>
      </c>
      <c r="P93" s="14" t="str">
        <f>IF(
    OR(ISBLANK(moras[[#This Row],[TIPO_ASEGURAMIENTO]]), moras[[#This Row],[TIPO_ASEGURAMIENTO]]=""),
    EDA!$A$32,
    moras[[#This Row],[TIPO_ASEGURAMIENTO]]
)</f>
        <v>ASALARIADO</v>
      </c>
    </row>
    <row r="94" spans="1:16" x14ac:dyDescent="0.3">
      <c r="A94">
        <v>93</v>
      </c>
      <c r="B94" t="s">
        <v>9</v>
      </c>
      <c r="C94">
        <v>9829028</v>
      </c>
      <c r="D94" t="s">
        <v>10</v>
      </c>
      <c r="E94" t="s">
        <v>11</v>
      </c>
      <c r="F94" t="s">
        <v>12</v>
      </c>
      <c r="G94" t="s">
        <v>13</v>
      </c>
      <c r="H94" t="s">
        <v>13</v>
      </c>
      <c r="I94">
        <v>49</v>
      </c>
      <c r="J94">
        <f>ABS((I94-EDA!$A$15)/EDA!$B$15)</f>
        <v>0.49546762339867978</v>
      </c>
      <c r="K94" t="str">
        <f t="shared" si="1"/>
        <v>No</v>
      </c>
      <c r="L94">
        <f>ABS((C94-EDA!$F$15)/EDA!$G$15)</f>
        <v>0.2120920078570665</v>
      </c>
      <c r="M94" t="str">
        <f>IF(moras[[#This Row],[Z-Score Salario]]&gt;1.96, "Sí", "No")</f>
        <v>No</v>
      </c>
      <c r="N94" s="14">
        <f>IF(ISBLANK(moras[[#This Row],[SALARIO]]), EDA!$M$8, moras[[#This Row],[SALARIO]])</f>
        <v>9829028</v>
      </c>
      <c r="O94" s="14">
        <f xml:space="preserve"> IF(ISBLANK(moras[[#This Row],[EDAD]]), EDA!$E$8, moras[[#This Row],[EDAD]])</f>
        <v>49</v>
      </c>
      <c r="P94" s="14" t="str">
        <f>IF(
    OR(ISBLANK(moras[[#This Row],[TIPO_ASEGURAMIENTO]]), moras[[#This Row],[TIPO_ASEGURAMIENTO]]=""),
    EDA!$A$32,
    moras[[#This Row],[TIPO_ASEGURAMIENTO]]
)</f>
        <v>ASALARIADO</v>
      </c>
    </row>
    <row r="95" spans="1:16" x14ac:dyDescent="0.3">
      <c r="A95">
        <v>94</v>
      </c>
      <c r="B95" t="s">
        <v>15</v>
      </c>
      <c r="C95">
        <v>800002</v>
      </c>
      <c r="D95" t="s">
        <v>10</v>
      </c>
      <c r="E95" t="s">
        <v>16</v>
      </c>
      <c r="F95" t="s">
        <v>12</v>
      </c>
      <c r="G95" t="s">
        <v>13</v>
      </c>
      <c r="H95" t="s">
        <v>13</v>
      </c>
      <c r="I95">
        <v>30</v>
      </c>
      <c r="J95">
        <f>ABS((I95-EDA!$A$15)/EDA!$B$15)</f>
        <v>0.84546364806693275</v>
      </c>
      <c r="K95" t="str">
        <f t="shared" si="1"/>
        <v>No</v>
      </c>
      <c r="L95">
        <f>ABS((C95-EDA!$F$15)/EDA!$G$15)</f>
        <v>0.36234137419664852</v>
      </c>
      <c r="M95" t="str">
        <f>IF(moras[[#This Row],[Z-Score Salario]]&gt;1.96, "Sí", "No")</f>
        <v>No</v>
      </c>
      <c r="N95" s="14">
        <f>IF(ISBLANK(moras[[#This Row],[SALARIO]]), EDA!$M$8, moras[[#This Row],[SALARIO]])</f>
        <v>800002</v>
      </c>
      <c r="O95" s="14">
        <f xml:space="preserve"> IF(ISBLANK(moras[[#This Row],[EDAD]]), EDA!$E$8, moras[[#This Row],[EDAD]])</f>
        <v>30</v>
      </c>
      <c r="P95" s="14" t="str">
        <f>IF(
    OR(ISBLANK(moras[[#This Row],[TIPO_ASEGURAMIENTO]]), moras[[#This Row],[TIPO_ASEGURAMIENTO]]=""),
    EDA!$A$32,
    moras[[#This Row],[TIPO_ASEGURAMIENTO]]
)</f>
        <v>ASALARIADO</v>
      </c>
    </row>
    <row r="96" spans="1:16" x14ac:dyDescent="0.3">
      <c r="A96">
        <v>95</v>
      </c>
      <c r="B96" t="s">
        <v>9</v>
      </c>
      <c r="C96">
        <v>938875</v>
      </c>
      <c r="D96" t="s">
        <v>10</v>
      </c>
      <c r="E96" t="s">
        <v>16</v>
      </c>
      <c r="F96" t="s">
        <v>12</v>
      </c>
      <c r="G96" t="s">
        <v>13</v>
      </c>
      <c r="H96" t="s">
        <v>13</v>
      </c>
      <c r="I96">
        <v>28</v>
      </c>
      <c r="J96">
        <f>ABS((I96-EDA!$A$15)/EDA!$B$15)</f>
        <v>0.98661430822120777</v>
      </c>
      <c r="K96" t="str">
        <f t="shared" si="1"/>
        <v>No</v>
      </c>
      <c r="L96">
        <f>ABS((C96-EDA!$F$15)/EDA!$G$15)</f>
        <v>0.36003042944450397</v>
      </c>
      <c r="M96" t="str">
        <f>IF(moras[[#This Row],[Z-Score Salario]]&gt;1.96, "Sí", "No")</f>
        <v>No</v>
      </c>
      <c r="N96" s="14">
        <f>IF(ISBLANK(moras[[#This Row],[SALARIO]]), EDA!$M$8, moras[[#This Row],[SALARIO]])</f>
        <v>938875</v>
      </c>
      <c r="O96" s="14">
        <f xml:space="preserve"> IF(ISBLANK(moras[[#This Row],[EDAD]]), EDA!$E$8, moras[[#This Row],[EDAD]])</f>
        <v>28</v>
      </c>
      <c r="P96" s="14" t="str">
        <f>IF(
    OR(ISBLANK(moras[[#This Row],[TIPO_ASEGURAMIENTO]]), moras[[#This Row],[TIPO_ASEGURAMIENTO]]=""),
    EDA!$A$32,
    moras[[#This Row],[TIPO_ASEGURAMIENTO]]
)</f>
        <v>ASALARIADO</v>
      </c>
    </row>
    <row r="97" spans="1:16" x14ac:dyDescent="0.3">
      <c r="A97">
        <v>96</v>
      </c>
      <c r="B97" t="s">
        <v>15</v>
      </c>
      <c r="C97">
        <v>41262563</v>
      </c>
      <c r="D97" t="s">
        <v>10</v>
      </c>
      <c r="E97" t="s">
        <v>16</v>
      </c>
      <c r="F97" t="s">
        <v>12</v>
      </c>
      <c r="G97" t="s">
        <v>13</v>
      </c>
      <c r="H97" t="s">
        <v>13</v>
      </c>
      <c r="I97">
        <v>26</v>
      </c>
      <c r="J97">
        <f>ABS((I97-EDA!$A$15)/EDA!$B$15)</f>
        <v>1.1277649683754829</v>
      </c>
      <c r="K97" t="str">
        <f t="shared" si="1"/>
        <v>No</v>
      </c>
      <c r="L97">
        <f>ABS((C97-EDA!$F$15)/EDA!$G$15)</f>
        <v>0.31098420385869041</v>
      </c>
      <c r="M97" t="str">
        <f>IF(moras[[#This Row],[Z-Score Salario]]&gt;1.96, "Sí", "No")</f>
        <v>No</v>
      </c>
      <c r="N97" s="14">
        <f>IF(ISBLANK(moras[[#This Row],[SALARIO]]), EDA!$M$8, moras[[#This Row],[SALARIO]])</f>
        <v>41262563</v>
      </c>
      <c r="O97" s="14">
        <f xml:space="preserve"> IF(ISBLANK(moras[[#This Row],[EDAD]]), EDA!$E$8, moras[[#This Row],[EDAD]])</f>
        <v>26</v>
      </c>
      <c r="P97" s="14" t="str">
        <f>IF(
    OR(ISBLANK(moras[[#This Row],[TIPO_ASEGURAMIENTO]]), moras[[#This Row],[TIPO_ASEGURAMIENTO]]=""),
    EDA!$A$32,
    moras[[#This Row],[TIPO_ASEGURAMIENTO]]
)</f>
        <v>ASALARIADO</v>
      </c>
    </row>
    <row r="98" spans="1:16" x14ac:dyDescent="0.3">
      <c r="A98">
        <v>97</v>
      </c>
      <c r="B98" t="s">
        <v>9</v>
      </c>
      <c r="C98">
        <v>234334</v>
      </c>
      <c r="D98" t="s">
        <v>10</v>
      </c>
      <c r="E98" t="s">
        <v>16</v>
      </c>
      <c r="F98" t="s">
        <v>12</v>
      </c>
      <c r="G98" t="s">
        <v>13</v>
      </c>
      <c r="H98" t="s">
        <v>13</v>
      </c>
      <c r="I98">
        <v>21</v>
      </c>
      <c r="J98">
        <f>ABS((I98-EDA!$A$15)/EDA!$B$15)</f>
        <v>1.4806416187611704</v>
      </c>
      <c r="K98" t="str">
        <f t="shared" si="1"/>
        <v>No</v>
      </c>
      <c r="L98">
        <f>ABS((C98-EDA!$F$15)/EDA!$G$15)</f>
        <v>0.37175448902858932</v>
      </c>
      <c r="M98" t="str">
        <f>IF(moras[[#This Row],[Z-Score Salario]]&gt;1.96, "Sí", "No")</f>
        <v>No</v>
      </c>
      <c r="N98" s="14">
        <f>IF(ISBLANK(moras[[#This Row],[SALARIO]]), EDA!$M$8, moras[[#This Row],[SALARIO]])</f>
        <v>234334</v>
      </c>
      <c r="O98" s="14">
        <f xml:space="preserve"> IF(ISBLANK(moras[[#This Row],[EDAD]]), EDA!$E$8, moras[[#This Row],[EDAD]])</f>
        <v>21</v>
      </c>
      <c r="P98" s="14" t="str">
        <f>IF(
    OR(ISBLANK(moras[[#This Row],[TIPO_ASEGURAMIENTO]]), moras[[#This Row],[TIPO_ASEGURAMIENTO]]=""),
    EDA!$A$32,
    moras[[#This Row],[TIPO_ASEGURAMIENTO]]
)</f>
        <v>ASALARIADO</v>
      </c>
    </row>
    <row r="99" spans="1:16" x14ac:dyDescent="0.3">
      <c r="A99">
        <v>98</v>
      </c>
      <c r="B99" t="s">
        <v>15</v>
      </c>
      <c r="C99">
        <v>675720</v>
      </c>
      <c r="D99" t="s">
        <v>10</v>
      </c>
      <c r="E99" t="s">
        <v>11</v>
      </c>
      <c r="F99" t="s">
        <v>12</v>
      </c>
      <c r="G99" t="s">
        <v>13</v>
      </c>
      <c r="H99" t="s">
        <v>13</v>
      </c>
      <c r="I99">
        <v>36</v>
      </c>
      <c r="J99">
        <f>ABS((I99-EDA!$A$15)/EDA!$B$15)</f>
        <v>0.42201166760410774</v>
      </c>
      <c r="K99" t="str">
        <f t="shared" si="1"/>
        <v>No</v>
      </c>
      <c r="L99">
        <f>ABS((C99-EDA!$F$15)/EDA!$G$15)</f>
        <v>0.36440951440882824</v>
      </c>
      <c r="M99" t="str">
        <f>IF(moras[[#This Row],[Z-Score Salario]]&gt;1.96, "Sí", "No")</f>
        <v>No</v>
      </c>
      <c r="N99" s="14">
        <f>IF(ISBLANK(moras[[#This Row],[SALARIO]]), EDA!$M$8, moras[[#This Row],[SALARIO]])</f>
        <v>675720</v>
      </c>
      <c r="O99" s="14">
        <f xml:space="preserve"> IF(ISBLANK(moras[[#This Row],[EDAD]]), EDA!$E$8, moras[[#This Row],[EDAD]])</f>
        <v>36</v>
      </c>
      <c r="P99" s="14" t="str">
        <f>IF(
    OR(ISBLANK(moras[[#This Row],[TIPO_ASEGURAMIENTO]]), moras[[#This Row],[TIPO_ASEGURAMIENTO]]=""),
    EDA!$A$32,
    moras[[#This Row],[TIPO_ASEGURAMIENTO]]
)</f>
        <v>ASALARIADO</v>
      </c>
    </row>
    <row r="100" spans="1:16" x14ac:dyDescent="0.3">
      <c r="A100">
        <v>99</v>
      </c>
      <c r="B100" t="s">
        <v>15</v>
      </c>
      <c r="C100">
        <v>28374598</v>
      </c>
      <c r="D100" t="s">
        <v>10</v>
      </c>
      <c r="E100" t="s">
        <v>16</v>
      </c>
      <c r="F100" t="s">
        <v>12</v>
      </c>
      <c r="G100" t="s">
        <v>13</v>
      </c>
      <c r="H100" t="s">
        <v>13</v>
      </c>
      <c r="I100">
        <v>22</v>
      </c>
      <c r="J100">
        <f>ABS((I100-EDA!$A$15)/EDA!$B$15)</f>
        <v>1.4100662886840327</v>
      </c>
      <c r="K100" t="str">
        <f t="shared" si="1"/>
        <v>No</v>
      </c>
      <c r="L100">
        <f>ABS((C100-EDA!$F$15)/EDA!$G$15)</f>
        <v>9.6519368487000087E-2</v>
      </c>
      <c r="M100" t="str">
        <f>IF(moras[[#This Row],[Z-Score Salario]]&gt;1.96, "Sí", "No")</f>
        <v>No</v>
      </c>
      <c r="N100" s="14">
        <f>IF(ISBLANK(moras[[#This Row],[SALARIO]]), EDA!$M$8, moras[[#This Row],[SALARIO]])</f>
        <v>28374598</v>
      </c>
      <c r="O100" s="14">
        <f xml:space="preserve"> IF(ISBLANK(moras[[#This Row],[EDAD]]), EDA!$E$8, moras[[#This Row],[EDAD]])</f>
        <v>22</v>
      </c>
      <c r="P100" s="14" t="str">
        <f>IF(
    OR(ISBLANK(moras[[#This Row],[TIPO_ASEGURAMIENTO]]), moras[[#This Row],[TIPO_ASEGURAMIENTO]]=""),
    EDA!$A$32,
    moras[[#This Row],[TIPO_ASEGURAMIENTO]]
)</f>
        <v>ASALARIADO</v>
      </c>
    </row>
    <row r="101" spans="1:16" x14ac:dyDescent="0.3">
      <c r="A101">
        <v>100</v>
      </c>
      <c r="B101" t="s">
        <v>15</v>
      </c>
      <c r="C101">
        <v>37290384</v>
      </c>
      <c r="D101" t="s">
        <v>10</v>
      </c>
      <c r="E101" t="s">
        <v>11</v>
      </c>
      <c r="F101" t="s">
        <v>12</v>
      </c>
      <c r="G101" t="s">
        <v>13</v>
      </c>
      <c r="H101" t="s">
        <v>13</v>
      </c>
      <c r="I101">
        <v>50</v>
      </c>
      <c r="J101">
        <f>ABS((I101-EDA!$A$15)/EDA!$B$15)</f>
        <v>0.56604295347581735</v>
      </c>
      <c r="K101" t="str">
        <f t="shared" si="1"/>
        <v>No</v>
      </c>
      <c r="L101">
        <f>ABS((C101-EDA!$F$15)/EDA!$G$15)</f>
        <v>0.24488434128908493</v>
      </c>
      <c r="M101" t="str">
        <f>IF(moras[[#This Row],[Z-Score Salario]]&gt;1.96, "Sí", "No")</f>
        <v>No</v>
      </c>
      <c r="N101" s="14">
        <f>IF(ISBLANK(moras[[#This Row],[SALARIO]]), EDA!$M$8, moras[[#This Row],[SALARIO]])</f>
        <v>37290384</v>
      </c>
      <c r="O101" s="14">
        <f xml:space="preserve"> IF(ISBLANK(moras[[#This Row],[EDAD]]), EDA!$E$8, moras[[#This Row],[EDAD]])</f>
        <v>50</v>
      </c>
      <c r="P101" s="14" t="str">
        <f>IF(
    OR(ISBLANK(moras[[#This Row],[TIPO_ASEGURAMIENTO]]), moras[[#This Row],[TIPO_ASEGURAMIENTO]]=""),
    EDA!$A$32,
    moras[[#This Row],[TIPO_ASEGURAMIENTO]]
)</f>
        <v>ASALARIADO</v>
      </c>
    </row>
    <row r="102" spans="1:16" x14ac:dyDescent="0.3">
      <c r="A102">
        <v>101</v>
      </c>
      <c r="B102" t="s">
        <v>15</v>
      </c>
      <c r="C102">
        <v>300000</v>
      </c>
      <c r="D102" t="s">
        <v>10</v>
      </c>
      <c r="E102" t="s">
        <v>16</v>
      </c>
      <c r="F102" t="s">
        <v>12</v>
      </c>
      <c r="G102" t="s">
        <v>13</v>
      </c>
      <c r="H102" t="s">
        <v>13</v>
      </c>
      <c r="I102">
        <v>33</v>
      </c>
      <c r="J102">
        <f>ABS((I102-EDA!$A$15)/EDA!$B$15)</f>
        <v>0.63373765783552027</v>
      </c>
      <c r="K102" t="str">
        <f t="shared" si="1"/>
        <v>No</v>
      </c>
      <c r="L102">
        <f>ABS((C102-EDA!$F$15)/EDA!$G$15)</f>
        <v>0.37066176043415894</v>
      </c>
      <c r="M102" t="str">
        <f>IF(moras[[#This Row],[Z-Score Salario]]&gt;1.96, "Sí", "No")</f>
        <v>No</v>
      </c>
      <c r="N102" s="14">
        <f>IF(ISBLANK(moras[[#This Row],[SALARIO]]), EDA!$M$8, moras[[#This Row],[SALARIO]])</f>
        <v>300000</v>
      </c>
      <c r="O102" s="14">
        <f xml:space="preserve"> IF(ISBLANK(moras[[#This Row],[EDAD]]), EDA!$E$8, moras[[#This Row],[EDAD]])</f>
        <v>33</v>
      </c>
      <c r="P102" s="14" t="str">
        <f>IF(
    OR(ISBLANK(moras[[#This Row],[TIPO_ASEGURAMIENTO]]), moras[[#This Row],[TIPO_ASEGURAMIENTO]]=""),
    EDA!$A$32,
    moras[[#This Row],[TIPO_ASEGURAMIENTO]]
)</f>
        <v>ASALARIADO</v>
      </c>
    </row>
    <row r="103" spans="1:16" x14ac:dyDescent="0.3">
      <c r="A103">
        <v>102</v>
      </c>
      <c r="B103" t="s">
        <v>15</v>
      </c>
      <c r="C103">
        <v>377900</v>
      </c>
      <c r="D103" t="s">
        <v>10</v>
      </c>
      <c r="E103" t="s">
        <v>16</v>
      </c>
      <c r="F103" t="s">
        <v>12</v>
      </c>
      <c r="G103" t="s">
        <v>13</v>
      </c>
      <c r="H103" t="s">
        <v>13</v>
      </c>
      <c r="I103">
        <v>57</v>
      </c>
      <c r="J103">
        <f>ABS((I103-EDA!$A$15)/EDA!$B$15)</f>
        <v>1.0600702640157798</v>
      </c>
      <c r="K103" t="str">
        <f t="shared" si="1"/>
        <v>No</v>
      </c>
      <c r="L103">
        <f>ABS((C103-EDA!$F$15)/EDA!$G$15)</f>
        <v>0.36936544944359878</v>
      </c>
      <c r="M103" t="str">
        <f>IF(moras[[#This Row],[Z-Score Salario]]&gt;1.96, "Sí", "No")</f>
        <v>No</v>
      </c>
      <c r="N103" s="14">
        <f>IF(ISBLANK(moras[[#This Row],[SALARIO]]), EDA!$M$8, moras[[#This Row],[SALARIO]])</f>
        <v>377900</v>
      </c>
      <c r="O103" s="14">
        <f xml:space="preserve"> IF(ISBLANK(moras[[#This Row],[EDAD]]), EDA!$E$8, moras[[#This Row],[EDAD]])</f>
        <v>57</v>
      </c>
      <c r="P103" s="14" t="str">
        <f>IF(
    OR(ISBLANK(moras[[#This Row],[TIPO_ASEGURAMIENTO]]), moras[[#This Row],[TIPO_ASEGURAMIENTO]]=""),
    EDA!$A$32,
    moras[[#This Row],[TIPO_ASEGURAMIENTO]]
)</f>
        <v>ASALARIADO</v>
      </c>
    </row>
    <row r="104" spans="1:16" x14ac:dyDescent="0.3">
      <c r="A104">
        <v>103</v>
      </c>
      <c r="B104" t="s">
        <v>9</v>
      </c>
      <c r="C104">
        <v>300018</v>
      </c>
      <c r="D104" t="s">
        <v>17</v>
      </c>
      <c r="E104" t="s">
        <v>16</v>
      </c>
      <c r="F104" t="s">
        <v>12</v>
      </c>
      <c r="G104" t="s">
        <v>13</v>
      </c>
      <c r="H104" t="s">
        <v>13</v>
      </c>
      <c r="I104">
        <v>63</v>
      </c>
      <c r="J104">
        <f>ABS((I104-EDA!$A$15)/EDA!$B$15)</f>
        <v>1.4835222444786049</v>
      </c>
      <c r="K104" t="str">
        <f t="shared" si="1"/>
        <v>No</v>
      </c>
      <c r="L104">
        <f>ABS((C104-EDA!$F$15)/EDA!$G$15)</f>
        <v>0.37066146090145252</v>
      </c>
      <c r="M104" t="str">
        <f>IF(moras[[#This Row],[Z-Score Salario]]&gt;1.96, "Sí", "No")</f>
        <v>No</v>
      </c>
      <c r="N104" s="14">
        <f>IF(ISBLANK(moras[[#This Row],[SALARIO]]), EDA!$M$8, moras[[#This Row],[SALARIO]])</f>
        <v>300018</v>
      </c>
      <c r="O104" s="14">
        <f xml:space="preserve"> IF(ISBLANK(moras[[#This Row],[EDAD]]), EDA!$E$8, moras[[#This Row],[EDAD]])</f>
        <v>63</v>
      </c>
      <c r="P104" s="14" t="str">
        <f>IF(
    OR(ISBLANK(moras[[#This Row],[TIPO_ASEGURAMIENTO]]), moras[[#This Row],[TIPO_ASEGURAMIENTO]]=""),
    EDA!$A$32,
    moras[[#This Row],[TIPO_ASEGURAMIENTO]]
)</f>
        <v>ASEGURADO VOLUNTARIO</v>
      </c>
    </row>
    <row r="105" spans="1:16" x14ac:dyDescent="0.3">
      <c r="A105">
        <v>104</v>
      </c>
      <c r="B105" t="s">
        <v>15</v>
      </c>
      <c r="C105">
        <v>30664332</v>
      </c>
      <c r="D105" t="s">
        <v>10</v>
      </c>
      <c r="E105" t="s">
        <v>16</v>
      </c>
      <c r="F105" t="s">
        <v>12</v>
      </c>
      <c r="G105" t="s">
        <v>13</v>
      </c>
      <c r="H105" t="s">
        <v>13</v>
      </c>
      <c r="I105">
        <v>30</v>
      </c>
      <c r="J105">
        <f>ABS((I105-EDA!$A$15)/EDA!$B$15)</f>
        <v>0.84546364806693275</v>
      </c>
      <c r="K105" t="str">
        <f t="shared" si="1"/>
        <v>No</v>
      </c>
      <c r="L105">
        <f>ABS((C105-EDA!$F$15)/EDA!$G$15)</f>
        <v>0.13462215859815899</v>
      </c>
      <c r="M105" t="str">
        <f>IF(moras[[#This Row],[Z-Score Salario]]&gt;1.96, "Sí", "No")</f>
        <v>No</v>
      </c>
      <c r="N105" s="14">
        <f>IF(ISBLANK(moras[[#This Row],[SALARIO]]), EDA!$M$8, moras[[#This Row],[SALARIO]])</f>
        <v>30664332</v>
      </c>
      <c r="O105" s="14">
        <f xml:space="preserve"> IF(ISBLANK(moras[[#This Row],[EDAD]]), EDA!$E$8, moras[[#This Row],[EDAD]])</f>
        <v>30</v>
      </c>
      <c r="P105" s="14" t="str">
        <f>IF(
    OR(ISBLANK(moras[[#This Row],[TIPO_ASEGURAMIENTO]]), moras[[#This Row],[TIPO_ASEGURAMIENTO]]=""),
    EDA!$A$32,
    moras[[#This Row],[TIPO_ASEGURAMIENTO]]
)</f>
        <v>ASALARIADO</v>
      </c>
    </row>
    <row r="106" spans="1:16" x14ac:dyDescent="0.3">
      <c r="A106">
        <v>105</v>
      </c>
      <c r="B106" t="s">
        <v>9</v>
      </c>
      <c r="C106">
        <v>462759</v>
      </c>
      <c r="D106" t="s">
        <v>10</v>
      </c>
      <c r="E106" t="s">
        <v>16</v>
      </c>
      <c r="F106" t="s">
        <v>12</v>
      </c>
      <c r="G106" t="s">
        <v>13</v>
      </c>
      <c r="H106" t="s">
        <v>13</v>
      </c>
      <c r="I106">
        <v>35</v>
      </c>
      <c r="J106">
        <f>ABS((I106-EDA!$A$15)/EDA!$B$15)</f>
        <v>0.49258699768124525</v>
      </c>
      <c r="K106" t="str">
        <f t="shared" si="1"/>
        <v>No</v>
      </c>
      <c r="L106">
        <f>ABS((C106-EDA!$F$15)/EDA!$G$15)</f>
        <v>0.36795333578059564</v>
      </c>
      <c r="M106" t="str">
        <f>IF(moras[[#This Row],[Z-Score Salario]]&gt;1.96, "Sí", "No")</f>
        <v>No</v>
      </c>
      <c r="N106" s="14">
        <f>IF(ISBLANK(moras[[#This Row],[SALARIO]]), EDA!$M$8, moras[[#This Row],[SALARIO]])</f>
        <v>462759</v>
      </c>
      <c r="O106" s="14">
        <f xml:space="preserve"> IF(ISBLANK(moras[[#This Row],[EDAD]]), EDA!$E$8, moras[[#This Row],[EDAD]])</f>
        <v>35</v>
      </c>
      <c r="P106" s="14" t="str">
        <f>IF(
    OR(ISBLANK(moras[[#This Row],[TIPO_ASEGURAMIENTO]]), moras[[#This Row],[TIPO_ASEGURAMIENTO]]=""),
    EDA!$A$32,
    moras[[#This Row],[TIPO_ASEGURAMIENTO]]
)</f>
        <v>ASALARIADO</v>
      </c>
    </row>
    <row r="107" spans="1:16" x14ac:dyDescent="0.3">
      <c r="A107">
        <v>106</v>
      </c>
      <c r="B107" t="s">
        <v>15</v>
      </c>
      <c r="C107">
        <v>1411236</v>
      </c>
      <c r="D107" t="s">
        <v>10</v>
      </c>
      <c r="E107" t="s">
        <v>11</v>
      </c>
      <c r="F107" t="s">
        <v>12</v>
      </c>
      <c r="G107" t="s">
        <v>13</v>
      </c>
      <c r="H107" t="s">
        <v>13</v>
      </c>
      <c r="I107">
        <v>30</v>
      </c>
      <c r="J107">
        <f>ABS((I107-EDA!$A$15)/EDA!$B$15)</f>
        <v>0.84546364806693275</v>
      </c>
      <c r="K107" t="str">
        <f t="shared" si="1"/>
        <v>No</v>
      </c>
      <c r="L107">
        <f>ABS((C107-EDA!$F$15)/EDA!$G$15)</f>
        <v>0.3521700089591126</v>
      </c>
      <c r="M107" t="str">
        <f>IF(moras[[#This Row],[Z-Score Salario]]&gt;1.96, "Sí", "No")</f>
        <v>No</v>
      </c>
      <c r="N107" s="14">
        <f>IF(ISBLANK(moras[[#This Row],[SALARIO]]), EDA!$M$8, moras[[#This Row],[SALARIO]])</f>
        <v>1411236</v>
      </c>
      <c r="O107" s="14">
        <f xml:space="preserve"> IF(ISBLANK(moras[[#This Row],[EDAD]]), EDA!$E$8, moras[[#This Row],[EDAD]])</f>
        <v>30</v>
      </c>
      <c r="P107" s="14" t="str">
        <f>IF(
    OR(ISBLANK(moras[[#This Row],[TIPO_ASEGURAMIENTO]]), moras[[#This Row],[TIPO_ASEGURAMIENTO]]=""),
    EDA!$A$32,
    moras[[#This Row],[TIPO_ASEGURAMIENTO]]
)</f>
        <v>ASALARIADO</v>
      </c>
    </row>
    <row r="108" spans="1:16" x14ac:dyDescent="0.3">
      <c r="A108">
        <v>107</v>
      </c>
      <c r="B108" t="s">
        <v>9</v>
      </c>
      <c r="C108">
        <v>310124</v>
      </c>
      <c r="D108" t="s">
        <v>17</v>
      </c>
      <c r="E108" t="s">
        <v>16</v>
      </c>
      <c r="F108" t="s">
        <v>12</v>
      </c>
      <c r="G108" t="s">
        <v>13</v>
      </c>
      <c r="H108" t="s">
        <v>13</v>
      </c>
      <c r="I108">
        <v>51</v>
      </c>
      <c r="J108">
        <f>ABS((I108-EDA!$A$15)/EDA!$B$15)</f>
        <v>0.6366182835529548</v>
      </c>
      <c r="K108" t="str">
        <f t="shared" si="1"/>
        <v>No</v>
      </c>
      <c r="L108">
        <f>ABS((C108-EDA!$F$15)/EDA!$G$15)</f>
        <v>0.37049328992750385</v>
      </c>
      <c r="M108" t="str">
        <f>IF(moras[[#This Row],[Z-Score Salario]]&gt;1.96, "Sí", "No")</f>
        <v>No</v>
      </c>
      <c r="N108" s="14">
        <f>IF(ISBLANK(moras[[#This Row],[SALARIO]]), EDA!$M$8, moras[[#This Row],[SALARIO]])</f>
        <v>310124</v>
      </c>
      <c r="O108" s="14">
        <f xml:space="preserve"> IF(ISBLANK(moras[[#This Row],[EDAD]]), EDA!$E$8, moras[[#This Row],[EDAD]])</f>
        <v>51</v>
      </c>
      <c r="P108" s="14" t="str">
        <f>IF(
    OR(ISBLANK(moras[[#This Row],[TIPO_ASEGURAMIENTO]]), moras[[#This Row],[TIPO_ASEGURAMIENTO]]=""),
    EDA!$A$32,
    moras[[#This Row],[TIPO_ASEGURAMIENTO]]
)</f>
        <v>ASEGURADO VOLUNTARIO</v>
      </c>
    </row>
    <row r="109" spans="1:16" x14ac:dyDescent="0.3">
      <c r="A109">
        <v>108</v>
      </c>
      <c r="B109" t="s">
        <v>9</v>
      </c>
      <c r="C109">
        <v>505145</v>
      </c>
      <c r="D109" t="s">
        <v>18</v>
      </c>
      <c r="E109" t="s">
        <v>16</v>
      </c>
      <c r="F109" t="s">
        <v>12</v>
      </c>
      <c r="G109" t="s">
        <v>12</v>
      </c>
      <c r="H109" t="s">
        <v>12</v>
      </c>
      <c r="I109">
        <v>30</v>
      </c>
      <c r="J109">
        <f>ABS((I109-EDA!$A$15)/EDA!$B$15)</f>
        <v>0.84546364806693275</v>
      </c>
      <c r="K109" t="str">
        <f t="shared" si="1"/>
        <v>No</v>
      </c>
      <c r="L109">
        <f>ABS((C109-EDA!$F$15)/EDA!$G$15)</f>
        <v>0.36724800281980124</v>
      </c>
      <c r="M109" t="str">
        <f>IF(moras[[#This Row],[Z-Score Salario]]&gt;1.96, "Sí", "No")</f>
        <v>No</v>
      </c>
      <c r="N109" s="14">
        <f>IF(ISBLANK(moras[[#This Row],[SALARIO]]), EDA!$M$8, moras[[#This Row],[SALARIO]])</f>
        <v>505145</v>
      </c>
      <c r="O109" s="14">
        <f xml:space="preserve"> IF(ISBLANK(moras[[#This Row],[EDAD]]), EDA!$E$8, moras[[#This Row],[EDAD]])</f>
        <v>30</v>
      </c>
      <c r="P109" s="14" t="str">
        <f>IF(
    OR(ISBLANK(moras[[#This Row],[TIPO_ASEGURAMIENTO]]), moras[[#This Row],[TIPO_ASEGURAMIENTO]]=""),
    EDA!$A$32,
    moras[[#This Row],[TIPO_ASEGURAMIENTO]]
)</f>
        <v>TRABAJADOR INDEPENDIENTE</v>
      </c>
    </row>
    <row r="110" spans="1:16" x14ac:dyDescent="0.3">
      <c r="A110">
        <v>109</v>
      </c>
      <c r="B110" t="s">
        <v>9</v>
      </c>
      <c r="C110">
        <v>386161</v>
      </c>
      <c r="D110" t="s">
        <v>18</v>
      </c>
      <c r="E110" t="s">
        <v>16</v>
      </c>
      <c r="F110" t="s">
        <v>12</v>
      </c>
      <c r="G110" t="s">
        <v>13</v>
      </c>
      <c r="H110" t="s">
        <v>12</v>
      </c>
      <c r="I110">
        <v>44</v>
      </c>
      <c r="J110">
        <f>ABS((I110-EDA!$A$15)/EDA!$B$15)</f>
        <v>0.14259097301299228</v>
      </c>
      <c r="K110" t="str">
        <f t="shared" si="1"/>
        <v>No</v>
      </c>
      <c r="L110">
        <f>ABS((C110-EDA!$F$15)/EDA!$G$15)</f>
        <v>0.36922798057205813</v>
      </c>
      <c r="M110" t="str">
        <f>IF(moras[[#This Row],[Z-Score Salario]]&gt;1.96, "Sí", "No")</f>
        <v>No</v>
      </c>
      <c r="N110" s="14">
        <f>IF(ISBLANK(moras[[#This Row],[SALARIO]]), EDA!$M$8, moras[[#This Row],[SALARIO]])</f>
        <v>386161</v>
      </c>
      <c r="O110" s="14">
        <f xml:space="preserve"> IF(ISBLANK(moras[[#This Row],[EDAD]]), EDA!$E$8, moras[[#This Row],[EDAD]])</f>
        <v>44</v>
      </c>
      <c r="P110" s="14" t="str">
        <f>IF(
    OR(ISBLANK(moras[[#This Row],[TIPO_ASEGURAMIENTO]]), moras[[#This Row],[TIPO_ASEGURAMIENTO]]=""),
    EDA!$A$32,
    moras[[#This Row],[TIPO_ASEGURAMIENTO]]
)</f>
        <v>TRABAJADOR INDEPENDIENTE</v>
      </c>
    </row>
    <row r="111" spans="1:16" x14ac:dyDescent="0.3">
      <c r="A111">
        <v>110</v>
      </c>
      <c r="B111" t="s">
        <v>15</v>
      </c>
      <c r="C111">
        <v>2979735</v>
      </c>
      <c r="D111" t="s">
        <v>10</v>
      </c>
      <c r="E111" t="s">
        <v>11</v>
      </c>
      <c r="F111" t="s">
        <v>12</v>
      </c>
      <c r="G111" t="s">
        <v>13</v>
      </c>
      <c r="H111" t="s">
        <v>13</v>
      </c>
      <c r="I111">
        <v>43</v>
      </c>
      <c r="J111">
        <f>ABS((I111-EDA!$A$15)/EDA!$B$15)</f>
        <v>7.2015642935854773E-2</v>
      </c>
      <c r="K111" t="str">
        <f t="shared" si="1"/>
        <v>No</v>
      </c>
      <c r="L111">
        <f>ABS((C111-EDA!$F$15)/EDA!$G$15)</f>
        <v>0.32606907837653726</v>
      </c>
      <c r="M111" t="str">
        <f>IF(moras[[#This Row],[Z-Score Salario]]&gt;1.96, "Sí", "No")</f>
        <v>No</v>
      </c>
      <c r="N111" s="14">
        <f>IF(ISBLANK(moras[[#This Row],[SALARIO]]), EDA!$M$8, moras[[#This Row],[SALARIO]])</f>
        <v>2979735</v>
      </c>
      <c r="O111" s="14">
        <f xml:space="preserve"> IF(ISBLANK(moras[[#This Row],[EDAD]]), EDA!$E$8, moras[[#This Row],[EDAD]])</f>
        <v>43</v>
      </c>
      <c r="P111" s="14" t="str">
        <f>IF(
    OR(ISBLANK(moras[[#This Row],[TIPO_ASEGURAMIENTO]]), moras[[#This Row],[TIPO_ASEGURAMIENTO]]=""),
    EDA!$A$32,
    moras[[#This Row],[TIPO_ASEGURAMIENTO]]
)</f>
        <v>ASALARIADO</v>
      </c>
    </row>
    <row r="112" spans="1:16" x14ac:dyDescent="0.3">
      <c r="A112">
        <v>111</v>
      </c>
      <c r="B112" t="s">
        <v>15</v>
      </c>
      <c r="C112">
        <v>3380499</v>
      </c>
      <c r="D112" t="s">
        <v>10</v>
      </c>
      <c r="E112" t="s">
        <v>16</v>
      </c>
      <c r="F112" t="s">
        <v>12</v>
      </c>
      <c r="G112" t="s">
        <v>13</v>
      </c>
      <c r="H112" t="s">
        <v>13</v>
      </c>
      <c r="I112">
        <v>43</v>
      </c>
      <c r="J112">
        <f>ABS((I112-EDA!$A$15)/EDA!$B$15)</f>
        <v>7.2015642935854773E-2</v>
      </c>
      <c r="K112" t="str">
        <f t="shared" si="1"/>
        <v>No</v>
      </c>
      <c r="L112">
        <f>ABS((C112-EDA!$F$15)/EDA!$G$15)</f>
        <v>0.31940008251234148</v>
      </c>
      <c r="M112" t="str">
        <f>IF(moras[[#This Row],[Z-Score Salario]]&gt;1.96, "Sí", "No")</f>
        <v>No</v>
      </c>
      <c r="N112" s="14">
        <f>IF(ISBLANK(moras[[#This Row],[SALARIO]]), EDA!$M$8, moras[[#This Row],[SALARIO]])</f>
        <v>3380499</v>
      </c>
      <c r="O112" s="14">
        <f xml:space="preserve"> IF(ISBLANK(moras[[#This Row],[EDAD]]), EDA!$E$8, moras[[#This Row],[EDAD]])</f>
        <v>43</v>
      </c>
      <c r="P112" s="14" t="str">
        <f>IF(
    OR(ISBLANK(moras[[#This Row],[TIPO_ASEGURAMIENTO]]), moras[[#This Row],[TIPO_ASEGURAMIENTO]]=""),
    EDA!$A$32,
    moras[[#This Row],[TIPO_ASEGURAMIENTO]]
)</f>
        <v>ASALARIADO</v>
      </c>
    </row>
    <row r="113" spans="1:16" x14ac:dyDescent="0.3">
      <c r="A113">
        <v>112</v>
      </c>
      <c r="B113" t="s">
        <v>15</v>
      </c>
      <c r="C113">
        <v>298155</v>
      </c>
      <c r="D113" t="s">
        <v>17</v>
      </c>
      <c r="E113" t="s">
        <v>16</v>
      </c>
      <c r="F113" t="s">
        <v>12</v>
      </c>
      <c r="G113" t="s">
        <v>13</v>
      </c>
      <c r="H113" t="s">
        <v>13</v>
      </c>
      <c r="I113">
        <v>47</v>
      </c>
      <c r="J113">
        <f>ABS((I113-EDA!$A$15)/EDA!$B$15)</f>
        <v>0.35431696324440481</v>
      </c>
      <c r="K113" t="str">
        <f t="shared" si="1"/>
        <v>No</v>
      </c>
      <c r="L113">
        <f>ABS((C113-EDA!$F$15)/EDA!$G$15)</f>
        <v>0.37069246253656696</v>
      </c>
      <c r="M113" t="str">
        <f>IF(moras[[#This Row],[Z-Score Salario]]&gt;1.96, "Sí", "No")</f>
        <v>No</v>
      </c>
      <c r="N113" s="14">
        <f>IF(ISBLANK(moras[[#This Row],[SALARIO]]), EDA!$M$8, moras[[#This Row],[SALARIO]])</f>
        <v>298155</v>
      </c>
      <c r="O113" s="14">
        <f xml:space="preserve"> IF(ISBLANK(moras[[#This Row],[EDAD]]), EDA!$E$8, moras[[#This Row],[EDAD]])</f>
        <v>47</v>
      </c>
      <c r="P113" s="14" t="str">
        <f>IF(
    OR(ISBLANK(moras[[#This Row],[TIPO_ASEGURAMIENTO]]), moras[[#This Row],[TIPO_ASEGURAMIENTO]]=""),
    EDA!$A$32,
    moras[[#This Row],[TIPO_ASEGURAMIENTO]]
)</f>
        <v>ASEGURADO VOLUNTARIO</v>
      </c>
    </row>
    <row r="114" spans="1:16" x14ac:dyDescent="0.3">
      <c r="A114">
        <v>113</v>
      </c>
      <c r="B114" t="s">
        <v>15</v>
      </c>
      <c r="C114">
        <v>27803099</v>
      </c>
      <c r="D114" t="s">
        <v>19</v>
      </c>
      <c r="E114" t="s">
        <v>16</v>
      </c>
      <c r="F114" t="s">
        <v>12</v>
      </c>
      <c r="G114" t="s">
        <v>13</v>
      </c>
      <c r="H114" t="s">
        <v>13</v>
      </c>
      <c r="I114">
        <v>30</v>
      </c>
      <c r="J114">
        <f>ABS((I114-EDA!$A$15)/EDA!$B$15)</f>
        <v>0.84546364806693275</v>
      </c>
      <c r="K114" t="str">
        <f t="shared" si="1"/>
        <v>No</v>
      </c>
      <c r="L114">
        <f>ABS((C114-EDA!$F$15)/EDA!$G$15)</f>
        <v>8.7009221698885322E-2</v>
      </c>
      <c r="M114" t="str">
        <f>IF(moras[[#This Row],[Z-Score Salario]]&gt;1.96, "Sí", "No")</f>
        <v>No</v>
      </c>
      <c r="N114" s="14">
        <f>IF(ISBLANK(moras[[#This Row],[SALARIO]]), EDA!$M$8, moras[[#This Row],[SALARIO]])</f>
        <v>27803099</v>
      </c>
      <c r="O114" s="14">
        <f xml:space="preserve"> IF(ISBLANK(moras[[#This Row],[EDAD]]), EDA!$E$8, moras[[#This Row],[EDAD]])</f>
        <v>30</v>
      </c>
      <c r="P114" s="14" t="str">
        <f>IF(
    OR(ISBLANK(moras[[#This Row],[TIPO_ASEGURAMIENTO]]), moras[[#This Row],[TIPO_ASEGURAMIENTO]]=""),
    EDA!$A$32,
    moras[[#This Row],[TIPO_ASEGURAMIENTO]]
)</f>
        <v>CONVENIOS ESPECIALES DE TRABAJADORES INDEPENDIENTES</v>
      </c>
    </row>
    <row r="115" spans="1:16" x14ac:dyDescent="0.3">
      <c r="A115">
        <v>114</v>
      </c>
      <c r="B115" t="s">
        <v>15</v>
      </c>
      <c r="C115">
        <v>3820264</v>
      </c>
      <c r="D115" t="s">
        <v>10</v>
      </c>
      <c r="E115" t="s">
        <v>16</v>
      </c>
      <c r="F115" t="s">
        <v>12</v>
      </c>
      <c r="G115" t="s">
        <v>13</v>
      </c>
      <c r="H115" t="s">
        <v>13</v>
      </c>
      <c r="I115">
        <v>44</v>
      </c>
      <c r="J115">
        <f>ABS((I115-EDA!$A$15)/EDA!$B$15)</f>
        <v>0.14259097301299228</v>
      </c>
      <c r="K115" t="str">
        <f t="shared" si="1"/>
        <v>No</v>
      </c>
      <c r="L115">
        <f>ABS((C115-EDA!$F$15)/EDA!$G$15)</f>
        <v>0.31208208247686409</v>
      </c>
      <c r="M115" t="str">
        <f>IF(moras[[#This Row],[Z-Score Salario]]&gt;1.96, "Sí", "No")</f>
        <v>No</v>
      </c>
      <c r="N115" s="14">
        <f>IF(ISBLANK(moras[[#This Row],[SALARIO]]), EDA!$M$8, moras[[#This Row],[SALARIO]])</f>
        <v>3820264</v>
      </c>
      <c r="O115" s="14">
        <f xml:space="preserve"> IF(ISBLANK(moras[[#This Row],[EDAD]]), EDA!$E$8, moras[[#This Row],[EDAD]])</f>
        <v>44</v>
      </c>
      <c r="P115" s="14" t="str">
        <f>IF(
    OR(ISBLANK(moras[[#This Row],[TIPO_ASEGURAMIENTO]]), moras[[#This Row],[TIPO_ASEGURAMIENTO]]=""),
    EDA!$A$32,
    moras[[#This Row],[TIPO_ASEGURAMIENTO]]
)</f>
        <v>ASALARIADO</v>
      </c>
    </row>
    <row r="116" spans="1:16" x14ac:dyDescent="0.3">
      <c r="A116">
        <v>115</v>
      </c>
      <c r="B116" t="s">
        <v>15</v>
      </c>
      <c r="C116">
        <v>23948557</v>
      </c>
      <c r="D116" t="s">
        <v>10</v>
      </c>
      <c r="E116" t="s">
        <v>16</v>
      </c>
      <c r="F116" t="s">
        <v>12</v>
      </c>
      <c r="G116" t="s">
        <v>13</v>
      </c>
      <c r="H116" t="s">
        <v>13</v>
      </c>
      <c r="I116">
        <v>21</v>
      </c>
      <c r="J116">
        <f>ABS((I116-EDA!$A$15)/EDA!$B$15)</f>
        <v>1.4806416187611704</v>
      </c>
      <c r="K116" t="str">
        <f t="shared" si="1"/>
        <v>No</v>
      </c>
      <c r="L116">
        <f>ABS((C116-EDA!$F$15)/EDA!$G$15)</f>
        <v>2.2866921850672985E-2</v>
      </c>
      <c r="M116" t="str">
        <f>IF(moras[[#This Row],[Z-Score Salario]]&gt;1.96, "Sí", "No")</f>
        <v>No</v>
      </c>
      <c r="N116" s="14">
        <f>IF(ISBLANK(moras[[#This Row],[SALARIO]]), EDA!$M$8, moras[[#This Row],[SALARIO]])</f>
        <v>23948557</v>
      </c>
      <c r="O116" s="14">
        <f xml:space="preserve"> IF(ISBLANK(moras[[#This Row],[EDAD]]), EDA!$E$8, moras[[#This Row],[EDAD]])</f>
        <v>21</v>
      </c>
      <c r="P116" s="14" t="str">
        <f>IF(
    OR(ISBLANK(moras[[#This Row],[TIPO_ASEGURAMIENTO]]), moras[[#This Row],[TIPO_ASEGURAMIENTO]]=""),
    EDA!$A$32,
    moras[[#This Row],[TIPO_ASEGURAMIENTO]]
)</f>
        <v>ASALARIADO</v>
      </c>
    </row>
    <row r="117" spans="1:16" x14ac:dyDescent="0.3">
      <c r="A117">
        <v>116</v>
      </c>
      <c r="B117" t="s">
        <v>9</v>
      </c>
      <c r="C117">
        <v>67287347</v>
      </c>
      <c r="D117" t="s">
        <v>10</v>
      </c>
      <c r="E117" t="s">
        <v>16</v>
      </c>
      <c r="F117" t="s">
        <v>12</v>
      </c>
      <c r="G117" t="s">
        <v>12</v>
      </c>
      <c r="H117" t="s">
        <v>13</v>
      </c>
      <c r="I117">
        <v>32</v>
      </c>
      <c r="J117">
        <f>ABS((I117-EDA!$A$15)/EDA!$B$15)</f>
        <v>0.70431298791265773</v>
      </c>
      <c r="K117" t="str">
        <f t="shared" si="1"/>
        <v>No</v>
      </c>
      <c r="L117">
        <f>ABS((C117-EDA!$F$15)/EDA!$G$15)</f>
        <v>0.74405498083114485</v>
      </c>
      <c r="M117" t="str">
        <f>IF(moras[[#This Row],[Z-Score Salario]]&gt;1.96, "Sí", "No")</f>
        <v>No</v>
      </c>
      <c r="N117" s="14">
        <f>IF(ISBLANK(moras[[#This Row],[SALARIO]]), EDA!$M$8, moras[[#This Row],[SALARIO]])</f>
        <v>67287347</v>
      </c>
      <c r="O117" s="14">
        <f xml:space="preserve"> IF(ISBLANK(moras[[#This Row],[EDAD]]), EDA!$E$8, moras[[#This Row],[EDAD]])</f>
        <v>32</v>
      </c>
      <c r="P117" s="14" t="str">
        <f>IF(
    OR(ISBLANK(moras[[#This Row],[TIPO_ASEGURAMIENTO]]), moras[[#This Row],[TIPO_ASEGURAMIENTO]]=""),
    EDA!$A$32,
    moras[[#This Row],[TIPO_ASEGURAMIENTO]]
)</f>
        <v>ASALARIADO</v>
      </c>
    </row>
    <row r="118" spans="1:16" x14ac:dyDescent="0.3">
      <c r="A118">
        <v>117</v>
      </c>
      <c r="B118" t="s">
        <v>15</v>
      </c>
      <c r="C118">
        <v>995442</v>
      </c>
      <c r="D118" t="s">
        <v>10</v>
      </c>
      <c r="E118" t="s">
        <v>16</v>
      </c>
      <c r="F118" t="s">
        <v>12</v>
      </c>
      <c r="G118" t="s">
        <v>12</v>
      </c>
      <c r="H118" t="s">
        <v>12</v>
      </c>
      <c r="I118">
        <v>52</v>
      </c>
      <c r="J118">
        <f>ABS((I118-EDA!$A$15)/EDA!$B$15)</f>
        <v>0.70719361363009237</v>
      </c>
      <c r="K118" t="str">
        <f t="shared" si="1"/>
        <v>No</v>
      </c>
      <c r="L118">
        <f>ABS((C118-EDA!$F$15)/EDA!$G$15)</f>
        <v>0.35908911463316873</v>
      </c>
      <c r="M118" t="str">
        <f>IF(moras[[#This Row],[Z-Score Salario]]&gt;1.96, "Sí", "No")</f>
        <v>No</v>
      </c>
      <c r="N118" s="14">
        <f>IF(ISBLANK(moras[[#This Row],[SALARIO]]), EDA!$M$8, moras[[#This Row],[SALARIO]])</f>
        <v>995442</v>
      </c>
      <c r="O118" s="14">
        <f xml:space="preserve"> IF(ISBLANK(moras[[#This Row],[EDAD]]), EDA!$E$8, moras[[#This Row],[EDAD]])</f>
        <v>52</v>
      </c>
      <c r="P118" s="14" t="str">
        <f>IF(
    OR(ISBLANK(moras[[#This Row],[TIPO_ASEGURAMIENTO]]), moras[[#This Row],[TIPO_ASEGURAMIENTO]]=""),
    EDA!$A$32,
    moras[[#This Row],[TIPO_ASEGURAMIENTO]]
)</f>
        <v>ASALARIADO</v>
      </c>
    </row>
    <row r="119" spans="1:16" x14ac:dyDescent="0.3">
      <c r="A119">
        <v>118</v>
      </c>
      <c r="B119" t="s">
        <v>9</v>
      </c>
      <c r="C119">
        <v>65986458</v>
      </c>
      <c r="D119" t="s">
        <v>10</v>
      </c>
      <c r="E119" t="s">
        <v>16</v>
      </c>
      <c r="F119" t="s">
        <v>12</v>
      </c>
      <c r="G119" t="s">
        <v>13</v>
      </c>
      <c r="H119" t="s">
        <v>13</v>
      </c>
      <c r="I119">
        <v>27</v>
      </c>
      <c r="J119">
        <f>ABS((I119-EDA!$A$15)/EDA!$B$15)</f>
        <v>1.0571896382983452</v>
      </c>
      <c r="K119" t="str">
        <f t="shared" si="1"/>
        <v>No</v>
      </c>
      <c r="L119">
        <f>ABS((C119-EDA!$F$15)/EDA!$G$15)</f>
        <v>0.7224072695577326</v>
      </c>
      <c r="M119" t="str">
        <f>IF(moras[[#This Row],[Z-Score Salario]]&gt;1.96, "Sí", "No")</f>
        <v>No</v>
      </c>
      <c r="N119" s="14">
        <f>IF(ISBLANK(moras[[#This Row],[SALARIO]]), EDA!$M$8, moras[[#This Row],[SALARIO]])</f>
        <v>65986458</v>
      </c>
      <c r="O119" s="14">
        <f xml:space="preserve"> IF(ISBLANK(moras[[#This Row],[EDAD]]), EDA!$E$8, moras[[#This Row],[EDAD]])</f>
        <v>27</v>
      </c>
      <c r="P119" s="14" t="str">
        <f>IF(
    OR(ISBLANK(moras[[#This Row],[TIPO_ASEGURAMIENTO]]), moras[[#This Row],[TIPO_ASEGURAMIENTO]]=""),
    EDA!$A$32,
    moras[[#This Row],[TIPO_ASEGURAMIENTO]]
)</f>
        <v>ASALARIADO</v>
      </c>
    </row>
    <row r="120" spans="1:16" x14ac:dyDescent="0.3">
      <c r="A120">
        <v>119</v>
      </c>
      <c r="B120" t="s">
        <v>9</v>
      </c>
      <c r="C120">
        <v>6817587</v>
      </c>
      <c r="D120" t="s">
        <v>10</v>
      </c>
      <c r="E120" t="s">
        <v>16</v>
      </c>
      <c r="F120" t="s">
        <v>12</v>
      </c>
      <c r="G120" t="s">
        <v>13</v>
      </c>
      <c r="H120" t="s">
        <v>13</v>
      </c>
      <c r="I120">
        <v>30</v>
      </c>
      <c r="J120">
        <f>ABS((I120-EDA!$A$15)/EDA!$B$15)</f>
        <v>0.84546364806693275</v>
      </c>
      <c r="K120" t="str">
        <f t="shared" si="1"/>
        <v>No</v>
      </c>
      <c r="L120">
        <f>ABS((C120-EDA!$F$15)/EDA!$G$15)</f>
        <v>0.26220451190999949</v>
      </c>
      <c r="M120" t="str">
        <f>IF(moras[[#This Row],[Z-Score Salario]]&gt;1.96, "Sí", "No")</f>
        <v>No</v>
      </c>
      <c r="N120" s="14">
        <f>IF(ISBLANK(moras[[#This Row],[SALARIO]]), EDA!$M$8, moras[[#This Row],[SALARIO]])</f>
        <v>6817587</v>
      </c>
      <c r="O120" s="14">
        <f xml:space="preserve"> IF(ISBLANK(moras[[#This Row],[EDAD]]), EDA!$E$8, moras[[#This Row],[EDAD]])</f>
        <v>30</v>
      </c>
      <c r="P120" s="14" t="str">
        <f>IF(
    OR(ISBLANK(moras[[#This Row],[TIPO_ASEGURAMIENTO]]), moras[[#This Row],[TIPO_ASEGURAMIENTO]]=""),
    EDA!$A$32,
    moras[[#This Row],[TIPO_ASEGURAMIENTO]]
)</f>
        <v>ASALARIADO</v>
      </c>
    </row>
    <row r="121" spans="1:16" x14ac:dyDescent="0.3">
      <c r="A121">
        <v>120</v>
      </c>
      <c r="B121" t="s">
        <v>15</v>
      </c>
      <c r="C121">
        <v>297046</v>
      </c>
      <c r="D121" t="s">
        <v>17</v>
      </c>
      <c r="E121" t="s">
        <v>16</v>
      </c>
      <c r="F121" t="s">
        <v>12</v>
      </c>
      <c r="G121" t="s">
        <v>12</v>
      </c>
      <c r="H121" t="s">
        <v>12</v>
      </c>
      <c r="I121">
        <v>37</v>
      </c>
      <c r="J121">
        <f>ABS((I121-EDA!$A$15)/EDA!$B$15)</f>
        <v>0.35143633752697023</v>
      </c>
      <c r="K121" t="str">
        <f t="shared" si="1"/>
        <v>No</v>
      </c>
      <c r="L121">
        <f>ABS((C121-EDA!$F$15)/EDA!$G$15)</f>
        <v>0.37071091707942361</v>
      </c>
      <c r="M121" t="str">
        <f>IF(moras[[#This Row],[Z-Score Salario]]&gt;1.96, "Sí", "No")</f>
        <v>No</v>
      </c>
      <c r="N121" s="14">
        <f>IF(ISBLANK(moras[[#This Row],[SALARIO]]), EDA!$M$8, moras[[#This Row],[SALARIO]])</f>
        <v>297046</v>
      </c>
      <c r="O121" s="14">
        <f xml:space="preserve"> IF(ISBLANK(moras[[#This Row],[EDAD]]), EDA!$E$8, moras[[#This Row],[EDAD]])</f>
        <v>37</v>
      </c>
      <c r="P121" s="14" t="str">
        <f>IF(
    OR(ISBLANK(moras[[#This Row],[TIPO_ASEGURAMIENTO]]), moras[[#This Row],[TIPO_ASEGURAMIENTO]]=""),
    EDA!$A$32,
    moras[[#This Row],[TIPO_ASEGURAMIENTO]]
)</f>
        <v>ASEGURADO VOLUNTARIO</v>
      </c>
    </row>
    <row r="122" spans="1:16" x14ac:dyDescent="0.3">
      <c r="A122">
        <v>121</v>
      </c>
      <c r="B122" t="s">
        <v>15</v>
      </c>
      <c r="C122">
        <v>14992963</v>
      </c>
      <c r="D122" t="s">
        <v>10</v>
      </c>
      <c r="E122" t="s">
        <v>16</v>
      </c>
      <c r="F122" t="s">
        <v>12</v>
      </c>
      <c r="G122" t="s">
        <v>12</v>
      </c>
      <c r="H122" t="s">
        <v>13</v>
      </c>
      <c r="I122">
        <v>28</v>
      </c>
      <c r="J122">
        <f>ABS((I122-EDA!$A$15)/EDA!$B$15)</f>
        <v>0.98661430822120777</v>
      </c>
      <c r="K122" t="str">
        <f t="shared" si="1"/>
        <v>No</v>
      </c>
      <c r="L122">
        <f>ABS((C122-EDA!$F$15)/EDA!$G$15)</f>
        <v>0.12616048417236458</v>
      </c>
      <c r="M122" t="str">
        <f>IF(moras[[#This Row],[Z-Score Salario]]&gt;1.96, "Sí", "No")</f>
        <v>No</v>
      </c>
      <c r="N122" s="14">
        <f>IF(ISBLANK(moras[[#This Row],[SALARIO]]), EDA!$M$8, moras[[#This Row],[SALARIO]])</f>
        <v>14992963</v>
      </c>
      <c r="O122" s="14">
        <f xml:space="preserve"> IF(ISBLANK(moras[[#This Row],[EDAD]]), EDA!$E$8, moras[[#This Row],[EDAD]])</f>
        <v>28</v>
      </c>
      <c r="P122" s="14" t="str">
        <f>IF(
    OR(ISBLANK(moras[[#This Row],[TIPO_ASEGURAMIENTO]]), moras[[#This Row],[TIPO_ASEGURAMIENTO]]=""),
    EDA!$A$32,
    moras[[#This Row],[TIPO_ASEGURAMIENTO]]
)</f>
        <v>ASALARIADO</v>
      </c>
    </row>
    <row r="123" spans="1:16" x14ac:dyDescent="0.3">
      <c r="A123">
        <v>122</v>
      </c>
      <c r="B123" t="s">
        <v>15</v>
      </c>
      <c r="C123">
        <v>297514</v>
      </c>
      <c r="D123" t="s">
        <v>17</v>
      </c>
      <c r="E123" t="s">
        <v>16</v>
      </c>
      <c r="F123" t="s">
        <v>12</v>
      </c>
      <c r="G123" t="s">
        <v>13</v>
      </c>
      <c r="H123" t="s">
        <v>13</v>
      </c>
      <c r="I123">
        <v>45</v>
      </c>
      <c r="J123">
        <f>ABS((I123-EDA!$A$15)/EDA!$B$15)</f>
        <v>0.21316630309012977</v>
      </c>
      <c r="K123" t="str">
        <f t="shared" si="1"/>
        <v>No</v>
      </c>
      <c r="L123">
        <f>ABS((C123-EDA!$F$15)/EDA!$G$15)</f>
        <v>0.37070312922905668</v>
      </c>
      <c r="M123" t="str">
        <f>IF(moras[[#This Row],[Z-Score Salario]]&gt;1.96, "Sí", "No")</f>
        <v>No</v>
      </c>
      <c r="N123" s="14">
        <f>IF(ISBLANK(moras[[#This Row],[SALARIO]]), EDA!$M$8, moras[[#This Row],[SALARIO]])</f>
        <v>297514</v>
      </c>
      <c r="O123" s="14">
        <f xml:space="preserve"> IF(ISBLANK(moras[[#This Row],[EDAD]]), EDA!$E$8, moras[[#This Row],[EDAD]])</f>
        <v>45</v>
      </c>
      <c r="P123" s="14" t="str">
        <f>IF(
    OR(ISBLANK(moras[[#This Row],[TIPO_ASEGURAMIENTO]]), moras[[#This Row],[TIPO_ASEGURAMIENTO]]=""),
    EDA!$A$32,
    moras[[#This Row],[TIPO_ASEGURAMIENTO]]
)</f>
        <v>ASEGURADO VOLUNTARIO</v>
      </c>
    </row>
    <row r="124" spans="1:16" x14ac:dyDescent="0.3">
      <c r="A124">
        <v>123</v>
      </c>
      <c r="B124" t="s">
        <v>15</v>
      </c>
      <c r="C124">
        <v>297062</v>
      </c>
      <c r="D124" t="s">
        <v>17</v>
      </c>
      <c r="E124" t="s">
        <v>16</v>
      </c>
      <c r="F124" t="s">
        <v>12</v>
      </c>
      <c r="G124" t="s">
        <v>13</v>
      </c>
      <c r="H124" t="s">
        <v>13</v>
      </c>
      <c r="I124">
        <v>40</v>
      </c>
      <c r="J124">
        <f>ABS((I124-EDA!$A$15)/EDA!$B$15)</f>
        <v>0.13971034729555773</v>
      </c>
      <c r="K124" t="str">
        <f t="shared" si="1"/>
        <v>No</v>
      </c>
      <c r="L124">
        <f>ABS((C124-EDA!$F$15)/EDA!$G$15)</f>
        <v>0.37071065082812898</v>
      </c>
      <c r="M124" t="str">
        <f>IF(moras[[#This Row],[Z-Score Salario]]&gt;1.96, "Sí", "No")</f>
        <v>No</v>
      </c>
      <c r="N124" s="14">
        <f>IF(ISBLANK(moras[[#This Row],[SALARIO]]), EDA!$M$8, moras[[#This Row],[SALARIO]])</f>
        <v>297062</v>
      </c>
      <c r="O124" s="14">
        <f xml:space="preserve"> IF(ISBLANK(moras[[#This Row],[EDAD]]), EDA!$E$8, moras[[#This Row],[EDAD]])</f>
        <v>40</v>
      </c>
      <c r="P124" s="14" t="str">
        <f>IF(
    OR(ISBLANK(moras[[#This Row],[TIPO_ASEGURAMIENTO]]), moras[[#This Row],[TIPO_ASEGURAMIENTO]]=""),
    EDA!$A$32,
    moras[[#This Row],[TIPO_ASEGURAMIENTO]]
)</f>
        <v>ASEGURADO VOLUNTARIO</v>
      </c>
    </row>
    <row r="125" spans="1:16" x14ac:dyDescent="0.3">
      <c r="A125">
        <v>124</v>
      </c>
      <c r="B125" t="s">
        <v>9</v>
      </c>
      <c r="C125">
        <v>1179097</v>
      </c>
      <c r="D125" t="s">
        <v>10</v>
      </c>
      <c r="E125" t="s">
        <v>16</v>
      </c>
      <c r="F125" t="s">
        <v>12</v>
      </c>
      <c r="G125" t="s">
        <v>13</v>
      </c>
      <c r="H125" t="s">
        <v>13</v>
      </c>
      <c r="I125">
        <v>41</v>
      </c>
      <c r="J125">
        <f>ABS((I125-EDA!$A$15)/EDA!$B$15)</f>
        <v>6.9135017218420233E-2</v>
      </c>
      <c r="K125" t="str">
        <f t="shared" si="1"/>
        <v>No</v>
      </c>
      <c r="L125">
        <f>ABS((C125-EDA!$F$15)/EDA!$G$15)</f>
        <v>0.35603296578886418</v>
      </c>
      <c r="M125" t="str">
        <f>IF(moras[[#This Row],[Z-Score Salario]]&gt;1.96, "Sí", "No")</f>
        <v>No</v>
      </c>
      <c r="N125" s="14">
        <f>IF(ISBLANK(moras[[#This Row],[SALARIO]]), EDA!$M$8, moras[[#This Row],[SALARIO]])</f>
        <v>1179097</v>
      </c>
      <c r="O125" s="14">
        <f xml:space="preserve"> IF(ISBLANK(moras[[#This Row],[EDAD]]), EDA!$E$8, moras[[#This Row],[EDAD]])</f>
        <v>41</v>
      </c>
      <c r="P125" s="14" t="str">
        <f>IF(
    OR(ISBLANK(moras[[#This Row],[TIPO_ASEGURAMIENTO]]), moras[[#This Row],[TIPO_ASEGURAMIENTO]]=""),
    EDA!$A$32,
    moras[[#This Row],[TIPO_ASEGURAMIENTO]]
)</f>
        <v>ASALARIADO</v>
      </c>
    </row>
    <row r="126" spans="1:16" x14ac:dyDescent="0.3">
      <c r="A126">
        <v>125</v>
      </c>
      <c r="B126" t="s">
        <v>9</v>
      </c>
      <c r="C126">
        <v>300018</v>
      </c>
      <c r="D126" t="s">
        <v>17</v>
      </c>
      <c r="E126" t="s">
        <v>16</v>
      </c>
      <c r="F126" t="s">
        <v>12</v>
      </c>
      <c r="G126" t="s">
        <v>13</v>
      </c>
      <c r="H126" t="s">
        <v>13</v>
      </c>
      <c r="I126">
        <v>82</v>
      </c>
      <c r="J126">
        <f>ABS((I126-EDA!$A$15)/EDA!$B$15)</f>
        <v>2.8244535159442172</v>
      </c>
      <c r="K126" t="str">
        <f t="shared" si="1"/>
        <v>Sí</v>
      </c>
      <c r="L126">
        <f>ABS((C126-EDA!$F$15)/EDA!$G$15)</f>
        <v>0.37066146090145252</v>
      </c>
      <c r="M126" t="str">
        <f>IF(moras[[#This Row],[Z-Score Salario]]&gt;1.96, "Sí", "No")</f>
        <v>No</v>
      </c>
      <c r="N126" s="14">
        <f>IF(ISBLANK(moras[[#This Row],[SALARIO]]), EDA!$M$8, moras[[#This Row],[SALARIO]])</f>
        <v>300018</v>
      </c>
      <c r="O126" s="14">
        <f xml:space="preserve"> IF(ISBLANK(moras[[#This Row],[EDAD]]), EDA!$E$8, moras[[#This Row],[EDAD]])</f>
        <v>82</v>
      </c>
      <c r="P126" s="14" t="str">
        <f>IF(
    OR(ISBLANK(moras[[#This Row],[TIPO_ASEGURAMIENTO]]), moras[[#This Row],[TIPO_ASEGURAMIENTO]]=""),
    EDA!$A$32,
    moras[[#This Row],[TIPO_ASEGURAMIENTO]]
)</f>
        <v>ASEGURADO VOLUNTARIO</v>
      </c>
    </row>
    <row r="127" spans="1:16" x14ac:dyDescent="0.3">
      <c r="A127">
        <v>126</v>
      </c>
      <c r="B127" t="s">
        <v>15</v>
      </c>
      <c r="C127">
        <v>36699625</v>
      </c>
      <c r="D127" t="s">
        <v>10</v>
      </c>
      <c r="E127" t="s">
        <v>16</v>
      </c>
      <c r="F127" t="s">
        <v>12</v>
      </c>
      <c r="G127" t="s">
        <v>13</v>
      </c>
      <c r="H127" t="s">
        <v>13</v>
      </c>
      <c r="I127">
        <v>44</v>
      </c>
      <c r="J127">
        <f>ABS((I127-EDA!$A$15)/EDA!$B$15)</f>
        <v>0.14259097301299228</v>
      </c>
      <c r="K127" t="str">
        <f t="shared" si="1"/>
        <v>No</v>
      </c>
      <c r="L127">
        <f>ABS((C127-EDA!$F$15)/EDA!$G$15)</f>
        <v>0.23505369450510122</v>
      </c>
      <c r="M127" t="str">
        <f>IF(moras[[#This Row],[Z-Score Salario]]&gt;1.96, "Sí", "No")</f>
        <v>No</v>
      </c>
      <c r="N127" s="14">
        <f>IF(ISBLANK(moras[[#This Row],[SALARIO]]), EDA!$M$8, moras[[#This Row],[SALARIO]])</f>
        <v>36699625</v>
      </c>
      <c r="O127" s="14">
        <f xml:space="preserve"> IF(ISBLANK(moras[[#This Row],[EDAD]]), EDA!$E$8, moras[[#This Row],[EDAD]])</f>
        <v>44</v>
      </c>
      <c r="P127" s="14" t="str">
        <f>IF(
    OR(ISBLANK(moras[[#This Row],[TIPO_ASEGURAMIENTO]]), moras[[#This Row],[TIPO_ASEGURAMIENTO]]=""),
    EDA!$A$32,
    moras[[#This Row],[TIPO_ASEGURAMIENTO]]
)</f>
        <v>ASALARIADO</v>
      </c>
    </row>
    <row r="128" spans="1:16" x14ac:dyDescent="0.3">
      <c r="A128">
        <v>127</v>
      </c>
      <c r="B128" t="s">
        <v>15</v>
      </c>
      <c r="C128">
        <v>97671218</v>
      </c>
      <c r="D128" t="s">
        <v>10</v>
      </c>
      <c r="E128" t="s">
        <v>16</v>
      </c>
      <c r="F128" t="s">
        <v>12</v>
      </c>
      <c r="G128" t="s">
        <v>13</v>
      </c>
      <c r="H128" t="s">
        <v>13</v>
      </c>
      <c r="I128">
        <v>32</v>
      </c>
      <c r="J128">
        <f>ABS((I128-EDA!$A$15)/EDA!$B$15)</f>
        <v>0.70431298791265773</v>
      </c>
      <c r="K128" t="str">
        <f t="shared" si="1"/>
        <v>No</v>
      </c>
      <c r="L128">
        <f>ABS((C128-EDA!$F$15)/EDA!$G$15)</f>
        <v>1.2496640426162811</v>
      </c>
      <c r="M128" t="str">
        <f>IF(moras[[#This Row],[Z-Score Salario]]&gt;1.96, "Sí", "No")</f>
        <v>No</v>
      </c>
      <c r="N128" s="14">
        <f>IF(ISBLANK(moras[[#This Row],[SALARIO]]), EDA!$M$8, moras[[#This Row],[SALARIO]])</f>
        <v>97671218</v>
      </c>
      <c r="O128" s="14">
        <f xml:space="preserve"> IF(ISBLANK(moras[[#This Row],[EDAD]]), EDA!$E$8, moras[[#This Row],[EDAD]])</f>
        <v>32</v>
      </c>
      <c r="P128" s="14" t="str">
        <f>IF(
    OR(ISBLANK(moras[[#This Row],[TIPO_ASEGURAMIENTO]]), moras[[#This Row],[TIPO_ASEGURAMIENTO]]=""),
    EDA!$A$32,
    moras[[#This Row],[TIPO_ASEGURAMIENTO]]
)</f>
        <v>ASALARIADO</v>
      </c>
    </row>
    <row r="129" spans="1:16" x14ac:dyDescent="0.3">
      <c r="A129">
        <v>128</v>
      </c>
      <c r="B129" t="s">
        <v>15</v>
      </c>
      <c r="C129">
        <v>212500</v>
      </c>
      <c r="D129" t="s">
        <v>10</v>
      </c>
      <c r="E129" t="s">
        <v>16</v>
      </c>
      <c r="F129" t="s">
        <v>12</v>
      </c>
      <c r="G129" t="s">
        <v>12</v>
      </c>
      <c r="H129" t="s">
        <v>13</v>
      </c>
      <c r="I129">
        <v>45</v>
      </c>
      <c r="J129">
        <f>ABS((I129-EDA!$A$15)/EDA!$B$15)</f>
        <v>0.21316630309012977</v>
      </c>
      <c r="K129" t="str">
        <f t="shared" si="1"/>
        <v>No</v>
      </c>
      <c r="L129">
        <f>ABS((C129-EDA!$F$15)/EDA!$G$15)</f>
        <v>0.37211782220147621</v>
      </c>
      <c r="M129" t="str">
        <f>IF(moras[[#This Row],[Z-Score Salario]]&gt;1.96, "Sí", "No")</f>
        <v>No</v>
      </c>
      <c r="N129" s="14">
        <f>IF(ISBLANK(moras[[#This Row],[SALARIO]]), EDA!$M$8, moras[[#This Row],[SALARIO]])</f>
        <v>212500</v>
      </c>
      <c r="O129" s="14">
        <f xml:space="preserve"> IF(ISBLANK(moras[[#This Row],[EDAD]]), EDA!$E$8, moras[[#This Row],[EDAD]])</f>
        <v>45</v>
      </c>
      <c r="P129" s="14" t="str">
        <f>IF(
    OR(ISBLANK(moras[[#This Row],[TIPO_ASEGURAMIENTO]]), moras[[#This Row],[TIPO_ASEGURAMIENTO]]=""),
    EDA!$A$32,
    moras[[#This Row],[TIPO_ASEGURAMIENTO]]
)</f>
        <v>ASALARIADO</v>
      </c>
    </row>
    <row r="130" spans="1:16" x14ac:dyDescent="0.3">
      <c r="A130">
        <v>129</v>
      </c>
      <c r="B130" t="s">
        <v>9</v>
      </c>
      <c r="C130">
        <v>300018</v>
      </c>
      <c r="D130" t="s">
        <v>18</v>
      </c>
      <c r="E130" t="s">
        <v>16</v>
      </c>
      <c r="F130" t="s">
        <v>12</v>
      </c>
      <c r="G130" t="s">
        <v>13</v>
      </c>
      <c r="H130" t="s">
        <v>13</v>
      </c>
      <c r="I130">
        <v>58</v>
      </c>
      <c r="J130">
        <f>ABS((I130-EDA!$A$15)/EDA!$B$15)</f>
        <v>1.1306455940929174</v>
      </c>
      <c r="K130" t="str">
        <f t="shared" ref="K130:K193" si="2">IF(J130 &gt;  1.96, "Sí","No")</f>
        <v>No</v>
      </c>
      <c r="L130">
        <f>ABS((C130-EDA!$F$15)/EDA!$G$15)</f>
        <v>0.37066146090145252</v>
      </c>
      <c r="M130" t="str">
        <f>IF(moras[[#This Row],[Z-Score Salario]]&gt;1.96, "Sí", "No")</f>
        <v>No</v>
      </c>
      <c r="N130" s="14">
        <f>IF(ISBLANK(moras[[#This Row],[SALARIO]]), EDA!$M$8, moras[[#This Row],[SALARIO]])</f>
        <v>300018</v>
      </c>
      <c r="O130" s="14">
        <f xml:space="preserve"> IF(ISBLANK(moras[[#This Row],[EDAD]]), EDA!$E$8, moras[[#This Row],[EDAD]])</f>
        <v>58</v>
      </c>
      <c r="P130" s="14" t="str">
        <f>IF(
    OR(ISBLANK(moras[[#This Row],[TIPO_ASEGURAMIENTO]]), moras[[#This Row],[TIPO_ASEGURAMIENTO]]=""),
    EDA!$A$32,
    moras[[#This Row],[TIPO_ASEGURAMIENTO]]
)</f>
        <v>TRABAJADOR INDEPENDIENTE</v>
      </c>
    </row>
    <row r="131" spans="1:16" x14ac:dyDescent="0.3">
      <c r="A131">
        <v>130</v>
      </c>
      <c r="B131" t="s">
        <v>9</v>
      </c>
      <c r="C131">
        <v>489327</v>
      </c>
      <c r="D131" t="s">
        <v>10</v>
      </c>
      <c r="E131" t="s">
        <v>11</v>
      </c>
      <c r="F131" t="s">
        <v>12</v>
      </c>
      <c r="G131" t="s">
        <v>13</v>
      </c>
      <c r="H131" t="s">
        <v>13</v>
      </c>
      <c r="I131">
        <v>33</v>
      </c>
      <c r="J131">
        <f>ABS((I131-EDA!$A$15)/EDA!$B$15)</f>
        <v>0.63373765783552027</v>
      </c>
      <c r="K131" t="str">
        <f t="shared" si="2"/>
        <v>No</v>
      </c>
      <c r="L131">
        <f>ABS((C131-EDA!$F$15)/EDA!$G$15)</f>
        <v>0.36751122550592041</v>
      </c>
      <c r="M131" t="str">
        <f>IF(moras[[#This Row],[Z-Score Salario]]&gt;1.96, "Sí", "No")</f>
        <v>No</v>
      </c>
      <c r="N131" s="14">
        <f>IF(ISBLANK(moras[[#This Row],[SALARIO]]), EDA!$M$8, moras[[#This Row],[SALARIO]])</f>
        <v>489327</v>
      </c>
      <c r="O131" s="14">
        <f xml:space="preserve"> IF(ISBLANK(moras[[#This Row],[EDAD]]), EDA!$E$8, moras[[#This Row],[EDAD]])</f>
        <v>33</v>
      </c>
      <c r="P131" s="14" t="str">
        <f>IF(
    OR(ISBLANK(moras[[#This Row],[TIPO_ASEGURAMIENTO]]), moras[[#This Row],[TIPO_ASEGURAMIENTO]]=""),
    EDA!$A$32,
    moras[[#This Row],[TIPO_ASEGURAMIENTO]]
)</f>
        <v>ASALARIADO</v>
      </c>
    </row>
    <row r="132" spans="1:16" x14ac:dyDescent="0.3">
      <c r="A132">
        <v>131</v>
      </c>
      <c r="B132" t="s">
        <v>15</v>
      </c>
      <c r="C132">
        <v>299647</v>
      </c>
      <c r="D132" t="s">
        <v>17</v>
      </c>
      <c r="E132" t="s">
        <v>16</v>
      </c>
      <c r="F132" t="s">
        <v>12</v>
      </c>
      <c r="G132" t="s">
        <v>13</v>
      </c>
      <c r="H132" t="s">
        <v>13</v>
      </c>
      <c r="I132">
        <v>50</v>
      </c>
      <c r="J132">
        <f>ABS((I132-EDA!$A$15)/EDA!$B$15)</f>
        <v>0.56604295347581735</v>
      </c>
      <c r="K132" t="str">
        <f t="shared" si="2"/>
        <v>No</v>
      </c>
      <c r="L132">
        <f>ABS((C132-EDA!$F$15)/EDA!$G$15)</f>
        <v>0.37066763460334595</v>
      </c>
      <c r="M132" t="str">
        <f>IF(moras[[#This Row],[Z-Score Salario]]&gt;1.96, "Sí", "No")</f>
        <v>No</v>
      </c>
      <c r="N132" s="14">
        <f>IF(ISBLANK(moras[[#This Row],[SALARIO]]), EDA!$M$8, moras[[#This Row],[SALARIO]])</f>
        <v>299647</v>
      </c>
      <c r="O132" s="14">
        <f xml:space="preserve"> IF(ISBLANK(moras[[#This Row],[EDAD]]), EDA!$E$8, moras[[#This Row],[EDAD]])</f>
        <v>50</v>
      </c>
      <c r="P132" s="14" t="str">
        <f>IF(
    OR(ISBLANK(moras[[#This Row],[TIPO_ASEGURAMIENTO]]), moras[[#This Row],[TIPO_ASEGURAMIENTO]]=""),
    EDA!$A$32,
    moras[[#This Row],[TIPO_ASEGURAMIENTO]]
)</f>
        <v>ASEGURADO VOLUNTARIO</v>
      </c>
    </row>
    <row r="133" spans="1:16" x14ac:dyDescent="0.3">
      <c r="A133">
        <v>132</v>
      </c>
      <c r="B133" t="s">
        <v>9</v>
      </c>
      <c r="C133">
        <v>109366656</v>
      </c>
      <c r="D133" t="s">
        <v>10</v>
      </c>
      <c r="E133" t="s">
        <v>16</v>
      </c>
      <c r="F133" t="s">
        <v>12</v>
      </c>
      <c r="G133" t="s">
        <v>13</v>
      </c>
      <c r="H133" t="s">
        <v>12</v>
      </c>
      <c r="I133">
        <v>55</v>
      </c>
      <c r="J133">
        <f>ABS((I133-EDA!$A$15)/EDA!$B$15)</f>
        <v>0.91891960386150484</v>
      </c>
      <c r="K133" t="str">
        <f t="shared" si="2"/>
        <v>No</v>
      </c>
      <c r="L133">
        <f>ABS((C133-EDA!$F$15)/EDA!$G$15)</f>
        <v>1.4442843868886166</v>
      </c>
      <c r="M133" t="str">
        <f>IF(moras[[#This Row],[Z-Score Salario]]&gt;1.96, "Sí", "No")</f>
        <v>No</v>
      </c>
      <c r="N133" s="14">
        <f>IF(ISBLANK(moras[[#This Row],[SALARIO]]), EDA!$M$8, moras[[#This Row],[SALARIO]])</f>
        <v>109366656</v>
      </c>
      <c r="O133" s="14">
        <f xml:space="preserve"> IF(ISBLANK(moras[[#This Row],[EDAD]]), EDA!$E$8, moras[[#This Row],[EDAD]])</f>
        <v>55</v>
      </c>
      <c r="P133" s="14" t="str">
        <f>IF(
    OR(ISBLANK(moras[[#This Row],[TIPO_ASEGURAMIENTO]]), moras[[#This Row],[TIPO_ASEGURAMIENTO]]=""),
    EDA!$A$32,
    moras[[#This Row],[TIPO_ASEGURAMIENTO]]
)</f>
        <v>ASALARIADO</v>
      </c>
    </row>
    <row r="134" spans="1:16" x14ac:dyDescent="0.3">
      <c r="A134">
        <v>133</v>
      </c>
      <c r="B134" t="s">
        <v>9</v>
      </c>
      <c r="C134">
        <v>67762604</v>
      </c>
      <c r="D134" t="s">
        <v>10</v>
      </c>
      <c r="E134" t="s">
        <v>16</v>
      </c>
      <c r="F134" t="s">
        <v>12</v>
      </c>
      <c r="G134" t="s">
        <v>13</v>
      </c>
      <c r="H134" t="s">
        <v>13</v>
      </c>
      <c r="I134">
        <v>57</v>
      </c>
      <c r="J134">
        <f>ABS((I134-EDA!$A$15)/EDA!$B$15)</f>
        <v>1.0600702640157798</v>
      </c>
      <c r="K134" t="str">
        <f t="shared" si="2"/>
        <v>No</v>
      </c>
      <c r="L134">
        <f>ABS((C134-EDA!$F$15)/EDA!$G$15)</f>
        <v>0.75196359280085801</v>
      </c>
      <c r="M134" t="str">
        <f>IF(moras[[#This Row],[Z-Score Salario]]&gt;1.96, "Sí", "No")</f>
        <v>No</v>
      </c>
      <c r="N134" s="14">
        <f>IF(ISBLANK(moras[[#This Row],[SALARIO]]), EDA!$M$8, moras[[#This Row],[SALARIO]])</f>
        <v>67762604</v>
      </c>
      <c r="O134" s="14">
        <f xml:space="preserve"> IF(ISBLANK(moras[[#This Row],[EDAD]]), EDA!$E$8, moras[[#This Row],[EDAD]])</f>
        <v>57</v>
      </c>
      <c r="P134" s="14" t="str">
        <f>IF(
    OR(ISBLANK(moras[[#This Row],[TIPO_ASEGURAMIENTO]]), moras[[#This Row],[TIPO_ASEGURAMIENTO]]=""),
    EDA!$A$32,
    moras[[#This Row],[TIPO_ASEGURAMIENTO]]
)</f>
        <v>ASALARIADO</v>
      </c>
    </row>
    <row r="135" spans="1:16" x14ac:dyDescent="0.3">
      <c r="A135">
        <v>134</v>
      </c>
      <c r="B135" t="s">
        <v>9</v>
      </c>
      <c r="C135">
        <v>46206322</v>
      </c>
      <c r="D135" t="s">
        <v>10</v>
      </c>
      <c r="E135" t="s">
        <v>16</v>
      </c>
      <c r="F135" t="s">
        <v>12</v>
      </c>
      <c r="G135" t="s">
        <v>13</v>
      </c>
      <c r="H135" t="s">
        <v>13</v>
      </c>
      <c r="I135">
        <v>54</v>
      </c>
      <c r="J135">
        <f>ABS((I135-EDA!$A$15)/EDA!$B$15)</f>
        <v>0.84834427378436728</v>
      </c>
      <c r="K135" t="str">
        <f t="shared" si="2"/>
        <v>No</v>
      </c>
      <c r="L135">
        <f>ABS((C135-EDA!$F$15)/EDA!$G$15)</f>
        <v>0.39325184347846837</v>
      </c>
      <c r="M135" t="str">
        <f>IF(moras[[#This Row],[Z-Score Salario]]&gt;1.96, "Sí", "No")</f>
        <v>No</v>
      </c>
      <c r="N135" s="14">
        <f>IF(ISBLANK(moras[[#This Row],[SALARIO]]), EDA!$M$8, moras[[#This Row],[SALARIO]])</f>
        <v>46206322</v>
      </c>
      <c r="O135" s="14">
        <f xml:space="preserve"> IF(ISBLANK(moras[[#This Row],[EDAD]]), EDA!$E$8, moras[[#This Row],[EDAD]])</f>
        <v>54</v>
      </c>
      <c r="P135" s="14" t="str">
        <f>IF(
    OR(ISBLANK(moras[[#This Row],[TIPO_ASEGURAMIENTO]]), moras[[#This Row],[TIPO_ASEGURAMIENTO]]=""),
    EDA!$A$32,
    moras[[#This Row],[TIPO_ASEGURAMIENTO]]
)</f>
        <v>ASALARIADO</v>
      </c>
    </row>
    <row r="136" spans="1:16" x14ac:dyDescent="0.3">
      <c r="A136">
        <v>135</v>
      </c>
      <c r="B136" t="s">
        <v>9</v>
      </c>
      <c r="C136">
        <v>9667905</v>
      </c>
      <c r="D136" t="s">
        <v>10</v>
      </c>
      <c r="E136" t="s">
        <v>11</v>
      </c>
      <c r="F136" t="s">
        <v>12</v>
      </c>
      <c r="G136" t="s">
        <v>13</v>
      </c>
      <c r="H136" t="s">
        <v>13</v>
      </c>
      <c r="I136">
        <v>43</v>
      </c>
      <c r="J136">
        <f>ABS((I136-EDA!$A$15)/EDA!$B$15)</f>
        <v>7.2015642935854773E-2</v>
      </c>
      <c r="K136" t="str">
        <f t="shared" si="2"/>
        <v>No</v>
      </c>
      <c r="L136">
        <f>ABS((C136-EDA!$F$15)/EDA!$G$15)</f>
        <v>0.21477320831575747</v>
      </c>
      <c r="M136" t="str">
        <f>IF(moras[[#This Row],[Z-Score Salario]]&gt;1.96, "Sí", "No")</f>
        <v>No</v>
      </c>
      <c r="N136" s="14">
        <f>IF(ISBLANK(moras[[#This Row],[SALARIO]]), EDA!$M$8, moras[[#This Row],[SALARIO]])</f>
        <v>9667905</v>
      </c>
      <c r="O136" s="14">
        <f xml:space="preserve"> IF(ISBLANK(moras[[#This Row],[EDAD]]), EDA!$E$8, moras[[#This Row],[EDAD]])</f>
        <v>43</v>
      </c>
      <c r="P136" s="14" t="str">
        <f>IF(
    OR(ISBLANK(moras[[#This Row],[TIPO_ASEGURAMIENTO]]), moras[[#This Row],[TIPO_ASEGURAMIENTO]]=""),
    EDA!$A$32,
    moras[[#This Row],[TIPO_ASEGURAMIENTO]]
)</f>
        <v>ASALARIADO</v>
      </c>
    </row>
    <row r="137" spans="1:16" x14ac:dyDescent="0.3">
      <c r="A137">
        <v>136</v>
      </c>
      <c r="B137" t="s">
        <v>9</v>
      </c>
      <c r="C137">
        <v>31824284</v>
      </c>
      <c r="D137" t="s">
        <v>10</v>
      </c>
      <c r="E137" t="s">
        <v>11</v>
      </c>
      <c r="F137" t="s">
        <v>12</v>
      </c>
      <c r="G137" t="s">
        <v>13</v>
      </c>
      <c r="H137" t="s">
        <v>13</v>
      </c>
      <c r="I137">
        <v>59</v>
      </c>
      <c r="J137">
        <f>ABS((I137-EDA!$A$15)/EDA!$B$15)</f>
        <v>1.2012209241700549</v>
      </c>
      <c r="K137" t="str">
        <f t="shared" si="2"/>
        <v>No</v>
      </c>
      <c r="L137">
        <f>ABS((C137-EDA!$F$15)/EDA!$G$15)</f>
        <v>0.15392457870242393</v>
      </c>
      <c r="M137" t="str">
        <f>IF(moras[[#This Row],[Z-Score Salario]]&gt;1.96, "Sí", "No")</f>
        <v>No</v>
      </c>
      <c r="N137" s="14">
        <f>IF(ISBLANK(moras[[#This Row],[SALARIO]]), EDA!$M$8, moras[[#This Row],[SALARIO]])</f>
        <v>31824284</v>
      </c>
      <c r="O137" s="14">
        <f xml:space="preserve"> IF(ISBLANK(moras[[#This Row],[EDAD]]), EDA!$E$8, moras[[#This Row],[EDAD]])</f>
        <v>59</v>
      </c>
      <c r="P137" s="14" t="str">
        <f>IF(
    OR(ISBLANK(moras[[#This Row],[TIPO_ASEGURAMIENTO]]), moras[[#This Row],[TIPO_ASEGURAMIENTO]]=""),
    EDA!$A$32,
    moras[[#This Row],[TIPO_ASEGURAMIENTO]]
)</f>
        <v>ASALARIADO</v>
      </c>
    </row>
    <row r="138" spans="1:16" x14ac:dyDescent="0.3">
      <c r="A138">
        <v>137</v>
      </c>
      <c r="B138" t="s">
        <v>9</v>
      </c>
      <c r="C138">
        <v>141113497</v>
      </c>
      <c r="D138" t="s">
        <v>10</v>
      </c>
      <c r="E138" t="s">
        <v>16</v>
      </c>
      <c r="F138" t="s">
        <v>12</v>
      </c>
      <c r="G138" t="s">
        <v>13</v>
      </c>
      <c r="H138" t="s">
        <v>13</v>
      </c>
      <c r="I138">
        <v>31</v>
      </c>
      <c r="J138">
        <f>ABS((I138-EDA!$A$15)/EDA!$B$15)</f>
        <v>0.77488831798979529</v>
      </c>
      <c r="K138" t="str">
        <f t="shared" si="2"/>
        <v>No</v>
      </c>
      <c r="L138">
        <f>ABS((C138-EDA!$F$15)/EDA!$G$15)</f>
        <v>1.9725742316109003</v>
      </c>
      <c r="M138" t="str">
        <f>IF(moras[[#This Row],[Z-Score Salario]]&gt;1.96, "Sí", "No")</f>
        <v>Sí</v>
      </c>
      <c r="N138" s="14">
        <f>IF(ISBLANK(moras[[#This Row],[SALARIO]]), EDA!$M$8, moras[[#This Row],[SALARIO]])</f>
        <v>141113497</v>
      </c>
      <c r="O138" s="14">
        <f xml:space="preserve"> IF(ISBLANK(moras[[#This Row],[EDAD]]), EDA!$E$8, moras[[#This Row],[EDAD]])</f>
        <v>31</v>
      </c>
      <c r="P138" s="14" t="str">
        <f>IF(
    OR(ISBLANK(moras[[#This Row],[TIPO_ASEGURAMIENTO]]), moras[[#This Row],[TIPO_ASEGURAMIENTO]]=""),
    EDA!$A$32,
    moras[[#This Row],[TIPO_ASEGURAMIENTO]]
)</f>
        <v>ASALARIADO</v>
      </c>
    </row>
    <row r="139" spans="1:16" x14ac:dyDescent="0.3">
      <c r="A139">
        <v>138</v>
      </c>
      <c r="B139" t="s">
        <v>15</v>
      </c>
      <c r="C139">
        <v>402904</v>
      </c>
      <c r="D139" t="s">
        <v>21</v>
      </c>
      <c r="E139" t="s">
        <v>16</v>
      </c>
      <c r="F139" t="s">
        <v>12</v>
      </c>
      <c r="G139" t="s">
        <v>12</v>
      </c>
      <c r="H139" t="s">
        <v>13</v>
      </c>
      <c r="I139">
        <v>24</v>
      </c>
      <c r="J139">
        <f>ABS((I139-EDA!$A$15)/EDA!$B$15)</f>
        <v>1.2689156285297578</v>
      </c>
      <c r="K139" t="str">
        <f t="shared" si="2"/>
        <v>No</v>
      </c>
      <c r="L139">
        <f>ABS((C139-EDA!$F$15)/EDA!$G$15)</f>
        <v>0.36894936523297023</v>
      </c>
      <c r="M139" t="str">
        <f>IF(moras[[#This Row],[Z-Score Salario]]&gt;1.96, "Sí", "No")</f>
        <v>No</v>
      </c>
      <c r="N139" s="14">
        <f>IF(ISBLANK(moras[[#This Row],[SALARIO]]), EDA!$M$8, moras[[#This Row],[SALARIO]])</f>
        <v>402904</v>
      </c>
      <c r="O139" s="14">
        <f xml:space="preserve"> IF(ISBLANK(moras[[#This Row],[EDAD]]), EDA!$E$8, moras[[#This Row],[EDAD]])</f>
        <v>24</v>
      </c>
      <c r="P139" s="14" t="str">
        <f>IF(
    OR(ISBLANK(moras[[#This Row],[TIPO_ASEGURAMIENTO]]), moras[[#This Row],[TIPO_ASEGURAMIENTO]]=""),
    EDA!$A$32,
    moras[[#This Row],[TIPO_ASEGURAMIENTO]]
)</f>
        <v>CONVENIOS ESPECIALES DE ASEGURADOS VOLUNTARIOS</v>
      </c>
    </row>
    <row r="140" spans="1:16" x14ac:dyDescent="0.3">
      <c r="A140">
        <v>139</v>
      </c>
      <c r="B140" t="s">
        <v>9</v>
      </c>
      <c r="C140">
        <v>35690388</v>
      </c>
      <c r="D140" t="s">
        <v>10</v>
      </c>
      <c r="E140" t="s">
        <v>16</v>
      </c>
      <c r="F140" t="s">
        <v>12</v>
      </c>
      <c r="G140" t="s">
        <v>13</v>
      </c>
      <c r="H140" t="s">
        <v>13</v>
      </c>
      <c r="I140">
        <v>43</v>
      </c>
      <c r="J140">
        <f>ABS((I140-EDA!$A$15)/EDA!$B$15)</f>
        <v>7.2015642935854773E-2</v>
      </c>
      <c r="K140" t="str">
        <f t="shared" si="2"/>
        <v>No</v>
      </c>
      <c r="L140">
        <f>ABS((C140-EDA!$F$15)/EDA!$G$15)</f>
        <v>0.21825927839239309</v>
      </c>
      <c r="M140" t="str">
        <f>IF(moras[[#This Row],[Z-Score Salario]]&gt;1.96, "Sí", "No")</f>
        <v>No</v>
      </c>
      <c r="N140" s="14">
        <f>IF(ISBLANK(moras[[#This Row],[SALARIO]]), EDA!$M$8, moras[[#This Row],[SALARIO]])</f>
        <v>35690388</v>
      </c>
      <c r="O140" s="14">
        <f xml:space="preserve"> IF(ISBLANK(moras[[#This Row],[EDAD]]), EDA!$E$8, moras[[#This Row],[EDAD]])</f>
        <v>43</v>
      </c>
      <c r="P140" s="14" t="str">
        <f>IF(
    OR(ISBLANK(moras[[#This Row],[TIPO_ASEGURAMIENTO]]), moras[[#This Row],[TIPO_ASEGURAMIENTO]]=""),
    EDA!$A$32,
    moras[[#This Row],[TIPO_ASEGURAMIENTO]]
)</f>
        <v>ASALARIADO</v>
      </c>
    </row>
    <row r="141" spans="1:16" x14ac:dyDescent="0.3">
      <c r="A141">
        <v>140</v>
      </c>
      <c r="B141" t="s">
        <v>9</v>
      </c>
      <c r="C141">
        <v>278035</v>
      </c>
      <c r="D141" t="s">
        <v>17</v>
      </c>
      <c r="E141" t="s">
        <v>16</v>
      </c>
      <c r="F141" t="s">
        <v>12</v>
      </c>
      <c r="G141" t="s">
        <v>13</v>
      </c>
      <c r="H141" t="s">
        <v>13</v>
      </c>
      <c r="I141">
        <v>41</v>
      </c>
      <c r="J141">
        <f>ABS((I141-EDA!$A$15)/EDA!$B$15)</f>
        <v>6.9135017218420233E-2</v>
      </c>
      <c r="K141" t="str">
        <f t="shared" si="2"/>
        <v>No</v>
      </c>
      <c r="L141">
        <f>ABS((C141-EDA!$F$15)/EDA!$G$15)</f>
        <v>0.37102727353952036</v>
      </c>
      <c r="M141" t="str">
        <f>IF(moras[[#This Row],[Z-Score Salario]]&gt;1.96, "Sí", "No")</f>
        <v>No</v>
      </c>
      <c r="N141" s="14">
        <f>IF(ISBLANK(moras[[#This Row],[SALARIO]]), EDA!$M$8, moras[[#This Row],[SALARIO]])</f>
        <v>278035</v>
      </c>
      <c r="O141" s="14">
        <f xml:space="preserve"> IF(ISBLANK(moras[[#This Row],[EDAD]]), EDA!$E$8, moras[[#This Row],[EDAD]])</f>
        <v>41</v>
      </c>
      <c r="P141" s="14" t="str">
        <f>IF(
    OR(ISBLANK(moras[[#This Row],[TIPO_ASEGURAMIENTO]]), moras[[#This Row],[TIPO_ASEGURAMIENTO]]=""),
    EDA!$A$32,
    moras[[#This Row],[TIPO_ASEGURAMIENTO]]
)</f>
        <v>ASEGURADO VOLUNTARIO</v>
      </c>
    </row>
    <row r="142" spans="1:16" x14ac:dyDescent="0.3">
      <c r="A142">
        <v>141</v>
      </c>
      <c r="B142" t="s">
        <v>15</v>
      </c>
      <c r="C142">
        <v>297046</v>
      </c>
      <c r="D142" t="s">
        <v>18</v>
      </c>
      <c r="E142" t="s">
        <v>16</v>
      </c>
      <c r="F142" t="s">
        <v>12</v>
      </c>
      <c r="G142" t="s">
        <v>13</v>
      </c>
      <c r="H142" t="s">
        <v>13</v>
      </c>
      <c r="I142">
        <v>65</v>
      </c>
      <c r="J142">
        <f>ABS((I142-EDA!$A$15)/EDA!$B$15)</f>
        <v>1.6246729046328798</v>
      </c>
      <c r="K142" t="str">
        <f t="shared" si="2"/>
        <v>No</v>
      </c>
      <c r="L142">
        <f>ABS((C142-EDA!$F$15)/EDA!$G$15)</f>
        <v>0.37071091707942361</v>
      </c>
      <c r="M142" t="str">
        <f>IF(moras[[#This Row],[Z-Score Salario]]&gt;1.96, "Sí", "No")</f>
        <v>No</v>
      </c>
      <c r="N142" s="14">
        <f>IF(ISBLANK(moras[[#This Row],[SALARIO]]), EDA!$M$8, moras[[#This Row],[SALARIO]])</f>
        <v>297046</v>
      </c>
      <c r="O142" s="14">
        <f xml:space="preserve"> IF(ISBLANK(moras[[#This Row],[EDAD]]), EDA!$E$8, moras[[#This Row],[EDAD]])</f>
        <v>65</v>
      </c>
      <c r="P142" s="14" t="str">
        <f>IF(
    OR(ISBLANK(moras[[#This Row],[TIPO_ASEGURAMIENTO]]), moras[[#This Row],[TIPO_ASEGURAMIENTO]]=""),
    EDA!$A$32,
    moras[[#This Row],[TIPO_ASEGURAMIENTO]]
)</f>
        <v>TRABAJADOR INDEPENDIENTE</v>
      </c>
    </row>
    <row r="143" spans="1:16" x14ac:dyDescent="0.3">
      <c r="A143">
        <v>142</v>
      </c>
      <c r="B143" t="s">
        <v>15</v>
      </c>
      <c r="C143">
        <v>400000</v>
      </c>
      <c r="D143" t="s">
        <v>10</v>
      </c>
      <c r="E143" t="s">
        <v>16</v>
      </c>
      <c r="F143" t="s">
        <v>12</v>
      </c>
      <c r="G143" t="s">
        <v>13</v>
      </c>
      <c r="H143" t="s">
        <v>13</v>
      </c>
      <c r="I143">
        <v>46</v>
      </c>
      <c r="J143">
        <f>ABS((I143-EDA!$A$15)/EDA!$B$15)</f>
        <v>0.2837416331672673</v>
      </c>
      <c r="K143" t="str">
        <f t="shared" si="2"/>
        <v>No</v>
      </c>
      <c r="L143">
        <f>ABS((C143-EDA!$F$15)/EDA!$G$15)</f>
        <v>0.36899768984293924</v>
      </c>
      <c r="M143" t="str">
        <f>IF(moras[[#This Row],[Z-Score Salario]]&gt;1.96, "Sí", "No")</f>
        <v>No</v>
      </c>
      <c r="N143" s="14">
        <f>IF(ISBLANK(moras[[#This Row],[SALARIO]]), EDA!$M$8, moras[[#This Row],[SALARIO]])</f>
        <v>400000</v>
      </c>
      <c r="O143" s="14">
        <f xml:space="preserve"> IF(ISBLANK(moras[[#This Row],[EDAD]]), EDA!$E$8, moras[[#This Row],[EDAD]])</f>
        <v>46</v>
      </c>
      <c r="P143" s="14" t="str">
        <f>IF(
    OR(ISBLANK(moras[[#This Row],[TIPO_ASEGURAMIENTO]]), moras[[#This Row],[TIPO_ASEGURAMIENTO]]=""),
    EDA!$A$32,
    moras[[#This Row],[TIPO_ASEGURAMIENTO]]
)</f>
        <v>ASALARIADO</v>
      </c>
    </row>
    <row r="144" spans="1:16" x14ac:dyDescent="0.3">
      <c r="A144">
        <v>143</v>
      </c>
      <c r="B144" t="s">
        <v>15</v>
      </c>
      <c r="C144">
        <v>49711436</v>
      </c>
      <c r="D144" t="s">
        <v>10</v>
      </c>
      <c r="E144" t="s">
        <v>11</v>
      </c>
      <c r="F144" t="s">
        <v>12</v>
      </c>
      <c r="G144" t="s">
        <v>13</v>
      </c>
      <c r="H144" t="s">
        <v>13</v>
      </c>
      <c r="I144">
        <v>28</v>
      </c>
      <c r="J144">
        <f>ABS((I144-EDA!$A$15)/EDA!$B$15)</f>
        <v>0.98661430822120777</v>
      </c>
      <c r="K144" t="str">
        <f t="shared" si="2"/>
        <v>No</v>
      </c>
      <c r="L144">
        <f>ABS((C144-EDA!$F$15)/EDA!$G$15)</f>
        <v>0.45157941474119351</v>
      </c>
      <c r="M144" t="str">
        <f>IF(moras[[#This Row],[Z-Score Salario]]&gt;1.96, "Sí", "No")</f>
        <v>No</v>
      </c>
      <c r="N144" s="14">
        <f>IF(ISBLANK(moras[[#This Row],[SALARIO]]), EDA!$M$8, moras[[#This Row],[SALARIO]])</f>
        <v>49711436</v>
      </c>
      <c r="O144" s="14">
        <f xml:space="preserve"> IF(ISBLANK(moras[[#This Row],[EDAD]]), EDA!$E$8, moras[[#This Row],[EDAD]])</f>
        <v>28</v>
      </c>
      <c r="P144" s="14" t="str">
        <f>IF(
    OR(ISBLANK(moras[[#This Row],[TIPO_ASEGURAMIENTO]]), moras[[#This Row],[TIPO_ASEGURAMIENTO]]=""),
    EDA!$A$32,
    moras[[#This Row],[TIPO_ASEGURAMIENTO]]
)</f>
        <v>ASALARIADO</v>
      </c>
    </row>
    <row r="145" spans="1:16" x14ac:dyDescent="0.3">
      <c r="A145">
        <v>144</v>
      </c>
      <c r="B145" t="s">
        <v>9</v>
      </c>
      <c r="C145">
        <v>270074</v>
      </c>
      <c r="D145" t="s">
        <v>10</v>
      </c>
      <c r="E145" t="s">
        <v>16</v>
      </c>
      <c r="F145" t="s">
        <v>12</v>
      </c>
      <c r="G145" t="s">
        <v>13</v>
      </c>
      <c r="H145" t="s">
        <v>12</v>
      </c>
      <c r="I145">
        <v>60</v>
      </c>
      <c r="J145">
        <f>ABS((I145-EDA!$A$15)/EDA!$B$15)</f>
        <v>1.2717962542471923</v>
      </c>
      <c r="K145" t="str">
        <f t="shared" si="2"/>
        <v>No</v>
      </c>
      <c r="L145">
        <f>ABS((C145-EDA!$F$15)/EDA!$G$15)</f>
        <v>0.37115975019928737</v>
      </c>
      <c r="M145" t="str">
        <f>IF(moras[[#This Row],[Z-Score Salario]]&gt;1.96, "Sí", "No")</f>
        <v>No</v>
      </c>
      <c r="N145" s="14">
        <f>IF(ISBLANK(moras[[#This Row],[SALARIO]]), EDA!$M$8, moras[[#This Row],[SALARIO]])</f>
        <v>270074</v>
      </c>
      <c r="O145" s="14">
        <f xml:space="preserve"> IF(ISBLANK(moras[[#This Row],[EDAD]]), EDA!$E$8, moras[[#This Row],[EDAD]])</f>
        <v>60</v>
      </c>
      <c r="P145" s="14" t="str">
        <f>IF(
    OR(ISBLANK(moras[[#This Row],[TIPO_ASEGURAMIENTO]]), moras[[#This Row],[TIPO_ASEGURAMIENTO]]=""),
    EDA!$A$32,
    moras[[#This Row],[TIPO_ASEGURAMIENTO]]
)</f>
        <v>ASALARIADO</v>
      </c>
    </row>
    <row r="146" spans="1:16" x14ac:dyDescent="0.3">
      <c r="A146">
        <v>145</v>
      </c>
      <c r="B146" t="s">
        <v>9</v>
      </c>
      <c r="C146">
        <v>68066864</v>
      </c>
      <c r="D146" t="s">
        <v>10</v>
      </c>
      <c r="E146" t="s">
        <v>16</v>
      </c>
      <c r="F146" t="s">
        <v>12</v>
      </c>
      <c r="G146" t="s">
        <v>13</v>
      </c>
      <c r="H146" t="s">
        <v>13</v>
      </c>
      <c r="I146">
        <v>37</v>
      </c>
      <c r="J146">
        <f>ABS((I146-EDA!$A$15)/EDA!$B$15)</f>
        <v>0.35143633752697023</v>
      </c>
      <c r="K146" t="str">
        <f t="shared" si="2"/>
        <v>No</v>
      </c>
      <c r="L146">
        <f>ABS((C146-EDA!$F$15)/EDA!$G$15)</f>
        <v>0.75702669398170308</v>
      </c>
      <c r="M146" t="str">
        <f>IF(moras[[#This Row],[Z-Score Salario]]&gt;1.96, "Sí", "No")</f>
        <v>No</v>
      </c>
      <c r="N146" s="14">
        <f>IF(ISBLANK(moras[[#This Row],[SALARIO]]), EDA!$M$8, moras[[#This Row],[SALARIO]])</f>
        <v>68066864</v>
      </c>
      <c r="O146" s="14">
        <f xml:space="preserve"> IF(ISBLANK(moras[[#This Row],[EDAD]]), EDA!$E$8, moras[[#This Row],[EDAD]])</f>
        <v>37</v>
      </c>
      <c r="P146" s="14" t="str">
        <f>IF(
    OR(ISBLANK(moras[[#This Row],[TIPO_ASEGURAMIENTO]]), moras[[#This Row],[TIPO_ASEGURAMIENTO]]=""),
    EDA!$A$32,
    moras[[#This Row],[TIPO_ASEGURAMIENTO]]
)</f>
        <v>ASALARIADO</v>
      </c>
    </row>
    <row r="147" spans="1:16" x14ac:dyDescent="0.3">
      <c r="A147">
        <v>146</v>
      </c>
      <c r="B147" t="s">
        <v>15</v>
      </c>
      <c r="C147">
        <v>148500</v>
      </c>
      <c r="D147" t="s">
        <v>10</v>
      </c>
      <c r="E147" t="s">
        <v>16</v>
      </c>
      <c r="F147" t="s">
        <v>12</v>
      </c>
      <c r="G147" t="s">
        <v>13</v>
      </c>
      <c r="H147" t="s">
        <v>13</v>
      </c>
      <c r="I147">
        <v>50</v>
      </c>
      <c r="J147">
        <f>ABS((I147-EDA!$A$15)/EDA!$B$15)</f>
        <v>0.56604295347581735</v>
      </c>
      <c r="K147" t="str">
        <f t="shared" si="2"/>
        <v>No</v>
      </c>
      <c r="L147">
        <f>ABS((C147-EDA!$F$15)/EDA!$G$15)</f>
        <v>0.37318282737985681</v>
      </c>
      <c r="M147" t="str">
        <f>IF(moras[[#This Row],[Z-Score Salario]]&gt;1.96, "Sí", "No")</f>
        <v>No</v>
      </c>
      <c r="N147" s="14">
        <f>IF(ISBLANK(moras[[#This Row],[SALARIO]]), EDA!$M$8, moras[[#This Row],[SALARIO]])</f>
        <v>148500</v>
      </c>
      <c r="O147" s="14">
        <f xml:space="preserve"> IF(ISBLANK(moras[[#This Row],[EDAD]]), EDA!$E$8, moras[[#This Row],[EDAD]])</f>
        <v>50</v>
      </c>
      <c r="P147" s="14" t="str">
        <f>IF(
    OR(ISBLANK(moras[[#This Row],[TIPO_ASEGURAMIENTO]]), moras[[#This Row],[TIPO_ASEGURAMIENTO]]=""),
    EDA!$A$32,
    moras[[#This Row],[TIPO_ASEGURAMIENTO]]
)</f>
        <v>ASALARIADO</v>
      </c>
    </row>
    <row r="148" spans="1:16" x14ac:dyDescent="0.3">
      <c r="A148">
        <v>147</v>
      </c>
      <c r="B148" t="s">
        <v>15</v>
      </c>
      <c r="C148">
        <v>372323</v>
      </c>
      <c r="D148" t="s">
        <v>10</v>
      </c>
      <c r="E148" t="s">
        <v>11</v>
      </c>
      <c r="F148" t="s">
        <v>12</v>
      </c>
      <c r="G148" t="s">
        <v>13</v>
      </c>
      <c r="H148" t="s">
        <v>13</v>
      </c>
      <c r="I148">
        <v>29</v>
      </c>
      <c r="J148">
        <f>ABS((I148-EDA!$A$15)/EDA!$B$15)</f>
        <v>0.91603897814407031</v>
      </c>
      <c r="K148" t="str">
        <f t="shared" si="2"/>
        <v>No</v>
      </c>
      <c r="L148">
        <f>ABS((C148-EDA!$F$15)/EDA!$G$15)</f>
        <v>0.36945825466047111</v>
      </c>
      <c r="M148" t="str">
        <f>IF(moras[[#This Row],[Z-Score Salario]]&gt;1.96, "Sí", "No")</f>
        <v>No</v>
      </c>
      <c r="N148" s="14">
        <f>IF(ISBLANK(moras[[#This Row],[SALARIO]]), EDA!$M$8, moras[[#This Row],[SALARIO]])</f>
        <v>372323</v>
      </c>
      <c r="O148" s="14">
        <f xml:space="preserve"> IF(ISBLANK(moras[[#This Row],[EDAD]]), EDA!$E$8, moras[[#This Row],[EDAD]])</f>
        <v>29</v>
      </c>
      <c r="P148" s="14" t="str">
        <f>IF(
    OR(ISBLANK(moras[[#This Row],[TIPO_ASEGURAMIENTO]]), moras[[#This Row],[TIPO_ASEGURAMIENTO]]=""),
    EDA!$A$32,
    moras[[#This Row],[TIPO_ASEGURAMIENTO]]
)</f>
        <v>ASALARIADO</v>
      </c>
    </row>
    <row r="149" spans="1:16" x14ac:dyDescent="0.3">
      <c r="A149">
        <v>148</v>
      </c>
      <c r="B149" t="s">
        <v>15</v>
      </c>
      <c r="C149">
        <v>10692898</v>
      </c>
      <c r="D149" t="s">
        <v>14</v>
      </c>
      <c r="E149" t="s">
        <v>11</v>
      </c>
      <c r="F149" t="s">
        <v>12</v>
      </c>
      <c r="G149" t="s">
        <v>13</v>
      </c>
      <c r="H149" t="s">
        <v>13</v>
      </c>
      <c r="I149">
        <v>86</v>
      </c>
      <c r="J149">
        <f>ABS((I149-EDA!$A$15)/EDA!$B$15)</f>
        <v>3.1067548362527675</v>
      </c>
      <c r="K149" t="str">
        <f t="shared" si="2"/>
        <v>Sí</v>
      </c>
      <c r="L149">
        <f>ABS((C149-EDA!$F$15)/EDA!$G$15)</f>
        <v>0.19771660124069673</v>
      </c>
      <c r="M149" t="str">
        <f>IF(moras[[#This Row],[Z-Score Salario]]&gt;1.96, "Sí", "No")</f>
        <v>No</v>
      </c>
      <c r="N149" s="14">
        <f>IF(ISBLANK(moras[[#This Row],[SALARIO]]), EDA!$M$8, moras[[#This Row],[SALARIO]])</f>
        <v>10692898</v>
      </c>
      <c r="O149" s="14">
        <f xml:space="preserve"> IF(ISBLANK(moras[[#This Row],[EDAD]]), EDA!$E$8, moras[[#This Row],[EDAD]])</f>
        <v>86</v>
      </c>
      <c r="P149" s="14" t="str">
        <f>IF(
    OR(ISBLANK(moras[[#This Row],[TIPO_ASEGURAMIENTO]]), moras[[#This Row],[TIPO_ASEGURAMIENTO]]=""),
    EDA!$A$32,
    moras[[#This Row],[TIPO_ASEGURAMIENTO]]
)</f>
        <v>PENSIONADOS EN SU PROPIO SISTEMA</v>
      </c>
    </row>
    <row r="150" spans="1:16" x14ac:dyDescent="0.3">
      <c r="A150">
        <v>149</v>
      </c>
      <c r="B150" t="s">
        <v>15</v>
      </c>
      <c r="C150">
        <v>258000</v>
      </c>
      <c r="D150" t="s">
        <v>10</v>
      </c>
      <c r="E150" t="s">
        <v>16</v>
      </c>
      <c r="F150" t="s">
        <v>12</v>
      </c>
      <c r="G150" t="s">
        <v>13</v>
      </c>
      <c r="H150" t="s">
        <v>13</v>
      </c>
      <c r="I150">
        <v>30</v>
      </c>
      <c r="J150">
        <f>ABS((I150-EDA!$A$15)/EDA!$B$15)</f>
        <v>0.84546364806693275</v>
      </c>
      <c r="K150" t="str">
        <f t="shared" si="2"/>
        <v>No</v>
      </c>
      <c r="L150">
        <f>ABS((C150-EDA!$F$15)/EDA!$G$15)</f>
        <v>0.37136067008247126</v>
      </c>
      <c r="M150" t="str">
        <f>IF(moras[[#This Row],[Z-Score Salario]]&gt;1.96, "Sí", "No")</f>
        <v>No</v>
      </c>
      <c r="N150" s="14">
        <f>IF(ISBLANK(moras[[#This Row],[SALARIO]]), EDA!$M$8, moras[[#This Row],[SALARIO]])</f>
        <v>258000</v>
      </c>
      <c r="O150" s="14">
        <f xml:space="preserve"> IF(ISBLANK(moras[[#This Row],[EDAD]]), EDA!$E$8, moras[[#This Row],[EDAD]])</f>
        <v>30</v>
      </c>
      <c r="P150" s="14" t="str">
        <f>IF(
    OR(ISBLANK(moras[[#This Row],[TIPO_ASEGURAMIENTO]]), moras[[#This Row],[TIPO_ASEGURAMIENTO]]=""),
    EDA!$A$32,
    moras[[#This Row],[TIPO_ASEGURAMIENTO]]
)</f>
        <v>ASALARIADO</v>
      </c>
    </row>
    <row r="151" spans="1:16" x14ac:dyDescent="0.3">
      <c r="A151">
        <v>150</v>
      </c>
      <c r="B151" t="s">
        <v>15</v>
      </c>
      <c r="C151">
        <v>304345</v>
      </c>
      <c r="D151" t="s">
        <v>17</v>
      </c>
      <c r="E151" t="s">
        <v>16</v>
      </c>
      <c r="F151" t="s">
        <v>12</v>
      </c>
      <c r="G151" t="s">
        <v>13</v>
      </c>
      <c r="H151" t="s">
        <v>13</v>
      </c>
      <c r="I151">
        <v>50</v>
      </c>
      <c r="J151">
        <f>ABS((I151-EDA!$A$15)/EDA!$B$15)</f>
        <v>0.56604295347581735</v>
      </c>
      <c r="K151" t="str">
        <f t="shared" si="2"/>
        <v>No</v>
      </c>
      <c r="L151">
        <f>ABS((C151-EDA!$F$15)/EDA!$G$15)</f>
        <v>0.37058945656697045</v>
      </c>
      <c r="M151" t="str">
        <f>IF(moras[[#This Row],[Z-Score Salario]]&gt;1.96, "Sí", "No")</f>
        <v>No</v>
      </c>
      <c r="N151" s="14">
        <f>IF(ISBLANK(moras[[#This Row],[SALARIO]]), EDA!$M$8, moras[[#This Row],[SALARIO]])</f>
        <v>304345</v>
      </c>
      <c r="O151" s="14">
        <f xml:space="preserve"> IF(ISBLANK(moras[[#This Row],[EDAD]]), EDA!$E$8, moras[[#This Row],[EDAD]])</f>
        <v>50</v>
      </c>
      <c r="P151" s="14" t="str">
        <f>IF(
    OR(ISBLANK(moras[[#This Row],[TIPO_ASEGURAMIENTO]]), moras[[#This Row],[TIPO_ASEGURAMIENTO]]=""),
    EDA!$A$32,
    moras[[#This Row],[TIPO_ASEGURAMIENTO]]
)</f>
        <v>ASEGURADO VOLUNTARIO</v>
      </c>
    </row>
    <row r="152" spans="1:16" x14ac:dyDescent="0.3">
      <c r="A152">
        <v>151</v>
      </c>
      <c r="B152" t="s">
        <v>15</v>
      </c>
      <c r="C152">
        <v>299647</v>
      </c>
      <c r="D152" t="s">
        <v>20</v>
      </c>
      <c r="E152" t="s">
        <v>16</v>
      </c>
      <c r="F152" t="s">
        <v>12</v>
      </c>
      <c r="G152" t="s">
        <v>13</v>
      </c>
      <c r="H152" t="s">
        <v>13</v>
      </c>
      <c r="I152">
        <v>40</v>
      </c>
      <c r="J152">
        <f>ABS((I152-EDA!$A$15)/EDA!$B$15)</f>
        <v>0.13971034729555773</v>
      </c>
      <c r="K152" t="str">
        <f t="shared" si="2"/>
        <v>No</v>
      </c>
      <c r="L152">
        <f>ABS((C152-EDA!$F$15)/EDA!$G$15)</f>
        <v>0.37066763460334595</v>
      </c>
      <c r="M152" t="str">
        <f>IF(moras[[#This Row],[Z-Score Salario]]&gt;1.96, "Sí", "No")</f>
        <v>No</v>
      </c>
      <c r="N152" s="14">
        <f>IF(ISBLANK(moras[[#This Row],[SALARIO]]), EDA!$M$8, moras[[#This Row],[SALARIO]])</f>
        <v>299647</v>
      </c>
      <c r="O152" s="14">
        <f xml:space="preserve"> IF(ISBLANK(moras[[#This Row],[EDAD]]), EDA!$E$8, moras[[#This Row],[EDAD]])</f>
        <v>40</v>
      </c>
      <c r="P152" s="14" t="str">
        <f>IF(
    OR(ISBLANK(moras[[#This Row],[TIPO_ASEGURAMIENTO]]), moras[[#This Row],[TIPO_ASEGURAMIENTO]]=""),
    EDA!$A$32,
    moras[[#This Row],[TIPO_ASEGURAMIENTO]]
)</f>
        <v>ASALARIADO</v>
      </c>
    </row>
    <row r="153" spans="1:16" x14ac:dyDescent="0.3">
      <c r="A153">
        <v>152</v>
      </c>
      <c r="B153" t="s">
        <v>9</v>
      </c>
      <c r="C153">
        <v>253472</v>
      </c>
      <c r="D153" t="s">
        <v>10</v>
      </c>
      <c r="E153" t="s">
        <v>16</v>
      </c>
      <c r="F153" t="s">
        <v>12</v>
      </c>
      <c r="G153" t="s">
        <v>12</v>
      </c>
      <c r="H153" t="s">
        <v>13</v>
      </c>
      <c r="I153">
        <v>21</v>
      </c>
      <c r="J153">
        <f>ABS((I153-EDA!$A$15)/EDA!$B$15)</f>
        <v>1.4806416187611704</v>
      </c>
      <c r="K153" t="str">
        <f t="shared" si="2"/>
        <v>No</v>
      </c>
      <c r="L153">
        <f>ABS((C153-EDA!$F$15)/EDA!$G$15)</f>
        <v>0.37143601919884167</v>
      </c>
      <c r="M153" t="str">
        <f>IF(moras[[#This Row],[Z-Score Salario]]&gt;1.96, "Sí", "No")</f>
        <v>No</v>
      </c>
      <c r="N153" s="14">
        <f>IF(ISBLANK(moras[[#This Row],[SALARIO]]), EDA!$M$8, moras[[#This Row],[SALARIO]])</f>
        <v>253472</v>
      </c>
      <c r="O153" s="14">
        <f xml:space="preserve"> IF(ISBLANK(moras[[#This Row],[EDAD]]), EDA!$E$8, moras[[#This Row],[EDAD]])</f>
        <v>21</v>
      </c>
      <c r="P153" s="14" t="str">
        <f>IF(
    OR(ISBLANK(moras[[#This Row],[TIPO_ASEGURAMIENTO]]), moras[[#This Row],[TIPO_ASEGURAMIENTO]]=""),
    EDA!$A$32,
    moras[[#This Row],[TIPO_ASEGURAMIENTO]]
)</f>
        <v>ASALARIADO</v>
      </c>
    </row>
    <row r="154" spans="1:16" x14ac:dyDescent="0.3">
      <c r="A154">
        <v>153</v>
      </c>
      <c r="B154" t="s">
        <v>9</v>
      </c>
      <c r="C154">
        <v>851079</v>
      </c>
      <c r="D154" t="s">
        <v>10</v>
      </c>
      <c r="E154" t="s">
        <v>16</v>
      </c>
      <c r="F154" t="s">
        <v>12</v>
      </c>
      <c r="G154" t="s">
        <v>13</v>
      </c>
      <c r="H154" t="s">
        <v>13</v>
      </c>
      <c r="I154">
        <v>58</v>
      </c>
      <c r="J154">
        <f>ABS((I154-EDA!$A$15)/EDA!$B$15)</f>
        <v>1.1306455940929174</v>
      </c>
      <c r="K154" t="str">
        <f t="shared" si="2"/>
        <v>No</v>
      </c>
      <c r="L154">
        <f>ABS((C154-EDA!$F$15)/EDA!$G$15)</f>
        <v>0.36149141686077124</v>
      </c>
      <c r="M154" t="str">
        <f>IF(moras[[#This Row],[Z-Score Salario]]&gt;1.96, "Sí", "No")</f>
        <v>No</v>
      </c>
      <c r="N154" s="14">
        <f>IF(ISBLANK(moras[[#This Row],[SALARIO]]), EDA!$M$8, moras[[#This Row],[SALARIO]])</f>
        <v>851079</v>
      </c>
      <c r="O154" s="14">
        <f xml:space="preserve"> IF(ISBLANK(moras[[#This Row],[EDAD]]), EDA!$E$8, moras[[#This Row],[EDAD]])</f>
        <v>58</v>
      </c>
      <c r="P154" s="14" t="str">
        <f>IF(
    OR(ISBLANK(moras[[#This Row],[TIPO_ASEGURAMIENTO]]), moras[[#This Row],[TIPO_ASEGURAMIENTO]]=""),
    EDA!$A$32,
    moras[[#This Row],[TIPO_ASEGURAMIENTO]]
)</f>
        <v>ASALARIADO</v>
      </c>
    </row>
    <row r="155" spans="1:16" x14ac:dyDescent="0.3">
      <c r="A155">
        <v>154</v>
      </c>
      <c r="B155" t="s">
        <v>15</v>
      </c>
      <c r="C155">
        <v>3539115</v>
      </c>
      <c r="D155" t="s">
        <v>10</v>
      </c>
      <c r="E155" t="s">
        <v>11</v>
      </c>
      <c r="F155" t="s">
        <v>12</v>
      </c>
      <c r="G155" t="s">
        <v>13</v>
      </c>
      <c r="H155" t="s">
        <v>13</v>
      </c>
      <c r="I155">
        <v>41</v>
      </c>
      <c r="J155">
        <f>ABS((I155-EDA!$A$15)/EDA!$B$15)</f>
        <v>6.9135017218420233E-2</v>
      </c>
      <c r="K155" t="str">
        <f t="shared" si="2"/>
        <v>No</v>
      </c>
      <c r="L155">
        <f>ABS((C155-EDA!$F$15)/EDA!$G$15)</f>
        <v>0.31676060030337239</v>
      </c>
      <c r="M155" t="str">
        <f>IF(moras[[#This Row],[Z-Score Salario]]&gt;1.96, "Sí", "No")</f>
        <v>No</v>
      </c>
      <c r="N155" s="14">
        <f>IF(ISBLANK(moras[[#This Row],[SALARIO]]), EDA!$M$8, moras[[#This Row],[SALARIO]])</f>
        <v>3539115</v>
      </c>
      <c r="O155" s="14">
        <f xml:space="preserve"> IF(ISBLANK(moras[[#This Row],[EDAD]]), EDA!$E$8, moras[[#This Row],[EDAD]])</f>
        <v>41</v>
      </c>
      <c r="P155" s="14" t="str">
        <f>IF(
    OR(ISBLANK(moras[[#This Row],[TIPO_ASEGURAMIENTO]]), moras[[#This Row],[TIPO_ASEGURAMIENTO]]=""),
    EDA!$A$32,
    moras[[#This Row],[TIPO_ASEGURAMIENTO]]
)</f>
        <v>ASALARIADO</v>
      </c>
    </row>
    <row r="156" spans="1:16" x14ac:dyDescent="0.3">
      <c r="A156">
        <v>155</v>
      </c>
      <c r="B156" t="s">
        <v>15</v>
      </c>
      <c r="C156">
        <v>513465</v>
      </c>
      <c r="D156" t="s">
        <v>10</v>
      </c>
      <c r="E156" t="s">
        <v>16</v>
      </c>
      <c r="F156" t="s">
        <v>12</v>
      </c>
      <c r="G156" t="s">
        <v>13</v>
      </c>
      <c r="H156" t="s">
        <v>13</v>
      </c>
      <c r="I156">
        <v>49</v>
      </c>
      <c r="J156">
        <f>ABS((I156-EDA!$A$15)/EDA!$B$15)</f>
        <v>0.49546762339867978</v>
      </c>
      <c r="K156" t="str">
        <f t="shared" si="2"/>
        <v>No</v>
      </c>
      <c r="L156">
        <f>ABS((C156-EDA!$F$15)/EDA!$G$15)</f>
        <v>0.36710955214661178</v>
      </c>
      <c r="M156" t="str">
        <f>IF(moras[[#This Row],[Z-Score Salario]]&gt;1.96, "Sí", "No")</f>
        <v>No</v>
      </c>
      <c r="N156" s="14">
        <f>IF(ISBLANK(moras[[#This Row],[SALARIO]]), EDA!$M$8, moras[[#This Row],[SALARIO]])</f>
        <v>513465</v>
      </c>
      <c r="O156" s="14">
        <f xml:space="preserve"> IF(ISBLANK(moras[[#This Row],[EDAD]]), EDA!$E$8, moras[[#This Row],[EDAD]])</f>
        <v>49</v>
      </c>
      <c r="P156" s="14" t="str">
        <f>IF(
    OR(ISBLANK(moras[[#This Row],[TIPO_ASEGURAMIENTO]]), moras[[#This Row],[TIPO_ASEGURAMIENTO]]=""),
    EDA!$A$32,
    moras[[#This Row],[TIPO_ASEGURAMIENTO]]
)</f>
        <v>ASALARIADO</v>
      </c>
    </row>
    <row r="157" spans="1:16" x14ac:dyDescent="0.3">
      <c r="A157">
        <v>156</v>
      </c>
      <c r="B157" t="s">
        <v>9</v>
      </c>
      <c r="C157">
        <v>300018</v>
      </c>
      <c r="D157" t="s">
        <v>17</v>
      </c>
      <c r="E157" t="s">
        <v>16</v>
      </c>
      <c r="F157" t="s">
        <v>12</v>
      </c>
      <c r="G157" t="s">
        <v>13</v>
      </c>
      <c r="H157" t="s">
        <v>13</v>
      </c>
      <c r="I157">
        <v>57</v>
      </c>
      <c r="J157">
        <f>ABS((I157-EDA!$A$15)/EDA!$B$15)</f>
        <v>1.0600702640157798</v>
      </c>
      <c r="K157" t="str">
        <f t="shared" si="2"/>
        <v>No</v>
      </c>
      <c r="L157">
        <f>ABS((C157-EDA!$F$15)/EDA!$G$15)</f>
        <v>0.37066146090145252</v>
      </c>
      <c r="M157" t="str">
        <f>IF(moras[[#This Row],[Z-Score Salario]]&gt;1.96, "Sí", "No")</f>
        <v>No</v>
      </c>
      <c r="N157" s="14">
        <f>IF(ISBLANK(moras[[#This Row],[SALARIO]]), EDA!$M$8, moras[[#This Row],[SALARIO]])</f>
        <v>300018</v>
      </c>
      <c r="O157" s="14">
        <f xml:space="preserve"> IF(ISBLANK(moras[[#This Row],[EDAD]]), EDA!$E$8, moras[[#This Row],[EDAD]])</f>
        <v>57</v>
      </c>
      <c r="P157" s="14" t="str">
        <f>IF(
    OR(ISBLANK(moras[[#This Row],[TIPO_ASEGURAMIENTO]]), moras[[#This Row],[TIPO_ASEGURAMIENTO]]=""),
    EDA!$A$32,
    moras[[#This Row],[TIPO_ASEGURAMIENTO]]
)</f>
        <v>ASEGURADO VOLUNTARIO</v>
      </c>
    </row>
    <row r="158" spans="1:16" x14ac:dyDescent="0.3">
      <c r="A158">
        <v>157</v>
      </c>
      <c r="B158" t="s">
        <v>9</v>
      </c>
      <c r="C158">
        <v>65949108</v>
      </c>
      <c r="D158" t="s">
        <v>10</v>
      </c>
      <c r="E158" t="s">
        <v>16</v>
      </c>
      <c r="F158" t="s">
        <v>12</v>
      </c>
      <c r="G158" t="s">
        <v>13</v>
      </c>
      <c r="H158" t="s">
        <v>13</v>
      </c>
      <c r="I158">
        <v>27</v>
      </c>
      <c r="J158">
        <f>ABS((I158-EDA!$A$15)/EDA!$B$15)</f>
        <v>1.0571896382983452</v>
      </c>
      <c r="K158" t="str">
        <f t="shared" si="2"/>
        <v>No</v>
      </c>
      <c r="L158">
        <f>ABS((C158-EDA!$F$15)/EDA!$G$15)</f>
        <v>0.72178573919191202</v>
      </c>
      <c r="M158" t="str">
        <f>IF(moras[[#This Row],[Z-Score Salario]]&gt;1.96, "Sí", "No")</f>
        <v>No</v>
      </c>
      <c r="N158" s="14">
        <f>IF(ISBLANK(moras[[#This Row],[SALARIO]]), EDA!$M$8, moras[[#This Row],[SALARIO]])</f>
        <v>65949108</v>
      </c>
      <c r="O158" s="14">
        <f xml:space="preserve"> IF(ISBLANK(moras[[#This Row],[EDAD]]), EDA!$E$8, moras[[#This Row],[EDAD]])</f>
        <v>27</v>
      </c>
      <c r="P158" s="14" t="str">
        <f>IF(
    OR(ISBLANK(moras[[#This Row],[TIPO_ASEGURAMIENTO]]), moras[[#This Row],[TIPO_ASEGURAMIENTO]]=""),
    EDA!$A$32,
    moras[[#This Row],[TIPO_ASEGURAMIENTO]]
)</f>
        <v>ASALARIADO</v>
      </c>
    </row>
    <row r="159" spans="1:16" x14ac:dyDescent="0.3">
      <c r="A159">
        <v>158</v>
      </c>
      <c r="B159" t="s">
        <v>9</v>
      </c>
      <c r="C159">
        <v>356000</v>
      </c>
      <c r="D159" t="s">
        <v>10</v>
      </c>
      <c r="E159" t="s">
        <v>16</v>
      </c>
      <c r="F159" t="s">
        <v>12</v>
      </c>
      <c r="G159" t="s">
        <v>13</v>
      </c>
      <c r="H159" t="s">
        <v>12</v>
      </c>
      <c r="I159">
        <v>56</v>
      </c>
      <c r="J159">
        <f>ABS((I159-EDA!$A$15)/EDA!$B$15)</f>
        <v>0.9894949339386423</v>
      </c>
      <c r="K159" t="str">
        <f t="shared" si="2"/>
        <v>No</v>
      </c>
      <c r="L159">
        <f>ABS((C159-EDA!$F$15)/EDA!$G$15)</f>
        <v>0.3697298809030759</v>
      </c>
      <c r="M159" t="str">
        <f>IF(moras[[#This Row],[Z-Score Salario]]&gt;1.96, "Sí", "No")</f>
        <v>No</v>
      </c>
      <c r="N159" s="14">
        <f>IF(ISBLANK(moras[[#This Row],[SALARIO]]), EDA!$M$8, moras[[#This Row],[SALARIO]])</f>
        <v>356000</v>
      </c>
      <c r="O159" s="14">
        <f xml:space="preserve"> IF(ISBLANK(moras[[#This Row],[EDAD]]), EDA!$E$8, moras[[#This Row],[EDAD]])</f>
        <v>56</v>
      </c>
      <c r="P159" s="14" t="str">
        <f>IF(
    OR(ISBLANK(moras[[#This Row],[TIPO_ASEGURAMIENTO]]), moras[[#This Row],[TIPO_ASEGURAMIENTO]]=""),
    EDA!$A$32,
    moras[[#This Row],[TIPO_ASEGURAMIENTO]]
)</f>
        <v>ASALARIADO</v>
      </c>
    </row>
    <row r="160" spans="1:16" x14ac:dyDescent="0.3">
      <c r="A160">
        <v>159</v>
      </c>
      <c r="B160" t="s">
        <v>9</v>
      </c>
      <c r="C160">
        <v>315941</v>
      </c>
      <c r="D160" t="s">
        <v>10</v>
      </c>
      <c r="E160" t="s">
        <v>16</v>
      </c>
      <c r="F160" t="s">
        <v>12</v>
      </c>
      <c r="G160" t="s">
        <v>12</v>
      </c>
      <c r="H160" t="s">
        <v>13</v>
      </c>
      <c r="I160">
        <v>52</v>
      </c>
      <c r="J160">
        <f>ABS((I160-EDA!$A$15)/EDA!$B$15)</f>
        <v>0.70719361363009237</v>
      </c>
      <c r="K160" t="str">
        <f t="shared" si="2"/>
        <v>No</v>
      </c>
      <c r="L160">
        <f>ABS((C160-EDA!$F$15)/EDA!$G$15)</f>
        <v>0.37039649094121263</v>
      </c>
      <c r="M160" t="str">
        <f>IF(moras[[#This Row],[Z-Score Salario]]&gt;1.96, "Sí", "No")</f>
        <v>No</v>
      </c>
      <c r="N160" s="14">
        <f>IF(ISBLANK(moras[[#This Row],[SALARIO]]), EDA!$M$8, moras[[#This Row],[SALARIO]])</f>
        <v>315941</v>
      </c>
      <c r="O160" s="14">
        <f xml:space="preserve"> IF(ISBLANK(moras[[#This Row],[EDAD]]), EDA!$E$8, moras[[#This Row],[EDAD]])</f>
        <v>52</v>
      </c>
      <c r="P160" s="14" t="str">
        <f>IF(
    OR(ISBLANK(moras[[#This Row],[TIPO_ASEGURAMIENTO]]), moras[[#This Row],[TIPO_ASEGURAMIENTO]]=""),
    EDA!$A$32,
    moras[[#This Row],[TIPO_ASEGURAMIENTO]]
)</f>
        <v>ASALARIADO</v>
      </c>
    </row>
    <row r="161" spans="1:16" x14ac:dyDescent="0.3">
      <c r="A161">
        <v>160</v>
      </c>
      <c r="B161" t="s">
        <v>9</v>
      </c>
      <c r="C161">
        <v>42750638</v>
      </c>
      <c r="D161" t="s">
        <v>19</v>
      </c>
      <c r="E161" t="s">
        <v>16</v>
      </c>
      <c r="F161" t="s">
        <v>12</v>
      </c>
      <c r="G161" t="s">
        <v>13</v>
      </c>
      <c r="H161" t="s">
        <v>13</v>
      </c>
      <c r="I161">
        <v>28</v>
      </c>
      <c r="J161">
        <f>ABS((I161-EDA!$A$15)/EDA!$B$15)</f>
        <v>0.98661430822120777</v>
      </c>
      <c r="K161" t="str">
        <f t="shared" si="2"/>
        <v>No</v>
      </c>
      <c r="L161">
        <f>ABS((C161-EDA!$F$15)/EDA!$G$15)</f>
        <v>0.33574682230898317</v>
      </c>
      <c r="M161" t="str">
        <f>IF(moras[[#This Row],[Z-Score Salario]]&gt;1.96, "Sí", "No")</f>
        <v>No</v>
      </c>
      <c r="N161" s="14">
        <f>IF(ISBLANK(moras[[#This Row],[SALARIO]]), EDA!$M$8, moras[[#This Row],[SALARIO]])</f>
        <v>42750638</v>
      </c>
      <c r="O161" s="14">
        <f xml:space="preserve"> IF(ISBLANK(moras[[#This Row],[EDAD]]), EDA!$E$8, moras[[#This Row],[EDAD]])</f>
        <v>28</v>
      </c>
      <c r="P161" s="14" t="str">
        <f>IF(
    OR(ISBLANK(moras[[#This Row],[TIPO_ASEGURAMIENTO]]), moras[[#This Row],[TIPO_ASEGURAMIENTO]]=""),
    EDA!$A$32,
    moras[[#This Row],[TIPO_ASEGURAMIENTO]]
)</f>
        <v>CONVENIOS ESPECIALES DE TRABAJADORES INDEPENDIENTES</v>
      </c>
    </row>
    <row r="162" spans="1:16" x14ac:dyDescent="0.3">
      <c r="A162">
        <v>161</v>
      </c>
      <c r="B162" t="s">
        <v>9</v>
      </c>
      <c r="C162">
        <v>299441</v>
      </c>
      <c r="D162" t="s">
        <v>18</v>
      </c>
      <c r="E162" t="s">
        <v>16</v>
      </c>
      <c r="F162" t="s">
        <v>12</v>
      </c>
      <c r="G162" t="s">
        <v>13</v>
      </c>
      <c r="H162" t="s">
        <v>13</v>
      </c>
      <c r="I162">
        <v>54</v>
      </c>
      <c r="J162">
        <f>ABS((I162-EDA!$A$15)/EDA!$B$15)</f>
        <v>0.84834427378436728</v>
      </c>
      <c r="K162" t="str">
        <f t="shared" si="2"/>
        <v>No</v>
      </c>
      <c r="L162">
        <f>ABS((C162-EDA!$F$15)/EDA!$G$15)</f>
        <v>0.37067106258876387</v>
      </c>
      <c r="M162" t="str">
        <f>IF(moras[[#This Row],[Z-Score Salario]]&gt;1.96, "Sí", "No")</f>
        <v>No</v>
      </c>
      <c r="N162" s="14">
        <f>IF(ISBLANK(moras[[#This Row],[SALARIO]]), EDA!$M$8, moras[[#This Row],[SALARIO]])</f>
        <v>299441</v>
      </c>
      <c r="O162" s="14">
        <f xml:space="preserve"> IF(ISBLANK(moras[[#This Row],[EDAD]]), EDA!$E$8, moras[[#This Row],[EDAD]])</f>
        <v>54</v>
      </c>
      <c r="P162" s="14" t="str">
        <f>IF(
    OR(ISBLANK(moras[[#This Row],[TIPO_ASEGURAMIENTO]]), moras[[#This Row],[TIPO_ASEGURAMIENTO]]=""),
    EDA!$A$32,
    moras[[#This Row],[TIPO_ASEGURAMIENTO]]
)</f>
        <v>TRABAJADOR INDEPENDIENTE</v>
      </c>
    </row>
    <row r="163" spans="1:16" x14ac:dyDescent="0.3">
      <c r="A163">
        <v>162</v>
      </c>
      <c r="B163" t="s">
        <v>9</v>
      </c>
      <c r="C163">
        <v>360458</v>
      </c>
      <c r="D163" t="s">
        <v>10</v>
      </c>
      <c r="E163" t="s">
        <v>11</v>
      </c>
      <c r="F163" t="s">
        <v>12</v>
      </c>
      <c r="G163" t="s">
        <v>13</v>
      </c>
      <c r="H163" t="s">
        <v>13</v>
      </c>
      <c r="I163">
        <v>30</v>
      </c>
      <c r="J163">
        <f>ABS((I163-EDA!$A$15)/EDA!$B$15)</f>
        <v>0.84546364806693275</v>
      </c>
      <c r="K163" t="str">
        <f t="shared" si="2"/>
        <v>No</v>
      </c>
      <c r="L163">
        <f>ABS((C163-EDA!$F$15)/EDA!$G$15)</f>
        <v>0.36965569663611936</v>
      </c>
      <c r="M163" t="str">
        <f>IF(moras[[#This Row],[Z-Score Salario]]&gt;1.96, "Sí", "No")</f>
        <v>No</v>
      </c>
      <c r="N163" s="14">
        <f>IF(ISBLANK(moras[[#This Row],[SALARIO]]), EDA!$M$8, moras[[#This Row],[SALARIO]])</f>
        <v>360458</v>
      </c>
      <c r="O163" s="14">
        <f xml:space="preserve"> IF(ISBLANK(moras[[#This Row],[EDAD]]), EDA!$E$8, moras[[#This Row],[EDAD]])</f>
        <v>30</v>
      </c>
      <c r="P163" s="14" t="str">
        <f>IF(
    OR(ISBLANK(moras[[#This Row],[TIPO_ASEGURAMIENTO]]), moras[[#This Row],[TIPO_ASEGURAMIENTO]]=""),
    EDA!$A$32,
    moras[[#This Row],[TIPO_ASEGURAMIENTO]]
)</f>
        <v>ASALARIADO</v>
      </c>
    </row>
    <row r="164" spans="1:16" x14ac:dyDescent="0.3">
      <c r="A164">
        <v>163</v>
      </c>
      <c r="B164" t="s">
        <v>9</v>
      </c>
      <c r="C164">
        <v>297050</v>
      </c>
      <c r="D164" t="s">
        <v>18</v>
      </c>
      <c r="E164" t="s">
        <v>16</v>
      </c>
      <c r="F164" t="s">
        <v>12</v>
      </c>
      <c r="G164" t="s">
        <v>13</v>
      </c>
      <c r="H164" t="s">
        <v>13</v>
      </c>
      <c r="I164">
        <v>46</v>
      </c>
      <c r="J164">
        <f>ABS((I164-EDA!$A$15)/EDA!$B$15)</f>
        <v>0.2837416331672673</v>
      </c>
      <c r="K164" t="str">
        <f t="shared" si="2"/>
        <v>No</v>
      </c>
      <c r="L164">
        <f>ABS((C164-EDA!$F$15)/EDA!$G$15)</f>
        <v>0.37071085051659991</v>
      </c>
      <c r="M164" t="str">
        <f>IF(moras[[#This Row],[Z-Score Salario]]&gt;1.96, "Sí", "No")</f>
        <v>No</v>
      </c>
      <c r="N164" s="14">
        <f>IF(ISBLANK(moras[[#This Row],[SALARIO]]), EDA!$M$8, moras[[#This Row],[SALARIO]])</f>
        <v>297050</v>
      </c>
      <c r="O164" s="14">
        <f xml:space="preserve"> IF(ISBLANK(moras[[#This Row],[EDAD]]), EDA!$E$8, moras[[#This Row],[EDAD]])</f>
        <v>46</v>
      </c>
      <c r="P164" s="14" t="str">
        <f>IF(
    OR(ISBLANK(moras[[#This Row],[TIPO_ASEGURAMIENTO]]), moras[[#This Row],[TIPO_ASEGURAMIENTO]]=""),
    EDA!$A$32,
    moras[[#This Row],[TIPO_ASEGURAMIENTO]]
)</f>
        <v>TRABAJADOR INDEPENDIENTE</v>
      </c>
    </row>
    <row r="165" spans="1:16" x14ac:dyDescent="0.3">
      <c r="A165">
        <v>164</v>
      </c>
      <c r="B165" t="s">
        <v>9</v>
      </c>
      <c r="C165">
        <v>3386596</v>
      </c>
      <c r="D165" t="s">
        <v>10</v>
      </c>
      <c r="E165" t="s">
        <v>16</v>
      </c>
      <c r="F165" t="s">
        <v>12</v>
      </c>
      <c r="G165" t="s">
        <v>12</v>
      </c>
      <c r="H165" t="s">
        <v>13</v>
      </c>
      <c r="I165">
        <v>33</v>
      </c>
      <c r="J165">
        <f>ABS((I165-EDA!$A$15)/EDA!$B$15)</f>
        <v>0.63373765783552027</v>
      </c>
      <c r="K165" t="str">
        <f t="shared" si="2"/>
        <v>No</v>
      </c>
      <c r="L165">
        <f>ABS((C165-EDA!$F$15)/EDA!$G$15)</f>
        <v>0.31929862412839477</v>
      </c>
      <c r="M165" t="str">
        <f>IF(moras[[#This Row],[Z-Score Salario]]&gt;1.96, "Sí", "No")</f>
        <v>No</v>
      </c>
      <c r="N165" s="14">
        <f>IF(ISBLANK(moras[[#This Row],[SALARIO]]), EDA!$M$8, moras[[#This Row],[SALARIO]])</f>
        <v>3386596</v>
      </c>
      <c r="O165" s="14">
        <f xml:space="preserve"> IF(ISBLANK(moras[[#This Row],[EDAD]]), EDA!$E$8, moras[[#This Row],[EDAD]])</f>
        <v>33</v>
      </c>
      <c r="P165" s="14" t="str">
        <f>IF(
    OR(ISBLANK(moras[[#This Row],[TIPO_ASEGURAMIENTO]]), moras[[#This Row],[TIPO_ASEGURAMIENTO]]=""),
    EDA!$A$32,
    moras[[#This Row],[TIPO_ASEGURAMIENTO]]
)</f>
        <v>ASALARIADO</v>
      </c>
    </row>
    <row r="166" spans="1:16" x14ac:dyDescent="0.3">
      <c r="A166">
        <v>165</v>
      </c>
      <c r="B166" t="s">
        <v>9</v>
      </c>
      <c r="C166">
        <v>460590154</v>
      </c>
      <c r="D166" t="s">
        <v>10</v>
      </c>
      <c r="E166" t="s">
        <v>11</v>
      </c>
      <c r="F166" t="s">
        <v>12</v>
      </c>
      <c r="G166" t="s">
        <v>13</v>
      </c>
      <c r="H166" t="s">
        <v>13</v>
      </c>
      <c r="I166">
        <v>68</v>
      </c>
      <c r="J166">
        <f>ABS((I166-EDA!$A$15)/EDA!$B$15)</f>
        <v>1.8363988948642924</v>
      </c>
      <c r="K166" t="str">
        <f t="shared" si="2"/>
        <v>No</v>
      </c>
      <c r="L166">
        <f>ABS((C166-EDA!$F$15)/EDA!$G$15)</f>
        <v>7.2888913265597903</v>
      </c>
      <c r="M166" t="str">
        <f>IF(moras[[#This Row],[Z-Score Salario]]&gt;1.96, "Sí", "No")</f>
        <v>Sí</v>
      </c>
      <c r="N166" s="14">
        <f>IF(ISBLANK(moras[[#This Row],[SALARIO]]), EDA!$M$8, moras[[#This Row],[SALARIO]])</f>
        <v>460590154</v>
      </c>
      <c r="O166" s="14">
        <f xml:space="preserve"> IF(ISBLANK(moras[[#This Row],[EDAD]]), EDA!$E$8, moras[[#This Row],[EDAD]])</f>
        <v>68</v>
      </c>
      <c r="P166" s="14" t="str">
        <f>IF(
    OR(ISBLANK(moras[[#This Row],[TIPO_ASEGURAMIENTO]]), moras[[#This Row],[TIPO_ASEGURAMIENTO]]=""),
    EDA!$A$32,
    moras[[#This Row],[TIPO_ASEGURAMIENTO]]
)</f>
        <v>ASALARIADO</v>
      </c>
    </row>
    <row r="167" spans="1:16" x14ac:dyDescent="0.3">
      <c r="A167">
        <v>166</v>
      </c>
      <c r="B167" t="s">
        <v>9</v>
      </c>
      <c r="C167">
        <v>299647</v>
      </c>
      <c r="D167" t="s">
        <v>17</v>
      </c>
      <c r="E167" t="s">
        <v>16</v>
      </c>
      <c r="F167" t="s">
        <v>12</v>
      </c>
      <c r="G167" t="s">
        <v>13</v>
      </c>
      <c r="H167" t="s">
        <v>13</v>
      </c>
      <c r="I167">
        <v>68</v>
      </c>
      <c r="J167">
        <f>ABS((I167-EDA!$A$15)/EDA!$B$15)</f>
        <v>1.8363988948642924</v>
      </c>
      <c r="K167" t="str">
        <f t="shared" si="2"/>
        <v>No</v>
      </c>
      <c r="L167">
        <f>ABS((C167-EDA!$F$15)/EDA!$G$15)</f>
        <v>0.37066763460334595</v>
      </c>
      <c r="M167" t="str">
        <f>IF(moras[[#This Row],[Z-Score Salario]]&gt;1.96, "Sí", "No")</f>
        <v>No</v>
      </c>
      <c r="N167" s="14">
        <f>IF(ISBLANK(moras[[#This Row],[SALARIO]]), EDA!$M$8, moras[[#This Row],[SALARIO]])</f>
        <v>299647</v>
      </c>
      <c r="O167" s="14">
        <f xml:space="preserve"> IF(ISBLANK(moras[[#This Row],[EDAD]]), EDA!$E$8, moras[[#This Row],[EDAD]])</f>
        <v>68</v>
      </c>
      <c r="P167" s="14" t="str">
        <f>IF(
    OR(ISBLANK(moras[[#This Row],[TIPO_ASEGURAMIENTO]]), moras[[#This Row],[TIPO_ASEGURAMIENTO]]=""),
    EDA!$A$32,
    moras[[#This Row],[TIPO_ASEGURAMIENTO]]
)</f>
        <v>ASEGURADO VOLUNTARIO</v>
      </c>
    </row>
    <row r="168" spans="1:16" x14ac:dyDescent="0.3">
      <c r="A168">
        <v>167</v>
      </c>
      <c r="B168" t="s">
        <v>15</v>
      </c>
      <c r="C168">
        <v>111053</v>
      </c>
      <c r="D168" t="s">
        <v>10</v>
      </c>
      <c r="E168" t="s">
        <v>16</v>
      </c>
      <c r="F168" t="s">
        <v>12</v>
      </c>
      <c r="G168" t="s">
        <v>13</v>
      </c>
      <c r="H168" t="s">
        <v>13</v>
      </c>
      <c r="I168">
        <v>54</v>
      </c>
      <c r="J168">
        <f>ABS((I168-EDA!$A$15)/EDA!$B$15)</f>
        <v>0.84834427378436728</v>
      </c>
      <c r="K168" t="str">
        <f t="shared" si="2"/>
        <v>No</v>
      </c>
      <c r="L168">
        <f>ABS((C168-EDA!$F$15)/EDA!$G$15)</f>
        <v>0.37380597189415088</v>
      </c>
      <c r="M168" t="str">
        <f>IF(moras[[#This Row],[Z-Score Salario]]&gt;1.96, "Sí", "No")</f>
        <v>No</v>
      </c>
      <c r="N168" s="14">
        <f>IF(ISBLANK(moras[[#This Row],[SALARIO]]), EDA!$M$8, moras[[#This Row],[SALARIO]])</f>
        <v>111053</v>
      </c>
      <c r="O168" s="14">
        <f xml:space="preserve"> IF(ISBLANK(moras[[#This Row],[EDAD]]), EDA!$E$8, moras[[#This Row],[EDAD]])</f>
        <v>54</v>
      </c>
      <c r="P168" s="14" t="str">
        <f>IF(
    OR(ISBLANK(moras[[#This Row],[TIPO_ASEGURAMIENTO]]), moras[[#This Row],[TIPO_ASEGURAMIENTO]]=""),
    EDA!$A$32,
    moras[[#This Row],[TIPO_ASEGURAMIENTO]]
)</f>
        <v>ASALARIADO</v>
      </c>
    </row>
    <row r="169" spans="1:16" x14ac:dyDescent="0.3">
      <c r="A169">
        <v>168</v>
      </c>
      <c r="B169" t="s">
        <v>9</v>
      </c>
      <c r="C169">
        <v>371304</v>
      </c>
      <c r="D169" t="s">
        <v>18</v>
      </c>
      <c r="E169" t="s">
        <v>16</v>
      </c>
      <c r="F169" t="s">
        <v>12</v>
      </c>
      <c r="G169" t="s">
        <v>13</v>
      </c>
      <c r="H169" t="s">
        <v>12</v>
      </c>
      <c r="I169">
        <v>46</v>
      </c>
      <c r="J169">
        <f>ABS((I169-EDA!$A$15)/EDA!$B$15)</f>
        <v>0.2837416331672673</v>
      </c>
      <c r="K169" t="str">
        <f t="shared" si="2"/>
        <v>No</v>
      </c>
      <c r="L169">
        <f>ABS((C169-EDA!$F$15)/EDA!$G$15)</f>
        <v>0.36947521153979562</v>
      </c>
      <c r="M169" t="str">
        <f>IF(moras[[#This Row],[Z-Score Salario]]&gt;1.96, "Sí", "No")</f>
        <v>No</v>
      </c>
      <c r="N169" s="14">
        <f>IF(ISBLANK(moras[[#This Row],[SALARIO]]), EDA!$M$8, moras[[#This Row],[SALARIO]])</f>
        <v>371304</v>
      </c>
      <c r="O169" s="14">
        <f xml:space="preserve"> IF(ISBLANK(moras[[#This Row],[EDAD]]), EDA!$E$8, moras[[#This Row],[EDAD]])</f>
        <v>46</v>
      </c>
      <c r="P169" s="14" t="str">
        <f>IF(
    OR(ISBLANK(moras[[#This Row],[TIPO_ASEGURAMIENTO]]), moras[[#This Row],[TIPO_ASEGURAMIENTO]]=""),
    EDA!$A$32,
    moras[[#This Row],[TIPO_ASEGURAMIENTO]]
)</f>
        <v>TRABAJADOR INDEPENDIENTE</v>
      </c>
    </row>
    <row r="170" spans="1:16" x14ac:dyDescent="0.3">
      <c r="A170">
        <v>169</v>
      </c>
      <c r="B170" t="s">
        <v>15</v>
      </c>
      <c r="C170">
        <v>67236554</v>
      </c>
      <c r="D170" t="s">
        <v>10</v>
      </c>
      <c r="E170" t="s">
        <v>16</v>
      </c>
      <c r="F170" t="s">
        <v>12</v>
      </c>
      <c r="G170" t="s">
        <v>13</v>
      </c>
      <c r="H170" t="s">
        <v>13</v>
      </c>
      <c r="I170">
        <v>38</v>
      </c>
      <c r="J170">
        <f>ABS((I170-EDA!$A$15)/EDA!$B$15)</f>
        <v>0.28086100744983278</v>
      </c>
      <c r="K170" t="str">
        <f t="shared" si="2"/>
        <v>No</v>
      </c>
      <c r="L170">
        <f>ABS((C170-EDA!$F$15)/EDA!$G$15)</f>
        <v>0.74320974945574669</v>
      </c>
      <c r="M170" t="str">
        <f>IF(moras[[#This Row],[Z-Score Salario]]&gt;1.96, "Sí", "No")</f>
        <v>No</v>
      </c>
      <c r="N170" s="14">
        <f>IF(ISBLANK(moras[[#This Row],[SALARIO]]), EDA!$M$8, moras[[#This Row],[SALARIO]])</f>
        <v>67236554</v>
      </c>
      <c r="O170" s="14">
        <f xml:space="preserve"> IF(ISBLANK(moras[[#This Row],[EDAD]]), EDA!$E$8, moras[[#This Row],[EDAD]])</f>
        <v>38</v>
      </c>
      <c r="P170" s="14" t="str">
        <f>IF(
    OR(ISBLANK(moras[[#This Row],[TIPO_ASEGURAMIENTO]]), moras[[#This Row],[TIPO_ASEGURAMIENTO]]=""),
    EDA!$A$32,
    moras[[#This Row],[TIPO_ASEGURAMIENTO]]
)</f>
        <v>ASALARIADO</v>
      </c>
    </row>
    <row r="171" spans="1:16" x14ac:dyDescent="0.3">
      <c r="A171">
        <v>170</v>
      </c>
      <c r="B171" t="s">
        <v>9</v>
      </c>
      <c r="C171">
        <v>475269</v>
      </c>
      <c r="D171" t="s">
        <v>18</v>
      </c>
      <c r="E171" t="s">
        <v>16</v>
      </c>
      <c r="F171" t="s">
        <v>12</v>
      </c>
      <c r="G171" t="s">
        <v>13</v>
      </c>
      <c r="H171" t="s">
        <v>12</v>
      </c>
      <c r="I171">
        <v>63</v>
      </c>
      <c r="J171">
        <f>ABS((I171-EDA!$A$15)/EDA!$B$15)</f>
        <v>1.4835222444786049</v>
      </c>
      <c r="K171" t="str">
        <f t="shared" si="2"/>
        <v>No</v>
      </c>
      <c r="L171">
        <f>ABS((C171-EDA!$F$15)/EDA!$G$15)</f>
        <v>0.36774516054963408</v>
      </c>
      <c r="M171" t="str">
        <f>IF(moras[[#This Row],[Z-Score Salario]]&gt;1.96, "Sí", "No")</f>
        <v>No</v>
      </c>
      <c r="N171" s="14">
        <f>IF(ISBLANK(moras[[#This Row],[SALARIO]]), EDA!$M$8, moras[[#This Row],[SALARIO]])</f>
        <v>475269</v>
      </c>
      <c r="O171" s="14">
        <f xml:space="preserve"> IF(ISBLANK(moras[[#This Row],[EDAD]]), EDA!$E$8, moras[[#This Row],[EDAD]])</f>
        <v>63</v>
      </c>
      <c r="P171" s="14" t="str">
        <f>IF(
    OR(ISBLANK(moras[[#This Row],[TIPO_ASEGURAMIENTO]]), moras[[#This Row],[TIPO_ASEGURAMIENTO]]=""),
    EDA!$A$32,
    moras[[#This Row],[TIPO_ASEGURAMIENTO]]
)</f>
        <v>TRABAJADOR INDEPENDIENTE</v>
      </c>
    </row>
    <row r="172" spans="1:16" x14ac:dyDescent="0.3">
      <c r="A172">
        <v>171</v>
      </c>
      <c r="B172" t="s">
        <v>9</v>
      </c>
      <c r="C172">
        <v>360420</v>
      </c>
      <c r="D172" t="s">
        <v>18</v>
      </c>
      <c r="E172" t="s">
        <v>16</v>
      </c>
      <c r="F172" t="s">
        <v>12</v>
      </c>
      <c r="G172" t="s">
        <v>13</v>
      </c>
      <c r="H172" t="s">
        <v>12</v>
      </c>
      <c r="I172">
        <v>33</v>
      </c>
      <c r="J172">
        <f>ABS((I172-EDA!$A$15)/EDA!$B$15)</f>
        <v>0.63373765783552027</v>
      </c>
      <c r="K172" t="str">
        <f t="shared" si="2"/>
        <v>No</v>
      </c>
      <c r="L172">
        <f>ABS((C172-EDA!$F$15)/EDA!$G$15)</f>
        <v>0.36965632898294398</v>
      </c>
      <c r="M172" t="str">
        <f>IF(moras[[#This Row],[Z-Score Salario]]&gt;1.96, "Sí", "No")</f>
        <v>No</v>
      </c>
      <c r="N172" s="14">
        <f>IF(ISBLANK(moras[[#This Row],[SALARIO]]), EDA!$M$8, moras[[#This Row],[SALARIO]])</f>
        <v>360420</v>
      </c>
      <c r="O172" s="14">
        <f xml:space="preserve"> IF(ISBLANK(moras[[#This Row],[EDAD]]), EDA!$E$8, moras[[#This Row],[EDAD]])</f>
        <v>33</v>
      </c>
      <c r="P172" s="14" t="str">
        <f>IF(
    OR(ISBLANK(moras[[#This Row],[TIPO_ASEGURAMIENTO]]), moras[[#This Row],[TIPO_ASEGURAMIENTO]]=""),
    EDA!$A$32,
    moras[[#This Row],[TIPO_ASEGURAMIENTO]]
)</f>
        <v>TRABAJADOR INDEPENDIENTE</v>
      </c>
    </row>
    <row r="173" spans="1:16" x14ac:dyDescent="0.3">
      <c r="A173">
        <v>172</v>
      </c>
      <c r="B173" t="s">
        <v>9</v>
      </c>
      <c r="C173">
        <v>278030</v>
      </c>
      <c r="D173" t="s">
        <v>19</v>
      </c>
      <c r="E173" t="s">
        <v>16</v>
      </c>
      <c r="F173" t="s">
        <v>12</v>
      </c>
      <c r="G173" t="s">
        <v>13</v>
      </c>
      <c r="H173" t="s">
        <v>13</v>
      </c>
      <c r="I173">
        <v>48</v>
      </c>
      <c r="J173">
        <f>ABS((I173-EDA!$A$15)/EDA!$B$15)</f>
        <v>0.42489229332154227</v>
      </c>
      <c r="K173" t="str">
        <f t="shared" si="2"/>
        <v>No</v>
      </c>
      <c r="L173">
        <f>ABS((C173-EDA!$F$15)/EDA!$G$15)</f>
        <v>0.37102735674304993</v>
      </c>
      <c r="M173" t="str">
        <f>IF(moras[[#This Row],[Z-Score Salario]]&gt;1.96, "Sí", "No")</f>
        <v>No</v>
      </c>
      <c r="N173" s="14">
        <f>IF(ISBLANK(moras[[#This Row],[SALARIO]]), EDA!$M$8, moras[[#This Row],[SALARIO]])</f>
        <v>278030</v>
      </c>
      <c r="O173" s="14">
        <f xml:space="preserve"> IF(ISBLANK(moras[[#This Row],[EDAD]]), EDA!$E$8, moras[[#This Row],[EDAD]])</f>
        <v>48</v>
      </c>
      <c r="P173" s="14" t="str">
        <f>IF(
    OR(ISBLANK(moras[[#This Row],[TIPO_ASEGURAMIENTO]]), moras[[#This Row],[TIPO_ASEGURAMIENTO]]=""),
    EDA!$A$32,
    moras[[#This Row],[TIPO_ASEGURAMIENTO]]
)</f>
        <v>CONVENIOS ESPECIALES DE TRABAJADORES INDEPENDIENTES</v>
      </c>
    </row>
    <row r="174" spans="1:16" x14ac:dyDescent="0.3">
      <c r="A174">
        <v>173</v>
      </c>
      <c r="B174" t="s">
        <v>9</v>
      </c>
      <c r="C174">
        <v>47254614</v>
      </c>
      <c r="D174" t="s">
        <v>10</v>
      </c>
      <c r="E174" t="s">
        <v>16</v>
      </c>
      <c r="F174" t="s">
        <v>12</v>
      </c>
      <c r="G174" t="s">
        <v>13</v>
      </c>
      <c r="H174" t="s">
        <v>13</v>
      </c>
      <c r="I174">
        <v>28</v>
      </c>
      <c r="J174">
        <f>ABS((I174-EDA!$A$15)/EDA!$B$15)</f>
        <v>0.98661430822120777</v>
      </c>
      <c r="K174" t="str">
        <f t="shared" si="2"/>
        <v>No</v>
      </c>
      <c r="L174">
        <f>ABS((C174-EDA!$F$15)/EDA!$G$15)</f>
        <v>0.41069616236057738</v>
      </c>
      <c r="M174" t="str">
        <f>IF(moras[[#This Row],[Z-Score Salario]]&gt;1.96, "Sí", "No")</f>
        <v>No</v>
      </c>
      <c r="N174" s="14">
        <f>IF(ISBLANK(moras[[#This Row],[SALARIO]]), EDA!$M$8, moras[[#This Row],[SALARIO]])</f>
        <v>47254614</v>
      </c>
      <c r="O174" s="14">
        <f xml:space="preserve"> IF(ISBLANK(moras[[#This Row],[EDAD]]), EDA!$E$8, moras[[#This Row],[EDAD]])</f>
        <v>28</v>
      </c>
      <c r="P174" s="14" t="str">
        <f>IF(
    OR(ISBLANK(moras[[#This Row],[TIPO_ASEGURAMIENTO]]), moras[[#This Row],[TIPO_ASEGURAMIENTO]]=""),
    EDA!$A$32,
    moras[[#This Row],[TIPO_ASEGURAMIENTO]]
)</f>
        <v>ASALARIADO</v>
      </c>
    </row>
    <row r="175" spans="1:16" x14ac:dyDescent="0.3">
      <c r="A175">
        <v>174</v>
      </c>
      <c r="B175" t="s">
        <v>9</v>
      </c>
      <c r="C175">
        <v>1110262</v>
      </c>
      <c r="D175" t="s">
        <v>10</v>
      </c>
      <c r="E175" t="s">
        <v>16</v>
      </c>
      <c r="F175" t="s">
        <v>12</v>
      </c>
      <c r="G175" t="s">
        <v>13</v>
      </c>
      <c r="H175" t="s">
        <v>13</v>
      </c>
      <c r="I175">
        <v>23</v>
      </c>
      <c r="J175">
        <f>ABS((I175-EDA!$A$15)/EDA!$B$15)</f>
        <v>1.3394909586068953</v>
      </c>
      <c r="K175" t="str">
        <f t="shared" si="2"/>
        <v>No</v>
      </c>
      <c r="L175">
        <f>ABS((C175-EDA!$F$15)/EDA!$G$15)</f>
        <v>0.35717842878033024</v>
      </c>
      <c r="M175" t="str">
        <f>IF(moras[[#This Row],[Z-Score Salario]]&gt;1.96, "Sí", "No")</f>
        <v>No</v>
      </c>
      <c r="N175" s="14">
        <f>IF(ISBLANK(moras[[#This Row],[SALARIO]]), EDA!$M$8, moras[[#This Row],[SALARIO]])</f>
        <v>1110262</v>
      </c>
      <c r="O175" s="14">
        <f xml:space="preserve"> IF(ISBLANK(moras[[#This Row],[EDAD]]), EDA!$E$8, moras[[#This Row],[EDAD]])</f>
        <v>23</v>
      </c>
      <c r="P175" s="14" t="str">
        <f>IF(
    OR(ISBLANK(moras[[#This Row],[TIPO_ASEGURAMIENTO]]), moras[[#This Row],[TIPO_ASEGURAMIENTO]]=""),
    EDA!$A$32,
    moras[[#This Row],[TIPO_ASEGURAMIENTO]]
)</f>
        <v>ASALARIADO</v>
      </c>
    </row>
    <row r="176" spans="1:16" x14ac:dyDescent="0.3">
      <c r="A176">
        <v>175</v>
      </c>
      <c r="B176" t="s">
        <v>15</v>
      </c>
      <c r="C176">
        <v>4442592</v>
      </c>
      <c r="D176" t="s">
        <v>10</v>
      </c>
      <c r="E176" t="s">
        <v>16</v>
      </c>
      <c r="F176" t="s">
        <v>12</v>
      </c>
      <c r="G176" t="s">
        <v>13</v>
      </c>
      <c r="H176" t="s">
        <v>13</v>
      </c>
      <c r="I176">
        <v>28</v>
      </c>
      <c r="J176">
        <f>ABS((I176-EDA!$A$15)/EDA!$B$15)</f>
        <v>0.98661430822120777</v>
      </c>
      <c r="K176" t="str">
        <f t="shared" si="2"/>
        <v>No</v>
      </c>
      <c r="L176">
        <f>ABS((C176-EDA!$F$15)/EDA!$G$15)</f>
        <v>0.30172610524793825</v>
      </c>
      <c r="M176" t="str">
        <f>IF(moras[[#This Row],[Z-Score Salario]]&gt;1.96, "Sí", "No")</f>
        <v>No</v>
      </c>
      <c r="N176" s="14">
        <f>IF(ISBLANK(moras[[#This Row],[SALARIO]]), EDA!$M$8, moras[[#This Row],[SALARIO]])</f>
        <v>4442592</v>
      </c>
      <c r="O176" s="14">
        <f xml:space="preserve"> IF(ISBLANK(moras[[#This Row],[EDAD]]), EDA!$E$8, moras[[#This Row],[EDAD]])</f>
        <v>28</v>
      </c>
      <c r="P176" s="14" t="str">
        <f>IF(
    OR(ISBLANK(moras[[#This Row],[TIPO_ASEGURAMIENTO]]), moras[[#This Row],[TIPO_ASEGURAMIENTO]]=""),
    EDA!$A$32,
    moras[[#This Row],[TIPO_ASEGURAMIENTO]]
)</f>
        <v>ASALARIADO</v>
      </c>
    </row>
    <row r="177" spans="1:16" x14ac:dyDescent="0.3">
      <c r="A177">
        <v>176</v>
      </c>
      <c r="B177" t="s">
        <v>9</v>
      </c>
      <c r="C177">
        <v>79380112</v>
      </c>
      <c r="D177" t="s">
        <v>10</v>
      </c>
      <c r="E177" t="s">
        <v>16</v>
      </c>
      <c r="F177" t="s">
        <v>12</v>
      </c>
      <c r="G177" t="s">
        <v>12</v>
      </c>
      <c r="H177" t="s">
        <v>13</v>
      </c>
      <c r="I177">
        <v>36</v>
      </c>
      <c r="J177">
        <f>ABS((I177-EDA!$A$15)/EDA!$B$15)</f>
        <v>0.42201166760410774</v>
      </c>
      <c r="K177" t="str">
        <f t="shared" si="2"/>
        <v>No</v>
      </c>
      <c r="L177">
        <f>ABS((C177-EDA!$F$15)/EDA!$G$15)</f>
        <v>0.945287126861456</v>
      </c>
      <c r="M177" t="str">
        <f>IF(moras[[#This Row],[Z-Score Salario]]&gt;1.96, "Sí", "No")</f>
        <v>No</v>
      </c>
      <c r="N177" s="14">
        <f>IF(ISBLANK(moras[[#This Row],[SALARIO]]), EDA!$M$8, moras[[#This Row],[SALARIO]])</f>
        <v>79380112</v>
      </c>
      <c r="O177" s="14">
        <f xml:space="preserve"> IF(ISBLANK(moras[[#This Row],[EDAD]]), EDA!$E$8, moras[[#This Row],[EDAD]])</f>
        <v>36</v>
      </c>
      <c r="P177" s="14" t="str">
        <f>IF(
    OR(ISBLANK(moras[[#This Row],[TIPO_ASEGURAMIENTO]]), moras[[#This Row],[TIPO_ASEGURAMIENTO]]=""),
    EDA!$A$32,
    moras[[#This Row],[TIPO_ASEGURAMIENTO]]
)</f>
        <v>ASALARIADO</v>
      </c>
    </row>
    <row r="178" spans="1:16" x14ac:dyDescent="0.3">
      <c r="A178">
        <v>177</v>
      </c>
      <c r="B178" t="s">
        <v>15</v>
      </c>
      <c r="C178">
        <v>50496325</v>
      </c>
      <c r="D178" t="s">
        <v>10</v>
      </c>
      <c r="E178" t="s">
        <v>16</v>
      </c>
      <c r="F178" t="s">
        <v>12</v>
      </c>
      <c r="G178" t="s">
        <v>13</v>
      </c>
      <c r="H178" t="s">
        <v>13</v>
      </c>
      <c r="I178">
        <v>44</v>
      </c>
      <c r="J178">
        <f>ABS((I178-EDA!$A$15)/EDA!$B$15)</f>
        <v>0.14259097301299228</v>
      </c>
      <c r="K178" t="str">
        <f t="shared" si="2"/>
        <v>No</v>
      </c>
      <c r="L178">
        <f>ABS((C178-EDA!$F$15)/EDA!$G$15)</f>
        <v>0.46464052176391202</v>
      </c>
      <c r="M178" t="str">
        <f>IF(moras[[#This Row],[Z-Score Salario]]&gt;1.96, "Sí", "No")</f>
        <v>No</v>
      </c>
      <c r="N178" s="14">
        <f>IF(ISBLANK(moras[[#This Row],[SALARIO]]), EDA!$M$8, moras[[#This Row],[SALARIO]])</f>
        <v>50496325</v>
      </c>
      <c r="O178" s="14">
        <f xml:space="preserve"> IF(ISBLANK(moras[[#This Row],[EDAD]]), EDA!$E$8, moras[[#This Row],[EDAD]])</f>
        <v>44</v>
      </c>
      <c r="P178" s="14" t="str">
        <f>IF(
    OR(ISBLANK(moras[[#This Row],[TIPO_ASEGURAMIENTO]]), moras[[#This Row],[TIPO_ASEGURAMIENTO]]=""),
    EDA!$A$32,
    moras[[#This Row],[TIPO_ASEGURAMIENTO]]
)</f>
        <v>ASALARIADO</v>
      </c>
    </row>
    <row r="179" spans="1:16" x14ac:dyDescent="0.3">
      <c r="A179">
        <v>178</v>
      </c>
      <c r="B179" t="s">
        <v>9</v>
      </c>
      <c r="C179">
        <v>3458025</v>
      </c>
      <c r="D179" t="s">
        <v>10</v>
      </c>
      <c r="E179" t="s">
        <v>16</v>
      </c>
      <c r="F179" t="s">
        <v>12</v>
      </c>
      <c r="G179" t="s">
        <v>13</v>
      </c>
      <c r="H179" t="s">
        <v>13</v>
      </c>
      <c r="I179">
        <v>52</v>
      </c>
      <c r="J179">
        <f>ABS((I179-EDA!$A$15)/EDA!$B$15)</f>
        <v>0.70719361363009237</v>
      </c>
      <c r="K179" t="str">
        <f t="shared" si="2"/>
        <v>No</v>
      </c>
      <c r="L179">
        <f>ABS((C179-EDA!$F$15)/EDA!$G$15)</f>
        <v>0.31810999514579247</v>
      </c>
      <c r="M179" t="str">
        <f>IF(moras[[#This Row],[Z-Score Salario]]&gt;1.96, "Sí", "No")</f>
        <v>No</v>
      </c>
      <c r="N179" s="14">
        <f>IF(ISBLANK(moras[[#This Row],[SALARIO]]), EDA!$M$8, moras[[#This Row],[SALARIO]])</f>
        <v>3458025</v>
      </c>
      <c r="O179" s="14">
        <f xml:space="preserve"> IF(ISBLANK(moras[[#This Row],[EDAD]]), EDA!$E$8, moras[[#This Row],[EDAD]])</f>
        <v>52</v>
      </c>
      <c r="P179" s="14" t="str">
        <f>IF(
    OR(ISBLANK(moras[[#This Row],[TIPO_ASEGURAMIENTO]]), moras[[#This Row],[TIPO_ASEGURAMIENTO]]=""),
    EDA!$A$32,
    moras[[#This Row],[TIPO_ASEGURAMIENTO]]
)</f>
        <v>ASALARIADO</v>
      </c>
    </row>
    <row r="180" spans="1:16" x14ac:dyDescent="0.3">
      <c r="A180">
        <v>179</v>
      </c>
      <c r="B180" t="s">
        <v>9</v>
      </c>
      <c r="C180">
        <v>413497</v>
      </c>
      <c r="D180" t="s">
        <v>18</v>
      </c>
      <c r="E180" t="s">
        <v>16</v>
      </c>
      <c r="F180" t="s">
        <v>12</v>
      </c>
      <c r="G180" t="s">
        <v>13</v>
      </c>
      <c r="H180" t="s">
        <v>12</v>
      </c>
      <c r="I180">
        <v>54</v>
      </c>
      <c r="J180">
        <f>ABS((I180-EDA!$A$15)/EDA!$B$15)</f>
        <v>0.84834427378436728</v>
      </c>
      <c r="K180" t="str">
        <f t="shared" si="2"/>
        <v>No</v>
      </c>
      <c r="L180">
        <f>ABS((C180-EDA!$F$15)/EDA!$G$15)</f>
        <v>0.3687730902352423</v>
      </c>
      <c r="M180" t="str">
        <f>IF(moras[[#This Row],[Z-Score Salario]]&gt;1.96, "Sí", "No")</f>
        <v>No</v>
      </c>
      <c r="N180" s="14">
        <f>IF(ISBLANK(moras[[#This Row],[SALARIO]]), EDA!$M$8, moras[[#This Row],[SALARIO]])</f>
        <v>413497</v>
      </c>
      <c r="O180" s="14">
        <f xml:space="preserve"> IF(ISBLANK(moras[[#This Row],[EDAD]]), EDA!$E$8, moras[[#This Row],[EDAD]])</f>
        <v>54</v>
      </c>
      <c r="P180" s="14" t="str">
        <f>IF(
    OR(ISBLANK(moras[[#This Row],[TIPO_ASEGURAMIENTO]]), moras[[#This Row],[TIPO_ASEGURAMIENTO]]=""),
    EDA!$A$32,
    moras[[#This Row],[TIPO_ASEGURAMIENTO]]
)</f>
        <v>TRABAJADOR INDEPENDIENTE</v>
      </c>
    </row>
    <row r="181" spans="1:16" x14ac:dyDescent="0.3">
      <c r="A181">
        <v>180</v>
      </c>
      <c r="B181" t="s">
        <v>9</v>
      </c>
      <c r="C181">
        <v>683560</v>
      </c>
      <c r="D181" t="s">
        <v>10</v>
      </c>
      <c r="E181" t="s">
        <v>11</v>
      </c>
      <c r="F181" t="s">
        <v>12</v>
      </c>
      <c r="G181" t="s">
        <v>13</v>
      </c>
      <c r="H181" t="s">
        <v>13</v>
      </c>
      <c r="I181">
        <v>61</v>
      </c>
      <c r="J181">
        <f>ABS((I181-EDA!$A$15)/EDA!$B$15)</f>
        <v>1.3423715843243298</v>
      </c>
      <c r="K181" t="str">
        <f t="shared" si="2"/>
        <v>No</v>
      </c>
      <c r="L181">
        <f>ABS((C181-EDA!$F$15)/EDA!$G$15)</f>
        <v>0.36427905127447663</v>
      </c>
      <c r="M181" t="str">
        <f>IF(moras[[#This Row],[Z-Score Salario]]&gt;1.96, "Sí", "No")</f>
        <v>No</v>
      </c>
      <c r="N181" s="14">
        <f>IF(ISBLANK(moras[[#This Row],[SALARIO]]), EDA!$M$8, moras[[#This Row],[SALARIO]])</f>
        <v>683560</v>
      </c>
      <c r="O181" s="14">
        <f xml:space="preserve"> IF(ISBLANK(moras[[#This Row],[EDAD]]), EDA!$E$8, moras[[#This Row],[EDAD]])</f>
        <v>61</v>
      </c>
      <c r="P181" s="14" t="str">
        <f>IF(
    OR(ISBLANK(moras[[#This Row],[TIPO_ASEGURAMIENTO]]), moras[[#This Row],[TIPO_ASEGURAMIENTO]]=""),
    EDA!$A$32,
    moras[[#This Row],[TIPO_ASEGURAMIENTO]]
)</f>
        <v>ASALARIADO</v>
      </c>
    </row>
    <row r="182" spans="1:16" x14ac:dyDescent="0.3">
      <c r="A182">
        <v>181</v>
      </c>
      <c r="B182" t="s">
        <v>9</v>
      </c>
      <c r="C182">
        <v>375000</v>
      </c>
      <c r="D182" t="s">
        <v>10</v>
      </c>
      <c r="E182" t="s">
        <v>16</v>
      </c>
      <c r="F182" t="s">
        <v>12</v>
      </c>
      <c r="G182" t="s">
        <v>13</v>
      </c>
      <c r="H182" t="s">
        <v>12</v>
      </c>
      <c r="I182">
        <v>27</v>
      </c>
      <c r="J182">
        <f>ABS((I182-EDA!$A$15)/EDA!$B$15)</f>
        <v>1.0571896382983452</v>
      </c>
      <c r="K182" t="str">
        <f t="shared" si="2"/>
        <v>No</v>
      </c>
      <c r="L182">
        <f>ABS((C182-EDA!$F$15)/EDA!$G$15)</f>
        <v>0.36941370749074415</v>
      </c>
      <c r="M182" t="str">
        <f>IF(moras[[#This Row],[Z-Score Salario]]&gt;1.96, "Sí", "No")</f>
        <v>No</v>
      </c>
      <c r="N182" s="14">
        <f>IF(ISBLANK(moras[[#This Row],[SALARIO]]), EDA!$M$8, moras[[#This Row],[SALARIO]])</f>
        <v>375000</v>
      </c>
      <c r="O182" s="14">
        <f xml:space="preserve"> IF(ISBLANK(moras[[#This Row],[EDAD]]), EDA!$E$8, moras[[#This Row],[EDAD]])</f>
        <v>27</v>
      </c>
      <c r="P182" s="14" t="str">
        <f>IF(
    OR(ISBLANK(moras[[#This Row],[TIPO_ASEGURAMIENTO]]), moras[[#This Row],[TIPO_ASEGURAMIENTO]]=""),
    EDA!$A$32,
    moras[[#This Row],[TIPO_ASEGURAMIENTO]]
)</f>
        <v>ASALARIADO</v>
      </c>
    </row>
    <row r="183" spans="1:16" x14ac:dyDescent="0.3">
      <c r="A183">
        <v>182</v>
      </c>
      <c r="B183" t="s">
        <v>15</v>
      </c>
      <c r="C183">
        <v>1244526</v>
      </c>
      <c r="D183" t="s">
        <v>10</v>
      </c>
      <c r="E183" t="s">
        <v>16</v>
      </c>
      <c r="F183" t="s">
        <v>12</v>
      </c>
      <c r="G183" t="s">
        <v>13</v>
      </c>
      <c r="H183" t="s">
        <v>13</v>
      </c>
      <c r="I183">
        <v>26</v>
      </c>
      <c r="J183">
        <f>ABS((I183-EDA!$A$15)/EDA!$B$15)</f>
        <v>1.1277649683754829</v>
      </c>
      <c r="K183" t="str">
        <f t="shared" si="2"/>
        <v>No</v>
      </c>
      <c r="L183">
        <f>ABS((C183-EDA!$F$15)/EDA!$G$15)</f>
        <v>0.35494418104173497</v>
      </c>
      <c r="M183" t="str">
        <f>IF(moras[[#This Row],[Z-Score Salario]]&gt;1.96, "Sí", "No")</f>
        <v>No</v>
      </c>
      <c r="N183" s="14">
        <f>IF(ISBLANK(moras[[#This Row],[SALARIO]]), EDA!$M$8, moras[[#This Row],[SALARIO]])</f>
        <v>1244526</v>
      </c>
      <c r="O183" s="14">
        <f xml:space="preserve"> IF(ISBLANK(moras[[#This Row],[EDAD]]), EDA!$E$8, moras[[#This Row],[EDAD]])</f>
        <v>26</v>
      </c>
      <c r="P183" s="14" t="str">
        <f>IF(
    OR(ISBLANK(moras[[#This Row],[TIPO_ASEGURAMIENTO]]), moras[[#This Row],[TIPO_ASEGURAMIENTO]]=""),
    EDA!$A$32,
    moras[[#This Row],[TIPO_ASEGURAMIENTO]]
)</f>
        <v>ASALARIADO</v>
      </c>
    </row>
    <row r="184" spans="1:16" x14ac:dyDescent="0.3">
      <c r="A184">
        <v>183</v>
      </c>
      <c r="B184" t="s">
        <v>15</v>
      </c>
      <c r="C184">
        <v>1379419</v>
      </c>
      <c r="D184" t="s">
        <v>14</v>
      </c>
      <c r="E184" t="s">
        <v>11</v>
      </c>
      <c r="F184" t="s">
        <v>12</v>
      </c>
      <c r="G184" t="s">
        <v>13</v>
      </c>
      <c r="H184" t="s">
        <v>13</v>
      </c>
      <c r="I184">
        <v>70</v>
      </c>
      <c r="J184">
        <f>ABS((I184-EDA!$A$15)/EDA!$B$15)</f>
        <v>1.9775495550185673</v>
      </c>
      <c r="K184" t="str">
        <f t="shared" si="2"/>
        <v>Sí</v>
      </c>
      <c r="L184">
        <f>ABS((C184-EDA!$F$15)/EDA!$G$15)</f>
        <v>0.35269946629912097</v>
      </c>
      <c r="M184" t="str">
        <f>IF(moras[[#This Row],[Z-Score Salario]]&gt;1.96, "Sí", "No")</f>
        <v>No</v>
      </c>
      <c r="N184" s="14">
        <f>IF(ISBLANK(moras[[#This Row],[SALARIO]]), EDA!$M$8, moras[[#This Row],[SALARIO]])</f>
        <v>1379419</v>
      </c>
      <c r="O184" s="14">
        <f xml:space="preserve"> IF(ISBLANK(moras[[#This Row],[EDAD]]), EDA!$E$8, moras[[#This Row],[EDAD]])</f>
        <v>70</v>
      </c>
      <c r="P184" s="14" t="str">
        <f>IF(
    OR(ISBLANK(moras[[#This Row],[TIPO_ASEGURAMIENTO]]), moras[[#This Row],[TIPO_ASEGURAMIENTO]]=""),
    EDA!$A$32,
    moras[[#This Row],[TIPO_ASEGURAMIENTO]]
)</f>
        <v>PENSIONADOS EN SU PROPIO SISTEMA</v>
      </c>
    </row>
    <row r="185" spans="1:16" x14ac:dyDescent="0.3">
      <c r="A185">
        <v>184</v>
      </c>
      <c r="B185" t="s">
        <v>15</v>
      </c>
      <c r="C185">
        <v>987935</v>
      </c>
      <c r="D185" t="s">
        <v>10</v>
      </c>
      <c r="E185" t="s">
        <v>11</v>
      </c>
      <c r="F185" t="s">
        <v>12</v>
      </c>
      <c r="G185" t="s">
        <v>13</v>
      </c>
      <c r="H185" t="s">
        <v>13</v>
      </c>
      <c r="I185">
        <v>36</v>
      </c>
      <c r="J185">
        <f>ABS((I185-EDA!$A$15)/EDA!$B$15)</f>
        <v>0.42201166760410774</v>
      </c>
      <c r="K185" t="str">
        <f t="shared" si="2"/>
        <v>No</v>
      </c>
      <c r="L185">
        <f>ABS((C185-EDA!$F$15)/EDA!$G$15)</f>
        <v>0.35921403641245159</v>
      </c>
      <c r="M185" t="str">
        <f>IF(moras[[#This Row],[Z-Score Salario]]&gt;1.96, "Sí", "No")</f>
        <v>No</v>
      </c>
      <c r="N185" s="14">
        <f>IF(ISBLANK(moras[[#This Row],[SALARIO]]), EDA!$M$8, moras[[#This Row],[SALARIO]])</f>
        <v>987935</v>
      </c>
      <c r="O185" s="14">
        <f xml:space="preserve"> IF(ISBLANK(moras[[#This Row],[EDAD]]), EDA!$E$8, moras[[#This Row],[EDAD]])</f>
        <v>36</v>
      </c>
      <c r="P185" s="14" t="str">
        <f>IF(
    OR(ISBLANK(moras[[#This Row],[TIPO_ASEGURAMIENTO]]), moras[[#This Row],[TIPO_ASEGURAMIENTO]]=""),
    EDA!$A$32,
    moras[[#This Row],[TIPO_ASEGURAMIENTO]]
)</f>
        <v>ASALARIADO</v>
      </c>
    </row>
    <row r="186" spans="1:16" x14ac:dyDescent="0.3">
      <c r="A186">
        <v>185</v>
      </c>
      <c r="B186" t="s">
        <v>9</v>
      </c>
      <c r="C186">
        <v>3734653</v>
      </c>
      <c r="D186" t="s">
        <v>10</v>
      </c>
      <c r="E186" t="s">
        <v>16</v>
      </c>
      <c r="F186" t="s">
        <v>12</v>
      </c>
      <c r="G186" t="s">
        <v>13</v>
      </c>
      <c r="H186" t="s">
        <v>13</v>
      </c>
      <c r="I186">
        <v>39</v>
      </c>
      <c r="J186">
        <f>ABS((I186-EDA!$A$15)/EDA!$B$15)</f>
        <v>0.21028567737269524</v>
      </c>
      <c r="K186" t="str">
        <f t="shared" si="2"/>
        <v>No</v>
      </c>
      <c r="L186">
        <f>ABS((C186-EDA!$F$15)/EDA!$G$15)</f>
        <v>0.31350670995071317</v>
      </c>
      <c r="M186" t="str">
        <f>IF(moras[[#This Row],[Z-Score Salario]]&gt;1.96, "Sí", "No")</f>
        <v>No</v>
      </c>
      <c r="N186" s="14">
        <f>IF(ISBLANK(moras[[#This Row],[SALARIO]]), EDA!$M$8, moras[[#This Row],[SALARIO]])</f>
        <v>3734653</v>
      </c>
      <c r="O186" s="14">
        <f xml:space="preserve"> IF(ISBLANK(moras[[#This Row],[EDAD]]), EDA!$E$8, moras[[#This Row],[EDAD]])</f>
        <v>39</v>
      </c>
      <c r="P186" s="14" t="str">
        <f>IF(
    OR(ISBLANK(moras[[#This Row],[TIPO_ASEGURAMIENTO]]), moras[[#This Row],[TIPO_ASEGURAMIENTO]]=""),
    EDA!$A$32,
    moras[[#This Row],[TIPO_ASEGURAMIENTO]]
)</f>
        <v>ASALARIADO</v>
      </c>
    </row>
    <row r="187" spans="1:16" x14ac:dyDescent="0.3">
      <c r="A187">
        <v>186</v>
      </c>
      <c r="B187" t="s">
        <v>9</v>
      </c>
      <c r="C187">
        <v>165495</v>
      </c>
      <c r="D187" t="s">
        <v>10</v>
      </c>
      <c r="E187" t="s">
        <v>16</v>
      </c>
      <c r="F187" t="s">
        <v>12</v>
      </c>
      <c r="G187" t="s">
        <v>13</v>
      </c>
      <c r="H187" t="s">
        <v>13</v>
      </c>
      <c r="I187">
        <v>59</v>
      </c>
      <c r="J187">
        <f>ABS((I187-EDA!$A$15)/EDA!$B$15)</f>
        <v>1.2012209241700549</v>
      </c>
      <c r="K187" t="str">
        <f t="shared" si="2"/>
        <v>No</v>
      </c>
      <c r="L187">
        <f>ABS((C187-EDA!$F$15)/EDA!$G$15)</f>
        <v>0.37290001858287902</v>
      </c>
      <c r="M187" t="str">
        <f>IF(moras[[#This Row],[Z-Score Salario]]&gt;1.96, "Sí", "No")</f>
        <v>No</v>
      </c>
      <c r="N187" s="14">
        <f>IF(ISBLANK(moras[[#This Row],[SALARIO]]), EDA!$M$8, moras[[#This Row],[SALARIO]])</f>
        <v>165495</v>
      </c>
      <c r="O187" s="14">
        <f xml:space="preserve"> IF(ISBLANK(moras[[#This Row],[EDAD]]), EDA!$E$8, moras[[#This Row],[EDAD]])</f>
        <v>59</v>
      </c>
      <c r="P187" s="14" t="str">
        <f>IF(
    OR(ISBLANK(moras[[#This Row],[TIPO_ASEGURAMIENTO]]), moras[[#This Row],[TIPO_ASEGURAMIENTO]]=""),
    EDA!$A$32,
    moras[[#This Row],[TIPO_ASEGURAMIENTO]]
)</f>
        <v>ASALARIADO</v>
      </c>
    </row>
    <row r="188" spans="1:16" x14ac:dyDescent="0.3">
      <c r="A188">
        <v>187</v>
      </c>
      <c r="B188" t="s">
        <v>15</v>
      </c>
      <c r="C188">
        <v>297046</v>
      </c>
      <c r="D188" t="s">
        <v>17</v>
      </c>
      <c r="E188" t="s">
        <v>16</v>
      </c>
      <c r="F188" t="s">
        <v>12</v>
      </c>
      <c r="G188" t="s">
        <v>13</v>
      </c>
      <c r="H188" t="s">
        <v>13</v>
      </c>
      <c r="I188">
        <v>64</v>
      </c>
      <c r="J188">
        <f>ABS((I188-EDA!$A$15)/EDA!$B$15)</f>
        <v>1.5540975745557424</v>
      </c>
      <c r="K188" t="str">
        <f t="shared" si="2"/>
        <v>No</v>
      </c>
      <c r="L188">
        <f>ABS((C188-EDA!$F$15)/EDA!$G$15)</f>
        <v>0.37071091707942361</v>
      </c>
      <c r="M188" t="str">
        <f>IF(moras[[#This Row],[Z-Score Salario]]&gt;1.96, "Sí", "No")</f>
        <v>No</v>
      </c>
      <c r="N188" s="14">
        <f>IF(ISBLANK(moras[[#This Row],[SALARIO]]), EDA!$M$8, moras[[#This Row],[SALARIO]])</f>
        <v>297046</v>
      </c>
      <c r="O188" s="14">
        <f xml:space="preserve"> IF(ISBLANK(moras[[#This Row],[EDAD]]), EDA!$E$8, moras[[#This Row],[EDAD]])</f>
        <v>64</v>
      </c>
      <c r="P188" s="14" t="str">
        <f>IF(
    OR(ISBLANK(moras[[#This Row],[TIPO_ASEGURAMIENTO]]), moras[[#This Row],[TIPO_ASEGURAMIENTO]]=""),
    EDA!$A$32,
    moras[[#This Row],[TIPO_ASEGURAMIENTO]]
)</f>
        <v>ASEGURADO VOLUNTARIO</v>
      </c>
    </row>
    <row r="189" spans="1:16" x14ac:dyDescent="0.3">
      <c r="A189">
        <v>188</v>
      </c>
      <c r="B189" t="s">
        <v>15</v>
      </c>
      <c r="C189">
        <v>2050000</v>
      </c>
      <c r="D189" t="s">
        <v>10</v>
      </c>
      <c r="E189" t="s">
        <v>16</v>
      </c>
      <c r="F189" t="s">
        <v>12</v>
      </c>
      <c r="G189" t="s">
        <v>13</v>
      </c>
      <c r="H189" t="s">
        <v>13</v>
      </c>
      <c r="I189">
        <v>46</v>
      </c>
      <c r="J189">
        <f>ABS((I189-EDA!$A$15)/EDA!$B$15)</f>
        <v>0.2837416331672673</v>
      </c>
      <c r="K189" t="str">
        <f t="shared" si="2"/>
        <v>No</v>
      </c>
      <c r="L189">
        <f>ABS((C189-EDA!$F$15)/EDA!$G$15)</f>
        <v>0.34154052508781391</v>
      </c>
      <c r="M189" t="str">
        <f>IF(moras[[#This Row],[Z-Score Salario]]&gt;1.96, "Sí", "No")</f>
        <v>No</v>
      </c>
      <c r="N189" s="14">
        <f>IF(ISBLANK(moras[[#This Row],[SALARIO]]), EDA!$M$8, moras[[#This Row],[SALARIO]])</f>
        <v>2050000</v>
      </c>
      <c r="O189" s="14">
        <f xml:space="preserve"> IF(ISBLANK(moras[[#This Row],[EDAD]]), EDA!$E$8, moras[[#This Row],[EDAD]])</f>
        <v>46</v>
      </c>
      <c r="P189" s="14" t="str">
        <f>IF(
    OR(ISBLANK(moras[[#This Row],[TIPO_ASEGURAMIENTO]]), moras[[#This Row],[TIPO_ASEGURAMIENTO]]=""),
    EDA!$A$32,
    moras[[#This Row],[TIPO_ASEGURAMIENTO]]
)</f>
        <v>ASALARIADO</v>
      </c>
    </row>
    <row r="190" spans="1:16" x14ac:dyDescent="0.3">
      <c r="A190">
        <v>189</v>
      </c>
      <c r="B190" t="s">
        <v>15</v>
      </c>
      <c r="C190">
        <v>297045</v>
      </c>
      <c r="D190" t="s">
        <v>18</v>
      </c>
      <c r="E190" t="s">
        <v>16</v>
      </c>
      <c r="F190" t="s">
        <v>12</v>
      </c>
      <c r="G190" t="s">
        <v>13</v>
      </c>
      <c r="H190" t="s">
        <v>12</v>
      </c>
      <c r="I190">
        <v>38</v>
      </c>
      <c r="J190">
        <f>ABS((I190-EDA!$A$15)/EDA!$B$15)</f>
        <v>0.28086100744983278</v>
      </c>
      <c r="K190" t="str">
        <f t="shared" si="2"/>
        <v>No</v>
      </c>
      <c r="L190">
        <f>ABS((C190-EDA!$F$15)/EDA!$G$15)</f>
        <v>0.37071093372012948</v>
      </c>
      <c r="M190" t="str">
        <f>IF(moras[[#This Row],[Z-Score Salario]]&gt;1.96, "Sí", "No")</f>
        <v>No</v>
      </c>
      <c r="N190" s="14">
        <f>IF(ISBLANK(moras[[#This Row],[SALARIO]]), EDA!$M$8, moras[[#This Row],[SALARIO]])</f>
        <v>297045</v>
      </c>
      <c r="O190" s="14">
        <f xml:space="preserve"> IF(ISBLANK(moras[[#This Row],[EDAD]]), EDA!$E$8, moras[[#This Row],[EDAD]])</f>
        <v>38</v>
      </c>
      <c r="P190" s="14" t="str">
        <f>IF(
    OR(ISBLANK(moras[[#This Row],[TIPO_ASEGURAMIENTO]]), moras[[#This Row],[TIPO_ASEGURAMIENTO]]=""),
    EDA!$A$32,
    moras[[#This Row],[TIPO_ASEGURAMIENTO]]
)</f>
        <v>TRABAJADOR INDEPENDIENTE</v>
      </c>
    </row>
    <row r="191" spans="1:16" x14ac:dyDescent="0.3">
      <c r="A191">
        <v>190</v>
      </c>
      <c r="B191" t="s">
        <v>15</v>
      </c>
      <c r="C191">
        <v>297045</v>
      </c>
      <c r="D191" t="s">
        <v>18</v>
      </c>
      <c r="E191" t="s">
        <v>16</v>
      </c>
      <c r="F191" t="s">
        <v>13</v>
      </c>
      <c r="G191" t="s">
        <v>13</v>
      </c>
      <c r="H191" t="s">
        <v>12</v>
      </c>
      <c r="I191">
        <v>42</v>
      </c>
      <c r="J191">
        <f>ABS((I191-EDA!$A$15)/EDA!$B$15)</f>
        <v>1.4403128587172659E-3</v>
      </c>
      <c r="K191" t="str">
        <f t="shared" si="2"/>
        <v>No</v>
      </c>
      <c r="L191">
        <f>ABS((C191-EDA!$F$15)/EDA!$G$15)</f>
        <v>0.37071093372012948</v>
      </c>
      <c r="M191" t="str">
        <f>IF(moras[[#This Row],[Z-Score Salario]]&gt;1.96, "Sí", "No")</f>
        <v>No</v>
      </c>
      <c r="N191" s="14">
        <f>IF(ISBLANK(moras[[#This Row],[SALARIO]]), EDA!$M$8, moras[[#This Row],[SALARIO]])</f>
        <v>297045</v>
      </c>
      <c r="O191" s="14">
        <f xml:space="preserve"> IF(ISBLANK(moras[[#This Row],[EDAD]]), EDA!$E$8, moras[[#This Row],[EDAD]])</f>
        <v>42</v>
      </c>
      <c r="P191" s="14" t="str">
        <f>IF(
    OR(ISBLANK(moras[[#This Row],[TIPO_ASEGURAMIENTO]]), moras[[#This Row],[TIPO_ASEGURAMIENTO]]=""),
    EDA!$A$32,
    moras[[#This Row],[TIPO_ASEGURAMIENTO]]
)</f>
        <v>TRABAJADOR INDEPENDIENTE</v>
      </c>
    </row>
    <row r="192" spans="1:16" x14ac:dyDescent="0.3">
      <c r="A192">
        <v>191</v>
      </c>
      <c r="B192" t="s">
        <v>15</v>
      </c>
      <c r="C192">
        <v>405063</v>
      </c>
      <c r="D192" t="s">
        <v>18</v>
      </c>
      <c r="E192" t="s">
        <v>16</v>
      </c>
      <c r="F192" t="s">
        <v>12</v>
      </c>
      <c r="G192" t="s">
        <v>13</v>
      </c>
      <c r="H192" t="s">
        <v>12</v>
      </c>
      <c r="I192">
        <v>69</v>
      </c>
      <c r="J192">
        <f>ABS((I192-EDA!$A$15)/EDA!$B$15)</f>
        <v>1.9069742249414299</v>
      </c>
      <c r="K192" t="str">
        <f t="shared" si="2"/>
        <v>No</v>
      </c>
      <c r="L192">
        <f>ABS((C192-EDA!$F$15)/EDA!$G$15)</f>
        <v>0.3689134379489058</v>
      </c>
      <c r="M192" t="str">
        <f>IF(moras[[#This Row],[Z-Score Salario]]&gt;1.96, "Sí", "No")</f>
        <v>No</v>
      </c>
      <c r="N192" s="14">
        <f>IF(ISBLANK(moras[[#This Row],[SALARIO]]), EDA!$M$8, moras[[#This Row],[SALARIO]])</f>
        <v>405063</v>
      </c>
      <c r="O192" s="14">
        <f xml:space="preserve"> IF(ISBLANK(moras[[#This Row],[EDAD]]), EDA!$E$8, moras[[#This Row],[EDAD]])</f>
        <v>69</v>
      </c>
      <c r="P192" s="14" t="str">
        <f>IF(
    OR(ISBLANK(moras[[#This Row],[TIPO_ASEGURAMIENTO]]), moras[[#This Row],[TIPO_ASEGURAMIENTO]]=""),
    EDA!$A$32,
    moras[[#This Row],[TIPO_ASEGURAMIENTO]]
)</f>
        <v>TRABAJADOR INDEPENDIENTE</v>
      </c>
    </row>
    <row r="193" spans="1:16" x14ac:dyDescent="0.3">
      <c r="A193">
        <v>192</v>
      </c>
      <c r="B193" t="s">
        <v>15</v>
      </c>
      <c r="C193">
        <v>49620833</v>
      </c>
      <c r="D193" t="s">
        <v>10</v>
      </c>
      <c r="E193" t="s">
        <v>16</v>
      </c>
      <c r="F193" t="s">
        <v>12</v>
      </c>
      <c r="G193" t="s">
        <v>12</v>
      </c>
      <c r="H193" t="s">
        <v>13</v>
      </c>
      <c r="I193">
        <v>45</v>
      </c>
      <c r="J193">
        <f>ABS((I193-EDA!$A$15)/EDA!$B$15)</f>
        <v>0.21316630309012977</v>
      </c>
      <c r="K193" t="str">
        <f t="shared" si="2"/>
        <v>No</v>
      </c>
      <c r="L193">
        <f>ABS((C193-EDA!$F$15)/EDA!$G$15)</f>
        <v>0.45007171686343067</v>
      </c>
      <c r="M193" t="str">
        <f>IF(moras[[#This Row],[Z-Score Salario]]&gt;1.96, "Sí", "No")</f>
        <v>No</v>
      </c>
      <c r="N193" s="14">
        <f>IF(ISBLANK(moras[[#This Row],[SALARIO]]), EDA!$M$8, moras[[#This Row],[SALARIO]])</f>
        <v>49620833</v>
      </c>
      <c r="O193" s="14">
        <f xml:space="preserve"> IF(ISBLANK(moras[[#This Row],[EDAD]]), EDA!$E$8, moras[[#This Row],[EDAD]])</f>
        <v>45</v>
      </c>
      <c r="P193" s="14" t="str">
        <f>IF(
    OR(ISBLANK(moras[[#This Row],[TIPO_ASEGURAMIENTO]]), moras[[#This Row],[TIPO_ASEGURAMIENTO]]=""),
    EDA!$A$32,
    moras[[#This Row],[TIPO_ASEGURAMIENTO]]
)</f>
        <v>ASALARIADO</v>
      </c>
    </row>
    <row r="194" spans="1:16" x14ac:dyDescent="0.3">
      <c r="A194">
        <v>193</v>
      </c>
      <c r="B194" t="s">
        <v>9</v>
      </c>
      <c r="C194">
        <v>203315005</v>
      </c>
      <c r="D194" t="s">
        <v>19</v>
      </c>
      <c r="E194" t="s">
        <v>16</v>
      </c>
      <c r="F194" t="s">
        <v>12</v>
      </c>
      <c r="G194" t="s">
        <v>13</v>
      </c>
      <c r="H194" t="s">
        <v>13</v>
      </c>
      <c r="I194">
        <v>46</v>
      </c>
      <c r="J194">
        <f>ABS((I194-EDA!$A$15)/EDA!$B$15)</f>
        <v>0.2837416331672673</v>
      </c>
      <c r="K194" t="str">
        <f t="shared" ref="K194:K257" si="3">IF(J194 &gt;  1.96, "Sí","No")</f>
        <v>No</v>
      </c>
      <c r="L194">
        <f>ABS((C194-EDA!$F$15)/EDA!$G$15)</f>
        <v>3.0076512335340806</v>
      </c>
      <c r="M194" t="str">
        <f>IF(moras[[#This Row],[Z-Score Salario]]&gt;1.96, "Sí", "No")</f>
        <v>Sí</v>
      </c>
      <c r="N194" s="14">
        <f>IF(ISBLANK(moras[[#This Row],[SALARIO]]), EDA!$M$8, moras[[#This Row],[SALARIO]])</f>
        <v>203315005</v>
      </c>
      <c r="O194" s="14">
        <f xml:space="preserve"> IF(ISBLANK(moras[[#This Row],[EDAD]]), EDA!$E$8, moras[[#This Row],[EDAD]])</f>
        <v>46</v>
      </c>
      <c r="P194" s="14" t="str">
        <f>IF(
    OR(ISBLANK(moras[[#This Row],[TIPO_ASEGURAMIENTO]]), moras[[#This Row],[TIPO_ASEGURAMIENTO]]=""),
    EDA!$A$32,
    moras[[#This Row],[TIPO_ASEGURAMIENTO]]
)</f>
        <v>CONVENIOS ESPECIALES DE TRABAJADORES INDEPENDIENTES</v>
      </c>
    </row>
    <row r="195" spans="1:16" x14ac:dyDescent="0.3">
      <c r="A195">
        <v>194</v>
      </c>
      <c r="B195" t="s">
        <v>15</v>
      </c>
      <c r="C195">
        <v>155250</v>
      </c>
      <c r="D195" t="s">
        <v>10</v>
      </c>
      <c r="E195" t="s">
        <v>16</v>
      </c>
      <c r="F195" t="s">
        <v>12</v>
      </c>
      <c r="G195" t="s">
        <v>13</v>
      </c>
      <c r="H195" t="s">
        <v>13</v>
      </c>
      <c r="I195">
        <v>36</v>
      </c>
      <c r="J195">
        <f>ABS((I195-EDA!$A$15)/EDA!$B$15)</f>
        <v>0.42201166760410774</v>
      </c>
      <c r="K195" t="str">
        <f t="shared" si="3"/>
        <v>No</v>
      </c>
      <c r="L195">
        <f>ABS((C195-EDA!$F$15)/EDA!$G$15)</f>
        <v>0.37307050261494951</v>
      </c>
      <c r="M195" t="str">
        <f>IF(moras[[#This Row],[Z-Score Salario]]&gt;1.96, "Sí", "No")</f>
        <v>No</v>
      </c>
      <c r="N195" s="14">
        <f>IF(ISBLANK(moras[[#This Row],[SALARIO]]), EDA!$M$8, moras[[#This Row],[SALARIO]])</f>
        <v>155250</v>
      </c>
      <c r="O195" s="14">
        <f xml:space="preserve"> IF(ISBLANK(moras[[#This Row],[EDAD]]), EDA!$E$8, moras[[#This Row],[EDAD]])</f>
        <v>36</v>
      </c>
      <c r="P195" s="14" t="str">
        <f>IF(
    OR(ISBLANK(moras[[#This Row],[TIPO_ASEGURAMIENTO]]), moras[[#This Row],[TIPO_ASEGURAMIENTO]]=""),
    EDA!$A$32,
    moras[[#This Row],[TIPO_ASEGURAMIENTO]]
)</f>
        <v>ASALARIADO</v>
      </c>
    </row>
    <row r="196" spans="1:16" x14ac:dyDescent="0.3">
      <c r="A196">
        <v>195</v>
      </c>
      <c r="B196" t="s">
        <v>15</v>
      </c>
      <c r="C196">
        <v>278030</v>
      </c>
      <c r="D196" t="s">
        <v>18</v>
      </c>
      <c r="E196" t="s">
        <v>16</v>
      </c>
      <c r="F196" t="s">
        <v>12</v>
      </c>
      <c r="G196" t="s">
        <v>13</v>
      </c>
      <c r="H196" t="s">
        <v>12</v>
      </c>
      <c r="I196">
        <v>56</v>
      </c>
      <c r="J196">
        <f>ABS((I196-EDA!$A$15)/EDA!$B$15)</f>
        <v>0.9894949339386423</v>
      </c>
      <c r="K196" t="str">
        <f t="shared" si="3"/>
        <v>No</v>
      </c>
      <c r="L196">
        <f>ABS((C196-EDA!$F$15)/EDA!$G$15)</f>
        <v>0.37102735674304993</v>
      </c>
      <c r="M196" t="str">
        <f>IF(moras[[#This Row],[Z-Score Salario]]&gt;1.96, "Sí", "No")</f>
        <v>No</v>
      </c>
      <c r="N196" s="14">
        <f>IF(ISBLANK(moras[[#This Row],[SALARIO]]), EDA!$M$8, moras[[#This Row],[SALARIO]])</f>
        <v>278030</v>
      </c>
      <c r="O196" s="14">
        <f xml:space="preserve"> IF(ISBLANK(moras[[#This Row],[EDAD]]), EDA!$E$8, moras[[#This Row],[EDAD]])</f>
        <v>56</v>
      </c>
      <c r="P196" s="14" t="str">
        <f>IF(
    OR(ISBLANK(moras[[#This Row],[TIPO_ASEGURAMIENTO]]), moras[[#This Row],[TIPO_ASEGURAMIENTO]]=""),
    EDA!$A$32,
    moras[[#This Row],[TIPO_ASEGURAMIENTO]]
)</f>
        <v>TRABAJADOR INDEPENDIENTE</v>
      </c>
    </row>
    <row r="197" spans="1:16" x14ac:dyDescent="0.3">
      <c r="A197">
        <v>196</v>
      </c>
      <c r="B197" t="s">
        <v>15</v>
      </c>
      <c r="C197">
        <v>846788</v>
      </c>
      <c r="D197" t="s">
        <v>10</v>
      </c>
      <c r="E197" t="s">
        <v>11</v>
      </c>
      <c r="F197" t="s">
        <v>12</v>
      </c>
      <c r="G197" t="s">
        <v>13</v>
      </c>
      <c r="H197" t="s">
        <v>12</v>
      </c>
      <c r="I197">
        <v>31</v>
      </c>
      <c r="J197">
        <f>ABS((I197-EDA!$A$15)/EDA!$B$15)</f>
        <v>0.77488831798979529</v>
      </c>
      <c r="K197" t="str">
        <f t="shared" si="3"/>
        <v>No</v>
      </c>
      <c r="L197">
        <f>ABS((C197-EDA!$F$15)/EDA!$G$15)</f>
        <v>0.36156282212984048</v>
      </c>
      <c r="M197" t="str">
        <f>IF(moras[[#This Row],[Z-Score Salario]]&gt;1.96, "Sí", "No")</f>
        <v>No</v>
      </c>
      <c r="N197" s="14">
        <f>IF(ISBLANK(moras[[#This Row],[SALARIO]]), EDA!$M$8, moras[[#This Row],[SALARIO]])</f>
        <v>846788</v>
      </c>
      <c r="O197" s="14">
        <f xml:space="preserve"> IF(ISBLANK(moras[[#This Row],[EDAD]]), EDA!$E$8, moras[[#This Row],[EDAD]])</f>
        <v>31</v>
      </c>
      <c r="P197" s="14" t="str">
        <f>IF(
    OR(ISBLANK(moras[[#This Row],[TIPO_ASEGURAMIENTO]]), moras[[#This Row],[TIPO_ASEGURAMIENTO]]=""),
    EDA!$A$32,
    moras[[#This Row],[TIPO_ASEGURAMIENTO]]
)</f>
        <v>ASALARIADO</v>
      </c>
    </row>
    <row r="198" spans="1:16" x14ac:dyDescent="0.3">
      <c r="A198">
        <v>197</v>
      </c>
      <c r="B198" t="s">
        <v>9</v>
      </c>
      <c r="C198">
        <v>300018</v>
      </c>
      <c r="D198" t="s">
        <v>18</v>
      </c>
      <c r="E198" t="s">
        <v>16</v>
      </c>
      <c r="F198" t="s">
        <v>12</v>
      </c>
      <c r="G198" t="s">
        <v>13</v>
      </c>
      <c r="H198" t="s">
        <v>13</v>
      </c>
      <c r="I198">
        <v>32</v>
      </c>
      <c r="J198">
        <f>ABS((I198-EDA!$A$15)/EDA!$B$15)</f>
        <v>0.70431298791265773</v>
      </c>
      <c r="K198" t="str">
        <f t="shared" si="3"/>
        <v>No</v>
      </c>
      <c r="L198">
        <f>ABS((C198-EDA!$F$15)/EDA!$G$15)</f>
        <v>0.37066146090145252</v>
      </c>
      <c r="M198" t="str">
        <f>IF(moras[[#This Row],[Z-Score Salario]]&gt;1.96, "Sí", "No")</f>
        <v>No</v>
      </c>
      <c r="N198" s="14">
        <f>IF(ISBLANK(moras[[#This Row],[SALARIO]]), EDA!$M$8, moras[[#This Row],[SALARIO]])</f>
        <v>300018</v>
      </c>
      <c r="O198" s="14">
        <f xml:space="preserve"> IF(ISBLANK(moras[[#This Row],[EDAD]]), EDA!$E$8, moras[[#This Row],[EDAD]])</f>
        <v>32</v>
      </c>
      <c r="P198" s="14" t="str">
        <f>IF(
    OR(ISBLANK(moras[[#This Row],[TIPO_ASEGURAMIENTO]]), moras[[#This Row],[TIPO_ASEGURAMIENTO]]=""),
    EDA!$A$32,
    moras[[#This Row],[TIPO_ASEGURAMIENTO]]
)</f>
        <v>TRABAJADOR INDEPENDIENTE</v>
      </c>
    </row>
    <row r="199" spans="1:16" x14ac:dyDescent="0.3">
      <c r="A199">
        <v>198</v>
      </c>
      <c r="B199" t="s">
        <v>15</v>
      </c>
      <c r="C199">
        <v>1476004</v>
      </c>
      <c r="D199" t="s">
        <v>14</v>
      </c>
      <c r="E199" t="s">
        <v>11</v>
      </c>
      <c r="F199" t="s">
        <v>12</v>
      </c>
      <c r="G199" t="s">
        <v>13</v>
      </c>
      <c r="H199" t="s">
        <v>13</v>
      </c>
      <c r="I199">
        <v>68</v>
      </c>
      <c r="J199">
        <f>ABS((I199-EDA!$A$15)/EDA!$B$15)</f>
        <v>1.8363988948642924</v>
      </c>
      <c r="K199" t="str">
        <f t="shared" si="3"/>
        <v>No</v>
      </c>
      <c r="L199">
        <f>ABS((C199-EDA!$F$15)/EDA!$G$15)</f>
        <v>0.35109222371859145</v>
      </c>
      <c r="M199" t="str">
        <f>IF(moras[[#This Row],[Z-Score Salario]]&gt;1.96, "Sí", "No")</f>
        <v>No</v>
      </c>
      <c r="N199" s="14">
        <f>IF(ISBLANK(moras[[#This Row],[SALARIO]]), EDA!$M$8, moras[[#This Row],[SALARIO]])</f>
        <v>1476004</v>
      </c>
      <c r="O199" s="14">
        <f xml:space="preserve"> IF(ISBLANK(moras[[#This Row],[EDAD]]), EDA!$E$8, moras[[#This Row],[EDAD]])</f>
        <v>68</v>
      </c>
      <c r="P199" s="14" t="str">
        <f>IF(
    OR(ISBLANK(moras[[#This Row],[TIPO_ASEGURAMIENTO]]), moras[[#This Row],[TIPO_ASEGURAMIENTO]]=""),
    EDA!$A$32,
    moras[[#This Row],[TIPO_ASEGURAMIENTO]]
)</f>
        <v>PENSIONADOS EN SU PROPIO SISTEMA</v>
      </c>
    </row>
    <row r="200" spans="1:16" x14ac:dyDescent="0.3">
      <c r="A200">
        <v>199</v>
      </c>
      <c r="B200" t="s">
        <v>9</v>
      </c>
      <c r="C200">
        <v>174167</v>
      </c>
      <c r="D200" t="s">
        <v>10</v>
      </c>
      <c r="E200" t="s">
        <v>16</v>
      </c>
      <c r="F200" t="s">
        <v>12</v>
      </c>
      <c r="G200" t="s">
        <v>12</v>
      </c>
      <c r="H200" t="s">
        <v>13</v>
      </c>
      <c r="I200">
        <v>32</v>
      </c>
      <c r="J200">
        <f>ABS((I200-EDA!$A$15)/EDA!$B$15)</f>
        <v>0.70431298791265773</v>
      </c>
      <c r="K200" t="str">
        <f t="shared" si="3"/>
        <v>No</v>
      </c>
      <c r="L200">
        <f>ABS((C200-EDA!$F$15)/EDA!$G$15)</f>
        <v>0.37275571038120847</v>
      </c>
      <c r="M200" t="str">
        <f>IF(moras[[#This Row],[Z-Score Salario]]&gt;1.96, "Sí", "No")</f>
        <v>No</v>
      </c>
      <c r="N200" s="14">
        <f>IF(ISBLANK(moras[[#This Row],[SALARIO]]), EDA!$M$8, moras[[#This Row],[SALARIO]])</f>
        <v>174167</v>
      </c>
      <c r="O200" s="14">
        <f xml:space="preserve"> IF(ISBLANK(moras[[#This Row],[EDAD]]), EDA!$E$8, moras[[#This Row],[EDAD]])</f>
        <v>32</v>
      </c>
      <c r="P200" s="14" t="str">
        <f>IF(
    OR(ISBLANK(moras[[#This Row],[TIPO_ASEGURAMIENTO]]), moras[[#This Row],[TIPO_ASEGURAMIENTO]]=""),
    EDA!$A$32,
    moras[[#This Row],[TIPO_ASEGURAMIENTO]]
)</f>
        <v>ASALARIADO</v>
      </c>
    </row>
    <row r="201" spans="1:16" x14ac:dyDescent="0.3">
      <c r="A201">
        <v>200</v>
      </c>
      <c r="B201" t="s">
        <v>9</v>
      </c>
      <c r="C201">
        <v>62203584</v>
      </c>
      <c r="D201" t="s">
        <v>10</v>
      </c>
      <c r="E201" t="s">
        <v>11</v>
      </c>
      <c r="F201" t="s">
        <v>12</v>
      </c>
      <c r="G201" t="s">
        <v>13</v>
      </c>
      <c r="H201" t="s">
        <v>13</v>
      </c>
      <c r="I201">
        <v>27</v>
      </c>
      <c r="J201">
        <f>ABS((I201-EDA!$A$15)/EDA!$B$15)</f>
        <v>1.0571896382983452</v>
      </c>
      <c r="K201" t="str">
        <f t="shared" si="3"/>
        <v>No</v>
      </c>
      <c r="L201">
        <f>ABS((C201-EDA!$F$15)/EDA!$G$15)</f>
        <v>0.65945757582083564</v>
      </c>
      <c r="M201" t="str">
        <f>IF(moras[[#This Row],[Z-Score Salario]]&gt;1.96, "Sí", "No")</f>
        <v>No</v>
      </c>
      <c r="N201" s="14">
        <f>IF(ISBLANK(moras[[#This Row],[SALARIO]]), EDA!$M$8, moras[[#This Row],[SALARIO]])</f>
        <v>62203584</v>
      </c>
      <c r="O201" s="14">
        <f xml:space="preserve"> IF(ISBLANK(moras[[#This Row],[EDAD]]), EDA!$E$8, moras[[#This Row],[EDAD]])</f>
        <v>27</v>
      </c>
      <c r="P201" s="14" t="str">
        <f>IF(
    OR(ISBLANK(moras[[#This Row],[TIPO_ASEGURAMIENTO]]), moras[[#This Row],[TIPO_ASEGURAMIENTO]]=""),
    EDA!$A$32,
    moras[[#This Row],[TIPO_ASEGURAMIENTO]]
)</f>
        <v>ASALARIADO</v>
      </c>
    </row>
    <row r="202" spans="1:16" x14ac:dyDescent="0.3">
      <c r="A202">
        <v>201</v>
      </c>
      <c r="B202" t="s">
        <v>9</v>
      </c>
      <c r="C202">
        <v>563607</v>
      </c>
      <c r="D202" t="s">
        <v>18</v>
      </c>
      <c r="E202" t="s">
        <v>16</v>
      </c>
      <c r="F202" t="s">
        <v>12</v>
      </c>
      <c r="G202" t="s">
        <v>13</v>
      </c>
      <c r="H202" t="s">
        <v>12</v>
      </c>
      <c r="I202">
        <v>72</v>
      </c>
      <c r="J202">
        <f>ABS((I202-EDA!$A$15)/EDA!$B$15)</f>
        <v>2.1187002151728422</v>
      </c>
      <c r="K202" t="str">
        <f t="shared" si="3"/>
        <v>Sí</v>
      </c>
      <c r="L202">
        <f>ABS((C202-EDA!$F$15)/EDA!$G$15)</f>
        <v>0.36627515387076237</v>
      </c>
      <c r="M202" t="str">
        <f>IF(moras[[#This Row],[Z-Score Salario]]&gt;1.96, "Sí", "No")</f>
        <v>No</v>
      </c>
      <c r="N202" s="14">
        <f>IF(ISBLANK(moras[[#This Row],[SALARIO]]), EDA!$M$8, moras[[#This Row],[SALARIO]])</f>
        <v>563607</v>
      </c>
      <c r="O202" s="14">
        <f xml:space="preserve"> IF(ISBLANK(moras[[#This Row],[EDAD]]), EDA!$E$8, moras[[#This Row],[EDAD]])</f>
        <v>72</v>
      </c>
      <c r="P202" s="14" t="str">
        <f>IF(
    OR(ISBLANK(moras[[#This Row],[TIPO_ASEGURAMIENTO]]), moras[[#This Row],[TIPO_ASEGURAMIENTO]]=""),
    EDA!$A$32,
    moras[[#This Row],[TIPO_ASEGURAMIENTO]]
)</f>
        <v>TRABAJADOR INDEPENDIENTE</v>
      </c>
    </row>
    <row r="203" spans="1:16" x14ac:dyDescent="0.3">
      <c r="A203">
        <v>202</v>
      </c>
      <c r="B203" t="s">
        <v>15</v>
      </c>
      <c r="C203">
        <v>38619046</v>
      </c>
      <c r="D203" t="s">
        <v>10</v>
      </c>
      <c r="E203" t="s">
        <v>16</v>
      </c>
      <c r="F203" t="s">
        <v>12</v>
      </c>
      <c r="G203" t="s">
        <v>13</v>
      </c>
      <c r="H203" t="s">
        <v>13</v>
      </c>
      <c r="I203">
        <v>33</v>
      </c>
      <c r="J203">
        <f>ABS((I203-EDA!$A$15)/EDA!$B$15)</f>
        <v>0.63373765783552027</v>
      </c>
      <c r="K203" t="str">
        <f t="shared" si="3"/>
        <v>No</v>
      </c>
      <c r="L203">
        <f>ABS((C203-EDA!$F$15)/EDA!$G$15)</f>
        <v>0.26699421488779662</v>
      </c>
      <c r="M203" t="str">
        <f>IF(moras[[#This Row],[Z-Score Salario]]&gt;1.96, "Sí", "No")</f>
        <v>No</v>
      </c>
      <c r="N203" s="14">
        <f>IF(ISBLANK(moras[[#This Row],[SALARIO]]), EDA!$M$8, moras[[#This Row],[SALARIO]])</f>
        <v>38619046</v>
      </c>
      <c r="O203" s="14">
        <f xml:space="preserve"> IF(ISBLANK(moras[[#This Row],[EDAD]]), EDA!$E$8, moras[[#This Row],[EDAD]])</f>
        <v>33</v>
      </c>
      <c r="P203" s="14" t="str">
        <f>IF(
    OR(ISBLANK(moras[[#This Row],[TIPO_ASEGURAMIENTO]]), moras[[#This Row],[TIPO_ASEGURAMIENTO]]=""),
    EDA!$A$32,
    moras[[#This Row],[TIPO_ASEGURAMIENTO]]
)</f>
        <v>ASALARIADO</v>
      </c>
    </row>
    <row r="204" spans="1:16" x14ac:dyDescent="0.3">
      <c r="A204">
        <v>203</v>
      </c>
      <c r="B204" t="s">
        <v>9</v>
      </c>
      <c r="C204">
        <v>378684</v>
      </c>
      <c r="D204" t="s">
        <v>18</v>
      </c>
      <c r="E204" t="s">
        <v>16</v>
      </c>
      <c r="F204" t="s">
        <v>12</v>
      </c>
      <c r="G204" t="s">
        <v>13</v>
      </c>
      <c r="H204" t="s">
        <v>12</v>
      </c>
      <c r="I204">
        <v>38</v>
      </c>
      <c r="J204">
        <f>ABS((I204-EDA!$A$15)/EDA!$B$15)</f>
        <v>0.28086100744983278</v>
      </c>
      <c r="K204" t="str">
        <f t="shared" si="3"/>
        <v>No</v>
      </c>
      <c r="L204">
        <f>ABS((C204-EDA!$F$15)/EDA!$G$15)</f>
        <v>0.36935240313016365</v>
      </c>
      <c r="M204" t="str">
        <f>IF(moras[[#This Row],[Z-Score Salario]]&gt;1.96, "Sí", "No")</f>
        <v>No</v>
      </c>
      <c r="N204" s="14">
        <f>IF(ISBLANK(moras[[#This Row],[SALARIO]]), EDA!$M$8, moras[[#This Row],[SALARIO]])</f>
        <v>378684</v>
      </c>
      <c r="O204" s="14">
        <f xml:space="preserve"> IF(ISBLANK(moras[[#This Row],[EDAD]]), EDA!$E$8, moras[[#This Row],[EDAD]])</f>
        <v>38</v>
      </c>
      <c r="P204" s="14" t="str">
        <f>IF(
    OR(ISBLANK(moras[[#This Row],[TIPO_ASEGURAMIENTO]]), moras[[#This Row],[TIPO_ASEGURAMIENTO]]=""),
    EDA!$A$32,
    moras[[#This Row],[TIPO_ASEGURAMIENTO]]
)</f>
        <v>TRABAJADOR INDEPENDIENTE</v>
      </c>
    </row>
    <row r="205" spans="1:16" x14ac:dyDescent="0.3">
      <c r="A205">
        <v>204</v>
      </c>
      <c r="B205" t="s">
        <v>9</v>
      </c>
      <c r="C205">
        <v>16230572</v>
      </c>
      <c r="D205" t="s">
        <v>10</v>
      </c>
      <c r="E205" t="s">
        <v>16</v>
      </c>
      <c r="F205" t="s">
        <v>12</v>
      </c>
      <c r="G205" t="s">
        <v>13</v>
      </c>
      <c r="H205" t="s">
        <v>13</v>
      </c>
      <c r="I205">
        <v>31</v>
      </c>
      <c r="J205">
        <f>ABS((I205-EDA!$A$15)/EDA!$B$15)</f>
        <v>0.77488831798979529</v>
      </c>
      <c r="K205" t="str">
        <f t="shared" si="3"/>
        <v>No</v>
      </c>
      <c r="L205">
        <f>ABS((C205-EDA!$F$15)/EDA!$G$15)</f>
        <v>0.10556579676907614</v>
      </c>
      <c r="M205" t="str">
        <f>IF(moras[[#This Row],[Z-Score Salario]]&gt;1.96, "Sí", "No")</f>
        <v>No</v>
      </c>
      <c r="N205" s="14">
        <f>IF(ISBLANK(moras[[#This Row],[SALARIO]]), EDA!$M$8, moras[[#This Row],[SALARIO]])</f>
        <v>16230572</v>
      </c>
      <c r="O205" s="14">
        <f xml:space="preserve"> IF(ISBLANK(moras[[#This Row],[EDAD]]), EDA!$E$8, moras[[#This Row],[EDAD]])</f>
        <v>31</v>
      </c>
      <c r="P205" s="14" t="str">
        <f>IF(
    OR(ISBLANK(moras[[#This Row],[TIPO_ASEGURAMIENTO]]), moras[[#This Row],[TIPO_ASEGURAMIENTO]]=""),
    EDA!$A$32,
    moras[[#This Row],[TIPO_ASEGURAMIENTO]]
)</f>
        <v>ASALARIADO</v>
      </c>
    </row>
    <row r="206" spans="1:16" x14ac:dyDescent="0.3">
      <c r="A206">
        <v>205</v>
      </c>
      <c r="B206" t="s">
        <v>15</v>
      </c>
      <c r="C206">
        <v>12683508</v>
      </c>
      <c r="D206" t="s">
        <v>14</v>
      </c>
      <c r="E206" t="s">
        <v>11</v>
      </c>
      <c r="F206" t="s">
        <v>12</v>
      </c>
      <c r="G206" t="s">
        <v>13</v>
      </c>
      <c r="H206" t="s">
        <v>13</v>
      </c>
      <c r="I206">
        <v>67</v>
      </c>
      <c r="J206">
        <f>ABS((I206-EDA!$A$15)/EDA!$B$15)</f>
        <v>1.765823564787155</v>
      </c>
      <c r="K206" t="str">
        <f t="shared" si="3"/>
        <v>No</v>
      </c>
      <c r="L206">
        <f>ABS((C206-EDA!$F$15)/EDA!$G$15)</f>
        <v>0.16459144564481792</v>
      </c>
      <c r="M206" t="str">
        <f>IF(moras[[#This Row],[Z-Score Salario]]&gt;1.96, "Sí", "No")</f>
        <v>No</v>
      </c>
      <c r="N206" s="14">
        <f>IF(ISBLANK(moras[[#This Row],[SALARIO]]), EDA!$M$8, moras[[#This Row],[SALARIO]])</f>
        <v>12683508</v>
      </c>
      <c r="O206" s="14">
        <f xml:space="preserve"> IF(ISBLANK(moras[[#This Row],[EDAD]]), EDA!$E$8, moras[[#This Row],[EDAD]])</f>
        <v>67</v>
      </c>
      <c r="P206" s="14" t="str">
        <f>IF(
    OR(ISBLANK(moras[[#This Row],[TIPO_ASEGURAMIENTO]]), moras[[#This Row],[TIPO_ASEGURAMIENTO]]=""),
    EDA!$A$32,
    moras[[#This Row],[TIPO_ASEGURAMIENTO]]
)</f>
        <v>PENSIONADOS EN SU PROPIO SISTEMA</v>
      </c>
    </row>
    <row r="207" spans="1:16" x14ac:dyDescent="0.3">
      <c r="A207">
        <v>206</v>
      </c>
      <c r="B207" t="s">
        <v>9</v>
      </c>
      <c r="C207">
        <v>404467</v>
      </c>
      <c r="D207" t="s">
        <v>17</v>
      </c>
      <c r="E207" t="s">
        <v>16</v>
      </c>
      <c r="F207" t="s">
        <v>12</v>
      </c>
      <c r="G207" t="s">
        <v>13</v>
      </c>
      <c r="H207" t="s">
        <v>13</v>
      </c>
      <c r="I207">
        <v>64</v>
      </c>
      <c r="J207">
        <f>ABS((I207-EDA!$A$15)/EDA!$B$15)</f>
        <v>1.5540975745557424</v>
      </c>
      <c r="K207" t="str">
        <f t="shared" si="3"/>
        <v>No</v>
      </c>
      <c r="L207">
        <f>ABS((C207-EDA!$F$15)/EDA!$G$15)</f>
        <v>0.36892335580962943</v>
      </c>
      <c r="M207" t="str">
        <f>IF(moras[[#This Row],[Z-Score Salario]]&gt;1.96, "Sí", "No")</f>
        <v>No</v>
      </c>
      <c r="N207" s="14">
        <f>IF(ISBLANK(moras[[#This Row],[SALARIO]]), EDA!$M$8, moras[[#This Row],[SALARIO]])</f>
        <v>404467</v>
      </c>
      <c r="O207" s="14">
        <f xml:space="preserve"> IF(ISBLANK(moras[[#This Row],[EDAD]]), EDA!$E$8, moras[[#This Row],[EDAD]])</f>
        <v>64</v>
      </c>
      <c r="P207" s="14" t="str">
        <f>IF(
    OR(ISBLANK(moras[[#This Row],[TIPO_ASEGURAMIENTO]]), moras[[#This Row],[TIPO_ASEGURAMIENTO]]=""),
    EDA!$A$32,
    moras[[#This Row],[TIPO_ASEGURAMIENTO]]
)</f>
        <v>ASEGURADO VOLUNTARIO</v>
      </c>
    </row>
    <row r="208" spans="1:16" x14ac:dyDescent="0.3">
      <c r="A208">
        <v>207</v>
      </c>
      <c r="B208" t="s">
        <v>9</v>
      </c>
      <c r="C208">
        <v>58651131</v>
      </c>
      <c r="D208" t="s">
        <v>10</v>
      </c>
      <c r="E208" t="s">
        <v>16</v>
      </c>
      <c r="F208" t="s">
        <v>12</v>
      </c>
      <c r="G208" t="s">
        <v>13</v>
      </c>
      <c r="H208" t="s">
        <v>13</v>
      </c>
      <c r="I208">
        <v>24</v>
      </c>
      <c r="J208">
        <f>ABS((I208-EDA!$A$15)/EDA!$B$15)</f>
        <v>1.2689156285297578</v>
      </c>
      <c r="K208" t="str">
        <f t="shared" si="3"/>
        <v>No</v>
      </c>
      <c r="L208">
        <f>ABS((C208-EDA!$F$15)/EDA!$G$15)</f>
        <v>0.60034225018093301</v>
      </c>
      <c r="M208" t="str">
        <f>IF(moras[[#This Row],[Z-Score Salario]]&gt;1.96, "Sí", "No")</f>
        <v>No</v>
      </c>
      <c r="N208" s="14">
        <f>IF(ISBLANK(moras[[#This Row],[SALARIO]]), EDA!$M$8, moras[[#This Row],[SALARIO]])</f>
        <v>58651131</v>
      </c>
      <c r="O208" s="14">
        <f xml:space="preserve"> IF(ISBLANK(moras[[#This Row],[EDAD]]), EDA!$E$8, moras[[#This Row],[EDAD]])</f>
        <v>24</v>
      </c>
      <c r="P208" s="14" t="str">
        <f>IF(
    OR(ISBLANK(moras[[#This Row],[TIPO_ASEGURAMIENTO]]), moras[[#This Row],[TIPO_ASEGURAMIENTO]]=""),
    EDA!$A$32,
    moras[[#This Row],[TIPO_ASEGURAMIENTO]]
)</f>
        <v>ASALARIADO</v>
      </c>
    </row>
    <row r="209" spans="1:16" x14ac:dyDescent="0.3">
      <c r="A209">
        <v>208</v>
      </c>
      <c r="B209" t="s">
        <v>9</v>
      </c>
      <c r="C209">
        <v>8082955</v>
      </c>
      <c r="D209" t="s">
        <v>10</v>
      </c>
      <c r="E209" t="s">
        <v>11</v>
      </c>
      <c r="F209" t="s">
        <v>12</v>
      </c>
      <c r="G209" t="s">
        <v>13</v>
      </c>
      <c r="H209" t="s">
        <v>13</v>
      </c>
      <c r="I209">
        <v>42</v>
      </c>
      <c r="J209">
        <f>ABS((I209-EDA!$A$15)/EDA!$B$15)</f>
        <v>1.4403128587172659E-3</v>
      </c>
      <c r="K209" t="str">
        <f t="shared" si="3"/>
        <v>No</v>
      </c>
      <c r="L209">
        <f>ABS((C209-EDA!$F$15)/EDA!$G$15)</f>
        <v>0.24114789515129437</v>
      </c>
      <c r="M209" t="str">
        <f>IF(moras[[#This Row],[Z-Score Salario]]&gt;1.96, "Sí", "No")</f>
        <v>No</v>
      </c>
      <c r="N209" s="14">
        <f>IF(ISBLANK(moras[[#This Row],[SALARIO]]), EDA!$M$8, moras[[#This Row],[SALARIO]])</f>
        <v>8082955</v>
      </c>
      <c r="O209" s="14">
        <f xml:space="preserve"> IF(ISBLANK(moras[[#This Row],[EDAD]]), EDA!$E$8, moras[[#This Row],[EDAD]])</f>
        <v>42</v>
      </c>
      <c r="P209" s="14" t="str">
        <f>IF(
    OR(ISBLANK(moras[[#This Row],[TIPO_ASEGURAMIENTO]]), moras[[#This Row],[TIPO_ASEGURAMIENTO]]=""),
    EDA!$A$32,
    moras[[#This Row],[TIPO_ASEGURAMIENTO]]
)</f>
        <v>ASALARIADO</v>
      </c>
    </row>
    <row r="210" spans="1:16" x14ac:dyDescent="0.3">
      <c r="A210">
        <v>209</v>
      </c>
      <c r="B210" t="s">
        <v>15</v>
      </c>
      <c r="C210">
        <v>81981667</v>
      </c>
      <c r="D210" t="s">
        <v>10</v>
      </c>
      <c r="E210" t="s">
        <v>16</v>
      </c>
      <c r="F210" t="s">
        <v>12</v>
      </c>
      <c r="G210" t="s">
        <v>12</v>
      </c>
      <c r="H210" t="s">
        <v>13</v>
      </c>
      <c r="I210">
        <v>32</v>
      </c>
      <c r="J210">
        <f>ABS((I210-EDA!$A$15)/EDA!$B$15)</f>
        <v>0.70431298791265773</v>
      </c>
      <c r="K210" t="str">
        <f t="shared" si="3"/>
        <v>No</v>
      </c>
      <c r="L210">
        <f>ABS((C210-EDA!$F$15)/EDA!$G$15)</f>
        <v>0.98857883853086215</v>
      </c>
      <c r="M210" t="str">
        <f>IF(moras[[#This Row],[Z-Score Salario]]&gt;1.96, "Sí", "No")</f>
        <v>No</v>
      </c>
      <c r="N210" s="14">
        <f>IF(ISBLANK(moras[[#This Row],[SALARIO]]), EDA!$M$8, moras[[#This Row],[SALARIO]])</f>
        <v>81981667</v>
      </c>
      <c r="O210" s="14">
        <f xml:space="preserve"> IF(ISBLANK(moras[[#This Row],[EDAD]]), EDA!$E$8, moras[[#This Row],[EDAD]])</f>
        <v>32</v>
      </c>
      <c r="P210" s="14" t="str">
        <f>IF(
    OR(ISBLANK(moras[[#This Row],[TIPO_ASEGURAMIENTO]]), moras[[#This Row],[TIPO_ASEGURAMIENTO]]=""),
    EDA!$A$32,
    moras[[#This Row],[TIPO_ASEGURAMIENTO]]
)</f>
        <v>ASALARIADO</v>
      </c>
    </row>
    <row r="211" spans="1:16" x14ac:dyDescent="0.3">
      <c r="A211">
        <v>210</v>
      </c>
      <c r="B211" t="s">
        <v>9</v>
      </c>
      <c r="C211">
        <v>57724</v>
      </c>
      <c r="D211" t="s">
        <v>10</v>
      </c>
      <c r="E211" t="s">
        <v>16</v>
      </c>
      <c r="F211" t="s">
        <v>12</v>
      </c>
      <c r="G211" t="s">
        <v>13</v>
      </c>
      <c r="H211" t="s">
        <v>12</v>
      </c>
      <c r="I211">
        <v>19</v>
      </c>
      <c r="J211">
        <f>ABS((I211-EDA!$A$15)/EDA!$B$15)</f>
        <v>1.6217922789154453</v>
      </c>
      <c r="K211" t="str">
        <f t="shared" si="3"/>
        <v>No</v>
      </c>
      <c r="L211">
        <f>ABS((C211-EDA!$F$15)/EDA!$G$15)</f>
        <v>0.37469340409974244</v>
      </c>
      <c r="M211" t="str">
        <f>IF(moras[[#This Row],[Z-Score Salario]]&gt;1.96, "Sí", "No")</f>
        <v>No</v>
      </c>
      <c r="N211" s="14">
        <f>IF(ISBLANK(moras[[#This Row],[SALARIO]]), EDA!$M$8, moras[[#This Row],[SALARIO]])</f>
        <v>57724</v>
      </c>
      <c r="O211" s="14">
        <f xml:space="preserve"> IF(ISBLANK(moras[[#This Row],[EDAD]]), EDA!$E$8, moras[[#This Row],[EDAD]])</f>
        <v>19</v>
      </c>
      <c r="P211" s="14" t="str">
        <f>IF(
    OR(ISBLANK(moras[[#This Row],[TIPO_ASEGURAMIENTO]]), moras[[#This Row],[TIPO_ASEGURAMIENTO]]=""),
    EDA!$A$32,
    moras[[#This Row],[TIPO_ASEGURAMIENTO]]
)</f>
        <v>ASALARIADO</v>
      </c>
    </row>
    <row r="212" spans="1:16" x14ac:dyDescent="0.3">
      <c r="A212">
        <v>211</v>
      </c>
      <c r="B212" t="s">
        <v>15</v>
      </c>
      <c r="C212">
        <v>22302234</v>
      </c>
      <c r="D212" t="s">
        <v>10</v>
      </c>
      <c r="E212" t="s">
        <v>11</v>
      </c>
      <c r="F212" t="s">
        <v>12</v>
      </c>
      <c r="G212" t="s">
        <v>13</v>
      </c>
      <c r="H212" t="s">
        <v>13</v>
      </c>
      <c r="I212">
        <v>56</v>
      </c>
      <c r="J212">
        <f>ABS((I212-EDA!$A$15)/EDA!$B$15)</f>
        <v>0.9894949339386423</v>
      </c>
      <c r="K212" t="str">
        <f t="shared" si="3"/>
        <v>No</v>
      </c>
      <c r="L212">
        <f>ABS((C212-EDA!$F$15)/EDA!$G$15)</f>
        <v>4.5290550288132067E-3</v>
      </c>
      <c r="M212" t="str">
        <f>IF(moras[[#This Row],[Z-Score Salario]]&gt;1.96, "Sí", "No")</f>
        <v>No</v>
      </c>
      <c r="N212" s="14">
        <f>IF(ISBLANK(moras[[#This Row],[SALARIO]]), EDA!$M$8, moras[[#This Row],[SALARIO]])</f>
        <v>22302234</v>
      </c>
      <c r="O212" s="14">
        <f xml:space="preserve"> IF(ISBLANK(moras[[#This Row],[EDAD]]), EDA!$E$8, moras[[#This Row],[EDAD]])</f>
        <v>56</v>
      </c>
      <c r="P212" s="14" t="str">
        <f>IF(
    OR(ISBLANK(moras[[#This Row],[TIPO_ASEGURAMIENTO]]), moras[[#This Row],[TIPO_ASEGURAMIENTO]]=""),
    EDA!$A$32,
    moras[[#This Row],[TIPO_ASEGURAMIENTO]]
)</f>
        <v>ASALARIADO</v>
      </c>
    </row>
    <row r="213" spans="1:16" x14ac:dyDescent="0.3">
      <c r="A213">
        <v>212</v>
      </c>
      <c r="B213" t="s">
        <v>9</v>
      </c>
      <c r="C213">
        <v>68165618</v>
      </c>
      <c r="D213" t="s">
        <v>10</v>
      </c>
      <c r="E213" t="s">
        <v>16</v>
      </c>
      <c r="F213" t="s">
        <v>12</v>
      </c>
      <c r="G213" t="s">
        <v>13</v>
      </c>
      <c r="H213" t="s">
        <v>13</v>
      </c>
      <c r="I213">
        <v>42</v>
      </c>
      <c r="J213">
        <f>ABS((I213-EDA!$A$15)/EDA!$B$15)</f>
        <v>1.4403128587172659E-3</v>
      </c>
      <c r="K213" t="str">
        <f t="shared" si="3"/>
        <v>No</v>
      </c>
      <c r="L213">
        <f>ABS((C213-EDA!$F$15)/EDA!$G$15)</f>
        <v>0.75867003025335622</v>
      </c>
      <c r="M213" t="str">
        <f>IF(moras[[#This Row],[Z-Score Salario]]&gt;1.96, "Sí", "No")</f>
        <v>No</v>
      </c>
      <c r="N213" s="14">
        <f>IF(ISBLANK(moras[[#This Row],[SALARIO]]), EDA!$M$8, moras[[#This Row],[SALARIO]])</f>
        <v>68165618</v>
      </c>
      <c r="O213" s="14">
        <f xml:space="preserve"> IF(ISBLANK(moras[[#This Row],[EDAD]]), EDA!$E$8, moras[[#This Row],[EDAD]])</f>
        <v>42</v>
      </c>
      <c r="P213" s="14" t="str">
        <f>IF(
    OR(ISBLANK(moras[[#This Row],[TIPO_ASEGURAMIENTO]]), moras[[#This Row],[TIPO_ASEGURAMIENTO]]=""),
    EDA!$A$32,
    moras[[#This Row],[TIPO_ASEGURAMIENTO]]
)</f>
        <v>ASALARIADO</v>
      </c>
    </row>
    <row r="214" spans="1:16" x14ac:dyDescent="0.3">
      <c r="A214">
        <v>213</v>
      </c>
      <c r="B214" t="s">
        <v>15</v>
      </c>
      <c r="C214">
        <v>161195932</v>
      </c>
      <c r="D214" t="s">
        <v>10</v>
      </c>
      <c r="E214" t="s">
        <v>11</v>
      </c>
      <c r="F214" t="s">
        <v>12</v>
      </c>
      <c r="G214" t="s">
        <v>13</v>
      </c>
      <c r="H214" t="s">
        <v>13</v>
      </c>
      <c r="I214">
        <v>47</v>
      </c>
      <c r="J214">
        <f>ABS((I214-EDA!$A$15)/EDA!$B$15)</f>
        <v>0.35431696324440481</v>
      </c>
      <c r="K214" t="str">
        <f t="shared" si="3"/>
        <v>No</v>
      </c>
      <c r="L214">
        <f>ABS((C214-EDA!$F$15)/EDA!$G$15)</f>
        <v>2.3067601264467159</v>
      </c>
      <c r="M214" t="str">
        <f>IF(moras[[#This Row],[Z-Score Salario]]&gt;1.96, "Sí", "No")</f>
        <v>Sí</v>
      </c>
      <c r="N214" s="14">
        <f>IF(ISBLANK(moras[[#This Row],[SALARIO]]), EDA!$M$8, moras[[#This Row],[SALARIO]])</f>
        <v>161195932</v>
      </c>
      <c r="O214" s="14">
        <f xml:space="preserve"> IF(ISBLANK(moras[[#This Row],[EDAD]]), EDA!$E$8, moras[[#This Row],[EDAD]])</f>
        <v>47</v>
      </c>
      <c r="P214" s="14" t="str">
        <f>IF(
    OR(ISBLANK(moras[[#This Row],[TIPO_ASEGURAMIENTO]]), moras[[#This Row],[TIPO_ASEGURAMIENTO]]=""),
    EDA!$A$32,
    moras[[#This Row],[TIPO_ASEGURAMIENTO]]
)</f>
        <v>ASALARIADO</v>
      </c>
    </row>
    <row r="215" spans="1:16" x14ac:dyDescent="0.3">
      <c r="A215">
        <v>214</v>
      </c>
      <c r="B215" t="s">
        <v>15</v>
      </c>
      <c r="C215">
        <v>130779787</v>
      </c>
      <c r="D215" t="s">
        <v>10</v>
      </c>
      <c r="E215" t="s">
        <v>16</v>
      </c>
      <c r="F215" t="s">
        <v>12</v>
      </c>
      <c r="G215" t="s">
        <v>13</v>
      </c>
      <c r="H215" t="s">
        <v>13</v>
      </c>
      <c r="I215">
        <v>30</v>
      </c>
      <c r="J215">
        <f>ABS((I215-EDA!$A$15)/EDA!$B$15)</f>
        <v>0.84546364806693275</v>
      </c>
      <c r="K215" t="str">
        <f t="shared" si="3"/>
        <v>No</v>
      </c>
      <c r="L215">
        <f>ABS((C215-EDA!$F$15)/EDA!$G$15)</f>
        <v>1.8006140025189692</v>
      </c>
      <c r="M215" t="str">
        <f>IF(moras[[#This Row],[Z-Score Salario]]&gt;1.96, "Sí", "No")</f>
        <v>No</v>
      </c>
      <c r="N215" s="14">
        <f>IF(ISBLANK(moras[[#This Row],[SALARIO]]), EDA!$M$8, moras[[#This Row],[SALARIO]])</f>
        <v>130779787</v>
      </c>
      <c r="O215" s="14">
        <f xml:space="preserve"> IF(ISBLANK(moras[[#This Row],[EDAD]]), EDA!$E$8, moras[[#This Row],[EDAD]])</f>
        <v>30</v>
      </c>
      <c r="P215" s="14" t="str">
        <f>IF(
    OR(ISBLANK(moras[[#This Row],[TIPO_ASEGURAMIENTO]]), moras[[#This Row],[TIPO_ASEGURAMIENTO]]=""),
    EDA!$A$32,
    moras[[#This Row],[TIPO_ASEGURAMIENTO]]
)</f>
        <v>ASALARIADO</v>
      </c>
    </row>
    <row r="216" spans="1:16" x14ac:dyDescent="0.3">
      <c r="A216">
        <v>215</v>
      </c>
      <c r="B216" t="s">
        <v>9</v>
      </c>
      <c r="C216">
        <v>366599</v>
      </c>
      <c r="D216" t="s">
        <v>10</v>
      </c>
      <c r="E216" t="s">
        <v>16</v>
      </c>
      <c r="F216" t="s">
        <v>12</v>
      </c>
      <c r="G216" t="s">
        <v>13</v>
      </c>
      <c r="H216" t="s">
        <v>13</v>
      </c>
      <c r="I216">
        <v>53</v>
      </c>
      <c r="J216">
        <f>ABS((I216-EDA!$A$15)/EDA!$B$15)</f>
        <v>0.77776894370722982</v>
      </c>
      <c r="K216" t="str">
        <f t="shared" si="3"/>
        <v>No</v>
      </c>
      <c r="L216">
        <f>ABS((C216-EDA!$F$15)/EDA!$G$15)</f>
        <v>0.36955350606111254</v>
      </c>
      <c r="M216" t="str">
        <f>IF(moras[[#This Row],[Z-Score Salario]]&gt;1.96, "Sí", "No")</f>
        <v>No</v>
      </c>
      <c r="N216" s="14">
        <f>IF(ISBLANK(moras[[#This Row],[SALARIO]]), EDA!$M$8, moras[[#This Row],[SALARIO]])</f>
        <v>366599</v>
      </c>
      <c r="O216" s="14">
        <f xml:space="preserve"> IF(ISBLANK(moras[[#This Row],[EDAD]]), EDA!$E$8, moras[[#This Row],[EDAD]])</f>
        <v>53</v>
      </c>
      <c r="P216" s="14" t="str">
        <f>IF(
    OR(ISBLANK(moras[[#This Row],[TIPO_ASEGURAMIENTO]]), moras[[#This Row],[TIPO_ASEGURAMIENTO]]=""),
    EDA!$A$32,
    moras[[#This Row],[TIPO_ASEGURAMIENTO]]
)</f>
        <v>ASALARIADO</v>
      </c>
    </row>
    <row r="217" spans="1:16" x14ac:dyDescent="0.3">
      <c r="A217">
        <v>216</v>
      </c>
      <c r="B217" t="s">
        <v>9</v>
      </c>
      <c r="C217">
        <v>462831</v>
      </c>
      <c r="D217" t="s">
        <v>18</v>
      </c>
      <c r="E217" t="s">
        <v>16</v>
      </c>
      <c r="F217" t="s">
        <v>12</v>
      </c>
      <c r="G217" t="s">
        <v>13</v>
      </c>
      <c r="H217" t="s">
        <v>13</v>
      </c>
      <c r="I217">
        <v>32</v>
      </c>
      <c r="J217">
        <f>ABS((I217-EDA!$A$15)/EDA!$B$15)</f>
        <v>0.70431298791265773</v>
      </c>
      <c r="K217" t="str">
        <f t="shared" si="3"/>
        <v>No</v>
      </c>
      <c r="L217">
        <f>ABS((C217-EDA!$F$15)/EDA!$G$15)</f>
        <v>0.36795213764976997</v>
      </c>
      <c r="M217" t="str">
        <f>IF(moras[[#This Row],[Z-Score Salario]]&gt;1.96, "Sí", "No")</f>
        <v>No</v>
      </c>
      <c r="N217" s="14">
        <f>IF(ISBLANK(moras[[#This Row],[SALARIO]]), EDA!$M$8, moras[[#This Row],[SALARIO]])</f>
        <v>462831</v>
      </c>
      <c r="O217" s="14">
        <f xml:space="preserve"> IF(ISBLANK(moras[[#This Row],[EDAD]]), EDA!$E$8, moras[[#This Row],[EDAD]])</f>
        <v>32</v>
      </c>
      <c r="P217" s="14" t="str">
        <f>IF(
    OR(ISBLANK(moras[[#This Row],[TIPO_ASEGURAMIENTO]]), moras[[#This Row],[TIPO_ASEGURAMIENTO]]=""),
    EDA!$A$32,
    moras[[#This Row],[TIPO_ASEGURAMIENTO]]
)</f>
        <v>TRABAJADOR INDEPENDIENTE</v>
      </c>
    </row>
    <row r="218" spans="1:16" x14ac:dyDescent="0.3">
      <c r="A218">
        <v>217</v>
      </c>
      <c r="B218" t="s">
        <v>9</v>
      </c>
      <c r="C218">
        <v>639148</v>
      </c>
      <c r="D218" t="s">
        <v>18</v>
      </c>
      <c r="E218" t="s">
        <v>16</v>
      </c>
      <c r="F218" t="s">
        <v>12</v>
      </c>
      <c r="G218" t="s">
        <v>13</v>
      </c>
      <c r="H218" t="s">
        <v>12</v>
      </c>
      <c r="I218">
        <v>41</v>
      </c>
      <c r="J218">
        <f>ABS((I218-EDA!$A$15)/EDA!$B$15)</f>
        <v>6.9135017218420233E-2</v>
      </c>
      <c r="K218" t="str">
        <f t="shared" si="3"/>
        <v>No</v>
      </c>
      <c r="L218">
        <f>ABS((C218-EDA!$F$15)/EDA!$G$15)</f>
        <v>0.36501809830544912</v>
      </c>
      <c r="M218" t="str">
        <f>IF(moras[[#This Row],[Z-Score Salario]]&gt;1.96, "Sí", "No")</f>
        <v>No</v>
      </c>
      <c r="N218" s="14">
        <f>IF(ISBLANK(moras[[#This Row],[SALARIO]]), EDA!$M$8, moras[[#This Row],[SALARIO]])</f>
        <v>639148</v>
      </c>
      <c r="O218" s="14">
        <f xml:space="preserve"> IF(ISBLANK(moras[[#This Row],[EDAD]]), EDA!$E$8, moras[[#This Row],[EDAD]])</f>
        <v>41</v>
      </c>
      <c r="P218" s="14" t="str">
        <f>IF(
    OR(ISBLANK(moras[[#This Row],[TIPO_ASEGURAMIENTO]]), moras[[#This Row],[TIPO_ASEGURAMIENTO]]=""),
    EDA!$A$32,
    moras[[#This Row],[TIPO_ASEGURAMIENTO]]
)</f>
        <v>TRABAJADOR INDEPENDIENTE</v>
      </c>
    </row>
    <row r="219" spans="1:16" x14ac:dyDescent="0.3">
      <c r="A219">
        <v>218</v>
      </c>
      <c r="B219" t="s">
        <v>9</v>
      </c>
      <c r="C219">
        <v>310124</v>
      </c>
      <c r="D219" t="s">
        <v>18</v>
      </c>
      <c r="E219" t="s">
        <v>16</v>
      </c>
      <c r="F219" t="s">
        <v>12</v>
      </c>
      <c r="G219" t="s">
        <v>13</v>
      </c>
      <c r="H219" t="s">
        <v>13</v>
      </c>
      <c r="I219">
        <v>34</v>
      </c>
      <c r="J219">
        <f>ABS((I219-EDA!$A$15)/EDA!$B$15)</f>
        <v>0.56316232775838282</v>
      </c>
      <c r="K219" t="str">
        <f t="shared" si="3"/>
        <v>No</v>
      </c>
      <c r="L219">
        <f>ABS((C219-EDA!$F$15)/EDA!$G$15)</f>
        <v>0.37049328992750385</v>
      </c>
      <c r="M219" t="str">
        <f>IF(moras[[#This Row],[Z-Score Salario]]&gt;1.96, "Sí", "No")</f>
        <v>No</v>
      </c>
      <c r="N219" s="14">
        <f>IF(ISBLANK(moras[[#This Row],[SALARIO]]), EDA!$M$8, moras[[#This Row],[SALARIO]])</f>
        <v>310124</v>
      </c>
      <c r="O219" s="14">
        <f xml:space="preserve"> IF(ISBLANK(moras[[#This Row],[EDAD]]), EDA!$E$8, moras[[#This Row],[EDAD]])</f>
        <v>34</v>
      </c>
      <c r="P219" s="14" t="str">
        <f>IF(
    OR(ISBLANK(moras[[#This Row],[TIPO_ASEGURAMIENTO]]), moras[[#This Row],[TIPO_ASEGURAMIENTO]]=""),
    EDA!$A$32,
    moras[[#This Row],[TIPO_ASEGURAMIENTO]]
)</f>
        <v>TRABAJADOR INDEPENDIENTE</v>
      </c>
    </row>
    <row r="220" spans="1:16" x14ac:dyDescent="0.3">
      <c r="A220">
        <v>219</v>
      </c>
      <c r="B220" t="s">
        <v>15</v>
      </c>
      <c r="C220">
        <v>800000</v>
      </c>
      <c r="D220" t="s">
        <v>10</v>
      </c>
      <c r="E220" t="s">
        <v>16</v>
      </c>
      <c r="F220" t="s">
        <v>12</v>
      </c>
      <c r="G220" t="s">
        <v>13</v>
      </c>
      <c r="H220" t="s">
        <v>13</v>
      </c>
      <c r="I220">
        <v>30</v>
      </c>
      <c r="J220">
        <f>ABS((I220-EDA!$A$15)/EDA!$B$15)</f>
        <v>0.84546364806693275</v>
      </c>
      <c r="K220" t="str">
        <f t="shared" si="3"/>
        <v>No</v>
      </c>
      <c r="L220">
        <f>ABS((C220-EDA!$F$15)/EDA!$G$15)</f>
        <v>0.36234140747806037</v>
      </c>
      <c r="M220" t="str">
        <f>IF(moras[[#This Row],[Z-Score Salario]]&gt;1.96, "Sí", "No")</f>
        <v>No</v>
      </c>
      <c r="N220" s="14">
        <f>IF(ISBLANK(moras[[#This Row],[SALARIO]]), EDA!$M$8, moras[[#This Row],[SALARIO]])</f>
        <v>800000</v>
      </c>
      <c r="O220" s="14">
        <f xml:space="preserve"> IF(ISBLANK(moras[[#This Row],[EDAD]]), EDA!$E$8, moras[[#This Row],[EDAD]])</f>
        <v>30</v>
      </c>
      <c r="P220" s="14" t="str">
        <f>IF(
    OR(ISBLANK(moras[[#This Row],[TIPO_ASEGURAMIENTO]]), moras[[#This Row],[TIPO_ASEGURAMIENTO]]=""),
    EDA!$A$32,
    moras[[#This Row],[TIPO_ASEGURAMIENTO]]
)</f>
        <v>ASALARIADO</v>
      </c>
    </row>
    <row r="221" spans="1:16" x14ac:dyDescent="0.3">
      <c r="A221">
        <v>220</v>
      </c>
      <c r="B221" t="s">
        <v>15</v>
      </c>
      <c r="C221">
        <v>1520118</v>
      </c>
      <c r="D221" t="s">
        <v>10</v>
      </c>
      <c r="E221" t="s">
        <v>11</v>
      </c>
      <c r="F221" t="s">
        <v>12</v>
      </c>
      <c r="G221" t="s">
        <v>13</v>
      </c>
      <c r="H221" t="s">
        <v>13</v>
      </c>
      <c r="I221">
        <v>32</v>
      </c>
      <c r="J221">
        <f>ABS((I221-EDA!$A$15)/EDA!$B$15)</f>
        <v>0.70431298791265773</v>
      </c>
      <c r="K221" t="str">
        <f t="shared" si="3"/>
        <v>No</v>
      </c>
      <c r="L221">
        <f>ABS((C221-EDA!$F$15)/EDA!$G$15)</f>
        <v>0.35035813561798074</v>
      </c>
      <c r="M221" t="str">
        <f>IF(moras[[#This Row],[Z-Score Salario]]&gt;1.96, "Sí", "No")</f>
        <v>No</v>
      </c>
      <c r="N221" s="14">
        <f>IF(ISBLANK(moras[[#This Row],[SALARIO]]), EDA!$M$8, moras[[#This Row],[SALARIO]])</f>
        <v>1520118</v>
      </c>
      <c r="O221" s="14">
        <f xml:space="preserve"> IF(ISBLANK(moras[[#This Row],[EDAD]]), EDA!$E$8, moras[[#This Row],[EDAD]])</f>
        <v>32</v>
      </c>
      <c r="P221" s="14" t="str">
        <f>IF(
    OR(ISBLANK(moras[[#This Row],[TIPO_ASEGURAMIENTO]]), moras[[#This Row],[TIPO_ASEGURAMIENTO]]=""),
    EDA!$A$32,
    moras[[#This Row],[TIPO_ASEGURAMIENTO]]
)</f>
        <v>ASALARIADO</v>
      </c>
    </row>
    <row r="222" spans="1:16" x14ac:dyDescent="0.3">
      <c r="A222">
        <v>221</v>
      </c>
      <c r="B222" t="s">
        <v>15</v>
      </c>
      <c r="C222">
        <v>460000</v>
      </c>
      <c r="D222" t="s">
        <v>10</v>
      </c>
      <c r="E222" t="s">
        <v>16</v>
      </c>
      <c r="F222" t="s">
        <v>12</v>
      </c>
      <c r="G222" t="s">
        <v>13</v>
      </c>
      <c r="H222" t="s">
        <v>13</v>
      </c>
      <c r="I222">
        <v>28</v>
      </c>
      <c r="J222">
        <f>ABS((I222-EDA!$A$15)/EDA!$B$15)</f>
        <v>0.98661430822120777</v>
      </c>
      <c r="K222" t="str">
        <f t="shared" si="3"/>
        <v>No</v>
      </c>
      <c r="L222">
        <f>ABS((C222-EDA!$F$15)/EDA!$G$15)</f>
        <v>0.36799924748820739</v>
      </c>
      <c r="M222" t="str">
        <f>IF(moras[[#This Row],[Z-Score Salario]]&gt;1.96, "Sí", "No")</f>
        <v>No</v>
      </c>
      <c r="N222" s="14">
        <f>IF(ISBLANK(moras[[#This Row],[SALARIO]]), EDA!$M$8, moras[[#This Row],[SALARIO]])</f>
        <v>460000</v>
      </c>
      <c r="O222" s="14">
        <f xml:space="preserve"> IF(ISBLANK(moras[[#This Row],[EDAD]]), EDA!$E$8, moras[[#This Row],[EDAD]])</f>
        <v>28</v>
      </c>
      <c r="P222" s="14" t="str">
        <f>IF(
    OR(ISBLANK(moras[[#This Row],[TIPO_ASEGURAMIENTO]]), moras[[#This Row],[TIPO_ASEGURAMIENTO]]=""),
    EDA!$A$32,
    moras[[#This Row],[TIPO_ASEGURAMIENTO]]
)</f>
        <v>ASALARIADO</v>
      </c>
    </row>
    <row r="223" spans="1:16" x14ac:dyDescent="0.3">
      <c r="A223">
        <v>222</v>
      </c>
      <c r="B223" t="s">
        <v>15</v>
      </c>
      <c r="C223">
        <v>446964</v>
      </c>
      <c r="D223" t="s">
        <v>10</v>
      </c>
      <c r="E223" t="s">
        <v>16</v>
      </c>
      <c r="F223" t="s">
        <v>12</v>
      </c>
      <c r="G223" t="s">
        <v>13</v>
      </c>
      <c r="H223" t="s">
        <v>13</v>
      </c>
      <c r="I223">
        <v>64</v>
      </c>
      <c r="J223">
        <f>ABS((I223-EDA!$A$15)/EDA!$B$15)</f>
        <v>1.5540975745557424</v>
      </c>
      <c r="K223" t="str">
        <f t="shared" si="3"/>
        <v>No</v>
      </c>
      <c r="L223">
        <f>ABS((C223-EDA!$F$15)/EDA!$G$15)</f>
        <v>0.36821617573047882</v>
      </c>
      <c r="M223" t="str">
        <f>IF(moras[[#This Row],[Z-Score Salario]]&gt;1.96, "Sí", "No")</f>
        <v>No</v>
      </c>
      <c r="N223" s="14">
        <f>IF(ISBLANK(moras[[#This Row],[SALARIO]]), EDA!$M$8, moras[[#This Row],[SALARIO]])</f>
        <v>446964</v>
      </c>
      <c r="O223" s="14">
        <f xml:space="preserve"> IF(ISBLANK(moras[[#This Row],[EDAD]]), EDA!$E$8, moras[[#This Row],[EDAD]])</f>
        <v>64</v>
      </c>
      <c r="P223" s="14" t="str">
        <f>IF(
    OR(ISBLANK(moras[[#This Row],[TIPO_ASEGURAMIENTO]]), moras[[#This Row],[TIPO_ASEGURAMIENTO]]=""),
    EDA!$A$32,
    moras[[#This Row],[TIPO_ASEGURAMIENTO]]
)</f>
        <v>ASALARIADO</v>
      </c>
    </row>
    <row r="224" spans="1:16" x14ac:dyDescent="0.3">
      <c r="A224">
        <v>223</v>
      </c>
      <c r="B224" t="s">
        <v>15</v>
      </c>
      <c r="C224">
        <v>241000</v>
      </c>
      <c r="D224" t="s">
        <v>10</v>
      </c>
      <c r="E224" t="s">
        <v>16</v>
      </c>
      <c r="F224" t="s">
        <v>12</v>
      </c>
      <c r="G224" t="s">
        <v>12</v>
      </c>
      <c r="H224" t="s">
        <v>13</v>
      </c>
      <c r="I224">
        <v>35</v>
      </c>
      <c r="J224">
        <f>ABS((I224-EDA!$A$15)/EDA!$B$15)</f>
        <v>0.49258699768124525</v>
      </c>
      <c r="K224" t="str">
        <f t="shared" si="3"/>
        <v>No</v>
      </c>
      <c r="L224">
        <f>ABS((C224-EDA!$F$15)/EDA!$G$15)</f>
        <v>0.37164356208297861</v>
      </c>
      <c r="M224" t="str">
        <f>IF(moras[[#This Row],[Z-Score Salario]]&gt;1.96, "Sí", "No")</f>
        <v>No</v>
      </c>
      <c r="N224" s="14">
        <f>IF(ISBLANK(moras[[#This Row],[SALARIO]]), EDA!$M$8, moras[[#This Row],[SALARIO]])</f>
        <v>241000</v>
      </c>
      <c r="O224" s="14">
        <f xml:space="preserve"> IF(ISBLANK(moras[[#This Row],[EDAD]]), EDA!$E$8, moras[[#This Row],[EDAD]])</f>
        <v>35</v>
      </c>
      <c r="P224" s="14" t="str">
        <f>IF(
    OR(ISBLANK(moras[[#This Row],[TIPO_ASEGURAMIENTO]]), moras[[#This Row],[TIPO_ASEGURAMIENTO]]=""),
    EDA!$A$32,
    moras[[#This Row],[TIPO_ASEGURAMIENTO]]
)</f>
        <v>ASALARIADO</v>
      </c>
    </row>
    <row r="225" spans="1:16" x14ac:dyDescent="0.3">
      <c r="A225">
        <v>224</v>
      </c>
      <c r="B225" t="s">
        <v>9</v>
      </c>
      <c r="C225">
        <v>125432213</v>
      </c>
      <c r="D225" t="s">
        <v>10</v>
      </c>
      <c r="E225" t="s">
        <v>16</v>
      </c>
      <c r="F225" t="s">
        <v>12</v>
      </c>
      <c r="G225" t="s">
        <v>13</v>
      </c>
      <c r="H225" t="s">
        <v>13</v>
      </c>
      <c r="I225">
        <v>33</v>
      </c>
      <c r="J225">
        <f>ABS((I225-EDA!$A$15)/EDA!$B$15)</f>
        <v>0.63373765783552027</v>
      </c>
      <c r="K225" t="str">
        <f t="shared" si="3"/>
        <v>No</v>
      </c>
      <c r="L225">
        <f>ABS((C225-EDA!$F$15)/EDA!$G$15)</f>
        <v>1.7116265962412573</v>
      </c>
      <c r="M225" t="str">
        <f>IF(moras[[#This Row],[Z-Score Salario]]&gt;1.96, "Sí", "No")</f>
        <v>No</v>
      </c>
      <c r="N225" s="14">
        <f>IF(ISBLANK(moras[[#This Row],[SALARIO]]), EDA!$M$8, moras[[#This Row],[SALARIO]])</f>
        <v>125432213</v>
      </c>
      <c r="O225" s="14">
        <f xml:space="preserve"> IF(ISBLANK(moras[[#This Row],[EDAD]]), EDA!$E$8, moras[[#This Row],[EDAD]])</f>
        <v>33</v>
      </c>
      <c r="P225" s="14" t="str">
        <f>IF(
    OR(ISBLANK(moras[[#This Row],[TIPO_ASEGURAMIENTO]]), moras[[#This Row],[TIPO_ASEGURAMIENTO]]=""),
    EDA!$A$32,
    moras[[#This Row],[TIPO_ASEGURAMIENTO]]
)</f>
        <v>ASALARIADO</v>
      </c>
    </row>
    <row r="226" spans="1:16" x14ac:dyDescent="0.3">
      <c r="A226">
        <v>225</v>
      </c>
      <c r="B226" t="s">
        <v>9</v>
      </c>
      <c r="C226">
        <v>503396</v>
      </c>
      <c r="D226" t="s">
        <v>10</v>
      </c>
      <c r="E226" t="s">
        <v>11</v>
      </c>
      <c r="F226" t="s">
        <v>12</v>
      </c>
      <c r="G226" t="s">
        <v>13</v>
      </c>
      <c r="H226" t="s">
        <v>13</v>
      </c>
      <c r="I226">
        <v>55</v>
      </c>
      <c r="J226">
        <f>ABS((I226-EDA!$A$15)/EDA!$B$15)</f>
        <v>0.91891960386150484</v>
      </c>
      <c r="K226" t="str">
        <f t="shared" si="3"/>
        <v>No</v>
      </c>
      <c r="L226">
        <f>ABS((C226-EDA!$F$15)/EDA!$G$15)</f>
        <v>0.36727710741444169</v>
      </c>
      <c r="M226" t="str">
        <f>IF(moras[[#This Row],[Z-Score Salario]]&gt;1.96, "Sí", "No")</f>
        <v>No</v>
      </c>
      <c r="N226" s="14">
        <f>IF(ISBLANK(moras[[#This Row],[SALARIO]]), EDA!$M$8, moras[[#This Row],[SALARIO]])</f>
        <v>503396</v>
      </c>
      <c r="O226" s="14">
        <f xml:space="preserve"> IF(ISBLANK(moras[[#This Row],[EDAD]]), EDA!$E$8, moras[[#This Row],[EDAD]])</f>
        <v>55</v>
      </c>
      <c r="P226" s="14" t="str">
        <f>IF(
    OR(ISBLANK(moras[[#This Row],[TIPO_ASEGURAMIENTO]]), moras[[#This Row],[TIPO_ASEGURAMIENTO]]=""),
    EDA!$A$32,
    moras[[#This Row],[TIPO_ASEGURAMIENTO]]
)</f>
        <v>ASALARIADO</v>
      </c>
    </row>
    <row r="227" spans="1:16" x14ac:dyDescent="0.3">
      <c r="A227">
        <v>226</v>
      </c>
      <c r="B227" t="s">
        <v>9</v>
      </c>
      <c r="C227">
        <v>1845300</v>
      </c>
      <c r="D227" t="s">
        <v>10</v>
      </c>
      <c r="E227" t="s">
        <v>16</v>
      </c>
      <c r="F227" t="s">
        <v>12</v>
      </c>
      <c r="G227" t="s">
        <v>13</v>
      </c>
      <c r="H227" t="s">
        <v>13</v>
      </c>
      <c r="I227">
        <v>37</v>
      </c>
      <c r="J227">
        <f>ABS((I227-EDA!$A$15)/EDA!$B$15)</f>
        <v>0.35143633752697023</v>
      </c>
      <c r="K227" t="str">
        <f t="shared" si="3"/>
        <v>No</v>
      </c>
      <c r="L227">
        <f>ABS((C227-EDA!$F$15)/EDA!$G$15)</f>
        <v>0.34494687758804066</v>
      </c>
      <c r="M227" t="str">
        <f>IF(moras[[#This Row],[Z-Score Salario]]&gt;1.96, "Sí", "No")</f>
        <v>No</v>
      </c>
      <c r="N227" s="14">
        <f>IF(ISBLANK(moras[[#This Row],[SALARIO]]), EDA!$M$8, moras[[#This Row],[SALARIO]])</f>
        <v>1845300</v>
      </c>
      <c r="O227" s="14">
        <f xml:space="preserve"> IF(ISBLANK(moras[[#This Row],[EDAD]]), EDA!$E$8, moras[[#This Row],[EDAD]])</f>
        <v>37</v>
      </c>
      <c r="P227" s="14" t="str">
        <f>IF(
    OR(ISBLANK(moras[[#This Row],[TIPO_ASEGURAMIENTO]]), moras[[#This Row],[TIPO_ASEGURAMIENTO]]=""),
    EDA!$A$32,
    moras[[#This Row],[TIPO_ASEGURAMIENTO]]
)</f>
        <v>ASALARIADO</v>
      </c>
    </row>
    <row r="228" spans="1:16" x14ac:dyDescent="0.3">
      <c r="A228">
        <v>227</v>
      </c>
      <c r="B228" t="s">
        <v>9</v>
      </c>
      <c r="C228">
        <v>505464</v>
      </c>
      <c r="D228" t="s">
        <v>18</v>
      </c>
      <c r="E228" t="s">
        <v>16</v>
      </c>
      <c r="F228" t="s">
        <v>12</v>
      </c>
      <c r="G228" t="s">
        <v>13</v>
      </c>
      <c r="H228" t="s">
        <v>13</v>
      </c>
      <c r="I228">
        <v>42</v>
      </c>
      <c r="J228">
        <f>ABS((I228-EDA!$A$15)/EDA!$B$15)</f>
        <v>1.4403128587172659E-3</v>
      </c>
      <c r="K228" t="str">
        <f t="shared" si="3"/>
        <v>No</v>
      </c>
      <c r="L228">
        <f>ABS((C228-EDA!$F$15)/EDA!$G$15)</f>
        <v>0.36724269443461527</v>
      </c>
      <c r="M228" t="str">
        <f>IF(moras[[#This Row],[Z-Score Salario]]&gt;1.96, "Sí", "No")</f>
        <v>No</v>
      </c>
      <c r="N228" s="14">
        <f>IF(ISBLANK(moras[[#This Row],[SALARIO]]), EDA!$M$8, moras[[#This Row],[SALARIO]])</f>
        <v>505464</v>
      </c>
      <c r="O228" s="14">
        <f xml:space="preserve"> IF(ISBLANK(moras[[#This Row],[EDAD]]), EDA!$E$8, moras[[#This Row],[EDAD]])</f>
        <v>42</v>
      </c>
      <c r="P228" s="14" t="str">
        <f>IF(
    OR(ISBLANK(moras[[#This Row],[TIPO_ASEGURAMIENTO]]), moras[[#This Row],[TIPO_ASEGURAMIENTO]]=""),
    EDA!$A$32,
    moras[[#This Row],[TIPO_ASEGURAMIENTO]]
)</f>
        <v>TRABAJADOR INDEPENDIENTE</v>
      </c>
    </row>
    <row r="229" spans="1:16" x14ac:dyDescent="0.3">
      <c r="A229">
        <v>228</v>
      </c>
      <c r="B229" t="s">
        <v>15</v>
      </c>
      <c r="C229">
        <v>10835937</v>
      </c>
      <c r="D229" t="s">
        <v>10</v>
      </c>
      <c r="E229" t="s">
        <v>11</v>
      </c>
      <c r="F229" t="s">
        <v>12</v>
      </c>
      <c r="G229" t="s">
        <v>13</v>
      </c>
      <c r="H229" t="s">
        <v>13</v>
      </c>
      <c r="I229">
        <v>30</v>
      </c>
      <c r="J229">
        <f>ABS((I229-EDA!$A$15)/EDA!$B$15)</f>
        <v>0.84546364806693275</v>
      </c>
      <c r="K229" t="str">
        <f t="shared" si="3"/>
        <v>No</v>
      </c>
      <c r="L229">
        <f>ABS((C229-EDA!$F$15)/EDA!$G$15)</f>
        <v>0.19533633130772196</v>
      </c>
      <c r="M229" t="str">
        <f>IF(moras[[#This Row],[Z-Score Salario]]&gt;1.96, "Sí", "No")</f>
        <v>No</v>
      </c>
      <c r="N229" s="14">
        <f>IF(ISBLANK(moras[[#This Row],[SALARIO]]), EDA!$M$8, moras[[#This Row],[SALARIO]])</f>
        <v>10835937</v>
      </c>
      <c r="O229" s="14">
        <f xml:space="preserve"> IF(ISBLANK(moras[[#This Row],[EDAD]]), EDA!$E$8, moras[[#This Row],[EDAD]])</f>
        <v>30</v>
      </c>
      <c r="P229" s="14" t="str">
        <f>IF(
    OR(ISBLANK(moras[[#This Row],[TIPO_ASEGURAMIENTO]]), moras[[#This Row],[TIPO_ASEGURAMIENTO]]=""),
    EDA!$A$32,
    moras[[#This Row],[TIPO_ASEGURAMIENTO]]
)</f>
        <v>ASALARIADO</v>
      </c>
    </row>
    <row r="230" spans="1:16" x14ac:dyDescent="0.3">
      <c r="A230">
        <v>229</v>
      </c>
      <c r="B230" t="s">
        <v>15</v>
      </c>
      <c r="C230">
        <v>450680</v>
      </c>
      <c r="D230" t="s">
        <v>18</v>
      </c>
      <c r="E230" t="s">
        <v>16</v>
      </c>
      <c r="F230" t="s">
        <v>12</v>
      </c>
      <c r="G230" t="s">
        <v>13</v>
      </c>
      <c r="H230" t="s">
        <v>12</v>
      </c>
      <c r="I230">
        <v>28</v>
      </c>
      <c r="J230">
        <f>ABS((I230-EDA!$A$15)/EDA!$B$15)</f>
        <v>0.98661430822120777</v>
      </c>
      <c r="K230" t="str">
        <f t="shared" si="3"/>
        <v>No</v>
      </c>
      <c r="L230">
        <f>ABS((C230-EDA!$F$15)/EDA!$G$15)</f>
        <v>0.36815433886730908</v>
      </c>
      <c r="M230" t="str">
        <f>IF(moras[[#This Row],[Z-Score Salario]]&gt;1.96, "Sí", "No")</f>
        <v>No</v>
      </c>
      <c r="N230" s="14">
        <f>IF(ISBLANK(moras[[#This Row],[SALARIO]]), EDA!$M$8, moras[[#This Row],[SALARIO]])</f>
        <v>450680</v>
      </c>
      <c r="O230" s="14">
        <f xml:space="preserve"> IF(ISBLANK(moras[[#This Row],[EDAD]]), EDA!$E$8, moras[[#This Row],[EDAD]])</f>
        <v>28</v>
      </c>
      <c r="P230" s="14" t="str">
        <f>IF(
    OR(ISBLANK(moras[[#This Row],[TIPO_ASEGURAMIENTO]]), moras[[#This Row],[TIPO_ASEGURAMIENTO]]=""),
    EDA!$A$32,
    moras[[#This Row],[TIPO_ASEGURAMIENTO]]
)</f>
        <v>TRABAJADOR INDEPENDIENTE</v>
      </c>
    </row>
    <row r="231" spans="1:16" x14ac:dyDescent="0.3">
      <c r="A231">
        <v>230</v>
      </c>
      <c r="B231" t="s">
        <v>9</v>
      </c>
      <c r="C231">
        <v>407031</v>
      </c>
      <c r="D231" t="s">
        <v>10</v>
      </c>
      <c r="E231" t="s">
        <v>16</v>
      </c>
      <c r="F231" t="s">
        <v>12</v>
      </c>
      <c r="G231" t="s">
        <v>13</v>
      </c>
      <c r="H231" t="s">
        <v>13</v>
      </c>
      <c r="I231">
        <v>51</v>
      </c>
      <c r="J231">
        <f>ABS((I231-EDA!$A$15)/EDA!$B$15)</f>
        <v>0.6366182835529548</v>
      </c>
      <c r="K231" t="str">
        <f t="shared" si="3"/>
        <v>No</v>
      </c>
      <c r="L231">
        <f>ABS((C231-EDA!$F$15)/EDA!$G$15)</f>
        <v>0.36888068903967058</v>
      </c>
      <c r="M231" t="str">
        <f>IF(moras[[#This Row],[Z-Score Salario]]&gt;1.96, "Sí", "No")</f>
        <v>No</v>
      </c>
      <c r="N231" s="14">
        <f>IF(ISBLANK(moras[[#This Row],[SALARIO]]), EDA!$M$8, moras[[#This Row],[SALARIO]])</f>
        <v>407031</v>
      </c>
      <c r="O231" s="14">
        <f xml:space="preserve"> IF(ISBLANK(moras[[#This Row],[EDAD]]), EDA!$E$8, moras[[#This Row],[EDAD]])</f>
        <v>51</v>
      </c>
      <c r="P231" s="14" t="str">
        <f>IF(
    OR(ISBLANK(moras[[#This Row],[TIPO_ASEGURAMIENTO]]), moras[[#This Row],[TIPO_ASEGURAMIENTO]]=""),
    EDA!$A$32,
    moras[[#This Row],[TIPO_ASEGURAMIENTO]]
)</f>
        <v>ASALARIADO</v>
      </c>
    </row>
    <row r="232" spans="1:16" x14ac:dyDescent="0.3">
      <c r="A232">
        <v>231</v>
      </c>
      <c r="B232" t="s">
        <v>9</v>
      </c>
      <c r="C232">
        <v>800000</v>
      </c>
      <c r="D232" t="s">
        <v>10</v>
      </c>
      <c r="E232" t="s">
        <v>16</v>
      </c>
      <c r="F232" t="s">
        <v>12</v>
      </c>
      <c r="G232" t="s">
        <v>13</v>
      </c>
      <c r="H232" t="s">
        <v>13</v>
      </c>
      <c r="I232">
        <v>54</v>
      </c>
      <c r="J232">
        <f>ABS((I232-EDA!$A$15)/EDA!$B$15)</f>
        <v>0.84834427378436728</v>
      </c>
      <c r="K232" t="str">
        <f t="shared" si="3"/>
        <v>No</v>
      </c>
      <c r="L232">
        <f>ABS((C232-EDA!$F$15)/EDA!$G$15)</f>
        <v>0.36234140747806037</v>
      </c>
      <c r="M232" t="str">
        <f>IF(moras[[#This Row],[Z-Score Salario]]&gt;1.96, "Sí", "No")</f>
        <v>No</v>
      </c>
      <c r="N232" s="14">
        <f>IF(ISBLANK(moras[[#This Row],[SALARIO]]), EDA!$M$8, moras[[#This Row],[SALARIO]])</f>
        <v>800000</v>
      </c>
      <c r="O232" s="14">
        <f xml:space="preserve"> IF(ISBLANK(moras[[#This Row],[EDAD]]), EDA!$E$8, moras[[#This Row],[EDAD]])</f>
        <v>54</v>
      </c>
      <c r="P232" s="14" t="str">
        <f>IF(
    OR(ISBLANK(moras[[#This Row],[TIPO_ASEGURAMIENTO]]), moras[[#This Row],[TIPO_ASEGURAMIENTO]]=""),
    EDA!$A$32,
    moras[[#This Row],[TIPO_ASEGURAMIENTO]]
)</f>
        <v>ASALARIADO</v>
      </c>
    </row>
    <row r="233" spans="1:16" x14ac:dyDescent="0.3">
      <c r="A233">
        <v>232</v>
      </c>
      <c r="B233" t="s">
        <v>9</v>
      </c>
      <c r="C233">
        <v>36630213</v>
      </c>
      <c r="D233" t="s">
        <v>10</v>
      </c>
      <c r="E233" t="s">
        <v>16</v>
      </c>
      <c r="F233" t="s">
        <v>12</v>
      </c>
      <c r="G233" t="s">
        <v>13</v>
      </c>
      <c r="H233" t="s">
        <v>13</v>
      </c>
      <c r="I233">
        <v>52</v>
      </c>
      <c r="J233">
        <f>ABS((I233-EDA!$A$15)/EDA!$B$15)</f>
        <v>0.70719361363009237</v>
      </c>
      <c r="K233" t="str">
        <f t="shared" si="3"/>
        <v>No</v>
      </c>
      <c r="L233">
        <f>ABS((C233-EDA!$F$15)/EDA!$G$15)</f>
        <v>0.23389862982632378</v>
      </c>
      <c r="M233" t="str">
        <f>IF(moras[[#This Row],[Z-Score Salario]]&gt;1.96, "Sí", "No")</f>
        <v>No</v>
      </c>
      <c r="N233" s="14">
        <f>IF(ISBLANK(moras[[#This Row],[SALARIO]]), EDA!$M$8, moras[[#This Row],[SALARIO]])</f>
        <v>36630213</v>
      </c>
      <c r="O233" s="14">
        <f xml:space="preserve"> IF(ISBLANK(moras[[#This Row],[EDAD]]), EDA!$E$8, moras[[#This Row],[EDAD]])</f>
        <v>52</v>
      </c>
      <c r="P233" s="14" t="str">
        <f>IF(
    OR(ISBLANK(moras[[#This Row],[TIPO_ASEGURAMIENTO]]), moras[[#This Row],[TIPO_ASEGURAMIENTO]]=""),
    EDA!$A$32,
    moras[[#This Row],[TIPO_ASEGURAMIENTO]]
)</f>
        <v>ASALARIADO</v>
      </c>
    </row>
    <row r="234" spans="1:16" x14ac:dyDescent="0.3">
      <c r="A234">
        <v>233</v>
      </c>
      <c r="B234" t="s">
        <v>15</v>
      </c>
      <c r="C234">
        <v>80110065</v>
      </c>
      <c r="D234" t="s">
        <v>10</v>
      </c>
      <c r="E234" t="s">
        <v>16</v>
      </c>
      <c r="F234" t="s">
        <v>12</v>
      </c>
      <c r="G234" t="s">
        <v>13</v>
      </c>
      <c r="H234" t="s">
        <v>13</v>
      </c>
      <c r="I234">
        <v>46</v>
      </c>
      <c r="J234">
        <f>ABS((I234-EDA!$A$15)/EDA!$B$15)</f>
        <v>0.2837416331672673</v>
      </c>
      <c r="K234" t="str">
        <f t="shared" si="3"/>
        <v>No</v>
      </c>
      <c r="L234">
        <f>ABS((C234-EDA!$F$15)/EDA!$G$15)</f>
        <v>0.95743406006418208</v>
      </c>
      <c r="M234" t="str">
        <f>IF(moras[[#This Row],[Z-Score Salario]]&gt;1.96, "Sí", "No")</f>
        <v>No</v>
      </c>
      <c r="N234" s="14">
        <f>IF(ISBLANK(moras[[#This Row],[SALARIO]]), EDA!$M$8, moras[[#This Row],[SALARIO]])</f>
        <v>80110065</v>
      </c>
      <c r="O234" s="14">
        <f xml:space="preserve"> IF(ISBLANK(moras[[#This Row],[EDAD]]), EDA!$E$8, moras[[#This Row],[EDAD]])</f>
        <v>46</v>
      </c>
      <c r="P234" s="14" t="str">
        <f>IF(
    OR(ISBLANK(moras[[#This Row],[TIPO_ASEGURAMIENTO]]), moras[[#This Row],[TIPO_ASEGURAMIENTO]]=""),
    EDA!$A$32,
    moras[[#This Row],[TIPO_ASEGURAMIENTO]]
)</f>
        <v>ASALARIADO</v>
      </c>
    </row>
    <row r="235" spans="1:16" x14ac:dyDescent="0.3">
      <c r="A235">
        <v>234</v>
      </c>
      <c r="B235" t="s">
        <v>9</v>
      </c>
      <c r="C235">
        <v>278030</v>
      </c>
      <c r="D235" t="s">
        <v>19</v>
      </c>
      <c r="E235" t="s">
        <v>16</v>
      </c>
      <c r="F235" t="s">
        <v>12</v>
      </c>
      <c r="G235" t="s">
        <v>13</v>
      </c>
      <c r="H235" t="s">
        <v>13</v>
      </c>
      <c r="I235">
        <v>37</v>
      </c>
      <c r="J235">
        <f>ABS((I235-EDA!$A$15)/EDA!$B$15)</f>
        <v>0.35143633752697023</v>
      </c>
      <c r="K235" t="str">
        <f t="shared" si="3"/>
        <v>No</v>
      </c>
      <c r="L235">
        <f>ABS((C235-EDA!$F$15)/EDA!$G$15)</f>
        <v>0.37102735674304993</v>
      </c>
      <c r="M235" t="str">
        <f>IF(moras[[#This Row],[Z-Score Salario]]&gt;1.96, "Sí", "No")</f>
        <v>No</v>
      </c>
      <c r="N235" s="14">
        <f>IF(ISBLANK(moras[[#This Row],[SALARIO]]), EDA!$M$8, moras[[#This Row],[SALARIO]])</f>
        <v>278030</v>
      </c>
      <c r="O235" s="14">
        <f xml:space="preserve"> IF(ISBLANK(moras[[#This Row],[EDAD]]), EDA!$E$8, moras[[#This Row],[EDAD]])</f>
        <v>37</v>
      </c>
      <c r="P235" s="14" t="str">
        <f>IF(
    OR(ISBLANK(moras[[#This Row],[TIPO_ASEGURAMIENTO]]), moras[[#This Row],[TIPO_ASEGURAMIENTO]]=""),
    EDA!$A$32,
    moras[[#This Row],[TIPO_ASEGURAMIENTO]]
)</f>
        <v>CONVENIOS ESPECIALES DE TRABAJADORES INDEPENDIENTES</v>
      </c>
    </row>
    <row r="236" spans="1:16" x14ac:dyDescent="0.3">
      <c r="A236">
        <v>235</v>
      </c>
      <c r="B236" t="s">
        <v>15</v>
      </c>
      <c r="C236">
        <v>300018</v>
      </c>
      <c r="D236" t="s">
        <v>17</v>
      </c>
      <c r="E236" t="s">
        <v>16</v>
      </c>
      <c r="F236" t="s">
        <v>12</v>
      </c>
      <c r="G236" t="s">
        <v>13</v>
      </c>
      <c r="H236" t="s">
        <v>13</v>
      </c>
      <c r="I236">
        <v>56</v>
      </c>
      <c r="J236">
        <f>ABS((I236-EDA!$A$15)/EDA!$B$15)</f>
        <v>0.9894949339386423</v>
      </c>
      <c r="K236" t="str">
        <f t="shared" si="3"/>
        <v>No</v>
      </c>
      <c r="L236">
        <f>ABS((C236-EDA!$F$15)/EDA!$G$15)</f>
        <v>0.37066146090145252</v>
      </c>
      <c r="M236" t="str">
        <f>IF(moras[[#This Row],[Z-Score Salario]]&gt;1.96, "Sí", "No")</f>
        <v>No</v>
      </c>
      <c r="N236" s="14">
        <f>IF(ISBLANK(moras[[#This Row],[SALARIO]]), EDA!$M$8, moras[[#This Row],[SALARIO]])</f>
        <v>300018</v>
      </c>
      <c r="O236" s="14">
        <f xml:space="preserve"> IF(ISBLANK(moras[[#This Row],[EDAD]]), EDA!$E$8, moras[[#This Row],[EDAD]])</f>
        <v>56</v>
      </c>
      <c r="P236" s="14" t="str">
        <f>IF(
    OR(ISBLANK(moras[[#This Row],[TIPO_ASEGURAMIENTO]]), moras[[#This Row],[TIPO_ASEGURAMIENTO]]=""),
    EDA!$A$32,
    moras[[#This Row],[TIPO_ASEGURAMIENTO]]
)</f>
        <v>ASEGURADO VOLUNTARIO</v>
      </c>
    </row>
    <row r="237" spans="1:16" x14ac:dyDescent="0.3">
      <c r="A237">
        <v>236</v>
      </c>
      <c r="B237" t="s">
        <v>15</v>
      </c>
      <c r="C237">
        <v>100247271</v>
      </c>
      <c r="D237" t="s">
        <v>10</v>
      </c>
      <c r="E237" t="s">
        <v>11</v>
      </c>
      <c r="F237" t="s">
        <v>12</v>
      </c>
      <c r="G237" t="s">
        <v>13</v>
      </c>
      <c r="H237" t="s">
        <v>13</v>
      </c>
      <c r="I237">
        <v>51</v>
      </c>
      <c r="J237">
        <f>ABS((I237-EDA!$A$15)/EDA!$B$15)</f>
        <v>0.6366182835529548</v>
      </c>
      <c r="K237" t="str">
        <f t="shared" si="3"/>
        <v>No</v>
      </c>
      <c r="L237">
        <f>ABS((C237-EDA!$F$15)/EDA!$G$15)</f>
        <v>1.2925313830035143</v>
      </c>
      <c r="M237" t="str">
        <f>IF(moras[[#This Row],[Z-Score Salario]]&gt;1.96, "Sí", "No")</f>
        <v>No</v>
      </c>
      <c r="N237" s="14">
        <f>IF(ISBLANK(moras[[#This Row],[SALARIO]]), EDA!$M$8, moras[[#This Row],[SALARIO]])</f>
        <v>100247271</v>
      </c>
      <c r="O237" s="14">
        <f xml:space="preserve"> IF(ISBLANK(moras[[#This Row],[EDAD]]), EDA!$E$8, moras[[#This Row],[EDAD]])</f>
        <v>51</v>
      </c>
      <c r="P237" s="14" t="str">
        <f>IF(
    OR(ISBLANK(moras[[#This Row],[TIPO_ASEGURAMIENTO]]), moras[[#This Row],[TIPO_ASEGURAMIENTO]]=""),
    EDA!$A$32,
    moras[[#This Row],[TIPO_ASEGURAMIENTO]]
)</f>
        <v>ASALARIADO</v>
      </c>
    </row>
    <row r="238" spans="1:16" x14ac:dyDescent="0.3">
      <c r="A238">
        <v>237</v>
      </c>
      <c r="B238" t="s">
        <v>9</v>
      </c>
      <c r="C238">
        <v>90459572</v>
      </c>
      <c r="D238" t="s">
        <v>10</v>
      </c>
      <c r="E238" t="s">
        <v>16</v>
      </c>
      <c r="F238" t="s">
        <v>12</v>
      </c>
      <c r="G238" t="s">
        <v>13</v>
      </c>
      <c r="H238" t="s">
        <v>13</v>
      </c>
      <c r="I238">
        <v>39</v>
      </c>
      <c r="J238">
        <f>ABS((I238-EDA!$A$15)/EDA!$B$15)</f>
        <v>0.21028567737269524</v>
      </c>
      <c r="K238" t="str">
        <f t="shared" si="3"/>
        <v>No</v>
      </c>
      <c r="L238">
        <f>ABS((C238-EDA!$F$15)/EDA!$G$15)</f>
        <v>1.1296571623874081</v>
      </c>
      <c r="M238" t="str">
        <f>IF(moras[[#This Row],[Z-Score Salario]]&gt;1.96, "Sí", "No")</f>
        <v>No</v>
      </c>
      <c r="N238" s="14">
        <f>IF(ISBLANK(moras[[#This Row],[SALARIO]]), EDA!$M$8, moras[[#This Row],[SALARIO]])</f>
        <v>90459572</v>
      </c>
      <c r="O238" s="14">
        <f xml:space="preserve"> IF(ISBLANK(moras[[#This Row],[EDAD]]), EDA!$E$8, moras[[#This Row],[EDAD]])</f>
        <v>39</v>
      </c>
      <c r="P238" s="14" t="str">
        <f>IF(
    OR(ISBLANK(moras[[#This Row],[TIPO_ASEGURAMIENTO]]), moras[[#This Row],[TIPO_ASEGURAMIENTO]]=""),
    EDA!$A$32,
    moras[[#This Row],[TIPO_ASEGURAMIENTO]]
)</f>
        <v>ASALARIADO</v>
      </c>
    </row>
    <row r="239" spans="1:16" x14ac:dyDescent="0.3">
      <c r="A239">
        <v>238</v>
      </c>
      <c r="B239" t="s">
        <v>15</v>
      </c>
      <c r="C239">
        <v>354854</v>
      </c>
      <c r="D239" t="s">
        <v>10</v>
      </c>
      <c r="E239" t="s">
        <v>16</v>
      </c>
      <c r="F239" t="s">
        <v>12</v>
      </c>
      <c r="G239" t="s">
        <v>13</v>
      </c>
      <c r="H239" t="s">
        <v>13</v>
      </c>
      <c r="I239">
        <v>25</v>
      </c>
      <c r="J239">
        <f>ABS((I239-EDA!$A$15)/EDA!$B$15)</f>
        <v>1.1983402984526204</v>
      </c>
      <c r="K239" t="str">
        <f t="shared" si="3"/>
        <v>No</v>
      </c>
      <c r="L239">
        <f>ABS((C239-EDA!$F$15)/EDA!$G$15)</f>
        <v>0.36974895115205131</v>
      </c>
      <c r="M239" t="str">
        <f>IF(moras[[#This Row],[Z-Score Salario]]&gt;1.96, "Sí", "No")</f>
        <v>No</v>
      </c>
      <c r="N239" s="14">
        <f>IF(ISBLANK(moras[[#This Row],[SALARIO]]), EDA!$M$8, moras[[#This Row],[SALARIO]])</f>
        <v>354854</v>
      </c>
      <c r="O239" s="14">
        <f xml:space="preserve"> IF(ISBLANK(moras[[#This Row],[EDAD]]), EDA!$E$8, moras[[#This Row],[EDAD]])</f>
        <v>25</v>
      </c>
      <c r="P239" s="14" t="str">
        <f>IF(
    OR(ISBLANK(moras[[#This Row],[TIPO_ASEGURAMIENTO]]), moras[[#This Row],[TIPO_ASEGURAMIENTO]]=""),
    EDA!$A$32,
    moras[[#This Row],[TIPO_ASEGURAMIENTO]]
)</f>
        <v>ASALARIADO</v>
      </c>
    </row>
    <row r="240" spans="1:16" x14ac:dyDescent="0.3">
      <c r="A240">
        <v>239</v>
      </c>
      <c r="B240" t="s">
        <v>15</v>
      </c>
      <c r="C240">
        <v>4489275</v>
      </c>
      <c r="D240" t="s">
        <v>10</v>
      </c>
      <c r="E240" t="s">
        <v>16</v>
      </c>
      <c r="F240" t="s">
        <v>12</v>
      </c>
      <c r="G240" t="s">
        <v>13</v>
      </c>
      <c r="H240" t="s">
        <v>13</v>
      </c>
      <c r="I240">
        <v>45</v>
      </c>
      <c r="J240">
        <f>ABS((I240-EDA!$A$15)/EDA!$B$15)</f>
        <v>0.21316630309012977</v>
      </c>
      <c r="K240" t="str">
        <f t="shared" si="3"/>
        <v>No</v>
      </c>
      <c r="L240">
        <f>ABS((C240-EDA!$F$15)/EDA!$G$15)</f>
        <v>0.30094926717383913</v>
      </c>
      <c r="M240" t="str">
        <f>IF(moras[[#This Row],[Z-Score Salario]]&gt;1.96, "Sí", "No")</f>
        <v>No</v>
      </c>
      <c r="N240" s="14">
        <f>IF(ISBLANK(moras[[#This Row],[SALARIO]]), EDA!$M$8, moras[[#This Row],[SALARIO]])</f>
        <v>4489275</v>
      </c>
      <c r="O240" s="14">
        <f xml:space="preserve"> IF(ISBLANK(moras[[#This Row],[EDAD]]), EDA!$E$8, moras[[#This Row],[EDAD]])</f>
        <v>45</v>
      </c>
      <c r="P240" s="14" t="str">
        <f>IF(
    OR(ISBLANK(moras[[#This Row],[TIPO_ASEGURAMIENTO]]), moras[[#This Row],[TIPO_ASEGURAMIENTO]]=""),
    EDA!$A$32,
    moras[[#This Row],[TIPO_ASEGURAMIENTO]]
)</f>
        <v>ASALARIADO</v>
      </c>
    </row>
    <row r="241" spans="1:16" x14ac:dyDescent="0.3">
      <c r="A241">
        <v>240</v>
      </c>
      <c r="B241" t="s">
        <v>15</v>
      </c>
      <c r="C241">
        <v>762579</v>
      </c>
      <c r="D241" t="s">
        <v>10</v>
      </c>
      <c r="E241" t="s">
        <v>16</v>
      </c>
      <c r="F241" t="s">
        <v>12</v>
      </c>
      <c r="G241" t="s">
        <v>13</v>
      </c>
      <c r="H241" t="s">
        <v>13</v>
      </c>
      <c r="I241">
        <v>26</v>
      </c>
      <c r="J241">
        <f>ABS((I241-EDA!$A$15)/EDA!$B$15)</f>
        <v>1.1277649683754829</v>
      </c>
      <c r="K241" t="str">
        <f t="shared" si="3"/>
        <v>No</v>
      </c>
      <c r="L241">
        <f>ABS((C241-EDA!$F$15)/EDA!$G$15)</f>
        <v>0.36296411933400069</v>
      </c>
      <c r="M241" t="str">
        <f>IF(moras[[#This Row],[Z-Score Salario]]&gt;1.96, "Sí", "No")</f>
        <v>No</v>
      </c>
      <c r="N241" s="14">
        <f>IF(ISBLANK(moras[[#This Row],[SALARIO]]), EDA!$M$8, moras[[#This Row],[SALARIO]])</f>
        <v>762579</v>
      </c>
      <c r="O241" s="14">
        <f xml:space="preserve"> IF(ISBLANK(moras[[#This Row],[EDAD]]), EDA!$E$8, moras[[#This Row],[EDAD]])</f>
        <v>26</v>
      </c>
      <c r="P241" s="14" t="str">
        <f>IF(
    OR(ISBLANK(moras[[#This Row],[TIPO_ASEGURAMIENTO]]), moras[[#This Row],[TIPO_ASEGURAMIENTO]]=""),
    EDA!$A$32,
    moras[[#This Row],[TIPO_ASEGURAMIENTO]]
)</f>
        <v>ASALARIADO</v>
      </c>
    </row>
    <row r="242" spans="1:16" x14ac:dyDescent="0.3">
      <c r="A242">
        <v>241</v>
      </c>
      <c r="B242" t="s">
        <v>9</v>
      </c>
      <c r="C242">
        <v>500000</v>
      </c>
      <c r="D242" t="s">
        <v>10</v>
      </c>
      <c r="E242" t="s">
        <v>16</v>
      </c>
      <c r="F242" t="s">
        <v>12</v>
      </c>
      <c r="G242" t="s">
        <v>13</v>
      </c>
      <c r="H242" t="s">
        <v>12</v>
      </c>
      <c r="I242">
        <v>61</v>
      </c>
      <c r="J242">
        <f>ABS((I242-EDA!$A$15)/EDA!$B$15)</f>
        <v>1.3423715843243298</v>
      </c>
      <c r="K242" t="str">
        <f t="shared" si="3"/>
        <v>No</v>
      </c>
      <c r="L242">
        <f>ABS((C242-EDA!$F$15)/EDA!$G$15)</f>
        <v>0.36733361925171953</v>
      </c>
      <c r="M242" t="str">
        <f>IF(moras[[#This Row],[Z-Score Salario]]&gt;1.96, "Sí", "No")</f>
        <v>No</v>
      </c>
      <c r="N242" s="14">
        <f>IF(ISBLANK(moras[[#This Row],[SALARIO]]), EDA!$M$8, moras[[#This Row],[SALARIO]])</f>
        <v>500000</v>
      </c>
      <c r="O242" s="14">
        <f xml:space="preserve"> IF(ISBLANK(moras[[#This Row],[EDAD]]), EDA!$E$8, moras[[#This Row],[EDAD]])</f>
        <v>61</v>
      </c>
      <c r="P242" s="14" t="str">
        <f>IF(
    OR(ISBLANK(moras[[#This Row],[TIPO_ASEGURAMIENTO]]), moras[[#This Row],[TIPO_ASEGURAMIENTO]]=""),
    EDA!$A$32,
    moras[[#This Row],[TIPO_ASEGURAMIENTO]]
)</f>
        <v>ASALARIADO</v>
      </c>
    </row>
    <row r="243" spans="1:16" x14ac:dyDescent="0.3">
      <c r="A243">
        <v>242</v>
      </c>
      <c r="B243" t="s">
        <v>9</v>
      </c>
      <c r="C243">
        <v>6063456</v>
      </c>
      <c r="D243" t="s">
        <v>10</v>
      </c>
      <c r="E243" t="s">
        <v>16</v>
      </c>
      <c r="F243" t="s">
        <v>12</v>
      </c>
      <c r="G243" t="s">
        <v>13</v>
      </c>
      <c r="H243" t="s">
        <v>13</v>
      </c>
      <c r="I243">
        <v>21</v>
      </c>
      <c r="J243">
        <f>ABS((I243-EDA!$A$15)/EDA!$B$15)</f>
        <v>1.4806416187611704</v>
      </c>
      <c r="K243" t="str">
        <f t="shared" si="3"/>
        <v>No</v>
      </c>
      <c r="L243">
        <f>ABS((C243-EDA!$F$15)/EDA!$G$15)</f>
        <v>0.27475378410027068</v>
      </c>
      <c r="M243" t="str">
        <f>IF(moras[[#This Row],[Z-Score Salario]]&gt;1.96, "Sí", "No")</f>
        <v>No</v>
      </c>
      <c r="N243" s="14">
        <f>IF(ISBLANK(moras[[#This Row],[SALARIO]]), EDA!$M$8, moras[[#This Row],[SALARIO]])</f>
        <v>6063456</v>
      </c>
      <c r="O243" s="14">
        <f xml:space="preserve"> IF(ISBLANK(moras[[#This Row],[EDAD]]), EDA!$E$8, moras[[#This Row],[EDAD]])</f>
        <v>21</v>
      </c>
      <c r="P243" s="14" t="str">
        <f>IF(
    OR(ISBLANK(moras[[#This Row],[TIPO_ASEGURAMIENTO]]), moras[[#This Row],[TIPO_ASEGURAMIENTO]]=""),
    EDA!$A$32,
    moras[[#This Row],[TIPO_ASEGURAMIENTO]]
)</f>
        <v>ASALARIADO</v>
      </c>
    </row>
    <row r="244" spans="1:16" x14ac:dyDescent="0.3">
      <c r="A244">
        <v>243</v>
      </c>
      <c r="B244" t="s">
        <v>15</v>
      </c>
      <c r="C244">
        <v>411069</v>
      </c>
      <c r="D244" t="s">
        <v>18</v>
      </c>
      <c r="E244" t="s">
        <v>16</v>
      </c>
      <c r="F244" t="s">
        <v>12</v>
      </c>
      <c r="G244" t="s">
        <v>13</v>
      </c>
      <c r="H244" t="s">
        <v>12</v>
      </c>
      <c r="I244">
        <v>56</v>
      </c>
      <c r="J244">
        <f>ABS((I244-EDA!$A$15)/EDA!$B$15)</f>
        <v>0.9894949339386423</v>
      </c>
      <c r="K244" t="str">
        <f t="shared" si="3"/>
        <v>No</v>
      </c>
      <c r="L244">
        <f>ABS((C244-EDA!$F$15)/EDA!$G$15)</f>
        <v>0.36881349386919715</v>
      </c>
      <c r="M244" t="str">
        <f>IF(moras[[#This Row],[Z-Score Salario]]&gt;1.96, "Sí", "No")</f>
        <v>No</v>
      </c>
      <c r="N244" s="14">
        <f>IF(ISBLANK(moras[[#This Row],[SALARIO]]), EDA!$M$8, moras[[#This Row],[SALARIO]])</f>
        <v>411069</v>
      </c>
      <c r="O244" s="14">
        <f xml:space="preserve"> IF(ISBLANK(moras[[#This Row],[EDAD]]), EDA!$E$8, moras[[#This Row],[EDAD]])</f>
        <v>56</v>
      </c>
      <c r="P244" s="14" t="str">
        <f>IF(
    OR(ISBLANK(moras[[#This Row],[TIPO_ASEGURAMIENTO]]), moras[[#This Row],[TIPO_ASEGURAMIENTO]]=""),
    EDA!$A$32,
    moras[[#This Row],[TIPO_ASEGURAMIENTO]]
)</f>
        <v>TRABAJADOR INDEPENDIENTE</v>
      </c>
    </row>
    <row r="245" spans="1:16" x14ac:dyDescent="0.3">
      <c r="A245">
        <v>244</v>
      </c>
      <c r="B245" t="s">
        <v>9</v>
      </c>
      <c r="C245">
        <v>636770</v>
      </c>
      <c r="D245" t="s">
        <v>10</v>
      </c>
      <c r="E245" t="s">
        <v>16</v>
      </c>
      <c r="F245" t="s">
        <v>12</v>
      </c>
      <c r="G245" t="s">
        <v>13</v>
      </c>
      <c r="H245" t="s">
        <v>13</v>
      </c>
      <c r="I245">
        <v>37</v>
      </c>
      <c r="J245">
        <f>ABS((I245-EDA!$A$15)/EDA!$B$15)</f>
        <v>0.35143633752697023</v>
      </c>
      <c r="K245" t="str">
        <f t="shared" si="3"/>
        <v>No</v>
      </c>
      <c r="L245">
        <f>ABS((C245-EDA!$F$15)/EDA!$G$15)</f>
        <v>0.36505766990410832</v>
      </c>
      <c r="M245" t="str">
        <f>IF(moras[[#This Row],[Z-Score Salario]]&gt;1.96, "Sí", "No")</f>
        <v>No</v>
      </c>
      <c r="N245" s="14">
        <f>IF(ISBLANK(moras[[#This Row],[SALARIO]]), EDA!$M$8, moras[[#This Row],[SALARIO]])</f>
        <v>636770</v>
      </c>
      <c r="O245" s="14">
        <f xml:space="preserve"> IF(ISBLANK(moras[[#This Row],[EDAD]]), EDA!$E$8, moras[[#This Row],[EDAD]])</f>
        <v>37</v>
      </c>
      <c r="P245" s="14" t="str">
        <f>IF(
    OR(ISBLANK(moras[[#This Row],[TIPO_ASEGURAMIENTO]]), moras[[#This Row],[TIPO_ASEGURAMIENTO]]=""),
    EDA!$A$32,
    moras[[#This Row],[TIPO_ASEGURAMIENTO]]
)</f>
        <v>ASALARIADO</v>
      </c>
    </row>
    <row r="246" spans="1:16" x14ac:dyDescent="0.3">
      <c r="A246">
        <v>245</v>
      </c>
      <c r="B246" t="s">
        <v>9</v>
      </c>
      <c r="C246">
        <v>299647</v>
      </c>
      <c r="D246" t="s">
        <v>17</v>
      </c>
      <c r="E246" t="s">
        <v>16</v>
      </c>
      <c r="F246" t="s">
        <v>12</v>
      </c>
      <c r="G246" t="s">
        <v>13</v>
      </c>
      <c r="H246" t="s">
        <v>13</v>
      </c>
      <c r="I246">
        <v>42</v>
      </c>
      <c r="J246">
        <f>ABS((I246-EDA!$A$15)/EDA!$B$15)</f>
        <v>1.4403128587172659E-3</v>
      </c>
      <c r="K246" t="str">
        <f t="shared" si="3"/>
        <v>No</v>
      </c>
      <c r="L246">
        <f>ABS((C246-EDA!$F$15)/EDA!$G$15)</f>
        <v>0.37066763460334595</v>
      </c>
      <c r="M246" t="str">
        <f>IF(moras[[#This Row],[Z-Score Salario]]&gt;1.96, "Sí", "No")</f>
        <v>No</v>
      </c>
      <c r="N246" s="14">
        <f>IF(ISBLANK(moras[[#This Row],[SALARIO]]), EDA!$M$8, moras[[#This Row],[SALARIO]])</f>
        <v>299647</v>
      </c>
      <c r="O246" s="14">
        <f xml:space="preserve"> IF(ISBLANK(moras[[#This Row],[EDAD]]), EDA!$E$8, moras[[#This Row],[EDAD]])</f>
        <v>42</v>
      </c>
      <c r="P246" s="14" t="str">
        <f>IF(
    OR(ISBLANK(moras[[#This Row],[TIPO_ASEGURAMIENTO]]), moras[[#This Row],[TIPO_ASEGURAMIENTO]]=""),
    EDA!$A$32,
    moras[[#This Row],[TIPO_ASEGURAMIENTO]]
)</f>
        <v>ASEGURADO VOLUNTARIO</v>
      </c>
    </row>
    <row r="247" spans="1:16" x14ac:dyDescent="0.3">
      <c r="A247">
        <v>246</v>
      </c>
      <c r="B247" t="s">
        <v>9</v>
      </c>
      <c r="C247">
        <v>43518243</v>
      </c>
      <c r="D247" t="s">
        <v>10</v>
      </c>
      <c r="E247" t="s">
        <v>16</v>
      </c>
      <c r="F247" t="s">
        <v>12</v>
      </c>
      <c r="G247" t="s">
        <v>13</v>
      </c>
      <c r="H247" t="s">
        <v>13</v>
      </c>
      <c r="I247">
        <v>24</v>
      </c>
      <c r="J247">
        <f>ABS((I247-EDA!$A$15)/EDA!$B$15)</f>
        <v>1.2689156285297578</v>
      </c>
      <c r="K247" t="str">
        <f t="shared" si="3"/>
        <v>No</v>
      </c>
      <c r="L247">
        <f>ABS((C247-EDA!$F$15)/EDA!$G$15)</f>
        <v>0.34852031137071532</v>
      </c>
      <c r="M247" t="str">
        <f>IF(moras[[#This Row],[Z-Score Salario]]&gt;1.96, "Sí", "No")</f>
        <v>No</v>
      </c>
      <c r="N247" s="14">
        <f>IF(ISBLANK(moras[[#This Row],[SALARIO]]), EDA!$M$8, moras[[#This Row],[SALARIO]])</f>
        <v>43518243</v>
      </c>
      <c r="O247" s="14">
        <f xml:space="preserve"> IF(ISBLANK(moras[[#This Row],[EDAD]]), EDA!$E$8, moras[[#This Row],[EDAD]])</f>
        <v>24</v>
      </c>
      <c r="P247" s="14" t="str">
        <f>IF(
    OR(ISBLANK(moras[[#This Row],[TIPO_ASEGURAMIENTO]]), moras[[#This Row],[TIPO_ASEGURAMIENTO]]=""),
    EDA!$A$32,
    moras[[#This Row],[TIPO_ASEGURAMIENTO]]
)</f>
        <v>ASALARIADO</v>
      </c>
    </row>
    <row r="248" spans="1:16" x14ac:dyDescent="0.3">
      <c r="A248">
        <v>247</v>
      </c>
      <c r="B248" t="s">
        <v>15</v>
      </c>
      <c r="C248">
        <v>2891000</v>
      </c>
      <c r="D248" t="s">
        <v>10</v>
      </c>
      <c r="E248" t="s">
        <v>16</v>
      </c>
      <c r="F248" t="s">
        <v>12</v>
      </c>
      <c r="G248" t="s">
        <v>13</v>
      </c>
      <c r="H248" t="s">
        <v>13</v>
      </c>
      <c r="I248">
        <v>32</v>
      </c>
      <c r="J248">
        <f>ABS((I248-EDA!$A$15)/EDA!$B$15)</f>
        <v>0.70431298791265773</v>
      </c>
      <c r="K248" t="str">
        <f t="shared" si="3"/>
        <v>No</v>
      </c>
      <c r="L248">
        <f>ABS((C248-EDA!$F$15)/EDA!$G$15)</f>
        <v>0.32754569141565609</v>
      </c>
      <c r="M248" t="str">
        <f>IF(moras[[#This Row],[Z-Score Salario]]&gt;1.96, "Sí", "No")</f>
        <v>No</v>
      </c>
      <c r="N248" s="14">
        <f>IF(ISBLANK(moras[[#This Row],[SALARIO]]), EDA!$M$8, moras[[#This Row],[SALARIO]])</f>
        <v>2891000</v>
      </c>
      <c r="O248" s="14">
        <f xml:space="preserve"> IF(ISBLANK(moras[[#This Row],[EDAD]]), EDA!$E$8, moras[[#This Row],[EDAD]])</f>
        <v>32</v>
      </c>
      <c r="P248" s="14" t="str">
        <f>IF(
    OR(ISBLANK(moras[[#This Row],[TIPO_ASEGURAMIENTO]]), moras[[#This Row],[TIPO_ASEGURAMIENTO]]=""),
    EDA!$A$32,
    moras[[#This Row],[TIPO_ASEGURAMIENTO]]
)</f>
        <v>ASALARIADO</v>
      </c>
    </row>
    <row r="249" spans="1:16" x14ac:dyDescent="0.3">
      <c r="A249">
        <v>248</v>
      </c>
      <c r="B249" t="s">
        <v>9</v>
      </c>
      <c r="C249">
        <v>409154</v>
      </c>
      <c r="D249" t="s">
        <v>10</v>
      </c>
      <c r="E249" t="s">
        <v>11</v>
      </c>
      <c r="F249" t="s">
        <v>12</v>
      </c>
      <c r="G249" t="s">
        <v>13</v>
      </c>
      <c r="H249" t="s">
        <v>12</v>
      </c>
      <c r="I249">
        <v>36</v>
      </c>
      <c r="J249">
        <f>ABS((I249-EDA!$A$15)/EDA!$B$15)</f>
        <v>0.42201166760410774</v>
      </c>
      <c r="K249" t="str">
        <f t="shared" si="3"/>
        <v>No</v>
      </c>
      <c r="L249">
        <f>ABS((C249-EDA!$F$15)/EDA!$G$15)</f>
        <v>0.36884536082101899</v>
      </c>
      <c r="M249" t="str">
        <f>IF(moras[[#This Row],[Z-Score Salario]]&gt;1.96, "Sí", "No")</f>
        <v>No</v>
      </c>
      <c r="N249" s="14">
        <f>IF(ISBLANK(moras[[#This Row],[SALARIO]]), EDA!$M$8, moras[[#This Row],[SALARIO]])</f>
        <v>409154</v>
      </c>
      <c r="O249" s="14">
        <f xml:space="preserve"> IF(ISBLANK(moras[[#This Row],[EDAD]]), EDA!$E$8, moras[[#This Row],[EDAD]])</f>
        <v>36</v>
      </c>
      <c r="P249" s="14" t="str">
        <f>IF(
    OR(ISBLANK(moras[[#This Row],[TIPO_ASEGURAMIENTO]]), moras[[#This Row],[TIPO_ASEGURAMIENTO]]=""),
    EDA!$A$32,
    moras[[#This Row],[TIPO_ASEGURAMIENTO]]
)</f>
        <v>ASALARIADO</v>
      </c>
    </row>
    <row r="250" spans="1:16" x14ac:dyDescent="0.3">
      <c r="A250">
        <v>249</v>
      </c>
      <c r="B250" t="s">
        <v>15</v>
      </c>
      <c r="C250">
        <v>556132</v>
      </c>
      <c r="D250" t="s">
        <v>10</v>
      </c>
      <c r="E250" t="s">
        <v>11</v>
      </c>
      <c r="F250" t="s">
        <v>12</v>
      </c>
      <c r="G250" t="s">
        <v>13</v>
      </c>
      <c r="H250" t="s">
        <v>13</v>
      </c>
      <c r="I250">
        <v>51</v>
      </c>
      <c r="J250">
        <f>ABS((I250-EDA!$A$15)/EDA!$B$15)</f>
        <v>0.6366182835529548</v>
      </c>
      <c r="K250" t="str">
        <f t="shared" si="3"/>
        <v>No</v>
      </c>
      <c r="L250">
        <f>ABS((C250-EDA!$F$15)/EDA!$G$15)</f>
        <v>0.36639954314745604</v>
      </c>
      <c r="M250" t="str">
        <f>IF(moras[[#This Row],[Z-Score Salario]]&gt;1.96, "Sí", "No")</f>
        <v>No</v>
      </c>
      <c r="N250" s="14">
        <f>IF(ISBLANK(moras[[#This Row],[SALARIO]]), EDA!$M$8, moras[[#This Row],[SALARIO]])</f>
        <v>556132</v>
      </c>
      <c r="O250" s="14">
        <f xml:space="preserve"> IF(ISBLANK(moras[[#This Row],[EDAD]]), EDA!$E$8, moras[[#This Row],[EDAD]])</f>
        <v>51</v>
      </c>
      <c r="P250" s="14" t="str">
        <f>IF(
    OR(ISBLANK(moras[[#This Row],[TIPO_ASEGURAMIENTO]]), moras[[#This Row],[TIPO_ASEGURAMIENTO]]=""),
    EDA!$A$32,
    moras[[#This Row],[TIPO_ASEGURAMIENTO]]
)</f>
        <v>ASALARIADO</v>
      </c>
    </row>
    <row r="251" spans="1:16" x14ac:dyDescent="0.3">
      <c r="A251">
        <v>250</v>
      </c>
      <c r="B251" t="s">
        <v>15</v>
      </c>
      <c r="C251">
        <v>173710</v>
      </c>
      <c r="D251" t="s">
        <v>10</v>
      </c>
      <c r="E251" t="s">
        <v>16</v>
      </c>
      <c r="F251" t="s">
        <v>12</v>
      </c>
      <c r="G251" t="s">
        <v>13</v>
      </c>
      <c r="H251" t="s">
        <v>13</v>
      </c>
      <c r="I251">
        <v>20</v>
      </c>
      <c r="J251">
        <f>ABS((I251-EDA!$A$15)/EDA!$B$15)</f>
        <v>1.5512169488383079</v>
      </c>
      <c r="K251" t="str">
        <f t="shared" si="3"/>
        <v>No</v>
      </c>
      <c r="L251">
        <f>ABS((C251-EDA!$F$15)/EDA!$G$15)</f>
        <v>0.37276331518381034</v>
      </c>
      <c r="M251" t="str">
        <f>IF(moras[[#This Row],[Z-Score Salario]]&gt;1.96, "Sí", "No")</f>
        <v>No</v>
      </c>
      <c r="N251" s="14">
        <f>IF(ISBLANK(moras[[#This Row],[SALARIO]]), EDA!$M$8, moras[[#This Row],[SALARIO]])</f>
        <v>173710</v>
      </c>
      <c r="O251" s="14">
        <f xml:space="preserve"> IF(ISBLANK(moras[[#This Row],[EDAD]]), EDA!$E$8, moras[[#This Row],[EDAD]])</f>
        <v>20</v>
      </c>
      <c r="P251" s="14" t="str">
        <f>IF(
    OR(ISBLANK(moras[[#This Row],[TIPO_ASEGURAMIENTO]]), moras[[#This Row],[TIPO_ASEGURAMIENTO]]=""),
    EDA!$A$32,
    moras[[#This Row],[TIPO_ASEGURAMIENTO]]
)</f>
        <v>ASALARIADO</v>
      </c>
    </row>
    <row r="252" spans="1:16" x14ac:dyDescent="0.3">
      <c r="A252">
        <v>251</v>
      </c>
      <c r="B252" t="s">
        <v>15</v>
      </c>
      <c r="C252">
        <v>60189822</v>
      </c>
      <c r="D252" t="s">
        <v>10</v>
      </c>
      <c r="E252" t="s">
        <v>11</v>
      </c>
      <c r="F252" t="s">
        <v>12</v>
      </c>
      <c r="G252" t="s">
        <v>13</v>
      </c>
      <c r="H252" t="s">
        <v>13</v>
      </c>
      <c r="I252">
        <v>21</v>
      </c>
      <c r="J252">
        <f>ABS((I252-EDA!$A$15)/EDA!$B$15)</f>
        <v>1.4806416187611704</v>
      </c>
      <c r="K252" t="str">
        <f t="shared" si="3"/>
        <v>No</v>
      </c>
      <c r="L252">
        <f>ABS((C252-EDA!$F$15)/EDA!$G$15)</f>
        <v>0.6259471546016776</v>
      </c>
      <c r="M252" t="str">
        <f>IF(moras[[#This Row],[Z-Score Salario]]&gt;1.96, "Sí", "No")</f>
        <v>No</v>
      </c>
      <c r="N252" s="14">
        <f>IF(ISBLANK(moras[[#This Row],[SALARIO]]), EDA!$M$8, moras[[#This Row],[SALARIO]])</f>
        <v>60189822</v>
      </c>
      <c r="O252" s="14">
        <f xml:space="preserve"> IF(ISBLANK(moras[[#This Row],[EDAD]]), EDA!$E$8, moras[[#This Row],[EDAD]])</f>
        <v>21</v>
      </c>
      <c r="P252" s="14" t="str">
        <f>IF(
    OR(ISBLANK(moras[[#This Row],[TIPO_ASEGURAMIENTO]]), moras[[#This Row],[TIPO_ASEGURAMIENTO]]=""),
    EDA!$A$32,
    moras[[#This Row],[TIPO_ASEGURAMIENTO]]
)</f>
        <v>ASALARIADO</v>
      </c>
    </row>
    <row r="253" spans="1:16" x14ac:dyDescent="0.3">
      <c r="A253">
        <v>252</v>
      </c>
      <c r="B253" t="s">
        <v>9</v>
      </c>
      <c r="C253">
        <v>297046</v>
      </c>
      <c r="D253" t="s">
        <v>17</v>
      </c>
      <c r="E253" t="s">
        <v>16</v>
      </c>
      <c r="F253" t="s">
        <v>12</v>
      </c>
      <c r="G253" t="s">
        <v>13</v>
      </c>
      <c r="H253" t="s">
        <v>13</v>
      </c>
      <c r="I253">
        <v>26</v>
      </c>
      <c r="J253">
        <f>ABS((I253-EDA!$A$15)/EDA!$B$15)</f>
        <v>1.1277649683754829</v>
      </c>
      <c r="K253" t="str">
        <f t="shared" si="3"/>
        <v>No</v>
      </c>
      <c r="L253">
        <f>ABS((C253-EDA!$F$15)/EDA!$G$15)</f>
        <v>0.37071091707942361</v>
      </c>
      <c r="M253" t="str">
        <f>IF(moras[[#This Row],[Z-Score Salario]]&gt;1.96, "Sí", "No")</f>
        <v>No</v>
      </c>
      <c r="N253" s="14">
        <f>IF(ISBLANK(moras[[#This Row],[SALARIO]]), EDA!$M$8, moras[[#This Row],[SALARIO]])</f>
        <v>297046</v>
      </c>
      <c r="O253" s="14">
        <f xml:space="preserve"> IF(ISBLANK(moras[[#This Row],[EDAD]]), EDA!$E$8, moras[[#This Row],[EDAD]])</f>
        <v>26</v>
      </c>
      <c r="P253" s="14" t="str">
        <f>IF(
    OR(ISBLANK(moras[[#This Row],[TIPO_ASEGURAMIENTO]]), moras[[#This Row],[TIPO_ASEGURAMIENTO]]=""),
    EDA!$A$32,
    moras[[#This Row],[TIPO_ASEGURAMIENTO]]
)</f>
        <v>ASEGURADO VOLUNTARIO</v>
      </c>
    </row>
    <row r="254" spans="1:16" x14ac:dyDescent="0.3">
      <c r="A254">
        <v>253</v>
      </c>
      <c r="B254" t="s">
        <v>9</v>
      </c>
      <c r="C254">
        <v>45508765</v>
      </c>
      <c r="D254" t="s">
        <v>10</v>
      </c>
      <c r="E254" t="s">
        <v>16</v>
      </c>
      <c r="F254" t="s">
        <v>12</v>
      </c>
      <c r="G254" t="s">
        <v>13</v>
      </c>
      <c r="H254" t="s">
        <v>13</v>
      </c>
      <c r="I254">
        <v>58</v>
      </c>
      <c r="J254">
        <f>ABS((I254-EDA!$A$15)/EDA!$B$15)</f>
        <v>1.1306455940929174</v>
      </c>
      <c r="K254" t="str">
        <f t="shared" si="3"/>
        <v>No</v>
      </c>
      <c r="L254">
        <f>ABS((C254-EDA!$F$15)/EDA!$G$15)</f>
        <v>0.38164400258447384</v>
      </c>
      <c r="M254" t="str">
        <f>IF(moras[[#This Row],[Z-Score Salario]]&gt;1.96, "Sí", "No")</f>
        <v>No</v>
      </c>
      <c r="N254" s="14">
        <f>IF(ISBLANK(moras[[#This Row],[SALARIO]]), EDA!$M$8, moras[[#This Row],[SALARIO]])</f>
        <v>45508765</v>
      </c>
      <c r="O254" s="14">
        <f xml:space="preserve"> IF(ISBLANK(moras[[#This Row],[EDAD]]), EDA!$E$8, moras[[#This Row],[EDAD]])</f>
        <v>58</v>
      </c>
      <c r="P254" s="14" t="str">
        <f>IF(
    OR(ISBLANK(moras[[#This Row],[TIPO_ASEGURAMIENTO]]), moras[[#This Row],[TIPO_ASEGURAMIENTO]]=""),
    EDA!$A$32,
    moras[[#This Row],[TIPO_ASEGURAMIENTO]]
)</f>
        <v>ASALARIADO</v>
      </c>
    </row>
    <row r="255" spans="1:16" x14ac:dyDescent="0.3">
      <c r="A255">
        <v>254</v>
      </c>
      <c r="B255" t="s">
        <v>9</v>
      </c>
      <c r="C255">
        <v>278030</v>
      </c>
      <c r="D255" t="s">
        <v>19</v>
      </c>
      <c r="E255" t="s">
        <v>16</v>
      </c>
      <c r="F255" t="s">
        <v>12</v>
      </c>
      <c r="G255" t="s">
        <v>13</v>
      </c>
      <c r="H255" t="s">
        <v>12</v>
      </c>
      <c r="I255">
        <v>50</v>
      </c>
      <c r="J255">
        <f>ABS((I255-EDA!$A$15)/EDA!$B$15)</f>
        <v>0.56604295347581735</v>
      </c>
      <c r="K255" t="str">
        <f t="shared" si="3"/>
        <v>No</v>
      </c>
      <c r="L255">
        <f>ABS((C255-EDA!$F$15)/EDA!$G$15)</f>
        <v>0.37102735674304993</v>
      </c>
      <c r="M255" t="str">
        <f>IF(moras[[#This Row],[Z-Score Salario]]&gt;1.96, "Sí", "No")</f>
        <v>No</v>
      </c>
      <c r="N255" s="14">
        <f>IF(ISBLANK(moras[[#This Row],[SALARIO]]), EDA!$M$8, moras[[#This Row],[SALARIO]])</f>
        <v>278030</v>
      </c>
      <c r="O255" s="14">
        <f xml:space="preserve"> IF(ISBLANK(moras[[#This Row],[EDAD]]), EDA!$E$8, moras[[#This Row],[EDAD]])</f>
        <v>50</v>
      </c>
      <c r="P255" s="14" t="str">
        <f>IF(
    OR(ISBLANK(moras[[#This Row],[TIPO_ASEGURAMIENTO]]), moras[[#This Row],[TIPO_ASEGURAMIENTO]]=""),
    EDA!$A$32,
    moras[[#This Row],[TIPO_ASEGURAMIENTO]]
)</f>
        <v>CONVENIOS ESPECIALES DE TRABAJADORES INDEPENDIENTES</v>
      </c>
    </row>
    <row r="256" spans="1:16" x14ac:dyDescent="0.3">
      <c r="A256">
        <v>255</v>
      </c>
      <c r="B256" t="s">
        <v>15</v>
      </c>
      <c r="C256">
        <v>11982616</v>
      </c>
      <c r="D256" t="s">
        <v>10</v>
      </c>
      <c r="E256" t="s">
        <v>11</v>
      </c>
      <c r="F256" t="s">
        <v>12</v>
      </c>
      <c r="G256" t="s">
        <v>13</v>
      </c>
      <c r="H256" t="s">
        <v>13</v>
      </c>
      <c r="I256">
        <v>43</v>
      </c>
      <c r="J256">
        <f>ABS((I256-EDA!$A$15)/EDA!$B$15)</f>
        <v>7.2015642935854773E-2</v>
      </c>
      <c r="K256" t="str">
        <f t="shared" si="3"/>
        <v>No</v>
      </c>
      <c r="L256">
        <f>ABS((C256-EDA!$F$15)/EDA!$G$15)</f>
        <v>0.17625478329302963</v>
      </c>
      <c r="M256" t="str">
        <f>IF(moras[[#This Row],[Z-Score Salario]]&gt;1.96, "Sí", "No")</f>
        <v>No</v>
      </c>
      <c r="N256" s="14">
        <f>IF(ISBLANK(moras[[#This Row],[SALARIO]]), EDA!$M$8, moras[[#This Row],[SALARIO]])</f>
        <v>11982616</v>
      </c>
      <c r="O256" s="14">
        <f xml:space="preserve"> IF(ISBLANK(moras[[#This Row],[EDAD]]), EDA!$E$8, moras[[#This Row],[EDAD]])</f>
        <v>43</v>
      </c>
      <c r="P256" s="14" t="str">
        <f>IF(
    OR(ISBLANK(moras[[#This Row],[TIPO_ASEGURAMIENTO]]), moras[[#This Row],[TIPO_ASEGURAMIENTO]]=""),
    EDA!$A$32,
    moras[[#This Row],[TIPO_ASEGURAMIENTO]]
)</f>
        <v>ASALARIADO</v>
      </c>
    </row>
    <row r="257" spans="1:16" x14ac:dyDescent="0.3">
      <c r="A257">
        <v>256</v>
      </c>
      <c r="B257" t="s">
        <v>15</v>
      </c>
      <c r="C257">
        <v>43014781</v>
      </c>
      <c r="D257" t="s">
        <v>10</v>
      </c>
      <c r="E257" t="s">
        <v>16</v>
      </c>
      <c r="F257" t="s">
        <v>12</v>
      </c>
      <c r="G257" t="s">
        <v>13</v>
      </c>
      <c r="H257" t="s">
        <v>13</v>
      </c>
      <c r="I257">
        <v>50</v>
      </c>
      <c r="J257">
        <f>ABS((I257-EDA!$A$15)/EDA!$B$15)</f>
        <v>0.56604295347581735</v>
      </c>
      <c r="K257" t="str">
        <f t="shared" si="3"/>
        <v>No</v>
      </c>
      <c r="L257">
        <f>ABS((C257-EDA!$F$15)/EDA!$G$15)</f>
        <v>0.34014234829074869</v>
      </c>
      <c r="M257" t="str">
        <f>IF(moras[[#This Row],[Z-Score Salario]]&gt;1.96, "Sí", "No")</f>
        <v>No</v>
      </c>
      <c r="N257" s="14">
        <f>IF(ISBLANK(moras[[#This Row],[SALARIO]]), EDA!$M$8, moras[[#This Row],[SALARIO]])</f>
        <v>43014781</v>
      </c>
      <c r="O257" s="14">
        <f xml:space="preserve"> IF(ISBLANK(moras[[#This Row],[EDAD]]), EDA!$E$8, moras[[#This Row],[EDAD]])</f>
        <v>50</v>
      </c>
      <c r="P257" s="14" t="str">
        <f>IF(
    OR(ISBLANK(moras[[#This Row],[TIPO_ASEGURAMIENTO]]), moras[[#This Row],[TIPO_ASEGURAMIENTO]]=""),
    EDA!$A$32,
    moras[[#This Row],[TIPO_ASEGURAMIENTO]]
)</f>
        <v>ASALARIADO</v>
      </c>
    </row>
    <row r="258" spans="1:16" x14ac:dyDescent="0.3">
      <c r="A258">
        <v>257</v>
      </c>
      <c r="B258" t="s">
        <v>15</v>
      </c>
      <c r="C258">
        <v>500000</v>
      </c>
      <c r="D258" t="s">
        <v>10</v>
      </c>
      <c r="E258" t="s">
        <v>16</v>
      </c>
      <c r="F258" t="s">
        <v>12</v>
      </c>
      <c r="G258" t="s">
        <v>13</v>
      </c>
      <c r="H258" t="s">
        <v>12</v>
      </c>
      <c r="I258">
        <v>23</v>
      </c>
      <c r="J258">
        <f>ABS((I258-EDA!$A$15)/EDA!$B$15)</f>
        <v>1.3394909586068953</v>
      </c>
      <c r="K258" t="str">
        <f t="shared" ref="K258:K321" si="4">IF(J258 &gt;  1.96, "Sí","No")</f>
        <v>No</v>
      </c>
      <c r="L258">
        <f>ABS((C258-EDA!$F$15)/EDA!$G$15)</f>
        <v>0.36733361925171953</v>
      </c>
      <c r="M258" t="str">
        <f>IF(moras[[#This Row],[Z-Score Salario]]&gt;1.96, "Sí", "No")</f>
        <v>No</v>
      </c>
      <c r="N258" s="14">
        <f>IF(ISBLANK(moras[[#This Row],[SALARIO]]), EDA!$M$8, moras[[#This Row],[SALARIO]])</f>
        <v>500000</v>
      </c>
      <c r="O258" s="14">
        <f xml:space="preserve"> IF(ISBLANK(moras[[#This Row],[EDAD]]), EDA!$E$8, moras[[#This Row],[EDAD]])</f>
        <v>23</v>
      </c>
      <c r="P258" s="14" t="str">
        <f>IF(
    OR(ISBLANK(moras[[#This Row],[TIPO_ASEGURAMIENTO]]), moras[[#This Row],[TIPO_ASEGURAMIENTO]]=""),
    EDA!$A$32,
    moras[[#This Row],[TIPO_ASEGURAMIENTO]]
)</f>
        <v>ASALARIADO</v>
      </c>
    </row>
    <row r="259" spans="1:16" x14ac:dyDescent="0.3">
      <c r="A259">
        <v>258</v>
      </c>
      <c r="B259" t="s">
        <v>15</v>
      </c>
      <c r="C259">
        <v>181962578</v>
      </c>
      <c r="D259" t="s">
        <v>10</v>
      </c>
      <c r="E259" t="s">
        <v>16</v>
      </c>
      <c r="F259" t="s">
        <v>12</v>
      </c>
      <c r="G259" t="s">
        <v>13</v>
      </c>
      <c r="H259" t="s">
        <v>13</v>
      </c>
      <c r="I259">
        <v>38</v>
      </c>
      <c r="J259">
        <f>ABS((I259-EDA!$A$15)/EDA!$B$15)</f>
        <v>0.28086100744983278</v>
      </c>
      <c r="K259" t="str">
        <f t="shared" si="4"/>
        <v>No</v>
      </c>
      <c r="L259">
        <f>ABS((C259-EDA!$F$15)/EDA!$G$15)</f>
        <v>2.6523317753154219</v>
      </c>
      <c r="M259" t="str">
        <f>IF(moras[[#This Row],[Z-Score Salario]]&gt;1.96, "Sí", "No")</f>
        <v>Sí</v>
      </c>
      <c r="N259" s="14">
        <f>IF(ISBLANK(moras[[#This Row],[SALARIO]]), EDA!$M$8, moras[[#This Row],[SALARIO]])</f>
        <v>181962578</v>
      </c>
      <c r="O259" s="14">
        <f xml:space="preserve"> IF(ISBLANK(moras[[#This Row],[EDAD]]), EDA!$E$8, moras[[#This Row],[EDAD]])</f>
        <v>38</v>
      </c>
      <c r="P259" s="14" t="str">
        <f>IF(
    OR(ISBLANK(moras[[#This Row],[TIPO_ASEGURAMIENTO]]), moras[[#This Row],[TIPO_ASEGURAMIENTO]]=""),
    EDA!$A$32,
    moras[[#This Row],[TIPO_ASEGURAMIENTO]]
)</f>
        <v>ASALARIADO</v>
      </c>
    </row>
    <row r="260" spans="1:16" x14ac:dyDescent="0.3">
      <c r="A260">
        <v>259</v>
      </c>
      <c r="B260" t="s">
        <v>15</v>
      </c>
      <c r="C260">
        <v>355312</v>
      </c>
      <c r="D260" t="s">
        <v>10</v>
      </c>
      <c r="E260" t="s">
        <v>16</v>
      </c>
      <c r="F260" t="s">
        <v>12</v>
      </c>
      <c r="G260" t="s">
        <v>13</v>
      </c>
      <c r="H260" t="s">
        <v>13</v>
      </c>
      <c r="I260">
        <v>56</v>
      </c>
      <c r="J260">
        <f>ABS((I260-EDA!$A$15)/EDA!$B$15)</f>
        <v>0.9894949339386423</v>
      </c>
      <c r="K260" t="str">
        <f t="shared" si="4"/>
        <v>No</v>
      </c>
      <c r="L260">
        <f>ABS((C260-EDA!$F$15)/EDA!$G$15)</f>
        <v>0.36974132970874352</v>
      </c>
      <c r="M260" t="str">
        <f>IF(moras[[#This Row],[Z-Score Salario]]&gt;1.96, "Sí", "No")</f>
        <v>No</v>
      </c>
      <c r="N260" s="14">
        <f>IF(ISBLANK(moras[[#This Row],[SALARIO]]), EDA!$M$8, moras[[#This Row],[SALARIO]])</f>
        <v>355312</v>
      </c>
      <c r="O260" s="14">
        <f xml:space="preserve"> IF(ISBLANK(moras[[#This Row],[EDAD]]), EDA!$E$8, moras[[#This Row],[EDAD]])</f>
        <v>56</v>
      </c>
      <c r="P260" s="14" t="str">
        <f>IF(
    OR(ISBLANK(moras[[#This Row],[TIPO_ASEGURAMIENTO]]), moras[[#This Row],[TIPO_ASEGURAMIENTO]]=""),
    EDA!$A$32,
    moras[[#This Row],[TIPO_ASEGURAMIENTO]]
)</f>
        <v>ASALARIADO</v>
      </c>
    </row>
    <row r="261" spans="1:16" x14ac:dyDescent="0.3">
      <c r="A261">
        <v>260</v>
      </c>
      <c r="B261" t="s">
        <v>9</v>
      </c>
      <c r="C261">
        <v>262016</v>
      </c>
      <c r="D261" t="s">
        <v>10</v>
      </c>
      <c r="E261" t="s">
        <v>16</v>
      </c>
      <c r="F261" t="s">
        <v>12</v>
      </c>
      <c r="G261" t="s">
        <v>13</v>
      </c>
      <c r="H261" t="s">
        <v>13</v>
      </c>
      <c r="I261">
        <v>40</v>
      </c>
      <c r="J261">
        <f>ABS((I261-EDA!$A$15)/EDA!$B$15)</f>
        <v>0.13971034729555773</v>
      </c>
      <c r="K261" t="str">
        <f t="shared" si="4"/>
        <v>No</v>
      </c>
      <c r="L261">
        <f>ABS((C261-EDA!$F$15)/EDA!$G$15)</f>
        <v>0.37129384100752783</v>
      </c>
      <c r="M261" t="str">
        <f>IF(moras[[#This Row],[Z-Score Salario]]&gt;1.96, "Sí", "No")</f>
        <v>No</v>
      </c>
      <c r="N261" s="14">
        <f>IF(ISBLANK(moras[[#This Row],[SALARIO]]), EDA!$M$8, moras[[#This Row],[SALARIO]])</f>
        <v>262016</v>
      </c>
      <c r="O261" s="14">
        <f xml:space="preserve"> IF(ISBLANK(moras[[#This Row],[EDAD]]), EDA!$E$8, moras[[#This Row],[EDAD]])</f>
        <v>40</v>
      </c>
      <c r="P261" s="14" t="str">
        <f>IF(
    OR(ISBLANK(moras[[#This Row],[TIPO_ASEGURAMIENTO]]), moras[[#This Row],[TIPO_ASEGURAMIENTO]]=""),
    EDA!$A$32,
    moras[[#This Row],[TIPO_ASEGURAMIENTO]]
)</f>
        <v>ASALARIADO</v>
      </c>
    </row>
    <row r="262" spans="1:16" x14ac:dyDescent="0.3">
      <c r="A262">
        <v>261</v>
      </c>
      <c r="B262" t="s">
        <v>9</v>
      </c>
      <c r="C262">
        <v>50721275</v>
      </c>
      <c r="D262" t="s">
        <v>10</v>
      </c>
      <c r="E262" t="s">
        <v>11</v>
      </c>
      <c r="F262" t="s">
        <v>12</v>
      </c>
      <c r="G262" t="s">
        <v>13</v>
      </c>
      <c r="H262" t="s">
        <v>13</v>
      </c>
      <c r="I262">
        <v>62</v>
      </c>
      <c r="J262">
        <f>ABS((I262-EDA!$A$15)/EDA!$B$15)</f>
        <v>1.4129469144014672</v>
      </c>
      <c r="K262" t="str">
        <f t="shared" si="4"/>
        <v>No</v>
      </c>
      <c r="L262">
        <f>ABS((C262-EDA!$F$15)/EDA!$G$15)</f>
        <v>0.46838384855886078</v>
      </c>
      <c r="M262" t="str">
        <f>IF(moras[[#This Row],[Z-Score Salario]]&gt;1.96, "Sí", "No")</f>
        <v>No</v>
      </c>
      <c r="N262" s="14">
        <f>IF(ISBLANK(moras[[#This Row],[SALARIO]]), EDA!$M$8, moras[[#This Row],[SALARIO]])</f>
        <v>50721275</v>
      </c>
      <c r="O262" s="14">
        <f xml:space="preserve"> IF(ISBLANK(moras[[#This Row],[EDAD]]), EDA!$E$8, moras[[#This Row],[EDAD]])</f>
        <v>62</v>
      </c>
      <c r="P262" s="14" t="str">
        <f>IF(
    OR(ISBLANK(moras[[#This Row],[TIPO_ASEGURAMIENTO]]), moras[[#This Row],[TIPO_ASEGURAMIENTO]]=""),
    EDA!$A$32,
    moras[[#This Row],[TIPO_ASEGURAMIENTO]]
)</f>
        <v>ASALARIADO</v>
      </c>
    </row>
    <row r="263" spans="1:16" x14ac:dyDescent="0.3">
      <c r="A263">
        <v>262</v>
      </c>
      <c r="B263" t="s">
        <v>9</v>
      </c>
      <c r="C263">
        <v>319590</v>
      </c>
      <c r="D263" t="s">
        <v>10</v>
      </c>
      <c r="E263" t="s">
        <v>16</v>
      </c>
      <c r="F263" t="s">
        <v>12</v>
      </c>
      <c r="G263" t="s">
        <v>13</v>
      </c>
      <c r="H263" t="s">
        <v>13</v>
      </c>
      <c r="I263">
        <v>28</v>
      </c>
      <c r="J263">
        <f>ABS((I263-EDA!$A$15)/EDA!$B$15)</f>
        <v>0.98661430822120777</v>
      </c>
      <c r="K263" t="str">
        <f t="shared" si="4"/>
        <v>No</v>
      </c>
      <c r="L263">
        <f>ABS((C263-EDA!$F$15)/EDA!$G$15)</f>
        <v>0.37033576900533899</v>
      </c>
      <c r="M263" t="str">
        <f>IF(moras[[#This Row],[Z-Score Salario]]&gt;1.96, "Sí", "No")</f>
        <v>No</v>
      </c>
      <c r="N263" s="14">
        <f>IF(ISBLANK(moras[[#This Row],[SALARIO]]), EDA!$M$8, moras[[#This Row],[SALARIO]])</f>
        <v>319590</v>
      </c>
      <c r="O263" s="14">
        <f xml:space="preserve"> IF(ISBLANK(moras[[#This Row],[EDAD]]), EDA!$E$8, moras[[#This Row],[EDAD]])</f>
        <v>28</v>
      </c>
      <c r="P263" s="14" t="str">
        <f>IF(
    OR(ISBLANK(moras[[#This Row],[TIPO_ASEGURAMIENTO]]), moras[[#This Row],[TIPO_ASEGURAMIENTO]]=""),
    EDA!$A$32,
    moras[[#This Row],[TIPO_ASEGURAMIENTO]]
)</f>
        <v>ASALARIADO</v>
      </c>
    </row>
    <row r="264" spans="1:16" x14ac:dyDescent="0.3">
      <c r="A264">
        <v>263</v>
      </c>
      <c r="B264" t="s">
        <v>9</v>
      </c>
      <c r="C264">
        <v>331181</v>
      </c>
      <c r="D264" t="s">
        <v>18</v>
      </c>
      <c r="E264" t="s">
        <v>16</v>
      </c>
      <c r="F264" t="s">
        <v>12</v>
      </c>
      <c r="G264" t="s">
        <v>13</v>
      </c>
      <c r="H264" t="s">
        <v>12</v>
      </c>
      <c r="I264">
        <v>62</v>
      </c>
      <c r="J264">
        <f>ABS((I264-EDA!$A$15)/EDA!$B$15)</f>
        <v>1.4129469144014672</v>
      </c>
      <c r="K264" t="str">
        <f t="shared" si="4"/>
        <v>No</v>
      </c>
      <c r="L264">
        <f>ABS((C264-EDA!$F$15)/EDA!$G$15)</f>
        <v>0.37014288658311073</v>
      </c>
      <c r="M264" t="str">
        <f>IF(moras[[#This Row],[Z-Score Salario]]&gt;1.96, "Sí", "No")</f>
        <v>No</v>
      </c>
      <c r="N264" s="14">
        <f>IF(ISBLANK(moras[[#This Row],[SALARIO]]), EDA!$M$8, moras[[#This Row],[SALARIO]])</f>
        <v>331181</v>
      </c>
      <c r="O264" s="14">
        <f xml:space="preserve"> IF(ISBLANK(moras[[#This Row],[EDAD]]), EDA!$E$8, moras[[#This Row],[EDAD]])</f>
        <v>62</v>
      </c>
      <c r="P264" s="14" t="str">
        <f>IF(
    OR(ISBLANK(moras[[#This Row],[TIPO_ASEGURAMIENTO]]), moras[[#This Row],[TIPO_ASEGURAMIENTO]]=""),
    EDA!$A$32,
    moras[[#This Row],[TIPO_ASEGURAMIENTO]]
)</f>
        <v>TRABAJADOR INDEPENDIENTE</v>
      </c>
    </row>
    <row r="265" spans="1:16" x14ac:dyDescent="0.3">
      <c r="A265">
        <v>264</v>
      </c>
      <c r="B265" t="s">
        <v>9</v>
      </c>
      <c r="C265">
        <v>509509</v>
      </c>
      <c r="D265" t="s">
        <v>18</v>
      </c>
      <c r="E265" t="s">
        <v>16</v>
      </c>
      <c r="F265" t="s">
        <v>12</v>
      </c>
      <c r="G265" t="s">
        <v>13</v>
      </c>
      <c r="H265" t="s">
        <v>13</v>
      </c>
      <c r="I265">
        <v>42</v>
      </c>
      <c r="J265">
        <f>ABS((I265-EDA!$A$15)/EDA!$B$15)</f>
        <v>1.4403128587172659E-3</v>
      </c>
      <c r="K265" t="str">
        <f t="shared" si="4"/>
        <v>No</v>
      </c>
      <c r="L265">
        <f>ABS((C265-EDA!$F$15)/EDA!$G$15)</f>
        <v>0.36717538277920042</v>
      </c>
      <c r="M265" t="str">
        <f>IF(moras[[#This Row],[Z-Score Salario]]&gt;1.96, "Sí", "No")</f>
        <v>No</v>
      </c>
      <c r="N265" s="14">
        <f>IF(ISBLANK(moras[[#This Row],[SALARIO]]), EDA!$M$8, moras[[#This Row],[SALARIO]])</f>
        <v>509509</v>
      </c>
      <c r="O265" s="14">
        <f xml:space="preserve"> IF(ISBLANK(moras[[#This Row],[EDAD]]), EDA!$E$8, moras[[#This Row],[EDAD]])</f>
        <v>42</v>
      </c>
      <c r="P265" s="14" t="str">
        <f>IF(
    OR(ISBLANK(moras[[#This Row],[TIPO_ASEGURAMIENTO]]), moras[[#This Row],[TIPO_ASEGURAMIENTO]]=""),
    EDA!$A$32,
    moras[[#This Row],[TIPO_ASEGURAMIENTO]]
)</f>
        <v>TRABAJADOR INDEPENDIENTE</v>
      </c>
    </row>
    <row r="266" spans="1:16" x14ac:dyDescent="0.3">
      <c r="A266">
        <v>265</v>
      </c>
      <c r="B266" t="s">
        <v>15</v>
      </c>
      <c r="C266">
        <v>820120</v>
      </c>
      <c r="D266" t="s">
        <v>10</v>
      </c>
      <c r="E266" t="s">
        <v>16</v>
      </c>
      <c r="F266" t="s">
        <v>12</v>
      </c>
      <c r="G266" t="s">
        <v>13</v>
      </c>
      <c r="H266" t="s">
        <v>13</v>
      </c>
      <c r="I266">
        <v>27</v>
      </c>
      <c r="J266">
        <f>ABS((I266-EDA!$A$15)/EDA!$B$15)</f>
        <v>1.0571896382983452</v>
      </c>
      <c r="K266" t="str">
        <f t="shared" si="4"/>
        <v>No</v>
      </c>
      <c r="L266">
        <f>ABS((C266-EDA!$F$15)/EDA!$G$15)</f>
        <v>0.36200659647510697</v>
      </c>
      <c r="M266" t="str">
        <f>IF(moras[[#This Row],[Z-Score Salario]]&gt;1.96, "Sí", "No")</f>
        <v>No</v>
      </c>
      <c r="N266" s="14">
        <f>IF(ISBLANK(moras[[#This Row],[SALARIO]]), EDA!$M$8, moras[[#This Row],[SALARIO]])</f>
        <v>820120</v>
      </c>
      <c r="O266" s="14">
        <f xml:space="preserve"> IF(ISBLANK(moras[[#This Row],[EDAD]]), EDA!$E$8, moras[[#This Row],[EDAD]])</f>
        <v>27</v>
      </c>
      <c r="P266" s="14" t="str">
        <f>IF(
    OR(ISBLANK(moras[[#This Row],[TIPO_ASEGURAMIENTO]]), moras[[#This Row],[TIPO_ASEGURAMIENTO]]=""),
    EDA!$A$32,
    moras[[#This Row],[TIPO_ASEGURAMIENTO]]
)</f>
        <v>ASALARIADO</v>
      </c>
    </row>
    <row r="267" spans="1:16" x14ac:dyDescent="0.3">
      <c r="A267">
        <v>266</v>
      </c>
      <c r="B267" t="s">
        <v>15</v>
      </c>
      <c r="C267">
        <v>439400</v>
      </c>
      <c r="D267" t="s">
        <v>10</v>
      </c>
      <c r="E267" t="s">
        <v>16</v>
      </c>
      <c r="F267" t="s">
        <v>12</v>
      </c>
      <c r="G267" t="s">
        <v>13</v>
      </c>
      <c r="H267" t="s">
        <v>13</v>
      </c>
      <c r="I267">
        <v>34</v>
      </c>
      <c r="J267">
        <f>ABS((I267-EDA!$A$15)/EDA!$B$15)</f>
        <v>0.56316232775838282</v>
      </c>
      <c r="K267" t="str">
        <f t="shared" si="4"/>
        <v>No</v>
      </c>
      <c r="L267">
        <f>ABS((C267-EDA!$F$15)/EDA!$G$15)</f>
        <v>0.36834204602999865</v>
      </c>
      <c r="M267" t="str">
        <f>IF(moras[[#This Row],[Z-Score Salario]]&gt;1.96, "Sí", "No")</f>
        <v>No</v>
      </c>
      <c r="N267" s="14">
        <f>IF(ISBLANK(moras[[#This Row],[SALARIO]]), EDA!$M$8, moras[[#This Row],[SALARIO]])</f>
        <v>439400</v>
      </c>
      <c r="O267" s="14">
        <f xml:space="preserve"> IF(ISBLANK(moras[[#This Row],[EDAD]]), EDA!$E$8, moras[[#This Row],[EDAD]])</f>
        <v>34</v>
      </c>
      <c r="P267" s="14" t="str">
        <f>IF(
    OR(ISBLANK(moras[[#This Row],[TIPO_ASEGURAMIENTO]]), moras[[#This Row],[TIPO_ASEGURAMIENTO]]=""),
    EDA!$A$32,
    moras[[#This Row],[TIPO_ASEGURAMIENTO]]
)</f>
        <v>ASALARIADO</v>
      </c>
    </row>
    <row r="268" spans="1:16" x14ac:dyDescent="0.3">
      <c r="A268">
        <v>267</v>
      </c>
      <c r="B268" t="s">
        <v>9</v>
      </c>
      <c r="C268">
        <v>2184000</v>
      </c>
      <c r="D268" t="s">
        <v>10</v>
      </c>
      <c r="E268" t="s">
        <v>16</v>
      </c>
      <c r="F268" t="s">
        <v>12</v>
      </c>
      <c r="G268" t="s">
        <v>13</v>
      </c>
      <c r="H268" t="s">
        <v>13</v>
      </c>
      <c r="I268">
        <v>41</v>
      </c>
      <c r="J268">
        <f>ABS((I268-EDA!$A$15)/EDA!$B$15)</f>
        <v>6.9135017218420233E-2</v>
      </c>
      <c r="K268" t="str">
        <f t="shared" si="4"/>
        <v>No</v>
      </c>
      <c r="L268">
        <f>ABS((C268-EDA!$F$15)/EDA!$G$15)</f>
        <v>0.33931067049557945</v>
      </c>
      <c r="M268" t="str">
        <f>IF(moras[[#This Row],[Z-Score Salario]]&gt;1.96, "Sí", "No")</f>
        <v>No</v>
      </c>
      <c r="N268" s="14">
        <f>IF(ISBLANK(moras[[#This Row],[SALARIO]]), EDA!$M$8, moras[[#This Row],[SALARIO]])</f>
        <v>2184000</v>
      </c>
      <c r="O268" s="14">
        <f xml:space="preserve"> IF(ISBLANK(moras[[#This Row],[EDAD]]), EDA!$E$8, moras[[#This Row],[EDAD]])</f>
        <v>41</v>
      </c>
      <c r="P268" s="14" t="str">
        <f>IF(
    OR(ISBLANK(moras[[#This Row],[TIPO_ASEGURAMIENTO]]), moras[[#This Row],[TIPO_ASEGURAMIENTO]]=""),
    EDA!$A$32,
    moras[[#This Row],[TIPO_ASEGURAMIENTO]]
)</f>
        <v>ASALARIADO</v>
      </c>
    </row>
    <row r="269" spans="1:16" x14ac:dyDescent="0.3">
      <c r="A269">
        <v>268</v>
      </c>
      <c r="B269" t="s">
        <v>15</v>
      </c>
      <c r="C269">
        <v>110000</v>
      </c>
      <c r="D269" t="s">
        <v>10</v>
      </c>
      <c r="E269" t="s">
        <v>16</v>
      </c>
      <c r="F269" t="s">
        <v>12</v>
      </c>
      <c r="G269" t="s">
        <v>12</v>
      </c>
      <c r="H269" t="s">
        <v>13</v>
      </c>
      <c r="I269">
        <v>28</v>
      </c>
      <c r="J269">
        <f>ABS((I269-EDA!$A$15)/EDA!$B$15)</f>
        <v>0.98661430822120777</v>
      </c>
      <c r="K269" t="str">
        <f t="shared" si="4"/>
        <v>No</v>
      </c>
      <c r="L269">
        <f>ABS((C269-EDA!$F$15)/EDA!$G$15)</f>
        <v>0.37382349455747643</v>
      </c>
      <c r="M269" t="str">
        <f>IF(moras[[#This Row],[Z-Score Salario]]&gt;1.96, "Sí", "No")</f>
        <v>No</v>
      </c>
      <c r="N269" s="14">
        <f>IF(ISBLANK(moras[[#This Row],[SALARIO]]), EDA!$M$8, moras[[#This Row],[SALARIO]])</f>
        <v>110000</v>
      </c>
      <c r="O269" s="14">
        <f xml:space="preserve"> IF(ISBLANK(moras[[#This Row],[EDAD]]), EDA!$E$8, moras[[#This Row],[EDAD]])</f>
        <v>28</v>
      </c>
      <c r="P269" s="14" t="str">
        <f>IF(
    OR(ISBLANK(moras[[#This Row],[TIPO_ASEGURAMIENTO]]), moras[[#This Row],[TIPO_ASEGURAMIENTO]]=""),
    EDA!$A$32,
    moras[[#This Row],[TIPO_ASEGURAMIENTO]]
)</f>
        <v>ASALARIADO</v>
      </c>
    </row>
    <row r="270" spans="1:16" x14ac:dyDescent="0.3">
      <c r="A270">
        <v>269</v>
      </c>
      <c r="B270" t="s">
        <v>9</v>
      </c>
      <c r="C270">
        <v>180000</v>
      </c>
      <c r="D270" t="s">
        <v>10</v>
      </c>
      <c r="E270" t="s">
        <v>16</v>
      </c>
      <c r="F270" t="s">
        <v>12</v>
      </c>
      <c r="G270" t="s">
        <v>13</v>
      </c>
      <c r="H270" t="s">
        <v>13</v>
      </c>
      <c r="I270">
        <v>45</v>
      </c>
      <c r="J270">
        <f>ABS((I270-EDA!$A$15)/EDA!$B$15)</f>
        <v>0.21316630309012977</v>
      </c>
      <c r="K270" t="str">
        <f t="shared" si="4"/>
        <v>No</v>
      </c>
      <c r="L270">
        <f>ABS((C270-EDA!$F$15)/EDA!$G$15)</f>
        <v>0.37265864514362262</v>
      </c>
      <c r="M270" t="str">
        <f>IF(moras[[#This Row],[Z-Score Salario]]&gt;1.96, "Sí", "No")</f>
        <v>No</v>
      </c>
      <c r="N270" s="14">
        <f>IF(ISBLANK(moras[[#This Row],[SALARIO]]), EDA!$M$8, moras[[#This Row],[SALARIO]])</f>
        <v>180000</v>
      </c>
      <c r="O270" s="14">
        <f xml:space="preserve"> IF(ISBLANK(moras[[#This Row],[EDAD]]), EDA!$E$8, moras[[#This Row],[EDAD]])</f>
        <v>45</v>
      </c>
      <c r="P270" s="14" t="str">
        <f>IF(
    OR(ISBLANK(moras[[#This Row],[TIPO_ASEGURAMIENTO]]), moras[[#This Row],[TIPO_ASEGURAMIENTO]]=""),
    EDA!$A$32,
    moras[[#This Row],[TIPO_ASEGURAMIENTO]]
)</f>
        <v>ASALARIADO</v>
      </c>
    </row>
    <row r="271" spans="1:16" x14ac:dyDescent="0.3">
      <c r="A271">
        <v>270</v>
      </c>
      <c r="B271" t="s">
        <v>15</v>
      </c>
      <c r="C271">
        <v>350000</v>
      </c>
      <c r="D271" t="s">
        <v>10</v>
      </c>
      <c r="E271" t="s">
        <v>16</v>
      </c>
      <c r="F271" t="s">
        <v>12</v>
      </c>
      <c r="G271" t="s">
        <v>13</v>
      </c>
      <c r="H271" t="s">
        <v>13</v>
      </c>
      <c r="I271">
        <v>29</v>
      </c>
      <c r="J271">
        <f>ABS((I271-EDA!$A$15)/EDA!$B$15)</f>
        <v>0.91603897814407031</v>
      </c>
      <c r="K271" t="str">
        <f t="shared" si="4"/>
        <v>No</v>
      </c>
      <c r="L271">
        <f>ABS((C271-EDA!$F$15)/EDA!$G$15)</f>
        <v>0.36982972513854911</v>
      </c>
      <c r="M271" t="str">
        <f>IF(moras[[#This Row],[Z-Score Salario]]&gt;1.96, "Sí", "No")</f>
        <v>No</v>
      </c>
      <c r="N271" s="14">
        <f>IF(ISBLANK(moras[[#This Row],[SALARIO]]), EDA!$M$8, moras[[#This Row],[SALARIO]])</f>
        <v>350000</v>
      </c>
      <c r="O271" s="14">
        <f xml:space="preserve"> IF(ISBLANK(moras[[#This Row],[EDAD]]), EDA!$E$8, moras[[#This Row],[EDAD]])</f>
        <v>29</v>
      </c>
      <c r="P271" s="14" t="str">
        <f>IF(
    OR(ISBLANK(moras[[#This Row],[TIPO_ASEGURAMIENTO]]), moras[[#This Row],[TIPO_ASEGURAMIENTO]]=""),
    EDA!$A$32,
    moras[[#This Row],[TIPO_ASEGURAMIENTO]]
)</f>
        <v>ASALARIADO</v>
      </c>
    </row>
    <row r="272" spans="1:16" x14ac:dyDescent="0.3">
      <c r="A272">
        <v>271</v>
      </c>
      <c r="B272" t="s">
        <v>9</v>
      </c>
      <c r="C272">
        <v>281250</v>
      </c>
      <c r="D272" t="s">
        <v>10</v>
      </c>
      <c r="E272" t="s">
        <v>11</v>
      </c>
      <c r="F272" t="s">
        <v>12</v>
      </c>
      <c r="G272" t="s">
        <v>13</v>
      </c>
      <c r="H272" t="s">
        <v>13</v>
      </c>
      <c r="I272">
        <v>58</v>
      </c>
      <c r="J272">
        <f>ABS((I272-EDA!$A$15)/EDA!$B$15)</f>
        <v>1.1306455940929174</v>
      </c>
      <c r="K272" t="str">
        <f t="shared" si="4"/>
        <v>No</v>
      </c>
      <c r="L272">
        <f>ABS((C272-EDA!$F$15)/EDA!$G$15)</f>
        <v>0.37097377367001266</v>
      </c>
      <c r="M272" t="str">
        <f>IF(moras[[#This Row],[Z-Score Salario]]&gt;1.96, "Sí", "No")</f>
        <v>No</v>
      </c>
      <c r="N272" s="14">
        <f>IF(ISBLANK(moras[[#This Row],[SALARIO]]), EDA!$M$8, moras[[#This Row],[SALARIO]])</f>
        <v>281250</v>
      </c>
      <c r="O272" s="14">
        <f xml:space="preserve"> IF(ISBLANK(moras[[#This Row],[EDAD]]), EDA!$E$8, moras[[#This Row],[EDAD]])</f>
        <v>58</v>
      </c>
      <c r="P272" s="14" t="str">
        <f>IF(
    OR(ISBLANK(moras[[#This Row],[TIPO_ASEGURAMIENTO]]), moras[[#This Row],[TIPO_ASEGURAMIENTO]]=""),
    EDA!$A$32,
    moras[[#This Row],[TIPO_ASEGURAMIENTO]]
)</f>
        <v>ASALARIADO</v>
      </c>
    </row>
    <row r="273" spans="1:16" x14ac:dyDescent="0.3">
      <c r="A273">
        <v>272</v>
      </c>
      <c r="B273" t="s">
        <v>15</v>
      </c>
      <c r="C273">
        <v>82936458</v>
      </c>
      <c r="D273" t="s">
        <v>10</v>
      </c>
      <c r="E273" t="s">
        <v>16</v>
      </c>
      <c r="F273" t="s">
        <v>12</v>
      </c>
      <c r="G273" t="s">
        <v>13</v>
      </c>
      <c r="H273" t="s">
        <v>13</v>
      </c>
      <c r="I273">
        <v>30</v>
      </c>
      <c r="J273">
        <f>ABS((I273-EDA!$A$15)/EDA!$B$15)</f>
        <v>0.84546364806693275</v>
      </c>
      <c r="K273" t="str">
        <f t="shared" si="4"/>
        <v>No</v>
      </c>
      <c r="L273">
        <f>ABS((C273-EDA!$F$15)/EDA!$G$15)</f>
        <v>1.0044672347694747</v>
      </c>
      <c r="M273" t="str">
        <f>IF(moras[[#This Row],[Z-Score Salario]]&gt;1.96, "Sí", "No")</f>
        <v>No</v>
      </c>
      <c r="N273" s="14">
        <f>IF(ISBLANK(moras[[#This Row],[SALARIO]]), EDA!$M$8, moras[[#This Row],[SALARIO]])</f>
        <v>82936458</v>
      </c>
      <c r="O273" s="14">
        <f xml:space="preserve"> IF(ISBLANK(moras[[#This Row],[EDAD]]), EDA!$E$8, moras[[#This Row],[EDAD]])</f>
        <v>30</v>
      </c>
      <c r="P273" s="14" t="str">
        <f>IF(
    OR(ISBLANK(moras[[#This Row],[TIPO_ASEGURAMIENTO]]), moras[[#This Row],[TIPO_ASEGURAMIENTO]]=""),
    EDA!$A$32,
    moras[[#This Row],[TIPO_ASEGURAMIENTO]]
)</f>
        <v>ASALARIADO</v>
      </c>
    </row>
    <row r="274" spans="1:16" x14ac:dyDescent="0.3">
      <c r="A274">
        <v>273</v>
      </c>
      <c r="B274" t="s">
        <v>15</v>
      </c>
      <c r="C274">
        <v>403983</v>
      </c>
      <c r="D274" t="s">
        <v>18</v>
      </c>
      <c r="E274" t="s">
        <v>16</v>
      </c>
      <c r="F274" t="s">
        <v>12</v>
      </c>
      <c r="G274" t="s">
        <v>13</v>
      </c>
      <c r="H274" t="s">
        <v>12</v>
      </c>
      <c r="I274">
        <v>41</v>
      </c>
      <c r="J274">
        <f>ABS((I274-EDA!$A$15)/EDA!$B$15)</f>
        <v>6.9135017218420233E-2</v>
      </c>
      <c r="K274" t="str">
        <f t="shared" si="4"/>
        <v>No</v>
      </c>
      <c r="L274">
        <f>ABS((C274-EDA!$F$15)/EDA!$G$15)</f>
        <v>0.36893140991129098</v>
      </c>
      <c r="M274" t="str">
        <f>IF(moras[[#This Row],[Z-Score Salario]]&gt;1.96, "Sí", "No")</f>
        <v>No</v>
      </c>
      <c r="N274" s="14">
        <f>IF(ISBLANK(moras[[#This Row],[SALARIO]]), EDA!$M$8, moras[[#This Row],[SALARIO]])</f>
        <v>403983</v>
      </c>
      <c r="O274" s="14">
        <f xml:space="preserve"> IF(ISBLANK(moras[[#This Row],[EDAD]]), EDA!$E$8, moras[[#This Row],[EDAD]])</f>
        <v>41</v>
      </c>
      <c r="P274" s="14" t="str">
        <f>IF(
    OR(ISBLANK(moras[[#This Row],[TIPO_ASEGURAMIENTO]]), moras[[#This Row],[TIPO_ASEGURAMIENTO]]=""),
    EDA!$A$32,
    moras[[#This Row],[TIPO_ASEGURAMIENTO]]
)</f>
        <v>TRABAJADOR INDEPENDIENTE</v>
      </c>
    </row>
    <row r="275" spans="1:16" x14ac:dyDescent="0.3">
      <c r="A275">
        <v>274</v>
      </c>
      <c r="B275" t="s">
        <v>15</v>
      </c>
      <c r="C275">
        <v>545646</v>
      </c>
      <c r="D275" t="s">
        <v>10</v>
      </c>
      <c r="E275" t="s">
        <v>16</v>
      </c>
      <c r="F275" t="s">
        <v>12</v>
      </c>
      <c r="G275" t="s">
        <v>13</v>
      </c>
      <c r="H275" t="s">
        <v>13</v>
      </c>
      <c r="I275">
        <v>44</v>
      </c>
      <c r="J275">
        <f>ABS((I275-EDA!$A$15)/EDA!$B$15)</f>
        <v>0.14259097301299228</v>
      </c>
      <c r="K275" t="str">
        <f t="shared" si="4"/>
        <v>No</v>
      </c>
      <c r="L275">
        <f>ABS((C275-EDA!$F$15)/EDA!$G$15)</f>
        <v>0.36657403758965135</v>
      </c>
      <c r="M275" t="str">
        <f>IF(moras[[#This Row],[Z-Score Salario]]&gt;1.96, "Sí", "No")</f>
        <v>No</v>
      </c>
      <c r="N275" s="14">
        <f>IF(ISBLANK(moras[[#This Row],[SALARIO]]), EDA!$M$8, moras[[#This Row],[SALARIO]])</f>
        <v>545646</v>
      </c>
      <c r="O275" s="14">
        <f xml:space="preserve"> IF(ISBLANK(moras[[#This Row],[EDAD]]), EDA!$E$8, moras[[#This Row],[EDAD]])</f>
        <v>44</v>
      </c>
      <c r="P275" s="14" t="str">
        <f>IF(
    OR(ISBLANK(moras[[#This Row],[TIPO_ASEGURAMIENTO]]), moras[[#This Row],[TIPO_ASEGURAMIENTO]]=""),
    EDA!$A$32,
    moras[[#This Row],[TIPO_ASEGURAMIENTO]]
)</f>
        <v>ASALARIADO</v>
      </c>
    </row>
    <row r="276" spans="1:16" x14ac:dyDescent="0.3">
      <c r="A276">
        <v>275</v>
      </c>
      <c r="B276" t="s">
        <v>9</v>
      </c>
      <c r="C276">
        <v>417064</v>
      </c>
      <c r="D276" t="s">
        <v>10</v>
      </c>
      <c r="E276" t="s">
        <v>16</v>
      </c>
      <c r="F276" t="s">
        <v>12</v>
      </c>
      <c r="G276" t="s">
        <v>13</v>
      </c>
      <c r="H276" t="s">
        <v>13</v>
      </c>
      <c r="I276">
        <v>59</v>
      </c>
      <c r="J276">
        <f>ABS((I276-EDA!$A$15)/EDA!$B$15)</f>
        <v>1.2012209241700549</v>
      </c>
      <c r="K276" t="str">
        <f t="shared" si="4"/>
        <v>No</v>
      </c>
      <c r="L276">
        <f>ABS((C276-EDA!$F$15)/EDA!$G$15)</f>
        <v>0.36871373283725351</v>
      </c>
      <c r="M276" t="str">
        <f>IF(moras[[#This Row],[Z-Score Salario]]&gt;1.96, "Sí", "No")</f>
        <v>No</v>
      </c>
      <c r="N276" s="14">
        <f>IF(ISBLANK(moras[[#This Row],[SALARIO]]), EDA!$M$8, moras[[#This Row],[SALARIO]])</f>
        <v>417064</v>
      </c>
      <c r="O276" s="14">
        <f xml:space="preserve"> IF(ISBLANK(moras[[#This Row],[EDAD]]), EDA!$E$8, moras[[#This Row],[EDAD]])</f>
        <v>59</v>
      </c>
      <c r="P276" s="14" t="str">
        <f>IF(
    OR(ISBLANK(moras[[#This Row],[TIPO_ASEGURAMIENTO]]), moras[[#This Row],[TIPO_ASEGURAMIENTO]]=""),
    EDA!$A$32,
    moras[[#This Row],[TIPO_ASEGURAMIENTO]]
)</f>
        <v>ASALARIADO</v>
      </c>
    </row>
    <row r="277" spans="1:16" x14ac:dyDescent="0.3">
      <c r="A277">
        <v>276</v>
      </c>
      <c r="B277" t="s">
        <v>9</v>
      </c>
      <c r="C277">
        <v>62133379</v>
      </c>
      <c r="D277" t="s">
        <v>10</v>
      </c>
      <c r="E277" t="s">
        <v>16</v>
      </c>
      <c r="F277" t="s">
        <v>12</v>
      </c>
      <c r="G277" t="s">
        <v>13</v>
      </c>
      <c r="H277" t="s">
        <v>13</v>
      </c>
      <c r="I277">
        <v>47</v>
      </c>
      <c r="J277">
        <f>ABS((I277-EDA!$A$15)/EDA!$B$15)</f>
        <v>0.35431696324440481</v>
      </c>
      <c r="K277" t="str">
        <f t="shared" si="4"/>
        <v>No</v>
      </c>
      <c r="L277">
        <f>ABS((C277-EDA!$F$15)/EDA!$G$15)</f>
        <v>0.65828931506226984</v>
      </c>
      <c r="M277" t="str">
        <f>IF(moras[[#This Row],[Z-Score Salario]]&gt;1.96, "Sí", "No")</f>
        <v>No</v>
      </c>
      <c r="N277" s="14">
        <f>IF(ISBLANK(moras[[#This Row],[SALARIO]]), EDA!$M$8, moras[[#This Row],[SALARIO]])</f>
        <v>62133379</v>
      </c>
      <c r="O277" s="14">
        <f xml:space="preserve"> IF(ISBLANK(moras[[#This Row],[EDAD]]), EDA!$E$8, moras[[#This Row],[EDAD]])</f>
        <v>47</v>
      </c>
      <c r="P277" s="14" t="str">
        <f>IF(
    OR(ISBLANK(moras[[#This Row],[TIPO_ASEGURAMIENTO]]), moras[[#This Row],[TIPO_ASEGURAMIENTO]]=""),
    EDA!$A$32,
    moras[[#This Row],[TIPO_ASEGURAMIENTO]]
)</f>
        <v>ASALARIADO</v>
      </c>
    </row>
    <row r="278" spans="1:16" x14ac:dyDescent="0.3">
      <c r="A278">
        <v>277</v>
      </c>
      <c r="B278" t="s">
        <v>9</v>
      </c>
      <c r="C278">
        <v>297046</v>
      </c>
      <c r="D278" t="s">
        <v>17</v>
      </c>
      <c r="E278" t="s">
        <v>16</v>
      </c>
      <c r="F278" t="s">
        <v>12</v>
      </c>
      <c r="G278" t="s">
        <v>13</v>
      </c>
      <c r="H278" t="s">
        <v>13</v>
      </c>
      <c r="I278">
        <v>24</v>
      </c>
      <c r="J278">
        <f>ABS((I278-EDA!$A$15)/EDA!$B$15)</f>
        <v>1.2689156285297578</v>
      </c>
      <c r="K278" t="str">
        <f t="shared" si="4"/>
        <v>No</v>
      </c>
      <c r="L278">
        <f>ABS((C278-EDA!$F$15)/EDA!$G$15)</f>
        <v>0.37071091707942361</v>
      </c>
      <c r="M278" t="str">
        <f>IF(moras[[#This Row],[Z-Score Salario]]&gt;1.96, "Sí", "No")</f>
        <v>No</v>
      </c>
      <c r="N278" s="14">
        <f>IF(ISBLANK(moras[[#This Row],[SALARIO]]), EDA!$M$8, moras[[#This Row],[SALARIO]])</f>
        <v>297046</v>
      </c>
      <c r="O278" s="14">
        <f xml:space="preserve"> IF(ISBLANK(moras[[#This Row],[EDAD]]), EDA!$E$8, moras[[#This Row],[EDAD]])</f>
        <v>24</v>
      </c>
      <c r="P278" s="14" t="str">
        <f>IF(
    OR(ISBLANK(moras[[#This Row],[TIPO_ASEGURAMIENTO]]), moras[[#This Row],[TIPO_ASEGURAMIENTO]]=""),
    EDA!$A$32,
    moras[[#This Row],[TIPO_ASEGURAMIENTO]]
)</f>
        <v>ASEGURADO VOLUNTARIO</v>
      </c>
    </row>
    <row r="279" spans="1:16" x14ac:dyDescent="0.3">
      <c r="A279">
        <v>278</v>
      </c>
      <c r="B279" t="s">
        <v>15</v>
      </c>
      <c r="C279">
        <v>5278245</v>
      </c>
      <c r="D279" t="s">
        <v>14</v>
      </c>
      <c r="E279" t="s">
        <v>11</v>
      </c>
      <c r="F279" t="s">
        <v>12</v>
      </c>
      <c r="G279" t="s">
        <v>13</v>
      </c>
      <c r="H279" t="s">
        <v>13</v>
      </c>
      <c r="I279">
        <v>68</v>
      </c>
      <c r="J279">
        <f>ABS((I279-EDA!$A$15)/EDA!$B$15)</f>
        <v>1.8363988948642924</v>
      </c>
      <c r="K279" t="str">
        <f t="shared" si="4"/>
        <v>No</v>
      </c>
      <c r="L279">
        <f>ABS((C279-EDA!$F$15)/EDA!$G$15)</f>
        <v>0.28782024943029294</v>
      </c>
      <c r="M279" t="str">
        <f>IF(moras[[#This Row],[Z-Score Salario]]&gt;1.96, "Sí", "No")</f>
        <v>No</v>
      </c>
      <c r="N279" s="14">
        <f>IF(ISBLANK(moras[[#This Row],[SALARIO]]), EDA!$M$8, moras[[#This Row],[SALARIO]])</f>
        <v>5278245</v>
      </c>
      <c r="O279" s="14">
        <f xml:space="preserve"> IF(ISBLANK(moras[[#This Row],[EDAD]]), EDA!$E$8, moras[[#This Row],[EDAD]])</f>
        <v>68</v>
      </c>
      <c r="P279" s="14" t="str">
        <f>IF(
    OR(ISBLANK(moras[[#This Row],[TIPO_ASEGURAMIENTO]]), moras[[#This Row],[TIPO_ASEGURAMIENTO]]=""),
    EDA!$A$32,
    moras[[#This Row],[TIPO_ASEGURAMIENTO]]
)</f>
        <v>PENSIONADOS EN SU PROPIO SISTEMA</v>
      </c>
    </row>
    <row r="280" spans="1:16" x14ac:dyDescent="0.3">
      <c r="A280">
        <v>279</v>
      </c>
      <c r="B280" t="s">
        <v>9</v>
      </c>
      <c r="C280">
        <v>278030</v>
      </c>
      <c r="D280" t="s">
        <v>19</v>
      </c>
      <c r="E280" t="s">
        <v>16</v>
      </c>
      <c r="F280" t="s">
        <v>12</v>
      </c>
      <c r="G280" t="s">
        <v>13</v>
      </c>
      <c r="H280" t="s">
        <v>13</v>
      </c>
      <c r="I280">
        <v>43</v>
      </c>
      <c r="J280">
        <f>ABS((I280-EDA!$A$15)/EDA!$B$15)</f>
        <v>7.2015642935854773E-2</v>
      </c>
      <c r="K280" t="str">
        <f t="shared" si="4"/>
        <v>No</v>
      </c>
      <c r="L280">
        <f>ABS((C280-EDA!$F$15)/EDA!$G$15)</f>
        <v>0.37102735674304993</v>
      </c>
      <c r="M280" t="str">
        <f>IF(moras[[#This Row],[Z-Score Salario]]&gt;1.96, "Sí", "No")</f>
        <v>No</v>
      </c>
      <c r="N280" s="14">
        <f>IF(ISBLANK(moras[[#This Row],[SALARIO]]), EDA!$M$8, moras[[#This Row],[SALARIO]])</f>
        <v>278030</v>
      </c>
      <c r="O280" s="14">
        <f xml:space="preserve"> IF(ISBLANK(moras[[#This Row],[EDAD]]), EDA!$E$8, moras[[#This Row],[EDAD]])</f>
        <v>43</v>
      </c>
      <c r="P280" s="14" t="str">
        <f>IF(
    OR(ISBLANK(moras[[#This Row],[TIPO_ASEGURAMIENTO]]), moras[[#This Row],[TIPO_ASEGURAMIENTO]]=""),
    EDA!$A$32,
    moras[[#This Row],[TIPO_ASEGURAMIENTO]]
)</f>
        <v>CONVENIOS ESPECIALES DE TRABAJADORES INDEPENDIENTES</v>
      </c>
    </row>
    <row r="281" spans="1:16" x14ac:dyDescent="0.3">
      <c r="A281">
        <v>280</v>
      </c>
      <c r="B281" t="s">
        <v>15</v>
      </c>
      <c r="C281">
        <v>300000</v>
      </c>
      <c r="D281" t="s">
        <v>17</v>
      </c>
      <c r="E281" t="s">
        <v>16</v>
      </c>
      <c r="F281" t="s">
        <v>12</v>
      </c>
      <c r="G281" t="s">
        <v>12</v>
      </c>
      <c r="H281" t="s">
        <v>13</v>
      </c>
      <c r="I281">
        <v>57</v>
      </c>
      <c r="J281">
        <f>ABS((I281-EDA!$A$15)/EDA!$B$15)</f>
        <v>1.0600702640157798</v>
      </c>
      <c r="K281" t="str">
        <f t="shared" si="4"/>
        <v>No</v>
      </c>
      <c r="L281">
        <f>ABS((C281-EDA!$F$15)/EDA!$G$15)</f>
        <v>0.37066176043415894</v>
      </c>
      <c r="M281" t="str">
        <f>IF(moras[[#This Row],[Z-Score Salario]]&gt;1.96, "Sí", "No")</f>
        <v>No</v>
      </c>
      <c r="N281" s="14">
        <f>IF(ISBLANK(moras[[#This Row],[SALARIO]]), EDA!$M$8, moras[[#This Row],[SALARIO]])</f>
        <v>300000</v>
      </c>
      <c r="O281" s="14">
        <f xml:space="preserve"> IF(ISBLANK(moras[[#This Row],[EDAD]]), EDA!$E$8, moras[[#This Row],[EDAD]])</f>
        <v>57</v>
      </c>
      <c r="P281" s="14" t="str">
        <f>IF(
    OR(ISBLANK(moras[[#This Row],[TIPO_ASEGURAMIENTO]]), moras[[#This Row],[TIPO_ASEGURAMIENTO]]=""),
    EDA!$A$32,
    moras[[#This Row],[TIPO_ASEGURAMIENTO]]
)</f>
        <v>ASEGURADO VOLUNTARIO</v>
      </c>
    </row>
    <row r="282" spans="1:16" x14ac:dyDescent="0.3">
      <c r="A282">
        <v>281</v>
      </c>
      <c r="B282" t="s">
        <v>15</v>
      </c>
      <c r="C282">
        <v>45339384</v>
      </c>
      <c r="D282" t="s">
        <v>10</v>
      </c>
      <c r="E282" t="s">
        <v>16</v>
      </c>
      <c r="F282" t="s">
        <v>12</v>
      </c>
      <c r="G282" t="s">
        <v>13</v>
      </c>
      <c r="H282" t="s">
        <v>13</v>
      </c>
      <c r="I282">
        <v>31</v>
      </c>
      <c r="J282">
        <f>ABS((I282-EDA!$A$15)/EDA!$B$15)</f>
        <v>0.77488831798979529</v>
      </c>
      <c r="K282" t="str">
        <f t="shared" si="4"/>
        <v>No</v>
      </c>
      <c r="L282">
        <f>ABS((C282-EDA!$F$15)/EDA!$G$15)</f>
        <v>0.37882538317636</v>
      </c>
      <c r="M282" t="str">
        <f>IF(moras[[#This Row],[Z-Score Salario]]&gt;1.96, "Sí", "No")</f>
        <v>No</v>
      </c>
      <c r="N282" s="14">
        <f>IF(ISBLANK(moras[[#This Row],[SALARIO]]), EDA!$M$8, moras[[#This Row],[SALARIO]])</f>
        <v>45339384</v>
      </c>
      <c r="O282" s="14">
        <f xml:space="preserve"> IF(ISBLANK(moras[[#This Row],[EDAD]]), EDA!$E$8, moras[[#This Row],[EDAD]])</f>
        <v>31</v>
      </c>
      <c r="P282" s="14" t="str">
        <f>IF(
    OR(ISBLANK(moras[[#This Row],[TIPO_ASEGURAMIENTO]]), moras[[#This Row],[TIPO_ASEGURAMIENTO]]=""),
    EDA!$A$32,
    moras[[#This Row],[TIPO_ASEGURAMIENTO]]
)</f>
        <v>ASALARIADO</v>
      </c>
    </row>
    <row r="283" spans="1:16" x14ac:dyDescent="0.3">
      <c r="A283">
        <v>282</v>
      </c>
      <c r="B283" t="s">
        <v>15</v>
      </c>
      <c r="C283">
        <v>297062</v>
      </c>
      <c r="D283" t="s">
        <v>18</v>
      </c>
      <c r="E283" t="s">
        <v>16</v>
      </c>
      <c r="F283" t="s">
        <v>12</v>
      </c>
      <c r="G283" t="s">
        <v>13</v>
      </c>
      <c r="H283" t="s">
        <v>12</v>
      </c>
      <c r="I283">
        <v>40</v>
      </c>
      <c r="J283">
        <f>ABS((I283-EDA!$A$15)/EDA!$B$15)</f>
        <v>0.13971034729555773</v>
      </c>
      <c r="K283" t="str">
        <f t="shared" si="4"/>
        <v>No</v>
      </c>
      <c r="L283">
        <f>ABS((C283-EDA!$F$15)/EDA!$G$15)</f>
        <v>0.37071065082812898</v>
      </c>
      <c r="M283" t="str">
        <f>IF(moras[[#This Row],[Z-Score Salario]]&gt;1.96, "Sí", "No")</f>
        <v>No</v>
      </c>
      <c r="N283" s="14">
        <f>IF(ISBLANK(moras[[#This Row],[SALARIO]]), EDA!$M$8, moras[[#This Row],[SALARIO]])</f>
        <v>297062</v>
      </c>
      <c r="O283" s="14">
        <f xml:space="preserve"> IF(ISBLANK(moras[[#This Row],[EDAD]]), EDA!$E$8, moras[[#This Row],[EDAD]])</f>
        <v>40</v>
      </c>
      <c r="P283" s="14" t="str">
        <f>IF(
    OR(ISBLANK(moras[[#This Row],[TIPO_ASEGURAMIENTO]]), moras[[#This Row],[TIPO_ASEGURAMIENTO]]=""),
    EDA!$A$32,
    moras[[#This Row],[TIPO_ASEGURAMIENTO]]
)</f>
        <v>TRABAJADOR INDEPENDIENTE</v>
      </c>
    </row>
    <row r="284" spans="1:16" x14ac:dyDescent="0.3">
      <c r="A284">
        <v>283</v>
      </c>
      <c r="B284" t="s">
        <v>15</v>
      </c>
      <c r="C284">
        <v>24543697</v>
      </c>
      <c r="D284" t="s">
        <v>10</v>
      </c>
      <c r="E284" t="s">
        <v>16</v>
      </c>
      <c r="F284" t="s">
        <v>12</v>
      </c>
      <c r="G284" t="s">
        <v>13</v>
      </c>
      <c r="H284" t="s">
        <v>13</v>
      </c>
      <c r="I284">
        <v>27</v>
      </c>
      <c r="J284">
        <f>ABS((I284-EDA!$A$15)/EDA!$B$15)</f>
        <v>1.0571896382983452</v>
      </c>
      <c r="K284" t="str">
        <f t="shared" si="4"/>
        <v>No</v>
      </c>
      <c r="L284">
        <f>ABS((C284-EDA!$F$15)/EDA!$G$15)</f>
        <v>3.2770471567258014E-2</v>
      </c>
      <c r="M284" t="str">
        <f>IF(moras[[#This Row],[Z-Score Salario]]&gt;1.96, "Sí", "No")</f>
        <v>No</v>
      </c>
      <c r="N284" s="14">
        <f>IF(ISBLANK(moras[[#This Row],[SALARIO]]), EDA!$M$8, moras[[#This Row],[SALARIO]])</f>
        <v>24543697</v>
      </c>
      <c r="O284" s="14">
        <f xml:space="preserve"> IF(ISBLANK(moras[[#This Row],[EDAD]]), EDA!$E$8, moras[[#This Row],[EDAD]])</f>
        <v>27</v>
      </c>
      <c r="P284" s="14" t="str">
        <f>IF(
    OR(ISBLANK(moras[[#This Row],[TIPO_ASEGURAMIENTO]]), moras[[#This Row],[TIPO_ASEGURAMIENTO]]=""),
    EDA!$A$32,
    moras[[#This Row],[TIPO_ASEGURAMIENTO]]
)</f>
        <v>ASALARIADO</v>
      </c>
    </row>
    <row r="285" spans="1:16" x14ac:dyDescent="0.3">
      <c r="A285">
        <v>284</v>
      </c>
      <c r="B285" t="s">
        <v>9</v>
      </c>
      <c r="C285">
        <v>2005101</v>
      </c>
      <c r="D285" t="s">
        <v>10</v>
      </c>
      <c r="E285" t="s">
        <v>16</v>
      </c>
      <c r="F285" t="s">
        <v>12</v>
      </c>
      <c r="G285" t="s">
        <v>13</v>
      </c>
      <c r="H285" t="s">
        <v>13</v>
      </c>
      <c r="I285">
        <v>32</v>
      </c>
      <c r="J285">
        <f>ABS((I285-EDA!$A$15)/EDA!$B$15)</f>
        <v>0.70431298791265773</v>
      </c>
      <c r="K285" t="str">
        <f t="shared" si="4"/>
        <v>No</v>
      </c>
      <c r="L285">
        <f>ABS((C285-EDA!$F$15)/EDA!$G$15)</f>
        <v>0.34228767614256561</v>
      </c>
      <c r="M285" t="str">
        <f>IF(moras[[#This Row],[Z-Score Salario]]&gt;1.96, "Sí", "No")</f>
        <v>No</v>
      </c>
      <c r="N285" s="14">
        <f>IF(ISBLANK(moras[[#This Row],[SALARIO]]), EDA!$M$8, moras[[#This Row],[SALARIO]])</f>
        <v>2005101</v>
      </c>
      <c r="O285" s="14">
        <f xml:space="preserve"> IF(ISBLANK(moras[[#This Row],[EDAD]]), EDA!$E$8, moras[[#This Row],[EDAD]])</f>
        <v>32</v>
      </c>
      <c r="P285" s="14" t="str">
        <f>IF(
    OR(ISBLANK(moras[[#This Row],[TIPO_ASEGURAMIENTO]]), moras[[#This Row],[TIPO_ASEGURAMIENTO]]=""),
    EDA!$A$32,
    moras[[#This Row],[TIPO_ASEGURAMIENTO]]
)</f>
        <v>ASALARIADO</v>
      </c>
    </row>
    <row r="286" spans="1:16" x14ac:dyDescent="0.3">
      <c r="A286">
        <v>285</v>
      </c>
      <c r="B286" t="s">
        <v>15</v>
      </c>
      <c r="C286">
        <v>342332</v>
      </c>
      <c r="D286" t="s">
        <v>18</v>
      </c>
      <c r="E286" t="s">
        <v>16</v>
      </c>
      <c r="F286" t="s">
        <v>12</v>
      </c>
      <c r="G286" t="s">
        <v>13</v>
      </c>
      <c r="H286" t="s">
        <v>13</v>
      </c>
      <c r="I286">
        <v>61</v>
      </c>
      <c r="J286">
        <f>ABS((I286-EDA!$A$15)/EDA!$B$15)</f>
        <v>1.3423715843243298</v>
      </c>
      <c r="K286" t="str">
        <f t="shared" si="4"/>
        <v>No</v>
      </c>
      <c r="L286">
        <f>ABS((C286-EDA!$F$15)/EDA!$G$15)</f>
        <v>0.36995732607148379</v>
      </c>
      <c r="M286" t="str">
        <f>IF(moras[[#This Row],[Z-Score Salario]]&gt;1.96, "Sí", "No")</f>
        <v>No</v>
      </c>
      <c r="N286" s="14">
        <f>IF(ISBLANK(moras[[#This Row],[SALARIO]]), EDA!$M$8, moras[[#This Row],[SALARIO]])</f>
        <v>342332</v>
      </c>
      <c r="O286" s="14">
        <f xml:space="preserve"> IF(ISBLANK(moras[[#This Row],[EDAD]]), EDA!$E$8, moras[[#This Row],[EDAD]])</f>
        <v>61</v>
      </c>
      <c r="P286" s="14" t="str">
        <f>IF(
    OR(ISBLANK(moras[[#This Row],[TIPO_ASEGURAMIENTO]]), moras[[#This Row],[TIPO_ASEGURAMIENTO]]=""),
    EDA!$A$32,
    moras[[#This Row],[TIPO_ASEGURAMIENTO]]
)</f>
        <v>TRABAJADOR INDEPENDIENTE</v>
      </c>
    </row>
    <row r="287" spans="1:16" x14ac:dyDescent="0.3">
      <c r="A287">
        <v>286</v>
      </c>
      <c r="B287" t="s">
        <v>9</v>
      </c>
      <c r="C287">
        <v>1000000</v>
      </c>
      <c r="D287" t="s">
        <v>10</v>
      </c>
      <c r="E287" t="s">
        <v>16</v>
      </c>
      <c r="F287" t="s">
        <v>12</v>
      </c>
      <c r="G287" t="s">
        <v>13</v>
      </c>
      <c r="H287" t="s">
        <v>12</v>
      </c>
      <c r="I287">
        <v>52</v>
      </c>
      <c r="J287">
        <f>ABS((I287-EDA!$A$15)/EDA!$B$15)</f>
        <v>0.70719361363009237</v>
      </c>
      <c r="K287" t="str">
        <f t="shared" si="4"/>
        <v>No</v>
      </c>
      <c r="L287">
        <f>ABS((C287-EDA!$F$15)/EDA!$G$15)</f>
        <v>0.35901326629562091</v>
      </c>
      <c r="M287" t="str">
        <f>IF(moras[[#This Row],[Z-Score Salario]]&gt;1.96, "Sí", "No")</f>
        <v>No</v>
      </c>
      <c r="N287" s="14">
        <f>IF(ISBLANK(moras[[#This Row],[SALARIO]]), EDA!$M$8, moras[[#This Row],[SALARIO]])</f>
        <v>1000000</v>
      </c>
      <c r="O287" s="14">
        <f xml:space="preserve"> IF(ISBLANK(moras[[#This Row],[EDAD]]), EDA!$E$8, moras[[#This Row],[EDAD]])</f>
        <v>52</v>
      </c>
      <c r="P287" s="14" t="str">
        <f>IF(
    OR(ISBLANK(moras[[#This Row],[TIPO_ASEGURAMIENTO]]), moras[[#This Row],[TIPO_ASEGURAMIENTO]]=""),
    EDA!$A$32,
    moras[[#This Row],[TIPO_ASEGURAMIENTO]]
)</f>
        <v>ASALARIADO</v>
      </c>
    </row>
    <row r="288" spans="1:16" x14ac:dyDescent="0.3">
      <c r="A288">
        <v>287</v>
      </c>
      <c r="B288" t="s">
        <v>9</v>
      </c>
      <c r="C288">
        <v>34751423</v>
      </c>
      <c r="D288" t="s">
        <v>10</v>
      </c>
      <c r="E288" t="s">
        <v>16</v>
      </c>
      <c r="F288" t="s">
        <v>12</v>
      </c>
      <c r="G288" t="s">
        <v>13</v>
      </c>
      <c r="H288" t="s">
        <v>13</v>
      </c>
      <c r="I288">
        <v>30</v>
      </c>
      <c r="J288">
        <f>ABS((I288-EDA!$A$15)/EDA!$B$15)</f>
        <v>0.84546364806693275</v>
      </c>
      <c r="K288" t="str">
        <f t="shared" si="4"/>
        <v>No</v>
      </c>
      <c r="L288">
        <f>ABS((C288-EDA!$F$15)/EDA!$G$15)</f>
        <v>0.20263423796554686</v>
      </c>
      <c r="M288" t="str">
        <f>IF(moras[[#This Row],[Z-Score Salario]]&gt;1.96, "Sí", "No")</f>
        <v>No</v>
      </c>
      <c r="N288" s="14">
        <f>IF(ISBLANK(moras[[#This Row],[SALARIO]]), EDA!$M$8, moras[[#This Row],[SALARIO]])</f>
        <v>34751423</v>
      </c>
      <c r="O288" s="14">
        <f xml:space="preserve"> IF(ISBLANK(moras[[#This Row],[EDAD]]), EDA!$E$8, moras[[#This Row],[EDAD]])</f>
        <v>30</v>
      </c>
      <c r="P288" s="14" t="str">
        <f>IF(
    OR(ISBLANK(moras[[#This Row],[TIPO_ASEGURAMIENTO]]), moras[[#This Row],[TIPO_ASEGURAMIENTO]]=""),
    EDA!$A$32,
    moras[[#This Row],[TIPO_ASEGURAMIENTO]]
)</f>
        <v>ASALARIADO</v>
      </c>
    </row>
    <row r="289" spans="1:16" x14ac:dyDescent="0.3">
      <c r="A289">
        <v>288</v>
      </c>
      <c r="B289" t="s">
        <v>15</v>
      </c>
      <c r="C289">
        <v>750000</v>
      </c>
      <c r="D289" t="s">
        <v>10</v>
      </c>
      <c r="E289" t="s">
        <v>16</v>
      </c>
      <c r="F289" t="s">
        <v>12</v>
      </c>
      <c r="G289" t="s">
        <v>13</v>
      </c>
      <c r="H289" t="s">
        <v>12</v>
      </c>
      <c r="I289">
        <v>28</v>
      </c>
      <c r="J289">
        <f>ABS((I289-EDA!$A$15)/EDA!$B$15)</f>
        <v>0.98661430822120777</v>
      </c>
      <c r="K289" t="str">
        <f t="shared" si="4"/>
        <v>No</v>
      </c>
      <c r="L289">
        <f>ABS((C289-EDA!$F$15)/EDA!$G$15)</f>
        <v>0.3631734427736702</v>
      </c>
      <c r="M289" t="str">
        <f>IF(moras[[#This Row],[Z-Score Salario]]&gt;1.96, "Sí", "No")</f>
        <v>No</v>
      </c>
      <c r="N289" s="14">
        <f>IF(ISBLANK(moras[[#This Row],[SALARIO]]), EDA!$M$8, moras[[#This Row],[SALARIO]])</f>
        <v>750000</v>
      </c>
      <c r="O289" s="14">
        <f xml:space="preserve"> IF(ISBLANK(moras[[#This Row],[EDAD]]), EDA!$E$8, moras[[#This Row],[EDAD]])</f>
        <v>28</v>
      </c>
      <c r="P289" s="14" t="str">
        <f>IF(
    OR(ISBLANK(moras[[#This Row],[TIPO_ASEGURAMIENTO]]), moras[[#This Row],[TIPO_ASEGURAMIENTO]]=""),
    EDA!$A$32,
    moras[[#This Row],[TIPO_ASEGURAMIENTO]]
)</f>
        <v>ASALARIADO</v>
      </c>
    </row>
    <row r="290" spans="1:16" x14ac:dyDescent="0.3">
      <c r="A290">
        <v>289</v>
      </c>
      <c r="B290" t="s">
        <v>9</v>
      </c>
      <c r="C290">
        <v>33636494</v>
      </c>
      <c r="D290" t="s">
        <v>10</v>
      </c>
      <c r="E290" t="s">
        <v>16</v>
      </c>
      <c r="F290" t="s">
        <v>12</v>
      </c>
      <c r="G290" t="s">
        <v>13</v>
      </c>
      <c r="H290" t="s">
        <v>13</v>
      </c>
      <c r="I290">
        <v>24</v>
      </c>
      <c r="J290">
        <f>ABS((I290-EDA!$A$15)/EDA!$B$15)</f>
        <v>1.2689156285297578</v>
      </c>
      <c r="K290" t="str">
        <f t="shared" si="4"/>
        <v>No</v>
      </c>
      <c r="L290">
        <f>ABS((C290-EDA!$F$15)/EDA!$G$15)</f>
        <v>0.18408103236356677</v>
      </c>
      <c r="M290" t="str">
        <f>IF(moras[[#This Row],[Z-Score Salario]]&gt;1.96, "Sí", "No")</f>
        <v>No</v>
      </c>
      <c r="N290" s="14">
        <f>IF(ISBLANK(moras[[#This Row],[SALARIO]]), EDA!$M$8, moras[[#This Row],[SALARIO]])</f>
        <v>33636494</v>
      </c>
      <c r="O290" s="14">
        <f xml:space="preserve"> IF(ISBLANK(moras[[#This Row],[EDAD]]), EDA!$E$8, moras[[#This Row],[EDAD]])</f>
        <v>24</v>
      </c>
      <c r="P290" s="14" t="str">
        <f>IF(
    OR(ISBLANK(moras[[#This Row],[TIPO_ASEGURAMIENTO]]), moras[[#This Row],[TIPO_ASEGURAMIENTO]]=""),
    EDA!$A$32,
    moras[[#This Row],[TIPO_ASEGURAMIENTO]]
)</f>
        <v>ASALARIADO</v>
      </c>
    </row>
    <row r="291" spans="1:16" x14ac:dyDescent="0.3">
      <c r="A291">
        <v>290</v>
      </c>
      <c r="B291" t="s">
        <v>9</v>
      </c>
      <c r="C291">
        <v>351055</v>
      </c>
      <c r="D291" t="s">
        <v>18</v>
      </c>
      <c r="E291" t="s">
        <v>16</v>
      </c>
      <c r="F291" t="s">
        <v>12</v>
      </c>
      <c r="G291" t="s">
        <v>13</v>
      </c>
      <c r="H291" t="s">
        <v>12</v>
      </c>
      <c r="I291">
        <v>51</v>
      </c>
      <c r="J291">
        <f>ABS((I291-EDA!$A$15)/EDA!$B$15)</f>
        <v>0.6366182835529548</v>
      </c>
      <c r="K291" t="str">
        <f t="shared" si="4"/>
        <v>No</v>
      </c>
      <c r="L291">
        <f>ABS((C291-EDA!$F$15)/EDA!$G$15)</f>
        <v>0.36981216919381171</v>
      </c>
      <c r="M291" t="str">
        <f>IF(moras[[#This Row],[Z-Score Salario]]&gt;1.96, "Sí", "No")</f>
        <v>No</v>
      </c>
      <c r="N291" s="14">
        <f>IF(ISBLANK(moras[[#This Row],[SALARIO]]), EDA!$M$8, moras[[#This Row],[SALARIO]])</f>
        <v>351055</v>
      </c>
      <c r="O291" s="14">
        <f xml:space="preserve"> IF(ISBLANK(moras[[#This Row],[EDAD]]), EDA!$E$8, moras[[#This Row],[EDAD]])</f>
        <v>51</v>
      </c>
      <c r="P291" s="14" t="str">
        <f>IF(
    OR(ISBLANK(moras[[#This Row],[TIPO_ASEGURAMIENTO]]), moras[[#This Row],[TIPO_ASEGURAMIENTO]]=""),
    EDA!$A$32,
    moras[[#This Row],[TIPO_ASEGURAMIENTO]]
)</f>
        <v>TRABAJADOR INDEPENDIENTE</v>
      </c>
    </row>
    <row r="292" spans="1:16" x14ac:dyDescent="0.3">
      <c r="A292">
        <v>291</v>
      </c>
      <c r="B292" t="s">
        <v>9</v>
      </c>
      <c r="C292">
        <v>345385</v>
      </c>
      <c r="D292" t="s">
        <v>10</v>
      </c>
      <c r="E292" t="s">
        <v>16</v>
      </c>
      <c r="F292" t="s">
        <v>12</v>
      </c>
      <c r="G292" t="s">
        <v>13</v>
      </c>
      <c r="H292" t="s">
        <v>13</v>
      </c>
      <c r="I292">
        <v>32</v>
      </c>
      <c r="J292">
        <f>ABS((I292-EDA!$A$15)/EDA!$B$15)</f>
        <v>0.70431298791265773</v>
      </c>
      <c r="K292" t="str">
        <f t="shared" si="4"/>
        <v>No</v>
      </c>
      <c r="L292">
        <f>ABS((C292-EDA!$F$15)/EDA!$G$15)</f>
        <v>0.36990652199633389</v>
      </c>
      <c r="M292" t="str">
        <f>IF(moras[[#This Row],[Z-Score Salario]]&gt;1.96, "Sí", "No")</f>
        <v>No</v>
      </c>
      <c r="N292" s="14">
        <f>IF(ISBLANK(moras[[#This Row],[SALARIO]]), EDA!$M$8, moras[[#This Row],[SALARIO]])</f>
        <v>345385</v>
      </c>
      <c r="O292" s="14">
        <f xml:space="preserve"> IF(ISBLANK(moras[[#This Row],[EDAD]]), EDA!$E$8, moras[[#This Row],[EDAD]])</f>
        <v>32</v>
      </c>
      <c r="P292" s="14" t="str">
        <f>IF(
    OR(ISBLANK(moras[[#This Row],[TIPO_ASEGURAMIENTO]]), moras[[#This Row],[TIPO_ASEGURAMIENTO]]=""),
    EDA!$A$32,
    moras[[#This Row],[TIPO_ASEGURAMIENTO]]
)</f>
        <v>ASALARIADO</v>
      </c>
    </row>
    <row r="293" spans="1:16" x14ac:dyDescent="0.3">
      <c r="A293">
        <v>292</v>
      </c>
      <c r="B293" t="s">
        <v>9</v>
      </c>
      <c r="C293">
        <v>396805</v>
      </c>
      <c r="D293" t="s">
        <v>10</v>
      </c>
      <c r="E293" t="s">
        <v>16</v>
      </c>
      <c r="F293" t="s">
        <v>12</v>
      </c>
      <c r="G293" t="s">
        <v>13</v>
      </c>
      <c r="H293" t="s">
        <v>13</v>
      </c>
      <c r="I293">
        <v>40</v>
      </c>
      <c r="J293">
        <f>ABS((I293-EDA!$A$15)/EDA!$B$15)</f>
        <v>0.13971034729555773</v>
      </c>
      <c r="K293" t="str">
        <f t="shared" si="4"/>
        <v>No</v>
      </c>
      <c r="L293">
        <f>ABS((C293-EDA!$F$15)/EDA!$G$15)</f>
        <v>0.36905085689832873</v>
      </c>
      <c r="M293" t="str">
        <f>IF(moras[[#This Row],[Z-Score Salario]]&gt;1.96, "Sí", "No")</f>
        <v>No</v>
      </c>
      <c r="N293" s="14">
        <f>IF(ISBLANK(moras[[#This Row],[SALARIO]]), EDA!$M$8, moras[[#This Row],[SALARIO]])</f>
        <v>396805</v>
      </c>
      <c r="O293" s="14">
        <f xml:space="preserve"> IF(ISBLANK(moras[[#This Row],[EDAD]]), EDA!$E$8, moras[[#This Row],[EDAD]])</f>
        <v>40</v>
      </c>
      <c r="P293" s="14" t="str">
        <f>IF(
    OR(ISBLANK(moras[[#This Row],[TIPO_ASEGURAMIENTO]]), moras[[#This Row],[TIPO_ASEGURAMIENTO]]=""),
    EDA!$A$32,
    moras[[#This Row],[TIPO_ASEGURAMIENTO]]
)</f>
        <v>ASALARIADO</v>
      </c>
    </row>
    <row r="294" spans="1:16" x14ac:dyDescent="0.3">
      <c r="A294">
        <v>293</v>
      </c>
      <c r="B294" t="s">
        <v>15</v>
      </c>
      <c r="C294">
        <v>297045</v>
      </c>
      <c r="D294" t="s">
        <v>18</v>
      </c>
      <c r="E294" t="s">
        <v>16</v>
      </c>
      <c r="F294" t="s">
        <v>12</v>
      </c>
      <c r="G294" t="s">
        <v>13</v>
      </c>
      <c r="H294" t="s">
        <v>12</v>
      </c>
      <c r="I294">
        <v>62</v>
      </c>
      <c r="J294">
        <f>ABS((I294-EDA!$A$15)/EDA!$B$15)</f>
        <v>1.4129469144014672</v>
      </c>
      <c r="K294" t="str">
        <f t="shared" si="4"/>
        <v>No</v>
      </c>
      <c r="L294">
        <f>ABS((C294-EDA!$F$15)/EDA!$G$15)</f>
        <v>0.37071093372012948</v>
      </c>
      <c r="M294" t="str">
        <f>IF(moras[[#This Row],[Z-Score Salario]]&gt;1.96, "Sí", "No")</f>
        <v>No</v>
      </c>
      <c r="N294" s="14">
        <f>IF(ISBLANK(moras[[#This Row],[SALARIO]]), EDA!$M$8, moras[[#This Row],[SALARIO]])</f>
        <v>297045</v>
      </c>
      <c r="O294" s="14">
        <f xml:space="preserve"> IF(ISBLANK(moras[[#This Row],[EDAD]]), EDA!$E$8, moras[[#This Row],[EDAD]])</f>
        <v>62</v>
      </c>
      <c r="P294" s="14" t="str">
        <f>IF(
    OR(ISBLANK(moras[[#This Row],[TIPO_ASEGURAMIENTO]]), moras[[#This Row],[TIPO_ASEGURAMIENTO]]=""),
    EDA!$A$32,
    moras[[#This Row],[TIPO_ASEGURAMIENTO]]
)</f>
        <v>TRABAJADOR INDEPENDIENTE</v>
      </c>
    </row>
    <row r="295" spans="1:16" x14ac:dyDescent="0.3">
      <c r="A295">
        <v>294</v>
      </c>
      <c r="B295" t="s">
        <v>9</v>
      </c>
      <c r="C295">
        <v>131385297</v>
      </c>
      <c r="D295" t="s">
        <v>10</v>
      </c>
      <c r="E295" t="s">
        <v>16</v>
      </c>
      <c r="F295" t="s">
        <v>12</v>
      </c>
      <c r="G295" t="s">
        <v>13</v>
      </c>
      <c r="H295" t="s">
        <v>13</v>
      </c>
      <c r="I295">
        <v>52</v>
      </c>
      <c r="J295">
        <f>ABS((I295-EDA!$A$15)/EDA!$B$15)</f>
        <v>0.70719361363009237</v>
      </c>
      <c r="K295" t="str">
        <f t="shared" si="4"/>
        <v>No</v>
      </c>
      <c r="L295">
        <f>ABS((C295-EDA!$F$15)/EDA!$G$15)</f>
        <v>1.8106901163558637</v>
      </c>
      <c r="M295" t="str">
        <f>IF(moras[[#This Row],[Z-Score Salario]]&gt;1.96, "Sí", "No")</f>
        <v>No</v>
      </c>
      <c r="N295" s="14">
        <f>IF(ISBLANK(moras[[#This Row],[SALARIO]]), EDA!$M$8, moras[[#This Row],[SALARIO]])</f>
        <v>131385297</v>
      </c>
      <c r="O295" s="14">
        <f xml:space="preserve"> IF(ISBLANK(moras[[#This Row],[EDAD]]), EDA!$E$8, moras[[#This Row],[EDAD]])</f>
        <v>52</v>
      </c>
      <c r="P295" s="14" t="str">
        <f>IF(
    OR(ISBLANK(moras[[#This Row],[TIPO_ASEGURAMIENTO]]), moras[[#This Row],[TIPO_ASEGURAMIENTO]]=""),
    EDA!$A$32,
    moras[[#This Row],[TIPO_ASEGURAMIENTO]]
)</f>
        <v>ASALARIADO</v>
      </c>
    </row>
    <row r="296" spans="1:16" x14ac:dyDescent="0.3">
      <c r="A296">
        <v>295</v>
      </c>
      <c r="B296" t="s">
        <v>9</v>
      </c>
      <c r="C296">
        <v>328192</v>
      </c>
      <c r="D296" t="s">
        <v>18</v>
      </c>
      <c r="E296" t="s">
        <v>16</v>
      </c>
      <c r="F296" t="s">
        <v>12</v>
      </c>
      <c r="G296" t="s">
        <v>12</v>
      </c>
      <c r="H296" t="s">
        <v>12</v>
      </c>
      <c r="I296">
        <v>32</v>
      </c>
      <c r="J296">
        <f>ABS((I296-EDA!$A$15)/EDA!$B$15)</f>
        <v>0.70431298791265773</v>
      </c>
      <c r="K296" t="str">
        <f t="shared" si="4"/>
        <v>No</v>
      </c>
      <c r="L296">
        <f>ABS((C296-EDA!$F$15)/EDA!$G$15)</f>
        <v>0.37019262565308231</v>
      </c>
      <c r="M296" t="str">
        <f>IF(moras[[#This Row],[Z-Score Salario]]&gt;1.96, "Sí", "No")</f>
        <v>No</v>
      </c>
      <c r="N296" s="14">
        <f>IF(ISBLANK(moras[[#This Row],[SALARIO]]), EDA!$M$8, moras[[#This Row],[SALARIO]])</f>
        <v>328192</v>
      </c>
      <c r="O296" s="14">
        <f xml:space="preserve"> IF(ISBLANK(moras[[#This Row],[EDAD]]), EDA!$E$8, moras[[#This Row],[EDAD]])</f>
        <v>32</v>
      </c>
      <c r="P296" s="14" t="str">
        <f>IF(
    OR(ISBLANK(moras[[#This Row],[TIPO_ASEGURAMIENTO]]), moras[[#This Row],[TIPO_ASEGURAMIENTO]]=""),
    EDA!$A$32,
    moras[[#This Row],[TIPO_ASEGURAMIENTO]]
)</f>
        <v>TRABAJADOR INDEPENDIENTE</v>
      </c>
    </row>
    <row r="297" spans="1:16" x14ac:dyDescent="0.3">
      <c r="A297">
        <v>296</v>
      </c>
      <c r="B297" t="s">
        <v>15</v>
      </c>
      <c r="C297">
        <v>478452</v>
      </c>
      <c r="D297" t="s">
        <v>18</v>
      </c>
      <c r="E297" t="s">
        <v>16</v>
      </c>
      <c r="F297" t="s">
        <v>12</v>
      </c>
      <c r="G297" t="s">
        <v>13</v>
      </c>
      <c r="H297" t="s">
        <v>12</v>
      </c>
      <c r="I297">
        <v>58</v>
      </c>
      <c r="J297">
        <f>ABS((I297-EDA!$A$15)/EDA!$B$15)</f>
        <v>1.1306455940929174</v>
      </c>
      <c r="K297" t="str">
        <f t="shared" si="4"/>
        <v>No</v>
      </c>
      <c r="L297">
        <f>ABS((C297-EDA!$F$15)/EDA!$G$15)</f>
        <v>0.36769219318271557</v>
      </c>
      <c r="M297" t="str">
        <f>IF(moras[[#This Row],[Z-Score Salario]]&gt;1.96, "Sí", "No")</f>
        <v>No</v>
      </c>
      <c r="N297" s="14">
        <f>IF(ISBLANK(moras[[#This Row],[SALARIO]]), EDA!$M$8, moras[[#This Row],[SALARIO]])</f>
        <v>478452</v>
      </c>
      <c r="O297" s="14">
        <f xml:space="preserve"> IF(ISBLANK(moras[[#This Row],[EDAD]]), EDA!$E$8, moras[[#This Row],[EDAD]])</f>
        <v>58</v>
      </c>
      <c r="P297" s="14" t="str">
        <f>IF(
    OR(ISBLANK(moras[[#This Row],[TIPO_ASEGURAMIENTO]]), moras[[#This Row],[TIPO_ASEGURAMIENTO]]=""),
    EDA!$A$32,
    moras[[#This Row],[TIPO_ASEGURAMIENTO]]
)</f>
        <v>TRABAJADOR INDEPENDIENTE</v>
      </c>
    </row>
    <row r="298" spans="1:16" x14ac:dyDescent="0.3">
      <c r="A298">
        <v>297</v>
      </c>
      <c r="B298" t="s">
        <v>9</v>
      </c>
      <c r="C298">
        <v>299647</v>
      </c>
      <c r="D298" t="s">
        <v>18</v>
      </c>
      <c r="E298" t="s">
        <v>16</v>
      </c>
      <c r="F298" t="s">
        <v>12</v>
      </c>
      <c r="G298" t="s">
        <v>13</v>
      </c>
      <c r="H298" t="s">
        <v>12</v>
      </c>
      <c r="I298">
        <v>57</v>
      </c>
      <c r="J298">
        <f>ABS((I298-EDA!$A$15)/EDA!$B$15)</f>
        <v>1.0600702640157798</v>
      </c>
      <c r="K298" t="str">
        <f t="shared" si="4"/>
        <v>No</v>
      </c>
      <c r="L298">
        <f>ABS((C298-EDA!$F$15)/EDA!$G$15)</f>
        <v>0.37066763460334595</v>
      </c>
      <c r="M298" t="str">
        <f>IF(moras[[#This Row],[Z-Score Salario]]&gt;1.96, "Sí", "No")</f>
        <v>No</v>
      </c>
      <c r="N298" s="14">
        <f>IF(ISBLANK(moras[[#This Row],[SALARIO]]), EDA!$M$8, moras[[#This Row],[SALARIO]])</f>
        <v>299647</v>
      </c>
      <c r="O298" s="14">
        <f xml:space="preserve"> IF(ISBLANK(moras[[#This Row],[EDAD]]), EDA!$E$8, moras[[#This Row],[EDAD]])</f>
        <v>57</v>
      </c>
      <c r="P298" s="14" t="str">
        <f>IF(
    OR(ISBLANK(moras[[#This Row],[TIPO_ASEGURAMIENTO]]), moras[[#This Row],[TIPO_ASEGURAMIENTO]]=""),
    EDA!$A$32,
    moras[[#This Row],[TIPO_ASEGURAMIENTO]]
)</f>
        <v>TRABAJADOR INDEPENDIENTE</v>
      </c>
    </row>
    <row r="299" spans="1:16" x14ac:dyDescent="0.3">
      <c r="A299">
        <v>298</v>
      </c>
      <c r="B299" t="s">
        <v>9</v>
      </c>
      <c r="C299">
        <v>26336019</v>
      </c>
      <c r="D299" t="s">
        <v>10</v>
      </c>
      <c r="E299" t="s">
        <v>16</v>
      </c>
      <c r="F299" t="s">
        <v>12</v>
      </c>
      <c r="G299" t="s">
        <v>13</v>
      </c>
      <c r="H299" t="s">
        <v>13</v>
      </c>
      <c r="I299">
        <v>24</v>
      </c>
      <c r="J299">
        <f>ABS((I299-EDA!$A$15)/EDA!$B$15)</f>
        <v>1.2689156285297578</v>
      </c>
      <c r="K299" t="str">
        <f t="shared" si="4"/>
        <v>No</v>
      </c>
      <c r="L299">
        <f>ABS((C299-EDA!$F$15)/EDA!$G$15)</f>
        <v>6.2595974869219084E-2</v>
      </c>
      <c r="M299" t="str">
        <f>IF(moras[[#This Row],[Z-Score Salario]]&gt;1.96, "Sí", "No")</f>
        <v>No</v>
      </c>
      <c r="N299" s="14">
        <f>IF(ISBLANK(moras[[#This Row],[SALARIO]]), EDA!$M$8, moras[[#This Row],[SALARIO]])</f>
        <v>26336019</v>
      </c>
      <c r="O299" s="14">
        <f xml:space="preserve"> IF(ISBLANK(moras[[#This Row],[EDAD]]), EDA!$E$8, moras[[#This Row],[EDAD]])</f>
        <v>24</v>
      </c>
      <c r="P299" s="14" t="str">
        <f>IF(
    OR(ISBLANK(moras[[#This Row],[TIPO_ASEGURAMIENTO]]), moras[[#This Row],[TIPO_ASEGURAMIENTO]]=""),
    EDA!$A$32,
    moras[[#This Row],[TIPO_ASEGURAMIENTO]]
)</f>
        <v>ASALARIADO</v>
      </c>
    </row>
    <row r="300" spans="1:16" x14ac:dyDescent="0.3">
      <c r="A300">
        <v>299</v>
      </c>
      <c r="B300" t="s">
        <v>15</v>
      </c>
      <c r="C300">
        <v>2312395</v>
      </c>
      <c r="D300" t="s">
        <v>10</v>
      </c>
      <c r="E300" t="s">
        <v>11</v>
      </c>
      <c r="F300" t="s">
        <v>12</v>
      </c>
      <c r="G300" t="s">
        <v>13</v>
      </c>
      <c r="H300" t="s">
        <v>13</v>
      </c>
      <c r="I300">
        <v>61</v>
      </c>
      <c r="J300">
        <f>ABS((I300-EDA!$A$15)/EDA!$B$15)</f>
        <v>1.3423715843243298</v>
      </c>
      <c r="K300" t="str">
        <f t="shared" si="4"/>
        <v>No</v>
      </c>
      <c r="L300">
        <f>ABS((C300-EDA!$F$15)/EDA!$G$15)</f>
        <v>0.33717408705998292</v>
      </c>
      <c r="M300" t="str">
        <f>IF(moras[[#This Row],[Z-Score Salario]]&gt;1.96, "Sí", "No")</f>
        <v>No</v>
      </c>
      <c r="N300" s="14">
        <f>IF(ISBLANK(moras[[#This Row],[SALARIO]]), EDA!$M$8, moras[[#This Row],[SALARIO]])</f>
        <v>2312395</v>
      </c>
      <c r="O300" s="14">
        <f xml:space="preserve"> IF(ISBLANK(moras[[#This Row],[EDAD]]), EDA!$E$8, moras[[#This Row],[EDAD]])</f>
        <v>61</v>
      </c>
      <c r="P300" s="14" t="str">
        <f>IF(
    OR(ISBLANK(moras[[#This Row],[TIPO_ASEGURAMIENTO]]), moras[[#This Row],[TIPO_ASEGURAMIENTO]]=""),
    EDA!$A$32,
    moras[[#This Row],[TIPO_ASEGURAMIENTO]]
)</f>
        <v>ASALARIADO</v>
      </c>
    </row>
    <row r="301" spans="1:16" x14ac:dyDescent="0.3">
      <c r="A301">
        <v>300</v>
      </c>
      <c r="B301" t="s">
        <v>9</v>
      </c>
      <c r="C301">
        <v>300000</v>
      </c>
      <c r="D301" t="s">
        <v>10</v>
      </c>
      <c r="E301" t="s">
        <v>16</v>
      </c>
      <c r="F301" t="s">
        <v>12</v>
      </c>
      <c r="G301" t="s">
        <v>13</v>
      </c>
      <c r="H301" t="s">
        <v>13</v>
      </c>
      <c r="I301">
        <v>26</v>
      </c>
      <c r="J301">
        <f>ABS((I301-EDA!$A$15)/EDA!$B$15)</f>
        <v>1.1277649683754829</v>
      </c>
      <c r="K301" t="str">
        <f t="shared" si="4"/>
        <v>No</v>
      </c>
      <c r="L301">
        <f>ABS((C301-EDA!$F$15)/EDA!$G$15)</f>
        <v>0.37066176043415894</v>
      </c>
      <c r="M301" t="str">
        <f>IF(moras[[#This Row],[Z-Score Salario]]&gt;1.96, "Sí", "No")</f>
        <v>No</v>
      </c>
      <c r="N301" s="14">
        <f>IF(ISBLANK(moras[[#This Row],[SALARIO]]), EDA!$M$8, moras[[#This Row],[SALARIO]])</f>
        <v>300000</v>
      </c>
      <c r="O301" s="14">
        <f xml:space="preserve"> IF(ISBLANK(moras[[#This Row],[EDAD]]), EDA!$E$8, moras[[#This Row],[EDAD]])</f>
        <v>26</v>
      </c>
      <c r="P301" s="14" t="str">
        <f>IF(
    OR(ISBLANK(moras[[#This Row],[TIPO_ASEGURAMIENTO]]), moras[[#This Row],[TIPO_ASEGURAMIENTO]]=""),
    EDA!$A$32,
    moras[[#This Row],[TIPO_ASEGURAMIENTO]]
)</f>
        <v>ASALARIADO</v>
      </c>
    </row>
    <row r="302" spans="1:16" x14ac:dyDescent="0.3">
      <c r="A302">
        <v>301</v>
      </c>
      <c r="B302" t="s">
        <v>9</v>
      </c>
      <c r="C302">
        <v>1819599</v>
      </c>
      <c r="D302" t="s">
        <v>14</v>
      </c>
      <c r="E302" t="s">
        <v>11</v>
      </c>
      <c r="F302" t="s">
        <v>12</v>
      </c>
      <c r="G302" t="s">
        <v>13</v>
      </c>
      <c r="H302" t="s">
        <v>13</v>
      </c>
      <c r="I302">
        <v>80</v>
      </c>
      <c r="J302">
        <f>ABS((I302-EDA!$A$15)/EDA!$B$15)</f>
        <v>2.6833028557899423</v>
      </c>
      <c r="K302" t="str">
        <f t="shared" si="4"/>
        <v>Sí</v>
      </c>
      <c r="L302">
        <f>ABS((C302-EDA!$F$15)/EDA!$G$15)</f>
        <v>0.34537456037069003</v>
      </c>
      <c r="M302" t="str">
        <f>IF(moras[[#This Row],[Z-Score Salario]]&gt;1.96, "Sí", "No")</f>
        <v>No</v>
      </c>
      <c r="N302" s="14">
        <f>IF(ISBLANK(moras[[#This Row],[SALARIO]]), EDA!$M$8, moras[[#This Row],[SALARIO]])</f>
        <v>1819599</v>
      </c>
      <c r="O302" s="14">
        <f xml:space="preserve"> IF(ISBLANK(moras[[#This Row],[EDAD]]), EDA!$E$8, moras[[#This Row],[EDAD]])</f>
        <v>80</v>
      </c>
      <c r="P302" s="14" t="str">
        <f>IF(
    OR(ISBLANK(moras[[#This Row],[TIPO_ASEGURAMIENTO]]), moras[[#This Row],[TIPO_ASEGURAMIENTO]]=""),
    EDA!$A$32,
    moras[[#This Row],[TIPO_ASEGURAMIENTO]]
)</f>
        <v>PENSIONADOS EN SU PROPIO SISTEMA</v>
      </c>
    </row>
    <row r="303" spans="1:16" x14ac:dyDescent="0.3">
      <c r="A303">
        <v>302</v>
      </c>
      <c r="B303" t="s">
        <v>9</v>
      </c>
      <c r="C303">
        <v>551500</v>
      </c>
      <c r="D303" t="s">
        <v>10</v>
      </c>
      <c r="E303" t="s">
        <v>16</v>
      </c>
      <c r="F303" t="s">
        <v>12</v>
      </c>
      <c r="G303" t="s">
        <v>13</v>
      </c>
      <c r="H303" t="s">
        <v>13</v>
      </c>
      <c r="I303">
        <v>34</v>
      </c>
      <c r="J303">
        <f>ABS((I303-EDA!$A$15)/EDA!$B$15)</f>
        <v>0.56316232775838282</v>
      </c>
      <c r="K303" t="str">
        <f t="shared" si="4"/>
        <v>No</v>
      </c>
      <c r="L303">
        <f>ABS((C303-EDA!$F$15)/EDA!$G$15)</f>
        <v>0.36647662289724137</v>
      </c>
      <c r="M303" t="str">
        <f>IF(moras[[#This Row],[Z-Score Salario]]&gt;1.96, "Sí", "No")</f>
        <v>No</v>
      </c>
      <c r="N303" s="14">
        <f>IF(ISBLANK(moras[[#This Row],[SALARIO]]), EDA!$M$8, moras[[#This Row],[SALARIO]])</f>
        <v>551500</v>
      </c>
      <c r="O303" s="14">
        <f xml:space="preserve"> IF(ISBLANK(moras[[#This Row],[EDAD]]), EDA!$E$8, moras[[#This Row],[EDAD]])</f>
        <v>34</v>
      </c>
      <c r="P303" s="14" t="str">
        <f>IF(
    OR(ISBLANK(moras[[#This Row],[TIPO_ASEGURAMIENTO]]), moras[[#This Row],[TIPO_ASEGURAMIENTO]]=""),
    EDA!$A$32,
    moras[[#This Row],[TIPO_ASEGURAMIENTO]]
)</f>
        <v>ASALARIADO</v>
      </c>
    </row>
    <row r="304" spans="1:16" x14ac:dyDescent="0.3">
      <c r="A304">
        <v>303</v>
      </c>
      <c r="B304" t="s">
        <v>15</v>
      </c>
      <c r="C304">
        <v>33877581</v>
      </c>
      <c r="D304" t="s">
        <v>10</v>
      </c>
      <c r="E304" t="s">
        <v>16</v>
      </c>
      <c r="F304" t="s">
        <v>12</v>
      </c>
      <c r="G304" t="s">
        <v>13</v>
      </c>
      <c r="H304" t="s">
        <v>13</v>
      </c>
      <c r="I304">
        <v>46</v>
      </c>
      <c r="J304">
        <f>ABS((I304-EDA!$A$15)/EDA!$B$15)</f>
        <v>0.2837416331672673</v>
      </c>
      <c r="K304" t="str">
        <f t="shared" si="4"/>
        <v>No</v>
      </c>
      <c r="L304">
        <f>ABS((C304-EDA!$F$15)/EDA!$G$15)</f>
        <v>0.18809289022982065</v>
      </c>
      <c r="M304" t="str">
        <f>IF(moras[[#This Row],[Z-Score Salario]]&gt;1.96, "Sí", "No")</f>
        <v>No</v>
      </c>
      <c r="N304" s="14">
        <f>IF(ISBLANK(moras[[#This Row],[SALARIO]]), EDA!$M$8, moras[[#This Row],[SALARIO]])</f>
        <v>33877581</v>
      </c>
      <c r="O304" s="14">
        <f xml:space="preserve"> IF(ISBLANK(moras[[#This Row],[EDAD]]), EDA!$E$8, moras[[#This Row],[EDAD]])</f>
        <v>46</v>
      </c>
      <c r="P304" s="14" t="str">
        <f>IF(
    OR(ISBLANK(moras[[#This Row],[TIPO_ASEGURAMIENTO]]), moras[[#This Row],[TIPO_ASEGURAMIENTO]]=""),
    EDA!$A$32,
    moras[[#This Row],[TIPO_ASEGURAMIENTO]]
)</f>
        <v>ASALARIADO</v>
      </c>
    </row>
    <row r="305" spans="1:16" x14ac:dyDescent="0.3">
      <c r="A305">
        <v>304</v>
      </c>
      <c r="B305" t="s">
        <v>15</v>
      </c>
      <c r="C305">
        <v>278030</v>
      </c>
      <c r="D305" t="s">
        <v>19</v>
      </c>
      <c r="E305" t="s">
        <v>16</v>
      </c>
      <c r="F305" t="s">
        <v>12</v>
      </c>
      <c r="G305" t="s">
        <v>13</v>
      </c>
      <c r="H305" t="s">
        <v>13</v>
      </c>
      <c r="I305">
        <v>70</v>
      </c>
      <c r="J305">
        <f>ABS((I305-EDA!$A$15)/EDA!$B$15)</f>
        <v>1.9775495550185673</v>
      </c>
      <c r="K305" t="str">
        <f t="shared" si="4"/>
        <v>Sí</v>
      </c>
      <c r="L305">
        <f>ABS((C305-EDA!$F$15)/EDA!$G$15)</f>
        <v>0.37102735674304993</v>
      </c>
      <c r="M305" t="str">
        <f>IF(moras[[#This Row],[Z-Score Salario]]&gt;1.96, "Sí", "No")</f>
        <v>No</v>
      </c>
      <c r="N305" s="14">
        <f>IF(ISBLANK(moras[[#This Row],[SALARIO]]), EDA!$M$8, moras[[#This Row],[SALARIO]])</f>
        <v>278030</v>
      </c>
      <c r="O305" s="14">
        <f xml:space="preserve"> IF(ISBLANK(moras[[#This Row],[EDAD]]), EDA!$E$8, moras[[#This Row],[EDAD]])</f>
        <v>70</v>
      </c>
      <c r="P305" s="14" t="str">
        <f>IF(
    OR(ISBLANK(moras[[#This Row],[TIPO_ASEGURAMIENTO]]), moras[[#This Row],[TIPO_ASEGURAMIENTO]]=""),
    EDA!$A$32,
    moras[[#This Row],[TIPO_ASEGURAMIENTO]]
)</f>
        <v>CONVENIOS ESPECIALES DE TRABAJADORES INDEPENDIENTES</v>
      </c>
    </row>
    <row r="306" spans="1:16" x14ac:dyDescent="0.3">
      <c r="A306">
        <v>305</v>
      </c>
      <c r="B306" t="s">
        <v>15</v>
      </c>
      <c r="C306">
        <v>1068785</v>
      </c>
      <c r="D306" t="s">
        <v>14</v>
      </c>
      <c r="E306" t="s">
        <v>11</v>
      </c>
      <c r="F306" t="s">
        <v>12</v>
      </c>
      <c r="G306" t="s">
        <v>13</v>
      </c>
      <c r="H306" t="s">
        <v>13</v>
      </c>
      <c r="I306">
        <v>63</v>
      </c>
      <c r="J306">
        <f>ABS((I306-EDA!$A$15)/EDA!$B$15)</f>
        <v>1.4835222444786049</v>
      </c>
      <c r="K306" t="str">
        <f t="shared" si="4"/>
        <v>No</v>
      </c>
      <c r="L306">
        <f>ABS((C306-EDA!$F$15)/EDA!$G$15)</f>
        <v>0.35786863533945046</v>
      </c>
      <c r="M306" t="str">
        <f>IF(moras[[#This Row],[Z-Score Salario]]&gt;1.96, "Sí", "No")</f>
        <v>No</v>
      </c>
      <c r="N306" s="14">
        <f>IF(ISBLANK(moras[[#This Row],[SALARIO]]), EDA!$M$8, moras[[#This Row],[SALARIO]])</f>
        <v>1068785</v>
      </c>
      <c r="O306" s="14">
        <f xml:space="preserve"> IF(ISBLANK(moras[[#This Row],[EDAD]]), EDA!$E$8, moras[[#This Row],[EDAD]])</f>
        <v>63</v>
      </c>
      <c r="P306" s="14" t="str">
        <f>IF(
    OR(ISBLANK(moras[[#This Row],[TIPO_ASEGURAMIENTO]]), moras[[#This Row],[TIPO_ASEGURAMIENTO]]=""),
    EDA!$A$32,
    moras[[#This Row],[TIPO_ASEGURAMIENTO]]
)</f>
        <v>PENSIONADOS EN SU PROPIO SISTEMA</v>
      </c>
    </row>
    <row r="307" spans="1:16" x14ac:dyDescent="0.3">
      <c r="A307">
        <v>306</v>
      </c>
      <c r="B307" t="s">
        <v>9</v>
      </c>
      <c r="C307">
        <v>254995842</v>
      </c>
      <c r="D307" t="s">
        <v>10</v>
      </c>
      <c r="E307" t="s">
        <v>16</v>
      </c>
      <c r="F307" t="s">
        <v>12</v>
      </c>
      <c r="G307" t="s">
        <v>13</v>
      </c>
      <c r="H307" t="s">
        <v>13</v>
      </c>
      <c r="I307">
        <v>41</v>
      </c>
      <c r="J307">
        <f>ABS((I307-EDA!$A$15)/EDA!$B$15)</f>
        <v>6.9135017218420233E-2</v>
      </c>
      <c r="K307" t="str">
        <f t="shared" si="4"/>
        <v>No</v>
      </c>
      <c r="L307">
        <f>ABS((C307-EDA!$F$15)/EDA!$G$15)</f>
        <v>3.8676568433472789</v>
      </c>
      <c r="M307" t="str">
        <f>IF(moras[[#This Row],[Z-Score Salario]]&gt;1.96, "Sí", "No")</f>
        <v>Sí</v>
      </c>
      <c r="N307" s="14">
        <f>IF(ISBLANK(moras[[#This Row],[SALARIO]]), EDA!$M$8, moras[[#This Row],[SALARIO]])</f>
        <v>254995842</v>
      </c>
      <c r="O307" s="14">
        <f xml:space="preserve"> IF(ISBLANK(moras[[#This Row],[EDAD]]), EDA!$E$8, moras[[#This Row],[EDAD]])</f>
        <v>41</v>
      </c>
      <c r="P307" s="14" t="str">
        <f>IF(
    OR(ISBLANK(moras[[#This Row],[TIPO_ASEGURAMIENTO]]), moras[[#This Row],[TIPO_ASEGURAMIENTO]]=""),
    EDA!$A$32,
    moras[[#This Row],[TIPO_ASEGURAMIENTO]]
)</f>
        <v>ASALARIADO</v>
      </c>
    </row>
    <row r="308" spans="1:16" x14ac:dyDescent="0.3">
      <c r="A308">
        <v>307</v>
      </c>
      <c r="B308" t="s">
        <v>9</v>
      </c>
      <c r="C308">
        <v>181084</v>
      </c>
      <c r="D308" t="s">
        <v>10</v>
      </c>
      <c r="E308" t="s">
        <v>16</v>
      </c>
      <c r="F308" t="s">
        <v>12</v>
      </c>
      <c r="G308" t="s">
        <v>13</v>
      </c>
      <c r="H308" t="s">
        <v>13</v>
      </c>
      <c r="I308">
        <v>55</v>
      </c>
      <c r="J308">
        <f>ABS((I308-EDA!$A$15)/EDA!$B$15)</f>
        <v>0.91891960386150484</v>
      </c>
      <c r="K308" t="str">
        <f t="shared" si="4"/>
        <v>No</v>
      </c>
      <c r="L308">
        <f>ABS((C308-EDA!$F$15)/EDA!$G$15)</f>
        <v>0.37264060661841381</v>
      </c>
      <c r="M308" t="str">
        <f>IF(moras[[#This Row],[Z-Score Salario]]&gt;1.96, "Sí", "No")</f>
        <v>No</v>
      </c>
      <c r="N308" s="14">
        <f>IF(ISBLANK(moras[[#This Row],[SALARIO]]), EDA!$M$8, moras[[#This Row],[SALARIO]])</f>
        <v>181084</v>
      </c>
      <c r="O308" s="14">
        <f xml:space="preserve"> IF(ISBLANK(moras[[#This Row],[EDAD]]), EDA!$E$8, moras[[#This Row],[EDAD]])</f>
        <v>55</v>
      </c>
      <c r="P308" s="14" t="str">
        <f>IF(
    OR(ISBLANK(moras[[#This Row],[TIPO_ASEGURAMIENTO]]), moras[[#This Row],[TIPO_ASEGURAMIENTO]]=""),
    EDA!$A$32,
    moras[[#This Row],[TIPO_ASEGURAMIENTO]]
)</f>
        <v>ASALARIADO</v>
      </c>
    </row>
    <row r="309" spans="1:16" x14ac:dyDescent="0.3">
      <c r="A309">
        <v>308</v>
      </c>
      <c r="B309" t="s">
        <v>9</v>
      </c>
      <c r="C309">
        <v>10593816</v>
      </c>
      <c r="D309" t="s">
        <v>10</v>
      </c>
      <c r="E309" t="s">
        <v>16</v>
      </c>
      <c r="F309" t="s">
        <v>12</v>
      </c>
      <c r="G309" t="s">
        <v>13</v>
      </c>
      <c r="H309" t="s">
        <v>13</v>
      </c>
      <c r="I309">
        <v>28</v>
      </c>
      <c r="J309">
        <f>ABS((I309-EDA!$A$15)/EDA!$B$15)</f>
        <v>0.98661430822120777</v>
      </c>
      <c r="K309" t="str">
        <f t="shared" si="4"/>
        <v>No</v>
      </c>
      <c r="L309">
        <f>ABS((C309-EDA!$F$15)/EDA!$G$15)</f>
        <v>0.19936539566388906</v>
      </c>
      <c r="M309" t="str">
        <f>IF(moras[[#This Row],[Z-Score Salario]]&gt;1.96, "Sí", "No")</f>
        <v>No</v>
      </c>
      <c r="N309" s="14">
        <f>IF(ISBLANK(moras[[#This Row],[SALARIO]]), EDA!$M$8, moras[[#This Row],[SALARIO]])</f>
        <v>10593816</v>
      </c>
      <c r="O309" s="14">
        <f xml:space="preserve"> IF(ISBLANK(moras[[#This Row],[EDAD]]), EDA!$E$8, moras[[#This Row],[EDAD]])</f>
        <v>28</v>
      </c>
      <c r="P309" s="14" t="str">
        <f>IF(
    OR(ISBLANK(moras[[#This Row],[TIPO_ASEGURAMIENTO]]), moras[[#This Row],[TIPO_ASEGURAMIENTO]]=""),
    EDA!$A$32,
    moras[[#This Row],[TIPO_ASEGURAMIENTO]]
)</f>
        <v>ASALARIADO</v>
      </c>
    </row>
    <row r="310" spans="1:16" x14ac:dyDescent="0.3">
      <c r="A310">
        <v>309</v>
      </c>
      <c r="B310" t="s">
        <v>9</v>
      </c>
      <c r="C310">
        <v>343178</v>
      </c>
      <c r="D310" t="s">
        <v>10</v>
      </c>
      <c r="E310" t="s">
        <v>16</v>
      </c>
      <c r="F310" t="s">
        <v>12</v>
      </c>
      <c r="G310" t="s">
        <v>13</v>
      </c>
      <c r="H310" t="s">
        <v>12</v>
      </c>
      <c r="I310">
        <v>32</v>
      </c>
      <c r="J310">
        <f>ABS((I310-EDA!$A$15)/EDA!$B$15)</f>
        <v>0.70431298791265773</v>
      </c>
      <c r="K310" t="str">
        <f t="shared" si="4"/>
        <v>No</v>
      </c>
      <c r="L310">
        <f>ABS((C310-EDA!$F$15)/EDA!$G$15)</f>
        <v>0.36994324803428208</v>
      </c>
      <c r="M310" t="str">
        <f>IF(moras[[#This Row],[Z-Score Salario]]&gt;1.96, "Sí", "No")</f>
        <v>No</v>
      </c>
      <c r="N310" s="14">
        <f>IF(ISBLANK(moras[[#This Row],[SALARIO]]), EDA!$M$8, moras[[#This Row],[SALARIO]])</f>
        <v>343178</v>
      </c>
      <c r="O310" s="14">
        <f xml:space="preserve"> IF(ISBLANK(moras[[#This Row],[EDAD]]), EDA!$E$8, moras[[#This Row],[EDAD]])</f>
        <v>32</v>
      </c>
      <c r="P310" s="14" t="str">
        <f>IF(
    OR(ISBLANK(moras[[#This Row],[TIPO_ASEGURAMIENTO]]), moras[[#This Row],[TIPO_ASEGURAMIENTO]]=""),
    EDA!$A$32,
    moras[[#This Row],[TIPO_ASEGURAMIENTO]]
)</f>
        <v>ASALARIADO</v>
      </c>
    </row>
    <row r="311" spans="1:16" x14ac:dyDescent="0.3">
      <c r="A311">
        <v>310</v>
      </c>
      <c r="B311" t="s">
        <v>9</v>
      </c>
      <c r="C311">
        <v>606620</v>
      </c>
      <c r="D311" t="s">
        <v>10</v>
      </c>
      <c r="E311" t="s">
        <v>16</v>
      </c>
      <c r="F311" t="s">
        <v>12</v>
      </c>
      <c r="G311" t="s">
        <v>13</v>
      </c>
      <c r="H311" t="s">
        <v>13</v>
      </c>
      <c r="I311">
        <v>20</v>
      </c>
      <c r="J311">
        <f>ABS((I311-EDA!$A$15)/EDA!$B$15)</f>
        <v>1.5512169488383079</v>
      </c>
      <c r="K311" t="str">
        <f t="shared" si="4"/>
        <v>No</v>
      </c>
      <c r="L311">
        <f>ABS((C311-EDA!$F$15)/EDA!$G$15)</f>
        <v>0.36555938718736103</v>
      </c>
      <c r="M311" t="str">
        <f>IF(moras[[#This Row],[Z-Score Salario]]&gt;1.96, "Sí", "No")</f>
        <v>No</v>
      </c>
      <c r="N311" s="14">
        <f>IF(ISBLANK(moras[[#This Row],[SALARIO]]), EDA!$M$8, moras[[#This Row],[SALARIO]])</f>
        <v>606620</v>
      </c>
      <c r="O311" s="14">
        <f xml:space="preserve"> IF(ISBLANK(moras[[#This Row],[EDAD]]), EDA!$E$8, moras[[#This Row],[EDAD]])</f>
        <v>20</v>
      </c>
      <c r="P311" s="14" t="str">
        <f>IF(
    OR(ISBLANK(moras[[#This Row],[TIPO_ASEGURAMIENTO]]), moras[[#This Row],[TIPO_ASEGURAMIENTO]]=""),
    EDA!$A$32,
    moras[[#This Row],[TIPO_ASEGURAMIENTO]]
)</f>
        <v>ASALARIADO</v>
      </c>
    </row>
    <row r="312" spans="1:16" x14ac:dyDescent="0.3">
      <c r="A312">
        <v>311</v>
      </c>
      <c r="B312" t="s">
        <v>9</v>
      </c>
      <c r="C312">
        <v>3205245</v>
      </c>
      <c r="D312" t="s">
        <v>10</v>
      </c>
      <c r="E312" t="s">
        <v>16</v>
      </c>
      <c r="F312" t="s">
        <v>12</v>
      </c>
      <c r="G312" t="s">
        <v>13</v>
      </c>
      <c r="H312" t="s">
        <v>13</v>
      </c>
      <c r="I312">
        <v>29</v>
      </c>
      <c r="J312">
        <f>ABS((I312-EDA!$A$15)/EDA!$B$15)</f>
        <v>0.91603897814407031</v>
      </c>
      <c r="K312" t="str">
        <f t="shared" si="4"/>
        <v>No</v>
      </c>
      <c r="L312">
        <f>ABS((C312-EDA!$F$15)/EDA!$G$15)</f>
        <v>0.32231643278627764</v>
      </c>
      <c r="M312" t="str">
        <f>IF(moras[[#This Row],[Z-Score Salario]]&gt;1.96, "Sí", "No")</f>
        <v>No</v>
      </c>
      <c r="N312" s="14">
        <f>IF(ISBLANK(moras[[#This Row],[SALARIO]]), EDA!$M$8, moras[[#This Row],[SALARIO]])</f>
        <v>3205245</v>
      </c>
      <c r="O312" s="14">
        <f xml:space="preserve"> IF(ISBLANK(moras[[#This Row],[EDAD]]), EDA!$E$8, moras[[#This Row],[EDAD]])</f>
        <v>29</v>
      </c>
      <c r="P312" s="14" t="str">
        <f>IF(
    OR(ISBLANK(moras[[#This Row],[TIPO_ASEGURAMIENTO]]), moras[[#This Row],[TIPO_ASEGURAMIENTO]]=""),
    EDA!$A$32,
    moras[[#This Row],[TIPO_ASEGURAMIENTO]]
)</f>
        <v>ASALARIADO</v>
      </c>
    </row>
    <row r="313" spans="1:16" x14ac:dyDescent="0.3">
      <c r="A313">
        <v>312</v>
      </c>
      <c r="B313" t="s">
        <v>15</v>
      </c>
      <c r="C313">
        <v>117166667</v>
      </c>
      <c r="D313" t="s">
        <v>10</v>
      </c>
      <c r="E313" t="s">
        <v>16</v>
      </c>
      <c r="F313" t="s">
        <v>12</v>
      </c>
      <c r="G313" t="s">
        <v>13</v>
      </c>
      <c r="H313" t="s">
        <v>13</v>
      </c>
      <c r="I313">
        <v>51</v>
      </c>
      <c r="J313">
        <f>ABS((I313-EDA!$A$15)/EDA!$B$15)</f>
        <v>0.6366182835529548</v>
      </c>
      <c r="K313" t="str">
        <f t="shared" si="4"/>
        <v>No</v>
      </c>
      <c r="L313">
        <f>ABS((C313-EDA!$F$15)/EDA!$G$15)</f>
        <v>1.5740820760515197</v>
      </c>
      <c r="M313" t="str">
        <f>IF(moras[[#This Row],[Z-Score Salario]]&gt;1.96, "Sí", "No")</f>
        <v>No</v>
      </c>
      <c r="N313" s="14">
        <f>IF(ISBLANK(moras[[#This Row],[SALARIO]]), EDA!$M$8, moras[[#This Row],[SALARIO]])</f>
        <v>117166667</v>
      </c>
      <c r="O313" s="14">
        <f xml:space="preserve"> IF(ISBLANK(moras[[#This Row],[EDAD]]), EDA!$E$8, moras[[#This Row],[EDAD]])</f>
        <v>51</v>
      </c>
      <c r="P313" s="14" t="str">
        <f>IF(
    OR(ISBLANK(moras[[#This Row],[TIPO_ASEGURAMIENTO]]), moras[[#This Row],[TIPO_ASEGURAMIENTO]]=""),
    EDA!$A$32,
    moras[[#This Row],[TIPO_ASEGURAMIENTO]]
)</f>
        <v>ASALARIADO</v>
      </c>
    </row>
    <row r="314" spans="1:16" x14ac:dyDescent="0.3">
      <c r="A314">
        <v>313</v>
      </c>
      <c r="B314" t="s">
        <v>15</v>
      </c>
      <c r="C314">
        <v>113848</v>
      </c>
      <c r="D314" t="s">
        <v>10</v>
      </c>
      <c r="E314" t="s">
        <v>16</v>
      </c>
      <c r="F314" t="s">
        <v>12</v>
      </c>
      <c r="G314" t="s">
        <v>13</v>
      </c>
      <c r="H314" t="s">
        <v>13</v>
      </c>
      <c r="I314">
        <v>31</v>
      </c>
      <c r="J314">
        <f>ABS((I314-EDA!$A$15)/EDA!$B$15)</f>
        <v>0.77488831798979529</v>
      </c>
      <c r="K314" t="str">
        <f t="shared" si="4"/>
        <v>No</v>
      </c>
      <c r="L314">
        <f>ABS((C314-EDA!$F$15)/EDA!$G$15)</f>
        <v>0.37375946112112629</v>
      </c>
      <c r="M314" t="str">
        <f>IF(moras[[#This Row],[Z-Score Salario]]&gt;1.96, "Sí", "No")</f>
        <v>No</v>
      </c>
      <c r="N314" s="14">
        <f>IF(ISBLANK(moras[[#This Row],[SALARIO]]), EDA!$M$8, moras[[#This Row],[SALARIO]])</f>
        <v>113848</v>
      </c>
      <c r="O314" s="14">
        <f xml:space="preserve"> IF(ISBLANK(moras[[#This Row],[EDAD]]), EDA!$E$8, moras[[#This Row],[EDAD]])</f>
        <v>31</v>
      </c>
      <c r="P314" s="14" t="str">
        <f>IF(
    OR(ISBLANK(moras[[#This Row],[TIPO_ASEGURAMIENTO]]), moras[[#This Row],[TIPO_ASEGURAMIENTO]]=""),
    EDA!$A$32,
    moras[[#This Row],[TIPO_ASEGURAMIENTO]]
)</f>
        <v>ASALARIADO</v>
      </c>
    </row>
    <row r="315" spans="1:16" x14ac:dyDescent="0.3">
      <c r="A315">
        <v>314</v>
      </c>
      <c r="B315" t="s">
        <v>9</v>
      </c>
      <c r="C315">
        <v>391476</v>
      </c>
      <c r="D315" t="s">
        <v>10</v>
      </c>
      <c r="E315" t="s">
        <v>11</v>
      </c>
      <c r="F315" t="s">
        <v>12</v>
      </c>
      <c r="G315" t="s">
        <v>13</v>
      </c>
      <c r="H315" t="s">
        <v>13</v>
      </c>
      <c r="I315">
        <v>60</v>
      </c>
      <c r="J315">
        <f>ABS((I315-EDA!$A$15)/EDA!$B$15)</f>
        <v>1.2717962542471923</v>
      </c>
      <c r="K315" t="str">
        <f t="shared" si="4"/>
        <v>No</v>
      </c>
      <c r="L315">
        <f>ABS((C315-EDA!$F$15)/EDA!$G$15)</f>
        <v>0.36913953522013482</v>
      </c>
      <c r="M315" t="str">
        <f>IF(moras[[#This Row],[Z-Score Salario]]&gt;1.96, "Sí", "No")</f>
        <v>No</v>
      </c>
      <c r="N315" s="14">
        <f>IF(ISBLANK(moras[[#This Row],[SALARIO]]), EDA!$M$8, moras[[#This Row],[SALARIO]])</f>
        <v>391476</v>
      </c>
      <c r="O315" s="14">
        <f xml:space="preserve"> IF(ISBLANK(moras[[#This Row],[EDAD]]), EDA!$E$8, moras[[#This Row],[EDAD]])</f>
        <v>60</v>
      </c>
      <c r="P315" s="14" t="str">
        <f>IF(
    OR(ISBLANK(moras[[#This Row],[TIPO_ASEGURAMIENTO]]), moras[[#This Row],[TIPO_ASEGURAMIENTO]]=""),
    EDA!$A$32,
    moras[[#This Row],[TIPO_ASEGURAMIENTO]]
)</f>
        <v>ASALARIADO</v>
      </c>
    </row>
    <row r="316" spans="1:16" x14ac:dyDescent="0.3">
      <c r="A316">
        <v>315</v>
      </c>
      <c r="B316" t="s">
        <v>15</v>
      </c>
      <c r="C316">
        <v>558250</v>
      </c>
      <c r="D316" t="s">
        <v>10</v>
      </c>
      <c r="E316" t="s">
        <v>16</v>
      </c>
      <c r="F316" t="s">
        <v>12</v>
      </c>
      <c r="G316" t="s">
        <v>13</v>
      </c>
      <c r="H316" t="s">
        <v>13</v>
      </c>
      <c r="I316">
        <v>28</v>
      </c>
      <c r="J316">
        <f>ABS((I316-EDA!$A$15)/EDA!$B$15)</f>
        <v>0.98661430822120777</v>
      </c>
      <c r="K316" t="str">
        <f t="shared" si="4"/>
        <v>No</v>
      </c>
      <c r="L316">
        <f>ABS((C316-EDA!$F$15)/EDA!$G$15)</f>
        <v>0.36636429813233401</v>
      </c>
      <c r="M316" t="str">
        <f>IF(moras[[#This Row],[Z-Score Salario]]&gt;1.96, "Sí", "No")</f>
        <v>No</v>
      </c>
      <c r="N316" s="14">
        <f>IF(ISBLANK(moras[[#This Row],[SALARIO]]), EDA!$M$8, moras[[#This Row],[SALARIO]])</f>
        <v>558250</v>
      </c>
      <c r="O316" s="14">
        <f xml:space="preserve"> IF(ISBLANK(moras[[#This Row],[EDAD]]), EDA!$E$8, moras[[#This Row],[EDAD]])</f>
        <v>28</v>
      </c>
      <c r="P316" s="14" t="str">
        <f>IF(
    OR(ISBLANK(moras[[#This Row],[TIPO_ASEGURAMIENTO]]), moras[[#This Row],[TIPO_ASEGURAMIENTO]]=""),
    EDA!$A$32,
    moras[[#This Row],[TIPO_ASEGURAMIENTO]]
)</f>
        <v>ASALARIADO</v>
      </c>
    </row>
    <row r="317" spans="1:16" x14ac:dyDescent="0.3">
      <c r="A317">
        <v>316</v>
      </c>
      <c r="B317" t="s">
        <v>9</v>
      </c>
      <c r="C317">
        <v>313164</v>
      </c>
      <c r="D317" t="s">
        <v>10</v>
      </c>
      <c r="E317" t="s">
        <v>16</v>
      </c>
      <c r="F317" t="s">
        <v>12</v>
      </c>
      <c r="G317" t="s">
        <v>13</v>
      </c>
      <c r="H317" t="s">
        <v>13</v>
      </c>
      <c r="I317">
        <v>56</v>
      </c>
      <c r="J317">
        <f>ABS((I317-EDA!$A$15)/EDA!$B$15)</f>
        <v>0.9894949339386423</v>
      </c>
      <c r="K317" t="str">
        <f t="shared" si="4"/>
        <v>No</v>
      </c>
      <c r="L317">
        <f>ABS((C317-EDA!$F$15)/EDA!$G$15)</f>
        <v>0.3704427021815308</v>
      </c>
      <c r="M317" t="str">
        <f>IF(moras[[#This Row],[Z-Score Salario]]&gt;1.96, "Sí", "No")</f>
        <v>No</v>
      </c>
      <c r="N317" s="14">
        <f>IF(ISBLANK(moras[[#This Row],[SALARIO]]), EDA!$M$8, moras[[#This Row],[SALARIO]])</f>
        <v>313164</v>
      </c>
      <c r="O317" s="14">
        <f xml:space="preserve"> IF(ISBLANK(moras[[#This Row],[EDAD]]), EDA!$E$8, moras[[#This Row],[EDAD]])</f>
        <v>56</v>
      </c>
      <c r="P317" s="14" t="str">
        <f>IF(
    OR(ISBLANK(moras[[#This Row],[TIPO_ASEGURAMIENTO]]), moras[[#This Row],[TIPO_ASEGURAMIENTO]]=""),
    EDA!$A$32,
    moras[[#This Row],[TIPO_ASEGURAMIENTO]]
)</f>
        <v>ASALARIADO</v>
      </c>
    </row>
    <row r="318" spans="1:16" x14ac:dyDescent="0.3">
      <c r="A318">
        <v>317</v>
      </c>
      <c r="B318" t="s">
        <v>9</v>
      </c>
      <c r="C318">
        <v>433000</v>
      </c>
      <c r="D318" t="s">
        <v>10</v>
      </c>
      <c r="E318" t="s">
        <v>16</v>
      </c>
      <c r="F318" t="s">
        <v>12</v>
      </c>
      <c r="G318" t="s">
        <v>13</v>
      </c>
      <c r="H318" t="s">
        <v>13</v>
      </c>
      <c r="I318">
        <v>45</v>
      </c>
      <c r="J318">
        <f>ABS((I318-EDA!$A$15)/EDA!$B$15)</f>
        <v>0.21316630309012977</v>
      </c>
      <c r="K318" t="str">
        <f t="shared" si="4"/>
        <v>No</v>
      </c>
      <c r="L318">
        <f>ABS((C318-EDA!$F$15)/EDA!$G$15)</f>
        <v>0.36844854654783671</v>
      </c>
      <c r="M318" t="str">
        <f>IF(moras[[#This Row],[Z-Score Salario]]&gt;1.96, "Sí", "No")</f>
        <v>No</v>
      </c>
      <c r="N318" s="14">
        <f>IF(ISBLANK(moras[[#This Row],[SALARIO]]), EDA!$M$8, moras[[#This Row],[SALARIO]])</f>
        <v>433000</v>
      </c>
      <c r="O318" s="14">
        <f xml:space="preserve"> IF(ISBLANK(moras[[#This Row],[EDAD]]), EDA!$E$8, moras[[#This Row],[EDAD]])</f>
        <v>45</v>
      </c>
      <c r="P318" s="14" t="str">
        <f>IF(
    OR(ISBLANK(moras[[#This Row],[TIPO_ASEGURAMIENTO]]), moras[[#This Row],[TIPO_ASEGURAMIENTO]]=""),
    EDA!$A$32,
    moras[[#This Row],[TIPO_ASEGURAMIENTO]]
)</f>
        <v>ASALARIADO</v>
      </c>
    </row>
    <row r="319" spans="1:16" x14ac:dyDescent="0.3">
      <c r="A319">
        <v>318</v>
      </c>
      <c r="B319" t="s">
        <v>9</v>
      </c>
      <c r="C319">
        <v>12445388</v>
      </c>
      <c r="D319" t="s">
        <v>10</v>
      </c>
      <c r="E319" t="s">
        <v>16</v>
      </c>
      <c r="F319" t="s">
        <v>12</v>
      </c>
      <c r="G319" t="s">
        <v>13</v>
      </c>
      <c r="H319" t="s">
        <v>13</v>
      </c>
      <c r="I319">
        <v>40</v>
      </c>
      <c r="J319">
        <f>ABS((I319-EDA!$A$15)/EDA!$B$15)</f>
        <v>0.13971034729555773</v>
      </c>
      <c r="K319" t="str">
        <f t="shared" si="4"/>
        <v>No</v>
      </c>
      <c r="L319">
        <f>ABS((C319-EDA!$F$15)/EDA!$G$15)</f>
        <v>0.16855393053663031</v>
      </c>
      <c r="M319" t="str">
        <f>IF(moras[[#This Row],[Z-Score Salario]]&gt;1.96, "Sí", "No")</f>
        <v>No</v>
      </c>
      <c r="N319" s="14">
        <f>IF(ISBLANK(moras[[#This Row],[SALARIO]]), EDA!$M$8, moras[[#This Row],[SALARIO]])</f>
        <v>12445388</v>
      </c>
      <c r="O319" s="14">
        <f xml:space="preserve"> IF(ISBLANK(moras[[#This Row],[EDAD]]), EDA!$E$8, moras[[#This Row],[EDAD]])</f>
        <v>40</v>
      </c>
      <c r="P319" s="14" t="str">
        <f>IF(
    OR(ISBLANK(moras[[#This Row],[TIPO_ASEGURAMIENTO]]), moras[[#This Row],[TIPO_ASEGURAMIENTO]]=""),
    EDA!$A$32,
    moras[[#This Row],[TIPO_ASEGURAMIENTO]]
)</f>
        <v>ASALARIADO</v>
      </c>
    </row>
    <row r="320" spans="1:16" x14ac:dyDescent="0.3">
      <c r="A320">
        <v>319</v>
      </c>
      <c r="B320" t="s">
        <v>15</v>
      </c>
      <c r="C320">
        <v>382136</v>
      </c>
      <c r="D320" t="s">
        <v>18</v>
      </c>
      <c r="E320" t="s">
        <v>16</v>
      </c>
      <c r="F320" t="s">
        <v>12</v>
      </c>
      <c r="G320" t="s">
        <v>13</v>
      </c>
      <c r="H320" t="s">
        <v>12</v>
      </c>
      <c r="I320">
        <v>42</v>
      </c>
      <c r="J320">
        <f>ABS((I320-EDA!$A$15)/EDA!$B$15)</f>
        <v>1.4403128587172659E-3</v>
      </c>
      <c r="K320" t="str">
        <f t="shared" si="4"/>
        <v>No</v>
      </c>
      <c r="L320">
        <f>ABS((C320-EDA!$F$15)/EDA!$G$15)</f>
        <v>0.36929495941335472</v>
      </c>
      <c r="M320" t="str">
        <f>IF(moras[[#This Row],[Z-Score Salario]]&gt;1.96, "Sí", "No")</f>
        <v>No</v>
      </c>
      <c r="N320" s="14">
        <f>IF(ISBLANK(moras[[#This Row],[SALARIO]]), EDA!$M$8, moras[[#This Row],[SALARIO]])</f>
        <v>382136</v>
      </c>
      <c r="O320" s="14">
        <f xml:space="preserve"> IF(ISBLANK(moras[[#This Row],[EDAD]]), EDA!$E$8, moras[[#This Row],[EDAD]])</f>
        <v>42</v>
      </c>
      <c r="P320" s="14" t="str">
        <f>IF(
    OR(ISBLANK(moras[[#This Row],[TIPO_ASEGURAMIENTO]]), moras[[#This Row],[TIPO_ASEGURAMIENTO]]=""),
    EDA!$A$32,
    moras[[#This Row],[TIPO_ASEGURAMIENTO]]
)</f>
        <v>TRABAJADOR INDEPENDIENTE</v>
      </c>
    </row>
    <row r="321" spans="1:16" x14ac:dyDescent="0.3">
      <c r="A321">
        <v>320</v>
      </c>
      <c r="B321" t="s">
        <v>9</v>
      </c>
      <c r="C321">
        <v>297046</v>
      </c>
      <c r="D321" t="s">
        <v>18</v>
      </c>
      <c r="E321" t="s">
        <v>16</v>
      </c>
      <c r="F321" t="s">
        <v>12</v>
      </c>
      <c r="G321" t="s">
        <v>13</v>
      </c>
      <c r="H321" t="s">
        <v>13</v>
      </c>
      <c r="I321">
        <v>50</v>
      </c>
      <c r="J321">
        <f>ABS((I321-EDA!$A$15)/EDA!$B$15)</f>
        <v>0.56604295347581735</v>
      </c>
      <c r="K321" t="str">
        <f t="shared" si="4"/>
        <v>No</v>
      </c>
      <c r="L321">
        <f>ABS((C321-EDA!$F$15)/EDA!$G$15)</f>
        <v>0.37071091707942361</v>
      </c>
      <c r="M321" t="str">
        <f>IF(moras[[#This Row],[Z-Score Salario]]&gt;1.96, "Sí", "No")</f>
        <v>No</v>
      </c>
      <c r="N321" s="14">
        <f>IF(ISBLANK(moras[[#This Row],[SALARIO]]), EDA!$M$8, moras[[#This Row],[SALARIO]])</f>
        <v>297046</v>
      </c>
      <c r="O321" s="14">
        <f xml:space="preserve"> IF(ISBLANK(moras[[#This Row],[EDAD]]), EDA!$E$8, moras[[#This Row],[EDAD]])</f>
        <v>50</v>
      </c>
      <c r="P321" s="14" t="str">
        <f>IF(
    OR(ISBLANK(moras[[#This Row],[TIPO_ASEGURAMIENTO]]), moras[[#This Row],[TIPO_ASEGURAMIENTO]]=""),
    EDA!$A$32,
    moras[[#This Row],[TIPO_ASEGURAMIENTO]]
)</f>
        <v>TRABAJADOR INDEPENDIENTE</v>
      </c>
    </row>
    <row r="322" spans="1:16" x14ac:dyDescent="0.3">
      <c r="A322">
        <v>321</v>
      </c>
      <c r="B322" t="s">
        <v>9</v>
      </c>
      <c r="C322">
        <v>4018142</v>
      </c>
      <c r="D322" t="s">
        <v>10</v>
      </c>
      <c r="E322" t="s">
        <v>16</v>
      </c>
      <c r="F322" t="s">
        <v>12</v>
      </c>
      <c r="G322" t="s">
        <v>13</v>
      </c>
      <c r="H322" t="s">
        <v>13</v>
      </c>
      <c r="I322">
        <v>46</v>
      </c>
      <c r="J322">
        <f>ABS((I322-EDA!$A$15)/EDA!$B$15)</f>
        <v>0.2837416331672673</v>
      </c>
      <c r="K322" t="str">
        <f t="shared" ref="K322:K385" si="5">IF(J322 &gt;  1.96, "Sí","No")</f>
        <v>No</v>
      </c>
      <c r="L322">
        <f>ABS((C322-EDA!$F$15)/EDA!$G$15)</f>
        <v>0.3087892528723703</v>
      </c>
      <c r="M322" t="str">
        <f>IF(moras[[#This Row],[Z-Score Salario]]&gt;1.96, "Sí", "No")</f>
        <v>No</v>
      </c>
      <c r="N322" s="14">
        <f>IF(ISBLANK(moras[[#This Row],[SALARIO]]), EDA!$M$8, moras[[#This Row],[SALARIO]])</f>
        <v>4018142</v>
      </c>
      <c r="O322" s="14">
        <f xml:space="preserve"> IF(ISBLANK(moras[[#This Row],[EDAD]]), EDA!$E$8, moras[[#This Row],[EDAD]])</f>
        <v>46</v>
      </c>
      <c r="P322" s="14" t="str">
        <f>IF(
    OR(ISBLANK(moras[[#This Row],[TIPO_ASEGURAMIENTO]]), moras[[#This Row],[TIPO_ASEGURAMIENTO]]=""),
    EDA!$A$32,
    moras[[#This Row],[TIPO_ASEGURAMIENTO]]
)</f>
        <v>ASALARIADO</v>
      </c>
    </row>
    <row r="323" spans="1:16" x14ac:dyDescent="0.3">
      <c r="A323">
        <v>322</v>
      </c>
      <c r="B323" t="s">
        <v>15</v>
      </c>
      <c r="C323">
        <v>1103954</v>
      </c>
      <c r="D323" t="s">
        <v>10</v>
      </c>
      <c r="E323" t="s">
        <v>11</v>
      </c>
      <c r="F323" t="s">
        <v>12</v>
      </c>
      <c r="G323" t="s">
        <v>13</v>
      </c>
      <c r="H323" t="s">
        <v>12</v>
      </c>
      <c r="I323">
        <v>60</v>
      </c>
      <c r="J323">
        <f>ABS((I323-EDA!$A$15)/EDA!$B$15)</f>
        <v>1.2717962542471923</v>
      </c>
      <c r="K323" t="str">
        <f t="shared" si="5"/>
        <v>No</v>
      </c>
      <c r="L323">
        <f>ABS((C323-EDA!$F$15)/EDA!$G$15)</f>
        <v>0.35728339835322437</v>
      </c>
      <c r="M323" t="str">
        <f>IF(moras[[#This Row],[Z-Score Salario]]&gt;1.96, "Sí", "No")</f>
        <v>No</v>
      </c>
      <c r="N323" s="14">
        <f>IF(ISBLANK(moras[[#This Row],[SALARIO]]), EDA!$M$8, moras[[#This Row],[SALARIO]])</f>
        <v>1103954</v>
      </c>
      <c r="O323" s="14">
        <f xml:space="preserve"> IF(ISBLANK(moras[[#This Row],[EDAD]]), EDA!$E$8, moras[[#This Row],[EDAD]])</f>
        <v>60</v>
      </c>
      <c r="P323" s="14" t="str">
        <f>IF(
    OR(ISBLANK(moras[[#This Row],[TIPO_ASEGURAMIENTO]]), moras[[#This Row],[TIPO_ASEGURAMIENTO]]=""),
    EDA!$A$32,
    moras[[#This Row],[TIPO_ASEGURAMIENTO]]
)</f>
        <v>ASALARIADO</v>
      </c>
    </row>
    <row r="324" spans="1:16" x14ac:dyDescent="0.3">
      <c r="A324">
        <v>323</v>
      </c>
      <c r="B324" t="s">
        <v>9</v>
      </c>
      <c r="C324">
        <v>207648</v>
      </c>
      <c r="D324" t="s">
        <v>10</v>
      </c>
      <c r="E324" t="s">
        <v>16</v>
      </c>
      <c r="F324" t="s">
        <v>12</v>
      </c>
      <c r="G324" t="s">
        <v>13</v>
      </c>
      <c r="H324" t="s">
        <v>13</v>
      </c>
      <c r="I324">
        <v>28</v>
      </c>
      <c r="J324">
        <f>ABS((I324-EDA!$A$15)/EDA!$B$15)</f>
        <v>0.98661430822120777</v>
      </c>
      <c r="K324" t="str">
        <f t="shared" si="5"/>
        <v>No</v>
      </c>
      <c r="L324">
        <f>ABS((C324-EDA!$F$15)/EDA!$G$15)</f>
        <v>0.37219856290656217</v>
      </c>
      <c r="M324" t="str">
        <f>IF(moras[[#This Row],[Z-Score Salario]]&gt;1.96, "Sí", "No")</f>
        <v>No</v>
      </c>
      <c r="N324" s="14">
        <f>IF(ISBLANK(moras[[#This Row],[SALARIO]]), EDA!$M$8, moras[[#This Row],[SALARIO]])</f>
        <v>207648</v>
      </c>
      <c r="O324" s="14">
        <f xml:space="preserve"> IF(ISBLANK(moras[[#This Row],[EDAD]]), EDA!$E$8, moras[[#This Row],[EDAD]])</f>
        <v>28</v>
      </c>
      <c r="P324" s="14" t="str">
        <f>IF(
    OR(ISBLANK(moras[[#This Row],[TIPO_ASEGURAMIENTO]]), moras[[#This Row],[TIPO_ASEGURAMIENTO]]=""),
    EDA!$A$32,
    moras[[#This Row],[TIPO_ASEGURAMIENTO]]
)</f>
        <v>ASALARIADO</v>
      </c>
    </row>
    <row r="325" spans="1:16" x14ac:dyDescent="0.3">
      <c r="A325">
        <v>324</v>
      </c>
      <c r="B325" t="s">
        <v>9</v>
      </c>
      <c r="C325">
        <v>7197525</v>
      </c>
      <c r="D325" t="s">
        <v>10</v>
      </c>
      <c r="E325" t="s">
        <v>11</v>
      </c>
      <c r="F325" t="s">
        <v>12</v>
      </c>
      <c r="G325" t="s">
        <v>13</v>
      </c>
      <c r="H325" t="s">
        <v>13</v>
      </c>
      <c r="I325">
        <v>39</v>
      </c>
      <c r="J325">
        <f>ABS((I325-EDA!$A$15)/EDA!$B$15)</f>
        <v>0.21028567737269524</v>
      </c>
      <c r="K325" t="str">
        <f t="shared" si="5"/>
        <v>No</v>
      </c>
      <c r="L325">
        <f>ABS((C325-EDA!$F$15)/EDA!$G$15)</f>
        <v>0.25588207538713109</v>
      </c>
      <c r="M325" t="str">
        <f>IF(moras[[#This Row],[Z-Score Salario]]&gt;1.96, "Sí", "No")</f>
        <v>No</v>
      </c>
      <c r="N325" s="14">
        <f>IF(ISBLANK(moras[[#This Row],[SALARIO]]), EDA!$M$8, moras[[#This Row],[SALARIO]])</f>
        <v>7197525</v>
      </c>
      <c r="O325" s="14">
        <f xml:space="preserve"> IF(ISBLANK(moras[[#This Row],[EDAD]]), EDA!$E$8, moras[[#This Row],[EDAD]])</f>
        <v>39</v>
      </c>
      <c r="P325" s="14" t="str">
        <f>IF(
    OR(ISBLANK(moras[[#This Row],[TIPO_ASEGURAMIENTO]]), moras[[#This Row],[TIPO_ASEGURAMIENTO]]=""),
    EDA!$A$32,
    moras[[#This Row],[TIPO_ASEGURAMIENTO]]
)</f>
        <v>ASALARIADO</v>
      </c>
    </row>
    <row r="326" spans="1:16" x14ac:dyDescent="0.3">
      <c r="A326">
        <v>325</v>
      </c>
      <c r="B326" t="s">
        <v>15</v>
      </c>
      <c r="C326">
        <v>140000</v>
      </c>
      <c r="D326" t="s">
        <v>10</v>
      </c>
      <c r="E326" t="s">
        <v>16</v>
      </c>
      <c r="F326" t="s">
        <v>12</v>
      </c>
      <c r="G326" t="s">
        <v>12</v>
      </c>
      <c r="H326" t="s">
        <v>12</v>
      </c>
      <c r="I326">
        <v>49</v>
      </c>
      <c r="J326">
        <f>ABS((I326-EDA!$A$15)/EDA!$B$15)</f>
        <v>0.49546762339867978</v>
      </c>
      <c r="K326" t="str">
        <f t="shared" si="5"/>
        <v>No</v>
      </c>
      <c r="L326">
        <f>ABS((C326-EDA!$F$15)/EDA!$G$15)</f>
        <v>0.37332427338011048</v>
      </c>
      <c r="M326" t="str">
        <f>IF(moras[[#This Row],[Z-Score Salario]]&gt;1.96, "Sí", "No")</f>
        <v>No</v>
      </c>
      <c r="N326" s="14">
        <f>IF(ISBLANK(moras[[#This Row],[SALARIO]]), EDA!$M$8, moras[[#This Row],[SALARIO]])</f>
        <v>140000</v>
      </c>
      <c r="O326" s="14">
        <f xml:space="preserve"> IF(ISBLANK(moras[[#This Row],[EDAD]]), EDA!$E$8, moras[[#This Row],[EDAD]])</f>
        <v>49</v>
      </c>
      <c r="P326" s="14" t="str">
        <f>IF(
    OR(ISBLANK(moras[[#This Row],[TIPO_ASEGURAMIENTO]]), moras[[#This Row],[TIPO_ASEGURAMIENTO]]=""),
    EDA!$A$32,
    moras[[#This Row],[TIPO_ASEGURAMIENTO]]
)</f>
        <v>ASALARIADO</v>
      </c>
    </row>
    <row r="327" spans="1:16" x14ac:dyDescent="0.3">
      <c r="A327">
        <v>326</v>
      </c>
      <c r="B327" t="s">
        <v>15</v>
      </c>
      <c r="C327">
        <v>188309397</v>
      </c>
      <c r="D327" t="s">
        <v>10</v>
      </c>
      <c r="E327" t="s">
        <v>16</v>
      </c>
      <c r="F327" t="s">
        <v>12</v>
      </c>
      <c r="G327" t="s">
        <v>13</v>
      </c>
      <c r="H327" t="s">
        <v>13</v>
      </c>
      <c r="I327">
        <v>34</v>
      </c>
      <c r="J327">
        <f>ABS((I327-EDA!$A$15)/EDA!$B$15)</f>
        <v>0.56316232775838282</v>
      </c>
      <c r="K327" t="str">
        <f t="shared" si="5"/>
        <v>No</v>
      </c>
      <c r="L327">
        <f>ABS((C327-EDA!$F$15)/EDA!$G$15)</f>
        <v>2.7579473237723673</v>
      </c>
      <c r="M327" t="str">
        <f>IF(moras[[#This Row],[Z-Score Salario]]&gt;1.96, "Sí", "No")</f>
        <v>Sí</v>
      </c>
      <c r="N327" s="14">
        <f>IF(ISBLANK(moras[[#This Row],[SALARIO]]), EDA!$M$8, moras[[#This Row],[SALARIO]])</f>
        <v>188309397</v>
      </c>
      <c r="O327" s="14">
        <f xml:space="preserve"> IF(ISBLANK(moras[[#This Row],[EDAD]]), EDA!$E$8, moras[[#This Row],[EDAD]])</f>
        <v>34</v>
      </c>
      <c r="P327" s="14" t="str">
        <f>IF(
    OR(ISBLANK(moras[[#This Row],[TIPO_ASEGURAMIENTO]]), moras[[#This Row],[TIPO_ASEGURAMIENTO]]=""),
    EDA!$A$32,
    moras[[#This Row],[TIPO_ASEGURAMIENTO]]
)</f>
        <v>ASALARIADO</v>
      </c>
    </row>
    <row r="328" spans="1:16" x14ac:dyDescent="0.3">
      <c r="A328">
        <v>327</v>
      </c>
      <c r="B328" t="s">
        <v>15</v>
      </c>
      <c r="C328">
        <v>136608912</v>
      </c>
      <c r="D328" t="s">
        <v>14</v>
      </c>
      <c r="E328" t="s">
        <v>11</v>
      </c>
      <c r="F328" t="s">
        <v>12</v>
      </c>
      <c r="G328" t="s">
        <v>12</v>
      </c>
      <c r="H328" t="s">
        <v>13</v>
      </c>
      <c r="I328">
        <v>73</v>
      </c>
      <c r="J328">
        <f>ABS((I328-EDA!$A$15)/EDA!$B$15)</f>
        <v>2.1892755452499797</v>
      </c>
      <c r="K328" t="str">
        <f t="shared" si="5"/>
        <v>Sí</v>
      </c>
      <c r="L328">
        <f>ABS((C328-EDA!$F$15)/EDA!$G$15)</f>
        <v>1.8976147573694058</v>
      </c>
      <c r="M328" t="str">
        <f>IF(moras[[#This Row],[Z-Score Salario]]&gt;1.96, "Sí", "No")</f>
        <v>No</v>
      </c>
      <c r="N328" s="14">
        <f>IF(ISBLANK(moras[[#This Row],[SALARIO]]), EDA!$M$8, moras[[#This Row],[SALARIO]])</f>
        <v>136608912</v>
      </c>
      <c r="O328" s="14">
        <f xml:space="preserve"> IF(ISBLANK(moras[[#This Row],[EDAD]]), EDA!$E$8, moras[[#This Row],[EDAD]])</f>
        <v>73</v>
      </c>
      <c r="P328" s="14" t="str">
        <f>IF(
    OR(ISBLANK(moras[[#This Row],[TIPO_ASEGURAMIENTO]]), moras[[#This Row],[TIPO_ASEGURAMIENTO]]=""),
    EDA!$A$32,
    moras[[#This Row],[TIPO_ASEGURAMIENTO]]
)</f>
        <v>PENSIONADOS EN SU PROPIO SISTEMA</v>
      </c>
    </row>
    <row r="329" spans="1:16" x14ac:dyDescent="0.3">
      <c r="A329">
        <v>328</v>
      </c>
      <c r="B329" t="s">
        <v>9</v>
      </c>
      <c r="C329">
        <v>298155</v>
      </c>
      <c r="D329" t="s">
        <v>18</v>
      </c>
      <c r="E329" t="s">
        <v>16</v>
      </c>
      <c r="F329" t="s">
        <v>12</v>
      </c>
      <c r="G329" t="s">
        <v>13</v>
      </c>
      <c r="H329" t="s">
        <v>12</v>
      </c>
      <c r="I329">
        <v>39</v>
      </c>
      <c r="J329">
        <f>ABS((I329-EDA!$A$15)/EDA!$B$15)</f>
        <v>0.21028567737269524</v>
      </c>
      <c r="K329" t="str">
        <f t="shared" si="5"/>
        <v>No</v>
      </c>
      <c r="L329">
        <f>ABS((C329-EDA!$F$15)/EDA!$G$15)</f>
        <v>0.37069246253656696</v>
      </c>
      <c r="M329" t="str">
        <f>IF(moras[[#This Row],[Z-Score Salario]]&gt;1.96, "Sí", "No")</f>
        <v>No</v>
      </c>
      <c r="N329" s="14">
        <f>IF(ISBLANK(moras[[#This Row],[SALARIO]]), EDA!$M$8, moras[[#This Row],[SALARIO]])</f>
        <v>298155</v>
      </c>
      <c r="O329" s="14">
        <f xml:space="preserve"> IF(ISBLANK(moras[[#This Row],[EDAD]]), EDA!$E$8, moras[[#This Row],[EDAD]])</f>
        <v>39</v>
      </c>
      <c r="P329" s="14" t="str">
        <f>IF(
    OR(ISBLANK(moras[[#This Row],[TIPO_ASEGURAMIENTO]]), moras[[#This Row],[TIPO_ASEGURAMIENTO]]=""),
    EDA!$A$32,
    moras[[#This Row],[TIPO_ASEGURAMIENTO]]
)</f>
        <v>TRABAJADOR INDEPENDIENTE</v>
      </c>
    </row>
    <row r="330" spans="1:16" x14ac:dyDescent="0.3">
      <c r="A330">
        <v>329</v>
      </c>
      <c r="B330" t="s">
        <v>9</v>
      </c>
      <c r="C330">
        <v>499999</v>
      </c>
      <c r="D330" t="s">
        <v>10</v>
      </c>
      <c r="E330" t="s">
        <v>16</v>
      </c>
      <c r="F330" t="s">
        <v>12</v>
      </c>
      <c r="G330" t="s">
        <v>13</v>
      </c>
      <c r="H330" t="s">
        <v>13</v>
      </c>
      <c r="I330">
        <v>31</v>
      </c>
      <c r="J330">
        <f>ABS((I330-EDA!$A$15)/EDA!$B$15)</f>
        <v>0.77488831798979529</v>
      </c>
      <c r="K330" t="str">
        <f t="shared" si="5"/>
        <v>No</v>
      </c>
      <c r="L330">
        <f>ABS((C330-EDA!$F$15)/EDA!$G$15)</f>
        <v>0.3673336358924254</v>
      </c>
      <c r="M330" t="str">
        <f>IF(moras[[#This Row],[Z-Score Salario]]&gt;1.96, "Sí", "No")</f>
        <v>No</v>
      </c>
      <c r="N330" s="14">
        <f>IF(ISBLANK(moras[[#This Row],[SALARIO]]), EDA!$M$8, moras[[#This Row],[SALARIO]])</f>
        <v>499999</v>
      </c>
      <c r="O330" s="14">
        <f xml:space="preserve"> IF(ISBLANK(moras[[#This Row],[EDAD]]), EDA!$E$8, moras[[#This Row],[EDAD]])</f>
        <v>31</v>
      </c>
      <c r="P330" s="14" t="str">
        <f>IF(
    OR(ISBLANK(moras[[#This Row],[TIPO_ASEGURAMIENTO]]), moras[[#This Row],[TIPO_ASEGURAMIENTO]]=""),
    EDA!$A$32,
    moras[[#This Row],[TIPO_ASEGURAMIENTO]]
)</f>
        <v>ASALARIADO</v>
      </c>
    </row>
    <row r="331" spans="1:16" x14ac:dyDescent="0.3">
      <c r="A331">
        <v>330</v>
      </c>
      <c r="B331" t="s">
        <v>9</v>
      </c>
      <c r="C331">
        <v>1340908</v>
      </c>
      <c r="D331" t="s">
        <v>10</v>
      </c>
      <c r="E331" t="s">
        <v>11</v>
      </c>
      <c r="F331" t="s">
        <v>12</v>
      </c>
      <c r="G331" t="s">
        <v>13</v>
      </c>
      <c r="H331" t="s">
        <v>13</v>
      </c>
      <c r="I331">
        <v>54</v>
      </c>
      <c r="J331">
        <f>ABS((I331-EDA!$A$15)/EDA!$B$15)</f>
        <v>0.84834427378436728</v>
      </c>
      <c r="K331" t="str">
        <f t="shared" si="5"/>
        <v>No</v>
      </c>
      <c r="L331">
        <f>ABS((C331-EDA!$F$15)/EDA!$G$15)</f>
        <v>0.35334031652450559</v>
      </c>
      <c r="M331" t="str">
        <f>IF(moras[[#This Row],[Z-Score Salario]]&gt;1.96, "Sí", "No")</f>
        <v>No</v>
      </c>
      <c r="N331" s="14">
        <f>IF(ISBLANK(moras[[#This Row],[SALARIO]]), EDA!$M$8, moras[[#This Row],[SALARIO]])</f>
        <v>1340908</v>
      </c>
      <c r="O331" s="14">
        <f xml:space="preserve"> IF(ISBLANK(moras[[#This Row],[EDAD]]), EDA!$E$8, moras[[#This Row],[EDAD]])</f>
        <v>54</v>
      </c>
      <c r="P331" s="14" t="str">
        <f>IF(
    OR(ISBLANK(moras[[#This Row],[TIPO_ASEGURAMIENTO]]), moras[[#This Row],[TIPO_ASEGURAMIENTO]]=""),
    EDA!$A$32,
    moras[[#This Row],[TIPO_ASEGURAMIENTO]]
)</f>
        <v>ASALARIADO</v>
      </c>
    </row>
    <row r="332" spans="1:16" x14ac:dyDescent="0.3">
      <c r="A332">
        <v>331</v>
      </c>
      <c r="B332" t="s">
        <v>9</v>
      </c>
      <c r="C332">
        <v>300000</v>
      </c>
      <c r="D332" t="s">
        <v>10</v>
      </c>
      <c r="E332" t="s">
        <v>16</v>
      </c>
      <c r="F332" t="s">
        <v>12</v>
      </c>
      <c r="G332" t="s">
        <v>12</v>
      </c>
      <c r="H332" t="s">
        <v>13</v>
      </c>
      <c r="I332">
        <v>28</v>
      </c>
      <c r="J332">
        <f>ABS((I332-EDA!$A$15)/EDA!$B$15)</f>
        <v>0.98661430822120777</v>
      </c>
      <c r="K332" t="str">
        <f t="shared" si="5"/>
        <v>No</v>
      </c>
      <c r="L332">
        <f>ABS((C332-EDA!$F$15)/EDA!$G$15)</f>
        <v>0.37066176043415894</v>
      </c>
      <c r="M332" t="str">
        <f>IF(moras[[#This Row],[Z-Score Salario]]&gt;1.96, "Sí", "No")</f>
        <v>No</v>
      </c>
      <c r="N332" s="14">
        <f>IF(ISBLANK(moras[[#This Row],[SALARIO]]), EDA!$M$8, moras[[#This Row],[SALARIO]])</f>
        <v>300000</v>
      </c>
      <c r="O332" s="14">
        <f xml:space="preserve"> IF(ISBLANK(moras[[#This Row],[EDAD]]), EDA!$E$8, moras[[#This Row],[EDAD]])</f>
        <v>28</v>
      </c>
      <c r="P332" s="14" t="str">
        <f>IF(
    OR(ISBLANK(moras[[#This Row],[TIPO_ASEGURAMIENTO]]), moras[[#This Row],[TIPO_ASEGURAMIENTO]]=""),
    EDA!$A$32,
    moras[[#This Row],[TIPO_ASEGURAMIENTO]]
)</f>
        <v>ASALARIADO</v>
      </c>
    </row>
    <row r="333" spans="1:16" x14ac:dyDescent="0.3">
      <c r="A333">
        <v>332</v>
      </c>
      <c r="B333" t="s">
        <v>15</v>
      </c>
      <c r="C333">
        <v>297046</v>
      </c>
      <c r="D333" t="s">
        <v>17</v>
      </c>
      <c r="E333" t="s">
        <v>16</v>
      </c>
      <c r="F333" t="s">
        <v>12</v>
      </c>
      <c r="G333" t="s">
        <v>12</v>
      </c>
      <c r="H333" t="s">
        <v>13</v>
      </c>
      <c r="I333">
        <v>27</v>
      </c>
      <c r="J333">
        <f>ABS((I333-EDA!$A$15)/EDA!$B$15)</f>
        <v>1.0571896382983452</v>
      </c>
      <c r="K333" t="str">
        <f t="shared" si="5"/>
        <v>No</v>
      </c>
      <c r="L333">
        <f>ABS((C333-EDA!$F$15)/EDA!$G$15)</f>
        <v>0.37071091707942361</v>
      </c>
      <c r="M333" t="str">
        <f>IF(moras[[#This Row],[Z-Score Salario]]&gt;1.96, "Sí", "No")</f>
        <v>No</v>
      </c>
      <c r="N333" s="14">
        <f>IF(ISBLANK(moras[[#This Row],[SALARIO]]), EDA!$M$8, moras[[#This Row],[SALARIO]])</f>
        <v>297046</v>
      </c>
      <c r="O333" s="14">
        <f xml:space="preserve"> IF(ISBLANK(moras[[#This Row],[EDAD]]), EDA!$E$8, moras[[#This Row],[EDAD]])</f>
        <v>27</v>
      </c>
      <c r="P333" s="14" t="str">
        <f>IF(
    OR(ISBLANK(moras[[#This Row],[TIPO_ASEGURAMIENTO]]), moras[[#This Row],[TIPO_ASEGURAMIENTO]]=""),
    EDA!$A$32,
    moras[[#This Row],[TIPO_ASEGURAMIENTO]]
)</f>
        <v>ASEGURADO VOLUNTARIO</v>
      </c>
    </row>
    <row r="334" spans="1:16" x14ac:dyDescent="0.3">
      <c r="A334">
        <v>333</v>
      </c>
      <c r="B334" t="s">
        <v>9</v>
      </c>
      <c r="C334">
        <v>3042329</v>
      </c>
      <c r="D334" t="s">
        <v>10</v>
      </c>
      <c r="E334" t="s">
        <v>16</v>
      </c>
      <c r="F334" t="s">
        <v>12</v>
      </c>
      <c r="G334" t="s">
        <v>12</v>
      </c>
      <c r="H334" t="s">
        <v>13</v>
      </c>
      <c r="I334">
        <v>24</v>
      </c>
      <c r="J334">
        <f>ABS((I334-EDA!$A$15)/EDA!$B$15)</f>
        <v>1.2689156285297578</v>
      </c>
      <c r="K334" t="str">
        <f t="shared" si="5"/>
        <v>No</v>
      </c>
      <c r="L334">
        <f>ABS((C334-EDA!$F$15)/EDA!$G$15)</f>
        <v>0.32502747003066917</v>
      </c>
      <c r="M334" t="str">
        <f>IF(moras[[#This Row],[Z-Score Salario]]&gt;1.96, "Sí", "No")</f>
        <v>No</v>
      </c>
      <c r="N334" s="14">
        <f>IF(ISBLANK(moras[[#This Row],[SALARIO]]), EDA!$M$8, moras[[#This Row],[SALARIO]])</f>
        <v>3042329</v>
      </c>
      <c r="O334" s="14">
        <f xml:space="preserve"> IF(ISBLANK(moras[[#This Row],[EDAD]]), EDA!$E$8, moras[[#This Row],[EDAD]])</f>
        <v>24</v>
      </c>
      <c r="P334" s="14" t="str">
        <f>IF(
    OR(ISBLANK(moras[[#This Row],[TIPO_ASEGURAMIENTO]]), moras[[#This Row],[TIPO_ASEGURAMIENTO]]=""),
    EDA!$A$32,
    moras[[#This Row],[TIPO_ASEGURAMIENTO]]
)</f>
        <v>ASALARIADO</v>
      </c>
    </row>
    <row r="335" spans="1:16" x14ac:dyDescent="0.3">
      <c r="A335">
        <v>334</v>
      </c>
      <c r="B335" t="s">
        <v>9</v>
      </c>
      <c r="C335">
        <v>509509</v>
      </c>
      <c r="D335" t="s">
        <v>18</v>
      </c>
      <c r="E335" t="s">
        <v>16</v>
      </c>
      <c r="F335" t="s">
        <v>12</v>
      </c>
      <c r="G335" t="s">
        <v>13</v>
      </c>
      <c r="H335" t="s">
        <v>12</v>
      </c>
      <c r="I335">
        <v>35</v>
      </c>
      <c r="J335">
        <f>ABS((I335-EDA!$A$15)/EDA!$B$15)</f>
        <v>0.49258699768124525</v>
      </c>
      <c r="K335" t="str">
        <f t="shared" si="5"/>
        <v>No</v>
      </c>
      <c r="L335">
        <f>ABS((C335-EDA!$F$15)/EDA!$G$15)</f>
        <v>0.36717538277920042</v>
      </c>
      <c r="M335" t="str">
        <f>IF(moras[[#This Row],[Z-Score Salario]]&gt;1.96, "Sí", "No")</f>
        <v>No</v>
      </c>
      <c r="N335" s="14">
        <f>IF(ISBLANK(moras[[#This Row],[SALARIO]]), EDA!$M$8, moras[[#This Row],[SALARIO]])</f>
        <v>509509</v>
      </c>
      <c r="O335" s="14">
        <f xml:space="preserve"> IF(ISBLANK(moras[[#This Row],[EDAD]]), EDA!$E$8, moras[[#This Row],[EDAD]])</f>
        <v>35</v>
      </c>
      <c r="P335" s="14" t="str">
        <f>IF(
    OR(ISBLANK(moras[[#This Row],[TIPO_ASEGURAMIENTO]]), moras[[#This Row],[TIPO_ASEGURAMIENTO]]=""),
    EDA!$A$32,
    moras[[#This Row],[TIPO_ASEGURAMIENTO]]
)</f>
        <v>TRABAJADOR INDEPENDIENTE</v>
      </c>
    </row>
    <row r="336" spans="1:16" x14ac:dyDescent="0.3">
      <c r="A336">
        <v>335</v>
      </c>
      <c r="B336" t="s">
        <v>9</v>
      </c>
      <c r="C336">
        <v>1202425</v>
      </c>
      <c r="D336" t="s">
        <v>10</v>
      </c>
      <c r="E336" t="s">
        <v>11</v>
      </c>
      <c r="F336" t="s">
        <v>12</v>
      </c>
      <c r="G336" t="s">
        <v>13</v>
      </c>
      <c r="H336" t="s">
        <v>13</v>
      </c>
      <c r="I336">
        <v>40</v>
      </c>
      <c r="J336">
        <f>ABS((I336-EDA!$A$15)/EDA!$B$15)</f>
        <v>0.13971034729555773</v>
      </c>
      <c r="K336" t="str">
        <f t="shared" si="5"/>
        <v>No</v>
      </c>
      <c r="L336">
        <f>ABS((C336-EDA!$F$15)/EDA!$G$15)</f>
        <v>0.35564477140134443</v>
      </c>
      <c r="M336" t="str">
        <f>IF(moras[[#This Row],[Z-Score Salario]]&gt;1.96, "Sí", "No")</f>
        <v>No</v>
      </c>
      <c r="N336" s="14">
        <f>IF(ISBLANK(moras[[#This Row],[SALARIO]]), EDA!$M$8, moras[[#This Row],[SALARIO]])</f>
        <v>1202425</v>
      </c>
      <c r="O336" s="14">
        <f xml:space="preserve"> IF(ISBLANK(moras[[#This Row],[EDAD]]), EDA!$E$8, moras[[#This Row],[EDAD]])</f>
        <v>40</v>
      </c>
      <c r="P336" s="14" t="str">
        <f>IF(
    OR(ISBLANK(moras[[#This Row],[TIPO_ASEGURAMIENTO]]), moras[[#This Row],[TIPO_ASEGURAMIENTO]]=""),
    EDA!$A$32,
    moras[[#This Row],[TIPO_ASEGURAMIENTO]]
)</f>
        <v>ASALARIADO</v>
      </c>
    </row>
    <row r="337" spans="1:16" x14ac:dyDescent="0.3">
      <c r="A337">
        <v>336</v>
      </c>
      <c r="B337" t="s">
        <v>9</v>
      </c>
      <c r="C337">
        <v>59144527</v>
      </c>
      <c r="D337" t="s">
        <v>10</v>
      </c>
      <c r="E337" t="s">
        <v>16</v>
      </c>
      <c r="F337" t="s">
        <v>12</v>
      </c>
      <c r="G337" t="s">
        <v>13</v>
      </c>
      <c r="H337" t="s">
        <v>13</v>
      </c>
      <c r="I337">
        <v>30</v>
      </c>
      <c r="J337">
        <f>ABS((I337-EDA!$A$15)/EDA!$B$15)</f>
        <v>0.84546364806693275</v>
      </c>
      <c r="K337" t="str">
        <f t="shared" si="5"/>
        <v>No</v>
      </c>
      <c r="L337">
        <f>ABS((C337-EDA!$F$15)/EDA!$G$15)</f>
        <v>0.60855270791518745</v>
      </c>
      <c r="M337" t="str">
        <f>IF(moras[[#This Row],[Z-Score Salario]]&gt;1.96, "Sí", "No")</f>
        <v>No</v>
      </c>
      <c r="N337" s="14">
        <f>IF(ISBLANK(moras[[#This Row],[SALARIO]]), EDA!$M$8, moras[[#This Row],[SALARIO]])</f>
        <v>59144527</v>
      </c>
      <c r="O337" s="14">
        <f xml:space="preserve"> IF(ISBLANK(moras[[#This Row],[EDAD]]), EDA!$E$8, moras[[#This Row],[EDAD]])</f>
        <v>30</v>
      </c>
      <c r="P337" s="14" t="str">
        <f>IF(
    OR(ISBLANK(moras[[#This Row],[TIPO_ASEGURAMIENTO]]), moras[[#This Row],[TIPO_ASEGURAMIENTO]]=""),
    EDA!$A$32,
    moras[[#This Row],[TIPO_ASEGURAMIENTO]]
)</f>
        <v>ASALARIADO</v>
      </c>
    </row>
    <row r="338" spans="1:16" x14ac:dyDescent="0.3">
      <c r="A338">
        <v>337</v>
      </c>
      <c r="B338" t="s">
        <v>15</v>
      </c>
      <c r="C338">
        <v>195318327</v>
      </c>
      <c r="D338" t="s">
        <v>10</v>
      </c>
      <c r="E338" t="s">
        <v>16</v>
      </c>
      <c r="F338" t="s">
        <v>12</v>
      </c>
      <c r="G338" t="s">
        <v>13</v>
      </c>
      <c r="H338" t="s">
        <v>13</v>
      </c>
      <c r="I338">
        <v>36</v>
      </c>
      <c r="J338">
        <f>ABS((I338-EDA!$A$15)/EDA!$B$15)</f>
        <v>0.42201166760410774</v>
      </c>
      <c r="K338" t="str">
        <f t="shared" si="5"/>
        <v>No</v>
      </c>
      <c r="L338">
        <f>ABS((C338-EDA!$F$15)/EDA!$G$15)</f>
        <v>2.8745808666615433</v>
      </c>
      <c r="M338" t="str">
        <f>IF(moras[[#This Row],[Z-Score Salario]]&gt;1.96, "Sí", "No")</f>
        <v>Sí</v>
      </c>
      <c r="N338" s="14">
        <f>IF(ISBLANK(moras[[#This Row],[SALARIO]]), EDA!$M$8, moras[[#This Row],[SALARIO]])</f>
        <v>195318327</v>
      </c>
      <c r="O338" s="14">
        <f xml:space="preserve"> IF(ISBLANK(moras[[#This Row],[EDAD]]), EDA!$E$8, moras[[#This Row],[EDAD]])</f>
        <v>36</v>
      </c>
      <c r="P338" s="14" t="str">
        <f>IF(
    OR(ISBLANK(moras[[#This Row],[TIPO_ASEGURAMIENTO]]), moras[[#This Row],[TIPO_ASEGURAMIENTO]]=""),
    EDA!$A$32,
    moras[[#This Row],[TIPO_ASEGURAMIENTO]]
)</f>
        <v>ASALARIADO</v>
      </c>
    </row>
    <row r="339" spans="1:16" x14ac:dyDescent="0.3">
      <c r="A339">
        <v>338</v>
      </c>
      <c r="B339" t="s">
        <v>15</v>
      </c>
      <c r="C339">
        <v>57079864</v>
      </c>
      <c r="D339" t="s">
        <v>10</v>
      </c>
      <c r="E339" t="s">
        <v>16</v>
      </c>
      <c r="F339" t="s">
        <v>12</v>
      </c>
      <c r="G339" t="s">
        <v>13</v>
      </c>
      <c r="H339" t="s">
        <v>13</v>
      </c>
      <c r="I339">
        <v>26</v>
      </c>
      <c r="J339">
        <f>ABS((I339-EDA!$A$15)/EDA!$B$15)</f>
        <v>1.1277649683754829</v>
      </c>
      <c r="K339" t="str">
        <f t="shared" si="5"/>
        <v>No</v>
      </c>
      <c r="L339">
        <f>ABS((C339-EDA!$F$15)/EDA!$G$15)</f>
        <v>0.57419525812439276</v>
      </c>
      <c r="M339" t="str">
        <f>IF(moras[[#This Row],[Z-Score Salario]]&gt;1.96, "Sí", "No")</f>
        <v>No</v>
      </c>
      <c r="N339" s="14">
        <f>IF(ISBLANK(moras[[#This Row],[SALARIO]]), EDA!$M$8, moras[[#This Row],[SALARIO]])</f>
        <v>57079864</v>
      </c>
      <c r="O339" s="14">
        <f xml:space="preserve"> IF(ISBLANK(moras[[#This Row],[EDAD]]), EDA!$E$8, moras[[#This Row],[EDAD]])</f>
        <v>26</v>
      </c>
      <c r="P339" s="14" t="str">
        <f>IF(
    OR(ISBLANK(moras[[#This Row],[TIPO_ASEGURAMIENTO]]), moras[[#This Row],[TIPO_ASEGURAMIENTO]]=""),
    EDA!$A$32,
    moras[[#This Row],[TIPO_ASEGURAMIENTO]]
)</f>
        <v>ASALARIADO</v>
      </c>
    </row>
    <row r="340" spans="1:16" x14ac:dyDescent="0.3">
      <c r="A340">
        <v>339</v>
      </c>
      <c r="B340" t="s">
        <v>15</v>
      </c>
      <c r="C340">
        <v>539203</v>
      </c>
      <c r="D340" t="s">
        <v>10</v>
      </c>
      <c r="E340" t="s">
        <v>16</v>
      </c>
      <c r="F340" t="s">
        <v>12</v>
      </c>
      <c r="G340" t="s">
        <v>13</v>
      </c>
      <c r="H340" t="s">
        <v>13</v>
      </c>
      <c r="I340">
        <v>29</v>
      </c>
      <c r="J340">
        <f>ABS((I340-EDA!$A$15)/EDA!$B$15)</f>
        <v>0.91603897814407031</v>
      </c>
      <c r="K340" t="str">
        <f t="shared" si="5"/>
        <v>No</v>
      </c>
      <c r="L340">
        <f>ABS((C340-EDA!$F$15)/EDA!$G$15)</f>
        <v>0.36668125365784365</v>
      </c>
      <c r="M340" t="str">
        <f>IF(moras[[#This Row],[Z-Score Salario]]&gt;1.96, "Sí", "No")</f>
        <v>No</v>
      </c>
      <c r="N340" s="14">
        <f>IF(ISBLANK(moras[[#This Row],[SALARIO]]), EDA!$M$8, moras[[#This Row],[SALARIO]])</f>
        <v>539203</v>
      </c>
      <c r="O340" s="14">
        <f xml:space="preserve"> IF(ISBLANK(moras[[#This Row],[EDAD]]), EDA!$E$8, moras[[#This Row],[EDAD]])</f>
        <v>29</v>
      </c>
      <c r="P340" s="14" t="str">
        <f>IF(
    OR(ISBLANK(moras[[#This Row],[TIPO_ASEGURAMIENTO]]), moras[[#This Row],[TIPO_ASEGURAMIENTO]]=""),
    EDA!$A$32,
    moras[[#This Row],[TIPO_ASEGURAMIENTO]]
)</f>
        <v>ASALARIADO</v>
      </c>
    </row>
    <row r="341" spans="1:16" x14ac:dyDescent="0.3">
      <c r="A341">
        <v>340</v>
      </c>
      <c r="B341" t="s">
        <v>15</v>
      </c>
      <c r="C341">
        <v>35954427</v>
      </c>
      <c r="D341" t="s">
        <v>21</v>
      </c>
      <c r="E341" t="s">
        <v>16</v>
      </c>
      <c r="F341" t="s">
        <v>12</v>
      </c>
      <c r="G341" t="s">
        <v>12</v>
      </c>
      <c r="H341" t="s">
        <v>13</v>
      </c>
      <c r="I341">
        <v>32</v>
      </c>
      <c r="J341">
        <f>ABS((I341-EDA!$A$15)/EDA!$B$15)</f>
        <v>0.70431298791265773</v>
      </c>
      <c r="K341" t="str">
        <f t="shared" si="5"/>
        <v>No</v>
      </c>
      <c r="L341">
        <f>ABS((C341-EDA!$F$15)/EDA!$G$15)</f>
        <v>0.22265307374074372</v>
      </c>
      <c r="M341" t="str">
        <f>IF(moras[[#This Row],[Z-Score Salario]]&gt;1.96, "Sí", "No")</f>
        <v>No</v>
      </c>
      <c r="N341" s="14">
        <f>IF(ISBLANK(moras[[#This Row],[SALARIO]]), EDA!$M$8, moras[[#This Row],[SALARIO]])</f>
        <v>35954427</v>
      </c>
      <c r="O341" s="14">
        <f xml:space="preserve"> IF(ISBLANK(moras[[#This Row],[EDAD]]), EDA!$E$8, moras[[#This Row],[EDAD]])</f>
        <v>32</v>
      </c>
      <c r="P341" s="14" t="str">
        <f>IF(
    OR(ISBLANK(moras[[#This Row],[TIPO_ASEGURAMIENTO]]), moras[[#This Row],[TIPO_ASEGURAMIENTO]]=""),
    EDA!$A$32,
    moras[[#This Row],[TIPO_ASEGURAMIENTO]]
)</f>
        <v>CONVENIOS ESPECIALES DE ASEGURADOS VOLUNTARIOS</v>
      </c>
    </row>
    <row r="342" spans="1:16" x14ac:dyDescent="0.3">
      <c r="A342">
        <v>341</v>
      </c>
      <c r="B342" t="s">
        <v>15</v>
      </c>
      <c r="C342">
        <v>5164465</v>
      </c>
      <c r="D342" t="s">
        <v>10</v>
      </c>
      <c r="E342" t="s">
        <v>11</v>
      </c>
      <c r="F342" t="s">
        <v>12</v>
      </c>
      <c r="G342" t="s">
        <v>13</v>
      </c>
      <c r="H342" t="s">
        <v>13</v>
      </c>
      <c r="I342">
        <v>33</v>
      </c>
      <c r="J342">
        <f>ABS((I342-EDA!$A$15)/EDA!$B$15)</f>
        <v>0.63373765783552027</v>
      </c>
      <c r="K342" t="str">
        <f t="shared" si="5"/>
        <v>No</v>
      </c>
      <c r="L342">
        <f>ABS((C342-EDA!$F$15)/EDA!$G$15)</f>
        <v>0.28971362894898273</v>
      </c>
      <c r="M342" t="str">
        <f>IF(moras[[#This Row],[Z-Score Salario]]&gt;1.96, "Sí", "No")</f>
        <v>No</v>
      </c>
      <c r="N342" s="14">
        <f>IF(ISBLANK(moras[[#This Row],[SALARIO]]), EDA!$M$8, moras[[#This Row],[SALARIO]])</f>
        <v>5164465</v>
      </c>
      <c r="O342" s="14">
        <f xml:space="preserve"> IF(ISBLANK(moras[[#This Row],[EDAD]]), EDA!$E$8, moras[[#This Row],[EDAD]])</f>
        <v>33</v>
      </c>
      <c r="P342" s="14" t="str">
        <f>IF(
    OR(ISBLANK(moras[[#This Row],[TIPO_ASEGURAMIENTO]]), moras[[#This Row],[TIPO_ASEGURAMIENTO]]=""),
    EDA!$A$32,
    moras[[#This Row],[TIPO_ASEGURAMIENTO]]
)</f>
        <v>ASALARIADO</v>
      </c>
    </row>
    <row r="343" spans="1:16" x14ac:dyDescent="0.3">
      <c r="A343">
        <v>342</v>
      </c>
      <c r="B343" t="s">
        <v>15</v>
      </c>
      <c r="C343">
        <v>378355</v>
      </c>
      <c r="D343" t="s">
        <v>10</v>
      </c>
      <c r="E343" t="s">
        <v>16</v>
      </c>
      <c r="F343" t="s">
        <v>12</v>
      </c>
      <c r="G343" t="s">
        <v>12</v>
      </c>
      <c r="H343" t="s">
        <v>13</v>
      </c>
      <c r="I343">
        <v>62</v>
      </c>
      <c r="J343">
        <f>ABS((I343-EDA!$A$15)/EDA!$B$15)</f>
        <v>1.4129469144014672</v>
      </c>
      <c r="K343" t="str">
        <f t="shared" si="5"/>
        <v>No</v>
      </c>
      <c r="L343">
        <f>ABS((C343-EDA!$F$15)/EDA!$G$15)</f>
        <v>0.36935787792240876</v>
      </c>
      <c r="M343" t="str">
        <f>IF(moras[[#This Row],[Z-Score Salario]]&gt;1.96, "Sí", "No")</f>
        <v>No</v>
      </c>
      <c r="N343" s="14">
        <f>IF(ISBLANK(moras[[#This Row],[SALARIO]]), EDA!$M$8, moras[[#This Row],[SALARIO]])</f>
        <v>378355</v>
      </c>
      <c r="O343" s="14">
        <f xml:space="preserve"> IF(ISBLANK(moras[[#This Row],[EDAD]]), EDA!$E$8, moras[[#This Row],[EDAD]])</f>
        <v>62</v>
      </c>
      <c r="P343" s="14" t="str">
        <f>IF(
    OR(ISBLANK(moras[[#This Row],[TIPO_ASEGURAMIENTO]]), moras[[#This Row],[TIPO_ASEGURAMIENTO]]=""),
    EDA!$A$32,
    moras[[#This Row],[TIPO_ASEGURAMIENTO]]
)</f>
        <v>ASALARIADO</v>
      </c>
    </row>
    <row r="344" spans="1:16" x14ac:dyDescent="0.3">
      <c r="A344">
        <v>343</v>
      </c>
      <c r="B344" t="s">
        <v>9</v>
      </c>
      <c r="C344">
        <v>4545582</v>
      </c>
      <c r="D344" t="s">
        <v>10</v>
      </c>
      <c r="E344" t="s">
        <v>11</v>
      </c>
      <c r="F344" t="s">
        <v>12</v>
      </c>
      <c r="G344" t="s">
        <v>13</v>
      </c>
      <c r="H344" t="s">
        <v>13</v>
      </c>
      <c r="I344">
        <v>34</v>
      </c>
      <c r="J344">
        <f>ABS((I344-EDA!$A$15)/EDA!$B$15)</f>
        <v>0.56316232775838282</v>
      </c>
      <c r="K344" t="str">
        <f t="shared" si="5"/>
        <v>No</v>
      </c>
      <c r="L344">
        <f>ABS((C344-EDA!$F$15)/EDA!$G$15)</f>
        <v>0.30001227894604104</v>
      </c>
      <c r="M344" t="str">
        <f>IF(moras[[#This Row],[Z-Score Salario]]&gt;1.96, "Sí", "No")</f>
        <v>No</v>
      </c>
      <c r="N344" s="14">
        <f>IF(ISBLANK(moras[[#This Row],[SALARIO]]), EDA!$M$8, moras[[#This Row],[SALARIO]])</f>
        <v>4545582</v>
      </c>
      <c r="O344" s="14">
        <f xml:space="preserve"> IF(ISBLANK(moras[[#This Row],[EDAD]]), EDA!$E$8, moras[[#This Row],[EDAD]])</f>
        <v>34</v>
      </c>
      <c r="P344" s="14" t="str">
        <f>IF(
    OR(ISBLANK(moras[[#This Row],[TIPO_ASEGURAMIENTO]]), moras[[#This Row],[TIPO_ASEGURAMIENTO]]=""),
    EDA!$A$32,
    moras[[#This Row],[TIPO_ASEGURAMIENTO]]
)</f>
        <v>ASALARIADO</v>
      </c>
    </row>
    <row r="345" spans="1:16" x14ac:dyDescent="0.3">
      <c r="A345">
        <v>344</v>
      </c>
      <c r="B345" t="s">
        <v>15</v>
      </c>
      <c r="C345">
        <v>403983</v>
      </c>
      <c r="D345" t="s">
        <v>18</v>
      </c>
      <c r="E345" t="s">
        <v>16</v>
      </c>
      <c r="F345" t="s">
        <v>12</v>
      </c>
      <c r="G345" t="s">
        <v>13</v>
      </c>
      <c r="H345" t="s">
        <v>12</v>
      </c>
      <c r="I345">
        <v>67</v>
      </c>
      <c r="J345">
        <f>ABS((I345-EDA!$A$15)/EDA!$B$15)</f>
        <v>1.765823564787155</v>
      </c>
      <c r="K345" t="str">
        <f t="shared" si="5"/>
        <v>No</v>
      </c>
      <c r="L345">
        <f>ABS((C345-EDA!$F$15)/EDA!$G$15)</f>
        <v>0.36893140991129098</v>
      </c>
      <c r="M345" t="str">
        <f>IF(moras[[#This Row],[Z-Score Salario]]&gt;1.96, "Sí", "No")</f>
        <v>No</v>
      </c>
      <c r="N345" s="14">
        <f>IF(ISBLANK(moras[[#This Row],[SALARIO]]), EDA!$M$8, moras[[#This Row],[SALARIO]])</f>
        <v>403983</v>
      </c>
      <c r="O345" s="14">
        <f xml:space="preserve"> IF(ISBLANK(moras[[#This Row],[EDAD]]), EDA!$E$8, moras[[#This Row],[EDAD]])</f>
        <v>67</v>
      </c>
      <c r="P345" s="14" t="str">
        <f>IF(
    OR(ISBLANK(moras[[#This Row],[TIPO_ASEGURAMIENTO]]), moras[[#This Row],[TIPO_ASEGURAMIENTO]]=""),
    EDA!$A$32,
    moras[[#This Row],[TIPO_ASEGURAMIENTO]]
)</f>
        <v>TRABAJADOR INDEPENDIENTE</v>
      </c>
    </row>
    <row r="346" spans="1:16" x14ac:dyDescent="0.3">
      <c r="A346">
        <v>345</v>
      </c>
      <c r="B346" t="s">
        <v>15</v>
      </c>
      <c r="C346">
        <v>15441875</v>
      </c>
      <c r="D346" t="s">
        <v>10</v>
      </c>
      <c r="E346" t="s">
        <v>16</v>
      </c>
      <c r="F346" t="s">
        <v>12</v>
      </c>
      <c r="G346" t="s">
        <v>12</v>
      </c>
      <c r="H346" t="s">
        <v>13</v>
      </c>
      <c r="I346">
        <v>28</v>
      </c>
      <c r="J346">
        <f>ABS((I346-EDA!$A$15)/EDA!$B$15)</f>
        <v>0.98661430822120777</v>
      </c>
      <c r="K346" t="str">
        <f t="shared" si="5"/>
        <v>No</v>
      </c>
      <c r="L346">
        <f>ABS((C346-EDA!$F$15)/EDA!$G$15)</f>
        <v>0.11869027159990832</v>
      </c>
      <c r="M346" t="str">
        <f>IF(moras[[#This Row],[Z-Score Salario]]&gt;1.96, "Sí", "No")</f>
        <v>No</v>
      </c>
      <c r="N346" s="14">
        <f>IF(ISBLANK(moras[[#This Row],[SALARIO]]), EDA!$M$8, moras[[#This Row],[SALARIO]])</f>
        <v>15441875</v>
      </c>
      <c r="O346" s="14">
        <f xml:space="preserve"> IF(ISBLANK(moras[[#This Row],[EDAD]]), EDA!$E$8, moras[[#This Row],[EDAD]])</f>
        <v>28</v>
      </c>
      <c r="P346" s="14" t="str">
        <f>IF(
    OR(ISBLANK(moras[[#This Row],[TIPO_ASEGURAMIENTO]]), moras[[#This Row],[TIPO_ASEGURAMIENTO]]=""),
    EDA!$A$32,
    moras[[#This Row],[TIPO_ASEGURAMIENTO]]
)</f>
        <v>ASALARIADO</v>
      </c>
    </row>
    <row r="347" spans="1:16" x14ac:dyDescent="0.3">
      <c r="A347">
        <v>346</v>
      </c>
      <c r="B347" t="s">
        <v>9</v>
      </c>
      <c r="C347">
        <v>328196</v>
      </c>
      <c r="D347" t="s">
        <v>18</v>
      </c>
      <c r="E347" t="s">
        <v>16</v>
      </c>
      <c r="F347" t="s">
        <v>12</v>
      </c>
      <c r="G347" t="s">
        <v>12</v>
      </c>
      <c r="H347" t="s">
        <v>12</v>
      </c>
      <c r="I347">
        <v>27</v>
      </c>
      <c r="J347">
        <f>ABS((I347-EDA!$A$15)/EDA!$B$15)</f>
        <v>1.0571896382983452</v>
      </c>
      <c r="K347" t="str">
        <f t="shared" si="5"/>
        <v>No</v>
      </c>
      <c r="L347">
        <f>ABS((C347-EDA!$F$15)/EDA!$G$15)</f>
        <v>0.37019255909025867</v>
      </c>
      <c r="M347" t="str">
        <f>IF(moras[[#This Row],[Z-Score Salario]]&gt;1.96, "Sí", "No")</f>
        <v>No</v>
      </c>
      <c r="N347" s="14">
        <f>IF(ISBLANK(moras[[#This Row],[SALARIO]]), EDA!$M$8, moras[[#This Row],[SALARIO]])</f>
        <v>328196</v>
      </c>
      <c r="O347" s="14">
        <f xml:space="preserve"> IF(ISBLANK(moras[[#This Row],[EDAD]]), EDA!$E$8, moras[[#This Row],[EDAD]])</f>
        <v>27</v>
      </c>
      <c r="P347" s="14" t="str">
        <f>IF(
    OR(ISBLANK(moras[[#This Row],[TIPO_ASEGURAMIENTO]]), moras[[#This Row],[TIPO_ASEGURAMIENTO]]=""),
    EDA!$A$32,
    moras[[#This Row],[TIPO_ASEGURAMIENTO]]
)</f>
        <v>TRABAJADOR INDEPENDIENTE</v>
      </c>
    </row>
    <row r="348" spans="1:16" x14ac:dyDescent="0.3">
      <c r="A348">
        <v>347</v>
      </c>
      <c r="B348" t="s">
        <v>9</v>
      </c>
      <c r="C348">
        <v>57409445</v>
      </c>
      <c r="D348" t="s">
        <v>10</v>
      </c>
      <c r="E348" t="s">
        <v>16</v>
      </c>
      <c r="F348" t="s">
        <v>12</v>
      </c>
      <c r="G348" t="s">
        <v>13</v>
      </c>
      <c r="H348" t="s">
        <v>13</v>
      </c>
      <c r="I348">
        <v>57</v>
      </c>
      <c r="J348">
        <f>ABS((I348-EDA!$A$15)/EDA!$B$15)</f>
        <v>1.0600702640157798</v>
      </c>
      <c r="K348" t="str">
        <f t="shared" si="5"/>
        <v>No</v>
      </c>
      <c r="L348">
        <f>ABS((C348-EDA!$F$15)/EDA!$G$15)</f>
        <v>0.57967971861964052</v>
      </c>
      <c r="M348" t="str">
        <f>IF(moras[[#This Row],[Z-Score Salario]]&gt;1.96, "Sí", "No")</f>
        <v>No</v>
      </c>
      <c r="N348" s="14">
        <f>IF(ISBLANK(moras[[#This Row],[SALARIO]]), EDA!$M$8, moras[[#This Row],[SALARIO]])</f>
        <v>57409445</v>
      </c>
      <c r="O348" s="14">
        <f xml:space="preserve"> IF(ISBLANK(moras[[#This Row],[EDAD]]), EDA!$E$8, moras[[#This Row],[EDAD]])</f>
        <v>57</v>
      </c>
      <c r="P348" s="14" t="str">
        <f>IF(
    OR(ISBLANK(moras[[#This Row],[TIPO_ASEGURAMIENTO]]), moras[[#This Row],[TIPO_ASEGURAMIENTO]]=""),
    EDA!$A$32,
    moras[[#This Row],[TIPO_ASEGURAMIENTO]]
)</f>
        <v>ASALARIADO</v>
      </c>
    </row>
    <row r="349" spans="1:16" x14ac:dyDescent="0.3">
      <c r="A349">
        <v>348</v>
      </c>
      <c r="B349" t="s">
        <v>15</v>
      </c>
      <c r="C349">
        <v>132051873</v>
      </c>
      <c r="D349" t="s">
        <v>10</v>
      </c>
      <c r="E349" t="s">
        <v>11</v>
      </c>
      <c r="F349" t="s">
        <v>12</v>
      </c>
      <c r="G349" t="s">
        <v>13</v>
      </c>
      <c r="H349" t="s">
        <v>13</v>
      </c>
      <c r="I349">
        <v>34</v>
      </c>
      <c r="J349">
        <f>ABS((I349-EDA!$A$15)/EDA!$B$15)</f>
        <v>0.56316232775838282</v>
      </c>
      <c r="K349" t="str">
        <f t="shared" si="5"/>
        <v>No</v>
      </c>
      <c r="L349">
        <f>ABS((C349-EDA!$F$15)/EDA!$G$15)</f>
        <v>1.8217824115399925</v>
      </c>
      <c r="M349" t="str">
        <f>IF(moras[[#This Row],[Z-Score Salario]]&gt;1.96, "Sí", "No")</f>
        <v>No</v>
      </c>
      <c r="N349" s="14">
        <f>IF(ISBLANK(moras[[#This Row],[SALARIO]]), EDA!$M$8, moras[[#This Row],[SALARIO]])</f>
        <v>132051873</v>
      </c>
      <c r="O349" s="14">
        <f xml:space="preserve"> IF(ISBLANK(moras[[#This Row],[EDAD]]), EDA!$E$8, moras[[#This Row],[EDAD]])</f>
        <v>34</v>
      </c>
      <c r="P349" s="14" t="str">
        <f>IF(
    OR(ISBLANK(moras[[#This Row],[TIPO_ASEGURAMIENTO]]), moras[[#This Row],[TIPO_ASEGURAMIENTO]]=""),
    EDA!$A$32,
    moras[[#This Row],[TIPO_ASEGURAMIENTO]]
)</f>
        <v>ASALARIADO</v>
      </c>
    </row>
    <row r="350" spans="1:16" x14ac:dyDescent="0.3">
      <c r="A350">
        <v>349</v>
      </c>
      <c r="B350" t="s">
        <v>9</v>
      </c>
      <c r="C350">
        <v>356455</v>
      </c>
      <c r="D350" t="s">
        <v>18</v>
      </c>
      <c r="E350" t="s">
        <v>16</v>
      </c>
      <c r="F350" t="s">
        <v>12</v>
      </c>
      <c r="G350" t="s">
        <v>13</v>
      </c>
      <c r="H350" t="s">
        <v>12</v>
      </c>
      <c r="I350">
        <v>40</v>
      </c>
      <c r="J350">
        <f>ABS((I350-EDA!$A$15)/EDA!$B$15)</f>
        <v>0.13971034729555773</v>
      </c>
      <c r="K350" t="str">
        <f t="shared" si="5"/>
        <v>No</v>
      </c>
      <c r="L350">
        <f>ABS((C350-EDA!$F$15)/EDA!$G$15)</f>
        <v>0.36972230938188588</v>
      </c>
      <c r="M350" t="str">
        <f>IF(moras[[#This Row],[Z-Score Salario]]&gt;1.96, "Sí", "No")</f>
        <v>No</v>
      </c>
      <c r="N350" s="14">
        <f>IF(ISBLANK(moras[[#This Row],[SALARIO]]), EDA!$M$8, moras[[#This Row],[SALARIO]])</f>
        <v>356455</v>
      </c>
      <c r="O350" s="14">
        <f xml:space="preserve"> IF(ISBLANK(moras[[#This Row],[EDAD]]), EDA!$E$8, moras[[#This Row],[EDAD]])</f>
        <v>40</v>
      </c>
      <c r="P350" s="14" t="str">
        <f>IF(
    OR(ISBLANK(moras[[#This Row],[TIPO_ASEGURAMIENTO]]), moras[[#This Row],[TIPO_ASEGURAMIENTO]]=""),
    EDA!$A$32,
    moras[[#This Row],[TIPO_ASEGURAMIENTO]]
)</f>
        <v>TRABAJADOR INDEPENDIENTE</v>
      </c>
    </row>
    <row r="351" spans="1:16" x14ac:dyDescent="0.3">
      <c r="A351">
        <v>350</v>
      </c>
      <c r="B351" t="s">
        <v>9</v>
      </c>
      <c r="C351">
        <v>297046</v>
      </c>
      <c r="D351" t="s">
        <v>18</v>
      </c>
      <c r="E351" t="s">
        <v>16</v>
      </c>
      <c r="F351" t="s">
        <v>12</v>
      </c>
      <c r="G351" t="s">
        <v>13</v>
      </c>
      <c r="H351" t="s">
        <v>13</v>
      </c>
      <c r="I351">
        <v>42</v>
      </c>
      <c r="J351">
        <f>ABS((I351-EDA!$A$15)/EDA!$B$15)</f>
        <v>1.4403128587172659E-3</v>
      </c>
      <c r="K351" t="str">
        <f t="shared" si="5"/>
        <v>No</v>
      </c>
      <c r="L351">
        <f>ABS((C351-EDA!$F$15)/EDA!$G$15)</f>
        <v>0.37071091707942361</v>
      </c>
      <c r="M351" t="str">
        <f>IF(moras[[#This Row],[Z-Score Salario]]&gt;1.96, "Sí", "No")</f>
        <v>No</v>
      </c>
      <c r="N351" s="14">
        <f>IF(ISBLANK(moras[[#This Row],[SALARIO]]), EDA!$M$8, moras[[#This Row],[SALARIO]])</f>
        <v>297046</v>
      </c>
      <c r="O351" s="14">
        <f xml:space="preserve"> IF(ISBLANK(moras[[#This Row],[EDAD]]), EDA!$E$8, moras[[#This Row],[EDAD]])</f>
        <v>42</v>
      </c>
      <c r="P351" s="14" t="str">
        <f>IF(
    OR(ISBLANK(moras[[#This Row],[TIPO_ASEGURAMIENTO]]), moras[[#This Row],[TIPO_ASEGURAMIENTO]]=""),
    EDA!$A$32,
    moras[[#This Row],[TIPO_ASEGURAMIENTO]]
)</f>
        <v>TRABAJADOR INDEPENDIENTE</v>
      </c>
    </row>
    <row r="352" spans="1:16" x14ac:dyDescent="0.3">
      <c r="A352">
        <v>351</v>
      </c>
      <c r="B352" t="s">
        <v>9</v>
      </c>
      <c r="C352">
        <v>50568639</v>
      </c>
      <c r="D352" t="s">
        <v>10</v>
      </c>
      <c r="E352" t="s">
        <v>16</v>
      </c>
      <c r="F352" t="s">
        <v>12</v>
      </c>
      <c r="G352" t="s">
        <v>13</v>
      </c>
      <c r="H352" t="s">
        <v>13</v>
      </c>
      <c r="I352">
        <v>22</v>
      </c>
      <c r="J352">
        <f>ABS((I352-EDA!$A$15)/EDA!$B$15)</f>
        <v>1.4100662886840327</v>
      </c>
      <c r="K352" t="str">
        <f t="shared" si="5"/>
        <v>No</v>
      </c>
      <c r="L352">
        <f>ABS((C352-EDA!$F$15)/EDA!$G$15)</f>
        <v>0.46584387777124664</v>
      </c>
      <c r="M352" t="str">
        <f>IF(moras[[#This Row],[Z-Score Salario]]&gt;1.96, "Sí", "No")</f>
        <v>No</v>
      </c>
      <c r="N352" s="14">
        <f>IF(ISBLANK(moras[[#This Row],[SALARIO]]), EDA!$M$8, moras[[#This Row],[SALARIO]])</f>
        <v>50568639</v>
      </c>
      <c r="O352" s="14">
        <f xml:space="preserve"> IF(ISBLANK(moras[[#This Row],[EDAD]]), EDA!$E$8, moras[[#This Row],[EDAD]])</f>
        <v>22</v>
      </c>
      <c r="P352" s="14" t="str">
        <f>IF(
    OR(ISBLANK(moras[[#This Row],[TIPO_ASEGURAMIENTO]]), moras[[#This Row],[TIPO_ASEGURAMIENTO]]=""),
    EDA!$A$32,
    moras[[#This Row],[TIPO_ASEGURAMIENTO]]
)</f>
        <v>ASALARIADO</v>
      </c>
    </row>
    <row r="353" spans="1:16" x14ac:dyDescent="0.3">
      <c r="A353">
        <v>352</v>
      </c>
      <c r="B353" t="s">
        <v>15</v>
      </c>
      <c r="C353">
        <v>5117892</v>
      </c>
      <c r="D353" t="s">
        <v>10</v>
      </c>
      <c r="E353" t="s">
        <v>16</v>
      </c>
      <c r="F353" t="s">
        <v>12</v>
      </c>
      <c r="G353" t="s">
        <v>13</v>
      </c>
      <c r="H353" t="s">
        <v>13</v>
      </c>
      <c r="I353">
        <v>29</v>
      </c>
      <c r="J353">
        <f>ABS((I353-EDA!$A$15)/EDA!$B$15)</f>
        <v>0.91603897814407031</v>
      </c>
      <c r="K353" t="str">
        <f t="shared" si="5"/>
        <v>No</v>
      </c>
      <c r="L353">
        <f>ABS((C353-EDA!$F$15)/EDA!$G$15)</f>
        <v>0.29048863654543144</v>
      </c>
      <c r="M353" t="str">
        <f>IF(moras[[#This Row],[Z-Score Salario]]&gt;1.96, "Sí", "No")</f>
        <v>No</v>
      </c>
      <c r="N353" s="14">
        <f>IF(ISBLANK(moras[[#This Row],[SALARIO]]), EDA!$M$8, moras[[#This Row],[SALARIO]])</f>
        <v>5117892</v>
      </c>
      <c r="O353" s="14">
        <f xml:space="preserve"> IF(ISBLANK(moras[[#This Row],[EDAD]]), EDA!$E$8, moras[[#This Row],[EDAD]])</f>
        <v>29</v>
      </c>
      <c r="P353" s="14" t="str">
        <f>IF(
    OR(ISBLANK(moras[[#This Row],[TIPO_ASEGURAMIENTO]]), moras[[#This Row],[TIPO_ASEGURAMIENTO]]=""),
    EDA!$A$32,
    moras[[#This Row],[TIPO_ASEGURAMIENTO]]
)</f>
        <v>ASALARIADO</v>
      </c>
    </row>
    <row r="354" spans="1:16" x14ac:dyDescent="0.3">
      <c r="A354">
        <v>353</v>
      </c>
      <c r="B354" t="s">
        <v>15</v>
      </c>
      <c r="C354">
        <v>33309401</v>
      </c>
      <c r="D354" t="s">
        <v>10</v>
      </c>
      <c r="E354" t="s">
        <v>16</v>
      </c>
      <c r="F354" t="s">
        <v>12</v>
      </c>
      <c r="G354" t="s">
        <v>13</v>
      </c>
      <c r="H354" t="s">
        <v>13</v>
      </c>
      <c r="I354">
        <v>32</v>
      </c>
      <c r="J354">
        <f>ABS((I354-EDA!$A$15)/EDA!$B$15)</f>
        <v>0.70431298791265773</v>
      </c>
      <c r="K354" t="str">
        <f t="shared" si="5"/>
        <v>No</v>
      </c>
      <c r="L354">
        <f>ABS((C354-EDA!$F$15)/EDA!$G$15)</f>
        <v>0.17863797394462846</v>
      </c>
      <c r="M354" t="str">
        <f>IF(moras[[#This Row],[Z-Score Salario]]&gt;1.96, "Sí", "No")</f>
        <v>No</v>
      </c>
      <c r="N354" s="14">
        <f>IF(ISBLANK(moras[[#This Row],[SALARIO]]), EDA!$M$8, moras[[#This Row],[SALARIO]])</f>
        <v>33309401</v>
      </c>
      <c r="O354" s="14">
        <f xml:space="preserve"> IF(ISBLANK(moras[[#This Row],[EDAD]]), EDA!$E$8, moras[[#This Row],[EDAD]])</f>
        <v>32</v>
      </c>
      <c r="P354" s="14" t="str">
        <f>IF(
    OR(ISBLANK(moras[[#This Row],[TIPO_ASEGURAMIENTO]]), moras[[#This Row],[TIPO_ASEGURAMIENTO]]=""),
    EDA!$A$32,
    moras[[#This Row],[TIPO_ASEGURAMIENTO]]
)</f>
        <v>ASALARIADO</v>
      </c>
    </row>
    <row r="355" spans="1:16" x14ac:dyDescent="0.3">
      <c r="A355">
        <v>354</v>
      </c>
      <c r="B355" t="s">
        <v>15</v>
      </c>
      <c r="C355">
        <v>419608</v>
      </c>
      <c r="D355" t="s">
        <v>18</v>
      </c>
      <c r="E355" t="s">
        <v>16</v>
      </c>
      <c r="F355" t="s">
        <v>12</v>
      </c>
      <c r="G355" t="s">
        <v>13</v>
      </c>
      <c r="H355" t="s">
        <v>13</v>
      </c>
      <c r="I355">
        <v>43</v>
      </c>
      <c r="J355">
        <f>ABS((I355-EDA!$A$15)/EDA!$B$15)</f>
        <v>7.2015642935854773E-2</v>
      </c>
      <c r="K355" t="str">
        <f t="shared" si="5"/>
        <v>No</v>
      </c>
      <c r="L355">
        <f>ABS((C355-EDA!$F$15)/EDA!$G$15)</f>
        <v>0.36867139888141287</v>
      </c>
      <c r="M355" t="str">
        <f>IF(moras[[#This Row],[Z-Score Salario]]&gt;1.96, "Sí", "No")</f>
        <v>No</v>
      </c>
      <c r="N355" s="14">
        <f>IF(ISBLANK(moras[[#This Row],[SALARIO]]), EDA!$M$8, moras[[#This Row],[SALARIO]])</f>
        <v>419608</v>
      </c>
      <c r="O355" s="14">
        <f xml:space="preserve"> IF(ISBLANK(moras[[#This Row],[EDAD]]), EDA!$E$8, moras[[#This Row],[EDAD]])</f>
        <v>43</v>
      </c>
      <c r="P355" s="14" t="str">
        <f>IF(
    OR(ISBLANK(moras[[#This Row],[TIPO_ASEGURAMIENTO]]), moras[[#This Row],[TIPO_ASEGURAMIENTO]]=""),
    EDA!$A$32,
    moras[[#This Row],[TIPO_ASEGURAMIENTO]]
)</f>
        <v>TRABAJADOR INDEPENDIENTE</v>
      </c>
    </row>
    <row r="356" spans="1:16" x14ac:dyDescent="0.3">
      <c r="A356">
        <v>355</v>
      </c>
      <c r="B356" t="s">
        <v>15</v>
      </c>
      <c r="C356">
        <v>297046</v>
      </c>
      <c r="D356" t="s">
        <v>18</v>
      </c>
      <c r="E356" t="s">
        <v>16</v>
      </c>
      <c r="F356" t="s">
        <v>12</v>
      </c>
      <c r="G356" t="s">
        <v>13</v>
      </c>
      <c r="H356" t="s">
        <v>12</v>
      </c>
      <c r="I356">
        <v>28</v>
      </c>
      <c r="J356">
        <f>ABS((I356-EDA!$A$15)/EDA!$B$15)</f>
        <v>0.98661430822120777</v>
      </c>
      <c r="K356" t="str">
        <f t="shared" si="5"/>
        <v>No</v>
      </c>
      <c r="L356">
        <f>ABS((C356-EDA!$F$15)/EDA!$G$15)</f>
        <v>0.37071091707942361</v>
      </c>
      <c r="M356" t="str">
        <f>IF(moras[[#This Row],[Z-Score Salario]]&gt;1.96, "Sí", "No")</f>
        <v>No</v>
      </c>
      <c r="N356" s="14">
        <f>IF(ISBLANK(moras[[#This Row],[SALARIO]]), EDA!$M$8, moras[[#This Row],[SALARIO]])</f>
        <v>297046</v>
      </c>
      <c r="O356" s="14">
        <f xml:space="preserve"> IF(ISBLANK(moras[[#This Row],[EDAD]]), EDA!$E$8, moras[[#This Row],[EDAD]])</f>
        <v>28</v>
      </c>
      <c r="P356" s="14" t="str">
        <f>IF(
    OR(ISBLANK(moras[[#This Row],[TIPO_ASEGURAMIENTO]]), moras[[#This Row],[TIPO_ASEGURAMIENTO]]=""),
    EDA!$A$32,
    moras[[#This Row],[TIPO_ASEGURAMIENTO]]
)</f>
        <v>TRABAJADOR INDEPENDIENTE</v>
      </c>
    </row>
    <row r="357" spans="1:16" x14ac:dyDescent="0.3">
      <c r="A357">
        <v>356</v>
      </c>
      <c r="B357" t="s">
        <v>9</v>
      </c>
      <c r="C357">
        <v>297046</v>
      </c>
      <c r="D357" t="s">
        <v>18</v>
      </c>
      <c r="E357" t="s">
        <v>16</v>
      </c>
      <c r="F357" t="s">
        <v>12</v>
      </c>
      <c r="G357" t="s">
        <v>13</v>
      </c>
      <c r="H357" t="s">
        <v>12</v>
      </c>
      <c r="I357">
        <v>39</v>
      </c>
      <c r="J357">
        <f>ABS((I357-EDA!$A$15)/EDA!$B$15)</f>
        <v>0.21028567737269524</v>
      </c>
      <c r="K357" t="str">
        <f t="shared" si="5"/>
        <v>No</v>
      </c>
      <c r="L357">
        <f>ABS((C357-EDA!$F$15)/EDA!$G$15)</f>
        <v>0.37071091707942361</v>
      </c>
      <c r="M357" t="str">
        <f>IF(moras[[#This Row],[Z-Score Salario]]&gt;1.96, "Sí", "No")</f>
        <v>No</v>
      </c>
      <c r="N357" s="14">
        <f>IF(ISBLANK(moras[[#This Row],[SALARIO]]), EDA!$M$8, moras[[#This Row],[SALARIO]])</f>
        <v>297046</v>
      </c>
      <c r="O357" s="14">
        <f xml:space="preserve"> IF(ISBLANK(moras[[#This Row],[EDAD]]), EDA!$E$8, moras[[#This Row],[EDAD]])</f>
        <v>39</v>
      </c>
      <c r="P357" s="14" t="str">
        <f>IF(
    OR(ISBLANK(moras[[#This Row],[TIPO_ASEGURAMIENTO]]), moras[[#This Row],[TIPO_ASEGURAMIENTO]]=""),
    EDA!$A$32,
    moras[[#This Row],[TIPO_ASEGURAMIENTO]]
)</f>
        <v>TRABAJADOR INDEPENDIENTE</v>
      </c>
    </row>
    <row r="358" spans="1:16" x14ac:dyDescent="0.3">
      <c r="A358">
        <v>357</v>
      </c>
      <c r="B358" t="s">
        <v>9</v>
      </c>
      <c r="C358">
        <v>1540950</v>
      </c>
      <c r="D358" t="s">
        <v>17</v>
      </c>
      <c r="E358" t="s">
        <v>16</v>
      </c>
      <c r="F358" t="s">
        <v>12</v>
      </c>
      <c r="G358" t="s">
        <v>12</v>
      </c>
      <c r="H358" t="s">
        <v>13</v>
      </c>
      <c r="I358">
        <v>63</v>
      </c>
      <c r="J358">
        <f>ABS((I358-EDA!$A$15)/EDA!$B$15)</f>
        <v>1.4835222444786049</v>
      </c>
      <c r="K358" t="str">
        <f t="shared" si="5"/>
        <v>No</v>
      </c>
      <c r="L358">
        <f>ABS((C358-EDA!$F$15)/EDA!$G$15)</f>
        <v>0.35001147643241787</v>
      </c>
      <c r="M358" t="str">
        <f>IF(moras[[#This Row],[Z-Score Salario]]&gt;1.96, "Sí", "No")</f>
        <v>No</v>
      </c>
      <c r="N358" s="14">
        <f>IF(ISBLANK(moras[[#This Row],[SALARIO]]), EDA!$M$8, moras[[#This Row],[SALARIO]])</f>
        <v>1540950</v>
      </c>
      <c r="O358" s="14">
        <f xml:space="preserve"> IF(ISBLANK(moras[[#This Row],[EDAD]]), EDA!$E$8, moras[[#This Row],[EDAD]])</f>
        <v>63</v>
      </c>
      <c r="P358" s="14" t="str">
        <f>IF(
    OR(ISBLANK(moras[[#This Row],[TIPO_ASEGURAMIENTO]]), moras[[#This Row],[TIPO_ASEGURAMIENTO]]=""),
    EDA!$A$32,
    moras[[#This Row],[TIPO_ASEGURAMIENTO]]
)</f>
        <v>ASEGURADO VOLUNTARIO</v>
      </c>
    </row>
    <row r="359" spans="1:16" x14ac:dyDescent="0.3">
      <c r="A359">
        <v>358</v>
      </c>
      <c r="B359" t="s">
        <v>15</v>
      </c>
      <c r="C359">
        <v>416150</v>
      </c>
      <c r="D359" t="s">
        <v>10</v>
      </c>
      <c r="E359" t="s">
        <v>16</v>
      </c>
      <c r="F359" t="s">
        <v>12</v>
      </c>
      <c r="G359" t="s">
        <v>12</v>
      </c>
      <c r="H359" t="s">
        <v>13</v>
      </c>
      <c r="I359">
        <v>30</v>
      </c>
      <c r="J359">
        <f>ABS((I359-EDA!$A$15)/EDA!$B$15)</f>
        <v>0.84546364806693275</v>
      </c>
      <c r="K359" t="str">
        <f t="shared" si="5"/>
        <v>No</v>
      </c>
      <c r="L359">
        <f>ABS((C359-EDA!$F$15)/EDA!$G$15)</f>
        <v>0.36872894244245724</v>
      </c>
      <c r="M359" t="str">
        <f>IF(moras[[#This Row],[Z-Score Salario]]&gt;1.96, "Sí", "No")</f>
        <v>No</v>
      </c>
      <c r="N359" s="14">
        <f>IF(ISBLANK(moras[[#This Row],[SALARIO]]), EDA!$M$8, moras[[#This Row],[SALARIO]])</f>
        <v>416150</v>
      </c>
      <c r="O359" s="14">
        <f xml:space="preserve"> IF(ISBLANK(moras[[#This Row],[EDAD]]), EDA!$E$8, moras[[#This Row],[EDAD]])</f>
        <v>30</v>
      </c>
      <c r="P359" s="14" t="str">
        <f>IF(
    OR(ISBLANK(moras[[#This Row],[TIPO_ASEGURAMIENTO]]), moras[[#This Row],[TIPO_ASEGURAMIENTO]]=""),
    EDA!$A$32,
    moras[[#This Row],[TIPO_ASEGURAMIENTO]]
)</f>
        <v>ASALARIADO</v>
      </c>
    </row>
    <row r="360" spans="1:16" x14ac:dyDescent="0.3">
      <c r="A360">
        <v>359</v>
      </c>
      <c r="B360" t="s">
        <v>9</v>
      </c>
      <c r="C360">
        <v>400353</v>
      </c>
      <c r="D360" t="s">
        <v>18</v>
      </c>
      <c r="E360" t="s">
        <v>16</v>
      </c>
      <c r="F360" t="s">
        <v>12</v>
      </c>
      <c r="G360" t="s">
        <v>13</v>
      </c>
      <c r="H360" t="s">
        <v>13</v>
      </c>
      <c r="I360">
        <v>30</v>
      </c>
      <c r="J360">
        <f>ABS((I360-EDA!$A$15)/EDA!$B$15)</f>
        <v>0.84546364806693275</v>
      </c>
      <c r="K360" t="str">
        <f t="shared" si="5"/>
        <v>No</v>
      </c>
      <c r="L360">
        <f>ABS((C360-EDA!$F$15)/EDA!$G$15)</f>
        <v>0.36899181567375222</v>
      </c>
      <c r="M360" t="str">
        <f>IF(moras[[#This Row],[Z-Score Salario]]&gt;1.96, "Sí", "No")</f>
        <v>No</v>
      </c>
      <c r="N360" s="14">
        <f>IF(ISBLANK(moras[[#This Row],[SALARIO]]), EDA!$M$8, moras[[#This Row],[SALARIO]])</f>
        <v>400353</v>
      </c>
      <c r="O360" s="14">
        <f xml:space="preserve"> IF(ISBLANK(moras[[#This Row],[EDAD]]), EDA!$E$8, moras[[#This Row],[EDAD]])</f>
        <v>30</v>
      </c>
      <c r="P360" s="14" t="str">
        <f>IF(
    OR(ISBLANK(moras[[#This Row],[TIPO_ASEGURAMIENTO]]), moras[[#This Row],[TIPO_ASEGURAMIENTO]]=""),
    EDA!$A$32,
    moras[[#This Row],[TIPO_ASEGURAMIENTO]]
)</f>
        <v>TRABAJADOR INDEPENDIENTE</v>
      </c>
    </row>
    <row r="361" spans="1:16" x14ac:dyDescent="0.3">
      <c r="A361">
        <v>360</v>
      </c>
      <c r="B361" t="s">
        <v>9</v>
      </c>
      <c r="C361">
        <v>323296</v>
      </c>
      <c r="D361" t="s">
        <v>18</v>
      </c>
      <c r="E361" t="s">
        <v>16</v>
      </c>
      <c r="F361" t="s">
        <v>12</v>
      </c>
      <c r="G361" t="s">
        <v>12</v>
      </c>
      <c r="H361" t="s">
        <v>12</v>
      </c>
      <c r="I361">
        <v>67</v>
      </c>
      <c r="J361">
        <f>ABS((I361-EDA!$A$15)/EDA!$B$15)</f>
        <v>1.765823564787155</v>
      </c>
      <c r="K361" t="str">
        <f t="shared" si="5"/>
        <v>No</v>
      </c>
      <c r="L361">
        <f>ABS((C361-EDA!$F$15)/EDA!$G$15)</f>
        <v>0.37027409854922838</v>
      </c>
      <c r="M361" t="str">
        <f>IF(moras[[#This Row],[Z-Score Salario]]&gt;1.96, "Sí", "No")</f>
        <v>No</v>
      </c>
      <c r="N361" s="14">
        <f>IF(ISBLANK(moras[[#This Row],[SALARIO]]), EDA!$M$8, moras[[#This Row],[SALARIO]])</f>
        <v>323296</v>
      </c>
      <c r="O361" s="14">
        <f xml:space="preserve"> IF(ISBLANK(moras[[#This Row],[EDAD]]), EDA!$E$8, moras[[#This Row],[EDAD]])</f>
        <v>67</v>
      </c>
      <c r="P361" s="14" t="str">
        <f>IF(
    OR(ISBLANK(moras[[#This Row],[TIPO_ASEGURAMIENTO]]), moras[[#This Row],[TIPO_ASEGURAMIENTO]]=""),
    EDA!$A$32,
    moras[[#This Row],[TIPO_ASEGURAMIENTO]]
)</f>
        <v>TRABAJADOR INDEPENDIENTE</v>
      </c>
    </row>
    <row r="362" spans="1:16" x14ac:dyDescent="0.3">
      <c r="A362">
        <v>361</v>
      </c>
      <c r="B362" t="s">
        <v>15</v>
      </c>
      <c r="C362">
        <v>159000</v>
      </c>
      <c r="D362" t="s">
        <v>10</v>
      </c>
      <c r="E362" t="s">
        <v>16</v>
      </c>
      <c r="F362" t="s">
        <v>12</v>
      </c>
      <c r="G362" t="s">
        <v>13</v>
      </c>
      <c r="H362" t="s">
        <v>13</v>
      </c>
      <c r="I362">
        <v>49</v>
      </c>
      <c r="J362">
        <f>ABS((I362-EDA!$A$15)/EDA!$B$15)</f>
        <v>0.49546762339867978</v>
      </c>
      <c r="K362" t="str">
        <f t="shared" si="5"/>
        <v>No</v>
      </c>
      <c r="L362">
        <f>ABS((C362-EDA!$F$15)/EDA!$G$15)</f>
        <v>0.37300809996777873</v>
      </c>
      <c r="M362" t="str">
        <f>IF(moras[[#This Row],[Z-Score Salario]]&gt;1.96, "Sí", "No")</f>
        <v>No</v>
      </c>
      <c r="N362" s="14">
        <f>IF(ISBLANK(moras[[#This Row],[SALARIO]]), EDA!$M$8, moras[[#This Row],[SALARIO]])</f>
        <v>159000</v>
      </c>
      <c r="O362" s="14">
        <f xml:space="preserve"> IF(ISBLANK(moras[[#This Row],[EDAD]]), EDA!$E$8, moras[[#This Row],[EDAD]])</f>
        <v>49</v>
      </c>
      <c r="P362" s="14" t="str">
        <f>IF(
    OR(ISBLANK(moras[[#This Row],[TIPO_ASEGURAMIENTO]]), moras[[#This Row],[TIPO_ASEGURAMIENTO]]=""),
    EDA!$A$32,
    moras[[#This Row],[TIPO_ASEGURAMIENTO]]
)</f>
        <v>ASALARIADO</v>
      </c>
    </row>
    <row r="363" spans="1:16" x14ac:dyDescent="0.3">
      <c r="A363">
        <v>362</v>
      </c>
      <c r="B363" t="s">
        <v>15</v>
      </c>
      <c r="C363">
        <v>1724286</v>
      </c>
      <c r="D363" t="s">
        <v>10</v>
      </c>
      <c r="E363" t="s">
        <v>16</v>
      </c>
      <c r="F363" t="s">
        <v>12</v>
      </c>
      <c r="G363" t="s">
        <v>13</v>
      </c>
      <c r="H363" t="s">
        <v>13</v>
      </c>
      <c r="I363">
        <v>27</v>
      </c>
      <c r="J363">
        <f>ABS((I363-EDA!$A$15)/EDA!$B$15)</f>
        <v>1.0571896382983452</v>
      </c>
      <c r="K363" t="str">
        <f t="shared" si="5"/>
        <v>No</v>
      </c>
      <c r="L363">
        <f>ABS((C363-EDA!$F$15)/EDA!$G$15)</f>
        <v>0.34696063597329929</v>
      </c>
      <c r="M363" t="str">
        <f>IF(moras[[#This Row],[Z-Score Salario]]&gt;1.96, "Sí", "No")</f>
        <v>No</v>
      </c>
      <c r="N363" s="14">
        <f>IF(ISBLANK(moras[[#This Row],[SALARIO]]), EDA!$M$8, moras[[#This Row],[SALARIO]])</f>
        <v>1724286</v>
      </c>
      <c r="O363" s="14">
        <f xml:space="preserve"> IF(ISBLANK(moras[[#This Row],[EDAD]]), EDA!$E$8, moras[[#This Row],[EDAD]])</f>
        <v>27</v>
      </c>
      <c r="P363" s="14" t="str">
        <f>IF(
    OR(ISBLANK(moras[[#This Row],[TIPO_ASEGURAMIENTO]]), moras[[#This Row],[TIPO_ASEGURAMIENTO]]=""),
    EDA!$A$32,
    moras[[#This Row],[TIPO_ASEGURAMIENTO]]
)</f>
        <v>ASALARIADO</v>
      </c>
    </row>
    <row r="364" spans="1:16" x14ac:dyDescent="0.3">
      <c r="A364">
        <v>363</v>
      </c>
      <c r="B364" t="s">
        <v>15</v>
      </c>
      <c r="C364">
        <v>1331904</v>
      </c>
      <c r="D364" t="s">
        <v>10</v>
      </c>
      <c r="E364" t="s">
        <v>11</v>
      </c>
      <c r="F364" t="s">
        <v>12</v>
      </c>
      <c r="G364" t="s">
        <v>13</v>
      </c>
      <c r="H364" t="s">
        <v>13</v>
      </c>
      <c r="I364">
        <v>42</v>
      </c>
      <c r="J364">
        <f>ABS((I364-EDA!$A$15)/EDA!$B$15)</f>
        <v>1.4403128587172659E-3</v>
      </c>
      <c r="K364" t="str">
        <f t="shared" si="5"/>
        <v>No</v>
      </c>
      <c r="L364">
        <f>ABS((C364-EDA!$F$15)/EDA!$G$15)</f>
        <v>0.35349014944053903</v>
      </c>
      <c r="M364" t="str">
        <f>IF(moras[[#This Row],[Z-Score Salario]]&gt;1.96, "Sí", "No")</f>
        <v>No</v>
      </c>
      <c r="N364" s="14">
        <f>IF(ISBLANK(moras[[#This Row],[SALARIO]]), EDA!$M$8, moras[[#This Row],[SALARIO]])</f>
        <v>1331904</v>
      </c>
      <c r="O364" s="14">
        <f xml:space="preserve"> IF(ISBLANK(moras[[#This Row],[EDAD]]), EDA!$E$8, moras[[#This Row],[EDAD]])</f>
        <v>42</v>
      </c>
      <c r="P364" s="14" t="str">
        <f>IF(
    OR(ISBLANK(moras[[#This Row],[TIPO_ASEGURAMIENTO]]), moras[[#This Row],[TIPO_ASEGURAMIENTO]]=""),
    EDA!$A$32,
    moras[[#This Row],[TIPO_ASEGURAMIENTO]]
)</f>
        <v>ASALARIADO</v>
      </c>
    </row>
    <row r="365" spans="1:16" x14ac:dyDescent="0.3">
      <c r="A365">
        <v>364</v>
      </c>
      <c r="B365" t="s">
        <v>9</v>
      </c>
      <c r="C365">
        <v>339750</v>
      </c>
      <c r="D365" t="s">
        <v>17</v>
      </c>
      <c r="E365" t="s">
        <v>16</v>
      </c>
      <c r="F365" t="s">
        <v>12</v>
      </c>
      <c r="G365" t="s">
        <v>12</v>
      </c>
      <c r="H365" t="s">
        <v>13</v>
      </c>
      <c r="I365">
        <v>30</v>
      </c>
      <c r="J365">
        <f>ABS((I365-EDA!$A$15)/EDA!$B$15)</f>
        <v>0.84546364806693275</v>
      </c>
      <c r="K365" t="str">
        <f t="shared" si="5"/>
        <v>No</v>
      </c>
      <c r="L365">
        <f>ABS((C365-EDA!$F$15)/EDA!$G$15)</f>
        <v>0.37000029237414911</v>
      </c>
      <c r="M365" t="str">
        <f>IF(moras[[#This Row],[Z-Score Salario]]&gt;1.96, "Sí", "No")</f>
        <v>No</v>
      </c>
      <c r="N365" s="14">
        <f>IF(ISBLANK(moras[[#This Row],[SALARIO]]), EDA!$M$8, moras[[#This Row],[SALARIO]])</f>
        <v>339750</v>
      </c>
      <c r="O365" s="14">
        <f xml:space="preserve"> IF(ISBLANK(moras[[#This Row],[EDAD]]), EDA!$E$8, moras[[#This Row],[EDAD]])</f>
        <v>30</v>
      </c>
      <c r="P365" s="14" t="str">
        <f>IF(
    OR(ISBLANK(moras[[#This Row],[TIPO_ASEGURAMIENTO]]), moras[[#This Row],[TIPO_ASEGURAMIENTO]]=""),
    EDA!$A$32,
    moras[[#This Row],[TIPO_ASEGURAMIENTO]]
)</f>
        <v>ASEGURADO VOLUNTARIO</v>
      </c>
    </row>
    <row r="366" spans="1:16" x14ac:dyDescent="0.3">
      <c r="A366">
        <v>365</v>
      </c>
      <c r="B366" t="s">
        <v>9</v>
      </c>
      <c r="C366">
        <v>445567</v>
      </c>
      <c r="D366" t="s">
        <v>18</v>
      </c>
      <c r="E366" t="s">
        <v>16</v>
      </c>
      <c r="F366" t="s">
        <v>12</v>
      </c>
      <c r="G366" t="s">
        <v>13</v>
      </c>
      <c r="H366" t="s">
        <v>12</v>
      </c>
      <c r="I366">
        <v>74</v>
      </c>
      <c r="J366">
        <f>ABS((I366-EDA!$A$15)/EDA!$B$15)</f>
        <v>2.2598508753271176</v>
      </c>
      <c r="K366" t="str">
        <f t="shared" si="5"/>
        <v>Sí</v>
      </c>
      <c r="L366">
        <f>ABS((C366-EDA!$F$15)/EDA!$G$15)</f>
        <v>0.36823942279663813</v>
      </c>
      <c r="M366" t="str">
        <f>IF(moras[[#This Row],[Z-Score Salario]]&gt;1.96, "Sí", "No")</f>
        <v>No</v>
      </c>
      <c r="N366" s="14">
        <f>IF(ISBLANK(moras[[#This Row],[SALARIO]]), EDA!$M$8, moras[[#This Row],[SALARIO]])</f>
        <v>445567</v>
      </c>
      <c r="O366" s="14">
        <f xml:space="preserve"> IF(ISBLANK(moras[[#This Row],[EDAD]]), EDA!$E$8, moras[[#This Row],[EDAD]])</f>
        <v>74</v>
      </c>
      <c r="P366" s="14" t="str">
        <f>IF(
    OR(ISBLANK(moras[[#This Row],[TIPO_ASEGURAMIENTO]]), moras[[#This Row],[TIPO_ASEGURAMIENTO]]=""),
    EDA!$A$32,
    moras[[#This Row],[TIPO_ASEGURAMIENTO]]
)</f>
        <v>TRABAJADOR INDEPENDIENTE</v>
      </c>
    </row>
    <row r="367" spans="1:16" x14ac:dyDescent="0.3">
      <c r="A367">
        <v>366</v>
      </c>
      <c r="B367" t="s">
        <v>9</v>
      </c>
      <c r="C367">
        <v>107612741</v>
      </c>
      <c r="D367" t="s">
        <v>10</v>
      </c>
      <c r="E367" t="s">
        <v>16</v>
      </c>
      <c r="F367" t="s">
        <v>12</v>
      </c>
      <c r="G367" t="s">
        <v>13</v>
      </c>
      <c r="H367" t="s">
        <v>13</v>
      </c>
      <c r="I367">
        <v>48</v>
      </c>
      <c r="J367">
        <f>ABS((I367-EDA!$A$15)/EDA!$B$15)</f>
        <v>0.42489229332154227</v>
      </c>
      <c r="K367" t="str">
        <f t="shared" si="5"/>
        <v>No</v>
      </c>
      <c r="L367">
        <f>ABS((C367-EDA!$F$15)/EDA!$G$15)</f>
        <v>1.4150980031786253</v>
      </c>
      <c r="M367" t="str">
        <f>IF(moras[[#This Row],[Z-Score Salario]]&gt;1.96, "Sí", "No")</f>
        <v>No</v>
      </c>
      <c r="N367" s="14">
        <f>IF(ISBLANK(moras[[#This Row],[SALARIO]]), EDA!$M$8, moras[[#This Row],[SALARIO]])</f>
        <v>107612741</v>
      </c>
      <c r="O367" s="14">
        <f xml:space="preserve"> IF(ISBLANK(moras[[#This Row],[EDAD]]), EDA!$E$8, moras[[#This Row],[EDAD]])</f>
        <v>48</v>
      </c>
      <c r="P367" s="14" t="str">
        <f>IF(
    OR(ISBLANK(moras[[#This Row],[TIPO_ASEGURAMIENTO]]), moras[[#This Row],[TIPO_ASEGURAMIENTO]]=""),
    EDA!$A$32,
    moras[[#This Row],[TIPO_ASEGURAMIENTO]]
)</f>
        <v>ASALARIADO</v>
      </c>
    </row>
    <row r="368" spans="1:16" x14ac:dyDescent="0.3">
      <c r="A368">
        <v>367</v>
      </c>
      <c r="B368" t="s">
        <v>9</v>
      </c>
      <c r="C368">
        <v>59737925</v>
      </c>
      <c r="D368" t="s">
        <v>10</v>
      </c>
      <c r="E368" t="s">
        <v>16</v>
      </c>
      <c r="F368" t="s">
        <v>12</v>
      </c>
      <c r="G368" t="s">
        <v>13</v>
      </c>
      <c r="H368" t="s">
        <v>13</v>
      </c>
      <c r="I368">
        <v>36</v>
      </c>
      <c r="J368">
        <f>ABS((I368-EDA!$A$15)/EDA!$B$15)</f>
        <v>0.42201166760410774</v>
      </c>
      <c r="K368" t="str">
        <f t="shared" si="5"/>
        <v>No</v>
      </c>
      <c r="L368">
        <f>ABS((C368-EDA!$F$15)/EDA!$G$15)</f>
        <v>0.6184272695220735</v>
      </c>
      <c r="M368" t="str">
        <f>IF(moras[[#This Row],[Z-Score Salario]]&gt;1.96, "Sí", "No")</f>
        <v>No</v>
      </c>
      <c r="N368" s="14">
        <f>IF(ISBLANK(moras[[#This Row],[SALARIO]]), EDA!$M$8, moras[[#This Row],[SALARIO]])</f>
        <v>59737925</v>
      </c>
      <c r="O368" s="14">
        <f xml:space="preserve"> IF(ISBLANK(moras[[#This Row],[EDAD]]), EDA!$E$8, moras[[#This Row],[EDAD]])</f>
        <v>36</v>
      </c>
      <c r="P368" s="14" t="str">
        <f>IF(
    OR(ISBLANK(moras[[#This Row],[TIPO_ASEGURAMIENTO]]), moras[[#This Row],[TIPO_ASEGURAMIENTO]]=""),
    EDA!$A$32,
    moras[[#This Row],[TIPO_ASEGURAMIENTO]]
)</f>
        <v>ASALARIADO</v>
      </c>
    </row>
    <row r="369" spans="1:16" x14ac:dyDescent="0.3">
      <c r="A369">
        <v>368</v>
      </c>
      <c r="B369" t="s">
        <v>9</v>
      </c>
      <c r="C369">
        <v>400000</v>
      </c>
      <c r="D369" t="s">
        <v>10</v>
      </c>
      <c r="E369" t="s">
        <v>16</v>
      </c>
      <c r="F369" t="s">
        <v>12</v>
      </c>
      <c r="G369" t="s">
        <v>12</v>
      </c>
      <c r="H369" t="s">
        <v>13</v>
      </c>
      <c r="I369">
        <v>34</v>
      </c>
      <c r="J369">
        <f>ABS((I369-EDA!$A$15)/EDA!$B$15)</f>
        <v>0.56316232775838282</v>
      </c>
      <c r="K369" t="str">
        <f t="shared" si="5"/>
        <v>No</v>
      </c>
      <c r="L369">
        <f>ABS((C369-EDA!$F$15)/EDA!$G$15)</f>
        <v>0.36899768984293924</v>
      </c>
      <c r="M369" t="str">
        <f>IF(moras[[#This Row],[Z-Score Salario]]&gt;1.96, "Sí", "No")</f>
        <v>No</v>
      </c>
      <c r="N369" s="14">
        <f>IF(ISBLANK(moras[[#This Row],[SALARIO]]), EDA!$M$8, moras[[#This Row],[SALARIO]])</f>
        <v>400000</v>
      </c>
      <c r="O369" s="14">
        <f xml:space="preserve"> IF(ISBLANK(moras[[#This Row],[EDAD]]), EDA!$E$8, moras[[#This Row],[EDAD]])</f>
        <v>34</v>
      </c>
      <c r="P369" s="14" t="str">
        <f>IF(
    OR(ISBLANK(moras[[#This Row],[TIPO_ASEGURAMIENTO]]), moras[[#This Row],[TIPO_ASEGURAMIENTO]]=""),
    EDA!$A$32,
    moras[[#This Row],[TIPO_ASEGURAMIENTO]]
)</f>
        <v>ASALARIADO</v>
      </c>
    </row>
    <row r="370" spans="1:16" x14ac:dyDescent="0.3">
      <c r="A370">
        <v>369</v>
      </c>
      <c r="B370" t="s">
        <v>9</v>
      </c>
      <c r="C370">
        <v>10652</v>
      </c>
      <c r="D370" t="s">
        <v>10</v>
      </c>
      <c r="E370" t="s">
        <v>16</v>
      </c>
      <c r="F370" t="s">
        <v>12</v>
      </c>
      <c r="G370" t="s">
        <v>12</v>
      </c>
      <c r="H370" t="s">
        <v>13</v>
      </c>
      <c r="I370">
        <v>42</v>
      </c>
      <c r="J370">
        <f>ABS((I370-EDA!$A$15)/EDA!$B$15)</f>
        <v>1.4403128587172659E-3</v>
      </c>
      <c r="K370" t="str">
        <f t="shared" si="5"/>
        <v>No</v>
      </c>
      <c r="L370">
        <f>ABS((C370-EDA!$F$15)/EDA!$G$15)</f>
        <v>0.37547671540844141</v>
      </c>
      <c r="M370" t="str">
        <f>IF(moras[[#This Row],[Z-Score Salario]]&gt;1.96, "Sí", "No")</f>
        <v>No</v>
      </c>
      <c r="N370" s="14">
        <f>IF(ISBLANK(moras[[#This Row],[SALARIO]]), EDA!$M$8, moras[[#This Row],[SALARIO]])</f>
        <v>10652</v>
      </c>
      <c r="O370" s="14">
        <f xml:space="preserve"> IF(ISBLANK(moras[[#This Row],[EDAD]]), EDA!$E$8, moras[[#This Row],[EDAD]])</f>
        <v>42</v>
      </c>
      <c r="P370" s="14" t="str">
        <f>IF(
    OR(ISBLANK(moras[[#This Row],[TIPO_ASEGURAMIENTO]]), moras[[#This Row],[TIPO_ASEGURAMIENTO]]=""),
    EDA!$A$32,
    moras[[#This Row],[TIPO_ASEGURAMIENTO]]
)</f>
        <v>ASALARIADO</v>
      </c>
    </row>
    <row r="371" spans="1:16" x14ac:dyDescent="0.3">
      <c r="A371">
        <v>370</v>
      </c>
      <c r="B371" t="s">
        <v>15</v>
      </c>
      <c r="C371">
        <v>47450998</v>
      </c>
      <c r="D371" t="s">
        <v>10</v>
      </c>
      <c r="E371" t="s">
        <v>16</v>
      </c>
      <c r="F371" t="s">
        <v>12</v>
      </c>
      <c r="G371" t="s">
        <v>13</v>
      </c>
      <c r="H371" t="s">
        <v>13</v>
      </c>
      <c r="I371">
        <v>28</v>
      </c>
      <c r="J371">
        <f>ABS((I371-EDA!$A$15)/EDA!$B$15)</f>
        <v>0.98661430822120777</v>
      </c>
      <c r="K371" t="str">
        <f t="shared" si="5"/>
        <v>No</v>
      </c>
      <c r="L371">
        <f>ABS((C371-EDA!$F$15)/EDA!$G$15)</f>
        <v>0.41396413075043831</v>
      </c>
      <c r="M371" t="str">
        <f>IF(moras[[#This Row],[Z-Score Salario]]&gt;1.96, "Sí", "No")</f>
        <v>No</v>
      </c>
      <c r="N371" s="14">
        <f>IF(ISBLANK(moras[[#This Row],[SALARIO]]), EDA!$M$8, moras[[#This Row],[SALARIO]])</f>
        <v>47450998</v>
      </c>
      <c r="O371" s="14">
        <f xml:space="preserve"> IF(ISBLANK(moras[[#This Row],[EDAD]]), EDA!$E$8, moras[[#This Row],[EDAD]])</f>
        <v>28</v>
      </c>
      <c r="P371" s="14" t="str">
        <f>IF(
    OR(ISBLANK(moras[[#This Row],[TIPO_ASEGURAMIENTO]]), moras[[#This Row],[TIPO_ASEGURAMIENTO]]=""),
    EDA!$A$32,
    moras[[#This Row],[TIPO_ASEGURAMIENTO]]
)</f>
        <v>ASALARIADO</v>
      </c>
    </row>
    <row r="372" spans="1:16" x14ac:dyDescent="0.3">
      <c r="A372">
        <v>371</v>
      </c>
      <c r="B372" t="s">
        <v>15</v>
      </c>
      <c r="C372">
        <v>305324724</v>
      </c>
      <c r="D372" t="s">
        <v>14</v>
      </c>
      <c r="E372" t="s">
        <v>11</v>
      </c>
      <c r="F372" t="s">
        <v>12</v>
      </c>
      <c r="G372" t="s">
        <v>13</v>
      </c>
      <c r="H372" t="s">
        <v>13</v>
      </c>
      <c r="I372">
        <v>99</v>
      </c>
      <c r="J372">
        <f>ABS((I372-EDA!$A$15)/EDA!$B$15)</f>
        <v>4.0242341272555553</v>
      </c>
      <c r="K372" t="str">
        <f t="shared" si="5"/>
        <v>Sí</v>
      </c>
      <c r="L372">
        <f>ABS((C372-EDA!$F$15)/EDA!$G$15)</f>
        <v>4.7051649675989529</v>
      </c>
      <c r="M372" t="str">
        <f>IF(moras[[#This Row],[Z-Score Salario]]&gt;1.96, "Sí", "No")</f>
        <v>Sí</v>
      </c>
      <c r="N372" s="14">
        <f>IF(ISBLANK(moras[[#This Row],[SALARIO]]), EDA!$M$8, moras[[#This Row],[SALARIO]])</f>
        <v>305324724</v>
      </c>
      <c r="O372" s="14">
        <f xml:space="preserve"> IF(ISBLANK(moras[[#This Row],[EDAD]]), EDA!$E$8, moras[[#This Row],[EDAD]])</f>
        <v>99</v>
      </c>
      <c r="P372" s="14" t="str">
        <f>IF(
    OR(ISBLANK(moras[[#This Row],[TIPO_ASEGURAMIENTO]]), moras[[#This Row],[TIPO_ASEGURAMIENTO]]=""),
    EDA!$A$32,
    moras[[#This Row],[TIPO_ASEGURAMIENTO]]
)</f>
        <v>PENSIONADOS EN SU PROPIO SISTEMA</v>
      </c>
    </row>
    <row r="373" spans="1:16" x14ac:dyDescent="0.3">
      <c r="A373">
        <v>372</v>
      </c>
      <c r="B373" t="s">
        <v>9</v>
      </c>
      <c r="C373">
        <v>123306023</v>
      </c>
      <c r="D373" t="s">
        <v>10</v>
      </c>
      <c r="E373" t="s">
        <v>16</v>
      </c>
      <c r="F373" t="s">
        <v>12</v>
      </c>
      <c r="G373" t="s">
        <v>13</v>
      </c>
      <c r="H373" t="s">
        <v>13</v>
      </c>
      <c r="I373">
        <v>30</v>
      </c>
      <c r="J373">
        <f>ABS((I373-EDA!$A$15)/EDA!$B$15)</f>
        <v>0.84546364806693275</v>
      </c>
      <c r="K373" t="str">
        <f t="shared" si="5"/>
        <v>No</v>
      </c>
      <c r="L373">
        <f>ABS((C373-EDA!$F$15)/EDA!$G$15)</f>
        <v>1.676245293737803</v>
      </c>
      <c r="M373" t="str">
        <f>IF(moras[[#This Row],[Z-Score Salario]]&gt;1.96, "Sí", "No")</f>
        <v>No</v>
      </c>
      <c r="N373" s="14">
        <f>IF(ISBLANK(moras[[#This Row],[SALARIO]]), EDA!$M$8, moras[[#This Row],[SALARIO]])</f>
        <v>123306023</v>
      </c>
      <c r="O373" s="14">
        <f xml:space="preserve"> IF(ISBLANK(moras[[#This Row],[EDAD]]), EDA!$E$8, moras[[#This Row],[EDAD]])</f>
        <v>30</v>
      </c>
      <c r="P373" s="14" t="str">
        <f>IF(
    OR(ISBLANK(moras[[#This Row],[TIPO_ASEGURAMIENTO]]), moras[[#This Row],[TIPO_ASEGURAMIENTO]]=""),
    EDA!$A$32,
    moras[[#This Row],[TIPO_ASEGURAMIENTO]]
)</f>
        <v>ASALARIADO</v>
      </c>
    </row>
    <row r="374" spans="1:16" x14ac:dyDescent="0.3">
      <c r="A374">
        <v>373</v>
      </c>
      <c r="B374" t="s">
        <v>15</v>
      </c>
      <c r="C374">
        <v>52901448</v>
      </c>
      <c r="D374" t="s">
        <v>10</v>
      </c>
      <c r="E374" t="s">
        <v>16</v>
      </c>
      <c r="F374" t="s">
        <v>12</v>
      </c>
      <c r="G374" t="s">
        <v>13</v>
      </c>
      <c r="H374" t="s">
        <v>13</v>
      </c>
      <c r="I374">
        <v>29</v>
      </c>
      <c r="J374">
        <f>ABS((I374-EDA!$A$15)/EDA!$B$15)</f>
        <v>0.91603897814407031</v>
      </c>
      <c r="K374" t="str">
        <f t="shared" si="5"/>
        <v>No</v>
      </c>
      <c r="L374">
        <f>ABS((C374-EDA!$F$15)/EDA!$G$15)</f>
        <v>0.50466346628957348</v>
      </c>
      <c r="M374" t="str">
        <f>IF(moras[[#This Row],[Z-Score Salario]]&gt;1.96, "Sí", "No")</f>
        <v>No</v>
      </c>
      <c r="N374" s="14">
        <f>IF(ISBLANK(moras[[#This Row],[SALARIO]]), EDA!$M$8, moras[[#This Row],[SALARIO]])</f>
        <v>52901448</v>
      </c>
      <c r="O374" s="14">
        <f xml:space="preserve"> IF(ISBLANK(moras[[#This Row],[EDAD]]), EDA!$E$8, moras[[#This Row],[EDAD]])</f>
        <v>29</v>
      </c>
      <c r="P374" s="14" t="str">
        <f>IF(
    OR(ISBLANK(moras[[#This Row],[TIPO_ASEGURAMIENTO]]), moras[[#This Row],[TIPO_ASEGURAMIENTO]]=""),
    EDA!$A$32,
    moras[[#This Row],[TIPO_ASEGURAMIENTO]]
)</f>
        <v>ASALARIADO</v>
      </c>
    </row>
    <row r="375" spans="1:16" x14ac:dyDescent="0.3">
      <c r="A375">
        <v>374</v>
      </c>
      <c r="B375" t="s">
        <v>9</v>
      </c>
      <c r="C375">
        <v>297000</v>
      </c>
      <c r="D375" t="s">
        <v>18</v>
      </c>
      <c r="E375" t="s">
        <v>16</v>
      </c>
      <c r="F375" t="s">
        <v>12</v>
      </c>
      <c r="G375" t="s">
        <v>13</v>
      </c>
      <c r="H375" t="s">
        <v>13</v>
      </c>
      <c r="I375">
        <v>21</v>
      </c>
      <c r="J375">
        <f>ABS((I375-EDA!$A$15)/EDA!$B$15)</f>
        <v>1.4806416187611704</v>
      </c>
      <c r="K375" t="str">
        <f t="shared" si="5"/>
        <v>No</v>
      </c>
      <c r="L375">
        <f>ABS((C375-EDA!$F$15)/EDA!$G$15)</f>
        <v>0.37071168255189557</v>
      </c>
      <c r="M375" t="str">
        <f>IF(moras[[#This Row],[Z-Score Salario]]&gt;1.96, "Sí", "No")</f>
        <v>No</v>
      </c>
      <c r="N375" s="14">
        <f>IF(ISBLANK(moras[[#This Row],[SALARIO]]), EDA!$M$8, moras[[#This Row],[SALARIO]])</f>
        <v>297000</v>
      </c>
      <c r="O375" s="14">
        <f xml:space="preserve"> IF(ISBLANK(moras[[#This Row],[EDAD]]), EDA!$E$8, moras[[#This Row],[EDAD]])</f>
        <v>21</v>
      </c>
      <c r="P375" s="14" t="str">
        <f>IF(
    OR(ISBLANK(moras[[#This Row],[TIPO_ASEGURAMIENTO]]), moras[[#This Row],[TIPO_ASEGURAMIENTO]]=""),
    EDA!$A$32,
    moras[[#This Row],[TIPO_ASEGURAMIENTO]]
)</f>
        <v>TRABAJADOR INDEPENDIENTE</v>
      </c>
    </row>
    <row r="376" spans="1:16" x14ac:dyDescent="0.3">
      <c r="A376">
        <v>375</v>
      </c>
      <c r="B376" t="s">
        <v>9</v>
      </c>
      <c r="C376">
        <v>71145786</v>
      </c>
      <c r="D376" t="s">
        <v>10</v>
      </c>
      <c r="E376" t="s">
        <v>16</v>
      </c>
      <c r="F376" t="s">
        <v>12</v>
      </c>
      <c r="G376" t="s">
        <v>12</v>
      </c>
      <c r="H376" t="s">
        <v>13</v>
      </c>
      <c r="I376">
        <v>44</v>
      </c>
      <c r="J376">
        <f>ABS((I376-EDA!$A$15)/EDA!$B$15)</f>
        <v>0.14259097301299228</v>
      </c>
      <c r="K376" t="str">
        <f t="shared" si="5"/>
        <v>No</v>
      </c>
      <c r="L376">
        <f>ABS((C376-EDA!$F$15)/EDA!$G$15)</f>
        <v>0.80826212951029708</v>
      </c>
      <c r="M376" t="str">
        <f>IF(moras[[#This Row],[Z-Score Salario]]&gt;1.96, "Sí", "No")</f>
        <v>No</v>
      </c>
      <c r="N376" s="14">
        <f>IF(ISBLANK(moras[[#This Row],[SALARIO]]), EDA!$M$8, moras[[#This Row],[SALARIO]])</f>
        <v>71145786</v>
      </c>
      <c r="O376" s="14">
        <f xml:space="preserve"> IF(ISBLANK(moras[[#This Row],[EDAD]]), EDA!$E$8, moras[[#This Row],[EDAD]])</f>
        <v>44</v>
      </c>
      <c r="P376" s="14" t="str">
        <f>IF(
    OR(ISBLANK(moras[[#This Row],[TIPO_ASEGURAMIENTO]]), moras[[#This Row],[TIPO_ASEGURAMIENTO]]=""),
    EDA!$A$32,
    moras[[#This Row],[TIPO_ASEGURAMIENTO]]
)</f>
        <v>ASALARIADO</v>
      </c>
    </row>
    <row r="377" spans="1:16" x14ac:dyDescent="0.3">
      <c r="A377">
        <v>376</v>
      </c>
      <c r="B377" t="s">
        <v>9</v>
      </c>
      <c r="C377">
        <v>7655321</v>
      </c>
      <c r="D377" t="s">
        <v>10</v>
      </c>
      <c r="E377" t="s">
        <v>16</v>
      </c>
      <c r="F377" t="s">
        <v>12</v>
      </c>
      <c r="G377" t="s">
        <v>12</v>
      </c>
      <c r="H377" t="s">
        <v>13</v>
      </c>
      <c r="I377">
        <v>43</v>
      </c>
      <c r="J377">
        <f>ABS((I377-EDA!$A$15)/EDA!$B$15)</f>
        <v>7.2015642935854773E-2</v>
      </c>
      <c r="K377" t="str">
        <f t="shared" si="5"/>
        <v>No</v>
      </c>
      <c r="L377">
        <f>ABS((C377-EDA!$F$15)/EDA!$G$15)</f>
        <v>0.24826402678335091</v>
      </c>
      <c r="M377" t="str">
        <f>IF(moras[[#This Row],[Z-Score Salario]]&gt;1.96, "Sí", "No")</f>
        <v>No</v>
      </c>
      <c r="N377" s="14">
        <f>IF(ISBLANK(moras[[#This Row],[SALARIO]]), EDA!$M$8, moras[[#This Row],[SALARIO]])</f>
        <v>7655321</v>
      </c>
      <c r="O377" s="14">
        <f xml:space="preserve"> IF(ISBLANK(moras[[#This Row],[EDAD]]), EDA!$E$8, moras[[#This Row],[EDAD]])</f>
        <v>43</v>
      </c>
      <c r="P377" s="14" t="str">
        <f>IF(
    OR(ISBLANK(moras[[#This Row],[TIPO_ASEGURAMIENTO]]), moras[[#This Row],[TIPO_ASEGURAMIENTO]]=""),
    EDA!$A$32,
    moras[[#This Row],[TIPO_ASEGURAMIENTO]]
)</f>
        <v>ASALARIADO</v>
      </c>
    </row>
    <row r="378" spans="1:16" x14ac:dyDescent="0.3">
      <c r="A378">
        <v>377</v>
      </c>
      <c r="B378" t="s">
        <v>15</v>
      </c>
      <c r="C378">
        <v>300018</v>
      </c>
      <c r="D378" t="s">
        <v>18</v>
      </c>
      <c r="E378" t="s">
        <v>16</v>
      </c>
      <c r="F378" t="s">
        <v>12</v>
      </c>
      <c r="G378" t="s">
        <v>13</v>
      </c>
      <c r="H378" t="s">
        <v>13</v>
      </c>
      <c r="I378">
        <v>55</v>
      </c>
      <c r="J378">
        <f>ABS((I378-EDA!$A$15)/EDA!$B$15)</f>
        <v>0.91891960386150484</v>
      </c>
      <c r="K378" t="str">
        <f t="shared" si="5"/>
        <v>No</v>
      </c>
      <c r="L378">
        <f>ABS((C378-EDA!$F$15)/EDA!$G$15)</f>
        <v>0.37066146090145252</v>
      </c>
      <c r="M378" t="str">
        <f>IF(moras[[#This Row],[Z-Score Salario]]&gt;1.96, "Sí", "No")</f>
        <v>No</v>
      </c>
      <c r="N378" s="14">
        <f>IF(ISBLANK(moras[[#This Row],[SALARIO]]), EDA!$M$8, moras[[#This Row],[SALARIO]])</f>
        <v>300018</v>
      </c>
      <c r="O378" s="14">
        <f xml:space="preserve"> IF(ISBLANK(moras[[#This Row],[EDAD]]), EDA!$E$8, moras[[#This Row],[EDAD]])</f>
        <v>55</v>
      </c>
      <c r="P378" s="14" t="str">
        <f>IF(
    OR(ISBLANK(moras[[#This Row],[TIPO_ASEGURAMIENTO]]), moras[[#This Row],[TIPO_ASEGURAMIENTO]]=""),
    EDA!$A$32,
    moras[[#This Row],[TIPO_ASEGURAMIENTO]]
)</f>
        <v>TRABAJADOR INDEPENDIENTE</v>
      </c>
    </row>
    <row r="379" spans="1:16" x14ac:dyDescent="0.3">
      <c r="A379">
        <v>378</v>
      </c>
      <c r="B379" t="s">
        <v>9</v>
      </c>
      <c r="C379">
        <v>594092</v>
      </c>
      <c r="D379" t="s">
        <v>18</v>
      </c>
      <c r="E379" t="s">
        <v>16</v>
      </c>
      <c r="F379" t="s">
        <v>12</v>
      </c>
      <c r="G379" t="s">
        <v>13</v>
      </c>
      <c r="H379" t="s">
        <v>12</v>
      </c>
      <c r="I379">
        <v>53</v>
      </c>
      <c r="J379">
        <f>ABS((I379-EDA!$A$15)/EDA!$B$15)</f>
        <v>0.77776894370722982</v>
      </c>
      <c r="K379" t="str">
        <f t="shared" si="5"/>
        <v>No</v>
      </c>
      <c r="L379">
        <f>ABS((C379-EDA!$F$15)/EDA!$G$15)</f>
        <v>0.36576786195102906</v>
      </c>
      <c r="M379" t="str">
        <f>IF(moras[[#This Row],[Z-Score Salario]]&gt;1.96, "Sí", "No")</f>
        <v>No</v>
      </c>
      <c r="N379" s="14">
        <f>IF(ISBLANK(moras[[#This Row],[SALARIO]]), EDA!$M$8, moras[[#This Row],[SALARIO]])</f>
        <v>594092</v>
      </c>
      <c r="O379" s="14">
        <f xml:space="preserve"> IF(ISBLANK(moras[[#This Row],[EDAD]]), EDA!$E$8, moras[[#This Row],[EDAD]])</f>
        <v>53</v>
      </c>
      <c r="P379" s="14" t="str">
        <f>IF(
    OR(ISBLANK(moras[[#This Row],[TIPO_ASEGURAMIENTO]]), moras[[#This Row],[TIPO_ASEGURAMIENTO]]=""),
    EDA!$A$32,
    moras[[#This Row],[TIPO_ASEGURAMIENTO]]
)</f>
        <v>TRABAJADOR INDEPENDIENTE</v>
      </c>
    </row>
    <row r="380" spans="1:16" x14ac:dyDescent="0.3">
      <c r="A380">
        <v>379</v>
      </c>
      <c r="B380" t="s">
        <v>15</v>
      </c>
      <c r="C380">
        <v>94339665</v>
      </c>
      <c r="D380" t="s">
        <v>10</v>
      </c>
      <c r="E380" t="s">
        <v>11</v>
      </c>
      <c r="F380" t="s">
        <v>12</v>
      </c>
      <c r="G380" t="s">
        <v>13</v>
      </c>
      <c r="H380" t="s">
        <v>13</v>
      </c>
      <c r="I380">
        <v>38</v>
      </c>
      <c r="J380">
        <f>ABS((I380-EDA!$A$15)/EDA!$B$15)</f>
        <v>0.28086100744983278</v>
      </c>
      <c r="K380" t="str">
        <f t="shared" si="5"/>
        <v>No</v>
      </c>
      <c r="L380">
        <f>ABS((C380-EDA!$F$15)/EDA!$G$15)</f>
        <v>1.1942246489123829</v>
      </c>
      <c r="M380" t="str">
        <f>IF(moras[[#This Row],[Z-Score Salario]]&gt;1.96, "Sí", "No")</f>
        <v>No</v>
      </c>
      <c r="N380" s="14">
        <f>IF(ISBLANK(moras[[#This Row],[SALARIO]]), EDA!$M$8, moras[[#This Row],[SALARIO]])</f>
        <v>94339665</v>
      </c>
      <c r="O380" s="14">
        <f xml:space="preserve"> IF(ISBLANK(moras[[#This Row],[EDAD]]), EDA!$E$8, moras[[#This Row],[EDAD]])</f>
        <v>38</v>
      </c>
      <c r="P380" s="14" t="str">
        <f>IF(
    OR(ISBLANK(moras[[#This Row],[TIPO_ASEGURAMIENTO]]), moras[[#This Row],[TIPO_ASEGURAMIENTO]]=""),
    EDA!$A$32,
    moras[[#This Row],[TIPO_ASEGURAMIENTO]]
)</f>
        <v>ASALARIADO</v>
      </c>
    </row>
    <row r="381" spans="1:16" x14ac:dyDescent="0.3">
      <c r="A381">
        <v>380</v>
      </c>
      <c r="B381" t="s">
        <v>9</v>
      </c>
      <c r="C381">
        <v>280000</v>
      </c>
      <c r="D381" t="s">
        <v>10</v>
      </c>
      <c r="E381" t="s">
        <v>16</v>
      </c>
      <c r="F381" t="s">
        <v>12</v>
      </c>
      <c r="G381" t="s">
        <v>13</v>
      </c>
      <c r="H381" t="s">
        <v>13</v>
      </c>
      <c r="I381">
        <v>33</v>
      </c>
      <c r="J381">
        <f>ABS((I381-EDA!$A$15)/EDA!$B$15)</f>
        <v>0.63373765783552027</v>
      </c>
      <c r="K381" t="str">
        <f t="shared" si="5"/>
        <v>No</v>
      </c>
      <c r="L381">
        <f>ABS((C381-EDA!$F$15)/EDA!$G$15)</f>
        <v>0.37099457455240292</v>
      </c>
      <c r="M381" t="str">
        <f>IF(moras[[#This Row],[Z-Score Salario]]&gt;1.96, "Sí", "No")</f>
        <v>No</v>
      </c>
      <c r="N381" s="14">
        <f>IF(ISBLANK(moras[[#This Row],[SALARIO]]), EDA!$M$8, moras[[#This Row],[SALARIO]])</f>
        <v>280000</v>
      </c>
      <c r="O381" s="14">
        <f xml:space="preserve"> IF(ISBLANK(moras[[#This Row],[EDAD]]), EDA!$E$8, moras[[#This Row],[EDAD]])</f>
        <v>33</v>
      </c>
      <c r="P381" s="14" t="str">
        <f>IF(
    OR(ISBLANK(moras[[#This Row],[TIPO_ASEGURAMIENTO]]), moras[[#This Row],[TIPO_ASEGURAMIENTO]]=""),
    EDA!$A$32,
    moras[[#This Row],[TIPO_ASEGURAMIENTO]]
)</f>
        <v>ASALARIADO</v>
      </c>
    </row>
    <row r="382" spans="1:16" x14ac:dyDescent="0.3">
      <c r="A382">
        <v>381</v>
      </c>
      <c r="B382" t="s">
        <v>9</v>
      </c>
      <c r="C382">
        <v>14141305</v>
      </c>
      <c r="D382" t="s">
        <v>10</v>
      </c>
      <c r="E382" t="s">
        <v>11</v>
      </c>
      <c r="F382" t="s">
        <v>12</v>
      </c>
      <c r="G382" t="s">
        <v>13</v>
      </c>
      <c r="H382" t="s">
        <v>13</v>
      </c>
      <c r="I382">
        <v>34</v>
      </c>
      <c r="J382">
        <f>ABS((I382-EDA!$A$15)/EDA!$B$15)</f>
        <v>0.56316232775838282</v>
      </c>
      <c r="K382" t="str">
        <f t="shared" si="5"/>
        <v>No</v>
      </c>
      <c r="L382">
        <f>ABS((C382-EDA!$F$15)/EDA!$G$15)</f>
        <v>0.14033267448813461</v>
      </c>
      <c r="M382" t="str">
        <f>IF(moras[[#This Row],[Z-Score Salario]]&gt;1.96, "Sí", "No")</f>
        <v>No</v>
      </c>
      <c r="N382" s="14">
        <f>IF(ISBLANK(moras[[#This Row],[SALARIO]]), EDA!$M$8, moras[[#This Row],[SALARIO]])</f>
        <v>14141305</v>
      </c>
      <c r="O382" s="14">
        <f xml:space="preserve"> IF(ISBLANK(moras[[#This Row],[EDAD]]), EDA!$E$8, moras[[#This Row],[EDAD]])</f>
        <v>34</v>
      </c>
      <c r="P382" s="14" t="str">
        <f>IF(
    OR(ISBLANK(moras[[#This Row],[TIPO_ASEGURAMIENTO]]), moras[[#This Row],[TIPO_ASEGURAMIENTO]]=""),
    EDA!$A$32,
    moras[[#This Row],[TIPO_ASEGURAMIENTO]]
)</f>
        <v>ASALARIADO</v>
      </c>
    </row>
    <row r="383" spans="1:16" x14ac:dyDescent="0.3">
      <c r="A383">
        <v>382</v>
      </c>
      <c r="B383" t="s">
        <v>15</v>
      </c>
      <c r="C383">
        <v>300018</v>
      </c>
      <c r="D383" t="s">
        <v>18</v>
      </c>
      <c r="E383" t="s">
        <v>16</v>
      </c>
      <c r="F383" t="s">
        <v>12</v>
      </c>
      <c r="G383" t="s">
        <v>13</v>
      </c>
      <c r="H383" t="s">
        <v>12</v>
      </c>
      <c r="I383">
        <v>32</v>
      </c>
      <c r="J383">
        <f>ABS((I383-EDA!$A$15)/EDA!$B$15)</f>
        <v>0.70431298791265773</v>
      </c>
      <c r="K383" t="str">
        <f t="shared" si="5"/>
        <v>No</v>
      </c>
      <c r="L383">
        <f>ABS((C383-EDA!$F$15)/EDA!$G$15)</f>
        <v>0.37066146090145252</v>
      </c>
      <c r="M383" t="str">
        <f>IF(moras[[#This Row],[Z-Score Salario]]&gt;1.96, "Sí", "No")</f>
        <v>No</v>
      </c>
      <c r="N383" s="14">
        <f>IF(ISBLANK(moras[[#This Row],[SALARIO]]), EDA!$M$8, moras[[#This Row],[SALARIO]])</f>
        <v>300018</v>
      </c>
      <c r="O383" s="14">
        <f xml:space="preserve"> IF(ISBLANK(moras[[#This Row],[EDAD]]), EDA!$E$8, moras[[#This Row],[EDAD]])</f>
        <v>32</v>
      </c>
      <c r="P383" s="14" t="str">
        <f>IF(
    OR(ISBLANK(moras[[#This Row],[TIPO_ASEGURAMIENTO]]), moras[[#This Row],[TIPO_ASEGURAMIENTO]]=""),
    EDA!$A$32,
    moras[[#This Row],[TIPO_ASEGURAMIENTO]]
)</f>
        <v>TRABAJADOR INDEPENDIENTE</v>
      </c>
    </row>
    <row r="384" spans="1:16" x14ac:dyDescent="0.3">
      <c r="A384">
        <v>383</v>
      </c>
      <c r="B384" t="s">
        <v>9</v>
      </c>
      <c r="C384">
        <v>69550819</v>
      </c>
      <c r="D384" t="s">
        <v>10</v>
      </c>
      <c r="E384" t="s">
        <v>16</v>
      </c>
      <c r="F384" t="s">
        <v>12</v>
      </c>
      <c r="G384" t="s">
        <v>13</v>
      </c>
      <c r="H384" t="s">
        <v>13</v>
      </c>
      <c r="I384">
        <v>36</v>
      </c>
      <c r="J384">
        <f>ABS((I384-EDA!$A$15)/EDA!$B$15)</f>
        <v>0.42201166760410774</v>
      </c>
      <c r="K384" t="str">
        <f t="shared" si="5"/>
        <v>No</v>
      </c>
      <c r="L384">
        <f>ABS((C384-EDA!$F$15)/EDA!$G$15)</f>
        <v>0.78172075272363761</v>
      </c>
      <c r="M384" t="str">
        <f>IF(moras[[#This Row],[Z-Score Salario]]&gt;1.96, "Sí", "No")</f>
        <v>No</v>
      </c>
      <c r="N384" s="14">
        <f>IF(ISBLANK(moras[[#This Row],[SALARIO]]), EDA!$M$8, moras[[#This Row],[SALARIO]])</f>
        <v>69550819</v>
      </c>
      <c r="O384" s="14">
        <f xml:space="preserve"> IF(ISBLANK(moras[[#This Row],[EDAD]]), EDA!$E$8, moras[[#This Row],[EDAD]])</f>
        <v>36</v>
      </c>
      <c r="P384" s="14" t="str">
        <f>IF(
    OR(ISBLANK(moras[[#This Row],[TIPO_ASEGURAMIENTO]]), moras[[#This Row],[TIPO_ASEGURAMIENTO]]=""),
    EDA!$A$32,
    moras[[#This Row],[TIPO_ASEGURAMIENTO]]
)</f>
        <v>ASALARIADO</v>
      </c>
    </row>
    <row r="385" spans="1:16" x14ac:dyDescent="0.3">
      <c r="A385">
        <v>384</v>
      </c>
      <c r="B385" t="s">
        <v>9</v>
      </c>
      <c r="C385">
        <v>343811</v>
      </c>
      <c r="D385" t="s">
        <v>18</v>
      </c>
      <c r="E385" t="s">
        <v>16</v>
      </c>
      <c r="F385" t="s">
        <v>12</v>
      </c>
      <c r="G385" t="s">
        <v>13</v>
      </c>
      <c r="H385" t="s">
        <v>13</v>
      </c>
      <c r="I385">
        <v>64</v>
      </c>
      <c r="J385">
        <f>ABS((I385-EDA!$A$15)/EDA!$B$15)</f>
        <v>1.5540975745557424</v>
      </c>
      <c r="K385" t="str">
        <f t="shared" si="5"/>
        <v>No</v>
      </c>
      <c r="L385">
        <f>ABS((C385-EDA!$F$15)/EDA!$G$15)</f>
        <v>0.36993271446743969</v>
      </c>
      <c r="M385" t="str">
        <f>IF(moras[[#This Row],[Z-Score Salario]]&gt;1.96, "Sí", "No")</f>
        <v>No</v>
      </c>
      <c r="N385" s="14">
        <f>IF(ISBLANK(moras[[#This Row],[SALARIO]]), EDA!$M$8, moras[[#This Row],[SALARIO]])</f>
        <v>343811</v>
      </c>
      <c r="O385" s="14">
        <f xml:space="preserve"> IF(ISBLANK(moras[[#This Row],[EDAD]]), EDA!$E$8, moras[[#This Row],[EDAD]])</f>
        <v>64</v>
      </c>
      <c r="P385" s="14" t="str">
        <f>IF(
    OR(ISBLANK(moras[[#This Row],[TIPO_ASEGURAMIENTO]]), moras[[#This Row],[TIPO_ASEGURAMIENTO]]=""),
    EDA!$A$32,
    moras[[#This Row],[TIPO_ASEGURAMIENTO]]
)</f>
        <v>TRABAJADOR INDEPENDIENTE</v>
      </c>
    </row>
    <row r="386" spans="1:16" x14ac:dyDescent="0.3">
      <c r="A386">
        <v>385</v>
      </c>
      <c r="B386" t="s">
        <v>9</v>
      </c>
      <c r="C386">
        <v>356858</v>
      </c>
      <c r="D386" t="s">
        <v>18</v>
      </c>
      <c r="E386" t="s">
        <v>16</v>
      </c>
      <c r="F386" t="s">
        <v>12</v>
      </c>
      <c r="G386" t="s">
        <v>13</v>
      </c>
      <c r="H386" t="s">
        <v>13</v>
      </c>
      <c r="I386">
        <v>57</v>
      </c>
      <c r="J386">
        <f>ABS((I386-EDA!$A$15)/EDA!$B$15)</f>
        <v>1.0600702640157798</v>
      </c>
      <c r="K386" t="str">
        <f t="shared" ref="K386:K449" si="6">IF(J386 &gt;  1.96, "Sí","No")</f>
        <v>No</v>
      </c>
      <c r="L386">
        <f>ABS((C386-EDA!$F$15)/EDA!$G$15)</f>
        <v>0.36971560317740326</v>
      </c>
      <c r="M386" t="str">
        <f>IF(moras[[#This Row],[Z-Score Salario]]&gt;1.96, "Sí", "No")</f>
        <v>No</v>
      </c>
      <c r="N386" s="14">
        <f>IF(ISBLANK(moras[[#This Row],[SALARIO]]), EDA!$M$8, moras[[#This Row],[SALARIO]])</f>
        <v>356858</v>
      </c>
      <c r="O386" s="14">
        <f xml:space="preserve"> IF(ISBLANK(moras[[#This Row],[EDAD]]), EDA!$E$8, moras[[#This Row],[EDAD]])</f>
        <v>57</v>
      </c>
      <c r="P386" s="14" t="str">
        <f>IF(
    OR(ISBLANK(moras[[#This Row],[TIPO_ASEGURAMIENTO]]), moras[[#This Row],[TIPO_ASEGURAMIENTO]]=""),
    EDA!$A$32,
    moras[[#This Row],[TIPO_ASEGURAMIENTO]]
)</f>
        <v>TRABAJADOR INDEPENDIENTE</v>
      </c>
    </row>
    <row r="387" spans="1:16" x14ac:dyDescent="0.3">
      <c r="A387">
        <v>386</v>
      </c>
      <c r="B387" t="s">
        <v>15</v>
      </c>
      <c r="C387">
        <v>131492486</v>
      </c>
      <c r="D387" t="s">
        <v>10</v>
      </c>
      <c r="E387" t="s">
        <v>16</v>
      </c>
      <c r="F387" t="s">
        <v>12</v>
      </c>
      <c r="G387" t="s">
        <v>13</v>
      </c>
      <c r="H387" t="s">
        <v>13</v>
      </c>
      <c r="I387">
        <v>37</v>
      </c>
      <c r="J387">
        <f>ABS((I387-EDA!$A$15)/EDA!$B$15)</f>
        <v>0.35143633752697023</v>
      </c>
      <c r="K387" t="str">
        <f t="shared" si="6"/>
        <v>No</v>
      </c>
      <c r="L387">
        <f>ABS((C387-EDA!$F$15)/EDA!$G$15)</f>
        <v>1.8124738169818864</v>
      </c>
      <c r="M387" t="str">
        <f>IF(moras[[#This Row],[Z-Score Salario]]&gt;1.96, "Sí", "No")</f>
        <v>No</v>
      </c>
      <c r="N387" s="14">
        <f>IF(ISBLANK(moras[[#This Row],[SALARIO]]), EDA!$M$8, moras[[#This Row],[SALARIO]])</f>
        <v>131492486</v>
      </c>
      <c r="O387" s="14">
        <f xml:space="preserve"> IF(ISBLANK(moras[[#This Row],[EDAD]]), EDA!$E$8, moras[[#This Row],[EDAD]])</f>
        <v>37</v>
      </c>
      <c r="P387" s="14" t="str">
        <f>IF(
    OR(ISBLANK(moras[[#This Row],[TIPO_ASEGURAMIENTO]]), moras[[#This Row],[TIPO_ASEGURAMIENTO]]=""),
    EDA!$A$32,
    moras[[#This Row],[TIPO_ASEGURAMIENTO]]
)</f>
        <v>ASALARIADO</v>
      </c>
    </row>
    <row r="388" spans="1:16" x14ac:dyDescent="0.3">
      <c r="A388">
        <v>387</v>
      </c>
      <c r="B388" t="s">
        <v>9</v>
      </c>
      <c r="C388">
        <v>65287258</v>
      </c>
      <c r="D388" t="s">
        <v>10</v>
      </c>
      <c r="E388" t="s">
        <v>16</v>
      </c>
      <c r="F388" t="s">
        <v>12</v>
      </c>
      <c r="G388" t="s">
        <v>12</v>
      </c>
      <c r="H388" t="s">
        <v>13</v>
      </c>
      <c r="I388">
        <v>54</v>
      </c>
      <c r="J388">
        <f>ABS((I388-EDA!$A$15)/EDA!$B$15)</f>
        <v>0.84834427378436728</v>
      </c>
      <c r="K388" t="str">
        <f t="shared" si="6"/>
        <v>No</v>
      </c>
      <c r="L388">
        <f>ABS((C388-EDA!$F$15)/EDA!$G$15)</f>
        <v>0.71077208798392433</v>
      </c>
      <c r="M388" t="str">
        <f>IF(moras[[#This Row],[Z-Score Salario]]&gt;1.96, "Sí", "No")</f>
        <v>No</v>
      </c>
      <c r="N388" s="14">
        <f>IF(ISBLANK(moras[[#This Row],[SALARIO]]), EDA!$M$8, moras[[#This Row],[SALARIO]])</f>
        <v>65287258</v>
      </c>
      <c r="O388" s="14">
        <f xml:space="preserve"> IF(ISBLANK(moras[[#This Row],[EDAD]]), EDA!$E$8, moras[[#This Row],[EDAD]])</f>
        <v>54</v>
      </c>
      <c r="P388" s="14" t="str">
        <f>IF(
    OR(ISBLANK(moras[[#This Row],[TIPO_ASEGURAMIENTO]]), moras[[#This Row],[TIPO_ASEGURAMIENTO]]=""),
    EDA!$A$32,
    moras[[#This Row],[TIPO_ASEGURAMIENTO]]
)</f>
        <v>ASALARIADO</v>
      </c>
    </row>
    <row r="389" spans="1:16" x14ac:dyDescent="0.3">
      <c r="A389">
        <v>388</v>
      </c>
      <c r="B389" t="s">
        <v>9</v>
      </c>
      <c r="C389">
        <v>297045</v>
      </c>
      <c r="D389" t="s">
        <v>17</v>
      </c>
      <c r="E389" t="s">
        <v>16</v>
      </c>
      <c r="F389" t="s">
        <v>12</v>
      </c>
      <c r="G389" t="s">
        <v>13</v>
      </c>
      <c r="H389" t="s">
        <v>13</v>
      </c>
      <c r="I389">
        <v>44</v>
      </c>
      <c r="J389">
        <f>ABS((I389-EDA!$A$15)/EDA!$B$15)</f>
        <v>0.14259097301299228</v>
      </c>
      <c r="K389" t="str">
        <f t="shared" si="6"/>
        <v>No</v>
      </c>
      <c r="L389">
        <f>ABS((C389-EDA!$F$15)/EDA!$G$15)</f>
        <v>0.37071093372012948</v>
      </c>
      <c r="M389" t="str">
        <f>IF(moras[[#This Row],[Z-Score Salario]]&gt;1.96, "Sí", "No")</f>
        <v>No</v>
      </c>
      <c r="N389" s="14">
        <f>IF(ISBLANK(moras[[#This Row],[SALARIO]]), EDA!$M$8, moras[[#This Row],[SALARIO]])</f>
        <v>297045</v>
      </c>
      <c r="O389" s="14">
        <f xml:space="preserve"> IF(ISBLANK(moras[[#This Row],[EDAD]]), EDA!$E$8, moras[[#This Row],[EDAD]])</f>
        <v>44</v>
      </c>
      <c r="P389" s="14" t="str">
        <f>IF(
    OR(ISBLANK(moras[[#This Row],[TIPO_ASEGURAMIENTO]]), moras[[#This Row],[TIPO_ASEGURAMIENTO]]=""),
    EDA!$A$32,
    moras[[#This Row],[TIPO_ASEGURAMIENTO]]
)</f>
        <v>ASEGURADO VOLUNTARIO</v>
      </c>
    </row>
    <row r="390" spans="1:16" x14ac:dyDescent="0.3">
      <c r="A390">
        <v>389</v>
      </c>
      <c r="B390" t="s">
        <v>9</v>
      </c>
      <c r="C390">
        <v>4633137</v>
      </c>
      <c r="D390" t="s">
        <v>10</v>
      </c>
      <c r="E390" t="s">
        <v>11</v>
      </c>
      <c r="F390" t="s">
        <v>12</v>
      </c>
      <c r="G390" t="s">
        <v>13</v>
      </c>
      <c r="H390" t="s">
        <v>13</v>
      </c>
      <c r="I390">
        <v>36</v>
      </c>
      <c r="J390">
        <f>ABS((I390-EDA!$A$15)/EDA!$B$15)</f>
        <v>0.42201166760410774</v>
      </c>
      <c r="K390" t="str">
        <f t="shared" si="6"/>
        <v>No</v>
      </c>
      <c r="L390">
        <f>ABS((C390-EDA!$F$15)/EDA!$G$15)</f>
        <v>0.2985553019398986</v>
      </c>
      <c r="M390" t="str">
        <f>IF(moras[[#This Row],[Z-Score Salario]]&gt;1.96, "Sí", "No")</f>
        <v>No</v>
      </c>
      <c r="N390" s="14">
        <f>IF(ISBLANK(moras[[#This Row],[SALARIO]]), EDA!$M$8, moras[[#This Row],[SALARIO]])</f>
        <v>4633137</v>
      </c>
      <c r="O390" s="14">
        <f xml:space="preserve"> IF(ISBLANK(moras[[#This Row],[EDAD]]), EDA!$E$8, moras[[#This Row],[EDAD]])</f>
        <v>36</v>
      </c>
      <c r="P390" s="14" t="str">
        <f>IF(
    OR(ISBLANK(moras[[#This Row],[TIPO_ASEGURAMIENTO]]), moras[[#This Row],[TIPO_ASEGURAMIENTO]]=""),
    EDA!$A$32,
    moras[[#This Row],[TIPO_ASEGURAMIENTO]]
)</f>
        <v>ASALARIADO</v>
      </c>
    </row>
    <row r="391" spans="1:16" x14ac:dyDescent="0.3">
      <c r="A391">
        <v>390</v>
      </c>
      <c r="B391" t="s">
        <v>15</v>
      </c>
      <c r="C391">
        <v>144000</v>
      </c>
      <c r="D391" t="s">
        <v>10</v>
      </c>
      <c r="E391" t="s">
        <v>16</v>
      </c>
      <c r="F391" t="s">
        <v>12</v>
      </c>
      <c r="G391" t="s">
        <v>13</v>
      </c>
      <c r="H391" t="s">
        <v>13</v>
      </c>
      <c r="I391">
        <v>20</v>
      </c>
      <c r="J391">
        <f>ABS((I391-EDA!$A$15)/EDA!$B$15)</f>
        <v>1.5512169488383079</v>
      </c>
      <c r="K391" t="str">
        <f t="shared" si="6"/>
        <v>No</v>
      </c>
      <c r="L391">
        <f>ABS((C391-EDA!$F$15)/EDA!$G$15)</f>
        <v>0.37325771055646173</v>
      </c>
      <c r="M391" t="str">
        <f>IF(moras[[#This Row],[Z-Score Salario]]&gt;1.96, "Sí", "No")</f>
        <v>No</v>
      </c>
      <c r="N391" s="14">
        <f>IF(ISBLANK(moras[[#This Row],[SALARIO]]), EDA!$M$8, moras[[#This Row],[SALARIO]])</f>
        <v>144000</v>
      </c>
      <c r="O391" s="14">
        <f xml:space="preserve"> IF(ISBLANK(moras[[#This Row],[EDAD]]), EDA!$E$8, moras[[#This Row],[EDAD]])</f>
        <v>20</v>
      </c>
      <c r="P391" s="14" t="str">
        <f>IF(
    OR(ISBLANK(moras[[#This Row],[TIPO_ASEGURAMIENTO]]), moras[[#This Row],[TIPO_ASEGURAMIENTO]]=""),
    EDA!$A$32,
    moras[[#This Row],[TIPO_ASEGURAMIENTO]]
)</f>
        <v>ASALARIADO</v>
      </c>
    </row>
    <row r="392" spans="1:16" x14ac:dyDescent="0.3">
      <c r="A392">
        <v>391</v>
      </c>
      <c r="B392" t="s">
        <v>9</v>
      </c>
      <c r="C392">
        <v>610513</v>
      </c>
      <c r="D392" t="s">
        <v>18</v>
      </c>
      <c r="E392" t="s">
        <v>16</v>
      </c>
      <c r="F392" t="s">
        <v>12</v>
      </c>
      <c r="G392" t="s">
        <v>13</v>
      </c>
      <c r="H392" t="s">
        <v>12</v>
      </c>
      <c r="I392">
        <v>34</v>
      </c>
      <c r="J392">
        <f>ABS((I392-EDA!$A$15)/EDA!$B$15)</f>
        <v>0.56316232775838282</v>
      </c>
      <c r="K392" t="str">
        <f t="shared" si="6"/>
        <v>No</v>
      </c>
      <c r="L392">
        <f>ABS((C392-EDA!$F$15)/EDA!$G$15)</f>
        <v>0.36549460491924485</v>
      </c>
      <c r="M392" t="str">
        <f>IF(moras[[#This Row],[Z-Score Salario]]&gt;1.96, "Sí", "No")</f>
        <v>No</v>
      </c>
      <c r="N392" s="14">
        <f>IF(ISBLANK(moras[[#This Row],[SALARIO]]), EDA!$M$8, moras[[#This Row],[SALARIO]])</f>
        <v>610513</v>
      </c>
      <c r="O392" s="14">
        <f xml:space="preserve"> IF(ISBLANK(moras[[#This Row],[EDAD]]), EDA!$E$8, moras[[#This Row],[EDAD]])</f>
        <v>34</v>
      </c>
      <c r="P392" s="14" t="str">
        <f>IF(
    OR(ISBLANK(moras[[#This Row],[TIPO_ASEGURAMIENTO]]), moras[[#This Row],[TIPO_ASEGURAMIENTO]]=""),
    EDA!$A$32,
    moras[[#This Row],[TIPO_ASEGURAMIENTO]]
)</f>
        <v>TRABAJADOR INDEPENDIENTE</v>
      </c>
    </row>
    <row r="393" spans="1:16" x14ac:dyDescent="0.3">
      <c r="A393">
        <v>392</v>
      </c>
      <c r="B393" t="s">
        <v>15</v>
      </c>
      <c r="C393">
        <v>950292</v>
      </c>
      <c r="D393" t="s">
        <v>10</v>
      </c>
      <c r="E393" t="s">
        <v>16</v>
      </c>
      <c r="F393" t="s">
        <v>12</v>
      </c>
      <c r="G393" t="s">
        <v>13</v>
      </c>
      <c r="H393" t="s">
        <v>13</v>
      </c>
      <c r="I393">
        <v>38</v>
      </c>
      <c r="J393">
        <f>ABS((I393-EDA!$A$15)/EDA!$B$15)</f>
        <v>0.28086100744983278</v>
      </c>
      <c r="K393" t="str">
        <f t="shared" si="6"/>
        <v>No</v>
      </c>
      <c r="L393">
        <f>ABS((C393-EDA!$F$15)/EDA!$G$15)</f>
        <v>0.35984044250510444</v>
      </c>
      <c r="M393" t="str">
        <f>IF(moras[[#This Row],[Z-Score Salario]]&gt;1.96, "Sí", "No")</f>
        <v>No</v>
      </c>
      <c r="N393" s="14">
        <f>IF(ISBLANK(moras[[#This Row],[SALARIO]]), EDA!$M$8, moras[[#This Row],[SALARIO]])</f>
        <v>950292</v>
      </c>
      <c r="O393" s="14">
        <f xml:space="preserve"> IF(ISBLANK(moras[[#This Row],[EDAD]]), EDA!$E$8, moras[[#This Row],[EDAD]])</f>
        <v>38</v>
      </c>
      <c r="P393" s="14" t="str">
        <f>IF(
    OR(ISBLANK(moras[[#This Row],[TIPO_ASEGURAMIENTO]]), moras[[#This Row],[TIPO_ASEGURAMIENTO]]=""),
    EDA!$A$32,
    moras[[#This Row],[TIPO_ASEGURAMIENTO]]
)</f>
        <v>ASALARIADO</v>
      </c>
    </row>
    <row r="394" spans="1:16" x14ac:dyDescent="0.3">
      <c r="A394">
        <v>393</v>
      </c>
      <c r="B394" t="s">
        <v>9</v>
      </c>
      <c r="C394">
        <v>798210</v>
      </c>
      <c r="D394" t="s">
        <v>10</v>
      </c>
      <c r="E394" t="s">
        <v>11</v>
      </c>
      <c r="F394" t="s">
        <v>12</v>
      </c>
      <c r="G394" t="s">
        <v>13</v>
      </c>
      <c r="H394" t="s">
        <v>13</v>
      </c>
      <c r="I394">
        <v>39</v>
      </c>
      <c r="J394">
        <f>ABS((I394-EDA!$A$15)/EDA!$B$15)</f>
        <v>0.21028567737269524</v>
      </c>
      <c r="K394" t="str">
        <f t="shared" si="6"/>
        <v>No</v>
      </c>
      <c r="L394">
        <f>ABS((C394-EDA!$F$15)/EDA!$G$15)</f>
        <v>0.36237119434164322</v>
      </c>
      <c r="M394" t="str">
        <f>IF(moras[[#This Row],[Z-Score Salario]]&gt;1.96, "Sí", "No")</f>
        <v>No</v>
      </c>
      <c r="N394" s="14">
        <f>IF(ISBLANK(moras[[#This Row],[SALARIO]]), EDA!$M$8, moras[[#This Row],[SALARIO]])</f>
        <v>798210</v>
      </c>
      <c r="O394" s="14">
        <f xml:space="preserve"> IF(ISBLANK(moras[[#This Row],[EDAD]]), EDA!$E$8, moras[[#This Row],[EDAD]])</f>
        <v>39</v>
      </c>
      <c r="P394" s="14" t="str">
        <f>IF(
    OR(ISBLANK(moras[[#This Row],[TIPO_ASEGURAMIENTO]]), moras[[#This Row],[TIPO_ASEGURAMIENTO]]=""),
    EDA!$A$32,
    moras[[#This Row],[TIPO_ASEGURAMIENTO]]
)</f>
        <v>ASALARIADO</v>
      </c>
    </row>
    <row r="395" spans="1:16" x14ac:dyDescent="0.3">
      <c r="A395">
        <v>394</v>
      </c>
      <c r="B395" t="s">
        <v>9</v>
      </c>
      <c r="C395">
        <v>783125</v>
      </c>
      <c r="D395" t="s">
        <v>10</v>
      </c>
      <c r="E395" t="s">
        <v>16</v>
      </c>
      <c r="F395" t="s">
        <v>12</v>
      </c>
      <c r="G395" t="s">
        <v>13</v>
      </c>
      <c r="H395" t="s">
        <v>12</v>
      </c>
      <c r="I395">
        <v>32</v>
      </c>
      <c r="J395">
        <f>ABS((I395-EDA!$A$15)/EDA!$B$15)</f>
        <v>0.70431298791265773</v>
      </c>
      <c r="K395" t="str">
        <f t="shared" si="6"/>
        <v>No</v>
      </c>
      <c r="L395">
        <f>ABS((C395-EDA!$F$15)/EDA!$G$15)</f>
        <v>0.36262221939032868</v>
      </c>
      <c r="M395" t="str">
        <f>IF(moras[[#This Row],[Z-Score Salario]]&gt;1.96, "Sí", "No")</f>
        <v>No</v>
      </c>
      <c r="N395" s="14">
        <f>IF(ISBLANK(moras[[#This Row],[SALARIO]]), EDA!$M$8, moras[[#This Row],[SALARIO]])</f>
        <v>783125</v>
      </c>
      <c r="O395" s="14">
        <f xml:space="preserve"> IF(ISBLANK(moras[[#This Row],[EDAD]]), EDA!$E$8, moras[[#This Row],[EDAD]])</f>
        <v>32</v>
      </c>
      <c r="P395" s="14" t="str">
        <f>IF(
    OR(ISBLANK(moras[[#This Row],[TIPO_ASEGURAMIENTO]]), moras[[#This Row],[TIPO_ASEGURAMIENTO]]=""),
    EDA!$A$32,
    moras[[#This Row],[TIPO_ASEGURAMIENTO]]
)</f>
        <v>ASALARIADO</v>
      </c>
    </row>
    <row r="396" spans="1:16" x14ac:dyDescent="0.3">
      <c r="A396">
        <v>395</v>
      </c>
      <c r="B396" t="s">
        <v>9</v>
      </c>
      <c r="C396">
        <v>46655321</v>
      </c>
      <c r="D396" t="s">
        <v>10</v>
      </c>
      <c r="E396" t="s">
        <v>16</v>
      </c>
      <c r="F396" t="s">
        <v>12</v>
      </c>
      <c r="G396" t="s">
        <v>13</v>
      </c>
      <c r="H396" t="s">
        <v>13</v>
      </c>
      <c r="I396">
        <v>36</v>
      </c>
      <c r="J396">
        <f>ABS((I396-EDA!$A$15)/EDA!$B$15)</f>
        <v>0.42201166760410774</v>
      </c>
      <c r="K396" t="str">
        <f t="shared" si="6"/>
        <v>No</v>
      </c>
      <c r="L396">
        <f>ABS((C396-EDA!$F$15)/EDA!$G$15)</f>
        <v>0.40072350379233901</v>
      </c>
      <c r="M396" t="str">
        <f>IF(moras[[#This Row],[Z-Score Salario]]&gt;1.96, "Sí", "No")</f>
        <v>No</v>
      </c>
      <c r="N396" s="14">
        <f>IF(ISBLANK(moras[[#This Row],[SALARIO]]), EDA!$M$8, moras[[#This Row],[SALARIO]])</f>
        <v>46655321</v>
      </c>
      <c r="O396" s="14">
        <f xml:space="preserve"> IF(ISBLANK(moras[[#This Row],[EDAD]]), EDA!$E$8, moras[[#This Row],[EDAD]])</f>
        <v>36</v>
      </c>
      <c r="P396" s="14" t="str">
        <f>IF(
    OR(ISBLANK(moras[[#This Row],[TIPO_ASEGURAMIENTO]]), moras[[#This Row],[TIPO_ASEGURAMIENTO]]=""),
    EDA!$A$32,
    moras[[#This Row],[TIPO_ASEGURAMIENTO]]
)</f>
        <v>ASALARIADO</v>
      </c>
    </row>
    <row r="397" spans="1:16" x14ac:dyDescent="0.3">
      <c r="A397">
        <v>396</v>
      </c>
      <c r="B397" t="s">
        <v>9</v>
      </c>
      <c r="C397">
        <v>14290</v>
      </c>
      <c r="D397" t="s">
        <v>10</v>
      </c>
      <c r="E397" t="s">
        <v>16</v>
      </c>
      <c r="F397" t="s">
        <v>12</v>
      </c>
      <c r="G397" t="s">
        <v>13</v>
      </c>
      <c r="H397" t="s">
        <v>13</v>
      </c>
      <c r="I397">
        <v>57</v>
      </c>
      <c r="J397">
        <f>ABS((I397-EDA!$A$15)/EDA!$B$15)</f>
        <v>1.0600702640157798</v>
      </c>
      <c r="K397" t="str">
        <f t="shared" si="6"/>
        <v>No</v>
      </c>
      <c r="L397">
        <f>ABS((C397-EDA!$F$15)/EDA!$G$15)</f>
        <v>0.37541617652033282</v>
      </c>
      <c r="M397" t="str">
        <f>IF(moras[[#This Row],[Z-Score Salario]]&gt;1.96, "Sí", "No")</f>
        <v>No</v>
      </c>
      <c r="N397" s="14">
        <f>IF(ISBLANK(moras[[#This Row],[SALARIO]]), EDA!$M$8, moras[[#This Row],[SALARIO]])</f>
        <v>14290</v>
      </c>
      <c r="O397" s="14">
        <f xml:space="preserve"> IF(ISBLANK(moras[[#This Row],[EDAD]]), EDA!$E$8, moras[[#This Row],[EDAD]])</f>
        <v>57</v>
      </c>
      <c r="P397" s="14" t="str">
        <f>IF(
    OR(ISBLANK(moras[[#This Row],[TIPO_ASEGURAMIENTO]]), moras[[#This Row],[TIPO_ASEGURAMIENTO]]=""),
    EDA!$A$32,
    moras[[#This Row],[TIPO_ASEGURAMIENTO]]
)</f>
        <v>ASALARIADO</v>
      </c>
    </row>
    <row r="398" spans="1:16" x14ac:dyDescent="0.3">
      <c r="A398">
        <v>397</v>
      </c>
      <c r="B398" t="s">
        <v>9</v>
      </c>
      <c r="C398">
        <v>289448</v>
      </c>
      <c r="D398" t="s">
        <v>18</v>
      </c>
      <c r="E398" t="s">
        <v>16</v>
      </c>
      <c r="F398" t="s">
        <v>12</v>
      </c>
      <c r="G398" t="s">
        <v>13</v>
      </c>
      <c r="H398" t="s">
        <v>13</v>
      </c>
      <c r="I398">
        <v>52</v>
      </c>
      <c r="J398">
        <f>ABS((I398-EDA!$A$15)/EDA!$B$15)</f>
        <v>0.70719361363009237</v>
      </c>
      <c r="K398" t="str">
        <f t="shared" si="6"/>
        <v>No</v>
      </c>
      <c r="L398">
        <f>ABS((C398-EDA!$F$15)/EDA!$G$15)</f>
        <v>0.37083735316294447</v>
      </c>
      <c r="M398" t="str">
        <f>IF(moras[[#This Row],[Z-Score Salario]]&gt;1.96, "Sí", "No")</f>
        <v>No</v>
      </c>
      <c r="N398" s="14">
        <f>IF(ISBLANK(moras[[#This Row],[SALARIO]]), EDA!$M$8, moras[[#This Row],[SALARIO]])</f>
        <v>289448</v>
      </c>
      <c r="O398" s="14">
        <f xml:space="preserve"> IF(ISBLANK(moras[[#This Row],[EDAD]]), EDA!$E$8, moras[[#This Row],[EDAD]])</f>
        <v>52</v>
      </c>
      <c r="P398" s="14" t="str">
        <f>IF(
    OR(ISBLANK(moras[[#This Row],[TIPO_ASEGURAMIENTO]]), moras[[#This Row],[TIPO_ASEGURAMIENTO]]=""),
    EDA!$A$32,
    moras[[#This Row],[TIPO_ASEGURAMIENTO]]
)</f>
        <v>TRABAJADOR INDEPENDIENTE</v>
      </c>
    </row>
    <row r="399" spans="1:16" x14ac:dyDescent="0.3">
      <c r="A399">
        <v>398</v>
      </c>
      <c r="B399" t="s">
        <v>9</v>
      </c>
      <c r="C399">
        <v>3234327</v>
      </c>
      <c r="D399" t="s">
        <v>10</v>
      </c>
      <c r="E399" t="s">
        <v>16</v>
      </c>
      <c r="F399" t="s">
        <v>12</v>
      </c>
      <c r="G399" t="s">
        <v>12</v>
      </c>
      <c r="H399" t="s">
        <v>13</v>
      </c>
      <c r="I399">
        <v>50</v>
      </c>
      <c r="J399">
        <f>ABS((I399-EDA!$A$15)/EDA!$B$15)</f>
        <v>0.56604295347581735</v>
      </c>
      <c r="K399" t="str">
        <f t="shared" si="6"/>
        <v>No</v>
      </c>
      <c r="L399">
        <f>ABS((C399-EDA!$F$15)/EDA!$G$15)</f>
        <v>0.32183248777693912</v>
      </c>
      <c r="M399" t="str">
        <f>IF(moras[[#This Row],[Z-Score Salario]]&gt;1.96, "Sí", "No")</f>
        <v>No</v>
      </c>
      <c r="N399" s="14">
        <f>IF(ISBLANK(moras[[#This Row],[SALARIO]]), EDA!$M$8, moras[[#This Row],[SALARIO]])</f>
        <v>3234327</v>
      </c>
      <c r="O399" s="14">
        <f xml:space="preserve"> IF(ISBLANK(moras[[#This Row],[EDAD]]), EDA!$E$8, moras[[#This Row],[EDAD]])</f>
        <v>50</v>
      </c>
      <c r="P399" s="14" t="str">
        <f>IF(
    OR(ISBLANK(moras[[#This Row],[TIPO_ASEGURAMIENTO]]), moras[[#This Row],[TIPO_ASEGURAMIENTO]]=""),
    EDA!$A$32,
    moras[[#This Row],[TIPO_ASEGURAMIENTO]]
)</f>
        <v>ASALARIADO</v>
      </c>
    </row>
    <row r="400" spans="1:16" x14ac:dyDescent="0.3">
      <c r="A400">
        <v>399</v>
      </c>
      <c r="B400" t="s">
        <v>15</v>
      </c>
      <c r="C400">
        <v>577151</v>
      </c>
      <c r="D400" t="s">
        <v>10</v>
      </c>
      <c r="E400" t="s">
        <v>11</v>
      </c>
      <c r="F400" t="s">
        <v>12</v>
      </c>
      <c r="G400" t="s">
        <v>13</v>
      </c>
      <c r="H400" t="s">
        <v>13</v>
      </c>
      <c r="I400">
        <v>34</v>
      </c>
      <c r="J400">
        <f>ABS((I400-EDA!$A$15)/EDA!$B$15)</f>
        <v>0.56316232775838282</v>
      </c>
      <c r="K400" t="str">
        <f t="shared" si="6"/>
        <v>No</v>
      </c>
      <c r="L400">
        <f>ABS((C400-EDA!$F$15)/EDA!$G$15)</f>
        <v>0.3660497721498876</v>
      </c>
      <c r="M400" t="str">
        <f>IF(moras[[#This Row],[Z-Score Salario]]&gt;1.96, "Sí", "No")</f>
        <v>No</v>
      </c>
      <c r="N400" s="14">
        <f>IF(ISBLANK(moras[[#This Row],[SALARIO]]), EDA!$M$8, moras[[#This Row],[SALARIO]])</f>
        <v>577151</v>
      </c>
      <c r="O400" s="14">
        <f xml:space="preserve"> IF(ISBLANK(moras[[#This Row],[EDAD]]), EDA!$E$8, moras[[#This Row],[EDAD]])</f>
        <v>34</v>
      </c>
      <c r="P400" s="14" t="str">
        <f>IF(
    OR(ISBLANK(moras[[#This Row],[TIPO_ASEGURAMIENTO]]), moras[[#This Row],[TIPO_ASEGURAMIENTO]]=""),
    EDA!$A$32,
    moras[[#This Row],[TIPO_ASEGURAMIENTO]]
)</f>
        <v>ASALARIADO</v>
      </c>
    </row>
    <row r="401" spans="1:16" x14ac:dyDescent="0.3">
      <c r="A401">
        <v>400</v>
      </c>
      <c r="B401" t="s">
        <v>9</v>
      </c>
      <c r="C401">
        <v>6223356</v>
      </c>
      <c r="D401" t="s">
        <v>10</v>
      </c>
      <c r="E401" t="s">
        <v>16</v>
      </c>
      <c r="F401" t="s">
        <v>12</v>
      </c>
      <c r="G401" t="s">
        <v>13</v>
      </c>
      <c r="H401" t="s">
        <v>13</v>
      </c>
      <c r="I401">
        <v>50</v>
      </c>
      <c r="J401">
        <f>ABS((I401-EDA!$A$15)/EDA!$B$15)</f>
        <v>0.56604295347581735</v>
      </c>
      <c r="K401" t="str">
        <f t="shared" si="6"/>
        <v>No</v>
      </c>
      <c r="L401">
        <f>ABS((C401-EDA!$F$15)/EDA!$G$15)</f>
        <v>0.27209293522491035</v>
      </c>
      <c r="M401" t="str">
        <f>IF(moras[[#This Row],[Z-Score Salario]]&gt;1.96, "Sí", "No")</f>
        <v>No</v>
      </c>
      <c r="N401" s="14">
        <f>IF(ISBLANK(moras[[#This Row],[SALARIO]]), EDA!$M$8, moras[[#This Row],[SALARIO]])</f>
        <v>6223356</v>
      </c>
      <c r="O401" s="14">
        <f xml:space="preserve"> IF(ISBLANK(moras[[#This Row],[EDAD]]), EDA!$E$8, moras[[#This Row],[EDAD]])</f>
        <v>50</v>
      </c>
      <c r="P401" s="14" t="str">
        <f>IF(
    OR(ISBLANK(moras[[#This Row],[TIPO_ASEGURAMIENTO]]), moras[[#This Row],[TIPO_ASEGURAMIENTO]]=""),
    EDA!$A$32,
    moras[[#This Row],[TIPO_ASEGURAMIENTO]]
)</f>
        <v>ASALARIADO</v>
      </c>
    </row>
    <row r="402" spans="1:16" x14ac:dyDescent="0.3">
      <c r="A402">
        <v>401</v>
      </c>
      <c r="B402" t="s">
        <v>15</v>
      </c>
      <c r="C402">
        <v>205048</v>
      </c>
      <c r="D402" t="s">
        <v>10</v>
      </c>
      <c r="E402" t="s">
        <v>16</v>
      </c>
      <c r="F402" t="s">
        <v>12</v>
      </c>
      <c r="G402" t="s">
        <v>12</v>
      </c>
      <c r="H402" t="s">
        <v>13</v>
      </c>
      <c r="I402">
        <v>36</v>
      </c>
      <c r="J402">
        <f>ABS((I402-EDA!$A$15)/EDA!$B$15)</f>
        <v>0.42201166760410774</v>
      </c>
      <c r="K402" t="str">
        <f t="shared" si="6"/>
        <v>No</v>
      </c>
      <c r="L402">
        <f>ABS((C402-EDA!$F$15)/EDA!$G$15)</f>
        <v>0.3722418287419339</v>
      </c>
      <c r="M402" t="str">
        <f>IF(moras[[#This Row],[Z-Score Salario]]&gt;1.96, "Sí", "No")</f>
        <v>No</v>
      </c>
      <c r="N402" s="14">
        <f>IF(ISBLANK(moras[[#This Row],[SALARIO]]), EDA!$M$8, moras[[#This Row],[SALARIO]])</f>
        <v>205048</v>
      </c>
      <c r="O402" s="14">
        <f xml:space="preserve"> IF(ISBLANK(moras[[#This Row],[EDAD]]), EDA!$E$8, moras[[#This Row],[EDAD]])</f>
        <v>36</v>
      </c>
      <c r="P402" s="14" t="str">
        <f>IF(
    OR(ISBLANK(moras[[#This Row],[TIPO_ASEGURAMIENTO]]), moras[[#This Row],[TIPO_ASEGURAMIENTO]]=""),
    EDA!$A$32,
    moras[[#This Row],[TIPO_ASEGURAMIENTO]]
)</f>
        <v>ASALARIADO</v>
      </c>
    </row>
    <row r="403" spans="1:16" x14ac:dyDescent="0.3">
      <c r="A403">
        <v>402</v>
      </c>
      <c r="B403" t="s">
        <v>9</v>
      </c>
      <c r="C403">
        <v>27803099</v>
      </c>
      <c r="D403" t="s">
        <v>19</v>
      </c>
      <c r="E403" t="s">
        <v>16</v>
      </c>
      <c r="F403" t="s">
        <v>12</v>
      </c>
      <c r="G403" t="s">
        <v>13</v>
      </c>
      <c r="H403" t="s">
        <v>13</v>
      </c>
      <c r="I403">
        <v>52</v>
      </c>
      <c r="J403">
        <f>ABS((I403-EDA!$A$15)/EDA!$B$15)</f>
        <v>0.70719361363009237</v>
      </c>
      <c r="K403" t="str">
        <f t="shared" si="6"/>
        <v>No</v>
      </c>
      <c r="L403">
        <f>ABS((C403-EDA!$F$15)/EDA!$G$15)</f>
        <v>8.7009221698885322E-2</v>
      </c>
      <c r="M403" t="str">
        <f>IF(moras[[#This Row],[Z-Score Salario]]&gt;1.96, "Sí", "No")</f>
        <v>No</v>
      </c>
      <c r="N403" s="14">
        <f>IF(ISBLANK(moras[[#This Row],[SALARIO]]), EDA!$M$8, moras[[#This Row],[SALARIO]])</f>
        <v>27803099</v>
      </c>
      <c r="O403" s="14">
        <f xml:space="preserve"> IF(ISBLANK(moras[[#This Row],[EDAD]]), EDA!$E$8, moras[[#This Row],[EDAD]])</f>
        <v>52</v>
      </c>
      <c r="P403" s="14" t="str">
        <f>IF(
    OR(ISBLANK(moras[[#This Row],[TIPO_ASEGURAMIENTO]]), moras[[#This Row],[TIPO_ASEGURAMIENTO]]=""),
    EDA!$A$32,
    moras[[#This Row],[TIPO_ASEGURAMIENTO]]
)</f>
        <v>CONVENIOS ESPECIALES DE TRABAJADORES INDEPENDIENTES</v>
      </c>
    </row>
    <row r="404" spans="1:16" x14ac:dyDescent="0.3">
      <c r="A404">
        <v>403</v>
      </c>
      <c r="B404" t="s">
        <v>9</v>
      </c>
      <c r="C404">
        <v>42569965</v>
      </c>
      <c r="D404" t="s">
        <v>10</v>
      </c>
      <c r="E404" t="s">
        <v>16</v>
      </c>
      <c r="F404" t="s">
        <v>12</v>
      </c>
      <c r="G404" t="s">
        <v>13</v>
      </c>
      <c r="H404" t="s">
        <v>13</v>
      </c>
      <c r="I404">
        <v>42</v>
      </c>
      <c r="J404">
        <f>ABS((I404-EDA!$A$15)/EDA!$B$15)</f>
        <v>1.4403128587172659E-3</v>
      </c>
      <c r="K404" t="str">
        <f t="shared" si="6"/>
        <v>No</v>
      </c>
      <c r="L404">
        <f>ABS((C404-EDA!$F$15)/EDA!$G$15)</f>
        <v>0.33274029604970878</v>
      </c>
      <c r="M404" t="str">
        <f>IF(moras[[#This Row],[Z-Score Salario]]&gt;1.96, "Sí", "No")</f>
        <v>No</v>
      </c>
      <c r="N404" s="14">
        <f>IF(ISBLANK(moras[[#This Row],[SALARIO]]), EDA!$M$8, moras[[#This Row],[SALARIO]])</f>
        <v>42569965</v>
      </c>
      <c r="O404" s="14">
        <f xml:space="preserve"> IF(ISBLANK(moras[[#This Row],[EDAD]]), EDA!$E$8, moras[[#This Row],[EDAD]])</f>
        <v>42</v>
      </c>
      <c r="P404" s="14" t="str">
        <f>IF(
    OR(ISBLANK(moras[[#This Row],[TIPO_ASEGURAMIENTO]]), moras[[#This Row],[TIPO_ASEGURAMIENTO]]=""),
    EDA!$A$32,
    moras[[#This Row],[TIPO_ASEGURAMIENTO]]
)</f>
        <v>ASALARIADO</v>
      </c>
    </row>
    <row r="405" spans="1:16" x14ac:dyDescent="0.3">
      <c r="A405">
        <v>404</v>
      </c>
      <c r="B405" t="s">
        <v>9</v>
      </c>
      <c r="C405">
        <v>7411877</v>
      </c>
      <c r="D405" t="s">
        <v>10</v>
      </c>
      <c r="E405" t="s">
        <v>11</v>
      </c>
      <c r="F405" t="s">
        <v>12</v>
      </c>
      <c r="G405" t="s">
        <v>13</v>
      </c>
      <c r="H405" t="s">
        <v>13</v>
      </c>
      <c r="I405">
        <v>22</v>
      </c>
      <c r="J405">
        <f>ABS((I405-EDA!$A$15)/EDA!$B$15)</f>
        <v>1.4100662886840327</v>
      </c>
      <c r="K405" t="str">
        <f t="shared" si="6"/>
        <v>No</v>
      </c>
      <c r="L405">
        <f>ABS((C405-EDA!$F$15)/EDA!$G$15)</f>
        <v>0.25231510679343983</v>
      </c>
      <c r="M405" t="str">
        <f>IF(moras[[#This Row],[Z-Score Salario]]&gt;1.96, "Sí", "No")</f>
        <v>No</v>
      </c>
      <c r="N405" s="14">
        <f>IF(ISBLANK(moras[[#This Row],[SALARIO]]), EDA!$M$8, moras[[#This Row],[SALARIO]])</f>
        <v>7411877</v>
      </c>
      <c r="O405" s="14">
        <f xml:space="preserve"> IF(ISBLANK(moras[[#This Row],[EDAD]]), EDA!$E$8, moras[[#This Row],[EDAD]])</f>
        <v>22</v>
      </c>
      <c r="P405" s="14" t="str">
        <f>IF(
    OR(ISBLANK(moras[[#This Row],[TIPO_ASEGURAMIENTO]]), moras[[#This Row],[TIPO_ASEGURAMIENTO]]=""),
    EDA!$A$32,
    moras[[#This Row],[TIPO_ASEGURAMIENTO]]
)</f>
        <v>ASALARIADO</v>
      </c>
    </row>
    <row r="406" spans="1:16" x14ac:dyDescent="0.3">
      <c r="A406">
        <v>405</v>
      </c>
      <c r="B406" t="s">
        <v>9</v>
      </c>
      <c r="C406">
        <v>1063180</v>
      </c>
      <c r="D406" t="s">
        <v>10</v>
      </c>
      <c r="E406" t="s">
        <v>16</v>
      </c>
      <c r="F406" t="s">
        <v>12</v>
      </c>
      <c r="G406" t="s">
        <v>13</v>
      </c>
      <c r="H406" t="s">
        <v>13</v>
      </c>
      <c r="I406">
        <v>55</v>
      </c>
      <c r="J406">
        <f>ABS((I406-EDA!$A$15)/EDA!$B$15)</f>
        <v>0.91891960386150484</v>
      </c>
      <c r="K406" t="str">
        <f t="shared" si="6"/>
        <v>No</v>
      </c>
      <c r="L406">
        <f>ABS((C406-EDA!$F$15)/EDA!$G$15)</f>
        <v>0.35796190649608833</v>
      </c>
      <c r="M406" t="str">
        <f>IF(moras[[#This Row],[Z-Score Salario]]&gt;1.96, "Sí", "No")</f>
        <v>No</v>
      </c>
      <c r="N406" s="14">
        <f>IF(ISBLANK(moras[[#This Row],[SALARIO]]), EDA!$M$8, moras[[#This Row],[SALARIO]])</f>
        <v>1063180</v>
      </c>
      <c r="O406" s="14">
        <f xml:space="preserve"> IF(ISBLANK(moras[[#This Row],[EDAD]]), EDA!$E$8, moras[[#This Row],[EDAD]])</f>
        <v>55</v>
      </c>
      <c r="P406" s="14" t="str">
        <f>IF(
    OR(ISBLANK(moras[[#This Row],[TIPO_ASEGURAMIENTO]]), moras[[#This Row],[TIPO_ASEGURAMIENTO]]=""),
    EDA!$A$32,
    moras[[#This Row],[TIPO_ASEGURAMIENTO]]
)</f>
        <v>ASALARIADO</v>
      </c>
    </row>
    <row r="407" spans="1:16" x14ac:dyDescent="0.3">
      <c r="A407">
        <v>406</v>
      </c>
      <c r="B407" t="s">
        <v>9</v>
      </c>
      <c r="C407">
        <v>614527</v>
      </c>
      <c r="D407" t="s">
        <v>10</v>
      </c>
      <c r="E407" t="s">
        <v>16</v>
      </c>
      <c r="F407" t="s">
        <v>12</v>
      </c>
      <c r="G407" t="s">
        <v>13</v>
      </c>
      <c r="H407" t="s">
        <v>13</v>
      </c>
      <c r="I407">
        <v>38</v>
      </c>
      <c r="J407">
        <f>ABS((I407-EDA!$A$15)/EDA!$B$15)</f>
        <v>0.28086100744983278</v>
      </c>
      <c r="K407" t="str">
        <f t="shared" si="6"/>
        <v>No</v>
      </c>
      <c r="L407">
        <f>ABS((C407-EDA!$F$15)/EDA!$G$15)</f>
        <v>0.36542780912571332</v>
      </c>
      <c r="M407" t="str">
        <f>IF(moras[[#This Row],[Z-Score Salario]]&gt;1.96, "Sí", "No")</f>
        <v>No</v>
      </c>
      <c r="N407" s="14">
        <f>IF(ISBLANK(moras[[#This Row],[SALARIO]]), EDA!$M$8, moras[[#This Row],[SALARIO]])</f>
        <v>614527</v>
      </c>
      <c r="O407" s="14">
        <f xml:space="preserve"> IF(ISBLANK(moras[[#This Row],[EDAD]]), EDA!$E$8, moras[[#This Row],[EDAD]])</f>
        <v>38</v>
      </c>
      <c r="P407" s="14" t="str">
        <f>IF(
    OR(ISBLANK(moras[[#This Row],[TIPO_ASEGURAMIENTO]]), moras[[#This Row],[TIPO_ASEGURAMIENTO]]=""),
    EDA!$A$32,
    moras[[#This Row],[TIPO_ASEGURAMIENTO]]
)</f>
        <v>ASALARIADO</v>
      </c>
    </row>
    <row r="408" spans="1:16" x14ac:dyDescent="0.3">
      <c r="A408">
        <v>407</v>
      </c>
      <c r="B408" t="s">
        <v>9</v>
      </c>
      <c r="C408">
        <v>278030</v>
      </c>
      <c r="D408" t="s">
        <v>19</v>
      </c>
      <c r="E408" t="s">
        <v>16</v>
      </c>
      <c r="F408" t="s">
        <v>12</v>
      </c>
      <c r="G408" t="s">
        <v>13</v>
      </c>
      <c r="H408" t="s">
        <v>13</v>
      </c>
      <c r="I408">
        <v>42</v>
      </c>
      <c r="J408">
        <f>ABS((I408-EDA!$A$15)/EDA!$B$15)</f>
        <v>1.4403128587172659E-3</v>
      </c>
      <c r="K408" t="str">
        <f t="shared" si="6"/>
        <v>No</v>
      </c>
      <c r="L408">
        <f>ABS((C408-EDA!$F$15)/EDA!$G$15)</f>
        <v>0.37102735674304993</v>
      </c>
      <c r="M408" t="str">
        <f>IF(moras[[#This Row],[Z-Score Salario]]&gt;1.96, "Sí", "No")</f>
        <v>No</v>
      </c>
      <c r="N408" s="14">
        <f>IF(ISBLANK(moras[[#This Row],[SALARIO]]), EDA!$M$8, moras[[#This Row],[SALARIO]])</f>
        <v>278030</v>
      </c>
      <c r="O408" s="14">
        <f xml:space="preserve"> IF(ISBLANK(moras[[#This Row],[EDAD]]), EDA!$E$8, moras[[#This Row],[EDAD]])</f>
        <v>42</v>
      </c>
      <c r="P408" s="14" t="str">
        <f>IF(
    OR(ISBLANK(moras[[#This Row],[TIPO_ASEGURAMIENTO]]), moras[[#This Row],[TIPO_ASEGURAMIENTO]]=""),
    EDA!$A$32,
    moras[[#This Row],[TIPO_ASEGURAMIENTO]]
)</f>
        <v>CONVENIOS ESPECIALES DE TRABAJADORES INDEPENDIENTES</v>
      </c>
    </row>
    <row r="409" spans="1:16" x14ac:dyDescent="0.3">
      <c r="A409">
        <v>408</v>
      </c>
      <c r="B409" t="s">
        <v>15</v>
      </c>
      <c r="C409">
        <v>398320</v>
      </c>
      <c r="D409" t="s">
        <v>10</v>
      </c>
      <c r="E409" t="s">
        <v>11</v>
      </c>
      <c r="F409" t="s">
        <v>12</v>
      </c>
      <c r="G409" t="s">
        <v>13</v>
      </c>
      <c r="H409" t="s">
        <v>12</v>
      </c>
      <c r="I409">
        <v>62</v>
      </c>
      <c r="J409">
        <f>ABS((I409-EDA!$A$15)/EDA!$B$15)</f>
        <v>1.4129469144014672</v>
      </c>
      <c r="K409" t="str">
        <f t="shared" si="6"/>
        <v>No</v>
      </c>
      <c r="L409">
        <f>ABS((C409-EDA!$F$15)/EDA!$G$15)</f>
        <v>0.36902564622887174</v>
      </c>
      <c r="M409" t="str">
        <f>IF(moras[[#This Row],[Z-Score Salario]]&gt;1.96, "Sí", "No")</f>
        <v>No</v>
      </c>
      <c r="N409" s="14">
        <f>IF(ISBLANK(moras[[#This Row],[SALARIO]]), EDA!$M$8, moras[[#This Row],[SALARIO]])</f>
        <v>398320</v>
      </c>
      <c r="O409" s="14">
        <f xml:space="preserve"> IF(ISBLANK(moras[[#This Row],[EDAD]]), EDA!$E$8, moras[[#This Row],[EDAD]])</f>
        <v>62</v>
      </c>
      <c r="P409" s="14" t="str">
        <f>IF(
    OR(ISBLANK(moras[[#This Row],[TIPO_ASEGURAMIENTO]]), moras[[#This Row],[TIPO_ASEGURAMIENTO]]=""),
    EDA!$A$32,
    moras[[#This Row],[TIPO_ASEGURAMIENTO]]
)</f>
        <v>ASALARIADO</v>
      </c>
    </row>
    <row r="410" spans="1:16" x14ac:dyDescent="0.3">
      <c r="A410">
        <v>409</v>
      </c>
      <c r="B410" t="s">
        <v>9</v>
      </c>
      <c r="C410">
        <v>302188</v>
      </c>
      <c r="D410" t="s">
        <v>17</v>
      </c>
      <c r="E410" t="s">
        <v>16</v>
      </c>
      <c r="F410" t="s">
        <v>12</v>
      </c>
      <c r="G410" t="s">
        <v>13</v>
      </c>
      <c r="H410" t="s">
        <v>13</v>
      </c>
      <c r="I410">
        <v>36</v>
      </c>
      <c r="J410">
        <f>ABS((I410-EDA!$A$15)/EDA!$B$15)</f>
        <v>0.42201166760410774</v>
      </c>
      <c r="K410" t="str">
        <f t="shared" si="6"/>
        <v>No</v>
      </c>
      <c r="L410">
        <f>ABS((C410-EDA!$F$15)/EDA!$G$15)</f>
        <v>0.37062535056962309</v>
      </c>
      <c r="M410" t="str">
        <f>IF(moras[[#This Row],[Z-Score Salario]]&gt;1.96, "Sí", "No")</f>
        <v>No</v>
      </c>
      <c r="N410" s="14">
        <f>IF(ISBLANK(moras[[#This Row],[SALARIO]]), EDA!$M$8, moras[[#This Row],[SALARIO]])</f>
        <v>302188</v>
      </c>
      <c r="O410" s="14">
        <f xml:space="preserve"> IF(ISBLANK(moras[[#This Row],[EDAD]]), EDA!$E$8, moras[[#This Row],[EDAD]])</f>
        <v>36</v>
      </c>
      <c r="P410" s="14" t="str">
        <f>IF(
    OR(ISBLANK(moras[[#This Row],[TIPO_ASEGURAMIENTO]]), moras[[#This Row],[TIPO_ASEGURAMIENTO]]=""),
    EDA!$A$32,
    moras[[#This Row],[TIPO_ASEGURAMIENTO]]
)</f>
        <v>ASEGURADO VOLUNTARIO</v>
      </c>
    </row>
    <row r="411" spans="1:16" x14ac:dyDescent="0.3">
      <c r="A411">
        <v>410</v>
      </c>
      <c r="B411" t="s">
        <v>9</v>
      </c>
      <c r="C411">
        <v>500000</v>
      </c>
      <c r="D411" t="s">
        <v>10</v>
      </c>
      <c r="E411" t="s">
        <v>16</v>
      </c>
      <c r="F411" t="s">
        <v>12</v>
      </c>
      <c r="G411" t="s">
        <v>13</v>
      </c>
      <c r="H411" t="s">
        <v>13</v>
      </c>
      <c r="I411">
        <v>22</v>
      </c>
      <c r="J411">
        <f>ABS((I411-EDA!$A$15)/EDA!$B$15)</f>
        <v>1.4100662886840327</v>
      </c>
      <c r="K411" t="str">
        <f t="shared" si="6"/>
        <v>No</v>
      </c>
      <c r="L411">
        <f>ABS((C411-EDA!$F$15)/EDA!$G$15)</f>
        <v>0.36733361925171953</v>
      </c>
      <c r="M411" t="str">
        <f>IF(moras[[#This Row],[Z-Score Salario]]&gt;1.96, "Sí", "No")</f>
        <v>No</v>
      </c>
      <c r="N411" s="14">
        <f>IF(ISBLANK(moras[[#This Row],[SALARIO]]), EDA!$M$8, moras[[#This Row],[SALARIO]])</f>
        <v>500000</v>
      </c>
      <c r="O411" s="14">
        <f xml:space="preserve"> IF(ISBLANK(moras[[#This Row],[EDAD]]), EDA!$E$8, moras[[#This Row],[EDAD]])</f>
        <v>22</v>
      </c>
      <c r="P411" s="14" t="str">
        <f>IF(
    OR(ISBLANK(moras[[#This Row],[TIPO_ASEGURAMIENTO]]), moras[[#This Row],[TIPO_ASEGURAMIENTO]]=""),
    EDA!$A$32,
    moras[[#This Row],[TIPO_ASEGURAMIENTO]]
)</f>
        <v>ASALARIADO</v>
      </c>
    </row>
    <row r="412" spans="1:16" x14ac:dyDescent="0.3">
      <c r="A412">
        <v>411</v>
      </c>
      <c r="B412" t="s">
        <v>15</v>
      </c>
      <c r="C412">
        <v>594092</v>
      </c>
      <c r="D412" t="s">
        <v>18</v>
      </c>
      <c r="E412" t="s">
        <v>16</v>
      </c>
      <c r="F412" t="s">
        <v>12</v>
      </c>
      <c r="G412" t="s">
        <v>13</v>
      </c>
      <c r="H412" t="s">
        <v>13</v>
      </c>
      <c r="I412">
        <v>55</v>
      </c>
      <c r="J412">
        <f>ABS((I412-EDA!$A$15)/EDA!$B$15)</f>
        <v>0.91891960386150484</v>
      </c>
      <c r="K412" t="str">
        <f t="shared" si="6"/>
        <v>No</v>
      </c>
      <c r="L412">
        <f>ABS((C412-EDA!$F$15)/EDA!$G$15)</f>
        <v>0.36576786195102906</v>
      </c>
      <c r="M412" t="str">
        <f>IF(moras[[#This Row],[Z-Score Salario]]&gt;1.96, "Sí", "No")</f>
        <v>No</v>
      </c>
      <c r="N412" s="14">
        <f>IF(ISBLANK(moras[[#This Row],[SALARIO]]), EDA!$M$8, moras[[#This Row],[SALARIO]])</f>
        <v>594092</v>
      </c>
      <c r="O412" s="14">
        <f xml:space="preserve"> IF(ISBLANK(moras[[#This Row],[EDAD]]), EDA!$E$8, moras[[#This Row],[EDAD]])</f>
        <v>55</v>
      </c>
      <c r="P412" s="14" t="str">
        <f>IF(
    OR(ISBLANK(moras[[#This Row],[TIPO_ASEGURAMIENTO]]), moras[[#This Row],[TIPO_ASEGURAMIENTO]]=""),
    EDA!$A$32,
    moras[[#This Row],[TIPO_ASEGURAMIENTO]]
)</f>
        <v>TRABAJADOR INDEPENDIENTE</v>
      </c>
    </row>
    <row r="413" spans="1:16" x14ac:dyDescent="0.3">
      <c r="A413">
        <v>412</v>
      </c>
      <c r="B413" t="s">
        <v>9</v>
      </c>
      <c r="C413">
        <v>639148</v>
      </c>
      <c r="D413" t="s">
        <v>18</v>
      </c>
      <c r="E413" t="s">
        <v>16</v>
      </c>
      <c r="F413" t="s">
        <v>12</v>
      </c>
      <c r="G413" t="s">
        <v>12</v>
      </c>
      <c r="H413" t="s">
        <v>12</v>
      </c>
      <c r="I413">
        <v>49</v>
      </c>
      <c r="J413">
        <f>ABS((I413-EDA!$A$15)/EDA!$B$15)</f>
        <v>0.49546762339867978</v>
      </c>
      <c r="K413" t="str">
        <f t="shared" si="6"/>
        <v>No</v>
      </c>
      <c r="L413">
        <f>ABS((C413-EDA!$F$15)/EDA!$G$15)</f>
        <v>0.36501809830544912</v>
      </c>
      <c r="M413" t="str">
        <f>IF(moras[[#This Row],[Z-Score Salario]]&gt;1.96, "Sí", "No")</f>
        <v>No</v>
      </c>
      <c r="N413" s="14">
        <f>IF(ISBLANK(moras[[#This Row],[SALARIO]]), EDA!$M$8, moras[[#This Row],[SALARIO]])</f>
        <v>639148</v>
      </c>
      <c r="O413" s="14">
        <f xml:space="preserve"> IF(ISBLANK(moras[[#This Row],[EDAD]]), EDA!$E$8, moras[[#This Row],[EDAD]])</f>
        <v>49</v>
      </c>
      <c r="P413" s="14" t="str">
        <f>IF(
    OR(ISBLANK(moras[[#This Row],[TIPO_ASEGURAMIENTO]]), moras[[#This Row],[TIPO_ASEGURAMIENTO]]=""),
    EDA!$A$32,
    moras[[#This Row],[TIPO_ASEGURAMIENTO]]
)</f>
        <v>TRABAJADOR INDEPENDIENTE</v>
      </c>
    </row>
    <row r="414" spans="1:16" x14ac:dyDescent="0.3">
      <c r="A414">
        <v>413</v>
      </c>
      <c r="B414" t="s">
        <v>9</v>
      </c>
      <c r="C414">
        <v>415861</v>
      </c>
      <c r="D414" t="s">
        <v>18</v>
      </c>
      <c r="E414" t="s">
        <v>16</v>
      </c>
      <c r="F414" t="s">
        <v>12</v>
      </c>
      <c r="G414" t="s">
        <v>12</v>
      </c>
      <c r="H414" t="s">
        <v>12</v>
      </c>
      <c r="I414">
        <v>45</v>
      </c>
      <c r="J414">
        <f>ABS((I414-EDA!$A$15)/EDA!$B$15)</f>
        <v>0.21316630309012977</v>
      </c>
      <c r="K414" t="str">
        <f t="shared" si="6"/>
        <v>No</v>
      </c>
      <c r="L414">
        <f>ABS((C414-EDA!$F$15)/EDA!$G$15)</f>
        <v>0.36873375160646588</v>
      </c>
      <c r="M414" t="str">
        <f>IF(moras[[#This Row],[Z-Score Salario]]&gt;1.96, "Sí", "No")</f>
        <v>No</v>
      </c>
      <c r="N414" s="14">
        <f>IF(ISBLANK(moras[[#This Row],[SALARIO]]), EDA!$M$8, moras[[#This Row],[SALARIO]])</f>
        <v>415861</v>
      </c>
      <c r="O414" s="14">
        <f xml:space="preserve"> IF(ISBLANK(moras[[#This Row],[EDAD]]), EDA!$E$8, moras[[#This Row],[EDAD]])</f>
        <v>45</v>
      </c>
      <c r="P414" s="14" t="str">
        <f>IF(
    OR(ISBLANK(moras[[#This Row],[TIPO_ASEGURAMIENTO]]), moras[[#This Row],[TIPO_ASEGURAMIENTO]]=""),
    EDA!$A$32,
    moras[[#This Row],[TIPO_ASEGURAMIENTO]]
)</f>
        <v>TRABAJADOR INDEPENDIENTE</v>
      </c>
    </row>
    <row r="415" spans="1:16" x14ac:dyDescent="0.3">
      <c r="A415">
        <v>414</v>
      </c>
      <c r="B415" t="s">
        <v>9</v>
      </c>
      <c r="C415">
        <v>85432845</v>
      </c>
      <c r="D415" t="s">
        <v>10</v>
      </c>
      <c r="E415" t="s">
        <v>11</v>
      </c>
      <c r="F415" t="s">
        <v>12</v>
      </c>
      <c r="G415" t="s">
        <v>13</v>
      </c>
      <c r="H415" t="s">
        <v>13</v>
      </c>
      <c r="I415">
        <v>50</v>
      </c>
      <c r="J415">
        <f>ABS((I415-EDA!$A$15)/EDA!$B$15)</f>
        <v>0.56604295347581735</v>
      </c>
      <c r="K415" t="str">
        <f t="shared" si="6"/>
        <v>No</v>
      </c>
      <c r="L415">
        <f>ABS((C415-EDA!$F$15)/EDA!$G$15)</f>
        <v>1.046008876679507</v>
      </c>
      <c r="M415" t="str">
        <f>IF(moras[[#This Row],[Z-Score Salario]]&gt;1.96, "Sí", "No")</f>
        <v>No</v>
      </c>
      <c r="N415" s="14">
        <f>IF(ISBLANK(moras[[#This Row],[SALARIO]]), EDA!$M$8, moras[[#This Row],[SALARIO]])</f>
        <v>85432845</v>
      </c>
      <c r="O415" s="14">
        <f xml:space="preserve"> IF(ISBLANK(moras[[#This Row],[EDAD]]), EDA!$E$8, moras[[#This Row],[EDAD]])</f>
        <v>50</v>
      </c>
      <c r="P415" s="14" t="str">
        <f>IF(
    OR(ISBLANK(moras[[#This Row],[TIPO_ASEGURAMIENTO]]), moras[[#This Row],[TIPO_ASEGURAMIENTO]]=""),
    EDA!$A$32,
    moras[[#This Row],[TIPO_ASEGURAMIENTO]]
)</f>
        <v>ASALARIADO</v>
      </c>
    </row>
    <row r="416" spans="1:16" x14ac:dyDescent="0.3">
      <c r="A416">
        <v>415</v>
      </c>
      <c r="B416" t="s">
        <v>9</v>
      </c>
      <c r="C416">
        <v>293000</v>
      </c>
      <c r="D416" t="s">
        <v>10</v>
      </c>
      <c r="E416" t="s">
        <v>16</v>
      </c>
      <c r="F416" t="s">
        <v>12</v>
      </c>
      <c r="G416" t="s">
        <v>13</v>
      </c>
      <c r="H416" t="s">
        <v>13</v>
      </c>
      <c r="I416">
        <v>38</v>
      </c>
      <c r="J416">
        <f>ABS((I416-EDA!$A$15)/EDA!$B$15)</f>
        <v>0.28086100744983278</v>
      </c>
      <c r="K416" t="str">
        <f t="shared" si="6"/>
        <v>No</v>
      </c>
      <c r="L416">
        <f>ABS((C416-EDA!$F$15)/EDA!$G$15)</f>
        <v>0.37077824537554432</v>
      </c>
      <c r="M416" t="str">
        <f>IF(moras[[#This Row],[Z-Score Salario]]&gt;1.96, "Sí", "No")</f>
        <v>No</v>
      </c>
      <c r="N416" s="14">
        <f>IF(ISBLANK(moras[[#This Row],[SALARIO]]), EDA!$M$8, moras[[#This Row],[SALARIO]])</f>
        <v>293000</v>
      </c>
      <c r="O416" s="14">
        <f xml:space="preserve"> IF(ISBLANK(moras[[#This Row],[EDAD]]), EDA!$E$8, moras[[#This Row],[EDAD]])</f>
        <v>38</v>
      </c>
      <c r="P416" s="14" t="str">
        <f>IF(
    OR(ISBLANK(moras[[#This Row],[TIPO_ASEGURAMIENTO]]), moras[[#This Row],[TIPO_ASEGURAMIENTO]]=""),
    EDA!$A$32,
    moras[[#This Row],[TIPO_ASEGURAMIENTO]]
)</f>
        <v>ASALARIADO</v>
      </c>
    </row>
    <row r="417" spans="1:16" x14ac:dyDescent="0.3">
      <c r="A417">
        <v>416</v>
      </c>
      <c r="B417" t="s">
        <v>9</v>
      </c>
      <c r="C417">
        <v>213192</v>
      </c>
      <c r="D417" t="s">
        <v>10</v>
      </c>
      <c r="E417" t="s">
        <v>16</v>
      </c>
      <c r="F417" t="s">
        <v>12</v>
      </c>
      <c r="G417" t="s">
        <v>13</v>
      </c>
      <c r="H417" t="s">
        <v>13</v>
      </c>
      <c r="I417">
        <v>30</v>
      </c>
      <c r="J417">
        <f>ABS((I417-EDA!$A$15)/EDA!$B$15)</f>
        <v>0.84546364806693275</v>
      </c>
      <c r="K417" t="str">
        <f t="shared" si="6"/>
        <v>No</v>
      </c>
      <c r="L417">
        <f>ABS((C417-EDA!$F$15)/EDA!$G$15)</f>
        <v>0.37210630683298496</v>
      </c>
      <c r="M417" t="str">
        <f>IF(moras[[#This Row],[Z-Score Salario]]&gt;1.96, "Sí", "No")</f>
        <v>No</v>
      </c>
      <c r="N417" s="14">
        <f>IF(ISBLANK(moras[[#This Row],[SALARIO]]), EDA!$M$8, moras[[#This Row],[SALARIO]])</f>
        <v>213192</v>
      </c>
      <c r="O417" s="14">
        <f xml:space="preserve"> IF(ISBLANK(moras[[#This Row],[EDAD]]), EDA!$E$8, moras[[#This Row],[EDAD]])</f>
        <v>30</v>
      </c>
      <c r="P417" s="14" t="str">
        <f>IF(
    OR(ISBLANK(moras[[#This Row],[TIPO_ASEGURAMIENTO]]), moras[[#This Row],[TIPO_ASEGURAMIENTO]]=""),
    EDA!$A$32,
    moras[[#This Row],[TIPO_ASEGURAMIENTO]]
)</f>
        <v>ASALARIADO</v>
      </c>
    </row>
    <row r="418" spans="1:16" x14ac:dyDescent="0.3">
      <c r="A418">
        <v>417</v>
      </c>
      <c r="B418" t="s">
        <v>15</v>
      </c>
      <c r="C418">
        <v>5063660</v>
      </c>
      <c r="D418" t="s">
        <v>10</v>
      </c>
      <c r="E418" t="s">
        <v>11</v>
      </c>
      <c r="F418" t="s">
        <v>12</v>
      </c>
      <c r="G418" t="s">
        <v>13</v>
      </c>
      <c r="H418" t="s">
        <v>12</v>
      </c>
      <c r="I418">
        <v>40</v>
      </c>
      <c r="J418">
        <f>ABS((I418-EDA!$A$15)/EDA!$B$15)</f>
        <v>0.13971034729555773</v>
      </c>
      <c r="K418" t="str">
        <f t="shared" si="6"/>
        <v>No</v>
      </c>
      <c r="L418">
        <f>ABS((C418-EDA!$F$15)/EDA!$G$15)</f>
        <v>0.29139109530846175</v>
      </c>
      <c r="M418" t="str">
        <f>IF(moras[[#This Row],[Z-Score Salario]]&gt;1.96, "Sí", "No")</f>
        <v>No</v>
      </c>
      <c r="N418" s="14">
        <f>IF(ISBLANK(moras[[#This Row],[SALARIO]]), EDA!$M$8, moras[[#This Row],[SALARIO]])</f>
        <v>5063660</v>
      </c>
      <c r="O418" s="14">
        <f xml:space="preserve"> IF(ISBLANK(moras[[#This Row],[EDAD]]), EDA!$E$8, moras[[#This Row],[EDAD]])</f>
        <v>40</v>
      </c>
      <c r="P418" s="14" t="str">
        <f>IF(
    OR(ISBLANK(moras[[#This Row],[TIPO_ASEGURAMIENTO]]), moras[[#This Row],[TIPO_ASEGURAMIENTO]]=""),
    EDA!$A$32,
    moras[[#This Row],[TIPO_ASEGURAMIENTO]]
)</f>
        <v>ASALARIADO</v>
      </c>
    </row>
    <row r="419" spans="1:16" x14ac:dyDescent="0.3">
      <c r="A419">
        <v>418</v>
      </c>
      <c r="B419" t="s">
        <v>15</v>
      </c>
      <c r="C419">
        <v>736280</v>
      </c>
      <c r="D419" t="s">
        <v>10</v>
      </c>
      <c r="E419" t="s">
        <v>16</v>
      </c>
      <c r="F419" t="s">
        <v>12</v>
      </c>
      <c r="G419" t="s">
        <v>13</v>
      </c>
      <c r="H419" t="s">
        <v>13</v>
      </c>
      <c r="I419">
        <v>33</v>
      </c>
      <c r="J419">
        <f>ABS((I419-EDA!$A$15)/EDA!$B$15)</f>
        <v>0.63373765783552027</v>
      </c>
      <c r="K419" t="str">
        <f t="shared" si="6"/>
        <v>No</v>
      </c>
      <c r="L419">
        <f>ABS((C419-EDA!$F$15)/EDA!$G$15)</f>
        <v>0.36340175325878554</v>
      </c>
      <c r="M419" t="str">
        <f>IF(moras[[#This Row],[Z-Score Salario]]&gt;1.96, "Sí", "No")</f>
        <v>No</v>
      </c>
      <c r="N419" s="14">
        <f>IF(ISBLANK(moras[[#This Row],[SALARIO]]), EDA!$M$8, moras[[#This Row],[SALARIO]])</f>
        <v>736280</v>
      </c>
      <c r="O419" s="14">
        <f xml:space="preserve"> IF(ISBLANK(moras[[#This Row],[EDAD]]), EDA!$E$8, moras[[#This Row],[EDAD]])</f>
        <v>33</v>
      </c>
      <c r="P419" s="14" t="str">
        <f>IF(
    OR(ISBLANK(moras[[#This Row],[TIPO_ASEGURAMIENTO]]), moras[[#This Row],[TIPO_ASEGURAMIENTO]]=""),
    EDA!$A$32,
    moras[[#This Row],[TIPO_ASEGURAMIENTO]]
)</f>
        <v>ASALARIADO</v>
      </c>
    </row>
    <row r="420" spans="1:16" x14ac:dyDescent="0.3">
      <c r="A420">
        <v>419</v>
      </c>
      <c r="B420" t="s">
        <v>9</v>
      </c>
      <c r="C420">
        <v>200000</v>
      </c>
      <c r="D420" t="s">
        <v>10</v>
      </c>
      <c r="E420" t="s">
        <v>16</v>
      </c>
      <c r="F420" t="s">
        <v>12</v>
      </c>
      <c r="G420" t="s">
        <v>13</v>
      </c>
      <c r="H420" t="s">
        <v>13</v>
      </c>
      <c r="I420">
        <v>46</v>
      </c>
      <c r="J420">
        <f>ABS((I420-EDA!$A$15)/EDA!$B$15)</f>
        <v>0.2837416331672673</v>
      </c>
      <c r="K420" t="str">
        <f t="shared" si="6"/>
        <v>No</v>
      </c>
      <c r="L420">
        <f>ABS((C420-EDA!$F$15)/EDA!$G$15)</f>
        <v>0.3723258310253787</v>
      </c>
      <c r="M420" t="str">
        <f>IF(moras[[#This Row],[Z-Score Salario]]&gt;1.96, "Sí", "No")</f>
        <v>No</v>
      </c>
      <c r="N420" s="14">
        <f>IF(ISBLANK(moras[[#This Row],[SALARIO]]), EDA!$M$8, moras[[#This Row],[SALARIO]])</f>
        <v>200000</v>
      </c>
      <c r="O420" s="14">
        <f xml:space="preserve"> IF(ISBLANK(moras[[#This Row],[EDAD]]), EDA!$E$8, moras[[#This Row],[EDAD]])</f>
        <v>46</v>
      </c>
      <c r="P420" s="14" t="str">
        <f>IF(
    OR(ISBLANK(moras[[#This Row],[TIPO_ASEGURAMIENTO]]), moras[[#This Row],[TIPO_ASEGURAMIENTO]]=""),
    EDA!$A$32,
    moras[[#This Row],[TIPO_ASEGURAMIENTO]]
)</f>
        <v>ASALARIADO</v>
      </c>
    </row>
    <row r="421" spans="1:16" x14ac:dyDescent="0.3">
      <c r="A421">
        <v>420</v>
      </c>
      <c r="B421" t="s">
        <v>9</v>
      </c>
      <c r="C421">
        <v>92670</v>
      </c>
      <c r="D421" t="s">
        <v>10</v>
      </c>
      <c r="E421" t="s">
        <v>16</v>
      </c>
      <c r="F421" t="s">
        <v>12</v>
      </c>
      <c r="G421" t="s">
        <v>13</v>
      </c>
      <c r="H421" t="s">
        <v>13</v>
      </c>
      <c r="I421">
        <v>22</v>
      </c>
      <c r="J421">
        <f>ABS((I421-EDA!$A$15)/EDA!$B$15)</f>
        <v>1.4100662886840327</v>
      </c>
      <c r="K421" t="str">
        <f t="shared" si="6"/>
        <v>No</v>
      </c>
      <c r="L421">
        <f>ABS((C421-EDA!$F$15)/EDA!$G$15)</f>
        <v>0.37411187799093482</v>
      </c>
      <c r="M421" t="str">
        <f>IF(moras[[#This Row],[Z-Score Salario]]&gt;1.96, "Sí", "No")</f>
        <v>No</v>
      </c>
      <c r="N421" s="14">
        <f>IF(ISBLANK(moras[[#This Row],[SALARIO]]), EDA!$M$8, moras[[#This Row],[SALARIO]])</f>
        <v>92670</v>
      </c>
      <c r="O421" s="14">
        <f xml:space="preserve"> IF(ISBLANK(moras[[#This Row],[EDAD]]), EDA!$E$8, moras[[#This Row],[EDAD]])</f>
        <v>22</v>
      </c>
      <c r="P421" s="14" t="str">
        <f>IF(
    OR(ISBLANK(moras[[#This Row],[TIPO_ASEGURAMIENTO]]), moras[[#This Row],[TIPO_ASEGURAMIENTO]]=""),
    EDA!$A$32,
    moras[[#This Row],[TIPO_ASEGURAMIENTO]]
)</f>
        <v>ASALARIADO</v>
      </c>
    </row>
    <row r="422" spans="1:16" x14ac:dyDescent="0.3">
      <c r="A422">
        <v>421</v>
      </c>
      <c r="B422" t="s">
        <v>9</v>
      </c>
      <c r="C422">
        <v>4927391</v>
      </c>
      <c r="D422" t="s">
        <v>10</v>
      </c>
      <c r="E422" t="s">
        <v>16</v>
      </c>
      <c r="F422" t="s">
        <v>12</v>
      </c>
      <c r="G422" t="s">
        <v>12</v>
      </c>
      <c r="H422" t="s">
        <v>13</v>
      </c>
      <c r="I422">
        <v>45</v>
      </c>
      <c r="J422">
        <f>ABS((I422-EDA!$A$15)/EDA!$B$15)</f>
        <v>0.21316630309012977</v>
      </c>
      <c r="K422" t="str">
        <f t="shared" si="6"/>
        <v>No</v>
      </c>
      <c r="L422">
        <f>ABS((C422-EDA!$F$15)/EDA!$G$15)</f>
        <v>0.29365870766241092</v>
      </c>
      <c r="M422" t="str">
        <f>IF(moras[[#This Row],[Z-Score Salario]]&gt;1.96, "Sí", "No")</f>
        <v>No</v>
      </c>
      <c r="N422" s="14">
        <f>IF(ISBLANK(moras[[#This Row],[SALARIO]]), EDA!$M$8, moras[[#This Row],[SALARIO]])</f>
        <v>4927391</v>
      </c>
      <c r="O422" s="14">
        <f xml:space="preserve"> IF(ISBLANK(moras[[#This Row],[EDAD]]), EDA!$E$8, moras[[#This Row],[EDAD]])</f>
        <v>45</v>
      </c>
      <c r="P422" s="14" t="str">
        <f>IF(
    OR(ISBLANK(moras[[#This Row],[TIPO_ASEGURAMIENTO]]), moras[[#This Row],[TIPO_ASEGURAMIENTO]]=""),
    EDA!$A$32,
    moras[[#This Row],[TIPO_ASEGURAMIENTO]]
)</f>
        <v>ASALARIADO</v>
      </c>
    </row>
    <row r="423" spans="1:16" x14ac:dyDescent="0.3">
      <c r="A423">
        <v>422</v>
      </c>
      <c r="B423" t="s">
        <v>9</v>
      </c>
      <c r="C423">
        <v>13622442</v>
      </c>
      <c r="D423" t="s">
        <v>10</v>
      </c>
      <c r="E423" t="s">
        <v>16</v>
      </c>
      <c r="F423" t="s">
        <v>12</v>
      </c>
      <c r="G423" t="s">
        <v>13</v>
      </c>
      <c r="H423" t="s">
        <v>13</v>
      </c>
      <c r="I423">
        <v>30</v>
      </c>
      <c r="J423">
        <f>ABS((I423-EDA!$A$15)/EDA!$B$15)</f>
        <v>0.84546364806693275</v>
      </c>
      <c r="K423" t="str">
        <f t="shared" si="6"/>
        <v>No</v>
      </c>
      <c r="L423">
        <f>ABS((C423-EDA!$F$15)/EDA!$G$15)</f>
        <v>0.14896692107985496</v>
      </c>
      <c r="M423" t="str">
        <f>IF(moras[[#This Row],[Z-Score Salario]]&gt;1.96, "Sí", "No")</f>
        <v>No</v>
      </c>
      <c r="N423" s="14">
        <f>IF(ISBLANK(moras[[#This Row],[SALARIO]]), EDA!$M$8, moras[[#This Row],[SALARIO]])</f>
        <v>13622442</v>
      </c>
      <c r="O423" s="14">
        <f xml:space="preserve"> IF(ISBLANK(moras[[#This Row],[EDAD]]), EDA!$E$8, moras[[#This Row],[EDAD]])</f>
        <v>30</v>
      </c>
      <c r="P423" s="14" t="str">
        <f>IF(
    OR(ISBLANK(moras[[#This Row],[TIPO_ASEGURAMIENTO]]), moras[[#This Row],[TIPO_ASEGURAMIENTO]]=""),
    EDA!$A$32,
    moras[[#This Row],[TIPO_ASEGURAMIENTO]]
)</f>
        <v>ASALARIADO</v>
      </c>
    </row>
    <row r="424" spans="1:16" x14ac:dyDescent="0.3">
      <c r="A424">
        <v>423</v>
      </c>
      <c r="B424" t="s">
        <v>9</v>
      </c>
      <c r="C424">
        <v>1189549</v>
      </c>
      <c r="D424" t="s">
        <v>18</v>
      </c>
      <c r="E424" t="s">
        <v>16</v>
      </c>
      <c r="F424" t="s">
        <v>12</v>
      </c>
      <c r="G424" t="s">
        <v>13</v>
      </c>
      <c r="H424" t="s">
        <v>13</v>
      </c>
      <c r="I424">
        <v>50</v>
      </c>
      <c r="J424">
        <f>ABS((I424-EDA!$A$15)/EDA!$B$15)</f>
        <v>0.56604295347581735</v>
      </c>
      <c r="K424" t="str">
        <f t="shared" si="6"/>
        <v>No</v>
      </c>
      <c r="L424">
        <f>ABS((C424-EDA!$F$15)/EDA!$G$15)</f>
        <v>0.35585903713066985</v>
      </c>
      <c r="M424" t="str">
        <f>IF(moras[[#This Row],[Z-Score Salario]]&gt;1.96, "Sí", "No")</f>
        <v>No</v>
      </c>
      <c r="N424" s="14">
        <f>IF(ISBLANK(moras[[#This Row],[SALARIO]]), EDA!$M$8, moras[[#This Row],[SALARIO]])</f>
        <v>1189549</v>
      </c>
      <c r="O424" s="14">
        <f xml:space="preserve"> IF(ISBLANK(moras[[#This Row],[EDAD]]), EDA!$E$8, moras[[#This Row],[EDAD]])</f>
        <v>50</v>
      </c>
      <c r="P424" s="14" t="str">
        <f>IF(
    OR(ISBLANK(moras[[#This Row],[TIPO_ASEGURAMIENTO]]), moras[[#This Row],[TIPO_ASEGURAMIENTO]]=""),
    EDA!$A$32,
    moras[[#This Row],[TIPO_ASEGURAMIENTO]]
)</f>
        <v>TRABAJADOR INDEPENDIENTE</v>
      </c>
    </row>
    <row r="425" spans="1:16" x14ac:dyDescent="0.3">
      <c r="A425">
        <v>424</v>
      </c>
      <c r="B425" t="s">
        <v>15</v>
      </c>
      <c r="C425">
        <v>339035</v>
      </c>
      <c r="D425" t="s">
        <v>10</v>
      </c>
      <c r="E425" t="s">
        <v>16</v>
      </c>
      <c r="F425" t="s">
        <v>12</v>
      </c>
      <c r="G425" t="s">
        <v>13</v>
      </c>
      <c r="H425" t="s">
        <v>13</v>
      </c>
      <c r="I425">
        <v>40</v>
      </c>
      <c r="J425">
        <f>ABS((I425-EDA!$A$15)/EDA!$B$15)</f>
        <v>0.13971034729555773</v>
      </c>
      <c r="K425" t="str">
        <f t="shared" si="6"/>
        <v>No</v>
      </c>
      <c r="L425">
        <f>ABS((C425-EDA!$F$15)/EDA!$G$15)</f>
        <v>0.37001219047887635</v>
      </c>
      <c r="M425" t="str">
        <f>IF(moras[[#This Row],[Z-Score Salario]]&gt;1.96, "Sí", "No")</f>
        <v>No</v>
      </c>
      <c r="N425" s="14">
        <f>IF(ISBLANK(moras[[#This Row],[SALARIO]]), EDA!$M$8, moras[[#This Row],[SALARIO]])</f>
        <v>339035</v>
      </c>
      <c r="O425" s="14">
        <f xml:space="preserve"> IF(ISBLANK(moras[[#This Row],[EDAD]]), EDA!$E$8, moras[[#This Row],[EDAD]])</f>
        <v>40</v>
      </c>
      <c r="P425" s="14" t="str">
        <f>IF(
    OR(ISBLANK(moras[[#This Row],[TIPO_ASEGURAMIENTO]]), moras[[#This Row],[TIPO_ASEGURAMIENTO]]=""),
    EDA!$A$32,
    moras[[#This Row],[TIPO_ASEGURAMIENTO]]
)</f>
        <v>ASALARIADO</v>
      </c>
    </row>
    <row r="426" spans="1:16" x14ac:dyDescent="0.3">
      <c r="A426">
        <v>425</v>
      </c>
      <c r="B426" t="s">
        <v>9</v>
      </c>
      <c r="C426">
        <v>581850</v>
      </c>
      <c r="D426" t="s">
        <v>10</v>
      </c>
      <c r="E426" t="s">
        <v>16</v>
      </c>
      <c r="F426" t="s">
        <v>12</v>
      </c>
      <c r="G426" t="s">
        <v>13</v>
      </c>
      <c r="H426" t="s">
        <v>13</v>
      </c>
      <c r="I426">
        <v>32</v>
      </c>
      <c r="J426">
        <f>ABS((I426-EDA!$A$15)/EDA!$B$15)</f>
        <v>0.70431298791265773</v>
      </c>
      <c r="K426" t="str">
        <f t="shared" si="6"/>
        <v>No</v>
      </c>
      <c r="L426">
        <f>ABS((C426-EDA!$F$15)/EDA!$G$15)</f>
        <v>0.36597157747280618</v>
      </c>
      <c r="M426" t="str">
        <f>IF(moras[[#This Row],[Z-Score Salario]]&gt;1.96, "Sí", "No")</f>
        <v>No</v>
      </c>
      <c r="N426" s="14">
        <f>IF(ISBLANK(moras[[#This Row],[SALARIO]]), EDA!$M$8, moras[[#This Row],[SALARIO]])</f>
        <v>581850</v>
      </c>
      <c r="O426" s="14">
        <f xml:space="preserve"> IF(ISBLANK(moras[[#This Row],[EDAD]]), EDA!$E$8, moras[[#This Row],[EDAD]])</f>
        <v>32</v>
      </c>
      <c r="P426" s="14" t="str">
        <f>IF(
    OR(ISBLANK(moras[[#This Row],[TIPO_ASEGURAMIENTO]]), moras[[#This Row],[TIPO_ASEGURAMIENTO]]=""),
    EDA!$A$32,
    moras[[#This Row],[TIPO_ASEGURAMIENTO]]
)</f>
        <v>ASALARIADO</v>
      </c>
    </row>
    <row r="427" spans="1:16" x14ac:dyDescent="0.3">
      <c r="A427">
        <v>426</v>
      </c>
      <c r="B427" t="s">
        <v>9</v>
      </c>
      <c r="C427">
        <v>425737</v>
      </c>
      <c r="D427" t="s">
        <v>18</v>
      </c>
      <c r="E427" t="s">
        <v>16</v>
      </c>
      <c r="F427" t="s">
        <v>12</v>
      </c>
      <c r="G427" t="s">
        <v>13</v>
      </c>
      <c r="H427" t="s">
        <v>12</v>
      </c>
      <c r="I427">
        <v>52</v>
      </c>
      <c r="J427">
        <f>ABS((I427-EDA!$A$15)/EDA!$B$15)</f>
        <v>0.70719361363009237</v>
      </c>
      <c r="K427" t="str">
        <f t="shared" si="6"/>
        <v>No</v>
      </c>
      <c r="L427">
        <f>ABS((C427-EDA!$F$15)/EDA!$G$15)</f>
        <v>0.36856940799487703</v>
      </c>
      <c r="M427" t="str">
        <f>IF(moras[[#This Row],[Z-Score Salario]]&gt;1.96, "Sí", "No")</f>
        <v>No</v>
      </c>
      <c r="N427" s="14">
        <f>IF(ISBLANK(moras[[#This Row],[SALARIO]]), EDA!$M$8, moras[[#This Row],[SALARIO]])</f>
        <v>425737</v>
      </c>
      <c r="O427" s="14">
        <f xml:space="preserve"> IF(ISBLANK(moras[[#This Row],[EDAD]]), EDA!$E$8, moras[[#This Row],[EDAD]])</f>
        <v>52</v>
      </c>
      <c r="P427" s="14" t="str">
        <f>IF(
    OR(ISBLANK(moras[[#This Row],[TIPO_ASEGURAMIENTO]]), moras[[#This Row],[TIPO_ASEGURAMIENTO]]=""),
    EDA!$A$32,
    moras[[#This Row],[TIPO_ASEGURAMIENTO]]
)</f>
        <v>TRABAJADOR INDEPENDIENTE</v>
      </c>
    </row>
    <row r="428" spans="1:16" x14ac:dyDescent="0.3">
      <c r="A428">
        <v>427</v>
      </c>
      <c r="B428" t="s">
        <v>15</v>
      </c>
      <c r="C428">
        <v>622188</v>
      </c>
      <c r="D428" t="s">
        <v>10</v>
      </c>
      <c r="E428" t="s">
        <v>16</v>
      </c>
      <c r="F428" t="s">
        <v>12</v>
      </c>
      <c r="G428" t="s">
        <v>13</v>
      </c>
      <c r="H428" t="s">
        <v>13</v>
      </c>
      <c r="I428">
        <v>31</v>
      </c>
      <c r="J428">
        <f>ABS((I428-EDA!$A$15)/EDA!$B$15)</f>
        <v>0.77488831798979529</v>
      </c>
      <c r="K428" t="str">
        <f t="shared" si="6"/>
        <v>No</v>
      </c>
      <c r="L428">
        <f>ABS((C428-EDA!$F$15)/EDA!$G$15)</f>
        <v>0.36530032467771995</v>
      </c>
      <c r="M428" t="str">
        <f>IF(moras[[#This Row],[Z-Score Salario]]&gt;1.96, "Sí", "No")</f>
        <v>No</v>
      </c>
      <c r="N428" s="14">
        <f>IF(ISBLANK(moras[[#This Row],[SALARIO]]), EDA!$M$8, moras[[#This Row],[SALARIO]])</f>
        <v>622188</v>
      </c>
      <c r="O428" s="14">
        <f xml:space="preserve"> IF(ISBLANK(moras[[#This Row],[EDAD]]), EDA!$E$8, moras[[#This Row],[EDAD]])</f>
        <v>31</v>
      </c>
      <c r="P428" s="14" t="str">
        <f>IF(
    OR(ISBLANK(moras[[#This Row],[TIPO_ASEGURAMIENTO]]), moras[[#This Row],[TIPO_ASEGURAMIENTO]]=""),
    EDA!$A$32,
    moras[[#This Row],[TIPO_ASEGURAMIENTO]]
)</f>
        <v>ASALARIADO</v>
      </c>
    </row>
    <row r="429" spans="1:16" x14ac:dyDescent="0.3">
      <c r="A429">
        <v>428</v>
      </c>
      <c r="B429" t="s">
        <v>15</v>
      </c>
      <c r="C429">
        <v>519825</v>
      </c>
      <c r="D429" t="s">
        <v>18</v>
      </c>
      <c r="E429" t="s">
        <v>16</v>
      </c>
      <c r="F429" t="s">
        <v>12</v>
      </c>
      <c r="G429" t="s">
        <v>13</v>
      </c>
      <c r="H429" t="s">
        <v>12</v>
      </c>
      <c r="I429">
        <v>52</v>
      </c>
      <c r="J429">
        <f>ABS((I429-EDA!$A$15)/EDA!$B$15)</f>
        <v>0.70719361363009237</v>
      </c>
      <c r="K429" t="str">
        <f t="shared" si="6"/>
        <v>No</v>
      </c>
      <c r="L429">
        <f>ABS((C429-EDA!$F$15)/EDA!$G$15)</f>
        <v>0.3670037172570102</v>
      </c>
      <c r="M429" t="str">
        <f>IF(moras[[#This Row],[Z-Score Salario]]&gt;1.96, "Sí", "No")</f>
        <v>No</v>
      </c>
      <c r="N429" s="14">
        <f>IF(ISBLANK(moras[[#This Row],[SALARIO]]), EDA!$M$8, moras[[#This Row],[SALARIO]])</f>
        <v>519825</v>
      </c>
      <c r="O429" s="14">
        <f xml:space="preserve"> IF(ISBLANK(moras[[#This Row],[EDAD]]), EDA!$E$8, moras[[#This Row],[EDAD]])</f>
        <v>52</v>
      </c>
      <c r="P429" s="14" t="str">
        <f>IF(
    OR(ISBLANK(moras[[#This Row],[TIPO_ASEGURAMIENTO]]), moras[[#This Row],[TIPO_ASEGURAMIENTO]]=""),
    EDA!$A$32,
    moras[[#This Row],[TIPO_ASEGURAMIENTO]]
)</f>
        <v>TRABAJADOR INDEPENDIENTE</v>
      </c>
    </row>
    <row r="430" spans="1:16" x14ac:dyDescent="0.3">
      <c r="A430">
        <v>429</v>
      </c>
      <c r="B430" t="s">
        <v>15</v>
      </c>
      <c r="C430">
        <v>651555</v>
      </c>
      <c r="D430" t="s">
        <v>10</v>
      </c>
      <c r="E430" t="s">
        <v>16</v>
      </c>
      <c r="F430" t="s">
        <v>12</v>
      </c>
      <c r="G430" t="s">
        <v>13</v>
      </c>
      <c r="H430" t="s">
        <v>13</v>
      </c>
      <c r="I430">
        <v>39</v>
      </c>
      <c r="J430">
        <f>ABS((I430-EDA!$A$15)/EDA!$B$15)</f>
        <v>0.21028567737269524</v>
      </c>
      <c r="K430" t="str">
        <f t="shared" si="6"/>
        <v>No</v>
      </c>
      <c r="L430">
        <f>ABS((C430-EDA!$F$15)/EDA!$G$15)</f>
        <v>0.36481163706719649</v>
      </c>
      <c r="M430" t="str">
        <f>IF(moras[[#This Row],[Z-Score Salario]]&gt;1.96, "Sí", "No")</f>
        <v>No</v>
      </c>
      <c r="N430" s="14">
        <f>IF(ISBLANK(moras[[#This Row],[SALARIO]]), EDA!$M$8, moras[[#This Row],[SALARIO]])</f>
        <v>651555</v>
      </c>
      <c r="O430" s="14">
        <f xml:space="preserve"> IF(ISBLANK(moras[[#This Row],[EDAD]]), EDA!$E$8, moras[[#This Row],[EDAD]])</f>
        <v>39</v>
      </c>
      <c r="P430" s="14" t="str">
        <f>IF(
    OR(ISBLANK(moras[[#This Row],[TIPO_ASEGURAMIENTO]]), moras[[#This Row],[TIPO_ASEGURAMIENTO]]=""),
    EDA!$A$32,
    moras[[#This Row],[TIPO_ASEGURAMIENTO]]
)</f>
        <v>ASALARIADO</v>
      </c>
    </row>
    <row r="431" spans="1:16" x14ac:dyDescent="0.3">
      <c r="A431">
        <v>430</v>
      </c>
      <c r="B431" t="s">
        <v>9</v>
      </c>
      <c r="C431">
        <v>432667</v>
      </c>
      <c r="D431" t="s">
        <v>10</v>
      </c>
      <c r="E431" t="s">
        <v>16</v>
      </c>
      <c r="F431" t="s">
        <v>12</v>
      </c>
      <c r="G431" t="s">
        <v>13</v>
      </c>
      <c r="H431" t="s">
        <v>13</v>
      </c>
      <c r="I431">
        <v>23</v>
      </c>
      <c r="J431">
        <f>ABS((I431-EDA!$A$15)/EDA!$B$15)</f>
        <v>1.3394909586068953</v>
      </c>
      <c r="K431" t="str">
        <f t="shared" si="6"/>
        <v>No</v>
      </c>
      <c r="L431">
        <f>ABS((C431-EDA!$F$15)/EDA!$G$15)</f>
        <v>0.36845408790290551</v>
      </c>
      <c r="M431" t="str">
        <f>IF(moras[[#This Row],[Z-Score Salario]]&gt;1.96, "Sí", "No")</f>
        <v>No</v>
      </c>
      <c r="N431" s="14">
        <f>IF(ISBLANK(moras[[#This Row],[SALARIO]]), EDA!$M$8, moras[[#This Row],[SALARIO]])</f>
        <v>432667</v>
      </c>
      <c r="O431" s="14">
        <f xml:space="preserve"> IF(ISBLANK(moras[[#This Row],[EDAD]]), EDA!$E$8, moras[[#This Row],[EDAD]])</f>
        <v>23</v>
      </c>
      <c r="P431" s="14" t="str">
        <f>IF(
    OR(ISBLANK(moras[[#This Row],[TIPO_ASEGURAMIENTO]]), moras[[#This Row],[TIPO_ASEGURAMIENTO]]=""),
    EDA!$A$32,
    moras[[#This Row],[TIPO_ASEGURAMIENTO]]
)</f>
        <v>ASALARIADO</v>
      </c>
    </row>
    <row r="432" spans="1:16" x14ac:dyDescent="0.3">
      <c r="A432">
        <v>431</v>
      </c>
      <c r="B432" t="s">
        <v>15</v>
      </c>
      <c r="C432">
        <v>575270</v>
      </c>
      <c r="D432" t="s">
        <v>10</v>
      </c>
      <c r="E432" t="s">
        <v>16</v>
      </c>
      <c r="F432" t="s">
        <v>12</v>
      </c>
      <c r="G432" t="s">
        <v>13</v>
      </c>
      <c r="H432" t="s">
        <v>13</v>
      </c>
      <c r="I432">
        <v>54</v>
      </c>
      <c r="J432">
        <f>ABS((I432-EDA!$A$15)/EDA!$B$15)</f>
        <v>0.84834427378436728</v>
      </c>
      <c r="K432" t="str">
        <f t="shared" si="6"/>
        <v>No</v>
      </c>
      <c r="L432">
        <f>ABS((C432-EDA!$F$15)/EDA!$G$15)</f>
        <v>0.36608107331770845</v>
      </c>
      <c r="M432" t="str">
        <f>IF(moras[[#This Row],[Z-Score Salario]]&gt;1.96, "Sí", "No")</f>
        <v>No</v>
      </c>
      <c r="N432" s="14">
        <f>IF(ISBLANK(moras[[#This Row],[SALARIO]]), EDA!$M$8, moras[[#This Row],[SALARIO]])</f>
        <v>575270</v>
      </c>
      <c r="O432" s="14">
        <f xml:space="preserve"> IF(ISBLANK(moras[[#This Row],[EDAD]]), EDA!$E$8, moras[[#This Row],[EDAD]])</f>
        <v>54</v>
      </c>
      <c r="P432" s="14" t="str">
        <f>IF(
    OR(ISBLANK(moras[[#This Row],[TIPO_ASEGURAMIENTO]]), moras[[#This Row],[TIPO_ASEGURAMIENTO]]=""),
    EDA!$A$32,
    moras[[#This Row],[TIPO_ASEGURAMIENTO]]
)</f>
        <v>ASALARIADO</v>
      </c>
    </row>
    <row r="433" spans="1:16" x14ac:dyDescent="0.3">
      <c r="A433">
        <v>432</v>
      </c>
      <c r="B433" t="s">
        <v>15</v>
      </c>
      <c r="C433">
        <v>297046</v>
      </c>
      <c r="D433" t="s">
        <v>17</v>
      </c>
      <c r="E433" t="s">
        <v>16</v>
      </c>
      <c r="F433" t="s">
        <v>12</v>
      </c>
      <c r="G433" t="s">
        <v>13</v>
      </c>
      <c r="H433" t="s">
        <v>13</v>
      </c>
      <c r="I433">
        <v>54</v>
      </c>
      <c r="J433">
        <f>ABS((I433-EDA!$A$15)/EDA!$B$15)</f>
        <v>0.84834427378436728</v>
      </c>
      <c r="K433" t="str">
        <f t="shared" si="6"/>
        <v>No</v>
      </c>
      <c r="L433">
        <f>ABS((C433-EDA!$F$15)/EDA!$G$15)</f>
        <v>0.37071091707942361</v>
      </c>
      <c r="M433" t="str">
        <f>IF(moras[[#This Row],[Z-Score Salario]]&gt;1.96, "Sí", "No")</f>
        <v>No</v>
      </c>
      <c r="N433" s="14">
        <f>IF(ISBLANK(moras[[#This Row],[SALARIO]]), EDA!$M$8, moras[[#This Row],[SALARIO]])</f>
        <v>297046</v>
      </c>
      <c r="O433" s="14">
        <f xml:space="preserve"> IF(ISBLANK(moras[[#This Row],[EDAD]]), EDA!$E$8, moras[[#This Row],[EDAD]])</f>
        <v>54</v>
      </c>
      <c r="P433" s="14" t="str">
        <f>IF(
    OR(ISBLANK(moras[[#This Row],[TIPO_ASEGURAMIENTO]]), moras[[#This Row],[TIPO_ASEGURAMIENTO]]=""),
    EDA!$A$32,
    moras[[#This Row],[TIPO_ASEGURAMIENTO]]
)</f>
        <v>ASEGURADO VOLUNTARIO</v>
      </c>
    </row>
    <row r="434" spans="1:16" x14ac:dyDescent="0.3">
      <c r="A434">
        <v>433</v>
      </c>
      <c r="B434" t="s">
        <v>9</v>
      </c>
      <c r="C434">
        <v>10714667</v>
      </c>
      <c r="D434" t="s">
        <v>10</v>
      </c>
      <c r="E434" t="s">
        <v>16</v>
      </c>
      <c r="F434" t="s">
        <v>12</v>
      </c>
      <c r="G434" t="s">
        <v>12</v>
      </c>
      <c r="H434" t="s">
        <v>13</v>
      </c>
      <c r="I434">
        <v>34</v>
      </c>
      <c r="J434">
        <f>ABS((I434-EDA!$A$15)/EDA!$B$15)</f>
        <v>0.56316232775838282</v>
      </c>
      <c r="K434" t="str">
        <f t="shared" si="6"/>
        <v>No</v>
      </c>
      <c r="L434">
        <f>ABS((C434-EDA!$F$15)/EDA!$G$15)</f>
        <v>0.19735434971369412</v>
      </c>
      <c r="M434" t="str">
        <f>IF(moras[[#This Row],[Z-Score Salario]]&gt;1.96, "Sí", "No")</f>
        <v>No</v>
      </c>
      <c r="N434" s="14">
        <f>IF(ISBLANK(moras[[#This Row],[SALARIO]]), EDA!$M$8, moras[[#This Row],[SALARIO]])</f>
        <v>10714667</v>
      </c>
      <c r="O434" s="14">
        <f xml:space="preserve"> IF(ISBLANK(moras[[#This Row],[EDAD]]), EDA!$E$8, moras[[#This Row],[EDAD]])</f>
        <v>34</v>
      </c>
      <c r="P434" s="14" t="str">
        <f>IF(
    OR(ISBLANK(moras[[#This Row],[TIPO_ASEGURAMIENTO]]), moras[[#This Row],[TIPO_ASEGURAMIENTO]]=""),
    EDA!$A$32,
    moras[[#This Row],[TIPO_ASEGURAMIENTO]]
)</f>
        <v>ASALARIADO</v>
      </c>
    </row>
    <row r="435" spans="1:16" x14ac:dyDescent="0.3">
      <c r="A435">
        <v>434</v>
      </c>
      <c r="B435" t="s">
        <v>15</v>
      </c>
      <c r="C435">
        <v>389357</v>
      </c>
      <c r="D435" t="s">
        <v>10</v>
      </c>
      <c r="E435" t="s">
        <v>16</v>
      </c>
      <c r="F435" t="s">
        <v>12</v>
      </c>
      <c r="G435" t="s">
        <v>13</v>
      </c>
      <c r="H435" t="s">
        <v>12</v>
      </c>
      <c r="I435">
        <v>51</v>
      </c>
      <c r="J435">
        <f>ABS((I435-EDA!$A$15)/EDA!$B$15)</f>
        <v>0.6366182835529548</v>
      </c>
      <c r="K435" t="str">
        <f t="shared" si="6"/>
        <v>No</v>
      </c>
      <c r="L435">
        <f>ABS((C435-EDA!$F$15)/EDA!$G$15)</f>
        <v>0.36917479687596277</v>
      </c>
      <c r="M435" t="str">
        <f>IF(moras[[#This Row],[Z-Score Salario]]&gt;1.96, "Sí", "No")</f>
        <v>No</v>
      </c>
      <c r="N435" s="14">
        <f>IF(ISBLANK(moras[[#This Row],[SALARIO]]), EDA!$M$8, moras[[#This Row],[SALARIO]])</f>
        <v>389357</v>
      </c>
      <c r="O435" s="14">
        <f xml:space="preserve"> IF(ISBLANK(moras[[#This Row],[EDAD]]), EDA!$E$8, moras[[#This Row],[EDAD]])</f>
        <v>51</v>
      </c>
      <c r="P435" s="14" t="str">
        <f>IF(
    OR(ISBLANK(moras[[#This Row],[TIPO_ASEGURAMIENTO]]), moras[[#This Row],[TIPO_ASEGURAMIENTO]]=""),
    EDA!$A$32,
    moras[[#This Row],[TIPO_ASEGURAMIENTO]]
)</f>
        <v>ASALARIADO</v>
      </c>
    </row>
    <row r="436" spans="1:16" x14ac:dyDescent="0.3">
      <c r="A436">
        <v>435</v>
      </c>
      <c r="B436" t="s">
        <v>9</v>
      </c>
      <c r="C436">
        <v>408495</v>
      </c>
      <c r="D436" t="s">
        <v>10</v>
      </c>
      <c r="E436" t="s">
        <v>16</v>
      </c>
      <c r="F436" t="s">
        <v>12</v>
      </c>
      <c r="G436" t="s">
        <v>13</v>
      </c>
      <c r="H436" t="s">
        <v>13</v>
      </c>
      <c r="I436">
        <v>49</v>
      </c>
      <c r="J436">
        <f>ABS((I436-EDA!$A$15)/EDA!$B$15)</f>
        <v>0.49546762339867978</v>
      </c>
      <c r="K436" t="str">
        <f t="shared" si="6"/>
        <v>No</v>
      </c>
      <c r="L436">
        <f>ABS((C436-EDA!$F$15)/EDA!$G$15)</f>
        <v>0.36885632704621513</v>
      </c>
      <c r="M436" t="str">
        <f>IF(moras[[#This Row],[Z-Score Salario]]&gt;1.96, "Sí", "No")</f>
        <v>No</v>
      </c>
      <c r="N436" s="14">
        <f>IF(ISBLANK(moras[[#This Row],[SALARIO]]), EDA!$M$8, moras[[#This Row],[SALARIO]])</f>
        <v>408495</v>
      </c>
      <c r="O436" s="14">
        <f xml:space="preserve"> IF(ISBLANK(moras[[#This Row],[EDAD]]), EDA!$E$8, moras[[#This Row],[EDAD]])</f>
        <v>49</v>
      </c>
      <c r="P436" s="14" t="str">
        <f>IF(
    OR(ISBLANK(moras[[#This Row],[TIPO_ASEGURAMIENTO]]), moras[[#This Row],[TIPO_ASEGURAMIENTO]]=""),
    EDA!$A$32,
    moras[[#This Row],[TIPO_ASEGURAMIENTO]]
)</f>
        <v>ASALARIADO</v>
      </c>
    </row>
    <row r="437" spans="1:16" x14ac:dyDescent="0.3">
      <c r="A437">
        <v>436</v>
      </c>
      <c r="B437" t="s">
        <v>9</v>
      </c>
      <c r="C437">
        <v>150222</v>
      </c>
      <c r="D437" t="s">
        <v>10</v>
      </c>
      <c r="E437" t="s">
        <v>16</v>
      </c>
      <c r="F437" t="s">
        <v>12</v>
      </c>
      <c r="G437" t="s">
        <v>13</v>
      </c>
      <c r="H437" t="s">
        <v>13</v>
      </c>
      <c r="I437">
        <v>56</v>
      </c>
      <c r="J437">
        <f>ABS((I437-EDA!$A$15)/EDA!$B$15)</f>
        <v>0.9894949339386423</v>
      </c>
      <c r="K437" t="str">
        <f t="shared" si="6"/>
        <v>No</v>
      </c>
      <c r="L437">
        <f>ABS((C437-EDA!$F$15)/EDA!$G$15)</f>
        <v>0.37315417208427604</v>
      </c>
      <c r="M437" t="str">
        <f>IF(moras[[#This Row],[Z-Score Salario]]&gt;1.96, "Sí", "No")</f>
        <v>No</v>
      </c>
      <c r="N437" s="14">
        <f>IF(ISBLANK(moras[[#This Row],[SALARIO]]), EDA!$M$8, moras[[#This Row],[SALARIO]])</f>
        <v>150222</v>
      </c>
      <c r="O437" s="14">
        <f xml:space="preserve"> IF(ISBLANK(moras[[#This Row],[EDAD]]), EDA!$E$8, moras[[#This Row],[EDAD]])</f>
        <v>56</v>
      </c>
      <c r="P437" s="14" t="str">
        <f>IF(
    OR(ISBLANK(moras[[#This Row],[TIPO_ASEGURAMIENTO]]), moras[[#This Row],[TIPO_ASEGURAMIENTO]]=""),
    EDA!$A$32,
    moras[[#This Row],[TIPO_ASEGURAMIENTO]]
)</f>
        <v>ASALARIADO</v>
      </c>
    </row>
    <row r="438" spans="1:16" x14ac:dyDescent="0.3">
      <c r="A438">
        <v>437</v>
      </c>
      <c r="B438" t="s">
        <v>15</v>
      </c>
      <c r="C438">
        <v>297046</v>
      </c>
      <c r="D438" t="s">
        <v>17</v>
      </c>
      <c r="E438" t="s">
        <v>16</v>
      </c>
      <c r="F438" t="s">
        <v>12</v>
      </c>
      <c r="G438" t="s">
        <v>12</v>
      </c>
      <c r="H438" t="s">
        <v>13</v>
      </c>
      <c r="I438">
        <v>47</v>
      </c>
      <c r="J438">
        <f>ABS((I438-EDA!$A$15)/EDA!$B$15)</f>
        <v>0.35431696324440481</v>
      </c>
      <c r="K438" t="str">
        <f t="shared" si="6"/>
        <v>No</v>
      </c>
      <c r="L438">
        <f>ABS((C438-EDA!$F$15)/EDA!$G$15)</f>
        <v>0.37071091707942361</v>
      </c>
      <c r="M438" t="str">
        <f>IF(moras[[#This Row],[Z-Score Salario]]&gt;1.96, "Sí", "No")</f>
        <v>No</v>
      </c>
      <c r="N438" s="14">
        <f>IF(ISBLANK(moras[[#This Row],[SALARIO]]), EDA!$M$8, moras[[#This Row],[SALARIO]])</f>
        <v>297046</v>
      </c>
      <c r="O438" s="14">
        <f xml:space="preserve"> IF(ISBLANK(moras[[#This Row],[EDAD]]), EDA!$E$8, moras[[#This Row],[EDAD]])</f>
        <v>47</v>
      </c>
      <c r="P438" s="14" t="str">
        <f>IF(
    OR(ISBLANK(moras[[#This Row],[TIPO_ASEGURAMIENTO]]), moras[[#This Row],[TIPO_ASEGURAMIENTO]]=""),
    EDA!$A$32,
    moras[[#This Row],[TIPO_ASEGURAMIENTO]]
)</f>
        <v>ASEGURADO VOLUNTARIO</v>
      </c>
    </row>
    <row r="439" spans="1:16" x14ac:dyDescent="0.3">
      <c r="A439">
        <v>438</v>
      </c>
      <c r="B439" t="s">
        <v>9</v>
      </c>
      <c r="C439">
        <v>10422543</v>
      </c>
      <c r="D439" t="s">
        <v>10</v>
      </c>
      <c r="E439" t="s">
        <v>16</v>
      </c>
      <c r="F439" t="s">
        <v>12</v>
      </c>
      <c r="G439" t="s">
        <v>13</v>
      </c>
      <c r="H439" t="s">
        <v>13</v>
      </c>
      <c r="I439">
        <v>41</v>
      </c>
      <c r="J439">
        <f>ABS((I439-EDA!$A$15)/EDA!$B$15)</f>
        <v>6.9135017218420233E-2</v>
      </c>
      <c r="K439" t="str">
        <f t="shared" si="6"/>
        <v>No</v>
      </c>
      <c r="L439">
        <f>ABS((C439-EDA!$F$15)/EDA!$G$15)</f>
        <v>0.20221549928758881</v>
      </c>
      <c r="M439" t="str">
        <f>IF(moras[[#This Row],[Z-Score Salario]]&gt;1.96, "Sí", "No")</f>
        <v>No</v>
      </c>
      <c r="N439" s="14">
        <f>IF(ISBLANK(moras[[#This Row],[SALARIO]]), EDA!$M$8, moras[[#This Row],[SALARIO]])</f>
        <v>10422543</v>
      </c>
      <c r="O439" s="14">
        <f xml:space="preserve"> IF(ISBLANK(moras[[#This Row],[EDAD]]), EDA!$E$8, moras[[#This Row],[EDAD]])</f>
        <v>41</v>
      </c>
      <c r="P439" s="14" t="str">
        <f>IF(
    OR(ISBLANK(moras[[#This Row],[TIPO_ASEGURAMIENTO]]), moras[[#This Row],[TIPO_ASEGURAMIENTO]]=""),
    EDA!$A$32,
    moras[[#This Row],[TIPO_ASEGURAMIENTO]]
)</f>
        <v>ASALARIADO</v>
      </c>
    </row>
    <row r="440" spans="1:16" x14ac:dyDescent="0.3">
      <c r="A440">
        <v>439</v>
      </c>
      <c r="B440" t="s">
        <v>9</v>
      </c>
      <c r="C440">
        <v>685221</v>
      </c>
      <c r="D440" t="s">
        <v>14</v>
      </c>
      <c r="E440" t="s">
        <v>11</v>
      </c>
      <c r="F440" t="s">
        <v>12</v>
      </c>
      <c r="G440" t="s">
        <v>13</v>
      </c>
      <c r="H440" t="s">
        <v>13</v>
      </c>
      <c r="I440">
        <v>81</v>
      </c>
      <c r="J440">
        <f>ABS((I440-EDA!$A$15)/EDA!$B$15)</f>
        <v>2.7538781858670798</v>
      </c>
      <c r="K440" t="str">
        <f t="shared" si="6"/>
        <v>Sí</v>
      </c>
      <c r="L440">
        <f>ABS((C440-EDA!$F$15)/EDA!$G$15)</f>
        <v>0.36425141106195646</v>
      </c>
      <c r="M440" t="str">
        <f>IF(moras[[#This Row],[Z-Score Salario]]&gt;1.96, "Sí", "No")</f>
        <v>No</v>
      </c>
      <c r="N440" s="14">
        <f>IF(ISBLANK(moras[[#This Row],[SALARIO]]), EDA!$M$8, moras[[#This Row],[SALARIO]])</f>
        <v>685221</v>
      </c>
      <c r="O440" s="14">
        <f xml:space="preserve"> IF(ISBLANK(moras[[#This Row],[EDAD]]), EDA!$E$8, moras[[#This Row],[EDAD]])</f>
        <v>81</v>
      </c>
      <c r="P440" s="14" t="str">
        <f>IF(
    OR(ISBLANK(moras[[#This Row],[TIPO_ASEGURAMIENTO]]), moras[[#This Row],[TIPO_ASEGURAMIENTO]]=""),
    EDA!$A$32,
    moras[[#This Row],[TIPO_ASEGURAMIENTO]]
)</f>
        <v>PENSIONADOS EN SU PROPIO SISTEMA</v>
      </c>
    </row>
    <row r="441" spans="1:16" x14ac:dyDescent="0.3">
      <c r="A441">
        <v>440</v>
      </c>
      <c r="B441" t="s">
        <v>9</v>
      </c>
      <c r="C441">
        <v>80674007</v>
      </c>
      <c r="D441" t="s">
        <v>10</v>
      </c>
      <c r="E441" t="s">
        <v>16</v>
      </c>
      <c r="F441" t="s">
        <v>12</v>
      </c>
      <c r="G441" t="s">
        <v>13</v>
      </c>
      <c r="H441" t="s">
        <v>13</v>
      </c>
      <c r="I441">
        <v>23</v>
      </c>
      <c r="J441">
        <f>ABS((I441-EDA!$A$15)/EDA!$B$15)</f>
        <v>1.3394909586068953</v>
      </c>
      <c r="K441" t="str">
        <f t="shared" si="6"/>
        <v>No</v>
      </c>
      <c r="L441">
        <f>ABS((C441-EDA!$F$15)/EDA!$G$15)</f>
        <v>0.9668184530377183</v>
      </c>
      <c r="M441" t="str">
        <f>IF(moras[[#This Row],[Z-Score Salario]]&gt;1.96, "Sí", "No")</f>
        <v>No</v>
      </c>
      <c r="N441" s="14">
        <f>IF(ISBLANK(moras[[#This Row],[SALARIO]]), EDA!$M$8, moras[[#This Row],[SALARIO]])</f>
        <v>80674007</v>
      </c>
      <c r="O441" s="14">
        <f xml:space="preserve"> IF(ISBLANK(moras[[#This Row],[EDAD]]), EDA!$E$8, moras[[#This Row],[EDAD]])</f>
        <v>23</v>
      </c>
      <c r="P441" s="14" t="str">
        <f>IF(
    OR(ISBLANK(moras[[#This Row],[TIPO_ASEGURAMIENTO]]), moras[[#This Row],[TIPO_ASEGURAMIENTO]]=""),
    EDA!$A$32,
    moras[[#This Row],[TIPO_ASEGURAMIENTO]]
)</f>
        <v>ASALARIADO</v>
      </c>
    </row>
    <row r="442" spans="1:16" x14ac:dyDescent="0.3">
      <c r="A442">
        <v>441</v>
      </c>
      <c r="B442" t="s">
        <v>15</v>
      </c>
      <c r="C442">
        <v>140000</v>
      </c>
      <c r="D442" t="s">
        <v>10</v>
      </c>
      <c r="E442" t="s">
        <v>16</v>
      </c>
      <c r="F442" t="s">
        <v>12</v>
      </c>
      <c r="G442" t="s">
        <v>12</v>
      </c>
      <c r="H442" t="s">
        <v>13</v>
      </c>
      <c r="I442">
        <v>39</v>
      </c>
      <c r="J442">
        <f>ABS((I442-EDA!$A$15)/EDA!$B$15)</f>
        <v>0.21028567737269524</v>
      </c>
      <c r="K442" t="str">
        <f t="shared" si="6"/>
        <v>No</v>
      </c>
      <c r="L442">
        <f>ABS((C442-EDA!$F$15)/EDA!$G$15)</f>
        <v>0.37332427338011048</v>
      </c>
      <c r="M442" t="str">
        <f>IF(moras[[#This Row],[Z-Score Salario]]&gt;1.96, "Sí", "No")</f>
        <v>No</v>
      </c>
      <c r="N442" s="14">
        <f>IF(ISBLANK(moras[[#This Row],[SALARIO]]), EDA!$M$8, moras[[#This Row],[SALARIO]])</f>
        <v>140000</v>
      </c>
      <c r="O442" s="14">
        <f xml:space="preserve"> IF(ISBLANK(moras[[#This Row],[EDAD]]), EDA!$E$8, moras[[#This Row],[EDAD]])</f>
        <v>39</v>
      </c>
      <c r="P442" s="14" t="str">
        <f>IF(
    OR(ISBLANK(moras[[#This Row],[TIPO_ASEGURAMIENTO]]), moras[[#This Row],[TIPO_ASEGURAMIENTO]]=""),
    EDA!$A$32,
    moras[[#This Row],[TIPO_ASEGURAMIENTO]]
)</f>
        <v>ASALARIADO</v>
      </c>
    </row>
    <row r="443" spans="1:16" x14ac:dyDescent="0.3">
      <c r="A443">
        <v>442</v>
      </c>
      <c r="B443" t="s">
        <v>15</v>
      </c>
      <c r="C443">
        <v>567930</v>
      </c>
      <c r="D443" t="s">
        <v>18</v>
      </c>
      <c r="E443" t="s">
        <v>16</v>
      </c>
      <c r="F443" t="s">
        <v>12</v>
      </c>
      <c r="G443" t="s">
        <v>13</v>
      </c>
      <c r="H443" t="s">
        <v>12</v>
      </c>
      <c r="I443">
        <v>74</v>
      </c>
      <c r="J443">
        <f>ABS((I443-EDA!$A$15)/EDA!$B$15)</f>
        <v>2.2598508753271176</v>
      </c>
      <c r="K443" t="str">
        <f t="shared" si="6"/>
        <v>Sí</v>
      </c>
      <c r="L443">
        <f>ABS((C443-EDA!$F$15)/EDA!$G$15)</f>
        <v>0.36620321609910395</v>
      </c>
      <c r="M443" t="str">
        <f>IF(moras[[#This Row],[Z-Score Salario]]&gt;1.96, "Sí", "No")</f>
        <v>No</v>
      </c>
      <c r="N443" s="14">
        <f>IF(ISBLANK(moras[[#This Row],[SALARIO]]), EDA!$M$8, moras[[#This Row],[SALARIO]])</f>
        <v>567930</v>
      </c>
      <c r="O443" s="14">
        <f xml:space="preserve"> IF(ISBLANK(moras[[#This Row],[EDAD]]), EDA!$E$8, moras[[#This Row],[EDAD]])</f>
        <v>74</v>
      </c>
      <c r="P443" s="14" t="str">
        <f>IF(
    OR(ISBLANK(moras[[#This Row],[TIPO_ASEGURAMIENTO]]), moras[[#This Row],[TIPO_ASEGURAMIENTO]]=""),
    EDA!$A$32,
    moras[[#This Row],[TIPO_ASEGURAMIENTO]]
)</f>
        <v>TRABAJADOR INDEPENDIENTE</v>
      </c>
    </row>
    <row r="444" spans="1:16" x14ac:dyDescent="0.3">
      <c r="A444">
        <v>443</v>
      </c>
      <c r="B444" t="s">
        <v>9</v>
      </c>
      <c r="C444">
        <v>539324</v>
      </c>
      <c r="D444" t="s">
        <v>10</v>
      </c>
      <c r="E444" t="s">
        <v>11</v>
      </c>
      <c r="F444" t="s">
        <v>12</v>
      </c>
      <c r="G444" t="s">
        <v>13</v>
      </c>
      <c r="H444" t="s">
        <v>13</v>
      </c>
      <c r="I444">
        <v>38</v>
      </c>
      <c r="J444">
        <f>ABS((I444-EDA!$A$15)/EDA!$B$15)</f>
        <v>0.28086100744983278</v>
      </c>
      <c r="K444" t="str">
        <f t="shared" si="6"/>
        <v>No</v>
      </c>
      <c r="L444">
        <f>ABS((C444-EDA!$F$15)/EDA!$G$15)</f>
        <v>0.36667924013242825</v>
      </c>
      <c r="M444" t="str">
        <f>IF(moras[[#This Row],[Z-Score Salario]]&gt;1.96, "Sí", "No")</f>
        <v>No</v>
      </c>
      <c r="N444" s="14">
        <f>IF(ISBLANK(moras[[#This Row],[SALARIO]]), EDA!$M$8, moras[[#This Row],[SALARIO]])</f>
        <v>539324</v>
      </c>
      <c r="O444" s="14">
        <f xml:space="preserve"> IF(ISBLANK(moras[[#This Row],[EDAD]]), EDA!$E$8, moras[[#This Row],[EDAD]])</f>
        <v>38</v>
      </c>
      <c r="P444" s="14" t="str">
        <f>IF(
    OR(ISBLANK(moras[[#This Row],[TIPO_ASEGURAMIENTO]]), moras[[#This Row],[TIPO_ASEGURAMIENTO]]=""),
    EDA!$A$32,
    moras[[#This Row],[TIPO_ASEGURAMIENTO]]
)</f>
        <v>ASALARIADO</v>
      </c>
    </row>
    <row r="445" spans="1:16" x14ac:dyDescent="0.3">
      <c r="A445">
        <v>444</v>
      </c>
      <c r="B445" t="s">
        <v>15</v>
      </c>
      <c r="C445">
        <v>10563333</v>
      </c>
      <c r="D445" t="s">
        <v>10</v>
      </c>
      <c r="E445" t="s">
        <v>11</v>
      </c>
      <c r="F445" t="s">
        <v>12</v>
      </c>
      <c r="G445" t="s">
        <v>13</v>
      </c>
      <c r="H445" t="s">
        <v>13</v>
      </c>
      <c r="I445">
        <v>40</v>
      </c>
      <c r="J445">
        <f>ABS((I445-EDA!$A$15)/EDA!$B$15)</f>
        <v>0.13971034729555773</v>
      </c>
      <c r="K445" t="str">
        <f t="shared" si="6"/>
        <v>No</v>
      </c>
      <c r="L445">
        <f>ABS((C445-EDA!$F$15)/EDA!$G$15)</f>
        <v>0.19987265430221057</v>
      </c>
      <c r="M445" t="str">
        <f>IF(moras[[#This Row],[Z-Score Salario]]&gt;1.96, "Sí", "No")</f>
        <v>No</v>
      </c>
      <c r="N445" s="14">
        <f>IF(ISBLANK(moras[[#This Row],[SALARIO]]), EDA!$M$8, moras[[#This Row],[SALARIO]])</f>
        <v>10563333</v>
      </c>
      <c r="O445" s="14">
        <f xml:space="preserve"> IF(ISBLANK(moras[[#This Row],[EDAD]]), EDA!$E$8, moras[[#This Row],[EDAD]])</f>
        <v>40</v>
      </c>
      <c r="P445" s="14" t="str">
        <f>IF(
    OR(ISBLANK(moras[[#This Row],[TIPO_ASEGURAMIENTO]]), moras[[#This Row],[TIPO_ASEGURAMIENTO]]=""),
    EDA!$A$32,
    moras[[#This Row],[TIPO_ASEGURAMIENTO]]
)</f>
        <v>ASALARIADO</v>
      </c>
    </row>
    <row r="446" spans="1:16" x14ac:dyDescent="0.3">
      <c r="A446">
        <v>445</v>
      </c>
      <c r="B446" t="s">
        <v>9</v>
      </c>
      <c r="C446">
        <v>310544</v>
      </c>
      <c r="D446" t="s">
        <v>17</v>
      </c>
      <c r="E446" t="s">
        <v>16</v>
      </c>
      <c r="F446" t="s">
        <v>12</v>
      </c>
      <c r="G446" t="s">
        <v>13</v>
      </c>
      <c r="H446" t="s">
        <v>13</v>
      </c>
      <c r="I446">
        <v>58</v>
      </c>
      <c r="J446">
        <f>ABS((I446-EDA!$A$15)/EDA!$B$15)</f>
        <v>1.1306455940929174</v>
      </c>
      <c r="K446" t="str">
        <f t="shared" si="6"/>
        <v>No</v>
      </c>
      <c r="L446">
        <f>ABS((C446-EDA!$F$15)/EDA!$G$15)</f>
        <v>0.37048630083102074</v>
      </c>
      <c r="M446" t="str">
        <f>IF(moras[[#This Row],[Z-Score Salario]]&gt;1.96, "Sí", "No")</f>
        <v>No</v>
      </c>
      <c r="N446" s="14">
        <f>IF(ISBLANK(moras[[#This Row],[SALARIO]]), EDA!$M$8, moras[[#This Row],[SALARIO]])</f>
        <v>310544</v>
      </c>
      <c r="O446" s="14">
        <f xml:space="preserve"> IF(ISBLANK(moras[[#This Row],[EDAD]]), EDA!$E$8, moras[[#This Row],[EDAD]])</f>
        <v>58</v>
      </c>
      <c r="P446" s="14" t="str">
        <f>IF(
    OR(ISBLANK(moras[[#This Row],[TIPO_ASEGURAMIENTO]]), moras[[#This Row],[TIPO_ASEGURAMIENTO]]=""),
    EDA!$A$32,
    moras[[#This Row],[TIPO_ASEGURAMIENTO]]
)</f>
        <v>ASEGURADO VOLUNTARIO</v>
      </c>
    </row>
    <row r="447" spans="1:16" x14ac:dyDescent="0.3">
      <c r="A447">
        <v>446</v>
      </c>
      <c r="B447" t="s">
        <v>15</v>
      </c>
      <c r="C447">
        <v>37532153</v>
      </c>
      <c r="D447" t="s">
        <v>10</v>
      </c>
      <c r="E447" t="s">
        <v>16</v>
      </c>
      <c r="F447" t="s">
        <v>12</v>
      </c>
      <c r="G447" t="s">
        <v>13</v>
      </c>
      <c r="H447" t="s">
        <v>12</v>
      </c>
      <c r="I447">
        <v>32</v>
      </c>
      <c r="J447">
        <f>ABS((I447-EDA!$A$15)/EDA!$B$15)</f>
        <v>0.70431298791265773</v>
      </c>
      <c r="K447" t="str">
        <f t="shared" si="6"/>
        <v>No</v>
      </c>
      <c r="L447">
        <f>ABS((C447-EDA!$F$15)/EDA!$G$15)</f>
        <v>0.2489075481167709</v>
      </c>
      <c r="M447" t="str">
        <f>IF(moras[[#This Row],[Z-Score Salario]]&gt;1.96, "Sí", "No")</f>
        <v>No</v>
      </c>
      <c r="N447" s="14">
        <f>IF(ISBLANK(moras[[#This Row],[SALARIO]]), EDA!$M$8, moras[[#This Row],[SALARIO]])</f>
        <v>37532153</v>
      </c>
      <c r="O447" s="14">
        <f xml:space="preserve"> IF(ISBLANK(moras[[#This Row],[EDAD]]), EDA!$E$8, moras[[#This Row],[EDAD]])</f>
        <v>32</v>
      </c>
      <c r="P447" s="14" t="str">
        <f>IF(
    OR(ISBLANK(moras[[#This Row],[TIPO_ASEGURAMIENTO]]), moras[[#This Row],[TIPO_ASEGURAMIENTO]]=""),
    EDA!$A$32,
    moras[[#This Row],[TIPO_ASEGURAMIENTO]]
)</f>
        <v>ASALARIADO</v>
      </c>
    </row>
    <row r="448" spans="1:16" x14ac:dyDescent="0.3">
      <c r="A448">
        <v>447</v>
      </c>
      <c r="B448" t="s">
        <v>9</v>
      </c>
      <c r="C448">
        <v>255660</v>
      </c>
      <c r="D448" t="s">
        <v>10</v>
      </c>
      <c r="E448" t="s">
        <v>16</v>
      </c>
      <c r="F448" t="s">
        <v>12</v>
      </c>
      <c r="G448" t="s">
        <v>12</v>
      </c>
      <c r="H448" t="s">
        <v>13</v>
      </c>
      <c r="I448">
        <v>22</v>
      </c>
      <c r="J448">
        <f>ABS((I448-EDA!$A$15)/EDA!$B$15)</f>
        <v>1.4100662886840327</v>
      </c>
      <c r="K448" t="str">
        <f t="shared" si="6"/>
        <v>No</v>
      </c>
      <c r="L448">
        <f>ABS((C448-EDA!$F$15)/EDA!$G$15)</f>
        <v>0.37139960933430577</v>
      </c>
      <c r="M448" t="str">
        <f>IF(moras[[#This Row],[Z-Score Salario]]&gt;1.96, "Sí", "No")</f>
        <v>No</v>
      </c>
      <c r="N448" s="14">
        <f>IF(ISBLANK(moras[[#This Row],[SALARIO]]), EDA!$M$8, moras[[#This Row],[SALARIO]])</f>
        <v>255660</v>
      </c>
      <c r="O448" s="14">
        <f xml:space="preserve"> IF(ISBLANK(moras[[#This Row],[EDAD]]), EDA!$E$8, moras[[#This Row],[EDAD]])</f>
        <v>22</v>
      </c>
      <c r="P448" s="14" t="str">
        <f>IF(
    OR(ISBLANK(moras[[#This Row],[TIPO_ASEGURAMIENTO]]), moras[[#This Row],[TIPO_ASEGURAMIENTO]]=""),
    EDA!$A$32,
    moras[[#This Row],[TIPO_ASEGURAMIENTO]]
)</f>
        <v>ASALARIADO</v>
      </c>
    </row>
    <row r="449" spans="1:16" x14ac:dyDescent="0.3">
      <c r="A449">
        <v>448</v>
      </c>
      <c r="B449" t="s">
        <v>15</v>
      </c>
      <c r="C449">
        <v>2138625</v>
      </c>
      <c r="D449" t="s">
        <v>10</v>
      </c>
      <c r="E449" t="s">
        <v>16</v>
      </c>
      <c r="F449" t="s">
        <v>12</v>
      </c>
      <c r="G449" t="s">
        <v>13</v>
      </c>
      <c r="H449" t="s">
        <v>13</v>
      </c>
      <c r="I449">
        <v>32</v>
      </c>
      <c r="J449">
        <f>ABS((I449-EDA!$A$15)/EDA!$B$15)</f>
        <v>0.70431298791265773</v>
      </c>
      <c r="K449" t="str">
        <f t="shared" si="6"/>
        <v>No</v>
      </c>
      <c r="L449">
        <f>ABS((C449-EDA!$F$15)/EDA!$G$15)</f>
        <v>0.34006574252634542</v>
      </c>
      <c r="M449" t="str">
        <f>IF(moras[[#This Row],[Z-Score Salario]]&gt;1.96, "Sí", "No")</f>
        <v>No</v>
      </c>
      <c r="N449" s="14">
        <f>IF(ISBLANK(moras[[#This Row],[SALARIO]]), EDA!$M$8, moras[[#This Row],[SALARIO]])</f>
        <v>2138625</v>
      </c>
      <c r="O449" s="14">
        <f xml:space="preserve"> IF(ISBLANK(moras[[#This Row],[EDAD]]), EDA!$E$8, moras[[#This Row],[EDAD]])</f>
        <v>32</v>
      </c>
      <c r="P449" s="14" t="str">
        <f>IF(
    OR(ISBLANK(moras[[#This Row],[TIPO_ASEGURAMIENTO]]), moras[[#This Row],[TIPO_ASEGURAMIENTO]]=""),
    EDA!$A$32,
    moras[[#This Row],[TIPO_ASEGURAMIENTO]]
)</f>
        <v>ASALARIADO</v>
      </c>
    </row>
    <row r="450" spans="1:16" x14ac:dyDescent="0.3">
      <c r="A450">
        <v>449</v>
      </c>
      <c r="B450" t="s">
        <v>15</v>
      </c>
      <c r="C450">
        <v>404463</v>
      </c>
      <c r="D450" t="s">
        <v>18</v>
      </c>
      <c r="E450" t="s">
        <v>16</v>
      </c>
      <c r="F450" t="s">
        <v>12</v>
      </c>
      <c r="G450" t="s">
        <v>13</v>
      </c>
      <c r="H450" t="s">
        <v>12</v>
      </c>
      <c r="I450">
        <v>38</v>
      </c>
      <c r="J450">
        <f>ABS((I450-EDA!$A$15)/EDA!$B$15)</f>
        <v>0.28086100744983278</v>
      </c>
      <c r="K450" t="str">
        <f t="shared" ref="K450:K513" si="7">IF(J450 &gt;  1.96, "Sí","No")</f>
        <v>No</v>
      </c>
      <c r="L450">
        <f>ABS((C450-EDA!$F$15)/EDA!$G$15)</f>
        <v>0.36892342237245312</v>
      </c>
      <c r="M450" t="str">
        <f>IF(moras[[#This Row],[Z-Score Salario]]&gt;1.96, "Sí", "No")</f>
        <v>No</v>
      </c>
      <c r="N450" s="14">
        <f>IF(ISBLANK(moras[[#This Row],[SALARIO]]), EDA!$M$8, moras[[#This Row],[SALARIO]])</f>
        <v>404463</v>
      </c>
      <c r="O450" s="14">
        <f xml:space="preserve"> IF(ISBLANK(moras[[#This Row],[EDAD]]), EDA!$E$8, moras[[#This Row],[EDAD]])</f>
        <v>38</v>
      </c>
      <c r="P450" s="14" t="str">
        <f>IF(
    OR(ISBLANK(moras[[#This Row],[TIPO_ASEGURAMIENTO]]), moras[[#This Row],[TIPO_ASEGURAMIENTO]]=""),
    EDA!$A$32,
    moras[[#This Row],[TIPO_ASEGURAMIENTO]]
)</f>
        <v>TRABAJADOR INDEPENDIENTE</v>
      </c>
    </row>
    <row r="451" spans="1:16" x14ac:dyDescent="0.3">
      <c r="A451">
        <v>450</v>
      </c>
      <c r="B451" t="s">
        <v>9</v>
      </c>
      <c r="C451">
        <v>5712732</v>
      </c>
      <c r="D451" t="s">
        <v>10</v>
      </c>
      <c r="E451" t="s">
        <v>16</v>
      </c>
      <c r="F451" t="s">
        <v>12</v>
      </c>
      <c r="G451" t="s">
        <v>13</v>
      </c>
      <c r="H451" t="s">
        <v>13</v>
      </c>
      <c r="I451">
        <v>37</v>
      </c>
      <c r="J451">
        <f>ABS((I451-EDA!$A$15)/EDA!$B$15)</f>
        <v>0.35143633752697023</v>
      </c>
      <c r="K451" t="str">
        <f t="shared" si="7"/>
        <v>No</v>
      </c>
      <c r="L451">
        <f>ABS((C451-EDA!$F$15)/EDA!$G$15)</f>
        <v>0.28059007904062011</v>
      </c>
      <c r="M451" t="str">
        <f>IF(moras[[#This Row],[Z-Score Salario]]&gt;1.96, "Sí", "No")</f>
        <v>No</v>
      </c>
      <c r="N451" s="14">
        <f>IF(ISBLANK(moras[[#This Row],[SALARIO]]), EDA!$M$8, moras[[#This Row],[SALARIO]])</f>
        <v>5712732</v>
      </c>
      <c r="O451" s="14">
        <f xml:space="preserve"> IF(ISBLANK(moras[[#This Row],[EDAD]]), EDA!$E$8, moras[[#This Row],[EDAD]])</f>
        <v>37</v>
      </c>
      <c r="P451" s="14" t="str">
        <f>IF(
    OR(ISBLANK(moras[[#This Row],[TIPO_ASEGURAMIENTO]]), moras[[#This Row],[TIPO_ASEGURAMIENTO]]=""),
    EDA!$A$32,
    moras[[#This Row],[TIPO_ASEGURAMIENTO]]
)</f>
        <v>ASALARIADO</v>
      </c>
    </row>
    <row r="452" spans="1:16" x14ac:dyDescent="0.3">
      <c r="A452">
        <v>451</v>
      </c>
      <c r="B452" t="s">
        <v>15</v>
      </c>
      <c r="C452">
        <v>163302324</v>
      </c>
      <c r="D452" t="s">
        <v>10</v>
      </c>
      <c r="E452" t="s">
        <v>11</v>
      </c>
      <c r="F452" t="s">
        <v>12</v>
      </c>
      <c r="G452" t="s">
        <v>13</v>
      </c>
      <c r="H452" t="s">
        <v>13</v>
      </c>
      <c r="I452">
        <v>31</v>
      </c>
      <c r="J452">
        <f>ABS((I452-EDA!$A$15)/EDA!$B$15)</f>
        <v>0.77488831798979529</v>
      </c>
      <c r="K452" t="str">
        <f t="shared" si="7"/>
        <v>No</v>
      </c>
      <c r="L452">
        <f>ABS((C452-EDA!$F$15)/EDA!$G$15)</f>
        <v>2.3418119762545206</v>
      </c>
      <c r="M452" t="str">
        <f>IF(moras[[#This Row],[Z-Score Salario]]&gt;1.96, "Sí", "No")</f>
        <v>Sí</v>
      </c>
      <c r="N452" s="14">
        <f>IF(ISBLANK(moras[[#This Row],[SALARIO]]), EDA!$M$8, moras[[#This Row],[SALARIO]])</f>
        <v>163302324</v>
      </c>
      <c r="O452" s="14">
        <f xml:space="preserve"> IF(ISBLANK(moras[[#This Row],[EDAD]]), EDA!$E$8, moras[[#This Row],[EDAD]])</f>
        <v>31</v>
      </c>
      <c r="P452" s="14" t="str">
        <f>IF(
    OR(ISBLANK(moras[[#This Row],[TIPO_ASEGURAMIENTO]]), moras[[#This Row],[TIPO_ASEGURAMIENTO]]=""),
    EDA!$A$32,
    moras[[#This Row],[TIPO_ASEGURAMIENTO]]
)</f>
        <v>ASALARIADO</v>
      </c>
    </row>
    <row r="453" spans="1:16" x14ac:dyDescent="0.3">
      <c r="A453">
        <v>452</v>
      </c>
      <c r="B453" t="s">
        <v>9</v>
      </c>
      <c r="C453">
        <v>269000</v>
      </c>
      <c r="D453" t="s">
        <v>10</v>
      </c>
      <c r="E453" t="s">
        <v>16</v>
      </c>
      <c r="F453" t="s">
        <v>12</v>
      </c>
      <c r="G453" t="s">
        <v>12</v>
      </c>
      <c r="H453" t="s">
        <v>13</v>
      </c>
      <c r="I453">
        <v>43</v>
      </c>
      <c r="J453">
        <f>ABS((I453-EDA!$A$15)/EDA!$B$15)</f>
        <v>7.2015642935854773E-2</v>
      </c>
      <c r="K453" t="str">
        <f t="shared" si="7"/>
        <v>No</v>
      </c>
      <c r="L453">
        <f>ABS((C453-EDA!$F$15)/EDA!$G$15)</f>
        <v>0.37117762231743706</v>
      </c>
      <c r="M453" t="str">
        <f>IF(moras[[#This Row],[Z-Score Salario]]&gt;1.96, "Sí", "No")</f>
        <v>No</v>
      </c>
      <c r="N453" s="14">
        <f>IF(ISBLANK(moras[[#This Row],[SALARIO]]), EDA!$M$8, moras[[#This Row],[SALARIO]])</f>
        <v>269000</v>
      </c>
      <c r="O453" s="14">
        <f xml:space="preserve"> IF(ISBLANK(moras[[#This Row],[EDAD]]), EDA!$E$8, moras[[#This Row],[EDAD]])</f>
        <v>43</v>
      </c>
      <c r="P453" s="14" t="str">
        <f>IF(
    OR(ISBLANK(moras[[#This Row],[TIPO_ASEGURAMIENTO]]), moras[[#This Row],[TIPO_ASEGURAMIENTO]]=""),
    EDA!$A$32,
    moras[[#This Row],[TIPO_ASEGURAMIENTO]]
)</f>
        <v>ASALARIADO</v>
      </c>
    </row>
    <row r="454" spans="1:16" x14ac:dyDescent="0.3">
      <c r="A454">
        <v>453</v>
      </c>
      <c r="B454" t="s">
        <v>9</v>
      </c>
      <c r="C454">
        <v>53166667</v>
      </c>
      <c r="D454" t="s">
        <v>10</v>
      </c>
      <c r="E454" t="s">
        <v>16</v>
      </c>
      <c r="F454" t="s">
        <v>12</v>
      </c>
      <c r="G454" t="s">
        <v>13</v>
      </c>
      <c r="H454" t="s">
        <v>13</v>
      </c>
      <c r="I454">
        <v>29</v>
      </c>
      <c r="J454">
        <f>ABS((I454-EDA!$A$15)/EDA!$B$15)</f>
        <v>0.91603897814407031</v>
      </c>
      <c r="K454" t="str">
        <f t="shared" si="7"/>
        <v>No</v>
      </c>
      <c r="L454">
        <f>ABS((C454-EDA!$F$15)/EDA!$G$15)</f>
        <v>0.50907689767090047</v>
      </c>
      <c r="M454" t="str">
        <f>IF(moras[[#This Row],[Z-Score Salario]]&gt;1.96, "Sí", "No")</f>
        <v>No</v>
      </c>
      <c r="N454" s="14">
        <f>IF(ISBLANK(moras[[#This Row],[SALARIO]]), EDA!$M$8, moras[[#This Row],[SALARIO]])</f>
        <v>53166667</v>
      </c>
      <c r="O454" s="14">
        <f xml:space="preserve"> IF(ISBLANK(moras[[#This Row],[EDAD]]), EDA!$E$8, moras[[#This Row],[EDAD]])</f>
        <v>29</v>
      </c>
      <c r="P454" s="14" t="str">
        <f>IF(
    OR(ISBLANK(moras[[#This Row],[TIPO_ASEGURAMIENTO]]), moras[[#This Row],[TIPO_ASEGURAMIENTO]]=""),
    EDA!$A$32,
    moras[[#This Row],[TIPO_ASEGURAMIENTO]]
)</f>
        <v>ASALARIADO</v>
      </c>
    </row>
    <row r="455" spans="1:16" x14ac:dyDescent="0.3">
      <c r="A455">
        <v>454</v>
      </c>
      <c r="B455" t="s">
        <v>15</v>
      </c>
      <c r="C455">
        <v>326339364</v>
      </c>
      <c r="D455" t="s">
        <v>10</v>
      </c>
      <c r="E455" t="s">
        <v>11</v>
      </c>
      <c r="F455" t="s">
        <v>12</v>
      </c>
      <c r="G455" t="s">
        <v>13</v>
      </c>
      <c r="H455" t="s">
        <v>13</v>
      </c>
      <c r="I455">
        <v>39</v>
      </c>
      <c r="J455">
        <f>ABS((I455-EDA!$A$15)/EDA!$B$15)</f>
        <v>0.21028567737269524</v>
      </c>
      <c r="K455" t="str">
        <f t="shared" si="7"/>
        <v>No</v>
      </c>
      <c r="L455">
        <f>ABS((C455-EDA!$F$15)/EDA!$G$15)</f>
        <v>5.0548634116896487</v>
      </c>
      <c r="M455" t="str">
        <f>IF(moras[[#This Row],[Z-Score Salario]]&gt;1.96, "Sí", "No")</f>
        <v>Sí</v>
      </c>
      <c r="N455" s="14">
        <f>IF(ISBLANK(moras[[#This Row],[SALARIO]]), EDA!$M$8, moras[[#This Row],[SALARIO]])</f>
        <v>326339364</v>
      </c>
      <c r="O455" s="14">
        <f xml:space="preserve"> IF(ISBLANK(moras[[#This Row],[EDAD]]), EDA!$E$8, moras[[#This Row],[EDAD]])</f>
        <v>39</v>
      </c>
      <c r="P455" s="14" t="str">
        <f>IF(
    OR(ISBLANK(moras[[#This Row],[TIPO_ASEGURAMIENTO]]), moras[[#This Row],[TIPO_ASEGURAMIENTO]]=""),
    EDA!$A$32,
    moras[[#This Row],[TIPO_ASEGURAMIENTO]]
)</f>
        <v>ASALARIADO</v>
      </c>
    </row>
    <row r="456" spans="1:16" x14ac:dyDescent="0.3">
      <c r="A456">
        <v>455</v>
      </c>
      <c r="B456" t="s">
        <v>9</v>
      </c>
      <c r="C456">
        <v>404950</v>
      </c>
      <c r="D456" t="s">
        <v>10</v>
      </c>
      <c r="E456" t="s">
        <v>16</v>
      </c>
      <c r="F456" t="s">
        <v>12</v>
      </c>
      <c r="G456" t="s">
        <v>12</v>
      </c>
      <c r="H456" t="s">
        <v>13</v>
      </c>
      <c r="I456">
        <v>36</v>
      </c>
      <c r="J456">
        <f>ABS((I456-EDA!$A$15)/EDA!$B$15)</f>
        <v>0.42201166760410774</v>
      </c>
      <c r="K456" t="str">
        <f t="shared" si="7"/>
        <v>No</v>
      </c>
      <c r="L456">
        <f>ABS((C456-EDA!$F$15)/EDA!$G$15)</f>
        <v>0.36891531834867386</v>
      </c>
      <c r="M456" t="str">
        <f>IF(moras[[#This Row],[Z-Score Salario]]&gt;1.96, "Sí", "No")</f>
        <v>No</v>
      </c>
      <c r="N456" s="14">
        <f>IF(ISBLANK(moras[[#This Row],[SALARIO]]), EDA!$M$8, moras[[#This Row],[SALARIO]])</f>
        <v>404950</v>
      </c>
      <c r="O456" s="14">
        <f xml:space="preserve"> IF(ISBLANK(moras[[#This Row],[EDAD]]), EDA!$E$8, moras[[#This Row],[EDAD]])</f>
        <v>36</v>
      </c>
      <c r="P456" s="14" t="str">
        <f>IF(
    OR(ISBLANK(moras[[#This Row],[TIPO_ASEGURAMIENTO]]), moras[[#This Row],[TIPO_ASEGURAMIENTO]]=""),
    EDA!$A$32,
    moras[[#This Row],[TIPO_ASEGURAMIENTO]]
)</f>
        <v>ASALARIADO</v>
      </c>
    </row>
    <row r="457" spans="1:16" x14ac:dyDescent="0.3">
      <c r="A457">
        <v>456</v>
      </c>
      <c r="B457" t="s">
        <v>9</v>
      </c>
      <c r="C457">
        <v>154993632</v>
      </c>
      <c r="D457" t="s">
        <v>10</v>
      </c>
      <c r="E457" t="s">
        <v>16</v>
      </c>
      <c r="F457" t="s">
        <v>12</v>
      </c>
      <c r="G457" t="s">
        <v>13</v>
      </c>
      <c r="H457" t="s">
        <v>13</v>
      </c>
      <c r="I457">
        <v>39</v>
      </c>
      <c r="J457">
        <f>ABS((I457-EDA!$A$15)/EDA!$B$15)</f>
        <v>0.21028567737269524</v>
      </c>
      <c r="K457" t="str">
        <f t="shared" si="7"/>
        <v>No</v>
      </c>
      <c r="L457">
        <f>ABS((C457-EDA!$F$15)/EDA!$G$15)</f>
        <v>2.2035494761674954</v>
      </c>
      <c r="M457" t="str">
        <f>IF(moras[[#This Row],[Z-Score Salario]]&gt;1.96, "Sí", "No")</f>
        <v>Sí</v>
      </c>
      <c r="N457" s="14">
        <f>IF(ISBLANK(moras[[#This Row],[SALARIO]]), EDA!$M$8, moras[[#This Row],[SALARIO]])</f>
        <v>154993632</v>
      </c>
      <c r="O457" s="14">
        <f xml:space="preserve"> IF(ISBLANK(moras[[#This Row],[EDAD]]), EDA!$E$8, moras[[#This Row],[EDAD]])</f>
        <v>39</v>
      </c>
      <c r="P457" s="14" t="str">
        <f>IF(
    OR(ISBLANK(moras[[#This Row],[TIPO_ASEGURAMIENTO]]), moras[[#This Row],[TIPO_ASEGURAMIENTO]]=""),
    EDA!$A$32,
    moras[[#This Row],[TIPO_ASEGURAMIENTO]]
)</f>
        <v>ASALARIADO</v>
      </c>
    </row>
    <row r="458" spans="1:16" x14ac:dyDescent="0.3">
      <c r="A458">
        <v>457</v>
      </c>
      <c r="B458" t="s">
        <v>15</v>
      </c>
      <c r="C458">
        <v>300018</v>
      </c>
      <c r="D458" t="s">
        <v>18</v>
      </c>
      <c r="E458" t="s">
        <v>16</v>
      </c>
      <c r="F458" t="s">
        <v>12</v>
      </c>
      <c r="G458" t="s">
        <v>13</v>
      </c>
      <c r="H458" t="s">
        <v>13</v>
      </c>
      <c r="I458">
        <v>56</v>
      </c>
      <c r="J458">
        <f>ABS((I458-EDA!$A$15)/EDA!$B$15)</f>
        <v>0.9894949339386423</v>
      </c>
      <c r="K458" t="str">
        <f t="shared" si="7"/>
        <v>No</v>
      </c>
      <c r="L458">
        <f>ABS((C458-EDA!$F$15)/EDA!$G$15)</f>
        <v>0.37066146090145252</v>
      </c>
      <c r="M458" t="str">
        <f>IF(moras[[#This Row],[Z-Score Salario]]&gt;1.96, "Sí", "No")</f>
        <v>No</v>
      </c>
      <c r="N458" s="14">
        <f>IF(ISBLANK(moras[[#This Row],[SALARIO]]), EDA!$M$8, moras[[#This Row],[SALARIO]])</f>
        <v>300018</v>
      </c>
      <c r="O458" s="14">
        <f xml:space="preserve"> IF(ISBLANK(moras[[#This Row],[EDAD]]), EDA!$E$8, moras[[#This Row],[EDAD]])</f>
        <v>56</v>
      </c>
      <c r="P458" s="14" t="str">
        <f>IF(
    OR(ISBLANK(moras[[#This Row],[TIPO_ASEGURAMIENTO]]), moras[[#This Row],[TIPO_ASEGURAMIENTO]]=""),
    EDA!$A$32,
    moras[[#This Row],[TIPO_ASEGURAMIENTO]]
)</f>
        <v>TRABAJADOR INDEPENDIENTE</v>
      </c>
    </row>
    <row r="459" spans="1:16" x14ac:dyDescent="0.3">
      <c r="A459">
        <v>458</v>
      </c>
      <c r="B459" t="s">
        <v>15</v>
      </c>
      <c r="C459">
        <v>157790</v>
      </c>
      <c r="D459" t="s">
        <v>10</v>
      </c>
      <c r="E459" t="s">
        <v>16</v>
      </c>
      <c r="F459" t="s">
        <v>12</v>
      </c>
      <c r="G459" t="s">
        <v>13</v>
      </c>
      <c r="H459" t="s">
        <v>13</v>
      </c>
      <c r="I459">
        <v>24</v>
      </c>
      <c r="J459">
        <f>ABS((I459-EDA!$A$15)/EDA!$B$15)</f>
        <v>1.2689156285297578</v>
      </c>
      <c r="K459" t="str">
        <f t="shared" si="7"/>
        <v>No</v>
      </c>
      <c r="L459">
        <f>ABS((C459-EDA!$F$15)/EDA!$G$15)</f>
        <v>0.37302823522193251</v>
      </c>
      <c r="M459" t="str">
        <f>IF(moras[[#This Row],[Z-Score Salario]]&gt;1.96, "Sí", "No")</f>
        <v>No</v>
      </c>
      <c r="N459" s="14">
        <f>IF(ISBLANK(moras[[#This Row],[SALARIO]]), EDA!$M$8, moras[[#This Row],[SALARIO]])</f>
        <v>157790</v>
      </c>
      <c r="O459" s="14">
        <f xml:space="preserve"> IF(ISBLANK(moras[[#This Row],[EDAD]]), EDA!$E$8, moras[[#This Row],[EDAD]])</f>
        <v>24</v>
      </c>
      <c r="P459" s="14" t="str">
        <f>IF(
    OR(ISBLANK(moras[[#This Row],[TIPO_ASEGURAMIENTO]]), moras[[#This Row],[TIPO_ASEGURAMIENTO]]=""),
    EDA!$A$32,
    moras[[#This Row],[TIPO_ASEGURAMIENTO]]
)</f>
        <v>ASALARIADO</v>
      </c>
    </row>
    <row r="460" spans="1:16" x14ac:dyDescent="0.3">
      <c r="A460">
        <v>459</v>
      </c>
      <c r="B460" t="s">
        <v>9</v>
      </c>
      <c r="C460">
        <v>164203778</v>
      </c>
      <c r="D460" t="s">
        <v>14</v>
      </c>
      <c r="E460" t="s">
        <v>11</v>
      </c>
      <c r="F460" t="s">
        <v>12</v>
      </c>
      <c r="G460" t="s">
        <v>13</v>
      </c>
      <c r="H460" t="s">
        <v>13</v>
      </c>
      <c r="I460">
        <v>80</v>
      </c>
      <c r="J460">
        <f>ABS((I460-EDA!$A$15)/EDA!$B$15)</f>
        <v>2.6833028557899423</v>
      </c>
      <c r="K460" t="str">
        <f t="shared" si="7"/>
        <v>Sí</v>
      </c>
      <c r="L460">
        <f>ABS((C460-EDA!$F$15)/EDA!$G$15)</f>
        <v>2.3568128071618943</v>
      </c>
      <c r="M460" t="str">
        <f>IF(moras[[#This Row],[Z-Score Salario]]&gt;1.96, "Sí", "No")</f>
        <v>Sí</v>
      </c>
      <c r="N460" s="14">
        <f>IF(ISBLANK(moras[[#This Row],[SALARIO]]), EDA!$M$8, moras[[#This Row],[SALARIO]])</f>
        <v>164203778</v>
      </c>
      <c r="O460" s="14">
        <f xml:space="preserve"> IF(ISBLANK(moras[[#This Row],[EDAD]]), EDA!$E$8, moras[[#This Row],[EDAD]])</f>
        <v>80</v>
      </c>
      <c r="P460" s="14" t="str">
        <f>IF(
    OR(ISBLANK(moras[[#This Row],[TIPO_ASEGURAMIENTO]]), moras[[#This Row],[TIPO_ASEGURAMIENTO]]=""),
    EDA!$A$32,
    moras[[#This Row],[TIPO_ASEGURAMIENTO]]
)</f>
        <v>PENSIONADOS EN SU PROPIO SISTEMA</v>
      </c>
    </row>
    <row r="461" spans="1:16" x14ac:dyDescent="0.3">
      <c r="A461">
        <v>460</v>
      </c>
      <c r="B461" t="s">
        <v>9</v>
      </c>
      <c r="C461">
        <v>33520506</v>
      </c>
      <c r="D461" t="s">
        <v>10</v>
      </c>
      <c r="E461" t="s">
        <v>16</v>
      </c>
      <c r="F461" t="s">
        <v>12</v>
      </c>
      <c r="G461" t="s">
        <v>12</v>
      </c>
      <c r="H461" t="s">
        <v>13</v>
      </c>
      <c r="I461">
        <v>52</v>
      </c>
      <c r="J461">
        <f>ABS((I461-EDA!$A$15)/EDA!$B$15)</f>
        <v>0.70719361363009237</v>
      </c>
      <c r="K461" t="str">
        <f t="shared" si="7"/>
        <v>No</v>
      </c>
      <c r="L461">
        <f>ABS((C461-EDA!$F$15)/EDA!$G$15)</f>
        <v>0.18215091016622284</v>
      </c>
      <c r="M461" t="str">
        <f>IF(moras[[#This Row],[Z-Score Salario]]&gt;1.96, "Sí", "No")</f>
        <v>No</v>
      </c>
      <c r="N461" s="14">
        <f>IF(ISBLANK(moras[[#This Row],[SALARIO]]), EDA!$M$8, moras[[#This Row],[SALARIO]])</f>
        <v>33520506</v>
      </c>
      <c r="O461" s="14">
        <f xml:space="preserve"> IF(ISBLANK(moras[[#This Row],[EDAD]]), EDA!$E$8, moras[[#This Row],[EDAD]])</f>
        <v>52</v>
      </c>
      <c r="P461" s="14" t="str">
        <f>IF(
    OR(ISBLANK(moras[[#This Row],[TIPO_ASEGURAMIENTO]]), moras[[#This Row],[TIPO_ASEGURAMIENTO]]=""),
    EDA!$A$32,
    moras[[#This Row],[TIPO_ASEGURAMIENTO]]
)</f>
        <v>ASALARIADO</v>
      </c>
    </row>
    <row r="462" spans="1:16" x14ac:dyDescent="0.3">
      <c r="A462">
        <v>461</v>
      </c>
      <c r="B462" t="s">
        <v>15</v>
      </c>
      <c r="C462">
        <v>639148</v>
      </c>
      <c r="D462" t="s">
        <v>18</v>
      </c>
      <c r="E462" t="s">
        <v>16</v>
      </c>
      <c r="F462" t="s">
        <v>12</v>
      </c>
      <c r="G462" t="s">
        <v>12</v>
      </c>
      <c r="H462" t="s">
        <v>13</v>
      </c>
      <c r="I462">
        <v>44</v>
      </c>
      <c r="J462">
        <f>ABS((I462-EDA!$A$15)/EDA!$B$15)</f>
        <v>0.14259097301299228</v>
      </c>
      <c r="K462" t="str">
        <f t="shared" si="7"/>
        <v>No</v>
      </c>
      <c r="L462">
        <f>ABS((C462-EDA!$F$15)/EDA!$G$15)</f>
        <v>0.36501809830544912</v>
      </c>
      <c r="M462" t="str">
        <f>IF(moras[[#This Row],[Z-Score Salario]]&gt;1.96, "Sí", "No")</f>
        <v>No</v>
      </c>
      <c r="N462" s="14">
        <f>IF(ISBLANK(moras[[#This Row],[SALARIO]]), EDA!$M$8, moras[[#This Row],[SALARIO]])</f>
        <v>639148</v>
      </c>
      <c r="O462" s="14">
        <f xml:space="preserve"> IF(ISBLANK(moras[[#This Row],[EDAD]]), EDA!$E$8, moras[[#This Row],[EDAD]])</f>
        <v>44</v>
      </c>
      <c r="P462" s="14" t="str">
        <f>IF(
    OR(ISBLANK(moras[[#This Row],[TIPO_ASEGURAMIENTO]]), moras[[#This Row],[TIPO_ASEGURAMIENTO]]=""),
    EDA!$A$32,
    moras[[#This Row],[TIPO_ASEGURAMIENTO]]
)</f>
        <v>TRABAJADOR INDEPENDIENTE</v>
      </c>
    </row>
    <row r="463" spans="1:16" x14ac:dyDescent="0.3">
      <c r="A463">
        <v>462</v>
      </c>
      <c r="B463" t="s">
        <v>9</v>
      </c>
      <c r="C463">
        <v>31696469</v>
      </c>
      <c r="D463" t="s">
        <v>10</v>
      </c>
      <c r="E463" t="s">
        <v>16</v>
      </c>
      <c r="F463" t="s">
        <v>12</v>
      </c>
      <c r="G463" t="s">
        <v>12</v>
      </c>
      <c r="H463" t="s">
        <v>13</v>
      </c>
      <c r="I463">
        <v>19</v>
      </c>
      <c r="J463">
        <f>ABS((I463-EDA!$A$15)/EDA!$B$15)</f>
        <v>1.6217922789154453</v>
      </c>
      <c r="K463" t="str">
        <f t="shared" si="7"/>
        <v>No</v>
      </c>
      <c r="L463">
        <f>ABS((C463-EDA!$F$15)/EDA!$G$15)</f>
        <v>0.15179764687625644</v>
      </c>
      <c r="M463" t="str">
        <f>IF(moras[[#This Row],[Z-Score Salario]]&gt;1.96, "Sí", "No")</f>
        <v>No</v>
      </c>
      <c r="N463" s="14">
        <f>IF(ISBLANK(moras[[#This Row],[SALARIO]]), EDA!$M$8, moras[[#This Row],[SALARIO]])</f>
        <v>31696469</v>
      </c>
      <c r="O463" s="14">
        <f xml:space="preserve"> IF(ISBLANK(moras[[#This Row],[EDAD]]), EDA!$E$8, moras[[#This Row],[EDAD]])</f>
        <v>19</v>
      </c>
      <c r="P463" s="14" t="str">
        <f>IF(
    OR(ISBLANK(moras[[#This Row],[TIPO_ASEGURAMIENTO]]), moras[[#This Row],[TIPO_ASEGURAMIENTO]]=""),
    EDA!$A$32,
    moras[[#This Row],[TIPO_ASEGURAMIENTO]]
)</f>
        <v>ASALARIADO</v>
      </c>
    </row>
    <row r="464" spans="1:16" x14ac:dyDescent="0.3">
      <c r="A464">
        <v>463</v>
      </c>
      <c r="B464" t="s">
        <v>15</v>
      </c>
      <c r="C464">
        <v>52537354</v>
      </c>
      <c r="D464" t="s">
        <v>10</v>
      </c>
      <c r="E464" t="s">
        <v>16</v>
      </c>
      <c r="F464" t="s">
        <v>12</v>
      </c>
      <c r="G464" t="s">
        <v>13</v>
      </c>
      <c r="H464" t="s">
        <v>13</v>
      </c>
      <c r="I464">
        <v>27</v>
      </c>
      <c r="J464">
        <f>ABS((I464-EDA!$A$15)/EDA!$B$15)</f>
        <v>1.0571896382983452</v>
      </c>
      <c r="K464" t="str">
        <f t="shared" si="7"/>
        <v>No</v>
      </c>
      <c r="L464">
        <f>ABS((C464-EDA!$F$15)/EDA!$G$15)</f>
        <v>0.49860468511117789</v>
      </c>
      <c r="M464" t="str">
        <f>IF(moras[[#This Row],[Z-Score Salario]]&gt;1.96, "Sí", "No")</f>
        <v>No</v>
      </c>
      <c r="N464" s="14">
        <f>IF(ISBLANK(moras[[#This Row],[SALARIO]]), EDA!$M$8, moras[[#This Row],[SALARIO]])</f>
        <v>52537354</v>
      </c>
      <c r="O464" s="14">
        <f xml:space="preserve"> IF(ISBLANK(moras[[#This Row],[EDAD]]), EDA!$E$8, moras[[#This Row],[EDAD]])</f>
        <v>27</v>
      </c>
      <c r="P464" s="14" t="str">
        <f>IF(
    OR(ISBLANK(moras[[#This Row],[TIPO_ASEGURAMIENTO]]), moras[[#This Row],[TIPO_ASEGURAMIENTO]]=""),
    EDA!$A$32,
    moras[[#This Row],[TIPO_ASEGURAMIENTO]]
)</f>
        <v>ASALARIADO</v>
      </c>
    </row>
    <row r="465" spans="1:16" x14ac:dyDescent="0.3">
      <c r="A465">
        <v>464</v>
      </c>
      <c r="B465" t="s">
        <v>15</v>
      </c>
      <c r="C465">
        <v>150000</v>
      </c>
      <c r="D465" t="s">
        <v>10</v>
      </c>
      <c r="E465" t="s">
        <v>16</v>
      </c>
      <c r="F465" t="s">
        <v>12</v>
      </c>
      <c r="G465" t="s">
        <v>13</v>
      </c>
      <c r="H465" t="s">
        <v>13</v>
      </c>
      <c r="I465">
        <v>42</v>
      </c>
      <c r="J465">
        <f>ABS((I465-EDA!$A$15)/EDA!$B$15)</f>
        <v>1.4403128587172659E-3</v>
      </c>
      <c r="K465" t="str">
        <f t="shared" si="7"/>
        <v>No</v>
      </c>
      <c r="L465">
        <f>ABS((C465-EDA!$F$15)/EDA!$G$15)</f>
        <v>0.37315786632098852</v>
      </c>
      <c r="M465" t="str">
        <f>IF(moras[[#This Row],[Z-Score Salario]]&gt;1.96, "Sí", "No")</f>
        <v>No</v>
      </c>
      <c r="N465" s="14">
        <f>IF(ISBLANK(moras[[#This Row],[SALARIO]]), EDA!$M$8, moras[[#This Row],[SALARIO]])</f>
        <v>150000</v>
      </c>
      <c r="O465" s="14">
        <f xml:space="preserve"> IF(ISBLANK(moras[[#This Row],[EDAD]]), EDA!$E$8, moras[[#This Row],[EDAD]])</f>
        <v>42</v>
      </c>
      <c r="P465" s="14" t="str">
        <f>IF(
    OR(ISBLANK(moras[[#This Row],[TIPO_ASEGURAMIENTO]]), moras[[#This Row],[TIPO_ASEGURAMIENTO]]=""),
    EDA!$A$32,
    moras[[#This Row],[TIPO_ASEGURAMIENTO]]
)</f>
        <v>ASALARIADO</v>
      </c>
    </row>
    <row r="466" spans="1:16" x14ac:dyDescent="0.3">
      <c r="A466">
        <v>465</v>
      </c>
      <c r="B466" t="s">
        <v>15</v>
      </c>
      <c r="C466">
        <v>1346033</v>
      </c>
      <c r="D466" t="s">
        <v>14</v>
      </c>
      <c r="E466" t="s">
        <v>11</v>
      </c>
      <c r="F466" t="s">
        <v>12</v>
      </c>
      <c r="G466" t="s">
        <v>13</v>
      </c>
      <c r="H466" t="s">
        <v>13</v>
      </c>
      <c r="I466">
        <v>55</v>
      </c>
      <c r="J466">
        <f>ABS((I466-EDA!$A$15)/EDA!$B$15)</f>
        <v>0.91891960386150484</v>
      </c>
      <c r="K466" t="str">
        <f t="shared" si="7"/>
        <v>No</v>
      </c>
      <c r="L466">
        <f>ABS((C466-EDA!$F$15)/EDA!$G$15)</f>
        <v>0.35325503290670562</v>
      </c>
      <c r="M466" t="str">
        <f>IF(moras[[#This Row],[Z-Score Salario]]&gt;1.96, "Sí", "No")</f>
        <v>No</v>
      </c>
      <c r="N466" s="14">
        <f>IF(ISBLANK(moras[[#This Row],[SALARIO]]), EDA!$M$8, moras[[#This Row],[SALARIO]])</f>
        <v>1346033</v>
      </c>
      <c r="O466" s="14">
        <f xml:space="preserve"> IF(ISBLANK(moras[[#This Row],[EDAD]]), EDA!$E$8, moras[[#This Row],[EDAD]])</f>
        <v>55</v>
      </c>
      <c r="P466" s="14" t="str">
        <f>IF(
    OR(ISBLANK(moras[[#This Row],[TIPO_ASEGURAMIENTO]]), moras[[#This Row],[TIPO_ASEGURAMIENTO]]=""),
    EDA!$A$32,
    moras[[#This Row],[TIPO_ASEGURAMIENTO]]
)</f>
        <v>PENSIONADOS EN SU PROPIO SISTEMA</v>
      </c>
    </row>
    <row r="467" spans="1:16" x14ac:dyDescent="0.3">
      <c r="A467">
        <v>466</v>
      </c>
      <c r="B467" t="s">
        <v>15</v>
      </c>
      <c r="C467">
        <v>96327853</v>
      </c>
      <c r="D467" t="s">
        <v>10</v>
      </c>
      <c r="E467" t="s">
        <v>11</v>
      </c>
      <c r="F467" t="s">
        <v>12</v>
      </c>
      <c r="G467" t="s">
        <v>13</v>
      </c>
      <c r="H467" t="s">
        <v>13</v>
      </c>
      <c r="I467">
        <v>57</v>
      </c>
      <c r="J467">
        <f>ABS((I467-EDA!$A$15)/EDA!$B$15)</f>
        <v>1.0600702640157798</v>
      </c>
      <c r="K467" t="str">
        <f t="shared" si="7"/>
        <v>No</v>
      </c>
      <c r="L467">
        <f>ABS((C467-EDA!$F$15)/EDA!$G$15)</f>
        <v>1.2273095007185424</v>
      </c>
      <c r="M467" t="str">
        <f>IF(moras[[#This Row],[Z-Score Salario]]&gt;1.96, "Sí", "No")</f>
        <v>No</v>
      </c>
      <c r="N467" s="14">
        <f>IF(ISBLANK(moras[[#This Row],[SALARIO]]), EDA!$M$8, moras[[#This Row],[SALARIO]])</f>
        <v>96327853</v>
      </c>
      <c r="O467" s="14">
        <f xml:space="preserve"> IF(ISBLANK(moras[[#This Row],[EDAD]]), EDA!$E$8, moras[[#This Row],[EDAD]])</f>
        <v>57</v>
      </c>
      <c r="P467" s="14" t="str">
        <f>IF(
    OR(ISBLANK(moras[[#This Row],[TIPO_ASEGURAMIENTO]]), moras[[#This Row],[TIPO_ASEGURAMIENTO]]=""),
    EDA!$A$32,
    moras[[#This Row],[TIPO_ASEGURAMIENTO]]
)</f>
        <v>ASALARIADO</v>
      </c>
    </row>
    <row r="468" spans="1:16" x14ac:dyDescent="0.3">
      <c r="A468">
        <v>467</v>
      </c>
      <c r="B468" t="s">
        <v>9</v>
      </c>
      <c r="C468">
        <v>217278641</v>
      </c>
      <c r="D468" t="s">
        <v>10</v>
      </c>
      <c r="E468" t="s">
        <v>11</v>
      </c>
      <c r="F468" t="s">
        <v>12</v>
      </c>
      <c r="G468" t="s">
        <v>13</v>
      </c>
      <c r="H468" t="s">
        <v>13</v>
      </c>
      <c r="I468">
        <v>34</v>
      </c>
      <c r="J468">
        <f>ABS((I468-EDA!$A$15)/EDA!$B$15)</f>
        <v>0.56316232775838282</v>
      </c>
      <c r="K468" t="str">
        <f t="shared" si="7"/>
        <v>No</v>
      </c>
      <c r="L468">
        <f>ABS((C468-EDA!$F$15)/EDA!$G$15)</f>
        <v>3.2400159936750499</v>
      </c>
      <c r="M468" t="str">
        <f>IF(moras[[#This Row],[Z-Score Salario]]&gt;1.96, "Sí", "No")</f>
        <v>Sí</v>
      </c>
      <c r="N468" s="14">
        <f>IF(ISBLANK(moras[[#This Row],[SALARIO]]), EDA!$M$8, moras[[#This Row],[SALARIO]])</f>
        <v>217278641</v>
      </c>
      <c r="O468" s="14">
        <f xml:space="preserve"> IF(ISBLANK(moras[[#This Row],[EDAD]]), EDA!$E$8, moras[[#This Row],[EDAD]])</f>
        <v>34</v>
      </c>
      <c r="P468" s="14" t="str">
        <f>IF(
    OR(ISBLANK(moras[[#This Row],[TIPO_ASEGURAMIENTO]]), moras[[#This Row],[TIPO_ASEGURAMIENTO]]=""),
    EDA!$A$32,
    moras[[#This Row],[TIPO_ASEGURAMIENTO]]
)</f>
        <v>ASALARIADO</v>
      </c>
    </row>
    <row r="469" spans="1:16" x14ac:dyDescent="0.3">
      <c r="A469">
        <v>468</v>
      </c>
      <c r="B469" t="s">
        <v>9</v>
      </c>
      <c r="C469">
        <v>400000</v>
      </c>
      <c r="D469" t="s">
        <v>10</v>
      </c>
      <c r="E469" t="s">
        <v>16</v>
      </c>
      <c r="F469" t="s">
        <v>12</v>
      </c>
      <c r="G469" t="s">
        <v>13</v>
      </c>
      <c r="H469" t="s">
        <v>13</v>
      </c>
      <c r="I469">
        <v>35</v>
      </c>
      <c r="J469">
        <f>ABS((I469-EDA!$A$15)/EDA!$B$15)</f>
        <v>0.49258699768124525</v>
      </c>
      <c r="K469" t="str">
        <f t="shared" si="7"/>
        <v>No</v>
      </c>
      <c r="L469">
        <f>ABS((C469-EDA!$F$15)/EDA!$G$15)</f>
        <v>0.36899768984293924</v>
      </c>
      <c r="M469" t="str">
        <f>IF(moras[[#This Row],[Z-Score Salario]]&gt;1.96, "Sí", "No")</f>
        <v>No</v>
      </c>
      <c r="N469" s="14">
        <f>IF(ISBLANK(moras[[#This Row],[SALARIO]]), EDA!$M$8, moras[[#This Row],[SALARIO]])</f>
        <v>400000</v>
      </c>
      <c r="O469" s="14">
        <f xml:space="preserve"> IF(ISBLANK(moras[[#This Row],[EDAD]]), EDA!$E$8, moras[[#This Row],[EDAD]])</f>
        <v>35</v>
      </c>
      <c r="P469" s="14" t="str">
        <f>IF(
    OR(ISBLANK(moras[[#This Row],[TIPO_ASEGURAMIENTO]]), moras[[#This Row],[TIPO_ASEGURAMIENTO]]=""),
    EDA!$A$32,
    moras[[#This Row],[TIPO_ASEGURAMIENTO]]
)</f>
        <v>ASALARIADO</v>
      </c>
    </row>
    <row r="470" spans="1:16" x14ac:dyDescent="0.3">
      <c r="A470">
        <v>469</v>
      </c>
      <c r="B470" t="s">
        <v>15</v>
      </c>
      <c r="C470">
        <v>35525275</v>
      </c>
      <c r="D470" t="s">
        <v>10</v>
      </c>
      <c r="E470" t="s">
        <v>16</v>
      </c>
      <c r="F470" t="s">
        <v>12</v>
      </c>
      <c r="G470" t="s">
        <v>13</v>
      </c>
      <c r="H470" t="s">
        <v>13</v>
      </c>
      <c r="I470">
        <v>47</v>
      </c>
      <c r="J470">
        <f>ABS((I470-EDA!$A$15)/EDA!$B$15)</f>
        <v>0.35431696324440481</v>
      </c>
      <c r="K470" t="str">
        <f t="shared" si="7"/>
        <v>No</v>
      </c>
      <c r="L470">
        <f>ABS((C470-EDA!$F$15)/EDA!$G$15)</f>
        <v>0.21551168151711247</v>
      </c>
      <c r="M470" t="str">
        <f>IF(moras[[#This Row],[Z-Score Salario]]&gt;1.96, "Sí", "No")</f>
        <v>No</v>
      </c>
      <c r="N470" s="14">
        <f>IF(ISBLANK(moras[[#This Row],[SALARIO]]), EDA!$M$8, moras[[#This Row],[SALARIO]])</f>
        <v>35525275</v>
      </c>
      <c r="O470" s="14">
        <f xml:space="preserve"> IF(ISBLANK(moras[[#This Row],[EDAD]]), EDA!$E$8, moras[[#This Row],[EDAD]])</f>
        <v>47</v>
      </c>
      <c r="P470" s="14" t="str">
        <f>IF(
    OR(ISBLANK(moras[[#This Row],[TIPO_ASEGURAMIENTO]]), moras[[#This Row],[TIPO_ASEGURAMIENTO]]=""),
    EDA!$A$32,
    moras[[#This Row],[TIPO_ASEGURAMIENTO]]
)</f>
        <v>ASALARIADO</v>
      </c>
    </row>
    <row r="471" spans="1:16" x14ac:dyDescent="0.3">
      <c r="A471">
        <v>470</v>
      </c>
      <c r="B471" t="s">
        <v>9</v>
      </c>
      <c r="C471">
        <v>451135</v>
      </c>
      <c r="D471" t="s">
        <v>10</v>
      </c>
      <c r="E471" t="s">
        <v>16</v>
      </c>
      <c r="F471" t="s">
        <v>12</v>
      </c>
      <c r="G471" t="s">
        <v>13</v>
      </c>
      <c r="H471" t="s">
        <v>13</v>
      </c>
      <c r="I471">
        <v>28</v>
      </c>
      <c r="J471">
        <f>ABS((I471-EDA!$A$15)/EDA!$B$15)</f>
        <v>0.98661430822120777</v>
      </c>
      <c r="K471" t="str">
        <f t="shared" si="7"/>
        <v>No</v>
      </c>
      <c r="L471">
        <f>ABS((C471-EDA!$F$15)/EDA!$G$15)</f>
        <v>0.36814676734611901</v>
      </c>
      <c r="M471" t="str">
        <f>IF(moras[[#This Row],[Z-Score Salario]]&gt;1.96, "Sí", "No")</f>
        <v>No</v>
      </c>
      <c r="N471" s="14">
        <f>IF(ISBLANK(moras[[#This Row],[SALARIO]]), EDA!$M$8, moras[[#This Row],[SALARIO]])</f>
        <v>451135</v>
      </c>
      <c r="O471" s="14">
        <f xml:space="preserve"> IF(ISBLANK(moras[[#This Row],[EDAD]]), EDA!$E$8, moras[[#This Row],[EDAD]])</f>
        <v>28</v>
      </c>
      <c r="P471" s="14" t="str">
        <f>IF(
    OR(ISBLANK(moras[[#This Row],[TIPO_ASEGURAMIENTO]]), moras[[#This Row],[TIPO_ASEGURAMIENTO]]=""),
    EDA!$A$32,
    moras[[#This Row],[TIPO_ASEGURAMIENTO]]
)</f>
        <v>ASALARIADO</v>
      </c>
    </row>
    <row r="472" spans="1:16" x14ac:dyDescent="0.3">
      <c r="A472">
        <v>471</v>
      </c>
      <c r="B472" t="s">
        <v>15</v>
      </c>
      <c r="C472">
        <v>1554200</v>
      </c>
      <c r="D472" t="s">
        <v>10</v>
      </c>
      <c r="E472" t="s">
        <v>11</v>
      </c>
      <c r="F472" t="s">
        <v>12</v>
      </c>
      <c r="G472" t="s">
        <v>13</v>
      </c>
      <c r="H472" t="s">
        <v>12</v>
      </c>
      <c r="I472">
        <v>55</v>
      </c>
      <c r="J472">
        <f>ABS((I472-EDA!$A$15)/EDA!$B$15)</f>
        <v>0.91891960386150484</v>
      </c>
      <c r="K472" t="str">
        <f t="shared" si="7"/>
        <v>No</v>
      </c>
      <c r="L472">
        <f>ABS((C472-EDA!$F$15)/EDA!$G$15)</f>
        <v>0.34979098707908124</v>
      </c>
      <c r="M472" t="str">
        <f>IF(moras[[#This Row],[Z-Score Salario]]&gt;1.96, "Sí", "No")</f>
        <v>No</v>
      </c>
      <c r="N472" s="14">
        <f>IF(ISBLANK(moras[[#This Row],[SALARIO]]), EDA!$M$8, moras[[#This Row],[SALARIO]])</f>
        <v>1554200</v>
      </c>
      <c r="O472" s="14">
        <f xml:space="preserve"> IF(ISBLANK(moras[[#This Row],[EDAD]]), EDA!$E$8, moras[[#This Row],[EDAD]])</f>
        <v>55</v>
      </c>
      <c r="P472" s="14" t="str">
        <f>IF(
    OR(ISBLANK(moras[[#This Row],[TIPO_ASEGURAMIENTO]]), moras[[#This Row],[TIPO_ASEGURAMIENTO]]=""),
    EDA!$A$32,
    moras[[#This Row],[TIPO_ASEGURAMIENTO]]
)</f>
        <v>ASALARIADO</v>
      </c>
    </row>
    <row r="473" spans="1:16" x14ac:dyDescent="0.3">
      <c r="A473">
        <v>472</v>
      </c>
      <c r="B473" t="s">
        <v>15</v>
      </c>
      <c r="C473">
        <v>300000</v>
      </c>
      <c r="D473" t="s">
        <v>18</v>
      </c>
      <c r="E473" t="s">
        <v>16</v>
      </c>
      <c r="F473" t="s">
        <v>12</v>
      </c>
      <c r="G473" t="s">
        <v>13</v>
      </c>
      <c r="H473" t="s">
        <v>13</v>
      </c>
      <c r="I473">
        <v>41</v>
      </c>
      <c r="J473">
        <f>ABS((I473-EDA!$A$15)/EDA!$B$15)</f>
        <v>6.9135017218420233E-2</v>
      </c>
      <c r="K473" t="str">
        <f t="shared" si="7"/>
        <v>No</v>
      </c>
      <c r="L473">
        <f>ABS((C473-EDA!$F$15)/EDA!$G$15)</f>
        <v>0.37066176043415894</v>
      </c>
      <c r="M473" t="str">
        <f>IF(moras[[#This Row],[Z-Score Salario]]&gt;1.96, "Sí", "No")</f>
        <v>No</v>
      </c>
      <c r="N473" s="14">
        <f>IF(ISBLANK(moras[[#This Row],[SALARIO]]), EDA!$M$8, moras[[#This Row],[SALARIO]])</f>
        <v>300000</v>
      </c>
      <c r="O473" s="14">
        <f xml:space="preserve"> IF(ISBLANK(moras[[#This Row],[EDAD]]), EDA!$E$8, moras[[#This Row],[EDAD]])</f>
        <v>41</v>
      </c>
      <c r="P473" s="14" t="str">
        <f>IF(
    OR(ISBLANK(moras[[#This Row],[TIPO_ASEGURAMIENTO]]), moras[[#This Row],[TIPO_ASEGURAMIENTO]]=""),
    EDA!$A$32,
    moras[[#This Row],[TIPO_ASEGURAMIENTO]]
)</f>
        <v>TRABAJADOR INDEPENDIENTE</v>
      </c>
    </row>
    <row r="474" spans="1:16" x14ac:dyDescent="0.3">
      <c r="A474">
        <v>473</v>
      </c>
      <c r="B474" t="s">
        <v>9</v>
      </c>
      <c r="C474">
        <v>22979917</v>
      </c>
      <c r="D474" t="s">
        <v>10</v>
      </c>
      <c r="E474" t="s">
        <v>16</v>
      </c>
      <c r="F474" t="s">
        <v>12</v>
      </c>
      <c r="G474" t="s">
        <v>13</v>
      </c>
      <c r="H474" t="s">
        <v>13</v>
      </c>
      <c r="I474">
        <v>34</v>
      </c>
      <c r="J474">
        <f>ABS((I474-EDA!$A$15)/EDA!$B$15)</f>
        <v>0.56316232775838282</v>
      </c>
      <c r="K474" t="str">
        <f t="shared" si="7"/>
        <v>No</v>
      </c>
      <c r="L474">
        <f>ABS((C474-EDA!$F$15)/EDA!$G$15)</f>
        <v>6.748068475882313E-3</v>
      </c>
      <c r="M474" t="str">
        <f>IF(moras[[#This Row],[Z-Score Salario]]&gt;1.96, "Sí", "No")</f>
        <v>No</v>
      </c>
      <c r="N474" s="14">
        <f>IF(ISBLANK(moras[[#This Row],[SALARIO]]), EDA!$M$8, moras[[#This Row],[SALARIO]])</f>
        <v>22979917</v>
      </c>
      <c r="O474" s="14">
        <f xml:space="preserve"> IF(ISBLANK(moras[[#This Row],[EDAD]]), EDA!$E$8, moras[[#This Row],[EDAD]])</f>
        <v>34</v>
      </c>
      <c r="P474" s="14" t="str">
        <f>IF(
    OR(ISBLANK(moras[[#This Row],[TIPO_ASEGURAMIENTO]]), moras[[#This Row],[TIPO_ASEGURAMIENTO]]=""),
    EDA!$A$32,
    moras[[#This Row],[TIPO_ASEGURAMIENTO]]
)</f>
        <v>ASALARIADO</v>
      </c>
    </row>
    <row r="475" spans="1:16" x14ac:dyDescent="0.3">
      <c r="A475">
        <v>474</v>
      </c>
      <c r="B475" t="s">
        <v>9</v>
      </c>
      <c r="C475">
        <v>202270</v>
      </c>
      <c r="D475" t="s">
        <v>10</v>
      </c>
      <c r="E475" t="s">
        <v>16</v>
      </c>
      <c r="F475" t="s">
        <v>12</v>
      </c>
      <c r="G475" t="s">
        <v>13</v>
      </c>
      <c r="H475" t="s">
        <v>12</v>
      </c>
      <c r="I475">
        <v>27</v>
      </c>
      <c r="J475">
        <f>ABS((I475-EDA!$A$15)/EDA!$B$15)</f>
        <v>1.0571896382983452</v>
      </c>
      <c r="K475" t="str">
        <f t="shared" si="7"/>
        <v>No</v>
      </c>
      <c r="L475">
        <f>ABS((C475-EDA!$F$15)/EDA!$G$15)</f>
        <v>0.372288056622958</v>
      </c>
      <c r="M475" t="str">
        <f>IF(moras[[#This Row],[Z-Score Salario]]&gt;1.96, "Sí", "No")</f>
        <v>No</v>
      </c>
      <c r="N475" s="14">
        <f>IF(ISBLANK(moras[[#This Row],[SALARIO]]), EDA!$M$8, moras[[#This Row],[SALARIO]])</f>
        <v>202270</v>
      </c>
      <c r="O475" s="14">
        <f xml:space="preserve"> IF(ISBLANK(moras[[#This Row],[EDAD]]), EDA!$E$8, moras[[#This Row],[EDAD]])</f>
        <v>27</v>
      </c>
      <c r="P475" s="14" t="str">
        <f>IF(
    OR(ISBLANK(moras[[#This Row],[TIPO_ASEGURAMIENTO]]), moras[[#This Row],[TIPO_ASEGURAMIENTO]]=""),
    EDA!$A$32,
    moras[[#This Row],[TIPO_ASEGURAMIENTO]]
)</f>
        <v>ASALARIADO</v>
      </c>
    </row>
    <row r="476" spans="1:16" x14ac:dyDescent="0.3">
      <c r="A476">
        <v>475</v>
      </c>
      <c r="B476" t="s">
        <v>9</v>
      </c>
      <c r="C476">
        <v>278030</v>
      </c>
      <c r="D476" t="s">
        <v>19</v>
      </c>
      <c r="E476" t="s">
        <v>16</v>
      </c>
      <c r="F476" t="s">
        <v>12</v>
      </c>
      <c r="G476" t="s">
        <v>13</v>
      </c>
      <c r="H476" t="s">
        <v>13</v>
      </c>
      <c r="I476">
        <v>43</v>
      </c>
      <c r="J476">
        <f>ABS((I476-EDA!$A$15)/EDA!$B$15)</f>
        <v>7.2015642935854773E-2</v>
      </c>
      <c r="K476" t="str">
        <f t="shared" si="7"/>
        <v>No</v>
      </c>
      <c r="L476">
        <f>ABS((C476-EDA!$F$15)/EDA!$G$15)</f>
        <v>0.37102735674304993</v>
      </c>
      <c r="M476" t="str">
        <f>IF(moras[[#This Row],[Z-Score Salario]]&gt;1.96, "Sí", "No")</f>
        <v>No</v>
      </c>
      <c r="N476" s="14">
        <f>IF(ISBLANK(moras[[#This Row],[SALARIO]]), EDA!$M$8, moras[[#This Row],[SALARIO]])</f>
        <v>278030</v>
      </c>
      <c r="O476" s="14">
        <f xml:space="preserve"> IF(ISBLANK(moras[[#This Row],[EDAD]]), EDA!$E$8, moras[[#This Row],[EDAD]])</f>
        <v>43</v>
      </c>
      <c r="P476" s="14" t="str">
        <f>IF(
    OR(ISBLANK(moras[[#This Row],[TIPO_ASEGURAMIENTO]]), moras[[#This Row],[TIPO_ASEGURAMIENTO]]=""),
    EDA!$A$32,
    moras[[#This Row],[TIPO_ASEGURAMIENTO]]
)</f>
        <v>CONVENIOS ESPECIALES DE TRABAJADORES INDEPENDIENTES</v>
      </c>
    </row>
    <row r="477" spans="1:16" x14ac:dyDescent="0.3">
      <c r="A477">
        <v>476</v>
      </c>
      <c r="B477" t="s">
        <v>9</v>
      </c>
      <c r="C477">
        <v>298195</v>
      </c>
      <c r="D477" t="s">
        <v>18</v>
      </c>
      <c r="E477" t="s">
        <v>16</v>
      </c>
      <c r="F477" t="s">
        <v>12</v>
      </c>
      <c r="G477" t="s">
        <v>13</v>
      </c>
      <c r="H477" t="s">
        <v>12</v>
      </c>
      <c r="I477">
        <v>40</v>
      </c>
      <c r="J477">
        <f>ABS((I477-EDA!$A$15)/EDA!$B$15)</f>
        <v>0.13971034729555773</v>
      </c>
      <c r="K477" t="str">
        <f t="shared" si="7"/>
        <v>No</v>
      </c>
      <c r="L477">
        <f>ABS((C477-EDA!$F$15)/EDA!$G$15)</f>
        <v>0.37069179690833048</v>
      </c>
      <c r="M477" t="str">
        <f>IF(moras[[#This Row],[Z-Score Salario]]&gt;1.96, "Sí", "No")</f>
        <v>No</v>
      </c>
      <c r="N477" s="14">
        <f>IF(ISBLANK(moras[[#This Row],[SALARIO]]), EDA!$M$8, moras[[#This Row],[SALARIO]])</f>
        <v>298195</v>
      </c>
      <c r="O477" s="14">
        <f xml:space="preserve"> IF(ISBLANK(moras[[#This Row],[EDAD]]), EDA!$E$8, moras[[#This Row],[EDAD]])</f>
        <v>40</v>
      </c>
      <c r="P477" s="14" t="str">
        <f>IF(
    OR(ISBLANK(moras[[#This Row],[TIPO_ASEGURAMIENTO]]), moras[[#This Row],[TIPO_ASEGURAMIENTO]]=""),
    EDA!$A$32,
    moras[[#This Row],[TIPO_ASEGURAMIENTO]]
)</f>
        <v>TRABAJADOR INDEPENDIENTE</v>
      </c>
    </row>
    <row r="478" spans="1:16" x14ac:dyDescent="0.3">
      <c r="A478">
        <v>477</v>
      </c>
      <c r="B478" t="s">
        <v>9</v>
      </c>
      <c r="C478">
        <v>297050</v>
      </c>
      <c r="D478" t="s">
        <v>17</v>
      </c>
      <c r="E478" t="s">
        <v>16</v>
      </c>
      <c r="F478" t="s">
        <v>12</v>
      </c>
      <c r="G478" t="s">
        <v>13</v>
      </c>
      <c r="H478" t="s">
        <v>13</v>
      </c>
      <c r="I478">
        <v>48</v>
      </c>
      <c r="J478">
        <f>ABS((I478-EDA!$A$15)/EDA!$B$15)</f>
        <v>0.42489229332154227</v>
      </c>
      <c r="K478" t="str">
        <f t="shared" si="7"/>
        <v>No</v>
      </c>
      <c r="L478">
        <f>ABS((C478-EDA!$F$15)/EDA!$G$15)</f>
        <v>0.37071085051659991</v>
      </c>
      <c r="M478" t="str">
        <f>IF(moras[[#This Row],[Z-Score Salario]]&gt;1.96, "Sí", "No")</f>
        <v>No</v>
      </c>
      <c r="N478" s="14">
        <f>IF(ISBLANK(moras[[#This Row],[SALARIO]]), EDA!$M$8, moras[[#This Row],[SALARIO]])</f>
        <v>297050</v>
      </c>
      <c r="O478" s="14">
        <f xml:space="preserve"> IF(ISBLANK(moras[[#This Row],[EDAD]]), EDA!$E$8, moras[[#This Row],[EDAD]])</f>
        <v>48</v>
      </c>
      <c r="P478" s="14" t="str">
        <f>IF(
    OR(ISBLANK(moras[[#This Row],[TIPO_ASEGURAMIENTO]]), moras[[#This Row],[TIPO_ASEGURAMIENTO]]=""),
    EDA!$A$32,
    moras[[#This Row],[TIPO_ASEGURAMIENTO]]
)</f>
        <v>ASEGURADO VOLUNTARIO</v>
      </c>
    </row>
    <row r="479" spans="1:16" x14ac:dyDescent="0.3">
      <c r="A479">
        <v>478</v>
      </c>
      <c r="B479" t="s">
        <v>9</v>
      </c>
      <c r="C479">
        <v>51899998</v>
      </c>
      <c r="D479" t="s">
        <v>10</v>
      </c>
      <c r="E479" t="s">
        <v>16</v>
      </c>
      <c r="F479" t="s">
        <v>12</v>
      </c>
      <c r="G479" t="s">
        <v>13</v>
      </c>
      <c r="H479" t="s">
        <v>13</v>
      </c>
      <c r="I479">
        <v>49</v>
      </c>
      <c r="J479">
        <f>ABS((I479-EDA!$A$15)/EDA!$B$15)</f>
        <v>0.49546762339867978</v>
      </c>
      <c r="K479" t="str">
        <f t="shared" si="7"/>
        <v>No</v>
      </c>
      <c r="L479">
        <f>ABS((C479-EDA!$F$15)/EDA!$G$15)</f>
        <v>0.48799863135380356</v>
      </c>
      <c r="M479" t="str">
        <f>IF(moras[[#This Row],[Z-Score Salario]]&gt;1.96, "Sí", "No")</f>
        <v>No</v>
      </c>
      <c r="N479" s="14">
        <f>IF(ISBLANK(moras[[#This Row],[SALARIO]]), EDA!$M$8, moras[[#This Row],[SALARIO]])</f>
        <v>51899998</v>
      </c>
      <c r="O479" s="14">
        <f xml:space="preserve"> IF(ISBLANK(moras[[#This Row],[EDAD]]), EDA!$E$8, moras[[#This Row],[EDAD]])</f>
        <v>49</v>
      </c>
      <c r="P479" s="14" t="str">
        <f>IF(
    OR(ISBLANK(moras[[#This Row],[TIPO_ASEGURAMIENTO]]), moras[[#This Row],[TIPO_ASEGURAMIENTO]]=""),
    EDA!$A$32,
    moras[[#This Row],[TIPO_ASEGURAMIENTO]]
)</f>
        <v>ASALARIADO</v>
      </c>
    </row>
    <row r="480" spans="1:16" x14ac:dyDescent="0.3">
      <c r="A480">
        <v>479</v>
      </c>
      <c r="B480" t="s">
        <v>9</v>
      </c>
      <c r="C480">
        <v>3309108</v>
      </c>
      <c r="D480" t="s">
        <v>10</v>
      </c>
      <c r="E480" t="s">
        <v>11</v>
      </c>
      <c r="F480" t="s">
        <v>12</v>
      </c>
      <c r="G480" t="s">
        <v>13</v>
      </c>
      <c r="H480" t="s">
        <v>13</v>
      </c>
      <c r="I480">
        <v>47</v>
      </c>
      <c r="J480">
        <f>ABS((I480-EDA!$A$15)/EDA!$B$15)</f>
        <v>0.35431696324440481</v>
      </c>
      <c r="K480" t="str">
        <f t="shared" si="7"/>
        <v>No</v>
      </c>
      <c r="L480">
        <f>ABS((C480-EDA!$F$15)/EDA!$G$15)</f>
        <v>0.32058807914811915</v>
      </c>
      <c r="M480" t="str">
        <f>IF(moras[[#This Row],[Z-Score Salario]]&gt;1.96, "Sí", "No")</f>
        <v>No</v>
      </c>
      <c r="N480" s="14">
        <f>IF(ISBLANK(moras[[#This Row],[SALARIO]]), EDA!$M$8, moras[[#This Row],[SALARIO]])</f>
        <v>3309108</v>
      </c>
      <c r="O480" s="14">
        <f xml:space="preserve"> IF(ISBLANK(moras[[#This Row],[EDAD]]), EDA!$E$8, moras[[#This Row],[EDAD]])</f>
        <v>47</v>
      </c>
      <c r="P480" s="14" t="str">
        <f>IF(
    OR(ISBLANK(moras[[#This Row],[TIPO_ASEGURAMIENTO]]), moras[[#This Row],[TIPO_ASEGURAMIENTO]]=""),
    EDA!$A$32,
    moras[[#This Row],[TIPO_ASEGURAMIENTO]]
)</f>
        <v>ASALARIADO</v>
      </c>
    </row>
    <row r="481" spans="1:16" x14ac:dyDescent="0.3">
      <c r="A481">
        <v>480</v>
      </c>
      <c r="B481" t="s">
        <v>9</v>
      </c>
      <c r="C481">
        <v>575846</v>
      </c>
      <c r="D481" t="s">
        <v>18</v>
      </c>
      <c r="E481" t="s">
        <v>16</v>
      </c>
      <c r="F481" t="s">
        <v>12</v>
      </c>
      <c r="G481" t="s">
        <v>12</v>
      </c>
      <c r="H481" t="s">
        <v>12</v>
      </c>
      <c r="I481">
        <v>46</v>
      </c>
      <c r="J481">
        <f>ABS((I481-EDA!$A$15)/EDA!$B$15)</f>
        <v>0.2837416331672673</v>
      </c>
      <c r="K481" t="str">
        <f t="shared" si="7"/>
        <v>No</v>
      </c>
      <c r="L481">
        <f>ABS((C481-EDA!$F$15)/EDA!$G$15)</f>
        <v>0.36607148827110303</v>
      </c>
      <c r="M481" t="str">
        <f>IF(moras[[#This Row],[Z-Score Salario]]&gt;1.96, "Sí", "No")</f>
        <v>No</v>
      </c>
      <c r="N481" s="14">
        <f>IF(ISBLANK(moras[[#This Row],[SALARIO]]), EDA!$M$8, moras[[#This Row],[SALARIO]])</f>
        <v>575846</v>
      </c>
      <c r="O481" s="14">
        <f xml:space="preserve"> IF(ISBLANK(moras[[#This Row],[EDAD]]), EDA!$E$8, moras[[#This Row],[EDAD]])</f>
        <v>46</v>
      </c>
      <c r="P481" s="14" t="str">
        <f>IF(
    OR(ISBLANK(moras[[#This Row],[TIPO_ASEGURAMIENTO]]), moras[[#This Row],[TIPO_ASEGURAMIENTO]]=""),
    EDA!$A$32,
    moras[[#This Row],[TIPO_ASEGURAMIENTO]]
)</f>
        <v>TRABAJADOR INDEPENDIENTE</v>
      </c>
    </row>
    <row r="482" spans="1:16" x14ac:dyDescent="0.3">
      <c r="A482">
        <v>481</v>
      </c>
      <c r="B482" t="s">
        <v>9</v>
      </c>
      <c r="C482">
        <v>458557</v>
      </c>
      <c r="D482" t="s">
        <v>18</v>
      </c>
      <c r="E482" t="s">
        <v>16</v>
      </c>
      <c r="F482" t="s">
        <v>12</v>
      </c>
      <c r="G482" t="s">
        <v>13</v>
      </c>
      <c r="H482" t="s">
        <v>12</v>
      </c>
      <c r="I482">
        <v>49</v>
      </c>
      <c r="J482">
        <f>ABS((I482-EDA!$A$15)/EDA!$B$15)</f>
        <v>0.49546762339867978</v>
      </c>
      <c r="K482" t="str">
        <f t="shared" si="7"/>
        <v>No</v>
      </c>
      <c r="L482">
        <f>ABS((C482-EDA!$F$15)/EDA!$G$15)</f>
        <v>0.36802326002683872</v>
      </c>
      <c r="M482" t="str">
        <f>IF(moras[[#This Row],[Z-Score Salario]]&gt;1.96, "Sí", "No")</f>
        <v>No</v>
      </c>
      <c r="N482" s="14">
        <f>IF(ISBLANK(moras[[#This Row],[SALARIO]]), EDA!$M$8, moras[[#This Row],[SALARIO]])</f>
        <v>458557</v>
      </c>
      <c r="O482" s="14">
        <f xml:space="preserve"> IF(ISBLANK(moras[[#This Row],[EDAD]]), EDA!$E$8, moras[[#This Row],[EDAD]])</f>
        <v>49</v>
      </c>
      <c r="P482" s="14" t="str">
        <f>IF(
    OR(ISBLANK(moras[[#This Row],[TIPO_ASEGURAMIENTO]]), moras[[#This Row],[TIPO_ASEGURAMIENTO]]=""),
    EDA!$A$32,
    moras[[#This Row],[TIPO_ASEGURAMIENTO]]
)</f>
        <v>TRABAJADOR INDEPENDIENTE</v>
      </c>
    </row>
    <row r="483" spans="1:16" x14ac:dyDescent="0.3">
      <c r="A483">
        <v>482</v>
      </c>
      <c r="B483" t="s">
        <v>9</v>
      </c>
      <c r="C483">
        <v>449214</v>
      </c>
      <c r="D483" t="s">
        <v>10</v>
      </c>
      <c r="E483" t="s">
        <v>16</v>
      </c>
      <c r="F483" t="s">
        <v>12</v>
      </c>
      <c r="G483" t="s">
        <v>12</v>
      </c>
      <c r="H483" t="s">
        <v>13</v>
      </c>
      <c r="I483">
        <v>47</v>
      </c>
      <c r="J483">
        <f>ABS((I483-EDA!$A$15)/EDA!$B$15)</f>
        <v>0.35431696324440481</v>
      </c>
      <c r="K483" t="str">
        <f t="shared" si="7"/>
        <v>No</v>
      </c>
      <c r="L483">
        <f>ABS((C483-EDA!$F$15)/EDA!$G$15)</f>
        <v>0.36817873414217639</v>
      </c>
      <c r="M483" t="str">
        <f>IF(moras[[#This Row],[Z-Score Salario]]&gt;1.96, "Sí", "No")</f>
        <v>No</v>
      </c>
      <c r="N483" s="14">
        <f>IF(ISBLANK(moras[[#This Row],[SALARIO]]), EDA!$M$8, moras[[#This Row],[SALARIO]])</f>
        <v>449214</v>
      </c>
      <c r="O483" s="14">
        <f xml:space="preserve"> IF(ISBLANK(moras[[#This Row],[EDAD]]), EDA!$E$8, moras[[#This Row],[EDAD]])</f>
        <v>47</v>
      </c>
      <c r="P483" s="14" t="str">
        <f>IF(
    OR(ISBLANK(moras[[#This Row],[TIPO_ASEGURAMIENTO]]), moras[[#This Row],[TIPO_ASEGURAMIENTO]]=""),
    EDA!$A$32,
    moras[[#This Row],[TIPO_ASEGURAMIENTO]]
)</f>
        <v>ASALARIADO</v>
      </c>
    </row>
    <row r="484" spans="1:16" x14ac:dyDescent="0.3">
      <c r="A484">
        <v>483</v>
      </c>
      <c r="B484" t="s">
        <v>9</v>
      </c>
      <c r="C484">
        <v>957595</v>
      </c>
      <c r="D484" t="s">
        <v>10</v>
      </c>
      <c r="E484" t="s">
        <v>16</v>
      </c>
      <c r="F484" t="s">
        <v>12</v>
      </c>
      <c r="G484" t="s">
        <v>13</v>
      </c>
      <c r="H484" t="s">
        <v>13</v>
      </c>
      <c r="I484">
        <v>30</v>
      </c>
      <c r="J484">
        <f>ABS((I484-EDA!$A$15)/EDA!$B$15)</f>
        <v>0.84546364806693275</v>
      </c>
      <c r="K484" t="str">
        <f t="shared" si="7"/>
        <v>No</v>
      </c>
      <c r="L484">
        <f>ABS((C484-EDA!$F$15)/EDA!$G$15)</f>
        <v>0.35971891542982765</v>
      </c>
      <c r="M484" t="str">
        <f>IF(moras[[#This Row],[Z-Score Salario]]&gt;1.96, "Sí", "No")</f>
        <v>No</v>
      </c>
      <c r="N484" s="14">
        <f>IF(ISBLANK(moras[[#This Row],[SALARIO]]), EDA!$M$8, moras[[#This Row],[SALARIO]])</f>
        <v>957595</v>
      </c>
      <c r="O484" s="14">
        <f xml:space="preserve"> IF(ISBLANK(moras[[#This Row],[EDAD]]), EDA!$E$8, moras[[#This Row],[EDAD]])</f>
        <v>30</v>
      </c>
      <c r="P484" s="14" t="str">
        <f>IF(
    OR(ISBLANK(moras[[#This Row],[TIPO_ASEGURAMIENTO]]), moras[[#This Row],[TIPO_ASEGURAMIENTO]]=""),
    EDA!$A$32,
    moras[[#This Row],[TIPO_ASEGURAMIENTO]]
)</f>
        <v>ASALARIADO</v>
      </c>
    </row>
    <row r="485" spans="1:16" x14ac:dyDescent="0.3">
      <c r="A485">
        <v>484</v>
      </c>
      <c r="B485" t="s">
        <v>9</v>
      </c>
      <c r="C485">
        <v>667314</v>
      </c>
      <c r="D485" t="s">
        <v>10</v>
      </c>
      <c r="E485" t="s">
        <v>11</v>
      </c>
      <c r="F485" t="s">
        <v>12</v>
      </c>
      <c r="G485" t="s">
        <v>13</v>
      </c>
      <c r="H485" t="s">
        <v>13</v>
      </c>
      <c r="I485">
        <v>40</v>
      </c>
      <c r="J485">
        <f>ABS((I485-EDA!$A$15)/EDA!$B$15)</f>
        <v>0.13971034729555773</v>
      </c>
      <c r="K485" t="str">
        <f t="shared" si="7"/>
        <v>No</v>
      </c>
      <c r="L485">
        <f>ABS((C485-EDA!$F$15)/EDA!$G$15)</f>
        <v>0.36454939618272614</v>
      </c>
      <c r="M485" t="str">
        <f>IF(moras[[#This Row],[Z-Score Salario]]&gt;1.96, "Sí", "No")</f>
        <v>No</v>
      </c>
      <c r="N485" s="14">
        <f>IF(ISBLANK(moras[[#This Row],[SALARIO]]), EDA!$M$8, moras[[#This Row],[SALARIO]])</f>
        <v>667314</v>
      </c>
      <c r="O485" s="14">
        <f xml:space="preserve"> IF(ISBLANK(moras[[#This Row],[EDAD]]), EDA!$E$8, moras[[#This Row],[EDAD]])</f>
        <v>40</v>
      </c>
      <c r="P485" s="14" t="str">
        <f>IF(
    OR(ISBLANK(moras[[#This Row],[TIPO_ASEGURAMIENTO]]), moras[[#This Row],[TIPO_ASEGURAMIENTO]]=""),
    EDA!$A$32,
    moras[[#This Row],[TIPO_ASEGURAMIENTO]]
)</f>
        <v>ASALARIADO</v>
      </c>
    </row>
    <row r="486" spans="1:16" x14ac:dyDescent="0.3">
      <c r="A486">
        <v>485</v>
      </c>
      <c r="B486" t="s">
        <v>15</v>
      </c>
      <c r="C486">
        <v>297046</v>
      </c>
      <c r="D486" t="s">
        <v>17</v>
      </c>
      <c r="E486" t="s">
        <v>16</v>
      </c>
      <c r="F486" t="s">
        <v>12</v>
      </c>
      <c r="G486" t="s">
        <v>13</v>
      </c>
      <c r="H486" t="s">
        <v>13</v>
      </c>
      <c r="I486">
        <v>49</v>
      </c>
      <c r="J486">
        <f>ABS((I486-EDA!$A$15)/EDA!$B$15)</f>
        <v>0.49546762339867978</v>
      </c>
      <c r="K486" t="str">
        <f t="shared" si="7"/>
        <v>No</v>
      </c>
      <c r="L486">
        <f>ABS((C486-EDA!$F$15)/EDA!$G$15)</f>
        <v>0.37071091707942361</v>
      </c>
      <c r="M486" t="str">
        <f>IF(moras[[#This Row],[Z-Score Salario]]&gt;1.96, "Sí", "No")</f>
        <v>No</v>
      </c>
      <c r="N486" s="14">
        <f>IF(ISBLANK(moras[[#This Row],[SALARIO]]), EDA!$M$8, moras[[#This Row],[SALARIO]])</f>
        <v>297046</v>
      </c>
      <c r="O486" s="14">
        <f xml:space="preserve"> IF(ISBLANK(moras[[#This Row],[EDAD]]), EDA!$E$8, moras[[#This Row],[EDAD]])</f>
        <v>49</v>
      </c>
      <c r="P486" s="14" t="str">
        <f>IF(
    OR(ISBLANK(moras[[#This Row],[TIPO_ASEGURAMIENTO]]), moras[[#This Row],[TIPO_ASEGURAMIENTO]]=""),
    EDA!$A$32,
    moras[[#This Row],[TIPO_ASEGURAMIENTO]]
)</f>
        <v>ASEGURADO VOLUNTARIO</v>
      </c>
    </row>
    <row r="487" spans="1:16" x14ac:dyDescent="0.3">
      <c r="A487">
        <v>486</v>
      </c>
      <c r="B487" t="s">
        <v>15</v>
      </c>
      <c r="C487">
        <v>1476678</v>
      </c>
      <c r="D487" t="s">
        <v>10</v>
      </c>
      <c r="E487" t="s">
        <v>11</v>
      </c>
      <c r="F487" t="s">
        <v>12</v>
      </c>
      <c r="G487" t="s">
        <v>13</v>
      </c>
      <c r="H487" t="s">
        <v>12</v>
      </c>
      <c r="I487">
        <v>54</v>
      </c>
      <c r="J487">
        <f>ABS((I487-EDA!$A$15)/EDA!$B$15)</f>
        <v>0.84834427378436728</v>
      </c>
      <c r="K487" t="str">
        <f t="shared" si="7"/>
        <v>No</v>
      </c>
      <c r="L487">
        <f>ABS((C487-EDA!$F$15)/EDA!$G$15)</f>
        <v>0.35108100788280661</v>
      </c>
      <c r="M487" t="str">
        <f>IF(moras[[#This Row],[Z-Score Salario]]&gt;1.96, "Sí", "No")</f>
        <v>No</v>
      </c>
      <c r="N487" s="14">
        <f>IF(ISBLANK(moras[[#This Row],[SALARIO]]), EDA!$M$8, moras[[#This Row],[SALARIO]])</f>
        <v>1476678</v>
      </c>
      <c r="O487" s="14">
        <f xml:space="preserve"> IF(ISBLANK(moras[[#This Row],[EDAD]]), EDA!$E$8, moras[[#This Row],[EDAD]])</f>
        <v>54</v>
      </c>
      <c r="P487" s="14" t="str">
        <f>IF(
    OR(ISBLANK(moras[[#This Row],[TIPO_ASEGURAMIENTO]]), moras[[#This Row],[TIPO_ASEGURAMIENTO]]=""),
    EDA!$A$32,
    moras[[#This Row],[TIPO_ASEGURAMIENTO]]
)</f>
        <v>ASALARIADO</v>
      </c>
    </row>
    <row r="488" spans="1:16" x14ac:dyDescent="0.3">
      <c r="A488">
        <v>487</v>
      </c>
      <c r="B488" t="s">
        <v>9</v>
      </c>
      <c r="C488">
        <v>17083365</v>
      </c>
      <c r="D488" t="s">
        <v>10</v>
      </c>
      <c r="E488" t="s">
        <v>11</v>
      </c>
      <c r="F488" t="s">
        <v>12</v>
      </c>
      <c r="G488" t="s">
        <v>13</v>
      </c>
      <c r="H488" t="s">
        <v>13</v>
      </c>
      <c r="I488">
        <v>25</v>
      </c>
      <c r="J488">
        <f>ABS((I488-EDA!$A$15)/EDA!$B$15)</f>
        <v>1.1983402984526204</v>
      </c>
      <c r="K488" t="str">
        <f t="shared" si="7"/>
        <v>No</v>
      </c>
      <c r="L488">
        <f>ABS((C488-EDA!$F$15)/EDA!$G$15)</f>
        <v>9.1374719252095782E-2</v>
      </c>
      <c r="M488" t="str">
        <f>IF(moras[[#This Row],[Z-Score Salario]]&gt;1.96, "Sí", "No")</f>
        <v>No</v>
      </c>
      <c r="N488" s="14">
        <f>IF(ISBLANK(moras[[#This Row],[SALARIO]]), EDA!$M$8, moras[[#This Row],[SALARIO]])</f>
        <v>17083365</v>
      </c>
      <c r="O488" s="14">
        <f xml:space="preserve"> IF(ISBLANK(moras[[#This Row],[EDAD]]), EDA!$E$8, moras[[#This Row],[EDAD]])</f>
        <v>25</v>
      </c>
      <c r="P488" s="14" t="str">
        <f>IF(
    OR(ISBLANK(moras[[#This Row],[TIPO_ASEGURAMIENTO]]), moras[[#This Row],[TIPO_ASEGURAMIENTO]]=""),
    EDA!$A$32,
    moras[[#This Row],[TIPO_ASEGURAMIENTO]]
)</f>
        <v>ASALARIADO</v>
      </c>
    </row>
    <row r="489" spans="1:16" x14ac:dyDescent="0.3">
      <c r="A489">
        <v>488</v>
      </c>
      <c r="B489" t="s">
        <v>9</v>
      </c>
      <c r="C489">
        <v>294619</v>
      </c>
      <c r="D489" t="s">
        <v>10</v>
      </c>
      <c r="E489" t="s">
        <v>16</v>
      </c>
      <c r="F489" t="s">
        <v>12</v>
      </c>
      <c r="G489" t="s">
        <v>13</v>
      </c>
      <c r="H489" t="s">
        <v>13</v>
      </c>
      <c r="I489">
        <v>46</v>
      </c>
      <c r="J489">
        <f>ABS((I489-EDA!$A$15)/EDA!$B$15)</f>
        <v>0.2837416331672673</v>
      </c>
      <c r="K489" t="str">
        <f t="shared" si="7"/>
        <v>No</v>
      </c>
      <c r="L489">
        <f>ABS((C489-EDA!$F$15)/EDA!$G$15)</f>
        <v>0.37075130407267248</v>
      </c>
      <c r="M489" t="str">
        <f>IF(moras[[#This Row],[Z-Score Salario]]&gt;1.96, "Sí", "No")</f>
        <v>No</v>
      </c>
      <c r="N489" s="14">
        <f>IF(ISBLANK(moras[[#This Row],[SALARIO]]), EDA!$M$8, moras[[#This Row],[SALARIO]])</f>
        <v>294619</v>
      </c>
      <c r="O489" s="14">
        <f xml:space="preserve"> IF(ISBLANK(moras[[#This Row],[EDAD]]), EDA!$E$8, moras[[#This Row],[EDAD]])</f>
        <v>46</v>
      </c>
      <c r="P489" s="14" t="str">
        <f>IF(
    OR(ISBLANK(moras[[#This Row],[TIPO_ASEGURAMIENTO]]), moras[[#This Row],[TIPO_ASEGURAMIENTO]]=""),
    EDA!$A$32,
    moras[[#This Row],[TIPO_ASEGURAMIENTO]]
)</f>
        <v>ASALARIADO</v>
      </c>
    </row>
    <row r="490" spans="1:16" x14ac:dyDescent="0.3">
      <c r="A490">
        <v>489</v>
      </c>
      <c r="B490" t="s">
        <v>15</v>
      </c>
      <c r="C490">
        <v>480000</v>
      </c>
      <c r="D490" t="s">
        <v>10</v>
      </c>
      <c r="E490" t="s">
        <v>16</v>
      </c>
      <c r="F490" t="s">
        <v>12</v>
      </c>
      <c r="G490" t="s">
        <v>13</v>
      </c>
      <c r="H490" t="s">
        <v>13</v>
      </c>
      <c r="I490">
        <v>26</v>
      </c>
      <c r="J490">
        <f>ABS((I490-EDA!$A$15)/EDA!$B$15)</f>
        <v>1.1277649683754829</v>
      </c>
      <c r="K490" t="str">
        <f t="shared" si="7"/>
        <v>No</v>
      </c>
      <c r="L490">
        <f>ABS((C490-EDA!$F$15)/EDA!$G$15)</f>
        <v>0.36766643336996346</v>
      </c>
      <c r="M490" t="str">
        <f>IF(moras[[#This Row],[Z-Score Salario]]&gt;1.96, "Sí", "No")</f>
        <v>No</v>
      </c>
      <c r="N490" s="14">
        <f>IF(ISBLANK(moras[[#This Row],[SALARIO]]), EDA!$M$8, moras[[#This Row],[SALARIO]])</f>
        <v>480000</v>
      </c>
      <c r="O490" s="14">
        <f xml:space="preserve"> IF(ISBLANK(moras[[#This Row],[EDAD]]), EDA!$E$8, moras[[#This Row],[EDAD]])</f>
        <v>26</v>
      </c>
      <c r="P490" s="14" t="str">
        <f>IF(
    OR(ISBLANK(moras[[#This Row],[TIPO_ASEGURAMIENTO]]), moras[[#This Row],[TIPO_ASEGURAMIENTO]]=""),
    EDA!$A$32,
    moras[[#This Row],[TIPO_ASEGURAMIENTO]]
)</f>
        <v>ASALARIADO</v>
      </c>
    </row>
    <row r="491" spans="1:16" x14ac:dyDescent="0.3">
      <c r="A491">
        <v>490</v>
      </c>
      <c r="B491" t="s">
        <v>9</v>
      </c>
      <c r="C491">
        <v>131000</v>
      </c>
      <c r="D491" t="s">
        <v>10</v>
      </c>
      <c r="E491" t="s">
        <v>16</v>
      </c>
      <c r="F491" t="s">
        <v>12</v>
      </c>
      <c r="G491" t="s">
        <v>13</v>
      </c>
      <c r="H491" t="s">
        <v>13</v>
      </c>
      <c r="I491">
        <v>53</v>
      </c>
      <c r="J491">
        <f>ABS((I491-EDA!$A$15)/EDA!$B$15)</f>
        <v>0.77776894370722982</v>
      </c>
      <c r="K491" t="str">
        <f t="shared" si="7"/>
        <v>No</v>
      </c>
      <c r="L491">
        <f>ABS((C491-EDA!$F$15)/EDA!$G$15)</f>
        <v>0.37347403973332027</v>
      </c>
      <c r="M491" t="str">
        <f>IF(moras[[#This Row],[Z-Score Salario]]&gt;1.96, "Sí", "No")</f>
        <v>No</v>
      </c>
      <c r="N491" s="14">
        <f>IF(ISBLANK(moras[[#This Row],[SALARIO]]), EDA!$M$8, moras[[#This Row],[SALARIO]])</f>
        <v>131000</v>
      </c>
      <c r="O491" s="14">
        <f xml:space="preserve"> IF(ISBLANK(moras[[#This Row],[EDAD]]), EDA!$E$8, moras[[#This Row],[EDAD]])</f>
        <v>53</v>
      </c>
      <c r="P491" s="14" t="str">
        <f>IF(
    OR(ISBLANK(moras[[#This Row],[TIPO_ASEGURAMIENTO]]), moras[[#This Row],[TIPO_ASEGURAMIENTO]]=""),
    EDA!$A$32,
    moras[[#This Row],[TIPO_ASEGURAMIENTO]]
)</f>
        <v>ASALARIADO</v>
      </c>
    </row>
    <row r="492" spans="1:16" x14ac:dyDescent="0.3">
      <c r="A492">
        <v>491</v>
      </c>
      <c r="B492" t="s">
        <v>9</v>
      </c>
      <c r="C492">
        <v>2034486</v>
      </c>
      <c r="D492" t="s">
        <v>10</v>
      </c>
      <c r="E492" t="s">
        <v>16</v>
      </c>
      <c r="F492" t="s">
        <v>12</v>
      </c>
      <c r="G492" t="s">
        <v>13</v>
      </c>
      <c r="H492" t="s">
        <v>13</v>
      </c>
      <c r="I492">
        <v>36</v>
      </c>
      <c r="J492">
        <f>ABS((I492-EDA!$A$15)/EDA!$B$15)</f>
        <v>0.42201166760410774</v>
      </c>
      <c r="K492" t="str">
        <f t="shared" si="7"/>
        <v>No</v>
      </c>
      <c r="L492">
        <f>ABS((C492-EDA!$F$15)/EDA!$G$15)</f>
        <v>0.34179868899933574</v>
      </c>
      <c r="M492" t="str">
        <f>IF(moras[[#This Row],[Z-Score Salario]]&gt;1.96, "Sí", "No")</f>
        <v>No</v>
      </c>
      <c r="N492" s="14">
        <f>IF(ISBLANK(moras[[#This Row],[SALARIO]]), EDA!$M$8, moras[[#This Row],[SALARIO]])</f>
        <v>2034486</v>
      </c>
      <c r="O492" s="14">
        <f xml:space="preserve"> IF(ISBLANK(moras[[#This Row],[EDAD]]), EDA!$E$8, moras[[#This Row],[EDAD]])</f>
        <v>36</v>
      </c>
      <c r="P492" s="14" t="str">
        <f>IF(
    OR(ISBLANK(moras[[#This Row],[TIPO_ASEGURAMIENTO]]), moras[[#This Row],[TIPO_ASEGURAMIENTO]]=""),
    EDA!$A$32,
    moras[[#This Row],[TIPO_ASEGURAMIENTO]]
)</f>
        <v>ASALARIADO</v>
      </c>
    </row>
    <row r="493" spans="1:16" x14ac:dyDescent="0.3">
      <c r="A493">
        <v>492</v>
      </c>
      <c r="B493" t="s">
        <v>9</v>
      </c>
      <c r="C493">
        <v>450886</v>
      </c>
      <c r="D493" t="s">
        <v>18</v>
      </c>
      <c r="E493" t="s">
        <v>16</v>
      </c>
      <c r="F493" t="s">
        <v>12</v>
      </c>
      <c r="G493" t="s">
        <v>13</v>
      </c>
      <c r="H493" t="s">
        <v>13</v>
      </c>
      <c r="I493">
        <v>42</v>
      </c>
      <c r="J493">
        <f>ABS((I493-EDA!$A$15)/EDA!$B$15)</f>
        <v>1.4403128587172659E-3</v>
      </c>
      <c r="K493" t="str">
        <f t="shared" si="7"/>
        <v>No</v>
      </c>
      <c r="L493">
        <f>ABS((C493-EDA!$F$15)/EDA!$G$15)</f>
        <v>0.36815091088189117</v>
      </c>
      <c r="M493" t="str">
        <f>IF(moras[[#This Row],[Z-Score Salario]]&gt;1.96, "Sí", "No")</f>
        <v>No</v>
      </c>
      <c r="N493" s="14">
        <f>IF(ISBLANK(moras[[#This Row],[SALARIO]]), EDA!$M$8, moras[[#This Row],[SALARIO]])</f>
        <v>450886</v>
      </c>
      <c r="O493" s="14">
        <f xml:space="preserve"> IF(ISBLANK(moras[[#This Row],[EDAD]]), EDA!$E$8, moras[[#This Row],[EDAD]])</f>
        <v>42</v>
      </c>
      <c r="P493" s="14" t="str">
        <f>IF(
    OR(ISBLANK(moras[[#This Row],[TIPO_ASEGURAMIENTO]]), moras[[#This Row],[TIPO_ASEGURAMIENTO]]=""),
    EDA!$A$32,
    moras[[#This Row],[TIPO_ASEGURAMIENTO]]
)</f>
        <v>TRABAJADOR INDEPENDIENTE</v>
      </c>
    </row>
    <row r="494" spans="1:16" x14ac:dyDescent="0.3">
      <c r="A494">
        <v>493</v>
      </c>
      <c r="B494" t="s">
        <v>9</v>
      </c>
      <c r="C494">
        <v>911309</v>
      </c>
      <c r="D494" t="s">
        <v>18</v>
      </c>
      <c r="E494" t="s">
        <v>16</v>
      </c>
      <c r="F494" t="s">
        <v>12</v>
      </c>
      <c r="G494" t="s">
        <v>13</v>
      </c>
      <c r="H494" t="s">
        <v>13</v>
      </c>
      <c r="I494">
        <v>51</v>
      </c>
      <c r="J494">
        <f>ABS((I494-EDA!$A$15)/EDA!$B$15)</f>
        <v>0.6366182835529548</v>
      </c>
      <c r="K494" t="str">
        <f t="shared" si="7"/>
        <v>No</v>
      </c>
      <c r="L494">
        <f>ABS((C494-EDA!$F$15)/EDA!$G$15)</f>
        <v>0.36048914714367963</v>
      </c>
      <c r="M494" t="str">
        <f>IF(moras[[#This Row],[Z-Score Salario]]&gt;1.96, "Sí", "No")</f>
        <v>No</v>
      </c>
      <c r="N494" s="14">
        <f>IF(ISBLANK(moras[[#This Row],[SALARIO]]), EDA!$M$8, moras[[#This Row],[SALARIO]])</f>
        <v>911309</v>
      </c>
      <c r="O494" s="14">
        <f xml:space="preserve"> IF(ISBLANK(moras[[#This Row],[EDAD]]), EDA!$E$8, moras[[#This Row],[EDAD]])</f>
        <v>51</v>
      </c>
      <c r="P494" s="14" t="str">
        <f>IF(
    OR(ISBLANK(moras[[#This Row],[TIPO_ASEGURAMIENTO]]), moras[[#This Row],[TIPO_ASEGURAMIENTO]]=""),
    EDA!$A$32,
    moras[[#This Row],[TIPO_ASEGURAMIENTO]]
)</f>
        <v>TRABAJADOR INDEPENDIENTE</v>
      </c>
    </row>
    <row r="495" spans="1:16" x14ac:dyDescent="0.3">
      <c r="A495">
        <v>494</v>
      </c>
      <c r="B495" t="s">
        <v>9</v>
      </c>
      <c r="C495">
        <v>297046</v>
      </c>
      <c r="D495" t="s">
        <v>17</v>
      </c>
      <c r="E495" t="s">
        <v>16</v>
      </c>
      <c r="F495" t="s">
        <v>12</v>
      </c>
      <c r="G495" t="s">
        <v>12</v>
      </c>
      <c r="H495" t="s">
        <v>13</v>
      </c>
      <c r="I495">
        <v>36</v>
      </c>
      <c r="J495">
        <f>ABS((I495-EDA!$A$15)/EDA!$B$15)</f>
        <v>0.42201166760410774</v>
      </c>
      <c r="K495" t="str">
        <f t="shared" si="7"/>
        <v>No</v>
      </c>
      <c r="L495">
        <f>ABS((C495-EDA!$F$15)/EDA!$G$15)</f>
        <v>0.37071091707942361</v>
      </c>
      <c r="M495" t="str">
        <f>IF(moras[[#This Row],[Z-Score Salario]]&gt;1.96, "Sí", "No")</f>
        <v>No</v>
      </c>
      <c r="N495" s="14">
        <f>IF(ISBLANK(moras[[#This Row],[SALARIO]]), EDA!$M$8, moras[[#This Row],[SALARIO]])</f>
        <v>297046</v>
      </c>
      <c r="O495" s="14">
        <f xml:space="preserve"> IF(ISBLANK(moras[[#This Row],[EDAD]]), EDA!$E$8, moras[[#This Row],[EDAD]])</f>
        <v>36</v>
      </c>
      <c r="P495" s="14" t="str">
        <f>IF(
    OR(ISBLANK(moras[[#This Row],[TIPO_ASEGURAMIENTO]]), moras[[#This Row],[TIPO_ASEGURAMIENTO]]=""),
    EDA!$A$32,
    moras[[#This Row],[TIPO_ASEGURAMIENTO]]
)</f>
        <v>ASEGURADO VOLUNTARIO</v>
      </c>
    </row>
    <row r="496" spans="1:16" x14ac:dyDescent="0.3">
      <c r="A496">
        <v>495</v>
      </c>
      <c r="B496" t="s">
        <v>15</v>
      </c>
      <c r="C496">
        <v>57032228</v>
      </c>
      <c r="D496" t="s">
        <v>10</v>
      </c>
      <c r="E496" t="s">
        <v>16</v>
      </c>
      <c r="F496" t="s">
        <v>12</v>
      </c>
      <c r="G496" t="s">
        <v>12</v>
      </c>
      <c r="H496" t="s">
        <v>13</v>
      </c>
      <c r="I496">
        <v>43</v>
      </c>
      <c r="J496">
        <f>ABS((I496-EDA!$A$15)/EDA!$B$15)</f>
        <v>7.2015642935854773E-2</v>
      </c>
      <c r="K496" t="str">
        <f t="shared" si="7"/>
        <v>No</v>
      </c>
      <c r="L496">
        <f>ABS((C496-EDA!$F$15)/EDA!$G$15)</f>
        <v>0.5734025614575593</v>
      </c>
      <c r="M496" t="str">
        <f>IF(moras[[#This Row],[Z-Score Salario]]&gt;1.96, "Sí", "No")</f>
        <v>No</v>
      </c>
      <c r="N496" s="14">
        <f>IF(ISBLANK(moras[[#This Row],[SALARIO]]), EDA!$M$8, moras[[#This Row],[SALARIO]])</f>
        <v>57032228</v>
      </c>
      <c r="O496" s="14">
        <f xml:space="preserve"> IF(ISBLANK(moras[[#This Row],[EDAD]]), EDA!$E$8, moras[[#This Row],[EDAD]])</f>
        <v>43</v>
      </c>
      <c r="P496" s="14" t="str">
        <f>IF(
    OR(ISBLANK(moras[[#This Row],[TIPO_ASEGURAMIENTO]]), moras[[#This Row],[TIPO_ASEGURAMIENTO]]=""),
    EDA!$A$32,
    moras[[#This Row],[TIPO_ASEGURAMIENTO]]
)</f>
        <v>ASALARIADO</v>
      </c>
    </row>
    <row r="497" spans="1:16" x14ac:dyDescent="0.3">
      <c r="A497">
        <v>496</v>
      </c>
      <c r="B497" t="s">
        <v>9</v>
      </c>
      <c r="C497">
        <v>39823935</v>
      </c>
      <c r="D497" t="s">
        <v>10</v>
      </c>
      <c r="E497" t="s">
        <v>16</v>
      </c>
      <c r="F497" t="s">
        <v>12</v>
      </c>
      <c r="G497" t="s">
        <v>13</v>
      </c>
      <c r="H497" t="s">
        <v>13</v>
      </c>
      <c r="I497">
        <v>20</v>
      </c>
      <c r="J497">
        <f>ABS((I497-EDA!$A$15)/EDA!$B$15)</f>
        <v>1.5512169488383079</v>
      </c>
      <c r="K497" t="str">
        <f t="shared" si="7"/>
        <v>No</v>
      </c>
      <c r="L497">
        <f>ABS((C497-EDA!$F$15)/EDA!$G$15)</f>
        <v>0.28704441839363798</v>
      </c>
      <c r="M497" t="str">
        <f>IF(moras[[#This Row],[Z-Score Salario]]&gt;1.96, "Sí", "No")</f>
        <v>No</v>
      </c>
      <c r="N497" s="14">
        <f>IF(ISBLANK(moras[[#This Row],[SALARIO]]), EDA!$M$8, moras[[#This Row],[SALARIO]])</f>
        <v>39823935</v>
      </c>
      <c r="O497" s="14">
        <f xml:space="preserve"> IF(ISBLANK(moras[[#This Row],[EDAD]]), EDA!$E$8, moras[[#This Row],[EDAD]])</f>
        <v>20</v>
      </c>
      <c r="P497" s="14" t="str">
        <f>IF(
    OR(ISBLANK(moras[[#This Row],[TIPO_ASEGURAMIENTO]]), moras[[#This Row],[TIPO_ASEGURAMIENTO]]=""),
    EDA!$A$32,
    moras[[#This Row],[TIPO_ASEGURAMIENTO]]
)</f>
        <v>ASALARIADO</v>
      </c>
    </row>
    <row r="498" spans="1:16" x14ac:dyDescent="0.3">
      <c r="A498">
        <v>497</v>
      </c>
      <c r="B498" t="s">
        <v>9</v>
      </c>
      <c r="C498">
        <v>525200</v>
      </c>
      <c r="D498" t="s">
        <v>10</v>
      </c>
      <c r="E498" t="s">
        <v>16</v>
      </c>
      <c r="F498" t="s">
        <v>12</v>
      </c>
      <c r="G498" t="s">
        <v>13</v>
      </c>
      <c r="H498" t="s">
        <v>13</v>
      </c>
      <c r="I498">
        <v>32</v>
      </c>
      <c r="J498">
        <f>ABS((I498-EDA!$A$15)/EDA!$B$15)</f>
        <v>0.70431298791265773</v>
      </c>
      <c r="K498" t="str">
        <f t="shared" si="7"/>
        <v>No</v>
      </c>
      <c r="L498">
        <f>ABS((C498-EDA!$F$15)/EDA!$G$15)</f>
        <v>0.36691427346273214</v>
      </c>
      <c r="M498" t="str">
        <f>IF(moras[[#This Row],[Z-Score Salario]]&gt;1.96, "Sí", "No")</f>
        <v>No</v>
      </c>
      <c r="N498" s="14">
        <f>IF(ISBLANK(moras[[#This Row],[SALARIO]]), EDA!$M$8, moras[[#This Row],[SALARIO]])</f>
        <v>525200</v>
      </c>
      <c r="O498" s="14">
        <f xml:space="preserve"> IF(ISBLANK(moras[[#This Row],[EDAD]]), EDA!$E$8, moras[[#This Row],[EDAD]])</f>
        <v>32</v>
      </c>
      <c r="P498" s="14" t="str">
        <f>IF(
    OR(ISBLANK(moras[[#This Row],[TIPO_ASEGURAMIENTO]]), moras[[#This Row],[TIPO_ASEGURAMIENTO]]=""),
    EDA!$A$32,
    moras[[#This Row],[TIPO_ASEGURAMIENTO]]
)</f>
        <v>ASALARIADO</v>
      </c>
    </row>
    <row r="499" spans="1:16" x14ac:dyDescent="0.3">
      <c r="A499">
        <v>498</v>
      </c>
      <c r="B499" t="s">
        <v>15</v>
      </c>
      <c r="C499">
        <v>278030</v>
      </c>
      <c r="D499" t="s">
        <v>19</v>
      </c>
      <c r="E499" t="s">
        <v>16</v>
      </c>
      <c r="F499" t="s">
        <v>12</v>
      </c>
      <c r="G499" t="s">
        <v>13</v>
      </c>
      <c r="H499" t="s">
        <v>13</v>
      </c>
      <c r="I499">
        <v>47</v>
      </c>
      <c r="J499">
        <f>ABS((I499-EDA!$A$15)/EDA!$B$15)</f>
        <v>0.35431696324440481</v>
      </c>
      <c r="K499" t="str">
        <f t="shared" si="7"/>
        <v>No</v>
      </c>
      <c r="L499">
        <f>ABS((C499-EDA!$F$15)/EDA!$G$15)</f>
        <v>0.37102735674304993</v>
      </c>
      <c r="M499" t="str">
        <f>IF(moras[[#This Row],[Z-Score Salario]]&gt;1.96, "Sí", "No")</f>
        <v>No</v>
      </c>
      <c r="N499" s="14">
        <f>IF(ISBLANK(moras[[#This Row],[SALARIO]]), EDA!$M$8, moras[[#This Row],[SALARIO]])</f>
        <v>278030</v>
      </c>
      <c r="O499" s="14">
        <f xml:space="preserve"> IF(ISBLANK(moras[[#This Row],[EDAD]]), EDA!$E$8, moras[[#This Row],[EDAD]])</f>
        <v>47</v>
      </c>
      <c r="P499" s="14" t="str">
        <f>IF(
    OR(ISBLANK(moras[[#This Row],[TIPO_ASEGURAMIENTO]]), moras[[#This Row],[TIPO_ASEGURAMIENTO]]=""),
    EDA!$A$32,
    moras[[#This Row],[TIPO_ASEGURAMIENTO]]
)</f>
        <v>CONVENIOS ESPECIALES DE TRABAJADORES INDEPENDIENTES</v>
      </c>
    </row>
    <row r="500" spans="1:16" x14ac:dyDescent="0.3">
      <c r="A500">
        <v>499</v>
      </c>
      <c r="B500" t="s">
        <v>9</v>
      </c>
      <c r="C500">
        <v>447826</v>
      </c>
      <c r="D500" t="s">
        <v>18</v>
      </c>
      <c r="E500" t="s">
        <v>16</v>
      </c>
      <c r="F500" t="s">
        <v>12</v>
      </c>
      <c r="G500" t="s">
        <v>13</v>
      </c>
      <c r="H500" t="s">
        <v>12</v>
      </c>
      <c r="I500">
        <v>56</v>
      </c>
      <c r="J500">
        <f>ABS((I500-EDA!$A$15)/EDA!$B$15)</f>
        <v>0.9894949339386423</v>
      </c>
      <c r="K500" t="str">
        <f t="shared" si="7"/>
        <v>No</v>
      </c>
      <c r="L500">
        <f>ABS((C500-EDA!$F$15)/EDA!$G$15)</f>
        <v>0.36820183144198249</v>
      </c>
      <c r="M500" t="str">
        <f>IF(moras[[#This Row],[Z-Score Salario]]&gt;1.96, "Sí", "No")</f>
        <v>No</v>
      </c>
      <c r="N500" s="14">
        <f>IF(ISBLANK(moras[[#This Row],[SALARIO]]), EDA!$M$8, moras[[#This Row],[SALARIO]])</f>
        <v>447826</v>
      </c>
      <c r="O500" s="14">
        <f xml:space="preserve"> IF(ISBLANK(moras[[#This Row],[EDAD]]), EDA!$E$8, moras[[#This Row],[EDAD]])</f>
        <v>56</v>
      </c>
      <c r="P500" s="14" t="str">
        <f>IF(
    OR(ISBLANK(moras[[#This Row],[TIPO_ASEGURAMIENTO]]), moras[[#This Row],[TIPO_ASEGURAMIENTO]]=""),
    EDA!$A$32,
    moras[[#This Row],[TIPO_ASEGURAMIENTO]]
)</f>
        <v>TRABAJADOR INDEPENDIENTE</v>
      </c>
    </row>
    <row r="501" spans="1:16" x14ac:dyDescent="0.3">
      <c r="A501">
        <v>500</v>
      </c>
      <c r="B501" t="s">
        <v>15</v>
      </c>
      <c r="C501">
        <v>600000</v>
      </c>
      <c r="D501" t="s">
        <v>10</v>
      </c>
      <c r="E501" t="s">
        <v>16</v>
      </c>
      <c r="F501" t="s">
        <v>12</v>
      </c>
      <c r="G501" t="s">
        <v>13</v>
      </c>
      <c r="H501" t="s">
        <v>13</v>
      </c>
      <c r="I501">
        <v>37</v>
      </c>
      <c r="J501">
        <f>ABS((I501-EDA!$A$15)/EDA!$B$15)</f>
        <v>0.35143633752697023</v>
      </c>
      <c r="K501" t="str">
        <f t="shared" si="7"/>
        <v>No</v>
      </c>
      <c r="L501">
        <f>ABS((C501-EDA!$F$15)/EDA!$G$15)</f>
        <v>0.36566954866049978</v>
      </c>
      <c r="M501" t="str">
        <f>IF(moras[[#This Row],[Z-Score Salario]]&gt;1.96, "Sí", "No")</f>
        <v>No</v>
      </c>
      <c r="N501" s="14">
        <f>IF(ISBLANK(moras[[#This Row],[SALARIO]]), EDA!$M$8, moras[[#This Row],[SALARIO]])</f>
        <v>600000</v>
      </c>
      <c r="O501" s="14">
        <f xml:space="preserve"> IF(ISBLANK(moras[[#This Row],[EDAD]]), EDA!$E$8, moras[[#This Row],[EDAD]])</f>
        <v>37</v>
      </c>
      <c r="P501" s="14" t="str">
        <f>IF(
    OR(ISBLANK(moras[[#This Row],[TIPO_ASEGURAMIENTO]]), moras[[#This Row],[TIPO_ASEGURAMIENTO]]=""),
    EDA!$A$32,
    moras[[#This Row],[TIPO_ASEGURAMIENTO]]
)</f>
        <v>ASALARIADO</v>
      </c>
    </row>
    <row r="502" spans="1:16" x14ac:dyDescent="0.3">
      <c r="A502">
        <v>501</v>
      </c>
      <c r="B502" t="s">
        <v>9</v>
      </c>
      <c r="C502">
        <v>461711</v>
      </c>
      <c r="D502" t="s">
        <v>18</v>
      </c>
      <c r="E502" t="s">
        <v>16</v>
      </c>
      <c r="F502" t="s">
        <v>12</v>
      </c>
      <c r="G502" t="s">
        <v>12</v>
      </c>
      <c r="H502" t="s">
        <v>12</v>
      </c>
      <c r="I502">
        <v>40</v>
      </c>
      <c r="J502">
        <f>ABS((I502-EDA!$A$15)/EDA!$B$15)</f>
        <v>0.13971034729555773</v>
      </c>
      <c r="K502" t="str">
        <f t="shared" si="7"/>
        <v>No</v>
      </c>
      <c r="L502">
        <f>ABS((C502-EDA!$F$15)/EDA!$G$15)</f>
        <v>0.36797077524039162</v>
      </c>
      <c r="M502" t="str">
        <f>IF(moras[[#This Row],[Z-Score Salario]]&gt;1.96, "Sí", "No")</f>
        <v>No</v>
      </c>
      <c r="N502" s="14">
        <f>IF(ISBLANK(moras[[#This Row],[SALARIO]]), EDA!$M$8, moras[[#This Row],[SALARIO]])</f>
        <v>461711</v>
      </c>
      <c r="O502" s="14">
        <f xml:space="preserve"> IF(ISBLANK(moras[[#This Row],[EDAD]]), EDA!$E$8, moras[[#This Row],[EDAD]])</f>
        <v>40</v>
      </c>
      <c r="P502" s="14" t="str">
        <f>IF(
    OR(ISBLANK(moras[[#This Row],[TIPO_ASEGURAMIENTO]]), moras[[#This Row],[TIPO_ASEGURAMIENTO]]=""),
    EDA!$A$32,
    moras[[#This Row],[TIPO_ASEGURAMIENTO]]
)</f>
        <v>TRABAJADOR INDEPENDIENTE</v>
      </c>
    </row>
    <row r="503" spans="1:16" x14ac:dyDescent="0.3">
      <c r="A503">
        <v>502</v>
      </c>
      <c r="B503" t="s">
        <v>9</v>
      </c>
      <c r="C503">
        <v>482134</v>
      </c>
      <c r="D503" t="s">
        <v>18</v>
      </c>
      <c r="E503" t="s">
        <v>16</v>
      </c>
      <c r="F503" t="s">
        <v>12</v>
      </c>
      <c r="G503" t="s">
        <v>13</v>
      </c>
      <c r="H503" t="s">
        <v>13</v>
      </c>
      <c r="I503">
        <v>69</v>
      </c>
      <c r="J503">
        <f>ABS((I503-EDA!$A$15)/EDA!$B$15)</f>
        <v>1.9069742249414299</v>
      </c>
      <c r="K503" t="str">
        <f t="shared" si="7"/>
        <v>No</v>
      </c>
      <c r="L503">
        <f>ABS((C503-EDA!$F$15)/EDA!$G$15)</f>
        <v>0.36763092210354681</v>
      </c>
      <c r="M503" t="str">
        <f>IF(moras[[#This Row],[Z-Score Salario]]&gt;1.96, "Sí", "No")</f>
        <v>No</v>
      </c>
      <c r="N503" s="14">
        <f>IF(ISBLANK(moras[[#This Row],[SALARIO]]), EDA!$M$8, moras[[#This Row],[SALARIO]])</f>
        <v>482134</v>
      </c>
      <c r="O503" s="14">
        <f xml:space="preserve"> IF(ISBLANK(moras[[#This Row],[EDAD]]), EDA!$E$8, moras[[#This Row],[EDAD]])</f>
        <v>69</v>
      </c>
      <c r="P503" s="14" t="str">
        <f>IF(
    OR(ISBLANK(moras[[#This Row],[TIPO_ASEGURAMIENTO]]), moras[[#This Row],[TIPO_ASEGURAMIENTO]]=""),
    EDA!$A$32,
    moras[[#This Row],[TIPO_ASEGURAMIENTO]]
)</f>
        <v>TRABAJADOR INDEPENDIENTE</v>
      </c>
    </row>
    <row r="504" spans="1:16" x14ac:dyDescent="0.3">
      <c r="A504">
        <v>503</v>
      </c>
      <c r="B504" t="s">
        <v>15</v>
      </c>
      <c r="C504">
        <v>355157</v>
      </c>
      <c r="D504" t="s">
        <v>10</v>
      </c>
      <c r="E504" t="s">
        <v>16</v>
      </c>
      <c r="F504" t="s">
        <v>12</v>
      </c>
      <c r="G504" t="s">
        <v>13</v>
      </c>
      <c r="H504" t="s">
        <v>13</v>
      </c>
      <c r="I504">
        <v>40</v>
      </c>
      <c r="J504">
        <f>ABS((I504-EDA!$A$15)/EDA!$B$15)</f>
        <v>0.13971034729555773</v>
      </c>
      <c r="K504" t="str">
        <f t="shared" si="7"/>
        <v>No</v>
      </c>
      <c r="L504">
        <f>ABS((C504-EDA!$F$15)/EDA!$G$15)</f>
        <v>0.3697439090181599</v>
      </c>
      <c r="M504" t="str">
        <f>IF(moras[[#This Row],[Z-Score Salario]]&gt;1.96, "Sí", "No")</f>
        <v>No</v>
      </c>
      <c r="N504" s="14">
        <f>IF(ISBLANK(moras[[#This Row],[SALARIO]]), EDA!$M$8, moras[[#This Row],[SALARIO]])</f>
        <v>355157</v>
      </c>
      <c r="O504" s="14">
        <f xml:space="preserve"> IF(ISBLANK(moras[[#This Row],[EDAD]]), EDA!$E$8, moras[[#This Row],[EDAD]])</f>
        <v>40</v>
      </c>
      <c r="P504" s="14" t="str">
        <f>IF(
    OR(ISBLANK(moras[[#This Row],[TIPO_ASEGURAMIENTO]]), moras[[#This Row],[TIPO_ASEGURAMIENTO]]=""),
    EDA!$A$32,
    moras[[#This Row],[TIPO_ASEGURAMIENTO]]
)</f>
        <v>ASALARIADO</v>
      </c>
    </row>
    <row r="505" spans="1:16" x14ac:dyDescent="0.3">
      <c r="A505">
        <v>504</v>
      </c>
      <c r="B505" t="s">
        <v>9</v>
      </c>
      <c r="C505">
        <v>202928516</v>
      </c>
      <c r="D505" t="s">
        <v>10</v>
      </c>
      <c r="E505" t="s">
        <v>16</v>
      </c>
      <c r="F505" t="s">
        <v>12</v>
      </c>
      <c r="G505" t="s">
        <v>13</v>
      </c>
      <c r="H505" t="s">
        <v>13</v>
      </c>
      <c r="I505">
        <v>38</v>
      </c>
      <c r="J505">
        <f>ABS((I505-EDA!$A$15)/EDA!$B$15)</f>
        <v>0.28086100744983278</v>
      </c>
      <c r="K505" t="str">
        <f t="shared" si="7"/>
        <v>No</v>
      </c>
      <c r="L505">
        <f>ABS((C505-EDA!$F$15)/EDA!$G$15)</f>
        <v>3.0012197837467811</v>
      </c>
      <c r="M505" t="str">
        <f>IF(moras[[#This Row],[Z-Score Salario]]&gt;1.96, "Sí", "No")</f>
        <v>Sí</v>
      </c>
      <c r="N505" s="14">
        <f>IF(ISBLANK(moras[[#This Row],[SALARIO]]), EDA!$M$8, moras[[#This Row],[SALARIO]])</f>
        <v>202928516</v>
      </c>
      <c r="O505" s="14">
        <f xml:space="preserve"> IF(ISBLANK(moras[[#This Row],[EDAD]]), EDA!$E$8, moras[[#This Row],[EDAD]])</f>
        <v>38</v>
      </c>
      <c r="P505" s="14" t="str">
        <f>IF(
    OR(ISBLANK(moras[[#This Row],[TIPO_ASEGURAMIENTO]]), moras[[#This Row],[TIPO_ASEGURAMIENTO]]=""),
    EDA!$A$32,
    moras[[#This Row],[TIPO_ASEGURAMIENTO]]
)</f>
        <v>ASALARIADO</v>
      </c>
    </row>
    <row r="506" spans="1:16" x14ac:dyDescent="0.3">
      <c r="A506">
        <v>505</v>
      </c>
      <c r="B506" t="s">
        <v>9</v>
      </c>
      <c r="C506">
        <v>278030</v>
      </c>
      <c r="D506" t="s">
        <v>19</v>
      </c>
      <c r="E506" t="s">
        <v>16</v>
      </c>
      <c r="F506" t="s">
        <v>12</v>
      </c>
      <c r="G506" t="s">
        <v>13</v>
      </c>
      <c r="H506" t="s">
        <v>13</v>
      </c>
      <c r="I506">
        <v>54</v>
      </c>
      <c r="J506">
        <f>ABS((I506-EDA!$A$15)/EDA!$B$15)</f>
        <v>0.84834427378436728</v>
      </c>
      <c r="K506" t="str">
        <f t="shared" si="7"/>
        <v>No</v>
      </c>
      <c r="L506">
        <f>ABS((C506-EDA!$F$15)/EDA!$G$15)</f>
        <v>0.37102735674304993</v>
      </c>
      <c r="M506" t="str">
        <f>IF(moras[[#This Row],[Z-Score Salario]]&gt;1.96, "Sí", "No")</f>
        <v>No</v>
      </c>
      <c r="N506" s="14">
        <f>IF(ISBLANK(moras[[#This Row],[SALARIO]]), EDA!$M$8, moras[[#This Row],[SALARIO]])</f>
        <v>278030</v>
      </c>
      <c r="O506" s="14">
        <f xml:space="preserve"> IF(ISBLANK(moras[[#This Row],[EDAD]]), EDA!$E$8, moras[[#This Row],[EDAD]])</f>
        <v>54</v>
      </c>
      <c r="P506" s="14" t="str">
        <f>IF(
    OR(ISBLANK(moras[[#This Row],[TIPO_ASEGURAMIENTO]]), moras[[#This Row],[TIPO_ASEGURAMIENTO]]=""),
    EDA!$A$32,
    moras[[#This Row],[TIPO_ASEGURAMIENTO]]
)</f>
        <v>CONVENIOS ESPECIALES DE TRABAJADORES INDEPENDIENTES</v>
      </c>
    </row>
    <row r="507" spans="1:16" x14ac:dyDescent="0.3">
      <c r="A507">
        <v>506</v>
      </c>
      <c r="B507" t="s">
        <v>9</v>
      </c>
      <c r="C507">
        <v>1041805</v>
      </c>
      <c r="D507" t="s">
        <v>10</v>
      </c>
      <c r="E507" t="s">
        <v>16</v>
      </c>
      <c r="F507" t="s">
        <v>12</v>
      </c>
      <c r="G507" t="s">
        <v>13</v>
      </c>
      <c r="H507" t="s">
        <v>13</v>
      </c>
      <c r="I507">
        <v>28</v>
      </c>
      <c r="J507">
        <f>ABS((I507-EDA!$A$15)/EDA!$B$15)</f>
        <v>0.98661430822120777</v>
      </c>
      <c r="K507" t="str">
        <f t="shared" si="7"/>
        <v>No</v>
      </c>
      <c r="L507">
        <f>ABS((C507-EDA!$F$15)/EDA!$G$15)</f>
        <v>0.35831760158496151</v>
      </c>
      <c r="M507" t="str">
        <f>IF(moras[[#This Row],[Z-Score Salario]]&gt;1.96, "Sí", "No")</f>
        <v>No</v>
      </c>
      <c r="N507" s="14">
        <f>IF(ISBLANK(moras[[#This Row],[SALARIO]]), EDA!$M$8, moras[[#This Row],[SALARIO]])</f>
        <v>1041805</v>
      </c>
      <c r="O507" s="14">
        <f xml:space="preserve"> IF(ISBLANK(moras[[#This Row],[EDAD]]), EDA!$E$8, moras[[#This Row],[EDAD]])</f>
        <v>28</v>
      </c>
      <c r="P507" s="14" t="str">
        <f>IF(
    OR(ISBLANK(moras[[#This Row],[TIPO_ASEGURAMIENTO]]), moras[[#This Row],[TIPO_ASEGURAMIENTO]]=""),
    EDA!$A$32,
    moras[[#This Row],[TIPO_ASEGURAMIENTO]]
)</f>
        <v>ASALARIADO</v>
      </c>
    </row>
    <row r="508" spans="1:16" x14ac:dyDescent="0.3">
      <c r="A508">
        <v>507</v>
      </c>
      <c r="B508" t="s">
        <v>15</v>
      </c>
      <c r="C508">
        <v>450000</v>
      </c>
      <c r="D508" t="s">
        <v>10</v>
      </c>
      <c r="E508" t="s">
        <v>16</v>
      </c>
      <c r="F508" t="s">
        <v>12</v>
      </c>
      <c r="G508" t="s">
        <v>13</v>
      </c>
      <c r="H508" t="s">
        <v>13</v>
      </c>
      <c r="I508">
        <v>54</v>
      </c>
      <c r="J508">
        <f>ABS((I508-EDA!$A$15)/EDA!$B$15)</f>
        <v>0.84834427378436728</v>
      </c>
      <c r="K508" t="str">
        <f t="shared" si="7"/>
        <v>No</v>
      </c>
      <c r="L508">
        <f>ABS((C508-EDA!$F$15)/EDA!$G$15)</f>
        <v>0.36816565454732936</v>
      </c>
      <c r="M508" t="str">
        <f>IF(moras[[#This Row],[Z-Score Salario]]&gt;1.96, "Sí", "No")</f>
        <v>No</v>
      </c>
      <c r="N508" s="14">
        <f>IF(ISBLANK(moras[[#This Row],[SALARIO]]), EDA!$M$8, moras[[#This Row],[SALARIO]])</f>
        <v>450000</v>
      </c>
      <c r="O508" s="14">
        <f xml:space="preserve"> IF(ISBLANK(moras[[#This Row],[EDAD]]), EDA!$E$8, moras[[#This Row],[EDAD]])</f>
        <v>54</v>
      </c>
      <c r="P508" s="14" t="str">
        <f>IF(
    OR(ISBLANK(moras[[#This Row],[TIPO_ASEGURAMIENTO]]), moras[[#This Row],[TIPO_ASEGURAMIENTO]]=""),
    EDA!$A$32,
    moras[[#This Row],[TIPO_ASEGURAMIENTO]]
)</f>
        <v>ASALARIADO</v>
      </c>
    </row>
    <row r="509" spans="1:16" x14ac:dyDescent="0.3">
      <c r="A509">
        <v>508</v>
      </c>
      <c r="B509" t="s">
        <v>15</v>
      </c>
      <c r="C509">
        <v>300018</v>
      </c>
      <c r="D509" t="s">
        <v>17</v>
      </c>
      <c r="E509" t="s">
        <v>16</v>
      </c>
      <c r="F509" t="s">
        <v>12</v>
      </c>
      <c r="G509" t="s">
        <v>13</v>
      </c>
      <c r="H509" t="s">
        <v>13</v>
      </c>
      <c r="I509">
        <v>55</v>
      </c>
      <c r="J509">
        <f>ABS((I509-EDA!$A$15)/EDA!$B$15)</f>
        <v>0.91891960386150484</v>
      </c>
      <c r="K509" t="str">
        <f t="shared" si="7"/>
        <v>No</v>
      </c>
      <c r="L509">
        <f>ABS((C509-EDA!$F$15)/EDA!$G$15)</f>
        <v>0.37066146090145252</v>
      </c>
      <c r="M509" t="str">
        <f>IF(moras[[#This Row],[Z-Score Salario]]&gt;1.96, "Sí", "No")</f>
        <v>No</v>
      </c>
      <c r="N509" s="14">
        <f>IF(ISBLANK(moras[[#This Row],[SALARIO]]), EDA!$M$8, moras[[#This Row],[SALARIO]])</f>
        <v>300018</v>
      </c>
      <c r="O509" s="14">
        <f xml:space="preserve"> IF(ISBLANK(moras[[#This Row],[EDAD]]), EDA!$E$8, moras[[#This Row],[EDAD]])</f>
        <v>55</v>
      </c>
      <c r="P509" s="14" t="str">
        <f>IF(
    OR(ISBLANK(moras[[#This Row],[TIPO_ASEGURAMIENTO]]), moras[[#This Row],[TIPO_ASEGURAMIENTO]]=""),
    EDA!$A$32,
    moras[[#This Row],[TIPO_ASEGURAMIENTO]]
)</f>
        <v>ASEGURADO VOLUNTARIO</v>
      </c>
    </row>
    <row r="510" spans="1:16" x14ac:dyDescent="0.3">
      <c r="A510">
        <v>509</v>
      </c>
      <c r="B510" t="s">
        <v>9</v>
      </c>
      <c r="C510">
        <v>56277045</v>
      </c>
      <c r="D510" t="s">
        <v>10</v>
      </c>
      <c r="E510" t="s">
        <v>16</v>
      </c>
      <c r="F510" t="s">
        <v>12</v>
      </c>
      <c r="G510" t="s">
        <v>13</v>
      </c>
      <c r="H510" t="s">
        <v>13</v>
      </c>
      <c r="I510">
        <v>36</v>
      </c>
      <c r="J510">
        <f>ABS((I510-EDA!$A$15)/EDA!$B$15)</f>
        <v>0.42201166760410774</v>
      </c>
      <c r="K510" t="str">
        <f t="shared" si="7"/>
        <v>No</v>
      </c>
      <c r="L510">
        <f>ABS((C510-EDA!$F$15)/EDA!$G$15)</f>
        <v>0.56083578324466843</v>
      </c>
      <c r="M510" t="str">
        <f>IF(moras[[#This Row],[Z-Score Salario]]&gt;1.96, "Sí", "No")</f>
        <v>No</v>
      </c>
      <c r="N510" s="14">
        <f>IF(ISBLANK(moras[[#This Row],[SALARIO]]), EDA!$M$8, moras[[#This Row],[SALARIO]])</f>
        <v>56277045</v>
      </c>
      <c r="O510" s="14">
        <f xml:space="preserve"> IF(ISBLANK(moras[[#This Row],[EDAD]]), EDA!$E$8, moras[[#This Row],[EDAD]])</f>
        <v>36</v>
      </c>
      <c r="P510" s="14" t="str">
        <f>IF(
    OR(ISBLANK(moras[[#This Row],[TIPO_ASEGURAMIENTO]]), moras[[#This Row],[TIPO_ASEGURAMIENTO]]=""),
    EDA!$A$32,
    moras[[#This Row],[TIPO_ASEGURAMIENTO]]
)</f>
        <v>ASALARIADO</v>
      </c>
    </row>
    <row r="511" spans="1:16" x14ac:dyDescent="0.3">
      <c r="A511">
        <v>510</v>
      </c>
      <c r="B511" t="s">
        <v>15</v>
      </c>
      <c r="C511">
        <v>571789</v>
      </c>
      <c r="D511" t="s">
        <v>18</v>
      </c>
      <c r="E511" t="s">
        <v>16</v>
      </c>
      <c r="F511" t="s">
        <v>12</v>
      </c>
      <c r="G511" t="s">
        <v>13</v>
      </c>
      <c r="H511" t="s">
        <v>13</v>
      </c>
      <c r="I511">
        <v>30</v>
      </c>
      <c r="J511">
        <f>ABS((I511-EDA!$A$15)/EDA!$B$15)</f>
        <v>0.84546364806693275</v>
      </c>
      <c r="K511" t="str">
        <f t="shared" si="7"/>
        <v>No</v>
      </c>
      <c r="L511">
        <f>ABS((C511-EDA!$F$15)/EDA!$G$15)</f>
        <v>0.3661389996149888</v>
      </c>
      <c r="M511" t="str">
        <f>IF(moras[[#This Row],[Z-Score Salario]]&gt;1.96, "Sí", "No")</f>
        <v>No</v>
      </c>
      <c r="N511" s="14">
        <f>IF(ISBLANK(moras[[#This Row],[SALARIO]]), EDA!$M$8, moras[[#This Row],[SALARIO]])</f>
        <v>571789</v>
      </c>
      <c r="O511" s="14">
        <f xml:space="preserve"> IF(ISBLANK(moras[[#This Row],[EDAD]]), EDA!$E$8, moras[[#This Row],[EDAD]])</f>
        <v>30</v>
      </c>
      <c r="P511" s="14" t="str">
        <f>IF(
    OR(ISBLANK(moras[[#This Row],[TIPO_ASEGURAMIENTO]]), moras[[#This Row],[TIPO_ASEGURAMIENTO]]=""),
    EDA!$A$32,
    moras[[#This Row],[TIPO_ASEGURAMIENTO]]
)</f>
        <v>TRABAJADOR INDEPENDIENTE</v>
      </c>
    </row>
    <row r="512" spans="1:16" x14ac:dyDescent="0.3">
      <c r="A512">
        <v>511</v>
      </c>
      <c r="B512" t="s">
        <v>9</v>
      </c>
      <c r="C512">
        <v>896977</v>
      </c>
      <c r="D512" t="s">
        <v>10</v>
      </c>
      <c r="E512" t="s">
        <v>16</v>
      </c>
      <c r="F512" t="s">
        <v>12</v>
      </c>
      <c r="G512" t="s">
        <v>13</v>
      </c>
      <c r="H512" t="s">
        <v>13</v>
      </c>
      <c r="I512">
        <v>53</v>
      </c>
      <c r="J512">
        <f>ABS((I512-EDA!$A$15)/EDA!$B$15)</f>
        <v>0.77776894370722982</v>
      </c>
      <c r="K512" t="str">
        <f t="shared" si="7"/>
        <v>No</v>
      </c>
      <c r="L512">
        <f>ABS((C512-EDA!$F$15)/EDA!$G$15)</f>
        <v>0.36072764174081323</v>
      </c>
      <c r="M512" t="str">
        <f>IF(moras[[#This Row],[Z-Score Salario]]&gt;1.96, "Sí", "No")</f>
        <v>No</v>
      </c>
      <c r="N512" s="14">
        <f>IF(ISBLANK(moras[[#This Row],[SALARIO]]), EDA!$M$8, moras[[#This Row],[SALARIO]])</f>
        <v>896977</v>
      </c>
      <c r="O512" s="14">
        <f xml:space="preserve"> IF(ISBLANK(moras[[#This Row],[EDAD]]), EDA!$E$8, moras[[#This Row],[EDAD]])</f>
        <v>53</v>
      </c>
      <c r="P512" s="14" t="str">
        <f>IF(
    OR(ISBLANK(moras[[#This Row],[TIPO_ASEGURAMIENTO]]), moras[[#This Row],[TIPO_ASEGURAMIENTO]]=""),
    EDA!$A$32,
    moras[[#This Row],[TIPO_ASEGURAMIENTO]]
)</f>
        <v>ASALARIADO</v>
      </c>
    </row>
    <row r="513" spans="1:16" x14ac:dyDescent="0.3">
      <c r="A513">
        <v>512</v>
      </c>
      <c r="B513" t="s">
        <v>15</v>
      </c>
      <c r="C513">
        <v>220000</v>
      </c>
      <c r="D513" t="s">
        <v>10</v>
      </c>
      <c r="E513" t="s">
        <v>16</v>
      </c>
      <c r="F513" t="s">
        <v>12</v>
      </c>
      <c r="G513" t="s">
        <v>13</v>
      </c>
      <c r="H513" t="s">
        <v>13</v>
      </c>
      <c r="I513">
        <v>19</v>
      </c>
      <c r="J513">
        <f>ABS((I513-EDA!$A$15)/EDA!$B$15)</f>
        <v>1.6217922789154453</v>
      </c>
      <c r="K513" t="str">
        <f t="shared" si="7"/>
        <v>No</v>
      </c>
      <c r="L513">
        <f>ABS((C513-EDA!$F$15)/EDA!$G$15)</f>
        <v>0.37199301690713471</v>
      </c>
      <c r="M513" t="str">
        <f>IF(moras[[#This Row],[Z-Score Salario]]&gt;1.96, "Sí", "No")</f>
        <v>No</v>
      </c>
      <c r="N513" s="14">
        <f>IF(ISBLANK(moras[[#This Row],[SALARIO]]), EDA!$M$8, moras[[#This Row],[SALARIO]])</f>
        <v>220000</v>
      </c>
      <c r="O513" s="14">
        <f xml:space="preserve"> IF(ISBLANK(moras[[#This Row],[EDAD]]), EDA!$E$8, moras[[#This Row],[EDAD]])</f>
        <v>19</v>
      </c>
      <c r="P513" s="14" t="str">
        <f>IF(
    OR(ISBLANK(moras[[#This Row],[TIPO_ASEGURAMIENTO]]), moras[[#This Row],[TIPO_ASEGURAMIENTO]]=""),
    EDA!$A$32,
    moras[[#This Row],[TIPO_ASEGURAMIENTO]]
)</f>
        <v>ASALARIADO</v>
      </c>
    </row>
    <row r="514" spans="1:16" x14ac:dyDescent="0.3">
      <c r="A514">
        <v>513</v>
      </c>
      <c r="B514" t="s">
        <v>9</v>
      </c>
      <c r="C514">
        <v>447772</v>
      </c>
      <c r="D514" t="s">
        <v>10</v>
      </c>
      <c r="E514" t="s">
        <v>11</v>
      </c>
      <c r="F514" t="s">
        <v>12</v>
      </c>
      <c r="G514" t="s">
        <v>13</v>
      </c>
      <c r="H514" t="s">
        <v>13</v>
      </c>
      <c r="I514">
        <v>41</v>
      </c>
      <c r="J514">
        <f>ABS((I514-EDA!$A$15)/EDA!$B$15)</f>
        <v>6.9135017218420233E-2</v>
      </c>
      <c r="K514" t="str">
        <f t="shared" ref="K514:K577" si="8">IF(J514 &gt;  1.96, "Sí","No")</f>
        <v>No</v>
      </c>
      <c r="L514">
        <f>ABS((C514-EDA!$F$15)/EDA!$G$15)</f>
        <v>0.36820273004010173</v>
      </c>
      <c r="M514" t="str">
        <f>IF(moras[[#This Row],[Z-Score Salario]]&gt;1.96, "Sí", "No")</f>
        <v>No</v>
      </c>
      <c r="N514" s="14">
        <f>IF(ISBLANK(moras[[#This Row],[SALARIO]]), EDA!$M$8, moras[[#This Row],[SALARIO]])</f>
        <v>447772</v>
      </c>
      <c r="O514" s="14">
        <f xml:space="preserve"> IF(ISBLANK(moras[[#This Row],[EDAD]]), EDA!$E$8, moras[[#This Row],[EDAD]])</f>
        <v>41</v>
      </c>
      <c r="P514" s="14" t="str">
        <f>IF(
    OR(ISBLANK(moras[[#This Row],[TIPO_ASEGURAMIENTO]]), moras[[#This Row],[TIPO_ASEGURAMIENTO]]=""),
    EDA!$A$32,
    moras[[#This Row],[TIPO_ASEGURAMIENTO]]
)</f>
        <v>ASALARIADO</v>
      </c>
    </row>
    <row r="515" spans="1:16" x14ac:dyDescent="0.3">
      <c r="A515">
        <v>514</v>
      </c>
      <c r="B515" t="s">
        <v>9</v>
      </c>
      <c r="C515">
        <v>297046</v>
      </c>
      <c r="D515" t="s">
        <v>17</v>
      </c>
      <c r="E515" t="s">
        <v>16</v>
      </c>
      <c r="F515" t="s">
        <v>12</v>
      </c>
      <c r="G515" t="s">
        <v>13</v>
      </c>
      <c r="H515" t="s">
        <v>13</v>
      </c>
      <c r="I515">
        <v>39</v>
      </c>
      <c r="J515">
        <f>ABS((I515-EDA!$A$15)/EDA!$B$15)</f>
        <v>0.21028567737269524</v>
      </c>
      <c r="K515" t="str">
        <f t="shared" si="8"/>
        <v>No</v>
      </c>
      <c r="L515">
        <f>ABS((C515-EDA!$F$15)/EDA!$G$15)</f>
        <v>0.37071091707942361</v>
      </c>
      <c r="M515" t="str">
        <f>IF(moras[[#This Row],[Z-Score Salario]]&gt;1.96, "Sí", "No")</f>
        <v>No</v>
      </c>
      <c r="N515" s="14">
        <f>IF(ISBLANK(moras[[#This Row],[SALARIO]]), EDA!$M$8, moras[[#This Row],[SALARIO]])</f>
        <v>297046</v>
      </c>
      <c r="O515" s="14">
        <f xml:space="preserve"> IF(ISBLANK(moras[[#This Row],[EDAD]]), EDA!$E$8, moras[[#This Row],[EDAD]])</f>
        <v>39</v>
      </c>
      <c r="P515" s="14" t="str">
        <f>IF(
    OR(ISBLANK(moras[[#This Row],[TIPO_ASEGURAMIENTO]]), moras[[#This Row],[TIPO_ASEGURAMIENTO]]=""),
    EDA!$A$32,
    moras[[#This Row],[TIPO_ASEGURAMIENTO]]
)</f>
        <v>ASEGURADO VOLUNTARIO</v>
      </c>
    </row>
    <row r="516" spans="1:16" x14ac:dyDescent="0.3">
      <c r="A516">
        <v>515</v>
      </c>
      <c r="B516" t="s">
        <v>9</v>
      </c>
      <c r="C516">
        <v>3195744</v>
      </c>
      <c r="D516" t="s">
        <v>10</v>
      </c>
      <c r="E516" t="s">
        <v>16</v>
      </c>
      <c r="F516" t="s">
        <v>12</v>
      </c>
      <c r="G516" t="s">
        <v>13</v>
      </c>
      <c r="H516" t="s">
        <v>12</v>
      </c>
      <c r="I516">
        <v>52</v>
      </c>
      <c r="J516">
        <f>ABS((I516-EDA!$A$15)/EDA!$B$15)</f>
        <v>0.70719361363009237</v>
      </c>
      <c r="K516" t="str">
        <f t="shared" si="8"/>
        <v>No</v>
      </c>
      <c r="L516">
        <f>ABS((C516-EDA!$F$15)/EDA!$G$15)</f>
        <v>0.32247453613314947</v>
      </c>
      <c r="M516" t="str">
        <f>IF(moras[[#This Row],[Z-Score Salario]]&gt;1.96, "Sí", "No")</f>
        <v>No</v>
      </c>
      <c r="N516" s="14">
        <f>IF(ISBLANK(moras[[#This Row],[SALARIO]]), EDA!$M$8, moras[[#This Row],[SALARIO]])</f>
        <v>3195744</v>
      </c>
      <c r="O516" s="14">
        <f xml:space="preserve"> IF(ISBLANK(moras[[#This Row],[EDAD]]), EDA!$E$8, moras[[#This Row],[EDAD]])</f>
        <v>52</v>
      </c>
      <c r="P516" s="14" t="str">
        <f>IF(
    OR(ISBLANK(moras[[#This Row],[TIPO_ASEGURAMIENTO]]), moras[[#This Row],[TIPO_ASEGURAMIENTO]]=""),
    EDA!$A$32,
    moras[[#This Row],[TIPO_ASEGURAMIENTO]]
)</f>
        <v>ASALARIADO</v>
      </c>
    </row>
    <row r="517" spans="1:16" x14ac:dyDescent="0.3">
      <c r="A517">
        <v>516</v>
      </c>
      <c r="B517" t="s">
        <v>9</v>
      </c>
      <c r="C517">
        <v>34339086</v>
      </c>
      <c r="D517" t="s">
        <v>10</v>
      </c>
      <c r="E517" t="s">
        <v>16</v>
      </c>
      <c r="F517" t="s">
        <v>12</v>
      </c>
      <c r="G517" t="s">
        <v>12</v>
      </c>
      <c r="H517" t="s">
        <v>13</v>
      </c>
      <c r="I517">
        <v>64</v>
      </c>
      <c r="J517">
        <f>ABS((I517-EDA!$A$15)/EDA!$B$15)</f>
        <v>1.5540975745557424</v>
      </c>
      <c r="K517" t="str">
        <f t="shared" si="8"/>
        <v>No</v>
      </c>
      <c r="L517">
        <f>ABS((C517-EDA!$F$15)/EDA!$G$15)</f>
        <v>0.19577265921182921</v>
      </c>
      <c r="M517" t="str">
        <f>IF(moras[[#This Row],[Z-Score Salario]]&gt;1.96, "Sí", "No")</f>
        <v>No</v>
      </c>
      <c r="N517" s="14">
        <f>IF(ISBLANK(moras[[#This Row],[SALARIO]]), EDA!$M$8, moras[[#This Row],[SALARIO]])</f>
        <v>34339086</v>
      </c>
      <c r="O517" s="14">
        <f xml:space="preserve"> IF(ISBLANK(moras[[#This Row],[EDAD]]), EDA!$E$8, moras[[#This Row],[EDAD]])</f>
        <v>64</v>
      </c>
      <c r="P517" s="14" t="str">
        <f>IF(
    OR(ISBLANK(moras[[#This Row],[TIPO_ASEGURAMIENTO]]), moras[[#This Row],[TIPO_ASEGURAMIENTO]]=""),
    EDA!$A$32,
    moras[[#This Row],[TIPO_ASEGURAMIENTO]]
)</f>
        <v>ASALARIADO</v>
      </c>
    </row>
    <row r="518" spans="1:16" x14ac:dyDescent="0.3">
      <c r="A518">
        <v>517</v>
      </c>
      <c r="B518" t="s">
        <v>15</v>
      </c>
      <c r="C518">
        <v>18434285</v>
      </c>
      <c r="D518" t="s">
        <v>10</v>
      </c>
      <c r="E518" t="s">
        <v>16</v>
      </c>
      <c r="F518" t="s">
        <v>12</v>
      </c>
      <c r="G518" t="s">
        <v>13</v>
      </c>
      <c r="H518" t="s">
        <v>13</v>
      </c>
      <c r="I518">
        <v>28</v>
      </c>
      <c r="J518">
        <f>ABS((I518-EDA!$A$15)/EDA!$B$15)</f>
        <v>0.98661430822120777</v>
      </c>
      <c r="K518" t="str">
        <f t="shared" si="8"/>
        <v>No</v>
      </c>
      <c r="L518">
        <f>ABS((C518-EDA!$F$15)/EDA!$G$15)</f>
        <v>6.8894456821190372E-2</v>
      </c>
      <c r="M518" t="str">
        <f>IF(moras[[#This Row],[Z-Score Salario]]&gt;1.96, "Sí", "No")</f>
        <v>No</v>
      </c>
      <c r="N518" s="14">
        <f>IF(ISBLANK(moras[[#This Row],[SALARIO]]), EDA!$M$8, moras[[#This Row],[SALARIO]])</f>
        <v>18434285</v>
      </c>
      <c r="O518" s="14">
        <f xml:space="preserve"> IF(ISBLANK(moras[[#This Row],[EDAD]]), EDA!$E$8, moras[[#This Row],[EDAD]])</f>
        <v>28</v>
      </c>
      <c r="P518" s="14" t="str">
        <f>IF(
    OR(ISBLANK(moras[[#This Row],[TIPO_ASEGURAMIENTO]]), moras[[#This Row],[TIPO_ASEGURAMIENTO]]=""),
    EDA!$A$32,
    moras[[#This Row],[TIPO_ASEGURAMIENTO]]
)</f>
        <v>ASALARIADO</v>
      </c>
    </row>
    <row r="519" spans="1:16" x14ac:dyDescent="0.3">
      <c r="A519">
        <v>518</v>
      </c>
      <c r="B519" t="s">
        <v>9</v>
      </c>
      <c r="C519">
        <v>699800</v>
      </c>
      <c r="D519" t="s">
        <v>10</v>
      </c>
      <c r="E519" t="s">
        <v>16</v>
      </c>
      <c r="F519" t="s">
        <v>12</v>
      </c>
      <c r="G519" t="s">
        <v>13</v>
      </c>
      <c r="H519" t="s">
        <v>13</v>
      </c>
      <c r="I519">
        <v>26</v>
      </c>
      <c r="J519">
        <f>ABS((I519-EDA!$A$15)/EDA!$B$15)</f>
        <v>1.1277649683754829</v>
      </c>
      <c r="K519" t="str">
        <f t="shared" si="8"/>
        <v>No</v>
      </c>
      <c r="L519">
        <f>ABS((C519-EDA!$F$15)/EDA!$G$15)</f>
        <v>0.3640088062104625</v>
      </c>
      <c r="M519" t="str">
        <f>IF(moras[[#This Row],[Z-Score Salario]]&gt;1.96, "Sí", "No")</f>
        <v>No</v>
      </c>
      <c r="N519" s="14">
        <f>IF(ISBLANK(moras[[#This Row],[SALARIO]]), EDA!$M$8, moras[[#This Row],[SALARIO]])</f>
        <v>699800</v>
      </c>
      <c r="O519" s="14">
        <f xml:space="preserve"> IF(ISBLANK(moras[[#This Row],[EDAD]]), EDA!$E$8, moras[[#This Row],[EDAD]])</f>
        <v>26</v>
      </c>
      <c r="P519" s="14" t="str">
        <f>IF(
    OR(ISBLANK(moras[[#This Row],[TIPO_ASEGURAMIENTO]]), moras[[#This Row],[TIPO_ASEGURAMIENTO]]=""),
    EDA!$A$32,
    moras[[#This Row],[TIPO_ASEGURAMIENTO]]
)</f>
        <v>ASALARIADO</v>
      </c>
    </row>
    <row r="520" spans="1:16" x14ac:dyDescent="0.3">
      <c r="A520">
        <v>519</v>
      </c>
      <c r="B520" t="s">
        <v>15</v>
      </c>
      <c r="C520">
        <v>1772988</v>
      </c>
      <c r="D520" t="s">
        <v>10</v>
      </c>
      <c r="E520" t="s">
        <v>16</v>
      </c>
      <c r="F520" t="s">
        <v>12</v>
      </c>
      <c r="G520" t="s">
        <v>13</v>
      </c>
      <c r="H520" t="s">
        <v>13</v>
      </c>
      <c r="I520">
        <v>33</v>
      </c>
      <c r="J520">
        <f>ABS((I520-EDA!$A$15)/EDA!$B$15)</f>
        <v>0.63373765783552027</v>
      </c>
      <c r="K520" t="str">
        <f t="shared" si="8"/>
        <v>No</v>
      </c>
      <c r="L520">
        <f>ABS((C520-EDA!$F$15)/EDA!$G$15)</f>
        <v>0.34615020031396343</v>
      </c>
      <c r="M520" t="str">
        <f>IF(moras[[#This Row],[Z-Score Salario]]&gt;1.96, "Sí", "No")</f>
        <v>No</v>
      </c>
      <c r="N520" s="14">
        <f>IF(ISBLANK(moras[[#This Row],[SALARIO]]), EDA!$M$8, moras[[#This Row],[SALARIO]])</f>
        <v>1772988</v>
      </c>
      <c r="O520" s="14">
        <f xml:space="preserve"> IF(ISBLANK(moras[[#This Row],[EDAD]]), EDA!$E$8, moras[[#This Row],[EDAD]])</f>
        <v>33</v>
      </c>
      <c r="P520" s="14" t="str">
        <f>IF(
    OR(ISBLANK(moras[[#This Row],[TIPO_ASEGURAMIENTO]]), moras[[#This Row],[TIPO_ASEGURAMIENTO]]=""),
    EDA!$A$32,
    moras[[#This Row],[TIPO_ASEGURAMIENTO]]
)</f>
        <v>ASALARIADO</v>
      </c>
    </row>
    <row r="521" spans="1:16" x14ac:dyDescent="0.3">
      <c r="A521">
        <v>520</v>
      </c>
      <c r="B521" t="s">
        <v>9</v>
      </c>
      <c r="C521">
        <v>159914396</v>
      </c>
      <c r="D521" t="s">
        <v>10</v>
      </c>
      <c r="E521" t="s">
        <v>11</v>
      </c>
      <c r="F521" t="s">
        <v>12</v>
      </c>
      <c r="G521" t="s">
        <v>13</v>
      </c>
      <c r="H521" t="s">
        <v>13</v>
      </c>
      <c r="I521">
        <v>31</v>
      </c>
      <c r="J521">
        <f>ABS((I521-EDA!$A$15)/EDA!$B$15)</f>
        <v>0.77488831798979529</v>
      </c>
      <c r="K521" t="str">
        <f t="shared" si="8"/>
        <v>No</v>
      </c>
      <c r="L521">
        <f>ABS((C521-EDA!$F$15)/EDA!$G$15)</f>
        <v>2.2854344627548224</v>
      </c>
      <c r="M521" t="str">
        <f>IF(moras[[#This Row],[Z-Score Salario]]&gt;1.96, "Sí", "No")</f>
        <v>Sí</v>
      </c>
      <c r="N521" s="14">
        <f>IF(ISBLANK(moras[[#This Row],[SALARIO]]), EDA!$M$8, moras[[#This Row],[SALARIO]])</f>
        <v>159914396</v>
      </c>
      <c r="O521" s="14">
        <f xml:space="preserve"> IF(ISBLANK(moras[[#This Row],[EDAD]]), EDA!$E$8, moras[[#This Row],[EDAD]])</f>
        <v>31</v>
      </c>
      <c r="P521" s="14" t="str">
        <f>IF(
    OR(ISBLANK(moras[[#This Row],[TIPO_ASEGURAMIENTO]]), moras[[#This Row],[TIPO_ASEGURAMIENTO]]=""),
    EDA!$A$32,
    moras[[#This Row],[TIPO_ASEGURAMIENTO]]
)</f>
        <v>ASALARIADO</v>
      </c>
    </row>
    <row r="522" spans="1:16" x14ac:dyDescent="0.3">
      <c r="A522">
        <v>521</v>
      </c>
      <c r="B522" t="s">
        <v>9</v>
      </c>
      <c r="C522">
        <v>55629612</v>
      </c>
      <c r="D522" t="s">
        <v>14</v>
      </c>
      <c r="E522" t="s">
        <v>11</v>
      </c>
      <c r="F522" t="s">
        <v>12</v>
      </c>
      <c r="G522" t="s">
        <v>13</v>
      </c>
      <c r="H522" t="s">
        <v>13</v>
      </c>
      <c r="I522">
        <v>63</v>
      </c>
      <c r="J522">
        <f>ABS((I522-EDA!$A$15)/EDA!$B$15)</f>
        <v>1.4835222444786049</v>
      </c>
      <c r="K522" t="str">
        <f t="shared" si="8"/>
        <v>No</v>
      </c>
      <c r="L522">
        <f>ABS((C522-EDA!$F$15)/EDA!$G$15)</f>
        <v>0.55006204109381696</v>
      </c>
      <c r="M522" t="str">
        <f>IF(moras[[#This Row],[Z-Score Salario]]&gt;1.96, "Sí", "No")</f>
        <v>No</v>
      </c>
      <c r="N522" s="14">
        <f>IF(ISBLANK(moras[[#This Row],[SALARIO]]), EDA!$M$8, moras[[#This Row],[SALARIO]])</f>
        <v>55629612</v>
      </c>
      <c r="O522" s="14">
        <f xml:space="preserve"> IF(ISBLANK(moras[[#This Row],[EDAD]]), EDA!$E$8, moras[[#This Row],[EDAD]])</f>
        <v>63</v>
      </c>
      <c r="P522" s="14" t="str">
        <f>IF(
    OR(ISBLANK(moras[[#This Row],[TIPO_ASEGURAMIENTO]]), moras[[#This Row],[TIPO_ASEGURAMIENTO]]=""),
    EDA!$A$32,
    moras[[#This Row],[TIPO_ASEGURAMIENTO]]
)</f>
        <v>PENSIONADOS EN SU PROPIO SISTEMA</v>
      </c>
    </row>
    <row r="523" spans="1:16" x14ac:dyDescent="0.3">
      <c r="A523">
        <v>522</v>
      </c>
      <c r="B523" t="s">
        <v>15</v>
      </c>
      <c r="C523">
        <v>206538</v>
      </c>
      <c r="D523" t="s">
        <v>10</v>
      </c>
      <c r="E523" t="s">
        <v>16</v>
      </c>
      <c r="F523" t="s">
        <v>12</v>
      </c>
      <c r="G523" t="s">
        <v>13</v>
      </c>
      <c r="H523" t="s">
        <v>12</v>
      </c>
      <c r="I523">
        <v>56</v>
      </c>
      <c r="J523">
        <f>ABS((I523-EDA!$A$15)/EDA!$B$15)</f>
        <v>0.9894949339386423</v>
      </c>
      <c r="K523" t="str">
        <f t="shared" si="8"/>
        <v>No</v>
      </c>
      <c r="L523">
        <f>ABS((C523-EDA!$F$15)/EDA!$G$15)</f>
        <v>0.37221703409012474</v>
      </c>
      <c r="M523" t="str">
        <f>IF(moras[[#This Row],[Z-Score Salario]]&gt;1.96, "Sí", "No")</f>
        <v>No</v>
      </c>
      <c r="N523" s="14">
        <f>IF(ISBLANK(moras[[#This Row],[SALARIO]]), EDA!$M$8, moras[[#This Row],[SALARIO]])</f>
        <v>206538</v>
      </c>
      <c r="O523" s="14">
        <f xml:space="preserve"> IF(ISBLANK(moras[[#This Row],[EDAD]]), EDA!$E$8, moras[[#This Row],[EDAD]])</f>
        <v>56</v>
      </c>
      <c r="P523" s="14" t="str">
        <f>IF(
    OR(ISBLANK(moras[[#This Row],[TIPO_ASEGURAMIENTO]]), moras[[#This Row],[TIPO_ASEGURAMIENTO]]=""),
    EDA!$A$32,
    moras[[#This Row],[TIPO_ASEGURAMIENTO]]
)</f>
        <v>ASALARIADO</v>
      </c>
    </row>
    <row r="524" spans="1:16" x14ac:dyDescent="0.3">
      <c r="A524">
        <v>523</v>
      </c>
      <c r="B524" t="s">
        <v>9</v>
      </c>
      <c r="C524">
        <v>436481</v>
      </c>
      <c r="D524" t="s">
        <v>18</v>
      </c>
      <c r="E524" t="s">
        <v>16</v>
      </c>
      <c r="F524" t="s">
        <v>12</v>
      </c>
      <c r="G524" t="s">
        <v>13</v>
      </c>
      <c r="H524" t="s">
        <v>12</v>
      </c>
      <c r="I524">
        <v>51</v>
      </c>
      <c r="J524">
        <f>ABS((I524-EDA!$A$15)/EDA!$B$15)</f>
        <v>0.6366182835529548</v>
      </c>
      <c r="K524" t="str">
        <f t="shared" si="8"/>
        <v>No</v>
      </c>
      <c r="L524">
        <f>ABS((C524-EDA!$F$15)/EDA!$G$15)</f>
        <v>0.36839062025055636</v>
      </c>
      <c r="M524" t="str">
        <f>IF(moras[[#This Row],[Z-Score Salario]]&gt;1.96, "Sí", "No")</f>
        <v>No</v>
      </c>
      <c r="N524" s="14">
        <f>IF(ISBLANK(moras[[#This Row],[SALARIO]]), EDA!$M$8, moras[[#This Row],[SALARIO]])</f>
        <v>436481</v>
      </c>
      <c r="O524" s="14">
        <f xml:space="preserve"> IF(ISBLANK(moras[[#This Row],[EDAD]]), EDA!$E$8, moras[[#This Row],[EDAD]])</f>
        <v>51</v>
      </c>
      <c r="P524" s="14" t="str">
        <f>IF(
    OR(ISBLANK(moras[[#This Row],[TIPO_ASEGURAMIENTO]]), moras[[#This Row],[TIPO_ASEGURAMIENTO]]=""),
    EDA!$A$32,
    moras[[#This Row],[TIPO_ASEGURAMIENTO]]
)</f>
        <v>TRABAJADOR INDEPENDIENTE</v>
      </c>
    </row>
    <row r="525" spans="1:16" x14ac:dyDescent="0.3">
      <c r="A525">
        <v>524</v>
      </c>
      <c r="B525" t="s">
        <v>9</v>
      </c>
      <c r="C525">
        <v>318445</v>
      </c>
      <c r="D525" t="s">
        <v>18</v>
      </c>
      <c r="E525" t="s">
        <v>16</v>
      </c>
      <c r="F525" t="s">
        <v>12</v>
      </c>
      <c r="G525" t="s">
        <v>13</v>
      </c>
      <c r="H525" t="s">
        <v>13</v>
      </c>
      <c r="I525">
        <v>47</v>
      </c>
      <c r="J525">
        <f>ABS((I525-EDA!$A$15)/EDA!$B$15)</f>
        <v>0.35431696324440481</v>
      </c>
      <c r="K525" t="str">
        <f t="shared" si="8"/>
        <v>No</v>
      </c>
      <c r="L525">
        <f>ABS((C525-EDA!$F$15)/EDA!$G$15)</f>
        <v>0.37035482261360847</v>
      </c>
      <c r="M525" t="str">
        <f>IF(moras[[#This Row],[Z-Score Salario]]&gt;1.96, "Sí", "No")</f>
        <v>No</v>
      </c>
      <c r="N525" s="14">
        <f>IF(ISBLANK(moras[[#This Row],[SALARIO]]), EDA!$M$8, moras[[#This Row],[SALARIO]])</f>
        <v>318445</v>
      </c>
      <c r="O525" s="14">
        <f xml:space="preserve"> IF(ISBLANK(moras[[#This Row],[EDAD]]), EDA!$E$8, moras[[#This Row],[EDAD]])</f>
        <v>47</v>
      </c>
      <c r="P525" s="14" t="str">
        <f>IF(
    OR(ISBLANK(moras[[#This Row],[TIPO_ASEGURAMIENTO]]), moras[[#This Row],[TIPO_ASEGURAMIENTO]]=""),
    EDA!$A$32,
    moras[[#This Row],[TIPO_ASEGURAMIENTO]]
)</f>
        <v>TRABAJADOR INDEPENDIENTE</v>
      </c>
    </row>
    <row r="526" spans="1:16" x14ac:dyDescent="0.3">
      <c r="A526">
        <v>525</v>
      </c>
      <c r="B526" t="s">
        <v>15</v>
      </c>
      <c r="C526">
        <v>280000</v>
      </c>
      <c r="D526" t="s">
        <v>10</v>
      </c>
      <c r="E526" t="s">
        <v>16</v>
      </c>
      <c r="F526" t="s">
        <v>12</v>
      </c>
      <c r="G526" t="s">
        <v>13</v>
      </c>
      <c r="H526" t="s">
        <v>13</v>
      </c>
      <c r="I526">
        <v>27</v>
      </c>
      <c r="J526">
        <f>ABS((I526-EDA!$A$15)/EDA!$B$15)</f>
        <v>1.0571896382983452</v>
      </c>
      <c r="K526" t="str">
        <f t="shared" si="8"/>
        <v>No</v>
      </c>
      <c r="L526">
        <f>ABS((C526-EDA!$F$15)/EDA!$G$15)</f>
        <v>0.37099457455240292</v>
      </c>
      <c r="M526" t="str">
        <f>IF(moras[[#This Row],[Z-Score Salario]]&gt;1.96, "Sí", "No")</f>
        <v>No</v>
      </c>
      <c r="N526" s="14">
        <f>IF(ISBLANK(moras[[#This Row],[SALARIO]]), EDA!$M$8, moras[[#This Row],[SALARIO]])</f>
        <v>280000</v>
      </c>
      <c r="O526" s="14">
        <f xml:space="preserve"> IF(ISBLANK(moras[[#This Row],[EDAD]]), EDA!$E$8, moras[[#This Row],[EDAD]])</f>
        <v>27</v>
      </c>
      <c r="P526" s="14" t="str">
        <f>IF(
    OR(ISBLANK(moras[[#This Row],[TIPO_ASEGURAMIENTO]]), moras[[#This Row],[TIPO_ASEGURAMIENTO]]=""),
    EDA!$A$32,
    moras[[#This Row],[TIPO_ASEGURAMIENTO]]
)</f>
        <v>ASALARIADO</v>
      </c>
    </row>
    <row r="527" spans="1:16" x14ac:dyDescent="0.3">
      <c r="A527">
        <v>526</v>
      </c>
      <c r="B527" t="s">
        <v>15</v>
      </c>
      <c r="C527">
        <v>25007075</v>
      </c>
      <c r="D527" t="s">
        <v>10</v>
      </c>
      <c r="E527" t="s">
        <v>16</v>
      </c>
      <c r="F527" t="s">
        <v>12</v>
      </c>
      <c r="G527" t="s">
        <v>13</v>
      </c>
      <c r="H527" t="s">
        <v>13</v>
      </c>
      <c r="I527">
        <v>54</v>
      </c>
      <c r="J527">
        <f>ABS((I527-EDA!$A$15)/EDA!$B$15)</f>
        <v>0.84834427378436728</v>
      </c>
      <c r="K527" t="str">
        <f t="shared" si="8"/>
        <v>No</v>
      </c>
      <c r="L527">
        <f>ABS((C527-EDA!$F$15)/EDA!$G$15)</f>
        <v>4.0481408591440116E-2</v>
      </c>
      <c r="M527" t="str">
        <f>IF(moras[[#This Row],[Z-Score Salario]]&gt;1.96, "Sí", "No")</f>
        <v>No</v>
      </c>
      <c r="N527" s="14">
        <f>IF(ISBLANK(moras[[#This Row],[SALARIO]]), EDA!$M$8, moras[[#This Row],[SALARIO]])</f>
        <v>25007075</v>
      </c>
      <c r="O527" s="14">
        <f xml:space="preserve"> IF(ISBLANK(moras[[#This Row],[EDAD]]), EDA!$E$8, moras[[#This Row],[EDAD]])</f>
        <v>54</v>
      </c>
      <c r="P527" s="14" t="str">
        <f>IF(
    OR(ISBLANK(moras[[#This Row],[TIPO_ASEGURAMIENTO]]), moras[[#This Row],[TIPO_ASEGURAMIENTO]]=""),
    EDA!$A$32,
    moras[[#This Row],[TIPO_ASEGURAMIENTO]]
)</f>
        <v>ASALARIADO</v>
      </c>
    </row>
    <row r="528" spans="1:16" x14ac:dyDescent="0.3">
      <c r="A528">
        <v>527</v>
      </c>
      <c r="B528" t="s">
        <v>9</v>
      </c>
      <c r="C528">
        <v>1214203</v>
      </c>
      <c r="D528" t="s">
        <v>10</v>
      </c>
      <c r="E528" t="s">
        <v>11</v>
      </c>
      <c r="F528" t="s">
        <v>12</v>
      </c>
      <c r="G528" t="s">
        <v>13</v>
      </c>
      <c r="H528" t="s">
        <v>13</v>
      </c>
      <c r="I528">
        <v>36</v>
      </c>
      <c r="J528">
        <f>ABS((I528-EDA!$A$15)/EDA!$B$15)</f>
        <v>0.42201166760410774</v>
      </c>
      <c r="K528" t="str">
        <f t="shared" si="8"/>
        <v>No</v>
      </c>
      <c r="L528">
        <f>ABS((C528-EDA!$F$15)/EDA!$G$15)</f>
        <v>0.35544877716711054</v>
      </c>
      <c r="M528" t="str">
        <f>IF(moras[[#This Row],[Z-Score Salario]]&gt;1.96, "Sí", "No")</f>
        <v>No</v>
      </c>
      <c r="N528" s="14">
        <f>IF(ISBLANK(moras[[#This Row],[SALARIO]]), EDA!$M$8, moras[[#This Row],[SALARIO]])</f>
        <v>1214203</v>
      </c>
      <c r="O528" s="14">
        <f xml:space="preserve"> IF(ISBLANK(moras[[#This Row],[EDAD]]), EDA!$E$8, moras[[#This Row],[EDAD]])</f>
        <v>36</v>
      </c>
      <c r="P528" s="14" t="str">
        <f>IF(
    OR(ISBLANK(moras[[#This Row],[TIPO_ASEGURAMIENTO]]), moras[[#This Row],[TIPO_ASEGURAMIENTO]]=""),
    EDA!$A$32,
    moras[[#This Row],[TIPO_ASEGURAMIENTO]]
)</f>
        <v>ASALARIADO</v>
      </c>
    </row>
    <row r="529" spans="1:16" x14ac:dyDescent="0.3">
      <c r="A529">
        <v>528</v>
      </c>
      <c r="B529" t="s">
        <v>9</v>
      </c>
      <c r="C529">
        <v>430371</v>
      </c>
      <c r="D529" t="s">
        <v>18</v>
      </c>
      <c r="E529" t="s">
        <v>16</v>
      </c>
      <c r="F529" t="s">
        <v>12</v>
      </c>
      <c r="G529" t="s">
        <v>13</v>
      </c>
      <c r="H529" t="s">
        <v>12</v>
      </c>
      <c r="I529">
        <v>34</v>
      </c>
      <c r="J529">
        <f>ABS((I529-EDA!$A$15)/EDA!$B$15)</f>
        <v>0.56316232775838282</v>
      </c>
      <c r="K529" t="str">
        <f t="shared" si="8"/>
        <v>No</v>
      </c>
      <c r="L529">
        <f>ABS((C529-EDA!$F$15)/EDA!$G$15)</f>
        <v>0.36849229496367991</v>
      </c>
      <c r="M529" t="str">
        <f>IF(moras[[#This Row],[Z-Score Salario]]&gt;1.96, "Sí", "No")</f>
        <v>No</v>
      </c>
      <c r="N529" s="14">
        <f>IF(ISBLANK(moras[[#This Row],[SALARIO]]), EDA!$M$8, moras[[#This Row],[SALARIO]])</f>
        <v>430371</v>
      </c>
      <c r="O529" s="14">
        <f xml:space="preserve"> IF(ISBLANK(moras[[#This Row],[EDAD]]), EDA!$E$8, moras[[#This Row],[EDAD]])</f>
        <v>34</v>
      </c>
      <c r="P529" s="14" t="str">
        <f>IF(
    OR(ISBLANK(moras[[#This Row],[TIPO_ASEGURAMIENTO]]), moras[[#This Row],[TIPO_ASEGURAMIENTO]]=""),
    EDA!$A$32,
    moras[[#This Row],[TIPO_ASEGURAMIENTO]]
)</f>
        <v>TRABAJADOR INDEPENDIENTE</v>
      </c>
    </row>
    <row r="530" spans="1:16" x14ac:dyDescent="0.3">
      <c r="A530">
        <v>529</v>
      </c>
      <c r="B530" t="s">
        <v>9</v>
      </c>
      <c r="C530">
        <v>5582445</v>
      </c>
      <c r="D530" t="s">
        <v>10</v>
      </c>
      <c r="E530" t="s">
        <v>16</v>
      </c>
      <c r="F530" t="s">
        <v>12</v>
      </c>
      <c r="G530" t="s">
        <v>13</v>
      </c>
      <c r="H530" t="s">
        <v>13</v>
      </c>
      <c r="I530">
        <v>51</v>
      </c>
      <c r="J530">
        <f>ABS((I530-EDA!$A$15)/EDA!$B$15)</f>
        <v>0.6366182835529548</v>
      </c>
      <c r="K530" t="str">
        <f t="shared" si="8"/>
        <v>No</v>
      </c>
      <c r="L530">
        <f>ABS((C530-EDA!$F$15)/EDA!$G$15)</f>
        <v>0.28275814669180255</v>
      </c>
      <c r="M530" t="str">
        <f>IF(moras[[#This Row],[Z-Score Salario]]&gt;1.96, "Sí", "No")</f>
        <v>No</v>
      </c>
      <c r="N530" s="14">
        <f>IF(ISBLANK(moras[[#This Row],[SALARIO]]), EDA!$M$8, moras[[#This Row],[SALARIO]])</f>
        <v>5582445</v>
      </c>
      <c r="O530" s="14">
        <f xml:space="preserve"> IF(ISBLANK(moras[[#This Row],[EDAD]]), EDA!$E$8, moras[[#This Row],[EDAD]])</f>
        <v>51</v>
      </c>
      <c r="P530" s="14" t="str">
        <f>IF(
    OR(ISBLANK(moras[[#This Row],[TIPO_ASEGURAMIENTO]]), moras[[#This Row],[TIPO_ASEGURAMIENTO]]=""),
    EDA!$A$32,
    moras[[#This Row],[TIPO_ASEGURAMIENTO]]
)</f>
        <v>ASALARIADO</v>
      </c>
    </row>
    <row r="531" spans="1:16" x14ac:dyDescent="0.3">
      <c r="A531">
        <v>530</v>
      </c>
      <c r="B531" t="s">
        <v>15</v>
      </c>
      <c r="C531">
        <v>304913</v>
      </c>
      <c r="D531" t="s">
        <v>10</v>
      </c>
      <c r="E531" t="s">
        <v>11</v>
      </c>
      <c r="F531" t="s">
        <v>12</v>
      </c>
      <c r="G531" t="s">
        <v>13</v>
      </c>
      <c r="H531" t="s">
        <v>13</v>
      </c>
      <c r="I531">
        <v>45</v>
      </c>
      <c r="J531">
        <f>ABS((I531-EDA!$A$15)/EDA!$B$15)</f>
        <v>0.21316630309012977</v>
      </c>
      <c r="K531" t="str">
        <f t="shared" si="8"/>
        <v>No</v>
      </c>
      <c r="L531">
        <f>ABS((C531-EDA!$F$15)/EDA!$G$15)</f>
        <v>0.37058000464601232</v>
      </c>
      <c r="M531" t="str">
        <f>IF(moras[[#This Row],[Z-Score Salario]]&gt;1.96, "Sí", "No")</f>
        <v>No</v>
      </c>
      <c r="N531" s="14">
        <f>IF(ISBLANK(moras[[#This Row],[SALARIO]]), EDA!$M$8, moras[[#This Row],[SALARIO]])</f>
        <v>304913</v>
      </c>
      <c r="O531" s="14">
        <f xml:space="preserve"> IF(ISBLANK(moras[[#This Row],[EDAD]]), EDA!$E$8, moras[[#This Row],[EDAD]])</f>
        <v>45</v>
      </c>
      <c r="P531" s="14" t="str">
        <f>IF(
    OR(ISBLANK(moras[[#This Row],[TIPO_ASEGURAMIENTO]]), moras[[#This Row],[TIPO_ASEGURAMIENTO]]=""),
    EDA!$A$32,
    moras[[#This Row],[TIPO_ASEGURAMIENTO]]
)</f>
        <v>ASALARIADO</v>
      </c>
    </row>
    <row r="532" spans="1:16" x14ac:dyDescent="0.3">
      <c r="A532">
        <v>531</v>
      </c>
      <c r="B532" t="s">
        <v>9</v>
      </c>
      <c r="C532">
        <v>1736277</v>
      </c>
      <c r="D532" t="s">
        <v>10</v>
      </c>
      <c r="E532" t="s">
        <v>11</v>
      </c>
      <c r="F532" t="s">
        <v>12</v>
      </c>
      <c r="G532" t="s">
        <v>13</v>
      </c>
      <c r="H532" t="s">
        <v>13</v>
      </c>
      <c r="I532">
        <v>42</v>
      </c>
      <c r="J532">
        <f>ABS((I532-EDA!$A$15)/EDA!$B$15)</f>
        <v>1.4403128587172659E-3</v>
      </c>
      <c r="K532" t="str">
        <f t="shared" si="8"/>
        <v>No</v>
      </c>
      <c r="L532">
        <f>ABS((C532-EDA!$F$15)/EDA!$G$15)</f>
        <v>0.34676109726870613</v>
      </c>
      <c r="M532" t="str">
        <f>IF(moras[[#This Row],[Z-Score Salario]]&gt;1.96, "Sí", "No")</f>
        <v>No</v>
      </c>
      <c r="N532" s="14">
        <f>IF(ISBLANK(moras[[#This Row],[SALARIO]]), EDA!$M$8, moras[[#This Row],[SALARIO]])</f>
        <v>1736277</v>
      </c>
      <c r="O532" s="14">
        <f xml:space="preserve"> IF(ISBLANK(moras[[#This Row],[EDAD]]), EDA!$E$8, moras[[#This Row],[EDAD]])</f>
        <v>42</v>
      </c>
      <c r="P532" s="14" t="str">
        <f>IF(
    OR(ISBLANK(moras[[#This Row],[TIPO_ASEGURAMIENTO]]), moras[[#This Row],[TIPO_ASEGURAMIENTO]]=""),
    EDA!$A$32,
    moras[[#This Row],[TIPO_ASEGURAMIENTO]]
)</f>
        <v>ASALARIADO</v>
      </c>
    </row>
    <row r="533" spans="1:16" x14ac:dyDescent="0.3">
      <c r="A533">
        <v>532</v>
      </c>
      <c r="B533" t="s">
        <v>15</v>
      </c>
      <c r="C533">
        <v>93481014</v>
      </c>
      <c r="D533" t="s">
        <v>10</v>
      </c>
      <c r="E533" t="s">
        <v>11</v>
      </c>
      <c r="F533" t="s">
        <v>12</v>
      </c>
      <c r="G533" t="s">
        <v>13</v>
      </c>
      <c r="H533" t="s">
        <v>13</v>
      </c>
      <c r="I533">
        <v>44</v>
      </c>
      <c r="J533">
        <f>ABS((I533-EDA!$A$15)/EDA!$B$15)</f>
        <v>0.14259097301299228</v>
      </c>
      <c r="K533" t="str">
        <f t="shared" si="8"/>
        <v>No</v>
      </c>
      <c r="L533">
        <f>ABS((C533-EDA!$F$15)/EDA!$G$15)</f>
        <v>1.1799360901401688</v>
      </c>
      <c r="M533" t="str">
        <f>IF(moras[[#This Row],[Z-Score Salario]]&gt;1.96, "Sí", "No")</f>
        <v>No</v>
      </c>
      <c r="N533" s="14">
        <f>IF(ISBLANK(moras[[#This Row],[SALARIO]]), EDA!$M$8, moras[[#This Row],[SALARIO]])</f>
        <v>93481014</v>
      </c>
      <c r="O533" s="14">
        <f xml:space="preserve"> IF(ISBLANK(moras[[#This Row],[EDAD]]), EDA!$E$8, moras[[#This Row],[EDAD]])</f>
        <v>44</v>
      </c>
      <c r="P533" s="14" t="str">
        <f>IF(
    OR(ISBLANK(moras[[#This Row],[TIPO_ASEGURAMIENTO]]), moras[[#This Row],[TIPO_ASEGURAMIENTO]]=""),
    EDA!$A$32,
    moras[[#This Row],[TIPO_ASEGURAMIENTO]]
)</f>
        <v>ASALARIADO</v>
      </c>
    </row>
    <row r="534" spans="1:16" x14ac:dyDescent="0.3">
      <c r="A534">
        <v>533</v>
      </c>
      <c r="B534" t="s">
        <v>15</v>
      </c>
      <c r="C534">
        <v>319303</v>
      </c>
      <c r="D534" t="s">
        <v>17</v>
      </c>
      <c r="E534" t="s">
        <v>16</v>
      </c>
      <c r="F534" t="s">
        <v>12</v>
      </c>
      <c r="G534" t="s">
        <v>12</v>
      </c>
      <c r="H534" t="s">
        <v>12</v>
      </c>
      <c r="I534">
        <v>42</v>
      </c>
      <c r="J534">
        <f>ABS((I534-EDA!$A$15)/EDA!$B$15)</f>
        <v>1.4403128587172659E-3</v>
      </c>
      <c r="K534" t="str">
        <f t="shared" si="8"/>
        <v>No</v>
      </c>
      <c r="L534">
        <f>ABS((C534-EDA!$F$15)/EDA!$G$15)</f>
        <v>0.37034054488793583</v>
      </c>
      <c r="M534" t="str">
        <f>IF(moras[[#This Row],[Z-Score Salario]]&gt;1.96, "Sí", "No")</f>
        <v>No</v>
      </c>
      <c r="N534" s="14">
        <f>IF(ISBLANK(moras[[#This Row],[SALARIO]]), EDA!$M$8, moras[[#This Row],[SALARIO]])</f>
        <v>319303</v>
      </c>
      <c r="O534" s="14">
        <f xml:space="preserve"> IF(ISBLANK(moras[[#This Row],[EDAD]]), EDA!$E$8, moras[[#This Row],[EDAD]])</f>
        <v>42</v>
      </c>
      <c r="P534" s="14" t="str">
        <f>IF(
    OR(ISBLANK(moras[[#This Row],[TIPO_ASEGURAMIENTO]]), moras[[#This Row],[TIPO_ASEGURAMIENTO]]=""),
    EDA!$A$32,
    moras[[#This Row],[TIPO_ASEGURAMIENTO]]
)</f>
        <v>ASEGURADO VOLUNTARIO</v>
      </c>
    </row>
    <row r="535" spans="1:16" x14ac:dyDescent="0.3">
      <c r="A535">
        <v>534</v>
      </c>
      <c r="B535" t="s">
        <v>15</v>
      </c>
      <c r="C535">
        <v>629752</v>
      </c>
      <c r="D535" t="s">
        <v>10</v>
      </c>
      <c r="E535" t="s">
        <v>11</v>
      </c>
      <c r="F535" t="s">
        <v>12</v>
      </c>
      <c r="G535" t="s">
        <v>13</v>
      </c>
      <c r="H535" t="s">
        <v>13</v>
      </c>
      <c r="I535">
        <v>35</v>
      </c>
      <c r="J535">
        <f>ABS((I535-EDA!$A$15)/EDA!$B$15)</f>
        <v>0.49258699768124525</v>
      </c>
      <c r="K535" t="str">
        <f t="shared" si="8"/>
        <v>No</v>
      </c>
      <c r="L535">
        <f>ABS((C535-EDA!$F$15)/EDA!$G$15)</f>
        <v>0.36517445437820012</v>
      </c>
      <c r="M535" t="str">
        <f>IF(moras[[#This Row],[Z-Score Salario]]&gt;1.96, "Sí", "No")</f>
        <v>No</v>
      </c>
      <c r="N535" s="14">
        <f>IF(ISBLANK(moras[[#This Row],[SALARIO]]), EDA!$M$8, moras[[#This Row],[SALARIO]])</f>
        <v>629752</v>
      </c>
      <c r="O535" s="14">
        <f xml:space="preserve"> IF(ISBLANK(moras[[#This Row],[EDAD]]), EDA!$E$8, moras[[#This Row],[EDAD]])</f>
        <v>35</v>
      </c>
      <c r="P535" s="14" t="str">
        <f>IF(
    OR(ISBLANK(moras[[#This Row],[TIPO_ASEGURAMIENTO]]), moras[[#This Row],[TIPO_ASEGURAMIENTO]]=""),
    EDA!$A$32,
    moras[[#This Row],[TIPO_ASEGURAMIENTO]]
)</f>
        <v>ASALARIADO</v>
      </c>
    </row>
    <row r="536" spans="1:16" x14ac:dyDescent="0.3">
      <c r="A536">
        <v>535</v>
      </c>
      <c r="B536" t="s">
        <v>9</v>
      </c>
      <c r="C536">
        <v>10700</v>
      </c>
      <c r="D536" t="s">
        <v>10</v>
      </c>
      <c r="E536" t="s">
        <v>16</v>
      </c>
      <c r="F536" t="s">
        <v>12</v>
      </c>
      <c r="G536" t="s">
        <v>13</v>
      </c>
      <c r="H536" t="s">
        <v>13</v>
      </c>
      <c r="I536">
        <v>22</v>
      </c>
      <c r="J536">
        <f>ABS((I536-EDA!$A$15)/EDA!$B$15)</f>
        <v>1.4100662886840327</v>
      </c>
      <c r="K536" t="str">
        <f t="shared" si="8"/>
        <v>No</v>
      </c>
      <c r="L536">
        <f>ABS((C536-EDA!$F$15)/EDA!$G$15)</f>
        <v>0.3754759166545576</v>
      </c>
      <c r="M536" t="str">
        <f>IF(moras[[#This Row],[Z-Score Salario]]&gt;1.96, "Sí", "No")</f>
        <v>No</v>
      </c>
      <c r="N536" s="14">
        <f>IF(ISBLANK(moras[[#This Row],[SALARIO]]), EDA!$M$8, moras[[#This Row],[SALARIO]])</f>
        <v>10700</v>
      </c>
      <c r="O536" s="14">
        <f xml:space="preserve"> IF(ISBLANK(moras[[#This Row],[EDAD]]), EDA!$E$8, moras[[#This Row],[EDAD]])</f>
        <v>22</v>
      </c>
      <c r="P536" s="14" t="str">
        <f>IF(
    OR(ISBLANK(moras[[#This Row],[TIPO_ASEGURAMIENTO]]), moras[[#This Row],[TIPO_ASEGURAMIENTO]]=""),
    EDA!$A$32,
    moras[[#This Row],[TIPO_ASEGURAMIENTO]]
)</f>
        <v>ASALARIADO</v>
      </c>
    </row>
    <row r="537" spans="1:16" x14ac:dyDescent="0.3">
      <c r="A537">
        <v>536</v>
      </c>
      <c r="B537" t="s">
        <v>9</v>
      </c>
      <c r="C537">
        <v>278030</v>
      </c>
      <c r="D537" t="s">
        <v>19</v>
      </c>
      <c r="E537" t="s">
        <v>16</v>
      </c>
      <c r="F537" t="s">
        <v>12</v>
      </c>
      <c r="G537" t="s">
        <v>13</v>
      </c>
      <c r="H537" t="s">
        <v>13</v>
      </c>
      <c r="I537">
        <v>56</v>
      </c>
      <c r="J537">
        <f>ABS((I537-EDA!$A$15)/EDA!$B$15)</f>
        <v>0.9894949339386423</v>
      </c>
      <c r="K537" t="str">
        <f t="shared" si="8"/>
        <v>No</v>
      </c>
      <c r="L537">
        <f>ABS((C537-EDA!$F$15)/EDA!$G$15)</f>
        <v>0.37102735674304993</v>
      </c>
      <c r="M537" t="str">
        <f>IF(moras[[#This Row],[Z-Score Salario]]&gt;1.96, "Sí", "No")</f>
        <v>No</v>
      </c>
      <c r="N537" s="14">
        <f>IF(ISBLANK(moras[[#This Row],[SALARIO]]), EDA!$M$8, moras[[#This Row],[SALARIO]])</f>
        <v>278030</v>
      </c>
      <c r="O537" s="14">
        <f xml:space="preserve"> IF(ISBLANK(moras[[#This Row],[EDAD]]), EDA!$E$8, moras[[#This Row],[EDAD]])</f>
        <v>56</v>
      </c>
      <c r="P537" s="14" t="str">
        <f>IF(
    OR(ISBLANK(moras[[#This Row],[TIPO_ASEGURAMIENTO]]), moras[[#This Row],[TIPO_ASEGURAMIENTO]]=""),
    EDA!$A$32,
    moras[[#This Row],[TIPO_ASEGURAMIENTO]]
)</f>
        <v>CONVENIOS ESPECIALES DE TRABAJADORES INDEPENDIENTES</v>
      </c>
    </row>
    <row r="538" spans="1:16" x14ac:dyDescent="0.3">
      <c r="A538">
        <v>537</v>
      </c>
      <c r="B538" t="s">
        <v>9</v>
      </c>
      <c r="C538">
        <v>15553002</v>
      </c>
      <c r="D538" t="s">
        <v>10</v>
      </c>
      <c r="E538" t="s">
        <v>11</v>
      </c>
      <c r="F538" t="s">
        <v>12</v>
      </c>
      <c r="G538" t="s">
        <v>13</v>
      </c>
      <c r="H538" t="s">
        <v>13</v>
      </c>
      <c r="I538">
        <v>51</v>
      </c>
      <c r="J538">
        <f>ABS((I538-EDA!$A$15)/EDA!$B$15)</f>
        <v>0.6366182835529548</v>
      </c>
      <c r="K538" t="str">
        <f t="shared" si="8"/>
        <v>No</v>
      </c>
      <c r="L538">
        <f>ABS((C538-EDA!$F$15)/EDA!$G$15)</f>
        <v>0.11684103987400359</v>
      </c>
      <c r="M538" t="str">
        <f>IF(moras[[#This Row],[Z-Score Salario]]&gt;1.96, "Sí", "No")</f>
        <v>No</v>
      </c>
      <c r="N538" s="14">
        <f>IF(ISBLANK(moras[[#This Row],[SALARIO]]), EDA!$M$8, moras[[#This Row],[SALARIO]])</f>
        <v>15553002</v>
      </c>
      <c r="O538" s="14">
        <f xml:space="preserve"> IF(ISBLANK(moras[[#This Row],[EDAD]]), EDA!$E$8, moras[[#This Row],[EDAD]])</f>
        <v>51</v>
      </c>
      <c r="P538" s="14" t="str">
        <f>IF(
    OR(ISBLANK(moras[[#This Row],[TIPO_ASEGURAMIENTO]]), moras[[#This Row],[TIPO_ASEGURAMIENTO]]=""),
    EDA!$A$32,
    moras[[#This Row],[TIPO_ASEGURAMIENTO]]
)</f>
        <v>ASALARIADO</v>
      </c>
    </row>
    <row r="539" spans="1:16" x14ac:dyDescent="0.3">
      <c r="A539">
        <v>538</v>
      </c>
      <c r="B539" t="s">
        <v>9</v>
      </c>
      <c r="C539">
        <v>812000</v>
      </c>
      <c r="D539" t="s">
        <v>10</v>
      </c>
      <c r="E539" t="s">
        <v>16</v>
      </c>
      <c r="F539" t="s">
        <v>12</v>
      </c>
      <c r="G539" t="s">
        <v>13</v>
      </c>
      <c r="H539" t="s">
        <v>12</v>
      </c>
      <c r="I539">
        <v>30</v>
      </c>
      <c r="J539">
        <f>ABS((I539-EDA!$A$15)/EDA!$B$15)</f>
        <v>0.84546364806693275</v>
      </c>
      <c r="K539" t="str">
        <f t="shared" si="8"/>
        <v>No</v>
      </c>
      <c r="L539">
        <f>ABS((C539-EDA!$F$15)/EDA!$G$15)</f>
        <v>0.362141719007114</v>
      </c>
      <c r="M539" t="str">
        <f>IF(moras[[#This Row],[Z-Score Salario]]&gt;1.96, "Sí", "No")</f>
        <v>No</v>
      </c>
      <c r="N539" s="14">
        <f>IF(ISBLANK(moras[[#This Row],[SALARIO]]), EDA!$M$8, moras[[#This Row],[SALARIO]])</f>
        <v>812000</v>
      </c>
      <c r="O539" s="14">
        <f xml:space="preserve"> IF(ISBLANK(moras[[#This Row],[EDAD]]), EDA!$E$8, moras[[#This Row],[EDAD]])</f>
        <v>30</v>
      </c>
      <c r="P539" s="14" t="str">
        <f>IF(
    OR(ISBLANK(moras[[#This Row],[TIPO_ASEGURAMIENTO]]), moras[[#This Row],[TIPO_ASEGURAMIENTO]]=""),
    EDA!$A$32,
    moras[[#This Row],[TIPO_ASEGURAMIENTO]]
)</f>
        <v>ASALARIADO</v>
      </c>
    </row>
    <row r="540" spans="1:16" x14ac:dyDescent="0.3">
      <c r="A540">
        <v>539</v>
      </c>
      <c r="B540" t="s">
        <v>9</v>
      </c>
      <c r="C540">
        <v>563607</v>
      </c>
      <c r="D540" t="s">
        <v>18</v>
      </c>
      <c r="E540" t="s">
        <v>16</v>
      </c>
      <c r="F540" t="s">
        <v>12</v>
      </c>
      <c r="G540" t="s">
        <v>12</v>
      </c>
      <c r="H540" t="s">
        <v>12</v>
      </c>
      <c r="I540">
        <v>53</v>
      </c>
      <c r="J540">
        <f>ABS((I540-EDA!$A$15)/EDA!$B$15)</f>
        <v>0.77776894370722982</v>
      </c>
      <c r="K540" t="str">
        <f t="shared" si="8"/>
        <v>No</v>
      </c>
      <c r="L540">
        <f>ABS((C540-EDA!$F$15)/EDA!$G$15)</f>
        <v>0.36627515387076237</v>
      </c>
      <c r="M540" t="str">
        <f>IF(moras[[#This Row],[Z-Score Salario]]&gt;1.96, "Sí", "No")</f>
        <v>No</v>
      </c>
      <c r="N540" s="14">
        <f>IF(ISBLANK(moras[[#This Row],[SALARIO]]), EDA!$M$8, moras[[#This Row],[SALARIO]])</f>
        <v>563607</v>
      </c>
      <c r="O540" s="14">
        <f xml:space="preserve"> IF(ISBLANK(moras[[#This Row],[EDAD]]), EDA!$E$8, moras[[#This Row],[EDAD]])</f>
        <v>53</v>
      </c>
      <c r="P540" s="14" t="str">
        <f>IF(
    OR(ISBLANK(moras[[#This Row],[TIPO_ASEGURAMIENTO]]), moras[[#This Row],[TIPO_ASEGURAMIENTO]]=""),
    EDA!$A$32,
    moras[[#This Row],[TIPO_ASEGURAMIENTO]]
)</f>
        <v>TRABAJADOR INDEPENDIENTE</v>
      </c>
    </row>
    <row r="541" spans="1:16" x14ac:dyDescent="0.3">
      <c r="A541">
        <v>540</v>
      </c>
      <c r="B541" t="s">
        <v>9</v>
      </c>
      <c r="C541">
        <v>175000</v>
      </c>
      <c r="D541" t="s">
        <v>10</v>
      </c>
      <c r="E541" t="s">
        <v>16</v>
      </c>
      <c r="F541" t="s">
        <v>12</v>
      </c>
      <c r="G541" t="s">
        <v>13</v>
      </c>
      <c r="H541" t="s">
        <v>13</v>
      </c>
      <c r="I541">
        <v>29</v>
      </c>
      <c r="J541">
        <f>ABS((I541-EDA!$A$15)/EDA!$B$15)</f>
        <v>0.91603897814407031</v>
      </c>
      <c r="K541" t="str">
        <f t="shared" si="8"/>
        <v>No</v>
      </c>
      <c r="L541">
        <f>ABS((C541-EDA!$F$15)/EDA!$G$15)</f>
        <v>0.37274184867318361</v>
      </c>
      <c r="M541" t="str">
        <f>IF(moras[[#This Row],[Z-Score Salario]]&gt;1.96, "Sí", "No")</f>
        <v>No</v>
      </c>
      <c r="N541" s="14">
        <f>IF(ISBLANK(moras[[#This Row],[SALARIO]]), EDA!$M$8, moras[[#This Row],[SALARIO]])</f>
        <v>175000</v>
      </c>
      <c r="O541" s="14">
        <f xml:space="preserve"> IF(ISBLANK(moras[[#This Row],[EDAD]]), EDA!$E$8, moras[[#This Row],[EDAD]])</f>
        <v>29</v>
      </c>
      <c r="P541" s="14" t="str">
        <f>IF(
    OR(ISBLANK(moras[[#This Row],[TIPO_ASEGURAMIENTO]]), moras[[#This Row],[TIPO_ASEGURAMIENTO]]=""),
    EDA!$A$32,
    moras[[#This Row],[TIPO_ASEGURAMIENTO]]
)</f>
        <v>ASALARIADO</v>
      </c>
    </row>
    <row r="542" spans="1:16" x14ac:dyDescent="0.3">
      <c r="A542">
        <v>541</v>
      </c>
      <c r="B542" t="s">
        <v>9</v>
      </c>
      <c r="C542">
        <v>403293</v>
      </c>
      <c r="D542" t="s">
        <v>17</v>
      </c>
      <c r="E542" t="s">
        <v>16</v>
      </c>
      <c r="F542" t="s">
        <v>12</v>
      </c>
      <c r="G542" t="s">
        <v>12</v>
      </c>
      <c r="H542" t="s">
        <v>13</v>
      </c>
      <c r="I542">
        <v>29</v>
      </c>
      <c r="J542">
        <f>ABS((I542-EDA!$A$15)/EDA!$B$15)</f>
        <v>0.91603897814407031</v>
      </c>
      <c r="K542" t="str">
        <f t="shared" si="8"/>
        <v>No</v>
      </c>
      <c r="L542">
        <f>ABS((C542-EDA!$F$15)/EDA!$G$15)</f>
        <v>0.36894289199837038</v>
      </c>
      <c r="M542" t="str">
        <f>IF(moras[[#This Row],[Z-Score Salario]]&gt;1.96, "Sí", "No")</f>
        <v>No</v>
      </c>
      <c r="N542" s="14">
        <f>IF(ISBLANK(moras[[#This Row],[SALARIO]]), EDA!$M$8, moras[[#This Row],[SALARIO]])</f>
        <v>403293</v>
      </c>
      <c r="O542" s="14">
        <f xml:space="preserve"> IF(ISBLANK(moras[[#This Row],[EDAD]]), EDA!$E$8, moras[[#This Row],[EDAD]])</f>
        <v>29</v>
      </c>
      <c r="P542" s="14" t="str">
        <f>IF(
    OR(ISBLANK(moras[[#This Row],[TIPO_ASEGURAMIENTO]]), moras[[#This Row],[TIPO_ASEGURAMIENTO]]=""),
    EDA!$A$32,
    moras[[#This Row],[TIPO_ASEGURAMIENTO]]
)</f>
        <v>ASEGURADO VOLUNTARIO</v>
      </c>
    </row>
    <row r="543" spans="1:16" x14ac:dyDescent="0.3">
      <c r="A543">
        <v>542</v>
      </c>
      <c r="B543" t="s">
        <v>9</v>
      </c>
      <c r="C543">
        <v>152379576</v>
      </c>
      <c r="D543" t="s">
        <v>10</v>
      </c>
      <c r="E543" t="s">
        <v>11</v>
      </c>
      <c r="F543" t="s">
        <v>12</v>
      </c>
      <c r="G543" t="s">
        <v>13</v>
      </c>
      <c r="H543" t="s">
        <v>13</v>
      </c>
      <c r="I543">
        <v>61</v>
      </c>
      <c r="J543">
        <f>ABS((I543-EDA!$A$15)/EDA!$B$15)</f>
        <v>1.3423715843243298</v>
      </c>
      <c r="K543" t="str">
        <f t="shared" si="8"/>
        <v>No</v>
      </c>
      <c r="L543">
        <f>ABS((C543-EDA!$F$15)/EDA!$G$15)</f>
        <v>2.160049739033481</v>
      </c>
      <c r="M543" t="str">
        <f>IF(moras[[#This Row],[Z-Score Salario]]&gt;1.96, "Sí", "No")</f>
        <v>Sí</v>
      </c>
      <c r="N543" s="14">
        <f>IF(ISBLANK(moras[[#This Row],[SALARIO]]), EDA!$M$8, moras[[#This Row],[SALARIO]])</f>
        <v>152379576</v>
      </c>
      <c r="O543" s="14">
        <f xml:space="preserve"> IF(ISBLANK(moras[[#This Row],[EDAD]]), EDA!$E$8, moras[[#This Row],[EDAD]])</f>
        <v>61</v>
      </c>
      <c r="P543" s="14" t="str">
        <f>IF(
    OR(ISBLANK(moras[[#This Row],[TIPO_ASEGURAMIENTO]]), moras[[#This Row],[TIPO_ASEGURAMIENTO]]=""),
    EDA!$A$32,
    moras[[#This Row],[TIPO_ASEGURAMIENTO]]
)</f>
        <v>ASALARIADO</v>
      </c>
    </row>
    <row r="544" spans="1:16" x14ac:dyDescent="0.3">
      <c r="A544">
        <v>543</v>
      </c>
      <c r="B544" t="s">
        <v>9</v>
      </c>
      <c r="C544">
        <v>997036</v>
      </c>
      <c r="D544" t="s">
        <v>10</v>
      </c>
      <c r="E544" t="s">
        <v>11</v>
      </c>
      <c r="F544" t="s">
        <v>12</v>
      </c>
      <c r="G544" t="s">
        <v>13</v>
      </c>
      <c r="H544" t="s">
        <v>13</v>
      </c>
      <c r="I544">
        <v>63</v>
      </c>
      <c r="J544">
        <f>ABS((I544-EDA!$A$15)/EDA!$B$15)</f>
        <v>1.4835222444786049</v>
      </c>
      <c r="K544" t="str">
        <f t="shared" si="8"/>
        <v>No</v>
      </c>
      <c r="L544">
        <f>ABS((C544-EDA!$F$15)/EDA!$G$15)</f>
        <v>0.35906258934794466</v>
      </c>
      <c r="M544" t="str">
        <f>IF(moras[[#This Row],[Z-Score Salario]]&gt;1.96, "Sí", "No")</f>
        <v>No</v>
      </c>
      <c r="N544" s="14">
        <f>IF(ISBLANK(moras[[#This Row],[SALARIO]]), EDA!$M$8, moras[[#This Row],[SALARIO]])</f>
        <v>997036</v>
      </c>
      <c r="O544" s="14">
        <f xml:space="preserve"> IF(ISBLANK(moras[[#This Row],[EDAD]]), EDA!$E$8, moras[[#This Row],[EDAD]])</f>
        <v>63</v>
      </c>
      <c r="P544" s="14" t="str">
        <f>IF(
    OR(ISBLANK(moras[[#This Row],[TIPO_ASEGURAMIENTO]]), moras[[#This Row],[TIPO_ASEGURAMIENTO]]=""),
    EDA!$A$32,
    moras[[#This Row],[TIPO_ASEGURAMIENTO]]
)</f>
        <v>ASALARIADO</v>
      </c>
    </row>
    <row r="545" spans="1:16" x14ac:dyDescent="0.3">
      <c r="A545">
        <v>544</v>
      </c>
      <c r="B545" t="s">
        <v>9</v>
      </c>
      <c r="C545">
        <v>53293425</v>
      </c>
      <c r="D545" t="s">
        <v>10</v>
      </c>
      <c r="E545" t="s">
        <v>16</v>
      </c>
      <c r="F545" t="s">
        <v>12</v>
      </c>
      <c r="G545" t="s">
        <v>13</v>
      </c>
      <c r="H545" t="s">
        <v>13</v>
      </c>
      <c r="I545">
        <v>36</v>
      </c>
      <c r="J545">
        <f>ABS((I545-EDA!$A$15)/EDA!$B$15)</f>
        <v>0.42201166760410774</v>
      </c>
      <c r="K545" t="str">
        <f t="shared" si="8"/>
        <v>No</v>
      </c>
      <c r="L545">
        <f>ABS((C545-EDA!$F$15)/EDA!$G$15)</f>
        <v>0.51118624027091875</v>
      </c>
      <c r="M545" t="str">
        <f>IF(moras[[#This Row],[Z-Score Salario]]&gt;1.96, "Sí", "No")</f>
        <v>No</v>
      </c>
      <c r="N545" s="14">
        <f>IF(ISBLANK(moras[[#This Row],[SALARIO]]), EDA!$M$8, moras[[#This Row],[SALARIO]])</f>
        <v>53293425</v>
      </c>
      <c r="O545" s="14">
        <f xml:space="preserve"> IF(ISBLANK(moras[[#This Row],[EDAD]]), EDA!$E$8, moras[[#This Row],[EDAD]])</f>
        <v>36</v>
      </c>
      <c r="P545" s="14" t="str">
        <f>IF(
    OR(ISBLANK(moras[[#This Row],[TIPO_ASEGURAMIENTO]]), moras[[#This Row],[TIPO_ASEGURAMIENTO]]=""),
    EDA!$A$32,
    moras[[#This Row],[TIPO_ASEGURAMIENTO]]
)</f>
        <v>ASALARIADO</v>
      </c>
    </row>
    <row r="546" spans="1:16" x14ac:dyDescent="0.3">
      <c r="A546">
        <v>545</v>
      </c>
      <c r="B546" t="s">
        <v>9</v>
      </c>
      <c r="C546">
        <v>8773125</v>
      </c>
      <c r="D546" t="s">
        <v>10</v>
      </c>
      <c r="E546" t="s">
        <v>16</v>
      </c>
      <c r="F546" t="s">
        <v>12</v>
      </c>
      <c r="G546" t="s">
        <v>13</v>
      </c>
      <c r="H546" t="s">
        <v>13</v>
      </c>
      <c r="I546">
        <v>29</v>
      </c>
      <c r="J546">
        <f>ABS((I546-EDA!$A$15)/EDA!$B$15)</f>
        <v>0.91603897814407031</v>
      </c>
      <c r="K546" t="str">
        <f t="shared" si="8"/>
        <v>No</v>
      </c>
      <c r="L546">
        <f>ABS((C546-EDA!$F$15)/EDA!$G$15)</f>
        <v>0.22966297915187325</v>
      </c>
      <c r="M546" t="str">
        <f>IF(moras[[#This Row],[Z-Score Salario]]&gt;1.96, "Sí", "No")</f>
        <v>No</v>
      </c>
      <c r="N546" s="14">
        <f>IF(ISBLANK(moras[[#This Row],[SALARIO]]), EDA!$M$8, moras[[#This Row],[SALARIO]])</f>
        <v>8773125</v>
      </c>
      <c r="O546" s="14">
        <f xml:space="preserve"> IF(ISBLANK(moras[[#This Row],[EDAD]]), EDA!$E$8, moras[[#This Row],[EDAD]])</f>
        <v>29</v>
      </c>
      <c r="P546" s="14" t="str">
        <f>IF(
    OR(ISBLANK(moras[[#This Row],[TIPO_ASEGURAMIENTO]]), moras[[#This Row],[TIPO_ASEGURAMIENTO]]=""),
    EDA!$A$32,
    moras[[#This Row],[TIPO_ASEGURAMIENTO]]
)</f>
        <v>ASALARIADO</v>
      </c>
    </row>
    <row r="547" spans="1:16" x14ac:dyDescent="0.3">
      <c r="A547">
        <v>546</v>
      </c>
      <c r="B547" t="s">
        <v>9</v>
      </c>
      <c r="C547">
        <v>1738706</v>
      </c>
      <c r="D547" t="s">
        <v>14</v>
      </c>
      <c r="E547" t="s">
        <v>11</v>
      </c>
      <c r="F547" t="s">
        <v>12</v>
      </c>
      <c r="G547" t="s">
        <v>13</v>
      </c>
      <c r="H547" t="s">
        <v>13</v>
      </c>
      <c r="I547">
        <v>50</v>
      </c>
      <c r="J547">
        <f>ABS((I547-EDA!$A$15)/EDA!$B$15)</f>
        <v>0.56604295347581735</v>
      </c>
      <c r="K547" t="str">
        <f t="shared" si="8"/>
        <v>No</v>
      </c>
      <c r="L547">
        <f>ABS((C547-EDA!$F$15)/EDA!$G$15)</f>
        <v>0.34672067699404541</v>
      </c>
      <c r="M547" t="str">
        <f>IF(moras[[#This Row],[Z-Score Salario]]&gt;1.96, "Sí", "No")</f>
        <v>No</v>
      </c>
      <c r="N547" s="14">
        <f>IF(ISBLANK(moras[[#This Row],[SALARIO]]), EDA!$M$8, moras[[#This Row],[SALARIO]])</f>
        <v>1738706</v>
      </c>
      <c r="O547" s="14">
        <f xml:space="preserve"> IF(ISBLANK(moras[[#This Row],[EDAD]]), EDA!$E$8, moras[[#This Row],[EDAD]])</f>
        <v>50</v>
      </c>
      <c r="P547" s="14" t="str">
        <f>IF(
    OR(ISBLANK(moras[[#This Row],[TIPO_ASEGURAMIENTO]]), moras[[#This Row],[TIPO_ASEGURAMIENTO]]=""),
    EDA!$A$32,
    moras[[#This Row],[TIPO_ASEGURAMIENTO]]
)</f>
        <v>PENSIONADOS EN SU PROPIO SISTEMA</v>
      </c>
    </row>
    <row r="548" spans="1:16" x14ac:dyDescent="0.3">
      <c r="A548">
        <v>547</v>
      </c>
      <c r="B548" t="s">
        <v>9</v>
      </c>
      <c r="C548">
        <v>48759214</v>
      </c>
      <c r="D548" t="s">
        <v>14</v>
      </c>
      <c r="E548" t="s">
        <v>11</v>
      </c>
      <c r="F548" t="s">
        <v>12</v>
      </c>
      <c r="G548" t="s">
        <v>13</v>
      </c>
      <c r="H548" t="s">
        <v>13</v>
      </c>
      <c r="I548">
        <v>69</v>
      </c>
      <c r="J548">
        <f>ABS((I548-EDA!$A$15)/EDA!$B$15)</f>
        <v>1.9069742249414299</v>
      </c>
      <c r="K548" t="str">
        <f t="shared" si="8"/>
        <v>No</v>
      </c>
      <c r="L548">
        <f>ABS((C548-EDA!$F$15)/EDA!$G$15)</f>
        <v>0.43573376847606926</v>
      </c>
      <c r="M548" t="str">
        <f>IF(moras[[#This Row],[Z-Score Salario]]&gt;1.96, "Sí", "No")</f>
        <v>No</v>
      </c>
      <c r="N548" s="14">
        <f>IF(ISBLANK(moras[[#This Row],[SALARIO]]), EDA!$M$8, moras[[#This Row],[SALARIO]])</f>
        <v>48759214</v>
      </c>
      <c r="O548" s="14">
        <f xml:space="preserve"> IF(ISBLANK(moras[[#This Row],[EDAD]]), EDA!$E$8, moras[[#This Row],[EDAD]])</f>
        <v>69</v>
      </c>
      <c r="P548" s="14" t="str">
        <f>IF(
    OR(ISBLANK(moras[[#This Row],[TIPO_ASEGURAMIENTO]]), moras[[#This Row],[TIPO_ASEGURAMIENTO]]=""),
    EDA!$A$32,
    moras[[#This Row],[TIPO_ASEGURAMIENTO]]
)</f>
        <v>PENSIONADOS EN SU PROPIO SISTEMA</v>
      </c>
    </row>
    <row r="549" spans="1:16" x14ac:dyDescent="0.3">
      <c r="A549">
        <v>548</v>
      </c>
      <c r="B549" t="s">
        <v>15</v>
      </c>
      <c r="C549">
        <v>77298175</v>
      </c>
      <c r="D549" t="s">
        <v>10</v>
      </c>
      <c r="E549" t="s">
        <v>16</v>
      </c>
      <c r="F549" t="s">
        <v>12</v>
      </c>
      <c r="G549" t="s">
        <v>13</v>
      </c>
      <c r="H549" t="s">
        <v>13</v>
      </c>
      <c r="I549">
        <v>37</v>
      </c>
      <c r="J549">
        <f>ABS((I549-EDA!$A$15)/EDA!$B$15)</f>
        <v>0.35143633752697023</v>
      </c>
      <c r="K549" t="str">
        <f t="shared" si="8"/>
        <v>No</v>
      </c>
      <c r="L549">
        <f>ABS((C549-EDA!$F$15)/EDA!$G$15)</f>
        <v>0.91064222551673391</v>
      </c>
      <c r="M549" t="str">
        <f>IF(moras[[#This Row],[Z-Score Salario]]&gt;1.96, "Sí", "No")</f>
        <v>No</v>
      </c>
      <c r="N549" s="14">
        <f>IF(ISBLANK(moras[[#This Row],[SALARIO]]), EDA!$M$8, moras[[#This Row],[SALARIO]])</f>
        <v>77298175</v>
      </c>
      <c r="O549" s="14">
        <f xml:space="preserve"> IF(ISBLANK(moras[[#This Row],[EDAD]]), EDA!$E$8, moras[[#This Row],[EDAD]])</f>
        <v>37</v>
      </c>
      <c r="P549" s="14" t="str">
        <f>IF(
    OR(ISBLANK(moras[[#This Row],[TIPO_ASEGURAMIENTO]]), moras[[#This Row],[TIPO_ASEGURAMIENTO]]=""),
    EDA!$A$32,
    moras[[#This Row],[TIPO_ASEGURAMIENTO]]
)</f>
        <v>ASALARIADO</v>
      </c>
    </row>
    <row r="550" spans="1:16" x14ac:dyDescent="0.3">
      <c r="A550">
        <v>549</v>
      </c>
      <c r="B550" t="s">
        <v>15</v>
      </c>
      <c r="C550">
        <v>297046</v>
      </c>
      <c r="D550" t="s">
        <v>17</v>
      </c>
      <c r="E550" t="s">
        <v>16</v>
      </c>
      <c r="F550" t="s">
        <v>12</v>
      </c>
      <c r="G550" t="s">
        <v>13</v>
      </c>
      <c r="H550" t="s">
        <v>13</v>
      </c>
      <c r="I550">
        <v>43</v>
      </c>
      <c r="J550">
        <f>ABS((I550-EDA!$A$15)/EDA!$B$15)</f>
        <v>7.2015642935854773E-2</v>
      </c>
      <c r="K550" t="str">
        <f t="shared" si="8"/>
        <v>No</v>
      </c>
      <c r="L550">
        <f>ABS((C550-EDA!$F$15)/EDA!$G$15)</f>
        <v>0.37071091707942361</v>
      </c>
      <c r="M550" t="str">
        <f>IF(moras[[#This Row],[Z-Score Salario]]&gt;1.96, "Sí", "No")</f>
        <v>No</v>
      </c>
      <c r="N550" s="14">
        <f>IF(ISBLANK(moras[[#This Row],[SALARIO]]), EDA!$M$8, moras[[#This Row],[SALARIO]])</f>
        <v>297046</v>
      </c>
      <c r="O550" s="14">
        <f xml:space="preserve"> IF(ISBLANK(moras[[#This Row],[EDAD]]), EDA!$E$8, moras[[#This Row],[EDAD]])</f>
        <v>43</v>
      </c>
      <c r="P550" s="14" t="str">
        <f>IF(
    OR(ISBLANK(moras[[#This Row],[TIPO_ASEGURAMIENTO]]), moras[[#This Row],[TIPO_ASEGURAMIENTO]]=""),
    EDA!$A$32,
    moras[[#This Row],[TIPO_ASEGURAMIENTO]]
)</f>
        <v>ASEGURADO VOLUNTARIO</v>
      </c>
    </row>
    <row r="551" spans="1:16" x14ac:dyDescent="0.3">
      <c r="A551">
        <v>550</v>
      </c>
      <c r="B551" t="s">
        <v>9</v>
      </c>
      <c r="C551">
        <v>1769790</v>
      </c>
      <c r="D551" t="s">
        <v>10</v>
      </c>
      <c r="E551" t="s">
        <v>16</v>
      </c>
      <c r="F551" t="s">
        <v>12</v>
      </c>
      <c r="G551" t="s">
        <v>13</v>
      </c>
      <c r="H551" t="s">
        <v>13</v>
      </c>
      <c r="I551">
        <v>25</v>
      </c>
      <c r="J551">
        <f>ABS((I551-EDA!$A$15)/EDA!$B$15)</f>
        <v>1.1983402984526204</v>
      </c>
      <c r="K551" t="str">
        <f t="shared" si="8"/>
        <v>No</v>
      </c>
      <c r="L551">
        <f>ABS((C551-EDA!$F$15)/EDA!$G$15)</f>
        <v>0.34620341729147064</v>
      </c>
      <c r="M551" t="str">
        <f>IF(moras[[#This Row],[Z-Score Salario]]&gt;1.96, "Sí", "No")</f>
        <v>No</v>
      </c>
      <c r="N551" s="14">
        <f>IF(ISBLANK(moras[[#This Row],[SALARIO]]), EDA!$M$8, moras[[#This Row],[SALARIO]])</f>
        <v>1769790</v>
      </c>
      <c r="O551" s="14">
        <f xml:space="preserve"> IF(ISBLANK(moras[[#This Row],[EDAD]]), EDA!$E$8, moras[[#This Row],[EDAD]])</f>
        <v>25</v>
      </c>
      <c r="P551" s="14" t="str">
        <f>IF(
    OR(ISBLANK(moras[[#This Row],[TIPO_ASEGURAMIENTO]]), moras[[#This Row],[TIPO_ASEGURAMIENTO]]=""),
    EDA!$A$32,
    moras[[#This Row],[TIPO_ASEGURAMIENTO]]
)</f>
        <v>ASALARIADO</v>
      </c>
    </row>
    <row r="552" spans="1:16" x14ac:dyDescent="0.3">
      <c r="A552">
        <v>551</v>
      </c>
      <c r="B552" t="s">
        <v>15</v>
      </c>
      <c r="C552">
        <v>5612725</v>
      </c>
      <c r="D552" t="s">
        <v>10</v>
      </c>
      <c r="E552" t="s">
        <v>11</v>
      </c>
      <c r="F552" t="s">
        <v>12</v>
      </c>
      <c r="G552" t="s">
        <v>13</v>
      </c>
      <c r="H552" t="s">
        <v>13</v>
      </c>
      <c r="I552">
        <v>52</v>
      </c>
      <c r="J552">
        <f>ABS((I552-EDA!$A$15)/EDA!$B$15)</f>
        <v>0.70719361363009237</v>
      </c>
      <c r="K552" t="str">
        <f t="shared" si="8"/>
        <v>No</v>
      </c>
      <c r="L552">
        <f>ABS((C552-EDA!$F$15)/EDA!$G$15)</f>
        <v>0.28225426611678123</v>
      </c>
      <c r="M552" t="str">
        <f>IF(moras[[#This Row],[Z-Score Salario]]&gt;1.96, "Sí", "No")</f>
        <v>No</v>
      </c>
      <c r="N552" s="14">
        <f>IF(ISBLANK(moras[[#This Row],[SALARIO]]), EDA!$M$8, moras[[#This Row],[SALARIO]])</f>
        <v>5612725</v>
      </c>
      <c r="O552" s="14">
        <f xml:space="preserve"> IF(ISBLANK(moras[[#This Row],[EDAD]]), EDA!$E$8, moras[[#This Row],[EDAD]])</f>
        <v>52</v>
      </c>
      <c r="P552" s="14" t="str">
        <f>IF(
    OR(ISBLANK(moras[[#This Row],[TIPO_ASEGURAMIENTO]]), moras[[#This Row],[TIPO_ASEGURAMIENTO]]=""),
    EDA!$A$32,
    moras[[#This Row],[TIPO_ASEGURAMIENTO]]
)</f>
        <v>ASALARIADO</v>
      </c>
    </row>
    <row r="553" spans="1:16" x14ac:dyDescent="0.3">
      <c r="A553">
        <v>552</v>
      </c>
      <c r="B553" t="s">
        <v>9</v>
      </c>
      <c r="C553">
        <v>108860302</v>
      </c>
      <c r="D553" t="s">
        <v>10</v>
      </c>
      <c r="E553" t="s">
        <v>16</v>
      </c>
      <c r="F553" t="s">
        <v>12</v>
      </c>
      <c r="G553" t="s">
        <v>13</v>
      </c>
      <c r="H553" t="s">
        <v>13</v>
      </c>
      <c r="I553">
        <v>38</v>
      </c>
      <c r="J553">
        <f>ABS((I553-EDA!$A$15)/EDA!$B$15)</f>
        <v>0.28086100744983278</v>
      </c>
      <c r="K553" t="str">
        <f t="shared" si="8"/>
        <v>No</v>
      </c>
      <c r="L553">
        <f>ABS((C553-EDA!$F$15)/EDA!$G$15)</f>
        <v>1.435858298887152</v>
      </c>
      <c r="M553" t="str">
        <f>IF(moras[[#This Row],[Z-Score Salario]]&gt;1.96, "Sí", "No")</f>
        <v>No</v>
      </c>
      <c r="N553" s="14">
        <f>IF(ISBLANK(moras[[#This Row],[SALARIO]]), EDA!$M$8, moras[[#This Row],[SALARIO]])</f>
        <v>108860302</v>
      </c>
      <c r="O553" s="14">
        <f xml:space="preserve"> IF(ISBLANK(moras[[#This Row],[EDAD]]), EDA!$E$8, moras[[#This Row],[EDAD]])</f>
        <v>38</v>
      </c>
      <c r="P553" s="14" t="str">
        <f>IF(
    OR(ISBLANK(moras[[#This Row],[TIPO_ASEGURAMIENTO]]), moras[[#This Row],[TIPO_ASEGURAMIENTO]]=""),
    EDA!$A$32,
    moras[[#This Row],[TIPO_ASEGURAMIENTO]]
)</f>
        <v>ASALARIADO</v>
      </c>
    </row>
    <row r="554" spans="1:16" x14ac:dyDescent="0.3">
      <c r="A554">
        <v>553</v>
      </c>
      <c r="B554" t="s">
        <v>9</v>
      </c>
      <c r="C554">
        <v>102430076</v>
      </c>
      <c r="D554" t="s">
        <v>10</v>
      </c>
      <c r="E554" t="s">
        <v>16</v>
      </c>
      <c r="F554" t="s">
        <v>12</v>
      </c>
      <c r="G554" t="s">
        <v>13</v>
      </c>
      <c r="H554" t="s">
        <v>13</v>
      </c>
      <c r="I554">
        <v>38</v>
      </c>
      <c r="J554">
        <f>ABS((I554-EDA!$A$15)/EDA!$B$15)</f>
        <v>0.28086100744983278</v>
      </c>
      <c r="K554" t="str">
        <f t="shared" si="8"/>
        <v>No</v>
      </c>
      <c r="L554">
        <f>ABS((C554-EDA!$F$15)/EDA!$G$15)</f>
        <v>1.328854799072188</v>
      </c>
      <c r="M554" t="str">
        <f>IF(moras[[#This Row],[Z-Score Salario]]&gt;1.96, "Sí", "No")</f>
        <v>No</v>
      </c>
      <c r="N554" s="14">
        <f>IF(ISBLANK(moras[[#This Row],[SALARIO]]), EDA!$M$8, moras[[#This Row],[SALARIO]])</f>
        <v>102430076</v>
      </c>
      <c r="O554" s="14">
        <f xml:space="preserve"> IF(ISBLANK(moras[[#This Row],[EDAD]]), EDA!$E$8, moras[[#This Row],[EDAD]])</f>
        <v>38</v>
      </c>
      <c r="P554" s="14" t="str">
        <f>IF(
    OR(ISBLANK(moras[[#This Row],[TIPO_ASEGURAMIENTO]]), moras[[#This Row],[TIPO_ASEGURAMIENTO]]=""),
    EDA!$A$32,
    moras[[#This Row],[TIPO_ASEGURAMIENTO]]
)</f>
        <v>ASALARIADO</v>
      </c>
    </row>
    <row r="555" spans="1:16" x14ac:dyDescent="0.3">
      <c r="A555">
        <v>554</v>
      </c>
      <c r="B555" t="s">
        <v>9</v>
      </c>
      <c r="C555">
        <v>278030</v>
      </c>
      <c r="D555" t="s">
        <v>19</v>
      </c>
      <c r="E555" t="s">
        <v>16</v>
      </c>
      <c r="F555" t="s">
        <v>12</v>
      </c>
      <c r="G555" t="s">
        <v>13</v>
      </c>
      <c r="H555" t="s">
        <v>13</v>
      </c>
      <c r="I555">
        <v>30</v>
      </c>
      <c r="J555">
        <f>ABS((I555-EDA!$A$15)/EDA!$B$15)</f>
        <v>0.84546364806693275</v>
      </c>
      <c r="K555" t="str">
        <f t="shared" si="8"/>
        <v>No</v>
      </c>
      <c r="L555">
        <f>ABS((C555-EDA!$F$15)/EDA!$G$15)</f>
        <v>0.37102735674304993</v>
      </c>
      <c r="M555" t="str">
        <f>IF(moras[[#This Row],[Z-Score Salario]]&gt;1.96, "Sí", "No")</f>
        <v>No</v>
      </c>
      <c r="N555" s="14">
        <f>IF(ISBLANK(moras[[#This Row],[SALARIO]]), EDA!$M$8, moras[[#This Row],[SALARIO]])</f>
        <v>278030</v>
      </c>
      <c r="O555" s="14">
        <f xml:space="preserve"> IF(ISBLANK(moras[[#This Row],[EDAD]]), EDA!$E$8, moras[[#This Row],[EDAD]])</f>
        <v>30</v>
      </c>
      <c r="P555" s="14" t="str">
        <f>IF(
    OR(ISBLANK(moras[[#This Row],[TIPO_ASEGURAMIENTO]]), moras[[#This Row],[TIPO_ASEGURAMIENTO]]=""),
    EDA!$A$32,
    moras[[#This Row],[TIPO_ASEGURAMIENTO]]
)</f>
        <v>CONVENIOS ESPECIALES DE TRABAJADORES INDEPENDIENTES</v>
      </c>
    </row>
    <row r="556" spans="1:16" x14ac:dyDescent="0.3">
      <c r="A556">
        <v>555</v>
      </c>
      <c r="B556" t="s">
        <v>15</v>
      </c>
      <c r="C556">
        <v>426667</v>
      </c>
      <c r="D556" t="s">
        <v>10</v>
      </c>
      <c r="E556" t="s">
        <v>16</v>
      </c>
      <c r="F556" t="s">
        <v>12</v>
      </c>
      <c r="G556" t="s">
        <v>13</v>
      </c>
      <c r="H556" t="s">
        <v>13</v>
      </c>
      <c r="I556">
        <v>25</v>
      </c>
      <c r="J556">
        <f>ABS((I556-EDA!$A$15)/EDA!$B$15)</f>
        <v>1.1983402984526204</v>
      </c>
      <c r="K556" t="str">
        <f t="shared" si="8"/>
        <v>No</v>
      </c>
      <c r="L556">
        <f>ABS((C556-EDA!$F$15)/EDA!$G$15)</f>
        <v>0.36855393213837867</v>
      </c>
      <c r="M556" t="str">
        <f>IF(moras[[#This Row],[Z-Score Salario]]&gt;1.96, "Sí", "No")</f>
        <v>No</v>
      </c>
      <c r="N556" s="14">
        <f>IF(ISBLANK(moras[[#This Row],[SALARIO]]), EDA!$M$8, moras[[#This Row],[SALARIO]])</f>
        <v>426667</v>
      </c>
      <c r="O556" s="14">
        <f xml:space="preserve"> IF(ISBLANK(moras[[#This Row],[EDAD]]), EDA!$E$8, moras[[#This Row],[EDAD]])</f>
        <v>25</v>
      </c>
      <c r="P556" s="14" t="str">
        <f>IF(
    OR(ISBLANK(moras[[#This Row],[TIPO_ASEGURAMIENTO]]), moras[[#This Row],[TIPO_ASEGURAMIENTO]]=""),
    EDA!$A$32,
    moras[[#This Row],[TIPO_ASEGURAMIENTO]]
)</f>
        <v>ASALARIADO</v>
      </c>
    </row>
    <row r="557" spans="1:16" x14ac:dyDescent="0.3">
      <c r="A557">
        <v>556</v>
      </c>
      <c r="B557" t="s">
        <v>9</v>
      </c>
      <c r="C557">
        <v>523027</v>
      </c>
      <c r="D557" t="s">
        <v>18</v>
      </c>
      <c r="E557" t="s">
        <v>16</v>
      </c>
      <c r="F557" t="s">
        <v>12</v>
      </c>
      <c r="G557" t="s">
        <v>13</v>
      </c>
      <c r="H557" t="s">
        <v>12</v>
      </c>
      <c r="I557">
        <v>33</v>
      </c>
      <c r="J557">
        <f>ABS((I557-EDA!$A$15)/EDA!$B$15)</f>
        <v>0.63373765783552027</v>
      </c>
      <c r="K557" t="str">
        <f t="shared" si="8"/>
        <v>No</v>
      </c>
      <c r="L557">
        <f>ABS((C557-EDA!$F$15)/EDA!$G$15)</f>
        <v>0.36695043371667935</v>
      </c>
      <c r="M557" t="str">
        <f>IF(moras[[#This Row],[Z-Score Salario]]&gt;1.96, "Sí", "No")</f>
        <v>No</v>
      </c>
      <c r="N557" s="14">
        <f>IF(ISBLANK(moras[[#This Row],[SALARIO]]), EDA!$M$8, moras[[#This Row],[SALARIO]])</f>
        <v>523027</v>
      </c>
      <c r="O557" s="14">
        <f xml:space="preserve"> IF(ISBLANK(moras[[#This Row],[EDAD]]), EDA!$E$8, moras[[#This Row],[EDAD]])</f>
        <v>33</v>
      </c>
      <c r="P557" s="14" t="str">
        <f>IF(
    OR(ISBLANK(moras[[#This Row],[TIPO_ASEGURAMIENTO]]), moras[[#This Row],[TIPO_ASEGURAMIENTO]]=""),
    EDA!$A$32,
    moras[[#This Row],[TIPO_ASEGURAMIENTO]]
)</f>
        <v>TRABAJADOR INDEPENDIENTE</v>
      </c>
    </row>
    <row r="558" spans="1:16" x14ac:dyDescent="0.3">
      <c r="A558">
        <v>557</v>
      </c>
      <c r="B558" t="s">
        <v>9</v>
      </c>
      <c r="C558">
        <v>358433</v>
      </c>
      <c r="D558" t="s">
        <v>10</v>
      </c>
      <c r="E558" t="s">
        <v>16</v>
      </c>
      <c r="F558" t="s">
        <v>12</v>
      </c>
      <c r="G558" t="s">
        <v>13</v>
      </c>
      <c r="H558" t="s">
        <v>13</v>
      </c>
      <c r="I558">
        <v>42</v>
      </c>
      <c r="J558">
        <f>ABS((I558-EDA!$A$15)/EDA!$B$15)</f>
        <v>1.4403128587172659E-3</v>
      </c>
      <c r="K558" t="str">
        <f t="shared" si="8"/>
        <v>No</v>
      </c>
      <c r="L558">
        <f>ABS((C558-EDA!$F$15)/EDA!$G$15)</f>
        <v>0.36968939406559154</v>
      </c>
      <c r="M558" t="str">
        <f>IF(moras[[#This Row],[Z-Score Salario]]&gt;1.96, "Sí", "No")</f>
        <v>No</v>
      </c>
      <c r="N558" s="14">
        <f>IF(ISBLANK(moras[[#This Row],[SALARIO]]), EDA!$M$8, moras[[#This Row],[SALARIO]])</f>
        <v>358433</v>
      </c>
      <c r="O558" s="14">
        <f xml:space="preserve"> IF(ISBLANK(moras[[#This Row],[EDAD]]), EDA!$E$8, moras[[#This Row],[EDAD]])</f>
        <v>42</v>
      </c>
      <c r="P558" s="14" t="str">
        <f>IF(
    OR(ISBLANK(moras[[#This Row],[TIPO_ASEGURAMIENTO]]), moras[[#This Row],[TIPO_ASEGURAMIENTO]]=""),
    EDA!$A$32,
    moras[[#This Row],[TIPO_ASEGURAMIENTO]]
)</f>
        <v>ASALARIADO</v>
      </c>
    </row>
    <row r="559" spans="1:16" x14ac:dyDescent="0.3">
      <c r="A559">
        <v>558</v>
      </c>
      <c r="B559" t="s">
        <v>15</v>
      </c>
      <c r="C559">
        <v>2903073</v>
      </c>
      <c r="D559" t="s">
        <v>10</v>
      </c>
      <c r="E559" t="s">
        <v>11</v>
      </c>
      <c r="F559" t="s">
        <v>12</v>
      </c>
      <c r="G559" t="s">
        <v>13</v>
      </c>
      <c r="H559" t="s">
        <v>13</v>
      </c>
      <c r="I559">
        <v>25</v>
      </c>
      <c r="J559">
        <f>ABS((I559-EDA!$A$15)/EDA!$B$15)</f>
        <v>1.1983402984526204</v>
      </c>
      <c r="K559" t="str">
        <f t="shared" si="8"/>
        <v>No</v>
      </c>
      <c r="L559">
        <f>ABS((C559-EDA!$F$15)/EDA!$G$15)</f>
        <v>0.32734478817317814</v>
      </c>
      <c r="M559" t="str">
        <f>IF(moras[[#This Row],[Z-Score Salario]]&gt;1.96, "Sí", "No")</f>
        <v>No</v>
      </c>
      <c r="N559" s="14">
        <f>IF(ISBLANK(moras[[#This Row],[SALARIO]]), EDA!$M$8, moras[[#This Row],[SALARIO]])</f>
        <v>2903073</v>
      </c>
      <c r="O559" s="14">
        <f xml:space="preserve"> IF(ISBLANK(moras[[#This Row],[EDAD]]), EDA!$E$8, moras[[#This Row],[EDAD]])</f>
        <v>25</v>
      </c>
      <c r="P559" s="14" t="str">
        <f>IF(
    OR(ISBLANK(moras[[#This Row],[TIPO_ASEGURAMIENTO]]), moras[[#This Row],[TIPO_ASEGURAMIENTO]]=""),
    EDA!$A$32,
    moras[[#This Row],[TIPO_ASEGURAMIENTO]]
)</f>
        <v>ASALARIADO</v>
      </c>
    </row>
    <row r="560" spans="1:16" x14ac:dyDescent="0.3">
      <c r="A560">
        <v>559</v>
      </c>
      <c r="B560" t="s">
        <v>9</v>
      </c>
      <c r="C560">
        <v>475208</v>
      </c>
      <c r="D560" t="s">
        <v>10</v>
      </c>
      <c r="E560" t="s">
        <v>11</v>
      </c>
      <c r="F560" t="s">
        <v>12</v>
      </c>
      <c r="G560" t="s">
        <v>13</v>
      </c>
      <c r="H560" t="s">
        <v>13</v>
      </c>
      <c r="I560">
        <v>41</v>
      </c>
      <c r="J560">
        <f>ABS((I560-EDA!$A$15)/EDA!$B$15)</f>
        <v>6.9135017218420233E-2</v>
      </c>
      <c r="K560" t="str">
        <f t="shared" si="8"/>
        <v>No</v>
      </c>
      <c r="L560">
        <f>ABS((C560-EDA!$F$15)/EDA!$G$15)</f>
        <v>0.36774617563269468</v>
      </c>
      <c r="M560" t="str">
        <f>IF(moras[[#This Row],[Z-Score Salario]]&gt;1.96, "Sí", "No")</f>
        <v>No</v>
      </c>
      <c r="N560" s="14">
        <f>IF(ISBLANK(moras[[#This Row],[SALARIO]]), EDA!$M$8, moras[[#This Row],[SALARIO]])</f>
        <v>475208</v>
      </c>
      <c r="O560" s="14">
        <f xml:space="preserve"> IF(ISBLANK(moras[[#This Row],[EDAD]]), EDA!$E$8, moras[[#This Row],[EDAD]])</f>
        <v>41</v>
      </c>
      <c r="P560" s="14" t="str">
        <f>IF(
    OR(ISBLANK(moras[[#This Row],[TIPO_ASEGURAMIENTO]]), moras[[#This Row],[TIPO_ASEGURAMIENTO]]=""),
    EDA!$A$32,
    moras[[#This Row],[TIPO_ASEGURAMIENTO]]
)</f>
        <v>ASALARIADO</v>
      </c>
    </row>
    <row r="561" spans="1:16" x14ac:dyDescent="0.3">
      <c r="A561">
        <v>560</v>
      </c>
      <c r="B561" t="s">
        <v>9</v>
      </c>
      <c r="C561">
        <v>385702</v>
      </c>
      <c r="D561" t="s">
        <v>17</v>
      </c>
      <c r="E561" t="s">
        <v>16</v>
      </c>
      <c r="F561" t="s">
        <v>12</v>
      </c>
      <c r="G561" t="s">
        <v>13</v>
      </c>
      <c r="H561" t="s">
        <v>13</v>
      </c>
      <c r="I561">
        <v>32</v>
      </c>
      <c r="J561">
        <f>ABS((I561-EDA!$A$15)/EDA!$B$15)</f>
        <v>0.70431298791265773</v>
      </c>
      <c r="K561" t="str">
        <f t="shared" si="8"/>
        <v>No</v>
      </c>
      <c r="L561">
        <f>ABS((C561-EDA!$F$15)/EDA!$G$15)</f>
        <v>0.36923561865607185</v>
      </c>
      <c r="M561" t="str">
        <f>IF(moras[[#This Row],[Z-Score Salario]]&gt;1.96, "Sí", "No")</f>
        <v>No</v>
      </c>
      <c r="N561" s="14">
        <f>IF(ISBLANK(moras[[#This Row],[SALARIO]]), EDA!$M$8, moras[[#This Row],[SALARIO]])</f>
        <v>385702</v>
      </c>
      <c r="O561" s="14">
        <f xml:space="preserve"> IF(ISBLANK(moras[[#This Row],[EDAD]]), EDA!$E$8, moras[[#This Row],[EDAD]])</f>
        <v>32</v>
      </c>
      <c r="P561" s="14" t="str">
        <f>IF(
    OR(ISBLANK(moras[[#This Row],[TIPO_ASEGURAMIENTO]]), moras[[#This Row],[TIPO_ASEGURAMIENTO]]=""),
    EDA!$A$32,
    moras[[#This Row],[TIPO_ASEGURAMIENTO]]
)</f>
        <v>ASEGURADO VOLUNTARIO</v>
      </c>
    </row>
    <row r="562" spans="1:16" x14ac:dyDescent="0.3">
      <c r="A562">
        <v>561</v>
      </c>
      <c r="B562" t="s">
        <v>9</v>
      </c>
      <c r="C562">
        <v>297046</v>
      </c>
      <c r="D562" t="s">
        <v>18</v>
      </c>
      <c r="E562" t="s">
        <v>16</v>
      </c>
      <c r="F562" t="s">
        <v>12</v>
      </c>
      <c r="G562" t="s">
        <v>13</v>
      </c>
      <c r="H562" t="s">
        <v>13</v>
      </c>
      <c r="I562">
        <v>61</v>
      </c>
      <c r="J562">
        <f>ABS((I562-EDA!$A$15)/EDA!$B$15)</f>
        <v>1.3423715843243298</v>
      </c>
      <c r="K562" t="str">
        <f t="shared" si="8"/>
        <v>No</v>
      </c>
      <c r="L562">
        <f>ABS((C562-EDA!$F$15)/EDA!$G$15)</f>
        <v>0.37071091707942361</v>
      </c>
      <c r="M562" t="str">
        <f>IF(moras[[#This Row],[Z-Score Salario]]&gt;1.96, "Sí", "No")</f>
        <v>No</v>
      </c>
      <c r="N562" s="14">
        <f>IF(ISBLANK(moras[[#This Row],[SALARIO]]), EDA!$M$8, moras[[#This Row],[SALARIO]])</f>
        <v>297046</v>
      </c>
      <c r="O562" s="14">
        <f xml:space="preserve"> IF(ISBLANK(moras[[#This Row],[EDAD]]), EDA!$E$8, moras[[#This Row],[EDAD]])</f>
        <v>61</v>
      </c>
      <c r="P562" s="14" t="str">
        <f>IF(
    OR(ISBLANK(moras[[#This Row],[TIPO_ASEGURAMIENTO]]), moras[[#This Row],[TIPO_ASEGURAMIENTO]]=""),
    EDA!$A$32,
    moras[[#This Row],[TIPO_ASEGURAMIENTO]]
)</f>
        <v>TRABAJADOR INDEPENDIENTE</v>
      </c>
    </row>
    <row r="563" spans="1:16" x14ac:dyDescent="0.3">
      <c r="A563">
        <v>562</v>
      </c>
      <c r="B563" t="s">
        <v>15</v>
      </c>
      <c r="C563">
        <v>344000</v>
      </c>
      <c r="D563" t="s">
        <v>10</v>
      </c>
      <c r="E563" t="s">
        <v>16</v>
      </c>
      <c r="F563" t="s">
        <v>12</v>
      </c>
      <c r="G563" t="s">
        <v>13</v>
      </c>
      <c r="H563" t="s">
        <v>13</v>
      </c>
      <c r="I563">
        <v>26</v>
      </c>
      <c r="J563">
        <f>ABS((I563-EDA!$A$15)/EDA!$B$15)</f>
        <v>1.1277649683754829</v>
      </c>
      <c r="K563" t="str">
        <f t="shared" si="8"/>
        <v>No</v>
      </c>
      <c r="L563">
        <f>ABS((C563-EDA!$F$15)/EDA!$G$15)</f>
        <v>0.36992956937402227</v>
      </c>
      <c r="M563" t="str">
        <f>IF(moras[[#This Row],[Z-Score Salario]]&gt;1.96, "Sí", "No")</f>
        <v>No</v>
      </c>
      <c r="N563" s="14">
        <f>IF(ISBLANK(moras[[#This Row],[SALARIO]]), EDA!$M$8, moras[[#This Row],[SALARIO]])</f>
        <v>344000</v>
      </c>
      <c r="O563" s="14">
        <f xml:space="preserve"> IF(ISBLANK(moras[[#This Row],[EDAD]]), EDA!$E$8, moras[[#This Row],[EDAD]])</f>
        <v>26</v>
      </c>
      <c r="P563" s="14" t="str">
        <f>IF(
    OR(ISBLANK(moras[[#This Row],[TIPO_ASEGURAMIENTO]]), moras[[#This Row],[TIPO_ASEGURAMIENTO]]=""),
    EDA!$A$32,
    moras[[#This Row],[TIPO_ASEGURAMIENTO]]
)</f>
        <v>ASALARIADO</v>
      </c>
    </row>
    <row r="564" spans="1:16" x14ac:dyDescent="0.3">
      <c r="A564">
        <v>563</v>
      </c>
      <c r="B564" t="s">
        <v>15</v>
      </c>
      <c r="C564">
        <v>13025565</v>
      </c>
      <c r="D564" t="s">
        <v>10</v>
      </c>
      <c r="E564" t="s">
        <v>11</v>
      </c>
      <c r="F564" t="s">
        <v>12</v>
      </c>
      <c r="G564" t="s">
        <v>13</v>
      </c>
      <c r="H564" t="s">
        <v>13</v>
      </c>
      <c r="I564">
        <v>41</v>
      </c>
      <c r="J564">
        <f>ABS((I564-EDA!$A$15)/EDA!$B$15)</f>
        <v>6.9135017218420233E-2</v>
      </c>
      <c r="K564" t="str">
        <f t="shared" si="8"/>
        <v>No</v>
      </c>
      <c r="L564">
        <f>ABS((C564-EDA!$F$15)/EDA!$G$15)</f>
        <v>0.15889937570260948</v>
      </c>
      <c r="M564" t="str">
        <f>IF(moras[[#This Row],[Z-Score Salario]]&gt;1.96, "Sí", "No")</f>
        <v>No</v>
      </c>
      <c r="N564" s="14">
        <f>IF(ISBLANK(moras[[#This Row],[SALARIO]]), EDA!$M$8, moras[[#This Row],[SALARIO]])</f>
        <v>13025565</v>
      </c>
      <c r="O564" s="14">
        <f xml:space="preserve"> IF(ISBLANK(moras[[#This Row],[EDAD]]), EDA!$E$8, moras[[#This Row],[EDAD]])</f>
        <v>41</v>
      </c>
      <c r="P564" s="14" t="str">
        <f>IF(
    OR(ISBLANK(moras[[#This Row],[TIPO_ASEGURAMIENTO]]), moras[[#This Row],[TIPO_ASEGURAMIENTO]]=""),
    EDA!$A$32,
    moras[[#This Row],[TIPO_ASEGURAMIENTO]]
)</f>
        <v>ASALARIADO</v>
      </c>
    </row>
    <row r="565" spans="1:16" x14ac:dyDescent="0.3">
      <c r="A565">
        <v>564</v>
      </c>
      <c r="B565" t="s">
        <v>15</v>
      </c>
      <c r="C565">
        <v>93946154</v>
      </c>
      <c r="D565" t="s">
        <v>10</v>
      </c>
      <c r="E565" t="s">
        <v>16</v>
      </c>
      <c r="F565" t="s">
        <v>12</v>
      </c>
      <c r="G565" t="s">
        <v>13</v>
      </c>
      <c r="H565" t="s">
        <v>13</v>
      </c>
      <c r="I565">
        <v>25</v>
      </c>
      <c r="J565">
        <f>ABS((I565-EDA!$A$15)/EDA!$B$15)</f>
        <v>1.1983402984526204</v>
      </c>
      <c r="K565" t="str">
        <f t="shared" si="8"/>
        <v>No</v>
      </c>
      <c r="L565">
        <f>ABS((C565-EDA!$F$15)/EDA!$G$15)</f>
        <v>1.1876763480881682</v>
      </c>
      <c r="M565" t="str">
        <f>IF(moras[[#This Row],[Z-Score Salario]]&gt;1.96, "Sí", "No")</f>
        <v>No</v>
      </c>
      <c r="N565" s="14">
        <f>IF(ISBLANK(moras[[#This Row],[SALARIO]]), EDA!$M$8, moras[[#This Row],[SALARIO]])</f>
        <v>93946154</v>
      </c>
      <c r="O565" s="14">
        <f xml:space="preserve"> IF(ISBLANK(moras[[#This Row],[EDAD]]), EDA!$E$8, moras[[#This Row],[EDAD]])</f>
        <v>25</v>
      </c>
      <c r="P565" s="14" t="str">
        <f>IF(
    OR(ISBLANK(moras[[#This Row],[TIPO_ASEGURAMIENTO]]), moras[[#This Row],[TIPO_ASEGURAMIENTO]]=""),
    EDA!$A$32,
    moras[[#This Row],[TIPO_ASEGURAMIENTO]]
)</f>
        <v>ASALARIADO</v>
      </c>
    </row>
    <row r="566" spans="1:16" x14ac:dyDescent="0.3">
      <c r="A566">
        <v>565</v>
      </c>
      <c r="B566" t="s">
        <v>9</v>
      </c>
      <c r="C566">
        <v>4021394</v>
      </c>
      <c r="D566" t="s">
        <v>10</v>
      </c>
      <c r="E566" t="s">
        <v>16</v>
      </c>
      <c r="F566" t="s">
        <v>12</v>
      </c>
      <c r="G566" t="s">
        <v>13</v>
      </c>
      <c r="H566" t="s">
        <v>13</v>
      </c>
      <c r="I566">
        <v>39</v>
      </c>
      <c r="J566">
        <f>ABS((I566-EDA!$A$15)/EDA!$B$15)</f>
        <v>0.21028567737269524</v>
      </c>
      <c r="K566" t="str">
        <f t="shared" si="8"/>
        <v>No</v>
      </c>
      <c r="L566">
        <f>ABS((C566-EDA!$F$15)/EDA!$G$15)</f>
        <v>0.30873513729674384</v>
      </c>
      <c r="M566" t="str">
        <f>IF(moras[[#This Row],[Z-Score Salario]]&gt;1.96, "Sí", "No")</f>
        <v>No</v>
      </c>
      <c r="N566" s="14">
        <f>IF(ISBLANK(moras[[#This Row],[SALARIO]]), EDA!$M$8, moras[[#This Row],[SALARIO]])</f>
        <v>4021394</v>
      </c>
      <c r="O566" s="14">
        <f xml:space="preserve"> IF(ISBLANK(moras[[#This Row],[EDAD]]), EDA!$E$8, moras[[#This Row],[EDAD]])</f>
        <v>39</v>
      </c>
      <c r="P566" s="14" t="str">
        <f>IF(
    OR(ISBLANK(moras[[#This Row],[TIPO_ASEGURAMIENTO]]), moras[[#This Row],[TIPO_ASEGURAMIENTO]]=""),
    EDA!$A$32,
    moras[[#This Row],[TIPO_ASEGURAMIENTO]]
)</f>
        <v>ASALARIADO</v>
      </c>
    </row>
    <row r="567" spans="1:16" x14ac:dyDescent="0.3">
      <c r="A567">
        <v>566</v>
      </c>
      <c r="B567" t="s">
        <v>9</v>
      </c>
      <c r="C567">
        <v>387763</v>
      </c>
      <c r="D567" t="s">
        <v>18</v>
      </c>
      <c r="E567" t="s">
        <v>16</v>
      </c>
      <c r="F567" t="s">
        <v>12</v>
      </c>
      <c r="G567" t="s">
        <v>13</v>
      </c>
      <c r="H567" t="s">
        <v>13</v>
      </c>
      <c r="I567">
        <v>53</v>
      </c>
      <c r="J567">
        <f>ABS((I567-EDA!$A$15)/EDA!$B$15)</f>
        <v>0.77776894370722982</v>
      </c>
      <c r="K567" t="str">
        <f t="shared" si="8"/>
        <v>No</v>
      </c>
      <c r="L567">
        <f>ABS((C567-EDA!$F$15)/EDA!$G$15)</f>
        <v>0.36920132216118678</v>
      </c>
      <c r="M567" t="str">
        <f>IF(moras[[#This Row],[Z-Score Salario]]&gt;1.96, "Sí", "No")</f>
        <v>No</v>
      </c>
      <c r="N567" s="14">
        <f>IF(ISBLANK(moras[[#This Row],[SALARIO]]), EDA!$M$8, moras[[#This Row],[SALARIO]])</f>
        <v>387763</v>
      </c>
      <c r="O567" s="14">
        <f xml:space="preserve"> IF(ISBLANK(moras[[#This Row],[EDAD]]), EDA!$E$8, moras[[#This Row],[EDAD]])</f>
        <v>53</v>
      </c>
      <c r="P567" s="14" t="str">
        <f>IF(
    OR(ISBLANK(moras[[#This Row],[TIPO_ASEGURAMIENTO]]), moras[[#This Row],[TIPO_ASEGURAMIENTO]]=""),
    EDA!$A$32,
    moras[[#This Row],[TIPO_ASEGURAMIENTO]]
)</f>
        <v>TRABAJADOR INDEPENDIENTE</v>
      </c>
    </row>
    <row r="568" spans="1:16" x14ac:dyDescent="0.3">
      <c r="A568">
        <v>567</v>
      </c>
      <c r="B568" t="s">
        <v>9</v>
      </c>
      <c r="C568">
        <v>370000</v>
      </c>
      <c r="D568" t="s">
        <v>10</v>
      </c>
      <c r="E568" t="s">
        <v>16</v>
      </c>
      <c r="F568" t="s">
        <v>12</v>
      </c>
      <c r="G568" t="s">
        <v>12</v>
      </c>
      <c r="H568" t="s">
        <v>13</v>
      </c>
      <c r="I568">
        <v>45</v>
      </c>
      <c r="J568">
        <f>ABS((I568-EDA!$A$15)/EDA!$B$15)</f>
        <v>0.21316630309012977</v>
      </c>
      <c r="K568" t="str">
        <f t="shared" si="8"/>
        <v>No</v>
      </c>
      <c r="L568">
        <f>ABS((C568-EDA!$F$15)/EDA!$G$15)</f>
        <v>0.36949691102030513</v>
      </c>
      <c r="M568" t="str">
        <f>IF(moras[[#This Row],[Z-Score Salario]]&gt;1.96, "Sí", "No")</f>
        <v>No</v>
      </c>
      <c r="N568" s="14">
        <f>IF(ISBLANK(moras[[#This Row],[SALARIO]]), EDA!$M$8, moras[[#This Row],[SALARIO]])</f>
        <v>370000</v>
      </c>
      <c r="O568" s="14">
        <f xml:space="preserve"> IF(ISBLANK(moras[[#This Row],[EDAD]]), EDA!$E$8, moras[[#This Row],[EDAD]])</f>
        <v>45</v>
      </c>
      <c r="P568" s="14" t="str">
        <f>IF(
    OR(ISBLANK(moras[[#This Row],[TIPO_ASEGURAMIENTO]]), moras[[#This Row],[TIPO_ASEGURAMIENTO]]=""),
    EDA!$A$32,
    moras[[#This Row],[TIPO_ASEGURAMIENTO]]
)</f>
        <v>ASALARIADO</v>
      </c>
    </row>
    <row r="569" spans="1:16" x14ac:dyDescent="0.3">
      <c r="A569">
        <v>568</v>
      </c>
      <c r="B569" t="s">
        <v>15</v>
      </c>
      <c r="C569">
        <v>44433333</v>
      </c>
      <c r="D569" t="s">
        <v>10</v>
      </c>
      <c r="E569" t="s">
        <v>16</v>
      </c>
      <c r="F569" t="s">
        <v>12</v>
      </c>
      <c r="G569" t="s">
        <v>13</v>
      </c>
      <c r="H569" t="s">
        <v>13</v>
      </c>
      <c r="I569">
        <v>23</v>
      </c>
      <c r="J569">
        <f>ABS((I569-EDA!$A$15)/EDA!$B$15)</f>
        <v>1.3394909586068953</v>
      </c>
      <c r="K569" t="str">
        <f t="shared" si="8"/>
        <v>No</v>
      </c>
      <c r="L569">
        <f>ABS((C569-EDA!$F$15)/EDA!$G$15)</f>
        <v>0.36374805494390783</v>
      </c>
      <c r="M569" t="str">
        <f>IF(moras[[#This Row],[Z-Score Salario]]&gt;1.96, "Sí", "No")</f>
        <v>No</v>
      </c>
      <c r="N569" s="14">
        <f>IF(ISBLANK(moras[[#This Row],[SALARIO]]), EDA!$M$8, moras[[#This Row],[SALARIO]])</f>
        <v>44433333</v>
      </c>
      <c r="O569" s="14">
        <f xml:space="preserve"> IF(ISBLANK(moras[[#This Row],[EDAD]]), EDA!$E$8, moras[[#This Row],[EDAD]])</f>
        <v>23</v>
      </c>
      <c r="P569" s="14" t="str">
        <f>IF(
    OR(ISBLANK(moras[[#This Row],[TIPO_ASEGURAMIENTO]]), moras[[#This Row],[TIPO_ASEGURAMIENTO]]=""),
    EDA!$A$32,
    moras[[#This Row],[TIPO_ASEGURAMIENTO]]
)</f>
        <v>ASALARIADO</v>
      </c>
    </row>
    <row r="570" spans="1:16" x14ac:dyDescent="0.3">
      <c r="A570">
        <v>569</v>
      </c>
      <c r="B570" t="s">
        <v>9</v>
      </c>
      <c r="C570">
        <v>179344</v>
      </c>
      <c r="D570" t="s">
        <v>10</v>
      </c>
      <c r="E570" t="s">
        <v>16</v>
      </c>
      <c r="F570" t="s">
        <v>12</v>
      </c>
      <c r="G570" t="s">
        <v>13</v>
      </c>
      <c r="H570" t="s">
        <v>13</v>
      </c>
      <c r="I570">
        <v>29</v>
      </c>
      <c r="J570">
        <f>ABS((I570-EDA!$A$15)/EDA!$B$15)</f>
        <v>0.91603897814407031</v>
      </c>
      <c r="K570" t="str">
        <f t="shared" si="8"/>
        <v>No</v>
      </c>
      <c r="L570">
        <f>ABS((C570-EDA!$F$15)/EDA!$G$15)</f>
        <v>0.37266956144670099</v>
      </c>
      <c r="M570" t="str">
        <f>IF(moras[[#This Row],[Z-Score Salario]]&gt;1.96, "Sí", "No")</f>
        <v>No</v>
      </c>
      <c r="N570" s="14">
        <f>IF(ISBLANK(moras[[#This Row],[SALARIO]]), EDA!$M$8, moras[[#This Row],[SALARIO]])</f>
        <v>179344</v>
      </c>
      <c r="O570" s="14">
        <f xml:space="preserve"> IF(ISBLANK(moras[[#This Row],[EDAD]]), EDA!$E$8, moras[[#This Row],[EDAD]])</f>
        <v>29</v>
      </c>
      <c r="P570" s="14" t="str">
        <f>IF(
    OR(ISBLANK(moras[[#This Row],[TIPO_ASEGURAMIENTO]]), moras[[#This Row],[TIPO_ASEGURAMIENTO]]=""),
    EDA!$A$32,
    moras[[#This Row],[TIPO_ASEGURAMIENTO]]
)</f>
        <v>ASALARIADO</v>
      </c>
    </row>
    <row r="571" spans="1:16" x14ac:dyDescent="0.3">
      <c r="A571">
        <v>570</v>
      </c>
      <c r="B571" t="s">
        <v>15</v>
      </c>
      <c r="C571">
        <v>289448</v>
      </c>
      <c r="D571" t="s">
        <v>18</v>
      </c>
      <c r="E571" t="s">
        <v>16</v>
      </c>
      <c r="F571" t="s">
        <v>12</v>
      </c>
      <c r="G571" t="s">
        <v>13</v>
      </c>
      <c r="H571" t="s">
        <v>13</v>
      </c>
      <c r="I571">
        <v>52</v>
      </c>
      <c r="J571">
        <f>ABS((I571-EDA!$A$15)/EDA!$B$15)</f>
        <v>0.70719361363009237</v>
      </c>
      <c r="K571" t="str">
        <f t="shared" si="8"/>
        <v>No</v>
      </c>
      <c r="L571">
        <f>ABS((C571-EDA!$F$15)/EDA!$G$15)</f>
        <v>0.37083735316294447</v>
      </c>
      <c r="M571" t="str">
        <f>IF(moras[[#This Row],[Z-Score Salario]]&gt;1.96, "Sí", "No")</f>
        <v>No</v>
      </c>
      <c r="N571" s="14">
        <f>IF(ISBLANK(moras[[#This Row],[SALARIO]]), EDA!$M$8, moras[[#This Row],[SALARIO]])</f>
        <v>289448</v>
      </c>
      <c r="O571" s="14">
        <f xml:space="preserve"> IF(ISBLANK(moras[[#This Row],[EDAD]]), EDA!$E$8, moras[[#This Row],[EDAD]])</f>
        <v>52</v>
      </c>
      <c r="P571" s="14" t="str">
        <f>IF(
    OR(ISBLANK(moras[[#This Row],[TIPO_ASEGURAMIENTO]]), moras[[#This Row],[TIPO_ASEGURAMIENTO]]=""),
    EDA!$A$32,
    moras[[#This Row],[TIPO_ASEGURAMIENTO]]
)</f>
        <v>TRABAJADOR INDEPENDIENTE</v>
      </c>
    </row>
    <row r="572" spans="1:16" x14ac:dyDescent="0.3">
      <c r="A572">
        <v>571</v>
      </c>
      <c r="B572" t="s">
        <v>9</v>
      </c>
      <c r="C572">
        <v>588210</v>
      </c>
      <c r="D572" t="s">
        <v>10</v>
      </c>
      <c r="E572" t="s">
        <v>11</v>
      </c>
      <c r="F572" t="s">
        <v>12</v>
      </c>
      <c r="G572" t="s">
        <v>13</v>
      </c>
      <c r="H572" t="s">
        <v>12</v>
      </c>
      <c r="I572">
        <v>35</v>
      </c>
      <c r="J572">
        <f>ABS((I572-EDA!$A$15)/EDA!$B$15)</f>
        <v>0.49258699768124525</v>
      </c>
      <c r="K572" t="str">
        <f t="shared" si="8"/>
        <v>No</v>
      </c>
      <c r="L572">
        <f>ABS((C572-EDA!$F$15)/EDA!$G$15)</f>
        <v>0.36586574258320459</v>
      </c>
      <c r="M572" t="str">
        <f>IF(moras[[#This Row],[Z-Score Salario]]&gt;1.96, "Sí", "No")</f>
        <v>No</v>
      </c>
      <c r="N572" s="14">
        <f>IF(ISBLANK(moras[[#This Row],[SALARIO]]), EDA!$M$8, moras[[#This Row],[SALARIO]])</f>
        <v>588210</v>
      </c>
      <c r="O572" s="14">
        <f xml:space="preserve"> IF(ISBLANK(moras[[#This Row],[EDAD]]), EDA!$E$8, moras[[#This Row],[EDAD]])</f>
        <v>35</v>
      </c>
      <c r="P572" s="14" t="str">
        <f>IF(
    OR(ISBLANK(moras[[#This Row],[TIPO_ASEGURAMIENTO]]), moras[[#This Row],[TIPO_ASEGURAMIENTO]]=""),
    EDA!$A$32,
    moras[[#This Row],[TIPO_ASEGURAMIENTO]]
)</f>
        <v>ASALARIADO</v>
      </c>
    </row>
    <row r="573" spans="1:16" x14ac:dyDescent="0.3">
      <c r="A573">
        <v>572</v>
      </c>
      <c r="B573" t="s">
        <v>9</v>
      </c>
      <c r="C573">
        <v>336000</v>
      </c>
      <c r="D573" t="s">
        <v>10</v>
      </c>
      <c r="E573" t="s">
        <v>16</v>
      </c>
      <c r="F573" t="s">
        <v>12</v>
      </c>
      <c r="G573" t="s">
        <v>13</v>
      </c>
      <c r="H573" t="s">
        <v>13</v>
      </c>
      <c r="I573">
        <v>53</v>
      </c>
      <c r="J573">
        <f>ABS((I573-EDA!$A$15)/EDA!$B$15)</f>
        <v>0.77776894370722982</v>
      </c>
      <c r="K573" t="str">
        <f t="shared" si="8"/>
        <v>No</v>
      </c>
      <c r="L573">
        <f>ABS((C573-EDA!$F$15)/EDA!$G$15)</f>
        <v>0.37006269502131983</v>
      </c>
      <c r="M573" t="str">
        <f>IF(moras[[#This Row],[Z-Score Salario]]&gt;1.96, "Sí", "No")</f>
        <v>No</v>
      </c>
      <c r="N573" s="14">
        <f>IF(ISBLANK(moras[[#This Row],[SALARIO]]), EDA!$M$8, moras[[#This Row],[SALARIO]])</f>
        <v>336000</v>
      </c>
      <c r="O573" s="14">
        <f xml:space="preserve"> IF(ISBLANK(moras[[#This Row],[EDAD]]), EDA!$E$8, moras[[#This Row],[EDAD]])</f>
        <v>53</v>
      </c>
      <c r="P573" s="14" t="str">
        <f>IF(
    OR(ISBLANK(moras[[#This Row],[TIPO_ASEGURAMIENTO]]), moras[[#This Row],[TIPO_ASEGURAMIENTO]]=""),
    EDA!$A$32,
    moras[[#This Row],[TIPO_ASEGURAMIENTO]]
)</f>
        <v>ASALARIADO</v>
      </c>
    </row>
    <row r="574" spans="1:16" x14ac:dyDescent="0.3">
      <c r="A574">
        <v>573</v>
      </c>
      <c r="B574" t="s">
        <v>9</v>
      </c>
      <c r="C574">
        <v>4521928</v>
      </c>
      <c r="D574" t="s">
        <v>10</v>
      </c>
      <c r="E574" t="s">
        <v>16</v>
      </c>
      <c r="F574" t="s">
        <v>12</v>
      </c>
      <c r="G574" t="s">
        <v>13</v>
      </c>
      <c r="H574" t="s">
        <v>13</v>
      </c>
      <c r="I574">
        <v>49</v>
      </c>
      <c r="J574">
        <f>ABS((I574-EDA!$A$15)/EDA!$B$15)</f>
        <v>0.49546762339867978</v>
      </c>
      <c r="K574" t="str">
        <f t="shared" si="8"/>
        <v>No</v>
      </c>
      <c r="L574">
        <f>ABS((C574-EDA!$F$15)/EDA!$G$15)</f>
        <v>0.30040589820368813</v>
      </c>
      <c r="M574" t="str">
        <f>IF(moras[[#This Row],[Z-Score Salario]]&gt;1.96, "Sí", "No")</f>
        <v>No</v>
      </c>
      <c r="N574" s="14">
        <f>IF(ISBLANK(moras[[#This Row],[SALARIO]]), EDA!$M$8, moras[[#This Row],[SALARIO]])</f>
        <v>4521928</v>
      </c>
      <c r="O574" s="14">
        <f xml:space="preserve"> IF(ISBLANK(moras[[#This Row],[EDAD]]), EDA!$E$8, moras[[#This Row],[EDAD]])</f>
        <v>49</v>
      </c>
      <c r="P574" s="14" t="str">
        <f>IF(
    OR(ISBLANK(moras[[#This Row],[TIPO_ASEGURAMIENTO]]), moras[[#This Row],[TIPO_ASEGURAMIENTO]]=""),
    EDA!$A$32,
    moras[[#This Row],[TIPO_ASEGURAMIENTO]]
)</f>
        <v>ASALARIADO</v>
      </c>
    </row>
    <row r="575" spans="1:16" x14ac:dyDescent="0.3">
      <c r="A575">
        <v>574</v>
      </c>
      <c r="B575" t="s">
        <v>9</v>
      </c>
      <c r="C575">
        <v>360000</v>
      </c>
      <c r="D575" t="s">
        <v>10</v>
      </c>
      <c r="E575" t="s">
        <v>16</v>
      </c>
      <c r="F575" t="s">
        <v>12</v>
      </c>
      <c r="G575" t="s">
        <v>13</v>
      </c>
      <c r="H575" t="s">
        <v>13</v>
      </c>
      <c r="I575">
        <v>36</v>
      </c>
      <c r="J575">
        <f>ABS((I575-EDA!$A$15)/EDA!$B$15)</f>
        <v>0.42201166760410774</v>
      </c>
      <c r="K575" t="str">
        <f t="shared" si="8"/>
        <v>No</v>
      </c>
      <c r="L575">
        <f>ABS((C575-EDA!$F$15)/EDA!$G$15)</f>
        <v>0.36966331807942709</v>
      </c>
      <c r="M575" t="str">
        <f>IF(moras[[#This Row],[Z-Score Salario]]&gt;1.96, "Sí", "No")</f>
        <v>No</v>
      </c>
      <c r="N575" s="14">
        <f>IF(ISBLANK(moras[[#This Row],[SALARIO]]), EDA!$M$8, moras[[#This Row],[SALARIO]])</f>
        <v>360000</v>
      </c>
      <c r="O575" s="14">
        <f xml:space="preserve"> IF(ISBLANK(moras[[#This Row],[EDAD]]), EDA!$E$8, moras[[#This Row],[EDAD]])</f>
        <v>36</v>
      </c>
      <c r="P575" s="14" t="str">
        <f>IF(
    OR(ISBLANK(moras[[#This Row],[TIPO_ASEGURAMIENTO]]), moras[[#This Row],[TIPO_ASEGURAMIENTO]]=""),
    EDA!$A$32,
    moras[[#This Row],[TIPO_ASEGURAMIENTO]]
)</f>
        <v>ASALARIADO</v>
      </c>
    </row>
    <row r="576" spans="1:16" x14ac:dyDescent="0.3">
      <c r="A576">
        <v>575</v>
      </c>
      <c r="B576" t="s">
        <v>15</v>
      </c>
      <c r="C576">
        <v>303335429</v>
      </c>
      <c r="D576" t="s">
        <v>10</v>
      </c>
      <c r="E576" t="s">
        <v>11</v>
      </c>
      <c r="F576" t="s">
        <v>12</v>
      </c>
      <c r="G576" t="s">
        <v>13</v>
      </c>
      <c r="H576" t="s">
        <v>13</v>
      </c>
      <c r="I576">
        <v>27</v>
      </c>
      <c r="J576">
        <f>ABS((I576-EDA!$A$15)/EDA!$B$15)</f>
        <v>1.0571896382983452</v>
      </c>
      <c r="K576" t="str">
        <f t="shared" si="8"/>
        <v>No</v>
      </c>
      <c r="L576">
        <f>ABS((C576-EDA!$F$15)/EDA!$G$15)</f>
        <v>4.6720616945313491</v>
      </c>
      <c r="M576" t="str">
        <f>IF(moras[[#This Row],[Z-Score Salario]]&gt;1.96, "Sí", "No")</f>
        <v>Sí</v>
      </c>
      <c r="N576" s="14">
        <f>IF(ISBLANK(moras[[#This Row],[SALARIO]]), EDA!$M$8, moras[[#This Row],[SALARIO]])</f>
        <v>303335429</v>
      </c>
      <c r="O576" s="14">
        <f xml:space="preserve"> IF(ISBLANK(moras[[#This Row],[EDAD]]), EDA!$E$8, moras[[#This Row],[EDAD]])</f>
        <v>27</v>
      </c>
      <c r="P576" s="14" t="str">
        <f>IF(
    OR(ISBLANK(moras[[#This Row],[TIPO_ASEGURAMIENTO]]), moras[[#This Row],[TIPO_ASEGURAMIENTO]]=""),
    EDA!$A$32,
    moras[[#This Row],[TIPO_ASEGURAMIENTO]]
)</f>
        <v>ASALARIADO</v>
      </c>
    </row>
    <row r="577" spans="1:16" x14ac:dyDescent="0.3">
      <c r="A577">
        <v>576</v>
      </c>
      <c r="B577" t="s">
        <v>15</v>
      </c>
      <c r="C577">
        <v>117679718</v>
      </c>
      <c r="D577" t="s">
        <v>10</v>
      </c>
      <c r="E577" t="s">
        <v>16</v>
      </c>
      <c r="F577" t="s">
        <v>12</v>
      </c>
      <c r="G577" t="s">
        <v>13</v>
      </c>
      <c r="H577" t="s">
        <v>13</v>
      </c>
      <c r="I577">
        <v>60</v>
      </c>
      <c r="J577">
        <f>ABS((I577-EDA!$A$15)/EDA!$B$15)</f>
        <v>1.2717962542471923</v>
      </c>
      <c r="K577" t="str">
        <f t="shared" si="8"/>
        <v>No</v>
      </c>
      <c r="L577">
        <f>ABS((C577-EDA!$F$15)/EDA!$G$15)</f>
        <v>1.5826196068604783</v>
      </c>
      <c r="M577" t="str">
        <f>IF(moras[[#This Row],[Z-Score Salario]]&gt;1.96, "Sí", "No")</f>
        <v>No</v>
      </c>
      <c r="N577" s="14">
        <f>IF(ISBLANK(moras[[#This Row],[SALARIO]]), EDA!$M$8, moras[[#This Row],[SALARIO]])</f>
        <v>117679718</v>
      </c>
      <c r="O577" s="14">
        <f xml:space="preserve"> IF(ISBLANK(moras[[#This Row],[EDAD]]), EDA!$E$8, moras[[#This Row],[EDAD]])</f>
        <v>60</v>
      </c>
      <c r="P577" s="14" t="str">
        <f>IF(
    OR(ISBLANK(moras[[#This Row],[TIPO_ASEGURAMIENTO]]), moras[[#This Row],[TIPO_ASEGURAMIENTO]]=""),
    EDA!$A$32,
    moras[[#This Row],[TIPO_ASEGURAMIENTO]]
)</f>
        <v>ASALARIADO</v>
      </c>
    </row>
    <row r="578" spans="1:16" x14ac:dyDescent="0.3">
      <c r="A578">
        <v>577</v>
      </c>
      <c r="B578" t="s">
        <v>9</v>
      </c>
      <c r="C578">
        <v>293293</v>
      </c>
      <c r="D578" t="s">
        <v>10</v>
      </c>
      <c r="E578" t="s">
        <v>16</v>
      </c>
      <c r="F578" t="s">
        <v>12</v>
      </c>
      <c r="G578" t="s">
        <v>13</v>
      </c>
      <c r="H578" t="s">
        <v>13</v>
      </c>
      <c r="I578">
        <v>51</v>
      </c>
      <c r="J578">
        <f>ABS((I578-EDA!$A$15)/EDA!$B$15)</f>
        <v>0.6366182835529548</v>
      </c>
      <c r="K578" t="str">
        <f t="shared" ref="K578:K641" si="9">IF(J578 &gt;  1.96, "Sí","No")</f>
        <v>No</v>
      </c>
      <c r="L578">
        <f>ABS((C578-EDA!$F$15)/EDA!$G$15)</f>
        <v>0.37077336964871205</v>
      </c>
      <c r="M578" t="str">
        <f>IF(moras[[#This Row],[Z-Score Salario]]&gt;1.96, "Sí", "No")</f>
        <v>No</v>
      </c>
      <c r="N578" s="14">
        <f>IF(ISBLANK(moras[[#This Row],[SALARIO]]), EDA!$M$8, moras[[#This Row],[SALARIO]])</f>
        <v>293293</v>
      </c>
      <c r="O578" s="14">
        <f xml:space="preserve"> IF(ISBLANK(moras[[#This Row],[EDAD]]), EDA!$E$8, moras[[#This Row],[EDAD]])</f>
        <v>51</v>
      </c>
      <c r="P578" s="14" t="str">
        <f>IF(
    OR(ISBLANK(moras[[#This Row],[TIPO_ASEGURAMIENTO]]), moras[[#This Row],[TIPO_ASEGURAMIENTO]]=""),
    EDA!$A$32,
    moras[[#This Row],[TIPO_ASEGURAMIENTO]]
)</f>
        <v>ASALARIADO</v>
      </c>
    </row>
    <row r="579" spans="1:16" x14ac:dyDescent="0.3">
      <c r="A579">
        <v>578</v>
      </c>
      <c r="B579" t="s">
        <v>9</v>
      </c>
      <c r="C579">
        <v>297046</v>
      </c>
      <c r="D579" t="s">
        <v>17</v>
      </c>
      <c r="E579" t="s">
        <v>16</v>
      </c>
      <c r="F579" t="s">
        <v>12</v>
      </c>
      <c r="G579" t="s">
        <v>13</v>
      </c>
      <c r="H579" t="s">
        <v>13</v>
      </c>
      <c r="I579">
        <v>30</v>
      </c>
      <c r="J579">
        <f>ABS((I579-EDA!$A$15)/EDA!$B$15)</f>
        <v>0.84546364806693275</v>
      </c>
      <c r="K579" t="str">
        <f t="shared" si="9"/>
        <v>No</v>
      </c>
      <c r="L579">
        <f>ABS((C579-EDA!$F$15)/EDA!$G$15)</f>
        <v>0.37071091707942361</v>
      </c>
      <c r="M579" t="str">
        <f>IF(moras[[#This Row],[Z-Score Salario]]&gt;1.96, "Sí", "No")</f>
        <v>No</v>
      </c>
      <c r="N579" s="14">
        <f>IF(ISBLANK(moras[[#This Row],[SALARIO]]), EDA!$M$8, moras[[#This Row],[SALARIO]])</f>
        <v>297046</v>
      </c>
      <c r="O579" s="14">
        <f xml:space="preserve"> IF(ISBLANK(moras[[#This Row],[EDAD]]), EDA!$E$8, moras[[#This Row],[EDAD]])</f>
        <v>30</v>
      </c>
      <c r="P579" s="14" t="str">
        <f>IF(
    OR(ISBLANK(moras[[#This Row],[TIPO_ASEGURAMIENTO]]), moras[[#This Row],[TIPO_ASEGURAMIENTO]]=""),
    EDA!$A$32,
    moras[[#This Row],[TIPO_ASEGURAMIENTO]]
)</f>
        <v>ASEGURADO VOLUNTARIO</v>
      </c>
    </row>
    <row r="580" spans="1:16" x14ac:dyDescent="0.3">
      <c r="A580">
        <v>579</v>
      </c>
      <c r="B580" t="s">
        <v>15</v>
      </c>
      <c r="C580">
        <v>9621284</v>
      </c>
      <c r="D580" t="s">
        <v>10</v>
      </c>
      <c r="E580" t="s">
        <v>16</v>
      </c>
      <c r="F580" t="s">
        <v>12</v>
      </c>
      <c r="G580" t="s">
        <v>13</v>
      </c>
      <c r="H580" t="s">
        <v>13</v>
      </c>
      <c r="I580">
        <v>32</v>
      </c>
      <c r="J580">
        <f>ABS((I580-EDA!$A$15)/EDA!$B$15)</f>
        <v>0.70431298791265773</v>
      </c>
      <c r="K580" t="str">
        <f t="shared" si="9"/>
        <v>No</v>
      </c>
      <c r="L580">
        <f>ABS((C580-EDA!$F$15)/EDA!$G$15)</f>
        <v>0.21554901466609</v>
      </c>
      <c r="M580" t="str">
        <f>IF(moras[[#This Row],[Z-Score Salario]]&gt;1.96, "Sí", "No")</f>
        <v>No</v>
      </c>
      <c r="N580" s="14">
        <f>IF(ISBLANK(moras[[#This Row],[SALARIO]]), EDA!$M$8, moras[[#This Row],[SALARIO]])</f>
        <v>9621284</v>
      </c>
      <c r="O580" s="14">
        <f xml:space="preserve"> IF(ISBLANK(moras[[#This Row],[EDAD]]), EDA!$E$8, moras[[#This Row],[EDAD]])</f>
        <v>32</v>
      </c>
      <c r="P580" s="14" t="str">
        <f>IF(
    OR(ISBLANK(moras[[#This Row],[TIPO_ASEGURAMIENTO]]), moras[[#This Row],[TIPO_ASEGURAMIENTO]]=""),
    EDA!$A$32,
    moras[[#This Row],[TIPO_ASEGURAMIENTO]]
)</f>
        <v>ASALARIADO</v>
      </c>
    </row>
    <row r="581" spans="1:16" x14ac:dyDescent="0.3">
      <c r="A581">
        <v>580</v>
      </c>
      <c r="B581" t="s">
        <v>9</v>
      </c>
      <c r="C581">
        <v>80094546</v>
      </c>
      <c r="D581" t="s">
        <v>10</v>
      </c>
      <c r="E581" t="s">
        <v>16</v>
      </c>
      <c r="F581" t="s">
        <v>12</v>
      </c>
      <c r="G581" t="s">
        <v>13</v>
      </c>
      <c r="H581" t="s">
        <v>13</v>
      </c>
      <c r="I581">
        <v>46</v>
      </c>
      <c r="J581">
        <f>ABS((I581-EDA!$A$15)/EDA!$B$15)</f>
        <v>0.2837416331672673</v>
      </c>
      <c r="K581" t="str">
        <f t="shared" si="9"/>
        <v>No</v>
      </c>
      <c r="L581">
        <f>ABS((C581-EDA!$F$15)/EDA!$G$15)</f>
        <v>0.95717581294913068</v>
      </c>
      <c r="M581" t="str">
        <f>IF(moras[[#This Row],[Z-Score Salario]]&gt;1.96, "Sí", "No")</f>
        <v>No</v>
      </c>
      <c r="N581" s="14">
        <f>IF(ISBLANK(moras[[#This Row],[SALARIO]]), EDA!$M$8, moras[[#This Row],[SALARIO]])</f>
        <v>80094546</v>
      </c>
      <c r="O581" s="14">
        <f xml:space="preserve"> IF(ISBLANK(moras[[#This Row],[EDAD]]), EDA!$E$8, moras[[#This Row],[EDAD]])</f>
        <v>46</v>
      </c>
      <c r="P581" s="14" t="str">
        <f>IF(
    OR(ISBLANK(moras[[#This Row],[TIPO_ASEGURAMIENTO]]), moras[[#This Row],[TIPO_ASEGURAMIENTO]]=""),
    EDA!$A$32,
    moras[[#This Row],[TIPO_ASEGURAMIENTO]]
)</f>
        <v>ASALARIADO</v>
      </c>
    </row>
    <row r="582" spans="1:16" x14ac:dyDescent="0.3">
      <c r="A582">
        <v>581</v>
      </c>
      <c r="B582" t="s">
        <v>9</v>
      </c>
      <c r="C582">
        <v>445567</v>
      </c>
      <c r="D582" t="s">
        <v>18</v>
      </c>
      <c r="E582" t="s">
        <v>16</v>
      </c>
      <c r="F582" t="s">
        <v>12</v>
      </c>
      <c r="G582" t="s">
        <v>13</v>
      </c>
      <c r="H582" t="s">
        <v>12</v>
      </c>
      <c r="I582">
        <v>56</v>
      </c>
      <c r="J582">
        <f>ABS((I582-EDA!$A$15)/EDA!$B$15)</f>
        <v>0.9894949339386423</v>
      </c>
      <c r="K582" t="str">
        <f t="shared" si="9"/>
        <v>No</v>
      </c>
      <c r="L582">
        <f>ABS((C582-EDA!$F$15)/EDA!$G$15)</f>
        <v>0.36823942279663813</v>
      </c>
      <c r="M582" t="str">
        <f>IF(moras[[#This Row],[Z-Score Salario]]&gt;1.96, "Sí", "No")</f>
        <v>No</v>
      </c>
      <c r="N582" s="14">
        <f>IF(ISBLANK(moras[[#This Row],[SALARIO]]), EDA!$M$8, moras[[#This Row],[SALARIO]])</f>
        <v>445567</v>
      </c>
      <c r="O582" s="14">
        <f xml:space="preserve"> IF(ISBLANK(moras[[#This Row],[EDAD]]), EDA!$E$8, moras[[#This Row],[EDAD]])</f>
        <v>56</v>
      </c>
      <c r="P582" s="14" t="str">
        <f>IF(
    OR(ISBLANK(moras[[#This Row],[TIPO_ASEGURAMIENTO]]), moras[[#This Row],[TIPO_ASEGURAMIENTO]]=""),
    EDA!$A$32,
    moras[[#This Row],[TIPO_ASEGURAMIENTO]]
)</f>
        <v>TRABAJADOR INDEPENDIENTE</v>
      </c>
    </row>
    <row r="583" spans="1:16" x14ac:dyDescent="0.3">
      <c r="A583">
        <v>582</v>
      </c>
      <c r="B583" t="s">
        <v>9</v>
      </c>
      <c r="C583">
        <v>130000</v>
      </c>
      <c r="D583" t="s">
        <v>10</v>
      </c>
      <c r="E583" t="s">
        <v>16</v>
      </c>
      <c r="F583" t="s">
        <v>12</v>
      </c>
      <c r="G583" t="s">
        <v>13</v>
      </c>
      <c r="H583" t="s">
        <v>13</v>
      </c>
      <c r="I583">
        <v>26</v>
      </c>
      <c r="J583">
        <f>ABS((I583-EDA!$A$15)/EDA!$B$15)</f>
        <v>1.1277649683754829</v>
      </c>
      <c r="K583" t="str">
        <f t="shared" si="9"/>
        <v>No</v>
      </c>
      <c r="L583">
        <f>ABS((C583-EDA!$F$15)/EDA!$G$15)</f>
        <v>0.37349068043923245</v>
      </c>
      <c r="M583" t="str">
        <f>IF(moras[[#This Row],[Z-Score Salario]]&gt;1.96, "Sí", "No")</f>
        <v>No</v>
      </c>
      <c r="N583" s="14">
        <f>IF(ISBLANK(moras[[#This Row],[SALARIO]]), EDA!$M$8, moras[[#This Row],[SALARIO]])</f>
        <v>130000</v>
      </c>
      <c r="O583" s="14">
        <f xml:space="preserve"> IF(ISBLANK(moras[[#This Row],[EDAD]]), EDA!$E$8, moras[[#This Row],[EDAD]])</f>
        <v>26</v>
      </c>
      <c r="P583" s="14" t="str">
        <f>IF(
    OR(ISBLANK(moras[[#This Row],[TIPO_ASEGURAMIENTO]]), moras[[#This Row],[TIPO_ASEGURAMIENTO]]=""),
    EDA!$A$32,
    moras[[#This Row],[TIPO_ASEGURAMIENTO]]
)</f>
        <v>ASALARIADO</v>
      </c>
    </row>
    <row r="584" spans="1:16" x14ac:dyDescent="0.3">
      <c r="A584">
        <v>583</v>
      </c>
      <c r="B584" t="s">
        <v>9</v>
      </c>
      <c r="C584">
        <v>75313072</v>
      </c>
      <c r="D584" t="s">
        <v>10</v>
      </c>
      <c r="E584" t="s">
        <v>16</v>
      </c>
      <c r="F584" t="s">
        <v>12</v>
      </c>
      <c r="G584" t="s">
        <v>13</v>
      </c>
      <c r="H584" t="s">
        <v>13</v>
      </c>
      <c r="I584">
        <v>22</v>
      </c>
      <c r="J584">
        <f>ABS((I584-EDA!$A$15)/EDA!$B$15)</f>
        <v>1.4100662886840327</v>
      </c>
      <c r="K584" t="str">
        <f t="shared" si="9"/>
        <v>No</v>
      </c>
      <c r="L584">
        <f>ABS((C584-EDA!$F$15)/EDA!$G$15)</f>
        <v>0.87760871028831355</v>
      </c>
      <c r="M584" t="str">
        <f>IF(moras[[#This Row],[Z-Score Salario]]&gt;1.96, "Sí", "No")</f>
        <v>No</v>
      </c>
      <c r="N584" s="14">
        <f>IF(ISBLANK(moras[[#This Row],[SALARIO]]), EDA!$M$8, moras[[#This Row],[SALARIO]])</f>
        <v>75313072</v>
      </c>
      <c r="O584" s="14">
        <f xml:space="preserve"> IF(ISBLANK(moras[[#This Row],[EDAD]]), EDA!$E$8, moras[[#This Row],[EDAD]])</f>
        <v>22</v>
      </c>
      <c r="P584" s="14" t="str">
        <f>IF(
    OR(ISBLANK(moras[[#This Row],[TIPO_ASEGURAMIENTO]]), moras[[#This Row],[TIPO_ASEGURAMIENTO]]=""),
    EDA!$A$32,
    moras[[#This Row],[TIPO_ASEGURAMIENTO]]
)</f>
        <v>ASALARIADO</v>
      </c>
    </row>
    <row r="585" spans="1:16" x14ac:dyDescent="0.3">
      <c r="A585">
        <v>584</v>
      </c>
      <c r="B585" t="s">
        <v>9</v>
      </c>
      <c r="C585">
        <v>180000</v>
      </c>
      <c r="D585" t="s">
        <v>10</v>
      </c>
      <c r="E585" t="s">
        <v>16</v>
      </c>
      <c r="F585" t="s">
        <v>12</v>
      </c>
      <c r="G585" t="s">
        <v>13</v>
      </c>
      <c r="H585" t="s">
        <v>13</v>
      </c>
      <c r="I585">
        <v>28</v>
      </c>
      <c r="J585">
        <f>ABS((I585-EDA!$A$15)/EDA!$B$15)</f>
        <v>0.98661430822120777</v>
      </c>
      <c r="K585" t="str">
        <f t="shared" si="9"/>
        <v>No</v>
      </c>
      <c r="L585">
        <f>ABS((C585-EDA!$F$15)/EDA!$G$15)</f>
        <v>0.37265864514362262</v>
      </c>
      <c r="M585" t="str">
        <f>IF(moras[[#This Row],[Z-Score Salario]]&gt;1.96, "Sí", "No")</f>
        <v>No</v>
      </c>
      <c r="N585" s="14">
        <f>IF(ISBLANK(moras[[#This Row],[SALARIO]]), EDA!$M$8, moras[[#This Row],[SALARIO]])</f>
        <v>180000</v>
      </c>
      <c r="O585" s="14">
        <f xml:space="preserve"> IF(ISBLANK(moras[[#This Row],[EDAD]]), EDA!$E$8, moras[[#This Row],[EDAD]])</f>
        <v>28</v>
      </c>
      <c r="P585" s="14" t="str">
        <f>IF(
    OR(ISBLANK(moras[[#This Row],[TIPO_ASEGURAMIENTO]]), moras[[#This Row],[TIPO_ASEGURAMIENTO]]=""),
    EDA!$A$32,
    moras[[#This Row],[TIPO_ASEGURAMIENTO]]
)</f>
        <v>ASALARIADO</v>
      </c>
    </row>
    <row r="586" spans="1:16" x14ac:dyDescent="0.3">
      <c r="A586">
        <v>585</v>
      </c>
      <c r="B586" t="s">
        <v>9</v>
      </c>
      <c r="C586">
        <v>377035</v>
      </c>
      <c r="D586" t="s">
        <v>18</v>
      </c>
      <c r="E586" t="s">
        <v>16</v>
      </c>
      <c r="F586" t="s">
        <v>12</v>
      </c>
      <c r="G586" t="s">
        <v>13</v>
      </c>
      <c r="H586" t="s">
        <v>12</v>
      </c>
      <c r="I586">
        <v>49</v>
      </c>
      <c r="J586">
        <f>ABS((I586-EDA!$A$15)/EDA!$B$15)</f>
        <v>0.49546762339867978</v>
      </c>
      <c r="K586" t="str">
        <f t="shared" si="9"/>
        <v>No</v>
      </c>
      <c r="L586">
        <f>ABS((C586-EDA!$F$15)/EDA!$G$15)</f>
        <v>0.36937984365421284</v>
      </c>
      <c r="M586" t="str">
        <f>IF(moras[[#This Row],[Z-Score Salario]]&gt;1.96, "Sí", "No")</f>
        <v>No</v>
      </c>
      <c r="N586" s="14">
        <f>IF(ISBLANK(moras[[#This Row],[SALARIO]]), EDA!$M$8, moras[[#This Row],[SALARIO]])</f>
        <v>377035</v>
      </c>
      <c r="O586" s="14">
        <f xml:space="preserve"> IF(ISBLANK(moras[[#This Row],[EDAD]]), EDA!$E$8, moras[[#This Row],[EDAD]])</f>
        <v>49</v>
      </c>
      <c r="P586" s="14" t="str">
        <f>IF(
    OR(ISBLANK(moras[[#This Row],[TIPO_ASEGURAMIENTO]]), moras[[#This Row],[TIPO_ASEGURAMIENTO]]=""),
    EDA!$A$32,
    moras[[#This Row],[TIPO_ASEGURAMIENTO]]
)</f>
        <v>TRABAJADOR INDEPENDIENTE</v>
      </c>
    </row>
    <row r="587" spans="1:16" x14ac:dyDescent="0.3">
      <c r="A587">
        <v>586</v>
      </c>
      <c r="B587" t="s">
        <v>15</v>
      </c>
      <c r="C587">
        <v>308874</v>
      </c>
      <c r="D587" t="s">
        <v>10</v>
      </c>
      <c r="E587" t="s">
        <v>11</v>
      </c>
      <c r="F587" t="s">
        <v>12</v>
      </c>
      <c r="G587" t="s">
        <v>13</v>
      </c>
      <c r="H587" t="s">
        <v>12</v>
      </c>
      <c r="I587">
        <v>57</v>
      </c>
      <c r="J587">
        <f>ABS((I587-EDA!$A$15)/EDA!$B$15)</f>
        <v>1.0600702640157798</v>
      </c>
      <c r="K587" t="str">
        <f t="shared" si="9"/>
        <v>No</v>
      </c>
      <c r="L587">
        <f>ABS((C587-EDA!$F$15)/EDA!$G$15)</f>
        <v>0.37051409080989411</v>
      </c>
      <c r="M587" t="str">
        <f>IF(moras[[#This Row],[Z-Score Salario]]&gt;1.96, "Sí", "No")</f>
        <v>No</v>
      </c>
      <c r="N587" s="14">
        <f>IF(ISBLANK(moras[[#This Row],[SALARIO]]), EDA!$M$8, moras[[#This Row],[SALARIO]])</f>
        <v>308874</v>
      </c>
      <c r="O587" s="14">
        <f xml:space="preserve"> IF(ISBLANK(moras[[#This Row],[EDAD]]), EDA!$E$8, moras[[#This Row],[EDAD]])</f>
        <v>57</v>
      </c>
      <c r="P587" s="14" t="str">
        <f>IF(
    OR(ISBLANK(moras[[#This Row],[TIPO_ASEGURAMIENTO]]), moras[[#This Row],[TIPO_ASEGURAMIENTO]]=""),
    EDA!$A$32,
    moras[[#This Row],[TIPO_ASEGURAMIENTO]]
)</f>
        <v>ASALARIADO</v>
      </c>
    </row>
    <row r="588" spans="1:16" x14ac:dyDescent="0.3">
      <c r="A588">
        <v>587</v>
      </c>
      <c r="B588" t="s">
        <v>15</v>
      </c>
      <c r="C588">
        <v>15910515</v>
      </c>
      <c r="D588" t="s">
        <v>10</v>
      </c>
      <c r="E588" t="s">
        <v>11</v>
      </c>
      <c r="F588" t="s">
        <v>12</v>
      </c>
      <c r="G588" t="s">
        <v>13</v>
      </c>
      <c r="H588" t="s">
        <v>13</v>
      </c>
      <c r="I588">
        <v>62</v>
      </c>
      <c r="J588">
        <f>ABS((I588-EDA!$A$15)/EDA!$B$15)</f>
        <v>1.4129469144014672</v>
      </c>
      <c r="K588" t="str">
        <f t="shared" si="9"/>
        <v>No</v>
      </c>
      <c r="L588">
        <f>ABS((C588-EDA!$F$15)/EDA!$G$15)</f>
        <v>0.11089177118121624</v>
      </c>
      <c r="M588" t="str">
        <f>IF(moras[[#This Row],[Z-Score Salario]]&gt;1.96, "Sí", "No")</f>
        <v>No</v>
      </c>
      <c r="N588" s="14">
        <f>IF(ISBLANK(moras[[#This Row],[SALARIO]]), EDA!$M$8, moras[[#This Row],[SALARIO]])</f>
        <v>15910515</v>
      </c>
      <c r="O588" s="14">
        <f xml:space="preserve"> IF(ISBLANK(moras[[#This Row],[EDAD]]), EDA!$E$8, moras[[#This Row],[EDAD]])</f>
        <v>62</v>
      </c>
      <c r="P588" s="14" t="str">
        <f>IF(
    OR(ISBLANK(moras[[#This Row],[TIPO_ASEGURAMIENTO]]), moras[[#This Row],[TIPO_ASEGURAMIENTO]]=""),
    EDA!$A$32,
    moras[[#This Row],[TIPO_ASEGURAMIENTO]]
)</f>
        <v>ASALARIADO</v>
      </c>
    </row>
    <row r="589" spans="1:16" x14ac:dyDescent="0.3">
      <c r="A589">
        <v>588</v>
      </c>
      <c r="B589" t="s">
        <v>9</v>
      </c>
      <c r="C589">
        <v>415503</v>
      </c>
      <c r="D589" t="s">
        <v>10</v>
      </c>
      <c r="E589" t="s">
        <v>16</v>
      </c>
      <c r="F589" t="s">
        <v>12</v>
      </c>
      <c r="G589" t="s">
        <v>13</v>
      </c>
      <c r="H589" t="s">
        <v>13</v>
      </c>
      <c r="I589">
        <v>52</v>
      </c>
      <c r="J589">
        <f>ABS((I589-EDA!$A$15)/EDA!$B$15)</f>
        <v>0.70719361363009237</v>
      </c>
      <c r="K589" t="str">
        <f t="shared" si="9"/>
        <v>No</v>
      </c>
      <c r="L589">
        <f>ABS((C589-EDA!$F$15)/EDA!$G$15)</f>
        <v>0.36873970897918246</v>
      </c>
      <c r="M589" t="str">
        <f>IF(moras[[#This Row],[Z-Score Salario]]&gt;1.96, "Sí", "No")</f>
        <v>No</v>
      </c>
      <c r="N589" s="14">
        <f>IF(ISBLANK(moras[[#This Row],[SALARIO]]), EDA!$M$8, moras[[#This Row],[SALARIO]])</f>
        <v>415503</v>
      </c>
      <c r="O589" s="14">
        <f xml:space="preserve"> IF(ISBLANK(moras[[#This Row],[EDAD]]), EDA!$E$8, moras[[#This Row],[EDAD]])</f>
        <v>52</v>
      </c>
      <c r="P589" s="14" t="str">
        <f>IF(
    OR(ISBLANK(moras[[#This Row],[TIPO_ASEGURAMIENTO]]), moras[[#This Row],[TIPO_ASEGURAMIENTO]]=""),
    EDA!$A$32,
    moras[[#This Row],[TIPO_ASEGURAMIENTO]]
)</f>
        <v>ASALARIADO</v>
      </c>
    </row>
    <row r="590" spans="1:16" x14ac:dyDescent="0.3">
      <c r="A590">
        <v>589</v>
      </c>
      <c r="B590" t="s">
        <v>15</v>
      </c>
      <c r="C590">
        <v>3975599</v>
      </c>
      <c r="D590" t="s">
        <v>10</v>
      </c>
      <c r="E590" t="s">
        <v>16</v>
      </c>
      <c r="F590" t="s">
        <v>12</v>
      </c>
      <c r="G590" t="s">
        <v>13</v>
      </c>
      <c r="H590" t="s">
        <v>13</v>
      </c>
      <c r="I590">
        <v>21</v>
      </c>
      <c r="J590">
        <f>ABS((I590-EDA!$A$15)/EDA!$B$15)</f>
        <v>1.4806416187611704</v>
      </c>
      <c r="K590" t="str">
        <f t="shared" si="9"/>
        <v>No</v>
      </c>
      <c r="L590">
        <f>ABS((C590-EDA!$F$15)/EDA!$G$15)</f>
        <v>0.30949719842399293</v>
      </c>
      <c r="M590" t="str">
        <f>IF(moras[[#This Row],[Z-Score Salario]]&gt;1.96, "Sí", "No")</f>
        <v>No</v>
      </c>
      <c r="N590" s="14">
        <f>IF(ISBLANK(moras[[#This Row],[SALARIO]]), EDA!$M$8, moras[[#This Row],[SALARIO]])</f>
        <v>3975599</v>
      </c>
      <c r="O590" s="14">
        <f xml:space="preserve"> IF(ISBLANK(moras[[#This Row],[EDAD]]), EDA!$E$8, moras[[#This Row],[EDAD]])</f>
        <v>21</v>
      </c>
      <c r="P590" s="14" t="str">
        <f>IF(
    OR(ISBLANK(moras[[#This Row],[TIPO_ASEGURAMIENTO]]), moras[[#This Row],[TIPO_ASEGURAMIENTO]]=""),
    EDA!$A$32,
    moras[[#This Row],[TIPO_ASEGURAMIENTO]]
)</f>
        <v>ASALARIADO</v>
      </c>
    </row>
    <row r="591" spans="1:16" x14ac:dyDescent="0.3">
      <c r="A591">
        <v>590</v>
      </c>
      <c r="B591" t="s">
        <v>15</v>
      </c>
      <c r="C591">
        <v>1422244</v>
      </c>
      <c r="D591" t="s">
        <v>14</v>
      </c>
      <c r="E591" t="s">
        <v>11</v>
      </c>
      <c r="F591" t="s">
        <v>12</v>
      </c>
      <c r="G591" t="s">
        <v>13</v>
      </c>
      <c r="H591" t="s">
        <v>13</v>
      </c>
      <c r="I591">
        <v>77</v>
      </c>
      <c r="J591">
        <f>ABS((I591-EDA!$A$15)/EDA!$B$15)</f>
        <v>2.47157686555853</v>
      </c>
      <c r="K591" t="str">
        <f t="shared" si="9"/>
        <v>Sí</v>
      </c>
      <c r="L591">
        <f>ABS((C591-EDA!$F$15)/EDA!$G$15)</f>
        <v>0.35198682806843112</v>
      </c>
      <c r="M591" t="str">
        <f>IF(moras[[#This Row],[Z-Score Salario]]&gt;1.96, "Sí", "No")</f>
        <v>No</v>
      </c>
      <c r="N591" s="14">
        <f>IF(ISBLANK(moras[[#This Row],[SALARIO]]), EDA!$M$8, moras[[#This Row],[SALARIO]])</f>
        <v>1422244</v>
      </c>
      <c r="O591" s="14">
        <f xml:space="preserve"> IF(ISBLANK(moras[[#This Row],[EDAD]]), EDA!$E$8, moras[[#This Row],[EDAD]])</f>
        <v>77</v>
      </c>
      <c r="P591" s="14" t="str">
        <f>IF(
    OR(ISBLANK(moras[[#This Row],[TIPO_ASEGURAMIENTO]]), moras[[#This Row],[TIPO_ASEGURAMIENTO]]=""),
    EDA!$A$32,
    moras[[#This Row],[TIPO_ASEGURAMIENTO]]
)</f>
        <v>PENSIONADOS EN SU PROPIO SISTEMA</v>
      </c>
    </row>
    <row r="592" spans="1:16" x14ac:dyDescent="0.3">
      <c r="A592">
        <v>591</v>
      </c>
      <c r="B592" t="s">
        <v>15</v>
      </c>
      <c r="C592">
        <v>297046</v>
      </c>
      <c r="D592" t="s">
        <v>17</v>
      </c>
      <c r="E592" t="s">
        <v>16</v>
      </c>
      <c r="F592" t="s">
        <v>12</v>
      </c>
      <c r="G592" t="s">
        <v>13</v>
      </c>
      <c r="H592" t="s">
        <v>13</v>
      </c>
      <c r="I592">
        <v>26</v>
      </c>
      <c r="J592">
        <f>ABS((I592-EDA!$A$15)/EDA!$B$15)</f>
        <v>1.1277649683754829</v>
      </c>
      <c r="K592" t="str">
        <f t="shared" si="9"/>
        <v>No</v>
      </c>
      <c r="L592">
        <f>ABS((C592-EDA!$F$15)/EDA!$G$15)</f>
        <v>0.37071091707942361</v>
      </c>
      <c r="M592" t="str">
        <f>IF(moras[[#This Row],[Z-Score Salario]]&gt;1.96, "Sí", "No")</f>
        <v>No</v>
      </c>
      <c r="N592" s="14">
        <f>IF(ISBLANK(moras[[#This Row],[SALARIO]]), EDA!$M$8, moras[[#This Row],[SALARIO]])</f>
        <v>297046</v>
      </c>
      <c r="O592" s="14">
        <f xml:space="preserve"> IF(ISBLANK(moras[[#This Row],[EDAD]]), EDA!$E$8, moras[[#This Row],[EDAD]])</f>
        <v>26</v>
      </c>
      <c r="P592" s="14" t="str">
        <f>IF(
    OR(ISBLANK(moras[[#This Row],[TIPO_ASEGURAMIENTO]]), moras[[#This Row],[TIPO_ASEGURAMIENTO]]=""),
    EDA!$A$32,
    moras[[#This Row],[TIPO_ASEGURAMIENTO]]
)</f>
        <v>ASEGURADO VOLUNTARIO</v>
      </c>
    </row>
    <row r="593" spans="1:16" x14ac:dyDescent="0.3">
      <c r="A593">
        <v>592</v>
      </c>
      <c r="B593" t="s">
        <v>15</v>
      </c>
      <c r="C593">
        <v>1039384</v>
      </c>
      <c r="D593" t="s">
        <v>10</v>
      </c>
      <c r="E593" t="s">
        <v>11</v>
      </c>
      <c r="F593" t="s">
        <v>12</v>
      </c>
      <c r="G593" t="s">
        <v>13</v>
      </c>
      <c r="H593" t="s">
        <v>12</v>
      </c>
      <c r="I593">
        <v>43</v>
      </c>
      <c r="J593">
        <f>ABS((I593-EDA!$A$15)/EDA!$B$15)</f>
        <v>7.2015642935854773E-2</v>
      </c>
      <c r="K593" t="str">
        <f t="shared" si="9"/>
        <v>No</v>
      </c>
      <c r="L593">
        <f>ABS((C593-EDA!$F$15)/EDA!$G$15)</f>
        <v>0.35835788873397495</v>
      </c>
      <c r="M593" t="str">
        <f>IF(moras[[#This Row],[Z-Score Salario]]&gt;1.96, "Sí", "No")</f>
        <v>No</v>
      </c>
      <c r="N593" s="14">
        <f>IF(ISBLANK(moras[[#This Row],[SALARIO]]), EDA!$M$8, moras[[#This Row],[SALARIO]])</f>
        <v>1039384</v>
      </c>
      <c r="O593" s="14">
        <f xml:space="preserve"> IF(ISBLANK(moras[[#This Row],[EDAD]]), EDA!$E$8, moras[[#This Row],[EDAD]])</f>
        <v>43</v>
      </c>
      <c r="P593" s="14" t="str">
        <f>IF(
    OR(ISBLANK(moras[[#This Row],[TIPO_ASEGURAMIENTO]]), moras[[#This Row],[TIPO_ASEGURAMIENTO]]=""),
    EDA!$A$32,
    moras[[#This Row],[TIPO_ASEGURAMIENTO]]
)</f>
        <v>ASALARIADO</v>
      </c>
    </row>
    <row r="594" spans="1:16" x14ac:dyDescent="0.3">
      <c r="A594">
        <v>593</v>
      </c>
      <c r="B594" t="s">
        <v>9</v>
      </c>
      <c r="C594">
        <v>310363</v>
      </c>
      <c r="D594" t="s">
        <v>17</v>
      </c>
      <c r="E594" t="s">
        <v>16</v>
      </c>
      <c r="F594" t="s">
        <v>12</v>
      </c>
      <c r="G594" t="s">
        <v>13</v>
      </c>
      <c r="H594" t="s">
        <v>13</v>
      </c>
      <c r="I594">
        <v>60</v>
      </c>
      <c r="J594">
        <f>ABS((I594-EDA!$A$15)/EDA!$B$15)</f>
        <v>1.2717962542471923</v>
      </c>
      <c r="K594" t="str">
        <f t="shared" si="9"/>
        <v>No</v>
      </c>
      <c r="L594">
        <f>ABS((C594-EDA!$F$15)/EDA!$G$15)</f>
        <v>0.37048931279879083</v>
      </c>
      <c r="M594" t="str">
        <f>IF(moras[[#This Row],[Z-Score Salario]]&gt;1.96, "Sí", "No")</f>
        <v>No</v>
      </c>
      <c r="N594" s="14">
        <f>IF(ISBLANK(moras[[#This Row],[SALARIO]]), EDA!$M$8, moras[[#This Row],[SALARIO]])</f>
        <v>310363</v>
      </c>
      <c r="O594" s="14">
        <f xml:space="preserve"> IF(ISBLANK(moras[[#This Row],[EDAD]]), EDA!$E$8, moras[[#This Row],[EDAD]])</f>
        <v>60</v>
      </c>
      <c r="P594" s="14" t="str">
        <f>IF(
    OR(ISBLANK(moras[[#This Row],[TIPO_ASEGURAMIENTO]]), moras[[#This Row],[TIPO_ASEGURAMIENTO]]=""),
    EDA!$A$32,
    moras[[#This Row],[TIPO_ASEGURAMIENTO]]
)</f>
        <v>ASEGURADO VOLUNTARIO</v>
      </c>
    </row>
    <row r="595" spans="1:16" x14ac:dyDescent="0.3">
      <c r="A595">
        <v>594</v>
      </c>
      <c r="B595" t="s">
        <v>9</v>
      </c>
      <c r="C595">
        <v>1150000</v>
      </c>
      <c r="D595" t="s">
        <v>10</v>
      </c>
      <c r="E595" t="s">
        <v>16</v>
      </c>
      <c r="F595" t="s">
        <v>12</v>
      </c>
      <c r="G595" t="s">
        <v>13</v>
      </c>
      <c r="H595" t="s">
        <v>13</v>
      </c>
      <c r="I595">
        <v>37</v>
      </c>
      <c r="J595">
        <f>ABS((I595-EDA!$A$15)/EDA!$B$15)</f>
        <v>0.35143633752697023</v>
      </c>
      <c r="K595" t="str">
        <f t="shared" si="9"/>
        <v>No</v>
      </c>
      <c r="L595">
        <f>ABS((C595-EDA!$F$15)/EDA!$G$15)</f>
        <v>0.35651716040879133</v>
      </c>
      <c r="M595" t="str">
        <f>IF(moras[[#This Row],[Z-Score Salario]]&gt;1.96, "Sí", "No")</f>
        <v>No</v>
      </c>
      <c r="N595" s="14">
        <f>IF(ISBLANK(moras[[#This Row],[SALARIO]]), EDA!$M$8, moras[[#This Row],[SALARIO]])</f>
        <v>1150000</v>
      </c>
      <c r="O595" s="14">
        <f xml:space="preserve"> IF(ISBLANK(moras[[#This Row],[EDAD]]), EDA!$E$8, moras[[#This Row],[EDAD]])</f>
        <v>37</v>
      </c>
      <c r="P595" s="14" t="str">
        <f>IF(
    OR(ISBLANK(moras[[#This Row],[TIPO_ASEGURAMIENTO]]), moras[[#This Row],[TIPO_ASEGURAMIENTO]]=""),
    EDA!$A$32,
    moras[[#This Row],[TIPO_ASEGURAMIENTO]]
)</f>
        <v>ASALARIADO</v>
      </c>
    </row>
    <row r="596" spans="1:16" x14ac:dyDescent="0.3">
      <c r="A596">
        <v>595</v>
      </c>
      <c r="B596" t="s">
        <v>15</v>
      </c>
      <c r="C596">
        <v>360191</v>
      </c>
      <c r="D596" t="s">
        <v>10</v>
      </c>
      <c r="E596" t="s">
        <v>11</v>
      </c>
      <c r="F596" t="s">
        <v>12</v>
      </c>
      <c r="G596" t="s">
        <v>13</v>
      </c>
      <c r="H596" t="s">
        <v>12</v>
      </c>
      <c r="I596">
        <v>42</v>
      </c>
      <c r="J596">
        <f>ABS((I596-EDA!$A$15)/EDA!$B$15)</f>
        <v>1.4403128587172659E-3</v>
      </c>
      <c r="K596" t="str">
        <f t="shared" si="9"/>
        <v>No</v>
      </c>
      <c r="L596">
        <f>ABS((C596-EDA!$F$15)/EDA!$G$15)</f>
        <v>0.36966013970459788</v>
      </c>
      <c r="M596" t="str">
        <f>IF(moras[[#This Row],[Z-Score Salario]]&gt;1.96, "Sí", "No")</f>
        <v>No</v>
      </c>
      <c r="N596" s="14">
        <f>IF(ISBLANK(moras[[#This Row],[SALARIO]]), EDA!$M$8, moras[[#This Row],[SALARIO]])</f>
        <v>360191</v>
      </c>
      <c r="O596" s="14">
        <f xml:space="preserve"> IF(ISBLANK(moras[[#This Row],[EDAD]]), EDA!$E$8, moras[[#This Row],[EDAD]])</f>
        <v>42</v>
      </c>
      <c r="P596" s="14" t="str">
        <f>IF(
    OR(ISBLANK(moras[[#This Row],[TIPO_ASEGURAMIENTO]]), moras[[#This Row],[TIPO_ASEGURAMIENTO]]=""),
    EDA!$A$32,
    moras[[#This Row],[TIPO_ASEGURAMIENTO]]
)</f>
        <v>ASALARIADO</v>
      </c>
    </row>
    <row r="597" spans="1:16" x14ac:dyDescent="0.3">
      <c r="A597">
        <v>596</v>
      </c>
      <c r="B597" t="s">
        <v>9</v>
      </c>
      <c r="C597">
        <v>218343778</v>
      </c>
      <c r="D597" t="s">
        <v>10</v>
      </c>
      <c r="E597" t="s">
        <v>11</v>
      </c>
      <c r="F597" t="s">
        <v>12</v>
      </c>
      <c r="G597" t="s">
        <v>13</v>
      </c>
      <c r="H597" t="s">
        <v>13</v>
      </c>
      <c r="I597">
        <v>43</v>
      </c>
      <c r="J597">
        <f>ABS((I597-EDA!$A$15)/EDA!$B$15)</f>
        <v>7.2015642935854773E-2</v>
      </c>
      <c r="K597" t="str">
        <f t="shared" si="9"/>
        <v>No</v>
      </c>
      <c r="L597">
        <f>ABS((C597-EDA!$F$15)/EDA!$G$15)</f>
        <v>3.2577406252482497</v>
      </c>
      <c r="M597" t="str">
        <f>IF(moras[[#This Row],[Z-Score Salario]]&gt;1.96, "Sí", "No")</f>
        <v>Sí</v>
      </c>
      <c r="N597" s="14">
        <f>IF(ISBLANK(moras[[#This Row],[SALARIO]]), EDA!$M$8, moras[[#This Row],[SALARIO]])</f>
        <v>218343778</v>
      </c>
      <c r="O597" s="14">
        <f xml:space="preserve"> IF(ISBLANK(moras[[#This Row],[EDAD]]), EDA!$E$8, moras[[#This Row],[EDAD]])</f>
        <v>43</v>
      </c>
      <c r="P597" s="14" t="str">
        <f>IF(
    OR(ISBLANK(moras[[#This Row],[TIPO_ASEGURAMIENTO]]), moras[[#This Row],[TIPO_ASEGURAMIENTO]]=""),
    EDA!$A$32,
    moras[[#This Row],[TIPO_ASEGURAMIENTO]]
)</f>
        <v>ASALARIADO</v>
      </c>
    </row>
    <row r="598" spans="1:16" x14ac:dyDescent="0.3">
      <c r="A598">
        <v>597</v>
      </c>
      <c r="B598" t="s">
        <v>9</v>
      </c>
      <c r="C598">
        <v>278030</v>
      </c>
      <c r="D598" t="s">
        <v>19</v>
      </c>
      <c r="E598" t="s">
        <v>16</v>
      </c>
      <c r="F598" t="s">
        <v>12</v>
      </c>
      <c r="G598" t="s">
        <v>13</v>
      </c>
      <c r="H598" t="s">
        <v>13</v>
      </c>
      <c r="I598">
        <v>53</v>
      </c>
      <c r="J598">
        <f>ABS((I598-EDA!$A$15)/EDA!$B$15)</f>
        <v>0.77776894370722982</v>
      </c>
      <c r="K598" t="str">
        <f t="shared" si="9"/>
        <v>No</v>
      </c>
      <c r="L598">
        <f>ABS((C598-EDA!$F$15)/EDA!$G$15)</f>
        <v>0.37102735674304993</v>
      </c>
      <c r="M598" t="str">
        <f>IF(moras[[#This Row],[Z-Score Salario]]&gt;1.96, "Sí", "No")</f>
        <v>No</v>
      </c>
      <c r="N598" s="14">
        <f>IF(ISBLANK(moras[[#This Row],[SALARIO]]), EDA!$M$8, moras[[#This Row],[SALARIO]])</f>
        <v>278030</v>
      </c>
      <c r="O598" s="14">
        <f xml:space="preserve"> IF(ISBLANK(moras[[#This Row],[EDAD]]), EDA!$E$8, moras[[#This Row],[EDAD]])</f>
        <v>53</v>
      </c>
      <c r="P598" s="14" t="str">
        <f>IF(
    OR(ISBLANK(moras[[#This Row],[TIPO_ASEGURAMIENTO]]), moras[[#This Row],[TIPO_ASEGURAMIENTO]]=""),
    EDA!$A$32,
    moras[[#This Row],[TIPO_ASEGURAMIENTO]]
)</f>
        <v>CONVENIOS ESPECIALES DE TRABAJADORES INDEPENDIENTES</v>
      </c>
    </row>
    <row r="599" spans="1:16" x14ac:dyDescent="0.3">
      <c r="A599">
        <v>598</v>
      </c>
      <c r="B599" t="s">
        <v>15</v>
      </c>
      <c r="C599">
        <v>51807351</v>
      </c>
      <c r="D599" t="s">
        <v>10</v>
      </c>
      <c r="E599" t="s">
        <v>16</v>
      </c>
      <c r="F599" t="s">
        <v>12</v>
      </c>
      <c r="G599" t="s">
        <v>13</v>
      </c>
      <c r="H599" t="s">
        <v>13</v>
      </c>
      <c r="I599">
        <v>46</v>
      </c>
      <c r="J599">
        <f>ABS((I599-EDA!$A$15)/EDA!$B$15)</f>
        <v>0.2837416331672673</v>
      </c>
      <c r="K599" t="str">
        <f t="shared" si="9"/>
        <v>No</v>
      </c>
      <c r="L599">
        <f>ABS((C599-EDA!$F$15)/EDA!$G$15)</f>
        <v>0.48645691987315626</v>
      </c>
      <c r="M599" t="str">
        <f>IF(moras[[#This Row],[Z-Score Salario]]&gt;1.96, "Sí", "No")</f>
        <v>No</v>
      </c>
      <c r="N599" s="14">
        <f>IF(ISBLANK(moras[[#This Row],[SALARIO]]), EDA!$M$8, moras[[#This Row],[SALARIO]])</f>
        <v>51807351</v>
      </c>
      <c r="O599" s="14">
        <f xml:space="preserve"> IF(ISBLANK(moras[[#This Row],[EDAD]]), EDA!$E$8, moras[[#This Row],[EDAD]])</f>
        <v>46</v>
      </c>
      <c r="P599" s="14" t="str">
        <f>IF(
    OR(ISBLANK(moras[[#This Row],[TIPO_ASEGURAMIENTO]]), moras[[#This Row],[TIPO_ASEGURAMIENTO]]=""),
    EDA!$A$32,
    moras[[#This Row],[TIPO_ASEGURAMIENTO]]
)</f>
        <v>ASALARIADO</v>
      </c>
    </row>
    <row r="600" spans="1:16" x14ac:dyDescent="0.3">
      <c r="A600">
        <v>599</v>
      </c>
      <c r="B600" t="s">
        <v>9</v>
      </c>
      <c r="C600">
        <v>3904862</v>
      </c>
      <c r="D600" t="s">
        <v>10</v>
      </c>
      <c r="E600" t="s">
        <v>11</v>
      </c>
      <c r="F600" t="s">
        <v>12</v>
      </c>
      <c r="G600" t="s">
        <v>13</v>
      </c>
      <c r="H600" t="s">
        <v>13</v>
      </c>
      <c r="I600">
        <v>51</v>
      </c>
      <c r="J600">
        <f>ABS((I600-EDA!$A$15)/EDA!$B$15)</f>
        <v>0.6366182835529548</v>
      </c>
      <c r="K600" t="str">
        <f t="shared" si="9"/>
        <v>No</v>
      </c>
      <c r="L600">
        <f>ABS((C600-EDA!$F$15)/EDA!$G$15)</f>
        <v>0.31067431203810403</v>
      </c>
      <c r="M600" t="str">
        <f>IF(moras[[#This Row],[Z-Score Salario]]&gt;1.96, "Sí", "No")</f>
        <v>No</v>
      </c>
      <c r="N600" s="14">
        <f>IF(ISBLANK(moras[[#This Row],[SALARIO]]), EDA!$M$8, moras[[#This Row],[SALARIO]])</f>
        <v>3904862</v>
      </c>
      <c r="O600" s="14">
        <f xml:space="preserve"> IF(ISBLANK(moras[[#This Row],[EDAD]]), EDA!$E$8, moras[[#This Row],[EDAD]])</f>
        <v>51</v>
      </c>
      <c r="P600" s="14" t="str">
        <f>IF(
    OR(ISBLANK(moras[[#This Row],[TIPO_ASEGURAMIENTO]]), moras[[#This Row],[TIPO_ASEGURAMIENTO]]=""),
    EDA!$A$32,
    moras[[#This Row],[TIPO_ASEGURAMIENTO]]
)</f>
        <v>ASALARIADO</v>
      </c>
    </row>
    <row r="601" spans="1:16" x14ac:dyDescent="0.3">
      <c r="A601">
        <v>600</v>
      </c>
      <c r="B601" t="s">
        <v>9</v>
      </c>
      <c r="C601">
        <v>217039356</v>
      </c>
      <c r="D601" t="s">
        <v>10</v>
      </c>
      <c r="E601" t="s">
        <v>11</v>
      </c>
      <c r="F601" t="s">
        <v>12</v>
      </c>
      <c r="G601" t="s">
        <v>13</v>
      </c>
      <c r="H601" t="s">
        <v>13</v>
      </c>
      <c r="I601">
        <v>41</v>
      </c>
      <c r="J601">
        <f>ABS((I601-EDA!$A$15)/EDA!$B$15)</f>
        <v>6.9135017218420233E-2</v>
      </c>
      <c r="K601" t="str">
        <f t="shared" si="9"/>
        <v>No</v>
      </c>
      <c r="L601">
        <f>ABS((C601-EDA!$F$15)/EDA!$G$15)</f>
        <v>3.2360341223608495</v>
      </c>
      <c r="M601" t="str">
        <f>IF(moras[[#This Row],[Z-Score Salario]]&gt;1.96, "Sí", "No")</f>
        <v>Sí</v>
      </c>
      <c r="N601" s="14">
        <f>IF(ISBLANK(moras[[#This Row],[SALARIO]]), EDA!$M$8, moras[[#This Row],[SALARIO]])</f>
        <v>217039356</v>
      </c>
      <c r="O601" s="14">
        <f xml:space="preserve"> IF(ISBLANK(moras[[#This Row],[EDAD]]), EDA!$E$8, moras[[#This Row],[EDAD]])</f>
        <v>41</v>
      </c>
      <c r="P601" s="14" t="str">
        <f>IF(
    OR(ISBLANK(moras[[#This Row],[TIPO_ASEGURAMIENTO]]), moras[[#This Row],[TIPO_ASEGURAMIENTO]]=""),
    EDA!$A$32,
    moras[[#This Row],[TIPO_ASEGURAMIENTO]]
)</f>
        <v>ASALARIADO</v>
      </c>
    </row>
    <row r="602" spans="1:16" x14ac:dyDescent="0.3">
      <c r="A602">
        <v>601</v>
      </c>
      <c r="B602" t="s">
        <v>9</v>
      </c>
      <c r="C602">
        <v>299825</v>
      </c>
      <c r="D602" t="s">
        <v>18</v>
      </c>
      <c r="E602" t="s">
        <v>16</v>
      </c>
      <c r="F602" t="s">
        <v>12</v>
      </c>
      <c r="G602" t="s">
        <v>12</v>
      </c>
      <c r="H602" t="s">
        <v>12</v>
      </c>
      <c r="I602">
        <v>36</v>
      </c>
      <c r="J602">
        <f>ABS((I602-EDA!$A$15)/EDA!$B$15)</f>
        <v>0.42201166760410774</v>
      </c>
      <c r="K602" t="str">
        <f t="shared" si="9"/>
        <v>No</v>
      </c>
      <c r="L602">
        <f>ABS((C602-EDA!$F$15)/EDA!$G$15)</f>
        <v>0.37066467255769359</v>
      </c>
      <c r="M602" t="str">
        <f>IF(moras[[#This Row],[Z-Score Salario]]&gt;1.96, "Sí", "No")</f>
        <v>No</v>
      </c>
      <c r="N602" s="14">
        <f>IF(ISBLANK(moras[[#This Row],[SALARIO]]), EDA!$M$8, moras[[#This Row],[SALARIO]])</f>
        <v>299825</v>
      </c>
      <c r="O602" s="14">
        <f xml:space="preserve"> IF(ISBLANK(moras[[#This Row],[EDAD]]), EDA!$E$8, moras[[#This Row],[EDAD]])</f>
        <v>36</v>
      </c>
      <c r="P602" s="14" t="str">
        <f>IF(
    OR(ISBLANK(moras[[#This Row],[TIPO_ASEGURAMIENTO]]), moras[[#This Row],[TIPO_ASEGURAMIENTO]]=""),
    EDA!$A$32,
    moras[[#This Row],[TIPO_ASEGURAMIENTO]]
)</f>
        <v>TRABAJADOR INDEPENDIENTE</v>
      </c>
    </row>
    <row r="603" spans="1:16" x14ac:dyDescent="0.3">
      <c r="A603">
        <v>602</v>
      </c>
      <c r="B603" t="s">
        <v>15</v>
      </c>
      <c r="C603">
        <v>273601</v>
      </c>
      <c r="D603" t="s">
        <v>10</v>
      </c>
      <c r="E603" t="s">
        <v>16</v>
      </c>
      <c r="F603" t="s">
        <v>12</v>
      </c>
      <c r="G603" t="s">
        <v>12</v>
      </c>
      <c r="H603" t="s">
        <v>13</v>
      </c>
      <c r="I603">
        <v>39</v>
      </c>
      <c r="J603">
        <f>ABS((I603-EDA!$A$15)/EDA!$B$15)</f>
        <v>0.21028567737269524</v>
      </c>
      <c r="K603" t="str">
        <f t="shared" si="9"/>
        <v>No</v>
      </c>
      <c r="L603">
        <f>ABS((C603-EDA!$F$15)/EDA!$G$15)</f>
        <v>0.37110105842953506</v>
      </c>
      <c r="M603" t="str">
        <f>IF(moras[[#This Row],[Z-Score Salario]]&gt;1.96, "Sí", "No")</f>
        <v>No</v>
      </c>
      <c r="N603" s="14">
        <f>IF(ISBLANK(moras[[#This Row],[SALARIO]]), EDA!$M$8, moras[[#This Row],[SALARIO]])</f>
        <v>273601</v>
      </c>
      <c r="O603" s="14">
        <f xml:space="preserve"> IF(ISBLANK(moras[[#This Row],[EDAD]]), EDA!$E$8, moras[[#This Row],[EDAD]])</f>
        <v>39</v>
      </c>
      <c r="P603" s="14" t="str">
        <f>IF(
    OR(ISBLANK(moras[[#This Row],[TIPO_ASEGURAMIENTO]]), moras[[#This Row],[TIPO_ASEGURAMIENTO]]=""),
    EDA!$A$32,
    moras[[#This Row],[TIPO_ASEGURAMIENTO]]
)</f>
        <v>ASALARIADO</v>
      </c>
    </row>
    <row r="604" spans="1:16" x14ac:dyDescent="0.3">
      <c r="A604">
        <v>603</v>
      </c>
      <c r="B604" t="s">
        <v>9</v>
      </c>
      <c r="C604">
        <v>7515468</v>
      </c>
      <c r="D604" t="s">
        <v>10</v>
      </c>
      <c r="E604" t="s">
        <v>16</v>
      </c>
      <c r="F604" t="s">
        <v>12</v>
      </c>
      <c r="G604" t="s">
        <v>13</v>
      </c>
      <c r="H604" t="s">
        <v>13</v>
      </c>
      <c r="I604">
        <v>29</v>
      </c>
      <c r="J604">
        <f>ABS((I604-EDA!$A$15)/EDA!$B$15)</f>
        <v>0.91603897814407031</v>
      </c>
      <c r="K604" t="str">
        <f t="shared" si="9"/>
        <v>No</v>
      </c>
      <c r="L604">
        <f>ABS((C604-EDA!$F$15)/EDA!$G$15)</f>
        <v>0.25059127942728943</v>
      </c>
      <c r="M604" t="str">
        <f>IF(moras[[#This Row],[Z-Score Salario]]&gt;1.96, "Sí", "No")</f>
        <v>No</v>
      </c>
      <c r="N604" s="14">
        <f>IF(ISBLANK(moras[[#This Row],[SALARIO]]), EDA!$M$8, moras[[#This Row],[SALARIO]])</f>
        <v>7515468</v>
      </c>
      <c r="O604" s="14">
        <f xml:space="preserve"> IF(ISBLANK(moras[[#This Row],[EDAD]]), EDA!$E$8, moras[[#This Row],[EDAD]])</f>
        <v>29</v>
      </c>
      <c r="P604" s="14" t="str">
        <f>IF(
    OR(ISBLANK(moras[[#This Row],[TIPO_ASEGURAMIENTO]]), moras[[#This Row],[TIPO_ASEGURAMIENTO]]=""),
    EDA!$A$32,
    moras[[#This Row],[TIPO_ASEGURAMIENTO]]
)</f>
        <v>ASALARIADO</v>
      </c>
    </row>
    <row r="605" spans="1:16" x14ac:dyDescent="0.3">
      <c r="A605">
        <v>604</v>
      </c>
      <c r="B605" t="s">
        <v>9</v>
      </c>
      <c r="C605">
        <v>839652</v>
      </c>
      <c r="D605" t="s">
        <v>18</v>
      </c>
      <c r="E605" t="s">
        <v>16</v>
      </c>
      <c r="F605" t="s">
        <v>12</v>
      </c>
      <c r="G605" t="s">
        <v>13</v>
      </c>
      <c r="H605" t="s">
        <v>12</v>
      </c>
      <c r="I605">
        <v>77</v>
      </c>
      <c r="J605">
        <f>ABS((I605-EDA!$A$15)/EDA!$B$15)</f>
        <v>2.47157686555853</v>
      </c>
      <c r="K605" t="str">
        <f t="shared" si="9"/>
        <v>Sí</v>
      </c>
      <c r="L605">
        <f>ABS((C605-EDA!$F$15)/EDA!$G$15)</f>
        <v>0.36168157020722991</v>
      </c>
      <c r="M605" t="str">
        <f>IF(moras[[#This Row],[Z-Score Salario]]&gt;1.96, "Sí", "No")</f>
        <v>No</v>
      </c>
      <c r="N605" s="14">
        <f>IF(ISBLANK(moras[[#This Row],[SALARIO]]), EDA!$M$8, moras[[#This Row],[SALARIO]])</f>
        <v>839652</v>
      </c>
      <c r="O605" s="14">
        <f xml:space="preserve"> IF(ISBLANK(moras[[#This Row],[EDAD]]), EDA!$E$8, moras[[#This Row],[EDAD]])</f>
        <v>77</v>
      </c>
      <c r="P605" s="14" t="str">
        <f>IF(
    OR(ISBLANK(moras[[#This Row],[TIPO_ASEGURAMIENTO]]), moras[[#This Row],[TIPO_ASEGURAMIENTO]]=""),
    EDA!$A$32,
    moras[[#This Row],[TIPO_ASEGURAMIENTO]]
)</f>
        <v>TRABAJADOR INDEPENDIENTE</v>
      </c>
    </row>
    <row r="606" spans="1:16" x14ac:dyDescent="0.3">
      <c r="A606">
        <v>605</v>
      </c>
      <c r="B606" t="s">
        <v>15</v>
      </c>
      <c r="C606">
        <v>174239477</v>
      </c>
      <c r="D606" t="s">
        <v>10</v>
      </c>
      <c r="E606" t="s">
        <v>16</v>
      </c>
      <c r="F606" t="s">
        <v>12</v>
      </c>
      <c r="G606" t="s">
        <v>13</v>
      </c>
      <c r="H606" t="s">
        <v>13</v>
      </c>
      <c r="I606">
        <v>39</v>
      </c>
      <c r="J606">
        <f>ABS((I606-EDA!$A$15)/EDA!$B$15)</f>
        <v>0.21028567737269524</v>
      </c>
      <c r="K606" t="str">
        <f t="shared" si="9"/>
        <v>No</v>
      </c>
      <c r="L606">
        <f>ABS((C606-EDA!$F$15)/EDA!$G$15)</f>
        <v>2.523813922844226</v>
      </c>
      <c r="M606" t="str">
        <f>IF(moras[[#This Row],[Z-Score Salario]]&gt;1.96, "Sí", "No")</f>
        <v>Sí</v>
      </c>
      <c r="N606" s="14">
        <f>IF(ISBLANK(moras[[#This Row],[SALARIO]]), EDA!$M$8, moras[[#This Row],[SALARIO]])</f>
        <v>174239477</v>
      </c>
      <c r="O606" s="14">
        <f xml:space="preserve"> IF(ISBLANK(moras[[#This Row],[EDAD]]), EDA!$E$8, moras[[#This Row],[EDAD]])</f>
        <v>39</v>
      </c>
      <c r="P606" s="14" t="str">
        <f>IF(
    OR(ISBLANK(moras[[#This Row],[TIPO_ASEGURAMIENTO]]), moras[[#This Row],[TIPO_ASEGURAMIENTO]]=""),
    EDA!$A$32,
    moras[[#This Row],[TIPO_ASEGURAMIENTO]]
)</f>
        <v>ASALARIADO</v>
      </c>
    </row>
    <row r="607" spans="1:16" x14ac:dyDescent="0.3">
      <c r="A607">
        <v>606</v>
      </c>
      <c r="B607" t="s">
        <v>9</v>
      </c>
      <c r="C607">
        <v>1008778</v>
      </c>
      <c r="D607" t="s">
        <v>14</v>
      </c>
      <c r="E607" t="s">
        <v>11</v>
      </c>
      <c r="F607" t="s">
        <v>12</v>
      </c>
      <c r="G607" t="s">
        <v>13</v>
      </c>
      <c r="H607" t="s">
        <v>13</v>
      </c>
      <c r="I607">
        <v>75</v>
      </c>
      <c r="J607">
        <f>ABS((I607-EDA!$A$15)/EDA!$B$15)</f>
        <v>2.330426205404255</v>
      </c>
      <c r="K607" t="str">
        <f t="shared" si="9"/>
        <v>Sí</v>
      </c>
      <c r="L607">
        <f>ABS((C607-EDA!$F$15)/EDA!$G$15)</f>
        <v>0.35886719417912366</v>
      </c>
      <c r="M607" t="str">
        <f>IF(moras[[#This Row],[Z-Score Salario]]&gt;1.96, "Sí", "No")</f>
        <v>No</v>
      </c>
      <c r="N607" s="14">
        <f>IF(ISBLANK(moras[[#This Row],[SALARIO]]), EDA!$M$8, moras[[#This Row],[SALARIO]])</f>
        <v>1008778</v>
      </c>
      <c r="O607" s="14">
        <f xml:space="preserve"> IF(ISBLANK(moras[[#This Row],[EDAD]]), EDA!$E$8, moras[[#This Row],[EDAD]])</f>
        <v>75</v>
      </c>
      <c r="P607" s="14" t="str">
        <f>IF(
    OR(ISBLANK(moras[[#This Row],[TIPO_ASEGURAMIENTO]]), moras[[#This Row],[TIPO_ASEGURAMIENTO]]=""),
    EDA!$A$32,
    moras[[#This Row],[TIPO_ASEGURAMIENTO]]
)</f>
        <v>PENSIONADOS EN SU PROPIO SISTEMA</v>
      </c>
    </row>
    <row r="608" spans="1:16" x14ac:dyDescent="0.3">
      <c r="A608">
        <v>607</v>
      </c>
      <c r="B608" t="s">
        <v>9</v>
      </c>
      <c r="C608">
        <v>58755163</v>
      </c>
      <c r="D608" t="s">
        <v>14</v>
      </c>
      <c r="E608" t="s">
        <v>11</v>
      </c>
      <c r="F608" t="s">
        <v>12</v>
      </c>
      <c r="G608" t="s">
        <v>13</v>
      </c>
      <c r="H608" t="s">
        <v>13</v>
      </c>
      <c r="I608">
        <v>68</v>
      </c>
      <c r="J608">
        <f>ABS((I608-EDA!$A$15)/EDA!$B$15)</f>
        <v>1.8363988948642924</v>
      </c>
      <c r="K608" t="str">
        <f t="shared" si="9"/>
        <v>No</v>
      </c>
      <c r="L608">
        <f>ABS((C608-EDA!$F$15)/EDA!$G$15)</f>
        <v>0.60207341609839071</v>
      </c>
      <c r="M608" t="str">
        <f>IF(moras[[#This Row],[Z-Score Salario]]&gt;1.96, "Sí", "No")</f>
        <v>No</v>
      </c>
      <c r="N608" s="14">
        <f>IF(ISBLANK(moras[[#This Row],[SALARIO]]), EDA!$M$8, moras[[#This Row],[SALARIO]])</f>
        <v>58755163</v>
      </c>
      <c r="O608" s="14">
        <f xml:space="preserve"> IF(ISBLANK(moras[[#This Row],[EDAD]]), EDA!$E$8, moras[[#This Row],[EDAD]])</f>
        <v>68</v>
      </c>
      <c r="P608" s="14" t="str">
        <f>IF(
    OR(ISBLANK(moras[[#This Row],[TIPO_ASEGURAMIENTO]]), moras[[#This Row],[TIPO_ASEGURAMIENTO]]=""),
    EDA!$A$32,
    moras[[#This Row],[TIPO_ASEGURAMIENTO]]
)</f>
        <v>PENSIONADOS EN SU PROPIO SISTEMA</v>
      </c>
    </row>
    <row r="609" spans="1:16" x14ac:dyDescent="0.3">
      <c r="A609">
        <v>608</v>
      </c>
      <c r="B609" t="s">
        <v>15</v>
      </c>
      <c r="C609">
        <v>112200</v>
      </c>
      <c r="D609" t="s">
        <v>10</v>
      </c>
      <c r="E609" t="s">
        <v>16</v>
      </c>
      <c r="F609" t="s">
        <v>12</v>
      </c>
      <c r="G609" t="s">
        <v>13</v>
      </c>
      <c r="H609" t="s">
        <v>13</v>
      </c>
      <c r="I609">
        <v>53</v>
      </c>
      <c r="J609">
        <f>ABS((I609-EDA!$A$15)/EDA!$B$15)</f>
        <v>0.77776894370722982</v>
      </c>
      <c r="K609" t="str">
        <f t="shared" si="9"/>
        <v>No</v>
      </c>
      <c r="L609">
        <f>ABS((C609-EDA!$F$15)/EDA!$G$15)</f>
        <v>0.3737868850044696</v>
      </c>
      <c r="M609" t="str">
        <f>IF(moras[[#This Row],[Z-Score Salario]]&gt;1.96, "Sí", "No")</f>
        <v>No</v>
      </c>
      <c r="N609" s="14">
        <f>IF(ISBLANK(moras[[#This Row],[SALARIO]]), EDA!$M$8, moras[[#This Row],[SALARIO]])</f>
        <v>112200</v>
      </c>
      <c r="O609" s="14">
        <f xml:space="preserve"> IF(ISBLANK(moras[[#This Row],[EDAD]]), EDA!$E$8, moras[[#This Row],[EDAD]])</f>
        <v>53</v>
      </c>
      <c r="P609" s="14" t="str">
        <f>IF(
    OR(ISBLANK(moras[[#This Row],[TIPO_ASEGURAMIENTO]]), moras[[#This Row],[TIPO_ASEGURAMIENTO]]=""),
    EDA!$A$32,
    moras[[#This Row],[TIPO_ASEGURAMIENTO]]
)</f>
        <v>ASALARIADO</v>
      </c>
    </row>
    <row r="610" spans="1:16" x14ac:dyDescent="0.3">
      <c r="A610">
        <v>609</v>
      </c>
      <c r="B610" t="s">
        <v>15</v>
      </c>
      <c r="C610">
        <v>927718</v>
      </c>
      <c r="D610" t="s">
        <v>10</v>
      </c>
      <c r="E610" t="s">
        <v>11</v>
      </c>
      <c r="F610" t="s">
        <v>12</v>
      </c>
      <c r="G610" t="s">
        <v>13</v>
      </c>
      <c r="H610" t="s">
        <v>12</v>
      </c>
      <c r="I610">
        <v>29</v>
      </c>
      <c r="J610">
        <f>ABS((I610-EDA!$A$15)/EDA!$B$15)</f>
        <v>0.91603897814407031</v>
      </c>
      <c r="K610" t="str">
        <f t="shared" si="9"/>
        <v>No</v>
      </c>
      <c r="L610">
        <f>ABS((C610-EDA!$F$15)/EDA!$G$15)</f>
        <v>0.36021608980036635</v>
      </c>
      <c r="M610" t="str">
        <f>IF(moras[[#This Row],[Z-Score Salario]]&gt;1.96, "Sí", "No")</f>
        <v>No</v>
      </c>
      <c r="N610" s="14">
        <f>IF(ISBLANK(moras[[#This Row],[SALARIO]]), EDA!$M$8, moras[[#This Row],[SALARIO]])</f>
        <v>927718</v>
      </c>
      <c r="O610" s="14">
        <f xml:space="preserve"> IF(ISBLANK(moras[[#This Row],[EDAD]]), EDA!$E$8, moras[[#This Row],[EDAD]])</f>
        <v>29</v>
      </c>
      <c r="P610" s="14" t="str">
        <f>IF(
    OR(ISBLANK(moras[[#This Row],[TIPO_ASEGURAMIENTO]]), moras[[#This Row],[TIPO_ASEGURAMIENTO]]=""),
    EDA!$A$32,
    moras[[#This Row],[TIPO_ASEGURAMIENTO]]
)</f>
        <v>ASALARIADO</v>
      </c>
    </row>
    <row r="611" spans="1:16" x14ac:dyDescent="0.3">
      <c r="A611">
        <v>610</v>
      </c>
      <c r="B611" t="s">
        <v>9</v>
      </c>
      <c r="C611">
        <v>40016655</v>
      </c>
      <c r="D611" t="s">
        <v>10</v>
      </c>
      <c r="E611" t="s">
        <v>16</v>
      </c>
      <c r="F611" t="s">
        <v>12</v>
      </c>
      <c r="G611" t="s">
        <v>12</v>
      </c>
      <c r="H611" t="s">
        <v>13</v>
      </c>
      <c r="I611">
        <v>31</v>
      </c>
      <c r="J611">
        <f>ABS((I611-EDA!$A$15)/EDA!$B$15)</f>
        <v>0.77488831798979529</v>
      </c>
      <c r="K611" t="str">
        <f t="shared" si="9"/>
        <v>No</v>
      </c>
      <c r="L611">
        <f>ABS((C611-EDA!$F$15)/EDA!$G$15)</f>
        <v>0.29025141523703663</v>
      </c>
      <c r="M611" t="str">
        <f>IF(moras[[#This Row],[Z-Score Salario]]&gt;1.96, "Sí", "No")</f>
        <v>No</v>
      </c>
      <c r="N611" s="14">
        <f>IF(ISBLANK(moras[[#This Row],[SALARIO]]), EDA!$M$8, moras[[#This Row],[SALARIO]])</f>
        <v>40016655</v>
      </c>
      <c r="O611" s="14">
        <f xml:space="preserve"> IF(ISBLANK(moras[[#This Row],[EDAD]]), EDA!$E$8, moras[[#This Row],[EDAD]])</f>
        <v>31</v>
      </c>
      <c r="P611" s="14" t="str">
        <f>IF(
    OR(ISBLANK(moras[[#This Row],[TIPO_ASEGURAMIENTO]]), moras[[#This Row],[TIPO_ASEGURAMIENTO]]=""),
    EDA!$A$32,
    moras[[#This Row],[TIPO_ASEGURAMIENTO]]
)</f>
        <v>ASALARIADO</v>
      </c>
    </row>
    <row r="612" spans="1:16" x14ac:dyDescent="0.3">
      <c r="A612">
        <v>611</v>
      </c>
      <c r="B612" t="s">
        <v>15</v>
      </c>
      <c r="C612">
        <v>1173695</v>
      </c>
      <c r="D612" t="s">
        <v>14</v>
      </c>
      <c r="E612" t="s">
        <v>11</v>
      </c>
      <c r="F612" t="s">
        <v>12</v>
      </c>
      <c r="G612" t="s">
        <v>13</v>
      </c>
      <c r="H612" t="s">
        <v>13</v>
      </c>
      <c r="I612">
        <v>71</v>
      </c>
      <c r="J612">
        <f>ABS((I612-EDA!$A$15)/EDA!$B$15)</f>
        <v>2.0481248850957048</v>
      </c>
      <c r="K612" t="str">
        <f t="shared" si="9"/>
        <v>Sí</v>
      </c>
      <c r="L612">
        <f>ABS((C612-EDA!$F$15)/EDA!$G$15)</f>
        <v>0.35612285888220185</v>
      </c>
      <c r="M612" t="str">
        <f>IF(moras[[#This Row],[Z-Score Salario]]&gt;1.96, "Sí", "No")</f>
        <v>No</v>
      </c>
      <c r="N612" s="14">
        <f>IF(ISBLANK(moras[[#This Row],[SALARIO]]), EDA!$M$8, moras[[#This Row],[SALARIO]])</f>
        <v>1173695</v>
      </c>
      <c r="O612" s="14">
        <f xml:space="preserve"> IF(ISBLANK(moras[[#This Row],[EDAD]]), EDA!$E$8, moras[[#This Row],[EDAD]])</f>
        <v>71</v>
      </c>
      <c r="P612" s="14" t="str">
        <f>IF(
    OR(ISBLANK(moras[[#This Row],[TIPO_ASEGURAMIENTO]]), moras[[#This Row],[TIPO_ASEGURAMIENTO]]=""),
    EDA!$A$32,
    moras[[#This Row],[TIPO_ASEGURAMIENTO]]
)</f>
        <v>PENSIONADOS EN SU PROPIO SISTEMA</v>
      </c>
    </row>
    <row r="613" spans="1:16" x14ac:dyDescent="0.3">
      <c r="A613">
        <v>612</v>
      </c>
      <c r="B613" t="s">
        <v>15</v>
      </c>
      <c r="C613">
        <v>317000</v>
      </c>
      <c r="D613" t="s">
        <v>10</v>
      </c>
      <c r="E613" t="s">
        <v>16</v>
      </c>
      <c r="F613" t="s">
        <v>12</v>
      </c>
      <c r="G613" t="s">
        <v>13</v>
      </c>
      <c r="H613" t="s">
        <v>12</v>
      </c>
      <c r="I613">
        <v>39</v>
      </c>
      <c r="J613">
        <f>ABS((I613-EDA!$A$15)/EDA!$B$15)</f>
        <v>0.21028567737269524</v>
      </c>
      <c r="K613" t="str">
        <f t="shared" si="9"/>
        <v>No</v>
      </c>
      <c r="L613">
        <f>ABS((C613-EDA!$F$15)/EDA!$G$15)</f>
        <v>0.37037886843365159</v>
      </c>
      <c r="M613" t="str">
        <f>IF(moras[[#This Row],[Z-Score Salario]]&gt;1.96, "Sí", "No")</f>
        <v>No</v>
      </c>
      <c r="N613" s="14">
        <f>IF(ISBLANK(moras[[#This Row],[SALARIO]]), EDA!$M$8, moras[[#This Row],[SALARIO]])</f>
        <v>317000</v>
      </c>
      <c r="O613" s="14">
        <f xml:space="preserve"> IF(ISBLANK(moras[[#This Row],[EDAD]]), EDA!$E$8, moras[[#This Row],[EDAD]])</f>
        <v>39</v>
      </c>
      <c r="P613" s="14" t="str">
        <f>IF(
    OR(ISBLANK(moras[[#This Row],[TIPO_ASEGURAMIENTO]]), moras[[#This Row],[TIPO_ASEGURAMIENTO]]=""),
    EDA!$A$32,
    moras[[#This Row],[TIPO_ASEGURAMIENTO]]
)</f>
        <v>ASALARIADO</v>
      </c>
    </row>
    <row r="614" spans="1:16" x14ac:dyDescent="0.3">
      <c r="A614">
        <v>613</v>
      </c>
      <c r="B614" t="s">
        <v>9</v>
      </c>
      <c r="C614">
        <v>36936793</v>
      </c>
      <c r="D614" t="s">
        <v>10</v>
      </c>
      <c r="E614" t="s">
        <v>11</v>
      </c>
      <c r="F614" t="s">
        <v>12</v>
      </c>
      <c r="G614" t="s">
        <v>13</v>
      </c>
      <c r="H614" t="s">
        <v>13</v>
      </c>
      <c r="I614">
        <v>35</v>
      </c>
      <c r="J614">
        <f>ABS((I614-EDA!$A$15)/EDA!$B$15)</f>
        <v>0.49258699768124525</v>
      </c>
      <c r="K614" t="str">
        <f t="shared" si="9"/>
        <v>No</v>
      </c>
      <c r="L614">
        <f>ABS((C614-EDA!$F$15)/EDA!$G$15)</f>
        <v>0.23900033744488519</v>
      </c>
      <c r="M614" t="str">
        <f>IF(moras[[#This Row],[Z-Score Salario]]&gt;1.96, "Sí", "No")</f>
        <v>No</v>
      </c>
      <c r="N614" s="14">
        <f>IF(ISBLANK(moras[[#This Row],[SALARIO]]), EDA!$M$8, moras[[#This Row],[SALARIO]])</f>
        <v>36936793</v>
      </c>
      <c r="O614" s="14">
        <f xml:space="preserve"> IF(ISBLANK(moras[[#This Row],[EDAD]]), EDA!$E$8, moras[[#This Row],[EDAD]])</f>
        <v>35</v>
      </c>
      <c r="P614" s="14" t="str">
        <f>IF(
    OR(ISBLANK(moras[[#This Row],[TIPO_ASEGURAMIENTO]]), moras[[#This Row],[TIPO_ASEGURAMIENTO]]=""),
    EDA!$A$32,
    moras[[#This Row],[TIPO_ASEGURAMIENTO]]
)</f>
        <v>ASALARIADO</v>
      </c>
    </row>
    <row r="615" spans="1:16" x14ac:dyDescent="0.3">
      <c r="A615">
        <v>614</v>
      </c>
      <c r="B615" t="s">
        <v>15</v>
      </c>
      <c r="C615">
        <v>453746</v>
      </c>
      <c r="D615" t="s">
        <v>14</v>
      </c>
      <c r="E615" t="s">
        <v>11</v>
      </c>
      <c r="F615" t="s">
        <v>12</v>
      </c>
      <c r="G615" t="s">
        <v>13</v>
      </c>
      <c r="H615" t="s">
        <v>13</v>
      </c>
      <c r="I615">
        <v>81</v>
      </c>
      <c r="J615">
        <f>ABS((I615-EDA!$A$15)/EDA!$B$15)</f>
        <v>2.7538781858670798</v>
      </c>
      <c r="K615" t="str">
        <f t="shared" si="9"/>
        <v>Sí</v>
      </c>
      <c r="L615">
        <f>ABS((C615-EDA!$F$15)/EDA!$G$15)</f>
        <v>0.36810331846298228</v>
      </c>
      <c r="M615" t="str">
        <f>IF(moras[[#This Row],[Z-Score Salario]]&gt;1.96, "Sí", "No")</f>
        <v>No</v>
      </c>
      <c r="N615" s="14">
        <f>IF(ISBLANK(moras[[#This Row],[SALARIO]]), EDA!$M$8, moras[[#This Row],[SALARIO]])</f>
        <v>453746</v>
      </c>
      <c r="O615" s="14">
        <f xml:space="preserve"> IF(ISBLANK(moras[[#This Row],[EDAD]]), EDA!$E$8, moras[[#This Row],[EDAD]])</f>
        <v>81</v>
      </c>
      <c r="P615" s="14" t="str">
        <f>IF(
    OR(ISBLANK(moras[[#This Row],[TIPO_ASEGURAMIENTO]]), moras[[#This Row],[TIPO_ASEGURAMIENTO]]=""),
    EDA!$A$32,
    moras[[#This Row],[TIPO_ASEGURAMIENTO]]
)</f>
        <v>PENSIONADOS EN SU PROPIO SISTEMA</v>
      </c>
    </row>
    <row r="616" spans="1:16" x14ac:dyDescent="0.3">
      <c r="A616">
        <v>615</v>
      </c>
      <c r="B616" t="s">
        <v>9</v>
      </c>
      <c r="C616">
        <v>319572</v>
      </c>
      <c r="D616" t="s">
        <v>10</v>
      </c>
      <c r="E616" t="s">
        <v>16</v>
      </c>
      <c r="F616" t="s">
        <v>12</v>
      </c>
      <c r="G616" t="s">
        <v>12</v>
      </c>
      <c r="H616" t="s">
        <v>13</v>
      </c>
      <c r="I616">
        <v>43</v>
      </c>
      <c r="J616">
        <f>ABS((I616-EDA!$A$15)/EDA!$B$15)</f>
        <v>7.2015642935854773E-2</v>
      </c>
      <c r="K616" t="str">
        <f t="shared" si="9"/>
        <v>No</v>
      </c>
      <c r="L616">
        <f>ABS((C616-EDA!$F$15)/EDA!$G$15)</f>
        <v>0.3703360685380454</v>
      </c>
      <c r="M616" t="str">
        <f>IF(moras[[#This Row],[Z-Score Salario]]&gt;1.96, "Sí", "No")</f>
        <v>No</v>
      </c>
      <c r="N616" s="14">
        <f>IF(ISBLANK(moras[[#This Row],[SALARIO]]), EDA!$M$8, moras[[#This Row],[SALARIO]])</f>
        <v>319572</v>
      </c>
      <c r="O616" s="14">
        <f xml:space="preserve"> IF(ISBLANK(moras[[#This Row],[EDAD]]), EDA!$E$8, moras[[#This Row],[EDAD]])</f>
        <v>43</v>
      </c>
      <c r="P616" s="14" t="str">
        <f>IF(
    OR(ISBLANK(moras[[#This Row],[TIPO_ASEGURAMIENTO]]), moras[[#This Row],[TIPO_ASEGURAMIENTO]]=""),
    EDA!$A$32,
    moras[[#This Row],[TIPO_ASEGURAMIENTO]]
)</f>
        <v>ASALARIADO</v>
      </c>
    </row>
    <row r="617" spans="1:16" x14ac:dyDescent="0.3">
      <c r="A617">
        <v>616</v>
      </c>
      <c r="B617" t="s">
        <v>9</v>
      </c>
      <c r="C617">
        <v>1486691</v>
      </c>
      <c r="D617" t="s">
        <v>10</v>
      </c>
      <c r="E617" t="s">
        <v>11</v>
      </c>
      <c r="F617" t="s">
        <v>12</v>
      </c>
      <c r="G617" t="s">
        <v>13</v>
      </c>
      <c r="H617" t="s">
        <v>12</v>
      </c>
      <c r="I617">
        <v>31</v>
      </c>
      <c r="J617">
        <f>ABS((I617-EDA!$A$15)/EDA!$B$15)</f>
        <v>0.77488831798979529</v>
      </c>
      <c r="K617" t="str">
        <f t="shared" si="9"/>
        <v>No</v>
      </c>
      <c r="L617">
        <f>ABS((C617-EDA!$F$15)/EDA!$G$15)</f>
        <v>0.35091438449450779</v>
      </c>
      <c r="M617" t="str">
        <f>IF(moras[[#This Row],[Z-Score Salario]]&gt;1.96, "Sí", "No")</f>
        <v>No</v>
      </c>
      <c r="N617" s="14">
        <f>IF(ISBLANK(moras[[#This Row],[SALARIO]]), EDA!$M$8, moras[[#This Row],[SALARIO]])</f>
        <v>1486691</v>
      </c>
      <c r="O617" s="14">
        <f xml:space="preserve"> IF(ISBLANK(moras[[#This Row],[EDAD]]), EDA!$E$8, moras[[#This Row],[EDAD]])</f>
        <v>31</v>
      </c>
      <c r="P617" s="14" t="str">
        <f>IF(
    OR(ISBLANK(moras[[#This Row],[TIPO_ASEGURAMIENTO]]), moras[[#This Row],[TIPO_ASEGURAMIENTO]]=""),
    EDA!$A$32,
    moras[[#This Row],[TIPO_ASEGURAMIENTO]]
)</f>
        <v>ASALARIADO</v>
      </c>
    </row>
    <row r="618" spans="1:16" x14ac:dyDescent="0.3">
      <c r="A618">
        <v>617</v>
      </c>
      <c r="B618" t="s">
        <v>9</v>
      </c>
      <c r="C618">
        <v>352881</v>
      </c>
      <c r="D618" t="s">
        <v>18</v>
      </c>
      <c r="E618" t="s">
        <v>16</v>
      </c>
      <c r="F618" t="s">
        <v>12</v>
      </c>
      <c r="G618" t="s">
        <v>13</v>
      </c>
      <c r="H618" t="s">
        <v>13</v>
      </c>
      <c r="I618">
        <v>53</v>
      </c>
      <c r="J618">
        <f>ABS((I618-EDA!$A$15)/EDA!$B$15)</f>
        <v>0.77776894370722982</v>
      </c>
      <c r="K618" t="str">
        <f t="shared" si="9"/>
        <v>No</v>
      </c>
      <c r="L618">
        <f>ABS((C618-EDA!$F$15)/EDA!$G$15)</f>
        <v>0.36978178326481603</v>
      </c>
      <c r="M618" t="str">
        <f>IF(moras[[#This Row],[Z-Score Salario]]&gt;1.96, "Sí", "No")</f>
        <v>No</v>
      </c>
      <c r="N618" s="14">
        <f>IF(ISBLANK(moras[[#This Row],[SALARIO]]), EDA!$M$8, moras[[#This Row],[SALARIO]])</f>
        <v>352881</v>
      </c>
      <c r="O618" s="14">
        <f xml:space="preserve"> IF(ISBLANK(moras[[#This Row],[EDAD]]), EDA!$E$8, moras[[#This Row],[EDAD]])</f>
        <v>53</v>
      </c>
      <c r="P618" s="14" t="str">
        <f>IF(
    OR(ISBLANK(moras[[#This Row],[TIPO_ASEGURAMIENTO]]), moras[[#This Row],[TIPO_ASEGURAMIENTO]]=""),
    EDA!$A$32,
    moras[[#This Row],[TIPO_ASEGURAMIENTO]]
)</f>
        <v>TRABAJADOR INDEPENDIENTE</v>
      </c>
    </row>
    <row r="619" spans="1:16" x14ac:dyDescent="0.3">
      <c r="A619">
        <v>618</v>
      </c>
      <c r="B619" t="s">
        <v>15</v>
      </c>
      <c r="C619">
        <v>352852</v>
      </c>
      <c r="D619" t="s">
        <v>10</v>
      </c>
      <c r="E619" t="s">
        <v>11</v>
      </c>
      <c r="F619" t="s">
        <v>12</v>
      </c>
      <c r="G619" t="s">
        <v>13</v>
      </c>
      <c r="H619" t="s">
        <v>13</v>
      </c>
      <c r="I619">
        <v>53</v>
      </c>
      <c r="J619">
        <f>ABS((I619-EDA!$A$15)/EDA!$B$15)</f>
        <v>0.77776894370722982</v>
      </c>
      <c r="K619" t="str">
        <f t="shared" si="9"/>
        <v>No</v>
      </c>
      <c r="L619">
        <f>ABS((C619-EDA!$F$15)/EDA!$G$15)</f>
        <v>0.36978226584528751</v>
      </c>
      <c r="M619" t="str">
        <f>IF(moras[[#This Row],[Z-Score Salario]]&gt;1.96, "Sí", "No")</f>
        <v>No</v>
      </c>
      <c r="N619" s="14">
        <f>IF(ISBLANK(moras[[#This Row],[SALARIO]]), EDA!$M$8, moras[[#This Row],[SALARIO]])</f>
        <v>352852</v>
      </c>
      <c r="O619" s="14">
        <f xml:space="preserve"> IF(ISBLANK(moras[[#This Row],[EDAD]]), EDA!$E$8, moras[[#This Row],[EDAD]])</f>
        <v>53</v>
      </c>
      <c r="P619" s="14" t="str">
        <f>IF(
    OR(ISBLANK(moras[[#This Row],[TIPO_ASEGURAMIENTO]]), moras[[#This Row],[TIPO_ASEGURAMIENTO]]=""),
    EDA!$A$32,
    moras[[#This Row],[TIPO_ASEGURAMIENTO]]
)</f>
        <v>ASALARIADO</v>
      </c>
    </row>
    <row r="620" spans="1:16" x14ac:dyDescent="0.3">
      <c r="A620">
        <v>619</v>
      </c>
      <c r="B620" t="s">
        <v>9</v>
      </c>
      <c r="C620">
        <v>223463</v>
      </c>
      <c r="D620" t="s">
        <v>10</v>
      </c>
      <c r="E620" t="s">
        <v>16</v>
      </c>
      <c r="F620" t="s">
        <v>12</v>
      </c>
      <c r="G620" t="s">
        <v>12</v>
      </c>
      <c r="H620" t="s">
        <v>13</v>
      </c>
      <c r="I620">
        <v>20</v>
      </c>
      <c r="J620">
        <f>ABS((I620-EDA!$A$15)/EDA!$B$15)</f>
        <v>1.5512169488383079</v>
      </c>
      <c r="K620" t="str">
        <f t="shared" si="9"/>
        <v>No</v>
      </c>
      <c r="L620">
        <f>ABS((C620-EDA!$F$15)/EDA!$G$15)</f>
        <v>0.37193539014256077</v>
      </c>
      <c r="M620" t="str">
        <f>IF(moras[[#This Row],[Z-Score Salario]]&gt;1.96, "Sí", "No")</f>
        <v>No</v>
      </c>
      <c r="N620" s="14">
        <f>IF(ISBLANK(moras[[#This Row],[SALARIO]]), EDA!$M$8, moras[[#This Row],[SALARIO]])</f>
        <v>223463</v>
      </c>
      <c r="O620" s="14">
        <f xml:space="preserve"> IF(ISBLANK(moras[[#This Row],[EDAD]]), EDA!$E$8, moras[[#This Row],[EDAD]])</f>
        <v>20</v>
      </c>
      <c r="P620" s="14" t="str">
        <f>IF(
    OR(ISBLANK(moras[[#This Row],[TIPO_ASEGURAMIENTO]]), moras[[#This Row],[TIPO_ASEGURAMIENTO]]=""),
    EDA!$A$32,
    moras[[#This Row],[TIPO_ASEGURAMIENTO]]
)</f>
        <v>ASALARIADO</v>
      </c>
    </row>
    <row r="621" spans="1:16" x14ac:dyDescent="0.3">
      <c r="A621">
        <v>620</v>
      </c>
      <c r="B621" t="s">
        <v>9</v>
      </c>
      <c r="C621">
        <v>573400</v>
      </c>
      <c r="D621" t="s">
        <v>10</v>
      </c>
      <c r="E621" t="s">
        <v>16</v>
      </c>
      <c r="F621" t="s">
        <v>12</v>
      </c>
      <c r="G621" t="s">
        <v>13</v>
      </c>
      <c r="H621" t="s">
        <v>13</v>
      </c>
      <c r="I621">
        <v>23</v>
      </c>
      <c r="J621">
        <f>ABS((I621-EDA!$A$15)/EDA!$B$15)</f>
        <v>1.3394909586068953</v>
      </c>
      <c r="K621" t="str">
        <f t="shared" si="9"/>
        <v>No</v>
      </c>
      <c r="L621">
        <f>ABS((C621-EDA!$F$15)/EDA!$G$15)</f>
        <v>0.36611219143776425</v>
      </c>
      <c r="M621" t="str">
        <f>IF(moras[[#This Row],[Z-Score Salario]]&gt;1.96, "Sí", "No")</f>
        <v>No</v>
      </c>
      <c r="N621" s="14">
        <f>IF(ISBLANK(moras[[#This Row],[SALARIO]]), EDA!$M$8, moras[[#This Row],[SALARIO]])</f>
        <v>573400</v>
      </c>
      <c r="O621" s="14">
        <f xml:space="preserve"> IF(ISBLANK(moras[[#This Row],[EDAD]]), EDA!$E$8, moras[[#This Row],[EDAD]])</f>
        <v>23</v>
      </c>
      <c r="P621" s="14" t="str">
        <f>IF(
    OR(ISBLANK(moras[[#This Row],[TIPO_ASEGURAMIENTO]]), moras[[#This Row],[TIPO_ASEGURAMIENTO]]=""),
    EDA!$A$32,
    moras[[#This Row],[TIPO_ASEGURAMIENTO]]
)</f>
        <v>ASALARIADO</v>
      </c>
    </row>
    <row r="622" spans="1:16" x14ac:dyDescent="0.3">
      <c r="A622">
        <v>621</v>
      </c>
      <c r="B622" t="s">
        <v>9</v>
      </c>
      <c r="C622">
        <v>278030</v>
      </c>
      <c r="D622" t="s">
        <v>19</v>
      </c>
      <c r="E622" t="s">
        <v>16</v>
      </c>
      <c r="F622" t="s">
        <v>12</v>
      </c>
      <c r="G622" t="s">
        <v>13</v>
      </c>
      <c r="H622" t="s">
        <v>13</v>
      </c>
      <c r="I622">
        <v>78</v>
      </c>
      <c r="J622">
        <f>ABS((I622-EDA!$A$15)/EDA!$B$15)</f>
        <v>2.5421521956356674</v>
      </c>
      <c r="K622" t="str">
        <f t="shared" si="9"/>
        <v>Sí</v>
      </c>
      <c r="L622">
        <f>ABS((C622-EDA!$F$15)/EDA!$G$15)</f>
        <v>0.37102735674304993</v>
      </c>
      <c r="M622" t="str">
        <f>IF(moras[[#This Row],[Z-Score Salario]]&gt;1.96, "Sí", "No")</f>
        <v>No</v>
      </c>
      <c r="N622" s="14">
        <f>IF(ISBLANK(moras[[#This Row],[SALARIO]]), EDA!$M$8, moras[[#This Row],[SALARIO]])</f>
        <v>278030</v>
      </c>
      <c r="O622" s="14">
        <f xml:space="preserve"> IF(ISBLANK(moras[[#This Row],[EDAD]]), EDA!$E$8, moras[[#This Row],[EDAD]])</f>
        <v>78</v>
      </c>
      <c r="P622" s="14" t="str">
        <f>IF(
    OR(ISBLANK(moras[[#This Row],[TIPO_ASEGURAMIENTO]]), moras[[#This Row],[TIPO_ASEGURAMIENTO]]=""),
    EDA!$A$32,
    moras[[#This Row],[TIPO_ASEGURAMIENTO]]
)</f>
        <v>CONVENIOS ESPECIALES DE TRABAJADORES INDEPENDIENTES</v>
      </c>
    </row>
    <row r="623" spans="1:16" x14ac:dyDescent="0.3">
      <c r="A623">
        <v>622</v>
      </c>
      <c r="B623" t="s">
        <v>15</v>
      </c>
      <c r="C623">
        <v>502100</v>
      </c>
      <c r="D623" t="s">
        <v>18</v>
      </c>
      <c r="E623" t="s">
        <v>16</v>
      </c>
      <c r="F623" t="s">
        <v>12</v>
      </c>
      <c r="G623" t="s">
        <v>13</v>
      </c>
      <c r="H623" t="s">
        <v>13</v>
      </c>
      <c r="I623">
        <v>48</v>
      </c>
      <c r="J623">
        <f>ABS((I623-EDA!$A$15)/EDA!$B$15)</f>
        <v>0.42489229332154227</v>
      </c>
      <c r="K623" t="str">
        <f t="shared" si="9"/>
        <v>No</v>
      </c>
      <c r="L623">
        <f>ABS((C623-EDA!$F$15)/EDA!$G$15)</f>
        <v>0.36729867376930392</v>
      </c>
      <c r="M623" t="str">
        <f>IF(moras[[#This Row],[Z-Score Salario]]&gt;1.96, "Sí", "No")</f>
        <v>No</v>
      </c>
      <c r="N623" s="14">
        <f>IF(ISBLANK(moras[[#This Row],[SALARIO]]), EDA!$M$8, moras[[#This Row],[SALARIO]])</f>
        <v>502100</v>
      </c>
      <c r="O623" s="14">
        <f xml:space="preserve"> IF(ISBLANK(moras[[#This Row],[EDAD]]), EDA!$E$8, moras[[#This Row],[EDAD]])</f>
        <v>48</v>
      </c>
      <c r="P623" s="14" t="str">
        <f>IF(
    OR(ISBLANK(moras[[#This Row],[TIPO_ASEGURAMIENTO]]), moras[[#This Row],[TIPO_ASEGURAMIENTO]]=""),
    EDA!$A$32,
    moras[[#This Row],[TIPO_ASEGURAMIENTO]]
)</f>
        <v>TRABAJADOR INDEPENDIENTE</v>
      </c>
    </row>
    <row r="624" spans="1:16" x14ac:dyDescent="0.3">
      <c r="A624">
        <v>623</v>
      </c>
      <c r="B624" t="s">
        <v>9</v>
      </c>
      <c r="C624">
        <v>215000</v>
      </c>
      <c r="D624" t="s">
        <v>10</v>
      </c>
      <c r="E624" t="s">
        <v>16</v>
      </c>
      <c r="F624" t="s">
        <v>12</v>
      </c>
      <c r="G624" t="s">
        <v>13</v>
      </c>
      <c r="H624" t="s">
        <v>13</v>
      </c>
      <c r="I624">
        <v>60</v>
      </c>
      <c r="J624">
        <f>ABS((I624-EDA!$A$15)/EDA!$B$15)</f>
        <v>1.2717962542471923</v>
      </c>
      <c r="K624" t="str">
        <f t="shared" si="9"/>
        <v>No</v>
      </c>
      <c r="L624">
        <f>ABS((C624-EDA!$F$15)/EDA!$G$15)</f>
        <v>0.37207622043669569</v>
      </c>
      <c r="M624" t="str">
        <f>IF(moras[[#This Row],[Z-Score Salario]]&gt;1.96, "Sí", "No")</f>
        <v>No</v>
      </c>
      <c r="N624" s="14">
        <f>IF(ISBLANK(moras[[#This Row],[SALARIO]]), EDA!$M$8, moras[[#This Row],[SALARIO]])</f>
        <v>215000</v>
      </c>
      <c r="O624" s="14">
        <f xml:space="preserve"> IF(ISBLANK(moras[[#This Row],[EDAD]]), EDA!$E$8, moras[[#This Row],[EDAD]])</f>
        <v>60</v>
      </c>
      <c r="P624" s="14" t="str">
        <f>IF(
    OR(ISBLANK(moras[[#This Row],[TIPO_ASEGURAMIENTO]]), moras[[#This Row],[TIPO_ASEGURAMIENTO]]=""),
    EDA!$A$32,
    moras[[#This Row],[TIPO_ASEGURAMIENTO]]
)</f>
        <v>ASALARIADO</v>
      </c>
    </row>
    <row r="625" spans="1:16" x14ac:dyDescent="0.3">
      <c r="A625">
        <v>624</v>
      </c>
      <c r="B625" t="s">
        <v>9</v>
      </c>
      <c r="C625">
        <v>367392</v>
      </c>
      <c r="D625" t="s">
        <v>10</v>
      </c>
      <c r="E625" t="s">
        <v>16</v>
      </c>
      <c r="F625" t="s">
        <v>12</v>
      </c>
      <c r="G625" t="s">
        <v>13</v>
      </c>
      <c r="H625" t="s">
        <v>13</v>
      </c>
      <c r="I625">
        <v>24</v>
      </c>
      <c r="J625">
        <f>ABS((I625-EDA!$A$15)/EDA!$B$15)</f>
        <v>1.2689156285297578</v>
      </c>
      <c r="K625" t="str">
        <f t="shared" si="9"/>
        <v>No</v>
      </c>
      <c r="L625">
        <f>ABS((C625-EDA!$F$15)/EDA!$G$15)</f>
        <v>0.36954030998132414</v>
      </c>
      <c r="M625" t="str">
        <f>IF(moras[[#This Row],[Z-Score Salario]]&gt;1.96, "Sí", "No")</f>
        <v>No</v>
      </c>
      <c r="N625" s="14">
        <f>IF(ISBLANK(moras[[#This Row],[SALARIO]]), EDA!$M$8, moras[[#This Row],[SALARIO]])</f>
        <v>367392</v>
      </c>
      <c r="O625" s="14">
        <f xml:space="preserve"> IF(ISBLANK(moras[[#This Row],[EDAD]]), EDA!$E$8, moras[[#This Row],[EDAD]])</f>
        <v>24</v>
      </c>
      <c r="P625" s="14" t="str">
        <f>IF(
    OR(ISBLANK(moras[[#This Row],[TIPO_ASEGURAMIENTO]]), moras[[#This Row],[TIPO_ASEGURAMIENTO]]=""),
    EDA!$A$32,
    moras[[#This Row],[TIPO_ASEGURAMIENTO]]
)</f>
        <v>ASALARIADO</v>
      </c>
    </row>
    <row r="626" spans="1:16" x14ac:dyDescent="0.3">
      <c r="A626">
        <v>625</v>
      </c>
      <c r="B626" t="s">
        <v>15</v>
      </c>
      <c r="C626">
        <v>150000</v>
      </c>
      <c r="D626" t="s">
        <v>10</v>
      </c>
      <c r="E626" t="s">
        <v>16</v>
      </c>
      <c r="F626" t="s">
        <v>12</v>
      </c>
      <c r="G626" t="s">
        <v>13</v>
      </c>
      <c r="H626" t="s">
        <v>13</v>
      </c>
      <c r="I626">
        <v>44</v>
      </c>
      <c r="J626">
        <f>ABS((I626-EDA!$A$15)/EDA!$B$15)</f>
        <v>0.14259097301299228</v>
      </c>
      <c r="K626" t="str">
        <f t="shared" si="9"/>
        <v>No</v>
      </c>
      <c r="L626">
        <f>ABS((C626-EDA!$F$15)/EDA!$G$15)</f>
        <v>0.37315786632098852</v>
      </c>
      <c r="M626" t="str">
        <f>IF(moras[[#This Row],[Z-Score Salario]]&gt;1.96, "Sí", "No")</f>
        <v>No</v>
      </c>
      <c r="N626" s="14">
        <f>IF(ISBLANK(moras[[#This Row],[SALARIO]]), EDA!$M$8, moras[[#This Row],[SALARIO]])</f>
        <v>150000</v>
      </c>
      <c r="O626" s="14">
        <f xml:space="preserve"> IF(ISBLANK(moras[[#This Row],[EDAD]]), EDA!$E$8, moras[[#This Row],[EDAD]])</f>
        <v>44</v>
      </c>
      <c r="P626" s="14" t="str">
        <f>IF(
    OR(ISBLANK(moras[[#This Row],[TIPO_ASEGURAMIENTO]]), moras[[#This Row],[TIPO_ASEGURAMIENTO]]=""),
    EDA!$A$32,
    moras[[#This Row],[TIPO_ASEGURAMIENTO]]
)</f>
        <v>ASALARIADO</v>
      </c>
    </row>
    <row r="627" spans="1:16" x14ac:dyDescent="0.3">
      <c r="A627">
        <v>626</v>
      </c>
      <c r="B627" t="s">
        <v>9</v>
      </c>
      <c r="C627">
        <v>67966062</v>
      </c>
      <c r="D627" t="s">
        <v>10</v>
      </c>
      <c r="E627" t="s">
        <v>16</v>
      </c>
      <c r="F627" t="s">
        <v>12</v>
      </c>
      <c r="G627" t="s">
        <v>13</v>
      </c>
      <c r="H627" t="s">
        <v>13</v>
      </c>
      <c r="I627">
        <v>21</v>
      </c>
      <c r="J627">
        <f>ABS((I627-EDA!$A$15)/EDA!$B$15)</f>
        <v>1.4806416187611704</v>
      </c>
      <c r="K627" t="str">
        <f t="shared" si="9"/>
        <v>No</v>
      </c>
      <c r="L627">
        <f>ABS((C627-EDA!$F$15)/EDA!$G$15)</f>
        <v>0.75534927754434178</v>
      </c>
      <c r="M627" t="str">
        <f>IF(moras[[#This Row],[Z-Score Salario]]&gt;1.96, "Sí", "No")</f>
        <v>No</v>
      </c>
      <c r="N627" s="14">
        <f>IF(ISBLANK(moras[[#This Row],[SALARIO]]), EDA!$M$8, moras[[#This Row],[SALARIO]])</f>
        <v>67966062</v>
      </c>
      <c r="O627" s="14">
        <f xml:space="preserve"> IF(ISBLANK(moras[[#This Row],[EDAD]]), EDA!$E$8, moras[[#This Row],[EDAD]])</f>
        <v>21</v>
      </c>
      <c r="P627" s="14" t="str">
        <f>IF(
    OR(ISBLANK(moras[[#This Row],[TIPO_ASEGURAMIENTO]]), moras[[#This Row],[TIPO_ASEGURAMIENTO]]=""),
    EDA!$A$32,
    moras[[#This Row],[TIPO_ASEGURAMIENTO]]
)</f>
        <v>ASALARIADO</v>
      </c>
    </row>
    <row r="628" spans="1:16" x14ac:dyDescent="0.3">
      <c r="A628">
        <v>627</v>
      </c>
      <c r="B628" t="s">
        <v>9</v>
      </c>
      <c r="C628">
        <v>2796475</v>
      </c>
      <c r="D628" t="s">
        <v>10</v>
      </c>
      <c r="E628" t="s">
        <v>11</v>
      </c>
      <c r="F628" t="s">
        <v>12</v>
      </c>
      <c r="G628" t="s">
        <v>13</v>
      </c>
      <c r="H628" t="s">
        <v>12</v>
      </c>
      <c r="I628">
        <v>52</v>
      </c>
      <c r="J628">
        <f>ABS((I628-EDA!$A$15)/EDA!$B$15)</f>
        <v>0.70719361363009237</v>
      </c>
      <c r="K628" t="str">
        <f t="shared" si="9"/>
        <v>No</v>
      </c>
      <c r="L628">
        <f>ABS((C628-EDA!$F$15)/EDA!$G$15)</f>
        <v>0.32911865414200653</v>
      </c>
      <c r="M628" t="str">
        <f>IF(moras[[#This Row],[Z-Score Salario]]&gt;1.96, "Sí", "No")</f>
        <v>No</v>
      </c>
      <c r="N628" s="14">
        <f>IF(ISBLANK(moras[[#This Row],[SALARIO]]), EDA!$M$8, moras[[#This Row],[SALARIO]])</f>
        <v>2796475</v>
      </c>
      <c r="O628" s="14">
        <f xml:space="preserve"> IF(ISBLANK(moras[[#This Row],[EDAD]]), EDA!$E$8, moras[[#This Row],[EDAD]])</f>
        <v>52</v>
      </c>
      <c r="P628" s="14" t="str">
        <f>IF(
    OR(ISBLANK(moras[[#This Row],[TIPO_ASEGURAMIENTO]]), moras[[#This Row],[TIPO_ASEGURAMIENTO]]=""),
    EDA!$A$32,
    moras[[#This Row],[TIPO_ASEGURAMIENTO]]
)</f>
        <v>ASALARIADO</v>
      </c>
    </row>
    <row r="629" spans="1:16" x14ac:dyDescent="0.3">
      <c r="A629">
        <v>628</v>
      </c>
      <c r="B629" t="s">
        <v>15</v>
      </c>
      <c r="C629">
        <v>35954427</v>
      </c>
      <c r="D629" t="s">
        <v>21</v>
      </c>
      <c r="E629" t="s">
        <v>16</v>
      </c>
      <c r="F629" t="s">
        <v>12</v>
      </c>
      <c r="G629" t="s">
        <v>12</v>
      </c>
      <c r="H629" t="s">
        <v>13</v>
      </c>
      <c r="I629">
        <v>46</v>
      </c>
      <c r="J629">
        <f>ABS((I629-EDA!$A$15)/EDA!$B$15)</f>
        <v>0.2837416331672673</v>
      </c>
      <c r="K629" t="str">
        <f t="shared" si="9"/>
        <v>No</v>
      </c>
      <c r="L629">
        <f>ABS((C629-EDA!$F$15)/EDA!$G$15)</f>
        <v>0.22265307374074372</v>
      </c>
      <c r="M629" t="str">
        <f>IF(moras[[#This Row],[Z-Score Salario]]&gt;1.96, "Sí", "No")</f>
        <v>No</v>
      </c>
      <c r="N629" s="14">
        <f>IF(ISBLANK(moras[[#This Row],[SALARIO]]), EDA!$M$8, moras[[#This Row],[SALARIO]])</f>
        <v>35954427</v>
      </c>
      <c r="O629" s="14">
        <f xml:space="preserve"> IF(ISBLANK(moras[[#This Row],[EDAD]]), EDA!$E$8, moras[[#This Row],[EDAD]])</f>
        <v>46</v>
      </c>
      <c r="P629" s="14" t="str">
        <f>IF(
    OR(ISBLANK(moras[[#This Row],[TIPO_ASEGURAMIENTO]]), moras[[#This Row],[TIPO_ASEGURAMIENTO]]=""),
    EDA!$A$32,
    moras[[#This Row],[TIPO_ASEGURAMIENTO]]
)</f>
        <v>CONVENIOS ESPECIALES DE ASEGURADOS VOLUNTARIOS</v>
      </c>
    </row>
    <row r="630" spans="1:16" x14ac:dyDescent="0.3">
      <c r="A630">
        <v>629</v>
      </c>
      <c r="B630" t="s">
        <v>9</v>
      </c>
      <c r="C630">
        <v>298018</v>
      </c>
      <c r="D630" t="s">
        <v>17</v>
      </c>
      <c r="E630" t="s">
        <v>16</v>
      </c>
      <c r="F630" t="s">
        <v>12</v>
      </c>
      <c r="G630" t="s">
        <v>13</v>
      </c>
      <c r="H630" t="s">
        <v>13</v>
      </c>
      <c r="I630">
        <v>36</v>
      </c>
      <c r="J630">
        <f>ABS((I630-EDA!$A$15)/EDA!$B$15)</f>
        <v>0.42201166760410774</v>
      </c>
      <c r="K630" t="str">
        <f t="shared" si="9"/>
        <v>No</v>
      </c>
      <c r="L630">
        <f>ABS((C630-EDA!$F$15)/EDA!$G$15)</f>
        <v>0.37069474231327693</v>
      </c>
      <c r="M630" t="str">
        <f>IF(moras[[#This Row],[Z-Score Salario]]&gt;1.96, "Sí", "No")</f>
        <v>No</v>
      </c>
      <c r="N630" s="14">
        <f>IF(ISBLANK(moras[[#This Row],[SALARIO]]), EDA!$M$8, moras[[#This Row],[SALARIO]])</f>
        <v>298018</v>
      </c>
      <c r="O630" s="14">
        <f xml:space="preserve"> IF(ISBLANK(moras[[#This Row],[EDAD]]), EDA!$E$8, moras[[#This Row],[EDAD]])</f>
        <v>36</v>
      </c>
      <c r="P630" s="14" t="str">
        <f>IF(
    OR(ISBLANK(moras[[#This Row],[TIPO_ASEGURAMIENTO]]), moras[[#This Row],[TIPO_ASEGURAMIENTO]]=""),
    EDA!$A$32,
    moras[[#This Row],[TIPO_ASEGURAMIENTO]]
)</f>
        <v>ASEGURADO VOLUNTARIO</v>
      </c>
    </row>
    <row r="631" spans="1:16" x14ac:dyDescent="0.3">
      <c r="A631">
        <v>630</v>
      </c>
      <c r="B631" t="s">
        <v>15</v>
      </c>
      <c r="C631">
        <v>382136</v>
      </c>
      <c r="D631" t="s">
        <v>18</v>
      </c>
      <c r="E631" t="s">
        <v>16</v>
      </c>
      <c r="F631" t="s">
        <v>12</v>
      </c>
      <c r="G631" t="s">
        <v>13</v>
      </c>
      <c r="H631" t="s">
        <v>13</v>
      </c>
      <c r="I631">
        <v>53</v>
      </c>
      <c r="J631">
        <f>ABS((I631-EDA!$A$15)/EDA!$B$15)</f>
        <v>0.77776894370722982</v>
      </c>
      <c r="K631" t="str">
        <f t="shared" si="9"/>
        <v>No</v>
      </c>
      <c r="L631">
        <f>ABS((C631-EDA!$F$15)/EDA!$G$15)</f>
        <v>0.36929495941335472</v>
      </c>
      <c r="M631" t="str">
        <f>IF(moras[[#This Row],[Z-Score Salario]]&gt;1.96, "Sí", "No")</f>
        <v>No</v>
      </c>
      <c r="N631" s="14">
        <f>IF(ISBLANK(moras[[#This Row],[SALARIO]]), EDA!$M$8, moras[[#This Row],[SALARIO]])</f>
        <v>382136</v>
      </c>
      <c r="O631" s="14">
        <f xml:space="preserve"> IF(ISBLANK(moras[[#This Row],[EDAD]]), EDA!$E$8, moras[[#This Row],[EDAD]])</f>
        <v>53</v>
      </c>
      <c r="P631" s="14" t="str">
        <f>IF(
    OR(ISBLANK(moras[[#This Row],[TIPO_ASEGURAMIENTO]]), moras[[#This Row],[TIPO_ASEGURAMIENTO]]=""),
    EDA!$A$32,
    moras[[#This Row],[TIPO_ASEGURAMIENTO]]
)</f>
        <v>TRABAJADOR INDEPENDIENTE</v>
      </c>
    </row>
    <row r="632" spans="1:16" x14ac:dyDescent="0.3">
      <c r="A632">
        <v>631</v>
      </c>
      <c r="B632" t="s">
        <v>15</v>
      </c>
      <c r="C632">
        <v>297046</v>
      </c>
      <c r="D632" t="s">
        <v>17</v>
      </c>
      <c r="E632" t="s">
        <v>16</v>
      </c>
      <c r="F632" t="s">
        <v>12</v>
      </c>
      <c r="G632" t="s">
        <v>13</v>
      </c>
      <c r="H632" t="s">
        <v>12</v>
      </c>
      <c r="I632">
        <v>35</v>
      </c>
      <c r="J632">
        <f>ABS((I632-EDA!$A$15)/EDA!$B$15)</f>
        <v>0.49258699768124525</v>
      </c>
      <c r="K632" t="str">
        <f t="shared" si="9"/>
        <v>No</v>
      </c>
      <c r="L632">
        <f>ABS((C632-EDA!$F$15)/EDA!$G$15)</f>
        <v>0.37071091707942361</v>
      </c>
      <c r="M632" t="str">
        <f>IF(moras[[#This Row],[Z-Score Salario]]&gt;1.96, "Sí", "No")</f>
        <v>No</v>
      </c>
      <c r="N632" s="14">
        <f>IF(ISBLANK(moras[[#This Row],[SALARIO]]), EDA!$M$8, moras[[#This Row],[SALARIO]])</f>
        <v>297046</v>
      </c>
      <c r="O632" s="14">
        <f xml:space="preserve"> IF(ISBLANK(moras[[#This Row],[EDAD]]), EDA!$E$8, moras[[#This Row],[EDAD]])</f>
        <v>35</v>
      </c>
      <c r="P632" s="14" t="str">
        <f>IF(
    OR(ISBLANK(moras[[#This Row],[TIPO_ASEGURAMIENTO]]), moras[[#This Row],[TIPO_ASEGURAMIENTO]]=""),
    EDA!$A$32,
    moras[[#This Row],[TIPO_ASEGURAMIENTO]]
)</f>
        <v>ASEGURADO VOLUNTARIO</v>
      </c>
    </row>
    <row r="633" spans="1:16" x14ac:dyDescent="0.3">
      <c r="A633">
        <v>632</v>
      </c>
      <c r="B633" t="s">
        <v>9</v>
      </c>
      <c r="C633">
        <v>297046</v>
      </c>
      <c r="D633" t="s">
        <v>17</v>
      </c>
      <c r="E633" t="s">
        <v>16</v>
      </c>
      <c r="F633" t="s">
        <v>12</v>
      </c>
      <c r="G633" t="s">
        <v>13</v>
      </c>
      <c r="H633" t="s">
        <v>13</v>
      </c>
      <c r="I633">
        <v>39</v>
      </c>
      <c r="J633">
        <f>ABS((I633-EDA!$A$15)/EDA!$B$15)</f>
        <v>0.21028567737269524</v>
      </c>
      <c r="K633" t="str">
        <f t="shared" si="9"/>
        <v>No</v>
      </c>
      <c r="L633">
        <f>ABS((C633-EDA!$F$15)/EDA!$G$15)</f>
        <v>0.37071091707942361</v>
      </c>
      <c r="M633" t="str">
        <f>IF(moras[[#This Row],[Z-Score Salario]]&gt;1.96, "Sí", "No")</f>
        <v>No</v>
      </c>
      <c r="N633" s="14">
        <f>IF(ISBLANK(moras[[#This Row],[SALARIO]]), EDA!$M$8, moras[[#This Row],[SALARIO]])</f>
        <v>297046</v>
      </c>
      <c r="O633" s="14">
        <f xml:space="preserve"> IF(ISBLANK(moras[[#This Row],[EDAD]]), EDA!$E$8, moras[[#This Row],[EDAD]])</f>
        <v>39</v>
      </c>
      <c r="P633" s="14" t="str">
        <f>IF(
    OR(ISBLANK(moras[[#This Row],[TIPO_ASEGURAMIENTO]]), moras[[#This Row],[TIPO_ASEGURAMIENTO]]=""),
    EDA!$A$32,
    moras[[#This Row],[TIPO_ASEGURAMIENTO]]
)</f>
        <v>ASEGURADO VOLUNTARIO</v>
      </c>
    </row>
    <row r="634" spans="1:16" x14ac:dyDescent="0.3">
      <c r="A634">
        <v>633</v>
      </c>
      <c r="B634" t="s">
        <v>15</v>
      </c>
      <c r="C634">
        <v>347615</v>
      </c>
      <c r="D634" t="s">
        <v>18</v>
      </c>
      <c r="E634" t="s">
        <v>16</v>
      </c>
      <c r="F634" t="s">
        <v>12</v>
      </c>
      <c r="G634" t="s">
        <v>13</v>
      </c>
      <c r="H634" t="s">
        <v>13</v>
      </c>
      <c r="I634">
        <v>36</v>
      </c>
      <c r="J634">
        <f>ABS((I634-EDA!$A$15)/EDA!$B$15)</f>
        <v>0.42201166760410774</v>
      </c>
      <c r="K634" t="str">
        <f t="shared" si="9"/>
        <v>No</v>
      </c>
      <c r="L634">
        <f>ABS((C634-EDA!$F$15)/EDA!$G$15)</f>
        <v>0.36986941322214967</v>
      </c>
      <c r="M634" t="str">
        <f>IF(moras[[#This Row],[Z-Score Salario]]&gt;1.96, "Sí", "No")</f>
        <v>No</v>
      </c>
      <c r="N634" s="14">
        <f>IF(ISBLANK(moras[[#This Row],[SALARIO]]), EDA!$M$8, moras[[#This Row],[SALARIO]])</f>
        <v>347615</v>
      </c>
      <c r="O634" s="14">
        <f xml:space="preserve"> IF(ISBLANK(moras[[#This Row],[EDAD]]), EDA!$E$8, moras[[#This Row],[EDAD]])</f>
        <v>36</v>
      </c>
      <c r="P634" s="14" t="str">
        <f>IF(
    OR(ISBLANK(moras[[#This Row],[TIPO_ASEGURAMIENTO]]), moras[[#This Row],[TIPO_ASEGURAMIENTO]]=""),
    EDA!$A$32,
    moras[[#This Row],[TIPO_ASEGURAMIENTO]]
)</f>
        <v>TRABAJADOR INDEPENDIENTE</v>
      </c>
    </row>
    <row r="635" spans="1:16" x14ac:dyDescent="0.3">
      <c r="A635">
        <v>634</v>
      </c>
      <c r="B635" t="s">
        <v>15</v>
      </c>
      <c r="C635">
        <v>297044</v>
      </c>
      <c r="D635" t="s">
        <v>17</v>
      </c>
      <c r="E635" t="s">
        <v>16</v>
      </c>
      <c r="F635" t="s">
        <v>12</v>
      </c>
      <c r="G635" t="s">
        <v>13</v>
      </c>
      <c r="H635" t="s">
        <v>13</v>
      </c>
      <c r="I635">
        <v>19</v>
      </c>
      <c r="J635">
        <f>ABS((I635-EDA!$A$15)/EDA!$B$15)</f>
        <v>1.6217922789154453</v>
      </c>
      <c r="K635" t="str">
        <f t="shared" si="9"/>
        <v>No</v>
      </c>
      <c r="L635">
        <f>ABS((C635-EDA!$F$15)/EDA!$G$15)</f>
        <v>0.3707109503608354</v>
      </c>
      <c r="M635" t="str">
        <f>IF(moras[[#This Row],[Z-Score Salario]]&gt;1.96, "Sí", "No")</f>
        <v>No</v>
      </c>
      <c r="N635" s="14">
        <f>IF(ISBLANK(moras[[#This Row],[SALARIO]]), EDA!$M$8, moras[[#This Row],[SALARIO]])</f>
        <v>297044</v>
      </c>
      <c r="O635" s="14">
        <f xml:space="preserve"> IF(ISBLANK(moras[[#This Row],[EDAD]]), EDA!$E$8, moras[[#This Row],[EDAD]])</f>
        <v>19</v>
      </c>
      <c r="P635" s="14" t="str">
        <f>IF(
    OR(ISBLANK(moras[[#This Row],[TIPO_ASEGURAMIENTO]]), moras[[#This Row],[TIPO_ASEGURAMIENTO]]=""),
    EDA!$A$32,
    moras[[#This Row],[TIPO_ASEGURAMIENTO]]
)</f>
        <v>ASEGURADO VOLUNTARIO</v>
      </c>
    </row>
    <row r="636" spans="1:16" x14ac:dyDescent="0.3">
      <c r="A636">
        <v>635</v>
      </c>
      <c r="B636" t="s">
        <v>15</v>
      </c>
      <c r="C636">
        <v>297046</v>
      </c>
      <c r="D636" t="s">
        <v>17</v>
      </c>
      <c r="E636" t="s">
        <v>16</v>
      </c>
      <c r="F636" t="s">
        <v>12</v>
      </c>
      <c r="G636" t="s">
        <v>13</v>
      </c>
      <c r="H636" t="s">
        <v>13</v>
      </c>
      <c r="I636">
        <v>31</v>
      </c>
      <c r="J636">
        <f>ABS((I636-EDA!$A$15)/EDA!$B$15)</f>
        <v>0.77488831798979529</v>
      </c>
      <c r="K636" t="str">
        <f t="shared" si="9"/>
        <v>No</v>
      </c>
      <c r="L636">
        <f>ABS((C636-EDA!$F$15)/EDA!$G$15)</f>
        <v>0.37071091707942361</v>
      </c>
      <c r="M636" t="str">
        <f>IF(moras[[#This Row],[Z-Score Salario]]&gt;1.96, "Sí", "No")</f>
        <v>No</v>
      </c>
      <c r="N636" s="14">
        <f>IF(ISBLANK(moras[[#This Row],[SALARIO]]), EDA!$M$8, moras[[#This Row],[SALARIO]])</f>
        <v>297046</v>
      </c>
      <c r="O636" s="14">
        <f xml:space="preserve"> IF(ISBLANK(moras[[#This Row],[EDAD]]), EDA!$E$8, moras[[#This Row],[EDAD]])</f>
        <v>31</v>
      </c>
      <c r="P636" s="14" t="str">
        <f>IF(
    OR(ISBLANK(moras[[#This Row],[TIPO_ASEGURAMIENTO]]), moras[[#This Row],[TIPO_ASEGURAMIENTO]]=""),
    EDA!$A$32,
    moras[[#This Row],[TIPO_ASEGURAMIENTO]]
)</f>
        <v>ASEGURADO VOLUNTARIO</v>
      </c>
    </row>
    <row r="637" spans="1:16" x14ac:dyDescent="0.3">
      <c r="A637">
        <v>636</v>
      </c>
      <c r="B637" t="s">
        <v>9</v>
      </c>
      <c r="C637">
        <v>1169887</v>
      </c>
      <c r="D637" t="s">
        <v>10</v>
      </c>
      <c r="E637" t="s">
        <v>11</v>
      </c>
      <c r="F637" t="s">
        <v>12</v>
      </c>
      <c r="G637" t="s">
        <v>13</v>
      </c>
      <c r="H637" t="s">
        <v>13</v>
      </c>
      <c r="I637">
        <v>45</v>
      </c>
      <c r="J637">
        <f>ABS((I637-EDA!$A$15)/EDA!$B$15)</f>
        <v>0.21316630309012977</v>
      </c>
      <c r="K637" t="str">
        <f t="shared" si="9"/>
        <v>No</v>
      </c>
      <c r="L637">
        <f>ABS((C637-EDA!$F$15)/EDA!$G$15)</f>
        <v>0.35618622669031547</v>
      </c>
      <c r="M637" t="str">
        <f>IF(moras[[#This Row],[Z-Score Salario]]&gt;1.96, "Sí", "No")</f>
        <v>No</v>
      </c>
      <c r="N637" s="14">
        <f>IF(ISBLANK(moras[[#This Row],[SALARIO]]), EDA!$M$8, moras[[#This Row],[SALARIO]])</f>
        <v>1169887</v>
      </c>
      <c r="O637" s="14">
        <f xml:space="preserve"> IF(ISBLANK(moras[[#This Row],[EDAD]]), EDA!$E$8, moras[[#This Row],[EDAD]])</f>
        <v>45</v>
      </c>
      <c r="P637" s="14" t="str">
        <f>IF(
    OR(ISBLANK(moras[[#This Row],[TIPO_ASEGURAMIENTO]]), moras[[#This Row],[TIPO_ASEGURAMIENTO]]=""),
    EDA!$A$32,
    moras[[#This Row],[TIPO_ASEGURAMIENTO]]
)</f>
        <v>ASALARIADO</v>
      </c>
    </row>
    <row r="638" spans="1:16" x14ac:dyDescent="0.3">
      <c r="A638">
        <v>637</v>
      </c>
      <c r="B638" t="s">
        <v>9</v>
      </c>
      <c r="C638">
        <v>125314582</v>
      </c>
      <c r="D638" t="s">
        <v>10</v>
      </c>
      <c r="E638" t="s">
        <v>11</v>
      </c>
      <c r="F638" t="s">
        <v>12</v>
      </c>
      <c r="G638" t="s">
        <v>13</v>
      </c>
      <c r="H638" t="s">
        <v>13</v>
      </c>
      <c r="I638">
        <v>34</v>
      </c>
      <c r="J638">
        <f>ABS((I638-EDA!$A$15)/EDA!$B$15)</f>
        <v>0.56316232775838282</v>
      </c>
      <c r="K638" t="str">
        <f t="shared" si="9"/>
        <v>No</v>
      </c>
      <c r="L638">
        <f>ABS((C638-EDA!$F$15)/EDA!$G$15)</f>
        <v>1.7096691333640996</v>
      </c>
      <c r="M638" t="str">
        <f>IF(moras[[#This Row],[Z-Score Salario]]&gt;1.96, "Sí", "No")</f>
        <v>No</v>
      </c>
      <c r="N638" s="14">
        <f>IF(ISBLANK(moras[[#This Row],[SALARIO]]), EDA!$M$8, moras[[#This Row],[SALARIO]])</f>
        <v>125314582</v>
      </c>
      <c r="O638" s="14">
        <f xml:space="preserve"> IF(ISBLANK(moras[[#This Row],[EDAD]]), EDA!$E$8, moras[[#This Row],[EDAD]])</f>
        <v>34</v>
      </c>
      <c r="P638" s="14" t="str">
        <f>IF(
    OR(ISBLANK(moras[[#This Row],[TIPO_ASEGURAMIENTO]]), moras[[#This Row],[TIPO_ASEGURAMIENTO]]=""),
    EDA!$A$32,
    moras[[#This Row],[TIPO_ASEGURAMIENTO]]
)</f>
        <v>ASALARIADO</v>
      </c>
    </row>
    <row r="639" spans="1:16" x14ac:dyDescent="0.3">
      <c r="A639">
        <v>638</v>
      </c>
      <c r="B639" t="s">
        <v>9</v>
      </c>
      <c r="C639">
        <v>5770325</v>
      </c>
      <c r="D639" t="s">
        <v>10</v>
      </c>
      <c r="E639" t="s">
        <v>16</v>
      </c>
      <c r="F639" t="s">
        <v>12</v>
      </c>
      <c r="G639" t="s">
        <v>13</v>
      </c>
      <c r="H639" t="s">
        <v>13</v>
      </c>
      <c r="I639">
        <v>53</v>
      </c>
      <c r="J639">
        <f>ABS((I639-EDA!$A$15)/EDA!$B$15)</f>
        <v>0.77776894370722982</v>
      </c>
      <c r="K639" t="str">
        <f t="shared" si="9"/>
        <v>No</v>
      </c>
      <c r="L639">
        <f>ABS((C639-EDA!$F$15)/EDA!$G$15)</f>
        <v>0.27963169086501893</v>
      </c>
      <c r="M639" t="str">
        <f>IF(moras[[#This Row],[Z-Score Salario]]&gt;1.96, "Sí", "No")</f>
        <v>No</v>
      </c>
      <c r="N639" s="14">
        <f>IF(ISBLANK(moras[[#This Row],[SALARIO]]), EDA!$M$8, moras[[#This Row],[SALARIO]])</f>
        <v>5770325</v>
      </c>
      <c r="O639" s="14">
        <f xml:space="preserve"> IF(ISBLANK(moras[[#This Row],[EDAD]]), EDA!$E$8, moras[[#This Row],[EDAD]])</f>
        <v>53</v>
      </c>
      <c r="P639" s="14" t="str">
        <f>IF(
    OR(ISBLANK(moras[[#This Row],[TIPO_ASEGURAMIENTO]]), moras[[#This Row],[TIPO_ASEGURAMIENTO]]=""),
    EDA!$A$32,
    moras[[#This Row],[TIPO_ASEGURAMIENTO]]
)</f>
        <v>ASALARIADO</v>
      </c>
    </row>
    <row r="640" spans="1:16" x14ac:dyDescent="0.3">
      <c r="A640">
        <v>639</v>
      </c>
      <c r="B640" t="s">
        <v>9</v>
      </c>
      <c r="C640">
        <v>305704</v>
      </c>
      <c r="D640" t="s">
        <v>18</v>
      </c>
      <c r="E640" t="s">
        <v>16</v>
      </c>
      <c r="F640" t="s">
        <v>12</v>
      </c>
      <c r="G640" t="s">
        <v>13</v>
      </c>
      <c r="H640" t="s">
        <v>13</v>
      </c>
      <c r="I640">
        <v>68</v>
      </c>
      <c r="J640">
        <f>ABS((I640-EDA!$A$15)/EDA!$B$15)</f>
        <v>1.8363988948642924</v>
      </c>
      <c r="K640" t="str">
        <f t="shared" si="9"/>
        <v>No</v>
      </c>
      <c r="L640">
        <f>ABS((C640-EDA!$F$15)/EDA!$G$15)</f>
        <v>0.37056684184763578</v>
      </c>
      <c r="M640" t="str">
        <f>IF(moras[[#This Row],[Z-Score Salario]]&gt;1.96, "Sí", "No")</f>
        <v>No</v>
      </c>
      <c r="N640" s="14">
        <f>IF(ISBLANK(moras[[#This Row],[SALARIO]]), EDA!$M$8, moras[[#This Row],[SALARIO]])</f>
        <v>305704</v>
      </c>
      <c r="O640" s="14">
        <f xml:space="preserve"> IF(ISBLANK(moras[[#This Row],[EDAD]]), EDA!$E$8, moras[[#This Row],[EDAD]])</f>
        <v>68</v>
      </c>
      <c r="P640" s="14" t="str">
        <f>IF(
    OR(ISBLANK(moras[[#This Row],[TIPO_ASEGURAMIENTO]]), moras[[#This Row],[TIPO_ASEGURAMIENTO]]=""),
    EDA!$A$32,
    moras[[#This Row],[TIPO_ASEGURAMIENTO]]
)</f>
        <v>TRABAJADOR INDEPENDIENTE</v>
      </c>
    </row>
    <row r="641" spans="1:16" x14ac:dyDescent="0.3">
      <c r="A641">
        <v>640</v>
      </c>
      <c r="B641" t="s">
        <v>15</v>
      </c>
      <c r="C641">
        <v>297045</v>
      </c>
      <c r="D641" t="s">
        <v>17</v>
      </c>
      <c r="E641" t="s">
        <v>16</v>
      </c>
      <c r="F641" t="s">
        <v>12</v>
      </c>
      <c r="G641" t="s">
        <v>13</v>
      </c>
      <c r="H641" t="s">
        <v>13</v>
      </c>
      <c r="I641">
        <v>30</v>
      </c>
      <c r="J641">
        <f>ABS((I641-EDA!$A$15)/EDA!$B$15)</f>
        <v>0.84546364806693275</v>
      </c>
      <c r="K641" t="str">
        <f t="shared" si="9"/>
        <v>No</v>
      </c>
      <c r="L641">
        <f>ABS((C641-EDA!$F$15)/EDA!$G$15)</f>
        <v>0.37071093372012948</v>
      </c>
      <c r="M641" t="str">
        <f>IF(moras[[#This Row],[Z-Score Salario]]&gt;1.96, "Sí", "No")</f>
        <v>No</v>
      </c>
      <c r="N641" s="14">
        <f>IF(ISBLANK(moras[[#This Row],[SALARIO]]), EDA!$M$8, moras[[#This Row],[SALARIO]])</f>
        <v>297045</v>
      </c>
      <c r="O641" s="14">
        <f xml:space="preserve"> IF(ISBLANK(moras[[#This Row],[EDAD]]), EDA!$E$8, moras[[#This Row],[EDAD]])</f>
        <v>30</v>
      </c>
      <c r="P641" s="14" t="str">
        <f>IF(
    OR(ISBLANK(moras[[#This Row],[TIPO_ASEGURAMIENTO]]), moras[[#This Row],[TIPO_ASEGURAMIENTO]]=""),
    EDA!$A$32,
    moras[[#This Row],[TIPO_ASEGURAMIENTO]]
)</f>
        <v>ASEGURADO VOLUNTARIO</v>
      </c>
    </row>
    <row r="642" spans="1:16" x14ac:dyDescent="0.3">
      <c r="A642">
        <v>641</v>
      </c>
      <c r="B642" t="s">
        <v>15</v>
      </c>
      <c r="C642">
        <v>697711</v>
      </c>
      <c r="D642" t="s">
        <v>14</v>
      </c>
      <c r="E642" t="s">
        <v>11</v>
      </c>
      <c r="F642" t="s">
        <v>12</v>
      </c>
      <c r="G642" t="s">
        <v>13</v>
      </c>
      <c r="H642" t="s">
        <v>13</v>
      </c>
      <c r="I642">
        <v>76</v>
      </c>
      <c r="J642">
        <f>ABS((I642-EDA!$A$15)/EDA!$B$15)</f>
        <v>2.4010015354813925</v>
      </c>
      <c r="K642" t="str">
        <f t="shared" ref="K642:K705" si="10">IF(J642 &gt;  1.96, "Sí","No")</f>
        <v>Sí</v>
      </c>
      <c r="L642">
        <f>ABS((C642-EDA!$F$15)/EDA!$G$15)</f>
        <v>0.36404356864511311</v>
      </c>
      <c r="M642" t="str">
        <f>IF(moras[[#This Row],[Z-Score Salario]]&gt;1.96, "Sí", "No")</f>
        <v>No</v>
      </c>
      <c r="N642" s="14">
        <f>IF(ISBLANK(moras[[#This Row],[SALARIO]]), EDA!$M$8, moras[[#This Row],[SALARIO]])</f>
        <v>697711</v>
      </c>
      <c r="O642" s="14">
        <f xml:space="preserve"> IF(ISBLANK(moras[[#This Row],[EDAD]]), EDA!$E$8, moras[[#This Row],[EDAD]])</f>
        <v>76</v>
      </c>
      <c r="P642" s="14" t="str">
        <f>IF(
    OR(ISBLANK(moras[[#This Row],[TIPO_ASEGURAMIENTO]]), moras[[#This Row],[TIPO_ASEGURAMIENTO]]=""),
    EDA!$A$32,
    moras[[#This Row],[TIPO_ASEGURAMIENTO]]
)</f>
        <v>PENSIONADOS EN SU PROPIO SISTEMA</v>
      </c>
    </row>
    <row r="643" spans="1:16" x14ac:dyDescent="0.3">
      <c r="A643">
        <v>642</v>
      </c>
      <c r="B643" t="s">
        <v>9</v>
      </c>
      <c r="C643">
        <v>16110565</v>
      </c>
      <c r="D643" t="s">
        <v>10</v>
      </c>
      <c r="E643" t="s">
        <v>11</v>
      </c>
      <c r="F643" t="s">
        <v>12</v>
      </c>
      <c r="G643" t="s">
        <v>13</v>
      </c>
      <c r="H643" t="s">
        <v>13</v>
      </c>
      <c r="I643">
        <v>55</v>
      </c>
      <c r="J643">
        <f>ABS((I643-EDA!$A$15)/EDA!$B$15)</f>
        <v>0.91891960386150484</v>
      </c>
      <c r="K643" t="str">
        <f t="shared" si="10"/>
        <v>No</v>
      </c>
      <c r="L643">
        <f>ABS((C643-EDA!$F$15)/EDA!$G$15)</f>
        <v>0.10756279796348119</v>
      </c>
      <c r="M643" t="str">
        <f>IF(moras[[#This Row],[Z-Score Salario]]&gt;1.96, "Sí", "No")</f>
        <v>No</v>
      </c>
      <c r="N643" s="14">
        <f>IF(ISBLANK(moras[[#This Row],[SALARIO]]), EDA!$M$8, moras[[#This Row],[SALARIO]])</f>
        <v>16110565</v>
      </c>
      <c r="O643" s="14">
        <f xml:space="preserve"> IF(ISBLANK(moras[[#This Row],[EDAD]]), EDA!$E$8, moras[[#This Row],[EDAD]])</f>
        <v>55</v>
      </c>
      <c r="P643" s="14" t="str">
        <f>IF(
    OR(ISBLANK(moras[[#This Row],[TIPO_ASEGURAMIENTO]]), moras[[#This Row],[TIPO_ASEGURAMIENTO]]=""),
    EDA!$A$32,
    moras[[#This Row],[TIPO_ASEGURAMIENTO]]
)</f>
        <v>ASALARIADO</v>
      </c>
    </row>
    <row r="644" spans="1:16" x14ac:dyDescent="0.3">
      <c r="A644">
        <v>643</v>
      </c>
      <c r="B644" t="s">
        <v>9</v>
      </c>
      <c r="C644">
        <v>278030</v>
      </c>
      <c r="D644" t="s">
        <v>19</v>
      </c>
      <c r="E644" t="s">
        <v>16</v>
      </c>
      <c r="F644" t="s">
        <v>12</v>
      </c>
      <c r="G644" t="s">
        <v>13</v>
      </c>
      <c r="H644" t="s">
        <v>13</v>
      </c>
      <c r="I644">
        <v>26</v>
      </c>
      <c r="J644">
        <f>ABS((I644-EDA!$A$15)/EDA!$B$15)</f>
        <v>1.1277649683754829</v>
      </c>
      <c r="K644" t="str">
        <f t="shared" si="10"/>
        <v>No</v>
      </c>
      <c r="L644">
        <f>ABS((C644-EDA!$F$15)/EDA!$G$15)</f>
        <v>0.37102735674304993</v>
      </c>
      <c r="M644" t="str">
        <f>IF(moras[[#This Row],[Z-Score Salario]]&gt;1.96, "Sí", "No")</f>
        <v>No</v>
      </c>
      <c r="N644" s="14">
        <f>IF(ISBLANK(moras[[#This Row],[SALARIO]]), EDA!$M$8, moras[[#This Row],[SALARIO]])</f>
        <v>278030</v>
      </c>
      <c r="O644" s="14">
        <f xml:space="preserve"> IF(ISBLANK(moras[[#This Row],[EDAD]]), EDA!$E$8, moras[[#This Row],[EDAD]])</f>
        <v>26</v>
      </c>
      <c r="P644" s="14" t="str">
        <f>IF(
    OR(ISBLANK(moras[[#This Row],[TIPO_ASEGURAMIENTO]]), moras[[#This Row],[TIPO_ASEGURAMIENTO]]=""),
    EDA!$A$32,
    moras[[#This Row],[TIPO_ASEGURAMIENTO]]
)</f>
        <v>CONVENIOS ESPECIALES DE TRABAJADORES INDEPENDIENTES</v>
      </c>
    </row>
    <row r="645" spans="1:16" x14ac:dyDescent="0.3">
      <c r="A645">
        <v>644</v>
      </c>
      <c r="B645" t="s">
        <v>15</v>
      </c>
      <c r="C645">
        <v>970360</v>
      </c>
      <c r="D645" t="s">
        <v>10</v>
      </c>
      <c r="E645" t="s">
        <v>11</v>
      </c>
      <c r="F645" t="s">
        <v>12</v>
      </c>
      <c r="G645" t="s">
        <v>13</v>
      </c>
      <c r="H645" t="s">
        <v>13</v>
      </c>
      <c r="I645">
        <v>41</v>
      </c>
      <c r="J645">
        <f>ABS((I645-EDA!$A$15)/EDA!$B$15)</f>
        <v>6.9135017218420233E-2</v>
      </c>
      <c r="K645" t="str">
        <f t="shared" si="10"/>
        <v>No</v>
      </c>
      <c r="L645">
        <f>ABS((C645-EDA!$F$15)/EDA!$G$15)</f>
        <v>0.35950649681885843</v>
      </c>
      <c r="M645" t="str">
        <f>IF(moras[[#This Row],[Z-Score Salario]]&gt;1.96, "Sí", "No")</f>
        <v>No</v>
      </c>
      <c r="N645" s="14">
        <f>IF(ISBLANK(moras[[#This Row],[SALARIO]]), EDA!$M$8, moras[[#This Row],[SALARIO]])</f>
        <v>970360</v>
      </c>
      <c r="O645" s="14">
        <f xml:space="preserve"> IF(ISBLANK(moras[[#This Row],[EDAD]]), EDA!$E$8, moras[[#This Row],[EDAD]])</f>
        <v>41</v>
      </c>
      <c r="P645" s="14" t="str">
        <f>IF(
    OR(ISBLANK(moras[[#This Row],[TIPO_ASEGURAMIENTO]]), moras[[#This Row],[TIPO_ASEGURAMIENTO]]=""),
    EDA!$A$32,
    moras[[#This Row],[TIPO_ASEGURAMIENTO]]
)</f>
        <v>ASALARIADO</v>
      </c>
    </row>
    <row r="646" spans="1:16" x14ac:dyDescent="0.3">
      <c r="A646">
        <v>645</v>
      </c>
      <c r="B646" t="s">
        <v>15</v>
      </c>
      <c r="C646">
        <v>15978723</v>
      </c>
      <c r="D646" t="s">
        <v>10</v>
      </c>
      <c r="E646" t="s">
        <v>16</v>
      </c>
      <c r="F646" t="s">
        <v>12</v>
      </c>
      <c r="G646" t="s">
        <v>13</v>
      </c>
      <c r="H646" t="s">
        <v>13</v>
      </c>
      <c r="I646">
        <v>36</v>
      </c>
      <c r="J646">
        <f>ABS((I646-EDA!$A$15)/EDA!$B$15)</f>
        <v>0.42201166760410774</v>
      </c>
      <c r="K646" t="str">
        <f t="shared" si="10"/>
        <v>No</v>
      </c>
      <c r="L646">
        <f>ABS((C646-EDA!$F$15)/EDA!$G$15)</f>
        <v>0.10975674191235708</v>
      </c>
      <c r="M646" t="str">
        <f>IF(moras[[#This Row],[Z-Score Salario]]&gt;1.96, "Sí", "No")</f>
        <v>No</v>
      </c>
      <c r="N646" s="14">
        <f>IF(ISBLANK(moras[[#This Row],[SALARIO]]), EDA!$M$8, moras[[#This Row],[SALARIO]])</f>
        <v>15978723</v>
      </c>
      <c r="O646" s="14">
        <f xml:space="preserve"> IF(ISBLANK(moras[[#This Row],[EDAD]]), EDA!$E$8, moras[[#This Row],[EDAD]])</f>
        <v>36</v>
      </c>
      <c r="P646" s="14" t="str">
        <f>IF(
    OR(ISBLANK(moras[[#This Row],[TIPO_ASEGURAMIENTO]]), moras[[#This Row],[TIPO_ASEGURAMIENTO]]=""),
    EDA!$A$32,
    moras[[#This Row],[TIPO_ASEGURAMIENTO]]
)</f>
        <v>ASALARIADO</v>
      </c>
    </row>
    <row r="647" spans="1:16" x14ac:dyDescent="0.3">
      <c r="A647">
        <v>646</v>
      </c>
      <c r="B647" t="s">
        <v>9</v>
      </c>
      <c r="C647">
        <v>680400</v>
      </c>
      <c r="D647" t="s">
        <v>10</v>
      </c>
      <c r="E647" t="s">
        <v>16</v>
      </c>
      <c r="F647" t="s">
        <v>12</v>
      </c>
      <c r="G647" t="s">
        <v>13</v>
      </c>
      <c r="H647" t="s">
        <v>13</v>
      </c>
      <c r="I647">
        <v>63</v>
      </c>
      <c r="J647">
        <f>ABS((I647-EDA!$A$15)/EDA!$B$15)</f>
        <v>1.4835222444786049</v>
      </c>
      <c r="K647" t="str">
        <f t="shared" si="10"/>
        <v>No</v>
      </c>
      <c r="L647">
        <f>ABS((C647-EDA!$F$15)/EDA!$G$15)</f>
        <v>0.36433163590515916</v>
      </c>
      <c r="M647" t="str">
        <f>IF(moras[[#This Row],[Z-Score Salario]]&gt;1.96, "Sí", "No")</f>
        <v>No</v>
      </c>
      <c r="N647" s="14">
        <f>IF(ISBLANK(moras[[#This Row],[SALARIO]]), EDA!$M$8, moras[[#This Row],[SALARIO]])</f>
        <v>680400</v>
      </c>
      <c r="O647" s="14">
        <f xml:space="preserve"> IF(ISBLANK(moras[[#This Row],[EDAD]]), EDA!$E$8, moras[[#This Row],[EDAD]])</f>
        <v>63</v>
      </c>
      <c r="P647" s="14" t="str">
        <f>IF(
    OR(ISBLANK(moras[[#This Row],[TIPO_ASEGURAMIENTO]]), moras[[#This Row],[TIPO_ASEGURAMIENTO]]=""),
    EDA!$A$32,
    moras[[#This Row],[TIPO_ASEGURAMIENTO]]
)</f>
        <v>ASALARIADO</v>
      </c>
    </row>
    <row r="648" spans="1:16" x14ac:dyDescent="0.3">
      <c r="A648">
        <v>647</v>
      </c>
      <c r="B648" t="s">
        <v>15</v>
      </c>
      <c r="C648">
        <v>155665339</v>
      </c>
      <c r="D648" t="s">
        <v>10</v>
      </c>
      <c r="E648" t="s">
        <v>16</v>
      </c>
      <c r="F648" t="s">
        <v>12</v>
      </c>
      <c r="G648" t="s">
        <v>13</v>
      </c>
      <c r="H648" t="s">
        <v>13</v>
      </c>
      <c r="I648">
        <v>44</v>
      </c>
      <c r="J648">
        <f>ABS((I648-EDA!$A$15)/EDA!$B$15)</f>
        <v>0.14259097301299228</v>
      </c>
      <c r="K648" t="str">
        <f t="shared" si="10"/>
        <v>No</v>
      </c>
      <c r="L648">
        <f>ABS((C648-EDA!$F$15)/EDA!$G$15)</f>
        <v>2.2147271548136596</v>
      </c>
      <c r="M648" t="str">
        <f>IF(moras[[#This Row],[Z-Score Salario]]&gt;1.96, "Sí", "No")</f>
        <v>Sí</v>
      </c>
      <c r="N648" s="14">
        <f>IF(ISBLANK(moras[[#This Row],[SALARIO]]), EDA!$M$8, moras[[#This Row],[SALARIO]])</f>
        <v>155665339</v>
      </c>
      <c r="O648" s="14">
        <f xml:space="preserve"> IF(ISBLANK(moras[[#This Row],[EDAD]]), EDA!$E$8, moras[[#This Row],[EDAD]])</f>
        <v>44</v>
      </c>
      <c r="P648" s="14" t="str">
        <f>IF(
    OR(ISBLANK(moras[[#This Row],[TIPO_ASEGURAMIENTO]]), moras[[#This Row],[TIPO_ASEGURAMIENTO]]=""),
    EDA!$A$32,
    moras[[#This Row],[TIPO_ASEGURAMIENTO]]
)</f>
        <v>ASALARIADO</v>
      </c>
    </row>
    <row r="649" spans="1:16" x14ac:dyDescent="0.3">
      <c r="A649">
        <v>648</v>
      </c>
      <c r="B649" t="s">
        <v>15</v>
      </c>
      <c r="C649">
        <v>280000</v>
      </c>
      <c r="D649" t="s">
        <v>10</v>
      </c>
      <c r="E649" t="s">
        <v>16</v>
      </c>
      <c r="F649" t="s">
        <v>12</v>
      </c>
      <c r="G649" t="s">
        <v>12</v>
      </c>
      <c r="H649" t="s">
        <v>13</v>
      </c>
      <c r="I649">
        <v>59</v>
      </c>
      <c r="J649">
        <f>ABS((I649-EDA!$A$15)/EDA!$B$15)</f>
        <v>1.2012209241700549</v>
      </c>
      <c r="K649" t="str">
        <f t="shared" si="10"/>
        <v>No</v>
      </c>
      <c r="L649">
        <f>ABS((C649-EDA!$F$15)/EDA!$G$15)</f>
        <v>0.37099457455240292</v>
      </c>
      <c r="M649" t="str">
        <f>IF(moras[[#This Row],[Z-Score Salario]]&gt;1.96, "Sí", "No")</f>
        <v>No</v>
      </c>
      <c r="N649" s="14">
        <f>IF(ISBLANK(moras[[#This Row],[SALARIO]]), EDA!$M$8, moras[[#This Row],[SALARIO]])</f>
        <v>280000</v>
      </c>
      <c r="O649" s="14">
        <f xml:space="preserve"> IF(ISBLANK(moras[[#This Row],[EDAD]]), EDA!$E$8, moras[[#This Row],[EDAD]])</f>
        <v>59</v>
      </c>
      <c r="P649" s="14" t="str">
        <f>IF(
    OR(ISBLANK(moras[[#This Row],[TIPO_ASEGURAMIENTO]]), moras[[#This Row],[TIPO_ASEGURAMIENTO]]=""),
    EDA!$A$32,
    moras[[#This Row],[TIPO_ASEGURAMIENTO]]
)</f>
        <v>ASALARIADO</v>
      </c>
    </row>
    <row r="650" spans="1:16" x14ac:dyDescent="0.3">
      <c r="A650">
        <v>649</v>
      </c>
      <c r="B650" t="s">
        <v>9</v>
      </c>
      <c r="C650">
        <v>311895</v>
      </c>
      <c r="D650" t="s">
        <v>18</v>
      </c>
      <c r="E650" t="s">
        <v>16</v>
      </c>
      <c r="F650" t="s">
        <v>12</v>
      </c>
      <c r="G650" t="s">
        <v>13</v>
      </c>
      <c r="H650" t="s">
        <v>12</v>
      </c>
      <c r="I650">
        <v>41</v>
      </c>
      <c r="J650">
        <f>ABS((I650-EDA!$A$15)/EDA!$B$15)</f>
        <v>6.9135017218420233E-2</v>
      </c>
      <c r="K650" t="str">
        <f t="shared" si="10"/>
        <v>No</v>
      </c>
      <c r="L650">
        <f>ABS((C650-EDA!$F$15)/EDA!$G$15)</f>
        <v>0.37046381923733335</v>
      </c>
      <c r="M650" t="str">
        <f>IF(moras[[#This Row],[Z-Score Salario]]&gt;1.96, "Sí", "No")</f>
        <v>No</v>
      </c>
      <c r="N650" s="14">
        <f>IF(ISBLANK(moras[[#This Row],[SALARIO]]), EDA!$M$8, moras[[#This Row],[SALARIO]])</f>
        <v>311895</v>
      </c>
      <c r="O650" s="14">
        <f xml:space="preserve"> IF(ISBLANK(moras[[#This Row],[EDAD]]), EDA!$E$8, moras[[#This Row],[EDAD]])</f>
        <v>41</v>
      </c>
      <c r="P650" s="14" t="str">
        <f>IF(
    OR(ISBLANK(moras[[#This Row],[TIPO_ASEGURAMIENTO]]), moras[[#This Row],[TIPO_ASEGURAMIENTO]]=""),
    EDA!$A$32,
    moras[[#This Row],[TIPO_ASEGURAMIENTO]]
)</f>
        <v>TRABAJADOR INDEPENDIENTE</v>
      </c>
    </row>
    <row r="651" spans="1:16" x14ac:dyDescent="0.3">
      <c r="A651">
        <v>650</v>
      </c>
      <c r="B651" t="s">
        <v>9</v>
      </c>
      <c r="C651">
        <v>297046</v>
      </c>
      <c r="D651" t="s">
        <v>17</v>
      </c>
      <c r="E651" t="s">
        <v>16</v>
      </c>
      <c r="F651" t="s">
        <v>13</v>
      </c>
      <c r="G651" t="s">
        <v>12</v>
      </c>
      <c r="H651" t="s">
        <v>13</v>
      </c>
      <c r="I651">
        <v>71</v>
      </c>
      <c r="J651">
        <f>ABS((I651-EDA!$A$15)/EDA!$B$15)</f>
        <v>2.0481248850957048</v>
      </c>
      <c r="K651" t="str">
        <f t="shared" si="10"/>
        <v>Sí</v>
      </c>
      <c r="L651">
        <f>ABS((C651-EDA!$F$15)/EDA!$G$15)</f>
        <v>0.37071091707942361</v>
      </c>
      <c r="M651" t="str">
        <f>IF(moras[[#This Row],[Z-Score Salario]]&gt;1.96, "Sí", "No")</f>
        <v>No</v>
      </c>
      <c r="N651" s="14">
        <f>IF(ISBLANK(moras[[#This Row],[SALARIO]]), EDA!$M$8, moras[[#This Row],[SALARIO]])</f>
        <v>297046</v>
      </c>
      <c r="O651" s="14">
        <f xml:space="preserve"> IF(ISBLANK(moras[[#This Row],[EDAD]]), EDA!$E$8, moras[[#This Row],[EDAD]])</f>
        <v>71</v>
      </c>
      <c r="P651" s="14" t="str">
        <f>IF(
    OR(ISBLANK(moras[[#This Row],[TIPO_ASEGURAMIENTO]]), moras[[#This Row],[TIPO_ASEGURAMIENTO]]=""),
    EDA!$A$32,
    moras[[#This Row],[TIPO_ASEGURAMIENTO]]
)</f>
        <v>ASEGURADO VOLUNTARIO</v>
      </c>
    </row>
    <row r="652" spans="1:16" x14ac:dyDescent="0.3">
      <c r="A652">
        <v>651</v>
      </c>
      <c r="B652" t="s">
        <v>15</v>
      </c>
      <c r="C652">
        <v>540000</v>
      </c>
      <c r="D652" t="s">
        <v>10</v>
      </c>
      <c r="E652" t="s">
        <v>16</v>
      </c>
      <c r="F652" t="s">
        <v>12</v>
      </c>
      <c r="G652" t="s">
        <v>13</v>
      </c>
      <c r="H652" t="s">
        <v>13</v>
      </c>
      <c r="I652">
        <v>26</v>
      </c>
      <c r="J652">
        <f>ABS((I652-EDA!$A$15)/EDA!$B$15)</f>
        <v>1.1277649683754829</v>
      </c>
      <c r="K652" t="str">
        <f t="shared" si="10"/>
        <v>No</v>
      </c>
      <c r="L652">
        <f>ABS((C652-EDA!$F$15)/EDA!$G$15)</f>
        <v>0.36666799101523162</v>
      </c>
      <c r="M652" t="str">
        <f>IF(moras[[#This Row],[Z-Score Salario]]&gt;1.96, "Sí", "No")</f>
        <v>No</v>
      </c>
      <c r="N652" s="14">
        <f>IF(ISBLANK(moras[[#This Row],[SALARIO]]), EDA!$M$8, moras[[#This Row],[SALARIO]])</f>
        <v>540000</v>
      </c>
      <c r="O652" s="14">
        <f xml:space="preserve"> IF(ISBLANK(moras[[#This Row],[EDAD]]), EDA!$E$8, moras[[#This Row],[EDAD]])</f>
        <v>26</v>
      </c>
      <c r="P652" s="14" t="str">
        <f>IF(
    OR(ISBLANK(moras[[#This Row],[TIPO_ASEGURAMIENTO]]), moras[[#This Row],[TIPO_ASEGURAMIENTO]]=""),
    EDA!$A$32,
    moras[[#This Row],[TIPO_ASEGURAMIENTO]]
)</f>
        <v>ASALARIADO</v>
      </c>
    </row>
    <row r="653" spans="1:16" x14ac:dyDescent="0.3">
      <c r="A653">
        <v>652</v>
      </c>
      <c r="B653" t="s">
        <v>15</v>
      </c>
      <c r="C653">
        <v>312690</v>
      </c>
      <c r="D653" t="s">
        <v>10</v>
      </c>
      <c r="E653" t="s">
        <v>11</v>
      </c>
      <c r="F653" t="s">
        <v>12</v>
      </c>
      <c r="G653" t="s">
        <v>13</v>
      </c>
      <c r="H653" t="s">
        <v>13</v>
      </c>
      <c r="I653">
        <v>57</v>
      </c>
      <c r="J653">
        <f>ABS((I653-EDA!$A$15)/EDA!$B$15)</f>
        <v>1.0600702640157798</v>
      </c>
      <c r="K653" t="str">
        <f t="shared" si="10"/>
        <v>No</v>
      </c>
      <c r="L653">
        <f>ABS((C653-EDA!$F$15)/EDA!$G$15)</f>
        <v>0.37045058987613316</v>
      </c>
      <c r="M653" t="str">
        <f>IF(moras[[#This Row],[Z-Score Salario]]&gt;1.96, "Sí", "No")</f>
        <v>No</v>
      </c>
      <c r="N653" s="14">
        <f>IF(ISBLANK(moras[[#This Row],[SALARIO]]), EDA!$M$8, moras[[#This Row],[SALARIO]])</f>
        <v>312690</v>
      </c>
      <c r="O653" s="14">
        <f xml:space="preserve"> IF(ISBLANK(moras[[#This Row],[EDAD]]), EDA!$E$8, moras[[#This Row],[EDAD]])</f>
        <v>57</v>
      </c>
      <c r="P653" s="14" t="str">
        <f>IF(
    OR(ISBLANK(moras[[#This Row],[TIPO_ASEGURAMIENTO]]), moras[[#This Row],[TIPO_ASEGURAMIENTO]]=""),
    EDA!$A$32,
    moras[[#This Row],[TIPO_ASEGURAMIENTO]]
)</f>
        <v>ASALARIADO</v>
      </c>
    </row>
    <row r="654" spans="1:16" x14ac:dyDescent="0.3">
      <c r="A654">
        <v>653</v>
      </c>
      <c r="B654" t="s">
        <v>9</v>
      </c>
      <c r="C654">
        <v>216975</v>
      </c>
      <c r="D654" t="s">
        <v>10</v>
      </c>
      <c r="E654" t="s">
        <v>16</v>
      </c>
      <c r="F654" t="s">
        <v>12</v>
      </c>
      <c r="G654" t="s">
        <v>13</v>
      </c>
      <c r="H654" t="s">
        <v>13</v>
      </c>
      <c r="I654">
        <v>32</v>
      </c>
      <c r="J654">
        <f>ABS((I654-EDA!$A$15)/EDA!$B$15)</f>
        <v>0.70431298791265773</v>
      </c>
      <c r="K654" t="str">
        <f t="shared" si="10"/>
        <v>No</v>
      </c>
      <c r="L654">
        <f>ABS((C654-EDA!$F$15)/EDA!$G$15)</f>
        <v>0.37204335504251912</v>
      </c>
      <c r="M654" t="str">
        <f>IF(moras[[#This Row],[Z-Score Salario]]&gt;1.96, "Sí", "No")</f>
        <v>No</v>
      </c>
      <c r="N654" s="14">
        <f>IF(ISBLANK(moras[[#This Row],[SALARIO]]), EDA!$M$8, moras[[#This Row],[SALARIO]])</f>
        <v>216975</v>
      </c>
      <c r="O654" s="14">
        <f xml:space="preserve"> IF(ISBLANK(moras[[#This Row],[EDAD]]), EDA!$E$8, moras[[#This Row],[EDAD]])</f>
        <v>32</v>
      </c>
      <c r="P654" s="14" t="str">
        <f>IF(
    OR(ISBLANK(moras[[#This Row],[TIPO_ASEGURAMIENTO]]), moras[[#This Row],[TIPO_ASEGURAMIENTO]]=""),
    EDA!$A$32,
    moras[[#This Row],[TIPO_ASEGURAMIENTO]]
)</f>
        <v>ASALARIADO</v>
      </c>
    </row>
    <row r="655" spans="1:16" x14ac:dyDescent="0.3">
      <c r="A655">
        <v>654</v>
      </c>
      <c r="B655" t="s">
        <v>9</v>
      </c>
      <c r="C655">
        <v>25449492</v>
      </c>
      <c r="D655" t="s">
        <v>10</v>
      </c>
      <c r="E655" t="s">
        <v>11</v>
      </c>
      <c r="F655" t="s">
        <v>12</v>
      </c>
      <c r="G655" t="s">
        <v>13</v>
      </c>
      <c r="H655" t="s">
        <v>13</v>
      </c>
      <c r="I655">
        <v>31</v>
      </c>
      <c r="J655">
        <f>ABS((I655-EDA!$A$15)/EDA!$B$15)</f>
        <v>0.77488831798979529</v>
      </c>
      <c r="K655" t="str">
        <f t="shared" si="10"/>
        <v>No</v>
      </c>
      <c r="L655">
        <f>ABS((C655-EDA!$F$15)/EDA!$G$15)</f>
        <v>4.7843539778996656E-2</v>
      </c>
      <c r="M655" t="str">
        <f>IF(moras[[#This Row],[Z-Score Salario]]&gt;1.96, "Sí", "No")</f>
        <v>No</v>
      </c>
      <c r="N655" s="14">
        <f>IF(ISBLANK(moras[[#This Row],[SALARIO]]), EDA!$M$8, moras[[#This Row],[SALARIO]])</f>
        <v>25449492</v>
      </c>
      <c r="O655" s="14">
        <f xml:space="preserve"> IF(ISBLANK(moras[[#This Row],[EDAD]]), EDA!$E$8, moras[[#This Row],[EDAD]])</f>
        <v>31</v>
      </c>
      <c r="P655" s="14" t="str">
        <f>IF(
    OR(ISBLANK(moras[[#This Row],[TIPO_ASEGURAMIENTO]]), moras[[#This Row],[TIPO_ASEGURAMIENTO]]=""),
    EDA!$A$32,
    moras[[#This Row],[TIPO_ASEGURAMIENTO]]
)</f>
        <v>ASALARIADO</v>
      </c>
    </row>
    <row r="656" spans="1:16" x14ac:dyDescent="0.3">
      <c r="A656">
        <v>655</v>
      </c>
      <c r="B656" t="s">
        <v>9</v>
      </c>
      <c r="C656">
        <v>278030</v>
      </c>
      <c r="D656" t="s">
        <v>19</v>
      </c>
      <c r="E656" t="s">
        <v>16</v>
      </c>
      <c r="F656" t="s">
        <v>12</v>
      </c>
      <c r="G656" t="s">
        <v>12</v>
      </c>
      <c r="H656" t="s">
        <v>13</v>
      </c>
      <c r="I656">
        <v>38</v>
      </c>
      <c r="J656">
        <f>ABS((I656-EDA!$A$15)/EDA!$B$15)</f>
        <v>0.28086100744983278</v>
      </c>
      <c r="K656" t="str">
        <f t="shared" si="10"/>
        <v>No</v>
      </c>
      <c r="L656">
        <f>ABS((C656-EDA!$F$15)/EDA!$G$15)</f>
        <v>0.37102735674304993</v>
      </c>
      <c r="M656" t="str">
        <f>IF(moras[[#This Row],[Z-Score Salario]]&gt;1.96, "Sí", "No")</f>
        <v>No</v>
      </c>
      <c r="N656" s="14">
        <f>IF(ISBLANK(moras[[#This Row],[SALARIO]]), EDA!$M$8, moras[[#This Row],[SALARIO]])</f>
        <v>278030</v>
      </c>
      <c r="O656" s="14">
        <f xml:space="preserve"> IF(ISBLANK(moras[[#This Row],[EDAD]]), EDA!$E$8, moras[[#This Row],[EDAD]])</f>
        <v>38</v>
      </c>
      <c r="P656" s="14" t="str">
        <f>IF(
    OR(ISBLANK(moras[[#This Row],[TIPO_ASEGURAMIENTO]]), moras[[#This Row],[TIPO_ASEGURAMIENTO]]=""),
    EDA!$A$32,
    moras[[#This Row],[TIPO_ASEGURAMIENTO]]
)</f>
        <v>CONVENIOS ESPECIALES DE TRABAJADORES INDEPENDIENTES</v>
      </c>
    </row>
    <row r="657" spans="1:16" x14ac:dyDescent="0.3">
      <c r="A657">
        <v>656</v>
      </c>
      <c r="B657" t="s">
        <v>9</v>
      </c>
      <c r="C657">
        <v>29117801</v>
      </c>
      <c r="D657" t="s">
        <v>10</v>
      </c>
      <c r="E657" t="s">
        <v>16</v>
      </c>
      <c r="F657" t="s">
        <v>12</v>
      </c>
      <c r="G657" t="s">
        <v>13</v>
      </c>
      <c r="H657" t="s">
        <v>13</v>
      </c>
      <c r="I657">
        <v>34</v>
      </c>
      <c r="J657">
        <f>ABS((I657-EDA!$A$15)/EDA!$B$15)</f>
        <v>0.56316232775838282</v>
      </c>
      <c r="K657" t="str">
        <f t="shared" si="10"/>
        <v>No</v>
      </c>
      <c r="L657">
        <f>ABS((C657-EDA!$F$15)/EDA!$G$15)</f>
        <v>0.10888679104306277</v>
      </c>
      <c r="M657" t="str">
        <f>IF(moras[[#This Row],[Z-Score Salario]]&gt;1.96, "Sí", "No")</f>
        <v>No</v>
      </c>
      <c r="N657" s="14">
        <f>IF(ISBLANK(moras[[#This Row],[SALARIO]]), EDA!$M$8, moras[[#This Row],[SALARIO]])</f>
        <v>29117801</v>
      </c>
      <c r="O657" s="14">
        <f xml:space="preserve"> IF(ISBLANK(moras[[#This Row],[EDAD]]), EDA!$E$8, moras[[#This Row],[EDAD]])</f>
        <v>34</v>
      </c>
      <c r="P657" s="14" t="str">
        <f>IF(
    OR(ISBLANK(moras[[#This Row],[TIPO_ASEGURAMIENTO]]), moras[[#This Row],[TIPO_ASEGURAMIENTO]]=""),
    EDA!$A$32,
    moras[[#This Row],[TIPO_ASEGURAMIENTO]]
)</f>
        <v>ASALARIADO</v>
      </c>
    </row>
    <row r="658" spans="1:16" x14ac:dyDescent="0.3">
      <c r="A658">
        <v>657</v>
      </c>
      <c r="B658" t="s">
        <v>9</v>
      </c>
      <c r="C658">
        <v>1181901</v>
      </c>
      <c r="D658" t="s">
        <v>10</v>
      </c>
      <c r="E658" t="s">
        <v>11</v>
      </c>
      <c r="F658" t="s">
        <v>12</v>
      </c>
      <c r="G658" t="s">
        <v>13</v>
      </c>
      <c r="H658" t="s">
        <v>13</v>
      </c>
      <c r="I658">
        <v>55</v>
      </c>
      <c r="J658">
        <f>ABS((I658-EDA!$A$15)/EDA!$B$15)</f>
        <v>0.91891960386150484</v>
      </c>
      <c r="K658" t="str">
        <f t="shared" si="10"/>
        <v>No</v>
      </c>
      <c r="L658">
        <f>ABS((C658-EDA!$F$15)/EDA!$G$15)</f>
        <v>0.35598630524948632</v>
      </c>
      <c r="M658" t="str">
        <f>IF(moras[[#This Row],[Z-Score Salario]]&gt;1.96, "Sí", "No")</f>
        <v>No</v>
      </c>
      <c r="N658" s="14">
        <f>IF(ISBLANK(moras[[#This Row],[SALARIO]]), EDA!$M$8, moras[[#This Row],[SALARIO]])</f>
        <v>1181901</v>
      </c>
      <c r="O658" s="14">
        <f xml:space="preserve"> IF(ISBLANK(moras[[#This Row],[EDAD]]), EDA!$E$8, moras[[#This Row],[EDAD]])</f>
        <v>55</v>
      </c>
      <c r="P658" s="14" t="str">
        <f>IF(
    OR(ISBLANK(moras[[#This Row],[TIPO_ASEGURAMIENTO]]), moras[[#This Row],[TIPO_ASEGURAMIENTO]]=""),
    EDA!$A$32,
    moras[[#This Row],[TIPO_ASEGURAMIENTO]]
)</f>
        <v>ASALARIADO</v>
      </c>
    </row>
    <row r="659" spans="1:16" x14ac:dyDescent="0.3">
      <c r="A659">
        <v>658</v>
      </c>
      <c r="B659" t="s">
        <v>9</v>
      </c>
      <c r="C659">
        <v>49453906</v>
      </c>
      <c r="D659" t="s">
        <v>10</v>
      </c>
      <c r="E659" t="s">
        <v>16</v>
      </c>
      <c r="F659" t="s">
        <v>12</v>
      </c>
      <c r="G659" t="s">
        <v>12</v>
      </c>
      <c r="H659" t="s">
        <v>13</v>
      </c>
      <c r="I659">
        <v>39</v>
      </c>
      <c r="J659">
        <f>ABS((I659-EDA!$A$15)/EDA!$B$15)</f>
        <v>0.21028567737269524</v>
      </c>
      <c r="K659" t="str">
        <f t="shared" si="10"/>
        <v>No</v>
      </c>
      <c r="L659">
        <f>ABS((C659-EDA!$F$15)/EDA!$G$15)</f>
        <v>0.44729393374762533</v>
      </c>
      <c r="M659" t="str">
        <f>IF(moras[[#This Row],[Z-Score Salario]]&gt;1.96, "Sí", "No")</f>
        <v>No</v>
      </c>
      <c r="N659" s="14">
        <f>IF(ISBLANK(moras[[#This Row],[SALARIO]]), EDA!$M$8, moras[[#This Row],[SALARIO]])</f>
        <v>49453906</v>
      </c>
      <c r="O659" s="14">
        <f xml:space="preserve"> IF(ISBLANK(moras[[#This Row],[EDAD]]), EDA!$E$8, moras[[#This Row],[EDAD]])</f>
        <v>39</v>
      </c>
      <c r="P659" s="14" t="str">
        <f>IF(
    OR(ISBLANK(moras[[#This Row],[TIPO_ASEGURAMIENTO]]), moras[[#This Row],[TIPO_ASEGURAMIENTO]]=""),
    EDA!$A$32,
    moras[[#This Row],[TIPO_ASEGURAMIENTO]]
)</f>
        <v>ASALARIADO</v>
      </c>
    </row>
    <row r="660" spans="1:16" x14ac:dyDescent="0.3">
      <c r="A660">
        <v>659</v>
      </c>
      <c r="B660" t="s">
        <v>15</v>
      </c>
      <c r="C660">
        <v>299647</v>
      </c>
      <c r="D660" t="s">
        <v>17</v>
      </c>
      <c r="E660" t="s">
        <v>16</v>
      </c>
      <c r="F660" t="s">
        <v>12</v>
      </c>
      <c r="G660" t="s">
        <v>13</v>
      </c>
      <c r="H660" t="s">
        <v>13</v>
      </c>
      <c r="I660">
        <v>51</v>
      </c>
      <c r="J660">
        <f>ABS((I660-EDA!$A$15)/EDA!$B$15)</f>
        <v>0.6366182835529548</v>
      </c>
      <c r="K660" t="str">
        <f t="shared" si="10"/>
        <v>No</v>
      </c>
      <c r="L660">
        <f>ABS((C660-EDA!$F$15)/EDA!$G$15)</f>
        <v>0.37066763460334595</v>
      </c>
      <c r="M660" t="str">
        <f>IF(moras[[#This Row],[Z-Score Salario]]&gt;1.96, "Sí", "No")</f>
        <v>No</v>
      </c>
      <c r="N660" s="14">
        <f>IF(ISBLANK(moras[[#This Row],[SALARIO]]), EDA!$M$8, moras[[#This Row],[SALARIO]])</f>
        <v>299647</v>
      </c>
      <c r="O660" s="14">
        <f xml:space="preserve"> IF(ISBLANK(moras[[#This Row],[EDAD]]), EDA!$E$8, moras[[#This Row],[EDAD]])</f>
        <v>51</v>
      </c>
      <c r="P660" s="14" t="str">
        <f>IF(
    OR(ISBLANK(moras[[#This Row],[TIPO_ASEGURAMIENTO]]), moras[[#This Row],[TIPO_ASEGURAMIENTO]]=""),
    EDA!$A$32,
    moras[[#This Row],[TIPO_ASEGURAMIENTO]]
)</f>
        <v>ASEGURADO VOLUNTARIO</v>
      </c>
    </row>
    <row r="661" spans="1:16" x14ac:dyDescent="0.3">
      <c r="A661">
        <v>660</v>
      </c>
      <c r="B661" t="s">
        <v>9</v>
      </c>
      <c r="C661">
        <v>386161</v>
      </c>
      <c r="D661" t="s">
        <v>18</v>
      </c>
      <c r="E661" t="s">
        <v>16</v>
      </c>
      <c r="F661" t="s">
        <v>12</v>
      </c>
      <c r="G661" t="s">
        <v>13</v>
      </c>
      <c r="H661" t="s">
        <v>12</v>
      </c>
      <c r="I661">
        <v>49</v>
      </c>
      <c r="J661">
        <f>ABS((I661-EDA!$A$15)/EDA!$B$15)</f>
        <v>0.49546762339867978</v>
      </c>
      <c r="K661" t="str">
        <f t="shared" si="10"/>
        <v>No</v>
      </c>
      <c r="L661">
        <f>ABS((C661-EDA!$F$15)/EDA!$G$15)</f>
        <v>0.36922798057205813</v>
      </c>
      <c r="M661" t="str">
        <f>IF(moras[[#This Row],[Z-Score Salario]]&gt;1.96, "Sí", "No")</f>
        <v>No</v>
      </c>
      <c r="N661" s="14">
        <f>IF(ISBLANK(moras[[#This Row],[SALARIO]]), EDA!$M$8, moras[[#This Row],[SALARIO]])</f>
        <v>386161</v>
      </c>
      <c r="O661" s="14">
        <f xml:space="preserve"> IF(ISBLANK(moras[[#This Row],[EDAD]]), EDA!$E$8, moras[[#This Row],[EDAD]])</f>
        <v>49</v>
      </c>
      <c r="P661" s="14" t="str">
        <f>IF(
    OR(ISBLANK(moras[[#This Row],[TIPO_ASEGURAMIENTO]]), moras[[#This Row],[TIPO_ASEGURAMIENTO]]=""),
    EDA!$A$32,
    moras[[#This Row],[TIPO_ASEGURAMIENTO]]
)</f>
        <v>TRABAJADOR INDEPENDIENTE</v>
      </c>
    </row>
    <row r="662" spans="1:16" x14ac:dyDescent="0.3">
      <c r="A662">
        <v>661</v>
      </c>
      <c r="B662" t="s">
        <v>9</v>
      </c>
      <c r="C662">
        <v>300000</v>
      </c>
      <c r="D662" t="s">
        <v>18</v>
      </c>
      <c r="E662" t="s">
        <v>16</v>
      </c>
      <c r="F662" t="s">
        <v>12</v>
      </c>
      <c r="G662" t="s">
        <v>13</v>
      </c>
      <c r="H662" t="s">
        <v>13</v>
      </c>
      <c r="I662">
        <v>30</v>
      </c>
      <c r="J662">
        <f>ABS((I662-EDA!$A$15)/EDA!$B$15)</f>
        <v>0.84546364806693275</v>
      </c>
      <c r="K662" t="str">
        <f t="shared" si="10"/>
        <v>No</v>
      </c>
      <c r="L662">
        <f>ABS((C662-EDA!$F$15)/EDA!$G$15)</f>
        <v>0.37066176043415894</v>
      </c>
      <c r="M662" t="str">
        <f>IF(moras[[#This Row],[Z-Score Salario]]&gt;1.96, "Sí", "No")</f>
        <v>No</v>
      </c>
      <c r="N662" s="14">
        <f>IF(ISBLANK(moras[[#This Row],[SALARIO]]), EDA!$M$8, moras[[#This Row],[SALARIO]])</f>
        <v>300000</v>
      </c>
      <c r="O662" s="14">
        <f xml:space="preserve"> IF(ISBLANK(moras[[#This Row],[EDAD]]), EDA!$E$8, moras[[#This Row],[EDAD]])</f>
        <v>30</v>
      </c>
      <c r="P662" s="14" t="str">
        <f>IF(
    OR(ISBLANK(moras[[#This Row],[TIPO_ASEGURAMIENTO]]), moras[[#This Row],[TIPO_ASEGURAMIENTO]]=""),
    EDA!$A$32,
    moras[[#This Row],[TIPO_ASEGURAMIENTO]]
)</f>
        <v>TRABAJADOR INDEPENDIENTE</v>
      </c>
    </row>
    <row r="663" spans="1:16" x14ac:dyDescent="0.3">
      <c r="A663">
        <v>662</v>
      </c>
      <c r="B663" t="s">
        <v>9</v>
      </c>
      <c r="C663">
        <v>242587986</v>
      </c>
      <c r="D663" t="s">
        <v>10</v>
      </c>
      <c r="E663" t="s">
        <v>16</v>
      </c>
      <c r="F663" t="s">
        <v>12</v>
      </c>
      <c r="G663" t="s">
        <v>13</v>
      </c>
      <c r="H663" t="s">
        <v>13</v>
      </c>
      <c r="I663">
        <v>31</v>
      </c>
      <c r="J663">
        <f>ABS((I663-EDA!$A$15)/EDA!$B$15)</f>
        <v>0.77488831798979529</v>
      </c>
      <c r="K663" t="str">
        <f t="shared" si="10"/>
        <v>No</v>
      </c>
      <c r="L663">
        <f>ABS((C663-EDA!$F$15)/EDA!$G$15)</f>
        <v>3.6611813606503878</v>
      </c>
      <c r="M663" t="str">
        <f>IF(moras[[#This Row],[Z-Score Salario]]&gt;1.96, "Sí", "No")</f>
        <v>Sí</v>
      </c>
      <c r="N663" s="14">
        <f>IF(ISBLANK(moras[[#This Row],[SALARIO]]), EDA!$M$8, moras[[#This Row],[SALARIO]])</f>
        <v>242587986</v>
      </c>
      <c r="O663" s="14">
        <f xml:space="preserve"> IF(ISBLANK(moras[[#This Row],[EDAD]]), EDA!$E$8, moras[[#This Row],[EDAD]])</f>
        <v>31</v>
      </c>
      <c r="P663" s="14" t="str">
        <f>IF(
    OR(ISBLANK(moras[[#This Row],[TIPO_ASEGURAMIENTO]]), moras[[#This Row],[TIPO_ASEGURAMIENTO]]=""),
    EDA!$A$32,
    moras[[#This Row],[TIPO_ASEGURAMIENTO]]
)</f>
        <v>ASALARIADO</v>
      </c>
    </row>
    <row r="664" spans="1:16" x14ac:dyDescent="0.3">
      <c r="A664">
        <v>663</v>
      </c>
      <c r="B664" t="s">
        <v>9</v>
      </c>
      <c r="C664">
        <v>55261601</v>
      </c>
      <c r="D664" t="s">
        <v>10</v>
      </c>
      <c r="E664" t="s">
        <v>16</v>
      </c>
      <c r="F664" t="s">
        <v>12</v>
      </c>
      <c r="G664" t="s">
        <v>13</v>
      </c>
      <c r="H664" t="s">
        <v>13</v>
      </c>
      <c r="I664">
        <v>30</v>
      </c>
      <c r="J664">
        <f>ABS((I664-EDA!$A$15)/EDA!$B$15)</f>
        <v>0.84546364806693275</v>
      </c>
      <c r="K664" t="str">
        <f t="shared" si="10"/>
        <v>No</v>
      </c>
      <c r="L664">
        <f>ABS((C664-EDA!$F$15)/EDA!$G$15)</f>
        <v>0.54393807827036333</v>
      </c>
      <c r="M664" t="str">
        <f>IF(moras[[#This Row],[Z-Score Salario]]&gt;1.96, "Sí", "No")</f>
        <v>No</v>
      </c>
      <c r="N664" s="14">
        <f>IF(ISBLANK(moras[[#This Row],[SALARIO]]), EDA!$M$8, moras[[#This Row],[SALARIO]])</f>
        <v>55261601</v>
      </c>
      <c r="O664" s="14">
        <f xml:space="preserve"> IF(ISBLANK(moras[[#This Row],[EDAD]]), EDA!$E$8, moras[[#This Row],[EDAD]])</f>
        <v>30</v>
      </c>
      <c r="P664" s="14" t="str">
        <f>IF(
    OR(ISBLANK(moras[[#This Row],[TIPO_ASEGURAMIENTO]]), moras[[#This Row],[TIPO_ASEGURAMIENTO]]=""),
    EDA!$A$32,
    moras[[#This Row],[TIPO_ASEGURAMIENTO]]
)</f>
        <v>ASALARIADO</v>
      </c>
    </row>
    <row r="665" spans="1:16" x14ac:dyDescent="0.3">
      <c r="A665">
        <v>664</v>
      </c>
      <c r="B665" t="s">
        <v>9</v>
      </c>
      <c r="C665">
        <v>45496533</v>
      </c>
      <c r="D665" t="s">
        <v>10</v>
      </c>
      <c r="E665" t="s">
        <v>16</v>
      </c>
      <c r="F665" t="s">
        <v>12</v>
      </c>
      <c r="G665" t="s">
        <v>13</v>
      </c>
      <c r="H665" t="s">
        <v>12</v>
      </c>
      <c r="I665">
        <v>48</v>
      </c>
      <c r="J665">
        <f>ABS((I665-EDA!$A$15)/EDA!$B$15)</f>
        <v>0.42489229332154227</v>
      </c>
      <c r="K665" t="str">
        <f t="shared" si="10"/>
        <v>No</v>
      </c>
      <c r="L665">
        <f>ABS((C665-EDA!$F$15)/EDA!$G$15)</f>
        <v>0.38144045346975586</v>
      </c>
      <c r="M665" t="str">
        <f>IF(moras[[#This Row],[Z-Score Salario]]&gt;1.96, "Sí", "No")</f>
        <v>No</v>
      </c>
      <c r="N665" s="14">
        <f>IF(ISBLANK(moras[[#This Row],[SALARIO]]), EDA!$M$8, moras[[#This Row],[SALARIO]])</f>
        <v>45496533</v>
      </c>
      <c r="O665" s="14">
        <f xml:space="preserve"> IF(ISBLANK(moras[[#This Row],[EDAD]]), EDA!$E$8, moras[[#This Row],[EDAD]])</f>
        <v>48</v>
      </c>
      <c r="P665" s="14" t="str">
        <f>IF(
    OR(ISBLANK(moras[[#This Row],[TIPO_ASEGURAMIENTO]]), moras[[#This Row],[TIPO_ASEGURAMIENTO]]=""),
    EDA!$A$32,
    moras[[#This Row],[TIPO_ASEGURAMIENTO]]
)</f>
        <v>ASALARIADO</v>
      </c>
    </row>
    <row r="666" spans="1:16" x14ac:dyDescent="0.3">
      <c r="A666">
        <v>665</v>
      </c>
      <c r="B666" t="s">
        <v>15</v>
      </c>
      <c r="C666">
        <v>834260</v>
      </c>
      <c r="D666" t="s">
        <v>10</v>
      </c>
      <c r="E666" t="s">
        <v>11</v>
      </c>
      <c r="F666" t="s">
        <v>12</v>
      </c>
      <c r="G666" t="s">
        <v>13</v>
      </c>
      <c r="H666" t="s">
        <v>12</v>
      </c>
      <c r="I666">
        <v>42</v>
      </c>
      <c r="J666">
        <f>ABS((I666-EDA!$A$15)/EDA!$B$15)</f>
        <v>1.4403128587172659E-3</v>
      </c>
      <c r="K666" t="str">
        <f t="shared" si="10"/>
        <v>No</v>
      </c>
      <c r="L666">
        <f>ABS((C666-EDA!$F$15)/EDA!$G$15)</f>
        <v>0.36177129689350851</v>
      </c>
      <c r="M666" t="str">
        <f>IF(moras[[#This Row],[Z-Score Salario]]&gt;1.96, "Sí", "No")</f>
        <v>No</v>
      </c>
      <c r="N666" s="14">
        <f>IF(ISBLANK(moras[[#This Row],[SALARIO]]), EDA!$M$8, moras[[#This Row],[SALARIO]])</f>
        <v>834260</v>
      </c>
      <c r="O666" s="14">
        <f xml:space="preserve"> IF(ISBLANK(moras[[#This Row],[EDAD]]), EDA!$E$8, moras[[#This Row],[EDAD]])</f>
        <v>42</v>
      </c>
      <c r="P666" s="14" t="str">
        <f>IF(
    OR(ISBLANK(moras[[#This Row],[TIPO_ASEGURAMIENTO]]), moras[[#This Row],[TIPO_ASEGURAMIENTO]]=""),
    EDA!$A$32,
    moras[[#This Row],[TIPO_ASEGURAMIENTO]]
)</f>
        <v>ASALARIADO</v>
      </c>
    </row>
    <row r="667" spans="1:16" x14ac:dyDescent="0.3">
      <c r="A667">
        <v>666</v>
      </c>
      <c r="B667" t="s">
        <v>9</v>
      </c>
      <c r="C667">
        <v>329950</v>
      </c>
      <c r="D667" t="s">
        <v>18</v>
      </c>
      <c r="E667" t="s">
        <v>16</v>
      </c>
      <c r="F667" t="s">
        <v>12</v>
      </c>
      <c r="G667" t="s">
        <v>13</v>
      </c>
      <c r="H667" t="s">
        <v>12</v>
      </c>
      <c r="I667">
        <v>41</v>
      </c>
      <c r="J667">
        <f>ABS((I667-EDA!$A$15)/EDA!$B$15)</f>
        <v>6.9135017218420233E-2</v>
      </c>
      <c r="K667" t="str">
        <f t="shared" si="10"/>
        <v>No</v>
      </c>
      <c r="L667">
        <f>ABS((C667-EDA!$F$15)/EDA!$G$15)</f>
        <v>0.37016337129208865</v>
      </c>
      <c r="M667" t="str">
        <f>IF(moras[[#This Row],[Z-Score Salario]]&gt;1.96, "Sí", "No")</f>
        <v>No</v>
      </c>
      <c r="N667" s="14">
        <f>IF(ISBLANK(moras[[#This Row],[SALARIO]]), EDA!$M$8, moras[[#This Row],[SALARIO]])</f>
        <v>329950</v>
      </c>
      <c r="O667" s="14">
        <f xml:space="preserve"> IF(ISBLANK(moras[[#This Row],[EDAD]]), EDA!$E$8, moras[[#This Row],[EDAD]])</f>
        <v>41</v>
      </c>
      <c r="P667" s="14" t="str">
        <f>IF(
    OR(ISBLANK(moras[[#This Row],[TIPO_ASEGURAMIENTO]]), moras[[#This Row],[TIPO_ASEGURAMIENTO]]=""),
    EDA!$A$32,
    moras[[#This Row],[TIPO_ASEGURAMIENTO]]
)</f>
        <v>TRABAJADOR INDEPENDIENTE</v>
      </c>
    </row>
    <row r="668" spans="1:16" x14ac:dyDescent="0.3">
      <c r="A668">
        <v>667</v>
      </c>
      <c r="B668" t="s">
        <v>9</v>
      </c>
      <c r="C668">
        <v>1198</v>
      </c>
      <c r="D668" t="s">
        <v>10</v>
      </c>
      <c r="E668" t="s">
        <v>16</v>
      </c>
      <c r="F668" t="s">
        <v>12</v>
      </c>
      <c r="G668" t="s">
        <v>13</v>
      </c>
      <c r="H668" t="s">
        <v>13</v>
      </c>
      <c r="I668">
        <v>25</v>
      </c>
      <c r="J668">
        <f>ABS((I668-EDA!$A$15)/EDA!$B$15)</f>
        <v>1.1983402984526204</v>
      </c>
      <c r="K668" t="str">
        <f t="shared" si="10"/>
        <v>No</v>
      </c>
      <c r="L668">
        <f>ABS((C668-EDA!$F$15)/EDA!$G$15)</f>
        <v>0.37563403664213529</v>
      </c>
      <c r="M668" t="str">
        <f>IF(moras[[#This Row],[Z-Score Salario]]&gt;1.96, "Sí", "No")</f>
        <v>No</v>
      </c>
      <c r="N668" s="14">
        <f>IF(ISBLANK(moras[[#This Row],[SALARIO]]), EDA!$M$8, moras[[#This Row],[SALARIO]])</f>
        <v>1198</v>
      </c>
      <c r="O668" s="14">
        <f xml:space="preserve"> IF(ISBLANK(moras[[#This Row],[EDAD]]), EDA!$E$8, moras[[#This Row],[EDAD]])</f>
        <v>25</v>
      </c>
      <c r="P668" s="14" t="str">
        <f>IF(
    OR(ISBLANK(moras[[#This Row],[TIPO_ASEGURAMIENTO]]), moras[[#This Row],[TIPO_ASEGURAMIENTO]]=""),
    EDA!$A$32,
    moras[[#This Row],[TIPO_ASEGURAMIENTO]]
)</f>
        <v>ASALARIADO</v>
      </c>
    </row>
    <row r="669" spans="1:16" x14ac:dyDescent="0.3">
      <c r="A669">
        <v>668</v>
      </c>
      <c r="B669" t="s">
        <v>15</v>
      </c>
      <c r="C669">
        <v>29333333</v>
      </c>
      <c r="D669" t="s">
        <v>10</v>
      </c>
      <c r="E669" t="s">
        <v>16</v>
      </c>
      <c r="F669" t="s">
        <v>12</v>
      </c>
      <c r="G669" t="s">
        <v>13</v>
      </c>
      <c r="H669" t="s">
        <v>13</v>
      </c>
      <c r="I669">
        <v>24</v>
      </c>
      <c r="J669">
        <f>ABS((I669-EDA!$A$15)/EDA!$B$15)</f>
        <v>1.2689156285297578</v>
      </c>
      <c r="K669" t="str">
        <f t="shared" si="10"/>
        <v>No</v>
      </c>
      <c r="L669">
        <f>ABS((C669-EDA!$F$15)/EDA!$G$15)</f>
        <v>0.11247339566973046</v>
      </c>
      <c r="M669" t="str">
        <f>IF(moras[[#This Row],[Z-Score Salario]]&gt;1.96, "Sí", "No")</f>
        <v>No</v>
      </c>
      <c r="N669" s="14">
        <f>IF(ISBLANK(moras[[#This Row],[SALARIO]]), EDA!$M$8, moras[[#This Row],[SALARIO]])</f>
        <v>29333333</v>
      </c>
      <c r="O669" s="14">
        <f xml:space="preserve"> IF(ISBLANK(moras[[#This Row],[EDAD]]), EDA!$E$8, moras[[#This Row],[EDAD]])</f>
        <v>24</v>
      </c>
      <c r="P669" s="14" t="str">
        <f>IF(
    OR(ISBLANK(moras[[#This Row],[TIPO_ASEGURAMIENTO]]), moras[[#This Row],[TIPO_ASEGURAMIENTO]]=""),
    EDA!$A$32,
    moras[[#This Row],[TIPO_ASEGURAMIENTO]]
)</f>
        <v>ASALARIADO</v>
      </c>
    </row>
    <row r="670" spans="1:16" x14ac:dyDescent="0.3">
      <c r="A670">
        <v>669</v>
      </c>
      <c r="B670" t="s">
        <v>9</v>
      </c>
      <c r="C670">
        <v>580000</v>
      </c>
      <c r="D670" t="s">
        <v>10</v>
      </c>
      <c r="E670" t="s">
        <v>16</v>
      </c>
      <c r="F670" t="s">
        <v>12</v>
      </c>
      <c r="G670" t="s">
        <v>13</v>
      </c>
      <c r="H670" t="s">
        <v>13</v>
      </c>
      <c r="I670">
        <v>36</v>
      </c>
      <c r="J670">
        <f>ABS((I670-EDA!$A$15)/EDA!$B$15)</f>
        <v>0.42201166760410774</v>
      </c>
      <c r="K670" t="str">
        <f t="shared" si="10"/>
        <v>No</v>
      </c>
      <c r="L670">
        <f>ABS((C670-EDA!$F$15)/EDA!$G$15)</f>
        <v>0.36600236277874376</v>
      </c>
      <c r="M670" t="str">
        <f>IF(moras[[#This Row],[Z-Score Salario]]&gt;1.96, "Sí", "No")</f>
        <v>No</v>
      </c>
      <c r="N670" s="14">
        <f>IF(ISBLANK(moras[[#This Row],[SALARIO]]), EDA!$M$8, moras[[#This Row],[SALARIO]])</f>
        <v>580000</v>
      </c>
      <c r="O670" s="14">
        <f xml:space="preserve"> IF(ISBLANK(moras[[#This Row],[EDAD]]), EDA!$E$8, moras[[#This Row],[EDAD]])</f>
        <v>36</v>
      </c>
      <c r="P670" s="14" t="str">
        <f>IF(
    OR(ISBLANK(moras[[#This Row],[TIPO_ASEGURAMIENTO]]), moras[[#This Row],[TIPO_ASEGURAMIENTO]]=""),
    EDA!$A$32,
    moras[[#This Row],[TIPO_ASEGURAMIENTO]]
)</f>
        <v>ASALARIADO</v>
      </c>
    </row>
    <row r="671" spans="1:16" x14ac:dyDescent="0.3">
      <c r="A671">
        <v>670</v>
      </c>
      <c r="B671" t="s">
        <v>15</v>
      </c>
      <c r="C671">
        <v>817600</v>
      </c>
      <c r="D671" t="s">
        <v>10</v>
      </c>
      <c r="E671" t="s">
        <v>16</v>
      </c>
      <c r="F671" t="s">
        <v>12</v>
      </c>
      <c r="G671" t="s">
        <v>13</v>
      </c>
      <c r="H671" t="s">
        <v>13</v>
      </c>
      <c r="I671">
        <v>38</v>
      </c>
      <c r="J671">
        <f>ABS((I671-EDA!$A$15)/EDA!$B$15)</f>
        <v>0.28086100744983278</v>
      </c>
      <c r="K671" t="str">
        <f t="shared" si="10"/>
        <v>No</v>
      </c>
      <c r="L671">
        <f>ABS((C671-EDA!$F$15)/EDA!$G$15)</f>
        <v>0.3620485310540057</v>
      </c>
      <c r="M671" t="str">
        <f>IF(moras[[#This Row],[Z-Score Salario]]&gt;1.96, "Sí", "No")</f>
        <v>No</v>
      </c>
      <c r="N671" s="14">
        <f>IF(ISBLANK(moras[[#This Row],[SALARIO]]), EDA!$M$8, moras[[#This Row],[SALARIO]])</f>
        <v>817600</v>
      </c>
      <c r="O671" s="14">
        <f xml:space="preserve"> IF(ISBLANK(moras[[#This Row],[EDAD]]), EDA!$E$8, moras[[#This Row],[EDAD]])</f>
        <v>38</v>
      </c>
      <c r="P671" s="14" t="str">
        <f>IF(
    OR(ISBLANK(moras[[#This Row],[TIPO_ASEGURAMIENTO]]), moras[[#This Row],[TIPO_ASEGURAMIENTO]]=""),
    EDA!$A$32,
    moras[[#This Row],[TIPO_ASEGURAMIENTO]]
)</f>
        <v>ASALARIADO</v>
      </c>
    </row>
    <row r="672" spans="1:16" x14ac:dyDescent="0.3">
      <c r="A672">
        <v>671</v>
      </c>
      <c r="B672" t="s">
        <v>15</v>
      </c>
      <c r="C672">
        <v>38059081</v>
      </c>
      <c r="D672" t="s">
        <v>10</v>
      </c>
      <c r="E672" t="s">
        <v>16</v>
      </c>
      <c r="F672" t="s">
        <v>12</v>
      </c>
      <c r="G672" t="s">
        <v>13</v>
      </c>
      <c r="H672" t="s">
        <v>13</v>
      </c>
      <c r="I672">
        <v>33</v>
      </c>
      <c r="J672">
        <f>ABS((I672-EDA!$A$15)/EDA!$B$15)</f>
        <v>0.63373765783552027</v>
      </c>
      <c r="K672" t="str">
        <f t="shared" si="10"/>
        <v>No</v>
      </c>
      <c r="L672">
        <f>ABS((C672-EDA!$F$15)/EDA!$G$15)</f>
        <v>0.25767600200167312</v>
      </c>
      <c r="M672" t="str">
        <f>IF(moras[[#This Row],[Z-Score Salario]]&gt;1.96, "Sí", "No")</f>
        <v>No</v>
      </c>
      <c r="N672" s="14">
        <f>IF(ISBLANK(moras[[#This Row],[SALARIO]]), EDA!$M$8, moras[[#This Row],[SALARIO]])</f>
        <v>38059081</v>
      </c>
      <c r="O672" s="14">
        <f xml:space="preserve"> IF(ISBLANK(moras[[#This Row],[EDAD]]), EDA!$E$8, moras[[#This Row],[EDAD]])</f>
        <v>33</v>
      </c>
      <c r="P672" s="14" t="str">
        <f>IF(
    OR(ISBLANK(moras[[#This Row],[TIPO_ASEGURAMIENTO]]), moras[[#This Row],[TIPO_ASEGURAMIENTO]]=""),
    EDA!$A$32,
    moras[[#This Row],[TIPO_ASEGURAMIENTO]]
)</f>
        <v>ASALARIADO</v>
      </c>
    </row>
    <row r="673" spans="1:16" x14ac:dyDescent="0.3">
      <c r="A673">
        <v>672</v>
      </c>
      <c r="B673" t="s">
        <v>15</v>
      </c>
      <c r="C673">
        <v>278868</v>
      </c>
      <c r="D673" t="s">
        <v>10</v>
      </c>
      <c r="E673" t="s">
        <v>16</v>
      </c>
      <c r="F673" t="s">
        <v>12</v>
      </c>
      <c r="G673" t="s">
        <v>13</v>
      </c>
      <c r="H673" t="s">
        <v>13</v>
      </c>
      <c r="I673">
        <v>22</v>
      </c>
      <c r="J673">
        <f>ABS((I673-EDA!$A$15)/EDA!$B$15)</f>
        <v>1.4100662886840327</v>
      </c>
      <c r="K673" t="str">
        <f t="shared" si="10"/>
        <v>No</v>
      </c>
      <c r="L673">
        <f>ABS((C673-EDA!$F$15)/EDA!$G$15)</f>
        <v>0.3710134118314955</v>
      </c>
      <c r="M673" t="str">
        <f>IF(moras[[#This Row],[Z-Score Salario]]&gt;1.96, "Sí", "No")</f>
        <v>No</v>
      </c>
      <c r="N673" s="14">
        <f>IF(ISBLANK(moras[[#This Row],[SALARIO]]), EDA!$M$8, moras[[#This Row],[SALARIO]])</f>
        <v>278868</v>
      </c>
      <c r="O673" s="14">
        <f xml:space="preserve"> IF(ISBLANK(moras[[#This Row],[EDAD]]), EDA!$E$8, moras[[#This Row],[EDAD]])</f>
        <v>22</v>
      </c>
      <c r="P673" s="14" t="str">
        <f>IF(
    OR(ISBLANK(moras[[#This Row],[TIPO_ASEGURAMIENTO]]), moras[[#This Row],[TIPO_ASEGURAMIENTO]]=""),
    EDA!$A$32,
    moras[[#This Row],[TIPO_ASEGURAMIENTO]]
)</f>
        <v>ASALARIADO</v>
      </c>
    </row>
    <row r="674" spans="1:16" x14ac:dyDescent="0.3">
      <c r="A674">
        <v>673</v>
      </c>
      <c r="B674" t="s">
        <v>9</v>
      </c>
      <c r="C674">
        <v>6005385</v>
      </c>
      <c r="D674" t="s">
        <v>10</v>
      </c>
      <c r="E674" t="s">
        <v>16</v>
      </c>
      <c r="F674" t="s">
        <v>12</v>
      </c>
      <c r="G674" t="s">
        <v>13</v>
      </c>
      <c r="H674" t="s">
        <v>13</v>
      </c>
      <c r="I674">
        <v>27</v>
      </c>
      <c r="J674">
        <f>ABS((I674-EDA!$A$15)/EDA!$B$15)</f>
        <v>1.0571896382983452</v>
      </c>
      <c r="K674" t="str">
        <f t="shared" si="10"/>
        <v>No</v>
      </c>
      <c r="L674">
        <f>ABS((C674-EDA!$F$15)/EDA!$G$15)</f>
        <v>0.27572012653329786</v>
      </c>
      <c r="M674" t="str">
        <f>IF(moras[[#This Row],[Z-Score Salario]]&gt;1.96, "Sí", "No")</f>
        <v>No</v>
      </c>
      <c r="N674" s="14">
        <f>IF(ISBLANK(moras[[#This Row],[SALARIO]]), EDA!$M$8, moras[[#This Row],[SALARIO]])</f>
        <v>6005385</v>
      </c>
      <c r="O674" s="14">
        <f xml:space="preserve"> IF(ISBLANK(moras[[#This Row],[EDAD]]), EDA!$E$8, moras[[#This Row],[EDAD]])</f>
        <v>27</v>
      </c>
      <c r="P674" s="14" t="str">
        <f>IF(
    OR(ISBLANK(moras[[#This Row],[TIPO_ASEGURAMIENTO]]), moras[[#This Row],[TIPO_ASEGURAMIENTO]]=""),
    EDA!$A$32,
    moras[[#This Row],[TIPO_ASEGURAMIENTO]]
)</f>
        <v>ASALARIADO</v>
      </c>
    </row>
    <row r="675" spans="1:16" x14ac:dyDescent="0.3">
      <c r="A675">
        <v>674</v>
      </c>
      <c r="B675" t="s">
        <v>9</v>
      </c>
      <c r="C675">
        <v>476481614</v>
      </c>
      <c r="D675" t="s">
        <v>10</v>
      </c>
      <c r="E675" t="s">
        <v>16</v>
      </c>
      <c r="F675" t="s">
        <v>12</v>
      </c>
      <c r="G675" t="s">
        <v>12</v>
      </c>
      <c r="H675" t="s">
        <v>13</v>
      </c>
      <c r="I675">
        <v>53</v>
      </c>
      <c r="J675">
        <f>ABS((I675-EDA!$A$15)/EDA!$B$15)</f>
        <v>0.77776894370722982</v>
      </c>
      <c r="K675" t="str">
        <f t="shared" si="10"/>
        <v>No</v>
      </c>
      <c r="L675">
        <f>ABS((C675-EDA!$F$15)/EDA!$G$15)</f>
        <v>7.5533364389352347</v>
      </c>
      <c r="M675" t="str">
        <f>IF(moras[[#This Row],[Z-Score Salario]]&gt;1.96, "Sí", "No")</f>
        <v>Sí</v>
      </c>
      <c r="N675" s="14">
        <f>IF(ISBLANK(moras[[#This Row],[SALARIO]]), EDA!$M$8, moras[[#This Row],[SALARIO]])</f>
        <v>476481614</v>
      </c>
      <c r="O675" s="14">
        <f xml:space="preserve"> IF(ISBLANK(moras[[#This Row],[EDAD]]), EDA!$E$8, moras[[#This Row],[EDAD]])</f>
        <v>53</v>
      </c>
      <c r="P675" s="14" t="str">
        <f>IF(
    OR(ISBLANK(moras[[#This Row],[TIPO_ASEGURAMIENTO]]), moras[[#This Row],[TIPO_ASEGURAMIENTO]]=""),
    EDA!$A$32,
    moras[[#This Row],[TIPO_ASEGURAMIENTO]]
)</f>
        <v>ASALARIADO</v>
      </c>
    </row>
    <row r="676" spans="1:16" x14ac:dyDescent="0.3">
      <c r="A676">
        <v>675</v>
      </c>
      <c r="B676" t="s">
        <v>9</v>
      </c>
      <c r="C676">
        <v>278035</v>
      </c>
      <c r="D676" t="s">
        <v>17</v>
      </c>
      <c r="E676" t="s">
        <v>16</v>
      </c>
      <c r="F676" t="s">
        <v>12</v>
      </c>
      <c r="G676" t="s">
        <v>13</v>
      </c>
      <c r="H676" t="s">
        <v>12</v>
      </c>
      <c r="I676">
        <v>54</v>
      </c>
      <c r="J676">
        <f>ABS((I676-EDA!$A$15)/EDA!$B$15)</f>
        <v>0.84834427378436728</v>
      </c>
      <c r="K676" t="str">
        <f t="shared" si="10"/>
        <v>No</v>
      </c>
      <c r="L676">
        <f>ABS((C676-EDA!$F$15)/EDA!$G$15)</f>
        <v>0.37102727353952036</v>
      </c>
      <c r="M676" t="str">
        <f>IF(moras[[#This Row],[Z-Score Salario]]&gt;1.96, "Sí", "No")</f>
        <v>No</v>
      </c>
      <c r="N676" s="14">
        <f>IF(ISBLANK(moras[[#This Row],[SALARIO]]), EDA!$M$8, moras[[#This Row],[SALARIO]])</f>
        <v>278035</v>
      </c>
      <c r="O676" s="14">
        <f xml:space="preserve"> IF(ISBLANK(moras[[#This Row],[EDAD]]), EDA!$E$8, moras[[#This Row],[EDAD]])</f>
        <v>54</v>
      </c>
      <c r="P676" s="14" t="str">
        <f>IF(
    OR(ISBLANK(moras[[#This Row],[TIPO_ASEGURAMIENTO]]), moras[[#This Row],[TIPO_ASEGURAMIENTO]]=""),
    EDA!$A$32,
    moras[[#This Row],[TIPO_ASEGURAMIENTO]]
)</f>
        <v>ASEGURADO VOLUNTARIO</v>
      </c>
    </row>
    <row r="677" spans="1:16" x14ac:dyDescent="0.3">
      <c r="A677">
        <v>676</v>
      </c>
      <c r="B677" t="s">
        <v>15</v>
      </c>
      <c r="C677">
        <v>5215081</v>
      </c>
      <c r="D677" t="s">
        <v>10</v>
      </c>
      <c r="E677" t="s">
        <v>11</v>
      </c>
      <c r="F677" t="s">
        <v>12</v>
      </c>
      <c r="G677" t="s">
        <v>13</v>
      </c>
      <c r="H677" t="s">
        <v>13</v>
      </c>
      <c r="I677">
        <v>65</v>
      </c>
      <c r="J677">
        <f>ABS((I677-EDA!$A$15)/EDA!$B$15)</f>
        <v>1.6246729046328798</v>
      </c>
      <c r="K677" t="str">
        <f t="shared" si="10"/>
        <v>No</v>
      </c>
      <c r="L677">
        <f>ABS((C677-EDA!$F$15)/EDA!$G$15)</f>
        <v>0.28887134297853095</v>
      </c>
      <c r="M677" t="str">
        <f>IF(moras[[#This Row],[Z-Score Salario]]&gt;1.96, "Sí", "No")</f>
        <v>No</v>
      </c>
      <c r="N677" s="14">
        <f>IF(ISBLANK(moras[[#This Row],[SALARIO]]), EDA!$M$8, moras[[#This Row],[SALARIO]])</f>
        <v>5215081</v>
      </c>
      <c r="O677" s="14">
        <f xml:space="preserve"> IF(ISBLANK(moras[[#This Row],[EDAD]]), EDA!$E$8, moras[[#This Row],[EDAD]])</f>
        <v>65</v>
      </c>
      <c r="P677" s="14" t="str">
        <f>IF(
    OR(ISBLANK(moras[[#This Row],[TIPO_ASEGURAMIENTO]]), moras[[#This Row],[TIPO_ASEGURAMIENTO]]=""),
    EDA!$A$32,
    moras[[#This Row],[TIPO_ASEGURAMIENTO]]
)</f>
        <v>ASALARIADO</v>
      </c>
    </row>
    <row r="678" spans="1:16" x14ac:dyDescent="0.3">
      <c r="A678">
        <v>677</v>
      </c>
      <c r="B678" t="s">
        <v>9</v>
      </c>
      <c r="C678">
        <v>319600</v>
      </c>
      <c r="D678" t="s">
        <v>10</v>
      </c>
      <c r="E678" t="s">
        <v>16</v>
      </c>
      <c r="F678" t="s">
        <v>12</v>
      </c>
      <c r="G678" t="s">
        <v>13</v>
      </c>
      <c r="H678" t="s">
        <v>13</v>
      </c>
      <c r="I678">
        <v>61</v>
      </c>
      <c r="J678">
        <f>ABS((I678-EDA!$A$15)/EDA!$B$15)</f>
        <v>1.3423715843243298</v>
      </c>
      <c r="K678" t="str">
        <f t="shared" si="10"/>
        <v>No</v>
      </c>
      <c r="L678">
        <f>ABS((C678-EDA!$F$15)/EDA!$G$15)</f>
        <v>0.37033560259827991</v>
      </c>
      <c r="M678" t="str">
        <f>IF(moras[[#This Row],[Z-Score Salario]]&gt;1.96, "Sí", "No")</f>
        <v>No</v>
      </c>
      <c r="N678" s="14">
        <f>IF(ISBLANK(moras[[#This Row],[SALARIO]]), EDA!$M$8, moras[[#This Row],[SALARIO]])</f>
        <v>319600</v>
      </c>
      <c r="O678" s="14">
        <f xml:space="preserve"> IF(ISBLANK(moras[[#This Row],[EDAD]]), EDA!$E$8, moras[[#This Row],[EDAD]])</f>
        <v>61</v>
      </c>
      <c r="P678" s="14" t="str">
        <f>IF(
    OR(ISBLANK(moras[[#This Row],[TIPO_ASEGURAMIENTO]]), moras[[#This Row],[TIPO_ASEGURAMIENTO]]=""),
    EDA!$A$32,
    moras[[#This Row],[TIPO_ASEGURAMIENTO]]
)</f>
        <v>ASALARIADO</v>
      </c>
    </row>
    <row r="679" spans="1:16" x14ac:dyDescent="0.3">
      <c r="A679">
        <v>678</v>
      </c>
      <c r="B679" t="s">
        <v>15</v>
      </c>
      <c r="C679">
        <v>152460</v>
      </c>
      <c r="D679" t="s">
        <v>10</v>
      </c>
      <c r="E679" t="s">
        <v>16</v>
      </c>
      <c r="F679" t="s">
        <v>12</v>
      </c>
      <c r="G679" t="s">
        <v>13</v>
      </c>
      <c r="H679" t="s">
        <v>13</v>
      </c>
      <c r="I679">
        <v>65</v>
      </c>
      <c r="J679">
        <f>ABS((I679-EDA!$A$15)/EDA!$B$15)</f>
        <v>1.6246729046328798</v>
      </c>
      <c r="K679" t="str">
        <f t="shared" si="10"/>
        <v>No</v>
      </c>
      <c r="L679">
        <f>ABS((C679-EDA!$F$15)/EDA!$G$15)</f>
        <v>0.37311693018444453</v>
      </c>
      <c r="M679" t="str">
        <f>IF(moras[[#This Row],[Z-Score Salario]]&gt;1.96, "Sí", "No")</f>
        <v>No</v>
      </c>
      <c r="N679" s="14">
        <f>IF(ISBLANK(moras[[#This Row],[SALARIO]]), EDA!$M$8, moras[[#This Row],[SALARIO]])</f>
        <v>152460</v>
      </c>
      <c r="O679" s="14">
        <f xml:space="preserve"> IF(ISBLANK(moras[[#This Row],[EDAD]]), EDA!$E$8, moras[[#This Row],[EDAD]])</f>
        <v>65</v>
      </c>
      <c r="P679" s="14" t="str">
        <f>IF(
    OR(ISBLANK(moras[[#This Row],[TIPO_ASEGURAMIENTO]]), moras[[#This Row],[TIPO_ASEGURAMIENTO]]=""),
    EDA!$A$32,
    moras[[#This Row],[TIPO_ASEGURAMIENTO]]
)</f>
        <v>ASALARIADO</v>
      </c>
    </row>
    <row r="680" spans="1:16" x14ac:dyDescent="0.3">
      <c r="A680">
        <v>679</v>
      </c>
      <c r="B680" t="s">
        <v>9</v>
      </c>
      <c r="C680">
        <v>608941</v>
      </c>
      <c r="D680" t="s">
        <v>18</v>
      </c>
      <c r="E680" t="s">
        <v>16</v>
      </c>
      <c r="F680" t="s">
        <v>12</v>
      </c>
      <c r="G680" t="s">
        <v>13</v>
      </c>
      <c r="H680" t="s">
        <v>12</v>
      </c>
      <c r="I680">
        <v>45</v>
      </c>
      <c r="J680">
        <f>ABS((I680-EDA!$A$15)/EDA!$B$15)</f>
        <v>0.21316630309012977</v>
      </c>
      <c r="K680" t="str">
        <f t="shared" si="10"/>
        <v>No</v>
      </c>
      <c r="L680">
        <f>ABS((C680-EDA!$F$15)/EDA!$G$15)</f>
        <v>0.36552076410893886</v>
      </c>
      <c r="M680" t="str">
        <f>IF(moras[[#This Row],[Z-Score Salario]]&gt;1.96, "Sí", "No")</f>
        <v>No</v>
      </c>
      <c r="N680" s="14">
        <f>IF(ISBLANK(moras[[#This Row],[SALARIO]]), EDA!$M$8, moras[[#This Row],[SALARIO]])</f>
        <v>608941</v>
      </c>
      <c r="O680" s="14">
        <f xml:space="preserve"> IF(ISBLANK(moras[[#This Row],[EDAD]]), EDA!$E$8, moras[[#This Row],[EDAD]])</f>
        <v>45</v>
      </c>
      <c r="P680" s="14" t="str">
        <f>IF(
    OR(ISBLANK(moras[[#This Row],[TIPO_ASEGURAMIENTO]]), moras[[#This Row],[TIPO_ASEGURAMIENTO]]=""),
    EDA!$A$32,
    moras[[#This Row],[TIPO_ASEGURAMIENTO]]
)</f>
        <v>TRABAJADOR INDEPENDIENTE</v>
      </c>
    </row>
    <row r="681" spans="1:16" x14ac:dyDescent="0.3">
      <c r="A681">
        <v>680</v>
      </c>
      <c r="B681" t="s">
        <v>15</v>
      </c>
      <c r="C681">
        <v>45496233</v>
      </c>
      <c r="D681" t="s">
        <v>10</v>
      </c>
      <c r="E681" t="s">
        <v>16</v>
      </c>
      <c r="F681" t="s">
        <v>12</v>
      </c>
      <c r="G681" t="s">
        <v>13</v>
      </c>
      <c r="H681" t="s">
        <v>13</v>
      </c>
      <c r="I681">
        <v>44</v>
      </c>
      <c r="J681">
        <f>ABS((I681-EDA!$A$15)/EDA!$B$15)</f>
        <v>0.14259097301299228</v>
      </c>
      <c r="K681" t="str">
        <f t="shared" si="10"/>
        <v>No</v>
      </c>
      <c r="L681">
        <f>ABS((C681-EDA!$F$15)/EDA!$G$15)</f>
        <v>0.38143546125798222</v>
      </c>
      <c r="M681" t="str">
        <f>IF(moras[[#This Row],[Z-Score Salario]]&gt;1.96, "Sí", "No")</f>
        <v>No</v>
      </c>
      <c r="N681" s="14">
        <f>IF(ISBLANK(moras[[#This Row],[SALARIO]]), EDA!$M$8, moras[[#This Row],[SALARIO]])</f>
        <v>45496233</v>
      </c>
      <c r="O681" s="14">
        <f xml:space="preserve"> IF(ISBLANK(moras[[#This Row],[EDAD]]), EDA!$E$8, moras[[#This Row],[EDAD]])</f>
        <v>44</v>
      </c>
      <c r="P681" s="14" t="str">
        <f>IF(
    OR(ISBLANK(moras[[#This Row],[TIPO_ASEGURAMIENTO]]), moras[[#This Row],[TIPO_ASEGURAMIENTO]]=""),
    EDA!$A$32,
    moras[[#This Row],[TIPO_ASEGURAMIENTO]]
)</f>
        <v>ASALARIADO</v>
      </c>
    </row>
    <row r="682" spans="1:16" x14ac:dyDescent="0.3">
      <c r="A682">
        <v>681</v>
      </c>
      <c r="B682" t="s">
        <v>9</v>
      </c>
      <c r="C682">
        <v>458557</v>
      </c>
      <c r="D682" t="s">
        <v>18</v>
      </c>
      <c r="E682" t="s">
        <v>16</v>
      </c>
      <c r="F682" t="s">
        <v>12</v>
      </c>
      <c r="G682" t="s">
        <v>13</v>
      </c>
      <c r="H682" t="s">
        <v>13</v>
      </c>
      <c r="I682">
        <v>54</v>
      </c>
      <c r="J682">
        <f>ABS((I682-EDA!$A$15)/EDA!$B$15)</f>
        <v>0.84834427378436728</v>
      </c>
      <c r="K682" t="str">
        <f t="shared" si="10"/>
        <v>No</v>
      </c>
      <c r="L682">
        <f>ABS((C682-EDA!$F$15)/EDA!$G$15)</f>
        <v>0.36802326002683872</v>
      </c>
      <c r="M682" t="str">
        <f>IF(moras[[#This Row],[Z-Score Salario]]&gt;1.96, "Sí", "No")</f>
        <v>No</v>
      </c>
      <c r="N682" s="14">
        <f>IF(ISBLANK(moras[[#This Row],[SALARIO]]), EDA!$M$8, moras[[#This Row],[SALARIO]])</f>
        <v>458557</v>
      </c>
      <c r="O682" s="14">
        <f xml:space="preserve"> IF(ISBLANK(moras[[#This Row],[EDAD]]), EDA!$E$8, moras[[#This Row],[EDAD]])</f>
        <v>54</v>
      </c>
      <c r="P682" s="14" t="str">
        <f>IF(
    OR(ISBLANK(moras[[#This Row],[TIPO_ASEGURAMIENTO]]), moras[[#This Row],[TIPO_ASEGURAMIENTO]]=""),
    EDA!$A$32,
    moras[[#This Row],[TIPO_ASEGURAMIENTO]]
)</f>
        <v>TRABAJADOR INDEPENDIENTE</v>
      </c>
    </row>
    <row r="683" spans="1:16" x14ac:dyDescent="0.3">
      <c r="A683">
        <v>682</v>
      </c>
      <c r="B683" t="s">
        <v>15</v>
      </c>
      <c r="C683">
        <v>79153855</v>
      </c>
      <c r="D683" t="s">
        <v>10</v>
      </c>
      <c r="E683" t="s">
        <v>11</v>
      </c>
      <c r="F683" t="s">
        <v>12</v>
      </c>
      <c r="G683" t="s">
        <v>13</v>
      </c>
      <c r="H683" t="s">
        <v>13</v>
      </c>
      <c r="I683">
        <v>40</v>
      </c>
      <c r="J683">
        <f>ABS((I683-EDA!$A$15)/EDA!$B$15)</f>
        <v>0.13971034729555773</v>
      </c>
      <c r="K683" t="str">
        <f t="shared" si="10"/>
        <v>No</v>
      </c>
      <c r="L683">
        <f>ABS((C683-EDA!$F$15)/EDA!$G$15)</f>
        <v>0.94152205066387995</v>
      </c>
      <c r="M683" t="str">
        <f>IF(moras[[#This Row],[Z-Score Salario]]&gt;1.96, "Sí", "No")</f>
        <v>No</v>
      </c>
      <c r="N683" s="14">
        <f>IF(ISBLANK(moras[[#This Row],[SALARIO]]), EDA!$M$8, moras[[#This Row],[SALARIO]])</f>
        <v>79153855</v>
      </c>
      <c r="O683" s="14">
        <f xml:space="preserve"> IF(ISBLANK(moras[[#This Row],[EDAD]]), EDA!$E$8, moras[[#This Row],[EDAD]])</f>
        <v>40</v>
      </c>
      <c r="P683" s="14" t="str">
        <f>IF(
    OR(ISBLANK(moras[[#This Row],[TIPO_ASEGURAMIENTO]]), moras[[#This Row],[TIPO_ASEGURAMIENTO]]=""),
    EDA!$A$32,
    moras[[#This Row],[TIPO_ASEGURAMIENTO]]
)</f>
        <v>ASALARIADO</v>
      </c>
    </row>
    <row r="684" spans="1:16" x14ac:dyDescent="0.3">
      <c r="A684">
        <v>683</v>
      </c>
      <c r="B684" t="s">
        <v>9</v>
      </c>
      <c r="C684">
        <v>240000</v>
      </c>
      <c r="D684" t="s">
        <v>10</v>
      </c>
      <c r="E684" t="s">
        <v>16</v>
      </c>
      <c r="F684" t="s">
        <v>12</v>
      </c>
      <c r="G684" t="s">
        <v>13</v>
      </c>
      <c r="H684" t="s">
        <v>13</v>
      </c>
      <c r="I684">
        <v>18</v>
      </c>
      <c r="J684">
        <f>ABS((I684-EDA!$A$15)/EDA!$B$15)</f>
        <v>1.6923676089925828</v>
      </c>
      <c r="K684" t="str">
        <f t="shared" si="10"/>
        <v>No</v>
      </c>
      <c r="L684">
        <f>ABS((C684-EDA!$F$15)/EDA!$G$15)</f>
        <v>0.37166020278889078</v>
      </c>
      <c r="M684" t="str">
        <f>IF(moras[[#This Row],[Z-Score Salario]]&gt;1.96, "Sí", "No")</f>
        <v>No</v>
      </c>
      <c r="N684" s="14">
        <f>IF(ISBLANK(moras[[#This Row],[SALARIO]]), EDA!$M$8, moras[[#This Row],[SALARIO]])</f>
        <v>240000</v>
      </c>
      <c r="O684" s="14">
        <f xml:space="preserve"> IF(ISBLANK(moras[[#This Row],[EDAD]]), EDA!$E$8, moras[[#This Row],[EDAD]])</f>
        <v>18</v>
      </c>
      <c r="P684" s="14" t="str">
        <f>IF(
    OR(ISBLANK(moras[[#This Row],[TIPO_ASEGURAMIENTO]]), moras[[#This Row],[TIPO_ASEGURAMIENTO]]=""),
    EDA!$A$32,
    moras[[#This Row],[TIPO_ASEGURAMIENTO]]
)</f>
        <v>ASALARIADO</v>
      </c>
    </row>
    <row r="685" spans="1:16" x14ac:dyDescent="0.3">
      <c r="A685">
        <v>684</v>
      </c>
      <c r="B685" t="s">
        <v>9</v>
      </c>
      <c r="C685">
        <v>278030</v>
      </c>
      <c r="D685" t="s">
        <v>19</v>
      </c>
      <c r="E685" t="s">
        <v>16</v>
      </c>
      <c r="F685" t="s">
        <v>12</v>
      </c>
      <c r="G685" t="s">
        <v>13</v>
      </c>
      <c r="H685" t="s">
        <v>13</v>
      </c>
      <c r="I685">
        <v>52</v>
      </c>
      <c r="J685">
        <f>ABS((I685-EDA!$A$15)/EDA!$B$15)</f>
        <v>0.70719361363009237</v>
      </c>
      <c r="K685" t="str">
        <f t="shared" si="10"/>
        <v>No</v>
      </c>
      <c r="L685">
        <f>ABS((C685-EDA!$F$15)/EDA!$G$15)</f>
        <v>0.37102735674304993</v>
      </c>
      <c r="M685" t="str">
        <f>IF(moras[[#This Row],[Z-Score Salario]]&gt;1.96, "Sí", "No")</f>
        <v>No</v>
      </c>
      <c r="N685" s="14">
        <f>IF(ISBLANK(moras[[#This Row],[SALARIO]]), EDA!$M$8, moras[[#This Row],[SALARIO]])</f>
        <v>278030</v>
      </c>
      <c r="O685" s="14">
        <f xml:space="preserve"> IF(ISBLANK(moras[[#This Row],[EDAD]]), EDA!$E$8, moras[[#This Row],[EDAD]])</f>
        <v>52</v>
      </c>
      <c r="P685" s="14" t="str">
        <f>IF(
    OR(ISBLANK(moras[[#This Row],[TIPO_ASEGURAMIENTO]]), moras[[#This Row],[TIPO_ASEGURAMIENTO]]=""),
    EDA!$A$32,
    moras[[#This Row],[TIPO_ASEGURAMIENTO]]
)</f>
        <v>CONVENIOS ESPECIALES DE TRABAJADORES INDEPENDIENTES</v>
      </c>
    </row>
    <row r="686" spans="1:16" x14ac:dyDescent="0.3">
      <c r="A686">
        <v>685</v>
      </c>
      <c r="B686" t="s">
        <v>15</v>
      </c>
      <c r="C686">
        <v>211571004</v>
      </c>
      <c r="D686" t="s">
        <v>10</v>
      </c>
      <c r="E686" t="s">
        <v>11</v>
      </c>
      <c r="F686" t="s">
        <v>12</v>
      </c>
      <c r="G686" t="s">
        <v>13</v>
      </c>
      <c r="H686" t="s">
        <v>13</v>
      </c>
      <c r="I686">
        <v>46</v>
      </c>
      <c r="J686">
        <f>ABS((I686-EDA!$A$15)/EDA!$B$15)</f>
        <v>0.2837416331672673</v>
      </c>
      <c r="K686" t="str">
        <f t="shared" si="10"/>
        <v>No</v>
      </c>
      <c r="L686">
        <f>ABS((C686-EDA!$F$15)/EDA!$G$15)</f>
        <v>3.1450368849044743</v>
      </c>
      <c r="M686" t="str">
        <f>IF(moras[[#This Row],[Z-Score Salario]]&gt;1.96, "Sí", "No")</f>
        <v>Sí</v>
      </c>
      <c r="N686" s="14">
        <f>IF(ISBLANK(moras[[#This Row],[SALARIO]]), EDA!$M$8, moras[[#This Row],[SALARIO]])</f>
        <v>211571004</v>
      </c>
      <c r="O686" s="14">
        <f xml:space="preserve"> IF(ISBLANK(moras[[#This Row],[EDAD]]), EDA!$E$8, moras[[#This Row],[EDAD]])</f>
        <v>46</v>
      </c>
      <c r="P686" s="14" t="str">
        <f>IF(
    OR(ISBLANK(moras[[#This Row],[TIPO_ASEGURAMIENTO]]), moras[[#This Row],[TIPO_ASEGURAMIENTO]]=""),
    EDA!$A$32,
    moras[[#This Row],[TIPO_ASEGURAMIENTO]]
)</f>
        <v>ASALARIADO</v>
      </c>
    </row>
    <row r="687" spans="1:16" x14ac:dyDescent="0.3">
      <c r="A687">
        <v>686</v>
      </c>
      <c r="B687" t="s">
        <v>15</v>
      </c>
      <c r="C687">
        <v>450000</v>
      </c>
      <c r="D687" t="s">
        <v>10</v>
      </c>
      <c r="E687" t="s">
        <v>16</v>
      </c>
      <c r="F687" t="s">
        <v>12</v>
      </c>
      <c r="G687" t="s">
        <v>13</v>
      </c>
      <c r="H687" t="s">
        <v>13</v>
      </c>
      <c r="I687">
        <v>21</v>
      </c>
      <c r="J687">
        <f>ABS((I687-EDA!$A$15)/EDA!$B$15)</f>
        <v>1.4806416187611704</v>
      </c>
      <c r="K687" t="str">
        <f t="shared" si="10"/>
        <v>No</v>
      </c>
      <c r="L687">
        <f>ABS((C687-EDA!$F$15)/EDA!$G$15)</f>
        <v>0.36816565454732936</v>
      </c>
      <c r="M687" t="str">
        <f>IF(moras[[#This Row],[Z-Score Salario]]&gt;1.96, "Sí", "No")</f>
        <v>No</v>
      </c>
      <c r="N687" s="14">
        <f>IF(ISBLANK(moras[[#This Row],[SALARIO]]), EDA!$M$8, moras[[#This Row],[SALARIO]])</f>
        <v>450000</v>
      </c>
      <c r="O687" s="14">
        <f xml:space="preserve"> IF(ISBLANK(moras[[#This Row],[EDAD]]), EDA!$E$8, moras[[#This Row],[EDAD]])</f>
        <v>21</v>
      </c>
      <c r="P687" s="14" t="str">
        <f>IF(
    OR(ISBLANK(moras[[#This Row],[TIPO_ASEGURAMIENTO]]), moras[[#This Row],[TIPO_ASEGURAMIENTO]]=""),
    EDA!$A$32,
    moras[[#This Row],[TIPO_ASEGURAMIENTO]]
)</f>
        <v>ASALARIADO</v>
      </c>
    </row>
    <row r="688" spans="1:16" x14ac:dyDescent="0.3">
      <c r="A688">
        <v>687</v>
      </c>
      <c r="B688" t="s">
        <v>9</v>
      </c>
      <c r="C688">
        <v>594527</v>
      </c>
      <c r="D688" t="s">
        <v>18</v>
      </c>
      <c r="E688" t="s">
        <v>16</v>
      </c>
      <c r="F688" t="s">
        <v>12</v>
      </c>
      <c r="G688" t="s">
        <v>13</v>
      </c>
      <c r="H688" t="s">
        <v>12</v>
      </c>
      <c r="I688">
        <v>53</v>
      </c>
      <c r="J688">
        <f>ABS((I688-EDA!$A$15)/EDA!$B$15)</f>
        <v>0.77776894370722982</v>
      </c>
      <c r="K688" t="str">
        <f t="shared" si="10"/>
        <v>No</v>
      </c>
      <c r="L688">
        <f>ABS((C688-EDA!$F$15)/EDA!$G$15)</f>
        <v>0.36576062324395725</v>
      </c>
      <c r="M688" t="str">
        <f>IF(moras[[#This Row],[Z-Score Salario]]&gt;1.96, "Sí", "No")</f>
        <v>No</v>
      </c>
      <c r="N688" s="14">
        <f>IF(ISBLANK(moras[[#This Row],[SALARIO]]), EDA!$M$8, moras[[#This Row],[SALARIO]])</f>
        <v>594527</v>
      </c>
      <c r="O688" s="14">
        <f xml:space="preserve"> IF(ISBLANK(moras[[#This Row],[EDAD]]), EDA!$E$8, moras[[#This Row],[EDAD]])</f>
        <v>53</v>
      </c>
      <c r="P688" s="14" t="str">
        <f>IF(
    OR(ISBLANK(moras[[#This Row],[TIPO_ASEGURAMIENTO]]), moras[[#This Row],[TIPO_ASEGURAMIENTO]]=""),
    EDA!$A$32,
    moras[[#This Row],[TIPO_ASEGURAMIENTO]]
)</f>
        <v>TRABAJADOR INDEPENDIENTE</v>
      </c>
    </row>
    <row r="689" spans="1:16" x14ac:dyDescent="0.3">
      <c r="A689">
        <v>688</v>
      </c>
      <c r="B689" t="s">
        <v>9</v>
      </c>
      <c r="C689">
        <v>311895</v>
      </c>
      <c r="D689" t="s">
        <v>18</v>
      </c>
      <c r="E689" t="s">
        <v>16</v>
      </c>
      <c r="F689" t="s">
        <v>12</v>
      </c>
      <c r="G689" t="s">
        <v>13</v>
      </c>
      <c r="H689" t="s">
        <v>12</v>
      </c>
      <c r="I689">
        <v>37</v>
      </c>
      <c r="J689">
        <f>ABS((I689-EDA!$A$15)/EDA!$B$15)</f>
        <v>0.35143633752697023</v>
      </c>
      <c r="K689" t="str">
        <f t="shared" si="10"/>
        <v>No</v>
      </c>
      <c r="L689">
        <f>ABS((C689-EDA!$F$15)/EDA!$G$15)</f>
        <v>0.37046381923733335</v>
      </c>
      <c r="M689" t="str">
        <f>IF(moras[[#This Row],[Z-Score Salario]]&gt;1.96, "Sí", "No")</f>
        <v>No</v>
      </c>
      <c r="N689" s="14">
        <f>IF(ISBLANK(moras[[#This Row],[SALARIO]]), EDA!$M$8, moras[[#This Row],[SALARIO]])</f>
        <v>311895</v>
      </c>
      <c r="O689" s="14">
        <f xml:space="preserve"> IF(ISBLANK(moras[[#This Row],[EDAD]]), EDA!$E$8, moras[[#This Row],[EDAD]])</f>
        <v>37</v>
      </c>
      <c r="P689" s="14" t="str">
        <f>IF(
    OR(ISBLANK(moras[[#This Row],[TIPO_ASEGURAMIENTO]]), moras[[#This Row],[TIPO_ASEGURAMIENTO]]=""),
    EDA!$A$32,
    moras[[#This Row],[TIPO_ASEGURAMIENTO]]
)</f>
        <v>TRABAJADOR INDEPENDIENTE</v>
      </c>
    </row>
    <row r="690" spans="1:16" x14ac:dyDescent="0.3">
      <c r="A690">
        <v>689</v>
      </c>
      <c r="B690" t="s">
        <v>15</v>
      </c>
      <c r="C690">
        <v>360000</v>
      </c>
      <c r="D690" t="s">
        <v>10</v>
      </c>
      <c r="E690" t="s">
        <v>16</v>
      </c>
      <c r="F690" t="s">
        <v>12</v>
      </c>
      <c r="G690" t="s">
        <v>13</v>
      </c>
      <c r="H690" t="s">
        <v>13</v>
      </c>
      <c r="I690">
        <v>52</v>
      </c>
      <c r="J690">
        <f>ABS((I690-EDA!$A$15)/EDA!$B$15)</f>
        <v>0.70719361363009237</v>
      </c>
      <c r="K690" t="str">
        <f t="shared" si="10"/>
        <v>No</v>
      </c>
      <c r="L690">
        <f>ABS((C690-EDA!$F$15)/EDA!$G$15)</f>
        <v>0.36966331807942709</v>
      </c>
      <c r="M690" t="str">
        <f>IF(moras[[#This Row],[Z-Score Salario]]&gt;1.96, "Sí", "No")</f>
        <v>No</v>
      </c>
      <c r="N690" s="14">
        <f>IF(ISBLANK(moras[[#This Row],[SALARIO]]), EDA!$M$8, moras[[#This Row],[SALARIO]])</f>
        <v>360000</v>
      </c>
      <c r="O690" s="14">
        <f xml:space="preserve"> IF(ISBLANK(moras[[#This Row],[EDAD]]), EDA!$E$8, moras[[#This Row],[EDAD]])</f>
        <v>52</v>
      </c>
      <c r="P690" s="14" t="str">
        <f>IF(
    OR(ISBLANK(moras[[#This Row],[TIPO_ASEGURAMIENTO]]), moras[[#This Row],[TIPO_ASEGURAMIENTO]]=""),
    EDA!$A$32,
    moras[[#This Row],[TIPO_ASEGURAMIENTO]]
)</f>
        <v>ASALARIADO</v>
      </c>
    </row>
    <row r="691" spans="1:16" x14ac:dyDescent="0.3">
      <c r="A691">
        <v>690</v>
      </c>
      <c r="B691" t="s">
        <v>15</v>
      </c>
      <c r="C691">
        <v>369131</v>
      </c>
      <c r="D691" t="s">
        <v>18</v>
      </c>
      <c r="E691" t="s">
        <v>16</v>
      </c>
      <c r="F691" t="s">
        <v>12</v>
      </c>
      <c r="G691" t="s">
        <v>13</v>
      </c>
      <c r="H691" t="s">
        <v>13</v>
      </c>
      <c r="I691">
        <v>47</v>
      </c>
      <c r="J691">
        <f>ABS((I691-EDA!$A$15)/EDA!$B$15)</f>
        <v>0.35431696324440481</v>
      </c>
      <c r="K691" t="str">
        <f t="shared" si="10"/>
        <v>No</v>
      </c>
      <c r="L691">
        <f>ABS((C691-EDA!$F$15)/EDA!$G$15)</f>
        <v>0.36951137179374283</v>
      </c>
      <c r="M691" t="str">
        <f>IF(moras[[#This Row],[Z-Score Salario]]&gt;1.96, "Sí", "No")</f>
        <v>No</v>
      </c>
      <c r="N691" s="14">
        <f>IF(ISBLANK(moras[[#This Row],[SALARIO]]), EDA!$M$8, moras[[#This Row],[SALARIO]])</f>
        <v>369131</v>
      </c>
      <c r="O691" s="14">
        <f xml:space="preserve"> IF(ISBLANK(moras[[#This Row],[EDAD]]), EDA!$E$8, moras[[#This Row],[EDAD]])</f>
        <v>47</v>
      </c>
      <c r="P691" s="14" t="str">
        <f>IF(
    OR(ISBLANK(moras[[#This Row],[TIPO_ASEGURAMIENTO]]), moras[[#This Row],[TIPO_ASEGURAMIENTO]]=""),
    EDA!$A$32,
    moras[[#This Row],[TIPO_ASEGURAMIENTO]]
)</f>
        <v>TRABAJADOR INDEPENDIENTE</v>
      </c>
    </row>
    <row r="692" spans="1:16" x14ac:dyDescent="0.3">
      <c r="A692">
        <v>691</v>
      </c>
      <c r="B692" t="s">
        <v>15</v>
      </c>
      <c r="C692">
        <v>1041736</v>
      </c>
      <c r="D692" t="s">
        <v>10</v>
      </c>
      <c r="E692" t="s">
        <v>16</v>
      </c>
      <c r="F692" t="s">
        <v>12</v>
      </c>
      <c r="G692" t="s">
        <v>13</v>
      </c>
      <c r="H692" t="s">
        <v>13</v>
      </c>
      <c r="I692">
        <v>24</v>
      </c>
      <c r="J692">
        <f>ABS((I692-EDA!$A$15)/EDA!$B$15)</f>
        <v>1.2689156285297578</v>
      </c>
      <c r="K692" t="str">
        <f t="shared" si="10"/>
        <v>No</v>
      </c>
      <c r="L692">
        <f>ABS((C692-EDA!$F$15)/EDA!$G$15)</f>
        <v>0.35831874979366946</v>
      </c>
      <c r="M692" t="str">
        <f>IF(moras[[#This Row],[Z-Score Salario]]&gt;1.96, "Sí", "No")</f>
        <v>No</v>
      </c>
      <c r="N692" s="14">
        <f>IF(ISBLANK(moras[[#This Row],[SALARIO]]), EDA!$M$8, moras[[#This Row],[SALARIO]])</f>
        <v>1041736</v>
      </c>
      <c r="O692" s="14">
        <f xml:space="preserve"> IF(ISBLANK(moras[[#This Row],[EDAD]]), EDA!$E$8, moras[[#This Row],[EDAD]])</f>
        <v>24</v>
      </c>
      <c r="P692" s="14" t="str">
        <f>IF(
    OR(ISBLANK(moras[[#This Row],[TIPO_ASEGURAMIENTO]]), moras[[#This Row],[TIPO_ASEGURAMIENTO]]=""),
    EDA!$A$32,
    moras[[#This Row],[TIPO_ASEGURAMIENTO]]
)</f>
        <v>ASALARIADO</v>
      </c>
    </row>
    <row r="693" spans="1:16" x14ac:dyDescent="0.3">
      <c r="A693">
        <v>692</v>
      </c>
      <c r="B693" t="s">
        <v>9</v>
      </c>
      <c r="C693">
        <v>311895</v>
      </c>
      <c r="D693" t="s">
        <v>18</v>
      </c>
      <c r="E693" t="s">
        <v>16</v>
      </c>
      <c r="F693" t="s">
        <v>12</v>
      </c>
      <c r="G693" t="s">
        <v>13</v>
      </c>
      <c r="H693" t="s">
        <v>13</v>
      </c>
      <c r="I693">
        <v>40</v>
      </c>
      <c r="J693">
        <f>ABS((I693-EDA!$A$15)/EDA!$B$15)</f>
        <v>0.13971034729555773</v>
      </c>
      <c r="K693" t="str">
        <f t="shared" si="10"/>
        <v>No</v>
      </c>
      <c r="L693">
        <f>ABS((C693-EDA!$F$15)/EDA!$G$15)</f>
        <v>0.37046381923733335</v>
      </c>
      <c r="M693" t="str">
        <f>IF(moras[[#This Row],[Z-Score Salario]]&gt;1.96, "Sí", "No")</f>
        <v>No</v>
      </c>
      <c r="N693" s="14">
        <f>IF(ISBLANK(moras[[#This Row],[SALARIO]]), EDA!$M$8, moras[[#This Row],[SALARIO]])</f>
        <v>311895</v>
      </c>
      <c r="O693" s="14">
        <f xml:space="preserve"> IF(ISBLANK(moras[[#This Row],[EDAD]]), EDA!$E$8, moras[[#This Row],[EDAD]])</f>
        <v>40</v>
      </c>
      <c r="P693" s="14" t="str">
        <f>IF(
    OR(ISBLANK(moras[[#This Row],[TIPO_ASEGURAMIENTO]]), moras[[#This Row],[TIPO_ASEGURAMIENTO]]=""),
    EDA!$A$32,
    moras[[#This Row],[TIPO_ASEGURAMIENTO]]
)</f>
        <v>TRABAJADOR INDEPENDIENTE</v>
      </c>
    </row>
    <row r="694" spans="1:16" x14ac:dyDescent="0.3">
      <c r="A694">
        <v>693</v>
      </c>
      <c r="B694" t="s">
        <v>9</v>
      </c>
      <c r="C694">
        <v>12566043</v>
      </c>
      <c r="D694" t="s">
        <v>10</v>
      </c>
      <c r="E694" t="s">
        <v>11</v>
      </c>
      <c r="F694" t="s">
        <v>12</v>
      </c>
      <c r="G694" t="s">
        <v>13</v>
      </c>
      <c r="H694" t="s">
        <v>13</v>
      </c>
      <c r="I694">
        <v>36</v>
      </c>
      <c r="J694">
        <f>ABS((I694-EDA!$A$15)/EDA!$B$15)</f>
        <v>0.42201166760410774</v>
      </c>
      <c r="K694" t="str">
        <f t="shared" si="10"/>
        <v>No</v>
      </c>
      <c r="L694">
        <f>ABS((C694-EDA!$F$15)/EDA!$G$15)</f>
        <v>0.16654614616479416</v>
      </c>
      <c r="M694" t="str">
        <f>IF(moras[[#This Row],[Z-Score Salario]]&gt;1.96, "Sí", "No")</f>
        <v>No</v>
      </c>
      <c r="N694" s="14">
        <f>IF(ISBLANK(moras[[#This Row],[SALARIO]]), EDA!$M$8, moras[[#This Row],[SALARIO]])</f>
        <v>12566043</v>
      </c>
      <c r="O694" s="14">
        <f xml:space="preserve"> IF(ISBLANK(moras[[#This Row],[EDAD]]), EDA!$E$8, moras[[#This Row],[EDAD]])</f>
        <v>36</v>
      </c>
      <c r="P694" s="14" t="str">
        <f>IF(
    OR(ISBLANK(moras[[#This Row],[TIPO_ASEGURAMIENTO]]), moras[[#This Row],[TIPO_ASEGURAMIENTO]]=""),
    EDA!$A$32,
    moras[[#This Row],[TIPO_ASEGURAMIENTO]]
)</f>
        <v>ASALARIADO</v>
      </c>
    </row>
    <row r="695" spans="1:16" x14ac:dyDescent="0.3">
      <c r="A695">
        <v>694</v>
      </c>
      <c r="B695" t="s">
        <v>9</v>
      </c>
      <c r="C695">
        <v>2921811</v>
      </c>
      <c r="D695" t="s">
        <v>10</v>
      </c>
      <c r="E695" t="s">
        <v>16</v>
      </c>
      <c r="F695" t="s">
        <v>12</v>
      </c>
      <c r="G695" t="s">
        <v>13</v>
      </c>
      <c r="H695" t="s">
        <v>13</v>
      </c>
      <c r="I695">
        <v>42</v>
      </c>
      <c r="J695">
        <f>ABS((I695-EDA!$A$15)/EDA!$B$15)</f>
        <v>1.4403128587172659E-3</v>
      </c>
      <c r="K695" t="str">
        <f t="shared" si="10"/>
        <v>No</v>
      </c>
      <c r="L695">
        <f>ABS((C695-EDA!$F$15)/EDA!$G$15)</f>
        <v>0.32703297462579534</v>
      </c>
      <c r="M695" t="str">
        <f>IF(moras[[#This Row],[Z-Score Salario]]&gt;1.96, "Sí", "No")</f>
        <v>No</v>
      </c>
      <c r="N695" s="14">
        <f>IF(ISBLANK(moras[[#This Row],[SALARIO]]), EDA!$M$8, moras[[#This Row],[SALARIO]])</f>
        <v>2921811</v>
      </c>
      <c r="O695" s="14">
        <f xml:space="preserve"> IF(ISBLANK(moras[[#This Row],[EDAD]]), EDA!$E$8, moras[[#This Row],[EDAD]])</f>
        <v>42</v>
      </c>
      <c r="P695" s="14" t="str">
        <f>IF(
    OR(ISBLANK(moras[[#This Row],[TIPO_ASEGURAMIENTO]]), moras[[#This Row],[TIPO_ASEGURAMIENTO]]=""),
    EDA!$A$32,
    moras[[#This Row],[TIPO_ASEGURAMIENTO]]
)</f>
        <v>ASALARIADO</v>
      </c>
    </row>
    <row r="696" spans="1:16" x14ac:dyDescent="0.3">
      <c r="A696">
        <v>695</v>
      </c>
      <c r="B696" t="s">
        <v>9</v>
      </c>
      <c r="C696">
        <v>64342684</v>
      </c>
      <c r="D696" t="s">
        <v>10</v>
      </c>
      <c r="E696" t="s">
        <v>11</v>
      </c>
      <c r="F696" t="s">
        <v>12</v>
      </c>
      <c r="G696" t="s">
        <v>13</v>
      </c>
      <c r="H696" t="s">
        <v>13</v>
      </c>
      <c r="I696">
        <v>34</v>
      </c>
      <c r="J696">
        <f>ABS((I696-EDA!$A$15)/EDA!$B$15)</f>
        <v>0.56316232775838282</v>
      </c>
      <c r="K696" t="str">
        <f t="shared" si="10"/>
        <v>No</v>
      </c>
      <c r="L696">
        <f>ABS((C696-EDA!$F$15)/EDA!$G$15)</f>
        <v>0.69505370983761661</v>
      </c>
      <c r="M696" t="str">
        <f>IF(moras[[#This Row],[Z-Score Salario]]&gt;1.96, "Sí", "No")</f>
        <v>No</v>
      </c>
      <c r="N696" s="14">
        <f>IF(ISBLANK(moras[[#This Row],[SALARIO]]), EDA!$M$8, moras[[#This Row],[SALARIO]])</f>
        <v>64342684</v>
      </c>
      <c r="O696" s="14">
        <f xml:space="preserve"> IF(ISBLANK(moras[[#This Row],[EDAD]]), EDA!$E$8, moras[[#This Row],[EDAD]])</f>
        <v>34</v>
      </c>
      <c r="P696" s="14" t="str">
        <f>IF(
    OR(ISBLANK(moras[[#This Row],[TIPO_ASEGURAMIENTO]]), moras[[#This Row],[TIPO_ASEGURAMIENTO]]=""),
    EDA!$A$32,
    moras[[#This Row],[TIPO_ASEGURAMIENTO]]
)</f>
        <v>ASALARIADO</v>
      </c>
    </row>
    <row r="697" spans="1:16" x14ac:dyDescent="0.3">
      <c r="A697">
        <v>696</v>
      </c>
      <c r="B697" t="s">
        <v>9</v>
      </c>
      <c r="C697">
        <v>3777301</v>
      </c>
      <c r="D697" t="s">
        <v>10</v>
      </c>
      <c r="E697" t="s">
        <v>16</v>
      </c>
      <c r="F697" t="s">
        <v>12</v>
      </c>
      <c r="G697" t="s">
        <v>13</v>
      </c>
      <c r="H697" t="s">
        <v>13</v>
      </c>
      <c r="I697">
        <v>43</v>
      </c>
      <c r="J697">
        <f>ABS((I697-EDA!$A$15)/EDA!$B$15)</f>
        <v>7.2015642935854773E-2</v>
      </c>
      <c r="K697" t="str">
        <f t="shared" si="10"/>
        <v>No</v>
      </c>
      <c r="L697">
        <f>ABS((C697-EDA!$F$15)/EDA!$G$15)</f>
        <v>0.31279701712496982</v>
      </c>
      <c r="M697" t="str">
        <f>IF(moras[[#This Row],[Z-Score Salario]]&gt;1.96, "Sí", "No")</f>
        <v>No</v>
      </c>
      <c r="N697" s="14">
        <f>IF(ISBLANK(moras[[#This Row],[SALARIO]]), EDA!$M$8, moras[[#This Row],[SALARIO]])</f>
        <v>3777301</v>
      </c>
      <c r="O697" s="14">
        <f xml:space="preserve"> IF(ISBLANK(moras[[#This Row],[EDAD]]), EDA!$E$8, moras[[#This Row],[EDAD]])</f>
        <v>43</v>
      </c>
      <c r="P697" s="14" t="str">
        <f>IF(
    OR(ISBLANK(moras[[#This Row],[TIPO_ASEGURAMIENTO]]), moras[[#This Row],[TIPO_ASEGURAMIENTO]]=""),
    EDA!$A$32,
    moras[[#This Row],[TIPO_ASEGURAMIENTO]]
)</f>
        <v>ASALARIADO</v>
      </c>
    </row>
    <row r="698" spans="1:16" x14ac:dyDescent="0.3">
      <c r="A698">
        <v>697</v>
      </c>
      <c r="B698" t="s">
        <v>9</v>
      </c>
      <c r="C698">
        <v>326653</v>
      </c>
      <c r="D698" t="s">
        <v>10</v>
      </c>
      <c r="E698" t="s">
        <v>16</v>
      </c>
      <c r="F698" t="s">
        <v>12</v>
      </c>
      <c r="G698" t="s">
        <v>13</v>
      </c>
      <c r="H698" t="s">
        <v>13</v>
      </c>
      <c r="I698">
        <v>53</v>
      </c>
      <c r="J698">
        <f>ABS((I698-EDA!$A$15)/EDA!$B$15)</f>
        <v>0.77776894370722982</v>
      </c>
      <c r="K698" t="str">
        <f t="shared" si="10"/>
        <v>No</v>
      </c>
      <c r="L698">
        <f>ABS((C698-EDA!$F$15)/EDA!$G$15)</f>
        <v>0.37021823569948115</v>
      </c>
      <c r="M698" t="str">
        <f>IF(moras[[#This Row],[Z-Score Salario]]&gt;1.96, "Sí", "No")</f>
        <v>No</v>
      </c>
      <c r="N698" s="14">
        <f>IF(ISBLANK(moras[[#This Row],[SALARIO]]), EDA!$M$8, moras[[#This Row],[SALARIO]])</f>
        <v>326653</v>
      </c>
      <c r="O698" s="14">
        <f xml:space="preserve"> IF(ISBLANK(moras[[#This Row],[EDAD]]), EDA!$E$8, moras[[#This Row],[EDAD]])</f>
        <v>53</v>
      </c>
      <c r="P698" s="14" t="str">
        <f>IF(
    OR(ISBLANK(moras[[#This Row],[TIPO_ASEGURAMIENTO]]), moras[[#This Row],[TIPO_ASEGURAMIENTO]]=""),
    EDA!$A$32,
    moras[[#This Row],[TIPO_ASEGURAMIENTO]]
)</f>
        <v>ASALARIADO</v>
      </c>
    </row>
    <row r="699" spans="1:16" x14ac:dyDescent="0.3">
      <c r="A699">
        <v>698</v>
      </c>
      <c r="B699" t="s">
        <v>9</v>
      </c>
      <c r="C699">
        <v>81428932</v>
      </c>
      <c r="D699" t="s">
        <v>10</v>
      </c>
      <c r="E699" t="s">
        <v>16</v>
      </c>
      <c r="F699" t="s">
        <v>12</v>
      </c>
      <c r="G699" t="s">
        <v>13</v>
      </c>
      <c r="H699" t="s">
        <v>13</v>
      </c>
      <c r="I699">
        <v>36</v>
      </c>
      <c r="J699">
        <f>ABS((I699-EDA!$A$15)/EDA!$B$15)</f>
        <v>0.42201166760410774</v>
      </c>
      <c r="K699" t="str">
        <f t="shared" si="10"/>
        <v>No</v>
      </c>
      <c r="L699">
        <f>ABS((C699-EDA!$F$15)/EDA!$G$15)</f>
        <v>0.9793809379484838</v>
      </c>
      <c r="M699" t="str">
        <f>IF(moras[[#This Row],[Z-Score Salario]]&gt;1.96, "Sí", "No")</f>
        <v>No</v>
      </c>
      <c r="N699" s="14">
        <f>IF(ISBLANK(moras[[#This Row],[SALARIO]]), EDA!$M$8, moras[[#This Row],[SALARIO]])</f>
        <v>81428932</v>
      </c>
      <c r="O699" s="14">
        <f xml:space="preserve"> IF(ISBLANK(moras[[#This Row],[EDAD]]), EDA!$E$8, moras[[#This Row],[EDAD]])</f>
        <v>36</v>
      </c>
      <c r="P699" s="14" t="str">
        <f>IF(
    OR(ISBLANK(moras[[#This Row],[TIPO_ASEGURAMIENTO]]), moras[[#This Row],[TIPO_ASEGURAMIENTO]]=""),
    EDA!$A$32,
    moras[[#This Row],[TIPO_ASEGURAMIENTO]]
)</f>
        <v>ASALARIADO</v>
      </c>
    </row>
    <row r="700" spans="1:16" x14ac:dyDescent="0.3">
      <c r="A700">
        <v>699</v>
      </c>
      <c r="B700" t="s">
        <v>9</v>
      </c>
      <c r="C700">
        <v>800000</v>
      </c>
      <c r="D700" t="s">
        <v>10</v>
      </c>
      <c r="E700" t="s">
        <v>16</v>
      </c>
      <c r="F700" t="s">
        <v>12</v>
      </c>
      <c r="G700" t="s">
        <v>13</v>
      </c>
      <c r="H700" t="s">
        <v>13</v>
      </c>
      <c r="I700">
        <v>25</v>
      </c>
      <c r="J700">
        <f>ABS((I700-EDA!$A$15)/EDA!$B$15)</f>
        <v>1.1983402984526204</v>
      </c>
      <c r="K700" t="str">
        <f t="shared" si="10"/>
        <v>No</v>
      </c>
      <c r="L700">
        <f>ABS((C700-EDA!$F$15)/EDA!$G$15)</f>
        <v>0.36234140747806037</v>
      </c>
      <c r="M700" t="str">
        <f>IF(moras[[#This Row],[Z-Score Salario]]&gt;1.96, "Sí", "No")</f>
        <v>No</v>
      </c>
      <c r="N700" s="14">
        <f>IF(ISBLANK(moras[[#This Row],[SALARIO]]), EDA!$M$8, moras[[#This Row],[SALARIO]])</f>
        <v>800000</v>
      </c>
      <c r="O700" s="14">
        <f xml:space="preserve"> IF(ISBLANK(moras[[#This Row],[EDAD]]), EDA!$E$8, moras[[#This Row],[EDAD]])</f>
        <v>25</v>
      </c>
      <c r="P700" s="14" t="str">
        <f>IF(
    OR(ISBLANK(moras[[#This Row],[TIPO_ASEGURAMIENTO]]), moras[[#This Row],[TIPO_ASEGURAMIENTO]]=""),
    EDA!$A$32,
    moras[[#This Row],[TIPO_ASEGURAMIENTO]]
)</f>
        <v>ASALARIADO</v>
      </c>
    </row>
    <row r="701" spans="1:16" x14ac:dyDescent="0.3">
      <c r="A701">
        <v>700</v>
      </c>
      <c r="B701" t="s">
        <v>9</v>
      </c>
      <c r="C701">
        <v>12742177</v>
      </c>
      <c r="D701" t="s">
        <v>10</v>
      </c>
      <c r="E701" t="s">
        <v>16</v>
      </c>
      <c r="F701" t="s">
        <v>12</v>
      </c>
      <c r="G701" t="s">
        <v>13</v>
      </c>
      <c r="H701" t="s">
        <v>13</v>
      </c>
      <c r="I701">
        <v>49</v>
      </c>
      <c r="J701">
        <f>ABS((I701-EDA!$A$15)/EDA!$B$15)</f>
        <v>0.49546762339867978</v>
      </c>
      <c r="K701" t="str">
        <f t="shared" si="10"/>
        <v>No</v>
      </c>
      <c r="L701">
        <f>ABS((C701-EDA!$F$15)/EDA!$G$15)</f>
        <v>0.16361515206965521</v>
      </c>
      <c r="M701" t="str">
        <f>IF(moras[[#This Row],[Z-Score Salario]]&gt;1.96, "Sí", "No")</f>
        <v>No</v>
      </c>
      <c r="N701" s="14">
        <f>IF(ISBLANK(moras[[#This Row],[SALARIO]]), EDA!$M$8, moras[[#This Row],[SALARIO]])</f>
        <v>12742177</v>
      </c>
      <c r="O701" s="14">
        <f xml:space="preserve"> IF(ISBLANK(moras[[#This Row],[EDAD]]), EDA!$E$8, moras[[#This Row],[EDAD]])</f>
        <v>49</v>
      </c>
      <c r="P701" s="14" t="str">
        <f>IF(
    OR(ISBLANK(moras[[#This Row],[TIPO_ASEGURAMIENTO]]), moras[[#This Row],[TIPO_ASEGURAMIENTO]]=""),
    EDA!$A$32,
    moras[[#This Row],[TIPO_ASEGURAMIENTO]]
)</f>
        <v>ASALARIADO</v>
      </c>
    </row>
    <row r="702" spans="1:16" x14ac:dyDescent="0.3">
      <c r="A702">
        <v>701</v>
      </c>
      <c r="B702" t="s">
        <v>9</v>
      </c>
      <c r="C702">
        <v>278030</v>
      </c>
      <c r="D702" t="s">
        <v>19</v>
      </c>
      <c r="E702" t="s">
        <v>16</v>
      </c>
      <c r="F702" t="s">
        <v>12</v>
      </c>
      <c r="G702" t="s">
        <v>13</v>
      </c>
      <c r="H702" t="s">
        <v>13</v>
      </c>
      <c r="I702">
        <v>40</v>
      </c>
      <c r="J702">
        <f>ABS((I702-EDA!$A$15)/EDA!$B$15)</f>
        <v>0.13971034729555773</v>
      </c>
      <c r="K702" t="str">
        <f t="shared" si="10"/>
        <v>No</v>
      </c>
      <c r="L702">
        <f>ABS((C702-EDA!$F$15)/EDA!$G$15)</f>
        <v>0.37102735674304993</v>
      </c>
      <c r="M702" t="str">
        <f>IF(moras[[#This Row],[Z-Score Salario]]&gt;1.96, "Sí", "No")</f>
        <v>No</v>
      </c>
      <c r="N702" s="14">
        <f>IF(ISBLANK(moras[[#This Row],[SALARIO]]), EDA!$M$8, moras[[#This Row],[SALARIO]])</f>
        <v>278030</v>
      </c>
      <c r="O702" s="14">
        <f xml:space="preserve"> IF(ISBLANK(moras[[#This Row],[EDAD]]), EDA!$E$8, moras[[#This Row],[EDAD]])</f>
        <v>40</v>
      </c>
      <c r="P702" s="14" t="str">
        <f>IF(
    OR(ISBLANK(moras[[#This Row],[TIPO_ASEGURAMIENTO]]), moras[[#This Row],[TIPO_ASEGURAMIENTO]]=""),
    EDA!$A$32,
    moras[[#This Row],[TIPO_ASEGURAMIENTO]]
)</f>
        <v>CONVENIOS ESPECIALES DE TRABAJADORES INDEPENDIENTES</v>
      </c>
    </row>
    <row r="703" spans="1:16" x14ac:dyDescent="0.3">
      <c r="A703">
        <v>702</v>
      </c>
      <c r="B703" t="s">
        <v>9</v>
      </c>
      <c r="C703">
        <v>112084999</v>
      </c>
      <c r="D703" t="s">
        <v>14</v>
      </c>
      <c r="E703" t="s">
        <v>11</v>
      </c>
      <c r="F703" t="s">
        <v>12</v>
      </c>
      <c r="G703" t="s">
        <v>13</v>
      </c>
      <c r="H703" t="s">
        <v>13</v>
      </c>
      <c r="I703">
        <v>63</v>
      </c>
      <c r="J703">
        <f>ABS((I703-EDA!$A$15)/EDA!$B$15)</f>
        <v>1.4835222444786049</v>
      </c>
      <c r="K703" t="str">
        <f t="shared" si="10"/>
        <v>No</v>
      </c>
      <c r="L703">
        <f>ABS((C703-EDA!$F$15)/EDA!$G$15)</f>
        <v>1.4895195333200966</v>
      </c>
      <c r="M703" t="str">
        <f>IF(moras[[#This Row],[Z-Score Salario]]&gt;1.96, "Sí", "No")</f>
        <v>No</v>
      </c>
      <c r="N703" s="14">
        <f>IF(ISBLANK(moras[[#This Row],[SALARIO]]), EDA!$M$8, moras[[#This Row],[SALARIO]])</f>
        <v>112084999</v>
      </c>
      <c r="O703" s="14">
        <f xml:space="preserve"> IF(ISBLANK(moras[[#This Row],[EDAD]]), EDA!$E$8, moras[[#This Row],[EDAD]])</f>
        <v>63</v>
      </c>
      <c r="P703" s="14" t="str">
        <f>IF(
    OR(ISBLANK(moras[[#This Row],[TIPO_ASEGURAMIENTO]]), moras[[#This Row],[TIPO_ASEGURAMIENTO]]=""),
    EDA!$A$32,
    moras[[#This Row],[TIPO_ASEGURAMIENTO]]
)</f>
        <v>PENSIONADOS EN SU PROPIO SISTEMA</v>
      </c>
    </row>
    <row r="704" spans="1:16" x14ac:dyDescent="0.3">
      <c r="A704">
        <v>703</v>
      </c>
      <c r="B704" t="s">
        <v>15</v>
      </c>
      <c r="C704">
        <v>297078</v>
      </c>
      <c r="D704" t="s">
        <v>10</v>
      </c>
      <c r="E704" t="s">
        <v>16</v>
      </c>
      <c r="F704" t="s">
        <v>12</v>
      </c>
      <c r="G704" t="s">
        <v>13</v>
      </c>
      <c r="H704" t="s">
        <v>13</v>
      </c>
      <c r="I704">
        <v>26</v>
      </c>
      <c r="J704">
        <f>ABS((I704-EDA!$A$15)/EDA!$B$15)</f>
        <v>1.1277649683754829</v>
      </c>
      <c r="K704" t="str">
        <f t="shared" si="10"/>
        <v>No</v>
      </c>
      <c r="L704">
        <f>ABS((C704-EDA!$F$15)/EDA!$G$15)</f>
        <v>0.37071038457683442</v>
      </c>
      <c r="M704" t="str">
        <f>IF(moras[[#This Row],[Z-Score Salario]]&gt;1.96, "Sí", "No")</f>
        <v>No</v>
      </c>
      <c r="N704" s="14">
        <f>IF(ISBLANK(moras[[#This Row],[SALARIO]]), EDA!$M$8, moras[[#This Row],[SALARIO]])</f>
        <v>297078</v>
      </c>
      <c r="O704" s="14">
        <f xml:space="preserve"> IF(ISBLANK(moras[[#This Row],[EDAD]]), EDA!$E$8, moras[[#This Row],[EDAD]])</f>
        <v>26</v>
      </c>
      <c r="P704" s="14" t="str">
        <f>IF(
    OR(ISBLANK(moras[[#This Row],[TIPO_ASEGURAMIENTO]]), moras[[#This Row],[TIPO_ASEGURAMIENTO]]=""),
    EDA!$A$32,
    moras[[#This Row],[TIPO_ASEGURAMIENTO]]
)</f>
        <v>ASALARIADO</v>
      </c>
    </row>
    <row r="705" spans="1:16" x14ac:dyDescent="0.3">
      <c r="A705">
        <v>704</v>
      </c>
      <c r="B705" t="s">
        <v>15</v>
      </c>
      <c r="C705">
        <v>890323</v>
      </c>
      <c r="D705" t="s">
        <v>10</v>
      </c>
      <c r="E705" t="s">
        <v>11</v>
      </c>
      <c r="F705" t="s">
        <v>12</v>
      </c>
      <c r="G705" t="s">
        <v>13</v>
      </c>
      <c r="H705" t="s">
        <v>13</v>
      </c>
      <c r="I705">
        <v>39</v>
      </c>
      <c r="J705">
        <f>ABS((I705-EDA!$A$15)/EDA!$B$15)</f>
        <v>0.21028567737269524</v>
      </c>
      <c r="K705" t="str">
        <f t="shared" si="10"/>
        <v>No</v>
      </c>
      <c r="L705">
        <f>ABS((C705-EDA!$F$15)/EDA!$G$15)</f>
        <v>0.36083836899795296</v>
      </c>
      <c r="M705" t="str">
        <f>IF(moras[[#This Row],[Z-Score Salario]]&gt;1.96, "Sí", "No")</f>
        <v>No</v>
      </c>
      <c r="N705" s="14">
        <f>IF(ISBLANK(moras[[#This Row],[SALARIO]]), EDA!$M$8, moras[[#This Row],[SALARIO]])</f>
        <v>890323</v>
      </c>
      <c r="O705" s="14">
        <f xml:space="preserve"> IF(ISBLANK(moras[[#This Row],[EDAD]]), EDA!$E$8, moras[[#This Row],[EDAD]])</f>
        <v>39</v>
      </c>
      <c r="P705" s="14" t="str">
        <f>IF(
    OR(ISBLANK(moras[[#This Row],[TIPO_ASEGURAMIENTO]]), moras[[#This Row],[TIPO_ASEGURAMIENTO]]=""),
    EDA!$A$32,
    moras[[#This Row],[TIPO_ASEGURAMIENTO]]
)</f>
        <v>ASALARIADO</v>
      </c>
    </row>
    <row r="706" spans="1:16" x14ac:dyDescent="0.3">
      <c r="A706">
        <v>705</v>
      </c>
      <c r="B706" t="s">
        <v>9</v>
      </c>
      <c r="C706">
        <v>387953</v>
      </c>
      <c r="D706" t="s">
        <v>18</v>
      </c>
      <c r="E706" t="s">
        <v>16</v>
      </c>
      <c r="F706" t="s">
        <v>12</v>
      </c>
      <c r="G706" t="s">
        <v>12</v>
      </c>
      <c r="H706" t="s">
        <v>12</v>
      </c>
      <c r="I706">
        <v>39</v>
      </c>
      <c r="J706">
        <f>ABS((I706-EDA!$A$15)/EDA!$B$15)</f>
        <v>0.21028567737269524</v>
      </c>
      <c r="K706" t="str">
        <f t="shared" ref="K706:K769" si="11">IF(J706 &gt;  1.96, "Sí","No")</f>
        <v>No</v>
      </c>
      <c r="L706">
        <f>ABS((C706-EDA!$F$15)/EDA!$G$15)</f>
        <v>0.36919816042706349</v>
      </c>
      <c r="M706" t="str">
        <f>IF(moras[[#This Row],[Z-Score Salario]]&gt;1.96, "Sí", "No")</f>
        <v>No</v>
      </c>
      <c r="N706" s="14">
        <f>IF(ISBLANK(moras[[#This Row],[SALARIO]]), EDA!$M$8, moras[[#This Row],[SALARIO]])</f>
        <v>387953</v>
      </c>
      <c r="O706" s="14">
        <f xml:space="preserve"> IF(ISBLANK(moras[[#This Row],[EDAD]]), EDA!$E$8, moras[[#This Row],[EDAD]])</f>
        <v>39</v>
      </c>
      <c r="P706" s="14" t="str">
        <f>IF(
    OR(ISBLANK(moras[[#This Row],[TIPO_ASEGURAMIENTO]]), moras[[#This Row],[TIPO_ASEGURAMIENTO]]=""),
    EDA!$A$32,
    moras[[#This Row],[TIPO_ASEGURAMIENTO]]
)</f>
        <v>TRABAJADOR INDEPENDIENTE</v>
      </c>
    </row>
    <row r="707" spans="1:16" x14ac:dyDescent="0.3">
      <c r="A707">
        <v>706</v>
      </c>
      <c r="B707" t="s">
        <v>9</v>
      </c>
      <c r="C707">
        <v>148360</v>
      </c>
      <c r="D707" t="s">
        <v>10</v>
      </c>
      <c r="E707" t="s">
        <v>16</v>
      </c>
      <c r="F707" t="s">
        <v>12</v>
      </c>
      <c r="G707" t="s">
        <v>13</v>
      </c>
      <c r="H707" t="s">
        <v>13</v>
      </c>
      <c r="I707">
        <v>58</v>
      </c>
      <c r="J707">
        <f>ABS((I707-EDA!$A$15)/EDA!$B$15)</f>
        <v>1.1306455940929174</v>
      </c>
      <c r="K707" t="str">
        <f t="shared" si="11"/>
        <v>No</v>
      </c>
      <c r="L707">
        <f>ABS((C707-EDA!$F$15)/EDA!$G$15)</f>
        <v>0.37318515707868455</v>
      </c>
      <c r="M707" t="str">
        <f>IF(moras[[#This Row],[Z-Score Salario]]&gt;1.96, "Sí", "No")</f>
        <v>No</v>
      </c>
      <c r="N707" s="14">
        <f>IF(ISBLANK(moras[[#This Row],[SALARIO]]), EDA!$M$8, moras[[#This Row],[SALARIO]])</f>
        <v>148360</v>
      </c>
      <c r="O707" s="14">
        <f xml:space="preserve"> IF(ISBLANK(moras[[#This Row],[EDAD]]), EDA!$E$8, moras[[#This Row],[EDAD]])</f>
        <v>58</v>
      </c>
      <c r="P707" s="14" t="str">
        <f>IF(
    OR(ISBLANK(moras[[#This Row],[TIPO_ASEGURAMIENTO]]), moras[[#This Row],[TIPO_ASEGURAMIENTO]]=""),
    EDA!$A$32,
    moras[[#This Row],[TIPO_ASEGURAMIENTO]]
)</f>
        <v>ASALARIADO</v>
      </c>
    </row>
    <row r="708" spans="1:16" x14ac:dyDescent="0.3">
      <c r="A708">
        <v>707</v>
      </c>
      <c r="B708" t="s">
        <v>15</v>
      </c>
      <c r="C708">
        <v>33751175</v>
      </c>
      <c r="D708" t="s">
        <v>10</v>
      </c>
      <c r="E708" t="s">
        <v>11</v>
      </c>
      <c r="F708" t="s">
        <v>12</v>
      </c>
      <c r="G708" t="s">
        <v>13</v>
      </c>
      <c r="H708" t="s">
        <v>13</v>
      </c>
      <c r="I708">
        <v>30</v>
      </c>
      <c r="J708">
        <f>ABS((I708-EDA!$A$15)/EDA!$B$15)</f>
        <v>0.84546364806693275</v>
      </c>
      <c r="K708" t="str">
        <f t="shared" si="11"/>
        <v>No</v>
      </c>
      <c r="L708">
        <f>ABS((C708-EDA!$F$15)/EDA!$G$15)</f>
        <v>0.18598940515828347</v>
      </c>
      <c r="M708" t="str">
        <f>IF(moras[[#This Row],[Z-Score Salario]]&gt;1.96, "Sí", "No")</f>
        <v>No</v>
      </c>
      <c r="N708" s="14">
        <f>IF(ISBLANK(moras[[#This Row],[SALARIO]]), EDA!$M$8, moras[[#This Row],[SALARIO]])</f>
        <v>33751175</v>
      </c>
      <c r="O708" s="14">
        <f xml:space="preserve"> IF(ISBLANK(moras[[#This Row],[EDAD]]), EDA!$E$8, moras[[#This Row],[EDAD]])</f>
        <v>30</v>
      </c>
      <c r="P708" s="14" t="str">
        <f>IF(
    OR(ISBLANK(moras[[#This Row],[TIPO_ASEGURAMIENTO]]), moras[[#This Row],[TIPO_ASEGURAMIENTO]]=""),
    EDA!$A$32,
    moras[[#This Row],[TIPO_ASEGURAMIENTO]]
)</f>
        <v>ASALARIADO</v>
      </c>
    </row>
    <row r="709" spans="1:16" x14ac:dyDescent="0.3">
      <c r="A709">
        <v>708</v>
      </c>
      <c r="B709" t="s">
        <v>15</v>
      </c>
      <c r="C709">
        <v>223874</v>
      </c>
      <c r="D709" t="s">
        <v>10</v>
      </c>
      <c r="E709" t="s">
        <v>16</v>
      </c>
      <c r="F709" t="s">
        <v>12</v>
      </c>
      <c r="G709" t="s">
        <v>13</v>
      </c>
      <c r="H709" t="s">
        <v>13</v>
      </c>
      <c r="I709">
        <v>58</v>
      </c>
      <c r="J709">
        <f>ABS((I709-EDA!$A$15)/EDA!$B$15)</f>
        <v>1.1306455940929174</v>
      </c>
      <c r="K709" t="str">
        <f t="shared" si="11"/>
        <v>No</v>
      </c>
      <c r="L709">
        <f>ABS((C709-EDA!$F$15)/EDA!$G$15)</f>
        <v>0.37192855081243087</v>
      </c>
      <c r="M709" t="str">
        <f>IF(moras[[#This Row],[Z-Score Salario]]&gt;1.96, "Sí", "No")</f>
        <v>No</v>
      </c>
      <c r="N709" s="14">
        <f>IF(ISBLANK(moras[[#This Row],[SALARIO]]), EDA!$M$8, moras[[#This Row],[SALARIO]])</f>
        <v>223874</v>
      </c>
      <c r="O709" s="14">
        <f xml:space="preserve"> IF(ISBLANK(moras[[#This Row],[EDAD]]), EDA!$E$8, moras[[#This Row],[EDAD]])</f>
        <v>58</v>
      </c>
      <c r="P709" s="14" t="str">
        <f>IF(
    OR(ISBLANK(moras[[#This Row],[TIPO_ASEGURAMIENTO]]), moras[[#This Row],[TIPO_ASEGURAMIENTO]]=""),
    EDA!$A$32,
    moras[[#This Row],[TIPO_ASEGURAMIENTO]]
)</f>
        <v>ASALARIADO</v>
      </c>
    </row>
    <row r="710" spans="1:16" x14ac:dyDescent="0.3">
      <c r="A710">
        <v>709</v>
      </c>
      <c r="B710" t="s">
        <v>9</v>
      </c>
      <c r="C710">
        <v>35153184</v>
      </c>
      <c r="D710" t="s">
        <v>10</v>
      </c>
      <c r="E710" t="s">
        <v>16</v>
      </c>
      <c r="F710" t="s">
        <v>12</v>
      </c>
      <c r="G710" t="s">
        <v>13</v>
      </c>
      <c r="H710" t="s">
        <v>13</v>
      </c>
      <c r="I710">
        <v>26</v>
      </c>
      <c r="J710">
        <f>ABS((I710-EDA!$A$15)/EDA!$B$15)</f>
        <v>1.1277649683754829</v>
      </c>
      <c r="K710" t="str">
        <f t="shared" si="11"/>
        <v>No</v>
      </c>
      <c r="L710">
        <f>ABS((C710-EDA!$F$15)/EDA!$G$15)</f>
        <v>0.2093198246135371</v>
      </c>
      <c r="M710" t="str">
        <f>IF(moras[[#This Row],[Z-Score Salario]]&gt;1.96, "Sí", "No")</f>
        <v>No</v>
      </c>
      <c r="N710" s="14">
        <f>IF(ISBLANK(moras[[#This Row],[SALARIO]]), EDA!$M$8, moras[[#This Row],[SALARIO]])</f>
        <v>35153184</v>
      </c>
      <c r="O710" s="14">
        <f xml:space="preserve"> IF(ISBLANK(moras[[#This Row],[EDAD]]), EDA!$E$8, moras[[#This Row],[EDAD]])</f>
        <v>26</v>
      </c>
      <c r="P710" s="14" t="str">
        <f>IF(
    OR(ISBLANK(moras[[#This Row],[TIPO_ASEGURAMIENTO]]), moras[[#This Row],[TIPO_ASEGURAMIENTO]]=""),
    EDA!$A$32,
    moras[[#This Row],[TIPO_ASEGURAMIENTO]]
)</f>
        <v>ASALARIADO</v>
      </c>
    </row>
    <row r="711" spans="1:16" x14ac:dyDescent="0.3">
      <c r="A711">
        <v>710</v>
      </c>
      <c r="B711" t="s">
        <v>15</v>
      </c>
      <c r="C711">
        <v>300018</v>
      </c>
      <c r="D711" t="s">
        <v>18</v>
      </c>
      <c r="E711" t="s">
        <v>16</v>
      </c>
      <c r="F711" t="s">
        <v>12</v>
      </c>
      <c r="G711" t="s">
        <v>12</v>
      </c>
      <c r="H711" t="s">
        <v>12</v>
      </c>
      <c r="I711">
        <v>38</v>
      </c>
      <c r="J711">
        <f>ABS((I711-EDA!$A$15)/EDA!$B$15)</f>
        <v>0.28086100744983278</v>
      </c>
      <c r="K711" t="str">
        <f t="shared" si="11"/>
        <v>No</v>
      </c>
      <c r="L711">
        <f>ABS((C711-EDA!$F$15)/EDA!$G$15)</f>
        <v>0.37066146090145252</v>
      </c>
      <c r="M711" t="str">
        <f>IF(moras[[#This Row],[Z-Score Salario]]&gt;1.96, "Sí", "No")</f>
        <v>No</v>
      </c>
      <c r="N711" s="14">
        <f>IF(ISBLANK(moras[[#This Row],[SALARIO]]), EDA!$M$8, moras[[#This Row],[SALARIO]])</f>
        <v>300018</v>
      </c>
      <c r="O711" s="14">
        <f xml:space="preserve"> IF(ISBLANK(moras[[#This Row],[EDAD]]), EDA!$E$8, moras[[#This Row],[EDAD]])</f>
        <v>38</v>
      </c>
      <c r="P711" s="14" t="str">
        <f>IF(
    OR(ISBLANK(moras[[#This Row],[TIPO_ASEGURAMIENTO]]), moras[[#This Row],[TIPO_ASEGURAMIENTO]]=""),
    EDA!$A$32,
    moras[[#This Row],[TIPO_ASEGURAMIENTO]]
)</f>
        <v>TRABAJADOR INDEPENDIENTE</v>
      </c>
    </row>
    <row r="712" spans="1:16" x14ac:dyDescent="0.3">
      <c r="A712">
        <v>711</v>
      </c>
      <c r="B712" t="s">
        <v>9</v>
      </c>
      <c r="C712">
        <v>808140178</v>
      </c>
      <c r="D712" t="s">
        <v>10</v>
      </c>
      <c r="E712" t="s">
        <v>16</v>
      </c>
      <c r="F712" t="s">
        <v>12</v>
      </c>
      <c r="G712" t="s">
        <v>13</v>
      </c>
      <c r="H712" t="s">
        <v>13</v>
      </c>
      <c r="I712">
        <v>34</v>
      </c>
      <c r="J712">
        <f>ABS((I712-EDA!$A$15)/EDA!$B$15)</f>
        <v>0.56316232775838282</v>
      </c>
      <c r="K712" t="str">
        <f t="shared" si="11"/>
        <v>No</v>
      </c>
      <c r="L712">
        <f>ABS((C712-EDA!$F$15)/EDA!$G$15)</f>
        <v>13.072369065720862</v>
      </c>
      <c r="M712" t="str">
        <f>IF(moras[[#This Row],[Z-Score Salario]]&gt;1.96, "Sí", "No")</f>
        <v>Sí</v>
      </c>
      <c r="N712" s="14">
        <f>IF(ISBLANK(moras[[#This Row],[SALARIO]]), EDA!$M$8, moras[[#This Row],[SALARIO]])</f>
        <v>808140178</v>
      </c>
      <c r="O712" s="14">
        <f xml:space="preserve"> IF(ISBLANK(moras[[#This Row],[EDAD]]), EDA!$E$8, moras[[#This Row],[EDAD]])</f>
        <v>34</v>
      </c>
      <c r="P712" s="14" t="str">
        <f>IF(
    OR(ISBLANK(moras[[#This Row],[TIPO_ASEGURAMIENTO]]), moras[[#This Row],[TIPO_ASEGURAMIENTO]]=""),
    EDA!$A$32,
    moras[[#This Row],[TIPO_ASEGURAMIENTO]]
)</f>
        <v>ASALARIADO</v>
      </c>
    </row>
    <row r="713" spans="1:16" x14ac:dyDescent="0.3">
      <c r="A713">
        <v>712</v>
      </c>
      <c r="B713" t="s">
        <v>15</v>
      </c>
      <c r="C713">
        <v>244860</v>
      </c>
      <c r="D713" t="s">
        <v>10</v>
      </c>
      <c r="E713" t="s">
        <v>16</v>
      </c>
      <c r="F713" t="s">
        <v>12</v>
      </c>
      <c r="G713" t="s">
        <v>13</v>
      </c>
      <c r="H713" t="s">
        <v>13</v>
      </c>
      <c r="I713">
        <v>56</v>
      </c>
      <c r="J713">
        <f>ABS((I713-EDA!$A$15)/EDA!$B$15)</f>
        <v>0.9894949339386423</v>
      </c>
      <c r="K713" t="str">
        <f t="shared" si="11"/>
        <v>No</v>
      </c>
      <c r="L713">
        <f>ABS((C713-EDA!$F$15)/EDA!$G$15)</f>
        <v>0.37157932895815748</v>
      </c>
      <c r="M713" t="str">
        <f>IF(moras[[#This Row],[Z-Score Salario]]&gt;1.96, "Sí", "No")</f>
        <v>No</v>
      </c>
      <c r="N713" s="14">
        <f>IF(ISBLANK(moras[[#This Row],[SALARIO]]), EDA!$M$8, moras[[#This Row],[SALARIO]])</f>
        <v>244860</v>
      </c>
      <c r="O713" s="14">
        <f xml:space="preserve"> IF(ISBLANK(moras[[#This Row],[EDAD]]), EDA!$E$8, moras[[#This Row],[EDAD]])</f>
        <v>56</v>
      </c>
      <c r="P713" s="14" t="str">
        <f>IF(
    OR(ISBLANK(moras[[#This Row],[TIPO_ASEGURAMIENTO]]), moras[[#This Row],[TIPO_ASEGURAMIENTO]]=""),
    EDA!$A$32,
    moras[[#This Row],[TIPO_ASEGURAMIENTO]]
)</f>
        <v>ASALARIADO</v>
      </c>
    </row>
    <row r="714" spans="1:16" x14ac:dyDescent="0.3">
      <c r="A714">
        <v>713</v>
      </c>
      <c r="B714" t="s">
        <v>9</v>
      </c>
      <c r="C714">
        <v>27803099</v>
      </c>
      <c r="D714" t="s">
        <v>19</v>
      </c>
      <c r="E714" t="s">
        <v>16</v>
      </c>
      <c r="F714" t="s">
        <v>12</v>
      </c>
      <c r="G714" t="s">
        <v>13</v>
      </c>
      <c r="H714" t="s">
        <v>13</v>
      </c>
      <c r="I714">
        <v>73</v>
      </c>
      <c r="J714">
        <f>ABS((I714-EDA!$A$15)/EDA!$B$15)</f>
        <v>2.1892755452499797</v>
      </c>
      <c r="K714" t="str">
        <f t="shared" si="11"/>
        <v>Sí</v>
      </c>
      <c r="L714">
        <f>ABS((C714-EDA!$F$15)/EDA!$G$15)</f>
        <v>8.7009221698885322E-2</v>
      </c>
      <c r="M714" t="str">
        <f>IF(moras[[#This Row],[Z-Score Salario]]&gt;1.96, "Sí", "No")</f>
        <v>No</v>
      </c>
      <c r="N714" s="14">
        <f>IF(ISBLANK(moras[[#This Row],[SALARIO]]), EDA!$M$8, moras[[#This Row],[SALARIO]])</f>
        <v>27803099</v>
      </c>
      <c r="O714" s="14">
        <f xml:space="preserve"> IF(ISBLANK(moras[[#This Row],[EDAD]]), EDA!$E$8, moras[[#This Row],[EDAD]])</f>
        <v>73</v>
      </c>
      <c r="P714" s="14" t="str">
        <f>IF(
    OR(ISBLANK(moras[[#This Row],[TIPO_ASEGURAMIENTO]]), moras[[#This Row],[TIPO_ASEGURAMIENTO]]=""),
    EDA!$A$32,
    moras[[#This Row],[TIPO_ASEGURAMIENTO]]
)</f>
        <v>CONVENIOS ESPECIALES DE TRABAJADORES INDEPENDIENTES</v>
      </c>
    </row>
    <row r="715" spans="1:16" x14ac:dyDescent="0.3">
      <c r="A715">
        <v>714</v>
      </c>
      <c r="B715" t="s">
        <v>15</v>
      </c>
      <c r="C715">
        <v>14150948</v>
      </c>
      <c r="D715" t="s">
        <v>14</v>
      </c>
      <c r="E715" t="s">
        <v>11</v>
      </c>
      <c r="F715" t="s">
        <v>12</v>
      </c>
      <c r="G715" t="s">
        <v>13</v>
      </c>
      <c r="H715" t="s">
        <v>13</v>
      </c>
      <c r="I715">
        <v>89</v>
      </c>
      <c r="J715">
        <f>ABS((I715-EDA!$A$15)/EDA!$B$15)</f>
        <v>3.3184808264841799</v>
      </c>
      <c r="K715" t="str">
        <f t="shared" si="11"/>
        <v>Sí</v>
      </c>
      <c r="L715">
        <f>ABS((C715-EDA!$F$15)/EDA!$G$15)</f>
        <v>0.1401722081610233</v>
      </c>
      <c r="M715" t="str">
        <f>IF(moras[[#This Row],[Z-Score Salario]]&gt;1.96, "Sí", "No")</f>
        <v>No</v>
      </c>
      <c r="N715" s="14">
        <f>IF(ISBLANK(moras[[#This Row],[SALARIO]]), EDA!$M$8, moras[[#This Row],[SALARIO]])</f>
        <v>14150948</v>
      </c>
      <c r="O715" s="14">
        <f xml:space="preserve"> IF(ISBLANK(moras[[#This Row],[EDAD]]), EDA!$E$8, moras[[#This Row],[EDAD]])</f>
        <v>89</v>
      </c>
      <c r="P715" s="14" t="str">
        <f>IF(
    OR(ISBLANK(moras[[#This Row],[TIPO_ASEGURAMIENTO]]), moras[[#This Row],[TIPO_ASEGURAMIENTO]]=""),
    EDA!$A$32,
    moras[[#This Row],[TIPO_ASEGURAMIENTO]]
)</f>
        <v>PENSIONADOS EN SU PROPIO SISTEMA</v>
      </c>
    </row>
    <row r="716" spans="1:16" x14ac:dyDescent="0.3">
      <c r="A716">
        <v>715</v>
      </c>
      <c r="B716" t="s">
        <v>9</v>
      </c>
      <c r="C716">
        <v>80628131</v>
      </c>
      <c r="D716" t="s">
        <v>10</v>
      </c>
      <c r="E716" t="s">
        <v>16</v>
      </c>
      <c r="F716" t="s">
        <v>12</v>
      </c>
      <c r="G716" t="s">
        <v>13</v>
      </c>
      <c r="H716" t="s">
        <v>13</v>
      </c>
      <c r="I716">
        <v>41</v>
      </c>
      <c r="J716">
        <f>ABS((I716-EDA!$A$15)/EDA!$B$15)</f>
        <v>6.9135017218420233E-2</v>
      </c>
      <c r="K716" t="str">
        <f t="shared" si="11"/>
        <v>No</v>
      </c>
      <c r="L716">
        <f>ABS((C716-EDA!$F$15)/EDA!$G$15)</f>
        <v>0.96605504401329034</v>
      </c>
      <c r="M716" t="str">
        <f>IF(moras[[#This Row],[Z-Score Salario]]&gt;1.96, "Sí", "No")</f>
        <v>No</v>
      </c>
      <c r="N716" s="14">
        <f>IF(ISBLANK(moras[[#This Row],[SALARIO]]), EDA!$M$8, moras[[#This Row],[SALARIO]])</f>
        <v>80628131</v>
      </c>
      <c r="O716" s="14">
        <f xml:space="preserve"> IF(ISBLANK(moras[[#This Row],[EDAD]]), EDA!$E$8, moras[[#This Row],[EDAD]])</f>
        <v>41</v>
      </c>
      <c r="P716" s="14" t="str">
        <f>IF(
    OR(ISBLANK(moras[[#This Row],[TIPO_ASEGURAMIENTO]]), moras[[#This Row],[TIPO_ASEGURAMIENTO]]=""),
    EDA!$A$32,
    moras[[#This Row],[TIPO_ASEGURAMIENTO]]
)</f>
        <v>ASALARIADO</v>
      </c>
    </row>
    <row r="717" spans="1:16" x14ac:dyDescent="0.3">
      <c r="A717">
        <v>716</v>
      </c>
      <c r="B717" t="s">
        <v>9</v>
      </c>
      <c r="C717">
        <v>360561</v>
      </c>
      <c r="D717" t="s">
        <v>10</v>
      </c>
      <c r="E717" t="s">
        <v>16</v>
      </c>
      <c r="F717" t="s">
        <v>12</v>
      </c>
      <c r="G717" t="s">
        <v>13</v>
      </c>
      <c r="H717" t="s">
        <v>13</v>
      </c>
      <c r="I717">
        <v>28</v>
      </c>
      <c r="J717">
        <f>ABS((I717-EDA!$A$15)/EDA!$B$15)</f>
        <v>0.98661430822120777</v>
      </c>
      <c r="K717" t="str">
        <f t="shared" si="11"/>
        <v>No</v>
      </c>
      <c r="L717">
        <f>ABS((C717-EDA!$F$15)/EDA!$G$15)</f>
        <v>0.36965398264341037</v>
      </c>
      <c r="M717" t="str">
        <f>IF(moras[[#This Row],[Z-Score Salario]]&gt;1.96, "Sí", "No")</f>
        <v>No</v>
      </c>
      <c r="N717" s="14">
        <f>IF(ISBLANK(moras[[#This Row],[SALARIO]]), EDA!$M$8, moras[[#This Row],[SALARIO]])</f>
        <v>360561</v>
      </c>
      <c r="O717" s="14">
        <f xml:space="preserve"> IF(ISBLANK(moras[[#This Row],[EDAD]]), EDA!$E$8, moras[[#This Row],[EDAD]])</f>
        <v>28</v>
      </c>
      <c r="P717" s="14" t="str">
        <f>IF(
    OR(ISBLANK(moras[[#This Row],[TIPO_ASEGURAMIENTO]]), moras[[#This Row],[TIPO_ASEGURAMIENTO]]=""),
    EDA!$A$32,
    moras[[#This Row],[TIPO_ASEGURAMIENTO]]
)</f>
        <v>ASALARIADO</v>
      </c>
    </row>
    <row r="718" spans="1:16" x14ac:dyDescent="0.3">
      <c r="A718">
        <v>717</v>
      </c>
      <c r="B718" t="s">
        <v>15</v>
      </c>
      <c r="C718">
        <v>5937493</v>
      </c>
      <c r="D718" t="s">
        <v>10</v>
      </c>
      <c r="E718" t="s">
        <v>16</v>
      </c>
      <c r="F718" t="s">
        <v>12</v>
      </c>
      <c r="G718" t="s">
        <v>13</v>
      </c>
      <c r="H718" t="s">
        <v>13</v>
      </c>
      <c r="I718">
        <v>27</v>
      </c>
      <c r="J718">
        <f>ABS((I718-EDA!$A$15)/EDA!$B$15)</f>
        <v>1.0571896382983452</v>
      </c>
      <c r="K718" t="str">
        <f t="shared" si="11"/>
        <v>No</v>
      </c>
      <c r="L718">
        <f>ABS((C718-EDA!$F$15)/EDA!$G$15)</f>
        <v>0.27684989733908877</v>
      </c>
      <c r="M718" t="str">
        <f>IF(moras[[#This Row],[Z-Score Salario]]&gt;1.96, "Sí", "No")</f>
        <v>No</v>
      </c>
      <c r="N718" s="14">
        <f>IF(ISBLANK(moras[[#This Row],[SALARIO]]), EDA!$M$8, moras[[#This Row],[SALARIO]])</f>
        <v>5937493</v>
      </c>
      <c r="O718" s="14">
        <f xml:space="preserve"> IF(ISBLANK(moras[[#This Row],[EDAD]]), EDA!$E$8, moras[[#This Row],[EDAD]])</f>
        <v>27</v>
      </c>
      <c r="P718" s="14" t="str">
        <f>IF(
    OR(ISBLANK(moras[[#This Row],[TIPO_ASEGURAMIENTO]]), moras[[#This Row],[TIPO_ASEGURAMIENTO]]=""),
    EDA!$A$32,
    moras[[#This Row],[TIPO_ASEGURAMIENTO]]
)</f>
        <v>ASALARIADO</v>
      </c>
    </row>
    <row r="719" spans="1:16" x14ac:dyDescent="0.3">
      <c r="A719">
        <v>718</v>
      </c>
      <c r="B719" t="s">
        <v>15</v>
      </c>
      <c r="C719">
        <v>29926123</v>
      </c>
      <c r="D719" t="s">
        <v>10</v>
      </c>
      <c r="E719" t="s">
        <v>11</v>
      </c>
      <c r="F719" t="s">
        <v>12</v>
      </c>
      <c r="G719" t="s">
        <v>13</v>
      </c>
      <c r="H719" t="s">
        <v>13</v>
      </c>
      <c r="I719">
        <v>44</v>
      </c>
      <c r="J719">
        <f>ABS((I719-EDA!$A$15)/EDA!$B$15)</f>
        <v>0.14259097301299228</v>
      </c>
      <c r="K719" t="str">
        <f t="shared" si="11"/>
        <v>No</v>
      </c>
      <c r="L719">
        <f>ABS((C719-EDA!$F$15)/EDA!$G$15)</f>
        <v>0.12233783972742182</v>
      </c>
      <c r="M719" t="str">
        <f>IF(moras[[#This Row],[Z-Score Salario]]&gt;1.96, "Sí", "No")</f>
        <v>No</v>
      </c>
      <c r="N719" s="14">
        <f>IF(ISBLANK(moras[[#This Row],[SALARIO]]), EDA!$M$8, moras[[#This Row],[SALARIO]])</f>
        <v>29926123</v>
      </c>
      <c r="O719" s="14">
        <f xml:space="preserve"> IF(ISBLANK(moras[[#This Row],[EDAD]]), EDA!$E$8, moras[[#This Row],[EDAD]])</f>
        <v>44</v>
      </c>
      <c r="P719" s="14" t="str">
        <f>IF(
    OR(ISBLANK(moras[[#This Row],[TIPO_ASEGURAMIENTO]]), moras[[#This Row],[TIPO_ASEGURAMIENTO]]=""),
    EDA!$A$32,
    moras[[#This Row],[TIPO_ASEGURAMIENTO]]
)</f>
        <v>ASALARIADO</v>
      </c>
    </row>
    <row r="720" spans="1:16" x14ac:dyDescent="0.3">
      <c r="A720">
        <v>719</v>
      </c>
      <c r="B720" t="s">
        <v>9</v>
      </c>
      <c r="C720">
        <v>22697482</v>
      </c>
      <c r="D720" t="s">
        <v>10</v>
      </c>
      <c r="E720" t="s">
        <v>16</v>
      </c>
      <c r="F720" t="s">
        <v>12</v>
      </c>
      <c r="G720" t="s">
        <v>13</v>
      </c>
      <c r="H720" t="s">
        <v>13</v>
      </c>
      <c r="I720">
        <v>31</v>
      </c>
      <c r="J720">
        <f>ABS((I720-EDA!$A$15)/EDA!$B$15)</f>
        <v>0.77488831798979529</v>
      </c>
      <c r="K720" t="str">
        <f t="shared" si="11"/>
        <v>No</v>
      </c>
      <c r="L720">
        <f>ABS((C720-EDA!$F$15)/EDA!$G$15)</f>
        <v>2.0481507015709033E-3</v>
      </c>
      <c r="M720" t="str">
        <f>IF(moras[[#This Row],[Z-Score Salario]]&gt;1.96, "Sí", "No")</f>
        <v>No</v>
      </c>
      <c r="N720" s="14">
        <f>IF(ISBLANK(moras[[#This Row],[SALARIO]]), EDA!$M$8, moras[[#This Row],[SALARIO]])</f>
        <v>22697482</v>
      </c>
      <c r="O720" s="14">
        <f xml:space="preserve"> IF(ISBLANK(moras[[#This Row],[EDAD]]), EDA!$E$8, moras[[#This Row],[EDAD]])</f>
        <v>31</v>
      </c>
      <c r="P720" s="14" t="str">
        <f>IF(
    OR(ISBLANK(moras[[#This Row],[TIPO_ASEGURAMIENTO]]), moras[[#This Row],[TIPO_ASEGURAMIENTO]]=""),
    EDA!$A$32,
    moras[[#This Row],[TIPO_ASEGURAMIENTO]]
)</f>
        <v>ASALARIADO</v>
      </c>
    </row>
    <row r="721" spans="1:16" x14ac:dyDescent="0.3">
      <c r="A721">
        <v>720</v>
      </c>
      <c r="B721" t="s">
        <v>9</v>
      </c>
      <c r="C721">
        <v>380825</v>
      </c>
      <c r="D721" t="s">
        <v>14</v>
      </c>
      <c r="E721" t="s">
        <v>11</v>
      </c>
      <c r="F721" t="s">
        <v>12</v>
      </c>
      <c r="G721" t="s">
        <v>13</v>
      </c>
      <c r="H721" t="s">
        <v>13</v>
      </c>
      <c r="I721">
        <v>68</v>
      </c>
      <c r="J721">
        <f>ABS((I721-EDA!$A$15)/EDA!$B$15)</f>
        <v>1.8363988948642924</v>
      </c>
      <c r="K721" t="str">
        <f t="shared" si="11"/>
        <v>No</v>
      </c>
      <c r="L721">
        <f>ABS((C721-EDA!$F$15)/EDA!$G$15)</f>
        <v>0.36931677537880564</v>
      </c>
      <c r="M721" t="str">
        <f>IF(moras[[#This Row],[Z-Score Salario]]&gt;1.96, "Sí", "No")</f>
        <v>No</v>
      </c>
      <c r="N721" s="14">
        <f>IF(ISBLANK(moras[[#This Row],[SALARIO]]), EDA!$M$8, moras[[#This Row],[SALARIO]])</f>
        <v>380825</v>
      </c>
      <c r="O721" s="14">
        <f xml:space="preserve"> IF(ISBLANK(moras[[#This Row],[EDAD]]), EDA!$E$8, moras[[#This Row],[EDAD]])</f>
        <v>68</v>
      </c>
      <c r="P721" s="14" t="str">
        <f>IF(
    OR(ISBLANK(moras[[#This Row],[TIPO_ASEGURAMIENTO]]), moras[[#This Row],[TIPO_ASEGURAMIENTO]]=""),
    EDA!$A$32,
    moras[[#This Row],[TIPO_ASEGURAMIENTO]]
)</f>
        <v>PENSIONADOS EN SU PROPIO SISTEMA</v>
      </c>
    </row>
    <row r="722" spans="1:16" x14ac:dyDescent="0.3">
      <c r="A722">
        <v>721</v>
      </c>
      <c r="B722" t="s">
        <v>9</v>
      </c>
      <c r="C722">
        <v>403092</v>
      </c>
      <c r="D722" t="s">
        <v>18</v>
      </c>
      <c r="E722" t="s">
        <v>16</v>
      </c>
      <c r="F722" t="s">
        <v>12</v>
      </c>
      <c r="G722" t="s">
        <v>13</v>
      </c>
      <c r="H722" t="s">
        <v>12</v>
      </c>
      <c r="I722">
        <v>55</v>
      </c>
      <c r="J722">
        <f>ABS((I722-EDA!$A$15)/EDA!$B$15)</f>
        <v>0.91891960386150484</v>
      </c>
      <c r="K722" t="str">
        <f t="shared" si="11"/>
        <v>No</v>
      </c>
      <c r="L722">
        <f>ABS((C722-EDA!$F$15)/EDA!$G$15)</f>
        <v>0.36894623678025873</v>
      </c>
      <c r="M722" t="str">
        <f>IF(moras[[#This Row],[Z-Score Salario]]&gt;1.96, "Sí", "No")</f>
        <v>No</v>
      </c>
      <c r="N722" s="14">
        <f>IF(ISBLANK(moras[[#This Row],[SALARIO]]), EDA!$M$8, moras[[#This Row],[SALARIO]])</f>
        <v>403092</v>
      </c>
      <c r="O722" s="14">
        <f xml:space="preserve"> IF(ISBLANK(moras[[#This Row],[EDAD]]), EDA!$E$8, moras[[#This Row],[EDAD]])</f>
        <v>55</v>
      </c>
      <c r="P722" s="14" t="str">
        <f>IF(
    OR(ISBLANK(moras[[#This Row],[TIPO_ASEGURAMIENTO]]), moras[[#This Row],[TIPO_ASEGURAMIENTO]]=""),
    EDA!$A$32,
    moras[[#This Row],[TIPO_ASEGURAMIENTO]]
)</f>
        <v>TRABAJADOR INDEPENDIENTE</v>
      </c>
    </row>
    <row r="723" spans="1:16" x14ac:dyDescent="0.3">
      <c r="A723">
        <v>722</v>
      </c>
      <c r="B723" t="s">
        <v>9</v>
      </c>
      <c r="C723">
        <v>408100</v>
      </c>
      <c r="D723" t="s">
        <v>10</v>
      </c>
      <c r="E723" t="s">
        <v>16</v>
      </c>
      <c r="F723" t="s">
        <v>12</v>
      </c>
      <c r="G723" t="s">
        <v>12</v>
      </c>
      <c r="H723" t="s">
        <v>13</v>
      </c>
      <c r="I723">
        <v>50</v>
      </c>
      <c r="J723">
        <f>ABS((I723-EDA!$A$15)/EDA!$B$15)</f>
        <v>0.56604295347581735</v>
      </c>
      <c r="K723" t="str">
        <f t="shared" si="11"/>
        <v>No</v>
      </c>
      <c r="L723">
        <f>ABS((C723-EDA!$F$15)/EDA!$G$15)</f>
        <v>0.36886290012505046</v>
      </c>
      <c r="M723" t="str">
        <f>IF(moras[[#This Row],[Z-Score Salario]]&gt;1.96, "Sí", "No")</f>
        <v>No</v>
      </c>
      <c r="N723" s="14">
        <f>IF(ISBLANK(moras[[#This Row],[SALARIO]]), EDA!$M$8, moras[[#This Row],[SALARIO]])</f>
        <v>408100</v>
      </c>
      <c r="O723" s="14">
        <f xml:space="preserve"> IF(ISBLANK(moras[[#This Row],[EDAD]]), EDA!$E$8, moras[[#This Row],[EDAD]])</f>
        <v>50</v>
      </c>
      <c r="P723" s="14" t="str">
        <f>IF(
    OR(ISBLANK(moras[[#This Row],[TIPO_ASEGURAMIENTO]]), moras[[#This Row],[TIPO_ASEGURAMIENTO]]=""),
    EDA!$A$32,
    moras[[#This Row],[TIPO_ASEGURAMIENTO]]
)</f>
        <v>ASALARIADO</v>
      </c>
    </row>
    <row r="724" spans="1:16" x14ac:dyDescent="0.3">
      <c r="A724">
        <v>723</v>
      </c>
      <c r="B724" t="s">
        <v>9</v>
      </c>
      <c r="C724">
        <v>46326061</v>
      </c>
      <c r="D724" t="s">
        <v>10</v>
      </c>
      <c r="E724" t="s">
        <v>16</v>
      </c>
      <c r="F724" t="s">
        <v>12</v>
      </c>
      <c r="G724" t="s">
        <v>13</v>
      </c>
      <c r="H724" t="s">
        <v>13</v>
      </c>
      <c r="I724">
        <v>21</v>
      </c>
      <c r="J724">
        <f>ABS((I724-EDA!$A$15)/EDA!$B$15)</f>
        <v>1.4806416187611704</v>
      </c>
      <c r="K724" t="str">
        <f t="shared" si="11"/>
        <v>No</v>
      </c>
      <c r="L724">
        <f>ABS((C724-EDA!$F$15)/EDA!$G$15)</f>
        <v>0.39524438496368897</v>
      </c>
      <c r="M724" t="str">
        <f>IF(moras[[#This Row],[Z-Score Salario]]&gt;1.96, "Sí", "No")</f>
        <v>No</v>
      </c>
      <c r="N724" s="14">
        <f>IF(ISBLANK(moras[[#This Row],[SALARIO]]), EDA!$M$8, moras[[#This Row],[SALARIO]])</f>
        <v>46326061</v>
      </c>
      <c r="O724" s="14">
        <f xml:space="preserve"> IF(ISBLANK(moras[[#This Row],[EDAD]]), EDA!$E$8, moras[[#This Row],[EDAD]])</f>
        <v>21</v>
      </c>
      <c r="P724" s="14" t="str">
        <f>IF(
    OR(ISBLANK(moras[[#This Row],[TIPO_ASEGURAMIENTO]]), moras[[#This Row],[TIPO_ASEGURAMIENTO]]=""),
    EDA!$A$32,
    moras[[#This Row],[TIPO_ASEGURAMIENTO]]
)</f>
        <v>ASALARIADO</v>
      </c>
    </row>
    <row r="725" spans="1:16" x14ac:dyDescent="0.3">
      <c r="A725">
        <v>724</v>
      </c>
      <c r="B725" t="s">
        <v>9</v>
      </c>
      <c r="C725">
        <v>37750613</v>
      </c>
      <c r="D725" t="s">
        <v>10</v>
      </c>
      <c r="E725" t="s">
        <v>16</v>
      </c>
      <c r="F725" t="s">
        <v>12</v>
      </c>
      <c r="G725" t="s">
        <v>13</v>
      </c>
      <c r="H725" t="s">
        <v>12</v>
      </c>
      <c r="I725">
        <v>23</v>
      </c>
      <c r="J725">
        <f>ABS((I725-EDA!$A$15)/EDA!$B$15)</f>
        <v>1.3394909586068953</v>
      </c>
      <c r="K725" t="str">
        <f t="shared" si="11"/>
        <v>No</v>
      </c>
      <c r="L725">
        <f>ABS((C725-EDA!$F$15)/EDA!$G$15)</f>
        <v>0.25254287673034953</v>
      </c>
      <c r="M725" t="str">
        <f>IF(moras[[#This Row],[Z-Score Salario]]&gt;1.96, "Sí", "No")</f>
        <v>No</v>
      </c>
      <c r="N725" s="14">
        <f>IF(ISBLANK(moras[[#This Row],[SALARIO]]), EDA!$M$8, moras[[#This Row],[SALARIO]])</f>
        <v>37750613</v>
      </c>
      <c r="O725" s="14">
        <f xml:space="preserve"> IF(ISBLANK(moras[[#This Row],[EDAD]]), EDA!$E$8, moras[[#This Row],[EDAD]])</f>
        <v>23</v>
      </c>
      <c r="P725" s="14" t="str">
        <f>IF(
    OR(ISBLANK(moras[[#This Row],[TIPO_ASEGURAMIENTO]]), moras[[#This Row],[TIPO_ASEGURAMIENTO]]=""),
    EDA!$A$32,
    moras[[#This Row],[TIPO_ASEGURAMIENTO]]
)</f>
        <v>ASALARIADO</v>
      </c>
    </row>
    <row r="726" spans="1:16" x14ac:dyDescent="0.3">
      <c r="A726">
        <v>725</v>
      </c>
      <c r="B726" t="s">
        <v>15</v>
      </c>
      <c r="C726">
        <v>297045</v>
      </c>
      <c r="D726" t="s">
        <v>18</v>
      </c>
      <c r="E726" t="s">
        <v>16</v>
      </c>
      <c r="F726" t="s">
        <v>12</v>
      </c>
      <c r="G726" t="s">
        <v>12</v>
      </c>
      <c r="H726" t="s">
        <v>12</v>
      </c>
      <c r="I726">
        <v>43</v>
      </c>
      <c r="J726">
        <f>ABS((I726-EDA!$A$15)/EDA!$B$15)</f>
        <v>7.2015642935854773E-2</v>
      </c>
      <c r="K726" t="str">
        <f t="shared" si="11"/>
        <v>No</v>
      </c>
      <c r="L726">
        <f>ABS((C726-EDA!$F$15)/EDA!$G$15)</f>
        <v>0.37071093372012948</v>
      </c>
      <c r="M726" t="str">
        <f>IF(moras[[#This Row],[Z-Score Salario]]&gt;1.96, "Sí", "No")</f>
        <v>No</v>
      </c>
      <c r="N726" s="14">
        <f>IF(ISBLANK(moras[[#This Row],[SALARIO]]), EDA!$M$8, moras[[#This Row],[SALARIO]])</f>
        <v>297045</v>
      </c>
      <c r="O726" s="14">
        <f xml:space="preserve"> IF(ISBLANK(moras[[#This Row],[EDAD]]), EDA!$E$8, moras[[#This Row],[EDAD]])</f>
        <v>43</v>
      </c>
      <c r="P726" s="14" t="str">
        <f>IF(
    OR(ISBLANK(moras[[#This Row],[TIPO_ASEGURAMIENTO]]), moras[[#This Row],[TIPO_ASEGURAMIENTO]]=""),
    EDA!$A$32,
    moras[[#This Row],[TIPO_ASEGURAMIENTO]]
)</f>
        <v>TRABAJADOR INDEPENDIENTE</v>
      </c>
    </row>
    <row r="727" spans="1:16" x14ac:dyDescent="0.3">
      <c r="A727">
        <v>726</v>
      </c>
      <c r="B727" t="s">
        <v>9</v>
      </c>
      <c r="C727">
        <v>48602</v>
      </c>
      <c r="D727" t="s">
        <v>10</v>
      </c>
      <c r="E727" t="s">
        <v>16</v>
      </c>
      <c r="F727" t="s">
        <v>12</v>
      </c>
      <c r="G727" t="s">
        <v>13</v>
      </c>
      <c r="H727" t="s">
        <v>13</v>
      </c>
      <c r="I727">
        <v>33</v>
      </c>
      <c r="J727">
        <f>ABS((I727-EDA!$A$15)/EDA!$B$15)</f>
        <v>0.63373765783552027</v>
      </c>
      <c r="K727" t="str">
        <f t="shared" si="11"/>
        <v>No</v>
      </c>
      <c r="L727">
        <f>ABS((C727-EDA!$F$15)/EDA!$G$15)</f>
        <v>0.3748452006190735</v>
      </c>
      <c r="M727" t="str">
        <f>IF(moras[[#This Row],[Z-Score Salario]]&gt;1.96, "Sí", "No")</f>
        <v>No</v>
      </c>
      <c r="N727" s="14">
        <f>IF(ISBLANK(moras[[#This Row],[SALARIO]]), EDA!$M$8, moras[[#This Row],[SALARIO]])</f>
        <v>48602</v>
      </c>
      <c r="O727" s="14">
        <f xml:space="preserve"> IF(ISBLANK(moras[[#This Row],[EDAD]]), EDA!$E$8, moras[[#This Row],[EDAD]])</f>
        <v>33</v>
      </c>
      <c r="P727" s="14" t="str">
        <f>IF(
    OR(ISBLANK(moras[[#This Row],[TIPO_ASEGURAMIENTO]]), moras[[#This Row],[TIPO_ASEGURAMIENTO]]=""),
    EDA!$A$32,
    moras[[#This Row],[TIPO_ASEGURAMIENTO]]
)</f>
        <v>ASALARIADO</v>
      </c>
    </row>
    <row r="728" spans="1:16" x14ac:dyDescent="0.3">
      <c r="A728">
        <v>727</v>
      </c>
      <c r="B728" t="s">
        <v>15</v>
      </c>
      <c r="C728">
        <v>375000</v>
      </c>
      <c r="D728" t="s">
        <v>10</v>
      </c>
      <c r="E728" t="s">
        <v>16</v>
      </c>
      <c r="F728" t="s">
        <v>12</v>
      </c>
      <c r="G728" t="s">
        <v>13</v>
      </c>
      <c r="H728" t="s">
        <v>13</v>
      </c>
      <c r="I728">
        <v>36</v>
      </c>
      <c r="J728">
        <f>ABS((I728-EDA!$A$15)/EDA!$B$15)</f>
        <v>0.42201166760410774</v>
      </c>
      <c r="K728" t="str">
        <f t="shared" si="11"/>
        <v>No</v>
      </c>
      <c r="L728">
        <f>ABS((C728-EDA!$F$15)/EDA!$G$15)</f>
        <v>0.36941370749074415</v>
      </c>
      <c r="M728" t="str">
        <f>IF(moras[[#This Row],[Z-Score Salario]]&gt;1.96, "Sí", "No")</f>
        <v>No</v>
      </c>
      <c r="N728" s="14">
        <f>IF(ISBLANK(moras[[#This Row],[SALARIO]]), EDA!$M$8, moras[[#This Row],[SALARIO]])</f>
        <v>375000</v>
      </c>
      <c r="O728" s="14">
        <f xml:space="preserve"> IF(ISBLANK(moras[[#This Row],[EDAD]]), EDA!$E$8, moras[[#This Row],[EDAD]])</f>
        <v>36</v>
      </c>
      <c r="P728" s="14" t="str">
        <f>IF(
    OR(ISBLANK(moras[[#This Row],[TIPO_ASEGURAMIENTO]]), moras[[#This Row],[TIPO_ASEGURAMIENTO]]=""),
    EDA!$A$32,
    moras[[#This Row],[TIPO_ASEGURAMIENTO]]
)</f>
        <v>ASALARIADO</v>
      </c>
    </row>
    <row r="729" spans="1:16" x14ac:dyDescent="0.3">
      <c r="A729">
        <v>728</v>
      </c>
      <c r="B729" t="s">
        <v>9</v>
      </c>
      <c r="C729">
        <v>63076115</v>
      </c>
      <c r="D729" t="s">
        <v>10</v>
      </c>
      <c r="E729" t="s">
        <v>16</v>
      </c>
      <c r="F729" t="s">
        <v>12</v>
      </c>
      <c r="G729" t="s">
        <v>13</v>
      </c>
      <c r="H729" t="s">
        <v>13</v>
      </c>
      <c r="I729">
        <v>20</v>
      </c>
      <c r="J729">
        <f>ABS((I729-EDA!$A$15)/EDA!$B$15)</f>
        <v>1.5512169488383079</v>
      </c>
      <c r="K729" t="str">
        <f t="shared" si="11"/>
        <v>No</v>
      </c>
      <c r="L729">
        <f>ABS((C729-EDA!$F$15)/EDA!$G$15)</f>
        <v>0.67397710759111096</v>
      </c>
      <c r="M729" t="str">
        <f>IF(moras[[#This Row],[Z-Score Salario]]&gt;1.96, "Sí", "No")</f>
        <v>No</v>
      </c>
      <c r="N729" s="14">
        <f>IF(ISBLANK(moras[[#This Row],[SALARIO]]), EDA!$M$8, moras[[#This Row],[SALARIO]])</f>
        <v>63076115</v>
      </c>
      <c r="O729" s="14">
        <f xml:space="preserve"> IF(ISBLANK(moras[[#This Row],[EDAD]]), EDA!$E$8, moras[[#This Row],[EDAD]])</f>
        <v>20</v>
      </c>
      <c r="P729" s="14" t="str">
        <f>IF(
    OR(ISBLANK(moras[[#This Row],[TIPO_ASEGURAMIENTO]]), moras[[#This Row],[TIPO_ASEGURAMIENTO]]=""),
    EDA!$A$32,
    moras[[#This Row],[TIPO_ASEGURAMIENTO]]
)</f>
        <v>ASALARIADO</v>
      </c>
    </row>
    <row r="730" spans="1:16" x14ac:dyDescent="0.3">
      <c r="A730">
        <v>729</v>
      </c>
      <c r="B730" t="s">
        <v>15</v>
      </c>
      <c r="C730">
        <v>19587442</v>
      </c>
      <c r="D730" t="s">
        <v>14</v>
      </c>
      <c r="E730" t="s">
        <v>11</v>
      </c>
      <c r="F730" t="s">
        <v>12</v>
      </c>
      <c r="G730" t="s">
        <v>13</v>
      </c>
      <c r="H730" t="s">
        <v>13</v>
      </c>
      <c r="I730">
        <v>67</v>
      </c>
      <c r="J730">
        <f>ABS((I730-EDA!$A$15)/EDA!$B$15)</f>
        <v>1.765823564787155</v>
      </c>
      <c r="K730" t="str">
        <f t="shared" si="11"/>
        <v>No</v>
      </c>
      <c r="L730">
        <f>ABS((C730-EDA!$F$15)/EDA!$G$15)</f>
        <v>4.9705110313598803E-2</v>
      </c>
      <c r="M730" t="str">
        <f>IF(moras[[#This Row],[Z-Score Salario]]&gt;1.96, "Sí", "No")</f>
        <v>No</v>
      </c>
      <c r="N730" s="14">
        <f>IF(ISBLANK(moras[[#This Row],[SALARIO]]), EDA!$M$8, moras[[#This Row],[SALARIO]])</f>
        <v>19587442</v>
      </c>
      <c r="O730" s="14">
        <f xml:space="preserve"> IF(ISBLANK(moras[[#This Row],[EDAD]]), EDA!$E$8, moras[[#This Row],[EDAD]])</f>
        <v>67</v>
      </c>
      <c r="P730" s="14" t="str">
        <f>IF(
    OR(ISBLANK(moras[[#This Row],[TIPO_ASEGURAMIENTO]]), moras[[#This Row],[TIPO_ASEGURAMIENTO]]=""),
    EDA!$A$32,
    moras[[#This Row],[TIPO_ASEGURAMIENTO]]
)</f>
        <v>PENSIONADOS EN SU PROPIO SISTEMA</v>
      </c>
    </row>
    <row r="731" spans="1:16" x14ac:dyDescent="0.3">
      <c r="A731">
        <v>730</v>
      </c>
      <c r="B731" t="s">
        <v>15</v>
      </c>
      <c r="C731">
        <v>650000</v>
      </c>
      <c r="D731" t="s">
        <v>10</v>
      </c>
      <c r="E731" t="s">
        <v>16</v>
      </c>
      <c r="F731" t="s">
        <v>12</v>
      </c>
      <c r="G731" t="s">
        <v>13</v>
      </c>
      <c r="H731" t="s">
        <v>13</v>
      </c>
      <c r="I731">
        <v>39</v>
      </c>
      <c r="J731">
        <f>ABS((I731-EDA!$A$15)/EDA!$B$15)</f>
        <v>0.21028567737269524</v>
      </c>
      <c r="K731" t="str">
        <f t="shared" si="11"/>
        <v>No</v>
      </c>
      <c r="L731">
        <f>ABS((C731-EDA!$F$15)/EDA!$G$15)</f>
        <v>0.36483751336488995</v>
      </c>
      <c r="M731" t="str">
        <f>IF(moras[[#This Row],[Z-Score Salario]]&gt;1.96, "Sí", "No")</f>
        <v>No</v>
      </c>
      <c r="N731" s="14">
        <f>IF(ISBLANK(moras[[#This Row],[SALARIO]]), EDA!$M$8, moras[[#This Row],[SALARIO]])</f>
        <v>650000</v>
      </c>
      <c r="O731" s="14">
        <f xml:space="preserve"> IF(ISBLANK(moras[[#This Row],[EDAD]]), EDA!$E$8, moras[[#This Row],[EDAD]])</f>
        <v>39</v>
      </c>
      <c r="P731" s="14" t="str">
        <f>IF(
    OR(ISBLANK(moras[[#This Row],[TIPO_ASEGURAMIENTO]]), moras[[#This Row],[TIPO_ASEGURAMIENTO]]=""),
    EDA!$A$32,
    moras[[#This Row],[TIPO_ASEGURAMIENTO]]
)</f>
        <v>ASALARIADO</v>
      </c>
    </row>
    <row r="732" spans="1:16" x14ac:dyDescent="0.3">
      <c r="A732">
        <v>731</v>
      </c>
      <c r="B732" t="s">
        <v>9</v>
      </c>
      <c r="C732">
        <v>100543578</v>
      </c>
      <c r="D732" t="s">
        <v>14</v>
      </c>
      <c r="E732" t="s">
        <v>11</v>
      </c>
      <c r="F732" t="s">
        <v>12</v>
      </c>
      <c r="G732" t="s">
        <v>13</v>
      </c>
      <c r="H732" t="s">
        <v>13</v>
      </c>
      <c r="I732">
        <v>60</v>
      </c>
      <c r="J732">
        <f>ABS((I732-EDA!$A$15)/EDA!$B$15)</f>
        <v>1.2717962542471923</v>
      </c>
      <c r="K732" t="str">
        <f t="shared" si="11"/>
        <v>No</v>
      </c>
      <c r="L732">
        <f>ABS((C732-EDA!$F$15)/EDA!$G$15)</f>
        <v>1.2974621406502398</v>
      </c>
      <c r="M732" t="str">
        <f>IF(moras[[#This Row],[Z-Score Salario]]&gt;1.96, "Sí", "No")</f>
        <v>No</v>
      </c>
      <c r="N732" s="14">
        <f>IF(ISBLANK(moras[[#This Row],[SALARIO]]), EDA!$M$8, moras[[#This Row],[SALARIO]])</f>
        <v>100543578</v>
      </c>
      <c r="O732" s="14">
        <f xml:space="preserve"> IF(ISBLANK(moras[[#This Row],[EDAD]]), EDA!$E$8, moras[[#This Row],[EDAD]])</f>
        <v>60</v>
      </c>
      <c r="P732" s="14" t="str">
        <f>IF(
    OR(ISBLANK(moras[[#This Row],[TIPO_ASEGURAMIENTO]]), moras[[#This Row],[TIPO_ASEGURAMIENTO]]=""),
    EDA!$A$32,
    moras[[#This Row],[TIPO_ASEGURAMIENTO]]
)</f>
        <v>PENSIONADOS EN SU PROPIO SISTEMA</v>
      </c>
    </row>
    <row r="733" spans="1:16" x14ac:dyDescent="0.3">
      <c r="A733">
        <v>732</v>
      </c>
      <c r="B733" t="s">
        <v>15</v>
      </c>
      <c r="C733">
        <v>639148</v>
      </c>
      <c r="D733" t="s">
        <v>18</v>
      </c>
      <c r="E733" t="s">
        <v>16</v>
      </c>
      <c r="F733" t="s">
        <v>12</v>
      </c>
      <c r="G733" t="s">
        <v>12</v>
      </c>
      <c r="H733" t="s">
        <v>12</v>
      </c>
      <c r="I733">
        <v>49</v>
      </c>
      <c r="J733">
        <f>ABS((I733-EDA!$A$15)/EDA!$B$15)</f>
        <v>0.49546762339867978</v>
      </c>
      <c r="K733" t="str">
        <f t="shared" si="11"/>
        <v>No</v>
      </c>
      <c r="L733">
        <f>ABS((C733-EDA!$F$15)/EDA!$G$15)</f>
        <v>0.36501809830544912</v>
      </c>
      <c r="M733" t="str">
        <f>IF(moras[[#This Row],[Z-Score Salario]]&gt;1.96, "Sí", "No")</f>
        <v>No</v>
      </c>
      <c r="N733" s="14">
        <f>IF(ISBLANK(moras[[#This Row],[SALARIO]]), EDA!$M$8, moras[[#This Row],[SALARIO]])</f>
        <v>639148</v>
      </c>
      <c r="O733" s="14">
        <f xml:space="preserve"> IF(ISBLANK(moras[[#This Row],[EDAD]]), EDA!$E$8, moras[[#This Row],[EDAD]])</f>
        <v>49</v>
      </c>
      <c r="P733" s="14" t="str">
        <f>IF(
    OR(ISBLANK(moras[[#This Row],[TIPO_ASEGURAMIENTO]]), moras[[#This Row],[TIPO_ASEGURAMIENTO]]=""),
    EDA!$A$32,
    moras[[#This Row],[TIPO_ASEGURAMIENTO]]
)</f>
        <v>TRABAJADOR INDEPENDIENTE</v>
      </c>
    </row>
    <row r="734" spans="1:16" x14ac:dyDescent="0.3">
      <c r="A734">
        <v>733</v>
      </c>
      <c r="B734" t="s">
        <v>9</v>
      </c>
      <c r="C734">
        <v>13292039</v>
      </c>
      <c r="D734" t="s">
        <v>10</v>
      </c>
      <c r="E734" t="s">
        <v>11</v>
      </c>
      <c r="F734" t="s">
        <v>12</v>
      </c>
      <c r="G734" t="s">
        <v>13</v>
      </c>
      <c r="H734" t="s">
        <v>13</v>
      </c>
      <c r="I734">
        <v>45</v>
      </c>
      <c r="J734">
        <f>ABS((I734-EDA!$A$15)/EDA!$B$15)</f>
        <v>0.21316630309012977</v>
      </c>
      <c r="K734" t="str">
        <f t="shared" si="11"/>
        <v>No</v>
      </c>
      <c r="L734">
        <f>ABS((C734-EDA!$F$15)/EDA!$G$15)</f>
        <v>0.15446506023536266</v>
      </c>
      <c r="M734" t="str">
        <f>IF(moras[[#This Row],[Z-Score Salario]]&gt;1.96, "Sí", "No")</f>
        <v>No</v>
      </c>
      <c r="N734" s="14">
        <f>IF(ISBLANK(moras[[#This Row],[SALARIO]]), EDA!$M$8, moras[[#This Row],[SALARIO]])</f>
        <v>13292039</v>
      </c>
      <c r="O734" s="14">
        <f xml:space="preserve"> IF(ISBLANK(moras[[#This Row],[EDAD]]), EDA!$E$8, moras[[#This Row],[EDAD]])</f>
        <v>45</v>
      </c>
      <c r="P734" s="14" t="str">
        <f>IF(
    OR(ISBLANK(moras[[#This Row],[TIPO_ASEGURAMIENTO]]), moras[[#This Row],[TIPO_ASEGURAMIENTO]]=""),
    EDA!$A$32,
    moras[[#This Row],[TIPO_ASEGURAMIENTO]]
)</f>
        <v>ASALARIADO</v>
      </c>
    </row>
    <row r="735" spans="1:16" x14ac:dyDescent="0.3">
      <c r="A735">
        <v>734</v>
      </c>
      <c r="B735" t="s">
        <v>15</v>
      </c>
      <c r="C735">
        <v>37086103</v>
      </c>
      <c r="D735" t="s">
        <v>10</v>
      </c>
      <c r="E735" t="s">
        <v>16</v>
      </c>
      <c r="F735" t="s">
        <v>12</v>
      </c>
      <c r="G735" t="s">
        <v>13</v>
      </c>
      <c r="H735" t="s">
        <v>13</v>
      </c>
      <c r="I735">
        <v>48</v>
      </c>
      <c r="J735">
        <f>ABS((I735-EDA!$A$15)/EDA!$B$15)</f>
        <v>0.42489229332154227</v>
      </c>
      <c r="K735" t="str">
        <f t="shared" si="11"/>
        <v>No</v>
      </c>
      <c r="L735">
        <f>ABS((C735-EDA!$F$15)/EDA!$G$15)</f>
        <v>0.24148496124463537</v>
      </c>
      <c r="M735" t="str">
        <f>IF(moras[[#This Row],[Z-Score Salario]]&gt;1.96, "Sí", "No")</f>
        <v>No</v>
      </c>
      <c r="N735" s="14">
        <f>IF(ISBLANK(moras[[#This Row],[SALARIO]]), EDA!$M$8, moras[[#This Row],[SALARIO]])</f>
        <v>37086103</v>
      </c>
      <c r="O735" s="14">
        <f xml:space="preserve"> IF(ISBLANK(moras[[#This Row],[EDAD]]), EDA!$E$8, moras[[#This Row],[EDAD]])</f>
        <v>48</v>
      </c>
      <c r="P735" s="14" t="str">
        <f>IF(
    OR(ISBLANK(moras[[#This Row],[TIPO_ASEGURAMIENTO]]), moras[[#This Row],[TIPO_ASEGURAMIENTO]]=""),
    EDA!$A$32,
    moras[[#This Row],[TIPO_ASEGURAMIENTO]]
)</f>
        <v>ASALARIADO</v>
      </c>
    </row>
    <row r="736" spans="1:16" x14ac:dyDescent="0.3">
      <c r="A736">
        <v>735</v>
      </c>
      <c r="B736" t="s">
        <v>9</v>
      </c>
      <c r="C736">
        <v>266312</v>
      </c>
      <c r="D736" t="s">
        <v>10</v>
      </c>
      <c r="E736" t="s">
        <v>16</v>
      </c>
      <c r="F736" t="s">
        <v>12</v>
      </c>
      <c r="G736" t="s">
        <v>13</v>
      </c>
      <c r="H736" t="s">
        <v>13</v>
      </c>
      <c r="I736">
        <v>22</v>
      </c>
      <c r="J736">
        <f>ABS((I736-EDA!$A$15)/EDA!$B$15)</f>
        <v>1.4100662886840327</v>
      </c>
      <c r="K736" t="str">
        <f t="shared" si="11"/>
        <v>No</v>
      </c>
      <c r="L736">
        <f>ABS((C736-EDA!$F$15)/EDA!$G$15)</f>
        <v>0.37122235253492908</v>
      </c>
      <c r="M736" t="str">
        <f>IF(moras[[#This Row],[Z-Score Salario]]&gt;1.96, "Sí", "No")</f>
        <v>No</v>
      </c>
      <c r="N736" s="14">
        <f>IF(ISBLANK(moras[[#This Row],[SALARIO]]), EDA!$M$8, moras[[#This Row],[SALARIO]])</f>
        <v>266312</v>
      </c>
      <c r="O736" s="14">
        <f xml:space="preserve"> IF(ISBLANK(moras[[#This Row],[EDAD]]), EDA!$E$8, moras[[#This Row],[EDAD]])</f>
        <v>22</v>
      </c>
      <c r="P736" s="14" t="str">
        <f>IF(
    OR(ISBLANK(moras[[#This Row],[TIPO_ASEGURAMIENTO]]), moras[[#This Row],[TIPO_ASEGURAMIENTO]]=""),
    EDA!$A$32,
    moras[[#This Row],[TIPO_ASEGURAMIENTO]]
)</f>
        <v>ASALARIADO</v>
      </c>
    </row>
    <row r="737" spans="1:16" x14ac:dyDescent="0.3">
      <c r="A737">
        <v>736</v>
      </c>
      <c r="B737" t="s">
        <v>15</v>
      </c>
      <c r="C737">
        <v>841070</v>
      </c>
      <c r="D737" t="s">
        <v>10</v>
      </c>
      <c r="E737" t="s">
        <v>16</v>
      </c>
      <c r="F737" t="s">
        <v>12</v>
      </c>
      <c r="G737" t="s">
        <v>13</v>
      </c>
      <c r="H737" t="s">
        <v>13</v>
      </c>
      <c r="I737">
        <v>25</v>
      </c>
      <c r="J737">
        <f>ABS((I737-EDA!$A$15)/EDA!$B$15)</f>
        <v>1.1983402984526204</v>
      </c>
      <c r="K737" t="str">
        <f t="shared" si="11"/>
        <v>No</v>
      </c>
      <c r="L737">
        <f>ABS((C737-EDA!$F$15)/EDA!$G$15)</f>
        <v>0.36165797368624641</v>
      </c>
      <c r="M737" t="str">
        <f>IF(moras[[#This Row],[Z-Score Salario]]&gt;1.96, "Sí", "No")</f>
        <v>No</v>
      </c>
      <c r="N737" s="14">
        <f>IF(ISBLANK(moras[[#This Row],[SALARIO]]), EDA!$M$8, moras[[#This Row],[SALARIO]])</f>
        <v>841070</v>
      </c>
      <c r="O737" s="14">
        <f xml:space="preserve"> IF(ISBLANK(moras[[#This Row],[EDAD]]), EDA!$E$8, moras[[#This Row],[EDAD]])</f>
        <v>25</v>
      </c>
      <c r="P737" s="14" t="str">
        <f>IF(
    OR(ISBLANK(moras[[#This Row],[TIPO_ASEGURAMIENTO]]), moras[[#This Row],[TIPO_ASEGURAMIENTO]]=""),
    EDA!$A$32,
    moras[[#This Row],[TIPO_ASEGURAMIENTO]]
)</f>
        <v>ASALARIADO</v>
      </c>
    </row>
    <row r="738" spans="1:16" x14ac:dyDescent="0.3">
      <c r="A738">
        <v>737</v>
      </c>
      <c r="B738" t="s">
        <v>9</v>
      </c>
      <c r="C738">
        <v>278035</v>
      </c>
      <c r="D738" t="s">
        <v>18</v>
      </c>
      <c r="E738" t="s">
        <v>16</v>
      </c>
      <c r="F738" t="s">
        <v>12</v>
      </c>
      <c r="G738" t="s">
        <v>13</v>
      </c>
      <c r="H738" t="s">
        <v>13</v>
      </c>
      <c r="I738">
        <v>30</v>
      </c>
      <c r="J738">
        <f>ABS((I738-EDA!$A$15)/EDA!$B$15)</f>
        <v>0.84546364806693275</v>
      </c>
      <c r="K738" t="str">
        <f t="shared" si="11"/>
        <v>No</v>
      </c>
      <c r="L738">
        <f>ABS((C738-EDA!$F$15)/EDA!$G$15)</f>
        <v>0.37102727353952036</v>
      </c>
      <c r="M738" t="str">
        <f>IF(moras[[#This Row],[Z-Score Salario]]&gt;1.96, "Sí", "No")</f>
        <v>No</v>
      </c>
      <c r="N738" s="14">
        <f>IF(ISBLANK(moras[[#This Row],[SALARIO]]), EDA!$M$8, moras[[#This Row],[SALARIO]])</f>
        <v>278035</v>
      </c>
      <c r="O738" s="14">
        <f xml:space="preserve"> IF(ISBLANK(moras[[#This Row],[EDAD]]), EDA!$E$8, moras[[#This Row],[EDAD]])</f>
        <v>30</v>
      </c>
      <c r="P738" s="14" t="str">
        <f>IF(
    OR(ISBLANK(moras[[#This Row],[TIPO_ASEGURAMIENTO]]), moras[[#This Row],[TIPO_ASEGURAMIENTO]]=""),
    EDA!$A$32,
    moras[[#This Row],[TIPO_ASEGURAMIENTO]]
)</f>
        <v>TRABAJADOR INDEPENDIENTE</v>
      </c>
    </row>
    <row r="739" spans="1:16" x14ac:dyDescent="0.3">
      <c r="A739">
        <v>738</v>
      </c>
      <c r="B739" t="s">
        <v>15</v>
      </c>
      <c r="C739">
        <v>310124</v>
      </c>
      <c r="D739" t="s">
        <v>18</v>
      </c>
      <c r="E739" t="s">
        <v>16</v>
      </c>
      <c r="F739" t="s">
        <v>12</v>
      </c>
      <c r="G739" t="s">
        <v>13</v>
      </c>
      <c r="H739" t="s">
        <v>13</v>
      </c>
      <c r="I739">
        <v>44</v>
      </c>
      <c r="J739">
        <f>ABS((I739-EDA!$A$15)/EDA!$B$15)</f>
        <v>0.14259097301299228</v>
      </c>
      <c r="K739" t="str">
        <f t="shared" si="11"/>
        <v>No</v>
      </c>
      <c r="L739">
        <f>ABS((C739-EDA!$F$15)/EDA!$G$15)</f>
        <v>0.37049328992750385</v>
      </c>
      <c r="M739" t="str">
        <f>IF(moras[[#This Row],[Z-Score Salario]]&gt;1.96, "Sí", "No")</f>
        <v>No</v>
      </c>
      <c r="N739" s="14">
        <f>IF(ISBLANK(moras[[#This Row],[SALARIO]]), EDA!$M$8, moras[[#This Row],[SALARIO]])</f>
        <v>310124</v>
      </c>
      <c r="O739" s="14">
        <f xml:space="preserve"> IF(ISBLANK(moras[[#This Row],[EDAD]]), EDA!$E$8, moras[[#This Row],[EDAD]])</f>
        <v>44</v>
      </c>
      <c r="P739" s="14" t="str">
        <f>IF(
    OR(ISBLANK(moras[[#This Row],[TIPO_ASEGURAMIENTO]]), moras[[#This Row],[TIPO_ASEGURAMIENTO]]=""),
    EDA!$A$32,
    moras[[#This Row],[TIPO_ASEGURAMIENTO]]
)</f>
        <v>TRABAJADOR INDEPENDIENTE</v>
      </c>
    </row>
    <row r="740" spans="1:16" x14ac:dyDescent="0.3">
      <c r="A740">
        <v>739</v>
      </c>
      <c r="B740" t="s">
        <v>9</v>
      </c>
      <c r="C740">
        <v>299647</v>
      </c>
      <c r="D740" t="s">
        <v>17</v>
      </c>
      <c r="E740" t="s">
        <v>16</v>
      </c>
      <c r="F740" t="s">
        <v>12</v>
      </c>
      <c r="G740" t="s">
        <v>13</v>
      </c>
      <c r="H740" t="s">
        <v>13</v>
      </c>
      <c r="I740">
        <v>67</v>
      </c>
      <c r="J740">
        <f>ABS((I740-EDA!$A$15)/EDA!$B$15)</f>
        <v>1.765823564787155</v>
      </c>
      <c r="K740" t="str">
        <f t="shared" si="11"/>
        <v>No</v>
      </c>
      <c r="L740">
        <f>ABS((C740-EDA!$F$15)/EDA!$G$15)</f>
        <v>0.37066763460334595</v>
      </c>
      <c r="M740" t="str">
        <f>IF(moras[[#This Row],[Z-Score Salario]]&gt;1.96, "Sí", "No")</f>
        <v>No</v>
      </c>
      <c r="N740" s="14">
        <f>IF(ISBLANK(moras[[#This Row],[SALARIO]]), EDA!$M$8, moras[[#This Row],[SALARIO]])</f>
        <v>299647</v>
      </c>
      <c r="O740" s="14">
        <f xml:space="preserve"> IF(ISBLANK(moras[[#This Row],[EDAD]]), EDA!$E$8, moras[[#This Row],[EDAD]])</f>
        <v>67</v>
      </c>
      <c r="P740" s="14" t="str">
        <f>IF(
    OR(ISBLANK(moras[[#This Row],[TIPO_ASEGURAMIENTO]]), moras[[#This Row],[TIPO_ASEGURAMIENTO]]=""),
    EDA!$A$32,
    moras[[#This Row],[TIPO_ASEGURAMIENTO]]
)</f>
        <v>ASEGURADO VOLUNTARIO</v>
      </c>
    </row>
    <row r="741" spans="1:16" x14ac:dyDescent="0.3">
      <c r="A741">
        <v>740</v>
      </c>
      <c r="B741" t="s">
        <v>15</v>
      </c>
      <c r="C741">
        <v>300018</v>
      </c>
      <c r="D741" t="s">
        <v>17</v>
      </c>
      <c r="E741" t="s">
        <v>16</v>
      </c>
      <c r="F741" t="s">
        <v>12</v>
      </c>
      <c r="G741" t="s">
        <v>13</v>
      </c>
      <c r="H741" t="s">
        <v>13</v>
      </c>
      <c r="I741">
        <v>61</v>
      </c>
      <c r="J741">
        <f>ABS((I741-EDA!$A$15)/EDA!$B$15)</f>
        <v>1.3423715843243298</v>
      </c>
      <c r="K741" t="str">
        <f t="shared" si="11"/>
        <v>No</v>
      </c>
      <c r="L741">
        <f>ABS((C741-EDA!$F$15)/EDA!$G$15)</f>
        <v>0.37066146090145252</v>
      </c>
      <c r="M741" t="str">
        <f>IF(moras[[#This Row],[Z-Score Salario]]&gt;1.96, "Sí", "No")</f>
        <v>No</v>
      </c>
      <c r="N741" s="14">
        <f>IF(ISBLANK(moras[[#This Row],[SALARIO]]), EDA!$M$8, moras[[#This Row],[SALARIO]])</f>
        <v>300018</v>
      </c>
      <c r="O741" s="14">
        <f xml:space="preserve"> IF(ISBLANK(moras[[#This Row],[EDAD]]), EDA!$E$8, moras[[#This Row],[EDAD]])</f>
        <v>61</v>
      </c>
      <c r="P741" s="14" t="str">
        <f>IF(
    OR(ISBLANK(moras[[#This Row],[TIPO_ASEGURAMIENTO]]), moras[[#This Row],[TIPO_ASEGURAMIENTO]]=""),
    EDA!$A$32,
    moras[[#This Row],[TIPO_ASEGURAMIENTO]]
)</f>
        <v>ASEGURADO VOLUNTARIO</v>
      </c>
    </row>
    <row r="742" spans="1:16" x14ac:dyDescent="0.3">
      <c r="A742">
        <v>741</v>
      </c>
      <c r="B742" t="s">
        <v>15</v>
      </c>
      <c r="C742">
        <v>278030</v>
      </c>
      <c r="D742" t="s">
        <v>19</v>
      </c>
      <c r="E742" t="s">
        <v>16</v>
      </c>
      <c r="F742" t="s">
        <v>12</v>
      </c>
      <c r="G742" t="s">
        <v>13</v>
      </c>
      <c r="H742" t="s">
        <v>13</v>
      </c>
      <c r="I742">
        <v>41</v>
      </c>
      <c r="J742">
        <f>ABS((I742-EDA!$A$15)/EDA!$B$15)</f>
        <v>6.9135017218420233E-2</v>
      </c>
      <c r="K742" t="str">
        <f t="shared" si="11"/>
        <v>No</v>
      </c>
      <c r="L742">
        <f>ABS((C742-EDA!$F$15)/EDA!$G$15)</f>
        <v>0.37102735674304993</v>
      </c>
      <c r="M742" t="str">
        <f>IF(moras[[#This Row],[Z-Score Salario]]&gt;1.96, "Sí", "No")</f>
        <v>No</v>
      </c>
      <c r="N742" s="14">
        <f>IF(ISBLANK(moras[[#This Row],[SALARIO]]), EDA!$M$8, moras[[#This Row],[SALARIO]])</f>
        <v>278030</v>
      </c>
      <c r="O742" s="14">
        <f xml:space="preserve"> IF(ISBLANK(moras[[#This Row],[EDAD]]), EDA!$E$8, moras[[#This Row],[EDAD]])</f>
        <v>41</v>
      </c>
      <c r="P742" s="14" t="str">
        <f>IF(
    OR(ISBLANK(moras[[#This Row],[TIPO_ASEGURAMIENTO]]), moras[[#This Row],[TIPO_ASEGURAMIENTO]]=""),
    EDA!$A$32,
    moras[[#This Row],[TIPO_ASEGURAMIENTO]]
)</f>
        <v>CONVENIOS ESPECIALES DE TRABAJADORES INDEPENDIENTES</v>
      </c>
    </row>
    <row r="743" spans="1:16" x14ac:dyDescent="0.3">
      <c r="A743">
        <v>742</v>
      </c>
      <c r="B743" t="s">
        <v>15</v>
      </c>
      <c r="C743">
        <v>194000</v>
      </c>
      <c r="D743" t="s">
        <v>10</v>
      </c>
      <c r="E743" t="s">
        <v>16</v>
      </c>
      <c r="F743" t="s">
        <v>12</v>
      </c>
      <c r="G743" t="s">
        <v>12</v>
      </c>
      <c r="H743" t="s">
        <v>13</v>
      </c>
      <c r="I743">
        <v>33</v>
      </c>
      <c r="J743">
        <f>ABS((I743-EDA!$A$15)/EDA!$B$15)</f>
        <v>0.63373765783552027</v>
      </c>
      <c r="K743" t="str">
        <f t="shared" si="11"/>
        <v>No</v>
      </c>
      <c r="L743">
        <f>ABS((C743-EDA!$F$15)/EDA!$G$15)</f>
        <v>0.37242567526085185</v>
      </c>
      <c r="M743" t="str">
        <f>IF(moras[[#This Row],[Z-Score Salario]]&gt;1.96, "Sí", "No")</f>
        <v>No</v>
      </c>
      <c r="N743" s="14">
        <f>IF(ISBLANK(moras[[#This Row],[SALARIO]]), EDA!$M$8, moras[[#This Row],[SALARIO]])</f>
        <v>194000</v>
      </c>
      <c r="O743" s="14">
        <f xml:space="preserve"> IF(ISBLANK(moras[[#This Row],[EDAD]]), EDA!$E$8, moras[[#This Row],[EDAD]])</f>
        <v>33</v>
      </c>
      <c r="P743" s="14" t="str">
        <f>IF(
    OR(ISBLANK(moras[[#This Row],[TIPO_ASEGURAMIENTO]]), moras[[#This Row],[TIPO_ASEGURAMIENTO]]=""),
    EDA!$A$32,
    moras[[#This Row],[TIPO_ASEGURAMIENTO]]
)</f>
        <v>ASALARIADO</v>
      </c>
    </row>
    <row r="744" spans="1:16" x14ac:dyDescent="0.3">
      <c r="A744">
        <v>743</v>
      </c>
      <c r="B744" t="s">
        <v>9</v>
      </c>
      <c r="C744">
        <v>639148</v>
      </c>
      <c r="D744" t="s">
        <v>18</v>
      </c>
      <c r="E744" t="s">
        <v>16</v>
      </c>
      <c r="F744" t="s">
        <v>12</v>
      </c>
      <c r="G744" t="s">
        <v>13</v>
      </c>
      <c r="H744" t="s">
        <v>12</v>
      </c>
      <c r="I744">
        <v>39</v>
      </c>
      <c r="J744">
        <f>ABS((I744-EDA!$A$15)/EDA!$B$15)</f>
        <v>0.21028567737269524</v>
      </c>
      <c r="K744" t="str">
        <f t="shared" si="11"/>
        <v>No</v>
      </c>
      <c r="L744">
        <f>ABS((C744-EDA!$F$15)/EDA!$G$15)</f>
        <v>0.36501809830544912</v>
      </c>
      <c r="M744" t="str">
        <f>IF(moras[[#This Row],[Z-Score Salario]]&gt;1.96, "Sí", "No")</f>
        <v>No</v>
      </c>
      <c r="N744" s="14">
        <f>IF(ISBLANK(moras[[#This Row],[SALARIO]]), EDA!$M$8, moras[[#This Row],[SALARIO]])</f>
        <v>639148</v>
      </c>
      <c r="O744" s="14">
        <f xml:space="preserve"> IF(ISBLANK(moras[[#This Row],[EDAD]]), EDA!$E$8, moras[[#This Row],[EDAD]])</f>
        <v>39</v>
      </c>
      <c r="P744" s="14" t="str">
        <f>IF(
    OR(ISBLANK(moras[[#This Row],[TIPO_ASEGURAMIENTO]]), moras[[#This Row],[TIPO_ASEGURAMIENTO]]=""),
    EDA!$A$32,
    moras[[#This Row],[TIPO_ASEGURAMIENTO]]
)</f>
        <v>TRABAJADOR INDEPENDIENTE</v>
      </c>
    </row>
    <row r="745" spans="1:16" x14ac:dyDescent="0.3">
      <c r="A745">
        <v>744</v>
      </c>
      <c r="B745" t="s">
        <v>15</v>
      </c>
      <c r="C745">
        <v>23201633</v>
      </c>
      <c r="D745" t="s">
        <v>10</v>
      </c>
      <c r="E745" t="s">
        <v>16</v>
      </c>
      <c r="F745" t="s">
        <v>12</v>
      </c>
      <c r="G745" t="s">
        <v>12</v>
      </c>
      <c r="H745" t="s">
        <v>12</v>
      </c>
      <c r="I745">
        <v>47</v>
      </c>
      <c r="J745">
        <f>ABS((I745-EDA!$A$15)/EDA!$B$15)</f>
        <v>0.35431696324440481</v>
      </c>
      <c r="K745" t="str">
        <f t="shared" si="11"/>
        <v>No</v>
      </c>
      <c r="L745">
        <f>ABS((C745-EDA!$F$15)/EDA!$G$15)</f>
        <v>1.0437579227911022E-2</v>
      </c>
      <c r="M745" t="str">
        <f>IF(moras[[#This Row],[Z-Score Salario]]&gt;1.96, "Sí", "No")</f>
        <v>No</v>
      </c>
      <c r="N745" s="14">
        <f>IF(ISBLANK(moras[[#This Row],[SALARIO]]), EDA!$M$8, moras[[#This Row],[SALARIO]])</f>
        <v>23201633</v>
      </c>
      <c r="O745" s="14">
        <f xml:space="preserve"> IF(ISBLANK(moras[[#This Row],[EDAD]]), EDA!$E$8, moras[[#This Row],[EDAD]])</f>
        <v>47</v>
      </c>
      <c r="P745" s="14" t="str">
        <f>IF(
    OR(ISBLANK(moras[[#This Row],[TIPO_ASEGURAMIENTO]]), moras[[#This Row],[TIPO_ASEGURAMIENTO]]=""),
    EDA!$A$32,
    moras[[#This Row],[TIPO_ASEGURAMIENTO]]
)</f>
        <v>ASALARIADO</v>
      </c>
    </row>
    <row r="746" spans="1:16" x14ac:dyDescent="0.3">
      <c r="A746">
        <v>745</v>
      </c>
      <c r="B746" t="s">
        <v>9</v>
      </c>
      <c r="C746">
        <v>25565875</v>
      </c>
      <c r="D746" t="s">
        <v>10</v>
      </c>
      <c r="E746" t="s">
        <v>16</v>
      </c>
      <c r="F746" t="s">
        <v>12</v>
      </c>
      <c r="G746" t="s">
        <v>13</v>
      </c>
      <c r="H746" t="s">
        <v>13</v>
      </c>
      <c r="I746">
        <v>32</v>
      </c>
      <c r="J746">
        <f>ABS((I746-EDA!$A$15)/EDA!$B$15)</f>
        <v>0.70431298791265773</v>
      </c>
      <c r="K746" t="str">
        <f t="shared" si="11"/>
        <v>No</v>
      </c>
      <c r="L746">
        <f>ABS((C746-EDA!$F$15)/EDA!$G$15)</f>
        <v>4.9780235055175898E-2</v>
      </c>
      <c r="M746" t="str">
        <f>IF(moras[[#This Row],[Z-Score Salario]]&gt;1.96, "Sí", "No")</f>
        <v>No</v>
      </c>
      <c r="N746" s="14">
        <f>IF(ISBLANK(moras[[#This Row],[SALARIO]]), EDA!$M$8, moras[[#This Row],[SALARIO]])</f>
        <v>25565875</v>
      </c>
      <c r="O746" s="14">
        <f xml:space="preserve"> IF(ISBLANK(moras[[#This Row],[EDAD]]), EDA!$E$8, moras[[#This Row],[EDAD]])</f>
        <v>32</v>
      </c>
      <c r="P746" s="14" t="str">
        <f>IF(
    OR(ISBLANK(moras[[#This Row],[TIPO_ASEGURAMIENTO]]), moras[[#This Row],[TIPO_ASEGURAMIENTO]]=""),
    EDA!$A$32,
    moras[[#This Row],[TIPO_ASEGURAMIENTO]]
)</f>
        <v>ASALARIADO</v>
      </c>
    </row>
    <row r="747" spans="1:16" x14ac:dyDescent="0.3">
      <c r="A747">
        <v>746</v>
      </c>
      <c r="B747" t="s">
        <v>9</v>
      </c>
      <c r="C747">
        <v>311586</v>
      </c>
      <c r="D747" t="s">
        <v>10</v>
      </c>
      <c r="E747" t="s">
        <v>16</v>
      </c>
      <c r="F747" t="s">
        <v>12</v>
      </c>
      <c r="G747" t="s">
        <v>13</v>
      </c>
      <c r="H747" t="s">
        <v>13</v>
      </c>
      <c r="I747">
        <v>51</v>
      </c>
      <c r="J747">
        <f>ABS((I747-EDA!$A$15)/EDA!$B$15)</f>
        <v>0.6366182835529548</v>
      </c>
      <c r="K747" t="str">
        <f t="shared" si="11"/>
        <v>No</v>
      </c>
      <c r="L747">
        <f>ABS((C747-EDA!$F$15)/EDA!$G$15)</f>
        <v>0.37046896121546025</v>
      </c>
      <c r="M747" t="str">
        <f>IF(moras[[#This Row],[Z-Score Salario]]&gt;1.96, "Sí", "No")</f>
        <v>No</v>
      </c>
      <c r="N747" s="14">
        <f>IF(ISBLANK(moras[[#This Row],[SALARIO]]), EDA!$M$8, moras[[#This Row],[SALARIO]])</f>
        <v>311586</v>
      </c>
      <c r="O747" s="14">
        <f xml:space="preserve"> IF(ISBLANK(moras[[#This Row],[EDAD]]), EDA!$E$8, moras[[#This Row],[EDAD]])</f>
        <v>51</v>
      </c>
      <c r="P747" s="14" t="str">
        <f>IF(
    OR(ISBLANK(moras[[#This Row],[TIPO_ASEGURAMIENTO]]), moras[[#This Row],[TIPO_ASEGURAMIENTO]]=""),
    EDA!$A$32,
    moras[[#This Row],[TIPO_ASEGURAMIENTO]]
)</f>
        <v>ASALARIADO</v>
      </c>
    </row>
    <row r="748" spans="1:16" x14ac:dyDescent="0.3">
      <c r="A748">
        <v>747</v>
      </c>
      <c r="B748" t="s">
        <v>15</v>
      </c>
      <c r="C748">
        <v>9338645</v>
      </c>
      <c r="D748" t="s">
        <v>10</v>
      </c>
      <c r="E748" t="s">
        <v>11</v>
      </c>
      <c r="F748" t="s">
        <v>12</v>
      </c>
      <c r="G748" t="s">
        <v>13</v>
      </c>
      <c r="H748" t="s">
        <v>13</v>
      </c>
      <c r="I748">
        <v>31</v>
      </c>
      <c r="J748">
        <f>ABS((I748-EDA!$A$15)/EDA!$B$15)</f>
        <v>0.77488831798979529</v>
      </c>
      <c r="K748" t="str">
        <f t="shared" si="11"/>
        <v>No</v>
      </c>
      <c r="L748">
        <f>ABS((C748-EDA!$F$15)/EDA!$G$15)</f>
        <v>0.22025232714440751</v>
      </c>
      <c r="M748" t="str">
        <f>IF(moras[[#This Row],[Z-Score Salario]]&gt;1.96, "Sí", "No")</f>
        <v>No</v>
      </c>
      <c r="N748" s="14">
        <f>IF(ISBLANK(moras[[#This Row],[SALARIO]]), EDA!$M$8, moras[[#This Row],[SALARIO]])</f>
        <v>9338645</v>
      </c>
      <c r="O748" s="14">
        <f xml:space="preserve"> IF(ISBLANK(moras[[#This Row],[EDAD]]), EDA!$E$8, moras[[#This Row],[EDAD]])</f>
        <v>31</v>
      </c>
      <c r="P748" s="14" t="str">
        <f>IF(
    OR(ISBLANK(moras[[#This Row],[TIPO_ASEGURAMIENTO]]), moras[[#This Row],[TIPO_ASEGURAMIENTO]]=""),
    EDA!$A$32,
    moras[[#This Row],[TIPO_ASEGURAMIENTO]]
)</f>
        <v>ASALARIADO</v>
      </c>
    </row>
    <row r="749" spans="1:16" x14ac:dyDescent="0.3">
      <c r="A749">
        <v>748</v>
      </c>
      <c r="B749" t="s">
        <v>9</v>
      </c>
      <c r="C749">
        <v>310124</v>
      </c>
      <c r="D749" t="s">
        <v>18</v>
      </c>
      <c r="E749" t="s">
        <v>16</v>
      </c>
      <c r="F749" t="s">
        <v>12</v>
      </c>
      <c r="G749" t="s">
        <v>13</v>
      </c>
      <c r="H749" t="s">
        <v>13</v>
      </c>
      <c r="I749">
        <v>45</v>
      </c>
      <c r="J749">
        <f>ABS((I749-EDA!$A$15)/EDA!$B$15)</f>
        <v>0.21316630309012977</v>
      </c>
      <c r="K749" t="str">
        <f t="shared" si="11"/>
        <v>No</v>
      </c>
      <c r="L749">
        <f>ABS((C749-EDA!$F$15)/EDA!$G$15)</f>
        <v>0.37049328992750385</v>
      </c>
      <c r="M749" t="str">
        <f>IF(moras[[#This Row],[Z-Score Salario]]&gt;1.96, "Sí", "No")</f>
        <v>No</v>
      </c>
      <c r="N749" s="14">
        <f>IF(ISBLANK(moras[[#This Row],[SALARIO]]), EDA!$M$8, moras[[#This Row],[SALARIO]])</f>
        <v>310124</v>
      </c>
      <c r="O749" s="14">
        <f xml:space="preserve"> IF(ISBLANK(moras[[#This Row],[EDAD]]), EDA!$E$8, moras[[#This Row],[EDAD]])</f>
        <v>45</v>
      </c>
      <c r="P749" s="14" t="str">
        <f>IF(
    OR(ISBLANK(moras[[#This Row],[TIPO_ASEGURAMIENTO]]), moras[[#This Row],[TIPO_ASEGURAMIENTO]]=""),
    EDA!$A$32,
    moras[[#This Row],[TIPO_ASEGURAMIENTO]]
)</f>
        <v>TRABAJADOR INDEPENDIENTE</v>
      </c>
    </row>
    <row r="750" spans="1:16" x14ac:dyDescent="0.3">
      <c r="A750">
        <v>749</v>
      </c>
      <c r="B750" t="s">
        <v>15</v>
      </c>
      <c r="C750">
        <v>35954427</v>
      </c>
      <c r="D750" t="s">
        <v>10</v>
      </c>
      <c r="E750" t="s">
        <v>16</v>
      </c>
      <c r="F750" t="s">
        <v>12</v>
      </c>
      <c r="G750" t="s">
        <v>13</v>
      </c>
      <c r="H750" t="s">
        <v>13</v>
      </c>
      <c r="I750">
        <v>25</v>
      </c>
      <c r="J750">
        <f>ABS((I750-EDA!$A$15)/EDA!$B$15)</f>
        <v>1.1983402984526204</v>
      </c>
      <c r="K750" t="str">
        <f t="shared" si="11"/>
        <v>No</v>
      </c>
      <c r="L750">
        <f>ABS((C750-EDA!$F$15)/EDA!$G$15)</f>
        <v>0.22265307374074372</v>
      </c>
      <c r="M750" t="str">
        <f>IF(moras[[#This Row],[Z-Score Salario]]&gt;1.96, "Sí", "No")</f>
        <v>No</v>
      </c>
      <c r="N750" s="14">
        <f>IF(ISBLANK(moras[[#This Row],[SALARIO]]), EDA!$M$8, moras[[#This Row],[SALARIO]])</f>
        <v>35954427</v>
      </c>
      <c r="O750" s="14">
        <f xml:space="preserve"> IF(ISBLANK(moras[[#This Row],[EDAD]]), EDA!$E$8, moras[[#This Row],[EDAD]])</f>
        <v>25</v>
      </c>
      <c r="P750" s="14" t="str">
        <f>IF(
    OR(ISBLANK(moras[[#This Row],[TIPO_ASEGURAMIENTO]]), moras[[#This Row],[TIPO_ASEGURAMIENTO]]=""),
    EDA!$A$32,
    moras[[#This Row],[TIPO_ASEGURAMIENTO]]
)</f>
        <v>ASALARIADO</v>
      </c>
    </row>
    <row r="751" spans="1:16" x14ac:dyDescent="0.3">
      <c r="A751">
        <v>750</v>
      </c>
      <c r="B751" t="s">
        <v>9</v>
      </c>
      <c r="C751">
        <v>298000</v>
      </c>
      <c r="D751" t="s">
        <v>17</v>
      </c>
      <c r="E751" t="s">
        <v>16</v>
      </c>
      <c r="F751" t="s">
        <v>12</v>
      </c>
      <c r="G751" t="s">
        <v>13</v>
      </c>
      <c r="H751" t="s">
        <v>13</v>
      </c>
      <c r="I751">
        <v>63</v>
      </c>
      <c r="J751">
        <f>ABS((I751-EDA!$A$15)/EDA!$B$15)</f>
        <v>1.4835222444786049</v>
      </c>
      <c r="K751" t="str">
        <f t="shared" si="11"/>
        <v>No</v>
      </c>
      <c r="L751">
        <f>ABS((C751-EDA!$F$15)/EDA!$G$15)</f>
        <v>0.37069504184598334</v>
      </c>
      <c r="M751" t="str">
        <f>IF(moras[[#This Row],[Z-Score Salario]]&gt;1.96, "Sí", "No")</f>
        <v>No</v>
      </c>
      <c r="N751" s="14">
        <f>IF(ISBLANK(moras[[#This Row],[SALARIO]]), EDA!$M$8, moras[[#This Row],[SALARIO]])</f>
        <v>298000</v>
      </c>
      <c r="O751" s="14">
        <f xml:space="preserve"> IF(ISBLANK(moras[[#This Row],[EDAD]]), EDA!$E$8, moras[[#This Row],[EDAD]])</f>
        <v>63</v>
      </c>
      <c r="P751" s="14" t="str">
        <f>IF(
    OR(ISBLANK(moras[[#This Row],[TIPO_ASEGURAMIENTO]]), moras[[#This Row],[TIPO_ASEGURAMIENTO]]=""),
    EDA!$A$32,
    moras[[#This Row],[TIPO_ASEGURAMIENTO]]
)</f>
        <v>ASEGURADO VOLUNTARIO</v>
      </c>
    </row>
    <row r="752" spans="1:16" x14ac:dyDescent="0.3">
      <c r="A752">
        <v>751</v>
      </c>
      <c r="B752" t="s">
        <v>15</v>
      </c>
      <c r="C752">
        <v>990303</v>
      </c>
      <c r="D752" t="s">
        <v>14</v>
      </c>
      <c r="E752" t="s">
        <v>11</v>
      </c>
      <c r="F752" t="s">
        <v>12</v>
      </c>
      <c r="G752" t="s">
        <v>13</v>
      </c>
      <c r="H752" t="s">
        <v>13</v>
      </c>
      <c r="I752">
        <v>80</v>
      </c>
      <c r="J752">
        <f>ABS((I752-EDA!$A$15)/EDA!$B$15)</f>
        <v>2.6833028557899423</v>
      </c>
      <c r="K752" t="str">
        <f t="shared" si="11"/>
        <v>Sí</v>
      </c>
      <c r="L752">
        <f>ABS((C752-EDA!$F$15)/EDA!$G$15)</f>
        <v>0.35917463122085153</v>
      </c>
      <c r="M752" t="str">
        <f>IF(moras[[#This Row],[Z-Score Salario]]&gt;1.96, "Sí", "No")</f>
        <v>No</v>
      </c>
      <c r="N752" s="14">
        <f>IF(ISBLANK(moras[[#This Row],[SALARIO]]), EDA!$M$8, moras[[#This Row],[SALARIO]])</f>
        <v>990303</v>
      </c>
      <c r="O752" s="14">
        <f xml:space="preserve"> IF(ISBLANK(moras[[#This Row],[EDAD]]), EDA!$E$8, moras[[#This Row],[EDAD]])</f>
        <v>80</v>
      </c>
      <c r="P752" s="14" t="str">
        <f>IF(
    OR(ISBLANK(moras[[#This Row],[TIPO_ASEGURAMIENTO]]), moras[[#This Row],[TIPO_ASEGURAMIENTO]]=""),
    EDA!$A$32,
    moras[[#This Row],[TIPO_ASEGURAMIENTO]]
)</f>
        <v>PENSIONADOS EN SU PROPIO SISTEMA</v>
      </c>
    </row>
    <row r="753" spans="1:16" x14ac:dyDescent="0.3">
      <c r="A753">
        <v>752</v>
      </c>
      <c r="B753" t="s">
        <v>15</v>
      </c>
      <c r="C753">
        <v>297046</v>
      </c>
      <c r="D753" t="s">
        <v>17</v>
      </c>
      <c r="E753" t="s">
        <v>16</v>
      </c>
      <c r="F753" t="s">
        <v>12</v>
      </c>
      <c r="G753" t="s">
        <v>13</v>
      </c>
      <c r="H753" t="s">
        <v>13</v>
      </c>
      <c r="I753">
        <v>39</v>
      </c>
      <c r="J753">
        <f>ABS((I753-EDA!$A$15)/EDA!$B$15)</f>
        <v>0.21028567737269524</v>
      </c>
      <c r="K753" t="str">
        <f t="shared" si="11"/>
        <v>No</v>
      </c>
      <c r="L753">
        <f>ABS((C753-EDA!$F$15)/EDA!$G$15)</f>
        <v>0.37071091707942361</v>
      </c>
      <c r="M753" t="str">
        <f>IF(moras[[#This Row],[Z-Score Salario]]&gt;1.96, "Sí", "No")</f>
        <v>No</v>
      </c>
      <c r="N753" s="14">
        <f>IF(ISBLANK(moras[[#This Row],[SALARIO]]), EDA!$M$8, moras[[#This Row],[SALARIO]])</f>
        <v>297046</v>
      </c>
      <c r="O753" s="14">
        <f xml:space="preserve"> IF(ISBLANK(moras[[#This Row],[EDAD]]), EDA!$E$8, moras[[#This Row],[EDAD]])</f>
        <v>39</v>
      </c>
      <c r="P753" s="14" t="str">
        <f>IF(
    OR(ISBLANK(moras[[#This Row],[TIPO_ASEGURAMIENTO]]), moras[[#This Row],[TIPO_ASEGURAMIENTO]]=""),
    EDA!$A$32,
    moras[[#This Row],[TIPO_ASEGURAMIENTO]]
)</f>
        <v>ASEGURADO VOLUNTARIO</v>
      </c>
    </row>
    <row r="754" spans="1:16" x14ac:dyDescent="0.3">
      <c r="A754">
        <v>753</v>
      </c>
      <c r="B754" t="s">
        <v>9</v>
      </c>
      <c r="C754">
        <v>27603561</v>
      </c>
      <c r="D754" t="s">
        <v>10</v>
      </c>
      <c r="E754" t="s">
        <v>11</v>
      </c>
      <c r="F754" t="s">
        <v>12</v>
      </c>
      <c r="G754" t="s">
        <v>13</v>
      </c>
      <c r="H754" t="s">
        <v>13</v>
      </c>
      <c r="I754">
        <v>28</v>
      </c>
      <c r="J754">
        <f>ABS((I754-EDA!$A$15)/EDA!$B$15)</f>
        <v>0.98661430822120777</v>
      </c>
      <c r="K754" t="str">
        <f t="shared" si="11"/>
        <v>No</v>
      </c>
      <c r="L754">
        <f>ABS((C754-EDA!$F$15)/EDA!$G$15)</f>
        <v>8.3688768522577311E-2</v>
      </c>
      <c r="M754" t="str">
        <f>IF(moras[[#This Row],[Z-Score Salario]]&gt;1.96, "Sí", "No")</f>
        <v>No</v>
      </c>
      <c r="N754" s="14">
        <f>IF(ISBLANK(moras[[#This Row],[SALARIO]]), EDA!$M$8, moras[[#This Row],[SALARIO]])</f>
        <v>27603561</v>
      </c>
      <c r="O754" s="14">
        <f xml:space="preserve"> IF(ISBLANK(moras[[#This Row],[EDAD]]), EDA!$E$8, moras[[#This Row],[EDAD]])</f>
        <v>28</v>
      </c>
      <c r="P754" s="14" t="str">
        <f>IF(
    OR(ISBLANK(moras[[#This Row],[TIPO_ASEGURAMIENTO]]), moras[[#This Row],[TIPO_ASEGURAMIENTO]]=""),
    EDA!$A$32,
    moras[[#This Row],[TIPO_ASEGURAMIENTO]]
)</f>
        <v>ASALARIADO</v>
      </c>
    </row>
    <row r="755" spans="1:16" x14ac:dyDescent="0.3">
      <c r="A755">
        <v>754</v>
      </c>
      <c r="B755" t="s">
        <v>9</v>
      </c>
      <c r="C755">
        <v>224466912</v>
      </c>
      <c r="D755" t="s">
        <v>10</v>
      </c>
      <c r="E755" t="s">
        <v>16</v>
      </c>
      <c r="F755" t="s">
        <v>12</v>
      </c>
      <c r="G755" t="s">
        <v>13</v>
      </c>
      <c r="H755" t="s">
        <v>13</v>
      </c>
      <c r="I755">
        <v>37</v>
      </c>
      <c r="J755">
        <f>ABS((I755-EDA!$A$15)/EDA!$B$15)</f>
        <v>0.35143633752697023</v>
      </c>
      <c r="K755" t="str">
        <f t="shared" si="11"/>
        <v>No</v>
      </c>
      <c r="L755">
        <f>ABS((C755-EDA!$F$15)/EDA!$G$15)</f>
        <v>3.3596338974032252</v>
      </c>
      <c r="M755" t="str">
        <f>IF(moras[[#This Row],[Z-Score Salario]]&gt;1.96, "Sí", "No")</f>
        <v>Sí</v>
      </c>
      <c r="N755" s="14">
        <f>IF(ISBLANK(moras[[#This Row],[SALARIO]]), EDA!$M$8, moras[[#This Row],[SALARIO]])</f>
        <v>224466912</v>
      </c>
      <c r="O755" s="14">
        <f xml:space="preserve"> IF(ISBLANK(moras[[#This Row],[EDAD]]), EDA!$E$8, moras[[#This Row],[EDAD]])</f>
        <v>37</v>
      </c>
      <c r="P755" s="14" t="str">
        <f>IF(
    OR(ISBLANK(moras[[#This Row],[TIPO_ASEGURAMIENTO]]), moras[[#This Row],[TIPO_ASEGURAMIENTO]]=""),
    EDA!$A$32,
    moras[[#This Row],[TIPO_ASEGURAMIENTO]]
)</f>
        <v>ASALARIADO</v>
      </c>
    </row>
    <row r="756" spans="1:16" x14ac:dyDescent="0.3">
      <c r="A756">
        <v>755</v>
      </c>
      <c r="B756" t="s">
        <v>15</v>
      </c>
      <c r="C756">
        <v>297045</v>
      </c>
      <c r="D756" t="s">
        <v>18</v>
      </c>
      <c r="E756" t="s">
        <v>16</v>
      </c>
      <c r="F756" t="s">
        <v>12</v>
      </c>
      <c r="G756" t="s">
        <v>13</v>
      </c>
      <c r="H756" t="s">
        <v>12</v>
      </c>
      <c r="I756">
        <v>53</v>
      </c>
      <c r="J756">
        <f>ABS((I756-EDA!$A$15)/EDA!$B$15)</f>
        <v>0.77776894370722982</v>
      </c>
      <c r="K756" t="str">
        <f t="shared" si="11"/>
        <v>No</v>
      </c>
      <c r="L756">
        <f>ABS((C756-EDA!$F$15)/EDA!$G$15)</f>
        <v>0.37071093372012948</v>
      </c>
      <c r="M756" t="str">
        <f>IF(moras[[#This Row],[Z-Score Salario]]&gt;1.96, "Sí", "No")</f>
        <v>No</v>
      </c>
      <c r="N756" s="14">
        <f>IF(ISBLANK(moras[[#This Row],[SALARIO]]), EDA!$M$8, moras[[#This Row],[SALARIO]])</f>
        <v>297045</v>
      </c>
      <c r="O756" s="14">
        <f xml:space="preserve"> IF(ISBLANK(moras[[#This Row],[EDAD]]), EDA!$E$8, moras[[#This Row],[EDAD]])</f>
        <v>53</v>
      </c>
      <c r="P756" s="14" t="str">
        <f>IF(
    OR(ISBLANK(moras[[#This Row],[TIPO_ASEGURAMIENTO]]), moras[[#This Row],[TIPO_ASEGURAMIENTO]]=""),
    EDA!$A$32,
    moras[[#This Row],[TIPO_ASEGURAMIENTO]]
)</f>
        <v>TRABAJADOR INDEPENDIENTE</v>
      </c>
    </row>
    <row r="757" spans="1:16" x14ac:dyDescent="0.3">
      <c r="A757">
        <v>756</v>
      </c>
      <c r="B757" t="s">
        <v>9</v>
      </c>
      <c r="C757">
        <v>127185272</v>
      </c>
      <c r="D757" t="s">
        <v>10</v>
      </c>
      <c r="E757" t="s">
        <v>16</v>
      </c>
      <c r="F757" t="s">
        <v>12</v>
      </c>
      <c r="G757" t="s">
        <v>13</v>
      </c>
      <c r="H757" t="s">
        <v>13</v>
      </c>
      <c r="I757">
        <v>34</v>
      </c>
      <c r="J757">
        <f>ABS((I757-EDA!$A$15)/EDA!$B$15)</f>
        <v>0.56316232775838282</v>
      </c>
      <c r="K757" t="str">
        <f t="shared" si="11"/>
        <v>No</v>
      </c>
      <c r="L757">
        <f>ABS((C757-EDA!$F$15)/EDA!$G$15)</f>
        <v>1.7407987355069878</v>
      </c>
      <c r="M757" t="str">
        <f>IF(moras[[#This Row],[Z-Score Salario]]&gt;1.96, "Sí", "No")</f>
        <v>No</v>
      </c>
      <c r="N757" s="14">
        <f>IF(ISBLANK(moras[[#This Row],[SALARIO]]), EDA!$M$8, moras[[#This Row],[SALARIO]])</f>
        <v>127185272</v>
      </c>
      <c r="O757" s="14">
        <f xml:space="preserve"> IF(ISBLANK(moras[[#This Row],[EDAD]]), EDA!$E$8, moras[[#This Row],[EDAD]])</f>
        <v>34</v>
      </c>
      <c r="P757" s="14" t="str">
        <f>IF(
    OR(ISBLANK(moras[[#This Row],[TIPO_ASEGURAMIENTO]]), moras[[#This Row],[TIPO_ASEGURAMIENTO]]=""),
    EDA!$A$32,
    moras[[#This Row],[TIPO_ASEGURAMIENTO]]
)</f>
        <v>ASALARIADO</v>
      </c>
    </row>
    <row r="758" spans="1:16" x14ac:dyDescent="0.3">
      <c r="A758">
        <v>757</v>
      </c>
      <c r="B758" t="s">
        <v>15</v>
      </c>
      <c r="C758">
        <v>205854897</v>
      </c>
      <c r="D758" t="s">
        <v>10</v>
      </c>
      <c r="E758" t="s">
        <v>11</v>
      </c>
      <c r="F758" t="s">
        <v>12</v>
      </c>
      <c r="G758" t="s">
        <v>13</v>
      </c>
      <c r="H758" t="s">
        <v>13</v>
      </c>
      <c r="I758">
        <v>38</v>
      </c>
      <c r="J758">
        <f>ABS((I758-EDA!$A$15)/EDA!$B$15)</f>
        <v>0.28086100744983278</v>
      </c>
      <c r="K758" t="str">
        <f t="shared" si="11"/>
        <v>No</v>
      </c>
      <c r="L758">
        <f>ABS((C758-EDA!$F$15)/EDA!$G$15)</f>
        <v>3.0499168293548227</v>
      </c>
      <c r="M758" t="str">
        <f>IF(moras[[#This Row],[Z-Score Salario]]&gt;1.96, "Sí", "No")</f>
        <v>Sí</v>
      </c>
      <c r="N758" s="14">
        <f>IF(ISBLANK(moras[[#This Row],[SALARIO]]), EDA!$M$8, moras[[#This Row],[SALARIO]])</f>
        <v>205854897</v>
      </c>
      <c r="O758" s="14">
        <f xml:space="preserve"> IF(ISBLANK(moras[[#This Row],[EDAD]]), EDA!$E$8, moras[[#This Row],[EDAD]])</f>
        <v>38</v>
      </c>
      <c r="P758" s="14" t="str">
        <f>IF(
    OR(ISBLANK(moras[[#This Row],[TIPO_ASEGURAMIENTO]]), moras[[#This Row],[TIPO_ASEGURAMIENTO]]=""),
    EDA!$A$32,
    moras[[#This Row],[TIPO_ASEGURAMIENTO]]
)</f>
        <v>ASALARIADO</v>
      </c>
    </row>
    <row r="759" spans="1:16" x14ac:dyDescent="0.3">
      <c r="A759">
        <v>758</v>
      </c>
      <c r="B759" t="s">
        <v>15</v>
      </c>
      <c r="C759">
        <v>352379</v>
      </c>
      <c r="D759" t="s">
        <v>10</v>
      </c>
      <c r="E759" t="s">
        <v>16</v>
      </c>
      <c r="F759" t="s">
        <v>12</v>
      </c>
      <c r="G759" t="s">
        <v>13</v>
      </c>
      <c r="H759" t="s">
        <v>13</v>
      </c>
      <c r="I759">
        <v>39</v>
      </c>
      <c r="J759">
        <f>ABS((I759-EDA!$A$15)/EDA!$B$15)</f>
        <v>0.21028567737269524</v>
      </c>
      <c r="K759" t="str">
        <f t="shared" si="11"/>
        <v>No</v>
      </c>
      <c r="L759">
        <f>ABS((C759-EDA!$F$15)/EDA!$G$15)</f>
        <v>0.369790136899184</v>
      </c>
      <c r="M759" t="str">
        <f>IF(moras[[#This Row],[Z-Score Salario]]&gt;1.96, "Sí", "No")</f>
        <v>No</v>
      </c>
      <c r="N759" s="14">
        <f>IF(ISBLANK(moras[[#This Row],[SALARIO]]), EDA!$M$8, moras[[#This Row],[SALARIO]])</f>
        <v>352379</v>
      </c>
      <c r="O759" s="14">
        <f xml:space="preserve"> IF(ISBLANK(moras[[#This Row],[EDAD]]), EDA!$E$8, moras[[#This Row],[EDAD]])</f>
        <v>39</v>
      </c>
      <c r="P759" s="14" t="str">
        <f>IF(
    OR(ISBLANK(moras[[#This Row],[TIPO_ASEGURAMIENTO]]), moras[[#This Row],[TIPO_ASEGURAMIENTO]]=""),
    EDA!$A$32,
    moras[[#This Row],[TIPO_ASEGURAMIENTO]]
)</f>
        <v>ASALARIADO</v>
      </c>
    </row>
    <row r="760" spans="1:16" x14ac:dyDescent="0.3">
      <c r="A760">
        <v>759</v>
      </c>
      <c r="B760" t="s">
        <v>15</v>
      </c>
      <c r="C760">
        <v>238995108</v>
      </c>
      <c r="D760" t="s">
        <v>10</v>
      </c>
      <c r="E760" t="s">
        <v>11</v>
      </c>
      <c r="F760" t="s">
        <v>12</v>
      </c>
      <c r="G760" t="s">
        <v>13</v>
      </c>
      <c r="H760" t="s">
        <v>13</v>
      </c>
      <c r="I760">
        <v>61</v>
      </c>
      <c r="J760">
        <f>ABS((I760-EDA!$A$15)/EDA!$B$15)</f>
        <v>1.3423715843243298</v>
      </c>
      <c r="K760" t="str">
        <f t="shared" si="11"/>
        <v>No</v>
      </c>
      <c r="L760">
        <f>ABS((C760-EDA!$F$15)/EDA!$G$15)</f>
        <v>3.6013933344739848</v>
      </c>
      <c r="M760" t="str">
        <f>IF(moras[[#This Row],[Z-Score Salario]]&gt;1.96, "Sí", "No")</f>
        <v>Sí</v>
      </c>
      <c r="N760" s="14">
        <f>IF(ISBLANK(moras[[#This Row],[SALARIO]]), EDA!$M$8, moras[[#This Row],[SALARIO]])</f>
        <v>238995108</v>
      </c>
      <c r="O760" s="14">
        <f xml:space="preserve"> IF(ISBLANK(moras[[#This Row],[EDAD]]), EDA!$E$8, moras[[#This Row],[EDAD]])</f>
        <v>61</v>
      </c>
      <c r="P760" s="14" t="str">
        <f>IF(
    OR(ISBLANK(moras[[#This Row],[TIPO_ASEGURAMIENTO]]), moras[[#This Row],[TIPO_ASEGURAMIENTO]]=""),
    EDA!$A$32,
    moras[[#This Row],[TIPO_ASEGURAMIENTO]]
)</f>
        <v>ASALARIADO</v>
      </c>
    </row>
    <row r="761" spans="1:16" x14ac:dyDescent="0.3">
      <c r="A761">
        <v>760</v>
      </c>
      <c r="B761" t="s">
        <v>15</v>
      </c>
      <c r="C761">
        <v>450886</v>
      </c>
      <c r="D761" t="s">
        <v>18</v>
      </c>
      <c r="E761" t="s">
        <v>16</v>
      </c>
      <c r="F761" t="s">
        <v>12</v>
      </c>
      <c r="G761" t="s">
        <v>13</v>
      </c>
      <c r="H761" t="s">
        <v>12</v>
      </c>
      <c r="I761">
        <v>51</v>
      </c>
      <c r="J761">
        <f>ABS((I761-EDA!$A$15)/EDA!$B$15)</f>
        <v>0.6366182835529548</v>
      </c>
      <c r="K761" t="str">
        <f t="shared" si="11"/>
        <v>No</v>
      </c>
      <c r="L761">
        <f>ABS((C761-EDA!$F$15)/EDA!$G$15)</f>
        <v>0.36815091088189117</v>
      </c>
      <c r="M761" t="str">
        <f>IF(moras[[#This Row],[Z-Score Salario]]&gt;1.96, "Sí", "No")</f>
        <v>No</v>
      </c>
      <c r="N761" s="14">
        <f>IF(ISBLANK(moras[[#This Row],[SALARIO]]), EDA!$M$8, moras[[#This Row],[SALARIO]])</f>
        <v>450886</v>
      </c>
      <c r="O761" s="14">
        <f xml:space="preserve"> IF(ISBLANK(moras[[#This Row],[EDAD]]), EDA!$E$8, moras[[#This Row],[EDAD]])</f>
        <v>51</v>
      </c>
      <c r="P761" s="14" t="str">
        <f>IF(
    OR(ISBLANK(moras[[#This Row],[TIPO_ASEGURAMIENTO]]), moras[[#This Row],[TIPO_ASEGURAMIENTO]]=""),
    EDA!$A$32,
    moras[[#This Row],[TIPO_ASEGURAMIENTO]]
)</f>
        <v>TRABAJADOR INDEPENDIENTE</v>
      </c>
    </row>
    <row r="762" spans="1:16" x14ac:dyDescent="0.3">
      <c r="A762">
        <v>761</v>
      </c>
      <c r="B762" t="s">
        <v>9</v>
      </c>
      <c r="C762">
        <v>55863576</v>
      </c>
      <c r="D762" t="s">
        <v>10</v>
      </c>
      <c r="E762" t="s">
        <v>16</v>
      </c>
      <c r="F762" t="s">
        <v>12</v>
      </c>
      <c r="G762" t="s">
        <v>13</v>
      </c>
      <c r="H762" t="s">
        <v>13</v>
      </c>
      <c r="I762">
        <v>34</v>
      </c>
      <c r="J762">
        <f>ABS((I762-EDA!$A$15)/EDA!$B$15)</f>
        <v>0.56316232775838282</v>
      </c>
      <c r="K762" t="str">
        <f t="shared" si="11"/>
        <v>No</v>
      </c>
      <c r="L762">
        <f>ABS((C762-EDA!$F$15)/EDA!$G$15)</f>
        <v>0.55395536721185823</v>
      </c>
      <c r="M762" t="str">
        <f>IF(moras[[#This Row],[Z-Score Salario]]&gt;1.96, "Sí", "No")</f>
        <v>No</v>
      </c>
      <c r="N762" s="14">
        <f>IF(ISBLANK(moras[[#This Row],[SALARIO]]), EDA!$M$8, moras[[#This Row],[SALARIO]])</f>
        <v>55863576</v>
      </c>
      <c r="O762" s="14">
        <f xml:space="preserve"> IF(ISBLANK(moras[[#This Row],[EDAD]]), EDA!$E$8, moras[[#This Row],[EDAD]])</f>
        <v>34</v>
      </c>
      <c r="P762" s="14" t="str">
        <f>IF(
    OR(ISBLANK(moras[[#This Row],[TIPO_ASEGURAMIENTO]]), moras[[#This Row],[TIPO_ASEGURAMIENTO]]=""),
    EDA!$A$32,
    moras[[#This Row],[TIPO_ASEGURAMIENTO]]
)</f>
        <v>ASALARIADO</v>
      </c>
    </row>
    <row r="763" spans="1:16" x14ac:dyDescent="0.3">
      <c r="A763">
        <v>762</v>
      </c>
      <c r="B763" t="s">
        <v>9</v>
      </c>
      <c r="C763">
        <v>489159</v>
      </c>
      <c r="D763" t="s">
        <v>10</v>
      </c>
      <c r="E763" t="s">
        <v>16</v>
      </c>
      <c r="F763" t="s">
        <v>12</v>
      </c>
      <c r="G763" t="s">
        <v>12</v>
      </c>
      <c r="H763" t="s">
        <v>13</v>
      </c>
      <c r="I763">
        <v>34</v>
      </c>
      <c r="J763">
        <f>ABS((I763-EDA!$A$15)/EDA!$B$15)</f>
        <v>0.56316232775838282</v>
      </c>
      <c r="K763" t="str">
        <f t="shared" si="11"/>
        <v>No</v>
      </c>
      <c r="L763">
        <f>ABS((C763-EDA!$F$15)/EDA!$G$15)</f>
        <v>0.36751402114451365</v>
      </c>
      <c r="M763" t="str">
        <f>IF(moras[[#This Row],[Z-Score Salario]]&gt;1.96, "Sí", "No")</f>
        <v>No</v>
      </c>
      <c r="N763" s="14">
        <f>IF(ISBLANK(moras[[#This Row],[SALARIO]]), EDA!$M$8, moras[[#This Row],[SALARIO]])</f>
        <v>489159</v>
      </c>
      <c r="O763" s="14">
        <f xml:space="preserve"> IF(ISBLANK(moras[[#This Row],[EDAD]]), EDA!$E$8, moras[[#This Row],[EDAD]])</f>
        <v>34</v>
      </c>
      <c r="P763" s="14" t="str">
        <f>IF(
    OR(ISBLANK(moras[[#This Row],[TIPO_ASEGURAMIENTO]]), moras[[#This Row],[TIPO_ASEGURAMIENTO]]=""),
    EDA!$A$32,
    moras[[#This Row],[TIPO_ASEGURAMIENTO]]
)</f>
        <v>ASALARIADO</v>
      </c>
    </row>
    <row r="764" spans="1:16" x14ac:dyDescent="0.3">
      <c r="A764">
        <v>763</v>
      </c>
      <c r="B764" t="s">
        <v>15</v>
      </c>
      <c r="C764">
        <v>463300</v>
      </c>
      <c r="D764" t="s">
        <v>10</v>
      </c>
      <c r="E764" t="s">
        <v>16</v>
      </c>
      <c r="F764" t="s">
        <v>12</v>
      </c>
      <c r="G764" t="s">
        <v>13</v>
      </c>
      <c r="H764" t="s">
        <v>13</v>
      </c>
      <c r="I764">
        <v>40</v>
      </c>
      <c r="J764">
        <f>ABS((I764-EDA!$A$15)/EDA!$B$15)</f>
        <v>0.13971034729555773</v>
      </c>
      <c r="K764" t="str">
        <f t="shared" si="11"/>
        <v>No</v>
      </c>
      <c r="L764">
        <f>ABS((C764-EDA!$F$15)/EDA!$G$15)</f>
        <v>0.36794433315869718</v>
      </c>
      <c r="M764" t="str">
        <f>IF(moras[[#This Row],[Z-Score Salario]]&gt;1.96, "Sí", "No")</f>
        <v>No</v>
      </c>
      <c r="N764" s="14">
        <f>IF(ISBLANK(moras[[#This Row],[SALARIO]]), EDA!$M$8, moras[[#This Row],[SALARIO]])</f>
        <v>463300</v>
      </c>
      <c r="O764" s="14">
        <f xml:space="preserve"> IF(ISBLANK(moras[[#This Row],[EDAD]]), EDA!$E$8, moras[[#This Row],[EDAD]])</f>
        <v>40</v>
      </c>
      <c r="P764" s="14" t="str">
        <f>IF(
    OR(ISBLANK(moras[[#This Row],[TIPO_ASEGURAMIENTO]]), moras[[#This Row],[TIPO_ASEGURAMIENTO]]=""),
    EDA!$A$32,
    moras[[#This Row],[TIPO_ASEGURAMIENTO]]
)</f>
        <v>ASALARIADO</v>
      </c>
    </row>
    <row r="765" spans="1:16" x14ac:dyDescent="0.3">
      <c r="A765">
        <v>764</v>
      </c>
      <c r="B765" t="s">
        <v>9</v>
      </c>
      <c r="C765">
        <v>36090476</v>
      </c>
      <c r="D765" t="s">
        <v>10</v>
      </c>
      <c r="E765" t="s">
        <v>16</v>
      </c>
      <c r="F765" t="s">
        <v>12</v>
      </c>
      <c r="G765" t="s">
        <v>12</v>
      </c>
      <c r="H765" t="s">
        <v>13</v>
      </c>
      <c r="I765">
        <v>43</v>
      </c>
      <c r="J765">
        <f>ABS((I765-EDA!$A$15)/EDA!$B$15)</f>
        <v>7.2015642935854773E-2</v>
      </c>
      <c r="K765" t="str">
        <f t="shared" si="11"/>
        <v>No</v>
      </c>
      <c r="L765">
        <f>ABS((C765-EDA!$F$15)/EDA!$G$15)</f>
        <v>0.22491702513939221</v>
      </c>
      <c r="M765" t="str">
        <f>IF(moras[[#This Row],[Z-Score Salario]]&gt;1.96, "Sí", "No")</f>
        <v>No</v>
      </c>
      <c r="N765" s="14">
        <f>IF(ISBLANK(moras[[#This Row],[SALARIO]]), EDA!$M$8, moras[[#This Row],[SALARIO]])</f>
        <v>36090476</v>
      </c>
      <c r="O765" s="14">
        <f xml:space="preserve"> IF(ISBLANK(moras[[#This Row],[EDAD]]), EDA!$E$8, moras[[#This Row],[EDAD]])</f>
        <v>43</v>
      </c>
      <c r="P765" s="14" t="str">
        <f>IF(
    OR(ISBLANK(moras[[#This Row],[TIPO_ASEGURAMIENTO]]), moras[[#This Row],[TIPO_ASEGURAMIENTO]]=""),
    EDA!$A$32,
    moras[[#This Row],[TIPO_ASEGURAMIENTO]]
)</f>
        <v>ASALARIADO</v>
      </c>
    </row>
    <row r="766" spans="1:16" x14ac:dyDescent="0.3">
      <c r="A766">
        <v>765</v>
      </c>
      <c r="B766" t="s">
        <v>15</v>
      </c>
      <c r="C766">
        <v>1156421</v>
      </c>
      <c r="D766" t="s">
        <v>10</v>
      </c>
      <c r="E766" t="s">
        <v>11</v>
      </c>
      <c r="F766" t="s">
        <v>12</v>
      </c>
      <c r="G766" t="s">
        <v>13</v>
      </c>
      <c r="H766" t="s">
        <v>12</v>
      </c>
      <c r="I766">
        <v>36</v>
      </c>
      <c r="J766">
        <f>ABS((I766-EDA!$A$15)/EDA!$B$15)</f>
        <v>0.42201166760410774</v>
      </c>
      <c r="K766" t="str">
        <f t="shared" si="11"/>
        <v>No</v>
      </c>
      <c r="L766">
        <f>ABS((C766-EDA!$F$15)/EDA!$G$15)</f>
        <v>0.35641031043612914</v>
      </c>
      <c r="M766" t="str">
        <f>IF(moras[[#This Row],[Z-Score Salario]]&gt;1.96, "Sí", "No")</f>
        <v>No</v>
      </c>
      <c r="N766" s="14">
        <f>IF(ISBLANK(moras[[#This Row],[SALARIO]]), EDA!$M$8, moras[[#This Row],[SALARIO]])</f>
        <v>1156421</v>
      </c>
      <c r="O766" s="14">
        <f xml:space="preserve"> IF(ISBLANK(moras[[#This Row],[EDAD]]), EDA!$E$8, moras[[#This Row],[EDAD]])</f>
        <v>36</v>
      </c>
      <c r="P766" s="14" t="str">
        <f>IF(
    OR(ISBLANK(moras[[#This Row],[TIPO_ASEGURAMIENTO]]), moras[[#This Row],[TIPO_ASEGURAMIENTO]]=""),
    EDA!$A$32,
    moras[[#This Row],[TIPO_ASEGURAMIENTO]]
)</f>
        <v>ASALARIADO</v>
      </c>
    </row>
    <row r="767" spans="1:16" x14ac:dyDescent="0.3">
      <c r="A767">
        <v>766</v>
      </c>
      <c r="B767" t="s">
        <v>9</v>
      </c>
      <c r="C767">
        <v>388293</v>
      </c>
      <c r="D767" t="s">
        <v>10</v>
      </c>
      <c r="E767" t="s">
        <v>16</v>
      </c>
      <c r="F767" t="s">
        <v>12</v>
      </c>
      <c r="G767" t="s">
        <v>13</v>
      </c>
      <c r="H767" t="s">
        <v>13</v>
      </c>
      <c r="I767">
        <v>53</v>
      </c>
      <c r="J767">
        <f>ABS((I767-EDA!$A$15)/EDA!$B$15)</f>
        <v>0.77776894370722982</v>
      </c>
      <c r="K767" t="str">
        <f t="shared" si="11"/>
        <v>No</v>
      </c>
      <c r="L767">
        <f>ABS((C767-EDA!$F$15)/EDA!$G$15)</f>
        <v>0.36919250258705333</v>
      </c>
      <c r="M767" t="str">
        <f>IF(moras[[#This Row],[Z-Score Salario]]&gt;1.96, "Sí", "No")</f>
        <v>No</v>
      </c>
      <c r="N767" s="14">
        <f>IF(ISBLANK(moras[[#This Row],[SALARIO]]), EDA!$M$8, moras[[#This Row],[SALARIO]])</f>
        <v>388293</v>
      </c>
      <c r="O767" s="14">
        <f xml:space="preserve"> IF(ISBLANK(moras[[#This Row],[EDAD]]), EDA!$E$8, moras[[#This Row],[EDAD]])</f>
        <v>53</v>
      </c>
      <c r="P767" s="14" t="str">
        <f>IF(
    OR(ISBLANK(moras[[#This Row],[TIPO_ASEGURAMIENTO]]), moras[[#This Row],[TIPO_ASEGURAMIENTO]]=""),
    EDA!$A$32,
    moras[[#This Row],[TIPO_ASEGURAMIENTO]]
)</f>
        <v>ASALARIADO</v>
      </c>
    </row>
    <row r="768" spans="1:16" x14ac:dyDescent="0.3">
      <c r="A768">
        <v>767</v>
      </c>
      <c r="B768" t="s">
        <v>9</v>
      </c>
      <c r="C768">
        <v>1214906</v>
      </c>
      <c r="D768" t="s">
        <v>10</v>
      </c>
      <c r="E768" t="s">
        <v>11</v>
      </c>
      <c r="F768" t="s">
        <v>12</v>
      </c>
      <c r="G768" t="s">
        <v>13</v>
      </c>
      <c r="H768" t="s">
        <v>13</v>
      </c>
      <c r="I768">
        <v>29</v>
      </c>
      <c r="J768">
        <f>ABS((I768-EDA!$A$15)/EDA!$B$15)</f>
        <v>0.91603897814407031</v>
      </c>
      <c r="K768" t="str">
        <f t="shared" si="11"/>
        <v>No</v>
      </c>
      <c r="L768">
        <f>ABS((C768-EDA!$F$15)/EDA!$G$15)</f>
        <v>0.35543707875085429</v>
      </c>
      <c r="M768" t="str">
        <f>IF(moras[[#This Row],[Z-Score Salario]]&gt;1.96, "Sí", "No")</f>
        <v>No</v>
      </c>
      <c r="N768" s="14">
        <f>IF(ISBLANK(moras[[#This Row],[SALARIO]]), EDA!$M$8, moras[[#This Row],[SALARIO]])</f>
        <v>1214906</v>
      </c>
      <c r="O768" s="14">
        <f xml:space="preserve"> IF(ISBLANK(moras[[#This Row],[EDAD]]), EDA!$E$8, moras[[#This Row],[EDAD]])</f>
        <v>29</v>
      </c>
      <c r="P768" s="14" t="str">
        <f>IF(
    OR(ISBLANK(moras[[#This Row],[TIPO_ASEGURAMIENTO]]), moras[[#This Row],[TIPO_ASEGURAMIENTO]]=""),
    EDA!$A$32,
    moras[[#This Row],[TIPO_ASEGURAMIENTO]]
)</f>
        <v>ASALARIADO</v>
      </c>
    </row>
    <row r="769" spans="1:16" x14ac:dyDescent="0.3">
      <c r="A769">
        <v>768</v>
      </c>
      <c r="B769" t="s">
        <v>9</v>
      </c>
      <c r="C769">
        <v>795801</v>
      </c>
      <c r="D769" t="s">
        <v>10</v>
      </c>
      <c r="E769" t="s">
        <v>11</v>
      </c>
      <c r="F769" t="s">
        <v>12</v>
      </c>
      <c r="G769" t="s">
        <v>13</v>
      </c>
      <c r="H769" t="s">
        <v>13</v>
      </c>
      <c r="I769">
        <v>36</v>
      </c>
      <c r="J769">
        <f>ABS((I769-EDA!$A$15)/EDA!$B$15)</f>
        <v>0.42201166760410774</v>
      </c>
      <c r="K769" t="str">
        <f t="shared" si="11"/>
        <v>No</v>
      </c>
      <c r="L769">
        <f>ABS((C769-EDA!$F$15)/EDA!$G$15)</f>
        <v>0.36241128180218568</v>
      </c>
      <c r="M769" t="str">
        <f>IF(moras[[#This Row],[Z-Score Salario]]&gt;1.96, "Sí", "No")</f>
        <v>No</v>
      </c>
      <c r="N769" s="14">
        <f>IF(ISBLANK(moras[[#This Row],[SALARIO]]), EDA!$M$8, moras[[#This Row],[SALARIO]])</f>
        <v>795801</v>
      </c>
      <c r="O769" s="14">
        <f xml:space="preserve"> IF(ISBLANK(moras[[#This Row],[EDAD]]), EDA!$E$8, moras[[#This Row],[EDAD]])</f>
        <v>36</v>
      </c>
      <c r="P769" s="14" t="str">
        <f>IF(
    OR(ISBLANK(moras[[#This Row],[TIPO_ASEGURAMIENTO]]), moras[[#This Row],[TIPO_ASEGURAMIENTO]]=""),
    EDA!$A$32,
    moras[[#This Row],[TIPO_ASEGURAMIENTO]]
)</f>
        <v>ASALARIADO</v>
      </c>
    </row>
    <row r="770" spans="1:16" x14ac:dyDescent="0.3">
      <c r="A770">
        <v>769</v>
      </c>
      <c r="B770" t="s">
        <v>15</v>
      </c>
      <c r="C770">
        <v>3186192</v>
      </c>
      <c r="D770" t="s">
        <v>10</v>
      </c>
      <c r="E770" t="s">
        <v>16</v>
      </c>
      <c r="F770" t="s">
        <v>12</v>
      </c>
      <c r="G770" t="s">
        <v>12</v>
      </c>
      <c r="H770" t="s">
        <v>13</v>
      </c>
      <c r="I770">
        <v>42</v>
      </c>
      <c r="J770">
        <f>ABS((I770-EDA!$A$15)/EDA!$B$15)</f>
        <v>1.4403128587172659E-3</v>
      </c>
      <c r="K770" t="str">
        <f t="shared" ref="K770:K833" si="12">IF(J770 &gt;  1.96, "Sí","No")</f>
        <v>No</v>
      </c>
      <c r="L770">
        <f>ABS((C770-EDA!$F$15)/EDA!$G$15)</f>
        <v>0.32263348815602277</v>
      </c>
      <c r="M770" t="str">
        <f>IF(moras[[#This Row],[Z-Score Salario]]&gt;1.96, "Sí", "No")</f>
        <v>No</v>
      </c>
      <c r="N770" s="14">
        <f>IF(ISBLANK(moras[[#This Row],[SALARIO]]), EDA!$M$8, moras[[#This Row],[SALARIO]])</f>
        <v>3186192</v>
      </c>
      <c r="O770" s="14">
        <f xml:space="preserve"> IF(ISBLANK(moras[[#This Row],[EDAD]]), EDA!$E$8, moras[[#This Row],[EDAD]])</f>
        <v>42</v>
      </c>
      <c r="P770" s="14" t="str">
        <f>IF(
    OR(ISBLANK(moras[[#This Row],[TIPO_ASEGURAMIENTO]]), moras[[#This Row],[TIPO_ASEGURAMIENTO]]=""),
    EDA!$A$32,
    moras[[#This Row],[TIPO_ASEGURAMIENTO]]
)</f>
        <v>ASALARIADO</v>
      </c>
    </row>
    <row r="771" spans="1:16" x14ac:dyDescent="0.3">
      <c r="A771">
        <v>770</v>
      </c>
      <c r="B771" t="s">
        <v>9</v>
      </c>
      <c r="C771">
        <v>6500785</v>
      </c>
      <c r="D771" t="s">
        <v>10</v>
      </c>
      <c r="E771" t="s">
        <v>11</v>
      </c>
      <c r="F771" t="s">
        <v>12</v>
      </c>
      <c r="G771" t="s">
        <v>13</v>
      </c>
      <c r="H771" t="s">
        <v>13</v>
      </c>
      <c r="I771">
        <v>34</v>
      </c>
      <c r="J771">
        <f>ABS((I771-EDA!$A$15)/EDA!$B$15)</f>
        <v>0.56316232775838282</v>
      </c>
      <c r="K771" t="str">
        <f t="shared" si="12"/>
        <v>No</v>
      </c>
      <c r="L771">
        <f>ABS((C771-EDA!$F$15)/EDA!$G$15)</f>
        <v>0.26747632082439537</v>
      </c>
      <c r="M771" t="str">
        <f>IF(moras[[#This Row],[Z-Score Salario]]&gt;1.96, "Sí", "No")</f>
        <v>No</v>
      </c>
      <c r="N771" s="14">
        <f>IF(ISBLANK(moras[[#This Row],[SALARIO]]), EDA!$M$8, moras[[#This Row],[SALARIO]])</f>
        <v>6500785</v>
      </c>
      <c r="O771" s="14">
        <f xml:space="preserve"> IF(ISBLANK(moras[[#This Row],[EDAD]]), EDA!$E$8, moras[[#This Row],[EDAD]])</f>
        <v>34</v>
      </c>
      <c r="P771" s="14" t="str">
        <f>IF(
    OR(ISBLANK(moras[[#This Row],[TIPO_ASEGURAMIENTO]]), moras[[#This Row],[TIPO_ASEGURAMIENTO]]=""),
    EDA!$A$32,
    moras[[#This Row],[TIPO_ASEGURAMIENTO]]
)</f>
        <v>ASALARIADO</v>
      </c>
    </row>
    <row r="772" spans="1:16" x14ac:dyDescent="0.3">
      <c r="A772">
        <v>771</v>
      </c>
      <c r="B772" t="s">
        <v>9</v>
      </c>
      <c r="C772">
        <v>433085</v>
      </c>
      <c r="D772" t="s">
        <v>18</v>
      </c>
      <c r="E772" t="s">
        <v>16</v>
      </c>
      <c r="F772" t="s">
        <v>12</v>
      </c>
      <c r="G772" t="s">
        <v>12</v>
      </c>
      <c r="H772" t="s">
        <v>12</v>
      </c>
      <c r="I772">
        <v>53</v>
      </c>
      <c r="J772">
        <f>ABS((I772-EDA!$A$15)/EDA!$B$15)</f>
        <v>0.77776894370722982</v>
      </c>
      <c r="K772" t="str">
        <f t="shared" si="12"/>
        <v>No</v>
      </c>
      <c r="L772">
        <f>ABS((C772-EDA!$F$15)/EDA!$G$15)</f>
        <v>0.36844713208783419</v>
      </c>
      <c r="M772" t="str">
        <f>IF(moras[[#This Row],[Z-Score Salario]]&gt;1.96, "Sí", "No")</f>
        <v>No</v>
      </c>
      <c r="N772" s="14">
        <f>IF(ISBLANK(moras[[#This Row],[SALARIO]]), EDA!$M$8, moras[[#This Row],[SALARIO]])</f>
        <v>433085</v>
      </c>
      <c r="O772" s="14">
        <f xml:space="preserve"> IF(ISBLANK(moras[[#This Row],[EDAD]]), EDA!$E$8, moras[[#This Row],[EDAD]])</f>
        <v>53</v>
      </c>
      <c r="P772" s="14" t="str">
        <f>IF(
    OR(ISBLANK(moras[[#This Row],[TIPO_ASEGURAMIENTO]]), moras[[#This Row],[TIPO_ASEGURAMIENTO]]=""),
    EDA!$A$32,
    moras[[#This Row],[TIPO_ASEGURAMIENTO]]
)</f>
        <v>TRABAJADOR INDEPENDIENTE</v>
      </c>
    </row>
    <row r="773" spans="1:16" x14ac:dyDescent="0.3">
      <c r="A773">
        <v>772</v>
      </c>
      <c r="B773" t="s">
        <v>15</v>
      </c>
      <c r="C773">
        <v>294000</v>
      </c>
      <c r="D773" t="s">
        <v>10</v>
      </c>
      <c r="E773" t="s">
        <v>16</v>
      </c>
      <c r="F773" t="s">
        <v>12</v>
      </c>
      <c r="G773" t="s">
        <v>13</v>
      </c>
      <c r="H773" t="s">
        <v>13</v>
      </c>
      <c r="I773">
        <v>24</v>
      </c>
      <c r="J773">
        <f>ABS((I773-EDA!$A$15)/EDA!$B$15)</f>
        <v>1.2689156285297578</v>
      </c>
      <c r="K773" t="str">
        <f t="shared" si="12"/>
        <v>No</v>
      </c>
      <c r="L773">
        <f>ABS((C773-EDA!$F$15)/EDA!$G$15)</f>
        <v>0.37076160466963215</v>
      </c>
      <c r="M773" t="str">
        <f>IF(moras[[#This Row],[Z-Score Salario]]&gt;1.96, "Sí", "No")</f>
        <v>No</v>
      </c>
      <c r="N773" s="14">
        <f>IF(ISBLANK(moras[[#This Row],[SALARIO]]), EDA!$M$8, moras[[#This Row],[SALARIO]])</f>
        <v>294000</v>
      </c>
      <c r="O773" s="14">
        <f xml:space="preserve"> IF(ISBLANK(moras[[#This Row],[EDAD]]), EDA!$E$8, moras[[#This Row],[EDAD]])</f>
        <v>24</v>
      </c>
      <c r="P773" s="14" t="str">
        <f>IF(
    OR(ISBLANK(moras[[#This Row],[TIPO_ASEGURAMIENTO]]), moras[[#This Row],[TIPO_ASEGURAMIENTO]]=""),
    EDA!$A$32,
    moras[[#This Row],[TIPO_ASEGURAMIENTO]]
)</f>
        <v>ASALARIADO</v>
      </c>
    </row>
    <row r="774" spans="1:16" x14ac:dyDescent="0.3">
      <c r="A774">
        <v>773</v>
      </c>
      <c r="B774" t="s">
        <v>9</v>
      </c>
      <c r="C774">
        <v>405063</v>
      </c>
      <c r="D774" t="s">
        <v>18</v>
      </c>
      <c r="E774" t="s">
        <v>16</v>
      </c>
      <c r="F774" t="s">
        <v>12</v>
      </c>
      <c r="G774" t="s">
        <v>13</v>
      </c>
      <c r="H774" t="s">
        <v>12</v>
      </c>
      <c r="I774">
        <v>72</v>
      </c>
      <c r="J774">
        <f>ABS((I774-EDA!$A$15)/EDA!$B$15)</f>
        <v>2.1187002151728422</v>
      </c>
      <c r="K774" t="str">
        <f t="shared" si="12"/>
        <v>Sí</v>
      </c>
      <c r="L774">
        <f>ABS((C774-EDA!$F$15)/EDA!$G$15)</f>
        <v>0.3689134379489058</v>
      </c>
      <c r="M774" t="str">
        <f>IF(moras[[#This Row],[Z-Score Salario]]&gt;1.96, "Sí", "No")</f>
        <v>No</v>
      </c>
      <c r="N774" s="14">
        <f>IF(ISBLANK(moras[[#This Row],[SALARIO]]), EDA!$M$8, moras[[#This Row],[SALARIO]])</f>
        <v>405063</v>
      </c>
      <c r="O774" s="14">
        <f xml:space="preserve"> IF(ISBLANK(moras[[#This Row],[EDAD]]), EDA!$E$8, moras[[#This Row],[EDAD]])</f>
        <v>72</v>
      </c>
      <c r="P774" s="14" t="str">
        <f>IF(
    OR(ISBLANK(moras[[#This Row],[TIPO_ASEGURAMIENTO]]), moras[[#This Row],[TIPO_ASEGURAMIENTO]]=""),
    EDA!$A$32,
    moras[[#This Row],[TIPO_ASEGURAMIENTO]]
)</f>
        <v>TRABAJADOR INDEPENDIENTE</v>
      </c>
    </row>
    <row r="775" spans="1:16" x14ac:dyDescent="0.3">
      <c r="A775">
        <v>774</v>
      </c>
      <c r="B775" t="s">
        <v>9</v>
      </c>
      <c r="C775">
        <v>299647</v>
      </c>
      <c r="D775" t="s">
        <v>17</v>
      </c>
      <c r="E775" t="s">
        <v>16</v>
      </c>
      <c r="F775" t="s">
        <v>12</v>
      </c>
      <c r="G775" t="s">
        <v>13</v>
      </c>
      <c r="H775" t="s">
        <v>13</v>
      </c>
      <c r="I775">
        <v>59</v>
      </c>
      <c r="J775">
        <f>ABS((I775-EDA!$A$15)/EDA!$B$15)</f>
        <v>1.2012209241700549</v>
      </c>
      <c r="K775" t="str">
        <f t="shared" si="12"/>
        <v>No</v>
      </c>
      <c r="L775">
        <f>ABS((C775-EDA!$F$15)/EDA!$G$15)</f>
        <v>0.37066763460334595</v>
      </c>
      <c r="M775" t="str">
        <f>IF(moras[[#This Row],[Z-Score Salario]]&gt;1.96, "Sí", "No")</f>
        <v>No</v>
      </c>
      <c r="N775" s="14">
        <f>IF(ISBLANK(moras[[#This Row],[SALARIO]]), EDA!$M$8, moras[[#This Row],[SALARIO]])</f>
        <v>299647</v>
      </c>
      <c r="O775" s="14">
        <f xml:space="preserve"> IF(ISBLANK(moras[[#This Row],[EDAD]]), EDA!$E$8, moras[[#This Row],[EDAD]])</f>
        <v>59</v>
      </c>
      <c r="P775" s="14" t="str">
        <f>IF(
    OR(ISBLANK(moras[[#This Row],[TIPO_ASEGURAMIENTO]]), moras[[#This Row],[TIPO_ASEGURAMIENTO]]=""),
    EDA!$A$32,
    moras[[#This Row],[TIPO_ASEGURAMIENTO]]
)</f>
        <v>ASEGURADO VOLUNTARIO</v>
      </c>
    </row>
    <row r="776" spans="1:16" x14ac:dyDescent="0.3">
      <c r="A776">
        <v>775</v>
      </c>
      <c r="B776" t="s">
        <v>9</v>
      </c>
      <c r="C776">
        <v>10000</v>
      </c>
      <c r="D776" t="s">
        <v>10</v>
      </c>
      <c r="E776" t="s">
        <v>16</v>
      </c>
      <c r="F776" t="s">
        <v>12</v>
      </c>
      <c r="G776" t="s">
        <v>12</v>
      </c>
      <c r="H776" t="s">
        <v>13</v>
      </c>
      <c r="I776">
        <v>51</v>
      </c>
      <c r="J776">
        <f>ABS((I776-EDA!$A$15)/EDA!$B$15)</f>
        <v>0.6366182835529548</v>
      </c>
      <c r="K776" t="str">
        <f t="shared" si="12"/>
        <v>No</v>
      </c>
      <c r="L776">
        <f>ABS((C776-EDA!$F$15)/EDA!$G$15)</f>
        <v>0.37548756514869613</v>
      </c>
      <c r="M776" t="str">
        <f>IF(moras[[#This Row],[Z-Score Salario]]&gt;1.96, "Sí", "No")</f>
        <v>No</v>
      </c>
      <c r="N776" s="14">
        <f>IF(ISBLANK(moras[[#This Row],[SALARIO]]), EDA!$M$8, moras[[#This Row],[SALARIO]])</f>
        <v>10000</v>
      </c>
      <c r="O776" s="14">
        <f xml:space="preserve"> IF(ISBLANK(moras[[#This Row],[EDAD]]), EDA!$E$8, moras[[#This Row],[EDAD]])</f>
        <v>51</v>
      </c>
      <c r="P776" s="14" t="str">
        <f>IF(
    OR(ISBLANK(moras[[#This Row],[TIPO_ASEGURAMIENTO]]), moras[[#This Row],[TIPO_ASEGURAMIENTO]]=""),
    EDA!$A$32,
    moras[[#This Row],[TIPO_ASEGURAMIENTO]]
)</f>
        <v>ASALARIADO</v>
      </c>
    </row>
    <row r="777" spans="1:16" x14ac:dyDescent="0.3">
      <c r="A777">
        <v>776</v>
      </c>
      <c r="B777" t="s">
        <v>9</v>
      </c>
      <c r="C777">
        <v>36497692</v>
      </c>
      <c r="D777" t="s">
        <v>10</v>
      </c>
      <c r="E777" t="s">
        <v>16</v>
      </c>
      <c r="F777" t="s">
        <v>12</v>
      </c>
      <c r="G777" t="s">
        <v>13</v>
      </c>
      <c r="H777" t="s">
        <v>12</v>
      </c>
      <c r="I777">
        <v>51</v>
      </c>
      <c r="J777">
        <f>ABS((I777-EDA!$A$15)/EDA!$B$15)</f>
        <v>0.6366182835529548</v>
      </c>
      <c r="K777" t="str">
        <f t="shared" si="12"/>
        <v>No</v>
      </c>
      <c r="L777">
        <f>ABS((C777-EDA!$F$15)/EDA!$G$15)</f>
        <v>0.23169338683813351</v>
      </c>
      <c r="M777" t="str">
        <f>IF(moras[[#This Row],[Z-Score Salario]]&gt;1.96, "Sí", "No")</f>
        <v>No</v>
      </c>
      <c r="N777" s="14">
        <f>IF(ISBLANK(moras[[#This Row],[SALARIO]]), EDA!$M$8, moras[[#This Row],[SALARIO]])</f>
        <v>36497692</v>
      </c>
      <c r="O777" s="14">
        <f xml:space="preserve"> IF(ISBLANK(moras[[#This Row],[EDAD]]), EDA!$E$8, moras[[#This Row],[EDAD]])</f>
        <v>51</v>
      </c>
      <c r="P777" s="14" t="str">
        <f>IF(
    OR(ISBLANK(moras[[#This Row],[TIPO_ASEGURAMIENTO]]), moras[[#This Row],[TIPO_ASEGURAMIENTO]]=""),
    EDA!$A$32,
    moras[[#This Row],[TIPO_ASEGURAMIENTO]]
)</f>
        <v>ASALARIADO</v>
      </c>
    </row>
    <row r="778" spans="1:16" x14ac:dyDescent="0.3">
      <c r="A778">
        <v>777</v>
      </c>
      <c r="B778" t="s">
        <v>15</v>
      </c>
      <c r="C778">
        <v>102524</v>
      </c>
      <c r="D778" t="s">
        <v>10</v>
      </c>
      <c r="E778" t="s">
        <v>16</v>
      </c>
      <c r="F778" t="s">
        <v>12</v>
      </c>
      <c r="G778" t="s">
        <v>13</v>
      </c>
      <c r="H778" t="s">
        <v>13</v>
      </c>
      <c r="I778">
        <v>47</v>
      </c>
      <c r="J778">
        <f>ABS((I778-EDA!$A$15)/EDA!$B$15)</f>
        <v>0.35431696324440481</v>
      </c>
      <c r="K778" t="str">
        <f t="shared" si="12"/>
        <v>No</v>
      </c>
      <c r="L778">
        <f>ABS((C778-EDA!$F$15)/EDA!$G$15)</f>
        <v>0.37394790047487603</v>
      </c>
      <c r="M778" t="str">
        <f>IF(moras[[#This Row],[Z-Score Salario]]&gt;1.96, "Sí", "No")</f>
        <v>No</v>
      </c>
      <c r="N778" s="14">
        <f>IF(ISBLANK(moras[[#This Row],[SALARIO]]), EDA!$M$8, moras[[#This Row],[SALARIO]])</f>
        <v>102524</v>
      </c>
      <c r="O778" s="14">
        <f xml:space="preserve"> IF(ISBLANK(moras[[#This Row],[EDAD]]), EDA!$E$8, moras[[#This Row],[EDAD]])</f>
        <v>47</v>
      </c>
      <c r="P778" s="14" t="str">
        <f>IF(
    OR(ISBLANK(moras[[#This Row],[TIPO_ASEGURAMIENTO]]), moras[[#This Row],[TIPO_ASEGURAMIENTO]]=""),
    EDA!$A$32,
    moras[[#This Row],[TIPO_ASEGURAMIENTO]]
)</f>
        <v>ASALARIADO</v>
      </c>
    </row>
    <row r="779" spans="1:16" x14ac:dyDescent="0.3">
      <c r="A779">
        <v>778</v>
      </c>
      <c r="B779" t="s">
        <v>9</v>
      </c>
      <c r="C779">
        <v>63651233</v>
      </c>
      <c r="D779" t="s">
        <v>10</v>
      </c>
      <c r="E779" t="s">
        <v>16</v>
      </c>
      <c r="F779" t="s">
        <v>12</v>
      </c>
      <c r="G779" t="s">
        <v>13</v>
      </c>
      <c r="H779" t="s">
        <v>13</v>
      </c>
      <c r="I779">
        <v>22</v>
      </c>
      <c r="J779">
        <f>ABS((I779-EDA!$A$15)/EDA!$B$15)</f>
        <v>1.4100662886840327</v>
      </c>
      <c r="K779" t="str">
        <f t="shared" si="12"/>
        <v>No</v>
      </c>
      <c r="L779">
        <f>ABS((C779-EDA!$F$15)/EDA!$G$15)</f>
        <v>0.68354747709392194</v>
      </c>
      <c r="M779" t="str">
        <f>IF(moras[[#This Row],[Z-Score Salario]]&gt;1.96, "Sí", "No")</f>
        <v>No</v>
      </c>
      <c r="N779" s="14">
        <f>IF(ISBLANK(moras[[#This Row],[SALARIO]]), EDA!$M$8, moras[[#This Row],[SALARIO]])</f>
        <v>63651233</v>
      </c>
      <c r="O779" s="14">
        <f xml:space="preserve"> IF(ISBLANK(moras[[#This Row],[EDAD]]), EDA!$E$8, moras[[#This Row],[EDAD]])</f>
        <v>22</v>
      </c>
      <c r="P779" s="14" t="str">
        <f>IF(
    OR(ISBLANK(moras[[#This Row],[TIPO_ASEGURAMIENTO]]), moras[[#This Row],[TIPO_ASEGURAMIENTO]]=""),
    EDA!$A$32,
    moras[[#This Row],[TIPO_ASEGURAMIENTO]]
)</f>
        <v>ASALARIADO</v>
      </c>
    </row>
    <row r="780" spans="1:16" x14ac:dyDescent="0.3">
      <c r="A780">
        <v>779</v>
      </c>
      <c r="B780" t="s">
        <v>9</v>
      </c>
      <c r="C780">
        <v>278030</v>
      </c>
      <c r="D780" t="s">
        <v>19</v>
      </c>
      <c r="E780" t="s">
        <v>16</v>
      </c>
      <c r="F780" t="s">
        <v>12</v>
      </c>
      <c r="G780" t="s">
        <v>13</v>
      </c>
      <c r="H780" t="s">
        <v>13</v>
      </c>
      <c r="I780">
        <v>55</v>
      </c>
      <c r="J780">
        <f>ABS((I780-EDA!$A$15)/EDA!$B$15)</f>
        <v>0.91891960386150484</v>
      </c>
      <c r="K780" t="str">
        <f t="shared" si="12"/>
        <v>No</v>
      </c>
      <c r="L780">
        <f>ABS((C780-EDA!$F$15)/EDA!$G$15)</f>
        <v>0.37102735674304993</v>
      </c>
      <c r="M780" t="str">
        <f>IF(moras[[#This Row],[Z-Score Salario]]&gt;1.96, "Sí", "No")</f>
        <v>No</v>
      </c>
      <c r="N780" s="14">
        <f>IF(ISBLANK(moras[[#This Row],[SALARIO]]), EDA!$M$8, moras[[#This Row],[SALARIO]])</f>
        <v>278030</v>
      </c>
      <c r="O780" s="14">
        <f xml:space="preserve"> IF(ISBLANK(moras[[#This Row],[EDAD]]), EDA!$E$8, moras[[#This Row],[EDAD]])</f>
        <v>55</v>
      </c>
      <c r="P780" s="14" t="str">
        <f>IF(
    OR(ISBLANK(moras[[#This Row],[TIPO_ASEGURAMIENTO]]), moras[[#This Row],[TIPO_ASEGURAMIENTO]]=""),
    EDA!$A$32,
    moras[[#This Row],[TIPO_ASEGURAMIENTO]]
)</f>
        <v>CONVENIOS ESPECIALES DE TRABAJADORES INDEPENDIENTES</v>
      </c>
    </row>
    <row r="781" spans="1:16" x14ac:dyDescent="0.3">
      <c r="A781">
        <v>780</v>
      </c>
      <c r="B781" t="s">
        <v>9</v>
      </c>
      <c r="C781">
        <v>45369352</v>
      </c>
      <c r="D781" t="s">
        <v>10</v>
      </c>
      <c r="E781" t="s">
        <v>16</v>
      </c>
      <c r="F781" t="s">
        <v>12</v>
      </c>
      <c r="G781" t="s">
        <v>12</v>
      </c>
      <c r="H781" t="s">
        <v>13</v>
      </c>
      <c r="I781">
        <v>49</v>
      </c>
      <c r="J781">
        <f>ABS((I781-EDA!$A$15)/EDA!$B$15)</f>
        <v>0.49546762339867978</v>
      </c>
      <c r="K781" t="str">
        <f t="shared" si="12"/>
        <v>No</v>
      </c>
      <c r="L781">
        <f>ABS((C781-EDA!$F$15)/EDA!$G$15)</f>
        <v>0.3793240718511367</v>
      </c>
      <c r="M781" t="str">
        <f>IF(moras[[#This Row],[Z-Score Salario]]&gt;1.96, "Sí", "No")</f>
        <v>No</v>
      </c>
      <c r="N781" s="14">
        <f>IF(ISBLANK(moras[[#This Row],[SALARIO]]), EDA!$M$8, moras[[#This Row],[SALARIO]])</f>
        <v>45369352</v>
      </c>
      <c r="O781" s="14">
        <f xml:space="preserve"> IF(ISBLANK(moras[[#This Row],[EDAD]]), EDA!$E$8, moras[[#This Row],[EDAD]])</f>
        <v>49</v>
      </c>
      <c r="P781" s="14" t="str">
        <f>IF(
    OR(ISBLANK(moras[[#This Row],[TIPO_ASEGURAMIENTO]]), moras[[#This Row],[TIPO_ASEGURAMIENTO]]=""),
    EDA!$A$32,
    moras[[#This Row],[TIPO_ASEGURAMIENTO]]
)</f>
        <v>ASALARIADO</v>
      </c>
    </row>
    <row r="782" spans="1:16" x14ac:dyDescent="0.3">
      <c r="A782">
        <v>781</v>
      </c>
      <c r="B782" t="s">
        <v>15</v>
      </c>
      <c r="C782">
        <v>113148765</v>
      </c>
      <c r="D782" t="s">
        <v>14</v>
      </c>
      <c r="E782" t="s">
        <v>11</v>
      </c>
      <c r="F782" t="s">
        <v>12</v>
      </c>
      <c r="G782" t="s">
        <v>13</v>
      </c>
      <c r="H782" t="s">
        <v>13</v>
      </c>
      <c r="I782">
        <v>68</v>
      </c>
      <c r="J782">
        <f>ABS((I782-EDA!$A$15)/EDA!$B$15)</f>
        <v>1.8363988948642924</v>
      </c>
      <c r="K782" t="str">
        <f t="shared" si="12"/>
        <v>No</v>
      </c>
      <c r="L782">
        <f>ABS((C782-EDA!$F$15)/EDA!$G$15)</f>
        <v>1.5072213504854908</v>
      </c>
      <c r="M782" t="str">
        <f>IF(moras[[#This Row],[Z-Score Salario]]&gt;1.96, "Sí", "No")</f>
        <v>No</v>
      </c>
      <c r="N782" s="14">
        <f>IF(ISBLANK(moras[[#This Row],[SALARIO]]), EDA!$M$8, moras[[#This Row],[SALARIO]])</f>
        <v>113148765</v>
      </c>
      <c r="O782" s="14">
        <f xml:space="preserve"> IF(ISBLANK(moras[[#This Row],[EDAD]]), EDA!$E$8, moras[[#This Row],[EDAD]])</f>
        <v>68</v>
      </c>
      <c r="P782" s="14" t="str">
        <f>IF(
    OR(ISBLANK(moras[[#This Row],[TIPO_ASEGURAMIENTO]]), moras[[#This Row],[TIPO_ASEGURAMIENTO]]=""),
    EDA!$A$32,
    moras[[#This Row],[TIPO_ASEGURAMIENTO]]
)</f>
        <v>PENSIONADOS EN SU PROPIO SISTEMA</v>
      </c>
    </row>
    <row r="783" spans="1:16" x14ac:dyDescent="0.3">
      <c r="A783">
        <v>782</v>
      </c>
      <c r="B783" t="s">
        <v>9</v>
      </c>
      <c r="C783">
        <v>297045</v>
      </c>
      <c r="D783" t="s">
        <v>17</v>
      </c>
      <c r="E783" t="s">
        <v>16</v>
      </c>
      <c r="F783" t="s">
        <v>12</v>
      </c>
      <c r="G783" t="s">
        <v>12</v>
      </c>
      <c r="H783" t="s">
        <v>13</v>
      </c>
      <c r="I783">
        <v>66</v>
      </c>
      <c r="J783">
        <f>ABS((I783-EDA!$A$15)/EDA!$B$15)</f>
        <v>1.6952482347100173</v>
      </c>
      <c r="K783" t="str">
        <f t="shared" si="12"/>
        <v>No</v>
      </c>
      <c r="L783">
        <f>ABS((C783-EDA!$F$15)/EDA!$G$15)</f>
        <v>0.37071093372012948</v>
      </c>
      <c r="M783" t="str">
        <f>IF(moras[[#This Row],[Z-Score Salario]]&gt;1.96, "Sí", "No")</f>
        <v>No</v>
      </c>
      <c r="N783" s="14">
        <f>IF(ISBLANK(moras[[#This Row],[SALARIO]]), EDA!$M$8, moras[[#This Row],[SALARIO]])</f>
        <v>297045</v>
      </c>
      <c r="O783" s="14">
        <f xml:space="preserve"> IF(ISBLANK(moras[[#This Row],[EDAD]]), EDA!$E$8, moras[[#This Row],[EDAD]])</f>
        <v>66</v>
      </c>
      <c r="P783" s="14" t="str">
        <f>IF(
    OR(ISBLANK(moras[[#This Row],[TIPO_ASEGURAMIENTO]]), moras[[#This Row],[TIPO_ASEGURAMIENTO]]=""),
    EDA!$A$32,
    moras[[#This Row],[TIPO_ASEGURAMIENTO]]
)</f>
        <v>ASEGURADO VOLUNTARIO</v>
      </c>
    </row>
    <row r="784" spans="1:16" x14ac:dyDescent="0.3">
      <c r="A784">
        <v>783</v>
      </c>
      <c r="B784" t="s">
        <v>15</v>
      </c>
      <c r="C784">
        <v>629382</v>
      </c>
      <c r="D784" t="s">
        <v>10</v>
      </c>
      <c r="E784" t="s">
        <v>16</v>
      </c>
      <c r="F784" t="s">
        <v>12</v>
      </c>
      <c r="G784" t="s">
        <v>13</v>
      </c>
      <c r="H784" t="s">
        <v>13</v>
      </c>
      <c r="I784">
        <v>29</v>
      </c>
      <c r="J784">
        <f>ABS((I784-EDA!$A$15)/EDA!$B$15)</f>
        <v>0.91603897814407031</v>
      </c>
      <c r="K784" t="str">
        <f t="shared" si="12"/>
        <v>No</v>
      </c>
      <c r="L784">
        <f>ABS((C784-EDA!$F$15)/EDA!$G$15)</f>
        <v>0.36518061143938763</v>
      </c>
      <c r="M784" t="str">
        <f>IF(moras[[#This Row],[Z-Score Salario]]&gt;1.96, "Sí", "No")</f>
        <v>No</v>
      </c>
      <c r="N784" s="14">
        <f>IF(ISBLANK(moras[[#This Row],[SALARIO]]), EDA!$M$8, moras[[#This Row],[SALARIO]])</f>
        <v>629382</v>
      </c>
      <c r="O784" s="14">
        <f xml:space="preserve"> IF(ISBLANK(moras[[#This Row],[EDAD]]), EDA!$E$8, moras[[#This Row],[EDAD]])</f>
        <v>29</v>
      </c>
      <c r="P784" s="14" t="str">
        <f>IF(
    OR(ISBLANK(moras[[#This Row],[TIPO_ASEGURAMIENTO]]), moras[[#This Row],[TIPO_ASEGURAMIENTO]]=""),
    EDA!$A$32,
    moras[[#This Row],[TIPO_ASEGURAMIENTO]]
)</f>
        <v>ASALARIADO</v>
      </c>
    </row>
    <row r="785" spans="1:16" x14ac:dyDescent="0.3">
      <c r="A785">
        <v>784</v>
      </c>
      <c r="B785" t="s">
        <v>9</v>
      </c>
      <c r="C785">
        <v>338166</v>
      </c>
      <c r="D785" t="s">
        <v>18</v>
      </c>
      <c r="E785" t="s">
        <v>16</v>
      </c>
      <c r="F785" t="s">
        <v>12</v>
      </c>
      <c r="G785" t="s">
        <v>13</v>
      </c>
      <c r="H785" t="s">
        <v>13</v>
      </c>
      <c r="I785">
        <v>36</v>
      </c>
      <c r="J785">
        <f>ABS((I785-EDA!$A$15)/EDA!$B$15)</f>
        <v>0.42201166760410774</v>
      </c>
      <c r="K785" t="str">
        <f t="shared" si="12"/>
        <v>No</v>
      </c>
      <c r="L785">
        <f>ABS((C785-EDA!$F$15)/EDA!$G$15)</f>
        <v>0.37002665125231404</v>
      </c>
      <c r="M785" t="str">
        <f>IF(moras[[#This Row],[Z-Score Salario]]&gt;1.96, "Sí", "No")</f>
        <v>No</v>
      </c>
      <c r="N785" s="14">
        <f>IF(ISBLANK(moras[[#This Row],[SALARIO]]), EDA!$M$8, moras[[#This Row],[SALARIO]])</f>
        <v>338166</v>
      </c>
      <c r="O785" s="14">
        <f xml:space="preserve"> IF(ISBLANK(moras[[#This Row],[EDAD]]), EDA!$E$8, moras[[#This Row],[EDAD]])</f>
        <v>36</v>
      </c>
      <c r="P785" s="14" t="str">
        <f>IF(
    OR(ISBLANK(moras[[#This Row],[TIPO_ASEGURAMIENTO]]), moras[[#This Row],[TIPO_ASEGURAMIENTO]]=""),
    EDA!$A$32,
    moras[[#This Row],[TIPO_ASEGURAMIENTO]]
)</f>
        <v>TRABAJADOR INDEPENDIENTE</v>
      </c>
    </row>
    <row r="786" spans="1:16" x14ac:dyDescent="0.3">
      <c r="A786">
        <v>785</v>
      </c>
      <c r="B786" t="s">
        <v>9</v>
      </c>
      <c r="C786">
        <v>350000</v>
      </c>
      <c r="D786" t="s">
        <v>10</v>
      </c>
      <c r="E786" t="s">
        <v>16</v>
      </c>
      <c r="F786" t="s">
        <v>12</v>
      </c>
      <c r="G786" t="s">
        <v>12</v>
      </c>
      <c r="H786" t="s">
        <v>13</v>
      </c>
      <c r="I786">
        <v>38</v>
      </c>
      <c r="J786">
        <f>ABS((I786-EDA!$A$15)/EDA!$B$15)</f>
        <v>0.28086100744983278</v>
      </c>
      <c r="K786" t="str">
        <f t="shared" si="12"/>
        <v>No</v>
      </c>
      <c r="L786">
        <f>ABS((C786-EDA!$F$15)/EDA!$G$15)</f>
        <v>0.36982972513854911</v>
      </c>
      <c r="M786" t="str">
        <f>IF(moras[[#This Row],[Z-Score Salario]]&gt;1.96, "Sí", "No")</f>
        <v>No</v>
      </c>
      <c r="N786" s="14">
        <f>IF(ISBLANK(moras[[#This Row],[SALARIO]]), EDA!$M$8, moras[[#This Row],[SALARIO]])</f>
        <v>350000</v>
      </c>
      <c r="O786" s="14">
        <f xml:space="preserve"> IF(ISBLANK(moras[[#This Row],[EDAD]]), EDA!$E$8, moras[[#This Row],[EDAD]])</f>
        <v>38</v>
      </c>
      <c r="P786" s="14" t="str">
        <f>IF(
    OR(ISBLANK(moras[[#This Row],[TIPO_ASEGURAMIENTO]]), moras[[#This Row],[TIPO_ASEGURAMIENTO]]=""),
    EDA!$A$32,
    moras[[#This Row],[TIPO_ASEGURAMIENTO]]
)</f>
        <v>ASALARIADO</v>
      </c>
    </row>
    <row r="787" spans="1:16" x14ac:dyDescent="0.3">
      <c r="A787">
        <v>786</v>
      </c>
      <c r="B787" t="s">
        <v>9</v>
      </c>
      <c r="C787">
        <v>85000</v>
      </c>
      <c r="D787" t="s">
        <v>10</v>
      </c>
      <c r="E787" t="s">
        <v>16</v>
      </c>
      <c r="F787" t="s">
        <v>12</v>
      </c>
      <c r="G787" t="s">
        <v>12</v>
      </c>
      <c r="H787" t="s">
        <v>12</v>
      </c>
      <c r="I787">
        <v>38</v>
      </c>
      <c r="J787">
        <f>ABS((I787-EDA!$A$15)/EDA!$B$15)</f>
        <v>0.28086100744983278</v>
      </c>
      <c r="K787" t="str">
        <f t="shared" si="12"/>
        <v>No</v>
      </c>
      <c r="L787">
        <f>ABS((C787-EDA!$F$15)/EDA!$G$15)</f>
        <v>0.37423951220528134</v>
      </c>
      <c r="M787" t="str">
        <f>IF(moras[[#This Row],[Z-Score Salario]]&gt;1.96, "Sí", "No")</f>
        <v>No</v>
      </c>
      <c r="N787" s="14">
        <f>IF(ISBLANK(moras[[#This Row],[SALARIO]]), EDA!$M$8, moras[[#This Row],[SALARIO]])</f>
        <v>85000</v>
      </c>
      <c r="O787" s="14">
        <f xml:space="preserve"> IF(ISBLANK(moras[[#This Row],[EDAD]]), EDA!$E$8, moras[[#This Row],[EDAD]])</f>
        <v>38</v>
      </c>
      <c r="P787" s="14" t="str">
        <f>IF(
    OR(ISBLANK(moras[[#This Row],[TIPO_ASEGURAMIENTO]]), moras[[#This Row],[TIPO_ASEGURAMIENTO]]=""),
    EDA!$A$32,
    moras[[#This Row],[TIPO_ASEGURAMIENTO]]
)</f>
        <v>ASALARIADO</v>
      </c>
    </row>
    <row r="788" spans="1:16" x14ac:dyDescent="0.3">
      <c r="A788">
        <v>787</v>
      </c>
      <c r="B788" t="s">
        <v>15</v>
      </c>
      <c r="C788">
        <v>6759184</v>
      </c>
      <c r="D788" t="s">
        <v>10</v>
      </c>
      <c r="E788" t="s">
        <v>16</v>
      </c>
      <c r="F788" t="s">
        <v>12</v>
      </c>
      <c r="G788" t="s">
        <v>13</v>
      </c>
      <c r="H788" t="s">
        <v>13</v>
      </c>
      <c r="I788">
        <v>32</v>
      </c>
      <c r="J788">
        <f>ABS((I788-EDA!$A$15)/EDA!$B$15)</f>
        <v>0.70431298791265773</v>
      </c>
      <c r="K788" t="str">
        <f t="shared" si="12"/>
        <v>No</v>
      </c>
      <c r="L788">
        <f>ABS((C788-EDA!$F$15)/EDA!$G$15)</f>
        <v>0.26317637905738955</v>
      </c>
      <c r="M788" t="str">
        <f>IF(moras[[#This Row],[Z-Score Salario]]&gt;1.96, "Sí", "No")</f>
        <v>No</v>
      </c>
      <c r="N788" s="14">
        <f>IF(ISBLANK(moras[[#This Row],[SALARIO]]), EDA!$M$8, moras[[#This Row],[SALARIO]])</f>
        <v>6759184</v>
      </c>
      <c r="O788" s="14">
        <f xml:space="preserve"> IF(ISBLANK(moras[[#This Row],[EDAD]]), EDA!$E$8, moras[[#This Row],[EDAD]])</f>
        <v>32</v>
      </c>
      <c r="P788" s="14" t="str">
        <f>IF(
    OR(ISBLANK(moras[[#This Row],[TIPO_ASEGURAMIENTO]]), moras[[#This Row],[TIPO_ASEGURAMIENTO]]=""),
    EDA!$A$32,
    moras[[#This Row],[TIPO_ASEGURAMIENTO]]
)</f>
        <v>ASALARIADO</v>
      </c>
    </row>
    <row r="789" spans="1:16" x14ac:dyDescent="0.3">
      <c r="A789">
        <v>788</v>
      </c>
      <c r="B789" t="s">
        <v>15</v>
      </c>
      <c r="C789">
        <v>250000</v>
      </c>
      <c r="D789" t="s">
        <v>10</v>
      </c>
      <c r="E789" t="s">
        <v>16</v>
      </c>
      <c r="F789" t="s">
        <v>12</v>
      </c>
      <c r="G789" t="s">
        <v>13</v>
      </c>
      <c r="H789" t="s">
        <v>13</v>
      </c>
      <c r="I789">
        <v>37</v>
      </c>
      <c r="J789">
        <f>ABS((I789-EDA!$A$15)/EDA!$B$15)</f>
        <v>0.35143633752697023</v>
      </c>
      <c r="K789" t="str">
        <f t="shared" si="12"/>
        <v>No</v>
      </c>
      <c r="L789">
        <f>ABS((C789-EDA!$F$15)/EDA!$G$15)</f>
        <v>0.37149379572976882</v>
      </c>
      <c r="M789" t="str">
        <f>IF(moras[[#This Row],[Z-Score Salario]]&gt;1.96, "Sí", "No")</f>
        <v>No</v>
      </c>
      <c r="N789" s="14">
        <f>IF(ISBLANK(moras[[#This Row],[SALARIO]]), EDA!$M$8, moras[[#This Row],[SALARIO]])</f>
        <v>250000</v>
      </c>
      <c r="O789" s="14">
        <f xml:space="preserve"> IF(ISBLANK(moras[[#This Row],[EDAD]]), EDA!$E$8, moras[[#This Row],[EDAD]])</f>
        <v>37</v>
      </c>
      <c r="P789" s="14" t="str">
        <f>IF(
    OR(ISBLANK(moras[[#This Row],[TIPO_ASEGURAMIENTO]]), moras[[#This Row],[TIPO_ASEGURAMIENTO]]=""),
    EDA!$A$32,
    moras[[#This Row],[TIPO_ASEGURAMIENTO]]
)</f>
        <v>ASALARIADO</v>
      </c>
    </row>
    <row r="790" spans="1:16" x14ac:dyDescent="0.3">
      <c r="A790">
        <v>789</v>
      </c>
      <c r="B790" t="s">
        <v>9</v>
      </c>
      <c r="C790">
        <v>118764948</v>
      </c>
      <c r="D790" t="s">
        <v>10</v>
      </c>
      <c r="E790" t="s">
        <v>11</v>
      </c>
      <c r="F790" t="s">
        <v>12</v>
      </c>
      <c r="G790" t="s">
        <v>13</v>
      </c>
      <c r="H790" t="s">
        <v>13</v>
      </c>
      <c r="I790">
        <v>51</v>
      </c>
      <c r="J790">
        <f>ABS((I790-EDA!$A$15)/EDA!$B$15)</f>
        <v>0.6366182835529548</v>
      </c>
      <c r="K790" t="str">
        <f t="shared" si="12"/>
        <v>No</v>
      </c>
      <c r="L790">
        <f>ABS((C790-EDA!$F$15)/EDA!$G$15)</f>
        <v>1.6006786001375721</v>
      </c>
      <c r="M790" t="str">
        <f>IF(moras[[#This Row],[Z-Score Salario]]&gt;1.96, "Sí", "No")</f>
        <v>No</v>
      </c>
      <c r="N790" s="14">
        <f>IF(ISBLANK(moras[[#This Row],[SALARIO]]), EDA!$M$8, moras[[#This Row],[SALARIO]])</f>
        <v>118764948</v>
      </c>
      <c r="O790" s="14">
        <f xml:space="preserve"> IF(ISBLANK(moras[[#This Row],[EDAD]]), EDA!$E$8, moras[[#This Row],[EDAD]])</f>
        <v>51</v>
      </c>
      <c r="P790" s="14" t="str">
        <f>IF(
    OR(ISBLANK(moras[[#This Row],[TIPO_ASEGURAMIENTO]]), moras[[#This Row],[TIPO_ASEGURAMIENTO]]=""),
    EDA!$A$32,
    moras[[#This Row],[TIPO_ASEGURAMIENTO]]
)</f>
        <v>ASALARIADO</v>
      </c>
    </row>
    <row r="791" spans="1:16" x14ac:dyDescent="0.3">
      <c r="A791">
        <v>790</v>
      </c>
      <c r="B791" t="s">
        <v>9</v>
      </c>
      <c r="C791">
        <v>33725454</v>
      </c>
      <c r="D791" t="s">
        <v>10</v>
      </c>
      <c r="E791" t="s">
        <v>16</v>
      </c>
      <c r="F791" t="s">
        <v>12</v>
      </c>
      <c r="G791" t="s">
        <v>13</v>
      </c>
      <c r="H791" t="s">
        <v>13</v>
      </c>
      <c r="I791">
        <v>38</v>
      </c>
      <c r="J791">
        <f>ABS((I791-EDA!$A$15)/EDA!$B$15)</f>
        <v>0.28086100744983278</v>
      </c>
      <c r="K791" t="str">
        <f t="shared" si="12"/>
        <v>No</v>
      </c>
      <c r="L791">
        <f>ABS((C791-EDA!$F$15)/EDA!$G$15)</f>
        <v>0.18556138956151583</v>
      </c>
      <c r="M791" t="str">
        <f>IF(moras[[#This Row],[Z-Score Salario]]&gt;1.96, "Sí", "No")</f>
        <v>No</v>
      </c>
      <c r="N791" s="14">
        <f>IF(ISBLANK(moras[[#This Row],[SALARIO]]), EDA!$M$8, moras[[#This Row],[SALARIO]])</f>
        <v>33725454</v>
      </c>
      <c r="O791" s="14">
        <f xml:space="preserve"> IF(ISBLANK(moras[[#This Row],[EDAD]]), EDA!$E$8, moras[[#This Row],[EDAD]])</f>
        <v>38</v>
      </c>
      <c r="P791" s="14" t="str">
        <f>IF(
    OR(ISBLANK(moras[[#This Row],[TIPO_ASEGURAMIENTO]]), moras[[#This Row],[TIPO_ASEGURAMIENTO]]=""),
    EDA!$A$32,
    moras[[#This Row],[TIPO_ASEGURAMIENTO]]
)</f>
        <v>ASALARIADO</v>
      </c>
    </row>
    <row r="792" spans="1:16" x14ac:dyDescent="0.3">
      <c r="A792">
        <v>791</v>
      </c>
      <c r="B792" t="s">
        <v>15</v>
      </c>
      <c r="C792">
        <v>297046</v>
      </c>
      <c r="D792" t="s">
        <v>17</v>
      </c>
      <c r="E792" t="s">
        <v>16</v>
      </c>
      <c r="F792" t="s">
        <v>12</v>
      </c>
      <c r="G792" t="s">
        <v>13</v>
      </c>
      <c r="H792" t="s">
        <v>13</v>
      </c>
      <c r="I792">
        <v>52</v>
      </c>
      <c r="J792">
        <f>ABS((I792-EDA!$A$15)/EDA!$B$15)</f>
        <v>0.70719361363009237</v>
      </c>
      <c r="K792" t="str">
        <f t="shared" si="12"/>
        <v>No</v>
      </c>
      <c r="L792">
        <f>ABS((C792-EDA!$F$15)/EDA!$G$15)</f>
        <v>0.37071091707942361</v>
      </c>
      <c r="M792" t="str">
        <f>IF(moras[[#This Row],[Z-Score Salario]]&gt;1.96, "Sí", "No")</f>
        <v>No</v>
      </c>
      <c r="N792" s="14">
        <f>IF(ISBLANK(moras[[#This Row],[SALARIO]]), EDA!$M$8, moras[[#This Row],[SALARIO]])</f>
        <v>297046</v>
      </c>
      <c r="O792" s="14">
        <f xml:space="preserve"> IF(ISBLANK(moras[[#This Row],[EDAD]]), EDA!$E$8, moras[[#This Row],[EDAD]])</f>
        <v>52</v>
      </c>
      <c r="P792" s="14" t="str">
        <f>IF(
    OR(ISBLANK(moras[[#This Row],[TIPO_ASEGURAMIENTO]]), moras[[#This Row],[TIPO_ASEGURAMIENTO]]=""),
    EDA!$A$32,
    moras[[#This Row],[TIPO_ASEGURAMIENTO]]
)</f>
        <v>ASEGURADO VOLUNTARIO</v>
      </c>
    </row>
    <row r="793" spans="1:16" x14ac:dyDescent="0.3">
      <c r="A793">
        <v>792</v>
      </c>
      <c r="B793" t="s">
        <v>15</v>
      </c>
      <c r="C793">
        <v>297102</v>
      </c>
      <c r="D793" t="s">
        <v>17</v>
      </c>
      <c r="E793" t="s">
        <v>16</v>
      </c>
      <c r="F793" t="s">
        <v>12</v>
      </c>
      <c r="G793" t="s">
        <v>13</v>
      </c>
      <c r="H793" t="s">
        <v>13</v>
      </c>
      <c r="I793">
        <v>53</v>
      </c>
      <c r="J793">
        <f>ABS((I793-EDA!$A$15)/EDA!$B$15)</f>
        <v>0.77776894370722982</v>
      </c>
      <c r="K793" t="str">
        <f t="shared" si="12"/>
        <v>No</v>
      </c>
      <c r="L793">
        <f>ABS((C793-EDA!$F$15)/EDA!$G$15)</f>
        <v>0.37070998519989251</v>
      </c>
      <c r="M793" t="str">
        <f>IF(moras[[#This Row],[Z-Score Salario]]&gt;1.96, "Sí", "No")</f>
        <v>No</v>
      </c>
      <c r="N793" s="14">
        <f>IF(ISBLANK(moras[[#This Row],[SALARIO]]), EDA!$M$8, moras[[#This Row],[SALARIO]])</f>
        <v>297102</v>
      </c>
      <c r="O793" s="14">
        <f xml:space="preserve"> IF(ISBLANK(moras[[#This Row],[EDAD]]), EDA!$E$8, moras[[#This Row],[EDAD]])</f>
        <v>53</v>
      </c>
      <c r="P793" s="14" t="str">
        <f>IF(
    OR(ISBLANK(moras[[#This Row],[TIPO_ASEGURAMIENTO]]), moras[[#This Row],[TIPO_ASEGURAMIENTO]]=""),
    EDA!$A$32,
    moras[[#This Row],[TIPO_ASEGURAMIENTO]]
)</f>
        <v>ASEGURADO VOLUNTARIO</v>
      </c>
    </row>
    <row r="794" spans="1:16" x14ac:dyDescent="0.3">
      <c r="A794">
        <v>793</v>
      </c>
      <c r="B794" t="s">
        <v>9</v>
      </c>
      <c r="C794">
        <v>1998877</v>
      </c>
      <c r="D794" t="s">
        <v>10</v>
      </c>
      <c r="E794" t="s">
        <v>11</v>
      </c>
      <c r="F794" t="s">
        <v>12</v>
      </c>
      <c r="G794" t="s">
        <v>13</v>
      </c>
      <c r="H794" t="s">
        <v>12</v>
      </c>
      <c r="I794">
        <v>50</v>
      </c>
      <c r="J794">
        <f>ABS((I794-EDA!$A$15)/EDA!$B$15)</f>
        <v>0.56604295347581735</v>
      </c>
      <c r="K794" t="str">
        <f t="shared" si="12"/>
        <v>No</v>
      </c>
      <c r="L794">
        <f>ABS((C794-EDA!$F$15)/EDA!$G$15)</f>
        <v>0.34239124789616315</v>
      </c>
      <c r="M794" t="str">
        <f>IF(moras[[#This Row],[Z-Score Salario]]&gt;1.96, "Sí", "No")</f>
        <v>No</v>
      </c>
      <c r="N794" s="14">
        <f>IF(ISBLANK(moras[[#This Row],[SALARIO]]), EDA!$M$8, moras[[#This Row],[SALARIO]])</f>
        <v>1998877</v>
      </c>
      <c r="O794" s="14">
        <f xml:space="preserve"> IF(ISBLANK(moras[[#This Row],[EDAD]]), EDA!$E$8, moras[[#This Row],[EDAD]])</f>
        <v>50</v>
      </c>
      <c r="P794" s="14" t="str">
        <f>IF(
    OR(ISBLANK(moras[[#This Row],[TIPO_ASEGURAMIENTO]]), moras[[#This Row],[TIPO_ASEGURAMIENTO]]=""),
    EDA!$A$32,
    moras[[#This Row],[TIPO_ASEGURAMIENTO]]
)</f>
        <v>ASALARIADO</v>
      </c>
    </row>
    <row r="795" spans="1:16" x14ac:dyDescent="0.3">
      <c r="A795">
        <v>794</v>
      </c>
      <c r="B795" t="s">
        <v>9</v>
      </c>
      <c r="C795">
        <v>208000</v>
      </c>
      <c r="D795" t="s">
        <v>10</v>
      </c>
      <c r="E795" t="s">
        <v>16</v>
      </c>
      <c r="F795" t="s">
        <v>12</v>
      </c>
      <c r="G795" t="s">
        <v>13</v>
      </c>
      <c r="H795" t="s">
        <v>13</v>
      </c>
      <c r="I795">
        <v>29</v>
      </c>
      <c r="J795">
        <f>ABS((I795-EDA!$A$15)/EDA!$B$15)</f>
        <v>0.91603897814407031</v>
      </c>
      <c r="K795" t="str">
        <f t="shared" si="12"/>
        <v>No</v>
      </c>
      <c r="L795">
        <f>ABS((C795-EDA!$F$15)/EDA!$G$15)</f>
        <v>0.37219270537808108</v>
      </c>
      <c r="M795" t="str">
        <f>IF(moras[[#This Row],[Z-Score Salario]]&gt;1.96, "Sí", "No")</f>
        <v>No</v>
      </c>
      <c r="N795" s="14">
        <f>IF(ISBLANK(moras[[#This Row],[SALARIO]]), EDA!$M$8, moras[[#This Row],[SALARIO]])</f>
        <v>208000</v>
      </c>
      <c r="O795" s="14">
        <f xml:space="preserve"> IF(ISBLANK(moras[[#This Row],[EDAD]]), EDA!$E$8, moras[[#This Row],[EDAD]])</f>
        <v>29</v>
      </c>
      <c r="P795" s="14" t="str">
        <f>IF(
    OR(ISBLANK(moras[[#This Row],[TIPO_ASEGURAMIENTO]]), moras[[#This Row],[TIPO_ASEGURAMIENTO]]=""),
    EDA!$A$32,
    moras[[#This Row],[TIPO_ASEGURAMIENTO]]
)</f>
        <v>ASALARIADO</v>
      </c>
    </row>
    <row r="796" spans="1:16" x14ac:dyDescent="0.3">
      <c r="A796">
        <v>795</v>
      </c>
      <c r="B796" t="s">
        <v>15</v>
      </c>
      <c r="C796">
        <v>47905166</v>
      </c>
      <c r="D796" t="s">
        <v>10</v>
      </c>
      <c r="E796" t="s">
        <v>16</v>
      </c>
      <c r="F796" t="s">
        <v>12</v>
      </c>
      <c r="G796" t="s">
        <v>13</v>
      </c>
      <c r="H796" t="s">
        <v>13</v>
      </c>
      <c r="I796">
        <v>47</v>
      </c>
      <c r="J796">
        <f>ABS((I796-EDA!$A$15)/EDA!$B$15)</f>
        <v>0.35431696324440481</v>
      </c>
      <c r="K796" t="str">
        <f t="shared" si="12"/>
        <v>No</v>
      </c>
      <c r="L796">
        <f>ABS((C796-EDA!$F$15)/EDA!$G$15)</f>
        <v>0.42152180687316909</v>
      </c>
      <c r="M796" t="str">
        <f>IF(moras[[#This Row],[Z-Score Salario]]&gt;1.96, "Sí", "No")</f>
        <v>No</v>
      </c>
      <c r="N796" s="14">
        <f>IF(ISBLANK(moras[[#This Row],[SALARIO]]), EDA!$M$8, moras[[#This Row],[SALARIO]])</f>
        <v>47905166</v>
      </c>
      <c r="O796" s="14">
        <f xml:space="preserve"> IF(ISBLANK(moras[[#This Row],[EDAD]]), EDA!$E$8, moras[[#This Row],[EDAD]])</f>
        <v>47</v>
      </c>
      <c r="P796" s="14" t="str">
        <f>IF(
    OR(ISBLANK(moras[[#This Row],[TIPO_ASEGURAMIENTO]]), moras[[#This Row],[TIPO_ASEGURAMIENTO]]=""),
    EDA!$A$32,
    moras[[#This Row],[TIPO_ASEGURAMIENTO]]
)</f>
        <v>ASALARIADO</v>
      </c>
    </row>
    <row r="797" spans="1:16" x14ac:dyDescent="0.3">
      <c r="A797">
        <v>796</v>
      </c>
      <c r="B797" t="s">
        <v>9</v>
      </c>
      <c r="C797">
        <v>114609407</v>
      </c>
      <c r="D797" t="s">
        <v>10</v>
      </c>
      <c r="E797" t="s">
        <v>11</v>
      </c>
      <c r="F797" t="s">
        <v>12</v>
      </c>
      <c r="G797" t="s">
        <v>13</v>
      </c>
      <c r="H797" t="s">
        <v>13</v>
      </c>
      <c r="I797">
        <v>48</v>
      </c>
      <c r="J797">
        <f>ABS((I797-EDA!$A$15)/EDA!$B$15)</f>
        <v>0.42489229332154227</v>
      </c>
      <c r="K797" t="str">
        <f t="shared" si="12"/>
        <v>No</v>
      </c>
      <c r="L797">
        <f>ABS((C797-EDA!$F$15)/EDA!$G$15)</f>
        <v>1.5315274644504944</v>
      </c>
      <c r="M797" t="str">
        <f>IF(moras[[#This Row],[Z-Score Salario]]&gt;1.96, "Sí", "No")</f>
        <v>No</v>
      </c>
      <c r="N797" s="14">
        <f>IF(ISBLANK(moras[[#This Row],[SALARIO]]), EDA!$M$8, moras[[#This Row],[SALARIO]])</f>
        <v>114609407</v>
      </c>
      <c r="O797" s="14">
        <f xml:space="preserve"> IF(ISBLANK(moras[[#This Row],[EDAD]]), EDA!$E$8, moras[[#This Row],[EDAD]])</f>
        <v>48</v>
      </c>
      <c r="P797" s="14" t="str">
        <f>IF(
    OR(ISBLANK(moras[[#This Row],[TIPO_ASEGURAMIENTO]]), moras[[#This Row],[TIPO_ASEGURAMIENTO]]=""),
    EDA!$A$32,
    moras[[#This Row],[TIPO_ASEGURAMIENTO]]
)</f>
        <v>ASALARIADO</v>
      </c>
    </row>
    <row r="798" spans="1:16" x14ac:dyDescent="0.3">
      <c r="A798">
        <v>797</v>
      </c>
      <c r="B798" t="s">
        <v>15</v>
      </c>
      <c r="C798">
        <v>720000</v>
      </c>
      <c r="D798" t="s">
        <v>10</v>
      </c>
      <c r="E798" t="s">
        <v>16</v>
      </c>
      <c r="F798" t="s">
        <v>12</v>
      </c>
      <c r="G798" t="s">
        <v>12</v>
      </c>
      <c r="H798" t="s">
        <v>13</v>
      </c>
      <c r="I798">
        <v>34</v>
      </c>
      <c r="J798">
        <f>ABS((I798-EDA!$A$15)/EDA!$B$15)</f>
        <v>0.56316232775838282</v>
      </c>
      <c r="K798" t="str">
        <f t="shared" si="12"/>
        <v>No</v>
      </c>
      <c r="L798">
        <f>ABS((C798-EDA!$F$15)/EDA!$G$15)</f>
        <v>0.36367266395103615</v>
      </c>
      <c r="M798" t="str">
        <f>IF(moras[[#This Row],[Z-Score Salario]]&gt;1.96, "Sí", "No")</f>
        <v>No</v>
      </c>
      <c r="N798" s="14">
        <f>IF(ISBLANK(moras[[#This Row],[SALARIO]]), EDA!$M$8, moras[[#This Row],[SALARIO]])</f>
        <v>720000</v>
      </c>
      <c r="O798" s="14">
        <f xml:space="preserve"> IF(ISBLANK(moras[[#This Row],[EDAD]]), EDA!$E$8, moras[[#This Row],[EDAD]])</f>
        <v>34</v>
      </c>
      <c r="P798" s="14" t="str">
        <f>IF(
    OR(ISBLANK(moras[[#This Row],[TIPO_ASEGURAMIENTO]]), moras[[#This Row],[TIPO_ASEGURAMIENTO]]=""),
    EDA!$A$32,
    moras[[#This Row],[TIPO_ASEGURAMIENTO]]
)</f>
        <v>ASALARIADO</v>
      </c>
    </row>
    <row r="799" spans="1:16" x14ac:dyDescent="0.3">
      <c r="A799">
        <v>798</v>
      </c>
      <c r="B799" t="s">
        <v>15</v>
      </c>
      <c r="C799">
        <v>45154984</v>
      </c>
      <c r="D799" t="s">
        <v>10</v>
      </c>
      <c r="E799" t="s">
        <v>16</v>
      </c>
      <c r="F799" t="s">
        <v>12</v>
      </c>
      <c r="G799" t="s">
        <v>13</v>
      </c>
      <c r="H799" t="s">
        <v>13</v>
      </c>
      <c r="I799">
        <v>44</v>
      </c>
      <c r="J799">
        <f>ABS((I799-EDA!$A$15)/EDA!$B$15)</f>
        <v>0.14259097301299228</v>
      </c>
      <c r="K799" t="str">
        <f t="shared" si="12"/>
        <v>No</v>
      </c>
      <c r="L799">
        <f>ABS((C799-EDA!$F$15)/EDA!$G$15)</f>
        <v>0.37575683700615081</v>
      </c>
      <c r="M799" t="str">
        <f>IF(moras[[#This Row],[Z-Score Salario]]&gt;1.96, "Sí", "No")</f>
        <v>No</v>
      </c>
      <c r="N799" s="14">
        <f>IF(ISBLANK(moras[[#This Row],[SALARIO]]), EDA!$M$8, moras[[#This Row],[SALARIO]])</f>
        <v>45154984</v>
      </c>
      <c r="O799" s="14">
        <f xml:space="preserve"> IF(ISBLANK(moras[[#This Row],[EDAD]]), EDA!$E$8, moras[[#This Row],[EDAD]])</f>
        <v>44</v>
      </c>
      <c r="P799" s="14" t="str">
        <f>IF(
    OR(ISBLANK(moras[[#This Row],[TIPO_ASEGURAMIENTO]]), moras[[#This Row],[TIPO_ASEGURAMIENTO]]=""),
    EDA!$A$32,
    moras[[#This Row],[TIPO_ASEGURAMIENTO]]
)</f>
        <v>ASALARIADO</v>
      </c>
    </row>
    <row r="800" spans="1:16" x14ac:dyDescent="0.3">
      <c r="A800">
        <v>799</v>
      </c>
      <c r="B800" t="s">
        <v>15</v>
      </c>
      <c r="C800">
        <v>382136</v>
      </c>
      <c r="D800" t="s">
        <v>18</v>
      </c>
      <c r="E800" t="s">
        <v>16</v>
      </c>
      <c r="F800" t="s">
        <v>12</v>
      </c>
      <c r="G800" t="s">
        <v>13</v>
      </c>
      <c r="H800" t="s">
        <v>12</v>
      </c>
      <c r="I800">
        <v>35</v>
      </c>
      <c r="J800">
        <f>ABS((I800-EDA!$A$15)/EDA!$B$15)</f>
        <v>0.49258699768124525</v>
      </c>
      <c r="K800" t="str">
        <f t="shared" si="12"/>
        <v>No</v>
      </c>
      <c r="L800">
        <f>ABS((C800-EDA!$F$15)/EDA!$G$15)</f>
        <v>0.36929495941335472</v>
      </c>
      <c r="M800" t="str">
        <f>IF(moras[[#This Row],[Z-Score Salario]]&gt;1.96, "Sí", "No")</f>
        <v>No</v>
      </c>
      <c r="N800" s="14">
        <f>IF(ISBLANK(moras[[#This Row],[SALARIO]]), EDA!$M$8, moras[[#This Row],[SALARIO]])</f>
        <v>382136</v>
      </c>
      <c r="O800" s="14">
        <f xml:space="preserve"> IF(ISBLANK(moras[[#This Row],[EDAD]]), EDA!$E$8, moras[[#This Row],[EDAD]])</f>
        <v>35</v>
      </c>
      <c r="P800" s="14" t="str">
        <f>IF(
    OR(ISBLANK(moras[[#This Row],[TIPO_ASEGURAMIENTO]]), moras[[#This Row],[TIPO_ASEGURAMIENTO]]=""),
    EDA!$A$32,
    moras[[#This Row],[TIPO_ASEGURAMIENTO]]
)</f>
        <v>TRABAJADOR INDEPENDIENTE</v>
      </c>
    </row>
    <row r="801" spans="1:16" x14ac:dyDescent="0.3">
      <c r="A801">
        <v>800</v>
      </c>
      <c r="B801" t="s">
        <v>9</v>
      </c>
      <c r="C801">
        <v>200000</v>
      </c>
      <c r="D801" t="s">
        <v>10</v>
      </c>
      <c r="E801" t="s">
        <v>16</v>
      </c>
      <c r="F801" t="s">
        <v>12</v>
      </c>
      <c r="G801" t="s">
        <v>13</v>
      </c>
      <c r="H801" t="s">
        <v>13</v>
      </c>
      <c r="I801">
        <v>38</v>
      </c>
      <c r="J801">
        <f>ABS((I801-EDA!$A$15)/EDA!$B$15)</f>
        <v>0.28086100744983278</v>
      </c>
      <c r="K801" t="str">
        <f t="shared" si="12"/>
        <v>No</v>
      </c>
      <c r="L801">
        <f>ABS((C801-EDA!$F$15)/EDA!$G$15)</f>
        <v>0.3723258310253787</v>
      </c>
      <c r="M801" t="str">
        <f>IF(moras[[#This Row],[Z-Score Salario]]&gt;1.96, "Sí", "No")</f>
        <v>No</v>
      </c>
      <c r="N801" s="14">
        <f>IF(ISBLANK(moras[[#This Row],[SALARIO]]), EDA!$M$8, moras[[#This Row],[SALARIO]])</f>
        <v>200000</v>
      </c>
      <c r="O801" s="14">
        <f xml:space="preserve"> IF(ISBLANK(moras[[#This Row],[EDAD]]), EDA!$E$8, moras[[#This Row],[EDAD]])</f>
        <v>38</v>
      </c>
      <c r="P801" s="14" t="str">
        <f>IF(
    OR(ISBLANK(moras[[#This Row],[TIPO_ASEGURAMIENTO]]), moras[[#This Row],[TIPO_ASEGURAMIENTO]]=""),
    EDA!$A$32,
    moras[[#This Row],[TIPO_ASEGURAMIENTO]]
)</f>
        <v>ASALARIADO</v>
      </c>
    </row>
    <row r="802" spans="1:16" x14ac:dyDescent="0.3">
      <c r="A802">
        <v>801</v>
      </c>
      <c r="B802" t="s">
        <v>9</v>
      </c>
      <c r="C802">
        <v>1017758</v>
      </c>
      <c r="D802" t="s">
        <v>18</v>
      </c>
      <c r="E802" t="s">
        <v>16</v>
      </c>
      <c r="F802" t="s">
        <v>12</v>
      </c>
      <c r="G802" t="s">
        <v>13</v>
      </c>
      <c r="H802" t="s">
        <v>13</v>
      </c>
      <c r="I802">
        <v>61</v>
      </c>
      <c r="J802">
        <f>ABS((I802-EDA!$A$15)/EDA!$B$15)</f>
        <v>1.3423715843243298</v>
      </c>
      <c r="K802" t="str">
        <f t="shared" si="12"/>
        <v>No</v>
      </c>
      <c r="L802">
        <f>ABS((C802-EDA!$F$15)/EDA!$G$15)</f>
        <v>0.35871776064003214</v>
      </c>
      <c r="M802" t="str">
        <f>IF(moras[[#This Row],[Z-Score Salario]]&gt;1.96, "Sí", "No")</f>
        <v>No</v>
      </c>
      <c r="N802" s="14">
        <f>IF(ISBLANK(moras[[#This Row],[SALARIO]]), EDA!$M$8, moras[[#This Row],[SALARIO]])</f>
        <v>1017758</v>
      </c>
      <c r="O802" s="14">
        <f xml:space="preserve"> IF(ISBLANK(moras[[#This Row],[EDAD]]), EDA!$E$8, moras[[#This Row],[EDAD]])</f>
        <v>61</v>
      </c>
      <c r="P802" s="14" t="str">
        <f>IF(
    OR(ISBLANK(moras[[#This Row],[TIPO_ASEGURAMIENTO]]), moras[[#This Row],[TIPO_ASEGURAMIENTO]]=""),
    EDA!$A$32,
    moras[[#This Row],[TIPO_ASEGURAMIENTO]]
)</f>
        <v>TRABAJADOR INDEPENDIENTE</v>
      </c>
    </row>
    <row r="803" spans="1:16" x14ac:dyDescent="0.3">
      <c r="A803">
        <v>802</v>
      </c>
      <c r="B803" t="s">
        <v>15</v>
      </c>
      <c r="C803">
        <v>76951515</v>
      </c>
      <c r="D803" t="s">
        <v>10</v>
      </c>
      <c r="E803" t="s">
        <v>11</v>
      </c>
      <c r="F803" t="s">
        <v>12</v>
      </c>
      <c r="G803" t="s">
        <v>13</v>
      </c>
      <c r="H803" t="s">
        <v>13</v>
      </c>
      <c r="I803">
        <v>42</v>
      </c>
      <c r="J803">
        <f>ABS((I803-EDA!$A$15)/EDA!$B$15)</f>
        <v>1.4403128587172659E-3</v>
      </c>
      <c r="K803" t="str">
        <f t="shared" si="12"/>
        <v>No</v>
      </c>
      <c r="L803">
        <f>ABS((C803-EDA!$F$15)/EDA!$G$15)</f>
        <v>0.90487355840521166</v>
      </c>
      <c r="M803" t="str">
        <f>IF(moras[[#This Row],[Z-Score Salario]]&gt;1.96, "Sí", "No")</f>
        <v>No</v>
      </c>
      <c r="N803" s="14">
        <f>IF(ISBLANK(moras[[#This Row],[SALARIO]]), EDA!$M$8, moras[[#This Row],[SALARIO]])</f>
        <v>76951515</v>
      </c>
      <c r="O803" s="14">
        <f xml:space="preserve"> IF(ISBLANK(moras[[#This Row],[EDAD]]), EDA!$E$8, moras[[#This Row],[EDAD]])</f>
        <v>42</v>
      </c>
      <c r="P803" s="14" t="str">
        <f>IF(
    OR(ISBLANK(moras[[#This Row],[TIPO_ASEGURAMIENTO]]), moras[[#This Row],[TIPO_ASEGURAMIENTO]]=""),
    EDA!$A$32,
    moras[[#This Row],[TIPO_ASEGURAMIENTO]]
)</f>
        <v>ASALARIADO</v>
      </c>
    </row>
    <row r="804" spans="1:16" x14ac:dyDescent="0.3">
      <c r="A804">
        <v>803</v>
      </c>
      <c r="B804" t="s">
        <v>15</v>
      </c>
      <c r="C804">
        <v>938855</v>
      </c>
      <c r="D804" t="s">
        <v>14</v>
      </c>
      <c r="E804" t="s">
        <v>11</v>
      </c>
      <c r="F804" t="s">
        <v>12</v>
      </c>
      <c r="G804" t="s">
        <v>13</v>
      </c>
      <c r="H804" t="s">
        <v>13</v>
      </c>
      <c r="I804">
        <v>73</v>
      </c>
      <c r="J804">
        <f>ABS((I804-EDA!$A$15)/EDA!$B$15)</f>
        <v>2.1892755452499797</v>
      </c>
      <c r="K804" t="str">
        <f t="shared" si="12"/>
        <v>Sí</v>
      </c>
      <c r="L804">
        <f>ABS((C804-EDA!$F$15)/EDA!$G$15)</f>
        <v>0.36003076225862224</v>
      </c>
      <c r="M804" t="str">
        <f>IF(moras[[#This Row],[Z-Score Salario]]&gt;1.96, "Sí", "No")</f>
        <v>No</v>
      </c>
      <c r="N804" s="14">
        <f>IF(ISBLANK(moras[[#This Row],[SALARIO]]), EDA!$M$8, moras[[#This Row],[SALARIO]])</f>
        <v>938855</v>
      </c>
      <c r="O804" s="14">
        <f xml:space="preserve"> IF(ISBLANK(moras[[#This Row],[EDAD]]), EDA!$E$8, moras[[#This Row],[EDAD]])</f>
        <v>73</v>
      </c>
      <c r="P804" s="14" t="str">
        <f>IF(
    OR(ISBLANK(moras[[#This Row],[TIPO_ASEGURAMIENTO]]), moras[[#This Row],[TIPO_ASEGURAMIENTO]]=""),
    EDA!$A$32,
    moras[[#This Row],[TIPO_ASEGURAMIENTO]]
)</f>
        <v>PENSIONADOS EN SU PROPIO SISTEMA</v>
      </c>
    </row>
    <row r="805" spans="1:16" x14ac:dyDescent="0.3">
      <c r="A805">
        <v>804</v>
      </c>
      <c r="B805" t="s">
        <v>9</v>
      </c>
      <c r="C805">
        <v>75000</v>
      </c>
      <c r="D805" t="s">
        <v>10</v>
      </c>
      <c r="E805" t="s">
        <v>16</v>
      </c>
      <c r="F805" t="s">
        <v>12</v>
      </c>
      <c r="G805" t="s">
        <v>13</v>
      </c>
      <c r="H805" t="s">
        <v>13</v>
      </c>
      <c r="I805">
        <v>26</v>
      </c>
      <c r="J805">
        <f>ABS((I805-EDA!$A$15)/EDA!$B$15)</f>
        <v>1.1277649683754829</v>
      </c>
      <c r="K805" t="str">
        <f t="shared" si="12"/>
        <v>No</v>
      </c>
      <c r="L805">
        <f>ABS((C805-EDA!$F$15)/EDA!$G$15)</f>
        <v>0.37440591926440331</v>
      </c>
      <c r="M805" t="str">
        <f>IF(moras[[#This Row],[Z-Score Salario]]&gt;1.96, "Sí", "No")</f>
        <v>No</v>
      </c>
      <c r="N805" s="14">
        <f>IF(ISBLANK(moras[[#This Row],[SALARIO]]), EDA!$M$8, moras[[#This Row],[SALARIO]])</f>
        <v>75000</v>
      </c>
      <c r="O805" s="14">
        <f xml:space="preserve"> IF(ISBLANK(moras[[#This Row],[EDAD]]), EDA!$E$8, moras[[#This Row],[EDAD]])</f>
        <v>26</v>
      </c>
      <c r="P805" s="14" t="str">
        <f>IF(
    OR(ISBLANK(moras[[#This Row],[TIPO_ASEGURAMIENTO]]), moras[[#This Row],[TIPO_ASEGURAMIENTO]]=""),
    EDA!$A$32,
    moras[[#This Row],[TIPO_ASEGURAMIENTO]]
)</f>
        <v>ASALARIADO</v>
      </c>
    </row>
    <row r="806" spans="1:16" x14ac:dyDescent="0.3">
      <c r="A806">
        <v>805</v>
      </c>
      <c r="B806" t="s">
        <v>15</v>
      </c>
      <c r="C806">
        <v>43000709</v>
      </c>
      <c r="D806" t="s">
        <v>10</v>
      </c>
      <c r="E806" t="s">
        <v>16</v>
      </c>
      <c r="F806" t="s">
        <v>12</v>
      </c>
      <c r="G806" t="s">
        <v>13</v>
      </c>
      <c r="H806" t="s">
        <v>13</v>
      </c>
      <c r="I806">
        <v>25</v>
      </c>
      <c r="J806">
        <f>ABS((I806-EDA!$A$15)/EDA!$B$15)</f>
        <v>1.1983402984526204</v>
      </c>
      <c r="K806" t="str">
        <f t="shared" si="12"/>
        <v>No</v>
      </c>
      <c r="L806">
        <f>ABS((C806-EDA!$F$15)/EDA!$G$15)</f>
        <v>0.33990818027715225</v>
      </c>
      <c r="M806" t="str">
        <f>IF(moras[[#This Row],[Z-Score Salario]]&gt;1.96, "Sí", "No")</f>
        <v>No</v>
      </c>
      <c r="N806" s="14">
        <f>IF(ISBLANK(moras[[#This Row],[SALARIO]]), EDA!$M$8, moras[[#This Row],[SALARIO]])</f>
        <v>43000709</v>
      </c>
      <c r="O806" s="14">
        <f xml:space="preserve"> IF(ISBLANK(moras[[#This Row],[EDAD]]), EDA!$E$8, moras[[#This Row],[EDAD]])</f>
        <v>25</v>
      </c>
      <c r="P806" s="14" t="str">
        <f>IF(
    OR(ISBLANK(moras[[#This Row],[TIPO_ASEGURAMIENTO]]), moras[[#This Row],[TIPO_ASEGURAMIENTO]]=""),
    EDA!$A$32,
    moras[[#This Row],[TIPO_ASEGURAMIENTO]]
)</f>
        <v>ASALARIADO</v>
      </c>
    </row>
    <row r="807" spans="1:16" x14ac:dyDescent="0.3">
      <c r="A807">
        <v>806</v>
      </c>
      <c r="B807" t="s">
        <v>9</v>
      </c>
      <c r="C807">
        <v>533558</v>
      </c>
      <c r="D807" t="s">
        <v>18</v>
      </c>
      <c r="E807" t="s">
        <v>16</v>
      </c>
      <c r="F807" t="s">
        <v>12</v>
      </c>
      <c r="G807" t="s">
        <v>12</v>
      </c>
      <c r="H807" t="s">
        <v>12</v>
      </c>
      <c r="I807">
        <v>41</v>
      </c>
      <c r="J807">
        <f>ABS((I807-EDA!$A$15)/EDA!$B$15)</f>
        <v>6.9135017218420233E-2</v>
      </c>
      <c r="K807" t="str">
        <f t="shared" si="12"/>
        <v>No</v>
      </c>
      <c r="L807">
        <f>ABS((C807-EDA!$F$15)/EDA!$G$15)</f>
        <v>0.366775190442718</v>
      </c>
      <c r="M807" t="str">
        <f>IF(moras[[#This Row],[Z-Score Salario]]&gt;1.96, "Sí", "No")</f>
        <v>No</v>
      </c>
      <c r="N807" s="14">
        <f>IF(ISBLANK(moras[[#This Row],[SALARIO]]), EDA!$M$8, moras[[#This Row],[SALARIO]])</f>
        <v>533558</v>
      </c>
      <c r="O807" s="14">
        <f xml:space="preserve"> IF(ISBLANK(moras[[#This Row],[EDAD]]), EDA!$E$8, moras[[#This Row],[EDAD]])</f>
        <v>41</v>
      </c>
      <c r="P807" s="14" t="str">
        <f>IF(
    OR(ISBLANK(moras[[#This Row],[TIPO_ASEGURAMIENTO]]), moras[[#This Row],[TIPO_ASEGURAMIENTO]]=""),
    EDA!$A$32,
    moras[[#This Row],[TIPO_ASEGURAMIENTO]]
)</f>
        <v>TRABAJADOR INDEPENDIENTE</v>
      </c>
    </row>
    <row r="808" spans="1:16" x14ac:dyDescent="0.3">
      <c r="A808">
        <v>807</v>
      </c>
      <c r="B808" t="s">
        <v>15</v>
      </c>
      <c r="C808">
        <v>347514</v>
      </c>
      <c r="D808" t="s">
        <v>10</v>
      </c>
      <c r="E808" t="s">
        <v>16</v>
      </c>
      <c r="F808" t="s">
        <v>12</v>
      </c>
      <c r="G808" t="s">
        <v>13</v>
      </c>
      <c r="H808" t="s">
        <v>13</v>
      </c>
      <c r="I808">
        <v>20</v>
      </c>
      <c r="J808">
        <f>ABS((I808-EDA!$A$15)/EDA!$B$15)</f>
        <v>1.5512169488383079</v>
      </c>
      <c r="K808" t="str">
        <f t="shared" si="12"/>
        <v>No</v>
      </c>
      <c r="L808">
        <f>ABS((C808-EDA!$F$15)/EDA!$G$15)</f>
        <v>0.3698710939334468</v>
      </c>
      <c r="M808" t="str">
        <f>IF(moras[[#This Row],[Z-Score Salario]]&gt;1.96, "Sí", "No")</f>
        <v>No</v>
      </c>
      <c r="N808" s="14">
        <f>IF(ISBLANK(moras[[#This Row],[SALARIO]]), EDA!$M$8, moras[[#This Row],[SALARIO]])</f>
        <v>347514</v>
      </c>
      <c r="O808" s="14">
        <f xml:space="preserve"> IF(ISBLANK(moras[[#This Row],[EDAD]]), EDA!$E$8, moras[[#This Row],[EDAD]])</f>
        <v>20</v>
      </c>
      <c r="P808" s="14" t="str">
        <f>IF(
    OR(ISBLANK(moras[[#This Row],[TIPO_ASEGURAMIENTO]]), moras[[#This Row],[TIPO_ASEGURAMIENTO]]=""),
    EDA!$A$32,
    moras[[#This Row],[TIPO_ASEGURAMIENTO]]
)</f>
        <v>ASALARIADO</v>
      </c>
    </row>
    <row r="809" spans="1:16" x14ac:dyDescent="0.3">
      <c r="A809">
        <v>808</v>
      </c>
      <c r="B809" t="s">
        <v>9</v>
      </c>
      <c r="C809">
        <v>226500</v>
      </c>
      <c r="D809" t="s">
        <v>10</v>
      </c>
      <c r="E809" t="s">
        <v>16</v>
      </c>
      <c r="F809" t="s">
        <v>12</v>
      </c>
      <c r="G809" t="s">
        <v>13</v>
      </c>
      <c r="H809" t="s">
        <v>13</v>
      </c>
      <c r="I809">
        <v>35</v>
      </c>
      <c r="J809">
        <f>ABS((I809-EDA!$A$15)/EDA!$B$15)</f>
        <v>0.49258699768124525</v>
      </c>
      <c r="K809" t="str">
        <f t="shared" si="12"/>
        <v>No</v>
      </c>
      <c r="L809">
        <f>ABS((C809-EDA!$F$15)/EDA!$G$15)</f>
        <v>0.37188485231870544</v>
      </c>
      <c r="M809" t="str">
        <f>IF(moras[[#This Row],[Z-Score Salario]]&gt;1.96, "Sí", "No")</f>
        <v>No</v>
      </c>
      <c r="N809" s="14">
        <f>IF(ISBLANK(moras[[#This Row],[SALARIO]]), EDA!$M$8, moras[[#This Row],[SALARIO]])</f>
        <v>226500</v>
      </c>
      <c r="O809" s="14">
        <f xml:space="preserve"> IF(ISBLANK(moras[[#This Row],[EDAD]]), EDA!$E$8, moras[[#This Row],[EDAD]])</f>
        <v>35</v>
      </c>
      <c r="P809" s="14" t="str">
        <f>IF(
    OR(ISBLANK(moras[[#This Row],[TIPO_ASEGURAMIENTO]]), moras[[#This Row],[TIPO_ASEGURAMIENTO]]=""),
    EDA!$A$32,
    moras[[#This Row],[TIPO_ASEGURAMIENTO]]
)</f>
        <v>ASALARIADO</v>
      </c>
    </row>
    <row r="810" spans="1:16" x14ac:dyDescent="0.3">
      <c r="A810">
        <v>809</v>
      </c>
      <c r="B810" t="s">
        <v>15</v>
      </c>
      <c r="C810">
        <v>545926</v>
      </c>
      <c r="D810" t="s">
        <v>18</v>
      </c>
      <c r="E810" t="s">
        <v>16</v>
      </c>
      <c r="F810" t="s">
        <v>12</v>
      </c>
      <c r="G810" t="s">
        <v>13</v>
      </c>
      <c r="H810" t="s">
        <v>13</v>
      </c>
      <c r="I810">
        <v>40</v>
      </c>
      <c r="J810">
        <f>ABS((I810-EDA!$A$15)/EDA!$B$15)</f>
        <v>0.13971034729555773</v>
      </c>
      <c r="K810" t="str">
        <f t="shared" si="12"/>
        <v>No</v>
      </c>
      <c r="L810">
        <f>ABS((C810-EDA!$F$15)/EDA!$G$15)</f>
        <v>0.36656937819199598</v>
      </c>
      <c r="M810" t="str">
        <f>IF(moras[[#This Row],[Z-Score Salario]]&gt;1.96, "Sí", "No")</f>
        <v>No</v>
      </c>
      <c r="N810" s="14">
        <f>IF(ISBLANK(moras[[#This Row],[SALARIO]]), EDA!$M$8, moras[[#This Row],[SALARIO]])</f>
        <v>545926</v>
      </c>
      <c r="O810" s="14">
        <f xml:space="preserve"> IF(ISBLANK(moras[[#This Row],[EDAD]]), EDA!$E$8, moras[[#This Row],[EDAD]])</f>
        <v>40</v>
      </c>
      <c r="P810" s="14" t="str">
        <f>IF(
    OR(ISBLANK(moras[[#This Row],[TIPO_ASEGURAMIENTO]]), moras[[#This Row],[TIPO_ASEGURAMIENTO]]=""),
    EDA!$A$32,
    moras[[#This Row],[TIPO_ASEGURAMIENTO]]
)</f>
        <v>TRABAJADOR INDEPENDIENTE</v>
      </c>
    </row>
    <row r="811" spans="1:16" x14ac:dyDescent="0.3">
      <c r="A811">
        <v>810</v>
      </c>
      <c r="B811" t="s">
        <v>9</v>
      </c>
      <c r="C811">
        <v>289717</v>
      </c>
      <c r="D811" t="s">
        <v>18</v>
      </c>
      <c r="E811" t="s">
        <v>16</v>
      </c>
      <c r="F811" t="s">
        <v>12</v>
      </c>
      <c r="G811" t="s">
        <v>13</v>
      </c>
      <c r="H811" t="s">
        <v>12</v>
      </c>
      <c r="I811">
        <v>30</v>
      </c>
      <c r="J811">
        <f>ABS((I811-EDA!$A$15)/EDA!$B$15)</f>
        <v>0.84546364806693275</v>
      </c>
      <c r="K811" t="str">
        <f t="shared" si="12"/>
        <v>No</v>
      </c>
      <c r="L811">
        <f>ABS((C811-EDA!$F$15)/EDA!$G$15)</f>
        <v>0.3708328768130541</v>
      </c>
      <c r="M811" t="str">
        <f>IF(moras[[#This Row],[Z-Score Salario]]&gt;1.96, "Sí", "No")</f>
        <v>No</v>
      </c>
      <c r="N811" s="14">
        <f>IF(ISBLANK(moras[[#This Row],[SALARIO]]), EDA!$M$8, moras[[#This Row],[SALARIO]])</f>
        <v>289717</v>
      </c>
      <c r="O811" s="14">
        <f xml:space="preserve"> IF(ISBLANK(moras[[#This Row],[EDAD]]), EDA!$E$8, moras[[#This Row],[EDAD]])</f>
        <v>30</v>
      </c>
      <c r="P811" s="14" t="str">
        <f>IF(
    OR(ISBLANK(moras[[#This Row],[TIPO_ASEGURAMIENTO]]), moras[[#This Row],[TIPO_ASEGURAMIENTO]]=""),
    EDA!$A$32,
    moras[[#This Row],[TIPO_ASEGURAMIENTO]]
)</f>
        <v>TRABAJADOR INDEPENDIENTE</v>
      </c>
    </row>
    <row r="812" spans="1:16" x14ac:dyDescent="0.3">
      <c r="A812">
        <v>811</v>
      </c>
      <c r="B812" t="s">
        <v>9</v>
      </c>
      <c r="C812">
        <v>1765910</v>
      </c>
      <c r="D812" t="s">
        <v>10</v>
      </c>
      <c r="E812" t="s">
        <v>16</v>
      </c>
      <c r="F812" t="s">
        <v>12</v>
      </c>
      <c r="G812" t="s">
        <v>13</v>
      </c>
      <c r="H812" t="s">
        <v>13</v>
      </c>
      <c r="I812">
        <v>56</v>
      </c>
      <c r="J812">
        <f>ABS((I812-EDA!$A$15)/EDA!$B$15)</f>
        <v>0.9894949339386423</v>
      </c>
      <c r="K812" t="str">
        <f t="shared" si="12"/>
        <v>No</v>
      </c>
      <c r="L812">
        <f>ABS((C812-EDA!$F$15)/EDA!$G$15)</f>
        <v>0.34626798323040997</v>
      </c>
      <c r="M812" t="str">
        <f>IF(moras[[#This Row],[Z-Score Salario]]&gt;1.96, "Sí", "No")</f>
        <v>No</v>
      </c>
      <c r="N812" s="14">
        <f>IF(ISBLANK(moras[[#This Row],[SALARIO]]), EDA!$M$8, moras[[#This Row],[SALARIO]])</f>
        <v>1765910</v>
      </c>
      <c r="O812" s="14">
        <f xml:space="preserve"> IF(ISBLANK(moras[[#This Row],[EDAD]]), EDA!$E$8, moras[[#This Row],[EDAD]])</f>
        <v>56</v>
      </c>
      <c r="P812" s="14" t="str">
        <f>IF(
    OR(ISBLANK(moras[[#This Row],[TIPO_ASEGURAMIENTO]]), moras[[#This Row],[TIPO_ASEGURAMIENTO]]=""),
    EDA!$A$32,
    moras[[#This Row],[TIPO_ASEGURAMIENTO]]
)</f>
        <v>ASALARIADO</v>
      </c>
    </row>
    <row r="813" spans="1:16" x14ac:dyDescent="0.3">
      <c r="A813">
        <v>812</v>
      </c>
      <c r="B813" t="s">
        <v>9</v>
      </c>
      <c r="C813">
        <v>35311982</v>
      </c>
      <c r="D813" t="s">
        <v>10</v>
      </c>
      <c r="E813" t="s">
        <v>16</v>
      </c>
      <c r="F813" t="s">
        <v>12</v>
      </c>
      <c r="G813" t="s">
        <v>13</v>
      </c>
      <c r="H813" t="s">
        <v>13</v>
      </c>
      <c r="I813">
        <v>36</v>
      </c>
      <c r="J813">
        <f>ABS((I813-EDA!$A$15)/EDA!$B$15)</f>
        <v>0.42201166760410774</v>
      </c>
      <c r="K813" t="str">
        <f t="shared" si="12"/>
        <v>No</v>
      </c>
      <c r="L813">
        <f>ABS((C813-EDA!$F$15)/EDA!$G$15)</f>
        <v>0.2119623354309822</v>
      </c>
      <c r="M813" t="str">
        <f>IF(moras[[#This Row],[Z-Score Salario]]&gt;1.96, "Sí", "No")</f>
        <v>No</v>
      </c>
      <c r="N813" s="14">
        <f>IF(ISBLANK(moras[[#This Row],[SALARIO]]), EDA!$M$8, moras[[#This Row],[SALARIO]])</f>
        <v>35311982</v>
      </c>
      <c r="O813" s="14">
        <f xml:space="preserve"> IF(ISBLANK(moras[[#This Row],[EDAD]]), EDA!$E$8, moras[[#This Row],[EDAD]])</f>
        <v>36</v>
      </c>
      <c r="P813" s="14" t="str">
        <f>IF(
    OR(ISBLANK(moras[[#This Row],[TIPO_ASEGURAMIENTO]]), moras[[#This Row],[TIPO_ASEGURAMIENTO]]=""),
    EDA!$A$32,
    moras[[#This Row],[TIPO_ASEGURAMIENTO]]
)</f>
        <v>ASALARIADO</v>
      </c>
    </row>
    <row r="814" spans="1:16" x14ac:dyDescent="0.3">
      <c r="A814">
        <v>813</v>
      </c>
      <c r="B814" t="s">
        <v>15</v>
      </c>
      <c r="C814">
        <v>4423075</v>
      </c>
      <c r="D814" t="s">
        <v>10</v>
      </c>
      <c r="E814" t="s">
        <v>16</v>
      </c>
      <c r="F814" t="s">
        <v>12</v>
      </c>
      <c r="G814" t="s">
        <v>13</v>
      </c>
      <c r="H814" t="s">
        <v>13</v>
      </c>
      <c r="I814">
        <v>32</v>
      </c>
      <c r="J814">
        <f>ABS((I814-EDA!$A$15)/EDA!$B$15)</f>
        <v>0.70431298791265773</v>
      </c>
      <c r="K814" t="str">
        <f t="shared" si="12"/>
        <v>No</v>
      </c>
      <c r="L814">
        <f>ABS((C814-EDA!$F$15)/EDA!$G$15)</f>
        <v>0.30205088190522655</v>
      </c>
      <c r="M814" t="str">
        <f>IF(moras[[#This Row],[Z-Score Salario]]&gt;1.96, "Sí", "No")</f>
        <v>No</v>
      </c>
      <c r="N814" s="14">
        <f>IF(ISBLANK(moras[[#This Row],[SALARIO]]), EDA!$M$8, moras[[#This Row],[SALARIO]])</f>
        <v>4423075</v>
      </c>
      <c r="O814" s="14">
        <f xml:space="preserve"> IF(ISBLANK(moras[[#This Row],[EDAD]]), EDA!$E$8, moras[[#This Row],[EDAD]])</f>
        <v>32</v>
      </c>
      <c r="P814" s="14" t="str">
        <f>IF(
    OR(ISBLANK(moras[[#This Row],[TIPO_ASEGURAMIENTO]]), moras[[#This Row],[TIPO_ASEGURAMIENTO]]=""),
    EDA!$A$32,
    moras[[#This Row],[TIPO_ASEGURAMIENTO]]
)</f>
        <v>ASALARIADO</v>
      </c>
    </row>
    <row r="815" spans="1:16" x14ac:dyDescent="0.3">
      <c r="A815">
        <v>814</v>
      </c>
      <c r="B815" t="s">
        <v>9</v>
      </c>
      <c r="C815">
        <v>382136</v>
      </c>
      <c r="D815" t="s">
        <v>18</v>
      </c>
      <c r="E815" t="s">
        <v>16</v>
      </c>
      <c r="F815" t="s">
        <v>12</v>
      </c>
      <c r="G815" t="s">
        <v>13</v>
      </c>
      <c r="H815" t="s">
        <v>12</v>
      </c>
      <c r="I815">
        <v>46</v>
      </c>
      <c r="J815">
        <f>ABS((I815-EDA!$A$15)/EDA!$B$15)</f>
        <v>0.2837416331672673</v>
      </c>
      <c r="K815" t="str">
        <f t="shared" si="12"/>
        <v>No</v>
      </c>
      <c r="L815">
        <f>ABS((C815-EDA!$F$15)/EDA!$G$15)</f>
        <v>0.36929495941335472</v>
      </c>
      <c r="M815" t="str">
        <f>IF(moras[[#This Row],[Z-Score Salario]]&gt;1.96, "Sí", "No")</f>
        <v>No</v>
      </c>
      <c r="N815" s="14">
        <f>IF(ISBLANK(moras[[#This Row],[SALARIO]]), EDA!$M$8, moras[[#This Row],[SALARIO]])</f>
        <v>382136</v>
      </c>
      <c r="O815" s="14">
        <f xml:space="preserve"> IF(ISBLANK(moras[[#This Row],[EDAD]]), EDA!$E$8, moras[[#This Row],[EDAD]])</f>
        <v>46</v>
      </c>
      <c r="P815" s="14" t="str">
        <f>IF(
    OR(ISBLANK(moras[[#This Row],[TIPO_ASEGURAMIENTO]]), moras[[#This Row],[TIPO_ASEGURAMIENTO]]=""),
    EDA!$A$32,
    moras[[#This Row],[TIPO_ASEGURAMIENTO]]
)</f>
        <v>TRABAJADOR INDEPENDIENTE</v>
      </c>
    </row>
    <row r="816" spans="1:16" x14ac:dyDescent="0.3">
      <c r="A816">
        <v>815</v>
      </c>
      <c r="B816" t="s">
        <v>15</v>
      </c>
      <c r="C816">
        <v>115500</v>
      </c>
      <c r="D816" t="s">
        <v>10</v>
      </c>
      <c r="E816" t="s">
        <v>16</v>
      </c>
      <c r="F816" t="s">
        <v>12</v>
      </c>
      <c r="G816" t="s">
        <v>13</v>
      </c>
      <c r="H816" t="s">
        <v>13</v>
      </c>
      <c r="I816">
        <v>51</v>
      </c>
      <c r="J816">
        <f>ABS((I816-EDA!$A$15)/EDA!$B$15)</f>
        <v>0.6366182835529548</v>
      </c>
      <c r="K816" t="str">
        <f t="shared" si="12"/>
        <v>No</v>
      </c>
      <c r="L816">
        <f>ABS((C816-EDA!$F$15)/EDA!$G$15)</f>
        <v>0.37373197067495934</v>
      </c>
      <c r="M816" t="str">
        <f>IF(moras[[#This Row],[Z-Score Salario]]&gt;1.96, "Sí", "No")</f>
        <v>No</v>
      </c>
      <c r="N816" s="14">
        <f>IF(ISBLANK(moras[[#This Row],[SALARIO]]), EDA!$M$8, moras[[#This Row],[SALARIO]])</f>
        <v>115500</v>
      </c>
      <c r="O816" s="14">
        <f xml:space="preserve"> IF(ISBLANK(moras[[#This Row],[EDAD]]), EDA!$E$8, moras[[#This Row],[EDAD]])</f>
        <v>51</v>
      </c>
      <c r="P816" s="14" t="str">
        <f>IF(
    OR(ISBLANK(moras[[#This Row],[TIPO_ASEGURAMIENTO]]), moras[[#This Row],[TIPO_ASEGURAMIENTO]]=""),
    EDA!$A$32,
    moras[[#This Row],[TIPO_ASEGURAMIENTO]]
)</f>
        <v>ASALARIADO</v>
      </c>
    </row>
    <row r="817" spans="1:16" x14ac:dyDescent="0.3">
      <c r="A817">
        <v>816</v>
      </c>
      <c r="B817" t="s">
        <v>15</v>
      </c>
      <c r="C817">
        <v>328989256</v>
      </c>
      <c r="D817" t="s">
        <v>10</v>
      </c>
      <c r="E817" t="s">
        <v>11</v>
      </c>
      <c r="F817" t="s">
        <v>12</v>
      </c>
      <c r="G817" t="s">
        <v>13</v>
      </c>
      <c r="H817" t="s">
        <v>13</v>
      </c>
      <c r="I817">
        <v>43</v>
      </c>
      <c r="J817">
        <f>ABS((I817-EDA!$A$15)/EDA!$B$15)</f>
        <v>7.2015642935854773E-2</v>
      </c>
      <c r="K817" t="str">
        <f t="shared" si="12"/>
        <v>No</v>
      </c>
      <c r="L817">
        <f>ABS((C817-EDA!$F$15)/EDA!$G$15)</f>
        <v>5.0989594851607327</v>
      </c>
      <c r="M817" t="str">
        <f>IF(moras[[#This Row],[Z-Score Salario]]&gt;1.96, "Sí", "No")</f>
        <v>Sí</v>
      </c>
      <c r="N817" s="14">
        <f>IF(ISBLANK(moras[[#This Row],[SALARIO]]), EDA!$M$8, moras[[#This Row],[SALARIO]])</f>
        <v>328989256</v>
      </c>
      <c r="O817" s="14">
        <f xml:space="preserve"> IF(ISBLANK(moras[[#This Row],[EDAD]]), EDA!$E$8, moras[[#This Row],[EDAD]])</f>
        <v>43</v>
      </c>
      <c r="P817" s="14" t="str">
        <f>IF(
    OR(ISBLANK(moras[[#This Row],[TIPO_ASEGURAMIENTO]]), moras[[#This Row],[TIPO_ASEGURAMIENTO]]=""),
    EDA!$A$32,
    moras[[#This Row],[TIPO_ASEGURAMIENTO]]
)</f>
        <v>ASALARIADO</v>
      </c>
    </row>
    <row r="818" spans="1:16" x14ac:dyDescent="0.3">
      <c r="A818">
        <v>817</v>
      </c>
      <c r="B818" t="s">
        <v>9</v>
      </c>
      <c r="C818">
        <v>8926875</v>
      </c>
      <c r="D818" t="s">
        <v>10</v>
      </c>
      <c r="E818" t="s">
        <v>16</v>
      </c>
      <c r="F818" t="s">
        <v>12</v>
      </c>
      <c r="G818" t="s">
        <v>13</v>
      </c>
      <c r="H818" t="s">
        <v>13</v>
      </c>
      <c r="I818">
        <v>35</v>
      </c>
      <c r="J818">
        <f>ABS((I818-EDA!$A$15)/EDA!$B$15)</f>
        <v>0.49258699768124525</v>
      </c>
      <c r="K818" t="str">
        <f t="shared" si="12"/>
        <v>No</v>
      </c>
      <c r="L818">
        <f>ABS((C818-EDA!$F$15)/EDA!$G$15)</f>
        <v>0.22710447061787292</v>
      </c>
      <c r="M818" t="str">
        <f>IF(moras[[#This Row],[Z-Score Salario]]&gt;1.96, "Sí", "No")</f>
        <v>No</v>
      </c>
      <c r="N818" s="14">
        <f>IF(ISBLANK(moras[[#This Row],[SALARIO]]), EDA!$M$8, moras[[#This Row],[SALARIO]])</f>
        <v>8926875</v>
      </c>
      <c r="O818" s="14">
        <f xml:space="preserve"> IF(ISBLANK(moras[[#This Row],[EDAD]]), EDA!$E$8, moras[[#This Row],[EDAD]])</f>
        <v>35</v>
      </c>
      <c r="P818" s="14" t="str">
        <f>IF(
    OR(ISBLANK(moras[[#This Row],[TIPO_ASEGURAMIENTO]]), moras[[#This Row],[TIPO_ASEGURAMIENTO]]=""),
    EDA!$A$32,
    moras[[#This Row],[TIPO_ASEGURAMIENTO]]
)</f>
        <v>ASALARIADO</v>
      </c>
    </row>
    <row r="819" spans="1:16" x14ac:dyDescent="0.3">
      <c r="A819">
        <v>818</v>
      </c>
      <c r="B819" t="s">
        <v>15</v>
      </c>
      <c r="C819">
        <v>26147698</v>
      </c>
      <c r="D819" t="s">
        <v>10</v>
      </c>
      <c r="E819" t="s">
        <v>11</v>
      </c>
      <c r="F819" t="s">
        <v>12</v>
      </c>
      <c r="G819" t="s">
        <v>13</v>
      </c>
      <c r="H819" t="s">
        <v>13</v>
      </c>
      <c r="I819">
        <v>33</v>
      </c>
      <c r="J819">
        <f>ABS((I819-EDA!$A$15)/EDA!$B$15)</f>
        <v>0.63373765783552027</v>
      </c>
      <c r="K819" t="str">
        <f t="shared" si="12"/>
        <v>No</v>
      </c>
      <c r="L819">
        <f>ABS((C819-EDA!$F$15)/EDA!$G$15)</f>
        <v>5.9462180491128197E-2</v>
      </c>
      <c r="M819" t="str">
        <f>IF(moras[[#This Row],[Z-Score Salario]]&gt;1.96, "Sí", "No")</f>
        <v>No</v>
      </c>
      <c r="N819" s="14">
        <f>IF(ISBLANK(moras[[#This Row],[SALARIO]]), EDA!$M$8, moras[[#This Row],[SALARIO]])</f>
        <v>26147698</v>
      </c>
      <c r="O819" s="14">
        <f xml:space="preserve"> IF(ISBLANK(moras[[#This Row],[EDAD]]), EDA!$E$8, moras[[#This Row],[EDAD]])</f>
        <v>33</v>
      </c>
      <c r="P819" s="14" t="str">
        <f>IF(
    OR(ISBLANK(moras[[#This Row],[TIPO_ASEGURAMIENTO]]), moras[[#This Row],[TIPO_ASEGURAMIENTO]]=""),
    EDA!$A$32,
    moras[[#This Row],[TIPO_ASEGURAMIENTO]]
)</f>
        <v>ASALARIADO</v>
      </c>
    </row>
    <row r="820" spans="1:16" x14ac:dyDescent="0.3">
      <c r="A820">
        <v>819</v>
      </c>
      <c r="B820" t="s">
        <v>9</v>
      </c>
      <c r="C820">
        <v>22939518</v>
      </c>
      <c r="D820" t="s">
        <v>10</v>
      </c>
      <c r="E820" t="s">
        <v>16</v>
      </c>
      <c r="F820" t="s">
        <v>12</v>
      </c>
      <c r="G820" t="s">
        <v>13</v>
      </c>
      <c r="H820" t="s">
        <v>13</v>
      </c>
      <c r="I820">
        <v>57</v>
      </c>
      <c r="J820">
        <f>ABS((I820-EDA!$A$15)/EDA!$B$15)</f>
        <v>1.0600702640157798</v>
      </c>
      <c r="K820" t="str">
        <f t="shared" si="12"/>
        <v>No</v>
      </c>
      <c r="L820">
        <f>ABS((C820-EDA!$F$15)/EDA!$G$15)</f>
        <v>6.0758005977354593E-3</v>
      </c>
      <c r="M820" t="str">
        <f>IF(moras[[#This Row],[Z-Score Salario]]&gt;1.96, "Sí", "No")</f>
        <v>No</v>
      </c>
      <c r="N820" s="14">
        <f>IF(ISBLANK(moras[[#This Row],[SALARIO]]), EDA!$M$8, moras[[#This Row],[SALARIO]])</f>
        <v>22939518</v>
      </c>
      <c r="O820" s="14">
        <f xml:space="preserve"> IF(ISBLANK(moras[[#This Row],[EDAD]]), EDA!$E$8, moras[[#This Row],[EDAD]])</f>
        <v>57</v>
      </c>
      <c r="P820" s="14" t="str">
        <f>IF(
    OR(ISBLANK(moras[[#This Row],[TIPO_ASEGURAMIENTO]]), moras[[#This Row],[TIPO_ASEGURAMIENTO]]=""),
    EDA!$A$32,
    moras[[#This Row],[TIPO_ASEGURAMIENTO]]
)</f>
        <v>ASALARIADO</v>
      </c>
    </row>
    <row r="821" spans="1:16" x14ac:dyDescent="0.3">
      <c r="A821">
        <v>820</v>
      </c>
      <c r="B821" t="s">
        <v>15</v>
      </c>
      <c r="C821">
        <v>85464684</v>
      </c>
      <c r="D821" t="s">
        <v>10</v>
      </c>
      <c r="E821" t="s">
        <v>11</v>
      </c>
      <c r="F821" t="s">
        <v>12</v>
      </c>
      <c r="G821" t="s">
        <v>13</v>
      </c>
      <c r="H821" t="s">
        <v>13</v>
      </c>
      <c r="I821">
        <v>24</v>
      </c>
      <c r="J821">
        <f>ABS((I821-EDA!$A$15)/EDA!$B$15)</f>
        <v>1.2689156285297578</v>
      </c>
      <c r="K821" t="str">
        <f t="shared" si="12"/>
        <v>No</v>
      </c>
      <c r="L821">
        <f>ABS((C821-EDA!$F$15)/EDA!$G$15)</f>
        <v>1.0465387001150455</v>
      </c>
      <c r="M821" t="str">
        <f>IF(moras[[#This Row],[Z-Score Salario]]&gt;1.96, "Sí", "No")</f>
        <v>No</v>
      </c>
      <c r="N821" s="14">
        <f>IF(ISBLANK(moras[[#This Row],[SALARIO]]), EDA!$M$8, moras[[#This Row],[SALARIO]])</f>
        <v>85464684</v>
      </c>
      <c r="O821" s="14">
        <f xml:space="preserve"> IF(ISBLANK(moras[[#This Row],[EDAD]]), EDA!$E$8, moras[[#This Row],[EDAD]])</f>
        <v>24</v>
      </c>
      <c r="P821" s="14" t="str">
        <f>IF(
    OR(ISBLANK(moras[[#This Row],[TIPO_ASEGURAMIENTO]]), moras[[#This Row],[TIPO_ASEGURAMIENTO]]=""),
    EDA!$A$32,
    moras[[#This Row],[TIPO_ASEGURAMIENTO]]
)</f>
        <v>ASALARIADO</v>
      </c>
    </row>
    <row r="822" spans="1:16" x14ac:dyDescent="0.3">
      <c r="A822">
        <v>821</v>
      </c>
      <c r="B822" t="s">
        <v>9</v>
      </c>
      <c r="C822">
        <v>43840225</v>
      </c>
      <c r="D822" t="s">
        <v>10</v>
      </c>
      <c r="E822" t="s">
        <v>16</v>
      </c>
      <c r="F822" t="s">
        <v>12</v>
      </c>
      <c r="G822" t="s">
        <v>13</v>
      </c>
      <c r="H822" t="s">
        <v>13</v>
      </c>
      <c r="I822">
        <v>28</v>
      </c>
      <c r="J822">
        <f>ABS((I822-EDA!$A$15)/EDA!$B$15)</f>
        <v>0.98661430822120777</v>
      </c>
      <c r="K822" t="str">
        <f t="shared" si="12"/>
        <v>No</v>
      </c>
      <c r="L822">
        <f>ABS((C822-EDA!$F$15)/EDA!$G$15)</f>
        <v>0.3538783191417364</v>
      </c>
      <c r="M822" t="str">
        <f>IF(moras[[#This Row],[Z-Score Salario]]&gt;1.96, "Sí", "No")</f>
        <v>No</v>
      </c>
      <c r="N822" s="14">
        <f>IF(ISBLANK(moras[[#This Row],[SALARIO]]), EDA!$M$8, moras[[#This Row],[SALARIO]])</f>
        <v>43840225</v>
      </c>
      <c r="O822" s="14">
        <f xml:space="preserve"> IF(ISBLANK(moras[[#This Row],[EDAD]]), EDA!$E$8, moras[[#This Row],[EDAD]])</f>
        <v>28</v>
      </c>
      <c r="P822" s="14" t="str">
        <f>IF(
    OR(ISBLANK(moras[[#This Row],[TIPO_ASEGURAMIENTO]]), moras[[#This Row],[TIPO_ASEGURAMIENTO]]=""),
    EDA!$A$32,
    moras[[#This Row],[TIPO_ASEGURAMIENTO]]
)</f>
        <v>ASALARIADO</v>
      </c>
    </row>
    <row r="823" spans="1:16" x14ac:dyDescent="0.3">
      <c r="A823">
        <v>822</v>
      </c>
      <c r="B823" t="s">
        <v>9</v>
      </c>
      <c r="C823">
        <v>44061225</v>
      </c>
      <c r="D823" t="s">
        <v>10</v>
      </c>
      <c r="E823" t="s">
        <v>16</v>
      </c>
      <c r="F823" t="s">
        <v>12</v>
      </c>
      <c r="G823" t="s">
        <v>13</v>
      </c>
      <c r="H823" t="s">
        <v>13</v>
      </c>
      <c r="I823">
        <v>24</v>
      </c>
      <c r="J823">
        <f>ABS((I823-EDA!$A$15)/EDA!$B$15)</f>
        <v>1.2689156285297578</v>
      </c>
      <c r="K823" t="str">
        <f t="shared" si="12"/>
        <v>No</v>
      </c>
      <c r="L823">
        <f>ABS((C823-EDA!$F$15)/EDA!$G$15)</f>
        <v>0.35755591514833196</v>
      </c>
      <c r="M823" t="str">
        <f>IF(moras[[#This Row],[Z-Score Salario]]&gt;1.96, "Sí", "No")</f>
        <v>No</v>
      </c>
      <c r="N823" s="14">
        <f>IF(ISBLANK(moras[[#This Row],[SALARIO]]), EDA!$M$8, moras[[#This Row],[SALARIO]])</f>
        <v>44061225</v>
      </c>
      <c r="O823" s="14">
        <f xml:space="preserve"> IF(ISBLANK(moras[[#This Row],[EDAD]]), EDA!$E$8, moras[[#This Row],[EDAD]])</f>
        <v>24</v>
      </c>
      <c r="P823" s="14" t="str">
        <f>IF(
    OR(ISBLANK(moras[[#This Row],[TIPO_ASEGURAMIENTO]]), moras[[#This Row],[TIPO_ASEGURAMIENTO]]=""),
    EDA!$A$32,
    moras[[#This Row],[TIPO_ASEGURAMIENTO]]
)</f>
        <v>ASALARIADO</v>
      </c>
    </row>
    <row r="824" spans="1:16" x14ac:dyDescent="0.3">
      <c r="A824">
        <v>823</v>
      </c>
      <c r="B824" t="s">
        <v>9</v>
      </c>
      <c r="C824">
        <v>299784</v>
      </c>
      <c r="D824" t="s">
        <v>17</v>
      </c>
      <c r="E824" t="s">
        <v>16</v>
      </c>
      <c r="F824" t="s">
        <v>12</v>
      </c>
      <c r="G824" t="s">
        <v>13</v>
      </c>
      <c r="H824" t="s">
        <v>13</v>
      </c>
      <c r="I824">
        <v>50</v>
      </c>
      <c r="J824">
        <f>ABS((I824-EDA!$A$15)/EDA!$B$15)</f>
        <v>0.56604295347581735</v>
      </c>
      <c r="K824" t="str">
        <f t="shared" si="12"/>
        <v>No</v>
      </c>
      <c r="L824">
        <f>ABS((C824-EDA!$F$15)/EDA!$G$15)</f>
        <v>0.37066535482663598</v>
      </c>
      <c r="M824" t="str">
        <f>IF(moras[[#This Row],[Z-Score Salario]]&gt;1.96, "Sí", "No")</f>
        <v>No</v>
      </c>
      <c r="N824" s="14">
        <f>IF(ISBLANK(moras[[#This Row],[SALARIO]]), EDA!$M$8, moras[[#This Row],[SALARIO]])</f>
        <v>299784</v>
      </c>
      <c r="O824" s="14">
        <f xml:space="preserve"> IF(ISBLANK(moras[[#This Row],[EDAD]]), EDA!$E$8, moras[[#This Row],[EDAD]])</f>
        <v>50</v>
      </c>
      <c r="P824" s="14" t="str">
        <f>IF(
    OR(ISBLANK(moras[[#This Row],[TIPO_ASEGURAMIENTO]]), moras[[#This Row],[TIPO_ASEGURAMIENTO]]=""),
    EDA!$A$32,
    moras[[#This Row],[TIPO_ASEGURAMIENTO]]
)</f>
        <v>ASEGURADO VOLUNTARIO</v>
      </c>
    </row>
    <row r="825" spans="1:16" x14ac:dyDescent="0.3">
      <c r="A825">
        <v>824</v>
      </c>
      <c r="B825" t="s">
        <v>9</v>
      </c>
      <c r="C825">
        <v>320283</v>
      </c>
      <c r="D825" t="s">
        <v>18</v>
      </c>
      <c r="E825" t="s">
        <v>16</v>
      </c>
      <c r="F825" t="s">
        <v>12</v>
      </c>
      <c r="G825" t="s">
        <v>13</v>
      </c>
      <c r="H825" t="s">
        <v>12</v>
      </c>
      <c r="I825">
        <v>36</v>
      </c>
      <c r="J825">
        <f>ABS((I825-EDA!$A$15)/EDA!$B$15)</f>
        <v>0.42201166760410774</v>
      </c>
      <c r="K825" t="str">
        <f t="shared" si="12"/>
        <v>No</v>
      </c>
      <c r="L825">
        <f>ABS((C825-EDA!$F$15)/EDA!$G$15)</f>
        <v>0.37032423699614186</v>
      </c>
      <c r="M825" t="str">
        <f>IF(moras[[#This Row],[Z-Score Salario]]&gt;1.96, "Sí", "No")</f>
        <v>No</v>
      </c>
      <c r="N825" s="14">
        <f>IF(ISBLANK(moras[[#This Row],[SALARIO]]), EDA!$M$8, moras[[#This Row],[SALARIO]])</f>
        <v>320283</v>
      </c>
      <c r="O825" s="14">
        <f xml:space="preserve"> IF(ISBLANK(moras[[#This Row],[EDAD]]), EDA!$E$8, moras[[#This Row],[EDAD]])</f>
        <v>36</v>
      </c>
      <c r="P825" s="14" t="str">
        <f>IF(
    OR(ISBLANK(moras[[#This Row],[TIPO_ASEGURAMIENTO]]), moras[[#This Row],[TIPO_ASEGURAMIENTO]]=""),
    EDA!$A$32,
    moras[[#This Row],[TIPO_ASEGURAMIENTO]]
)</f>
        <v>TRABAJADOR INDEPENDIENTE</v>
      </c>
    </row>
    <row r="826" spans="1:16" x14ac:dyDescent="0.3">
      <c r="A826">
        <v>825</v>
      </c>
      <c r="B826" t="s">
        <v>9</v>
      </c>
      <c r="C826">
        <v>255360</v>
      </c>
      <c r="D826" t="s">
        <v>10</v>
      </c>
      <c r="E826" t="s">
        <v>16</v>
      </c>
      <c r="F826" t="s">
        <v>12</v>
      </c>
      <c r="G826" t="s">
        <v>13</v>
      </c>
      <c r="H826" t="s">
        <v>13</v>
      </c>
      <c r="I826">
        <v>25</v>
      </c>
      <c r="J826">
        <f>ABS((I826-EDA!$A$15)/EDA!$B$15)</f>
        <v>1.1983402984526204</v>
      </c>
      <c r="K826" t="str">
        <f t="shared" si="12"/>
        <v>No</v>
      </c>
      <c r="L826">
        <f>ABS((C826-EDA!$F$15)/EDA!$G$15)</f>
        <v>0.37140460154607946</v>
      </c>
      <c r="M826" t="str">
        <f>IF(moras[[#This Row],[Z-Score Salario]]&gt;1.96, "Sí", "No")</f>
        <v>No</v>
      </c>
      <c r="N826" s="14">
        <f>IF(ISBLANK(moras[[#This Row],[SALARIO]]), EDA!$M$8, moras[[#This Row],[SALARIO]])</f>
        <v>255360</v>
      </c>
      <c r="O826" s="14">
        <f xml:space="preserve"> IF(ISBLANK(moras[[#This Row],[EDAD]]), EDA!$E$8, moras[[#This Row],[EDAD]])</f>
        <v>25</v>
      </c>
      <c r="P826" s="14" t="str">
        <f>IF(
    OR(ISBLANK(moras[[#This Row],[TIPO_ASEGURAMIENTO]]), moras[[#This Row],[TIPO_ASEGURAMIENTO]]=""),
    EDA!$A$32,
    moras[[#This Row],[TIPO_ASEGURAMIENTO]]
)</f>
        <v>ASALARIADO</v>
      </c>
    </row>
    <row r="827" spans="1:16" x14ac:dyDescent="0.3">
      <c r="A827">
        <v>826</v>
      </c>
      <c r="B827" t="s">
        <v>15</v>
      </c>
      <c r="C827">
        <v>387500</v>
      </c>
      <c r="D827" t="s">
        <v>10</v>
      </c>
      <c r="E827" t="s">
        <v>16</v>
      </c>
      <c r="F827" t="s">
        <v>12</v>
      </c>
      <c r="G827" t="s">
        <v>13</v>
      </c>
      <c r="H827" t="s">
        <v>13</v>
      </c>
      <c r="I827">
        <v>38</v>
      </c>
      <c r="J827">
        <f>ABS((I827-EDA!$A$15)/EDA!$B$15)</f>
        <v>0.28086100744983278</v>
      </c>
      <c r="K827" t="str">
        <f t="shared" si="12"/>
        <v>No</v>
      </c>
      <c r="L827">
        <f>ABS((C827-EDA!$F$15)/EDA!$G$15)</f>
        <v>0.36920569866684172</v>
      </c>
      <c r="M827" t="str">
        <f>IF(moras[[#This Row],[Z-Score Salario]]&gt;1.96, "Sí", "No")</f>
        <v>No</v>
      </c>
      <c r="N827" s="14">
        <f>IF(ISBLANK(moras[[#This Row],[SALARIO]]), EDA!$M$8, moras[[#This Row],[SALARIO]])</f>
        <v>387500</v>
      </c>
      <c r="O827" s="14">
        <f xml:space="preserve"> IF(ISBLANK(moras[[#This Row],[EDAD]]), EDA!$E$8, moras[[#This Row],[EDAD]])</f>
        <v>38</v>
      </c>
      <c r="P827" s="14" t="str">
        <f>IF(
    OR(ISBLANK(moras[[#This Row],[TIPO_ASEGURAMIENTO]]), moras[[#This Row],[TIPO_ASEGURAMIENTO]]=""),
    EDA!$A$32,
    moras[[#This Row],[TIPO_ASEGURAMIENTO]]
)</f>
        <v>ASALARIADO</v>
      </c>
    </row>
    <row r="828" spans="1:16" x14ac:dyDescent="0.3">
      <c r="A828">
        <v>827</v>
      </c>
      <c r="B828" t="s">
        <v>9</v>
      </c>
      <c r="C828">
        <v>310124</v>
      </c>
      <c r="D828" t="s">
        <v>18</v>
      </c>
      <c r="E828" t="s">
        <v>16</v>
      </c>
      <c r="F828" t="s">
        <v>12</v>
      </c>
      <c r="G828" t="s">
        <v>13</v>
      </c>
      <c r="H828" t="s">
        <v>13</v>
      </c>
      <c r="I828">
        <v>65</v>
      </c>
      <c r="J828">
        <f>ABS((I828-EDA!$A$15)/EDA!$B$15)</f>
        <v>1.6246729046328798</v>
      </c>
      <c r="K828" t="str">
        <f t="shared" si="12"/>
        <v>No</v>
      </c>
      <c r="L828">
        <f>ABS((C828-EDA!$F$15)/EDA!$G$15)</f>
        <v>0.37049328992750385</v>
      </c>
      <c r="M828" t="str">
        <f>IF(moras[[#This Row],[Z-Score Salario]]&gt;1.96, "Sí", "No")</f>
        <v>No</v>
      </c>
      <c r="N828" s="14">
        <f>IF(ISBLANK(moras[[#This Row],[SALARIO]]), EDA!$M$8, moras[[#This Row],[SALARIO]])</f>
        <v>310124</v>
      </c>
      <c r="O828" s="14">
        <f xml:space="preserve"> IF(ISBLANK(moras[[#This Row],[EDAD]]), EDA!$E$8, moras[[#This Row],[EDAD]])</f>
        <v>65</v>
      </c>
      <c r="P828" s="14" t="str">
        <f>IF(
    OR(ISBLANK(moras[[#This Row],[TIPO_ASEGURAMIENTO]]), moras[[#This Row],[TIPO_ASEGURAMIENTO]]=""),
    EDA!$A$32,
    moras[[#This Row],[TIPO_ASEGURAMIENTO]]
)</f>
        <v>TRABAJADOR INDEPENDIENTE</v>
      </c>
    </row>
    <row r="829" spans="1:16" x14ac:dyDescent="0.3">
      <c r="A829">
        <v>828</v>
      </c>
      <c r="B829" t="s">
        <v>15</v>
      </c>
      <c r="C829">
        <v>34339086</v>
      </c>
      <c r="D829" t="s">
        <v>10</v>
      </c>
      <c r="E829" t="s">
        <v>16</v>
      </c>
      <c r="F829" t="s">
        <v>12</v>
      </c>
      <c r="G829" t="s">
        <v>13</v>
      </c>
      <c r="H829" t="s">
        <v>13</v>
      </c>
      <c r="I829">
        <v>28</v>
      </c>
      <c r="J829">
        <f>ABS((I829-EDA!$A$15)/EDA!$B$15)</f>
        <v>0.98661430822120777</v>
      </c>
      <c r="K829" t="str">
        <f t="shared" si="12"/>
        <v>No</v>
      </c>
      <c r="L829">
        <f>ABS((C829-EDA!$F$15)/EDA!$G$15)</f>
        <v>0.19577265921182921</v>
      </c>
      <c r="M829" t="str">
        <f>IF(moras[[#This Row],[Z-Score Salario]]&gt;1.96, "Sí", "No")</f>
        <v>No</v>
      </c>
      <c r="N829" s="14">
        <f>IF(ISBLANK(moras[[#This Row],[SALARIO]]), EDA!$M$8, moras[[#This Row],[SALARIO]])</f>
        <v>34339086</v>
      </c>
      <c r="O829" s="14">
        <f xml:space="preserve"> IF(ISBLANK(moras[[#This Row],[EDAD]]), EDA!$E$8, moras[[#This Row],[EDAD]])</f>
        <v>28</v>
      </c>
      <c r="P829" s="14" t="str">
        <f>IF(
    OR(ISBLANK(moras[[#This Row],[TIPO_ASEGURAMIENTO]]), moras[[#This Row],[TIPO_ASEGURAMIENTO]]=""),
    EDA!$A$32,
    moras[[#This Row],[TIPO_ASEGURAMIENTO]]
)</f>
        <v>ASALARIADO</v>
      </c>
    </row>
    <row r="830" spans="1:16" x14ac:dyDescent="0.3">
      <c r="A830">
        <v>829</v>
      </c>
      <c r="B830" t="s">
        <v>15</v>
      </c>
      <c r="C830">
        <v>391062</v>
      </c>
      <c r="D830" t="s">
        <v>10</v>
      </c>
      <c r="E830" t="s">
        <v>16</v>
      </c>
      <c r="F830" t="s">
        <v>12</v>
      </c>
      <c r="G830" t="s">
        <v>13</v>
      </c>
      <c r="H830" t="s">
        <v>13</v>
      </c>
      <c r="I830">
        <v>33</v>
      </c>
      <c r="J830">
        <f>ABS((I830-EDA!$A$15)/EDA!$B$15)</f>
        <v>0.63373765783552027</v>
      </c>
      <c r="K830" t="str">
        <f t="shared" si="12"/>
        <v>No</v>
      </c>
      <c r="L830">
        <f>ABS((C830-EDA!$F$15)/EDA!$G$15)</f>
        <v>0.36914642447238244</v>
      </c>
      <c r="M830" t="str">
        <f>IF(moras[[#This Row],[Z-Score Salario]]&gt;1.96, "Sí", "No")</f>
        <v>No</v>
      </c>
      <c r="N830" s="14">
        <f>IF(ISBLANK(moras[[#This Row],[SALARIO]]), EDA!$M$8, moras[[#This Row],[SALARIO]])</f>
        <v>391062</v>
      </c>
      <c r="O830" s="14">
        <f xml:space="preserve"> IF(ISBLANK(moras[[#This Row],[EDAD]]), EDA!$E$8, moras[[#This Row],[EDAD]])</f>
        <v>33</v>
      </c>
      <c r="P830" s="14" t="str">
        <f>IF(
    OR(ISBLANK(moras[[#This Row],[TIPO_ASEGURAMIENTO]]), moras[[#This Row],[TIPO_ASEGURAMIENTO]]=""),
    EDA!$A$32,
    moras[[#This Row],[TIPO_ASEGURAMIENTO]]
)</f>
        <v>ASALARIADO</v>
      </c>
    </row>
    <row r="831" spans="1:16" x14ac:dyDescent="0.3">
      <c r="A831">
        <v>830</v>
      </c>
      <c r="B831" t="s">
        <v>9</v>
      </c>
      <c r="C831">
        <v>584267</v>
      </c>
      <c r="D831" t="s">
        <v>10</v>
      </c>
      <c r="E831" t="s">
        <v>11</v>
      </c>
      <c r="F831" t="s">
        <v>12</v>
      </c>
      <c r="G831" t="s">
        <v>13</v>
      </c>
      <c r="H831" t="s">
        <v>13</v>
      </c>
      <c r="I831">
        <v>29</v>
      </c>
      <c r="J831">
        <f>ABS((I831-EDA!$A$15)/EDA!$B$15)</f>
        <v>0.91603897814407031</v>
      </c>
      <c r="K831" t="str">
        <f t="shared" si="12"/>
        <v>No</v>
      </c>
      <c r="L831">
        <f>ABS((C831-EDA!$F$15)/EDA!$G$15)</f>
        <v>0.36593135688661638</v>
      </c>
      <c r="M831" t="str">
        <f>IF(moras[[#This Row],[Z-Score Salario]]&gt;1.96, "Sí", "No")</f>
        <v>No</v>
      </c>
      <c r="N831" s="14">
        <f>IF(ISBLANK(moras[[#This Row],[SALARIO]]), EDA!$M$8, moras[[#This Row],[SALARIO]])</f>
        <v>584267</v>
      </c>
      <c r="O831" s="14">
        <f xml:space="preserve"> IF(ISBLANK(moras[[#This Row],[EDAD]]), EDA!$E$8, moras[[#This Row],[EDAD]])</f>
        <v>29</v>
      </c>
      <c r="P831" s="14" t="str">
        <f>IF(
    OR(ISBLANK(moras[[#This Row],[TIPO_ASEGURAMIENTO]]), moras[[#This Row],[TIPO_ASEGURAMIENTO]]=""),
    EDA!$A$32,
    moras[[#This Row],[TIPO_ASEGURAMIENTO]]
)</f>
        <v>ASALARIADO</v>
      </c>
    </row>
    <row r="832" spans="1:16" x14ac:dyDescent="0.3">
      <c r="A832">
        <v>831</v>
      </c>
      <c r="B832" t="s">
        <v>9</v>
      </c>
      <c r="C832">
        <v>10349361</v>
      </c>
      <c r="D832" t="s">
        <v>10</v>
      </c>
      <c r="E832" t="s">
        <v>11</v>
      </c>
      <c r="F832" t="s">
        <v>12</v>
      </c>
      <c r="G832" t="s">
        <v>13</v>
      </c>
      <c r="H832" t="s">
        <v>13</v>
      </c>
      <c r="I832">
        <v>49</v>
      </c>
      <c r="J832">
        <f>ABS((I832-EDA!$A$15)/EDA!$B$15)</f>
        <v>0.49546762339867978</v>
      </c>
      <c r="K832" t="str">
        <f t="shared" si="12"/>
        <v>No</v>
      </c>
      <c r="L832">
        <f>ABS((C832-EDA!$F$15)/EDA!$G$15)</f>
        <v>0.20343329942765523</v>
      </c>
      <c r="M832" t="str">
        <f>IF(moras[[#This Row],[Z-Score Salario]]&gt;1.96, "Sí", "No")</f>
        <v>No</v>
      </c>
      <c r="N832" s="14">
        <f>IF(ISBLANK(moras[[#This Row],[SALARIO]]), EDA!$M$8, moras[[#This Row],[SALARIO]])</f>
        <v>10349361</v>
      </c>
      <c r="O832" s="14">
        <f xml:space="preserve"> IF(ISBLANK(moras[[#This Row],[EDAD]]), EDA!$E$8, moras[[#This Row],[EDAD]])</f>
        <v>49</v>
      </c>
      <c r="P832" s="14" t="str">
        <f>IF(
    OR(ISBLANK(moras[[#This Row],[TIPO_ASEGURAMIENTO]]), moras[[#This Row],[TIPO_ASEGURAMIENTO]]=""),
    EDA!$A$32,
    moras[[#This Row],[TIPO_ASEGURAMIENTO]]
)</f>
        <v>ASALARIADO</v>
      </c>
    </row>
    <row r="833" spans="1:16" x14ac:dyDescent="0.3">
      <c r="A833">
        <v>832</v>
      </c>
      <c r="B833" t="s">
        <v>9</v>
      </c>
      <c r="C833">
        <v>410000</v>
      </c>
      <c r="D833" t="s">
        <v>10</v>
      </c>
      <c r="E833" t="s">
        <v>16</v>
      </c>
      <c r="F833" t="s">
        <v>12</v>
      </c>
      <c r="G833" t="s">
        <v>13</v>
      </c>
      <c r="H833" t="s">
        <v>13</v>
      </c>
      <c r="I833">
        <v>32</v>
      </c>
      <c r="J833">
        <f>ABS((I833-EDA!$A$15)/EDA!$B$15)</f>
        <v>0.70431298791265773</v>
      </c>
      <c r="K833" t="str">
        <f t="shared" si="12"/>
        <v>No</v>
      </c>
      <c r="L833">
        <f>ABS((C833-EDA!$F$15)/EDA!$G$15)</f>
        <v>0.36883128278381727</v>
      </c>
      <c r="M833" t="str">
        <f>IF(moras[[#This Row],[Z-Score Salario]]&gt;1.96, "Sí", "No")</f>
        <v>No</v>
      </c>
      <c r="N833" s="14">
        <f>IF(ISBLANK(moras[[#This Row],[SALARIO]]), EDA!$M$8, moras[[#This Row],[SALARIO]])</f>
        <v>410000</v>
      </c>
      <c r="O833" s="14">
        <f xml:space="preserve"> IF(ISBLANK(moras[[#This Row],[EDAD]]), EDA!$E$8, moras[[#This Row],[EDAD]])</f>
        <v>32</v>
      </c>
      <c r="P833" s="14" t="str">
        <f>IF(
    OR(ISBLANK(moras[[#This Row],[TIPO_ASEGURAMIENTO]]), moras[[#This Row],[TIPO_ASEGURAMIENTO]]=""),
    EDA!$A$32,
    moras[[#This Row],[TIPO_ASEGURAMIENTO]]
)</f>
        <v>ASALARIADO</v>
      </c>
    </row>
    <row r="834" spans="1:16" x14ac:dyDescent="0.3">
      <c r="A834">
        <v>833</v>
      </c>
      <c r="B834" t="s">
        <v>9</v>
      </c>
      <c r="C834">
        <v>297046</v>
      </c>
      <c r="D834" t="s">
        <v>17</v>
      </c>
      <c r="E834" t="s">
        <v>16</v>
      </c>
      <c r="F834" t="s">
        <v>12</v>
      </c>
      <c r="G834" t="s">
        <v>13</v>
      </c>
      <c r="H834" t="s">
        <v>13</v>
      </c>
      <c r="I834">
        <v>53</v>
      </c>
      <c r="J834">
        <f>ABS((I834-EDA!$A$15)/EDA!$B$15)</f>
        <v>0.77776894370722982</v>
      </c>
      <c r="K834" t="str">
        <f t="shared" ref="K834:K897" si="13">IF(J834 &gt;  1.96, "Sí","No")</f>
        <v>No</v>
      </c>
      <c r="L834">
        <f>ABS((C834-EDA!$F$15)/EDA!$G$15)</f>
        <v>0.37071091707942361</v>
      </c>
      <c r="M834" t="str">
        <f>IF(moras[[#This Row],[Z-Score Salario]]&gt;1.96, "Sí", "No")</f>
        <v>No</v>
      </c>
      <c r="N834" s="14">
        <f>IF(ISBLANK(moras[[#This Row],[SALARIO]]), EDA!$M$8, moras[[#This Row],[SALARIO]])</f>
        <v>297046</v>
      </c>
      <c r="O834" s="14">
        <f xml:space="preserve"> IF(ISBLANK(moras[[#This Row],[EDAD]]), EDA!$E$8, moras[[#This Row],[EDAD]])</f>
        <v>53</v>
      </c>
      <c r="P834" s="14" t="str">
        <f>IF(
    OR(ISBLANK(moras[[#This Row],[TIPO_ASEGURAMIENTO]]), moras[[#This Row],[TIPO_ASEGURAMIENTO]]=""),
    EDA!$A$32,
    moras[[#This Row],[TIPO_ASEGURAMIENTO]]
)</f>
        <v>ASEGURADO VOLUNTARIO</v>
      </c>
    </row>
    <row r="835" spans="1:16" x14ac:dyDescent="0.3">
      <c r="A835">
        <v>834</v>
      </c>
      <c r="B835" t="s">
        <v>15</v>
      </c>
      <c r="C835">
        <v>62203584</v>
      </c>
      <c r="D835" t="s">
        <v>10</v>
      </c>
      <c r="E835" t="s">
        <v>11</v>
      </c>
      <c r="F835" t="s">
        <v>12</v>
      </c>
      <c r="G835" t="s">
        <v>13</v>
      </c>
      <c r="H835" t="s">
        <v>13</v>
      </c>
      <c r="I835">
        <v>26</v>
      </c>
      <c r="J835">
        <f>ABS((I835-EDA!$A$15)/EDA!$B$15)</f>
        <v>1.1277649683754829</v>
      </c>
      <c r="K835" t="str">
        <f t="shared" si="13"/>
        <v>No</v>
      </c>
      <c r="L835">
        <f>ABS((C835-EDA!$F$15)/EDA!$G$15)</f>
        <v>0.65945757582083564</v>
      </c>
      <c r="M835" t="str">
        <f>IF(moras[[#This Row],[Z-Score Salario]]&gt;1.96, "Sí", "No")</f>
        <v>No</v>
      </c>
      <c r="N835" s="14">
        <f>IF(ISBLANK(moras[[#This Row],[SALARIO]]), EDA!$M$8, moras[[#This Row],[SALARIO]])</f>
        <v>62203584</v>
      </c>
      <c r="O835" s="14">
        <f xml:space="preserve"> IF(ISBLANK(moras[[#This Row],[EDAD]]), EDA!$E$8, moras[[#This Row],[EDAD]])</f>
        <v>26</v>
      </c>
      <c r="P835" s="14" t="str">
        <f>IF(
    OR(ISBLANK(moras[[#This Row],[TIPO_ASEGURAMIENTO]]), moras[[#This Row],[TIPO_ASEGURAMIENTO]]=""),
    EDA!$A$32,
    moras[[#This Row],[TIPO_ASEGURAMIENTO]]
)</f>
        <v>ASALARIADO</v>
      </c>
    </row>
    <row r="836" spans="1:16" x14ac:dyDescent="0.3">
      <c r="A836">
        <v>835</v>
      </c>
      <c r="B836" t="s">
        <v>15</v>
      </c>
      <c r="C836">
        <v>917703</v>
      </c>
      <c r="D836" t="s">
        <v>10</v>
      </c>
      <c r="E836" t="s">
        <v>11</v>
      </c>
      <c r="F836" t="s">
        <v>12</v>
      </c>
      <c r="G836" t="s">
        <v>13</v>
      </c>
      <c r="H836" t="s">
        <v>13</v>
      </c>
      <c r="I836">
        <v>44</v>
      </c>
      <c r="J836">
        <f>ABS((I836-EDA!$A$15)/EDA!$B$15)</f>
        <v>0.14259097301299228</v>
      </c>
      <c r="K836" t="str">
        <f t="shared" si="13"/>
        <v>No</v>
      </c>
      <c r="L836">
        <f>ABS((C836-EDA!$F$15)/EDA!$G$15)</f>
        <v>0.36038274647007701</v>
      </c>
      <c r="M836" t="str">
        <f>IF(moras[[#This Row],[Z-Score Salario]]&gt;1.96, "Sí", "No")</f>
        <v>No</v>
      </c>
      <c r="N836" s="14">
        <f>IF(ISBLANK(moras[[#This Row],[SALARIO]]), EDA!$M$8, moras[[#This Row],[SALARIO]])</f>
        <v>917703</v>
      </c>
      <c r="O836" s="14">
        <f xml:space="preserve"> IF(ISBLANK(moras[[#This Row],[EDAD]]), EDA!$E$8, moras[[#This Row],[EDAD]])</f>
        <v>44</v>
      </c>
      <c r="P836" s="14" t="str">
        <f>IF(
    OR(ISBLANK(moras[[#This Row],[TIPO_ASEGURAMIENTO]]), moras[[#This Row],[TIPO_ASEGURAMIENTO]]=""),
    EDA!$A$32,
    moras[[#This Row],[TIPO_ASEGURAMIENTO]]
)</f>
        <v>ASALARIADO</v>
      </c>
    </row>
    <row r="837" spans="1:16" x14ac:dyDescent="0.3">
      <c r="A837">
        <v>836</v>
      </c>
      <c r="B837" t="s">
        <v>9</v>
      </c>
      <c r="C837">
        <v>2414544</v>
      </c>
      <c r="D837" t="s">
        <v>10</v>
      </c>
      <c r="E837" t="s">
        <v>16</v>
      </c>
      <c r="F837" t="s">
        <v>12</v>
      </c>
      <c r="G837" t="s">
        <v>12</v>
      </c>
      <c r="H837" t="s">
        <v>13</v>
      </c>
      <c r="I837">
        <v>23</v>
      </c>
      <c r="J837">
        <f>ABS((I837-EDA!$A$15)/EDA!$B$15)</f>
        <v>1.3394909586068953</v>
      </c>
      <c r="K837" t="str">
        <f t="shared" si="13"/>
        <v>No</v>
      </c>
      <c r="L837">
        <f>ABS((C837-EDA!$F$15)/EDA!$G$15)</f>
        <v>0.33547425559175786</v>
      </c>
      <c r="M837" t="str">
        <f>IF(moras[[#This Row],[Z-Score Salario]]&gt;1.96, "Sí", "No")</f>
        <v>No</v>
      </c>
      <c r="N837" s="14">
        <f>IF(ISBLANK(moras[[#This Row],[SALARIO]]), EDA!$M$8, moras[[#This Row],[SALARIO]])</f>
        <v>2414544</v>
      </c>
      <c r="O837" s="14">
        <f xml:space="preserve"> IF(ISBLANK(moras[[#This Row],[EDAD]]), EDA!$E$8, moras[[#This Row],[EDAD]])</f>
        <v>23</v>
      </c>
      <c r="P837" s="14" t="str">
        <f>IF(
    OR(ISBLANK(moras[[#This Row],[TIPO_ASEGURAMIENTO]]), moras[[#This Row],[TIPO_ASEGURAMIENTO]]=""),
    EDA!$A$32,
    moras[[#This Row],[TIPO_ASEGURAMIENTO]]
)</f>
        <v>ASALARIADO</v>
      </c>
    </row>
    <row r="838" spans="1:16" x14ac:dyDescent="0.3">
      <c r="A838">
        <v>837</v>
      </c>
      <c r="B838" t="s">
        <v>15</v>
      </c>
      <c r="C838">
        <v>440000</v>
      </c>
      <c r="D838" t="s">
        <v>10</v>
      </c>
      <c r="E838" t="s">
        <v>16</v>
      </c>
      <c r="F838" t="s">
        <v>12</v>
      </c>
      <c r="G838" t="s">
        <v>12</v>
      </c>
      <c r="H838" t="s">
        <v>13</v>
      </c>
      <c r="I838">
        <v>39</v>
      </c>
      <c r="J838">
        <f>ABS((I838-EDA!$A$15)/EDA!$B$15)</f>
        <v>0.21028567737269524</v>
      </c>
      <c r="K838" t="str">
        <f t="shared" si="13"/>
        <v>No</v>
      </c>
      <c r="L838">
        <f>ABS((C838-EDA!$F$15)/EDA!$G$15)</f>
        <v>0.36833206160645132</v>
      </c>
      <c r="M838" t="str">
        <f>IF(moras[[#This Row],[Z-Score Salario]]&gt;1.96, "Sí", "No")</f>
        <v>No</v>
      </c>
      <c r="N838" s="14">
        <f>IF(ISBLANK(moras[[#This Row],[SALARIO]]), EDA!$M$8, moras[[#This Row],[SALARIO]])</f>
        <v>440000</v>
      </c>
      <c r="O838" s="14">
        <f xml:space="preserve"> IF(ISBLANK(moras[[#This Row],[EDAD]]), EDA!$E$8, moras[[#This Row],[EDAD]])</f>
        <v>39</v>
      </c>
      <c r="P838" s="14" t="str">
        <f>IF(
    OR(ISBLANK(moras[[#This Row],[TIPO_ASEGURAMIENTO]]), moras[[#This Row],[TIPO_ASEGURAMIENTO]]=""),
    EDA!$A$32,
    moras[[#This Row],[TIPO_ASEGURAMIENTO]]
)</f>
        <v>ASALARIADO</v>
      </c>
    </row>
    <row r="839" spans="1:16" x14ac:dyDescent="0.3">
      <c r="A839">
        <v>838</v>
      </c>
      <c r="B839" t="s">
        <v>15</v>
      </c>
      <c r="C839">
        <v>623738</v>
      </c>
      <c r="D839" t="s">
        <v>10</v>
      </c>
      <c r="E839" t="s">
        <v>16</v>
      </c>
      <c r="F839" t="s">
        <v>12</v>
      </c>
      <c r="G839" t="s">
        <v>13</v>
      </c>
      <c r="H839" t="s">
        <v>13</v>
      </c>
      <c r="I839">
        <v>26</v>
      </c>
      <c r="J839">
        <f>ABS((I839-EDA!$A$15)/EDA!$B$15)</f>
        <v>1.1277649683754829</v>
      </c>
      <c r="K839" t="str">
        <f t="shared" si="13"/>
        <v>No</v>
      </c>
      <c r="L839">
        <f>ABS((C839-EDA!$F$15)/EDA!$G$15)</f>
        <v>0.36527453158355605</v>
      </c>
      <c r="M839" t="str">
        <f>IF(moras[[#This Row],[Z-Score Salario]]&gt;1.96, "Sí", "No")</f>
        <v>No</v>
      </c>
      <c r="N839" s="14">
        <f>IF(ISBLANK(moras[[#This Row],[SALARIO]]), EDA!$M$8, moras[[#This Row],[SALARIO]])</f>
        <v>623738</v>
      </c>
      <c r="O839" s="14">
        <f xml:space="preserve"> IF(ISBLANK(moras[[#This Row],[EDAD]]), EDA!$E$8, moras[[#This Row],[EDAD]])</f>
        <v>26</v>
      </c>
      <c r="P839" s="14" t="str">
        <f>IF(
    OR(ISBLANK(moras[[#This Row],[TIPO_ASEGURAMIENTO]]), moras[[#This Row],[TIPO_ASEGURAMIENTO]]=""),
    EDA!$A$32,
    moras[[#This Row],[TIPO_ASEGURAMIENTO]]
)</f>
        <v>ASALARIADO</v>
      </c>
    </row>
    <row r="840" spans="1:16" x14ac:dyDescent="0.3">
      <c r="A840">
        <v>839</v>
      </c>
      <c r="B840" t="s">
        <v>9</v>
      </c>
      <c r="C840">
        <v>599294</v>
      </c>
      <c r="D840" t="s">
        <v>17</v>
      </c>
      <c r="E840" t="s">
        <v>16</v>
      </c>
      <c r="F840" t="s">
        <v>12</v>
      </c>
      <c r="G840" t="s">
        <v>13</v>
      </c>
      <c r="H840" t="s">
        <v>13</v>
      </c>
      <c r="I840">
        <v>54</v>
      </c>
      <c r="J840">
        <f>ABS((I840-EDA!$A$15)/EDA!$B$15)</f>
        <v>0.84834427378436728</v>
      </c>
      <c r="K840" t="str">
        <f t="shared" si="13"/>
        <v>No</v>
      </c>
      <c r="L840">
        <f>ABS((C840-EDA!$F$15)/EDA!$G$15)</f>
        <v>0.36568129699887381</v>
      </c>
      <c r="M840" t="str">
        <f>IF(moras[[#This Row],[Z-Score Salario]]&gt;1.96, "Sí", "No")</f>
        <v>No</v>
      </c>
      <c r="N840" s="14">
        <f>IF(ISBLANK(moras[[#This Row],[SALARIO]]), EDA!$M$8, moras[[#This Row],[SALARIO]])</f>
        <v>599294</v>
      </c>
      <c r="O840" s="14">
        <f xml:space="preserve"> IF(ISBLANK(moras[[#This Row],[EDAD]]), EDA!$E$8, moras[[#This Row],[EDAD]])</f>
        <v>54</v>
      </c>
      <c r="P840" s="14" t="str">
        <f>IF(
    OR(ISBLANK(moras[[#This Row],[TIPO_ASEGURAMIENTO]]), moras[[#This Row],[TIPO_ASEGURAMIENTO]]=""),
    EDA!$A$32,
    moras[[#This Row],[TIPO_ASEGURAMIENTO]]
)</f>
        <v>ASEGURADO VOLUNTARIO</v>
      </c>
    </row>
    <row r="841" spans="1:16" x14ac:dyDescent="0.3">
      <c r="A841">
        <v>840</v>
      </c>
      <c r="B841" t="s">
        <v>15</v>
      </c>
      <c r="C841">
        <v>55509579</v>
      </c>
      <c r="D841" t="s">
        <v>10</v>
      </c>
      <c r="E841" t="s">
        <v>16</v>
      </c>
      <c r="F841" t="s">
        <v>12</v>
      </c>
      <c r="G841" t="s">
        <v>13</v>
      </c>
      <c r="H841" t="s">
        <v>13</v>
      </c>
      <c r="I841">
        <v>33</v>
      </c>
      <c r="J841">
        <f>ABS((I841-EDA!$A$15)/EDA!$B$15)</f>
        <v>0.63373765783552027</v>
      </c>
      <c r="K841" t="str">
        <f t="shared" si="13"/>
        <v>No</v>
      </c>
      <c r="L841">
        <f>ABS((C841-EDA!$F$15)/EDA!$G$15)</f>
        <v>0.54806460724105821</v>
      </c>
      <c r="M841" t="str">
        <f>IF(moras[[#This Row],[Z-Score Salario]]&gt;1.96, "Sí", "No")</f>
        <v>No</v>
      </c>
      <c r="N841" s="14">
        <f>IF(ISBLANK(moras[[#This Row],[SALARIO]]), EDA!$M$8, moras[[#This Row],[SALARIO]])</f>
        <v>55509579</v>
      </c>
      <c r="O841" s="14">
        <f xml:space="preserve"> IF(ISBLANK(moras[[#This Row],[EDAD]]), EDA!$E$8, moras[[#This Row],[EDAD]])</f>
        <v>33</v>
      </c>
      <c r="P841" s="14" t="str">
        <f>IF(
    OR(ISBLANK(moras[[#This Row],[TIPO_ASEGURAMIENTO]]), moras[[#This Row],[TIPO_ASEGURAMIENTO]]=""),
    EDA!$A$32,
    moras[[#This Row],[TIPO_ASEGURAMIENTO]]
)</f>
        <v>ASALARIADO</v>
      </c>
    </row>
    <row r="842" spans="1:16" x14ac:dyDescent="0.3">
      <c r="A842">
        <v>841</v>
      </c>
      <c r="B842" t="s">
        <v>15</v>
      </c>
      <c r="C842">
        <v>330550</v>
      </c>
      <c r="D842" t="s">
        <v>10</v>
      </c>
      <c r="E842" t="s">
        <v>16</v>
      </c>
      <c r="F842" t="s">
        <v>12</v>
      </c>
      <c r="G842" t="s">
        <v>13</v>
      </c>
      <c r="H842" t="s">
        <v>13</v>
      </c>
      <c r="I842">
        <v>59</v>
      </c>
      <c r="J842">
        <f>ABS((I842-EDA!$A$15)/EDA!$B$15)</f>
        <v>1.2012209241700549</v>
      </c>
      <c r="K842" t="str">
        <f t="shared" si="13"/>
        <v>No</v>
      </c>
      <c r="L842">
        <f>ABS((C842-EDA!$F$15)/EDA!$G$15)</f>
        <v>0.37015338686854132</v>
      </c>
      <c r="M842" t="str">
        <f>IF(moras[[#This Row],[Z-Score Salario]]&gt;1.96, "Sí", "No")</f>
        <v>No</v>
      </c>
      <c r="N842" s="14">
        <f>IF(ISBLANK(moras[[#This Row],[SALARIO]]), EDA!$M$8, moras[[#This Row],[SALARIO]])</f>
        <v>330550</v>
      </c>
      <c r="O842" s="14">
        <f xml:space="preserve"> IF(ISBLANK(moras[[#This Row],[EDAD]]), EDA!$E$8, moras[[#This Row],[EDAD]])</f>
        <v>59</v>
      </c>
      <c r="P842" s="14" t="str">
        <f>IF(
    OR(ISBLANK(moras[[#This Row],[TIPO_ASEGURAMIENTO]]), moras[[#This Row],[TIPO_ASEGURAMIENTO]]=""),
    EDA!$A$32,
    moras[[#This Row],[TIPO_ASEGURAMIENTO]]
)</f>
        <v>ASALARIADO</v>
      </c>
    </row>
    <row r="843" spans="1:16" x14ac:dyDescent="0.3">
      <c r="A843">
        <v>842</v>
      </c>
      <c r="B843" t="s">
        <v>15</v>
      </c>
      <c r="C843">
        <v>2917593</v>
      </c>
      <c r="D843" t="s">
        <v>10</v>
      </c>
      <c r="E843" t="s">
        <v>16</v>
      </c>
      <c r="F843" t="s">
        <v>12</v>
      </c>
      <c r="G843" t="s">
        <v>13</v>
      </c>
      <c r="H843" t="s">
        <v>12</v>
      </c>
      <c r="I843">
        <v>51</v>
      </c>
      <c r="J843">
        <f>ABS((I843-EDA!$A$15)/EDA!$B$15)</f>
        <v>0.6366182835529548</v>
      </c>
      <c r="K843" t="str">
        <f t="shared" si="13"/>
        <v>No</v>
      </c>
      <c r="L843">
        <f>ABS((C843-EDA!$F$15)/EDA!$G$15)</f>
        <v>0.32710316512333298</v>
      </c>
      <c r="M843" t="str">
        <f>IF(moras[[#This Row],[Z-Score Salario]]&gt;1.96, "Sí", "No")</f>
        <v>No</v>
      </c>
      <c r="N843" s="14">
        <f>IF(ISBLANK(moras[[#This Row],[SALARIO]]), EDA!$M$8, moras[[#This Row],[SALARIO]])</f>
        <v>2917593</v>
      </c>
      <c r="O843" s="14">
        <f xml:space="preserve"> IF(ISBLANK(moras[[#This Row],[EDAD]]), EDA!$E$8, moras[[#This Row],[EDAD]])</f>
        <v>51</v>
      </c>
      <c r="P843" s="14" t="str">
        <f>IF(
    OR(ISBLANK(moras[[#This Row],[TIPO_ASEGURAMIENTO]]), moras[[#This Row],[TIPO_ASEGURAMIENTO]]=""),
    EDA!$A$32,
    moras[[#This Row],[TIPO_ASEGURAMIENTO]]
)</f>
        <v>ASALARIADO</v>
      </c>
    </row>
    <row r="844" spans="1:16" x14ac:dyDescent="0.3">
      <c r="A844">
        <v>843</v>
      </c>
      <c r="B844" t="s">
        <v>15</v>
      </c>
      <c r="C844">
        <v>84236576</v>
      </c>
      <c r="D844" t="s">
        <v>10</v>
      </c>
      <c r="E844" t="s">
        <v>16</v>
      </c>
      <c r="F844" t="s">
        <v>12</v>
      </c>
      <c r="G844" t="s">
        <v>13</v>
      </c>
      <c r="H844" t="s">
        <v>13</v>
      </c>
      <c r="I844">
        <v>29</v>
      </c>
      <c r="J844">
        <f>ABS((I844-EDA!$A$15)/EDA!$B$15)</f>
        <v>0.91603897814407031</v>
      </c>
      <c r="K844" t="str">
        <f t="shared" si="13"/>
        <v>No</v>
      </c>
      <c r="L844">
        <f>ABS((C844-EDA!$F$15)/EDA!$G$15)</f>
        <v>1.0261021160586288</v>
      </c>
      <c r="M844" t="str">
        <f>IF(moras[[#This Row],[Z-Score Salario]]&gt;1.96, "Sí", "No")</f>
        <v>No</v>
      </c>
      <c r="N844" s="14">
        <f>IF(ISBLANK(moras[[#This Row],[SALARIO]]), EDA!$M$8, moras[[#This Row],[SALARIO]])</f>
        <v>84236576</v>
      </c>
      <c r="O844" s="14">
        <f xml:space="preserve"> IF(ISBLANK(moras[[#This Row],[EDAD]]), EDA!$E$8, moras[[#This Row],[EDAD]])</f>
        <v>29</v>
      </c>
      <c r="P844" s="14" t="str">
        <f>IF(
    OR(ISBLANK(moras[[#This Row],[TIPO_ASEGURAMIENTO]]), moras[[#This Row],[TIPO_ASEGURAMIENTO]]=""),
    EDA!$A$32,
    moras[[#This Row],[TIPO_ASEGURAMIENTO]]
)</f>
        <v>ASALARIADO</v>
      </c>
    </row>
    <row r="845" spans="1:16" x14ac:dyDescent="0.3">
      <c r="A845">
        <v>844</v>
      </c>
      <c r="B845" t="s">
        <v>15</v>
      </c>
      <c r="C845">
        <v>43291667</v>
      </c>
      <c r="D845" t="s">
        <v>10</v>
      </c>
      <c r="E845" t="s">
        <v>16</v>
      </c>
      <c r="F845" t="s">
        <v>12</v>
      </c>
      <c r="G845" t="s">
        <v>13</v>
      </c>
      <c r="H845" t="s">
        <v>13</v>
      </c>
      <c r="I845">
        <v>23</v>
      </c>
      <c r="J845">
        <f>ABS((I845-EDA!$A$15)/EDA!$B$15)</f>
        <v>1.3394909586068953</v>
      </c>
      <c r="K845" t="str">
        <f t="shared" si="13"/>
        <v>No</v>
      </c>
      <c r="L845">
        <f>ABS((C845-EDA!$F$15)/EDA!$G$15)</f>
        <v>0.34474992678795335</v>
      </c>
      <c r="M845" t="str">
        <f>IF(moras[[#This Row],[Z-Score Salario]]&gt;1.96, "Sí", "No")</f>
        <v>No</v>
      </c>
      <c r="N845" s="14">
        <f>IF(ISBLANK(moras[[#This Row],[SALARIO]]), EDA!$M$8, moras[[#This Row],[SALARIO]])</f>
        <v>43291667</v>
      </c>
      <c r="O845" s="14">
        <f xml:space="preserve"> IF(ISBLANK(moras[[#This Row],[EDAD]]), EDA!$E$8, moras[[#This Row],[EDAD]])</f>
        <v>23</v>
      </c>
      <c r="P845" s="14" t="str">
        <f>IF(
    OR(ISBLANK(moras[[#This Row],[TIPO_ASEGURAMIENTO]]), moras[[#This Row],[TIPO_ASEGURAMIENTO]]=""),
    EDA!$A$32,
    moras[[#This Row],[TIPO_ASEGURAMIENTO]]
)</f>
        <v>ASALARIADO</v>
      </c>
    </row>
    <row r="846" spans="1:16" x14ac:dyDescent="0.3">
      <c r="A846">
        <v>845</v>
      </c>
      <c r="B846" t="s">
        <v>9</v>
      </c>
      <c r="C846">
        <v>319224</v>
      </c>
      <c r="D846" t="s">
        <v>10</v>
      </c>
      <c r="E846" t="s">
        <v>16</v>
      </c>
      <c r="F846" t="s">
        <v>12</v>
      </c>
      <c r="G846" t="s">
        <v>13</v>
      </c>
      <c r="H846" t="s">
        <v>13</v>
      </c>
      <c r="I846">
        <v>27</v>
      </c>
      <c r="J846">
        <f>ABS((I846-EDA!$A$15)/EDA!$B$15)</f>
        <v>1.0571896382983452</v>
      </c>
      <c r="K846" t="str">
        <f t="shared" si="13"/>
        <v>No</v>
      </c>
      <c r="L846">
        <f>ABS((C846-EDA!$F$15)/EDA!$G$15)</f>
        <v>0.37034185950370285</v>
      </c>
      <c r="M846" t="str">
        <f>IF(moras[[#This Row],[Z-Score Salario]]&gt;1.96, "Sí", "No")</f>
        <v>No</v>
      </c>
      <c r="N846" s="14">
        <f>IF(ISBLANK(moras[[#This Row],[SALARIO]]), EDA!$M$8, moras[[#This Row],[SALARIO]])</f>
        <v>319224</v>
      </c>
      <c r="O846" s="14">
        <f xml:space="preserve"> IF(ISBLANK(moras[[#This Row],[EDAD]]), EDA!$E$8, moras[[#This Row],[EDAD]])</f>
        <v>27</v>
      </c>
      <c r="P846" s="14" t="str">
        <f>IF(
    OR(ISBLANK(moras[[#This Row],[TIPO_ASEGURAMIENTO]]), moras[[#This Row],[TIPO_ASEGURAMIENTO]]=""),
    EDA!$A$32,
    moras[[#This Row],[TIPO_ASEGURAMIENTO]]
)</f>
        <v>ASALARIADO</v>
      </c>
    </row>
    <row r="847" spans="1:16" x14ac:dyDescent="0.3">
      <c r="A847">
        <v>846</v>
      </c>
      <c r="B847" t="s">
        <v>15</v>
      </c>
      <c r="C847">
        <v>3697124</v>
      </c>
      <c r="D847" t="s">
        <v>14</v>
      </c>
      <c r="E847" t="s">
        <v>11</v>
      </c>
      <c r="F847" t="s">
        <v>12</v>
      </c>
      <c r="G847" t="s">
        <v>13</v>
      </c>
      <c r="H847" t="s">
        <v>13</v>
      </c>
      <c r="I847">
        <v>73</v>
      </c>
      <c r="J847">
        <f>ABS((I847-EDA!$A$15)/EDA!$B$15)</f>
        <v>2.1892755452499797</v>
      </c>
      <c r="K847" t="str">
        <f t="shared" si="13"/>
        <v>Sí</v>
      </c>
      <c r="L847">
        <f>ABS((C847-EDA!$F$15)/EDA!$G$15)</f>
        <v>0.31413121900289204</v>
      </c>
      <c r="M847" t="str">
        <f>IF(moras[[#This Row],[Z-Score Salario]]&gt;1.96, "Sí", "No")</f>
        <v>No</v>
      </c>
      <c r="N847" s="14">
        <f>IF(ISBLANK(moras[[#This Row],[SALARIO]]), EDA!$M$8, moras[[#This Row],[SALARIO]])</f>
        <v>3697124</v>
      </c>
      <c r="O847" s="14">
        <f xml:space="preserve"> IF(ISBLANK(moras[[#This Row],[EDAD]]), EDA!$E$8, moras[[#This Row],[EDAD]])</f>
        <v>73</v>
      </c>
      <c r="P847" s="14" t="str">
        <f>IF(
    OR(ISBLANK(moras[[#This Row],[TIPO_ASEGURAMIENTO]]), moras[[#This Row],[TIPO_ASEGURAMIENTO]]=""),
    EDA!$A$32,
    moras[[#This Row],[TIPO_ASEGURAMIENTO]]
)</f>
        <v>PENSIONADOS EN SU PROPIO SISTEMA</v>
      </c>
    </row>
    <row r="848" spans="1:16" x14ac:dyDescent="0.3">
      <c r="A848">
        <v>847</v>
      </c>
      <c r="B848" t="s">
        <v>15</v>
      </c>
      <c r="C848">
        <v>278030</v>
      </c>
      <c r="D848" t="s">
        <v>17</v>
      </c>
      <c r="E848" t="s">
        <v>16</v>
      </c>
      <c r="F848" t="s">
        <v>12</v>
      </c>
      <c r="G848" t="s">
        <v>13</v>
      </c>
      <c r="H848" t="s">
        <v>12</v>
      </c>
      <c r="I848">
        <v>56</v>
      </c>
      <c r="J848">
        <f>ABS((I848-EDA!$A$15)/EDA!$B$15)</f>
        <v>0.9894949339386423</v>
      </c>
      <c r="K848" t="str">
        <f t="shared" si="13"/>
        <v>No</v>
      </c>
      <c r="L848">
        <f>ABS((C848-EDA!$F$15)/EDA!$G$15)</f>
        <v>0.37102735674304993</v>
      </c>
      <c r="M848" t="str">
        <f>IF(moras[[#This Row],[Z-Score Salario]]&gt;1.96, "Sí", "No")</f>
        <v>No</v>
      </c>
      <c r="N848" s="14">
        <f>IF(ISBLANK(moras[[#This Row],[SALARIO]]), EDA!$M$8, moras[[#This Row],[SALARIO]])</f>
        <v>278030</v>
      </c>
      <c r="O848" s="14">
        <f xml:space="preserve"> IF(ISBLANK(moras[[#This Row],[EDAD]]), EDA!$E$8, moras[[#This Row],[EDAD]])</f>
        <v>56</v>
      </c>
      <c r="P848" s="14" t="str">
        <f>IF(
    OR(ISBLANK(moras[[#This Row],[TIPO_ASEGURAMIENTO]]), moras[[#This Row],[TIPO_ASEGURAMIENTO]]=""),
    EDA!$A$32,
    moras[[#This Row],[TIPO_ASEGURAMIENTO]]
)</f>
        <v>ASEGURADO VOLUNTARIO</v>
      </c>
    </row>
    <row r="849" spans="1:16" x14ac:dyDescent="0.3">
      <c r="A849">
        <v>848</v>
      </c>
      <c r="B849" t="s">
        <v>15</v>
      </c>
      <c r="C849">
        <v>41632846</v>
      </c>
      <c r="D849" t="s">
        <v>10</v>
      </c>
      <c r="E849" t="s">
        <v>11</v>
      </c>
      <c r="F849" t="s">
        <v>12</v>
      </c>
      <c r="G849" t="s">
        <v>13</v>
      </c>
      <c r="H849" t="s">
        <v>13</v>
      </c>
      <c r="I849">
        <v>55</v>
      </c>
      <c r="J849">
        <f>ABS((I849-EDA!$A$15)/EDA!$B$15)</f>
        <v>0.91891960386150484</v>
      </c>
      <c r="K849" t="str">
        <f t="shared" si="13"/>
        <v>No</v>
      </c>
      <c r="L849">
        <f>ABS((C849-EDA!$F$15)/EDA!$G$15)</f>
        <v>0.31714597436597647</v>
      </c>
      <c r="M849" t="str">
        <f>IF(moras[[#This Row],[Z-Score Salario]]&gt;1.96, "Sí", "No")</f>
        <v>No</v>
      </c>
      <c r="N849" s="14">
        <f>IF(ISBLANK(moras[[#This Row],[SALARIO]]), EDA!$M$8, moras[[#This Row],[SALARIO]])</f>
        <v>41632846</v>
      </c>
      <c r="O849" s="14">
        <f xml:space="preserve"> IF(ISBLANK(moras[[#This Row],[EDAD]]), EDA!$E$8, moras[[#This Row],[EDAD]])</f>
        <v>55</v>
      </c>
      <c r="P849" s="14" t="str">
        <f>IF(
    OR(ISBLANK(moras[[#This Row],[TIPO_ASEGURAMIENTO]]), moras[[#This Row],[TIPO_ASEGURAMIENTO]]=""),
    EDA!$A$32,
    moras[[#This Row],[TIPO_ASEGURAMIENTO]]
)</f>
        <v>ASALARIADO</v>
      </c>
    </row>
    <row r="850" spans="1:16" x14ac:dyDescent="0.3">
      <c r="A850">
        <v>849</v>
      </c>
      <c r="B850" t="s">
        <v>9</v>
      </c>
      <c r="C850">
        <v>19075395</v>
      </c>
      <c r="D850" t="s">
        <v>10</v>
      </c>
      <c r="E850" t="s">
        <v>11</v>
      </c>
      <c r="F850" t="s">
        <v>12</v>
      </c>
      <c r="G850" t="s">
        <v>13</v>
      </c>
      <c r="H850" t="s">
        <v>13</v>
      </c>
      <c r="I850">
        <v>56</v>
      </c>
      <c r="J850">
        <f>ABS((I850-EDA!$A$15)/EDA!$B$15)</f>
        <v>0.9894949339386423</v>
      </c>
      <c r="K850" t="str">
        <f t="shared" si="13"/>
        <v>No</v>
      </c>
      <c r="L850">
        <f>ABS((C850-EDA!$F$15)/EDA!$G$15)</f>
        <v>5.8225933853821632E-2</v>
      </c>
      <c r="M850" t="str">
        <f>IF(moras[[#This Row],[Z-Score Salario]]&gt;1.96, "Sí", "No")</f>
        <v>No</v>
      </c>
      <c r="N850" s="14">
        <f>IF(ISBLANK(moras[[#This Row],[SALARIO]]), EDA!$M$8, moras[[#This Row],[SALARIO]])</f>
        <v>19075395</v>
      </c>
      <c r="O850" s="14">
        <f xml:space="preserve"> IF(ISBLANK(moras[[#This Row],[EDAD]]), EDA!$E$8, moras[[#This Row],[EDAD]])</f>
        <v>56</v>
      </c>
      <c r="P850" s="14" t="str">
        <f>IF(
    OR(ISBLANK(moras[[#This Row],[TIPO_ASEGURAMIENTO]]), moras[[#This Row],[TIPO_ASEGURAMIENTO]]=""),
    EDA!$A$32,
    moras[[#This Row],[TIPO_ASEGURAMIENTO]]
)</f>
        <v>ASALARIADO</v>
      </c>
    </row>
    <row r="851" spans="1:16" x14ac:dyDescent="0.3">
      <c r="A851">
        <v>850</v>
      </c>
      <c r="B851" t="s">
        <v>15</v>
      </c>
      <c r="C851">
        <v>350000</v>
      </c>
      <c r="D851" t="s">
        <v>10</v>
      </c>
      <c r="E851" t="s">
        <v>16</v>
      </c>
      <c r="F851" t="s">
        <v>12</v>
      </c>
      <c r="G851" t="s">
        <v>13</v>
      </c>
      <c r="H851" t="s">
        <v>13</v>
      </c>
      <c r="I851">
        <v>51</v>
      </c>
      <c r="J851">
        <f>ABS((I851-EDA!$A$15)/EDA!$B$15)</f>
        <v>0.6366182835529548</v>
      </c>
      <c r="K851" t="str">
        <f t="shared" si="13"/>
        <v>No</v>
      </c>
      <c r="L851">
        <f>ABS((C851-EDA!$F$15)/EDA!$G$15)</f>
        <v>0.36982972513854911</v>
      </c>
      <c r="M851" t="str">
        <f>IF(moras[[#This Row],[Z-Score Salario]]&gt;1.96, "Sí", "No")</f>
        <v>No</v>
      </c>
      <c r="N851" s="14">
        <f>IF(ISBLANK(moras[[#This Row],[SALARIO]]), EDA!$M$8, moras[[#This Row],[SALARIO]])</f>
        <v>350000</v>
      </c>
      <c r="O851" s="14">
        <f xml:space="preserve"> IF(ISBLANK(moras[[#This Row],[EDAD]]), EDA!$E$8, moras[[#This Row],[EDAD]])</f>
        <v>51</v>
      </c>
      <c r="P851" s="14" t="str">
        <f>IF(
    OR(ISBLANK(moras[[#This Row],[TIPO_ASEGURAMIENTO]]), moras[[#This Row],[TIPO_ASEGURAMIENTO]]=""),
    EDA!$A$32,
    moras[[#This Row],[TIPO_ASEGURAMIENTO]]
)</f>
        <v>ASALARIADO</v>
      </c>
    </row>
    <row r="852" spans="1:16" x14ac:dyDescent="0.3">
      <c r="A852">
        <v>851</v>
      </c>
      <c r="B852" t="s">
        <v>9</v>
      </c>
      <c r="C852">
        <v>310124</v>
      </c>
      <c r="D852" t="s">
        <v>18</v>
      </c>
      <c r="E852" t="s">
        <v>16</v>
      </c>
      <c r="F852" t="s">
        <v>12</v>
      </c>
      <c r="G852" t="s">
        <v>12</v>
      </c>
      <c r="H852" t="s">
        <v>13</v>
      </c>
      <c r="I852">
        <v>41</v>
      </c>
      <c r="J852">
        <f>ABS((I852-EDA!$A$15)/EDA!$B$15)</f>
        <v>6.9135017218420233E-2</v>
      </c>
      <c r="K852" t="str">
        <f t="shared" si="13"/>
        <v>No</v>
      </c>
      <c r="L852">
        <f>ABS((C852-EDA!$F$15)/EDA!$G$15)</f>
        <v>0.37049328992750385</v>
      </c>
      <c r="M852" t="str">
        <f>IF(moras[[#This Row],[Z-Score Salario]]&gt;1.96, "Sí", "No")</f>
        <v>No</v>
      </c>
      <c r="N852" s="14">
        <f>IF(ISBLANK(moras[[#This Row],[SALARIO]]), EDA!$M$8, moras[[#This Row],[SALARIO]])</f>
        <v>310124</v>
      </c>
      <c r="O852" s="14">
        <f xml:space="preserve"> IF(ISBLANK(moras[[#This Row],[EDAD]]), EDA!$E$8, moras[[#This Row],[EDAD]])</f>
        <v>41</v>
      </c>
      <c r="P852" s="14" t="str">
        <f>IF(
    OR(ISBLANK(moras[[#This Row],[TIPO_ASEGURAMIENTO]]), moras[[#This Row],[TIPO_ASEGURAMIENTO]]=""),
    EDA!$A$32,
    moras[[#This Row],[TIPO_ASEGURAMIENTO]]
)</f>
        <v>TRABAJADOR INDEPENDIENTE</v>
      </c>
    </row>
    <row r="853" spans="1:16" x14ac:dyDescent="0.3">
      <c r="A853">
        <v>852</v>
      </c>
      <c r="B853" t="s">
        <v>15</v>
      </c>
      <c r="C853">
        <v>400000</v>
      </c>
      <c r="D853" t="s">
        <v>10</v>
      </c>
      <c r="E853" t="s">
        <v>16</v>
      </c>
      <c r="F853" t="s">
        <v>12</v>
      </c>
      <c r="G853" t="s">
        <v>13</v>
      </c>
      <c r="H853" t="s">
        <v>13</v>
      </c>
      <c r="I853">
        <v>41</v>
      </c>
      <c r="J853">
        <f>ABS((I853-EDA!$A$15)/EDA!$B$15)</f>
        <v>6.9135017218420233E-2</v>
      </c>
      <c r="K853" t="str">
        <f t="shared" si="13"/>
        <v>No</v>
      </c>
      <c r="L853">
        <f>ABS((C853-EDA!$F$15)/EDA!$G$15)</f>
        <v>0.36899768984293924</v>
      </c>
      <c r="M853" t="str">
        <f>IF(moras[[#This Row],[Z-Score Salario]]&gt;1.96, "Sí", "No")</f>
        <v>No</v>
      </c>
      <c r="N853" s="14">
        <f>IF(ISBLANK(moras[[#This Row],[SALARIO]]), EDA!$M$8, moras[[#This Row],[SALARIO]])</f>
        <v>400000</v>
      </c>
      <c r="O853" s="14">
        <f xml:space="preserve"> IF(ISBLANK(moras[[#This Row],[EDAD]]), EDA!$E$8, moras[[#This Row],[EDAD]])</f>
        <v>41</v>
      </c>
      <c r="P853" s="14" t="str">
        <f>IF(
    OR(ISBLANK(moras[[#This Row],[TIPO_ASEGURAMIENTO]]), moras[[#This Row],[TIPO_ASEGURAMIENTO]]=""),
    EDA!$A$32,
    moras[[#This Row],[TIPO_ASEGURAMIENTO]]
)</f>
        <v>ASALARIADO</v>
      </c>
    </row>
    <row r="854" spans="1:16" x14ac:dyDescent="0.3">
      <c r="A854">
        <v>853</v>
      </c>
      <c r="B854" t="s">
        <v>9</v>
      </c>
      <c r="C854">
        <v>353469</v>
      </c>
      <c r="D854" t="s">
        <v>10</v>
      </c>
      <c r="E854" t="s">
        <v>16</v>
      </c>
      <c r="F854" t="s">
        <v>12</v>
      </c>
      <c r="G854" t="s">
        <v>13</v>
      </c>
      <c r="H854" t="s">
        <v>13</v>
      </c>
      <c r="I854">
        <v>44</v>
      </c>
      <c r="J854">
        <f>ABS((I854-EDA!$A$15)/EDA!$B$15)</f>
        <v>0.14259097301299228</v>
      </c>
      <c r="K854" t="str">
        <f t="shared" si="13"/>
        <v>No</v>
      </c>
      <c r="L854">
        <f>ABS((C854-EDA!$F$15)/EDA!$G$15)</f>
        <v>0.36977199852973969</v>
      </c>
      <c r="M854" t="str">
        <f>IF(moras[[#This Row],[Z-Score Salario]]&gt;1.96, "Sí", "No")</f>
        <v>No</v>
      </c>
      <c r="N854" s="14">
        <f>IF(ISBLANK(moras[[#This Row],[SALARIO]]), EDA!$M$8, moras[[#This Row],[SALARIO]])</f>
        <v>353469</v>
      </c>
      <c r="O854" s="14">
        <f xml:space="preserve"> IF(ISBLANK(moras[[#This Row],[EDAD]]), EDA!$E$8, moras[[#This Row],[EDAD]])</f>
        <v>44</v>
      </c>
      <c r="P854" s="14" t="str">
        <f>IF(
    OR(ISBLANK(moras[[#This Row],[TIPO_ASEGURAMIENTO]]), moras[[#This Row],[TIPO_ASEGURAMIENTO]]=""),
    EDA!$A$32,
    moras[[#This Row],[TIPO_ASEGURAMIENTO]]
)</f>
        <v>ASALARIADO</v>
      </c>
    </row>
    <row r="855" spans="1:16" x14ac:dyDescent="0.3">
      <c r="A855">
        <v>854</v>
      </c>
      <c r="B855" t="s">
        <v>9</v>
      </c>
      <c r="C855">
        <v>362010</v>
      </c>
      <c r="D855" t="s">
        <v>10</v>
      </c>
      <c r="E855" t="s">
        <v>16</v>
      </c>
      <c r="F855" t="s">
        <v>12</v>
      </c>
      <c r="G855" t="s">
        <v>13</v>
      </c>
      <c r="H855" t="s">
        <v>12</v>
      </c>
      <c r="I855">
        <v>72</v>
      </c>
      <c r="J855">
        <f>ABS((I855-EDA!$A$15)/EDA!$B$15)</f>
        <v>2.1187002151728422</v>
      </c>
      <c r="K855" t="str">
        <f t="shared" si="13"/>
        <v>Sí</v>
      </c>
      <c r="L855">
        <f>ABS((C855-EDA!$F$15)/EDA!$G$15)</f>
        <v>0.36962987026054361</v>
      </c>
      <c r="M855" t="str">
        <f>IF(moras[[#This Row],[Z-Score Salario]]&gt;1.96, "Sí", "No")</f>
        <v>No</v>
      </c>
      <c r="N855" s="14">
        <f>IF(ISBLANK(moras[[#This Row],[SALARIO]]), EDA!$M$8, moras[[#This Row],[SALARIO]])</f>
        <v>362010</v>
      </c>
      <c r="O855" s="14">
        <f xml:space="preserve"> IF(ISBLANK(moras[[#This Row],[EDAD]]), EDA!$E$8, moras[[#This Row],[EDAD]])</f>
        <v>72</v>
      </c>
      <c r="P855" s="14" t="str">
        <f>IF(
    OR(ISBLANK(moras[[#This Row],[TIPO_ASEGURAMIENTO]]), moras[[#This Row],[TIPO_ASEGURAMIENTO]]=""),
    EDA!$A$32,
    moras[[#This Row],[TIPO_ASEGURAMIENTO]]
)</f>
        <v>ASALARIADO</v>
      </c>
    </row>
    <row r="856" spans="1:16" x14ac:dyDescent="0.3">
      <c r="A856">
        <v>855</v>
      </c>
      <c r="B856" t="s">
        <v>9</v>
      </c>
      <c r="C856">
        <v>154795343</v>
      </c>
      <c r="D856" t="s">
        <v>10</v>
      </c>
      <c r="E856" t="s">
        <v>16</v>
      </c>
      <c r="F856" t="s">
        <v>12</v>
      </c>
      <c r="G856" t="s">
        <v>13</v>
      </c>
      <c r="H856" t="s">
        <v>13</v>
      </c>
      <c r="I856">
        <v>25</v>
      </c>
      <c r="J856">
        <f>ABS((I856-EDA!$A$15)/EDA!$B$15)</f>
        <v>1.1983402984526204</v>
      </c>
      <c r="K856" t="str">
        <f t="shared" si="13"/>
        <v>No</v>
      </c>
      <c r="L856">
        <f>ABS((C856-EDA!$F$15)/EDA!$G$15)</f>
        <v>2.2002498072328716</v>
      </c>
      <c r="M856" t="str">
        <f>IF(moras[[#This Row],[Z-Score Salario]]&gt;1.96, "Sí", "No")</f>
        <v>Sí</v>
      </c>
      <c r="N856" s="14">
        <f>IF(ISBLANK(moras[[#This Row],[SALARIO]]), EDA!$M$8, moras[[#This Row],[SALARIO]])</f>
        <v>154795343</v>
      </c>
      <c r="O856" s="14">
        <f xml:space="preserve"> IF(ISBLANK(moras[[#This Row],[EDAD]]), EDA!$E$8, moras[[#This Row],[EDAD]])</f>
        <v>25</v>
      </c>
      <c r="P856" s="14" t="str">
        <f>IF(
    OR(ISBLANK(moras[[#This Row],[TIPO_ASEGURAMIENTO]]), moras[[#This Row],[TIPO_ASEGURAMIENTO]]=""),
    EDA!$A$32,
    moras[[#This Row],[TIPO_ASEGURAMIENTO]]
)</f>
        <v>ASALARIADO</v>
      </c>
    </row>
    <row r="857" spans="1:16" x14ac:dyDescent="0.3">
      <c r="A857">
        <v>856</v>
      </c>
      <c r="B857" t="s">
        <v>15</v>
      </c>
      <c r="C857">
        <v>297046</v>
      </c>
      <c r="D857" t="s">
        <v>18</v>
      </c>
      <c r="E857" t="s">
        <v>16</v>
      </c>
      <c r="F857" t="s">
        <v>12</v>
      </c>
      <c r="G857" t="s">
        <v>13</v>
      </c>
      <c r="H857" t="s">
        <v>13</v>
      </c>
      <c r="I857">
        <v>34</v>
      </c>
      <c r="J857">
        <f>ABS((I857-EDA!$A$15)/EDA!$B$15)</f>
        <v>0.56316232775838282</v>
      </c>
      <c r="K857" t="str">
        <f t="shared" si="13"/>
        <v>No</v>
      </c>
      <c r="L857">
        <f>ABS((C857-EDA!$F$15)/EDA!$G$15)</f>
        <v>0.37071091707942361</v>
      </c>
      <c r="M857" t="str">
        <f>IF(moras[[#This Row],[Z-Score Salario]]&gt;1.96, "Sí", "No")</f>
        <v>No</v>
      </c>
      <c r="N857" s="14">
        <f>IF(ISBLANK(moras[[#This Row],[SALARIO]]), EDA!$M$8, moras[[#This Row],[SALARIO]])</f>
        <v>297046</v>
      </c>
      <c r="O857" s="14">
        <f xml:space="preserve"> IF(ISBLANK(moras[[#This Row],[EDAD]]), EDA!$E$8, moras[[#This Row],[EDAD]])</f>
        <v>34</v>
      </c>
      <c r="P857" s="14" t="str">
        <f>IF(
    OR(ISBLANK(moras[[#This Row],[TIPO_ASEGURAMIENTO]]), moras[[#This Row],[TIPO_ASEGURAMIENTO]]=""),
    EDA!$A$32,
    moras[[#This Row],[TIPO_ASEGURAMIENTO]]
)</f>
        <v>TRABAJADOR INDEPENDIENTE</v>
      </c>
    </row>
    <row r="858" spans="1:16" x14ac:dyDescent="0.3">
      <c r="A858">
        <v>857</v>
      </c>
      <c r="B858" t="s">
        <v>9</v>
      </c>
      <c r="C858">
        <v>65381062</v>
      </c>
      <c r="D858" t="s">
        <v>10</v>
      </c>
      <c r="E858" t="s">
        <v>16</v>
      </c>
      <c r="F858" t="s">
        <v>12</v>
      </c>
      <c r="G858" t="s">
        <v>13</v>
      </c>
      <c r="H858" t="s">
        <v>13</v>
      </c>
      <c r="I858">
        <v>59</v>
      </c>
      <c r="J858">
        <f>ABS((I858-EDA!$A$15)/EDA!$B$15)</f>
        <v>1.2012209241700549</v>
      </c>
      <c r="K858" t="str">
        <f t="shared" si="13"/>
        <v>No</v>
      </c>
      <c r="L858">
        <f>ABS((C858-EDA!$F$15)/EDA!$G$15)</f>
        <v>0.71233305276131209</v>
      </c>
      <c r="M858" t="str">
        <f>IF(moras[[#This Row],[Z-Score Salario]]&gt;1.96, "Sí", "No")</f>
        <v>No</v>
      </c>
      <c r="N858" s="14">
        <f>IF(ISBLANK(moras[[#This Row],[SALARIO]]), EDA!$M$8, moras[[#This Row],[SALARIO]])</f>
        <v>65381062</v>
      </c>
      <c r="O858" s="14">
        <f xml:space="preserve"> IF(ISBLANK(moras[[#This Row],[EDAD]]), EDA!$E$8, moras[[#This Row],[EDAD]])</f>
        <v>59</v>
      </c>
      <c r="P858" s="14" t="str">
        <f>IF(
    OR(ISBLANK(moras[[#This Row],[TIPO_ASEGURAMIENTO]]), moras[[#This Row],[TIPO_ASEGURAMIENTO]]=""),
    EDA!$A$32,
    moras[[#This Row],[TIPO_ASEGURAMIENTO]]
)</f>
        <v>ASALARIADO</v>
      </c>
    </row>
    <row r="859" spans="1:16" x14ac:dyDescent="0.3">
      <c r="A859">
        <v>858</v>
      </c>
      <c r="B859" t="s">
        <v>15</v>
      </c>
      <c r="C859">
        <v>790070</v>
      </c>
      <c r="D859" t="s">
        <v>14</v>
      </c>
      <c r="E859" t="s">
        <v>11</v>
      </c>
      <c r="F859" t="s">
        <v>12</v>
      </c>
      <c r="G859" t="s">
        <v>13</v>
      </c>
      <c r="H859" t="s">
        <v>13</v>
      </c>
      <c r="I859">
        <v>69</v>
      </c>
      <c r="J859">
        <f>ABS((I859-EDA!$A$15)/EDA!$B$15)</f>
        <v>1.9069742249414299</v>
      </c>
      <c r="K859" t="str">
        <f t="shared" si="13"/>
        <v>No</v>
      </c>
      <c r="L859">
        <f>ABS((C859-EDA!$F$15)/EDA!$G$15)</f>
        <v>0.36250664968776847</v>
      </c>
      <c r="M859" t="str">
        <f>IF(moras[[#This Row],[Z-Score Salario]]&gt;1.96, "Sí", "No")</f>
        <v>No</v>
      </c>
      <c r="N859" s="14">
        <f>IF(ISBLANK(moras[[#This Row],[SALARIO]]), EDA!$M$8, moras[[#This Row],[SALARIO]])</f>
        <v>790070</v>
      </c>
      <c r="O859" s="14">
        <f xml:space="preserve"> IF(ISBLANK(moras[[#This Row],[EDAD]]), EDA!$E$8, moras[[#This Row],[EDAD]])</f>
        <v>69</v>
      </c>
      <c r="P859" s="14" t="str">
        <f>IF(
    OR(ISBLANK(moras[[#This Row],[TIPO_ASEGURAMIENTO]]), moras[[#This Row],[TIPO_ASEGURAMIENTO]]=""),
    EDA!$A$32,
    moras[[#This Row],[TIPO_ASEGURAMIENTO]]
)</f>
        <v>PENSIONADOS EN SU PROPIO SISTEMA</v>
      </c>
    </row>
    <row r="860" spans="1:16" x14ac:dyDescent="0.3">
      <c r="A860">
        <v>859</v>
      </c>
      <c r="B860" t="s">
        <v>9</v>
      </c>
      <c r="C860">
        <v>546563</v>
      </c>
      <c r="D860" t="s">
        <v>18</v>
      </c>
      <c r="E860" t="s">
        <v>16</v>
      </c>
      <c r="F860" t="s">
        <v>12</v>
      </c>
      <c r="G860" t="s">
        <v>13</v>
      </c>
      <c r="H860" t="s">
        <v>12</v>
      </c>
      <c r="I860">
        <v>51</v>
      </c>
      <c r="J860">
        <f>ABS((I860-EDA!$A$15)/EDA!$B$15)</f>
        <v>0.6366182835529548</v>
      </c>
      <c r="K860" t="str">
        <f t="shared" si="13"/>
        <v>No</v>
      </c>
      <c r="L860">
        <f>ABS((C860-EDA!$F$15)/EDA!$G$15)</f>
        <v>0.36655877806232989</v>
      </c>
      <c r="M860" t="str">
        <f>IF(moras[[#This Row],[Z-Score Salario]]&gt;1.96, "Sí", "No")</f>
        <v>No</v>
      </c>
      <c r="N860" s="14">
        <f>IF(ISBLANK(moras[[#This Row],[SALARIO]]), EDA!$M$8, moras[[#This Row],[SALARIO]])</f>
        <v>546563</v>
      </c>
      <c r="O860" s="14">
        <f xml:space="preserve"> IF(ISBLANK(moras[[#This Row],[EDAD]]), EDA!$E$8, moras[[#This Row],[EDAD]])</f>
        <v>51</v>
      </c>
      <c r="P860" s="14" t="str">
        <f>IF(
    OR(ISBLANK(moras[[#This Row],[TIPO_ASEGURAMIENTO]]), moras[[#This Row],[TIPO_ASEGURAMIENTO]]=""),
    EDA!$A$32,
    moras[[#This Row],[TIPO_ASEGURAMIENTO]]
)</f>
        <v>TRABAJADOR INDEPENDIENTE</v>
      </c>
    </row>
    <row r="861" spans="1:16" x14ac:dyDescent="0.3">
      <c r="A861">
        <v>860</v>
      </c>
      <c r="B861" t="s">
        <v>15</v>
      </c>
      <c r="C861">
        <v>260000</v>
      </c>
      <c r="D861" t="s">
        <v>10</v>
      </c>
      <c r="E861" t="s">
        <v>16</v>
      </c>
      <c r="F861" t="s">
        <v>12</v>
      </c>
      <c r="G861" t="s">
        <v>13</v>
      </c>
      <c r="H861" t="s">
        <v>12</v>
      </c>
      <c r="I861">
        <v>37</v>
      </c>
      <c r="J861">
        <f>ABS((I861-EDA!$A$15)/EDA!$B$15)</f>
        <v>0.35143633752697023</v>
      </c>
      <c r="K861" t="str">
        <f t="shared" si="13"/>
        <v>No</v>
      </c>
      <c r="L861">
        <f>ABS((C861-EDA!$F$15)/EDA!$G$15)</f>
        <v>0.37132738867064685</v>
      </c>
      <c r="M861" t="str">
        <f>IF(moras[[#This Row],[Z-Score Salario]]&gt;1.96, "Sí", "No")</f>
        <v>No</v>
      </c>
      <c r="N861" s="14">
        <f>IF(ISBLANK(moras[[#This Row],[SALARIO]]), EDA!$M$8, moras[[#This Row],[SALARIO]])</f>
        <v>260000</v>
      </c>
      <c r="O861" s="14">
        <f xml:space="preserve"> IF(ISBLANK(moras[[#This Row],[EDAD]]), EDA!$E$8, moras[[#This Row],[EDAD]])</f>
        <v>37</v>
      </c>
      <c r="P861" s="14" t="str">
        <f>IF(
    OR(ISBLANK(moras[[#This Row],[TIPO_ASEGURAMIENTO]]), moras[[#This Row],[TIPO_ASEGURAMIENTO]]=""),
    EDA!$A$32,
    moras[[#This Row],[TIPO_ASEGURAMIENTO]]
)</f>
        <v>ASALARIADO</v>
      </c>
    </row>
    <row r="862" spans="1:16" x14ac:dyDescent="0.3">
      <c r="A862">
        <v>861</v>
      </c>
      <c r="B862" t="s">
        <v>9</v>
      </c>
      <c r="C862">
        <v>343391</v>
      </c>
      <c r="D862" t="s">
        <v>10</v>
      </c>
      <c r="E862" t="s">
        <v>16</v>
      </c>
      <c r="F862" t="s">
        <v>12</v>
      </c>
      <c r="G862" t="s">
        <v>13</v>
      </c>
      <c r="H862" t="s">
        <v>13</v>
      </c>
      <c r="I862">
        <v>32</v>
      </c>
      <c r="J862">
        <f>ABS((I862-EDA!$A$15)/EDA!$B$15)</f>
        <v>0.70431298791265773</v>
      </c>
      <c r="K862" t="str">
        <f t="shared" si="13"/>
        <v>No</v>
      </c>
      <c r="L862">
        <f>ABS((C862-EDA!$F$15)/EDA!$G$15)</f>
        <v>0.36993970356392281</v>
      </c>
      <c r="M862" t="str">
        <f>IF(moras[[#This Row],[Z-Score Salario]]&gt;1.96, "Sí", "No")</f>
        <v>No</v>
      </c>
      <c r="N862" s="14">
        <f>IF(ISBLANK(moras[[#This Row],[SALARIO]]), EDA!$M$8, moras[[#This Row],[SALARIO]])</f>
        <v>343391</v>
      </c>
      <c r="O862" s="14">
        <f xml:space="preserve"> IF(ISBLANK(moras[[#This Row],[EDAD]]), EDA!$E$8, moras[[#This Row],[EDAD]])</f>
        <v>32</v>
      </c>
      <c r="P862" s="14" t="str">
        <f>IF(
    OR(ISBLANK(moras[[#This Row],[TIPO_ASEGURAMIENTO]]), moras[[#This Row],[TIPO_ASEGURAMIENTO]]=""),
    EDA!$A$32,
    moras[[#This Row],[TIPO_ASEGURAMIENTO]]
)</f>
        <v>ASALARIADO</v>
      </c>
    </row>
    <row r="863" spans="1:16" x14ac:dyDescent="0.3">
      <c r="A863">
        <v>862</v>
      </c>
      <c r="B863" t="s">
        <v>15</v>
      </c>
      <c r="C863">
        <v>114247</v>
      </c>
      <c r="D863" t="s">
        <v>10</v>
      </c>
      <c r="E863" t="s">
        <v>11</v>
      </c>
      <c r="F863" t="s">
        <v>12</v>
      </c>
      <c r="G863" t="s">
        <v>13</v>
      </c>
      <c r="H863" t="s">
        <v>13</v>
      </c>
      <c r="I863">
        <v>29</v>
      </c>
      <c r="J863">
        <f>ABS((I863-EDA!$A$15)/EDA!$B$15)</f>
        <v>0.91603897814407031</v>
      </c>
      <c r="K863" t="str">
        <f t="shared" si="13"/>
        <v>No</v>
      </c>
      <c r="L863">
        <f>ABS((C863-EDA!$F$15)/EDA!$G$15)</f>
        <v>0.37375282147946731</v>
      </c>
      <c r="M863" t="str">
        <f>IF(moras[[#This Row],[Z-Score Salario]]&gt;1.96, "Sí", "No")</f>
        <v>No</v>
      </c>
      <c r="N863" s="14">
        <f>IF(ISBLANK(moras[[#This Row],[SALARIO]]), EDA!$M$8, moras[[#This Row],[SALARIO]])</f>
        <v>114247</v>
      </c>
      <c r="O863" s="14">
        <f xml:space="preserve"> IF(ISBLANK(moras[[#This Row],[EDAD]]), EDA!$E$8, moras[[#This Row],[EDAD]])</f>
        <v>29</v>
      </c>
      <c r="P863" s="14" t="str">
        <f>IF(
    OR(ISBLANK(moras[[#This Row],[TIPO_ASEGURAMIENTO]]), moras[[#This Row],[TIPO_ASEGURAMIENTO]]=""),
    EDA!$A$32,
    moras[[#This Row],[TIPO_ASEGURAMIENTO]]
)</f>
        <v>ASALARIADO</v>
      </c>
    </row>
    <row r="864" spans="1:16" x14ac:dyDescent="0.3">
      <c r="A864">
        <v>863</v>
      </c>
      <c r="B864" t="s">
        <v>15</v>
      </c>
      <c r="C864">
        <v>100186</v>
      </c>
      <c r="D864" t="s">
        <v>10</v>
      </c>
      <c r="E864" t="s">
        <v>16</v>
      </c>
      <c r="F864" t="s">
        <v>12</v>
      </c>
      <c r="G864" t="s">
        <v>13</v>
      </c>
      <c r="H864" t="s">
        <v>13</v>
      </c>
      <c r="I864">
        <v>48</v>
      </c>
      <c r="J864">
        <f>ABS((I864-EDA!$A$15)/EDA!$B$15)</f>
        <v>0.42489229332154227</v>
      </c>
      <c r="K864" t="str">
        <f t="shared" si="13"/>
        <v>No</v>
      </c>
      <c r="L864">
        <f>ABS((C864-EDA!$F$15)/EDA!$G$15)</f>
        <v>0.37398680644529869</v>
      </c>
      <c r="M864" t="str">
        <f>IF(moras[[#This Row],[Z-Score Salario]]&gt;1.96, "Sí", "No")</f>
        <v>No</v>
      </c>
      <c r="N864" s="14">
        <f>IF(ISBLANK(moras[[#This Row],[SALARIO]]), EDA!$M$8, moras[[#This Row],[SALARIO]])</f>
        <v>100186</v>
      </c>
      <c r="O864" s="14">
        <f xml:space="preserve"> IF(ISBLANK(moras[[#This Row],[EDAD]]), EDA!$E$8, moras[[#This Row],[EDAD]])</f>
        <v>48</v>
      </c>
      <c r="P864" s="14" t="str">
        <f>IF(
    OR(ISBLANK(moras[[#This Row],[TIPO_ASEGURAMIENTO]]), moras[[#This Row],[TIPO_ASEGURAMIENTO]]=""),
    EDA!$A$32,
    moras[[#This Row],[TIPO_ASEGURAMIENTO]]
)</f>
        <v>ASALARIADO</v>
      </c>
    </row>
    <row r="865" spans="1:16" x14ac:dyDescent="0.3">
      <c r="A865">
        <v>864</v>
      </c>
      <c r="B865" t="s">
        <v>9</v>
      </c>
      <c r="C865">
        <v>1500000</v>
      </c>
      <c r="D865" t="s">
        <v>10</v>
      </c>
      <c r="E865" t="s">
        <v>16</v>
      </c>
      <c r="F865" t="s">
        <v>12</v>
      </c>
      <c r="G865" t="s">
        <v>12</v>
      </c>
      <c r="H865" t="s">
        <v>13</v>
      </c>
      <c r="I865">
        <v>62</v>
      </c>
      <c r="J865">
        <f>ABS((I865-EDA!$A$15)/EDA!$B$15)</f>
        <v>1.4129469144014672</v>
      </c>
      <c r="K865" t="str">
        <f t="shared" si="13"/>
        <v>No</v>
      </c>
      <c r="L865">
        <f>ABS((C865-EDA!$F$15)/EDA!$G$15)</f>
        <v>0.35069291333952235</v>
      </c>
      <c r="M865" t="str">
        <f>IF(moras[[#This Row],[Z-Score Salario]]&gt;1.96, "Sí", "No")</f>
        <v>No</v>
      </c>
      <c r="N865" s="14">
        <f>IF(ISBLANK(moras[[#This Row],[SALARIO]]), EDA!$M$8, moras[[#This Row],[SALARIO]])</f>
        <v>1500000</v>
      </c>
      <c r="O865" s="14">
        <f xml:space="preserve"> IF(ISBLANK(moras[[#This Row],[EDAD]]), EDA!$E$8, moras[[#This Row],[EDAD]])</f>
        <v>62</v>
      </c>
      <c r="P865" s="14" t="str">
        <f>IF(
    OR(ISBLANK(moras[[#This Row],[TIPO_ASEGURAMIENTO]]), moras[[#This Row],[TIPO_ASEGURAMIENTO]]=""),
    EDA!$A$32,
    moras[[#This Row],[TIPO_ASEGURAMIENTO]]
)</f>
        <v>ASALARIADO</v>
      </c>
    </row>
    <row r="866" spans="1:16" x14ac:dyDescent="0.3">
      <c r="A866">
        <v>865</v>
      </c>
      <c r="B866" t="s">
        <v>15</v>
      </c>
      <c r="C866">
        <v>278030</v>
      </c>
      <c r="D866" t="s">
        <v>18</v>
      </c>
      <c r="E866" t="s">
        <v>16</v>
      </c>
      <c r="F866" t="s">
        <v>12</v>
      </c>
      <c r="G866" t="s">
        <v>12</v>
      </c>
      <c r="H866" t="s">
        <v>12</v>
      </c>
      <c r="I866">
        <v>40</v>
      </c>
      <c r="J866">
        <f>ABS((I866-EDA!$A$15)/EDA!$B$15)</f>
        <v>0.13971034729555773</v>
      </c>
      <c r="K866" t="str">
        <f t="shared" si="13"/>
        <v>No</v>
      </c>
      <c r="L866">
        <f>ABS((C866-EDA!$F$15)/EDA!$G$15)</f>
        <v>0.37102735674304993</v>
      </c>
      <c r="M866" t="str">
        <f>IF(moras[[#This Row],[Z-Score Salario]]&gt;1.96, "Sí", "No")</f>
        <v>No</v>
      </c>
      <c r="N866" s="14">
        <f>IF(ISBLANK(moras[[#This Row],[SALARIO]]), EDA!$M$8, moras[[#This Row],[SALARIO]])</f>
        <v>278030</v>
      </c>
      <c r="O866" s="14">
        <f xml:space="preserve"> IF(ISBLANK(moras[[#This Row],[EDAD]]), EDA!$E$8, moras[[#This Row],[EDAD]])</f>
        <v>40</v>
      </c>
      <c r="P866" s="14" t="str">
        <f>IF(
    OR(ISBLANK(moras[[#This Row],[TIPO_ASEGURAMIENTO]]), moras[[#This Row],[TIPO_ASEGURAMIENTO]]=""),
    EDA!$A$32,
    moras[[#This Row],[TIPO_ASEGURAMIENTO]]
)</f>
        <v>TRABAJADOR INDEPENDIENTE</v>
      </c>
    </row>
    <row r="867" spans="1:16" x14ac:dyDescent="0.3">
      <c r="A867">
        <v>866</v>
      </c>
      <c r="B867" t="s">
        <v>9</v>
      </c>
      <c r="C867">
        <v>44525824</v>
      </c>
      <c r="D867" t="s">
        <v>10</v>
      </c>
      <c r="E867" t="s">
        <v>16</v>
      </c>
      <c r="F867" t="s">
        <v>12</v>
      </c>
      <c r="G867" t="s">
        <v>13</v>
      </c>
      <c r="H867" t="s">
        <v>13</v>
      </c>
      <c r="I867">
        <v>45</v>
      </c>
      <c r="J867">
        <f>ABS((I867-EDA!$A$15)/EDA!$B$15)</f>
        <v>0.21316630309012977</v>
      </c>
      <c r="K867" t="str">
        <f t="shared" si="13"/>
        <v>No</v>
      </c>
      <c r="L867">
        <f>ABS((C867-EDA!$F$15)/EDA!$G$15)</f>
        <v>0.36528717047443288</v>
      </c>
      <c r="M867" t="str">
        <f>IF(moras[[#This Row],[Z-Score Salario]]&gt;1.96, "Sí", "No")</f>
        <v>No</v>
      </c>
      <c r="N867" s="14">
        <f>IF(ISBLANK(moras[[#This Row],[SALARIO]]), EDA!$M$8, moras[[#This Row],[SALARIO]])</f>
        <v>44525824</v>
      </c>
      <c r="O867" s="14">
        <f xml:space="preserve"> IF(ISBLANK(moras[[#This Row],[EDAD]]), EDA!$E$8, moras[[#This Row],[EDAD]])</f>
        <v>45</v>
      </c>
      <c r="P867" s="14" t="str">
        <f>IF(
    OR(ISBLANK(moras[[#This Row],[TIPO_ASEGURAMIENTO]]), moras[[#This Row],[TIPO_ASEGURAMIENTO]]=""),
    EDA!$A$32,
    moras[[#This Row],[TIPO_ASEGURAMIENTO]]
)</f>
        <v>ASALARIADO</v>
      </c>
    </row>
    <row r="868" spans="1:16" x14ac:dyDescent="0.3">
      <c r="A868">
        <v>867</v>
      </c>
      <c r="B868" t="s">
        <v>9</v>
      </c>
      <c r="C868">
        <v>257920</v>
      </c>
      <c r="D868" t="s">
        <v>10</v>
      </c>
      <c r="E868" t="s">
        <v>16</v>
      </c>
      <c r="F868" t="s">
        <v>12</v>
      </c>
      <c r="G868" t="s">
        <v>12</v>
      </c>
      <c r="H868" t="s">
        <v>13</v>
      </c>
      <c r="I868">
        <v>58</v>
      </c>
      <c r="J868">
        <f>ABS((I868-EDA!$A$15)/EDA!$B$15)</f>
        <v>1.1306455940929174</v>
      </c>
      <c r="K868" t="str">
        <f t="shared" si="13"/>
        <v>No</v>
      </c>
      <c r="L868">
        <f>ABS((C868-EDA!$F$15)/EDA!$G$15)</f>
        <v>0.3713620013389442</v>
      </c>
      <c r="M868" t="str">
        <f>IF(moras[[#This Row],[Z-Score Salario]]&gt;1.96, "Sí", "No")</f>
        <v>No</v>
      </c>
      <c r="N868" s="14">
        <f>IF(ISBLANK(moras[[#This Row],[SALARIO]]), EDA!$M$8, moras[[#This Row],[SALARIO]])</f>
        <v>257920</v>
      </c>
      <c r="O868" s="14">
        <f xml:space="preserve"> IF(ISBLANK(moras[[#This Row],[EDAD]]), EDA!$E$8, moras[[#This Row],[EDAD]])</f>
        <v>58</v>
      </c>
      <c r="P868" s="14" t="str">
        <f>IF(
    OR(ISBLANK(moras[[#This Row],[TIPO_ASEGURAMIENTO]]), moras[[#This Row],[TIPO_ASEGURAMIENTO]]=""),
    EDA!$A$32,
    moras[[#This Row],[TIPO_ASEGURAMIENTO]]
)</f>
        <v>ASALARIADO</v>
      </c>
    </row>
    <row r="869" spans="1:16" x14ac:dyDescent="0.3">
      <c r="A869">
        <v>868</v>
      </c>
      <c r="B869" t="s">
        <v>9</v>
      </c>
      <c r="C869">
        <v>177692256</v>
      </c>
      <c r="D869" t="s">
        <v>10</v>
      </c>
      <c r="E869" t="s">
        <v>16</v>
      </c>
      <c r="F869" t="s">
        <v>12</v>
      </c>
      <c r="G869" t="s">
        <v>13</v>
      </c>
      <c r="H869" t="s">
        <v>13</v>
      </c>
      <c r="I869">
        <v>27</v>
      </c>
      <c r="J869">
        <f>ABS((I869-EDA!$A$15)/EDA!$B$15)</f>
        <v>1.0571896382983452</v>
      </c>
      <c r="K869" t="str">
        <f t="shared" si="13"/>
        <v>No</v>
      </c>
      <c r="L869">
        <f>ABS((C869-EDA!$F$15)/EDA!$G$15)</f>
        <v>2.5812706027630359</v>
      </c>
      <c r="M869" t="str">
        <f>IF(moras[[#This Row],[Z-Score Salario]]&gt;1.96, "Sí", "No")</f>
        <v>Sí</v>
      </c>
      <c r="N869" s="14">
        <f>IF(ISBLANK(moras[[#This Row],[SALARIO]]), EDA!$M$8, moras[[#This Row],[SALARIO]])</f>
        <v>177692256</v>
      </c>
      <c r="O869" s="14">
        <f xml:space="preserve"> IF(ISBLANK(moras[[#This Row],[EDAD]]), EDA!$E$8, moras[[#This Row],[EDAD]])</f>
        <v>27</v>
      </c>
      <c r="P869" s="14" t="str">
        <f>IF(
    OR(ISBLANK(moras[[#This Row],[TIPO_ASEGURAMIENTO]]), moras[[#This Row],[TIPO_ASEGURAMIENTO]]=""),
    EDA!$A$32,
    moras[[#This Row],[TIPO_ASEGURAMIENTO]]
)</f>
        <v>ASALARIADO</v>
      </c>
    </row>
    <row r="870" spans="1:16" x14ac:dyDescent="0.3">
      <c r="A870">
        <v>869</v>
      </c>
      <c r="B870" t="s">
        <v>9</v>
      </c>
      <c r="C870">
        <v>757568</v>
      </c>
      <c r="D870" t="s">
        <v>10</v>
      </c>
      <c r="E870" t="s">
        <v>11</v>
      </c>
      <c r="F870" t="s">
        <v>12</v>
      </c>
      <c r="G870" t="s">
        <v>13</v>
      </c>
      <c r="H870" t="s">
        <v>13</v>
      </c>
      <c r="I870">
        <v>47</v>
      </c>
      <c r="J870">
        <f>ABS((I870-EDA!$A$15)/EDA!$B$15)</f>
        <v>0.35431696324440481</v>
      </c>
      <c r="K870" t="str">
        <f t="shared" si="13"/>
        <v>No</v>
      </c>
      <c r="L870">
        <f>ABS((C870-EDA!$F$15)/EDA!$G$15)</f>
        <v>0.36304750591132673</v>
      </c>
      <c r="M870" t="str">
        <f>IF(moras[[#This Row],[Z-Score Salario]]&gt;1.96, "Sí", "No")</f>
        <v>No</v>
      </c>
      <c r="N870" s="14">
        <f>IF(ISBLANK(moras[[#This Row],[SALARIO]]), EDA!$M$8, moras[[#This Row],[SALARIO]])</f>
        <v>757568</v>
      </c>
      <c r="O870" s="14">
        <f xml:space="preserve"> IF(ISBLANK(moras[[#This Row],[EDAD]]), EDA!$E$8, moras[[#This Row],[EDAD]])</f>
        <v>47</v>
      </c>
      <c r="P870" s="14" t="str">
        <f>IF(
    OR(ISBLANK(moras[[#This Row],[TIPO_ASEGURAMIENTO]]), moras[[#This Row],[TIPO_ASEGURAMIENTO]]=""),
    EDA!$A$32,
    moras[[#This Row],[TIPO_ASEGURAMIENTO]]
)</f>
        <v>ASALARIADO</v>
      </c>
    </row>
    <row r="871" spans="1:16" x14ac:dyDescent="0.3">
      <c r="A871">
        <v>870</v>
      </c>
      <c r="B871" t="s">
        <v>9</v>
      </c>
      <c r="C871">
        <v>509509</v>
      </c>
      <c r="D871" t="s">
        <v>18</v>
      </c>
      <c r="E871" t="s">
        <v>16</v>
      </c>
      <c r="F871" t="s">
        <v>12</v>
      </c>
      <c r="G871" t="s">
        <v>13</v>
      </c>
      <c r="H871" t="s">
        <v>12</v>
      </c>
      <c r="I871">
        <v>63</v>
      </c>
      <c r="J871">
        <f>ABS((I871-EDA!$A$15)/EDA!$B$15)</f>
        <v>1.4835222444786049</v>
      </c>
      <c r="K871" t="str">
        <f t="shared" si="13"/>
        <v>No</v>
      </c>
      <c r="L871">
        <f>ABS((C871-EDA!$F$15)/EDA!$G$15)</f>
        <v>0.36717538277920042</v>
      </c>
      <c r="M871" t="str">
        <f>IF(moras[[#This Row],[Z-Score Salario]]&gt;1.96, "Sí", "No")</f>
        <v>No</v>
      </c>
      <c r="N871" s="14">
        <f>IF(ISBLANK(moras[[#This Row],[SALARIO]]), EDA!$M$8, moras[[#This Row],[SALARIO]])</f>
        <v>509509</v>
      </c>
      <c r="O871" s="14">
        <f xml:space="preserve"> IF(ISBLANK(moras[[#This Row],[EDAD]]), EDA!$E$8, moras[[#This Row],[EDAD]])</f>
        <v>63</v>
      </c>
      <c r="P871" s="14" t="str">
        <f>IF(
    OR(ISBLANK(moras[[#This Row],[TIPO_ASEGURAMIENTO]]), moras[[#This Row],[TIPO_ASEGURAMIENTO]]=""),
    EDA!$A$32,
    moras[[#This Row],[TIPO_ASEGURAMIENTO]]
)</f>
        <v>TRABAJADOR INDEPENDIENTE</v>
      </c>
    </row>
    <row r="872" spans="1:16" x14ac:dyDescent="0.3">
      <c r="A872">
        <v>871</v>
      </c>
      <c r="B872" t="s">
        <v>9</v>
      </c>
      <c r="C872">
        <v>805518</v>
      </c>
      <c r="D872" t="s">
        <v>10</v>
      </c>
      <c r="E872" t="s">
        <v>16</v>
      </c>
      <c r="F872" t="s">
        <v>12</v>
      </c>
      <c r="G872" t="s">
        <v>13</v>
      </c>
      <c r="H872" t="s">
        <v>13</v>
      </c>
      <c r="I872">
        <v>61</v>
      </c>
      <c r="J872">
        <f>ABS((I872-EDA!$A$15)/EDA!$B$15)</f>
        <v>1.3423715843243298</v>
      </c>
      <c r="K872" t="str">
        <f t="shared" si="13"/>
        <v>No</v>
      </c>
      <c r="L872">
        <f>ABS((C872-EDA!$F$15)/EDA!$G$15)</f>
        <v>0.36224958406283686</v>
      </c>
      <c r="M872" t="str">
        <f>IF(moras[[#This Row],[Z-Score Salario]]&gt;1.96, "Sí", "No")</f>
        <v>No</v>
      </c>
      <c r="N872" s="14">
        <f>IF(ISBLANK(moras[[#This Row],[SALARIO]]), EDA!$M$8, moras[[#This Row],[SALARIO]])</f>
        <v>805518</v>
      </c>
      <c r="O872" s="14">
        <f xml:space="preserve"> IF(ISBLANK(moras[[#This Row],[EDAD]]), EDA!$E$8, moras[[#This Row],[EDAD]])</f>
        <v>61</v>
      </c>
      <c r="P872" s="14" t="str">
        <f>IF(
    OR(ISBLANK(moras[[#This Row],[TIPO_ASEGURAMIENTO]]), moras[[#This Row],[TIPO_ASEGURAMIENTO]]=""),
    EDA!$A$32,
    moras[[#This Row],[TIPO_ASEGURAMIENTO]]
)</f>
        <v>ASALARIADO</v>
      </c>
    </row>
    <row r="873" spans="1:16" x14ac:dyDescent="0.3">
      <c r="A873">
        <v>872</v>
      </c>
      <c r="B873" t="s">
        <v>9</v>
      </c>
      <c r="C873">
        <v>255660</v>
      </c>
      <c r="D873" t="s">
        <v>10</v>
      </c>
      <c r="E873" t="s">
        <v>16</v>
      </c>
      <c r="F873" t="s">
        <v>12</v>
      </c>
      <c r="G873" t="s">
        <v>13</v>
      </c>
      <c r="H873" t="s">
        <v>13</v>
      </c>
      <c r="I873">
        <v>30</v>
      </c>
      <c r="J873">
        <f>ABS((I873-EDA!$A$15)/EDA!$B$15)</f>
        <v>0.84546364806693275</v>
      </c>
      <c r="K873" t="str">
        <f t="shared" si="13"/>
        <v>No</v>
      </c>
      <c r="L873">
        <f>ABS((C873-EDA!$F$15)/EDA!$G$15)</f>
        <v>0.37139960933430577</v>
      </c>
      <c r="M873" t="str">
        <f>IF(moras[[#This Row],[Z-Score Salario]]&gt;1.96, "Sí", "No")</f>
        <v>No</v>
      </c>
      <c r="N873" s="14">
        <f>IF(ISBLANK(moras[[#This Row],[SALARIO]]), EDA!$M$8, moras[[#This Row],[SALARIO]])</f>
        <v>255660</v>
      </c>
      <c r="O873" s="14">
        <f xml:space="preserve"> IF(ISBLANK(moras[[#This Row],[EDAD]]), EDA!$E$8, moras[[#This Row],[EDAD]])</f>
        <v>30</v>
      </c>
      <c r="P873" s="14" t="str">
        <f>IF(
    OR(ISBLANK(moras[[#This Row],[TIPO_ASEGURAMIENTO]]), moras[[#This Row],[TIPO_ASEGURAMIENTO]]=""),
    EDA!$A$32,
    moras[[#This Row],[TIPO_ASEGURAMIENTO]]
)</f>
        <v>ASALARIADO</v>
      </c>
    </row>
    <row r="874" spans="1:16" x14ac:dyDescent="0.3">
      <c r="A874">
        <v>873</v>
      </c>
      <c r="B874" t="s">
        <v>15</v>
      </c>
      <c r="C874">
        <v>517272</v>
      </c>
      <c r="D874" t="s">
        <v>18</v>
      </c>
      <c r="E874" t="s">
        <v>16</v>
      </c>
      <c r="F874" t="s">
        <v>12</v>
      </c>
      <c r="G874" t="s">
        <v>13</v>
      </c>
      <c r="H874" t="s">
        <v>13</v>
      </c>
      <c r="I874">
        <v>60</v>
      </c>
      <c r="J874">
        <f>ABS((I874-EDA!$A$15)/EDA!$B$15)</f>
        <v>1.2717962542471923</v>
      </c>
      <c r="K874" t="str">
        <f t="shared" si="13"/>
        <v>No</v>
      </c>
      <c r="L874">
        <f>ABS((C874-EDA!$F$15)/EDA!$G$15)</f>
        <v>0.36704620097920404</v>
      </c>
      <c r="M874" t="str">
        <f>IF(moras[[#This Row],[Z-Score Salario]]&gt;1.96, "Sí", "No")</f>
        <v>No</v>
      </c>
      <c r="N874" s="14">
        <f>IF(ISBLANK(moras[[#This Row],[SALARIO]]), EDA!$M$8, moras[[#This Row],[SALARIO]])</f>
        <v>517272</v>
      </c>
      <c r="O874" s="14">
        <f xml:space="preserve"> IF(ISBLANK(moras[[#This Row],[EDAD]]), EDA!$E$8, moras[[#This Row],[EDAD]])</f>
        <v>60</v>
      </c>
      <c r="P874" s="14" t="str">
        <f>IF(
    OR(ISBLANK(moras[[#This Row],[TIPO_ASEGURAMIENTO]]), moras[[#This Row],[TIPO_ASEGURAMIENTO]]=""),
    EDA!$A$32,
    moras[[#This Row],[TIPO_ASEGURAMIENTO]]
)</f>
        <v>TRABAJADOR INDEPENDIENTE</v>
      </c>
    </row>
    <row r="875" spans="1:16" x14ac:dyDescent="0.3">
      <c r="A875">
        <v>874</v>
      </c>
      <c r="B875" t="s">
        <v>9</v>
      </c>
      <c r="C875">
        <v>297050</v>
      </c>
      <c r="D875" t="s">
        <v>17</v>
      </c>
      <c r="E875" t="s">
        <v>16</v>
      </c>
      <c r="F875" t="s">
        <v>12</v>
      </c>
      <c r="G875" t="s">
        <v>13</v>
      </c>
      <c r="H875" t="s">
        <v>12</v>
      </c>
      <c r="I875">
        <v>37</v>
      </c>
      <c r="J875">
        <f>ABS((I875-EDA!$A$15)/EDA!$B$15)</f>
        <v>0.35143633752697023</v>
      </c>
      <c r="K875" t="str">
        <f t="shared" si="13"/>
        <v>No</v>
      </c>
      <c r="L875">
        <f>ABS((C875-EDA!$F$15)/EDA!$G$15)</f>
        <v>0.37071085051659991</v>
      </c>
      <c r="M875" t="str">
        <f>IF(moras[[#This Row],[Z-Score Salario]]&gt;1.96, "Sí", "No")</f>
        <v>No</v>
      </c>
      <c r="N875" s="14">
        <f>IF(ISBLANK(moras[[#This Row],[SALARIO]]), EDA!$M$8, moras[[#This Row],[SALARIO]])</f>
        <v>297050</v>
      </c>
      <c r="O875" s="14">
        <f xml:space="preserve"> IF(ISBLANK(moras[[#This Row],[EDAD]]), EDA!$E$8, moras[[#This Row],[EDAD]])</f>
        <v>37</v>
      </c>
      <c r="P875" s="14" t="str">
        <f>IF(
    OR(ISBLANK(moras[[#This Row],[TIPO_ASEGURAMIENTO]]), moras[[#This Row],[TIPO_ASEGURAMIENTO]]=""),
    EDA!$A$32,
    moras[[#This Row],[TIPO_ASEGURAMIENTO]]
)</f>
        <v>ASEGURADO VOLUNTARIO</v>
      </c>
    </row>
    <row r="876" spans="1:16" x14ac:dyDescent="0.3">
      <c r="A876">
        <v>875</v>
      </c>
      <c r="B876" t="s">
        <v>9</v>
      </c>
      <c r="C876">
        <v>315687</v>
      </c>
      <c r="D876" t="s">
        <v>10</v>
      </c>
      <c r="E876" t="s">
        <v>16</v>
      </c>
      <c r="F876" t="s">
        <v>12</v>
      </c>
      <c r="G876" t="s">
        <v>12</v>
      </c>
      <c r="H876" t="s">
        <v>12</v>
      </c>
      <c r="I876">
        <v>45</v>
      </c>
      <c r="J876">
        <f>ABS((I876-EDA!$A$15)/EDA!$B$15)</f>
        <v>0.21316630309012977</v>
      </c>
      <c r="K876" t="str">
        <f t="shared" si="13"/>
        <v>No</v>
      </c>
      <c r="L876">
        <f>ABS((C876-EDA!$F$15)/EDA!$G$15)</f>
        <v>0.3704007176805143</v>
      </c>
      <c r="M876" t="str">
        <f>IF(moras[[#This Row],[Z-Score Salario]]&gt;1.96, "Sí", "No")</f>
        <v>No</v>
      </c>
      <c r="N876" s="14">
        <f>IF(ISBLANK(moras[[#This Row],[SALARIO]]), EDA!$M$8, moras[[#This Row],[SALARIO]])</f>
        <v>315687</v>
      </c>
      <c r="O876" s="14">
        <f xml:space="preserve"> IF(ISBLANK(moras[[#This Row],[EDAD]]), EDA!$E$8, moras[[#This Row],[EDAD]])</f>
        <v>45</v>
      </c>
      <c r="P876" s="14" t="str">
        <f>IF(
    OR(ISBLANK(moras[[#This Row],[TIPO_ASEGURAMIENTO]]), moras[[#This Row],[TIPO_ASEGURAMIENTO]]=""),
    EDA!$A$32,
    moras[[#This Row],[TIPO_ASEGURAMIENTO]]
)</f>
        <v>ASALARIADO</v>
      </c>
    </row>
    <row r="877" spans="1:16" x14ac:dyDescent="0.3">
      <c r="A877">
        <v>876</v>
      </c>
      <c r="B877" t="s">
        <v>15</v>
      </c>
      <c r="C877">
        <v>372300</v>
      </c>
      <c r="D877" t="s">
        <v>10</v>
      </c>
      <c r="E877" t="s">
        <v>16</v>
      </c>
      <c r="F877" t="s">
        <v>12</v>
      </c>
      <c r="G877" t="s">
        <v>13</v>
      </c>
      <c r="H877" t="s">
        <v>12</v>
      </c>
      <c r="I877">
        <v>26</v>
      </c>
      <c r="J877">
        <f>ABS((I877-EDA!$A$15)/EDA!$B$15)</f>
        <v>1.1277649683754829</v>
      </c>
      <c r="K877" t="str">
        <f t="shared" si="13"/>
        <v>No</v>
      </c>
      <c r="L877">
        <f>ABS((C877-EDA!$F$15)/EDA!$G$15)</f>
        <v>0.36945863739670709</v>
      </c>
      <c r="M877" t="str">
        <f>IF(moras[[#This Row],[Z-Score Salario]]&gt;1.96, "Sí", "No")</f>
        <v>No</v>
      </c>
      <c r="N877" s="14">
        <f>IF(ISBLANK(moras[[#This Row],[SALARIO]]), EDA!$M$8, moras[[#This Row],[SALARIO]])</f>
        <v>372300</v>
      </c>
      <c r="O877" s="14">
        <f xml:space="preserve"> IF(ISBLANK(moras[[#This Row],[EDAD]]), EDA!$E$8, moras[[#This Row],[EDAD]])</f>
        <v>26</v>
      </c>
      <c r="P877" s="14" t="str">
        <f>IF(
    OR(ISBLANK(moras[[#This Row],[TIPO_ASEGURAMIENTO]]), moras[[#This Row],[TIPO_ASEGURAMIENTO]]=""),
    EDA!$A$32,
    moras[[#This Row],[TIPO_ASEGURAMIENTO]]
)</f>
        <v>ASALARIADO</v>
      </c>
    </row>
    <row r="878" spans="1:16" x14ac:dyDescent="0.3">
      <c r="A878">
        <v>877</v>
      </c>
      <c r="B878" t="s">
        <v>9</v>
      </c>
      <c r="C878">
        <v>67873405</v>
      </c>
      <c r="D878" t="s">
        <v>10</v>
      </c>
      <c r="E878" t="s">
        <v>16</v>
      </c>
      <c r="F878" t="s">
        <v>12</v>
      </c>
      <c r="G878" t="s">
        <v>13</v>
      </c>
      <c r="H878" t="s">
        <v>13</v>
      </c>
      <c r="I878">
        <v>33</v>
      </c>
      <c r="J878">
        <f>ABS((I878-EDA!$A$15)/EDA!$B$15)</f>
        <v>0.63373765783552027</v>
      </c>
      <c r="K878" t="str">
        <f t="shared" si="13"/>
        <v>No</v>
      </c>
      <c r="L878">
        <f>ABS((C878-EDA!$F$15)/EDA!$G$15)</f>
        <v>0.75380739965663535</v>
      </c>
      <c r="M878" t="str">
        <f>IF(moras[[#This Row],[Z-Score Salario]]&gt;1.96, "Sí", "No")</f>
        <v>No</v>
      </c>
      <c r="N878" s="14">
        <f>IF(ISBLANK(moras[[#This Row],[SALARIO]]), EDA!$M$8, moras[[#This Row],[SALARIO]])</f>
        <v>67873405</v>
      </c>
      <c r="O878" s="14">
        <f xml:space="preserve"> IF(ISBLANK(moras[[#This Row],[EDAD]]), EDA!$E$8, moras[[#This Row],[EDAD]])</f>
        <v>33</v>
      </c>
      <c r="P878" s="14" t="str">
        <f>IF(
    OR(ISBLANK(moras[[#This Row],[TIPO_ASEGURAMIENTO]]), moras[[#This Row],[TIPO_ASEGURAMIENTO]]=""),
    EDA!$A$32,
    moras[[#This Row],[TIPO_ASEGURAMIENTO]]
)</f>
        <v>ASALARIADO</v>
      </c>
    </row>
    <row r="879" spans="1:16" x14ac:dyDescent="0.3">
      <c r="A879">
        <v>878</v>
      </c>
      <c r="B879" t="s">
        <v>15</v>
      </c>
      <c r="C879">
        <v>315617</v>
      </c>
      <c r="D879" t="s">
        <v>17</v>
      </c>
      <c r="E879" t="s">
        <v>16</v>
      </c>
      <c r="F879" t="s">
        <v>12</v>
      </c>
      <c r="G879" t="s">
        <v>13</v>
      </c>
      <c r="H879" t="s">
        <v>13</v>
      </c>
      <c r="I879">
        <v>35</v>
      </c>
      <c r="J879">
        <f>ABS((I879-EDA!$A$15)/EDA!$B$15)</f>
        <v>0.49258699768124525</v>
      </c>
      <c r="K879" t="str">
        <f t="shared" si="13"/>
        <v>No</v>
      </c>
      <c r="L879">
        <f>ABS((C879-EDA!$F$15)/EDA!$G$15)</f>
        <v>0.37040188252992817</v>
      </c>
      <c r="M879" t="str">
        <f>IF(moras[[#This Row],[Z-Score Salario]]&gt;1.96, "Sí", "No")</f>
        <v>No</v>
      </c>
      <c r="N879" s="14">
        <f>IF(ISBLANK(moras[[#This Row],[SALARIO]]), EDA!$M$8, moras[[#This Row],[SALARIO]])</f>
        <v>315617</v>
      </c>
      <c r="O879" s="14">
        <f xml:space="preserve"> IF(ISBLANK(moras[[#This Row],[EDAD]]), EDA!$E$8, moras[[#This Row],[EDAD]])</f>
        <v>35</v>
      </c>
      <c r="P879" s="14" t="str">
        <f>IF(
    OR(ISBLANK(moras[[#This Row],[TIPO_ASEGURAMIENTO]]), moras[[#This Row],[TIPO_ASEGURAMIENTO]]=""),
    EDA!$A$32,
    moras[[#This Row],[TIPO_ASEGURAMIENTO]]
)</f>
        <v>ASEGURADO VOLUNTARIO</v>
      </c>
    </row>
    <row r="880" spans="1:16" x14ac:dyDescent="0.3">
      <c r="A880">
        <v>879</v>
      </c>
      <c r="B880" t="s">
        <v>9</v>
      </c>
      <c r="C880">
        <v>145590615</v>
      </c>
      <c r="D880" t="s">
        <v>19</v>
      </c>
      <c r="E880" t="s">
        <v>16</v>
      </c>
      <c r="F880" t="s">
        <v>12</v>
      </c>
      <c r="G880" t="s">
        <v>13</v>
      </c>
      <c r="H880" t="s">
        <v>13</v>
      </c>
      <c r="I880">
        <v>38</v>
      </c>
      <c r="J880">
        <f>ABS((I880-EDA!$A$15)/EDA!$B$15)</f>
        <v>0.28086100744983278</v>
      </c>
      <c r="K880" t="str">
        <f t="shared" si="13"/>
        <v>No</v>
      </c>
      <c r="L880">
        <f>ABS((C880-EDA!$F$15)/EDA!$G$15)</f>
        <v>2.0470766355831049</v>
      </c>
      <c r="M880" t="str">
        <f>IF(moras[[#This Row],[Z-Score Salario]]&gt;1.96, "Sí", "No")</f>
        <v>Sí</v>
      </c>
      <c r="N880" s="14">
        <f>IF(ISBLANK(moras[[#This Row],[SALARIO]]), EDA!$M$8, moras[[#This Row],[SALARIO]])</f>
        <v>145590615</v>
      </c>
      <c r="O880" s="14">
        <f xml:space="preserve"> IF(ISBLANK(moras[[#This Row],[EDAD]]), EDA!$E$8, moras[[#This Row],[EDAD]])</f>
        <v>38</v>
      </c>
      <c r="P880" s="14" t="str">
        <f>IF(
    OR(ISBLANK(moras[[#This Row],[TIPO_ASEGURAMIENTO]]), moras[[#This Row],[TIPO_ASEGURAMIENTO]]=""),
    EDA!$A$32,
    moras[[#This Row],[TIPO_ASEGURAMIENTO]]
)</f>
        <v>CONVENIOS ESPECIALES DE TRABAJADORES INDEPENDIENTES</v>
      </c>
    </row>
    <row r="881" spans="1:16" x14ac:dyDescent="0.3">
      <c r="A881">
        <v>880</v>
      </c>
      <c r="B881" t="s">
        <v>15</v>
      </c>
      <c r="C881">
        <v>166295</v>
      </c>
      <c r="D881" t="s">
        <v>10</v>
      </c>
      <c r="E881" t="s">
        <v>16</v>
      </c>
      <c r="F881" t="s">
        <v>12</v>
      </c>
      <c r="G881" t="s">
        <v>13</v>
      </c>
      <c r="H881" t="s">
        <v>13</v>
      </c>
      <c r="I881">
        <v>50</v>
      </c>
      <c r="J881">
        <f>ABS((I881-EDA!$A$15)/EDA!$B$15)</f>
        <v>0.56604295347581735</v>
      </c>
      <c r="K881" t="str">
        <f t="shared" si="13"/>
        <v>No</v>
      </c>
      <c r="L881">
        <f>ABS((C881-EDA!$F$15)/EDA!$G$15)</f>
        <v>0.37288670601814927</v>
      </c>
      <c r="M881" t="str">
        <f>IF(moras[[#This Row],[Z-Score Salario]]&gt;1.96, "Sí", "No")</f>
        <v>No</v>
      </c>
      <c r="N881" s="14">
        <f>IF(ISBLANK(moras[[#This Row],[SALARIO]]), EDA!$M$8, moras[[#This Row],[SALARIO]])</f>
        <v>166295</v>
      </c>
      <c r="O881" s="14">
        <f xml:space="preserve"> IF(ISBLANK(moras[[#This Row],[EDAD]]), EDA!$E$8, moras[[#This Row],[EDAD]])</f>
        <v>50</v>
      </c>
      <c r="P881" s="14" t="str">
        <f>IF(
    OR(ISBLANK(moras[[#This Row],[TIPO_ASEGURAMIENTO]]), moras[[#This Row],[TIPO_ASEGURAMIENTO]]=""),
    EDA!$A$32,
    moras[[#This Row],[TIPO_ASEGURAMIENTO]]
)</f>
        <v>ASALARIADO</v>
      </c>
    </row>
    <row r="882" spans="1:16" x14ac:dyDescent="0.3">
      <c r="A882">
        <v>881</v>
      </c>
      <c r="B882" t="s">
        <v>15</v>
      </c>
      <c r="C882">
        <v>58870125</v>
      </c>
      <c r="D882" t="s">
        <v>10</v>
      </c>
      <c r="E882" t="s">
        <v>16</v>
      </c>
      <c r="F882" t="s">
        <v>12</v>
      </c>
      <c r="G882" t="s">
        <v>13</v>
      </c>
      <c r="H882" t="s">
        <v>13</v>
      </c>
      <c r="I882">
        <v>27</v>
      </c>
      <c r="J882">
        <f>ABS((I882-EDA!$A$15)/EDA!$B$15)</f>
        <v>1.0571896382983452</v>
      </c>
      <c r="K882" t="str">
        <f t="shared" si="13"/>
        <v>No</v>
      </c>
      <c r="L882">
        <f>ABS((C882-EDA!$F$15)/EDA!$G$15)</f>
        <v>0.60398646493146879</v>
      </c>
      <c r="M882" t="str">
        <f>IF(moras[[#This Row],[Z-Score Salario]]&gt;1.96, "Sí", "No")</f>
        <v>No</v>
      </c>
      <c r="N882" s="14">
        <f>IF(ISBLANK(moras[[#This Row],[SALARIO]]), EDA!$M$8, moras[[#This Row],[SALARIO]])</f>
        <v>58870125</v>
      </c>
      <c r="O882" s="14">
        <f xml:space="preserve"> IF(ISBLANK(moras[[#This Row],[EDAD]]), EDA!$E$8, moras[[#This Row],[EDAD]])</f>
        <v>27</v>
      </c>
      <c r="P882" s="14" t="str">
        <f>IF(
    OR(ISBLANK(moras[[#This Row],[TIPO_ASEGURAMIENTO]]), moras[[#This Row],[TIPO_ASEGURAMIENTO]]=""),
    EDA!$A$32,
    moras[[#This Row],[TIPO_ASEGURAMIENTO]]
)</f>
        <v>ASALARIADO</v>
      </c>
    </row>
    <row r="883" spans="1:16" x14ac:dyDescent="0.3">
      <c r="A883">
        <v>882</v>
      </c>
      <c r="B883" t="s">
        <v>15</v>
      </c>
      <c r="C883">
        <v>297046</v>
      </c>
      <c r="D883" t="s">
        <v>17</v>
      </c>
      <c r="E883" t="s">
        <v>16</v>
      </c>
      <c r="F883" t="s">
        <v>12</v>
      </c>
      <c r="G883" t="s">
        <v>13</v>
      </c>
      <c r="H883" t="s">
        <v>13</v>
      </c>
      <c r="I883">
        <v>61</v>
      </c>
      <c r="J883">
        <f>ABS((I883-EDA!$A$15)/EDA!$B$15)</f>
        <v>1.3423715843243298</v>
      </c>
      <c r="K883" t="str">
        <f t="shared" si="13"/>
        <v>No</v>
      </c>
      <c r="L883">
        <f>ABS((C883-EDA!$F$15)/EDA!$G$15)</f>
        <v>0.37071091707942361</v>
      </c>
      <c r="M883" t="str">
        <f>IF(moras[[#This Row],[Z-Score Salario]]&gt;1.96, "Sí", "No")</f>
        <v>No</v>
      </c>
      <c r="N883" s="14">
        <f>IF(ISBLANK(moras[[#This Row],[SALARIO]]), EDA!$M$8, moras[[#This Row],[SALARIO]])</f>
        <v>297046</v>
      </c>
      <c r="O883" s="14">
        <f xml:space="preserve"> IF(ISBLANK(moras[[#This Row],[EDAD]]), EDA!$E$8, moras[[#This Row],[EDAD]])</f>
        <v>61</v>
      </c>
      <c r="P883" s="14" t="str">
        <f>IF(
    OR(ISBLANK(moras[[#This Row],[TIPO_ASEGURAMIENTO]]), moras[[#This Row],[TIPO_ASEGURAMIENTO]]=""),
    EDA!$A$32,
    moras[[#This Row],[TIPO_ASEGURAMIENTO]]
)</f>
        <v>ASEGURADO VOLUNTARIO</v>
      </c>
    </row>
    <row r="884" spans="1:16" x14ac:dyDescent="0.3">
      <c r="A884">
        <v>883</v>
      </c>
      <c r="B884" t="s">
        <v>9</v>
      </c>
      <c r="C884">
        <v>503465</v>
      </c>
      <c r="D884" t="s">
        <v>10</v>
      </c>
      <c r="E884" t="s">
        <v>11</v>
      </c>
      <c r="F884" t="s">
        <v>12</v>
      </c>
      <c r="G884" t="s">
        <v>13</v>
      </c>
      <c r="H884" t="s">
        <v>12</v>
      </c>
      <c r="I884">
        <v>56</v>
      </c>
      <c r="J884">
        <f>ABS((I884-EDA!$A$15)/EDA!$B$15)</f>
        <v>0.9894949339386423</v>
      </c>
      <c r="K884" t="str">
        <f t="shared" si="13"/>
        <v>No</v>
      </c>
      <c r="L884">
        <f>ABS((C884-EDA!$F$15)/EDA!$G$15)</f>
        <v>0.36727595920573375</v>
      </c>
      <c r="M884" t="str">
        <f>IF(moras[[#This Row],[Z-Score Salario]]&gt;1.96, "Sí", "No")</f>
        <v>No</v>
      </c>
      <c r="N884" s="14">
        <f>IF(ISBLANK(moras[[#This Row],[SALARIO]]), EDA!$M$8, moras[[#This Row],[SALARIO]])</f>
        <v>503465</v>
      </c>
      <c r="O884" s="14">
        <f xml:space="preserve"> IF(ISBLANK(moras[[#This Row],[EDAD]]), EDA!$E$8, moras[[#This Row],[EDAD]])</f>
        <v>56</v>
      </c>
      <c r="P884" s="14" t="str">
        <f>IF(
    OR(ISBLANK(moras[[#This Row],[TIPO_ASEGURAMIENTO]]), moras[[#This Row],[TIPO_ASEGURAMIENTO]]=""),
    EDA!$A$32,
    moras[[#This Row],[TIPO_ASEGURAMIENTO]]
)</f>
        <v>ASALARIADO</v>
      </c>
    </row>
    <row r="885" spans="1:16" x14ac:dyDescent="0.3">
      <c r="A885">
        <v>884</v>
      </c>
      <c r="B885" t="s">
        <v>15</v>
      </c>
      <c r="C885">
        <v>5348155</v>
      </c>
      <c r="D885" t="s">
        <v>10</v>
      </c>
      <c r="E885" t="s">
        <v>11</v>
      </c>
      <c r="F885" t="s">
        <v>12</v>
      </c>
      <c r="G885" t="s">
        <v>13</v>
      </c>
      <c r="H885" t="s">
        <v>13</v>
      </c>
      <c r="I885">
        <v>29</v>
      </c>
      <c r="J885">
        <f>ABS((I885-EDA!$A$15)/EDA!$B$15)</f>
        <v>0.91603897814407031</v>
      </c>
      <c r="K885" t="str">
        <f t="shared" si="13"/>
        <v>No</v>
      </c>
      <c r="L885">
        <f>ABS((C885-EDA!$F$15)/EDA!$G$15)</f>
        <v>0.28665689767997121</v>
      </c>
      <c r="M885" t="str">
        <f>IF(moras[[#This Row],[Z-Score Salario]]&gt;1.96, "Sí", "No")</f>
        <v>No</v>
      </c>
      <c r="N885" s="14">
        <f>IF(ISBLANK(moras[[#This Row],[SALARIO]]), EDA!$M$8, moras[[#This Row],[SALARIO]])</f>
        <v>5348155</v>
      </c>
      <c r="O885" s="14">
        <f xml:space="preserve"> IF(ISBLANK(moras[[#This Row],[EDAD]]), EDA!$E$8, moras[[#This Row],[EDAD]])</f>
        <v>29</v>
      </c>
      <c r="P885" s="14" t="str">
        <f>IF(
    OR(ISBLANK(moras[[#This Row],[TIPO_ASEGURAMIENTO]]), moras[[#This Row],[TIPO_ASEGURAMIENTO]]=""),
    EDA!$A$32,
    moras[[#This Row],[TIPO_ASEGURAMIENTO]]
)</f>
        <v>ASALARIADO</v>
      </c>
    </row>
    <row r="886" spans="1:16" x14ac:dyDescent="0.3">
      <c r="A886">
        <v>885</v>
      </c>
      <c r="B886" t="s">
        <v>15</v>
      </c>
      <c r="C886">
        <v>401010</v>
      </c>
      <c r="D886" t="s">
        <v>18</v>
      </c>
      <c r="E886" t="s">
        <v>16</v>
      </c>
      <c r="F886" t="s">
        <v>12</v>
      </c>
      <c r="G886" t="s">
        <v>13</v>
      </c>
      <c r="H886" t="s">
        <v>12</v>
      </c>
      <c r="I886">
        <v>50</v>
      </c>
      <c r="J886">
        <f>ABS((I886-EDA!$A$15)/EDA!$B$15)</f>
        <v>0.56604295347581735</v>
      </c>
      <c r="K886" t="str">
        <f t="shared" si="13"/>
        <v>No</v>
      </c>
      <c r="L886">
        <f>ABS((C886-EDA!$F$15)/EDA!$G$15)</f>
        <v>0.36898088272996793</v>
      </c>
      <c r="M886" t="str">
        <f>IF(moras[[#This Row],[Z-Score Salario]]&gt;1.96, "Sí", "No")</f>
        <v>No</v>
      </c>
      <c r="N886" s="14">
        <f>IF(ISBLANK(moras[[#This Row],[SALARIO]]), EDA!$M$8, moras[[#This Row],[SALARIO]])</f>
        <v>401010</v>
      </c>
      <c r="O886" s="14">
        <f xml:space="preserve"> IF(ISBLANK(moras[[#This Row],[EDAD]]), EDA!$E$8, moras[[#This Row],[EDAD]])</f>
        <v>50</v>
      </c>
      <c r="P886" s="14" t="str">
        <f>IF(
    OR(ISBLANK(moras[[#This Row],[TIPO_ASEGURAMIENTO]]), moras[[#This Row],[TIPO_ASEGURAMIENTO]]=""),
    EDA!$A$32,
    moras[[#This Row],[TIPO_ASEGURAMIENTO]]
)</f>
        <v>TRABAJADOR INDEPENDIENTE</v>
      </c>
    </row>
    <row r="887" spans="1:16" x14ac:dyDescent="0.3">
      <c r="A887">
        <v>886</v>
      </c>
      <c r="B887" t="s">
        <v>9</v>
      </c>
      <c r="C887">
        <v>325000</v>
      </c>
      <c r="D887" t="s">
        <v>10</v>
      </c>
      <c r="E887" t="s">
        <v>16</v>
      </c>
      <c r="F887" t="s">
        <v>12</v>
      </c>
      <c r="G887" t="s">
        <v>13</v>
      </c>
      <c r="H887" t="s">
        <v>13</v>
      </c>
      <c r="I887">
        <v>37</v>
      </c>
      <c r="J887">
        <f>ABS((I887-EDA!$A$15)/EDA!$B$15)</f>
        <v>0.35143633752697023</v>
      </c>
      <c r="K887" t="str">
        <f t="shared" si="13"/>
        <v>No</v>
      </c>
      <c r="L887">
        <f>ABS((C887-EDA!$F$15)/EDA!$G$15)</f>
        <v>0.37024574278635403</v>
      </c>
      <c r="M887" t="str">
        <f>IF(moras[[#This Row],[Z-Score Salario]]&gt;1.96, "Sí", "No")</f>
        <v>No</v>
      </c>
      <c r="N887" s="14">
        <f>IF(ISBLANK(moras[[#This Row],[SALARIO]]), EDA!$M$8, moras[[#This Row],[SALARIO]])</f>
        <v>325000</v>
      </c>
      <c r="O887" s="14">
        <f xml:space="preserve"> IF(ISBLANK(moras[[#This Row],[EDAD]]), EDA!$E$8, moras[[#This Row],[EDAD]])</f>
        <v>37</v>
      </c>
      <c r="P887" s="14" t="str">
        <f>IF(
    OR(ISBLANK(moras[[#This Row],[TIPO_ASEGURAMIENTO]]), moras[[#This Row],[TIPO_ASEGURAMIENTO]]=""),
    EDA!$A$32,
    moras[[#This Row],[TIPO_ASEGURAMIENTO]]
)</f>
        <v>ASALARIADO</v>
      </c>
    </row>
    <row r="888" spans="1:16" x14ac:dyDescent="0.3">
      <c r="A888">
        <v>887</v>
      </c>
      <c r="B888" t="s">
        <v>9</v>
      </c>
      <c r="C888">
        <v>1142714</v>
      </c>
      <c r="D888" t="s">
        <v>10</v>
      </c>
      <c r="E888" t="s">
        <v>16</v>
      </c>
      <c r="F888" t="s">
        <v>12</v>
      </c>
      <c r="G888" t="s">
        <v>13</v>
      </c>
      <c r="H888" t="s">
        <v>13</v>
      </c>
      <c r="I888">
        <v>37</v>
      </c>
      <c r="J888">
        <f>ABS((I888-EDA!$A$15)/EDA!$B$15)</f>
        <v>0.35143633752697023</v>
      </c>
      <c r="K888" t="str">
        <f t="shared" si="13"/>
        <v>No</v>
      </c>
      <c r="L888">
        <f>ABS((C888-EDA!$F$15)/EDA!$G$15)</f>
        <v>0.35663840459206764</v>
      </c>
      <c r="M888" t="str">
        <f>IF(moras[[#This Row],[Z-Score Salario]]&gt;1.96, "Sí", "No")</f>
        <v>No</v>
      </c>
      <c r="N888" s="14">
        <f>IF(ISBLANK(moras[[#This Row],[SALARIO]]), EDA!$M$8, moras[[#This Row],[SALARIO]])</f>
        <v>1142714</v>
      </c>
      <c r="O888" s="14">
        <f xml:space="preserve"> IF(ISBLANK(moras[[#This Row],[EDAD]]), EDA!$E$8, moras[[#This Row],[EDAD]])</f>
        <v>37</v>
      </c>
      <c r="P888" s="14" t="str">
        <f>IF(
    OR(ISBLANK(moras[[#This Row],[TIPO_ASEGURAMIENTO]]), moras[[#This Row],[TIPO_ASEGURAMIENTO]]=""),
    EDA!$A$32,
    moras[[#This Row],[TIPO_ASEGURAMIENTO]]
)</f>
        <v>ASALARIADO</v>
      </c>
    </row>
    <row r="889" spans="1:16" x14ac:dyDescent="0.3">
      <c r="A889">
        <v>888</v>
      </c>
      <c r="B889" t="s">
        <v>9</v>
      </c>
      <c r="C889">
        <v>55364206</v>
      </c>
      <c r="D889" t="s">
        <v>10</v>
      </c>
      <c r="E889" t="s">
        <v>16</v>
      </c>
      <c r="F889" t="s">
        <v>12</v>
      </c>
      <c r="G889" t="s">
        <v>13</v>
      </c>
      <c r="H889" t="s">
        <v>13</v>
      </c>
      <c r="I889">
        <v>27</v>
      </c>
      <c r="J889">
        <f>ABS((I889-EDA!$A$15)/EDA!$B$15)</f>
        <v>1.0571896382983452</v>
      </c>
      <c r="K889" t="str">
        <f t="shared" si="13"/>
        <v>No</v>
      </c>
      <c r="L889">
        <f>ABS((C889-EDA!$F$15)/EDA!$G$15)</f>
        <v>0.54564549790048433</v>
      </c>
      <c r="M889" t="str">
        <f>IF(moras[[#This Row],[Z-Score Salario]]&gt;1.96, "Sí", "No")</f>
        <v>No</v>
      </c>
      <c r="N889" s="14">
        <f>IF(ISBLANK(moras[[#This Row],[SALARIO]]), EDA!$M$8, moras[[#This Row],[SALARIO]])</f>
        <v>55364206</v>
      </c>
      <c r="O889" s="14">
        <f xml:space="preserve"> IF(ISBLANK(moras[[#This Row],[EDAD]]), EDA!$E$8, moras[[#This Row],[EDAD]])</f>
        <v>27</v>
      </c>
      <c r="P889" s="14" t="str">
        <f>IF(
    OR(ISBLANK(moras[[#This Row],[TIPO_ASEGURAMIENTO]]), moras[[#This Row],[TIPO_ASEGURAMIENTO]]=""),
    EDA!$A$32,
    moras[[#This Row],[TIPO_ASEGURAMIENTO]]
)</f>
        <v>ASALARIADO</v>
      </c>
    </row>
    <row r="890" spans="1:16" x14ac:dyDescent="0.3">
      <c r="A890">
        <v>889</v>
      </c>
      <c r="B890" t="s">
        <v>9</v>
      </c>
      <c r="C890">
        <v>168300</v>
      </c>
      <c r="D890" t="s">
        <v>10</v>
      </c>
      <c r="E890" t="s">
        <v>16</v>
      </c>
      <c r="F890" t="s">
        <v>12</v>
      </c>
      <c r="G890" t="s">
        <v>12</v>
      </c>
      <c r="H890" t="s">
        <v>13</v>
      </c>
      <c r="I890">
        <v>23</v>
      </c>
      <c r="J890">
        <f>ABS((I890-EDA!$A$15)/EDA!$B$15)</f>
        <v>1.3394909586068953</v>
      </c>
      <c r="K890" t="str">
        <f t="shared" si="13"/>
        <v>No</v>
      </c>
      <c r="L890">
        <f>ABS((C890-EDA!$F$15)/EDA!$G$15)</f>
        <v>0.3728533414027953</v>
      </c>
      <c r="M890" t="str">
        <f>IF(moras[[#This Row],[Z-Score Salario]]&gt;1.96, "Sí", "No")</f>
        <v>No</v>
      </c>
      <c r="N890" s="14">
        <f>IF(ISBLANK(moras[[#This Row],[SALARIO]]), EDA!$M$8, moras[[#This Row],[SALARIO]])</f>
        <v>168300</v>
      </c>
      <c r="O890" s="14">
        <f xml:space="preserve"> IF(ISBLANK(moras[[#This Row],[EDAD]]), EDA!$E$8, moras[[#This Row],[EDAD]])</f>
        <v>23</v>
      </c>
      <c r="P890" s="14" t="str">
        <f>IF(
    OR(ISBLANK(moras[[#This Row],[TIPO_ASEGURAMIENTO]]), moras[[#This Row],[TIPO_ASEGURAMIENTO]]=""),
    EDA!$A$32,
    moras[[#This Row],[TIPO_ASEGURAMIENTO]]
)</f>
        <v>ASALARIADO</v>
      </c>
    </row>
    <row r="891" spans="1:16" x14ac:dyDescent="0.3">
      <c r="A891">
        <v>890</v>
      </c>
      <c r="B891" t="s">
        <v>9</v>
      </c>
      <c r="C891">
        <v>290371</v>
      </c>
      <c r="D891" t="s">
        <v>18</v>
      </c>
      <c r="E891" t="s">
        <v>16</v>
      </c>
      <c r="F891" t="s">
        <v>12</v>
      </c>
      <c r="G891" t="s">
        <v>13</v>
      </c>
      <c r="H891" t="s">
        <v>13</v>
      </c>
      <c r="I891">
        <v>34</v>
      </c>
      <c r="J891">
        <f>ABS((I891-EDA!$A$15)/EDA!$B$15)</f>
        <v>0.56316232775838282</v>
      </c>
      <c r="K891" t="str">
        <f t="shared" si="13"/>
        <v>No</v>
      </c>
      <c r="L891">
        <f>ABS((C891-EDA!$F$15)/EDA!$G$15)</f>
        <v>0.37082199379138747</v>
      </c>
      <c r="M891" t="str">
        <f>IF(moras[[#This Row],[Z-Score Salario]]&gt;1.96, "Sí", "No")</f>
        <v>No</v>
      </c>
      <c r="N891" s="14">
        <f>IF(ISBLANK(moras[[#This Row],[SALARIO]]), EDA!$M$8, moras[[#This Row],[SALARIO]])</f>
        <v>290371</v>
      </c>
      <c r="O891" s="14">
        <f xml:space="preserve"> IF(ISBLANK(moras[[#This Row],[EDAD]]), EDA!$E$8, moras[[#This Row],[EDAD]])</f>
        <v>34</v>
      </c>
      <c r="P891" s="14" t="str">
        <f>IF(
    OR(ISBLANK(moras[[#This Row],[TIPO_ASEGURAMIENTO]]), moras[[#This Row],[TIPO_ASEGURAMIENTO]]=""),
    EDA!$A$32,
    moras[[#This Row],[TIPO_ASEGURAMIENTO]]
)</f>
        <v>TRABAJADOR INDEPENDIENTE</v>
      </c>
    </row>
    <row r="892" spans="1:16" x14ac:dyDescent="0.3">
      <c r="A892">
        <v>891</v>
      </c>
      <c r="B892" t="s">
        <v>9</v>
      </c>
      <c r="C892">
        <v>268777885</v>
      </c>
      <c r="D892" t="s">
        <v>10</v>
      </c>
      <c r="E892" t="s">
        <v>16</v>
      </c>
      <c r="F892" t="s">
        <v>12</v>
      </c>
      <c r="G892" t="s">
        <v>13</v>
      </c>
      <c r="H892" t="s">
        <v>13</v>
      </c>
      <c r="I892">
        <v>51</v>
      </c>
      <c r="J892">
        <f>ABS((I892-EDA!$A$15)/EDA!$B$15)</f>
        <v>0.6366182835529548</v>
      </c>
      <c r="K892" t="str">
        <f t="shared" si="13"/>
        <v>No</v>
      </c>
      <c r="L892">
        <f>ABS((C892-EDA!$F$15)/EDA!$G$15)</f>
        <v>4.0969997677795345</v>
      </c>
      <c r="M892" t="str">
        <f>IF(moras[[#This Row],[Z-Score Salario]]&gt;1.96, "Sí", "No")</f>
        <v>Sí</v>
      </c>
      <c r="N892" s="14">
        <f>IF(ISBLANK(moras[[#This Row],[SALARIO]]), EDA!$M$8, moras[[#This Row],[SALARIO]])</f>
        <v>268777885</v>
      </c>
      <c r="O892" s="14">
        <f xml:space="preserve"> IF(ISBLANK(moras[[#This Row],[EDAD]]), EDA!$E$8, moras[[#This Row],[EDAD]])</f>
        <v>51</v>
      </c>
      <c r="P892" s="14" t="str">
        <f>IF(
    OR(ISBLANK(moras[[#This Row],[TIPO_ASEGURAMIENTO]]), moras[[#This Row],[TIPO_ASEGURAMIENTO]]=""),
    EDA!$A$32,
    moras[[#This Row],[TIPO_ASEGURAMIENTO]]
)</f>
        <v>ASALARIADO</v>
      </c>
    </row>
    <row r="893" spans="1:16" x14ac:dyDescent="0.3">
      <c r="A893">
        <v>892</v>
      </c>
      <c r="B893" t="s">
        <v>9</v>
      </c>
      <c r="C893">
        <v>130000</v>
      </c>
      <c r="D893" t="s">
        <v>10</v>
      </c>
      <c r="E893" t="s">
        <v>16</v>
      </c>
      <c r="F893" t="s">
        <v>12</v>
      </c>
      <c r="G893" t="s">
        <v>12</v>
      </c>
      <c r="H893" t="s">
        <v>13</v>
      </c>
      <c r="I893">
        <v>22</v>
      </c>
      <c r="J893">
        <f>ABS((I893-EDA!$A$15)/EDA!$B$15)</f>
        <v>1.4100662886840327</v>
      </c>
      <c r="K893" t="str">
        <f t="shared" si="13"/>
        <v>No</v>
      </c>
      <c r="L893">
        <f>ABS((C893-EDA!$F$15)/EDA!$G$15)</f>
        <v>0.37349068043923245</v>
      </c>
      <c r="M893" t="str">
        <f>IF(moras[[#This Row],[Z-Score Salario]]&gt;1.96, "Sí", "No")</f>
        <v>No</v>
      </c>
      <c r="N893" s="14">
        <f>IF(ISBLANK(moras[[#This Row],[SALARIO]]), EDA!$M$8, moras[[#This Row],[SALARIO]])</f>
        <v>130000</v>
      </c>
      <c r="O893" s="14">
        <f xml:space="preserve"> IF(ISBLANK(moras[[#This Row],[EDAD]]), EDA!$E$8, moras[[#This Row],[EDAD]])</f>
        <v>22</v>
      </c>
      <c r="P893" s="14" t="str">
        <f>IF(
    OR(ISBLANK(moras[[#This Row],[TIPO_ASEGURAMIENTO]]), moras[[#This Row],[TIPO_ASEGURAMIENTO]]=""),
    EDA!$A$32,
    moras[[#This Row],[TIPO_ASEGURAMIENTO]]
)</f>
        <v>ASALARIADO</v>
      </c>
    </row>
    <row r="894" spans="1:16" x14ac:dyDescent="0.3">
      <c r="A894">
        <v>893</v>
      </c>
      <c r="B894" t="s">
        <v>9</v>
      </c>
      <c r="C894">
        <v>5750325</v>
      </c>
      <c r="D894" t="s">
        <v>10</v>
      </c>
      <c r="E894" t="s">
        <v>16</v>
      </c>
      <c r="F894" t="s">
        <v>12</v>
      </c>
      <c r="G894" t="s">
        <v>13</v>
      </c>
      <c r="H894" t="s">
        <v>13</v>
      </c>
      <c r="I894">
        <v>35</v>
      </c>
      <c r="J894">
        <f>ABS((I894-EDA!$A$15)/EDA!$B$15)</f>
        <v>0.49258699768124525</v>
      </c>
      <c r="K894" t="str">
        <f t="shared" si="13"/>
        <v>No</v>
      </c>
      <c r="L894">
        <f>ABS((C894-EDA!$F$15)/EDA!$G$15)</f>
        <v>0.27996450498326286</v>
      </c>
      <c r="M894" t="str">
        <f>IF(moras[[#This Row],[Z-Score Salario]]&gt;1.96, "Sí", "No")</f>
        <v>No</v>
      </c>
      <c r="N894" s="14">
        <f>IF(ISBLANK(moras[[#This Row],[SALARIO]]), EDA!$M$8, moras[[#This Row],[SALARIO]])</f>
        <v>5750325</v>
      </c>
      <c r="O894" s="14">
        <f xml:space="preserve"> IF(ISBLANK(moras[[#This Row],[EDAD]]), EDA!$E$8, moras[[#This Row],[EDAD]])</f>
        <v>35</v>
      </c>
      <c r="P894" s="14" t="str">
        <f>IF(
    OR(ISBLANK(moras[[#This Row],[TIPO_ASEGURAMIENTO]]), moras[[#This Row],[TIPO_ASEGURAMIENTO]]=""),
    EDA!$A$32,
    moras[[#This Row],[TIPO_ASEGURAMIENTO]]
)</f>
        <v>ASALARIADO</v>
      </c>
    </row>
    <row r="895" spans="1:16" x14ac:dyDescent="0.3">
      <c r="A895">
        <v>894</v>
      </c>
      <c r="B895" t="s">
        <v>9</v>
      </c>
      <c r="C895">
        <v>42326813</v>
      </c>
      <c r="D895" t="s">
        <v>10</v>
      </c>
      <c r="E895" t="s">
        <v>16</v>
      </c>
      <c r="F895" t="s">
        <v>12</v>
      </c>
      <c r="G895" t="s">
        <v>13</v>
      </c>
      <c r="H895" t="s">
        <v>13</v>
      </c>
      <c r="I895">
        <v>59</v>
      </c>
      <c r="J895">
        <f>ABS((I895-EDA!$A$15)/EDA!$B$15)</f>
        <v>1.2012209241700549</v>
      </c>
      <c r="K895" t="str">
        <f t="shared" si="13"/>
        <v>No</v>
      </c>
      <c r="L895">
        <f>ABS((C895-EDA!$F$15)/EDA!$G$15)</f>
        <v>0.32869407512574622</v>
      </c>
      <c r="M895" t="str">
        <f>IF(moras[[#This Row],[Z-Score Salario]]&gt;1.96, "Sí", "No")</f>
        <v>No</v>
      </c>
      <c r="N895" s="14">
        <f>IF(ISBLANK(moras[[#This Row],[SALARIO]]), EDA!$M$8, moras[[#This Row],[SALARIO]])</f>
        <v>42326813</v>
      </c>
      <c r="O895" s="14">
        <f xml:space="preserve"> IF(ISBLANK(moras[[#This Row],[EDAD]]), EDA!$E$8, moras[[#This Row],[EDAD]])</f>
        <v>59</v>
      </c>
      <c r="P895" s="14" t="str">
        <f>IF(
    OR(ISBLANK(moras[[#This Row],[TIPO_ASEGURAMIENTO]]), moras[[#This Row],[TIPO_ASEGURAMIENTO]]=""),
    EDA!$A$32,
    moras[[#This Row],[TIPO_ASEGURAMIENTO]]
)</f>
        <v>ASALARIADO</v>
      </c>
    </row>
    <row r="896" spans="1:16" x14ac:dyDescent="0.3">
      <c r="A896">
        <v>895</v>
      </c>
      <c r="B896" t="s">
        <v>9</v>
      </c>
      <c r="C896">
        <v>4475419</v>
      </c>
      <c r="D896" t="s">
        <v>10</v>
      </c>
      <c r="E896" t="s">
        <v>16</v>
      </c>
      <c r="F896" t="s">
        <v>12</v>
      </c>
      <c r="G896" t="s">
        <v>12</v>
      </c>
      <c r="H896" t="s">
        <v>13</v>
      </c>
      <c r="I896">
        <v>31</v>
      </c>
      <c r="J896">
        <f>ABS((I896-EDA!$A$15)/EDA!$B$15)</f>
        <v>0.77488831798979529</v>
      </c>
      <c r="K896" t="str">
        <f t="shared" si="13"/>
        <v>No</v>
      </c>
      <c r="L896">
        <f>ABS((C896-EDA!$F$15)/EDA!$G$15)</f>
        <v>0.30117984079495852</v>
      </c>
      <c r="M896" t="str">
        <f>IF(moras[[#This Row],[Z-Score Salario]]&gt;1.96, "Sí", "No")</f>
        <v>No</v>
      </c>
      <c r="N896" s="14">
        <f>IF(ISBLANK(moras[[#This Row],[SALARIO]]), EDA!$M$8, moras[[#This Row],[SALARIO]])</f>
        <v>4475419</v>
      </c>
      <c r="O896" s="14">
        <f xml:space="preserve"> IF(ISBLANK(moras[[#This Row],[EDAD]]), EDA!$E$8, moras[[#This Row],[EDAD]])</f>
        <v>31</v>
      </c>
      <c r="P896" s="14" t="str">
        <f>IF(
    OR(ISBLANK(moras[[#This Row],[TIPO_ASEGURAMIENTO]]), moras[[#This Row],[TIPO_ASEGURAMIENTO]]=""),
    EDA!$A$32,
    moras[[#This Row],[TIPO_ASEGURAMIENTO]]
)</f>
        <v>ASALARIADO</v>
      </c>
    </row>
    <row r="897" spans="1:16" x14ac:dyDescent="0.3">
      <c r="A897">
        <v>896</v>
      </c>
      <c r="B897" t="s">
        <v>9</v>
      </c>
      <c r="C897">
        <v>639148</v>
      </c>
      <c r="D897" t="s">
        <v>18</v>
      </c>
      <c r="E897" t="s">
        <v>16</v>
      </c>
      <c r="F897" t="s">
        <v>12</v>
      </c>
      <c r="G897" t="s">
        <v>12</v>
      </c>
      <c r="H897" t="s">
        <v>13</v>
      </c>
      <c r="I897">
        <v>70</v>
      </c>
      <c r="J897">
        <f>ABS((I897-EDA!$A$15)/EDA!$B$15)</f>
        <v>1.9775495550185673</v>
      </c>
      <c r="K897" t="str">
        <f t="shared" si="13"/>
        <v>Sí</v>
      </c>
      <c r="L897">
        <f>ABS((C897-EDA!$F$15)/EDA!$G$15)</f>
        <v>0.36501809830544912</v>
      </c>
      <c r="M897" t="str">
        <f>IF(moras[[#This Row],[Z-Score Salario]]&gt;1.96, "Sí", "No")</f>
        <v>No</v>
      </c>
      <c r="N897" s="14">
        <f>IF(ISBLANK(moras[[#This Row],[SALARIO]]), EDA!$M$8, moras[[#This Row],[SALARIO]])</f>
        <v>639148</v>
      </c>
      <c r="O897" s="14">
        <f xml:space="preserve"> IF(ISBLANK(moras[[#This Row],[EDAD]]), EDA!$E$8, moras[[#This Row],[EDAD]])</f>
        <v>70</v>
      </c>
      <c r="P897" s="14" t="str">
        <f>IF(
    OR(ISBLANK(moras[[#This Row],[TIPO_ASEGURAMIENTO]]), moras[[#This Row],[TIPO_ASEGURAMIENTO]]=""),
    EDA!$A$32,
    moras[[#This Row],[TIPO_ASEGURAMIENTO]]
)</f>
        <v>TRABAJADOR INDEPENDIENTE</v>
      </c>
    </row>
    <row r="898" spans="1:16" x14ac:dyDescent="0.3">
      <c r="A898">
        <v>897</v>
      </c>
      <c r="B898" t="s">
        <v>15</v>
      </c>
      <c r="C898">
        <v>40674256</v>
      </c>
      <c r="D898" t="s">
        <v>10</v>
      </c>
      <c r="E898" t="s">
        <v>16</v>
      </c>
      <c r="F898" t="s">
        <v>12</v>
      </c>
      <c r="G898" t="s">
        <v>13</v>
      </c>
      <c r="H898" t="s">
        <v>13</v>
      </c>
      <c r="I898">
        <v>28</v>
      </c>
      <c r="J898">
        <f>ABS((I898-EDA!$A$15)/EDA!$B$15)</f>
        <v>0.98661430822120777</v>
      </c>
      <c r="K898" t="str">
        <f t="shared" ref="K898:K961" si="14">IF(J898 &gt;  1.96, "Sí","No")</f>
        <v>No</v>
      </c>
      <c r="L898">
        <f>ABS((C898-EDA!$F$15)/EDA!$G$15)</f>
        <v>0.30119436008560341</v>
      </c>
      <c r="M898" t="str">
        <f>IF(moras[[#This Row],[Z-Score Salario]]&gt;1.96, "Sí", "No")</f>
        <v>No</v>
      </c>
      <c r="N898" s="14">
        <f>IF(ISBLANK(moras[[#This Row],[SALARIO]]), EDA!$M$8, moras[[#This Row],[SALARIO]])</f>
        <v>40674256</v>
      </c>
      <c r="O898" s="14">
        <f xml:space="preserve"> IF(ISBLANK(moras[[#This Row],[EDAD]]), EDA!$E$8, moras[[#This Row],[EDAD]])</f>
        <v>28</v>
      </c>
      <c r="P898" s="14" t="str">
        <f>IF(
    OR(ISBLANK(moras[[#This Row],[TIPO_ASEGURAMIENTO]]), moras[[#This Row],[TIPO_ASEGURAMIENTO]]=""),
    EDA!$A$32,
    moras[[#This Row],[TIPO_ASEGURAMIENTO]]
)</f>
        <v>ASALARIADO</v>
      </c>
    </row>
    <row r="899" spans="1:16" x14ac:dyDescent="0.3">
      <c r="A899">
        <v>898</v>
      </c>
      <c r="B899" t="s">
        <v>9</v>
      </c>
      <c r="C899">
        <v>356653</v>
      </c>
      <c r="D899" t="s">
        <v>18</v>
      </c>
      <c r="E899" t="s">
        <v>16</v>
      </c>
      <c r="F899" t="s">
        <v>12</v>
      </c>
      <c r="G899" t="s">
        <v>13</v>
      </c>
      <c r="H899" t="s">
        <v>12</v>
      </c>
      <c r="I899">
        <v>47</v>
      </c>
      <c r="J899">
        <f>ABS((I899-EDA!$A$15)/EDA!$B$15)</f>
        <v>0.35431696324440481</v>
      </c>
      <c r="K899" t="str">
        <f t="shared" si="14"/>
        <v>No</v>
      </c>
      <c r="L899">
        <f>ABS((C899-EDA!$F$15)/EDA!$G$15)</f>
        <v>0.36971901452211525</v>
      </c>
      <c r="M899" t="str">
        <f>IF(moras[[#This Row],[Z-Score Salario]]&gt;1.96, "Sí", "No")</f>
        <v>No</v>
      </c>
      <c r="N899" s="14">
        <f>IF(ISBLANK(moras[[#This Row],[SALARIO]]), EDA!$M$8, moras[[#This Row],[SALARIO]])</f>
        <v>356653</v>
      </c>
      <c r="O899" s="14">
        <f xml:space="preserve"> IF(ISBLANK(moras[[#This Row],[EDAD]]), EDA!$E$8, moras[[#This Row],[EDAD]])</f>
        <v>47</v>
      </c>
      <c r="P899" s="14" t="str">
        <f>IF(
    OR(ISBLANK(moras[[#This Row],[TIPO_ASEGURAMIENTO]]), moras[[#This Row],[TIPO_ASEGURAMIENTO]]=""),
    EDA!$A$32,
    moras[[#This Row],[TIPO_ASEGURAMIENTO]]
)</f>
        <v>TRABAJADOR INDEPENDIENTE</v>
      </c>
    </row>
    <row r="900" spans="1:16" x14ac:dyDescent="0.3">
      <c r="A900">
        <v>899</v>
      </c>
      <c r="B900" t="s">
        <v>9</v>
      </c>
      <c r="C900">
        <v>550000</v>
      </c>
      <c r="D900" t="s">
        <v>10</v>
      </c>
      <c r="E900" t="s">
        <v>16</v>
      </c>
      <c r="F900" t="s">
        <v>12</v>
      </c>
      <c r="G900" t="s">
        <v>13</v>
      </c>
      <c r="H900" t="s">
        <v>12</v>
      </c>
      <c r="I900">
        <v>25</v>
      </c>
      <c r="J900">
        <f>ABS((I900-EDA!$A$15)/EDA!$B$15)</f>
        <v>1.1983402984526204</v>
      </c>
      <c r="K900" t="str">
        <f t="shared" si="14"/>
        <v>No</v>
      </c>
      <c r="L900">
        <f>ABS((C900-EDA!$F$15)/EDA!$G$15)</f>
        <v>0.36650158395610966</v>
      </c>
      <c r="M900" t="str">
        <f>IF(moras[[#This Row],[Z-Score Salario]]&gt;1.96, "Sí", "No")</f>
        <v>No</v>
      </c>
      <c r="N900" s="14">
        <f>IF(ISBLANK(moras[[#This Row],[SALARIO]]), EDA!$M$8, moras[[#This Row],[SALARIO]])</f>
        <v>550000</v>
      </c>
      <c r="O900" s="14">
        <f xml:space="preserve"> IF(ISBLANK(moras[[#This Row],[EDAD]]), EDA!$E$8, moras[[#This Row],[EDAD]])</f>
        <v>25</v>
      </c>
      <c r="P900" s="14" t="str">
        <f>IF(
    OR(ISBLANK(moras[[#This Row],[TIPO_ASEGURAMIENTO]]), moras[[#This Row],[TIPO_ASEGURAMIENTO]]=""),
    EDA!$A$32,
    moras[[#This Row],[TIPO_ASEGURAMIENTO]]
)</f>
        <v>ASALARIADO</v>
      </c>
    </row>
    <row r="901" spans="1:16" x14ac:dyDescent="0.3">
      <c r="A901">
        <v>900</v>
      </c>
      <c r="B901" t="s">
        <v>9</v>
      </c>
      <c r="C901">
        <v>181377365</v>
      </c>
      <c r="D901" t="s">
        <v>10</v>
      </c>
      <c r="E901" t="s">
        <v>16</v>
      </c>
      <c r="F901" t="s">
        <v>12</v>
      </c>
      <c r="G901" t="s">
        <v>13</v>
      </c>
      <c r="H901" t="s">
        <v>13</v>
      </c>
      <c r="I901">
        <v>58</v>
      </c>
      <c r="J901">
        <f>ABS((I901-EDA!$A$15)/EDA!$B$15)</f>
        <v>1.1306455940929174</v>
      </c>
      <c r="K901" t="str">
        <f t="shared" si="14"/>
        <v>No</v>
      </c>
      <c r="L901">
        <f>ABS((C901-EDA!$F$15)/EDA!$G$15)</f>
        <v>2.642593417886427</v>
      </c>
      <c r="M901" t="str">
        <f>IF(moras[[#This Row],[Z-Score Salario]]&gt;1.96, "Sí", "No")</f>
        <v>Sí</v>
      </c>
      <c r="N901" s="14">
        <f>IF(ISBLANK(moras[[#This Row],[SALARIO]]), EDA!$M$8, moras[[#This Row],[SALARIO]])</f>
        <v>181377365</v>
      </c>
      <c r="O901" s="14">
        <f xml:space="preserve"> IF(ISBLANK(moras[[#This Row],[EDAD]]), EDA!$E$8, moras[[#This Row],[EDAD]])</f>
        <v>58</v>
      </c>
      <c r="P901" s="14" t="str">
        <f>IF(
    OR(ISBLANK(moras[[#This Row],[TIPO_ASEGURAMIENTO]]), moras[[#This Row],[TIPO_ASEGURAMIENTO]]=""),
    EDA!$A$32,
    moras[[#This Row],[TIPO_ASEGURAMIENTO]]
)</f>
        <v>ASALARIADO</v>
      </c>
    </row>
    <row r="902" spans="1:16" x14ac:dyDescent="0.3">
      <c r="A902">
        <v>901</v>
      </c>
      <c r="B902" t="s">
        <v>15</v>
      </c>
      <c r="C902">
        <v>1807234</v>
      </c>
      <c r="D902" t="s">
        <v>10</v>
      </c>
      <c r="E902" t="s">
        <v>16</v>
      </c>
      <c r="F902" t="s">
        <v>12</v>
      </c>
      <c r="G902" t="s">
        <v>13</v>
      </c>
      <c r="H902" t="s">
        <v>13</v>
      </c>
      <c r="I902">
        <v>39</v>
      </c>
      <c r="J902">
        <f>ABS((I902-EDA!$A$15)/EDA!$B$15)</f>
        <v>0.21028567737269524</v>
      </c>
      <c r="K902" t="str">
        <f t="shared" si="14"/>
        <v>No</v>
      </c>
      <c r="L902">
        <f>ABS((C902-EDA!$F$15)/EDA!$G$15)</f>
        <v>0.34558032269929434</v>
      </c>
      <c r="M902" t="str">
        <f>IF(moras[[#This Row],[Z-Score Salario]]&gt;1.96, "Sí", "No")</f>
        <v>No</v>
      </c>
      <c r="N902" s="14">
        <f>IF(ISBLANK(moras[[#This Row],[SALARIO]]), EDA!$M$8, moras[[#This Row],[SALARIO]])</f>
        <v>1807234</v>
      </c>
      <c r="O902" s="14">
        <f xml:space="preserve"> IF(ISBLANK(moras[[#This Row],[EDAD]]), EDA!$E$8, moras[[#This Row],[EDAD]])</f>
        <v>39</v>
      </c>
      <c r="P902" s="14" t="str">
        <f>IF(
    OR(ISBLANK(moras[[#This Row],[TIPO_ASEGURAMIENTO]]), moras[[#This Row],[TIPO_ASEGURAMIENTO]]=""),
    EDA!$A$32,
    moras[[#This Row],[TIPO_ASEGURAMIENTO]]
)</f>
        <v>ASALARIADO</v>
      </c>
    </row>
    <row r="903" spans="1:16" x14ac:dyDescent="0.3">
      <c r="A903">
        <v>902</v>
      </c>
      <c r="B903" t="s">
        <v>9</v>
      </c>
      <c r="C903">
        <v>450000</v>
      </c>
      <c r="D903" t="s">
        <v>10</v>
      </c>
      <c r="E903" t="s">
        <v>16</v>
      </c>
      <c r="F903" t="s">
        <v>12</v>
      </c>
      <c r="G903" t="s">
        <v>13</v>
      </c>
      <c r="H903" t="s">
        <v>13</v>
      </c>
      <c r="I903">
        <v>58</v>
      </c>
      <c r="J903">
        <f>ABS((I903-EDA!$A$15)/EDA!$B$15)</f>
        <v>1.1306455940929174</v>
      </c>
      <c r="K903" t="str">
        <f t="shared" si="14"/>
        <v>No</v>
      </c>
      <c r="L903">
        <f>ABS((C903-EDA!$F$15)/EDA!$G$15)</f>
        <v>0.36816565454732936</v>
      </c>
      <c r="M903" t="str">
        <f>IF(moras[[#This Row],[Z-Score Salario]]&gt;1.96, "Sí", "No")</f>
        <v>No</v>
      </c>
      <c r="N903" s="14">
        <f>IF(ISBLANK(moras[[#This Row],[SALARIO]]), EDA!$M$8, moras[[#This Row],[SALARIO]])</f>
        <v>450000</v>
      </c>
      <c r="O903" s="14">
        <f xml:space="preserve"> IF(ISBLANK(moras[[#This Row],[EDAD]]), EDA!$E$8, moras[[#This Row],[EDAD]])</f>
        <v>58</v>
      </c>
      <c r="P903" s="14" t="str">
        <f>IF(
    OR(ISBLANK(moras[[#This Row],[TIPO_ASEGURAMIENTO]]), moras[[#This Row],[TIPO_ASEGURAMIENTO]]=""),
    EDA!$A$32,
    moras[[#This Row],[TIPO_ASEGURAMIENTO]]
)</f>
        <v>ASALARIADO</v>
      </c>
    </row>
    <row r="904" spans="1:16" x14ac:dyDescent="0.3">
      <c r="A904">
        <v>903</v>
      </c>
      <c r="B904" t="s">
        <v>15</v>
      </c>
      <c r="C904">
        <v>297046</v>
      </c>
      <c r="D904" t="s">
        <v>18</v>
      </c>
      <c r="E904" t="s">
        <v>16</v>
      </c>
      <c r="F904" t="s">
        <v>12</v>
      </c>
      <c r="G904" t="s">
        <v>13</v>
      </c>
      <c r="H904" t="s">
        <v>13</v>
      </c>
      <c r="I904">
        <v>34</v>
      </c>
      <c r="J904">
        <f>ABS((I904-EDA!$A$15)/EDA!$B$15)</f>
        <v>0.56316232775838282</v>
      </c>
      <c r="K904" t="str">
        <f t="shared" si="14"/>
        <v>No</v>
      </c>
      <c r="L904">
        <f>ABS((C904-EDA!$F$15)/EDA!$G$15)</f>
        <v>0.37071091707942361</v>
      </c>
      <c r="M904" t="str">
        <f>IF(moras[[#This Row],[Z-Score Salario]]&gt;1.96, "Sí", "No")</f>
        <v>No</v>
      </c>
      <c r="N904" s="14">
        <f>IF(ISBLANK(moras[[#This Row],[SALARIO]]), EDA!$M$8, moras[[#This Row],[SALARIO]])</f>
        <v>297046</v>
      </c>
      <c r="O904" s="14">
        <f xml:space="preserve"> IF(ISBLANK(moras[[#This Row],[EDAD]]), EDA!$E$8, moras[[#This Row],[EDAD]])</f>
        <v>34</v>
      </c>
      <c r="P904" s="14" t="str">
        <f>IF(
    OR(ISBLANK(moras[[#This Row],[TIPO_ASEGURAMIENTO]]), moras[[#This Row],[TIPO_ASEGURAMIENTO]]=""),
    EDA!$A$32,
    moras[[#This Row],[TIPO_ASEGURAMIENTO]]
)</f>
        <v>TRABAJADOR INDEPENDIENTE</v>
      </c>
    </row>
    <row r="905" spans="1:16" x14ac:dyDescent="0.3">
      <c r="A905">
        <v>904</v>
      </c>
      <c r="B905" t="s">
        <v>9</v>
      </c>
      <c r="C905">
        <v>78501642</v>
      </c>
      <c r="D905" t="s">
        <v>10</v>
      </c>
      <c r="E905" t="s">
        <v>16</v>
      </c>
      <c r="F905" t="s">
        <v>12</v>
      </c>
      <c r="G905" t="s">
        <v>13</v>
      </c>
      <c r="H905" t="s">
        <v>13</v>
      </c>
      <c r="I905">
        <v>22</v>
      </c>
      <c r="J905">
        <f>ABS((I905-EDA!$A$15)/EDA!$B$15)</f>
        <v>1.4100662886840327</v>
      </c>
      <c r="K905" t="str">
        <f t="shared" si="14"/>
        <v>No</v>
      </c>
      <c r="L905">
        <f>ABS((C905-EDA!$F$15)/EDA!$G$15)</f>
        <v>0.93066876593876813</v>
      </c>
      <c r="M905" t="str">
        <f>IF(moras[[#This Row],[Z-Score Salario]]&gt;1.96, "Sí", "No")</f>
        <v>No</v>
      </c>
      <c r="N905" s="14">
        <f>IF(ISBLANK(moras[[#This Row],[SALARIO]]), EDA!$M$8, moras[[#This Row],[SALARIO]])</f>
        <v>78501642</v>
      </c>
      <c r="O905" s="14">
        <f xml:space="preserve"> IF(ISBLANK(moras[[#This Row],[EDAD]]), EDA!$E$8, moras[[#This Row],[EDAD]])</f>
        <v>22</v>
      </c>
      <c r="P905" s="14" t="str">
        <f>IF(
    OR(ISBLANK(moras[[#This Row],[TIPO_ASEGURAMIENTO]]), moras[[#This Row],[TIPO_ASEGURAMIENTO]]=""),
    EDA!$A$32,
    moras[[#This Row],[TIPO_ASEGURAMIENTO]]
)</f>
        <v>ASALARIADO</v>
      </c>
    </row>
    <row r="906" spans="1:16" x14ac:dyDescent="0.3">
      <c r="A906">
        <v>905</v>
      </c>
      <c r="B906" t="s">
        <v>9</v>
      </c>
      <c r="C906">
        <v>299065</v>
      </c>
      <c r="D906" t="s">
        <v>10</v>
      </c>
      <c r="E906" t="s">
        <v>16</v>
      </c>
      <c r="F906" t="s">
        <v>12</v>
      </c>
      <c r="G906" t="s">
        <v>13</v>
      </c>
      <c r="H906" t="s">
        <v>13</v>
      </c>
      <c r="I906">
        <v>36</v>
      </c>
      <c r="J906">
        <f>ABS((I906-EDA!$A$15)/EDA!$B$15)</f>
        <v>0.42201166760410774</v>
      </c>
      <c r="K906" t="str">
        <f t="shared" si="14"/>
        <v>No</v>
      </c>
      <c r="L906">
        <f>ABS((C906-EDA!$F$15)/EDA!$G$15)</f>
        <v>0.37067731949418686</v>
      </c>
      <c r="M906" t="str">
        <f>IF(moras[[#This Row],[Z-Score Salario]]&gt;1.96, "Sí", "No")</f>
        <v>No</v>
      </c>
      <c r="N906" s="14">
        <f>IF(ISBLANK(moras[[#This Row],[SALARIO]]), EDA!$M$8, moras[[#This Row],[SALARIO]])</f>
        <v>299065</v>
      </c>
      <c r="O906" s="14">
        <f xml:space="preserve"> IF(ISBLANK(moras[[#This Row],[EDAD]]), EDA!$E$8, moras[[#This Row],[EDAD]])</f>
        <v>36</v>
      </c>
      <c r="P906" s="14" t="str">
        <f>IF(
    OR(ISBLANK(moras[[#This Row],[TIPO_ASEGURAMIENTO]]), moras[[#This Row],[TIPO_ASEGURAMIENTO]]=""),
    EDA!$A$32,
    moras[[#This Row],[TIPO_ASEGURAMIENTO]]
)</f>
        <v>ASALARIADO</v>
      </c>
    </row>
    <row r="907" spans="1:16" x14ac:dyDescent="0.3">
      <c r="A907">
        <v>906</v>
      </c>
      <c r="B907" t="s">
        <v>15</v>
      </c>
      <c r="C907">
        <v>338166</v>
      </c>
      <c r="D907" t="s">
        <v>18</v>
      </c>
      <c r="E907" t="s">
        <v>16</v>
      </c>
      <c r="F907" t="s">
        <v>12</v>
      </c>
      <c r="G907" t="s">
        <v>13</v>
      </c>
      <c r="H907" t="s">
        <v>12</v>
      </c>
      <c r="I907">
        <v>29</v>
      </c>
      <c r="J907">
        <f>ABS((I907-EDA!$A$15)/EDA!$B$15)</f>
        <v>0.91603897814407031</v>
      </c>
      <c r="K907" t="str">
        <f t="shared" si="14"/>
        <v>No</v>
      </c>
      <c r="L907">
        <f>ABS((C907-EDA!$F$15)/EDA!$G$15)</f>
        <v>0.37002665125231404</v>
      </c>
      <c r="M907" t="str">
        <f>IF(moras[[#This Row],[Z-Score Salario]]&gt;1.96, "Sí", "No")</f>
        <v>No</v>
      </c>
      <c r="N907" s="14">
        <f>IF(ISBLANK(moras[[#This Row],[SALARIO]]), EDA!$M$8, moras[[#This Row],[SALARIO]])</f>
        <v>338166</v>
      </c>
      <c r="O907" s="14">
        <f xml:space="preserve"> IF(ISBLANK(moras[[#This Row],[EDAD]]), EDA!$E$8, moras[[#This Row],[EDAD]])</f>
        <v>29</v>
      </c>
      <c r="P907" s="14" t="str">
        <f>IF(
    OR(ISBLANK(moras[[#This Row],[TIPO_ASEGURAMIENTO]]), moras[[#This Row],[TIPO_ASEGURAMIENTO]]=""),
    EDA!$A$32,
    moras[[#This Row],[TIPO_ASEGURAMIENTO]]
)</f>
        <v>TRABAJADOR INDEPENDIENTE</v>
      </c>
    </row>
    <row r="908" spans="1:16" x14ac:dyDescent="0.3">
      <c r="A908">
        <v>907</v>
      </c>
      <c r="B908" t="s">
        <v>15</v>
      </c>
      <c r="C908">
        <v>262375652</v>
      </c>
      <c r="D908" t="s">
        <v>10</v>
      </c>
      <c r="E908" t="s">
        <v>11</v>
      </c>
      <c r="F908" t="s">
        <v>12</v>
      </c>
      <c r="G908" t="s">
        <v>13</v>
      </c>
      <c r="H908" t="s">
        <v>13</v>
      </c>
      <c r="I908">
        <v>42</v>
      </c>
      <c r="J908">
        <f>ABS((I908-EDA!$A$15)/EDA!$B$15)</f>
        <v>1.4403128587172659E-3</v>
      </c>
      <c r="K908" t="str">
        <f t="shared" si="14"/>
        <v>No</v>
      </c>
      <c r="L908">
        <f>ABS((C908-EDA!$F$15)/EDA!$G$15)</f>
        <v>3.9904620912451709</v>
      </c>
      <c r="M908" t="str">
        <f>IF(moras[[#This Row],[Z-Score Salario]]&gt;1.96, "Sí", "No")</f>
        <v>Sí</v>
      </c>
      <c r="N908" s="14">
        <f>IF(ISBLANK(moras[[#This Row],[SALARIO]]), EDA!$M$8, moras[[#This Row],[SALARIO]])</f>
        <v>262375652</v>
      </c>
      <c r="O908" s="14">
        <f xml:space="preserve"> IF(ISBLANK(moras[[#This Row],[EDAD]]), EDA!$E$8, moras[[#This Row],[EDAD]])</f>
        <v>42</v>
      </c>
      <c r="P908" s="14" t="str">
        <f>IF(
    OR(ISBLANK(moras[[#This Row],[TIPO_ASEGURAMIENTO]]), moras[[#This Row],[TIPO_ASEGURAMIENTO]]=""),
    EDA!$A$32,
    moras[[#This Row],[TIPO_ASEGURAMIENTO]]
)</f>
        <v>ASALARIADO</v>
      </c>
    </row>
    <row r="909" spans="1:16" x14ac:dyDescent="0.3">
      <c r="A909">
        <v>908</v>
      </c>
      <c r="B909" t="s">
        <v>15</v>
      </c>
      <c r="C909">
        <v>20855265</v>
      </c>
      <c r="D909" t="s">
        <v>10</v>
      </c>
      <c r="E909" t="s">
        <v>11</v>
      </c>
      <c r="F909" t="s">
        <v>12</v>
      </c>
      <c r="G909" t="s">
        <v>13</v>
      </c>
      <c r="H909" t="s">
        <v>13</v>
      </c>
      <c r="I909">
        <v>56</v>
      </c>
      <c r="J909">
        <f>ABS((I909-EDA!$A$15)/EDA!$B$15)</f>
        <v>0.9894949339386423</v>
      </c>
      <c r="K909" t="str">
        <f t="shared" si="14"/>
        <v>No</v>
      </c>
      <c r="L909">
        <f>ABS((C909-EDA!$F$15)/EDA!$G$15)</f>
        <v>2.8607640621879243E-2</v>
      </c>
      <c r="M909" t="str">
        <f>IF(moras[[#This Row],[Z-Score Salario]]&gt;1.96, "Sí", "No")</f>
        <v>No</v>
      </c>
      <c r="N909" s="14">
        <f>IF(ISBLANK(moras[[#This Row],[SALARIO]]), EDA!$M$8, moras[[#This Row],[SALARIO]])</f>
        <v>20855265</v>
      </c>
      <c r="O909" s="14">
        <f xml:space="preserve"> IF(ISBLANK(moras[[#This Row],[EDAD]]), EDA!$E$8, moras[[#This Row],[EDAD]])</f>
        <v>56</v>
      </c>
      <c r="P909" s="14" t="str">
        <f>IF(
    OR(ISBLANK(moras[[#This Row],[TIPO_ASEGURAMIENTO]]), moras[[#This Row],[TIPO_ASEGURAMIENTO]]=""),
    EDA!$A$32,
    moras[[#This Row],[TIPO_ASEGURAMIENTO]]
)</f>
        <v>ASALARIADO</v>
      </c>
    </row>
    <row r="910" spans="1:16" x14ac:dyDescent="0.3">
      <c r="A910">
        <v>909</v>
      </c>
      <c r="B910" t="s">
        <v>9</v>
      </c>
      <c r="C910">
        <v>9304278</v>
      </c>
      <c r="D910" t="s">
        <v>10</v>
      </c>
      <c r="E910" t="s">
        <v>16</v>
      </c>
      <c r="F910" t="s">
        <v>12</v>
      </c>
      <c r="G910" t="s">
        <v>13</v>
      </c>
      <c r="H910" t="s">
        <v>13</v>
      </c>
      <c r="I910">
        <v>33</v>
      </c>
      <c r="J910">
        <f>ABS((I910-EDA!$A$15)/EDA!$B$15)</f>
        <v>0.63373765783552027</v>
      </c>
      <c r="K910" t="str">
        <f t="shared" si="14"/>
        <v>No</v>
      </c>
      <c r="L910">
        <f>ABS((C910-EDA!$F$15)/EDA!$G$15)</f>
        <v>0.22082421828449197</v>
      </c>
      <c r="M910" t="str">
        <f>IF(moras[[#This Row],[Z-Score Salario]]&gt;1.96, "Sí", "No")</f>
        <v>No</v>
      </c>
      <c r="N910" s="14">
        <f>IF(ISBLANK(moras[[#This Row],[SALARIO]]), EDA!$M$8, moras[[#This Row],[SALARIO]])</f>
        <v>9304278</v>
      </c>
      <c r="O910" s="14">
        <f xml:space="preserve"> IF(ISBLANK(moras[[#This Row],[EDAD]]), EDA!$E$8, moras[[#This Row],[EDAD]])</f>
        <v>33</v>
      </c>
      <c r="P910" s="14" t="str">
        <f>IF(
    OR(ISBLANK(moras[[#This Row],[TIPO_ASEGURAMIENTO]]), moras[[#This Row],[TIPO_ASEGURAMIENTO]]=""),
    EDA!$A$32,
    moras[[#This Row],[TIPO_ASEGURAMIENTO]]
)</f>
        <v>ASALARIADO</v>
      </c>
    </row>
    <row r="911" spans="1:16" x14ac:dyDescent="0.3">
      <c r="A911">
        <v>910</v>
      </c>
      <c r="B911" t="s">
        <v>9</v>
      </c>
      <c r="C911">
        <v>150000</v>
      </c>
      <c r="D911" t="s">
        <v>10</v>
      </c>
      <c r="E911" t="s">
        <v>16</v>
      </c>
      <c r="F911" t="s">
        <v>12</v>
      </c>
      <c r="G911" t="s">
        <v>13</v>
      </c>
      <c r="H911" t="s">
        <v>13</v>
      </c>
      <c r="I911">
        <v>43</v>
      </c>
      <c r="J911">
        <f>ABS((I911-EDA!$A$15)/EDA!$B$15)</f>
        <v>7.2015642935854773E-2</v>
      </c>
      <c r="K911" t="str">
        <f t="shared" si="14"/>
        <v>No</v>
      </c>
      <c r="L911">
        <f>ABS((C911-EDA!$F$15)/EDA!$G$15)</f>
        <v>0.37315786632098852</v>
      </c>
      <c r="M911" t="str">
        <f>IF(moras[[#This Row],[Z-Score Salario]]&gt;1.96, "Sí", "No")</f>
        <v>No</v>
      </c>
      <c r="N911" s="14">
        <f>IF(ISBLANK(moras[[#This Row],[SALARIO]]), EDA!$M$8, moras[[#This Row],[SALARIO]])</f>
        <v>150000</v>
      </c>
      <c r="O911" s="14">
        <f xml:space="preserve"> IF(ISBLANK(moras[[#This Row],[EDAD]]), EDA!$E$8, moras[[#This Row],[EDAD]])</f>
        <v>43</v>
      </c>
      <c r="P911" s="14" t="str">
        <f>IF(
    OR(ISBLANK(moras[[#This Row],[TIPO_ASEGURAMIENTO]]), moras[[#This Row],[TIPO_ASEGURAMIENTO]]=""),
    EDA!$A$32,
    moras[[#This Row],[TIPO_ASEGURAMIENTO]]
)</f>
        <v>ASALARIADO</v>
      </c>
    </row>
    <row r="912" spans="1:16" x14ac:dyDescent="0.3">
      <c r="A912">
        <v>911</v>
      </c>
      <c r="B912" t="s">
        <v>9</v>
      </c>
      <c r="C912">
        <v>299647</v>
      </c>
      <c r="D912" t="s">
        <v>17</v>
      </c>
      <c r="E912" t="s">
        <v>16</v>
      </c>
      <c r="F912" t="s">
        <v>12</v>
      </c>
      <c r="G912" t="s">
        <v>13</v>
      </c>
      <c r="H912" t="s">
        <v>13</v>
      </c>
      <c r="I912">
        <v>75</v>
      </c>
      <c r="J912">
        <f>ABS((I912-EDA!$A$15)/EDA!$B$15)</f>
        <v>2.330426205404255</v>
      </c>
      <c r="K912" t="str">
        <f t="shared" si="14"/>
        <v>Sí</v>
      </c>
      <c r="L912">
        <f>ABS((C912-EDA!$F$15)/EDA!$G$15)</f>
        <v>0.37066763460334595</v>
      </c>
      <c r="M912" t="str">
        <f>IF(moras[[#This Row],[Z-Score Salario]]&gt;1.96, "Sí", "No")</f>
        <v>No</v>
      </c>
      <c r="N912" s="14">
        <f>IF(ISBLANK(moras[[#This Row],[SALARIO]]), EDA!$M$8, moras[[#This Row],[SALARIO]])</f>
        <v>299647</v>
      </c>
      <c r="O912" s="14">
        <f xml:space="preserve"> IF(ISBLANK(moras[[#This Row],[EDAD]]), EDA!$E$8, moras[[#This Row],[EDAD]])</f>
        <v>75</v>
      </c>
      <c r="P912" s="14" t="str">
        <f>IF(
    OR(ISBLANK(moras[[#This Row],[TIPO_ASEGURAMIENTO]]), moras[[#This Row],[TIPO_ASEGURAMIENTO]]=""),
    EDA!$A$32,
    moras[[#This Row],[TIPO_ASEGURAMIENTO]]
)</f>
        <v>ASEGURADO VOLUNTARIO</v>
      </c>
    </row>
    <row r="913" spans="1:16" x14ac:dyDescent="0.3">
      <c r="A913">
        <v>912</v>
      </c>
      <c r="B913" t="s">
        <v>9</v>
      </c>
      <c r="C913">
        <v>385548</v>
      </c>
      <c r="D913" t="s">
        <v>18</v>
      </c>
      <c r="E913" t="s">
        <v>16</v>
      </c>
      <c r="F913" t="s">
        <v>12</v>
      </c>
      <c r="G913" t="s">
        <v>13</v>
      </c>
      <c r="H913" t="s">
        <v>12</v>
      </c>
      <c r="I913">
        <v>66</v>
      </c>
      <c r="J913">
        <f>ABS((I913-EDA!$A$15)/EDA!$B$15)</f>
        <v>1.6952482347100173</v>
      </c>
      <c r="K913" t="str">
        <f t="shared" si="14"/>
        <v>No</v>
      </c>
      <c r="L913">
        <f>ABS((C913-EDA!$F$15)/EDA!$G$15)</f>
        <v>0.36923818132478231</v>
      </c>
      <c r="M913" t="str">
        <f>IF(moras[[#This Row],[Z-Score Salario]]&gt;1.96, "Sí", "No")</f>
        <v>No</v>
      </c>
      <c r="N913" s="14">
        <f>IF(ISBLANK(moras[[#This Row],[SALARIO]]), EDA!$M$8, moras[[#This Row],[SALARIO]])</f>
        <v>385548</v>
      </c>
      <c r="O913" s="14">
        <f xml:space="preserve"> IF(ISBLANK(moras[[#This Row],[EDAD]]), EDA!$E$8, moras[[#This Row],[EDAD]])</f>
        <v>66</v>
      </c>
      <c r="P913" s="14" t="str">
        <f>IF(
    OR(ISBLANK(moras[[#This Row],[TIPO_ASEGURAMIENTO]]), moras[[#This Row],[TIPO_ASEGURAMIENTO]]=""),
    EDA!$A$32,
    moras[[#This Row],[TIPO_ASEGURAMIENTO]]
)</f>
        <v>TRABAJADOR INDEPENDIENTE</v>
      </c>
    </row>
    <row r="914" spans="1:16" x14ac:dyDescent="0.3">
      <c r="A914">
        <v>913</v>
      </c>
      <c r="B914" t="s">
        <v>9</v>
      </c>
      <c r="C914">
        <v>289404826</v>
      </c>
      <c r="D914" t="s">
        <v>14</v>
      </c>
      <c r="E914" t="s">
        <v>11</v>
      </c>
      <c r="F914" t="s">
        <v>12</v>
      </c>
      <c r="G914" t="s">
        <v>13</v>
      </c>
      <c r="H914" t="s">
        <v>13</v>
      </c>
      <c r="I914">
        <v>63</v>
      </c>
      <c r="J914">
        <f>ABS((I914-EDA!$A$15)/EDA!$B$15)</f>
        <v>1.4835222444786049</v>
      </c>
      <c r="K914" t="str">
        <f t="shared" si="14"/>
        <v>No</v>
      </c>
      <c r="L914">
        <f>ABS((C914-EDA!$F$15)/EDA!$G$15)</f>
        <v>4.4402466268287775</v>
      </c>
      <c r="M914" t="str">
        <f>IF(moras[[#This Row],[Z-Score Salario]]&gt;1.96, "Sí", "No")</f>
        <v>Sí</v>
      </c>
      <c r="N914" s="14">
        <f>IF(ISBLANK(moras[[#This Row],[SALARIO]]), EDA!$M$8, moras[[#This Row],[SALARIO]])</f>
        <v>289404826</v>
      </c>
      <c r="O914" s="14">
        <f xml:space="preserve"> IF(ISBLANK(moras[[#This Row],[EDAD]]), EDA!$E$8, moras[[#This Row],[EDAD]])</f>
        <v>63</v>
      </c>
      <c r="P914" s="14" t="str">
        <f>IF(
    OR(ISBLANK(moras[[#This Row],[TIPO_ASEGURAMIENTO]]), moras[[#This Row],[TIPO_ASEGURAMIENTO]]=""),
    EDA!$A$32,
    moras[[#This Row],[TIPO_ASEGURAMIENTO]]
)</f>
        <v>PENSIONADOS EN SU PROPIO SISTEMA</v>
      </c>
    </row>
    <row r="915" spans="1:16" x14ac:dyDescent="0.3">
      <c r="A915">
        <v>914</v>
      </c>
      <c r="B915" t="s">
        <v>15</v>
      </c>
      <c r="C915">
        <v>297046</v>
      </c>
      <c r="D915" t="s">
        <v>17</v>
      </c>
      <c r="E915" t="s">
        <v>16</v>
      </c>
      <c r="F915" t="s">
        <v>12</v>
      </c>
      <c r="G915" t="s">
        <v>13</v>
      </c>
      <c r="H915" t="s">
        <v>12</v>
      </c>
      <c r="I915">
        <v>60</v>
      </c>
      <c r="J915">
        <f>ABS((I915-EDA!$A$15)/EDA!$B$15)</f>
        <v>1.2717962542471923</v>
      </c>
      <c r="K915" t="str">
        <f t="shared" si="14"/>
        <v>No</v>
      </c>
      <c r="L915">
        <f>ABS((C915-EDA!$F$15)/EDA!$G$15)</f>
        <v>0.37071091707942361</v>
      </c>
      <c r="M915" t="str">
        <f>IF(moras[[#This Row],[Z-Score Salario]]&gt;1.96, "Sí", "No")</f>
        <v>No</v>
      </c>
      <c r="N915" s="14">
        <f>IF(ISBLANK(moras[[#This Row],[SALARIO]]), EDA!$M$8, moras[[#This Row],[SALARIO]])</f>
        <v>297046</v>
      </c>
      <c r="O915" s="14">
        <f xml:space="preserve"> IF(ISBLANK(moras[[#This Row],[EDAD]]), EDA!$E$8, moras[[#This Row],[EDAD]])</f>
        <v>60</v>
      </c>
      <c r="P915" s="14" t="str">
        <f>IF(
    OR(ISBLANK(moras[[#This Row],[TIPO_ASEGURAMIENTO]]), moras[[#This Row],[TIPO_ASEGURAMIENTO]]=""),
    EDA!$A$32,
    moras[[#This Row],[TIPO_ASEGURAMIENTO]]
)</f>
        <v>ASEGURADO VOLUNTARIO</v>
      </c>
    </row>
    <row r="916" spans="1:16" x14ac:dyDescent="0.3">
      <c r="A916">
        <v>915</v>
      </c>
      <c r="B916" t="s">
        <v>15</v>
      </c>
      <c r="C916">
        <v>451350</v>
      </c>
      <c r="D916" t="s">
        <v>10</v>
      </c>
      <c r="E916" t="s">
        <v>16</v>
      </c>
      <c r="F916" t="s">
        <v>12</v>
      </c>
      <c r="G916" t="s">
        <v>13</v>
      </c>
      <c r="H916" t="s">
        <v>13</v>
      </c>
      <c r="I916">
        <v>25</v>
      </c>
      <c r="J916">
        <f>ABS((I916-EDA!$A$15)/EDA!$B$15)</f>
        <v>1.1983402984526204</v>
      </c>
      <c r="K916" t="str">
        <f t="shared" si="14"/>
        <v>No</v>
      </c>
      <c r="L916">
        <f>ABS((C916-EDA!$F$15)/EDA!$G$15)</f>
        <v>0.36814318959434789</v>
      </c>
      <c r="M916" t="str">
        <f>IF(moras[[#This Row],[Z-Score Salario]]&gt;1.96, "Sí", "No")</f>
        <v>No</v>
      </c>
      <c r="N916" s="14">
        <f>IF(ISBLANK(moras[[#This Row],[SALARIO]]), EDA!$M$8, moras[[#This Row],[SALARIO]])</f>
        <v>451350</v>
      </c>
      <c r="O916" s="14">
        <f xml:space="preserve"> IF(ISBLANK(moras[[#This Row],[EDAD]]), EDA!$E$8, moras[[#This Row],[EDAD]])</f>
        <v>25</v>
      </c>
      <c r="P916" s="14" t="str">
        <f>IF(
    OR(ISBLANK(moras[[#This Row],[TIPO_ASEGURAMIENTO]]), moras[[#This Row],[TIPO_ASEGURAMIENTO]]=""),
    EDA!$A$32,
    moras[[#This Row],[TIPO_ASEGURAMIENTO]]
)</f>
        <v>ASALARIADO</v>
      </c>
    </row>
    <row r="917" spans="1:16" x14ac:dyDescent="0.3">
      <c r="A917">
        <v>916</v>
      </c>
      <c r="B917" t="s">
        <v>15</v>
      </c>
      <c r="C917">
        <v>639148</v>
      </c>
      <c r="D917" t="s">
        <v>18</v>
      </c>
      <c r="E917" t="s">
        <v>16</v>
      </c>
      <c r="F917" t="s">
        <v>12</v>
      </c>
      <c r="G917" t="s">
        <v>12</v>
      </c>
      <c r="H917" t="s">
        <v>13</v>
      </c>
      <c r="I917">
        <v>66</v>
      </c>
      <c r="J917">
        <f>ABS((I917-EDA!$A$15)/EDA!$B$15)</f>
        <v>1.6952482347100173</v>
      </c>
      <c r="K917" t="str">
        <f t="shared" si="14"/>
        <v>No</v>
      </c>
      <c r="L917">
        <f>ABS((C917-EDA!$F$15)/EDA!$G$15)</f>
        <v>0.36501809830544912</v>
      </c>
      <c r="M917" t="str">
        <f>IF(moras[[#This Row],[Z-Score Salario]]&gt;1.96, "Sí", "No")</f>
        <v>No</v>
      </c>
      <c r="N917" s="14">
        <f>IF(ISBLANK(moras[[#This Row],[SALARIO]]), EDA!$M$8, moras[[#This Row],[SALARIO]])</f>
        <v>639148</v>
      </c>
      <c r="O917" s="14">
        <f xml:space="preserve"> IF(ISBLANK(moras[[#This Row],[EDAD]]), EDA!$E$8, moras[[#This Row],[EDAD]])</f>
        <v>66</v>
      </c>
      <c r="P917" s="14" t="str">
        <f>IF(
    OR(ISBLANK(moras[[#This Row],[TIPO_ASEGURAMIENTO]]), moras[[#This Row],[TIPO_ASEGURAMIENTO]]=""),
    EDA!$A$32,
    moras[[#This Row],[TIPO_ASEGURAMIENTO]]
)</f>
        <v>TRABAJADOR INDEPENDIENTE</v>
      </c>
    </row>
    <row r="918" spans="1:16" x14ac:dyDescent="0.3">
      <c r="A918">
        <v>917</v>
      </c>
      <c r="B918" t="s">
        <v>9</v>
      </c>
      <c r="C918">
        <v>152908526</v>
      </c>
      <c r="D918" t="s">
        <v>10</v>
      </c>
      <c r="E918" t="s">
        <v>11</v>
      </c>
      <c r="F918" t="s">
        <v>12</v>
      </c>
      <c r="G918" t="s">
        <v>13</v>
      </c>
      <c r="H918" t="s">
        <v>13</v>
      </c>
      <c r="I918">
        <v>28</v>
      </c>
      <c r="J918">
        <f>ABS((I918-EDA!$A$15)/EDA!$B$15)</f>
        <v>0.98661430822120777</v>
      </c>
      <c r="K918" t="str">
        <f t="shared" si="14"/>
        <v>No</v>
      </c>
      <c r="L918">
        <f>ABS((C918-EDA!$F$15)/EDA!$G$15)</f>
        <v>2.1688518404257375</v>
      </c>
      <c r="M918" t="str">
        <f>IF(moras[[#This Row],[Z-Score Salario]]&gt;1.96, "Sí", "No")</f>
        <v>Sí</v>
      </c>
      <c r="N918" s="14">
        <f>IF(ISBLANK(moras[[#This Row],[SALARIO]]), EDA!$M$8, moras[[#This Row],[SALARIO]])</f>
        <v>152908526</v>
      </c>
      <c r="O918" s="14">
        <f xml:space="preserve"> IF(ISBLANK(moras[[#This Row],[EDAD]]), EDA!$E$8, moras[[#This Row],[EDAD]])</f>
        <v>28</v>
      </c>
      <c r="P918" s="14" t="str">
        <f>IF(
    OR(ISBLANK(moras[[#This Row],[TIPO_ASEGURAMIENTO]]), moras[[#This Row],[TIPO_ASEGURAMIENTO]]=""),
    EDA!$A$32,
    moras[[#This Row],[TIPO_ASEGURAMIENTO]]
)</f>
        <v>ASALARIADO</v>
      </c>
    </row>
    <row r="919" spans="1:16" x14ac:dyDescent="0.3">
      <c r="A919">
        <v>918</v>
      </c>
      <c r="B919" t="s">
        <v>9</v>
      </c>
      <c r="C919">
        <v>23021272</v>
      </c>
      <c r="D919" t="s">
        <v>10</v>
      </c>
      <c r="E919" t="s">
        <v>16</v>
      </c>
      <c r="F919" t="s">
        <v>12</v>
      </c>
      <c r="G919" t="s">
        <v>13</v>
      </c>
      <c r="H919" t="s">
        <v>13</v>
      </c>
      <c r="I919">
        <v>20</v>
      </c>
      <c r="J919">
        <f>ABS((I919-EDA!$A$15)/EDA!$B$15)</f>
        <v>1.5512169488383079</v>
      </c>
      <c r="K919" t="str">
        <f t="shared" si="14"/>
        <v>No</v>
      </c>
      <c r="L919">
        <f>ABS((C919-EDA!$F$15)/EDA!$G$15)</f>
        <v>7.4362448688812272E-3</v>
      </c>
      <c r="M919" t="str">
        <f>IF(moras[[#This Row],[Z-Score Salario]]&gt;1.96, "Sí", "No")</f>
        <v>No</v>
      </c>
      <c r="N919" s="14">
        <f>IF(ISBLANK(moras[[#This Row],[SALARIO]]), EDA!$M$8, moras[[#This Row],[SALARIO]])</f>
        <v>23021272</v>
      </c>
      <c r="O919" s="14">
        <f xml:space="preserve"> IF(ISBLANK(moras[[#This Row],[EDAD]]), EDA!$E$8, moras[[#This Row],[EDAD]])</f>
        <v>20</v>
      </c>
      <c r="P919" s="14" t="str">
        <f>IF(
    OR(ISBLANK(moras[[#This Row],[TIPO_ASEGURAMIENTO]]), moras[[#This Row],[TIPO_ASEGURAMIENTO]]=""),
    EDA!$A$32,
    moras[[#This Row],[TIPO_ASEGURAMIENTO]]
)</f>
        <v>ASALARIADO</v>
      </c>
    </row>
    <row r="920" spans="1:16" x14ac:dyDescent="0.3">
      <c r="A920">
        <v>919</v>
      </c>
      <c r="B920" t="s">
        <v>9</v>
      </c>
      <c r="C920">
        <v>620245</v>
      </c>
      <c r="D920" t="s">
        <v>18</v>
      </c>
      <c r="E920" t="s">
        <v>16</v>
      </c>
      <c r="F920" t="s">
        <v>12</v>
      </c>
      <c r="G920" t="s">
        <v>13</v>
      </c>
      <c r="H920" t="s">
        <v>12</v>
      </c>
      <c r="I920">
        <v>37</v>
      </c>
      <c r="J920">
        <f>ABS((I920-EDA!$A$15)/EDA!$B$15)</f>
        <v>0.35143633752697023</v>
      </c>
      <c r="K920" t="str">
        <f t="shared" si="14"/>
        <v>No</v>
      </c>
      <c r="L920">
        <f>ABS((C920-EDA!$F$15)/EDA!$G$15)</f>
        <v>0.36533265756930738</v>
      </c>
      <c r="M920" t="str">
        <f>IF(moras[[#This Row],[Z-Score Salario]]&gt;1.96, "Sí", "No")</f>
        <v>No</v>
      </c>
      <c r="N920" s="14">
        <f>IF(ISBLANK(moras[[#This Row],[SALARIO]]), EDA!$M$8, moras[[#This Row],[SALARIO]])</f>
        <v>620245</v>
      </c>
      <c r="O920" s="14">
        <f xml:space="preserve"> IF(ISBLANK(moras[[#This Row],[EDAD]]), EDA!$E$8, moras[[#This Row],[EDAD]])</f>
        <v>37</v>
      </c>
      <c r="P920" s="14" t="str">
        <f>IF(
    OR(ISBLANK(moras[[#This Row],[TIPO_ASEGURAMIENTO]]), moras[[#This Row],[TIPO_ASEGURAMIENTO]]=""),
    EDA!$A$32,
    moras[[#This Row],[TIPO_ASEGURAMIENTO]]
)</f>
        <v>TRABAJADOR INDEPENDIENTE</v>
      </c>
    </row>
    <row r="921" spans="1:16" x14ac:dyDescent="0.3">
      <c r="A921">
        <v>920</v>
      </c>
      <c r="B921" t="s">
        <v>9</v>
      </c>
      <c r="C921">
        <v>353240</v>
      </c>
      <c r="D921" t="s">
        <v>10</v>
      </c>
      <c r="E921" t="s">
        <v>11</v>
      </c>
      <c r="F921" t="s">
        <v>12</v>
      </c>
      <c r="G921" t="s">
        <v>13</v>
      </c>
      <c r="H921" t="s">
        <v>13</v>
      </c>
      <c r="I921">
        <v>35</v>
      </c>
      <c r="J921">
        <f>ABS((I921-EDA!$A$15)/EDA!$B$15)</f>
        <v>0.49258699768124525</v>
      </c>
      <c r="K921" t="str">
        <f t="shared" si="14"/>
        <v>No</v>
      </c>
      <c r="L921">
        <f>ABS((C921-EDA!$F$15)/EDA!$G$15)</f>
        <v>0.36977580925139358</v>
      </c>
      <c r="M921" t="str">
        <f>IF(moras[[#This Row],[Z-Score Salario]]&gt;1.96, "Sí", "No")</f>
        <v>No</v>
      </c>
      <c r="N921" s="14">
        <f>IF(ISBLANK(moras[[#This Row],[SALARIO]]), EDA!$M$8, moras[[#This Row],[SALARIO]])</f>
        <v>353240</v>
      </c>
      <c r="O921" s="14">
        <f xml:space="preserve"> IF(ISBLANK(moras[[#This Row],[EDAD]]), EDA!$E$8, moras[[#This Row],[EDAD]])</f>
        <v>35</v>
      </c>
      <c r="P921" s="14" t="str">
        <f>IF(
    OR(ISBLANK(moras[[#This Row],[TIPO_ASEGURAMIENTO]]), moras[[#This Row],[TIPO_ASEGURAMIENTO]]=""),
    EDA!$A$32,
    moras[[#This Row],[TIPO_ASEGURAMIENTO]]
)</f>
        <v>ASALARIADO</v>
      </c>
    </row>
    <row r="922" spans="1:16" x14ac:dyDescent="0.3">
      <c r="A922">
        <v>921</v>
      </c>
      <c r="B922" t="s">
        <v>9</v>
      </c>
      <c r="C922">
        <v>5230016</v>
      </c>
      <c r="D922" t="s">
        <v>10</v>
      </c>
      <c r="E922" t="s">
        <v>16</v>
      </c>
      <c r="F922" t="s">
        <v>12</v>
      </c>
      <c r="G922" t="s">
        <v>13</v>
      </c>
      <c r="H922" t="s">
        <v>13</v>
      </c>
      <c r="I922">
        <v>38</v>
      </c>
      <c r="J922">
        <f>ABS((I922-EDA!$A$15)/EDA!$B$15)</f>
        <v>0.28086100744983278</v>
      </c>
      <c r="K922" t="str">
        <f t="shared" si="14"/>
        <v>No</v>
      </c>
      <c r="L922">
        <f>ABS((C922-EDA!$F$15)/EDA!$G$15)</f>
        <v>0.28862281403573226</v>
      </c>
      <c r="M922" t="str">
        <f>IF(moras[[#This Row],[Z-Score Salario]]&gt;1.96, "Sí", "No")</f>
        <v>No</v>
      </c>
      <c r="N922" s="14">
        <f>IF(ISBLANK(moras[[#This Row],[SALARIO]]), EDA!$M$8, moras[[#This Row],[SALARIO]])</f>
        <v>5230016</v>
      </c>
      <c r="O922" s="14">
        <f xml:space="preserve"> IF(ISBLANK(moras[[#This Row],[EDAD]]), EDA!$E$8, moras[[#This Row],[EDAD]])</f>
        <v>38</v>
      </c>
      <c r="P922" s="14" t="str">
        <f>IF(
    OR(ISBLANK(moras[[#This Row],[TIPO_ASEGURAMIENTO]]), moras[[#This Row],[TIPO_ASEGURAMIENTO]]=""),
    EDA!$A$32,
    moras[[#This Row],[TIPO_ASEGURAMIENTO]]
)</f>
        <v>ASALARIADO</v>
      </c>
    </row>
    <row r="923" spans="1:16" x14ac:dyDescent="0.3">
      <c r="A923">
        <v>922</v>
      </c>
      <c r="B923" t="s">
        <v>9</v>
      </c>
      <c r="C923">
        <v>4771721</v>
      </c>
      <c r="D923" t="s">
        <v>10</v>
      </c>
      <c r="E923" t="s">
        <v>16</v>
      </c>
      <c r="F923" t="s">
        <v>12</v>
      </c>
      <c r="G923" t="s">
        <v>13</v>
      </c>
      <c r="H923" t="s">
        <v>13</v>
      </c>
      <c r="I923">
        <v>20</v>
      </c>
      <c r="J923">
        <f>ABS((I923-EDA!$A$15)/EDA!$B$15)</f>
        <v>1.5512169488383079</v>
      </c>
      <c r="K923" t="str">
        <f t="shared" si="14"/>
        <v>No</v>
      </c>
      <c r="L923">
        <f>ABS((C923-EDA!$F$15)/EDA!$G$15)</f>
        <v>0.29624916635176268</v>
      </c>
      <c r="M923" t="str">
        <f>IF(moras[[#This Row],[Z-Score Salario]]&gt;1.96, "Sí", "No")</f>
        <v>No</v>
      </c>
      <c r="N923" s="14">
        <f>IF(ISBLANK(moras[[#This Row],[SALARIO]]), EDA!$M$8, moras[[#This Row],[SALARIO]])</f>
        <v>4771721</v>
      </c>
      <c r="O923" s="14">
        <f xml:space="preserve"> IF(ISBLANK(moras[[#This Row],[EDAD]]), EDA!$E$8, moras[[#This Row],[EDAD]])</f>
        <v>20</v>
      </c>
      <c r="P923" s="14" t="str">
        <f>IF(
    OR(ISBLANK(moras[[#This Row],[TIPO_ASEGURAMIENTO]]), moras[[#This Row],[TIPO_ASEGURAMIENTO]]=""),
    EDA!$A$32,
    moras[[#This Row],[TIPO_ASEGURAMIENTO]]
)</f>
        <v>ASALARIADO</v>
      </c>
    </row>
    <row r="924" spans="1:16" x14ac:dyDescent="0.3">
      <c r="A924">
        <v>923</v>
      </c>
      <c r="B924" t="s">
        <v>9</v>
      </c>
      <c r="C924">
        <v>297046</v>
      </c>
      <c r="D924" t="s">
        <v>18</v>
      </c>
      <c r="E924" t="s">
        <v>16</v>
      </c>
      <c r="F924" t="s">
        <v>12</v>
      </c>
      <c r="G924" t="s">
        <v>13</v>
      </c>
      <c r="H924" t="s">
        <v>13</v>
      </c>
      <c r="I924">
        <v>35</v>
      </c>
      <c r="J924">
        <f>ABS((I924-EDA!$A$15)/EDA!$B$15)</f>
        <v>0.49258699768124525</v>
      </c>
      <c r="K924" t="str">
        <f t="shared" si="14"/>
        <v>No</v>
      </c>
      <c r="L924">
        <f>ABS((C924-EDA!$F$15)/EDA!$G$15)</f>
        <v>0.37071091707942361</v>
      </c>
      <c r="M924" t="str">
        <f>IF(moras[[#This Row],[Z-Score Salario]]&gt;1.96, "Sí", "No")</f>
        <v>No</v>
      </c>
      <c r="N924" s="14">
        <f>IF(ISBLANK(moras[[#This Row],[SALARIO]]), EDA!$M$8, moras[[#This Row],[SALARIO]])</f>
        <v>297046</v>
      </c>
      <c r="O924" s="14">
        <f xml:space="preserve"> IF(ISBLANK(moras[[#This Row],[EDAD]]), EDA!$E$8, moras[[#This Row],[EDAD]])</f>
        <v>35</v>
      </c>
      <c r="P924" s="14" t="str">
        <f>IF(
    OR(ISBLANK(moras[[#This Row],[TIPO_ASEGURAMIENTO]]), moras[[#This Row],[TIPO_ASEGURAMIENTO]]=""),
    EDA!$A$32,
    moras[[#This Row],[TIPO_ASEGURAMIENTO]]
)</f>
        <v>TRABAJADOR INDEPENDIENTE</v>
      </c>
    </row>
    <row r="925" spans="1:16" x14ac:dyDescent="0.3">
      <c r="A925">
        <v>924</v>
      </c>
      <c r="B925" t="s">
        <v>9</v>
      </c>
      <c r="C925">
        <v>458557</v>
      </c>
      <c r="D925" t="s">
        <v>18</v>
      </c>
      <c r="E925" t="s">
        <v>16</v>
      </c>
      <c r="F925" t="s">
        <v>12</v>
      </c>
      <c r="G925" t="s">
        <v>12</v>
      </c>
      <c r="H925" t="s">
        <v>12</v>
      </c>
      <c r="I925">
        <v>41</v>
      </c>
      <c r="J925">
        <f>ABS((I925-EDA!$A$15)/EDA!$B$15)</f>
        <v>6.9135017218420233E-2</v>
      </c>
      <c r="K925" t="str">
        <f t="shared" si="14"/>
        <v>No</v>
      </c>
      <c r="L925">
        <f>ABS((C925-EDA!$F$15)/EDA!$G$15)</f>
        <v>0.36802326002683872</v>
      </c>
      <c r="M925" t="str">
        <f>IF(moras[[#This Row],[Z-Score Salario]]&gt;1.96, "Sí", "No")</f>
        <v>No</v>
      </c>
      <c r="N925" s="14">
        <f>IF(ISBLANK(moras[[#This Row],[SALARIO]]), EDA!$M$8, moras[[#This Row],[SALARIO]])</f>
        <v>458557</v>
      </c>
      <c r="O925" s="14">
        <f xml:space="preserve"> IF(ISBLANK(moras[[#This Row],[EDAD]]), EDA!$E$8, moras[[#This Row],[EDAD]])</f>
        <v>41</v>
      </c>
      <c r="P925" s="14" t="str">
        <f>IF(
    OR(ISBLANK(moras[[#This Row],[TIPO_ASEGURAMIENTO]]), moras[[#This Row],[TIPO_ASEGURAMIENTO]]=""),
    EDA!$A$32,
    moras[[#This Row],[TIPO_ASEGURAMIENTO]]
)</f>
        <v>TRABAJADOR INDEPENDIENTE</v>
      </c>
    </row>
    <row r="926" spans="1:16" x14ac:dyDescent="0.3">
      <c r="A926">
        <v>925</v>
      </c>
      <c r="B926" t="s">
        <v>9</v>
      </c>
      <c r="C926">
        <v>639148</v>
      </c>
      <c r="D926" t="s">
        <v>18</v>
      </c>
      <c r="E926" t="s">
        <v>16</v>
      </c>
      <c r="F926" t="s">
        <v>12</v>
      </c>
      <c r="G926" t="s">
        <v>13</v>
      </c>
      <c r="H926" t="s">
        <v>12</v>
      </c>
      <c r="I926">
        <v>50</v>
      </c>
      <c r="J926">
        <f>ABS((I926-EDA!$A$15)/EDA!$B$15)</f>
        <v>0.56604295347581735</v>
      </c>
      <c r="K926" t="str">
        <f t="shared" si="14"/>
        <v>No</v>
      </c>
      <c r="L926">
        <f>ABS((C926-EDA!$F$15)/EDA!$G$15)</f>
        <v>0.36501809830544912</v>
      </c>
      <c r="M926" t="str">
        <f>IF(moras[[#This Row],[Z-Score Salario]]&gt;1.96, "Sí", "No")</f>
        <v>No</v>
      </c>
      <c r="N926" s="14">
        <f>IF(ISBLANK(moras[[#This Row],[SALARIO]]), EDA!$M$8, moras[[#This Row],[SALARIO]])</f>
        <v>639148</v>
      </c>
      <c r="O926" s="14">
        <f xml:space="preserve"> IF(ISBLANK(moras[[#This Row],[EDAD]]), EDA!$E$8, moras[[#This Row],[EDAD]])</f>
        <v>50</v>
      </c>
      <c r="P926" s="14" t="str">
        <f>IF(
    OR(ISBLANK(moras[[#This Row],[TIPO_ASEGURAMIENTO]]), moras[[#This Row],[TIPO_ASEGURAMIENTO]]=""),
    EDA!$A$32,
    moras[[#This Row],[TIPO_ASEGURAMIENTO]]
)</f>
        <v>TRABAJADOR INDEPENDIENTE</v>
      </c>
    </row>
    <row r="927" spans="1:16" x14ac:dyDescent="0.3">
      <c r="A927">
        <v>926</v>
      </c>
      <c r="B927" t="s">
        <v>15</v>
      </c>
      <c r="C927">
        <v>299647</v>
      </c>
      <c r="D927" t="s">
        <v>17</v>
      </c>
      <c r="E927" t="s">
        <v>16</v>
      </c>
      <c r="F927" t="s">
        <v>12</v>
      </c>
      <c r="G927" t="s">
        <v>13</v>
      </c>
      <c r="H927" t="s">
        <v>13</v>
      </c>
      <c r="I927">
        <v>68</v>
      </c>
      <c r="J927">
        <f>ABS((I927-EDA!$A$15)/EDA!$B$15)</f>
        <v>1.8363988948642924</v>
      </c>
      <c r="K927" t="str">
        <f t="shared" si="14"/>
        <v>No</v>
      </c>
      <c r="L927">
        <f>ABS((C927-EDA!$F$15)/EDA!$G$15)</f>
        <v>0.37066763460334595</v>
      </c>
      <c r="M927" t="str">
        <f>IF(moras[[#This Row],[Z-Score Salario]]&gt;1.96, "Sí", "No")</f>
        <v>No</v>
      </c>
      <c r="N927" s="14">
        <f>IF(ISBLANK(moras[[#This Row],[SALARIO]]), EDA!$M$8, moras[[#This Row],[SALARIO]])</f>
        <v>299647</v>
      </c>
      <c r="O927" s="14">
        <f xml:space="preserve"> IF(ISBLANK(moras[[#This Row],[EDAD]]), EDA!$E$8, moras[[#This Row],[EDAD]])</f>
        <v>68</v>
      </c>
      <c r="P927" s="14" t="str">
        <f>IF(
    OR(ISBLANK(moras[[#This Row],[TIPO_ASEGURAMIENTO]]), moras[[#This Row],[TIPO_ASEGURAMIENTO]]=""),
    EDA!$A$32,
    moras[[#This Row],[TIPO_ASEGURAMIENTO]]
)</f>
        <v>ASEGURADO VOLUNTARIO</v>
      </c>
    </row>
    <row r="928" spans="1:16" x14ac:dyDescent="0.3">
      <c r="A928">
        <v>927</v>
      </c>
      <c r="B928" t="s">
        <v>15</v>
      </c>
      <c r="C928">
        <v>9965439</v>
      </c>
      <c r="D928" t="s">
        <v>10</v>
      </c>
      <c r="E928" t="s">
        <v>11</v>
      </c>
      <c r="F928" t="s">
        <v>12</v>
      </c>
      <c r="G928" t="s">
        <v>13</v>
      </c>
      <c r="H928" t="s">
        <v>13</v>
      </c>
      <c r="I928">
        <v>54</v>
      </c>
      <c r="J928">
        <f>ABS((I928-EDA!$A$15)/EDA!$B$15)</f>
        <v>0.84834427378436728</v>
      </c>
      <c r="K928" t="str">
        <f t="shared" si="14"/>
        <v>No</v>
      </c>
      <c r="L928">
        <f>ABS((C928-EDA!$F$15)/EDA!$G$15)</f>
        <v>0.20982203252287779</v>
      </c>
      <c r="M928" t="str">
        <f>IF(moras[[#This Row],[Z-Score Salario]]&gt;1.96, "Sí", "No")</f>
        <v>No</v>
      </c>
      <c r="N928" s="14">
        <f>IF(ISBLANK(moras[[#This Row],[SALARIO]]), EDA!$M$8, moras[[#This Row],[SALARIO]])</f>
        <v>9965439</v>
      </c>
      <c r="O928" s="14">
        <f xml:space="preserve"> IF(ISBLANK(moras[[#This Row],[EDAD]]), EDA!$E$8, moras[[#This Row],[EDAD]])</f>
        <v>54</v>
      </c>
      <c r="P928" s="14" t="str">
        <f>IF(
    OR(ISBLANK(moras[[#This Row],[TIPO_ASEGURAMIENTO]]), moras[[#This Row],[TIPO_ASEGURAMIENTO]]=""),
    EDA!$A$32,
    moras[[#This Row],[TIPO_ASEGURAMIENTO]]
)</f>
        <v>ASALARIADO</v>
      </c>
    </row>
    <row r="929" spans="1:16" x14ac:dyDescent="0.3">
      <c r="A929">
        <v>928</v>
      </c>
      <c r="B929" t="s">
        <v>9</v>
      </c>
      <c r="C929">
        <v>355000</v>
      </c>
      <c r="D929" t="s">
        <v>10</v>
      </c>
      <c r="E929" t="s">
        <v>16</v>
      </c>
      <c r="F929" t="s">
        <v>12</v>
      </c>
      <c r="G929" t="s">
        <v>13</v>
      </c>
      <c r="H929" t="s">
        <v>13</v>
      </c>
      <c r="I929">
        <v>60</v>
      </c>
      <c r="J929">
        <f>ABS((I929-EDA!$A$15)/EDA!$B$15)</f>
        <v>1.2717962542471923</v>
      </c>
      <c r="K929" t="str">
        <f t="shared" si="14"/>
        <v>No</v>
      </c>
      <c r="L929">
        <f>ABS((C929-EDA!$F$15)/EDA!$G$15)</f>
        <v>0.36974652160898813</v>
      </c>
      <c r="M929" t="str">
        <f>IF(moras[[#This Row],[Z-Score Salario]]&gt;1.96, "Sí", "No")</f>
        <v>No</v>
      </c>
      <c r="N929" s="14">
        <f>IF(ISBLANK(moras[[#This Row],[SALARIO]]), EDA!$M$8, moras[[#This Row],[SALARIO]])</f>
        <v>355000</v>
      </c>
      <c r="O929" s="14">
        <f xml:space="preserve"> IF(ISBLANK(moras[[#This Row],[EDAD]]), EDA!$E$8, moras[[#This Row],[EDAD]])</f>
        <v>60</v>
      </c>
      <c r="P929" s="14" t="str">
        <f>IF(
    OR(ISBLANK(moras[[#This Row],[TIPO_ASEGURAMIENTO]]), moras[[#This Row],[TIPO_ASEGURAMIENTO]]=""),
    EDA!$A$32,
    moras[[#This Row],[TIPO_ASEGURAMIENTO]]
)</f>
        <v>ASALARIADO</v>
      </c>
    </row>
    <row r="930" spans="1:16" x14ac:dyDescent="0.3">
      <c r="A930">
        <v>929</v>
      </c>
      <c r="B930" t="s">
        <v>15</v>
      </c>
      <c r="C930">
        <v>319590</v>
      </c>
      <c r="D930" t="s">
        <v>10</v>
      </c>
      <c r="E930" t="s">
        <v>16</v>
      </c>
      <c r="F930" t="s">
        <v>12</v>
      </c>
      <c r="G930" t="s">
        <v>13</v>
      </c>
      <c r="H930" t="s">
        <v>13</v>
      </c>
      <c r="I930">
        <v>35</v>
      </c>
      <c r="J930">
        <f>ABS((I930-EDA!$A$15)/EDA!$B$15)</f>
        <v>0.49258699768124525</v>
      </c>
      <c r="K930" t="str">
        <f t="shared" si="14"/>
        <v>No</v>
      </c>
      <c r="L930">
        <f>ABS((C930-EDA!$F$15)/EDA!$G$15)</f>
        <v>0.37033576900533899</v>
      </c>
      <c r="M930" t="str">
        <f>IF(moras[[#This Row],[Z-Score Salario]]&gt;1.96, "Sí", "No")</f>
        <v>No</v>
      </c>
      <c r="N930" s="14">
        <f>IF(ISBLANK(moras[[#This Row],[SALARIO]]), EDA!$M$8, moras[[#This Row],[SALARIO]])</f>
        <v>319590</v>
      </c>
      <c r="O930" s="14">
        <f xml:space="preserve"> IF(ISBLANK(moras[[#This Row],[EDAD]]), EDA!$E$8, moras[[#This Row],[EDAD]])</f>
        <v>35</v>
      </c>
      <c r="P930" s="14" t="str">
        <f>IF(
    OR(ISBLANK(moras[[#This Row],[TIPO_ASEGURAMIENTO]]), moras[[#This Row],[TIPO_ASEGURAMIENTO]]=""),
    EDA!$A$32,
    moras[[#This Row],[TIPO_ASEGURAMIENTO]]
)</f>
        <v>ASALARIADO</v>
      </c>
    </row>
    <row r="931" spans="1:16" x14ac:dyDescent="0.3">
      <c r="A931">
        <v>930</v>
      </c>
      <c r="B931" t="s">
        <v>15</v>
      </c>
      <c r="C931">
        <v>74000</v>
      </c>
      <c r="D931" t="s">
        <v>10</v>
      </c>
      <c r="E931" t="s">
        <v>16</v>
      </c>
      <c r="F931" t="s">
        <v>12</v>
      </c>
      <c r="G931" t="s">
        <v>13</v>
      </c>
      <c r="H931" t="s">
        <v>13</v>
      </c>
      <c r="I931">
        <v>34</v>
      </c>
      <c r="J931">
        <f>ABS((I931-EDA!$A$15)/EDA!$B$15)</f>
        <v>0.56316232775838282</v>
      </c>
      <c r="K931" t="str">
        <f t="shared" si="14"/>
        <v>No</v>
      </c>
      <c r="L931">
        <f>ABS((C931-EDA!$F$15)/EDA!$G$15)</f>
        <v>0.37442255997031554</v>
      </c>
      <c r="M931" t="str">
        <f>IF(moras[[#This Row],[Z-Score Salario]]&gt;1.96, "Sí", "No")</f>
        <v>No</v>
      </c>
      <c r="N931" s="14">
        <f>IF(ISBLANK(moras[[#This Row],[SALARIO]]), EDA!$M$8, moras[[#This Row],[SALARIO]])</f>
        <v>74000</v>
      </c>
      <c r="O931" s="14">
        <f xml:space="preserve"> IF(ISBLANK(moras[[#This Row],[EDAD]]), EDA!$E$8, moras[[#This Row],[EDAD]])</f>
        <v>34</v>
      </c>
      <c r="P931" s="14" t="str">
        <f>IF(
    OR(ISBLANK(moras[[#This Row],[TIPO_ASEGURAMIENTO]]), moras[[#This Row],[TIPO_ASEGURAMIENTO]]=""),
    EDA!$A$32,
    moras[[#This Row],[TIPO_ASEGURAMIENTO]]
)</f>
        <v>ASALARIADO</v>
      </c>
    </row>
    <row r="932" spans="1:16" x14ac:dyDescent="0.3">
      <c r="A932">
        <v>931</v>
      </c>
      <c r="B932" t="s">
        <v>9</v>
      </c>
      <c r="C932">
        <v>44254673</v>
      </c>
      <c r="D932" t="s">
        <v>10</v>
      </c>
      <c r="E932" t="s">
        <v>16</v>
      </c>
      <c r="F932" t="s">
        <v>12</v>
      </c>
      <c r="G932" t="s">
        <v>13</v>
      </c>
      <c r="H932" t="s">
        <v>13</v>
      </c>
      <c r="I932">
        <v>40</v>
      </c>
      <c r="J932">
        <f>ABS((I932-EDA!$A$15)/EDA!$B$15)</f>
        <v>0.13971034729555773</v>
      </c>
      <c r="K932" t="str">
        <f t="shared" si="14"/>
        <v>No</v>
      </c>
      <c r="L932">
        <f>ABS((C932-EDA!$F$15)/EDA!$G$15)</f>
        <v>0.36077502642563469</v>
      </c>
      <c r="M932" t="str">
        <f>IF(moras[[#This Row],[Z-Score Salario]]&gt;1.96, "Sí", "No")</f>
        <v>No</v>
      </c>
      <c r="N932" s="14">
        <f>IF(ISBLANK(moras[[#This Row],[SALARIO]]), EDA!$M$8, moras[[#This Row],[SALARIO]])</f>
        <v>44254673</v>
      </c>
      <c r="O932" s="14">
        <f xml:space="preserve"> IF(ISBLANK(moras[[#This Row],[EDAD]]), EDA!$E$8, moras[[#This Row],[EDAD]])</f>
        <v>40</v>
      </c>
      <c r="P932" s="14" t="str">
        <f>IF(
    OR(ISBLANK(moras[[#This Row],[TIPO_ASEGURAMIENTO]]), moras[[#This Row],[TIPO_ASEGURAMIENTO]]=""),
    EDA!$A$32,
    moras[[#This Row],[TIPO_ASEGURAMIENTO]]
)</f>
        <v>ASALARIADO</v>
      </c>
    </row>
    <row r="933" spans="1:16" x14ac:dyDescent="0.3">
      <c r="A933">
        <v>932</v>
      </c>
      <c r="B933" t="s">
        <v>9</v>
      </c>
      <c r="C933">
        <v>1249086</v>
      </c>
      <c r="D933" t="s">
        <v>14</v>
      </c>
      <c r="E933" t="s">
        <v>11</v>
      </c>
      <c r="F933" t="s">
        <v>12</v>
      </c>
      <c r="G933" t="s">
        <v>13</v>
      </c>
      <c r="H933" t="s">
        <v>13</v>
      </c>
      <c r="I933">
        <v>73</v>
      </c>
      <c r="J933">
        <f>ABS((I933-EDA!$A$15)/EDA!$B$15)</f>
        <v>2.1892755452499797</v>
      </c>
      <c r="K933" t="str">
        <f t="shared" si="14"/>
        <v>Sí</v>
      </c>
      <c r="L933">
        <f>ABS((C933-EDA!$F$15)/EDA!$G$15)</f>
        <v>0.35486829942277537</v>
      </c>
      <c r="M933" t="str">
        <f>IF(moras[[#This Row],[Z-Score Salario]]&gt;1.96, "Sí", "No")</f>
        <v>No</v>
      </c>
      <c r="N933" s="14">
        <f>IF(ISBLANK(moras[[#This Row],[SALARIO]]), EDA!$M$8, moras[[#This Row],[SALARIO]])</f>
        <v>1249086</v>
      </c>
      <c r="O933" s="14">
        <f xml:space="preserve"> IF(ISBLANK(moras[[#This Row],[EDAD]]), EDA!$E$8, moras[[#This Row],[EDAD]])</f>
        <v>73</v>
      </c>
      <c r="P933" s="14" t="str">
        <f>IF(
    OR(ISBLANK(moras[[#This Row],[TIPO_ASEGURAMIENTO]]), moras[[#This Row],[TIPO_ASEGURAMIENTO]]=""),
    EDA!$A$32,
    moras[[#This Row],[TIPO_ASEGURAMIENTO]]
)</f>
        <v>PENSIONADOS EN SU PROPIO SISTEMA</v>
      </c>
    </row>
    <row r="934" spans="1:16" x14ac:dyDescent="0.3">
      <c r="A934">
        <v>933</v>
      </c>
      <c r="B934" t="s">
        <v>9</v>
      </c>
      <c r="C934">
        <v>505000</v>
      </c>
      <c r="D934" t="s">
        <v>10</v>
      </c>
      <c r="E934" t="s">
        <v>16</v>
      </c>
      <c r="F934" t="s">
        <v>12</v>
      </c>
      <c r="G934" t="s">
        <v>13</v>
      </c>
      <c r="H934" t="s">
        <v>13</v>
      </c>
      <c r="I934">
        <v>21</v>
      </c>
      <c r="J934">
        <f>ABS((I934-EDA!$A$15)/EDA!$B$15)</f>
        <v>1.4806416187611704</v>
      </c>
      <c r="K934" t="str">
        <f t="shared" si="14"/>
        <v>No</v>
      </c>
      <c r="L934">
        <f>ABS((C934-EDA!$F$15)/EDA!$G$15)</f>
        <v>0.36725041572215855</v>
      </c>
      <c r="M934" t="str">
        <f>IF(moras[[#This Row],[Z-Score Salario]]&gt;1.96, "Sí", "No")</f>
        <v>No</v>
      </c>
      <c r="N934" s="14">
        <f>IF(ISBLANK(moras[[#This Row],[SALARIO]]), EDA!$M$8, moras[[#This Row],[SALARIO]])</f>
        <v>505000</v>
      </c>
      <c r="O934" s="14">
        <f xml:space="preserve"> IF(ISBLANK(moras[[#This Row],[EDAD]]), EDA!$E$8, moras[[#This Row],[EDAD]])</f>
        <v>21</v>
      </c>
      <c r="P934" s="14" t="str">
        <f>IF(
    OR(ISBLANK(moras[[#This Row],[TIPO_ASEGURAMIENTO]]), moras[[#This Row],[TIPO_ASEGURAMIENTO]]=""),
    EDA!$A$32,
    moras[[#This Row],[TIPO_ASEGURAMIENTO]]
)</f>
        <v>ASALARIADO</v>
      </c>
    </row>
    <row r="935" spans="1:16" x14ac:dyDescent="0.3">
      <c r="A935">
        <v>934</v>
      </c>
      <c r="B935" t="s">
        <v>9</v>
      </c>
      <c r="C935">
        <v>2471797</v>
      </c>
      <c r="D935" t="s">
        <v>14</v>
      </c>
      <c r="E935" t="s">
        <v>11</v>
      </c>
      <c r="F935" t="s">
        <v>12</v>
      </c>
      <c r="G935" t="s">
        <v>13</v>
      </c>
      <c r="H935" t="s">
        <v>13</v>
      </c>
      <c r="I935">
        <v>78</v>
      </c>
      <c r="J935">
        <f>ABS((I935-EDA!$A$15)/EDA!$B$15)</f>
        <v>2.5421521956356674</v>
      </c>
      <c r="K935" t="str">
        <f t="shared" si="14"/>
        <v>Sí</v>
      </c>
      <c r="L935">
        <f>ABS((C935-EDA!$F$15)/EDA!$G$15)</f>
        <v>0.33452152525616685</v>
      </c>
      <c r="M935" t="str">
        <f>IF(moras[[#This Row],[Z-Score Salario]]&gt;1.96, "Sí", "No")</f>
        <v>No</v>
      </c>
      <c r="N935" s="14">
        <f>IF(ISBLANK(moras[[#This Row],[SALARIO]]), EDA!$M$8, moras[[#This Row],[SALARIO]])</f>
        <v>2471797</v>
      </c>
      <c r="O935" s="14">
        <f xml:space="preserve"> IF(ISBLANK(moras[[#This Row],[EDAD]]), EDA!$E$8, moras[[#This Row],[EDAD]])</f>
        <v>78</v>
      </c>
      <c r="P935" s="14" t="str">
        <f>IF(
    OR(ISBLANK(moras[[#This Row],[TIPO_ASEGURAMIENTO]]), moras[[#This Row],[TIPO_ASEGURAMIENTO]]=""),
    EDA!$A$32,
    moras[[#This Row],[TIPO_ASEGURAMIENTO]]
)</f>
        <v>PENSIONADOS EN SU PROPIO SISTEMA</v>
      </c>
    </row>
    <row r="936" spans="1:16" x14ac:dyDescent="0.3">
      <c r="A936">
        <v>935</v>
      </c>
      <c r="B936" t="s">
        <v>15</v>
      </c>
      <c r="C936">
        <v>146600</v>
      </c>
      <c r="D936" t="s">
        <v>10</v>
      </c>
      <c r="E936" t="s">
        <v>16</v>
      </c>
      <c r="F936" t="s">
        <v>12</v>
      </c>
      <c r="G936" t="s">
        <v>13</v>
      </c>
      <c r="H936" t="s">
        <v>13</v>
      </c>
      <c r="I936">
        <v>36</v>
      </c>
      <c r="J936">
        <f>ABS((I936-EDA!$A$15)/EDA!$B$15)</f>
        <v>0.42201166760410774</v>
      </c>
      <c r="K936" t="str">
        <f t="shared" si="14"/>
        <v>No</v>
      </c>
      <c r="L936">
        <f>ABS((C936-EDA!$F$15)/EDA!$G$15)</f>
        <v>0.37321444472109</v>
      </c>
      <c r="M936" t="str">
        <f>IF(moras[[#This Row],[Z-Score Salario]]&gt;1.96, "Sí", "No")</f>
        <v>No</v>
      </c>
      <c r="N936" s="14">
        <f>IF(ISBLANK(moras[[#This Row],[SALARIO]]), EDA!$M$8, moras[[#This Row],[SALARIO]])</f>
        <v>146600</v>
      </c>
      <c r="O936" s="14">
        <f xml:space="preserve"> IF(ISBLANK(moras[[#This Row],[EDAD]]), EDA!$E$8, moras[[#This Row],[EDAD]])</f>
        <v>36</v>
      </c>
      <c r="P936" s="14" t="str">
        <f>IF(
    OR(ISBLANK(moras[[#This Row],[TIPO_ASEGURAMIENTO]]), moras[[#This Row],[TIPO_ASEGURAMIENTO]]=""),
    EDA!$A$32,
    moras[[#This Row],[TIPO_ASEGURAMIENTO]]
)</f>
        <v>ASALARIADO</v>
      </c>
    </row>
    <row r="937" spans="1:16" x14ac:dyDescent="0.3">
      <c r="A937">
        <v>936</v>
      </c>
      <c r="B937" t="s">
        <v>15</v>
      </c>
      <c r="C937">
        <v>30093262</v>
      </c>
      <c r="D937" t="s">
        <v>10</v>
      </c>
      <c r="E937" t="s">
        <v>16</v>
      </c>
      <c r="F937" t="s">
        <v>12</v>
      </c>
      <c r="G937" t="s">
        <v>13</v>
      </c>
      <c r="H937" t="s">
        <v>13</v>
      </c>
      <c r="I937">
        <v>52</v>
      </c>
      <c r="J937">
        <f>ABS((I937-EDA!$A$15)/EDA!$B$15)</f>
        <v>0.70719361363009237</v>
      </c>
      <c r="K937" t="str">
        <f t="shared" si="14"/>
        <v>No</v>
      </c>
      <c r="L937">
        <f>ABS((C937-EDA!$F$15)/EDA!$G$15)</f>
        <v>0.12511915067288054</v>
      </c>
      <c r="M937" t="str">
        <f>IF(moras[[#This Row],[Z-Score Salario]]&gt;1.96, "Sí", "No")</f>
        <v>No</v>
      </c>
      <c r="N937" s="14">
        <f>IF(ISBLANK(moras[[#This Row],[SALARIO]]), EDA!$M$8, moras[[#This Row],[SALARIO]])</f>
        <v>30093262</v>
      </c>
      <c r="O937" s="14">
        <f xml:space="preserve"> IF(ISBLANK(moras[[#This Row],[EDAD]]), EDA!$E$8, moras[[#This Row],[EDAD]])</f>
        <v>52</v>
      </c>
      <c r="P937" s="14" t="str">
        <f>IF(
    OR(ISBLANK(moras[[#This Row],[TIPO_ASEGURAMIENTO]]), moras[[#This Row],[TIPO_ASEGURAMIENTO]]=""),
    EDA!$A$32,
    moras[[#This Row],[TIPO_ASEGURAMIENTO]]
)</f>
        <v>ASALARIADO</v>
      </c>
    </row>
    <row r="938" spans="1:16" x14ac:dyDescent="0.3">
      <c r="A938">
        <v>937</v>
      </c>
      <c r="B938" t="s">
        <v>9</v>
      </c>
      <c r="C938">
        <v>275000</v>
      </c>
      <c r="D938" t="s">
        <v>10</v>
      </c>
      <c r="E938" t="s">
        <v>16</v>
      </c>
      <c r="F938" t="s">
        <v>12</v>
      </c>
      <c r="G938" t="s">
        <v>13</v>
      </c>
      <c r="H938" t="s">
        <v>13</v>
      </c>
      <c r="I938">
        <v>42</v>
      </c>
      <c r="J938">
        <f>ABS((I938-EDA!$A$15)/EDA!$B$15)</f>
        <v>1.4403128587172659E-3</v>
      </c>
      <c r="K938" t="str">
        <f t="shared" si="14"/>
        <v>No</v>
      </c>
      <c r="L938">
        <f>ABS((C938-EDA!$F$15)/EDA!$G$15)</f>
        <v>0.3710777780819639</v>
      </c>
      <c r="M938" t="str">
        <f>IF(moras[[#This Row],[Z-Score Salario]]&gt;1.96, "Sí", "No")</f>
        <v>No</v>
      </c>
      <c r="N938" s="14">
        <f>IF(ISBLANK(moras[[#This Row],[SALARIO]]), EDA!$M$8, moras[[#This Row],[SALARIO]])</f>
        <v>275000</v>
      </c>
      <c r="O938" s="14">
        <f xml:space="preserve"> IF(ISBLANK(moras[[#This Row],[EDAD]]), EDA!$E$8, moras[[#This Row],[EDAD]])</f>
        <v>42</v>
      </c>
      <c r="P938" s="14" t="str">
        <f>IF(
    OR(ISBLANK(moras[[#This Row],[TIPO_ASEGURAMIENTO]]), moras[[#This Row],[TIPO_ASEGURAMIENTO]]=""),
    EDA!$A$32,
    moras[[#This Row],[TIPO_ASEGURAMIENTO]]
)</f>
        <v>ASALARIADO</v>
      </c>
    </row>
    <row r="939" spans="1:16" x14ac:dyDescent="0.3">
      <c r="A939">
        <v>938</v>
      </c>
      <c r="B939" t="s">
        <v>9</v>
      </c>
      <c r="C939">
        <v>515165</v>
      </c>
      <c r="D939" t="s">
        <v>10</v>
      </c>
      <c r="E939" t="s">
        <v>16</v>
      </c>
      <c r="F939" t="s">
        <v>12</v>
      </c>
      <c r="G939" t="s">
        <v>13</v>
      </c>
      <c r="H939" t="s">
        <v>13</v>
      </c>
      <c r="I939">
        <v>46</v>
      </c>
      <c r="J939">
        <f>ABS((I939-EDA!$A$15)/EDA!$B$15)</f>
        <v>0.2837416331672673</v>
      </c>
      <c r="K939" t="str">
        <f t="shared" si="14"/>
        <v>No</v>
      </c>
      <c r="L939">
        <f>ABS((C939-EDA!$F$15)/EDA!$G$15)</f>
        <v>0.36708126294656107</v>
      </c>
      <c r="M939" t="str">
        <f>IF(moras[[#This Row],[Z-Score Salario]]&gt;1.96, "Sí", "No")</f>
        <v>No</v>
      </c>
      <c r="N939" s="14">
        <f>IF(ISBLANK(moras[[#This Row],[SALARIO]]), EDA!$M$8, moras[[#This Row],[SALARIO]])</f>
        <v>515165</v>
      </c>
      <c r="O939" s="14">
        <f xml:space="preserve"> IF(ISBLANK(moras[[#This Row],[EDAD]]), EDA!$E$8, moras[[#This Row],[EDAD]])</f>
        <v>46</v>
      </c>
      <c r="P939" s="14" t="str">
        <f>IF(
    OR(ISBLANK(moras[[#This Row],[TIPO_ASEGURAMIENTO]]), moras[[#This Row],[TIPO_ASEGURAMIENTO]]=""),
    EDA!$A$32,
    moras[[#This Row],[TIPO_ASEGURAMIENTO]]
)</f>
        <v>ASALARIADO</v>
      </c>
    </row>
    <row r="940" spans="1:16" x14ac:dyDescent="0.3">
      <c r="A940">
        <v>939</v>
      </c>
      <c r="B940" t="s">
        <v>15</v>
      </c>
      <c r="C940">
        <v>297046</v>
      </c>
      <c r="D940" t="s">
        <v>17</v>
      </c>
      <c r="E940" t="s">
        <v>16</v>
      </c>
      <c r="F940" t="s">
        <v>12</v>
      </c>
      <c r="G940" t="s">
        <v>13</v>
      </c>
      <c r="H940" t="s">
        <v>13</v>
      </c>
      <c r="I940">
        <v>56</v>
      </c>
      <c r="J940">
        <f>ABS((I940-EDA!$A$15)/EDA!$B$15)</f>
        <v>0.9894949339386423</v>
      </c>
      <c r="K940" t="str">
        <f t="shared" si="14"/>
        <v>No</v>
      </c>
      <c r="L940">
        <f>ABS((C940-EDA!$F$15)/EDA!$G$15)</f>
        <v>0.37071091707942361</v>
      </c>
      <c r="M940" t="str">
        <f>IF(moras[[#This Row],[Z-Score Salario]]&gt;1.96, "Sí", "No")</f>
        <v>No</v>
      </c>
      <c r="N940" s="14">
        <f>IF(ISBLANK(moras[[#This Row],[SALARIO]]), EDA!$M$8, moras[[#This Row],[SALARIO]])</f>
        <v>297046</v>
      </c>
      <c r="O940" s="14">
        <f xml:space="preserve"> IF(ISBLANK(moras[[#This Row],[EDAD]]), EDA!$E$8, moras[[#This Row],[EDAD]])</f>
        <v>56</v>
      </c>
      <c r="P940" s="14" t="str">
        <f>IF(
    OR(ISBLANK(moras[[#This Row],[TIPO_ASEGURAMIENTO]]), moras[[#This Row],[TIPO_ASEGURAMIENTO]]=""),
    EDA!$A$32,
    moras[[#This Row],[TIPO_ASEGURAMIENTO]]
)</f>
        <v>ASEGURADO VOLUNTARIO</v>
      </c>
    </row>
    <row r="941" spans="1:16" x14ac:dyDescent="0.3">
      <c r="A941">
        <v>940</v>
      </c>
      <c r="B941" t="s">
        <v>15</v>
      </c>
      <c r="C941">
        <v>12052625</v>
      </c>
      <c r="D941" t="s">
        <v>10</v>
      </c>
      <c r="E941" t="s">
        <v>11</v>
      </c>
      <c r="F941" t="s">
        <v>12</v>
      </c>
      <c r="G941" t="s">
        <v>13</v>
      </c>
      <c r="H941" t="s">
        <v>13</v>
      </c>
      <c r="I941">
        <v>31</v>
      </c>
      <c r="J941">
        <f>ABS((I941-EDA!$A$15)/EDA!$B$15)</f>
        <v>0.77488831798979529</v>
      </c>
      <c r="K941" t="str">
        <f t="shared" si="14"/>
        <v>No</v>
      </c>
      <c r="L941">
        <f>ABS((C941-EDA!$F$15)/EDA!$G$15)</f>
        <v>0.17508978411282261</v>
      </c>
      <c r="M941" t="str">
        <f>IF(moras[[#This Row],[Z-Score Salario]]&gt;1.96, "Sí", "No")</f>
        <v>No</v>
      </c>
      <c r="N941" s="14">
        <f>IF(ISBLANK(moras[[#This Row],[SALARIO]]), EDA!$M$8, moras[[#This Row],[SALARIO]])</f>
        <v>12052625</v>
      </c>
      <c r="O941" s="14">
        <f xml:space="preserve"> IF(ISBLANK(moras[[#This Row],[EDAD]]), EDA!$E$8, moras[[#This Row],[EDAD]])</f>
        <v>31</v>
      </c>
      <c r="P941" s="14" t="str">
        <f>IF(
    OR(ISBLANK(moras[[#This Row],[TIPO_ASEGURAMIENTO]]), moras[[#This Row],[TIPO_ASEGURAMIENTO]]=""),
    EDA!$A$32,
    moras[[#This Row],[TIPO_ASEGURAMIENTO]]
)</f>
        <v>ASALARIADO</v>
      </c>
    </row>
    <row r="942" spans="1:16" x14ac:dyDescent="0.3">
      <c r="A942">
        <v>941</v>
      </c>
      <c r="B942" t="s">
        <v>9</v>
      </c>
      <c r="C942">
        <v>15780466</v>
      </c>
      <c r="D942" t="s">
        <v>10</v>
      </c>
      <c r="E942" t="s">
        <v>16</v>
      </c>
      <c r="F942" t="s">
        <v>12</v>
      </c>
      <c r="G942" t="s">
        <v>13</v>
      </c>
      <c r="H942" t="s">
        <v>13</v>
      </c>
      <c r="I942">
        <v>35</v>
      </c>
      <c r="J942">
        <f>ABS((I942-EDA!$A$15)/EDA!$B$15)</f>
        <v>0.49258699768124525</v>
      </c>
      <c r="K942" t="str">
        <f t="shared" si="14"/>
        <v>No</v>
      </c>
      <c r="L942">
        <f>ABS((C942-EDA!$F$15)/EDA!$G$15)</f>
        <v>0.11305587834439157</v>
      </c>
      <c r="M942" t="str">
        <f>IF(moras[[#This Row],[Z-Score Salario]]&gt;1.96, "Sí", "No")</f>
        <v>No</v>
      </c>
      <c r="N942" s="14">
        <f>IF(ISBLANK(moras[[#This Row],[SALARIO]]), EDA!$M$8, moras[[#This Row],[SALARIO]])</f>
        <v>15780466</v>
      </c>
      <c r="O942" s="14">
        <f xml:space="preserve"> IF(ISBLANK(moras[[#This Row],[EDAD]]), EDA!$E$8, moras[[#This Row],[EDAD]])</f>
        <v>35</v>
      </c>
      <c r="P942" s="14" t="str">
        <f>IF(
    OR(ISBLANK(moras[[#This Row],[TIPO_ASEGURAMIENTO]]), moras[[#This Row],[TIPO_ASEGURAMIENTO]]=""),
    EDA!$A$32,
    moras[[#This Row],[TIPO_ASEGURAMIENTO]]
)</f>
        <v>ASALARIADO</v>
      </c>
    </row>
    <row r="943" spans="1:16" x14ac:dyDescent="0.3">
      <c r="A943">
        <v>942</v>
      </c>
      <c r="B943" t="s">
        <v>15</v>
      </c>
      <c r="C943">
        <v>27167309</v>
      </c>
      <c r="D943" t="s">
        <v>10</v>
      </c>
      <c r="E943" t="s">
        <v>16</v>
      </c>
      <c r="F943" t="s">
        <v>12</v>
      </c>
      <c r="G943" t="s">
        <v>13</v>
      </c>
      <c r="H943" t="s">
        <v>13</v>
      </c>
      <c r="I943">
        <v>24</v>
      </c>
      <c r="J943">
        <f>ABS((I943-EDA!$A$15)/EDA!$B$15)</f>
        <v>1.2689156285297578</v>
      </c>
      <c r="K943" t="str">
        <f t="shared" si="14"/>
        <v>No</v>
      </c>
      <c r="L943">
        <f>ABS((C943-EDA!$F$15)/EDA!$G$15)</f>
        <v>7.6429227286969478E-2</v>
      </c>
      <c r="M943" t="str">
        <f>IF(moras[[#This Row],[Z-Score Salario]]&gt;1.96, "Sí", "No")</f>
        <v>No</v>
      </c>
      <c r="N943" s="14">
        <f>IF(ISBLANK(moras[[#This Row],[SALARIO]]), EDA!$M$8, moras[[#This Row],[SALARIO]])</f>
        <v>27167309</v>
      </c>
      <c r="O943" s="14">
        <f xml:space="preserve"> IF(ISBLANK(moras[[#This Row],[EDAD]]), EDA!$E$8, moras[[#This Row],[EDAD]])</f>
        <v>24</v>
      </c>
      <c r="P943" s="14" t="str">
        <f>IF(
    OR(ISBLANK(moras[[#This Row],[TIPO_ASEGURAMIENTO]]), moras[[#This Row],[TIPO_ASEGURAMIENTO]]=""),
    EDA!$A$32,
    moras[[#This Row],[TIPO_ASEGURAMIENTO]]
)</f>
        <v>ASALARIADO</v>
      </c>
    </row>
    <row r="944" spans="1:16" x14ac:dyDescent="0.3">
      <c r="A944">
        <v>943</v>
      </c>
      <c r="B944" t="s">
        <v>9</v>
      </c>
      <c r="C944">
        <v>297050</v>
      </c>
      <c r="D944" t="s">
        <v>17</v>
      </c>
      <c r="E944" t="s">
        <v>16</v>
      </c>
      <c r="F944" t="s">
        <v>12</v>
      </c>
      <c r="G944" t="s">
        <v>13</v>
      </c>
      <c r="H944" t="s">
        <v>13</v>
      </c>
      <c r="I944">
        <v>46</v>
      </c>
      <c r="J944">
        <f>ABS((I944-EDA!$A$15)/EDA!$B$15)</f>
        <v>0.2837416331672673</v>
      </c>
      <c r="K944" t="str">
        <f t="shared" si="14"/>
        <v>No</v>
      </c>
      <c r="L944">
        <f>ABS((C944-EDA!$F$15)/EDA!$G$15)</f>
        <v>0.37071085051659991</v>
      </c>
      <c r="M944" t="str">
        <f>IF(moras[[#This Row],[Z-Score Salario]]&gt;1.96, "Sí", "No")</f>
        <v>No</v>
      </c>
      <c r="N944" s="14">
        <f>IF(ISBLANK(moras[[#This Row],[SALARIO]]), EDA!$M$8, moras[[#This Row],[SALARIO]])</f>
        <v>297050</v>
      </c>
      <c r="O944" s="14">
        <f xml:space="preserve"> IF(ISBLANK(moras[[#This Row],[EDAD]]), EDA!$E$8, moras[[#This Row],[EDAD]])</f>
        <v>46</v>
      </c>
      <c r="P944" s="14" t="str">
        <f>IF(
    OR(ISBLANK(moras[[#This Row],[TIPO_ASEGURAMIENTO]]), moras[[#This Row],[TIPO_ASEGURAMIENTO]]=""),
    EDA!$A$32,
    moras[[#This Row],[TIPO_ASEGURAMIENTO]]
)</f>
        <v>ASEGURADO VOLUNTARIO</v>
      </c>
    </row>
    <row r="945" spans="1:16" x14ac:dyDescent="0.3">
      <c r="A945">
        <v>944</v>
      </c>
      <c r="B945" t="s">
        <v>15</v>
      </c>
      <c r="C945">
        <v>691550</v>
      </c>
      <c r="D945" t="s">
        <v>10</v>
      </c>
      <c r="E945" t="s">
        <v>16</v>
      </c>
      <c r="F945" t="s">
        <v>12</v>
      </c>
      <c r="G945" t="s">
        <v>13</v>
      </c>
      <c r="H945" t="s">
        <v>12</v>
      </c>
      <c r="I945">
        <v>43</v>
      </c>
      <c r="J945">
        <f>ABS((I945-EDA!$A$15)/EDA!$B$15)</f>
        <v>7.2015642935854773E-2</v>
      </c>
      <c r="K945" t="str">
        <f t="shared" si="14"/>
        <v>No</v>
      </c>
      <c r="L945">
        <f>ABS((C945-EDA!$F$15)/EDA!$G$15)</f>
        <v>0.36414609203423814</v>
      </c>
      <c r="M945" t="str">
        <f>IF(moras[[#This Row],[Z-Score Salario]]&gt;1.96, "Sí", "No")</f>
        <v>No</v>
      </c>
      <c r="N945" s="14">
        <f>IF(ISBLANK(moras[[#This Row],[SALARIO]]), EDA!$M$8, moras[[#This Row],[SALARIO]])</f>
        <v>691550</v>
      </c>
      <c r="O945" s="14">
        <f xml:space="preserve"> IF(ISBLANK(moras[[#This Row],[EDAD]]), EDA!$E$8, moras[[#This Row],[EDAD]])</f>
        <v>43</v>
      </c>
      <c r="P945" s="14" t="str">
        <f>IF(
    OR(ISBLANK(moras[[#This Row],[TIPO_ASEGURAMIENTO]]), moras[[#This Row],[TIPO_ASEGURAMIENTO]]=""),
    EDA!$A$32,
    moras[[#This Row],[TIPO_ASEGURAMIENTO]]
)</f>
        <v>ASALARIADO</v>
      </c>
    </row>
    <row r="946" spans="1:16" x14ac:dyDescent="0.3">
      <c r="A946">
        <v>945</v>
      </c>
      <c r="B946" t="s">
        <v>15</v>
      </c>
      <c r="C946">
        <v>322474</v>
      </c>
      <c r="D946" t="s">
        <v>17</v>
      </c>
      <c r="E946" t="s">
        <v>16</v>
      </c>
      <c r="F946" t="s">
        <v>12</v>
      </c>
      <c r="G946" t="s">
        <v>13</v>
      </c>
      <c r="H946" t="s">
        <v>13</v>
      </c>
      <c r="I946">
        <v>28</v>
      </c>
      <c r="J946">
        <f>ABS((I946-EDA!$A$15)/EDA!$B$15)</f>
        <v>0.98661430822120777</v>
      </c>
      <c r="K946" t="str">
        <f t="shared" si="14"/>
        <v>No</v>
      </c>
      <c r="L946">
        <f>ABS((C946-EDA!$F$15)/EDA!$G$15)</f>
        <v>0.37028777720948824</v>
      </c>
      <c r="M946" t="str">
        <f>IF(moras[[#This Row],[Z-Score Salario]]&gt;1.96, "Sí", "No")</f>
        <v>No</v>
      </c>
      <c r="N946" s="14">
        <f>IF(ISBLANK(moras[[#This Row],[SALARIO]]), EDA!$M$8, moras[[#This Row],[SALARIO]])</f>
        <v>322474</v>
      </c>
      <c r="O946" s="14">
        <f xml:space="preserve"> IF(ISBLANK(moras[[#This Row],[EDAD]]), EDA!$E$8, moras[[#This Row],[EDAD]])</f>
        <v>28</v>
      </c>
      <c r="P946" s="14" t="str">
        <f>IF(
    OR(ISBLANK(moras[[#This Row],[TIPO_ASEGURAMIENTO]]), moras[[#This Row],[TIPO_ASEGURAMIENTO]]=""),
    EDA!$A$32,
    moras[[#This Row],[TIPO_ASEGURAMIENTO]]
)</f>
        <v>ASEGURADO VOLUNTARIO</v>
      </c>
    </row>
    <row r="947" spans="1:16" x14ac:dyDescent="0.3">
      <c r="A947">
        <v>946</v>
      </c>
      <c r="B947" t="s">
        <v>9</v>
      </c>
      <c r="C947">
        <v>540083</v>
      </c>
      <c r="D947" t="s">
        <v>18</v>
      </c>
      <c r="E947" t="s">
        <v>16</v>
      </c>
      <c r="F947" t="s">
        <v>12</v>
      </c>
      <c r="G947" t="s">
        <v>13</v>
      </c>
      <c r="H947" t="s">
        <v>12</v>
      </c>
      <c r="I947">
        <v>60</v>
      </c>
      <c r="J947">
        <f>ABS((I947-EDA!$A$15)/EDA!$B$15)</f>
        <v>1.2717962542471923</v>
      </c>
      <c r="K947" t="str">
        <f t="shared" si="14"/>
        <v>No</v>
      </c>
      <c r="L947">
        <f>ABS((C947-EDA!$F$15)/EDA!$G$15)</f>
        <v>0.3666666098366409</v>
      </c>
      <c r="M947" t="str">
        <f>IF(moras[[#This Row],[Z-Score Salario]]&gt;1.96, "Sí", "No")</f>
        <v>No</v>
      </c>
      <c r="N947" s="14">
        <f>IF(ISBLANK(moras[[#This Row],[SALARIO]]), EDA!$M$8, moras[[#This Row],[SALARIO]])</f>
        <v>540083</v>
      </c>
      <c r="O947" s="14">
        <f xml:space="preserve"> IF(ISBLANK(moras[[#This Row],[EDAD]]), EDA!$E$8, moras[[#This Row],[EDAD]])</f>
        <v>60</v>
      </c>
      <c r="P947" s="14" t="str">
        <f>IF(
    OR(ISBLANK(moras[[#This Row],[TIPO_ASEGURAMIENTO]]), moras[[#This Row],[TIPO_ASEGURAMIENTO]]=""),
    EDA!$A$32,
    moras[[#This Row],[TIPO_ASEGURAMIENTO]]
)</f>
        <v>TRABAJADOR INDEPENDIENTE</v>
      </c>
    </row>
    <row r="948" spans="1:16" x14ac:dyDescent="0.3">
      <c r="A948">
        <v>947</v>
      </c>
      <c r="B948" t="s">
        <v>15</v>
      </c>
      <c r="C948">
        <v>291108</v>
      </c>
      <c r="D948" t="s">
        <v>10</v>
      </c>
      <c r="E948" t="s">
        <v>16</v>
      </c>
      <c r="F948" t="s">
        <v>12</v>
      </c>
      <c r="G948" t="s">
        <v>12</v>
      </c>
      <c r="H948" t="s">
        <v>13</v>
      </c>
      <c r="I948">
        <v>40</v>
      </c>
      <c r="J948">
        <f>ABS((I948-EDA!$A$15)/EDA!$B$15)</f>
        <v>0.13971034729555773</v>
      </c>
      <c r="K948" t="str">
        <f t="shared" si="14"/>
        <v>No</v>
      </c>
      <c r="L948">
        <f>ABS((C948-EDA!$F$15)/EDA!$G$15)</f>
        <v>0.37080972959113023</v>
      </c>
      <c r="M948" t="str">
        <f>IF(moras[[#This Row],[Z-Score Salario]]&gt;1.96, "Sí", "No")</f>
        <v>No</v>
      </c>
      <c r="N948" s="14">
        <f>IF(ISBLANK(moras[[#This Row],[SALARIO]]), EDA!$M$8, moras[[#This Row],[SALARIO]])</f>
        <v>291108</v>
      </c>
      <c r="O948" s="14">
        <f xml:space="preserve"> IF(ISBLANK(moras[[#This Row],[EDAD]]), EDA!$E$8, moras[[#This Row],[EDAD]])</f>
        <v>40</v>
      </c>
      <c r="P948" s="14" t="str">
        <f>IF(
    OR(ISBLANK(moras[[#This Row],[TIPO_ASEGURAMIENTO]]), moras[[#This Row],[TIPO_ASEGURAMIENTO]]=""),
    EDA!$A$32,
    moras[[#This Row],[TIPO_ASEGURAMIENTO]]
)</f>
        <v>ASALARIADO</v>
      </c>
    </row>
    <row r="949" spans="1:16" x14ac:dyDescent="0.3">
      <c r="A949">
        <v>948</v>
      </c>
      <c r="B949" t="s">
        <v>15</v>
      </c>
      <c r="C949">
        <v>5574495</v>
      </c>
      <c r="D949" t="s">
        <v>10</v>
      </c>
      <c r="E949" t="s">
        <v>11</v>
      </c>
      <c r="F949" t="s">
        <v>12</v>
      </c>
      <c r="G949" t="s">
        <v>13</v>
      </c>
      <c r="H949" t="s">
        <v>13</v>
      </c>
      <c r="I949">
        <v>36</v>
      </c>
      <c r="J949">
        <f>ABS((I949-EDA!$A$15)/EDA!$B$15)</f>
        <v>0.42201166760410774</v>
      </c>
      <c r="K949" t="str">
        <f t="shared" si="14"/>
        <v>No</v>
      </c>
      <c r="L949">
        <f>ABS((C949-EDA!$F$15)/EDA!$G$15)</f>
        <v>0.2828904403038045</v>
      </c>
      <c r="M949" t="str">
        <f>IF(moras[[#This Row],[Z-Score Salario]]&gt;1.96, "Sí", "No")</f>
        <v>No</v>
      </c>
      <c r="N949" s="14">
        <f>IF(ISBLANK(moras[[#This Row],[SALARIO]]), EDA!$M$8, moras[[#This Row],[SALARIO]])</f>
        <v>5574495</v>
      </c>
      <c r="O949" s="14">
        <f xml:space="preserve"> IF(ISBLANK(moras[[#This Row],[EDAD]]), EDA!$E$8, moras[[#This Row],[EDAD]])</f>
        <v>36</v>
      </c>
      <c r="P949" s="14" t="str">
        <f>IF(
    OR(ISBLANK(moras[[#This Row],[TIPO_ASEGURAMIENTO]]), moras[[#This Row],[TIPO_ASEGURAMIENTO]]=""),
    EDA!$A$32,
    moras[[#This Row],[TIPO_ASEGURAMIENTO]]
)</f>
        <v>ASALARIADO</v>
      </c>
    </row>
    <row r="950" spans="1:16" x14ac:dyDescent="0.3">
      <c r="A950">
        <v>949</v>
      </c>
      <c r="B950" t="s">
        <v>9</v>
      </c>
      <c r="C950">
        <v>682612</v>
      </c>
      <c r="D950" t="s">
        <v>10</v>
      </c>
      <c r="E950" t="s">
        <v>16</v>
      </c>
      <c r="F950" t="s">
        <v>12</v>
      </c>
      <c r="G950" t="s">
        <v>13</v>
      </c>
      <c r="H950" t="s">
        <v>13</v>
      </c>
      <c r="I950">
        <v>31</v>
      </c>
      <c r="J950">
        <f>ABS((I950-EDA!$A$15)/EDA!$B$15)</f>
        <v>0.77488831798979529</v>
      </c>
      <c r="K950" t="str">
        <f t="shared" si="14"/>
        <v>No</v>
      </c>
      <c r="L950">
        <f>ABS((C950-EDA!$F$15)/EDA!$G$15)</f>
        <v>0.36429482666368135</v>
      </c>
      <c r="M950" t="str">
        <f>IF(moras[[#This Row],[Z-Score Salario]]&gt;1.96, "Sí", "No")</f>
        <v>No</v>
      </c>
      <c r="N950" s="14">
        <f>IF(ISBLANK(moras[[#This Row],[SALARIO]]), EDA!$M$8, moras[[#This Row],[SALARIO]])</f>
        <v>682612</v>
      </c>
      <c r="O950" s="14">
        <f xml:space="preserve"> IF(ISBLANK(moras[[#This Row],[EDAD]]), EDA!$E$8, moras[[#This Row],[EDAD]])</f>
        <v>31</v>
      </c>
      <c r="P950" s="14" t="str">
        <f>IF(
    OR(ISBLANK(moras[[#This Row],[TIPO_ASEGURAMIENTO]]), moras[[#This Row],[TIPO_ASEGURAMIENTO]]=""),
    EDA!$A$32,
    moras[[#This Row],[TIPO_ASEGURAMIENTO]]
)</f>
        <v>ASALARIADO</v>
      </c>
    </row>
    <row r="951" spans="1:16" x14ac:dyDescent="0.3">
      <c r="A951">
        <v>950</v>
      </c>
      <c r="B951" t="s">
        <v>15</v>
      </c>
      <c r="C951">
        <v>359550</v>
      </c>
      <c r="D951" t="s">
        <v>10</v>
      </c>
      <c r="E951" t="s">
        <v>16</v>
      </c>
      <c r="F951" t="s">
        <v>12</v>
      </c>
      <c r="G951" t="s">
        <v>13</v>
      </c>
      <c r="H951" t="s">
        <v>13</v>
      </c>
      <c r="I951">
        <v>54</v>
      </c>
      <c r="J951">
        <f>ABS((I951-EDA!$A$15)/EDA!$B$15)</f>
        <v>0.84834427378436728</v>
      </c>
      <c r="K951" t="str">
        <f t="shared" si="14"/>
        <v>No</v>
      </c>
      <c r="L951">
        <f>ABS((C951-EDA!$F$15)/EDA!$G$15)</f>
        <v>0.3696708063970876</v>
      </c>
      <c r="M951" t="str">
        <f>IF(moras[[#This Row],[Z-Score Salario]]&gt;1.96, "Sí", "No")</f>
        <v>No</v>
      </c>
      <c r="N951" s="14">
        <f>IF(ISBLANK(moras[[#This Row],[SALARIO]]), EDA!$M$8, moras[[#This Row],[SALARIO]])</f>
        <v>359550</v>
      </c>
      <c r="O951" s="14">
        <f xml:space="preserve"> IF(ISBLANK(moras[[#This Row],[EDAD]]), EDA!$E$8, moras[[#This Row],[EDAD]])</f>
        <v>54</v>
      </c>
      <c r="P951" s="14" t="str">
        <f>IF(
    OR(ISBLANK(moras[[#This Row],[TIPO_ASEGURAMIENTO]]), moras[[#This Row],[TIPO_ASEGURAMIENTO]]=""),
    EDA!$A$32,
    moras[[#This Row],[TIPO_ASEGURAMIENTO]]
)</f>
        <v>ASALARIADO</v>
      </c>
    </row>
    <row r="952" spans="1:16" x14ac:dyDescent="0.3">
      <c r="A952">
        <v>951</v>
      </c>
      <c r="B952" t="s">
        <v>15</v>
      </c>
      <c r="C952">
        <v>44488615</v>
      </c>
      <c r="D952" t="s">
        <v>10</v>
      </c>
      <c r="E952" t="s">
        <v>16</v>
      </c>
      <c r="F952" t="s">
        <v>12</v>
      </c>
      <c r="G952" t="s">
        <v>13</v>
      </c>
      <c r="H952" t="s">
        <v>13</v>
      </c>
      <c r="I952">
        <v>43</v>
      </c>
      <c r="J952">
        <f>ABS((I952-EDA!$A$15)/EDA!$B$15)</f>
        <v>7.2015642935854773E-2</v>
      </c>
      <c r="K952" t="str">
        <f t="shared" si="14"/>
        <v>No</v>
      </c>
      <c r="L952">
        <f>ABS((C952-EDA!$F$15)/EDA!$G$15)</f>
        <v>0.36466798644814591</v>
      </c>
      <c r="M952" t="str">
        <f>IF(moras[[#This Row],[Z-Score Salario]]&gt;1.96, "Sí", "No")</f>
        <v>No</v>
      </c>
      <c r="N952" s="14">
        <f>IF(ISBLANK(moras[[#This Row],[SALARIO]]), EDA!$M$8, moras[[#This Row],[SALARIO]])</f>
        <v>44488615</v>
      </c>
      <c r="O952" s="14">
        <f xml:space="preserve"> IF(ISBLANK(moras[[#This Row],[EDAD]]), EDA!$E$8, moras[[#This Row],[EDAD]])</f>
        <v>43</v>
      </c>
      <c r="P952" s="14" t="str">
        <f>IF(
    OR(ISBLANK(moras[[#This Row],[TIPO_ASEGURAMIENTO]]), moras[[#This Row],[TIPO_ASEGURAMIENTO]]=""),
    EDA!$A$32,
    moras[[#This Row],[TIPO_ASEGURAMIENTO]]
)</f>
        <v>ASALARIADO</v>
      </c>
    </row>
    <row r="953" spans="1:16" x14ac:dyDescent="0.3">
      <c r="A953">
        <v>952</v>
      </c>
      <c r="B953" t="s">
        <v>9</v>
      </c>
      <c r="C953">
        <v>102737502</v>
      </c>
      <c r="D953" t="s">
        <v>14</v>
      </c>
      <c r="E953" t="s">
        <v>11</v>
      </c>
      <c r="F953" t="s">
        <v>12</v>
      </c>
      <c r="G953" t="s">
        <v>13</v>
      </c>
      <c r="H953" t="s">
        <v>13</v>
      </c>
      <c r="I953">
        <v>65</v>
      </c>
      <c r="J953">
        <f>ABS((I953-EDA!$A$15)/EDA!$B$15)</f>
        <v>1.6246729046328798</v>
      </c>
      <c r="K953" t="str">
        <f t="shared" si="14"/>
        <v>No</v>
      </c>
      <c r="L953">
        <f>ABS((C953-EDA!$F$15)/EDA!$G$15)</f>
        <v>1.333970584727951</v>
      </c>
      <c r="M953" t="str">
        <f>IF(moras[[#This Row],[Z-Score Salario]]&gt;1.96, "Sí", "No")</f>
        <v>No</v>
      </c>
      <c r="N953" s="14">
        <f>IF(ISBLANK(moras[[#This Row],[SALARIO]]), EDA!$M$8, moras[[#This Row],[SALARIO]])</f>
        <v>102737502</v>
      </c>
      <c r="O953" s="14">
        <f xml:space="preserve"> IF(ISBLANK(moras[[#This Row],[EDAD]]), EDA!$E$8, moras[[#This Row],[EDAD]])</f>
        <v>65</v>
      </c>
      <c r="P953" s="14" t="str">
        <f>IF(
    OR(ISBLANK(moras[[#This Row],[TIPO_ASEGURAMIENTO]]), moras[[#This Row],[TIPO_ASEGURAMIENTO]]=""),
    EDA!$A$32,
    moras[[#This Row],[TIPO_ASEGURAMIENTO]]
)</f>
        <v>PENSIONADOS EN SU PROPIO SISTEMA</v>
      </c>
    </row>
    <row r="954" spans="1:16" x14ac:dyDescent="0.3">
      <c r="A954">
        <v>953</v>
      </c>
      <c r="B954" t="s">
        <v>9</v>
      </c>
      <c r="C954">
        <v>297046</v>
      </c>
      <c r="D954" t="s">
        <v>17</v>
      </c>
      <c r="E954" t="s">
        <v>16</v>
      </c>
      <c r="F954" t="s">
        <v>12</v>
      </c>
      <c r="G954" t="s">
        <v>13</v>
      </c>
      <c r="H954" t="s">
        <v>13</v>
      </c>
      <c r="I954">
        <v>24</v>
      </c>
      <c r="J954">
        <f>ABS((I954-EDA!$A$15)/EDA!$B$15)</f>
        <v>1.2689156285297578</v>
      </c>
      <c r="K954" t="str">
        <f t="shared" si="14"/>
        <v>No</v>
      </c>
      <c r="L954">
        <f>ABS((C954-EDA!$F$15)/EDA!$G$15)</f>
        <v>0.37071091707942361</v>
      </c>
      <c r="M954" t="str">
        <f>IF(moras[[#This Row],[Z-Score Salario]]&gt;1.96, "Sí", "No")</f>
        <v>No</v>
      </c>
      <c r="N954" s="14">
        <f>IF(ISBLANK(moras[[#This Row],[SALARIO]]), EDA!$M$8, moras[[#This Row],[SALARIO]])</f>
        <v>297046</v>
      </c>
      <c r="O954" s="14">
        <f xml:space="preserve"> IF(ISBLANK(moras[[#This Row],[EDAD]]), EDA!$E$8, moras[[#This Row],[EDAD]])</f>
        <v>24</v>
      </c>
      <c r="P954" s="14" t="str">
        <f>IF(
    OR(ISBLANK(moras[[#This Row],[TIPO_ASEGURAMIENTO]]), moras[[#This Row],[TIPO_ASEGURAMIENTO]]=""),
    EDA!$A$32,
    moras[[#This Row],[TIPO_ASEGURAMIENTO]]
)</f>
        <v>ASEGURADO VOLUNTARIO</v>
      </c>
    </row>
    <row r="955" spans="1:16" x14ac:dyDescent="0.3">
      <c r="A955">
        <v>954</v>
      </c>
      <c r="B955" t="s">
        <v>9</v>
      </c>
      <c r="C955">
        <v>26683125</v>
      </c>
      <c r="D955" t="s">
        <v>10</v>
      </c>
      <c r="E955" t="s">
        <v>16</v>
      </c>
      <c r="F955" t="s">
        <v>12</v>
      </c>
      <c r="G955" t="s">
        <v>13</v>
      </c>
      <c r="H955" t="s">
        <v>13</v>
      </c>
      <c r="I955">
        <v>21</v>
      </c>
      <c r="J955">
        <f>ABS((I955-EDA!$A$15)/EDA!$B$15)</f>
        <v>1.4806416187611704</v>
      </c>
      <c r="K955" t="str">
        <f t="shared" si="14"/>
        <v>No</v>
      </c>
      <c r="L955">
        <f>ABS((C955-EDA!$F$15)/EDA!$G$15)</f>
        <v>6.8372063735578192E-2</v>
      </c>
      <c r="M955" t="str">
        <f>IF(moras[[#This Row],[Z-Score Salario]]&gt;1.96, "Sí", "No")</f>
        <v>No</v>
      </c>
      <c r="N955" s="14">
        <f>IF(ISBLANK(moras[[#This Row],[SALARIO]]), EDA!$M$8, moras[[#This Row],[SALARIO]])</f>
        <v>26683125</v>
      </c>
      <c r="O955" s="14">
        <f xml:space="preserve"> IF(ISBLANK(moras[[#This Row],[EDAD]]), EDA!$E$8, moras[[#This Row],[EDAD]])</f>
        <v>21</v>
      </c>
      <c r="P955" s="14" t="str">
        <f>IF(
    OR(ISBLANK(moras[[#This Row],[TIPO_ASEGURAMIENTO]]), moras[[#This Row],[TIPO_ASEGURAMIENTO]]=""),
    EDA!$A$32,
    moras[[#This Row],[TIPO_ASEGURAMIENTO]]
)</f>
        <v>ASALARIADO</v>
      </c>
    </row>
    <row r="956" spans="1:16" x14ac:dyDescent="0.3">
      <c r="A956">
        <v>955</v>
      </c>
      <c r="B956" t="s">
        <v>9</v>
      </c>
      <c r="C956">
        <v>9436842</v>
      </c>
      <c r="D956" t="s">
        <v>10</v>
      </c>
      <c r="E956" t="s">
        <v>11</v>
      </c>
      <c r="F956" t="s">
        <v>12</v>
      </c>
      <c r="G956" t="s">
        <v>13</v>
      </c>
      <c r="H956" t="s">
        <v>13</v>
      </c>
      <c r="I956">
        <v>39</v>
      </c>
      <c r="J956">
        <f>ABS((I956-EDA!$A$15)/EDA!$B$15)</f>
        <v>0.21028567737269524</v>
      </c>
      <c r="K956" t="str">
        <f t="shared" si="14"/>
        <v>No</v>
      </c>
      <c r="L956">
        <f>ABS((C956-EDA!$F$15)/EDA!$G$15)</f>
        <v>0.21861825974594748</v>
      </c>
      <c r="M956" t="str">
        <f>IF(moras[[#This Row],[Z-Score Salario]]&gt;1.96, "Sí", "No")</f>
        <v>No</v>
      </c>
      <c r="N956" s="14">
        <f>IF(ISBLANK(moras[[#This Row],[SALARIO]]), EDA!$M$8, moras[[#This Row],[SALARIO]])</f>
        <v>9436842</v>
      </c>
      <c r="O956" s="14">
        <f xml:space="preserve"> IF(ISBLANK(moras[[#This Row],[EDAD]]), EDA!$E$8, moras[[#This Row],[EDAD]])</f>
        <v>39</v>
      </c>
      <c r="P956" s="14" t="str">
        <f>IF(
    OR(ISBLANK(moras[[#This Row],[TIPO_ASEGURAMIENTO]]), moras[[#This Row],[TIPO_ASEGURAMIENTO]]=""),
    EDA!$A$32,
    moras[[#This Row],[TIPO_ASEGURAMIENTO]]
)</f>
        <v>ASALARIADO</v>
      </c>
    </row>
    <row r="957" spans="1:16" x14ac:dyDescent="0.3">
      <c r="A957">
        <v>956</v>
      </c>
      <c r="B957" t="s">
        <v>9</v>
      </c>
      <c r="C957">
        <v>814208</v>
      </c>
      <c r="D957" t="s">
        <v>18</v>
      </c>
      <c r="E957" t="s">
        <v>16</v>
      </c>
      <c r="F957" t="s">
        <v>12</v>
      </c>
      <c r="G957" t="s">
        <v>13</v>
      </c>
      <c r="H957" t="s">
        <v>13</v>
      </c>
      <c r="I957">
        <v>49</v>
      </c>
      <c r="J957">
        <f>ABS((I957-EDA!$A$15)/EDA!$B$15)</f>
        <v>0.49546762339867978</v>
      </c>
      <c r="K957" t="str">
        <f t="shared" si="14"/>
        <v>No</v>
      </c>
      <c r="L957">
        <f>ABS((C957-EDA!$F$15)/EDA!$G$15)</f>
        <v>0.36210497632845989</v>
      </c>
      <c r="M957" t="str">
        <f>IF(moras[[#This Row],[Z-Score Salario]]&gt;1.96, "Sí", "No")</f>
        <v>No</v>
      </c>
      <c r="N957" s="14">
        <f>IF(ISBLANK(moras[[#This Row],[SALARIO]]), EDA!$M$8, moras[[#This Row],[SALARIO]])</f>
        <v>814208</v>
      </c>
      <c r="O957" s="14">
        <f xml:space="preserve"> IF(ISBLANK(moras[[#This Row],[EDAD]]), EDA!$E$8, moras[[#This Row],[EDAD]])</f>
        <v>49</v>
      </c>
      <c r="P957" s="14" t="str">
        <f>IF(
    OR(ISBLANK(moras[[#This Row],[TIPO_ASEGURAMIENTO]]), moras[[#This Row],[TIPO_ASEGURAMIENTO]]=""),
    EDA!$A$32,
    moras[[#This Row],[TIPO_ASEGURAMIENTO]]
)</f>
        <v>TRABAJADOR INDEPENDIENTE</v>
      </c>
    </row>
    <row r="958" spans="1:16" x14ac:dyDescent="0.3">
      <c r="A958">
        <v>957</v>
      </c>
      <c r="B958" t="s">
        <v>9</v>
      </c>
      <c r="C958">
        <v>298155</v>
      </c>
      <c r="D958" t="s">
        <v>18</v>
      </c>
      <c r="E958" t="s">
        <v>16</v>
      </c>
      <c r="F958" t="s">
        <v>12</v>
      </c>
      <c r="G958" t="s">
        <v>13</v>
      </c>
      <c r="H958" t="s">
        <v>13</v>
      </c>
      <c r="I958">
        <v>63</v>
      </c>
      <c r="J958">
        <f>ABS((I958-EDA!$A$15)/EDA!$B$15)</f>
        <v>1.4835222444786049</v>
      </c>
      <c r="K958" t="str">
        <f t="shared" si="14"/>
        <v>No</v>
      </c>
      <c r="L958">
        <f>ABS((C958-EDA!$F$15)/EDA!$G$15)</f>
        <v>0.37069246253656696</v>
      </c>
      <c r="M958" t="str">
        <f>IF(moras[[#This Row],[Z-Score Salario]]&gt;1.96, "Sí", "No")</f>
        <v>No</v>
      </c>
      <c r="N958" s="14">
        <f>IF(ISBLANK(moras[[#This Row],[SALARIO]]), EDA!$M$8, moras[[#This Row],[SALARIO]])</f>
        <v>298155</v>
      </c>
      <c r="O958" s="14">
        <f xml:space="preserve"> IF(ISBLANK(moras[[#This Row],[EDAD]]), EDA!$E$8, moras[[#This Row],[EDAD]])</f>
        <v>63</v>
      </c>
      <c r="P958" s="14" t="str">
        <f>IF(
    OR(ISBLANK(moras[[#This Row],[TIPO_ASEGURAMIENTO]]), moras[[#This Row],[TIPO_ASEGURAMIENTO]]=""),
    EDA!$A$32,
    moras[[#This Row],[TIPO_ASEGURAMIENTO]]
)</f>
        <v>TRABAJADOR INDEPENDIENTE</v>
      </c>
    </row>
    <row r="959" spans="1:16" x14ac:dyDescent="0.3">
      <c r="A959">
        <v>958</v>
      </c>
      <c r="B959" t="s">
        <v>15</v>
      </c>
      <c r="C959">
        <v>110258395</v>
      </c>
      <c r="D959" t="s">
        <v>10</v>
      </c>
      <c r="E959" t="s">
        <v>16</v>
      </c>
      <c r="F959" t="s">
        <v>12</v>
      </c>
      <c r="G959" t="s">
        <v>13</v>
      </c>
      <c r="H959" t="s">
        <v>13</v>
      </c>
      <c r="I959">
        <v>36</v>
      </c>
      <c r="J959">
        <f>ABS((I959-EDA!$A$15)/EDA!$B$15)</f>
        <v>0.42201166760410774</v>
      </c>
      <c r="K959" t="str">
        <f t="shared" si="14"/>
        <v>No</v>
      </c>
      <c r="L959">
        <f>ABS((C959-EDA!$F$15)/EDA!$G$15)</f>
        <v>1.4591235533380535</v>
      </c>
      <c r="M959" t="str">
        <f>IF(moras[[#This Row],[Z-Score Salario]]&gt;1.96, "Sí", "No")</f>
        <v>No</v>
      </c>
      <c r="N959" s="14">
        <f>IF(ISBLANK(moras[[#This Row],[SALARIO]]), EDA!$M$8, moras[[#This Row],[SALARIO]])</f>
        <v>110258395</v>
      </c>
      <c r="O959" s="14">
        <f xml:space="preserve"> IF(ISBLANK(moras[[#This Row],[EDAD]]), EDA!$E$8, moras[[#This Row],[EDAD]])</f>
        <v>36</v>
      </c>
      <c r="P959" s="14" t="str">
        <f>IF(
    OR(ISBLANK(moras[[#This Row],[TIPO_ASEGURAMIENTO]]), moras[[#This Row],[TIPO_ASEGURAMIENTO]]=""),
    EDA!$A$32,
    moras[[#This Row],[TIPO_ASEGURAMIENTO]]
)</f>
        <v>ASALARIADO</v>
      </c>
    </row>
    <row r="960" spans="1:16" x14ac:dyDescent="0.3">
      <c r="A960">
        <v>959</v>
      </c>
      <c r="B960" t="s">
        <v>9</v>
      </c>
      <c r="C960">
        <v>326749</v>
      </c>
      <c r="D960" t="s">
        <v>17</v>
      </c>
      <c r="E960" t="s">
        <v>16</v>
      </c>
      <c r="F960" t="s">
        <v>12</v>
      </c>
      <c r="G960" t="s">
        <v>13</v>
      </c>
      <c r="H960" t="s">
        <v>13</v>
      </c>
      <c r="I960">
        <v>47</v>
      </c>
      <c r="J960">
        <f>ABS((I960-EDA!$A$15)/EDA!$B$15)</f>
        <v>0.35431696324440481</v>
      </c>
      <c r="K960" t="str">
        <f t="shared" si="14"/>
        <v>No</v>
      </c>
      <c r="L960">
        <f>ABS((C960-EDA!$F$15)/EDA!$G$15)</f>
        <v>0.37021663819171358</v>
      </c>
      <c r="M960" t="str">
        <f>IF(moras[[#This Row],[Z-Score Salario]]&gt;1.96, "Sí", "No")</f>
        <v>No</v>
      </c>
      <c r="N960" s="14">
        <f>IF(ISBLANK(moras[[#This Row],[SALARIO]]), EDA!$M$8, moras[[#This Row],[SALARIO]])</f>
        <v>326749</v>
      </c>
      <c r="O960" s="14">
        <f xml:space="preserve"> IF(ISBLANK(moras[[#This Row],[EDAD]]), EDA!$E$8, moras[[#This Row],[EDAD]])</f>
        <v>47</v>
      </c>
      <c r="P960" s="14" t="str">
        <f>IF(
    OR(ISBLANK(moras[[#This Row],[TIPO_ASEGURAMIENTO]]), moras[[#This Row],[TIPO_ASEGURAMIENTO]]=""),
    EDA!$A$32,
    moras[[#This Row],[TIPO_ASEGURAMIENTO]]
)</f>
        <v>ASEGURADO VOLUNTARIO</v>
      </c>
    </row>
    <row r="961" spans="1:16" x14ac:dyDescent="0.3">
      <c r="A961">
        <v>960</v>
      </c>
      <c r="B961" t="s">
        <v>9</v>
      </c>
      <c r="C961">
        <v>419576</v>
      </c>
      <c r="D961" t="s">
        <v>18</v>
      </c>
      <c r="E961" t="s">
        <v>16</v>
      </c>
      <c r="F961" t="s">
        <v>12</v>
      </c>
      <c r="G961" t="s">
        <v>13</v>
      </c>
      <c r="H961" t="s">
        <v>13</v>
      </c>
      <c r="I961">
        <v>59</v>
      </c>
      <c r="J961">
        <f>ABS((I961-EDA!$A$15)/EDA!$B$15)</f>
        <v>1.2012209241700549</v>
      </c>
      <c r="K961" t="str">
        <f t="shared" si="14"/>
        <v>No</v>
      </c>
      <c r="L961">
        <f>ABS((C961-EDA!$F$15)/EDA!$G$15)</f>
        <v>0.36867193138400206</v>
      </c>
      <c r="M961" t="str">
        <f>IF(moras[[#This Row],[Z-Score Salario]]&gt;1.96, "Sí", "No")</f>
        <v>No</v>
      </c>
      <c r="N961" s="14">
        <f>IF(ISBLANK(moras[[#This Row],[SALARIO]]), EDA!$M$8, moras[[#This Row],[SALARIO]])</f>
        <v>419576</v>
      </c>
      <c r="O961" s="14">
        <f xml:space="preserve"> IF(ISBLANK(moras[[#This Row],[EDAD]]), EDA!$E$8, moras[[#This Row],[EDAD]])</f>
        <v>59</v>
      </c>
      <c r="P961" s="14" t="str">
        <f>IF(
    OR(ISBLANK(moras[[#This Row],[TIPO_ASEGURAMIENTO]]), moras[[#This Row],[TIPO_ASEGURAMIENTO]]=""),
    EDA!$A$32,
    moras[[#This Row],[TIPO_ASEGURAMIENTO]]
)</f>
        <v>TRABAJADOR INDEPENDIENTE</v>
      </c>
    </row>
    <row r="962" spans="1:16" x14ac:dyDescent="0.3">
      <c r="A962">
        <v>961</v>
      </c>
      <c r="B962" t="s">
        <v>15</v>
      </c>
      <c r="C962">
        <v>182805675</v>
      </c>
      <c r="D962" t="s">
        <v>10</v>
      </c>
      <c r="E962" t="s">
        <v>16</v>
      </c>
      <c r="F962" t="s">
        <v>12</v>
      </c>
      <c r="G962" t="s">
        <v>13</v>
      </c>
      <c r="H962" t="s">
        <v>13</v>
      </c>
      <c r="I962">
        <v>40</v>
      </c>
      <c r="J962">
        <f>ABS((I962-EDA!$A$15)/EDA!$B$15)</f>
        <v>0.13971034729555773</v>
      </c>
      <c r="K962" t="str">
        <f t="shared" ref="K962:K1025" si="15">IF(J962 &gt;  1.96, "Sí","No")</f>
        <v>No</v>
      </c>
      <c r="L962">
        <f>ABS((C962-EDA!$F$15)/EDA!$G$15)</f>
        <v>2.6663615045478775</v>
      </c>
      <c r="M962" t="str">
        <f>IF(moras[[#This Row],[Z-Score Salario]]&gt;1.96, "Sí", "No")</f>
        <v>Sí</v>
      </c>
      <c r="N962" s="14">
        <f>IF(ISBLANK(moras[[#This Row],[SALARIO]]), EDA!$M$8, moras[[#This Row],[SALARIO]])</f>
        <v>182805675</v>
      </c>
      <c r="O962" s="14">
        <f xml:space="preserve"> IF(ISBLANK(moras[[#This Row],[EDAD]]), EDA!$E$8, moras[[#This Row],[EDAD]])</f>
        <v>40</v>
      </c>
      <c r="P962" s="14" t="str">
        <f>IF(
    OR(ISBLANK(moras[[#This Row],[TIPO_ASEGURAMIENTO]]), moras[[#This Row],[TIPO_ASEGURAMIENTO]]=""),
    EDA!$A$32,
    moras[[#This Row],[TIPO_ASEGURAMIENTO]]
)</f>
        <v>ASALARIADO</v>
      </c>
    </row>
    <row r="963" spans="1:16" x14ac:dyDescent="0.3">
      <c r="A963">
        <v>962</v>
      </c>
      <c r="B963" t="s">
        <v>9</v>
      </c>
      <c r="C963">
        <v>133578414</v>
      </c>
      <c r="D963" t="s">
        <v>10</v>
      </c>
      <c r="E963" t="s">
        <v>16</v>
      </c>
      <c r="F963" t="s">
        <v>12</v>
      </c>
      <c r="G963" t="s">
        <v>13</v>
      </c>
      <c r="H963" t="s">
        <v>13</v>
      </c>
      <c r="I963">
        <v>36</v>
      </c>
      <c r="J963">
        <f>ABS((I963-EDA!$A$15)/EDA!$B$15)</f>
        <v>0.42201166760410774</v>
      </c>
      <c r="K963" t="str">
        <f t="shared" si="15"/>
        <v>No</v>
      </c>
      <c r="L963">
        <f>ABS((C963-EDA!$F$15)/EDA!$G$15)</f>
        <v>1.8471851313839041</v>
      </c>
      <c r="M963" t="str">
        <f>IF(moras[[#This Row],[Z-Score Salario]]&gt;1.96, "Sí", "No")</f>
        <v>No</v>
      </c>
      <c r="N963" s="14">
        <f>IF(ISBLANK(moras[[#This Row],[SALARIO]]), EDA!$M$8, moras[[#This Row],[SALARIO]])</f>
        <v>133578414</v>
      </c>
      <c r="O963" s="14">
        <f xml:space="preserve"> IF(ISBLANK(moras[[#This Row],[EDAD]]), EDA!$E$8, moras[[#This Row],[EDAD]])</f>
        <v>36</v>
      </c>
      <c r="P963" s="14" t="str">
        <f>IF(
    OR(ISBLANK(moras[[#This Row],[TIPO_ASEGURAMIENTO]]), moras[[#This Row],[TIPO_ASEGURAMIENTO]]=""),
    EDA!$A$32,
    moras[[#This Row],[TIPO_ASEGURAMIENTO]]
)</f>
        <v>ASALARIADO</v>
      </c>
    </row>
    <row r="964" spans="1:16" x14ac:dyDescent="0.3">
      <c r="A964">
        <v>963</v>
      </c>
      <c r="B964" t="s">
        <v>9</v>
      </c>
      <c r="C964">
        <v>302470</v>
      </c>
      <c r="D964" t="s">
        <v>17</v>
      </c>
      <c r="E964" t="s">
        <v>16</v>
      </c>
      <c r="F964" t="s">
        <v>12</v>
      </c>
      <c r="G964" t="s">
        <v>13</v>
      </c>
      <c r="H964" t="s">
        <v>13</v>
      </c>
      <c r="I964">
        <v>43</v>
      </c>
      <c r="J964">
        <f>ABS((I964-EDA!$A$15)/EDA!$B$15)</f>
        <v>7.2015642935854773E-2</v>
      </c>
      <c r="K964" t="str">
        <f t="shared" si="15"/>
        <v>No</v>
      </c>
      <c r="L964">
        <f>ABS((C964-EDA!$F$15)/EDA!$G$15)</f>
        <v>0.37062065789055582</v>
      </c>
      <c r="M964" t="str">
        <f>IF(moras[[#This Row],[Z-Score Salario]]&gt;1.96, "Sí", "No")</f>
        <v>No</v>
      </c>
      <c r="N964" s="14">
        <f>IF(ISBLANK(moras[[#This Row],[SALARIO]]), EDA!$M$8, moras[[#This Row],[SALARIO]])</f>
        <v>302470</v>
      </c>
      <c r="O964" s="14">
        <f xml:space="preserve"> IF(ISBLANK(moras[[#This Row],[EDAD]]), EDA!$E$8, moras[[#This Row],[EDAD]])</f>
        <v>43</v>
      </c>
      <c r="P964" s="14" t="str">
        <f>IF(
    OR(ISBLANK(moras[[#This Row],[TIPO_ASEGURAMIENTO]]), moras[[#This Row],[TIPO_ASEGURAMIENTO]]=""),
    EDA!$A$32,
    moras[[#This Row],[TIPO_ASEGURAMIENTO]]
)</f>
        <v>ASEGURADO VOLUNTARIO</v>
      </c>
    </row>
    <row r="965" spans="1:16" x14ac:dyDescent="0.3">
      <c r="A965">
        <v>964</v>
      </c>
      <c r="B965" t="s">
        <v>15</v>
      </c>
      <c r="C965">
        <v>538365</v>
      </c>
      <c r="D965" t="s">
        <v>14</v>
      </c>
      <c r="E965" t="s">
        <v>11</v>
      </c>
      <c r="F965" t="s">
        <v>12</v>
      </c>
      <c r="G965" t="s">
        <v>13</v>
      </c>
      <c r="H965" t="s">
        <v>13</v>
      </c>
      <c r="I965">
        <v>71</v>
      </c>
      <c r="J965">
        <f>ABS((I965-EDA!$A$15)/EDA!$B$15)</f>
        <v>2.0481248850957048</v>
      </c>
      <c r="K965" t="str">
        <f t="shared" si="15"/>
        <v>Sí</v>
      </c>
      <c r="L965">
        <f>ABS((C965-EDA!$F$15)/EDA!$G$15)</f>
        <v>0.36669519856939808</v>
      </c>
      <c r="M965" t="str">
        <f>IF(moras[[#This Row],[Z-Score Salario]]&gt;1.96, "Sí", "No")</f>
        <v>No</v>
      </c>
      <c r="N965" s="14">
        <f>IF(ISBLANK(moras[[#This Row],[SALARIO]]), EDA!$M$8, moras[[#This Row],[SALARIO]])</f>
        <v>538365</v>
      </c>
      <c r="O965" s="14">
        <f xml:space="preserve"> IF(ISBLANK(moras[[#This Row],[EDAD]]), EDA!$E$8, moras[[#This Row],[EDAD]])</f>
        <v>71</v>
      </c>
      <c r="P965" s="14" t="str">
        <f>IF(
    OR(ISBLANK(moras[[#This Row],[TIPO_ASEGURAMIENTO]]), moras[[#This Row],[TIPO_ASEGURAMIENTO]]=""),
    EDA!$A$32,
    moras[[#This Row],[TIPO_ASEGURAMIENTO]]
)</f>
        <v>PENSIONADOS EN SU PROPIO SISTEMA</v>
      </c>
    </row>
    <row r="966" spans="1:16" x14ac:dyDescent="0.3">
      <c r="A966">
        <v>965</v>
      </c>
      <c r="B966" t="s">
        <v>15</v>
      </c>
      <c r="C966">
        <v>38342024</v>
      </c>
      <c r="D966" t="s">
        <v>10</v>
      </c>
      <c r="E966" t="s">
        <v>16</v>
      </c>
      <c r="F966" t="s">
        <v>12</v>
      </c>
      <c r="G966" t="s">
        <v>13</v>
      </c>
      <c r="H966" t="s">
        <v>13</v>
      </c>
      <c r="I966">
        <v>23</v>
      </c>
      <c r="J966">
        <f>ABS((I966-EDA!$A$15)/EDA!$B$15)</f>
        <v>1.3394909586068953</v>
      </c>
      <c r="K966" t="str">
        <f t="shared" si="15"/>
        <v>No</v>
      </c>
      <c r="L966">
        <f>ABS((C966-EDA!$F$15)/EDA!$G$15)</f>
        <v>0.26238437325458797</v>
      </c>
      <c r="M966" t="str">
        <f>IF(moras[[#This Row],[Z-Score Salario]]&gt;1.96, "Sí", "No")</f>
        <v>No</v>
      </c>
      <c r="N966" s="14">
        <f>IF(ISBLANK(moras[[#This Row],[SALARIO]]), EDA!$M$8, moras[[#This Row],[SALARIO]])</f>
        <v>38342024</v>
      </c>
      <c r="O966" s="14">
        <f xml:space="preserve"> IF(ISBLANK(moras[[#This Row],[EDAD]]), EDA!$E$8, moras[[#This Row],[EDAD]])</f>
        <v>23</v>
      </c>
      <c r="P966" s="14" t="str">
        <f>IF(
    OR(ISBLANK(moras[[#This Row],[TIPO_ASEGURAMIENTO]]), moras[[#This Row],[TIPO_ASEGURAMIENTO]]=""),
    EDA!$A$32,
    moras[[#This Row],[TIPO_ASEGURAMIENTO]]
)</f>
        <v>ASALARIADO</v>
      </c>
    </row>
    <row r="967" spans="1:16" x14ac:dyDescent="0.3">
      <c r="A967">
        <v>966</v>
      </c>
      <c r="B967" t="s">
        <v>15</v>
      </c>
      <c r="C967">
        <v>2385230</v>
      </c>
      <c r="D967" t="s">
        <v>10</v>
      </c>
      <c r="E967" t="s">
        <v>16</v>
      </c>
      <c r="F967" t="s">
        <v>12</v>
      </c>
      <c r="G967" t="s">
        <v>13</v>
      </c>
      <c r="H967" t="s">
        <v>13</v>
      </c>
      <c r="I967">
        <v>61</v>
      </c>
      <c r="J967">
        <f>ABS((I967-EDA!$A$15)/EDA!$B$15)</f>
        <v>1.3423715843243298</v>
      </c>
      <c r="K967" t="str">
        <f t="shared" si="15"/>
        <v>No</v>
      </c>
      <c r="L967">
        <f>ABS((C967-EDA!$F$15)/EDA!$G$15)</f>
        <v>0.33596206124486805</v>
      </c>
      <c r="M967" t="str">
        <f>IF(moras[[#This Row],[Z-Score Salario]]&gt;1.96, "Sí", "No")</f>
        <v>No</v>
      </c>
      <c r="N967" s="14">
        <f>IF(ISBLANK(moras[[#This Row],[SALARIO]]), EDA!$M$8, moras[[#This Row],[SALARIO]])</f>
        <v>2385230</v>
      </c>
      <c r="O967" s="14">
        <f xml:space="preserve"> IF(ISBLANK(moras[[#This Row],[EDAD]]), EDA!$E$8, moras[[#This Row],[EDAD]])</f>
        <v>61</v>
      </c>
      <c r="P967" s="14" t="str">
        <f>IF(
    OR(ISBLANK(moras[[#This Row],[TIPO_ASEGURAMIENTO]]), moras[[#This Row],[TIPO_ASEGURAMIENTO]]=""),
    EDA!$A$32,
    moras[[#This Row],[TIPO_ASEGURAMIENTO]]
)</f>
        <v>ASALARIADO</v>
      </c>
    </row>
    <row r="968" spans="1:16" x14ac:dyDescent="0.3">
      <c r="A968">
        <v>967</v>
      </c>
      <c r="B968" t="s">
        <v>15</v>
      </c>
      <c r="C968">
        <v>300018</v>
      </c>
      <c r="D968" t="s">
        <v>17</v>
      </c>
      <c r="E968" t="s">
        <v>16</v>
      </c>
      <c r="F968" t="s">
        <v>12</v>
      </c>
      <c r="G968" t="s">
        <v>13</v>
      </c>
      <c r="H968" t="s">
        <v>13</v>
      </c>
      <c r="I968">
        <v>47</v>
      </c>
      <c r="J968">
        <f>ABS((I968-EDA!$A$15)/EDA!$B$15)</f>
        <v>0.35431696324440481</v>
      </c>
      <c r="K968" t="str">
        <f t="shared" si="15"/>
        <v>No</v>
      </c>
      <c r="L968">
        <f>ABS((C968-EDA!$F$15)/EDA!$G$15)</f>
        <v>0.37066146090145252</v>
      </c>
      <c r="M968" t="str">
        <f>IF(moras[[#This Row],[Z-Score Salario]]&gt;1.96, "Sí", "No")</f>
        <v>No</v>
      </c>
      <c r="N968" s="14">
        <f>IF(ISBLANK(moras[[#This Row],[SALARIO]]), EDA!$M$8, moras[[#This Row],[SALARIO]])</f>
        <v>300018</v>
      </c>
      <c r="O968" s="14">
        <f xml:space="preserve"> IF(ISBLANK(moras[[#This Row],[EDAD]]), EDA!$E$8, moras[[#This Row],[EDAD]])</f>
        <v>47</v>
      </c>
      <c r="P968" s="14" t="str">
        <f>IF(
    OR(ISBLANK(moras[[#This Row],[TIPO_ASEGURAMIENTO]]), moras[[#This Row],[TIPO_ASEGURAMIENTO]]=""),
    EDA!$A$32,
    moras[[#This Row],[TIPO_ASEGURAMIENTO]]
)</f>
        <v>ASEGURADO VOLUNTARIO</v>
      </c>
    </row>
    <row r="969" spans="1:16" x14ac:dyDescent="0.3">
      <c r="A969">
        <v>968</v>
      </c>
      <c r="B969" t="s">
        <v>15</v>
      </c>
      <c r="C969">
        <v>3091001</v>
      </c>
      <c r="D969" t="s">
        <v>10</v>
      </c>
      <c r="E969" t="s">
        <v>16</v>
      </c>
      <c r="F969" t="s">
        <v>12</v>
      </c>
      <c r="G969" t="s">
        <v>13</v>
      </c>
      <c r="H969" t="s">
        <v>13</v>
      </c>
      <c r="I969">
        <v>20</v>
      </c>
      <c r="J969">
        <f>ABS((I969-EDA!$A$15)/EDA!$B$15)</f>
        <v>1.5512169488383079</v>
      </c>
      <c r="K969" t="str">
        <f t="shared" si="15"/>
        <v>No</v>
      </c>
      <c r="L969">
        <f>ABS((C969-EDA!$F$15)/EDA!$G$15)</f>
        <v>0.32421753359251071</v>
      </c>
      <c r="M969" t="str">
        <f>IF(moras[[#This Row],[Z-Score Salario]]&gt;1.96, "Sí", "No")</f>
        <v>No</v>
      </c>
      <c r="N969" s="14">
        <f>IF(ISBLANK(moras[[#This Row],[SALARIO]]), EDA!$M$8, moras[[#This Row],[SALARIO]])</f>
        <v>3091001</v>
      </c>
      <c r="O969" s="14">
        <f xml:space="preserve"> IF(ISBLANK(moras[[#This Row],[EDAD]]), EDA!$E$8, moras[[#This Row],[EDAD]])</f>
        <v>20</v>
      </c>
      <c r="P969" s="14" t="str">
        <f>IF(
    OR(ISBLANK(moras[[#This Row],[TIPO_ASEGURAMIENTO]]), moras[[#This Row],[TIPO_ASEGURAMIENTO]]=""),
    EDA!$A$32,
    moras[[#This Row],[TIPO_ASEGURAMIENTO]]
)</f>
        <v>ASALARIADO</v>
      </c>
    </row>
    <row r="970" spans="1:16" x14ac:dyDescent="0.3">
      <c r="A970">
        <v>969</v>
      </c>
      <c r="B970" t="s">
        <v>9</v>
      </c>
      <c r="C970">
        <v>300000</v>
      </c>
      <c r="D970" t="s">
        <v>10</v>
      </c>
      <c r="E970" t="s">
        <v>16</v>
      </c>
      <c r="F970" t="s">
        <v>12</v>
      </c>
      <c r="G970" t="s">
        <v>13</v>
      </c>
      <c r="H970" t="s">
        <v>13</v>
      </c>
      <c r="I970">
        <v>60</v>
      </c>
      <c r="J970">
        <f>ABS((I970-EDA!$A$15)/EDA!$B$15)</f>
        <v>1.2717962542471923</v>
      </c>
      <c r="K970" t="str">
        <f t="shared" si="15"/>
        <v>No</v>
      </c>
      <c r="L970">
        <f>ABS((C970-EDA!$F$15)/EDA!$G$15)</f>
        <v>0.37066176043415894</v>
      </c>
      <c r="M970" t="str">
        <f>IF(moras[[#This Row],[Z-Score Salario]]&gt;1.96, "Sí", "No")</f>
        <v>No</v>
      </c>
      <c r="N970" s="14">
        <f>IF(ISBLANK(moras[[#This Row],[SALARIO]]), EDA!$M$8, moras[[#This Row],[SALARIO]])</f>
        <v>300000</v>
      </c>
      <c r="O970" s="14">
        <f xml:space="preserve"> IF(ISBLANK(moras[[#This Row],[EDAD]]), EDA!$E$8, moras[[#This Row],[EDAD]])</f>
        <v>60</v>
      </c>
      <c r="P970" s="14" t="str">
        <f>IF(
    OR(ISBLANK(moras[[#This Row],[TIPO_ASEGURAMIENTO]]), moras[[#This Row],[TIPO_ASEGURAMIENTO]]=""),
    EDA!$A$32,
    moras[[#This Row],[TIPO_ASEGURAMIENTO]]
)</f>
        <v>ASALARIADO</v>
      </c>
    </row>
    <row r="971" spans="1:16" x14ac:dyDescent="0.3">
      <c r="A971">
        <v>970</v>
      </c>
      <c r="B971" t="s">
        <v>9</v>
      </c>
      <c r="C971">
        <v>420000</v>
      </c>
      <c r="D971" t="s">
        <v>10</v>
      </c>
      <c r="E971" t="s">
        <v>16</v>
      </c>
      <c r="F971" t="s">
        <v>12</v>
      </c>
      <c r="G971" t="s">
        <v>13</v>
      </c>
      <c r="H971" t="s">
        <v>13</v>
      </c>
      <c r="I971">
        <v>25</v>
      </c>
      <c r="J971">
        <f>ABS((I971-EDA!$A$15)/EDA!$B$15)</f>
        <v>1.1983402984526204</v>
      </c>
      <c r="K971" t="str">
        <f t="shared" si="15"/>
        <v>No</v>
      </c>
      <c r="L971">
        <f>ABS((C971-EDA!$F$15)/EDA!$G$15)</f>
        <v>0.36866487572469531</v>
      </c>
      <c r="M971" t="str">
        <f>IF(moras[[#This Row],[Z-Score Salario]]&gt;1.96, "Sí", "No")</f>
        <v>No</v>
      </c>
      <c r="N971" s="14">
        <f>IF(ISBLANK(moras[[#This Row],[SALARIO]]), EDA!$M$8, moras[[#This Row],[SALARIO]])</f>
        <v>420000</v>
      </c>
      <c r="O971" s="14">
        <f xml:space="preserve"> IF(ISBLANK(moras[[#This Row],[EDAD]]), EDA!$E$8, moras[[#This Row],[EDAD]])</f>
        <v>25</v>
      </c>
      <c r="P971" s="14" t="str">
        <f>IF(
    OR(ISBLANK(moras[[#This Row],[TIPO_ASEGURAMIENTO]]), moras[[#This Row],[TIPO_ASEGURAMIENTO]]=""),
    EDA!$A$32,
    moras[[#This Row],[TIPO_ASEGURAMIENTO]]
)</f>
        <v>ASALARIADO</v>
      </c>
    </row>
    <row r="972" spans="1:16" x14ac:dyDescent="0.3">
      <c r="A972">
        <v>971</v>
      </c>
      <c r="B972" t="s">
        <v>9</v>
      </c>
      <c r="C972">
        <v>13269888</v>
      </c>
      <c r="D972" t="s">
        <v>10</v>
      </c>
      <c r="E972" t="s">
        <v>11</v>
      </c>
      <c r="F972" t="s">
        <v>12</v>
      </c>
      <c r="G972" t="s">
        <v>13</v>
      </c>
      <c r="H972" t="s">
        <v>13</v>
      </c>
      <c r="I972">
        <v>38</v>
      </c>
      <c r="J972">
        <f>ABS((I972-EDA!$A$15)/EDA!$B$15)</f>
        <v>0.28086100744983278</v>
      </c>
      <c r="K972" t="str">
        <f t="shared" si="15"/>
        <v>No</v>
      </c>
      <c r="L972">
        <f>ABS((C972-EDA!$F$15)/EDA!$G$15)</f>
        <v>0.15483366851202374</v>
      </c>
      <c r="M972" t="str">
        <f>IF(moras[[#This Row],[Z-Score Salario]]&gt;1.96, "Sí", "No")</f>
        <v>No</v>
      </c>
      <c r="N972" s="14">
        <f>IF(ISBLANK(moras[[#This Row],[SALARIO]]), EDA!$M$8, moras[[#This Row],[SALARIO]])</f>
        <v>13269888</v>
      </c>
      <c r="O972" s="14">
        <f xml:space="preserve"> IF(ISBLANK(moras[[#This Row],[EDAD]]), EDA!$E$8, moras[[#This Row],[EDAD]])</f>
        <v>38</v>
      </c>
      <c r="P972" s="14" t="str">
        <f>IF(
    OR(ISBLANK(moras[[#This Row],[TIPO_ASEGURAMIENTO]]), moras[[#This Row],[TIPO_ASEGURAMIENTO]]=""),
    EDA!$A$32,
    moras[[#This Row],[TIPO_ASEGURAMIENTO]]
)</f>
        <v>ASALARIADO</v>
      </c>
    </row>
    <row r="973" spans="1:16" x14ac:dyDescent="0.3">
      <c r="A973">
        <v>972</v>
      </c>
      <c r="B973" t="s">
        <v>9</v>
      </c>
      <c r="C973">
        <v>405798</v>
      </c>
      <c r="D973" t="s">
        <v>18</v>
      </c>
      <c r="E973" t="s">
        <v>16</v>
      </c>
      <c r="F973" t="s">
        <v>12</v>
      </c>
      <c r="G973" t="s">
        <v>13</v>
      </c>
      <c r="H973" t="s">
        <v>12</v>
      </c>
      <c r="I973">
        <v>60</v>
      </c>
      <c r="J973">
        <f>ABS((I973-EDA!$A$15)/EDA!$B$15)</f>
        <v>1.2717962542471923</v>
      </c>
      <c r="K973" t="str">
        <f t="shared" si="15"/>
        <v>No</v>
      </c>
      <c r="L973">
        <f>ABS((C973-EDA!$F$15)/EDA!$G$15)</f>
        <v>0.3689012070300603</v>
      </c>
      <c r="M973" t="str">
        <f>IF(moras[[#This Row],[Z-Score Salario]]&gt;1.96, "Sí", "No")</f>
        <v>No</v>
      </c>
      <c r="N973" s="14">
        <f>IF(ISBLANK(moras[[#This Row],[SALARIO]]), EDA!$M$8, moras[[#This Row],[SALARIO]])</f>
        <v>405798</v>
      </c>
      <c r="O973" s="14">
        <f xml:space="preserve"> IF(ISBLANK(moras[[#This Row],[EDAD]]), EDA!$E$8, moras[[#This Row],[EDAD]])</f>
        <v>60</v>
      </c>
      <c r="P973" s="14" t="str">
        <f>IF(
    OR(ISBLANK(moras[[#This Row],[TIPO_ASEGURAMIENTO]]), moras[[#This Row],[TIPO_ASEGURAMIENTO]]=""),
    EDA!$A$32,
    moras[[#This Row],[TIPO_ASEGURAMIENTO]]
)</f>
        <v>TRABAJADOR INDEPENDIENTE</v>
      </c>
    </row>
    <row r="974" spans="1:16" x14ac:dyDescent="0.3">
      <c r="A974">
        <v>973</v>
      </c>
      <c r="B974" t="s">
        <v>15</v>
      </c>
      <c r="C974">
        <v>299647</v>
      </c>
      <c r="D974" t="s">
        <v>17</v>
      </c>
      <c r="E974" t="s">
        <v>16</v>
      </c>
      <c r="F974" t="s">
        <v>12</v>
      </c>
      <c r="G974" t="s">
        <v>13</v>
      </c>
      <c r="H974" t="s">
        <v>13</v>
      </c>
      <c r="I974">
        <v>40</v>
      </c>
      <c r="J974">
        <f>ABS((I974-EDA!$A$15)/EDA!$B$15)</f>
        <v>0.13971034729555773</v>
      </c>
      <c r="K974" t="str">
        <f t="shared" si="15"/>
        <v>No</v>
      </c>
      <c r="L974">
        <f>ABS((C974-EDA!$F$15)/EDA!$G$15)</f>
        <v>0.37066763460334595</v>
      </c>
      <c r="M974" t="str">
        <f>IF(moras[[#This Row],[Z-Score Salario]]&gt;1.96, "Sí", "No")</f>
        <v>No</v>
      </c>
      <c r="N974" s="14">
        <f>IF(ISBLANK(moras[[#This Row],[SALARIO]]), EDA!$M$8, moras[[#This Row],[SALARIO]])</f>
        <v>299647</v>
      </c>
      <c r="O974" s="14">
        <f xml:space="preserve"> IF(ISBLANK(moras[[#This Row],[EDAD]]), EDA!$E$8, moras[[#This Row],[EDAD]])</f>
        <v>40</v>
      </c>
      <c r="P974" s="14" t="str">
        <f>IF(
    OR(ISBLANK(moras[[#This Row],[TIPO_ASEGURAMIENTO]]), moras[[#This Row],[TIPO_ASEGURAMIENTO]]=""),
    EDA!$A$32,
    moras[[#This Row],[TIPO_ASEGURAMIENTO]]
)</f>
        <v>ASEGURADO VOLUNTARIO</v>
      </c>
    </row>
    <row r="975" spans="1:16" x14ac:dyDescent="0.3">
      <c r="A975">
        <v>974</v>
      </c>
      <c r="B975" t="s">
        <v>15</v>
      </c>
      <c r="C975">
        <v>837414</v>
      </c>
      <c r="D975" t="s">
        <v>18</v>
      </c>
      <c r="E975" t="s">
        <v>16</v>
      </c>
      <c r="F975" t="s">
        <v>12</v>
      </c>
      <c r="G975" t="s">
        <v>13</v>
      </c>
      <c r="H975" t="s">
        <v>13</v>
      </c>
      <c r="I975">
        <v>65</v>
      </c>
      <c r="J975">
        <f>ABS((I975-EDA!$A$15)/EDA!$B$15)</f>
        <v>1.6246729046328798</v>
      </c>
      <c r="K975" t="str">
        <f t="shared" si="15"/>
        <v>No</v>
      </c>
      <c r="L975">
        <f>ABS((C975-EDA!$F$15)/EDA!$G$15)</f>
        <v>0.36171881210706142</v>
      </c>
      <c r="M975" t="str">
        <f>IF(moras[[#This Row],[Z-Score Salario]]&gt;1.96, "Sí", "No")</f>
        <v>No</v>
      </c>
      <c r="N975" s="14">
        <f>IF(ISBLANK(moras[[#This Row],[SALARIO]]), EDA!$M$8, moras[[#This Row],[SALARIO]])</f>
        <v>837414</v>
      </c>
      <c r="O975" s="14">
        <f xml:space="preserve"> IF(ISBLANK(moras[[#This Row],[EDAD]]), EDA!$E$8, moras[[#This Row],[EDAD]])</f>
        <v>65</v>
      </c>
      <c r="P975" s="14" t="str">
        <f>IF(
    OR(ISBLANK(moras[[#This Row],[TIPO_ASEGURAMIENTO]]), moras[[#This Row],[TIPO_ASEGURAMIENTO]]=""),
    EDA!$A$32,
    moras[[#This Row],[TIPO_ASEGURAMIENTO]]
)</f>
        <v>TRABAJADOR INDEPENDIENTE</v>
      </c>
    </row>
    <row r="976" spans="1:16" x14ac:dyDescent="0.3">
      <c r="A976">
        <v>975</v>
      </c>
      <c r="B976" t="s">
        <v>9</v>
      </c>
      <c r="C976">
        <v>32911993</v>
      </c>
      <c r="D976" t="s">
        <v>10</v>
      </c>
      <c r="E976" t="s">
        <v>16</v>
      </c>
      <c r="F976" t="s">
        <v>12</v>
      </c>
      <c r="G976" t="s">
        <v>13</v>
      </c>
      <c r="H976" t="s">
        <v>13</v>
      </c>
      <c r="I976">
        <v>28</v>
      </c>
      <c r="J976">
        <f>ABS((I976-EDA!$A$15)/EDA!$B$15)</f>
        <v>0.98661430822120777</v>
      </c>
      <c r="K976" t="str">
        <f t="shared" si="15"/>
        <v>No</v>
      </c>
      <c r="L976">
        <f>ABS((C976-EDA!$F$15)/EDA!$G$15)</f>
        <v>0.17202482428947399</v>
      </c>
      <c r="M976" t="str">
        <f>IF(moras[[#This Row],[Z-Score Salario]]&gt;1.96, "Sí", "No")</f>
        <v>No</v>
      </c>
      <c r="N976" s="14">
        <f>IF(ISBLANK(moras[[#This Row],[SALARIO]]), EDA!$M$8, moras[[#This Row],[SALARIO]])</f>
        <v>32911993</v>
      </c>
      <c r="O976" s="14">
        <f xml:space="preserve"> IF(ISBLANK(moras[[#This Row],[EDAD]]), EDA!$E$8, moras[[#This Row],[EDAD]])</f>
        <v>28</v>
      </c>
      <c r="P976" s="14" t="str">
        <f>IF(
    OR(ISBLANK(moras[[#This Row],[TIPO_ASEGURAMIENTO]]), moras[[#This Row],[TIPO_ASEGURAMIENTO]]=""),
    EDA!$A$32,
    moras[[#This Row],[TIPO_ASEGURAMIENTO]]
)</f>
        <v>ASALARIADO</v>
      </c>
    </row>
    <row r="977" spans="1:16" x14ac:dyDescent="0.3">
      <c r="A977">
        <v>976</v>
      </c>
      <c r="B977" t="s">
        <v>9</v>
      </c>
      <c r="C977">
        <v>9664672</v>
      </c>
      <c r="D977" t="s">
        <v>10</v>
      </c>
      <c r="E977" t="s">
        <v>16</v>
      </c>
      <c r="F977" t="s">
        <v>12</v>
      </c>
      <c r="G977" t="s">
        <v>12</v>
      </c>
      <c r="H977" t="s">
        <v>13</v>
      </c>
      <c r="I977">
        <v>29</v>
      </c>
      <c r="J977">
        <f>ABS((I977-EDA!$A$15)/EDA!$B$15)</f>
        <v>0.91603897814407031</v>
      </c>
      <c r="K977" t="str">
        <f t="shared" si="15"/>
        <v>No</v>
      </c>
      <c r="L977">
        <f>ABS((C977-EDA!$F$15)/EDA!$G$15)</f>
        <v>0.21482700771797159</v>
      </c>
      <c r="M977" t="str">
        <f>IF(moras[[#This Row],[Z-Score Salario]]&gt;1.96, "Sí", "No")</f>
        <v>No</v>
      </c>
      <c r="N977" s="14">
        <f>IF(ISBLANK(moras[[#This Row],[SALARIO]]), EDA!$M$8, moras[[#This Row],[SALARIO]])</f>
        <v>9664672</v>
      </c>
      <c r="O977" s="14">
        <f xml:space="preserve"> IF(ISBLANK(moras[[#This Row],[EDAD]]), EDA!$E$8, moras[[#This Row],[EDAD]])</f>
        <v>29</v>
      </c>
      <c r="P977" s="14" t="str">
        <f>IF(
    OR(ISBLANK(moras[[#This Row],[TIPO_ASEGURAMIENTO]]), moras[[#This Row],[TIPO_ASEGURAMIENTO]]=""),
    EDA!$A$32,
    moras[[#This Row],[TIPO_ASEGURAMIENTO]]
)</f>
        <v>ASALARIADO</v>
      </c>
    </row>
    <row r="978" spans="1:16" x14ac:dyDescent="0.3">
      <c r="A978">
        <v>977</v>
      </c>
      <c r="B978" t="s">
        <v>15</v>
      </c>
      <c r="C978">
        <v>4247474</v>
      </c>
      <c r="D978" t="s">
        <v>10</v>
      </c>
      <c r="E978" t="s">
        <v>16</v>
      </c>
      <c r="F978" t="s">
        <v>12</v>
      </c>
      <c r="G978" t="s">
        <v>13</v>
      </c>
      <c r="H978" t="s">
        <v>13</v>
      </c>
      <c r="I978">
        <v>49</v>
      </c>
      <c r="J978">
        <f>ABS((I978-EDA!$A$15)/EDA!$B$15)</f>
        <v>0.49546762339867978</v>
      </c>
      <c r="K978" t="str">
        <f t="shared" si="15"/>
        <v>No</v>
      </c>
      <c r="L978">
        <f>ABS((C978-EDA!$F$15)/EDA!$G$15)</f>
        <v>0.3049730065041143</v>
      </c>
      <c r="M978" t="str">
        <f>IF(moras[[#This Row],[Z-Score Salario]]&gt;1.96, "Sí", "No")</f>
        <v>No</v>
      </c>
      <c r="N978" s="14">
        <f>IF(ISBLANK(moras[[#This Row],[SALARIO]]), EDA!$M$8, moras[[#This Row],[SALARIO]])</f>
        <v>4247474</v>
      </c>
      <c r="O978" s="14">
        <f xml:space="preserve"> IF(ISBLANK(moras[[#This Row],[EDAD]]), EDA!$E$8, moras[[#This Row],[EDAD]])</f>
        <v>49</v>
      </c>
      <c r="P978" s="14" t="str">
        <f>IF(
    OR(ISBLANK(moras[[#This Row],[TIPO_ASEGURAMIENTO]]), moras[[#This Row],[TIPO_ASEGURAMIENTO]]=""),
    EDA!$A$32,
    moras[[#This Row],[TIPO_ASEGURAMIENTO]]
)</f>
        <v>ASALARIADO</v>
      </c>
    </row>
    <row r="979" spans="1:16" x14ac:dyDescent="0.3">
      <c r="A979">
        <v>978</v>
      </c>
      <c r="B979" t="s">
        <v>15</v>
      </c>
      <c r="C979">
        <v>951165</v>
      </c>
      <c r="D979" t="s">
        <v>14</v>
      </c>
      <c r="E979" t="s">
        <v>11</v>
      </c>
      <c r="F979" t="s">
        <v>12</v>
      </c>
      <c r="G979" t="s">
        <v>13</v>
      </c>
      <c r="H979" t="s">
        <v>13</v>
      </c>
      <c r="I979">
        <v>69</v>
      </c>
      <c r="J979">
        <f>ABS((I979-EDA!$A$15)/EDA!$B$15)</f>
        <v>1.9069742249414299</v>
      </c>
      <c r="K979" t="str">
        <f t="shared" si="15"/>
        <v>No</v>
      </c>
      <c r="L979">
        <f>ABS((C979-EDA!$F$15)/EDA!$G$15)</f>
        <v>0.3598259151688431</v>
      </c>
      <c r="M979" t="str">
        <f>IF(moras[[#This Row],[Z-Score Salario]]&gt;1.96, "Sí", "No")</f>
        <v>No</v>
      </c>
      <c r="N979" s="14">
        <f>IF(ISBLANK(moras[[#This Row],[SALARIO]]), EDA!$M$8, moras[[#This Row],[SALARIO]])</f>
        <v>951165</v>
      </c>
      <c r="O979" s="14">
        <f xml:space="preserve"> IF(ISBLANK(moras[[#This Row],[EDAD]]), EDA!$E$8, moras[[#This Row],[EDAD]])</f>
        <v>69</v>
      </c>
      <c r="P979" s="14" t="str">
        <f>IF(
    OR(ISBLANK(moras[[#This Row],[TIPO_ASEGURAMIENTO]]), moras[[#This Row],[TIPO_ASEGURAMIENTO]]=""),
    EDA!$A$32,
    moras[[#This Row],[TIPO_ASEGURAMIENTO]]
)</f>
        <v>PENSIONADOS EN SU PROPIO SISTEMA</v>
      </c>
    </row>
    <row r="980" spans="1:16" x14ac:dyDescent="0.3">
      <c r="A980">
        <v>979</v>
      </c>
      <c r="B980" t="s">
        <v>9</v>
      </c>
      <c r="C980">
        <v>48056024</v>
      </c>
      <c r="D980" t="s">
        <v>10</v>
      </c>
      <c r="E980" t="s">
        <v>16</v>
      </c>
      <c r="F980" t="s">
        <v>12</v>
      </c>
      <c r="G980" t="s">
        <v>13</v>
      </c>
      <c r="H980" t="s">
        <v>13</v>
      </c>
      <c r="I980">
        <v>25</v>
      </c>
      <c r="J980">
        <f>ABS((I980-EDA!$A$15)/EDA!$B$15)</f>
        <v>1.1983402984526204</v>
      </c>
      <c r="K980" t="str">
        <f t="shared" si="15"/>
        <v>No</v>
      </c>
      <c r="L980">
        <f>ABS((C980-EDA!$F$15)/EDA!$G$15)</f>
        <v>0.42403219048567131</v>
      </c>
      <c r="M980" t="str">
        <f>IF(moras[[#This Row],[Z-Score Salario]]&gt;1.96, "Sí", "No")</f>
        <v>No</v>
      </c>
      <c r="N980" s="14">
        <f>IF(ISBLANK(moras[[#This Row],[SALARIO]]), EDA!$M$8, moras[[#This Row],[SALARIO]])</f>
        <v>48056024</v>
      </c>
      <c r="O980" s="14">
        <f xml:space="preserve"> IF(ISBLANK(moras[[#This Row],[EDAD]]), EDA!$E$8, moras[[#This Row],[EDAD]])</f>
        <v>25</v>
      </c>
      <c r="P980" s="14" t="str">
        <f>IF(
    OR(ISBLANK(moras[[#This Row],[TIPO_ASEGURAMIENTO]]), moras[[#This Row],[TIPO_ASEGURAMIENTO]]=""),
    EDA!$A$32,
    moras[[#This Row],[TIPO_ASEGURAMIENTO]]
)</f>
        <v>ASALARIADO</v>
      </c>
    </row>
    <row r="981" spans="1:16" x14ac:dyDescent="0.3">
      <c r="A981">
        <v>980</v>
      </c>
      <c r="B981" t="s">
        <v>15</v>
      </c>
      <c r="C981">
        <v>1713724</v>
      </c>
      <c r="D981" t="s">
        <v>14</v>
      </c>
      <c r="E981" t="s">
        <v>11</v>
      </c>
      <c r="F981" t="s">
        <v>12</v>
      </c>
      <c r="G981" t="s">
        <v>13</v>
      </c>
      <c r="H981" t="s">
        <v>13</v>
      </c>
      <c r="I981">
        <v>63</v>
      </c>
      <c r="J981">
        <f>ABS((I981-EDA!$A$15)/EDA!$B$15)</f>
        <v>1.4835222444786049</v>
      </c>
      <c r="K981" t="str">
        <f t="shared" si="15"/>
        <v>No</v>
      </c>
      <c r="L981">
        <f>ABS((C981-EDA!$F$15)/EDA!$G$15)</f>
        <v>0.3471363951091439</v>
      </c>
      <c r="M981" t="str">
        <f>IF(moras[[#This Row],[Z-Score Salario]]&gt;1.96, "Sí", "No")</f>
        <v>No</v>
      </c>
      <c r="N981" s="14">
        <f>IF(ISBLANK(moras[[#This Row],[SALARIO]]), EDA!$M$8, moras[[#This Row],[SALARIO]])</f>
        <v>1713724</v>
      </c>
      <c r="O981" s="14">
        <f xml:space="preserve"> IF(ISBLANK(moras[[#This Row],[EDAD]]), EDA!$E$8, moras[[#This Row],[EDAD]])</f>
        <v>63</v>
      </c>
      <c r="P981" s="14" t="str">
        <f>IF(
    OR(ISBLANK(moras[[#This Row],[TIPO_ASEGURAMIENTO]]), moras[[#This Row],[TIPO_ASEGURAMIENTO]]=""),
    EDA!$A$32,
    moras[[#This Row],[TIPO_ASEGURAMIENTO]]
)</f>
        <v>PENSIONADOS EN SU PROPIO SISTEMA</v>
      </c>
    </row>
    <row r="982" spans="1:16" x14ac:dyDescent="0.3">
      <c r="A982">
        <v>981</v>
      </c>
      <c r="B982" t="s">
        <v>9</v>
      </c>
      <c r="C982">
        <v>8486917</v>
      </c>
      <c r="D982" t="s">
        <v>10</v>
      </c>
      <c r="E982" t="s">
        <v>16</v>
      </c>
      <c r="F982" t="s">
        <v>12</v>
      </c>
      <c r="G982" t="s">
        <v>13</v>
      </c>
      <c r="H982" t="s">
        <v>13</v>
      </c>
      <c r="I982">
        <v>49</v>
      </c>
      <c r="J982">
        <f>ABS((I982-EDA!$A$15)/EDA!$B$15)</f>
        <v>0.49546762339867978</v>
      </c>
      <c r="K982" t="str">
        <f t="shared" si="15"/>
        <v>No</v>
      </c>
      <c r="L982">
        <f>ABS((C982-EDA!$F$15)/EDA!$G$15)</f>
        <v>0.23442568230959138</v>
      </c>
      <c r="M982" t="str">
        <f>IF(moras[[#This Row],[Z-Score Salario]]&gt;1.96, "Sí", "No")</f>
        <v>No</v>
      </c>
      <c r="N982" s="14">
        <f>IF(ISBLANK(moras[[#This Row],[SALARIO]]), EDA!$M$8, moras[[#This Row],[SALARIO]])</f>
        <v>8486917</v>
      </c>
      <c r="O982" s="14">
        <f xml:space="preserve"> IF(ISBLANK(moras[[#This Row],[EDAD]]), EDA!$E$8, moras[[#This Row],[EDAD]])</f>
        <v>49</v>
      </c>
      <c r="P982" s="14" t="str">
        <f>IF(
    OR(ISBLANK(moras[[#This Row],[TIPO_ASEGURAMIENTO]]), moras[[#This Row],[TIPO_ASEGURAMIENTO]]=""),
    EDA!$A$32,
    moras[[#This Row],[TIPO_ASEGURAMIENTO]]
)</f>
        <v>ASALARIADO</v>
      </c>
    </row>
    <row r="983" spans="1:16" x14ac:dyDescent="0.3">
      <c r="A983">
        <v>982</v>
      </c>
      <c r="B983" t="s">
        <v>15</v>
      </c>
      <c r="C983">
        <v>297046</v>
      </c>
      <c r="D983" t="s">
        <v>17</v>
      </c>
      <c r="E983" t="s">
        <v>16</v>
      </c>
      <c r="F983" t="s">
        <v>12</v>
      </c>
      <c r="G983" t="s">
        <v>12</v>
      </c>
      <c r="H983" t="s">
        <v>13</v>
      </c>
      <c r="I983">
        <v>51</v>
      </c>
      <c r="J983">
        <f>ABS((I983-EDA!$A$15)/EDA!$B$15)</f>
        <v>0.6366182835529548</v>
      </c>
      <c r="K983" t="str">
        <f t="shared" si="15"/>
        <v>No</v>
      </c>
      <c r="L983">
        <f>ABS((C983-EDA!$F$15)/EDA!$G$15)</f>
        <v>0.37071091707942361</v>
      </c>
      <c r="M983" t="str">
        <f>IF(moras[[#This Row],[Z-Score Salario]]&gt;1.96, "Sí", "No")</f>
        <v>No</v>
      </c>
      <c r="N983" s="14">
        <f>IF(ISBLANK(moras[[#This Row],[SALARIO]]), EDA!$M$8, moras[[#This Row],[SALARIO]])</f>
        <v>297046</v>
      </c>
      <c r="O983" s="14">
        <f xml:space="preserve"> IF(ISBLANK(moras[[#This Row],[EDAD]]), EDA!$E$8, moras[[#This Row],[EDAD]])</f>
        <v>51</v>
      </c>
      <c r="P983" s="14" t="str">
        <f>IF(
    OR(ISBLANK(moras[[#This Row],[TIPO_ASEGURAMIENTO]]), moras[[#This Row],[TIPO_ASEGURAMIENTO]]=""),
    EDA!$A$32,
    moras[[#This Row],[TIPO_ASEGURAMIENTO]]
)</f>
        <v>ASEGURADO VOLUNTARIO</v>
      </c>
    </row>
    <row r="984" spans="1:16" x14ac:dyDescent="0.3">
      <c r="A984">
        <v>983</v>
      </c>
      <c r="B984" t="s">
        <v>9</v>
      </c>
      <c r="C984">
        <v>27803099</v>
      </c>
      <c r="D984" t="s">
        <v>19</v>
      </c>
      <c r="E984" t="s">
        <v>16</v>
      </c>
      <c r="F984" t="s">
        <v>12</v>
      </c>
      <c r="G984" t="s">
        <v>13</v>
      </c>
      <c r="H984" t="s">
        <v>13</v>
      </c>
      <c r="I984">
        <v>30</v>
      </c>
      <c r="J984">
        <f>ABS((I984-EDA!$A$15)/EDA!$B$15)</f>
        <v>0.84546364806693275</v>
      </c>
      <c r="K984" t="str">
        <f t="shared" si="15"/>
        <v>No</v>
      </c>
      <c r="L984">
        <f>ABS((C984-EDA!$F$15)/EDA!$G$15)</f>
        <v>8.7009221698885322E-2</v>
      </c>
      <c r="M984" t="str">
        <f>IF(moras[[#This Row],[Z-Score Salario]]&gt;1.96, "Sí", "No")</f>
        <v>No</v>
      </c>
      <c r="N984" s="14">
        <f>IF(ISBLANK(moras[[#This Row],[SALARIO]]), EDA!$M$8, moras[[#This Row],[SALARIO]])</f>
        <v>27803099</v>
      </c>
      <c r="O984" s="14">
        <f xml:space="preserve"> IF(ISBLANK(moras[[#This Row],[EDAD]]), EDA!$E$8, moras[[#This Row],[EDAD]])</f>
        <v>30</v>
      </c>
      <c r="P984" s="14" t="str">
        <f>IF(
    OR(ISBLANK(moras[[#This Row],[TIPO_ASEGURAMIENTO]]), moras[[#This Row],[TIPO_ASEGURAMIENTO]]=""),
    EDA!$A$32,
    moras[[#This Row],[TIPO_ASEGURAMIENTO]]
)</f>
        <v>CONVENIOS ESPECIALES DE TRABAJADORES INDEPENDIENTES</v>
      </c>
    </row>
    <row r="985" spans="1:16" x14ac:dyDescent="0.3">
      <c r="A985">
        <v>984</v>
      </c>
      <c r="B985" t="s">
        <v>15</v>
      </c>
      <c r="C985">
        <v>297045</v>
      </c>
      <c r="D985" t="s">
        <v>17</v>
      </c>
      <c r="E985" t="s">
        <v>16</v>
      </c>
      <c r="F985" t="s">
        <v>12</v>
      </c>
      <c r="G985" t="s">
        <v>13</v>
      </c>
      <c r="H985" t="s">
        <v>13</v>
      </c>
      <c r="I985">
        <v>59</v>
      </c>
      <c r="J985">
        <f>ABS((I985-EDA!$A$15)/EDA!$B$15)</f>
        <v>1.2012209241700549</v>
      </c>
      <c r="K985" t="str">
        <f t="shared" si="15"/>
        <v>No</v>
      </c>
      <c r="L985">
        <f>ABS((C985-EDA!$F$15)/EDA!$G$15)</f>
        <v>0.37071093372012948</v>
      </c>
      <c r="M985" t="str">
        <f>IF(moras[[#This Row],[Z-Score Salario]]&gt;1.96, "Sí", "No")</f>
        <v>No</v>
      </c>
      <c r="N985" s="14">
        <f>IF(ISBLANK(moras[[#This Row],[SALARIO]]), EDA!$M$8, moras[[#This Row],[SALARIO]])</f>
        <v>297045</v>
      </c>
      <c r="O985" s="14">
        <f xml:space="preserve"> IF(ISBLANK(moras[[#This Row],[EDAD]]), EDA!$E$8, moras[[#This Row],[EDAD]])</f>
        <v>59</v>
      </c>
      <c r="P985" s="14" t="str">
        <f>IF(
    OR(ISBLANK(moras[[#This Row],[TIPO_ASEGURAMIENTO]]), moras[[#This Row],[TIPO_ASEGURAMIENTO]]=""),
    EDA!$A$32,
    moras[[#This Row],[TIPO_ASEGURAMIENTO]]
)</f>
        <v>ASEGURADO VOLUNTARIO</v>
      </c>
    </row>
    <row r="986" spans="1:16" x14ac:dyDescent="0.3">
      <c r="A986">
        <v>985</v>
      </c>
      <c r="B986" t="s">
        <v>15</v>
      </c>
      <c r="C986">
        <v>2979735</v>
      </c>
      <c r="D986" t="s">
        <v>10</v>
      </c>
      <c r="E986" t="s">
        <v>11</v>
      </c>
      <c r="F986" t="s">
        <v>12</v>
      </c>
      <c r="G986" t="s">
        <v>13</v>
      </c>
      <c r="H986" t="s">
        <v>12</v>
      </c>
      <c r="I986">
        <v>42</v>
      </c>
      <c r="J986">
        <f>ABS((I986-EDA!$A$15)/EDA!$B$15)</f>
        <v>1.4403128587172659E-3</v>
      </c>
      <c r="K986" t="str">
        <f t="shared" si="15"/>
        <v>No</v>
      </c>
      <c r="L986">
        <f>ABS((C986-EDA!$F$15)/EDA!$G$15)</f>
        <v>0.32606907837653726</v>
      </c>
      <c r="M986" t="str">
        <f>IF(moras[[#This Row],[Z-Score Salario]]&gt;1.96, "Sí", "No")</f>
        <v>No</v>
      </c>
      <c r="N986" s="14">
        <f>IF(ISBLANK(moras[[#This Row],[SALARIO]]), EDA!$M$8, moras[[#This Row],[SALARIO]])</f>
        <v>2979735</v>
      </c>
      <c r="O986" s="14">
        <f xml:space="preserve"> IF(ISBLANK(moras[[#This Row],[EDAD]]), EDA!$E$8, moras[[#This Row],[EDAD]])</f>
        <v>42</v>
      </c>
      <c r="P986" s="14" t="str">
        <f>IF(
    OR(ISBLANK(moras[[#This Row],[TIPO_ASEGURAMIENTO]]), moras[[#This Row],[TIPO_ASEGURAMIENTO]]=""),
    EDA!$A$32,
    moras[[#This Row],[TIPO_ASEGURAMIENTO]]
)</f>
        <v>ASALARIADO</v>
      </c>
    </row>
    <row r="987" spans="1:16" x14ac:dyDescent="0.3">
      <c r="A987">
        <v>986</v>
      </c>
      <c r="B987" t="s">
        <v>15</v>
      </c>
      <c r="C987">
        <v>107934994</v>
      </c>
      <c r="D987" t="s">
        <v>10</v>
      </c>
      <c r="E987" t="s">
        <v>16</v>
      </c>
      <c r="F987" t="s">
        <v>12</v>
      </c>
      <c r="G987" t="s">
        <v>13</v>
      </c>
      <c r="H987" t="s">
        <v>13</v>
      </c>
      <c r="I987">
        <v>37</v>
      </c>
      <c r="J987">
        <f>ABS((I987-EDA!$A$15)/EDA!$B$15)</f>
        <v>0.35143633752697023</v>
      </c>
      <c r="K987" t="str">
        <f t="shared" si="15"/>
        <v>No</v>
      </c>
      <c r="L987">
        <f>ABS((C987-EDA!$F$15)/EDA!$G$15)</f>
        <v>1.4204605205809486</v>
      </c>
      <c r="M987" t="str">
        <f>IF(moras[[#This Row],[Z-Score Salario]]&gt;1.96, "Sí", "No")</f>
        <v>No</v>
      </c>
      <c r="N987" s="14">
        <f>IF(ISBLANK(moras[[#This Row],[SALARIO]]), EDA!$M$8, moras[[#This Row],[SALARIO]])</f>
        <v>107934994</v>
      </c>
      <c r="O987" s="14">
        <f xml:space="preserve"> IF(ISBLANK(moras[[#This Row],[EDAD]]), EDA!$E$8, moras[[#This Row],[EDAD]])</f>
        <v>37</v>
      </c>
      <c r="P987" s="14" t="str">
        <f>IF(
    OR(ISBLANK(moras[[#This Row],[TIPO_ASEGURAMIENTO]]), moras[[#This Row],[TIPO_ASEGURAMIENTO]]=""),
    EDA!$A$32,
    moras[[#This Row],[TIPO_ASEGURAMIENTO]]
)</f>
        <v>ASALARIADO</v>
      </c>
    </row>
    <row r="988" spans="1:16" x14ac:dyDescent="0.3">
      <c r="A988">
        <v>987</v>
      </c>
      <c r="B988" t="s">
        <v>9</v>
      </c>
      <c r="C988">
        <v>326749</v>
      </c>
      <c r="D988" t="s">
        <v>17</v>
      </c>
      <c r="E988" t="s">
        <v>16</v>
      </c>
      <c r="F988" t="s">
        <v>12</v>
      </c>
      <c r="G988" t="s">
        <v>13</v>
      </c>
      <c r="H988" t="s">
        <v>13</v>
      </c>
      <c r="I988">
        <v>56</v>
      </c>
      <c r="J988">
        <f>ABS((I988-EDA!$A$15)/EDA!$B$15)</f>
        <v>0.9894949339386423</v>
      </c>
      <c r="K988" t="str">
        <f t="shared" si="15"/>
        <v>No</v>
      </c>
      <c r="L988">
        <f>ABS((C988-EDA!$F$15)/EDA!$G$15)</f>
        <v>0.37021663819171358</v>
      </c>
      <c r="M988" t="str">
        <f>IF(moras[[#This Row],[Z-Score Salario]]&gt;1.96, "Sí", "No")</f>
        <v>No</v>
      </c>
      <c r="N988" s="14">
        <f>IF(ISBLANK(moras[[#This Row],[SALARIO]]), EDA!$M$8, moras[[#This Row],[SALARIO]])</f>
        <v>326749</v>
      </c>
      <c r="O988" s="14">
        <f xml:space="preserve"> IF(ISBLANK(moras[[#This Row],[EDAD]]), EDA!$E$8, moras[[#This Row],[EDAD]])</f>
        <v>56</v>
      </c>
      <c r="P988" s="14" t="str">
        <f>IF(
    OR(ISBLANK(moras[[#This Row],[TIPO_ASEGURAMIENTO]]), moras[[#This Row],[TIPO_ASEGURAMIENTO]]=""),
    EDA!$A$32,
    moras[[#This Row],[TIPO_ASEGURAMIENTO]]
)</f>
        <v>ASEGURADO VOLUNTARIO</v>
      </c>
    </row>
    <row r="989" spans="1:16" x14ac:dyDescent="0.3">
      <c r="A989">
        <v>988</v>
      </c>
      <c r="B989" t="s">
        <v>9</v>
      </c>
      <c r="C989">
        <v>37792685</v>
      </c>
      <c r="D989" t="s">
        <v>10</v>
      </c>
      <c r="E989" t="s">
        <v>16</v>
      </c>
      <c r="F989" t="s">
        <v>12</v>
      </c>
      <c r="G989" t="s">
        <v>13</v>
      </c>
      <c r="H989" t="s">
        <v>13</v>
      </c>
      <c r="I989">
        <v>22</v>
      </c>
      <c r="J989">
        <f>ABS((I989-EDA!$A$15)/EDA!$B$15)</f>
        <v>1.4100662886840327</v>
      </c>
      <c r="K989" t="str">
        <f t="shared" si="15"/>
        <v>No</v>
      </c>
      <c r="L989">
        <f>ABS((C989-EDA!$F$15)/EDA!$G$15)</f>
        <v>0.25324298450948746</v>
      </c>
      <c r="M989" t="str">
        <f>IF(moras[[#This Row],[Z-Score Salario]]&gt;1.96, "Sí", "No")</f>
        <v>No</v>
      </c>
      <c r="N989" s="14">
        <f>IF(ISBLANK(moras[[#This Row],[SALARIO]]), EDA!$M$8, moras[[#This Row],[SALARIO]])</f>
        <v>37792685</v>
      </c>
      <c r="O989" s="14">
        <f xml:space="preserve"> IF(ISBLANK(moras[[#This Row],[EDAD]]), EDA!$E$8, moras[[#This Row],[EDAD]])</f>
        <v>22</v>
      </c>
      <c r="P989" s="14" t="str">
        <f>IF(
    OR(ISBLANK(moras[[#This Row],[TIPO_ASEGURAMIENTO]]), moras[[#This Row],[TIPO_ASEGURAMIENTO]]=""),
    EDA!$A$32,
    moras[[#This Row],[TIPO_ASEGURAMIENTO]]
)</f>
        <v>ASALARIADO</v>
      </c>
    </row>
    <row r="990" spans="1:16" x14ac:dyDescent="0.3">
      <c r="A990">
        <v>989</v>
      </c>
      <c r="B990" t="s">
        <v>9</v>
      </c>
      <c r="C990">
        <v>324047</v>
      </c>
      <c r="D990" t="s">
        <v>18</v>
      </c>
      <c r="E990" t="s">
        <v>16</v>
      </c>
      <c r="F990" t="s">
        <v>12</v>
      </c>
      <c r="G990" t="s">
        <v>12</v>
      </c>
      <c r="H990" t="s">
        <v>12</v>
      </c>
      <c r="I990">
        <v>48</v>
      </c>
      <c r="J990">
        <f>ABS((I990-EDA!$A$15)/EDA!$B$15)</f>
        <v>0.42489229332154227</v>
      </c>
      <c r="K990" t="str">
        <f t="shared" si="15"/>
        <v>No</v>
      </c>
      <c r="L990">
        <f>ABS((C990-EDA!$F$15)/EDA!$G$15)</f>
        <v>0.37026160137908837</v>
      </c>
      <c r="M990" t="str">
        <f>IF(moras[[#This Row],[Z-Score Salario]]&gt;1.96, "Sí", "No")</f>
        <v>No</v>
      </c>
      <c r="N990" s="14">
        <f>IF(ISBLANK(moras[[#This Row],[SALARIO]]), EDA!$M$8, moras[[#This Row],[SALARIO]])</f>
        <v>324047</v>
      </c>
      <c r="O990" s="14">
        <f xml:space="preserve"> IF(ISBLANK(moras[[#This Row],[EDAD]]), EDA!$E$8, moras[[#This Row],[EDAD]])</f>
        <v>48</v>
      </c>
      <c r="P990" s="14" t="str">
        <f>IF(
    OR(ISBLANK(moras[[#This Row],[TIPO_ASEGURAMIENTO]]), moras[[#This Row],[TIPO_ASEGURAMIENTO]]=""),
    EDA!$A$32,
    moras[[#This Row],[TIPO_ASEGURAMIENTO]]
)</f>
        <v>TRABAJADOR INDEPENDIENTE</v>
      </c>
    </row>
    <row r="991" spans="1:16" x14ac:dyDescent="0.3">
      <c r="A991">
        <v>990</v>
      </c>
      <c r="B991" t="s">
        <v>15</v>
      </c>
      <c r="C991">
        <v>374301</v>
      </c>
      <c r="D991" t="s">
        <v>18</v>
      </c>
      <c r="E991" t="s">
        <v>16</v>
      </c>
      <c r="F991" t="s">
        <v>12</v>
      </c>
      <c r="G991" t="s">
        <v>13</v>
      </c>
      <c r="H991" t="s">
        <v>13</v>
      </c>
      <c r="I991">
        <v>33</v>
      </c>
      <c r="J991">
        <f>ABS((I991-EDA!$A$15)/EDA!$B$15)</f>
        <v>0.63373765783552027</v>
      </c>
      <c r="K991" t="str">
        <f t="shared" si="15"/>
        <v>No</v>
      </c>
      <c r="L991">
        <f>ABS((C991-EDA!$F$15)/EDA!$G$15)</f>
        <v>0.36942533934417682</v>
      </c>
      <c r="M991" t="str">
        <f>IF(moras[[#This Row],[Z-Score Salario]]&gt;1.96, "Sí", "No")</f>
        <v>No</v>
      </c>
      <c r="N991" s="14">
        <f>IF(ISBLANK(moras[[#This Row],[SALARIO]]), EDA!$M$8, moras[[#This Row],[SALARIO]])</f>
        <v>374301</v>
      </c>
      <c r="O991" s="14">
        <f xml:space="preserve"> IF(ISBLANK(moras[[#This Row],[EDAD]]), EDA!$E$8, moras[[#This Row],[EDAD]])</f>
        <v>33</v>
      </c>
      <c r="P991" s="14" t="str">
        <f>IF(
    OR(ISBLANK(moras[[#This Row],[TIPO_ASEGURAMIENTO]]), moras[[#This Row],[TIPO_ASEGURAMIENTO]]=""),
    EDA!$A$32,
    moras[[#This Row],[TIPO_ASEGURAMIENTO]]
)</f>
        <v>TRABAJADOR INDEPENDIENTE</v>
      </c>
    </row>
    <row r="992" spans="1:16" x14ac:dyDescent="0.3">
      <c r="A992">
        <v>991</v>
      </c>
      <c r="B992" t="s">
        <v>15</v>
      </c>
      <c r="C992">
        <v>2979738</v>
      </c>
      <c r="D992" t="s">
        <v>10</v>
      </c>
      <c r="E992" t="s">
        <v>11</v>
      </c>
      <c r="F992" t="s">
        <v>12</v>
      </c>
      <c r="G992" t="s">
        <v>13</v>
      </c>
      <c r="H992" t="s">
        <v>13</v>
      </c>
      <c r="I992">
        <v>60</v>
      </c>
      <c r="J992">
        <f>ABS((I992-EDA!$A$15)/EDA!$B$15)</f>
        <v>1.2717962542471923</v>
      </c>
      <c r="K992" t="str">
        <f t="shared" si="15"/>
        <v>No</v>
      </c>
      <c r="L992">
        <f>ABS((C992-EDA!$F$15)/EDA!$G$15)</f>
        <v>0.32606902845441954</v>
      </c>
      <c r="M992" t="str">
        <f>IF(moras[[#This Row],[Z-Score Salario]]&gt;1.96, "Sí", "No")</f>
        <v>No</v>
      </c>
      <c r="N992" s="14">
        <f>IF(ISBLANK(moras[[#This Row],[SALARIO]]), EDA!$M$8, moras[[#This Row],[SALARIO]])</f>
        <v>2979738</v>
      </c>
      <c r="O992" s="14">
        <f xml:space="preserve"> IF(ISBLANK(moras[[#This Row],[EDAD]]), EDA!$E$8, moras[[#This Row],[EDAD]])</f>
        <v>60</v>
      </c>
      <c r="P992" s="14" t="str">
        <f>IF(
    OR(ISBLANK(moras[[#This Row],[TIPO_ASEGURAMIENTO]]), moras[[#This Row],[TIPO_ASEGURAMIENTO]]=""),
    EDA!$A$32,
    moras[[#This Row],[TIPO_ASEGURAMIENTO]]
)</f>
        <v>ASALARIADO</v>
      </c>
    </row>
    <row r="993" spans="1:16" x14ac:dyDescent="0.3">
      <c r="A993">
        <v>992</v>
      </c>
      <c r="B993" t="s">
        <v>15</v>
      </c>
      <c r="C993">
        <v>355060</v>
      </c>
      <c r="D993" t="s">
        <v>10</v>
      </c>
      <c r="E993" t="s">
        <v>16</v>
      </c>
      <c r="F993" t="s">
        <v>12</v>
      </c>
      <c r="G993" t="s">
        <v>12</v>
      </c>
      <c r="H993" t="s">
        <v>13</v>
      </c>
      <c r="I993">
        <v>56</v>
      </c>
      <c r="J993">
        <f>ABS((I993-EDA!$A$15)/EDA!$B$15)</f>
        <v>0.9894949339386423</v>
      </c>
      <c r="K993" t="str">
        <f t="shared" si="15"/>
        <v>No</v>
      </c>
      <c r="L993">
        <f>ABS((C993-EDA!$F$15)/EDA!$G$15)</f>
        <v>0.36974552316663339</v>
      </c>
      <c r="M993" t="str">
        <f>IF(moras[[#This Row],[Z-Score Salario]]&gt;1.96, "Sí", "No")</f>
        <v>No</v>
      </c>
      <c r="N993" s="14">
        <f>IF(ISBLANK(moras[[#This Row],[SALARIO]]), EDA!$M$8, moras[[#This Row],[SALARIO]])</f>
        <v>355060</v>
      </c>
      <c r="O993" s="14">
        <f xml:space="preserve"> IF(ISBLANK(moras[[#This Row],[EDAD]]), EDA!$E$8, moras[[#This Row],[EDAD]])</f>
        <v>56</v>
      </c>
      <c r="P993" s="14" t="str">
        <f>IF(
    OR(ISBLANK(moras[[#This Row],[TIPO_ASEGURAMIENTO]]), moras[[#This Row],[TIPO_ASEGURAMIENTO]]=""),
    EDA!$A$32,
    moras[[#This Row],[TIPO_ASEGURAMIENTO]]
)</f>
        <v>ASALARIADO</v>
      </c>
    </row>
    <row r="994" spans="1:16" x14ac:dyDescent="0.3">
      <c r="A994">
        <v>993</v>
      </c>
      <c r="B994" t="s">
        <v>15</v>
      </c>
      <c r="C994">
        <v>297046</v>
      </c>
      <c r="D994" t="s">
        <v>17</v>
      </c>
      <c r="E994" t="s">
        <v>16</v>
      </c>
      <c r="F994" t="s">
        <v>12</v>
      </c>
      <c r="G994" t="s">
        <v>13</v>
      </c>
      <c r="H994" t="s">
        <v>13</v>
      </c>
      <c r="I994">
        <v>19</v>
      </c>
      <c r="J994">
        <f>ABS((I994-EDA!$A$15)/EDA!$B$15)</f>
        <v>1.6217922789154453</v>
      </c>
      <c r="K994" t="str">
        <f t="shared" si="15"/>
        <v>No</v>
      </c>
      <c r="L994">
        <f>ABS((C994-EDA!$F$15)/EDA!$G$15)</f>
        <v>0.37071091707942361</v>
      </c>
      <c r="M994" t="str">
        <f>IF(moras[[#This Row],[Z-Score Salario]]&gt;1.96, "Sí", "No")</f>
        <v>No</v>
      </c>
      <c r="N994" s="14">
        <f>IF(ISBLANK(moras[[#This Row],[SALARIO]]), EDA!$M$8, moras[[#This Row],[SALARIO]])</f>
        <v>297046</v>
      </c>
      <c r="O994" s="14">
        <f xml:space="preserve"> IF(ISBLANK(moras[[#This Row],[EDAD]]), EDA!$E$8, moras[[#This Row],[EDAD]])</f>
        <v>19</v>
      </c>
      <c r="P994" s="14" t="str">
        <f>IF(
    OR(ISBLANK(moras[[#This Row],[TIPO_ASEGURAMIENTO]]), moras[[#This Row],[TIPO_ASEGURAMIENTO]]=""),
    EDA!$A$32,
    moras[[#This Row],[TIPO_ASEGURAMIENTO]]
)</f>
        <v>ASEGURADO VOLUNTARIO</v>
      </c>
    </row>
    <row r="995" spans="1:16" x14ac:dyDescent="0.3">
      <c r="A995">
        <v>994</v>
      </c>
      <c r="B995" t="s">
        <v>9</v>
      </c>
      <c r="C995">
        <v>342028</v>
      </c>
      <c r="D995" t="s">
        <v>10</v>
      </c>
      <c r="E995" t="s">
        <v>16</v>
      </c>
      <c r="F995" t="s">
        <v>12</v>
      </c>
      <c r="G995" t="s">
        <v>13</v>
      </c>
      <c r="H995" t="s">
        <v>13</v>
      </c>
      <c r="I995">
        <v>35</v>
      </c>
      <c r="J995">
        <f>ABS((I995-EDA!$A$15)/EDA!$B$15)</f>
        <v>0.49258699768124525</v>
      </c>
      <c r="K995" t="str">
        <f t="shared" si="15"/>
        <v>No</v>
      </c>
      <c r="L995">
        <f>ABS((C995-EDA!$F$15)/EDA!$G$15)</f>
        <v>0.36996238484608113</v>
      </c>
      <c r="M995" t="str">
        <f>IF(moras[[#This Row],[Z-Score Salario]]&gt;1.96, "Sí", "No")</f>
        <v>No</v>
      </c>
      <c r="N995" s="14">
        <f>IF(ISBLANK(moras[[#This Row],[SALARIO]]), EDA!$M$8, moras[[#This Row],[SALARIO]])</f>
        <v>342028</v>
      </c>
      <c r="O995" s="14">
        <f xml:space="preserve"> IF(ISBLANK(moras[[#This Row],[EDAD]]), EDA!$E$8, moras[[#This Row],[EDAD]])</f>
        <v>35</v>
      </c>
      <c r="P995" s="14" t="str">
        <f>IF(
    OR(ISBLANK(moras[[#This Row],[TIPO_ASEGURAMIENTO]]), moras[[#This Row],[TIPO_ASEGURAMIENTO]]=""),
    EDA!$A$32,
    moras[[#This Row],[TIPO_ASEGURAMIENTO]]
)</f>
        <v>ASALARIADO</v>
      </c>
    </row>
    <row r="996" spans="1:16" x14ac:dyDescent="0.3">
      <c r="A996">
        <v>995</v>
      </c>
      <c r="B996" t="s">
        <v>9</v>
      </c>
      <c r="C996">
        <v>343836</v>
      </c>
      <c r="D996" t="s">
        <v>18</v>
      </c>
      <c r="E996" t="s">
        <v>16</v>
      </c>
      <c r="F996" t="s">
        <v>12</v>
      </c>
      <c r="G996" t="s">
        <v>12</v>
      </c>
      <c r="H996" t="s">
        <v>12</v>
      </c>
      <c r="I996">
        <v>40</v>
      </c>
      <c r="J996">
        <f>ABS((I996-EDA!$A$15)/EDA!$B$15)</f>
        <v>0.13971034729555773</v>
      </c>
      <c r="K996" t="str">
        <f t="shared" si="15"/>
        <v>No</v>
      </c>
      <c r="L996">
        <f>ABS((C996-EDA!$F$15)/EDA!$G$15)</f>
        <v>0.36993229844979186</v>
      </c>
      <c r="M996" t="str">
        <f>IF(moras[[#This Row],[Z-Score Salario]]&gt;1.96, "Sí", "No")</f>
        <v>No</v>
      </c>
      <c r="N996" s="14">
        <f>IF(ISBLANK(moras[[#This Row],[SALARIO]]), EDA!$M$8, moras[[#This Row],[SALARIO]])</f>
        <v>343836</v>
      </c>
      <c r="O996" s="14">
        <f xml:space="preserve"> IF(ISBLANK(moras[[#This Row],[EDAD]]), EDA!$E$8, moras[[#This Row],[EDAD]])</f>
        <v>40</v>
      </c>
      <c r="P996" s="14" t="str">
        <f>IF(
    OR(ISBLANK(moras[[#This Row],[TIPO_ASEGURAMIENTO]]), moras[[#This Row],[TIPO_ASEGURAMIENTO]]=""),
    EDA!$A$32,
    moras[[#This Row],[TIPO_ASEGURAMIENTO]]
)</f>
        <v>TRABAJADOR INDEPENDIENTE</v>
      </c>
    </row>
    <row r="997" spans="1:16" x14ac:dyDescent="0.3">
      <c r="A997">
        <v>996</v>
      </c>
      <c r="B997" t="s">
        <v>9</v>
      </c>
      <c r="C997">
        <v>43059165</v>
      </c>
      <c r="D997" t="s">
        <v>10</v>
      </c>
      <c r="E997" t="s">
        <v>16</v>
      </c>
      <c r="F997" t="s">
        <v>12</v>
      </c>
      <c r="G997" t="s">
        <v>13</v>
      </c>
      <c r="H997" t="s">
        <v>13</v>
      </c>
      <c r="I997">
        <v>23</v>
      </c>
      <c r="J997">
        <f>ABS((I997-EDA!$A$15)/EDA!$B$15)</f>
        <v>1.3394909586068953</v>
      </c>
      <c r="K997" t="str">
        <f t="shared" si="15"/>
        <v>No</v>
      </c>
      <c r="L997">
        <f>ABS((C997-EDA!$F$15)/EDA!$G$15)</f>
        <v>0.34088092938195563</v>
      </c>
      <c r="M997" t="str">
        <f>IF(moras[[#This Row],[Z-Score Salario]]&gt;1.96, "Sí", "No")</f>
        <v>No</v>
      </c>
      <c r="N997" s="14">
        <f>IF(ISBLANK(moras[[#This Row],[SALARIO]]), EDA!$M$8, moras[[#This Row],[SALARIO]])</f>
        <v>43059165</v>
      </c>
      <c r="O997" s="14">
        <f xml:space="preserve"> IF(ISBLANK(moras[[#This Row],[EDAD]]), EDA!$E$8, moras[[#This Row],[EDAD]])</f>
        <v>23</v>
      </c>
      <c r="P997" s="14" t="str">
        <f>IF(
    OR(ISBLANK(moras[[#This Row],[TIPO_ASEGURAMIENTO]]), moras[[#This Row],[TIPO_ASEGURAMIENTO]]=""),
    EDA!$A$32,
    moras[[#This Row],[TIPO_ASEGURAMIENTO]]
)</f>
        <v>ASALARIADO</v>
      </c>
    </row>
    <row r="998" spans="1:16" x14ac:dyDescent="0.3">
      <c r="A998">
        <v>997</v>
      </c>
      <c r="B998" t="s">
        <v>9</v>
      </c>
      <c r="C998">
        <v>97907994</v>
      </c>
      <c r="D998" t="s">
        <v>10</v>
      </c>
      <c r="E998" t="s">
        <v>11</v>
      </c>
      <c r="F998" t="s">
        <v>12</v>
      </c>
      <c r="G998" t="s">
        <v>13</v>
      </c>
      <c r="H998" t="s">
        <v>13</v>
      </c>
      <c r="I998">
        <v>48</v>
      </c>
      <c r="J998">
        <f>ABS((I998-EDA!$A$15)/EDA!$B$15)</f>
        <v>0.42489229332154227</v>
      </c>
      <c r="K998" t="str">
        <f t="shared" si="15"/>
        <v>No</v>
      </c>
      <c r="L998">
        <f>ABS((C998-EDA!$F$15)/EDA!$G$15)</f>
        <v>1.2536041623993475</v>
      </c>
      <c r="M998" t="str">
        <f>IF(moras[[#This Row],[Z-Score Salario]]&gt;1.96, "Sí", "No")</f>
        <v>No</v>
      </c>
      <c r="N998" s="14">
        <f>IF(ISBLANK(moras[[#This Row],[SALARIO]]), EDA!$M$8, moras[[#This Row],[SALARIO]])</f>
        <v>97907994</v>
      </c>
      <c r="O998" s="14">
        <f xml:space="preserve"> IF(ISBLANK(moras[[#This Row],[EDAD]]), EDA!$E$8, moras[[#This Row],[EDAD]])</f>
        <v>48</v>
      </c>
      <c r="P998" s="14" t="str">
        <f>IF(
    OR(ISBLANK(moras[[#This Row],[TIPO_ASEGURAMIENTO]]), moras[[#This Row],[TIPO_ASEGURAMIENTO]]=""),
    EDA!$A$32,
    moras[[#This Row],[TIPO_ASEGURAMIENTO]]
)</f>
        <v>ASALARIADO</v>
      </c>
    </row>
    <row r="999" spans="1:16" x14ac:dyDescent="0.3">
      <c r="A999">
        <v>998</v>
      </c>
      <c r="B999" t="s">
        <v>15</v>
      </c>
      <c r="C999">
        <v>4286627</v>
      </c>
      <c r="D999" t="s">
        <v>10</v>
      </c>
      <c r="E999" t="s">
        <v>16</v>
      </c>
      <c r="F999" t="s">
        <v>12</v>
      </c>
      <c r="G999" t="s">
        <v>12</v>
      </c>
      <c r="H999" t="s">
        <v>13</v>
      </c>
      <c r="I999">
        <v>45</v>
      </c>
      <c r="J999">
        <f>ABS((I999-EDA!$A$15)/EDA!$B$15)</f>
        <v>0.21316630309012977</v>
      </c>
      <c r="K999" t="str">
        <f t="shared" si="15"/>
        <v>No</v>
      </c>
      <c r="L999">
        <f>ABS((C999-EDA!$F$15)/EDA!$G$15)</f>
        <v>0.30432147294553408</v>
      </c>
      <c r="M999" t="str">
        <f>IF(moras[[#This Row],[Z-Score Salario]]&gt;1.96, "Sí", "No")</f>
        <v>No</v>
      </c>
      <c r="N999" s="14">
        <f>IF(ISBLANK(moras[[#This Row],[SALARIO]]), EDA!$M$8, moras[[#This Row],[SALARIO]])</f>
        <v>4286627</v>
      </c>
      <c r="O999" s="14">
        <f xml:space="preserve"> IF(ISBLANK(moras[[#This Row],[EDAD]]), EDA!$E$8, moras[[#This Row],[EDAD]])</f>
        <v>45</v>
      </c>
      <c r="P999" s="14" t="str">
        <f>IF(
    OR(ISBLANK(moras[[#This Row],[TIPO_ASEGURAMIENTO]]), moras[[#This Row],[TIPO_ASEGURAMIENTO]]=""),
    EDA!$A$32,
    moras[[#This Row],[TIPO_ASEGURAMIENTO]]
)</f>
        <v>ASALARIADO</v>
      </c>
    </row>
    <row r="1000" spans="1:16" x14ac:dyDescent="0.3">
      <c r="A1000">
        <v>999</v>
      </c>
      <c r="B1000" t="s">
        <v>9</v>
      </c>
      <c r="C1000">
        <v>278030</v>
      </c>
      <c r="D1000" t="s">
        <v>19</v>
      </c>
      <c r="E1000" t="s">
        <v>16</v>
      </c>
      <c r="F1000" t="s">
        <v>12</v>
      </c>
      <c r="G1000" t="s">
        <v>13</v>
      </c>
      <c r="H1000" t="s">
        <v>13</v>
      </c>
      <c r="I1000">
        <v>62</v>
      </c>
      <c r="J1000">
        <f>ABS((I1000-EDA!$A$15)/EDA!$B$15)</f>
        <v>1.4129469144014672</v>
      </c>
      <c r="K1000" t="str">
        <f t="shared" si="15"/>
        <v>No</v>
      </c>
      <c r="L1000">
        <f>ABS((C1000-EDA!$F$15)/EDA!$G$15)</f>
        <v>0.37102735674304993</v>
      </c>
      <c r="M1000" t="str">
        <f>IF(moras[[#This Row],[Z-Score Salario]]&gt;1.96, "Sí", "No")</f>
        <v>No</v>
      </c>
      <c r="N1000" s="14">
        <f>IF(ISBLANK(moras[[#This Row],[SALARIO]]), EDA!$M$8, moras[[#This Row],[SALARIO]])</f>
        <v>278030</v>
      </c>
      <c r="O1000" s="14">
        <f xml:space="preserve"> IF(ISBLANK(moras[[#This Row],[EDAD]]), EDA!$E$8, moras[[#This Row],[EDAD]])</f>
        <v>62</v>
      </c>
      <c r="P1000" s="14" t="str">
        <f>IF(
    OR(ISBLANK(moras[[#This Row],[TIPO_ASEGURAMIENTO]]), moras[[#This Row],[TIPO_ASEGURAMIENTO]]=""),
    EDA!$A$32,
    moras[[#This Row],[TIPO_ASEGURAMIENTO]]
)</f>
        <v>CONVENIOS ESPECIALES DE TRABAJADORES INDEPENDIENTES</v>
      </c>
    </row>
    <row r="1001" spans="1:16" x14ac:dyDescent="0.3">
      <c r="A1001">
        <v>1000</v>
      </c>
      <c r="B1001" t="s">
        <v>9</v>
      </c>
      <c r="C1001">
        <v>32474192</v>
      </c>
      <c r="D1001" t="s">
        <v>10</v>
      </c>
      <c r="E1001" t="s">
        <v>16</v>
      </c>
      <c r="F1001" t="s">
        <v>12</v>
      </c>
      <c r="G1001" t="s">
        <v>12</v>
      </c>
      <c r="H1001" t="s">
        <v>13</v>
      </c>
      <c r="I1001">
        <v>47</v>
      </c>
      <c r="J1001">
        <f>ABS((I1001-EDA!$A$15)/EDA!$B$15)</f>
        <v>0.35431696324440481</v>
      </c>
      <c r="K1001" t="str">
        <f t="shared" si="15"/>
        <v>No</v>
      </c>
      <c r="L1001">
        <f>ABS((C1001-EDA!$F$15)/EDA!$G$15)</f>
        <v>0.16473950660040818</v>
      </c>
      <c r="M1001" t="str">
        <f>IF(moras[[#This Row],[Z-Score Salario]]&gt;1.96, "Sí", "No")</f>
        <v>No</v>
      </c>
      <c r="N1001" s="14">
        <f>IF(ISBLANK(moras[[#This Row],[SALARIO]]), EDA!$M$8, moras[[#This Row],[SALARIO]])</f>
        <v>32474192</v>
      </c>
      <c r="O1001" s="14">
        <f xml:space="preserve"> IF(ISBLANK(moras[[#This Row],[EDAD]]), EDA!$E$8, moras[[#This Row],[EDAD]])</f>
        <v>47</v>
      </c>
      <c r="P1001" s="14" t="str">
        <f>IF(
    OR(ISBLANK(moras[[#This Row],[TIPO_ASEGURAMIENTO]]), moras[[#This Row],[TIPO_ASEGURAMIENTO]]=""),
    EDA!$A$32,
    moras[[#This Row],[TIPO_ASEGURAMIENTO]]
)</f>
        <v>ASALARIADO</v>
      </c>
    </row>
    <row r="1002" spans="1:16" x14ac:dyDescent="0.3">
      <c r="A1002">
        <v>1001</v>
      </c>
      <c r="B1002" t="s">
        <v>9</v>
      </c>
      <c r="C1002">
        <v>39012811</v>
      </c>
      <c r="D1002" t="s">
        <v>10</v>
      </c>
      <c r="E1002" t="s">
        <v>16</v>
      </c>
      <c r="F1002" t="s">
        <v>12</v>
      </c>
      <c r="G1002" t="s">
        <v>13</v>
      </c>
      <c r="H1002" t="s">
        <v>13</v>
      </c>
      <c r="I1002">
        <v>30</v>
      </c>
      <c r="J1002">
        <f>ABS((I1002-EDA!$A$15)/EDA!$B$15)</f>
        <v>0.84546364806693275</v>
      </c>
      <c r="K1002" t="str">
        <f t="shared" si="15"/>
        <v>No</v>
      </c>
      <c r="L1002">
        <f>ABS((C1002-EDA!$F$15)/EDA!$G$15)</f>
        <v>0.27354674245131294</v>
      </c>
      <c r="M1002" t="str">
        <f>IF(moras[[#This Row],[Z-Score Salario]]&gt;1.96, "Sí", "No")</f>
        <v>No</v>
      </c>
      <c r="N1002" s="14">
        <f>IF(ISBLANK(moras[[#This Row],[SALARIO]]), EDA!$M$8, moras[[#This Row],[SALARIO]])</f>
        <v>39012811</v>
      </c>
      <c r="O1002" s="14">
        <f xml:space="preserve"> IF(ISBLANK(moras[[#This Row],[EDAD]]), EDA!$E$8, moras[[#This Row],[EDAD]])</f>
        <v>30</v>
      </c>
      <c r="P1002" s="14" t="str">
        <f>IF(
    OR(ISBLANK(moras[[#This Row],[TIPO_ASEGURAMIENTO]]), moras[[#This Row],[TIPO_ASEGURAMIENTO]]=""),
    EDA!$A$32,
    moras[[#This Row],[TIPO_ASEGURAMIENTO]]
)</f>
        <v>ASALARIADO</v>
      </c>
    </row>
    <row r="1003" spans="1:16" x14ac:dyDescent="0.3">
      <c r="A1003">
        <v>1002</v>
      </c>
      <c r="B1003" t="s">
        <v>9</v>
      </c>
      <c r="C1003">
        <v>713928</v>
      </c>
      <c r="D1003" t="s">
        <v>10</v>
      </c>
      <c r="E1003" t="s">
        <v>16</v>
      </c>
      <c r="F1003" t="s">
        <v>12</v>
      </c>
      <c r="G1003" t="s">
        <v>12</v>
      </c>
      <c r="H1003" t="s">
        <v>13</v>
      </c>
      <c r="I1003">
        <v>24</v>
      </c>
      <c r="J1003">
        <f>ABS((I1003-EDA!$A$15)/EDA!$B$15)</f>
        <v>1.2689156285297578</v>
      </c>
      <c r="K1003" t="str">
        <f t="shared" si="15"/>
        <v>No</v>
      </c>
      <c r="L1003">
        <f>ABS((C1003-EDA!$F$15)/EDA!$G$15)</f>
        <v>0.36377370631733502</v>
      </c>
      <c r="M1003" t="str">
        <f>IF(moras[[#This Row],[Z-Score Salario]]&gt;1.96, "Sí", "No")</f>
        <v>No</v>
      </c>
      <c r="N1003" s="14">
        <f>IF(ISBLANK(moras[[#This Row],[SALARIO]]), EDA!$M$8, moras[[#This Row],[SALARIO]])</f>
        <v>713928</v>
      </c>
      <c r="O1003" s="14">
        <f xml:space="preserve"> IF(ISBLANK(moras[[#This Row],[EDAD]]), EDA!$E$8, moras[[#This Row],[EDAD]])</f>
        <v>24</v>
      </c>
      <c r="P1003" s="14" t="str">
        <f>IF(
    OR(ISBLANK(moras[[#This Row],[TIPO_ASEGURAMIENTO]]), moras[[#This Row],[TIPO_ASEGURAMIENTO]]=""),
    EDA!$A$32,
    moras[[#This Row],[TIPO_ASEGURAMIENTO]]
)</f>
        <v>ASALARIADO</v>
      </c>
    </row>
    <row r="1004" spans="1:16" x14ac:dyDescent="0.3">
      <c r="A1004">
        <v>1003</v>
      </c>
      <c r="B1004" t="s">
        <v>9</v>
      </c>
      <c r="C1004">
        <v>1077120</v>
      </c>
      <c r="D1004" t="s">
        <v>10</v>
      </c>
      <c r="E1004" t="s">
        <v>16</v>
      </c>
      <c r="F1004" t="s">
        <v>12</v>
      </c>
      <c r="G1004" t="s">
        <v>13</v>
      </c>
      <c r="H1004" t="s">
        <v>13</v>
      </c>
      <c r="I1004">
        <v>44</v>
      </c>
      <c r="J1004">
        <f>ABS((I1004-EDA!$A$15)/EDA!$B$15)</f>
        <v>0.14259097301299228</v>
      </c>
      <c r="K1004" t="str">
        <f t="shared" si="15"/>
        <v>No</v>
      </c>
      <c r="L1004">
        <f>ABS((C1004-EDA!$F$15)/EDA!$G$15)</f>
        <v>0.3577299350556723</v>
      </c>
      <c r="M1004" t="str">
        <f>IF(moras[[#This Row],[Z-Score Salario]]&gt;1.96, "Sí", "No")</f>
        <v>No</v>
      </c>
      <c r="N1004" s="14">
        <f>IF(ISBLANK(moras[[#This Row],[SALARIO]]), EDA!$M$8, moras[[#This Row],[SALARIO]])</f>
        <v>1077120</v>
      </c>
      <c r="O1004" s="14">
        <f xml:space="preserve"> IF(ISBLANK(moras[[#This Row],[EDAD]]), EDA!$E$8, moras[[#This Row],[EDAD]])</f>
        <v>44</v>
      </c>
      <c r="P1004" s="14" t="str">
        <f>IF(
    OR(ISBLANK(moras[[#This Row],[TIPO_ASEGURAMIENTO]]), moras[[#This Row],[TIPO_ASEGURAMIENTO]]=""),
    EDA!$A$32,
    moras[[#This Row],[TIPO_ASEGURAMIENTO]]
)</f>
        <v>ASALARIADO</v>
      </c>
    </row>
    <row r="1005" spans="1:16" x14ac:dyDescent="0.3">
      <c r="A1005">
        <v>1004</v>
      </c>
      <c r="B1005" t="s">
        <v>15</v>
      </c>
      <c r="C1005">
        <v>43373895</v>
      </c>
      <c r="D1005" t="s">
        <v>10</v>
      </c>
      <c r="E1005" t="s">
        <v>16</v>
      </c>
      <c r="F1005" t="s">
        <v>12</v>
      </c>
      <c r="G1005" t="s">
        <v>13</v>
      </c>
      <c r="H1005" t="s">
        <v>13</v>
      </c>
      <c r="I1005">
        <v>45</v>
      </c>
      <c r="J1005">
        <f>ABS((I1005-EDA!$A$15)/EDA!$B$15)</f>
        <v>0.21316630309012977</v>
      </c>
      <c r="K1005" t="str">
        <f t="shared" si="15"/>
        <v>No</v>
      </c>
      <c r="L1005">
        <f>ABS((C1005-EDA!$F$15)/EDA!$G$15)</f>
        <v>0.3461182587537015</v>
      </c>
      <c r="M1005" t="str">
        <f>IF(moras[[#This Row],[Z-Score Salario]]&gt;1.96, "Sí", "No")</f>
        <v>No</v>
      </c>
      <c r="N1005" s="14">
        <f>IF(ISBLANK(moras[[#This Row],[SALARIO]]), EDA!$M$8, moras[[#This Row],[SALARIO]])</f>
        <v>43373895</v>
      </c>
      <c r="O1005" s="14">
        <f xml:space="preserve"> IF(ISBLANK(moras[[#This Row],[EDAD]]), EDA!$E$8, moras[[#This Row],[EDAD]])</f>
        <v>45</v>
      </c>
      <c r="P1005" s="14" t="str">
        <f>IF(
    OR(ISBLANK(moras[[#This Row],[TIPO_ASEGURAMIENTO]]), moras[[#This Row],[TIPO_ASEGURAMIENTO]]=""),
    EDA!$A$32,
    moras[[#This Row],[TIPO_ASEGURAMIENTO]]
)</f>
        <v>ASALARIADO</v>
      </c>
    </row>
    <row r="1006" spans="1:16" x14ac:dyDescent="0.3">
      <c r="A1006">
        <v>1005</v>
      </c>
      <c r="B1006" t="s">
        <v>15</v>
      </c>
      <c r="C1006">
        <v>17638709</v>
      </c>
      <c r="D1006" t="s">
        <v>14</v>
      </c>
      <c r="E1006" t="s">
        <v>11</v>
      </c>
      <c r="F1006" t="s">
        <v>12</v>
      </c>
      <c r="G1006" t="s">
        <v>13</v>
      </c>
      <c r="H1006" t="s">
        <v>13</v>
      </c>
      <c r="I1006">
        <v>88</v>
      </c>
      <c r="J1006">
        <f>ABS((I1006-EDA!$A$15)/EDA!$B$15)</f>
        <v>3.2479054964070424</v>
      </c>
      <c r="K1006" t="str">
        <f t="shared" si="15"/>
        <v>Sí</v>
      </c>
      <c r="L1006">
        <f>ABS((C1006-EDA!$F$15)/EDA!$G$15)</f>
        <v>8.213340306799255E-2</v>
      </c>
      <c r="M1006" t="str">
        <f>IF(moras[[#This Row],[Z-Score Salario]]&gt;1.96, "Sí", "No")</f>
        <v>No</v>
      </c>
      <c r="N1006" s="14">
        <f>IF(ISBLANK(moras[[#This Row],[SALARIO]]), EDA!$M$8, moras[[#This Row],[SALARIO]])</f>
        <v>17638709</v>
      </c>
      <c r="O1006" s="14">
        <f xml:space="preserve"> IF(ISBLANK(moras[[#This Row],[EDAD]]), EDA!$E$8, moras[[#This Row],[EDAD]])</f>
        <v>88</v>
      </c>
      <c r="P1006" s="14" t="str">
        <f>IF(
    OR(ISBLANK(moras[[#This Row],[TIPO_ASEGURAMIENTO]]), moras[[#This Row],[TIPO_ASEGURAMIENTO]]=""),
    EDA!$A$32,
    moras[[#This Row],[TIPO_ASEGURAMIENTO]]
)</f>
        <v>PENSIONADOS EN SU PROPIO SISTEMA</v>
      </c>
    </row>
    <row r="1007" spans="1:16" x14ac:dyDescent="0.3">
      <c r="A1007">
        <v>1006</v>
      </c>
      <c r="B1007" t="s">
        <v>9</v>
      </c>
      <c r="C1007">
        <v>278030</v>
      </c>
      <c r="D1007" t="s">
        <v>19</v>
      </c>
      <c r="E1007" t="s">
        <v>16</v>
      </c>
      <c r="F1007" t="s">
        <v>12</v>
      </c>
      <c r="G1007" t="s">
        <v>13</v>
      </c>
      <c r="H1007" t="s">
        <v>13</v>
      </c>
      <c r="I1007">
        <v>50</v>
      </c>
      <c r="J1007">
        <f>ABS((I1007-EDA!$A$15)/EDA!$B$15)</f>
        <v>0.56604295347581735</v>
      </c>
      <c r="K1007" t="str">
        <f t="shared" si="15"/>
        <v>No</v>
      </c>
      <c r="L1007">
        <f>ABS((C1007-EDA!$F$15)/EDA!$G$15)</f>
        <v>0.37102735674304993</v>
      </c>
      <c r="M1007" t="str">
        <f>IF(moras[[#This Row],[Z-Score Salario]]&gt;1.96, "Sí", "No")</f>
        <v>No</v>
      </c>
      <c r="N1007" s="14">
        <f>IF(ISBLANK(moras[[#This Row],[SALARIO]]), EDA!$M$8, moras[[#This Row],[SALARIO]])</f>
        <v>278030</v>
      </c>
      <c r="O1007" s="14">
        <f xml:space="preserve"> IF(ISBLANK(moras[[#This Row],[EDAD]]), EDA!$E$8, moras[[#This Row],[EDAD]])</f>
        <v>50</v>
      </c>
      <c r="P1007" s="14" t="str">
        <f>IF(
    OR(ISBLANK(moras[[#This Row],[TIPO_ASEGURAMIENTO]]), moras[[#This Row],[TIPO_ASEGURAMIENTO]]=""),
    EDA!$A$32,
    moras[[#This Row],[TIPO_ASEGURAMIENTO]]
)</f>
        <v>CONVENIOS ESPECIALES DE TRABAJADORES INDEPENDIENTES</v>
      </c>
    </row>
    <row r="1008" spans="1:16" x14ac:dyDescent="0.3">
      <c r="A1008">
        <v>1007</v>
      </c>
      <c r="B1008" t="s">
        <v>15</v>
      </c>
      <c r="C1008">
        <v>14070342</v>
      </c>
      <c r="D1008" t="s">
        <v>10</v>
      </c>
      <c r="E1008" t="s">
        <v>16</v>
      </c>
      <c r="F1008" t="s">
        <v>12</v>
      </c>
      <c r="G1008" t="s">
        <v>13</v>
      </c>
      <c r="H1008" t="s">
        <v>13</v>
      </c>
      <c r="I1008">
        <v>31</v>
      </c>
      <c r="J1008">
        <f>ABS((I1008-EDA!$A$15)/EDA!$B$15)</f>
        <v>0.77488831798979529</v>
      </c>
      <c r="K1008" t="str">
        <f t="shared" si="15"/>
        <v>No</v>
      </c>
      <c r="L1008">
        <f>ABS((C1008-EDA!$F$15)/EDA!$G$15)</f>
        <v>0.14151354890178186</v>
      </c>
      <c r="M1008" t="str">
        <f>IF(moras[[#This Row],[Z-Score Salario]]&gt;1.96, "Sí", "No")</f>
        <v>No</v>
      </c>
      <c r="N1008" s="14">
        <f>IF(ISBLANK(moras[[#This Row],[SALARIO]]), EDA!$M$8, moras[[#This Row],[SALARIO]])</f>
        <v>14070342</v>
      </c>
      <c r="O1008" s="14">
        <f xml:space="preserve"> IF(ISBLANK(moras[[#This Row],[EDAD]]), EDA!$E$8, moras[[#This Row],[EDAD]])</f>
        <v>31</v>
      </c>
      <c r="P1008" s="14" t="str">
        <f>IF(
    OR(ISBLANK(moras[[#This Row],[TIPO_ASEGURAMIENTO]]), moras[[#This Row],[TIPO_ASEGURAMIENTO]]=""),
    EDA!$A$32,
    moras[[#This Row],[TIPO_ASEGURAMIENTO]]
)</f>
        <v>ASALARIADO</v>
      </c>
    </row>
    <row r="1009" spans="1:16" x14ac:dyDescent="0.3">
      <c r="A1009">
        <v>1008</v>
      </c>
      <c r="B1009" t="s">
        <v>9</v>
      </c>
      <c r="C1009">
        <v>165666667</v>
      </c>
      <c r="D1009" t="s">
        <v>10</v>
      </c>
      <c r="E1009" t="s">
        <v>16</v>
      </c>
      <c r="F1009" t="s">
        <v>12</v>
      </c>
      <c r="G1009" t="s">
        <v>13</v>
      </c>
      <c r="H1009" t="s">
        <v>13</v>
      </c>
      <c r="I1009">
        <v>37</v>
      </c>
      <c r="J1009">
        <f>ABS((I1009-EDA!$A$15)/EDA!$B$15)</f>
        <v>0.35143633752697023</v>
      </c>
      <c r="K1009" t="str">
        <f t="shared" si="15"/>
        <v>No</v>
      </c>
      <c r="L1009">
        <f>ABS((C1009-EDA!$F$15)/EDA!$G$15)</f>
        <v>2.3811563127930828</v>
      </c>
      <c r="M1009" t="str">
        <f>IF(moras[[#This Row],[Z-Score Salario]]&gt;1.96, "Sí", "No")</f>
        <v>Sí</v>
      </c>
      <c r="N1009" s="14">
        <f>IF(ISBLANK(moras[[#This Row],[SALARIO]]), EDA!$M$8, moras[[#This Row],[SALARIO]])</f>
        <v>165666667</v>
      </c>
      <c r="O1009" s="14">
        <f xml:space="preserve"> IF(ISBLANK(moras[[#This Row],[EDAD]]), EDA!$E$8, moras[[#This Row],[EDAD]])</f>
        <v>37</v>
      </c>
      <c r="P1009" s="14" t="str">
        <f>IF(
    OR(ISBLANK(moras[[#This Row],[TIPO_ASEGURAMIENTO]]), moras[[#This Row],[TIPO_ASEGURAMIENTO]]=""),
    EDA!$A$32,
    moras[[#This Row],[TIPO_ASEGURAMIENTO]]
)</f>
        <v>ASALARIADO</v>
      </c>
    </row>
    <row r="1010" spans="1:16" x14ac:dyDescent="0.3">
      <c r="A1010">
        <v>1009</v>
      </c>
      <c r="B1010" t="s">
        <v>15</v>
      </c>
      <c r="C1010">
        <v>199161</v>
      </c>
      <c r="D1010" t="s">
        <v>10</v>
      </c>
      <c r="E1010" t="s">
        <v>16</v>
      </c>
      <c r="F1010" t="s">
        <v>12</v>
      </c>
      <c r="G1010" t="s">
        <v>12</v>
      </c>
      <c r="H1010" t="s">
        <v>12</v>
      </c>
      <c r="I1010">
        <v>54</v>
      </c>
      <c r="J1010">
        <f>ABS((I1010-EDA!$A$15)/EDA!$B$15)</f>
        <v>0.84834427378436728</v>
      </c>
      <c r="K1010" t="str">
        <f t="shared" si="15"/>
        <v>No</v>
      </c>
      <c r="L1010">
        <f>ABS((C1010-EDA!$F$15)/EDA!$G$15)</f>
        <v>0.37233979257763899</v>
      </c>
      <c r="M1010" t="str">
        <f>IF(moras[[#This Row],[Z-Score Salario]]&gt;1.96, "Sí", "No")</f>
        <v>No</v>
      </c>
      <c r="N1010" s="14">
        <f>IF(ISBLANK(moras[[#This Row],[SALARIO]]), EDA!$M$8, moras[[#This Row],[SALARIO]])</f>
        <v>199161</v>
      </c>
      <c r="O1010" s="14">
        <f xml:space="preserve"> IF(ISBLANK(moras[[#This Row],[EDAD]]), EDA!$E$8, moras[[#This Row],[EDAD]])</f>
        <v>54</v>
      </c>
      <c r="P1010" s="14" t="str">
        <f>IF(
    OR(ISBLANK(moras[[#This Row],[TIPO_ASEGURAMIENTO]]), moras[[#This Row],[TIPO_ASEGURAMIENTO]]=""),
    EDA!$A$32,
    moras[[#This Row],[TIPO_ASEGURAMIENTO]]
)</f>
        <v>ASALARIADO</v>
      </c>
    </row>
    <row r="1011" spans="1:16" x14ac:dyDescent="0.3">
      <c r="A1011">
        <v>1010</v>
      </c>
      <c r="B1011" t="s">
        <v>9</v>
      </c>
      <c r="C1011">
        <v>600473</v>
      </c>
      <c r="D1011" t="s">
        <v>10</v>
      </c>
      <c r="E1011" t="s">
        <v>11</v>
      </c>
      <c r="F1011" t="s">
        <v>12</v>
      </c>
      <c r="G1011" t="s">
        <v>13</v>
      </c>
      <c r="H1011" t="s">
        <v>13</v>
      </c>
      <c r="I1011">
        <v>32</v>
      </c>
      <c r="J1011">
        <f>ABS((I1011-EDA!$A$15)/EDA!$B$15)</f>
        <v>0.70431298791265773</v>
      </c>
      <c r="K1011" t="str">
        <f t="shared" si="15"/>
        <v>No</v>
      </c>
      <c r="L1011">
        <f>ABS((C1011-EDA!$F$15)/EDA!$G$15)</f>
        <v>0.36566167760660334</v>
      </c>
      <c r="M1011" t="str">
        <f>IF(moras[[#This Row],[Z-Score Salario]]&gt;1.96, "Sí", "No")</f>
        <v>No</v>
      </c>
      <c r="N1011" s="14">
        <f>IF(ISBLANK(moras[[#This Row],[SALARIO]]), EDA!$M$8, moras[[#This Row],[SALARIO]])</f>
        <v>600473</v>
      </c>
      <c r="O1011" s="14">
        <f xml:space="preserve"> IF(ISBLANK(moras[[#This Row],[EDAD]]), EDA!$E$8, moras[[#This Row],[EDAD]])</f>
        <v>32</v>
      </c>
      <c r="P1011" s="14" t="str">
        <f>IF(
    OR(ISBLANK(moras[[#This Row],[TIPO_ASEGURAMIENTO]]), moras[[#This Row],[TIPO_ASEGURAMIENTO]]=""),
    EDA!$A$32,
    moras[[#This Row],[TIPO_ASEGURAMIENTO]]
)</f>
        <v>ASALARIADO</v>
      </c>
    </row>
    <row r="1012" spans="1:16" x14ac:dyDescent="0.3">
      <c r="A1012">
        <v>1011</v>
      </c>
      <c r="B1012" t="s">
        <v>9</v>
      </c>
      <c r="C1012">
        <v>544648</v>
      </c>
      <c r="D1012" t="s">
        <v>18</v>
      </c>
      <c r="E1012" t="s">
        <v>16</v>
      </c>
      <c r="F1012" t="s">
        <v>12</v>
      </c>
      <c r="G1012" t="s">
        <v>13</v>
      </c>
      <c r="H1012" t="s">
        <v>13</v>
      </c>
      <c r="I1012">
        <v>39</v>
      </c>
      <c r="J1012">
        <f>ABS((I1012-EDA!$A$15)/EDA!$B$15)</f>
        <v>0.21028567737269524</v>
      </c>
      <c r="K1012" t="str">
        <f t="shared" si="15"/>
        <v>No</v>
      </c>
      <c r="L1012">
        <f>ABS((C1012-EDA!$F$15)/EDA!$G$15)</f>
        <v>0.36659064501415173</v>
      </c>
      <c r="M1012" t="str">
        <f>IF(moras[[#This Row],[Z-Score Salario]]&gt;1.96, "Sí", "No")</f>
        <v>No</v>
      </c>
      <c r="N1012" s="14">
        <f>IF(ISBLANK(moras[[#This Row],[SALARIO]]), EDA!$M$8, moras[[#This Row],[SALARIO]])</f>
        <v>544648</v>
      </c>
      <c r="O1012" s="14">
        <f xml:space="preserve"> IF(ISBLANK(moras[[#This Row],[EDAD]]), EDA!$E$8, moras[[#This Row],[EDAD]])</f>
        <v>39</v>
      </c>
      <c r="P1012" s="14" t="str">
        <f>IF(
    OR(ISBLANK(moras[[#This Row],[TIPO_ASEGURAMIENTO]]), moras[[#This Row],[TIPO_ASEGURAMIENTO]]=""),
    EDA!$A$32,
    moras[[#This Row],[TIPO_ASEGURAMIENTO]]
)</f>
        <v>TRABAJADOR INDEPENDIENTE</v>
      </c>
    </row>
    <row r="1013" spans="1:16" x14ac:dyDescent="0.3">
      <c r="A1013">
        <v>1012</v>
      </c>
      <c r="B1013" t="s">
        <v>15</v>
      </c>
      <c r="C1013">
        <v>75795207</v>
      </c>
      <c r="D1013" t="s">
        <v>10</v>
      </c>
      <c r="E1013" t="s">
        <v>11</v>
      </c>
      <c r="F1013" t="s">
        <v>12</v>
      </c>
      <c r="G1013" t="s">
        <v>13</v>
      </c>
      <c r="H1013" t="s">
        <v>13</v>
      </c>
      <c r="I1013">
        <v>34</v>
      </c>
      <c r="J1013">
        <f>ABS((I1013-EDA!$A$15)/EDA!$B$15)</f>
        <v>0.56316232775838282</v>
      </c>
      <c r="K1013" t="str">
        <f t="shared" si="15"/>
        <v>No</v>
      </c>
      <c r="L1013">
        <f>ABS((C1013-EDA!$F$15)/EDA!$G$15)</f>
        <v>0.88563177703329077</v>
      </c>
      <c r="M1013" t="str">
        <f>IF(moras[[#This Row],[Z-Score Salario]]&gt;1.96, "Sí", "No")</f>
        <v>No</v>
      </c>
      <c r="N1013" s="14">
        <f>IF(ISBLANK(moras[[#This Row],[SALARIO]]), EDA!$M$8, moras[[#This Row],[SALARIO]])</f>
        <v>75795207</v>
      </c>
      <c r="O1013" s="14">
        <f xml:space="preserve"> IF(ISBLANK(moras[[#This Row],[EDAD]]), EDA!$E$8, moras[[#This Row],[EDAD]])</f>
        <v>34</v>
      </c>
      <c r="P1013" s="14" t="str">
        <f>IF(
    OR(ISBLANK(moras[[#This Row],[TIPO_ASEGURAMIENTO]]), moras[[#This Row],[TIPO_ASEGURAMIENTO]]=""),
    EDA!$A$32,
    moras[[#This Row],[TIPO_ASEGURAMIENTO]]
)</f>
        <v>ASALARIADO</v>
      </c>
    </row>
    <row r="1014" spans="1:16" x14ac:dyDescent="0.3">
      <c r="A1014">
        <v>1013</v>
      </c>
      <c r="B1014" t="s">
        <v>9</v>
      </c>
      <c r="C1014">
        <v>297045</v>
      </c>
      <c r="D1014" t="s">
        <v>17</v>
      </c>
      <c r="E1014" t="s">
        <v>16</v>
      </c>
      <c r="F1014" t="s">
        <v>12</v>
      </c>
      <c r="G1014" t="s">
        <v>13</v>
      </c>
      <c r="H1014" t="s">
        <v>13</v>
      </c>
      <c r="I1014">
        <v>60</v>
      </c>
      <c r="J1014">
        <f>ABS((I1014-EDA!$A$15)/EDA!$B$15)</f>
        <v>1.2717962542471923</v>
      </c>
      <c r="K1014" t="str">
        <f t="shared" si="15"/>
        <v>No</v>
      </c>
      <c r="L1014">
        <f>ABS((C1014-EDA!$F$15)/EDA!$G$15)</f>
        <v>0.37071093372012948</v>
      </c>
      <c r="M1014" t="str">
        <f>IF(moras[[#This Row],[Z-Score Salario]]&gt;1.96, "Sí", "No")</f>
        <v>No</v>
      </c>
      <c r="N1014" s="14">
        <f>IF(ISBLANK(moras[[#This Row],[SALARIO]]), EDA!$M$8, moras[[#This Row],[SALARIO]])</f>
        <v>297045</v>
      </c>
      <c r="O1014" s="14">
        <f xml:space="preserve"> IF(ISBLANK(moras[[#This Row],[EDAD]]), EDA!$E$8, moras[[#This Row],[EDAD]])</f>
        <v>60</v>
      </c>
      <c r="P1014" s="14" t="str">
        <f>IF(
    OR(ISBLANK(moras[[#This Row],[TIPO_ASEGURAMIENTO]]), moras[[#This Row],[TIPO_ASEGURAMIENTO]]=""),
    EDA!$A$32,
    moras[[#This Row],[TIPO_ASEGURAMIENTO]]
)</f>
        <v>ASEGURADO VOLUNTARIO</v>
      </c>
    </row>
    <row r="1015" spans="1:16" x14ac:dyDescent="0.3">
      <c r="A1015">
        <v>1014</v>
      </c>
      <c r="B1015" t="s">
        <v>15</v>
      </c>
      <c r="C1015">
        <v>514678</v>
      </c>
      <c r="D1015" t="s">
        <v>14</v>
      </c>
      <c r="E1015" t="s">
        <v>11</v>
      </c>
      <c r="F1015" t="s">
        <v>12</v>
      </c>
      <c r="G1015" t="s">
        <v>13</v>
      </c>
      <c r="H1015" t="s">
        <v>13</v>
      </c>
      <c r="I1015">
        <v>73</v>
      </c>
      <c r="J1015">
        <f>ABS((I1015-EDA!$A$15)/EDA!$B$15)</f>
        <v>2.1892755452499797</v>
      </c>
      <c r="K1015" t="str">
        <f t="shared" si="15"/>
        <v>Sí</v>
      </c>
      <c r="L1015">
        <f>ABS((C1015-EDA!$F$15)/EDA!$G$15)</f>
        <v>0.36708936697034028</v>
      </c>
      <c r="M1015" t="str">
        <f>IF(moras[[#This Row],[Z-Score Salario]]&gt;1.96, "Sí", "No")</f>
        <v>No</v>
      </c>
      <c r="N1015" s="14">
        <f>IF(ISBLANK(moras[[#This Row],[SALARIO]]), EDA!$M$8, moras[[#This Row],[SALARIO]])</f>
        <v>514678</v>
      </c>
      <c r="O1015" s="14">
        <f xml:space="preserve"> IF(ISBLANK(moras[[#This Row],[EDAD]]), EDA!$E$8, moras[[#This Row],[EDAD]])</f>
        <v>73</v>
      </c>
      <c r="P1015" s="14" t="str">
        <f>IF(
    OR(ISBLANK(moras[[#This Row],[TIPO_ASEGURAMIENTO]]), moras[[#This Row],[TIPO_ASEGURAMIENTO]]=""),
    EDA!$A$32,
    moras[[#This Row],[TIPO_ASEGURAMIENTO]]
)</f>
        <v>PENSIONADOS EN SU PROPIO SISTEMA</v>
      </c>
    </row>
    <row r="1016" spans="1:16" x14ac:dyDescent="0.3">
      <c r="A1016">
        <v>1015</v>
      </c>
      <c r="B1016" t="s">
        <v>9</v>
      </c>
      <c r="C1016">
        <v>207840</v>
      </c>
      <c r="D1016" t="s">
        <v>10</v>
      </c>
      <c r="E1016" t="s">
        <v>16</v>
      </c>
      <c r="F1016" t="s">
        <v>12</v>
      </c>
      <c r="G1016" t="s">
        <v>12</v>
      </c>
      <c r="H1016" t="s">
        <v>13</v>
      </c>
      <c r="I1016">
        <v>41</v>
      </c>
      <c r="J1016">
        <f>ABS((I1016-EDA!$A$15)/EDA!$B$15)</f>
        <v>6.9135017218420233E-2</v>
      </c>
      <c r="K1016" t="str">
        <f t="shared" si="15"/>
        <v>No</v>
      </c>
      <c r="L1016">
        <f>ABS((C1016-EDA!$F$15)/EDA!$G$15)</f>
        <v>0.37219536789102703</v>
      </c>
      <c r="M1016" t="str">
        <f>IF(moras[[#This Row],[Z-Score Salario]]&gt;1.96, "Sí", "No")</f>
        <v>No</v>
      </c>
      <c r="N1016" s="14">
        <f>IF(ISBLANK(moras[[#This Row],[SALARIO]]), EDA!$M$8, moras[[#This Row],[SALARIO]])</f>
        <v>207840</v>
      </c>
      <c r="O1016" s="14">
        <f xml:space="preserve"> IF(ISBLANK(moras[[#This Row],[EDAD]]), EDA!$E$8, moras[[#This Row],[EDAD]])</f>
        <v>41</v>
      </c>
      <c r="P1016" s="14" t="str">
        <f>IF(
    OR(ISBLANK(moras[[#This Row],[TIPO_ASEGURAMIENTO]]), moras[[#This Row],[TIPO_ASEGURAMIENTO]]=""),
    EDA!$A$32,
    moras[[#This Row],[TIPO_ASEGURAMIENTO]]
)</f>
        <v>ASALARIADO</v>
      </c>
    </row>
    <row r="1017" spans="1:16" x14ac:dyDescent="0.3">
      <c r="A1017">
        <v>1016</v>
      </c>
      <c r="B1017" t="s">
        <v>15</v>
      </c>
      <c r="C1017">
        <v>592970</v>
      </c>
      <c r="D1017" t="s">
        <v>10</v>
      </c>
      <c r="E1017" t="s">
        <v>11</v>
      </c>
      <c r="F1017" t="s">
        <v>12</v>
      </c>
      <c r="G1017" t="s">
        <v>13</v>
      </c>
      <c r="H1017" t="s">
        <v>12</v>
      </c>
      <c r="I1017">
        <v>37</v>
      </c>
      <c r="J1017">
        <f>ABS((I1017-EDA!$A$15)/EDA!$B$15)</f>
        <v>0.35143633752697023</v>
      </c>
      <c r="K1017" t="str">
        <f t="shared" si="15"/>
        <v>No</v>
      </c>
      <c r="L1017">
        <f>ABS((C1017-EDA!$F$15)/EDA!$G$15)</f>
        <v>0.36578653282306256</v>
      </c>
      <c r="M1017" t="str">
        <f>IF(moras[[#This Row],[Z-Score Salario]]&gt;1.96, "Sí", "No")</f>
        <v>No</v>
      </c>
      <c r="N1017" s="14">
        <f>IF(ISBLANK(moras[[#This Row],[SALARIO]]), EDA!$M$8, moras[[#This Row],[SALARIO]])</f>
        <v>592970</v>
      </c>
      <c r="O1017" s="14">
        <f xml:space="preserve"> IF(ISBLANK(moras[[#This Row],[EDAD]]), EDA!$E$8, moras[[#This Row],[EDAD]])</f>
        <v>37</v>
      </c>
      <c r="P1017" s="14" t="str">
        <f>IF(
    OR(ISBLANK(moras[[#This Row],[TIPO_ASEGURAMIENTO]]), moras[[#This Row],[TIPO_ASEGURAMIENTO]]=""),
    EDA!$A$32,
    moras[[#This Row],[TIPO_ASEGURAMIENTO]]
)</f>
        <v>ASALARIADO</v>
      </c>
    </row>
    <row r="1018" spans="1:16" x14ac:dyDescent="0.3">
      <c r="A1018">
        <v>1017</v>
      </c>
      <c r="B1018" t="s">
        <v>9</v>
      </c>
      <c r="C1018">
        <v>418054</v>
      </c>
      <c r="D1018" t="s">
        <v>18</v>
      </c>
      <c r="E1018" t="s">
        <v>16</v>
      </c>
      <c r="F1018" t="s">
        <v>12</v>
      </c>
      <c r="G1018" t="s">
        <v>13</v>
      </c>
      <c r="H1018" t="s">
        <v>12</v>
      </c>
      <c r="I1018">
        <v>48</v>
      </c>
      <c r="J1018">
        <f>ABS((I1018-EDA!$A$15)/EDA!$B$15)</f>
        <v>0.42489229332154227</v>
      </c>
      <c r="K1018" t="str">
        <f t="shared" si="15"/>
        <v>No</v>
      </c>
      <c r="L1018">
        <f>ABS((C1018-EDA!$F$15)/EDA!$G$15)</f>
        <v>0.36869725853840041</v>
      </c>
      <c r="M1018" t="str">
        <f>IF(moras[[#This Row],[Z-Score Salario]]&gt;1.96, "Sí", "No")</f>
        <v>No</v>
      </c>
      <c r="N1018" s="14">
        <f>IF(ISBLANK(moras[[#This Row],[SALARIO]]), EDA!$M$8, moras[[#This Row],[SALARIO]])</f>
        <v>418054</v>
      </c>
      <c r="O1018" s="14">
        <f xml:space="preserve"> IF(ISBLANK(moras[[#This Row],[EDAD]]), EDA!$E$8, moras[[#This Row],[EDAD]])</f>
        <v>48</v>
      </c>
      <c r="P1018" s="14" t="str">
        <f>IF(
    OR(ISBLANK(moras[[#This Row],[TIPO_ASEGURAMIENTO]]), moras[[#This Row],[TIPO_ASEGURAMIENTO]]=""),
    EDA!$A$32,
    moras[[#This Row],[TIPO_ASEGURAMIENTO]]
)</f>
        <v>TRABAJADOR INDEPENDIENTE</v>
      </c>
    </row>
    <row r="1019" spans="1:16" x14ac:dyDescent="0.3">
      <c r="A1019">
        <v>1018</v>
      </c>
      <c r="B1019" t="s">
        <v>9</v>
      </c>
      <c r="C1019">
        <v>140375</v>
      </c>
      <c r="D1019" t="s">
        <v>10</v>
      </c>
      <c r="E1019" t="s">
        <v>16</v>
      </c>
      <c r="F1019" t="s">
        <v>12</v>
      </c>
      <c r="G1019" t="s">
        <v>13</v>
      </c>
      <c r="H1019" t="s">
        <v>13</v>
      </c>
      <c r="I1019">
        <v>54</v>
      </c>
      <c r="J1019">
        <f>ABS((I1019-EDA!$A$15)/EDA!$B$15)</f>
        <v>0.84834427378436728</v>
      </c>
      <c r="K1019" t="str">
        <f t="shared" si="15"/>
        <v>No</v>
      </c>
      <c r="L1019">
        <f>ABS((C1019-EDA!$F$15)/EDA!$G$15)</f>
        <v>0.37331803311539341</v>
      </c>
      <c r="M1019" t="str">
        <f>IF(moras[[#This Row],[Z-Score Salario]]&gt;1.96, "Sí", "No")</f>
        <v>No</v>
      </c>
      <c r="N1019" s="14">
        <f>IF(ISBLANK(moras[[#This Row],[SALARIO]]), EDA!$M$8, moras[[#This Row],[SALARIO]])</f>
        <v>140375</v>
      </c>
      <c r="O1019" s="14">
        <f xml:space="preserve"> IF(ISBLANK(moras[[#This Row],[EDAD]]), EDA!$E$8, moras[[#This Row],[EDAD]])</f>
        <v>54</v>
      </c>
      <c r="P1019" s="14" t="str">
        <f>IF(
    OR(ISBLANK(moras[[#This Row],[TIPO_ASEGURAMIENTO]]), moras[[#This Row],[TIPO_ASEGURAMIENTO]]=""),
    EDA!$A$32,
    moras[[#This Row],[TIPO_ASEGURAMIENTO]]
)</f>
        <v>ASALARIADO</v>
      </c>
    </row>
    <row r="1020" spans="1:16" x14ac:dyDescent="0.3">
      <c r="A1020">
        <v>1019</v>
      </c>
      <c r="B1020" t="s">
        <v>15</v>
      </c>
      <c r="C1020">
        <v>21520897</v>
      </c>
      <c r="D1020" t="s">
        <v>10</v>
      </c>
      <c r="E1020" t="s">
        <v>11</v>
      </c>
      <c r="F1020" t="s">
        <v>12</v>
      </c>
      <c r="G1020" t="s">
        <v>13</v>
      </c>
      <c r="H1020" t="s">
        <v>13</v>
      </c>
      <c r="I1020">
        <v>42</v>
      </c>
      <c r="J1020">
        <f>ABS((I1020-EDA!$A$15)/EDA!$B$15)</f>
        <v>1.4403128587172659E-3</v>
      </c>
      <c r="K1020" t="str">
        <f t="shared" si="15"/>
        <v>No</v>
      </c>
      <c r="L1020">
        <f>ABS((C1020-EDA!$F$15)/EDA!$G$15)</f>
        <v>1.7531054264131613E-2</v>
      </c>
      <c r="M1020" t="str">
        <f>IF(moras[[#This Row],[Z-Score Salario]]&gt;1.96, "Sí", "No")</f>
        <v>No</v>
      </c>
      <c r="N1020" s="14">
        <f>IF(ISBLANK(moras[[#This Row],[SALARIO]]), EDA!$M$8, moras[[#This Row],[SALARIO]])</f>
        <v>21520897</v>
      </c>
      <c r="O1020" s="14">
        <f xml:space="preserve"> IF(ISBLANK(moras[[#This Row],[EDAD]]), EDA!$E$8, moras[[#This Row],[EDAD]])</f>
        <v>42</v>
      </c>
      <c r="P1020" s="14" t="str">
        <f>IF(
    OR(ISBLANK(moras[[#This Row],[TIPO_ASEGURAMIENTO]]), moras[[#This Row],[TIPO_ASEGURAMIENTO]]=""),
    EDA!$A$32,
    moras[[#This Row],[TIPO_ASEGURAMIENTO]]
)</f>
        <v>ASALARIADO</v>
      </c>
    </row>
    <row r="1021" spans="1:16" x14ac:dyDescent="0.3">
      <c r="A1021">
        <v>1020</v>
      </c>
      <c r="B1021" t="s">
        <v>15</v>
      </c>
      <c r="C1021">
        <v>1444541</v>
      </c>
      <c r="D1021" t="s">
        <v>14</v>
      </c>
      <c r="E1021" t="s">
        <v>11</v>
      </c>
      <c r="F1021" t="s">
        <v>12</v>
      </c>
      <c r="G1021" t="s">
        <v>13</v>
      </c>
      <c r="H1021" t="s">
        <v>13</v>
      </c>
      <c r="I1021">
        <v>69</v>
      </c>
      <c r="J1021">
        <f>ABS((I1021-EDA!$A$15)/EDA!$B$15)</f>
        <v>1.9069742249414299</v>
      </c>
      <c r="K1021" t="str">
        <f t="shared" si="15"/>
        <v>No</v>
      </c>
      <c r="L1021">
        <f>ABS((C1021-EDA!$F$15)/EDA!$G$15)</f>
        <v>0.35161579024870687</v>
      </c>
      <c r="M1021" t="str">
        <f>IF(moras[[#This Row],[Z-Score Salario]]&gt;1.96, "Sí", "No")</f>
        <v>No</v>
      </c>
      <c r="N1021" s="14">
        <f>IF(ISBLANK(moras[[#This Row],[SALARIO]]), EDA!$M$8, moras[[#This Row],[SALARIO]])</f>
        <v>1444541</v>
      </c>
      <c r="O1021" s="14">
        <f xml:space="preserve"> IF(ISBLANK(moras[[#This Row],[EDAD]]), EDA!$E$8, moras[[#This Row],[EDAD]])</f>
        <v>69</v>
      </c>
      <c r="P1021" s="14" t="str">
        <f>IF(
    OR(ISBLANK(moras[[#This Row],[TIPO_ASEGURAMIENTO]]), moras[[#This Row],[TIPO_ASEGURAMIENTO]]=""),
    EDA!$A$32,
    moras[[#This Row],[TIPO_ASEGURAMIENTO]]
)</f>
        <v>PENSIONADOS EN SU PROPIO SISTEMA</v>
      </c>
    </row>
    <row r="1022" spans="1:16" x14ac:dyDescent="0.3">
      <c r="A1022">
        <v>1021</v>
      </c>
      <c r="B1022" t="s">
        <v>9</v>
      </c>
      <c r="C1022">
        <v>326749</v>
      </c>
      <c r="D1022" t="s">
        <v>18</v>
      </c>
      <c r="E1022" t="s">
        <v>16</v>
      </c>
      <c r="F1022" t="s">
        <v>12</v>
      </c>
      <c r="G1022" t="s">
        <v>13</v>
      </c>
      <c r="H1022" t="s">
        <v>12</v>
      </c>
      <c r="I1022">
        <v>58</v>
      </c>
      <c r="J1022">
        <f>ABS((I1022-EDA!$A$15)/EDA!$B$15)</f>
        <v>1.1306455940929174</v>
      </c>
      <c r="K1022" t="str">
        <f t="shared" si="15"/>
        <v>No</v>
      </c>
      <c r="L1022">
        <f>ABS((C1022-EDA!$F$15)/EDA!$G$15)</f>
        <v>0.37021663819171358</v>
      </c>
      <c r="M1022" t="str">
        <f>IF(moras[[#This Row],[Z-Score Salario]]&gt;1.96, "Sí", "No")</f>
        <v>No</v>
      </c>
      <c r="N1022" s="14">
        <f>IF(ISBLANK(moras[[#This Row],[SALARIO]]), EDA!$M$8, moras[[#This Row],[SALARIO]])</f>
        <v>326749</v>
      </c>
      <c r="O1022" s="14">
        <f xml:space="preserve"> IF(ISBLANK(moras[[#This Row],[EDAD]]), EDA!$E$8, moras[[#This Row],[EDAD]])</f>
        <v>58</v>
      </c>
      <c r="P1022" s="14" t="str">
        <f>IF(
    OR(ISBLANK(moras[[#This Row],[TIPO_ASEGURAMIENTO]]), moras[[#This Row],[TIPO_ASEGURAMIENTO]]=""),
    EDA!$A$32,
    moras[[#This Row],[TIPO_ASEGURAMIENTO]]
)</f>
        <v>TRABAJADOR INDEPENDIENTE</v>
      </c>
    </row>
    <row r="1023" spans="1:16" x14ac:dyDescent="0.3">
      <c r="A1023">
        <v>1022</v>
      </c>
      <c r="B1023" t="s">
        <v>9</v>
      </c>
      <c r="C1023">
        <v>46448208</v>
      </c>
      <c r="D1023" t="s">
        <v>10</v>
      </c>
      <c r="E1023" t="s">
        <v>11</v>
      </c>
      <c r="F1023" t="s">
        <v>12</v>
      </c>
      <c r="G1023" t="s">
        <v>13</v>
      </c>
      <c r="H1023" t="s">
        <v>13</v>
      </c>
      <c r="I1023">
        <v>37</v>
      </c>
      <c r="J1023">
        <f>ABS((I1023-EDA!$A$15)/EDA!$B$15)</f>
        <v>0.35143633752697023</v>
      </c>
      <c r="K1023" t="str">
        <f t="shared" si="15"/>
        <v>No</v>
      </c>
      <c r="L1023">
        <f>ABS((C1023-EDA!$F$15)/EDA!$G$15)</f>
        <v>0.3972769972687461</v>
      </c>
      <c r="M1023" t="str">
        <f>IF(moras[[#This Row],[Z-Score Salario]]&gt;1.96, "Sí", "No")</f>
        <v>No</v>
      </c>
      <c r="N1023" s="14">
        <f>IF(ISBLANK(moras[[#This Row],[SALARIO]]), EDA!$M$8, moras[[#This Row],[SALARIO]])</f>
        <v>46448208</v>
      </c>
      <c r="O1023" s="14">
        <f xml:space="preserve"> IF(ISBLANK(moras[[#This Row],[EDAD]]), EDA!$E$8, moras[[#This Row],[EDAD]])</f>
        <v>37</v>
      </c>
      <c r="P1023" s="14" t="str">
        <f>IF(
    OR(ISBLANK(moras[[#This Row],[TIPO_ASEGURAMIENTO]]), moras[[#This Row],[TIPO_ASEGURAMIENTO]]=""),
    EDA!$A$32,
    moras[[#This Row],[TIPO_ASEGURAMIENTO]]
)</f>
        <v>ASALARIADO</v>
      </c>
    </row>
    <row r="1024" spans="1:16" x14ac:dyDescent="0.3">
      <c r="A1024">
        <v>1023</v>
      </c>
      <c r="B1024" t="s">
        <v>15</v>
      </c>
      <c r="C1024">
        <v>51705385</v>
      </c>
      <c r="D1024" t="s">
        <v>10</v>
      </c>
      <c r="E1024" t="s">
        <v>16</v>
      </c>
      <c r="F1024" t="s">
        <v>12</v>
      </c>
      <c r="G1024" t="s">
        <v>13</v>
      </c>
      <c r="H1024" t="s">
        <v>12</v>
      </c>
      <c r="I1024">
        <v>28</v>
      </c>
      <c r="J1024">
        <f>ABS((I1024-EDA!$A$15)/EDA!$B$15)</f>
        <v>0.98661430822120777</v>
      </c>
      <c r="K1024" t="str">
        <f t="shared" si="15"/>
        <v>No</v>
      </c>
      <c r="L1024">
        <f>ABS((C1024-EDA!$F$15)/EDA!$G$15)</f>
        <v>0.48476013365411313</v>
      </c>
      <c r="M1024" t="str">
        <f>IF(moras[[#This Row],[Z-Score Salario]]&gt;1.96, "Sí", "No")</f>
        <v>No</v>
      </c>
      <c r="N1024" s="14">
        <f>IF(ISBLANK(moras[[#This Row],[SALARIO]]), EDA!$M$8, moras[[#This Row],[SALARIO]])</f>
        <v>51705385</v>
      </c>
      <c r="O1024" s="14">
        <f xml:space="preserve"> IF(ISBLANK(moras[[#This Row],[EDAD]]), EDA!$E$8, moras[[#This Row],[EDAD]])</f>
        <v>28</v>
      </c>
      <c r="P1024" s="14" t="str">
        <f>IF(
    OR(ISBLANK(moras[[#This Row],[TIPO_ASEGURAMIENTO]]), moras[[#This Row],[TIPO_ASEGURAMIENTO]]=""),
    EDA!$A$32,
    moras[[#This Row],[TIPO_ASEGURAMIENTO]]
)</f>
        <v>ASALARIADO</v>
      </c>
    </row>
    <row r="1025" spans="1:16" x14ac:dyDescent="0.3">
      <c r="A1025">
        <v>1024</v>
      </c>
      <c r="B1025" t="s">
        <v>9</v>
      </c>
      <c r="C1025">
        <v>3692520</v>
      </c>
      <c r="D1025" t="s">
        <v>10</v>
      </c>
      <c r="E1025" t="s">
        <v>16</v>
      </c>
      <c r="F1025" t="s">
        <v>12</v>
      </c>
      <c r="G1025" t="s">
        <v>13</v>
      </c>
      <c r="H1025" t="s">
        <v>13</v>
      </c>
      <c r="I1025">
        <v>47</v>
      </c>
      <c r="J1025">
        <f>ABS((I1025-EDA!$A$15)/EDA!$B$15)</f>
        <v>0.35431696324440481</v>
      </c>
      <c r="K1025" t="str">
        <f t="shared" si="15"/>
        <v>No</v>
      </c>
      <c r="L1025">
        <f>ABS((C1025-EDA!$F$15)/EDA!$G$15)</f>
        <v>0.31420783281291176</v>
      </c>
      <c r="M1025" t="str">
        <f>IF(moras[[#This Row],[Z-Score Salario]]&gt;1.96, "Sí", "No")</f>
        <v>No</v>
      </c>
      <c r="N1025" s="14">
        <f>IF(ISBLANK(moras[[#This Row],[SALARIO]]), EDA!$M$8, moras[[#This Row],[SALARIO]])</f>
        <v>3692520</v>
      </c>
      <c r="O1025" s="14">
        <f xml:space="preserve"> IF(ISBLANK(moras[[#This Row],[EDAD]]), EDA!$E$8, moras[[#This Row],[EDAD]])</f>
        <v>47</v>
      </c>
      <c r="P1025" s="14" t="str">
        <f>IF(
    OR(ISBLANK(moras[[#This Row],[TIPO_ASEGURAMIENTO]]), moras[[#This Row],[TIPO_ASEGURAMIENTO]]=""),
    EDA!$A$32,
    moras[[#This Row],[TIPO_ASEGURAMIENTO]]
)</f>
        <v>ASALARIADO</v>
      </c>
    </row>
    <row r="1026" spans="1:16" x14ac:dyDescent="0.3">
      <c r="A1026">
        <v>1025</v>
      </c>
      <c r="B1026" t="s">
        <v>9</v>
      </c>
      <c r="C1026">
        <v>333671</v>
      </c>
      <c r="D1026" t="s">
        <v>10</v>
      </c>
      <c r="E1026" t="s">
        <v>16</v>
      </c>
      <c r="F1026" t="s">
        <v>12</v>
      </c>
      <c r="G1026" t="s">
        <v>12</v>
      </c>
      <c r="H1026" t="s">
        <v>13</v>
      </c>
      <c r="I1026">
        <v>23</v>
      </c>
      <c r="J1026">
        <f>ABS((I1026-EDA!$A$15)/EDA!$B$15)</f>
        <v>1.3394909586068953</v>
      </c>
      <c r="K1026" t="str">
        <f t="shared" ref="K1026:K1089" si="16">IF(J1026 &gt;  1.96, "Sí","No")</f>
        <v>No</v>
      </c>
      <c r="L1026">
        <f>ABS((C1026-EDA!$F$15)/EDA!$G$15)</f>
        <v>0.37010145122538934</v>
      </c>
      <c r="M1026" t="str">
        <f>IF(moras[[#This Row],[Z-Score Salario]]&gt;1.96, "Sí", "No")</f>
        <v>No</v>
      </c>
      <c r="N1026" s="14">
        <f>IF(ISBLANK(moras[[#This Row],[SALARIO]]), EDA!$M$8, moras[[#This Row],[SALARIO]])</f>
        <v>333671</v>
      </c>
      <c r="O1026" s="14">
        <f xml:space="preserve"> IF(ISBLANK(moras[[#This Row],[EDAD]]), EDA!$E$8, moras[[#This Row],[EDAD]])</f>
        <v>23</v>
      </c>
      <c r="P1026" s="14" t="str">
        <f>IF(
    OR(ISBLANK(moras[[#This Row],[TIPO_ASEGURAMIENTO]]), moras[[#This Row],[TIPO_ASEGURAMIENTO]]=""),
    EDA!$A$32,
    moras[[#This Row],[TIPO_ASEGURAMIENTO]]
)</f>
        <v>ASALARIADO</v>
      </c>
    </row>
    <row r="1027" spans="1:16" x14ac:dyDescent="0.3">
      <c r="A1027">
        <v>1026</v>
      </c>
      <c r="B1027" t="s">
        <v>15</v>
      </c>
      <c r="C1027">
        <v>50457188</v>
      </c>
      <c r="D1027" t="s">
        <v>10</v>
      </c>
      <c r="E1027" t="s">
        <v>16</v>
      </c>
      <c r="F1027" t="s">
        <v>12</v>
      </c>
      <c r="G1027" t="s">
        <v>13</v>
      </c>
      <c r="H1027" t="s">
        <v>13</v>
      </c>
      <c r="I1027">
        <v>31</v>
      </c>
      <c r="J1027">
        <f>ABS((I1027-EDA!$A$15)/EDA!$B$15)</f>
        <v>0.77488831798979529</v>
      </c>
      <c r="K1027" t="str">
        <f t="shared" si="16"/>
        <v>No</v>
      </c>
      <c r="L1027">
        <f>ABS((C1027-EDA!$F$15)/EDA!$G$15)</f>
        <v>0.46398925445662637</v>
      </c>
      <c r="M1027" t="str">
        <f>IF(moras[[#This Row],[Z-Score Salario]]&gt;1.96, "Sí", "No")</f>
        <v>No</v>
      </c>
      <c r="N1027" s="14">
        <f>IF(ISBLANK(moras[[#This Row],[SALARIO]]), EDA!$M$8, moras[[#This Row],[SALARIO]])</f>
        <v>50457188</v>
      </c>
      <c r="O1027" s="14">
        <f xml:space="preserve"> IF(ISBLANK(moras[[#This Row],[EDAD]]), EDA!$E$8, moras[[#This Row],[EDAD]])</f>
        <v>31</v>
      </c>
      <c r="P1027" s="14" t="str">
        <f>IF(
    OR(ISBLANK(moras[[#This Row],[TIPO_ASEGURAMIENTO]]), moras[[#This Row],[TIPO_ASEGURAMIENTO]]=""),
    EDA!$A$32,
    moras[[#This Row],[TIPO_ASEGURAMIENTO]]
)</f>
        <v>ASALARIADO</v>
      </c>
    </row>
    <row r="1028" spans="1:16" x14ac:dyDescent="0.3">
      <c r="A1028">
        <v>1027</v>
      </c>
      <c r="B1028" t="s">
        <v>15</v>
      </c>
      <c r="C1028">
        <v>264120</v>
      </c>
      <c r="D1028" t="s">
        <v>10</v>
      </c>
      <c r="E1028" t="s">
        <v>16</v>
      </c>
      <c r="F1028" t="s">
        <v>12</v>
      </c>
      <c r="G1028" t="s">
        <v>13</v>
      </c>
      <c r="H1028" t="s">
        <v>12</v>
      </c>
      <c r="I1028">
        <v>32</v>
      </c>
      <c r="J1028">
        <f>ABS((I1028-EDA!$A$15)/EDA!$B$15)</f>
        <v>0.70431298791265773</v>
      </c>
      <c r="K1028" t="str">
        <f t="shared" si="16"/>
        <v>No</v>
      </c>
      <c r="L1028">
        <f>ABS((C1028-EDA!$F$15)/EDA!$G$15)</f>
        <v>0.37125882896228857</v>
      </c>
      <c r="M1028" t="str">
        <f>IF(moras[[#This Row],[Z-Score Salario]]&gt;1.96, "Sí", "No")</f>
        <v>No</v>
      </c>
      <c r="N1028" s="14">
        <f>IF(ISBLANK(moras[[#This Row],[SALARIO]]), EDA!$M$8, moras[[#This Row],[SALARIO]])</f>
        <v>264120</v>
      </c>
      <c r="O1028" s="14">
        <f xml:space="preserve"> IF(ISBLANK(moras[[#This Row],[EDAD]]), EDA!$E$8, moras[[#This Row],[EDAD]])</f>
        <v>32</v>
      </c>
      <c r="P1028" s="14" t="str">
        <f>IF(
    OR(ISBLANK(moras[[#This Row],[TIPO_ASEGURAMIENTO]]), moras[[#This Row],[TIPO_ASEGURAMIENTO]]=""),
    EDA!$A$32,
    moras[[#This Row],[TIPO_ASEGURAMIENTO]]
)</f>
        <v>ASALARIADO</v>
      </c>
    </row>
    <row r="1029" spans="1:16" x14ac:dyDescent="0.3">
      <c r="A1029">
        <v>1028</v>
      </c>
      <c r="B1029" t="s">
        <v>15</v>
      </c>
      <c r="C1029">
        <v>76657522</v>
      </c>
      <c r="D1029" t="s">
        <v>14</v>
      </c>
      <c r="E1029" t="s">
        <v>11</v>
      </c>
      <c r="F1029" t="s">
        <v>12</v>
      </c>
      <c r="G1029" t="s">
        <v>13</v>
      </c>
      <c r="H1029" t="s">
        <v>13</v>
      </c>
      <c r="I1029">
        <v>71</v>
      </c>
      <c r="J1029">
        <f>ABS((I1029-EDA!$A$15)/EDA!$B$15)</f>
        <v>2.0481248850957048</v>
      </c>
      <c r="K1029" t="str">
        <f t="shared" si="16"/>
        <v>Sí</v>
      </c>
      <c r="L1029">
        <f>ABS((C1029-EDA!$F$15)/EDA!$G$15)</f>
        <v>0.89998130735196702</v>
      </c>
      <c r="M1029" t="str">
        <f>IF(moras[[#This Row],[Z-Score Salario]]&gt;1.96, "Sí", "No")</f>
        <v>No</v>
      </c>
      <c r="N1029" s="14">
        <f>IF(ISBLANK(moras[[#This Row],[SALARIO]]), EDA!$M$8, moras[[#This Row],[SALARIO]])</f>
        <v>76657522</v>
      </c>
      <c r="O1029" s="14">
        <f xml:space="preserve"> IF(ISBLANK(moras[[#This Row],[EDAD]]), EDA!$E$8, moras[[#This Row],[EDAD]])</f>
        <v>71</v>
      </c>
      <c r="P1029" s="14" t="str">
        <f>IF(
    OR(ISBLANK(moras[[#This Row],[TIPO_ASEGURAMIENTO]]), moras[[#This Row],[TIPO_ASEGURAMIENTO]]=""),
    EDA!$A$32,
    moras[[#This Row],[TIPO_ASEGURAMIENTO]]
)</f>
        <v>PENSIONADOS EN SU PROPIO SISTEMA</v>
      </c>
    </row>
    <row r="1030" spans="1:16" x14ac:dyDescent="0.3">
      <c r="A1030">
        <v>1029</v>
      </c>
      <c r="B1030" t="s">
        <v>9</v>
      </c>
      <c r="C1030">
        <v>10200068</v>
      </c>
      <c r="D1030" t="s">
        <v>10</v>
      </c>
      <c r="E1030" t="s">
        <v>16</v>
      </c>
      <c r="F1030" t="s">
        <v>12</v>
      </c>
      <c r="G1030" t="s">
        <v>13</v>
      </c>
      <c r="H1030" t="s">
        <v>13</v>
      </c>
      <c r="I1030">
        <v>30</v>
      </c>
      <c r="J1030">
        <f>ABS((I1030-EDA!$A$15)/EDA!$B$15)</f>
        <v>0.84546364806693275</v>
      </c>
      <c r="K1030" t="str">
        <f t="shared" si="16"/>
        <v>No</v>
      </c>
      <c r="L1030">
        <f>ABS((C1030-EDA!$F$15)/EDA!$G$15)</f>
        <v>0.20591764033540486</v>
      </c>
      <c r="M1030" t="str">
        <f>IF(moras[[#This Row],[Z-Score Salario]]&gt;1.96, "Sí", "No")</f>
        <v>No</v>
      </c>
      <c r="N1030" s="14">
        <f>IF(ISBLANK(moras[[#This Row],[SALARIO]]), EDA!$M$8, moras[[#This Row],[SALARIO]])</f>
        <v>10200068</v>
      </c>
      <c r="O1030" s="14">
        <f xml:space="preserve"> IF(ISBLANK(moras[[#This Row],[EDAD]]), EDA!$E$8, moras[[#This Row],[EDAD]])</f>
        <v>30</v>
      </c>
      <c r="P1030" s="14" t="str">
        <f>IF(
    OR(ISBLANK(moras[[#This Row],[TIPO_ASEGURAMIENTO]]), moras[[#This Row],[TIPO_ASEGURAMIENTO]]=""),
    EDA!$A$32,
    moras[[#This Row],[TIPO_ASEGURAMIENTO]]
)</f>
        <v>ASALARIADO</v>
      </c>
    </row>
    <row r="1031" spans="1:16" x14ac:dyDescent="0.3">
      <c r="A1031">
        <v>1030</v>
      </c>
      <c r="B1031" t="s">
        <v>9</v>
      </c>
      <c r="C1031">
        <v>701742</v>
      </c>
      <c r="D1031" t="s">
        <v>10</v>
      </c>
      <c r="E1031" t="s">
        <v>11</v>
      </c>
      <c r="F1031" t="s">
        <v>12</v>
      </c>
      <c r="G1031" t="s">
        <v>13</v>
      </c>
      <c r="H1031" t="s">
        <v>13</v>
      </c>
      <c r="I1031">
        <v>30</v>
      </c>
      <c r="J1031">
        <f>ABS((I1031-EDA!$A$15)/EDA!$B$15)</f>
        <v>0.84546364806693275</v>
      </c>
      <c r="K1031" t="str">
        <f t="shared" si="16"/>
        <v>No</v>
      </c>
      <c r="L1031">
        <f>ABS((C1031-EDA!$F$15)/EDA!$G$15)</f>
        <v>0.36397648995958104</v>
      </c>
      <c r="M1031" t="str">
        <f>IF(moras[[#This Row],[Z-Score Salario]]&gt;1.96, "Sí", "No")</f>
        <v>No</v>
      </c>
      <c r="N1031" s="14">
        <f>IF(ISBLANK(moras[[#This Row],[SALARIO]]), EDA!$M$8, moras[[#This Row],[SALARIO]])</f>
        <v>701742</v>
      </c>
      <c r="O1031" s="14">
        <f xml:space="preserve"> IF(ISBLANK(moras[[#This Row],[EDAD]]), EDA!$E$8, moras[[#This Row],[EDAD]])</f>
        <v>30</v>
      </c>
      <c r="P1031" s="14" t="str">
        <f>IF(
    OR(ISBLANK(moras[[#This Row],[TIPO_ASEGURAMIENTO]]), moras[[#This Row],[TIPO_ASEGURAMIENTO]]=""),
    EDA!$A$32,
    moras[[#This Row],[TIPO_ASEGURAMIENTO]]
)</f>
        <v>ASALARIADO</v>
      </c>
    </row>
    <row r="1032" spans="1:16" x14ac:dyDescent="0.3">
      <c r="A1032">
        <v>1031</v>
      </c>
      <c r="B1032" t="s">
        <v>9</v>
      </c>
      <c r="C1032">
        <v>320000</v>
      </c>
      <c r="D1032" t="s">
        <v>10</v>
      </c>
      <c r="E1032" t="s">
        <v>16</v>
      </c>
      <c r="F1032" t="s">
        <v>12</v>
      </c>
      <c r="G1032" t="s">
        <v>12</v>
      </c>
      <c r="H1032" t="s">
        <v>13</v>
      </c>
      <c r="I1032">
        <v>41</v>
      </c>
      <c r="J1032">
        <f>ABS((I1032-EDA!$A$15)/EDA!$B$15)</f>
        <v>6.9135017218420233E-2</v>
      </c>
      <c r="K1032" t="str">
        <f t="shared" si="16"/>
        <v>No</v>
      </c>
      <c r="L1032">
        <f>ABS((C1032-EDA!$F$15)/EDA!$G$15)</f>
        <v>0.37032894631591501</v>
      </c>
      <c r="M1032" t="str">
        <f>IF(moras[[#This Row],[Z-Score Salario]]&gt;1.96, "Sí", "No")</f>
        <v>No</v>
      </c>
      <c r="N1032" s="14">
        <f>IF(ISBLANK(moras[[#This Row],[SALARIO]]), EDA!$M$8, moras[[#This Row],[SALARIO]])</f>
        <v>320000</v>
      </c>
      <c r="O1032" s="14">
        <f xml:space="preserve"> IF(ISBLANK(moras[[#This Row],[EDAD]]), EDA!$E$8, moras[[#This Row],[EDAD]])</f>
        <v>41</v>
      </c>
      <c r="P1032" s="14" t="str">
        <f>IF(
    OR(ISBLANK(moras[[#This Row],[TIPO_ASEGURAMIENTO]]), moras[[#This Row],[TIPO_ASEGURAMIENTO]]=""),
    EDA!$A$32,
    moras[[#This Row],[TIPO_ASEGURAMIENTO]]
)</f>
        <v>ASALARIADO</v>
      </c>
    </row>
    <row r="1033" spans="1:16" x14ac:dyDescent="0.3">
      <c r="A1033">
        <v>1032</v>
      </c>
      <c r="B1033" t="s">
        <v>9</v>
      </c>
      <c r="C1033">
        <v>134027034</v>
      </c>
      <c r="D1033" t="s">
        <v>10</v>
      </c>
      <c r="E1033" t="s">
        <v>16</v>
      </c>
      <c r="F1033" t="s">
        <v>12</v>
      </c>
      <c r="G1033" t="s">
        <v>13</v>
      </c>
      <c r="H1033" t="s">
        <v>13</v>
      </c>
      <c r="I1033">
        <v>32</v>
      </c>
      <c r="J1033">
        <f>ABS((I1033-EDA!$A$15)/EDA!$B$15)</f>
        <v>0.70431298791265773</v>
      </c>
      <c r="K1033" t="str">
        <f t="shared" si="16"/>
        <v>No</v>
      </c>
      <c r="L1033">
        <f>ABS((C1033-EDA!$F$15)/EDA!$G$15)</f>
        <v>1.8546504848702339</v>
      </c>
      <c r="M1033" t="str">
        <f>IF(moras[[#This Row],[Z-Score Salario]]&gt;1.96, "Sí", "No")</f>
        <v>No</v>
      </c>
      <c r="N1033" s="14">
        <f>IF(ISBLANK(moras[[#This Row],[SALARIO]]), EDA!$M$8, moras[[#This Row],[SALARIO]])</f>
        <v>134027034</v>
      </c>
      <c r="O1033" s="14">
        <f xml:space="preserve"> IF(ISBLANK(moras[[#This Row],[EDAD]]), EDA!$E$8, moras[[#This Row],[EDAD]])</f>
        <v>32</v>
      </c>
      <c r="P1033" s="14" t="str">
        <f>IF(
    OR(ISBLANK(moras[[#This Row],[TIPO_ASEGURAMIENTO]]), moras[[#This Row],[TIPO_ASEGURAMIENTO]]=""),
    EDA!$A$32,
    moras[[#This Row],[TIPO_ASEGURAMIENTO]]
)</f>
        <v>ASALARIADO</v>
      </c>
    </row>
    <row r="1034" spans="1:16" x14ac:dyDescent="0.3">
      <c r="A1034">
        <v>1033</v>
      </c>
      <c r="B1034" t="s">
        <v>9</v>
      </c>
      <c r="C1034">
        <v>639148</v>
      </c>
      <c r="D1034" t="s">
        <v>18</v>
      </c>
      <c r="E1034" t="s">
        <v>16</v>
      </c>
      <c r="F1034" t="s">
        <v>12</v>
      </c>
      <c r="G1034" t="s">
        <v>13</v>
      </c>
      <c r="H1034" t="s">
        <v>12</v>
      </c>
      <c r="I1034">
        <v>73</v>
      </c>
      <c r="J1034">
        <f>ABS((I1034-EDA!$A$15)/EDA!$B$15)</f>
        <v>2.1892755452499797</v>
      </c>
      <c r="K1034" t="str">
        <f t="shared" si="16"/>
        <v>Sí</v>
      </c>
      <c r="L1034">
        <f>ABS((C1034-EDA!$F$15)/EDA!$G$15)</f>
        <v>0.36501809830544912</v>
      </c>
      <c r="M1034" t="str">
        <f>IF(moras[[#This Row],[Z-Score Salario]]&gt;1.96, "Sí", "No")</f>
        <v>No</v>
      </c>
      <c r="N1034" s="14">
        <f>IF(ISBLANK(moras[[#This Row],[SALARIO]]), EDA!$M$8, moras[[#This Row],[SALARIO]])</f>
        <v>639148</v>
      </c>
      <c r="O1034" s="14">
        <f xml:space="preserve"> IF(ISBLANK(moras[[#This Row],[EDAD]]), EDA!$E$8, moras[[#This Row],[EDAD]])</f>
        <v>73</v>
      </c>
      <c r="P1034" s="14" t="str">
        <f>IF(
    OR(ISBLANK(moras[[#This Row],[TIPO_ASEGURAMIENTO]]), moras[[#This Row],[TIPO_ASEGURAMIENTO]]=""),
    EDA!$A$32,
    moras[[#This Row],[TIPO_ASEGURAMIENTO]]
)</f>
        <v>TRABAJADOR INDEPENDIENTE</v>
      </c>
    </row>
    <row r="1035" spans="1:16" x14ac:dyDescent="0.3">
      <c r="A1035">
        <v>1034</v>
      </c>
      <c r="B1035" t="s">
        <v>15</v>
      </c>
      <c r="C1035">
        <v>1790761</v>
      </c>
      <c r="D1035" t="s">
        <v>10</v>
      </c>
      <c r="E1035" t="s">
        <v>11</v>
      </c>
      <c r="F1035" t="s">
        <v>12</v>
      </c>
      <c r="G1035" t="s">
        <v>13</v>
      </c>
      <c r="H1035" t="s">
        <v>12</v>
      </c>
      <c r="I1035">
        <v>54</v>
      </c>
      <c r="J1035">
        <f>ABS((I1035-EDA!$A$15)/EDA!$B$15)</f>
        <v>0.84834427378436728</v>
      </c>
      <c r="K1035" t="str">
        <f t="shared" si="16"/>
        <v>No</v>
      </c>
      <c r="L1035">
        <f>ABS((C1035-EDA!$F$15)/EDA!$G$15)</f>
        <v>0.34585444504778595</v>
      </c>
      <c r="M1035" t="str">
        <f>IF(moras[[#This Row],[Z-Score Salario]]&gt;1.96, "Sí", "No")</f>
        <v>No</v>
      </c>
      <c r="N1035" s="14">
        <f>IF(ISBLANK(moras[[#This Row],[SALARIO]]), EDA!$M$8, moras[[#This Row],[SALARIO]])</f>
        <v>1790761</v>
      </c>
      <c r="O1035" s="14">
        <f xml:space="preserve"> IF(ISBLANK(moras[[#This Row],[EDAD]]), EDA!$E$8, moras[[#This Row],[EDAD]])</f>
        <v>54</v>
      </c>
      <c r="P1035" s="14" t="str">
        <f>IF(
    OR(ISBLANK(moras[[#This Row],[TIPO_ASEGURAMIENTO]]), moras[[#This Row],[TIPO_ASEGURAMIENTO]]=""),
    EDA!$A$32,
    moras[[#This Row],[TIPO_ASEGURAMIENTO]]
)</f>
        <v>ASALARIADO</v>
      </c>
    </row>
    <row r="1036" spans="1:16" x14ac:dyDescent="0.3">
      <c r="A1036">
        <v>1035</v>
      </c>
      <c r="B1036" t="s">
        <v>9</v>
      </c>
      <c r="C1036">
        <v>1170360</v>
      </c>
      <c r="D1036" t="s">
        <v>19</v>
      </c>
      <c r="E1036" t="s">
        <v>16</v>
      </c>
      <c r="F1036" t="s">
        <v>12</v>
      </c>
      <c r="G1036" t="s">
        <v>13</v>
      </c>
      <c r="H1036" t="s">
        <v>13</v>
      </c>
      <c r="I1036">
        <v>61</v>
      </c>
      <c r="J1036">
        <f>ABS((I1036-EDA!$A$15)/EDA!$B$15)</f>
        <v>1.3423715843243298</v>
      </c>
      <c r="K1036" t="str">
        <f t="shared" si="16"/>
        <v>No</v>
      </c>
      <c r="L1036">
        <f>ABS((C1036-EDA!$F$15)/EDA!$G$15)</f>
        <v>0.35617835563641903</v>
      </c>
      <c r="M1036" t="str">
        <f>IF(moras[[#This Row],[Z-Score Salario]]&gt;1.96, "Sí", "No")</f>
        <v>No</v>
      </c>
      <c r="N1036" s="14">
        <f>IF(ISBLANK(moras[[#This Row],[SALARIO]]), EDA!$M$8, moras[[#This Row],[SALARIO]])</f>
        <v>1170360</v>
      </c>
      <c r="O1036" s="14">
        <f xml:space="preserve"> IF(ISBLANK(moras[[#This Row],[EDAD]]), EDA!$E$8, moras[[#This Row],[EDAD]])</f>
        <v>61</v>
      </c>
      <c r="P1036" s="14" t="str">
        <f>IF(
    OR(ISBLANK(moras[[#This Row],[TIPO_ASEGURAMIENTO]]), moras[[#This Row],[TIPO_ASEGURAMIENTO]]=""),
    EDA!$A$32,
    moras[[#This Row],[TIPO_ASEGURAMIENTO]]
)</f>
        <v>CONVENIOS ESPECIALES DE TRABAJADORES INDEPENDIENTES</v>
      </c>
    </row>
    <row r="1037" spans="1:16" x14ac:dyDescent="0.3">
      <c r="A1037">
        <v>1036</v>
      </c>
      <c r="B1037" t="s">
        <v>15</v>
      </c>
      <c r="C1037">
        <v>19610625</v>
      </c>
      <c r="D1037" t="s">
        <v>10</v>
      </c>
      <c r="E1037" t="s">
        <v>11</v>
      </c>
      <c r="F1037" t="s">
        <v>12</v>
      </c>
      <c r="G1037" t="s">
        <v>13</v>
      </c>
      <c r="H1037" t="s">
        <v>13</v>
      </c>
      <c r="I1037">
        <v>38</v>
      </c>
      <c r="J1037">
        <f>ABS((I1037-EDA!$A$15)/EDA!$B$15)</f>
        <v>0.28086100744983278</v>
      </c>
      <c r="K1037" t="str">
        <f t="shared" si="16"/>
        <v>No</v>
      </c>
      <c r="L1037">
        <f>ABS((C1037-EDA!$F$15)/EDA!$G$15)</f>
        <v>4.9319328828436336E-2</v>
      </c>
      <c r="M1037" t="str">
        <f>IF(moras[[#This Row],[Z-Score Salario]]&gt;1.96, "Sí", "No")</f>
        <v>No</v>
      </c>
      <c r="N1037" s="14">
        <f>IF(ISBLANK(moras[[#This Row],[SALARIO]]), EDA!$M$8, moras[[#This Row],[SALARIO]])</f>
        <v>19610625</v>
      </c>
      <c r="O1037" s="14">
        <f xml:space="preserve"> IF(ISBLANK(moras[[#This Row],[EDAD]]), EDA!$E$8, moras[[#This Row],[EDAD]])</f>
        <v>38</v>
      </c>
      <c r="P1037" s="14" t="str">
        <f>IF(
    OR(ISBLANK(moras[[#This Row],[TIPO_ASEGURAMIENTO]]), moras[[#This Row],[TIPO_ASEGURAMIENTO]]=""),
    EDA!$A$32,
    moras[[#This Row],[TIPO_ASEGURAMIENTO]]
)</f>
        <v>ASALARIADO</v>
      </c>
    </row>
    <row r="1038" spans="1:16" x14ac:dyDescent="0.3">
      <c r="A1038">
        <v>1037</v>
      </c>
      <c r="B1038" t="s">
        <v>15</v>
      </c>
      <c r="C1038">
        <v>1510021</v>
      </c>
      <c r="D1038" t="s">
        <v>10</v>
      </c>
      <c r="E1038" t="s">
        <v>11</v>
      </c>
      <c r="F1038" t="s">
        <v>12</v>
      </c>
      <c r="G1038" t="s">
        <v>13</v>
      </c>
      <c r="H1038" t="s">
        <v>12</v>
      </c>
      <c r="I1038">
        <v>46</v>
      </c>
      <c r="J1038">
        <f>ABS((I1038-EDA!$A$15)/EDA!$B$15)</f>
        <v>0.2837416331672673</v>
      </c>
      <c r="K1038" t="str">
        <f t="shared" si="16"/>
        <v>No</v>
      </c>
      <c r="L1038">
        <f>ABS((C1038-EDA!$F$15)/EDA!$G$15)</f>
        <v>0.3505261568255762</v>
      </c>
      <c r="M1038" t="str">
        <f>IF(moras[[#This Row],[Z-Score Salario]]&gt;1.96, "Sí", "No")</f>
        <v>No</v>
      </c>
      <c r="N1038" s="14">
        <f>IF(ISBLANK(moras[[#This Row],[SALARIO]]), EDA!$M$8, moras[[#This Row],[SALARIO]])</f>
        <v>1510021</v>
      </c>
      <c r="O1038" s="14">
        <f xml:space="preserve"> IF(ISBLANK(moras[[#This Row],[EDAD]]), EDA!$E$8, moras[[#This Row],[EDAD]])</f>
        <v>46</v>
      </c>
      <c r="P1038" s="14" t="str">
        <f>IF(
    OR(ISBLANK(moras[[#This Row],[TIPO_ASEGURAMIENTO]]), moras[[#This Row],[TIPO_ASEGURAMIENTO]]=""),
    EDA!$A$32,
    moras[[#This Row],[TIPO_ASEGURAMIENTO]]
)</f>
        <v>ASALARIADO</v>
      </c>
    </row>
    <row r="1039" spans="1:16" x14ac:dyDescent="0.3">
      <c r="A1039">
        <v>1038</v>
      </c>
      <c r="B1039" t="s">
        <v>9</v>
      </c>
      <c r="C1039">
        <v>297058</v>
      </c>
      <c r="D1039" t="s">
        <v>17</v>
      </c>
      <c r="E1039" t="s">
        <v>16</v>
      </c>
      <c r="F1039" t="s">
        <v>13</v>
      </c>
      <c r="G1039" t="s">
        <v>13</v>
      </c>
      <c r="H1039" t="s">
        <v>12</v>
      </c>
      <c r="I1039">
        <v>43</v>
      </c>
      <c r="J1039">
        <f>ABS((I1039-EDA!$A$15)/EDA!$B$15)</f>
        <v>7.2015642935854773E-2</v>
      </c>
      <c r="K1039" t="str">
        <f t="shared" si="16"/>
        <v>No</v>
      </c>
      <c r="L1039">
        <f>ABS((C1039-EDA!$F$15)/EDA!$G$15)</f>
        <v>0.37071071739095263</v>
      </c>
      <c r="M1039" t="str">
        <f>IF(moras[[#This Row],[Z-Score Salario]]&gt;1.96, "Sí", "No")</f>
        <v>No</v>
      </c>
      <c r="N1039" s="14">
        <f>IF(ISBLANK(moras[[#This Row],[SALARIO]]), EDA!$M$8, moras[[#This Row],[SALARIO]])</f>
        <v>297058</v>
      </c>
      <c r="O1039" s="14">
        <f xml:space="preserve"> IF(ISBLANK(moras[[#This Row],[EDAD]]), EDA!$E$8, moras[[#This Row],[EDAD]])</f>
        <v>43</v>
      </c>
      <c r="P1039" s="14" t="str">
        <f>IF(
    OR(ISBLANK(moras[[#This Row],[TIPO_ASEGURAMIENTO]]), moras[[#This Row],[TIPO_ASEGURAMIENTO]]=""),
    EDA!$A$32,
    moras[[#This Row],[TIPO_ASEGURAMIENTO]]
)</f>
        <v>ASEGURADO VOLUNTARIO</v>
      </c>
    </row>
    <row r="1040" spans="1:16" x14ac:dyDescent="0.3">
      <c r="A1040">
        <v>1039</v>
      </c>
      <c r="B1040" t="s">
        <v>15</v>
      </c>
      <c r="C1040">
        <v>465916</v>
      </c>
      <c r="D1040" t="s">
        <v>10</v>
      </c>
      <c r="E1040" t="s">
        <v>11</v>
      </c>
      <c r="F1040" t="s">
        <v>12</v>
      </c>
      <c r="G1040" t="s">
        <v>13</v>
      </c>
      <c r="H1040" t="s">
        <v>13</v>
      </c>
      <c r="I1040">
        <v>36</v>
      </c>
      <c r="J1040">
        <f>ABS((I1040-EDA!$A$15)/EDA!$B$15)</f>
        <v>0.42201166760410774</v>
      </c>
      <c r="K1040" t="str">
        <f t="shared" si="16"/>
        <v>No</v>
      </c>
      <c r="L1040">
        <f>ABS((C1040-EDA!$F$15)/EDA!$G$15)</f>
        <v>0.36790080107203083</v>
      </c>
      <c r="M1040" t="str">
        <f>IF(moras[[#This Row],[Z-Score Salario]]&gt;1.96, "Sí", "No")</f>
        <v>No</v>
      </c>
      <c r="N1040" s="14">
        <f>IF(ISBLANK(moras[[#This Row],[SALARIO]]), EDA!$M$8, moras[[#This Row],[SALARIO]])</f>
        <v>465916</v>
      </c>
      <c r="O1040" s="14">
        <f xml:space="preserve"> IF(ISBLANK(moras[[#This Row],[EDAD]]), EDA!$E$8, moras[[#This Row],[EDAD]])</f>
        <v>36</v>
      </c>
      <c r="P1040" s="14" t="str">
        <f>IF(
    OR(ISBLANK(moras[[#This Row],[TIPO_ASEGURAMIENTO]]), moras[[#This Row],[TIPO_ASEGURAMIENTO]]=""),
    EDA!$A$32,
    moras[[#This Row],[TIPO_ASEGURAMIENTO]]
)</f>
        <v>ASALARIADO</v>
      </c>
    </row>
    <row r="1041" spans="1:16" x14ac:dyDescent="0.3">
      <c r="A1041">
        <v>1040</v>
      </c>
      <c r="B1041" t="s">
        <v>15</v>
      </c>
      <c r="C1041">
        <v>6327044</v>
      </c>
      <c r="D1041" t="s">
        <v>10</v>
      </c>
      <c r="E1041" t="s">
        <v>11</v>
      </c>
      <c r="F1041" t="s">
        <v>12</v>
      </c>
      <c r="G1041" t="s">
        <v>13</v>
      </c>
      <c r="H1041" t="s">
        <v>13</v>
      </c>
      <c r="I1041">
        <v>35</v>
      </c>
      <c r="J1041">
        <f>ABS((I1041-EDA!$A$15)/EDA!$B$15)</f>
        <v>0.49258699768124525</v>
      </c>
      <c r="K1041" t="str">
        <f t="shared" si="16"/>
        <v>No</v>
      </c>
      <c r="L1041">
        <f>ABS((C1041-EDA!$F$15)/EDA!$G$15)</f>
        <v>0.27036749371028646</v>
      </c>
      <c r="M1041" t="str">
        <f>IF(moras[[#This Row],[Z-Score Salario]]&gt;1.96, "Sí", "No")</f>
        <v>No</v>
      </c>
      <c r="N1041" s="14">
        <f>IF(ISBLANK(moras[[#This Row],[SALARIO]]), EDA!$M$8, moras[[#This Row],[SALARIO]])</f>
        <v>6327044</v>
      </c>
      <c r="O1041" s="14">
        <f xml:space="preserve"> IF(ISBLANK(moras[[#This Row],[EDAD]]), EDA!$E$8, moras[[#This Row],[EDAD]])</f>
        <v>35</v>
      </c>
      <c r="P1041" s="14" t="str">
        <f>IF(
    OR(ISBLANK(moras[[#This Row],[TIPO_ASEGURAMIENTO]]), moras[[#This Row],[TIPO_ASEGURAMIENTO]]=""),
    EDA!$A$32,
    moras[[#This Row],[TIPO_ASEGURAMIENTO]]
)</f>
        <v>ASALARIADO</v>
      </c>
    </row>
    <row r="1042" spans="1:16" x14ac:dyDescent="0.3">
      <c r="A1042">
        <v>1041</v>
      </c>
      <c r="B1042" t="s">
        <v>15</v>
      </c>
      <c r="C1042">
        <v>952206</v>
      </c>
      <c r="D1042" t="s">
        <v>10</v>
      </c>
      <c r="E1042" t="s">
        <v>11</v>
      </c>
      <c r="F1042" t="s">
        <v>12</v>
      </c>
      <c r="G1042" t="s">
        <v>13</v>
      </c>
      <c r="H1042" t="s">
        <v>12</v>
      </c>
      <c r="I1042">
        <v>57</v>
      </c>
      <c r="J1042">
        <f>ABS((I1042-EDA!$A$15)/EDA!$B$15)</f>
        <v>1.0600702640157798</v>
      </c>
      <c r="K1042" t="str">
        <f t="shared" si="16"/>
        <v>No</v>
      </c>
      <c r="L1042">
        <f>ABS((C1042-EDA!$F$15)/EDA!$G$15)</f>
        <v>0.35980859219398847</v>
      </c>
      <c r="M1042" t="str">
        <f>IF(moras[[#This Row],[Z-Score Salario]]&gt;1.96, "Sí", "No")</f>
        <v>No</v>
      </c>
      <c r="N1042" s="14">
        <f>IF(ISBLANK(moras[[#This Row],[SALARIO]]), EDA!$M$8, moras[[#This Row],[SALARIO]])</f>
        <v>952206</v>
      </c>
      <c r="O1042" s="14">
        <f xml:space="preserve"> IF(ISBLANK(moras[[#This Row],[EDAD]]), EDA!$E$8, moras[[#This Row],[EDAD]])</f>
        <v>57</v>
      </c>
      <c r="P1042" s="14" t="str">
        <f>IF(
    OR(ISBLANK(moras[[#This Row],[TIPO_ASEGURAMIENTO]]), moras[[#This Row],[TIPO_ASEGURAMIENTO]]=""),
    EDA!$A$32,
    moras[[#This Row],[TIPO_ASEGURAMIENTO]]
)</f>
        <v>ASALARIADO</v>
      </c>
    </row>
    <row r="1043" spans="1:16" x14ac:dyDescent="0.3">
      <c r="A1043">
        <v>1042</v>
      </c>
      <c r="B1043" t="s">
        <v>9</v>
      </c>
      <c r="C1043">
        <v>190299484</v>
      </c>
      <c r="D1043" t="s">
        <v>10</v>
      </c>
      <c r="E1043" t="s">
        <v>11</v>
      </c>
      <c r="F1043" t="s">
        <v>12</v>
      </c>
      <c r="G1043" t="s">
        <v>13</v>
      </c>
      <c r="H1043" t="s">
        <v>13</v>
      </c>
      <c r="I1043">
        <v>40</v>
      </c>
      <c r="J1043">
        <f>ABS((I1043-EDA!$A$15)/EDA!$B$15)</f>
        <v>0.13971034729555773</v>
      </c>
      <c r="K1043" t="str">
        <f t="shared" si="16"/>
        <v>No</v>
      </c>
      <c r="L1043">
        <f>ABS((C1043-EDA!$F$15)/EDA!$G$15)</f>
        <v>2.7910637762790538</v>
      </c>
      <c r="M1043" t="str">
        <f>IF(moras[[#This Row],[Z-Score Salario]]&gt;1.96, "Sí", "No")</f>
        <v>Sí</v>
      </c>
      <c r="N1043" s="14">
        <f>IF(ISBLANK(moras[[#This Row],[SALARIO]]), EDA!$M$8, moras[[#This Row],[SALARIO]])</f>
        <v>190299484</v>
      </c>
      <c r="O1043" s="14">
        <f xml:space="preserve"> IF(ISBLANK(moras[[#This Row],[EDAD]]), EDA!$E$8, moras[[#This Row],[EDAD]])</f>
        <v>40</v>
      </c>
      <c r="P1043" s="14" t="str">
        <f>IF(
    OR(ISBLANK(moras[[#This Row],[TIPO_ASEGURAMIENTO]]), moras[[#This Row],[TIPO_ASEGURAMIENTO]]=""),
    EDA!$A$32,
    moras[[#This Row],[TIPO_ASEGURAMIENTO]]
)</f>
        <v>ASALARIADO</v>
      </c>
    </row>
    <row r="1044" spans="1:16" x14ac:dyDescent="0.3">
      <c r="A1044">
        <v>1043</v>
      </c>
      <c r="B1044" t="s">
        <v>15</v>
      </c>
      <c r="C1044">
        <v>121520699</v>
      </c>
      <c r="D1044" t="s">
        <v>10</v>
      </c>
      <c r="E1044" t="s">
        <v>16</v>
      </c>
      <c r="F1044" t="s">
        <v>12</v>
      </c>
      <c r="G1044" t="s">
        <v>13</v>
      </c>
      <c r="H1044" t="s">
        <v>13</v>
      </c>
      <c r="I1044">
        <v>36</v>
      </c>
      <c r="J1044">
        <f>ABS((I1044-EDA!$A$15)/EDA!$B$15)</f>
        <v>0.42201166760410774</v>
      </c>
      <c r="K1044" t="str">
        <f t="shared" si="16"/>
        <v>No</v>
      </c>
      <c r="L1044">
        <f>ABS((C1044-EDA!$F$15)/EDA!$G$15)</f>
        <v>1.6465362420958154</v>
      </c>
      <c r="M1044" t="str">
        <f>IF(moras[[#This Row],[Z-Score Salario]]&gt;1.96, "Sí", "No")</f>
        <v>No</v>
      </c>
      <c r="N1044" s="14">
        <f>IF(ISBLANK(moras[[#This Row],[SALARIO]]), EDA!$M$8, moras[[#This Row],[SALARIO]])</f>
        <v>121520699</v>
      </c>
      <c r="O1044" s="14">
        <f xml:space="preserve"> IF(ISBLANK(moras[[#This Row],[EDAD]]), EDA!$E$8, moras[[#This Row],[EDAD]])</f>
        <v>36</v>
      </c>
      <c r="P1044" s="14" t="str">
        <f>IF(
    OR(ISBLANK(moras[[#This Row],[TIPO_ASEGURAMIENTO]]), moras[[#This Row],[TIPO_ASEGURAMIENTO]]=""),
    EDA!$A$32,
    moras[[#This Row],[TIPO_ASEGURAMIENTO]]
)</f>
        <v>ASALARIADO</v>
      </c>
    </row>
    <row r="1045" spans="1:16" x14ac:dyDescent="0.3">
      <c r="A1045">
        <v>1044</v>
      </c>
      <c r="B1045" t="s">
        <v>15</v>
      </c>
      <c r="C1045">
        <v>51858468</v>
      </c>
      <c r="D1045" t="s">
        <v>10</v>
      </c>
      <c r="E1045" t="s">
        <v>16</v>
      </c>
      <c r="F1045" t="s">
        <v>12</v>
      </c>
      <c r="G1045" t="s">
        <v>13</v>
      </c>
      <c r="H1045" t="s">
        <v>13</v>
      </c>
      <c r="I1045">
        <v>19</v>
      </c>
      <c r="J1045">
        <f>ABS((I1045-EDA!$A$15)/EDA!$B$15)</f>
        <v>1.6217922789154453</v>
      </c>
      <c r="K1045" t="str">
        <f t="shared" si="16"/>
        <v>No</v>
      </c>
      <c r="L1045">
        <f>ABS((C1045-EDA!$F$15)/EDA!$G$15)</f>
        <v>0.48730754283727001</v>
      </c>
      <c r="M1045" t="str">
        <f>IF(moras[[#This Row],[Z-Score Salario]]&gt;1.96, "Sí", "No")</f>
        <v>No</v>
      </c>
      <c r="N1045" s="14">
        <f>IF(ISBLANK(moras[[#This Row],[SALARIO]]), EDA!$M$8, moras[[#This Row],[SALARIO]])</f>
        <v>51858468</v>
      </c>
      <c r="O1045" s="14">
        <f xml:space="preserve"> IF(ISBLANK(moras[[#This Row],[EDAD]]), EDA!$E$8, moras[[#This Row],[EDAD]])</f>
        <v>19</v>
      </c>
      <c r="P1045" s="14" t="str">
        <f>IF(
    OR(ISBLANK(moras[[#This Row],[TIPO_ASEGURAMIENTO]]), moras[[#This Row],[TIPO_ASEGURAMIENTO]]=""),
    EDA!$A$32,
    moras[[#This Row],[TIPO_ASEGURAMIENTO]]
)</f>
        <v>ASALARIADO</v>
      </c>
    </row>
    <row r="1046" spans="1:16" x14ac:dyDescent="0.3">
      <c r="A1046">
        <v>1045</v>
      </c>
      <c r="B1046" t="s">
        <v>15</v>
      </c>
      <c r="C1046">
        <v>42676725</v>
      </c>
      <c r="D1046" t="s">
        <v>10</v>
      </c>
      <c r="E1046" t="s">
        <v>16</v>
      </c>
      <c r="F1046" t="s">
        <v>12</v>
      </c>
      <c r="G1046" t="s">
        <v>13</v>
      </c>
      <c r="H1046" t="s">
        <v>13</v>
      </c>
      <c r="I1046">
        <v>27</v>
      </c>
      <c r="J1046">
        <f>ABS((I1046-EDA!$A$15)/EDA!$B$15)</f>
        <v>1.0571896382983452</v>
      </c>
      <c r="K1046" t="str">
        <f t="shared" si="16"/>
        <v>No</v>
      </c>
      <c r="L1046">
        <f>ABS((C1046-EDA!$F$15)/EDA!$G$15)</f>
        <v>0.33451685781289497</v>
      </c>
      <c r="M1046" t="str">
        <f>IF(moras[[#This Row],[Z-Score Salario]]&gt;1.96, "Sí", "No")</f>
        <v>No</v>
      </c>
      <c r="N1046" s="14">
        <f>IF(ISBLANK(moras[[#This Row],[SALARIO]]), EDA!$M$8, moras[[#This Row],[SALARIO]])</f>
        <v>42676725</v>
      </c>
      <c r="O1046" s="14">
        <f xml:space="preserve"> IF(ISBLANK(moras[[#This Row],[EDAD]]), EDA!$E$8, moras[[#This Row],[EDAD]])</f>
        <v>27</v>
      </c>
      <c r="P1046" s="14" t="str">
        <f>IF(
    OR(ISBLANK(moras[[#This Row],[TIPO_ASEGURAMIENTO]]), moras[[#This Row],[TIPO_ASEGURAMIENTO]]=""),
    EDA!$A$32,
    moras[[#This Row],[TIPO_ASEGURAMIENTO]]
)</f>
        <v>ASALARIADO</v>
      </c>
    </row>
    <row r="1047" spans="1:16" x14ac:dyDescent="0.3">
      <c r="A1047">
        <v>1046</v>
      </c>
      <c r="B1047" t="s">
        <v>9</v>
      </c>
      <c r="C1047">
        <v>32577937</v>
      </c>
      <c r="D1047" t="s">
        <v>10</v>
      </c>
      <c r="E1047" t="s">
        <v>16</v>
      </c>
      <c r="F1047" t="s">
        <v>12</v>
      </c>
      <c r="G1047" t="s">
        <v>13</v>
      </c>
      <c r="H1047" t="s">
        <v>13</v>
      </c>
      <c r="I1047">
        <v>20</v>
      </c>
      <c r="J1047">
        <f>ABS((I1047-EDA!$A$15)/EDA!$B$15)</f>
        <v>1.5512169488383079</v>
      </c>
      <c r="K1047" t="str">
        <f t="shared" si="16"/>
        <v>No</v>
      </c>
      <c r="L1047">
        <f>ABS((C1047-EDA!$F$15)/EDA!$G$15)</f>
        <v>0.16646589663526906</v>
      </c>
      <c r="M1047" t="str">
        <f>IF(moras[[#This Row],[Z-Score Salario]]&gt;1.96, "Sí", "No")</f>
        <v>No</v>
      </c>
      <c r="N1047" s="14">
        <f>IF(ISBLANK(moras[[#This Row],[SALARIO]]), EDA!$M$8, moras[[#This Row],[SALARIO]])</f>
        <v>32577937</v>
      </c>
      <c r="O1047" s="14">
        <f xml:space="preserve"> IF(ISBLANK(moras[[#This Row],[EDAD]]), EDA!$E$8, moras[[#This Row],[EDAD]])</f>
        <v>20</v>
      </c>
      <c r="P1047" s="14" t="str">
        <f>IF(
    OR(ISBLANK(moras[[#This Row],[TIPO_ASEGURAMIENTO]]), moras[[#This Row],[TIPO_ASEGURAMIENTO]]=""),
    EDA!$A$32,
    moras[[#This Row],[TIPO_ASEGURAMIENTO]]
)</f>
        <v>ASALARIADO</v>
      </c>
    </row>
    <row r="1048" spans="1:16" x14ac:dyDescent="0.3">
      <c r="A1048">
        <v>1047</v>
      </c>
      <c r="B1048" t="s">
        <v>9</v>
      </c>
      <c r="C1048">
        <v>355776</v>
      </c>
      <c r="D1048" t="s">
        <v>10</v>
      </c>
      <c r="E1048" t="s">
        <v>16</v>
      </c>
      <c r="F1048" t="s">
        <v>12</v>
      </c>
      <c r="G1048" t="s">
        <v>13</v>
      </c>
      <c r="H1048" t="s">
        <v>13</v>
      </c>
      <c r="I1048">
        <v>22</v>
      </c>
      <c r="J1048">
        <f>ABS((I1048-EDA!$A$15)/EDA!$B$15)</f>
        <v>1.4100662886840327</v>
      </c>
      <c r="K1048" t="str">
        <f t="shared" si="16"/>
        <v>No</v>
      </c>
      <c r="L1048">
        <f>ABS((C1048-EDA!$F$15)/EDA!$G$15)</f>
        <v>0.36973360842120023</v>
      </c>
      <c r="M1048" t="str">
        <f>IF(moras[[#This Row],[Z-Score Salario]]&gt;1.96, "Sí", "No")</f>
        <v>No</v>
      </c>
      <c r="N1048" s="14">
        <f>IF(ISBLANK(moras[[#This Row],[SALARIO]]), EDA!$M$8, moras[[#This Row],[SALARIO]])</f>
        <v>355776</v>
      </c>
      <c r="O1048" s="14">
        <f xml:space="preserve"> IF(ISBLANK(moras[[#This Row],[EDAD]]), EDA!$E$8, moras[[#This Row],[EDAD]])</f>
        <v>22</v>
      </c>
      <c r="P1048" s="14" t="str">
        <f>IF(
    OR(ISBLANK(moras[[#This Row],[TIPO_ASEGURAMIENTO]]), moras[[#This Row],[TIPO_ASEGURAMIENTO]]=""),
    EDA!$A$32,
    moras[[#This Row],[TIPO_ASEGURAMIENTO]]
)</f>
        <v>ASALARIADO</v>
      </c>
    </row>
    <row r="1049" spans="1:16" x14ac:dyDescent="0.3">
      <c r="A1049">
        <v>1048</v>
      </c>
      <c r="B1049" t="s">
        <v>9</v>
      </c>
      <c r="C1049">
        <v>150000</v>
      </c>
      <c r="D1049" t="s">
        <v>10</v>
      </c>
      <c r="E1049" t="s">
        <v>16</v>
      </c>
      <c r="F1049" t="s">
        <v>12</v>
      </c>
      <c r="G1049" t="s">
        <v>12</v>
      </c>
      <c r="H1049" t="s">
        <v>13</v>
      </c>
      <c r="I1049">
        <v>31</v>
      </c>
      <c r="J1049">
        <f>ABS((I1049-EDA!$A$15)/EDA!$B$15)</f>
        <v>0.77488831798979529</v>
      </c>
      <c r="K1049" t="str">
        <f t="shared" si="16"/>
        <v>No</v>
      </c>
      <c r="L1049">
        <f>ABS((C1049-EDA!$F$15)/EDA!$G$15)</f>
        <v>0.37315786632098852</v>
      </c>
      <c r="M1049" t="str">
        <f>IF(moras[[#This Row],[Z-Score Salario]]&gt;1.96, "Sí", "No")</f>
        <v>No</v>
      </c>
      <c r="N1049" s="14">
        <f>IF(ISBLANK(moras[[#This Row],[SALARIO]]), EDA!$M$8, moras[[#This Row],[SALARIO]])</f>
        <v>150000</v>
      </c>
      <c r="O1049" s="14">
        <f xml:space="preserve"> IF(ISBLANK(moras[[#This Row],[EDAD]]), EDA!$E$8, moras[[#This Row],[EDAD]])</f>
        <v>31</v>
      </c>
      <c r="P1049" s="14" t="str">
        <f>IF(
    OR(ISBLANK(moras[[#This Row],[TIPO_ASEGURAMIENTO]]), moras[[#This Row],[TIPO_ASEGURAMIENTO]]=""),
    EDA!$A$32,
    moras[[#This Row],[TIPO_ASEGURAMIENTO]]
)</f>
        <v>ASALARIADO</v>
      </c>
    </row>
    <row r="1050" spans="1:16" x14ac:dyDescent="0.3">
      <c r="A1050">
        <v>1049</v>
      </c>
      <c r="B1050" t="s">
        <v>9</v>
      </c>
      <c r="C1050">
        <v>297429</v>
      </c>
      <c r="D1050" t="s">
        <v>18</v>
      </c>
      <c r="E1050" t="s">
        <v>16</v>
      </c>
      <c r="F1050" t="s">
        <v>12</v>
      </c>
      <c r="G1050" t="s">
        <v>13</v>
      </c>
      <c r="H1050" t="s">
        <v>12</v>
      </c>
      <c r="I1050">
        <v>28</v>
      </c>
      <c r="J1050">
        <f>ABS((I1050-EDA!$A$15)/EDA!$B$15)</f>
        <v>0.98661430822120777</v>
      </c>
      <c r="K1050" t="str">
        <f t="shared" si="16"/>
        <v>No</v>
      </c>
      <c r="L1050">
        <f>ABS((C1050-EDA!$F$15)/EDA!$G$15)</f>
        <v>0.3707045436890592</v>
      </c>
      <c r="M1050" t="str">
        <f>IF(moras[[#This Row],[Z-Score Salario]]&gt;1.96, "Sí", "No")</f>
        <v>No</v>
      </c>
      <c r="N1050" s="14">
        <f>IF(ISBLANK(moras[[#This Row],[SALARIO]]), EDA!$M$8, moras[[#This Row],[SALARIO]])</f>
        <v>297429</v>
      </c>
      <c r="O1050" s="14">
        <f xml:space="preserve"> IF(ISBLANK(moras[[#This Row],[EDAD]]), EDA!$E$8, moras[[#This Row],[EDAD]])</f>
        <v>28</v>
      </c>
      <c r="P1050" s="14" t="str">
        <f>IF(
    OR(ISBLANK(moras[[#This Row],[TIPO_ASEGURAMIENTO]]), moras[[#This Row],[TIPO_ASEGURAMIENTO]]=""),
    EDA!$A$32,
    moras[[#This Row],[TIPO_ASEGURAMIENTO]]
)</f>
        <v>TRABAJADOR INDEPENDIENTE</v>
      </c>
    </row>
    <row r="1051" spans="1:16" x14ac:dyDescent="0.3">
      <c r="A1051">
        <v>1050</v>
      </c>
      <c r="B1051" t="s">
        <v>9</v>
      </c>
      <c r="C1051">
        <v>327400</v>
      </c>
      <c r="D1051" t="s">
        <v>10</v>
      </c>
      <c r="E1051" t="s">
        <v>16</v>
      </c>
      <c r="F1051" t="s">
        <v>12</v>
      </c>
      <c r="G1051" t="s">
        <v>13</v>
      </c>
      <c r="H1051" t="s">
        <v>13</v>
      </c>
      <c r="I1051">
        <v>27</v>
      </c>
      <c r="J1051">
        <f>ABS((I1051-EDA!$A$15)/EDA!$B$15)</f>
        <v>1.0571896382983452</v>
      </c>
      <c r="K1051" t="str">
        <f t="shared" si="16"/>
        <v>No</v>
      </c>
      <c r="L1051">
        <f>ABS((C1051-EDA!$F$15)/EDA!$G$15)</f>
        <v>0.37020580509216477</v>
      </c>
      <c r="M1051" t="str">
        <f>IF(moras[[#This Row],[Z-Score Salario]]&gt;1.96, "Sí", "No")</f>
        <v>No</v>
      </c>
      <c r="N1051" s="14">
        <f>IF(ISBLANK(moras[[#This Row],[SALARIO]]), EDA!$M$8, moras[[#This Row],[SALARIO]])</f>
        <v>327400</v>
      </c>
      <c r="O1051" s="14">
        <f xml:space="preserve"> IF(ISBLANK(moras[[#This Row],[EDAD]]), EDA!$E$8, moras[[#This Row],[EDAD]])</f>
        <v>27</v>
      </c>
      <c r="P1051" s="14" t="str">
        <f>IF(
    OR(ISBLANK(moras[[#This Row],[TIPO_ASEGURAMIENTO]]), moras[[#This Row],[TIPO_ASEGURAMIENTO]]=""),
    EDA!$A$32,
    moras[[#This Row],[TIPO_ASEGURAMIENTO]]
)</f>
        <v>ASALARIADO</v>
      </c>
    </row>
    <row r="1052" spans="1:16" x14ac:dyDescent="0.3">
      <c r="A1052">
        <v>1051</v>
      </c>
      <c r="B1052" t="s">
        <v>9</v>
      </c>
      <c r="C1052">
        <v>474222964</v>
      </c>
      <c r="D1052" t="s">
        <v>10</v>
      </c>
      <c r="E1052" t="s">
        <v>16</v>
      </c>
      <c r="F1052" t="s">
        <v>12</v>
      </c>
      <c r="G1052" t="s">
        <v>13</v>
      </c>
      <c r="H1052" t="s">
        <v>13</v>
      </c>
      <c r="I1052">
        <v>49</v>
      </c>
      <c r="J1052">
        <f>ABS((I1052-EDA!$A$15)/EDA!$B$15)</f>
        <v>0.49546762339867978</v>
      </c>
      <c r="K1052" t="str">
        <f t="shared" si="16"/>
        <v>No</v>
      </c>
      <c r="L1052">
        <f>ABS((C1052-EDA!$F$15)/EDA!$G$15)</f>
        <v>7.515750908526651</v>
      </c>
      <c r="M1052" t="str">
        <f>IF(moras[[#This Row],[Z-Score Salario]]&gt;1.96, "Sí", "No")</f>
        <v>Sí</v>
      </c>
      <c r="N1052" s="14">
        <f>IF(ISBLANK(moras[[#This Row],[SALARIO]]), EDA!$M$8, moras[[#This Row],[SALARIO]])</f>
        <v>474222964</v>
      </c>
      <c r="O1052" s="14">
        <f xml:space="preserve"> IF(ISBLANK(moras[[#This Row],[EDAD]]), EDA!$E$8, moras[[#This Row],[EDAD]])</f>
        <v>49</v>
      </c>
      <c r="P1052" s="14" t="str">
        <f>IF(
    OR(ISBLANK(moras[[#This Row],[TIPO_ASEGURAMIENTO]]), moras[[#This Row],[TIPO_ASEGURAMIENTO]]=""),
    EDA!$A$32,
    moras[[#This Row],[TIPO_ASEGURAMIENTO]]
)</f>
        <v>ASALARIADO</v>
      </c>
    </row>
    <row r="1053" spans="1:16" x14ac:dyDescent="0.3">
      <c r="A1053">
        <v>1052</v>
      </c>
      <c r="B1053" t="s">
        <v>15</v>
      </c>
      <c r="C1053">
        <v>396057</v>
      </c>
      <c r="D1053" t="s">
        <v>18</v>
      </c>
      <c r="E1053" t="s">
        <v>16</v>
      </c>
      <c r="F1053" t="s">
        <v>12</v>
      </c>
      <c r="G1053" t="s">
        <v>13</v>
      </c>
      <c r="H1053" t="s">
        <v>13</v>
      </c>
      <c r="I1053">
        <v>19</v>
      </c>
      <c r="J1053">
        <f>ABS((I1053-EDA!$A$15)/EDA!$B$15)</f>
        <v>1.6217922789154453</v>
      </c>
      <c r="K1053" t="str">
        <f t="shared" si="16"/>
        <v>No</v>
      </c>
      <c r="L1053">
        <f>ABS((C1053-EDA!$F$15)/EDA!$G$15)</f>
        <v>0.36906330414635102</v>
      </c>
      <c r="M1053" t="str">
        <f>IF(moras[[#This Row],[Z-Score Salario]]&gt;1.96, "Sí", "No")</f>
        <v>No</v>
      </c>
      <c r="N1053" s="14">
        <f>IF(ISBLANK(moras[[#This Row],[SALARIO]]), EDA!$M$8, moras[[#This Row],[SALARIO]])</f>
        <v>396057</v>
      </c>
      <c r="O1053" s="14">
        <f xml:space="preserve"> IF(ISBLANK(moras[[#This Row],[EDAD]]), EDA!$E$8, moras[[#This Row],[EDAD]])</f>
        <v>19</v>
      </c>
      <c r="P1053" s="14" t="str">
        <f>IF(
    OR(ISBLANK(moras[[#This Row],[TIPO_ASEGURAMIENTO]]), moras[[#This Row],[TIPO_ASEGURAMIENTO]]=""),
    EDA!$A$32,
    moras[[#This Row],[TIPO_ASEGURAMIENTO]]
)</f>
        <v>TRABAJADOR INDEPENDIENTE</v>
      </c>
    </row>
    <row r="1054" spans="1:16" x14ac:dyDescent="0.3">
      <c r="A1054">
        <v>1053</v>
      </c>
      <c r="B1054" t="s">
        <v>9</v>
      </c>
      <c r="C1054">
        <v>14921265</v>
      </c>
      <c r="D1054" t="s">
        <v>10</v>
      </c>
      <c r="E1054" t="s">
        <v>11</v>
      </c>
      <c r="F1054" t="s">
        <v>12</v>
      </c>
      <c r="G1054" t="s">
        <v>13</v>
      </c>
      <c r="H1054" t="s">
        <v>13</v>
      </c>
      <c r="I1054">
        <v>41</v>
      </c>
      <c r="J1054">
        <f>ABS((I1054-EDA!$A$15)/EDA!$B$15)</f>
        <v>6.9135017218420233E-2</v>
      </c>
      <c r="K1054" t="str">
        <f t="shared" si="16"/>
        <v>No</v>
      </c>
      <c r="L1054">
        <f>ABS((C1054-EDA!$F$15)/EDA!$G$15)</f>
        <v>0.12735358950485728</v>
      </c>
      <c r="M1054" t="str">
        <f>IF(moras[[#This Row],[Z-Score Salario]]&gt;1.96, "Sí", "No")</f>
        <v>No</v>
      </c>
      <c r="N1054" s="14">
        <f>IF(ISBLANK(moras[[#This Row],[SALARIO]]), EDA!$M$8, moras[[#This Row],[SALARIO]])</f>
        <v>14921265</v>
      </c>
      <c r="O1054" s="14">
        <f xml:space="preserve"> IF(ISBLANK(moras[[#This Row],[EDAD]]), EDA!$E$8, moras[[#This Row],[EDAD]])</f>
        <v>41</v>
      </c>
      <c r="P1054" s="14" t="str">
        <f>IF(
    OR(ISBLANK(moras[[#This Row],[TIPO_ASEGURAMIENTO]]), moras[[#This Row],[TIPO_ASEGURAMIENTO]]=""),
    EDA!$A$32,
    moras[[#This Row],[TIPO_ASEGURAMIENTO]]
)</f>
        <v>ASALARIADO</v>
      </c>
    </row>
    <row r="1055" spans="1:16" x14ac:dyDescent="0.3">
      <c r="A1055">
        <v>1054</v>
      </c>
      <c r="B1055" t="s">
        <v>9</v>
      </c>
      <c r="C1055">
        <v>1301239</v>
      </c>
      <c r="D1055" t="s">
        <v>14</v>
      </c>
      <c r="E1055" t="s">
        <v>11</v>
      </c>
      <c r="F1055" t="s">
        <v>12</v>
      </c>
      <c r="G1055" t="s">
        <v>13</v>
      </c>
      <c r="H1055" t="s">
        <v>13</v>
      </c>
      <c r="I1055">
        <v>76</v>
      </c>
      <c r="J1055">
        <f>ABS((I1055-EDA!$A$15)/EDA!$B$15)</f>
        <v>2.4010015354813925</v>
      </c>
      <c r="K1055" t="str">
        <f t="shared" si="16"/>
        <v>Sí</v>
      </c>
      <c r="L1055">
        <f>ABS((C1055-EDA!$F$15)/EDA!$G$15)</f>
        <v>0.35400043668733655</v>
      </c>
      <c r="M1055" t="str">
        <f>IF(moras[[#This Row],[Z-Score Salario]]&gt;1.96, "Sí", "No")</f>
        <v>No</v>
      </c>
      <c r="N1055" s="14">
        <f>IF(ISBLANK(moras[[#This Row],[SALARIO]]), EDA!$M$8, moras[[#This Row],[SALARIO]])</f>
        <v>1301239</v>
      </c>
      <c r="O1055" s="14">
        <f xml:space="preserve"> IF(ISBLANK(moras[[#This Row],[EDAD]]), EDA!$E$8, moras[[#This Row],[EDAD]])</f>
        <v>76</v>
      </c>
      <c r="P1055" s="14" t="str">
        <f>IF(
    OR(ISBLANK(moras[[#This Row],[TIPO_ASEGURAMIENTO]]), moras[[#This Row],[TIPO_ASEGURAMIENTO]]=""),
    EDA!$A$32,
    moras[[#This Row],[TIPO_ASEGURAMIENTO]]
)</f>
        <v>PENSIONADOS EN SU PROPIO SISTEMA</v>
      </c>
    </row>
    <row r="1056" spans="1:16" x14ac:dyDescent="0.3">
      <c r="A1056">
        <v>1055</v>
      </c>
      <c r="B1056" t="s">
        <v>15</v>
      </c>
      <c r="C1056">
        <v>35954427</v>
      </c>
      <c r="D1056" t="s">
        <v>21</v>
      </c>
      <c r="E1056" t="s">
        <v>16</v>
      </c>
      <c r="F1056" t="s">
        <v>12</v>
      </c>
      <c r="G1056" t="s">
        <v>12</v>
      </c>
      <c r="H1056" t="s">
        <v>13</v>
      </c>
      <c r="I1056">
        <v>26</v>
      </c>
      <c r="J1056">
        <f>ABS((I1056-EDA!$A$15)/EDA!$B$15)</f>
        <v>1.1277649683754829</v>
      </c>
      <c r="K1056" t="str">
        <f t="shared" si="16"/>
        <v>No</v>
      </c>
      <c r="L1056">
        <f>ABS((C1056-EDA!$F$15)/EDA!$G$15)</f>
        <v>0.22265307374074372</v>
      </c>
      <c r="M1056" t="str">
        <f>IF(moras[[#This Row],[Z-Score Salario]]&gt;1.96, "Sí", "No")</f>
        <v>No</v>
      </c>
      <c r="N1056" s="14">
        <f>IF(ISBLANK(moras[[#This Row],[SALARIO]]), EDA!$M$8, moras[[#This Row],[SALARIO]])</f>
        <v>35954427</v>
      </c>
      <c r="O1056" s="14">
        <f xml:space="preserve"> IF(ISBLANK(moras[[#This Row],[EDAD]]), EDA!$E$8, moras[[#This Row],[EDAD]])</f>
        <v>26</v>
      </c>
      <c r="P1056" s="14" t="str">
        <f>IF(
    OR(ISBLANK(moras[[#This Row],[TIPO_ASEGURAMIENTO]]), moras[[#This Row],[TIPO_ASEGURAMIENTO]]=""),
    EDA!$A$32,
    moras[[#This Row],[TIPO_ASEGURAMIENTO]]
)</f>
        <v>CONVENIOS ESPECIALES DE ASEGURADOS VOLUNTARIOS</v>
      </c>
    </row>
    <row r="1057" spans="1:16" x14ac:dyDescent="0.3">
      <c r="A1057">
        <v>1056</v>
      </c>
      <c r="B1057" t="s">
        <v>15</v>
      </c>
      <c r="C1057">
        <v>297110</v>
      </c>
      <c r="D1057" t="s">
        <v>18</v>
      </c>
      <c r="E1057" t="s">
        <v>16</v>
      </c>
      <c r="F1057" t="s">
        <v>12</v>
      </c>
      <c r="G1057" t="s">
        <v>13</v>
      </c>
      <c r="H1057" t="s">
        <v>12</v>
      </c>
      <c r="I1057">
        <v>35</v>
      </c>
      <c r="J1057">
        <f>ABS((I1057-EDA!$A$15)/EDA!$B$15)</f>
        <v>0.49258699768124525</v>
      </c>
      <c r="K1057" t="str">
        <f t="shared" si="16"/>
        <v>No</v>
      </c>
      <c r="L1057">
        <f>ABS((C1057-EDA!$F$15)/EDA!$G$15)</f>
        <v>0.37070985207424523</v>
      </c>
      <c r="M1057" t="str">
        <f>IF(moras[[#This Row],[Z-Score Salario]]&gt;1.96, "Sí", "No")</f>
        <v>No</v>
      </c>
      <c r="N1057" s="14">
        <f>IF(ISBLANK(moras[[#This Row],[SALARIO]]), EDA!$M$8, moras[[#This Row],[SALARIO]])</f>
        <v>297110</v>
      </c>
      <c r="O1057" s="14">
        <f xml:space="preserve"> IF(ISBLANK(moras[[#This Row],[EDAD]]), EDA!$E$8, moras[[#This Row],[EDAD]])</f>
        <v>35</v>
      </c>
      <c r="P1057" s="14" t="str">
        <f>IF(
    OR(ISBLANK(moras[[#This Row],[TIPO_ASEGURAMIENTO]]), moras[[#This Row],[TIPO_ASEGURAMIENTO]]=""),
    EDA!$A$32,
    moras[[#This Row],[TIPO_ASEGURAMIENTO]]
)</f>
        <v>TRABAJADOR INDEPENDIENTE</v>
      </c>
    </row>
    <row r="1058" spans="1:16" x14ac:dyDescent="0.3">
      <c r="A1058">
        <v>1057</v>
      </c>
      <c r="B1058" t="s">
        <v>15</v>
      </c>
      <c r="C1058">
        <v>46750065</v>
      </c>
      <c r="D1058" t="s">
        <v>10</v>
      </c>
      <c r="E1058" t="s">
        <v>16</v>
      </c>
      <c r="F1058" t="s">
        <v>12</v>
      </c>
      <c r="G1058" t="s">
        <v>13</v>
      </c>
      <c r="H1058" t="s">
        <v>13</v>
      </c>
      <c r="I1058">
        <v>43</v>
      </c>
      <c r="J1058">
        <f>ABS((I1058-EDA!$A$15)/EDA!$B$15)</f>
        <v>7.2015642935854773E-2</v>
      </c>
      <c r="K1058" t="str">
        <f t="shared" si="16"/>
        <v>No</v>
      </c>
      <c r="L1058">
        <f>ABS((C1058-EDA!$F$15)/EDA!$G$15)</f>
        <v>0.40230011083328421</v>
      </c>
      <c r="M1058" t="str">
        <f>IF(moras[[#This Row],[Z-Score Salario]]&gt;1.96, "Sí", "No")</f>
        <v>No</v>
      </c>
      <c r="N1058" s="14">
        <f>IF(ISBLANK(moras[[#This Row],[SALARIO]]), EDA!$M$8, moras[[#This Row],[SALARIO]])</f>
        <v>46750065</v>
      </c>
      <c r="O1058" s="14">
        <f xml:space="preserve"> IF(ISBLANK(moras[[#This Row],[EDAD]]), EDA!$E$8, moras[[#This Row],[EDAD]])</f>
        <v>43</v>
      </c>
      <c r="P1058" s="14" t="str">
        <f>IF(
    OR(ISBLANK(moras[[#This Row],[TIPO_ASEGURAMIENTO]]), moras[[#This Row],[TIPO_ASEGURAMIENTO]]=""),
    EDA!$A$32,
    moras[[#This Row],[TIPO_ASEGURAMIENTO]]
)</f>
        <v>ASALARIADO</v>
      </c>
    </row>
    <row r="1059" spans="1:16" x14ac:dyDescent="0.3">
      <c r="A1059">
        <v>1058</v>
      </c>
      <c r="B1059" t="s">
        <v>15</v>
      </c>
      <c r="C1059">
        <v>297046</v>
      </c>
      <c r="D1059" t="s">
        <v>17</v>
      </c>
      <c r="E1059" t="s">
        <v>16</v>
      </c>
      <c r="F1059" t="s">
        <v>12</v>
      </c>
      <c r="G1059" t="s">
        <v>12</v>
      </c>
      <c r="H1059" t="s">
        <v>13</v>
      </c>
      <c r="I1059">
        <v>22</v>
      </c>
      <c r="J1059">
        <f>ABS((I1059-EDA!$A$15)/EDA!$B$15)</f>
        <v>1.4100662886840327</v>
      </c>
      <c r="K1059" t="str">
        <f t="shared" si="16"/>
        <v>No</v>
      </c>
      <c r="L1059">
        <f>ABS((C1059-EDA!$F$15)/EDA!$G$15)</f>
        <v>0.37071091707942361</v>
      </c>
      <c r="M1059" t="str">
        <f>IF(moras[[#This Row],[Z-Score Salario]]&gt;1.96, "Sí", "No")</f>
        <v>No</v>
      </c>
      <c r="N1059" s="14">
        <f>IF(ISBLANK(moras[[#This Row],[SALARIO]]), EDA!$M$8, moras[[#This Row],[SALARIO]])</f>
        <v>297046</v>
      </c>
      <c r="O1059" s="14">
        <f xml:space="preserve"> IF(ISBLANK(moras[[#This Row],[EDAD]]), EDA!$E$8, moras[[#This Row],[EDAD]])</f>
        <v>22</v>
      </c>
      <c r="P1059" s="14" t="str">
        <f>IF(
    OR(ISBLANK(moras[[#This Row],[TIPO_ASEGURAMIENTO]]), moras[[#This Row],[TIPO_ASEGURAMIENTO]]=""),
    EDA!$A$32,
    moras[[#This Row],[TIPO_ASEGURAMIENTO]]
)</f>
        <v>ASEGURADO VOLUNTARIO</v>
      </c>
    </row>
    <row r="1060" spans="1:16" x14ac:dyDescent="0.3">
      <c r="A1060">
        <v>1059</v>
      </c>
      <c r="B1060" t="s">
        <v>9</v>
      </c>
      <c r="C1060">
        <v>27696483</v>
      </c>
      <c r="D1060" t="s">
        <v>10</v>
      </c>
      <c r="E1060" t="s">
        <v>16</v>
      </c>
      <c r="F1060" t="s">
        <v>12</v>
      </c>
      <c r="G1060" t="s">
        <v>13</v>
      </c>
      <c r="H1060" t="s">
        <v>13</v>
      </c>
      <c r="I1060">
        <v>58</v>
      </c>
      <c r="J1060">
        <f>ABS((I1060-EDA!$A$15)/EDA!$B$15)</f>
        <v>1.1306455940929174</v>
      </c>
      <c r="K1060" t="str">
        <f t="shared" si="16"/>
        <v>No</v>
      </c>
      <c r="L1060">
        <f>ABS((C1060-EDA!$F$15)/EDA!$G$15)</f>
        <v>8.5235056197350501E-2</v>
      </c>
      <c r="M1060" t="str">
        <f>IF(moras[[#This Row],[Z-Score Salario]]&gt;1.96, "Sí", "No")</f>
        <v>No</v>
      </c>
      <c r="N1060" s="14">
        <f>IF(ISBLANK(moras[[#This Row],[SALARIO]]), EDA!$M$8, moras[[#This Row],[SALARIO]])</f>
        <v>27696483</v>
      </c>
      <c r="O1060" s="14">
        <f xml:space="preserve"> IF(ISBLANK(moras[[#This Row],[EDAD]]), EDA!$E$8, moras[[#This Row],[EDAD]])</f>
        <v>58</v>
      </c>
      <c r="P1060" s="14" t="str">
        <f>IF(
    OR(ISBLANK(moras[[#This Row],[TIPO_ASEGURAMIENTO]]), moras[[#This Row],[TIPO_ASEGURAMIENTO]]=""),
    EDA!$A$32,
    moras[[#This Row],[TIPO_ASEGURAMIENTO]]
)</f>
        <v>ASALARIADO</v>
      </c>
    </row>
    <row r="1061" spans="1:16" x14ac:dyDescent="0.3">
      <c r="A1061">
        <v>1060</v>
      </c>
      <c r="B1061" t="s">
        <v>9</v>
      </c>
      <c r="C1061">
        <v>360000</v>
      </c>
      <c r="D1061" t="s">
        <v>10</v>
      </c>
      <c r="E1061" t="s">
        <v>16</v>
      </c>
      <c r="F1061" t="s">
        <v>12</v>
      </c>
      <c r="G1061" t="s">
        <v>13</v>
      </c>
      <c r="H1061" t="s">
        <v>13</v>
      </c>
      <c r="I1061">
        <v>40</v>
      </c>
      <c r="J1061">
        <f>ABS((I1061-EDA!$A$15)/EDA!$B$15)</f>
        <v>0.13971034729555773</v>
      </c>
      <c r="K1061" t="str">
        <f t="shared" si="16"/>
        <v>No</v>
      </c>
      <c r="L1061">
        <f>ABS((C1061-EDA!$F$15)/EDA!$G$15)</f>
        <v>0.36966331807942709</v>
      </c>
      <c r="M1061" t="str">
        <f>IF(moras[[#This Row],[Z-Score Salario]]&gt;1.96, "Sí", "No")</f>
        <v>No</v>
      </c>
      <c r="N1061" s="14">
        <f>IF(ISBLANK(moras[[#This Row],[SALARIO]]), EDA!$M$8, moras[[#This Row],[SALARIO]])</f>
        <v>360000</v>
      </c>
      <c r="O1061" s="14">
        <f xml:space="preserve"> IF(ISBLANK(moras[[#This Row],[EDAD]]), EDA!$E$8, moras[[#This Row],[EDAD]])</f>
        <v>40</v>
      </c>
      <c r="P1061" s="14" t="str">
        <f>IF(
    OR(ISBLANK(moras[[#This Row],[TIPO_ASEGURAMIENTO]]), moras[[#This Row],[TIPO_ASEGURAMIENTO]]=""),
    EDA!$A$32,
    moras[[#This Row],[TIPO_ASEGURAMIENTO]]
)</f>
        <v>ASALARIADO</v>
      </c>
    </row>
    <row r="1062" spans="1:16" x14ac:dyDescent="0.3">
      <c r="A1062">
        <v>1061</v>
      </c>
      <c r="B1062" t="s">
        <v>9</v>
      </c>
      <c r="C1062">
        <v>49154023</v>
      </c>
      <c r="D1062" t="s">
        <v>10</v>
      </c>
      <c r="E1062" t="s">
        <v>16</v>
      </c>
      <c r="F1062" t="s">
        <v>12</v>
      </c>
      <c r="G1062" t="s">
        <v>13</v>
      </c>
      <c r="H1062" t="s">
        <v>13</v>
      </c>
      <c r="I1062">
        <v>50</v>
      </c>
      <c r="J1062">
        <f>ABS((I1062-EDA!$A$15)/EDA!$B$15)</f>
        <v>0.56604295347581735</v>
      </c>
      <c r="K1062" t="str">
        <f t="shared" si="16"/>
        <v>No</v>
      </c>
      <c r="L1062">
        <f>ABS((C1062-EDA!$F$15)/EDA!$G$15)</f>
        <v>0.44230366893655793</v>
      </c>
      <c r="M1062" t="str">
        <f>IF(moras[[#This Row],[Z-Score Salario]]&gt;1.96, "Sí", "No")</f>
        <v>No</v>
      </c>
      <c r="N1062" s="14">
        <f>IF(ISBLANK(moras[[#This Row],[SALARIO]]), EDA!$M$8, moras[[#This Row],[SALARIO]])</f>
        <v>49154023</v>
      </c>
      <c r="O1062" s="14">
        <f xml:space="preserve"> IF(ISBLANK(moras[[#This Row],[EDAD]]), EDA!$E$8, moras[[#This Row],[EDAD]])</f>
        <v>50</v>
      </c>
      <c r="P1062" s="14" t="str">
        <f>IF(
    OR(ISBLANK(moras[[#This Row],[TIPO_ASEGURAMIENTO]]), moras[[#This Row],[TIPO_ASEGURAMIENTO]]=""),
    EDA!$A$32,
    moras[[#This Row],[TIPO_ASEGURAMIENTO]]
)</f>
        <v>ASALARIADO</v>
      </c>
    </row>
    <row r="1063" spans="1:16" x14ac:dyDescent="0.3">
      <c r="A1063">
        <v>1062</v>
      </c>
      <c r="B1063" t="s">
        <v>15</v>
      </c>
      <c r="C1063">
        <v>307401</v>
      </c>
      <c r="D1063" t="s">
        <v>10</v>
      </c>
      <c r="E1063" t="s">
        <v>11</v>
      </c>
      <c r="F1063" t="s">
        <v>12</v>
      </c>
      <c r="G1063" t="s">
        <v>13</v>
      </c>
      <c r="H1063" t="s">
        <v>12</v>
      </c>
      <c r="I1063">
        <v>28</v>
      </c>
      <c r="J1063">
        <f>ABS((I1063-EDA!$A$15)/EDA!$B$15)</f>
        <v>0.98661430822120777</v>
      </c>
      <c r="K1063" t="str">
        <f t="shared" si="16"/>
        <v>No</v>
      </c>
      <c r="L1063">
        <f>ABS((C1063-EDA!$F$15)/EDA!$G$15)</f>
        <v>0.37053860256970278</v>
      </c>
      <c r="M1063" t="str">
        <f>IF(moras[[#This Row],[Z-Score Salario]]&gt;1.96, "Sí", "No")</f>
        <v>No</v>
      </c>
      <c r="N1063" s="14">
        <f>IF(ISBLANK(moras[[#This Row],[SALARIO]]), EDA!$M$8, moras[[#This Row],[SALARIO]])</f>
        <v>307401</v>
      </c>
      <c r="O1063" s="14">
        <f xml:space="preserve"> IF(ISBLANK(moras[[#This Row],[EDAD]]), EDA!$E$8, moras[[#This Row],[EDAD]])</f>
        <v>28</v>
      </c>
      <c r="P1063" s="14" t="str">
        <f>IF(
    OR(ISBLANK(moras[[#This Row],[TIPO_ASEGURAMIENTO]]), moras[[#This Row],[TIPO_ASEGURAMIENTO]]=""),
    EDA!$A$32,
    moras[[#This Row],[TIPO_ASEGURAMIENTO]]
)</f>
        <v>ASALARIADO</v>
      </c>
    </row>
    <row r="1064" spans="1:16" x14ac:dyDescent="0.3">
      <c r="A1064">
        <v>1063</v>
      </c>
      <c r="B1064" t="s">
        <v>9</v>
      </c>
      <c r="C1064">
        <v>14151022</v>
      </c>
      <c r="D1064" t="s">
        <v>14</v>
      </c>
      <c r="E1064" t="s">
        <v>11</v>
      </c>
      <c r="F1064" t="s">
        <v>12</v>
      </c>
      <c r="G1064" t="s">
        <v>13</v>
      </c>
      <c r="H1064" t="s">
        <v>13</v>
      </c>
      <c r="I1064">
        <v>90</v>
      </c>
      <c r="J1064">
        <f>ABS((I1064-EDA!$A$15)/EDA!$B$15)</f>
        <v>3.3890561565613173</v>
      </c>
      <c r="K1064" t="str">
        <f t="shared" si="16"/>
        <v>Sí</v>
      </c>
      <c r="L1064">
        <f>ABS((C1064-EDA!$F$15)/EDA!$G$15)</f>
        <v>0.14017097674878579</v>
      </c>
      <c r="M1064" t="str">
        <f>IF(moras[[#This Row],[Z-Score Salario]]&gt;1.96, "Sí", "No")</f>
        <v>No</v>
      </c>
      <c r="N1064" s="14">
        <f>IF(ISBLANK(moras[[#This Row],[SALARIO]]), EDA!$M$8, moras[[#This Row],[SALARIO]])</f>
        <v>14151022</v>
      </c>
      <c r="O1064" s="14">
        <f xml:space="preserve"> IF(ISBLANK(moras[[#This Row],[EDAD]]), EDA!$E$8, moras[[#This Row],[EDAD]])</f>
        <v>90</v>
      </c>
      <c r="P1064" s="14" t="str">
        <f>IF(
    OR(ISBLANK(moras[[#This Row],[TIPO_ASEGURAMIENTO]]), moras[[#This Row],[TIPO_ASEGURAMIENTO]]=""),
    EDA!$A$32,
    moras[[#This Row],[TIPO_ASEGURAMIENTO]]
)</f>
        <v>PENSIONADOS EN SU PROPIO SISTEMA</v>
      </c>
    </row>
    <row r="1065" spans="1:16" x14ac:dyDescent="0.3">
      <c r="A1065">
        <v>1064</v>
      </c>
      <c r="B1065" t="s">
        <v>15</v>
      </c>
      <c r="C1065">
        <v>721809</v>
      </c>
      <c r="D1065" t="s">
        <v>10</v>
      </c>
      <c r="E1065" t="s">
        <v>11</v>
      </c>
      <c r="F1065" t="s">
        <v>12</v>
      </c>
      <c r="G1065" t="s">
        <v>13</v>
      </c>
      <c r="H1065" t="s">
        <v>12</v>
      </c>
      <c r="I1065">
        <v>46</v>
      </c>
      <c r="J1065">
        <f>ABS((I1065-EDA!$A$15)/EDA!$B$15)</f>
        <v>0.2837416331672673</v>
      </c>
      <c r="K1065" t="str">
        <f t="shared" si="16"/>
        <v>No</v>
      </c>
      <c r="L1065">
        <f>ABS((C1065-EDA!$F$15)/EDA!$G$15)</f>
        <v>0.36364256091404096</v>
      </c>
      <c r="M1065" t="str">
        <f>IF(moras[[#This Row],[Z-Score Salario]]&gt;1.96, "Sí", "No")</f>
        <v>No</v>
      </c>
      <c r="N1065" s="14">
        <f>IF(ISBLANK(moras[[#This Row],[SALARIO]]), EDA!$M$8, moras[[#This Row],[SALARIO]])</f>
        <v>721809</v>
      </c>
      <c r="O1065" s="14">
        <f xml:space="preserve"> IF(ISBLANK(moras[[#This Row],[EDAD]]), EDA!$E$8, moras[[#This Row],[EDAD]])</f>
        <v>46</v>
      </c>
      <c r="P1065" s="14" t="str">
        <f>IF(
    OR(ISBLANK(moras[[#This Row],[TIPO_ASEGURAMIENTO]]), moras[[#This Row],[TIPO_ASEGURAMIENTO]]=""),
    EDA!$A$32,
    moras[[#This Row],[TIPO_ASEGURAMIENTO]]
)</f>
        <v>ASALARIADO</v>
      </c>
    </row>
    <row r="1066" spans="1:16" x14ac:dyDescent="0.3">
      <c r="A1066">
        <v>1065</v>
      </c>
      <c r="B1066" t="s">
        <v>9</v>
      </c>
      <c r="C1066">
        <v>363793</v>
      </c>
      <c r="D1066" t="s">
        <v>10</v>
      </c>
      <c r="E1066" t="s">
        <v>16</v>
      </c>
      <c r="F1066" t="s">
        <v>12</v>
      </c>
      <c r="G1066" t="s">
        <v>12</v>
      </c>
      <c r="H1066" t="s">
        <v>13</v>
      </c>
      <c r="I1066">
        <v>51</v>
      </c>
      <c r="J1066">
        <f>ABS((I1066-EDA!$A$15)/EDA!$B$15)</f>
        <v>0.6366182835529548</v>
      </c>
      <c r="K1066" t="str">
        <f t="shared" si="16"/>
        <v>No</v>
      </c>
      <c r="L1066">
        <f>ABS((C1066-EDA!$F$15)/EDA!$G$15)</f>
        <v>0.36960019988190218</v>
      </c>
      <c r="M1066" t="str">
        <f>IF(moras[[#This Row],[Z-Score Salario]]&gt;1.96, "Sí", "No")</f>
        <v>No</v>
      </c>
      <c r="N1066" s="14">
        <f>IF(ISBLANK(moras[[#This Row],[SALARIO]]), EDA!$M$8, moras[[#This Row],[SALARIO]])</f>
        <v>363793</v>
      </c>
      <c r="O1066" s="14">
        <f xml:space="preserve"> IF(ISBLANK(moras[[#This Row],[EDAD]]), EDA!$E$8, moras[[#This Row],[EDAD]])</f>
        <v>51</v>
      </c>
      <c r="P1066" s="14" t="str">
        <f>IF(
    OR(ISBLANK(moras[[#This Row],[TIPO_ASEGURAMIENTO]]), moras[[#This Row],[TIPO_ASEGURAMIENTO]]=""),
    EDA!$A$32,
    moras[[#This Row],[TIPO_ASEGURAMIENTO]]
)</f>
        <v>ASALARIADO</v>
      </c>
    </row>
    <row r="1067" spans="1:16" x14ac:dyDescent="0.3">
      <c r="A1067">
        <v>1066</v>
      </c>
      <c r="B1067" t="s">
        <v>9</v>
      </c>
      <c r="C1067">
        <v>592200</v>
      </c>
      <c r="D1067" t="s">
        <v>10</v>
      </c>
      <c r="E1067" t="s">
        <v>16</v>
      </c>
      <c r="F1067" t="s">
        <v>12</v>
      </c>
      <c r="G1067" t="s">
        <v>12</v>
      </c>
      <c r="H1067" t="s">
        <v>13</v>
      </c>
      <c r="I1067">
        <v>53</v>
      </c>
      <c r="J1067">
        <f>ABS((I1067-EDA!$A$15)/EDA!$B$15)</f>
        <v>0.77776894370722982</v>
      </c>
      <c r="K1067" t="str">
        <f t="shared" si="16"/>
        <v>No</v>
      </c>
      <c r="L1067">
        <f>ABS((C1067-EDA!$F$15)/EDA!$G$15)</f>
        <v>0.36579934616661491</v>
      </c>
      <c r="M1067" t="str">
        <f>IF(moras[[#This Row],[Z-Score Salario]]&gt;1.96, "Sí", "No")</f>
        <v>No</v>
      </c>
      <c r="N1067" s="14">
        <f>IF(ISBLANK(moras[[#This Row],[SALARIO]]), EDA!$M$8, moras[[#This Row],[SALARIO]])</f>
        <v>592200</v>
      </c>
      <c r="O1067" s="14">
        <f xml:space="preserve"> IF(ISBLANK(moras[[#This Row],[EDAD]]), EDA!$E$8, moras[[#This Row],[EDAD]])</f>
        <v>53</v>
      </c>
      <c r="P1067" s="14" t="str">
        <f>IF(
    OR(ISBLANK(moras[[#This Row],[TIPO_ASEGURAMIENTO]]), moras[[#This Row],[TIPO_ASEGURAMIENTO]]=""),
    EDA!$A$32,
    moras[[#This Row],[TIPO_ASEGURAMIENTO]]
)</f>
        <v>ASALARIADO</v>
      </c>
    </row>
    <row r="1068" spans="1:16" x14ac:dyDescent="0.3">
      <c r="A1068">
        <v>1067</v>
      </c>
      <c r="B1068" t="s">
        <v>15</v>
      </c>
      <c r="C1068">
        <v>2196851</v>
      </c>
      <c r="D1068" t="s">
        <v>10</v>
      </c>
      <c r="E1068" t="s">
        <v>16</v>
      </c>
      <c r="F1068" t="s">
        <v>12</v>
      </c>
      <c r="G1068" t="s">
        <v>13</v>
      </c>
      <c r="H1068" t="s">
        <v>13</v>
      </c>
      <c r="I1068">
        <v>41</v>
      </c>
      <c r="J1068">
        <f>ABS((I1068-EDA!$A$15)/EDA!$B$15)</f>
        <v>6.9135017218420233E-2</v>
      </c>
      <c r="K1068" t="str">
        <f t="shared" si="16"/>
        <v>No</v>
      </c>
      <c r="L1068">
        <f>ABS((C1068-EDA!$F$15)/EDA!$G$15)</f>
        <v>0.3390968207839018</v>
      </c>
      <c r="M1068" t="str">
        <f>IF(moras[[#This Row],[Z-Score Salario]]&gt;1.96, "Sí", "No")</f>
        <v>No</v>
      </c>
      <c r="N1068" s="14">
        <f>IF(ISBLANK(moras[[#This Row],[SALARIO]]), EDA!$M$8, moras[[#This Row],[SALARIO]])</f>
        <v>2196851</v>
      </c>
      <c r="O1068" s="14">
        <f xml:space="preserve"> IF(ISBLANK(moras[[#This Row],[EDAD]]), EDA!$E$8, moras[[#This Row],[EDAD]])</f>
        <v>41</v>
      </c>
      <c r="P1068" s="14" t="str">
        <f>IF(
    OR(ISBLANK(moras[[#This Row],[TIPO_ASEGURAMIENTO]]), moras[[#This Row],[TIPO_ASEGURAMIENTO]]=""),
    EDA!$A$32,
    moras[[#This Row],[TIPO_ASEGURAMIENTO]]
)</f>
        <v>ASALARIADO</v>
      </c>
    </row>
    <row r="1069" spans="1:16" x14ac:dyDescent="0.3">
      <c r="A1069">
        <v>1068</v>
      </c>
      <c r="B1069" t="s">
        <v>9</v>
      </c>
      <c r="C1069">
        <v>49510862</v>
      </c>
      <c r="D1069" t="s">
        <v>10</v>
      </c>
      <c r="E1069" t="s">
        <v>11</v>
      </c>
      <c r="F1069" t="s">
        <v>12</v>
      </c>
      <c r="G1069" t="s">
        <v>13</v>
      </c>
      <c r="H1069" t="s">
        <v>13</v>
      </c>
      <c r="I1069">
        <v>25</v>
      </c>
      <c r="J1069">
        <f>ABS((I1069-EDA!$A$15)/EDA!$B$15)</f>
        <v>1.1983402984526204</v>
      </c>
      <c r="K1069" t="str">
        <f t="shared" si="16"/>
        <v>No</v>
      </c>
      <c r="L1069">
        <f>ABS((C1069-EDA!$F$15)/EDA!$G$15)</f>
        <v>0.44824172179356048</v>
      </c>
      <c r="M1069" t="str">
        <f>IF(moras[[#This Row],[Z-Score Salario]]&gt;1.96, "Sí", "No")</f>
        <v>No</v>
      </c>
      <c r="N1069" s="14">
        <f>IF(ISBLANK(moras[[#This Row],[SALARIO]]), EDA!$M$8, moras[[#This Row],[SALARIO]])</f>
        <v>49510862</v>
      </c>
      <c r="O1069" s="14">
        <f xml:space="preserve"> IF(ISBLANK(moras[[#This Row],[EDAD]]), EDA!$E$8, moras[[#This Row],[EDAD]])</f>
        <v>25</v>
      </c>
      <c r="P1069" s="14" t="str">
        <f>IF(
    OR(ISBLANK(moras[[#This Row],[TIPO_ASEGURAMIENTO]]), moras[[#This Row],[TIPO_ASEGURAMIENTO]]=""),
    EDA!$A$32,
    moras[[#This Row],[TIPO_ASEGURAMIENTO]]
)</f>
        <v>ASALARIADO</v>
      </c>
    </row>
    <row r="1070" spans="1:16" x14ac:dyDescent="0.3">
      <c r="A1070">
        <v>1069</v>
      </c>
      <c r="B1070" t="s">
        <v>15</v>
      </c>
      <c r="C1070">
        <v>380000</v>
      </c>
      <c r="D1070" t="s">
        <v>10</v>
      </c>
      <c r="E1070" t="s">
        <v>16</v>
      </c>
      <c r="F1070" t="s">
        <v>12</v>
      </c>
      <c r="G1070" t="s">
        <v>13</v>
      </c>
      <c r="H1070" t="s">
        <v>13</v>
      </c>
      <c r="I1070">
        <v>57</v>
      </c>
      <c r="J1070">
        <f>ABS((I1070-EDA!$A$15)/EDA!$B$15)</f>
        <v>1.0600702640157798</v>
      </c>
      <c r="K1070" t="str">
        <f t="shared" si="16"/>
        <v>No</v>
      </c>
      <c r="L1070">
        <f>ABS((C1070-EDA!$F$15)/EDA!$G$15)</f>
        <v>0.36933050396118317</v>
      </c>
      <c r="M1070" t="str">
        <f>IF(moras[[#This Row],[Z-Score Salario]]&gt;1.96, "Sí", "No")</f>
        <v>No</v>
      </c>
      <c r="N1070" s="14">
        <f>IF(ISBLANK(moras[[#This Row],[SALARIO]]), EDA!$M$8, moras[[#This Row],[SALARIO]])</f>
        <v>380000</v>
      </c>
      <c r="O1070" s="14">
        <f xml:space="preserve"> IF(ISBLANK(moras[[#This Row],[EDAD]]), EDA!$E$8, moras[[#This Row],[EDAD]])</f>
        <v>57</v>
      </c>
      <c r="P1070" s="14" t="str">
        <f>IF(
    OR(ISBLANK(moras[[#This Row],[TIPO_ASEGURAMIENTO]]), moras[[#This Row],[TIPO_ASEGURAMIENTO]]=""),
    EDA!$A$32,
    moras[[#This Row],[TIPO_ASEGURAMIENTO]]
)</f>
        <v>ASALARIADO</v>
      </c>
    </row>
    <row r="1071" spans="1:16" x14ac:dyDescent="0.3">
      <c r="A1071">
        <v>1070</v>
      </c>
      <c r="B1071" t="s">
        <v>15</v>
      </c>
      <c r="C1071">
        <v>218305404</v>
      </c>
      <c r="D1071" t="s">
        <v>10</v>
      </c>
      <c r="E1071" t="s">
        <v>16</v>
      </c>
      <c r="F1071" t="s">
        <v>12</v>
      </c>
      <c r="G1071" t="s">
        <v>13</v>
      </c>
      <c r="H1071" t="s">
        <v>13</v>
      </c>
      <c r="I1071">
        <v>32</v>
      </c>
      <c r="J1071">
        <f>ABS((I1071-EDA!$A$15)/EDA!$B$15)</f>
        <v>0.70431298791265773</v>
      </c>
      <c r="K1071" t="str">
        <f t="shared" si="16"/>
        <v>No</v>
      </c>
      <c r="L1071">
        <f>ABS((C1071-EDA!$F$15)/EDA!$G$15)</f>
        <v>3.2571020547995753</v>
      </c>
      <c r="M1071" t="str">
        <f>IF(moras[[#This Row],[Z-Score Salario]]&gt;1.96, "Sí", "No")</f>
        <v>Sí</v>
      </c>
      <c r="N1071" s="14">
        <f>IF(ISBLANK(moras[[#This Row],[SALARIO]]), EDA!$M$8, moras[[#This Row],[SALARIO]])</f>
        <v>218305404</v>
      </c>
      <c r="O1071" s="14">
        <f xml:space="preserve"> IF(ISBLANK(moras[[#This Row],[EDAD]]), EDA!$E$8, moras[[#This Row],[EDAD]])</f>
        <v>32</v>
      </c>
      <c r="P1071" s="14" t="str">
        <f>IF(
    OR(ISBLANK(moras[[#This Row],[TIPO_ASEGURAMIENTO]]), moras[[#This Row],[TIPO_ASEGURAMIENTO]]=""),
    EDA!$A$32,
    moras[[#This Row],[TIPO_ASEGURAMIENTO]]
)</f>
        <v>ASALARIADO</v>
      </c>
    </row>
    <row r="1072" spans="1:16" x14ac:dyDescent="0.3">
      <c r="A1072">
        <v>1071</v>
      </c>
      <c r="B1072" t="s">
        <v>9</v>
      </c>
      <c r="C1072">
        <v>651535</v>
      </c>
      <c r="D1072" t="s">
        <v>10</v>
      </c>
      <c r="E1072" t="s">
        <v>16</v>
      </c>
      <c r="F1072" t="s">
        <v>12</v>
      </c>
      <c r="G1072" t="s">
        <v>13</v>
      </c>
      <c r="H1072" t="s">
        <v>13</v>
      </c>
      <c r="I1072">
        <v>34</v>
      </c>
      <c r="J1072">
        <f>ABS((I1072-EDA!$A$15)/EDA!$B$15)</f>
        <v>0.56316232775838282</v>
      </c>
      <c r="K1072" t="str">
        <f t="shared" si="16"/>
        <v>No</v>
      </c>
      <c r="L1072">
        <f>ABS((C1072-EDA!$F$15)/EDA!$G$15)</f>
        <v>0.3648119698813147</v>
      </c>
      <c r="M1072" t="str">
        <f>IF(moras[[#This Row],[Z-Score Salario]]&gt;1.96, "Sí", "No")</f>
        <v>No</v>
      </c>
      <c r="N1072" s="14">
        <f>IF(ISBLANK(moras[[#This Row],[SALARIO]]), EDA!$M$8, moras[[#This Row],[SALARIO]])</f>
        <v>651535</v>
      </c>
      <c r="O1072" s="14">
        <f xml:space="preserve"> IF(ISBLANK(moras[[#This Row],[EDAD]]), EDA!$E$8, moras[[#This Row],[EDAD]])</f>
        <v>34</v>
      </c>
      <c r="P1072" s="14" t="str">
        <f>IF(
    OR(ISBLANK(moras[[#This Row],[TIPO_ASEGURAMIENTO]]), moras[[#This Row],[TIPO_ASEGURAMIENTO]]=""),
    EDA!$A$32,
    moras[[#This Row],[TIPO_ASEGURAMIENTO]]
)</f>
        <v>ASALARIADO</v>
      </c>
    </row>
    <row r="1073" spans="1:16" x14ac:dyDescent="0.3">
      <c r="A1073">
        <v>1072</v>
      </c>
      <c r="B1073" t="s">
        <v>15</v>
      </c>
      <c r="C1073">
        <v>278030</v>
      </c>
      <c r="D1073" t="s">
        <v>19</v>
      </c>
      <c r="E1073" t="s">
        <v>16</v>
      </c>
      <c r="F1073" t="s">
        <v>12</v>
      </c>
      <c r="G1073" t="s">
        <v>13</v>
      </c>
      <c r="H1073" t="s">
        <v>13</v>
      </c>
      <c r="I1073">
        <v>29</v>
      </c>
      <c r="J1073">
        <f>ABS((I1073-EDA!$A$15)/EDA!$B$15)</f>
        <v>0.91603897814407031</v>
      </c>
      <c r="K1073" t="str">
        <f t="shared" si="16"/>
        <v>No</v>
      </c>
      <c r="L1073">
        <f>ABS((C1073-EDA!$F$15)/EDA!$G$15)</f>
        <v>0.37102735674304993</v>
      </c>
      <c r="M1073" t="str">
        <f>IF(moras[[#This Row],[Z-Score Salario]]&gt;1.96, "Sí", "No")</f>
        <v>No</v>
      </c>
      <c r="N1073" s="14">
        <f>IF(ISBLANK(moras[[#This Row],[SALARIO]]), EDA!$M$8, moras[[#This Row],[SALARIO]])</f>
        <v>278030</v>
      </c>
      <c r="O1073" s="14">
        <f xml:space="preserve"> IF(ISBLANK(moras[[#This Row],[EDAD]]), EDA!$E$8, moras[[#This Row],[EDAD]])</f>
        <v>29</v>
      </c>
      <c r="P1073" s="14" t="str">
        <f>IF(
    OR(ISBLANK(moras[[#This Row],[TIPO_ASEGURAMIENTO]]), moras[[#This Row],[TIPO_ASEGURAMIENTO]]=""),
    EDA!$A$32,
    moras[[#This Row],[TIPO_ASEGURAMIENTO]]
)</f>
        <v>CONVENIOS ESPECIALES DE TRABAJADORES INDEPENDIENTES</v>
      </c>
    </row>
    <row r="1074" spans="1:16" x14ac:dyDescent="0.3">
      <c r="A1074">
        <v>1073</v>
      </c>
      <c r="B1074" t="s">
        <v>9</v>
      </c>
      <c r="C1074">
        <v>299647</v>
      </c>
      <c r="D1074" t="s">
        <v>17</v>
      </c>
      <c r="E1074" t="s">
        <v>16</v>
      </c>
      <c r="F1074" t="s">
        <v>12</v>
      </c>
      <c r="G1074" t="s">
        <v>13</v>
      </c>
      <c r="H1074" t="s">
        <v>13</v>
      </c>
      <c r="I1074">
        <v>64</v>
      </c>
      <c r="J1074">
        <f>ABS((I1074-EDA!$A$15)/EDA!$B$15)</f>
        <v>1.5540975745557424</v>
      </c>
      <c r="K1074" t="str">
        <f t="shared" si="16"/>
        <v>No</v>
      </c>
      <c r="L1074">
        <f>ABS((C1074-EDA!$F$15)/EDA!$G$15)</f>
        <v>0.37066763460334595</v>
      </c>
      <c r="M1074" t="str">
        <f>IF(moras[[#This Row],[Z-Score Salario]]&gt;1.96, "Sí", "No")</f>
        <v>No</v>
      </c>
      <c r="N1074" s="14">
        <f>IF(ISBLANK(moras[[#This Row],[SALARIO]]), EDA!$M$8, moras[[#This Row],[SALARIO]])</f>
        <v>299647</v>
      </c>
      <c r="O1074" s="14">
        <f xml:space="preserve"> IF(ISBLANK(moras[[#This Row],[EDAD]]), EDA!$E$8, moras[[#This Row],[EDAD]])</f>
        <v>64</v>
      </c>
      <c r="P1074" s="14" t="str">
        <f>IF(
    OR(ISBLANK(moras[[#This Row],[TIPO_ASEGURAMIENTO]]), moras[[#This Row],[TIPO_ASEGURAMIENTO]]=""),
    EDA!$A$32,
    moras[[#This Row],[TIPO_ASEGURAMIENTO]]
)</f>
        <v>ASEGURADO VOLUNTARIO</v>
      </c>
    </row>
    <row r="1075" spans="1:16" x14ac:dyDescent="0.3">
      <c r="A1075">
        <v>1074</v>
      </c>
      <c r="B1075" t="s">
        <v>15</v>
      </c>
      <c r="C1075">
        <v>347520</v>
      </c>
      <c r="D1075" t="s">
        <v>10</v>
      </c>
      <c r="E1075" t="s">
        <v>16</v>
      </c>
      <c r="F1075" t="s">
        <v>12</v>
      </c>
      <c r="G1075" t="s">
        <v>13</v>
      </c>
      <c r="H1075" t="s">
        <v>13</v>
      </c>
      <c r="I1075">
        <v>35</v>
      </c>
      <c r="J1075">
        <f>ABS((I1075-EDA!$A$15)/EDA!$B$15)</f>
        <v>0.49258699768124525</v>
      </c>
      <c r="K1075" t="str">
        <f t="shared" si="16"/>
        <v>No</v>
      </c>
      <c r="L1075">
        <f>ABS((C1075-EDA!$F$15)/EDA!$G$15)</f>
        <v>0.36987099408921137</v>
      </c>
      <c r="M1075" t="str">
        <f>IF(moras[[#This Row],[Z-Score Salario]]&gt;1.96, "Sí", "No")</f>
        <v>No</v>
      </c>
      <c r="N1075" s="14">
        <f>IF(ISBLANK(moras[[#This Row],[SALARIO]]), EDA!$M$8, moras[[#This Row],[SALARIO]])</f>
        <v>347520</v>
      </c>
      <c r="O1075" s="14">
        <f xml:space="preserve"> IF(ISBLANK(moras[[#This Row],[EDAD]]), EDA!$E$8, moras[[#This Row],[EDAD]])</f>
        <v>35</v>
      </c>
      <c r="P1075" s="14" t="str">
        <f>IF(
    OR(ISBLANK(moras[[#This Row],[TIPO_ASEGURAMIENTO]]), moras[[#This Row],[TIPO_ASEGURAMIENTO]]=""),
    EDA!$A$32,
    moras[[#This Row],[TIPO_ASEGURAMIENTO]]
)</f>
        <v>ASALARIADO</v>
      </c>
    </row>
    <row r="1076" spans="1:16" x14ac:dyDescent="0.3">
      <c r="A1076">
        <v>1075</v>
      </c>
      <c r="B1076" t="s">
        <v>9</v>
      </c>
      <c r="C1076">
        <v>594640</v>
      </c>
      <c r="D1076" t="s">
        <v>10</v>
      </c>
      <c r="E1076" t="s">
        <v>16</v>
      </c>
      <c r="F1076" t="s">
        <v>12</v>
      </c>
      <c r="G1076" t="s">
        <v>13</v>
      </c>
      <c r="H1076" t="s">
        <v>13</v>
      </c>
      <c r="I1076">
        <v>36</v>
      </c>
      <c r="J1076">
        <f>ABS((I1076-EDA!$A$15)/EDA!$B$15)</f>
        <v>0.42201166760410774</v>
      </c>
      <c r="K1076" t="str">
        <f t="shared" si="16"/>
        <v>No</v>
      </c>
      <c r="L1076">
        <f>ABS((C1076-EDA!$F$15)/EDA!$G$15)</f>
        <v>0.36575874284418919</v>
      </c>
      <c r="M1076" t="str">
        <f>IF(moras[[#This Row],[Z-Score Salario]]&gt;1.96, "Sí", "No")</f>
        <v>No</v>
      </c>
      <c r="N1076" s="14">
        <f>IF(ISBLANK(moras[[#This Row],[SALARIO]]), EDA!$M$8, moras[[#This Row],[SALARIO]])</f>
        <v>594640</v>
      </c>
      <c r="O1076" s="14">
        <f xml:space="preserve"> IF(ISBLANK(moras[[#This Row],[EDAD]]), EDA!$E$8, moras[[#This Row],[EDAD]])</f>
        <v>36</v>
      </c>
      <c r="P1076" s="14" t="str">
        <f>IF(
    OR(ISBLANK(moras[[#This Row],[TIPO_ASEGURAMIENTO]]), moras[[#This Row],[TIPO_ASEGURAMIENTO]]=""),
    EDA!$A$32,
    moras[[#This Row],[TIPO_ASEGURAMIENTO]]
)</f>
        <v>ASALARIADO</v>
      </c>
    </row>
    <row r="1077" spans="1:16" x14ac:dyDescent="0.3">
      <c r="A1077">
        <v>1076</v>
      </c>
      <c r="B1077" t="s">
        <v>9</v>
      </c>
      <c r="C1077">
        <v>207858</v>
      </c>
      <c r="D1077" t="s">
        <v>10</v>
      </c>
      <c r="E1077" t="s">
        <v>16</v>
      </c>
      <c r="F1077" t="s">
        <v>12</v>
      </c>
      <c r="G1077" t="s">
        <v>13</v>
      </c>
      <c r="H1077" t="s">
        <v>13</v>
      </c>
      <c r="I1077">
        <v>55</v>
      </c>
      <c r="J1077">
        <f>ABS((I1077-EDA!$A$15)/EDA!$B$15)</f>
        <v>0.91891960386150484</v>
      </c>
      <c r="K1077" t="str">
        <f t="shared" si="16"/>
        <v>No</v>
      </c>
      <c r="L1077">
        <f>ABS((C1077-EDA!$F$15)/EDA!$G$15)</f>
        <v>0.37219506835832061</v>
      </c>
      <c r="M1077" t="str">
        <f>IF(moras[[#This Row],[Z-Score Salario]]&gt;1.96, "Sí", "No")</f>
        <v>No</v>
      </c>
      <c r="N1077" s="14">
        <f>IF(ISBLANK(moras[[#This Row],[SALARIO]]), EDA!$M$8, moras[[#This Row],[SALARIO]])</f>
        <v>207858</v>
      </c>
      <c r="O1077" s="14">
        <f xml:space="preserve"> IF(ISBLANK(moras[[#This Row],[EDAD]]), EDA!$E$8, moras[[#This Row],[EDAD]])</f>
        <v>55</v>
      </c>
      <c r="P1077" s="14" t="str">
        <f>IF(
    OR(ISBLANK(moras[[#This Row],[TIPO_ASEGURAMIENTO]]), moras[[#This Row],[TIPO_ASEGURAMIENTO]]=""),
    EDA!$A$32,
    moras[[#This Row],[TIPO_ASEGURAMIENTO]]
)</f>
        <v>ASALARIADO</v>
      </c>
    </row>
    <row r="1078" spans="1:16" x14ac:dyDescent="0.3">
      <c r="A1078">
        <v>1077</v>
      </c>
      <c r="B1078" t="s">
        <v>9</v>
      </c>
      <c r="C1078">
        <v>3211392</v>
      </c>
      <c r="D1078" t="s">
        <v>10</v>
      </c>
      <c r="E1078" t="s">
        <v>11</v>
      </c>
      <c r="F1078" t="s">
        <v>12</v>
      </c>
      <c r="G1078" t="s">
        <v>13</v>
      </c>
      <c r="H1078" t="s">
        <v>13</v>
      </c>
      <c r="I1078">
        <v>60</v>
      </c>
      <c r="J1078">
        <f>ABS((I1078-EDA!$A$15)/EDA!$B$15)</f>
        <v>1.2717962542471923</v>
      </c>
      <c r="K1078" t="str">
        <f t="shared" si="16"/>
        <v>No</v>
      </c>
      <c r="L1078">
        <f>ABS((C1078-EDA!$F$15)/EDA!$G$15)</f>
        <v>0.32221414236703538</v>
      </c>
      <c r="M1078" t="str">
        <f>IF(moras[[#This Row],[Z-Score Salario]]&gt;1.96, "Sí", "No")</f>
        <v>No</v>
      </c>
      <c r="N1078" s="14">
        <f>IF(ISBLANK(moras[[#This Row],[SALARIO]]), EDA!$M$8, moras[[#This Row],[SALARIO]])</f>
        <v>3211392</v>
      </c>
      <c r="O1078" s="14">
        <f xml:space="preserve"> IF(ISBLANK(moras[[#This Row],[EDAD]]), EDA!$E$8, moras[[#This Row],[EDAD]])</f>
        <v>60</v>
      </c>
      <c r="P1078" s="14" t="str">
        <f>IF(
    OR(ISBLANK(moras[[#This Row],[TIPO_ASEGURAMIENTO]]), moras[[#This Row],[TIPO_ASEGURAMIENTO]]=""),
    EDA!$A$32,
    moras[[#This Row],[TIPO_ASEGURAMIENTO]]
)</f>
        <v>ASALARIADO</v>
      </c>
    </row>
    <row r="1079" spans="1:16" x14ac:dyDescent="0.3">
      <c r="A1079">
        <v>1078</v>
      </c>
      <c r="B1079" t="s">
        <v>9</v>
      </c>
      <c r="C1079">
        <v>63155063</v>
      </c>
      <c r="D1079" t="s">
        <v>10</v>
      </c>
      <c r="E1079" t="s">
        <v>16</v>
      </c>
      <c r="F1079" t="s">
        <v>12</v>
      </c>
      <c r="G1079" t="s">
        <v>13</v>
      </c>
      <c r="H1079" t="s">
        <v>13</v>
      </c>
      <c r="I1079">
        <v>38</v>
      </c>
      <c r="J1079">
        <f>ABS((I1079-EDA!$A$15)/EDA!$B$15)</f>
        <v>0.28086100744983278</v>
      </c>
      <c r="K1079" t="str">
        <f t="shared" si="16"/>
        <v>No</v>
      </c>
      <c r="L1079">
        <f>ABS((C1079-EDA!$F$15)/EDA!$G$15)</f>
        <v>0.67529085804146705</v>
      </c>
      <c r="M1079" t="str">
        <f>IF(moras[[#This Row],[Z-Score Salario]]&gt;1.96, "Sí", "No")</f>
        <v>No</v>
      </c>
      <c r="N1079" s="14">
        <f>IF(ISBLANK(moras[[#This Row],[SALARIO]]), EDA!$M$8, moras[[#This Row],[SALARIO]])</f>
        <v>63155063</v>
      </c>
      <c r="O1079" s="14">
        <f xml:space="preserve"> IF(ISBLANK(moras[[#This Row],[EDAD]]), EDA!$E$8, moras[[#This Row],[EDAD]])</f>
        <v>38</v>
      </c>
      <c r="P1079" s="14" t="str">
        <f>IF(
    OR(ISBLANK(moras[[#This Row],[TIPO_ASEGURAMIENTO]]), moras[[#This Row],[TIPO_ASEGURAMIENTO]]=""),
    EDA!$A$32,
    moras[[#This Row],[TIPO_ASEGURAMIENTO]]
)</f>
        <v>ASALARIADO</v>
      </c>
    </row>
    <row r="1080" spans="1:16" x14ac:dyDescent="0.3">
      <c r="A1080">
        <v>1079</v>
      </c>
      <c r="B1080" t="s">
        <v>9</v>
      </c>
      <c r="C1080">
        <v>37422212</v>
      </c>
      <c r="D1080" t="s">
        <v>10</v>
      </c>
      <c r="E1080" t="s">
        <v>16</v>
      </c>
      <c r="F1080" t="s">
        <v>12</v>
      </c>
      <c r="G1080" t="s">
        <v>13</v>
      </c>
      <c r="H1080" t="s">
        <v>13</v>
      </c>
      <c r="I1080">
        <v>31</v>
      </c>
      <c r="J1080">
        <f>ABS((I1080-EDA!$A$15)/EDA!$B$15)</f>
        <v>0.77488831798979529</v>
      </c>
      <c r="K1080" t="str">
        <f t="shared" si="16"/>
        <v>No</v>
      </c>
      <c r="L1080">
        <f>ABS((C1080-EDA!$F$15)/EDA!$G$15)</f>
        <v>0.24707805226807805</v>
      </c>
      <c r="M1080" t="str">
        <f>IF(moras[[#This Row],[Z-Score Salario]]&gt;1.96, "Sí", "No")</f>
        <v>No</v>
      </c>
      <c r="N1080" s="14">
        <f>IF(ISBLANK(moras[[#This Row],[SALARIO]]), EDA!$M$8, moras[[#This Row],[SALARIO]])</f>
        <v>37422212</v>
      </c>
      <c r="O1080" s="14">
        <f xml:space="preserve"> IF(ISBLANK(moras[[#This Row],[EDAD]]), EDA!$E$8, moras[[#This Row],[EDAD]])</f>
        <v>31</v>
      </c>
      <c r="P1080" s="14" t="str">
        <f>IF(
    OR(ISBLANK(moras[[#This Row],[TIPO_ASEGURAMIENTO]]), moras[[#This Row],[TIPO_ASEGURAMIENTO]]=""),
    EDA!$A$32,
    moras[[#This Row],[TIPO_ASEGURAMIENTO]]
)</f>
        <v>ASALARIADO</v>
      </c>
    </row>
    <row r="1081" spans="1:16" x14ac:dyDescent="0.3">
      <c r="A1081">
        <v>1080</v>
      </c>
      <c r="B1081" t="s">
        <v>15</v>
      </c>
      <c r="C1081">
        <v>338166</v>
      </c>
      <c r="D1081" t="s">
        <v>17</v>
      </c>
      <c r="E1081" t="s">
        <v>16</v>
      </c>
      <c r="F1081" t="s">
        <v>12</v>
      </c>
      <c r="G1081" t="s">
        <v>13</v>
      </c>
      <c r="H1081" t="s">
        <v>13</v>
      </c>
      <c r="I1081">
        <v>63</v>
      </c>
      <c r="J1081">
        <f>ABS((I1081-EDA!$A$15)/EDA!$B$15)</f>
        <v>1.4835222444786049</v>
      </c>
      <c r="K1081" t="str">
        <f t="shared" si="16"/>
        <v>No</v>
      </c>
      <c r="L1081">
        <f>ABS((C1081-EDA!$F$15)/EDA!$G$15)</f>
        <v>0.37002665125231404</v>
      </c>
      <c r="M1081" t="str">
        <f>IF(moras[[#This Row],[Z-Score Salario]]&gt;1.96, "Sí", "No")</f>
        <v>No</v>
      </c>
      <c r="N1081" s="14">
        <f>IF(ISBLANK(moras[[#This Row],[SALARIO]]), EDA!$M$8, moras[[#This Row],[SALARIO]])</f>
        <v>338166</v>
      </c>
      <c r="O1081" s="14">
        <f xml:space="preserve"> IF(ISBLANK(moras[[#This Row],[EDAD]]), EDA!$E$8, moras[[#This Row],[EDAD]])</f>
        <v>63</v>
      </c>
      <c r="P1081" s="14" t="str">
        <f>IF(
    OR(ISBLANK(moras[[#This Row],[TIPO_ASEGURAMIENTO]]), moras[[#This Row],[TIPO_ASEGURAMIENTO]]=""),
    EDA!$A$32,
    moras[[#This Row],[TIPO_ASEGURAMIENTO]]
)</f>
        <v>ASEGURADO VOLUNTARIO</v>
      </c>
    </row>
    <row r="1082" spans="1:16" x14ac:dyDescent="0.3">
      <c r="A1082">
        <v>1081</v>
      </c>
      <c r="B1082" t="s">
        <v>15</v>
      </c>
      <c r="C1082">
        <v>180000</v>
      </c>
      <c r="D1082" t="s">
        <v>10</v>
      </c>
      <c r="E1082" t="s">
        <v>16</v>
      </c>
      <c r="F1082" t="s">
        <v>12</v>
      </c>
      <c r="G1082" t="s">
        <v>12</v>
      </c>
      <c r="H1082" t="s">
        <v>13</v>
      </c>
      <c r="I1082">
        <v>78</v>
      </c>
      <c r="J1082">
        <f>ABS((I1082-EDA!$A$15)/EDA!$B$15)</f>
        <v>2.5421521956356674</v>
      </c>
      <c r="K1082" t="str">
        <f t="shared" si="16"/>
        <v>Sí</v>
      </c>
      <c r="L1082">
        <f>ABS((C1082-EDA!$F$15)/EDA!$G$15)</f>
        <v>0.37265864514362262</v>
      </c>
      <c r="M1082" t="str">
        <f>IF(moras[[#This Row],[Z-Score Salario]]&gt;1.96, "Sí", "No")</f>
        <v>No</v>
      </c>
      <c r="N1082" s="14">
        <f>IF(ISBLANK(moras[[#This Row],[SALARIO]]), EDA!$M$8, moras[[#This Row],[SALARIO]])</f>
        <v>180000</v>
      </c>
      <c r="O1082" s="14">
        <f xml:space="preserve"> IF(ISBLANK(moras[[#This Row],[EDAD]]), EDA!$E$8, moras[[#This Row],[EDAD]])</f>
        <v>78</v>
      </c>
      <c r="P1082" s="14" t="str">
        <f>IF(
    OR(ISBLANK(moras[[#This Row],[TIPO_ASEGURAMIENTO]]), moras[[#This Row],[TIPO_ASEGURAMIENTO]]=""),
    EDA!$A$32,
    moras[[#This Row],[TIPO_ASEGURAMIENTO]]
)</f>
        <v>ASALARIADO</v>
      </c>
    </row>
    <row r="1083" spans="1:16" x14ac:dyDescent="0.3">
      <c r="A1083">
        <v>1082</v>
      </c>
      <c r="B1083" t="s">
        <v>15</v>
      </c>
      <c r="C1083">
        <v>582638</v>
      </c>
      <c r="D1083" t="s">
        <v>18</v>
      </c>
      <c r="E1083" t="s">
        <v>16</v>
      </c>
      <c r="F1083" t="s">
        <v>12</v>
      </c>
      <c r="G1083" t="s">
        <v>12</v>
      </c>
      <c r="H1083" t="s">
        <v>12</v>
      </c>
      <c r="I1083">
        <v>60</v>
      </c>
      <c r="J1083">
        <f>ABS((I1083-EDA!$A$15)/EDA!$B$15)</f>
        <v>1.2717962542471923</v>
      </c>
      <c r="K1083" t="str">
        <f t="shared" si="16"/>
        <v>No</v>
      </c>
      <c r="L1083">
        <f>ABS((C1083-EDA!$F$15)/EDA!$G$15)</f>
        <v>0.36595846459654735</v>
      </c>
      <c r="M1083" t="str">
        <f>IF(moras[[#This Row],[Z-Score Salario]]&gt;1.96, "Sí", "No")</f>
        <v>No</v>
      </c>
      <c r="N1083" s="14">
        <f>IF(ISBLANK(moras[[#This Row],[SALARIO]]), EDA!$M$8, moras[[#This Row],[SALARIO]])</f>
        <v>582638</v>
      </c>
      <c r="O1083" s="14">
        <f xml:space="preserve"> IF(ISBLANK(moras[[#This Row],[EDAD]]), EDA!$E$8, moras[[#This Row],[EDAD]])</f>
        <v>60</v>
      </c>
      <c r="P1083" s="14" t="str">
        <f>IF(
    OR(ISBLANK(moras[[#This Row],[TIPO_ASEGURAMIENTO]]), moras[[#This Row],[TIPO_ASEGURAMIENTO]]=""),
    EDA!$A$32,
    moras[[#This Row],[TIPO_ASEGURAMIENTO]]
)</f>
        <v>TRABAJADOR INDEPENDIENTE</v>
      </c>
    </row>
    <row r="1084" spans="1:16" x14ac:dyDescent="0.3">
      <c r="A1084">
        <v>1083</v>
      </c>
      <c r="B1084" t="s">
        <v>15</v>
      </c>
      <c r="C1084">
        <v>8182404</v>
      </c>
      <c r="D1084" t="s">
        <v>10</v>
      </c>
      <c r="E1084" t="s">
        <v>16</v>
      </c>
      <c r="F1084" t="s">
        <v>12</v>
      </c>
      <c r="G1084" t="s">
        <v>13</v>
      </c>
      <c r="H1084" t="s">
        <v>13</v>
      </c>
      <c r="I1084">
        <v>26</v>
      </c>
      <c r="J1084">
        <f>ABS((I1084-EDA!$A$15)/EDA!$B$15)</f>
        <v>1.1277649683754829</v>
      </c>
      <c r="K1084" t="str">
        <f t="shared" si="16"/>
        <v>No</v>
      </c>
      <c r="L1084">
        <f>ABS((C1084-EDA!$F$15)/EDA!$G$15)</f>
        <v>0.23949299358903228</v>
      </c>
      <c r="M1084" t="str">
        <f>IF(moras[[#This Row],[Z-Score Salario]]&gt;1.96, "Sí", "No")</f>
        <v>No</v>
      </c>
      <c r="N1084" s="14">
        <f>IF(ISBLANK(moras[[#This Row],[SALARIO]]), EDA!$M$8, moras[[#This Row],[SALARIO]])</f>
        <v>8182404</v>
      </c>
      <c r="O1084" s="14">
        <f xml:space="preserve"> IF(ISBLANK(moras[[#This Row],[EDAD]]), EDA!$E$8, moras[[#This Row],[EDAD]])</f>
        <v>26</v>
      </c>
      <c r="P1084" s="14" t="str">
        <f>IF(
    OR(ISBLANK(moras[[#This Row],[TIPO_ASEGURAMIENTO]]), moras[[#This Row],[TIPO_ASEGURAMIENTO]]=""),
    EDA!$A$32,
    moras[[#This Row],[TIPO_ASEGURAMIENTO]]
)</f>
        <v>ASALARIADO</v>
      </c>
    </row>
    <row r="1085" spans="1:16" x14ac:dyDescent="0.3">
      <c r="A1085">
        <v>1084</v>
      </c>
      <c r="B1085" t="s">
        <v>15</v>
      </c>
      <c r="C1085">
        <v>317915</v>
      </c>
      <c r="D1085" t="s">
        <v>10</v>
      </c>
      <c r="E1085" t="s">
        <v>16</v>
      </c>
      <c r="F1085" t="s">
        <v>12</v>
      </c>
      <c r="G1085" t="s">
        <v>13</v>
      </c>
      <c r="H1085" t="s">
        <v>13</v>
      </c>
      <c r="I1085">
        <v>41</v>
      </c>
      <c r="J1085">
        <f>ABS((I1085-EDA!$A$15)/EDA!$B$15)</f>
        <v>6.9135017218420233E-2</v>
      </c>
      <c r="K1085" t="str">
        <f t="shared" si="16"/>
        <v>No</v>
      </c>
      <c r="L1085">
        <f>ABS((C1085-EDA!$F$15)/EDA!$G$15)</f>
        <v>0.37036364218774193</v>
      </c>
      <c r="M1085" t="str">
        <f>IF(moras[[#This Row],[Z-Score Salario]]&gt;1.96, "Sí", "No")</f>
        <v>No</v>
      </c>
      <c r="N1085" s="14">
        <f>IF(ISBLANK(moras[[#This Row],[SALARIO]]), EDA!$M$8, moras[[#This Row],[SALARIO]])</f>
        <v>317915</v>
      </c>
      <c r="O1085" s="14">
        <f xml:space="preserve"> IF(ISBLANK(moras[[#This Row],[EDAD]]), EDA!$E$8, moras[[#This Row],[EDAD]])</f>
        <v>41</v>
      </c>
      <c r="P1085" s="14" t="str">
        <f>IF(
    OR(ISBLANK(moras[[#This Row],[TIPO_ASEGURAMIENTO]]), moras[[#This Row],[TIPO_ASEGURAMIENTO]]=""),
    EDA!$A$32,
    moras[[#This Row],[TIPO_ASEGURAMIENTO]]
)</f>
        <v>ASALARIADO</v>
      </c>
    </row>
    <row r="1086" spans="1:16" x14ac:dyDescent="0.3">
      <c r="A1086">
        <v>1085</v>
      </c>
      <c r="B1086" t="s">
        <v>9</v>
      </c>
      <c r="C1086">
        <v>44969475</v>
      </c>
      <c r="D1086" t="s">
        <v>10</v>
      </c>
      <c r="E1086" t="s">
        <v>16</v>
      </c>
      <c r="F1086" t="s">
        <v>12</v>
      </c>
      <c r="G1086" t="s">
        <v>13</v>
      </c>
      <c r="H1086" t="s">
        <v>13</v>
      </c>
      <c r="I1086">
        <v>21</v>
      </c>
      <c r="J1086">
        <f>ABS((I1086-EDA!$A$15)/EDA!$B$15)</f>
        <v>1.4806416187611704</v>
      </c>
      <c r="K1086" t="str">
        <f t="shared" si="16"/>
        <v>No</v>
      </c>
      <c r="L1086">
        <f>ABS((C1086-EDA!$F$15)/EDA!$G$15)</f>
        <v>0.37266983629308503</v>
      </c>
      <c r="M1086" t="str">
        <f>IF(moras[[#This Row],[Z-Score Salario]]&gt;1.96, "Sí", "No")</f>
        <v>No</v>
      </c>
      <c r="N1086" s="14">
        <f>IF(ISBLANK(moras[[#This Row],[SALARIO]]), EDA!$M$8, moras[[#This Row],[SALARIO]])</f>
        <v>44969475</v>
      </c>
      <c r="O1086" s="14">
        <f xml:space="preserve"> IF(ISBLANK(moras[[#This Row],[EDAD]]), EDA!$E$8, moras[[#This Row],[EDAD]])</f>
        <v>21</v>
      </c>
      <c r="P1086" s="14" t="str">
        <f>IF(
    OR(ISBLANK(moras[[#This Row],[TIPO_ASEGURAMIENTO]]), moras[[#This Row],[TIPO_ASEGURAMIENTO]]=""),
    EDA!$A$32,
    moras[[#This Row],[TIPO_ASEGURAMIENTO]]
)</f>
        <v>ASALARIADO</v>
      </c>
    </row>
    <row r="1087" spans="1:16" x14ac:dyDescent="0.3">
      <c r="A1087">
        <v>1086</v>
      </c>
      <c r="B1087" t="s">
        <v>15</v>
      </c>
      <c r="C1087">
        <v>607000</v>
      </c>
      <c r="D1087" t="s">
        <v>10</v>
      </c>
      <c r="E1087" t="s">
        <v>16</v>
      </c>
      <c r="F1087" t="s">
        <v>12</v>
      </c>
      <c r="G1087" t="s">
        <v>13</v>
      </c>
      <c r="H1087" t="s">
        <v>13</v>
      </c>
      <c r="I1087">
        <v>41</v>
      </c>
      <c r="J1087">
        <f>ABS((I1087-EDA!$A$15)/EDA!$B$15)</f>
        <v>6.9135017218420233E-2</v>
      </c>
      <c r="K1087" t="str">
        <f t="shared" si="16"/>
        <v>No</v>
      </c>
      <c r="L1087">
        <f>ABS((C1087-EDA!$F$15)/EDA!$G$15)</f>
        <v>0.36555306371911445</v>
      </c>
      <c r="M1087" t="str">
        <f>IF(moras[[#This Row],[Z-Score Salario]]&gt;1.96, "Sí", "No")</f>
        <v>No</v>
      </c>
      <c r="N1087" s="14">
        <f>IF(ISBLANK(moras[[#This Row],[SALARIO]]), EDA!$M$8, moras[[#This Row],[SALARIO]])</f>
        <v>607000</v>
      </c>
      <c r="O1087" s="14">
        <f xml:space="preserve"> IF(ISBLANK(moras[[#This Row],[EDAD]]), EDA!$E$8, moras[[#This Row],[EDAD]])</f>
        <v>41</v>
      </c>
      <c r="P1087" s="14" t="str">
        <f>IF(
    OR(ISBLANK(moras[[#This Row],[TIPO_ASEGURAMIENTO]]), moras[[#This Row],[TIPO_ASEGURAMIENTO]]=""),
    EDA!$A$32,
    moras[[#This Row],[TIPO_ASEGURAMIENTO]]
)</f>
        <v>ASALARIADO</v>
      </c>
    </row>
    <row r="1088" spans="1:16" x14ac:dyDescent="0.3">
      <c r="A1088">
        <v>1087</v>
      </c>
      <c r="B1088" t="s">
        <v>9</v>
      </c>
      <c r="C1088">
        <v>302470</v>
      </c>
      <c r="D1088" t="s">
        <v>18</v>
      </c>
      <c r="E1088" t="s">
        <v>16</v>
      </c>
      <c r="F1088" t="s">
        <v>12</v>
      </c>
      <c r="G1088" t="s">
        <v>13</v>
      </c>
      <c r="H1088" t="s">
        <v>12</v>
      </c>
      <c r="I1088">
        <v>31</v>
      </c>
      <c r="J1088">
        <f>ABS((I1088-EDA!$A$15)/EDA!$B$15)</f>
        <v>0.77488831798979529</v>
      </c>
      <c r="K1088" t="str">
        <f t="shared" si="16"/>
        <v>No</v>
      </c>
      <c r="L1088">
        <f>ABS((C1088-EDA!$F$15)/EDA!$G$15)</f>
        <v>0.37062065789055582</v>
      </c>
      <c r="M1088" t="str">
        <f>IF(moras[[#This Row],[Z-Score Salario]]&gt;1.96, "Sí", "No")</f>
        <v>No</v>
      </c>
      <c r="N1088" s="14">
        <f>IF(ISBLANK(moras[[#This Row],[SALARIO]]), EDA!$M$8, moras[[#This Row],[SALARIO]])</f>
        <v>302470</v>
      </c>
      <c r="O1088" s="14">
        <f xml:space="preserve"> IF(ISBLANK(moras[[#This Row],[EDAD]]), EDA!$E$8, moras[[#This Row],[EDAD]])</f>
        <v>31</v>
      </c>
      <c r="P1088" s="14" t="str">
        <f>IF(
    OR(ISBLANK(moras[[#This Row],[TIPO_ASEGURAMIENTO]]), moras[[#This Row],[TIPO_ASEGURAMIENTO]]=""),
    EDA!$A$32,
    moras[[#This Row],[TIPO_ASEGURAMIENTO]]
)</f>
        <v>TRABAJADOR INDEPENDIENTE</v>
      </c>
    </row>
    <row r="1089" spans="1:16" x14ac:dyDescent="0.3">
      <c r="A1089">
        <v>1088</v>
      </c>
      <c r="B1089" t="s">
        <v>9</v>
      </c>
      <c r="C1089">
        <v>300000</v>
      </c>
      <c r="D1089" t="s">
        <v>10</v>
      </c>
      <c r="E1089" t="s">
        <v>16</v>
      </c>
      <c r="F1089" t="s">
        <v>12</v>
      </c>
      <c r="G1089" t="s">
        <v>13</v>
      </c>
      <c r="H1089" t="s">
        <v>13</v>
      </c>
      <c r="I1089">
        <v>58</v>
      </c>
      <c r="J1089">
        <f>ABS((I1089-EDA!$A$15)/EDA!$B$15)</f>
        <v>1.1306455940929174</v>
      </c>
      <c r="K1089" t="str">
        <f t="shared" si="16"/>
        <v>No</v>
      </c>
      <c r="L1089">
        <f>ABS((C1089-EDA!$F$15)/EDA!$G$15)</f>
        <v>0.37066176043415894</v>
      </c>
      <c r="M1089" t="str">
        <f>IF(moras[[#This Row],[Z-Score Salario]]&gt;1.96, "Sí", "No")</f>
        <v>No</v>
      </c>
      <c r="N1089" s="14">
        <f>IF(ISBLANK(moras[[#This Row],[SALARIO]]), EDA!$M$8, moras[[#This Row],[SALARIO]])</f>
        <v>300000</v>
      </c>
      <c r="O1089" s="14">
        <f xml:space="preserve"> IF(ISBLANK(moras[[#This Row],[EDAD]]), EDA!$E$8, moras[[#This Row],[EDAD]])</f>
        <v>58</v>
      </c>
      <c r="P1089" s="14" t="str">
        <f>IF(
    OR(ISBLANK(moras[[#This Row],[TIPO_ASEGURAMIENTO]]), moras[[#This Row],[TIPO_ASEGURAMIENTO]]=""),
    EDA!$A$32,
    moras[[#This Row],[TIPO_ASEGURAMIENTO]]
)</f>
        <v>ASALARIADO</v>
      </c>
    </row>
    <row r="1090" spans="1:16" x14ac:dyDescent="0.3">
      <c r="A1090">
        <v>1089</v>
      </c>
      <c r="B1090" t="s">
        <v>9</v>
      </c>
      <c r="C1090">
        <v>359543</v>
      </c>
      <c r="D1090" t="s">
        <v>10</v>
      </c>
      <c r="E1090" t="s">
        <v>16</v>
      </c>
      <c r="F1090" t="s">
        <v>12</v>
      </c>
      <c r="G1090" t="s">
        <v>13</v>
      </c>
      <c r="H1090" t="s">
        <v>13</v>
      </c>
      <c r="I1090">
        <v>20</v>
      </c>
      <c r="J1090">
        <f>ABS((I1090-EDA!$A$15)/EDA!$B$15)</f>
        <v>1.5512169488383079</v>
      </c>
      <c r="K1090" t="str">
        <f t="shared" ref="K1090:K1153" si="17">IF(J1090 &gt;  1.96, "Sí","No")</f>
        <v>No</v>
      </c>
      <c r="L1090">
        <f>ABS((C1090-EDA!$F$15)/EDA!$G$15)</f>
        <v>0.36967092288202902</v>
      </c>
      <c r="M1090" t="str">
        <f>IF(moras[[#This Row],[Z-Score Salario]]&gt;1.96, "Sí", "No")</f>
        <v>No</v>
      </c>
      <c r="N1090" s="14">
        <f>IF(ISBLANK(moras[[#This Row],[SALARIO]]), EDA!$M$8, moras[[#This Row],[SALARIO]])</f>
        <v>359543</v>
      </c>
      <c r="O1090" s="14">
        <f xml:space="preserve"> IF(ISBLANK(moras[[#This Row],[EDAD]]), EDA!$E$8, moras[[#This Row],[EDAD]])</f>
        <v>20</v>
      </c>
      <c r="P1090" s="14" t="str">
        <f>IF(
    OR(ISBLANK(moras[[#This Row],[TIPO_ASEGURAMIENTO]]), moras[[#This Row],[TIPO_ASEGURAMIENTO]]=""),
    EDA!$A$32,
    moras[[#This Row],[TIPO_ASEGURAMIENTO]]
)</f>
        <v>ASALARIADO</v>
      </c>
    </row>
    <row r="1091" spans="1:16" x14ac:dyDescent="0.3">
      <c r="A1091">
        <v>1090</v>
      </c>
      <c r="B1091" t="s">
        <v>15</v>
      </c>
      <c r="C1091">
        <v>717302</v>
      </c>
      <c r="D1091" t="s">
        <v>10</v>
      </c>
      <c r="E1091" t="s">
        <v>16</v>
      </c>
      <c r="F1091" t="s">
        <v>12</v>
      </c>
      <c r="G1091" t="s">
        <v>13</v>
      </c>
      <c r="H1091" t="s">
        <v>13</v>
      </c>
      <c r="I1091">
        <v>42</v>
      </c>
      <c r="J1091">
        <f>ABS((I1091-EDA!$A$15)/EDA!$B$15)</f>
        <v>1.4403128587172659E-3</v>
      </c>
      <c r="K1091" t="str">
        <f t="shared" si="17"/>
        <v>No</v>
      </c>
      <c r="L1091">
        <f>ABS((C1091-EDA!$F$15)/EDA!$G$15)</f>
        <v>0.36371756057558724</v>
      </c>
      <c r="M1091" t="str">
        <f>IF(moras[[#This Row],[Z-Score Salario]]&gt;1.96, "Sí", "No")</f>
        <v>No</v>
      </c>
      <c r="N1091" s="14">
        <f>IF(ISBLANK(moras[[#This Row],[SALARIO]]), EDA!$M$8, moras[[#This Row],[SALARIO]])</f>
        <v>717302</v>
      </c>
      <c r="O1091" s="14">
        <f xml:space="preserve"> IF(ISBLANK(moras[[#This Row],[EDAD]]), EDA!$E$8, moras[[#This Row],[EDAD]])</f>
        <v>42</v>
      </c>
      <c r="P1091" s="14" t="str">
        <f>IF(
    OR(ISBLANK(moras[[#This Row],[TIPO_ASEGURAMIENTO]]), moras[[#This Row],[TIPO_ASEGURAMIENTO]]=""),
    EDA!$A$32,
    moras[[#This Row],[TIPO_ASEGURAMIENTO]]
)</f>
        <v>ASALARIADO</v>
      </c>
    </row>
    <row r="1092" spans="1:16" x14ac:dyDescent="0.3">
      <c r="A1092">
        <v>1091</v>
      </c>
      <c r="B1092" t="s">
        <v>9</v>
      </c>
      <c r="C1092">
        <v>3015974</v>
      </c>
      <c r="D1092" t="s">
        <v>10</v>
      </c>
      <c r="E1092" t="s">
        <v>16</v>
      </c>
      <c r="F1092" t="s">
        <v>12</v>
      </c>
      <c r="G1092" t="s">
        <v>12</v>
      </c>
      <c r="H1092" t="s">
        <v>13</v>
      </c>
      <c r="I1092">
        <v>46</v>
      </c>
      <c r="J1092">
        <f>ABS((I1092-EDA!$A$15)/EDA!$B$15)</f>
        <v>0.2837416331672673</v>
      </c>
      <c r="K1092" t="str">
        <f t="shared" si="17"/>
        <v>No</v>
      </c>
      <c r="L1092">
        <f>ABS((C1092-EDA!$F$15)/EDA!$G$15)</f>
        <v>0.32546603583498512</v>
      </c>
      <c r="M1092" t="str">
        <f>IF(moras[[#This Row],[Z-Score Salario]]&gt;1.96, "Sí", "No")</f>
        <v>No</v>
      </c>
      <c r="N1092" s="14">
        <f>IF(ISBLANK(moras[[#This Row],[SALARIO]]), EDA!$M$8, moras[[#This Row],[SALARIO]])</f>
        <v>3015974</v>
      </c>
      <c r="O1092" s="14">
        <f xml:space="preserve"> IF(ISBLANK(moras[[#This Row],[EDAD]]), EDA!$E$8, moras[[#This Row],[EDAD]])</f>
        <v>46</v>
      </c>
      <c r="P1092" s="14" t="str">
        <f>IF(
    OR(ISBLANK(moras[[#This Row],[TIPO_ASEGURAMIENTO]]), moras[[#This Row],[TIPO_ASEGURAMIENTO]]=""),
    EDA!$A$32,
    moras[[#This Row],[TIPO_ASEGURAMIENTO]]
)</f>
        <v>ASALARIADO</v>
      </c>
    </row>
    <row r="1093" spans="1:16" x14ac:dyDescent="0.3">
      <c r="A1093">
        <v>1092</v>
      </c>
      <c r="B1093" t="s">
        <v>15</v>
      </c>
      <c r="C1093">
        <v>297046</v>
      </c>
      <c r="D1093" t="s">
        <v>17</v>
      </c>
      <c r="E1093" t="s">
        <v>16</v>
      </c>
      <c r="F1093" t="s">
        <v>12</v>
      </c>
      <c r="G1093" t="s">
        <v>13</v>
      </c>
      <c r="H1093" t="s">
        <v>13</v>
      </c>
      <c r="I1093">
        <v>34</v>
      </c>
      <c r="J1093">
        <f>ABS((I1093-EDA!$A$15)/EDA!$B$15)</f>
        <v>0.56316232775838282</v>
      </c>
      <c r="K1093" t="str">
        <f t="shared" si="17"/>
        <v>No</v>
      </c>
      <c r="L1093">
        <f>ABS((C1093-EDA!$F$15)/EDA!$G$15)</f>
        <v>0.37071091707942361</v>
      </c>
      <c r="M1093" t="str">
        <f>IF(moras[[#This Row],[Z-Score Salario]]&gt;1.96, "Sí", "No")</f>
        <v>No</v>
      </c>
      <c r="N1093" s="14">
        <f>IF(ISBLANK(moras[[#This Row],[SALARIO]]), EDA!$M$8, moras[[#This Row],[SALARIO]])</f>
        <v>297046</v>
      </c>
      <c r="O1093" s="14">
        <f xml:space="preserve"> IF(ISBLANK(moras[[#This Row],[EDAD]]), EDA!$E$8, moras[[#This Row],[EDAD]])</f>
        <v>34</v>
      </c>
      <c r="P1093" s="14" t="str">
        <f>IF(
    OR(ISBLANK(moras[[#This Row],[TIPO_ASEGURAMIENTO]]), moras[[#This Row],[TIPO_ASEGURAMIENTO]]=""),
    EDA!$A$32,
    moras[[#This Row],[TIPO_ASEGURAMIENTO]]
)</f>
        <v>ASEGURADO VOLUNTARIO</v>
      </c>
    </row>
    <row r="1094" spans="1:16" x14ac:dyDescent="0.3">
      <c r="A1094">
        <v>1093</v>
      </c>
      <c r="B1094" t="s">
        <v>9</v>
      </c>
      <c r="C1094">
        <v>700000</v>
      </c>
      <c r="D1094" t="s">
        <v>10</v>
      </c>
      <c r="E1094" t="s">
        <v>16</v>
      </c>
      <c r="F1094" t="s">
        <v>12</v>
      </c>
      <c r="G1094" t="s">
        <v>13</v>
      </c>
      <c r="H1094" t="s">
        <v>13</v>
      </c>
      <c r="I1094">
        <v>22</v>
      </c>
      <c r="J1094">
        <f>ABS((I1094-EDA!$A$15)/EDA!$B$15)</f>
        <v>1.4100662886840327</v>
      </c>
      <c r="K1094" t="str">
        <f t="shared" si="17"/>
        <v>No</v>
      </c>
      <c r="L1094">
        <f>ABS((C1094-EDA!$F$15)/EDA!$G$15)</f>
        <v>0.36400547806928008</v>
      </c>
      <c r="M1094" t="str">
        <f>IF(moras[[#This Row],[Z-Score Salario]]&gt;1.96, "Sí", "No")</f>
        <v>No</v>
      </c>
      <c r="N1094" s="14">
        <f>IF(ISBLANK(moras[[#This Row],[SALARIO]]), EDA!$M$8, moras[[#This Row],[SALARIO]])</f>
        <v>700000</v>
      </c>
      <c r="O1094" s="14">
        <f xml:space="preserve"> IF(ISBLANK(moras[[#This Row],[EDAD]]), EDA!$E$8, moras[[#This Row],[EDAD]])</f>
        <v>22</v>
      </c>
      <c r="P1094" s="14" t="str">
        <f>IF(
    OR(ISBLANK(moras[[#This Row],[TIPO_ASEGURAMIENTO]]), moras[[#This Row],[TIPO_ASEGURAMIENTO]]=""),
    EDA!$A$32,
    moras[[#This Row],[TIPO_ASEGURAMIENTO]]
)</f>
        <v>ASALARIADO</v>
      </c>
    </row>
    <row r="1095" spans="1:16" x14ac:dyDescent="0.3">
      <c r="A1095">
        <v>1094</v>
      </c>
      <c r="B1095" t="s">
        <v>15</v>
      </c>
      <c r="C1095">
        <v>384000</v>
      </c>
      <c r="D1095" t="s">
        <v>10</v>
      </c>
      <c r="E1095" t="s">
        <v>16</v>
      </c>
      <c r="F1095" t="s">
        <v>12</v>
      </c>
      <c r="G1095" t="s">
        <v>13</v>
      </c>
      <c r="H1095" t="s">
        <v>13</v>
      </c>
      <c r="I1095">
        <v>48</v>
      </c>
      <c r="J1095">
        <f>ABS((I1095-EDA!$A$15)/EDA!$B$15)</f>
        <v>0.42489229332154227</v>
      </c>
      <c r="K1095" t="str">
        <f t="shared" si="17"/>
        <v>No</v>
      </c>
      <c r="L1095">
        <f>ABS((C1095-EDA!$F$15)/EDA!$G$15)</f>
        <v>0.36926394113753441</v>
      </c>
      <c r="M1095" t="str">
        <f>IF(moras[[#This Row],[Z-Score Salario]]&gt;1.96, "Sí", "No")</f>
        <v>No</v>
      </c>
      <c r="N1095" s="14">
        <f>IF(ISBLANK(moras[[#This Row],[SALARIO]]), EDA!$M$8, moras[[#This Row],[SALARIO]])</f>
        <v>384000</v>
      </c>
      <c r="O1095" s="14">
        <f xml:space="preserve"> IF(ISBLANK(moras[[#This Row],[EDAD]]), EDA!$E$8, moras[[#This Row],[EDAD]])</f>
        <v>48</v>
      </c>
      <c r="P1095" s="14" t="str">
        <f>IF(
    OR(ISBLANK(moras[[#This Row],[TIPO_ASEGURAMIENTO]]), moras[[#This Row],[TIPO_ASEGURAMIENTO]]=""),
    EDA!$A$32,
    moras[[#This Row],[TIPO_ASEGURAMIENTO]]
)</f>
        <v>ASALARIADO</v>
      </c>
    </row>
    <row r="1096" spans="1:16" x14ac:dyDescent="0.3">
      <c r="A1096">
        <v>1095</v>
      </c>
      <c r="B1096" t="s">
        <v>9</v>
      </c>
      <c r="C1096">
        <v>7833499</v>
      </c>
      <c r="D1096" t="s">
        <v>10</v>
      </c>
      <c r="E1096" t="s">
        <v>11</v>
      </c>
      <c r="F1096" t="s">
        <v>12</v>
      </c>
      <c r="G1096" t="s">
        <v>13</v>
      </c>
      <c r="H1096" t="s">
        <v>13</v>
      </c>
      <c r="I1096">
        <v>45</v>
      </c>
      <c r="J1096">
        <f>ABS((I1096-EDA!$A$15)/EDA!$B$15)</f>
        <v>0.21316630309012977</v>
      </c>
      <c r="K1096" t="str">
        <f t="shared" si="17"/>
        <v>No</v>
      </c>
      <c r="L1096">
        <f>ABS((C1096-EDA!$F$15)/EDA!$G$15)</f>
        <v>0.24529901908532742</v>
      </c>
      <c r="M1096" t="str">
        <f>IF(moras[[#This Row],[Z-Score Salario]]&gt;1.96, "Sí", "No")</f>
        <v>No</v>
      </c>
      <c r="N1096" s="14">
        <f>IF(ISBLANK(moras[[#This Row],[SALARIO]]), EDA!$M$8, moras[[#This Row],[SALARIO]])</f>
        <v>7833499</v>
      </c>
      <c r="O1096" s="14">
        <f xml:space="preserve"> IF(ISBLANK(moras[[#This Row],[EDAD]]), EDA!$E$8, moras[[#This Row],[EDAD]])</f>
        <v>45</v>
      </c>
      <c r="P1096" s="14" t="str">
        <f>IF(
    OR(ISBLANK(moras[[#This Row],[TIPO_ASEGURAMIENTO]]), moras[[#This Row],[TIPO_ASEGURAMIENTO]]=""),
    EDA!$A$32,
    moras[[#This Row],[TIPO_ASEGURAMIENTO]]
)</f>
        <v>ASALARIADO</v>
      </c>
    </row>
    <row r="1097" spans="1:16" x14ac:dyDescent="0.3">
      <c r="A1097">
        <v>1096</v>
      </c>
      <c r="B1097" t="s">
        <v>9</v>
      </c>
      <c r="C1097">
        <v>161555007</v>
      </c>
      <c r="D1097" t="s">
        <v>10</v>
      </c>
      <c r="E1097" t="s">
        <v>16</v>
      </c>
      <c r="F1097" t="s">
        <v>12</v>
      </c>
      <c r="G1097" t="s">
        <v>13</v>
      </c>
      <c r="H1097" t="s">
        <v>12</v>
      </c>
      <c r="I1097">
        <v>37</v>
      </c>
      <c r="J1097">
        <f>ABS((I1097-EDA!$A$15)/EDA!$B$15)</f>
        <v>0.35143633752697023</v>
      </c>
      <c r="K1097" t="str">
        <f t="shared" si="17"/>
        <v>No</v>
      </c>
      <c r="L1097">
        <f>ABS((C1097-EDA!$F$15)/EDA!$G$15)</f>
        <v>2.312735387922138</v>
      </c>
      <c r="M1097" t="str">
        <f>IF(moras[[#This Row],[Z-Score Salario]]&gt;1.96, "Sí", "No")</f>
        <v>Sí</v>
      </c>
      <c r="N1097" s="14">
        <f>IF(ISBLANK(moras[[#This Row],[SALARIO]]), EDA!$M$8, moras[[#This Row],[SALARIO]])</f>
        <v>161555007</v>
      </c>
      <c r="O1097" s="14">
        <f xml:space="preserve"> IF(ISBLANK(moras[[#This Row],[EDAD]]), EDA!$E$8, moras[[#This Row],[EDAD]])</f>
        <v>37</v>
      </c>
      <c r="P1097" s="14" t="str">
        <f>IF(
    OR(ISBLANK(moras[[#This Row],[TIPO_ASEGURAMIENTO]]), moras[[#This Row],[TIPO_ASEGURAMIENTO]]=""),
    EDA!$A$32,
    moras[[#This Row],[TIPO_ASEGURAMIENTO]]
)</f>
        <v>ASALARIADO</v>
      </c>
    </row>
    <row r="1098" spans="1:16" x14ac:dyDescent="0.3">
      <c r="A1098">
        <v>1097</v>
      </c>
      <c r="B1098" t="s">
        <v>15</v>
      </c>
      <c r="C1098">
        <v>247663</v>
      </c>
      <c r="D1098" t="s">
        <v>10</v>
      </c>
      <c r="E1098" t="s">
        <v>16</v>
      </c>
      <c r="F1098" t="s">
        <v>12</v>
      </c>
      <c r="G1098" t="s">
        <v>13</v>
      </c>
      <c r="H1098" t="s">
        <v>13</v>
      </c>
      <c r="I1098">
        <v>19</v>
      </c>
      <c r="J1098">
        <f>ABS((I1098-EDA!$A$15)/EDA!$B$15)</f>
        <v>1.6217922789154453</v>
      </c>
      <c r="K1098" t="str">
        <f t="shared" si="17"/>
        <v>No</v>
      </c>
      <c r="L1098">
        <f>ABS((C1098-EDA!$F$15)/EDA!$G$15)</f>
        <v>0.37153268505948561</v>
      </c>
      <c r="M1098" t="str">
        <f>IF(moras[[#This Row],[Z-Score Salario]]&gt;1.96, "Sí", "No")</f>
        <v>No</v>
      </c>
      <c r="N1098" s="14">
        <f>IF(ISBLANK(moras[[#This Row],[SALARIO]]), EDA!$M$8, moras[[#This Row],[SALARIO]])</f>
        <v>247663</v>
      </c>
      <c r="O1098" s="14">
        <f xml:space="preserve"> IF(ISBLANK(moras[[#This Row],[EDAD]]), EDA!$E$8, moras[[#This Row],[EDAD]])</f>
        <v>19</v>
      </c>
      <c r="P1098" s="14" t="str">
        <f>IF(
    OR(ISBLANK(moras[[#This Row],[TIPO_ASEGURAMIENTO]]), moras[[#This Row],[TIPO_ASEGURAMIENTO]]=""),
    EDA!$A$32,
    moras[[#This Row],[TIPO_ASEGURAMIENTO]]
)</f>
        <v>ASALARIADO</v>
      </c>
    </row>
    <row r="1099" spans="1:16" x14ac:dyDescent="0.3">
      <c r="A1099">
        <v>1098</v>
      </c>
      <c r="B1099" t="s">
        <v>15</v>
      </c>
      <c r="C1099">
        <v>126761639</v>
      </c>
      <c r="D1099" t="s">
        <v>10</v>
      </c>
      <c r="E1099" t="s">
        <v>16</v>
      </c>
      <c r="F1099" t="s">
        <v>12</v>
      </c>
      <c r="G1099" t="s">
        <v>13</v>
      </c>
      <c r="H1099" t="s">
        <v>13</v>
      </c>
      <c r="I1099">
        <v>35</v>
      </c>
      <c r="J1099">
        <f>ABS((I1099-EDA!$A$15)/EDA!$B$15)</f>
        <v>0.49258699768124525</v>
      </c>
      <c r="K1099" t="str">
        <f t="shared" si="17"/>
        <v>No</v>
      </c>
      <c r="L1099">
        <f>ABS((C1099-EDA!$F$15)/EDA!$G$15)</f>
        <v>1.733749183339286</v>
      </c>
      <c r="M1099" t="str">
        <f>IF(moras[[#This Row],[Z-Score Salario]]&gt;1.96, "Sí", "No")</f>
        <v>No</v>
      </c>
      <c r="N1099" s="14">
        <f>IF(ISBLANK(moras[[#This Row],[SALARIO]]), EDA!$M$8, moras[[#This Row],[SALARIO]])</f>
        <v>126761639</v>
      </c>
      <c r="O1099" s="14">
        <f xml:space="preserve"> IF(ISBLANK(moras[[#This Row],[EDAD]]), EDA!$E$8, moras[[#This Row],[EDAD]])</f>
        <v>35</v>
      </c>
      <c r="P1099" s="14" t="str">
        <f>IF(
    OR(ISBLANK(moras[[#This Row],[TIPO_ASEGURAMIENTO]]), moras[[#This Row],[TIPO_ASEGURAMIENTO]]=""),
    EDA!$A$32,
    moras[[#This Row],[TIPO_ASEGURAMIENTO]]
)</f>
        <v>ASALARIADO</v>
      </c>
    </row>
    <row r="1100" spans="1:16" x14ac:dyDescent="0.3">
      <c r="A1100">
        <v>1099</v>
      </c>
      <c r="B1100" t="s">
        <v>9</v>
      </c>
      <c r="C1100">
        <v>377999</v>
      </c>
      <c r="D1100" t="s">
        <v>18</v>
      </c>
      <c r="E1100" t="s">
        <v>16</v>
      </c>
      <c r="F1100" t="s">
        <v>12</v>
      </c>
      <c r="G1100" t="s">
        <v>13</v>
      </c>
      <c r="H1100" t="s">
        <v>12</v>
      </c>
      <c r="I1100">
        <v>37</v>
      </c>
      <c r="J1100">
        <f>ABS((I1100-EDA!$A$15)/EDA!$B$15)</f>
        <v>0.35143633752697023</v>
      </c>
      <c r="K1100" t="str">
        <f t="shared" si="17"/>
        <v>No</v>
      </c>
      <c r="L1100">
        <f>ABS((C1100-EDA!$F$15)/EDA!$G$15)</f>
        <v>0.36936380201371349</v>
      </c>
      <c r="M1100" t="str">
        <f>IF(moras[[#This Row],[Z-Score Salario]]&gt;1.96, "Sí", "No")</f>
        <v>No</v>
      </c>
      <c r="N1100" s="14">
        <f>IF(ISBLANK(moras[[#This Row],[SALARIO]]), EDA!$M$8, moras[[#This Row],[SALARIO]])</f>
        <v>377999</v>
      </c>
      <c r="O1100" s="14">
        <f xml:space="preserve"> IF(ISBLANK(moras[[#This Row],[EDAD]]), EDA!$E$8, moras[[#This Row],[EDAD]])</f>
        <v>37</v>
      </c>
      <c r="P1100" s="14" t="str">
        <f>IF(
    OR(ISBLANK(moras[[#This Row],[TIPO_ASEGURAMIENTO]]), moras[[#This Row],[TIPO_ASEGURAMIENTO]]=""),
    EDA!$A$32,
    moras[[#This Row],[TIPO_ASEGURAMIENTO]]
)</f>
        <v>TRABAJADOR INDEPENDIENTE</v>
      </c>
    </row>
    <row r="1101" spans="1:16" x14ac:dyDescent="0.3">
      <c r="A1101">
        <v>1100</v>
      </c>
      <c r="B1101" t="s">
        <v>15</v>
      </c>
      <c r="C1101">
        <v>297044</v>
      </c>
      <c r="D1101" t="s">
        <v>17</v>
      </c>
      <c r="E1101" t="s">
        <v>16</v>
      </c>
      <c r="F1101" t="s">
        <v>12</v>
      </c>
      <c r="G1101" t="s">
        <v>13</v>
      </c>
      <c r="H1101" t="s">
        <v>13</v>
      </c>
      <c r="I1101">
        <v>53</v>
      </c>
      <c r="J1101">
        <f>ABS((I1101-EDA!$A$15)/EDA!$B$15)</f>
        <v>0.77776894370722982</v>
      </c>
      <c r="K1101" t="str">
        <f t="shared" si="17"/>
        <v>No</v>
      </c>
      <c r="L1101">
        <f>ABS((C1101-EDA!$F$15)/EDA!$G$15)</f>
        <v>0.3707109503608354</v>
      </c>
      <c r="M1101" t="str">
        <f>IF(moras[[#This Row],[Z-Score Salario]]&gt;1.96, "Sí", "No")</f>
        <v>No</v>
      </c>
      <c r="N1101" s="14">
        <f>IF(ISBLANK(moras[[#This Row],[SALARIO]]), EDA!$M$8, moras[[#This Row],[SALARIO]])</f>
        <v>297044</v>
      </c>
      <c r="O1101" s="14">
        <f xml:space="preserve"> IF(ISBLANK(moras[[#This Row],[EDAD]]), EDA!$E$8, moras[[#This Row],[EDAD]])</f>
        <v>53</v>
      </c>
      <c r="P1101" s="14" t="str">
        <f>IF(
    OR(ISBLANK(moras[[#This Row],[TIPO_ASEGURAMIENTO]]), moras[[#This Row],[TIPO_ASEGURAMIENTO]]=""),
    EDA!$A$32,
    moras[[#This Row],[TIPO_ASEGURAMIENTO]]
)</f>
        <v>ASEGURADO VOLUNTARIO</v>
      </c>
    </row>
    <row r="1102" spans="1:16" x14ac:dyDescent="0.3">
      <c r="A1102">
        <v>1101</v>
      </c>
      <c r="B1102" t="s">
        <v>9</v>
      </c>
      <c r="C1102">
        <v>278030</v>
      </c>
      <c r="D1102" t="s">
        <v>19</v>
      </c>
      <c r="E1102" t="s">
        <v>16</v>
      </c>
      <c r="F1102" t="s">
        <v>12</v>
      </c>
      <c r="G1102" t="s">
        <v>13</v>
      </c>
      <c r="H1102" t="s">
        <v>13</v>
      </c>
      <c r="I1102">
        <v>24</v>
      </c>
      <c r="J1102">
        <f>ABS((I1102-EDA!$A$15)/EDA!$B$15)</f>
        <v>1.2689156285297578</v>
      </c>
      <c r="K1102" t="str">
        <f t="shared" si="17"/>
        <v>No</v>
      </c>
      <c r="L1102">
        <f>ABS((C1102-EDA!$F$15)/EDA!$G$15)</f>
        <v>0.37102735674304993</v>
      </c>
      <c r="M1102" t="str">
        <f>IF(moras[[#This Row],[Z-Score Salario]]&gt;1.96, "Sí", "No")</f>
        <v>No</v>
      </c>
      <c r="N1102" s="14">
        <f>IF(ISBLANK(moras[[#This Row],[SALARIO]]), EDA!$M$8, moras[[#This Row],[SALARIO]])</f>
        <v>278030</v>
      </c>
      <c r="O1102" s="14">
        <f xml:space="preserve"> IF(ISBLANK(moras[[#This Row],[EDAD]]), EDA!$E$8, moras[[#This Row],[EDAD]])</f>
        <v>24</v>
      </c>
      <c r="P1102" s="14" t="str">
        <f>IF(
    OR(ISBLANK(moras[[#This Row],[TIPO_ASEGURAMIENTO]]), moras[[#This Row],[TIPO_ASEGURAMIENTO]]=""),
    EDA!$A$32,
    moras[[#This Row],[TIPO_ASEGURAMIENTO]]
)</f>
        <v>CONVENIOS ESPECIALES DE TRABAJADORES INDEPENDIENTES</v>
      </c>
    </row>
    <row r="1103" spans="1:16" x14ac:dyDescent="0.3">
      <c r="A1103">
        <v>1102</v>
      </c>
      <c r="B1103" t="s">
        <v>9</v>
      </c>
      <c r="C1103">
        <v>297045</v>
      </c>
      <c r="D1103" t="s">
        <v>18</v>
      </c>
      <c r="E1103" t="s">
        <v>16</v>
      </c>
      <c r="F1103" t="s">
        <v>12</v>
      </c>
      <c r="G1103" t="s">
        <v>13</v>
      </c>
      <c r="H1103" t="s">
        <v>12</v>
      </c>
      <c r="I1103">
        <v>33</v>
      </c>
      <c r="J1103">
        <f>ABS((I1103-EDA!$A$15)/EDA!$B$15)</f>
        <v>0.63373765783552027</v>
      </c>
      <c r="K1103" t="str">
        <f t="shared" si="17"/>
        <v>No</v>
      </c>
      <c r="L1103">
        <f>ABS((C1103-EDA!$F$15)/EDA!$G$15)</f>
        <v>0.37071093372012948</v>
      </c>
      <c r="M1103" t="str">
        <f>IF(moras[[#This Row],[Z-Score Salario]]&gt;1.96, "Sí", "No")</f>
        <v>No</v>
      </c>
      <c r="N1103" s="14">
        <f>IF(ISBLANK(moras[[#This Row],[SALARIO]]), EDA!$M$8, moras[[#This Row],[SALARIO]])</f>
        <v>297045</v>
      </c>
      <c r="O1103" s="14">
        <f xml:space="preserve"> IF(ISBLANK(moras[[#This Row],[EDAD]]), EDA!$E$8, moras[[#This Row],[EDAD]])</f>
        <v>33</v>
      </c>
      <c r="P1103" s="14" t="str">
        <f>IF(
    OR(ISBLANK(moras[[#This Row],[TIPO_ASEGURAMIENTO]]), moras[[#This Row],[TIPO_ASEGURAMIENTO]]=""),
    EDA!$A$32,
    moras[[#This Row],[TIPO_ASEGURAMIENTO]]
)</f>
        <v>TRABAJADOR INDEPENDIENTE</v>
      </c>
    </row>
    <row r="1104" spans="1:16" x14ac:dyDescent="0.3">
      <c r="A1104">
        <v>1103</v>
      </c>
      <c r="B1104" t="s">
        <v>9</v>
      </c>
      <c r="C1104">
        <v>239460</v>
      </c>
      <c r="D1104" t="s">
        <v>10</v>
      </c>
      <c r="E1104" t="s">
        <v>16</v>
      </c>
      <c r="F1104" t="s">
        <v>12</v>
      </c>
      <c r="G1104" t="s">
        <v>13</v>
      </c>
      <c r="H1104" t="s">
        <v>13</v>
      </c>
      <c r="I1104">
        <v>26</v>
      </c>
      <c r="J1104">
        <f>ABS((I1104-EDA!$A$15)/EDA!$B$15)</f>
        <v>1.1277649683754829</v>
      </c>
      <c r="K1104" t="str">
        <f t="shared" si="17"/>
        <v>No</v>
      </c>
      <c r="L1104">
        <f>ABS((C1104-EDA!$F$15)/EDA!$G$15)</f>
        <v>0.37166918877008337</v>
      </c>
      <c r="M1104" t="str">
        <f>IF(moras[[#This Row],[Z-Score Salario]]&gt;1.96, "Sí", "No")</f>
        <v>No</v>
      </c>
      <c r="N1104" s="14">
        <f>IF(ISBLANK(moras[[#This Row],[SALARIO]]), EDA!$M$8, moras[[#This Row],[SALARIO]])</f>
        <v>239460</v>
      </c>
      <c r="O1104" s="14">
        <f xml:space="preserve"> IF(ISBLANK(moras[[#This Row],[EDAD]]), EDA!$E$8, moras[[#This Row],[EDAD]])</f>
        <v>26</v>
      </c>
      <c r="P1104" s="14" t="str">
        <f>IF(
    OR(ISBLANK(moras[[#This Row],[TIPO_ASEGURAMIENTO]]), moras[[#This Row],[TIPO_ASEGURAMIENTO]]=""),
    EDA!$A$32,
    moras[[#This Row],[TIPO_ASEGURAMIENTO]]
)</f>
        <v>ASALARIADO</v>
      </c>
    </row>
    <row r="1105" spans="1:16" x14ac:dyDescent="0.3">
      <c r="A1105">
        <v>1104</v>
      </c>
      <c r="B1105" t="s">
        <v>9</v>
      </c>
      <c r="C1105">
        <v>331181</v>
      </c>
      <c r="D1105" t="s">
        <v>18</v>
      </c>
      <c r="E1105" t="s">
        <v>16</v>
      </c>
      <c r="F1105" t="s">
        <v>12</v>
      </c>
      <c r="G1105" t="s">
        <v>12</v>
      </c>
      <c r="H1105" t="s">
        <v>12</v>
      </c>
      <c r="I1105">
        <v>30</v>
      </c>
      <c r="J1105">
        <f>ABS((I1105-EDA!$A$15)/EDA!$B$15)</f>
        <v>0.84546364806693275</v>
      </c>
      <c r="K1105" t="str">
        <f t="shared" si="17"/>
        <v>No</v>
      </c>
      <c r="L1105">
        <f>ABS((C1105-EDA!$F$15)/EDA!$G$15)</f>
        <v>0.37014288658311073</v>
      </c>
      <c r="M1105" t="str">
        <f>IF(moras[[#This Row],[Z-Score Salario]]&gt;1.96, "Sí", "No")</f>
        <v>No</v>
      </c>
      <c r="N1105" s="14">
        <f>IF(ISBLANK(moras[[#This Row],[SALARIO]]), EDA!$M$8, moras[[#This Row],[SALARIO]])</f>
        <v>331181</v>
      </c>
      <c r="O1105" s="14">
        <f xml:space="preserve"> IF(ISBLANK(moras[[#This Row],[EDAD]]), EDA!$E$8, moras[[#This Row],[EDAD]])</f>
        <v>30</v>
      </c>
      <c r="P1105" s="14" t="str">
        <f>IF(
    OR(ISBLANK(moras[[#This Row],[TIPO_ASEGURAMIENTO]]), moras[[#This Row],[TIPO_ASEGURAMIENTO]]=""),
    EDA!$A$32,
    moras[[#This Row],[TIPO_ASEGURAMIENTO]]
)</f>
        <v>TRABAJADOR INDEPENDIENTE</v>
      </c>
    </row>
    <row r="1106" spans="1:16" x14ac:dyDescent="0.3">
      <c r="A1106">
        <v>1105</v>
      </c>
      <c r="B1106" t="s">
        <v>9</v>
      </c>
      <c r="C1106">
        <v>58084094</v>
      </c>
      <c r="D1106" t="s">
        <v>10</v>
      </c>
      <c r="E1106" t="s">
        <v>16</v>
      </c>
      <c r="F1106" t="s">
        <v>12</v>
      </c>
      <c r="G1106" t="s">
        <v>13</v>
      </c>
      <c r="H1106" t="s">
        <v>13</v>
      </c>
      <c r="I1106">
        <v>37</v>
      </c>
      <c r="J1106">
        <f>ABS((I1106-EDA!$A$15)/EDA!$B$15)</f>
        <v>0.35143633752697023</v>
      </c>
      <c r="K1106" t="str">
        <f t="shared" si="17"/>
        <v>No</v>
      </c>
      <c r="L1106">
        <f>ABS((C1106-EDA!$F$15)/EDA!$G$15)</f>
        <v>0.59090635422259852</v>
      </c>
      <c r="M1106" t="str">
        <f>IF(moras[[#This Row],[Z-Score Salario]]&gt;1.96, "Sí", "No")</f>
        <v>No</v>
      </c>
      <c r="N1106" s="14">
        <f>IF(ISBLANK(moras[[#This Row],[SALARIO]]), EDA!$M$8, moras[[#This Row],[SALARIO]])</f>
        <v>58084094</v>
      </c>
      <c r="O1106" s="14">
        <f xml:space="preserve"> IF(ISBLANK(moras[[#This Row],[EDAD]]), EDA!$E$8, moras[[#This Row],[EDAD]])</f>
        <v>37</v>
      </c>
      <c r="P1106" s="14" t="str">
        <f>IF(
    OR(ISBLANK(moras[[#This Row],[TIPO_ASEGURAMIENTO]]), moras[[#This Row],[TIPO_ASEGURAMIENTO]]=""),
    EDA!$A$32,
    moras[[#This Row],[TIPO_ASEGURAMIENTO]]
)</f>
        <v>ASALARIADO</v>
      </c>
    </row>
    <row r="1107" spans="1:16" x14ac:dyDescent="0.3">
      <c r="A1107">
        <v>1106</v>
      </c>
      <c r="B1107" t="s">
        <v>15</v>
      </c>
      <c r="C1107">
        <v>850000</v>
      </c>
      <c r="D1107" t="s">
        <v>10</v>
      </c>
      <c r="E1107" t="s">
        <v>16</v>
      </c>
      <c r="F1107" t="s">
        <v>12</v>
      </c>
      <c r="G1107" t="s">
        <v>13</v>
      </c>
      <c r="H1107" t="s">
        <v>13</v>
      </c>
      <c r="I1107">
        <v>38</v>
      </c>
      <c r="J1107">
        <f>ABS((I1107-EDA!$A$15)/EDA!$B$15)</f>
        <v>0.28086100744983278</v>
      </c>
      <c r="K1107" t="str">
        <f t="shared" si="17"/>
        <v>No</v>
      </c>
      <c r="L1107">
        <f>ABS((C1107-EDA!$F$15)/EDA!$G$15)</f>
        <v>0.36150937218245049</v>
      </c>
      <c r="M1107" t="str">
        <f>IF(moras[[#This Row],[Z-Score Salario]]&gt;1.96, "Sí", "No")</f>
        <v>No</v>
      </c>
      <c r="N1107" s="14">
        <f>IF(ISBLANK(moras[[#This Row],[SALARIO]]), EDA!$M$8, moras[[#This Row],[SALARIO]])</f>
        <v>850000</v>
      </c>
      <c r="O1107" s="14">
        <f xml:space="preserve"> IF(ISBLANK(moras[[#This Row],[EDAD]]), EDA!$E$8, moras[[#This Row],[EDAD]])</f>
        <v>38</v>
      </c>
      <c r="P1107" s="14" t="str">
        <f>IF(
    OR(ISBLANK(moras[[#This Row],[TIPO_ASEGURAMIENTO]]), moras[[#This Row],[TIPO_ASEGURAMIENTO]]=""),
    EDA!$A$32,
    moras[[#This Row],[TIPO_ASEGURAMIENTO]]
)</f>
        <v>ASALARIADO</v>
      </c>
    </row>
    <row r="1108" spans="1:16" x14ac:dyDescent="0.3">
      <c r="A1108">
        <v>1107</v>
      </c>
      <c r="B1108" t="s">
        <v>9</v>
      </c>
      <c r="C1108">
        <v>367500</v>
      </c>
      <c r="D1108" t="s">
        <v>10</v>
      </c>
      <c r="E1108" t="s">
        <v>16</v>
      </c>
      <c r="F1108" t="s">
        <v>12</v>
      </c>
      <c r="G1108" t="s">
        <v>13</v>
      </c>
      <c r="H1108" t="s">
        <v>13</v>
      </c>
      <c r="I1108">
        <v>32</v>
      </c>
      <c r="J1108">
        <f>ABS((I1108-EDA!$A$15)/EDA!$B$15)</f>
        <v>0.70431298791265773</v>
      </c>
      <c r="K1108" t="str">
        <f t="shared" si="17"/>
        <v>No</v>
      </c>
      <c r="L1108">
        <f>ABS((C1108-EDA!$F$15)/EDA!$G$15)</f>
        <v>0.36953851278508565</v>
      </c>
      <c r="M1108" t="str">
        <f>IF(moras[[#This Row],[Z-Score Salario]]&gt;1.96, "Sí", "No")</f>
        <v>No</v>
      </c>
      <c r="N1108" s="14">
        <f>IF(ISBLANK(moras[[#This Row],[SALARIO]]), EDA!$M$8, moras[[#This Row],[SALARIO]])</f>
        <v>367500</v>
      </c>
      <c r="O1108" s="14">
        <f xml:space="preserve"> IF(ISBLANK(moras[[#This Row],[EDAD]]), EDA!$E$8, moras[[#This Row],[EDAD]])</f>
        <v>32</v>
      </c>
      <c r="P1108" s="14" t="str">
        <f>IF(
    OR(ISBLANK(moras[[#This Row],[TIPO_ASEGURAMIENTO]]), moras[[#This Row],[TIPO_ASEGURAMIENTO]]=""),
    EDA!$A$32,
    moras[[#This Row],[TIPO_ASEGURAMIENTO]]
)</f>
        <v>ASALARIADO</v>
      </c>
    </row>
    <row r="1109" spans="1:16" x14ac:dyDescent="0.3">
      <c r="A1109">
        <v>1108</v>
      </c>
      <c r="B1109" t="s">
        <v>9</v>
      </c>
      <c r="C1109">
        <v>594092</v>
      </c>
      <c r="D1109" t="s">
        <v>18</v>
      </c>
      <c r="E1109" t="s">
        <v>16</v>
      </c>
      <c r="F1109" t="s">
        <v>12</v>
      </c>
      <c r="G1109" t="s">
        <v>13</v>
      </c>
      <c r="H1109" t="s">
        <v>13</v>
      </c>
      <c r="I1109">
        <v>62</v>
      </c>
      <c r="J1109">
        <f>ABS((I1109-EDA!$A$15)/EDA!$B$15)</f>
        <v>1.4129469144014672</v>
      </c>
      <c r="K1109" t="str">
        <f t="shared" si="17"/>
        <v>No</v>
      </c>
      <c r="L1109">
        <f>ABS((C1109-EDA!$F$15)/EDA!$G$15)</f>
        <v>0.36576786195102906</v>
      </c>
      <c r="M1109" t="str">
        <f>IF(moras[[#This Row],[Z-Score Salario]]&gt;1.96, "Sí", "No")</f>
        <v>No</v>
      </c>
      <c r="N1109" s="14">
        <f>IF(ISBLANK(moras[[#This Row],[SALARIO]]), EDA!$M$8, moras[[#This Row],[SALARIO]])</f>
        <v>594092</v>
      </c>
      <c r="O1109" s="14">
        <f xml:space="preserve"> IF(ISBLANK(moras[[#This Row],[EDAD]]), EDA!$E$8, moras[[#This Row],[EDAD]])</f>
        <v>62</v>
      </c>
      <c r="P1109" s="14" t="str">
        <f>IF(
    OR(ISBLANK(moras[[#This Row],[TIPO_ASEGURAMIENTO]]), moras[[#This Row],[TIPO_ASEGURAMIENTO]]=""),
    EDA!$A$32,
    moras[[#This Row],[TIPO_ASEGURAMIENTO]]
)</f>
        <v>TRABAJADOR INDEPENDIENTE</v>
      </c>
    </row>
    <row r="1110" spans="1:16" x14ac:dyDescent="0.3">
      <c r="A1110">
        <v>1109</v>
      </c>
      <c r="B1110" t="s">
        <v>15</v>
      </c>
      <c r="C1110">
        <v>297046</v>
      </c>
      <c r="D1110" t="s">
        <v>18</v>
      </c>
      <c r="E1110" t="s">
        <v>16</v>
      </c>
      <c r="F1110" t="s">
        <v>12</v>
      </c>
      <c r="G1110" t="s">
        <v>13</v>
      </c>
      <c r="H1110" t="s">
        <v>13</v>
      </c>
      <c r="I1110">
        <v>33</v>
      </c>
      <c r="J1110">
        <f>ABS((I1110-EDA!$A$15)/EDA!$B$15)</f>
        <v>0.63373765783552027</v>
      </c>
      <c r="K1110" t="str">
        <f t="shared" si="17"/>
        <v>No</v>
      </c>
      <c r="L1110">
        <f>ABS((C1110-EDA!$F$15)/EDA!$G$15)</f>
        <v>0.37071091707942361</v>
      </c>
      <c r="M1110" t="str">
        <f>IF(moras[[#This Row],[Z-Score Salario]]&gt;1.96, "Sí", "No")</f>
        <v>No</v>
      </c>
      <c r="N1110" s="14">
        <f>IF(ISBLANK(moras[[#This Row],[SALARIO]]), EDA!$M$8, moras[[#This Row],[SALARIO]])</f>
        <v>297046</v>
      </c>
      <c r="O1110" s="14">
        <f xml:space="preserve"> IF(ISBLANK(moras[[#This Row],[EDAD]]), EDA!$E$8, moras[[#This Row],[EDAD]])</f>
        <v>33</v>
      </c>
      <c r="P1110" s="14" t="str">
        <f>IF(
    OR(ISBLANK(moras[[#This Row],[TIPO_ASEGURAMIENTO]]), moras[[#This Row],[TIPO_ASEGURAMIENTO]]=""),
    EDA!$A$32,
    moras[[#This Row],[TIPO_ASEGURAMIENTO]]
)</f>
        <v>TRABAJADOR INDEPENDIENTE</v>
      </c>
    </row>
    <row r="1111" spans="1:16" x14ac:dyDescent="0.3">
      <c r="A1111">
        <v>1110</v>
      </c>
      <c r="B1111" t="s">
        <v>9</v>
      </c>
      <c r="C1111">
        <v>429000</v>
      </c>
      <c r="D1111" t="s">
        <v>10</v>
      </c>
      <c r="E1111" t="s">
        <v>16</v>
      </c>
      <c r="F1111" t="s">
        <v>12</v>
      </c>
      <c r="G1111" t="s">
        <v>12</v>
      </c>
      <c r="H1111" t="s">
        <v>13</v>
      </c>
      <c r="I1111">
        <v>53</v>
      </c>
      <c r="J1111">
        <f>ABS((I1111-EDA!$A$15)/EDA!$B$15)</f>
        <v>0.77776894370722982</v>
      </c>
      <c r="K1111" t="str">
        <f t="shared" si="17"/>
        <v>No</v>
      </c>
      <c r="L1111">
        <f>ABS((C1111-EDA!$F$15)/EDA!$G$15)</f>
        <v>0.36851510937148552</v>
      </c>
      <c r="M1111" t="str">
        <f>IF(moras[[#This Row],[Z-Score Salario]]&gt;1.96, "Sí", "No")</f>
        <v>No</v>
      </c>
      <c r="N1111" s="14">
        <f>IF(ISBLANK(moras[[#This Row],[SALARIO]]), EDA!$M$8, moras[[#This Row],[SALARIO]])</f>
        <v>429000</v>
      </c>
      <c r="O1111" s="14">
        <f xml:space="preserve"> IF(ISBLANK(moras[[#This Row],[EDAD]]), EDA!$E$8, moras[[#This Row],[EDAD]])</f>
        <v>53</v>
      </c>
      <c r="P1111" s="14" t="str">
        <f>IF(
    OR(ISBLANK(moras[[#This Row],[TIPO_ASEGURAMIENTO]]), moras[[#This Row],[TIPO_ASEGURAMIENTO]]=""),
    EDA!$A$32,
    moras[[#This Row],[TIPO_ASEGURAMIENTO]]
)</f>
        <v>ASALARIADO</v>
      </c>
    </row>
    <row r="1112" spans="1:16" x14ac:dyDescent="0.3">
      <c r="A1112">
        <v>1111</v>
      </c>
      <c r="B1112" t="s">
        <v>9</v>
      </c>
      <c r="C1112">
        <v>46074268</v>
      </c>
      <c r="D1112" t="s">
        <v>10</v>
      </c>
      <c r="E1112" t="s">
        <v>16</v>
      </c>
      <c r="F1112" t="s">
        <v>12</v>
      </c>
      <c r="G1112" t="s">
        <v>13</v>
      </c>
      <c r="H1112" t="s">
        <v>13</v>
      </c>
      <c r="I1112">
        <v>34</v>
      </c>
      <c r="J1112">
        <f>ABS((I1112-EDA!$A$15)/EDA!$B$15)</f>
        <v>0.56316232775838282</v>
      </c>
      <c r="K1112" t="str">
        <f t="shared" si="17"/>
        <v>No</v>
      </c>
      <c r="L1112">
        <f>ABS((C1112-EDA!$F$15)/EDA!$G$15)</f>
        <v>0.39105437169993912</v>
      </c>
      <c r="M1112" t="str">
        <f>IF(moras[[#This Row],[Z-Score Salario]]&gt;1.96, "Sí", "No")</f>
        <v>No</v>
      </c>
      <c r="N1112" s="14">
        <f>IF(ISBLANK(moras[[#This Row],[SALARIO]]), EDA!$M$8, moras[[#This Row],[SALARIO]])</f>
        <v>46074268</v>
      </c>
      <c r="O1112" s="14">
        <f xml:space="preserve"> IF(ISBLANK(moras[[#This Row],[EDAD]]), EDA!$E$8, moras[[#This Row],[EDAD]])</f>
        <v>34</v>
      </c>
      <c r="P1112" s="14" t="str">
        <f>IF(
    OR(ISBLANK(moras[[#This Row],[TIPO_ASEGURAMIENTO]]), moras[[#This Row],[TIPO_ASEGURAMIENTO]]=""),
    EDA!$A$32,
    moras[[#This Row],[TIPO_ASEGURAMIENTO]]
)</f>
        <v>ASALARIADO</v>
      </c>
    </row>
    <row r="1113" spans="1:16" x14ac:dyDescent="0.3">
      <c r="A1113">
        <v>1112</v>
      </c>
      <c r="B1113" t="s">
        <v>15</v>
      </c>
      <c r="C1113">
        <v>46939706</v>
      </c>
      <c r="D1113" t="s">
        <v>10</v>
      </c>
      <c r="E1113" t="s">
        <v>16</v>
      </c>
      <c r="F1113" t="s">
        <v>12</v>
      </c>
      <c r="G1113" t="s">
        <v>13</v>
      </c>
      <c r="H1113" t="s">
        <v>13</v>
      </c>
      <c r="I1113">
        <v>21</v>
      </c>
      <c r="J1113">
        <f>ABS((I1113-EDA!$A$15)/EDA!$B$15)</f>
        <v>1.4806416187611704</v>
      </c>
      <c r="K1113" t="str">
        <f t="shared" si="17"/>
        <v>No</v>
      </c>
      <c r="L1113">
        <f>ABS((C1113-EDA!$F$15)/EDA!$G$15)</f>
        <v>0.4054558709431792</v>
      </c>
      <c r="M1113" t="str">
        <f>IF(moras[[#This Row],[Z-Score Salario]]&gt;1.96, "Sí", "No")</f>
        <v>No</v>
      </c>
      <c r="N1113" s="14">
        <f>IF(ISBLANK(moras[[#This Row],[SALARIO]]), EDA!$M$8, moras[[#This Row],[SALARIO]])</f>
        <v>46939706</v>
      </c>
      <c r="O1113" s="14">
        <f xml:space="preserve"> IF(ISBLANK(moras[[#This Row],[EDAD]]), EDA!$E$8, moras[[#This Row],[EDAD]])</f>
        <v>21</v>
      </c>
      <c r="P1113" s="14" t="str">
        <f>IF(
    OR(ISBLANK(moras[[#This Row],[TIPO_ASEGURAMIENTO]]), moras[[#This Row],[TIPO_ASEGURAMIENTO]]=""),
    EDA!$A$32,
    moras[[#This Row],[TIPO_ASEGURAMIENTO]]
)</f>
        <v>ASALARIADO</v>
      </c>
    </row>
    <row r="1114" spans="1:16" x14ac:dyDescent="0.3">
      <c r="A1114">
        <v>1113</v>
      </c>
      <c r="B1114" t="s">
        <v>9</v>
      </c>
      <c r="C1114">
        <v>509509</v>
      </c>
      <c r="D1114" t="s">
        <v>18</v>
      </c>
      <c r="E1114" t="s">
        <v>16</v>
      </c>
      <c r="F1114" t="s">
        <v>12</v>
      </c>
      <c r="G1114" t="s">
        <v>13</v>
      </c>
      <c r="H1114" t="s">
        <v>12</v>
      </c>
      <c r="I1114">
        <v>48</v>
      </c>
      <c r="J1114">
        <f>ABS((I1114-EDA!$A$15)/EDA!$B$15)</f>
        <v>0.42489229332154227</v>
      </c>
      <c r="K1114" t="str">
        <f t="shared" si="17"/>
        <v>No</v>
      </c>
      <c r="L1114">
        <f>ABS((C1114-EDA!$F$15)/EDA!$G$15)</f>
        <v>0.36717538277920042</v>
      </c>
      <c r="M1114" t="str">
        <f>IF(moras[[#This Row],[Z-Score Salario]]&gt;1.96, "Sí", "No")</f>
        <v>No</v>
      </c>
      <c r="N1114" s="14">
        <f>IF(ISBLANK(moras[[#This Row],[SALARIO]]), EDA!$M$8, moras[[#This Row],[SALARIO]])</f>
        <v>509509</v>
      </c>
      <c r="O1114" s="14">
        <f xml:space="preserve"> IF(ISBLANK(moras[[#This Row],[EDAD]]), EDA!$E$8, moras[[#This Row],[EDAD]])</f>
        <v>48</v>
      </c>
      <c r="P1114" s="14" t="str">
        <f>IF(
    OR(ISBLANK(moras[[#This Row],[TIPO_ASEGURAMIENTO]]), moras[[#This Row],[TIPO_ASEGURAMIENTO]]=""),
    EDA!$A$32,
    moras[[#This Row],[TIPO_ASEGURAMIENTO]]
)</f>
        <v>TRABAJADOR INDEPENDIENTE</v>
      </c>
    </row>
    <row r="1115" spans="1:16" x14ac:dyDescent="0.3">
      <c r="A1115">
        <v>1114</v>
      </c>
      <c r="B1115" t="s">
        <v>15</v>
      </c>
      <c r="C1115">
        <v>297046</v>
      </c>
      <c r="D1115" t="s">
        <v>17</v>
      </c>
      <c r="E1115" t="s">
        <v>16</v>
      </c>
      <c r="F1115" t="s">
        <v>12</v>
      </c>
      <c r="G1115" t="s">
        <v>13</v>
      </c>
      <c r="H1115" t="s">
        <v>13</v>
      </c>
      <c r="I1115">
        <v>43</v>
      </c>
      <c r="J1115">
        <f>ABS((I1115-EDA!$A$15)/EDA!$B$15)</f>
        <v>7.2015642935854773E-2</v>
      </c>
      <c r="K1115" t="str">
        <f t="shared" si="17"/>
        <v>No</v>
      </c>
      <c r="L1115">
        <f>ABS((C1115-EDA!$F$15)/EDA!$G$15)</f>
        <v>0.37071091707942361</v>
      </c>
      <c r="M1115" t="str">
        <f>IF(moras[[#This Row],[Z-Score Salario]]&gt;1.96, "Sí", "No")</f>
        <v>No</v>
      </c>
      <c r="N1115" s="14">
        <f>IF(ISBLANK(moras[[#This Row],[SALARIO]]), EDA!$M$8, moras[[#This Row],[SALARIO]])</f>
        <v>297046</v>
      </c>
      <c r="O1115" s="14">
        <f xml:space="preserve"> IF(ISBLANK(moras[[#This Row],[EDAD]]), EDA!$E$8, moras[[#This Row],[EDAD]])</f>
        <v>43</v>
      </c>
      <c r="P1115" s="14" t="str">
        <f>IF(
    OR(ISBLANK(moras[[#This Row],[TIPO_ASEGURAMIENTO]]), moras[[#This Row],[TIPO_ASEGURAMIENTO]]=""),
    EDA!$A$32,
    moras[[#This Row],[TIPO_ASEGURAMIENTO]]
)</f>
        <v>ASEGURADO VOLUNTARIO</v>
      </c>
    </row>
    <row r="1116" spans="1:16" x14ac:dyDescent="0.3">
      <c r="A1116">
        <v>1115</v>
      </c>
      <c r="B1116" t="s">
        <v>15</v>
      </c>
      <c r="C1116">
        <v>326036</v>
      </c>
      <c r="D1116" t="s">
        <v>10</v>
      </c>
      <c r="E1116" t="s">
        <v>16</v>
      </c>
      <c r="F1116" t="s">
        <v>12</v>
      </c>
      <c r="G1116" t="s">
        <v>13</v>
      </c>
      <c r="H1116" t="s">
        <v>12</v>
      </c>
      <c r="I1116">
        <v>54</v>
      </c>
      <c r="J1116">
        <f>ABS((I1116-EDA!$A$15)/EDA!$B$15)</f>
        <v>0.84834427378436728</v>
      </c>
      <c r="K1116" t="str">
        <f t="shared" si="17"/>
        <v>No</v>
      </c>
      <c r="L1116">
        <f>ABS((C1116-EDA!$F$15)/EDA!$G$15)</f>
        <v>0.37022850301502896</v>
      </c>
      <c r="M1116" t="str">
        <f>IF(moras[[#This Row],[Z-Score Salario]]&gt;1.96, "Sí", "No")</f>
        <v>No</v>
      </c>
      <c r="N1116" s="14">
        <f>IF(ISBLANK(moras[[#This Row],[SALARIO]]), EDA!$M$8, moras[[#This Row],[SALARIO]])</f>
        <v>326036</v>
      </c>
      <c r="O1116" s="14">
        <f xml:space="preserve"> IF(ISBLANK(moras[[#This Row],[EDAD]]), EDA!$E$8, moras[[#This Row],[EDAD]])</f>
        <v>54</v>
      </c>
      <c r="P1116" s="14" t="str">
        <f>IF(
    OR(ISBLANK(moras[[#This Row],[TIPO_ASEGURAMIENTO]]), moras[[#This Row],[TIPO_ASEGURAMIENTO]]=""),
    EDA!$A$32,
    moras[[#This Row],[TIPO_ASEGURAMIENTO]]
)</f>
        <v>ASALARIADO</v>
      </c>
    </row>
    <row r="1117" spans="1:16" x14ac:dyDescent="0.3">
      <c r="A1117">
        <v>1116</v>
      </c>
      <c r="B1117" t="s">
        <v>9</v>
      </c>
      <c r="C1117">
        <v>297046</v>
      </c>
      <c r="D1117" t="s">
        <v>18</v>
      </c>
      <c r="E1117" t="s">
        <v>16</v>
      </c>
      <c r="F1117" t="s">
        <v>12</v>
      </c>
      <c r="G1117" t="s">
        <v>13</v>
      </c>
      <c r="H1117" t="s">
        <v>13</v>
      </c>
      <c r="I1117">
        <v>53</v>
      </c>
      <c r="J1117">
        <f>ABS((I1117-EDA!$A$15)/EDA!$B$15)</f>
        <v>0.77776894370722982</v>
      </c>
      <c r="K1117" t="str">
        <f t="shared" si="17"/>
        <v>No</v>
      </c>
      <c r="L1117">
        <f>ABS((C1117-EDA!$F$15)/EDA!$G$15)</f>
        <v>0.37071091707942361</v>
      </c>
      <c r="M1117" t="str">
        <f>IF(moras[[#This Row],[Z-Score Salario]]&gt;1.96, "Sí", "No")</f>
        <v>No</v>
      </c>
      <c r="N1117" s="14">
        <f>IF(ISBLANK(moras[[#This Row],[SALARIO]]), EDA!$M$8, moras[[#This Row],[SALARIO]])</f>
        <v>297046</v>
      </c>
      <c r="O1117" s="14">
        <f xml:space="preserve"> IF(ISBLANK(moras[[#This Row],[EDAD]]), EDA!$E$8, moras[[#This Row],[EDAD]])</f>
        <v>53</v>
      </c>
      <c r="P1117" s="14" t="str">
        <f>IF(
    OR(ISBLANK(moras[[#This Row],[TIPO_ASEGURAMIENTO]]), moras[[#This Row],[TIPO_ASEGURAMIENTO]]=""),
    EDA!$A$32,
    moras[[#This Row],[TIPO_ASEGURAMIENTO]]
)</f>
        <v>TRABAJADOR INDEPENDIENTE</v>
      </c>
    </row>
    <row r="1118" spans="1:16" x14ac:dyDescent="0.3">
      <c r="A1118">
        <v>1117</v>
      </c>
      <c r="B1118" t="s">
        <v>9</v>
      </c>
      <c r="C1118">
        <v>425000</v>
      </c>
      <c r="D1118" t="s">
        <v>10</v>
      </c>
      <c r="E1118" t="s">
        <v>16</v>
      </c>
      <c r="F1118" t="s">
        <v>12</v>
      </c>
      <c r="G1118" t="s">
        <v>13</v>
      </c>
      <c r="H1118" t="s">
        <v>13</v>
      </c>
      <c r="I1118">
        <v>20</v>
      </c>
      <c r="J1118">
        <f>ABS((I1118-EDA!$A$15)/EDA!$B$15)</f>
        <v>1.5512169488383079</v>
      </c>
      <c r="K1118" t="str">
        <f t="shared" si="17"/>
        <v>No</v>
      </c>
      <c r="L1118">
        <f>ABS((C1118-EDA!$F$15)/EDA!$G$15)</f>
        <v>0.36858167219513432</v>
      </c>
      <c r="M1118" t="str">
        <f>IF(moras[[#This Row],[Z-Score Salario]]&gt;1.96, "Sí", "No")</f>
        <v>No</v>
      </c>
      <c r="N1118" s="14">
        <f>IF(ISBLANK(moras[[#This Row],[SALARIO]]), EDA!$M$8, moras[[#This Row],[SALARIO]])</f>
        <v>425000</v>
      </c>
      <c r="O1118" s="14">
        <f xml:space="preserve"> IF(ISBLANK(moras[[#This Row],[EDAD]]), EDA!$E$8, moras[[#This Row],[EDAD]])</f>
        <v>20</v>
      </c>
      <c r="P1118" s="14" t="str">
        <f>IF(
    OR(ISBLANK(moras[[#This Row],[TIPO_ASEGURAMIENTO]]), moras[[#This Row],[TIPO_ASEGURAMIENTO]]=""),
    EDA!$A$32,
    moras[[#This Row],[TIPO_ASEGURAMIENTO]]
)</f>
        <v>ASALARIADO</v>
      </c>
    </row>
    <row r="1119" spans="1:16" x14ac:dyDescent="0.3">
      <c r="A1119">
        <v>1118</v>
      </c>
      <c r="B1119" t="s">
        <v>9</v>
      </c>
      <c r="C1119">
        <v>142710052</v>
      </c>
      <c r="D1119" t="s">
        <v>10</v>
      </c>
      <c r="E1119" t="s">
        <v>11</v>
      </c>
      <c r="F1119" t="s">
        <v>12</v>
      </c>
      <c r="G1119" t="s">
        <v>13</v>
      </c>
      <c r="H1119" t="s">
        <v>13</v>
      </c>
      <c r="I1119">
        <v>44</v>
      </c>
      <c r="J1119">
        <f>ABS((I1119-EDA!$A$15)/EDA!$B$15)</f>
        <v>0.14259097301299228</v>
      </c>
      <c r="K1119" t="str">
        <f t="shared" si="17"/>
        <v>No</v>
      </c>
      <c r="L1119">
        <f>ABS((C1119-EDA!$F$15)/EDA!$G$15)</f>
        <v>1.9991420338385484</v>
      </c>
      <c r="M1119" t="str">
        <f>IF(moras[[#This Row],[Z-Score Salario]]&gt;1.96, "Sí", "No")</f>
        <v>Sí</v>
      </c>
      <c r="N1119" s="14">
        <f>IF(ISBLANK(moras[[#This Row],[SALARIO]]), EDA!$M$8, moras[[#This Row],[SALARIO]])</f>
        <v>142710052</v>
      </c>
      <c r="O1119" s="14">
        <f xml:space="preserve"> IF(ISBLANK(moras[[#This Row],[EDAD]]), EDA!$E$8, moras[[#This Row],[EDAD]])</f>
        <v>44</v>
      </c>
      <c r="P1119" s="14" t="str">
        <f>IF(
    OR(ISBLANK(moras[[#This Row],[TIPO_ASEGURAMIENTO]]), moras[[#This Row],[TIPO_ASEGURAMIENTO]]=""),
    EDA!$A$32,
    moras[[#This Row],[TIPO_ASEGURAMIENTO]]
)</f>
        <v>ASALARIADO</v>
      </c>
    </row>
    <row r="1120" spans="1:16" x14ac:dyDescent="0.3">
      <c r="A1120">
        <v>1119</v>
      </c>
      <c r="B1120" t="s">
        <v>9</v>
      </c>
      <c r="C1120">
        <v>321287</v>
      </c>
      <c r="D1120" t="s">
        <v>17</v>
      </c>
      <c r="E1120" t="s">
        <v>16</v>
      </c>
      <c r="F1120" t="s">
        <v>12</v>
      </c>
      <c r="G1120" t="s">
        <v>13</v>
      </c>
      <c r="H1120" t="s">
        <v>13</v>
      </c>
      <c r="I1120">
        <v>54</v>
      </c>
      <c r="J1120">
        <f>ABS((I1120-EDA!$A$15)/EDA!$B$15)</f>
        <v>0.84834427378436728</v>
      </c>
      <c r="K1120" t="str">
        <f t="shared" si="17"/>
        <v>No</v>
      </c>
      <c r="L1120">
        <f>ABS((C1120-EDA!$F$15)/EDA!$G$15)</f>
        <v>0.37030752972740599</v>
      </c>
      <c r="M1120" t="str">
        <f>IF(moras[[#This Row],[Z-Score Salario]]&gt;1.96, "Sí", "No")</f>
        <v>No</v>
      </c>
      <c r="N1120" s="14">
        <f>IF(ISBLANK(moras[[#This Row],[SALARIO]]), EDA!$M$8, moras[[#This Row],[SALARIO]])</f>
        <v>321287</v>
      </c>
      <c r="O1120" s="14">
        <f xml:space="preserve"> IF(ISBLANK(moras[[#This Row],[EDAD]]), EDA!$E$8, moras[[#This Row],[EDAD]])</f>
        <v>54</v>
      </c>
      <c r="P1120" s="14" t="str">
        <f>IF(
    OR(ISBLANK(moras[[#This Row],[TIPO_ASEGURAMIENTO]]), moras[[#This Row],[TIPO_ASEGURAMIENTO]]=""),
    EDA!$A$32,
    moras[[#This Row],[TIPO_ASEGURAMIENTO]]
)</f>
        <v>ASEGURADO VOLUNTARIO</v>
      </c>
    </row>
    <row r="1121" spans="1:16" x14ac:dyDescent="0.3">
      <c r="A1121">
        <v>1120</v>
      </c>
      <c r="B1121" t="s">
        <v>9</v>
      </c>
      <c r="C1121">
        <v>610142</v>
      </c>
      <c r="D1121" t="s">
        <v>18</v>
      </c>
      <c r="E1121" t="s">
        <v>16</v>
      </c>
      <c r="F1121" t="s">
        <v>12</v>
      </c>
      <c r="G1121" t="s">
        <v>13</v>
      </c>
      <c r="H1121" t="s">
        <v>13</v>
      </c>
      <c r="I1121">
        <v>61</v>
      </c>
      <c r="J1121">
        <f>ABS((I1121-EDA!$A$15)/EDA!$B$15)</f>
        <v>1.3423715843243298</v>
      </c>
      <c r="K1121" t="str">
        <f t="shared" si="17"/>
        <v>No</v>
      </c>
      <c r="L1121">
        <f>ABS((C1121-EDA!$F$15)/EDA!$G$15)</f>
        <v>0.36550077862113828</v>
      </c>
      <c r="M1121" t="str">
        <f>IF(moras[[#This Row],[Z-Score Salario]]&gt;1.96, "Sí", "No")</f>
        <v>No</v>
      </c>
      <c r="N1121" s="14">
        <f>IF(ISBLANK(moras[[#This Row],[SALARIO]]), EDA!$M$8, moras[[#This Row],[SALARIO]])</f>
        <v>610142</v>
      </c>
      <c r="O1121" s="14">
        <f xml:space="preserve"> IF(ISBLANK(moras[[#This Row],[EDAD]]), EDA!$E$8, moras[[#This Row],[EDAD]])</f>
        <v>61</v>
      </c>
      <c r="P1121" s="14" t="str">
        <f>IF(
    OR(ISBLANK(moras[[#This Row],[TIPO_ASEGURAMIENTO]]), moras[[#This Row],[TIPO_ASEGURAMIENTO]]=""),
    EDA!$A$32,
    moras[[#This Row],[TIPO_ASEGURAMIENTO]]
)</f>
        <v>TRABAJADOR INDEPENDIENTE</v>
      </c>
    </row>
    <row r="1122" spans="1:16" x14ac:dyDescent="0.3">
      <c r="A1122">
        <v>1121</v>
      </c>
      <c r="B1122" t="s">
        <v>9</v>
      </c>
      <c r="C1122">
        <v>1602501</v>
      </c>
      <c r="D1122" t="s">
        <v>14</v>
      </c>
      <c r="E1122" t="s">
        <v>11</v>
      </c>
      <c r="F1122" t="s">
        <v>12</v>
      </c>
      <c r="G1122" t="s">
        <v>13</v>
      </c>
      <c r="H1122" t="s">
        <v>13</v>
      </c>
      <c r="I1122">
        <v>60</v>
      </c>
      <c r="J1122">
        <f>ABS((I1122-EDA!$A$15)/EDA!$B$15)</f>
        <v>1.2717962542471923</v>
      </c>
      <c r="K1122" t="str">
        <f t="shared" si="17"/>
        <v>No</v>
      </c>
      <c r="L1122">
        <f>ABS((C1122-EDA!$F$15)/EDA!$G$15)</f>
        <v>0.3489872243428162</v>
      </c>
      <c r="M1122" t="str">
        <f>IF(moras[[#This Row],[Z-Score Salario]]&gt;1.96, "Sí", "No")</f>
        <v>No</v>
      </c>
      <c r="N1122" s="14">
        <f>IF(ISBLANK(moras[[#This Row],[SALARIO]]), EDA!$M$8, moras[[#This Row],[SALARIO]])</f>
        <v>1602501</v>
      </c>
      <c r="O1122" s="14">
        <f xml:space="preserve"> IF(ISBLANK(moras[[#This Row],[EDAD]]), EDA!$E$8, moras[[#This Row],[EDAD]])</f>
        <v>60</v>
      </c>
      <c r="P1122" s="14" t="str">
        <f>IF(
    OR(ISBLANK(moras[[#This Row],[TIPO_ASEGURAMIENTO]]), moras[[#This Row],[TIPO_ASEGURAMIENTO]]=""),
    EDA!$A$32,
    moras[[#This Row],[TIPO_ASEGURAMIENTO]]
)</f>
        <v>PENSIONADOS EN SU PROPIO SISTEMA</v>
      </c>
    </row>
    <row r="1123" spans="1:16" x14ac:dyDescent="0.3">
      <c r="A1123">
        <v>1122</v>
      </c>
      <c r="B1123" t="s">
        <v>9</v>
      </c>
      <c r="C1123">
        <v>44008631</v>
      </c>
      <c r="D1123" t="s">
        <v>10</v>
      </c>
      <c r="E1123" t="s">
        <v>16</v>
      </c>
      <c r="F1123" t="s">
        <v>12</v>
      </c>
      <c r="G1123" t="s">
        <v>13</v>
      </c>
      <c r="H1123" t="s">
        <v>13</v>
      </c>
      <c r="I1123">
        <v>53</v>
      </c>
      <c r="J1123">
        <f>ABS((I1123-EDA!$A$15)/EDA!$B$15)</f>
        <v>0.77776894370722982</v>
      </c>
      <c r="K1123" t="str">
        <f t="shared" si="17"/>
        <v>No</v>
      </c>
      <c r="L1123">
        <f>ABS((C1123-EDA!$F$15)/EDA!$G$15)</f>
        <v>0.35668071386158584</v>
      </c>
      <c r="M1123" t="str">
        <f>IF(moras[[#This Row],[Z-Score Salario]]&gt;1.96, "Sí", "No")</f>
        <v>No</v>
      </c>
      <c r="N1123" s="14">
        <f>IF(ISBLANK(moras[[#This Row],[SALARIO]]), EDA!$M$8, moras[[#This Row],[SALARIO]])</f>
        <v>44008631</v>
      </c>
      <c r="O1123" s="14">
        <f xml:space="preserve"> IF(ISBLANK(moras[[#This Row],[EDAD]]), EDA!$E$8, moras[[#This Row],[EDAD]])</f>
        <v>53</v>
      </c>
      <c r="P1123" s="14" t="str">
        <f>IF(
    OR(ISBLANK(moras[[#This Row],[TIPO_ASEGURAMIENTO]]), moras[[#This Row],[TIPO_ASEGURAMIENTO]]=""),
    EDA!$A$32,
    moras[[#This Row],[TIPO_ASEGURAMIENTO]]
)</f>
        <v>ASALARIADO</v>
      </c>
    </row>
    <row r="1124" spans="1:16" x14ac:dyDescent="0.3">
      <c r="A1124">
        <v>1123</v>
      </c>
      <c r="B1124" t="s">
        <v>9</v>
      </c>
      <c r="C1124">
        <v>812849</v>
      </c>
      <c r="D1124" t="s">
        <v>17</v>
      </c>
      <c r="E1124" t="s">
        <v>16</v>
      </c>
      <c r="F1124" t="s">
        <v>12</v>
      </c>
      <c r="G1124" t="s">
        <v>12</v>
      </c>
      <c r="H1124" t="s">
        <v>13</v>
      </c>
      <c r="I1124">
        <v>74</v>
      </c>
      <c r="J1124">
        <f>ABS((I1124-EDA!$A$15)/EDA!$B$15)</f>
        <v>2.2598508753271176</v>
      </c>
      <c r="K1124" t="str">
        <f t="shared" si="17"/>
        <v>Sí</v>
      </c>
      <c r="L1124">
        <f>ABS((C1124-EDA!$F$15)/EDA!$G$15)</f>
        <v>0.36212759104779452</v>
      </c>
      <c r="M1124" t="str">
        <f>IF(moras[[#This Row],[Z-Score Salario]]&gt;1.96, "Sí", "No")</f>
        <v>No</v>
      </c>
      <c r="N1124" s="14">
        <f>IF(ISBLANK(moras[[#This Row],[SALARIO]]), EDA!$M$8, moras[[#This Row],[SALARIO]])</f>
        <v>812849</v>
      </c>
      <c r="O1124" s="14">
        <f xml:space="preserve"> IF(ISBLANK(moras[[#This Row],[EDAD]]), EDA!$E$8, moras[[#This Row],[EDAD]])</f>
        <v>74</v>
      </c>
      <c r="P1124" s="14" t="str">
        <f>IF(
    OR(ISBLANK(moras[[#This Row],[TIPO_ASEGURAMIENTO]]), moras[[#This Row],[TIPO_ASEGURAMIENTO]]=""),
    EDA!$A$32,
    moras[[#This Row],[TIPO_ASEGURAMIENTO]]
)</f>
        <v>ASEGURADO VOLUNTARIO</v>
      </c>
    </row>
    <row r="1125" spans="1:16" x14ac:dyDescent="0.3">
      <c r="A1125">
        <v>1124</v>
      </c>
      <c r="B1125" t="s">
        <v>9</v>
      </c>
      <c r="C1125">
        <v>449060</v>
      </c>
      <c r="D1125" t="s">
        <v>10</v>
      </c>
      <c r="E1125" t="s">
        <v>11</v>
      </c>
      <c r="F1125" t="s">
        <v>12</v>
      </c>
      <c r="G1125" t="s">
        <v>13</v>
      </c>
      <c r="H1125" t="s">
        <v>12</v>
      </c>
      <c r="I1125">
        <v>58</v>
      </c>
      <c r="J1125">
        <f>ABS((I1125-EDA!$A$15)/EDA!$B$15)</f>
        <v>1.1306455940929174</v>
      </c>
      <c r="K1125" t="str">
        <f t="shared" si="17"/>
        <v>No</v>
      </c>
      <c r="L1125">
        <f>ABS((C1125-EDA!$F$15)/EDA!$G$15)</f>
        <v>0.36818129681088685</v>
      </c>
      <c r="M1125" t="str">
        <f>IF(moras[[#This Row],[Z-Score Salario]]&gt;1.96, "Sí", "No")</f>
        <v>No</v>
      </c>
      <c r="N1125" s="14">
        <f>IF(ISBLANK(moras[[#This Row],[SALARIO]]), EDA!$M$8, moras[[#This Row],[SALARIO]])</f>
        <v>449060</v>
      </c>
      <c r="O1125" s="14">
        <f xml:space="preserve"> IF(ISBLANK(moras[[#This Row],[EDAD]]), EDA!$E$8, moras[[#This Row],[EDAD]])</f>
        <v>58</v>
      </c>
      <c r="P1125" s="14" t="str">
        <f>IF(
    OR(ISBLANK(moras[[#This Row],[TIPO_ASEGURAMIENTO]]), moras[[#This Row],[TIPO_ASEGURAMIENTO]]=""),
    EDA!$A$32,
    moras[[#This Row],[TIPO_ASEGURAMIENTO]]
)</f>
        <v>ASALARIADO</v>
      </c>
    </row>
    <row r="1126" spans="1:16" x14ac:dyDescent="0.3">
      <c r="A1126">
        <v>1125</v>
      </c>
      <c r="B1126" t="s">
        <v>9</v>
      </c>
      <c r="C1126">
        <v>326753</v>
      </c>
      <c r="D1126" t="s">
        <v>17</v>
      </c>
      <c r="E1126" t="s">
        <v>16</v>
      </c>
      <c r="F1126" t="s">
        <v>12</v>
      </c>
      <c r="G1126" t="s">
        <v>13</v>
      </c>
      <c r="H1126" t="s">
        <v>13</v>
      </c>
      <c r="I1126">
        <v>42</v>
      </c>
      <c r="J1126">
        <f>ABS((I1126-EDA!$A$15)/EDA!$B$15)</f>
        <v>1.4403128587172659E-3</v>
      </c>
      <c r="K1126" t="str">
        <f t="shared" si="17"/>
        <v>No</v>
      </c>
      <c r="L1126">
        <f>ABS((C1126-EDA!$F$15)/EDA!$G$15)</f>
        <v>0.37021657162888993</v>
      </c>
      <c r="M1126" t="str">
        <f>IF(moras[[#This Row],[Z-Score Salario]]&gt;1.96, "Sí", "No")</f>
        <v>No</v>
      </c>
      <c r="N1126" s="14">
        <f>IF(ISBLANK(moras[[#This Row],[SALARIO]]), EDA!$M$8, moras[[#This Row],[SALARIO]])</f>
        <v>326753</v>
      </c>
      <c r="O1126" s="14">
        <f xml:space="preserve"> IF(ISBLANK(moras[[#This Row],[EDAD]]), EDA!$E$8, moras[[#This Row],[EDAD]])</f>
        <v>42</v>
      </c>
      <c r="P1126" s="14" t="str">
        <f>IF(
    OR(ISBLANK(moras[[#This Row],[TIPO_ASEGURAMIENTO]]), moras[[#This Row],[TIPO_ASEGURAMIENTO]]=""),
    EDA!$A$32,
    moras[[#This Row],[TIPO_ASEGURAMIENTO]]
)</f>
        <v>ASEGURADO VOLUNTARIO</v>
      </c>
    </row>
    <row r="1127" spans="1:16" x14ac:dyDescent="0.3">
      <c r="A1127">
        <v>1126</v>
      </c>
      <c r="B1127" t="s">
        <v>9</v>
      </c>
      <c r="C1127">
        <v>36406251</v>
      </c>
      <c r="D1127" t="s">
        <v>10</v>
      </c>
      <c r="E1127" t="s">
        <v>16</v>
      </c>
      <c r="F1127" t="s">
        <v>12</v>
      </c>
      <c r="G1127" t="s">
        <v>13</v>
      </c>
      <c r="H1127" t="s">
        <v>13</v>
      </c>
      <c r="I1127">
        <v>27</v>
      </c>
      <c r="J1127">
        <f>ABS((I1127-EDA!$A$15)/EDA!$B$15)</f>
        <v>1.0571896382983452</v>
      </c>
      <c r="K1127" t="str">
        <f t="shared" si="17"/>
        <v>No</v>
      </c>
      <c r="L1127">
        <f>ABS((C1127-EDA!$F$15)/EDA!$G$15)</f>
        <v>0.2301717440488163</v>
      </c>
      <c r="M1127" t="str">
        <f>IF(moras[[#This Row],[Z-Score Salario]]&gt;1.96, "Sí", "No")</f>
        <v>No</v>
      </c>
      <c r="N1127" s="14">
        <f>IF(ISBLANK(moras[[#This Row],[SALARIO]]), EDA!$M$8, moras[[#This Row],[SALARIO]])</f>
        <v>36406251</v>
      </c>
      <c r="O1127" s="14">
        <f xml:space="preserve"> IF(ISBLANK(moras[[#This Row],[EDAD]]), EDA!$E$8, moras[[#This Row],[EDAD]])</f>
        <v>27</v>
      </c>
      <c r="P1127" s="14" t="str">
        <f>IF(
    OR(ISBLANK(moras[[#This Row],[TIPO_ASEGURAMIENTO]]), moras[[#This Row],[TIPO_ASEGURAMIENTO]]=""),
    EDA!$A$32,
    moras[[#This Row],[TIPO_ASEGURAMIENTO]]
)</f>
        <v>ASALARIADO</v>
      </c>
    </row>
    <row r="1128" spans="1:16" x14ac:dyDescent="0.3">
      <c r="A1128">
        <v>1127</v>
      </c>
      <c r="B1128" t="s">
        <v>9</v>
      </c>
      <c r="C1128">
        <v>27803099</v>
      </c>
      <c r="D1128" t="s">
        <v>19</v>
      </c>
      <c r="E1128" t="s">
        <v>16</v>
      </c>
      <c r="F1128" t="s">
        <v>12</v>
      </c>
      <c r="G1128" t="s">
        <v>13</v>
      </c>
      <c r="H1128" t="s">
        <v>13</v>
      </c>
      <c r="I1128">
        <v>31</v>
      </c>
      <c r="J1128">
        <f>ABS((I1128-EDA!$A$15)/EDA!$B$15)</f>
        <v>0.77488831798979529</v>
      </c>
      <c r="K1128" t="str">
        <f t="shared" si="17"/>
        <v>No</v>
      </c>
      <c r="L1128">
        <f>ABS((C1128-EDA!$F$15)/EDA!$G$15)</f>
        <v>8.7009221698885322E-2</v>
      </c>
      <c r="M1128" t="str">
        <f>IF(moras[[#This Row],[Z-Score Salario]]&gt;1.96, "Sí", "No")</f>
        <v>No</v>
      </c>
      <c r="N1128" s="14">
        <f>IF(ISBLANK(moras[[#This Row],[SALARIO]]), EDA!$M$8, moras[[#This Row],[SALARIO]])</f>
        <v>27803099</v>
      </c>
      <c r="O1128" s="14">
        <f xml:space="preserve"> IF(ISBLANK(moras[[#This Row],[EDAD]]), EDA!$E$8, moras[[#This Row],[EDAD]])</f>
        <v>31</v>
      </c>
      <c r="P1128" s="14" t="str">
        <f>IF(
    OR(ISBLANK(moras[[#This Row],[TIPO_ASEGURAMIENTO]]), moras[[#This Row],[TIPO_ASEGURAMIENTO]]=""),
    EDA!$A$32,
    moras[[#This Row],[TIPO_ASEGURAMIENTO]]
)</f>
        <v>CONVENIOS ESPECIALES DE TRABAJADORES INDEPENDIENTES</v>
      </c>
    </row>
    <row r="1129" spans="1:16" x14ac:dyDescent="0.3">
      <c r="A1129">
        <v>1128</v>
      </c>
      <c r="B1129" t="s">
        <v>9</v>
      </c>
      <c r="C1129">
        <v>87664038</v>
      </c>
      <c r="D1129" t="s">
        <v>10</v>
      </c>
      <c r="E1129" t="s">
        <v>16</v>
      </c>
      <c r="F1129" t="s">
        <v>12</v>
      </c>
      <c r="G1129" t="s">
        <v>13</v>
      </c>
      <c r="H1129" t="s">
        <v>13</v>
      </c>
      <c r="I1129">
        <v>49</v>
      </c>
      <c r="J1129">
        <f>ABS((I1129-EDA!$A$15)/EDA!$B$15)</f>
        <v>0.49546762339867978</v>
      </c>
      <c r="K1129" t="str">
        <f t="shared" si="17"/>
        <v>No</v>
      </c>
      <c r="L1129">
        <f>ABS((C1129-EDA!$F$15)/EDA!$G$15)</f>
        <v>1.0831375032258599</v>
      </c>
      <c r="M1129" t="str">
        <f>IF(moras[[#This Row],[Z-Score Salario]]&gt;1.96, "Sí", "No")</f>
        <v>No</v>
      </c>
      <c r="N1129" s="14">
        <f>IF(ISBLANK(moras[[#This Row],[SALARIO]]), EDA!$M$8, moras[[#This Row],[SALARIO]])</f>
        <v>87664038</v>
      </c>
      <c r="O1129" s="14">
        <f xml:space="preserve"> IF(ISBLANK(moras[[#This Row],[EDAD]]), EDA!$E$8, moras[[#This Row],[EDAD]])</f>
        <v>49</v>
      </c>
      <c r="P1129" s="14" t="str">
        <f>IF(
    OR(ISBLANK(moras[[#This Row],[TIPO_ASEGURAMIENTO]]), moras[[#This Row],[TIPO_ASEGURAMIENTO]]=""),
    EDA!$A$32,
    moras[[#This Row],[TIPO_ASEGURAMIENTO]]
)</f>
        <v>ASALARIADO</v>
      </c>
    </row>
    <row r="1130" spans="1:16" x14ac:dyDescent="0.3">
      <c r="A1130">
        <v>1129</v>
      </c>
      <c r="B1130" t="s">
        <v>9</v>
      </c>
      <c r="C1130">
        <v>288203</v>
      </c>
      <c r="D1130" t="s">
        <v>10</v>
      </c>
      <c r="E1130" t="s">
        <v>11</v>
      </c>
      <c r="F1130" t="s">
        <v>12</v>
      </c>
      <c r="G1130" t="s">
        <v>13</v>
      </c>
      <c r="H1130" t="s">
        <v>12</v>
      </c>
      <c r="I1130">
        <v>26</v>
      </c>
      <c r="J1130">
        <f>ABS((I1130-EDA!$A$15)/EDA!$B$15)</f>
        <v>1.1277649683754829</v>
      </c>
      <c r="K1130" t="str">
        <f t="shared" si="17"/>
        <v>No</v>
      </c>
      <c r="L1130">
        <f>ABS((C1130-EDA!$F$15)/EDA!$G$15)</f>
        <v>0.37085807084180517</v>
      </c>
      <c r="M1130" t="str">
        <f>IF(moras[[#This Row],[Z-Score Salario]]&gt;1.96, "Sí", "No")</f>
        <v>No</v>
      </c>
      <c r="N1130" s="14">
        <f>IF(ISBLANK(moras[[#This Row],[SALARIO]]), EDA!$M$8, moras[[#This Row],[SALARIO]])</f>
        <v>288203</v>
      </c>
      <c r="O1130" s="14">
        <f xml:space="preserve"> IF(ISBLANK(moras[[#This Row],[EDAD]]), EDA!$E$8, moras[[#This Row],[EDAD]])</f>
        <v>26</v>
      </c>
      <c r="P1130" s="14" t="str">
        <f>IF(
    OR(ISBLANK(moras[[#This Row],[TIPO_ASEGURAMIENTO]]), moras[[#This Row],[TIPO_ASEGURAMIENTO]]=""),
    EDA!$A$32,
    moras[[#This Row],[TIPO_ASEGURAMIENTO]]
)</f>
        <v>ASALARIADO</v>
      </c>
    </row>
    <row r="1131" spans="1:16" x14ac:dyDescent="0.3">
      <c r="A1131">
        <v>1130</v>
      </c>
      <c r="B1131" t="s">
        <v>9</v>
      </c>
      <c r="C1131">
        <v>5145083</v>
      </c>
      <c r="D1131" t="s">
        <v>10</v>
      </c>
      <c r="E1131" t="s">
        <v>16</v>
      </c>
      <c r="F1131" t="s">
        <v>12</v>
      </c>
      <c r="G1131" t="s">
        <v>12</v>
      </c>
      <c r="H1131" t="s">
        <v>13</v>
      </c>
      <c r="I1131">
        <v>50</v>
      </c>
      <c r="J1131">
        <f>ABS((I1131-EDA!$A$15)/EDA!$B$15)</f>
        <v>0.56604295347581735</v>
      </c>
      <c r="K1131" t="str">
        <f t="shared" si="17"/>
        <v>No</v>
      </c>
      <c r="L1131">
        <f>ABS((C1131-EDA!$F$15)/EDA!$G$15)</f>
        <v>0.29003615911097291</v>
      </c>
      <c r="M1131" t="str">
        <f>IF(moras[[#This Row],[Z-Score Salario]]&gt;1.96, "Sí", "No")</f>
        <v>No</v>
      </c>
      <c r="N1131" s="14">
        <f>IF(ISBLANK(moras[[#This Row],[SALARIO]]), EDA!$M$8, moras[[#This Row],[SALARIO]])</f>
        <v>5145083</v>
      </c>
      <c r="O1131" s="14">
        <f xml:space="preserve"> IF(ISBLANK(moras[[#This Row],[EDAD]]), EDA!$E$8, moras[[#This Row],[EDAD]])</f>
        <v>50</v>
      </c>
      <c r="P1131" s="14" t="str">
        <f>IF(
    OR(ISBLANK(moras[[#This Row],[TIPO_ASEGURAMIENTO]]), moras[[#This Row],[TIPO_ASEGURAMIENTO]]=""),
    EDA!$A$32,
    moras[[#This Row],[TIPO_ASEGURAMIENTO]]
)</f>
        <v>ASALARIADO</v>
      </c>
    </row>
    <row r="1132" spans="1:16" x14ac:dyDescent="0.3">
      <c r="A1132">
        <v>1131</v>
      </c>
      <c r="B1132" t="s">
        <v>9</v>
      </c>
      <c r="C1132">
        <v>53844665</v>
      </c>
      <c r="D1132" t="s">
        <v>10</v>
      </c>
      <c r="E1132" t="s">
        <v>16</v>
      </c>
      <c r="F1132" t="s">
        <v>12</v>
      </c>
      <c r="G1132" t="s">
        <v>13</v>
      </c>
      <c r="H1132" t="s">
        <v>13</v>
      </c>
      <c r="I1132">
        <v>28</v>
      </c>
      <c r="J1132">
        <f>ABS((I1132-EDA!$A$15)/EDA!$B$15)</f>
        <v>0.98661430822120777</v>
      </c>
      <c r="K1132" t="str">
        <f t="shared" si="17"/>
        <v>No</v>
      </c>
      <c r="L1132">
        <f>ABS((C1132-EDA!$F$15)/EDA!$G$15)</f>
        <v>0.52035926299795832</v>
      </c>
      <c r="M1132" t="str">
        <f>IF(moras[[#This Row],[Z-Score Salario]]&gt;1.96, "Sí", "No")</f>
        <v>No</v>
      </c>
      <c r="N1132" s="14">
        <f>IF(ISBLANK(moras[[#This Row],[SALARIO]]), EDA!$M$8, moras[[#This Row],[SALARIO]])</f>
        <v>53844665</v>
      </c>
      <c r="O1132" s="14">
        <f xml:space="preserve"> IF(ISBLANK(moras[[#This Row],[EDAD]]), EDA!$E$8, moras[[#This Row],[EDAD]])</f>
        <v>28</v>
      </c>
      <c r="P1132" s="14" t="str">
        <f>IF(
    OR(ISBLANK(moras[[#This Row],[TIPO_ASEGURAMIENTO]]), moras[[#This Row],[TIPO_ASEGURAMIENTO]]=""),
    EDA!$A$32,
    moras[[#This Row],[TIPO_ASEGURAMIENTO]]
)</f>
        <v>ASALARIADO</v>
      </c>
    </row>
    <row r="1133" spans="1:16" x14ac:dyDescent="0.3">
      <c r="A1133">
        <v>1132</v>
      </c>
      <c r="B1133" t="s">
        <v>15</v>
      </c>
      <c r="C1133">
        <v>19825715</v>
      </c>
      <c r="D1133" t="s">
        <v>14</v>
      </c>
      <c r="E1133" t="s">
        <v>11</v>
      </c>
      <c r="F1133" t="s">
        <v>12</v>
      </c>
      <c r="G1133" t="s">
        <v>13</v>
      </c>
      <c r="H1133" t="s">
        <v>13</v>
      </c>
      <c r="I1133">
        <v>97</v>
      </c>
      <c r="J1133">
        <f>ABS((I1133-EDA!$A$15)/EDA!$B$15)</f>
        <v>3.8830834671012799</v>
      </c>
      <c r="K1133" t="str">
        <f t="shared" si="17"/>
        <v>Sí</v>
      </c>
      <c r="L1133">
        <f>ABS((C1133-EDA!$F$15)/EDA!$G$15)</f>
        <v>4.574007939378185E-2</v>
      </c>
      <c r="M1133" t="str">
        <f>IF(moras[[#This Row],[Z-Score Salario]]&gt;1.96, "Sí", "No")</f>
        <v>No</v>
      </c>
      <c r="N1133" s="14">
        <f>IF(ISBLANK(moras[[#This Row],[SALARIO]]), EDA!$M$8, moras[[#This Row],[SALARIO]])</f>
        <v>19825715</v>
      </c>
      <c r="O1133" s="14">
        <f xml:space="preserve"> IF(ISBLANK(moras[[#This Row],[EDAD]]), EDA!$E$8, moras[[#This Row],[EDAD]])</f>
        <v>97</v>
      </c>
      <c r="P1133" s="14" t="str">
        <f>IF(
    OR(ISBLANK(moras[[#This Row],[TIPO_ASEGURAMIENTO]]), moras[[#This Row],[TIPO_ASEGURAMIENTO]]=""),
    EDA!$A$32,
    moras[[#This Row],[TIPO_ASEGURAMIENTO]]
)</f>
        <v>PENSIONADOS EN SU PROPIO SISTEMA</v>
      </c>
    </row>
    <row r="1134" spans="1:16" x14ac:dyDescent="0.3">
      <c r="A1134">
        <v>1133</v>
      </c>
      <c r="B1134" t="s">
        <v>9</v>
      </c>
      <c r="C1134">
        <v>278030</v>
      </c>
      <c r="D1134" t="s">
        <v>19</v>
      </c>
      <c r="E1134" t="s">
        <v>16</v>
      </c>
      <c r="F1134" t="s">
        <v>12</v>
      </c>
      <c r="G1134" t="s">
        <v>12</v>
      </c>
      <c r="H1134" t="s">
        <v>13</v>
      </c>
      <c r="I1134">
        <v>39</v>
      </c>
      <c r="J1134">
        <f>ABS((I1134-EDA!$A$15)/EDA!$B$15)</f>
        <v>0.21028567737269524</v>
      </c>
      <c r="K1134" t="str">
        <f t="shared" si="17"/>
        <v>No</v>
      </c>
      <c r="L1134">
        <f>ABS((C1134-EDA!$F$15)/EDA!$G$15)</f>
        <v>0.37102735674304993</v>
      </c>
      <c r="M1134" t="str">
        <f>IF(moras[[#This Row],[Z-Score Salario]]&gt;1.96, "Sí", "No")</f>
        <v>No</v>
      </c>
      <c r="N1134" s="14">
        <f>IF(ISBLANK(moras[[#This Row],[SALARIO]]), EDA!$M$8, moras[[#This Row],[SALARIO]])</f>
        <v>278030</v>
      </c>
      <c r="O1134" s="14">
        <f xml:space="preserve"> IF(ISBLANK(moras[[#This Row],[EDAD]]), EDA!$E$8, moras[[#This Row],[EDAD]])</f>
        <v>39</v>
      </c>
      <c r="P1134" s="14" t="str">
        <f>IF(
    OR(ISBLANK(moras[[#This Row],[TIPO_ASEGURAMIENTO]]), moras[[#This Row],[TIPO_ASEGURAMIENTO]]=""),
    EDA!$A$32,
    moras[[#This Row],[TIPO_ASEGURAMIENTO]]
)</f>
        <v>CONVENIOS ESPECIALES DE TRABAJADORES INDEPENDIENTES</v>
      </c>
    </row>
    <row r="1135" spans="1:16" x14ac:dyDescent="0.3">
      <c r="A1135">
        <v>1134</v>
      </c>
      <c r="B1135" t="s">
        <v>9</v>
      </c>
      <c r="C1135">
        <v>636889</v>
      </c>
      <c r="D1135" t="s">
        <v>18</v>
      </c>
      <c r="E1135" t="s">
        <v>16</v>
      </c>
      <c r="F1135" t="s">
        <v>12</v>
      </c>
      <c r="G1135" t="s">
        <v>13</v>
      </c>
      <c r="H1135" t="s">
        <v>12</v>
      </c>
      <c r="I1135">
        <v>49</v>
      </c>
      <c r="J1135">
        <f>ABS((I1135-EDA!$A$15)/EDA!$B$15)</f>
        <v>0.49546762339867978</v>
      </c>
      <c r="K1135" t="str">
        <f t="shared" si="17"/>
        <v>No</v>
      </c>
      <c r="L1135">
        <f>ABS((C1135-EDA!$F$15)/EDA!$G$15)</f>
        <v>0.36505568966010477</v>
      </c>
      <c r="M1135" t="str">
        <f>IF(moras[[#This Row],[Z-Score Salario]]&gt;1.96, "Sí", "No")</f>
        <v>No</v>
      </c>
      <c r="N1135" s="14">
        <f>IF(ISBLANK(moras[[#This Row],[SALARIO]]), EDA!$M$8, moras[[#This Row],[SALARIO]])</f>
        <v>636889</v>
      </c>
      <c r="O1135" s="14">
        <f xml:space="preserve"> IF(ISBLANK(moras[[#This Row],[EDAD]]), EDA!$E$8, moras[[#This Row],[EDAD]])</f>
        <v>49</v>
      </c>
      <c r="P1135" s="14" t="str">
        <f>IF(
    OR(ISBLANK(moras[[#This Row],[TIPO_ASEGURAMIENTO]]), moras[[#This Row],[TIPO_ASEGURAMIENTO]]=""),
    EDA!$A$32,
    moras[[#This Row],[TIPO_ASEGURAMIENTO]]
)</f>
        <v>TRABAJADOR INDEPENDIENTE</v>
      </c>
    </row>
    <row r="1136" spans="1:16" x14ac:dyDescent="0.3">
      <c r="A1136">
        <v>1135</v>
      </c>
      <c r="B1136" t="s">
        <v>9</v>
      </c>
      <c r="C1136">
        <v>600000</v>
      </c>
      <c r="D1136" t="s">
        <v>10</v>
      </c>
      <c r="E1136" t="s">
        <v>16</v>
      </c>
      <c r="F1136" t="s">
        <v>12</v>
      </c>
      <c r="G1136" t="s">
        <v>12</v>
      </c>
      <c r="H1136" t="s">
        <v>12</v>
      </c>
      <c r="I1136">
        <v>58</v>
      </c>
      <c r="J1136">
        <f>ABS((I1136-EDA!$A$15)/EDA!$B$15)</f>
        <v>1.1306455940929174</v>
      </c>
      <c r="K1136" t="str">
        <f t="shared" si="17"/>
        <v>No</v>
      </c>
      <c r="L1136">
        <f>ABS((C1136-EDA!$F$15)/EDA!$G$15)</f>
        <v>0.36566954866049978</v>
      </c>
      <c r="M1136" t="str">
        <f>IF(moras[[#This Row],[Z-Score Salario]]&gt;1.96, "Sí", "No")</f>
        <v>No</v>
      </c>
      <c r="N1136" s="14">
        <f>IF(ISBLANK(moras[[#This Row],[SALARIO]]), EDA!$M$8, moras[[#This Row],[SALARIO]])</f>
        <v>600000</v>
      </c>
      <c r="O1136" s="14">
        <f xml:space="preserve"> IF(ISBLANK(moras[[#This Row],[EDAD]]), EDA!$E$8, moras[[#This Row],[EDAD]])</f>
        <v>58</v>
      </c>
      <c r="P1136" s="14" t="str">
        <f>IF(
    OR(ISBLANK(moras[[#This Row],[TIPO_ASEGURAMIENTO]]), moras[[#This Row],[TIPO_ASEGURAMIENTO]]=""),
    EDA!$A$32,
    moras[[#This Row],[TIPO_ASEGURAMIENTO]]
)</f>
        <v>ASALARIADO</v>
      </c>
    </row>
    <row r="1137" spans="1:16" x14ac:dyDescent="0.3">
      <c r="A1137">
        <v>1136</v>
      </c>
      <c r="B1137" t="s">
        <v>15</v>
      </c>
      <c r="C1137">
        <v>297139</v>
      </c>
      <c r="D1137" t="s">
        <v>17</v>
      </c>
      <c r="E1137" t="s">
        <v>16</v>
      </c>
      <c r="F1137" t="s">
        <v>13</v>
      </c>
      <c r="G1137" t="s">
        <v>13</v>
      </c>
      <c r="H1137" t="s">
        <v>12</v>
      </c>
      <c r="I1137">
        <v>41</v>
      </c>
      <c r="J1137">
        <f>ABS((I1137-EDA!$A$15)/EDA!$B$15)</f>
        <v>6.9135017218420233E-2</v>
      </c>
      <c r="K1137" t="str">
        <f t="shared" si="17"/>
        <v>No</v>
      </c>
      <c r="L1137">
        <f>ABS((C1137-EDA!$F$15)/EDA!$G$15)</f>
        <v>0.37070936949377375</v>
      </c>
      <c r="M1137" t="str">
        <f>IF(moras[[#This Row],[Z-Score Salario]]&gt;1.96, "Sí", "No")</f>
        <v>No</v>
      </c>
      <c r="N1137" s="14">
        <f>IF(ISBLANK(moras[[#This Row],[SALARIO]]), EDA!$M$8, moras[[#This Row],[SALARIO]])</f>
        <v>297139</v>
      </c>
      <c r="O1137" s="14">
        <f xml:space="preserve"> IF(ISBLANK(moras[[#This Row],[EDAD]]), EDA!$E$8, moras[[#This Row],[EDAD]])</f>
        <v>41</v>
      </c>
      <c r="P1137" s="14" t="str">
        <f>IF(
    OR(ISBLANK(moras[[#This Row],[TIPO_ASEGURAMIENTO]]), moras[[#This Row],[TIPO_ASEGURAMIENTO]]=""),
    EDA!$A$32,
    moras[[#This Row],[TIPO_ASEGURAMIENTO]]
)</f>
        <v>ASEGURADO VOLUNTARIO</v>
      </c>
    </row>
    <row r="1138" spans="1:16" x14ac:dyDescent="0.3">
      <c r="A1138">
        <v>1137</v>
      </c>
      <c r="B1138" t="s">
        <v>15</v>
      </c>
      <c r="C1138">
        <v>277000</v>
      </c>
      <c r="D1138" t="s">
        <v>10</v>
      </c>
      <c r="E1138" t="s">
        <v>16</v>
      </c>
      <c r="F1138" t="s">
        <v>12</v>
      </c>
      <c r="G1138" t="s">
        <v>13</v>
      </c>
      <c r="H1138" t="s">
        <v>13</v>
      </c>
      <c r="I1138">
        <v>46</v>
      </c>
      <c r="J1138">
        <f>ABS((I1138-EDA!$A$15)/EDA!$B$15)</f>
        <v>0.2837416331672673</v>
      </c>
      <c r="K1138" t="str">
        <f t="shared" si="17"/>
        <v>No</v>
      </c>
      <c r="L1138">
        <f>ABS((C1138-EDA!$F$15)/EDA!$G$15)</f>
        <v>0.3710444966701395</v>
      </c>
      <c r="M1138" t="str">
        <f>IF(moras[[#This Row],[Z-Score Salario]]&gt;1.96, "Sí", "No")</f>
        <v>No</v>
      </c>
      <c r="N1138" s="14">
        <f>IF(ISBLANK(moras[[#This Row],[SALARIO]]), EDA!$M$8, moras[[#This Row],[SALARIO]])</f>
        <v>277000</v>
      </c>
      <c r="O1138" s="14">
        <f xml:space="preserve"> IF(ISBLANK(moras[[#This Row],[EDAD]]), EDA!$E$8, moras[[#This Row],[EDAD]])</f>
        <v>46</v>
      </c>
      <c r="P1138" s="14" t="str">
        <f>IF(
    OR(ISBLANK(moras[[#This Row],[TIPO_ASEGURAMIENTO]]), moras[[#This Row],[TIPO_ASEGURAMIENTO]]=""),
    EDA!$A$32,
    moras[[#This Row],[TIPO_ASEGURAMIENTO]]
)</f>
        <v>ASALARIADO</v>
      </c>
    </row>
    <row r="1139" spans="1:16" x14ac:dyDescent="0.3">
      <c r="A1139">
        <v>1138</v>
      </c>
      <c r="B1139" t="s">
        <v>9</v>
      </c>
      <c r="C1139">
        <v>635014</v>
      </c>
      <c r="D1139" t="s">
        <v>18</v>
      </c>
      <c r="E1139" t="s">
        <v>16</v>
      </c>
      <c r="F1139" t="s">
        <v>12</v>
      </c>
      <c r="G1139" t="s">
        <v>13</v>
      </c>
      <c r="H1139" t="s">
        <v>13</v>
      </c>
      <c r="I1139">
        <v>51</v>
      </c>
      <c r="J1139">
        <f>ABS((I1139-EDA!$A$15)/EDA!$B$15)</f>
        <v>0.6366182835529548</v>
      </c>
      <c r="K1139" t="str">
        <f t="shared" si="17"/>
        <v>No</v>
      </c>
      <c r="L1139">
        <f>ABS((C1139-EDA!$F$15)/EDA!$G$15)</f>
        <v>0.36508689098369013</v>
      </c>
      <c r="M1139" t="str">
        <f>IF(moras[[#This Row],[Z-Score Salario]]&gt;1.96, "Sí", "No")</f>
        <v>No</v>
      </c>
      <c r="N1139" s="14">
        <f>IF(ISBLANK(moras[[#This Row],[SALARIO]]), EDA!$M$8, moras[[#This Row],[SALARIO]])</f>
        <v>635014</v>
      </c>
      <c r="O1139" s="14">
        <f xml:space="preserve"> IF(ISBLANK(moras[[#This Row],[EDAD]]), EDA!$E$8, moras[[#This Row],[EDAD]])</f>
        <v>51</v>
      </c>
      <c r="P1139" s="14" t="str">
        <f>IF(
    OR(ISBLANK(moras[[#This Row],[TIPO_ASEGURAMIENTO]]), moras[[#This Row],[TIPO_ASEGURAMIENTO]]=""),
    EDA!$A$32,
    moras[[#This Row],[TIPO_ASEGURAMIENTO]]
)</f>
        <v>TRABAJADOR INDEPENDIENTE</v>
      </c>
    </row>
    <row r="1140" spans="1:16" x14ac:dyDescent="0.3">
      <c r="A1140">
        <v>1139</v>
      </c>
      <c r="B1140" t="s">
        <v>9</v>
      </c>
      <c r="C1140">
        <v>79912</v>
      </c>
      <c r="D1140" t="s">
        <v>10</v>
      </c>
      <c r="E1140" t="s">
        <v>16</v>
      </c>
      <c r="F1140" t="s">
        <v>12</v>
      </c>
      <c r="G1140" t="s">
        <v>13</v>
      </c>
      <c r="H1140" t="s">
        <v>13</v>
      </c>
      <c r="I1140">
        <v>19</v>
      </c>
      <c r="J1140">
        <f>ABS((I1140-EDA!$A$15)/EDA!$B$15)</f>
        <v>1.6217922789154453</v>
      </c>
      <c r="K1140" t="str">
        <f t="shared" si="17"/>
        <v>No</v>
      </c>
      <c r="L1140">
        <f>ABS((C1140-EDA!$F$15)/EDA!$G$15)</f>
        <v>0.37432418011696261</v>
      </c>
      <c r="M1140" t="str">
        <f>IF(moras[[#This Row],[Z-Score Salario]]&gt;1.96, "Sí", "No")</f>
        <v>No</v>
      </c>
      <c r="N1140" s="14">
        <f>IF(ISBLANK(moras[[#This Row],[SALARIO]]), EDA!$M$8, moras[[#This Row],[SALARIO]])</f>
        <v>79912</v>
      </c>
      <c r="O1140" s="14">
        <f xml:space="preserve"> IF(ISBLANK(moras[[#This Row],[EDAD]]), EDA!$E$8, moras[[#This Row],[EDAD]])</f>
        <v>19</v>
      </c>
      <c r="P1140" s="14" t="str">
        <f>IF(
    OR(ISBLANK(moras[[#This Row],[TIPO_ASEGURAMIENTO]]), moras[[#This Row],[TIPO_ASEGURAMIENTO]]=""),
    EDA!$A$32,
    moras[[#This Row],[TIPO_ASEGURAMIENTO]]
)</f>
        <v>ASALARIADO</v>
      </c>
    </row>
    <row r="1141" spans="1:16" x14ac:dyDescent="0.3">
      <c r="A1141">
        <v>1140</v>
      </c>
      <c r="B1141" t="s">
        <v>9</v>
      </c>
      <c r="C1141">
        <v>39351227</v>
      </c>
      <c r="D1141" t="s">
        <v>10</v>
      </c>
      <c r="E1141" t="s">
        <v>16</v>
      </c>
      <c r="F1141" t="s">
        <v>12</v>
      </c>
      <c r="G1141" t="s">
        <v>13</v>
      </c>
      <c r="H1141" t="s">
        <v>13</v>
      </c>
      <c r="I1141">
        <v>44</v>
      </c>
      <c r="J1141">
        <f>ABS((I1141-EDA!$A$15)/EDA!$B$15)</f>
        <v>0.14259097301299228</v>
      </c>
      <c r="K1141" t="str">
        <f t="shared" si="17"/>
        <v>No</v>
      </c>
      <c r="L1141">
        <f>ABS((C1141-EDA!$F$15)/EDA!$G$15)</f>
        <v>0.27917822358329508</v>
      </c>
      <c r="M1141" t="str">
        <f>IF(moras[[#This Row],[Z-Score Salario]]&gt;1.96, "Sí", "No")</f>
        <v>No</v>
      </c>
      <c r="N1141" s="14">
        <f>IF(ISBLANK(moras[[#This Row],[SALARIO]]), EDA!$M$8, moras[[#This Row],[SALARIO]])</f>
        <v>39351227</v>
      </c>
      <c r="O1141" s="14">
        <f xml:space="preserve"> IF(ISBLANK(moras[[#This Row],[EDAD]]), EDA!$E$8, moras[[#This Row],[EDAD]])</f>
        <v>44</v>
      </c>
      <c r="P1141" s="14" t="str">
        <f>IF(
    OR(ISBLANK(moras[[#This Row],[TIPO_ASEGURAMIENTO]]), moras[[#This Row],[TIPO_ASEGURAMIENTO]]=""),
    EDA!$A$32,
    moras[[#This Row],[TIPO_ASEGURAMIENTO]]
)</f>
        <v>ASALARIADO</v>
      </c>
    </row>
    <row r="1142" spans="1:16" x14ac:dyDescent="0.3">
      <c r="A1142">
        <v>1141</v>
      </c>
      <c r="B1142" t="s">
        <v>15</v>
      </c>
      <c r="C1142">
        <v>297046</v>
      </c>
      <c r="D1142" t="s">
        <v>17</v>
      </c>
      <c r="E1142" t="s">
        <v>16</v>
      </c>
      <c r="F1142" t="s">
        <v>12</v>
      </c>
      <c r="G1142" t="s">
        <v>13</v>
      </c>
      <c r="H1142" t="s">
        <v>12</v>
      </c>
      <c r="I1142">
        <v>21</v>
      </c>
      <c r="J1142">
        <f>ABS((I1142-EDA!$A$15)/EDA!$B$15)</f>
        <v>1.4806416187611704</v>
      </c>
      <c r="K1142" t="str">
        <f t="shared" si="17"/>
        <v>No</v>
      </c>
      <c r="L1142">
        <f>ABS((C1142-EDA!$F$15)/EDA!$G$15)</f>
        <v>0.37071091707942361</v>
      </c>
      <c r="M1142" t="str">
        <f>IF(moras[[#This Row],[Z-Score Salario]]&gt;1.96, "Sí", "No")</f>
        <v>No</v>
      </c>
      <c r="N1142" s="14">
        <f>IF(ISBLANK(moras[[#This Row],[SALARIO]]), EDA!$M$8, moras[[#This Row],[SALARIO]])</f>
        <v>297046</v>
      </c>
      <c r="O1142" s="14">
        <f xml:space="preserve"> IF(ISBLANK(moras[[#This Row],[EDAD]]), EDA!$E$8, moras[[#This Row],[EDAD]])</f>
        <v>21</v>
      </c>
      <c r="P1142" s="14" t="str">
        <f>IF(
    OR(ISBLANK(moras[[#This Row],[TIPO_ASEGURAMIENTO]]), moras[[#This Row],[TIPO_ASEGURAMIENTO]]=""),
    EDA!$A$32,
    moras[[#This Row],[TIPO_ASEGURAMIENTO]]
)</f>
        <v>ASEGURADO VOLUNTARIO</v>
      </c>
    </row>
    <row r="1143" spans="1:16" x14ac:dyDescent="0.3">
      <c r="A1143">
        <v>1142</v>
      </c>
      <c r="B1143" t="s">
        <v>15</v>
      </c>
      <c r="C1143">
        <v>12573688</v>
      </c>
      <c r="D1143" t="s">
        <v>10</v>
      </c>
      <c r="E1143" t="s">
        <v>11</v>
      </c>
      <c r="F1143" t="s">
        <v>12</v>
      </c>
      <c r="G1143" t="s">
        <v>13</v>
      </c>
      <c r="H1143" t="s">
        <v>13</v>
      </c>
      <c r="I1143">
        <v>34</v>
      </c>
      <c r="J1143">
        <f>ABS((I1143-EDA!$A$15)/EDA!$B$15)</f>
        <v>0.56316232775838282</v>
      </c>
      <c r="K1143" t="str">
        <f t="shared" si="17"/>
        <v>No</v>
      </c>
      <c r="L1143">
        <f>ABS((C1143-EDA!$F$15)/EDA!$G$15)</f>
        <v>0.1664189279680954</v>
      </c>
      <c r="M1143" t="str">
        <f>IF(moras[[#This Row],[Z-Score Salario]]&gt;1.96, "Sí", "No")</f>
        <v>No</v>
      </c>
      <c r="N1143" s="14">
        <f>IF(ISBLANK(moras[[#This Row],[SALARIO]]), EDA!$M$8, moras[[#This Row],[SALARIO]])</f>
        <v>12573688</v>
      </c>
      <c r="O1143" s="14">
        <f xml:space="preserve"> IF(ISBLANK(moras[[#This Row],[EDAD]]), EDA!$E$8, moras[[#This Row],[EDAD]])</f>
        <v>34</v>
      </c>
      <c r="P1143" s="14" t="str">
        <f>IF(
    OR(ISBLANK(moras[[#This Row],[TIPO_ASEGURAMIENTO]]), moras[[#This Row],[TIPO_ASEGURAMIENTO]]=""),
    EDA!$A$32,
    moras[[#This Row],[TIPO_ASEGURAMIENTO]]
)</f>
        <v>ASALARIADO</v>
      </c>
    </row>
    <row r="1144" spans="1:16" x14ac:dyDescent="0.3">
      <c r="A1144">
        <v>1143</v>
      </c>
      <c r="B1144" t="s">
        <v>9</v>
      </c>
      <c r="C1144">
        <v>12798545</v>
      </c>
      <c r="D1144" t="s">
        <v>10</v>
      </c>
      <c r="E1144" t="s">
        <v>11</v>
      </c>
      <c r="F1144" t="s">
        <v>12</v>
      </c>
      <c r="G1144" t="s">
        <v>13</v>
      </c>
      <c r="H1144" t="s">
        <v>13</v>
      </c>
      <c r="I1144">
        <v>39</v>
      </c>
      <c r="J1144">
        <f>ABS((I1144-EDA!$A$15)/EDA!$B$15)</f>
        <v>0.21028567737269524</v>
      </c>
      <c r="K1144" t="str">
        <f t="shared" si="17"/>
        <v>No</v>
      </c>
      <c r="L1144">
        <f>ABS((C1144-EDA!$F$15)/EDA!$G$15)</f>
        <v>0.16267714875879649</v>
      </c>
      <c r="M1144" t="str">
        <f>IF(moras[[#This Row],[Z-Score Salario]]&gt;1.96, "Sí", "No")</f>
        <v>No</v>
      </c>
      <c r="N1144" s="14">
        <f>IF(ISBLANK(moras[[#This Row],[SALARIO]]), EDA!$M$8, moras[[#This Row],[SALARIO]])</f>
        <v>12798545</v>
      </c>
      <c r="O1144" s="14">
        <f xml:space="preserve"> IF(ISBLANK(moras[[#This Row],[EDAD]]), EDA!$E$8, moras[[#This Row],[EDAD]])</f>
        <v>39</v>
      </c>
      <c r="P1144" s="14" t="str">
        <f>IF(
    OR(ISBLANK(moras[[#This Row],[TIPO_ASEGURAMIENTO]]), moras[[#This Row],[TIPO_ASEGURAMIENTO]]=""),
    EDA!$A$32,
    moras[[#This Row],[TIPO_ASEGURAMIENTO]]
)</f>
        <v>ASALARIADO</v>
      </c>
    </row>
    <row r="1145" spans="1:16" x14ac:dyDescent="0.3">
      <c r="A1145">
        <v>1144</v>
      </c>
      <c r="B1145" t="s">
        <v>15</v>
      </c>
      <c r="C1145">
        <v>385000</v>
      </c>
      <c r="D1145" t="s">
        <v>10</v>
      </c>
      <c r="E1145" t="s">
        <v>16</v>
      </c>
      <c r="F1145" t="s">
        <v>12</v>
      </c>
      <c r="G1145" t="s">
        <v>13</v>
      </c>
      <c r="H1145" t="s">
        <v>13</v>
      </c>
      <c r="I1145">
        <v>25</v>
      </c>
      <c r="J1145">
        <f>ABS((I1145-EDA!$A$15)/EDA!$B$15)</f>
        <v>1.1983402984526204</v>
      </c>
      <c r="K1145" t="str">
        <f t="shared" si="17"/>
        <v>No</v>
      </c>
      <c r="L1145">
        <f>ABS((C1145-EDA!$F$15)/EDA!$G$15)</f>
        <v>0.36924730043162218</v>
      </c>
      <c r="M1145" t="str">
        <f>IF(moras[[#This Row],[Z-Score Salario]]&gt;1.96, "Sí", "No")</f>
        <v>No</v>
      </c>
      <c r="N1145" s="14">
        <f>IF(ISBLANK(moras[[#This Row],[SALARIO]]), EDA!$M$8, moras[[#This Row],[SALARIO]])</f>
        <v>385000</v>
      </c>
      <c r="O1145" s="14">
        <f xml:space="preserve"> IF(ISBLANK(moras[[#This Row],[EDAD]]), EDA!$E$8, moras[[#This Row],[EDAD]])</f>
        <v>25</v>
      </c>
      <c r="P1145" s="14" t="str">
        <f>IF(
    OR(ISBLANK(moras[[#This Row],[TIPO_ASEGURAMIENTO]]), moras[[#This Row],[TIPO_ASEGURAMIENTO]]=""),
    EDA!$A$32,
    moras[[#This Row],[TIPO_ASEGURAMIENTO]]
)</f>
        <v>ASALARIADO</v>
      </c>
    </row>
    <row r="1146" spans="1:16" x14ac:dyDescent="0.3">
      <c r="A1146">
        <v>1145</v>
      </c>
      <c r="B1146" t="s">
        <v>9</v>
      </c>
      <c r="C1146">
        <v>555522</v>
      </c>
      <c r="D1146" t="s">
        <v>10</v>
      </c>
      <c r="E1146" t="s">
        <v>16</v>
      </c>
      <c r="F1146" t="s">
        <v>12</v>
      </c>
      <c r="G1146" t="s">
        <v>13</v>
      </c>
      <c r="H1146" t="s">
        <v>13</v>
      </c>
      <c r="I1146">
        <v>53</v>
      </c>
      <c r="J1146">
        <f>ABS((I1146-EDA!$A$15)/EDA!$B$15)</f>
        <v>0.77776894370722982</v>
      </c>
      <c r="K1146" t="str">
        <f t="shared" si="17"/>
        <v>No</v>
      </c>
      <c r="L1146">
        <f>ABS((C1146-EDA!$F$15)/EDA!$G$15)</f>
        <v>0.3664096939780625</v>
      </c>
      <c r="M1146" t="str">
        <f>IF(moras[[#This Row],[Z-Score Salario]]&gt;1.96, "Sí", "No")</f>
        <v>No</v>
      </c>
      <c r="N1146" s="14">
        <f>IF(ISBLANK(moras[[#This Row],[SALARIO]]), EDA!$M$8, moras[[#This Row],[SALARIO]])</f>
        <v>555522</v>
      </c>
      <c r="O1146" s="14">
        <f xml:space="preserve"> IF(ISBLANK(moras[[#This Row],[EDAD]]), EDA!$E$8, moras[[#This Row],[EDAD]])</f>
        <v>53</v>
      </c>
      <c r="P1146" s="14" t="str">
        <f>IF(
    OR(ISBLANK(moras[[#This Row],[TIPO_ASEGURAMIENTO]]), moras[[#This Row],[TIPO_ASEGURAMIENTO]]=""),
    EDA!$A$32,
    moras[[#This Row],[TIPO_ASEGURAMIENTO]]
)</f>
        <v>ASALARIADO</v>
      </c>
    </row>
    <row r="1147" spans="1:16" x14ac:dyDescent="0.3">
      <c r="A1147">
        <v>1146</v>
      </c>
      <c r="B1147" t="s">
        <v>9</v>
      </c>
      <c r="C1147">
        <v>11901859</v>
      </c>
      <c r="D1147" t="s">
        <v>10</v>
      </c>
      <c r="E1147" t="s">
        <v>11</v>
      </c>
      <c r="F1147" t="s">
        <v>12</v>
      </c>
      <c r="G1147" t="s">
        <v>13</v>
      </c>
      <c r="H1147" t="s">
        <v>13</v>
      </c>
      <c r="I1147">
        <v>44</v>
      </c>
      <c r="J1147">
        <f>ABS((I1147-EDA!$A$15)/EDA!$B$15)</f>
        <v>0.14259097301299228</v>
      </c>
      <c r="K1147" t="str">
        <f t="shared" si="17"/>
        <v>No</v>
      </c>
      <c r="L1147">
        <f>ABS((C1147-EDA!$F$15)/EDA!$G$15)</f>
        <v>0.17759863678038093</v>
      </c>
      <c r="M1147" t="str">
        <f>IF(moras[[#This Row],[Z-Score Salario]]&gt;1.96, "Sí", "No")</f>
        <v>No</v>
      </c>
      <c r="N1147" s="14">
        <f>IF(ISBLANK(moras[[#This Row],[SALARIO]]), EDA!$M$8, moras[[#This Row],[SALARIO]])</f>
        <v>11901859</v>
      </c>
      <c r="O1147" s="14">
        <f xml:space="preserve"> IF(ISBLANK(moras[[#This Row],[EDAD]]), EDA!$E$8, moras[[#This Row],[EDAD]])</f>
        <v>44</v>
      </c>
      <c r="P1147" s="14" t="str">
        <f>IF(
    OR(ISBLANK(moras[[#This Row],[TIPO_ASEGURAMIENTO]]), moras[[#This Row],[TIPO_ASEGURAMIENTO]]=""),
    EDA!$A$32,
    moras[[#This Row],[TIPO_ASEGURAMIENTO]]
)</f>
        <v>ASALARIADO</v>
      </c>
    </row>
    <row r="1148" spans="1:16" x14ac:dyDescent="0.3">
      <c r="A1148">
        <v>1147</v>
      </c>
      <c r="B1148" t="s">
        <v>15</v>
      </c>
      <c r="C1148">
        <v>5505905</v>
      </c>
      <c r="D1148" t="s">
        <v>10</v>
      </c>
      <c r="E1148" t="s">
        <v>11</v>
      </c>
      <c r="F1148" t="s">
        <v>12</v>
      </c>
      <c r="G1148" t="s">
        <v>13</v>
      </c>
      <c r="H1148" t="s">
        <v>13</v>
      </c>
      <c r="I1148">
        <v>26</v>
      </c>
      <c r="J1148">
        <f>ABS((I1148-EDA!$A$15)/EDA!$B$15)</f>
        <v>1.1277649683754829</v>
      </c>
      <c r="K1148" t="str">
        <f t="shared" si="17"/>
        <v>No</v>
      </c>
      <c r="L1148">
        <f>ABS((C1148-EDA!$F$15)/EDA!$G$15)</f>
        <v>0.2840318263223221</v>
      </c>
      <c r="M1148" t="str">
        <f>IF(moras[[#This Row],[Z-Score Salario]]&gt;1.96, "Sí", "No")</f>
        <v>No</v>
      </c>
      <c r="N1148" s="14">
        <f>IF(ISBLANK(moras[[#This Row],[SALARIO]]), EDA!$M$8, moras[[#This Row],[SALARIO]])</f>
        <v>5505905</v>
      </c>
      <c r="O1148" s="14">
        <f xml:space="preserve"> IF(ISBLANK(moras[[#This Row],[EDAD]]), EDA!$E$8, moras[[#This Row],[EDAD]])</f>
        <v>26</v>
      </c>
      <c r="P1148" s="14" t="str">
        <f>IF(
    OR(ISBLANK(moras[[#This Row],[TIPO_ASEGURAMIENTO]]), moras[[#This Row],[TIPO_ASEGURAMIENTO]]=""),
    EDA!$A$32,
    moras[[#This Row],[TIPO_ASEGURAMIENTO]]
)</f>
        <v>ASALARIADO</v>
      </c>
    </row>
    <row r="1149" spans="1:16" x14ac:dyDescent="0.3">
      <c r="A1149">
        <v>1148</v>
      </c>
      <c r="B1149" t="s">
        <v>9</v>
      </c>
      <c r="C1149">
        <v>297046</v>
      </c>
      <c r="D1149" t="s">
        <v>18</v>
      </c>
      <c r="E1149" t="s">
        <v>16</v>
      </c>
      <c r="F1149" t="s">
        <v>12</v>
      </c>
      <c r="G1149" t="s">
        <v>13</v>
      </c>
      <c r="H1149" t="s">
        <v>13</v>
      </c>
      <c r="I1149">
        <v>50</v>
      </c>
      <c r="J1149">
        <f>ABS((I1149-EDA!$A$15)/EDA!$B$15)</f>
        <v>0.56604295347581735</v>
      </c>
      <c r="K1149" t="str">
        <f t="shared" si="17"/>
        <v>No</v>
      </c>
      <c r="L1149">
        <f>ABS((C1149-EDA!$F$15)/EDA!$G$15)</f>
        <v>0.37071091707942361</v>
      </c>
      <c r="M1149" t="str">
        <f>IF(moras[[#This Row],[Z-Score Salario]]&gt;1.96, "Sí", "No")</f>
        <v>No</v>
      </c>
      <c r="N1149" s="14">
        <f>IF(ISBLANK(moras[[#This Row],[SALARIO]]), EDA!$M$8, moras[[#This Row],[SALARIO]])</f>
        <v>297046</v>
      </c>
      <c r="O1149" s="14">
        <f xml:space="preserve"> IF(ISBLANK(moras[[#This Row],[EDAD]]), EDA!$E$8, moras[[#This Row],[EDAD]])</f>
        <v>50</v>
      </c>
      <c r="P1149" s="14" t="str">
        <f>IF(
    OR(ISBLANK(moras[[#This Row],[TIPO_ASEGURAMIENTO]]), moras[[#This Row],[TIPO_ASEGURAMIENTO]]=""),
    EDA!$A$32,
    moras[[#This Row],[TIPO_ASEGURAMIENTO]]
)</f>
        <v>TRABAJADOR INDEPENDIENTE</v>
      </c>
    </row>
    <row r="1150" spans="1:16" x14ac:dyDescent="0.3">
      <c r="A1150">
        <v>1149</v>
      </c>
      <c r="B1150" t="s">
        <v>15</v>
      </c>
      <c r="C1150">
        <v>475006</v>
      </c>
      <c r="D1150" t="s">
        <v>10</v>
      </c>
      <c r="E1150" t="s">
        <v>16</v>
      </c>
      <c r="F1150" t="s">
        <v>12</v>
      </c>
      <c r="G1150" t="s">
        <v>13</v>
      </c>
      <c r="H1150" t="s">
        <v>13</v>
      </c>
      <c r="I1150">
        <v>24</v>
      </c>
      <c r="J1150">
        <f>ABS((I1150-EDA!$A$15)/EDA!$B$15)</f>
        <v>1.2689156285297578</v>
      </c>
      <c r="K1150" t="str">
        <f t="shared" si="17"/>
        <v>No</v>
      </c>
      <c r="L1150">
        <f>ABS((C1150-EDA!$F$15)/EDA!$G$15)</f>
        <v>0.36774953705528896</v>
      </c>
      <c r="M1150" t="str">
        <f>IF(moras[[#This Row],[Z-Score Salario]]&gt;1.96, "Sí", "No")</f>
        <v>No</v>
      </c>
      <c r="N1150" s="14">
        <f>IF(ISBLANK(moras[[#This Row],[SALARIO]]), EDA!$M$8, moras[[#This Row],[SALARIO]])</f>
        <v>475006</v>
      </c>
      <c r="O1150" s="14">
        <f xml:space="preserve"> IF(ISBLANK(moras[[#This Row],[EDAD]]), EDA!$E$8, moras[[#This Row],[EDAD]])</f>
        <v>24</v>
      </c>
      <c r="P1150" s="14" t="str">
        <f>IF(
    OR(ISBLANK(moras[[#This Row],[TIPO_ASEGURAMIENTO]]), moras[[#This Row],[TIPO_ASEGURAMIENTO]]=""),
    EDA!$A$32,
    moras[[#This Row],[TIPO_ASEGURAMIENTO]]
)</f>
        <v>ASALARIADO</v>
      </c>
    </row>
    <row r="1151" spans="1:16" x14ac:dyDescent="0.3">
      <c r="A1151">
        <v>1150</v>
      </c>
      <c r="B1151" t="s">
        <v>15</v>
      </c>
      <c r="C1151">
        <v>356649</v>
      </c>
      <c r="D1151" t="s">
        <v>18</v>
      </c>
      <c r="E1151" t="s">
        <v>16</v>
      </c>
      <c r="F1151" t="s">
        <v>12</v>
      </c>
      <c r="G1151" t="s">
        <v>13</v>
      </c>
      <c r="H1151" t="s">
        <v>12</v>
      </c>
      <c r="I1151">
        <v>48</v>
      </c>
      <c r="J1151">
        <f>ABS((I1151-EDA!$A$15)/EDA!$B$15)</f>
        <v>0.42489229332154227</v>
      </c>
      <c r="K1151" t="str">
        <f t="shared" si="17"/>
        <v>No</v>
      </c>
      <c r="L1151">
        <f>ABS((C1151-EDA!$F$15)/EDA!$G$15)</f>
        <v>0.36971908108493889</v>
      </c>
      <c r="M1151" t="str">
        <f>IF(moras[[#This Row],[Z-Score Salario]]&gt;1.96, "Sí", "No")</f>
        <v>No</v>
      </c>
      <c r="N1151" s="14">
        <f>IF(ISBLANK(moras[[#This Row],[SALARIO]]), EDA!$M$8, moras[[#This Row],[SALARIO]])</f>
        <v>356649</v>
      </c>
      <c r="O1151" s="14">
        <f xml:space="preserve"> IF(ISBLANK(moras[[#This Row],[EDAD]]), EDA!$E$8, moras[[#This Row],[EDAD]])</f>
        <v>48</v>
      </c>
      <c r="P1151" s="14" t="str">
        <f>IF(
    OR(ISBLANK(moras[[#This Row],[TIPO_ASEGURAMIENTO]]), moras[[#This Row],[TIPO_ASEGURAMIENTO]]=""),
    EDA!$A$32,
    moras[[#This Row],[TIPO_ASEGURAMIENTO]]
)</f>
        <v>TRABAJADOR INDEPENDIENTE</v>
      </c>
    </row>
    <row r="1152" spans="1:16" x14ac:dyDescent="0.3">
      <c r="A1152">
        <v>1151</v>
      </c>
      <c r="B1152" t="s">
        <v>9</v>
      </c>
      <c r="C1152">
        <v>278030</v>
      </c>
      <c r="D1152" t="s">
        <v>19</v>
      </c>
      <c r="E1152" t="s">
        <v>16</v>
      </c>
      <c r="F1152" t="s">
        <v>12</v>
      </c>
      <c r="G1152" t="s">
        <v>13</v>
      </c>
      <c r="H1152" t="s">
        <v>13</v>
      </c>
      <c r="I1152">
        <v>38</v>
      </c>
      <c r="J1152">
        <f>ABS((I1152-EDA!$A$15)/EDA!$B$15)</f>
        <v>0.28086100744983278</v>
      </c>
      <c r="K1152" t="str">
        <f t="shared" si="17"/>
        <v>No</v>
      </c>
      <c r="L1152">
        <f>ABS((C1152-EDA!$F$15)/EDA!$G$15)</f>
        <v>0.37102735674304993</v>
      </c>
      <c r="M1152" t="str">
        <f>IF(moras[[#This Row],[Z-Score Salario]]&gt;1.96, "Sí", "No")</f>
        <v>No</v>
      </c>
      <c r="N1152" s="14">
        <f>IF(ISBLANK(moras[[#This Row],[SALARIO]]), EDA!$M$8, moras[[#This Row],[SALARIO]])</f>
        <v>278030</v>
      </c>
      <c r="O1152" s="14">
        <f xml:space="preserve"> IF(ISBLANK(moras[[#This Row],[EDAD]]), EDA!$E$8, moras[[#This Row],[EDAD]])</f>
        <v>38</v>
      </c>
      <c r="P1152" s="14" t="str">
        <f>IF(
    OR(ISBLANK(moras[[#This Row],[TIPO_ASEGURAMIENTO]]), moras[[#This Row],[TIPO_ASEGURAMIENTO]]=""),
    EDA!$A$32,
    moras[[#This Row],[TIPO_ASEGURAMIENTO]]
)</f>
        <v>CONVENIOS ESPECIALES DE TRABAJADORES INDEPENDIENTES</v>
      </c>
    </row>
    <row r="1153" spans="1:16" x14ac:dyDescent="0.3">
      <c r="A1153">
        <v>1152</v>
      </c>
      <c r="B1153" t="s">
        <v>15</v>
      </c>
      <c r="C1153">
        <v>290000</v>
      </c>
      <c r="D1153" t="s">
        <v>10</v>
      </c>
      <c r="E1153" t="s">
        <v>16</v>
      </c>
      <c r="F1153" t="s">
        <v>12</v>
      </c>
      <c r="G1153" t="s">
        <v>13</v>
      </c>
      <c r="H1153" t="s">
        <v>13</v>
      </c>
      <c r="I1153">
        <v>57</v>
      </c>
      <c r="J1153">
        <f>ABS((I1153-EDA!$A$15)/EDA!$B$15)</f>
        <v>1.0600702640157798</v>
      </c>
      <c r="K1153" t="str">
        <f t="shared" si="17"/>
        <v>No</v>
      </c>
      <c r="L1153">
        <f>ABS((C1153-EDA!$F$15)/EDA!$G$15)</f>
        <v>0.3708281674932809</v>
      </c>
      <c r="M1153" t="str">
        <f>IF(moras[[#This Row],[Z-Score Salario]]&gt;1.96, "Sí", "No")</f>
        <v>No</v>
      </c>
      <c r="N1153" s="14">
        <f>IF(ISBLANK(moras[[#This Row],[SALARIO]]), EDA!$M$8, moras[[#This Row],[SALARIO]])</f>
        <v>290000</v>
      </c>
      <c r="O1153" s="14">
        <f xml:space="preserve"> IF(ISBLANK(moras[[#This Row],[EDAD]]), EDA!$E$8, moras[[#This Row],[EDAD]])</f>
        <v>57</v>
      </c>
      <c r="P1153" s="14" t="str">
        <f>IF(
    OR(ISBLANK(moras[[#This Row],[TIPO_ASEGURAMIENTO]]), moras[[#This Row],[TIPO_ASEGURAMIENTO]]=""),
    EDA!$A$32,
    moras[[#This Row],[TIPO_ASEGURAMIENTO]]
)</f>
        <v>ASALARIADO</v>
      </c>
    </row>
    <row r="1154" spans="1:16" x14ac:dyDescent="0.3">
      <c r="A1154">
        <v>1153</v>
      </c>
      <c r="B1154" t="s">
        <v>15</v>
      </c>
      <c r="C1154">
        <v>1122731</v>
      </c>
      <c r="D1154" t="s">
        <v>14</v>
      </c>
      <c r="E1154" t="s">
        <v>11</v>
      </c>
      <c r="F1154" t="s">
        <v>12</v>
      </c>
      <c r="G1154" t="s">
        <v>13</v>
      </c>
      <c r="H1154" t="s">
        <v>13</v>
      </c>
      <c r="I1154">
        <v>63</v>
      </c>
      <c r="J1154">
        <f>ABS((I1154-EDA!$A$15)/EDA!$B$15)</f>
        <v>1.4835222444786049</v>
      </c>
      <c r="K1154" t="str">
        <f t="shared" ref="K1154:K1217" si="18">IF(J1154 &gt;  1.96, "Sí","No")</f>
        <v>No</v>
      </c>
      <c r="L1154">
        <f>ABS((C1154-EDA!$F$15)/EDA!$G$15)</f>
        <v>0.35697093581831107</v>
      </c>
      <c r="M1154" t="str">
        <f>IF(moras[[#This Row],[Z-Score Salario]]&gt;1.96, "Sí", "No")</f>
        <v>No</v>
      </c>
      <c r="N1154" s="14">
        <f>IF(ISBLANK(moras[[#This Row],[SALARIO]]), EDA!$M$8, moras[[#This Row],[SALARIO]])</f>
        <v>1122731</v>
      </c>
      <c r="O1154" s="14">
        <f xml:space="preserve"> IF(ISBLANK(moras[[#This Row],[EDAD]]), EDA!$E$8, moras[[#This Row],[EDAD]])</f>
        <v>63</v>
      </c>
      <c r="P1154" s="14" t="str">
        <f>IF(
    OR(ISBLANK(moras[[#This Row],[TIPO_ASEGURAMIENTO]]), moras[[#This Row],[TIPO_ASEGURAMIENTO]]=""),
    EDA!$A$32,
    moras[[#This Row],[TIPO_ASEGURAMIENTO]]
)</f>
        <v>PENSIONADOS EN SU PROPIO SISTEMA</v>
      </c>
    </row>
    <row r="1155" spans="1:16" x14ac:dyDescent="0.3">
      <c r="A1155">
        <v>1154</v>
      </c>
      <c r="B1155" t="s">
        <v>15</v>
      </c>
      <c r="C1155">
        <v>15511665</v>
      </c>
      <c r="D1155" t="s">
        <v>10</v>
      </c>
      <c r="E1155" t="s">
        <v>11</v>
      </c>
      <c r="F1155" t="s">
        <v>12</v>
      </c>
      <c r="G1155" t="s">
        <v>13</v>
      </c>
      <c r="H1155" t="s">
        <v>13</v>
      </c>
      <c r="I1155">
        <v>31</v>
      </c>
      <c r="J1155">
        <f>ABS((I1155-EDA!$A$15)/EDA!$B$15)</f>
        <v>0.77488831798979529</v>
      </c>
      <c r="K1155" t="str">
        <f t="shared" si="18"/>
        <v>No</v>
      </c>
      <c r="L1155">
        <f>ABS((C1155-EDA!$F$15)/EDA!$G$15)</f>
        <v>0.11752891673429608</v>
      </c>
      <c r="M1155" t="str">
        <f>IF(moras[[#This Row],[Z-Score Salario]]&gt;1.96, "Sí", "No")</f>
        <v>No</v>
      </c>
      <c r="N1155" s="14">
        <f>IF(ISBLANK(moras[[#This Row],[SALARIO]]), EDA!$M$8, moras[[#This Row],[SALARIO]])</f>
        <v>15511665</v>
      </c>
      <c r="O1155" s="14">
        <f xml:space="preserve"> IF(ISBLANK(moras[[#This Row],[EDAD]]), EDA!$E$8, moras[[#This Row],[EDAD]])</f>
        <v>31</v>
      </c>
      <c r="P1155" s="14" t="str">
        <f>IF(
    OR(ISBLANK(moras[[#This Row],[TIPO_ASEGURAMIENTO]]), moras[[#This Row],[TIPO_ASEGURAMIENTO]]=""),
    EDA!$A$32,
    moras[[#This Row],[TIPO_ASEGURAMIENTO]]
)</f>
        <v>ASALARIADO</v>
      </c>
    </row>
    <row r="1156" spans="1:16" x14ac:dyDescent="0.3">
      <c r="A1156">
        <v>1155</v>
      </c>
      <c r="B1156" t="s">
        <v>15</v>
      </c>
      <c r="C1156">
        <v>479260</v>
      </c>
      <c r="D1156" t="s">
        <v>10</v>
      </c>
      <c r="E1156" t="s">
        <v>16</v>
      </c>
      <c r="F1156" t="s">
        <v>12</v>
      </c>
      <c r="G1156" t="s">
        <v>13</v>
      </c>
      <c r="H1156" t="s">
        <v>13</v>
      </c>
      <c r="I1156">
        <v>28</v>
      </c>
      <c r="J1156">
        <f>ABS((I1156-EDA!$A$15)/EDA!$B$15)</f>
        <v>0.98661430822120777</v>
      </c>
      <c r="K1156" t="str">
        <f t="shared" si="18"/>
        <v>No</v>
      </c>
      <c r="L1156">
        <f>ABS((C1156-EDA!$F$15)/EDA!$G$15)</f>
        <v>0.36767874749233848</v>
      </c>
      <c r="M1156" t="str">
        <f>IF(moras[[#This Row],[Z-Score Salario]]&gt;1.96, "Sí", "No")</f>
        <v>No</v>
      </c>
      <c r="N1156" s="14">
        <f>IF(ISBLANK(moras[[#This Row],[SALARIO]]), EDA!$M$8, moras[[#This Row],[SALARIO]])</f>
        <v>479260</v>
      </c>
      <c r="O1156" s="14">
        <f xml:space="preserve"> IF(ISBLANK(moras[[#This Row],[EDAD]]), EDA!$E$8, moras[[#This Row],[EDAD]])</f>
        <v>28</v>
      </c>
      <c r="P1156" s="14" t="str">
        <f>IF(
    OR(ISBLANK(moras[[#This Row],[TIPO_ASEGURAMIENTO]]), moras[[#This Row],[TIPO_ASEGURAMIENTO]]=""),
    EDA!$A$32,
    moras[[#This Row],[TIPO_ASEGURAMIENTO]]
)</f>
        <v>ASALARIADO</v>
      </c>
    </row>
    <row r="1157" spans="1:16" x14ac:dyDescent="0.3">
      <c r="A1157">
        <v>1156</v>
      </c>
      <c r="B1157" t="s">
        <v>15</v>
      </c>
      <c r="C1157">
        <v>1235915</v>
      </c>
      <c r="D1157" t="s">
        <v>14</v>
      </c>
      <c r="E1157" t="s">
        <v>11</v>
      </c>
      <c r="F1157" t="s">
        <v>12</v>
      </c>
      <c r="G1157" t="s">
        <v>13</v>
      </c>
      <c r="H1157" t="s">
        <v>13</v>
      </c>
      <c r="I1157">
        <v>64</v>
      </c>
      <c r="J1157">
        <f>ABS((I1157-EDA!$A$15)/EDA!$B$15)</f>
        <v>1.5540975745557424</v>
      </c>
      <c r="K1157" t="str">
        <f t="shared" si="18"/>
        <v>No</v>
      </c>
      <c r="L1157">
        <f>ABS((C1157-EDA!$F$15)/EDA!$G$15)</f>
        <v>0.35508747416034492</v>
      </c>
      <c r="M1157" t="str">
        <f>IF(moras[[#This Row],[Z-Score Salario]]&gt;1.96, "Sí", "No")</f>
        <v>No</v>
      </c>
      <c r="N1157" s="14">
        <f>IF(ISBLANK(moras[[#This Row],[SALARIO]]), EDA!$M$8, moras[[#This Row],[SALARIO]])</f>
        <v>1235915</v>
      </c>
      <c r="O1157" s="14">
        <f xml:space="preserve"> IF(ISBLANK(moras[[#This Row],[EDAD]]), EDA!$E$8, moras[[#This Row],[EDAD]])</f>
        <v>64</v>
      </c>
      <c r="P1157" s="14" t="str">
        <f>IF(
    OR(ISBLANK(moras[[#This Row],[TIPO_ASEGURAMIENTO]]), moras[[#This Row],[TIPO_ASEGURAMIENTO]]=""),
    EDA!$A$32,
    moras[[#This Row],[TIPO_ASEGURAMIENTO]]
)</f>
        <v>PENSIONADOS EN SU PROPIO SISTEMA</v>
      </c>
    </row>
    <row r="1158" spans="1:16" x14ac:dyDescent="0.3">
      <c r="A1158">
        <v>1157</v>
      </c>
      <c r="B1158" t="s">
        <v>9</v>
      </c>
      <c r="C1158">
        <v>45423029</v>
      </c>
      <c r="D1158" t="s">
        <v>10</v>
      </c>
      <c r="E1158" t="s">
        <v>11</v>
      </c>
      <c r="F1158" t="s">
        <v>12</v>
      </c>
      <c r="G1158" t="s">
        <v>13</v>
      </c>
      <c r="H1158" t="s">
        <v>13</v>
      </c>
      <c r="I1158">
        <v>42</v>
      </c>
      <c r="J1158">
        <f>ABS((I1158-EDA!$A$15)/EDA!$B$15)</f>
        <v>1.4403128587172659E-3</v>
      </c>
      <c r="K1158" t="str">
        <f t="shared" si="18"/>
        <v>No</v>
      </c>
      <c r="L1158">
        <f>ABS((C1158-EDA!$F$15)/EDA!$G$15)</f>
        <v>0.38021729502238572</v>
      </c>
      <c r="M1158" t="str">
        <f>IF(moras[[#This Row],[Z-Score Salario]]&gt;1.96, "Sí", "No")</f>
        <v>No</v>
      </c>
      <c r="N1158" s="14">
        <f>IF(ISBLANK(moras[[#This Row],[SALARIO]]), EDA!$M$8, moras[[#This Row],[SALARIO]])</f>
        <v>45423029</v>
      </c>
      <c r="O1158" s="14">
        <f xml:space="preserve"> IF(ISBLANK(moras[[#This Row],[EDAD]]), EDA!$E$8, moras[[#This Row],[EDAD]])</f>
        <v>42</v>
      </c>
      <c r="P1158" s="14" t="str">
        <f>IF(
    OR(ISBLANK(moras[[#This Row],[TIPO_ASEGURAMIENTO]]), moras[[#This Row],[TIPO_ASEGURAMIENTO]]=""),
    EDA!$A$32,
    moras[[#This Row],[TIPO_ASEGURAMIENTO]]
)</f>
        <v>ASALARIADO</v>
      </c>
    </row>
    <row r="1159" spans="1:16" x14ac:dyDescent="0.3">
      <c r="A1159">
        <v>1158</v>
      </c>
      <c r="B1159" t="s">
        <v>9</v>
      </c>
      <c r="C1159">
        <v>7673267</v>
      </c>
      <c r="D1159" t="s">
        <v>10</v>
      </c>
      <c r="E1159" t="s">
        <v>11</v>
      </c>
      <c r="F1159" t="s">
        <v>12</v>
      </c>
      <c r="G1159" t="s">
        <v>13</v>
      </c>
      <c r="H1159" t="s">
        <v>13</v>
      </c>
      <c r="I1159">
        <v>37</v>
      </c>
      <c r="J1159">
        <f>ABS((I1159-EDA!$A$15)/EDA!$B$15)</f>
        <v>0.35143633752697023</v>
      </c>
      <c r="K1159" t="str">
        <f t="shared" si="18"/>
        <v>No</v>
      </c>
      <c r="L1159">
        <f>ABS((C1159-EDA!$F$15)/EDA!$G$15)</f>
        <v>0.24796539267505061</v>
      </c>
      <c r="M1159" t="str">
        <f>IF(moras[[#This Row],[Z-Score Salario]]&gt;1.96, "Sí", "No")</f>
        <v>No</v>
      </c>
      <c r="N1159" s="14">
        <f>IF(ISBLANK(moras[[#This Row],[SALARIO]]), EDA!$M$8, moras[[#This Row],[SALARIO]])</f>
        <v>7673267</v>
      </c>
      <c r="O1159" s="14">
        <f xml:space="preserve"> IF(ISBLANK(moras[[#This Row],[EDAD]]), EDA!$E$8, moras[[#This Row],[EDAD]])</f>
        <v>37</v>
      </c>
      <c r="P1159" s="14" t="str">
        <f>IF(
    OR(ISBLANK(moras[[#This Row],[TIPO_ASEGURAMIENTO]]), moras[[#This Row],[TIPO_ASEGURAMIENTO]]=""),
    EDA!$A$32,
    moras[[#This Row],[TIPO_ASEGURAMIENTO]]
)</f>
        <v>ASALARIADO</v>
      </c>
    </row>
    <row r="1160" spans="1:16" x14ac:dyDescent="0.3">
      <c r="A1160">
        <v>1159</v>
      </c>
      <c r="B1160" t="s">
        <v>9</v>
      </c>
      <c r="C1160">
        <v>322474</v>
      </c>
      <c r="D1160" t="s">
        <v>18</v>
      </c>
      <c r="E1160" t="s">
        <v>16</v>
      </c>
      <c r="F1160" t="s">
        <v>12</v>
      </c>
      <c r="G1160" t="s">
        <v>13</v>
      </c>
      <c r="H1160" t="s">
        <v>12</v>
      </c>
      <c r="I1160">
        <v>28</v>
      </c>
      <c r="J1160">
        <f>ABS((I1160-EDA!$A$15)/EDA!$B$15)</f>
        <v>0.98661430822120777</v>
      </c>
      <c r="K1160" t="str">
        <f t="shared" si="18"/>
        <v>No</v>
      </c>
      <c r="L1160">
        <f>ABS((C1160-EDA!$F$15)/EDA!$G$15)</f>
        <v>0.37028777720948824</v>
      </c>
      <c r="M1160" t="str">
        <f>IF(moras[[#This Row],[Z-Score Salario]]&gt;1.96, "Sí", "No")</f>
        <v>No</v>
      </c>
      <c r="N1160" s="14">
        <f>IF(ISBLANK(moras[[#This Row],[SALARIO]]), EDA!$M$8, moras[[#This Row],[SALARIO]])</f>
        <v>322474</v>
      </c>
      <c r="O1160" s="14">
        <f xml:space="preserve"> IF(ISBLANK(moras[[#This Row],[EDAD]]), EDA!$E$8, moras[[#This Row],[EDAD]])</f>
        <v>28</v>
      </c>
      <c r="P1160" s="14" t="str">
        <f>IF(
    OR(ISBLANK(moras[[#This Row],[TIPO_ASEGURAMIENTO]]), moras[[#This Row],[TIPO_ASEGURAMIENTO]]=""),
    EDA!$A$32,
    moras[[#This Row],[TIPO_ASEGURAMIENTO]]
)</f>
        <v>TRABAJADOR INDEPENDIENTE</v>
      </c>
    </row>
    <row r="1161" spans="1:16" x14ac:dyDescent="0.3">
      <c r="A1161">
        <v>1160</v>
      </c>
      <c r="B1161" t="s">
        <v>15</v>
      </c>
      <c r="C1161">
        <v>400000</v>
      </c>
      <c r="D1161" t="s">
        <v>10</v>
      </c>
      <c r="E1161" t="s">
        <v>16</v>
      </c>
      <c r="F1161" t="s">
        <v>12</v>
      </c>
      <c r="G1161" t="s">
        <v>13</v>
      </c>
      <c r="H1161" t="s">
        <v>12</v>
      </c>
      <c r="I1161">
        <v>37</v>
      </c>
      <c r="J1161">
        <f>ABS((I1161-EDA!$A$15)/EDA!$B$15)</f>
        <v>0.35143633752697023</v>
      </c>
      <c r="K1161" t="str">
        <f t="shared" si="18"/>
        <v>No</v>
      </c>
      <c r="L1161">
        <f>ABS((C1161-EDA!$F$15)/EDA!$G$15)</f>
        <v>0.36899768984293924</v>
      </c>
      <c r="M1161" t="str">
        <f>IF(moras[[#This Row],[Z-Score Salario]]&gt;1.96, "Sí", "No")</f>
        <v>No</v>
      </c>
      <c r="N1161" s="14">
        <f>IF(ISBLANK(moras[[#This Row],[SALARIO]]), EDA!$M$8, moras[[#This Row],[SALARIO]])</f>
        <v>400000</v>
      </c>
      <c r="O1161" s="14">
        <f xml:space="preserve"> IF(ISBLANK(moras[[#This Row],[EDAD]]), EDA!$E$8, moras[[#This Row],[EDAD]])</f>
        <v>37</v>
      </c>
      <c r="P1161" s="14" t="str">
        <f>IF(
    OR(ISBLANK(moras[[#This Row],[TIPO_ASEGURAMIENTO]]), moras[[#This Row],[TIPO_ASEGURAMIENTO]]=""),
    EDA!$A$32,
    moras[[#This Row],[TIPO_ASEGURAMIENTO]]
)</f>
        <v>ASALARIADO</v>
      </c>
    </row>
    <row r="1162" spans="1:16" x14ac:dyDescent="0.3">
      <c r="A1162">
        <v>1161</v>
      </c>
      <c r="B1162" t="s">
        <v>9</v>
      </c>
      <c r="C1162">
        <v>44579984</v>
      </c>
      <c r="D1162" t="s">
        <v>10</v>
      </c>
      <c r="E1162" t="s">
        <v>16</v>
      </c>
      <c r="F1162" t="s">
        <v>12</v>
      </c>
      <c r="G1162" t="s">
        <v>12</v>
      </c>
      <c r="H1162" t="s">
        <v>13</v>
      </c>
      <c r="I1162">
        <v>34</v>
      </c>
      <c r="J1162">
        <f>ABS((I1162-EDA!$A$15)/EDA!$B$15)</f>
        <v>0.56316232775838282</v>
      </c>
      <c r="K1162" t="str">
        <f t="shared" si="18"/>
        <v>No</v>
      </c>
      <c r="L1162">
        <f>ABS((C1162-EDA!$F$15)/EDA!$G$15)</f>
        <v>0.36618843110663746</v>
      </c>
      <c r="M1162" t="str">
        <f>IF(moras[[#This Row],[Z-Score Salario]]&gt;1.96, "Sí", "No")</f>
        <v>No</v>
      </c>
      <c r="N1162" s="14">
        <f>IF(ISBLANK(moras[[#This Row],[SALARIO]]), EDA!$M$8, moras[[#This Row],[SALARIO]])</f>
        <v>44579984</v>
      </c>
      <c r="O1162" s="14">
        <f xml:space="preserve"> IF(ISBLANK(moras[[#This Row],[EDAD]]), EDA!$E$8, moras[[#This Row],[EDAD]])</f>
        <v>34</v>
      </c>
      <c r="P1162" s="14" t="str">
        <f>IF(
    OR(ISBLANK(moras[[#This Row],[TIPO_ASEGURAMIENTO]]), moras[[#This Row],[TIPO_ASEGURAMIENTO]]=""),
    EDA!$A$32,
    moras[[#This Row],[TIPO_ASEGURAMIENTO]]
)</f>
        <v>ASALARIADO</v>
      </c>
    </row>
    <row r="1163" spans="1:16" x14ac:dyDescent="0.3">
      <c r="A1163">
        <v>1162</v>
      </c>
      <c r="B1163" t="s">
        <v>9</v>
      </c>
      <c r="C1163">
        <v>297046</v>
      </c>
      <c r="D1163" t="s">
        <v>17</v>
      </c>
      <c r="E1163" t="s">
        <v>16</v>
      </c>
      <c r="F1163" t="s">
        <v>12</v>
      </c>
      <c r="G1163" t="s">
        <v>13</v>
      </c>
      <c r="H1163" t="s">
        <v>13</v>
      </c>
      <c r="I1163">
        <v>48</v>
      </c>
      <c r="J1163">
        <f>ABS((I1163-EDA!$A$15)/EDA!$B$15)</f>
        <v>0.42489229332154227</v>
      </c>
      <c r="K1163" t="str">
        <f t="shared" si="18"/>
        <v>No</v>
      </c>
      <c r="L1163">
        <f>ABS((C1163-EDA!$F$15)/EDA!$G$15)</f>
        <v>0.37071091707942361</v>
      </c>
      <c r="M1163" t="str">
        <f>IF(moras[[#This Row],[Z-Score Salario]]&gt;1.96, "Sí", "No")</f>
        <v>No</v>
      </c>
      <c r="N1163" s="14">
        <f>IF(ISBLANK(moras[[#This Row],[SALARIO]]), EDA!$M$8, moras[[#This Row],[SALARIO]])</f>
        <v>297046</v>
      </c>
      <c r="O1163" s="14">
        <f xml:space="preserve"> IF(ISBLANK(moras[[#This Row],[EDAD]]), EDA!$E$8, moras[[#This Row],[EDAD]])</f>
        <v>48</v>
      </c>
      <c r="P1163" s="14" t="str">
        <f>IF(
    OR(ISBLANK(moras[[#This Row],[TIPO_ASEGURAMIENTO]]), moras[[#This Row],[TIPO_ASEGURAMIENTO]]=""),
    EDA!$A$32,
    moras[[#This Row],[TIPO_ASEGURAMIENTO]]
)</f>
        <v>ASEGURADO VOLUNTARIO</v>
      </c>
    </row>
    <row r="1164" spans="1:16" x14ac:dyDescent="0.3">
      <c r="A1164">
        <v>1163</v>
      </c>
      <c r="B1164" t="s">
        <v>15</v>
      </c>
      <c r="C1164">
        <v>62772031</v>
      </c>
      <c r="D1164" t="s">
        <v>10</v>
      </c>
      <c r="E1164" t="s">
        <v>16</v>
      </c>
      <c r="F1164" t="s">
        <v>12</v>
      </c>
      <c r="G1164" t="s">
        <v>13</v>
      </c>
      <c r="H1164" t="s">
        <v>13</v>
      </c>
      <c r="I1164">
        <v>20</v>
      </c>
      <c r="J1164">
        <f>ABS((I1164-EDA!$A$15)/EDA!$B$15)</f>
        <v>1.5512169488383079</v>
      </c>
      <c r="K1164" t="str">
        <f t="shared" si="18"/>
        <v>No</v>
      </c>
      <c r="L1164">
        <f>ABS((C1164-EDA!$F$15)/EDA!$G$15)</f>
        <v>0.66891693517450634</v>
      </c>
      <c r="M1164" t="str">
        <f>IF(moras[[#This Row],[Z-Score Salario]]&gt;1.96, "Sí", "No")</f>
        <v>No</v>
      </c>
      <c r="N1164" s="14">
        <f>IF(ISBLANK(moras[[#This Row],[SALARIO]]), EDA!$M$8, moras[[#This Row],[SALARIO]])</f>
        <v>62772031</v>
      </c>
      <c r="O1164" s="14">
        <f xml:space="preserve"> IF(ISBLANK(moras[[#This Row],[EDAD]]), EDA!$E$8, moras[[#This Row],[EDAD]])</f>
        <v>20</v>
      </c>
      <c r="P1164" s="14" t="str">
        <f>IF(
    OR(ISBLANK(moras[[#This Row],[TIPO_ASEGURAMIENTO]]), moras[[#This Row],[TIPO_ASEGURAMIENTO]]=""),
    EDA!$A$32,
    moras[[#This Row],[TIPO_ASEGURAMIENTO]]
)</f>
        <v>ASALARIADO</v>
      </c>
    </row>
    <row r="1165" spans="1:16" x14ac:dyDescent="0.3">
      <c r="A1165">
        <v>1164</v>
      </c>
      <c r="B1165" t="s">
        <v>9</v>
      </c>
      <c r="C1165">
        <v>540000</v>
      </c>
      <c r="D1165" t="s">
        <v>10</v>
      </c>
      <c r="E1165" t="s">
        <v>16</v>
      </c>
      <c r="F1165" t="s">
        <v>12</v>
      </c>
      <c r="G1165" t="s">
        <v>13</v>
      </c>
      <c r="H1165" t="s">
        <v>13</v>
      </c>
      <c r="I1165">
        <v>28</v>
      </c>
      <c r="J1165">
        <f>ABS((I1165-EDA!$A$15)/EDA!$B$15)</f>
        <v>0.98661430822120777</v>
      </c>
      <c r="K1165" t="str">
        <f t="shared" si="18"/>
        <v>No</v>
      </c>
      <c r="L1165">
        <f>ABS((C1165-EDA!$F$15)/EDA!$G$15)</f>
        <v>0.36666799101523162</v>
      </c>
      <c r="M1165" t="str">
        <f>IF(moras[[#This Row],[Z-Score Salario]]&gt;1.96, "Sí", "No")</f>
        <v>No</v>
      </c>
      <c r="N1165" s="14">
        <f>IF(ISBLANK(moras[[#This Row],[SALARIO]]), EDA!$M$8, moras[[#This Row],[SALARIO]])</f>
        <v>540000</v>
      </c>
      <c r="O1165" s="14">
        <f xml:space="preserve"> IF(ISBLANK(moras[[#This Row],[EDAD]]), EDA!$E$8, moras[[#This Row],[EDAD]])</f>
        <v>28</v>
      </c>
      <c r="P1165" s="14" t="str">
        <f>IF(
    OR(ISBLANK(moras[[#This Row],[TIPO_ASEGURAMIENTO]]), moras[[#This Row],[TIPO_ASEGURAMIENTO]]=""),
    EDA!$A$32,
    moras[[#This Row],[TIPO_ASEGURAMIENTO]]
)</f>
        <v>ASALARIADO</v>
      </c>
    </row>
    <row r="1166" spans="1:16" x14ac:dyDescent="0.3">
      <c r="A1166">
        <v>1165</v>
      </c>
      <c r="B1166" t="s">
        <v>15</v>
      </c>
      <c r="C1166">
        <v>4758325</v>
      </c>
      <c r="D1166" t="s">
        <v>10</v>
      </c>
      <c r="E1166" t="s">
        <v>16</v>
      </c>
      <c r="F1166" t="s">
        <v>12</v>
      </c>
      <c r="G1166" t="s">
        <v>13</v>
      </c>
      <c r="H1166" t="s">
        <v>13</v>
      </c>
      <c r="I1166">
        <v>26</v>
      </c>
      <c r="J1166">
        <f>ABS((I1166-EDA!$A$15)/EDA!$B$15)</f>
        <v>1.1277649683754829</v>
      </c>
      <c r="K1166" t="str">
        <f t="shared" si="18"/>
        <v>No</v>
      </c>
      <c r="L1166">
        <f>ABS((C1166-EDA!$F$15)/EDA!$G$15)</f>
        <v>0.29647208524816249</v>
      </c>
      <c r="M1166" t="str">
        <f>IF(moras[[#This Row],[Z-Score Salario]]&gt;1.96, "Sí", "No")</f>
        <v>No</v>
      </c>
      <c r="N1166" s="14">
        <f>IF(ISBLANK(moras[[#This Row],[SALARIO]]), EDA!$M$8, moras[[#This Row],[SALARIO]])</f>
        <v>4758325</v>
      </c>
      <c r="O1166" s="14">
        <f xml:space="preserve"> IF(ISBLANK(moras[[#This Row],[EDAD]]), EDA!$E$8, moras[[#This Row],[EDAD]])</f>
        <v>26</v>
      </c>
      <c r="P1166" s="14" t="str">
        <f>IF(
    OR(ISBLANK(moras[[#This Row],[TIPO_ASEGURAMIENTO]]), moras[[#This Row],[TIPO_ASEGURAMIENTO]]=""),
    EDA!$A$32,
    moras[[#This Row],[TIPO_ASEGURAMIENTO]]
)</f>
        <v>ASALARIADO</v>
      </c>
    </row>
    <row r="1167" spans="1:16" x14ac:dyDescent="0.3">
      <c r="A1167">
        <v>1166</v>
      </c>
      <c r="B1167" t="s">
        <v>9</v>
      </c>
      <c r="C1167">
        <v>32451638</v>
      </c>
      <c r="D1167" t="s">
        <v>10</v>
      </c>
      <c r="E1167" t="s">
        <v>11</v>
      </c>
      <c r="F1167" t="s">
        <v>12</v>
      </c>
      <c r="G1167" t="s">
        <v>13</v>
      </c>
      <c r="H1167" t="s">
        <v>13</v>
      </c>
      <c r="I1167">
        <v>54</v>
      </c>
      <c r="J1167">
        <f>ABS((I1167-EDA!$A$15)/EDA!$B$15)</f>
        <v>0.84834427378436728</v>
      </c>
      <c r="K1167" t="str">
        <f t="shared" si="18"/>
        <v>No</v>
      </c>
      <c r="L1167">
        <f>ABS((C1167-EDA!$F$15)/EDA!$G$15)</f>
        <v>0.16436419211926448</v>
      </c>
      <c r="M1167" t="str">
        <f>IF(moras[[#This Row],[Z-Score Salario]]&gt;1.96, "Sí", "No")</f>
        <v>No</v>
      </c>
      <c r="N1167" s="14">
        <f>IF(ISBLANK(moras[[#This Row],[SALARIO]]), EDA!$M$8, moras[[#This Row],[SALARIO]])</f>
        <v>32451638</v>
      </c>
      <c r="O1167" s="14">
        <f xml:space="preserve"> IF(ISBLANK(moras[[#This Row],[EDAD]]), EDA!$E$8, moras[[#This Row],[EDAD]])</f>
        <v>54</v>
      </c>
      <c r="P1167" s="14" t="str">
        <f>IF(
    OR(ISBLANK(moras[[#This Row],[TIPO_ASEGURAMIENTO]]), moras[[#This Row],[TIPO_ASEGURAMIENTO]]=""),
    EDA!$A$32,
    moras[[#This Row],[TIPO_ASEGURAMIENTO]]
)</f>
        <v>ASALARIADO</v>
      </c>
    </row>
    <row r="1168" spans="1:16" x14ac:dyDescent="0.3">
      <c r="A1168">
        <v>1167</v>
      </c>
      <c r="B1168" t="s">
        <v>15</v>
      </c>
      <c r="C1168">
        <v>3300500</v>
      </c>
      <c r="D1168" t="s">
        <v>10</v>
      </c>
      <c r="E1168" t="s">
        <v>16</v>
      </c>
      <c r="F1168" t="s">
        <v>12</v>
      </c>
      <c r="G1168" t="s">
        <v>13</v>
      </c>
      <c r="H1168" t="s">
        <v>13</v>
      </c>
      <c r="I1168">
        <v>48</v>
      </c>
      <c r="J1168">
        <f>ABS((I1168-EDA!$A$15)/EDA!$B$15)</f>
        <v>0.42489229332154227</v>
      </c>
      <c r="K1168" t="str">
        <f t="shared" si="18"/>
        <v>No</v>
      </c>
      <c r="L1168">
        <f>ABS((C1168-EDA!$F$15)/EDA!$G$15)</f>
        <v>0.32073132234461132</v>
      </c>
      <c r="M1168" t="str">
        <f>IF(moras[[#This Row],[Z-Score Salario]]&gt;1.96, "Sí", "No")</f>
        <v>No</v>
      </c>
      <c r="N1168" s="14">
        <f>IF(ISBLANK(moras[[#This Row],[SALARIO]]), EDA!$M$8, moras[[#This Row],[SALARIO]])</f>
        <v>3300500</v>
      </c>
      <c r="O1168" s="14">
        <f xml:space="preserve"> IF(ISBLANK(moras[[#This Row],[EDAD]]), EDA!$E$8, moras[[#This Row],[EDAD]])</f>
        <v>48</v>
      </c>
      <c r="P1168" s="14" t="str">
        <f>IF(
    OR(ISBLANK(moras[[#This Row],[TIPO_ASEGURAMIENTO]]), moras[[#This Row],[TIPO_ASEGURAMIENTO]]=""),
    EDA!$A$32,
    moras[[#This Row],[TIPO_ASEGURAMIENTO]]
)</f>
        <v>ASALARIADO</v>
      </c>
    </row>
    <row r="1169" spans="1:16" x14ac:dyDescent="0.3">
      <c r="A1169">
        <v>1168</v>
      </c>
      <c r="B1169" t="s">
        <v>9</v>
      </c>
      <c r="C1169">
        <v>387626</v>
      </c>
      <c r="D1169" t="s">
        <v>18</v>
      </c>
      <c r="E1169" t="s">
        <v>16</v>
      </c>
      <c r="F1169" t="s">
        <v>12</v>
      </c>
      <c r="G1169" t="s">
        <v>13</v>
      </c>
      <c r="H1169" t="s">
        <v>12</v>
      </c>
      <c r="I1169">
        <v>32</v>
      </c>
      <c r="J1169">
        <f>ABS((I1169-EDA!$A$15)/EDA!$B$15)</f>
        <v>0.70431298791265773</v>
      </c>
      <c r="K1169" t="str">
        <f t="shared" si="18"/>
        <v>No</v>
      </c>
      <c r="L1169">
        <f>ABS((C1169-EDA!$F$15)/EDA!$G$15)</f>
        <v>0.36920360193789675</v>
      </c>
      <c r="M1169" t="str">
        <f>IF(moras[[#This Row],[Z-Score Salario]]&gt;1.96, "Sí", "No")</f>
        <v>No</v>
      </c>
      <c r="N1169" s="14">
        <f>IF(ISBLANK(moras[[#This Row],[SALARIO]]), EDA!$M$8, moras[[#This Row],[SALARIO]])</f>
        <v>387626</v>
      </c>
      <c r="O1169" s="14">
        <f xml:space="preserve"> IF(ISBLANK(moras[[#This Row],[EDAD]]), EDA!$E$8, moras[[#This Row],[EDAD]])</f>
        <v>32</v>
      </c>
      <c r="P1169" s="14" t="str">
        <f>IF(
    OR(ISBLANK(moras[[#This Row],[TIPO_ASEGURAMIENTO]]), moras[[#This Row],[TIPO_ASEGURAMIENTO]]=""),
    EDA!$A$32,
    moras[[#This Row],[TIPO_ASEGURAMIENTO]]
)</f>
        <v>TRABAJADOR INDEPENDIENTE</v>
      </c>
    </row>
    <row r="1170" spans="1:16" x14ac:dyDescent="0.3">
      <c r="A1170">
        <v>1169</v>
      </c>
      <c r="B1170" t="s">
        <v>9</v>
      </c>
      <c r="C1170">
        <v>802029</v>
      </c>
      <c r="D1170" t="s">
        <v>18</v>
      </c>
      <c r="E1170" t="s">
        <v>16</v>
      </c>
      <c r="F1170" t="s">
        <v>12</v>
      </c>
      <c r="G1170" t="s">
        <v>13</v>
      </c>
      <c r="H1170" t="s">
        <v>13</v>
      </c>
      <c r="I1170">
        <v>60</v>
      </c>
      <c r="J1170">
        <f>ABS((I1170-EDA!$A$15)/EDA!$B$15)</f>
        <v>1.2717962542471923</v>
      </c>
      <c r="K1170" t="str">
        <f t="shared" si="18"/>
        <v>No</v>
      </c>
      <c r="L1170">
        <f>ABS((C1170-EDA!$F$15)/EDA!$G$15)</f>
        <v>0.3623076434857645</v>
      </c>
      <c r="M1170" t="str">
        <f>IF(moras[[#This Row],[Z-Score Salario]]&gt;1.96, "Sí", "No")</f>
        <v>No</v>
      </c>
      <c r="N1170" s="14">
        <f>IF(ISBLANK(moras[[#This Row],[SALARIO]]), EDA!$M$8, moras[[#This Row],[SALARIO]])</f>
        <v>802029</v>
      </c>
      <c r="O1170" s="14">
        <f xml:space="preserve"> IF(ISBLANK(moras[[#This Row],[EDAD]]), EDA!$E$8, moras[[#This Row],[EDAD]])</f>
        <v>60</v>
      </c>
      <c r="P1170" s="14" t="str">
        <f>IF(
    OR(ISBLANK(moras[[#This Row],[TIPO_ASEGURAMIENTO]]), moras[[#This Row],[TIPO_ASEGURAMIENTO]]=""),
    EDA!$A$32,
    moras[[#This Row],[TIPO_ASEGURAMIENTO]]
)</f>
        <v>TRABAJADOR INDEPENDIENTE</v>
      </c>
    </row>
    <row r="1171" spans="1:16" x14ac:dyDescent="0.3">
      <c r="A1171">
        <v>1170</v>
      </c>
      <c r="B1171" t="s">
        <v>9</v>
      </c>
      <c r="C1171">
        <v>331171</v>
      </c>
      <c r="D1171" t="s">
        <v>10</v>
      </c>
      <c r="E1171" t="s">
        <v>16</v>
      </c>
      <c r="F1171" t="s">
        <v>12</v>
      </c>
      <c r="G1171" t="s">
        <v>13</v>
      </c>
      <c r="H1171" t="s">
        <v>13</v>
      </c>
      <c r="I1171">
        <v>47</v>
      </c>
      <c r="J1171">
        <f>ABS((I1171-EDA!$A$15)/EDA!$B$15)</f>
        <v>0.35431696324440481</v>
      </c>
      <c r="K1171" t="str">
        <f t="shared" si="18"/>
        <v>No</v>
      </c>
      <c r="L1171">
        <f>ABS((C1171-EDA!$F$15)/EDA!$G$15)</f>
        <v>0.37014305299016986</v>
      </c>
      <c r="M1171" t="str">
        <f>IF(moras[[#This Row],[Z-Score Salario]]&gt;1.96, "Sí", "No")</f>
        <v>No</v>
      </c>
      <c r="N1171" s="14">
        <f>IF(ISBLANK(moras[[#This Row],[SALARIO]]), EDA!$M$8, moras[[#This Row],[SALARIO]])</f>
        <v>331171</v>
      </c>
      <c r="O1171" s="14">
        <f xml:space="preserve"> IF(ISBLANK(moras[[#This Row],[EDAD]]), EDA!$E$8, moras[[#This Row],[EDAD]])</f>
        <v>47</v>
      </c>
      <c r="P1171" s="14" t="str">
        <f>IF(
    OR(ISBLANK(moras[[#This Row],[TIPO_ASEGURAMIENTO]]), moras[[#This Row],[TIPO_ASEGURAMIENTO]]=""),
    EDA!$A$32,
    moras[[#This Row],[TIPO_ASEGURAMIENTO]]
)</f>
        <v>ASALARIADO</v>
      </c>
    </row>
    <row r="1172" spans="1:16" x14ac:dyDescent="0.3">
      <c r="A1172">
        <v>1171</v>
      </c>
      <c r="B1172" t="s">
        <v>9</v>
      </c>
      <c r="C1172">
        <v>365205272</v>
      </c>
      <c r="D1172" t="s">
        <v>14</v>
      </c>
      <c r="E1172" t="s">
        <v>11</v>
      </c>
      <c r="F1172" t="s">
        <v>12</v>
      </c>
      <c r="G1172" t="s">
        <v>13</v>
      </c>
      <c r="H1172" t="s">
        <v>13</v>
      </c>
      <c r="I1172">
        <v>67</v>
      </c>
      <c r="J1172">
        <f>ABS((I1172-EDA!$A$15)/EDA!$B$15)</f>
        <v>1.765823564787155</v>
      </c>
      <c r="K1172" t="str">
        <f t="shared" si="18"/>
        <v>No</v>
      </c>
      <c r="L1172">
        <f>ABS((C1172-EDA!$F$15)/EDA!$G$15)</f>
        <v>5.7016195567281596</v>
      </c>
      <c r="M1172" t="str">
        <f>IF(moras[[#This Row],[Z-Score Salario]]&gt;1.96, "Sí", "No")</f>
        <v>Sí</v>
      </c>
      <c r="N1172" s="14">
        <f>IF(ISBLANK(moras[[#This Row],[SALARIO]]), EDA!$M$8, moras[[#This Row],[SALARIO]])</f>
        <v>365205272</v>
      </c>
      <c r="O1172" s="14">
        <f xml:space="preserve"> IF(ISBLANK(moras[[#This Row],[EDAD]]), EDA!$E$8, moras[[#This Row],[EDAD]])</f>
        <v>67</v>
      </c>
      <c r="P1172" s="14" t="str">
        <f>IF(
    OR(ISBLANK(moras[[#This Row],[TIPO_ASEGURAMIENTO]]), moras[[#This Row],[TIPO_ASEGURAMIENTO]]=""),
    EDA!$A$32,
    moras[[#This Row],[TIPO_ASEGURAMIENTO]]
)</f>
        <v>PENSIONADOS EN SU PROPIO SISTEMA</v>
      </c>
    </row>
    <row r="1173" spans="1:16" x14ac:dyDescent="0.3">
      <c r="A1173">
        <v>1172</v>
      </c>
      <c r="B1173" t="s">
        <v>9</v>
      </c>
      <c r="C1173">
        <v>203698028</v>
      </c>
      <c r="D1173" t="s">
        <v>10</v>
      </c>
      <c r="E1173" t="s">
        <v>16</v>
      </c>
      <c r="F1173" t="s">
        <v>12</v>
      </c>
      <c r="G1173" t="s">
        <v>13</v>
      </c>
      <c r="H1173" t="s">
        <v>13</v>
      </c>
      <c r="I1173">
        <v>36</v>
      </c>
      <c r="J1173">
        <f>ABS((I1173-EDA!$A$15)/EDA!$B$15)</f>
        <v>0.42201166760410774</v>
      </c>
      <c r="K1173" t="str">
        <f t="shared" si="18"/>
        <v>No</v>
      </c>
      <c r="L1173">
        <f>ABS((C1173-EDA!$F$15)/EDA!$G$15)</f>
        <v>3.0140250066346881</v>
      </c>
      <c r="M1173" t="str">
        <f>IF(moras[[#This Row],[Z-Score Salario]]&gt;1.96, "Sí", "No")</f>
        <v>Sí</v>
      </c>
      <c r="N1173" s="14">
        <f>IF(ISBLANK(moras[[#This Row],[SALARIO]]), EDA!$M$8, moras[[#This Row],[SALARIO]])</f>
        <v>203698028</v>
      </c>
      <c r="O1173" s="14">
        <f xml:space="preserve"> IF(ISBLANK(moras[[#This Row],[EDAD]]), EDA!$E$8, moras[[#This Row],[EDAD]])</f>
        <v>36</v>
      </c>
      <c r="P1173" s="14" t="str">
        <f>IF(
    OR(ISBLANK(moras[[#This Row],[TIPO_ASEGURAMIENTO]]), moras[[#This Row],[TIPO_ASEGURAMIENTO]]=""),
    EDA!$A$32,
    moras[[#This Row],[TIPO_ASEGURAMIENTO]]
)</f>
        <v>ASALARIADO</v>
      </c>
    </row>
    <row r="1174" spans="1:16" x14ac:dyDescent="0.3">
      <c r="A1174">
        <v>1173</v>
      </c>
      <c r="B1174" t="s">
        <v>9</v>
      </c>
      <c r="C1174">
        <v>27946372</v>
      </c>
      <c r="D1174" t="s">
        <v>14</v>
      </c>
      <c r="E1174" t="s">
        <v>11</v>
      </c>
      <c r="F1174" t="s">
        <v>12</v>
      </c>
      <c r="G1174" t="s">
        <v>13</v>
      </c>
      <c r="H1174" t="s">
        <v>13</v>
      </c>
      <c r="I1174">
        <v>72</v>
      </c>
      <c r="J1174">
        <f>ABS((I1174-EDA!$A$15)/EDA!$B$15)</f>
        <v>2.1187002151728422</v>
      </c>
      <c r="K1174" t="str">
        <f t="shared" si="18"/>
        <v>Sí</v>
      </c>
      <c r="L1174">
        <f>ABS((C1174-EDA!$F$15)/EDA!$G$15)</f>
        <v>8.9393385557043542E-2</v>
      </c>
      <c r="M1174" t="str">
        <f>IF(moras[[#This Row],[Z-Score Salario]]&gt;1.96, "Sí", "No")</f>
        <v>No</v>
      </c>
      <c r="N1174" s="14">
        <f>IF(ISBLANK(moras[[#This Row],[SALARIO]]), EDA!$M$8, moras[[#This Row],[SALARIO]])</f>
        <v>27946372</v>
      </c>
      <c r="O1174" s="14">
        <f xml:space="preserve"> IF(ISBLANK(moras[[#This Row],[EDAD]]), EDA!$E$8, moras[[#This Row],[EDAD]])</f>
        <v>72</v>
      </c>
      <c r="P1174" s="14" t="str">
        <f>IF(
    OR(ISBLANK(moras[[#This Row],[TIPO_ASEGURAMIENTO]]), moras[[#This Row],[TIPO_ASEGURAMIENTO]]=""),
    EDA!$A$32,
    moras[[#This Row],[TIPO_ASEGURAMIENTO]]
)</f>
        <v>PENSIONADOS EN SU PROPIO SISTEMA</v>
      </c>
    </row>
    <row r="1175" spans="1:16" x14ac:dyDescent="0.3">
      <c r="A1175">
        <v>1174</v>
      </c>
      <c r="B1175" t="s">
        <v>9</v>
      </c>
      <c r="C1175">
        <v>17001399</v>
      </c>
      <c r="D1175" t="s">
        <v>10</v>
      </c>
      <c r="E1175" t="s">
        <v>16</v>
      </c>
      <c r="F1175" t="s">
        <v>12</v>
      </c>
      <c r="G1175" t="s">
        <v>13</v>
      </c>
      <c r="H1175" t="s">
        <v>13</v>
      </c>
      <c r="I1175">
        <v>40</v>
      </c>
      <c r="J1175">
        <f>ABS((I1175-EDA!$A$15)/EDA!$B$15)</f>
        <v>0.13971034729555773</v>
      </c>
      <c r="K1175" t="str">
        <f t="shared" si="18"/>
        <v>No</v>
      </c>
      <c r="L1175">
        <f>ABS((C1175-EDA!$F$15)/EDA!$G$15)</f>
        <v>9.2738691352894934E-2</v>
      </c>
      <c r="M1175" t="str">
        <f>IF(moras[[#This Row],[Z-Score Salario]]&gt;1.96, "Sí", "No")</f>
        <v>No</v>
      </c>
      <c r="N1175" s="14">
        <f>IF(ISBLANK(moras[[#This Row],[SALARIO]]), EDA!$M$8, moras[[#This Row],[SALARIO]])</f>
        <v>17001399</v>
      </c>
      <c r="O1175" s="14">
        <f xml:space="preserve"> IF(ISBLANK(moras[[#This Row],[EDAD]]), EDA!$E$8, moras[[#This Row],[EDAD]])</f>
        <v>40</v>
      </c>
      <c r="P1175" s="14" t="str">
        <f>IF(
    OR(ISBLANK(moras[[#This Row],[TIPO_ASEGURAMIENTO]]), moras[[#This Row],[TIPO_ASEGURAMIENTO]]=""),
    EDA!$A$32,
    moras[[#This Row],[TIPO_ASEGURAMIENTO]]
)</f>
        <v>ASALARIADO</v>
      </c>
    </row>
    <row r="1176" spans="1:16" x14ac:dyDescent="0.3">
      <c r="A1176">
        <v>1175</v>
      </c>
      <c r="B1176" t="s">
        <v>15</v>
      </c>
      <c r="C1176">
        <v>307580</v>
      </c>
      <c r="D1176" t="s">
        <v>10</v>
      </c>
      <c r="E1176" t="s">
        <v>16</v>
      </c>
      <c r="F1176" t="s">
        <v>12</v>
      </c>
      <c r="G1176" t="s">
        <v>13</v>
      </c>
      <c r="H1176" t="s">
        <v>13</v>
      </c>
      <c r="I1176">
        <v>19</v>
      </c>
      <c r="J1176">
        <f>ABS((I1176-EDA!$A$15)/EDA!$B$15)</f>
        <v>1.6217922789154453</v>
      </c>
      <c r="K1176" t="str">
        <f t="shared" si="18"/>
        <v>No</v>
      </c>
      <c r="L1176">
        <f>ABS((C1176-EDA!$F$15)/EDA!$G$15)</f>
        <v>0.37053562388334449</v>
      </c>
      <c r="M1176" t="str">
        <f>IF(moras[[#This Row],[Z-Score Salario]]&gt;1.96, "Sí", "No")</f>
        <v>No</v>
      </c>
      <c r="N1176" s="14">
        <f>IF(ISBLANK(moras[[#This Row],[SALARIO]]), EDA!$M$8, moras[[#This Row],[SALARIO]])</f>
        <v>307580</v>
      </c>
      <c r="O1176" s="14">
        <f xml:space="preserve"> IF(ISBLANK(moras[[#This Row],[EDAD]]), EDA!$E$8, moras[[#This Row],[EDAD]])</f>
        <v>19</v>
      </c>
      <c r="P1176" s="14" t="str">
        <f>IF(
    OR(ISBLANK(moras[[#This Row],[TIPO_ASEGURAMIENTO]]), moras[[#This Row],[TIPO_ASEGURAMIENTO]]=""),
    EDA!$A$32,
    moras[[#This Row],[TIPO_ASEGURAMIENTO]]
)</f>
        <v>ASALARIADO</v>
      </c>
    </row>
    <row r="1177" spans="1:16" x14ac:dyDescent="0.3">
      <c r="A1177">
        <v>1176</v>
      </c>
      <c r="B1177" t="s">
        <v>9</v>
      </c>
      <c r="C1177">
        <v>7296894</v>
      </c>
      <c r="D1177" t="s">
        <v>10</v>
      </c>
      <c r="E1177" t="s">
        <v>16</v>
      </c>
      <c r="F1177" t="s">
        <v>12</v>
      </c>
      <c r="G1177" t="s">
        <v>12</v>
      </c>
      <c r="H1177" t="s">
        <v>13</v>
      </c>
      <c r="I1177">
        <v>38</v>
      </c>
      <c r="J1177">
        <f>ABS((I1177-EDA!$A$15)/EDA!$B$15)</f>
        <v>0.28086100744983278</v>
      </c>
      <c r="K1177" t="str">
        <f t="shared" si="18"/>
        <v>No</v>
      </c>
      <c r="L1177">
        <f>ABS((C1177-EDA!$F$15)/EDA!$G$15)</f>
        <v>0.25422850508134198</v>
      </c>
      <c r="M1177" t="str">
        <f>IF(moras[[#This Row],[Z-Score Salario]]&gt;1.96, "Sí", "No")</f>
        <v>No</v>
      </c>
      <c r="N1177" s="14">
        <f>IF(ISBLANK(moras[[#This Row],[SALARIO]]), EDA!$M$8, moras[[#This Row],[SALARIO]])</f>
        <v>7296894</v>
      </c>
      <c r="O1177" s="14">
        <f xml:space="preserve"> IF(ISBLANK(moras[[#This Row],[EDAD]]), EDA!$E$8, moras[[#This Row],[EDAD]])</f>
        <v>38</v>
      </c>
      <c r="P1177" s="14" t="str">
        <f>IF(
    OR(ISBLANK(moras[[#This Row],[TIPO_ASEGURAMIENTO]]), moras[[#This Row],[TIPO_ASEGURAMIENTO]]=""),
    EDA!$A$32,
    moras[[#This Row],[TIPO_ASEGURAMIENTO]]
)</f>
        <v>ASALARIADO</v>
      </c>
    </row>
    <row r="1178" spans="1:16" x14ac:dyDescent="0.3">
      <c r="A1178">
        <v>1177</v>
      </c>
      <c r="B1178" t="s">
        <v>15</v>
      </c>
      <c r="C1178">
        <v>28786275</v>
      </c>
      <c r="D1178" t="s">
        <v>10</v>
      </c>
      <c r="E1178" t="s">
        <v>11</v>
      </c>
      <c r="F1178" t="s">
        <v>12</v>
      </c>
      <c r="G1178" t="s">
        <v>13</v>
      </c>
      <c r="H1178" t="s">
        <v>13</v>
      </c>
      <c r="I1178">
        <v>56</v>
      </c>
      <c r="J1178">
        <f>ABS((I1178-EDA!$A$15)/EDA!$B$15)</f>
        <v>0.9894949339386423</v>
      </c>
      <c r="K1178" t="str">
        <f t="shared" si="18"/>
        <v>No</v>
      </c>
      <c r="L1178">
        <f>ABS((C1178-EDA!$F$15)/EDA!$G$15)</f>
        <v>0.10336996437481569</v>
      </c>
      <c r="M1178" t="str">
        <f>IF(moras[[#This Row],[Z-Score Salario]]&gt;1.96, "Sí", "No")</f>
        <v>No</v>
      </c>
      <c r="N1178" s="14">
        <f>IF(ISBLANK(moras[[#This Row],[SALARIO]]), EDA!$M$8, moras[[#This Row],[SALARIO]])</f>
        <v>28786275</v>
      </c>
      <c r="O1178" s="14">
        <f xml:space="preserve"> IF(ISBLANK(moras[[#This Row],[EDAD]]), EDA!$E$8, moras[[#This Row],[EDAD]])</f>
        <v>56</v>
      </c>
      <c r="P1178" s="14" t="str">
        <f>IF(
    OR(ISBLANK(moras[[#This Row],[TIPO_ASEGURAMIENTO]]), moras[[#This Row],[TIPO_ASEGURAMIENTO]]=""),
    EDA!$A$32,
    moras[[#This Row],[TIPO_ASEGURAMIENTO]]
)</f>
        <v>ASALARIADO</v>
      </c>
    </row>
    <row r="1179" spans="1:16" x14ac:dyDescent="0.3">
      <c r="A1179">
        <v>1178</v>
      </c>
      <c r="B1179" t="s">
        <v>9</v>
      </c>
      <c r="C1179">
        <v>42058335</v>
      </c>
      <c r="D1179" t="s">
        <v>10</v>
      </c>
      <c r="E1179" t="s">
        <v>16</v>
      </c>
      <c r="F1179" t="s">
        <v>12</v>
      </c>
      <c r="G1179" t="s">
        <v>13</v>
      </c>
      <c r="H1179" t="s">
        <v>13</v>
      </c>
      <c r="I1179">
        <v>42</v>
      </c>
      <c r="J1179">
        <f>ABS((I1179-EDA!$A$15)/EDA!$B$15)</f>
        <v>1.4403128587172659E-3</v>
      </c>
      <c r="K1179" t="str">
        <f t="shared" si="18"/>
        <v>No</v>
      </c>
      <c r="L1179">
        <f>ABS((C1179-EDA!$F$15)/EDA!$G$15)</f>
        <v>0.32422641168385136</v>
      </c>
      <c r="M1179" t="str">
        <f>IF(moras[[#This Row],[Z-Score Salario]]&gt;1.96, "Sí", "No")</f>
        <v>No</v>
      </c>
      <c r="N1179" s="14">
        <f>IF(ISBLANK(moras[[#This Row],[SALARIO]]), EDA!$M$8, moras[[#This Row],[SALARIO]])</f>
        <v>42058335</v>
      </c>
      <c r="O1179" s="14">
        <f xml:space="preserve"> IF(ISBLANK(moras[[#This Row],[EDAD]]), EDA!$E$8, moras[[#This Row],[EDAD]])</f>
        <v>42</v>
      </c>
      <c r="P1179" s="14" t="str">
        <f>IF(
    OR(ISBLANK(moras[[#This Row],[TIPO_ASEGURAMIENTO]]), moras[[#This Row],[TIPO_ASEGURAMIENTO]]=""),
    EDA!$A$32,
    moras[[#This Row],[TIPO_ASEGURAMIENTO]]
)</f>
        <v>ASALARIADO</v>
      </c>
    </row>
    <row r="1180" spans="1:16" x14ac:dyDescent="0.3">
      <c r="A1180">
        <v>1179</v>
      </c>
      <c r="B1180" t="s">
        <v>15</v>
      </c>
      <c r="C1180">
        <v>716640</v>
      </c>
      <c r="D1180" t="s">
        <v>10</v>
      </c>
      <c r="E1180" t="s">
        <v>16</v>
      </c>
      <c r="F1180" t="s">
        <v>12</v>
      </c>
      <c r="G1180" t="s">
        <v>13</v>
      </c>
      <c r="H1180" t="s">
        <v>13</v>
      </c>
      <c r="I1180">
        <v>31</v>
      </c>
      <c r="J1180">
        <f>ABS((I1180-EDA!$A$15)/EDA!$B$15)</f>
        <v>0.77488831798979529</v>
      </c>
      <c r="K1180" t="str">
        <f t="shared" si="18"/>
        <v>No</v>
      </c>
      <c r="L1180">
        <f>ABS((C1180-EDA!$F$15)/EDA!$G$15)</f>
        <v>0.3637285767229011</v>
      </c>
      <c r="M1180" t="str">
        <f>IF(moras[[#This Row],[Z-Score Salario]]&gt;1.96, "Sí", "No")</f>
        <v>No</v>
      </c>
      <c r="N1180" s="14">
        <f>IF(ISBLANK(moras[[#This Row],[SALARIO]]), EDA!$M$8, moras[[#This Row],[SALARIO]])</f>
        <v>716640</v>
      </c>
      <c r="O1180" s="14">
        <f xml:space="preserve"> IF(ISBLANK(moras[[#This Row],[EDAD]]), EDA!$E$8, moras[[#This Row],[EDAD]])</f>
        <v>31</v>
      </c>
      <c r="P1180" s="14" t="str">
        <f>IF(
    OR(ISBLANK(moras[[#This Row],[TIPO_ASEGURAMIENTO]]), moras[[#This Row],[TIPO_ASEGURAMIENTO]]=""),
    EDA!$A$32,
    moras[[#This Row],[TIPO_ASEGURAMIENTO]]
)</f>
        <v>ASALARIADO</v>
      </c>
    </row>
    <row r="1181" spans="1:16" x14ac:dyDescent="0.3">
      <c r="A1181">
        <v>1180</v>
      </c>
      <c r="B1181" t="s">
        <v>9</v>
      </c>
      <c r="C1181">
        <v>330000</v>
      </c>
      <c r="D1181" t="s">
        <v>10</v>
      </c>
      <c r="E1181" t="s">
        <v>16</v>
      </c>
      <c r="F1181" t="s">
        <v>12</v>
      </c>
      <c r="G1181" t="s">
        <v>12</v>
      </c>
      <c r="H1181" t="s">
        <v>12</v>
      </c>
      <c r="I1181">
        <v>56</v>
      </c>
      <c r="J1181">
        <f>ABS((I1181-EDA!$A$15)/EDA!$B$15)</f>
        <v>0.9894949339386423</v>
      </c>
      <c r="K1181" t="str">
        <f t="shared" si="18"/>
        <v>No</v>
      </c>
      <c r="L1181">
        <f>ABS((C1181-EDA!$F$15)/EDA!$G$15)</f>
        <v>0.37016253925679304</v>
      </c>
      <c r="M1181" t="str">
        <f>IF(moras[[#This Row],[Z-Score Salario]]&gt;1.96, "Sí", "No")</f>
        <v>No</v>
      </c>
      <c r="N1181" s="14">
        <f>IF(ISBLANK(moras[[#This Row],[SALARIO]]), EDA!$M$8, moras[[#This Row],[SALARIO]])</f>
        <v>330000</v>
      </c>
      <c r="O1181" s="14">
        <f xml:space="preserve"> IF(ISBLANK(moras[[#This Row],[EDAD]]), EDA!$E$8, moras[[#This Row],[EDAD]])</f>
        <v>56</v>
      </c>
      <c r="P1181" s="14" t="str">
        <f>IF(
    OR(ISBLANK(moras[[#This Row],[TIPO_ASEGURAMIENTO]]), moras[[#This Row],[TIPO_ASEGURAMIENTO]]=""),
    EDA!$A$32,
    moras[[#This Row],[TIPO_ASEGURAMIENTO]]
)</f>
        <v>ASALARIADO</v>
      </c>
    </row>
    <row r="1182" spans="1:16" x14ac:dyDescent="0.3">
      <c r="A1182">
        <v>1181</v>
      </c>
      <c r="B1182" t="s">
        <v>9</v>
      </c>
      <c r="C1182">
        <v>38971632</v>
      </c>
      <c r="D1182" t="s">
        <v>10</v>
      </c>
      <c r="E1182" t="s">
        <v>16</v>
      </c>
      <c r="F1182" t="s">
        <v>12</v>
      </c>
      <c r="G1182" t="s">
        <v>13</v>
      </c>
      <c r="H1182" t="s">
        <v>13</v>
      </c>
      <c r="I1182">
        <v>50</v>
      </c>
      <c r="J1182">
        <f>ABS((I1182-EDA!$A$15)/EDA!$B$15)</f>
        <v>0.56604295347581735</v>
      </c>
      <c r="K1182" t="str">
        <f t="shared" si="18"/>
        <v>No</v>
      </c>
      <c r="L1182">
        <f>ABS((C1182-EDA!$F$15)/EDA!$G$15)</f>
        <v>0.27286149482255462</v>
      </c>
      <c r="M1182" t="str">
        <f>IF(moras[[#This Row],[Z-Score Salario]]&gt;1.96, "Sí", "No")</f>
        <v>No</v>
      </c>
      <c r="N1182" s="14">
        <f>IF(ISBLANK(moras[[#This Row],[SALARIO]]), EDA!$M$8, moras[[#This Row],[SALARIO]])</f>
        <v>38971632</v>
      </c>
      <c r="O1182" s="14">
        <f xml:space="preserve"> IF(ISBLANK(moras[[#This Row],[EDAD]]), EDA!$E$8, moras[[#This Row],[EDAD]])</f>
        <v>50</v>
      </c>
      <c r="P1182" s="14" t="str">
        <f>IF(
    OR(ISBLANK(moras[[#This Row],[TIPO_ASEGURAMIENTO]]), moras[[#This Row],[TIPO_ASEGURAMIENTO]]=""),
    EDA!$A$32,
    moras[[#This Row],[TIPO_ASEGURAMIENTO]]
)</f>
        <v>ASALARIADO</v>
      </c>
    </row>
    <row r="1183" spans="1:16" x14ac:dyDescent="0.3">
      <c r="A1183">
        <v>1182</v>
      </c>
      <c r="B1183" t="s">
        <v>15</v>
      </c>
      <c r="C1183">
        <v>297046</v>
      </c>
      <c r="D1183" t="s">
        <v>17</v>
      </c>
      <c r="E1183" t="s">
        <v>16</v>
      </c>
      <c r="F1183" t="s">
        <v>12</v>
      </c>
      <c r="G1183" t="s">
        <v>13</v>
      </c>
      <c r="H1183" t="s">
        <v>13</v>
      </c>
      <c r="I1183">
        <v>42</v>
      </c>
      <c r="J1183">
        <f>ABS((I1183-EDA!$A$15)/EDA!$B$15)</f>
        <v>1.4403128587172659E-3</v>
      </c>
      <c r="K1183" t="str">
        <f t="shared" si="18"/>
        <v>No</v>
      </c>
      <c r="L1183">
        <f>ABS((C1183-EDA!$F$15)/EDA!$G$15)</f>
        <v>0.37071091707942361</v>
      </c>
      <c r="M1183" t="str">
        <f>IF(moras[[#This Row],[Z-Score Salario]]&gt;1.96, "Sí", "No")</f>
        <v>No</v>
      </c>
      <c r="N1183" s="14">
        <f>IF(ISBLANK(moras[[#This Row],[SALARIO]]), EDA!$M$8, moras[[#This Row],[SALARIO]])</f>
        <v>297046</v>
      </c>
      <c r="O1183" s="14">
        <f xml:space="preserve"> IF(ISBLANK(moras[[#This Row],[EDAD]]), EDA!$E$8, moras[[#This Row],[EDAD]])</f>
        <v>42</v>
      </c>
      <c r="P1183" s="14" t="str">
        <f>IF(
    OR(ISBLANK(moras[[#This Row],[TIPO_ASEGURAMIENTO]]), moras[[#This Row],[TIPO_ASEGURAMIENTO]]=""),
    EDA!$A$32,
    moras[[#This Row],[TIPO_ASEGURAMIENTO]]
)</f>
        <v>ASEGURADO VOLUNTARIO</v>
      </c>
    </row>
    <row r="1184" spans="1:16" x14ac:dyDescent="0.3">
      <c r="A1184">
        <v>1183</v>
      </c>
      <c r="B1184" t="s">
        <v>15</v>
      </c>
      <c r="C1184">
        <v>299647</v>
      </c>
      <c r="D1184" t="s">
        <v>17</v>
      </c>
      <c r="E1184" t="s">
        <v>16</v>
      </c>
      <c r="F1184" t="s">
        <v>12</v>
      </c>
      <c r="G1184" t="s">
        <v>13</v>
      </c>
      <c r="H1184" t="s">
        <v>13</v>
      </c>
      <c r="I1184">
        <v>83</v>
      </c>
      <c r="J1184">
        <f>ABS((I1184-EDA!$A$15)/EDA!$B$15)</f>
        <v>2.8950288460213551</v>
      </c>
      <c r="K1184" t="str">
        <f t="shared" si="18"/>
        <v>Sí</v>
      </c>
      <c r="L1184">
        <f>ABS((C1184-EDA!$F$15)/EDA!$G$15)</f>
        <v>0.37066763460334595</v>
      </c>
      <c r="M1184" t="str">
        <f>IF(moras[[#This Row],[Z-Score Salario]]&gt;1.96, "Sí", "No")</f>
        <v>No</v>
      </c>
      <c r="N1184" s="14">
        <f>IF(ISBLANK(moras[[#This Row],[SALARIO]]), EDA!$M$8, moras[[#This Row],[SALARIO]])</f>
        <v>299647</v>
      </c>
      <c r="O1184" s="14">
        <f xml:space="preserve"> IF(ISBLANK(moras[[#This Row],[EDAD]]), EDA!$E$8, moras[[#This Row],[EDAD]])</f>
        <v>83</v>
      </c>
      <c r="P1184" s="14" t="str">
        <f>IF(
    OR(ISBLANK(moras[[#This Row],[TIPO_ASEGURAMIENTO]]), moras[[#This Row],[TIPO_ASEGURAMIENTO]]=""),
    EDA!$A$32,
    moras[[#This Row],[TIPO_ASEGURAMIENTO]]
)</f>
        <v>ASEGURADO VOLUNTARIO</v>
      </c>
    </row>
    <row r="1185" spans="1:16" x14ac:dyDescent="0.3">
      <c r="A1185">
        <v>1184</v>
      </c>
      <c r="B1185" t="s">
        <v>15</v>
      </c>
      <c r="C1185">
        <v>53065496</v>
      </c>
      <c r="D1185" t="s">
        <v>10</v>
      </c>
      <c r="E1185" t="s">
        <v>16</v>
      </c>
      <c r="F1185" t="s">
        <v>12</v>
      </c>
      <c r="G1185" t="s">
        <v>13</v>
      </c>
      <c r="H1185" t="s">
        <v>13</v>
      </c>
      <c r="I1185">
        <v>26</v>
      </c>
      <c r="J1185">
        <f>ABS((I1185-EDA!$A$15)/EDA!$B$15)</f>
        <v>1.1277649683754829</v>
      </c>
      <c r="K1185" t="str">
        <f t="shared" si="18"/>
        <v>No</v>
      </c>
      <c r="L1185">
        <f>ABS((C1185-EDA!$F$15)/EDA!$G$15)</f>
        <v>0.50739334081305754</v>
      </c>
      <c r="M1185" t="str">
        <f>IF(moras[[#This Row],[Z-Score Salario]]&gt;1.96, "Sí", "No")</f>
        <v>No</v>
      </c>
      <c r="N1185" s="14">
        <f>IF(ISBLANK(moras[[#This Row],[SALARIO]]), EDA!$M$8, moras[[#This Row],[SALARIO]])</f>
        <v>53065496</v>
      </c>
      <c r="O1185" s="14">
        <f xml:space="preserve"> IF(ISBLANK(moras[[#This Row],[EDAD]]), EDA!$E$8, moras[[#This Row],[EDAD]])</f>
        <v>26</v>
      </c>
      <c r="P1185" s="14" t="str">
        <f>IF(
    OR(ISBLANK(moras[[#This Row],[TIPO_ASEGURAMIENTO]]), moras[[#This Row],[TIPO_ASEGURAMIENTO]]=""),
    EDA!$A$32,
    moras[[#This Row],[TIPO_ASEGURAMIENTO]]
)</f>
        <v>ASALARIADO</v>
      </c>
    </row>
    <row r="1186" spans="1:16" x14ac:dyDescent="0.3">
      <c r="A1186">
        <v>1185</v>
      </c>
      <c r="B1186" t="s">
        <v>15</v>
      </c>
      <c r="C1186">
        <v>580000</v>
      </c>
      <c r="D1186" t="s">
        <v>10</v>
      </c>
      <c r="E1186" t="s">
        <v>16</v>
      </c>
      <c r="F1186" t="s">
        <v>12</v>
      </c>
      <c r="G1186" t="s">
        <v>13</v>
      </c>
      <c r="H1186" t="s">
        <v>13</v>
      </c>
      <c r="I1186">
        <v>29</v>
      </c>
      <c r="J1186">
        <f>ABS((I1186-EDA!$A$15)/EDA!$B$15)</f>
        <v>0.91603897814407031</v>
      </c>
      <c r="K1186" t="str">
        <f t="shared" si="18"/>
        <v>No</v>
      </c>
      <c r="L1186">
        <f>ABS((C1186-EDA!$F$15)/EDA!$G$15)</f>
        <v>0.36600236277874376</v>
      </c>
      <c r="M1186" t="str">
        <f>IF(moras[[#This Row],[Z-Score Salario]]&gt;1.96, "Sí", "No")</f>
        <v>No</v>
      </c>
      <c r="N1186" s="14">
        <f>IF(ISBLANK(moras[[#This Row],[SALARIO]]), EDA!$M$8, moras[[#This Row],[SALARIO]])</f>
        <v>580000</v>
      </c>
      <c r="O1186" s="14">
        <f xml:space="preserve"> IF(ISBLANK(moras[[#This Row],[EDAD]]), EDA!$E$8, moras[[#This Row],[EDAD]])</f>
        <v>29</v>
      </c>
      <c r="P1186" s="14" t="str">
        <f>IF(
    OR(ISBLANK(moras[[#This Row],[TIPO_ASEGURAMIENTO]]), moras[[#This Row],[TIPO_ASEGURAMIENTO]]=""),
    EDA!$A$32,
    moras[[#This Row],[TIPO_ASEGURAMIENTO]]
)</f>
        <v>ASALARIADO</v>
      </c>
    </row>
    <row r="1187" spans="1:16" x14ac:dyDescent="0.3">
      <c r="A1187">
        <v>1186</v>
      </c>
      <c r="B1187" t="s">
        <v>15</v>
      </c>
      <c r="C1187">
        <v>59015682</v>
      </c>
      <c r="D1187" t="s">
        <v>10</v>
      </c>
      <c r="E1187" t="s">
        <v>16</v>
      </c>
      <c r="F1187" t="s">
        <v>12</v>
      </c>
      <c r="G1187" t="s">
        <v>13</v>
      </c>
      <c r="H1187" t="s">
        <v>13</v>
      </c>
      <c r="I1187">
        <v>27</v>
      </c>
      <c r="J1187">
        <f>ABS((I1187-EDA!$A$15)/EDA!$B$15)</f>
        <v>1.0571896382983452</v>
      </c>
      <c r="K1187" t="str">
        <f t="shared" si="18"/>
        <v>No</v>
      </c>
      <c r="L1187">
        <f>ABS((C1187-EDA!$F$15)/EDA!$G$15)</f>
        <v>0.60640863616193041</v>
      </c>
      <c r="M1187" t="str">
        <f>IF(moras[[#This Row],[Z-Score Salario]]&gt;1.96, "Sí", "No")</f>
        <v>No</v>
      </c>
      <c r="N1187" s="14">
        <f>IF(ISBLANK(moras[[#This Row],[SALARIO]]), EDA!$M$8, moras[[#This Row],[SALARIO]])</f>
        <v>59015682</v>
      </c>
      <c r="O1187" s="14">
        <f xml:space="preserve"> IF(ISBLANK(moras[[#This Row],[EDAD]]), EDA!$E$8, moras[[#This Row],[EDAD]])</f>
        <v>27</v>
      </c>
      <c r="P1187" s="14" t="str">
        <f>IF(
    OR(ISBLANK(moras[[#This Row],[TIPO_ASEGURAMIENTO]]), moras[[#This Row],[TIPO_ASEGURAMIENTO]]=""),
    EDA!$A$32,
    moras[[#This Row],[TIPO_ASEGURAMIENTO]]
)</f>
        <v>ASALARIADO</v>
      </c>
    </row>
    <row r="1188" spans="1:16" x14ac:dyDescent="0.3">
      <c r="A1188">
        <v>1187</v>
      </c>
      <c r="B1188" t="s">
        <v>15</v>
      </c>
      <c r="C1188">
        <v>113671666</v>
      </c>
      <c r="D1188" t="s">
        <v>10</v>
      </c>
      <c r="E1188" t="s">
        <v>16</v>
      </c>
      <c r="F1188" t="s">
        <v>12</v>
      </c>
      <c r="G1188" t="s">
        <v>13</v>
      </c>
      <c r="H1188" t="s">
        <v>13</v>
      </c>
      <c r="I1188">
        <v>27</v>
      </c>
      <c r="J1188">
        <f>ABS((I1188-EDA!$A$15)/EDA!$B$15)</f>
        <v>1.0571896382983452</v>
      </c>
      <c r="K1188" t="str">
        <f t="shared" si="18"/>
        <v>No</v>
      </c>
      <c r="L1188">
        <f>ABS((C1188-EDA!$F$15)/EDA!$G$15)</f>
        <v>1.5159227922476846</v>
      </c>
      <c r="M1188" t="str">
        <f>IF(moras[[#This Row],[Z-Score Salario]]&gt;1.96, "Sí", "No")</f>
        <v>No</v>
      </c>
      <c r="N1188" s="14">
        <f>IF(ISBLANK(moras[[#This Row],[SALARIO]]), EDA!$M$8, moras[[#This Row],[SALARIO]])</f>
        <v>113671666</v>
      </c>
      <c r="O1188" s="14">
        <f xml:space="preserve"> IF(ISBLANK(moras[[#This Row],[EDAD]]), EDA!$E$8, moras[[#This Row],[EDAD]])</f>
        <v>27</v>
      </c>
      <c r="P1188" s="14" t="str">
        <f>IF(
    OR(ISBLANK(moras[[#This Row],[TIPO_ASEGURAMIENTO]]), moras[[#This Row],[TIPO_ASEGURAMIENTO]]=""),
    EDA!$A$32,
    moras[[#This Row],[TIPO_ASEGURAMIENTO]]
)</f>
        <v>ASALARIADO</v>
      </c>
    </row>
    <row r="1189" spans="1:16" x14ac:dyDescent="0.3">
      <c r="A1189">
        <v>1188</v>
      </c>
      <c r="B1189" t="s">
        <v>9</v>
      </c>
      <c r="C1189">
        <v>458557</v>
      </c>
      <c r="D1189" t="s">
        <v>18</v>
      </c>
      <c r="E1189" t="s">
        <v>16</v>
      </c>
      <c r="F1189" t="s">
        <v>12</v>
      </c>
      <c r="G1189" t="s">
        <v>13</v>
      </c>
      <c r="H1189" t="s">
        <v>13</v>
      </c>
      <c r="I1189">
        <v>42</v>
      </c>
      <c r="J1189">
        <f>ABS((I1189-EDA!$A$15)/EDA!$B$15)</f>
        <v>1.4403128587172659E-3</v>
      </c>
      <c r="K1189" t="str">
        <f t="shared" si="18"/>
        <v>No</v>
      </c>
      <c r="L1189">
        <f>ABS((C1189-EDA!$F$15)/EDA!$G$15)</f>
        <v>0.36802326002683872</v>
      </c>
      <c r="M1189" t="str">
        <f>IF(moras[[#This Row],[Z-Score Salario]]&gt;1.96, "Sí", "No")</f>
        <v>No</v>
      </c>
      <c r="N1189" s="14">
        <f>IF(ISBLANK(moras[[#This Row],[SALARIO]]), EDA!$M$8, moras[[#This Row],[SALARIO]])</f>
        <v>458557</v>
      </c>
      <c r="O1189" s="14">
        <f xml:space="preserve"> IF(ISBLANK(moras[[#This Row],[EDAD]]), EDA!$E$8, moras[[#This Row],[EDAD]])</f>
        <v>42</v>
      </c>
      <c r="P1189" s="14" t="str">
        <f>IF(
    OR(ISBLANK(moras[[#This Row],[TIPO_ASEGURAMIENTO]]), moras[[#This Row],[TIPO_ASEGURAMIENTO]]=""),
    EDA!$A$32,
    moras[[#This Row],[TIPO_ASEGURAMIENTO]]
)</f>
        <v>TRABAJADOR INDEPENDIENTE</v>
      </c>
    </row>
    <row r="1190" spans="1:16" x14ac:dyDescent="0.3">
      <c r="A1190">
        <v>1189</v>
      </c>
      <c r="B1190" t="s">
        <v>9</v>
      </c>
      <c r="C1190">
        <v>127349063</v>
      </c>
      <c r="D1190" t="s">
        <v>10</v>
      </c>
      <c r="E1190" t="s">
        <v>16</v>
      </c>
      <c r="F1190" t="s">
        <v>12</v>
      </c>
      <c r="G1190" t="s">
        <v>13</v>
      </c>
      <c r="H1190" t="s">
        <v>13</v>
      </c>
      <c r="I1190">
        <v>27</v>
      </c>
      <c r="J1190">
        <f>ABS((I1190-EDA!$A$15)/EDA!$B$15)</f>
        <v>1.0571896382983452</v>
      </c>
      <c r="K1190" t="str">
        <f t="shared" si="18"/>
        <v>No</v>
      </c>
      <c r="L1190">
        <f>ABS((C1190-EDA!$F$15)/EDA!$G$15)</f>
        <v>1.7435243333690527</v>
      </c>
      <c r="M1190" t="str">
        <f>IF(moras[[#This Row],[Z-Score Salario]]&gt;1.96, "Sí", "No")</f>
        <v>No</v>
      </c>
      <c r="N1190" s="14">
        <f>IF(ISBLANK(moras[[#This Row],[SALARIO]]), EDA!$M$8, moras[[#This Row],[SALARIO]])</f>
        <v>127349063</v>
      </c>
      <c r="O1190" s="14">
        <f xml:space="preserve"> IF(ISBLANK(moras[[#This Row],[EDAD]]), EDA!$E$8, moras[[#This Row],[EDAD]])</f>
        <v>27</v>
      </c>
      <c r="P1190" s="14" t="str">
        <f>IF(
    OR(ISBLANK(moras[[#This Row],[TIPO_ASEGURAMIENTO]]), moras[[#This Row],[TIPO_ASEGURAMIENTO]]=""),
    EDA!$A$32,
    moras[[#This Row],[TIPO_ASEGURAMIENTO]]
)</f>
        <v>ASALARIADO</v>
      </c>
    </row>
    <row r="1191" spans="1:16" x14ac:dyDescent="0.3">
      <c r="A1191">
        <v>1190</v>
      </c>
      <c r="B1191" t="s">
        <v>9</v>
      </c>
      <c r="C1191">
        <v>403983</v>
      </c>
      <c r="D1191" t="s">
        <v>18</v>
      </c>
      <c r="E1191" t="s">
        <v>16</v>
      </c>
      <c r="F1191" t="s">
        <v>12</v>
      </c>
      <c r="G1191" t="s">
        <v>13</v>
      </c>
      <c r="H1191" t="s">
        <v>12</v>
      </c>
      <c r="I1191">
        <v>43</v>
      </c>
      <c r="J1191">
        <f>ABS((I1191-EDA!$A$15)/EDA!$B$15)</f>
        <v>7.2015642935854773E-2</v>
      </c>
      <c r="K1191" t="str">
        <f t="shared" si="18"/>
        <v>No</v>
      </c>
      <c r="L1191">
        <f>ABS((C1191-EDA!$F$15)/EDA!$G$15)</f>
        <v>0.36893140991129098</v>
      </c>
      <c r="M1191" t="str">
        <f>IF(moras[[#This Row],[Z-Score Salario]]&gt;1.96, "Sí", "No")</f>
        <v>No</v>
      </c>
      <c r="N1191" s="14">
        <f>IF(ISBLANK(moras[[#This Row],[SALARIO]]), EDA!$M$8, moras[[#This Row],[SALARIO]])</f>
        <v>403983</v>
      </c>
      <c r="O1191" s="14">
        <f xml:space="preserve"> IF(ISBLANK(moras[[#This Row],[EDAD]]), EDA!$E$8, moras[[#This Row],[EDAD]])</f>
        <v>43</v>
      </c>
      <c r="P1191" s="14" t="str">
        <f>IF(
    OR(ISBLANK(moras[[#This Row],[TIPO_ASEGURAMIENTO]]), moras[[#This Row],[TIPO_ASEGURAMIENTO]]=""),
    EDA!$A$32,
    moras[[#This Row],[TIPO_ASEGURAMIENTO]]
)</f>
        <v>TRABAJADOR INDEPENDIENTE</v>
      </c>
    </row>
    <row r="1192" spans="1:16" x14ac:dyDescent="0.3">
      <c r="A1192">
        <v>1191</v>
      </c>
      <c r="B1192" t="s">
        <v>9</v>
      </c>
      <c r="C1192">
        <v>1646695</v>
      </c>
      <c r="D1192" t="s">
        <v>10</v>
      </c>
      <c r="E1192" t="s">
        <v>11</v>
      </c>
      <c r="F1192" t="s">
        <v>12</v>
      </c>
      <c r="G1192" t="s">
        <v>13</v>
      </c>
      <c r="H1192" t="s">
        <v>12</v>
      </c>
      <c r="I1192">
        <v>54</v>
      </c>
      <c r="J1192">
        <f>ABS((I1192-EDA!$A$15)/EDA!$B$15)</f>
        <v>0.84834427378436728</v>
      </c>
      <c r="K1192" t="str">
        <f t="shared" si="18"/>
        <v>No</v>
      </c>
      <c r="L1192">
        <f>ABS((C1192-EDA!$F$15)/EDA!$G$15)</f>
        <v>0.34825180498573255</v>
      </c>
      <c r="M1192" t="str">
        <f>IF(moras[[#This Row],[Z-Score Salario]]&gt;1.96, "Sí", "No")</f>
        <v>No</v>
      </c>
      <c r="N1192" s="14">
        <f>IF(ISBLANK(moras[[#This Row],[SALARIO]]), EDA!$M$8, moras[[#This Row],[SALARIO]])</f>
        <v>1646695</v>
      </c>
      <c r="O1192" s="14">
        <f xml:space="preserve"> IF(ISBLANK(moras[[#This Row],[EDAD]]), EDA!$E$8, moras[[#This Row],[EDAD]])</f>
        <v>54</v>
      </c>
      <c r="P1192" s="14" t="str">
        <f>IF(
    OR(ISBLANK(moras[[#This Row],[TIPO_ASEGURAMIENTO]]), moras[[#This Row],[TIPO_ASEGURAMIENTO]]=""),
    EDA!$A$32,
    moras[[#This Row],[TIPO_ASEGURAMIENTO]]
)</f>
        <v>ASALARIADO</v>
      </c>
    </row>
    <row r="1193" spans="1:16" x14ac:dyDescent="0.3">
      <c r="A1193">
        <v>1192</v>
      </c>
      <c r="B1193" t="s">
        <v>15</v>
      </c>
      <c r="C1193">
        <v>634764</v>
      </c>
      <c r="D1193" t="s">
        <v>14</v>
      </c>
      <c r="E1193" t="s">
        <v>11</v>
      </c>
      <c r="F1193" t="s">
        <v>12</v>
      </c>
      <c r="G1193" t="s">
        <v>13</v>
      </c>
      <c r="H1193" t="s">
        <v>13</v>
      </c>
      <c r="I1193">
        <v>69</v>
      </c>
      <c r="J1193">
        <f>ABS((I1193-EDA!$A$15)/EDA!$B$15)</f>
        <v>1.9069742249414299</v>
      </c>
      <c r="K1193" t="str">
        <f t="shared" si="18"/>
        <v>No</v>
      </c>
      <c r="L1193">
        <f>ABS((C1193-EDA!$F$15)/EDA!$G$15)</f>
        <v>0.36509105116016816</v>
      </c>
      <c r="M1193" t="str">
        <f>IF(moras[[#This Row],[Z-Score Salario]]&gt;1.96, "Sí", "No")</f>
        <v>No</v>
      </c>
      <c r="N1193" s="14">
        <f>IF(ISBLANK(moras[[#This Row],[SALARIO]]), EDA!$M$8, moras[[#This Row],[SALARIO]])</f>
        <v>634764</v>
      </c>
      <c r="O1193" s="14">
        <f xml:space="preserve"> IF(ISBLANK(moras[[#This Row],[EDAD]]), EDA!$E$8, moras[[#This Row],[EDAD]])</f>
        <v>69</v>
      </c>
      <c r="P1193" s="14" t="str">
        <f>IF(
    OR(ISBLANK(moras[[#This Row],[TIPO_ASEGURAMIENTO]]), moras[[#This Row],[TIPO_ASEGURAMIENTO]]=""),
    EDA!$A$32,
    moras[[#This Row],[TIPO_ASEGURAMIENTO]]
)</f>
        <v>PENSIONADOS EN SU PROPIO SISTEMA</v>
      </c>
    </row>
    <row r="1194" spans="1:16" x14ac:dyDescent="0.3">
      <c r="A1194">
        <v>1193</v>
      </c>
      <c r="B1194" t="s">
        <v>9</v>
      </c>
      <c r="C1194">
        <v>303131</v>
      </c>
      <c r="D1194" t="s">
        <v>14</v>
      </c>
      <c r="E1194" t="s">
        <v>11</v>
      </c>
      <c r="F1194" t="s">
        <v>12</v>
      </c>
      <c r="G1194" t="s">
        <v>13</v>
      </c>
      <c r="H1194" t="s">
        <v>13</v>
      </c>
      <c r="I1194">
        <v>88</v>
      </c>
      <c r="J1194">
        <f>ABS((I1194-EDA!$A$15)/EDA!$B$15)</f>
        <v>3.2479054964070424</v>
      </c>
      <c r="K1194" t="str">
        <f t="shared" si="18"/>
        <v>Sí</v>
      </c>
      <c r="L1194">
        <f>ABS((C1194-EDA!$F$15)/EDA!$G$15)</f>
        <v>0.37060965838394788</v>
      </c>
      <c r="M1194" t="str">
        <f>IF(moras[[#This Row],[Z-Score Salario]]&gt;1.96, "Sí", "No")</f>
        <v>No</v>
      </c>
      <c r="N1194" s="14">
        <f>IF(ISBLANK(moras[[#This Row],[SALARIO]]), EDA!$M$8, moras[[#This Row],[SALARIO]])</f>
        <v>303131</v>
      </c>
      <c r="O1194" s="14">
        <f xml:space="preserve"> IF(ISBLANK(moras[[#This Row],[EDAD]]), EDA!$E$8, moras[[#This Row],[EDAD]])</f>
        <v>88</v>
      </c>
      <c r="P1194" s="14" t="str">
        <f>IF(
    OR(ISBLANK(moras[[#This Row],[TIPO_ASEGURAMIENTO]]), moras[[#This Row],[TIPO_ASEGURAMIENTO]]=""),
    EDA!$A$32,
    moras[[#This Row],[TIPO_ASEGURAMIENTO]]
)</f>
        <v>PENSIONADOS EN SU PROPIO SISTEMA</v>
      </c>
    </row>
    <row r="1195" spans="1:16" x14ac:dyDescent="0.3">
      <c r="A1195">
        <v>1194</v>
      </c>
      <c r="B1195" t="s">
        <v>15</v>
      </c>
      <c r="C1195">
        <v>298751</v>
      </c>
      <c r="D1195" t="s">
        <v>18</v>
      </c>
      <c r="E1195" t="s">
        <v>16</v>
      </c>
      <c r="F1195" t="s">
        <v>12</v>
      </c>
      <c r="G1195" t="s">
        <v>13</v>
      </c>
      <c r="H1195" t="s">
        <v>12</v>
      </c>
      <c r="I1195">
        <v>36</v>
      </c>
      <c r="J1195">
        <f>ABS((I1195-EDA!$A$15)/EDA!$B$15)</f>
        <v>0.42201166760410774</v>
      </c>
      <c r="K1195" t="str">
        <f t="shared" si="18"/>
        <v>No</v>
      </c>
      <c r="L1195">
        <f>ABS((C1195-EDA!$F$15)/EDA!$G$15)</f>
        <v>0.37068254467584327</v>
      </c>
      <c r="M1195" t="str">
        <f>IF(moras[[#This Row],[Z-Score Salario]]&gt;1.96, "Sí", "No")</f>
        <v>No</v>
      </c>
      <c r="N1195" s="14">
        <f>IF(ISBLANK(moras[[#This Row],[SALARIO]]), EDA!$M$8, moras[[#This Row],[SALARIO]])</f>
        <v>298751</v>
      </c>
      <c r="O1195" s="14">
        <f xml:space="preserve"> IF(ISBLANK(moras[[#This Row],[EDAD]]), EDA!$E$8, moras[[#This Row],[EDAD]])</f>
        <v>36</v>
      </c>
      <c r="P1195" s="14" t="str">
        <f>IF(
    OR(ISBLANK(moras[[#This Row],[TIPO_ASEGURAMIENTO]]), moras[[#This Row],[TIPO_ASEGURAMIENTO]]=""),
    EDA!$A$32,
    moras[[#This Row],[TIPO_ASEGURAMIENTO]]
)</f>
        <v>TRABAJADOR INDEPENDIENTE</v>
      </c>
    </row>
    <row r="1196" spans="1:16" x14ac:dyDescent="0.3">
      <c r="A1196">
        <v>1195</v>
      </c>
      <c r="B1196" t="s">
        <v>15</v>
      </c>
      <c r="C1196">
        <v>220000</v>
      </c>
      <c r="D1196" t="s">
        <v>10</v>
      </c>
      <c r="E1196" t="s">
        <v>16</v>
      </c>
      <c r="F1196" t="s">
        <v>12</v>
      </c>
      <c r="G1196" t="s">
        <v>13</v>
      </c>
      <c r="H1196" t="s">
        <v>13</v>
      </c>
      <c r="I1196">
        <v>25</v>
      </c>
      <c r="J1196">
        <f>ABS((I1196-EDA!$A$15)/EDA!$B$15)</f>
        <v>1.1983402984526204</v>
      </c>
      <c r="K1196" t="str">
        <f t="shared" si="18"/>
        <v>No</v>
      </c>
      <c r="L1196">
        <f>ABS((C1196-EDA!$F$15)/EDA!$G$15)</f>
        <v>0.37199301690713471</v>
      </c>
      <c r="M1196" t="str">
        <f>IF(moras[[#This Row],[Z-Score Salario]]&gt;1.96, "Sí", "No")</f>
        <v>No</v>
      </c>
      <c r="N1196" s="14">
        <f>IF(ISBLANK(moras[[#This Row],[SALARIO]]), EDA!$M$8, moras[[#This Row],[SALARIO]])</f>
        <v>220000</v>
      </c>
      <c r="O1196" s="14">
        <f xml:space="preserve"> IF(ISBLANK(moras[[#This Row],[EDAD]]), EDA!$E$8, moras[[#This Row],[EDAD]])</f>
        <v>25</v>
      </c>
      <c r="P1196" s="14" t="str">
        <f>IF(
    OR(ISBLANK(moras[[#This Row],[TIPO_ASEGURAMIENTO]]), moras[[#This Row],[TIPO_ASEGURAMIENTO]]=""),
    EDA!$A$32,
    moras[[#This Row],[TIPO_ASEGURAMIENTO]]
)</f>
        <v>ASALARIADO</v>
      </c>
    </row>
    <row r="1197" spans="1:16" x14ac:dyDescent="0.3">
      <c r="A1197">
        <v>1196</v>
      </c>
      <c r="B1197" t="s">
        <v>9</v>
      </c>
      <c r="C1197">
        <v>446228</v>
      </c>
      <c r="D1197" t="s">
        <v>10</v>
      </c>
      <c r="E1197" t="s">
        <v>16</v>
      </c>
      <c r="F1197" t="s">
        <v>12</v>
      </c>
      <c r="G1197" t="s">
        <v>13</v>
      </c>
      <c r="H1197" t="s">
        <v>13</v>
      </c>
      <c r="I1197">
        <v>30</v>
      </c>
      <c r="J1197">
        <f>ABS((I1197-EDA!$A$15)/EDA!$B$15)</f>
        <v>0.84546364806693275</v>
      </c>
      <c r="K1197" t="str">
        <f t="shared" si="18"/>
        <v>No</v>
      </c>
      <c r="L1197">
        <f>ABS((C1197-EDA!$F$15)/EDA!$G$15)</f>
        <v>0.36822842329003019</v>
      </c>
      <c r="M1197" t="str">
        <f>IF(moras[[#This Row],[Z-Score Salario]]&gt;1.96, "Sí", "No")</f>
        <v>No</v>
      </c>
      <c r="N1197" s="14">
        <f>IF(ISBLANK(moras[[#This Row],[SALARIO]]), EDA!$M$8, moras[[#This Row],[SALARIO]])</f>
        <v>446228</v>
      </c>
      <c r="O1197" s="14">
        <f xml:space="preserve"> IF(ISBLANK(moras[[#This Row],[EDAD]]), EDA!$E$8, moras[[#This Row],[EDAD]])</f>
        <v>30</v>
      </c>
      <c r="P1197" s="14" t="str">
        <f>IF(
    OR(ISBLANK(moras[[#This Row],[TIPO_ASEGURAMIENTO]]), moras[[#This Row],[TIPO_ASEGURAMIENTO]]=""),
    EDA!$A$32,
    moras[[#This Row],[TIPO_ASEGURAMIENTO]]
)</f>
        <v>ASALARIADO</v>
      </c>
    </row>
    <row r="1198" spans="1:16" x14ac:dyDescent="0.3">
      <c r="A1198">
        <v>1197</v>
      </c>
      <c r="B1198" t="s">
        <v>9</v>
      </c>
      <c r="C1198">
        <v>24000</v>
      </c>
      <c r="D1198" t="s">
        <v>10</v>
      </c>
      <c r="E1198" t="s">
        <v>16</v>
      </c>
      <c r="F1198" t="s">
        <v>12</v>
      </c>
      <c r="G1198" t="s">
        <v>12</v>
      </c>
      <c r="H1198" t="s">
        <v>13</v>
      </c>
      <c r="I1198">
        <v>35</v>
      </c>
      <c r="J1198">
        <f>ABS((I1198-EDA!$A$15)/EDA!$B$15)</f>
        <v>0.49258699768124525</v>
      </c>
      <c r="K1198" t="str">
        <f t="shared" si="18"/>
        <v>No</v>
      </c>
      <c r="L1198">
        <f>ABS((C1198-EDA!$F$15)/EDA!$G$15)</f>
        <v>0.37525459526592536</v>
      </c>
      <c r="M1198" t="str">
        <f>IF(moras[[#This Row],[Z-Score Salario]]&gt;1.96, "Sí", "No")</f>
        <v>No</v>
      </c>
      <c r="N1198" s="14">
        <f>IF(ISBLANK(moras[[#This Row],[SALARIO]]), EDA!$M$8, moras[[#This Row],[SALARIO]])</f>
        <v>24000</v>
      </c>
      <c r="O1198" s="14">
        <f xml:space="preserve"> IF(ISBLANK(moras[[#This Row],[EDAD]]), EDA!$E$8, moras[[#This Row],[EDAD]])</f>
        <v>35</v>
      </c>
      <c r="P1198" s="14" t="str">
        <f>IF(
    OR(ISBLANK(moras[[#This Row],[TIPO_ASEGURAMIENTO]]), moras[[#This Row],[TIPO_ASEGURAMIENTO]]=""),
    EDA!$A$32,
    moras[[#This Row],[TIPO_ASEGURAMIENTO]]
)</f>
        <v>ASALARIADO</v>
      </c>
    </row>
    <row r="1199" spans="1:16" x14ac:dyDescent="0.3">
      <c r="A1199">
        <v>1198</v>
      </c>
      <c r="B1199" t="s">
        <v>9</v>
      </c>
      <c r="C1199">
        <v>1201593</v>
      </c>
      <c r="D1199" t="s">
        <v>10</v>
      </c>
      <c r="E1199" t="s">
        <v>16</v>
      </c>
      <c r="F1199" t="s">
        <v>12</v>
      </c>
      <c r="G1199" t="s">
        <v>13</v>
      </c>
      <c r="H1199" t="s">
        <v>13</v>
      </c>
      <c r="I1199">
        <v>66</v>
      </c>
      <c r="J1199">
        <f>ABS((I1199-EDA!$A$15)/EDA!$B$15)</f>
        <v>1.6952482347100173</v>
      </c>
      <c r="K1199" t="str">
        <f t="shared" si="18"/>
        <v>No</v>
      </c>
      <c r="L1199">
        <f>ABS((C1199-EDA!$F$15)/EDA!$G$15)</f>
        <v>0.35565861646866337</v>
      </c>
      <c r="M1199" t="str">
        <f>IF(moras[[#This Row],[Z-Score Salario]]&gt;1.96, "Sí", "No")</f>
        <v>No</v>
      </c>
      <c r="N1199" s="14">
        <f>IF(ISBLANK(moras[[#This Row],[SALARIO]]), EDA!$M$8, moras[[#This Row],[SALARIO]])</f>
        <v>1201593</v>
      </c>
      <c r="O1199" s="14">
        <f xml:space="preserve"> IF(ISBLANK(moras[[#This Row],[EDAD]]), EDA!$E$8, moras[[#This Row],[EDAD]])</f>
        <v>66</v>
      </c>
      <c r="P1199" s="14" t="str">
        <f>IF(
    OR(ISBLANK(moras[[#This Row],[TIPO_ASEGURAMIENTO]]), moras[[#This Row],[TIPO_ASEGURAMIENTO]]=""),
    EDA!$A$32,
    moras[[#This Row],[TIPO_ASEGURAMIENTO]]
)</f>
        <v>ASALARIADO</v>
      </c>
    </row>
    <row r="1200" spans="1:16" x14ac:dyDescent="0.3">
      <c r="A1200">
        <v>1199</v>
      </c>
      <c r="B1200" t="s">
        <v>9</v>
      </c>
      <c r="C1200">
        <v>29682251</v>
      </c>
      <c r="D1200" t="s">
        <v>10</v>
      </c>
      <c r="E1200" t="s">
        <v>16</v>
      </c>
      <c r="F1200" t="s">
        <v>12</v>
      </c>
      <c r="G1200" t="s">
        <v>12</v>
      </c>
      <c r="H1200" t="s">
        <v>13</v>
      </c>
      <c r="I1200">
        <v>27</v>
      </c>
      <c r="J1200">
        <f>ABS((I1200-EDA!$A$15)/EDA!$B$15)</f>
        <v>1.0571896382983452</v>
      </c>
      <c r="K1200" t="str">
        <f t="shared" si="18"/>
        <v>No</v>
      </c>
      <c r="L1200">
        <f>ABS((C1200-EDA!$F$15)/EDA!$G$15)</f>
        <v>0.11827963749520247</v>
      </c>
      <c r="M1200" t="str">
        <f>IF(moras[[#This Row],[Z-Score Salario]]&gt;1.96, "Sí", "No")</f>
        <v>No</v>
      </c>
      <c r="N1200" s="14">
        <f>IF(ISBLANK(moras[[#This Row],[SALARIO]]), EDA!$M$8, moras[[#This Row],[SALARIO]])</f>
        <v>29682251</v>
      </c>
      <c r="O1200" s="14">
        <f xml:space="preserve"> IF(ISBLANK(moras[[#This Row],[EDAD]]), EDA!$E$8, moras[[#This Row],[EDAD]])</f>
        <v>27</v>
      </c>
      <c r="P1200" s="14" t="str">
        <f>IF(
    OR(ISBLANK(moras[[#This Row],[TIPO_ASEGURAMIENTO]]), moras[[#This Row],[TIPO_ASEGURAMIENTO]]=""),
    EDA!$A$32,
    moras[[#This Row],[TIPO_ASEGURAMIENTO]]
)</f>
        <v>ASALARIADO</v>
      </c>
    </row>
    <row r="1201" spans="1:16" x14ac:dyDescent="0.3">
      <c r="A1201">
        <v>1200</v>
      </c>
      <c r="B1201" t="s">
        <v>15</v>
      </c>
      <c r="C1201">
        <v>278031</v>
      </c>
      <c r="D1201" t="s">
        <v>17</v>
      </c>
      <c r="E1201" t="s">
        <v>16</v>
      </c>
      <c r="F1201" t="s">
        <v>12</v>
      </c>
      <c r="G1201" t="s">
        <v>13</v>
      </c>
      <c r="H1201" t="s">
        <v>12</v>
      </c>
      <c r="I1201">
        <v>46</v>
      </c>
      <c r="J1201">
        <f>ABS((I1201-EDA!$A$15)/EDA!$B$15)</f>
        <v>0.2837416331672673</v>
      </c>
      <c r="K1201" t="str">
        <f t="shared" si="18"/>
        <v>No</v>
      </c>
      <c r="L1201">
        <f>ABS((C1201-EDA!$F$15)/EDA!$G$15)</f>
        <v>0.37102734010234401</v>
      </c>
      <c r="M1201" t="str">
        <f>IF(moras[[#This Row],[Z-Score Salario]]&gt;1.96, "Sí", "No")</f>
        <v>No</v>
      </c>
      <c r="N1201" s="14">
        <f>IF(ISBLANK(moras[[#This Row],[SALARIO]]), EDA!$M$8, moras[[#This Row],[SALARIO]])</f>
        <v>278031</v>
      </c>
      <c r="O1201" s="14">
        <f xml:space="preserve"> IF(ISBLANK(moras[[#This Row],[EDAD]]), EDA!$E$8, moras[[#This Row],[EDAD]])</f>
        <v>46</v>
      </c>
      <c r="P1201" s="14" t="str">
        <f>IF(
    OR(ISBLANK(moras[[#This Row],[TIPO_ASEGURAMIENTO]]), moras[[#This Row],[TIPO_ASEGURAMIENTO]]=""),
    EDA!$A$32,
    moras[[#This Row],[TIPO_ASEGURAMIENTO]]
)</f>
        <v>ASEGURADO VOLUNTARIO</v>
      </c>
    </row>
    <row r="1202" spans="1:16" x14ac:dyDescent="0.3">
      <c r="A1202">
        <v>1201</v>
      </c>
      <c r="B1202" t="s">
        <v>9</v>
      </c>
      <c r="C1202">
        <v>305704</v>
      </c>
      <c r="D1202" t="s">
        <v>18</v>
      </c>
      <c r="E1202" t="s">
        <v>16</v>
      </c>
      <c r="F1202" t="s">
        <v>12</v>
      </c>
      <c r="G1202" t="s">
        <v>13</v>
      </c>
      <c r="H1202" t="s">
        <v>12</v>
      </c>
      <c r="I1202">
        <v>62</v>
      </c>
      <c r="J1202">
        <f>ABS((I1202-EDA!$A$15)/EDA!$B$15)</f>
        <v>1.4129469144014672</v>
      </c>
      <c r="K1202" t="str">
        <f t="shared" si="18"/>
        <v>No</v>
      </c>
      <c r="L1202">
        <f>ABS((C1202-EDA!$F$15)/EDA!$G$15)</f>
        <v>0.37056684184763578</v>
      </c>
      <c r="M1202" t="str">
        <f>IF(moras[[#This Row],[Z-Score Salario]]&gt;1.96, "Sí", "No")</f>
        <v>No</v>
      </c>
      <c r="N1202" s="14">
        <f>IF(ISBLANK(moras[[#This Row],[SALARIO]]), EDA!$M$8, moras[[#This Row],[SALARIO]])</f>
        <v>305704</v>
      </c>
      <c r="O1202" s="14">
        <f xml:space="preserve"> IF(ISBLANK(moras[[#This Row],[EDAD]]), EDA!$E$8, moras[[#This Row],[EDAD]])</f>
        <v>62</v>
      </c>
      <c r="P1202" s="14" t="str">
        <f>IF(
    OR(ISBLANK(moras[[#This Row],[TIPO_ASEGURAMIENTO]]), moras[[#This Row],[TIPO_ASEGURAMIENTO]]=""),
    EDA!$A$32,
    moras[[#This Row],[TIPO_ASEGURAMIENTO]]
)</f>
        <v>TRABAJADOR INDEPENDIENTE</v>
      </c>
    </row>
    <row r="1203" spans="1:16" x14ac:dyDescent="0.3">
      <c r="A1203">
        <v>1202</v>
      </c>
      <c r="B1203" t="s">
        <v>15</v>
      </c>
      <c r="C1203">
        <v>164917</v>
      </c>
      <c r="D1203" t="s">
        <v>10</v>
      </c>
      <c r="E1203" t="s">
        <v>11</v>
      </c>
      <c r="F1203" t="s">
        <v>12</v>
      </c>
      <c r="G1203" t="s">
        <v>13</v>
      </c>
      <c r="H1203" t="s">
        <v>13</v>
      </c>
      <c r="I1203">
        <v>42</v>
      </c>
      <c r="J1203">
        <f>ABS((I1203-EDA!$A$15)/EDA!$B$15)</f>
        <v>1.4403128587172659E-3</v>
      </c>
      <c r="K1203" t="str">
        <f t="shared" si="18"/>
        <v>No</v>
      </c>
      <c r="L1203">
        <f>ABS((C1203-EDA!$F$15)/EDA!$G$15)</f>
        <v>0.37290963691089629</v>
      </c>
      <c r="M1203" t="str">
        <f>IF(moras[[#This Row],[Z-Score Salario]]&gt;1.96, "Sí", "No")</f>
        <v>No</v>
      </c>
      <c r="N1203" s="14">
        <f>IF(ISBLANK(moras[[#This Row],[SALARIO]]), EDA!$M$8, moras[[#This Row],[SALARIO]])</f>
        <v>164917</v>
      </c>
      <c r="O1203" s="14">
        <f xml:space="preserve"> IF(ISBLANK(moras[[#This Row],[EDAD]]), EDA!$E$8, moras[[#This Row],[EDAD]])</f>
        <v>42</v>
      </c>
      <c r="P1203" s="14" t="str">
        <f>IF(
    OR(ISBLANK(moras[[#This Row],[TIPO_ASEGURAMIENTO]]), moras[[#This Row],[TIPO_ASEGURAMIENTO]]=""),
    EDA!$A$32,
    moras[[#This Row],[TIPO_ASEGURAMIENTO]]
)</f>
        <v>ASALARIADO</v>
      </c>
    </row>
    <row r="1204" spans="1:16" x14ac:dyDescent="0.3">
      <c r="A1204">
        <v>1203</v>
      </c>
      <c r="B1204" t="s">
        <v>9</v>
      </c>
      <c r="C1204">
        <v>278030</v>
      </c>
      <c r="D1204" t="s">
        <v>19</v>
      </c>
      <c r="E1204" t="s">
        <v>16</v>
      </c>
      <c r="F1204" t="s">
        <v>12</v>
      </c>
      <c r="G1204" t="s">
        <v>13</v>
      </c>
      <c r="H1204" t="s">
        <v>12</v>
      </c>
      <c r="I1204">
        <v>68</v>
      </c>
      <c r="J1204">
        <f>ABS((I1204-EDA!$A$15)/EDA!$B$15)</f>
        <v>1.8363988948642924</v>
      </c>
      <c r="K1204" t="str">
        <f t="shared" si="18"/>
        <v>No</v>
      </c>
      <c r="L1204">
        <f>ABS((C1204-EDA!$F$15)/EDA!$G$15)</f>
        <v>0.37102735674304993</v>
      </c>
      <c r="M1204" t="str">
        <f>IF(moras[[#This Row],[Z-Score Salario]]&gt;1.96, "Sí", "No")</f>
        <v>No</v>
      </c>
      <c r="N1204" s="14">
        <f>IF(ISBLANK(moras[[#This Row],[SALARIO]]), EDA!$M$8, moras[[#This Row],[SALARIO]])</f>
        <v>278030</v>
      </c>
      <c r="O1204" s="14">
        <f xml:space="preserve"> IF(ISBLANK(moras[[#This Row],[EDAD]]), EDA!$E$8, moras[[#This Row],[EDAD]])</f>
        <v>68</v>
      </c>
      <c r="P1204" s="14" t="str">
        <f>IF(
    OR(ISBLANK(moras[[#This Row],[TIPO_ASEGURAMIENTO]]), moras[[#This Row],[TIPO_ASEGURAMIENTO]]=""),
    EDA!$A$32,
    moras[[#This Row],[TIPO_ASEGURAMIENTO]]
)</f>
        <v>CONVENIOS ESPECIALES DE TRABAJADORES INDEPENDIENTES</v>
      </c>
    </row>
    <row r="1205" spans="1:16" x14ac:dyDescent="0.3">
      <c r="A1205">
        <v>1204</v>
      </c>
      <c r="B1205" t="s">
        <v>9</v>
      </c>
      <c r="C1205">
        <v>297046</v>
      </c>
      <c r="D1205" t="s">
        <v>18</v>
      </c>
      <c r="E1205" t="s">
        <v>16</v>
      </c>
      <c r="F1205" t="s">
        <v>12</v>
      </c>
      <c r="G1205" t="s">
        <v>12</v>
      </c>
      <c r="H1205" t="s">
        <v>12</v>
      </c>
      <c r="I1205">
        <v>51</v>
      </c>
      <c r="J1205">
        <f>ABS((I1205-EDA!$A$15)/EDA!$B$15)</f>
        <v>0.6366182835529548</v>
      </c>
      <c r="K1205" t="str">
        <f t="shared" si="18"/>
        <v>No</v>
      </c>
      <c r="L1205">
        <f>ABS((C1205-EDA!$F$15)/EDA!$G$15)</f>
        <v>0.37071091707942361</v>
      </c>
      <c r="M1205" t="str">
        <f>IF(moras[[#This Row],[Z-Score Salario]]&gt;1.96, "Sí", "No")</f>
        <v>No</v>
      </c>
      <c r="N1205" s="14">
        <f>IF(ISBLANK(moras[[#This Row],[SALARIO]]), EDA!$M$8, moras[[#This Row],[SALARIO]])</f>
        <v>297046</v>
      </c>
      <c r="O1205" s="14">
        <f xml:space="preserve"> IF(ISBLANK(moras[[#This Row],[EDAD]]), EDA!$E$8, moras[[#This Row],[EDAD]])</f>
        <v>51</v>
      </c>
      <c r="P1205" s="14" t="str">
        <f>IF(
    OR(ISBLANK(moras[[#This Row],[TIPO_ASEGURAMIENTO]]), moras[[#This Row],[TIPO_ASEGURAMIENTO]]=""),
    EDA!$A$32,
    moras[[#This Row],[TIPO_ASEGURAMIENTO]]
)</f>
        <v>TRABAJADOR INDEPENDIENTE</v>
      </c>
    </row>
    <row r="1206" spans="1:16" x14ac:dyDescent="0.3">
      <c r="A1206">
        <v>1205</v>
      </c>
      <c r="B1206" t="s">
        <v>9</v>
      </c>
      <c r="C1206">
        <v>14894005</v>
      </c>
      <c r="D1206" t="s">
        <v>10</v>
      </c>
      <c r="E1206" t="s">
        <v>11</v>
      </c>
      <c r="F1206" t="s">
        <v>12</v>
      </c>
      <c r="G1206" t="s">
        <v>13</v>
      </c>
      <c r="H1206" t="s">
        <v>13</v>
      </c>
      <c r="I1206">
        <v>33</v>
      </c>
      <c r="J1206">
        <f>ABS((I1206-EDA!$A$15)/EDA!$B$15)</f>
        <v>0.63373765783552027</v>
      </c>
      <c r="K1206" t="str">
        <f t="shared" si="18"/>
        <v>No</v>
      </c>
      <c r="L1206">
        <f>ABS((C1206-EDA!$F$15)/EDA!$G$15)</f>
        <v>0.12780721514802379</v>
      </c>
      <c r="M1206" t="str">
        <f>IF(moras[[#This Row],[Z-Score Salario]]&gt;1.96, "Sí", "No")</f>
        <v>No</v>
      </c>
      <c r="N1206" s="14">
        <f>IF(ISBLANK(moras[[#This Row],[SALARIO]]), EDA!$M$8, moras[[#This Row],[SALARIO]])</f>
        <v>14894005</v>
      </c>
      <c r="O1206" s="14">
        <f xml:space="preserve"> IF(ISBLANK(moras[[#This Row],[EDAD]]), EDA!$E$8, moras[[#This Row],[EDAD]])</f>
        <v>33</v>
      </c>
      <c r="P1206" s="14" t="str">
        <f>IF(
    OR(ISBLANK(moras[[#This Row],[TIPO_ASEGURAMIENTO]]), moras[[#This Row],[TIPO_ASEGURAMIENTO]]=""),
    EDA!$A$32,
    moras[[#This Row],[TIPO_ASEGURAMIENTO]]
)</f>
        <v>ASALARIADO</v>
      </c>
    </row>
    <row r="1207" spans="1:16" x14ac:dyDescent="0.3">
      <c r="A1207">
        <v>1206</v>
      </c>
      <c r="B1207" t="s">
        <v>9</v>
      </c>
      <c r="C1207">
        <v>355741</v>
      </c>
      <c r="D1207" t="s">
        <v>18</v>
      </c>
      <c r="E1207" t="s">
        <v>16</v>
      </c>
      <c r="F1207" t="s">
        <v>12</v>
      </c>
      <c r="G1207" t="s">
        <v>13</v>
      </c>
      <c r="H1207" t="s">
        <v>12</v>
      </c>
      <c r="I1207">
        <v>66</v>
      </c>
      <c r="J1207">
        <f>ABS((I1207-EDA!$A$15)/EDA!$B$15)</f>
        <v>1.6952482347100173</v>
      </c>
      <c r="K1207" t="str">
        <f t="shared" si="18"/>
        <v>No</v>
      </c>
      <c r="L1207">
        <f>ABS((C1207-EDA!$F$15)/EDA!$G$15)</f>
        <v>0.3697341908459072</v>
      </c>
      <c r="M1207" t="str">
        <f>IF(moras[[#This Row],[Z-Score Salario]]&gt;1.96, "Sí", "No")</f>
        <v>No</v>
      </c>
      <c r="N1207" s="14">
        <f>IF(ISBLANK(moras[[#This Row],[SALARIO]]), EDA!$M$8, moras[[#This Row],[SALARIO]])</f>
        <v>355741</v>
      </c>
      <c r="O1207" s="14">
        <f xml:space="preserve"> IF(ISBLANK(moras[[#This Row],[EDAD]]), EDA!$E$8, moras[[#This Row],[EDAD]])</f>
        <v>66</v>
      </c>
      <c r="P1207" s="14" t="str">
        <f>IF(
    OR(ISBLANK(moras[[#This Row],[TIPO_ASEGURAMIENTO]]), moras[[#This Row],[TIPO_ASEGURAMIENTO]]=""),
    EDA!$A$32,
    moras[[#This Row],[TIPO_ASEGURAMIENTO]]
)</f>
        <v>TRABAJADOR INDEPENDIENTE</v>
      </c>
    </row>
    <row r="1208" spans="1:16" x14ac:dyDescent="0.3">
      <c r="A1208">
        <v>1207</v>
      </c>
      <c r="B1208" t="s">
        <v>15</v>
      </c>
      <c r="C1208">
        <v>3148285</v>
      </c>
      <c r="D1208" t="s">
        <v>10</v>
      </c>
      <c r="E1208" t="s">
        <v>16</v>
      </c>
      <c r="F1208" t="s">
        <v>12</v>
      </c>
      <c r="G1208" t="s">
        <v>12</v>
      </c>
      <c r="H1208" t="s">
        <v>13</v>
      </c>
      <c r="I1208">
        <v>22</v>
      </c>
      <c r="J1208">
        <f>ABS((I1208-EDA!$A$15)/EDA!$B$15)</f>
        <v>1.4100662886840327</v>
      </c>
      <c r="K1208" t="str">
        <f t="shared" si="18"/>
        <v>No</v>
      </c>
      <c r="L1208">
        <f>ABS((C1208-EDA!$F$15)/EDA!$G$15)</f>
        <v>0.32326428739503643</v>
      </c>
      <c r="M1208" t="str">
        <f>IF(moras[[#This Row],[Z-Score Salario]]&gt;1.96, "Sí", "No")</f>
        <v>No</v>
      </c>
      <c r="N1208" s="14">
        <f>IF(ISBLANK(moras[[#This Row],[SALARIO]]), EDA!$M$8, moras[[#This Row],[SALARIO]])</f>
        <v>3148285</v>
      </c>
      <c r="O1208" s="14">
        <f xml:space="preserve"> IF(ISBLANK(moras[[#This Row],[EDAD]]), EDA!$E$8, moras[[#This Row],[EDAD]])</f>
        <v>22</v>
      </c>
      <c r="P1208" s="14" t="str">
        <f>IF(
    OR(ISBLANK(moras[[#This Row],[TIPO_ASEGURAMIENTO]]), moras[[#This Row],[TIPO_ASEGURAMIENTO]]=""),
    EDA!$A$32,
    moras[[#This Row],[TIPO_ASEGURAMIENTO]]
)</f>
        <v>ASALARIADO</v>
      </c>
    </row>
    <row r="1209" spans="1:16" x14ac:dyDescent="0.3">
      <c r="A1209">
        <v>1208</v>
      </c>
      <c r="B1209" t="s">
        <v>15</v>
      </c>
      <c r="C1209">
        <v>297045</v>
      </c>
      <c r="D1209" t="s">
        <v>17</v>
      </c>
      <c r="E1209" t="s">
        <v>16</v>
      </c>
      <c r="F1209" t="s">
        <v>12</v>
      </c>
      <c r="G1209" t="s">
        <v>13</v>
      </c>
      <c r="H1209" t="s">
        <v>13</v>
      </c>
      <c r="I1209">
        <v>49</v>
      </c>
      <c r="J1209">
        <f>ABS((I1209-EDA!$A$15)/EDA!$B$15)</f>
        <v>0.49546762339867978</v>
      </c>
      <c r="K1209" t="str">
        <f t="shared" si="18"/>
        <v>No</v>
      </c>
      <c r="L1209">
        <f>ABS((C1209-EDA!$F$15)/EDA!$G$15)</f>
        <v>0.37071093372012948</v>
      </c>
      <c r="M1209" t="str">
        <f>IF(moras[[#This Row],[Z-Score Salario]]&gt;1.96, "Sí", "No")</f>
        <v>No</v>
      </c>
      <c r="N1209" s="14">
        <f>IF(ISBLANK(moras[[#This Row],[SALARIO]]), EDA!$M$8, moras[[#This Row],[SALARIO]])</f>
        <v>297045</v>
      </c>
      <c r="O1209" s="14">
        <f xml:space="preserve"> IF(ISBLANK(moras[[#This Row],[EDAD]]), EDA!$E$8, moras[[#This Row],[EDAD]])</f>
        <v>49</v>
      </c>
      <c r="P1209" s="14" t="str">
        <f>IF(
    OR(ISBLANK(moras[[#This Row],[TIPO_ASEGURAMIENTO]]), moras[[#This Row],[TIPO_ASEGURAMIENTO]]=""),
    EDA!$A$32,
    moras[[#This Row],[TIPO_ASEGURAMIENTO]]
)</f>
        <v>ASEGURADO VOLUNTARIO</v>
      </c>
    </row>
    <row r="1210" spans="1:16" x14ac:dyDescent="0.3">
      <c r="A1210">
        <v>1209</v>
      </c>
      <c r="B1210" t="s">
        <v>9</v>
      </c>
      <c r="C1210">
        <v>335543816</v>
      </c>
      <c r="D1210" t="s">
        <v>10</v>
      </c>
      <c r="E1210" t="s">
        <v>11</v>
      </c>
      <c r="F1210" t="s">
        <v>12</v>
      </c>
      <c r="G1210" t="s">
        <v>13</v>
      </c>
      <c r="H1210" t="s">
        <v>13</v>
      </c>
      <c r="I1210">
        <v>34</v>
      </c>
      <c r="J1210">
        <f>ABS((I1210-EDA!$A$15)/EDA!$B$15)</f>
        <v>0.56316232775838282</v>
      </c>
      <c r="K1210" t="str">
        <f t="shared" si="18"/>
        <v>No</v>
      </c>
      <c r="L1210">
        <f>ABS((C1210-EDA!$F$15)/EDA!$G$15)</f>
        <v>5.2080319905045833</v>
      </c>
      <c r="M1210" t="str">
        <f>IF(moras[[#This Row],[Z-Score Salario]]&gt;1.96, "Sí", "No")</f>
        <v>Sí</v>
      </c>
      <c r="N1210" s="14">
        <f>IF(ISBLANK(moras[[#This Row],[SALARIO]]), EDA!$M$8, moras[[#This Row],[SALARIO]])</f>
        <v>335543816</v>
      </c>
      <c r="O1210" s="14">
        <f xml:space="preserve"> IF(ISBLANK(moras[[#This Row],[EDAD]]), EDA!$E$8, moras[[#This Row],[EDAD]])</f>
        <v>34</v>
      </c>
      <c r="P1210" s="14" t="str">
        <f>IF(
    OR(ISBLANK(moras[[#This Row],[TIPO_ASEGURAMIENTO]]), moras[[#This Row],[TIPO_ASEGURAMIENTO]]=""),
    EDA!$A$32,
    moras[[#This Row],[TIPO_ASEGURAMIENTO]]
)</f>
        <v>ASALARIADO</v>
      </c>
    </row>
    <row r="1211" spans="1:16" x14ac:dyDescent="0.3">
      <c r="A1211">
        <v>1210</v>
      </c>
      <c r="B1211" t="s">
        <v>9</v>
      </c>
      <c r="C1211">
        <v>278030</v>
      </c>
      <c r="D1211" t="s">
        <v>19</v>
      </c>
      <c r="E1211" t="s">
        <v>16</v>
      </c>
      <c r="F1211" t="s">
        <v>12</v>
      </c>
      <c r="G1211" t="s">
        <v>13</v>
      </c>
      <c r="H1211" t="s">
        <v>13</v>
      </c>
      <c r="I1211">
        <v>42</v>
      </c>
      <c r="J1211">
        <f>ABS((I1211-EDA!$A$15)/EDA!$B$15)</f>
        <v>1.4403128587172659E-3</v>
      </c>
      <c r="K1211" t="str">
        <f t="shared" si="18"/>
        <v>No</v>
      </c>
      <c r="L1211">
        <f>ABS((C1211-EDA!$F$15)/EDA!$G$15)</f>
        <v>0.37102735674304993</v>
      </c>
      <c r="M1211" t="str">
        <f>IF(moras[[#This Row],[Z-Score Salario]]&gt;1.96, "Sí", "No")</f>
        <v>No</v>
      </c>
      <c r="N1211" s="14">
        <f>IF(ISBLANK(moras[[#This Row],[SALARIO]]), EDA!$M$8, moras[[#This Row],[SALARIO]])</f>
        <v>278030</v>
      </c>
      <c r="O1211" s="14">
        <f xml:space="preserve"> IF(ISBLANK(moras[[#This Row],[EDAD]]), EDA!$E$8, moras[[#This Row],[EDAD]])</f>
        <v>42</v>
      </c>
      <c r="P1211" s="14" t="str">
        <f>IF(
    OR(ISBLANK(moras[[#This Row],[TIPO_ASEGURAMIENTO]]), moras[[#This Row],[TIPO_ASEGURAMIENTO]]=""),
    EDA!$A$32,
    moras[[#This Row],[TIPO_ASEGURAMIENTO]]
)</f>
        <v>CONVENIOS ESPECIALES DE TRABAJADORES INDEPENDIENTES</v>
      </c>
    </row>
    <row r="1212" spans="1:16" x14ac:dyDescent="0.3">
      <c r="A1212">
        <v>1211</v>
      </c>
      <c r="B1212" t="s">
        <v>9</v>
      </c>
      <c r="C1212">
        <v>1177801</v>
      </c>
      <c r="D1212" t="s">
        <v>14</v>
      </c>
      <c r="E1212" t="s">
        <v>11</v>
      </c>
      <c r="F1212" t="s">
        <v>12</v>
      </c>
      <c r="G1212" t="s">
        <v>13</v>
      </c>
      <c r="H1212" t="s">
        <v>13</v>
      </c>
      <c r="I1212">
        <v>82</v>
      </c>
      <c r="J1212">
        <f>ABS((I1212-EDA!$A$15)/EDA!$B$15)</f>
        <v>2.8244535159442172</v>
      </c>
      <c r="K1212" t="str">
        <f t="shared" si="18"/>
        <v>Sí</v>
      </c>
      <c r="L1212">
        <f>ABS((C1212-EDA!$F$15)/EDA!$G$15)</f>
        <v>0.35605453214372634</v>
      </c>
      <c r="M1212" t="str">
        <f>IF(moras[[#This Row],[Z-Score Salario]]&gt;1.96, "Sí", "No")</f>
        <v>No</v>
      </c>
      <c r="N1212" s="14">
        <f>IF(ISBLANK(moras[[#This Row],[SALARIO]]), EDA!$M$8, moras[[#This Row],[SALARIO]])</f>
        <v>1177801</v>
      </c>
      <c r="O1212" s="14">
        <f xml:space="preserve"> IF(ISBLANK(moras[[#This Row],[EDAD]]), EDA!$E$8, moras[[#This Row],[EDAD]])</f>
        <v>82</v>
      </c>
      <c r="P1212" s="14" t="str">
        <f>IF(
    OR(ISBLANK(moras[[#This Row],[TIPO_ASEGURAMIENTO]]), moras[[#This Row],[TIPO_ASEGURAMIENTO]]=""),
    EDA!$A$32,
    moras[[#This Row],[TIPO_ASEGURAMIENTO]]
)</f>
        <v>PENSIONADOS EN SU PROPIO SISTEMA</v>
      </c>
    </row>
    <row r="1213" spans="1:16" x14ac:dyDescent="0.3">
      <c r="A1213">
        <v>1212</v>
      </c>
      <c r="B1213" t="s">
        <v>9</v>
      </c>
      <c r="C1213">
        <v>297046</v>
      </c>
      <c r="D1213" t="s">
        <v>18</v>
      </c>
      <c r="E1213" t="s">
        <v>16</v>
      </c>
      <c r="F1213" t="s">
        <v>12</v>
      </c>
      <c r="G1213" t="s">
        <v>13</v>
      </c>
      <c r="H1213" t="s">
        <v>13</v>
      </c>
      <c r="I1213">
        <v>38</v>
      </c>
      <c r="J1213">
        <f>ABS((I1213-EDA!$A$15)/EDA!$B$15)</f>
        <v>0.28086100744983278</v>
      </c>
      <c r="K1213" t="str">
        <f t="shared" si="18"/>
        <v>No</v>
      </c>
      <c r="L1213">
        <f>ABS((C1213-EDA!$F$15)/EDA!$G$15)</f>
        <v>0.37071091707942361</v>
      </c>
      <c r="M1213" t="str">
        <f>IF(moras[[#This Row],[Z-Score Salario]]&gt;1.96, "Sí", "No")</f>
        <v>No</v>
      </c>
      <c r="N1213" s="14">
        <f>IF(ISBLANK(moras[[#This Row],[SALARIO]]), EDA!$M$8, moras[[#This Row],[SALARIO]])</f>
        <v>297046</v>
      </c>
      <c r="O1213" s="14">
        <f xml:space="preserve"> IF(ISBLANK(moras[[#This Row],[EDAD]]), EDA!$E$8, moras[[#This Row],[EDAD]])</f>
        <v>38</v>
      </c>
      <c r="P1213" s="14" t="str">
        <f>IF(
    OR(ISBLANK(moras[[#This Row],[TIPO_ASEGURAMIENTO]]), moras[[#This Row],[TIPO_ASEGURAMIENTO]]=""),
    EDA!$A$32,
    moras[[#This Row],[TIPO_ASEGURAMIENTO]]
)</f>
        <v>TRABAJADOR INDEPENDIENTE</v>
      </c>
    </row>
    <row r="1214" spans="1:16" x14ac:dyDescent="0.3">
      <c r="A1214">
        <v>1213</v>
      </c>
      <c r="B1214" t="s">
        <v>9</v>
      </c>
      <c r="C1214">
        <v>278030</v>
      </c>
      <c r="D1214" t="s">
        <v>19</v>
      </c>
      <c r="E1214" t="s">
        <v>16</v>
      </c>
      <c r="F1214" t="s">
        <v>12</v>
      </c>
      <c r="G1214" t="s">
        <v>13</v>
      </c>
      <c r="H1214" t="s">
        <v>13</v>
      </c>
      <c r="I1214">
        <v>64</v>
      </c>
      <c r="J1214">
        <f>ABS((I1214-EDA!$A$15)/EDA!$B$15)</f>
        <v>1.5540975745557424</v>
      </c>
      <c r="K1214" t="str">
        <f t="shared" si="18"/>
        <v>No</v>
      </c>
      <c r="L1214">
        <f>ABS((C1214-EDA!$F$15)/EDA!$G$15)</f>
        <v>0.37102735674304993</v>
      </c>
      <c r="M1214" t="str">
        <f>IF(moras[[#This Row],[Z-Score Salario]]&gt;1.96, "Sí", "No")</f>
        <v>No</v>
      </c>
      <c r="N1214" s="14">
        <f>IF(ISBLANK(moras[[#This Row],[SALARIO]]), EDA!$M$8, moras[[#This Row],[SALARIO]])</f>
        <v>278030</v>
      </c>
      <c r="O1214" s="14">
        <f xml:space="preserve"> IF(ISBLANK(moras[[#This Row],[EDAD]]), EDA!$E$8, moras[[#This Row],[EDAD]])</f>
        <v>64</v>
      </c>
      <c r="P1214" s="14" t="str">
        <f>IF(
    OR(ISBLANK(moras[[#This Row],[TIPO_ASEGURAMIENTO]]), moras[[#This Row],[TIPO_ASEGURAMIENTO]]=""),
    EDA!$A$32,
    moras[[#This Row],[TIPO_ASEGURAMIENTO]]
)</f>
        <v>CONVENIOS ESPECIALES DE TRABAJADORES INDEPENDIENTES</v>
      </c>
    </row>
    <row r="1215" spans="1:16" x14ac:dyDescent="0.3">
      <c r="A1215">
        <v>1214</v>
      </c>
      <c r="B1215" t="s">
        <v>9</v>
      </c>
      <c r="C1215">
        <v>3580557</v>
      </c>
      <c r="D1215" t="s">
        <v>14</v>
      </c>
      <c r="E1215" t="s">
        <v>11</v>
      </c>
      <c r="F1215" t="s">
        <v>12</v>
      </c>
      <c r="G1215" t="s">
        <v>13</v>
      </c>
      <c r="H1215" t="s">
        <v>13</v>
      </c>
      <c r="I1215">
        <v>82</v>
      </c>
      <c r="J1215">
        <f>ABS((I1215-EDA!$A$15)/EDA!$B$15)</f>
        <v>2.8244535159442172</v>
      </c>
      <c r="K1215" t="str">
        <f t="shared" si="18"/>
        <v>Sí</v>
      </c>
      <c r="L1215">
        <f>ABS((C1215-EDA!$F$15)/EDA!$G$15)</f>
        <v>0.31607097616895913</v>
      </c>
      <c r="M1215" t="str">
        <f>IF(moras[[#This Row],[Z-Score Salario]]&gt;1.96, "Sí", "No")</f>
        <v>No</v>
      </c>
      <c r="N1215" s="14">
        <f>IF(ISBLANK(moras[[#This Row],[SALARIO]]), EDA!$M$8, moras[[#This Row],[SALARIO]])</f>
        <v>3580557</v>
      </c>
      <c r="O1215" s="14">
        <f xml:space="preserve"> IF(ISBLANK(moras[[#This Row],[EDAD]]), EDA!$E$8, moras[[#This Row],[EDAD]])</f>
        <v>82</v>
      </c>
      <c r="P1215" s="14" t="str">
        <f>IF(
    OR(ISBLANK(moras[[#This Row],[TIPO_ASEGURAMIENTO]]), moras[[#This Row],[TIPO_ASEGURAMIENTO]]=""),
    EDA!$A$32,
    moras[[#This Row],[TIPO_ASEGURAMIENTO]]
)</f>
        <v>PENSIONADOS EN SU PROPIO SISTEMA</v>
      </c>
    </row>
    <row r="1216" spans="1:16" x14ac:dyDescent="0.3">
      <c r="A1216">
        <v>1215</v>
      </c>
      <c r="B1216" t="s">
        <v>9</v>
      </c>
      <c r="C1216">
        <v>159780</v>
      </c>
      <c r="D1216" t="s">
        <v>10</v>
      </c>
      <c r="E1216" t="s">
        <v>16</v>
      </c>
      <c r="F1216" t="s">
        <v>12</v>
      </c>
      <c r="G1216" t="s">
        <v>12</v>
      </c>
      <c r="H1216" t="s">
        <v>12</v>
      </c>
      <c r="I1216">
        <v>37</v>
      </c>
      <c r="J1216">
        <f>ABS((I1216-EDA!$A$15)/EDA!$B$15)</f>
        <v>0.35143633752697023</v>
      </c>
      <c r="K1216" t="str">
        <f t="shared" si="18"/>
        <v>No</v>
      </c>
      <c r="L1216">
        <f>ABS((C1216-EDA!$F$15)/EDA!$G$15)</f>
        <v>0.37299512021716724</v>
      </c>
      <c r="M1216" t="str">
        <f>IF(moras[[#This Row],[Z-Score Salario]]&gt;1.96, "Sí", "No")</f>
        <v>No</v>
      </c>
      <c r="N1216" s="14">
        <f>IF(ISBLANK(moras[[#This Row],[SALARIO]]), EDA!$M$8, moras[[#This Row],[SALARIO]])</f>
        <v>159780</v>
      </c>
      <c r="O1216" s="14">
        <f xml:space="preserve"> IF(ISBLANK(moras[[#This Row],[EDAD]]), EDA!$E$8, moras[[#This Row],[EDAD]])</f>
        <v>37</v>
      </c>
      <c r="P1216" s="14" t="str">
        <f>IF(
    OR(ISBLANK(moras[[#This Row],[TIPO_ASEGURAMIENTO]]), moras[[#This Row],[TIPO_ASEGURAMIENTO]]=""),
    EDA!$A$32,
    moras[[#This Row],[TIPO_ASEGURAMIENTO]]
)</f>
        <v>ASALARIADO</v>
      </c>
    </row>
    <row r="1217" spans="1:16" x14ac:dyDescent="0.3">
      <c r="A1217">
        <v>1216</v>
      </c>
      <c r="B1217" t="s">
        <v>9</v>
      </c>
      <c r="C1217">
        <v>592110</v>
      </c>
      <c r="D1217" t="s">
        <v>10</v>
      </c>
      <c r="E1217" t="s">
        <v>16</v>
      </c>
      <c r="F1217" t="s">
        <v>12</v>
      </c>
      <c r="G1217" t="s">
        <v>13</v>
      </c>
      <c r="H1217" t="s">
        <v>13</v>
      </c>
      <c r="I1217">
        <v>21</v>
      </c>
      <c r="J1217">
        <f>ABS((I1217-EDA!$A$15)/EDA!$B$15)</f>
        <v>1.4806416187611704</v>
      </c>
      <c r="K1217" t="str">
        <f t="shared" si="18"/>
        <v>No</v>
      </c>
      <c r="L1217">
        <f>ABS((C1217-EDA!$F$15)/EDA!$G$15)</f>
        <v>0.36580084383014705</v>
      </c>
      <c r="M1217" t="str">
        <f>IF(moras[[#This Row],[Z-Score Salario]]&gt;1.96, "Sí", "No")</f>
        <v>No</v>
      </c>
      <c r="N1217" s="14">
        <f>IF(ISBLANK(moras[[#This Row],[SALARIO]]), EDA!$M$8, moras[[#This Row],[SALARIO]])</f>
        <v>592110</v>
      </c>
      <c r="O1217" s="14">
        <f xml:space="preserve"> IF(ISBLANK(moras[[#This Row],[EDAD]]), EDA!$E$8, moras[[#This Row],[EDAD]])</f>
        <v>21</v>
      </c>
      <c r="P1217" s="14" t="str">
        <f>IF(
    OR(ISBLANK(moras[[#This Row],[TIPO_ASEGURAMIENTO]]), moras[[#This Row],[TIPO_ASEGURAMIENTO]]=""),
    EDA!$A$32,
    moras[[#This Row],[TIPO_ASEGURAMIENTO]]
)</f>
        <v>ASALARIADO</v>
      </c>
    </row>
    <row r="1218" spans="1:16" x14ac:dyDescent="0.3">
      <c r="A1218">
        <v>1217</v>
      </c>
      <c r="B1218" t="s">
        <v>9</v>
      </c>
      <c r="C1218">
        <v>64070561</v>
      </c>
      <c r="D1218" t="s">
        <v>10</v>
      </c>
      <c r="E1218" t="s">
        <v>16</v>
      </c>
      <c r="F1218" t="s">
        <v>12</v>
      </c>
      <c r="G1218" t="s">
        <v>12</v>
      </c>
      <c r="H1218" t="s">
        <v>13</v>
      </c>
      <c r="I1218">
        <v>25</v>
      </c>
      <c r="J1218">
        <f>ABS((I1218-EDA!$A$15)/EDA!$B$15)</f>
        <v>1.1983402984526204</v>
      </c>
      <c r="K1218" t="str">
        <f t="shared" ref="K1218:K1281" si="19">IF(J1218 &gt;  1.96, "Sí","No")</f>
        <v>No</v>
      </c>
      <c r="L1218">
        <f>ABS((C1218-EDA!$F$15)/EDA!$G$15)</f>
        <v>0.69052539102267174</v>
      </c>
      <c r="M1218" t="str">
        <f>IF(moras[[#This Row],[Z-Score Salario]]&gt;1.96, "Sí", "No")</f>
        <v>No</v>
      </c>
      <c r="N1218" s="14">
        <f>IF(ISBLANK(moras[[#This Row],[SALARIO]]), EDA!$M$8, moras[[#This Row],[SALARIO]])</f>
        <v>64070561</v>
      </c>
      <c r="O1218" s="14">
        <f xml:space="preserve"> IF(ISBLANK(moras[[#This Row],[EDAD]]), EDA!$E$8, moras[[#This Row],[EDAD]])</f>
        <v>25</v>
      </c>
      <c r="P1218" s="14" t="str">
        <f>IF(
    OR(ISBLANK(moras[[#This Row],[TIPO_ASEGURAMIENTO]]), moras[[#This Row],[TIPO_ASEGURAMIENTO]]=""),
    EDA!$A$32,
    moras[[#This Row],[TIPO_ASEGURAMIENTO]]
)</f>
        <v>ASALARIADO</v>
      </c>
    </row>
    <row r="1219" spans="1:16" x14ac:dyDescent="0.3">
      <c r="A1219">
        <v>1218</v>
      </c>
      <c r="B1219" t="s">
        <v>9</v>
      </c>
      <c r="C1219">
        <v>3000000</v>
      </c>
      <c r="D1219" t="s">
        <v>10</v>
      </c>
      <c r="E1219" t="s">
        <v>16</v>
      </c>
      <c r="F1219" t="s">
        <v>12</v>
      </c>
      <c r="G1219" t="s">
        <v>13</v>
      </c>
      <c r="H1219" t="s">
        <v>13</v>
      </c>
      <c r="I1219">
        <v>53</v>
      </c>
      <c r="J1219">
        <f>ABS((I1219-EDA!$A$15)/EDA!$B$15)</f>
        <v>0.77776894370722982</v>
      </c>
      <c r="K1219" t="str">
        <f t="shared" si="19"/>
        <v>No</v>
      </c>
      <c r="L1219">
        <f>ABS((C1219-EDA!$F$15)/EDA!$G$15)</f>
        <v>0.3257318544712266</v>
      </c>
      <c r="M1219" t="str">
        <f>IF(moras[[#This Row],[Z-Score Salario]]&gt;1.96, "Sí", "No")</f>
        <v>No</v>
      </c>
      <c r="N1219" s="14">
        <f>IF(ISBLANK(moras[[#This Row],[SALARIO]]), EDA!$M$8, moras[[#This Row],[SALARIO]])</f>
        <v>3000000</v>
      </c>
      <c r="O1219" s="14">
        <f xml:space="preserve"> IF(ISBLANK(moras[[#This Row],[EDAD]]), EDA!$E$8, moras[[#This Row],[EDAD]])</f>
        <v>53</v>
      </c>
      <c r="P1219" s="14" t="str">
        <f>IF(
    OR(ISBLANK(moras[[#This Row],[TIPO_ASEGURAMIENTO]]), moras[[#This Row],[TIPO_ASEGURAMIENTO]]=""),
    EDA!$A$32,
    moras[[#This Row],[TIPO_ASEGURAMIENTO]]
)</f>
        <v>ASALARIADO</v>
      </c>
    </row>
    <row r="1220" spans="1:16" x14ac:dyDescent="0.3">
      <c r="A1220">
        <v>1219</v>
      </c>
      <c r="B1220" t="s">
        <v>9</v>
      </c>
      <c r="C1220">
        <v>28699048</v>
      </c>
      <c r="D1220" t="s">
        <v>10</v>
      </c>
      <c r="E1220" t="s">
        <v>16</v>
      </c>
      <c r="F1220" t="s">
        <v>12</v>
      </c>
      <c r="G1220" t="s">
        <v>13</v>
      </c>
      <c r="H1220" t="s">
        <v>13</v>
      </c>
      <c r="I1220">
        <v>20</v>
      </c>
      <c r="J1220">
        <f>ABS((I1220-EDA!$A$15)/EDA!$B$15)</f>
        <v>1.5512169488383079</v>
      </c>
      <c r="K1220" t="str">
        <f t="shared" si="19"/>
        <v>No</v>
      </c>
      <c r="L1220">
        <f>ABS((C1220-EDA!$F$15)/EDA!$G$15)</f>
        <v>0.10191844552021247</v>
      </c>
      <c r="M1220" t="str">
        <f>IF(moras[[#This Row],[Z-Score Salario]]&gt;1.96, "Sí", "No")</f>
        <v>No</v>
      </c>
      <c r="N1220" s="14">
        <f>IF(ISBLANK(moras[[#This Row],[SALARIO]]), EDA!$M$8, moras[[#This Row],[SALARIO]])</f>
        <v>28699048</v>
      </c>
      <c r="O1220" s="14">
        <f xml:space="preserve"> IF(ISBLANK(moras[[#This Row],[EDAD]]), EDA!$E$8, moras[[#This Row],[EDAD]])</f>
        <v>20</v>
      </c>
      <c r="P1220" s="14" t="str">
        <f>IF(
    OR(ISBLANK(moras[[#This Row],[TIPO_ASEGURAMIENTO]]), moras[[#This Row],[TIPO_ASEGURAMIENTO]]=""),
    EDA!$A$32,
    moras[[#This Row],[TIPO_ASEGURAMIENTO]]
)</f>
        <v>ASALARIADO</v>
      </c>
    </row>
    <row r="1221" spans="1:16" x14ac:dyDescent="0.3">
      <c r="A1221">
        <v>1220</v>
      </c>
      <c r="B1221" t="s">
        <v>15</v>
      </c>
      <c r="C1221">
        <v>297046</v>
      </c>
      <c r="D1221" t="s">
        <v>17</v>
      </c>
      <c r="E1221" t="s">
        <v>16</v>
      </c>
      <c r="F1221" t="s">
        <v>12</v>
      </c>
      <c r="G1221" t="s">
        <v>12</v>
      </c>
      <c r="H1221" t="s">
        <v>13</v>
      </c>
      <c r="I1221">
        <v>19</v>
      </c>
      <c r="J1221">
        <f>ABS((I1221-EDA!$A$15)/EDA!$B$15)</f>
        <v>1.6217922789154453</v>
      </c>
      <c r="K1221" t="str">
        <f t="shared" si="19"/>
        <v>No</v>
      </c>
      <c r="L1221">
        <f>ABS((C1221-EDA!$F$15)/EDA!$G$15)</f>
        <v>0.37071091707942361</v>
      </c>
      <c r="M1221" t="str">
        <f>IF(moras[[#This Row],[Z-Score Salario]]&gt;1.96, "Sí", "No")</f>
        <v>No</v>
      </c>
      <c r="N1221" s="14">
        <f>IF(ISBLANK(moras[[#This Row],[SALARIO]]), EDA!$M$8, moras[[#This Row],[SALARIO]])</f>
        <v>297046</v>
      </c>
      <c r="O1221" s="14">
        <f xml:space="preserve"> IF(ISBLANK(moras[[#This Row],[EDAD]]), EDA!$E$8, moras[[#This Row],[EDAD]])</f>
        <v>19</v>
      </c>
      <c r="P1221" s="14" t="str">
        <f>IF(
    OR(ISBLANK(moras[[#This Row],[TIPO_ASEGURAMIENTO]]), moras[[#This Row],[TIPO_ASEGURAMIENTO]]=""),
    EDA!$A$32,
    moras[[#This Row],[TIPO_ASEGURAMIENTO]]
)</f>
        <v>ASEGURADO VOLUNTARIO</v>
      </c>
    </row>
    <row r="1222" spans="1:16" x14ac:dyDescent="0.3">
      <c r="A1222">
        <v>1221</v>
      </c>
      <c r="B1222" t="s">
        <v>15</v>
      </c>
      <c r="C1222">
        <v>48613905</v>
      </c>
      <c r="D1222" t="s">
        <v>10</v>
      </c>
      <c r="E1222" t="s">
        <v>16</v>
      </c>
      <c r="F1222" t="s">
        <v>12</v>
      </c>
      <c r="G1222" t="s">
        <v>13</v>
      </c>
      <c r="H1222" t="s">
        <v>13</v>
      </c>
      <c r="I1222">
        <v>48</v>
      </c>
      <c r="J1222">
        <f>ABS((I1222-EDA!$A$15)/EDA!$B$15)</f>
        <v>0.42489229332154227</v>
      </c>
      <c r="K1222" t="str">
        <f t="shared" si="19"/>
        <v>No</v>
      </c>
      <c r="L1222">
        <f>ABS((C1222-EDA!$F$15)/EDA!$G$15)</f>
        <v>0.43331572414067382</v>
      </c>
      <c r="M1222" t="str">
        <f>IF(moras[[#This Row],[Z-Score Salario]]&gt;1.96, "Sí", "No")</f>
        <v>No</v>
      </c>
      <c r="N1222" s="14">
        <f>IF(ISBLANK(moras[[#This Row],[SALARIO]]), EDA!$M$8, moras[[#This Row],[SALARIO]])</f>
        <v>48613905</v>
      </c>
      <c r="O1222" s="14">
        <f xml:space="preserve"> IF(ISBLANK(moras[[#This Row],[EDAD]]), EDA!$E$8, moras[[#This Row],[EDAD]])</f>
        <v>48</v>
      </c>
      <c r="P1222" s="14" t="str">
        <f>IF(
    OR(ISBLANK(moras[[#This Row],[TIPO_ASEGURAMIENTO]]), moras[[#This Row],[TIPO_ASEGURAMIENTO]]=""),
    EDA!$A$32,
    moras[[#This Row],[TIPO_ASEGURAMIENTO]]
)</f>
        <v>ASALARIADO</v>
      </c>
    </row>
    <row r="1223" spans="1:16" x14ac:dyDescent="0.3">
      <c r="A1223">
        <v>1222</v>
      </c>
      <c r="B1223" t="s">
        <v>9</v>
      </c>
      <c r="C1223">
        <v>40418198</v>
      </c>
      <c r="D1223" t="s">
        <v>10</v>
      </c>
      <c r="E1223" t="s">
        <v>16</v>
      </c>
      <c r="F1223" t="s">
        <v>12</v>
      </c>
      <c r="G1223" t="s">
        <v>12</v>
      </c>
      <c r="H1223" t="s">
        <v>13</v>
      </c>
      <c r="I1223">
        <v>57</v>
      </c>
      <c r="J1223">
        <f>ABS((I1223-EDA!$A$15)/EDA!$B$15)</f>
        <v>1.0600702640157798</v>
      </c>
      <c r="K1223" t="str">
        <f t="shared" si="19"/>
        <v>No</v>
      </c>
      <c r="L1223">
        <f>ABS((C1223-EDA!$F$15)/EDA!$G$15)</f>
        <v>0.29693337421113802</v>
      </c>
      <c r="M1223" t="str">
        <f>IF(moras[[#This Row],[Z-Score Salario]]&gt;1.96, "Sí", "No")</f>
        <v>No</v>
      </c>
      <c r="N1223" s="14">
        <f>IF(ISBLANK(moras[[#This Row],[SALARIO]]), EDA!$M$8, moras[[#This Row],[SALARIO]])</f>
        <v>40418198</v>
      </c>
      <c r="O1223" s="14">
        <f xml:space="preserve"> IF(ISBLANK(moras[[#This Row],[EDAD]]), EDA!$E$8, moras[[#This Row],[EDAD]])</f>
        <v>57</v>
      </c>
      <c r="P1223" s="14" t="str">
        <f>IF(
    OR(ISBLANK(moras[[#This Row],[TIPO_ASEGURAMIENTO]]), moras[[#This Row],[TIPO_ASEGURAMIENTO]]=""),
    EDA!$A$32,
    moras[[#This Row],[TIPO_ASEGURAMIENTO]]
)</f>
        <v>ASALARIADO</v>
      </c>
    </row>
    <row r="1224" spans="1:16" x14ac:dyDescent="0.3">
      <c r="A1224">
        <v>1223</v>
      </c>
      <c r="B1224" t="s">
        <v>9</v>
      </c>
      <c r="C1224">
        <v>297046</v>
      </c>
      <c r="D1224" t="s">
        <v>17</v>
      </c>
      <c r="E1224" t="s">
        <v>16</v>
      </c>
      <c r="F1224" t="s">
        <v>12</v>
      </c>
      <c r="G1224" t="s">
        <v>13</v>
      </c>
      <c r="H1224" t="s">
        <v>13</v>
      </c>
      <c r="I1224">
        <v>31</v>
      </c>
      <c r="J1224">
        <f>ABS((I1224-EDA!$A$15)/EDA!$B$15)</f>
        <v>0.77488831798979529</v>
      </c>
      <c r="K1224" t="str">
        <f t="shared" si="19"/>
        <v>No</v>
      </c>
      <c r="L1224">
        <f>ABS((C1224-EDA!$F$15)/EDA!$G$15)</f>
        <v>0.37071091707942361</v>
      </c>
      <c r="M1224" t="str">
        <f>IF(moras[[#This Row],[Z-Score Salario]]&gt;1.96, "Sí", "No")</f>
        <v>No</v>
      </c>
      <c r="N1224" s="14">
        <f>IF(ISBLANK(moras[[#This Row],[SALARIO]]), EDA!$M$8, moras[[#This Row],[SALARIO]])</f>
        <v>297046</v>
      </c>
      <c r="O1224" s="14">
        <f xml:space="preserve"> IF(ISBLANK(moras[[#This Row],[EDAD]]), EDA!$E$8, moras[[#This Row],[EDAD]])</f>
        <v>31</v>
      </c>
      <c r="P1224" s="14" t="str">
        <f>IF(
    OR(ISBLANK(moras[[#This Row],[TIPO_ASEGURAMIENTO]]), moras[[#This Row],[TIPO_ASEGURAMIENTO]]=""),
    EDA!$A$32,
    moras[[#This Row],[TIPO_ASEGURAMIENTO]]
)</f>
        <v>ASEGURADO VOLUNTARIO</v>
      </c>
    </row>
    <row r="1225" spans="1:16" x14ac:dyDescent="0.3">
      <c r="A1225">
        <v>1224</v>
      </c>
      <c r="B1225" t="s">
        <v>15</v>
      </c>
      <c r="C1225">
        <v>22709748</v>
      </c>
      <c r="D1225" t="s">
        <v>10</v>
      </c>
      <c r="E1225" t="s">
        <v>16</v>
      </c>
      <c r="F1225" t="s">
        <v>12</v>
      </c>
      <c r="G1225" t="s">
        <v>13</v>
      </c>
      <c r="H1225" t="s">
        <v>13</v>
      </c>
      <c r="I1225">
        <v>36</v>
      </c>
      <c r="J1225">
        <f>ABS((I1225-EDA!$A$15)/EDA!$B$15)</f>
        <v>0.42201166760410774</v>
      </c>
      <c r="K1225" t="str">
        <f t="shared" si="19"/>
        <v>No</v>
      </c>
      <c r="L1225">
        <f>ABS((C1225-EDA!$F$15)/EDA!$G$15)</f>
        <v>2.252265600289914E-3</v>
      </c>
      <c r="M1225" t="str">
        <f>IF(moras[[#This Row],[Z-Score Salario]]&gt;1.96, "Sí", "No")</f>
        <v>No</v>
      </c>
      <c r="N1225" s="14">
        <f>IF(ISBLANK(moras[[#This Row],[SALARIO]]), EDA!$M$8, moras[[#This Row],[SALARIO]])</f>
        <v>22709748</v>
      </c>
      <c r="O1225" s="14">
        <f xml:space="preserve"> IF(ISBLANK(moras[[#This Row],[EDAD]]), EDA!$E$8, moras[[#This Row],[EDAD]])</f>
        <v>36</v>
      </c>
      <c r="P1225" s="14" t="str">
        <f>IF(
    OR(ISBLANK(moras[[#This Row],[TIPO_ASEGURAMIENTO]]), moras[[#This Row],[TIPO_ASEGURAMIENTO]]=""),
    EDA!$A$32,
    moras[[#This Row],[TIPO_ASEGURAMIENTO]]
)</f>
        <v>ASALARIADO</v>
      </c>
    </row>
    <row r="1226" spans="1:16" x14ac:dyDescent="0.3">
      <c r="A1226">
        <v>1225</v>
      </c>
      <c r="B1226" t="s">
        <v>9</v>
      </c>
      <c r="C1226">
        <v>415869</v>
      </c>
      <c r="D1226" t="s">
        <v>18</v>
      </c>
      <c r="E1226" t="s">
        <v>16</v>
      </c>
      <c r="F1226" t="s">
        <v>12</v>
      </c>
      <c r="G1226" t="s">
        <v>12</v>
      </c>
      <c r="H1226" t="s">
        <v>12</v>
      </c>
      <c r="I1226">
        <v>61</v>
      </c>
      <c r="J1226">
        <f>ABS((I1226-EDA!$A$15)/EDA!$B$15)</f>
        <v>1.3423715843243298</v>
      </c>
      <c r="K1226" t="str">
        <f t="shared" si="19"/>
        <v>No</v>
      </c>
      <c r="L1226">
        <f>ABS((C1226-EDA!$F$15)/EDA!$G$15)</f>
        <v>0.36873361848081859</v>
      </c>
      <c r="M1226" t="str">
        <f>IF(moras[[#This Row],[Z-Score Salario]]&gt;1.96, "Sí", "No")</f>
        <v>No</v>
      </c>
      <c r="N1226" s="14">
        <f>IF(ISBLANK(moras[[#This Row],[SALARIO]]), EDA!$M$8, moras[[#This Row],[SALARIO]])</f>
        <v>415869</v>
      </c>
      <c r="O1226" s="14">
        <f xml:space="preserve"> IF(ISBLANK(moras[[#This Row],[EDAD]]), EDA!$E$8, moras[[#This Row],[EDAD]])</f>
        <v>61</v>
      </c>
      <c r="P1226" s="14" t="str">
        <f>IF(
    OR(ISBLANK(moras[[#This Row],[TIPO_ASEGURAMIENTO]]), moras[[#This Row],[TIPO_ASEGURAMIENTO]]=""),
    EDA!$A$32,
    moras[[#This Row],[TIPO_ASEGURAMIENTO]]
)</f>
        <v>TRABAJADOR INDEPENDIENTE</v>
      </c>
    </row>
    <row r="1227" spans="1:16" x14ac:dyDescent="0.3">
      <c r="A1227">
        <v>1226</v>
      </c>
      <c r="B1227" t="s">
        <v>15</v>
      </c>
      <c r="C1227">
        <v>418017</v>
      </c>
      <c r="D1227" t="s">
        <v>10</v>
      </c>
      <c r="E1227" t="s">
        <v>16</v>
      </c>
      <c r="F1227" t="s">
        <v>12</v>
      </c>
      <c r="G1227" t="s">
        <v>13</v>
      </c>
      <c r="H1227" t="s">
        <v>13</v>
      </c>
      <c r="I1227">
        <v>33</v>
      </c>
      <c r="J1227">
        <f>ABS((I1227-EDA!$A$15)/EDA!$B$15)</f>
        <v>0.63373765783552027</v>
      </c>
      <c r="K1227" t="str">
        <f t="shared" si="19"/>
        <v>No</v>
      </c>
      <c r="L1227">
        <f>ABS((C1227-EDA!$F$15)/EDA!$G$15)</f>
        <v>0.36869787424451916</v>
      </c>
      <c r="M1227" t="str">
        <f>IF(moras[[#This Row],[Z-Score Salario]]&gt;1.96, "Sí", "No")</f>
        <v>No</v>
      </c>
      <c r="N1227" s="14">
        <f>IF(ISBLANK(moras[[#This Row],[SALARIO]]), EDA!$M$8, moras[[#This Row],[SALARIO]])</f>
        <v>418017</v>
      </c>
      <c r="O1227" s="14">
        <f xml:space="preserve"> IF(ISBLANK(moras[[#This Row],[EDAD]]), EDA!$E$8, moras[[#This Row],[EDAD]])</f>
        <v>33</v>
      </c>
      <c r="P1227" s="14" t="str">
        <f>IF(
    OR(ISBLANK(moras[[#This Row],[TIPO_ASEGURAMIENTO]]), moras[[#This Row],[TIPO_ASEGURAMIENTO]]=""),
    EDA!$A$32,
    moras[[#This Row],[TIPO_ASEGURAMIENTO]]
)</f>
        <v>ASALARIADO</v>
      </c>
    </row>
    <row r="1228" spans="1:16" x14ac:dyDescent="0.3">
      <c r="A1228">
        <v>1227</v>
      </c>
      <c r="B1228" t="s">
        <v>9</v>
      </c>
      <c r="C1228">
        <v>40332012</v>
      </c>
      <c r="D1228" t="s">
        <v>10</v>
      </c>
      <c r="E1228" t="s">
        <v>16</v>
      </c>
      <c r="F1228" t="s">
        <v>12</v>
      </c>
      <c r="G1228" t="s">
        <v>13</v>
      </c>
      <c r="H1228" t="s">
        <v>13</v>
      </c>
      <c r="I1228">
        <v>40</v>
      </c>
      <c r="J1228">
        <f>ABS((I1228-EDA!$A$15)/EDA!$B$15)</f>
        <v>0.13971034729555773</v>
      </c>
      <c r="K1228" t="str">
        <f t="shared" si="19"/>
        <v>No</v>
      </c>
      <c r="L1228">
        <f>ABS((C1228-EDA!$F$15)/EDA!$G$15)</f>
        <v>0.29549917833138939</v>
      </c>
      <c r="M1228" t="str">
        <f>IF(moras[[#This Row],[Z-Score Salario]]&gt;1.96, "Sí", "No")</f>
        <v>No</v>
      </c>
      <c r="N1228" s="14">
        <f>IF(ISBLANK(moras[[#This Row],[SALARIO]]), EDA!$M$8, moras[[#This Row],[SALARIO]])</f>
        <v>40332012</v>
      </c>
      <c r="O1228" s="14">
        <f xml:space="preserve"> IF(ISBLANK(moras[[#This Row],[EDAD]]), EDA!$E$8, moras[[#This Row],[EDAD]])</f>
        <v>40</v>
      </c>
      <c r="P1228" s="14" t="str">
        <f>IF(
    OR(ISBLANK(moras[[#This Row],[TIPO_ASEGURAMIENTO]]), moras[[#This Row],[TIPO_ASEGURAMIENTO]]=""),
    EDA!$A$32,
    moras[[#This Row],[TIPO_ASEGURAMIENTO]]
)</f>
        <v>ASALARIADO</v>
      </c>
    </row>
    <row r="1229" spans="1:16" x14ac:dyDescent="0.3">
      <c r="A1229">
        <v>1228</v>
      </c>
      <c r="B1229" t="s">
        <v>15</v>
      </c>
      <c r="C1229">
        <v>293611</v>
      </c>
      <c r="D1229" t="s">
        <v>18</v>
      </c>
      <c r="E1229" t="s">
        <v>16</v>
      </c>
      <c r="F1229" t="s">
        <v>12</v>
      </c>
      <c r="G1229" t="s">
        <v>13</v>
      </c>
      <c r="H1229" t="s">
        <v>13</v>
      </c>
      <c r="I1229">
        <v>29</v>
      </c>
      <c r="J1229">
        <f>ABS((I1229-EDA!$A$15)/EDA!$B$15)</f>
        <v>0.91603897814407031</v>
      </c>
      <c r="K1229" t="str">
        <f t="shared" si="19"/>
        <v>No</v>
      </c>
      <c r="L1229">
        <f>ABS((C1229-EDA!$F$15)/EDA!$G$15)</f>
        <v>0.370768077904232</v>
      </c>
      <c r="M1229" t="str">
        <f>IF(moras[[#This Row],[Z-Score Salario]]&gt;1.96, "Sí", "No")</f>
        <v>No</v>
      </c>
      <c r="N1229" s="14">
        <f>IF(ISBLANK(moras[[#This Row],[SALARIO]]), EDA!$M$8, moras[[#This Row],[SALARIO]])</f>
        <v>293611</v>
      </c>
      <c r="O1229" s="14">
        <f xml:space="preserve"> IF(ISBLANK(moras[[#This Row],[EDAD]]), EDA!$E$8, moras[[#This Row],[EDAD]])</f>
        <v>29</v>
      </c>
      <c r="P1229" s="14" t="str">
        <f>IF(
    OR(ISBLANK(moras[[#This Row],[TIPO_ASEGURAMIENTO]]), moras[[#This Row],[TIPO_ASEGURAMIENTO]]=""),
    EDA!$A$32,
    moras[[#This Row],[TIPO_ASEGURAMIENTO]]
)</f>
        <v>TRABAJADOR INDEPENDIENTE</v>
      </c>
    </row>
    <row r="1230" spans="1:16" x14ac:dyDescent="0.3">
      <c r="A1230">
        <v>1229</v>
      </c>
      <c r="B1230" t="s">
        <v>9</v>
      </c>
      <c r="C1230">
        <v>404463</v>
      </c>
      <c r="D1230" t="s">
        <v>18</v>
      </c>
      <c r="E1230" t="s">
        <v>16</v>
      </c>
      <c r="F1230" t="s">
        <v>12</v>
      </c>
      <c r="G1230" t="s">
        <v>13</v>
      </c>
      <c r="H1230" t="s">
        <v>12</v>
      </c>
      <c r="I1230">
        <v>57</v>
      </c>
      <c r="J1230">
        <f>ABS((I1230-EDA!$A$15)/EDA!$B$15)</f>
        <v>1.0600702640157798</v>
      </c>
      <c r="K1230" t="str">
        <f t="shared" si="19"/>
        <v>No</v>
      </c>
      <c r="L1230">
        <f>ABS((C1230-EDA!$F$15)/EDA!$G$15)</f>
        <v>0.36892342237245312</v>
      </c>
      <c r="M1230" t="str">
        <f>IF(moras[[#This Row],[Z-Score Salario]]&gt;1.96, "Sí", "No")</f>
        <v>No</v>
      </c>
      <c r="N1230" s="14">
        <f>IF(ISBLANK(moras[[#This Row],[SALARIO]]), EDA!$M$8, moras[[#This Row],[SALARIO]])</f>
        <v>404463</v>
      </c>
      <c r="O1230" s="14">
        <f xml:space="preserve"> IF(ISBLANK(moras[[#This Row],[EDAD]]), EDA!$E$8, moras[[#This Row],[EDAD]])</f>
        <v>57</v>
      </c>
      <c r="P1230" s="14" t="str">
        <f>IF(
    OR(ISBLANK(moras[[#This Row],[TIPO_ASEGURAMIENTO]]), moras[[#This Row],[TIPO_ASEGURAMIENTO]]=""),
    EDA!$A$32,
    moras[[#This Row],[TIPO_ASEGURAMIENTO]]
)</f>
        <v>TRABAJADOR INDEPENDIENTE</v>
      </c>
    </row>
    <row r="1231" spans="1:16" x14ac:dyDescent="0.3">
      <c r="A1231">
        <v>1230</v>
      </c>
      <c r="B1231" t="s">
        <v>9</v>
      </c>
      <c r="C1231">
        <v>7906128</v>
      </c>
      <c r="D1231" t="s">
        <v>10</v>
      </c>
      <c r="E1231" t="s">
        <v>16</v>
      </c>
      <c r="F1231" t="s">
        <v>12</v>
      </c>
      <c r="G1231" t="s">
        <v>13</v>
      </c>
      <c r="H1231" t="s">
        <v>13</v>
      </c>
      <c r="I1231">
        <v>45</v>
      </c>
      <c r="J1231">
        <f>ABS((I1231-EDA!$A$15)/EDA!$B$15)</f>
        <v>0.21316630309012977</v>
      </c>
      <c r="K1231" t="str">
        <f t="shared" si="19"/>
        <v>No</v>
      </c>
      <c r="L1231">
        <f>ABS((C1231-EDA!$F$15)/EDA!$G$15)</f>
        <v>0.24409042125563046</v>
      </c>
      <c r="M1231" t="str">
        <f>IF(moras[[#This Row],[Z-Score Salario]]&gt;1.96, "Sí", "No")</f>
        <v>No</v>
      </c>
      <c r="N1231" s="14">
        <f>IF(ISBLANK(moras[[#This Row],[SALARIO]]), EDA!$M$8, moras[[#This Row],[SALARIO]])</f>
        <v>7906128</v>
      </c>
      <c r="O1231" s="14">
        <f xml:space="preserve"> IF(ISBLANK(moras[[#This Row],[EDAD]]), EDA!$E$8, moras[[#This Row],[EDAD]])</f>
        <v>45</v>
      </c>
      <c r="P1231" s="14" t="str">
        <f>IF(
    OR(ISBLANK(moras[[#This Row],[TIPO_ASEGURAMIENTO]]), moras[[#This Row],[TIPO_ASEGURAMIENTO]]=""),
    EDA!$A$32,
    moras[[#This Row],[TIPO_ASEGURAMIENTO]]
)</f>
        <v>ASALARIADO</v>
      </c>
    </row>
    <row r="1232" spans="1:16" x14ac:dyDescent="0.3">
      <c r="A1232">
        <v>1231</v>
      </c>
      <c r="B1232" t="s">
        <v>15</v>
      </c>
      <c r="C1232">
        <v>35147579</v>
      </c>
      <c r="D1232" t="s">
        <v>10</v>
      </c>
      <c r="E1232" t="s">
        <v>16</v>
      </c>
      <c r="F1232" t="s">
        <v>12</v>
      </c>
      <c r="G1232" t="s">
        <v>13</v>
      </c>
      <c r="H1232" t="s">
        <v>13</v>
      </c>
      <c r="I1232">
        <v>33</v>
      </c>
      <c r="J1232">
        <f>ABS((I1232-EDA!$A$15)/EDA!$B$15)</f>
        <v>0.63373765783552027</v>
      </c>
      <c r="K1232" t="str">
        <f t="shared" si="19"/>
        <v>No</v>
      </c>
      <c r="L1232">
        <f>ABS((C1232-EDA!$F$15)/EDA!$G$15)</f>
        <v>0.20922655345689925</v>
      </c>
      <c r="M1232" t="str">
        <f>IF(moras[[#This Row],[Z-Score Salario]]&gt;1.96, "Sí", "No")</f>
        <v>No</v>
      </c>
      <c r="N1232" s="14">
        <f>IF(ISBLANK(moras[[#This Row],[SALARIO]]), EDA!$M$8, moras[[#This Row],[SALARIO]])</f>
        <v>35147579</v>
      </c>
      <c r="O1232" s="14">
        <f xml:space="preserve"> IF(ISBLANK(moras[[#This Row],[EDAD]]), EDA!$E$8, moras[[#This Row],[EDAD]])</f>
        <v>33</v>
      </c>
      <c r="P1232" s="14" t="str">
        <f>IF(
    OR(ISBLANK(moras[[#This Row],[TIPO_ASEGURAMIENTO]]), moras[[#This Row],[TIPO_ASEGURAMIENTO]]=""),
    EDA!$A$32,
    moras[[#This Row],[TIPO_ASEGURAMIENTO]]
)</f>
        <v>ASALARIADO</v>
      </c>
    </row>
    <row r="1233" spans="1:16" x14ac:dyDescent="0.3">
      <c r="A1233">
        <v>1232</v>
      </c>
      <c r="B1233" t="s">
        <v>9</v>
      </c>
      <c r="C1233">
        <v>140000</v>
      </c>
      <c r="D1233" t="s">
        <v>10</v>
      </c>
      <c r="E1233" t="s">
        <v>16</v>
      </c>
      <c r="F1233" t="s">
        <v>12</v>
      </c>
      <c r="G1233" t="s">
        <v>13</v>
      </c>
      <c r="H1233" t="s">
        <v>13</v>
      </c>
      <c r="I1233">
        <v>24</v>
      </c>
      <c r="J1233">
        <f>ABS((I1233-EDA!$A$15)/EDA!$B$15)</f>
        <v>1.2689156285297578</v>
      </c>
      <c r="K1233" t="str">
        <f t="shared" si="19"/>
        <v>No</v>
      </c>
      <c r="L1233">
        <f>ABS((C1233-EDA!$F$15)/EDA!$G$15)</f>
        <v>0.37332427338011048</v>
      </c>
      <c r="M1233" t="str">
        <f>IF(moras[[#This Row],[Z-Score Salario]]&gt;1.96, "Sí", "No")</f>
        <v>No</v>
      </c>
      <c r="N1233" s="14">
        <f>IF(ISBLANK(moras[[#This Row],[SALARIO]]), EDA!$M$8, moras[[#This Row],[SALARIO]])</f>
        <v>140000</v>
      </c>
      <c r="O1233" s="14">
        <f xml:space="preserve"> IF(ISBLANK(moras[[#This Row],[EDAD]]), EDA!$E$8, moras[[#This Row],[EDAD]])</f>
        <v>24</v>
      </c>
      <c r="P1233" s="14" t="str">
        <f>IF(
    OR(ISBLANK(moras[[#This Row],[TIPO_ASEGURAMIENTO]]), moras[[#This Row],[TIPO_ASEGURAMIENTO]]=""),
    EDA!$A$32,
    moras[[#This Row],[TIPO_ASEGURAMIENTO]]
)</f>
        <v>ASALARIADO</v>
      </c>
    </row>
    <row r="1234" spans="1:16" x14ac:dyDescent="0.3">
      <c r="A1234">
        <v>1233</v>
      </c>
      <c r="B1234" t="s">
        <v>9</v>
      </c>
      <c r="C1234">
        <v>367656</v>
      </c>
      <c r="D1234" t="s">
        <v>10</v>
      </c>
      <c r="E1234" t="s">
        <v>16</v>
      </c>
      <c r="F1234" t="s">
        <v>12</v>
      </c>
      <c r="G1234" t="s">
        <v>13</v>
      </c>
      <c r="H1234" t="s">
        <v>13</v>
      </c>
      <c r="I1234">
        <v>46</v>
      </c>
      <c r="J1234">
        <f>ABS((I1234-EDA!$A$15)/EDA!$B$15)</f>
        <v>0.2837416331672673</v>
      </c>
      <c r="K1234" t="str">
        <f t="shared" si="19"/>
        <v>No</v>
      </c>
      <c r="L1234">
        <f>ABS((C1234-EDA!$F$15)/EDA!$G$15)</f>
        <v>0.36953591683496334</v>
      </c>
      <c r="M1234" t="str">
        <f>IF(moras[[#This Row],[Z-Score Salario]]&gt;1.96, "Sí", "No")</f>
        <v>No</v>
      </c>
      <c r="N1234" s="14">
        <f>IF(ISBLANK(moras[[#This Row],[SALARIO]]), EDA!$M$8, moras[[#This Row],[SALARIO]])</f>
        <v>367656</v>
      </c>
      <c r="O1234" s="14">
        <f xml:space="preserve"> IF(ISBLANK(moras[[#This Row],[EDAD]]), EDA!$E$8, moras[[#This Row],[EDAD]])</f>
        <v>46</v>
      </c>
      <c r="P1234" s="14" t="str">
        <f>IF(
    OR(ISBLANK(moras[[#This Row],[TIPO_ASEGURAMIENTO]]), moras[[#This Row],[TIPO_ASEGURAMIENTO]]=""),
    EDA!$A$32,
    moras[[#This Row],[TIPO_ASEGURAMIENTO]]
)</f>
        <v>ASALARIADO</v>
      </c>
    </row>
    <row r="1235" spans="1:16" x14ac:dyDescent="0.3">
      <c r="A1235">
        <v>1234</v>
      </c>
      <c r="B1235" t="s">
        <v>9</v>
      </c>
      <c r="C1235">
        <v>43735605</v>
      </c>
      <c r="D1235" t="s">
        <v>10</v>
      </c>
      <c r="E1235" t="s">
        <v>16</v>
      </c>
      <c r="F1235" t="s">
        <v>12</v>
      </c>
      <c r="G1235" t="s">
        <v>12</v>
      </c>
      <c r="H1235" t="s">
        <v>13</v>
      </c>
      <c r="I1235">
        <v>29</v>
      </c>
      <c r="J1235">
        <f>ABS((I1235-EDA!$A$15)/EDA!$B$15)</f>
        <v>0.91603897814407031</v>
      </c>
      <c r="K1235" t="str">
        <f t="shared" si="19"/>
        <v>No</v>
      </c>
      <c r="L1235">
        <f>ABS((C1235-EDA!$F$15)/EDA!$G$15)</f>
        <v>0.3521373684892023</v>
      </c>
      <c r="M1235" t="str">
        <f>IF(moras[[#This Row],[Z-Score Salario]]&gt;1.96, "Sí", "No")</f>
        <v>No</v>
      </c>
      <c r="N1235" s="14">
        <f>IF(ISBLANK(moras[[#This Row],[SALARIO]]), EDA!$M$8, moras[[#This Row],[SALARIO]])</f>
        <v>43735605</v>
      </c>
      <c r="O1235" s="14">
        <f xml:space="preserve"> IF(ISBLANK(moras[[#This Row],[EDAD]]), EDA!$E$8, moras[[#This Row],[EDAD]])</f>
        <v>29</v>
      </c>
      <c r="P1235" s="14" t="str">
        <f>IF(
    OR(ISBLANK(moras[[#This Row],[TIPO_ASEGURAMIENTO]]), moras[[#This Row],[TIPO_ASEGURAMIENTO]]=""),
    EDA!$A$32,
    moras[[#This Row],[TIPO_ASEGURAMIENTO]]
)</f>
        <v>ASALARIADO</v>
      </c>
    </row>
    <row r="1236" spans="1:16" x14ac:dyDescent="0.3">
      <c r="A1236">
        <v>1235</v>
      </c>
      <c r="B1236" t="s">
        <v>15</v>
      </c>
      <c r="C1236">
        <v>650000</v>
      </c>
      <c r="D1236" t="s">
        <v>10</v>
      </c>
      <c r="E1236" t="s">
        <v>16</v>
      </c>
      <c r="F1236" t="s">
        <v>12</v>
      </c>
      <c r="G1236" t="s">
        <v>13</v>
      </c>
      <c r="H1236" t="s">
        <v>13</v>
      </c>
      <c r="I1236">
        <v>39</v>
      </c>
      <c r="J1236">
        <f>ABS((I1236-EDA!$A$15)/EDA!$B$15)</f>
        <v>0.21028567737269524</v>
      </c>
      <c r="K1236" t="str">
        <f t="shared" si="19"/>
        <v>No</v>
      </c>
      <c r="L1236">
        <f>ABS((C1236-EDA!$F$15)/EDA!$G$15)</f>
        <v>0.36483751336488995</v>
      </c>
      <c r="M1236" t="str">
        <f>IF(moras[[#This Row],[Z-Score Salario]]&gt;1.96, "Sí", "No")</f>
        <v>No</v>
      </c>
      <c r="N1236" s="14">
        <f>IF(ISBLANK(moras[[#This Row],[SALARIO]]), EDA!$M$8, moras[[#This Row],[SALARIO]])</f>
        <v>650000</v>
      </c>
      <c r="O1236" s="14">
        <f xml:space="preserve"> IF(ISBLANK(moras[[#This Row],[EDAD]]), EDA!$E$8, moras[[#This Row],[EDAD]])</f>
        <v>39</v>
      </c>
      <c r="P1236" s="14" t="str">
        <f>IF(
    OR(ISBLANK(moras[[#This Row],[TIPO_ASEGURAMIENTO]]), moras[[#This Row],[TIPO_ASEGURAMIENTO]]=""),
    EDA!$A$32,
    moras[[#This Row],[TIPO_ASEGURAMIENTO]]
)</f>
        <v>ASALARIADO</v>
      </c>
    </row>
    <row r="1237" spans="1:16" x14ac:dyDescent="0.3">
      <c r="A1237">
        <v>1236</v>
      </c>
      <c r="B1237" t="s">
        <v>9</v>
      </c>
      <c r="C1237">
        <v>297046</v>
      </c>
      <c r="D1237" t="s">
        <v>18</v>
      </c>
      <c r="E1237" t="s">
        <v>16</v>
      </c>
      <c r="F1237" t="s">
        <v>12</v>
      </c>
      <c r="G1237" t="s">
        <v>13</v>
      </c>
      <c r="H1237" t="s">
        <v>12</v>
      </c>
      <c r="I1237">
        <v>30</v>
      </c>
      <c r="J1237">
        <f>ABS((I1237-EDA!$A$15)/EDA!$B$15)</f>
        <v>0.84546364806693275</v>
      </c>
      <c r="K1237" t="str">
        <f t="shared" si="19"/>
        <v>No</v>
      </c>
      <c r="L1237">
        <f>ABS((C1237-EDA!$F$15)/EDA!$G$15)</f>
        <v>0.37071091707942361</v>
      </c>
      <c r="M1237" t="str">
        <f>IF(moras[[#This Row],[Z-Score Salario]]&gt;1.96, "Sí", "No")</f>
        <v>No</v>
      </c>
      <c r="N1237" s="14">
        <f>IF(ISBLANK(moras[[#This Row],[SALARIO]]), EDA!$M$8, moras[[#This Row],[SALARIO]])</f>
        <v>297046</v>
      </c>
      <c r="O1237" s="14">
        <f xml:space="preserve"> IF(ISBLANK(moras[[#This Row],[EDAD]]), EDA!$E$8, moras[[#This Row],[EDAD]])</f>
        <v>30</v>
      </c>
      <c r="P1237" s="14" t="str">
        <f>IF(
    OR(ISBLANK(moras[[#This Row],[TIPO_ASEGURAMIENTO]]), moras[[#This Row],[TIPO_ASEGURAMIENTO]]=""),
    EDA!$A$32,
    moras[[#This Row],[TIPO_ASEGURAMIENTO]]
)</f>
        <v>TRABAJADOR INDEPENDIENTE</v>
      </c>
    </row>
    <row r="1238" spans="1:16" x14ac:dyDescent="0.3">
      <c r="A1238">
        <v>1237</v>
      </c>
      <c r="B1238" t="s">
        <v>15</v>
      </c>
      <c r="C1238">
        <v>694194</v>
      </c>
      <c r="D1238" t="s">
        <v>10</v>
      </c>
      <c r="E1238" t="s">
        <v>11</v>
      </c>
      <c r="F1238" t="s">
        <v>12</v>
      </c>
      <c r="G1238" t="s">
        <v>13</v>
      </c>
      <c r="H1238" t="s">
        <v>13</v>
      </c>
      <c r="I1238">
        <v>33</v>
      </c>
      <c r="J1238">
        <f>ABS((I1238-EDA!$A$15)/EDA!$B$15)</f>
        <v>0.63373765783552027</v>
      </c>
      <c r="K1238" t="str">
        <f t="shared" si="19"/>
        <v>No</v>
      </c>
      <c r="L1238">
        <f>ABS((C1238-EDA!$F$15)/EDA!$G$15)</f>
        <v>0.3641020940078063</v>
      </c>
      <c r="M1238" t="str">
        <f>IF(moras[[#This Row],[Z-Score Salario]]&gt;1.96, "Sí", "No")</f>
        <v>No</v>
      </c>
      <c r="N1238" s="14">
        <f>IF(ISBLANK(moras[[#This Row],[SALARIO]]), EDA!$M$8, moras[[#This Row],[SALARIO]])</f>
        <v>694194</v>
      </c>
      <c r="O1238" s="14">
        <f xml:space="preserve"> IF(ISBLANK(moras[[#This Row],[EDAD]]), EDA!$E$8, moras[[#This Row],[EDAD]])</f>
        <v>33</v>
      </c>
      <c r="P1238" s="14" t="str">
        <f>IF(
    OR(ISBLANK(moras[[#This Row],[TIPO_ASEGURAMIENTO]]), moras[[#This Row],[TIPO_ASEGURAMIENTO]]=""),
    EDA!$A$32,
    moras[[#This Row],[TIPO_ASEGURAMIENTO]]
)</f>
        <v>ASALARIADO</v>
      </c>
    </row>
    <row r="1239" spans="1:16" x14ac:dyDescent="0.3">
      <c r="A1239">
        <v>1238</v>
      </c>
      <c r="B1239" t="s">
        <v>9</v>
      </c>
      <c r="C1239">
        <v>297046</v>
      </c>
      <c r="D1239" t="s">
        <v>17</v>
      </c>
      <c r="E1239" t="s">
        <v>16</v>
      </c>
      <c r="F1239" t="s">
        <v>12</v>
      </c>
      <c r="G1239" t="s">
        <v>12</v>
      </c>
      <c r="H1239" t="s">
        <v>13</v>
      </c>
      <c r="I1239">
        <v>26</v>
      </c>
      <c r="J1239">
        <f>ABS((I1239-EDA!$A$15)/EDA!$B$15)</f>
        <v>1.1277649683754829</v>
      </c>
      <c r="K1239" t="str">
        <f t="shared" si="19"/>
        <v>No</v>
      </c>
      <c r="L1239">
        <f>ABS((C1239-EDA!$F$15)/EDA!$G$15)</f>
        <v>0.37071091707942361</v>
      </c>
      <c r="M1239" t="str">
        <f>IF(moras[[#This Row],[Z-Score Salario]]&gt;1.96, "Sí", "No")</f>
        <v>No</v>
      </c>
      <c r="N1239" s="14">
        <f>IF(ISBLANK(moras[[#This Row],[SALARIO]]), EDA!$M$8, moras[[#This Row],[SALARIO]])</f>
        <v>297046</v>
      </c>
      <c r="O1239" s="14">
        <f xml:space="preserve"> IF(ISBLANK(moras[[#This Row],[EDAD]]), EDA!$E$8, moras[[#This Row],[EDAD]])</f>
        <v>26</v>
      </c>
      <c r="P1239" s="14" t="str">
        <f>IF(
    OR(ISBLANK(moras[[#This Row],[TIPO_ASEGURAMIENTO]]), moras[[#This Row],[TIPO_ASEGURAMIENTO]]=""),
    EDA!$A$32,
    moras[[#This Row],[TIPO_ASEGURAMIENTO]]
)</f>
        <v>ASEGURADO VOLUNTARIO</v>
      </c>
    </row>
    <row r="1240" spans="1:16" x14ac:dyDescent="0.3">
      <c r="A1240">
        <v>1239</v>
      </c>
      <c r="B1240" t="s">
        <v>15</v>
      </c>
      <c r="C1240">
        <v>199066908</v>
      </c>
      <c r="D1240" t="s">
        <v>10</v>
      </c>
      <c r="E1240" t="s">
        <v>11</v>
      </c>
      <c r="F1240" t="s">
        <v>12</v>
      </c>
      <c r="G1240" t="s">
        <v>13</v>
      </c>
      <c r="H1240" t="s">
        <v>13</v>
      </c>
      <c r="I1240">
        <v>38</v>
      </c>
      <c r="J1240">
        <f>ABS((I1240-EDA!$A$15)/EDA!$B$15)</f>
        <v>0.28086100744983278</v>
      </c>
      <c r="K1240" t="str">
        <f t="shared" si="19"/>
        <v>No</v>
      </c>
      <c r="L1240">
        <f>ABS((C1240-EDA!$F$15)/EDA!$G$15)</f>
        <v>2.9369599006705931</v>
      </c>
      <c r="M1240" t="str">
        <f>IF(moras[[#This Row],[Z-Score Salario]]&gt;1.96, "Sí", "No")</f>
        <v>Sí</v>
      </c>
      <c r="N1240" s="14">
        <f>IF(ISBLANK(moras[[#This Row],[SALARIO]]), EDA!$M$8, moras[[#This Row],[SALARIO]])</f>
        <v>199066908</v>
      </c>
      <c r="O1240" s="14">
        <f xml:space="preserve"> IF(ISBLANK(moras[[#This Row],[EDAD]]), EDA!$E$8, moras[[#This Row],[EDAD]])</f>
        <v>38</v>
      </c>
      <c r="P1240" s="14" t="str">
        <f>IF(
    OR(ISBLANK(moras[[#This Row],[TIPO_ASEGURAMIENTO]]), moras[[#This Row],[TIPO_ASEGURAMIENTO]]=""),
    EDA!$A$32,
    moras[[#This Row],[TIPO_ASEGURAMIENTO]]
)</f>
        <v>ASALARIADO</v>
      </c>
    </row>
    <row r="1241" spans="1:16" x14ac:dyDescent="0.3">
      <c r="A1241">
        <v>1240</v>
      </c>
      <c r="B1241" t="s">
        <v>9</v>
      </c>
      <c r="C1241">
        <v>7164805</v>
      </c>
      <c r="D1241" t="s">
        <v>10</v>
      </c>
      <c r="E1241" t="s">
        <v>11</v>
      </c>
      <c r="F1241" t="s">
        <v>12</v>
      </c>
      <c r="G1241" t="s">
        <v>13</v>
      </c>
      <c r="H1241" t="s">
        <v>13</v>
      </c>
      <c r="I1241">
        <v>59</v>
      </c>
      <c r="J1241">
        <f>ABS((I1241-EDA!$A$15)/EDA!$B$15)</f>
        <v>1.2012209241700549</v>
      </c>
      <c r="K1241" t="str">
        <f t="shared" si="19"/>
        <v>No</v>
      </c>
      <c r="L1241">
        <f>ABS((C1241-EDA!$F$15)/EDA!$G$15)</f>
        <v>0.25642655928457819</v>
      </c>
      <c r="M1241" t="str">
        <f>IF(moras[[#This Row],[Z-Score Salario]]&gt;1.96, "Sí", "No")</f>
        <v>No</v>
      </c>
      <c r="N1241" s="14">
        <f>IF(ISBLANK(moras[[#This Row],[SALARIO]]), EDA!$M$8, moras[[#This Row],[SALARIO]])</f>
        <v>7164805</v>
      </c>
      <c r="O1241" s="14">
        <f xml:space="preserve"> IF(ISBLANK(moras[[#This Row],[EDAD]]), EDA!$E$8, moras[[#This Row],[EDAD]])</f>
        <v>59</v>
      </c>
      <c r="P1241" s="14" t="str">
        <f>IF(
    OR(ISBLANK(moras[[#This Row],[TIPO_ASEGURAMIENTO]]), moras[[#This Row],[TIPO_ASEGURAMIENTO]]=""),
    EDA!$A$32,
    moras[[#This Row],[TIPO_ASEGURAMIENTO]]
)</f>
        <v>ASALARIADO</v>
      </c>
    </row>
    <row r="1242" spans="1:16" x14ac:dyDescent="0.3">
      <c r="A1242">
        <v>1241</v>
      </c>
      <c r="B1242" t="s">
        <v>9</v>
      </c>
      <c r="C1242">
        <v>6296027</v>
      </c>
      <c r="D1242" t="s">
        <v>10</v>
      </c>
      <c r="E1242" t="s">
        <v>16</v>
      </c>
      <c r="F1242" t="s">
        <v>12</v>
      </c>
      <c r="G1242" t="s">
        <v>13</v>
      </c>
      <c r="H1242" t="s">
        <v>13</v>
      </c>
      <c r="I1242">
        <v>36</v>
      </c>
      <c r="J1242">
        <f>ABS((I1242-EDA!$A$15)/EDA!$B$15)</f>
        <v>0.42201166760410774</v>
      </c>
      <c r="K1242" t="str">
        <f t="shared" si="19"/>
        <v>No</v>
      </c>
      <c r="L1242">
        <f>ABS((C1242-EDA!$F$15)/EDA!$G$15)</f>
        <v>0.27088363848556507</v>
      </c>
      <c r="M1242" t="str">
        <f>IF(moras[[#This Row],[Z-Score Salario]]&gt;1.96, "Sí", "No")</f>
        <v>No</v>
      </c>
      <c r="N1242" s="14">
        <f>IF(ISBLANK(moras[[#This Row],[SALARIO]]), EDA!$M$8, moras[[#This Row],[SALARIO]])</f>
        <v>6296027</v>
      </c>
      <c r="O1242" s="14">
        <f xml:space="preserve"> IF(ISBLANK(moras[[#This Row],[EDAD]]), EDA!$E$8, moras[[#This Row],[EDAD]])</f>
        <v>36</v>
      </c>
      <c r="P1242" s="14" t="str">
        <f>IF(
    OR(ISBLANK(moras[[#This Row],[TIPO_ASEGURAMIENTO]]), moras[[#This Row],[TIPO_ASEGURAMIENTO]]=""),
    EDA!$A$32,
    moras[[#This Row],[TIPO_ASEGURAMIENTO]]
)</f>
        <v>ASALARIADO</v>
      </c>
    </row>
    <row r="1243" spans="1:16" x14ac:dyDescent="0.3">
      <c r="A1243">
        <v>1242</v>
      </c>
      <c r="B1243" t="s">
        <v>15</v>
      </c>
      <c r="C1243">
        <v>1398575</v>
      </c>
      <c r="D1243" t="s">
        <v>10</v>
      </c>
      <c r="E1243" t="s">
        <v>16</v>
      </c>
      <c r="F1243" t="s">
        <v>12</v>
      </c>
      <c r="G1243" t="s">
        <v>13</v>
      </c>
      <c r="H1243" t="s">
        <v>13</v>
      </c>
      <c r="I1243">
        <v>33</v>
      </c>
      <c r="J1243">
        <f>ABS((I1243-EDA!$A$15)/EDA!$B$15)</f>
        <v>0.63373765783552027</v>
      </c>
      <c r="K1243" t="str">
        <f t="shared" si="19"/>
        <v>No</v>
      </c>
      <c r="L1243">
        <f>ABS((C1243-EDA!$F$15)/EDA!$G$15)</f>
        <v>0.35238069693666696</v>
      </c>
      <c r="M1243" t="str">
        <f>IF(moras[[#This Row],[Z-Score Salario]]&gt;1.96, "Sí", "No")</f>
        <v>No</v>
      </c>
      <c r="N1243" s="14">
        <f>IF(ISBLANK(moras[[#This Row],[SALARIO]]), EDA!$M$8, moras[[#This Row],[SALARIO]])</f>
        <v>1398575</v>
      </c>
      <c r="O1243" s="14">
        <f xml:space="preserve"> IF(ISBLANK(moras[[#This Row],[EDAD]]), EDA!$E$8, moras[[#This Row],[EDAD]])</f>
        <v>33</v>
      </c>
      <c r="P1243" s="14" t="str">
        <f>IF(
    OR(ISBLANK(moras[[#This Row],[TIPO_ASEGURAMIENTO]]), moras[[#This Row],[TIPO_ASEGURAMIENTO]]=""),
    EDA!$A$32,
    moras[[#This Row],[TIPO_ASEGURAMIENTO]]
)</f>
        <v>ASALARIADO</v>
      </c>
    </row>
    <row r="1244" spans="1:16" x14ac:dyDescent="0.3">
      <c r="A1244">
        <v>1243</v>
      </c>
      <c r="B1244" t="s">
        <v>15</v>
      </c>
      <c r="C1244">
        <v>627456</v>
      </c>
      <c r="D1244" t="s">
        <v>10</v>
      </c>
      <c r="E1244" t="s">
        <v>16</v>
      </c>
      <c r="F1244" t="s">
        <v>12</v>
      </c>
      <c r="G1244" t="s">
        <v>13</v>
      </c>
      <c r="H1244" t="s">
        <v>13</v>
      </c>
      <c r="I1244">
        <v>50</v>
      </c>
      <c r="J1244">
        <f>ABS((I1244-EDA!$A$15)/EDA!$B$15)</f>
        <v>0.56604295347581735</v>
      </c>
      <c r="K1244" t="str">
        <f t="shared" si="19"/>
        <v>No</v>
      </c>
      <c r="L1244">
        <f>ABS((C1244-EDA!$F$15)/EDA!$G$15)</f>
        <v>0.36521266143897452</v>
      </c>
      <c r="M1244" t="str">
        <f>IF(moras[[#This Row],[Z-Score Salario]]&gt;1.96, "Sí", "No")</f>
        <v>No</v>
      </c>
      <c r="N1244" s="14">
        <f>IF(ISBLANK(moras[[#This Row],[SALARIO]]), EDA!$M$8, moras[[#This Row],[SALARIO]])</f>
        <v>627456</v>
      </c>
      <c r="O1244" s="14">
        <f xml:space="preserve"> IF(ISBLANK(moras[[#This Row],[EDAD]]), EDA!$E$8, moras[[#This Row],[EDAD]])</f>
        <v>50</v>
      </c>
      <c r="P1244" s="14" t="str">
        <f>IF(
    OR(ISBLANK(moras[[#This Row],[TIPO_ASEGURAMIENTO]]), moras[[#This Row],[TIPO_ASEGURAMIENTO]]=""),
    EDA!$A$32,
    moras[[#This Row],[TIPO_ASEGURAMIENTO]]
)</f>
        <v>ASALARIADO</v>
      </c>
    </row>
    <row r="1245" spans="1:16" x14ac:dyDescent="0.3">
      <c r="A1245">
        <v>1244</v>
      </c>
      <c r="B1245" t="s">
        <v>9</v>
      </c>
      <c r="C1245">
        <v>38714805</v>
      </c>
      <c r="D1245" t="s">
        <v>10</v>
      </c>
      <c r="E1245" t="s">
        <v>16</v>
      </c>
      <c r="F1245" t="s">
        <v>12</v>
      </c>
      <c r="G1245" t="s">
        <v>13</v>
      </c>
      <c r="H1245" t="s">
        <v>13</v>
      </c>
      <c r="I1245">
        <v>61</v>
      </c>
      <c r="J1245">
        <f>ABS((I1245-EDA!$A$15)/EDA!$B$15)</f>
        <v>1.3423715843243298</v>
      </c>
      <c r="K1245" t="str">
        <f t="shared" si="19"/>
        <v>No</v>
      </c>
      <c r="L1245">
        <f>ABS((C1245-EDA!$F$15)/EDA!$G$15)</f>
        <v>0.26858771224524275</v>
      </c>
      <c r="M1245" t="str">
        <f>IF(moras[[#This Row],[Z-Score Salario]]&gt;1.96, "Sí", "No")</f>
        <v>No</v>
      </c>
      <c r="N1245" s="14">
        <f>IF(ISBLANK(moras[[#This Row],[SALARIO]]), EDA!$M$8, moras[[#This Row],[SALARIO]])</f>
        <v>38714805</v>
      </c>
      <c r="O1245" s="14">
        <f xml:space="preserve"> IF(ISBLANK(moras[[#This Row],[EDAD]]), EDA!$E$8, moras[[#This Row],[EDAD]])</f>
        <v>61</v>
      </c>
      <c r="P1245" s="14" t="str">
        <f>IF(
    OR(ISBLANK(moras[[#This Row],[TIPO_ASEGURAMIENTO]]), moras[[#This Row],[TIPO_ASEGURAMIENTO]]=""),
    EDA!$A$32,
    moras[[#This Row],[TIPO_ASEGURAMIENTO]]
)</f>
        <v>ASALARIADO</v>
      </c>
    </row>
    <row r="1246" spans="1:16" x14ac:dyDescent="0.3">
      <c r="A1246">
        <v>1245</v>
      </c>
      <c r="B1246" t="s">
        <v>9</v>
      </c>
      <c r="C1246">
        <v>102109309</v>
      </c>
      <c r="D1246" t="s">
        <v>10</v>
      </c>
      <c r="E1246" t="s">
        <v>16</v>
      </c>
      <c r="F1246" t="s">
        <v>12</v>
      </c>
      <c r="G1246" t="s">
        <v>13</v>
      </c>
      <c r="H1246" t="s">
        <v>13</v>
      </c>
      <c r="I1246">
        <v>61</v>
      </c>
      <c r="J1246">
        <f>ABS((I1246-EDA!$A$15)/EDA!$B$15)</f>
        <v>1.3423715843243298</v>
      </c>
      <c r="K1246" t="str">
        <f t="shared" si="19"/>
        <v>No</v>
      </c>
      <c r="L1246">
        <f>ABS((C1246-EDA!$F$15)/EDA!$G$15)</f>
        <v>1.3235170097588502</v>
      </c>
      <c r="M1246" t="str">
        <f>IF(moras[[#This Row],[Z-Score Salario]]&gt;1.96, "Sí", "No")</f>
        <v>No</v>
      </c>
      <c r="N1246" s="14">
        <f>IF(ISBLANK(moras[[#This Row],[SALARIO]]), EDA!$M$8, moras[[#This Row],[SALARIO]])</f>
        <v>102109309</v>
      </c>
      <c r="O1246" s="14">
        <f xml:space="preserve"> IF(ISBLANK(moras[[#This Row],[EDAD]]), EDA!$E$8, moras[[#This Row],[EDAD]])</f>
        <v>61</v>
      </c>
      <c r="P1246" s="14" t="str">
        <f>IF(
    OR(ISBLANK(moras[[#This Row],[TIPO_ASEGURAMIENTO]]), moras[[#This Row],[TIPO_ASEGURAMIENTO]]=""),
    EDA!$A$32,
    moras[[#This Row],[TIPO_ASEGURAMIENTO]]
)</f>
        <v>ASALARIADO</v>
      </c>
    </row>
    <row r="1247" spans="1:16" x14ac:dyDescent="0.3">
      <c r="A1247">
        <v>1246</v>
      </c>
      <c r="B1247" t="s">
        <v>9</v>
      </c>
      <c r="C1247">
        <v>350000</v>
      </c>
      <c r="D1247" t="s">
        <v>10</v>
      </c>
      <c r="E1247" t="s">
        <v>16</v>
      </c>
      <c r="F1247" t="s">
        <v>12</v>
      </c>
      <c r="G1247" t="s">
        <v>13</v>
      </c>
      <c r="H1247" t="s">
        <v>13</v>
      </c>
      <c r="I1247">
        <v>38</v>
      </c>
      <c r="J1247">
        <f>ABS((I1247-EDA!$A$15)/EDA!$B$15)</f>
        <v>0.28086100744983278</v>
      </c>
      <c r="K1247" t="str">
        <f t="shared" si="19"/>
        <v>No</v>
      </c>
      <c r="L1247">
        <f>ABS((C1247-EDA!$F$15)/EDA!$G$15)</f>
        <v>0.36982972513854911</v>
      </c>
      <c r="M1247" t="str">
        <f>IF(moras[[#This Row],[Z-Score Salario]]&gt;1.96, "Sí", "No")</f>
        <v>No</v>
      </c>
      <c r="N1247" s="14">
        <f>IF(ISBLANK(moras[[#This Row],[SALARIO]]), EDA!$M$8, moras[[#This Row],[SALARIO]])</f>
        <v>350000</v>
      </c>
      <c r="O1247" s="14">
        <f xml:space="preserve"> IF(ISBLANK(moras[[#This Row],[EDAD]]), EDA!$E$8, moras[[#This Row],[EDAD]])</f>
        <v>38</v>
      </c>
      <c r="P1247" s="14" t="str">
        <f>IF(
    OR(ISBLANK(moras[[#This Row],[TIPO_ASEGURAMIENTO]]), moras[[#This Row],[TIPO_ASEGURAMIENTO]]=""),
    EDA!$A$32,
    moras[[#This Row],[TIPO_ASEGURAMIENTO]]
)</f>
        <v>ASALARIADO</v>
      </c>
    </row>
    <row r="1248" spans="1:16" x14ac:dyDescent="0.3">
      <c r="A1248">
        <v>1247</v>
      </c>
      <c r="B1248" t="s">
        <v>9</v>
      </c>
      <c r="C1248">
        <v>260000</v>
      </c>
      <c r="D1248" t="s">
        <v>10</v>
      </c>
      <c r="E1248" t="s">
        <v>16</v>
      </c>
      <c r="F1248" t="s">
        <v>12</v>
      </c>
      <c r="G1248" t="s">
        <v>13</v>
      </c>
      <c r="H1248" t="s">
        <v>12</v>
      </c>
      <c r="I1248">
        <v>40</v>
      </c>
      <c r="J1248">
        <f>ABS((I1248-EDA!$A$15)/EDA!$B$15)</f>
        <v>0.13971034729555773</v>
      </c>
      <c r="K1248" t="str">
        <f t="shared" si="19"/>
        <v>No</v>
      </c>
      <c r="L1248">
        <f>ABS((C1248-EDA!$F$15)/EDA!$G$15)</f>
        <v>0.37132738867064685</v>
      </c>
      <c r="M1248" t="str">
        <f>IF(moras[[#This Row],[Z-Score Salario]]&gt;1.96, "Sí", "No")</f>
        <v>No</v>
      </c>
      <c r="N1248" s="14">
        <f>IF(ISBLANK(moras[[#This Row],[SALARIO]]), EDA!$M$8, moras[[#This Row],[SALARIO]])</f>
        <v>260000</v>
      </c>
      <c r="O1248" s="14">
        <f xml:space="preserve"> IF(ISBLANK(moras[[#This Row],[EDAD]]), EDA!$E$8, moras[[#This Row],[EDAD]])</f>
        <v>40</v>
      </c>
      <c r="P1248" s="14" t="str">
        <f>IF(
    OR(ISBLANK(moras[[#This Row],[TIPO_ASEGURAMIENTO]]), moras[[#This Row],[TIPO_ASEGURAMIENTO]]=""),
    EDA!$A$32,
    moras[[#This Row],[TIPO_ASEGURAMIENTO]]
)</f>
        <v>ASALARIADO</v>
      </c>
    </row>
    <row r="1249" spans="1:16" x14ac:dyDescent="0.3">
      <c r="A1249">
        <v>1248</v>
      </c>
      <c r="B1249" t="s">
        <v>9</v>
      </c>
      <c r="C1249">
        <v>227645404</v>
      </c>
      <c r="D1249" t="s">
        <v>10</v>
      </c>
      <c r="E1249" t="s">
        <v>16</v>
      </c>
      <c r="F1249" t="s">
        <v>12</v>
      </c>
      <c r="G1249" t="s">
        <v>13</v>
      </c>
      <c r="H1249" t="s">
        <v>13</v>
      </c>
      <c r="I1249">
        <v>49</v>
      </c>
      <c r="J1249">
        <f>ABS((I1249-EDA!$A$15)/EDA!$B$15)</f>
        <v>0.49546762339867978</v>
      </c>
      <c r="K1249" t="str">
        <f t="shared" si="19"/>
        <v>No</v>
      </c>
      <c r="L1249">
        <f>ABS((C1249-EDA!$F$15)/EDA!$G$15)</f>
        <v>3.4125262480194967</v>
      </c>
      <c r="M1249" t="str">
        <f>IF(moras[[#This Row],[Z-Score Salario]]&gt;1.96, "Sí", "No")</f>
        <v>Sí</v>
      </c>
      <c r="N1249" s="14">
        <f>IF(ISBLANK(moras[[#This Row],[SALARIO]]), EDA!$M$8, moras[[#This Row],[SALARIO]])</f>
        <v>227645404</v>
      </c>
      <c r="O1249" s="14">
        <f xml:space="preserve"> IF(ISBLANK(moras[[#This Row],[EDAD]]), EDA!$E$8, moras[[#This Row],[EDAD]])</f>
        <v>49</v>
      </c>
      <c r="P1249" s="14" t="str">
        <f>IF(
    OR(ISBLANK(moras[[#This Row],[TIPO_ASEGURAMIENTO]]), moras[[#This Row],[TIPO_ASEGURAMIENTO]]=""),
    EDA!$A$32,
    moras[[#This Row],[TIPO_ASEGURAMIENTO]]
)</f>
        <v>ASALARIADO</v>
      </c>
    </row>
    <row r="1250" spans="1:16" x14ac:dyDescent="0.3">
      <c r="A1250">
        <v>1249</v>
      </c>
      <c r="B1250" t="s">
        <v>15</v>
      </c>
      <c r="C1250">
        <v>278030</v>
      </c>
      <c r="D1250" t="s">
        <v>17</v>
      </c>
      <c r="E1250" t="s">
        <v>16</v>
      </c>
      <c r="F1250" t="s">
        <v>12</v>
      </c>
      <c r="G1250" t="s">
        <v>12</v>
      </c>
      <c r="H1250" t="s">
        <v>13</v>
      </c>
      <c r="I1250">
        <v>67</v>
      </c>
      <c r="J1250">
        <f>ABS((I1250-EDA!$A$15)/EDA!$B$15)</f>
        <v>1.765823564787155</v>
      </c>
      <c r="K1250" t="str">
        <f t="shared" si="19"/>
        <v>No</v>
      </c>
      <c r="L1250">
        <f>ABS((C1250-EDA!$F$15)/EDA!$G$15)</f>
        <v>0.37102735674304993</v>
      </c>
      <c r="M1250" t="str">
        <f>IF(moras[[#This Row],[Z-Score Salario]]&gt;1.96, "Sí", "No")</f>
        <v>No</v>
      </c>
      <c r="N1250" s="14">
        <f>IF(ISBLANK(moras[[#This Row],[SALARIO]]), EDA!$M$8, moras[[#This Row],[SALARIO]])</f>
        <v>278030</v>
      </c>
      <c r="O1250" s="14">
        <f xml:space="preserve"> IF(ISBLANK(moras[[#This Row],[EDAD]]), EDA!$E$8, moras[[#This Row],[EDAD]])</f>
        <v>67</v>
      </c>
      <c r="P1250" s="14" t="str">
        <f>IF(
    OR(ISBLANK(moras[[#This Row],[TIPO_ASEGURAMIENTO]]), moras[[#This Row],[TIPO_ASEGURAMIENTO]]=""),
    EDA!$A$32,
    moras[[#This Row],[TIPO_ASEGURAMIENTO]]
)</f>
        <v>ASEGURADO VOLUNTARIO</v>
      </c>
    </row>
    <row r="1251" spans="1:16" x14ac:dyDescent="0.3">
      <c r="A1251">
        <v>1250</v>
      </c>
      <c r="B1251" t="s">
        <v>15</v>
      </c>
      <c r="C1251">
        <v>346913</v>
      </c>
      <c r="D1251" t="s">
        <v>10</v>
      </c>
      <c r="E1251" t="s">
        <v>16</v>
      </c>
      <c r="F1251" t="s">
        <v>12</v>
      </c>
      <c r="G1251" t="s">
        <v>13</v>
      </c>
      <c r="H1251" t="s">
        <v>13</v>
      </c>
      <c r="I1251">
        <v>52</v>
      </c>
      <c r="J1251">
        <f>ABS((I1251-EDA!$A$15)/EDA!$B$15)</f>
        <v>0.70719361363009237</v>
      </c>
      <c r="K1251" t="str">
        <f t="shared" si="19"/>
        <v>No</v>
      </c>
      <c r="L1251">
        <f>ABS((C1251-EDA!$F$15)/EDA!$G$15)</f>
        <v>0.36988109499770006</v>
      </c>
      <c r="M1251" t="str">
        <f>IF(moras[[#This Row],[Z-Score Salario]]&gt;1.96, "Sí", "No")</f>
        <v>No</v>
      </c>
      <c r="N1251" s="14">
        <f>IF(ISBLANK(moras[[#This Row],[SALARIO]]), EDA!$M$8, moras[[#This Row],[SALARIO]])</f>
        <v>346913</v>
      </c>
      <c r="O1251" s="14">
        <f xml:space="preserve"> IF(ISBLANK(moras[[#This Row],[EDAD]]), EDA!$E$8, moras[[#This Row],[EDAD]])</f>
        <v>52</v>
      </c>
      <c r="P1251" s="14" t="str">
        <f>IF(
    OR(ISBLANK(moras[[#This Row],[TIPO_ASEGURAMIENTO]]), moras[[#This Row],[TIPO_ASEGURAMIENTO]]=""),
    EDA!$A$32,
    moras[[#This Row],[TIPO_ASEGURAMIENTO]]
)</f>
        <v>ASALARIADO</v>
      </c>
    </row>
    <row r="1252" spans="1:16" x14ac:dyDescent="0.3">
      <c r="A1252">
        <v>1251</v>
      </c>
      <c r="B1252" t="s">
        <v>9</v>
      </c>
      <c r="C1252">
        <v>42609665</v>
      </c>
      <c r="D1252" t="s">
        <v>10</v>
      </c>
      <c r="E1252" t="s">
        <v>16</v>
      </c>
      <c r="F1252" t="s">
        <v>12</v>
      </c>
      <c r="G1252" t="s">
        <v>13</v>
      </c>
      <c r="H1252" t="s">
        <v>13</v>
      </c>
      <c r="I1252">
        <v>63</v>
      </c>
      <c r="J1252">
        <f>ABS((I1252-EDA!$A$15)/EDA!$B$15)</f>
        <v>1.4835222444786049</v>
      </c>
      <c r="K1252" t="str">
        <f t="shared" si="19"/>
        <v>No</v>
      </c>
      <c r="L1252">
        <f>ABS((C1252-EDA!$F$15)/EDA!$G$15)</f>
        <v>0.33340093207442301</v>
      </c>
      <c r="M1252" t="str">
        <f>IF(moras[[#This Row],[Z-Score Salario]]&gt;1.96, "Sí", "No")</f>
        <v>No</v>
      </c>
      <c r="N1252" s="14">
        <f>IF(ISBLANK(moras[[#This Row],[SALARIO]]), EDA!$M$8, moras[[#This Row],[SALARIO]])</f>
        <v>42609665</v>
      </c>
      <c r="O1252" s="14">
        <f xml:space="preserve"> IF(ISBLANK(moras[[#This Row],[EDAD]]), EDA!$E$8, moras[[#This Row],[EDAD]])</f>
        <v>63</v>
      </c>
      <c r="P1252" s="14" t="str">
        <f>IF(
    OR(ISBLANK(moras[[#This Row],[TIPO_ASEGURAMIENTO]]), moras[[#This Row],[TIPO_ASEGURAMIENTO]]=""),
    EDA!$A$32,
    moras[[#This Row],[TIPO_ASEGURAMIENTO]]
)</f>
        <v>ASALARIADO</v>
      </c>
    </row>
    <row r="1253" spans="1:16" x14ac:dyDescent="0.3">
      <c r="A1253">
        <v>1252</v>
      </c>
      <c r="B1253" t="s">
        <v>15</v>
      </c>
      <c r="C1253">
        <v>25107218</v>
      </c>
      <c r="D1253" t="s">
        <v>14</v>
      </c>
      <c r="E1253" t="s">
        <v>11</v>
      </c>
      <c r="F1253" t="s">
        <v>12</v>
      </c>
      <c r="G1253" t="s">
        <v>13</v>
      </c>
      <c r="H1253" t="s">
        <v>13</v>
      </c>
      <c r="I1253">
        <v>14</v>
      </c>
      <c r="J1253">
        <f>ABS((I1253-EDA!$A$15)/EDA!$B$15)</f>
        <v>1.9746689293011328</v>
      </c>
      <c r="K1253" t="str">
        <f t="shared" si="19"/>
        <v>Sí</v>
      </c>
      <c r="L1253">
        <f>ABS((C1253-EDA!$F$15)/EDA!$G$15)</f>
        <v>4.2147858803605283E-2</v>
      </c>
      <c r="M1253" t="str">
        <f>IF(moras[[#This Row],[Z-Score Salario]]&gt;1.96, "Sí", "No")</f>
        <v>No</v>
      </c>
      <c r="N1253" s="14">
        <f>IF(ISBLANK(moras[[#This Row],[SALARIO]]), EDA!$M$8, moras[[#This Row],[SALARIO]])</f>
        <v>25107218</v>
      </c>
      <c r="O1253" s="14">
        <f xml:space="preserve"> IF(ISBLANK(moras[[#This Row],[EDAD]]), EDA!$E$8, moras[[#This Row],[EDAD]])</f>
        <v>14</v>
      </c>
      <c r="P1253" s="14" t="str">
        <f>IF(
    OR(ISBLANK(moras[[#This Row],[TIPO_ASEGURAMIENTO]]), moras[[#This Row],[TIPO_ASEGURAMIENTO]]=""),
    EDA!$A$32,
    moras[[#This Row],[TIPO_ASEGURAMIENTO]]
)</f>
        <v>PENSIONADOS EN SU PROPIO SISTEMA</v>
      </c>
    </row>
    <row r="1254" spans="1:16" x14ac:dyDescent="0.3">
      <c r="A1254">
        <v>1253</v>
      </c>
      <c r="B1254" t="s">
        <v>15</v>
      </c>
      <c r="C1254">
        <v>747594</v>
      </c>
      <c r="D1254" t="s">
        <v>10</v>
      </c>
      <c r="E1254" t="s">
        <v>11</v>
      </c>
      <c r="F1254" t="s">
        <v>12</v>
      </c>
      <c r="G1254" t="s">
        <v>13</v>
      </c>
      <c r="H1254" t="s">
        <v>13</v>
      </c>
      <c r="I1254">
        <v>31</v>
      </c>
      <c r="J1254">
        <f>ABS((I1254-EDA!$A$15)/EDA!$B$15)</f>
        <v>0.77488831798979529</v>
      </c>
      <c r="K1254" t="str">
        <f t="shared" si="19"/>
        <v>No</v>
      </c>
      <c r="L1254">
        <f>ABS((C1254-EDA!$F$15)/EDA!$G$15)</f>
        <v>0.36321348031209499</v>
      </c>
      <c r="M1254" t="str">
        <f>IF(moras[[#This Row],[Z-Score Salario]]&gt;1.96, "Sí", "No")</f>
        <v>No</v>
      </c>
      <c r="N1254" s="14">
        <f>IF(ISBLANK(moras[[#This Row],[SALARIO]]), EDA!$M$8, moras[[#This Row],[SALARIO]])</f>
        <v>747594</v>
      </c>
      <c r="O1254" s="14">
        <f xml:space="preserve"> IF(ISBLANK(moras[[#This Row],[EDAD]]), EDA!$E$8, moras[[#This Row],[EDAD]])</f>
        <v>31</v>
      </c>
      <c r="P1254" s="14" t="str">
        <f>IF(
    OR(ISBLANK(moras[[#This Row],[TIPO_ASEGURAMIENTO]]), moras[[#This Row],[TIPO_ASEGURAMIENTO]]=""),
    EDA!$A$32,
    moras[[#This Row],[TIPO_ASEGURAMIENTO]]
)</f>
        <v>ASALARIADO</v>
      </c>
    </row>
    <row r="1255" spans="1:16" x14ac:dyDescent="0.3">
      <c r="A1255">
        <v>1254</v>
      </c>
      <c r="B1255" t="s">
        <v>9</v>
      </c>
      <c r="C1255">
        <v>59374005</v>
      </c>
      <c r="D1255" t="s">
        <v>10</v>
      </c>
      <c r="E1255" t="s">
        <v>16</v>
      </c>
      <c r="F1255" t="s">
        <v>12</v>
      </c>
      <c r="G1255" t="s">
        <v>13</v>
      </c>
      <c r="H1255" t="s">
        <v>13</v>
      </c>
      <c r="I1255">
        <v>26</v>
      </c>
      <c r="J1255">
        <f>ABS((I1255-EDA!$A$15)/EDA!$B$15)</f>
        <v>1.1277649683754829</v>
      </c>
      <c r="K1255" t="str">
        <f t="shared" si="19"/>
        <v>No</v>
      </c>
      <c r="L1255">
        <f>ABS((C1255-EDA!$F$15)/EDA!$G$15)</f>
        <v>0.61237138382650669</v>
      </c>
      <c r="M1255" t="str">
        <f>IF(moras[[#This Row],[Z-Score Salario]]&gt;1.96, "Sí", "No")</f>
        <v>No</v>
      </c>
      <c r="N1255" s="14">
        <f>IF(ISBLANK(moras[[#This Row],[SALARIO]]), EDA!$M$8, moras[[#This Row],[SALARIO]])</f>
        <v>59374005</v>
      </c>
      <c r="O1255" s="14">
        <f xml:space="preserve"> IF(ISBLANK(moras[[#This Row],[EDAD]]), EDA!$E$8, moras[[#This Row],[EDAD]])</f>
        <v>26</v>
      </c>
      <c r="P1255" s="14" t="str">
        <f>IF(
    OR(ISBLANK(moras[[#This Row],[TIPO_ASEGURAMIENTO]]), moras[[#This Row],[TIPO_ASEGURAMIENTO]]=""),
    EDA!$A$32,
    moras[[#This Row],[TIPO_ASEGURAMIENTO]]
)</f>
        <v>ASALARIADO</v>
      </c>
    </row>
    <row r="1256" spans="1:16" x14ac:dyDescent="0.3">
      <c r="A1256">
        <v>1255</v>
      </c>
      <c r="B1256" t="s">
        <v>9</v>
      </c>
      <c r="C1256">
        <v>714425</v>
      </c>
      <c r="D1256" t="s">
        <v>10</v>
      </c>
      <c r="E1256" t="s">
        <v>16</v>
      </c>
      <c r="F1256" t="s">
        <v>12</v>
      </c>
      <c r="G1256" t="s">
        <v>13</v>
      </c>
      <c r="H1256" t="s">
        <v>13</v>
      </c>
      <c r="I1256">
        <v>33</v>
      </c>
      <c r="J1256">
        <f>ABS((I1256-EDA!$A$15)/EDA!$B$15)</f>
        <v>0.63373765783552027</v>
      </c>
      <c r="K1256" t="str">
        <f t="shared" si="19"/>
        <v>No</v>
      </c>
      <c r="L1256">
        <f>ABS((C1256-EDA!$F$15)/EDA!$G$15)</f>
        <v>0.36376543588649662</v>
      </c>
      <c r="M1256" t="str">
        <f>IF(moras[[#This Row],[Z-Score Salario]]&gt;1.96, "Sí", "No")</f>
        <v>No</v>
      </c>
      <c r="N1256" s="14">
        <f>IF(ISBLANK(moras[[#This Row],[SALARIO]]), EDA!$M$8, moras[[#This Row],[SALARIO]])</f>
        <v>714425</v>
      </c>
      <c r="O1256" s="14">
        <f xml:space="preserve"> IF(ISBLANK(moras[[#This Row],[EDAD]]), EDA!$E$8, moras[[#This Row],[EDAD]])</f>
        <v>33</v>
      </c>
      <c r="P1256" s="14" t="str">
        <f>IF(
    OR(ISBLANK(moras[[#This Row],[TIPO_ASEGURAMIENTO]]), moras[[#This Row],[TIPO_ASEGURAMIENTO]]=""),
    EDA!$A$32,
    moras[[#This Row],[TIPO_ASEGURAMIENTO]]
)</f>
        <v>ASALARIADO</v>
      </c>
    </row>
    <row r="1257" spans="1:16" x14ac:dyDescent="0.3">
      <c r="A1257">
        <v>1256</v>
      </c>
      <c r="B1257" t="s">
        <v>9</v>
      </c>
      <c r="C1257">
        <v>117648204</v>
      </c>
      <c r="D1257" t="s">
        <v>10</v>
      </c>
      <c r="E1257" t="s">
        <v>16</v>
      </c>
      <c r="F1257" t="s">
        <v>12</v>
      </c>
      <c r="G1257" t="s">
        <v>13</v>
      </c>
      <c r="H1257" t="s">
        <v>13</v>
      </c>
      <c r="I1257">
        <v>52</v>
      </c>
      <c r="J1257">
        <f>ABS((I1257-EDA!$A$15)/EDA!$B$15)</f>
        <v>0.70719361363009237</v>
      </c>
      <c r="K1257" t="str">
        <f t="shared" si="19"/>
        <v>No</v>
      </c>
      <c r="L1257">
        <f>ABS((C1257-EDA!$F$15)/EDA!$G$15)</f>
        <v>1.5820951916543613</v>
      </c>
      <c r="M1257" t="str">
        <f>IF(moras[[#This Row],[Z-Score Salario]]&gt;1.96, "Sí", "No")</f>
        <v>No</v>
      </c>
      <c r="N1257" s="14">
        <f>IF(ISBLANK(moras[[#This Row],[SALARIO]]), EDA!$M$8, moras[[#This Row],[SALARIO]])</f>
        <v>117648204</v>
      </c>
      <c r="O1257" s="14">
        <f xml:space="preserve"> IF(ISBLANK(moras[[#This Row],[EDAD]]), EDA!$E$8, moras[[#This Row],[EDAD]])</f>
        <v>52</v>
      </c>
      <c r="P1257" s="14" t="str">
        <f>IF(
    OR(ISBLANK(moras[[#This Row],[TIPO_ASEGURAMIENTO]]), moras[[#This Row],[TIPO_ASEGURAMIENTO]]=""),
    EDA!$A$32,
    moras[[#This Row],[TIPO_ASEGURAMIENTO]]
)</f>
        <v>ASALARIADO</v>
      </c>
    </row>
    <row r="1258" spans="1:16" x14ac:dyDescent="0.3">
      <c r="A1258">
        <v>1257</v>
      </c>
      <c r="B1258" t="s">
        <v>9</v>
      </c>
      <c r="C1258">
        <v>100638825</v>
      </c>
      <c r="D1258" t="s">
        <v>10</v>
      </c>
      <c r="E1258" t="s">
        <v>16</v>
      </c>
      <c r="F1258" t="s">
        <v>12</v>
      </c>
      <c r="G1258" t="s">
        <v>13</v>
      </c>
      <c r="H1258" t="s">
        <v>13</v>
      </c>
      <c r="I1258">
        <v>52</v>
      </c>
      <c r="J1258">
        <f>ABS((I1258-EDA!$A$15)/EDA!$B$15)</f>
        <v>0.70719361363009237</v>
      </c>
      <c r="K1258" t="str">
        <f t="shared" si="19"/>
        <v>No</v>
      </c>
      <c r="L1258">
        <f>ABS((C1258-EDA!$F$15)/EDA!$G$15)</f>
        <v>1.2990471179662588</v>
      </c>
      <c r="M1258" t="str">
        <f>IF(moras[[#This Row],[Z-Score Salario]]&gt;1.96, "Sí", "No")</f>
        <v>No</v>
      </c>
      <c r="N1258" s="14">
        <f>IF(ISBLANK(moras[[#This Row],[SALARIO]]), EDA!$M$8, moras[[#This Row],[SALARIO]])</f>
        <v>100638825</v>
      </c>
      <c r="O1258" s="14">
        <f xml:space="preserve"> IF(ISBLANK(moras[[#This Row],[EDAD]]), EDA!$E$8, moras[[#This Row],[EDAD]])</f>
        <v>52</v>
      </c>
      <c r="P1258" s="14" t="str">
        <f>IF(
    OR(ISBLANK(moras[[#This Row],[TIPO_ASEGURAMIENTO]]), moras[[#This Row],[TIPO_ASEGURAMIENTO]]=""),
    EDA!$A$32,
    moras[[#This Row],[TIPO_ASEGURAMIENTO]]
)</f>
        <v>ASALARIADO</v>
      </c>
    </row>
    <row r="1259" spans="1:16" x14ac:dyDescent="0.3">
      <c r="A1259">
        <v>1258</v>
      </c>
      <c r="B1259" t="s">
        <v>9</v>
      </c>
      <c r="C1259">
        <v>278035</v>
      </c>
      <c r="D1259" t="s">
        <v>18</v>
      </c>
      <c r="E1259" t="s">
        <v>16</v>
      </c>
      <c r="F1259" t="s">
        <v>12</v>
      </c>
      <c r="G1259" t="s">
        <v>13</v>
      </c>
      <c r="H1259" t="s">
        <v>13</v>
      </c>
      <c r="I1259">
        <v>32</v>
      </c>
      <c r="J1259">
        <f>ABS((I1259-EDA!$A$15)/EDA!$B$15)</f>
        <v>0.70431298791265773</v>
      </c>
      <c r="K1259" t="str">
        <f t="shared" si="19"/>
        <v>No</v>
      </c>
      <c r="L1259">
        <f>ABS((C1259-EDA!$F$15)/EDA!$G$15)</f>
        <v>0.37102727353952036</v>
      </c>
      <c r="M1259" t="str">
        <f>IF(moras[[#This Row],[Z-Score Salario]]&gt;1.96, "Sí", "No")</f>
        <v>No</v>
      </c>
      <c r="N1259" s="14">
        <f>IF(ISBLANK(moras[[#This Row],[SALARIO]]), EDA!$M$8, moras[[#This Row],[SALARIO]])</f>
        <v>278035</v>
      </c>
      <c r="O1259" s="14">
        <f xml:space="preserve"> IF(ISBLANK(moras[[#This Row],[EDAD]]), EDA!$E$8, moras[[#This Row],[EDAD]])</f>
        <v>32</v>
      </c>
      <c r="P1259" s="14" t="str">
        <f>IF(
    OR(ISBLANK(moras[[#This Row],[TIPO_ASEGURAMIENTO]]), moras[[#This Row],[TIPO_ASEGURAMIENTO]]=""),
    EDA!$A$32,
    moras[[#This Row],[TIPO_ASEGURAMIENTO]]
)</f>
        <v>TRABAJADOR INDEPENDIENTE</v>
      </c>
    </row>
    <row r="1260" spans="1:16" x14ac:dyDescent="0.3">
      <c r="A1260">
        <v>1259</v>
      </c>
      <c r="B1260" t="s">
        <v>15</v>
      </c>
      <c r="C1260">
        <v>35339858</v>
      </c>
      <c r="D1260" t="s">
        <v>10</v>
      </c>
      <c r="E1260" t="s">
        <v>16</v>
      </c>
      <c r="F1260" t="s">
        <v>12</v>
      </c>
      <c r="G1260" t="s">
        <v>13</v>
      </c>
      <c r="H1260" t="s">
        <v>13</v>
      </c>
      <c r="I1260">
        <v>27</v>
      </c>
      <c r="J1260">
        <f>ABS((I1260-EDA!$A$15)/EDA!$B$15)</f>
        <v>1.0571896382983452</v>
      </c>
      <c r="K1260" t="str">
        <f t="shared" si="19"/>
        <v>No</v>
      </c>
      <c r="L1260">
        <f>ABS((C1260-EDA!$F$15)/EDA!$G$15)</f>
        <v>0.2124262117489906</v>
      </c>
      <c r="M1260" t="str">
        <f>IF(moras[[#This Row],[Z-Score Salario]]&gt;1.96, "Sí", "No")</f>
        <v>No</v>
      </c>
      <c r="N1260" s="14">
        <f>IF(ISBLANK(moras[[#This Row],[SALARIO]]), EDA!$M$8, moras[[#This Row],[SALARIO]])</f>
        <v>35339858</v>
      </c>
      <c r="O1260" s="14">
        <f xml:space="preserve"> IF(ISBLANK(moras[[#This Row],[EDAD]]), EDA!$E$8, moras[[#This Row],[EDAD]])</f>
        <v>27</v>
      </c>
      <c r="P1260" s="14" t="str">
        <f>IF(
    OR(ISBLANK(moras[[#This Row],[TIPO_ASEGURAMIENTO]]), moras[[#This Row],[TIPO_ASEGURAMIENTO]]=""),
    EDA!$A$32,
    moras[[#This Row],[TIPO_ASEGURAMIENTO]]
)</f>
        <v>ASALARIADO</v>
      </c>
    </row>
    <row r="1261" spans="1:16" x14ac:dyDescent="0.3">
      <c r="A1261">
        <v>1260</v>
      </c>
      <c r="B1261" t="s">
        <v>9</v>
      </c>
      <c r="C1261">
        <v>278030</v>
      </c>
      <c r="D1261" t="s">
        <v>19</v>
      </c>
      <c r="E1261" t="s">
        <v>16</v>
      </c>
      <c r="F1261" t="s">
        <v>12</v>
      </c>
      <c r="G1261" t="s">
        <v>13</v>
      </c>
      <c r="H1261" t="s">
        <v>13</v>
      </c>
      <c r="I1261">
        <v>68</v>
      </c>
      <c r="J1261">
        <f>ABS((I1261-EDA!$A$15)/EDA!$B$15)</f>
        <v>1.8363988948642924</v>
      </c>
      <c r="K1261" t="str">
        <f t="shared" si="19"/>
        <v>No</v>
      </c>
      <c r="L1261">
        <f>ABS((C1261-EDA!$F$15)/EDA!$G$15)</f>
        <v>0.37102735674304993</v>
      </c>
      <c r="M1261" t="str">
        <f>IF(moras[[#This Row],[Z-Score Salario]]&gt;1.96, "Sí", "No")</f>
        <v>No</v>
      </c>
      <c r="N1261" s="14">
        <f>IF(ISBLANK(moras[[#This Row],[SALARIO]]), EDA!$M$8, moras[[#This Row],[SALARIO]])</f>
        <v>278030</v>
      </c>
      <c r="O1261" s="14">
        <f xml:space="preserve"> IF(ISBLANK(moras[[#This Row],[EDAD]]), EDA!$E$8, moras[[#This Row],[EDAD]])</f>
        <v>68</v>
      </c>
      <c r="P1261" s="14" t="str">
        <f>IF(
    OR(ISBLANK(moras[[#This Row],[TIPO_ASEGURAMIENTO]]), moras[[#This Row],[TIPO_ASEGURAMIENTO]]=""),
    EDA!$A$32,
    moras[[#This Row],[TIPO_ASEGURAMIENTO]]
)</f>
        <v>CONVENIOS ESPECIALES DE TRABAJADORES INDEPENDIENTES</v>
      </c>
    </row>
    <row r="1262" spans="1:16" x14ac:dyDescent="0.3">
      <c r="A1262">
        <v>1261</v>
      </c>
      <c r="B1262" t="s">
        <v>9</v>
      </c>
      <c r="C1262">
        <v>53191106</v>
      </c>
      <c r="D1262" t="s">
        <v>10</v>
      </c>
      <c r="E1262" t="s">
        <v>16</v>
      </c>
      <c r="F1262" t="s">
        <v>12</v>
      </c>
      <c r="G1262" t="s">
        <v>13</v>
      </c>
      <c r="H1262" t="s">
        <v>13</v>
      </c>
      <c r="I1262">
        <v>27</v>
      </c>
      <c r="J1262">
        <f>ABS((I1262-EDA!$A$15)/EDA!$B$15)</f>
        <v>1.0571896382983452</v>
      </c>
      <c r="K1262" t="str">
        <f t="shared" si="19"/>
        <v>No</v>
      </c>
      <c r="L1262">
        <f>ABS((C1262-EDA!$F$15)/EDA!$G$15)</f>
        <v>0.50948357988268866</v>
      </c>
      <c r="M1262" t="str">
        <f>IF(moras[[#This Row],[Z-Score Salario]]&gt;1.96, "Sí", "No")</f>
        <v>No</v>
      </c>
      <c r="N1262" s="14">
        <f>IF(ISBLANK(moras[[#This Row],[SALARIO]]), EDA!$M$8, moras[[#This Row],[SALARIO]])</f>
        <v>53191106</v>
      </c>
      <c r="O1262" s="14">
        <f xml:space="preserve"> IF(ISBLANK(moras[[#This Row],[EDAD]]), EDA!$E$8, moras[[#This Row],[EDAD]])</f>
        <v>27</v>
      </c>
      <c r="P1262" s="14" t="str">
        <f>IF(
    OR(ISBLANK(moras[[#This Row],[TIPO_ASEGURAMIENTO]]), moras[[#This Row],[TIPO_ASEGURAMIENTO]]=""),
    EDA!$A$32,
    moras[[#This Row],[TIPO_ASEGURAMIENTO]]
)</f>
        <v>ASALARIADO</v>
      </c>
    </row>
    <row r="1263" spans="1:16" x14ac:dyDescent="0.3">
      <c r="A1263">
        <v>1262</v>
      </c>
      <c r="B1263" t="s">
        <v>15</v>
      </c>
      <c r="C1263">
        <v>273622</v>
      </c>
      <c r="D1263" t="s">
        <v>10</v>
      </c>
      <c r="E1263" t="s">
        <v>16</v>
      </c>
      <c r="F1263" t="s">
        <v>12</v>
      </c>
      <c r="G1263" t="s">
        <v>13</v>
      </c>
      <c r="H1263" t="s">
        <v>13</v>
      </c>
      <c r="I1263">
        <v>47</v>
      </c>
      <c r="J1263">
        <f>ABS((I1263-EDA!$A$15)/EDA!$B$15)</f>
        <v>0.35431696324440481</v>
      </c>
      <c r="K1263" t="str">
        <f t="shared" si="19"/>
        <v>No</v>
      </c>
      <c r="L1263">
        <f>ABS((C1263-EDA!$F$15)/EDA!$G$15)</f>
        <v>0.37110070897471087</v>
      </c>
      <c r="M1263" t="str">
        <f>IF(moras[[#This Row],[Z-Score Salario]]&gt;1.96, "Sí", "No")</f>
        <v>No</v>
      </c>
      <c r="N1263" s="14">
        <f>IF(ISBLANK(moras[[#This Row],[SALARIO]]), EDA!$M$8, moras[[#This Row],[SALARIO]])</f>
        <v>273622</v>
      </c>
      <c r="O1263" s="14">
        <f xml:space="preserve"> IF(ISBLANK(moras[[#This Row],[EDAD]]), EDA!$E$8, moras[[#This Row],[EDAD]])</f>
        <v>47</v>
      </c>
      <c r="P1263" s="14" t="str">
        <f>IF(
    OR(ISBLANK(moras[[#This Row],[TIPO_ASEGURAMIENTO]]), moras[[#This Row],[TIPO_ASEGURAMIENTO]]=""),
    EDA!$A$32,
    moras[[#This Row],[TIPO_ASEGURAMIENTO]]
)</f>
        <v>ASALARIADO</v>
      </c>
    </row>
    <row r="1264" spans="1:16" x14ac:dyDescent="0.3">
      <c r="A1264">
        <v>1263</v>
      </c>
      <c r="B1264" t="s">
        <v>9</v>
      </c>
      <c r="C1264">
        <v>347320</v>
      </c>
      <c r="D1264" t="s">
        <v>10</v>
      </c>
      <c r="E1264" t="s">
        <v>16</v>
      </c>
      <c r="F1264" t="s">
        <v>12</v>
      </c>
      <c r="G1264" t="s">
        <v>12</v>
      </c>
      <c r="H1264" t="s">
        <v>13</v>
      </c>
      <c r="I1264">
        <v>42</v>
      </c>
      <c r="J1264">
        <f>ABS((I1264-EDA!$A$15)/EDA!$B$15)</f>
        <v>1.4403128587172659E-3</v>
      </c>
      <c r="K1264" t="str">
        <f t="shared" si="19"/>
        <v>No</v>
      </c>
      <c r="L1264">
        <f>ABS((C1264-EDA!$F$15)/EDA!$G$15)</f>
        <v>0.36987432223039379</v>
      </c>
      <c r="M1264" t="str">
        <f>IF(moras[[#This Row],[Z-Score Salario]]&gt;1.96, "Sí", "No")</f>
        <v>No</v>
      </c>
      <c r="N1264" s="14">
        <f>IF(ISBLANK(moras[[#This Row],[SALARIO]]), EDA!$M$8, moras[[#This Row],[SALARIO]])</f>
        <v>347320</v>
      </c>
      <c r="O1264" s="14">
        <f xml:space="preserve"> IF(ISBLANK(moras[[#This Row],[EDAD]]), EDA!$E$8, moras[[#This Row],[EDAD]])</f>
        <v>42</v>
      </c>
      <c r="P1264" s="14" t="str">
        <f>IF(
    OR(ISBLANK(moras[[#This Row],[TIPO_ASEGURAMIENTO]]), moras[[#This Row],[TIPO_ASEGURAMIENTO]]=""),
    EDA!$A$32,
    moras[[#This Row],[TIPO_ASEGURAMIENTO]]
)</f>
        <v>ASALARIADO</v>
      </c>
    </row>
    <row r="1265" spans="1:16" x14ac:dyDescent="0.3">
      <c r="A1265">
        <v>1264</v>
      </c>
      <c r="B1265" t="s">
        <v>15</v>
      </c>
      <c r="C1265">
        <v>11247915</v>
      </c>
      <c r="D1265" t="s">
        <v>10</v>
      </c>
      <c r="E1265" t="s">
        <v>16</v>
      </c>
      <c r="F1265" t="s">
        <v>12</v>
      </c>
      <c r="G1265" t="s">
        <v>13</v>
      </c>
      <c r="H1265" t="s">
        <v>13</v>
      </c>
      <c r="I1265">
        <v>28</v>
      </c>
      <c r="J1265">
        <f>ABS((I1265-EDA!$A$15)/EDA!$B$15)</f>
        <v>0.98661430822120777</v>
      </c>
      <c r="K1265" t="str">
        <f t="shared" si="19"/>
        <v>No</v>
      </c>
      <c r="L1265">
        <f>ABS((C1265-EDA!$F$15)/EDA!$G$15)</f>
        <v>0.18848072656742679</v>
      </c>
      <c r="M1265" t="str">
        <f>IF(moras[[#This Row],[Z-Score Salario]]&gt;1.96, "Sí", "No")</f>
        <v>No</v>
      </c>
      <c r="N1265" s="14">
        <f>IF(ISBLANK(moras[[#This Row],[SALARIO]]), EDA!$M$8, moras[[#This Row],[SALARIO]])</f>
        <v>11247915</v>
      </c>
      <c r="O1265" s="14">
        <f xml:space="preserve"> IF(ISBLANK(moras[[#This Row],[EDAD]]), EDA!$E$8, moras[[#This Row],[EDAD]])</f>
        <v>28</v>
      </c>
      <c r="P1265" s="14" t="str">
        <f>IF(
    OR(ISBLANK(moras[[#This Row],[TIPO_ASEGURAMIENTO]]), moras[[#This Row],[TIPO_ASEGURAMIENTO]]=""),
    EDA!$A$32,
    moras[[#This Row],[TIPO_ASEGURAMIENTO]]
)</f>
        <v>ASALARIADO</v>
      </c>
    </row>
    <row r="1266" spans="1:16" x14ac:dyDescent="0.3">
      <c r="A1266">
        <v>1265</v>
      </c>
      <c r="B1266" t="s">
        <v>15</v>
      </c>
      <c r="C1266">
        <v>205000</v>
      </c>
      <c r="D1266" t="s">
        <v>10</v>
      </c>
      <c r="E1266" t="s">
        <v>16</v>
      </c>
      <c r="F1266" t="s">
        <v>12</v>
      </c>
      <c r="G1266" t="s">
        <v>13</v>
      </c>
      <c r="H1266" t="s">
        <v>13</v>
      </c>
      <c r="I1266">
        <v>45</v>
      </c>
      <c r="J1266">
        <f>ABS((I1266-EDA!$A$15)/EDA!$B$15)</f>
        <v>0.21316630309012977</v>
      </c>
      <c r="K1266" t="str">
        <f t="shared" si="19"/>
        <v>No</v>
      </c>
      <c r="L1266">
        <f>ABS((C1266-EDA!$F$15)/EDA!$G$15)</f>
        <v>0.37224262749581766</v>
      </c>
      <c r="M1266" t="str">
        <f>IF(moras[[#This Row],[Z-Score Salario]]&gt;1.96, "Sí", "No")</f>
        <v>No</v>
      </c>
      <c r="N1266" s="14">
        <f>IF(ISBLANK(moras[[#This Row],[SALARIO]]), EDA!$M$8, moras[[#This Row],[SALARIO]])</f>
        <v>205000</v>
      </c>
      <c r="O1266" s="14">
        <f xml:space="preserve"> IF(ISBLANK(moras[[#This Row],[EDAD]]), EDA!$E$8, moras[[#This Row],[EDAD]])</f>
        <v>45</v>
      </c>
      <c r="P1266" s="14" t="str">
        <f>IF(
    OR(ISBLANK(moras[[#This Row],[TIPO_ASEGURAMIENTO]]), moras[[#This Row],[TIPO_ASEGURAMIENTO]]=""),
    EDA!$A$32,
    moras[[#This Row],[TIPO_ASEGURAMIENTO]]
)</f>
        <v>ASALARIADO</v>
      </c>
    </row>
    <row r="1267" spans="1:16" x14ac:dyDescent="0.3">
      <c r="A1267">
        <v>1266</v>
      </c>
      <c r="B1267" t="s">
        <v>15</v>
      </c>
      <c r="C1267">
        <v>630000</v>
      </c>
      <c r="D1267" t="s">
        <v>10</v>
      </c>
      <c r="E1267" t="s">
        <v>16</v>
      </c>
      <c r="F1267" t="s">
        <v>12</v>
      </c>
      <c r="G1267" t="s">
        <v>13</v>
      </c>
      <c r="H1267" t="s">
        <v>13</v>
      </c>
      <c r="I1267">
        <v>64</v>
      </c>
      <c r="J1267">
        <f>ABS((I1267-EDA!$A$15)/EDA!$B$15)</f>
        <v>1.5540975745557424</v>
      </c>
      <c r="K1267" t="str">
        <f t="shared" si="19"/>
        <v>No</v>
      </c>
      <c r="L1267">
        <f>ABS((C1267-EDA!$F$15)/EDA!$G$15)</f>
        <v>0.36517032748313388</v>
      </c>
      <c r="M1267" t="str">
        <f>IF(moras[[#This Row],[Z-Score Salario]]&gt;1.96, "Sí", "No")</f>
        <v>No</v>
      </c>
      <c r="N1267" s="14">
        <f>IF(ISBLANK(moras[[#This Row],[SALARIO]]), EDA!$M$8, moras[[#This Row],[SALARIO]])</f>
        <v>630000</v>
      </c>
      <c r="O1267" s="14">
        <f xml:space="preserve"> IF(ISBLANK(moras[[#This Row],[EDAD]]), EDA!$E$8, moras[[#This Row],[EDAD]])</f>
        <v>64</v>
      </c>
      <c r="P1267" s="14" t="str">
        <f>IF(
    OR(ISBLANK(moras[[#This Row],[TIPO_ASEGURAMIENTO]]), moras[[#This Row],[TIPO_ASEGURAMIENTO]]=""),
    EDA!$A$32,
    moras[[#This Row],[TIPO_ASEGURAMIENTO]]
)</f>
        <v>ASALARIADO</v>
      </c>
    </row>
    <row r="1268" spans="1:16" x14ac:dyDescent="0.3">
      <c r="A1268">
        <v>1267</v>
      </c>
      <c r="B1268" t="s">
        <v>9</v>
      </c>
      <c r="C1268">
        <v>920750</v>
      </c>
      <c r="D1268" t="s">
        <v>10</v>
      </c>
      <c r="E1268" t="s">
        <v>16</v>
      </c>
      <c r="F1268" t="s">
        <v>12</v>
      </c>
      <c r="G1268" t="s">
        <v>13</v>
      </c>
      <c r="H1268" t="s">
        <v>12</v>
      </c>
      <c r="I1268">
        <v>46</v>
      </c>
      <c r="J1268">
        <f>ABS((I1268-EDA!$A$15)/EDA!$B$15)</f>
        <v>0.2837416331672673</v>
      </c>
      <c r="K1268" t="str">
        <f t="shared" si="19"/>
        <v>No</v>
      </c>
      <c r="L1268">
        <f>ABS((C1268-EDA!$F$15)/EDA!$G$15)</f>
        <v>0.36033204223916254</v>
      </c>
      <c r="M1268" t="str">
        <f>IF(moras[[#This Row],[Z-Score Salario]]&gt;1.96, "Sí", "No")</f>
        <v>No</v>
      </c>
      <c r="N1268" s="14">
        <f>IF(ISBLANK(moras[[#This Row],[SALARIO]]), EDA!$M$8, moras[[#This Row],[SALARIO]])</f>
        <v>920750</v>
      </c>
      <c r="O1268" s="14">
        <f xml:space="preserve"> IF(ISBLANK(moras[[#This Row],[EDAD]]), EDA!$E$8, moras[[#This Row],[EDAD]])</f>
        <v>46</v>
      </c>
      <c r="P1268" s="14" t="str">
        <f>IF(
    OR(ISBLANK(moras[[#This Row],[TIPO_ASEGURAMIENTO]]), moras[[#This Row],[TIPO_ASEGURAMIENTO]]=""),
    EDA!$A$32,
    moras[[#This Row],[TIPO_ASEGURAMIENTO]]
)</f>
        <v>ASALARIADO</v>
      </c>
    </row>
    <row r="1269" spans="1:16" x14ac:dyDescent="0.3">
      <c r="A1269">
        <v>1268</v>
      </c>
      <c r="B1269" t="s">
        <v>9</v>
      </c>
      <c r="C1269">
        <v>703681</v>
      </c>
      <c r="D1269" t="s">
        <v>10</v>
      </c>
      <c r="E1269" t="s">
        <v>16</v>
      </c>
      <c r="F1269" t="s">
        <v>12</v>
      </c>
      <c r="G1269" t="s">
        <v>13</v>
      </c>
      <c r="H1269" t="s">
        <v>13</v>
      </c>
      <c r="I1269">
        <v>32</v>
      </c>
      <c r="J1269">
        <f>ABS((I1269-EDA!$A$15)/EDA!$B$15)</f>
        <v>0.70431298791265773</v>
      </c>
      <c r="K1269" t="str">
        <f t="shared" si="19"/>
        <v>No</v>
      </c>
      <c r="L1269">
        <f>ABS((C1269-EDA!$F$15)/EDA!$G$15)</f>
        <v>0.3639442236308173</v>
      </c>
      <c r="M1269" t="str">
        <f>IF(moras[[#This Row],[Z-Score Salario]]&gt;1.96, "Sí", "No")</f>
        <v>No</v>
      </c>
      <c r="N1269" s="14">
        <f>IF(ISBLANK(moras[[#This Row],[SALARIO]]), EDA!$M$8, moras[[#This Row],[SALARIO]])</f>
        <v>703681</v>
      </c>
      <c r="O1269" s="14">
        <f xml:space="preserve"> IF(ISBLANK(moras[[#This Row],[EDAD]]), EDA!$E$8, moras[[#This Row],[EDAD]])</f>
        <v>32</v>
      </c>
      <c r="P1269" s="14" t="str">
        <f>IF(
    OR(ISBLANK(moras[[#This Row],[TIPO_ASEGURAMIENTO]]), moras[[#This Row],[TIPO_ASEGURAMIENTO]]=""),
    EDA!$A$32,
    moras[[#This Row],[TIPO_ASEGURAMIENTO]]
)</f>
        <v>ASALARIADO</v>
      </c>
    </row>
    <row r="1270" spans="1:16" x14ac:dyDescent="0.3">
      <c r="A1270">
        <v>1269</v>
      </c>
      <c r="B1270" t="s">
        <v>15</v>
      </c>
      <c r="C1270">
        <v>365528</v>
      </c>
      <c r="D1270" t="s">
        <v>10</v>
      </c>
      <c r="E1270" t="s">
        <v>11</v>
      </c>
      <c r="F1270" t="s">
        <v>12</v>
      </c>
      <c r="G1270" t="s">
        <v>13</v>
      </c>
      <c r="H1270" t="s">
        <v>13</v>
      </c>
      <c r="I1270">
        <v>34</v>
      </c>
      <c r="J1270">
        <f>ABS((I1270-EDA!$A$15)/EDA!$B$15)</f>
        <v>0.56316232775838282</v>
      </c>
      <c r="K1270" t="str">
        <f t="shared" si="19"/>
        <v>No</v>
      </c>
      <c r="L1270">
        <f>ABS((C1270-EDA!$F$15)/EDA!$G$15)</f>
        <v>0.3695713282571445</v>
      </c>
      <c r="M1270" t="str">
        <f>IF(moras[[#This Row],[Z-Score Salario]]&gt;1.96, "Sí", "No")</f>
        <v>No</v>
      </c>
      <c r="N1270" s="14">
        <f>IF(ISBLANK(moras[[#This Row],[SALARIO]]), EDA!$M$8, moras[[#This Row],[SALARIO]])</f>
        <v>365528</v>
      </c>
      <c r="O1270" s="14">
        <f xml:space="preserve"> IF(ISBLANK(moras[[#This Row],[EDAD]]), EDA!$E$8, moras[[#This Row],[EDAD]])</f>
        <v>34</v>
      </c>
      <c r="P1270" s="14" t="str">
        <f>IF(
    OR(ISBLANK(moras[[#This Row],[TIPO_ASEGURAMIENTO]]), moras[[#This Row],[TIPO_ASEGURAMIENTO]]=""),
    EDA!$A$32,
    moras[[#This Row],[TIPO_ASEGURAMIENTO]]
)</f>
        <v>ASALARIADO</v>
      </c>
    </row>
    <row r="1271" spans="1:16" x14ac:dyDescent="0.3">
      <c r="A1271">
        <v>1270</v>
      </c>
      <c r="B1271" t="s">
        <v>9</v>
      </c>
      <c r="C1271">
        <v>305704</v>
      </c>
      <c r="D1271" t="s">
        <v>18</v>
      </c>
      <c r="E1271" t="s">
        <v>16</v>
      </c>
      <c r="F1271" t="s">
        <v>12</v>
      </c>
      <c r="G1271" t="s">
        <v>13</v>
      </c>
      <c r="H1271" t="s">
        <v>13</v>
      </c>
      <c r="I1271">
        <v>57</v>
      </c>
      <c r="J1271">
        <f>ABS((I1271-EDA!$A$15)/EDA!$B$15)</f>
        <v>1.0600702640157798</v>
      </c>
      <c r="K1271" t="str">
        <f t="shared" si="19"/>
        <v>No</v>
      </c>
      <c r="L1271">
        <f>ABS((C1271-EDA!$F$15)/EDA!$G$15)</f>
        <v>0.37056684184763578</v>
      </c>
      <c r="M1271" t="str">
        <f>IF(moras[[#This Row],[Z-Score Salario]]&gt;1.96, "Sí", "No")</f>
        <v>No</v>
      </c>
      <c r="N1271" s="14">
        <f>IF(ISBLANK(moras[[#This Row],[SALARIO]]), EDA!$M$8, moras[[#This Row],[SALARIO]])</f>
        <v>305704</v>
      </c>
      <c r="O1271" s="14">
        <f xml:space="preserve"> IF(ISBLANK(moras[[#This Row],[EDAD]]), EDA!$E$8, moras[[#This Row],[EDAD]])</f>
        <v>57</v>
      </c>
      <c r="P1271" s="14" t="str">
        <f>IF(
    OR(ISBLANK(moras[[#This Row],[TIPO_ASEGURAMIENTO]]), moras[[#This Row],[TIPO_ASEGURAMIENTO]]=""),
    EDA!$A$32,
    moras[[#This Row],[TIPO_ASEGURAMIENTO]]
)</f>
        <v>TRABAJADOR INDEPENDIENTE</v>
      </c>
    </row>
    <row r="1272" spans="1:16" x14ac:dyDescent="0.3">
      <c r="A1272">
        <v>1271</v>
      </c>
      <c r="B1272" t="s">
        <v>9</v>
      </c>
      <c r="C1272">
        <v>17940184</v>
      </c>
      <c r="D1272" t="s">
        <v>10</v>
      </c>
      <c r="E1272" t="s">
        <v>16</v>
      </c>
      <c r="F1272" t="s">
        <v>12</v>
      </c>
      <c r="G1272" t="s">
        <v>13</v>
      </c>
      <c r="H1272" t="s">
        <v>13</v>
      </c>
      <c r="I1272">
        <v>24</v>
      </c>
      <c r="J1272">
        <f>ABS((I1272-EDA!$A$15)/EDA!$B$15)</f>
        <v>1.2689156285297578</v>
      </c>
      <c r="K1272" t="str">
        <f t="shared" si="19"/>
        <v>No</v>
      </c>
      <c r="L1272">
        <f>ABS((C1272-EDA!$F$15)/EDA!$G$15)</f>
        <v>7.7116646253112903E-2</v>
      </c>
      <c r="M1272" t="str">
        <f>IF(moras[[#This Row],[Z-Score Salario]]&gt;1.96, "Sí", "No")</f>
        <v>No</v>
      </c>
      <c r="N1272" s="14">
        <f>IF(ISBLANK(moras[[#This Row],[SALARIO]]), EDA!$M$8, moras[[#This Row],[SALARIO]])</f>
        <v>17940184</v>
      </c>
      <c r="O1272" s="14">
        <f xml:space="preserve"> IF(ISBLANK(moras[[#This Row],[EDAD]]), EDA!$E$8, moras[[#This Row],[EDAD]])</f>
        <v>24</v>
      </c>
      <c r="P1272" s="14" t="str">
        <f>IF(
    OR(ISBLANK(moras[[#This Row],[TIPO_ASEGURAMIENTO]]), moras[[#This Row],[TIPO_ASEGURAMIENTO]]=""),
    EDA!$A$32,
    moras[[#This Row],[TIPO_ASEGURAMIENTO]]
)</f>
        <v>ASALARIADO</v>
      </c>
    </row>
    <row r="1273" spans="1:16" x14ac:dyDescent="0.3">
      <c r="A1273">
        <v>1272</v>
      </c>
      <c r="B1273" t="s">
        <v>9</v>
      </c>
      <c r="C1273">
        <v>308333</v>
      </c>
      <c r="D1273" t="s">
        <v>10</v>
      </c>
      <c r="E1273" t="s">
        <v>16</v>
      </c>
      <c r="F1273" t="s">
        <v>12</v>
      </c>
      <c r="G1273" t="s">
        <v>13</v>
      </c>
      <c r="H1273" t="s">
        <v>13</v>
      </c>
      <c r="I1273">
        <v>25</v>
      </c>
      <c r="J1273">
        <f>ABS((I1273-EDA!$A$15)/EDA!$B$15)</f>
        <v>1.1983402984526204</v>
      </c>
      <c r="K1273" t="str">
        <f t="shared" si="19"/>
        <v>No</v>
      </c>
      <c r="L1273">
        <f>ABS((C1273-EDA!$F$15)/EDA!$G$15)</f>
        <v>0.37052309343179263</v>
      </c>
      <c r="M1273" t="str">
        <f>IF(moras[[#This Row],[Z-Score Salario]]&gt;1.96, "Sí", "No")</f>
        <v>No</v>
      </c>
      <c r="N1273" s="14">
        <f>IF(ISBLANK(moras[[#This Row],[SALARIO]]), EDA!$M$8, moras[[#This Row],[SALARIO]])</f>
        <v>308333</v>
      </c>
      <c r="O1273" s="14">
        <f xml:space="preserve"> IF(ISBLANK(moras[[#This Row],[EDAD]]), EDA!$E$8, moras[[#This Row],[EDAD]])</f>
        <v>25</v>
      </c>
      <c r="P1273" s="14" t="str">
        <f>IF(
    OR(ISBLANK(moras[[#This Row],[TIPO_ASEGURAMIENTO]]), moras[[#This Row],[TIPO_ASEGURAMIENTO]]=""),
    EDA!$A$32,
    moras[[#This Row],[TIPO_ASEGURAMIENTO]]
)</f>
        <v>ASALARIADO</v>
      </c>
    </row>
    <row r="1274" spans="1:16" x14ac:dyDescent="0.3">
      <c r="A1274">
        <v>1273</v>
      </c>
      <c r="B1274" t="s">
        <v>9</v>
      </c>
      <c r="C1274">
        <v>233471875</v>
      </c>
      <c r="D1274" t="s">
        <v>10</v>
      </c>
      <c r="E1274" t="s">
        <v>16</v>
      </c>
      <c r="F1274" t="s">
        <v>12</v>
      </c>
      <c r="G1274" t="s">
        <v>13</v>
      </c>
      <c r="H1274" t="s">
        <v>13</v>
      </c>
      <c r="I1274">
        <v>33</v>
      </c>
      <c r="J1274">
        <f>ABS((I1274-EDA!$A$15)/EDA!$B$15)</f>
        <v>0.63373765783552027</v>
      </c>
      <c r="K1274" t="str">
        <f t="shared" si="19"/>
        <v>No</v>
      </c>
      <c r="L1274">
        <f>ABS((C1274-EDA!$F$15)/EDA!$G$15)</f>
        <v>3.5094828384364423</v>
      </c>
      <c r="M1274" t="str">
        <f>IF(moras[[#This Row],[Z-Score Salario]]&gt;1.96, "Sí", "No")</f>
        <v>Sí</v>
      </c>
      <c r="N1274" s="14">
        <f>IF(ISBLANK(moras[[#This Row],[SALARIO]]), EDA!$M$8, moras[[#This Row],[SALARIO]])</f>
        <v>233471875</v>
      </c>
      <c r="O1274" s="14">
        <f xml:space="preserve"> IF(ISBLANK(moras[[#This Row],[EDAD]]), EDA!$E$8, moras[[#This Row],[EDAD]])</f>
        <v>33</v>
      </c>
      <c r="P1274" s="14" t="str">
        <f>IF(
    OR(ISBLANK(moras[[#This Row],[TIPO_ASEGURAMIENTO]]), moras[[#This Row],[TIPO_ASEGURAMIENTO]]=""),
    EDA!$A$32,
    moras[[#This Row],[TIPO_ASEGURAMIENTO]]
)</f>
        <v>ASALARIADO</v>
      </c>
    </row>
    <row r="1275" spans="1:16" x14ac:dyDescent="0.3">
      <c r="A1275">
        <v>1274</v>
      </c>
      <c r="B1275" t="s">
        <v>15</v>
      </c>
      <c r="C1275">
        <v>17204453</v>
      </c>
      <c r="D1275" t="s">
        <v>10</v>
      </c>
      <c r="E1275" t="s">
        <v>11</v>
      </c>
      <c r="F1275" t="s">
        <v>12</v>
      </c>
      <c r="G1275" t="s">
        <v>13</v>
      </c>
      <c r="H1275" t="s">
        <v>13</v>
      </c>
      <c r="I1275">
        <v>43</v>
      </c>
      <c r="J1275">
        <f>ABS((I1275-EDA!$A$15)/EDA!$B$15)</f>
        <v>7.2015642935854773E-2</v>
      </c>
      <c r="K1275" t="str">
        <f t="shared" si="19"/>
        <v>No</v>
      </c>
      <c r="L1275">
        <f>ABS((C1275-EDA!$F$15)/EDA!$G$15)</f>
        <v>8.9359729454599648E-2</v>
      </c>
      <c r="M1275" t="str">
        <f>IF(moras[[#This Row],[Z-Score Salario]]&gt;1.96, "Sí", "No")</f>
        <v>No</v>
      </c>
      <c r="N1275" s="14">
        <f>IF(ISBLANK(moras[[#This Row],[SALARIO]]), EDA!$M$8, moras[[#This Row],[SALARIO]])</f>
        <v>17204453</v>
      </c>
      <c r="O1275" s="14">
        <f xml:space="preserve"> IF(ISBLANK(moras[[#This Row],[EDAD]]), EDA!$E$8, moras[[#This Row],[EDAD]])</f>
        <v>43</v>
      </c>
      <c r="P1275" s="14" t="str">
        <f>IF(
    OR(ISBLANK(moras[[#This Row],[TIPO_ASEGURAMIENTO]]), moras[[#This Row],[TIPO_ASEGURAMIENTO]]=""),
    EDA!$A$32,
    moras[[#This Row],[TIPO_ASEGURAMIENTO]]
)</f>
        <v>ASALARIADO</v>
      </c>
    </row>
    <row r="1276" spans="1:16" x14ac:dyDescent="0.3">
      <c r="A1276">
        <v>1275</v>
      </c>
      <c r="B1276" t="s">
        <v>15</v>
      </c>
      <c r="C1276">
        <v>54228148</v>
      </c>
      <c r="D1276" t="s">
        <v>10</v>
      </c>
      <c r="E1276" t="s">
        <v>16</v>
      </c>
      <c r="F1276" t="s">
        <v>12</v>
      </c>
      <c r="G1276" t="s">
        <v>13</v>
      </c>
      <c r="H1276" t="s">
        <v>13</v>
      </c>
      <c r="I1276">
        <v>36</v>
      </c>
      <c r="J1276">
        <f>ABS((I1276-EDA!$A$15)/EDA!$B$15)</f>
        <v>0.42201166760410774</v>
      </c>
      <c r="K1276" t="str">
        <f t="shared" si="19"/>
        <v>No</v>
      </c>
      <c r="L1276">
        <f>ABS((C1276-EDA!$F$15)/EDA!$G$15)</f>
        <v>0.52674069082328545</v>
      </c>
      <c r="M1276" t="str">
        <f>IF(moras[[#This Row],[Z-Score Salario]]&gt;1.96, "Sí", "No")</f>
        <v>No</v>
      </c>
      <c r="N1276" s="14">
        <f>IF(ISBLANK(moras[[#This Row],[SALARIO]]), EDA!$M$8, moras[[#This Row],[SALARIO]])</f>
        <v>54228148</v>
      </c>
      <c r="O1276" s="14">
        <f xml:space="preserve"> IF(ISBLANK(moras[[#This Row],[EDAD]]), EDA!$E$8, moras[[#This Row],[EDAD]])</f>
        <v>36</v>
      </c>
      <c r="P1276" s="14" t="str">
        <f>IF(
    OR(ISBLANK(moras[[#This Row],[TIPO_ASEGURAMIENTO]]), moras[[#This Row],[TIPO_ASEGURAMIENTO]]=""),
    EDA!$A$32,
    moras[[#This Row],[TIPO_ASEGURAMIENTO]]
)</f>
        <v>ASALARIADO</v>
      </c>
    </row>
    <row r="1277" spans="1:16" x14ac:dyDescent="0.3">
      <c r="A1277">
        <v>1276</v>
      </c>
      <c r="B1277" t="s">
        <v>9</v>
      </c>
      <c r="C1277">
        <v>48647039</v>
      </c>
      <c r="D1277" t="s">
        <v>10</v>
      </c>
      <c r="E1277" t="s">
        <v>16</v>
      </c>
      <c r="F1277" t="s">
        <v>12</v>
      </c>
      <c r="G1277" t="s">
        <v>13</v>
      </c>
      <c r="H1277" t="s">
        <v>13</v>
      </c>
      <c r="I1277">
        <v>69</v>
      </c>
      <c r="J1277">
        <f>ABS((I1277-EDA!$A$15)/EDA!$B$15)</f>
        <v>1.9069742249414299</v>
      </c>
      <c r="K1277" t="str">
        <f t="shared" si="19"/>
        <v>No</v>
      </c>
      <c r="L1277">
        <f>ABS((C1277-EDA!$F$15)/EDA!$G$15)</f>
        <v>0.43386709729036854</v>
      </c>
      <c r="M1277" t="str">
        <f>IF(moras[[#This Row],[Z-Score Salario]]&gt;1.96, "Sí", "No")</f>
        <v>No</v>
      </c>
      <c r="N1277" s="14">
        <f>IF(ISBLANK(moras[[#This Row],[SALARIO]]), EDA!$M$8, moras[[#This Row],[SALARIO]])</f>
        <v>48647039</v>
      </c>
      <c r="O1277" s="14">
        <f xml:space="preserve"> IF(ISBLANK(moras[[#This Row],[EDAD]]), EDA!$E$8, moras[[#This Row],[EDAD]])</f>
        <v>69</v>
      </c>
      <c r="P1277" s="14" t="str">
        <f>IF(
    OR(ISBLANK(moras[[#This Row],[TIPO_ASEGURAMIENTO]]), moras[[#This Row],[TIPO_ASEGURAMIENTO]]=""),
    EDA!$A$32,
    moras[[#This Row],[TIPO_ASEGURAMIENTO]]
)</f>
        <v>ASALARIADO</v>
      </c>
    </row>
    <row r="1278" spans="1:16" x14ac:dyDescent="0.3">
      <c r="A1278">
        <v>1277</v>
      </c>
      <c r="B1278" t="s">
        <v>9</v>
      </c>
      <c r="C1278">
        <v>170502</v>
      </c>
      <c r="D1278" t="s">
        <v>10</v>
      </c>
      <c r="E1278" t="s">
        <v>16</v>
      </c>
      <c r="F1278" t="s">
        <v>12</v>
      </c>
      <c r="G1278" t="s">
        <v>12</v>
      </c>
      <c r="H1278" t="s">
        <v>12</v>
      </c>
      <c r="I1278">
        <v>52</v>
      </c>
      <c r="J1278">
        <f>ABS((I1278-EDA!$A$15)/EDA!$B$15)</f>
        <v>0.70719361363009237</v>
      </c>
      <c r="K1278" t="str">
        <f t="shared" si="19"/>
        <v>No</v>
      </c>
      <c r="L1278">
        <f>ABS((C1278-EDA!$F$15)/EDA!$G$15)</f>
        <v>0.37281669856837668</v>
      </c>
      <c r="M1278" t="str">
        <f>IF(moras[[#This Row],[Z-Score Salario]]&gt;1.96, "Sí", "No")</f>
        <v>No</v>
      </c>
      <c r="N1278" s="14">
        <f>IF(ISBLANK(moras[[#This Row],[SALARIO]]), EDA!$M$8, moras[[#This Row],[SALARIO]])</f>
        <v>170502</v>
      </c>
      <c r="O1278" s="14">
        <f xml:space="preserve"> IF(ISBLANK(moras[[#This Row],[EDAD]]), EDA!$E$8, moras[[#This Row],[EDAD]])</f>
        <v>52</v>
      </c>
      <c r="P1278" s="14" t="str">
        <f>IF(
    OR(ISBLANK(moras[[#This Row],[TIPO_ASEGURAMIENTO]]), moras[[#This Row],[TIPO_ASEGURAMIENTO]]=""),
    EDA!$A$32,
    moras[[#This Row],[TIPO_ASEGURAMIENTO]]
)</f>
        <v>ASALARIADO</v>
      </c>
    </row>
    <row r="1279" spans="1:16" x14ac:dyDescent="0.3">
      <c r="A1279">
        <v>1278</v>
      </c>
      <c r="B1279" t="s">
        <v>9</v>
      </c>
      <c r="C1279">
        <v>762500</v>
      </c>
      <c r="D1279" t="s">
        <v>10</v>
      </c>
      <c r="E1279" t="s">
        <v>16</v>
      </c>
      <c r="F1279" t="s">
        <v>12</v>
      </c>
      <c r="G1279" t="s">
        <v>13</v>
      </c>
      <c r="H1279" t="s">
        <v>13</v>
      </c>
      <c r="I1279">
        <v>38</v>
      </c>
      <c r="J1279">
        <f>ABS((I1279-EDA!$A$15)/EDA!$B$15)</f>
        <v>0.28086100744983278</v>
      </c>
      <c r="K1279" t="str">
        <f t="shared" si="19"/>
        <v>No</v>
      </c>
      <c r="L1279">
        <f>ABS((C1279-EDA!$F$15)/EDA!$G$15)</f>
        <v>0.36296543394976777</v>
      </c>
      <c r="M1279" t="str">
        <f>IF(moras[[#This Row],[Z-Score Salario]]&gt;1.96, "Sí", "No")</f>
        <v>No</v>
      </c>
      <c r="N1279" s="14">
        <f>IF(ISBLANK(moras[[#This Row],[SALARIO]]), EDA!$M$8, moras[[#This Row],[SALARIO]])</f>
        <v>762500</v>
      </c>
      <c r="O1279" s="14">
        <f xml:space="preserve"> IF(ISBLANK(moras[[#This Row],[EDAD]]), EDA!$E$8, moras[[#This Row],[EDAD]])</f>
        <v>38</v>
      </c>
      <c r="P1279" s="14" t="str">
        <f>IF(
    OR(ISBLANK(moras[[#This Row],[TIPO_ASEGURAMIENTO]]), moras[[#This Row],[TIPO_ASEGURAMIENTO]]=""),
    EDA!$A$32,
    moras[[#This Row],[TIPO_ASEGURAMIENTO]]
)</f>
        <v>ASALARIADO</v>
      </c>
    </row>
    <row r="1280" spans="1:16" x14ac:dyDescent="0.3">
      <c r="A1280">
        <v>1279</v>
      </c>
      <c r="B1280" t="s">
        <v>9</v>
      </c>
      <c r="C1280">
        <v>282305</v>
      </c>
      <c r="D1280" t="s">
        <v>17</v>
      </c>
      <c r="E1280" t="s">
        <v>16</v>
      </c>
      <c r="F1280" t="s">
        <v>12</v>
      </c>
      <c r="G1280" t="s">
        <v>12</v>
      </c>
      <c r="H1280" t="s">
        <v>13</v>
      </c>
      <c r="I1280">
        <v>45</v>
      </c>
      <c r="J1280">
        <f>ABS((I1280-EDA!$A$15)/EDA!$B$15)</f>
        <v>0.21316630309012977</v>
      </c>
      <c r="K1280" t="str">
        <f t="shared" si="19"/>
        <v>No</v>
      </c>
      <c r="L1280">
        <f>ABS((C1280-EDA!$F$15)/EDA!$G$15)</f>
        <v>0.37095621772527526</v>
      </c>
      <c r="M1280" t="str">
        <f>IF(moras[[#This Row],[Z-Score Salario]]&gt;1.96, "Sí", "No")</f>
        <v>No</v>
      </c>
      <c r="N1280" s="14">
        <f>IF(ISBLANK(moras[[#This Row],[SALARIO]]), EDA!$M$8, moras[[#This Row],[SALARIO]])</f>
        <v>282305</v>
      </c>
      <c r="O1280" s="14">
        <f xml:space="preserve"> IF(ISBLANK(moras[[#This Row],[EDAD]]), EDA!$E$8, moras[[#This Row],[EDAD]])</f>
        <v>45</v>
      </c>
      <c r="P1280" s="14" t="str">
        <f>IF(
    OR(ISBLANK(moras[[#This Row],[TIPO_ASEGURAMIENTO]]), moras[[#This Row],[TIPO_ASEGURAMIENTO]]=""),
    EDA!$A$32,
    moras[[#This Row],[TIPO_ASEGURAMIENTO]]
)</f>
        <v>ASEGURADO VOLUNTARIO</v>
      </c>
    </row>
    <row r="1281" spans="1:16" x14ac:dyDescent="0.3">
      <c r="A1281">
        <v>1280</v>
      </c>
      <c r="B1281" t="s">
        <v>9</v>
      </c>
      <c r="C1281">
        <v>297045</v>
      </c>
      <c r="D1281" t="s">
        <v>17</v>
      </c>
      <c r="E1281" t="s">
        <v>16</v>
      </c>
      <c r="F1281" t="s">
        <v>12</v>
      </c>
      <c r="G1281" t="s">
        <v>13</v>
      </c>
      <c r="H1281" t="s">
        <v>13</v>
      </c>
      <c r="I1281">
        <v>42</v>
      </c>
      <c r="J1281">
        <f>ABS((I1281-EDA!$A$15)/EDA!$B$15)</f>
        <v>1.4403128587172659E-3</v>
      </c>
      <c r="K1281" t="str">
        <f t="shared" si="19"/>
        <v>No</v>
      </c>
      <c r="L1281">
        <f>ABS((C1281-EDA!$F$15)/EDA!$G$15)</f>
        <v>0.37071093372012948</v>
      </c>
      <c r="M1281" t="str">
        <f>IF(moras[[#This Row],[Z-Score Salario]]&gt;1.96, "Sí", "No")</f>
        <v>No</v>
      </c>
      <c r="N1281" s="14">
        <f>IF(ISBLANK(moras[[#This Row],[SALARIO]]), EDA!$M$8, moras[[#This Row],[SALARIO]])</f>
        <v>297045</v>
      </c>
      <c r="O1281" s="14">
        <f xml:space="preserve"> IF(ISBLANK(moras[[#This Row],[EDAD]]), EDA!$E$8, moras[[#This Row],[EDAD]])</f>
        <v>42</v>
      </c>
      <c r="P1281" s="14" t="str">
        <f>IF(
    OR(ISBLANK(moras[[#This Row],[TIPO_ASEGURAMIENTO]]), moras[[#This Row],[TIPO_ASEGURAMIENTO]]=""),
    EDA!$A$32,
    moras[[#This Row],[TIPO_ASEGURAMIENTO]]
)</f>
        <v>ASEGURADO VOLUNTARIO</v>
      </c>
    </row>
    <row r="1282" spans="1:16" x14ac:dyDescent="0.3">
      <c r="A1282">
        <v>1281</v>
      </c>
      <c r="B1282" t="s">
        <v>15</v>
      </c>
      <c r="C1282">
        <v>40022896</v>
      </c>
      <c r="D1282" t="s">
        <v>10</v>
      </c>
      <c r="E1282" t="s">
        <v>16</v>
      </c>
      <c r="F1282" t="s">
        <v>12</v>
      </c>
      <c r="G1282" t="s">
        <v>13</v>
      </c>
      <c r="H1282" t="s">
        <v>13</v>
      </c>
      <c r="I1282">
        <v>44</v>
      </c>
      <c r="J1282">
        <f>ABS((I1282-EDA!$A$15)/EDA!$B$15)</f>
        <v>0.14259097301299228</v>
      </c>
      <c r="K1282" t="str">
        <f t="shared" ref="K1282:K1345" si="20">IF(J1282 &gt;  1.96, "Sí","No")</f>
        <v>No</v>
      </c>
      <c r="L1282">
        <f>ABS((C1282-EDA!$F$15)/EDA!$G$15)</f>
        <v>0.29035526988263466</v>
      </c>
      <c r="M1282" t="str">
        <f>IF(moras[[#This Row],[Z-Score Salario]]&gt;1.96, "Sí", "No")</f>
        <v>No</v>
      </c>
      <c r="N1282" s="14">
        <f>IF(ISBLANK(moras[[#This Row],[SALARIO]]), EDA!$M$8, moras[[#This Row],[SALARIO]])</f>
        <v>40022896</v>
      </c>
      <c r="O1282" s="14">
        <f xml:space="preserve"> IF(ISBLANK(moras[[#This Row],[EDAD]]), EDA!$E$8, moras[[#This Row],[EDAD]])</f>
        <v>44</v>
      </c>
      <c r="P1282" s="14" t="str">
        <f>IF(
    OR(ISBLANK(moras[[#This Row],[TIPO_ASEGURAMIENTO]]), moras[[#This Row],[TIPO_ASEGURAMIENTO]]=""),
    EDA!$A$32,
    moras[[#This Row],[TIPO_ASEGURAMIENTO]]
)</f>
        <v>ASALARIADO</v>
      </c>
    </row>
    <row r="1283" spans="1:16" x14ac:dyDescent="0.3">
      <c r="A1283">
        <v>1282</v>
      </c>
      <c r="B1283" t="s">
        <v>9</v>
      </c>
      <c r="C1283">
        <v>49001349</v>
      </c>
      <c r="D1283" t="s">
        <v>10</v>
      </c>
      <c r="E1283" t="s">
        <v>16</v>
      </c>
      <c r="F1283" t="s">
        <v>12</v>
      </c>
      <c r="G1283" t="s">
        <v>12</v>
      </c>
      <c r="H1283" t="s">
        <v>13</v>
      </c>
      <c r="I1283">
        <v>40</v>
      </c>
      <c r="J1283">
        <f>ABS((I1283-EDA!$A$15)/EDA!$B$15)</f>
        <v>0.13971034729555773</v>
      </c>
      <c r="K1283" t="str">
        <f t="shared" si="20"/>
        <v>No</v>
      </c>
      <c r="L1283">
        <f>ABS((C1283-EDA!$F$15)/EDA!$G$15)</f>
        <v>0.4397630658021191</v>
      </c>
      <c r="M1283" t="str">
        <f>IF(moras[[#This Row],[Z-Score Salario]]&gt;1.96, "Sí", "No")</f>
        <v>No</v>
      </c>
      <c r="N1283" s="14">
        <f>IF(ISBLANK(moras[[#This Row],[SALARIO]]), EDA!$M$8, moras[[#This Row],[SALARIO]])</f>
        <v>49001349</v>
      </c>
      <c r="O1283" s="14">
        <f xml:space="preserve"> IF(ISBLANK(moras[[#This Row],[EDAD]]), EDA!$E$8, moras[[#This Row],[EDAD]])</f>
        <v>40</v>
      </c>
      <c r="P1283" s="14" t="str">
        <f>IF(
    OR(ISBLANK(moras[[#This Row],[TIPO_ASEGURAMIENTO]]), moras[[#This Row],[TIPO_ASEGURAMIENTO]]=""),
    EDA!$A$32,
    moras[[#This Row],[TIPO_ASEGURAMIENTO]]
)</f>
        <v>ASALARIADO</v>
      </c>
    </row>
    <row r="1284" spans="1:16" x14ac:dyDescent="0.3">
      <c r="A1284">
        <v>1283</v>
      </c>
      <c r="B1284" t="s">
        <v>9</v>
      </c>
      <c r="C1284">
        <v>34339157</v>
      </c>
      <c r="D1284" t="s">
        <v>10</v>
      </c>
      <c r="E1284" t="s">
        <v>16</v>
      </c>
      <c r="F1284" t="s">
        <v>12</v>
      </c>
      <c r="G1284" t="s">
        <v>13</v>
      </c>
      <c r="H1284" t="s">
        <v>13</v>
      </c>
      <c r="I1284">
        <v>36</v>
      </c>
      <c r="J1284">
        <f>ABS((I1284-EDA!$A$15)/EDA!$B$15)</f>
        <v>0.42201166760410774</v>
      </c>
      <c r="K1284" t="str">
        <f t="shared" si="20"/>
        <v>No</v>
      </c>
      <c r="L1284">
        <f>ABS((C1284-EDA!$F$15)/EDA!$G$15)</f>
        <v>0.19577384070194898</v>
      </c>
      <c r="M1284" t="str">
        <f>IF(moras[[#This Row],[Z-Score Salario]]&gt;1.96, "Sí", "No")</f>
        <v>No</v>
      </c>
      <c r="N1284" s="14">
        <f>IF(ISBLANK(moras[[#This Row],[SALARIO]]), EDA!$M$8, moras[[#This Row],[SALARIO]])</f>
        <v>34339157</v>
      </c>
      <c r="O1284" s="14">
        <f xml:space="preserve"> IF(ISBLANK(moras[[#This Row],[EDAD]]), EDA!$E$8, moras[[#This Row],[EDAD]])</f>
        <v>36</v>
      </c>
      <c r="P1284" s="14" t="str">
        <f>IF(
    OR(ISBLANK(moras[[#This Row],[TIPO_ASEGURAMIENTO]]), moras[[#This Row],[TIPO_ASEGURAMIENTO]]=""),
    EDA!$A$32,
    moras[[#This Row],[TIPO_ASEGURAMIENTO]]
)</f>
        <v>ASALARIADO</v>
      </c>
    </row>
    <row r="1285" spans="1:16" x14ac:dyDescent="0.3">
      <c r="A1285">
        <v>1284</v>
      </c>
      <c r="B1285" t="s">
        <v>15</v>
      </c>
      <c r="C1285">
        <v>332161</v>
      </c>
      <c r="D1285" t="s">
        <v>17</v>
      </c>
      <c r="E1285" t="s">
        <v>16</v>
      </c>
      <c r="F1285" t="s">
        <v>12</v>
      </c>
      <c r="G1285" t="s">
        <v>12</v>
      </c>
      <c r="H1285" t="s">
        <v>13</v>
      </c>
      <c r="I1285">
        <v>40</v>
      </c>
      <c r="J1285">
        <f>ABS((I1285-EDA!$A$15)/EDA!$B$15)</f>
        <v>0.13971034729555773</v>
      </c>
      <c r="K1285" t="str">
        <f t="shared" si="20"/>
        <v>No</v>
      </c>
      <c r="L1285">
        <f>ABS((C1285-EDA!$F$15)/EDA!$G$15)</f>
        <v>0.37012657869131677</v>
      </c>
      <c r="M1285" t="str">
        <f>IF(moras[[#This Row],[Z-Score Salario]]&gt;1.96, "Sí", "No")</f>
        <v>No</v>
      </c>
      <c r="N1285" s="14">
        <f>IF(ISBLANK(moras[[#This Row],[SALARIO]]), EDA!$M$8, moras[[#This Row],[SALARIO]])</f>
        <v>332161</v>
      </c>
      <c r="O1285" s="14">
        <f xml:space="preserve"> IF(ISBLANK(moras[[#This Row],[EDAD]]), EDA!$E$8, moras[[#This Row],[EDAD]])</f>
        <v>40</v>
      </c>
      <c r="P1285" s="14" t="str">
        <f>IF(
    OR(ISBLANK(moras[[#This Row],[TIPO_ASEGURAMIENTO]]), moras[[#This Row],[TIPO_ASEGURAMIENTO]]=""),
    EDA!$A$32,
    moras[[#This Row],[TIPO_ASEGURAMIENTO]]
)</f>
        <v>ASEGURADO VOLUNTARIO</v>
      </c>
    </row>
    <row r="1286" spans="1:16" x14ac:dyDescent="0.3">
      <c r="A1286">
        <v>1285</v>
      </c>
      <c r="B1286" t="s">
        <v>9</v>
      </c>
      <c r="C1286">
        <v>108333699</v>
      </c>
      <c r="D1286" t="s">
        <v>10</v>
      </c>
      <c r="E1286" t="s">
        <v>16</v>
      </c>
      <c r="F1286" t="s">
        <v>12</v>
      </c>
      <c r="G1286" t="s">
        <v>12</v>
      </c>
      <c r="H1286" t="s">
        <v>13</v>
      </c>
      <c r="I1286">
        <v>48</v>
      </c>
      <c r="J1286">
        <f>ABS((I1286-EDA!$A$15)/EDA!$B$15)</f>
        <v>0.42489229332154227</v>
      </c>
      <c r="K1286" t="str">
        <f t="shared" si="20"/>
        <v>No</v>
      </c>
      <c r="L1286">
        <f>ABS((C1286-EDA!$F$15)/EDA!$G$15)</f>
        <v>1.4270952532316712</v>
      </c>
      <c r="M1286" t="str">
        <f>IF(moras[[#This Row],[Z-Score Salario]]&gt;1.96, "Sí", "No")</f>
        <v>No</v>
      </c>
      <c r="N1286" s="14">
        <f>IF(ISBLANK(moras[[#This Row],[SALARIO]]), EDA!$M$8, moras[[#This Row],[SALARIO]])</f>
        <v>108333699</v>
      </c>
      <c r="O1286" s="14">
        <f xml:space="preserve"> IF(ISBLANK(moras[[#This Row],[EDAD]]), EDA!$E$8, moras[[#This Row],[EDAD]])</f>
        <v>48</v>
      </c>
      <c r="P1286" s="14" t="str">
        <f>IF(
    OR(ISBLANK(moras[[#This Row],[TIPO_ASEGURAMIENTO]]), moras[[#This Row],[TIPO_ASEGURAMIENTO]]=""),
    EDA!$A$32,
    moras[[#This Row],[TIPO_ASEGURAMIENTO]]
)</f>
        <v>ASALARIADO</v>
      </c>
    </row>
    <row r="1287" spans="1:16" x14ac:dyDescent="0.3">
      <c r="A1287">
        <v>1286</v>
      </c>
      <c r="B1287" t="s">
        <v>9</v>
      </c>
      <c r="C1287">
        <v>28908333</v>
      </c>
      <c r="D1287" t="s">
        <v>10</v>
      </c>
      <c r="E1287" t="s">
        <v>16</v>
      </c>
      <c r="F1287" t="s">
        <v>12</v>
      </c>
      <c r="G1287" t="s">
        <v>13</v>
      </c>
      <c r="H1287" t="s">
        <v>13</v>
      </c>
      <c r="I1287">
        <v>26</v>
      </c>
      <c r="J1287">
        <f>ABS((I1287-EDA!$A$15)/EDA!$B$15)</f>
        <v>1.1277649683754829</v>
      </c>
      <c r="K1287" t="str">
        <f t="shared" si="20"/>
        <v>No</v>
      </c>
      <c r="L1287">
        <f>ABS((C1287-EDA!$F$15)/EDA!$G$15)</f>
        <v>0.10540109565704665</v>
      </c>
      <c r="M1287" t="str">
        <f>IF(moras[[#This Row],[Z-Score Salario]]&gt;1.96, "Sí", "No")</f>
        <v>No</v>
      </c>
      <c r="N1287" s="14">
        <f>IF(ISBLANK(moras[[#This Row],[SALARIO]]), EDA!$M$8, moras[[#This Row],[SALARIO]])</f>
        <v>28908333</v>
      </c>
      <c r="O1287" s="14">
        <f xml:space="preserve"> IF(ISBLANK(moras[[#This Row],[EDAD]]), EDA!$E$8, moras[[#This Row],[EDAD]])</f>
        <v>26</v>
      </c>
      <c r="P1287" s="14" t="str">
        <f>IF(
    OR(ISBLANK(moras[[#This Row],[TIPO_ASEGURAMIENTO]]), moras[[#This Row],[TIPO_ASEGURAMIENTO]]=""),
    EDA!$A$32,
    moras[[#This Row],[TIPO_ASEGURAMIENTO]]
)</f>
        <v>ASALARIADO</v>
      </c>
    </row>
    <row r="1288" spans="1:16" x14ac:dyDescent="0.3">
      <c r="A1288">
        <v>1287</v>
      </c>
      <c r="B1288" t="s">
        <v>15</v>
      </c>
      <c r="C1288">
        <v>37763482</v>
      </c>
      <c r="D1288" t="s">
        <v>10</v>
      </c>
      <c r="E1288" t="s">
        <v>16</v>
      </c>
      <c r="F1288" t="s">
        <v>12</v>
      </c>
      <c r="G1288" t="s">
        <v>13</v>
      </c>
      <c r="H1288" t="s">
        <v>13</v>
      </c>
      <c r="I1288">
        <v>23</v>
      </c>
      <c r="J1288">
        <f>ABS((I1288-EDA!$A$15)/EDA!$B$15)</f>
        <v>1.3394909586068953</v>
      </c>
      <c r="K1288" t="str">
        <f t="shared" si="20"/>
        <v>No</v>
      </c>
      <c r="L1288">
        <f>ABS((C1288-EDA!$F$15)/EDA!$G$15)</f>
        <v>0.2527570259747336</v>
      </c>
      <c r="M1288" t="str">
        <f>IF(moras[[#This Row],[Z-Score Salario]]&gt;1.96, "Sí", "No")</f>
        <v>No</v>
      </c>
      <c r="N1288" s="14">
        <f>IF(ISBLANK(moras[[#This Row],[SALARIO]]), EDA!$M$8, moras[[#This Row],[SALARIO]])</f>
        <v>37763482</v>
      </c>
      <c r="O1288" s="14">
        <f xml:space="preserve"> IF(ISBLANK(moras[[#This Row],[EDAD]]), EDA!$E$8, moras[[#This Row],[EDAD]])</f>
        <v>23</v>
      </c>
      <c r="P1288" s="14" t="str">
        <f>IF(
    OR(ISBLANK(moras[[#This Row],[TIPO_ASEGURAMIENTO]]), moras[[#This Row],[TIPO_ASEGURAMIENTO]]=""),
    EDA!$A$32,
    moras[[#This Row],[TIPO_ASEGURAMIENTO]]
)</f>
        <v>ASALARIADO</v>
      </c>
    </row>
    <row r="1289" spans="1:16" x14ac:dyDescent="0.3">
      <c r="A1289">
        <v>1288</v>
      </c>
      <c r="B1289" t="s">
        <v>9</v>
      </c>
      <c r="C1289">
        <v>278030</v>
      </c>
      <c r="D1289" t="s">
        <v>19</v>
      </c>
      <c r="E1289" t="s">
        <v>16</v>
      </c>
      <c r="F1289" t="s">
        <v>12</v>
      </c>
      <c r="G1289" t="s">
        <v>13</v>
      </c>
      <c r="H1289" t="s">
        <v>13</v>
      </c>
      <c r="I1289">
        <v>56</v>
      </c>
      <c r="J1289">
        <f>ABS((I1289-EDA!$A$15)/EDA!$B$15)</f>
        <v>0.9894949339386423</v>
      </c>
      <c r="K1289" t="str">
        <f t="shared" si="20"/>
        <v>No</v>
      </c>
      <c r="L1289">
        <f>ABS((C1289-EDA!$F$15)/EDA!$G$15)</f>
        <v>0.37102735674304993</v>
      </c>
      <c r="M1289" t="str">
        <f>IF(moras[[#This Row],[Z-Score Salario]]&gt;1.96, "Sí", "No")</f>
        <v>No</v>
      </c>
      <c r="N1289" s="14">
        <f>IF(ISBLANK(moras[[#This Row],[SALARIO]]), EDA!$M$8, moras[[#This Row],[SALARIO]])</f>
        <v>278030</v>
      </c>
      <c r="O1289" s="14">
        <f xml:space="preserve"> IF(ISBLANK(moras[[#This Row],[EDAD]]), EDA!$E$8, moras[[#This Row],[EDAD]])</f>
        <v>56</v>
      </c>
      <c r="P1289" s="14" t="str">
        <f>IF(
    OR(ISBLANK(moras[[#This Row],[TIPO_ASEGURAMIENTO]]), moras[[#This Row],[TIPO_ASEGURAMIENTO]]=""),
    EDA!$A$32,
    moras[[#This Row],[TIPO_ASEGURAMIENTO]]
)</f>
        <v>CONVENIOS ESPECIALES DE TRABAJADORES INDEPENDIENTES</v>
      </c>
    </row>
    <row r="1290" spans="1:16" x14ac:dyDescent="0.3">
      <c r="A1290">
        <v>1289</v>
      </c>
      <c r="B1290" t="s">
        <v>15</v>
      </c>
      <c r="C1290">
        <v>297046</v>
      </c>
      <c r="D1290" t="s">
        <v>18</v>
      </c>
      <c r="E1290" t="s">
        <v>16</v>
      </c>
      <c r="F1290" t="s">
        <v>12</v>
      </c>
      <c r="G1290" t="s">
        <v>13</v>
      </c>
      <c r="H1290" t="s">
        <v>13</v>
      </c>
      <c r="I1290">
        <v>40</v>
      </c>
      <c r="J1290">
        <f>ABS((I1290-EDA!$A$15)/EDA!$B$15)</f>
        <v>0.13971034729555773</v>
      </c>
      <c r="K1290" t="str">
        <f t="shared" si="20"/>
        <v>No</v>
      </c>
      <c r="L1290">
        <f>ABS((C1290-EDA!$F$15)/EDA!$G$15)</f>
        <v>0.37071091707942361</v>
      </c>
      <c r="M1290" t="str">
        <f>IF(moras[[#This Row],[Z-Score Salario]]&gt;1.96, "Sí", "No")</f>
        <v>No</v>
      </c>
      <c r="N1290" s="14">
        <f>IF(ISBLANK(moras[[#This Row],[SALARIO]]), EDA!$M$8, moras[[#This Row],[SALARIO]])</f>
        <v>297046</v>
      </c>
      <c r="O1290" s="14">
        <f xml:space="preserve"> IF(ISBLANK(moras[[#This Row],[EDAD]]), EDA!$E$8, moras[[#This Row],[EDAD]])</f>
        <v>40</v>
      </c>
      <c r="P1290" s="14" t="str">
        <f>IF(
    OR(ISBLANK(moras[[#This Row],[TIPO_ASEGURAMIENTO]]), moras[[#This Row],[TIPO_ASEGURAMIENTO]]=""),
    EDA!$A$32,
    moras[[#This Row],[TIPO_ASEGURAMIENTO]]
)</f>
        <v>TRABAJADOR INDEPENDIENTE</v>
      </c>
    </row>
    <row r="1291" spans="1:16" x14ac:dyDescent="0.3">
      <c r="A1291">
        <v>1290</v>
      </c>
      <c r="B1291" t="s">
        <v>9</v>
      </c>
      <c r="C1291">
        <v>382136</v>
      </c>
      <c r="D1291" t="s">
        <v>18</v>
      </c>
      <c r="E1291" t="s">
        <v>16</v>
      </c>
      <c r="F1291" t="s">
        <v>12</v>
      </c>
      <c r="G1291" t="s">
        <v>12</v>
      </c>
      <c r="H1291" t="s">
        <v>12</v>
      </c>
      <c r="I1291">
        <v>55</v>
      </c>
      <c r="J1291">
        <f>ABS((I1291-EDA!$A$15)/EDA!$B$15)</f>
        <v>0.91891960386150484</v>
      </c>
      <c r="K1291" t="str">
        <f t="shared" si="20"/>
        <v>No</v>
      </c>
      <c r="L1291">
        <f>ABS((C1291-EDA!$F$15)/EDA!$G$15)</f>
        <v>0.36929495941335472</v>
      </c>
      <c r="M1291" t="str">
        <f>IF(moras[[#This Row],[Z-Score Salario]]&gt;1.96, "Sí", "No")</f>
        <v>No</v>
      </c>
      <c r="N1291" s="14">
        <f>IF(ISBLANK(moras[[#This Row],[SALARIO]]), EDA!$M$8, moras[[#This Row],[SALARIO]])</f>
        <v>382136</v>
      </c>
      <c r="O1291" s="14">
        <f xml:space="preserve"> IF(ISBLANK(moras[[#This Row],[EDAD]]), EDA!$E$8, moras[[#This Row],[EDAD]])</f>
        <v>55</v>
      </c>
      <c r="P1291" s="14" t="str">
        <f>IF(
    OR(ISBLANK(moras[[#This Row],[TIPO_ASEGURAMIENTO]]), moras[[#This Row],[TIPO_ASEGURAMIENTO]]=""),
    EDA!$A$32,
    moras[[#This Row],[TIPO_ASEGURAMIENTO]]
)</f>
        <v>TRABAJADOR INDEPENDIENTE</v>
      </c>
    </row>
    <row r="1292" spans="1:16" x14ac:dyDescent="0.3">
      <c r="A1292">
        <v>1291</v>
      </c>
      <c r="B1292" t="s">
        <v>9</v>
      </c>
      <c r="C1292">
        <v>609030</v>
      </c>
      <c r="D1292" t="s">
        <v>18</v>
      </c>
      <c r="E1292" t="s">
        <v>16</v>
      </c>
      <c r="F1292" t="s">
        <v>12</v>
      </c>
      <c r="G1292" t="s">
        <v>13</v>
      </c>
      <c r="H1292" t="s">
        <v>12</v>
      </c>
      <c r="I1292">
        <v>57</v>
      </c>
      <c r="J1292">
        <f>ABS((I1292-EDA!$A$15)/EDA!$B$15)</f>
        <v>1.0600702640157798</v>
      </c>
      <c r="K1292" t="str">
        <f t="shared" si="20"/>
        <v>No</v>
      </c>
      <c r="L1292">
        <f>ABS((C1292-EDA!$F$15)/EDA!$G$15)</f>
        <v>0.36551928308611265</v>
      </c>
      <c r="M1292" t="str">
        <f>IF(moras[[#This Row],[Z-Score Salario]]&gt;1.96, "Sí", "No")</f>
        <v>No</v>
      </c>
      <c r="N1292" s="14">
        <f>IF(ISBLANK(moras[[#This Row],[SALARIO]]), EDA!$M$8, moras[[#This Row],[SALARIO]])</f>
        <v>609030</v>
      </c>
      <c r="O1292" s="14">
        <f xml:space="preserve"> IF(ISBLANK(moras[[#This Row],[EDAD]]), EDA!$E$8, moras[[#This Row],[EDAD]])</f>
        <v>57</v>
      </c>
      <c r="P1292" s="14" t="str">
        <f>IF(
    OR(ISBLANK(moras[[#This Row],[TIPO_ASEGURAMIENTO]]), moras[[#This Row],[TIPO_ASEGURAMIENTO]]=""),
    EDA!$A$32,
    moras[[#This Row],[TIPO_ASEGURAMIENTO]]
)</f>
        <v>TRABAJADOR INDEPENDIENTE</v>
      </c>
    </row>
    <row r="1293" spans="1:16" x14ac:dyDescent="0.3">
      <c r="A1293">
        <v>1292</v>
      </c>
      <c r="B1293" t="s">
        <v>9</v>
      </c>
      <c r="C1293">
        <v>465239</v>
      </c>
      <c r="D1293" t="s">
        <v>18</v>
      </c>
      <c r="E1293" t="s">
        <v>16</v>
      </c>
      <c r="F1293" t="s">
        <v>12</v>
      </c>
      <c r="G1293" t="s">
        <v>13</v>
      </c>
      <c r="H1293" t="s">
        <v>12</v>
      </c>
      <c r="I1293">
        <v>36</v>
      </c>
      <c r="J1293">
        <f>ABS((I1293-EDA!$A$15)/EDA!$B$15)</f>
        <v>0.42201166760410774</v>
      </c>
      <c r="K1293" t="str">
        <f t="shared" si="20"/>
        <v>No</v>
      </c>
      <c r="L1293">
        <f>ABS((C1293-EDA!$F$15)/EDA!$G$15)</f>
        <v>0.36791206682993338</v>
      </c>
      <c r="M1293" t="str">
        <f>IF(moras[[#This Row],[Z-Score Salario]]&gt;1.96, "Sí", "No")</f>
        <v>No</v>
      </c>
      <c r="N1293" s="14">
        <f>IF(ISBLANK(moras[[#This Row],[SALARIO]]), EDA!$M$8, moras[[#This Row],[SALARIO]])</f>
        <v>465239</v>
      </c>
      <c r="O1293" s="14">
        <f xml:space="preserve"> IF(ISBLANK(moras[[#This Row],[EDAD]]), EDA!$E$8, moras[[#This Row],[EDAD]])</f>
        <v>36</v>
      </c>
      <c r="P1293" s="14" t="str">
        <f>IF(
    OR(ISBLANK(moras[[#This Row],[TIPO_ASEGURAMIENTO]]), moras[[#This Row],[TIPO_ASEGURAMIENTO]]=""),
    EDA!$A$32,
    moras[[#This Row],[TIPO_ASEGURAMIENTO]]
)</f>
        <v>TRABAJADOR INDEPENDIENTE</v>
      </c>
    </row>
    <row r="1294" spans="1:16" x14ac:dyDescent="0.3">
      <c r="A1294">
        <v>1293</v>
      </c>
      <c r="B1294" t="s">
        <v>9</v>
      </c>
      <c r="C1294">
        <v>44924384</v>
      </c>
      <c r="D1294" t="s">
        <v>10</v>
      </c>
      <c r="E1294" t="s">
        <v>16</v>
      </c>
      <c r="F1294" t="s">
        <v>12</v>
      </c>
      <c r="G1294" t="s">
        <v>13</v>
      </c>
      <c r="H1294" t="s">
        <v>13</v>
      </c>
      <c r="I1294">
        <v>34</v>
      </c>
      <c r="J1294">
        <f>ABS((I1294-EDA!$A$15)/EDA!$B$15)</f>
        <v>0.56316232775838282</v>
      </c>
      <c r="K1294" t="str">
        <f t="shared" si="20"/>
        <v>No</v>
      </c>
      <c r="L1294">
        <f>ABS((C1294-EDA!$F$15)/EDA!$G$15)</f>
        <v>0.37191949022279819</v>
      </c>
      <c r="M1294" t="str">
        <f>IF(moras[[#This Row],[Z-Score Salario]]&gt;1.96, "Sí", "No")</f>
        <v>No</v>
      </c>
      <c r="N1294" s="14">
        <f>IF(ISBLANK(moras[[#This Row],[SALARIO]]), EDA!$M$8, moras[[#This Row],[SALARIO]])</f>
        <v>44924384</v>
      </c>
      <c r="O1294" s="14">
        <f xml:space="preserve"> IF(ISBLANK(moras[[#This Row],[EDAD]]), EDA!$E$8, moras[[#This Row],[EDAD]])</f>
        <v>34</v>
      </c>
      <c r="P1294" s="14" t="str">
        <f>IF(
    OR(ISBLANK(moras[[#This Row],[TIPO_ASEGURAMIENTO]]), moras[[#This Row],[TIPO_ASEGURAMIENTO]]=""),
    EDA!$A$32,
    moras[[#This Row],[TIPO_ASEGURAMIENTO]]
)</f>
        <v>ASALARIADO</v>
      </c>
    </row>
    <row r="1295" spans="1:16" x14ac:dyDescent="0.3">
      <c r="A1295">
        <v>1294</v>
      </c>
      <c r="B1295" t="s">
        <v>9</v>
      </c>
      <c r="C1295">
        <v>60000</v>
      </c>
      <c r="D1295" t="s">
        <v>10</v>
      </c>
      <c r="E1295" t="s">
        <v>16</v>
      </c>
      <c r="F1295" t="s">
        <v>12</v>
      </c>
      <c r="G1295" t="s">
        <v>13</v>
      </c>
      <c r="H1295" t="s">
        <v>12</v>
      </c>
      <c r="I1295">
        <v>18</v>
      </c>
      <c r="J1295">
        <f>ABS((I1295-EDA!$A$15)/EDA!$B$15)</f>
        <v>1.6923676089925828</v>
      </c>
      <c r="K1295" t="str">
        <f t="shared" si="20"/>
        <v>No</v>
      </c>
      <c r="L1295">
        <f>ABS((C1295-EDA!$F$15)/EDA!$G$15)</f>
        <v>0.37465552985308626</v>
      </c>
      <c r="M1295" t="str">
        <f>IF(moras[[#This Row],[Z-Score Salario]]&gt;1.96, "Sí", "No")</f>
        <v>No</v>
      </c>
      <c r="N1295" s="14">
        <f>IF(ISBLANK(moras[[#This Row],[SALARIO]]), EDA!$M$8, moras[[#This Row],[SALARIO]])</f>
        <v>60000</v>
      </c>
      <c r="O1295" s="14">
        <f xml:space="preserve"> IF(ISBLANK(moras[[#This Row],[EDAD]]), EDA!$E$8, moras[[#This Row],[EDAD]])</f>
        <v>18</v>
      </c>
      <c r="P1295" s="14" t="str">
        <f>IF(
    OR(ISBLANK(moras[[#This Row],[TIPO_ASEGURAMIENTO]]), moras[[#This Row],[TIPO_ASEGURAMIENTO]]=""),
    EDA!$A$32,
    moras[[#This Row],[TIPO_ASEGURAMIENTO]]
)</f>
        <v>ASALARIADO</v>
      </c>
    </row>
    <row r="1296" spans="1:16" x14ac:dyDescent="0.3">
      <c r="A1296">
        <v>1295</v>
      </c>
      <c r="B1296" t="s">
        <v>9</v>
      </c>
      <c r="C1296">
        <v>395499</v>
      </c>
      <c r="D1296" t="s">
        <v>10</v>
      </c>
      <c r="E1296" t="s">
        <v>16</v>
      </c>
      <c r="F1296" t="s">
        <v>12</v>
      </c>
      <c r="G1296" t="s">
        <v>13</v>
      </c>
      <c r="H1296" t="s">
        <v>13</v>
      </c>
      <c r="I1296">
        <v>27</v>
      </c>
      <c r="J1296">
        <f>ABS((I1296-EDA!$A$15)/EDA!$B$15)</f>
        <v>1.0571896382983452</v>
      </c>
      <c r="K1296" t="str">
        <f t="shared" si="20"/>
        <v>No</v>
      </c>
      <c r="L1296">
        <f>ABS((C1296-EDA!$F$15)/EDA!$G$15)</f>
        <v>0.36907258966025003</v>
      </c>
      <c r="M1296" t="str">
        <f>IF(moras[[#This Row],[Z-Score Salario]]&gt;1.96, "Sí", "No")</f>
        <v>No</v>
      </c>
      <c r="N1296" s="14">
        <f>IF(ISBLANK(moras[[#This Row],[SALARIO]]), EDA!$M$8, moras[[#This Row],[SALARIO]])</f>
        <v>395499</v>
      </c>
      <c r="O1296" s="14">
        <f xml:space="preserve"> IF(ISBLANK(moras[[#This Row],[EDAD]]), EDA!$E$8, moras[[#This Row],[EDAD]])</f>
        <v>27</v>
      </c>
      <c r="P1296" s="14" t="str">
        <f>IF(
    OR(ISBLANK(moras[[#This Row],[TIPO_ASEGURAMIENTO]]), moras[[#This Row],[TIPO_ASEGURAMIENTO]]=""),
    EDA!$A$32,
    moras[[#This Row],[TIPO_ASEGURAMIENTO]]
)</f>
        <v>ASALARIADO</v>
      </c>
    </row>
    <row r="1297" spans="1:16" x14ac:dyDescent="0.3">
      <c r="A1297">
        <v>1296</v>
      </c>
      <c r="B1297" t="s">
        <v>15</v>
      </c>
      <c r="C1297">
        <v>382136</v>
      </c>
      <c r="D1297" t="s">
        <v>18</v>
      </c>
      <c r="E1297" t="s">
        <v>16</v>
      </c>
      <c r="F1297" t="s">
        <v>12</v>
      </c>
      <c r="G1297" t="s">
        <v>13</v>
      </c>
      <c r="H1297" t="s">
        <v>12</v>
      </c>
      <c r="I1297">
        <v>62</v>
      </c>
      <c r="J1297">
        <f>ABS((I1297-EDA!$A$15)/EDA!$B$15)</f>
        <v>1.4129469144014672</v>
      </c>
      <c r="K1297" t="str">
        <f t="shared" si="20"/>
        <v>No</v>
      </c>
      <c r="L1297">
        <f>ABS((C1297-EDA!$F$15)/EDA!$G$15)</f>
        <v>0.36929495941335472</v>
      </c>
      <c r="M1297" t="str">
        <f>IF(moras[[#This Row],[Z-Score Salario]]&gt;1.96, "Sí", "No")</f>
        <v>No</v>
      </c>
      <c r="N1297" s="14">
        <f>IF(ISBLANK(moras[[#This Row],[SALARIO]]), EDA!$M$8, moras[[#This Row],[SALARIO]])</f>
        <v>382136</v>
      </c>
      <c r="O1297" s="14">
        <f xml:space="preserve"> IF(ISBLANK(moras[[#This Row],[EDAD]]), EDA!$E$8, moras[[#This Row],[EDAD]])</f>
        <v>62</v>
      </c>
      <c r="P1297" s="14" t="str">
        <f>IF(
    OR(ISBLANK(moras[[#This Row],[TIPO_ASEGURAMIENTO]]), moras[[#This Row],[TIPO_ASEGURAMIENTO]]=""),
    EDA!$A$32,
    moras[[#This Row],[TIPO_ASEGURAMIENTO]]
)</f>
        <v>TRABAJADOR INDEPENDIENTE</v>
      </c>
    </row>
    <row r="1298" spans="1:16" x14ac:dyDescent="0.3">
      <c r="A1298">
        <v>1297</v>
      </c>
      <c r="B1298" t="s">
        <v>15</v>
      </c>
      <c r="C1298">
        <v>558849</v>
      </c>
      <c r="D1298" t="s">
        <v>10</v>
      </c>
      <c r="E1298" t="s">
        <v>11</v>
      </c>
      <c r="F1298" t="s">
        <v>12</v>
      </c>
      <c r="G1298" t="s">
        <v>13</v>
      </c>
      <c r="H1298" t="s">
        <v>13</v>
      </c>
      <c r="I1298">
        <v>33</v>
      </c>
      <c r="J1298">
        <f>ABS((I1298-EDA!$A$15)/EDA!$B$15)</f>
        <v>0.63373765783552027</v>
      </c>
      <c r="K1298" t="str">
        <f t="shared" si="20"/>
        <v>No</v>
      </c>
      <c r="L1298">
        <f>ABS((C1298-EDA!$F$15)/EDA!$G$15)</f>
        <v>0.36635433034949261</v>
      </c>
      <c r="M1298" t="str">
        <f>IF(moras[[#This Row],[Z-Score Salario]]&gt;1.96, "Sí", "No")</f>
        <v>No</v>
      </c>
      <c r="N1298" s="14">
        <f>IF(ISBLANK(moras[[#This Row],[SALARIO]]), EDA!$M$8, moras[[#This Row],[SALARIO]])</f>
        <v>558849</v>
      </c>
      <c r="O1298" s="14">
        <f xml:space="preserve"> IF(ISBLANK(moras[[#This Row],[EDAD]]), EDA!$E$8, moras[[#This Row],[EDAD]])</f>
        <v>33</v>
      </c>
      <c r="P1298" s="14" t="str">
        <f>IF(
    OR(ISBLANK(moras[[#This Row],[TIPO_ASEGURAMIENTO]]), moras[[#This Row],[TIPO_ASEGURAMIENTO]]=""),
    EDA!$A$32,
    moras[[#This Row],[TIPO_ASEGURAMIENTO]]
)</f>
        <v>ASALARIADO</v>
      </c>
    </row>
    <row r="1299" spans="1:16" x14ac:dyDescent="0.3">
      <c r="A1299">
        <v>1298</v>
      </c>
      <c r="B1299" t="s">
        <v>9</v>
      </c>
      <c r="C1299">
        <v>300000</v>
      </c>
      <c r="D1299" t="s">
        <v>10</v>
      </c>
      <c r="E1299" t="s">
        <v>16</v>
      </c>
      <c r="F1299" t="s">
        <v>12</v>
      </c>
      <c r="G1299" t="s">
        <v>12</v>
      </c>
      <c r="H1299" t="s">
        <v>13</v>
      </c>
      <c r="I1299">
        <v>36</v>
      </c>
      <c r="J1299">
        <f>ABS((I1299-EDA!$A$15)/EDA!$B$15)</f>
        <v>0.42201166760410774</v>
      </c>
      <c r="K1299" t="str">
        <f t="shared" si="20"/>
        <v>No</v>
      </c>
      <c r="L1299">
        <f>ABS((C1299-EDA!$F$15)/EDA!$G$15)</f>
        <v>0.37066176043415894</v>
      </c>
      <c r="M1299" t="str">
        <f>IF(moras[[#This Row],[Z-Score Salario]]&gt;1.96, "Sí", "No")</f>
        <v>No</v>
      </c>
      <c r="N1299" s="14">
        <f>IF(ISBLANK(moras[[#This Row],[SALARIO]]), EDA!$M$8, moras[[#This Row],[SALARIO]])</f>
        <v>300000</v>
      </c>
      <c r="O1299" s="14">
        <f xml:space="preserve"> IF(ISBLANK(moras[[#This Row],[EDAD]]), EDA!$E$8, moras[[#This Row],[EDAD]])</f>
        <v>36</v>
      </c>
      <c r="P1299" s="14" t="str">
        <f>IF(
    OR(ISBLANK(moras[[#This Row],[TIPO_ASEGURAMIENTO]]), moras[[#This Row],[TIPO_ASEGURAMIENTO]]=""),
    EDA!$A$32,
    moras[[#This Row],[TIPO_ASEGURAMIENTO]]
)</f>
        <v>ASALARIADO</v>
      </c>
    </row>
    <row r="1300" spans="1:16" x14ac:dyDescent="0.3">
      <c r="A1300">
        <v>1299</v>
      </c>
      <c r="B1300" t="s">
        <v>15</v>
      </c>
      <c r="C1300">
        <v>280000</v>
      </c>
      <c r="D1300" t="s">
        <v>10</v>
      </c>
      <c r="E1300" t="s">
        <v>16</v>
      </c>
      <c r="F1300" t="s">
        <v>12</v>
      </c>
      <c r="G1300" t="s">
        <v>13</v>
      </c>
      <c r="H1300" t="s">
        <v>13</v>
      </c>
      <c r="I1300">
        <v>33</v>
      </c>
      <c r="J1300">
        <f>ABS((I1300-EDA!$A$15)/EDA!$B$15)</f>
        <v>0.63373765783552027</v>
      </c>
      <c r="K1300" t="str">
        <f t="shared" si="20"/>
        <v>No</v>
      </c>
      <c r="L1300">
        <f>ABS((C1300-EDA!$F$15)/EDA!$G$15)</f>
        <v>0.37099457455240292</v>
      </c>
      <c r="M1300" t="str">
        <f>IF(moras[[#This Row],[Z-Score Salario]]&gt;1.96, "Sí", "No")</f>
        <v>No</v>
      </c>
      <c r="N1300" s="14">
        <f>IF(ISBLANK(moras[[#This Row],[SALARIO]]), EDA!$M$8, moras[[#This Row],[SALARIO]])</f>
        <v>280000</v>
      </c>
      <c r="O1300" s="14">
        <f xml:space="preserve"> IF(ISBLANK(moras[[#This Row],[EDAD]]), EDA!$E$8, moras[[#This Row],[EDAD]])</f>
        <v>33</v>
      </c>
      <c r="P1300" s="14" t="str">
        <f>IF(
    OR(ISBLANK(moras[[#This Row],[TIPO_ASEGURAMIENTO]]), moras[[#This Row],[TIPO_ASEGURAMIENTO]]=""),
    EDA!$A$32,
    moras[[#This Row],[TIPO_ASEGURAMIENTO]]
)</f>
        <v>ASALARIADO</v>
      </c>
    </row>
    <row r="1301" spans="1:16" x14ac:dyDescent="0.3">
      <c r="A1301">
        <v>1300</v>
      </c>
      <c r="B1301" t="s">
        <v>15</v>
      </c>
      <c r="C1301">
        <v>44838772</v>
      </c>
      <c r="D1301" t="s">
        <v>10</v>
      </c>
      <c r="E1301" t="s">
        <v>16</v>
      </c>
      <c r="F1301" t="s">
        <v>12</v>
      </c>
      <c r="G1301" t="s">
        <v>13</v>
      </c>
      <c r="H1301" t="s">
        <v>13</v>
      </c>
      <c r="I1301">
        <v>49</v>
      </c>
      <c r="J1301">
        <f>ABS((I1301-EDA!$A$15)/EDA!$B$15)</f>
        <v>0.49546762339867978</v>
      </c>
      <c r="K1301" t="str">
        <f t="shared" si="20"/>
        <v>No</v>
      </c>
      <c r="L1301">
        <f>ABS((C1301-EDA!$F$15)/EDA!$G$15)</f>
        <v>0.37049484610824313</v>
      </c>
      <c r="M1301" t="str">
        <f>IF(moras[[#This Row],[Z-Score Salario]]&gt;1.96, "Sí", "No")</f>
        <v>No</v>
      </c>
      <c r="N1301" s="14">
        <f>IF(ISBLANK(moras[[#This Row],[SALARIO]]), EDA!$M$8, moras[[#This Row],[SALARIO]])</f>
        <v>44838772</v>
      </c>
      <c r="O1301" s="14">
        <f xml:space="preserve"> IF(ISBLANK(moras[[#This Row],[EDAD]]), EDA!$E$8, moras[[#This Row],[EDAD]])</f>
        <v>49</v>
      </c>
      <c r="P1301" s="14" t="str">
        <f>IF(
    OR(ISBLANK(moras[[#This Row],[TIPO_ASEGURAMIENTO]]), moras[[#This Row],[TIPO_ASEGURAMIENTO]]=""),
    EDA!$A$32,
    moras[[#This Row],[TIPO_ASEGURAMIENTO]]
)</f>
        <v>ASALARIADO</v>
      </c>
    </row>
    <row r="1302" spans="1:16" x14ac:dyDescent="0.3">
      <c r="A1302">
        <v>1301</v>
      </c>
      <c r="B1302" t="s">
        <v>15</v>
      </c>
      <c r="C1302">
        <v>302470</v>
      </c>
      <c r="D1302" t="s">
        <v>17</v>
      </c>
      <c r="E1302" t="s">
        <v>16</v>
      </c>
      <c r="F1302" t="s">
        <v>12</v>
      </c>
      <c r="G1302" t="s">
        <v>12</v>
      </c>
      <c r="H1302" t="s">
        <v>13</v>
      </c>
      <c r="I1302">
        <v>29</v>
      </c>
      <c r="J1302">
        <f>ABS((I1302-EDA!$A$15)/EDA!$B$15)</f>
        <v>0.91603897814407031</v>
      </c>
      <c r="K1302" t="str">
        <f t="shared" si="20"/>
        <v>No</v>
      </c>
      <c r="L1302">
        <f>ABS((C1302-EDA!$F$15)/EDA!$G$15)</f>
        <v>0.37062065789055582</v>
      </c>
      <c r="M1302" t="str">
        <f>IF(moras[[#This Row],[Z-Score Salario]]&gt;1.96, "Sí", "No")</f>
        <v>No</v>
      </c>
      <c r="N1302" s="14">
        <f>IF(ISBLANK(moras[[#This Row],[SALARIO]]), EDA!$M$8, moras[[#This Row],[SALARIO]])</f>
        <v>302470</v>
      </c>
      <c r="O1302" s="14">
        <f xml:space="preserve"> IF(ISBLANK(moras[[#This Row],[EDAD]]), EDA!$E$8, moras[[#This Row],[EDAD]])</f>
        <v>29</v>
      </c>
      <c r="P1302" s="14" t="str">
        <f>IF(
    OR(ISBLANK(moras[[#This Row],[TIPO_ASEGURAMIENTO]]), moras[[#This Row],[TIPO_ASEGURAMIENTO]]=""),
    EDA!$A$32,
    moras[[#This Row],[TIPO_ASEGURAMIENTO]]
)</f>
        <v>ASEGURADO VOLUNTARIO</v>
      </c>
    </row>
    <row r="1303" spans="1:16" x14ac:dyDescent="0.3">
      <c r="A1303">
        <v>1302</v>
      </c>
      <c r="B1303" t="s">
        <v>15</v>
      </c>
      <c r="C1303">
        <v>195143</v>
      </c>
      <c r="D1303" t="s">
        <v>10</v>
      </c>
      <c r="E1303" t="s">
        <v>11</v>
      </c>
      <c r="F1303" t="s">
        <v>12</v>
      </c>
      <c r="G1303" t="s">
        <v>13</v>
      </c>
      <c r="H1303" t="s">
        <v>13</v>
      </c>
      <c r="I1303">
        <v>39</v>
      </c>
      <c r="J1303">
        <f>ABS((I1303-EDA!$A$15)/EDA!$B$15)</f>
        <v>0.21028567737269524</v>
      </c>
      <c r="K1303" t="str">
        <f t="shared" si="20"/>
        <v>No</v>
      </c>
      <c r="L1303">
        <f>ABS((C1303-EDA!$F$15)/EDA!$G$15)</f>
        <v>0.37240665493399422</v>
      </c>
      <c r="M1303" t="str">
        <f>IF(moras[[#This Row],[Z-Score Salario]]&gt;1.96, "Sí", "No")</f>
        <v>No</v>
      </c>
      <c r="N1303" s="14">
        <f>IF(ISBLANK(moras[[#This Row],[SALARIO]]), EDA!$M$8, moras[[#This Row],[SALARIO]])</f>
        <v>195143</v>
      </c>
      <c r="O1303" s="14">
        <f xml:space="preserve"> IF(ISBLANK(moras[[#This Row],[EDAD]]), EDA!$E$8, moras[[#This Row],[EDAD]])</f>
        <v>39</v>
      </c>
      <c r="P1303" s="14" t="str">
        <f>IF(
    OR(ISBLANK(moras[[#This Row],[TIPO_ASEGURAMIENTO]]), moras[[#This Row],[TIPO_ASEGURAMIENTO]]=""),
    EDA!$A$32,
    moras[[#This Row],[TIPO_ASEGURAMIENTO]]
)</f>
        <v>ASALARIADO</v>
      </c>
    </row>
    <row r="1304" spans="1:16" x14ac:dyDescent="0.3">
      <c r="A1304">
        <v>1303</v>
      </c>
      <c r="B1304" t="s">
        <v>9</v>
      </c>
      <c r="C1304">
        <v>51338302</v>
      </c>
      <c r="D1304" t="s">
        <v>10</v>
      </c>
      <c r="E1304" t="s">
        <v>16</v>
      </c>
      <c r="F1304" t="s">
        <v>12</v>
      </c>
      <c r="G1304" t="s">
        <v>13</v>
      </c>
      <c r="H1304" t="s">
        <v>13</v>
      </c>
      <c r="I1304">
        <v>42</v>
      </c>
      <c r="J1304">
        <f>ABS((I1304-EDA!$A$15)/EDA!$B$15)</f>
        <v>1.4403128587172659E-3</v>
      </c>
      <c r="K1304" t="str">
        <f t="shared" si="20"/>
        <v>No</v>
      </c>
      <c r="L1304">
        <f>ABS((C1304-EDA!$F$15)/EDA!$G$15)</f>
        <v>0.47865161340574608</v>
      </c>
      <c r="M1304" t="str">
        <f>IF(moras[[#This Row],[Z-Score Salario]]&gt;1.96, "Sí", "No")</f>
        <v>No</v>
      </c>
      <c r="N1304" s="14">
        <f>IF(ISBLANK(moras[[#This Row],[SALARIO]]), EDA!$M$8, moras[[#This Row],[SALARIO]])</f>
        <v>51338302</v>
      </c>
      <c r="O1304" s="14">
        <f xml:space="preserve"> IF(ISBLANK(moras[[#This Row],[EDAD]]), EDA!$E$8, moras[[#This Row],[EDAD]])</f>
        <v>42</v>
      </c>
      <c r="P1304" s="14" t="str">
        <f>IF(
    OR(ISBLANK(moras[[#This Row],[TIPO_ASEGURAMIENTO]]), moras[[#This Row],[TIPO_ASEGURAMIENTO]]=""),
    EDA!$A$32,
    moras[[#This Row],[TIPO_ASEGURAMIENTO]]
)</f>
        <v>ASALARIADO</v>
      </c>
    </row>
    <row r="1305" spans="1:16" x14ac:dyDescent="0.3">
      <c r="A1305">
        <v>1304</v>
      </c>
      <c r="B1305" t="s">
        <v>9</v>
      </c>
      <c r="C1305">
        <v>278030</v>
      </c>
      <c r="D1305" t="s">
        <v>19</v>
      </c>
      <c r="E1305" t="s">
        <v>16</v>
      </c>
      <c r="F1305" t="s">
        <v>12</v>
      </c>
      <c r="G1305" t="s">
        <v>13</v>
      </c>
      <c r="H1305" t="s">
        <v>13</v>
      </c>
      <c r="I1305">
        <v>61</v>
      </c>
      <c r="J1305">
        <f>ABS((I1305-EDA!$A$15)/EDA!$B$15)</f>
        <v>1.3423715843243298</v>
      </c>
      <c r="K1305" t="str">
        <f t="shared" si="20"/>
        <v>No</v>
      </c>
      <c r="L1305">
        <f>ABS((C1305-EDA!$F$15)/EDA!$G$15)</f>
        <v>0.37102735674304993</v>
      </c>
      <c r="M1305" t="str">
        <f>IF(moras[[#This Row],[Z-Score Salario]]&gt;1.96, "Sí", "No")</f>
        <v>No</v>
      </c>
      <c r="N1305" s="14">
        <f>IF(ISBLANK(moras[[#This Row],[SALARIO]]), EDA!$M$8, moras[[#This Row],[SALARIO]])</f>
        <v>278030</v>
      </c>
      <c r="O1305" s="14">
        <f xml:space="preserve"> IF(ISBLANK(moras[[#This Row],[EDAD]]), EDA!$E$8, moras[[#This Row],[EDAD]])</f>
        <v>61</v>
      </c>
      <c r="P1305" s="14" t="str">
        <f>IF(
    OR(ISBLANK(moras[[#This Row],[TIPO_ASEGURAMIENTO]]), moras[[#This Row],[TIPO_ASEGURAMIENTO]]=""),
    EDA!$A$32,
    moras[[#This Row],[TIPO_ASEGURAMIENTO]]
)</f>
        <v>CONVENIOS ESPECIALES DE TRABAJADORES INDEPENDIENTES</v>
      </c>
    </row>
    <row r="1306" spans="1:16" x14ac:dyDescent="0.3">
      <c r="A1306">
        <v>1305</v>
      </c>
      <c r="B1306" t="s">
        <v>9</v>
      </c>
      <c r="C1306">
        <v>343390</v>
      </c>
      <c r="D1306" t="s">
        <v>10</v>
      </c>
      <c r="E1306" t="s">
        <v>16</v>
      </c>
      <c r="F1306" t="s">
        <v>12</v>
      </c>
      <c r="G1306" t="s">
        <v>13</v>
      </c>
      <c r="H1306" t="s">
        <v>13</v>
      </c>
      <c r="I1306">
        <v>28</v>
      </c>
      <c r="J1306">
        <f>ABS((I1306-EDA!$A$15)/EDA!$B$15)</f>
        <v>0.98661430822120777</v>
      </c>
      <c r="K1306" t="str">
        <f t="shared" si="20"/>
        <v>No</v>
      </c>
      <c r="L1306">
        <f>ABS((C1306-EDA!$F$15)/EDA!$G$15)</f>
        <v>0.36993972020462873</v>
      </c>
      <c r="M1306" t="str">
        <f>IF(moras[[#This Row],[Z-Score Salario]]&gt;1.96, "Sí", "No")</f>
        <v>No</v>
      </c>
      <c r="N1306" s="14">
        <f>IF(ISBLANK(moras[[#This Row],[SALARIO]]), EDA!$M$8, moras[[#This Row],[SALARIO]])</f>
        <v>343390</v>
      </c>
      <c r="O1306" s="14">
        <f xml:space="preserve"> IF(ISBLANK(moras[[#This Row],[EDAD]]), EDA!$E$8, moras[[#This Row],[EDAD]])</f>
        <v>28</v>
      </c>
      <c r="P1306" s="14" t="str">
        <f>IF(
    OR(ISBLANK(moras[[#This Row],[TIPO_ASEGURAMIENTO]]), moras[[#This Row],[TIPO_ASEGURAMIENTO]]=""),
    EDA!$A$32,
    moras[[#This Row],[TIPO_ASEGURAMIENTO]]
)</f>
        <v>ASALARIADO</v>
      </c>
    </row>
    <row r="1307" spans="1:16" x14ac:dyDescent="0.3">
      <c r="A1307">
        <v>1306</v>
      </c>
      <c r="B1307" t="s">
        <v>15</v>
      </c>
      <c r="C1307">
        <v>120480559</v>
      </c>
      <c r="D1307" t="s">
        <v>10</v>
      </c>
      <c r="E1307" t="s">
        <v>16</v>
      </c>
      <c r="F1307" t="s">
        <v>12</v>
      </c>
      <c r="G1307" t="s">
        <v>13</v>
      </c>
      <c r="H1307" t="s">
        <v>13</v>
      </c>
      <c r="I1307">
        <v>41</v>
      </c>
      <c r="J1307">
        <f>ABS((I1307-EDA!$A$15)/EDA!$B$15)</f>
        <v>6.9135017218420233E-2</v>
      </c>
      <c r="K1307" t="str">
        <f t="shared" si="20"/>
        <v>No</v>
      </c>
      <c r="L1307">
        <f>ABS((C1307-EDA!$F$15)/EDA!$G$15)</f>
        <v>1.6292275782483026</v>
      </c>
      <c r="M1307" t="str">
        <f>IF(moras[[#This Row],[Z-Score Salario]]&gt;1.96, "Sí", "No")</f>
        <v>No</v>
      </c>
      <c r="N1307" s="14">
        <f>IF(ISBLANK(moras[[#This Row],[SALARIO]]), EDA!$M$8, moras[[#This Row],[SALARIO]])</f>
        <v>120480559</v>
      </c>
      <c r="O1307" s="14">
        <f xml:space="preserve"> IF(ISBLANK(moras[[#This Row],[EDAD]]), EDA!$E$8, moras[[#This Row],[EDAD]])</f>
        <v>41</v>
      </c>
      <c r="P1307" s="14" t="str">
        <f>IF(
    OR(ISBLANK(moras[[#This Row],[TIPO_ASEGURAMIENTO]]), moras[[#This Row],[TIPO_ASEGURAMIENTO]]=""),
    EDA!$A$32,
    moras[[#This Row],[TIPO_ASEGURAMIENTO]]
)</f>
        <v>ASALARIADO</v>
      </c>
    </row>
    <row r="1308" spans="1:16" x14ac:dyDescent="0.3">
      <c r="A1308">
        <v>1307</v>
      </c>
      <c r="B1308" t="s">
        <v>9</v>
      </c>
      <c r="C1308">
        <v>1611500</v>
      </c>
      <c r="D1308" t="s">
        <v>10</v>
      </c>
      <c r="E1308" t="s">
        <v>16</v>
      </c>
      <c r="F1308" t="s">
        <v>12</v>
      </c>
      <c r="G1308" t="s">
        <v>13</v>
      </c>
      <c r="H1308" t="s">
        <v>13</v>
      </c>
      <c r="I1308">
        <v>26</v>
      </c>
      <c r="J1308">
        <f>ABS((I1308-EDA!$A$15)/EDA!$B$15)</f>
        <v>1.1277649683754829</v>
      </c>
      <c r="K1308" t="str">
        <f t="shared" si="20"/>
        <v>No</v>
      </c>
      <c r="L1308">
        <f>ABS((C1308-EDA!$F$15)/EDA!$G$15)</f>
        <v>0.34883747463031234</v>
      </c>
      <c r="M1308" t="str">
        <f>IF(moras[[#This Row],[Z-Score Salario]]&gt;1.96, "Sí", "No")</f>
        <v>No</v>
      </c>
      <c r="N1308" s="14">
        <f>IF(ISBLANK(moras[[#This Row],[SALARIO]]), EDA!$M$8, moras[[#This Row],[SALARIO]])</f>
        <v>1611500</v>
      </c>
      <c r="O1308" s="14">
        <f xml:space="preserve"> IF(ISBLANK(moras[[#This Row],[EDAD]]), EDA!$E$8, moras[[#This Row],[EDAD]])</f>
        <v>26</v>
      </c>
      <c r="P1308" s="14" t="str">
        <f>IF(
    OR(ISBLANK(moras[[#This Row],[TIPO_ASEGURAMIENTO]]), moras[[#This Row],[TIPO_ASEGURAMIENTO]]=""),
    EDA!$A$32,
    moras[[#This Row],[TIPO_ASEGURAMIENTO]]
)</f>
        <v>ASALARIADO</v>
      </c>
    </row>
    <row r="1309" spans="1:16" x14ac:dyDescent="0.3">
      <c r="A1309">
        <v>1308</v>
      </c>
      <c r="B1309" t="s">
        <v>15</v>
      </c>
      <c r="C1309">
        <v>1047569</v>
      </c>
      <c r="D1309" t="s">
        <v>10</v>
      </c>
      <c r="E1309" t="s">
        <v>11</v>
      </c>
      <c r="F1309" t="s">
        <v>12</v>
      </c>
      <c r="G1309" t="s">
        <v>13</v>
      </c>
      <c r="H1309" t="s">
        <v>13</v>
      </c>
      <c r="I1309">
        <v>47</v>
      </c>
      <c r="J1309">
        <f>ABS((I1309-EDA!$A$15)/EDA!$B$15)</f>
        <v>0.35431696324440481</v>
      </c>
      <c r="K1309" t="str">
        <f t="shared" si="20"/>
        <v>No</v>
      </c>
      <c r="L1309">
        <f>ABS((C1309-EDA!$F$15)/EDA!$G$15)</f>
        <v>0.35822168455608361</v>
      </c>
      <c r="M1309" t="str">
        <f>IF(moras[[#This Row],[Z-Score Salario]]&gt;1.96, "Sí", "No")</f>
        <v>No</v>
      </c>
      <c r="N1309" s="14">
        <f>IF(ISBLANK(moras[[#This Row],[SALARIO]]), EDA!$M$8, moras[[#This Row],[SALARIO]])</f>
        <v>1047569</v>
      </c>
      <c r="O1309" s="14">
        <f xml:space="preserve"> IF(ISBLANK(moras[[#This Row],[EDAD]]), EDA!$E$8, moras[[#This Row],[EDAD]])</f>
        <v>47</v>
      </c>
      <c r="P1309" s="14" t="str">
        <f>IF(
    OR(ISBLANK(moras[[#This Row],[TIPO_ASEGURAMIENTO]]), moras[[#This Row],[TIPO_ASEGURAMIENTO]]=""),
    EDA!$A$32,
    moras[[#This Row],[TIPO_ASEGURAMIENTO]]
)</f>
        <v>ASALARIADO</v>
      </c>
    </row>
    <row r="1310" spans="1:16" x14ac:dyDescent="0.3">
      <c r="A1310">
        <v>1309</v>
      </c>
      <c r="B1310" t="s">
        <v>9</v>
      </c>
      <c r="C1310">
        <v>526800</v>
      </c>
      <c r="D1310" t="s">
        <v>10</v>
      </c>
      <c r="E1310" t="s">
        <v>16</v>
      </c>
      <c r="F1310" t="s">
        <v>12</v>
      </c>
      <c r="G1310" t="s">
        <v>13</v>
      </c>
      <c r="H1310" t="s">
        <v>13</v>
      </c>
      <c r="I1310">
        <v>44</v>
      </c>
      <c r="J1310">
        <f>ABS((I1310-EDA!$A$15)/EDA!$B$15)</f>
        <v>0.14259097301299228</v>
      </c>
      <c r="K1310" t="str">
        <f t="shared" si="20"/>
        <v>No</v>
      </c>
      <c r="L1310">
        <f>ABS((C1310-EDA!$F$15)/EDA!$G$15)</f>
        <v>0.36688764833327264</v>
      </c>
      <c r="M1310" t="str">
        <f>IF(moras[[#This Row],[Z-Score Salario]]&gt;1.96, "Sí", "No")</f>
        <v>No</v>
      </c>
      <c r="N1310" s="14">
        <f>IF(ISBLANK(moras[[#This Row],[SALARIO]]), EDA!$M$8, moras[[#This Row],[SALARIO]])</f>
        <v>526800</v>
      </c>
      <c r="O1310" s="14">
        <f xml:space="preserve"> IF(ISBLANK(moras[[#This Row],[EDAD]]), EDA!$E$8, moras[[#This Row],[EDAD]])</f>
        <v>44</v>
      </c>
      <c r="P1310" s="14" t="str">
        <f>IF(
    OR(ISBLANK(moras[[#This Row],[TIPO_ASEGURAMIENTO]]), moras[[#This Row],[TIPO_ASEGURAMIENTO]]=""),
    EDA!$A$32,
    moras[[#This Row],[TIPO_ASEGURAMIENTO]]
)</f>
        <v>ASALARIADO</v>
      </c>
    </row>
    <row r="1311" spans="1:16" x14ac:dyDescent="0.3">
      <c r="A1311">
        <v>1310</v>
      </c>
      <c r="B1311" t="s">
        <v>9</v>
      </c>
      <c r="C1311">
        <v>58002127</v>
      </c>
      <c r="D1311" t="s">
        <v>10</v>
      </c>
      <c r="E1311" t="s">
        <v>11</v>
      </c>
      <c r="F1311" t="s">
        <v>12</v>
      </c>
      <c r="G1311" t="s">
        <v>13</v>
      </c>
      <c r="H1311" t="s">
        <v>13</v>
      </c>
      <c r="I1311">
        <v>29</v>
      </c>
      <c r="J1311">
        <f>ABS((I1311-EDA!$A$15)/EDA!$B$15)</f>
        <v>0.91603897814407031</v>
      </c>
      <c r="K1311" t="str">
        <f t="shared" si="20"/>
        <v>No</v>
      </c>
      <c r="L1311">
        <f>ABS((C1311-EDA!$F$15)/EDA!$G$15)</f>
        <v>0.5895423654810934</v>
      </c>
      <c r="M1311" t="str">
        <f>IF(moras[[#This Row],[Z-Score Salario]]&gt;1.96, "Sí", "No")</f>
        <v>No</v>
      </c>
      <c r="N1311" s="14">
        <f>IF(ISBLANK(moras[[#This Row],[SALARIO]]), EDA!$M$8, moras[[#This Row],[SALARIO]])</f>
        <v>58002127</v>
      </c>
      <c r="O1311" s="14">
        <f xml:space="preserve"> IF(ISBLANK(moras[[#This Row],[EDAD]]), EDA!$E$8, moras[[#This Row],[EDAD]])</f>
        <v>29</v>
      </c>
      <c r="P1311" s="14" t="str">
        <f>IF(
    OR(ISBLANK(moras[[#This Row],[TIPO_ASEGURAMIENTO]]), moras[[#This Row],[TIPO_ASEGURAMIENTO]]=""),
    EDA!$A$32,
    moras[[#This Row],[TIPO_ASEGURAMIENTO]]
)</f>
        <v>ASALARIADO</v>
      </c>
    </row>
    <row r="1312" spans="1:16" x14ac:dyDescent="0.3">
      <c r="A1312">
        <v>1311</v>
      </c>
      <c r="B1312" t="s">
        <v>9</v>
      </c>
      <c r="C1312">
        <v>52608362</v>
      </c>
      <c r="D1312" t="s">
        <v>10</v>
      </c>
      <c r="E1312" t="s">
        <v>16</v>
      </c>
      <c r="F1312" t="s">
        <v>12</v>
      </c>
      <c r="G1312" t="s">
        <v>13</v>
      </c>
      <c r="H1312" t="s">
        <v>13</v>
      </c>
      <c r="I1312">
        <v>24</v>
      </c>
      <c r="J1312">
        <f>ABS((I1312-EDA!$A$15)/EDA!$B$15)</f>
        <v>1.2689156285297578</v>
      </c>
      <c r="K1312" t="str">
        <f t="shared" si="20"/>
        <v>No</v>
      </c>
      <c r="L1312">
        <f>ABS((C1312-EDA!$F$15)/EDA!$G$15)</f>
        <v>0.49978630835659121</v>
      </c>
      <c r="M1312" t="str">
        <f>IF(moras[[#This Row],[Z-Score Salario]]&gt;1.96, "Sí", "No")</f>
        <v>No</v>
      </c>
      <c r="N1312" s="14">
        <f>IF(ISBLANK(moras[[#This Row],[SALARIO]]), EDA!$M$8, moras[[#This Row],[SALARIO]])</f>
        <v>52608362</v>
      </c>
      <c r="O1312" s="14">
        <f xml:space="preserve"> IF(ISBLANK(moras[[#This Row],[EDAD]]), EDA!$E$8, moras[[#This Row],[EDAD]])</f>
        <v>24</v>
      </c>
      <c r="P1312" s="14" t="str">
        <f>IF(
    OR(ISBLANK(moras[[#This Row],[TIPO_ASEGURAMIENTO]]), moras[[#This Row],[TIPO_ASEGURAMIENTO]]=""),
    EDA!$A$32,
    moras[[#This Row],[TIPO_ASEGURAMIENTO]]
)</f>
        <v>ASALARIADO</v>
      </c>
    </row>
    <row r="1313" spans="1:16" x14ac:dyDescent="0.3">
      <c r="A1313">
        <v>1312</v>
      </c>
      <c r="B1313" t="s">
        <v>15</v>
      </c>
      <c r="C1313">
        <v>91069365</v>
      </c>
      <c r="D1313" t="s">
        <v>10</v>
      </c>
      <c r="E1313" t="s">
        <v>11</v>
      </c>
      <c r="F1313" t="s">
        <v>12</v>
      </c>
      <c r="G1313" t="s">
        <v>13</v>
      </c>
      <c r="H1313" t="s">
        <v>13</v>
      </c>
      <c r="I1313">
        <v>40</v>
      </c>
      <c r="J1313">
        <f>ABS((I1313-EDA!$A$15)/EDA!$B$15)</f>
        <v>0.13971034729555773</v>
      </c>
      <c r="K1313" t="str">
        <f t="shared" si="20"/>
        <v>No</v>
      </c>
      <c r="L1313">
        <f>ABS((C1313-EDA!$F$15)/EDA!$G$15)</f>
        <v>1.1398045483677244</v>
      </c>
      <c r="M1313" t="str">
        <f>IF(moras[[#This Row],[Z-Score Salario]]&gt;1.96, "Sí", "No")</f>
        <v>No</v>
      </c>
      <c r="N1313" s="14">
        <f>IF(ISBLANK(moras[[#This Row],[SALARIO]]), EDA!$M$8, moras[[#This Row],[SALARIO]])</f>
        <v>91069365</v>
      </c>
      <c r="O1313" s="14">
        <f xml:space="preserve"> IF(ISBLANK(moras[[#This Row],[EDAD]]), EDA!$E$8, moras[[#This Row],[EDAD]])</f>
        <v>40</v>
      </c>
      <c r="P1313" s="14" t="str">
        <f>IF(
    OR(ISBLANK(moras[[#This Row],[TIPO_ASEGURAMIENTO]]), moras[[#This Row],[TIPO_ASEGURAMIENTO]]=""),
    EDA!$A$32,
    moras[[#This Row],[TIPO_ASEGURAMIENTO]]
)</f>
        <v>ASALARIADO</v>
      </c>
    </row>
    <row r="1314" spans="1:16" x14ac:dyDescent="0.3">
      <c r="A1314">
        <v>1313</v>
      </c>
      <c r="B1314" t="s">
        <v>9</v>
      </c>
      <c r="C1314">
        <v>49304678</v>
      </c>
      <c r="D1314" t="s">
        <v>10</v>
      </c>
      <c r="E1314" t="s">
        <v>16</v>
      </c>
      <c r="F1314" t="s">
        <v>12</v>
      </c>
      <c r="G1314" t="s">
        <v>13</v>
      </c>
      <c r="H1314" t="s">
        <v>13</v>
      </c>
      <c r="I1314">
        <v>22</v>
      </c>
      <c r="J1314">
        <f>ABS((I1314-EDA!$A$15)/EDA!$B$15)</f>
        <v>1.4100662886840327</v>
      </c>
      <c r="K1314" t="str">
        <f t="shared" si="20"/>
        <v>No</v>
      </c>
      <c r="L1314">
        <f>ABS((C1314-EDA!$F$15)/EDA!$G$15)</f>
        <v>0.44481067448576</v>
      </c>
      <c r="M1314" t="str">
        <f>IF(moras[[#This Row],[Z-Score Salario]]&gt;1.96, "Sí", "No")</f>
        <v>No</v>
      </c>
      <c r="N1314" s="14">
        <f>IF(ISBLANK(moras[[#This Row],[SALARIO]]), EDA!$M$8, moras[[#This Row],[SALARIO]])</f>
        <v>49304678</v>
      </c>
      <c r="O1314" s="14">
        <f xml:space="preserve"> IF(ISBLANK(moras[[#This Row],[EDAD]]), EDA!$E$8, moras[[#This Row],[EDAD]])</f>
        <v>22</v>
      </c>
      <c r="P1314" s="14" t="str">
        <f>IF(
    OR(ISBLANK(moras[[#This Row],[TIPO_ASEGURAMIENTO]]), moras[[#This Row],[TIPO_ASEGURAMIENTO]]=""),
    EDA!$A$32,
    moras[[#This Row],[TIPO_ASEGURAMIENTO]]
)</f>
        <v>ASALARIADO</v>
      </c>
    </row>
    <row r="1315" spans="1:16" x14ac:dyDescent="0.3">
      <c r="A1315">
        <v>1314</v>
      </c>
      <c r="B1315" t="s">
        <v>9</v>
      </c>
      <c r="C1315">
        <v>330798</v>
      </c>
      <c r="D1315" t="s">
        <v>18</v>
      </c>
      <c r="E1315" t="s">
        <v>16</v>
      </c>
      <c r="F1315" t="s">
        <v>12</v>
      </c>
      <c r="G1315" t="s">
        <v>13</v>
      </c>
      <c r="H1315" t="s">
        <v>13</v>
      </c>
      <c r="I1315">
        <v>33</v>
      </c>
      <c r="J1315">
        <f>ABS((I1315-EDA!$A$15)/EDA!$B$15)</f>
        <v>0.63373765783552027</v>
      </c>
      <c r="K1315" t="str">
        <f t="shared" si="20"/>
        <v>No</v>
      </c>
      <c r="L1315">
        <f>ABS((C1315-EDA!$F$15)/EDA!$G$15)</f>
        <v>0.37014925997347509</v>
      </c>
      <c r="M1315" t="str">
        <f>IF(moras[[#This Row],[Z-Score Salario]]&gt;1.96, "Sí", "No")</f>
        <v>No</v>
      </c>
      <c r="N1315" s="14">
        <f>IF(ISBLANK(moras[[#This Row],[SALARIO]]), EDA!$M$8, moras[[#This Row],[SALARIO]])</f>
        <v>330798</v>
      </c>
      <c r="O1315" s="14">
        <f xml:space="preserve"> IF(ISBLANK(moras[[#This Row],[EDAD]]), EDA!$E$8, moras[[#This Row],[EDAD]])</f>
        <v>33</v>
      </c>
      <c r="P1315" s="14" t="str">
        <f>IF(
    OR(ISBLANK(moras[[#This Row],[TIPO_ASEGURAMIENTO]]), moras[[#This Row],[TIPO_ASEGURAMIENTO]]=""),
    EDA!$A$32,
    moras[[#This Row],[TIPO_ASEGURAMIENTO]]
)</f>
        <v>TRABAJADOR INDEPENDIENTE</v>
      </c>
    </row>
    <row r="1316" spans="1:16" x14ac:dyDescent="0.3">
      <c r="A1316">
        <v>1315</v>
      </c>
      <c r="B1316" t="s">
        <v>9</v>
      </c>
      <c r="C1316">
        <v>252094998</v>
      </c>
      <c r="D1316" t="s">
        <v>14</v>
      </c>
      <c r="E1316" t="s">
        <v>11</v>
      </c>
      <c r="F1316" t="s">
        <v>12</v>
      </c>
      <c r="G1316" t="s">
        <v>13</v>
      </c>
      <c r="H1316" t="s">
        <v>13</v>
      </c>
      <c r="I1316">
        <v>67</v>
      </c>
      <c r="J1316">
        <f>ABS((I1316-EDA!$A$15)/EDA!$B$15)</f>
        <v>1.765823564787155</v>
      </c>
      <c r="K1316" t="str">
        <f t="shared" si="20"/>
        <v>No</v>
      </c>
      <c r="L1316">
        <f>ABS((C1316-EDA!$F$15)/EDA!$G$15)</f>
        <v>3.8193847514461172</v>
      </c>
      <c r="M1316" t="str">
        <f>IF(moras[[#This Row],[Z-Score Salario]]&gt;1.96, "Sí", "No")</f>
        <v>Sí</v>
      </c>
      <c r="N1316" s="14">
        <f>IF(ISBLANK(moras[[#This Row],[SALARIO]]), EDA!$M$8, moras[[#This Row],[SALARIO]])</f>
        <v>252094998</v>
      </c>
      <c r="O1316" s="14">
        <f xml:space="preserve"> IF(ISBLANK(moras[[#This Row],[EDAD]]), EDA!$E$8, moras[[#This Row],[EDAD]])</f>
        <v>67</v>
      </c>
      <c r="P1316" s="14" t="str">
        <f>IF(
    OR(ISBLANK(moras[[#This Row],[TIPO_ASEGURAMIENTO]]), moras[[#This Row],[TIPO_ASEGURAMIENTO]]=""),
    EDA!$A$32,
    moras[[#This Row],[TIPO_ASEGURAMIENTO]]
)</f>
        <v>PENSIONADOS EN SU PROPIO SISTEMA</v>
      </c>
    </row>
    <row r="1317" spans="1:16" x14ac:dyDescent="0.3">
      <c r="A1317">
        <v>1316</v>
      </c>
      <c r="B1317" t="s">
        <v>15</v>
      </c>
      <c r="C1317">
        <v>297045</v>
      </c>
      <c r="D1317" t="s">
        <v>17</v>
      </c>
      <c r="E1317" t="s">
        <v>16</v>
      </c>
      <c r="F1317" t="s">
        <v>12</v>
      </c>
      <c r="G1317" t="s">
        <v>13</v>
      </c>
      <c r="H1317" t="s">
        <v>13</v>
      </c>
      <c r="I1317">
        <v>28</v>
      </c>
      <c r="J1317">
        <f>ABS((I1317-EDA!$A$15)/EDA!$B$15)</f>
        <v>0.98661430822120777</v>
      </c>
      <c r="K1317" t="str">
        <f t="shared" si="20"/>
        <v>No</v>
      </c>
      <c r="L1317">
        <f>ABS((C1317-EDA!$F$15)/EDA!$G$15)</f>
        <v>0.37071093372012948</v>
      </c>
      <c r="M1317" t="str">
        <f>IF(moras[[#This Row],[Z-Score Salario]]&gt;1.96, "Sí", "No")</f>
        <v>No</v>
      </c>
      <c r="N1317" s="14">
        <f>IF(ISBLANK(moras[[#This Row],[SALARIO]]), EDA!$M$8, moras[[#This Row],[SALARIO]])</f>
        <v>297045</v>
      </c>
      <c r="O1317" s="14">
        <f xml:space="preserve"> IF(ISBLANK(moras[[#This Row],[EDAD]]), EDA!$E$8, moras[[#This Row],[EDAD]])</f>
        <v>28</v>
      </c>
      <c r="P1317" s="14" t="str">
        <f>IF(
    OR(ISBLANK(moras[[#This Row],[TIPO_ASEGURAMIENTO]]), moras[[#This Row],[TIPO_ASEGURAMIENTO]]=""),
    EDA!$A$32,
    moras[[#This Row],[TIPO_ASEGURAMIENTO]]
)</f>
        <v>ASEGURADO VOLUNTARIO</v>
      </c>
    </row>
    <row r="1318" spans="1:16" x14ac:dyDescent="0.3">
      <c r="A1318">
        <v>1317</v>
      </c>
      <c r="B1318" t="s">
        <v>9</v>
      </c>
      <c r="C1318">
        <v>3067233</v>
      </c>
      <c r="D1318" t="s">
        <v>10</v>
      </c>
      <c r="E1318" t="s">
        <v>16</v>
      </c>
      <c r="F1318" t="s">
        <v>12</v>
      </c>
      <c r="G1318" t="s">
        <v>12</v>
      </c>
      <c r="H1318" t="s">
        <v>13</v>
      </c>
      <c r="I1318">
        <v>41</v>
      </c>
      <c r="J1318">
        <f>ABS((I1318-EDA!$A$15)/EDA!$B$15)</f>
        <v>6.9135017218420233E-2</v>
      </c>
      <c r="K1318" t="str">
        <f t="shared" si="20"/>
        <v>No</v>
      </c>
      <c r="L1318">
        <f>ABS((C1318-EDA!$F$15)/EDA!$G$15)</f>
        <v>0.32461304989063183</v>
      </c>
      <c r="M1318" t="str">
        <f>IF(moras[[#This Row],[Z-Score Salario]]&gt;1.96, "Sí", "No")</f>
        <v>No</v>
      </c>
      <c r="N1318" s="14">
        <f>IF(ISBLANK(moras[[#This Row],[SALARIO]]), EDA!$M$8, moras[[#This Row],[SALARIO]])</f>
        <v>3067233</v>
      </c>
      <c r="O1318" s="14">
        <f xml:space="preserve"> IF(ISBLANK(moras[[#This Row],[EDAD]]), EDA!$E$8, moras[[#This Row],[EDAD]])</f>
        <v>41</v>
      </c>
      <c r="P1318" s="14" t="str">
        <f>IF(
    OR(ISBLANK(moras[[#This Row],[TIPO_ASEGURAMIENTO]]), moras[[#This Row],[TIPO_ASEGURAMIENTO]]=""),
    EDA!$A$32,
    moras[[#This Row],[TIPO_ASEGURAMIENTO]]
)</f>
        <v>ASALARIADO</v>
      </c>
    </row>
    <row r="1319" spans="1:16" x14ac:dyDescent="0.3">
      <c r="A1319">
        <v>1318</v>
      </c>
      <c r="B1319" t="s">
        <v>15</v>
      </c>
      <c r="C1319">
        <v>300000</v>
      </c>
      <c r="D1319" t="s">
        <v>10</v>
      </c>
      <c r="E1319" t="s">
        <v>16</v>
      </c>
      <c r="F1319" t="s">
        <v>12</v>
      </c>
      <c r="G1319" t="s">
        <v>12</v>
      </c>
      <c r="H1319" t="s">
        <v>13</v>
      </c>
      <c r="I1319">
        <v>37</v>
      </c>
      <c r="J1319">
        <f>ABS((I1319-EDA!$A$15)/EDA!$B$15)</f>
        <v>0.35143633752697023</v>
      </c>
      <c r="K1319" t="str">
        <f t="shared" si="20"/>
        <v>No</v>
      </c>
      <c r="L1319">
        <f>ABS((C1319-EDA!$F$15)/EDA!$G$15)</f>
        <v>0.37066176043415894</v>
      </c>
      <c r="M1319" t="str">
        <f>IF(moras[[#This Row],[Z-Score Salario]]&gt;1.96, "Sí", "No")</f>
        <v>No</v>
      </c>
      <c r="N1319" s="14">
        <f>IF(ISBLANK(moras[[#This Row],[SALARIO]]), EDA!$M$8, moras[[#This Row],[SALARIO]])</f>
        <v>300000</v>
      </c>
      <c r="O1319" s="14">
        <f xml:space="preserve"> IF(ISBLANK(moras[[#This Row],[EDAD]]), EDA!$E$8, moras[[#This Row],[EDAD]])</f>
        <v>37</v>
      </c>
      <c r="P1319" s="14" t="str">
        <f>IF(
    OR(ISBLANK(moras[[#This Row],[TIPO_ASEGURAMIENTO]]), moras[[#This Row],[TIPO_ASEGURAMIENTO]]=""),
    EDA!$A$32,
    moras[[#This Row],[TIPO_ASEGURAMIENTO]]
)</f>
        <v>ASALARIADO</v>
      </c>
    </row>
    <row r="1320" spans="1:16" x14ac:dyDescent="0.3">
      <c r="A1320">
        <v>1319</v>
      </c>
      <c r="B1320" t="s">
        <v>9</v>
      </c>
      <c r="C1320">
        <v>6668547</v>
      </c>
      <c r="D1320" t="s">
        <v>10</v>
      </c>
      <c r="E1320" t="s">
        <v>16</v>
      </c>
      <c r="F1320" t="s">
        <v>12</v>
      </c>
      <c r="G1320" t="s">
        <v>13</v>
      </c>
      <c r="H1320" t="s">
        <v>13</v>
      </c>
      <c r="I1320">
        <v>23</v>
      </c>
      <c r="J1320">
        <f>ABS((I1320-EDA!$A$15)/EDA!$B$15)</f>
        <v>1.3394909586068953</v>
      </c>
      <c r="K1320" t="str">
        <f t="shared" si="20"/>
        <v>No</v>
      </c>
      <c r="L1320">
        <f>ABS((C1320-EDA!$F$15)/EDA!$G$15)</f>
        <v>0.26468464271915337</v>
      </c>
      <c r="M1320" t="str">
        <f>IF(moras[[#This Row],[Z-Score Salario]]&gt;1.96, "Sí", "No")</f>
        <v>No</v>
      </c>
      <c r="N1320" s="14">
        <f>IF(ISBLANK(moras[[#This Row],[SALARIO]]), EDA!$M$8, moras[[#This Row],[SALARIO]])</f>
        <v>6668547</v>
      </c>
      <c r="O1320" s="14">
        <f xml:space="preserve"> IF(ISBLANK(moras[[#This Row],[EDAD]]), EDA!$E$8, moras[[#This Row],[EDAD]])</f>
        <v>23</v>
      </c>
      <c r="P1320" s="14" t="str">
        <f>IF(
    OR(ISBLANK(moras[[#This Row],[TIPO_ASEGURAMIENTO]]), moras[[#This Row],[TIPO_ASEGURAMIENTO]]=""),
    EDA!$A$32,
    moras[[#This Row],[TIPO_ASEGURAMIENTO]]
)</f>
        <v>ASALARIADO</v>
      </c>
    </row>
    <row r="1321" spans="1:16" x14ac:dyDescent="0.3">
      <c r="A1321">
        <v>1320</v>
      </c>
      <c r="B1321" t="s">
        <v>15</v>
      </c>
      <c r="C1321">
        <v>397927</v>
      </c>
      <c r="D1321" t="s">
        <v>10</v>
      </c>
      <c r="E1321" t="s">
        <v>16</v>
      </c>
      <c r="F1321" t="s">
        <v>12</v>
      </c>
      <c r="G1321" t="s">
        <v>13</v>
      </c>
      <c r="H1321" t="s">
        <v>13</v>
      </c>
      <c r="I1321">
        <v>27</v>
      </c>
      <c r="J1321">
        <f>ABS((I1321-EDA!$A$15)/EDA!$B$15)</f>
        <v>1.0571896382983452</v>
      </c>
      <c r="K1321" t="str">
        <f t="shared" si="20"/>
        <v>No</v>
      </c>
      <c r="L1321">
        <f>ABS((C1321-EDA!$F$15)/EDA!$G$15)</f>
        <v>0.36903218602629523</v>
      </c>
      <c r="M1321" t="str">
        <f>IF(moras[[#This Row],[Z-Score Salario]]&gt;1.96, "Sí", "No")</f>
        <v>No</v>
      </c>
      <c r="N1321" s="14">
        <f>IF(ISBLANK(moras[[#This Row],[SALARIO]]), EDA!$M$8, moras[[#This Row],[SALARIO]])</f>
        <v>397927</v>
      </c>
      <c r="O1321" s="14">
        <f xml:space="preserve"> IF(ISBLANK(moras[[#This Row],[EDAD]]), EDA!$E$8, moras[[#This Row],[EDAD]])</f>
        <v>27</v>
      </c>
      <c r="P1321" s="14" t="str">
        <f>IF(
    OR(ISBLANK(moras[[#This Row],[TIPO_ASEGURAMIENTO]]), moras[[#This Row],[TIPO_ASEGURAMIENTO]]=""),
    EDA!$A$32,
    moras[[#This Row],[TIPO_ASEGURAMIENTO]]
)</f>
        <v>ASALARIADO</v>
      </c>
    </row>
    <row r="1322" spans="1:16" x14ac:dyDescent="0.3">
      <c r="A1322">
        <v>1321</v>
      </c>
      <c r="B1322" t="s">
        <v>9</v>
      </c>
      <c r="C1322">
        <v>1214487</v>
      </c>
      <c r="D1322" t="s">
        <v>10</v>
      </c>
      <c r="E1322" t="s">
        <v>11</v>
      </c>
      <c r="F1322" t="s">
        <v>12</v>
      </c>
      <c r="G1322" t="s">
        <v>13</v>
      </c>
      <c r="H1322" t="s">
        <v>13</v>
      </c>
      <c r="I1322">
        <v>47</v>
      </c>
      <c r="J1322">
        <f>ABS((I1322-EDA!$A$15)/EDA!$B$15)</f>
        <v>0.35431696324440481</v>
      </c>
      <c r="K1322" t="str">
        <f t="shared" si="20"/>
        <v>No</v>
      </c>
      <c r="L1322">
        <f>ABS((C1322-EDA!$F$15)/EDA!$G$15)</f>
        <v>0.35544405120663147</v>
      </c>
      <c r="M1322" t="str">
        <f>IF(moras[[#This Row],[Z-Score Salario]]&gt;1.96, "Sí", "No")</f>
        <v>No</v>
      </c>
      <c r="N1322" s="14">
        <f>IF(ISBLANK(moras[[#This Row],[SALARIO]]), EDA!$M$8, moras[[#This Row],[SALARIO]])</f>
        <v>1214487</v>
      </c>
      <c r="O1322" s="14">
        <f xml:space="preserve"> IF(ISBLANK(moras[[#This Row],[EDAD]]), EDA!$E$8, moras[[#This Row],[EDAD]])</f>
        <v>47</v>
      </c>
      <c r="P1322" s="14" t="str">
        <f>IF(
    OR(ISBLANK(moras[[#This Row],[TIPO_ASEGURAMIENTO]]), moras[[#This Row],[TIPO_ASEGURAMIENTO]]=""),
    EDA!$A$32,
    moras[[#This Row],[TIPO_ASEGURAMIENTO]]
)</f>
        <v>ASALARIADO</v>
      </c>
    </row>
    <row r="1323" spans="1:16" x14ac:dyDescent="0.3">
      <c r="A1323">
        <v>1322</v>
      </c>
      <c r="B1323" t="s">
        <v>15</v>
      </c>
      <c r="C1323">
        <v>778239</v>
      </c>
      <c r="D1323" t="s">
        <v>10</v>
      </c>
      <c r="E1323" t="s">
        <v>11</v>
      </c>
      <c r="F1323" t="s">
        <v>12</v>
      </c>
      <c r="G1323" t="s">
        <v>13</v>
      </c>
      <c r="H1323" t="s">
        <v>13</v>
      </c>
      <c r="I1323">
        <v>33</v>
      </c>
      <c r="J1323">
        <f>ABS((I1323-EDA!$A$15)/EDA!$B$15)</f>
        <v>0.63373765783552027</v>
      </c>
      <c r="K1323" t="str">
        <f t="shared" si="20"/>
        <v>No</v>
      </c>
      <c r="L1323">
        <f>ABS((C1323-EDA!$F$15)/EDA!$G$15)</f>
        <v>0.36270352587941568</v>
      </c>
      <c r="M1323" t="str">
        <f>IF(moras[[#This Row],[Z-Score Salario]]&gt;1.96, "Sí", "No")</f>
        <v>No</v>
      </c>
      <c r="N1323" s="14">
        <f>IF(ISBLANK(moras[[#This Row],[SALARIO]]), EDA!$M$8, moras[[#This Row],[SALARIO]])</f>
        <v>778239</v>
      </c>
      <c r="O1323" s="14">
        <f xml:space="preserve"> IF(ISBLANK(moras[[#This Row],[EDAD]]), EDA!$E$8, moras[[#This Row],[EDAD]])</f>
        <v>33</v>
      </c>
      <c r="P1323" s="14" t="str">
        <f>IF(
    OR(ISBLANK(moras[[#This Row],[TIPO_ASEGURAMIENTO]]), moras[[#This Row],[TIPO_ASEGURAMIENTO]]=""),
    EDA!$A$32,
    moras[[#This Row],[TIPO_ASEGURAMIENTO]]
)</f>
        <v>ASALARIADO</v>
      </c>
    </row>
    <row r="1324" spans="1:16" x14ac:dyDescent="0.3">
      <c r="A1324">
        <v>1323</v>
      </c>
      <c r="B1324" t="s">
        <v>9</v>
      </c>
      <c r="C1324">
        <v>87046831</v>
      </c>
      <c r="D1324" t="s">
        <v>10</v>
      </c>
      <c r="E1324" t="s">
        <v>16</v>
      </c>
      <c r="F1324" t="s">
        <v>12</v>
      </c>
      <c r="G1324" t="s">
        <v>13</v>
      </c>
      <c r="H1324" t="s">
        <v>13</v>
      </c>
      <c r="I1324">
        <v>45</v>
      </c>
      <c r="J1324">
        <f>ABS((I1324-EDA!$A$15)/EDA!$B$15)</f>
        <v>0.21316630309012977</v>
      </c>
      <c r="K1324" t="str">
        <f t="shared" si="20"/>
        <v>No</v>
      </c>
      <c r="L1324">
        <f>ABS((C1324-EDA!$F$15)/EDA!$G$15)</f>
        <v>1.0728667430519103</v>
      </c>
      <c r="M1324" t="str">
        <f>IF(moras[[#This Row],[Z-Score Salario]]&gt;1.96, "Sí", "No")</f>
        <v>No</v>
      </c>
      <c r="N1324" s="14">
        <f>IF(ISBLANK(moras[[#This Row],[SALARIO]]), EDA!$M$8, moras[[#This Row],[SALARIO]])</f>
        <v>87046831</v>
      </c>
      <c r="O1324" s="14">
        <f xml:space="preserve"> IF(ISBLANK(moras[[#This Row],[EDAD]]), EDA!$E$8, moras[[#This Row],[EDAD]])</f>
        <v>45</v>
      </c>
      <c r="P1324" s="14" t="str">
        <f>IF(
    OR(ISBLANK(moras[[#This Row],[TIPO_ASEGURAMIENTO]]), moras[[#This Row],[TIPO_ASEGURAMIENTO]]=""),
    EDA!$A$32,
    moras[[#This Row],[TIPO_ASEGURAMIENTO]]
)</f>
        <v>ASALARIADO</v>
      </c>
    </row>
    <row r="1325" spans="1:16" x14ac:dyDescent="0.3">
      <c r="A1325">
        <v>1324</v>
      </c>
      <c r="B1325" t="s">
        <v>9</v>
      </c>
      <c r="C1325">
        <v>370000</v>
      </c>
      <c r="D1325" t="s">
        <v>10</v>
      </c>
      <c r="E1325" t="s">
        <v>16</v>
      </c>
      <c r="F1325" t="s">
        <v>12</v>
      </c>
      <c r="G1325" t="s">
        <v>13</v>
      </c>
      <c r="H1325" t="s">
        <v>12</v>
      </c>
      <c r="I1325">
        <v>41</v>
      </c>
      <c r="J1325">
        <f>ABS((I1325-EDA!$A$15)/EDA!$B$15)</f>
        <v>6.9135017218420233E-2</v>
      </c>
      <c r="K1325" t="str">
        <f t="shared" si="20"/>
        <v>No</v>
      </c>
      <c r="L1325">
        <f>ABS((C1325-EDA!$F$15)/EDA!$G$15)</f>
        <v>0.36949691102030513</v>
      </c>
      <c r="M1325" t="str">
        <f>IF(moras[[#This Row],[Z-Score Salario]]&gt;1.96, "Sí", "No")</f>
        <v>No</v>
      </c>
      <c r="N1325" s="14">
        <f>IF(ISBLANK(moras[[#This Row],[SALARIO]]), EDA!$M$8, moras[[#This Row],[SALARIO]])</f>
        <v>370000</v>
      </c>
      <c r="O1325" s="14">
        <f xml:space="preserve"> IF(ISBLANK(moras[[#This Row],[EDAD]]), EDA!$E$8, moras[[#This Row],[EDAD]])</f>
        <v>41</v>
      </c>
      <c r="P1325" s="14" t="str">
        <f>IF(
    OR(ISBLANK(moras[[#This Row],[TIPO_ASEGURAMIENTO]]), moras[[#This Row],[TIPO_ASEGURAMIENTO]]=""),
    EDA!$A$32,
    moras[[#This Row],[TIPO_ASEGURAMIENTO]]
)</f>
        <v>ASALARIADO</v>
      </c>
    </row>
    <row r="1326" spans="1:16" x14ac:dyDescent="0.3">
      <c r="A1326">
        <v>1325</v>
      </c>
      <c r="B1326" t="s">
        <v>15</v>
      </c>
      <c r="C1326">
        <v>28954695</v>
      </c>
      <c r="D1326" t="s">
        <v>10</v>
      </c>
      <c r="E1326" t="s">
        <v>16</v>
      </c>
      <c r="F1326" t="s">
        <v>12</v>
      </c>
      <c r="G1326" t="s">
        <v>13</v>
      </c>
      <c r="H1326" t="s">
        <v>12</v>
      </c>
      <c r="I1326">
        <v>22</v>
      </c>
      <c r="J1326">
        <f>ABS((I1326-EDA!$A$15)/EDA!$B$15)</f>
        <v>1.4100662886840327</v>
      </c>
      <c r="K1326" t="str">
        <f t="shared" si="20"/>
        <v>No</v>
      </c>
      <c r="L1326">
        <f>ABS((C1326-EDA!$F$15)/EDA!$G$15)</f>
        <v>0.10617259206454793</v>
      </c>
      <c r="M1326" t="str">
        <f>IF(moras[[#This Row],[Z-Score Salario]]&gt;1.96, "Sí", "No")</f>
        <v>No</v>
      </c>
      <c r="N1326" s="14">
        <f>IF(ISBLANK(moras[[#This Row],[SALARIO]]), EDA!$M$8, moras[[#This Row],[SALARIO]])</f>
        <v>28954695</v>
      </c>
      <c r="O1326" s="14">
        <f xml:space="preserve"> IF(ISBLANK(moras[[#This Row],[EDAD]]), EDA!$E$8, moras[[#This Row],[EDAD]])</f>
        <v>22</v>
      </c>
      <c r="P1326" s="14" t="str">
        <f>IF(
    OR(ISBLANK(moras[[#This Row],[TIPO_ASEGURAMIENTO]]), moras[[#This Row],[TIPO_ASEGURAMIENTO]]=""),
    EDA!$A$32,
    moras[[#This Row],[TIPO_ASEGURAMIENTO]]
)</f>
        <v>ASALARIADO</v>
      </c>
    </row>
    <row r="1327" spans="1:16" x14ac:dyDescent="0.3">
      <c r="A1327">
        <v>1326</v>
      </c>
      <c r="B1327" t="s">
        <v>9</v>
      </c>
      <c r="C1327">
        <v>278030</v>
      </c>
      <c r="D1327" t="s">
        <v>19</v>
      </c>
      <c r="E1327" t="s">
        <v>16</v>
      </c>
      <c r="F1327" t="s">
        <v>12</v>
      </c>
      <c r="G1327" t="s">
        <v>13</v>
      </c>
      <c r="H1327" t="s">
        <v>13</v>
      </c>
      <c r="I1327">
        <v>36</v>
      </c>
      <c r="J1327">
        <f>ABS((I1327-EDA!$A$15)/EDA!$B$15)</f>
        <v>0.42201166760410774</v>
      </c>
      <c r="K1327" t="str">
        <f t="shared" si="20"/>
        <v>No</v>
      </c>
      <c r="L1327">
        <f>ABS((C1327-EDA!$F$15)/EDA!$G$15)</f>
        <v>0.37102735674304993</v>
      </c>
      <c r="M1327" t="str">
        <f>IF(moras[[#This Row],[Z-Score Salario]]&gt;1.96, "Sí", "No")</f>
        <v>No</v>
      </c>
      <c r="N1327" s="14">
        <f>IF(ISBLANK(moras[[#This Row],[SALARIO]]), EDA!$M$8, moras[[#This Row],[SALARIO]])</f>
        <v>278030</v>
      </c>
      <c r="O1327" s="14">
        <f xml:space="preserve"> IF(ISBLANK(moras[[#This Row],[EDAD]]), EDA!$E$8, moras[[#This Row],[EDAD]])</f>
        <v>36</v>
      </c>
      <c r="P1327" s="14" t="str">
        <f>IF(
    OR(ISBLANK(moras[[#This Row],[TIPO_ASEGURAMIENTO]]), moras[[#This Row],[TIPO_ASEGURAMIENTO]]=""),
    EDA!$A$32,
    moras[[#This Row],[TIPO_ASEGURAMIENTO]]
)</f>
        <v>CONVENIOS ESPECIALES DE TRABAJADORES INDEPENDIENTES</v>
      </c>
    </row>
    <row r="1328" spans="1:16" x14ac:dyDescent="0.3">
      <c r="A1328">
        <v>1327</v>
      </c>
      <c r="B1328" t="s">
        <v>15</v>
      </c>
      <c r="C1328">
        <v>190000</v>
      </c>
      <c r="D1328" t="s">
        <v>10</v>
      </c>
      <c r="E1328" t="s">
        <v>16</v>
      </c>
      <c r="F1328" t="s">
        <v>12</v>
      </c>
      <c r="G1328" t="s">
        <v>12</v>
      </c>
      <c r="H1328" t="s">
        <v>13</v>
      </c>
      <c r="I1328">
        <v>45</v>
      </c>
      <c r="J1328">
        <f>ABS((I1328-EDA!$A$15)/EDA!$B$15)</f>
        <v>0.21316630309012977</v>
      </c>
      <c r="K1328" t="str">
        <f t="shared" si="20"/>
        <v>No</v>
      </c>
      <c r="L1328">
        <f>ABS((C1328-EDA!$F$15)/EDA!$G$15)</f>
        <v>0.37249223808450066</v>
      </c>
      <c r="M1328" t="str">
        <f>IF(moras[[#This Row],[Z-Score Salario]]&gt;1.96, "Sí", "No")</f>
        <v>No</v>
      </c>
      <c r="N1328" s="14">
        <f>IF(ISBLANK(moras[[#This Row],[SALARIO]]), EDA!$M$8, moras[[#This Row],[SALARIO]])</f>
        <v>190000</v>
      </c>
      <c r="O1328" s="14">
        <f xml:space="preserve"> IF(ISBLANK(moras[[#This Row],[EDAD]]), EDA!$E$8, moras[[#This Row],[EDAD]])</f>
        <v>45</v>
      </c>
      <c r="P1328" s="14" t="str">
        <f>IF(
    OR(ISBLANK(moras[[#This Row],[TIPO_ASEGURAMIENTO]]), moras[[#This Row],[TIPO_ASEGURAMIENTO]]=""),
    EDA!$A$32,
    moras[[#This Row],[TIPO_ASEGURAMIENTO]]
)</f>
        <v>ASALARIADO</v>
      </c>
    </row>
    <row r="1329" spans="1:16" x14ac:dyDescent="0.3">
      <c r="A1329">
        <v>1328</v>
      </c>
      <c r="B1329" t="s">
        <v>9</v>
      </c>
      <c r="C1329">
        <v>385702</v>
      </c>
      <c r="D1329" t="s">
        <v>18</v>
      </c>
      <c r="E1329" t="s">
        <v>16</v>
      </c>
      <c r="F1329" t="s">
        <v>12</v>
      </c>
      <c r="G1329" t="s">
        <v>13</v>
      </c>
      <c r="H1329" t="s">
        <v>12</v>
      </c>
      <c r="I1329">
        <v>60</v>
      </c>
      <c r="J1329">
        <f>ABS((I1329-EDA!$A$15)/EDA!$B$15)</f>
        <v>1.2717962542471923</v>
      </c>
      <c r="K1329" t="str">
        <f t="shared" si="20"/>
        <v>No</v>
      </c>
      <c r="L1329">
        <f>ABS((C1329-EDA!$F$15)/EDA!$G$15)</f>
        <v>0.36923561865607185</v>
      </c>
      <c r="M1329" t="str">
        <f>IF(moras[[#This Row],[Z-Score Salario]]&gt;1.96, "Sí", "No")</f>
        <v>No</v>
      </c>
      <c r="N1329" s="14">
        <f>IF(ISBLANK(moras[[#This Row],[SALARIO]]), EDA!$M$8, moras[[#This Row],[SALARIO]])</f>
        <v>385702</v>
      </c>
      <c r="O1329" s="14">
        <f xml:space="preserve"> IF(ISBLANK(moras[[#This Row],[EDAD]]), EDA!$E$8, moras[[#This Row],[EDAD]])</f>
        <v>60</v>
      </c>
      <c r="P1329" s="14" t="str">
        <f>IF(
    OR(ISBLANK(moras[[#This Row],[TIPO_ASEGURAMIENTO]]), moras[[#This Row],[TIPO_ASEGURAMIENTO]]=""),
    EDA!$A$32,
    moras[[#This Row],[TIPO_ASEGURAMIENTO]]
)</f>
        <v>TRABAJADOR INDEPENDIENTE</v>
      </c>
    </row>
    <row r="1330" spans="1:16" x14ac:dyDescent="0.3">
      <c r="A1330">
        <v>1329</v>
      </c>
      <c r="B1330" t="s">
        <v>9</v>
      </c>
      <c r="C1330">
        <v>278030</v>
      </c>
      <c r="D1330" t="s">
        <v>19</v>
      </c>
      <c r="E1330" t="s">
        <v>16</v>
      </c>
      <c r="F1330" t="s">
        <v>12</v>
      </c>
      <c r="G1330" t="s">
        <v>12</v>
      </c>
      <c r="H1330" t="s">
        <v>13</v>
      </c>
      <c r="I1330">
        <v>37</v>
      </c>
      <c r="J1330">
        <f>ABS((I1330-EDA!$A$15)/EDA!$B$15)</f>
        <v>0.35143633752697023</v>
      </c>
      <c r="K1330" t="str">
        <f t="shared" si="20"/>
        <v>No</v>
      </c>
      <c r="L1330">
        <f>ABS((C1330-EDA!$F$15)/EDA!$G$15)</f>
        <v>0.37102735674304993</v>
      </c>
      <c r="M1330" t="str">
        <f>IF(moras[[#This Row],[Z-Score Salario]]&gt;1.96, "Sí", "No")</f>
        <v>No</v>
      </c>
      <c r="N1330" s="14">
        <f>IF(ISBLANK(moras[[#This Row],[SALARIO]]), EDA!$M$8, moras[[#This Row],[SALARIO]])</f>
        <v>278030</v>
      </c>
      <c r="O1330" s="14">
        <f xml:space="preserve"> IF(ISBLANK(moras[[#This Row],[EDAD]]), EDA!$E$8, moras[[#This Row],[EDAD]])</f>
        <v>37</v>
      </c>
      <c r="P1330" s="14" t="str">
        <f>IF(
    OR(ISBLANK(moras[[#This Row],[TIPO_ASEGURAMIENTO]]), moras[[#This Row],[TIPO_ASEGURAMIENTO]]=""),
    EDA!$A$32,
    moras[[#This Row],[TIPO_ASEGURAMIENTO]]
)</f>
        <v>CONVENIOS ESPECIALES DE TRABAJADORES INDEPENDIENTES</v>
      </c>
    </row>
    <row r="1331" spans="1:16" x14ac:dyDescent="0.3">
      <c r="A1331">
        <v>1330</v>
      </c>
      <c r="B1331" t="s">
        <v>9</v>
      </c>
      <c r="C1331">
        <v>324390</v>
      </c>
      <c r="D1331" t="s">
        <v>10</v>
      </c>
      <c r="E1331" t="s">
        <v>16</v>
      </c>
      <c r="F1331" t="s">
        <v>12</v>
      </c>
      <c r="G1331" t="s">
        <v>13</v>
      </c>
      <c r="H1331" t="s">
        <v>13</v>
      </c>
      <c r="I1331">
        <v>24</v>
      </c>
      <c r="J1331">
        <f>ABS((I1331-EDA!$A$15)/EDA!$B$15)</f>
        <v>1.2689156285297578</v>
      </c>
      <c r="K1331" t="str">
        <f t="shared" si="20"/>
        <v>No</v>
      </c>
      <c r="L1331">
        <f>ABS((C1331-EDA!$F$15)/EDA!$G$15)</f>
        <v>0.37025589361696049</v>
      </c>
      <c r="M1331" t="str">
        <f>IF(moras[[#This Row],[Z-Score Salario]]&gt;1.96, "Sí", "No")</f>
        <v>No</v>
      </c>
      <c r="N1331" s="14">
        <f>IF(ISBLANK(moras[[#This Row],[SALARIO]]), EDA!$M$8, moras[[#This Row],[SALARIO]])</f>
        <v>324390</v>
      </c>
      <c r="O1331" s="14">
        <f xml:space="preserve"> IF(ISBLANK(moras[[#This Row],[EDAD]]), EDA!$E$8, moras[[#This Row],[EDAD]])</f>
        <v>24</v>
      </c>
      <c r="P1331" s="14" t="str">
        <f>IF(
    OR(ISBLANK(moras[[#This Row],[TIPO_ASEGURAMIENTO]]), moras[[#This Row],[TIPO_ASEGURAMIENTO]]=""),
    EDA!$A$32,
    moras[[#This Row],[TIPO_ASEGURAMIENTO]]
)</f>
        <v>ASALARIADO</v>
      </c>
    </row>
    <row r="1332" spans="1:16" x14ac:dyDescent="0.3">
      <c r="A1332">
        <v>1331</v>
      </c>
      <c r="B1332" t="s">
        <v>15</v>
      </c>
      <c r="C1332">
        <v>2187872</v>
      </c>
      <c r="D1332" t="s">
        <v>14</v>
      </c>
      <c r="E1332" t="s">
        <v>11</v>
      </c>
      <c r="F1332" t="s">
        <v>12</v>
      </c>
      <c r="G1332" t="s">
        <v>13</v>
      </c>
      <c r="H1332" t="s">
        <v>13</v>
      </c>
      <c r="I1332">
        <v>68</v>
      </c>
      <c r="J1332">
        <f>ABS((I1332-EDA!$A$15)/EDA!$B$15)</f>
        <v>1.8363988948642924</v>
      </c>
      <c r="K1332" t="str">
        <f t="shared" si="20"/>
        <v>No</v>
      </c>
      <c r="L1332">
        <f>ABS((C1332-EDA!$F$15)/EDA!$G$15)</f>
        <v>0.33924623768228745</v>
      </c>
      <c r="M1332" t="str">
        <f>IF(moras[[#This Row],[Z-Score Salario]]&gt;1.96, "Sí", "No")</f>
        <v>No</v>
      </c>
      <c r="N1332" s="14">
        <f>IF(ISBLANK(moras[[#This Row],[SALARIO]]), EDA!$M$8, moras[[#This Row],[SALARIO]])</f>
        <v>2187872</v>
      </c>
      <c r="O1332" s="14">
        <f xml:space="preserve"> IF(ISBLANK(moras[[#This Row],[EDAD]]), EDA!$E$8, moras[[#This Row],[EDAD]])</f>
        <v>68</v>
      </c>
      <c r="P1332" s="14" t="str">
        <f>IF(
    OR(ISBLANK(moras[[#This Row],[TIPO_ASEGURAMIENTO]]), moras[[#This Row],[TIPO_ASEGURAMIENTO]]=""),
    EDA!$A$32,
    moras[[#This Row],[TIPO_ASEGURAMIENTO]]
)</f>
        <v>PENSIONADOS EN SU PROPIO SISTEMA</v>
      </c>
    </row>
    <row r="1333" spans="1:16" x14ac:dyDescent="0.3">
      <c r="A1333">
        <v>1332</v>
      </c>
      <c r="B1333" t="s">
        <v>9</v>
      </c>
      <c r="C1333">
        <v>305704</v>
      </c>
      <c r="D1333" t="s">
        <v>17</v>
      </c>
      <c r="E1333" t="s">
        <v>16</v>
      </c>
      <c r="F1333" t="s">
        <v>12</v>
      </c>
      <c r="G1333" t="s">
        <v>12</v>
      </c>
      <c r="H1333" t="s">
        <v>13</v>
      </c>
      <c r="I1333">
        <v>87</v>
      </c>
      <c r="J1333">
        <f>ABS((I1333-EDA!$A$15)/EDA!$B$15)</f>
        <v>3.1773301663299049</v>
      </c>
      <c r="K1333" t="str">
        <f t="shared" si="20"/>
        <v>Sí</v>
      </c>
      <c r="L1333">
        <f>ABS((C1333-EDA!$F$15)/EDA!$G$15)</f>
        <v>0.37056684184763578</v>
      </c>
      <c r="M1333" t="str">
        <f>IF(moras[[#This Row],[Z-Score Salario]]&gt;1.96, "Sí", "No")</f>
        <v>No</v>
      </c>
      <c r="N1333" s="14">
        <f>IF(ISBLANK(moras[[#This Row],[SALARIO]]), EDA!$M$8, moras[[#This Row],[SALARIO]])</f>
        <v>305704</v>
      </c>
      <c r="O1333" s="14">
        <f xml:space="preserve"> IF(ISBLANK(moras[[#This Row],[EDAD]]), EDA!$E$8, moras[[#This Row],[EDAD]])</f>
        <v>87</v>
      </c>
      <c r="P1333" s="14" t="str">
        <f>IF(
    OR(ISBLANK(moras[[#This Row],[TIPO_ASEGURAMIENTO]]), moras[[#This Row],[TIPO_ASEGURAMIENTO]]=""),
    EDA!$A$32,
    moras[[#This Row],[TIPO_ASEGURAMIENTO]]
)</f>
        <v>ASEGURADO VOLUNTARIO</v>
      </c>
    </row>
    <row r="1334" spans="1:16" x14ac:dyDescent="0.3">
      <c r="A1334">
        <v>1333</v>
      </c>
      <c r="B1334" t="s">
        <v>15</v>
      </c>
      <c r="C1334">
        <v>38948125</v>
      </c>
      <c r="D1334" t="s">
        <v>10</v>
      </c>
      <c r="E1334" t="s">
        <v>16</v>
      </c>
      <c r="F1334" t="s">
        <v>12</v>
      </c>
      <c r="G1334" t="s">
        <v>12</v>
      </c>
      <c r="H1334" t="s">
        <v>13</v>
      </c>
      <c r="I1334">
        <v>45</v>
      </c>
      <c r="J1334">
        <f>ABS((I1334-EDA!$A$15)/EDA!$B$15)</f>
        <v>0.21316630309012977</v>
      </c>
      <c r="K1334" t="str">
        <f t="shared" si="20"/>
        <v>No</v>
      </c>
      <c r="L1334">
        <f>ABS((C1334-EDA!$F$15)/EDA!$G$15)</f>
        <v>0.27247032174867658</v>
      </c>
      <c r="M1334" t="str">
        <f>IF(moras[[#This Row],[Z-Score Salario]]&gt;1.96, "Sí", "No")</f>
        <v>No</v>
      </c>
      <c r="N1334" s="14">
        <f>IF(ISBLANK(moras[[#This Row],[SALARIO]]), EDA!$M$8, moras[[#This Row],[SALARIO]])</f>
        <v>38948125</v>
      </c>
      <c r="O1334" s="14">
        <f xml:space="preserve"> IF(ISBLANK(moras[[#This Row],[EDAD]]), EDA!$E$8, moras[[#This Row],[EDAD]])</f>
        <v>45</v>
      </c>
      <c r="P1334" s="14" t="str">
        <f>IF(
    OR(ISBLANK(moras[[#This Row],[TIPO_ASEGURAMIENTO]]), moras[[#This Row],[TIPO_ASEGURAMIENTO]]=""),
    EDA!$A$32,
    moras[[#This Row],[TIPO_ASEGURAMIENTO]]
)</f>
        <v>ASALARIADO</v>
      </c>
    </row>
    <row r="1335" spans="1:16" x14ac:dyDescent="0.3">
      <c r="A1335">
        <v>1334</v>
      </c>
      <c r="B1335" t="s">
        <v>9</v>
      </c>
      <c r="C1335">
        <v>450000</v>
      </c>
      <c r="D1335" t="s">
        <v>10</v>
      </c>
      <c r="E1335" t="s">
        <v>16</v>
      </c>
      <c r="F1335" t="s">
        <v>12</v>
      </c>
      <c r="G1335" t="s">
        <v>13</v>
      </c>
      <c r="H1335" t="s">
        <v>13</v>
      </c>
      <c r="I1335">
        <v>23</v>
      </c>
      <c r="J1335">
        <f>ABS((I1335-EDA!$A$15)/EDA!$B$15)</f>
        <v>1.3394909586068953</v>
      </c>
      <c r="K1335" t="str">
        <f t="shared" si="20"/>
        <v>No</v>
      </c>
      <c r="L1335">
        <f>ABS((C1335-EDA!$F$15)/EDA!$G$15)</f>
        <v>0.36816565454732936</v>
      </c>
      <c r="M1335" t="str">
        <f>IF(moras[[#This Row],[Z-Score Salario]]&gt;1.96, "Sí", "No")</f>
        <v>No</v>
      </c>
      <c r="N1335" s="14">
        <f>IF(ISBLANK(moras[[#This Row],[SALARIO]]), EDA!$M$8, moras[[#This Row],[SALARIO]])</f>
        <v>450000</v>
      </c>
      <c r="O1335" s="14">
        <f xml:space="preserve"> IF(ISBLANK(moras[[#This Row],[EDAD]]), EDA!$E$8, moras[[#This Row],[EDAD]])</f>
        <v>23</v>
      </c>
      <c r="P1335" s="14" t="str">
        <f>IF(
    OR(ISBLANK(moras[[#This Row],[TIPO_ASEGURAMIENTO]]), moras[[#This Row],[TIPO_ASEGURAMIENTO]]=""),
    EDA!$A$32,
    moras[[#This Row],[TIPO_ASEGURAMIENTO]]
)</f>
        <v>ASALARIADO</v>
      </c>
    </row>
    <row r="1336" spans="1:16" x14ac:dyDescent="0.3">
      <c r="A1336">
        <v>1335</v>
      </c>
      <c r="B1336" t="s">
        <v>15</v>
      </c>
      <c r="C1336">
        <v>489897</v>
      </c>
      <c r="D1336" t="s">
        <v>10</v>
      </c>
      <c r="E1336" t="s">
        <v>16</v>
      </c>
      <c r="F1336" t="s">
        <v>12</v>
      </c>
      <c r="G1336" t="s">
        <v>13</v>
      </c>
      <c r="H1336" t="s">
        <v>13</v>
      </c>
      <c r="I1336">
        <v>21</v>
      </c>
      <c r="J1336">
        <f>ABS((I1336-EDA!$A$15)/EDA!$B$15)</f>
        <v>1.4806416187611704</v>
      </c>
      <c r="K1336" t="str">
        <f t="shared" si="20"/>
        <v>No</v>
      </c>
      <c r="L1336">
        <f>ABS((C1336-EDA!$F$15)/EDA!$G$15)</f>
        <v>0.36750174030355043</v>
      </c>
      <c r="M1336" t="str">
        <f>IF(moras[[#This Row],[Z-Score Salario]]&gt;1.96, "Sí", "No")</f>
        <v>No</v>
      </c>
      <c r="N1336" s="14">
        <f>IF(ISBLANK(moras[[#This Row],[SALARIO]]), EDA!$M$8, moras[[#This Row],[SALARIO]])</f>
        <v>489897</v>
      </c>
      <c r="O1336" s="14">
        <f xml:space="preserve"> IF(ISBLANK(moras[[#This Row],[EDAD]]), EDA!$E$8, moras[[#This Row],[EDAD]])</f>
        <v>21</v>
      </c>
      <c r="P1336" s="14" t="str">
        <f>IF(
    OR(ISBLANK(moras[[#This Row],[TIPO_ASEGURAMIENTO]]), moras[[#This Row],[TIPO_ASEGURAMIENTO]]=""),
    EDA!$A$32,
    moras[[#This Row],[TIPO_ASEGURAMIENTO]]
)</f>
        <v>ASALARIADO</v>
      </c>
    </row>
    <row r="1337" spans="1:16" x14ac:dyDescent="0.3">
      <c r="A1337">
        <v>1336</v>
      </c>
      <c r="B1337" t="s">
        <v>9</v>
      </c>
      <c r="C1337">
        <v>977750</v>
      </c>
      <c r="D1337" t="s">
        <v>10</v>
      </c>
      <c r="E1337" t="s">
        <v>16</v>
      </c>
      <c r="F1337" t="s">
        <v>12</v>
      </c>
      <c r="G1337" t="s">
        <v>13</v>
      </c>
      <c r="H1337" t="s">
        <v>13</v>
      </c>
      <c r="I1337">
        <v>31</v>
      </c>
      <c r="J1337">
        <f>ABS((I1337-EDA!$A$15)/EDA!$B$15)</f>
        <v>0.77488831798979529</v>
      </c>
      <c r="K1337" t="str">
        <f t="shared" si="20"/>
        <v>No</v>
      </c>
      <c r="L1337">
        <f>ABS((C1337-EDA!$F$15)/EDA!$G$15)</f>
        <v>0.35938352200216733</v>
      </c>
      <c r="M1337" t="str">
        <f>IF(moras[[#This Row],[Z-Score Salario]]&gt;1.96, "Sí", "No")</f>
        <v>No</v>
      </c>
      <c r="N1337" s="14">
        <f>IF(ISBLANK(moras[[#This Row],[SALARIO]]), EDA!$M$8, moras[[#This Row],[SALARIO]])</f>
        <v>977750</v>
      </c>
      <c r="O1337" s="14">
        <f xml:space="preserve"> IF(ISBLANK(moras[[#This Row],[EDAD]]), EDA!$E$8, moras[[#This Row],[EDAD]])</f>
        <v>31</v>
      </c>
      <c r="P1337" s="14" t="str">
        <f>IF(
    OR(ISBLANK(moras[[#This Row],[TIPO_ASEGURAMIENTO]]), moras[[#This Row],[TIPO_ASEGURAMIENTO]]=""),
    EDA!$A$32,
    moras[[#This Row],[TIPO_ASEGURAMIENTO]]
)</f>
        <v>ASALARIADO</v>
      </c>
    </row>
    <row r="1338" spans="1:16" x14ac:dyDescent="0.3">
      <c r="A1338">
        <v>1337</v>
      </c>
      <c r="B1338" t="s">
        <v>9</v>
      </c>
      <c r="C1338">
        <v>305000</v>
      </c>
      <c r="D1338" t="s">
        <v>10</v>
      </c>
      <c r="E1338" t="s">
        <v>16</v>
      </c>
      <c r="F1338" t="s">
        <v>12</v>
      </c>
      <c r="G1338" t="s">
        <v>12</v>
      </c>
      <c r="H1338" t="s">
        <v>13</v>
      </c>
      <c r="I1338">
        <v>37</v>
      </c>
      <c r="J1338">
        <f>ABS((I1338-EDA!$A$15)/EDA!$B$15)</f>
        <v>0.35143633752697023</v>
      </c>
      <c r="K1338" t="str">
        <f t="shared" si="20"/>
        <v>No</v>
      </c>
      <c r="L1338">
        <f>ABS((C1338-EDA!$F$15)/EDA!$G$15)</f>
        <v>0.37057855690459796</v>
      </c>
      <c r="M1338" t="str">
        <f>IF(moras[[#This Row],[Z-Score Salario]]&gt;1.96, "Sí", "No")</f>
        <v>No</v>
      </c>
      <c r="N1338" s="14">
        <f>IF(ISBLANK(moras[[#This Row],[SALARIO]]), EDA!$M$8, moras[[#This Row],[SALARIO]])</f>
        <v>305000</v>
      </c>
      <c r="O1338" s="14">
        <f xml:space="preserve"> IF(ISBLANK(moras[[#This Row],[EDAD]]), EDA!$E$8, moras[[#This Row],[EDAD]])</f>
        <v>37</v>
      </c>
      <c r="P1338" s="14" t="str">
        <f>IF(
    OR(ISBLANK(moras[[#This Row],[TIPO_ASEGURAMIENTO]]), moras[[#This Row],[TIPO_ASEGURAMIENTO]]=""),
    EDA!$A$32,
    moras[[#This Row],[TIPO_ASEGURAMIENTO]]
)</f>
        <v>ASALARIADO</v>
      </c>
    </row>
    <row r="1339" spans="1:16" x14ac:dyDescent="0.3">
      <c r="A1339">
        <v>1338</v>
      </c>
      <c r="B1339" t="s">
        <v>15</v>
      </c>
      <c r="C1339">
        <v>297046</v>
      </c>
      <c r="D1339" t="s">
        <v>17</v>
      </c>
      <c r="E1339" t="s">
        <v>16</v>
      </c>
      <c r="F1339" t="s">
        <v>12</v>
      </c>
      <c r="G1339" t="s">
        <v>13</v>
      </c>
      <c r="H1339" t="s">
        <v>13</v>
      </c>
      <c r="I1339">
        <v>31</v>
      </c>
      <c r="J1339">
        <f>ABS((I1339-EDA!$A$15)/EDA!$B$15)</f>
        <v>0.77488831798979529</v>
      </c>
      <c r="K1339" t="str">
        <f t="shared" si="20"/>
        <v>No</v>
      </c>
      <c r="L1339">
        <f>ABS((C1339-EDA!$F$15)/EDA!$G$15)</f>
        <v>0.37071091707942361</v>
      </c>
      <c r="M1339" t="str">
        <f>IF(moras[[#This Row],[Z-Score Salario]]&gt;1.96, "Sí", "No")</f>
        <v>No</v>
      </c>
      <c r="N1339" s="14">
        <f>IF(ISBLANK(moras[[#This Row],[SALARIO]]), EDA!$M$8, moras[[#This Row],[SALARIO]])</f>
        <v>297046</v>
      </c>
      <c r="O1339" s="14">
        <f xml:space="preserve"> IF(ISBLANK(moras[[#This Row],[EDAD]]), EDA!$E$8, moras[[#This Row],[EDAD]])</f>
        <v>31</v>
      </c>
      <c r="P1339" s="14" t="str">
        <f>IF(
    OR(ISBLANK(moras[[#This Row],[TIPO_ASEGURAMIENTO]]), moras[[#This Row],[TIPO_ASEGURAMIENTO]]=""),
    EDA!$A$32,
    moras[[#This Row],[TIPO_ASEGURAMIENTO]]
)</f>
        <v>ASEGURADO VOLUNTARIO</v>
      </c>
    </row>
    <row r="1340" spans="1:16" x14ac:dyDescent="0.3">
      <c r="A1340">
        <v>1339</v>
      </c>
      <c r="B1340" t="s">
        <v>9</v>
      </c>
      <c r="C1340">
        <v>6524956</v>
      </c>
      <c r="D1340" t="s">
        <v>10</v>
      </c>
      <c r="E1340" t="s">
        <v>16</v>
      </c>
      <c r="F1340" t="s">
        <v>12</v>
      </c>
      <c r="G1340" t="s">
        <v>12</v>
      </c>
      <c r="H1340" t="s">
        <v>13</v>
      </c>
      <c r="I1340">
        <v>26</v>
      </c>
      <c r="J1340">
        <f>ABS((I1340-EDA!$A$15)/EDA!$B$15)</f>
        <v>1.1277649683754829</v>
      </c>
      <c r="K1340" t="str">
        <f t="shared" si="20"/>
        <v>No</v>
      </c>
      <c r="L1340">
        <f>ABS((C1340-EDA!$F$15)/EDA!$G$15)</f>
        <v>0.26707409832179169</v>
      </c>
      <c r="M1340" t="str">
        <f>IF(moras[[#This Row],[Z-Score Salario]]&gt;1.96, "Sí", "No")</f>
        <v>No</v>
      </c>
      <c r="N1340" s="14">
        <f>IF(ISBLANK(moras[[#This Row],[SALARIO]]), EDA!$M$8, moras[[#This Row],[SALARIO]])</f>
        <v>6524956</v>
      </c>
      <c r="O1340" s="14">
        <f xml:space="preserve"> IF(ISBLANK(moras[[#This Row],[EDAD]]), EDA!$E$8, moras[[#This Row],[EDAD]])</f>
        <v>26</v>
      </c>
      <c r="P1340" s="14" t="str">
        <f>IF(
    OR(ISBLANK(moras[[#This Row],[TIPO_ASEGURAMIENTO]]), moras[[#This Row],[TIPO_ASEGURAMIENTO]]=""),
    EDA!$A$32,
    moras[[#This Row],[TIPO_ASEGURAMIENTO]]
)</f>
        <v>ASALARIADO</v>
      </c>
    </row>
    <row r="1341" spans="1:16" x14ac:dyDescent="0.3">
      <c r="A1341">
        <v>1340</v>
      </c>
      <c r="B1341" t="s">
        <v>15</v>
      </c>
      <c r="C1341">
        <v>659264</v>
      </c>
      <c r="D1341" t="s">
        <v>10</v>
      </c>
      <c r="E1341" t="s">
        <v>11</v>
      </c>
      <c r="F1341" t="s">
        <v>12</v>
      </c>
      <c r="G1341" t="s">
        <v>13</v>
      </c>
      <c r="H1341" t="s">
        <v>13</v>
      </c>
      <c r="I1341">
        <v>40</v>
      </c>
      <c r="J1341">
        <f>ABS((I1341-EDA!$A$15)/EDA!$B$15)</f>
        <v>0.13971034729555773</v>
      </c>
      <c r="K1341" t="str">
        <f t="shared" si="20"/>
        <v>No</v>
      </c>
      <c r="L1341">
        <f>ABS((C1341-EDA!$F$15)/EDA!$G$15)</f>
        <v>0.36468335386531936</v>
      </c>
      <c r="M1341" t="str">
        <f>IF(moras[[#This Row],[Z-Score Salario]]&gt;1.96, "Sí", "No")</f>
        <v>No</v>
      </c>
      <c r="N1341" s="14">
        <f>IF(ISBLANK(moras[[#This Row],[SALARIO]]), EDA!$M$8, moras[[#This Row],[SALARIO]])</f>
        <v>659264</v>
      </c>
      <c r="O1341" s="14">
        <f xml:space="preserve"> IF(ISBLANK(moras[[#This Row],[EDAD]]), EDA!$E$8, moras[[#This Row],[EDAD]])</f>
        <v>40</v>
      </c>
      <c r="P1341" s="14" t="str">
        <f>IF(
    OR(ISBLANK(moras[[#This Row],[TIPO_ASEGURAMIENTO]]), moras[[#This Row],[TIPO_ASEGURAMIENTO]]=""),
    EDA!$A$32,
    moras[[#This Row],[TIPO_ASEGURAMIENTO]]
)</f>
        <v>ASALARIADO</v>
      </c>
    </row>
    <row r="1342" spans="1:16" x14ac:dyDescent="0.3">
      <c r="A1342">
        <v>1341</v>
      </c>
      <c r="B1342" t="s">
        <v>15</v>
      </c>
      <c r="C1342">
        <v>89680293</v>
      </c>
      <c r="D1342" t="s">
        <v>10</v>
      </c>
      <c r="E1342" t="s">
        <v>11</v>
      </c>
      <c r="F1342" t="s">
        <v>12</v>
      </c>
      <c r="G1342" t="s">
        <v>13</v>
      </c>
      <c r="H1342" t="s">
        <v>13</v>
      </c>
      <c r="I1342">
        <v>38</v>
      </c>
      <c r="J1342">
        <f>ABS((I1342-EDA!$A$15)/EDA!$B$15)</f>
        <v>0.28086100744983278</v>
      </c>
      <c r="K1342" t="str">
        <f t="shared" si="20"/>
        <v>No</v>
      </c>
      <c r="L1342">
        <f>ABS((C1342-EDA!$F$15)/EDA!$G$15)</f>
        <v>1.116689409724857</v>
      </c>
      <c r="M1342" t="str">
        <f>IF(moras[[#This Row],[Z-Score Salario]]&gt;1.96, "Sí", "No")</f>
        <v>No</v>
      </c>
      <c r="N1342" s="14">
        <f>IF(ISBLANK(moras[[#This Row],[SALARIO]]), EDA!$M$8, moras[[#This Row],[SALARIO]])</f>
        <v>89680293</v>
      </c>
      <c r="O1342" s="14">
        <f xml:space="preserve"> IF(ISBLANK(moras[[#This Row],[EDAD]]), EDA!$E$8, moras[[#This Row],[EDAD]])</f>
        <v>38</v>
      </c>
      <c r="P1342" s="14" t="str">
        <f>IF(
    OR(ISBLANK(moras[[#This Row],[TIPO_ASEGURAMIENTO]]), moras[[#This Row],[TIPO_ASEGURAMIENTO]]=""),
    EDA!$A$32,
    moras[[#This Row],[TIPO_ASEGURAMIENTO]]
)</f>
        <v>ASALARIADO</v>
      </c>
    </row>
    <row r="1343" spans="1:16" x14ac:dyDescent="0.3">
      <c r="A1343">
        <v>1342</v>
      </c>
      <c r="B1343" t="s">
        <v>9</v>
      </c>
      <c r="C1343">
        <v>319572</v>
      </c>
      <c r="D1343" t="s">
        <v>10</v>
      </c>
      <c r="E1343" t="s">
        <v>16</v>
      </c>
      <c r="F1343" t="s">
        <v>12</v>
      </c>
      <c r="G1343" t="s">
        <v>13</v>
      </c>
      <c r="H1343" t="s">
        <v>12</v>
      </c>
      <c r="I1343">
        <v>38</v>
      </c>
      <c r="J1343">
        <f>ABS((I1343-EDA!$A$15)/EDA!$B$15)</f>
        <v>0.28086100744983278</v>
      </c>
      <c r="K1343" t="str">
        <f t="shared" si="20"/>
        <v>No</v>
      </c>
      <c r="L1343">
        <f>ABS((C1343-EDA!$F$15)/EDA!$G$15)</f>
        <v>0.3703360685380454</v>
      </c>
      <c r="M1343" t="str">
        <f>IF(moras[[#This Row],[Z-Score Salario]]&gt;1.96, "Sí", "No")</f>
        <v>No</v>
      </c>
      <c r="N1343" s="14">
        <f>IF(ISBLANK(moras[[#This Row],[SALARIO]]), EDA!$M$8, moras[[#This Row],[SALARIO]])</f>
        <v>319572</v>
      </c>
      <c r="O1343" s="14">
        <f xml:space="preserve"> IF(ISBLANK(moras[[#This Row],[EDAD]]), EDA!$E$8, moras[[#This Row],[EDAD]])</f>
        <v>38</v>
      </c>
      <c r="P1343" s="14" t="str">
        <f>IF(
    OR(ISBLANK(moras[[#This Row],[TIPO_ASEGURAMIENTO]]), moras[[#This Row],[TIPO_ASEGURAMIENTO]]=""),
    EDA!$A$32,
    moras[[#This Row],[TIPO_ASEGURAMIENTO]]
)</f>
        <v>ASALARIADO</v>
      </c>
    </row>
    <row r="1344" spans="1:16" x14ac:dyDescent="0.3">
      <c r="A1344">
        <v>1343</v>
      </c>
      <c r="B1344" t="s">
        <v>9</v>
      </c>
      <c r="C1344">
        <v>62929261</v>
      </c>
      <c r="D1344" t="s">
        <v>10</v>
      </c>
      <c r="E1344" t="s">
        <v>16</v>
      </c>
      <c r="F1344" t="s">
        <v>12</v>
      </c>
      <c r="G1344" t="s">
        <v>13</v>
      </c>
      <c r="H1344" t="s">
        <v>13</v>
      </c>
      <c r="I1344">
        <v>42</v>
      </c>
      <c r="J1344">
        <f>ABS((I1344-EDA!$A$15)/EDA!$B$15)</f>
        <v>1.4403128587172659E-3</v>
      </c>
      <c r="K1344" t="str">
        <f t="shared" si="20"/>
        <v>No</v>
      </c>
      <c r="L1344">
        <f>ABS((C1344-EDA!$F$15)/EDA!$G$15)</f>
        <v>0.67153335336508113</v>
      </c>
      <c r="M1344" t="str">
        <f>IF(moras[[#This Row],[Z-Score Salario]]&gt;1.96, "Sí", "No")</f>
        <v>No</v>
      </c>
      <c r="N1344" s="14">
        <f>IF(ISBLANK(moras[[#This Row],[SALARIO]]), EDA!$M$8, moras[[#This Row],[SALARIO]])</f>
        <v>62929261</v>
      </c>
      <c r="O1344" s="14">
        <f xml:space="preserve"> IF(ISBLANK(moras[[#This Row],[EDAD]]), EDA!$E$8, moras[[#This Row],[EDAD]])</f>
        <v>42</v>
      </c>
      <c r="P1344" s="14" t="str">
        <f>IF(
    OR(ISBLANK(moras[[#This Row],[TIPO_ASEGURAMIENTO]]), moras[[#This Row],[TIPO_ASEGURAMIENTO]]=""),
    EDA!$A$32,
    moras[[#This Row],[TIPO_ASEGURAMIENTO]]
)</f>
        <v>ASALARIADO</v>
      </c>
    </row>
    <row r="1345" spans="1:16" x14ac:dyDescent="0.3">
      <c r="A1345">
        <v>1344</v>
      </c>
      <c r="B1345" t="s">
        <v>15</v>
      </c>
      <c r="C1345">
        <v>1408126</v>
      </c>
      <c r="D1345" t="s">
        <v>10</v>
      </c>
      <c r="E1345" t="s">
        <v>11</v>
      </c>
      <c r="F1345" t="s">
        <v>12</v>
      </c>
      <c r="G1345" t="s">
        <v>13</v>
      </c>
      <c r="H1345" t="s">
        <v>13</v>
      </c>
      <c r="I1345">
        <v>37</v>
      </c>
      <c r="J1345">
        <f>ABS((I1345-EDA!$A$15)/EDA!$B$15)</f>
        <v>0.35143633752697023</v>
      </c>
      <c r="K1345" t="str">
        <f t="shared" si="20"/>
        <v>No</v>
      </c>
      <c r="L1345">
        <f>ABS((C1345-EDA!$F$15)/EDA!$G$15)</f>
        <v>0.35222176155449952</v>
      </c>
      <c r="M1345" t="str">
        <f>IF(moras[[#This Row],[Z-Score Salario]]&gt;1.96, "Sí", "No")</f>
        <v>No</v>
      </c>
      <c r="N1345" s="14">
        <f>IF(ISBLANK(moras[[#This Row],[SALARIO]]), EDA!$M$8, moras[[#This Row],[SALARIO]])</f>
        <v>1408126</v>
      </c>
      <c r="O1345" s="14">
        <f xml:space="preserve"> IF(ISBLANK(moras[[#This Row],[EDAD]]), EDA!$E$8, moras[[#This Row],[EDAD]])</f>
        <v>37</v>
      </c>
      <c r="P1345" s="14" t="str">
        <f>IF(
    OR(ISBLANK(moras[[#This Row],[TIPO_ASEGURAMIENTO]]), moras[[#This Row],[TIPO_ASEGURAMIENTO]]=""),
    EDA!$A$32,
    moras[[#This Row],[TIPO_ASEGURAMIENTO]]
)</f>
        <v>ASALARIADO</v>
      </c>
    </row>
    <row r="1346" spans="1:16" x14ac:dyDescent="0.3">
      <c r="A1346">
        <v>1345</v>
      </c>
      <c r="B1346" t="s">
        <v>9</v>
      </c>
      <c r="C1346">
        <v>1575682</v>
      </c>
      <c r="D1346" t="s">
        <v>10</v>
      </c>
      <c r="E1346" t="s">
        <v>11</v>
      </c>
      <c r="F1346" t="s">
        <v>12</v>
      </c>
      <c r="G1346" t="s">
        <v>13</v>
      </c>
      <c r="H1346" t="s">
        <v>13</v>
      </c>
      <c r="I1346">
        <v>38</v>
      </c>
      <c r="J1346">
        <f>ABS((I1346-EDA!$A$15)/EDA!$B$15)</f>
        <v>0.28086100744983278</v>
      </c>
      <c r="K1346" t="str">
        <f t="shared" ref="K1346:K1409" si="21">IF(J1346 &gt;  1.96, "Sí","No")</f>
        <v>No</v>
      </c>
      <c r="L1346">
        <f>ABS((C1346-EDA!$F$15)/EDA!$G$15)</f>
        <v>0.34943351143467544</v>
      </c>
      <c r="M1346" t="str">
        <f>IF(moras[[#This Row],[Z-Score Salario]]&gt;1.96, "Sí", "No")</f>
        <v>No</v>
      </c>
      <c r="N1346" s="14">
        <f>IF(ISBLANK(moras[[#This Row],[SALARIO]]), EDA!$M$8, moras[[#This Row],[SALARIO]])</f>
        <v>1575682</v>
      </c>
      <c r="O1346" s="14">
        <f xml:space="preserve"> IF(ISBLANK(moras[[#This Row],[EDAD]]), EDA!$E$8, moras[[#This Row],[EDAD]])</f>
        <v>38</v>
      </c>
      <c r="P1346" s="14" t="str">
        <f>IF(
    OR(ISBLANK(moras[[#This Row],[TIPO_ASEGURAMIENTO]]), moras[[#This Row],[TIPO_ASEGURAMIENTO]]=""),
    EDA!$A$32,
    moras[[#This Row],[TIPO_ASEGURAMIENTO]]
)</f>
        <v>ASALARIADO</v>
      </c>
    </row>
    <row r="1347" spans="1:16" x14ac:dyDescent="0.3">
      <c r="A1347">
        <v>1346</v>
      </c>
      <c r="B1347" t="s">
        <v>15</v>
      </c>
      <c r="C1347">
        <v>26833333</v>
      </c>
      <c r="D1347" t="s">
        <v>10</v>
      </c>
      <c r="E1347" t="s">
        <v>16</v>
      </c>
      <c r="F1347" t="s">
        <v>12</v>
      </c>
      <c r="G1347" t="s">
        <v>13</v>
      </c>
      <c r="H1347" t="s">
        <v>13</v>
      </c>
      <c r="I1347">
        <v>29</v>
      </c>
      <c r="J1347">
        <f>ABS((I1347-EDA!$A$15)/EDA!$B$15)</f>
        <v>0.91603897814407031</v>
      </c>
      <c r="K1347" t="str">
        <f t="shared" si="21"/>
        <v>No</v>
      </c>
      <c r="L1347">
        <f>ABS((C1347-EDA!$F$15)/EDA!$G$15)</f>
        <v>7.0871630889237508E-2</v>
      </c>
      <c r="M1347" t="str">
        <f>IF(moras[[#This Row],[Z-Score Salario]]&gt;1.96, "Sí", "No")</f>
        <v>No</v>
      </c>
      <c r="N1347" s="14">
        <f>IF(ISBLANK(moras[[#This Row],[SALARIO]]), EDA!$M$8, moras[[#This Row],[SALARIO]])</f>
        <v>26833333</v>
      </c>
      <c r="O1347" s="14">
        <f xml:space="preserve"> IF(ISBLANK(moras[[#This Row],[EDAD]]), EDA!$E$8, moras[[#This Row],[EDAD]])</f>
        <v>29</v>
      </c>
      <c r="P1347" s="14" t="str">
        <f>IF(
    OR(ISBLANK(moras[[#This Row],[TIPO_ASEGURAMIENTO]]), moras[[#This Row],[TIPO_ASEGURAMIENTO]]=""),
    EDA!$A$32,
    moras[[#This Row],[TIPO_ASEGURAMIENTO]]
)</f>
        <v>ASALARIADO</v>
      </c>
    </row>
    <row r="1348" spans="1:16" x14ac:dyDescent="0.3">
      <c r="A1348">
        <v>1347</v>
      </c>
      <c r="B1348" t="s">
        <v>15</v>
      </c>
      <c r="C1348">
        <v>308000</v>
      </c>
      <c r="D1348" t="s">
        <v>10</v>
      </c>
      <c r="E1348" t="s">
        <v>16</v>
      </c>
      <c r="F1348" t="s">
        <v>12</v>
      </c>
      <c r="G1348" t="s">
        <v>13</v>
      </c>
      <c r="H1348" t="s">
        <v>13</v>
      </c>
      <c r="I1348">
        <v>57</v>
      </c>
      <c r="J1348">
        <f>ABS((I1348-EDA!$A$15)/EDA!$B$15)</f>
        <v>1.0600702640157798</v>
      </c>
      <c r="K1348" t="str">
        <f t="shared" si="21"/>
        <v>No</v>
      </c>
      <c r="L1348">
        <f>ABS((C1348-EDA!$F$15)/EDA!$G$15)</f>
        <v>0.37052863478686138</v>
      </c>
      <c r="M1348" t="str">
        <f>IF(moras[[#This Row],[Z-Score Salario]]&gt;1.96, "Sí", "No")</f>
        <v>No</v>
      </c>
      <c r="N1348" s="14">
        <f>IF(ISBLANK(moras[[#This Row],[SALARIO]]), EDA!$M$8, moras[[#This Row],[SALARIO]])</f>
        <v>308000</v>
      </c>
      <c r="O1348" s="14">
        <f xml:space="preserve"> IF(ISBLANK(moras[[#This Row],[EDAD]]), EDA!$E$8, moras[[#This Row],[EDAD]])</f>
        <v>57</v>
      </c>
      <c r="P1348" s="14" t="str">
        <f>IF(
    OR(ISBLANK(moras[[#This Row],[TIPO_ASEGURAMIENTO]]), moras[[#This Row],[TIPO_ASEGURAMIENTO]]=""),
    EDA!$A$32,
    moras[[#This Row],[TIPO_ASEGURAMIENTO]]
)</f>
        <v>ASALARIADO</v>
      </c>
    </row>
    <row r="1349" spans="1:16" x14ac:dyDescent="0.3">
      <c r="A1349">
        <v>1348</v>
      </c>
      <c r="B1349" t="s">
        <v>9</v>
      </c>
      <c r="C1349">
        <v>350000</v>
      </c>
      <c r="D1349" t="s">
        <v>10</v>
      </c>
      <c r="E1349" t="s">
        <v>16</v>
      </c>
      <c r="F1349" t="s">
        <v>12</v>
      </c>
      <c r="G1349" t="s">
        <v>13</v>
      </c>
      <c r="H1349" t="s">
        <v>12</v>
      </c>
      <c r="I1349">
        <v>31</v>
      </c>
      <c r="J1349">
        <f>ABS((I1349-EDA!$A$15)/EDA!$B$15)</f>
        <v>0.77488831798979529</v>
      </c>
      <c r="K1349" t="str">
        <f t="shared" si="21"/>
        <v>No</v>
      </c>
      <c r="L1349">
        <f>ABS((C1349-EDA!$F$15)/EDA!$G$15)</f>
        <v>0.36982972513854911</v>
      </c>
      <c r="M1349" t="str">
        <f>IF(moras[[#This Row],[Z-Score Salario]]&gt;1.96, "Sí", "No")</f>
        <v>No</v>
      </c>
      <c r="N1349" s="14">
        <f>IF(ISBLANK(moras[[#This Row],[SALARIO]]), EDA!$M$8, moras[[#This Row],[SALARIO]])</f>
        <v>350000</v>
      </c>
      <c r="O1349" s="14">
        <f xml:space="preserve"> IF(ISBLANK(moras[[#This Row],[EDAD]]), EDA!$E$8, moras[[#This Row],[EDAD]])</f>
        <v>31</v>
      </c>
      <c r="P1349" s="14" t="str">
        <f>IF(
    OR(ISBLANK(moras[[#This Row],[TIPO_ASEGURAMIENTO]]), moras[[#This Row],[TIPO_ASEGURAMIENTO]]=""),
    EDA!$A$32,
    moras[[#This Row],[TIPO_ASEGURAMIENTO]]
)</f>
        <v>ASALARIADO</v>
      </c>
    </row>
    <row r="1350" spans="1:16" x14ac:dyDescent="0.3">
      <c r="A1350">
        <v>1349</v>
      </c>
      <c r="B1350" t="s">
        <v>15</v>
      </c>
      <c r="C1350">
        <v>5907065</v>
      </c>
      <c r="D1350" t="s">
        <v>10</v>
      </c>
      <c r="E1350" t="s">
        <v>11</v>
      </c>
      <c r="F1350" t="s">
        <v>12</v>
      </c>
      <c r="G1350" t="s">
        <v>13</v>
      </c>
      <c r="H1350" t="s">
        <v>13</v>
      </c>
      <c r="I1350">
        <v>32</v>
      </c>
      <c r="J1350">
        <f>ABS((I1350-EDA!$A$15)/EDA!$B$15)</f>
        <v>0.70431298791265773</v>
      </c>
      <c r="K1350" t="str">
        <f t="shared" si="21"/>
        <v>No</v>
      </c>
      <c r="L1350">
        <f>ABS((C1350-EDA!$F$15)/EDA!$G$15)</f>
        <v>0.27735624073858511</v>
      </c>
      <c r="M1350" t="str">
        <f>IF(moras[[#This Row],[Z-Score Salario]]&gt;1.96, "Sí", "No")</f>
        <v>No</v>
      </c>
      <c r="N1350" s="14">
        <f>IF(ISBLANK(moras[[#This Row],[SALARIO]]), EDA!$M$8, moras[[#This Row],[SALARIO]])</f>
        <v>5907065</v>
      </c>
      <c r="O1350" s="14">
        <f xml:space="preserve"> IF(ISBLANK(moras[[#This Row],[EDAD]]), EDA!$E$8, moras[[#This Row],[EDAD]])</f>
        <v>32</v>
      </c>
      <c r="P1350" s="14" t="str">
        <f>IF(
    OR(ISBLANK(moras[[#This Row],[TIPO_ASEGURAMIENTO]]), moras[[#This Row],[TIPO_ASEGURAMIENTO]]=""),
    EDA!$A$32,
    moras[[#This Row],[TIPO_ASEGURAMIENTO]]
)</f>
        <v>ASALARIADO</v>
      </c>
    </row>
    <row r="1351" spans="1:16" x14ac:dyDescent="0.3">
      <c r="A1351">
        <v>1350</v>
      </c>
      <c r="B1351" t="s">
        <v>15</v>
      </c>
      <c r="C1351">
        <v>759928</v>
      </c>
      <c r="D1351" t="s">
        <v>14</v>
      </c>
      <c r="E1351" t="s">
        <v>11</v>
      </c>
      <c r="F1351" t="s">
        <v>12</v>
      </c>
      <c r="G1351" t="s">
        <v>13</v>
      </c>
      <c r="H1351" t="s">
        <v>13</v>
      </c>
      <c r="I1351">
        <v>78</v>
      </c>
      <c r="J1351">
        <f>ABS((I1351-EDA!$A$15)/EDA!$B$15)</f>
        <v>2.5421521956356674</v>
      </c>
      <c r="K1351" t="str">
        <f t="shared" si="21"/>
        <v>Sí</v>
      </c>
      <c r="L1351">
        <f>ABS((C1351-EDA!$F$15)/EDA!$G$15)</f>
        <v>0.36300823384537395</v>
      </c>
      <c r="M1351" t="str">
        <f>IF(moras[[#This Row],[Z-Score Salario]]&gt;1.96, "Sí", "No")</f>
        <v>No</v>
      </c>
      <c r="N1351" s="14">
        <f>IF(ISBLANK(moras[[#This Row],[SALARIO]]), EDA!$M$8, moras[[#This Row],[SALARIO]])</f>
        <v>759928</v>
      </c>
      <c r="O1351" s="14">
        <f xml:space="preserve"> IF(ISBLANK(moras[[#This Row],[EDAD]]), EDA!$E$8, moras[[#This Row],[EDAD]])</f>
        <v>78</v>
      </c>
      <c r="P1351" s="14" t="str">
        <f>IF(
    OR(ISBLANK(moras[[#This Row],[TIPO_ASEGURAMIENTO]]), moras[[#This Row],[TIPO_ASEGURAMIENTO]]=""),
    EDA!$A$32,
    moras[[#This Row],[TIPO_ASEGURAMIENTO]]
)</f>
        <v>PENSIONADOS EN SU PROPIO SISTEMA</v>
      </c>
    </row>
    <row r="1352" spans="1:16" x14ac:dyDescent="0.3">
      <c r="A1352">
        <v>1351</v>
      </c>
      <c r="B1352" t="s">
        <v>9</v>
      </c>
      <c r="C1352">
        <v>18266909</v>
      </c>
      <c r="D1352" t="s">
        <v>10</v>
      </c>
      <c r="E1352" t="s">
        <v>11</v>
      </c>
      <c r="F1352" t="s">
        <v>12</v>
      </c>
      <c r="G1352" t="s">
        <v>13</v>
      </c>
      <c r="H1352" t="s">
        <v>13</v>
      </c>
      <c r="I1352">
        <v>37</v>
      </c>
      <c r="J1352">
        <f>ABS((I1352-EDA!$A$15)/EDA!$B$15)</f>
        <v>0.35143633752697023</v>
      </c>
      <c r="K1352" t="str">
        <f t="shared" si="21"/>
        <v>No</v>
      </c>
      <c r="L1352">
        <f>ABS((C1352-EDA!$F$15)/EDA!$G$15)</f>
        <v>7.1679711613950287E-2</v>
      </c>
      <c r="M1352" t="str">
        <f>IF(moras[[#This Row],[Z-Score Salario]]&gt;1.96, "Sí", "No")</f>
        <v>No</v>
      </c>
      <c r="N1352" s="14">
        <f>IF(ISBLANK(moras[[#This Row],[SALARIO]]), EDA!$M$8, moras[[#This Row],[SALARIO]])</f>
        <v>18266909</v>
      </c>
      <c r="O1352" s="14">
        <f xml:space="preserve"> IF(ISBLANK(moras[[#This Row],[EDAD]]), EDA!$E$8, moras[[#This Row],[EDAD]])</f>
        <v>37</v>
      </c>
      <c r="P1352" s="14" t="str">
        <f>IF(
    OR(ISBLANK(moras[[#This Row],[TIPO_ASEGURAMIENTO]]), moras[[#This Row],[TIPO_ASEGURAMIENTO]]=""),
    EDA!$A$32,
    moras[[#This Row],[TIPO_ASEGURAMIENTO]]
)</f>
        <v>ASALARIADO</v>
      </c>
    </row>
    <row r="1353" spans="1:16" x14ac:dyDescent="0.3">
      <c r="A1353">
        <v>1352</v>
      </c>
      <c r="B1353" t="s">
        <v>9</v>
      </c>
      <c r="C1353">
        <v>1954127</v>
      </c>
      <c r="D1353" t="s">
        <v>10</v>
      </c>
      <c r="E1353" t="s">
        <v>11</v>
      </c>
      <c r="F1353" t="s">
        <v>12</v>
      </c>
      <c r="G1353" t="s">
        <v>13</v>
      </c>
      <c r="H1353" t="s">
        <v>13</v>
      </c>
      <c r="I1353">
        <v>63</v>
      </c>
      <c r="J1353">
        <f>ABS((I1353-EDA!$A$15)/EDA!$B$15)</f>
        <v>1.4835222444786049</v>
      </c>
      <c r="K1353" t="str">
        <f t="shared" si="21"/>
        <v>No</v>
      </c>
      <c r="L1353">
        <f>ABS((C1353-EDA!$F$15)/EDA!$G$15)</f>
        <v>0.34313591948573396</v>
      </c>
      <c r="M1353" t="str">
        <f>IF(moras[[#This Row],[Z-Score Salario]]&gt;1.96, "Sí", "No")</f>
        <v>No</v>
      </c>
      <c r="N1353" s="14">
        <f>IF(ISBLANK(moras[[#This Row],[SALARIO]]), EDA!$M$8, moras[[#This Row],[SALARIO]])</f>
        <v>1954127</v>
      </c>
      <c r="O1353" s="14">
        <f xml:space="preserve"> IF(ISBLANK(moras[[#This Row],[EDAD]]), EDA!$E$8, moras[[#This Row],[EDAD]])</f>
        <v>63</v>
      </c>
      <c r="P1353" s="14" t="str">
        <f>IF(
    OR(ISBLANK(moras[[#This Row],[TIPO_ASEGURAMIENTO]]), moras[[#This Row],[TIPO_ASEGURAMIENTO]]=""),
    EDA!$A$32,
    moras[[#This Row],[TIPO_ASEGURAMIENTO]]
)</f>
        <v>ASALARIADO</v>
      </c>
    </row>
    <row r="1354" spans="1:16" x14ac:dyDescent="0.3">
      <c r="A1354">
        <v>1353</v>
      </c>
      <c r="B1354" t="s">
        <v>15</v>
      </c>
      <c r="C1354">
        <v>72789634</v>
      </c>
      <c r="D1354" t="s">
        <v>10</v>
      </c>
      <c r="E1354" t="s">
        <v>11</v>
      </c>
      <c r="F1354" t="s">
        <v>12</v>
      </c>
      <c r="G1354" t="s">
        <v>13</v>
      </c>
      <c r="H1354" t="s">
        <v>13</v>
      </c>
      <c r="I1354">
        <v>28</v>
      </c>
      <c r="J1354">
        <f>ABS((I1354-EDA!$A$15)/EDA!$B$15)</f>
        <v>0.98661430822120777</v>
      </c>
      <c r="K1354" t="str">
        <f t="shared" si="21"/>
        <v>No</v>
      </c>
      <c r="L1354">
        <f>ABS((C1354-EDA!$F$15)/EDA!$G$15)</f>
        <v>0.83561692064265058</v>
      </c>
      <c r="M1354" t="str">
        <f>IF(moras[[#This Row],[Z-Score Salario]]&gt;1.96, "Sí", "No")</f>
        <v>No</v>
      </c>
      <c r="N1354" s="14">
        <f>IF(ISBLANK(moras[[#This Row],[SALARIO]]), EDA!$M$8, moras[[#This Row],[SALARIO]])</f>
        <v>72789634</v>
      </c>
      <c r="O1354" s="14">
        <f xml:space="preserve"> IF(ISBLANK(moras[[#This Row],[EDAD]]), EDA!$E$8, moras[[#This Row],[EDAD]])</f>
        <v>28</v>
      </c>
      <c r="P1354" s="14" t="str">
        <f>IF(
    OR(ISBLANK(moras[[#This Row],[TIPO_ASEGURAMIENTO]]), moras[[#This Row],[TIPO_ASEGURAMIENTO]]=""),
    EDA!$A$32,
    moras[[#This Row],[TIPO_ASEGURAMIENTO]]
)</f>
        <v>ASALARIADO</v>
      </c>
    </row>
    <row r="1355" spans="1:16" x14ac:dyDescent="0.3">
      <c r="A1355">
        <v>1354</v>
      </c>
      <c r="B1355" t="s">
        <v>9</v>
      </c>
      <c r="C1355">
        <v>300018</v>
      </c>
      <c r="D1355" t="s">
        <v>18</v>
      </c>
      <c r="E1355" t="s">
        <v>16</v>
      </c>
      <c r="F1355" t="s">
        <v>12</v>
      </c>
      <c r="G1355" t="s">
        <v>13</v>
      </c>
      <c r="H1355" t="s">
        <v>12</v>
      </c>
      <c r="I1355">
        <v>53</v>
      </c>
      <c r="J1355">
        <f>ABS((I1355-EDA!$A$15)/EDA!$B$15)</f>
        <v>0.77776894370722982</v>
      </c>
      <c r="K1355" t="str">
        <f t="shared" si="21"/>
        <v>No</v>
      </c>
      <c r="L1355">
        <f>ABS((C1355-EDA!$F$15)/EDA!$G$15)</f>
        <v>0.37066146090145252</v>
      </c>
      <c r="M1355" t="str">
        <f>IF(moras[[#This Row],[Z-Score Salario]]&gt;1.96, "Sí", "No")</f>
        <v>No</v>
      </c>
      <c r="N1355" s="14">
        <f>IF(ISBLANK(moras[[#This Row],[SALARIO]]), EDA!$M$8, moras[[#This Row],[SALARIO]])</f>
        <v>300018</v>
      </c>
      <c r="O1355" s="14">
        <f xml:space="preserve"> IF(ISBLANK(moras[[#This Row],[EDAD]]), EDA!$E$8, moras[[#This Row],[EDAD]])</f>
        <v>53</v>
      </c>
      <c r="P1355" s="14" t="str">
        <f>IF(
    OR(ISBLANK(moras[[#This Row],[TIPO_ASEGURAMIENTO]]), moras[[#This Row],[TIPO_ASEGURAMIENTO]]=""),
    EDA!$A$32,
    moras[[#This Row],[TIPO_ASEGURAMIENTO]]
)</f>
        <v>TRABAJADOR INDEPENDIENTE</v>
      </c>
    </row>
    <row r="1356" spans="1:16" x14ac:dyDescent="0.3">
      <c r="A1356">
        <v>1355</v>
      </c>
      <c r="B1356" t="s">
        <v>9</v>
      </c>
      <c r="C1356">
        <v>428100</v>
      </c>
      <c r="D1356" t="s">
        <v>10</v>
      </c>
      <c r="E1356" t="s">
        <v>11</v>
      </c>
      <c r="F1356" t="s">
        <v>12</v>
      </c>
      <c r="G1356" t="s">
        <v>13</v>
      </c>
      <c r="H1356" t="s">
        <v>13</v>
      </c>
      <c r="I1356">
        <v>22</v>
      </c>
      <c r="J1356">
        <f>ABS((I1356-EDA!$A$15)/EDA!$B$15)</f>
        <v>1.4100662886840327</v>
      </c>
      <c r="K1356" t="str">
        <f t="shared" si="21"/>
        <v>No</v>
      </c>
      <c r="L1356">
        <f>ABS((C1356-EDA!$F$15)/EDA!$G$15)</f>
        <v>0.36853008600680648</v>
      </c>
      <c r="M1356" t="str">
        <f>IF(moras[[#This Row],[Z-Score Salario]]&gt;1.96, "Sí", "No")</f>
        <v>No</v>
      </c>
      <c r="N1356" s="14">
        <f>IF(ISBLANK(moras[[#This Row],[SALARIO]]), EDA!$M$8, moras[[#This Row],[SALARIO]])</f>
        <v>428100</v>
      </c>
      <c r="O1356" s="14">
        <f xml:space="preserve"> IF(ISBLANK(moras[[#This Row],[EDAD]]), EDA!$E$8, moras[[#This Row],[EDAD]])</f>
        <v>22</v>
      </c>
      <c r="P1356" s="14" t="str">
        <f>IF(
    OR(ISBLANK(moras[[#This Row],[TIPO_ASEGURAMIENTO]]), moras[[#This Row],[TIPO_ASEGURAMIENTO]]=""),
    EDA!$A$32,
    moras[[#This Row],[TIPO_ASEGURAMIENTO]]
)</f>
        <v>ASALARIADO</v>
      </c>
    </row>
    <row r="1357" spans="1:16" x14ac:dyDescent="0.3">
      <c r="A1357">
        <v>1356</v>
      </c>
      <c r="B1357" t="s">
        <v>15</v>
      </c>
      <c r="C1357">
        <v>35954427</v>
      </c>
      <c r="D1357" t="s">
        <v>21</v>
      </c>
      <c r="E1357" t="s">
        <v>16</v>
      </c>
      <c r="F1357" t="s">
        <v>12</v>
      </c>
      <c r="G1357" t="s">
        <v>12</v>
      </c>
      <c r="H1357" t="s">
        <v>13</v>
      </c>
      <c r="I1357">
        <v>35</v>
      </c>
      <c r="J1357">
        <f>ABS((I1357-EDA!$A$15)/EDA!$B$15)</f>
        <v>0.49258699768124525</v>
      </c>
      <c r="K1357" t="str">
        <f t="shared" si="21"/>
        <v>No</v>
      </c>
      <c r="L1357">
        <f>ABS((C1357-EDA!$F$15)/EDA!$G$15)</f>
        <v>0.22265307374074372</v>
      </c>
      <c r="M1357" t="str">
        <f>IF(moras[[#This Row],[Z-Score Salario]]&gt;1.96, "Sí", "No")</f>
        <v>No</v>
      </c>
      <c r="N1357" s="14">
        <f>IF(ISBLANK(moras[[#This Row],[SALARIO]]), EDA!$M$8, moras[[#This Row],[SALARIO]])</f>
        <v>35954427</v>
      </c>
      <c r="O1357" s="14">
        <f xml:space="preserve"> IF(ISBLANK(moras[[#This Row],[EDAD]]), EDA!$E$8, moras[[#This Row],[EDAD]])</f>
        <v>35</v>
      </c>
      <c r="P1357" s="14" t="str">
        <f>IF(
    OR(ISBLANK(moras[[#This Row],[TIPO_ASEGURAMIENTO]]), moras[[#This Row],[TIPO_ASEGURAMIENTO]]=""),
    EDA!$A$32,
    moras[[#This Row],[TIPO_ASEGURAMIENTO]]
)</f>
        <v>CONVENIOS ESPECIALES DE ASEGURADOS VOLUNTARIOS</v>
      </c>
    </row>
    <row r="1358" spans="1:16" x14ac:dyDescent="0.3">
      <c r="A1358">
        <v>1357</v>
      </c>
      <c r="B1358" t="s">
        <v>15</v>
      </c>
      <c r="C1358">
        <v>297046</v>
      </c>
      <c r="D1358" t="s">
        <v>17</v>
      </c>
      <c r="E1358" t="s">
        <v>16</v>
      </c>
      <c r="F1358" t="s">
        <v>12</v>
      </c>
      <c r="G1358" t="s">
        <v>13</v>
      </c>
      <c r="H1358" t="s">
        <v>13</v>
      </c>
      <c r="I1358">
        <v>40</v>
      </c>
      <c r="J1358">
        <f>ABS((I1358-EDA!$A$15)/EDA!$B$15)</f>
        <v>0.13971034729555773</v>
      </c>
      <c r="K1358" t="str">
        <f t="shared" si="21"/>
        <v>No</v>
      </c>
      <c r="L1358">
        <f>ABS((C1358-EDA!$F$15)/EDA!$G$15)</f>
        <v>0.37071091707942361</v>
      </c>
      <c r="M1358" t="str">
        <f>IF(moras[[#This Row],[Z-Score Salario]]&gt;1.96, "Sí", "No")</f>
        <v>No</v>
      </c>
      <c r="N1358" s="14">
        <f>IF(ISBLANK(moras[[#This Row],[SALARIO]]), EDA!$M$8, moras[[#This Row],[SALARIO]])</f>
        <v>297046</v>
      </c>
      <c r="O1358" s="14">
        <f xml:space="preserve"> IF(ISBLANK(moras[[#This Row],[EDAD]]), EDA!$E$8, moras[[#This Row],[EDAD]])</f>
        <v>40</v>
      </c>
      <c r="P1358" s="14" t="str">
        <f>IF(
    OR(ISBLANK(moras[[#This Row],[TIPO_ASEGURAMIENTO]]), moras[[#This Row],[TIPO_ASEGURAMIENTO]]=""),
    EDA!$A$32,
    moras[[#This Row],[TIPO_ASEGURAMIENTO]]
)</f>
        <v>ASEGURADO VOLUNTARIO</v>
      </c>
    </row>
    <row r="1359" spans="1:16" x14ac:dyDescent="0.3">
      <c r="A1359">
        <v>1358</v>
      </c>
      <c r="B1359" t="s">
        <v>9</v>
      </c>
      <c r="C1359">
        <v>58928256</v>
      </c>
      <c r="D1359" t="s">
        <v>10</v>
      </c>
      <c r="E1359" t="s">
        <v>11</v>
      </c>
      <c r="F1359" t="s">
        <v>12</v>
      </c>
      <c r="G1359" t="s">
        <v>13</v>
      </c>
      <c r="H1359" t="s">
        <v>13</v>
      </c>
      <c r="I1359">
        <v>30</v>
      </c>
      <c r="J1359">
        <f>ABS((I1359-EDA!$A$15)/EDA!$B$15)</f>
        <v>0.84546364806693275</v>
      </c>
      <c r="K1359" t="str">
        <f t="shared" si="21"/>
        <v>No</v>
      </c>
      <c r="L1359">
        <f>ABS((C1359-EDA!$F$15)/EDA!$G$15)</f>
        <v>0.60495380580685065</v>
      </c>
      <c r="M1359" t="str">
        <f>IF(moras[[#This Row],[Z-Score Salario]]&gt;1.96, "Sí", "No")</f>
        <v>No</v>
      </c>
      <c r="N1359" s="14">
        <f>IF(ISBLANK(moras[[#This Row],[SALARIO]]), EDA!$M$8, moras[[#This Row],[SALARIO]])</f>
        <v>58928256</v>
      </c>
      <c r="O1359" s="14">
        <f xml:space="preserve"> IF(ISBLANK(moras[[#This Row],[EDAD]]), EDA!$E$8, moras[[#This Row],[EDAD]])</f>
        <v>30</v>
      </c>
      <c r="P1359" s="14" t="str">
        <f>IF(
    OR(ISBLANK(moras[[#This Row],[TIPO_ASEGURAMIENTO]]), moras[[#This Row],[TIPO_ASEGURAMIENTO]]=""),
    EDA!$A$32,
    moras[[#This Row],[TIPO_ASEGURAMIENTO]]
)</f>
        <v>ASALARIADO</v>
      </c>
    </row>
    <row r="1360" spans="1:16" x14ac:dyDescent="0.3">
      <c r="A1360">
        <v>1359</v>
      </c>
      <c r="B1360" t="s">
        <v>9</v>
      </c>
      <c r="C1360">
        <v>129988</v>
      </c>
      <c r="D1360" t="s">
        <v>10</v>
      </c>
      <c r="E1360" t="s">
        <v>11</v>
      </c>
      <c r="F1360" t="s">
        <v>12</v>
      </c>
      <c r="G1360" t="s">
        <v>13</v>
      </c>
      <c r="H1360" t="s">
        <v>12</v>
      </c>
      <c r="I1360">
        <v>32</v>
      </c>
      <c r="J1360">
        <f>ABS((I1360-EDA!$A$15)/EDA!$B$15)</f>
        <v>0.70431298791265773</v>
      </c>
      <c r="K1360" t="str">
        <f t="shared" si="21"/>
        <v>No</v>
      </c>
      <c r="L1360">
        <f>ABS((C1360-EDA!$F$15)/EDA!$G$15)</f>
        <v>0.37349088012770343</v>
      </c>
      <c r="M1360" t="str">
        <f>IF(moras[[#This Row],[Z-Score Salario]]&gt;1.96, "Sí", "No")</f>
        <v>No</v>
      </c>
      <c r="N1360" s="14">
        <f>IF(ISBLANK(moras[[#This Row],[SALARIO]]), EDA!$M$8, moras[[#This Row],[SALARIO]])</f>
        <v>129988</v>
      </c>
      <c r="O1360" s="14">
        <f xml:space="preserve"> IF(ISBLANK(moras[[#This Row],[EDAD]]), EDA!$E$8, moras[[#This Row],[EDAD]])</f>
        <v>32</v>
      </c>
      <c r="P1360" s="14" t="str">
        <f>IF(
    OR(ISBLANK(moras[[#This Row],[TIPO_ASEGURAMIENTO]]), moras[[#This Row],[TIPO_ASEGURAMIENTO]]=""),
    EDA!$A$32,
    moras[[#This Row],[TIPO_ASEGURAMIENTO]]
)</f>
        <v>ASALARIADO</v>
      </c>
    </row>
    <row r="1361" spans="1:16" x14ac:dyDescent="0.3">
      <c r="A1361">
        <v>1360</v>
      </c>
      <c r="B1361" t="s">
        <v>9</v>
      </c>
      <c r="C1361">
        <v>41795415</v>
      </c>
      <c r="D1361" t="s">
        <v>10</v>
      </c>
      <c r="E1361" t="s">
        <v>16</v>
      </c>
      <c r="F1361" t="s">
        <v>12</v>
      </c>
      <c r="G1361" t="s">
        <v>13</v>
      </c>
      <c r="H1361" t="s">
        <v>12</v>
      </c>
      <c r="I1361">
        <v>31</v>
      </c>
      <c r="J1361">
        <f>ABS((I1361-EDA!$A$15)/EDA!$B$15)</f>
        <v>0.77488831798979529</v>
      </c>
      <c r="K1361" t="str">
        <f t="shared" si="21"/>
        <v>No</v>
      </c>
      <c r="L1361">
        <f>ABS((C1361-EDA!$F$15)/EDA!$G$15)</f>
        <v>0.31985123728541648</v>
      </c>
      <c r="M1361" t="str">
        <f>IF(moras[[#This Row],[Z-Score Salario]]&gt;1.96, "Sí", "No")</f>
        <v>No</v>
      </c>
      <c r="N1361" s="14">
        <f>IF(ISBLANK(moras[[#This Row],[SALARIO]]), EDA!$M$8, moras[[#This Row],[SALARIO]])</f>
        <v>41795415</v>
      </c>
      <c r="O1361" s="14">
        <f xml:space="preserve"> IF(ISBLANK(moras[[#This Row],[EDAD]]), EDA!$E$8, moras[[#This Row],[EDAD]])</f>
        <v>31</v>
      </c>
      <c r="P1361" s="14" t="str">
        <f>IF(
    OR(ISBLANK(moras[[#This Row],[TIPO_ASEGURAMIENTO]]), moras[[#This Row],[TIPO_ASEGURAMIENTO]]=""),
    EDA!$A$32,
    moras[[#This Row],[TIPO_ASEGURAMIENTO]]
)</f>
        <v>ASALARIADO</v>
      </c>
    </row>
    <row r="1362" spans="1:16" x14ac:dyDescent="0.3">
      <c r="A1362">
        <v>1361</v>
      </c>
      <c r="B1362" t="s">
        <v>9</v>
      </c>
      <c r="C1362">
        <v>80728252</v>
      </c>
      <c r="D1362" t="s">
        <v>10</v>
      </c>
      <c r="E1362" t="s">
        <v>16</v>
      </c>
      <c r="F1362" t="s">
        <v>12</v>
      </c>
      <c r="G1362" t="s">
        <v>13</v>
      </c>
      <c r="H1362" t="s">
        <v>13</v>
      </c>
      <c r="I1362">
        <v>24</v>
      </c>
      <c r="J1362">
        <f>ABS((I1362-EDA!$A$15)/EDA!$B$15)</f>
        <v>1.2689156285297578</v>
      </c>
      <c r="K1362" t="str">
        <f t="shared" si="21"/>
        <v>No</v>
      </c>
      <c r="L1362">
        <f>ABS((C1362-EDA!$F$15)/EDA!$G$15)</f>
        <v>0.9677211281299255</v>
      </c>
      <c r="M1362" t="str">
        <f>IF(moras[[#This Row],[Z-Score Salario]]&gt;1.96, "Sí", "No")</f>
        <v>No</v>
      </c>
      <c r="N1362" s="14">
        <f>IF(ISBLANK(moras[[#This Row],[SALARIO]]), EDA!$M$8, moras[[#This Row],[SALARIO]])</f>
        <v>80728252</v>
      </c>
      <c r="O1362" s="14">
        <f xml:space="preserve"> IF(ISBLANK(moras[[#This Row],[EDAD]]), EDA!$E$8, moras[[#This Row],[EDAD]])</f>
        <v>24</v>
      </c>
      <c r="P1362" s="14" t="str">
        <f>IF(
    OR(ISBLANK(moras[[#This Row],[TIPO_ASEGURAMIENTO]]), moras[[#This Row],[TIPO_ASEGURAMIENTO]]=""),
    EDA!$A$32,
    moras[[#This Row],[TIPO_ASEGURAMIENTO]]
)</f>
        <v>ASALARIADO</v>
      </c>
    </row>
    <row r="1363" spans="1:16" x14ac:dyDescent="0.3">
      <c r="A1363">
        <v>1362</v>
      </c>
      <c r="B1363" t="s">
        <v>15</v>
      </c>
      <c r="C1363">
        <v>801760</v>
      </c>
      <c r="D1363" t="s">
        <v>10</v>
      </c>
      <c r="E1363" t="s">
        <v>16</v>
      </c>
      <c r="F1363" t="s">
        <v>12</v>
      </c>
      <c r="G1363" t="s">
        <v>13</v>
      </c>
      <c r="H1363" t="s">
        <v>12</v>
      </c>
      <c r="I1363">
        <v>45</v>
      </c>
      <c r="J1363">
        <f>ABS((I1363-EDA!$A$15)/EDA!$B$15)</f>
        <v>0.21316630309012977</v>
      </c>
      <c r="K1363" t="str">
        <f t="shared" si="21"/>
        <v>No</v>
      </c>
      <c r="L1363">
        <f>ABS((C1363-EDA!$F$15)/EDA!$G$15)</f>
        <v>0.36231211983565492</v>
      </c>
      <c r="M1363" t="str">
        <f>IF(moras[[#This Row],[Z-Score Salario]]&gt;1.96, "Sí", "No")</f>
        <v>No</v>
      </c>
      <c r="N1363" s="14">
        <f>IF(ISBLANK(moras[[#This Row],[SALARIO]]), EDA!$M$8, moras[[#This Row],[SALARIO]])</f>
        <v>801760</v>
      </c>
      <c r="O1363" s="14">
        <f xml:space="preserve"> IF(ISBLANK(moras[[#This Row],[EDAD]]), EDA!$E$8, moras[[#This Row],[EDAD]])</f>
        <v>45</v>
      </c>
      <c r="P1363" s="14" t="str">
        <f>IF(
    OR(ISBLANK(moras[[#This Row],[TIPO_ASEGURAMIENTO]]), moras[[#This Row],[TIPO_ASEGURAMIENTO]]=""),
    EDA!$A$32,
    moras[[#This Row],[TIPO_ASEGURAMIENTO]]
)</f>
        <v>ASALARIADO</v>
      </c>
    </row>
    <row r="1364" spans="1:16" x14ac:dyDescent="0.3">
      <c r="A1364">
        <v>1363</v>
      </c>
      <c r="B1364" t="s">
        <v>9</v>
      </c>
      <c r="C1364">
        <v>1456705</v>
      </c>
      <c r="D1364" t="s">
        <v>10</v>
      </c>
      <c r="E1364" t="s">
        <v>16</v>
      </c>
      <c r="F1364" t="s">
        <v>12</v>
      </c>
      <c r="G1364" t="s">
        <v>13</v>
      </c>
      <c r="H1364" t="s">
        <v>13</v>
      </c>
      <c r="I1364">
        <v>51</v>
      </c>
      <c r="J1364">
        <f>ABS((I1364-EDA!$A$15)/EDA!$B$15)</f>
        <v>0.6366182835529548</v>
      </c>
      <c r="K1364" t="str">
        <f t="shared" si="21"/>
        <v>No</v>
      </c>
      <c r="L1364">
        <f>ABS((C1364-EDA!$F$15)/EDA!$G$15)</f>
        <v>0.35141337270199091</v>
      </c>
      <c r="M1364" t="str">
        <f>IF(moras[[#This Row],[Z-Score Salario]]&gt;1.96, "Sí", "No")</f>
        <v>No</v>
      </c>
      <c r="N1364" s="14">
        <f>IF(ISBLANK(moras[[#This Row],[SALARIO]]), EDA!$M$8, moras[[#This Row],[SALARIO]])</f>
        <v>1456705</v>
      </c>
      <c r="O1364" s="14">
        <f xml:space="preserve"> IF(ISBLANK(moras[[#This Row],[EDAD]]), EDA!$E$8, moras[[#This Row],[EDAD]])</f>
        <v>51</v>
      </c>
      <c r="P1364" s="14" t="str">
        <f>IF(
    OR(ISBLANK(moras[[#This Row],[TIPO_ASEGURAMIENTO]]), moras[[#This Row],[TIPO_ASEGURAMIENTO]]=""),
    EDA!$A$32,
    moras[[#This Row],[TIPO_ASEGURAMIENTO]]
)</f>
        <v>ASALARIADO</v>
      </c>
    </row>
    <row r="1365" spans="1:16" x14ac:dyDescent="0.3">
      <c r="A1365">
        <v>1364</v>
      </c>
      <c r="B1365" t="s">
        <v>15</v>
      </c>
      <c r="C1365">
        <v>337920</v>
      </c>
      <c r="D1365" t="s">
        <v>10</v>
      </c>
      <c r="E1365" t="s">
        <v>16</v>
      </c>
      <c r="F1365" t="s">
        <v>12</v>
      </c>
      <c r="G1365" t="s">
        <v>13</v>
      </c>
      <c r="H1365" t="s">
        <v>12</v>
      </c>
      <c r="I1365">
        <v>27</v>
      </c>
      <c r="J1365">
        <f>ABS((I1365-EDA!$A$15)/EDA!$B$15)</f>
        <v>1.0571896382983452</v>
      </c>
      <c r="K1365" t="str">
        <f t="shared" si="21"/>
        <v>No</v>
      </c>
      <c r="L1365">
        <f>ABS((C1365-EDA!$F$15)/EDA!$G$15)</f>
        <v>0.37003074486596843</v>
      </c>
      <c r="M1365" t="str">
        <f>IF(moras[[#This Row],[Z-Score Salario]]&gt;1.96, "Sí", "No")</f>
        <v>No</v>
      </c>
      <c r="N1365" s="14">
        <f>IF(ISBLANK(moras[[#This Row],[SALARIO]]), EDA!$M$8, moras[[#This Row],[SALARIO]])</f>
        <v>337920</v>
      </c>
      <c r="O1365" s="14">
        <f xml:space="preserve"> IF(ISBLANK(moras[[#This Row],[EDAD]]), EDA!$E$8, moras[[#This Row],[EDAD]])</f>
        <v>27</v>
      </c>
      <c r="P1365" s="14" t="str">
        <f>IF(
    OR(ISBLANK(moras[[#This Row],[TIPO_ASEGURAMIENTO]]), moras[[#This Row],[TIPO_ASEGURAMIENTO]]=""),
    EDA!$A$32,
    moras[[#This Row],[TIPO_ASEGURAMIENTO]]
)</f>
        <v>ASALARIADO</v>
      </c>
    </row>
    <row r="1366" spans="1:16" x14ac:dyDescent="0.3">
      <c r="A1366">
        <v>1365</v>
      </c>
      <c r="B1366" t="s">
        <v>15</v>
      </c>
      <c r="C1366">
        <v>38727929</v>
      </c>
      <c r="D1366" t="s">
        <v>10</v>
      </c>
      <c r="E1366" t="s">
        <v>16</v>
      </c>
      <c r="F1366" t="s">
        <v>12</v>
      </c>
      <c r="G1366" t="s">
        <v>13</v>
      </c>
      <c r="H1366" t="s">
        <v>13</v>
      </c>
      <c r="I1366">
        <v>35</v>
      </c>
      <c r="J1366">
        <f>ABS((I1366-EDA!$A$15)/EDA!$B$15)</f>
        <v>0.49258699768124525</v>
      </c>
      <c r="K1366" t="str">
        <f t="shared" si="21"/>
        <v>No</v>
      </c>
      <c r="L1366">
        <f>ABS((C1366-EDA!$F$15)/EDA!$G$15)</f>
        <v>0.26880610486963441</v>
      </c>
      <c r="M1366" t="str">
        <f>IF(moras[[#This Row],[Z-Score Salario]]&gt;1.96, "Sí", "No")</f>
        <v>No</v>
      </c>
      <c r="N1366" s="14">
        <f>IF(ISBLANK(moras[[#This Row],[SALARIO]]), EDA!$M$8, moras[[#This Row],[SALARIO]])</f>
        <v>38727929</v>
      </c>
      <c r="O1366" s="14">
        <f xml:space="preserve"> IF(ISBLANK(moras[[#This Row],[EDAD]]), EDA!$E$8, moras[[#This Row],[EDAD]])</f>
        <v>35</v>
      </c>
      <c r="P1366" s="14" t="str">
        <f>IF(
    OR(ISBLANK(moras[[#This Row],[TIPO_ASEGURAMIENTO]]), moras[[#This Row],[TIPO_ASEGURAMIENTO]]=""),
    EDA!$A$32,
    moras[[#This Row],[TIPO_ASEGURAMIENTO]]
)</f>
        <v>ASALARIADO</v>
      </c>
    </row>
    <row r="1367" spans="1:16" x14ac:dyDescent="0.3">
      <c r="A1367">
        <v>1366</v>
      </c>
      <c r="B1367" t="s">
        <v>9</v>
      </c>
      <c r="C1367">
        <v>351604</v>
      </c>
      <c r="D1367" t="s">
        <v>10</v>
      </c>
      <c r="E1367" t="s">
        <v>16</v>
      </c>
      <c r="F1367" t="s">
        <v>12</v>
      </c>
      <c r="G1367" t="s">
        <v>13</v>
      </c>
      <c r="H1367" t="s">
        <v>13</v>
      </c>
      <c r="I1367">
        <v>22</v>
      </c>
      <c r="J1367">
        <f>ABS((I1367-EDA!$A$15)/EDA!$B$15)</f>
        <v>1.4100662886840327</v>
      </c>
      <c r="K1367" t="str">
        <f t="shared" si="21"/>
        <v>No</v>
      </c>
      <c r="L1367">
        <f>ABS((C1367-EDA!$F$15)/EDA!$G$15)</f>
        <v>0.36980303344626592</v>
      </c>
      <c r="M1367" t="str">
        <f>IF(moras[[#This Row],[Z-Score Salario]]&gt;1.96, "Sí", "No")</f>
        <v>No</v>
      </c>
      <c r="N1367" s="14">
        <f>IF(ISBLANK(moras[[#This Row],[SALARIO]]), EDA!$M$8, moras[[#This Row],[SALARIO]])</f>
        <v>351604</v>
      </c>
      <c r="O1367" s="14">
        <f xml:space="preserve"> IF(ISBLANK(moras[[#This Row],[EDAD]]), EDA!$E$8, moras[[#This Row],[EDAD]])</f>
        <v>22</v>
      </c>
      <c r="P1367" s="14" t="str">
        <f>IF(
    OR(ISBLANK(moras[[#This Row],[TIPO_ASEGURAMIENTO]]), moras[[#This Row],[TIPO_ASEGURAMIENTO]]=""),
    EDA!$A$32,
    moras[[#This Row],[TIPO_ASEGURAMIENTO]]
)</f>
        <v>ASALARIADO</v>
      </c>
    </row>
    <row r="1368" spans="1:16" x14ac:dyDescent="0.3">
      <c r="A1368">
        <v>1367</v>
      </c>
      <c r="B1368" t="s">
        <v>15</v>
      </c>
      <c r="C1368">
        <v>300018</v>
      </c>
      <c r="D1368" t="s">
        <v>17</v>
      </c>
      <c r="E1368" t="s">
        <v>16</v>
      </c>
      <c r="F1368" t="s">
        <v>12</v>
      </c>
      <c r="G1368" t="s">
        <v>12</v>
      </c>
      <c r="H1368" t="s">
        <v>13</v>
      </c>
      <c r="I1368">
        <v>45</v>
      </c>
      <c r="J1368">
        <f>ABS((I1368-EDA!$A$15)/EDA!$B$15)</f>
        <v>0.21316630309012977</v>
      </c>
      <c r="K1368" t="str">
        <f t="shared" si="21"/>
        <v>No</v>
      </c>
      <c r="L1368">
        <f>ABS((C1368-EDA!$F$15)/EDA!$G$15)</f>
        <v>0.37066146090145252</v>
      </c>
      <c r="M1368" t="str">
        <f>IF(moras[[#This Row],[Z-Score Salario]]&gt;1.96, "Sí", "No")</f>
        <v>No</v>
      </c>
      <c r="N1368" s="14">
        <f>IF(ISBLANK(moras[[#This Row],[SALARIO]]), EDA!$M$8, moras[[#This Row],[SALARIO]])</f>
        <v>300018</v>
      </c>
      <c r="O1368" s="14">
        <f xml:space="preserve"> IF(ISBLANK(moras[[#This Row],[EDAD]]), EDA!$E$8, moras[[#This Row],[EDAD]])</f>
        <v>45</v>
      </c>
      <c r="P1368" s="14" t="str">
        <f>IF(
    OR(ISBLANK(moras[[#This Row],[TIPO_ASEGURAMIENTO]]), moras[[#This Row],[TIPO_ASEGURAMIENTO]]=""),
    EDA!$A$32,
    moras[[#This Row],[TIPO_ASEGURAMIENTO]]
)</f>
        <v>ASEGURADO VOLUNTARIO</v>
      </c>
    </row>
    <row r="1369" spans="1:16" x14ac:dyDescent="0.3">
      <c r="A1369">
        <v>1368</v>
      </c>
      <c r="B1369" t="s">
        <v>9</v>
      </c>
      <c r="C1369">
        <v>232960</v>
      </c>
      <c r="D1369" t="s">
        <v>10</v>
      </c>
      <c r="E1369" t="s">
        <v>16</v>
      </c>
      <c r="F1369" t="s">
        <v>12</v>
      </c>
      <c r="G1369" t="s">
        <v>13</v>
      </c>
      <c r="H1369" t="s">
        <v>13</v>
      </c>
      <c r="I1369">
        <v>60</v>
      </c>
      <c r="J1369">
        <f>ABS((I1369-EDA!$A$15)/EDA!$B$15)</f>
        <v>1.2717962542471923</v>
      </c>
      <c r="K1369" t="str">
        <f t="shared" si="21"/>
        <v>No</v>
      </c>
      <c r="L1369">
        <f>ABS((C1369-EDA!$F$15)/EDA!$G$15)</f>
        <v>0.37177735335851264</v>
      </c>
      <c r="M1369" t="str">
        <f>IF(moras[[#This Row],[Z-Score Salario]]&gt;1.96, "Sí", "No")</f>
        <v>No</v>
      </c>
      <c r="N1369" s="14">
        <f>IF(ISBLANK(moras[[#This Row],[SALARIO]]), EDA!$M$8, moras[[#This Row],[SALARIO]])</f>
        <v>232960</v>
      </c>
      <c r="O1369" s="14">
        <f xml:space="preserve"> IF(ISBLANK(moras[[#This Row],[EDAD]]), EDA!$E$8, moras[[#This Row],[EDAD]])</f>
        <v>60</v>
      </c>
      <c r="P1369" s="14" t="str">
        <f>IF(
    OR(ISBLANK(moras[[#This Row],[TIPO_ASEGURAMIENTO]]), moras[[#This Row],[TIPO_ASEGURAMIENTO]]=""),
    EDA!$A$32,
    moras[[#This Row],[TIPO_ASEGURAMIENTO]]
)</f>
        <v>ASALARIADO</v>
      </c>
    </row>
    <row r="1370" spans="1:16" x14ac:dyDescent="0.3">
      <c r="A1370">
        <v>1369</v>
      </c>
      <c r="B1370" t="s">
        <v>15</v>
      </c>
      <c r="C1370">
        <v>297046</v>
      </c>
      <c r="D1370" t="s">
        <v>17</v>
      </c>
      <c r="E1370" t="s">
        <v>16</v>
      </c>
      <c r="F1370" t="s">
        <v>12</v>
      </c>
      <c r="G1370" t="s">
        <v>13</v>
      </c>
      <c r="H1370" t="s">
        <v>13</v>
      </c>
      <c r="I1370">
        <v>56</v>
      </c>
      <c r="J1370">
        <f>ABS((I1370-EDA!$A$15)/EDA!$B$15)</f>
        <v>0.9894949339386423</v>
      </c>
      <c r="K1370" t="str">
        <f t="shared" si="21"/>
        <v>No</v>
      </c>
      <c r="L1370">
        <f>ABS((C1370-EDA!$F$15)/EDA!$G$15)</f>
        <v>0.37071091707942361</v>
      </c>
      <c r="M1370" t="str">
        <f>IF(moras[[#This Row],[Z-Score Salario]]&gt;1.96, "Sí", "No")</f>
        <v>No</v>
      </c>
      <c r="N1370" s="14">
        <f>IF(ISBLANK(moras[[#This Row],[SALARIO]]), EDA!$M$8, moras[[#This Row],[SALARIO]])</f>
        <v>297046</v>
      </c>
      <c r="O1370" s="14">
        <f xml:space="preserve"> IF(ISBLANK(moras[[#This Row],[EDAD]]), EDA!$E$8, moras[[#This Row],[EDAD]])</f>
        <v>56</v>
      </c>
      <c r="P1370" s="14" t="str">
        <f>IF(
    OR(ISBLANK(moras[[#This Row],[TIPO_ASEGURAMIENTO]]), moras[[#This Row],[TIPO_ASEGURAMIENTO]]=""),
    EDA!$A$32,
    moras[[#This Row],[TIPO_ASEGURAMIENTO]]
)</f>
        <v>ASEGURADO VOLUNTARIO</v>
      </c>
    </row>
    <row r="1371" spans="1:16" x14ac:dyDescent="0.3">
      <c r="A1371">
        <v>1370</v>
      </c>
      <c r="B1371" t="s">
        <v>9</v>
      </c>
      <c r="C1371">
        <v>683000</v>
      </c>
      <c r="D1371" t="s">
        <v>10</v>
      </c>
      <c r="E1371" t="s">
        <v>16</v>
      </c>
      <c r="F1371" t="s">
        <v>12</v>
      </c>
      <c r="G1371" t="s">
        <v>13</v>
      </c>
      <c r="H1371" t="s">
        <v>13</v>
      </c>
      <c r="I1371">
        <v>38</v>
      </c>
      <c r="J1371">
        <f>ABS((I1371-EDA!$A$15)/EDA!$B$15)</f>
        <v>0.28086100744983278</v>
      </c>
      <c r="K1371" t="str">
        <f t="shared" si="21"/>
        <v>No</v>
      </c>
      <c r="L1371">
        <f>ABS((C1371-EDA!$F$15)/EDA!$G$15)</f>
        <v>0.36428837006978743</v>
      </c>
      <c r="M1371" t="str">
        <f>IF(moras[[#This Row],[Z-Score Salario]]&gt;1.96, "Sí", "No")</f>
        <v>No</v>
      </c>
      <c r="N1371" s="14">
        <f>IF(ISBLANK(moras[[#This Row],[SALARIO]]), EDA!$M$8, moras[[#This Row],[SALARIO]])</f>
        <v>683000</v>
      </c>
      <c r="O1371" s="14">
        <f xml:space="preserve"> IF(ISBLANK(moras[[#This Row],[EDAD]]), EDA!$E$8, moras[[#This Row],[EDAD]])</f>
        <v>38</v>
      </c>
      <c r="P1371" s="14" t="str">
        <f>IF(
    OR(ISBLANK(moras[[#This Row],[TIPO_ASEGURAMIENTO]]), moras[[#This Row],[TIPO_ASEGURAMIENTO]]=""),
    EDA!$A$32,
    moras[[#This Row],[TIPO_ASEGURAMIENTO]]
)</f>
        <v>ASALARIADO</v>
      </c>
    </row>
    <row r="1372" spans="1:16" x14ac:dyDescent="0.3">
      <c r="A1372">
        <v>1371</v>
      </c>
      <c r="B1372" t="s">
        <v>15</v>
      </c>
      <c r="C1372">
        <v>876520</v>
      </c>
      <c r="D1372" t="s">
        <v>10</v>
      </c>
      <c r="E1372" t="s">
        <v>16</v>
      </c>
      <c r="F1372" t="s">
        <v>12</v>
      </c>
      <c r="G1372" t="s">
        <v>13</v>
      </c>
      <c r="H1372" t="s">
        <v>13</v>
      </c>
      <c r="I1372">
        <v>32</v>
      </c>
      <c r="J1372">
        <f>ABS((I1372-EDA!$A$15)/EDA!$B$15)</f>
        <v>0.70431298791265773</v>
      </c>
      <c r="K1372" t="str">
        <f t="shared" si="21"/>
        <v>No</v>
      </c>
      <c r="L1372">
        <f>ABS((C1372-EDA!$F$15)/EDA!$G$15)</f>
        <v>0.36106806066165903</v>
      </c>
      <c r="M1372" t="str">
        <f>IF(moras[[#This Row],[Z-Score Salario]]&gt;1.96, "Sí", "No")</f>
        <v>No</v>
      </c>
      <c r="N1372" s="14">
        <f>IF(ISBLANK(moras[[#This Row],[SALARIO]]), EDA!$M$8, moras[[#This Row],[SALARIO]])</f>
        <v>876520</v>
      </c>
      <c r="O1372" s="14">
        <f xml:space="preserve"> IF(ISBLANK(moras[[#This Row],[EDAD]]), EDA!$E$8, moras[[#This Row],[EDAD]])</f>
        <v>32</v>
      </c>
      <c r="P1372" s="14" t="str">
        <f>IF(
    OR(ISBLANK(moras[[#This Row],[TIPO_ASEGURAMIENTO]]), moras[[#This Row],[TIPO_ASEGURAMIENTO]]=""),
    EDA!$A$32,
    moras[[#This Row],[TIPO_ASEGURAMIENTO]]
)</f>
        <v>ASALARIADO</v>
      </c>
    </row>
    <row r="1373" spans="1:16" x14ac:dyDescent="0.3">
      <c r="A1373">
        <v>1372</v>
      </c>
      <c r="B1373" t="s">
        <v>9</v>
      </c>
      <c r="C1373">
        <v>409455</v>
      </c>
      <c r="D1373" t="s">
        <v>10</v>
      </c>
      <c r="E1373" t="s">
        <v>16</v>
      </c>
      <c r="F1373" t="s">
        <v>12</v>
      </c>
      <c r="G1373" t="s">
        <v>13</v>
      </c>
      <c r="H1373" t="s">
        <v>13</v>
      </c>
      <c r="I1373">
        <v>25</v>
      </c>
      <c r="J1373">
        <f>ABS((I1373-EDA!$A$15)/EDA!$B$15)</f>
        <v>1.1983402984526204</v>
      </c>
      <c r="K1373" t="str">
        <f t="shared" si="21"/>
        <v>No</v>
      </c>
      <c r="L1373">
        <f>ABS((C1373-EDA!$F$15)/EDA!$G$15)</f>
        <v>0.36884035196853943</v>
      </c>
      <c r="M1373" t="str">
        <f>IF(moras[[#This Row],[Z-Score Salario]]&gt;1.96, "Sí", "No")</f>
        <v>No</v>
      </c>
      <c r="N1373" s="14">
        <f>IF(ISBLANK(moras[[#This Row],[SALARIO]]), EDA!$M$8, moras[[#This Row],[SALARIO]])</f>
        <v>409455</v>
      </c>
      <c r="O1373" s="14">
        <f xml:space="preserve"> IF(ISBLANK(moras[[#This Row],[EDAD]]), EDA!$E$8, moras[[#This Row],[EDAD]])</f>
        <v>25</v>
      </c>
      <c r="P1373" s="14" t="str">
        <f>IF(
    OR(ISBLANK(moras[[#This Row],[TIPO_ASEGURAMIENTO]]), moras[[#This Row],[TIPO_ASEGURAMIENTO]]=""),
    EDA!$A$32,
    moras[[#This Row],[TIPO_ASEGURAMIENTO]]
)</f>
        <v>ASALARIADO</v>
      </c>
    </row>
    <row r="1374" spans="1:16" x14ac:dyDescent="0.3">
      <c r="A1374">
        <v>1373</v>
      </c>
      <c r="B1374" t="s">
        <v>9</v>
      </c>
      <c r="C1374">
        <v>365490892</v>
      </c>
      <c r="D1374" t="s">
        <v>14</v>
      </c>
      <c r="E1374" t="s">
        <v>11</v>
      </c>
      <c r="F1374" t="s">
        <v>12</v>
      </c>
      <c r="G1374" t="s">
        <v>13</v>
      </c>
      <c r="H1374" t="s">
        <v>13</v>
      </c>
      <c r="I1374">
        <v>62</v>
      </c>
      <c r="J1374">
        <f>ABS((I1374-EDA!$A$15)/EDA!$B$15)</f>
        <v>1.4129469144014672</v>
      </c>
      <c r="K1374" t="str">
        <f t="shared" si="21"/>
        <v>No</v>
      </c>
      <c r="L1374">
        <f>ABS((C1374-EDA!$F$15)/EDA!$G$15)</f>
        <v>5.7063724751508014</v>
      </c>
      <c r="M1374" t="str">
        <f>IF(moras[[#This Row],[Z-Score Salario]]&gt;1.96, "Sí", "No")</f>
        <v>Sí</v>
      </c>
      <c r="N1374" s="14">
        <f>IF(ISBLANK(moras[[#This Row],[SALARIO]]), EDA!$M$8, moras[[#This Row],[SALARIO]])</f>
        <v>365490892</v>
      </c>
      <c r="O1374" s="14">
        <f xml:space="preserve"> IF(ISBLANK(moras[[#This Row],[EDAD]]), EDA!$E$8, moras[[#This Row],[EDAD]])</f>
        <v>62</v>
      </c>
      <c r="P1374" s="14" t="str">
        <f>IF(
    OR(ISBLANK(moras[[#This Row],[TIPO_ASEGURAMIENTO]]), moras[[#This Row],[TIPO_ASEGURAMIENTO]]=""),
    EDA!$A$32,
    moras[[#This Row],[TIPO_ASEGURAMIENTO]]
)</f>
        <v>PENSIONADOS EN SU PROPIO SISTEMA</v>
      </c>
    </row>
    <row r="1375" spans="1:16" x14ac:dyDescent="0.3">
      <c r="A1375">
        <v>1374</v>
      </c>
      <c r="B1375" t="s">
        <v>9</v>
      </c>
      <c r="C1375">
        <v>120246662</v>
      </c>
      <c r="D1375" t="s">
        <v>10</v>
      </c>
      <c r="E1375" t="s">
        <v>16</v>
      </c>
      <c r="F1375" t="s">
        <v>12</v>
      </c>
      <c r="G1375" t="s">
        <v>13</v>
      </c>
      <c r="H1375" t="s">
        <v>13</v>
      </c>
      <c r="I1375">
        <v>39</v>
      </c>
      <c r="J1375">
        <f>ABS((I1375-EDA!$A$15)/EDA!$B$15)</f>
        <v>0.21028567737269524</v>
      </c>
      <c r="K1375" t="str">
        <f t="shared" si="21"/>
        <v>No</v>
      </c>
      <c r="L1375">
        <f>ABS((C1375-EDA!$F$15)/EDA!$G$15)</f>
        <v>1.6253353670575574</v>
      </c>
      <c r="M1375" t="str">
        <f>IF(moras[[#This Row],[Z-Score Salario]]&gt;1.96, "Sí", "No")</f>
        <v>No</v>
      </c>
      <c r="N1375" s="14">
        <f>IF(ISBLANK(moras[[#This Row],[SALARIO]]), EDA!$M$8, moras[[#This Row],[SALARIO]])</f>
        <v>120246662</v>
      </c>
      <c r="O1375" s="14">
        <f xml:space="preserve"> IF(ISBLANK(moras[[#This Row],[EDAD]]), EDA!$E$8, moras[[#This Row],[EDAD]])</f>
        <v>39</v>
      </c>
      <c r="P1375" s="14" t="str">
        <f>IF(
    OR(ISBLANK(moras[[#This Row],[TIPO_ASEGURAMIENTO]]), moras[[#This Row],[TIPO_ASEGURAMIENTO]]=""),
    EDA!$A$32,
    moras[[#This Row],[TIPO_ASEGURAMIENTO]]
)</f>
        <v>ASALARIADO</v>
      </c>
    </row>
    <row r="1376" spans="1:16" x14ac:dyDescent="0.3">
      <c r="A1376">
        <v>1375</v>
      </c>
      <c r="B1376" t="s">
        <v>15</v>
      </c>
      <c r="C1376">
        <v>29708247</v>
      </c>
      <c r="D1376" t="s">
        <v>10</v>
      </c>
      <c r="E1376" t="s">
        <v>11</v>
      </c>
      <c r="F1376" t="s">
        <v>12</v>
      </c>
      <c r="G1376" t="s">
        <v>13</v>
      </c>
      <c r="H1376" t="s">
        <v>13</v>
      </c>
      <c r="I1376">
        <v>41</v>
      </c>
      <c r="J1376">
        <f>ABS((I1376-EDA!$A$15)/EDA!$B$15)</f>
        <v>6.9135017218420233E-2</v>
      </c>
      <c r="K1376" t="str">
        <f t="shared" si="21"/>
        <v>No</v>
      </c>
      <c r="L1376">
        <f>ABS((C1376-EDA!$F$15)/EDA!$G$15)</f>
        <v>0.11871222928609594</v>
      </c>
      <c r="M1376" t="str">
        <f>IF(moras[[#This Row],[Z-Score Salario]]&gt;1.96, "Sí", "No")</f>
        <v>No</v>
      </c>
      <c r="N1376" s="14">
        <f>IF(ISBLANK(moras[[#This Row],[SALARIO]]), EDA!$M$8, moras[[#This Row],[SALARIO]])</f>
        <v>29708247</v>
      </c>
      <c r="O1376" s="14">
        <f xml:space="preserve"> IF(ISBLANK(moras[[#This Row],[EDAD]]), EDA!$E$8, moras[[#This Row],[EDAD]])</f>
        <v>41</v>
      </c>
      <c r="P1376" s="14" t="str">
        <f>IF(
    OR(ISBLANK(moras[[#This Row],[TIPO_ASEGURAMIENTO]]), moras[[#This Row],[TIPO_ASEGURAMIENTO]]=""),
    EDA!$A$32,
    moras[[#This Row],[TIPO_ASEGURAMIENTO]]
)</f>
        <v>ASALARIADO</v>
      </c>
    </row>
    <row r="1377" spans="1:16" x14ac:dyDescent="0.3">
      <c r="A1377">
        <v>1376</v>
      </c>
      <c r="B1377" t="s">
        <v>9</v>
      </c>
      <c r="C1377">
        <v>350000</v>
      </c>
      <c r="D1377" t="s">
        <v>10</v>
      </c>
      <c r="E1377" t="s">
        <v>16</v>
      </c>
      <c r="F1377" t="s">
        <v>12</v>
      </c>
      <c r="G1377" t="s">
        <v>13</v>
      </c>
      <c r="H1377" t="s">
        <v>13</v>
      </c>
      <c r="I1377">
        <v>53</v>
      </c>
      <c r="J1377">
        <f>ABS((I1377-EDA!$A$15)/EDA!$B$15)</f>
        <v>0.77776894370722982</v>
      </c>
      <c r="K1377" t="str">
        <f t="shared" si="21"/>
        <v>No</v>
      </c>
      <c r="L1377">
        <f>ABS((C1377-EDA!$F$15)/EDA!$G$15)</f>
        <v>0.36982972513854911</v>
      </c>
      <c r="M1377" t="str">
        <f>IF(moras[[#This Row],[Z-Score Salario]]&gt;1.96, "Sí", "No")</f>
        <v>No</v>
      </c>
      <c r="N1377" s="14">
        <f>IF(ISBLANK(moras[[#This Row],[SALARIO]]), EDA!$M$8, moras[[#This Row],[SALARIO]])</f>
        <v>350000</v>
      </c>
      <c r="O1377" s="14">
        <f xml:space="preserve"> IF(ISBLANK(moras[[#This Row],[EDAD]]), EDA!$E$8, moras[[#This Row],[EDAD]])</f>
        <v>53</v>
      </c>
      <c r="P1377" s="14" t="str">
        <f>IF(
    OR(ISBLANK(moras[[#This Row],[TIPO_ASEGURAMIENTO]]), moras[[#This Row],[TIPO_ASEGURAMIENTO]]=""),
    EDA!$A$32,
    moras[[#This Row],[TIPO_ASEGURAMIENTO]]
)</f>
        <v>ASALARIADO</v>
      </c>
    </row>
    <row r="1378" spans="1:16" x14ac:dyDescent="0.3">
      <c r="A1378">
        <v>1377</v>
      </c>
      <c r="B1378" t="s">
        <v>15</v>
      </c>
      <c r="C1378">
        <v>243000</v>
      </c>
      <c r="D1378" t="s">
        <v>10</v>
      </c>
      <c r="E1378" t="s">
        <v>16</v>
      </c>
      <c r="F1378" t="s">
        <v>12</v>
      </c>
      <c r="G1378" t="s">
        <v>13</v>
      </c>
      <c r="H1378" t="s">
        <v>13</v>
      </c>
      <c r="I1378">
        <v>46</v>
      </c>
      <c r="J1378">
        <f>ABS((I1378-EDA!$A$15)/EDA!$B$15)</f>
        <v>0.2837416331672673</v>
      </c>
      <c r="K1378" t="str">
        <f t="shared" si="21"/>
        <v>No</v>
      </c>
      <c r="L1378">
        <f>ABS((C1378-EDA!$F$15)/EDA!$G$15)</f>
        <v>0.3716102806711542</v>
      </c>
      <c r="M1378" t="str">
        <f>IF(moras[[#This Row],[Z-Score Salario]]&gt;1.96, "Sí", "No")</f>
        <v>No</v>
      </c>
      <c r="N1378" s="14">
        <f>IF(ISBLANK(moras[[#This Row],[SALARIO]]), EDA!$M$8, moras[[#This Row],[SALARIO]])</f>
        <v>243000</v>
      </c>
      <c r="O1378" s="14">
        <f xml:space="preserve"> IF(ISBLANK(moras[[#This Row],[EDAD]]), EDA!$E$8, moras[[#This Row],[EDAD]])</f>
        <v>46</v>
      </c>
      <c r="P1378" s="14" t="str">
        <f>IF(
    OR(ISBLANK(moras[[#This Row],[TIPO_ASEGURAMIENTO]]), moras[[#This Row],[TIPO_ASEGURAMIENTO]]=""),
    EDA!$A$32,
    moras[[#This Row],[TIPO_ASEGURAMIENTO]]
)</f>
        <v>ASALARIADO</v>
      </c>
    </row>
    <row r="1379" spans="1:16" x14ac:dyDescent="0.3">
      <c r="A1379">
        <v>1378</v>
      </c>
      <c r="B1379" t="s">
        <v>15</v>
      </c>
      <c r="C1379">
        <v>210000</v>
      </c>
      <c r="D1379" t="s">
        <v>10</v>
      </c>
      <c r="E1379" t="s">
        <v>16</v>
      </c>
      <c r="F1379" t="s">
        <v>12</v>
      </c>
      <c r="G1379" t="s">
        <v>12</v>
      </c>
      <c r="H1379" t="s">
        <v>13</v>
      </c>
      <c r="I1379">
        <v>38</v>
      </c>
      <c r="J1379">
        <f>ABS((I1379-EDA!$A$15)/EDA!$B$15)</f>
        <v>0.28086100744983278</v>
      </c>
      <c r="K1379" t="str">
        <f t="shared" si="21"/>
        <v>No</v>
      </c>
      <c r="L1379">
        <f>ABS((C1379-EDA!$F$15)/EDA!$G$15)</f>
        <v>0.37215942396625667</v>
      </c>
      <c r="M1379" t="str">
        <f>IF(moras[[#This Row],[Z-Score Salario]]&gt;1.96, "Sí", "No")</f>
        <v>No</v>
      </c>
      <c r="N1379" s="14">
        <f>IF(ISBLANK(moras[[#This Row],[SALARIO]]), EDA!$M$8, moras[[#This Row],[SALARIO]])</f>
        <v>210000</v>
      </c>
      <c r="O1379" s="14">
        <f xml:space="preserve"> IF(ISBLANK(moras[[#This Row],[EDAD]]), EDA!$E$8, moras[[#This Row],[EDAD]])</f>
        <v>38</v>
      </c>
      <c r="P1379" s="14" t="str">
        <f>IF(
    OR(ISBLANK(moras[[#This Row],[TIPO_ASEGURAMIENTO]]), moras[[#This Row],[TIPO_ASEGURAMIENTO]]=""),
    EDA!$A$32,
    moras[[#This Row],[TIPO_ASEGURAMIENTO]]
)</f>
        <v>ASALARIADO</v>
      </c>
    </row>
    <row r="1380" spans="1:16" x14ac:dyDescent="0.3">
      <c r="A1380">
        <v>1379</v>
      </c>
      <c r="B1380" t="s">
        <v>15</v>
      </c>
      <c r="C1380">
        <v>115473948</v>
      </c>
      <c r="D1380" t="s">
        <v>10</v>
      </c>
      <c r="E1380" t="s">
        <v>11</v>
      </c>
      <c r="F1380" t="s">
        <v>12</v>
      </c>
      <c r="G1380" t="s">
        <v>13</v>
      </c>
      <c r="H1380" t="s">
        <v>13</v>
      </c>
      <c r="I1380">
        <v>30</v>
      </c>
      <c r="J1380">
        <f>ABS((I1380-EDA!$A$15)/EDA!$B$15)</f>
        <v>0.84546364806693275</v>
      </c>
      <c r="K1380" t="str">
        <f t="shared" si="21"/>
        <v>No</v>
      </c>
      <c r="L1380">
        <f>ABS((C1380-EDA!$F$15)/EDA!$G$15)</f>
        <v>1.5459140369805311</v>
      </c>
      <c r="M1380" t="str">
        <f>IF(moras[[#This Row],[Z-Score Salario]]&gt;1.96, "Sí", "No")</f>
        <v>No</v>
      </c>
      <c r="N1380" s="14">
        <f>IF(ISBLANK(moras[[#This Row],[SALARIO]]), EDA!$M$8, moras[[#This Row],[SALARIO]])</f>
        <v>115473948</v>
      </c>
      <c r="O1380" s="14">
        <f xml:space="preserve"> IF(ISBLANK(moras[[#This Row],[EDAD]]), EDA!$E$8, moras[[#This Row],[EDAD]])</f>
        <v>30</v>
      </c>
      <c r="P1380" s="14" t="str">
        <f>IF(
    OR(ISBLANK(moras[[#This Row],[TIPO_ASEGURAMIENTO]]), moras[[#This Row],[TIPO_ASEGURAMIENTO]]=""),
    EDA!$A$32,
    moras[[#This Row],[TIPO_ASEGURAMIENTO]]
)</f>
        <v>ASALARIADO</v>
      </c>
    </row>
    <row r="1381" spans="1:16" x14ac:dyDescent="0.3">
      <c r="A1381">
        <v>1380</v>
      </c>
      <c r="B1381" t="s">
        <v>9</v>
      </c>
      <c r="C1381">
        <v>305704</v>
      </c>
      <c r="D1381" t="s">
        <v>18</v>
      </c>
      <c r="E1381" t="s">
        <v>16</v>
      </c>
      <c r="F1381" t="s">
        <v>12</v>
      </c>
      <c r="G1381" t="s">
        <v>13</v>
      </c>
      <c r="H1381" t="s">
        <v>12</v>
      </c>
      <c r="I1381">
        <v>41</v>
      </c>
      <c r="J1381">
        <f>ABS((I1381-EDA!$A$15)/EDA!$B$15)</f>
        <v>6.9135017218420233E-2</v>
      </c>
      <c r="K1381" t="str">
        <f t="shared" si="21"/>
        <v>No</v>
      </c>
      <c r="L1381">
        <f>ABS((C1381-EDA!$F$15)/EDA!$G$15)</f>
        <v>0.37056684184763578</v>
      </c>
      <c r="M1381" t="str">
        <f>IF(moras[[#This Row],[Z-Score Salario]]&gt;1.96, "Sí", "No")</f>
        <v>No</v>
      </c>
      <c r="N1381" s="14">
        <f>IF(ISBLANK(moras[[#This Row],[SALARIO]]), EDA!$M$8, moras[[#This Row],[SALARIO]])</f>
        <v>305704</v>
      </c>
      <c r="O1381" s="14">
        <f xml:space="preserve"> IF(ISBLANK(moras[[#This Row],[EDAD]]), EDA!$E$8, moras[[#This Row],[EDAD]])</f>
        <v>41</v>
      </c>
      <c r="P1381" s="14" t="str">
        <f>IF(
    OR(ISBLANK(moras[[#This Row],[TIPO_ASEGURAMIENTO]]), moras[[#This Row],[TIPO_ASEGURAMIENTO]]=""),
    EDA!$A$32,
    moras[[#This Row],[TIPO_ASEGURAMIENTO]]
)</f>
        <v>TRABAJADOR INDEPENDIENTE</v>
      </c>
    </row>
    <row r="1382" spans="1:16" x14ac:dyDescent="0.3">
      <c r="A1382">
        <v>1381</v>
      </c>
      <c r="B1382" t="s">
        <v>9</v>
      </c>
      <c r="C1382">
        <v>243888783</v>
      </c>
      <c r="D1382" t="s">
        <v>10</v>
      </c>
      <c r="E1382" t="s">
        <v>16</v>
      </c>
      <c r="F1382" t="s">
        <v>12</v>
      </c>
      <c r="G1382" t="s">
        <v>13</v>
      </c>
      <c r="H1382" t="s">
        <v>13</v>
      </c>
      <c r="I1382">
        <v>32</v>
      </c>
      <c r="J1382">
        <f>ABS((I1382-EDA!$A$15)/EDA!$B$15)</f>
        <v>0.70431298791265773</v>
      </c>
      <c r="K1382" t="str">
        <f t="shared" si="21"/>
        <v>No</v>
      </c>
      <c r="L1382">
        <f>ABS((C1382-EDA!$F$15)/EDA!$G$15)</f>
        <v>3.682827540978856</v>
      </c>
      <c r="M1382" t="str">
        <f>IF(moras[[#This Row],[Z-Score Salario]]&gt;1.96, "Sí", "No")</f>
        <v>Sí</v>
      </c>
      <c r="N1382" s="14">
        <f>IF(ISBLANK(moras[[#This Row],[SALARIO]]), EDA!$M$8, moras[[#This Row],[SALARIO]])</f>
        <v>243888783</v>
      </c>
      <c r="O1382" s="14">
        <f xml:space="preserve"> IF(ISBLANK(moras[[#This Row],[EDAD]]), EDA!$E$8, moras[[#This Row],[EDAD]])</f>
        <v>32</v>
      </c>
      <c r="P1382" s="14" t="str">
        <f>IF(
    OR(ISBLANK(moras[[#This Row],[TIPO_ASEGURAMIENTO]]), moras[[#This Row],[TIPO_ASEGURAMIENTO]]=""),
    EDA!$A$32,
    moras[[#This Row],[TIPO_ASEGURAMIENTO]]
)</f>
        <v>ASALARIADO</v>
      </c>
    </row>
    <row r="1383" spans="1:16" x14ac:dyDescent="0.3">
      <c r="A1383">
        <v>1382</v>
      </c>
      <c r="B1383" t="s">
        <v>15</v>
      </c>
      <c r="C1383">
        <v>285127</v>
      </c>
      <c r="D1383" t="s">
        <v>10</v>
      </c>
      <c r="E1383" t="s">
        <v>11</v>
      </c>
      <c r="F1383" t="s">
        <v>12</v>
      </c>
      <c r="G1383" t="s">
        <v>13</v>
      </c>
      <c r="H1383" t="s">
        <v>13</v>
      </c>
      <c r="I1383">
        <v>59</v>
      </c>
      <c r="J1383">
        <f>ABS((I1383-EDA!$A$15)/EDA!$B$15)</f>
        <v>1.2012209241700549</v>
      </c>
      <c r="K1383" t="str">
        <f t="shared" si="21"/>
        <v>No</v>
      </c>
      <c r="L1383">
        <f>ABS((C1383-EDA!$F$15)/EDA!$G$15)</f>
        <v>0.37090925765319105</v>
      </c>
      <c r="M1383" t="str">
        <f>IF(moras[[#This Row],[Z-Score Salario]]&gt;1.96, "Sí", "No")</f>
        <v>No</v>
      </c>
      <c r="N1383" s="14">
        <f>IF(ISBLANK(moras[[#This Row],[SALARIO]]), EDA!$M$8, moras[[#This Row],[SALARIO]])</f>
        <v>285127</v>
      </c>
      <c r="O1383" s="14">
        <f xml:space="preserve"> IF(ISBLANK(moras[[#This Row],[EDAD]]), EDA!$E$8, moras[[#This Row],[EDAD]])</f>
        <v>59</v>
      </c>
      <c r="P1383" s="14" t="str">
        <f>IF(
    OR(ISBLANK(moras[[#This Row],[TIPO_ASEGURAMIENTO]]), moras[[#This Row],[TIPO_ASEGURAMIENTO]]=""),
    EDA!$A$32,
    moras[[#This Row],[TIPO_ASEGURAMIENTO]]
)</f>
        <v>ASALARIADO</v>
      </c>
    </row>
    <row r="1384" spans="1:16" x14ac:dyDescent="0.3">
      <c r="A1384">
        <v>1383</v>
      </c>
      <c r="B1384" t="s">
        <v>9</v>
      </c>
      <c r="C1384">
        <v>27803099</v>
      </c>
      <c r="D1384" t="s">
        <v>19</v>
      </c>
      <c r="E1384" t="s">
        <v>16</v>
      </c>
      <c r="F1384" t="s">
        <v>12</v>
      </c>
      <c r="G1384" t="s">
        <v>13</v>
      </c>
      <c r="H1384" t="s">
        <v>13</v>
      </c>
      <c r="I1384">
        <v>52</v>
      </c>
      <c r="J1384">
        <f>ABS((I1384-EDA!$A$15)/EDA!$B$15)</f>
        <v>0.70719361363009237</v>
      </c>
      <c r="K1384" t="str">
        <f t="shared" si="21"/>
        <v>No</v>
      </c>
      <c r="L1384">
        <f>ABS((C1384-EDA!$F$15)/EDA!$G$15)</f>
        <v>8.7009221698885322E-2</v>
      </c>
      <c r="M1384" t="str">
        <f>IF(moras[[#This Row],[Z-Score Salario]]&gt;1.96, "Sí", "No")</f>
        <v>No</v>
      </c>
      <c r="N1384" s="14">
        <f>IF(ISBLANK(moras[[#This Row],[SALARIO]]), EDA!$M$8, moras[[#This Row],[SALARIO]])</f>
        <v>27803099</v>
      </c>
      <c r="O1384" s="14">
        <f xml:space="preserve"> IF(ISBLANK(moras[[#This Row],[EDAD]]), EDA!$E$8, moras[[#This Row],[EDAD]])</f>
        <v>52</v>
      </c>
      <c r="P1384" s="14" t="str">
        <f>IF(
    OR(ISBLANK(moras[[#This Row],[TIPO_ASEGURAMIENTO]]), moras[[#This Row],[TIPO_ASEGURAMIENTO]]=""),
    EDA!$A$32,
    moras[[#This Row],[TIPO_ASEGURAMIENTO]]
)</f>
        <v>CONVENIOS ESPECIALES DE TRABAJADORES INDEPENDIENTES</v>
      </c>
    </row>
    <row r="1385" spans="1:16" x14ac:dyDescent="0.3">
      <c r="A1385">
        <v>1384</v>
      </c>
      <c r="B1385" t="s">
        <v>9</v>
      </c>
      <c r="C1385">
        <v>1580792</v>
      </c>
      <c r="D1385" t="s">
        <v>10</v>
      </c>
      <c r="E1385" t="s">
        <v>16</v>
      </c>
      <c r="F1385" t="s">
        <v>12</v>
      </c>
      <c r="G1385" t="s">
        <v>13</v>
      </c>
      <c r="H1385" t="s">
        <v>13</v>
      </c>
      <c r="I1385">
        <v>28</v>
      </c>
      <c r="J1385">
        <f>ABS((I1385-EDA!$A$15)/EDA!$B$15)</f>
        <v>0.98661430822120777</v>
      </c>
      <c r="K1385" t="str">
        <f t="shared" si="21"/>
        <v>No</v>
      </c>
      <c r="L1385">
        <f>ABS((C1385-EDA!$F$15)/EDA!$G$15)</f>
        <v>0.34934847742746411</v>
      </c>
      <c r="M1385" t="str">
        <f>IF(moras[[#This Row],[Z-Score Salario]]&gt;1.96, "Sí", "No")</f>
        <v>No</v>
      </c>
      <c r="N1385" s="14">
        <f>IF(ISBLANK(moras[[#This Row],[SALARIO]]), EDA!$M$8, moras[[#This Row],[SALARIO]])</f>
        <v>1580792</v>
      </c>
      <c r="O1385" s="14">
        <f xml:space="preserve"> IF(ISBLANK(moras[[#This Row],[EDAD]]), EDA!$E$8, moras[[#This Row],[EDAD]])</f>
        <v>28</v>
      </c>
      <c r="P1385" s="14" t="str">
        <f>IF(
    OR(ISBLANK(moras[[#This Row],[TIPO_ASEGURAMIENTO]]), moras[[#This Row],[TIPO_ASEGURAMIENTO]]=""),
    EDA!$A$32,
    moras[[#This Row],[TIPO_ASEGURAMIENTO]]
)</f>
        <v>ASALARIADO</v>
      </c>
    </row>
    <row r="1386" spans="1:16" x14ac:dyDescent="0.3">
      <c r="A1386">
        <v>1385</v>
      </c>
      <c r="B1386" t="s">
        <v>15</v>
      </c>
      <c r="C1386">
        <v>297139</v>
      </c>
      <c r="D1386" t="s">
        <v>17</v>
      </c>
      <c r="E1386" t="s">
        <v>16</v>
      </c>
      <c r="F1386" t="s">
        <v>12</v>
      </c>
      <c r="G1386" t="s">
        <v>12</v>
      </c>
      <c r="H1386" t="s">
        <v>13</v>
      </c>
      <c r="I1386">
        <v>43</v>
      </c>
      <c r="J1386">
        <f>ABS((I1386-EDA!$A$15)/EDA!$B$15)</f>
        <v>7.2015642935854773E-2</v>
      </c>
      <c r="K1386" t="str">
        <f t="shared" si="21"/>
        <v>No</v>
      </c>
      <c r="L1386">
        <f>ABS((C1386-EDA!$F$15)/EDA!$G$15)</f>
        <v>0.37070936949377375</v>
      </c>
      <c r="M1386" t="str">
        <f>IF(moras[[#This Row],[Z-Score Salario]]&gt;1.96, "Sí", "No")</f>
        <v>No</v>
      </c>
      <c r="N1386" s="14">
        <f>IF(ISBLANK(moras[[#This Row],[SALARIO]]), EDA!$M$8, moras[[#This Row],[SALARIO]])</f>
        <v>297139</v>
      </c>
      <c r="O1386" s="14">
        <f xml:space="preserve"> IF(ISBLANK(moras[[#This Row],[EDAD]]), EDA!$E$8, moras[[#This Row],[EDAD]])</f>
        <v>43</v>
      </c>
      <c r="P1386" s="14" t="str">
        <f>IF(
    OR(ISBLANK(moras[[#This Row],[TIPO_ASEGURAMIENTO]]), moras[[#This Row],[TIPO_ASEGURAMIENTO]]=""),
    EDA!$A$32,
    moras[[#This Row],[TIPO_ASEGURAMIENTO]]
)</f>
        <v>ASEGURADO VOLUNTARIO</v>
      </c>
    </row>
    <row r="1387" spans="1:16" x14ac:dyDescent="0.3">
      <c r="A1387">
        <v>1386</v>
      </c>
      <c r="B1387" t="s">
        <v>15</v>
      </c>
      <c r="C1387">
        <v>297046</v>
      </c>
      <c r="D1387" t="s">
        <v>17</v>
      </c>
      <c r="E1387" t="s">
        <v>16</v>
      </c>
      <c r="F1387" t="s">
        <v>12</v>
      </c>
      <c r="G1387" t="s">
        <v>13</v>
      </c>
      <c r="H1387" t="s">
        <v>13</v>
      </c>
      <c r="I1387">
        <v>64</v>
      </c>
      <c r="J1387">
        <f>ABS((I1387-EDA!$A$15)/EDA!$B$15)</f>
        <v>1.5540975745557424</v>
      </c>
      <c r="K1387" t="str">
        <f t="shared" si="21"/>
        <v>No</v>
      </c>
      <c r="L1387">
        <f>ABS((C1387-EDA!$F$15)/EDA!$G$15)</f>
        <v>0.37071091707942361</v>
      </c>
      <c r="M1387" t="str">
        <f>IF(moras[[#This Row],[Z-Score Salario]]&gt;1.96, "Sí", "No")</f>
        <v>No</v>
      </c>
      <c r="N1387" s="14">
        <f>IF(ISBLANK(moras[[#This Row],[SALARIO]]), EDA!$M$8, moras[[#This Row],[SALARIO]])</f>
        <v>297046</v>
      </c>
      <c r="O1387" s="14">
        <f xml:space="preserve"> IF(ISBLANK(moras[[#This Row],[EDAD]]), EDA!$E$8, moras[[#This Row],[EDAD]])</f>
        <v>64</v>
      </c>
      <c r="P1387" s="14" t="str">
        <f>IF(
    OR(ISBLANK(moras[[#This Row],[TIPO_ASEGURAMIENTO]]), moras[[#This Row],[TIPO_ASEGURAMIENTO]]=""),
    EDA!$A$32,
    moras[[#This Row],[TIPO_ASEGURAMIENTO]]
)</f>
        <v>ASEGURADO VOLUNTARIO</v>
      </c>
    </row>
    <row r="1388" spans="1:16" x14ac:dyDescent="0.3">
      <c r="A1388">
        <v>1387</v>
      </c>
      <c r="B1388" t="s">
        <v>9</v>
      </c>
      <c r="C1388">
        <v>278030</v>
      </c>
      <c r="D1388" t="s">
        <v>19</v>
      </c>
      <c r="E1388" t="s">
        <v>16</v>
      </c>
      <c r="F1388" t="s">
        <v>12</v>
      </c>
      <c r="G1388" t="s">
        <v>13</v>
      </c>
      <c r="H1388" t="s">
        <v>13</v>
      </c>
      <c r="I1388">
        <v>32</v>
      </c>
      <c r="J1388">
        <f>ABS((I1388-EDA!$A$15)/EDA!$B$15)</f>
        <v>0.70431298791265773</v>
      </c>
      <c r="K1388" t="str">
        <f t="shared" si="21"/>
        <v>No</v>
      </c>
      <c r="L1388">
        <f>ABS((C1388-EDA!$F$15)/EDA!$G$15)</f>
        <v>0.37102735674304993</v>
      </c>
      <c r="M1388" t="str">
        <f>IF(moras[[#This Row],[Z-Score Salario]]&gt;1.96, "Sí", "No")</f>
        <v>No</v>
      </c>
      <c r="N1388" s="14">
        <f>IF(ISBLANK(moras[[#This Row],[SALARIO]]), EDA!$M$8, moras[[#This Row],[SALARIO]])</f>
        <v>278030</v>
      </c>
      <c r="O1388" s="14">
        <f xml:space="preserve"> IF(ISBLANK(moras[[#This Row],[EDAD]]), EDA!$E$8, moras[[#This Row],[EDAD]])</f>
        <v>32</v>
      </c>
      <c r="P1388" s="14" t="str">
        <f>IF(
    OR(ISBLANK(moras[[#This Row],[TIPO_ASEGURAMIENTO]]), moras[[#This Row],[TIPO_ASEGURAMIENTO]]=""),
    EDA!$A$32,
    moras[[#This Row],[TIPO_ASEGURAMIENTO]]
)</f>
        <v>CONVENIOS ESPECIALES DE TRABAJADORES INDEPENDIENTES</v>
      </c>
    </row>
    <row r="1389" spans="1:16" x14ac:dyDescent="0.3">
      <c r="A1389">
        <v>1388</v>
      </c>
      <c r="B1389" t="s">
        <v>9</v>
      </c>
      <c r="C1389">
        <v>580000</v>
      </c>
      <c r="D1389" t="s">
        <v>10</v>
      </c>
      <c r="E1389" t="s">
        <v>16</v>
      </c>
      <c r="F1389" t="s">
        <v>12</v>
      </c>
      <c r="G1389" t="s">
        <v>13</v>
      </c>
      <c r="H1389" t="s">
        <v>13</v>
      </c>
      <c r="I1389">
        <v>24</v>
      </c>
      <c r="J1389">
        <f>ABS((I1389-EDA!$A$15)/EDA!$B$15)</f>
        <v>1.2689156285297578</v>
      </c>
      <c r="K1389" t="str">
        <f t="shared" si="21"/>
        <v>No</v>
      </c>
      <c r="L1389">
        <f>ABS((C1389-EDA!$F$15)/EDA!$G$15)</f>
        <v>0.36600236277874376</v>
      </c>
      <c r="M1389" t="str">
        <f>IF(moras[[#This Row],[Z-Score Salario]]&gt;1.96, "Sí", "No")</f>
        <v>No</v>
      </c>
      <c r="N1389" s="14">
        <f>IF(ISBLANK(moras[[#This Row],[SALARIO]]), EDA!$M$8, moras[[#This Row],[SALARIO]])</f>
        <v>580000</v>
      </c>
      <c r="O1389" s="14">
        <f xml:space="preserve"> IF(ISBLANK(moras[[#This Row],[EDAD]]), EDA!$E$8, moras[[#This Row],[EDAD]])</f>
        <v>24</v>
      </c>
      <c r="P1389" s="14" t="str">
        <f>IF(
    OR(ISBLANK(moras[[#This Row],[TIPO_ASEGURAMIENTO]]), moras[[#This Row],[TIPO_ASEGURAMIENTO]]=""),
    EDA!$A$32,
    moras[[#This Row],[TIPO_ASEGURAMIENTO]]
)</f>
        <v>ASALARIADO</v>
      </c>
    </row>
    <row r="1390" spans="1:16" x14ac:dyDescent="0.3">
      <c r="A1390">
        <v>1389</v>
      </c>
      <c r="B1390" t="s">
        <v>15</v>
      </c>
      <c r="C1390">
        <v>504976</v>
      </c>
      <c r="D1390" t="s">
        <v>18</v>
      </c>
      <c r="E1390" t="s">
        <v>16</v>
      </c>
      <c r="F1390" t="s">
        <v>12</v>
      </c>
      <c r="G1390" t="s">
        <v>13</v>
      </c>
      <c r="H1390" t="s">
        <v>13</v>
      </c>
      <c r="I1390">
        <v>36</v>
      </c>
      <c r="J1390">
        <f>ABS((I1390-EDA!$A$15)/EDA!$B$15)</f>
        <v>0.42201166760410774</v>
      </c>
      <c r="K1390" t="str">
        <f t="shared" si="21"/>
        <v>No</v>
      </c>
      <c r="L1390">
        <f>ABS((C1390-EDA!$F$15)/EDA!$G$15)</f>
        <v>0.3672508150991004</v>
      </c>
      <c r="M1390" t="str">
        <f>IF(moras[[#This Row],[Z-Score Salario]]&gt;1.96, "Sí", "No")</f>
        <v>No</v>
      </c>
      <c r="N1390" s="14">
        <f>IF(ISBLANK(moras[[#This Row],[SALARIO]]), EDA!$M$8, moras[[#This Row],[SALARIO]])</f>
        <v>504976</v>
      </c>
      <c r="O1390" s="14">
        <f xml:space="preserve"> IF(ISBLANK(moras[[#This Row],[EDAD]]), EDA!$E$8, moras[[#This Row],[EDAD]])</f>
        <v>36</v>
      </c>
      <c r="P1390" s="14" t="str">
        <f>IF(
    OR(ISBLANK(moras[[#This Row],[TIPO_ASEGURAMIENTO]]), moras[[#This Row],[TIPO_ASEGURAMIENTO]]=""),
    EDA!$A$32,
    moras[[#This Row],[TIPO_ASEGURAMIENTO]]
)</f>
        <v>TRABAJADOR INDEPENDIENTE</v>
      </c>
    </row>
    <row r="1391" spans="1:16" x14ac:dyDescent="0.3">
      <c r="A1391">
        <v>1390</v>
      </c>
      <c r="B1391" t="s">
        <v>9</v>
      </c>
      <c r="C1391">
        <v>482000</v>
      </c>
      <c r="D1391" t="s">
        <v>10</v>
      </c>
      <c r="E1391" t="s">
        <v>16</v>
      </c>
      <c r="F1391" t="s">
        <v>12</v>
      </c>
      <c r="G1391" t="s">
        <v>13</v>
      </c>
      <c r="H1391" t="s">
        <v>12</v>
      </c>
      <c r="I1391">
        <v>36</v>
      </c>
      <c r="J1391">
        <f>ABS((I1391-EDA!$A$15)/EDA!$B$15)</f>
        <v>0.42201166760410774</v>
      </c>
      <c r="K1391" t="str">
        <f t="shared" si="21"/>
        <v>No</v>
      </c>
      <c r="L1391">
        <f>ABS((C1391-EDA!$F$15)/EDA!$G$15)</f>
        <v>0.36763315195813906</v>
      </c>
      <c r="M1391" t="str">
        <f>IF(moras[[#This Row],[Z-Score Salario]]&gt;1.96, "Sí", "No")</f>
        <v>No</v>
      </c>
      <c r="N1391" s="14">
        <f>IF(ISBLANK(moras[[#This Row],[SALARIO]]), EDA!$M$8, moras[[#This Row],[SALARIO]])</f>
        <v>482000</v>
      </c>
      <c r="O1391" s="14">
        <f xml:space="preserve"> IF(ISBLANK(moras[[#This Row],[EDAD]]), EDA!$E$8, moras[[#This Row],[EDAD]])</f>
        <v>36</v>
      </c>
      <c r="P1391" s="14" t="str">
        <f>IF(
    OR(ISBLANK(moras[[#This Row],[TIPO_ASEGURAMIENTO]]), moras[[#This Row],[TIPO_ASEGURAMIENTO]]=""),
    EDA!$A$32,
    moras[[#This Row],[TIPO_ASEGURAMIENTO]]
)</f>
        <v>ASALARIADO</v>
      </c>
    </row>
    <row r="1392" spans="1:16" x14ac:dyDescent="0.3">
      <c r="A1392">
        <v>1391</v>
      </c>
      <c r="B1392" t="s">
        <v>9</v>
      </c>
      <c r="C1392">
        <v>639148</v>
      </c>
      <c r="D1392" t="s">
        <v>17</v>
      </c>
      <c r="E1392" t="s">
        <v>16</v>
      </c>
      <c r="F1392" t="s">
        <v>12</v>
      </c>
      <c r="G1392" t="s">
        <v>13</v>
      </c>
      <c r="H1392" t="s">
        <v>13</v>
      </c>
      <c r="I1392">
        <v>79</v>
      </c>
      <c r="J1392">
        <f>ABS((I1392-EDA!$A$15)/EDA!$B$15)</f>
        <v>2.6127275257128049</v>
      </c>
      <c r="K1392" t="str">
        <f t="shared" si="21"/>
        <v>Sí</v>
      </c>
      <c r="L1392">
        <f>ABS((C1392-EDA!$F$15)/EDA!$G$15)</f>
        <v>0.36501809830544912</v>
      </c>
      <c r="M1392" t="str">
        <f>IF(moras[[#This Row],[Z-Score Salario]]&gt;1.96, "Sí", "No")</f>
        <v>No</v>
      </c>
      <c r="N1392" s="14">
        <f>IF(ISBLANK(moras[[#This Row],[SALARIO]]), EDA!$M$8, moras[[#This Row],[SALARIO]])</f>
        <v>639148</v>
      </c>
      <c r="O1392" s="14">
        <f xml:space="preserve"> IF(ISBLANK(moras[[#This Row],[EDAD]]), EDA!$E$8, moras[[#This Row],[EDAD]])</f>
        <v>79</v>
      </c>
      <c r="P1392" s="14" t="str">
        <f>IF(
    OR(ISBLANK(moras[[#This Row],[TIPO_ASEGURAMIENTO]]), moras[[#This Row],[TIPO_ASEGURAMIENTO]]=""),
    EDA!$A$32,
    moras[[#This Row],[TIPO_ASEGURAMIENTO]]
)</f>
        <v>ASEGURADO VOLUNTARIO</v>
      </c>
    </row>
    <row r="1393" spans="1:16" x14ac:dyDescent="0.3">
      <c r="A1393">
        <v>1392</v>
      </c>
      <c r="B1393" t="s">
        <v>9</v>
      </c>
      <c r="C1393">
        <v>263640</v>
      </c>
      <c r="D1393" t="s">
        <v>10</v>
      </c>
      <c r="E1393" t="s">
        <v>16</v>
      </c>
      <c r="F1393" t="s">
        <v>12</v>
      </c>
      <c r="G1393" t="s">
        <v>13</v>
      </c>
      <c r="H1393" t="s">
        <v>13</v>
      </c>
      <c r="I1393">
        <v>31</v>
      </c>
      <c r="J1393">
        <f>ABS((I1393-EDA!$A$15)/EDA!$B$15)</f>
        <v>0.77488831798979529</v>
      </c>
      <c r="K1393" t="str">
        <f t="shared" si="21"/>
        <v>No</v>
      </c>
      <c r="L1393">
        <f>ABS((C1393-EDA!$F$15)/EDA!$G$15)</f>
        <v>0.37126681650112642</v>
      </c>
      <c r="M1393" t="str">
        <f>IF(moras[[#This Row],[Z-Score Salario]]&gt;1.96, "Sí", "No")</f>
        <v>No</v>
      </c>
      <c r="N1393" s="14">
        <f>IF(ISBLANK(moras[[#This Row],[SALARIO]]), EDA!$M$8, moras[[#This Row],[SALARIO]])</f>
        <v>263640</v>
      </c>
      <c r="O1393" s="14">
        <f xml:space="preserve"> IF(ISBLANK(moras[[#This Row],[EDAD]]), EDA!$E$8, moras[[#This Row],[EDAD]])</f>
        <v>31</v>
      </c>
      <c r="P1393" s="14" t="str">
        <f>IF(
    OR(ISBLANK(moras[[#This Row],[TIPO_ASEGURAMIENTO]]), moras[[#This Row],[TIPO_ASEGURAMIENTO]]=""),
    EDA!$A$32,
    moras[[#This Row],[TIPO_ASEGURAMIENTO]]
)</f>
        <v>ASALARIADO</v>
      </c>
    </row>
    <row r="1394" spans="1:16" x14ac:dyDescent="0.3">
      <c r="A1394">
        <v>1393</v>
      </c>
      <c r="B1394" t="s">
        <v>15</v>
      </c>
      <c r="C1394">
        <v>846529</v>
      </c>
      <c r="D1394" t="s">
        <v>10</v>
      </c>
      <c r="E1394" t="s">
        <v>11</v>
      </c>
      <c r="F1394" t="s">
        <v>12</v>
      </c>
      <c r="G1394" t="s">
        <v>13</v>
      </c>
      <c r="H1394" t="s">
        <v>13</v>
      </c>
      <c r="I1394">
        <v>28</v>
      </c>
      <c r="J1394">
        <f>ABS((I1394-EDA!$A$15)/EDA!$B$15)</f>
        <v>0.98661430822120777</v>
      </c>
      <c r="K1394" t="str">
        <f t="shared" si="21"/>
        <v>No</v>
      </c>
      <c r="L1394">
        <f>ABS((C1394-EDA!$F$15)/EDA!$G$15)</f>
        <v>0.36156713207267172</v>
      </c>
      <c r="M1394" t="str">
        <f>IF(moras[[#This Row],[Z-Score Salario]]&gt;1.96, "Sí", "No")</f>
        <v>No</v>
      </c>
      <c r="N1394" s="14">
        <f>IF(ISBLANK(moras[[#This Row],[SALARIO]]), EDA!$M$8, moras[[#This Row],[SALARIO]])</f>
        <v>846529</v>
      </c>
      <c r="O1394" s="14">
        <f xml:space="preserve"> IF(ISBLANK(moras[[#This Row],[EDAD]]), EDA!$E$8, moras[[#This Row],[EDAD]])</f>
        <v>28</v>
      </c>
      <c r="P1394" s="14" t="str">
        <f>IF(
    OR(ISBLANK(moras[[#This Row],[TIPO_ASEGURAMIENTO]]), moras[[#This Row],[TIPO_ASEGURAMIENTO]]=""),
    EDA!$A$32,
    moras[[#This Row],[TIPO_ASEGURAMIENTO]]
)</f>
        <v>ASALARIADO</v>
      </c>
    </row>
    <row r="1395" spans="1:16" x14ac:dyDescent="0.3">
      <c r="A1395">
        <v>1394</v>
      </c>
      <c r="B1395" t="s">
        <v>15</v>
      </c>
      <c r="C1395">
        <v>2408909</v>
      </c>
      <c r="D1395" t="s">
        <v>14</v>
      </c>
      <c r="E1395" t="s">
        <v>11</v>
      </c>
      <c r="F1395" t="s">
        <v>12</v>
      </c>
      <c r="G1395" t="s">
        <v>13</v>
      </c>
      <c r="H1395" t="s">
        <v>13</v>
      </c>
      <c r="I1395">
        <v>83</v>
      </c>
      <c r="J1395">
        <f>ABS((I1395-EDA!$A$15)/EDA!$B$15)</f>
        <v>2.8950288460213551</v>
      </c>
      <c r="K1395" t="str">
        <f t="shared" si="21"/>
        <v>Sí</v>
      </c>
      <c r="L1395">
        <f>ABS((C1395-EDA!$F$15)/EDA!$G$15)</f>
        <v>0.33556802596957314</v>
      </c>
      <c r="M1395" t="str">
        <f>IF(moras[[#This Row],[Z-Score Salario]]&gt;1.96, "Sí", "No")</f>
        <v>No</v>
      </c>
      <c r="N1395" s="14">
        <f>IF(ISBLANK(moras[[#This Row],[SALARIO]]), EDA!$M$8, moras[[#This Row],[SALARIO]])</f>
        <v>2408909</v>
      </c>
      <c r="O1395" s="14">
        <f xml:space="preserve"> IF(ISBLANK(moras[[#This Row],[EDAD]]), EDA!$E$8, moras[[#This Row],[EDAD]])</f>
        <v>83</v>
      </c>
      <c r="P1395" s="14" t="str">
        <f>IF(
    OR(ISBLANK(moras[[#This Row],[TIPO_ASEGURAMIENTO]]), moras[[#This Row],[TIPO_ASEGURAMIENTO]]=""),
    EDA!$A$32,
    moras[[#This Row],[TIPO_ASEGURAMIENTO]]
)</f>
        <v>PENSIONADOS EN SU PROPIO SISTEMA</v>
      </c>
    </row>
    <row r="1396" spans="1:16" x14ac:dyDescent="0.3">
      <c r="A1396">
        <v>1395</v>
      </c>
      <c r="B1396" t="s">
        <v>9</v>
      </c>
      <c r="C1396">
        <v>924156</v>
      </c>
      <c r="D1396" t="s">
        <v>10</v>
      </c>
      <c r="E1396" t="s">
        <v>16</v>
      </c>
      <c r="F1396" t="s">
        <v>12</v>
      </c>
      <c r="G1396" t="s">
        <v>13</v>
      </c>
      <c r="H1396" t="s">
        <v>13</v>
      </c>
      <c r="I1396">
        <v>28</v>
      </c>
      <c r="J1396">
        <f>ABS((I1396-EDA!$A$15)/EDA!$B$15)</f>
        <v>0.98661430822120777</v>
      </c>
      <c r="K1396" t="str">
        <f t="shared" si="21"/>
        <v>No</v>
      </c>
      <c r="L1396">
        <f>ABS((C1396-EDA!$F$15)/EDA!$G$15)</f>
        <v>0.36027536399482563</v>
      </c>
      <c r="M1396" t="str">
        <f>IF(moras[[#This Row],[Z-Score Salario]]&gt;1.96, "Sí", "No")</f>
        <v>No</v>
      </c>
      <c r="N1396" s="14">
        <f>IF(ISBLANK(moras[[#This Row],[SALARIO]]), EDA!$M$8, moras[[#This Row],[SALARIO]])</f>
        <v>924156</v>
      </c>
      <c r="O1396" s="14">
        <f xml:space="preserve"> IF(ISBLANK(moras[[#This Row],[EDAD]]), EDA!$E$8, moras[[#This Row],[EDAD]])</f>
        <v>28</v>
      </c>
      <c r="P1396" s="14" t="str">
        <f>IF(
    OR(ISBLANK(moras[[#This Row],[TIPO_ASEGURAMIENTO]]), moras[[#This Row],[TIPO_ASEGURAMIENTO]]=""),
    EDA!$A$32,
    moras[[#This Row],[TIPO_ASEGURAMIENTO]]
)</f>
        <v>ASALARIADO</v>
      </c>
    </row>
    <row r="1397" spans="1:16" x14ac:dyDescent="0.3">
      <c r="A1397">
        <v>1396</v>
      </c>
      <c r="B1397" t="s">
        <v>15</v>
      </c>
      <c r="C1397">
        <v>18150715</v>
      </c>
      <c r="D1397" t="s">
        <v>10</v>
      </c>
      <c r="E1397" t="s">
        <v>11</v>
      </c>
      <c r="F1397" t="s">
        <v>12</v>
      </c>
      <c r="G1397" t="s">
        <v>13</v>
      </c>
      <c r="H1397" t="s">
        <v>13</v>
      </c>
      <c r="I1397">
        <v>35</v>
      </c>
      <c r="J1397">
        <f>ABS((I1397-EDA!$A$15)/EDA!$B$15)</f>
        <v>0.49258699768124525</v>
      </c>
      <c r="K1397" t="str">
        <f t="shared" si="21"/>
        <v>No</v>
      </c>
      <c r="L1397">
        <f>ABS((C1397-EDA!$F$15)/EDA!$G$15)</f>
        <v>7.3613261796712126E-2</v>
      </c>
      <c r="M1397" t="str">
        <f>IF(moras[[#This Row],[Z-Score Salario]]&gt;1.96, "Sí", "No")</f>
        <v>No</v>
      </c>
      <c r="N1397" s="14">
        <f>IF(ISBLANK(moras[[#This Row],[SALARIO]]), EDA!$M$8, moras[[#This Row],[SALARIO]])</f>
        <v>18150715</v>
      </c>
      <c r="O1397" s="14">
        <f xml:space="preserve"> IF(ISBLANK(moras[[#This Row],[EDAD]]), EDA!$E$8, moras[[#This Row],[EDAD]])</f>
        <v>35</v>
      </c>
      <c r="P1397" s="14" t="str">
        <f>IF(
    OR(ISBLANK(moras[[#This Row],[TIPO_ASEGURAMIENTO]]), moras[[#This Row],[TIPO_ASEGURAMIENTO]]=""),
    EDA!$A$32,
    moras[[#This Row],[TIPO_ASEGURAMIENTO]]
)</f>
        <v>ASALARIADO</v>
      </c>
    </row>
    <row r="1398" spans="1:16" x14ac:dyDescent="0.3">
      <c r="A1398">
        <v>1397</v>
      </c>
      <c r="B1398" t="s">
        <v>9</v>
      </c>
      <c r="C1398">
        <v>585937</v>
      </c>
      <c r="D1398" t="s">
        <v>18</v>
      </c>
      <c r="E1398" t="s">
        <v>16</v>
      </c>
      <c r="F1398" t="s">
        <v>12</v>
      </c>
      <c r="G1398" t="s">
        <v>13</v>
      </c>
      <c r="H1398" t="s">
        <v>12</v>
      </c>
      <c r="I1398">
        <v>57</v>
      </c>
      <c r="J1398">
        <f>ABS((I1398-EDA!$A$15)/EDA!$B$15)</f>
        <v>1.0600702640157798</v>
      </c>
      <c r="K1398" t="str">
        <f t="shared" si="21"/>
        <v>No</v>
      </c>
      <c r="L1398">
        <f>ABS((C1398-EDA!$F$15)/EDA!$G$15)</f>
        <v>0.36590356690774301</v>
      </c>
      <c r="M1398" t="str">
        <f>IF(moras[[#This Row],[Z-Score Salario]]&gt;1.96, "Sí", "No")</f>
        <v>No</v>
      </c>
      <c r="N1398" s="14">
        <f>IF(ISBLANK(moras[[#This Row],[SALARIO]]), EDA!$M$8, moras[[#This Row],[SALARIO]])</f>
        <v>585937</v>
      </c>
      <c r="O1398" s="14">
        <f xml:space="preserve"> IF(ISBLANK(moras[[#This Row],[EDAD]]), EDA!$E$8, moras[[#This Row],[EDAD]])</f>
        <v>57</v>
      </c>
      <c r="P1398" s="14" t="str">
        <f>IF(
    OR(ISBLANK(moras[[#This Row],[TIPO_ASEGURAMIENTO]]), moras[[#This Row],[TIPO_ASEGURAMIENTO]]=""),
    EDA!$A$32,
    moras[[#This Row],[TIPO_ASEGURAMIENTO]]
)</f>
        <v>TRABAJADOR INDEPENDIENTE</v>
      </c>
    </row>
    <row r="1399" spans="1:16" x14ac:dyDescent="0.3">
      <c r="A1399">
        <v>1398</v>
      </c>
      <c r="B1399" t="s">
        <v>9</v>
      </c>
      <c r="C1399">
        <v>22370212</v>
      </c>
      <c r="D1399" t="s">
        <v>10</v>
      </c>
      <c r="E1399" t="s">
        <v>16</v>
      </c>
      <c r="F1399" t="s">
        <v>12</v>
      </c>
      <c r="G1399" t="s">
        <v>13</v>
      </c>
      <c r="H1399" t="s">
        <v>13</v>
      </c>
      <c r="I1399">
        <v>53</v>
      </c>
      <c r="J1399">
        <f>ABS((I1399-EDA!$A$15)/EDA!$B$15)</f>
        <v>0.77776894370722982</v>
      </c>
      <c r="K1399" t="str">
        <f t="shared" si="21"/>
        <v>No</v>
      </c>
      <c r="L1399">
        <f>ABS((C1399-EDA!$F$15)/EDA!$G$15)</f>
        <v>3.3978531223138667E-3</v>
      </c>
      <c r="M1399" t="str">
        <f>IF(moras[[#This Row],[Z-Score Salario]]&gt;1.96, "Sí", "No")</f>
        <v>No</v>
      </c>
      <c r="N1399" s="14">
        <f>IF(ISBLANK(moras[[#This Row],[SALARIO]]), EDA!$M$8, moras[[#This Row],[SALARIO]])</f>
        <v>22370212</v>
      </c>
      <c r="O1399" s="14">
        <f xml:space="preserve"> IF(ISBLANK(moras[[#This Row],[EDAD]]), EDA!$E$8, moras[[#This Row],[EDAD]])</f>
        <v>53</v>
      </c>
      <c r="P1399" s="14" t="str">
        <f>IF(
    OR(ISBLANK(moras[[#This Row],[TIPO_ASEGURAMIENTO]]), moras[[#This Row],[TIPO_ASEGURAMIENTO]]=""),
    EDA!$A$32,
    moras[[#This Row],[TIPO_ASEGURAMIENTO]]
)</f>
        <v>ASALARIADO</v>
      </c>
    </row>
    <row r="1400" spans="1:16" x14ac:dyDescent="0.3">
      <c r="A1400">
        <v>1399</v>
      </c>
      <c r="B1400" t="s">
        <v>9</v>
      </c>
      <c r="C1400">
        <v>15580799</v>
      </c>
      <c r="D1400" t="s">
        <v>10</v>
      </c>
      <c r="E1400" t="s">
        <v>16</v>
      </c>
      <c r="F1400" t="s">
        <v>12</v>
      </c>
      <c r="G1400" t="s">
        <v>13</v>
      </c>
      <c r="H1400" t="s">
        <v>13</v>
      </c>
      <c r="I1400">
        <v>42</v>
      </c>
      <c r="J1400">
        <f>ABS((I1400-EDA!$A$15)/EDA!$B$15)</f>
        <v>1.4403128587172659E-3</v>
      </c>
      <c r="K1400" t="str">
        <f t="shared" si="21"/>
        <v>No</v>
      </c>
      <c r="L1400">
        <f>ABS((C1400-EDA!$F$15)/EDA!$G$15)</f>
        <v>0.11637847817176224</v>
      </c>
      <c r="M1400" t="str">
        <f>IF(moras[[#This Row],[Z-Score Salario]]&gt;1.96, "Sí", "No")</f>
        <v>No</v>
      </c>
      <c r="N1400" s="14">
        <f>IF(ISBLANK(moras[[#This Row],[SALARIO]]), EDA!$M$8, moras[[#This Row],[SALARIO]])</f>
        <v>15580799</v>
      </c>
      <c r="O1400" s="14">
        <f xml:space="preserve"> IF(ISBLANK(moras[[#This Row],[EDAD]]), EDA!$E$8, moras[[#This Row],[EDAD]])</f>
        <v>42</v>
      </c>
      <c r="P1400" s="14" t="str">
        <f>IF(
    OR(ISBLANK(moras[[#This Row],[TIPO_ASEGURAMIENTO]]), moras[[#This Row],[TIPO_ASEGURAMIENTO]]=""),
    EDA!$A$32,
    moras[[#This Row],[TIPO_ASEGURAMIENTO]]
)</f>
        <v>ASALARIADO</v>
      </c>
    </row>
    <row r="1401" spans="1:16" x14ac:dyDescent="0.3">
      <c r="A1401">
        <v>1400</v>
      </c>
      <c r="B1401" t="s">
        <v>9</v>
      </c>
      <c r="C1401">
        <v>36197688</v>
      </c>
      <c r="D1401" t="s">
        <v>10</v>
      </c>
      <c r="E1401" t="s">
        <v>16</v>
      </c>
      <c r="F1401" t="s">
        <v>12</v>
      </c>
      <c r="G1401" t="s">
        <v>13</v>
      </c>
      <c r="H1401" t="s">
        <v>13</v>
      </c>
      <c r="I1401">
        <v>48</v>
      </c>
      <c r="J1401">
        <f>ABS((I1401-EDA!$A$15)/EDA!$B$15)</f>
        <v>0.42489229332154227</v>
      </c>
      <c r="K1401" t="str">
        <f t="shared" si="21"/>
        <v>No</v>
      </c>
      <c r="L1401">
        <f>ABS((C1401-EDA!$F$15)/EDA!$G$15)</f>
        <v>0.22670110850165071</v>
      </c>
      <c r="M1401" t="str">
        <f>IF(moras[[#This Row],[Z-Score Salario]]&gt;1.96, "Sí", "No")</f>
        <v>No</v>
      </c>
      <c r="N1401" s="14">
        <f>IF(ISBLANK(moras[[#This Row],[SALARIO]]), EDA!$M$8, moras[[#This Row],[SALARIO]])</f>
        <v>36197688</v>
      </c>
      <c r="O1401" s="14">
        <f xml:space="preserve"> IF(ISBLANK(moras[[#This Row],[EDAD]]), EDA!$E$8, moras[[#This Row],[EDAD]])</f>
        <v>48</v>
      </c>
      <c r="P1401" s="14" t="str">
        <f>IF(
    OR(ISBLANK(moras[[#This Row],[TIPO_ASEGURAMIENTO]]), moras[[#This Row],[TIPO_ASEGURAMIENTO]]=""),
    EDA!$A$32,
    moras[[#This Row],[TIPO_ASEGURAMIENTO]]
)</f>
        <v>ASALARIADO</v>
      </c>
    </row>
    <row r="1402" spans="1:16" x14ac:dyDescent="0.3">
      <c r="A1402">
        <v>1401</v>
      </c>
      <c r="B1402" t="s">
        <v>9</v>
      </c>
      <c r="C1402">
        <v>573500</v>
      </c>
      <c r="D1402" t="s">
        <v>10</v>
      </c>
      <c r="E1402" t="s">
        <v>16</v>
      </c>
      <c r="F1402" t="s">
        <v>12</v>
      </c>
      <c r="G1402" t="s">
        <v>13</v>
      </c>
      <c r="H1402" t="s">
        <v>13</v>
      </c>
      <c r="I1402">
        <v>26</v>
      </c>
      <c r="J1402">
        <f>ABS((I1402-EDA!$A$15)/EDA!$B$15)</f>
        <v>1.1277649683754829</v>
      </c>
      <c r="K1402" t="str">
        <f t="shared" si="21"/>
        <v>No</v>
      </c>
      <c r="L1402">
        <f>ABS((C1402-EDA!$F$15)/EDA!$G$15)</f>
        <v>0.36611052736717303</v>
      </c>
      <c r="M1402" t="str">
        <f>IF(moras[[#This Row],[Z-Score Salario]]&gt;1.96, "Sí", "No")</f>
        <v>No</v>
      </c>
      <c r="N1402" s="14">
        <f>IF(ISBLANK(moras[[#This Row],[SALARIO]]), EDA!$M$8, moras[[#This Row],[SALARIO]])</f>
        <v>573500</v>
      </c>
      <c r="O1402" s="14">
        <f xml:space="preserve"> IF(ISBLANK(moras[[#This Row],[EDAD]]), EDA!$E$8, moras[[#This Row],[EDAD]])</f>
        <v>26</v>
      </c>
      <c r="P1402" s="14" t="str">
        <f>IF(
    OR(ISBLANK(moras[[#This Row],[TIPO_ASEGURAMIENTO]]), moras[[#This Row],[TIPO_ASEGURAMIENTO]]=""),
    EDA!$A$32,
    moras[[#This Row],[TIPO_ASEGURAMIENTO]]
)</f>
        <v>ASALARIADO</v>
      </c>
    </row>
    <row r="1403" spans="1:16" x14ac:dyDescent="0.3">
      <c r="A1403">
        <v>1402</v>
      </c>
      <c r="B1403" t="s">
        <v>9</v>
      </c>
      <c r="C1403">
        <v>180000</v>
      </c>
      <c r="D1403" t="s">
        <v>10</v>
      </c>
      <c r="E1403" t="s">
        <v>16</v>
      </c>
      <c r="F1403" t="s">
        <v>12</v>
      </c>
      <c r="G1403" t="s">
        <v>13</v>
      </c>
      <c r="H1403" t="s">
        <v>12</v>
      </c>
      <c r="I1403">
        <v>47</v>
      </c>
      <c r="J1403">
        <f>ABS((I1403-EDA!$A$15)/EDA!$B$15)</f>
        <v>0.35431696324440481</v>
      </c>
      <c r="K1403" t="str">
        <f t="shared" si="21"/>
        <v>No</v>
      </c>
      <c r="L1403">
        <f>ABS((C1403-EDA!$F$15)/EDA!$G$15)</f>
        <v>0.37265864514362262</v>
      </c>
      <c r="M1403" t="str">
        <f>IF(moras[[#This Row],[Z-Score Salario]]&gt;1.96, "Sí", "No")</f>
        <v>No</v>
      </c>
      <c r="N1403" s="14">
        <f>IF(ISBLANK(moras[[#This Row],[SALARIO]]), EDA!$M$8, moras[[#This Row],[SALARIO]])</f>
        <v>180000</v>
      </c>
      <c r="O1403" s="14">
        <f xml:space="preserve"> IF(ISBLANK(moras[[#This Row],[EDAD]]), EDA!$E$8, moras[[#This Row],[EDAD]])</f>
        <v>47</v>
      </c>
      <c r="P1403" s="14" t="str">
        <f>IF(
    OR(ISBLANK(moras[[#This Row],[TIPO_ASEGURAMIENTO]]), moras[[#This Row],[TIPO_ASEGURAMIENTO]]=""),
    EDA!$A$32,
    moras[[#This Row],[TIPO_ASEGURAMIENTO]]
)</f>
        <v>ASALARIADO</v>
      </c>
    </row>
    <row r="1404" spans="1:16" x14ac:dyDescent="0.3">
      <c r="A1404">
        <v>1403</v>
      </c>
      <c r="B1404" t="s">
        <v>9</v>
      </c>
      <c r="C1404">
        <v>811540</v>
      </c>
      <c r="D1404" t="s">
        <v>10</v>
      </c>
      <c r="E1404" t="s">
        <v>16</v>
      </c>
      <c r="F1404" t="s">
        <v>12</v>
      </c>
      <c r="G1404" t="s">
        <v>13</v>
      </c>
      <c r="H1404" t="s">
        <v>13</v>
      </c>
      <c r="I1404">
        <v>21</v>
      </c>
      <c r="J1404">
        <f>ABS((I1404-EDA!$A$15)/EDA!$B$15)</f>
        <v>1.4806416187611704</v>
      </c>
      <c r="K1404" t="str">
        <f t="shared" si="21"/>
        <v>No</v>
      </c>
      <c r="L1404">
        <f>ABS((C1404-EDA!$F$15)/EDA!$G$15)</f>
        <v>0.36214937373183359</v>
      </c>
      <c r="M1404" t="str">
        <f>IF(moras[[#This Row],[Z-Score Salario]]&gt;1.96, "Sí", "No")</f>
        <v>No</v>
      </c>
      <c r="N1404" s="14">
        <f>IF(ISBLANK(moras[[#This Row],[SALARIO]]), EDA!$M$8, moras[[#This Row],[SALARIO]])</f>
        <v>811540</v>
      </c>
      <c r="O1404" s="14">
        <f xml:space="preserve"> IF(ISBLANK(moras[[#This Row],[EDAD]]), EDA!$E$8, moras[[#This Row],[EDAD]])</f>
        <v>21</v>
      </c>
      <c r="P1404" s="14" t="str">
        <f>IF(
    OR(ISBLANK(moras[[#This Row],[TIPO_ASEGURAMIENTO]]), moras[[#This Row],[TIPO_ASEGURAMIENTO]]=""),
    EDA!$A$32,
    moras[[#This Row],[TIPO_ASEGURAMIENTO]]
)</f>
        <v>ASALARIADO</v>
      </c>
    </row>
    <row r="1405" spans="1:16" x14ac:dyDescent="0.3">
      <c r="A1405">
        <v>1404</v>
      </c>
      <c r="B1405" t="s">
        <v>15</v>
      </c>
      <c r="C1405">
        <v>760842</v>
      </c>
      <c r="D1405" t="s">
        <v>14</v>
      </c>
      <c r="E1405" t="s">
        <v>11</v>
      </c>
      <c r="F1405" t="s">
        <v>12</v>
      </c>
      <c r="G1405" t="s">
        <v>13</v>
      </c>
      <c r="H1405" t="s">
        <v>13</v>
      </c>
      <c r="I1405">
        <v>75</v>
      </c>
      <c r="J1405">
        <f>ABS((I1405-EDA!$A$15)/EDA!$B$15)</f>
        <v>2.330426205404255</v>
      </c>
      <c r="K1405" t="str">
        <f t="shared" si="21"/>
        <v>Sí</v>
      </c>
      <c r="L1405">
        <f>ABS((C1405-EDA!$F$15)/EDA!$G$15)</f>
        <v>0.36299302424017016</v>
      </c>
      <c r="M1405" t="str">
        <f>IF(moras[[#This Row],[Z-Score Salario]]&gt;1.96, "Sí", "No")</f>
        <v>No</v>
      </c>
      <c r="N1405" s="14">
        <f>IF(ISBLANK(moras[[#This Row],[SALARIO]]), EDA!$M$8, moras[[#This Row],[SALARIO]])</f>
        <v>760842</v>
      </c>
      <c r="O1405" s="14">
        <f xml:space="preserve"> IF(ISBLANK(moras[[#This Row],[EDAD]]), EDA!$E$8, moras[[#This Row],[EDAD]])</f>
        <v>75</v>
      </c>
      <c r="P1405" s="14" t="str">
        <f>IF(
    OR(ISBLANK(moras[[#This Row],[TIPO_ASEGURAMIENTO]]), moras[[#This Row],[TIPO_ASEGURAMIENTO]]=""),
    EDA!$A$32,
    moras[[#This Row],[TIPO_ASEGURAMIENTO]]
)</f>
        <v>PENSIONADOS EN SU PROPIO SISTEMA</v>
      </c>
    </row>
    <row r="1406" spans="1:16" x14ac:dyDescent="0.3">
      <c r="A1406">
        <v>1405</v>
      </c>
      <c r="B1406" t="s">
        <v>9</v>
      </c>
      <c r="C1406">
        <v>125573608</v>
      </c>
      <c r="D1406" t="s">
        <v>10</v>
      </c>
      <c r="E1406" t="s">
        <v>16</v>
      </c>
      <c r="F1406" t="s">
        <v>12</v>
      </c>
      <c r="G1406" t="s">
        <v>13</v>
      </c>
      <c r="H1406" t="s">
        <v>13</v>
      </c>
      <c r="I1406">
        <v>41</v>
      </c>
      <c r="J1406">
        <f>ABS((I1406-EDA!$A$15)/EDA!$B$15)</f>
        <v>6.9135017218420233E-2</v>
      </c>
      <c r="K1406" t="str">
        <f t="shared" si="21"/>
        <v>No</v>
      </c>
      <c r="L1406">
        <f>ABS((C1406-EDA!$F$15)/EDA!$G$15)</f>
        <v>1.7139795088537124</v>
      </c>
      <c r="M1406" t="str">
        <f>IF(moras[[#This Row],[Z-Score Salario]]&gt;1.96, "Sí", "No")</f>
        <v>No</v>
      </c>
      <c r="N1406" s="14">
        <f>IF(ISBLANK(moras[[#This Row],[SALARIO]]), EDA!$M$8, moras[[#This Row],[SALARIO]])</f>
        <v>125573608</v>
      </c>
      <c r="O1406" s="14">
        <f xml:space="preserve"> IF(ISBLANK(moras[[#This Row],[EDAD]]), EDA!$E$8, moras[[#This Row],[EDAD]])</f>
        <v>41</v>
      </c>
      <c r="P1406" s="14" t="str">
        <f>IF(
    OR(ISBLANK(moras[[#This Row],[TIPO_ASEGURAMIENTO]]), moras[[#This Row],[TIPO_ASEGURAMIENTO]]=""),
    EDA!$A$32,
    moras[[#This Row],[TIPO_ASEGURAMIENTO]]
)</f>
        <v>ASALARIADO</v>
      </c>
    </row>
    <row r="1407" spans="1:16" x14ac:dyDescent="0.3">
      <c r="A1407">
        <v>1406</v>
      </c>
      <c r="B1407" t="s">
        <v>9</v>
      </c>
      <c r="C1407">
        <v>114661122</v>
      </c>
      <c r="D1407" t="s">
        <v>10</v>
      </c>
      <c r="E1407" t="s">
        <v>11</v>
      </c>
      <c r="F1407" t="s">
        <v>12</v>
      </c>
      <c r="G1407" t="s">
        <v>13</v>
      </c>
      <c r="H1407" t="s">
        <v>13</v>
      </c>
      <c r="I1407">
        <v>27</v>
      </c>
      <c r="J1407">
        <f>ABS((I1407-EDA!$A$15)/EDA!$B$15)</f>
        <v>1.0571896382983452</v>
      </c>
      <c r="K1407" t="str">
        <f t="shared" si="21"/>
        <v>No</v>
      </c>
      <c r="L1407">
        <f>ABS((C1407-EDA!$F$15)/EDA!$G$15)</f>
        <v>1.5323880385567437</v>
      </c>
      <c r="M1407" t="str">
        <f>IF(moras[[#This Row],[Z-Score Salario]]&gt;1.96, "Sí", "No")</f>
        <v>No</v>
      </c>
      <c r="N1407" s="14">
        <f>IF(ISBLANK(moras[[#This Row],[SALARIO]]), EDA!$M$8, moras[[#This Row],[SALARIO]])</f>
        <v>114661122</v>
      </c>
      <c r="O1407" s="14">
        <f xml:space="preserve"> IF(ISBLANK(moras[[#This Row],[EDAD]]), EDA!$E$8, moras[[#This Row],[EDAD]])</f>
        <v>27</v>
      </c>
      <c r="P1407" s="14" t="str">
        <f>IF(
    OR(ISBLANK(moras[[#This Row],[TIPO_ASEGURAMIENTO]]), moras[[#This Row],[TIPO_ASEGURAMIENTO]]=""),
    EDA!$A$32,
    moras[[#This Row],[TIPO_ASEGURAMIENTO]]
)</f>
        <v>ASALARIADO</v>
      </c>
    </row>
    <row r="1408" spans="1:16" x14ac:dyDescent="0.3">
      <c r="A1408">
        <v>1407</v>
      </c>
      <c r="B1408" t="s">
        <v>9</v>
      </c>
      <c r="C1408">
        <v>149717249</v>
      </c>
      <c r="D1408" t="s">
        <v>10</v>
      </c>
      <c r="E1408" t="s">
        <v>11</v>
      </c>
      <c r="F1408" t="s">
        <v>12</v>
      </c>
      <c r="G1408" t="s">
        <v>13</v>
      </c>
      <c r="H1408" t="s">
        <v>13</v>
      </c>
      <c r="I1408">
        <v>47</v>
      </c>
      <c r="J1408">
        <f>ABS((I1408-EDA!$A$15)/EDA!$B$15)</f>
        <v>0.35431696324440481</v>
      </c>
      <c r="K1408" t="str">
        <f t="shared" si="21"/>
        <v>No</v>
      </c>
      <c r="L1408">
        <f>ABS((C1408-EDA!$F$15)/EDA!$G$15)</f>
        <v>2.1157467383843787</v>
      </c>
      <c r="M1408" t="str">
        <f>IF(moras[[#This Row],[Z-Score Salario]]&gt;1.96, "Sí", "No")</f>
        <v>Sí</v>
      </c>
      <c r="N1408" s="14">
        <f>IF(ISBLANK(moras[[#This Row],[SALARIO]]), EDA!$M$8, moras[[#This Row],[SALARIO]])</f>
        <v>149717249</v>
      </c>
      <c r="O1408" s="14">
        <f xml:space="preserve"> IF(ISBLANK(moras[[#This Row],[EDAD]]), EDA!$E$8, moras[[#This Row],[EDAD]])</f>
        <v>47</v>
      </c>
      <c r="P1408" s="14" t="str">
        <f>IF(
    OR(ISBLANK(moras[[#This Row],[TIPO_ASEGURAMIENTO]]), moras[[#This Row],[TIPO_ASEGURAMIENTO]]=""),
    EDA!$A$32,
    moras[[#This Row],[TIPO_ASEGURAMIENTO]]
)</f>
        <v>ASALARIADO</v>
      </c>
    </row>
    <row r="1409" spans="1:16" x14ac:dyDescent="0.3">
      <c r="A1409">
        <v>1408</v>
      </c>
      <c r="B1409" t="s">
        <v>9</v>
      </c>
      <c r="C1409">
        <v>137284755</v>
      </c>
      <c r="D1409" t="s">
        <v>10</v>
      </c>
      <c r="E1409" t="s">
        <v>11</v>
      </c>
      <c r="F1409" t="s">
        <v>12</v>
      </c>
      <c r="G1409" t="s">
        <v>13</v>
      </c>
      <c r="H1409" t="s">
        <v>13</v>
      </c>
      <c r="I1409">
        <v>56</v>
      </c>
      <c r="J1409">
        <f>ABS((I1409-EDA!$A$15)/EDA!$B$15)</f>
        <v>0.9894949339386423</v>
      </c>
      <c r="K1409" t="str">
        <f t="shared" si="21"/>
        <v>No</v>
      </c>
      <c r="L1409">
        <f>ABS((C1409-EDA!$F$15)/EDA!$G$15)</f>
        <v>1.9088612619752228</v>
      </c>
      <c r="M1409" t="str">
        <f>IF(moras[[#This Row],[Z-Score Salario]]&gt;1.96, "Sí", "No")</f>
        <v>No</v>
      </c>
      <c r="N1409" s="14">
        <f>IF(ISBLANK(moras[[#This Row],[SALARIO]]), EDA!$M$8, moras[[#This Row],[SALARIO]])</f>
        <v>137284755</v>
      </c>
      <c r="O1409" s="14">
        <f xml:space="preserve"> IF(ISBLANK(moras[[#This Row],[EDAD]]), EDA!$E$8, moras[[#This Row],[EDAD]])</f>
        <v>56</v>
      </c>
      <c r="P1409" s="14" t="str">
        <f>IF(
    OR(ISBLANK(moras[[#This Row],[TIPO_ASEGURAMIENTO]]), moras[[#This Row],[TIPO_ASEGURAMIENTO]]=""),
    EDA!$A$32,
    moras[[#This Row],[TIPO_ASEGURAMIENTO]]
)</f>
        <v>ASALARIADO</v>
      </c>
    </row>
    <row r="1410" spans="1:16" x14ac:dyDescent="0.3">
      <c r="A1410">
        <v>1409</v>
      </c>
      <c r="B1410" t="s">
        <v>15</v>
      </c>
      <c r="C1410">
        <v>830543</v>
      </c>
      <c r="D1410" t="s">
        <v>10</v>
      </c>
      <c r="E1410" t="s">
        <v>11</v>
      </c>
      <c r="F1410" t="s">
        <v>12</v>
      </c>
      <c r="G1410" t="s">
        <v>13</v>
      </c>
      <c r="H1410" t="s">
        <v>12</v>
      </c>
      <c r="I1410">
        <v>39</v>
      </c>
      <c r="J1410">
        <f>ABS((I1410-EDA!$A$15)/EDA!$B$15)</f>
        <v>0.21028567737269524</v>
      </c>
      <c r="K1410" t="str">
        <f t="shared" ref="K1410:K1473" si="22">IF(J1410 &gt;  1.96, "Sí","No")</f>
        <v>No</v>
      </c>
      <c r="L1410">
        <f>ABS((C1410-EDA!$F$15)/EDA!$G$15)</f>
        <v>0.36183315039738412</v>
      </c>
      <c r="M1410" t="str">
        <f>IF(moras[[#This Row],[Z-Score Salario]]&gt;1.96, "Sí", "No")</f>
        <v>No</v>
      </c>
      <c r="N1410" s="14">
        <f>IF(ISBLANK(moras[[#This Row],[SALARIO]]), EDA!$M$8, moras[[#This Row],[SALARIO]])</f>
        <v>830543</v>
      </c>
      <c r="O1410" s="14">
        <f xml:space="preserve"> IF(ISBLANK(moras[[#This Row],[EDAD]]), EDA!$E$8, moras[[#This Row],[EDAD]])</f>
        <v>39</v>
      </c>
      <c r="P1410" s="14" t="str">
        <f>IF(
    OR(ISBLANK(moras[[#This Row],[TIPO_ASEGURAMIENTO]]), moras[[#This Row],[TIPO_ASEGURAMIENTO]]=""),
    EDA!$A$32,
    moras[[#This Row],[TIPO_ASEGURAMIENTO]]
)</f>
        <v>ASALARIADO</v>
      </c>
    </row>
    <row r="1411" spans="1:16" x14ac:dyDescent="0.3">
      <c r="A1411">
        <v>1410</v>
      </c>
      <c r="B1411" t="s">
        <v>9</v>
      </c>
      <c r="C1411">
        <v>65089742</v>
      </c>
      <c r="D1411" t="s">
        <v>10</v>
      </c>
      <c r="E1411" t="s">
        <v>16</v>
      </c>
      <c r="F1411" t="s">
        <v>12</v>
      </c>
      <c r="G1411" t="s">
        <v>13</v>
      </c>
      <c r="H1411" t="s">
        <v>13</v>
      </c>
      <c r="I1411">
        <v>38</v>
      </c>
      <c r="J1411">
        <f>ABS((I1411-EDA!$A$15)/EDA!$B$15)</f>
        <v>0.28086100744983278</v>
      </c>
      <c r="K1411" t="str">
        <f t="shared" si="22"/>
        <v>No</v>
      </c>
      <c r="L1411">
        <f>ABS((C1411-EDA!$F$15)/EDA!$G$15)</f>
        <v>0.70748528231497076</v>
      </c>
      <c r="M1411" t="str">
        <f>IF(moras[[#This Row],[Z-Score Salario]]&gt;1.96, "Sí", "No")</f>
        <v>No</v>
      </c>
      <c r="N1411" s="14">
        <f>IF(ISBLANK(moras[[#This Row],[SALARIO]]), EDA!$M$8, moras[[#This Row],[SALARIO]])</f>
        <v>65089742</v>
      </c>
      <c r="O1411" s="14">
        <f xml:space="preserve"> IF(ISBLANK(moras[[#This Row],[EDAD]]), EDA!$E$8, moras[[#This Row],[EDAD]])</f>
        <v>38</v>
      </c>
      <c r="P1411" s="14" t="str">
        <f>IF(
    OR(ISBLANK(moras[[#This Row],[TIPO_ASEGURAMIENTO]]), moras[[#This Row],[TIPO_ASEGURAMIENTO]]=""),
    EDA!$A$32,
    moras[[#This Row],[TIPO_ASEGURAMIENTO]]
)</f>
        <v>ASALARIADO</v>
      </c>
    </row>
    <row r="1412" spans="1:16" x14ac:dyDescent="0.3">
      <c r="A1412">
        <v>1411</v>
      </c>
      <c r="B1412" t="s">
        <v>9</v>
      </c>
      <c r="C1412">
        <v>46359772</v>
      </c>
      <c r="D1412" t="s">
        <v>10</v>
      </c>
      <c r="E1412" t="s">
        <v>16</v>
      </c>
      <c r="F1412" t="s">
        <v>12</v>
      </c>
      <c r="G1412" t="s">
        <v>12</v>
      </c>
      <c r="H1412" t="s">
        <v>13</v>
      </c>
      <c r="I1412">
        <v>47</v>
      </c>
      <c r="J1412">
        <f>ABS((I1412-EDA!$A$15)/EDA!$B$15)</f>
        <v>0.35431696324440481</v>
      </c>
      <c r="K1412" t="str">
        <f t="shared" si="22"/>
        <v>No</v>
      </c>
      <c r="L1412">
        <f>ABS((C1412-EDA!$F$15)/EDA!$G$15)</f>
        <v>0.39580535980069503</v>
      </c>
      <c r="M1412" t="str">
        <f>IF(moras[[#This Row],[Z-Score Salario]]&gt;1.96, "Sí", "No")</f>
        <v>No</v>
      </c>
      <c r="N1412" s="14">
        <f>IF(ISBLANK(moras[[#This Row],[SALARIO]]), EDA!$M$8, moras[[#This Row],[SALARIO]])</f>
        <v>46359772</v>
      </c>
      <c r="O1412" s="14">
        <f xml:space="preserve"> IF(ISBLANK(moras[[#This Row],[EDAD]]), EDA!$E$8, moras[[#This Row],[EDAD]])</f>
        <v>47</v>
      </c>
      <c r="P1412" s="14" t="str">
        <f>IF(
    OR(ISBLANK(moras[[#This Row],[TIPO_ASEGURAMIENTO]]), moras[[#This Row],[TIPO_ASEGURAMIENTO]]=""),
    EDA!$A$32,
    moras[[#This Row],[TIPO_ASEGURAMIENTO]]
)</f>
        <v>ASALARIADO</v>
      </c>
    </row>
    <row r="1413" spans="1:16" x14ac:dyDescent="0.3">
      <c r="A1413">
        <v>1412</v>
      </c>
      <c r="B1413" t="s">
        <v>15</v>
      </c>
      <c r="C1413">
        <v>297050</v>
      </c>
      <c r="D1413" t="s">
        <v>17</v>
      </c>
      <c r="E1413" t="s">
        <v>16</v>
      </c>
      <c r="F1413" t="s">
        <v>12</v>
      </c>
      <c r="G1413" t="s">
        <v>13</v>
      </c>
      <c r="H1413" t="s">
        <v>13</v>
      </c>
      <c r="I1413">
        <v>31</v>
      </c>
      <c r="J1413">
        <f>ABS((I1413-EDA!$A$15)/EDA!$B$15)</f>
        <v>0.77488831798979529</v>
      </c>
      <c r="K1413" t="str">
        <f t="shared" si="22"/>
        <v>No</v>
      </c>
      <c r="L1413">
        <f>ABS((C1413-EDA!$F$15)/EDA!$G$15)</f>
        <v>0.37071085051659991</v>
      </c>
      <c r="M1413" t="str">
        <f>IF(moras[[#This Row],[Z-Score Salario]]&gt;1.96, "Sí", "No")</f>
        <v>No</v>
      </c>
      <c r="N1413" s="14">
        <f>IF(ISBLANK(moras[[#This Row],[SALARIO]]), EDA!$M$8, moras[[#This Row],[SALARIO]])</f>
        <v>297050</v>
      </c>
      <c r="O1413" s="14">
        <f xml:space="preserve"> IF(ISBLANK(moras[[#This Row],[EDAD]]), EDA!$E$8, moras[[#This Row],[EDAD]])</f>
        <v>31</v>
      </c>
      <c r="P1413" s="14" t="str">
        <f>IF(
    OR(ISBLANK(moras[[#This Row],[TIPO_ASEGURAMIENTO]]), moras[[#This Row],[TIPO_ASEGURAMIENTO]]=""),
    EDA!$A$32,
    moras[[#This Row],[TIPO_ASEGURAMIENTO]]
)</f>
        <v>ASEGURADO VOLUNTARIO</v>
      </c>
    </row>
    <row r="1414" spans="1:16" x14ac:dyDescent="0.3">
      <c r="A1414">
        <v>1413</v>
      </c>
      <c r="B1414" t="s">
        <v>9</v>
      </c>
      <c r="C1414">
        <v>297110</v>
      </c>
      <c r="D1414" t="s">
        <v>17</v>
      </c>
      <c r="E1414" t="s">
        <v>16</v>
      </c>
      <c r="F1414" t="s">
        <v>12</v>
      </c>
      <c r="G1414" t="s">
        <v>13</v>
      </c>
      <c r="H1414" t="s">
        <v>13</v>
      </c>
      <c r="I1414">
        <v>36</v>
      </c>
      <c r="J1414">
        <f>ABS((I1414-EDA!$A$15)/EDA!$B$15)</f>
        <v>0.42201166760410774</v>
      </c>
      <c r="K1414" t="str">
        <f t="shared" si="22"/>
        <v>No</v>
      </c>
      <c r="L1414">
        <f>ABS((C1414-EDA!$F$15)/EDA!$G$15)</f>
        <v>0.37070985207424523</v>
      </c>
      <c r="M1414" t="str">
        <f>IF(moras[[#This Row],[Z-Score Salario]]&gt;1.96, "Sí", "No")</f>
        <v>No</v>
      </c>
      <c r="N1414" s="14">
        <f>IF(ISBLANK(moras[[#This Row],[SALARIO]]), EDA!$M$8, moras[[#This Row],[SALARIO]])</f>
        <v>297110</v>
      </c>
      <c r="O1414" s="14">
        <f xml:space="preserve"> IF(ISBLANK(moras[[#This Row],[EDAD]]), EDA!$E$8, moras[[#This Row],[EDAD]])</f>
        <v>36</v>
      </c>
      <c r="P1414" s="14" t="str">
        <f>IF(
    OR(ISBLANK(moras[[#This Row],[TIPO_ASEGURAMIENTO]]), moras[[#This Row],[TIPO_ASEGURAMIENTO]]=""),
    EDA!$A$32,
    moras[[#This Row],[TIPO_ASEGURAMIENTO]]
)</f>
        <v>ASEGURADO VOLUNTARIO</v>
      </c>
    </row>
    <row r="1415" spans="1:16" x14ac:dyDescent="0.3">
      <c r="A1415">
        <v>1414</v>
      </c>
      <c r="B1415" t="s">
        <v>15</v>
      </c>
      <c r="C1415">
        <v>297045</v>
      </c>
      <c r="D1415" t="s">
        <v>17</v>
      </c>
      <c r="E1415" t="s">
        <v>16</v>
      </c>
      <c r="F1415" t="s">
        <v>12</v>
      </c>
      <c r="G1415" t="s">
        <v>13</v>
      </c>
      <c r="H1415" t="s">
        <v>13</v>
      </c>
      <c r="I1415">
        <v>33</v>
      </c>
      <c r="J1415">
        <f>ABS((I1415-EDA!$A$15)/EDA!$B$15)</f>
        <v>0.63373765783552027</v>
      </c>
      <c r="K1415" t="str">
        <f t="shared" si="22"/>
        <v>No</v>
      </c>
      <c r="L1415">
        <f>ABS((C1415-EDA!$F$15)/EDA!$G$15)</f>
        <v>0.37071093372012948</v>
      </c>
      <c r="M1415" t="str">
        <f>IF(moras[[#This Row],[Z-Score Salario]]&gt;1.96, "Sí", "No")</f>
        <v>No</v>
      </c>
      <c r="N1415" s="14">
        <f>IF(ISBLANK(moras[[#This Row],[SALARIO]]), EDA!$M$8, moras[[#This Row],[SALARIO]])</f>
        <v>297045</v>
      </c>
      <c r="O1415" s="14">
        <f xml:space="preserve"> IF(ISBLANK(moras[[#This Row],[EDAD]]), EDA!$E$8, moras[[#This Row],[EDAD]])</f>
        <v>33</v>
      </c>
      <c r="P1415" s="14" t="str">
        <f>IF(
    OR(ISBLANK(moras[[#This Row],[TIPO_ASEGURAMIENTO]]), moras[[#This Row],[TIPO_ASEGURAMIENTO]]=""),
    EDA!$A$32,
    moras[[#This Row],[TIPO_ASEGURAMIENTO]]
)</f>
        <v>ASEGURADO VOLUNTARIO</v>
      </c>
    </row>
    <row r="1416" spans="1:16" x14ac:dyDescent="0.3">
      <c r="A1416">
        <v>1415</v>
      </c>
      <c r="B1416" t="s">
        <v>15</v>
      </c>
      <c r="C1416">
        <v>278030</v>
      </c>
      <c r="D1416" t="s">
        <v>19</v>
      </c>
      <c r="E1416" t="s">
        <v>16</v>
      </c>
      <c r="F1416" t="s">
        <v>12</v>
      </c>
      <c r="G1416" t="s">
        <v>13</v>
      </c>
      <c r="H1416" t="s">
        <v>13</v>
      </c>
      <c r="I1416">
        <v>35</v>
      </c>
      <c r="J1416">
        <f>ABS((I1416-EDA!$A$15)/EDA!$B$15)</f>
        <v>0.49258699768124525</v>
      </c>
      <c r="K1416" t="str">
        <f t="shared" si="22"/>
        <v>No</v>
      </c>
      <c r="L1416">
        <f>ABS((C1416-EDA!$F$15)/EDA!$G$15)</f>
        <v>0.37102735674304993</v>
      </c>
      <c r="M1416" t="str">
        <f>IF(moras[[#This Row],[Z-Score Salario]]&gt;1.96, "Sí", "No")</f>
        <v>No</v>
      </c>
      <c r="N1416" s="14">
        <f>IF(ISBLANK(moras[[#This Row],[SALARIO]]), EDA!$M$8, moras[[#This Row],[SALARIO]])</f>
        <v>278030</v>
      </c>
      <c r="O1416" s="14">
        <f xml:space="preserve"> IF(ISBLANK(moras[[#This Row],[EDAD]]), EDA!$E$8, moras[[#This Row],[EDAD]])</f>
        <v>35</v>
      </c>
      <c r="P1416" s="14" t="str">
        <f>IF(
    OR(ISBLANK(moras[[#This Row],[TIPO_ASEGURAMIENTO]]), moras[[#This Row],[TIPO_ASEGURAMIENTO]]=""),
    EDA!$A$32,
    moras[[#This Row],[TIPO_ASEGURAMIENTO]]
)</f>
        <v>CONVENIOS ESPECIALES DE TRABAJADORES INDEPENDIENTES</v>
      </c>
    </row>
    <row r="1417" spans="1:16" x14ac:dyDescent="0.3">
      <c r="A1417">
        <v>1416</v>
      </c>
      <c r="B1417" t="s">
        <v>15</v>
      </c>
      <c r="C1417">
        <v>1158018598</v>
      </c>
      <c r="D1417" t="s">
        <v>10</v>
      </c>
      <c r="E1417" t="s">
        <v>16</v>
      </c>
      <c r="F1417" t="s">
        <v>12</v>
      </c>
      <c r="G1417" t="s">
        <v>13</v>
      </c>
      <c r="H1417" t="s">
        <v>13</v>
      </c>
      <c r="I1417">
        <v>46</v>
      </c>
      <c r="J1417">
        <f>ABS((I1417-EDA!$A$15)/EDA!$B$15)</f>
        <v>0.2837416331672673</v>
      </c>
      <c r="K1417" t="str">
        <f t="shared" si="22"/>
        <v>No</v>
      </c>
      <c r="L1417">
        <f>ABS((C1417-EDA!$F$15)/EDA!$G$15)</f>
        <v>18.89459295796507</v>
      </c>
      <c r="M1417" t="str">
        <f>IF(moras[[#This Row],[Z-Score Salario]]&gt;1.96, "Sí", "No")</f>
        <v>Sí</v>
      </c>
      <c r="N1417" s="14">
        <f>IF(ISBLANK(moras[[#This Row],[SALARIO]]), EDA!$M$8, moras[[#This Row],[SALARIO]])</f>
        <v>1158018598</v>
      </c>
      <c r="O1417" s="14">
        <f xml:space="preserve"> IF(ISBLANK(moras[[#This Row],[EDAD]]), EDA!$E$8, moras[[#This Row],[EDAD]])</f>
        <v>46</v>
      </c>
      <c r="P1417" s="14" t="str">
        <f>IF(
    OR(ISBLANK(moras[[#This Row],[TIPO_ASEGURAMIENTO]]), moras[[#This Row],[TIPO_ASEGURAMIENTO]]=""),
    EDA!$A$32,
    moras[[#This Row],[TIPO_ASEGURAMIENTO]]
)</f>
        <v>ASALARIADO</v>
      </c>
    </row>
    <row r="1418" spans="1:16" x14ac:dyDescent="0.3">
      <c r="A1418">
        <v>1417</v>
      </c>
      <c r="B1418" t="s">
        <v>9</v>
      </c>
      <c r="C1418">
        <v>200702976</v>
      </c>
      <c r="D1418" t="s">
        <v>10</v>
      </c>
      <c r="E1418" t="s">
        <v>11</v>
      </c>
      <c r="F1418" t="s">
        <v>12</v>
      </c>
      <c r="G1418" t="s">
        <v>13</v>
      </c>
      <c r="H1418" t="s">
        <v>13</v>
      </c>
      <c r="I1418">
        <v>54</v>
      </c>
      <c r="J1418">
        <f>ABS((I1418-EDA!$A$15)/EDA!$B$15)</f>
        <v>0.84834427378436728</v>
      </c>
      <c r="K1418" t="str">
        <f t="shared" si="22"/>
        <v>No</v>
      </c>
      <c r="L1418">
        <f>ABS((C1418-EDA!$F$15)/EDA!$G$15)</f>
        <v>2.9641852271109501</v>
      </c>
      <c r="M1418" t="str">
        <f>IF(moras[[#This Row],[Z-Score Salario]]&gt;1.96, "Sí", "No")</f>
        <v>Sí</v>
      </c>
      <c r="N1418" s="14">
        <f>IF(ISBLANK(moras[[#This Row],[SALARIO]]), EDA!$M$8, moras[[#This Row],[SALARIO]])</f>
        <v>200702976</v>
      </c>
      <c r="O1418" s="14">
        <f xml:space="preserve"> IF(ISBLANK(moras[[#This Row],[EDAD]]), EDA!$E$8, moras[[#This Row],[EDAD]])</f>
        <v>54</v>
      </c>
      <c r="P1418" s="14" t="str">
        <f>IF(
    OR(ISBLANK(moras[[#This Row],[TIPO_ASEGURAMIENTO]]), moras[[#This Row],[TIPO_ASEGURAMIENTO]]=""),
    EDA!$A$32,
    moras[[#This Row],[TIPO_ASEGURAMIENTO]]
)</f>
        <v>ASALARIADO</v>
      </c>
    </row>
    <row r="1419" spans="1:16" x14ac:dyDescent="0.3">
      <c r="A1419">
        <v>1418</v>
      </c>
      <c r="B1419" t="s">
        <v>9</v>
      </c>
      <c r="C1419">
        <v>74023733</v>
      </c>
      <c r="D1419" t="s">
        <v>10</v>
      </c>
      <c r="E1419" t="s">
        <v>11</v>
      </c>
      <c r="F1419" t="s">
        <v>12</v>
      </c>
      <c r="G1419" t="s">
        <v>13</v>
      </c>
      <c r="H1419" t="s">
        <v>13</v>
      </c>
      <c r="I1419">
        <v>52</v>
      </c>
      <c r="J1419">
        <f>ABS((I1419-EDA!$A$15)/EDA!$B$15)</f>
        <v>0.70719361363009237</v>
      </c>
      <c r="K1419" t="str">
        <f t="shared" si="22"/>
        <v>No</v>
      </c>
      <c r="L1419">
        <f>ABS((C1419-EDA!$F$15)/EDA!$G$15)</f>
        <v>0.85615319916818722</v>
      </c>
      <c r="M1419" t="str">
        <f>IF(moras[[#This Row],[Z-Score Salario]]&gt;1.96, "Sí", "No")</f>
        <v>No</v>
      </c>
      <c r="N1419" s="14">
        <f>IF(ISBLANK(moras[[#This Row],[SALARIO]]), EDA!$M$8, moras[[#This Row],[SALARIO]])</f>
        <v>74023733</v>
      </c>
      <c r="O1419" s="14">
        <f xml:space="preserve"> IF(ISBLANK(moras[[#This Row],[EDAD]]), EDA!$E$8, moras[[#This Row],[EDAD]])</f>
        <v>52</v>
      </c>
      <c r="P1419" s="14" t="str">
        <f>IF(
    OR(ISBLANK(moras[[#This Row],[TIPO_ASEGURAMIENTO]]), moras[[#This Row],[TIPO_ASEGURAMIENTO]]=""),
    EDA!$A$32,
    moras[[#This Row],[TIPO_ASEGURAMIENTO]]
)</f>
        <v>ASALARIADO</v>
      </c>
    </row>
    <row r="1420" spans="1:16" x14ac:dyDescent="0.3">
      <c r="A1420">
        <v>1419</v>
      </c>
      <c r="B1420" t="s">
        <v>9</v>
      </c>
      <c r="C1420">
        <v>140000</v>
      </c>
      <c r="D1420" t="s">
        <v>10</v>
      </c>
      <c r="E1420" t="s">
        <v>16</v>
      </c>
      <c r="F1420" t="s">
        <v>12</v>
      </c>
      <c r="G1420" t="s">
        <v>13</v>
      </c>
      <c r="H1420" t="s">
        <v>13</v>
      </c>
      <c r="I1420">
        <v>42</v>
      </c>
      <c r="J1420">
        <f>ABS((I1420-EDA!$A$15)/EDA!$B$15)</f>
        <v>1.4403128587172659E-3</v>
      </c>
      <c r="K1420" t="str">
        <f t="shared" si="22"/>
        <v>No</v>
      </c>
      <c r="L1420">
        <f>ABS((C1420-EDA!$F$15)/EDA!$G$15)</f>
        <v>0.37332427338011048</v>
      </c>
      <c r="M1420" t="str">
        <f>IF(moras[[#This Row],[Z-Score Salario]]&gt;1.96, "Sí", "No")</f>
        <v>No</v>
      </c>
      <c r="N1420" s="14">
        <f>IF(ISBLANK(moras[[#This Row],[SALARIO]]), EDA!$M$8, moras[[#This Row],[SALARIO]])</f>
        <v>140000</v>
      </c>
      <c r="O1420" s="14">
        <f xml:space="preserve"> IF(ISBLANK(moras[[#This Row],[EDAD]]), EDA!$E$8, moras[[#This Row],[EDAD]])</f>
        <v>42</v>
      </c>
      <c r="P1420" s="14" t="str">
        <f>IF(
    OR(ISBLANK(moras[[#This Row],[TIPO_ASEGURAMIENTO]]), moras[[#This Row],[TIPO_ASEGURAMIENTO]]=""),
    EDA!$A$32,
    moras[[#This Row],[TIPO_ASEGURAMIENTO]]
)</f>
        <v>ASALARIADO</v>
      </c>
    </row>
    <row r="1421" spans="1:16" x14ac:dyDescent="0.3">
      <c r="A1421">
        <v>1420</v>
      </c>
      <c r="B1421" t="s">
        <v>15</v>
      </c>
      <c r="C1421">
        <v>300018</v>
      </c>
      <c r="D1421" t="s">
        <v>18</v>
      </c>
      <c r="E1421" t="s">
        <v>16</v>
      </c>
      <c r="F1421" t="s">
        <v>12</v>
      </c>
      <c r="G1421" t="s">
        <v>13</v>
      </c>
      <c r="H1421" t="s">
        <v>12</v>
      </c>
      <c r="I1421">
        <v>58</v>
      </c>
      <c r="J1421">
        <f>ABS((I1421-EDA!$A$15)/EDA!$B$15)</f>
        <v>1.1306455940929174</v>
      </c>
      <c r="K1421" t="str">
        <f t="shared" si="22"/>
        <v>No</v>
      </c>
      <c r="L1421">
        <f>ABS((C1421-EDA!$F$15)/EDA!$G$15)</f>
        <v>0.37066146090145252</v>
      </c>
      <c r="M1421" t="str">
        <f>IF(moras[[#This Row],[Z-Score Salario]]&gt;1.96, "Sí", "No")</f>
        <v>No</v>
      </c>
      <c r="N1421" s="14">
        <f>IF(ISBLANK(moras[[#This Row],[SALARIO]]), EDA!$M$8, moras[[#This Row],[SALARIO]])</f>
        <v>300018</v>
      </c>
      <c r="O1421" s="14">
        <f xml:space="preserve"> IF(ISBLANK(moras[[#This Row],[EDAD]]), EDA!$E$8, moras[[#This Row],[EDAD]])</f>
        <v>58</v>
      </c>
      <c r="P1421" s="14" t="str">
        <f>IF(
    OR(ISBLANK(moras[[#This Row],[TIPO_ASEGURAMIENTO]]), moras[[#This Row],[TIPO_ASEGURAMIENTO]]=""),
    EDA!$A$32,
    moras[[#This Row],[TIPO_ASEGURAMIENTO]]
)</f>
        <v>TRABAJADOR INDEPENDIENTE</v>
      </c>
    </row>
    <row r="1422" spans="1:16" x14ac:dyDescent="0.3">
      <c r="A1422">
        <v>1421</v>
      </c>
      <c r="B1422" t="s">
        <v>15</v>
      </c>
      <c r="C1422">
        <v>297045</v>
      </c>
      <c r="D1422" t="s">
        <v>17</v>
      </c>
      <c r="E1422" t="s">
        <v>16</v>
      </c>
      <c r="F1422" t="s">
        <v>12</v>
      </c>
      <c r="G1422" t="s">
        <v>13</v>
      </c>
      <c r="H1422" t="s">
        <v>12</v>
      </c>
      <c r="I1422">
        <v>27</v>
      </c>
      <c r="J1422">
        <f>ABS((I1422-EDA!$A$15)/EDA!$B$15)</f>
        <v>1.0571896382983452</v>
      </c>
      <c r="K1422" t="str">
        <f t="shared" si="22"/>
        <v>No</v>
      </c>
      <c r="L1422">
        <f>ABS((C1422-EDA!$F$15)/EDA!$G$15)</f>
        <v>0.37071093372012948</v>
      </c>
      <c r="M1422" t="str">
        <f>IF(moras[[#This Row],[Z-Score Salario]]&gt;1.96, "Sí", "No")</f>
        <v>No</v>
      </c>
      <c r="N1422" s="14">
        <f>IF(ISBLANK(moras[[#This Row],[SALARIO]]), EDA!$M$8, moras[[#This Row],[SALARIO]])</f>
        <v>297045</v>
      </c>
      <c r="O1422" s="14">
        <f xml:space="preserve"> IF(ISBLANK(moras[[#This Row],[EDAD]]), EDA!$E$8, moras[[#This Row],[EDAD]])</f>
        <v>27</v>
      </c>
      <c r="P1422" s="14" t="str">
        <f>IF(
    OR(ISBLANK(moras[[#This Row],[TIPO_ASEGURAMIENTO]]), moras[[#This Row],[TIPO_ASEGURAMIENTO]]=""),
    EDA!$A$32,
    moras[[#This Row],[TIPO_ASEGURAMIENTO]]
)</f>
        <v>ASEGURADO VOLUNTARIO</v>
      </c>
    </row>
    <row r="1423" spans="1:16" x14ac:dyDescent="0.3">
      <c r="A1423">
        <v>1422</v>
      </c>
      <c r="B1423" t="s">
        <v>9</v>
      </c>
      <c r="C1423">
        <v>266625</v>
      </c>
      <c r="D1423" t="s">
        <v>10</v>
      </c>
      <c r="E1423" t="s">
        <v>16</v>
      </c>
      <c r="F1423" t="s">
        <v>12</v>
      </c>
      <c r="G1423" t="s">
        <v>13</v>
      </c>
      <c r="H1423" t="s">
        <v>13</v>
      </c>
      <c r="I1423">
        <v>50</v>
      </c>
      <c r="J1423">
        <f>ABS((I1423-EDA!$A$15)/EDA!$B$15)</f>
        <v>0.56604295347581735</v>
      </c>
      <c r="K1423" t="str">
        <f t="shared" si="22"/>
        <v>No</v>
      </c>
      <c r="L1423">
        <f>ABS((C1423-EDA!$F$15)/EDA!$G$15)</f>
        <v>0.37121714399397854</v>
      </c>
      <c r="M1423" t="str">
        <f>IF(moras[[#This Row],[Z-Score Salario]]&gt;1.96, "Sí", "No")</f>
        <v>No</v>
      </c>
      <c r="N1423" s="14">
        <f>IF(ISBLANK(moras[[#This Row],[SALARIO]]), EDA!$M$8, moras[[#This Row],[SALARIO]])</f>
        <v>266625</v>
      </c>
      <c r="O1423" s="14">
        <f xml:space="preserve"> IF(ISBLANK(moras[[#This Row],[EDAD]]), EDA!$E$8, moras[[#This Row],[EDAD]])</f>
        <v>50</v>
      </c>
      <c r="P1423" s="14" t="str">
        <f>IF(
    OR(ISBLANK(moras[[#This Row],[TIPO_ASEGURAMIENTO]]), moras[[#This Row],[TIPO_ASEGURAMIENTO]]=""),
    EDA!$A$32,
    moras[[#This Row],[TIPO_ASEGURAMIENTO]]
)</f>
        <v>ASALARIADO</v>
      </c>
    </row>
    <row r="1424" spans="1:16" x14ac:dyDescent="0.3">
      <c r="A1424">
        <v>1423</v>
      </c>
      <c r="B1424" t="s">
        <v>9</v>
      </c>
      <c r="C1424">
        <v>282305</v>
      </c>
      <c r="D1424" t="s">
        <v>18</v>
      </c>
      <c r="E1424" t="s">
        <v>16</v>
      </c>
      <c r="F1424" t="s">
        <v>12</v>
      </c>
      <c r="G1424" t="s">
        <v>13</v>
      </c>
      <c r="H1424" t="s">
        <v>12</v>
      </c>
      <c r="I1424">
        <v>34</v>
      </c>
      <c r="J1424">
        <f>ABS((I1424-EDA!$A$15)/EDA!$B$15)</f>
        <v>0.56316232775838282</v>
      </c>
      <c r="K1424" t="str">
        <f t="shared" si="22"/>
        <v>No</v>
      </c>
      <c r="L1424">
        <f>ABS((C1424-EDA!$F$15)/EDA!$G$15)</f>
        <v>0.37095621772527526</v>
      </c>
      <c r="M1424" t="str">
        <f>IF(moras[[#This Row],[Z-Score Salario]]&gt;1.96, "Sí", "No")</f>
        <v>No</v>
      </c>
      <c r="N1424" s="14">
        <f>IF(ISBLANK(moras[[#This Row],[SALARIO]]), EDA!$M$8, moras[[#This Row],[SALARIO]])</f>
        <v>282305</v>
      </c>
      <c r="O1424" s="14">
        <f xml:space="preserve"> IF(ISBLANK(moras[[#This Row],[EDAD]]), EDA!$E$8, moras[[#This Row],[EDAD]])</f>
        <v>34</v>
      </c>
      <c r="P1424" s="14" t="str">
        <f>IF(
    OR(ISBLANK(moras[[#This Row],[TIPO_ASEGURAMIENTO]]), moras[[#This Row],[TIPO_ASEGURAMIENTO]]=""),
    EDA!$A$32,
    moras[[#This Row],[TIPO_ASEGURAMIENTO]]
)</f>
        <v>TRABAJADOR INDEPENDIENTE</v>
      </c>
    </row>
    <row r="1425" spans="1:16" x14ac:dyDescent="0.3">
      <c r="A1425">
        <v>1424</v>
      </c>
      <c r="B1425" t="s">
        <v>9</v>
      </c>
      <c r="C1425">
        <v>57414148</v>
      </c>
      <c r="D1425" t="s">
        <v>10</v>
      </c>
      <c r="E1425" t="s">
        <v>16</v>
      </c>
      <c r="F1425" t="s">
        <v>12</v>
      </c>
      <c r="G1425" t="s">
        <v>13</v>
      </c>
      <c r="H1425" t="s">
        <v>13</v>
      </c>
      <c r="I1425">
        <v>22</v>
      </c>
      <c r="J1425">
        <f>ABS((I1425-EDA!$A$15)/EDA!$B$15)</f>
        <v>1.4100662886840327</v>
      </c>
      <c r="K1425" t="str">
        <f t="shared" si="22"/>
        <v>No</v>
      </c>
      <c r="L1425">
        <f>ABS((C1425-EDA!$F$15)/EDA!$G$15)</f>
        <v>0.57975797985954558</v>
      </c>
      <c r="M1425" t="str">
        <f>IF(moras[[#This Row],[Z-Score Salario]]&gt;1.96, "Sí", "No")</f>
        <v>No</v>
      </c>
      <c r="N1425" s="14">
        <f>IF(ISBLANK(moras[[#This Row],[SALARIO]]), EDA!$M$8, moras[[#This Row],[SALARIO]])</f>
        <v>57414148</v>
      </c>
      <c r="O1425" s="14">
        <f xml:space="preserve"> IF(ISBLANK(moras[[#This Row],[EDAD]]), EDA!$E$8, moras[[#This Row],[EDAD]])</f>
        <v>22</v>
      </c>
      <c r="P1425" s="14" t="str">
        <f>IF(
    OR(ISBLANK(moras[[#This Row],[TIPO_ASEGURAMIENTO]]), moras[[#This Row],[TIPO_ASEGURAMIENTO]]=""),
    EDA!$A$32,
    moras[[#This Row],[TIPO_ASEGURAMIENTO]]
)</f>
        <v>ASALARIADO</v>
      </c>
    </row>
    <row r="1426" spans="1:16" x14ac:dyDescent="0.3">
      <c r="A1426">
        <v>1425</v>
      </c>
      <c r="B1426" t="s">
        <v>15</v>
      </c>
      <c r="C1426">
        <v>2072167</v>
      </c>
      <c r="D1426" t="s">
        <v>14</v>
      </c>
      <c r="E1426" t="s">
        <v>11</v>
      </c>
      <c r="F1426" t="s">
        <v>12</v>
      </c>
      <c r="G1426" t="s">
        <v>13</v>
      </c>
      <c r="H1426" t="s">
        <v>13</v>
      </c>
      <c r="I1426">
        <v>67</v>
      </c>
      <c r="J1426">
        <f>ABS((I1426-EDA!$A$15)/EDA!$B$15)</f>
        <v>1.765823564787155</v>
      </c>
      <c r="K1426" t="str">
        <f t="shared" si="22"/>
        <v>No</v>
      </c>
      <c r="L1426">
        <f>ABS((C1426-EDA!$F$15)/EDA!$G$15)</f>
        <v>0.34117165055985821</v>
      </c>
      <c r="M1426" t="str">
        <f>IF(moras[[#This Row],[Z-Score Salario]]&gt;1.96, "Sí", "No")</f>
        <v>No</v>
      </c>
      <c r="N1426" s="14">
        <f>IF(ISBLANK(moras[[#This Row],[SALARIO]]), EDA!$M$8, moras[[#This Row],[SALARIO]])</f>
        <v>2072167</v>
      </c>
      <c r="O1426" s="14">
        <f xml:space="preserve"> IF(ISBLANK(moras[[#This Row],[EDAD]]), EDA!$E$8, moras[[#This Row],[EDAD]])</f>
        <v>67</v>
      </c>
      <c r="P1426" s="14" t="str">
        <f>IF(
    OR(ISBLANK(moras[[#This Row],[TIPO_ASEGURAMIENTO]]), moras[[#This Row],[TIPO_ASEGURAMIENTO]]=""),
    EDA!$A$32,
    moras[[#This Row],[TIPO_ASEGURAMIENTO]]
)</f>
        <v>PENSIONADOS EN SU PROPIO SISTEMA</v>
      </c>
    </row>
    <row r="1427" spans="1:16" x14ac:dyDescent="0.3">
      <c r="A1427">
        <v>1426</v>
      </c>
      <c r="B1427" t="s">
        <v>9</v>
      </c>
      <c r="C1427">
        <v>278030</v>
      </c>
      <c r="D1427" t="s">
        <v>19</v>
      </c>
      <c r="E1427" t="s">
        <v>16</v>
      </c>
      <c r="F1427" t="s">
        <v>12</v>
      </c>
      <c r="G1427" t="s">
        <v>13</v>
      </c>
      <c r="H1427" t="s">
        <v>13</v>
      </c>
      <c r="I1427">
        <v>56</v>
      </c>
      <c r="J1427">
        <f>ABS((I1427-EDA!$A$15)/EDA!$B$15)</f>
        <v>0.9894949339386423</v>
      </c>
      <c r="K1427" t="str">
        <f t="shared" si="22"/>
        <v>No</v>
      </c>
      <c r="L1427">
        <f>ABS((C1427-EDA!$F$15)/EDA!$G$15)</f>
        <v>0.37102735674304993</v>
      </c>
      <c r="M1427" t="str">
        <f>IF(moras[[#This Row],[Z-Score Salario]]&gt;1.96, "Sí", "No")</f>
        <v>No</v>
      </c>
      <c r="N1427" s="14">
        <f>IF(ISBLANK(moras[[#This Row],[SALARIO]]), EDA!$M$8, moras[[#This Row],[SALARIO]])</f>
        <v>278030</v>
      </c>
      <c r="O1427" s="14">
        <f xml:space="preserve"> IF(ISBLANK(moras[[#This Row],[EDAD]]), EDA!$E$8, moras[[#This Row],[EDAD]])</f>
        <v>56</v>
      </c>
      <c r="P1427" s="14" t="str">
        <f>IF(
    OR(ISBLANK(moras[[#This Row],[TIPO_ASEGURAMIENTO]]), moras[[#This Row],[TIPO_ASEGURAMIENTO]]=""),
    EDA!$A$32,
    moras[[#This Row],[TIPO_ASEGURAMIENTO]]
)</f>
        <v>CONVENIOS ESPECIALES DE TRABAJADORES INDEPENDIENTES</v>
      </c>
    </row>
    <row r="1428" spans="1:16" x14ac:dyDescent="0.3">
      <c r="A1428">
        <v>1427</v>
      </c>
      <c r="B1428" t="s">
        <v>15</v>
      </c>
      <c r="C1428">
        <v>21667465</v>
      </c>
      <c r="D1428" t="s">
        <v>10</v>
      </c>
      <c r="E1428" t="s">
        <v>11</v>
      </c>
      <c r="F1428" t="s">
        <v>12</v>
      </c>
      <c r="G1428" t="s">
        <v>13</v>
      </c>
      <c r="H1428" t="s">
        <v>13</v>
      </c>
      <c r="I1428">
        <v>32</v>
      </c>
      <c r="J1428">
        <f>ABS((I1428-EDA!$A$15)/EDA!$B$15)</f>
        <v>0.70431298791265773</v>
      </c>
      <c r="K1428" t="str">
        <f t="shared" si="22"/>
        <v>No</v>
      </c>
      <c r="L1428">
        <f>ABS((C1428-EDA!$F$15)/EDA!$G$15)</f>
        <v>1.5092059279992697E-2</v>
      </c>
      <c r="M1428" t="str">
        <f>IF(moras[[#This Row],[Z-Score Salario]]&gt;1.96, "Sí", "No")</f>
        <v>No</v>
      </c>
      <c r="N1428" s="14">
        <f>IF(ISBLANK(moras[[#This Row],[SALARIO]]), EDA!$M$8, moras[[#This Row],[SALARIO]])</f>
        <v>21667465</v>
      </c>
      <c r="O1428" s="14">
        <f xml:space="preserve"> IF(ISBLANK(moras[[#This Row],[EDAD]]), EDA!$E$8, moras[[#This Row],[EDAD]])</f>
        <v>32</v>
      </c>
      <c r="P1428" s="14" t="str">
        <f>IF(
    OR(ISBLANK(moras[[#This Row],[TIPO_ASEGURAMIENTO]]), moras[[#This Row],[TIPO_ASEGURAMIENTO]]=""),
    EDA!$A$32,
    moras[[#This Row],[TIPO_ASEGURAMIENTO]]
)</f>
        <v>ASALARIADO</v>
      </c>
    </row>
    <row r="1429" spans="1:16" x14ac:dyDescent="0.3">
      <c r="A1429">
        <v>1428</v>
      </c>
      <c r="B1429" t="s">
        <v>15</v>
      </c>
      <c r="C1429">
        <v>53225769</v>
      </c>
      <c r="D1429" t="s">
        <v>10</v>
      </c>
      <c r="E1429" t="s">
        <v>16</v>
      </c>
      <c r="F1429" t="s">
        <v>12</v>
      </c>
      <c r="G1429" t="s">
        <v>13</v>
      </c>
      <c r="H1429" t="s">
        <v>13</v>
      </c>
      <c r="I1429">
        <v>42</v>
      </c>
      <c r="J1429">
        <f>ABS((I1429-EDA!$A$15)/EDA!$B$15)</f>
        <v>1.4403128587172659E-3</v>
      </c>
      <c r="K1429" t="str">
        <f t="shared" si="22"/>
        <v>No</v>
      </c>
      <c r="L1429">
        <f>ABS((C1429-EDA!$F$15)/EDA!$G$15)</f>
        <v>0.51006039667172309</v>
      </c>
      <c r="M1429" t="str">
        <f>IF(moras[[#This Row],[Z-Score Salario]]&gt;1.96, "Sí", "No")</f>
        <v>No</v>
      </c>
      <c r="N1429" s="14">
        <f>IF(ISBLANK(moras[[#This Row],[SALARIO]]), EDA!$M$8, moras[[#This Row],[SALARIO]])</f>
        <v>53225769</v>
      </c>
      <c r="O1429" s="14">
        <f xml:space="preserve"> IF(ISBLANK(moras[[#This Row],[EDAD]]), EDA!$E$8, moras[[#This Row],[EDAD]])</f>
        <v>42</v>
      </c>
      <c r="P1429" s="14" t="str">
        <f>IF(
    OR(ISBLANK(moras[[#This Row],[TIPO_ASEGURAMIENTO]]), moras[[#This Row],[TIPO_ASEGURAMIENTO]]=""),
    EDA!$A$32,
    moras[[#This Row],[TIPO_ASEGURAMIENTO]]
)</f>
        <v>ASALARIADO</v>
      </c>
    </row>
    <row r="1430" spans="1:16" x14ac:dyDescent="0.3">
      <c r="A1430">
        <v>1429</v>
      </c>
      <c r="B1430" t="s">
        <v>9</v>
      </c>
      <c r="C1430">
        <v>276253665</v>
      </c>
      <c r="D1430" t="s">
        <v>10</v>
      </c>
      <c r="E1430" t="s">
        <v>16</v>
      </c>
      <c r="F1430" t="s">
        <v>12</v>
      </c>
      <c r="G1430" t="s">
        <v>12</v>
      </c>
      <c r="H1430" t="s">
        <v>13</v>
      </c>
      <c r="I1430">
        <v>42</v>
      </c>
      <c r="J1430">
        <f>ABS((I1430-EDA!$A$15)/EDA!$B$15)</f>
        <v>1.4403128587172659E-3</v>
      </c>
      <c r="K1430" t="str">
        <f t="shared" si="22"/>
        <v>No</v>
      </c>
      <c r="L1430">
        <f>ABS((C1430-EDA!$F$15)/EDA!$G$15)</f>
        <v>4.2214020242238206</v>
      </c>
      <c r="M1430" t="str">
        <f>IF(moras[[#This Row],[Z-Score Salario]]&gt;1.96, "Sí", "No")</f>
        <v>Sí</v>
      </c>
      <c r="N1430" s="14">
        <f>IF(ISBLANK(moras[[#This Row],[SALARIO]]), EDA!$M$8, moras[[#This Row],[SALARIO]])</f>
        <v>276253665</v>
      </c>
      <c r="O1430" s="14">
        <f xml:space="preserve"> IF(ISBLANK(moras[[#This Row],[EDAD]]), EDA!$E$8, moras[[#This Row],[EDAD]])</f>
        <v>42</v>
      </c>
      <c r="P1430" s="14" t="str">
        <f>IF(
    OR(ISBLANK(moras[[#This Row],[TIPO_ASEGURAMIENTO]]), moras[[#This Row],[TIPO_ASEGURAMIENTO]]=""),
    EDA!$A$32,
    moras[[#This Row],[TIPO_ASEGURAMIENTO]]
)</f>
        <v>ASALARIADO</v>
      </c>
    </row>
    <row r="1431" spans="1:16" x14ac:dyDescent="0.3">
      <c r="A1431">
        <v>1430</v>
      </c>
      <c r="B1431" t="s">
        <v>15</v>
      </c>
      <c r="C1431">
        <v>278030</v>
      </c>
      <c r="D1431" t="s">
        <v>19</v>
      </c>
      <c r="E1431" t="s">
        <v>16</v>
      </c>
      <c r="F1431" t="s">
        <v>12</v>
      </c>
      <c r="G1431" t="s">
        <v>13</v>
      </c>
      <c r="H1431" t="s">
        <v>13</v>
      </c>
      <c r="I1431">
        <v>60</v>
      </c>
      <c r="J1431">
        <f>ABS((I1431-EDA!$A$15)/EDA!$B$15)</f>
        <v>1.2717962542471923</v>
      </c>
      <c r="K1431" t="str">
        <f t="shared" si="22"/>
        <v>No</v>
      </c>
      <c r="L1431">
        <f>ABS((C1431-EDA!$F$15)/EDA!$G$15)</f>
        <v>0.37102735674304993</v>
      </c>
      <c r="M1431" t="str">
        <f>IF(moras[[#This Row],[Z-Score Salario]]&gt;1.96, "Sí", "No")</f>
        <v>No</v>
      </c>
      <c r="N1431" s="14">
        <f>IF(ISBLANK(moras[[#This Row],[SALARIO]]), EDA!$M$8, moras[[#This Row],[SALARIO]])</f>
        <v>278030</v>
      </c>
      <c r="O1431" s="14">
        <f xml:space="preserve"> IF(ISBLANK(moras[[#This Row],[EDAD]]), EDA!$E$8, moras[[#This Row],[EDAD]])</f>
        <v>60</v>
      </c>
      <c r="P1431" s="14" t="str">
        <f>IF(
    OR(ISBLANK(moras[[#This Row],[TIPO_ASEGURAMIENTO]]), moras[[#This Row],[TIPO_ASEGURAMIENTO]]=""),
    EDA!$A$32,
    moras[[#This Row],[TIPO_ASEGURAMIENTO]]
)</f>
        <v>CONVENIOS ESPECIALES DE TRABAJADORES INDEPENDIENTES</v>
      </c>
    </row>
    <row r="1432" spans="1:16" x14ac:dyDescent="0.3">
      <c r="A1432">
        <v>1431</v>
      </c>
      <c r="B1432" t="s">
        <v>9</v>
      </c>
      <c r="C1432">
        <v>43718354</v>
      </c>
      <c r="D1432" t="s">
        <v>10</v>
      </c>
      <c r="E1432" t="s">
        <v>16</v>
      </c>
      <c r="F1432" t="s">
        <v>12</v>
      </c>
      <c r="G1432" t="s">
        <v>13</v>
      </c>
      <c r="H1432" t="s">
        <v>13</v>
      </c>
      <c r="I1432">
        <v>46</v>
      </c>
      <c r="J1432">
        <f>ABS((I1432-EDA!$A$15)/EDA!$B$15)</f>
        <v>0.2837416331672673</v>
      </c>
      <c r="K1432" t="str">
        <f t="shared" si="22"/>
        <v>No</v>
      </c>
      <c r="L1432">
        <f>ABS((C1432-EDA!$F$15)/EDA!$G$15)</f>
        <v>0.35185029967151099</v>
      </c>
      <c r="M1432" t="str">
        <f>IF(moras[[#This Row],[Z-Score Salario]]&gt;1.96, "Sí", "No")</f>
        <v>No</v>
      </c>
      <c r="N1432" s="14">
        <f>IF(ISBLANK(moras[[#This Row],[SALARIO]]), EDA!$M$8, moras[[#This Row],[SALARIO]])</f>
        <v>43718354</v>
      </c>
      <c r="O1432" s="14">
        <f xml:space="preserve"> IF(ISBLANK(moras[[#This Row],[EDAD]]), EDA!$E$8, moras[[#This Row],[EDAD]])</f>
        <v>46</v>
      </c>
      <c r="P1432" s="14" t="str">
        <f>IF(
    OR(ISBLANK(moras[[#This Row],[TIPO_ASEGURAMIENTO]]), moras[[#This Row],[TIPO_ASEGURAMIENTO]]=""),
    EDA!$A$32,
    moras[[#This Row],[TIPO_ASEGURAMIENTO]]
)</f>
        <v>ASALARIADO</v>
      </c>
    </row>
    <row r="1433" spans="1:16" x14ac:dyDescent="0.3">
      <c r="A1433">
        <v>1432</v>
      </c>
      <c r="B1433" t="s">
        <v>9</v>
      </c>
      <c r="C1433">
        <v>41762303</v>
      </c>
      <c r="D1433" t="s">
        <v>10</v>
      </c>
      <c r="E1433" t="s">
        <v>16</v>
      </c>
      <c r="F1433" t="s">
        <v>12</v>
      </c>
      <c r="G1433" t="s">
        <v>13</v>
      </c>
      <c r="H1433" t="s">
        <v>13</v>
      </c>
      <c r="I1433">
        <v>27</v>
      </c>
      <c r="J1433">
        <f>ABS((I1433-EDA!$A$15)/EDA!$B$15)</f>
        <v>1.0571896382983452</v>
      </c>
      <c r="K1433" t="str">
        <f t="shared" si="22"/>
        <v>No</v>
      </c>
      <c r="L1433">
        <f>ABS((C1433-EDA!$F$15)/EDA!$G$15)</f>
        <v>0.31930023023125181</v>
      </c>
      <c r="M1433" t="str">
        <f>IF(moras[[#This Row],[Z-Score Salario]]&gt;1.96, "Sí", "No")</f>
        <v>No</v>
      </c>
      <c r="N1433" s="14">
        <f>IF(ISBLANK(moras[[#This Row],[SALARIO]]), EDA!$M$8, moras[[#This Row],[SALARIO]])</f>
        <v>41762303</v>
      </c>
      <c r="O1433" s="14">
        <f xml:space="preserve"> IF(ISBLANK(moras[[#This Row],[EDAD]]), EDA!$E$8, moras[[#This Row],[EDAD]])</f>
        <v>27</v>
      </c>
      <c r="P1433" s="14" t="str">
        <f>IF(
    OR(ISBLANK(moras[[#This Row],[TIPO_ASEGURAMIENTO]]), moras[[#This Row],[TIPO_ASEGURAMIENTO]]=""),
    EDA!$A$32,
    moras[[#This Row],[TIPO_ASEGURAMIENTO]]
)</f>
        <v>ASALARIADO</v>
      </c>
    </row>
    <row r="1434" spans="1:16" x14ac:dyDescent="0.3">
      <c r="A1434">
        <v>1433</v>
      </c>
      <c r="B1434" t="s">
        <v>15</v>
      </c>
      <c r="C1434">
        <v>170502</v>
      </c>
      <c r="D1434" t="s">
        <v>10</v>
      </c>
      <c r="E1434" t="s">
        <v>16</v>
      </c>
      <c r="F1434" t="s">
        <v>12</v>
      </c>
      <c r="G1434" t="s">
        <v>13</v>
      </c>
      <c r="H1434" t="s">
        <v>13</v>
      </c>
      <c r="I1434">
        <v>47</v>
      </c>
      <c r="J1434">
        <f>ABS((I1434-EDA!$A$15)/EDA!$B$15)</f>
        <v>0.35431696324440481</v>
      </c>
      <c r="K1434" t="str">
        <f t="shared" si="22"/>
        <v>No</v>
      </c>
      <c r="L1434">
        <f>ABS((C1434-EDA!$F$15)/EDA!$G$15)</f>
        <v>0.37281669856837668</v>
      </c>
      <c r="M1434" t="str">
        <f>IF(moras[[#This Row],[Z-Score Salario]]&gt;1.96, "Sí", "No")</f>
        <v>No</v>
      </c>
      <c r="N1434" s="14">
        <f>IF(ISBLANK(moras[[#This Row],[SALARIO]]), EDA!$M$8, moras[[#This Row],[SALARIO]])</f>
        <v>170502</v>
      </c>
      <c r="O1434" s="14">
        <f xml:space="preserve"> IF(ISBLANK(moras[[#This Row],[EDAD]]), EDA!$E$8, moras[[#This Row],[EDAD]])</f>
        <v>47</v>
      </c>
      <c r="P1434" s="14" t="str">
        <f>IF(
    OR(ISBLANK(moras[[#This Row],[TIPO_ASEGURAMIENTO]]), moras[[#This Row],[TIPO_ASEGURAMIENTO]]=""),
    EDA!$A$32,
    moras[[#This Row],[TIPO_ASEGURAMIENTO]]
)</f>
        <v>ASALARIADO</v>
      </c>
    </row>
    <row r="1435" spans="1:16" x14ac:dyDescent="0.3">
      <c r="A1435">
        <v>1434</v>
      </c>
      <c r="B1435" t="s">
        <v>9</v>
      </c>
      <c r="C1435">
        <v>573826</v>
      </c>
      <c r="D1435" t="s">
        <v>18</v>
      </c>
      <c r="E1435" t="s">
        <v>16</v>
      </c>
      <c r="F1435" t="s">
        <v>12</v>
      </c>
      <c r="G1435" t="s">
        <v>13</v>
      </c>
      <c r="H1435" t="s">
        <v>12</v>
      </c>
      <c r="I1435">
        <v>61</v>
      </c>
      <c r="J1435">
        <f>ABS((I1435-EDA!$A$15)/EDA!$B$15)</f>
        <v>1.3423715843243298</v>
      </c>
      <c r="K1435" t="str">
        <f t="shared" si="22"/>
        <v>No</v>
      </c>
      <c r="L1435">
        <f>ABS((C1435-EDA!$F$15)/EDA!$G$15)</f>
        <v>0.36610510249704564</v>
      </c>
      <c r="M1435" t="str">
        <f>IF(moras[[#This Row],[Z-Score Salario]]&gt;1.96, "Sí", "No")</f>
        <v>No</v>
      </c>
      <c r="N1435" s="14">
        <f>IF(ISBLANK(moras[[#This Row],[SALARIO]]), EDA!$M$8, moras[[#This Row],[SALARIO]])</f>
        <v>573826</v>
      </c>
      <c r="O1435" s="14">
        <f xml:space="preserve"> IF(ISBLANK(moras[[#This Row],[EDAD]]), EDA!$E$8, moras[[#This Row],[EDAD]])</f>
        <v>61</v>
      </c>
      <c r="P1435" s="14" t="str">
        <f>IF(
    OR(ISBLANK(moras[[#This Row],[TIPO_ASEGURAMIENTO]]), moras[[#This Row],[TIPO_ASEGURAMIENTO]]=""),
    EDA!$A$32,
    moras[[#This Row],[TIPO_ASEGURAMIENTO]]
)</f>
        <v>TRABAJADOR INDEPENDIENTE</v>
      </c>
    </row>
    <row r="1436" spans="1:16" x14ac:dyDescent="0.3">
      <c r="A1436">
        <v>1435</v>
      </c>
      <c r="B1436" t="s">
        <v>15</v>
      </c>
      <c r="C1436">
        <v>297045</v>
      </c>
      <c r="D1436" t="s">
        <v>17</v>
      </c>
      <c r="E1436" t="s">
        <v>16</v>
      </c>
      <c r="F1436" t="s">
        <v>12</v>
      </c>
      <c r="G1436" t="s">
        <v>13</v>
      </c>
      <c r="H1436" t="s">
        <v>12</v>
      </c>
      <c r="I1436">
        <v>23</v>
      </c>
      <c r="J1436">
        <f>ABS((I1436-EDA!$A$15)/EDA!$B$15)</f>
        <v>1.3394909586068953</v>
      </c>
      <c r="K1436" t="str">
        <f t="shared" si="22"/>
        <v>No</v>
      </c>
      <c r="L1436">
        <f>ABS((C1436-EDA!$F$15)/EDA!$G$15)</f>
        <v>0.37071093372012948</v>
      </c>
      <c r="M1436" t="str">
        <f>IF(moras[[#This Row],[Z-Score Salario]]&gt;1.96, "Sí", "No")</f>
        <v>No</v>
      </c>
      <c r="N1436" s="14">
        <f>IF(ISBLANK(moras[[#This Row],[SALARIO]]), EDA!$M$8, moras[[#This Row],[SALARIO]])</f>
        <v>297045</v>
      </c>
      <c r="O1436" s="14">
        <f xml:space="preserve"> IF(ISBLANK(moras[[#This Row],[EDAD]]), EDA!$E$8, moras[[#This Row],[EDAD]])</f>
        <v>23</v>
      </c>
      <c r="P1436" s="14" t="str">
        <f>IF(
    OR(ISBLANK(moras[[#This Row],[TIPO_ASEGURAMIENTO]]), moras[[#This Row],[TIPO_ASEGURAMIENTO]]=""),
    EDA!$A$32,
    moras[[#This Row],[TIPO_ASEGURAMIENTO]]
)</f>
        <v>ASEGURADO VOLUNTARIO</v>
      </c>
    </row>
    <row r="1437" spans="1:16" x14ac:dyDescent="0.3">
      <c r="A1437">
        <v>1436</v>
      </c>
      <c r="B1437" t="s">
        <v>9</v>
      </c>
      <c r="C1437">
        <v>40619091</v>
      </c>
      <c r="D1437" t="s">
        <v>10</v>
      </c>
      <c r="E1437" t="s">
        <v>11</v>
      </c>
      <c r="F1437" t="s">
        <v>12</v>
      </c>
      <c r="G1437" t="s">
        <v>12</v>
      </c>
      <c r="H1437" t="s">
        <v>13</v>
      </c>
      <c r="I1437">
        <v>22</v>
      </c>
      <c r="J1437">
        <f>ABS((I1437-EDA!$A$15)/EDA!$B$15)</f>
        <v>1.4100662886840327</v>
      </c>
      <c r="K1437" t="str">
        <f t="shared" si="22"/>
        <v>No</v>
      </c>
      <c r="L1437">
        <f>ABS((C1437-EDA!$F$15)/EDA!$G$15)</f>
        <v>0.30027637554395703</v>
      </c>
      <c r="M1437" t="str">
        <f>IF(moras[[#This Row],[Z-Score Salario]]&gt;1.96, "Sí", "No")</f>
        <v>No</v>
      </c>
      <c r="N1437" s="14">
        <f>IF(ISBLANK(moras[[#This Row],[SALARIO]]), EDA!$M$8, moras[[#This Row],[SALARIO]])</f>
        <v>40619091</v>
      </c>
      <c r="O1437" s="14">
        <f xml:space="preserve"> IF(ISBLANK(moras[[#This Row],[EDAD]]), EDA!$E$8, moras[[#This Row],[EDAD]])</f>
        <v>22</v>
      </c>
      <c r="P1437" s="14" t="str">
        <f>IF(
    OR(ISBLANK(moras[[#This Row],[TIPO_ASEGURAMIENTO]]), moras[[#This Row],[TIPO_ASEGURAMIENTO]]=""),
    EDA!$A$32,
    moras[[#This Row],[TIPO_ASEGURAMIENTO]]
)</f>
        <v>ASALARIADO</v>
      </c>
    </row>
    <row r="1438" spans="1:16" x14ac:dyDescent="0.3">
      <c r="A1438">
        <v>1437</v>
      </c>
      <c r="B1438" t="s">
        <v>9</v>
      </c>
      <c r="C1438">
        <v>297046</v>
      </c>
      <c r="D1438" t="s">
        <v>17</v>
      </c>
      <c r="E1438" t="s">
        <v>16</v>
      </c>
      <c r="F1438" t="s">
        <v>12</v>
      </c>
      <c r="G1438" t="s">
        <v>12</v>
      </c>
      <c r="H1438" t="s">
        <v>13</v>
      </c>
      <c r="I1438">
        <v>44</v>
      </c>
      <c r="J1438">
        <f>ABS((I1438-EDA!$A$15)/EDA!$B$15)</f>
        <v>0.14259097301299228</v>
      </c>
      <c r="K1438" t="str">
        <f t="shared" si="22"/>
        <v>No</v>
      </c>
      <c r="L1438">
        <f>ABS((C1438-EDA!$F$15)/EDA!$G$15)</f>
        <v>0.37071091707942361</v>
      </c>
      <c r="M1438" t="str">
        <f>IF(moras[[#This Row],[Z-Score Salario]]&gt;1.96, "Sí", "No")</f>
        <v>No</v>
      </c>
      <c r="N1438" s="14">
        <f>IF(ISBLANK(moras[[#This Row],[SALARIO]]), EDA!$M$8, moras[[#This Row],[SALARIO]])</f>
        <v>297046</v>
      </c>
      <c r="O1438" s="14">
        <f xml:space="preserve"> IF(ISBLANK(moras[[#This Row],[EDAD]]), EDA!$E$8, moras[[#This Row],[EDAD]])</f>
        <v>44</v>
      </c>
      <c r="P1438" s="14" t="str">
        <f>IF(
    OR(ISBLANK(moras[[#This Row],[TIPO_ASEGURAMIENTO]]), moras[[#This Row],[TIPO_ASEGURAMIENTO]]=""),
    EDA!$A$32,
    moras[[#This Row],[TIPO_ASEGURAMIENTO]]
)</f>
        <v>ASEGURADO VOLUNTARIO</v>
      </c>
    </row>
    <row r="1439" spans="1:16" x14ac:dyDescent="0.3">
      <c r="A1439">
        <v>1438</v>
      </c>
      <c r="B1439" t="s">
        <v>15</v>
      </c>
      <c r="C1439">
        <v>313897</v>
      </c>
      <c r="D1439" t="s">
        <v>10</v>
      </c>
      <c r="E1439" t="s">
        <v>11</v>
      </c>
      <c r="F1439" t="s">
        <v>12</v>
      </c>
      <c r="G1439" t="s">
        <v>13</v>
      </c>
      <c r="H1439" t="s">
        <v>12</v>
      </c>
      <c r="I1439">
        <v>31</v>
      </c>
      <c r="J1439">
        <f>ABS((I1439-EDA!$A$15)/EDA!$B$15)</f>
        <v>0.77488831798979529</v>
      </c>
      <c r="K1439" t="str">
        <f t="shared" si="22"/>
        <v>No</v>
      </c>
      <c r="L1439">
        <f>ABS((C1439-EDA!$F$15)/EDA!$G$15)</f>
        <v>0.37043050454409715</v>
      </c>
      <c r="M1439" t="str">
        <f>IF(moras[[#This Row],[Z-Score Salario]]&gt;1.96, "Sí", "No")</f>
        <v>No</v>
      </c>
      <c r="N1439" s="14">
        <f>IF(ISBLANK(moras[[#This Row],[SALARIO]]), EDA!$M$8, moras[[#This Row],[SALARIO]])</f>
        <v>313897</v>
      </c>
      <c r="O1439" s="14">
        <f xml:space="preserve"> IF(ISBLANK(moras[[#This Row],[EDAD]]), EDA!$E$8, moras[[#This Row],[EDAD]])</f>
        <v>31</v>
      </c>
      <c r="P1439" s="14" t="str">
        <f>IF(
    OR(ISBLANK(moras[[#This Row],[TIPO_ASEGURAMIENTO]]), moras[[#This Row],[TIPO_ASEGURAMIENTO]]=""),
    EDA!$A$32,
    moras[[#This Row],[TIPO_ASEGURAMIENTO]]
)</f>
        <v>ASALARIADO</v>
      </c>
    </row>
    <row r="1440" spans="1:16" x14ac:dyDescent="0.3">
      <c r="A1440">
        <v>1439</v>
      </c>
      <c r="B1440" t="s">
        <v>15</v>
      </c>
      <c r="C1440">
        <v>496170</v>
      </c>
      <c r="D1440" t="s">
        <v>10</v>
      </c>
      <c r="E1440" t="s">
        <v>16</v>
      </c>
      <c r="F1440" t="s">
        <v>12</v>
      </c>
      <c r="G1440" t="s">
        <v>12</v>
      </c>
      <c r="H1440" t="s">
        <v>13</v>
      </c>
      <c r="I1440">
        <v>28</v>
      </c>
      <c r="J1440">
        <f>ABS((I1440-EDA!$A$15)/EDA!$B$15)</f>
        <v>0.98661430822120777</v>
      </c>
      <c r="K1440" t="str">
        <f t="shared" si="22"/>
        <v>No</v>
      </c>
      <c r="L1440">
        <f>ABS((C1440-EDA!$F$15)/EDA!$G$15)</f>
        <v>0.36739735315536326</v>
      </c>
      <c r="M1440" t="str">
        <f>IF(moras[[#This Row],[Z-Score Salario]]&gt;1.96, "Sí", "No")</f>
        <v>No</v>
      </c>
      <c r="N1440" s="14">
        <f>IF(ISBLANK(moras[[#This Row],[SALARIO]]), EDA!$M$8, moras[[#This Row],[SALARIO]])</f>
        <v>496170</v>
      </c>
      <c r="O1440" s="14">
        <f xml:space="preserve"> IF(ISBLANK(moras[[#This Row],[EDAD]]), EDA!$E$8, moras[[#This Row],[EDAD]])</f>
        <v>28</v>
      </c>
      <c r="P1440" s="14" t="str">
        <f>IF(
    OR(ISBLANK(moras[[#This Row],[TIPO_ASEGURAMIENTO]]), moras[[#This Row],[TIPO_ASEGURAMIENTO]]=""),
    EDA!$A$32,
    moras[[#This Row],[TIPO_ASEGURAMIENTO]]
)</f>
        <v>ASALARIADO</v>
      </c>
    </row>
    <row r="1441" spans="1:16" x14ac:dyDescent="0.3">
      <c r="A1441">
        <v>1440</v>
      </c>
      <c r="B1441" t="s">
        <v>9</v>
      </c>
      <c r="C1441">
        <v>952596</v>
      </c>
      <c r="D1441" t="s">
        <v>10</v>
      </c>
      <c r="E1441" t="s">
        <v>16</v>
      </c>
      <c r="F1441" t="s">
        <v>12</v>
      </c>
      <c r="G1441" t="s">
        <v>13</v>
      </c>
      <c r="H1441" t="s">
        <v>13</v>
      </c>
      <c r="I1441">
        <v>61</v>
      </c>
      <c r="J1441">
        <f>ABS((I1441-EDA!$A$15)/EDA!$B$15)</f>
        <v>1.3423715843243298</v>
      </c>
      <c r="K1441" t="str">
        <f t="shared" si="22"/>
        <v>No</v>
      </c>
      <c r="L1441">
        <f>ABS((C1441-EDA!$F$15)/EDA!$G$15)</f>
        <v>0.3598021023186827</v>
      </c>
      <c r="M1441" t="str">
        <f>IF(moras[[#This Row],[Z-Score Salario]]&gt;1.96, "Sí", "No")</f>
        <v>No</v>
      </c>
      <c r="N1441" s="14">
        <f>IF(ISBLANK(moras[[#This Row],[SALARIO]]), EDA!$M$8, moras[[#This Row],[SALARIO]])</f>
        <v>952596</v>
      </c>
      <c r="O1441" s="14">
        <f xml:space="preserve"> IF(ISBLANK(moras[[#This Row],[EDAD]]), EDA!$E$8, moras[[#This Row],[EDAD]])</f>
        <v>61</v>
      </c>
      <c r="P1441" s="14" t="str">
        <f>IF(
    OR(ISBLANK(moras[[#This Row],[TIPO_ASEGURAMIENTO]]), moras[[#This Row],[TIPO_ASEGURAMIENTO]]=""),
    EDA!$A$32,
    moras[[#This Row],[TIPO_ASEGURAMIENTO]]
)</f>
        <v>ASALARIADO</v>
      </c>
    </row>
    <row r="1442" spans="1:16" x14ac:dyDescent="0.3">
      <c r="A1442">
        <v>1441</v>
      </c>
      <c r="B1442" t="s">
        <v>15</v>
      </c>
      <c r="C1442">
        <v>644244</v>
      </c>
      <c r="D1442" t="s">
        <v>10</v>
      </c>
      <c r="E1442" t="s">
        <v>16</v>
      </c>
      <c r="F1442" t="s">
        <v>12</v>
      </c>
      <c r="G1442" t="s">
        <v>13</v>
      </c>
      <c r="H1442" t="s">
        <v>13</v>
      </c>
      <c r="I1442">
        <v>25</v>
      </c>
      <c r="J1442">
        <f>ABS((I1442-EDA!$A$15)/EDA!$B$15)</f>
        <v>1.1983402984526204</v>
      </c>
      <c r="K1442" t="str">
        <f t="shared" si="22"/>
        <v>No</v>
      </c>
      <c r="L1442">
        <f>ABS((C1442-EDA!$F$15)/EDA!$G$15)</f>
        <v>0.36493329726812057</v>
      </c>
      <c r="M1442" t="str">
        <f>IF(moras[[#This Row],[Z-Score Salario]]&gt;1.96, "Sí", "No")</f>
        <v>No</v>
      </c>
      <c r="N1442" s="14">
        <f>IF(ISBLANK(moras[[#This Row],[SALARIO]]), EDA!$M$8, moras[[#This Row],[SALARIO]])</f>
        <v>644244</v>
      </c>
      <c r="O1442" s="14">
        <f xml:space="preserve"> IF(ISBLANK(moras[[#This Row],[EDAD]]), EDA!$E$8, moras[[#This Row],[EDAD]])</f>
        <v>25</v>
      </c>
      <c r="P1442" s="14" t="str">
        <f>IF(
    OR(ISBLANK(moras[[#This Row],[TIPO_ASEGURAMIENTO]]), moras[[#This Row],[TIPO_ASEGURAMIENTO]]=""),
    EDA!$A$32,
    moras[[#This Row],[TIPO_ASEGURAMIENTO]]
)</f>
        <v>ASALARIADO</v>
      </c>
    </row>
    <row r="1443" spans="1:16" x14ac:dyDescent="0.3">
      <c r="A1443">
        <v>1442</v>
      </c>
      <c r="B1443" t="s">
        <v>9</v>
      </c>
      <c r="C1443">
        <v>297045</v>
      </c>
      <c r="D1443" t="s">
        <v>17</v>
      </c>
      <c r="E1443" t="s">
        <v>16</v>
      </c>
      <c r="F1443" t="s">
        <v>12</v>
      </c>
      <c r="G1443" t="s">
        <v>13</v>
      </c>
      <c r="H1443" t="s">
        <v>13</v>
      </c>
      <c r="I1443">
        <v>36</v>
      </c>
      <c r="J1443">
        <f>ABS((I1443-EDA!$A$15)/EDA!$B$15)</f>
        <v>0.42201166760410774</v>
      </c>
      <c r="K1443" t="str">
        <f t="shared" si="22"/>
        <v>No</v>
      </c>
      <c r="L1443">
        <f>ABS((C1443-EDA!$F$15)/EDA!$G$15)</f>
        <v>0.37071093372012948</v>
      </c>
      <c r="M1443" t="str">
        <f>IF(moras[[#This Row],[Z-Score Salario]]&gt;1.96, "Sí", "No")</f>
        <v>No</v>
      </c>
      <c r="N1443" s="14">
        <f>IF(ISBLANK(moras[[#This Row],[SALARIO]]), EDA!$M$8, moras[[#This Row],[SALARIO]])</f>
        <v>297045</v>
      </c>
      <c r="O1443" s="14">
        <f xml:space="preserve"> IF(ISBLANK(moras[[#This Row],[EDAD]]), EDA!$E$8, moras[[#This Row],[EDAD]])</f>
        <v>36</v>
      </c>
      <c r="P1443" s="14" t="str">
        <f>IF(
    OR(ISBLANK(moras[[#This Row],[TIPO_ASEGURAMIENTO]]), moras[[#This Row],[TIPO_ASEGURAMIENTO]]=""),
    EDA!$A$32,
    moras[[#This Row],[TIPO_ASEGURAMIENTO]]
)</f>
        <v>ASEGURADO VOLUNTARIO</v>
      </c>
    </row>
    <row r="1444" spans="1:16" x14ac:dyDescent="0.3">
      <c r="A1444">
        <v>1443</v>
      </c>
      <c r="B1444" t="s">
        <v>15</v>
      </c>
      <c r="C1444">
        <v>29704499</v>
      </c>
      <c r="D1444" t="s">
        <v>19</v>
      </c>
      <c r="E1444" t="s">
        <v>16</v>
      </c>
      <c r="F1444" t="s">
        <v>12</v>
      </c>
      <c r="G1444" t="s">
        <v>12</v>
      </c>
      <c r="H1444" t="s">
        <v>13</v>
      </c>
      <c r="I1444">
        <v>56</v>
      </c>
      <c r="J1444">
        <f>ABS((I1444-EDA!$A$15)/EDA!$B$15)</f>
        <v>0.9894949339386423</v>
      </c>
      <c r="K1444" t="str">
        <f t="shared" si="22"/>
        <v>No</v>
      </c>
      <c r="L1444">
        <f>ABS((C1444-EDA!$F$15)/EDA!$G$15)</f>
        <v>0.11864985992033703</v>
      </c>
      <c r="M1444" t="str">
        <f>IF(moras[[#This Row],[Z-Score Salario]]&gt;1.96, "Sí", "No")</f>
        <v>No</v>
      </c>
      <c r="N1444" s="14">
        <f>IF(ISBLANK(moras[[#This Row],[SALARIO]]), EDA!$M$8, moras[[#This Row],[SALARIO]])</f>
        <v>29704499</v>
      </c>
      <c r="O1444" s="14">
        <f xml:space="preserve"> IF(ISBLANK(moras[[#This Row],[EDAD]]), EDA!$E$8, moras[[#This Row],[EDAD]])</f>
        <v>56</v>
      </c>
      <c r="P1444" s="14" t="str">
        <f>IF(
    OR(ISBLANK(moras[[#This Row],[TIPO_ASEGURAMIENTO]]), moras[[#This Row],[TIPO_ASEGURAMIENTO]]=""),
    EDA!$A$32,
    moras[[#This Row],[TIPO_ASEGURAMIENTO]]
)</f>
        <v>CONVENIOS ESPECIALES DE TRABAJADORES INDEPENDIENTES</v>
      </c>
    </row>
    <row r="1445" spans="1:16" x14ac:dyDescent="0.3">
      <c r="A1445">
        <v>1444</v>
      </c>
      <c r="B1445" t="s">
        <v>15</v>
      </c>
      <c r="C1445">
        <v>15911324</v>
      </c>
      <c r="D1445" t="s">
        <v>10</v>
      </c>
      <c r="E1445" t="s">
        <v>11</v>
      </c>
      <c r="F1445" t="s">
        <v>12</v>
      </c>
      <c r="G1445" t="s">
        <v>13</v>
      </c>
      <c r="H1445" t="s">
        <v>13</v>
      </c>
      <c r="I1445">
        <v>51</v>
      </c>
      <c r="J1445">
        <f>ABS((I1445-EDA!$A$15)/EDA!$B$15)</f>
        <v>0.6366182835529548</v>
      </c>
      <c r="K1445" t="str">
        <f t="shared" si="22"/>
        <v>No</v>
      </c>
      <c r="L1445">
        <f>ABS((C1445-EDA!$F$15)/EDA!$G$15)</f>
        <v>0.11087830885013326</v>
      </c>
      <c r="M1445" t="str">
        <f>IF(moras[[#This Row],[Z-Score Salario]]&gt;1.96, "Sí", "No")</f>
        <v>No</v>
      </c>
      <c r="N1445" s="14">
        <f>IF(ISBLANK(moras[[#This Row],[SALARIO]]), EDA!$M$8, moras[[#This Row],[SALARIO]])</f>
        <v>15911324</v>
      </c>
      <c r="O1445" s="14">
        <f xml:space="preserve"> IF(ISBLANK(moras[[#This Row],[EDAD]]), EDA!$E$8, moras[[#This Row],[EDAD]])</f>
        <v>51</v>
      </c>
      <c r="P1445" s="14" t="str">
        <f>IF(
    OR(ISBLANK(moras[[#This Row],[TIPO_ASEGURAMIENTO]]), moras[[#This Row],[TIPO_ASEGURAMIENTO]]=""),
    EDA!$A$32,
    moras[[#This Row],[TIPO_ASEGURAMIENTO]]
)</f>
        <v>ASALARIADO</v>
      </c>
    </row>
    <row r="1446" spans="1:16" x14ac:dyDescent="0.3">
      <c r="A1446">
        <v>1445</v>
      </c>
      <c r="B1446" t="s">
        <v>9</v>
      </c>
      <c r="C1446">
        <v>130000</v>
      </c>
      <c r="D1446" t="s">
        <v>10</v>
      </c>
      <c r="E1446" t="s">
        <v>16</v>
      </c>
      <c r="F1446" t="s">
        <v>12</v>
      </c>
      <c r="G1446" t="s">
        <v>12</v>
      </c>
      <c r="H1446" t="s">
        <v>13</v>
      </c>
      <c r="I1446">
        <v>40</v>
      </c>
      <c r="J1446">
        <f>ABS((I1446-EDA!$A$15)/EDA!$B$15)</f>
        <v>0.13971034729555773</v>
      </c>
      <c r="K1446" t="str">
        <f t="shared" si="22"/>
        <v>No</v>
      </c>
      <c r="L1446">
        <f>ABS((C1446-EDA!$F$15)/EDA!$G$15)</f>
        <v>0.37349068043923245</v>
      </c>
      <c r="M1446" t="str">
        <f>IF(moras[[#This Row],[Z-Score Salario]]&gt;1.96, "Sí", "No")</f>
        <v>No</v>
      </c>
      <c r="N1446" s="14">
        <f>IF(ISBLANK(moras[[#This Row],[SALARIO]]), EDA!$M$8, moras[[#This Row],[SALARIO]])</f>
        <v>130000</v>
      </c>
      <c r="O1446" s="14">
        <f xml:space="preserve"> IF(ISBLANK(moras[[#This Row],[EDAD]]), EDA!$E$8, moras[[#This Row],[EDAD]])</f>
        <v>40</v>
      </c>
      <c r="P1446" s="14" t="str">
        <f>IF(
    OR(ISBLANK(moras[[#This Row],[TIPO_ASEGURAMIENTO]]), moras[[#This Row],[TIPO_ASEGURAMIENTO]]=""),
    EDA!$A$32,
    moras[[#This Row],[TIPO_ASEGURAMIENTO]]
)</f>
        <v>ASALARIADO</v>
      </c>
    </row>
    <row r="1447" spans="1:16" x14ac:dyDescent="0.3">
      <c r="A1447">
        <v>1446</v>
      </c>
      <c r="B1447" t="s">
        <v>9</v>
      </c>
      <c r="C1447">
        <v>86819139</v>
      </c>
      <c r="D1447" t="s">
        <v>10</v>
      </c>
      <c r="E1447" t="s">
        <v>16</v>
      </c>
      <c r="F1447" t="s">
        <v>12</v>
      </c>
      <c r="G1447" t="s">
        <v>13</v>
      </c>
      <c r="H1447" t="s">
        <v>13</v>
      </c>
      <c r="I1447">
        <v>30</v>
      </c>
      <c r="J1447">
        <f>ABS((I1447-EDA!$A$15)/EDA!$B$15)</f>
        <v>0.84546364806693275</v>
      </c>
      <c r="K1447" t="str">
        <f t="shared" si="22"/>
        <v>No</v>
      </c>
      <c r="L1447">
        <f>ABS((C1447-EDA!$F$15)/EDA!$G$15)</f>
        <v>1.0690777874413504</v>
      </c>
      <c r="M1447" t="str">
        <f>IF(moras[[#This Row],[Z-Score Salario]]&gt;1.96, "Sí", "No")</f>
        <v>No</v>
      </c>
      <c r="N1447" s="14">
        <f>IF(ISBLANK(moras[[#This Row],[SALARIO]]), EDA!$M$8, moras[[#This Row],[SALARIO]])</f>
        <v>86819139</v>
      </c>
      <c r="O1447" s="14">
        <f xml:space="preserve"> IF(ISBLANK(moras[[#This Row],[EDAD]]), EDA!$E$8, moras[[#This Row],[EDAD]])</f>
        <v>30</v>
      </c>
      <c r="P1447" s="14" t="str">
        <f>IF(
    OR(ISBLANK(moras[[#This Row],[TIPO_ASEGURAMIENTO]]), moras[[#This Row],[TIPO_ASEGURAMIENTO]]=""),
    EDA!$A$32,
    moras[[#This Row],[TIPO_ASEGURAMIENTO]]
)</f>
        <v>ASALARIADO</v>
      </c>
    </row>
    <row r="1448" spans="1:16" x14ac:dyDescent="0.3">
      <c r="A1448">
        <v>1447</v>
      </c>
      <c r="B1448" t="s">
        <v>15</v>
      </c>
      <c r="C1448">
        <v>12231333</v>
      </c>
      <c r="D1448" t="s">
        <v>10</v>
      </c>
      <c r="E1448" t="s">
        <v>16</v>
      </c>
      <c r="F1448" t="s">
        <v>12</v>
      </c>
      <c r="G1448" t="s">
        <v>13</v>
      </c>
      <c r="H1448" t="s">
        <v>13</v>
      </c>
      <c r="I1448">
        <v>42</v>
      </c>
      <c r="J1448">
        <f>ABS((I1448-EDA!$A$15)/EDA!$B$15)</f>
        <v>1.4403128587172659E-3</v>
      </c>
      <c r="K1448" t="str">
        <f t="shared" si="22"/>
        <v>No</v>
      </c>
      <c r="L1448">
        <f>ABS((C1448-EDA!$F$15)/EDA!$G$15)</f>
        <v>0.17211595684066566</v>
      </c>
      <c r="M1448" t="str">
        <f>IF(moras[[#This Row],[Z-Score Salario]]&gt;1.96, "Sí", "No")</f>
        <v>No</v>
      </c>
      <c r="N1448" s="14">
        <f>IF(ISBLANK(moras[[#This Row],[SALARIO]]), EDA!$M$8, moras[[#This Row],[SALARIO]])</f>
        <v>12231333</v>
      </c>
      <c r="O1448" s="14">
        <f xml:space="preserve"> IF(ISBLANK(moras[[#This Row],[EDAD]]), EDA!$E$8, moras[[#This Row],[EDAD]])</f>
        <v>42</v>
      </c>
      <c r="P1448" s="14" t="str">
        <f>IF(
    OR(ISBLANK(moras[[#This Row],[TIPO_ASEGURAMIENTO]]), moras[[#This Row],[TIPO_ASEGURAMIENTO]]=""),
    EDA!$A$32,
    moras[[#This Row],[TIPO_ASEGURAMIENTO]]
)</f>
        <v>ASALARIADO</v>
      </c>
    </row>
    <row r="1449" spans="1:16" x14ac:dyDescent="0.3">
      <c r="A1449">
        <v>1448</v>
      </c>
      <c r="B1449" t="s">
        <v>9</v>
      </c>
      <c r="C1449">
        <v>337000</v>
      </c>
      <c r="D1449" t="s">
        <v>10</v>
      </c>
      <c r="E1449" t="s">
        <v>16</v>
      </c>
      <c r="F1449" t="s">
        <v>12</v>
      </c>
      <c r="G1449" t="s">
        <v>12</v>
      </c>
      <c r="H1449" t="s">
        <v>13</v>
      </c>
      <c r="I1449">
        <v>42</v>
      </c>
      <c r="J1449">
        <f>ABS((I1449-EDA!$A$15)/EDA!$B$15)</f>
        <v>1.4403128587172659E-3</v>
      </c>
      <c r="K1449" t="str">
        <f t="shared" si="22"/>
        <v>No</v>
      </c>
      <c r="L1449">
        <f>ABS((C1449-EDA!$F$15)/EDA!$G$15)</f>
        <v>0.37004605431540766</v>
      </c>
      <c r="M1449" t="str">
        <f>IF(moras[[#This Row],[Z-Score Salario]]&gt;1.96, "Sí", "No")</f>
        <v>No</v>
      </c>
      <c r="N1449" s="14">
        <f>IF(ISBLANK(moras[[#This Row],[SALARIO]]), EDA!$M$8, moras[[#This Row],[SALARIO]])</f>
        <v>337000</v>
      </c>
      <c r="O1449" s="14">
        <f xml:space="preserve"> IF(ISBLANK(moras[[#This Row],[EDAD]]), EDA!$E$8, moras[[#This Row],[EDAD]])</f>
        <v>42</v>
      </c>
      <c r="P1449" s="14" t="str">
        <f>IF(
    OR(ISBLANK(moras[[#This Row],[TIPO_ASEGURAMIENTO]]), moras[[#This Row],[TIPO_ASEGURAMIENTO]]=""),
    EDA!$A$32,
    moras[[#This Row],[TIPO_ASEGURAMIENTO]]
)</f>
        <v>ASALARIADO</v>
      </c>
    </row>
    <row r="1450" spans="1:16" x14ac:dyDescent="0.3">
      <c r="A1450">
        <v>1449</v>
      </c>
      <c r="B1450" t="s">
        <v>15</v>
      </c>
      <c r="C1450">
        <v>14481165</v>
      </c>
      <c r="D1450" t="s">
        <v>10</v>
      </c>
      <c r="E1450" t="s">
        <v>11</v>
      </c>
      <c r="F1450" t="s">
        <v>12</v>
      </c>
      <c r="G1450" t="s">
        <v>13</v>
      </c>
      <c r="H1450" t="s">
        <v>13</v>
      </c>
      <c r="I1450">
        <v>42</v>
      </c>
      <c r="J1450">
        <f>ABS((I1450-EDA!$A$15)/EDA!$B$15)</f>
        <v>1.4403128587172659E-3</v>
      </c>
      <c r="K1450" t="str">
        <f t="shared" si="22"/>
        <v>No</v>
      </c>
      <c r="L1450">
        <f>ABS((C1450-EDA!$F$15)/EDA!$G$15)</f>
        <v>0.13467716417681527</v>
      </c>
      <c r="M1450" t="str">
        <f>IF(moras[[#This Row],[Z-Score Salario]]&gt;1.96, "Sí", "No")</f>
        <v>No</v>
      </c>
      <c r="N1450" s="14">
        <f>IF(ISBLANK(moras[[#This Row],[SALARIO]]), EDA!$M$8, moras[[#This Row],[SALARIO]])</f>
        <v>14481165</v>
      </c>
      <c r="O1450" s="14">
        <f xml:space="preserve"> IF(ISBLANK(moras[[#This Row],[EDAD]]), EDA!$E$8, moras[[#This Row],[EDAD]])</f>
        <v>42</v>
      </c>
      <c r="P1450" s="14" t="str">
        <f>IF(
    OR(ISBLANK(moras[[#This Row],[TIPO_ASEGURAMIENTO]]), moras[[#This Row],[TIPO_ASEGURAMIENTO]]=""),
    EDA!$A$32,
    moras[[#This Row],[TIPO_ASEGURAMIENTO]]
)</f>
        <v>ASALARIADO</v>
      </c>
    </row>
    <row r="1451" spans="1:16" x14ac:dyDescent="0.3">
      <c r="A1451">
        <v>1450</v>
      </c>
      <c r="B1451" t="s">
        <v>15</v>
      </c>
      <c r="C1451">
        <v>327716</v>
      </c>
      <c r="D1451" t="s">
        <v>17</v>
      </c>
      <c r="E1451" t="s">
        <v>16</v>
      </c>
      <c r="F1451" t="s">
        <v>12</v>
      </c>
      <c r="G1451" t="s">
        <v>13</v>
      </c>
      <c r="H1451" t="s">
        <v>13</v>
      </c>
      <c r="I1451">
        <v>40</v>
      </c>
      <c r="J1451">
        <f>ABS((I1451-EDA!$A$15)/EDA!$B$15)</f>
        <v>0.13971034729555773</v>
      </c>
      <c r="K1451" t="str">
        <f t="shared" si="22"/>
        <v>No</v>
      </c>
      <c r="L1451">
        <f>ABS((C1451-EDA!$F$15)/EDA!$G$15)</f>
        <v>0.37020054662909652</v>
      </c>
      <c r="M1451" t="str">
        <f>IF(moras[[#This Row],[Z-Score Salario]]&gt;1.96, "Sí", "No")</f>
        <v>No</v>
      </c>
      <c r="N1451" s="14">
        <f>IF(ISBLANK(moras[[#This Row],[SALARIO]]), EDA!$M$8, moras[[#This Row],[SALARIO]])</f>
        <v>327716</v>
      </c>
      <c r="O1451" s="14">
        <f xml:space="preserve"> IF(ISBLANK(moras[[#This Row],[EDAD]]), EDA!$E$8, moras[[#This Row],[EDAD]])</f>
        <v>40</v>
      </c>
      <c r="P1451" s="14" t="str">
        <f>IF(
    OR(ISBLANK(moras[[#This Row],[TIPO_ASEGURAMIENTO]]), moras[[#This Row],[TIPO_ASEGURAMIENTO]]=""),
    EDA!$A$32,
    moras[[#This Row],[TIPO_ASEGURAMIENTO]]
)</f>
        <v>ASEGURADO VOLUNTARIO</v>
      </c>
    </row>
    <row r="1452" spans="1:16" x14ac:dyDescent="0.3">
      <c r="A1452">
        <v>1451</v>
      </c>
      <c r="B1452" t="s">
        <v>15</v>
      </c>
      <c r="C1452">
        <v>297044</v>
      </c>
      <c r="D1452" t="s">
        <v>21</v>
      </c>
      <c r="E1452" t="s">
        <v>16</v>
      </c>
      <c r="F1452" t="s">
        <v>12</v>
      </c>
      <c r="G1452" t="s">
        <v>13</v>
      </c>
      <c r="H1452" t="s">
        <v>13</v>
      </c>
      <c r="I1452">
        <v>27</v>
      </c>
      <c r="J1452">
        <f>ABS((I1452-EDA!$A$15)/EDA!$B$15)</f>
        <v>1.0571896382983452</v>
      </c>
      <c r="K1452" t="str">
        <f t="shared" si="22"/>
        <v>No</v>
      </c>
      <c r="L1452">
        <f>ABS((C1452-EDA!$F$15)/EDA!$G$15)</f>
        <v>0.3707109503608354</v>
      </c>
      <c r="M1452" t="str">
        <f>IF(moras[[#This Row],[Z-Score Salario]]&gt;1.96, "Sí", "No")</f>
        <v>No</v>
      </c>
      <c r="N1452" s="14">
        <f>IF(ISBLANK(moras[[#This Row],[SALARIO]]), EDA!$M$8, moras[[#This Row],[SALARIO]])</f>
        <v>297044</v>
      </c>
      <c r="O1452" s="14">
        <f xml:space="preserve"> IF(ISBLANK(moras[[#This Row],[EDAD]]), EDA!$E$8, moras[[#This Row],[EDAD]])</f>
        <v>27</v>
      </c>
      <c r="P1452" s="14" t="str">
        <f>IF(
    OR(ISBLANK(moras[[#This Row],[TIPO_ASEGURAMIENTO]]), moras[[#This Row],[TIPO_ASEGURAMIENTO]]=""),
    EDA!$A$32,
    moras[[#This Row],[TIPO_ASEGURAMIENTO]]
)</f>
        <v>CONVENIOS ESPECIALES DE ASEGURADOS VOLUNTARIOS</v>
      </c>
    </row>
    <row r="1453" spans="1:16" x14ac:dyDescent="0.3">
      <c r="A1453">
        <v>1452</v>
      </c>
      <c r="B1453" t="s">
        <v>9</v>
      </c>
      <c r="C1453">
        <v>278030</v>
      </c>
      <c r="D1453" t="s">
        <v>19</v>
      </c>
      <c r="E1453" t="s">
        <v>16</v>
      </c>
      <c r="F1453" t="s">
        <v>12</v>
      </c>
      <c r="G1453" t="s">
        <v>13</v>
      </c>
      <c r="H1453" t="s">
        <v>13</v>
      </c>
      <c r="I1453">
        <v>48</v>
      </c>
      <c r="J1453">
        <f>ABS((I1453-EDA!$A$15)/EDA!$B$15)</f>
        <v>0.42489229332154227</v>
      </c>
      <c r="K1453" t="str">
        <f t="shared" si="22"/>
        <v>No</v>
      </c>
      <c r="L1453">
        <f>ABS((C1453-EDA!$F$15)/EDA!$G$15)</f>
        <v>0.37102735674304993</v>
      </c>
      <c r="M1453" t="str">
        <f>IF(moras[[#This Row],[Z-Score Salario]]&gt;1.96, "Sí", "No")</f>
        <v>No</v>
      </c>
      <c r="N1453" s="14">
        <f>IF(ISBLANK(moras[[#This Row],[SALARIO]]), EDA!$M$8, moras[[#This Row],[SALARIO]])</f>
        <v>278030</v>
      </c>
      <c r="O1453" s="14">
        <f xml:space="preserve"> IF(ISBLANK(moras[[#This Row],[EDAD]]), EDA!$E$8, moras[[#This Row],[EDAD]])</f>
        <v>48</v>
      </c>
      <c r="P1453" s="14" t="str">
        <f>IF(
    OR(ISBLANK(moras[[#This Row],[TIPO_ASEGURAMIENTO]]), moras[[#This Row],[TIPO_ASEGURAMIENTO]]=""),
    EDA!$A$32,
    moras[[#This Row],[TIPO_ASEGURAMIENTO]]
)</f>
        <v>CONVENIOS ESPECIALES DE TRABAJADORES INDEPENDIENTES</v>
      </c>
    </row>
    <row r="1454" spans="1:16" x14ac:dyDescent="0.3">
      <c r="A1454">
        <v>1453</v>
      </c>
      <c r="B1454" t="s">
        <v>9</v>
      </c>
      <c r="C1454">
        <v>477915</v>
      </c>
      <c r="D1454" t="s">
        <v>10</v>
      </c>
      <c r="E1454" t="s">
        <v>11</v>
      </c>
      <c r="F1454" t="s">
        <v>12</v>
      </c>
      <c r="G1454" t="s">
        <v>13</v>
      </c>
      <c r="H1454" t="s">
        <v>13</v>
      </c>
      <c r="I1454">
        <v>21</v>
      </c>
      <c r="J1454">
        <f>ABS((I1454-EDA!$A$15)/EDA!$B$15)</f>
        <v>1.4806416187611704</v>
      </c>
      <c r="K1454" t="str">
        <f t="shared" si="22"/>
        <v>No</v>
      </c>
      <c r="L1454">
        <f>ABS((C1454-EDA!$F$15)/EDA!$G$15)</f>
        <v>0.36770112924179038</v>
      </c>
      <c r="M1454" t="str">
        <f>IF(moras[[#This Row],[Z-Score Salario]]&gt;1.96, "Sí", "No")</f>
        <v>No</v>
      </c>
      <c r="N1454" s="14">
        <f>IF(ISBLANK(moras[[#This Row],[SALARIO]]), EDA!$M$8, moras[[#This Row],[SALARIO]])</f>
        <v>477915</v>
      </c>
      <c r="O1454" s="14">
        <f xml:space="preserve"> IF(ISBLANK(moras[[#This Row],[EDAD]]), EDA!$E$8, moras[[#This Row],[EDAD]])</f>
        <v>21</v>
      </c>
      <c r="P1454" s="14" t="str">
        <f>IF(
    OR(ISBLANK(moras[[#This Row],[TIPO_ASEGURAMIENTO]]), moras[[#This Row],[TIPO_ASEGURAMIENTO]]=""),
    EDA!$A$32,
    moras[[#This Row],[TIPO_ASEGURAMIENTO]]
)</f>
        <v>ASALARIADO</v>
      </c>
    </row>
    <row r="1455" spans="1:16" x14ac:dyDescent="0.3">
      <c r="A1455">
        <v>1454</v>
      </c>
      <c r="B1455" t="s">
        <v>9</v>
      </c>
      <c r="C1455">
        <v>547209034</v>
      </c>
      <c r="D1455" t="s">
        <v>10</v>
      </c>
      <c r="E1455" t="s">
        <v>11</v>
      </c>
      <c r="F1455" t="s">
        <v>12</v>
      </c>
      <c r="G1455" t="s">
        <v>13</v>
      </c>
      <c r="H1455" t="s">
        <v>13</v>
      </c>
      <c r="I1455">
        <v>42</v>
      </c>
      <c r="J1455">
        <f>ABS((I1455-EDA!$A$15)/EDA!$B$15)</f>
        <v>1.4403128587172659E-3</v>
      </c>
      <c r="K1455" t="str">
        <f t="shared" si="22"/>
        <v>No</v>
      </c>
      <c r="L1455">
        <f>ABS((C1455-EDA!$F$15)/EDA!$G$15)</f>
        <v>8.7302906350836871</v>
      </c>
      <c r="M1455" t="str">
        <f>IF(moras[[#This Row],[Z-Score Salario]]&gt;1.96, "Sí", "No")</f>
        <v>Sí</v>
      </c>
      <c r="N1455" s="14">
        <f>IF(ISBLANK(moras[[#This Row],[SALARIO]]), EDA!$M$8, moras[[#This Row],[SALARIO]])</f>
        <v>547209034</v>
      </c>
      <c r="O1455" s="14">
        <f xml:space="preserve"> IF(ISBLANK(moras[[#This Row],[EDAD]]), EDA!$E$8, moras[[#This Row],[EDAD]])</f>
        <v>42</v>
      </c>
      <c r="P1455" s="14" t="str">
        <f>IF(
    OR(ISBLANK(moras[[#This Row],[TIPO_ASEGURAMIENTO]]), moras[[#This Row],[TIPO_ASEGURAMIENTO]]=""),
    EDA!$A$32,
    moras[[#This Row],[TIPO_ASEGURAMIENTO]]
)</f>
        <v>ASALARIADO</v>
      </c>
    </row>
    <row r="1456" spans="1:16" x14ac:dyDescent="0.3">
      <c r="A1456">
        <v>1455</v>
      </c>
      <c r="B1456" t="s">
        <v>15</v>
      </c>
      <c r="C1456">
        <v>19682239</v>
      </c>
      <c r="D1456" t="s">
        <v>14</v>
      </c>
      <c r="E1456" t="s">
        <v>11</v>
      </c>
      <c r="F1456" t="s">
        <v>12</v>
      </c>
      <c r="G1456" t="s">
        <v>13</v>
      </c>
      <c r="H1456" t="s">
        <v>13</v>
      </c>
      <c r="I1456">
        <v>94</v>
      </c>
      <c r="J1456">
        <f>ABS((I1456-EDA!$A$15)/EDA!$B$15)</f>
        <v>3.6713574768698676</v>
      </c>
      <c r="K1456" t="str">
        <f t="shared" si="22"/>
        <v>Sí</v>
      </c>
      <c r="L1456">
        <f>ABS((C1456-EDA!$F$15)/EDA!$G$15)</f>
        <v>4.8127621315240253E-2</v>
      </c>
      <c r="M1456" t="str">
        <f>IF(moras[[#This Row],[Z-Score Salario]]&gt;1.96, "Sí", "No")</f>
        <v>No</v>
      </c>
      <c r="N1456" s="14">
        <f>IF(ISBLANK(moras[[#This Row],[SALARIO]]), EDA!$M$8, moras[[#This Row],[SALARIO]])</f>
        <v>19682239</v>
      </c>
      <c r="O1456" s="14">
        <f xml:space="preserve"> IF(ISBLANK(moras[[#This Row],[EDAD]]), EDA!$E$8, moras[[#This Row],[EDAD]])</f>
        <v>94</v>
      </c>
      <c r="P1456" s="14" t="str">
        <f>IF(
    OR(ISBLANK(moras[[#This Row],[TIPO_ASEGURAMIENTO]]), moras[[#This Row],[TIPO_ASEGURAMIENTO]]=""),
    EDA!$A$32,
    moras[[#This Row],[TIPO_ASEGURAMIENTO]]
)</f>
        <v>PENSIONADOS EN SU PROPIO SISTEMA</v>
      </c>
    </row>
    <row r="1457" spans="1:16" x14ac:dyDescent="0.3">
      <c r="A1457">
        <v>1456</v>
      </c>
      <c r="B1457" t="s">
        <v>15</v>
      </c>
      <c r="C1457">
        <v>575000</v>
      </c>
      <c r="D1457" t="s">
        <v>10</v>
      </c>
      <c r="E1457" t="s">
        <v>16</v>
      </c>
      <c r="F1457" t="s">
        <v>12</v>
      </c>
      <c r="G1457" t="s">
        <v>13</v>
      </c>
      <c r="H1457" t="s">
        <v>12</v>
      </c>
      <c r="I1457">
        <v>32</v>
      </c>
      <c r="J1457">
        <f>ABS((I1457-EDA!$A$15)/EDA!$B$15)</f>
        <v>0.70431298791265773</v>
      </c>
      <c r="K1457" t="str">
        <f t="shared" si="22"/>
        <v>No</v>
      </c>
      <c r="L1457">
        <f>ABS((C1457-EDA!$F$15)/EDA!$G$15)</f>
        <v>0.36608556630830474</v>
      </c>
      <c r="M1457" t="str">
        <f>IF(moras[[#This Row],[Z-Score Salario]]&gt;1.96, "Sí", "No")</f>
        <v>No</v>
      </c>
      <c r="N1457" s="14">
        <f>IF(ISBLANK(moras[[#This Row],[SALARIO]]), EDA!$M$8, moras[[#This Row],[SALARIO]])</f>
        <v>575000</v>
      </c>
      <c r="O1457" s="14">
        <f xml:space="preserve"> IF(ISBLANK(moras[[#This Row],[EDAD]]), EDA!$E$8, moras[[#This Row],[EDAD]])</f>
        <v>32</v>
      </c>
      <c r="P1457" s="14" t="str">
        <f>IF(
    OR(ISBLANK(moras[[#This Row],[TIPO_ASEGURAMIENTO]]), moras[[#This Row],[TIPO_ASEGURAMIENTO]]=""),
    EDA!$A$32,
    moras[[#This Row],[TIPO_ASEGURAMIENTO]]
)</f>
        <v>ASALARIADO</v>
      </c>
    </row>
    <row r="1458" spans="1:16" x14ac:dyDescent="0.3">
      <c r="A1458">
        <v>1457</v>
      </c>
      <c r="B1458" t="s">
        <v>15</v>
      </c>
      <c r="C1458">
        <v>298957</v>
      </c>
      <c r="D1458" t="s">
        <v>17</v>
      </c>
      <c r="E1458" t="s">
        <v>16</v>
      </c>
      <c r="F1458" t="s">
        <v>12</v>
      </c>
      <c r="G1458" t="s">
        <v>13</v>
      </c>
      <c r="H1458" t="s">
        <v>13</v>
      </c>
      <c r="I1458">
        <v>32</v>
      </c>
      <c r="J1458">
        <f>ABS((I1458-EDA!$A$15)/EDA!$B$15)</f>
        <v>0.70431298791265773</v>
      </c>
      <c r="K1458" t="str">
        <f t="shared" si="22"/>
        <v>No</v>
      </c>
      <c r="L1458">
        <f>ABS((C1458-EDA!$F$15)/EDA!$G$15)</f>
        <v>0.37067911669042536</v>
      </c>
      <c r="M1458" t="str">
        <f>IF(moras[[#This Row],[Z-Score Salario]]&gt;1.96, "Sí", "No")</f>
        <v>No</v>
      </c>
      <c r="N1458" s="14">
        <f>IF(ISBLANK(moras[[#This Row],[SALARIO]]), EDA!$M$8, moras[[#This Row],[SALARIO]])</f>
        <v>298957</v>
      </c>
      <c r="O1458" s="14">
        <f xml:space="preserve"> IF(ISBLANK(moras[[#This Row],[EDAD]]), EDA!$E$8, moras[[#This Row],[EDAD]])</f>
        <v>32</v>
      </c>
      <c r="P1458" s="14" t="str">
        <f>IF(
    OR(ISBLANK(moras[[#This Row],[TIPO_ASEGURAMIENTO]]), moras[[#This Row],[TIPO_ASEGURAMIENTO]]=""),
    EDA!$A$32,
    moras[[#This Row],[TIPO_ASEGURAMIENTO]]
)</f>
        <v>ASEGURADO VOLUNTARIO</v>
      </c>
    </row>
    <row r="1459" spans="1:16" x14ac:dyDescent="0.3">
      <c r="A1459">
        <v>1458</v>
      </c>
      <c r="B1459" t="s">
        <v>15</v>
      </c>
      <c r="C1459">
        <v>752947</v>
      </c>
      <c r="D1459" t="s">
        <v>10</v>
      </c>
      <c r="E1459" t="s">
        <v>16</v>
      </c>
      <c r="F1459" t="s">
        <v>12</v>
      </c>
      <c r="G1459" t="s">
        <v>13</v>
      </c>
      <c r="H1459" t="s">
        <v>13</v>
      </c>
      <c r="I1459">
        <v>25</v>
      </c>
      <c r="J1459">
        <f>ABS((I1459-EDA!$A$15)/EDA!$B$15)</f>
        <v>1.1983402984526204</v>
      </c>
      <c r="K1459" t="str">
        <f t="shared" si="22"/>
        <v>No</v>
      </c>
      <c r="L1459">
        <f>ABS((C1459-EDA!$F$15)/EDA!$G$15)</f>
        <v>0.363124402613347</v>
      </c>
      <c r="M1459" t="str">
        <f>IF(moras[[#This Row],[Z-Score Salario]]&gt;1.96, "Sí", "No")</f>
        <v>No</v>
      </c>
      <c r="N1459" s="14">
        <f>IF(ISBLANK(moras[[#This Row],[SALARIO]]), EDA!$M$8, moras[[#This Row],[SALARIO]])</f>
        <v>752947</v>
      </c>
      <c r="O1459" s="14">
        <f xml:space="preserve"> IF(ISBLANK(moras[[#This Row],[EDAD]]), EDA!$E$8, moras[[#This Row],[EDAD]])</f>
        <v>25</v>
      </c>
      <c r="P1459" s="14" t="str">
        <f>IF(
    OR(ISBLANK(moras[[#This Row],[TIPO_ASEGURAMIENTO]]), moras[[#This Row],[TIPO_ASEGURAMIENTO]]=""),
    EDA!$A$32,
    moras[[#This Row],[TIPO_ASEGURAMIENTO]]
)</f>
        <v>ASALARIADO</v>
      </c>
    </row>
    <row r="1460" spans="1:16" x14ac:dyDescent="0.3">
      <c r="A1460">
        <v>1459</v>
      </c>
      <c r="B1460" t="s">
        <v>9</v>
      </c>
      <c r="C1460">
        <v>278030</v>
      </c>
      <c r="D1460" t="s">
        <v>19</v>
      </c>
      <c r="E1460" t="s">
        <v>16</v>
      </c>
      <c r="F1460" t="s">
        <v>12</v>
      </c>
      <c r="G1460" t="s">
        <v>13</v>
      </c>
      <c r="H1460" t="s">
        <v>13</v>
      </c>
      <c r="I1460">
        <v>61</v>
      </c>
      <c r="J1460">
        <f>ABS((I1460-EDA!$A$15)/EDA!$B$15)</f>
        <v>1.3423715843243298</v>
      </c>
      <c r="K1460" t="str">
        <f t="shared" si="22"/>
        <v>No</v>
      </c>
      <c r="L1460">
        <f>ABS((C1460-EDA!$F$15)/EDA!$G$15)</f>
        <v>0.37102735674304993</v>
      </c>
      <c r="M1460" t="str">
        <f>IF(moras[[#This Row],[Z-Score Salario]]&gt;1.96, "Sí", "No")</f>
        <v>No</v>
      </c>
      <c r="N1460" s="14">
        <f>IF(ISBLANK(moras[[#This Row],[SALARIO]]), EDA!$M$8, moras[[#This Row],[SALARIO]])</f>
        <v>278030</v>
      </c>
      <c r="O1460" s="14">
        <f xml:space="preserve"> IF(ISBLANK(moras[[#This Row],[EDAD]]), EDA!$E$8, moras[[#This Row],[EDAD]])</f>
        <v>61</v>
      </c>
      <c r="P1460" s="14" t="str">
        <f>IF(
    OR(ISBLANK(moras[[#This Row],[TIPO_ASEGURAMIENTO]]), moras[[#This Row],[TIPO_ASEGURAMIENTO]]=""),
    EDA!$A$32,
    moras[[#This Row],[TIPO_ASEGURAMIENTO]]
)</f>
        <v>CONVENIOS ESPECIALES DE TRABAJADORES INDEPENDIENTES</v>
      </c>
    </row>
    <row r="1461" spans="1:16" x14ac:dyDescent="0.3">
      <c r="A1461">
        <v>1460</v>
      </c>
      <c r="B1461" t="s">
        <v>15</v>
      </c>
      <c r="C1461">
        <v>27803099</v>
      </c>
      <c r="D1461" t="s">
        <v>19</v>
      </c>
      <c r="E1461" t="s">
        <v>16</v>
      </c>
      <c r="F1461" t="s">
        <v>12</v>
      </c>
      <c r="G1461" t="s">
        <v>13</v>
      </c>
      <c r="H1461" t="s">
        <v>13</v>
      </c>
      <c r="I1461">
        <v>34</v>
      </c>
      <c r="J1461">
        <f>ABS((I1461-EDA!$A$15)/EDA!$B$15)</f>
        <v>0.56316232775838282</v>
      </c>
      <c r="K1461" t="str">
        <f t="shared" si="22"/>
        <v>No</v>
      </c>
      <c r="L1461">
        <f>ABS((C1461-EDA!$F$15)/EDA!$G$15)</f>
        <v>8.7009221698885322E-2</v>
      </c>
      <c r="M1461" t="str">
        <f>IF(moras[[#This Row],[Z-Score Salario]]&gt;1.96, "Sí", "No")</f>
        <v>No</v>
      </c>
      <c r="N1461" s="14">
        <f>IF(ISBLANK(moras[[#This Row],[SALARIO]]), EDA!$M$8, moras[[#This Row],[SALARIO]])</f>
        <v>27803099</v>
      </c>
      <c r="O1461" s="14">
        <f xml:space="preserve"> IF(ISBLANK(moras[[#This Row],[EDAD]]), EDA!$E$8, moras[[#This Row],[EDAD]])</f>
        <v>34</v>
      </c>
      <c r="P1461" s="14" t="str">
        <f>IF(
    OR(ISBLANK(moras[[#This Row],[TIPO_ASEGURAMIENTO]]), moras[[#This Row],[TIPO_ASEGURAMIENTO]]=""),
    EDA!$A$32,
    moras[[#This Row],[TIPO_ASEGURAMIENTO]]
)</f>
        <v>CONVENIOS ESPECIALES DE TRABAJADORES INDEPENDIENTES</v>
      </c>
    </row>
    <row r="1462" spans="1:16" x14ac:dyDescent="0.3">
      <c r="A1462">
        <v>1461</v>
      </c>
      <c r="B1462" t="s">
        <v>15</v>
      </c>
      <c r="C1462">
        <v>79149902</v>
      </c>
      <c r="D1462" t="s">
        <v>10</v>
      </c>
      <c r="E1462" t="s">
        <v>16</v>
      </c>
      <c r="F1462" t="s">
        <v>12</v>
      </c>
      <c r="G1462" t="s">
        <v>13</v>
      </c>
      <c r="H1462" t="s">
        <v>13</v>
      </c>
      <c r="I1462">
        <v>29</v>
      </c>
      <c r="J1462">
        <f>ABS((I1462-EDA!$A$15)/EDA!$B$15)</f>
        <v>0.91603897814407031</v>
      </c>
      <c r="K1462" t="str">
        <f t="shared" si="22"/>
        <v>No</v>
      </c>
      <c r="L1462">
        <f>ABS((C1462-EDA!$F$15)/EDA!$G$15)</f>
        <v>0.94145626995340903</v>
      </c>
      <c r="M1462" t="str">
        <f>IF(moras[[#This Row],[Z-Score Salario]]&gt;1.96, "Sí", "No")</f>
        <v>No</v>
      </c>
      <c r="N1462" s="14">
        <f>IF(ISBLANK(moras[[#This Row],[SALARIO]]), EDA!$M$8, moras[[#This Row],[SALARIO]])</f>
        <v>79149902</v>
      </c>
      <c r="O1462" s="14">
        <f xml:space="preserve"> IF(ISBLANK(moras[[#This Row],[EDAD]]), EDA!$E$8, moras[[#This Row],[EDAD]])</f>
        <v>29</v>
      </c>
      <c r="P1462" s="14" t="str">
        <f>IF(
    OR(ISBLANK(moras[[#This Row],[TIPO_ASEGURAMIENTO]]), moras[[#This Row],[TIPO_ASEGURAMIENTO]]=""),
    EDA!$A$32,
    moras[[#This Row],[TIPO_ASEGURAMIENTO]]
)</f>
        <v>ASALARIADO</v>
      </c>
    </row>
    <row r="1463" spans="1:16" x14ac:dyDescent="0.3">
      <c r="A1463">
        <v>1462</v>
      </c>
      <c r="B1463" t="s">
        <v>9</v>
      </c>
      <c r="C1463">
        <v>371304</v>
      </c>
      <c r="D1463" t="s">
        <v>18</v>
      </c>
      <c r="E1463" t="s">
        <v>16</v>
      </c>
      <c r="F1463" t="s">
        <v>12</v>
      </c>
      <c r="G1463" t="s">
        <v>13</v>
      </c>
      <c r="H1463" t="s">
        <v>12</v>
      </c>
      <c r="I1463">
        <v>37</v>
      </c>
      <c r="J1463">
        <f>ABS((I1463-EDA!$A$15)/EDA!$B$15)</f>
        <v>0.35143633752697023</v>
      </c>
      <c r="K1463" t="str">
        <f t="shared" si="22"/>
        <v>No</v>
      </c>
      <c r="L1463">
        <f>ABS((C1463-EDA!$F$15)/EDA!$G$15)</f>
        <v>0.36947521153979562</v>
      </c>
      <c r="M1463" t="str">
        <f>IF(moras[[#This Row],[Z-Score Salario]]&gt;1.96, "Sí", "No")</f>
        <v>No</v>
      </c>
      <c r="N1463" s="14">
        <f>IF(ISBLANK(moras[[#This Row],[SALARIO]]), EDA!$M$8, moras[[#This Row],[SALARIO]])</f>
        <v>371304</v>
      </c>
      <c r="O1463" s="14">
        <f xml:space="preserve"> IF(ISBLANK(moras[[#This Row],[EDAD]]), EDA!$E$8, moras[[#This Row],[EDAD]])</f>
        <v>37</v>
      </c>
      <c r="P1463" s="14" t="str">
        <f>IF(
    OR(ISBLANK(moras[[#This Row],[TIPO_ASEGURAMIENTO]]), moras[[#This Row],[TIPO_ASEGURAMIENTO]]=""),
    EDA!$A$32,
    moras[[#This Row],[TIPO_ASEGURAMIENTO]]
)</f>
        <v>TRABAJADOR INDEPENDIENTE</v>
      </c>
    </row>
    <row r="1464" spans="1:16" x14ac:dyDescent="0.3">
      <c r="A1464">
        <v>1463</v>
      </c>
      <c r="B1464" t="s">
        <v>15</v>
      </c>
      <c r="C1464">
        <v>16118705</v>
      </c>
      <c r="D1464" t="s">
        <v>10</v>
      </c>
      <c r="E1464" t="s">
        <v>11</v>
      </c>
      <c r="F1464" t="s">
        <v>12</v>
      </c>
      <c r="G1464" t="s">
        <v>13</v>
      </c>
      <c r="H1464" t="s">
        <v>13</v>
      </c>
      <c r="I1464">
        <v>33</v>
      </c>
      <c r="J1464">
        <f>ABS((I1464-EDA!$A$15)/EDA!$B$15)</f>
        <v>0.63373765783552027</v>
      </c>
      <c r="K1464" t="str">
        <f t="shared" si="22"/>
        <v>No</v>
      </c>
      <c r="L1464">
        <f>ABS((C1464-EDA!$F$15)/EDA!$G$15)</f>
        <v>0.10742734261735591</v>
      </c>
      <c r="M1464" t="str">
        <f>IF(moras[[#This Row],[Z-Score Salario]]&gt;1.96, "Sí", "No")</f>
        <v>No</v>
      </c>
      <c r="N1464" s="14">
        <f>IF(ISBLANK(moras[[#This Row],[SALARIO]]), EDA!$M$8, moras[[#This Row],[SALARIO]])</f>
        <v>16118705</v>
      </c>
      <c r="O1464" s="14">
        <f xml:space="preserve"> IF(ISBLANK(moras[[#This Row],[EDAD]]), EDA!$E$8, moras[[#This Row],[EDAD]])</f>
        <v>33</v>
      </c>
      <c r="P1464" s="14" t="str">
        <f>IF(
    OR(ISBLANK(moras[[#This Row],[TIPO_ASEGURAMIENTO]]), moras[[#This Row],[TIPO_ASEGURAMIENTO]]=""),
    EDA!$A$32,
    moras[[#This Row],[TIPO_ASEGURAMIENTO]]
)</f>
        <v>ASALARIADO</v>
      </c>
    </row>
    <row r="1465" spans="1:16" x14ac:dyDescent="0.3">
      <c r="A1465">
        <v>1464</v>
      </c>
      <c r="B1465" t="s">
        <v>9</v>
      </c>
      <c r="C1465">
        <v>77194742</v>
      </c>
      <c r="D1465" t="s">
        <v>10</v>
      </c>
      <c r="E1465" t="s">
        <v>16</v>
      </c>
      <c r="F1465" t="s">
        <v>12</v>
      </c>
      <c r="G1465" t="s">
        <v>13</v>
      </c>
      <c r="H1465" t="s">
        <v>13</v>
      </c>
      <c r="I1465">
        <v>40</v>
      </c>
      <c r="J1465">
        <f>ABS((I1465-EDA!$A$15)/EDA!$B$15)</f>
        <v>0.13971034729555773</v>
      </c>
      <c r="K1465" t="str">
        <f t="shared" si="22"/>
        <v>No</v>
      </c>
      <c r="L1465">
        <f>ABS((C1465-EDA!$F$15)/EDA!$G$15)</f>
        <v>0.90892102738211766</v>
      </c>
      <c r="M1465" t="str">
        <f>IF(moras[[#This Row],[Z-Score Salario]]&gt;1.96, "Sí", "No")</f>
        <v>No</v>
      </c>
      <c r="N1465" s="14">
        <f>IF(ISBLANK(moras[[#This Row],[SALARIO]]), EDA!$M$8, moras[[#This Row],[SALARIO]])</f>
        <v>77194742</v>
      </c>
      <c r="O1465" s="14">
        <f xml:space="preserve"> IF(ISBLANK(moras[[#This Row],[EDAD]]), EDA!$E$8, moras[[#This Row],[EDAD]])</f>
        <v>40</v>
      </c>
      <c r="P1465" s="14" t="str">
        <f>IF(
    OR(ISBLANK(moras[[#This Row],[TIPO_ASEGURAMIENTO]]), moras[[#This Row],[TIPO_ASEGURAMIENTO]]=""),
    EDA!$A$32,
    moras[[#This Row],[TIPO_ASEGURAMIENTO]]
)</f>
        <v>ASALARIADO</v>
      </c>
    </row>
    <row r="1466" spans="1:16" x14ac:dyDescent="0.3">
      <c r="A1466">
        <v>1465</v>
      </c>
      <c r="B1466" t="s">
        <v>9</v>
      </c>
      <c r="C1466">
        <v>278030</v>
      </c>
      <c r="D1466" t="s">
        <v>19</v>
      </c>
      <c r="E1466" t="s">
        <v>16</v>
      </c>
      <c r="F1466" t="s">
        <v>12</v>
      </c>
      <c r="G1466" t="s">
        <v>13</v>
      </c>
      <c r="H1466" t="s">
        <v>13</v>
      </c>
      <c r="I1466">
        <v>53</v>
      </c>
      <c r="J1466">
        <f>ABS((I1466-EDA!$A$15)/EDA!$B$15)</f>
        <v>0.77776894370722982</v>
      </c>
      <c r="K1466" t="str">
        <f t="shared" si="22"/>
        <v>No</v>
      </c>
      <c r="L1466">
        <f>ABS((C1466-EDA!$F$15)/EDA!$G$15)</f>
        <v>0.37102735674304993</v>
      </c>
      <c r="M1466" t="str">
        <f>IF(moras[[#This Row],[Z-Score Salario]]&gt;1.96, "Sí", "No")</f>
        <v>No</v>
      </c>
      <c r="N1466" s="14">
        <f>IF(ISBLANK(moras[[#This Row],[SALARIO]]), EDA!$M$8, moras[[#This Row],[SALARIO]])</f>
        <v>278030</v>
      </c>
      <c r="O1466" s="14">
        <f xml:space="preserve"> IF(ISBLANK(moras[[#This Row],[EDAD]]), EDA!$E$8, moras[[#This Row],[EDAD]])</f>
        <v>53</v>
      </c>
      <c r="P1466" s="14" t="str">
        <f>IF(
    OR(ISBLANK(moras[[#This Row],[TIPO_ASEGURAMIENTO]]), moras[[#This Row],[TIPO_ASEGURAMIENTO]]=""),
    EDA!$A$32,
    moras[[#This Row],[TIPO_ASEGURAMIENTO]]
)</f>
        <v>CONVENIOS ESPECIALES DE TRABAJADORES INDEPENDIENTES</v>
      </c>
    </row>
    <row r="1467" spans="1:16" x14ac:dyDescent="0.3">
      <c r="A1467">
        <v>1466</v>
      </c>
      <c r="B1467" t="s">
        <v>15</v>
      </c>
      <c r="C1467">
        <v>13580255</v>
      </c>
      <c r="D1467" t="s">
        <v>10</v>
      </c>
      <c r="E1467" t="s">
        <v>11</v>
      </c>
      <c r="F1467" t="s">
        <v>12</v>
      </c>
      <c r="G1467" t="s">
        <v>13</v>
      </c>
      <c r="H1467" t="s">
        <v>13</v>
      </c>
      <c r="I1467">
        <v>32</v>
      </c>
      <c r="J1467">
        <f>ABS((I1467-EDA!$A$15)/EDA!$B$15)</f>
        <v>0.70431298791265773</v>
      </c>
      <c r="K1467" t="str">
        <f t="shared" si="22"/>
        <v>No</v>
      </c>
      <c r="L1467">
        <f>ABS((C1467-EDA!$F$15)/EDA!$G$15)</f>
        <v>0.14966894254017282</v>
      </c>
      <c r="M1467" t="str">
        <f>IF(moras[[#This Row],[Z-Score Salario]]&gt;1.96, "Sí", "No")</f>
        <v>No</v>
      </c>
      <c r="N1467" s="14">
        <f>IF(ISBLANK(moras[[#This Row],[SALARIO]]), EDA!$M$8, moras[[#This Row],[SALARIO]])</f>
        <v>13580255</v>
      </c>
      <c r="O1467" s="14">
        <f xml:space="preserve"> IF(ISBLANK(moras[[#This Row],[EDAD]]), EDA!$E$8, moras[[#This Row],[EDAD]])</f>
        <v>32</v>
      </c>
      <c r="P1467" s="14" t="str">
        <f>IF(
    OR(ISBLANK(moras[[#This Row],[TIPO_ASEGURAMIENTO]]), moras[[#This Row],[TIPO_ASEGURAMIENTO]]=""),
    EDA!$A$32,
    moras[[#This Row],[TIPO_ASEGURAMIENTO]]
)</f>
        <v>ASALARIADO</v>
      </c>
    </row>
    <row r="1468" spans="1:16" x14ac:dyDescent="0.3">
      <c r="A1468">
        <v>1467</v>
      </c>
      <c r="B1468" t="s">
        <v>9</v>
      </c>
      <c r="C1468">
        <v>104970032</v>
      </c>
      <c r="D1468" t="s">
        <v>10</v>
      </c>
      <c r="E1468" t="s">
        <v>16</v>
      </c>
      <c r="F1468" t="s">
        <v>12</v>
      </c>
      <c r="G1468" t="s">
        <v>13</v>
      </c>
      <c r="H1468" t="s">
        <v>13</v>
      </c>
      <c r="I1468">
        <v>37</v>
      </c>
      <c r="J1468">
        <f>ABS((I1468-EDA!$A$15)/EDA!$B$15)</f>
        <v>0.35143633752697023</v>
      </c>
      <c r="K1468" t="str">
        <f t="shared" si="22"/>
        <v>No</v>
      </c>
      <c r="L1468">
        <f>ABS((C1468-EDA!$F$15)/EDA!$G$15)</f>
        <v>1.3711214598981087</v>
      </c>
      <c r="M1468" t="str">
        <f>IF(moras[[#This Row],[Z-Score Salario]]&gt;1.96, "Sí", "No")</f>
        <v>No</v>
      </c>
      <c r="N1468" s="14">
        <f>IF(ISBLANK(moras[[#This Row],[SALARIO]]), EDA!$M$8, moras[[#This Row],[SALARIO]])</f>
        <v>104970032</v>
      </c>
      <c r="O1468" s="14">
        <f xml:space="preserve"> IF(ISBLANK(moras[[#This Row],[EDAD]]), EDA!$E$8, moras[[#This Row],[EDAD]])</f>
        <v>37</v>
      </c>
      <c r="P1468" s="14" t="str">
        <f>IF(
    OR(ISBLANK(moras[[#This Row],[TIPO_ASEGURAMIENTO]]), moras[[#This Row],[TIPO_ASEGURAMIENTO]]=""),
    EDA!$A$32,
    moras[[#This Row],[TIPO_ASEGURAMIENTO]]
)</f>
        <v>ASALARIADO</v>
      </c>
    </row>
    <row r="1469" spans="1:16" x14ac:dyDescent="0.3">
      <c r="A1469">
        <v>1468</v>
      </c>
      <c r="B1469" t="s">
        <v>9</v>
      </c>
      <c r="C1469">
        <v>311173</v>
      </c>
      <c r="D1469" t="s">
        <v>18</v>
      </c>
      <c r="E1469" t="s">
        <v>16</v>
      </c>
      <c r="F1469" t="s">
        <v>12</v>
      </c>
      <c r="G1469" t="s">
        <v>13</v>
      </c>
      <c r="H1469" t="s">
        <v>12</v>
      </c>
      <c r="I1469">
        <v>33</v>
      </c>
      <c r="J1469">
        <f>ABS((I1469-EDA!$A$15)/EDA!$B$15)</f>
        <v>0.63373765783552027</v>
      </c>
      <c r="K1469" t="str">
        <f t="shared" si="22"/>
        <v>No</v>
      </c>
      <c r="L1469">
        <f>ABS((C1469-EDA!$F$15)/EDA!$G$15)</f>
        <v>0.370475833827002</v>
      </c>
      <c r="M1469" t="str">
        <f>IF(moras[[#This Row],[Z-Score Salario]]&gt;1.96, "Sí", "No")</f>
        <v>No</v>
      </c>
      <c r="N1469" s="14">
        <f>IF(ISBLANK(moras[[#This Row],[SALARIO]]), EDA!$M$8, moras[[#This Row],[SALARIO]])</f>
        <v>311173</v>
      </c>
      <c r="O1469" s="14">
        <f xml:space="preserve"> IF(ISBLANK(moras[[#This Row],[EDAD]]), EDA!$E$8, moras[[#This Row],[EDAD]])</f>
        <v>33</v>
      </c>
      <c r="P1469" s="14" t="str">
        <f>IF(
    OR(ISBLANK(moras[[#This Row],[TIPO_ASEGURAMIENTO]]), moras[[#This Row],[TIPO_ASEGURAMIENTO]]=""),
    EDA!$A$32,
    moras[[#This Row],[TIPO_ASEGURAMIENTO]]
)</f>
        <v>TRABAJADOR INDEPENDIENTE</v>
      </c>
    </row>
    <row r="1470" spans="1:16" x14ac:dyDescent="0.3">
      <c r="A1470">
        <v>1469</v>
      </c>
      <c r="B1470" t="s">
        <v>9</v>
      </c>
      <c r="C1470">
        <v>266800</v>
      </c>
      <c r="D1470" t="s">
        <v>10</v>
      </c>
      <c r="E1470" t="s">
        <v>16</v>
      </c>
      <c r="F1470" t="s">
        <v>12</v>
      </c>
      <c r="G1470" t="s">
        <v>13</v>
      </c>
      <c r="H1470" t="s">
        <v>13</v>
      </c>
      <c r="I1470">
        <v>44</v>
      </c>
      <c r="J1470">
        <f>ABS((I1470-EDA!$A$15)/EDA!$B$15)</f>
        <v>0.14259097301299228</v>
      </c>
      <c r="K1470" t="str">
        <f t="shared" si="22"/>
        <v>No</v>
      </c>
      <c r="L1470">
        <f>ABS((C1470-EDA!$F$15)/EDA!$G$15)</f>
        <v>0.37121423187044389</v>
      </c>
      <c r="M1470" t="str">
        <f>IF(moras[[#This Row],[Z-Score Salario]]&gt;1.96, "Sí", "No")</f>
        <v>No</v>
      </c>
      <c r="N1470" s="14">
        <f>IF(ISBLANK(moras[[#This Row],[SALARIO]]), EDA!$M$8, moras[[#This Row],[SALARIO]])</f>
        <v>266800</v>
      </c>
      <c r="O1470" s="14">
        <f xml:space="preserve"> IF(ISBLANK(moras[[#This Row],[EDAD]]), EDA!$E$8, moras[[#This Row],[EDAD]])</f>
        <v>44</v>
      </c>
      <c r="P1470" s="14" t="str">
        <f>IF(
    OR(ISBLANK(moras[[#This Row],[TIPO_ASEGURAMIENTO]]), moras[[#This Row],[TIPO_ASEGURAMIENTO]]=""),
    EDA!$A$32,
    moras[[#This Row],[TIPO_ASEGURAMIENTO]]
)</f>
        <v>ASALARIADO</v>
      </c>
    </row>
    <row r="1471" spans="1:16" x14ac:dyDescent="0.3">
      <c r="A1471">
        <v>1470</v>
      </c>
      <c r="B1471" t="s">
        <v>9</v>
      </c>
      <c r="C1471">
        <v>196925</v>
      </c>
      <c r="D1471" t="s">
        <v>10</v>
      </c>
      <c r="E1471" t="s">
        <v>16</v>
      </c>
      <c r="F1471" t="s">
        <v>12</v>
      </c>
      <c r="G1471" t="s">
        <v>13</v>
      </c>
      <c r="H1471" t="s">
        <v>12</v>
      </c>
      <c r="I1471">
        <v>22</v>
      </c>
      <c r="J1471">
        <f>ABS((I1471-EDA!$A$15)/EDA!$B$15)</f>
        <v>1.4100662886840327</v>
      </c>
      <c r="K1471" t="str">
        <f t="shared" si="22"/>
        <v>No</v>
      </c>
      <c r="L1471">
        <f>ABS((C1471-EDA!$F$15)/EDA!$G$15)</f>
        <v>0.37237700119605865</v>
      </c>
      <c r="M1471" t="str">
        <f>IF(moras[[#This Row],[Z-Score Salario]]&gt;1.96, "Sí", "No")</f>
        <v>No</v>
      </c>
      <c r="N1471" s="14">
        <f>IF(ISBLANK(moras[[#This Row],[SALARIO]]), EDA!$M$8, moras[[#This Row],[SALARIO]])</f>
        <v>196925</v>
      </c>
      <c r="O1471" s="14">
        <f xml:space="preserve"> IF(ISBLANK(moras[[#This Row],[EDAD]]), EDA!$E$8, moras[[#This Row],[EDAD]])</f>
        <v>22</v>
      </c>
      <c r="P1471" s="14" t="str">
        <f>IF(
    OR(ISBLANK(moras[[#This Row],[TIPO_ASEGURAMIENTO]]), moras[[#This Row],[TIPO_ASEGURAMIENTO]]=""),
    EDA!$A$32,
    moras[[#This Row],[TIPO_ASEGURAMIENTO]]
)</f>
        <v>ASALARIADO</v>
      </c>
    </row>
    <row r="1472" spans="1:16" x14ac:dyDescent="0.3">
      <c r="A1472">
        <v>1471</v>
      </c>
      <c r="B1472" t="s">
        <v>9</v>
      </c>
      <c r="C1472">
        <v>342027</v>
      </c>
      <c r="D1472" t="s">
        <v>10</v>
      </c>
      <c r="E1472" t="s">
        <v>16</v>
      </c>
      <c r="F1472" t="s">
        <v>12</v>
      </c>
      <c r="G1472" t="s">
        <v>12</v>
      </c>
      <c r="H1472" t="s">
        <v>13</v>
      </c>
      <c r="I1472">
        <v>61</v>
      </c>
      <c r="J1472">
        <f>ABS((I1472-EDA!$A$15)/EDA!$B$15)</f>
        <v>1.3423715843243298</v>
      </c>
      <c r="K1472" t="str">
        <f t="shared" si="22"/>
        <v>No</v>
      </c>
      <c r="L1472">
        <f>ABS((C1472-EDA!$F$15)/EDA!$G$15)</f>
        <v>0.36996240148678705</v>
      </c>
      <c r="M1472" t="str">
        <f>IF(moras[[#This Row],[Z-Score Salario]]&gt;1.96, "Sí", "No")</f>
        <v>No</v>
      </c>
      <c r="N1472" s="14">
        <f>IF(ISBLANK(moras[[#This Row],[SALARIO]]), EDA!$M$8, moras[[#This Row],[SALARIO]])</f>
        <v>342027</v>
      </c>
      <c r="O1472" s="14">
        <f xml:space="preserve"> IF(ISBLANK(moras[[#This Row],[EDAD]]), EDA!$E$8, moras[[#This Row],[EDAD]])</f>
        <v>61</v>
      </c>
      <c r="P1472" s="14" t="str">
        <f>IF(
    OR(ISBLANK(moras[[#This Row],[TIPO_ASEGURAMIENTO]]), moras[[#This Row],[TIPO_ASEGURAMIENTO]]=""),
    EDA!$A$32,
    moras[[#This Row],[TIPO_ASEGURAMIENTO]]
)</f>
        <v>ASALARIADO</v>
      </c>
    </row>
    <row r="1473" spans="1:16" x14ac:dyDescent="0.3">
      <c r="A1473">
        <v>1472</v>
      </c>
      <c r="B1473" t="s">
        <v>15</v>
      </c>
      <c r="C1473">
        <v>1104062</v>
      </c>
      <c r="D1473" t="s">
        <v>14</v>
      </c>
      <c r="E1473" t="s">
        <v>11</v>
      </c>
      <c r="F1473" t="s">
        <v>12</v>
      </c>
      <c r="G1473" t="s">
        <v>13</v>
      </c>
      <c r="H1473" t="s">
        <v>13</v>
      </c>
      <c r="I1473">
        <v>91</v>
      </c>
      <c r="J1473">
        <f>ABS((I1473-EDA!$A$15)/EDA!$B$15)</f>
        <v>3.4596314866384548</v>
      </c>
      <c r="K1473" t="str">
        <f t="shared" si="22"/>
        <v>Sí</v>
      </c>
      <c r="L1473">
        <f>ABS((C1473-EDA!$F$15)/EDA!$G$15)</f>
        <v>0.35728160115698587</v>
      </c>
      <c r="M1473" t="str">
        <f>IF(moras[[#This Row],[Z-Score Salario]]&gt;1.96, "Sí", "No")</f>
        <v>No</v>
      </c>
      <c r="N1473" s="14">
        <f>IF(ISBLANK(moras[[#This Row],[SALARIO]]), EDA!$M$8, moras[[#This Row],[SALARIO]])</f>
        <v>1104062</v>
      </c>
      <c r="O1473" s="14">
        <f xml:space="preserve"> IF(ISBLANK(moras[[#This Row],[EDAD]]), EDA!$E$8, moras[[#This Row],[EDAD]])</f>
        <v>91</v>
      </c>
      <c r="P1473" s="14" t="str">
        <f>IF(
    OR(ISBLANK(moras[[#This Row],[TIPO_ASEGURAMIENTO]]), moras[[#This Row],[TIPO_ASEGURAMIENTO]]=""),
    EDA!$A$32,
    moras[[#This Row],[TIPO_ASEGURAMIENTO]]
)</f>
        <v>PENSIONADOS EN SU PROPIO SISTEMA</v>
      </c>
    </row>
    <row r="1474" spans="1:16" x14ac:dyDescent="0.3">
      <c r="A1474">
        <v>1473</v>
      </c>
      <c r="B1474" t="s">
        <v>9</v>
      </c>
      <c r="C1474">
        <v>155880</v>
      </c>
      <c r="D1474" t="s">
        <v>10</v>
      </c>
      <c r="E1474" t="s">
        <v>16</v>
      </c>
      <c r="F1474" t="s">
        <v>12</v>
      </c>
      <c r="G1474" t="s">
        <v>13</v>
      </c>
      <c r="H1474" t="s">
        <v>13</v>
      </c>
      <c r="I1474">
        <v>36</v>
      </c>
      <c r="J1474">
        <f>ABS((I1474-EDA!$A$15)/EDA!$B$15)</f>
        <v>0.42201166760410774</v>
      </c>
      <c r="K1474" t="str">
        <f t="shared" ref="K1474:K1537" si="23">IF(J1474 &gt;  1.96, "Sí","No")</f>
        <v>No</v>
      </c>
      <c r="L1474">
        <f>ABS((C1474-EDA!$F$15)/EDA!$G$15)</f>
        <v>0.37306001897022478</v>
      </c>
      <c r="M1474" t="str">
        <f>IF(moras[[#This Row],[Z-Score Salario]]&gt;1.96, "Sí", "No")</f>
        <v>No</v>
      </c>
      <c r="N1474" s="14">
        <f>IF(ISBLANK(moras[[#This Row],[SALARIO]]), EDA!$M$8, moras[[#This Row],[SALARIO]])</f>
        <v>155880</v>
      </c>
      <c r="O1474" s="14">
        <f xml:space="preserve"> IF(ISBLANK(moras[[#This Row],[EDAD]]), EDA!$E$8, moras[[#This Row],[EDAD]])</f>
        <v>36</v>
      </c>
      <c r="P1474" s="14" t="str">
        <f>IF(
    OR(ISBLANK(moras[[#This Row],[TIPO_ASEGURAMIENTO]]), moras[[#This Row],[TIPO_ASEGURAMIENTO]]=""),
    EDA!$A$32,
    moras[[#This Row],[TIPO_ASEGURAMIENTO]]
)</f>
        <v>ASALARIADO</v>
      </c>
    </row>
    <row r="1475" spans="1:16" x14ac:dyDescent="0.3">
      <c r="A1475">
        <v>1474</v>
      </c>
      <c r="B1475" t="s">
        <v>9</v>
      </c>
      <c r="C1475">
        <v>297046</v>
      </c>
      <c r="D1475" t="s">
        <v>17</v>
      </c>
      <c r="E1475" t="s">
        <v>16</v>
      </c>
      <c r="F1475" t="s">
        <v>12</v>
      </c>
      <c r="G1475" t="s">
        <v>13</v>
      </c>
      <c r="H1475" t="s">
        <v>13</v>
      </c>
      <c r="I1475">
        <v>51</v>
      </c>
      <c r="J1475">
        <f>ABS((I1475-EDA!$A$15)/EDA!$B$15)</f>
        <v>0.6366182835529548</v>
      </c>
      <c r="K1475" t="str">
        <f t="shared" si="23"/>
        <v>No</v>
      </c>
      <c r="L1475">
        <f>ABS((C1475-EDA!$F$15)/EDA!$G$15)</f>
        <v>0.37071091707942361</v>
      </c>
      <c r="M1475" t="str">
        <f>IF(moras[[#This Row],[Z-Score Salario]]&gt;1.96, "Sí", "No")</f>
        <v>No</v>
      </c>
      <c r="N1475" s="14">
        <f>IF(ISBLANK(moras[[#This Row],[SALARIO]]), EDA!$M$8, moras[[#This Row],[SALARIO]])</f>
        <v>297046</v>
      </c>
      <c r="O1475" s="14">
        <f xml:space="preserve"> IF(ISBLANK(moras[[#This Row],[EDAD]]), EDA!$E$8, moras[[#This Row],[EDAD]])</f>
        <v>51</v>
      </c>
      <c r="P1475" s="14" t="str">
        <f>IF(
    OR(ISBLANK(moras[[#This Row],[TIPO_ASEGURAMIENTO]]), moras[[#This Row],[TIPO_ASEGURAMIENTO]]=""),
    EDA!$A$32,
    moras[[#This Row],[TIPO_ASEGURAMIENTO]]
)</f>
        <v>ASEGURADO VOLUNTARIO</v>
      </c>
    </row>
    <row r="1476" spans="1:16" x14ac:dyDescent="0.3">
      <c r="A1476">
        <v>1475</v>
      </c>
      <c r="B1476" t="s">
        <v>9</v>
      </c>
      <c r="C1476">
        <v>338166</v>
      </c>
      <c r="D1476" t="s">
        <v>18</v>
      </c>
      <c r="E1476" t="s">
        <v>16</v>
      </c>
      <c r="F1476" t="s">
        <v>12</v>
      </c>
      <c r="G1476" t="s">
        <v>13</v>
      </c>
      <c r="H1476" t="s">
        <v>13</v>
      </c>
      <c r="I1476">
        <v>56</v>
      </c>
      <c r="J1476">
        <f>ABS((I1476-EDA!$A$15)/EDA!$B$15)</f>
        <v>0.9894949339386423</v>
      </c>
      <c r="K1476" t="str">
        <f t="shared" si="23"/>
        <v>No</v>
      </c>
      <c r="L1476">
        <f>ABS((C1476-EDA!$F$15)/EDA!$G$15)</f>
        <v>0.37002665125231404</v>
      </c>
      <c r="M1476" t="str">
        <f>IF(moras[[#This Row],[Z-Score Salario]]&gt;1.96, "Sí", "No")</f>
        <v>No</v>
      </c>
      <c r="N1476" s="14">
        <f>IF(ISBLANK(moras[[#This Row],[SALARIO]]), EDA!$M$8, moras[[#This Row],[SALARIO]])</f>
        <v>338166</v>
      </c>
      <c r="O1476" s="14">
        <f xml:space="preserve"> IF(ISBLANK(moras[[#This Row],[EDAD]]), EDA!$E$8, moras[[#This Row],[EDAD]])</f>
        <v>56</v>
      </c>
      <c r="P1476" s="14" t="str">
        <f>IF(
    OR(ISBLANK(moras[[#This Row],[TIPO_ASEGURAMIENTO]]), moras[[#This Row],[TIPO_ASEGURAMIENTO]]=""),
    EDA!$A$32,
    moras[[#This Row],[TIPO_ASEGURAMIENTO]]
)</f>
        <v>TRABAJADOR INDEPENDIENTE</v>
      </c>
    </row>
    <row r="1477" spans="1:16" x14ac:dyDescent="0.3">
      <c r="A1477">
        <v>1476</v>
      </c>
      <c r="B1477" t="s">
        <v>9</v>
      </c>
      <c r="C1477">
        <v>650000</v>
      </c>
      <c r="D1477" t="s">
        <v>10</v>
      </c>
      <c r="E1477" t="s">
        <v>16</v>
      </c>
      <c r="F1477" t="s">
        <v>12</v>
      </c>
      <c r="G1477" t="s">
        <v>13</v>
      </c>
      <c r="H1477" t="s">
        <v>12</v>
      </c>
      <c r="I1477">
        <v>31</v>
      </c>
      <c r="J1477">
        <f>ABS((I1477-EDA!$A$15)/EDA!$B$15)</f>
        <v>0.77488831798979529</v>
      </c>
      <c r="K1477" t="str">
        <f t="shared" si="23"/>
        <v>No</v>
      </c>
      <c r="L1477">
        <f>ABS((C1477-EDA!$F$15)/EDA!$G$15)</f>
        <v>0.36483751336488995</v>
      </c>
      <c r="M1477" t="str">
        <f>IF(moras[[#This Row],[Z-Score Salario]]&gt;1.96, "Sí", "No")</f>
        <v>No</v>
      </c>
      <c r="N1477" s="14">
        <f>IF(ISBLANK(moras[[#This Row],[SALARIO]]), EDA!$M$8, moras[[#This Row],[SALARIO]])</f>
        <v>650000</v>
      </c>
      <c r="O1477" s="14">
        <f xml:space="preserve"> IF(ISBLANK(moras[[#This Row],[EDAD]]), EDA!$E$8, moras[[#This Row],[EDAD]])</f>
        <v>31</v>
      </c>
      <c r="P1477" s="14" t="str">
        <f>IF(
    OR(ISBLANK(moras[[#This Row],[TIPO_ASEGURAMIENTO]]), moras[[#This Row],[TIPO_ASEGURAMIENTO]]=""),
    EDA!$A$32,
    moras[[#This Row],[TIPO_ASEGURAMIENTO]]
)</f>
        <v>ASALARIADO</v>
      </c>
    </row>
    <row r="1478" spans="1:16" x14ac:dyDescent="0.3">
      <c r="A1478">
        <v>1477</v>
      </c>
      <c r="B1478" t="s">
        <v>9</v>
      </c>
      <c r="C1478">
        <v>49063883</v>
      </c>
      <c r="D1478" t="s">
        <v>10</v>
      </c>
      <c r="E1478" t="s">
        <v>11</v>
      </c>
      <c r="F1478" t="s">
        <v>12</v>
      </c>
      <c r="G1478" t="s">
        <v>13</v>
      </c>
      <c r="H1478" t="s">
        <v>13</v>
      </c>
      <c r="I1478">
        <v>55</v>
      </c>
      <c r="J1478">
        <f>ABS((I1478-EDA!$A$15)/EDA!$B$15)</f>
        <v>0.91891960386150484</v>
      </c>
      <c r="K1478" t="str">
        <f t="shared" si="23"/>
        <v>No</v>
      </c>
      <c r="L1478">
        <f>ABS((C1478-EDA!$F$15)/EDA!$G$15)</f>
        <v>0.44080367570563245</v>
      </c>
      <c r="M1478" t="str">
        <f>IF(moras[[#This Row],[Z-Score Salario]]&gt;1.96, "Sí", "No")</f>
        <v>No</v>
      </c>
      <c r="N1478" s="14">
        <f>IF(ISBLANK(moras[[#This Row],[SALARIO]]), EDA!$M$8, moras[[#This Row],[SALARIO]])</f>
        <v>49063883</v>
      </c>
      <c r="O1478" s="14">
        <f xml:space="preserve"> IF(ISBLANK(moras[[#This Row],[EDAD]]), EDA!$E$8, moras[[#This Row],[EDAD]])</f>
        <v>55</v>
      </c>
      <c r="P1478" s="14" t="str">
        <f>IF(
    OR(ISBLANK(moras[[#This Row],[TIPO_ASEGURAMIENTO]]), moras[[#This Row],[TIPO_ASEGURAMIENTO]]=""),
    EDA!$A$32,
    moras[[#This Row],[TIPO_ASEGURAMIENTO]]
)</f>
        <v>ASALARIADO</v>
      </c>
    </row>
    <row r="1479" spans="1:16" x14ac:dyDescent="0.3">
      <c r="A1479">
        <v>1478</v>
      </c>
      <c r="B1479" t="s">
        <v>15</v>
      </c>
      <c r="C1479">
        <v>432363</v>
      </c>
      <c r="D1479" t="s">
        <v>14</v>
      </c>
      <c r="E1479" t="s">
        <v>11</v>
      </c>
      <c r="F1479" t="s">
        <v>12</v>
      </c>
      <c r="G1479" t="s">
        <v>13</v>
      </c>
      <c r="H1479" t="s">
        <v>13</v>
      </c>
      <c r="I1479">
        <v>80</v>
      </c>
      <c r="J1479">
        <f>ABS((I1479-EDA!$A$15)/EDA!$B$15)</f>
        <v>2.6833028557899423</v>
      </c>
      <c r="K1479" t="str">
        <f t="shared" si="23"/>
        <v>Sí</v>
      </c>
      <c r="L1479">
        <f>ABS((C1479-EDA!$F$15)/EDA!$G$15)</f>
        <v>0.36845914667750279</v>
      </c>
      <c r="M1479" t="str">
        <f>IF(moras[[#This Row],[Z-Score Salario]]&gt;1.96, "Sí", "No")</f>
        <v>No</v>
      </c>
      <c r="N1479" s="14">
        <f>IF(ISBLANK(moras[[#This Row],[SALARIO]]), EDA!$M$8, moras[[#This Row],[SALARIO]])</f>
        <v>432363</v>
      </c>
      <c r="O1479" s="14">
        <f xml:space="preserve"> IF(ISBLANK(moras[[#This Row],[EDAD]]), EDA!$E$8, moras[[#This Row],[EDAD]])</f>
        <v>80</v>
      </c>
      <c r="P1479" s="14" t="str">
        <f>IF(
    OR(ISBLANK(moras[[#This Row],[TIPO_ASEGURAMIENTO]]), moras[[#This Row],[TIPO_ASEGURAMIENTO]]=""),
    EDA!$A$32,
    moras[[#This Row],[TIPO_ASEGURAMIENTO]]
)</f>
        <v>PENSIONADOS EN SU PROPIO SISTEMA</v>
      </c>
    </row>
    <row r="1480" spans="1:16" x14ac:dyDescent="0.3">
      <c r="A1480">
        <v>1479</v>
      </c>
      <c r="B1480" t="s">
        <v>9</v>
      </c>
      <c r="C1480">
        <v>360420</v>
      </c>
      <c r="D1480" t="s">
        <v>18</v>
      </c>
      <c r="E1480" t="s">
        <v>16</v>
      </c>
      <c r="F1480" t="s">
        <v>12</v>
      </c>
      <c r="G1480" t="s">
        <v>13</v>
      </c>
      <c r="H1480" t="s">
        <v>12</v>
      </c>
      <c r="I1480">
        <v>32</v>
      </c>
      <c r="J1480">
        <f>ABS((I1480-EDA!$A$15)/EDA!$B$15)</f>
        <v>0.70431298791265773</v>
      </c>
      <c r="K1480" t="str">
        <f t="shared" si="23"/>
        <v>No</v>
      </c>
      <c r="L1480">
        <f>ABS((C1480-EDA!$F$15)/EDA!$G$15)</f>
        <v>0.36965632898294398</v>
      </c>
      <c r="M1480" t="str">
        <f>IF(moras[[#This Row],[Z-Score Salario]]&gt;1.96, "Sí", "No")</f>
        <v>No</v>
      </c>
      <c r="N1480" s="14">
        <f>IF(ISBLANK(moras[[#This Row],[SALARIO]]), EDA!$M$8, moras[[#This Row],[SALARIO]])</f>
        <v>360420</v>
      </c>
      <c r="O1480" s="14">
        <f xml:space="preserve"> IF(ISBLANK(moras[[#This Row],[EDAD]]), EDA!$E$8, moras[[#This Row],[EDAD]])</f>
        <v>32</v>
      </c>
      <c r="P1480" s="14" t="str">
        <f>IF(
    OR(ISBLANK(moras[[#This Row],[TIPO_ASEGURAMIENTO]]), moras[[#This Row],[TIPO_ASEGURAMIENTO]]=""),
    EDA!$A$32,
    moras[[#This Row],[TIPO_ASEGURAMIENTO]]
)</f>
        <v>TRABAJADOR INDEPENDIENTE</v>
      </c>
    </row>
    <row r="1481" spans="1:16" x14ac:dyDescent="0.3">
      <c r="A1481">
        <v>1480</v>
      </c>
      <c r="B1481" t="s">
        <v>9</v>
      </c>
      <c r="C1481">
        <v>35167001</v>
      </c>
      <c r="D1481" t="s">
        <v>10</v>
      </c>
      <c r="E1481" t="s">
        <v>16</v>
      </c>
      <c r="F1481" t="s">
        <v>12</v>
      </c>
      <c r="G1481" t="s">
        <v>13</v>
      </c>
      <c r="H1481" t="s">
        <v>13</v>
      </c>
      <c r="I1481">
        <v>21</v>
      </c>
      <c r="J1481">
        <f>ABS((I1481-EDA!$A$15)/EDA!$B$15)</f>
        <v>1.4806416187611704</v>
      </c>
      <c r="K1481" t="str">
        <f t="shared" si="23"/>
        <v>No</v>
      </c>
      <c r="L1481">
        <f>ABS((C1481-EDA!$F$15)/EDA!$G$15)</f>
        <v>0.20954974924712594</v>
      </c>
      <c r="M1481" t="str">
        <f>IF(moras[[#This Row],[Z-Score Salario]]&gt;1.96, "Sí", "No")</f>
        <v>No</v>
      </c>
      <c r="N1481" s="14">
        <f>IF(ISBLANK(moras[[#This Row],[SALARIO]]), EDA!$M$8, moras[[#This Row],[SALARIO]])</f>
        <v>35167001</v>
      </c>
      <c r="O1481" s="14">
        <f xml:space="preserve"> IF(ISBLANK(moras[[#This Row],[EDAD]]), EDA!$E$8, moras[[#This Row],[EDAD]])</f>
        <v>21</v>
      </c>
      <c r="P1481" s="14" t="str">
        <f>IF(
    OR(ISBLANK(moras[[#This Row],[TIPO_ASEGURAMIENTO]]), moras[[#This Row],[TIPO_ASEGURAMIENTO]]=""),
    EDA!$A$32,
    moras[[#This Row],[TIPO_ASEGURAMIENTO]]
)</f>
        <v>ASALARIADO</v>
      </c>
    </row>
    <row r="1482" spans="1:16" x14ac:dyDescent="0.3">
      <c r="A1482">
        <v>1481</v>
      </c>
      <c r="B1482" t="s">
        <v>15</v>
      </c>
      <c r="C1482">
        <v>52860629</v>
      </c>
      <c r="D1482" t="s">
        <v>10</v>
      </c>
      <c r="E1482" t="s">
        <v>11</v>
      </c>
      <c r="F1482" t="s">
        <v>12</v>
      </c>
      <c r="G1482" t="s">
        <v>13</v>
      </c>
      <c r="H1482" t="s">
        <v>13</v>
      </c>
      <c r="I1482">
        <v>29</v>
      </c>
      <c r="J1482">
        <f>ABS((I1482-EDA!$A$15)/EDA!$B$15)</f>
        <v>0.91603897814407031</v>
      </c>
      <c r="K1482" t="str">
        <f t="shared" si="23"/>
        <v>No</v>
      </c>
      <c r="L1482">
        <f>ABS((C1482-EDA!$F$15)/EDA!$G$15)</f>
        <v>0.50398420931494348</v>
      </c>
      <c r="M1482" t="str">
        <f>IF(moras[[#This Row],[Z-Score Salario]]&gt;1.96, "Sí", "No")</f>
        <v>No</v>
      </c>
      <c r="N1482" s="14">
        <f>IF(ISBLANK(moras[[#This Row],[SALARIO]]), EDA!$M$8, moras[[#This Row],[SALARIO]])</f>
        <v>52860629</v>
      </c>
      <c r="O1482" s="14">
        <f xml:space="preserve"> IF(ISBLANK(moras[[#This Row],[EDAD]]), EDA!$E$8, moras[[#This Row],[EDAD]])</f>
        <v>29</v>
      </c>
      <c r="P1482" s="14" t="str">
        <f>IF(
    OR(ISBLANK(moras[[#This Row],[TIPO_ASEGURAMIENTO]]), moras[[#This Row],[TIPO_ASEGURAMIENTO]]=""),
    EDA!$A$32,
    moras[[#This Row],[TIPO_ASEGURAMIENTO]]
)</f>
        <v>ASALARIADO</v>
      </c>
    </row>
    <row r="1483" spans="1:16" x14ac:dyDescent="0.3">
      <c r="A1483">
        <v>1482</v>
      </c>
      <c r="B1483" t="s">
        <v>15</v>
      </c>
      <c r="C1483">
        <v>23987315</v>
      </c>
      <c r="D1483" t="s">
        <v>10</v>
      </c>
      <c r="E1483" t="s">
        <v>11</v>
      </c>
      <c r="F1483" t="s">
        <v>12</v>
      </c>
      <c r="G1483" t="s">
        <v>13</v>
      </c>
      <c r="H1483" t="s">
        <v>13</v>
      </c>
      <c r="I1483">
        <v>29</v>
      </c>
      <c r="J1483">
        <f>ABS((I1483-EDA!$A$15)/EDA!$B$15)</f>
        <v>0.91603897814407031</v>
      </c>
      <c r="K1483" t="str">
        <f t="shared" si="23"/>
        <v>No</v>
      </c>
      <c r="L1483">
        <f>ABS((C1483-EDA!$F$15)/EDA!$G$15)</f>
        <v>2.3511882330417923E-2</v>
      </c>
      <c r="M1483" t="str">
        <f>IF(moras[[#This Row],[Z-Score Salario]]&gt;1.96, "Sí", "No")</f>
        <v>No</v>
      </c>
      <c r="N1483" s="14">
        <f>IF(ISBLANK(moras[[#This Row],[SALARIO]]), EDA!$M$8, moras[[#This Row],[SALARIO]])</f>
        <v>23987315</v>
      </c>
      <c r="O1483" s="14">
        <f xml:space="preserve"> IF(ISBLANK(moras[[#This Row],[EDAD]]), EDA!$E$8, moras[[#This Row],[EDAD]])</f>
        <v>29</v>
      </c>
      <c r="P1483" s="14" t="str">
        <f>IF(
    OR(ISBLANK(moras[[#This Row],[TIPO_ASEGURAMIENTO]]), moras[[#This Row],[TIPO_ASEGURAMIENTO]]=""),
    EDA!$A$32,
    moras[[#This Row],[TIPO_ASEGURAMIENTO]]
)</f>
        <v>ASALARIADO</v>
      </c>
    </row>
    <row r="1484" spans="1:16" x14ac:dyDescent="0.3">
      <c r="A1484">
        <v>1483</v>
      </c>
      <c r="B1484" t="s">
        <v>9</v>
      </c>
      <c r="C1484">
        <v>327400</v>
      </c>
      <c r="D1484" t="s">
        <v>10</v>
      </c>
      <c r="E1484" t="s">
        <v>16</v>
      </c>
      <c r="F1484" t="s">
        <v>12</v>
      </c>
      <c r="G1484" t="s">
        <v>13</v>
      </c>
      <c r="H1484" t="s">
        <v>13</v>
      </c>
      <c r="I1484">
        <v>21</v>
      </c>
      <c r="J1484">
        <f>ABS((I1484-EDA!$A$15)/EDA!$B$15)</f>
        <v>1.4806416187611704</v>
      </c>
      <c r="K1484" t="str">
        <f t="shared" si="23"/>
        <v>No</v>
      </c>
      <c r="L1484">
        <f>ABS((C1484-EDA!$F$15)/EDA!$G$15)</f>
        <v>0.37020580509216477</v>
      </c>
      <c r="M1484" t="str">
        <f>IF(moras[[#This Row],[Z-Score Salario]]&gt;1.96, "Sí", "No")</f>
        <v>No</v>
      </c>
      <c r="N1484" s="14">
        <f>IF(ISBLANK(moras[[#This Row],[SALARIO]]), EDA!$M$8, moras[[#This Row],[SALARIO]])</f>
        <v>327400</v>
      </c>
      <c r="O1484" s="14">
        <f xml:space="preserve"> IF(ISBLANK(moras[[#This Row],[EDAD]]), EDA!$E$8, moras[[#This Row],[EDAD]])</f>
        <v>21</v>
      </c>
      <c r="P1484" s="14" t="str">
        <f>IF(
    OR(ISBLANK(moras[[#This Row],[TIPO_ASEGURAMIENTO]]), moras[[#This Row],[TIPO_ASEGURAMIENTO]]=""),
    EDA!$A$32,
    moras[[#This Row],[TIPO_ASEGURAMIENTO]]
)</f>
        <v>ASALARIADO</v>
      </c>
    </row>
    <row r="1485" spans="1:16" x14ac:dyDescent="0.3">
      <c r="A1485">
        <v>1484</v>
      </c>
      <c r="B1485" t="s">
        <v>15</v>
      </c>
      <c r="C1485">
        <v>228749</v>
      </c>
      <c r="D1485" t="s">
        <v>10</v>
      </c>
      <c r="E1485" t="s">
        <v>11</v>
      </c>
      <c r="F1485" t="s">
        <v>12</v>
      </c>
      <c r="G1485" t="s">
        <v>13</v>
      </c>
      <c r="H1485" t="s">
        <v>12</v>
      </c>
      <c r="I1485">
        <v>56</v>
      </c>
      <c r="J1485">
        <f>ABS((I1485-EDA!$A$15)/EDA!$B$15)</f>
        <v>0.9894949339386423</v>
      </c>
      <c r="K1485" t="str">
        <f t="shared" si="23"/>
        <v>No</v>
      </c>
      <c r="L1485">
        <f>ABS((C1485-EDA!$F$15)/EDA!$G$15)</f>
        <v>0.37184742737110893</v>
      </c>
      <c r="M1485" t="str">
        <f>IF(moras[[#This Row],[Z-Score Salario]]&gt;1.96, "Sí", "No")</f>
        <v>No</v>
      </c>
      <c r="N1485" s="14">
        <f>IF(ISBLANK(moras[[#This Row],[SALARIO]]), EDA!$M$8, moras[[#This Row],[SALARIO]])</f>
        <v>228749</v>
      </c>
      <c r="O1485" s="14">
        <f xml:space="preserve"> IF(ISBLANK(moras[[#This Row],[EDAD]]), EDA!$E$8, moras[[#This Row],[EDAD]])</f>
        <v>56</v>
      </c>
      <c r="P1485" s="14" t="str">
        <f>IF(
    OR(ISBLANK(moras[[#This Row],[TIPO_ASEGURAMIENTO]]), moras[[#This Row],[TIPO_ASEGURAMIENTO]]=""),
    EDA!$A$32,
    moras[[#This Row],[TIPO_ASEGURAMIENTO]]
)</f>
        <v>ASALARIADO</v>
      </c>
    </row>
    <row r="1486" spans="1:16" x14ac:dyDescent="0.3">
      <c r="A1486">
        <v>1485</v>
      </c>
      <c r="B1486" t="s">
        <v>15</v>
      </c>
      <c r="C1486">
        <v>1139623</v>
      </c>
      <c r="D1486" t="s">
        <v>14</v>
      </c>
      <c r="E1486" t="s">
        <v>11</v>
      </c>
      <c r="F1486" t="s">
        <v>12</v>
      </c>
      <c r="G1486" t="s">
        <v>13</v>
      </c>
      <c r="H1486" t="s">
        <v>13</v>
      </c>
      <c r="I1486">
        <v>78</v>
      </c>
      <c r="J1486">
        <f>ABS((I1486-EDA!$A$15)/EDA!$B$15)</f>
        <v>2.5421521956356674</v>
      </c>
      <c r="K1486" t="str">
        <f t="shared" si="23"/>
        <v>Sí</v>
      </c>
      <c r="L1486">
        <f>ABS((C1486-EDA!$F$15)/EDA!$G$15)</f>
        <v>0.35668984101404222</v>
      </c>
      <c r="M1486" t="str">
        <f>IF(moras[[#This Row],[Z-Score Salario]]&gt;1.96, "Sí", "No")</f>
        <v>No</v>
      </c>
      <c r="N1486" s="14">
        <f>IF(ISBLANK(moras[[#This Row],[SALARIO]]), EDA!$M$8, moras[[#This Row],[SALARIO]])</f>
        <v>1139623</v>
      </c>
      <c r="O1486" s="14">
        <f xml:space="preserve"> IF(ISBLANK(moras[[#This Row],[EDAD]]), EDA!$E$8, moras[[#This Row],[EDAD]])</f>
        <v>78</v>
      </c>
      <c r="P1486" s="14" t="str">
        <f>IF(
    OR(ISBLANK(moras[[#This Row],[TIPO_ASEGURAMIENTO]]), moras[[#This Row],[TIPO_ASEGURAMIENTO]]=""),
    EDA!$A$32,
    moras[[#This Row],[TIPO_ASEGURAMIENTO]]
)</f>
        <v>PENSIONADOS EN SU PROPIO SISTEMA</v>
      </c>
    </row>
    <row r="1487" spans="1:16" x14ac:dyDescent="0.3">
      <c r="A1487">
        <v>1486</v>
      </c>
      <c r="B1487" t="s">
        <v>9</v>
      </c>
      <c r="C1487">
        <v>28614568</v>
      </c>
      <c r="D1487" t="s">
        <v>10</v>
      </c>
      <c r="E1487" t="s">
        <v>16</v>
      </c>
      <c r="F1487" t="s">
        <v>12</v>
      </c>
      <c r="G1487" t="s">
        <v>13</v>
      </c>
      <c r="H1487" t="s">
        <v>13</v>
      </c>
      <c r="I1487">
        <v>51</v>
      </c>
      <c r="J1487">
        <f>ABS((I1487-EDA!$A$15)/EDA!$B$15)</f>
        <v>0.6366182835529548</v>
      </c>
      <c r="K1487" t="str">
        <f t="shared" si="23"/>
        <v>No</v>
      </c>
      <c r="L1487">
        <f>ABS((C1487-EDA!$F$15)/EDA!$G$15)</f>
        <v>0.10051263868475005</v>
      </c>
      <c r="M1487" t="str">
        <f>IF(moras[[#This Row],[Z-Score Salario]]&gt;1.96, "Sí", "No")</f>
        <v>No</v>
      </c>
      <c r="N1487" s="14">
        <f>IF(ISBLANK(moras[[#This Row],[SALARIO]]), EDA!$M$8, moras[[#This Row],[SALARIO]])</f>
        <v>28614568</v>
      </c>
      <c r="O1487" s="14">
        <f xml:space="preserve"> IF(ISBLANK(moras[[#This Row],[EDAD]]), EDA!$E$8, moras[[#This Row],[EDAD]])</f>
        <v>51</v>
      </c>
      <c r="P1487" s="14" t="str">
        <f>IF(
    OR(ISBLANK(moras[[#This Row],[TIPO_ASEGURAMIENTO]]), moras[[#This Row],[TIPO_ASEGURAMIENTO]]=""),
    EDA!$A$32,
    moras[[#This Row],[TIPO_ASEGURAMIENTO]]
)</f>
        <v>ASALARIADO</v>
      </c>
    </row>
    <row r="1488" spans="1:16" x14ac:dyDescent="0.3">
      <c r="A1488">
        <v>1487</v>
      </c>
      <c r="B1488" t="s">
        <v>9</v>
      </c>
      <c r="C1488">
        <v>297045</v>
      </c>
      <c r="D1488" t="s">
        <v>17</v>
      </c>
      <c r="E1488" t="s">
        <v>16</v>
      </c>
      <c r="F1488" t="s">
        <v>12</v>
      </c>
      <c r="G1488" t="s">
        <v>13</v>
      </c>
      <c r="H1488" t="s">
        <v>13</v>
      </c>
      <c r="I1488">
        <v>25</v>
      </c>
      <c r="J1488">
        <f>ABS((I1488-EDA!$A$15)/EDA!$B$15)</f>
        <v>1.1983402984526204</v>
      </c>
      <c r="K1488" t="str">
        <f t="shared" si="23"/>
        <v>No</v>
      </c>
      <c r="L1488">
        <f>ABS((C1488-EDA!$F$15)/EDA!$G$15)</f>
        <v>0.37071093372012948</v>
      </c>
      <c r="M1488" t="str">
        <f>IF(moras[[#This Row],[Z-Score Salario]]&gt;1.96, "Sí", "No")</f>
        <v>No</v>
      </c>
      <c r="N1488" s="14">
        <f>IF(ISBLANK(moras[[#This Row],[SALARIO]]), EDA!$M$8, moras[[#This Row],[SALARIO]])</f>
        <v>297045</v>
      </c>
      <c r="O1488" s="14">
        <f xml:space="preserve"> IF(ISBLANK(moras[[#This Row],[EDAD]]), EDA!$E$8, moras[[#This Row],[EDAD]])</f>
        <v>25</v>
      </c>
      <c r="P1488" s="14" t="str">
        <f>IF(
    OR(ISBLANK(moras[[#This Row],[TIPO_ASEGURAMIENTO]]), moras[[#This Row],[TIPO_ASEGURAMIENTO]]=""),
    EDA!$A$32,
    moras[[#This Row],[TIPO_ASEGURAMIENTO]]
)</f>
        <v>ASEGURADO VOLUNTARIO</v>
      </c>
    </row>
    <row r="1489" spans="1:16" x14ac:dyDescent="0.3">
      <c r="A1489">
        <v>1488</v>
      </c>
      <c r="B1489" t="s">
        <v>9</v>
      </c>
      <c r="C1489">
        <v>73425296</v>
      </c>
      <c r="D1489" t="s">
        <v>10</v>
      </c>
      <c r="E1489" t="s">
        <v>16</v>
      </c>
      <c r="F1489" t="s">
        <v>12</v>
      </c>
      <c r="G1489" t="s">
        <v>13</v>
      </c>
      <c r="H1489" t="s">
        <v>13</v>
      </c>
      <c r="I1489">
        <v>60</v>
      </c>
      <c r="J1489">
        <f>ABS((I1489-EDA!$A$15)/EDA!$B$15)</f>
        <v>1.2717962542471923</v>
      </c>
      <c r="K1489" t="str">
        <f t="shared" si="23"/>
        <v>No</v>
      </c>
      <c r="L1489">
        <f>ABS((C1489-EDA!$F$15)/EDA!$G$15)</f>
        <v>0.84619478504420964</v>
      </c>
      <c r="M1489" t="str">
        <f>IF(moras[[#This Row],[Z-Score Salario]]&gt;1.96, "Sí", "No")</f>
        <v>No</v>
      </c>
      <c r="N1489" s="14">
        <f>IF(ISBLANK(moras[[#This Row],[SALARIO]]), EDA!$M$8, moras[[#This Row],[SALARIO]])</f>
        <v>73425296</v>
      </c>
      <c r="O1489" s="14">
        <f xml:space="preserve"> IF(ISBLANK(moras[[#This Row],[EDAD]]), EDA!$E$8, moras[[#This Row],[EDAD]])</f>
        <v>60</v>
      </c>
      <c r="P1489" s="14" t="str">
        <f>IF(
    OR(ISBLANK(moras[[#This Row],[TIPO_ASEGURAMIENTO]]), moras[[#This Row],[TIPO_ASEGURAMIENTO]]=""),
    EDA!$A$32,
    moras[[#This Row],[TIPO_ASEGURAMIENTO]]
)</f>
        <v>ASALARIADO</v>
      </c>
    </row>
    <row r="1490" spans="1:16" x14ac:dyDescent="0.3">
      <c r="A1490">
        <v>1489</v>
      </c>
      <c r="B1490" t="s">
        <v>9</v>
      </c>
      <c r="C1490">
        <v>59277223</v>
      </c>
      <c r="D1490" t="s">
        <v>10</v>
      </c>
      <c r="E1490" t="s">
        <v>11</v>
      </c>
      <c r="F1490" t="s">
        <v>12</v>
      </c>
      <c r="G1490" t="s">
        <v>13</v>
      </c>
      <c r="H1490" t="s">
        <v>13</v>
      </c>
      <c r="I1490">
        <v>25</v>
      </c>
      <c r="J1490">
        <f>ABS((I1490-EDA!$A$15)/EDA!$B$15)</f>
        <v>1.1983402984526204</v>
      </c>
      <c r="K1490" t="str">
        <f t="shared" si="23"/>
        <v>No</v>
      </c>
      <c r="L1490">
        <f>ABS((C1490-EDA!$F$15)/EDA!$G$15)</f>
        <v>0.61076086302691235</v>
      </c>
      <c r="M1490" t="str">
        <f>IF(moras[[#This Row],[Z-Score Salario]]&gt;1.96, "Sí", "No")</f>
        <v>No</v>
      </c>
      <c r="N1490" s="14">
        <f>IF(ISBLANK(moras[[#This Row],[SALARIO]]), EDA!$M$8, moras[[#This Row],[SALARIO]])</f>
        <v>59277223</v>
      </c>
      <c r="O1490" s="14">
        <f xml:space="preserve"> IF(ISBLANK(moras[[#This Row],[EDAD]]), EDA!$E$8, moras[[#This Row],[EDAD]])</f>
        <v>25</v>
      </c>
      <c r="P1490" s="14" t="str">
        <f>IF(
    OR(ISBLANK(moras[[#This Row],[TIPO_ASEGURAMIENTO]]), moras[[#This Row],[TIPO_ASEGURAMIENTO]]=""),
    EDA!$A$32,
    moras[[#This Row],[TIPO_ASEGURAMIENTO]]
)</f>
        <v>ASALARIADO</v>
      </c>
    </row>
    <row r="1491" spans="1:16" x14ac:dyDescent="0.3">
      <c r="A1491">
        <v>1490</v>
      </c>
      <c r="B1491" t="s">
        <v>9</v>
      </c>
      <c r="C1491">
        <v>303333</v>
      </c>
      <c r="D1491" t="s">
        <v>10</v>
      </c>
      <c r="E1491" t="s">
        <v>16</v>
      </c>
      <c r="F1491" t="s">
        <v>12</v>
      </c>
      <c r="G1491" t="s">
        <v>12</v>
      </c>
      <c r="H1491" t="s">
        <v>13</v>
      </c>
      <c r="I1491">
        <v>38</v>
      </c>
      <c r="J1491">
        <f>ABS((I1491-EDA!$A$15)/EDA!$B$15)</f>
        <v>0.28086100744983278</v>
      </c>
      <c r="K1491" t="str">
        <f t="shared" si="23"/>
        <v>No</v>
      </c>
      <c r="L1491">
        <f>ABS((C1491-EDA!$F$15)/EDA!$G$15)</f>
        <v>0.37060629696135361</v>
      </c>
      <c r="M1491" t="str">
        <f>IF(moras[[#This Row],[Z-Score Salario]]&gt;1.96, "Sí", "No")</f>
        <v>No</v>
      </c>
      <c r="N1491" s="14">
        <f>IF(ISBLANK(moras[[#This Row],[SALARIO]]), EDA!$M$8, moras[[#This Row],[SALARIO]])</f>
        <v>303333</v>
      </c>
      <c r="O1491" s="14">
        <f xml:space="preserve"> IF(ISBLANK(moras[[#This Row],[EDAD]]), EDA!$E$8, moras[[#This Row],[EDAD]])</f>
        <v>38</v>
      </c>
      <c r="P1491" s="14" t="str">
        <f>IF(
    OR(ISBLANK(moras[[#This Row],[TIPO_ASEGURAMIENTO]]), moras[[#This Row],[TIPO_ASEGURAMIENTO]]=""),
    EDA!$A$32,
    moras[[#This Row],[TIPO_ASEGURAMIENTO]]
)</f>
        <v>ASALARIADO</v>
      </c>
    </row>
    <row r="1492" spans="1:16" x14ac:dyDescent="0.3">
      <c r="A1492">
        <v>1491</v>
      </c>
      <c r="B1492" t="s">
        <v>9</v>
      </c>
      <c r="C1492">
        <v>347135</v>
      </c>
      <c r="D1492" t="s">
        <v>17</v>
      </c>
      <c r="E1492" t="s">
        <v>16</v>
      </c>
      <c r="F1492" t="s">
        <v>12</v>
      </c>
      <c r="G1492" t="s">
        <v>13</v>
      </c>
      <c r="H1492" t="s">
        <v>13</v>
      </c>
      <c r="I1492">
        <v>54</v>
      </c>
      <c r="J1492">
        <f>ABS((I1492-EDA!$A$15)/EDA!$B$15)</f>
        <v>0.84834427378436728</v>
      </c>
      <c r="K1492" t="str">
        <f t="shared" si="23"/>
        <v>No</v>
      </c>
      <c r="L1492">
        <f>ABS((C1492-EDA!$F$15)/EDA!$G$15)</f>
        <v>0.36987740076098752</v>
      </c>
      <c r="M1492" t="str">
        <f>IF(moras[[#This Row],[Z-Score Salario]]&gt;1.96, "Sí", "No")</f>
        <v>No</v>
      </c>
      <c r="N1492" s="14">
        <f>IF(ISBLANK(moras[[#This Row],[SALARIO]]), EDA!$M$8, moras[[#This Row],[SALARIO]])</f>
        <v>347135</v>
      </c>
      <c r="O1492" s="14">
        <f xml:space="preserve"> IF(ISBLANK(moras[[#This Row],[EDAD]]), EDA!$E$8, moras[[#This Row],[EDAD]])</f>
        <v>54</v>
      </c>
      <c r="P1492" s="14" t="str">
        <f>IF(
    OR(ISBLANK(moras[[#This Row],[TIPO_ASEGURAMIENTO]]), moras[[#This Row],[TIPO_ASEGURAMIENTO]]=""),
    EDA!$A$32,
    moras[[#This Row],[TIPO_ASEGURAMIENTO]]
)</f>
        <v>ASEGURADO VOLUNTARIO</v>
      </c>
    </row>
    <row r="1493" spans="1:16" x14ac:dyDescent="0.3">
      <c r="A1493">
        <v>1492</v>
      </c>
      <c r="B1493" t="s">
        <v>9</v>
      </c>
      <c r="C1493">
        <v>639148</v>
      </c>
      <c r="D1493" t="s">
        <v>18</v>
      </c>
      <c r="E1493" t="s">
        <v>16</v>
      </c>
      <c r="F1493" t="s">
        <v>12</v>
      </c>
      <c r="G1493" t="s">
        <v>13</v>
      </c>
      <c r="H1493" t="s">
        <v>13</v>
      </c>
      <c r="I1493">
        <v>63</v>
      </c>
      <c r="J1493">
        <f>ABS((I1493-EDA!$A$15)/EDA!$B$15)</f>
        <v>1.4835222444786049</v>
      </c>
      <c r="K1493" t="str">
        <f t="shared" si="23"/>
        <v>No</v>
      </c>
      <c r="L1493">
        <f>ABS((C1493-EDA!$F$15)/EDA!$G$15)</f>
        <v>0.36501809830544912</v>
      </c>
      <c r="M1493" t="str">
        <f>IF(moras[[#This Row],[Z-Score Salario]]&gt;1.96, "Sí", "No")</f>
        <v>No</v>
      </c>
      <c r="N1493" s="14">
        <f>IF(ISBLANK(moras[[#This Row],[SALARIO]]), EDA!$M$8, moras[[#This Row],[SALARIO]])</f>
        <v>639148</v>
      </c>
      <c r="O1493" s="14">
        <f xml:space="preserve"> IF(ISBLANK(moras[[#This Row],[EDAD]]), EDA!$E$8, moras[[#This Row],[EDAD]])</f>
        <v>63</v>
      </c>
      <c r="P1493" s="14" t="str">
        <f>IF(
    OR(ISBLANK(moras[[#This Row],[TIPO_ASEGURAMIENTO]]), moras[[#This Row],[TIPO_ASEGURAMIENTO]]=""),
    EDA!$A$32,
    moras[[#This Row],[TIPO_ASEGURAMIENTO]]
)</f>
        <v>TRABAJADOR INDEPENDIENTE</v>
      </c>
    </row>
    <row r="1494" spans="1:16" x14ac:dyDescent="0.3">
      <c r="A1494">
        <v>1493</v>
      </c>
      <c r="B1494" t="s">
        <v>9</v>
      </c>
      <c r="C1494">
        <v>435801</v>
      </c>
      <c r="D1494" t="s">
        <v>10</v>
      </c>
      <c r="E1494" t="s">
        <v>16</v>
      </c>
      <c r="F1494" t="s">
        <v>12</v>
      </c>
      <c r="G1494" t="s">
        <v>12</v>
      </c>
      <c r="H1494" t="s">
        <v>13</v>
      </c>
      <c r="I1494">
        <v>47</v>
      </c>
      <c r="J1494">
        <f>ABS((I1494-EDA!$A$15)/EDA!$B$15)</f>
        <v>0.35431696324440481</v>
      </c>
      <c r="K1494" t="str">
        <f t="shared" si="23"/>
        <v>No</v>
      </c>
      <c r="L1494">
        <f>ABS((C1494-EDA!$F$15)/EDA!$G$15)</f>
        <v>0.36840193593057668</v>
      </c>
      <c r="M1494" t="str">
        <f>IF(moras[[#This Row],[Z-Score Salario]]&gt;1.96, "Sí", "No")</f>
        <v>No</v>
      </c>
      <c r="N1494" s="14">
        <f>IF(ISBLANK(moras[[#This Row],[SALARIO]]), EDA!$M$8, moras[[#This Row],[SALARIO]])</f>
        <v>435801</v>
      </c>
      <c r="O1494" s="14">
        <f xml:space="preserve"> IF(ISBLANK(moras[[#This Row],[EDAD]]), EDA!$E$8, moras[[#This Row],[EDAD]])</f>
        <v>47</v>
      </c>
      <c r="P1494" s="14" t="str">
        <f>IF(
    OR(ISBLANK(moras[[#This Row],[TIPO_ASEGURAMIENTO]]), moras[[#This Row],[TIPO_ASEGURAMIENTO]]=""),
    EDA!$A$32,
    moras[[#This Row],[TIPO_ASEGURAMIENTO]]
)</f>
        <v>ASALARIADO</v>
      </c>
    </row>
    <row r="1495" spans="1:16" x14ac:dyDescent="0.3">
      <c r="A1495">
        <v>1494</v>
      </c>
      <c r="B1495" t="s">
        <v>9</v>
      </c>
      <c r="C1495">
        <v>48482952</v>
      </c>
      <c r="D1495" t="s">
        <v>10</v>
      </c>
      <c r="E1495" t="s">
        <v>16</v>
      </c>
      <c r="F1495" t="s">
        <v>12</v>
      </c>
      <c r="G1495" t="s">
        <v>13</v>
      </c>
      <c r="H1495" t="s">
        <v>13</v>
      </c>
      <c r="I1495">
        <v>25</v>
      </c>
      <c r="J1495">
        <f>ABS((I1495-EDA!$A$15)/EDA!$B$15)</f>
        <v>1.1983402984526204</v>
      </c>
      <c r="K1495" t="str">
        <f t="shared" si="23"/>
        <v>No</v>
      </c>
      <c r="L1495">
        <f>ABS((C1495-EDA!$F$15)/EDA!$G$15)</f>
        <v>0.43113657377935383</v>
      </c>
      <c r="M1495" t="str">
        <f>IF(moras[[#This Row],[Z-Score Salario]]&gt;1.96, "Sí", "No")</f>
        <v>No</v>
      </c>
      <c r="N1495" s="14">
        <f>IF(ISBLANK(moras[[#This Row],[SALARIO]]), EDA!$M$8, moras[[#This Row],[SALARIO]])</f>
        <v>48482952</v>
      </c>
      <c r="O1495" s="14">
        <f xml:space="preserve"> IF(ISBLANK(moras[[#This Row],[EDAD]]), EDA!$E$8, moras[[#This Row],[EDAD]])</f>
        <v>25</v>
      </c>
      <c r="P1495" s="14" t="str">
        <f>IF(
    OR(ISBLANK(moras[[#This Row],[TIPO_ASEGURAMIENTO]]), moras[[#This Row],[TIPO_ASEGURAMIENTO]]=""),
    EDA!$A$32,
    moras[[#This Row],[TIPO_ASEGURAMIENTO]]
)</f>
        <v>ASALARIADO</v>
      </c>
    </row>
    <row r="1496" spans="1:16" x14ac:dyDescent="0.3">
      <c r="A1496">
        <v>1495</v>
      </c>
      <c r="B1496" t="s">
        <v>15</v>
      </c>
      <c r="C1496">
        <v>9236625</v>
      </c>
      <c r="D1496" t="s">
        <v>10</v>
      </c>
      <c r="E1496" t="s">
        <v>11</v>
      </c>
      <c r="F1496" t="s">
        <v>12</v>
      </c>
      <c r="G1496" t="s">
        <v>13</v>
      </c>
      <c r="H1496" t="s">
        <v>13</v>
      </c>
      <c r="I1496">
        <v>23</v>
      </c>
      <c r="J1496">
        <f>ABS((I1496-EDA!$A$15)/EDA!$B$15)</f>
        <v>1.3394909586068953</v>
      </c>
      <c r="K1496" t="str">
        <f t="shared" si="23"/>
        <v>No</v>
      </c>
      <c r="L1496">
        <f>ABS((C1496-EDA!$F$15)/EDA!$G$15)</f>
        <v>0.22195001196156985</v>
      </c>
      <c r="M1496" t="str">
        <f>IF(moras[[#This Row],[Z-Score Salario]]&gt;1.96, "Sí", "No")</f>
        <v>No</v>
      </c>
      <c r="N1496" s="14">
        <f>IF(ISBLANK(moras[[#This Row],[SALARIO]]), EDA!$M$8, moras[[#This Row],[SALARIO]])</f>
        <v>9236625</v>
      </c>
      <c r="O1496" s="14">
        <f xml:space="preserve"> IF(ISBLANK(moras[[#This Row],[EDAD]]), EDA!$E$8, moras[[#This Row],[EDAD]])</f>
        <v>23</v>
      </c>
      <c r="P1496" s="14" t="str">
        <f>IF(
    OR(ISBLANK(moras[[#This Row],[TIPO_ASEGURAMIENTO]]), moras[[#This Row],[TIPO_ASEGURAMIENTO]]=""),
    EDA!$A$32,
    moras[[#This Row],[TIPO_ASEGURAMIENTO]]
)</f>
        <v>ASALARIADO</v>
      </c>
    </row>
    <row r="1497" spans="1:16" x14ac:dyDescent="0.3">
      <c r="A1497">
        <v>1496</v>
      </c>
      <c r="B1497" t="s">
        <v>15</v>
      </c>
      <c r="C1497">
        <v>863546</v>
      </c>
      <c r="D1497" t="s">
        <v>10</v>
      </c>
      <c r="E1497" t="s">
        <v>11</v>
      </c>
      <c r="F1497" t="s">
        <v>12</v>
      </c>
      <c r="G1497" t="s">
        <v>13</v>
      </c>
      <c r="H1497" t="s">
        <v>12</v>
      </c>
      <c r="I1497">
        <v>31</v>
      </c>
      <c r="J1497">
        <f>ABS((I1497-EDA!$A$15)/EDA!$B$15)</f>
        <v>0.77488831798979529</v>
      </c>
      <c r="K1497" t="str">
        <f t="shared" si="23"/>
        <v>No</v>
      </c>
      <c r="L1497">
        <f>ABS((C1497-EDA!$F$15)/EDA!$G$15)</f>
        <v>0.36128395718016387</v>
      </c>
      <c r="M1497" t="str">
        <f>IF(moras[[#This Row],[Z-Score Salario]]&gt;1.96, "Sí", "No")</f>
        <v>No</v>
      </c>
      <c r="N1497" s="14">
        <f>IF(ISBLANK(moras[[#This Row],[SALARIO]]), EDA!$M$8, moras[[#This Row],[SALARIO]])</f>
        <v>863546</v>
      </c>
      <c r="O1497" s="14">
        <f xml:space="preserve"> IF(ISBLANK(moras[[#This Row],[EDAD]]), EDA!$E$8, moras[[#This Row],[EDAD]])</f>
        <v>31</v>
      </c>
      <c r="P1497" s="14" t="str">
        <f>IF(
    OR(ISBLANK(moras[[#This Row],[TIPO_ASEGURAMIENTO]]), moras[[#This Row],[TIPO_ASEGURAMIENTO]]=""),
    EDA!$A$32,
    moras[[#This Row],[TIPO_ASEGURAMIENTO]]
)</f>
        <v>ASALARIADO</v>
      </c>
    </row>
    <row r="1498" spans="1:16" x14ac:dyDescent="0.3">
      <c r="A1498">
        <v>1497</v>
      </c>
      <c r="B1498" t="s">
        <v>15</v>
      </c>
      <c r="C1498">
        <v>399659</v>
      </c>
      <c r="D1498" t="s">
        <v>18</v>
      </c>
      <c r="E1498" t="s">
        <v>16</v>
      </c>
      <c r="F1498" t="s">
        <v>12</v>
      </c>
      <c r="G1498" t="s">
        <v>12</v>
      </c>
      <c r="H1498" t="s">
        <v>12</v>
      </c>
      <c r="I1498">
        <v>46</v>
      </c>
      <c r="J1498">
        <f>ABS((I1498-EDA!$A$15)/EDA!$B$15)</f>
        <v>0.2837416331672673</v>
      </c>
      <c r="K1498" t="str">
        <f t="shared" si="23"/>
        <v>No</v>
      </c>
      <c r="L1498">
        <f>ABS((C1498-EDA!$F$15)/EDA!$G$15)</f>
        <v>0.36900336432365527</v>
      </c>
      <c r="M1498" t="str">
        <f>IF(moras[[#This Row],[Z-Score Salario]]&gt;1.96, "Sí", "No")</f>
        <v>No</v>
      </c>
      <c r="N1498" s="14">
        <f>IF(ISBLANK(moras[[#This Row],[SALARIO]]), EDA!$M$8, moras[[#This Row],[SALARIO]])</f>
        <v>399659</v>
      </c>
      <c r="O1498" s="14">
        <f xml:space="preserve"> IF(ISBLANK(moras[[#This Row],[EDAD]]), EDA!$E$8, moras[[#This Row],[EDAD]])</f>
        <v>46</v>
      </c>
      <c r="P1498" s="14" t="str">
        <f>IF(
    OR(ISBLANK(moras[[#This Row],[TIPO_ASEGURAMIENTO]]), moras[[#This Row],[TIPO_ASEGURAMIENTO]]=""),
    EDA!$A$32,
    moras[[#This Row],[TIPO_ASEGURAMIENTO]]
)</f>
        <v>TRABAJADOR INDEPENDIENTE</v>
      </c>
    </row>
    <row r="1499" spans="1:16" x14ac:dyDescent="0.3">
      <c r="A1499">
        <v>1498</v>
      </c>
      <c r="B1499" t="s">
        <v>15</v>
      </c>
      <c r="C1499">
        <v>194047641</v>
      </c>
      <c r="D1499" t="s">
        <v>10</v>
      </c>
      <c r="E1499" t="s">
        <v>16</v>
      </c>
      <c r="F1499" t="s">
        <v>12</v>
      </c>
      <c r="G1499" t="s">
        <v>13</v>
      </c>
      <c r="H1499" t="s">
        <v>13</v>
      </c>
      <c r="I1499">
        <v>34</v>
      </c>
      <c r="J1499">
        <f>ABS((I1499-EDA!$A$15)/EDA!$B$15)</f>
        <v>0.56316232775838282</v>
      </c>
      <c r="K1499" t="str">
        <f t="shared" si="23"/>
        <v>No</v>
      </c>
      <c r="L1499">
        <f>ABS((C1499-EDA!$F$15)/EDA!$G$15)</f>
        <v>2.8534357546287969</v>
      </c>
      <c r="M1499" t="str">
        <f>IF(moras[[#This Row],[Z-Score Salario]]&gt;1.96, "Sí", "No")</f>
        <v>Sí</v>
      </c>
      <c r="N1499" s="14">
        <f>IF(ISBLANK(moras[[#This Row],[SALARIO]]), EDA!$M$8, moras[[#This Row],[SALARIO]])</f>
        <v>194047641</v>
      </c>
      <c r="O1499" s="14">
        <f xml:space="preserve"> IF(ISBLANK(moras[[#This Row],[EDAD]]), EDA!$E$8, moras[[#This Row],[EDAD]])</f>
        <v>34</v>
      </c>
      <c r="P1499" s="14" t="str">
        <f>IF(
    OR(ISBLANK(moras[[#This Row],[TIPO_ASEGURAMIENTO]]), moras[[#This Row],[TIPO_ASEGURAMIENTO]]=""),
    EDA!$A$32,
    moras[[#This Row],[TIPO_ASEGURAMIENTO]]
)</f>
        <v>ASALARIADO</v>
      </c>
    </row>
    <row r="1500" spans="1:16" x14ac:dyDescent="0.3">
      <c r="A1500">
        <v>1499</v>
      </c>
      <c r="B1500" t="s">
        <v>15</v>
      </c>
      <c r="C1500">
        <v>571508</v>
      </c>
      <c r="D1500" t="s">
        <v>10</v>
      </c>
      <c r="E1500" t="s">
        <v>11</v>
      </c>
      <c r="F1500" t="s">
        <v>12</v>
      </c>
      <c r="G1500" t="s">
        <v>13</v>
      </c>
      <c r="H1500" t="s">
        <v>13</v>
      </c>
      <c r="I1500">
        <v>29</v>
      </c>
      <c r="J1500">
        <f>ABS((I1500-EDA!$A$15)/EDA!$B$15)</f>
        <v>0.91603897814407031</v>
      </c>
      <c r="K1500" t="str">
        <f t="shared" si="23"/>
        <v>No</v>
      </c>
      <c r="L1500">
        <f>ABS((C1500-EDA!$F$15)/EDA!$G$15)</f>
        <v>0.3661436756533501</v>
      </c>
      <c r="M1500" t="str">
        <f>IF(moras[[#This Row],[Z-Score Salario]]&gt;1.96, "Sí", "No")</f>
        <v>No</v>
      </c>
      <c r="N1500" s="14">
        <f>IF(ISBLANK(moras[[#This Row],[SALARIO]]), EDA!$M$8, moras[[#This Row],[SALARIO]])</f>
        <v>571508</v>
      </c>
      <c r="O1500" s="14">
        <f xml:space="preserve"> IF(ISBLANK(moras[[#This Row],[EDAD]]), EDA!$E$8, moras[[#This Row],[EDAD]])</f>
        <v>29</v>
      </c>
      <c r="P1500" s="14" t="str">
        <f>IF(
    OR(ISBLANK(moras[[#This Row],[TIPO_ASEGURAMIENTO]]), moras[[#This Row],[TIPO_ASEGURAMIENTO]]=""),
    EDA!$A$32,
    moras[[#This Row],[TIPO_ASEGURAMIENTO]]
)</f>
        <v>ASALARIADO</v>
      </c>
    </row>
    <row r="1501" spans="1:16" x14ac:dyDescent="0.3">
      <c r="A1501">
        <v>1500</v>
      </c>
      <c r="B1501" t="s">
        <v>9</v>
      </c>
      <c r="C1501">
        <v>93210937</v>
      </c>
      <c r="D1501" t="s">
        <v>10</v>
      </c>
      <c r="E1501" t="s">
        <v>16</v>
      </c>
      <c r="F1501" t="s">
        <v>12</v>
      </c>
      <c r="G1501" t="s">
        <v>13</v>
      </c>
      <c r="H1501" t="s">
        <v>13</v>
      </c>
      <c r="I1501">
        <v>41</v>
      </c>
      <c r="J1501">
        <f>ABS((I1501-EDA!$A$15)/EDA!$B$15)</f>
        <v>6.9135017218420233E-2</v>
      </c>
      <c r="K1501" t="str">
        <f t="shared" si="23"/>
        <v>No</v>
      </c>
      <c r="L1501">
        <f>ABS((C1501-EDA!$F$15)/EDA!$G$15)</f>
        <v>1.1754418182095203</v>
      </c>
      <c r="M1501" t="str">
        <f>IF(moras[[#This Row],[Z-Score Salario]]&gt;1.96, "Sí", "No")</f>
        <v>No</v>
      </c>
      <c r="N1501" s="14">
        <f>IF(ISBLANK(moras[[#This Row],[SALARIO]]), EDA!$M$8, moras[[#This Row],[SALARIO]])</f>
        <v>93210937</v>
      </c>
      <c r="O1501" s="14">
        <f xml:space="preserve"> IF(ISBLANK(moras[[#This Row],[EDAD]]), EDA!$E$8, moras[[#This Row],[EDAD]])</f>
        <v>41</v>
      </c>
      <c r="P1501" s="14" t="str">
        <f>IF(
    OR(ISBLANK(moras[[#This Row],[TIPO_ASEGURAMIENTO]]), moras[[#This Row],[TIPO_ASEGURAMIENTO]]=""),
    EDA!$A$32,
    moras[[#This Row],[TIPO_ASEGURAMIENTO]]
)</f>
        <v>ASALARIADO</v>
      </c>
    </row>
    <row r="1502" spans="1:16" x14ac:dyDescent="0.3">
      <c r="A1502">
        <v>1501</v>
      </c>
      <c r="B1502" t="s">
        <v>9</v>
      </c>
      <c r="C1502">
        <v>155000</v>
      </c>
      <c r="D1502" t="s">
        <v>10</v>
      </c>
      <c r="E1502" t="s">
        <v>16</v>
      </c>
      <c r="F1502" t="s">
        <v>12</v>
      </c>
      <c r="G1502" t="s">
        <v>13</v>
      </c>
      <c r="H1502" t="s">
        <v>12</v>
      </c>
      <c r="I1502">
        <v>53</v>
      </c>
      <c r="J1502">
        <f>ABS((I1502-EDA!$A$15)/EDA!$B$15)</f>
        <v>0.77776894370722982</v>
      </c>
      <c r="K1502" t="str">
        <f t="shared" si="23"/>
        <v>No</v>
      </c>
      <c r="L1502">
        <f>ABS((C1502-EDA!$F$15)/EDA!$G$15)</f>
        <v>0.37307466279142754</v>
      </c>
      <c r="M1502" t="str">
        <f>IF(moras[[#This Row],[Z-Score Salario]]&gt;1.96, "Sí", "No")</f>
        <v>No</v>
      </c>
      <c r="N1502" s="14">
        <f>IF(ISBLANK(moras[[#This Row],[SALARIO]]), EDA!$M$8, moras[[#This Row],[SALARIO]])</f>
        <v>155000</v>
      </c>
      <c r="O1502" s="14">
        <f xml:space="preserve"> IF(ISBLANK(moras[[#This Row],[EDAD]]), EDA!$E$8, moras[[#This Row],[EDAD]])</f>
        <v>53</v>
      </c>
      <c r="P1502" s="14" t="str">
        <f>IF(
    OR(ISBLANK(moras[[#This Row],[TIPO_ASEGURAMIENTO]]), moras[[#This Row],[TIPO_ASEGURAMIENTO]]=""),
    EDA!$A$32,
    moras[[#This Row],[TIPO_ASEGURAMIENTO]]
)</f>
        <v>ASALARIADO</v>
      </c>
    </row>
    <row r="1503" spans="1:16" x14ac:dyDescent="0.3">
      <c r="A1503">
        <v>1502</v>
      </c>
      <c r="B1503" t="s">
        <v>15</v>
      </c>
      <c r="C1503">
        <v>859613</v>
      </c>
      <c r="D1503" t="s">
        <v>10</v>
      </c>
      <c r="E1503" t="s">
        <v>16</v>
      </c>
      <c r="F1503" t="s">
        <v>12</v>
      </c>
      <c r="G1503" t="s">
        <v>13</v>
      </c>
      <c r="H1503" t="s">
        <v>13</v>
      </c>
      <c r="I1503">
        <v>22</v>
      </c>
      <c r="J1503">
        <f>ABS((I1503-EDA!$A$15)/EDA!$B$15)</f>
        <v>1.4100662886840327</v>
      </c>
      <c r="K1503" t="str">
        <f t="shared" si="23"/>
        <v>No</v>
      </c>
      <c r="L1503">
        <f>ABS((C1503-EDA!$F$15)/EDA!$G$15)</f>
        <v>0.36134940507651653</v>
      </c>
      <c r="M1503" t="str">
        <f>IF(moras[[#This Row],[Z-Score Salario]]&gt;1.96, "Sí", "No")</f>
        <v>No</v>
      </c>
      <c r="N1503" s="14">
        <f>IF(ISBLANK(moras[[#This Row],[SALARIO]]), EDA!$M$8, moras[[#This Row],[SALARIO]])</f>
        <v>859613</v>
      </c>
      <c r="O1503" s="14">
        <f xml:space="preserve"> IF(ISBLANK(moras[[#This Row],[EDAD]]), EDA!$E$8, moras[[#This Row],[EDAD]])</f>
        <v>22</v>
      </c>
      <c r="P1503" s="14" t="str">
        <f>IF(
    OR(ISBLANK(moras[[#This Row],[TIPO_ASEGURAMIENTO]]), moras[[#This Row],[TIPO_ASEGURAMIENTO]]=""),
    EDA!$A$32,
    moras[[#This Row],[TIPO_ASEGURAMIENTO]]
)</f>
        <v>ASALARIADO</v>
      </c>
    </row>
    <row r="1504" spans="1:16" x14ac:dyDescent="0.3">
      <c r="A1504">
        <v>1503</v>
      </c>
      <c r="B1504" t="s">
        <v>15</v>
      </c>
      <c r="C1504">
        <v>159000</v>
      </c>
      <c r="D1504" t="s">
        <v>10</v>
      </c>
      <c r="E1504" t="s">
        <v>16</v>
      </c>
      <c r="F1504" t="s">
        <v>12</v>
      </c>
      <c r="G1504" t="s">
        <v>12</v>
      </c>
      <c r="H1504" t="s">
        <v>12</v>
      </c>
      <c r="I1504">
        <v>49</v>
      </c>
      <c r="J1504">
        <f>ABS((I1504-EDA!$A$15)/EDA!$B$15)</f>
        <v>0.49546762339867978</v>
      </c>
      <c r="K1504" t="str">
        <f t="shared" si="23"/>
        <v>No</v>
      </c>
      <c r="L1504">
        <f>ABS((C1504-EDA!$F$15)/EDA!$G$15)</f>
        <v>0.37300809996777873</v>
      </c>
      <c r="M1504" t="str">
        <f>IF(moras[[#This Row],[Z-Score Salario]]&gt;1.96, "Sí", "No")</f>
        <v>No</v>
      </c>
      <c r="N1504" s="14">
        <f>IF(ISBLANK(moras[[#This Row],[SALARIO]]), EDA!$M$8, moras[[#This Row],[SALARIO]])</f>
        <v>159000</v>
      </c>
      <c r="O1504" s="14">
        <f xml:space="preserve"> IF(ISBLANK(moras[[#This Row],[EDAD]]), EDA!$E$8, moras[[#This Row],[EDAD]])</f>
        <v>49</v>
      </c>
      <c r="P1504" s="14" t="str">
        <f>IF(
    OR(ISBLANK(moras[[#This Row],[TIPO_ASEGURAMIENTO]]), moras[[#This Row],[TIPO_ASEGURAMIENTO]]=""),
    EDA!$A$32,
    moras[[#This Row],[TIPO_ASEGURAMIENTO]]
)</f>
        <v>ASALARIADO</v>
      </c>
    </row>
    <row r="1505" spans="1:16" x14ac:dyDescent="0.3">
      <c r="A1505">
        <v>1504</v>
      </c>
      <c r="B1505" t="s">
        <v>9</v>
      </c>
      <c r="C1505">
        <v>540083</v>
      </c>
      <c r="D1505" t="s">
        <v>18</v>
      </c>
      <c r="E1505" t="s">
        <v>16</v>
      </c>
      <c r="F1505" t="s">
        <v>12</v>
      </c>
      <c r="G1505" t="s">
        <v>13</v>
      </c>
      <c r="H1505" t="s">
        <v>12</v>
      </c>
      <c r="I1505">
        <v>60</v>
      </c>
      <c r="J1505">
        <f>ABS((I1505-EDA!$A$15)/EDA!$B$15)</f>
        <v>1.2717962542471923</v>
      </c>
      <c r="K1505" t="str">
        <f t="shared" si="23"/>
        <v>No</v>
      </c>
      <c r="L1505">
        <f>ABS((C1505-EDA!$F$15)/EDA!$G$15)</f>
        <v>0.3666666098366409</v>
      </c>
      <c r="M1505" t="str">
        <f>IF(moras[[#This Row],[Z-Score Salario]]&gt;1.96, "Sí", "No")</f>
        <v>No</v>
      </c>
      <c r="N1505" s="14">
        <f>IF(ISBLANK(moras[[#This Row],[SALARIO]]), EDA!$M$8, moras[[#This Row],[SALARIO]])</f>
        <v>540083</v>
      </c>
      <c r="O1505" s="14">
        <f xml:space="preserve"> IF(ISBLANK(moras[[#This Row],[EDAD]]), EDA!$E$8, moras[[#This Row],[EDAD]])</f>
        <v>60</v>
      </c>
      <c r="P1505" s="14" t="str">
        <f>IF(
    OR(ISBLANK(moras[[#This Row],[TIPO_ASEGURAMIENTO]]), moras[[#This Row],[TIPO_ASEGURAMIENTO]]=""),
    EDA!$A$32,
    moras[[#This Row],[TIPO_ASEGURAMIENTO]]
)</f>
        <v>TRABAJADOR INDEPENDIENTE</v>
      </c>
    </row>
    <row r="1506" spans="1:16" x14ac:dyDescent="0.3">
      <c r="A1506">
        <v>1505</v>
      </c>
      <c r="B1506" t="s">
        <v>9</v>
      </c>
      <c r="C1506">
        <v>2817770</v>
      </c>
      <c r="D1506" t="s">
        <v>10</v>
      </c>
      <c r="E1506" t="s">
        <v>11</v>
      </c>
      <c r="F1506" t="s">
        <v>12</v>
      </c>
      <c r="G1506" t="s">
        <v>13</v>
      </c>
      <c r="H1506" t="s">
        <v>13</v>
      </c>
      <c r="I1506">
        <v>59</v>
      </c>
      <c r="J1506">
        <f>ABS((I1506-EDA!$A$15)/EDA!$B$15)</f>
        <v>1.2012209241700549</v>
      </c>
      <c r="K1506" t="str">
        <f t="shared" si="23"/>
        <v>No</v>
      </c>
      <c r="L1506">
        <f>ABS((C1506-EDA!$F$15)/EDA!$G$15)</f>
        <v>0.32876429030960624</v>
      </c>
      <c r="M1506" t="str">
        <f>IF(moras[[#This Row],[Z-Score Salario]]&gt;1.96, "Sí", "No")</f>
        <v>No</v>
      </c>
      <c r="N1506" s="14">
        <f>IF(ISBLANK(moras[[#This Row],[SALARIO]]), EDA!$M$8, moras[[#This Row],[SALARIO]])</f>
        <v>2817770</v>
      </c>
      <c r="O1506" s="14">
        <f xml:space="preserve"> IF(ISBLANK(moras[[#This Row],[EDAD]]), EDA!$E$8, moras[[#This Row],[EDAD]])</f>
        <v>59</v>
      </c>
      <c r="P1506" s="14" t="str">
        <f>IF(
    OR(ISBLANK(moras[[#This Row],[TIPO_ASEGURAMIENTO]]), moras[[#This Row],[TIPO_ASEGURAMIENTO]]=""),
    EDA!$A$32,
    moras[[#This Row],[TIPO_ASEGURAMIENTO]]
)</f>
        <v>ASALARIADO</v>
      </c>
    </row>
    <row r="1507" spans="1:16" x14ac:dyDescent="0.3">
      <c r="A1507">
        <v>1506</v>
      </c>
      <c r="B1507" t="s">
        <v>15</v>
      </c>
      <c r="C1507">
        <v>6880698</v>
      </c>
      <c r="D1507" t="s">
        <v>10</v>
      </c>
      <c r="E1507" t="s">
        <v>16</v>
      </c>
      <c r="F1507" t="s">
        <v>12</v>
      </c>
      <c r="G1507" t="s">
        <v>12</v>
      </c>
      <c r="H1507" t="s">
        <v>13</v>
      </c>
      <c r="I1507">
        <v>25</v>
      </c>
      <c r="J1507">
        <f>ABS((I1507-EDA!$A$15)/EDA!$B$15)</f>
        <v>1.1983402984526204</v>
      </c>
      <c r="K1507" t="str">
        <f t="shared" si="23"/>
        <v>No</v>
      </c>
      <c r="L1507">
        <f>ABS((C1507-EDA!$F$15)/EDA!$G$15)</f>
        <v>0.2611543003191748</v>
      </c>
      <c r="M1507" t="str">
        <f>IF(moras[[#This Row],[Z-Score Salario]]&gt;1.96, "Sí", "No")</f>
        <v>No</v>
      </c>
      <c r="N1507" s="14">
        <f>IF(ISBLANK(moras[[#This Row],[SALARIO]]), EDA!$M$8, moras[[#This Row],[SALARIO]])</f>
        <v>6880698</v>
      </c>
      <c r="O1507" s="14">
        <f xml:space="preserve"> IF(ISBLANK(moras[[#This Row],[EDAD]]), EDA!$E$8, moras[[#This Row],[EDAD]])</f>
        <v>25</v>
      </c>
      <c r="P1507" s="14" t="str">
        <f>IF(
    OR(ISBLANK(moras[[#This Row],[TIPO_ASEGURAMIENTO]]), moras[[#This Row],[TIPO_ASEGURAMIENTO]]=""),
    EDA!$A$32,
    moras[[#This Row],[TIPO_ASEGURAMIENTO]]
)</f>
        <v>ASALARIADO</v>
      </c>
    </row>
    <row r="1508" spans="1:16" x14ac:dyDescent="0.3">
      <c r="A1508">
        <v>1507</v>
      </c>
      <c r="B1508" t="s">
        <v>15</v>
      </c>
      <c r="C1508">
        <v>361500</v>
      </c>
      <c r="D1508" t="s">
        <v>10</v>
      </c>
      <c r="E1508" t="s">
        <v>16</v>
      </c>
      <c r="F1508" t="s">
        <v>12</v>
      </c>
      <c r="G1508" t="s">
        <v>13</v>
      </c>
      <c r="H1508" t="s">
        <v>12</v>
      </c>
      <c r="I1508">
        <v>49</v>
      </c>
      <c r="J1508">
        <f>ABS((I1508-EDA!$A$15)/EDA!$B$15)</f>
        <v>0.49546762339867978</v>
      </c>
      <c r="K1508" t="str">
        <f t="shared" si="23"/>
        <v>No</v>
      </c>
      <c r="L1508">
        <f>ABS((C1508-EDA!$F$15)/EDA!$G$15)</f>
        <v>0.36963835702055881</v>
      </c>
      <c r="M1508" t="str">
        <f>IF(moras[[#This Row],[Z-Score Salario]]&gt;1.96, "Sí", "No")</f>
        <v>No</v>
      </c>
      <c r="N1508" s="14">
        <f>IF(ISBLANK(moras[[#This Row],[SALARIO]]), EDA!$M$8, moras[[#This Row],[SALARIO]])</f>
        <v>361500</v>
      </c>
      <c r="O1508" s="14">
        <f xml:space="preserve"> IF(ISBLANK(moras[[#This Row],[EDAD]]), EDA!$E$8, moras[[#This Row],[EDAD]])</f>
        <v>49</v>
      </c>
      <c r="P1508" s="14" t="str">
        <f>IF(
    OR(ISBLANK(moras[[#This Row],[TIPO_ASEGURAMIENTO]]), moras[[#This Row],[TIPO_ASEGURAMIENTO]]=""),
    EDA!$A$32,
    moras[[#This Row],[TIPO_ASEGURAMIENTO]]
)</f>
        <v>ASALARIADO</v>
      </c>
    </row>
    <row r="1509" spans="1:16" x14ac:dyDescent="0.3">
      <c r="A1509">
        <v>1508</v>
      </c>
      <c r="B1509" t="s">
        <v>15</v>
      </c>
      <c r="C1509">
        <v>937245</v>
      </c>
      <c r="D1509" t="s">
        <v>18</v>
      </c>
      <c r="E1509" t="s">
        <v>16</v>
      </c>
      <c r="F1509" t="s">
        <v>12</v>
      </c>
      <c r="G1509" t="s">
        <v>13</v>
      </c>
      <c r="H1509" t="s">
        <v>12</v>
      </c>
      <c r="I1509">
        <v>61</v>
      </c>
      <c r="J1509">
        <f>ABS((I1509-EDA!$A$15)/EDA!$B$15)</f>
        <v>1.3423715843243298</v>
      </c>
      <c r="K1509" t="str">
        <f t="shared" si="23"/>
        <v>No</v>
      </c>
      <c r="L1509">
        <f>ABS((C1509-EDA!$F$15)/EDA!$G$15)</f>
        <v>0.36005755379514087</v>
      </c>
      <c r="M1509" t="str">
        <f>IF(moras[[#This Row],[Z-Score Salario]]&gt;1.96, "Sí", "No")</f>
        <v>No</v>
      </c>
      <c r="N1509" s="14">
        <f>IF(ISBLANK(moras[[#This Row],[SALARIO]]), EDA!$M$8, moras[[#This Row],[SALARIO]])</f>
        <v>937245</v>
      </c>
      <c r="O1509" s="14">
        <f xml:space="preserve"> IF(ISBLANK(moras[[#This Row],[EDAD]]), EDA!$E$8, moras[[#This Row],[EDAD]])</f>
        <v>61</v>
      </c>
      <c r="P1509" s="14" t="str">
        <f>IF(
    OR(ISBLANK(moras[[#This Row],[TIPO_ASEGURAMIENTO]]), moras[[#This Row],[TIPO_ASEGURAMIENTO]]=""),
    EDA!$A$32,
    moras[[#This Row],[TIPO_ASEGURAMIENTO]]
)</f>
        <v>TRABAJADOR INDEPENDIENTE</v>
      </c>
    </row>
    <row r="1510" spans="1:16" x14ac:dyDescent="0.3">
      <c r="A1510">
        <v>1509</v>
      </c>
      <c r="B1510" t="s">
        <v>9</v>
      </c>
      <c r="C1510">
        <v>1858320</v>
      </c>
      <c r="D1510" t="s">
        <v>10</v>
      </c>
      <c r="E1510" t="s">
        <v>16</v>
      </c>
      <c r="F1510" t="s">
        <v>12</v>
      </c>
      <c r="G1510" t="s">
        <v>13</v>
      </c>
      <c r="H1510" t="s">
        <v>13</v>
      </c>
      <c r="I1510">
        <v>36</v>
      </c>
      <c r="J1510">
        <f>ABS((I1510-EDA!$A$15)/EDA!$B$15)</f>
        <v>0.42201166760410774</v>
      </c>
      <c r="K1510" t="str">
        <f t="shared" si="23"/>
        <v>No</v>
      </c>
      <c r="L1510">
        <f>ABS((C1510-EDA!$F$15)/EDA!$G$15)</f>
        <v>0.34473021559706385</v>
      </c>
      <c r="M1510" t="str">
        <f>IF(moras[[#This Row],[Z-Score Salario]]&gt;1.96, "Sí", "No")</f>
        <v>No</v>
      </c>
      <c r="N1510" s="14">
        <f>IF(ISBLANK(moras[[#This Row],[SALARIO]]), EDA!$M$8, moras[[#This Row],[SALARIO]])</f>
        <v>1858320</v>
      </c>
      <c r="O1510" s="14">
        <f xml:space="preserve"> IF(ISBLANK(moras[[#This Row],[EDAD]]), EDA!$E$8, moras[[#This Row],[EDAD]])</f>
        <v>36</v>
      </c>
      <c r="P1510" s="14" t="str">
        <f>IF(
    OR(ISBLANK(moras[[#This Row],[TIPO_ASEGURAMIENTO]]), moras[[#This Row],[TIPO_ASEGURAMIENTO]]=""),
    EDA!$A$32,
    moras[[#This Row],[TIPO_ASEGURAMIENTO]]
)</f>
        <v>ASALARIADO</v>
      </c>
    </row>
    <row r="1511" spans="1:16" x14ac:dyDescent="0.3">
      <c r="A1511">
        <v>1510</v>
      </c>
      <c r="B1511" t="s">
        <v>9</v>
      </c>
      <c r="C1511">
        <v>297046</v>
      </c>
      <c r="D1511" t="s">
        <v>18</v>
      </c>
      <c r="E1511" t="s">
        <v>16</v>
      </c>
      <c r="F1511" t="s">
        <v>12</v>
      </c>
      <c r="G1511" t="s">
        <v>12</v>
      </c>
      <c r="H1511" t="s">
        <v>12</v>
      </c>
      <c r="I1511">
        <v>29</v>
      </c>
      <c r="J1511">
        <f>ABS((I1511-EDA!$A$15)/EDA!$B$15)</f>
        <v>0.91603897814407031</v>
      </c>
      <c r="K1511" t="str">
        <f t="shared" si="23"/>
        <v>No</v>
      </c>
      <c r="L1511">
        <f>ABS((C1511-EDA!$F$15)/EDA!$G$15)</f>
        <v>0.37071091707942361</v>
      </c>
      <c r="M1511" t="str">
        <f>IF(moras[[#This Row],[Z-Score Salario]]&gt;1.96, "Sí", "No")</f>
        <v>No</v>
      </c>
      <c r="N1511" s="14">
        <f>IF(ISBLANK(moras[[#This Row],[SALARIO]]), EDA!$M$8, moras[[#This Row],[SALARIO]])</f>
        <v>297046</v>
      </c>
      <c r="O1511" s="14">
        <f xml:space="preserve"> IF(ISBLANK(moras[[#This Row],[EDAD]]), EDA!$E$8, moras[[#This Row],[EDAD]])</f>
        <v>29</v>
      </c>
      <c r="P1511" s="14" t="str">
        <f>IF(
    OR(ISBLANK(moras[[#This Row],[TIPO_ASEGURAMIENTO]]), moras[[#This Row],[TIPO_ASEGURAMIENTO]]=""),
    EDA!$A$32,
    moras[[#This Row],[TIPO_ASEGURAMIENTO]]
)</f>
        <v>TRABAJADOR INDEPENDIENTE</v>
      </c>
    </row>
    <row r="1512" spans="1:16" x14ac:dyDescent="0.3">
      <c r="A1512">
        <v>1511</v>
      </c>
      <c r="B1512" t="s">
        <v>9</v>
      </c>
      <c r="C1512">
        <v>54645748</v>
      </c>
      <c r="D1512" t="s">
        <v>10</v>
      </c>
      <c r="E1512" t="s">
        <v>16</v>
      </c>
      <c r="F1512" t="s">
        <v>12</v>
      </c>
      <c r="G1512" t="s">
        <v>13</v>
      </c>
      <c r="H1512" t="s">
        <v>13</v>
      </c>
      <c r="I1512">
        <v>33</v>
      </c>
      <c r="J1512">
        <f>ABS((I1512-EDA!$A$15)/EDA!$B$15)</f>
        <v>0.63373765783552027</v>
      </c>
      <c r="K1512" t="str">
        <f t="shared" si="23"/>
        <v>No</v>
      </c>
      <c r="L1512">
        <f>ABS((C1512-EDA!$F$15)/EDA!$G$15)</f>
        <v>0.53368984961221899</v>
      </c>
      <c r="M1512" t="str">
        <f>IF(moras[[#This Row],[Z-Score Salario]]&gt;1.96, "Sí", "No")</f>
        <v>No</v>
      </c>
      <c r="N1512" s="14">
        <f>IF(ISBLANK(moras[[#This Row],[SALARIO]]), EDA!$M$8, moras[[#This Row],[SALARIO]])</f>
        <v>54645748</v>
      </c>
      <c r="O1512" s="14">
        <f xml:space="preserve"> IF(ISBLANK(moras[[#This Row],[EDAD]]), EDA!$E$8, moras[[#This Row],[EDAD]])</f>
        <v>33</v>
      </c>
      <c r="P1512" s="14" t="str">
        <f>IF(
    OR(ISBLANK(moras[[#This Row],[TIPO_ASEGURAMIENTO]]), moras[[#This Row],[TIPO_ASEGURAMIENTO]]=""),
    EDA!$A$32,
    moras[[#This Row],[TIPO_ASEGURAMIENTO]]
)</f>
        <v>ASALARIADO</v>
      </c>
    </row>
    <row r="1513" spans="1:16" x14ac:dyDescent="0.3">
      <c r="A1513">
        <v>1512</v>
      </c>
      <c r="B1513" t="s">
        <v>9</v>
      </c>
      <c r="C1513">
        <v>297044</v>
      </c>
      <c r="D1513" t="s">
        <v>19</v>
      </c>
      <c r="E1513" t="s">
        <v>16</v>
      </c>
      <c r="F1513" t="s">
        <v>12</v>
      </c>
      <c r="G1513" t="s">
        <v>13</v>
      </c>
      <c r="H1513" t="s">
        <v>13</v>
      </c>
      <c r="I1513">
        <v>61</v>
      </c>
      <c r="J1513">
        <f>ABS((I1513-EDA!$A$15)/EDA!$B$15)</f>
        <v>1.3423715843243298</v>
      </c>
      <c r="K1513" t="str">
        <f t="shared" si="23"/>
        <v>No</v>
      </c>
      <c r="L1513">
        <f>ABS((C1513-EDA!$F$15)/EDA!$G$15)</f>
        <v>0.3707109503608354</v>
      </c>
      <c r="M1513" t="str">
        <f>IF(moras[[#This Row],[Z-Score Salario]]&gt;1.96, "Sí", "No")</f>
        <v>No</v>
      </c>
      <c r="N1513" s="14">
        <f>IF(ISBLANK(moras[[#This Row],[SALARIO]]), EDA!$M$8, moras[[#This Row],[SALARIO]])</f>
        <v>297044</v>
      </c>
      <c r="O1513" s="14">
        <f xml:space="preserve"> IF(ISBLANK(moras[[#This Row],[EDAD]]), EDA!$E$8, moras[[#This Row],[EDAD]])</f>
        <v>61</v>
      </c>
      <c r="P1513" s="14" t="str">
        <f>IF(
    OR(ISBLANK(moras[[#This Row],[TIPO_ASEGURAMIENTO]]), moras[[#This Row],[TIPO_ASEGURAMIENTO]]=""),
    EDA!$A$32,
    moras[[#This Row],[TIPO_ASEGURAMIENTO]]
)</f>
        <v>CONVENIOS ESPECIALES DE TRABAJADORES INDEPENDIENTES</v>
      </c>
    </row>
    <row r="1514" spans="1:16" x14ac:dyDescent="0.3">
      <c r="A1514">
        <v>1513</v>
      </c>
      <c r="B1514" t="s">
        <v>15</v>
      </c>
      <c r="C1514">
        <v>120000</v>
      </c>
      <c r="D1514" t="s">
        <v>10</v>
      </c>
      <c r="E1514" t="s">
        <v>16</v>
      </c>
      <c r="F1514" t="s">
        <v>12</v>
      </c>
      <c r="G1514" t="s">
        <v>13</v>
      </c>
      <c r="H1514" t="s">
        <v>13</v>
      </c>
      <c r="I1514">
        <v>42</v>
      </c>
      <c r="J1514">
        <f>ABS((I1514-EDA!$A$15)/EDA!$B$15)</f>
        <v>1.4403128587172659E-3</v>
      </c>
      <c r="K1514" t="str">
        <f t="shared" si="23"/>
        <v>No</v>
      </c>
      <c r="L1514">
        <f>ABS((C1514-EDA!$F$15)/EDA!$G$15)</f>
        <v>0.37365708749835447</v>
      </c>
      <c r="M1514" t="str">
        <f>IF(moras[[#This Row],[Z-Score Salario]]&gt;1.96, "Sí", "No")</f>
        <v>No</v>
      </c>
      <c r="N1514" s="14">
        <f>IF(ISBLANK(moras[[#This Row],[SALARIO]]), EDA!$M$8, moras[[#This Row],[SALARIO]])</f>
        <v>120000</v>
      </c>
      <c r="O1514" s="14">
        <f xml:space="preserve"> IF(ISBLANK(moras[[#This Row],[EDAD]]), EDA!$E$8, moras[[#This Row],[EDAD]])</f>
        <v>42</v>
      </c>
      <c r="P1514" s="14" t="str">
        <f>IF(
    OR(ISBLANK(moras[[#This Row],[TIPO_ASEGURAMIENTO]]), moras[[#This Row],[TIPO_ASEGURAMIENTO]]=""),
    EDA!$A$32,
    moras[[#This Row],[TIPO_ASEGURAMIENTO]]
)</f>
        <v>ASALARIADO</v>
      </c>
    </row>
    <row r="1515" spans="1:16" x14ac:dyDescent="0.3">
      <c r="A1515">
        <v>1514</v>
      </c>
      <c r="B1515" t="s">
        <v>15</v>
      </c>
      <c r="C1515">
        <v>12960016</v>
      </c>
      <c r="D1515" t="s">
        <v>10</v>
      </c>
      <c r="E1515" t="s">
        <v>11</v>
      </c>
      <c r="F1515" t="s">
        <v>12</v>
      </c>
      <c r="G1515" t="s">
        <v>13</v>
      </c>
      <c r="H1515" t="s">
        <v>13</v>
      </c>
      <c r="I1515">
        <v>47</v>
      </c>
      <c r="J1515">
        <f>ABS((I1515-EDA!$A$15)/EDA!$B$15)</f>
        <v>0.35431696324440481</v>
      </c>
      <c r="K1515" t="str">
        <f t="shared" si="23"/>
        <v>No</v>
      </c>
      <c r="L1515">
        <f>ABS((C1515-EDA!$F$15)/EDA!$G$15)</f>
        <v>0.1599901573344481</v>
      </c>
      <c r="M1515" t="str">
        <f>IF(moras[[#This Row],[Z-Score Salario]]&gt;1.96, "Sí", "No")</f>
        <v>No</v>
      </c>
      <c r="N1515" s="14">
        <f>IF(ISBLANK(moras[[#This Row],[SALARIO]]), EDA!$M$8, moras[[#This Row],[SALARIO]])</f>
        <v>12960016</v>
      </c>
      <c r="O1515" s="14">
        <f xml:space="preserve"> IF(ISBLANK(moras[[#This Row],[EDAD]]), EDA!$E$8, moras[[#This Row],[EDAD]])</f>
        <v>47</v>
      </c>
      <c r="P1515" s="14" t="str">
        <f>IF(
    OR(ISBLANK(moras[[#This Row],[TIPO_ASEGURAMIENTO]]), moras[[#This Row],[TIPO_ASEGURAMIENTO]]=""),
    EDA!$A$32,
    moras[[#This Row],[TIPO_ASEGURAMIENTO]]
)</f>
        <v>ASALARIADO</v>
      </c>
    </row>
    <row r="1516" spans="1:16" x14ac:dyDescent="0.3">
      <c r="A1516">
        <v>1515</v>
      </c>
      <c r="B1516" t="s">
        <v>9</v>
      </c>
      <c r="C1516">
        <v>1346350</v>
      </c>
      <c r="D1516" t="s">
        <v>10</v>
      </c>
      <c r="E1516" t="s">
        <v>16</v>
      </c>
      <c r="F1516" t="s">
        <v>12</v>
      </c>
      <c r="G1516" t="s">
        <v>13</v>
      </c>
      <c r="H1516" t="s">
        <v>13</v>
      </c>
      <c r="I1516">
        <v>47</v>
      </c>
      <c r="J1516">
        <f>ABS((I1516-EDA!$A$15)/EDA!$B$15)</f>
        <v>0.35431696324440481</v>
      </c>
      <c r="K1516" t="str">
        <f t="shared" si="23"/>
        <v>No</v>
      </c>
      <c r="L1516">
        <f>ABS((C1516-EDA!$F$15)/EDA!$G$15)</f>
        <v>0.35324975780293144</v>
      </c>
      <c r="M1516" t="str">
        <f>IF(moras[[#This Row],[Z-Score Salario]]&gt;1.96, "Sí", "No")</f>
        <v>No</v>
      </c>
      <c r="N1516" s="14">
        <f>IF(ISBLANK(moras[[#This Row],[SALARIO]]), EDA!$M$8, moras[[#This Row],[SALARIO]])</f>
        <v>1346350</v>
      </c>
      <c r="O1516" s="14">
        <f xml:space="preserve"> IF(ISBLANK(moras[[#This Row],[EDAD]]), EDA!$E$8, moras[[#This Row],[EDAD]])</f>
        <v>47</v>
      </c>
      <c r="P1516" s="14" t="str">
        <f>IF(
    OR(ISBLANK(moras[[#This Row],[TIPO_ASEGURAMIENTO]]), moras[[#This Row],[TIPO_ASEGURAMIENTO]]=""),
    EDA!$A$32,
    moras[[#This Row],[TIPO_ASEGURAMIENTO]]
)</f>
        <v>ASALARIADO</v>
      </c>
    </row>
    <row r="1517" spans="1:16" x14ac:dyDescent="0.3">
      <c r="A1517">
        <v>1516</v>
      </c>
      <c r="B1517" t="s">
        <v>15</v>
      </c>
      <c r="C1517">
        <v>1089100</v>
      </c>
      <c r="D1517" t="s">
        <v>10</v>
      </c>
      <c r="E1517" t="s">
        <v>16</v>
      </c>
      <c r="F1517" t="s">
        <v>12</v>
      </c>
      <c r="G1517" t="s">
        <v>13</v>
      </c>
      <c r="H1517" t="s">
        <v>13</v>
      </c>
      <c r="I1517">
        <v>35</v>
      </c>
      <c r="J1517">
        <f>ABS((I1517-EDA!$A$15)/EDA!$B$15)</f>
        <v>0.49258699768124525</v>
      </c>
      <c r="K1517" t="str">
        <f t="shared" si="23"/>
        <v>No</v>
      </c>
      <c r="L1517">
        <f>ABS((C1517-EDA!$F$15)/EDA!$G$15)</f>
        <v>0.35753057939884414</v>
      </c>
      <c r="M1517" t="str">
        <f>IF(moras[[#This Row],[Z-Score Salario]]&gt;1.96, "Sí", "No")</f>
        <v>No</v>
      </c>
      <c r="N1517" s="14">
        <f>IF(ISBLANK(moras[[#This Row],[SALARIO]]), EDA!$M$8, moras[[#This Row],[SALARIO]])</f>
        <v>1089100</v>
      </c>
      <c r="O1517" s="14">
        <f xml:space="preserve"> IF(ISBLANK(moras[[#This Row],[EDAD]]), EDA!$E$8, moras[[#This Row],[EDAD]])</f>
        <v>35</v>
      </c>
      <c r="P1517" s="14" t="str">
        <f>IF(
    OR(ISBLANK(moras[[#This Row],[TIPO_ASEGURAMIENTO]]), moras[[#This Row],[TIPO_ASEGURAMIENTO]]=""),
    EDA!$A$32,
    moras[[#This Row],[TIPO_ASEGURAMIENTO]]
)</f>
        <v>ASALARIADO</v>
      </c>
    </row>
    <row r="1518" spans="1:16" x14ac:dyDescent="0.3">
      <c r="A1518">
        <v>1517</v>
      </c>
      <c r="B1518" t="s">
        <v>9</v>
      </c>
      <c r="C1518">
        <v>766610</v>
      </c>
      <c r="D1518" t="s">
        <v>10</v>
      </c>
      <c r="E1518" t="s">
        <v>11</v>
      </c>
      <c r="F1518" t="s">
        <v>12</v>
      </c>
      <c r="G1518" t="s">
        <v>13</v>
      </c>
      <c r="H1518" t="s">
        <v>13</v>
      </c>
      <c r="I1518">
        <v>53</v>
      </c>
      <c r="J1518">
        <f>ABS((I1518-EDA!$A$15)/EDA!$B$15)</f>
        <v>0.77776894370722982</v>
      </c>
      <c r="K1518" t="str">
        <f t="shared" si="23"/>
        <v>No</v>
      </c>
      <c r="L1518">
        <f>ABS((C1518-EDA!$F$15)/EDA!$G$15)</f>
        <v>0.36289704064846862</v>
      </c>
      <c r="M1518" t="str">
        <f>IF(moras[[#This Row],[Z-Score Salario]]&gt;1.96, "Sí", "No")</f>
        <v>No</v>
      </c>
      <c r="N1518" s="14">
        <f>IF(ISBLANK(moras[[#This Row],[SALARIO]]), EDA!$M$8, moras[[#This Row],[SALARIO]])</f>
        <v>766610</v>
      </c>
      <c r="O1518" s="14">
        <f xml:space="preserve"> IF(ISBLANK(moras[[#This Row],[EDAD]]), EDA!$E$8, moras[[#This Row],[EDAD]])</f>
        <v>53</v>
      </c>
      <c r="P1518" s="14" t="str">
        <f>IF(
    OR(ISBLANK(moras[[#This Row],[TIPO_ASEGURAMIENTO]]), moras[[#This Row],[TIPO_ASEGURAMIENTO]]=""),
    EDA!$A$32,
    moras[[#This Row],[TIPO_ASEGURAMIENTO]]
)</f>
        <v>ASALARIADO</v>
      </c>
    </row>
    <row r="1519" spans="1:16" x14ac:dyDescent="0.3">
      <c r="A1519">
        <v>1518</v>
      </c>
      <c r="B1519" t="s">
        <v>15</v>
      </c>
      <c r="C1519">
        <v>72789634</v>
      </c>
      <c r="D1519" t="s">
        <v>10</v>
      </c>
      <c r="E1519" t="s">
        <v>11</v>
      </c>
      <c r="F1519" t="s">
        <v>12</v>
      </c>
      <c r="G1519" t="s">
        <v>13</v>
      </c>
      <c r="H1519" t="s">
        <v>13</v>
      </c>
      <c r="I1519">
        <v>34</v>
      </c>
      <c r="J1519">
        <f>ABS((I1519-EDA!$A$15)/EDA!$B$15)</f>
        <v>0.56316232775838282</v>
      </c>
      <c r="K1519" t="str">
        <f t="shared" si="23"/>
        <v>No</v>
      </c>
      <c r="L1519">
        <f>ABS((C1519-EDA!$F$15)/EDA!$G$15)</f>
        <v>0.83561692064265058</v>
      </c>
      <c r="M1519" t="str">
        <f>IF(moras[[#This Row],[Z-Score Salario]]&gt;1.96, "Sí", "No")</f>
        <v>No</v>
      </c>
      <c r="N1519" s="14">
        <f>IF(ISBLANK(moras[[#This Row],[SALARIO]]), EDA!$M$8, moras[[#This Row],[SALARIO]])</f>
        <v>72789634</v>
      </c>
      <c r="O1519" s="14">
        <f xml:space="preserve"> IF(ISBLANK(moras[[#This Row],[EDAD]]), EDA!$E$8, moras[[#This Row],[EDAD]])</f>
        <v>34</v>
      </c>
      <c r="P1519" s="14" t="str">
        <f>IF(
    OR(ISBLANK(moras[[#This Row],[TIPO_ASEGURAMIENTO]]), moras[[#This Row],[TIPO_ASEGURAMIENTO]]=""),
    EDA!$A$32,
    moras[[#This Row],[TIPO_ASEGURAMIENTO]]
)</f>
        <v>ASALARIADO</v>
      </c>
    </row>
    <row r="1520" spans="1:16" x14ac:dyDescent="0.3">
      <c r="A1520">
        <v>1519</v>
      </c>
      <c r="B1520" t="s">
        <v>9</v>
      </c>
      <c r="C1520">
        <v>257765647</v>
      </c>
      <c r="D1520" t="s">
        <v>10</v>
      </c>
      <c r="E1520" t="s">
        <v>11</v>
      </c>
      <c r="F1520" t="s">
        <v>12</v>
      </c>
      <c r="G1520" t="s">
        <v>13</v>
      </c>
      <c r="H1520" t="s">
        <v>13</v>
      </c>
      <c r="I1520">
        <v>37</v>
      </c>
      <c r="J1520">
        <f>ABS((I1520-EDA!$A$15)/EDA!$B$15)</f>
        <v>0.35143633752697023</v>
      </c>
      <c r="K1520" t="str">
        <f t="shared" si="23"/>
        <v>No</v>
      </c>
      <c r="L1520">
        <f>ABS((C1520-EDA!$F$15)/EDA!$G$15)</f>
        <v>3.9137483537864122</v>
      </c>
      <c r="M1520" t="str">
        <f>IF(moras[[#This Row],[Z-Score Salario]]&gt;1.96, "Sí", "No")</f>
        <v>Sí</v>
      </c>
      <c r="N1520" s="14">
        <f>IF(ISBLANK(moras[[#This Row],[SALARIO]]), EDA!$M$8, moras[[#This Row],[SALARIO]])</f>
        <v>257765647</v>
      </c>
      <c r="O1520" s="14">
        <f xml:space="preserve"> IF(ISBLANK(moras[[#This Row],[EDAD]]), EDA!$E$8, moras[[#This Row],[EDAD]])</f>
        <v>37</v>
      </c>
      <c r="P1520" s="14" t="str">
        <f>IF(
    OR(ISBLANK(moras[[#This Row],[TIPO_ASEGURAMIENTO]]), moras[[#This Row],[TIPO_ASEGURAMIENTO]]=""),
    EDA!$A$32,
    moras[[#This Row],[TIPO_ASEGURAMIENTO]]
)</f>
        <v>ASALARIADO</v>
      </c>
    </row>
    <row r="1521" spans="1:16" x14ac:dyDescent="0.3">
      <c r="A1521">
        <v>1520</v>
      </c>
      <c r="B1521" t="s">
        <v>15</v>
      </c>
      <c r="C1521">
        <v>269415976</v>
      </c>
      <c r="D1521" t="s">
        <v>10</v>
      </c>
      <c r="E1521" t="s">
        <v>16</v>
      </c>
      <c r="F1521" t="s">
        <v>12</v>
      </c>
      <c r="G1521" t="s">
        <v>13</v>
      </c>
      <c r="H1521" t="s">
        <v>13</v>
      </c>
      <c r="I1521">
        <v>28</v>
      </c>
      <c r="J1521">
        <f>ABS((I1521-EDA!$A$15)/EDA!$B$15)</f>
        <v>0.98661430822120777</v>
      </c>
      <c r="K1521" t="str">
        <f t="shared" si="23"/>
        <v>No</v>
      </c>
      <c r="L1521">
        <f>ABS((C1521-EDA!$F$15)/EDA!$G$15)</f>
        <v>4.1076180524557548</v>
      </c>
      <c r="M1521" t="str">
        <f>IF(moras[[#This Row],[Z-Score Salario]]&gt;1.96, "Sí", "No")</f>
        <v>Sí</v>
      </c>
      <c r="N1521" s="14">
        <f>IF(ISBLANK(moras[[#This Row],[SALARIO]]), EDA!$M$8, moras[[#This Row],[SALARIO]])</f>
        <v>269415976</v>
      </c>
      <c r="O1521" s="14">
        <f xml:space="preserve"> IF(ISBLANK(moras[[#This Row],[EDAD]]), EDA!$E$8, moras[[#This Row],[EDAD]])</f>
        <v>28</v>
      </c>
      <c r="P1521" s="14" t="str">
        <f>IF(
    OR(ISBLANK(moras[[#This Row],[TIPO_ASEGURAMIENTO]]), moras[[#This Row],[TIPO_ASEGURAMIENTO]]=""),
    EDA!$A$32,
    moras[[#This Row],[TIPO_ASEGURAMIENTO]]
)</f>
        <v>ASALARIADO</v>
      </c>
    </row>
    <row r="1522" spans="1:16" x14ac:dyDescent="0.3">
      <c r="A1522">
        <v>1521</v>
      </c>
      <c r="B1522" t="s">
        <v>15</v>
      </c>
      <c r="C1522">
        <v>3620474</v>
      </c>
      <c r="D1522" t="s">
        <v>10</v>
      </c>
      <c r="E1522" t="s">
        <v>11</v>
      </c>
      <c r="F1522" t="s">
        <v>12</v>
      </c>
      <c r="G1522" t="s">
        <v>13</v>
      </c>
      <c r="H1522" t="s">
        <v>13</v>
      </c>
      <c r="I1522">
        <v>32</v>
      </c>
      <c r="J1522">
        <f>ABS((I1522-EDA!$A$15)/EDA!$B$15)</f>
        <v>0.70431298791265773</v>
      </c>
      <c r="K1522" t="str">
        <f t="shared" si="23"/>
        <v>No</v>
      </c>
      <c r="L1522">
        <f>ABS((C1522-EDA!$F$15)/EDA!$G$15)</f>
        <v>0.31540672911106193</v>
      </c>
      <c r="M1522" t="str">
        <f>IF(moras[[#This Row],[Z-Score Salario]]&gt;1.96, "Sí", "No")</f>
        <v>No</v>
      </c>
      <c r="N1522" s="14">
        <f>IF(ISBLANK(moras[[#This Row],[SALARIO]]), EDA!$M$8, moras[[#This Row],[SALARIO]])</f>
        <v>3620474</v>
      </c>
      <c r="O1522" s="14">
        <f xml:space="preserve"> IF(ISBLANK(moras[[#This Row],[EDAD]]), EDA!$E$8, moras[[#This Row],[EDAD]])</f>
        <v>32</v>
      </c>
      <c r="P1522" s="14" t="str">
        <f>IF(
    OR(ISBLANK(moras[[#This Row],[TIPO_ASEGURAMIENTO]]), moras[[#This Row],[TIPO_ASEGURAMIENTO]]=""),
    EDA!$A$32,
    moras[[#This Row],[TIPO_ASEGURAMIENTO]]
)</f>
        <v>ASALARIADO</v>
      </c>
    </row>
    <row r="1523" spans="1:16" x14ac:dyDescent="0.3">
      <c r="A1523">
        <v>1522</v>
      </c>
      <c r="B1523" t="s">
        <v>15</v>
      </c>
      <c r="C1523">
        <v>300018</v>
      </c>
      <c r="D1523" t="s">
        <v>18</v>
      </c>
      <c r="E1523" t="s">
        <v>16</v>
      </c>
      <c r="F1523" t="s">
        <v>12</v>
      </c>
      <c r="G1523" t="s">
        <v>13</v>
      </c>
      <c r="H1523" t="s">
        <v>13</v>
      </c>
      <c r="I1523">
        <v>47</v>
      </c>
      <c r="J1523">
        <f>ABS((I1523-EDA!$A$15)/EDA!$B$15)</f>
        <v>0.35431696324440481</v>
      </c>
      <c r="K1523" t="str">
        <f t="shared" si="23"/>
        <v>No</v>
      </c>
      <c r="L1523">
        <f>ABS((C1523-EDA!$F$15)/EDA!$G$15)</f>
        <v>0.37066146090145252</v>
      </c>
      <c r="M1523" t="str">
        <f>IF(moras[[#This Row],[Z-Score Salario]]&gt;1.96, "Sí", "No")</f>
        <v>No</v>
      </c>
      <c r="N1523" s="14">
        <f>IF(ISBLANK(moras[[#This Row],[SALARIO]]), EDA!$M$8, moras[[#This Row],[SALARIO]])</f>
        <v>300018</v>
      </c>
      <c r="O1523" s="14">
        <f xml:space="preserve"> IF(ISBLANK(moras[[#This Row],[EDAD]]), EDA!$E$8, moras[[#This Row],[EDAD]])</f>
        <v>47</v>
      </c>
      <c r="P1523" s="14" t="str">
        <f>IF(
    OR(ISBLANK(moras[[#This Row],[TIPO_ASEGURAMIENTO]]), moras[[#This Row],[TIPO_ASEGURAMIENTO]]=""),
    EDA!$A$32,
    moras[[#This Row],[TIPO_ASEGURAMIENTO]]
)</f>
        <v>TRABAJADOR INDEPENDIENTE</v>
      </c>
    </row>
    <row r="1524" spans="1:16" x14ac:dyDescent="0.3">
      <c r="A1524">
        <v>1523</v>
      </c>
      <c r="B1524" t="s">
        <v>15</v>
      </c>
      <c r="C1524">
        <v>382325</v>
      </c>
      <c r="D1524" t="s">
        <v>10</v>
      </c>
      <c r="E1524" t="s">
        <v>16</v>
      </c>
      <c r="F1524" t="s">
        <v>12</v>
      </c>
      <c r="G1524" t="s">
        <v>12</v>
      </c>
      <c r="H1524" t="s">
        <v>13</v>
      </c>
      <c r="I1524">
        <v>33</v>
      </c>
      <c r="J1524">
        <f>ABS((I1524-EDA!$A$15)/EDA!$B$15)</f>
        <v>0.63373765783552027</v>
      </c>
      <c r="K1524" t="str">
        <f t="shared" si="23"/>
        <v>No</v>
      </c>
      <c r="L1524">
        <f>ABS((C1524-EDA!$F$15)/EDA!$G$15)</f>
        <v>0.36929181431993729</v>
      </c>
      <c r="M1524" t="str">
        <f>IF(moras[[#This Row],[Z-Score Salario]]&gt;1.96, "Sí", "No")</f>
        <v>No</v>
      </c>
      <c r="N1524" s="14">
        <f>IF(ISBLANK(moras[[#This Row],[SALARIO]]), EDA!$M$8, moras[[#This Row],[SALARIO]])</f>
        <v>382325</v>
      </c>
      <c r="O1524" s="14">
        <f xml:space="preserve"> IF(ISBLANK(moras[[#This Row],[EDAD]]), EDA!$E$8, moras[[#This Row],[EDAD]])</f>
        <v>33</v>
      </c>
      <c r="P1524" s="14" t="str">
        <f>IF(
    OR(ISBLANK(moras[[#This Row],[TIPO_ASEGURAMIENTO]]), moras[[#This Row],[TIPO_ASEGURAMIENTO]]=""),
    EDA!$A$32,
    moras[[#This Row],[TIPO_ASEGURAMIENTO]]
)</f>
        <v>ASALARIADO</v>
      </c>
    </row>
    <row r="1525" spans="1:16" x14ac:dyDescent="0.3">
      <c r="A1525">
        <v>1524</v>
      </c>
      <c r="B1525" t="s">
        <v>15</v>
      </c>
      <c r="C1525">
        <v>326749</v>
      </c>
      <c r="D1525" t="s">
        <v>18</v>
      </c>
      <c r="E1525" t="s">
        <v>16</v>
      </c>
      <c r="F1525" t="s">
        <v>12</v>
      </c>
      <c r="G1525" t="s">
        <v>13</v>
      </c>
      <c r="H1525" t="s">
        <v>13</v>
      </c>
      <c r="I1525">
        <v>56</v>
      </c>
      <c r="J1525">
        <f>ABS((I1525-EDA!$A$15)/EDA!$B$15)</f>
        <v>0.9894949339386423</v>
      </c>
      <c r="K1525" t="str">
        <f t="shared" si="23"/>
        <v>No</v>
      </c>
      <c r="L1525">
        <f>ABS((C1525-EDA!$F$15)/EDA!$G$15)</f>
        <v>0.37021663819171358</v>
      </c>
      <c r="M1525" t="str">
        <f>IF(moras[[#This Row],[Z-Score Salario]]&gt;1.96, "Sí", "No")</f>
        <v>No</v>
      </c>
      <c r="N1525" s="14">
        <f>IF(ISBLANK(moras[[#This Row],[SALARIO]]), EDA!$M$8, moras[[#This Row],[SALARIO]])</f>
        <v>326749</v>
      </c>
      <c r="O1525" s="14">
        <f xml:space="preserve"> IF(ISBLANK(moras[[#This Row],[EDAD]]), EDA!$E$8, moras[[#This Row],[EDAD]])</f>
        <v>56</v>
      </c>
      <c r="P1525" s="14" t="str">
        <f>IF(
    OR(ISBLANK(moras[[#This Row],[TIPO_ASEGURAMIENTO]]), moras[[#This Row],[TIPO_ASEGURAMIENTO]]=""),
    EDA!$A$32,
    moras[[#This Row],[TIPO_ASEGURAMIENTO]]
)</f>
        <v>TRABAJADOR INDEPENDIENTE</v>
      </c>
    </row>
    <row r="1526" spans="1:16" x14ac:dyDescent="0.3">
      <c r="A1526">
        <v>1525</v>
      </c>
      <c r="B1526" t="s">
        <v>9</v>
      </c>
      <c r="C1526">
        <v>61103644</v>
      </c>
      <c r="D1526" t="s">
        <v>14</v>
      </c>
      <c r="E1526" t="s">
        <v>11</v>
      </c>
      <c r="F1526" t="s">
        <v>12</v>
      </c>
      <c r="G1526" t="s">
        <v>13</v>
      </c>
      <c r="H1526" t="s">
        <v>13</v>
      </c>
      <c r="I1526">
        <v>93</v>
      </c>
      <c r="J1526">
        <f>ABS((I1526-EDA!$A$15)/EDA!$B$15)</f>
        <v>3.6007821467927301</v>
      </c>
      <c r="K1526" t="str">
        <f t="shared" si="23"/>
        <v>Sí</v>
      </c>
      <c r="L1526">
        <f>ABS((C1526-EDA!$F$15)/EDA!$G$15)</f>
        <v>0.64115379775977344</v>
      </c>
      <c r="M1526" t="str">
        <f>IF(moras[[#This Row],[Z-Score Salario]]&gt;1.96, "Sí", "No")</f>
        <v>No</v>
      </c>
      <c r="N1526" s="14">
        <f>IF(ISBLANK(moras[[#This Row],[SALARIO]]), EDA!$M$8, moras[[#This Row],[SALARIO]])</f>
        <v>61103644</v>
      </c>
      <c r="O1526" s="14">
        <f xml:space="preserve"> IF(ISBLANK(moras[[#This Row],[EDAD]]), EDA!$E$8, moras[[#This Row],[EDAD]])</f>
        <v>93</v>
      </c>
      <c r="P1526" s="14" t="str">
        <f>IF(
    OR(ISBLANK(moras[[#This Row],[TIPO_ASEGURAMIENTO]]), moras[[#This Row],[TIPO_ASEGURAMIENTO]]=""),
    EDA!$A$32,
    moras[[#This Row],[TIPO_ASEGURAMIENTO]]
)</f>
        <v>PENSIONADOS EN SU PROPIO SISTEMA</v>
      </c>
    </row>
    <row r="1527" spans="1:16" x14ac:dyDescent="0.3">
      <c r="A1527">
        <v>1526</v>
      </c>
      <c r="B1527" t="s">
        <v>15</v>
      </c>
      <c r="C1527">
        <v>278031</v>
      </c>
      <c r="D1527" t="s">
        <v>17</v>
      </c>
      <c r="E1527" t="s">
        <v>16</v>
      </c>
      <c r="F1527" t="s">
        <v>12</v>
      </c>
      <c r="G1527" t="s">
        <v>13</v>
      </c>
      <c r="H1527" t="s">
        <v>12</v>
      </c>
      <c r="I1527">
        <v>43</v>
      </c>
      <c r="J1527">
        <f>ABS((I1527-EDA!$A$15)/EDA!$B$15)</f>
        <v>7.2015642935854773E-2</v>
      </c>
      <c r="K1527" t="str">
        <f t="shared" si="23"/>
        <v>No</v>
      </c>
      <c r="L1527">
        <f>ABS((C1527-EDA!$F$15)/EDA!$G$15)</f>
        <v>0.37102734010234401</v>
      </c>
      <c r="M1527" t="str">
        <f>IF(moras[[#This Row],[Z-Score Salario]]&gt;1.96, "Sí", "No")</f>
        <v>No</v>
      </c>
      <c r="N1527" s="14">
        <f>IF(ISBLANK(moras[[#This Row],[SALARIO]]), EDA!$M$8, moras[[#This Row],[SALARIO]])</f>
        <v>278031</v>
      </c>
      <c r="O1527" s="14">
        <f xml:space="preserve"> IF(ISBLANK(moras[[#This Row],[EDAD]]), EDA!$E$8, moras[[#This Row],[EDAD]])</f>
        <v>43</v>
      </c>
      <c r="P1527" s="14" t="str">
        <f>IF(
    OR(ISBLANK(moras[[#This Row],[TIPO_ASEGURAMIENTO]]), moras[[#This Row],[TIPO_ASEGURAMIENTO]]=""),
    EDA!$A$32,
    moras[[#This Row],[TIPO_ASEGURAMIENTO]]
)</f>
        <v>ASEGURADO VOLUNTARIO</v>
      </c>
    </row>
    <row r="1528" spans="1:16" x14ac:dyDescent="0.3">
      <c r="A1528">
        <v>1527</v>
      </c>
      <c r="B1528" t="s">
        <v>9</v>
      </c>
      <c r="C1528">
        <v>27519165</v>
      </c>
      <c r="D1528" t="s">
        <v>10</v>
      </c>
      <c r="E1528" t="s">
        <v>16</v>
      </c>
      <c r="F1528" t="s">
        <v>12</v>
      </c>
      <c r="G1528" t="s">
        <v>13</v>
      </c>
      <c r="H1528" t="s">
        <v>13</v>
      </c>
      <c r="I1528">
        <v>22</v>
      </c>
      <c r="J1528">
        <f>ABS((I1528-EDA!$A$15)/EDA!$B$15)</f>
        <v>1.4100662886840327</v>
      </c>
      <c r="K1528" t="str">
        <f t="shared" si="23"/>
        <v>No</v>
      </c>
      <c r="L1528">
        <f>ABS((C1528-EDA!$F$15)/EDA!$G$15)</f>
        <v>8.2284359506411525E-2</v>
      </c>
      <c r="M1528" t="str">
        <f>IF(moras[[#This Row],[Z-Score Salario]]&gt;1.96, "Sí", "No")</f>
        <v>No</v>
      </c>
      <c r="N1528" s="14">
        <f>IF(ISBLANK(moras[[#This Row],[SALARIO]]), EDA!$M$8, moras[[#This Row],[SALARIO]])</f>
        <v>27519165</v>
      </c>
      <c r="O1528" s="14">
        <f xml:space="preserve"> IF(ISBLANK(moras[[#This Row],[EDAD]]), EDA!$E$8, moras[[#This Row],[EDAD]])</f>
        <v>22</v>
      </c>
      <c r="P1528" s="14" t="str">
        <f>IF(
    OR(ISBLANK(moras[[#This Row],[TIPO_ASEGURAMIENTO]]), moras[[#This Row],[TIPO_ASEGURAMIENTO]]=""),
    EDA!$A$32,
    moras[[#This Row],[TIPO_ASEGURAMIENTO]]
)</f>
        <v>ASALARIADO</v>
      </c>
    </row>
    <row r="1529" spans="1:16" x14ac:dyDescent="0.3">
      <c r="A1529">
        <v>1528</v>
      </c>
      <c r="B1529" t="s">
        <v>9</v>
      </c>
      <c r="C1529">
        <v>273980</v>
      </c>
      <c r="D1529" t="s">
        <v>10</v>
      </c>
      <c r="E1529" t="s">
        <v>16</v>
      </c>
      <c r="F1529" t="s">
        <v>12</v>
      </c>
      <c r="G1529" t="s">
        <v>13</v>
      </c>
      <c r="H1529" t="s">
        <v>13</v>
      </c>
      <c r="I1529">
        <v>23</v>
      </c>
      <c r="J1529">
        <f>ABS((I1529-EDA!$A$15)/EDA!$B$15)</f>
        <v>1.3394909586068953</v>
      </c>
      <c r="K1529" t="str">
        <f t="shared" si="23"/>
        <v>No</v>
      </c>
      <c r="L1529">
        <f>ABS((C1529-EDA!$F$15)/EDA!$G$15)</f>
        <v>0.37109475160199434</v>
      </c>
      <c r="M1529" t="str">
        <f>IF(moras[[#This Row],[Z-Score Salario]]&gt;1.96, "Sí", "No")</f>
        <v>No</v>
      </c>
      <c r="N1529" s="14">
        <f>IF(ISBLANK(moras[[#This Row],[SALARIO]]), EDA!$M$8, moras[[#This Row],[SALARIO]])</f>
        <v>273980</v>
      </c>
      <c r="O1529" s="14">
        <f xml:space="preserve"> IF(ISBLANK(moras[[#This Row],[EDAD]]), EDA!$E$8, moras[[#This Row],[EDAD]])</f>
        <v>23</v>
      </c>
      <c r="P1529" s="14" t="str">
        <f>IF(
    OR(ISBLANK(moras[[#This Row],[TIPO_ASEGURAMIENTO]]), moras[[#This Row],[TIPO_ASEGURAMIENTO]]=""),
    EDA!$A$32,
    moras[[#This Row],[TIPO_ASEGURAMIENTO]]
)</f>
        <v>ASALARIADO</v>
      </c>
    </row>
    <row r="1530" spans="1:16" x14ac:dyDescent="0.3">
      <c r="A1530">
        <v>1529</v>
      </c>
      <c r="B1530" t="s">
        <v>15</v>
      </c>
      <c r="C1530">
        <v>16645675</v>
      </c>
      <c r="D1530" t="s">
        <v>10</v>
      </c>
      <c r="E1530" t="s">
        <v>11</v>
      </c>
      <c r="F1530" t="s">
        <v>12</v>
      </c>
      <c r="G1530" t="s">
        <v>13</v>
      </c>
      <c r="H1530" t="s">
        <v>13</v>
      </c>
      <c r="I1530">
        <v>45</v>
      </c>
      <c r="J1530">
        <f>ABS((I1530-EDA!$A$15)/EDA!$B$15)</f>
        <v>0.21316630309012977</v>
      </c>
      <c r="K1530" t="str">
        <f t="shared" si="23"/>
        <v>No</v>
      </c>
      <c r="L1530">
        <f>ABS((C1530-EDA!$F$15)/EDA!$G$15)</f>
        <v>9.8658189822805359E-2</v>
      </c>
      <c r="M1530" t="str">
        <f>IF(moras[[#This Row],[Z-Score Salario]]&gt;1.96, "Sí", "No")</f>
        <v>No</v>
      </c>
      <c r="N1530" s="14">
        <f>IF(ISBLANK(moras[[#This Row],[SALARIO]]), EDA!$M$8, moras[[#This Row],[SALARIO]])</f>
        <v>16645675</v>
      </c>
      <c r="O1530" s="14">
        <f xml:space="preserve"> IF(ISBLANK(moras[[#This Row],[EDAD]]), EDA!$E$8, moras[[#This Row],[EDAD]])</f>
        <v>45</v>
      </c>
      <c r="P1530" s="14" t="str">
        <f>IF(
    OR(ISBLANK(moras[[#This Row],[TIPO_ASEGURAMIENTO]]), moras[[#This Row],[TIPO_ASEGURAMIENTO]]=""),
    EDA!$A$32,
    moras[[#This Row],[TIPO_ASEGURAMIENTO]]
)</f>
        <v>ASALARIADO</v>
      </c>
    </row>
    <row r="1531" spans="1:16" x14ac:dyDescent="0.3">
      <c r="A1531">
        <v>1530</v>
      </c>
      <c r="B1531" t="s">
        <v>9</v>
      </c>
      <c r="C1531">
        <v>18504687</v>
      </c>
      <c r="D1531" t="s">
        <v>10</v>
      </c>
      <c r="E1531" t="s">
        <v>11</v>
      </c>
      <c r="F1531" t="s">
        <v>12</v>
      </c>
      <c r="G1531" t="s">
        <v>13</v>
      </c>
      <c r="H1531" t="s">
        <v>13</v>
      </c>
      <c r="I1531">
        <v>25</v>
      </c>
      <c r="J1531">
        <f>ABS((I1531-EDA!$A$15)/EDA!$B$15)</f>
        <v>1.1983402984526204</v>
      </c>
      <c r="K1531" t="str">
        <f t="shared" si="23"/>
        <v>No</v>
      </c>
      <c r="L1531">
        <f>ABS((C1531-EDA!$F$15)/EDA!$G$15)</f>
        <v>6.7722917843559854E-2</v>
      </c>
      <c r="M1531" t="str">
        <f>IF(moras[[#This Row],[Z-Score Salario]]&gt;1.96, "Sí", "No")</f>
        <v>No</v>
      </c>
      <c r="N1531" s="14">
        <f>IF(ISBLANK(moras[[#This Row],[SALARIO]]), EDA!$M$8, moras[[#This Row],[SALARIO]])</f>
        <v>18504687</v>
      </c>
      <c r="O1531" s="14">
        <f xml:space="preserve"> IF(ISBLANK(moras[[#This Row],[EDAD]]), EDA!$E$8, moras[[#This Row],[EDAD]])</f>
        <v>25</v>
      </c>
      <c r="P1531" s="14" t="str">
        <f>IF(
    OR(ISBLANK(moras[[#This Row],[TIPO_ASEGURAMIENTO]]), moras[[#This Row],[TIPO_ASEGURAMIENTO]]=""),
    EDA!$A$32,
    moras[[#This Row],[TIPO_ASEGURAMIENTO]]
)</f>
        <v>ASALARIADO</v>
      </c>
    </row>
    <row r="1532" spans="1:16" x14ac:dyDescent="0.3">
      <c r="A1532">
        <v>1531</v>
      </c>
      <c r="B1532" t="s">
        <v>9</v>
      </c>
      <c r="C1532">
        <v>63457692</v>
      </c>
      <c r="D1532" t="s">
        <v>10</v>
      </c>
      <c r="E1532" t="s">
        <v>16</v>
      </c>
      <c r="F1532" t="s">
        <v>12</v>
      </c>
      <c r="G1532" t="s">
        <v>13</v>
      </c>
      <c r="H1532" t="s">
        <v>13</v>
      </c>
      <c r="I1532">
        <v>44</v>
      </c>
      <c r="J1532">
        <f>ABS((I1532-EDA!$A$15)/EDA!$B$15)</f>
        <v>0.14259097301299228</v>
      </c>
      <c r="K1532" t="str">
        <f t="shared" si="23"/>
        <v>No</v>
      </c>
      <c r="L1532">
        <f>ABS((C1532-EDA!$F$15)/EDA!$G$15)</f>
        <v>0.68032681823096941</v>
      </c>
      <c r="M1532" t="str">
        <f>IF(moras[[#This Row],[Z-Score Salario]]&gt;1.96, "Sí", "No")</f>
        <v>No</v>
      </c>
      <c r="N1532" s="14">
        <f>IF(ISBLANK(moras[[#This Row],[SALARIO]]), EDA!$M$8, moras[[#This Row],[SALARIO]])</f>
        <v>63457692</v>
      </c>
      <c r="O1532" s="14">
        <f xml:space="preserve"> IF(ISBLANK(moras[[#This Row],[EDAD]]), EDA!$E$8, moras[[#This Row],[EDAD]])</f>
        <v>44</v>
      </c>
      <c r="P1532" s="14" t="str">
        <f>IF(
    OR(ISBLANK(moras[[#This Row],[TIPO_ASEGURAMIENTO]]), moras[[#This Row],[TIPO_ASEGURAMIENTO]]=""),
    EDA!$A$32,
    moras[[#This Row],[TIPO_ASEGURAMIENTO]]
)</f>
        <v>ASALARIADO</v>
      </c>
    </row>
    <row r="1533" spans="1:16" x14ac:dyDescent="0.3">
      <c r="A1533">
        <v>1532</v>
      </c>
      <c r="B1533" t="s">
        <v>9</v>
      </c>
      <c r="C1533">
        <v>513543</v>
      </c>
      <c r="D1533" t="s">
        <v>10</v>
      </c>
      <c r="E1533" t="s">
        <v>11</v>
      </c>
      <c r="F1533" t="s">
        <v>12</v>
      </c>
      <c r="G1533" t="s">
        <v>13</v>
      </c>
      <c r="H1533" t="s">
        <v>13</v>
      </c>
      <c r="I1533">
        <v>32</v>
      </c>
      <c r="J1533">
        <f>ABS((I1533-EDA!$A$15)/EDA!$B$15)</f>
        <v>0.70431298791265773</v>
      </c>
      <c r="K1533" t="str">
        <f t="shared" si="23"/>
        <v>No</v>
      </c>
      <c r="L1533">
        <f>ABS((C1533-EDA!$F$15)/EDA!$G$15)</f>
        <v>0.36710825417155063</v>
      </c>
      <c r="M1533" t="str">
        <f>IF(moras[[#This Row],[Z-Score Salario]]&gt;1.96, "Sí", "No")</f>
        <v>No</v>
      </c>
      <c r="N1533" s="14">
        <f>IF(ISBLANK(moras[[#This Row],[SALARIO]]), EDA!$M$8, moras[[#This Row],[SALARIO]])</f>
        <v>513543</v>
      </c>
      <c r="O1533" s="14">
        <f xml:space="preserve"> IF(ISBLANK(moras[[#This Row],[EDAD]]), EDA!$E$8, moras[[#This Row],[EDAD]])</f>
        <v>32</v>
      </c>
      <c r="P1533" s="14" t="str">
        <f>IF(
    OR(ISBLANK(moras[[#This Row],[TIPO_ASEGURAMIENTO]]), moras[[#This Row],[TIPO_ASEGURAMIENTO]]=""),
    EDA!$A$32,
    moras[[#This Row],[TIPO_ASEGURAMIENTO]]
)</f>
        <v>ASALARIADO</v>
      </c>
    </row>
    <row r="1534" spans="1:16" x14ac:dyDescent="0.3">
      <c r="A1534">
        <v>1533</v>
      </c>
      <c r="B1534" t="s">
        <v>15</v>
      </c>
      <c r="C1534">
        <v>38331862</v>
      </c>
      <c r="D1534" t="s">
        <v>10</v>
      </c>
      <c r="E1534" t="s">
        <v>16</v>
      </c>
      <c r="F1534" t="s">
        <v>12</v>
      </c>
      <c r="G1534" t="s">
        <v>13</v>
      </c>
      <c r="H1534" t="s">
        <v>13</v>
      </c>
      <c r="I1534">
        <v>25</v>
      </c>
      <c r="J1534">
        <f>ABS((I1534-EDA!$A$15)/EDA!$B$15)</f>
        <v>1.1983402984526204</v>
      </c>
      <c r="K1534" t="str">
        <f t="shared" si="23"/>
        <v>No</v>
      </c>
      <c r="L1534">
        <f>ABS((C1534-EDA!$F$15)/EDA!$G$15)</f>
        <v>0.2622152704011082</v>
      </c>
      <c r="M1534" t="str">
        <f>IF(moras[[#This Row],[Z-Score Salario]]&gt;1.96, "Sí", "No")</f>
        <v>No</v>
      </c>
      <c r="N1534" s="14">
        <f>IF(ISBLANK(moras[[#This Row],[SALARIO]]), EDA!$M$8, moras[[#This Row],[SALARIO]])</f>
        <v>38331862</v>
      </c>
      <c r="O1534" s="14">
        <f xml:space="preserve"> IF(ISBLANK(moras[[#This Row],[EDAD]]), EDA!$E$8, moras[[#This Row],[EDAD]])</f>
        <v>25</v>
      </c>
      <c r="P1534" s="14" t="str">
        <f>IF(
    OR(ISBLANK(moras[[#This Row],[TIPO_ASEGURAMIENTO]]), moras[[#This Row],[TIPO_ASEGURAMIENTO]]=""),
    EDA!$A$32,
    moras[[#This Row],[TIPO_ASEGURAMIENTO]]
)</f>
        <v>ASALARIADO</v>
      </c>
    </row>
    <row r="1535" spans="1:16" x14ac:dyDescent="0.3">
      <c r="A1535">
        <v>1534</v>
      </c>
      <c r="B1535" t="s">
        <v>15</v>
      </c>
      <c r="C1535">
        <v>1161325</v>
      </c>
      <c r="D1535" t="s">
        <v>10</v>
      </c>
      <c r="E1535" t="s">
        <v>16</v>
      </c>
      <c r="F1535" t="s">
        <v>12</v>
      </c>
      <c r="G1535" t="s">
        <v>13</v>
      </c>
      <c r="H1535" t="s">
        <v>13</v>
      </c>
      <c r="I1535">
        <v>35</v>
      </c>
      <c r="J1535">
        <f>ABS((I1535-EDA!$A$15)/EDA!$B$15)</f>
        <v>0.49258699768124525</v>
      </c>
      <c r="K1535" t="str">
        <f t="shared" si="23"/>
        <v>No</v>
      </c>
      <c r="L1535">
        <f>ABS((C1535-EDA!$F$15)/EDA!$G$15)</f>
        <v>0.35632870441433573</v>
      </c>
      <c r="M1535" t="str">
        <f>IF(moras[[#This Row],[Z-Score Salario]]&gt;1.96, "Sí", "No")</f>
        <v>No</v>
      </c>
      <c r="N1535" s="14">
        <f>IF(ISBLANK(moras[[#This Row],[SALARIO]]), EDA!$M$8, moras[[#This Row],[SALARIO]])</f>
        <v>1161325</v>
      </c>
      <c r="O1535" s="14">
        <f xml:space="preserve"> IF(ISBLANK(moras[[#This Row],[EDAD]]), EDA!$E$8, moras[[#This Row],[EDAD]])</f>
        <v>35</v>
      </c>
      <c r="P1535" s="14" t="str">
        <f>IF(
    OR(ISBLANK(moras[[#This Row],[TIPO_ASEGURAMIENTO]]), moras[[#This Row],[TIPO_ASEGURAMIENTO]]=""),
    EDA!$A$32,
    moras[[#This Row],[TIPO_ASEGURAMIENTO]]
)</f>
        <v>ASALARIADO</v>
      </c>
    </row>
    <row r="1536" spans="1:16" x14ac:dyDescent="0.3">
      <c r="A1536">
        <v>1535</v>
      </c>
      <c r="B1536" t="s">
        <v>15</v>
      </c>
      <c r="C1536">
        <v>297139</v>
      </c>
      <c r="D1536" t="s">
        <v>17</v>
      </c>
      <c r="E1536" t="s">
        <v>16</v>
      </c>
      <c r="F1536" t="s">
        <v>12</v>
      </c>
      <c r="G1536" t="s">
        <v>13</v>
      </c>
      <c r="H1536" t="s">
        <v>13</v>
      </c>
      <c r="I1536">
        <v>25</v>
      </c>
      <c r="J1536">
        <f>ABS((I1536-EDA!$A$15)/EDA!$B$15)</f>
        <v>1.1983402984526204</v>
      </c>
      <c r="K1536" t="str">
        <f t="shared" si="23"/>
        <v>No</v>
      </c>
      <c r="L1536">
        <f>ABS((C1536-EDA!$F$15)/EDA!$G$15)</f>
        <v>0.37070936949377375</v>
      </c>
      <c r="M1536" t="str">
        <f>IF(moras[[#This Row],[Z-Score Salario]]&gt;1.96, "Sí", "No")</f>
        <v>No</v>
      </c>
      <c r="N1536" s="14">
        <f>IF(ISBLANK(moras[[#This Row],[SALARIO]]), EDA!$M$8, moras[[#This Row],[SALARIO]])</f>
        <v>297139</v>
      </c>
      <c r="O1536" s="14">
        <f xml:space="preserve"> IF(ISBLANK(moras[[#This Row],[EDAD]]), EDA!$E$8, moras[[#This Row],[EDAD]])</f>
        <v>25</v>
      </c>
      <c r="P1536" s="14" t="str">
        <f>IF(
    OR(ISBLANK(moras[[#This Row],[TIPO_ASEGURAMIENTO]]), moras[[#This Row],[TIPO_ASEGURAMIENTO]]=""),
    EDA!$A$32,
    moras[[#This Row],[TIPO_ASEGURAMIENTO]]
)</f>
        <v>ASEGURADO VOLUNTARIO</v>
      </c>
    </row>
    <row r="1537" spans="1:16" x14ac:dyDescent="0.3">
      <c r="A1537">
        <v>1536</v>
      </c>
      <c r="B1537" t="s">
        <v>9</v>
      </c>
      <c r="C1537">
        <v>278030</v>
      </c>
      <c r="D1537" t="s">
        <v>19</v>
      </c>
      <c r="E1537" t="s">
        <v>16</v>
      </c>
      <c r="F1537" t="s">
        <v>12</v>
      </c>
      <c r="G1537" t="s">
        <v>13</v>
      </c>
      <c r="H1537" t="s">
        <v>13</v>
      </c>
      <c r="I1537">
        <v>25</v>
      </c>
      <c r="J1537">
        <f>ABS((I1537-EDA!$A$15)/EDA!$B$15)</f>
        <v>1.1983402984526204</v>
      </c>
      <c r="K1537" t="str">
        <f t="shared" si="23"/>
        <v>No</v>
      </c>
      <c r="L1537">
        <f>ABS((C1537-EDA!$F$15)/EDA!$G$15)</f>
        <v>0.37102735674304993</v>
      </c>
      <c r="M1537" t="str">
        <f>IF(moras[[#This Row],[Z-Score Salario]]&gt;1.96, "Sí", "No")</f>
        <v>No</v>
      </c>
      <c r="N1537" s="14">
        <f>IF(ISBLANK(moras[[#This Row],[SALARIO]]), EDA!$M$8, moras[[#This Row],[SALARIO]])</f>
        <v>278030</v>
      </c>
      <c r="O1537" s="14">
        <f xml:space="preserve"> IF(ISBLANK(moras[[#This Row],[EDAD]]), EDA!$E$8, moras[[#This Row],[EDAD]])</f>
        <v>25</v>
      </c>
      <c r="P1537" s="14" t="str">
        <f>IF(
    OR(ISBLANK(moras[[#This Row],[TIPO_ASEGURAMIENTO]]), moras[[#This Row],[TIPO_ASEGURAMIENTO]]=""),
    EDA!$A$32,
    moras[[#This Row],[TIPO_ASEGURAMIENTO]]
)</f>
        <v>CONVENIOS ESPECIALES DE TRABAJADORES INDEPENDIENTES</v>
      </c>
    </row>
    <row r="1538" spans="1:16" x14ac:dyDescent="0.3">
      <c r="A1538">
        <v>1537</v>
      </c>
      <c r="B1538" t="s">
        <v>15</v>
      </c>
      <c r="C1538">
        <v>101340</v>
      </c>
      <c r="D1538" t="s">
        <v>10</v>
      </c>
      <c r="E1538" t="s">
        <v>16</v>
      </c>
      <c r="F1538" t="s">
        <v>12</v>
      </c>
      <c r="G1538" t="s">
        <v>13</v>
      </c>
      <c r="H1538" t="s">
        <v>13</v>
      </c>
      <c r="I1538">
        <v>20</v>
      </c>
      <c r="J1538">
        <f>ABS((I1538-EDA!$A$15)/EDA!$B$15)</f>
        <v>1.5512169488383079</v>
      </c>
      <c r="K1538" t="str">
        <f t="shared" ref="K1538:K1601" si="24">IF(J1538 &gt;  1.96, "Sí","No")</f>
        <v>No</v>
      </c>
      <c r="L1538">
        <f>ABS((C1538-EDA!$F$15)/EDA!$G$15)</f>
        <v>0.37396760307067606</v>
      </c>
      <c r="M1538" t="str">
        <f>IF(moras[[#This Row],[Z-Score Salario]]&gt;1.96, "Sí", "No")</f>
        <v>No</v>
      </c>
      <c r="N1538" s="14">
        <f>IF(ISBLANK(moras[[#This Row],[SALARIO]]), EDA!$M$8, moras[[#This Row],[SALARIO]])</f>
        <v>101340</v>
      </c>
      <c r="O1538" s="14">
        <f xml:space="preserve"> IF(ISBLANK(moras[[#This Row],[EDAD]]), EDA!$E$8, moras[[#This Row],[EDAD]])</f>
        <v>20</v>
      </c>
      <c r="P1538" s="14" t="str">
        <f>IF(
    OR(ISBLANK(moras[[#This Row],[TIPO_ASEGURAMIENTO]]), moras[[#This Row],[TIPO_ASEGURAMIENTO]]=""),
    EDA!$A$32,
    moras[[#This Row],[TIPO_ASEGURAMIENTO]]
)</f>
        <v>ASALARIADO</v>
      </c>
    </row>
    <row r="1539" spans="1:16" x14ac:dyDescent="0.3">
      <c r="A1539">
        <v>1538</v>
      </c>
      <c r="B1539" t="s">
        <v>15</v>
      </c>
      <c r="C1539">
        <v>3976309</v>
      </c>
      <c r="D1539" t="s">
        <v>10</v>
      </c>
      <c r="E1539" t="s">
        <v>16</v>
      </c>
      <c r="F1539" t="s">
        <v>12</v>
      </c>
      <c r="G1539" t="s">
        <v>13</v>
      </c>
      <c r="H1539" t="s">
        <v>13</v>
      </c>
      <c r="I1539">
        <v>32</v>
      </c>
      <c r="J1539">
        <f>ABS((I1539-EDA!$A$15)/EDA!$B$15)</f>
        <v>0.70431298791265773</v>
      </c>
      <c r="K1539" t="str">
        <f t="shared" si="24"/>
        <v>No</v>
      </c>
      <c r="L1539">
        <f>ABS((C1539-EDA!$F$15)/EDA!$G$15)</f>
        <v>0.30948538352279525</v>
      </c>
      <c r="M1539" t="str">
        <f>IF(moras[[#This Row],[Z-Score Salario]]&gt;1.96, "Sí", "No")</f>
        <v>No</v>
      </c>
      <c r="N1539" s="14">
        <f>IF(ISBLANK(moras[[#This Row],[SALARIO]]), EDA!$M$8, moras[[#This Row],[SALARIO]])</f>
        <v>3976309</v>
      </c>
      <c r="O1539" s="14">
        <f xml:space="preserve"> IF(ISBLANK(moras[[#This Row],[EDAD]]), EDA!$E$8, moras[[#This Row],[EDAD]])</f>
        <v>32</v>
      </c>
      <c r="P1539" s="14" t="str">
        <f>IF(
    OR(ISBLANK(moras[[#This Row],[TIPO_ASEGURAMIENTO]]), moras[[#This Row],[TIPO_ASEGURAMIENTO]]=""),
    EDA!$A$32,
    moras[[#This Row],[TIPO_ASEGURAMIENTO]]
)</f>
        <v>ASALARIADO</v>
      </c>
    </row>
    <row r="1540" spans="1:16" x14ac:dyDescent="0.3">
      <c r="A1540">
        <v>1539</v>
      </c>
      <c r="B1540" t="s">
        <v>9</v>
      </c>
      <c r="C1540">
        <v>500060</v>
      </c>
      <c r="D1540" t="s">
        <v>10</v>
      </c>
      <c r="E1540" t="s">
        <v>16</v>
      </c>
      <c r="F1540" t="s">
        <v>12</v>
      </c>
      <c r="G1540" t="s">
        <v>12</v>
      </c>
      <c r="H1540" t="s">
        <v>12</v>
      </c>
      <c r="I1540">
        <v>49</v>
      </c>
      <c r="J1540">
        <f>ABS((I1540-EDA!$A$15)/EDA!$B$15)</f>
        <v>0.49546762339867978</v>
      </c>
      <c r="K1540" t="str">
        <f t="shared" si="24"/>
        <v>No</v>
      </c>
      <c r="L1540">
        <f>ABS((C1540-EDA!$F$15)/EDA!$G$15)</f>
        <v>0.3673326208093648</v>
      </c>
      <c r="M1540" t="str">
        <f>IF(moras[[#This Row],[Z-Score Salario]]&gt;1.96, "Sí", "No")</f>
        <v>No</v>
      </c>
      <c r="N1540" s="14">
        <f>IF(ISBLANK(moras[[#This Row],[SALARIO]]), EDA!$M$8, moras[[#This Row],[SALARIO]])</f>
        <v>500060</v>
      </c>
      <c r="O1540" s="14">
        <f xml:space="preserve"> IF(ISBLANK(moras[[#This Row],[EDAD]]), EDA!$E$8, moras[[#This Row],[EDAD]])</f>
        <v>49</v>
      </c>
      <c r="P1540" s="14" t="str">
        <f>IF(
    OR(ISBLANK(moras[[#This Row],[TIPO_ASEGURAMIENTO]]), moras[[#This Row],[TIPO_ASEGURAMIENTO]]=""),
    EDA!$A$32,
    moras[[#This Row],[TIPO_ASEGURAMIENTO]]
)</f>
        <v>ASALARIADO</v>
      </c>
    </row>
    <row r="1541" spans="1:16" x14ac:dyDescent="0.3">
      <c r="A1541">
        <v>1540</v>
      </c>
      <c r="B1541" t="s">
        <v>15</v>
      </c>
      <c r="C1541">
        <v>1000000</v>
      </c>
      <c r="D1541" t="s">
        <v>10</v>
      </c>
      <c r="E1541" t="s">
        <v>16</v>
      </c>
      <c r="F1541" t="s">
        <v>12</v>
      </c>
      <c r="G1541" t="s">
        <v>13</v>
      </c>
      <c r="H1541" t="s">
        <v>13</v>
      </c>
      <c r="I1541">
        <v>22</v>
      </c>
      <c r="J1541">
        <f>ABS((I1541-EDA!$A$15)/EDA!$B$15)</f>
        <v>1.4100662886840327</v>
      </c>
      <c r="K1541" t="str">
        <f t="shared" si="24"/>
        <v>No</v>
      </c>
      <c r="L1541">
        <f>ABS((C1541-EDA!$F$15)/EDA!$G$15)</f>
        <v>0.35901326629562091</v>
      </c>
      <c r="M1541" t="str">
        <f>IF(moras[[#This Row],[Z-Score Salario]]&gt;1.96, "Sí", "No")</f>
        <v>No</v>
      </c>
      <c r="N1541" s="14">
        <f>IF(ISBLANK(moras[[#This Row],[SALARIO]]), EDA!$M$8, moras[[#This Row],[SALARIO]])</f>
        <v>1000000</v>
      </c>
      <c r="O1541" s="14">
        <f xml:space="preserve"> IF(ISBLANK(moras[[#This Row],[EDAD]]), EDA!$E$8, moras[[#This Row],[EDAD]])</f>
        <v>22</v>
      </c>
      <c r="P1541" s="14" t="str">
        <f>IF(
    OR(ISBLANK(moras[[#This Row],[TIPO_ASEGURAMIENTO]]), moras[[#This Row],[TIPO_ASEGURAMIENTO]]=""),
    EDA!$A$32,
    moras[[#This Row],[TIPO_ASEGURAMIENTO]]
)</f>
        <v>ASALARIADO</v>
      </c>
    </row>
    <row r="1542" spans="1:16" x14ac:dyDescent="0.3">
      <c r="A1542">
        <v>1541</v>
      </c>
      <c r="B1542" t="s">
        <v>15</v>
      </c>
      <c r="C1542">
        <v>308568</v>
      </c>
      <c r="D1542" t="s">
        <v>17</v>
      </c>
      <c r="E1542" t="s">
        <v>16</v>
      </c>
      <c r="F1542" t="s">
        <v>12</v>
      </c>
      <c r="G1542" t="s">
        <v>13</v>
      </c>
      <c r="H1542" t="s">
        <v>13</v>
      </c>
      <c r="I1542">
        <v>48</v>
      </c>
      <c r="J1542">
        <f>ABS((I1542-EDA!$A$15)/EDA!$B$15)</f>
        <v>0.42489229332154227</v>
      </c>
      <c r="K1542" t="str">
        <f t="shared" si="24"/>
        <v>No</v>
      </c>
      <c r="L1542">
        <f>ABS((C1542-EDA!$F$15)/EDA!$G$15)</f>
        <v>0.37051918286590324</v>
      </c>
      <c r="M1542" t="str">
        <f>IF(moras[[#This Row],[Z-Score Salario]]&gt;1.96, "Sí", "No")</f>
        <v>No</v>
      </c>
      <c r="N1542" s="14">
        <f>IF(ISBLANK(moras[[#This Row],[SALARIO]]), EDA!$M$8, moras[[#This Row],[SALARIO]])</f>
        <v>308568</v>
      </c>
      <c r="O1542" s="14">
        <f xml:space="preserve"> IF(ISBLANK(moras[[#This Row],[EDAD]]), EDA!$E$8, moras[[#This Row],[EDAD]])</f>
        <v>48</v>
      </c>
      <c r="P1542" s="14" t="str">
        <f>IF(
    OR(ISBLANK(moras[[#This Row],[TIPO_ASEGURAMIENTO]]), moras[[#This Row],[TIPO_ASEGURAMIENTO]]=""),
    EDA!$A$32,
    moras[[#This Row],[TIPO_ASEGURAMIENTO]]
)</f>
        <v>ASEGURADO VOLUNTARIO</v>
      </c>
    </row>
    <row r="1543" spans="1:16" x14ac:dyDescent="0.3">
      <c r="A1543">
        <v>1542</v>
      </c>
      <c r="B1543" t="s">
        <v>9</v>
      </c>
      <c r="C1543">
        <v>297046</v>
      </c>
      <c r="D1543" t="s">
        <v>18</v>
      </c>
      <c r="E1543" t="s">
        <v>16</v>
      </c>
      <c r="F1543" t="s">
        <v>12</v>
      </c>
      <c r="G1543" t="s">
        <v>12</v>
      </c>
      <c r="H1543" t="s">
        <v>13</v>
      </c>
      <c r="I1543">
        <v>35</v>
      </c>
      <c r="J1543">
        <f>ABS((I1543-EDA!$A$15)/EDA!$B$15)</f>
        <v>0.49258699768124525</v>
      </c>
      <c r="K1543" t="str">
        <f t="shared" si="24"/>
        <v>No</v>
      </c>
      <c r="L1543">
        <f>ABS((C1543-EDA!$F$15)/EDA!$G$15)</f>
        <v>0.37071091707942361</v>
      </c>
      <c r="M1543" t="str">
        <f>IF(moras[[#This Row],[Z-Score Salario]]&gt;1.96, "Sí", "No")</f>
        <v>No</v>
      </c>
      <c r="N1543" s="14">
        <f>IF(ISBLANK(moras[[#This Row],[SALARIO]]), EDA!$M$8, moras[[#This Row],[SALARIO]])</f>
        <v>297046</v>
      </c>
      <c r="O1543" s="14">
        <f xml:space="preserve"> IF(ISBLANK(moras[[#This Row],[EDAD]]), EDA!$E$8, moras[[#This Row],[EDAD]])</f>
        <v>35</v>
      </c>
      <c r="P1543" s="14" t="str">
        <f>IF(
    OR(ISBLANK(moras[[#This Row],[TIPO_ASEGURAMIENTO]]), moras[[#This Row],[TIPO_ASEGURAMIENTO]]=""),
    EDA!$A$32,
    moras[[#This Row],[TIPO_ASEGURAMIENTO]]
)</f>
        <v>TRABAJADOR INDEPENDIENTE</v>
      </c>
    </row>
    <row r="1544" spans="1:16" x14ac:dyDescent="0.3">
      <c r="A1544">
        <v>1543</v>
      </c>
      <c r="B1544" t="s">
        <v>9</v>
      </c>
      <c r="C1544">
        <v>297046</v>
      </c>
      <c r="D1544" t="s">
        <v>18</v>
      </c>
      <c r="E1544" t="s">
        <v>16</v>
      </c>
      <c r="F1544" t="s">
        <v>12</v>
      </c>
      <c r="G1544" t="s">
        <v>12</v>
      </c>
      <c r="H1544" t="s">
        <v>13</v>
      </c>
      <c r="I1544">
        <v>32</v>
      </c>
      <c r="J1544">
        <f>ABS((I1544-EDA!$A$15)/EDA!$B$15)</f>
        <v>0.70431298791265773</v>
      </c>
      <c r="K1544" t="str">
        <f t="shared" si="24"/>
        <v>No</v>
      </c>
      <c r="L1544">
        <f>ABS((C1544-EDA!$F$15)/EDA!$G$15)</f>
        <v>0.37071091707942361</v>
      </c>
      <c r="M1544" t="str">
        <f>IF(moras[[#This Row],[Z-Score Salario]]&gt;1.96, "Sí", "No")</f>
        <v>No</v>
      </c>
      <c r="N1544" s="14">
        <f>IF(ISBLANK(moras[[#This Row],[SALARIO]]), EDA!$M$8, moras[[#This Row],[SALARIO]])</f>
        <v>297046</v>
      </c>
      <c r="O1544" s="14">
        <f xml:space="preserve"> IF(ISBLANK(moras[[#This Row],[EDAD]]), EDA!$E$8, moras[[#This Row],[EDAD]])</f>
        <v>32</v>
      </c>
      <c r="P1544" s="14" t="str">
        <f>IF(
    OR(ISBLANK(moras[[#This Row],[TIPO_ASEGURAMIENTO]]), moras[[#This Row],[TIPO_ASEGURAMIENTO]]=""),
    EDA!$A$32,
    moras[[#This Row],[TIPO_ASEGURAMIENTO]]
)</f>
        <v>TRABAJADOR INDEPENDIENTE</v>
      </c>
    </row>
    <row r="1545" spans="1:16" x14ac:dyDescent="0.3">
      <c r="A1545">
        <v>1544</v>
      </c>
      <c r="B1545" t="s">
        <v>15</v>
      </c>
      <c r="C1545">
        <v>70414251</v>
      </c>
      <c r="D1545" t="s">
        <v>10</v>
      </c>
      <c r="E1545" t="s">
        <v>16</v>
      </c>
      <c r="F1545" t="s">
        <v>12</v>
      </c>
      <c r="G1545" t="s">
        <v>13</v>
      </c>
      <c r="H1545" t="s">
        <v>13</v>
      </c>
      <c r="I1545">
        <v>41</v>
      </c>
      <c r="J1545">
        <f>ABS((I1545-EDA!$A$15)/EDA!$B$15)</f>
        <v>6.9135017218420233E-2</v>
      </c>
      <c r="K1545" t="str">
        <f t="shared" si="24"/>
        <v>No</v>
      </c>
      <c r="L1545">
        <f>ABS((C1545-EDA!$F$15)/EDA!$G$15)</f>
        <v>0.79608887071081791</v>
      </c>
      <c r="M1545" t="str">
        <f>IF(moras[[#This Row],[Z-Score Salario]]&gt;1.96, "Sí", "No")</f>
        <v>No</v>
      </c>
      <c r="N1545" s="14">
        <f>IF(ISBLANK(moras[[#This Row],[SALARIO]]), EDA!$M$8, moras[[#This Row],[SALARIO]])</f>
        <v>70414251</v>
      </c>
      <c r="O1545" s="14">
        <f xml:space="preserve"> IF(ISBLANK(moras[[#This Row],[EDAD]]), EDA!$E$8, moras[[#This Row],[EDAD]])</f>
        <v>41</v>
      </c>
      <c r="P1545" s="14" t="str">
        <f>IF(
    OR(ISBLANK(moras[[#This Row],[TIPO_ASEGURAMIENTO]]), moras[[#This Row],[TIPO_ASEGURAMIENTO]]=""),
    EDA!$A$32,
    moras[[#This Row],[TIPO_ASEGURAMIENTO]]
)</f>
        <v>ASALARIADO</v>
      </c>
    </row>
    <row r="1546" spans="1:16" x14ac:dyDescent="0.3">
      <c r="A1546">
        <v>1545</v>
      </c>
      <c r="B1546" t="s">
        <v>9</v>
      </c>
      <c r="C1546">
        <v>306667</v>
      </c>
      <c r="D1546" t="s">
        <v>10</v>
      </c>
      <c r="E1546" t="s">
        <v>16</v>
      </c>
      <c r="F1546" t="s">
        <v>12</v>
      </c>
      <c r="G1546" t="s">
        <v>12</v>
      </c>
      <c r="H1546" t="s">
        <v>13</v>
      </c>
      <c r="I1546">
        <v>27</v>
      </c>
      <c r="J1546">
        <f>ABS((I1546-EDA!$A$15)/EDA!$B$15)</f>
        <v>1.0571896382983452</v>
      </c>
      <c r="K1546" t="str">
        <f t="shared" si="24"/>
        <v>No</v>
      </c>
      <c r="L1546">
        <f>ABS((C1546-EDA!$F$15)/EDA!$G$15)</f>
        <v>0.37055081684784236</v>
      </c>
      <c r="M1546" t="str">
        <f>IF(moras[[#This Row],[Z-Score Salario]]&gt;1.96, "Sí", "No")</f>
        <v>No</v>
      </c>
      <c r="N1546" s="14">
        <f>IF(ISBLANK(moras[[#This Row],[SALARIO]]), EDA!$M$8, moras[[#This Row],[SALARIO]])</f>
        <v>306667</v>
      </c>
      <c r="O1546" s="14">
        <f xml:space="preserve"> IF(ISBLANK(moras[[#This Row],[EDAD]]), EDA!$E$8, moras[[#This Row],[EDAD]])</f>
        <v>27</v>
      </c>
      <c r="P1546" s="14" t="str">
        <f>IF(
    OR(ISBLANK(moras[[#This Row],[TIPO_ASEGURAMIENTO]]), moras[[#This Row],[TIPO_ASEGURAMIENTO]]=""),
    EDA!$A$32,
    moras[[#This Row],[TIPO_ASEGURAMIENTO]]
)</f>
        <v>ASALARIADO</v>
      </c>
    </row>
    <row r="1547" spans="1:16" x14ac:dyDescent="0.3">
      <c r="A1547">
        <v>1546</v>
      </c>
      <c r="B1547" t="s">
        <v>15</v>
      </c>
      <c r="C1547">
        <v>639148</v>
      </c>
      <c r="D1547" t="s">
        <v>18</v>
      </c>
      <c r="E1547" t="s">
        <v>16</v>
      </c>
      <c r="F1547" t="s">
        <v>12</v>
      </c>
      <c r="G1547" t="s">
        <v>13</v>
      </c>
      <c r="H1547" t="s">
        <v>13</v>
      </c>
      <c r="I1547">
        <v>68</v>
      </c>
      <c r="J1547">
        <f>ABS((I1547-EDA!$A$15)/EDA!$B$15)</f>
        <v>1.8363988948642924</v>
      </c>
      <c r="K1547" t="str">
        <f t="shared" si="24"/>
        <v>No</v>
      </c>
      <c r="L1547">
        <f>ABS((C1547-EDA!$F$15)/EDA!$G$15)</f>
        <v>0.36501809830544912</v>
      </c>
      <c r="M1547" t="str">
        <f>IF(moras[[#This Row],[Z-Score Salario]]&gt;1.96, "Sí", "No")</f>
        <v>No</v>
      </c>
      <c r="N1547" s="14">
        <f>IF(ISBLANK(moras[[#This Row],[SALARIO]]), EDA!$M$8, moras[[#This Row],[SALARIO]])</f>
        <v>639148</v>
      </c>
      <c r="O1547" s="14">
        <f xml:space="preserve"> IF(ISBLANK(moras[[#This Row],[EDAD]]), EDA!$E$8, moras[[#This Row],[EDAD]])</f>
        <v>68</v>
      </c>
      <c r="P1547" s="14" t="str">
        <f>IF(
    OR(ISBLANK(moras[[#This Row],[TIPO_ASEGURAMIENTO]]), moras[[#This Row],[TIPO_ASEGURAMIENTO]]=""),
    EDA!$A$32,
    moras[[#This Row],[TIPO_ASEGURAMIENTO]]
)</f>
        <v>TRABAJADOR INDEPENDIENTE</v>
      </c>
    </row>
    <row r="1548" spans="1:16" x14ac:dyDescent="0.3">
      <c r="A1548">
        <v>1547</v>
      </c>
      <c r="B1548" t="s">
        <v>9</v>
      </c>
      <c r="C1548">
        <v>43906324</v>
      </c>
      <c r="D1548" t="s">
        <v>10</v>
      </c>
      <c r="E1548" t="s">
        <v>16</v>
      </c>
      <c r="F1548" t="s">
        <v>12</v>
      </c>
      <c r="G1548" t="s">
        <v>13</v>
      </c>
      <c r="H1548" t="s">
        <v>13</v>
      </c>
      <c r="I1548">
        <v>41</v>
      </c>
      <c r="J1548">
        <f>ABS((I1548-EDA!$A$15)/EDA!$B$15)</f>
        <v>6.9135017218420233E-2</v>
      </c>
      <c r="K1548" t="str">
        <f t="shared" si="24"/>
        <v>No</v>
      </c>
      <c r="L1548">
        <f>ABS((C1548-EDA!$F$15)/EDA!$G$15)</f>
        <v>0.35497825316182668</v>
      </c>
      <c r="M1548" t="str">
        <f>IF(moras[[#This Row],[Z-Score Salario]]&gt;1.96, "Sí", "No")</f>
        <v>No</v>
      </c>
      <c r="N1548" s="14">
        <f>IF(ISBLANK(moras[[#This Row],[SALARIO]]), EDA!$M$8, moras[[#This Row],[SALARIO]])</f>
        <v>43906324</v>
      </c>
      <c r="O1548" s="14">
        <f xml:space="preserve"> IF(ISBLANK(moras[[#This Row],[EDAD]]), EDA!$E$8, moras[[#This Row],[EDAD]])</f>
        <v>41</v>
      </c>
      <c r="P1548" s="14" t="str">
        <f>IF(
    OR(ISBLANK(moras[[#This Row],[TIPO_ASEGURAMIENTO]]), moras[[#This Row],[TIPO_ASEGURAMIENTO]]=""),
    EDA!$A$32,
    moras[[#This Row],[TIPO_ASEGURAMIENTO]]
)</f>
        <v>ASALARIADO</v>
      </c>
    </row>
    <row r="1549" spans="1:16" x14ac:dyDescent="0.3">
      <c r="A1549">
        <v>1548</v>
      </c>
      <c r="B1549" t="s">
        <v>15</v>
      </c>
      <c r="C1549">
        <v>35954427</v>
      </c>
      <c r="D1549" t="s">
        <v>21</v>
      </c>
      <c r="E1549" t="s">
        <v>16</v>
      </c>
      <c r="F1549" t="s">
        <v>12</v>
      </c>
      <c r="G1549" t="s">
        <v>12</v>
      </c>
      <c r="H1549" t="s">
        <v>13</v>
      </c>
      <c r="I1549">
        <v>59</v>
      </c>
      <c r="J1549">
        <f>ABS((I1549-EDA!$A$15)/EDA!$B$15)</f>
        <v>1.2012209241700549</v>
      </c>
      <c r="K1549" t="str">
        <f t="shared" si="24"/>
        <v>No</v>
      </c>
      <c r="L1549">
        <f>ABS((C1549-EDA!$F$15)/EDA!$G$15)</f>
        <v>0.22265307374074372</v>
      </c>
      <c r="M1549" t="str">
        <f>IF(moras[[#This Row],[Z-Score Salario]]&gt;1.96, "Sí", "No")</f>
        <v>No</v>
      </c>
      <c r="N1549" s="14">
        <f>IF(ISBLANK(moras[[#This Row],[SALARIO]]), EDA!$M$8, moras[[#This Row],[SALARIO]])</f>
        <v>35954427</v>
      </c>
      <c r="O1549" s="14">
        <f xml:space="preserve"> IF(ISBLANK(moras[[#This Row],[EDAD]]), EDA!$E$8, moras[[#This Row],[EDAD]])</f>
        <v>59</v>
      </c>
      <c r="P1549" s="14" t="str">
        <f>IF(
    OR(ISBLANK(moras[[#This Row],[TIPO_ASEGURAMIENTO]]), moras[[#This Row],[TIPO_ASEGURAMIENTO]]=""),
    EDA!$A$32,
    moras[[#This Row],[TIPO_ASEGURAMIENTO]]
)</f>
        <v>CONVENIOS ESPECIALES DE ASEGURADOS VOLUNTARIOS</v>
      </c>
    </row>
    <row r="1550" spans="1:16" x14ac:dyDescent="0.3">
      <c r="A1550">
        <v>1549</v>
      </c>
      <c r="B1550" t="s">
        <v>15</v>
      </c>
      <c r="C1550">
        <v>313256</v>
      </c>
      <c r="D1550" t="s">
        <v>10</v>
      </c>
      <c r="E1550" t="s">
        <v>16</v>
      </c>
      <c r="F1550" t="s">
        <v>12</v>
      </c>
      <c r="G1550" t="s">
        <v>12</v>
      </c>
      <c r="H1550" t="s">
        <v>13</v>
      </c>
      <c r="I1550">
        <v>34</v>
      </c>
      <c r="J1550">
        <f>ABS((I1550-EDA!$A$15)/EDA!$B$15)</f>
        <v>0.56316232775838282</v>
      </c>
      <c r="K1550" t="str">
        <f t="shared" si="24"/>
        <v>No</v>
      </c>
      <c r="L1550">
        <f>ABS((C1550-EDA!$F$15)/EDA!$G$15)</f>
        <v>0.37044117123658687</v>
      </c>
      <c r="M1550" t="str">
        <f>IF(moras[[#This Row],[Z-Score Salario]]&gt;1.96, "Sí", "No")</f>
        <v>No</v>
      </c>
      <c r="N1550" s="14">
        <f>IF(ISBLANK(moras[[#This Row],[SALARIO]]), EDA!$M$8, moras[[#This Row],[SALARIO]])</f>
        <v>313256</v>
      </c>
      <c r="O1550" s="14">
        <f xml:space="preserve"> IF(ISBLANK(moras[[#This Row],[EDAD]]), EDA!$E$8, moras[[#This Row],[EDAD]])</f>
        <v>34</v>
      </c>
      <c r="P1550" s="14" t="str">
        <f>IF(
    OR(ISBLANK(moras[[#This Row],[TIPO_ASEGURAMIENTO]]), moras[[#This Row],[TIPO_ASEGURAMIENTO]]=""),
    EDA!$A$32,
    moras[[#This Row],[TIPO_ASEGURAMIENTO]]
)</f>
        <v>ASALARIADO</v>
      </c>
    </row>
    <row r="1551" spans="1:16" x14ac:dyDescent="0.3">
      <c r="A1551">
        <v>1550</v>
      </c>
      <c r="B1551" t="s">
        <v>15</v>
      </c>
      <c r="C1551">
        <v>299152</v>
      </c>
      <c r="D1551" t="s">
        <v>10</v>
      </c>
      <c r="E1551" t="s">
        <v>11</v>
      </c>
      <c r="F1551" t="s">
        <v>12</v>
      </c>
      <c r="G1551" t="s">
        <v>13</v>
      </c>
      <c r="H1551" t="s">
        <v>13</v>
      </c>
      <c r="I1551">
        <v>38</v>
      </c>
      <c r="J1551">
        <f>ABS((I1551-EDA!$A$15)/EDA!$B$15)</f>
        <v>0.28086100744983278</v>
      </c>
      <c r="K1551" t="str">
        <f t="shared" si="24"/>
        <v>No</v>
      </c>
      <c r="L1551">
        <f>ABS((C1551-EDA!$F$15)/EDA!$G$15)</f>
        <v>0.3706758717527725</v>
      </c>
      <c r="M1551" t="str">
        <f>IF(moras[[#This Row],[Z-Score Salario]]&gt;1.96, "Sí", "No")</f>
        <v>No</v>
      </c>
      <c r="N1551" s="14">
        <f>IF(ISBLANK(moras[[#This Row],[SALARIO]]), EDA!$M$8, moras[[#This Row],[SALARIO]])</f>
        <v>299152</v>
      </c>
      <c r="O1551" s="14">
        <f xml:space="preserve"> IF(ISBLANK(moras[[#This Row],[EDAD]]), EDA!$E$8, moras[[#This Row],[EDAD]])</f>
        <v>38</v>
      </c>
      <c r="P1551" s="14" t="str">
        <f>IF(
    OR(ISBLANK(moras[[#This Row],[TIPO_ASEGURAMIENTO]]), moras[[#This Row],[TIPO_ASEGURAMIENTO]]=""),
    EDA!$A$32,
    moras[[#This Row],[TIPO_ASEGURAMIENTO]]
)</f>
        <v>ASALARIADO</v>
      </c>
    </row>
    <row r="1552" spans="1:16" x14ac:dyDescent="0.3">
      <c r="A1552">
        <v>1551</v>
      </c>
      <c r="B1552" t="s">
        <v>15</v>
      </c>
      <c r="C1552">
        <v>1397631</v>
      </c>
      <c r="D1552" t="s">
        <v>10</v>
      </c>
      <c r="E1552" t="s">
        <v>11</v>
      </c>
      <c r="F1552" t="s">
        <v>12</v>
      </c>
      <c r="G1552" t="s">
        <v>13</v>
      </c>
      <c r="H1552" t="s">
        <v>12</v>
      </c>
      <c r="I1552">
        <v>48</v>
      </c>
      <c r="J1552">
        <f>ABS((I1552-EDA!$A$15)/EDA!$B$15)</f>
        <v>0.42489229332154227</v>
      </c>
      <c r="K1552" t="str">
        <f t="shared" si="24"/>
        <v>No</v>
      </c>
      <c r="L1552">
        <f>ABS((C1552-EDA!$F$15)/EDA!$G$15)</f>
        <v>0.35239640576304804</v>
      </c>
      <c r="M1552" t="str">
        <f>IF(moras[[#This Row],[Z-Score Salario]]&gt;1.96, "Sí", "No")</f>
        <v>No</v>
      </c>
      <c r="N1552" s="14">
        <f>IF(ISBLANK(moras[[#This Row],[SALARIO]]), EDA!$M$8, moras[[#This Row],[SALARIO]])</f>
        <v>1397631</v>
      </c>
      <c r="O1552" s="14">
        <f xml:space="preserve"> IF(ISBLANK(moras[[#This Row],[EDAD]]), EDA!$E$8, moras[[#This Row],[EDAD]])</f>
        <v>48</v>
      </c>
      <c r="P1552" s="14" t="str">
        <f>IF(
    OR(ISBLANK(moras[[#This Row],[TIPO_ASEGURAMIENTO]]), moras[[#This Row],[TIPO_ASEGURAMIENTO]]=""),
    EDA!$A$32,
    moras[[#This Row],[TIPO_ASEGURAMIENTO]]
)</f>
        <v>ASALARIADO</v>
      </c>
    </row>
    <row r="1553" spans="1:16" x14ac:dyDescent="0.3">
      <c r="A1553">
        <v>1552</v>
      </c>
      <c r="B1553" t="s">
        <v>15</v>
      </c>
      <c r="C1553">
        <v>57183008</v>
      </c>
      <c r="D1553" t="s">
        <v>10</v>
      </c>
      <c r="E1553" t="s">
        <v>16</v>
      </c>
      <c r="F1553" t="s">
        <v>12</v>
      </c>
      <c r="G1553" t="s">
        <v>12</v>
      </c>
      <c r="H1553" t="s">
        <v>13</v>
      </c>
      <c r="I1553">
        <v>33</v>
      </c>
      <c r="J1553">
        <f>ABS((I1553-EDA!$A$15)/EDA!$B$15)</f>
        <v>0.63373765783552027</v>
      </c>
      <c r="K1553" t="str">
        <f t="shared" si="24"/>
        <v>No</v>
      </c>
      <c r="L1553">
        <f>ABS((C1553-EDA!$F$15)/EDA!$G$15)</f>
        <v>0.57591164709500042</v>
      </c>
      <c r="M1553" t="str">
        <f>IF(moras[[#This Row],[Z-Score Salario]]&gt;1.96, "Sí", "No")</f>
        <v>No</v>
      </c>
      <c r="N1553" s="14">
        <f>IF(ISBLANK(moras[[#This Row],[SALARIO]]), EDA!$M$8, moras[[#This Row],[SALARIO]])</f>
        <v>57183008</v>
      </c>
      <c r="O1553" s="14">
        <f xml:space="preserve"> IF(ISBLANK(moras[[#This Row],[EDAD]]), EDA!$E$8, moras[[#This Row],[EDAD]])</f>
        <v>33</v>
      </c>
      <c r="P1553" s="14" t="str">
        <f>IF(
    OR(ISBLANK(moras[[#This Row],[TIPO_ASEGURAMIENTO]]), moras[[#This Row],[TIPO_ASEGURAMIENTO]]=""),
    EDA!$A$32,
    moras[[#This Row],[TIPO_ASEGURAMIENTO]]
)</f>
        <v>ASALARIADO</v>
      </c>
    </row>
    <row r="1554" spans="1:16" x14ac:dyDescent="0.3">
      <c r="A1554">
        <v>1553</v>
      </c>
      <c r="B1554" t="s">
        <v>9</v>
      </c>
      <c r="C1554">
        <v>297046</v>
      </c>
      <c r="D1554" t="s">
        <v>17</v>
      </c>
      <c r="E1554" t="s">
        <v>16</v>
      </c>
      <c r="F1554" t="s">
        <v>12</v>
      </c>
      <c r="G1554" t="s">
        <v>13</v>
      </c>
      <c r="H1554" t="s">
        <v>13</v>
      </c>
      <c r="I1554">
        <v>49</v>
      </c>
      <c r="J1554">
        <f>ABS((I1554-EDA!$A$15)/EDA!$B$15)</f>
        <v>0.49546762339867978</v>
      </c>
      <c r="K1554" t="str">
        <f t="shared" si="24"/>
        <v>No</v>
      </c>
      <c r="L1554">
        <f>ABS((C1554-EDA!$F$15)/EDA!$G$15)</f>
        <v>0.37071091707942361</v>
      </c>
      <c r="M1554" t="str">
        <f>IF(moras[[#This Row],[Z-Score Salario]]&gt;1.96, "Sí", "No")</f>
        <v>No</v>
      </c>
      <c r="N1554" s="14">
        <f>IF(ISBLANK(moras[[#This Row],[SALARIO]]), EDA!$M$8, moras[[#This Row],[SALARIO]])</f>
        <v>297046</v>
      </c>
      <c r="O1554" s="14">
        <f xml:space="preserve"> IF(ISBLANK(moras[[#This Row],[EDAD]]), EDA!$E$8, moras[[#This Row],[EDAD]])</f>
        <v>49</v>
      </c>
      <c r="P1554" s="14" t="str">
        <f>IF(
    OR(ISBLANK(moras[[#This Row],[TIPO_ASEGURAMIENTO]]), moras[[#This Row],[TIPO_ASEGURAMIENTO]]=""),
    EDA!$A$32,
    moras[[#This Row],[TIPO_ASEGURAMIENTO]]
)</f>
        <v>ASEGURADO VOLUNTARIO</v>
      </c>
    </row>
    <row r="1555" spans="1:16" x14ac:dyDescent="0.3">
      <c r="A1555">
        <v>1554</v>
      </c>
      <c r="B1555" t="s">
        <v>15</v>
      </c>
      <c r="C1555">
        <v>240174304</v>
      </c>
      <c r="D1555" t="s">
        <v>10</v>
      </c>
      <c r="E1555" t="s">
        <v>16</v>
      </c>
      <c r="F1555" t="s">
        <v>12</v>
      </c>
      <c r="G1555" t="s">
        <v>13</v>
      </c>
      <c r="H1555" t="s">
        <v>13</v>
      </c>
      <c r="I1555">
        <v>45</v>
      </c>
      <c r="J1555">
        <f>ABS((I1555-EDA!$A$15)/EDA!$B$15)</f>
        <v>0.21316630309012977</v>
      </c>
      <c r="K1555" t="str">
        <f t="shared" si="24"/>
        <v>No</v>
      </c>
      <c r="L1555">
        <f>ABS((C1555-EDA!$F$15)/EDA!$G$15)</f>
        <v>3.6210159883228239</v>
      </c>
      <c r="M1555" t="str">
        <f>IF(moras[[#This Row],[Z-Score Salario]]&gt;1.96, "Sí", "No")</f>
        <v>Sí</v>
      </c>
      <c r="N1555" s="14">
        <f>IF(ISBLANK(moras[[#This Row],[SALARIO]]), EDA!$M$8, moras[[#This Row],[SALARIO]])</f>
        <v>240174304</v>
      </c>
      <c r="O1555" s="14">
        <f xml:space="preserve"> IF(ISBLANK(moras[[#This Row],[EDAD]]), EDA!$E$8, moras[[#This Row],[EDAD]])</f>
        <v>45</v>
      </c>
      <c r="P1555" s="14" t="str">
        <f>IF(
    OR(ISBLANK(moras[[#This Row],[TIPO_ASEGURAMIENTO]]), moras[[#This Row],[TIPO_ASEGURAMIENTO]]=""),
    EDA!$A$32,
    moras[[#This Row],[TIPO_ASEGURAMIENTO]]
)</f>
        <v>ASALARIADO</v>
      </c>
    </row>
    <row r="1556" spans="1:16" x14ac:dyDescent="0.3">
      <c r="A1556">
        <v>1555</v>
      </c>
      <c r="B1556" t="s">
        <v>15</v>
      </c>
      <c r="C1556">
        <v>26347309</v>
      </c>
      <c r="D1556" t="s">
        <v>14</v>
      </c>
      <c r="E1556" t="s">
        <v>11</v>
      </c>
      <c r="F1556" t="s">
        <v>12</v>
      </c>
      <c r="G1556" t="s">
        <v>13</v>
      </c>
      <c r="H1556" t="s">
        <v>13</v>
      </c>
      <c r="I1556">
        <v>73</v>
      </c>
      <c r="J1556">
        <f>ABS((I1556-EDA!$A$15)/EDA!$B$15)</f>
        <v>2.1892755452499797</v>
      </c>
      <c r="K1556" t="str">
        <f t="shared" si="24"/>
        <v>Sí</v>
      </c>
      <c r="L1556">
        <f>ABS((C1556-EDA!$F$15)/EDA!$G$15)</f>
        <v>6.2783848438967796E-2</v>
      </c>
      <c r="M1556" t="str">
        <f>IF(moras[[#This Row],[Z-Score Salario]]&gt;1.96, "Sí", "No")</f>
        <v>No</v>
      </c>
      <c r="N1556" s="14">
        <f>IF(ISBLANK(moras[[#This Row],[SALARIO]]), EDA!$M$8, moras[[#This Row],[SALARIO]])</f>
        <v>26347309</v>
      </c>
      <c r="O1556" s="14">
        <f xml:space="preserve"> IF(ISBLANK(moras[[#This Row],[EDAD]]), EDA!$E$8, moras[[#This Row],[EDAD]])</f>
        <v>73</v>
      </c>
      <c r="P1556" s="14" t="str">
        <f>IF(
    OR(ISBLANK(moras[[#This Row],[TIPO_ASEGURAMIENTO]]), moras[[#This Row],[TIPO_ASEGURAMIENTO]]=""),
    EDA!$A$32,
    moras[[#This Row],[TIPO_ASEGURAMIENTO]]
)</f>
        <v>PENSIONADOS EN SU PROPIO SISTEMA</v>
      </c>
    </row>
    <row r="1557" spans="1:16" x14ac:dyDescent="0.3">
      <c r="A1557">
        <v>1556</v>
      </c>
      <c r="B1557" t="s">
        <v>9</v>
      </c>
      <c r="C1557">
        <v>7642503</v>
      </c>
      <c r="D1557" t="s">
        <v>10</v>
      </c>
      <c r="E1557" t="s">
        <v>11</v>
      </c>
      <c r="F1557" t="s">
        <v>12</v>
      </c>
      <c r="G1557" t="s">
        <v>13</v>
      </c>
      <c r="H1557" t="s">
        <v>13</v>
      </c>
      <c r="I1557">
        <v>45</v>
      </c>
      <c r="J1557">
        <f>ABS((I1557-EDA!$A$15)/EDA!$B$15)</f>
        <v>0.21316630309012977</v>
      </c>
      <c r="K1557" t="str">
        <f t="shared" si="24"/>
        <v>No</v>
      </c>
      <c r="L1557">
        <f>ABS((C1557-EDA!$F$15)/EDA!$G$15)</f>
        <v>0.24847732735173345</v>
      </c>
      <c r="M1557" t="str">
        <f>IF(moras[[#This Row],[Z-Score Salario]]&gt;1.96, "Sí", "No")</f>
        <v>No</v>
      </c>
      <c r="N1557" s="14">
        <f>IF(ISBLANK(moras[[#This Row],[SALARIO]]), EDA!$M$8, moras[[#This Row],[SALARIO]])</f>
        <v>7642503</v>
      </c>
      <c r="O1557" s="14">
        <f xml:space="preserve"> IF(ISBLANK(moras[[#This Row],[EDAD]]), EDA!$E$8, moras[[#This Row],[EDAD]])</f>
        <v>45</v>
      </c>
      <c r="P1557" s="14" t="str">
        <f>IF(
    OR(ISBLANK(moras[[#This Row],[TIPO_ASEGURAMIENTO]]), moras[[#This Row],[TIPO_ASEGURAMIENTO]]=""),
    EDA!$A$32,
    moras[[#This Row],[TIPO_ASEGURAMIENTO]]
)</f>
        <v>ASALARIADO</v>
      </c>
    </row>
    <row r="1558" spans="1:16" x14ac:dyDescent="0.3">
      <c r="A1558">
        <v>1557</v>
      </c>
      <c r="B1558" t="s">
        <v>15</v>
      </c>
      <c r="C1558">
        <v>310124</v>
      </c>
      <c r="D1558" t="s">
        <v>18</v>
      </c>
      <c r="E1558" t="s">
        <v>16</v>
      </c>
      <c r="F1558" t="s">
        <v>13</v>
      </c>
      <c r="G1558" t="s">
        <v>13</v>
      </c>
      <c r="H1558" t="s">
        <v>13</v>
      </c>
      <c r="I1558">
        <v>36</v>
      </c>
      <c r="J1558">
        <f>ABS((I1558-EDA!$A$15)/EDA!$B$15)</f>
        <v>0.42201166760410774</v>
      </c>
      <c r="K1558" t="str">
        <f t="shared" si="24"/>
        <v>No</v>
      </c>
      <c r="L1558">
        <f>ABS((C1558-EDA!$F$15)/EDA!$G$15)</f>
        <v>0.37049328992750385</v>
      </c>
      <c r="M1558" t="str">
        <f>IF(moras[[#This Row],[Z-Score Salario]]&gt;1.96, "Sí", "No")</f>
        <v>No</v>
      </c>
      <c r="N1558" s="14">
        <f>IF(ISBLANK(moras[[#This Row],[SALARIO]]), EDA!$M$8, moras[[#This Row],[SALARIO]])</f>
        <v>310124</v>
      </c>
      <c r="O1558" s="14">
        <f xml:space="preserve"> IF(ISBLANK(moras[[#This Row],[EDAD]]), EDA!$E$8, moras[[#This Row],[EDAD]])</f>
        <v>36</v>
      </c>
      <c r="P1558" s="14" t="str">
        <f>IF(
    OR(ISBLANK(moras[[#This Row],[TIPO_ASEGURAMIENTO]]), moras[[#This Row],[TIPO_ASEGURAMIENTO]]=""),
    EDA!$A$32,
    moras[[#This Row],[TIPO_ASEGURAMIENTO]]
)</f>
        <v>TRABAJADOR INDEPENDIENTE</v>
      </c>
    </row>
    <row r="1559" spans="1:16" x14ac:dyDescent="0.3">
      <c r="A1559">
        <v>1558</v>
      </c>
      <c r="B1559" t="s">
        <v>15</v>
      </c>
      <c r="C1559">
        <v>4129235</v>
      </c>
      <c r="D1559" t="s">
        <v>10</v>
      </c>
      <c r="E1559" t="s">
        <v>11</v>
      </c>
      <c r="F1559" t="s">
        <v>12</v>
      </c>
      <c r="G1559" t="s">
        <v>13</v>
      </c>
      <c r="H1559" t="s">
        <v>13</v>
      </c>
      <c r="I1559">
        <v>30</v>
      </c>
      <c r="J1559">
        <f>ABS((I1559-EDA!$A$15)/EDA!$B$15)</f>
        <v>0.84546364806693275</v>
      </c>
      <c r="K1559" t="str">
        <f t="shared" si="24"/>
        <v>No</v>
      </c>
      <c r="L1559">
        <f>ABS((C1559-EDA!$F$15)/EDA!$G$15)</f>
        <v>0.30694058693046661</v>
      </c>
      <c r="M1559" t="str">
        <f>IF(moras[[#This Row],[Z-Score Salario]]&gt;1.96, "Sí", "No")</f>
        <v>No</v>
      </c>
      <c r="N1559" s="14">
        <f>IF(ISBLANK(moras[[#This Row],[SALARIO]]), EDA!$M$8, moras[[#This Row],[SALARIO]])</f>
        <v>4129235</v>
      </c>
      <c r="O1559" s="14">
        <f xml:space="preserve"> IF(ISBLANK(moras[[#This Row],[EDAD]]), EDA!$E$8, moras[[#This Row],[EDAD]])</f>
        <v>30</v>
      </c>
      <c r="P1559" s="14" t="str">
        <f>IF(
    OR(ISBLANK(moras[[#This Row],[TIPO_ASEGURAMIENTO]]), moras[[#This Row],[TIPO_ASEGURAMIENTO]]=""),
    EDA!$A$32,
    moras[[#This Row],[TIPO_ASEGURAMIENTO]]
)</f>
        <v>ASALARIADO</v>
      </c>
    </row>
    <row r="1560" spans="1:16" x14ac:dyDescent="0.3">
      <c r="A1560">
        <v>1559</v>
      </c>
      <c r="B1560" t="s">
        <v>9</v>
      </c>
      <c r="C1560">
        <v>639148</v>
      </c>
      <c r="D1560" t="s">
        <v>18</v>
      </c>
      <c r="E1560" t="s">
        <v>16</v>
      </c>
      <c r="F1560" t="s">
        <v>12</v>
      </c>
      <c r="G1560" t="s">
        <v>12</v>
      </c>
      <c r="H1560" t="s">
        <v>12</v>
      </c>
      <c r="I1560">
        <v>47</v>
      </c>
      <c r="J1560">
        <f>ABS((I1560-EDA!$A$15)/EDA!$B$15)</f>
        <v>0.35431696324440481</v>
      </c>
      <c r="K1560" t="str">
        <f t="shared" si="24"/>
        <v>No</v>
      </c>
      <c r="L1560">
        <f>ABS((C1560-EDA!$F$15)/EDA!$G$15)</f>
        <v>0.36501809830544912</v>
      </c>
      <c r="M1560" t="str">
        <f>IF(moras[[#This Row],[Z-Score Salario]]&gt;1.96, "Sí", "No")</f>
        <v>No</v>
      </c>
      <c r="N1560" s="14">
        <f>IF(ISBLANK(moras[[#This Row],[SALARIO]]), EDA!$M$8, moras[[#This Row],[SALARIO]])</f>
        <v>639148</v>
      </c>
      <c r="O1560" s="14">
        <f xml:space="preserve"> IF(ISBLANK(moras[[#This Row],[EDAD]]), EDA!$E$8, moras[[#This Row],[EDAD]])</f>
        <v>47</v>
      </c>
      <c r="P1560" s="14" t="str">
        <f>IF(
    OR(ISBLANK(moras[[#This Row],[TIPO_ASEGURAMIENTO]]), moras[[#This Row],[TIPO_ASEGURAMIENTO]]=""),
    EDA!$A$32,
    moras[[#This Row],[TIPO_ASEGURAMIENTO]]
)</f>
        <v>TRABAJADOR INDEPENDIENTE</v>
      </c>
    </row>
    <row r="1561" spans="1:16" x14ac:dyDescent="0.3">
      <c r="A1561">
        <v>1560</v>
      </c>
      <c r="B1561" t="s">
        <v>15</v>
      </c>
      <c r="C1561">
        <v>787019</v>
      </c>
      <c r="D1561" t="s">
        <v>10</v>
      </c>
      <c r="E1561" t="s">
        <v>16</v>
      </c>
      <c r="F1561" t="s">
        <v>12</v>
      </c>
      <c r="G1561" t="s">
        <v>13</v>
      </c>
      <c r="H1561" t="s">
        <v>13</v>
      </c>
      <c r="I1561">
        <v>45</v>
      </c>
      <c r="J1561">
        <f>ABS((I1561-EDA!$A$15)/EDA!$B$15)</f>
        <v>0.21316630309012977</v>
      </c>
      <c r="K1561" t="str">
        <f t="shared" si="24"/>
        <v>No</v>
      </c>
      <c r="L1561">
        <f>ABS((C1561-EDA!$F$15)/EDA!$G$15)</f>
        <v>0.36255742048150658</v>
      </c>
      <c r="M1561" t="str">
        <f>IF(moras[[#This Row],[Z-Score Salario]]&gt;1.96, "Sí", "No")</f>
        <v>No</v>
      </c>
      <c r="N1561" s="14">
        <f>IF(ISBLANK(moras[[#This Row],[SALARIO]]), EDA!$M$8, moras[[#This Row],[SALARIO]])</f>
        <v>787019</v>
      </c>
      <c r="O1561" s="14">
        <f xml:space="preserve"> IF(ISBLANK(moras[[#This Row],[EDAD]]), EDA!$E$8, moras[[#This Row],[EDAD]])</f>
        <v>45</v>
      </c>
      <c r="P1561" s="14" t="str">
        <f>IF(
    OR(ISBLANK(moras[[#This Row],[TIPO_ASEGURAMIENTO]]), moras[[#This Row],[TIPO_ASEGURAMIENTO]]=""),
    EDA!$A$32,
    moras[[#This Row],[TIPO_ASEGURAMIENTO]]
)</f>
        <v>ASALARIADO</v>
      </c>
    </row>
    <row r="1562" spans="1:16" x14ac:dyDescent="0.3">
      <c r="A1562">
        <v>1561</v>
      </c>
      <c r="B1562" t="s">
        <v>15</v>
      </c>
      <c r="C1562">
        <v>355312</v>
      </c>
      <c r="D1562" t="s">
        <v>10</v>
      </c>
      <c r="E1562" t="s">
        <v>16</v>
      </c>
      <c r="F1562" t="s">
        <v>12</v>
      </c>
      <c r="G1562" t="s">
        <v>13</v>
      </c>
      <c r="H1562" t="s">
        <v>13</v>
      </c>
      <c r="I1562">
        <v>44</v>
      </c>
      <c r="J1562">
        <f>ABS((I1562-EDA!$A$15)/EDA!$B$15)</f>
        <v>0.14259097301299228</v>
      </c>
      <c r="K1562" t="str">
        <f t="shared" si="24"/>
        <v>No</v>
      </c>
      <c r="L1562">
        <f>ABS((C1562-EDA!$F$15)/EDA!$G$15)</f>
        <v>0.36974132970874352</v>
      </c>
      <c r="M1562" t="str">
        <f>IF(moras[[#This Row],[Z-Score Salario]]&gt;1.96, "Sí", "No")</f>
        <v>No</v>
      </c>
      <c r="N1562" s="14">
        <f>IF(ISBLANK(moras[[#This Row],[SALARIO]]), EDA!$M$8, moras[[#This Row],[SALARIO]])</f>
        <v>355312</v>
      </c>
      <c r="O1562" s="14">
        <f xml:space="preserve"> IF(ISBLANK(moras[[#This Row],[EDAD]]), EDA!$E$8, moras[[#This Row],[EDAD]])</f>
        <v>44</v>
      </c>
      <c r="P1562" s="14" t="str">
        <f>IF(
    OR(ISBLANK(moras[[#This Row],[TIPO_ASEGURAMIENTO]]), moras[[#This Row],[TIPO_ASEGURAMIENTO]]=""),
    EDA!$A$32,
    moras[[#This Row],[TIPO_ASEGURAMIENTO]]
)</f>
        <v>ASALARIADO</v>
      </c>
    </row>
    <row r="1563" spans="1:16" x14ac:dyDescent="0.3">
      <c r="A1563">
        <v>1562</v>
      </c>
      <c r="B1563" t="s">
        <v>9</v>
      </c>
      <c r="C1563">
        <v>399910</v>
      </c>
      <c r="D1563" t="s">
        <v>17</v>
      </c>
      <c r="E1563" t="s">
        <v>16</v>
      </c>
      <c r="F1563" t="s">
        <v>12</v>
      </c>
      <c r="G1563" t="s">
        <v>12</v>
      </c>
      <c r="H1563" t="s">
        <v>13</v>
      </c>
      <c r="I1563">
        <v>46</v>
      </c>
      <c r="J1563">
        <f>ABS((I1563-EDA!$A$15)/EDA!$B$15)</f>
        <v>0.2837416331672673</v>
      </c>
      <c r="K1563" t="str">
        <f t="shared" si="24"/>
        <v>No</v>
      </c>
      <c r="L1563">
        <f>ABS((C1563-EDA!$F$15)/EDA!$G$15)</f>
        <v>0.36899918750647132</v>
      </c>
      <c r="M1563" t="str">
        <f>IF(moras[[#This Row],[Z-Score Salario]]&gt;1.96, "Sí", "No")</f>
        <v>No</v>
      </c>
      <c r="N1563" s="14">
        <f>IF(ISBLANK(moras[[#This Row],[SALARIO]]), EDA!$M$8, moras[[#This Row],[SALARIO]])</f>
        <v>399910</v>
      </c>
      <c r="O1563" s="14">
        <f xml:space="preserve"> IF(ISBLANK(moras[[#This Row],[EDAD]]), EDA!$E$8, moras[[#This Row],[EDAD]])</f>
        <v>46</v>
      </c>
      <c r="P1563" s="14" t="str">
        <f>IF(
    OR(ISBLANK(moras[[#This Row],[TIPO_ASEGURAMIENTO]]), moras[[#This Row],[TIPO_ASEGURAMIENTO]]=""),
    EDA!$A$32,
    moras[[#This Row],[TIPO_ASEGURAMIENTO]]
)</f>
        <v>ASEGURADO VOLUNTARIO</v>
      </c>
    </row>
    <row r="1564" spans="1:16" x14ac:dyDescent="0.3">
      <c r="A1564">
        <v>1563</v>
      </c>
      <c r="B1564" t="s">
        <v>15</v>
      </c>
      <c r="C1564">
        <v>500383</v>
      </c>
      <c r="D1564" t="s">
        <v>10</v>
      </c>
      <c r="E1564" t="s">
        <v>16</v>
      </c>
      <c r="F1564" t="s">
        <v>12</v>
      </c>
      <c r="G1564" t="s">
        <v>13</v>
      </c>
      <c r="H1564" t="s">
        <v>13</v>
      </c>
      <c r="I1564">
        <v>36</v>
      </c>
      <c r="J1564">
        <f>ABS((I1564-EDA!$A$15)/EDA!$B$15)</f>
        <v>0.42201166760410774</v>
      </c>
      <c r="K1564" t="str">
        <f t="shared" si="24"/>
        <v>No</v>
      </c>
      <c r="L1564">
        <f>ABS((C1564-EDA!$F$15)/EDA!$G$15)</f>
        <v>0.36732724586135512</v>
      </c>
      <c r="M1564" t="str">
        <f>IF(moras[[#This Row],[Z-Score Salario]]&gt;1.96, "Sí", "No")</f>
        <v>No</v>
      </c>
      <c r="N1564" s="14">
        <f>IF(ISBLANK(moras[[#This Row],[SALARIO]]), EDA!$M$8, moras[[#This Row],[SALARIO]])</f>
        <v>500383</v>
      </c>
      <c r="O1564" s="14">
        <f xml:space="preserve"> IF(ISBLANK(moras[[#This Row],[EDAD]]), EDA!$E$8, moras[[#This Row],[EDAD]])</f>
        <v>36</v>
      </c>
      <c r="P1564" s="14" t="str">
        <f>IF(
    OR(ISBLANK(moras[[#This Row],[TIPO_ASEGURAMIENTO]]), moras[[#This Row],[TIPO_ASEGURAMIENTO]]=""),
    EDA!$A$32,
    moras[[#This Row],[TIPO_ASEGURAMIENTO]]
)</f>
        <v>ASALARIADO</v>
      </c>
    </row>
    <row r="1565" spans="1:16" x14ac:dyDescent="0.3">
      <c r="A1565">
        <v>1564</v>
      </c>
      <c r="B1565" t="s">
        <v>9</v>
      </c>
      <c r="C1565">
        <v>106954474</v>
      </c>
      <c r="D1565" t="s">
        <v>10</v>
      </c>
      <c r="E1565" t="s">
        <v>16</v>
      </c>
      <c r="F1565" t="s">
        <v>12</v>
      </c>
      <c r="G1565" t="s">
        <v>13</v>
      </c>
      <c r="H1565" t="s">
        <v>13</v>
      </c>
      <c r="I1565">
        <v>46</v>
      </c>
      <c r="J1565">
        <f>ABS((I1565-EDA!$A$15)/EDA!$B$15)</f>
        <v>0.2837416331672673</v>
      </c>
      <c r="K1565" t="str">
        <f t="shared" si="24"/>
        <v>No</v>
      </c>
      <c r="L1565">
        <f>ABS((C1565-EDA!$F$15)/EDA!$G$15)</f>
        <v>1.404143975619921</v>
      </c>
      <c r="M1565" t="str">
        <f>IF(moras[[#This Row],[Z-Score Salario]]&gt;1.96, "Sí", "No")</f>
        <v>No</v>
      </c>
      <c r="N1565" s="14">
        <f>IF(ISBLANK(moras[[#This Row],[SALARIO]]), EDA!$M$8, moras[[#This Row],[SALARIO]])</f>
        <v>106954474</v>
      </c>
      <c r="O1565" s="14">
        <f xml:space="preserve"> IF(ISBLANK(moras[[#This Row],[EDAD]]), EDA!$E$8, moras[[#This Row],[EDAD]])</f>
        <v>46</v>
      </c>
      <c r="P1565" s="14" t="str">
        <f>IF(
    OR(ISBLANK(moras[[#This Row],[TIPO_ASEGURAMIENTO]]), moras[[#This Row],[TIPO_ASEGURAMIENTO]]=""),
    EDA!$A$32,
    moras[[#This Row],[TIPO_ASEGURAMIENTO]]
)</f>
        <v>ASALARIADO</v>
      </c>
    </row>
    <row r="1566" spans="1:16" x14ac:dyDescent="0.3">
      <c r="A1566">
        <v>1565</v>
      </c>
      <c r="B1566" t="s">
        <v>15</v>
      </c>
      <c r="C1566">
        <v>284512</v>
      </c>
      <c r="D1566" t="s">
        <v>10</v>
      </c>
      <c r="E1566" t="s">
        <v>16</v>
      </c>
      <c r="F1566" t="s">
        <v>12</v>
      </c>
      <c r="G1566" t="s">
        <v>13</v>
      </c>
      <c r="H1566" t="s">
        <v>13</v>
      </c>
      <c r="I1566">
        <v>29</v>
      </c>
      <c r="J1566">
        <f>ABS((I1566-EDA!$A$15)/EDA!$B$15)</f>
        <v>0.91603897814407031</v>
      </c>
      <c r="K1566" t="str">
        <f t="shared" si="24"/>
        <v>No</v>
      </c>
      <c r="L1566">
        <f>ABS((C1566-EDA!$F$15)/EDA!$G$15)</f>
        <v>0.37091949168732707</v>
      </c>
      <c r="M1566" t="str">
        <f>IF(moras[[#This Row],[Z-Score Salario]]&gt;1.96, "Sí", "No")</f>
        <v>No</v>
      </c>
      <c r="N1566" s="14">
        <f>IF(ISBLANK(moras[[#This Row],[SALARIO]]), EDA!$M$8, moras[[#This Row],[SALARIO]])</f>
        <v>284512</v>
      </c>
      <c r="O1566" s="14">
        <f xml:space="preserve"> IF(ISBLANK(moras[[#This Row],[EDAD]]), EDA!$E$8, moras[[#This Row],[EDAD]])</f>
        <v>29</v>
      </c>
      <c r="P1566" s="14" t="str">
        <f>IF(
    OR(ISBLANK(moras[[#This Row],[TIPO_ASEGURAMIENTO]]), moras[[#This Row],[TIPO_ASEGURAMIENTO]]=""),
    EDA!$A$32,
    moras[[#This Row],[TIPO_ASEGURAMIENTO]]
)</f>
        <v>ASALARIADO</v>
      </c>
    </row>
    <row r="1567" spans="1:16" x14ac:dyDescent="0.3">
      <c r="A1567">
        <v>1566</v>
      </c>
      <c r="B1567" t="s">
        <v>9</v>
      </c>
      <c r="C1567">
        <v>2900000</v>
      </c>
      <c r="D1567" t="s">
        <v>10</v>
      </c>
      <c r="E1567" t="s">
        <v>16</v>
      </c>
      <c r="F1567" t="s">
        <v>12</v>
      </c>
      <c r="G1567" t="s">
        <v>13</v>
      </c>
      <c r="H1567" t="s">
        <v>13</v>
      </c>
      <c r="I1567">
        <v>35</v>
      </c>
      <c r="J1567">
        <f>ABS((I1567-EDA!$A$15)/EDA!$B$15)</f>
        <v>0.49258699768124525</v>
      </c>
      <c r="K1567" t="str">
        <f t="shared" si="24"/>
        <v>No</v>
      </c>
      <c r="L1567">
        <f>ABS((C1567-EDA!$F$15)/EDA!$G$15)</f>
        <v>0.3273959250624463</v>
      </c>
      <c r="M1567" t="str">
        <f>IF(moras[[#This Row],[Z-Score Salario]]&gt;1.96, "Sí", "No")</f>
        <v>No</v>
      </c>
      <c r="N1567" s="14">
        <f>IF(ISBLANK(moras[[#This Row],[SALARIO]]), EDA!$M$8, moras[[#This Row],[SALARIO]])</f>
        <v>2900000</v>
      </c>
      <c r="O1567" s="14">
        <f xml:space="preserve"> IF(ISBLANK(moras[[#This Row],[EDAD]]), EDA!$E$8, moras[[#This Row],[EDAD]])</f>
        <v>35</v>
      </c>
      <c r="P1567" s="14" t="str">
        <f>IF(
    OR(ISBLANK(moras[[#This Row],[TIPO_ASEGURAMIENTO]]), moras[[#This Row],[TIPO_ASEGURAMIENTO]]=""),
    EDA!$A$32,
    moras[[#This Row],[TIPO_ASEGURAMIENTO]]
)</f>
        <v>ASALARIADO</v>
      </c>
    </row>
    <row r="1568" spans="1:16" x14ac:dyDescent="0.3">
      <c r="A1568">
        <v>1567</v>
      </c>
      <c r="B1568" t="s">
        <v>9</v>
      </c>
      <c r="C1568">
        <v>39832708</v>
      </c>
      <c r="D1568" t="s">
        <v>10</v>
      </c>
      <c r="E1568" t="s">
        <v>16</v>
      </c>
      <c r="F1568" t="s">
        <v>12</v>
      </c>
      <c r="G1568" t="s">
        <v>13</v>
      </c>
      <c r="H1568" t="s">
        <v>13</v>
      </c>
      <c r="I1568">
        <v>38</v>
      </c>
      <c r="J1568">
        <f>ABS((I1568-EDA!$A$15)/EDA!$B$15)</f>
        <v>0.28086100744983278</v>
      </c>
      <c r="K1568" t="str">
        <f t="shared" si="24"/>
        <v>No</v>
      </c>
      <c r="L1568">
        <f>ABS((C1568-EDA!$F$15)/EDA!$G$15)</f>
        <v>0.28719040730660567</v>
      </c>
      <c r="M1568" t="str">
        <f>IF(moras[[#This Row],[Z-Score Salario]]&gt;1.96, "Sí", "No")</f>
        <v>No</v>
      </c>
      <c r="N1568" s="14">
        <f>IF(ISBLANK(moras[[#This Row],[SALARIO]]), EDA!$M$8, moras[[#This Row],[SALARIO]])</f>
        <v>39832708</v>
      </c>
      <c r="O1568" s="14">
        <f xml:space="preserve"> IF(ISBLANK(moras[[#This Row],[EDAD]]), EDA!$E$8, moras[[#This Row],[EDAD]])</f>
        <v>38</v>
      </c>
      <c r="P1568" s="14" t="str">
        <f>IF(
    OR(ISBLANK(moras[[#This Row],[TIPO_ASEGURAMIENTO]]), moras[[#This Row],[TIPO_ASEGURAMIENTO]]=""),
    EDA!$A$32,
    moras[[#This Row],[TIPO_ASEGURAMIENTO]]
)</f>
        <v>ASALARIADO</v>
      </c>
    </row>
    <row r="1569" spans="1:16" x14ac:dyDescent="0.3">
      <c r="A1569">
        <v>1568</v>
      </c>
      <c r="B1569" t="s">
        <v>9</v>
      </c>
      <c r="C1569">
        <v>64241854</v>
      </c>
      <c r="D1569" t="s">
        <v>10</v>
      </c>
      <c r="E1569" t="s">
        <v>16</v>
      </c>
      <c r="F1569" t="s">
        <v>12</v>
      </c>
      <c r="G1569" t="s">
        <v>13</v>
      </c>
      <c r="H1569" t="s">
        <v>13</v>
      </c>
      <c r="I1569">
        <v>53</v>
      </c>
      <c r="J1569">
        <f>ABS((I1569-EDA!$A$15)/EDA!$B$15)</f>
        <v>0.77776894370722982</v>
      </c>
      <c r="K1569" t="str">
        <f t="shared" si="24"/>
        <v>No</v>
      </c>
      <c r="L1569">
        <f>ABS((C1569-EDA!$F$15)/EDA!$G$15)</f>
        <v>0.69337582746048976</v>
      </c>
      <c r="M1569" t="str">
        <f>IF(moras[[#This Row],[Z-Score Salario]]&gt;1.96, "Sí", "No")</f>
        <v>No</v>
      </c>
      <c r="N1569" s="14">
        <f>IF(ISBLANK(moras[[#This Row],[SALARIO]]), EDA!$M$8, moras[[#This Row],[SALARIO]])</f>
        <v>64241854</v>
      </c>
      <c r="O1569" s="14">
        <f xml:space="preserve"> IF(ISBLANK(moras[[#This Row],[EDAD]]), EDA!$E$8, moras[[#This Row],[EDAD]])</f>
        <v>53</v>
      </c>
      <c r="P1569" s="14" t="str">
        <f>IF(
    OR(ISBLANK(moras[[#This Row],[TIPO_ASEGURAMIENTO]]), moras[[#This Row],[TIPO_ASEGURAMIENTO]]=""),
    EDA!$A$32,
    moras[[#This Row],[TIPO_ASEGURAMIENTO]]
)</f>
        <v>ASALARIADO</v>
      </c>
    </row>
    <row r="1570" spans="1:16" x14ac:dyDescent="0.3">
      <c r="A1570">
        <v>1569</v>
      </c>
      <c r="B1570" t="s">
        <v>9</v>
      </c>
      <c r="C1570">
        <v>509509</v>
      </c>
      <c r="D1570" t="s">
        <v>18</v>
      </c>
      <c r="E1570" t="s">
        <v>16</v>
      </c>
      <c r="F1570" t="s">
        <v>12</v>
      </c>
      <c r="G1570" t="s">
        <v>13</v>
      </c>
      <c r="H1570" t="s">
        <v>13</v>
      </c>
      <c r="I1570">
        <v>56</v>
      </c>
      <c r="J1570">
        <f>ABS((I1570-EDA!$A$15)/EDA!$B$15)</f>
        <v>0.9894949339386423</v>
      </c>
      <c r="K1570" t="str">
        <f t="shared" si="24"/>
        <v>No</v>
      </c>
      <c r="L1570">
        <f>ABS((C1570-EDA!$F$15)/EDA!$G$15)</f>
        <v>0.36717538277920042</v>
      </c>
      <c r="M1570" t="str">
        <f>IF(moras[[#This Row],[Z-Score Salario]]&gt;1.96, "Sí", "No")</f>
        <v>No</v>
      </c>
      <c r="N1570" s="14">
        <f>IF(ISBLANK(moras[[#This Row],[SALARIO]]), EDA!$M$8, moras[[#This Row],[SALARIO]])</f>
        <v>509509</v>
      </c>
      <c r="O1570" s="14">
        <f xml:space="preserve"> IF(ISBLANK(moras[[#This Row],[EDAD]]), EDA!$E$8, moras[[#This Row],[EDAD]])</f>
        <v>56</v>
      </c>
      <c r="P1570" s="14" t="str">
        <f>IF(
    OR(ISBLANK(moras[[#This Row],[TIPO_ASEGURAMIENTO]]), moras[[#This Row],[TIPO_ASEGURAMIENTO]]=""),
    EDA!$A$32,
    moras[[#This Row],[TIPO_ASEGURAMIENTO]]
)</f>
        <v>TRABAJADOR INDEPENDIENTE</v>
      </c>
    </row>
    <row r="1571" spans="1:16" x14ac:dyDescent="0.3">
      <c r="A1571">
        <v>1570</v>
      </c>
      <c r="B1571" t="s">
        <v>9</v>
      </c>
      <c r="C1571">
        <v>608941</v>
      </c>
      <c r="D1571" t="s">
        <v>18</v>
      </c>
      <c r="E1571" t="s">
        <v>16</v>
      </c>
      <c r="F1571" t="s">
        <v>12</v>
      </c>
      <c r="G1571" t="s">
        <v>13</v>
      </c>
      <c r="H1571" t="s">
        <v>12</v>
      </c>
      <c r="I1571">
        <v>57</v>
      </c>
      <c r="J1571">
        <f>ABS((I1571-EDA!$A$15)/EDA!$B$15)</f>
        <v>1.0600702640157798</v>
      </c>
      <c r="K1571" t="str">
        <f t="shared" si="24"/>
        <v>No</v>
      </c>
      <c r="L1571">
        <f>ABS((C1571-EDA!$F$15)/EDA!$G$15)</f>
        <v>0.36552076410893886</v>
      </c>
      <c r="M1571" t="str">
        <f>IF(moras[[#This Row],[Z-Score Salario]]&gt;1.96, "Sí", "No")</f>
        <v>No</v>
      </c>
      <c r="N1571" s="14">
        <f>IF(ISBLANK(moras[[#This Row],[SALARIO]]), EDA!$M$8, moras[[#This Row],[SALARIO]])</f>
        <v>608941</v>
      </c>
      <c r="O1571" s="14">
        <f xml:space="preserve"> IF(ISBLANK(moras[[#This Row],[EDAD]]), EDA!$E$8, moras[[#This Row],[EDAD]])</f>
        <v>57</v>
      </c>
      <c r="P1571" s="14" t="str">
        <f>IF(
    OR(ISBLANK(moras[[#This Row],[TIPO_ASEGURAMIENTO]]), moras[[#This Row],[TIPO_ASEGURAMIENTO]]=""),
    EDA!$A$32,
    moras[[#This Row],[TIPO_ASEGURAMIENTO]]
)</f>
        <v>TRABAJADOR INDEPENDIENTE</v>
      </c>
    </row>
    <row r="1572" spans="1:16" x14ac:dyDescent="0.3">
      <c r="A1572">
        <v>1571</v>
      </c>
      <c r="B1572" t="s">
        <v>9</v>
      </c>
      <c r="C1572">
        <v>53715698</v>
      </c>
      <c r="D1572" t="s">
        <v>10</v>
      </c>
      <c r="E1572" t="s">
        <v>16</v>
      </c>
      <c r="F1572" t="s">
        <v>12</v>
      </c>
      <c r="G1572" t="s">
        <v>13</v>
      </c>
      <c r="H1572" t="s">
        <v>13</v>
      </c>
      <c r="I1572">
        <v>21</v>
      </c>
      <c r="J1572">
        <f>ABS((I1572-EDA!$A$15)/EDA!$B$15)</f>
        <v>1.4806416187611704</v>
      </c>
      <c r="K1572" t="str">
        <f t="shared" si="24"/>
        <v>No</v>
      </c>
      <c r="L1572">
        <f>ABS((C1572-EDA!$F$15)/EDA!$G$15)</f>
        <v>0.51821316107857995</v>
      </c>
      <c r="M1572" t="str">
        <f>IF(moras[[#This Row],[Z-Score Salario]]&gt;1.96, "Sí", "No")</f>
        <v>No</v>
      </c>
      <c r="N1572" s="14">
        <f>IF(ISBLANK(moras[[#This Row],[SALARIO]]), EDA!$M$8, moras[[#This Row],[SALARIO]])</f>
        <v>53715698</v>
      </c>
      <c r="O1572" s="14">
        <f xml:space="preserve"> IF(ISBLANK(moras[[#This Row],[EDAD]]), EDA!$E$8, moras[[#This Row],[EDAD]])</f>
        <v>21</v>
      </c>
      <c r="P1572" s="14" t="str">
        <f>IF(
    OR(ISBLANK(moras[[#This Row],[TIPO_ASEGURAMIENTO]]), moras[[#This Row],[TIPO_ASEGURAMIENTO]]=""),
    EDA!$A$32,
    moras[[#This Row],[TIPO_ASEGURAMIENTO]]
)</f>
        <v>ASALARIADO</v>
      </c>
    </row>
    <row r="1573" spans="1:16" x14ac:dyDescent="0.3">
      <c r="A1573">
        <v>1572</v>
      </c>
      <c r="B1573" t="s">
        <v>15</v>
      </c>
      <c r="C1573">
        <v>1545800</v>
      </c>
      <c r="D1573" t="s">
        <v>10</v>
      </c>
      <c r="E1573" t="s">
        <v>11</v>
      </c>
      <c r="F1573" t="s">
        <v>12</v>
      </c>
      <c r="G1573" t="s">
        <v>13</v>
      </c>
      <c r="H1573" t="s">
        <v>13</v>
      </c>
      <c r="I1573">
        <v>55</v>
      </c>
      <c r="J1573">
        <f>ABS((I1573-EDA!$A$15)/EDA!$B$15)</f>
        <v>0.91891960386150484</v>
      </c>
      <c r="K1573" t="str">
        <f t="shared" si="24"/>
        <v>No</v>
      </c>
      <c r="L1573">
        <f>ABS((C1573-EDA!$F$15)/EDA!$G$15)</f>
        <v>0.3499307690087437</v>
      </c>
      <c r="M1573" t="str">
        <f>IF(moras[[#This Row],[Z-Score Salario]]&gt;1.96, "Sí", "No")</f>
        <v>No</v>
      </c>
      <c r="N1573" s="14">
        <f>IF(ISBLANK(moras[[#This Row],[SALARIO]]), EDA!$M$8, moras[[#This Row],[SALARIO]])</f>
        <v>1545800</v>
      </c>
      <c r="O1573" s="14">
        <f xml:space="preserve"> IF(ISBLANK(moras[[#This Row],[EDAD]]), EDA!$E$8, moras[[#This Row],[EDAD]])</f>
        <v>55</v>
      </c>
      <c r="P1573" s="14" t="str">
        <f>IF(
    OR(ISBLANK(moras[[#This Row],[TIPO_ASEGURAMIENTO]]), moras[[#This Row],[TIPO_ASEGURAMIENTO]]=""),
    EDA!$A$32,
    moras[[#This Row],[TIPO_ASEGURAMIENTO]]
)</f>
        <v>ASALARIADO</v>
      </c>
    </row>
    <row r="1574" spans="1:16" x14ac:dyDescent="0.3">
      <c r="A1574">
        <v>1573</v>
      </c>
      <c r="B1574" t="s">
        <v>15</v>
      </c>
      <c r="C1574">
        <v>1070405</v>
      </c>
      <c r="D1574" t="s">
        <v>10</v>
      </c>
      <c r="E1574" t="s">
        <v>11</v>
      </c>
      <c r="F1574" t="s">
        <v>12</v>
      </c>
      <c r="G1574" t="s">
        <v>13</v>
      </c>
      <c r="H1574" t="s">
        <v>13</v>
      </c>
      <c r="I1574">
        <v>30</v>
      </c>
      <c r="J1574">
        <f>ABS((I1574-EDA!$A$15)/EDA!$B$15)</f>
        <v>0.84546364806693275</v>
      </c>
      <c r="K1574" t="str">
        <f t="shared" si="24"/>
        <v>No</v>
      </c>
      <c r="L1574">
        <f>ABS((C1574-EDA!$F$15)/EDA!$G$15)</f>
        <v>0.35784167739587269</v>
      </c>
      <c r="M1574" t="str">
        <f>IF(moras[[#This Row],[Z-Score Salario]]&gt;1.96, "Sí", "No")</f>
        <v>No</v>
      </c>
      <c r="N1574" s="14">
        <f>IF(ISBLANK(moras[[#This Row],[SALARIO]]), EDA!$M$8, moras[[#This Row],[SALARIO]])</f>
        <v>1070405</v>
      </c>
      <c r="O1574" s="14">
        <f xml:space="preserve"> IF(ISBLANK(moras[[#This Row],[EDAD]]), EDA!$E$8, moras[[#This Row],[EDAD]])</f>
        <v>30</v>
      </c>
      <c r="P1574" s="14" t="str">
        <f>IF(
    OR(ISBLANK(moras[[#This Row],[TIPO_ASEGURAMIENTO]]), moras[[#This Row],[TIPO_ASEGURAMIENTO]]=""),
    EDA!$A$32,
    moras[[#This Row],[TIPO_ASEGURAMIENTO]]
)</f>
        <v>ASALARIADO</v>
      </c>
    </row>
    <row r="1575" spans="1:16" x14ac:dyDescent="0.3">
      <c r="A1575">
        <v>1574</v>
      </c>
      <c r="B1575" t="s">
        <v>9</v>
      </c>
      <c r="C1575">
        <v>625396</v>
      </c>
      <c r="D1575" t="s">
        <v>18</v>
      </c>
      <c r="E1575" t="s">
        <v>16</v>
      </c>
      <c r="F1575" t="s">
        <v>12</v>
      </c>
      <c r="G1575" t="s">
        <v>13</v>
      </c>
      <c r="H1575" t="s">
        <v>13</v>
      </c>
      <c r="I1575">
        <v>44</v>
      </c>
      <c r="J1575">
        <f>ABS((I1575-EDA!$A$15)/EDA!$B$15)</f>
        <v>0.14259097301299228</v>
      </c>
      <c r="K1575" t="str">
        <f t="shared" si="24"/>
        <v>No</v>
      </c>
      <c r="L1575">
        <f>ABS((C1575-EDA!$F$15)/EDA!$G$15)</f>
        <v>0.36524694129315366</v>
      </c>
      <c r="M1575" t="str">
        <f>IF(moras[[#This Row],[Z-Score Salario]]&gt;1.96, "Sí", "No")</f>
        <v>No</v>
      </c>
      <c r="N1575" s="14">
        <f>IF(ISBLANK(moras[[#This Row],[SALARIO]]), EDA!$M$8, moras[[#This Row],[SALARIO]])</f>
        <v>625396</v>
      </c>
      <c r="O1575" s="14">
        <f xml:space="preserve"> IF(ISBLANK(moras[[#This Row],[EDAD]]), EDA!$E$8, moras[[#This Row],[EDAD]])</f>
        <v>44</v>
      </c>
      <c r="P1575" s="14" t="str">
        <f>IF(
    OR(ISBLANK(moras[[#This Row],[TIPO_ASEGURAMIENTO]]), moras[[#This Row],[TIPO_ASEGURAMIENTO]]=""),
    EDA!$A$32,
    moras[[#This Row],[TIPO_ASEGURAMIENTO]]
)</f>
        <v>TRABAJADOR INDEPENDIENTE</v>
      </c>
    </row>
    <row r="1576" spans="1:16" x14ac:dyDescent="0.3">
      <c r="A1576">
        <v>1575</v>
      </c>
      <c r="B1576" t="s">
        <v>15</v>
      </c>
      <c r="C1576">
        <v>925000</v>
      </c>
      <c r="D1576" t="s">
        <v>10</v>
      </c>
      <c r="E1576" t="s">
        <v>16</v>
      </c>
      <c r="F1576" t="s">
        <v>12</v>
      </c>
      <c r="G1576" t="s">
        <v>13</v>
      </c>
      <c r="H1576" t="s">
        <v>13</v>
      </c>
      <c r="I1576">
        <v>49</v>
      </c>
      <c r="J1576">
        <f>ABS((I1576-EDA!$A$15)/EDA!$B$15)</f>
        <v>0.49546762339867978</v>
      </c>
      <c r="K1576" t="str">
        <f t="shared" si="24"/>
        <v>No</v>
      </c>
      <c r="L1576">
        <f>ABS((C1576-EDA!$F$15)/EDA!$G$15)</f>
        <v>0.3602613192390357</v>
      </c>
      <c r="M1576" t="str">
        <f>IF(moras[[#This Row],[Z-Score Salario]]&gt;1.96, "Sí", "No")</f>
        <v>No</v>
      </c>
      <c r="N1576" s="14">
        <f>IF(ISBLANK(moras[[#This Row],[SALARIO]]), EDA!$M$8, moras[[#This Row],[SALARIO]])</f>
        <v>925000</v>
      </c>
      <c r="O1576" s="14">
        <f xml:space="preserve"> IF(ISBLANK(moras[[#This Row],[EDAD]]), EDA!$E$8, moras[[#This Row],[EDAD]])</f>
        <v>49</v>
      </c>
      <c r="P1576" s="14" t="str">
        <f>IF(
    OR(ISBLANK(moras[[#This Row],[TIPO_ASEGURAMIENTO]]), moras[[#This Row],[TIPO_ASEGURAMIENTO]]=""),
    EDA!$A$32,
    moras[[#This Row],[TIPO_ASEGURAMIENTO]]
)</f>
        <v>ASALARIADO</v>
      </c>
    </row>
    <row r="1577" spans="1:16" x14ac:dyDescent="0.3">
      <c r="A1577">
        <v>1576</v>
      </c>
      <c r="B1577" t="s">
        <v>9</v>
      </c>
      <c r="C1577">
        <v>2618973</v>
      </c>
      <c r="D1577" t="s">
        <v>10</v>
      </c>
      <c r="E1577" t="s">
        <v>16</v>
      </c>
      <c r="F1577" t="s">
        <v>12</v>
      </c>
      <c r="G1577" t="s">
        <v>12</v>
      </c>
      <c r="H1577" t="s">
        <v>13</v>
      </c>
      <c r="I1577">
        <v>57</v>
      </c>
      <c r="J1577">
        <f>ABS((I1577-EDA!$A$15)/EDA!$B$15)</f>
        <v>1.0600702640157798</v>
      </c>
      <c r="K1577" t="str">
        <f t="shared" si="24"/>
        <v>No</v>
      </c>
      <c r="L1577">
        <f>ABS((C1577-EDA!$F$15)/EDA!$G$15)</f>
        <v>0.33207241272283333</v>
      </c>
      <c r="M1577" t="str">
        <f>IF(moras[[#This Row],[Z-Score Salario]]&gt;1.96, "Sí", "No")</f>
        <v>No</v>
      </c>
      <c r="N1577" s="14">
        <f>IF(ISBLANK(moras[[#This Row],[SALARIO]]), EDA!$M$8, moras[[#This Row],[SALARIO]])</f>
        <v>2618973</v>
      </c>
      <c r="O1577" s="14">
        <f xml:space="preserve"> IF(ISBLANK(moras[[#This Row],[EDAD]]), EDA!$E$8, moras[[#This Row],[EDAD]])</f>
        <v>57</v>
      </c>
      <c r="P1577" s="14" t="str">
        <f>IF(
    OR(ISBLANK(moras[[#This Row],[TIPO_ASEGURAMIENTO]]), moras[[#This Row],[TIPO_ASEGURAMIENTO]]=""),
    EDA!$A$32,
    moras[[#This Row],[TIPO_ASEGURAMIENTO]]
)</f>
        <v>ASALARIADO</v>
      </c>
    </row>
    <row r="1578" spans="1:16" x14ac:dyDescent="0.3">
      <c r="A1578">
        <v>1577</v>
      </c>
      <c r="B1578" t="s">
        <v>15</v>
      </c>
      <c r="C1578">
        <v>297046</v>
      </c>
      <c r="D1578" t="s">
        <v>17</v>
      </c>
      <c r="E1578" t="s">
        <v>16</v>
      </c>
      <c r="F1578" t="s">
        <v>12</v>
      </c>
      <c r="G1578" t="s">
        <v>12</v>
      </c>
      <c r="H1578" t="s">
        <v>12</v>
      </c>
      <c r="I1578">
        <v>43</v>
      </c>
      <c r="J1578">
        <f>ABS((I1578-EDA!$A$15)/EDA!$B$15)</f>
        <v>7.2015642935854773E-2</v>
      </c>
      <c r="K1578" t="str">
        <f t="shared" si="24"/>
        <v>No</v>
      </c>
      <c r="L1578">
        <f>ABS((C1578-EDA!$F$15)/EDA!$G$15)</f>
        <v>0.37071091707942361</v>
      </c>
      <c r="M1578" t="str">
        <f>IF(moras[[#This Row],[Z-Score Salario]]&gt;1.96, "Sí", "No")</f>
        <v>No</v>
      </c>
      <c r="N1578" s="14">
        <f>IF(ISBLANK(moras[[#This Row],[SALARIO]]), EDA!$M$8, moras[[#This Row],[SALARIO]])</f>
        <v>297046</v>
      </c>
      <c r="O1578" s="14">
        <f xml:space="preserve"> IF(ISBLANK(moras[[#This Row],[EDAD]]), EDA!$E$8, moras[[#This Row],[EDAD]])</f>
        <v>43</v>
      </c>
      <c r="P1578" s="14" t="str">
        <f>IF(
    OR(ISBLANK(moras[[#This Row],[TIPO_ASEGURAMIENTO]]), moras[[#This Row],[TIPO_ASEGURAMIENTO]]=""),
    EDA!$A$32,
    moras[[#This Row],[TIPO_ASEGURAMIENTO]]
)</f>
        <v>ASEGURADO VOLUNTARIO</v>
      </c>
    </row>
    <row r="1579" spans="1:16" x14ac:dyDescent="0.3">
      <c r="A1579">
        <v>1578</v>
      </c>
      <c r="B1579" t="s">
        <v>15</v>
      </c>
      <c r="C1579">
        <v>58270518</v>
      </c>
      <c r="D1579" t="s">
        <v>10</v>
      </c>
      <c r="E1579" t="s">
        <v>16</v>
      </c>
      <c r="F1579" t="s">
        <v>12</v>
      </c>
      <c r="G1579" t="s">
        <v>13</v>
      </c>
      <c r="H1579" t="s">
        <v>13</v>
      </c>
      <c r="I1579">
        <v>30</v>
      </c>
      <c r="J1579">
        <f>ABS((I1579-EDA!$A$15)/EDA!$B$15)</f>
        <v>0.84546364806693275</v>
      </c>
      <c r="K1579" t="str">
        <f t="shared" si="24"/>
        <v>No</v>
      </c>
      <c r="L1579">
        <f>ABS((C1579-EDA!$F$15)/EDA!$G$15)</f>
        <v>0.59400858118157396</v>
      </c>
      <c r="M1579" t="str">
        <f>IF(moras[[#This Row],[Z-Score Salario]]&gt;1.96, "Sí", "No")</f>
        <v>No</v>
      </c>
      <c r="N1579" s="14">
        <f>IF(ISBLANK(moras[[#This Row],[SALARIO]]), EDA!$M$8, moras[[#This Row],[SALARIO]])</f>
        <v>58270518</v>
      </c>
      <c r="O1579" s="14">
        <f xml:space="preserve"> IF(ISBLANK(moras[[#This Row],[EDAD]]), EDA!$E$8, moras[[#This Row],[EDAD]])</f>
        <v>30</v>
      </c>
      <c r="P1579" s="14" t="str">
        <f>IF(
    OR(ISBLANK(moras[[#This Row],[TIPO_ASEGURAMIENTO]]), moras[[#This Row],[TIPO_ASEGURAMIENTO]]=""),
    EDA!$A$32,
    moras[[#This Row],[TIPO_ASEGURAMIENTO]]
)</f>
        <v>ASALARIADO</v>
      </c>
    </row>
    <row r="1580" spans="1:16" x14ac:dyDescent="0.3">
      <c r="A1580">
        <v>1579</v>
      </c>
      <c r="B1580" t="s">
        <v>9</v>
      </c>
      <c r="C1580">
        <v>4968432</v>
      </c>
      <c r="D1580" t="s">
        <v>10</v>
      </c>
      <c r="E1580" t="s">
        <v>16</v>
      </c>
      <c r="F1580" t="s">
        <v>12</v>
      </c>
      <c r="G1580" t="s">
        <v>13</v>
      </c>
      <c r="H1580" t="s">
        <v>13</v>
      </c>
      <c r="I1580">
        <v>42</v>
      </c>
      <c r="J1580">
        <f>ABS((I1580-EDA!$A$15)/EDA!$B$15)</f>
        <v>1.4403128587172659E-3</v>
      </c>
      <c r="K1580" t="str">
        <f t="shared" si="24"/>
        <v>No</v>
      </c>
      <c r="L1580">
        <f>ABS((C1580-EDA!$F$15)/EDA!$G$15)</f>
        <v>0.29297575645106844</v>
      </c>
      <c r="M1580" t="str">
        <f>IF(moras[[#This Row],[Z-Score Salario]]&gt;1.96, "Sí", "No")</f>
        <v>No</v>
      </c>
      <c r="N1580" s="14">
        <f>IF(ISBLANK(moras[[#This Row],[SALARIO]]), EDA!$M$8, moras[[#This Row],[SALARIO]])</f>
        <v>4968432</v>
      </c>
      <c r="O1580" s="14">
        <f xml:space="preserve"> IF(ISBLANK(moras[[#This Row],[EDAD]]), EDA!$E$8, moras[[#This Row],[EDAD]])</f>
        <v>42</v>
      </c>
      <c r="P1580" s="14" t="str">
        <f>IF(
    OR(ISBLANK(moras[[#This Row],[TIPO_ASEGURAMIENTO]]), moras[[#This Row],[TIPO_ASEGURAMIENTO]]=""),
    EDA!$A$32,
    moras[[#This Row],[TIPO_ASEGURAMIENTO]]
)</f>
        <v>ASALARIADO</v>
      </c>
    </row>
    <row r="1581" spans="1:16" x14ac:dyDescent="0.3">
      <c r="A1581">
        <v>1580</v>
      </c>
      <c r="B1581" t="s">
        <v>9</v>
      </c>
      <c r="C1581">
        <v>427025</v>
      </c>
      <c r="D1581" t="s">
        <v>10</v>
      </c>
      <c r="E1581" t="s">
        <v>16</v>
      </c>
      <c r="F1581" t="s">
        <v>12</v>
      </c>
      <c r="G1581" t="s">
        <v>13</v>
      </c>
      <c r="H1581" t="s">
        <v>13</v>
      </c>
      <c r="I1581">
        <v>32</v>
      </c>
      <c r="J1581">
        <f>ABS((I1581-EDA!$A$15)/EDA!$B$15)</f>
        <v>0.70431298791265773</v>
      </c>
      <c r="K1581" t="str">
        <f t="shared" si="24"/>
        <v>No</v>
      </c>
      <c r="L1581">
        <f>ABS((C1581-EDA!$F$15)/EDA!$G$15)</f>
        <v>0.36854797476566209</v>
      </c>
      <c r="M1581" t="str">
        <f>IF(moras[[#This Row],[Z-Score Salario]]&gt;1.96, "Sí", "No")</f>
        <v>No</v>
      </c>
      <c r="N1581" s="14">
        <f>IF(ISBLANK(moras[[#This Row],[SALARIO]]), EDA!$M$8, moras[[#This Row],[SALARIO]])</f>
        <v>427025</v>
      </c>
      <c r="O1581" s="14">
        <f xml:space="preserve"> IF(ISBLANK(moras[[#This Row],[EDAD]]), EDA!$E$8, moras[[#This Row],[EDAD]])</f>
        <v>32</v>
      </c>
      <c r="P1581" s="14" t="str">
        <f>IF(
    OR(ISBLANK(moras[[#This Row],[TIPO_ASEGURAMIENTO]]), moras[[#This Row],[TIPO_ASEGURAMIENTO]]=""),
    EDA!$A$32,
    moras[[#This Row],[TIPO_ASEGURAMIENTO]]
)</f>
        <v>ASALARIADO</v>
      </c>
    </row>
    <row r="1582" spans="1:16" x14ac:dyDescent="0.3">
      <c r="A1582">
        <v>1581</v>
      </c>
      <c r="B1582" t="s">
        <v>15</v>
      </c>
      <c r="C1582">
        <v>18836297</v>
      </c>
      <c r="D1582" t="s">
        <v>10</v>
      </c>
      <c r="E1582" t="s">
        <v>16</v>
      </c>
      <c r="F1582" t="s">
        <v>12</v>
      </c>
      <c r="G1582" t="s">
        <v>13</v>
      </c>
      <c r="H1582" t="s">
        <v>13</v>
      </c>
      <c r="I1582">
        <v>34</v>
      </c>
      <c r="J1582">
        <f>ABS((I1582-EDA!$A$15)/EDA!$B$15)</f>
        <v>0.56316232775838282</v>
      </c>
      <c r="K1582" t="str">
        <f t="shared" si="24"/>
        <v>No</v>
      </c>
      <c r="L1582">
        <f>ABS((C1582-EDA!$F$15)/EDA!$G$15)</f>
        <v>6.2204693356016152E-2</v>
      </c>
      <c r="M1582" t="str">
        <f>IF(moras[[#This Row],[Z-Score Salario]]&gt;1.96, "Sí", "No")</f>
        <v>No</v>
      </c>
      <c r="N1582" s="14">
        <f>IF(ISBLANK(moras[[#This Row],[SALARIO]]), EDA!$M$8, moras[[#This Row],[SALARIO]])</f>
        <v>18836297</v>
      </c>
      <c r="O1582" s="14">
        <f xml:space="preserve"> IF(ISBLANK(moras[[#This Row],[EDAD]]), EDA!$E$8, moras[[#This Row],[EDAD]])</f>
        <v>34</v>
      </c>
      <c r="P1582" s="14" t="str">
        <f>IF(
    OR(ISBLANK(moras[[#This Row],[TIPO_ASEGURAMIENTO]]), moras[[#This Row],[TIPO_ASEGURAMIENTO]]=""),
    EDA!$A$32,
    moras[[#This Row],[TIPO_ASEGURAMIENTO]]
)</f>
        <v>ASALARIADO</v>
      </c>
    </row>
    <row r="1583" spans="1:16" x14ac:dyDescent="0.3">
      <c r="A1583">
        <v>1582</v>
      </c>
      <c r="B1583" t="s">
        <v>9</v>
      </c>
      <c r="C1583">
        <v>5279565</v>
      </c>
      <c r="D1583" t="s">
        <v>10</v>
      </c>
      <c r="E1583" t="s">
        <v>11</v>
      </c>
      <c r="F1583" t="s">
        <v>12</v>
      </c>
      <c r="G1583" t="s">
        <v>13</v>
      </c>
      <c r="H1583" t="s">
        <v>13</v>
      </c>
      <c r="I1583">
        <v>23</v>
      </c>
      <c r="J1583">
        <f>ABS((I1583-EDA!$A$15)/EDA!$B$15)</f>
        <v>1.3394909586068953</v>
      </c>
      <c r="K1583" t="str">
        <f t="shared" si="24"/>
        <v>No</v>
      </c>
      <c r="L1583">
        <f>ABS((C1583-EDA!$F$15)/EDA!$G$15)</f>
        <v>0.28779828369848881</v>
      </c>
      <c r="M1583" t="str">
        <f>IF(moras[[#This Row],[Z-Score Salario]]&gt;1.96, "Sí", "No")</f>
        <v>No</v>
      </c>
      <c r="N1583" s="14">
        <f>IF(ISBLANK(moras[[#This Row],[SALARIO]]), EDA!$M$8, moras[[#This Row],[SALARIO]])</f>
        <v>5279565</v>
      </c>
      <c r="O1583" s="14">
        <f xml:space="preserve"> IF(ISBLANK(moras[[#This Row],[EDAD]]), EDA!$E$8, moras[[#This Row],[EDAD]])</f>
        <v>23</v>
      </c>
      <c r="P1583" s="14" t="str">
        <f>IF(
    OR(ISBLANK(moras[[#This Row],[TIPO_ASEGURAMIENTO]]), moras[[#This Row],[TIPO_ASEGURAMIENTO]]=""),
    EDA!$A$32,
    moras[[#This Row],[TIPO_ASEGURAMIENTO]]
)</f>
        <v>ASALARIADO</v>
      </c>
    </row>
    <row r="1584" spans="1:16" x14ac:dyDescent="0.3">
      <c r="A1584">
        <v>1583</v>
      </c>
      <c r="B1584" t="s">
        <v>9</v>
      </c>
      <c r="C1584">
        <v>8113059</v>
      </c>
      <c r="D1584" t="s">
        <v>14</v>
      </c>
      <c r="E1584" t="s">
        <v>11</v>
      </c>
      <c r="F1584" t="s">
        <v>12</v>
      </c>
      <c r="G1584" t="s">
        <v>13</v>
      </c>
      <c r="H1584" t="s">
        <v>13</v>
      </c>
      <c r="I1584">
        <v>83</v>
      </c>
      <c r="J1584">
        <f>ABS((I1584-EDA!$A$15)/EDA!$B$15)</f>
        <v>2.8950288460213551</v>
      </c>
      <c r="K1584" t="str">
        <f t="shared" si="24"/>
        <v>Sí</v>
      </c>
      <c r="L1584">
        <f>ABS((C1584-EDA!$F$15)/EDA!$G$15)</f>
        <v>0.24064694334051359</v>
      </c>
      <c r="M1584" t="str">
        <f>IF(moras[[#This Row],[Z-Score Salario]]&gt;1.96, "Sí", "No")</f>
        <v>No</v>
      </c>
      <c r="N1584" s="14">
        <f>IF(ISBLANK(moras[[#This Row],[SALARIO]]), EDA!$M$8, moras[[#This Row],[SALARIO]])</f>
        <v>8113059</v>
      </c>
      <c r="O1584" s="14">
        <f xml:space="preserve"> IF(ISBLANK(moras[[#This Row],[EDAD]]), EDA!$E$8, moras[[#This Row],[EDAD]])</f>
        <v>83</v>
      </c>
      <c r="P1584" s="14" t="str">
        <f>IF(
    OR(ISBLANK(moras[[#This Row],[TIPO_ASEGURAMIENTO]]), moras[[#This Row],[TIPO_ASEGURAMIENTO]]=""),
    EDA!$A$32,
    moras[[#This Row],[TIPO_ASEGURAMIENTO]]
)</f>
        <v>PENSIONADOS EN SU PROPIO SISTEMA</v>
      </c>
    </row>
    <row r="1585" spans="1:16" x14ac:dyDescent="0.3">
      <c r="A1585">
        <v>1584</v>
      </c>
      <c r="B1585" t="s">
        <v>15</v>
      </c>
      <c r="C1585">
        <v>16597239</v>
      </c>
      <c r="D1585" t="s">
        <v>10</v>
      </c>
      <c r="E1585" t="s">
        <v>16</v>
      </c>
      <c r="F1585" t="s">
        <v>12</v>
      </c>
      <c r="G1585" t="s">
        <v>12</v>
      </c>
      <c r="H1585" t="s">
        <v>13</v>
      </c>
      <c r="I1585">
        <v>28</v>
      </c>
      <c r="J1585">
        <f>ABS((I1585-EDA!$A$15)/EDA!$B$15)</f>
        <v>0.98661430822120777</v>
      </c>
      <c r="K1585" t="str">
        <f t="shared" si="24"/>
        <v>No</v>
      </c>
      <c r="L1585">
        <f>ABS((C1585-EDA!$F$15)/EDA!$G$15)</f>
        <v>9.9464199054368541E-2</v>
      </c>
      <c r="M1585" t="str">
        <f>IF(moras[[#This Row],[Z-Score Salario]]&gt;1.96, "Sí", "No")</f>
        <v>No</v>
      </c>
      <c r="N1585" s="14">
        <f>IF(ISBLANK(moras[[#This Row],[SALARIO]]), EDA!$M$8, moras[[#This Row],[SALARIO]])</f>
        <v>16597239</v>
      </c>
      <c r="O1585" s="14">
        <f xml:space="preserve"> IF(ISBLANK(moras[[#This Row],[EDAD]]), EDA!$E$8, moras[[#This Row],[EDAD]])</f>
        <v>28</v>
      </c>
      <c r="P1585" s="14" t="str">
        <f>IF(
    OR(ISBLANK(moras[[#This Row],[TIPO_ASEGURAMIENTO]]), moras[[#This Row],[TIPO_ASEGURAMIENTO]]=""),
    EDA!$A$32,
    moras[[#This Row],[TIPO_ASEGURAMIENTO]]
)</f>
        <v>ASALARIADO</v>
      </c>
    </row>
    <row r="1586" spans="1:16" x14ac:dyDescent="0.3">
      <c r="A1586">
        <v>1585</v>
      </c>
      <c r="B1586" t="s">
        <v>9</v>
      </c>
      <c r="C1586">
        <v>74965126</v>
      </c>
      <c r="D1586" t="s">
        <v>10</v>
      </c>
      <c r="E1586" t="s">
        <v>16</v>
      </c>
      <c r="F1586" t="s">
        <v>12</v>
      </c>
      <c r="G1586" t="s">
        <v>13</v>
      </c>
      <c r="H1586" t="s">
        <v>13</v>
      </c>
      <c r="I1586">
        <v>32</v>
      </c>
      <c r="J1586">
        <f>ABS((I1586-EDA!$A$15)/EDA!$B$15)</f>
        <v>0.70431298791265773</v>
      </c>
      <c r="K1586" t="str">
        <f t="shared" si="24"/>
        <v>No</v>
      </c>
      <c r="L1586">
        <f>ABS((C1586-EDA!$F$15)/EDA!$G$15)</f>
        <v>0.87181864322898817</v>
      </c>
      <c r="M1586" t="str">
        <f>IF(moras[[#This Row],[Z-Score Salario]]&gt;1.96, "Sí", "No")</f>
        <v>No</v>
      </c>
      <c r="N1586" s="14">
        <f>IF(ISBLANK(moras[[#This Row],[SALARIO]]), EDA!$M$8, moras[[#This Row],[SALARIO]])</f>
        <v>74965126</v>
      </c>
      <c r="O1586" s="14">
        <f xml:space="preserve"> IF(ISBLANK(moras[[#This Row],[EDAD]]), EDA!$E$8, moras[[#This Row],[EDAD]])</f>
        <v>32</v>
      </c>
      <c r="P1586" s="14" t="str">
        <f>IF(
    OR(ISBLANK(moras[[#This Row],[TIPO_ASEGURAMIENTO]]), moras[[#This Row],[TIPO_ASEGURAMIENTO]]=""),
    EDA!$A$32,
    moras[[#This Row],[TIPO_ASEGURAMIENTO]]
)</f>
        <v>ASALARIADO</v>
      </c>
    </row>
    <row r="1587" spans="1:16" x14ac:dyDescent="0.3">
      <c r="A1587">
        <v>1586</v>
      </c>
      <c r="B1587" t="s">
        <v>15</v>
      </c>
      <c r="C1587">
        <v>61201595</v>
      </c>
      <c r="D1587" t="s">
        <v>10</v>
      </c>
      <c r="E1587" t="s">
        <v>16</v>
      </c>
      <c r="F1587" t="s">
        <v>12</v>
      </c>
      <c r="G1587" t="s">
        <v>13</v>
      </c>
      <c r="H1587" t="s">
        <v>13</v>
      </c>
      <c r="I1587">
        <v>42</v>
      </c>
      <c r="J1587">
        <f>ABS((I1587-EDA!$A$15)/EDA!$B$15)</f>
        <v>1.4403128587172659E-3</v>
      </c>
      <c r="K1587" t="str">
        <f t="shared" si="24"/>
        <v>No</v>
      </c>
      <c r="L1587">
        <f>ABS((C1587-EDA!$F$15)/EDA!$G$15)</f>
        <v>0.64278377154457911</v>
      </c>
      <c r="M1587" t="str">
        <f>IF(moras[[#This Row],[Z-Score Salario]]&gt;1.96, "Sí", "No")</f>
        <v>No</v>
      </c>
      <c r="N1587" s="14">
        <f>IF(ISBLANK(moras[[#This Row],[SALARIO]]), EDA!$M$8, moras[[#This Row],[SALARIO]])</f>
        <v>61201595</v>
      </c>
      <c r="O1587" s="14">
        <f xml:space="preserve"> IF(ISBLANK(moras[[#This Row],[EDAD]]), EDA!$E$8, moras[[#This Row],[EDAD]])</f>
        <v>42</v>
      </c>
      <c r="P1587" s="14" t="str">
        <f>IF(
    OR(ISBLANK(moras[[#This Row],[TIPO_ASEGURAMIENTO]]), moras[[#This Row],[TIPO_ASEGURAMIENTO]]=""),
    EDA!$A$32,
    moras[[#This Row],[TIPO_ASEGURAMIENTO]]
)</f>
        <v>ASALARIADO</v>
      </c>
    </row>
    <row r="1588" spans="1:16" x14ac:dyDescent="0.3">
      <c r="A1588">
        <v>1587</v>
      </c>
      <c r="B1588" t="s">
        <v>9</v>
      </c>
      <c r="C1588">
        <v>825000</v>
      </c>
      <c r="D1588" t="s">
        <v>10</v>
      </c>
      <c r="E1588" t="s">
        <v>16</v>
      </c>
      <c r="F1588" t="s">
        <v>12</v>
      </c>
      <c r="G1588" t="s">
        <v>13</v>
      </c>
      <c r="H1588" t="s">
        <v>13</v>
      </c>
      <c r="I1588">
        <v>50</v>
      </c>
      <c r="J1588">
        <f>ABS((I1588-EDA!$A$15)/EDA!$B$15)</f>
        <v>0.56604295347581735</v>
      </c>
      <c r="K1588" t="str">
        <f t="shared" si="24"/>
        <v>No</v>
      </c>
      <c r="L1588">
        <f>ABS((C1588-EDA!$F$15)/EDA!$G$15)</f>
        <v>0.36192538983025546</v>
      </c>
      <c r="M1588" t="str">
        <f>IF(moras[[#This Row],[Z-Score Salario]]&gt;1.96, "Sí", "No")</f>
        <v>No</v>
      </c>
      <c r="N1588" s="14">
        <f>IF(ISBLANK(moras[[#This Row],[SALARIO]]), EDA!$M$8, moras[[#This Row],[SALARIO]])</f>
        <v>825000</v>
      </c>
      <c r="O1588" s="14">
        <f xml:space="preserve"> IF(ISBLANK(moras[[#This Row],[EDAD]]), EDA!$E$8, moras[[#This Row],[EDAD]])</f>
        <v>50</v>
      </c>
      <c r="P1588" s="14" t="str">
        <f>IF(
    OR(ISBLANK(moras[[#This Row],[TIPO_ASEGURAMIENTO]]), moras[[#This Row],[TIPO_ASEGURAMIENTO]]=""),
    EDA!$A$32,
    moras[[#This Row],[TIPO_ASEGURAMIENTO]]
)</f>
        <v>ASALARIADO</v>
      </c>
    </row>
    <row r="1589" spans="1:16" x14ac:dyDescent="0.3">
      <c r="A1589">
        <v>1588</v>
      </c>
      <c r="B1589" t="s">
        <v>15</v>
      </c>
      <c r="C1589">
        <v>19007647</v>
      </c>
      <c r="D1589" t="s">
        <v>10</v>
      </c>
      <c r="E1589" t="s">
        <v>16</v>
      </c>
      <c r="F1589" t="s">
        <v>12</v>
      </c>
      <c r="G1589" t="s">
        <v>13</v>
      </c>
      <c r="H1589" t="s">
        <v>13</v>
      </c>
      <c r="I1589">
        <v>26</v>
      </c>
      <c r="J1589">
        <f>ABS((I1589-EDA!$A$15)/EDA!$B$15)</f>
        <v>1.1277649683754829</v>
      </c>
      <c r="K1589" t="str">
        <f t="shared" si="24"/>
        <v>No</v>
      </c>
      <c r="L1589">
        <f>ABS((C1589-EDA!$F$15)/EDA!$G$15)</f>
        <v>5.9353308397961164E-2</v>
      </c>
      <c r="M1589" t="str">
        <f>IF(moras[[#This Row],[Z-Score Salario]]&gt;1.96, "Sí", "No")</f>
        <v>No</v>
      </c>
      <c r="N1589" s="14">
        <f>IF(ISBLANK(moras[[#This Row],[SALARIO]]), EDA!$M$8, moras[[#This Row],[SALARIO]])</f>
        <v>19007647</v>
      </c>
      <c r="O1589" s="14">
        <f xml:space="preserve"> IF(ISBLANK(moras[[#This Row],[EDAD]]), EDA!$E$8, moras[[#This Row],[EDAD]])</f>
        <v>26</v>
      </c>
      <c r="P1589" s="14" t="str">
        <f>IF(
    OR(ISBLANK(moras[[#This Row],[TIPO_ASEGURAMIENTO]]), moras[[#This Row],[TIPO_ASEGURAMIENTO]]=""),
    EDA!$A$32,
    moras[[#This Row],[TIPO_ASEGURAMIENTO]]
)</f>
        <v>ASALARIADO</v>
      </c>
    </row>
    <row r="1590" spans="1:16" x14ac:dyDescent="0.3">
      <c r="A1590">
        <v>1589</v>
      </c>
      <c r="B1590" t="s">
        <v>15</v>
      </c>
      <c r="C1590">
        <v>300018</v>
      </c>
      <c r="D1590" t="s">
        <v>17</v>
      </c>
      <c r="E1590" t="s">
        <v>16</v>
      </c>
      <c r="F1590" t="s">
        <v>12</v>
      </c>
      <c r="G1590" t="s">
        <v>13</v>
      </c>
      <c r="H1590" t="s">
        <v>13</v>
      </c>
      <c r="I1590">
        <v>47</v>
      </c>
      <c r="J1590">
        <f>ABS((I1590-EDA!$A$15)/EDA!$B$15)</f>
        <v>0.35431696324440481</v>
      </c>
      <c r="K1590" t="str">
        <f t="shared" si="24"/>
        <v>No</v>
      </c>
      <c r="L1590">
        <f>ABS((C1590-EDA!$F$15)/EDA!$G$15)</f>
        <v>0.37066146090145252</v>
      </c>
      <c r="M1590" t="str">
        <f>IF(moras[[#This Row],[Z-Score Salario]]&gt;1.96, "Sí", "No")</f>
        <v>No</v>
      </c>
      <c r="N1590" s="14">
        <f>IF(ISBLANK(moras[[#This Row],[SALARIO]]), EDA!$M$8, moras[[#This Row],[SALARIO]])</f>
        <v>300018</v>
      </c>
      <c r="O1590" s="14">
        <f xml:space="preserve"> IF(ISBLANK(moras[[#This Row],[EDAD]]), EDA!$E$8, moras[[#This Row],[EDAD]])</f>
        <v>47</v>
      </c>
      <c r="P1590" s="14" t="str">
        <f>IF(
    OR(ISBLANK(moras[[#This Row],[TIPO_ASEGURAMIENTO]]), moras[[#This Row],[TIPO_ASEGURAMIENTO]]=""),
    EDA!$A$32,
    moras[[#This Row],[TIPO_ASEGURAMIENTO]]
)</f>
        <v>ASEGURADO VOLUNTARIO</v>
      </c>
    </row>
    <row r="1591" spans="1:16" x14ac:dyDescent="0.3">
      <c r="A1591">
        <v>1590</v>
      </c>
      <c r="B1591" t="s">
        <v>15</v>
      </c>
      <c r="C1591">
        <v>65736639</v>
      </c>
      <c r="D1591" t="s">
        <v>10</v>
      </c>
      <c r="E1591" t="s">
        <v>11</v>
      </c>
      <c r="F1591" t="s">
        <v>12</v>
      </c>
      <c r="G1591" t="s">
        <v>13</v>
      </c>
      <c r="H1591" t="s">
        <v>13</v>
      </c>
      <c r="I1591">
        <v>40</v>
      </c>
      <c r="J1591">
        <f>ABS((I1591-EDA!$A$15)/EDA!$B$15)</f>
        <v>0.13971034729555773</v>
      </c>
      <c r="K1591" t="str">
        <f t="shared" si="24"/>
        <v>No</v>
      </c>
      <c r="L1591">
        <f>ABS((C1591-EDA!$F$15)/EDA!$G$15)</f>
        <v>0.71825010504745346</v>
      </c>
      <c r="M1591" t="str">
        <f>IF(moras[[#This Row],[Z-Score Salario]]&gt;1.96, "Sí", "No")</f>
        <v>No</v>
      </c>
      <c r="N1591" s="14">
        <f>IF(ISBLANK(moras[[#This Row],[SALARIO]]), EDA!$M$8, moras[[#This Row],[SALARIO]])</f>
        <v>65736639</v>
      </c>
      <c r="O1591" s="14">
        <f xml:space="preserve"> IF(ISBLANK(moras[[#This Row],[EDAD]]), EDA!$E$8, moras[[#This Row],[EDAD]])</f>
        <v>40</v>
      </c>
      <c r="P1591" s="14" t="str">
        <f>IF(
    OR(ISBLANK(moras[[#This Row],[TIPO_ASEGURAMIENTO]]), moras[[#This Row],[TIPO_ASEGURAMIENTO]]=""),
    EDA!$A$32,
    moras[[#This Row],[TIPO_ASEGURAMIENTO]]
)</f>
        <v>ASALARIADO</v>
      </c>
    </row>
    <row r="1592" spans="1:16" x14ac:dyDescent="0.3">
      <c r="A1592">
        <v>1591</v>
      </c>
      <c r="B1592" t="s">
        <v>9</v>
      </c>
      <c r="C1592">
        <v>4107395</v>
      </c>
      <c r="D1592" t="s">
        <v>14</v>
      </c>
      <c r="E1592" t="s">
        <v>11</v>
      </c>
      <c r="F1592" t="s">
        <v>12</v>
      </c>
      <c r="G1592" t="s">
        <v>13</v>
      </c>
      <c r="H1592" t="s">
        <v>13</v>
      </c>
      <c r="I1592">
        <v>80</v>
      </c>
      <c r="J1592">
        <f>ABS((I1592-EDA!$A$15)/EDA!$B$15)</f>
        <v>2.6833028557899423</v>
      </c>
      <c r="K1592" t="str">
        <f t="shared" si="24"/>
        <v>Sí</v>
      </c>
      <c r="L1592">
        <f>ABS((C1592-EDA!$F$15)/EDA!$G$15)</f>
        <v>0.30730401994758899</v>
      </c>
      <c r="M1592" t="str">
        <f>IF(moras[[#This Row],[Z-Score Salario]]&gt;1.96, "Sí", "No")</f>
        <v>No</v>
      </c>
      <c r="N1592" s="14">
        <f>IF(ISBLANK(moras[[#This Row],[SALARIO]]), EDA!$M$8, moras[[#This Row],[SALARIO]])</f>
        <v>4107395</v>
      </c>
      <c r="O1592" s="14">
        <f xml:space="preserve"> IF(ISBLANK(moras[[#This Row],[EDAD]]), EDA!$E$8, moras[[#This Row],[EDAD]])</f>
        <v>80</v>
      </c>
      <c r="P1592" s="14" t="str">
        <f>IF(
    OR(ISBLANK(moras[[#This Row],[TIPO_ASEGURAMIENTO]]), moras[[#This Row],[TIPO_ASEGURAMIENTO]]=""),
    EDA!$A$32,
    moras[[#This Row],[TIPO_ASEGURAMIENTO]]
)</f>
        <v>PENSIONADOS EN SU PROPIO SISTEMA</v>
      </c>
    </row>
    <row r="1593" spans="1:16" x14ac:dyDescent="0.3">
      <c r="A1593">
        <v>1592</v>
      </c>
      <c r="B1593" t="s">
        <v>9</v>
      </c>
      <c r="C1593">
        <v>534683</v>
      </c>
      <c r="D1593" t="s">
        <v>18</v>
      </c>
      <c r="E1593" t="s">
        <v>16</v>
      </c>
      <c r="F1593" t="s">
        <v>12</v>
      </c>
      <c r="G1593" t="s">
        <v>13</v>
      </c>
      <c r="H1593" t="s">
        <v>13</v>
      </c>
      <c r="I1593">
        <v>48</v>
      </c>
      <c r="J1593">
        <f>ABS((I1593-EDA!$A$15)/EDA!$B$15)</f>
        <v>0.42489229332154227</v>
      </c>
      <c r="K1593" t="str">
        <f t="shared" si="24"/>
        <v>No</v>
      </c>
      <c r="L1593">
        <f>ABS((C1593-EDA!$F$15)/EDA!$G$15)</f>
        <v>0.36675646964856679</v>
      </c>
      <c r="M1593" t="str">
        <f>IF(moras[[#This Row],[Z-Score Salario]]&gt;1.96, "Sí", "No")</f>
        <v>No</v>
      </c>
      <c r="N1593" s="14">
        <f>IF(ISBLANK(moras[[#This Row],[SALARIO]]), EDA!$M$8, moras[[#This Row],[SALARIO]])</f>
        <v>534683</v>
      </c>
      <c r="O1593" s="14">
        <f xml:space="preserve"> IF(ISBLANK(moras[[#This Row],[EDAD]]), EDA!$E$8, moras[[#This Row],[EDAD]])</f>
        <v>48</v>
      </c>
      <c r="P1593" s="14" t="str">
        <f>IF(
    OR(ISBLANK(moras[[#This Row],[TIPO_ASEGURAMIENTO]]), moras[[#This Row],[TIPO_ASEGURAMIENTO]]=""),
    EDA!$A$32,
    moras[[#This Row],[TIPO_ASEGURAMIENTO]]
)</f>
        <v>TRABAJADOR INDEPENDIENTE</v>
      </c>
    </row>
    <row r="1594" spans="1:16" x14ac:dyDescent="0.3">
      <c r="A1594">
        <v>1593</v>
      </c>
      <c r="B1594" t="s">
        <v>9</v>
      </c>
      <c r="C1594">
        <v>1316155</v>
      </c>
      <c r="D1594" t="s">
        <v>10</v>
      </c>
      <c r="E1594" t="s">
        <v>16</v>
      </c>
      <c r="F1594" t="s">
        <v>12</v>
      </c>
      <c r="G1594" t="s">
        <v>12</v>
      </c>
      <c r="H1594" t="s">
        <v>13</v>
      </c>
      <c r="I1594">
        <v>39</v>
      </c>
      <c r="J1594">
        <f>ABS((I1594-EDA!$A$15)/EDA!$B$15)</f>
        <v>0.21028567737269524</v>
      </c>
      <c r="K1594" t="str">
        <f t="shared" si="24"/>
        <v>No</v>
      </c>
      <c r="L1594">
        <f>ABS((C1594-EDA!$F$15)/EDA!$G$15)</f>
        <v>0.35375222391795025</v>
      </c>
      <c r="M1594" t="str">
        <f>IF(moras[[#This Row],[Z-Score Salario]]&gt;1.96, "Sí", "No")</f>
        <v>No</v>
      </c>
      <c r="N1594" s="14">
        <f>IF(ISBLANK(moras[[#This Row],[SALARIO]]), EDA!$M$8, moras[[#This Row],[SALARIO]])</f>
        <v>1316155</v>
      </c>
      <c r="O1594" s="14">
        <f xml:space="preserve"> IF(ISBLANK(moras[[#This Row],[EDAD]]), EDA!$E$8, moras[[#This Row],[EDAD]])</f>
        <v>39</v>
      </c>
      <c r="P1594" s="14" t="str">
        <f>IF(
    OR(ISBLANK(moras[[#This Row],[TIPO_ASEGURAMIENTO]]), moras[[#This Row],[TIPO_ASEGURAMIENTO]]=""),
    EDA!$A$32,
    moras[[#This Row],[TIPO_ASEGURAMIENTO]]
)</f>
        <v>ASALARIADO</v>
      </c>
    </row>
    <row r="1595" spans="1:16" x14ac:dyDescent="0.3">
      <c r="A1595">
        <v>1594</v>
      </c>
      <c r="B1595" t="s">
        <v>15</v>
      </c>
      <c r="C1595">
        <v>300000</v>
      </c>
      <c r="D1595" t="s">
        <v>17</v>
      </c>
      <c r="E1595" t="s">
        <v>16</v>
      </c>
      <c r="F1595" t="s">
        <v>12</v>
      </c>
      <c r="G1595" t="s">
        <v>13</v>
      </c>
      <c r="H1595" t="s">
        <v>13</v>
      </c>
      <c r="I1595">
        <v>21</v>
      </c>
      <c r="J1595">
        <f>ABS((I1595-EDA!$A$15)/EDA!$B$15)</f>
        <v>1.4806416187611704</v>
      </c>
      <c r="K1595" t="str">
        <f t="shared" si="24"/>
        <v>No</v>
      </c>
      <c r="L1595">
        <f>ABS((C1595-EDA!$F$15)/EDA!$G$15)</f>
        <v>0.37066176043415894</v>
      </c>
      <c r="M1595" t="str">
        <f>IF(moras[[#This Row],[Z-Score Salario]]&gt;1.96, "Sí", "No")</f>
        <v>No</v>
      </c>
      <c r="N1595" s="14">
        <f>IF(ISBLANK(moras[[#This Row],[SALARIO]]), EDA!$M$8, moras[[#This Row],[SALARIO]])</f>
        <v>300000</v>
      </c>
      <c r="O1595" s="14">
        <f xml:space="preserve"> IF(ISBLANK(moras[[#This Row],[EDAD]]), EDA!$E$8, moras[[#This Row],[EDAD]])</f>
        <v>21</v>
      </c>
      <c r="P1595" s="14" t="str">
        <f>IF(
    OR(ISBLANK(moras[[#This Row],[TIPO_ASEGURAMIENTO]]), moras[[#This Row],[TIPO_ASEGURAMIENTO]]=""),
    EDA!$A$32,
    moras[[#This Row],[TIPO_ASEGURAMIENTO]]
)</f>
        <v>ASEGURADO VOLUNTARIO</v>
      </c>
    </row>
    <row r="1596" spans="1:16" x14ac:dyDescent="0.3">
      <c r="A1596">
        <v>1595</v>
      </c>
      <c r="B1596" t="s">
        <v>9</v>
      </c>
      <c r="C1596">
        <v>1400000</v>
      </c>
      <c r="D1596" t="s">
        <v>10</v>
      </c>
      <c r="E1596" t="s">
        <v>16</v>
      </c>
      <c r="F1596" t="s">
        <v>12</v>
      </c>
      <c r="G1596" t="s">
        <v>13</v>
      </c>
      <c r="H1596" t="s">
        <v>13</v>
      </c>
      <c r="I1596">
        <v>34</v>
      </c>
      <c r="J1596">
        <f>ABS((I1596-EDA!$A$15)/EDA!$B$15)</f>
        <v>0.56316232775838282</v>
      </c>
      <c r="K1596" t="str">
        <f t="shared" si="24"/>
        <v>No</v>
      </c>
      <c r="L1596">
        <f>ABS((C1596-EDA!$F$15)/EDA!$G$15)</f>
        <v>0.35235698393074205</v>
      </c>
      <c r="M1596" t="str">
        <f>IF(moras[[#This Row],[Z-Score Salario]]&gt;1.96, "Sí", "No")</f>
        <v>No</v>
      </c>
      <c r="N1596" s="14">
        <f>IF(ISBLANK(moras[[#This Row],[SALARIO]]), EDA!$M$8, moras[[#This Row],[SALARIO]])</f>
        <v>1400000</v>
      </c>
      <c r="O1596" s="14">
        <f xml:space="preserve"> IF(ISBLANK(moras[[#This Row],[EDAD]]), EDA!$E$8, moras[[#This Row],[EDAD]])</f>
        <v>34</v>
      </c>
      <c r="P1596" s="14" t="str">
        <f>IF(
    OR(ISBLANK(moras[[#This Row],[TIPO_ASEGURAMIENTO]]), moras[[#This Row],[TIPO_ASEGURAMIENTO]]=""),
    EDA!$A$32,
    moras[[#This Row],[TIPO_ASEGURAMIENTO]]
)</f>
        <v>ASALARIADO</v>
      </c>
    </row>
    <row r="1597" spans="1:16" x14ac:dyDescent="0.3">
      <c r="A1597">
        <v>1596</v>
      </c>
      <c r="B1597" t="s">
        <v>9</v>
      </c>
      <c r="C1597">
        <v>200000</v>
      </c>
      <c r="D1597" t="s">
        <v>10</v>
      </c>
      <c r="E1597" t="s">
        <v>16</v>
      </c>
      <c r="F1597" t="s">
        <v>12</v>
      </c>
      <c r="G1597" t="s">
        <v>13</v>
      </c>
      <c r="H1597" t="s">
        <v>13</v>
      </c>
      <c r="I1597">
        <v>32</v>
      </c>
      <c r="J1597">
        <f>ABS((I1597-EDA!$A$15)/EDA!$B$15)</f>
        <v>0.70431298791265773</v>
      </c>
      <c r="K1597" t="str">
        <f t="shared" si="24"/>
        <v>No</v>
      </c>
      <c r="L1597">
        <f>ABS((C1597-EDA!$F$15)/EDA!$G$15)</f>
        <v>0.3723258310253787</v>
      </c>
      <c r="M1597" t="str">
        <f>IF(moras[[#This Row],[Z-Score Salario]]&gt;1.96, "Sí", "No")</f>
        <v>No</v>
      </c>
      <c r="N1597" s="14">
        <f>IF(ISBLANK(moras[[#This Row],[SALARIO]]), EDA!$M$8, moras[[#This Row],[SALARIO]])</f>
        <v>200000</v>
      </c>
      <c r="O1597" s="14">
        <f xml:space="preserve"> IF(ISBLANK(moras[[#This Row],[EDAD]]), EDA!$E$8, moras[[#This Row],[EDAD]])</f>
        <v>32</v>
      </c>
      <c r="P1597" s="14" t="str">
        <f>IF(
    OR(ISBLANK(moras[[#This Row],[TIPO_ASEGURAMIENTO]]), moras[[#This Row],[TIPO_ASEGURAMIENTO]]=""),
    EDA!$A$32,
    moras[[#This Row],[TIPO_ASEGURAMIENTO]]
)</f>
        <v>ASALARIADO</v>
      </c>
    </row>
    <row r="1598" spans="1:16" x14ac:dyDescent="0.3">
      <c r="A1598">
        <v>1597</v>
      </c>
      <c r="B1598" t="s">
        <v>15</v>
      </c>
      <c r="C1598">
        <v>21642345</v>
      </c>
      <c r="D1598" t="s">
        <v>10</v>
      </c>
      <c r="E1598" t="s">
        <v>16</v>
      </c>
      <c r="F1598" t="s">
        <v>12</v>
      </c>
      <c r="G1598" t="s">
        <v>13</v>
      </c>
      <c r="H1598" t="s">
        <v>13</v>
      </c>
      <c r="I1598">
        <v>28</v>
      </c>
      <c r="J1598">
        <f>ABS((I1598-EDA!$A$15)/EDA!$B$15)</f>
        <v>0.98661430822120777</v>
      </c>
      <c r="K1598" t="str">
        <f t="shared" si="24"/>
        <v>No</v>
      </c>
      <c r="L1598">
        <f>ABS((C1598-EDA!$F$15)/EDA!$G$15)</f>
        <v>1.551007381250709E-2</v>
      </c>
      <c r="M1598" t="str">
        <f>IF(moras[[#This Row],[Z-Score Salario]]&gt;1.96, "Sí", "No")</f>
        <v>No</v>
      </c>
      <c r="N1598" s="14">
        <f>IF(ISBLANK(moras[[#This Row],[SALARIO]]), EDA!$M$8, moras[[#This Row],[SALARIO]])</f>
        <v>21642345</v>
      </c>
      <c r="O1598" s="14">
        <f xml:space="preserve"> IF(ISBLANK(moras[[#This Row],[EDAD]]), EDA!$E$8, moras[[#This Row],[EDAD]])</f>
        <v>28</v>
      </c>
      <c r="P1598" s="14" t="str">
        <f>IF(
    OR(ISBLANK(moras[[#This Row],[TIPO_ASEGURAMIENTO]]), moras[[#This Row],[TIPO_ASEGURAMIENTO]]=""),
    EDA!$A$32,
    moras[[#This Row],[TIPO_ASEGURAMIENTO]]
)</f>
        <v>ASALARIADO</v>
      </c>
    </row>
    <row r="1599" spans="1:16" x14ac:dyDescent="0.3">
      <c r="A1599">
        <v>1598</v>
      </c>
      <c r="B1599" t="s">
        <v>9</v>
      </c>
      <c r="C1599">
        <v>829250</v>
      </c>
      <c r="D1599" t="s">
        <v>10</v>
      </c>
      <c r="E1599" t="s">
        <v>11</v>
      </c>
      <c r="F1599" t="s">
        <v>12</v>
      </c>
      <c r="G1599" t="s">
        <v>13</v>
      </c>
      <c r="H1599" t="s">
        <v>13</v>
      </c>
      <c r="I1599">
        <v>47</v>
      </c>
      <c r="J1599">
        <f>ABS((I1599-EDA!$A$15)/EDA!$B$15)</f>
        <v>0.35431696324440481</v>
      </c>
      <c r="K1599" t="str">
        <f t="shared" si="24"/>
        <v>No</v>
      </c>
      <c r="L1599">
        <f>ABS((C1599-EDA!$F$15)/EDA!$G$15)</f>
        <v>0.36185466683012862</v>
      </c>
      <c r="M1599" t="str">
        <f>IF(moras[[#This Row],[Z-Score Salario]]&gt;1.96, "Sí", "No")</f>
        <v>No</v>
      </c>
      <c r="N1599" s="14">
        <f>IF(ISBLANK(moras[[#This Row],[SALARIO]]), EDA!$M$8, moras[[#This Row],[SALARIO]])</f>
        <v>829250</v>
      </c>
      <c r="O1599" s="14">
        <f xml:space="preserve"> IF(ISBLANK(moras[[#This Row],[EDAD]]), EDA!$E$8, moras[[#This Row],[EDAD]])</f>
        <v>47</v>
      </c>
      <c r="P1599" s="14" t="str">
        <f>IF(
    OR(ISBLANK(moras[[#This Row],[TIPO_ASEGURAMIENTO]]), moras[[#This Row],[TIPO_ASEGURAMIENTO]]=""),
    EDA!$A$32,
    moras[[#This Row],[TIPO_ASEGURAMIENTO]]
)</f>
        <v>ASALARIADO</v>
      </c>
    </row>
    <row r="1600" spans="1:16" x14ac:dyDescent="0.3">
      <c r="A1600">
        <v>1599</v>
      </c>
      <c r="B1600" t="s">
        <v>9</v>
      </c>
      <c r="C1600">
        <v>370090</v>
      </c>
      <c r="D1600" t="s">
        <v>18</v>
      </c>
      <c r="E1600" t="s">
        <v>16</v>
      </c>
      <c r="F1600" t="s">
        <v>12</v>
      </c>
      <c r="G1600" t="s">
        <v>13</v>
      </c>
      <c r="H1600" t="s">
        <v>12</v>
      </c>
      <c r="I1600">
        <v>40</v>
      </c>
      <c r="J1600">
        <f>ABS((I1600-EDA!$A$15)/EDA!$B$15)</f>
        <v>0.13971034729555773</v>
      </c>
      <c r="K1600" t="str">
        <f t="shared" si="24"/>
        <v>No</v>
      </c>
      <c r="L1600">
        <f>ABS((C1600-EDA!$F$15)/EDA!$G$15)</f>
        <v>0.36949541335677305</v>
      </c>
      <c r="M1600" t="str">
        <f>IF(moras[[#This Row],[Z-Score Salario]]&gt;1.96, "Sí", "No")</f>
        <v>No</v>
      </c>
      <c r="N1600" s="14">
        <f>IF(ISBLANK(moras[[#This Row],[SALARIO]]), EDA!$M$8, moras[[#This Row],[SALARIO]])</f>
        <v>370090</v>
      </c>
      <c r="O1600" s="14">
        <f xml:space="preserve"> IF(ISBLANK(moras[[#This Row],[EDAD]]), EDA!$E$8, moras[[#This Row],[EDAD]])</f>
        <v>40</v>
      </c>
      <c r="P1600" s="14" t="str">
        <f>IF(
    OR(ISBLANK(moras[[#This Row],[TIPO_ASEGURAMIENTO]]), moras[[#This Row],[TIPO_ASEGURAMIENTO]]=""),
    EDA!$A$32,
    moras[[#This Row],[TIPO_ASEGURAMIENTO]]
)</f>
        <v>TRABAJADOR INDEPENDIENTE</v>
      </c>
    </row>
    <row r="1601" spans="1:16" x14ac:dyDescent="0.3">
      <c r="A1601">
        <v>1600</v>
      </c>
      <c r="B1601" t="s">
        <v>15</v>
      </c>
      <c r="C1601">
        <v>32812706</v>
      </c>
      <c r="D1601" t="s">
        <v>10</v>
      </c>
      <c r="E1601" t="s">
        <v>16</v>
      </c>
      <c r="F1601" t="s">
        <v>12</v>
      </c>
      <c r="G1601" t="s">
        <v>13</v>
      </c>
      <c r="H1601" t="s">
        <v>13</v>
      </c>
      <c r="I1601">
        <v>45</v>
      </c>
      <c r="J1601">
        <f>ABS((I1601-EDA!$A$15)/EDA!$B$15)</f>
        <v>0.21316630309012977</v>
      </c>
      <c r="K1601" t="str">
        <f t="shared" si="24"/>
        <v>No</v>
      </c>
      <c r="L1601">
        <f>ABS((C1601-EDA!$F$15)/EDA!$G$15)</f>
        <v>0.17037261852156968</v>
      </c>
      <c r="M1601" t="str">
        <f>IF(moras[[#This Row],[Z-Score Salario]]&gt;1.96, "Sí", "No")</f>
        <v>No</v>
      </c>
      <c r="N1601" s="14">
        <f>IF(ISBLANK(moras[[#This Row],[SALARIO]]), EDA!$M$8, moras[[#This Row],[SALARIO]])</f>
        <v>32812706</v>
      </c>
      <c r="O1601" s="14">
        <f xml:space="preserve"> IF(ISBLANK(moras[[#This Row],[EDAD]]), EDA!$E$8, moras[[#This Row],[EDAD]])</f>
        <v>45</v>
      </c>
      <c r="P1601" s="14" t="str">
        <f>IF(
    OR(ISBLANK(moras[[#This Row],[TIPO_ASEGURAMIENTO]]), moras[[#This Row],[TIPO_ASEGURAMIENTO]]=""),
    EDA!$A$32,
    moras[[#This Row],[TIPO_ASEGURAMIENTO]]
)</f>
        <v>ASALARIADO</v>
      </c>
    </row>
    <row r="1602" spans="1:16" x14ac:dyDescent="0.3">
      <c r="A1602">
        <v>1601</v>
      </c>
      <c r="B1602" t="s">
        <v>9</v>
      </c>
      <c r="C1602">
        <v>1414186</v>
      </c>
      <c r="D1602" t="s">
        <v>10</v>
      </c>
      <c r="E1602" t="s">
        <v>11</v>
      </c>
      <c r="F1602" t="s">
        <v>12</v>
      </c>
      <c r="G1602" t="s">
        <v>13</v>
      </c>
      <c r="H1602" t="s">
        <v>12</v>
      </c>
      <c r="I1602">
        <v>50</v>
      </c>
      <c r="J1602">
        <f>ABS((I1602-EDA!$A$15)/EDA!$B$15)</f>
        <v>0.56604295347581735</v>
      </c>
      <c r="K1602" t="str">
        <f t="shared" ref="K1602:K1665" si="25">IF(J1602 &gt;  1.96, "Sí","No")</f>
        <v>No</v>
      </c>
      <c r="L1602">
        <f>ABS((C1602-EDA!$F$15)/EDA!$G$15)</f>
        <v>0.35212091887667163</v>
      </c>
      <c r="M1602" t="str">
        <f>IF(moras[[#This Row],[Z-Score Salario]]&gt;1.96, "Sí", "No")</f>
        <v>No</v>
      </c>
      <c r="N1602" s="14">
        <f>IF(ISBLANK(moras[[#This Row],[SALARIO]]), EDA!$M$8, moras[[#This Row],[SALARIO]])</f>
        <v>1414186</v>
      </c>
      <c r="O1602" s="14">
        <f xml:space="preserve"> IF(ISBLANK(moras[[#This Row],[EDAD]]), EDA!$E$8, moras[[#This Row],[EDAD]])</f>
        <v>50</v>
      </c>
      <c r="P1602" s="14" t="str">
        <f>IF(
    OR(ISBLANK(moras[[#This Row],[TIPO_ASEGURAMIENTO]]), moras[[#This Row],[TIPO_ASEGURAMIENTO]]=""),
    EDA!$A$32,
    moras[[#This Row],[TIPO_ASEGURAMIENTO]]
)</f>
        <v>ASALARIADO</v>
      </c>
    </row>
    <row r="1603" spans="1:16" x14ac:dyDescent="0.3">
      <c r="A1603">
        <v>1602</v>
      </c>
      <c r="B1603" t="s">
        <v>9</v>
      </c>
      <c r="C1603">
        <v>11836234</v>
      </c>
      <c r="D1603" t="s">
        <v>10</v>
      </c>
      <c r="E1603" t="s">
        <v>11</v>
      </c>
      <c r="F1603" t="s">
        <v>12</v>
      </c>
      <c r="G1603" t="s">
        <v>13</v>
      </c>
      <c r="H1603" t="s">
        <v>13</v>
      </c>
      <c r="I1603">
        <v>41</v>
      </c>
      <c r="J1603">
        <f>ABS((I1603-EDA!$A$15)/EDA!$B$15)</f>
        <v>6.9135017218420233E-2</v>
      </c>
      <c r="K1603" t="str">
        <f t="shared" si="25"/>
        <v>No</v>
      </c>
      <c r="L1603">
        <f>ABS((C1603-EDA!$F$15)/EDA!$G$15)</f>
        <v>0.17869068310586886</v>
      </c>
      <c r="M1603" t="str">
        <f>IF(moras[[#This Row],[Z-Score Salario]]&gt;1.96, "Sí", "No")</f>
        <v>No</v>
      </c>
      <c r="N1603" s="14">
        <f>IF(ISBLANK(moras[[#This Row],[SALARIO]]), EDA!$M$8, moras[[#This Row],[SALARIO]])</f>
        <v>11836234</v>
      </c>
      <c r="O1603" s="14">
        <f xml:space="preserve"> IF(ISBLANK(moras[[#This Row],[EDAD]]), EDA!$E$8, moras[[#This Row],[EDAD]])</f>
        <v>41</v>
      </c>
      <c r="P1603" s="14" t="str">
        <f>IF(
    OR(ISBLANK(moras[[#This Row],[TIPO_ASEGURAMIENTO]]), moras[[#This Row],[TIPO_ASEGURAMIENTO]]=""),
    EDA!$A$32,
    moras[[#This Row],[TIPO_ASEGURAMIENTO]]
)</f>
        <v>ASALARIADO</v>
      </c>
    </row>
    <row r="1604" spans="1:16" x14ac:dyDescent="0.3">
      <c r="A1604">
        <v>1603</v>
      </c>
      <c r="B1604" t="s">
        <v>15</v>
      </c>
      <c r="C1604">
        <v>43350</v>
      </c>
      <c r="D1604" t="s">
        <v>10</v>
      </c>
      <c r="E1604" t="s">
        <v>16</v>
      </c>
      <c r="F1604" t="s">
        <v>12</v>
      </c>
      <c r="G1604" t="s">
        <v>13</v>
      </c>
      <c r="H1604" t="s">
        <v>13</v>
      </c>
      <c r="I1604">
        <v>51</v>
      </c>
      <c r="J1604">
        <f>ABS((I1604-EDA!$A$15)/EDA!$B$15)</f>
        <v>0.6366182835529548</v>
      </c>
      <c r="K1604" t="str">
        <f t="shared" si="25"/>
        <v>No</v>
      </c>
      <c r="L1604">
        <f>ABS((C1604-EDA!$F$15)/EDA!$G$15)</f>
        <v>0.37493259760652436</v>
      </c>
      <c r="M1604" t="str">
        <f>IF(moras[[#This Row],[Z-Score Salario]]&gt;1.96, "Sí", "No")</f>
        <v>No</v>
      </c>
      <c r="N1604" s="14">
        <f>IF(ISBLANK(moras[[#This Row],[SALARIO]]), EDA!$M$8, moras[[#This Row],[SALARIO]])</f>
        <v>43350</v>
      </c>
      <c r="O1604" s="14">
        <f xml:space="preserve"> IF(ISBLANK(moras[[#This Row],[EDAD]]), EDA!$E$8, moras[[#This Row],[EDAD]])</f>
        <v>51</v>
      </c>
      <c r="P1604" s="14" t="str">
        <f>IF(
    OR(ISBLANK(moras[[#This Row],[TIPO_ASEGURAMIENTO]]), moras[[#This Row],[TIPO_ASEGURAMIENTO]]=""),
    EDA!$A$32,
    moras[[#This Row],[TIPO_ASEGURAMIENTO]]
)</f>
        <v>ASALARIADO</v>
      </c>
    </row>
    <row r="1605" spans="1:16" x14ac:dyDescent="0.3">
      <c r="A1605">
        <v>1604</v>
      </c>
      <c r="B1605" t="s">
        <v>15</v>
      </c>
      <c r="C1605">
        <v>10636475</v>
      </c>
      <c r="D1605" t="s">
        <v>10</v>
      </c>
      <c r="E1605" t="s">
        <v>11</v>
      </c>
      <c r="F1605" t="s">
        <v>12</v>
      </c>
      <c r="G1605" t="s">
        <v>13</v>
      </c>
      <c r="H1605" t="s">
        <v>13</v>
      </c>
      <c r="I1605">
        <v>56</v>
      </c>
      <c r="J1605">
        <f>ABS((I1605-EDA!$A$15)/EDA!$B$15)</f>
        <v>0.9894949339386423</v>
      </c>
      <c r="K1605" t="str">
        <f t="shared" si="25"/>
        <v>No</v>
      </c>
      <c r="L1605">
        <f>ABS((C1605-EDA!$F$15)/EDA!$G$15)</f>
        <v>0.19865551979038062</v>
      </c>
      <c r="M1605" t="str">
        <f>IF(moras[[#This Row],[Z-Score Salario]]&gt;1.96, "Sí", "No")</f>
        <v>No</v>
      </c>
      <c r="N1605" s="14">
        <f>IF(ISBLANK(moras[[#This Row],[SALARIO]]), EDA!$M$8, moras[[#This Row],[SALARIO]])</f>
        <v>10636475</v>
      </c>
      <c r="O1605" s="14">
        <f xml:space="preserve"> IF(ISBLANK(moras[[#This Row],[EDAD]]), EDA!$E$8, moras[[#This Row],[EDAD]])</f>
        <v>56</v>
      </c>
      <c r="P1605" s="14" t="str">
        <f>IF(
    OR(ISBLANK(moras[[#This Row],[TIPO_ASEGURAMIENTO]]), moras[[#This Row],[TIPO_ASEGURAMIENTO]]=""),
    EDA!$A$32,
    moras[[#This Row],[TIPO_ASEGURAMIENTO]]
)</f>
        <v>ASALARIADO</v>
      </c>
    </row>
    <row r="1606" spans="1:16" x14ac:dyDescent="0.3">
      <c r="A1606">
        <v>1605</v>
      </c>
      <c r="B1606" t="s">
        <v>15</v>
      </c>
      <c r="C1606">
        <v>297046</v>
      </c>
      <c r="D1606" t="s">
        <v>18</v>
      </c>
      <c r="E1606" t="s">
        <v>16</v>
      </c>
      <c r="F1606" t="s">
        <v>12</v>
      </c>
      <c r="G1606" t="s">
        <v>13</v>
      </c>
      <c r="H1606" t="s">
        <v>12</v>
      </c>
      <c r="I1606">
        <v>42</v>
      </c>
      <c r="J1606">
        <f>ABS((I1606-EDA!$A$15)/EDA!$B$15)</f>
        <v>1.4403128587172659E-3</v>
      </c>
      <c r="K1606" t="str">
        <f t="shared" si="25"/>
        <v>No</v>
      </c>
      <c r="L1606">
        <f>ABS((C1606-EDA!$F$15)/EDA!$G$15)</f>
        <v>0.37071091707942361</v>
      </c>
      <c r="M1606" t="str">
        <f>IF(moras[[#This Row],[Z-Score Salario]]&gt;1.96, "Sí", "No")</f>
        <v>No</v>
      </c>
      <c r="N1606" s="14">
        <f>IF(ISBLANK(moras[[#This Row],[SALARIO]]), EDA!$M$8, moras[[#This Row],[SALARIO]])</f>
        <v>297046</v>
      </c>
      <c r="O1606" s="14">
        <f xml:space="preserve"> IF(ISBLANK(moras[[#This Row],[EDAD]]), EDA!$E$8, moras[[#This Row],[EDAD]])</f>
        <v>42</v>
      </c>
      <c r="P1606" s="14" t="str">
        <f>IF(
    OR(ISBLANK(moras[[#This Row],[TIPO_ASEGURAMIENTO]]), moras[[#This Row],[TIPO_ASEGURAMIENTO]]=""),
    EDA!$A$32,
    moras[[#This Row],[TIPO_ASEGURAMIENTO]]
)</f>
        <v>TRABAJADOR INDEPENDIENTE</v>
      </c>
    </row>
    <row r="1607" spans="1:16" x14ac:dyDescent="0.3">
      <c r="A1607">
        <v>1606</v>
      </c>
      <c r="B1607" t="s">
        <v>15</v>
      </c>
      <c r="C1607">
        <v>659230</v>
      </c>
      <c r="D1607" t="s">
        <v>10</v>
      </c>
      <c r="E1607" t="s">
        <v>16</v>
      </c>
      <c r="F1607" t="s">
        <v>12</v>
      </c>
      <c r="G1607" t="s">
        <v>13</v>
      </c>
      <c r="H1607" t="s">
        <v>13</v>
      </c>
      <c r="I1607">
        <v>21</v>
      </c>
      <c r="J1607">
        <f>ABS((I1607-EDA!$A$15)/EDA!$B$15)</f>
        <v>1.4806416187611704</v>
      </c>
      <c r="K1607" t="str">
        <f t="shared" si="25"/>
        <v>No</v>
      </c>
      <c r="L1607">
        <f>ABS((C1607-EDA!$F$15)/EDA!$G$15)</f>
        <v>0.36468391964932034</v>
      </c>
      <c r="M1607" t="str">
        <f>IF(moras[[#This Row],[Z-Score Salario]]&gt;1.96, "Sí", "No")</f>
        <v>No</v>
      </c>
      <c r="N1607" s="14">
        <f>IF(ISBLANK(moras[[#This Row],[SALARIO]]), EDA!$M$8, moras[[#This Row],[SALARIO]])</f>
        <v>659230</v>
      </c>
      <c r="O1607" s="14">
        <f xml:space="preserve"> IF(ISBLANK(moras[[#This Row],[EDAD]]), EDA!$E$8, moras[[#This Row],[EDAD]])</f>
        <v>21</v>
      </c>
      <c r="P1607" s="14" t="str">
        <f>IF(
    OR(ISBLANK(moras[[#This Row],[TIPO_ASEGURAMIENTO]]), moras[[#This Row],[TIPO_ASEGURAMIENTO]]=""),
    EDA!$A$32,
    moras[[#This Row],[TIPO_ASEGURAMIENTO]]
)</f>
        <v>ASALARIADO</v>
      </c>
    </row>
    <row r="1608" spans="1:16" x14ac:dyDescent="0.3">
      <c r="A1608">
        <v>1607</v>
      </c>
      <c r="B1608" t="s">
        <v>9</v>
      </c>
      <c r="C1608">
        <v>38669962</v>
      </c>
      <c r="D1608" t="s">
        <v>10</v>
      </c>
      <c r="E1608" t="s">
        <v>16</v>
      </c>
      <c r="F1608" t="s">
        <v>12</v>
      </c>
      <c r="G1608" t="s">
        <v>13</v>
      </c>
      <c r="H1608" t="s">
        <v>13</v>
      </c>
      <c r="I1608">
        <v>58</v>
      </c>
      <c r="J1608">
        <f>ABS((I1608-EDA!$A$15)/EDA!$B$15)</f>
        <v>1.1306455940929174</v>
      </c>
      <c r="K1608" t="str">
        <f t="shared" si="25"/>
        <v>No</v>
      </c>
      <c r="L1608">
        <f>ABS((C1608-EDA!$F$15)/EDA!$G$15)</f>
        <v>0.26784149307002209</v>
      </c>
      <c r="M1608" t="str">
        <f>IF(moras[[#This Row],[Z-Score Salario]]&gt;1.96, "Sí", "No")</f>
        <v>No</v>
      </c>
      <c r="N1608" s="14">
        <f>IF(ISBLANK(moras[[#This Row],[SALARIO]]), EDA!$M$8, moras[[#This Row],[SALARIO]])</f>
        <v>38669962</v>
      </c>
      <c r="O1608" s="14">
        <f xml:space="preserve"> IF(ISBLANK(moras[[#This Row],[EDAD]]), EDA!$E$8, moras[[#This Row],[EDAD]])</f>
        <v>58</v>
      </c>
      <c r="P1608" s="14" t="str">
        <f>IF(
    OR(ISBLANK(moras[[#This Row],[TIPO_ASEGURAMIENTO]]), moras[[#This Row],[TIPO_ASEGURAMIENTO]]=""),
    EDA!$A$32,
    moras[[#This Row],[TIPO_ASEGURAMIENTO]]
)</f>
        <v>ASALARIADO</v>
      </c>
    </row>
    <row r="1609" spans="1:16" x14ac:dyDescent="0.3">
      <c r="A1609">
        <v>1608</v>
      </c>
      <c r="B1609" t="s">
        <v>15</v>
      </c>
      <c r="C1609">
        <v>400000</v>
      </c>
      <c r="D1609" t="s">
        <v>10</v>
      </c>
      <c r="E1609" t="s">
        <v>16</v>
      </c>
      <c r="F1609" t="s">
        <v>12</v>
      </c>
      <c r="G1609" t="s">
        <v>13</v>
      </c>
      <c r="H1609" t="s">
        <v>13</v>
      </c>
      <c r="I1609">
        <v>20</v>
      </c>
      <c r="J1609">
        <f>ABS((I1609-EDA!$A$15)/EDA!$B$15)</f>
        <v>1.5512169488383079</v>
      </c>
      <c r="K1609" t="str">
        <f t="shared" si="25"/>
        <v>No</v>
      </c>
      <c r="L1609">
        <f>ABS((C1609-EDA!$F$15)/EDA!$G$15)</f>
        <v>0.36899768984293924</v>
      </c>
      <c r="M1609" t="str">
        <f>IF(moras[[#This Row],[Z-Score Salario]]&gt;1.96, "Sí", "No")</f>
        <v>No</v>
      </c>
      <c r="N1609" s="14">
        <f>IF(ISBLANK(moras[[#This Row],[SALARIO]]), EDA!$M$8, moras[[#This Row],[SALARIO]])</f>
        <v>400000</v>
      </c>
      <c r="O1609" s="14">
        <f xml:space="preserve"> IF(ISBLANK(moras[[#This Row],[EDAD]]), EDA!$E$8, moras[[#This Row],[EDAD]])</f>
        <v>20</v>
      </c>
      <c r="P1609" s="14" t="str">
        <f>IF(
    OR(ISBLANK(moras[[#This Row],[TIPO_ASEGURAMIENTO]]), moras[[#This Row],[TIPO_ASEGURAMIENTO]]=""),
    EDA!$A$32,
    moras[[#This Row],[TIPO_ASEGURAMIENTO]]
)</f>
        <v>ASALARIADO</v>
      </c>
    </row>
    <row r="1610" spans="1:16" x14ac:dyDescent="0.3">
      <c r="A1610">
        <v>1609</v>
      </c>
      <c r="B1610" t="s">
        <v>9</v>
      </c>
      <c r="C1610">
        <v>9330045</v>
      </c>
      <c r="D1610" t="s">
        <v>10</v>
      </c>
      <c r="E1610" t="s">
        <v>11</v>
      </c>
      <c r="F1610" t="s">
        <v>12</v>
      </c>
      <c r="G1610" t="s">
        <v>13</v>
      </c>
      <c r="H1610" t="s">
        <v>13</v>
      </c>
      <c r="I1610">
        <v>38</v>
      </c>
      <c r="J1610">
        <f>ABS((I1610-EDA!$A$15)/EDA!$B$15)</f>
        <v>0.28086100744983278</v>
      </c>
      <c r="K1610" t="str">
        <f t="shared" si="25"/>
        <v>No</v>
      </c>
      <c r="L1610">
        <f>ABS((C1610-EDA!$F$15)/EDA!$G$15)</f>
        <v>0.2203954372152524</v>
      </c>
      <c r="M1610" t="str">
        <f>IF(moras[[#This Row],[Z-Score Salario]]&gt;1.96, "Sí", "No")</f>
        <v>No</v>
      </c>
      <c r="N1610" s="14">
        <f>IF(ISBLANK(moras[[#This Row],[SALARIO]]), EDA!$M$8, moras[[#This Row],[SALARIO]])</f>
        <v>9330045</v>
      </c>
      <c r="O1610" s="14">
        <f xml:space="preserve"> IF(ISBLANK(moras[[#This Row],[EDAD]]), EDA!$E$8, moras[[#This Row],[EDAD]])</f>
        <v>38</v>
      </c>
      <c r="P1610" s="14" t="str">
        <f>IF(
    OR(ISBLANK(moras[[#This Row],[TIPO_ASEGURAMIENTO]]), moras[[#This Row],[TIPO_ASEGURAMIENTO]]=""),
    EDA!$A$32,
    moras[[#This Row],[TIPO_ASEGURAMIENTO]]
)</f>
        <v>ASALARIADO</v>
      </c>
    </row>
    <row r="1611" spans="1:16" x14ac:dyDescent="0.3">
      <c r="A1611">
        <v>1610</v>
      </c>
      <c r="B1611" t="s">
        <v>9</v>
      </c>
      <c r="C1611">
        <v>1552521</v>
      </c>
      <c r="D1611" t="s">
        <v>10</v>
      </c>
      <c r="E1611" t="s">
        <v>11</v>
      </c>
      <c r="F1611" t="s">
        <v>12</v>
      </c>
      <c r="G1611" t="s">
        <v>13</v>
      </c>
      <c r="H1611" t="s">
        <v>12</v>
      </c>
      <c r="I1611">
        <v>38</v>
      </c>
      <c r="J1611">
        <f>ABS((I1611-EDA!$A$15)/EDA!$B$15)</f>
        <v>0.28086100744983278</v>
      </c>
      <c r="K1611" t="str">
        <f t="shared" si="25"/>
        <v>No</v>
      </c>
      <c r="L1611">
        <f>ABS((C1611-EDA!$F$15)/EDA!$G$15)</f>
        <v>0.34981892682430782</v>
      </c>
      <c r="M1611" t="str">
        <f>IF(moras[[#This Row],[Z-Score Salario]]&gt;1.96, "Sí", "No")</f>
        <v>No</v>
      </c>
      <c r="N1611" s="14">
        <f>IF(ISBLANK(moras[[#This Row],[SALARIO]]), EDA!$M$8, moras[[#This Row],[SALARIO]])</f>
        <v>1552521</v>
      </c>
      <c r="O1611" s="14">
        <f xml:space="preserve"> IF(ISBLANK(moras[[#This Row],[EDAD]]), EDA!$E$8, moras[[#This Row],[EDAD]])</f>
        <v>38</v>
      </c>
      <c r="P1611" s="14" t="str">
        <f>IF(
    OR(ISBLANK(moras[[#This Row],[TIPO_ASEGURAMIENTO]]), moras[[#This Row],[TIPO_ASEGURAMIENTO]]=""),
    EDA!$A$32,
    moras[[#This Row],[TIPO_ASEGURAMIENTO]]
)</f>
        <v>ASALARIADO</v>
      </c>
    </row>
    <row r="1612" spans="1:16" x14ac:dyDescent="0.3">
      <c r="A1612">
        <v>1611</v>
      </c>
      <c r="B1612" t="s">
        <v>15</v>
      </c>
      <c r="C1612">
        <v>6959448</v>
      </c>
      <c r="D1612" t="s">
        <v>10</v>
      </c>
      <c r="E1612" t="s">
        <v>11</v>
      </c>
      <c r="F1612" t="s">
        <v>12</v>
      </c>
      <c r="G1612" t="s">
        <v>13</v>
      </c>
      <c r="H1612" t="s">
        <v>13</v>
      </c>
      <c r="I1612">
        <v>54</v>
      </c>
      <c r="J1612">
        <f>ABS((I1612-EDA!$A$15)/EDA!$B$15)</f>
        <v>0.84834427378436728</v>
      </c>
      <c r="K1612" t="str">
        <f t="shared" si="25"/>
        <v>No</v>
      </c>
      <c r="L1612">
        <f>ABS((C1612-EDA!$F$15)/EDA!$G$15)</f>
        <v>0.25984384472858929</v>
      </c>
      <c r="M1612" t="str">
        <f>IF(moras[[#This Row],[Z-Score Salario]]&gt;1.96, "Sí", "No")</f>
        <v>No</v>
      </c>
      <c r="N1612" s="14">
        <f>IF(ISBLANK(moras[[#This Row],[SALARIO]]), EDA!$M$8, moras[[#This Row],[SALARIO]])</f>
        <v>6959448</v>
      </c>
      <c r="O1612" s="14">
        <f xml:space="preserve"> IF(ISBLANK(moras[[#This Row],[EDAD]]), EDA!$E$8, moras[[#This Row],[EDAD]])</f>
        <v>54</v>
      </c>
      <c r="P1612" s="14" t="str">
        <f>IF(
    OR(ISBLANK(moras[[#This Row],[TIPO_ASEGURAMIENTO]]), moras[[#This Row],[TIPO_ASEGURAMIENTO]]=""),
    EDA!$A$32,
    moras[[#This Row],[TIPO_ASEGURAMIENTO]]
)</f>
        <v>ASALARIADO</v>
      </c>
    </row>
    <row r="1613" spans="1:16" x14ac:dyDescent="0.3">
      <c r="A1613">
        <v>1612</v>
      </c>
      <c r="B1613" t="s">
        <v>9</v>
      </c>
      <c r="C1613">
        <v>636889</v>
      </c>
      <c r="D1613" t="s">
        <v>18</v>
      </c>
      <c r="E1613" t="s">
        <v>16</v>
      </c>
      <c r="F1613" t="s">
        <v>12</v>
      </c>
      <c r="G1613" t="s">
        <v>12</v>
      </c>
      <c r="H1613" t="s">
        <v>12</v>
      </c>
      <c r="I1613">
        <v>59</v>
      </c>
      <c r="J1613">
        <f>ABS((I1613-EDA!$A$15)/EDA!$B$15)</f>
        <v>1.2012209241700549</v>
      </c>
      <c r="K1613" t="str">
        <f t="shared" si="25"/>
        <v>No</v>
      </c>
      <c r="L1613">
        <f>ABS((C1613-EDA!$F$15)/EDA!$G$15)</f>
        <v>0.36505568966010477</v>
      </c>
      <c r="M1613" t="str">
        <f>IF(moras[[#This Row],[Z-Score Salario]]&gt;1.96, "Sí", "No")</f>
        <v>No</v>
      </c>
      <c r="N1613" s="14">
        <f>IF(ISBLANK(moras[[#This Row],[SALARIO]]), EDA!$M$8, moras[[#This Row],[SALARIO]])</f>
        <v>636889</v>
      </c>
      <c r="O1613" s="14">
        <f xml:space="preserve"> IF(ISBLANK(moras[[#This Row],[EDAD]]), EDA!$E$8, moras[[#This Row],[EDAD]])</f>
        <v>59</v>
      </c>
      <c r="P1613" s="14" t="str">
        <f>IF(
    OR(ISBLANK(moras[[#This Row],[TIPO_ASEGURAMIENTO]]), moras[[#This Row],[TIPO_ASEGURAMIENTO]]=""),
    EDA!$A$32,
    moras[[#This Row],[TIPO_ASEGURAMIENTO]]
)</f>
        <v>TRABAJADOR INDEPENDIENTE</v>
      </c>
    </row>
    <row r="1614" spans="1:16" x14ac:dyDescent="0.3">
      <c r="A1614">
        <v>1613</v>
      </c>
      <c r="B1614" t="s">
        <v>15</v>
      </c>
      <c r="C1614">
        <v>374751</v>
      </c>
      <c r="D1614" t="s">
        <v>10</v>
      </c>
      <c r="E1614" t="s">
        <v>11</v>
      </c>
      <c r="F1614" t="s">
        <v>12</v>
      </c>
      <c r="G1614" t="s">
        <v>13</v>
      </c>
      <c r="H1614" t="s">
        <v>13</v>
      </c>
      <c r="I1614">
        <v>58</v>
      </c>
      <c r="J1614">
        <f>ABS((I1614-EDA!$A$15)/EDA!$B$15)</f>
        <v>1.1306455940929174</v>
      </c>
      <c r="K1614" t="str">
        <f t="shared" si="25"/>
        <v>No</v>
      </c>
      <c r="L1614">
        <f>ABS((C1614-EDA!$F$15)/EDA!$G$15)</f>
        <v>0.36941785102651631</v>
      </c>
      <c r="M1614" t="str">
        <f>IF(moras[[#This Row],[Z-Score Salario]]&gt;1.96, "Sí", "No")</f>
        <v>No</v>
      </c>
      <c r="N1614" s="14">
        <f>IF(ISBLANK(moras[[#This Row],[SALARIO]]), EDA!$M$8, moras[[#This Row],[SALARIO]])</f>
        <v>374751</v>
      </c>
      <c r="O1614" s="14">
        <f xml:space="preserve"> IF(ISBLANK(moras[[#This Row],[EDAD]]), EDA!$E$8, moras[[#This Row],[EDAD]])</f>
        <v>58</v>
      </c>
      <c r="P1614" s="14" t="str">
        <f>IF(
    OR(ISBLANK(moras[[#This Row],[TIPO_ASEGURAMIENTO]]), moras[[#This Row],[TIPO_ASEGURAMIENTO]]=""),
    EDA!$A$32,
    moras[[#This Row],[TIPO_ASEGURAMIENTO]]
)</f>
        <v>ASALARIADO</v>
      </c>
    </row>
    <row r="1615" spans="1:16" x14ac:dyDescent="0.3">
      <c r="A1615">
        <v>1614</v>
      </c>
      <c r="B1615" t="s">
        <v>9</v>
      </c>
      <c r="C1615">
        <v>2996442</v>
      </c>
      <c r="D1615" t="s">
        <v>10</v>
      </c>
      <c r="E1615" t="s">
        <v>16</v>
      </c>
      <c r="F1615" t="s">
        <v>12</v>
      </c>
      <c r="G1615" t="s">
        <v>13</v>
      </c>
      <c r="H1615" t="s">
        <v>13</v>
      </c>
      <c r="I1615">
        <v>43</v>
      </c>
      <c r="J1615">
        <f>ABS((I1615-EDA!$A$15)/EDA!$B$15)</f>
        <v>7.2015642935854773E-2</v>
      </c>
      <c r="K1615" t="str">
        <f t="shared" si="25"/>
        <v>No</v>
      </c>
      <c r="L1615">
        <f>ABS((C1615-EDA!$F$15)/EDA!$G$15)</f>
        <v>0.32579106210286218</v>
      </c>
      <c r="M1615" t="str">
        <f>IF(moras[[#This Row],[Z-Score Salario]]&gt;1.96, "Sí", "No")</f>
        <v>No</v>
      </c>
      <c r="N1615" s="14">
        <f>IF(ISBLANK(moras[[#This Row],[SALARIO]]), EDA!$M$8, moras[[#This Row],[SALARIO]])</f>
        <v>2996442</v>
      </c>
      <c r="O1615" s="14">
        <f xml:space="preserve"> IF(ISBLANK(moras[[#This Row],[EDAD]]), EDA!$E$8, moras[[#This Row],[EDAD]])</f>
        <v>43</v>
      </c>
      <c r="P1615" s="14" t="str">
        <f>IF(
    OR(ISBLANK(moras[[#This Row],[TIPO_ASEGURAMIENTO]]), moras[[#This Row],[TIPO_ASEGURAMIENTO]]=""),
    EDA!$A$32,
    moras[[#This Row],[TIPO_ASEGURAMIENTO]]
)</f>
        <v>ASALARIADO</v>
      </c>
    </row>
    <row r="1616" spans="1:16" x14ac:dyDescent="0.3">
      <c r="A1616">
        <v>1615</v>
      </c>
      <c r="B1616" t="s">
        <v>15</v>
      </c>
      <c r="C1616">
        <v>46275986</v>
      </c>
      <c r="D1616" t="s">
        <v>10</v>
      </c>
      <c r="E1616" t="s">
        <v>16</v>
      </c>
      <c r="F1616" t="s">
        <v>12</v>
      </c>
      <c r="G1616" t="s">
        <v>13</v>
      </c>
      <c r="H1616" t="s">
        <v>13</v>
      </c>
      <c r="I1616">
        <v>57</v>
      </c>
      <c r="J1616">
        <f>ABS((I1616-EDA!$A$15)/EDA!$B$15)</f>
        <v>1.0600702640157798</v>
      </c>
      <c r="K1616" t="str">
        <f t="shared" si="25"/>
        <v>No</v>
      </c>
      <c r="L1616">
        <f>ABS((C1616-EDA!$F$15)/EDA!$G$15)</f>
        <v>0.39441110161513571</v>
      </c>
      <c r="M1616" t="str">
        <f>IF(moras[[#This Row],[Z-Score Salario]]&gt;1.96, "Sí", "No")</f>
        <v>No</v>
      </c>
      <c r="N1616" s="14">
        <f>IF(ISBLANK(moras[[#This Row],[SALARIO]]), EDA!$M$8, moras[[#This Row],[SALARIO]])</f>
        <v>46275986</v>
      </c>
      <c r="O1616" s="14">
        <f xml:space="preserve"> IF(ISBLANK(moras[[#This Row],[EDAD]]), EDA!$E$8, moras[[#This Row],[EDAD]])</f>
        <v>57</v>
      </c>
      <c r="P1616" s="14" t="str">
        <f>IF(
    OR(ISBLANK(moras[[#This Row],[TIPO_ASEGURAMIENTO]]), moras[[#This Row],[TIPO_ASEGURAMIENTO]]=""),
    EDA!$A$32,
    moras[[#This Row],[TIPO_ASEGURAMIENTO]]
)</f>
        <v>ASALARIADO</v>
      </c>
    </row>
    <row r="1617" spans="1:16" x14ac:dyDescent="0.3">
      <c r="A1617">
        <v>1616</v>
      </c>
      <c r="B1617" t="s">
        <v>9</v>
      </c>
      <c r="C1617">
        <v>516873</v>
      </c>
      <c r="D1617" t="s">
        <v>18</v>
      </c>
      <c r="E1617" t="s">
        <v>16</v>
      </c>
      <c r="F1617" t="s">
        <v>12</v>
      </c>
      <c r="G1617" t="s">
        <v>13</v>
      </c>
      <c r="H1617" t="s">
        <v>13</v>
      </c>
      <c r="I1617">
        <v>45</v>
      </c>
      <c r="J1617">
        <f>ABS((I1617-EDA!$A$15)/EDA!$B$15)</f>
        <v>0.21316630309012977</v>
      </c>
      <c r="K1617" t="str">
        <f t="shared" si="25"/>
        <v>No</v>
      </c>
      <c r="L1617">
        <f>ABS((C1617-EDA!$F$15)/EDA!$G$15)</f>
        <v>0.36705284062086302</v>
      </c>
      <c r="M1617" t="str">
        <f>IF(moras[[#This Row],[Z-Score Salario]]&gt;1.96, "Sí", "No")</f>
        <v>No</v>
      </c>
      <c r="N1617" s="14">
        <f>IF(ISBLANK(moras[[#This Row],[SALARIO]]), EDA!$M$8, moras[[#This Row],[SALARIO]])</f>
        <v>516873</v>
      </c>
      <c r="O1617" s="14">
        <f xml:space="preserve"> IF(ISBLANK(moras[[#This Row],[EDAD]]), EDA!$E$8, moras[[#This Row],[EDAD]])</f>
        <v>45</v>
      </c>
      <c r="P1617" s="14" t="str">
        <f>IF(
    OR(ISBLANK(moras[[#This Row],[TIPO_ASEGURAMIENTO]]), moras[[#This Row],[TIPO_ASEGURAMIENTO]]=""),
    EDA!$A$32,
    moras[[#This Row],[TIPO_ASEGURAMIENTO]]
)</f>
        <v>TRABAJADOR INDEPENDIENTE</v>
      </c>
    </row>
    <row r="1618" spans="1:16" x14ac:dyDescent="0.3">
      <c r="A1618">
        <v>1617</v>
      </c>
      <c r="B1618" t="s">
        <v>15</v>
      </c>
      <c r="C1618">
        <v>73230132</v>
      </c>
      <c r="D1618" t="s">
        <v>10</v>
      </c>
      <c r="E1618" t="s">
        <v>16</v>
      </c>
      <c r="F1618" t="s">
        <v>12</v>
      </c>
      <c r="G1618" t="s">
        <v>13</v>
      </c>
      <c r="H1618" t="s">
        <v>13</v>
      </c>
      <c r="I1618">
        <v>44</v>
      </c>
      <c r="J1618">
        <f>ABS((I1618-EDA!$A$15)/EDA!$B$15)</f>
        <v>0.14259097301299228</v>
      </c>
      <c r="K1618" t="str">
        <f t="shared" si="25"/>
        <v>No</v>
      </c>
      <c r="L1618">
        <f>ABS((C1618-EDA!$F$15)/EDA!$G$15)</f>
        <v>0.84294711831556157</v>
      </c>
      <c r="M1618" t="str">
        <f>IF(moras[[#This Row],[Z-Score Salario]]&gt;1.96, "Sí", "No")</f>
        <v>No</v>
      </c>
      <c r="N1618" s="14">
        <f>IF(ISBLANK(moras[[#This Row],[SALARIO]]), EDA!$M$8, moras[[#This Row],[SALARIO]])</f>
        <v>73230132</v>
      </c>
      <c r="O1618" s="14">
        <f xml:space="preserve"> IF(ISBLANK(moras[[#This Row],[EDAD]]), EDA!$E$8, moras[[#This Row],[EDAD]])</f>
        <v>44</v>
      </c>
      <c r="P1618" s="14" t="str">
        <f>IF(
    OR(ISBLANK(moras[[#This Row],[TIPO_ASEGURAMIENTO]]), moras[[#This Row],[TIPO_ASEGURAMIENTO]]=""),
    EDA!$A$32,
    moras[[#This Row],[TIPO_ASEGURAMIENTO]]
)</f>
        <v>ASALARIADO</v>
      </c>
    </row>
    <row r="1619" spans="1:16" x14ac:dyDescent="0.3">
      <c r="A1619">
        <v>1618</v>
      </c>
      <c r="B1619" t="s">
        <v>9</v>
      </c>
      <c r="C1619">
        <v>298018</v>
      </c>
      <c r="D1619" t="s">
        <v>18</v>
      </c>
      <c r="E1619" t="s">
        <v>16</v>
      </c>
      <c r="F1619" t="s">
        <v>12</v>
      </c>
      <c r="G1619" t="s">
        <v>13</v>
      </c>
      <c r="H1619" t="s">
        <v>12</v>
      </c>
      <c r="I1619">
        <v>26</v>
      </c>
      <c r="J1619">
        <f>ABS((I1619-EDA!$A$15)/EDA!$B$15)</f>
        <v>1.1277649683754829</v>
      </c>
      <c r="K1619" t="str">
        <f t="shared" si="25"/>
        <v>No</v>
      </c>
      <c r="L1619">
        <f>ABS((C1619-EDA!$F$15)/EDA!$G$15)</f>
        <v>0.37069474231327693</v>
      </c>
      <c r="M1619" t="str">
        <f>IF(moras[[#This Row],[Z-Score Salario]]&gt;1.96, "Sí", "No")</f>
        <v>No</v>
      </c>
      <c r="N1619" s="14">
        <f>IF(ISBLANK(moras[[#This Row],[SALARIO]]), EDA!$M$8, moras[[#This Row],[SALARIO]])</f>
        <v>298018</v>
      </c>
      <c r="O1619" s="14">
        <f xml:space="preserve"> IF(ISBLANK(moras[[#This Row],[EDAD]]), EDA!$E$8, moras[[#This Row],[EDAD]])</f>
        <v>26</v>
      </c>
      <c r="P1619" s="14" t="str">
        <f>IF(
    OR(ISBLANK(moras[[#This Row],[TIPO_ASEGURAMIENTO]]), moras[[#This Row],[TIPO_ASEGURAMIENTO]]=""),
    EDA!$A$32,
    moras[[#This Row],[TIPO_ASEGURAMIENTO]]
)</f>
        <v>TRABAJADOR INDEPENDIENTE</v>
      </c>
    </row>
    <row r="1620" spans="1:16" x14ac:dyDescent="0.3">
      <c r="A1620">
        <v>1619</v>
      </c>
      <c r="B1620" t="s">
        <v>15</v>
      </c>
      <c r="C1620">
        <v>297046</v>
      </c>
      <c r="D1620" t="s">
        <v>17</v>
      </c>
      <c r="E1620" t="s">
        <v>16</v>
      </c>
      <c r="F1620" t="s">
        <v>12</v>
      </c>
      <c r="G1620" t="s">
        <v>13</v>
      </c>
      <c r="H1620" t="s">
        <v>13</v>
      </c>
      <c r="I1620">
        <v>58</v>
      </c>
      <c r="J1620">
        <f>ABS((I1620-EDA!$A$15)/EDA!$B$15)</f>
        <v>1.1306455940929174</v>
      </c>
      <c r="K1620" t="str">
        <f t="shared" si="25"/>
        <v>No</v>
      </c>
      <c r="L1620">
        <f>ABS((C1620-EDA!$F$15)/EDA!$G$15)</f>
        <v>0.37071091707942361</v>
      </c>
      <c r="M1620" t="str">
        <f>IF(moras[[#This Row],[Z-Score Salario]]&gt;1.96, "Sí", "No")</f>
        <v>No</v>
      </c>
      <c r="N1620" s="14">
        <f>IF(ISBLANK(moras[[#This Row],[SALARIO]]), EDA!$M$8, moras[[#This Row],[SALARIO]])</f>
        <v>297046</v>
      </c>
      <c r="O1620" s="14">
        <f xml:space="preserve"> IF(ISBLANK(moras[[#This Row],[EDAD]]), EDA!$E$8, moras[[#This Row],[EDAD]])</f>
        <v>58</v>
      </c>
      <c r="P1620" s="14" t="str">
        <f>IF(
    OR(ISBLANK(moras[[#This Row],[TIPO_ASEGURAMIENTO]]), moras[[#This Row],[TIPO_ASEGURAMIENTO]]=""),
    EDA!$A$32,
    moras[[#This Row],[TIPO_ASEGURAMIENTO]]
)</f>
        <v>ASEGURADO VOLUNTARIO</v>
      </c>
    </row>
    <row r="1621" spans="1:16" x14ac:dyDescent="0.3">
      <c r="A1621">
        <v>1620</v>
      </c>
      <c r="B1621" t="s">
        <v>15</v>
      </c>
      <c r="C1621">
        <v>282216</v>
      </c>
      <c r="D1621" t="s">
        <v>10</v>
      </c>
      <c r="E1621" t="s">
        <v>16</v>
      </c>
      <c r="F1621" t="s">
        <v>12</v>
      </c>
      <c r="G1621" t="s">
        <v>12</v>
      </c>
      <c r="H1621" t="s">
        <v>13</v>
      </c>
      <c r="I1621">
        <v>22</v>
      </c>
      <c r="J1621">
        <f>ABS((I1621-EDA!$A$15)/EDA!$B$15)</f>
        <v>1.4100662886840327</v>
      </c>
      <c r="K1621" t="str">
        <f t="shared" si="25"/>
        <v>No</v>
      </c>
      <c r="L1621">
        <f>ABS((C1621-EDA!$F$15)/EDA!$G$15)</f>
        <v>0.37095769874810147</v>
      </c>
      <c r="M1621" t="str">
        <f>IF(moras[[#This Row],[Z-Score Salario]]&gt;1.96, "Sí", "No")</f>
        <v>No</v>
      </c>
      <c r="N1621" s="14">
        <f>IF(ISBLANK(moras[[#This Row],[SALARIO]]), EDA!$M$8, moras[[#This Row],[SALARIO]])</f>
        <v>282216</v>
      </c>
      <c r="O1621" s="14">
        <f xml:space="preserve"> IF(ISBLANK(moras[[#This Row],[EDAD]]), EDA!$E$8, moras[[#This Row],[EDAD]])</f>
        <v>22</v>
      </c>
      <c r="P1621" s="14" t="str">
        <f>IF(
    OR(ISBLANK(moras[[#This Row],[TIPO_ASEGURAMIENTO]]), moras[[#This Row],[TIPO_ASEGURAMIENTO]]=""),
    EDA!$A$32,
    moras[[#This Row],[TIPO_ASEGURAMIENTO]]
)</f>
        <v>ASALARIADO</v>
      </c>
    </row>
    <row r="1622" spans="1:16" x14ac:dyDescent="0.3">
      <c r="A1622">
        <v>1621</v>
      </c>
      <c r="B1622" t="s">
        <v>9</v>
      </c>
      <c r="C1622">
        <v>83858607</v>
      </c>
      <c r="D1622" t="s">
        <v>10</v>
      </c>
      <c r="E1622" t="s">
        <v>11</v>
      </c>
      <c r="F1622" t="s">
        <v>12</v>
      </c>
      <c r="G1622" t="s">
        <v>13</v>
      </c>
      <c r="H1622" t="s">
        <v>13</v>
      </c>
      <c r="I1622">
        <v>31</v>
      </c>
      <c r="J1622">
        <f>ABS((I1622-EDA!$A$15)/EDA!$B$15)</f>
        <v>0.77488831798979529</v>
      </c>
      <c r="K1622" t="str">
        <f t="shared" si="25"/>
        <v>No</v>
      </c>
      <c r="L1622">
        <f>ABS((C1622-EDA!$F$15)/EDA!$G$15)</f>
        <v>1.0198124450857016</v>
      </c>
      <c r="M1622" t="str">
        <f>IF(moras[[#This Row],[Z-Score Salario]]&gt;1.96, "Sí", "No")</f>
        <v>No</v>
      </c>
      <c r="N1622" s="14">
        <f>IF(ISBLANK(moras[[#This Row],[SALARIO]]), EDA!$M$8, moras[[#This Row],[SALARIO]])</f>
        <v>83858607</v>
      </c>
      <c r="O1622" s="14">
        <f xml:space="preserve"> IF(ISBLANK(moras[[#This Row],[EDAD]]), EDA!$E$8, moras[[#This Row],[EDAD]])</f>
        <v>31</v>
      </c>
      <c r="P1622" s="14" t="str">
        <f>IF(
    OR(ISBLANK(moras[[#This Row],[TIPO_ASEGURAMIENTO]]), moras[[#This Row],[TIPO_ASEGURAMIENTO]]=""),
    EDA!$A$32,
    moras[[#This Row],[TIPO_ASEGURAMIENTO]]
)</f>
        <v>ASALARIADO</v>
      </c>
    </row>
    <row r="1623" spans="1:16" x14ac:dyDescent="0.3">
      <c r="A1623">
        <v>1622</v>
      </c>
      <c r="B1623" t="s">
        <v>9</v>
      </c>
      <c r="C1623">
        <v>77414269</v>
      </c>
      <c r="D1623" t="s">
        <v>10</v>
      </c>
      <c r="E1623" t="s">
        <v>16</v>
      </c>
      <c r="F1623" t="s">
        <v>12</v>
      </c>
      <c r="G1623" t="s">
        <v>13</v>
      </c>
      <c r="H1623" t="s">
        <v>13</v>
      </c>
      <c r="I1623">
        <v>41</v>
      </c>
      <c r="J1623">
        <f>ABS((I1623-EDA!$A$15)/EDA!$B$15)</f>
        <v>6.9135017218420233E-2</v>
      </c>
      <c r="K1623" t="str">
        <f t="shared" si="25"/>
        <v>No</v>
      </c>
      <c r="L1623">
        <f>ABS((C1623-EDA!$F$15)/EDA!$G$15)</f>
        <v>0.91257411162890456</v>
      </c>
      <c r="M1623" t="str">
        <f>IF(moras[[#This Row],[Z-Score Salario]]&gt;1.96, "Sí", "No")</f>
        <v>No</v>
      </c>
      <c r="N1623" s="14">
        <f>IF(ISBLANK(moras[[#This Row],[SALARIO]]), EDA!$M$8, moras[[#This Row],[SALARIO]])</f>
        <v>77414269</v>
      </c>
      <c r="O1623" s="14">
        <f xml:space="preserve"> IF(ISBLANK(moras[[#This Row],[EDAD]]), EDA!$E$8, moras[[#This Row],[EDAD]])</f>
        <v>41</v>
      </c>
      <c r="P1623" s="14" t="str">
        <f>IF(
    OR(ISBLANK(moras[[#This Row],[TIPO_ASEGURAMIENTO]]), moras[[#This Row],[TIPO_ASEGURAMIENTO]]=""),
    EDA!$A$32,
    moras[[#This Row],[TIPO_ASEGURAMIENTO]]
)</f>
        <v>ASALARIADO</v>
      </c>
    </row>
    <row r="1624" spans="1:16" x14ac:dyDescent="0.3">
      <c r="A1624">
        <v>1623</v>
      </c>
      <c r="B1624" t="s">
        <v>9</v>
      </c>
      <c r="C1624">
        <v>297429</v>
      </c>
      <c r="D1624" t="s">
        <v>18</v>
      </c>
      <c r="E1624" t="s">
        <v>16</v>
      </c>
      <c r="F1624" t="s">
        <v>12</v>
      </c>
      <c r="G1624" t="s">
        <v>13</v>
      </c>
      <c r="H1624" t="s">
        <v>12</v>
      </c>
      <c r="I1624">
        <v>52</v>
      </c>
      <c r="J1624">
        <f>ABS((I1624-EDA!$A$15)/EDA!$B$15)</f>
        <v>0.70719361363009237</v>
      </c>
      <c r="K1624" t="str">
        <f t="shared" si="25"/>
        <v>No</v>
      </c>
      <c r="L1624">
        <f>ABS((C1624-EDA!$F$15)/EDA!$G$15)</f>
        <v>0.3707045436890592</v>
      </c>
      <c r="M1624" t="str">
        <f>IF(moras[[#This Row],[Z-Score Salario]]&gt;1.96, "Sí", "No")</f>
        <v>No</v>
      </c>
      <c r="N1624" s="14">
        <f>IF(ISBLANK(moras[[#This Row],[SALARIO]]), EDA!$M$8, moras[[#This Row],[SALARIO]])</f>
        <v>297429</v>
      </c>
      <c r="O1624" s="14">
        <f xml:space="preserve"> IF(ISBLANK(moras[[#This Row],[EDAD]]), EDA!$E$8, moras[[#This Row],[EDAD]])</f>
        <v>52</v>
      </c>
      <c r="P1624" s="14" t="str">
        <f>IF(
    OR(ISBLANK(moras[[#This Row],[TIPO_ASEGURAMIENTO]]), moras[[#This Row],[TIPO_ASEGURAMIENTO]]=""),
    EDA!$A$32,
    moras[[#This Row],[TIPO_ASEGURAMIENTO]]
)</f>
        <v>TRABAJADOR INDEPENDIENTE</v>
      </c>
    </row>
    <row r="1625" spans="1:16" x14ac:dyDescent="0.3">
      <c r="A1625">
        <v>1624</v>
      </c>
      <c r="B1625" t="s">
        <v>15</v>
      </c>
      <c r="C1625">
        <v>28358822</v>
      </c>
      <c r="D1625" t="s">
        <v>10</v>
      </c>
      <c r="E1625" t="s">
        <v>16</v>
      </c>
      <c r="F1625" t="s">
        <v>12</v>
      </c>
      <c r="G1625" t="s">
        <v>13</v>
      </c>
      <c r="H1625" t="s">
        <v>13</v>
      </c>
      <c r="I1625">
        <v>29</v>
      </c>
      <c r="J1625">
        <f>ABS((I1625-EDA!$A$15)/EDA!$B$15)</f>
        <v>0.91603897814407031</v>
      </c>
      <c r="K1625" t="str">
        <f t="shared" si="25"/>
        <v>No</v>
      </c>
      <c r="L1625">
        <f>ABS((C1625-EDA!$F$15)/EDA!$G$15)</f>
        <v>9.6256844710529268E-2</v>
      </c>
      <c r="M1625" t="str">
        <f>IF(moras[[#This Row],[Z-Score Salario]]&gt;1.96, "Sí", "No")</f>
        <v>No</v>
      </c>
      <c r="N1625" s="14">
        <f>IF(ISBLANK(moras[[#This Row],[SALARIO]]), EDA!$M$8, moras[[#This Row],[SALARIO]])</f>
        <v>28358822</v>
      </c>
      <c r="O1625" s="14">
        <f xml:space="preserve"> IF(ISBLANK(moras[[#This Row],[EDAD]]), EDA!$E$8, moras[[#This Row],[EDAD]])</f>
        <v>29</v>
      </c>
      <c r="P1625" s="14" t="str">
        <f>IF(
    OR(ISBLANK(moras[[#This Row],[TIPO_ASEGURAMIENTO]]), moras[[#This Row],[TIPO_ASEGURAMIENTO]]=""),
    EDA!$A$32,
    moras[[#This Row],[TIPO_ASEGURAMIENTO]]
)</f>
        <v>ASALARIADO</v>
      </c>
    </row>
    <row r="1626" spans="1:16" x14ac:dyDescent="0.3">
      <c r="A1626">
        <v>1625</v>
      </c>
      <c r="B1626" t="s">
        <v>9</v>
      </c>
      <c r="C1626">
        <v>13571875</v>
      </c>
      <c r="D1626" t="s">
        <v>10</v>
      </c>
      <c r="E1626" t="s">
        <v>16</v>
      </c>
      <c r="F1626" t="s">
        <v>12</v>
      </c>
      <c r="G1626" t="s">
        <v>13</v>
      </c>
      <c r="H1626" t="s">
        <v>13</v>
      </c>
      <c r="I1626">
        <v>36</v>
      </c>
      <c r="J1626">
        <f>ABS((I1626-EDA!$A$15)/EDA!$B$15)</f>
        <v>0.42201166760410774</v>
      </c>
      <c r="K1626" t="str">
        <f t="shared" si="25"/>
        <v>No</v>
      </c>
      <c r="L1626">
        <f>ABS((C1626-EDA!$F$15)/EDA!$G$15)</f>
        <v>0.14980839165571705</v>
      </c>
      <c r="M1626" t="str">
        <f>IF(moras[[#This Row],[Z-Score Salario]]&gt;1.96, "Sí", "No")</f>
        <v>No</v>
      </c>
      <c r="N1626" s="14">
        <f>IF(ISBLANK(moras[[#This Row],[SALARIO]]), EDA!$M$8, moras[[#This Row],[SALARIO]])</f>
        <v>13571875</v>
      </c>
      <c r="O1626" s="14">
        <f xml:space="preserve"> IF(ISBLANK(moras[[#This Row],[EDAD]]), EDA!$E$8, moras[[#This Row],[EDAD]])</f>
        <v>36</v>
      </c>
      <c r="P1626" s="14" t="str">
        <f>IF(
    OR(ISBLANK(moras[[#This Row],[TIPO_ASEGURAMIENTO]]), moras[[#This Row],[TIPO_ASEGURAMIENTO]]=""),
    EDA!$A$32,
    moras[[#This Row],[TIPO_ASEGURAMIENTO]]
)</f>
        <v>ASALARIADO</v>
      </c>
    </row>
    <row r="1627" spans="1:16" x14ac:dyDescent="0.3">
      <c r="A1627">
        <v>1626</v>
      </c>
      <c r="B1627" t="s">
        <v>15</v>
      </c>
      <c r="C1627">
        <v>54679478</v>
      </c>
      <c r="D1627" t="s">
        <v>10</v>
      </c>
      <c r="E1627" t="s">
        <v>16</v>
      </c>
      <c r="F1627" t="s">
        <v>12</v>
      </c>
      <c r="G1627" t="s">
        <v>13</v>
      </c>
      <c r="H1627" t="s">
        <v>13</v>
      </c>
      <c r="I1627">
        <v>41</v>
      </c>
      <c r="J1627">
        <f>ABS((I1627-EDA!$A$15)/EDA!$B$15)</f>
        <v>6.9135017218420233E-2</v>
      </c>
      <c r="K1627" t="str">
        <f t="shared" si="25"/>
        <v>No</v>
      </c>
      <c r="L1627">
        <f>ABS((C1627-EDA!$F$15)/EDA!$G$15)</f>
        <v>0.53425114062263734</v>
      </c>
      <c r="M1627" t="str">
        <f>IF(moras[[#This Row],[Z-Score Salario]]&gt;1.96, "Sí", "No")</f>
        <v>No</v>
      </c>
      <c r="N1627" s="14">
        <f>IF(ISBLANK(moras[[#This Row],[SALARIO]]), EDA!$M$8, moras[[#This Row],[SALARIO]])</f>
        <v>54679478</v>
      </c>
      <c r="O1627" s="14">
        <f xml:space="preserve"> IF(ISBLANK(moras[[#This Row],[EDAD]]), EDA!$E$8, moras[[#This Row],[EDAD]])</f>
        <v>41</v>
      </c>
      <c r="P1627" s="14" t="str">
        <f>IF(
    OR(ISBLANK(moras[[#This Row],[TIPO_ASEGURAMIENTO]]), moras[[#This Row],[TIPO_ASEGURAMIENTO]]=""),
    EDA!$A$32,
    moras[[#This Row],[TIPO_ASEGURAMIENTO]]
)</f>
        <v>ASALARIADO</v>
      </c>
    </row>
    <row r="1628" spans="1:16" x14ac:dyDescent="0.3">
      <c r="A1628">
        <v>1627</v>
      </c>
      <c r="B1628" t="s">
        <v>15</v>
      </c>
      <c r="C1628">
        <v>442840</v>
      </c>
      <c r="D1628" t="s">
        <v>10</v>
      </c>
      <c r="E1628" t="s">
        <v>11</v>
      </c>
      <c r="F1628" t="s">
        <v>12</v>
      </c>
      <c r="G1628" t="s">
        <v>13</v>
      </c>
      <c r="H1628" t="s">
        <v>12</v>
      </c>
      <c r="I1628">
        <v>46</v>
      </c>
      <c r="J1628">
        <f>ABS((I1628-EDA!$A$15)/EDA!$B$15)</f>
        <v>0.2837416331672673</v>
      </c>
      <c r="K1628" t="str">
        <f t="shared" si="25"/>
        <v>No</v>
      </c>
      <c r="L1628">
        <f>ABS((C1628-EDA!$F$15)/EDA!$G$15)</f>
        <v>0.36828480200166069</v>
      </c>
      <c r="M1628" t="str">
        <f>IF(moras[[#This Row],[Z-Score Salario]]&gt;1.96, "Sí", "No")</f>
        <v>No</v>
      </c>
      <c r="N1628" s="14">
        <f>IF(ISBLANK(moras[[#This Row],[SALARIO]]), EDA!$M$8, moras[[#This Row],[SALARIO]])</f>
        <v>442840</v>
      </c>
      <c r="O1628" s="14">
        <f xml:space="preserve"> IF(ISBLANK(moras[[#This Row],[EDAD]]), EDA!$E$8, moras[[#This Row],[EDAD]])</f>
        <v>46</v>
      </c>
      <c r="P1628" s="14" t="str">
        <f>IF(
    OR(ISBLANK(moras[[#This Row],[TIPO_ASEGURAMIENTO]]), moras[[#This Row],[TIPO_ASEGURAMIENTO]]=""),
    EDA!$A$32,
    moras[[#This Row],[TIPO_ASEGURAMIENTO]]
)</f>
        <v>ASALARIADO</v>
      </c>
    </row>
    <row r="1629" spans="1:16" x14ac:dyDescent="0.3">
      <c r="A1629">
        <v>1628</v>
      </c>
      <c r="B1629" t="s">
        <v>15</v>
      </c>
      <c r="C1629">
        <v>299441</v>
      </c>
      <c r="D1629" t="s">
        <v>18</v>
      </c>
      <c r="E1629" t="s">
        <v>16</v>
      </c>
      <c r="F1629" t="s">
        <v>12</v>
      </c>
      <c r="G1629" t="s">
        <v>13</v>
      </c>
      <c r="H1629" t="s">
        <v>13</v>
      </c>
      <c r="I1629">
        <v>45</v>
      </c>
      <c r="J1629">
        <f>ABS((I1629-EDA!$A$15)/EDA!$B$15)</f>
        <v>0.21316630309012977</v>
      </c>
      <c r="K1629" t="str">
        <f t="shared" si="25"/>
        <v>No</v>
      </c>
      <c r="L1629">
        <f>ABS((C1629-EDA!$F$15)/EDA!$G$15)</f>
        <v>0.37067106258876387</v>
      </c>
      <c r="M1629" t="str">
        <f>IF(moras[[#This Row],[Z-Score Salario]]&gt;1.96, "Sí", "No")</f>
        <v>No</v>
      </c>
      <c r="N1629" s="14">
        <f>IF(ISBLANK(moras[[#This Row],[SALARIO]]), EDA!$M$8, moras[[#This Row],[SALARIO]])</f>
        <v>299441</v>
      </c>
      <c r="O1629" s="14">
        <f xml:space="preserve"> IF(ISBLANK(moras[[#This Row],[EDAD]]), EDA!$E$8, moras[[#This Row],[EDAD]])</f>
        <v>45</v>
      </c>
      <c r="P1629" s="14" t="str">
        <f>IF(
    OR(ISBLANK(moras[[#This Row],[TIPO_ASEGURAMIENTO]]), moras[[#This Row],[TIPO_ASEGURAMIENTO]]=""),
    EDA!$A$32,
    moras[[#This Row],[TIPO_ASEGURAMIENTO]]
)</f>
        <v>TRABAJADOR INDEPENDIENTE</v>
      </c>
    </row>
    <row r="1630" spans="1:16" x14ac:dyDescent="0.3">
      <c r="A1630">
        <v>1629</v>
      </c>
      <c r="B1630" t="s">
        <v>9</v>
      </c>
      <c r="C1630">
        <v>297045</v>
      </c>
      <c r="D1630" t="s">
        <v>17</v>
      </c>
      <c r="E1630" t="s">
        <v>16</v>
      </c>
      <c r="F1630" t="s">
        <v>13</v>
      </c>
      <c r="G1630" t="s">
        <v>13</v>
      </c>
      <c r="H1630" t="s">
        <v>12</v>
      </c>
      <c r="I1630">
        <v>70</v>
      </c>
      <c r="J1630">
        <f>ABS((I1630-EDA!$A$15)/EDA!$B$15)</f>
        <v>1.9775495550185673</v>
      </c>
      <c r="K1630" t="str">
        <f t="shared" si="25"/>
        <v>Sí</v>
      </c>
      <c r="L1630">
        <f>ABS((C1630-EDA!$F$15)/EDA!$G$15)</f>
        <v>0.37071093372012948</v>
      </c>
      <c r="M1630" t="str">
        <f>IF(moras[[#This Row],[Z-Score Salario]]&gt;1.96, "Sí", "No")</f>
        <v>No</v>
      </c>
      <c r="N1630" s="14">
        <f>IF(ISBLANK(moras[[#This Row],[SALARIO]]), EDA!$M$8, moras[[#This Row],[SALARIO]])</f>
        <v>297045</v>
      </c>
      <c r="O1630" s="14">
        <f xml:space="preserve"> IF(ISBLANK(moras[[#This Row],[EDAD]]), EDA!$E$8, moras[[#This Row],[EDAD]])</f>
        <v>70</v>
      </c>
      <c r="P1630" s="14" t="str">
        <f>IF(
    OR(ISBLANK(moras[[#This Row],[TIPO_ASEGURAMIENTO]]), moras[[#This Row],[TIPO_ASEGURAMIENTO]]=""),
    EDA!$A$32,
    moras[[#This Row],[TIPO_ASEGURAMIENTO]]
)</f>
        <v>ASEGURADO VOLUNTARIO</v>
      </c>
    </row>
    <row r="1631" spans="1:16" x14ac:dyDescent="0.3">
      <c r="A1631">
        <v>1630</v>
      </c>
      <c r="B1631" t="s">
        <v>9</v>
      </c>
      <c r="C1631">
        <v>299647</v>
      </c>
      <c r="D1631" t="s">
        <v>17</v>
      </c>
      <c r="E1631" t="s">
        <v>16</v>
      </c>
      <c r="F1631" t="s">
        <v>12</v>
      </c>
      <c r="G1631" t="s">
        <v>13</v>
      </c>
      <c r="H1631" t="s">
        <v>13</v>
      </c>
      <c r="I1631">
        <v>78</v>
      </c>
      <c r="J1631">
        <f>ABS((I1631-EDA!$A$15)/EDA!$B$15)</f>
        <v>2.5421521956356674</v>
      </c>
      <c r="K1631" t="str">
        <f t="shared" si="25"/>
        <v>Sí</v>
      </c>
      <c r="L1631">
        <f>ABS((C1631-EDA!$F$15)/EDA!$G$15)</f>
        <v>0.37066763460334595</v>
      </c>
      <c r="M1631" t="str">
        <f>IF(moras[[#This Row],[Z-Score Salario]]&gt;1.96, "Sí", "No")</f>
        <v>No</v>
      </c>
      <c r="N1631" s="14">
        <f>IF(ISBLANK(moras[[#This Row],[SALARIO]]), EDA!$M$8, moras[[#This Row],[SALARIO]])</f>
        <v>299647</v>
      </c>
      <c r="O1631" s="14">
        <f xml:space="preserve"> IF(ISBLANK(moras[[#This Row],[EDAD]]), EDA!$E$8, moras[[#This Row],[EDAD]])</f>
        <v>78</v>
      </c>
      <c r="P1631" s="14" t="str">
        <f>IF(
    OR(ISBLANK(moras[[#This Row],[TIPO_ASEGURAMIENTO]]), moras[[#This Row],[TIPO_ASEGURAMIENTO]]=""),
    EDA!$A$32,
    moras[[#This Row],[TIPO_ASEGURAMIENTO]]
)</f>
        <v>ASEGURADO VOLUNTARIO</v>
      </c>
    </row>
    <row r="1632" spans="1:16" x14ac:dyDescent="0.3">
      <c r="A1632">
        <v>1631</v>
      </c>
      <c r="B1632" t="s">
        <v>15</v>
      </c>
      <c r="C1632">
        <v>581394</v>
      </c>
      <c r="D1632" t="s">
        <v>10</v>
      </c>
      <c r="E1632" t="s">
        <v>11</v>
      </c>
      <c r="F1632" t="s">
        <v>12</v>
      </c>
      <c r="G1632" t="s">
        <v>13</v>
      </c>
      <c r="H1632" t="s">
        <v>12</v>
      </c>
      <c r="I1632">
        <v>30</v>
      </c>
      <c r="J1632">
        <f>ABS((I1632-EDA!$A$15)/EDA!$B$15)</f>
        <v>0.84546364806693275</v>
      </c>
      <c r="K1632" t="str">
        <f t="shared" si="25"/>
        <v>No</v>
      </c>
      <c r="L1632">
        <f>ABS((C1632-EDA!$F$15)/EDA!$G$15)</f>
        <v>0.36597916563470212</v>
      </c>
      <c r="M1632" t="str">
        <f>IF(moras[[#This Row],[Z-Score Salario]]&gt;1.96, "Sí", "No")</f>
        <v>No</v>
      </c>
      <c r="N1632" s="14">
        <f>IF(ISBLANK(moras[[#This Row],[SALARIO]]), EDA!$M$8, moras[[#This Row],[SALARIO]])</f>
        <v>581394</v>
      </c>
      <c r="O1632" s="14">
        <f xml:space="preserve"> IF(ISBLANK(moras[[#This Row],[EDAD]]), EDA!$E$8, moras[[#This Row],[EDAD]])</f>
        <v>30</v>
      </c>
      <c r="P1632" s="14" t="str">
        <f>IF(
    OR(ISBLANK(moras[[#This Row],[TIPO_ASEGURAMIENTO]]), moras[[#This Row],[TIPO_ASEGURAMIENTO]]=""),
    EDA!$A$32,
    moras[[#This Row],[TIPO_ASEGURAMIENTO]]
)</f>
        <v>ASALARIADO</v>
      </c>
    </row>
    <row r="1633" spans="1:16" x14ac:dyDescent="0.3">
      <c r="A1633">
        <v>1632</v>
      </c>
      <c r="B1633" t="s">
        <v>9</v>
      </c>
      <c r="C1633">
        <v>33519553</v>
      </c>
      <c r="D1633" t="s">
        <v>10</v>
      </c>
      <c r="E1633" t="s">
        <v>16</v>
      </c>
      <c r="F1633" t="s">
        <v>12</v>
      </c>
      <c r="G1633" t="s">
        <v>13</v>
      </c>
      <c r="H1633" t="s">
        <v>12</v>
      </c>
      <c r="I1633">
        <v>47</v>
      </c>
      <c r="J1633">
        <f>ABS((I1633-EDA!$A$15)/EDA!$B$15)</f>
        <v>0.35431696324440481</v>
      </c>
      <c r="K1633" t="str">
        <f t="shared" si="25"/>
        <v>No</v>
      </c>
      <c r="L1633">
        <f>ABS((C1633-EDA!$F$15)/EDA!$G$15)</f>
        <v>0.18213505157348853</v>
      </c>
      <c r="M1633" t="str">
        <f>IF(moras[[#This Row],[Z-Score Salario]]&gt;1.96, "Sí", "No")</f>
        <v>No</v>
      </c>
      <c r="N1633" s="14">
        <f>IF(ISBLANK(moras[[#This Row],[SALARIO]]), EDA!$M$8, moras[[#This Row],[SALARIO]])</f>
        <v>33519553</v>
      </c>
      <c r="O1633" s="14">
        <f xml:space="preserve"> IF(ISBLANK(moras[[#This Row],[EDAD]]), EDA!$E$8, moras[[#This Row],[EDAD]])</f>
        <v>47</v>
      </c>
      <c r="P1633" s="14" t="str">
        <f>IF(
    OR(ISBLANK(moras[[#This Row],[TIPO_ASEGURAMIENTO]]), moras[[#This Row],[TIPO_ASEGURAMIENTO]]=""),
    EDA!$A$32,
    moras[[#This Row],[TIPO_ASEGURAMIENTO]]
)</f>
        <v>ASALARIADO</v>
      </c>
    </row>
    <row r="1634" spans="1:16" x14ac:dyDescent="0.3">
      <c r="A1634">
        <v>1633</v>
      </c>
      <c r="B1634" t="s">
        <v>9</v>
      </c>
      <c r="C1634">
        <v>412441</v>
      </c>
      <c r="D1634" t="s">
        <v>10</v>
      </c>
      <c r="E1634" t="s">
        <v>16</v>
      </c>
      <c r="F1634" t="s">
        <v>12</v>
      </c>
      <c r="G1634" t="s">
        <v>13</v>
      </c>
      <c r="H1634" t="s">
        <v>13</v>
      </c>
      <c r="I1634">
        <v>57</v>
      </c>
      <c r="J1634">
        <f>ABS((I1634-EDA!$A$15)/EDA!$B$15)</f>
        <v>1.0600702640157798</v>
      </c>
      <c r="K1634" t="str">
        <f t="shared" si="25"/>
        <v>No</v>
      </c>
      <c r="L1634">
        <f>ABS((C1634-EDA!$F$15)/EDA!$G$15)</f>
        <v>0.36879066282068557</v>
      </c>
      <c r="M1634" t="str">
        <f>IF(moras[[#This Row],[Z-Score Salario]]&gt;1.96, "Sí", "No")</f>
        <v>No</v>
      </c>
      <c r="N1634" s="14">
        <f>IF(ISBLANK(moras[[#This Row],[SALARIO]]), EDA!$M$8, moras[[#This Row],[SALARIO]])</f>
        <v>412441</v>
      </c>
      <c r="O1634" s="14">
        <f xml:space="preserve"> IF(ISBLANK(moras[[#This Row],[EDAD]]), EDA!$E$8, moras[[#This Row],[EDAD]])</f>
        <v>57</v>
      </c>
      <c r="P1634" s="14" t="str">
        <f>IF(
    OR(ISBLANK(moras[[#This Row],[TIPO_ASEGURAMIENTO]]), moras[[#This Row],[TIPO_ASEGURAMIENTO]]=""),
    EDA!$A$32,
    moras[[#This Row],[TIPO_ASEGURAMIENTO]]
)</f>
        <v>ASALARIADO</v>
      </c>
    </row>
    <row r="1635" spans="1:16" x14ac:dyDescent="0.3">
      <c r="A1635">
        <v>1634</v>
      </c>
      <c r="B1635" t="s">
        <v>15</v>
      </c>
      <c r="C1635">
        <v>297044</v>
      </c>
      <c r="D1635" t="s">
        <v>10</v>
      </c>
      <c r="E1635" t="s">
        <v>16</v>
      </c>
      <c r="F1635" t="s">
        <v>12</v>
      </c>
      <c r="G1635" t="s">
        <v>13</v>
      </c>
      <c r="H1635" t="s">
        <v>13</v>
      </c>
      <c r="I1635">
        <v>32</v>
      </c>
      <c r="J1635">
        <f>ABS((I1635-EDA!$A$15)/EDA!$B$15)</f>
        <v>0.70431298791265773</v>
      </c>
      <c r="K1635" t="str">
        <f t="shared" si="25"/>
        <v>No</v>
      </c>
      <c r="L1635">
        <f>ABS((C1635-EDA!$F$15)/EDA!$G$15)</f>
        <v>0.3707109503608354</v>
      </c>
      <c r="M1635" t="str">
        <f>IF(moras[[#This Row],[Z-Score Salario]]&gt;1.96, "Sí", "No")</f>
        <v>No</v>
      </c>
      <c r="N1635" s="14">
        <f>IF(ISBLANK(moras[[#This Row],[SALARIO]]), EDA!$M$8, moras[[#This Row],[SALARIO]])</f>
        <v>297044</v>
      </c>
      <c r="O1635" s="14">
        <f xml:space="preserve"> IF(ISBLANK(moras[[#This Row],[EDAD]]), EDA!$E$8, moras[[#This Row],[EDAD]])</f>
        <v>32</v>
      </c>
      <c r="P1635" s="14" t="str">
        <f>IF(
    OR(ISBLANK(moras[[#This Row],[TIPO_ASEGURAMIENTO]]), moras[[#This Row],[TIPO_ASEGURAMIENTO]]=""),
    EDA!$A$32,
    moras[[#This Row],[TIPO_ASEGURAMIENTO]]
)</f>
        <v>ASALARIADO</v>
      </c>
    </row>
    <row r="1636" spans="1:16" x14ac:dyDescent="0.3">
      <c r="A1636">
        <v>1635</v>
      </c>
      <c r="B1636" t="s">
        <v>15</v>
      </c>
      <c r="C1636">
        <v>400000</v>
      </c>
      <c r="D1636" t="s">
        <v>10</v>
      </c>
      <c r="E1636" t="s">
        <v>16</v>
      </c>
      <c r="F1636" t="s">
        <v>12</v>
      </c>
      <c r="G1636" t="s">
        <v>13</v>
      </c>
      <c r="H1636" t="s">
        <v>13</v>
      </c>
      <c r="I1636">
        <v>36</v>
      </c>
      <c r="J1636">
        <f>ABS((I1636-EDA!$A$15)/EDA!$B$15)</f>
        <v>0.42201166760410774</v>
      </c>
      <c r="K1636" t="str">
        <f t="shared" si="25"/>
        <v>No</v>
      </c>
      <c r="L1636">
        <f>ABS((C1636-EDA!$F$15)/EDA!$G$15)</f>
        <v>0.36899768984293924</v>
      </c>
      <c r="M1636" t="str">
        <f>IF(moras[[#This Row],[Z-Score Salario]]&gt;1.96, "Sí", "No")</f>
        <v>No</v>
      </c>
      <c r="N1636" s="14">
        <f>IF(ISBLANK(moras[[#This Row],[SALARIO]]), EDA!$M$8, moras[[#This Row],[SALARIO]])</f>
        <v>400000</v>
      </c>
      <c r="O1636" s="14">
        <f xml:space="preserve"> IF(ISBLANK(moras[[#This Row],[EDAD]]), EDA!$E$8, moras[[#This Row],[EDAD]])</f>
        <v>36</v>
      </c>
      <c r="P1636" s="14" t="str">
        <f>IF(
    OR(ISBLANK(moras[[#This Row],[TIPO_ASEGURAMIENTO]]), moras[[#This Row],[TIPO_ASEGURAMIENTO]]=""),
    EDA!$A$32,
    moras[[#This Row],[TIPO_ASEGURAMIENTO]]
)</f>
        <v>ASALARIADO</v>
      </c>
    </row>
    <row r="1637" spans="1:16" x14ac:dyDescent="0.3">
      <c r="A1637">
        <v>1636</v>
      </c>
      <c r="B1637" t="s">
        <v>9</v>
      </c>
      <c r="C1637">
        <v>6764431</v>
      </c>
      <c r="D1637" t="s">
        <v>10</v>
      </c>
      <c r="E1637" t="s">
        <v>16</v>
      </c>
      <c r="F1637" t="s">
        <v>12</v>
      </c>
      <c r="G1637" t="s">
        <v>13</v>
      </c>
      <c r="H1637" t="s">
        <v>13</v>
      </c>
      <c r="I1637">
        <v>38</v>
      </c>
      <c r="J1637">
        <f>ABS((I1637-EDA!$A$15)/EDA!$B$15)</f>
        <v>0.28086100744983278</v>
      </c>
      <c r="K1637" t="str">
        <f t="shared" si="25"/>
        <v>No</v>
      </c>
      <c r="L1637">
        <f>ABS((C1637-EDA!$F$15)/EDA!$G$15)</f>
        <v>0.26308906527346826</v>
      </c>
      <c r="M1637" t="str">
        <f>IF(moras[[#This Row],[Z-Score Salario]]&gt;1.96, "Sí", "No")</f>
        <v>No</v>
      </c>
      <c r="N1637" s="14">
        <f>IF(ISBLANK(moras[[#This Row],[SALARIO]]), EDA!$M$8, moras[[#This Row],[SALARIO]])</f>
        <v>6764431</v>
      </c>
      <c r="O1637" s="14">
        <f xml:space="preserve"> IF(ISBLANK(moras[[#This Row],[EDAD]]), EDA!$E$8, moras[[#This Row],[EDAD]])</f>
        <v>38</v>
      </c>
      <c r="P1637" s="14" t="str">
        <f>IF(
    OR(ISBLANK(moras[[#This Row],[TIPO_ASEGURAMIENTO]]), moras[[#This Row],[TIPO_ASEGURAMIENTO]]=""),
    EDA!$A$32,
    moras[[#This Row],[TIPO_ASEGURAMIENTO]]
)</f>
        <v>ASALARIADO</v>
      </c>
    </row>
    <row r="1638" spans="1:16" x14ac:dyDescent="0.3">
      <c r="A1638">
        <v>1637</v>
      </c>
      <c r="B1638" t="s">
        <v>9</v>
      </c>
      <c r="C1638">
        <v>12160184</v>
      </c>
      <c r="D1638" t="s">
        <v>10</v>
      </c>
      <c r="E1638" t="s">
        <v>16</v>
      </c>
      <c r="F1638" t="s">
        <v>12</v>
      </c>
      <c r="G1638" t="s">
        <v>13</v>
      </c>
      <c r="H1638" t="s">
        <v>13</v>
      </c>
      <c r="I1638">
        <v>52</v>
      </c>
      <c r="J1638">
        <f>ABS((I1638-EDA!$A$15)/EDA!$B$15)</f>
        <v>0.70719361363009237</v>
      </c>
      <c r="K1638" t="str">
        <f t="shared" si="25"/>
        <v>No</v>
      </c>
      <c r="L1638">
        <f>ABS((C1638-EDA!$F$15)/EDA!$G$15)</f>
        <v>0.17329992642561259</v>
      </c>
      <c r="M1638" t="str">
        <f>IF(moras[[#This Row],[Z-Score Salario]]&gt;1.96, "Sí", "No")</f>
        <v>No</v>
      </c>
      <c r="N1638" s="14">
        <f>IF(ISBLANK(moras[[#This Row],[SALARIO]]), EDA!$M$8, moras[[#This Row],[SALARIO]])</f>
        <v>12160184</v>
      </c>
      <c r="O1638" s="14">
        <f xml:space="preserve"> IF(ISBLANK(moras[[#This Row],[EDAD]]), EDA!$E$8, moras[[#This Row],[EDAD]])</f>
        <v>52</v>
      </c>
      <c r="P1638" s="14" t="str">
        <f>IF(
    OR(ISBLANK(moras[[#This Row],[TIPO_ASEGURAMIENTO]]), moras[[#This Row],[TIPO_ASEGURAMIENTO]]=""),
    EDA!$A$32,
    moras[[#This Row],[TIPO_ASEGURAMIENTO]]
)</f>
        <v>ASALARIADO</v>
      </c>
    </row>
    <row r="1639" spans="1:16" x14ac:dyDescent="0.3">
      <c r="A1639">
        <v>1638</v>
      </c>
      <c r="B1639" t="s">
        <v>9</v>
      </c>
      <c r="C1639">
        <v>509509</v>
      </c>
      <c r="D1639" t="s">
        <v>18</v>
      </c>
      <c r="E1639" t="s">
        <v>16</v>
      </c>
      <c r="F1639" t="s">
        <v>12</v>
      </c>
      <c r="G1639" t="s">
        <v>12</v>
      </c>
      <c r="H1639" t="s">
        <v>12</v>
      </c>
      <c r="I1639">
        <v>38</v>
      </c>
      <c r="J1639">
        <f>ABS((I1639-EDA!$A$15)/EDA!$B$15)</f>
        <v>0.28086100744983278</v>
      </c>
      <c r="K1639" t="str">
        <f t="shared" si="25"/>
        <v>No</v>
      </c>
      <c r="L1639">
        <f>ABS((C1639-EDA!$F$15)/EDA!$G$15)</f>
        <v>0.36717538277920042</v>
      </c>
      <c r="M1639" t="str">
        <f>IF(moras[[#This Row],[Z-Score Salario]]&gt;1.96, "Sí", "No")</f>
        <v>No</v>
      </c>
      <c r="N1639" s="14">
        <f>IF(ISBLANK(moras[[#This Row],[SALARIO]]), EDA!$M$8, moras[[#This Row],[SALARIO]])</f>
        <v>509509</v>
      </c>
      <c r="O1639" s="14">
        <f xml:space="preserve"> IF(ISBLANK(moras[[#This Row],[EDAD]]), EDA!$E$8, moras[[#This Row],[EDAD]])</f>
        <v>38</v>
      </c>
      <c r="P1639" s="14" t="str">
        <f>IF(
    OR(ISBLANK(moras[[#This Row],[TIPO_ASEGURAMIENTO]]), moras[[#This Row],[TIPO_ASEGURAMIENTO]]=""),
    EDA!$A$32,
    moras[[#This Row],[TIPO_ASEGURAMIENTO]]
)</f>
        <v>TRABAJADOR INDEPENDIENTE</v>
      </c>
    </row>
    <row r="1640" spans="1:16" x14ac:dyDescent="0.3">
      <c r="A1640">
        <v>1639</v>
      </c>
      <c r="B1640" t="s">
        <v>9</v>
      </c>
      <c r="C1640">
        <v>356653</v>
      </c>
      <c r="D1640" t="s">
        <v>18</v>
      </c>
      <c r="E1640" t="s">
        <v>16</v>
      </c>
      <c r="F1640" t="s">
        <v>12</v>
      </c>
      <c r="G1640" t="s">
        <v>12</v>
      </c>
      <c r="H1640" t="s">
        <v>12</v>
      </c>
      <c r="I1640">
        <v>51</v>
      </c>
      <c r="J1640">
        <f>ABS((I1640-EDA!$A$15)/EDA!$B$15)</f>
        <v>0.6366182835529548</v>
      </c>
      <c r="K1640" t="str">
        <f t="shared" si="25"/>
        <v>No</v>
      </c>
      <c r="L1640">
        <f>ABS((C1640-EDA!$F$15)/EDA!$G$15)</f>
        <v>0.36971901452211525</v>
      </c>
      <c r="M1640" t="str">
        <f>IF(moras[[#This Row],[Z-Score Salario]]&gt;1.96, "Sí", "No")</f>
        <v>No</v>
      </c>
      <c r="N1640" s="14">
        <f>IF(ISBLANK(moras[[#This Row],[SALARIO]]), EDA!$M$8, moras[[#This Row],[SALARIO]])</f>
        <v>356653</v>
      </c>
      <c r="O1640" s="14">
        <f xml:space="preserve"> IF(ISBLANK(moras[[#This Row],[EDAD]]), EDA!$E$8, moras[[#This Row],[EDAD]])</f>
        <v>51</v>
      </c>
      <c r="P1640" s="14" t="str">
        <f>IF(
    OR(ISBLANK(moras[[#This Row],[TIPO_ASEGURAMIENTO]]), moras[[#This Row],[TIPO_ASEGURAMIENTO]]=""),
    EDA!$A$32,
    moras[[#This Row],[TIPO_ASEGURAMIENTO]]
)</f>
        <v>TRABAJADOR INDEPENDIENTE</v>
      </c>
    </row>
    <row r="1641" spans="1:16" x14ac:dyDescent="0.3">
      <c r="A1641">
        <v>1640</v>
      </c>
      <c r="B1641" t="s">
        <v>15</v>
      </c>
      <c r="C1641">
        <v>219280</v>
      </c>
      <c r="D1641" t="s">
        <v>10</v>
      </c>
      <c r="E1641" t="s">
        <v>11</v>
      </c>
      <c r="F1641" t="s">
        <v>12</v>
      </c>
      <c r="G1641" t="s">
        <v>13</v>
      </c>
      <c r="H1641" t="s">
        <v>13</v>
      </c>
      <c r="I1641">
        <v>26</v>
      </c>
      <c r="J1641">
        <f>ABS((I1641-EDA!$A$15)/EDA!$B$15)</f>
        <v>1.1277649683754829</v>
      </c>
      <c r="K1641" t="str">
        <f t="shared" si="25"/>
        <v>No</v>
      </c>
      <c r="L1641">
        <f>ABS((C1641-EDA!$F$15)/EDA!$G$15)</f>
        <v>0.37200499821539151</v>
      </c>
      <c r="M1641" t="str">
        <f>IF(moras[[#This Row],[Z-Score Salario]]&gt;1.96, "Sí", "No")</f>
        <v>No</v>
      </c>
      <c r="N1641" s="14">
        <f>IF(ISBLANK(moras[[#This Row],[SALARIO]]), EDA!$M$8, moras[[#This Row],[SALARIO]])</f>
        <v>219280</v>
      </c>
      <c r="O1641" s="14">
        <f xml:space="preserve"> IF(ISBLANK(moras[[#This Row],[EDAD]]), EDA!$E$8, moras[[#This Row],[EDAD]])</f>
        <v>26</v>
      </c>
      <c r="P1641" s="14" t="str">
        <f>IF(
    OR(ISBLANK(moras[[#This Row],[TIPO_ASEGURAMIENTO]]), moras[[#This Row],[TIPO_ASEGURAMIENTO]]=""),
    EDA!$A$32,
    moras[[#This Row],[TIPO_ASEGURAMIENTO]]
)</f>
        <v>ASALARIADO</v>
      </c>
    </row>
    <row r="1642" spans="1:16" x14ac:dyDescent="0.3">
      <c r="A1642">
        <v>1641</v>
      </c>
      <c r="B1642" t="s">
        <v>9</v>
      </c>
      <c r="C1642">
        <v>24500635</v>
      </c>
      <c r="D1642" t="s">
        <v>10</v>
      </c>
      <c r="E1642" t="s">
        <v>16</v>
      </c>
      <c r="F1642" t="s">
        <v>12</v>
      </c>
      <c r="G1642" t="s">
        <v>13</v>
      </c>
      <c r="H1642" t="s">
        <v>13</v>
      </c>
      <c r="I1642">
        <v>61</v>
      </c>
      <c r="J1642">
        <f>ABS((I1642-EDA!$A$15)/EDA!$B$15)</f>
        <v>1.3423715843243298</v>
      </c>
      <c r="K1642" t="str">
        <f t="shared" si="25"/>
        <v>No</v>
      </c>
      <c r="L1642">
        <f>ABS((C1642-EDA!$F$15)/EDA!$G$15)</f>
        <v>3.2053889489266983E-2</v>
      </c>
      <c r="M1642" t="str">
        <f>IF(moras[[#This Row],[Z-Score Salario]]&gt;1.96, "Sí", "No")</f>
        <v>No</v>
      </c>
      <c r="N1642" s="14">
        <f>IF(ISBLANK(moras[[#This Row],[SALARIO]]), EDA!$M$8, moras[[#This Row],[SALARIO]])</f>
        <v>24500635</v>
      </c>
      <c r="O1642" s="14">
        <f xml:space="preserve"> IF(ISBLANK(moras[[#This Row],[EDAD]]), EDA!$E$8, moras[[#This Row],[EDAD]])</f>
        <v>61</v>
      </c>
      <c r="P1642" s="14" t="str">
        <f>IF(
    OR(ISBLANK(moras[[#This Row],[TIPO_ASEGURAMIENTO]]), moras[[#This Row],[TIPO_ASEGURAMIENTO]]=""),
    EDA!$A$32,
    moras[[#This Row],[TIPO_ASEGURAMIENTO]]
)</f>
        <v>ASALARIADO</v>
      </c>
    </row>
    <row r="1643" spans="1:16" x14ac:dyDescent="0.3">
      <c r="A1643">
        <v>1642</v>
      </c>
      <c r="B1643" t="s">
        <v>9</v>
      </c>
      <c r="C1643">
        <v>35954427</v>
      </c>
      <c r="D1643" t="s">
        <v>18</v>
      </c>
      <c r="E1643" t="s">
        <v>16</v>
      </c>
      <c r="F1643" t="s">
        <v>12</v>
      </c>
      <c r="G1643" t="s">
        <v>13</v>
      </c>
      <c r="H1643" t="s">
        <v>13</v>
      </c>
      <c r="I1643">
        <v>29</v>
      </c>
      <c r="J1643">
        <f>ABS((I1643-EDA!$A$15)/EDA!$B$15)</f>
        <v>0.91603897814407031</v>
      </c>
      <c r="K1643" t="str">
        <f t="shared" si="25"/>
        <v>No</v>
      </c>
      <c r="L1643">
        <f>ABS((C1643-EDA!$F$15)/EDA!$G$15)</f>
        <v>0.22265307374074372</v>
      </c>
      <c r="M1643" t="str">
        <f>IF(moras[[#This Row],[Z-Score Salario]]&gt;1.96, "Sí", "No")</f>
        <v>No</v>
      </c>
      <c r="N1643" s="14">
        <f>IF(ISBLANK(moras[[#This Row],[SALARIO]]), EDA!$M$8, moras[[#This Row],[SALARIO]])</f>
        <v>35954427</v>
      </c>
      <c r="O1643" s="14">
        <f xml:space="preserve"> IF(ISBLANK(moras[[#This Row],[EDAD]]), EDA!$E$8, moras[[#This Row],[EDAD]])</f>
        <v>29</v>
      </c>
      <c r="P1643" s="14" t="str">
        <f>IF(
    OR(ISBLANK(moras[[#This Row],[TIPO_ASEGURAMIENTO]]), moras[[#This Row],[TIPO_ASEGURAMIENTO]]=""),
    EDA!$A$32,
    moras[[#This Row],[TIPO_ASEGURAMIENTO]]
)</f>
        <v>TRABAJADOR INDEPENDIENTE</v>
      </c>
    </row>
    <row r="1644" spans="1:16" x14ac:dyDescent="0.3">
      <c r="A1644">
        <v>1643</v>
      </c>
      <c r="B1644" t="s">
        <v>15</v>
      </c>
      <c r="C1644">
        <v>8824375</v>
      </c>
      <c r="D1644" t="s">
        <v>14</v>
      </c>
      <c r="E1644" t="s">
        <v>11</v>
      </c>
      <c r="F1644" t="s">
        <v>12</v>
      </c>
      <c r="G1644" t="s">
        <v>13</v>
      </c>
      <c r="H1644" t="s">
        <v>13</v>
      </c>
      <c r="I1644">
        <v>92</v>
      </c>
      <c r="J1644">
        <f>ABS((I1644-EDA!$A$15)/EDA!$B$15)</f>
        <v>3.5302068167155927</v>
      </c>
      <c r="K1644" t="str">
        <f t="shared" si="25"/>
        <v>Sí</v>
      </c>
      <c r="L1644">
        <f>ABS((C1644-EDA!$F$15)/EDA!$G$15)</f>
        <v>0.22881014297387314</v>
      </c>
      <c r="M1644" t="str">
        <f>IF(moras[[#This Row],[Z-Score Salario]]&gt;1.96, "Sí", "No")</f>
        <v>No</v>
      </c>
      <c r="N1644" s="14">
        <f>IF(ISBLANK(moras[[#This Row],[SALARIO]]), EDA!$M$8, moras[[#This Row],[SALARIO]])</f>
        <v>8824375</v>
      </c>
      <c r="O1644" s="14">
        <f xml:space="preserve"> IF(ISBLANK(moras[[#This Row],[EDAD]]), EDA!$E$8, moras[[#This Row],[EDAD]])</f>
        <v>92</v>
      </c>
      <c r="P1644" s="14" t="str">
        <f>IF(
    OR(ISBLANK(moras[[#This Row],[TIPO_ASEGURAMIENTO]]), moras[[#This Row],[TIPO_ASEGURAMIENTO]]=""),
    EDA!$A$32,
    moras[[#This Row],[TIPO_ASEGURAMIENTO]]
)</f>
        <v>PENSIONADOS EN SU PROPIO SISTEMA</v>
      </c>
    </row>
    <row r="1645" spans="1:16" x14ac:dyDescent="0.3">
      <c r="A1645">
        <v>1644</v>
      </c>
      <c r="B1645" t="s">
        <v>9</v>
      </c>
      <c r="C1645">
        <v>297045</v>
      </c>
      <c r="D1645" t="s">
        <v>17</v>
      </c>
      <c r="E1645" t="s">
        <v>16</v>
      </c>
      <c r="F1645" t="s">
        <v>12</v>
      </c>
      <c r="G1645" t="s">
        <v>13</v>
      </c>
      <c r="H1645" t="s">
        <v>13</v>
      </c>
      <c r="I1645">
        <v>35</v>
      </c>
      <c r="J1645">
        <f>ABS((I1645-EDA!$A$15)/EDA!$B$15)</f>
        <v>0.49258699768124525</v>
      </c>
      <c r="K1645" t="str">
        <f t="shared" si="25"/>
        <v>No</v>
      </c>
      <c r="L1645">
        <f>ABS((C1645-EDA!$F$15)/EDA!$G$15)</f>
        <v>0.37071093372012948</v>
      </c>
      <c r="M1645" t="str">
        <f>IF(moras[[#This Row],[Z-Score Salario]]&gt;1.96, "Sí", "No")</f>
        <v>No</v>
      </c>
      <c r="N1645" s="14">
        <f>IF(ISBLANK(moras[[#This Row],[SALARIO]]), EDA!$M$8, moras[[#This Row],[SALARIO]])</f>
        <v>297045</v>
      </c>
      <c r="O1645" s="14">
        <f xml:space="preserve"> IF(ISBLANK(moras[[#This Row],[EDAD]]), EDA!$E$8, moras[[#This Row],[EDAD]])</f>
        <v>35</v>
      </c>
      <c r="P1645" s="14" t="str">
        <f>IF(
    OR(ISBLANK(moras[[#This Row],[TIPO_ASEGURAMIENTO]]), moras[[#This Row],[TIPO_ASEGURAMIENTO]]=""),
    EDA!$A$32,
    moras[[#This Row],[TIPO_ASEGURAMIENTO]]
)</f>
        <v>ASEGURADO VOLUNTARIO</v>
      </c>
    </row>
    <row r="1646" spans="1:16" x14ac:dyDescent="0.3">
      <c r="A1646">
        <v>1645</v>
      </c>
      <c r="B1646" t="s">
        <v>9</v>
      </c>
      <c r="C1646">
        <v>85298267</v>
      </c>
      <c r="D1646" t="s">
        <v>10</v>
      </c>
      <c r="E1646" t="s">
        <v>16</v>
      </c>
      <c r="F1646" t="s">
        <v>12</v>
      </c>
      <c r="G1646" t="s">
        <v>13</v>
      </c>
      <c r="H1646" t="s">
        <v>13</v>
      </c>
      <c r="I1646">
        <v>31</v>
      </c>
      <c r="J1646">
        <f>ABS((I1646-EDA!$A$15)/EDA!$B$15)</f>
        <v>0.77488831798979529</v>
      </c>
      <c r="K1646" t="str">
        <f t="shared" si="25"/>
        <v>No</v>
      </c>
      <c r="L1646">
        <f>ABS((C1646-EDA!$F$15)/EDA!$G$15)</f>
        <v>1.0437694037592553</v>
      </c>
      <c r="M1646" t="str">
        <f>IF(moras[[#This Row],[Z-Score Salario]]&gt;1.96, "Sí", "No")</f>
        <v>No</v>
      </c>
      <c r="N1646" s="14">
        <f>IF(ISBLANK(moras[[#This Row],[SALARIO]]), EDA!$M$8, moras[[#This Row],[SALARIO]])</f>
        <v>85298267</v>
      </c>
      <c r="O1646" s="14">
        <f xml:space="preserve"> IF(ISBLANK(moras[[#This Row],[EDAD]]), EDA!$E$8, moras[[#This Row],[EDAD]])</f>
        <v>31</v>
      </c>
      <c r="P1646" s="14" t="str">
        <f>IF(
    OR(ISBLANK(moras[[#This Row],[TIPO_ASEGURAMIENTO]]), moras[[#This Row],[TIPO_ASEGURAMIENTO]]=""),
    EDA!$A$32,
    moras[[#This Row],[TIPO_ASEGURAMIENTO]]
)</f>
        <v>ASALARIADO</v>
      </c>
    </row>
    <row r="1647" spans="1:16" x14ac:dyDescent="0.3">
      <c r="A1647">
        <v>1646</v>
      </c>
      <c r="B1647" t="s">
        <v>9</v>
      </c>
      <c r="C1647">
        <v>251559</v>
      </c>
      <c r="D1647" t="s">
        <v>10</v>
      </c>
      <c r="E1647" t="s">
        <v>16</v>
      </c>
      <c r="F1647" t="s">
        <v>12</v>
      </c>
      <c r="G1647" t="s">
        <v>12</v>
      </c>
      <c r="H1647" t="s">
        <v>13</v>
      </c>
      <c r="I1647">
        <v>20</v>
      </c>
      <c r="J1647">
        <f>ABS((I1647-EDA!$A$15)/EDA!$B$15)</f>
        <v>1.5512169488383079</v>
      </c>
      <c r="K1647" t="str">
        <f t="shared" si="25"/>
        <v>No</v>
      </c>
      <c r="L1647">
        <f>ABS((C1647-EDA!$F$15)/EDA!$G$15)</f>
        <v>0.37146785286925171</v>
      </c>
      <c r="M1647" t="str">
        <f>IF(moras[[#This Row],[Z-Score Salario]]&gt;1.96, "Sí", "No")</f>
        <v>No</v>
      </c>
      <c r="N1647" s="14">
        <f>IF(ISBLANK(moras[[#This Row],[SALARIO]]), EDA!$M$8, moras[[#This Row],[SALARIO]])</f>
        <v>251559</v>
      </c>
      <c r="O1647" s="14">
        <f xml:space="preserve"> IF(ISBLANK(moras[[#This Row],[EDAD]]), EDA!$E$8, moras[[#This Row],[EDAD]])</f>
        <v>20</v>
      </c>
      <c r="P1647" s="14" t="str">
        <f>IF(
    OR(ISBLANK(moras[[#This Row],[TIPO_ASEGURAMIENTO]]), moras[[#This Row],[TIPO_ASEGURAMIENTO]]=""),
    EDA!$A$32,
    moras[[#This Row],[TIPO_ASEGURAMIENTO]]
)</f>
        <v>ASALARIADO</v>
      </c>
    </row>
    <row r="1648" spans="1:16" x14ac:dyDescent="0.3">
      <c r="A1648">
        <v>1647</v>
      </c>
      <c r="B1648" t="s">
        <v>9</v>
      </c>
      <c r="C1648">
        <v>325521387</v>
      </c>
      <c r="D1648" t="s">
        <v>21</v>
      </c>
      <c r="E1648" t="s">
        <v>16</v>
      </c>
      <c r="F1648" t="s">
        <v>12</v>
      </c>
      <c r="G1648" t="s">
        <v>13</v>
      </c>
      <c r="H1648" t="s">
        <v>13</v>
      </c>
      <c r="I1648">
        <v>58</v>
      </c>
      <c r="J1648">
        <f>ABS((I1648-EDA!$A$15)/EDA!$B$15)</f>
        <v>1.1306455940929174</v>
      </c>
      <c r="K1648" t="str">
        <f t="shared" si="25"/>
        <v>No</v>
      </c>
      <c r="L1648">
        <f>ABS((C1648-EDA!$F$15)/EDA!$G$15)</f>
        <v>5.0412516969897068</v>
      </c>
      <c r="M1648" t="str">
        <f>IF(moras[[#This Row],[Z-Score Salario]]&gt;1.96, "Sí", "No")</f>
        <v>Sí</v>
      </c>
      <c r="N1648" s="14">
        <f>IF(ISBLANK(moras[[#This Row],[SALARIO]]), EDA!$M$8, moras[[#This Row],[SALARIO]])</f>
        <v>325521387</v>
      </c>
      <c r="O1648" s="14">
        <f xml:space="preserve"> IF(ISBLANK(moras[[#This Row],[EDAD]]), EDA!$E$8, moras[[#This Row],[EDAD]])</f>
        <v>58</v>
      </c>
      <c r="P1648" s="14" t="str">
        <f>IF(
    OR(ISBLANK(moras[[#This Row],[TIPO_ASEGURAMIENTO]]), moras[[#This Row],[TIPO_ASEGURAMIENTO]]=""),
    EDA!$A$32,
    moras[[#This Row],[TIPO_ASEGURAMIENTO]]
)</f>
        <v>CONVENIOS ESPECIALES DE ASEGURADOS VOLUNTARIOS</v>
      </c>
    </row>
    <row r="1649" spans="1:16" x14ac:dyDescent="0.3">
      <c r="A1649">
        <v>1648</v>
      </c>
      <c r="B1649" t="s">
        <v>15</v>
      </c>
      <c r="C1649">
        <v>79084309</v>
      </c>
      <c r="D1649" t="s">
        <v>10</v>
      </c>
      <c r="E1649" t="s">
        <v>16</v>
      </c>
      <c r="F1649" t="s">
        <v>12</v>
      </c>
      <c r="G1649" t="s">
        <v>13</v>
      </c>
      <c r="H1649" t="s">
        <v>13</v>
      </c>
      <c r="I1649">
        <v>37</v>
      </c>
      <c r="J1649">
        <f>ABS((I1649-EDA!$A$15)/EDA!$B$15)</f>
        <v>0.35143633752697023</v>
      </c>
      <c r="K1649" t="str">
        <f t="shared" si="25"/>
        <v>No</v>
      </c>
      <c r="L1649">
        <f>ABS((C1649-EDA!$F$15)/EDA!$G$15)</f>
        <v>0.94036475613051029</v>
      </c>
      <c r="M1649" t="str">
        <f>IF(moras[[#This Row],[Z-Score Salario]]&gt;1.96, "Sí", "No")</f>
        <v>No</v>
      </c>
      <c r="N1649" s="14">
        <f>IF(ISBLANK(moras[[#This Row],[SALARIO]]), EDA!$M$8, moras[[#This Row],[SALARIO]])</f>
        <v>79084309</v>
      </c>
      <c r="O1649" s="14">
        <f xml:space="preserve"> IF(ISBLANK(moras[[#This Row],[EDAD]]), EDA!$E$8, moras[[#This Row],[EDAD]])</f>
        <v>37</v>
      </c>
      <c r="P1649" s="14" t="str">
        <f>IF(
    OR(ISBLANK(moras[[#This Row],[TIPO_ASEGURAMIENTO]]), moras[[#This Row],[TIPO_ASEGURAMIENTO]]=""),
    EDA!$A$32,
    moras[[#This Row],[TIPO_ASEGURAMIENTO]]
)</f>
        <v>ASALARIADO</v>
      </c>
    </row>
    <row r="1650" spans="1:16" x14ac:dyDescent="0.3">
      <c r="A1650">
        <v>1649</v>
      </c>
      <c r="B1650" t="s">
        <v>9</v>
      </c>
      <c r="C1650">
        <v>1129271</v>
      </c>
      <c r="D1650" t="s">
        <v>10</v>
      </c>
      <c r="E1650" t="s">
        <v>11</v>
      </c>
      <c r="F1650" t="s">
        <v>12</v>
      </c>
      <c r="G1650" t="s">
        <v>13</v>
      </c>
      <c r="H1650" t="s">
        <v>13</v>
      </c>
      <c r="I1650">
        <v>32</v>
      </c>
      <c r="J1650">
        <f>ABS((I1650-EDA!$A$15)/EDA!$B$15)</f>
        <v>0.70431298791265773</v>
      </c>
      <c r="K1650" t="str">
        <f t="shared" si="25"/>
        <v>No</v>
      </c>
      <c r="L1650">
        <f>ABS((C1650-EDA!$F$15)/EDA!$G$15)</f>
        <v>0.35686210560164527</v>
      </c>
      <c r="M1650" t="str">
        <f>IF(moras[[#This Row],[Z-Score Salario]]&gt;1.96, "Sí", "No")</f>
        <v>No</v>
      </c>
      <c r="N1650" s="14">
        <f>IF(ISBLANK(moras[[#This Row],[SALARIO]]), EDA!$M$8, moras[[#This Row],[SALARIO]])</f>
        <v>1129271</v>
      </c>
      <c r="O1650" s="14">
        <f xml:space="preserve"> IF(ISBLANK(moras[[#This Row],[EDAD]]), EDA!$E$8, moras[[#This Row],[EDAD]])</f>
        <v>32</v>
      </c>
      <c r="P1650" s="14" t="str">
        <f>IF(
    OR(ISBLANK(moras[[#This Row],[TIPO_ASEGURAMIENTO]]), moras[[#This Row],[TIPO_ASEGURAMIENTO]]=""),
    EDA!$A$32,
    moras[[#This Row],[TIPO_ASEGURAMIENTO]]
)</f>
        <v>ASALARIADO</v>
      </c>
    </row>
    <row r="1651" spans="1:16" x14ac:dyDescent="0.3">
      <c r="A1651">
        <v>1650</v>
      </c>
      <c r="B1651" t="s">
        <v>9</v>
      </c>
      <c r="C1651">
        <v>87500</v>
      </c>
      <c r="D1651" t="s">
        <v>10</v>
      </c>
      <c r="E1651" t="s">
        <v>16</v>
      </c>
      <c r="F1651" t="s">
        <v>12</v>
      </c>
      <c r="G1651" t="s">
        <v>13</v>
      </c>
      <c r="H1651" t="s">
        <v>13</v>
      </c>
      <c r="I1651">
        <v>25</v>
      </c>
      <c r="J1651">
        <f>ABS((I1651-EDA!$A$15)/EDA!$B$15)</f>
        <v>1.1983402984526204</v>
      </c>
      <c r="K1651" t="str">
        <f t="shared" si="25"/>
        <v>No</v>
      </c>
      <c r="L1651">
        <f>ABS((C1651-EDA!$F$15)/EDA!$G$15)</f>
        <v>0.37419791044050082</v>
      </c>
      <c r="M1651" t="str">
        <f>IF(moras[[#This Row],[Z-Score Salario]]&gt;1.96, "Sí", "No")</f>
        <v>No</v>
      </c>
      <c r="N1651" s="14">
        <f>IF(ISBLANK(moras[[#This Row],[SALARIO]]), EDA!$M$8, moras[[#This Row],[SALARIO]])</f>
        <v>87500</v>
      </c>
      <c r="O1651" s="14">
        <f xml:space="preserve"> IF(ISBLANK(moras[[#This Row],[EDAD]]), EDA!$E$8, moras[[#This Row],[EDAD]])</f>
        <v>25</v>
      </c>
      <c r="P1651" s="14" t="str">
        <f>IF(
    OR(ISBLANK(moras[[#This Row],[TIPO_ASEGURAMIENTO]]), moras[[#This Row],[TIPO_ASEGURAMIENTO]]=""),
    EDA!$A$32,
    moras[[#This Row],[TIPO_ASEGURAMIENTO]]
)</f>
        <v>ASALARIADO</v>
      </c>
    </row>
    <row r="1652" spans="1:16" x14ac:dyDescent="0.3">
      <c r="A1652">
        <v>1651</v>
      </c>
      <c r="B1652" t="s">
        <v>15</v>
      </c>
      <c r="C1652">
        <v>480000</v>
      </c>
      <c r="D1652" t="s">
        <v>10</v>
      </c>
      <c r="E1652" t="s">
        <v>16</v>
      </c>
      <c r="F1652" t="s">
        <v>12</v>
      </c>
      <c r="G1652" t="s">
        <v>13</v>
      </c>
      <c r="H1652" t="s">
        <v>13</v>
      </c>
      <c r="I1652">
        <v>24</v>
      </c>
      <c r="J1652">
        <f>ABS((I1652-EDA!$A$15)/EDA!$B$15)</f>
        <v>1.2689156285297578</v>
      </c>
      <c r="K1652" t="str">
        <f t="shared" si="25"/>
        <v>No</v>
      </c>
      <c r="L1652">
        <f>ABS((C1652-EDA!$F$15)/EDA!$G$15)</f>
        <v>0.36766643336996346</v>
      </c>
      <c r="M1652" t="str">
        <f>IF(moras[[#This Row],[Z-Score Salario]]&gt;1.96, "Sí", "No")</f>
        <v>No</v>
      </c>
      <c r="N1652" s="14">
        <f>IF(ISBLANK(moras[[#This Row],[SALARIO]]), EDA!$M$8, moras[[#This Row],[SALARIO]])</f>
        <v>480000</v>
      </c>
      <c r="O1652" s="14">
        <f xml:space="preserve"> IF(ISBLANK(moras[[#This Row],[EDAD]]), EDA!$E$8, moras[[#This Row],[EDAD]])</f>
        <v>24</v>
      </c>
      <c r="P1652" s="14" t="str">
        <f>IF(
    OR(ISBLANK(moras[[#This Row],[TIPO_ASEGURAMIENTO]]), moras[[#This Row],[TIPO_ASEGURAMIENTO]]=""),
    EDA!$A$32,
    moras[[#This Row],[TIPO_ASEGURAMIENTO]]
)</f>
        <v>ASALARIADO</v>
      </c>
    </row>
    <row r="1653" spans="1:16" x14ac:dyDescent="0.3">
      <c r="A1653">
        <v>1652</v>
      </c>
      <c r="B1653" t="s">
        <v>15</v>
      </c>
      <c r="C1653">
        <v>299647</v>
      </c>
      <c r="D1653" t="s">
        <v>17</v>
      </c>
      <c r="E1653" t="s">
        <v>16</v>
      </c>
      <c r="F1653" t="s">
        <v>12</v>
      </c>
      <c r="G1653" t="s">
        <v>13</v>
      </c>
      <c r="H1653" t="s">
        <v>13</v>
      </c>
      <c r="I1653">
        <v>60</v>
      </c>
      <c r="J1653">
        <f>ABS((I1653-EDA!$A$15)/EDA!$B$15)</f>
        <v>1.2717962542471923</v>
      </c>
      <c r="K1653" t="str">
        <f t="shared" si="25"/>
        <v>No</v>
      </c>
      <c r="L1653">
        <f>ABS((C1653-EDA!$F$15)/EDA!$G$15)</f>
        <v>0.37066763460334595</v>
      </c>
      <c r="M1653" t="str">
        <f>IF(moras[[#This Row],[Z-Score Salario]]&gt;1.96, "Sí", "No")</f>
        <v>No</v>
      </c>
      <c r="N1653" s="14">
        <f>IF(ISBLANK(moras[[#This Row],[SALARIO]]), EDA!$M$8, moras[[#This Row],[SALARIO]])</f>
        <v>299647</v>
      </c>
      <c r="O1653" s="14">
        <f xml:space="preserve"> IF(ISBLANK(moras[[#This Row],[EDAD]]), EDA!$E$8, moras[[#This Row],[EDAD]])</f>
        <v>60</v>
      </c>
      <c r="P1653" s="14" t="str">
        <f>IF(
    OR(ISBLANK(moras[[#This Row],[TIPO_ASEGURAMIENTO]]), moras[[#This Row],[TIPO_ASEGURAMIENTO]]=""),
    EDA!$A$32,
    moras[[#This Row],[TIPO_ASEGURAMIENTO]]
)</f>
        <v>ASEGURADO VOLUNTARIO</v>
      </c>
    </row>
    <row r="1654" spans="1:16" x14ac:dyDescent="0.3">
      <c r="A1654">
        <v>1653</v>
      </c>
      <c r="B1654" t="s">
        <v>9</v>
      </c>
      <c r="C1654">
        <v>27803099</v>
      </c>
      <c r="D1654" t="s">
        <v>19</v>
      </c>
      <c r="E1654" t="s">
        <v>16</v>
      </c>
      <c r="F1654" t="s">
        <v>12</v>
      </c>
      <c r="G1654" t="s">
        <v>13</v>
      </c>
      <c r="H1654" t="s">
        <v>13</v>
      </c>
      <c r="I1654">
        <v>27</v>
      </c>
      <c r="J1654">
        <f>ABS((I1654-EDA!$A$15)/EDA!$B$15)</f>
        <v>1.0571896382983452</v>
      </c>
      <c r="K1654" t="str">
        <f t="shared" si="25"/>
        <v>No</v>
      </c>
      <c r="L1654">
        <f>ABS((C1654-EDA!$F$15)/EDA!$G$15)</f>
        <v>8.7009221698885322E-2</v>
      </c>
      <c r="M1654" t="str">
        <f>IF(moras[[#This Row],[Z-Score Salario]]&gt;1.96, "Sí", "No")</f>
        <v>No</v>
      </c>
      <c r="N1654" s="14">
        <f>IF(ISBLANK(moras[[#This Row],[SALARIO]]), EDA!$M$8, moras[[#This Row],[SALARIO]])</f>
        <v>27803099</v>
      </c>
      <c r="O1654" s="14">
        <f xml:space="preserve"> IF(ISBLANK(moras[[#This Row],[EDAD]]), EDA!$E$8, moras[[#This Row],[EDAD]])</f>
        <v>27</v>
      </c>
      <c r="P1654" s="14" t="str">
        <f>IF(
    OR(ISBLANK(moras[[#This Row],[TIPO_ASEGURAMIENTO]]), moras[[#This Row],[TIPO_ASEGURAMIENTO]]=""),
    EDA!$A$32,
    moras[[#This Row],[TIPO_ASEGURAMIENTO]]
)</f>
        <v>CONVENIOS ESPECIALES DE TRABAJADORES INDEPENDIENTES</v>
      </c>
    </row>
    <row r="1655" spans="1:16" x14ac:dyDescent="0.3">
      <c r="A1655">
        <v>1654</v>
      </c>
      <c r="B1655" t="s">
        <v>9</v>
      </c>
      <c r="C1655">
        <v>335058886</v>
      </c>
      <c r="D1655" t="s">
        <v>10</v>
      </c>
      <c r="E1655" t="s">
        <v>16</v>
      </c>
      <c r="F1655" t="s">
        <v>12</v>
      </c>
      <c r="G1655" t="s">
        <v>13</v>
      </c>
      <c r="H1655" t="s">
        <v>13</v>
      </c>
      <c r="I1655">
        <v>38</v>
      </c>
      <c r="J1655">
        <f>ABS((I1655-EDA!$A$15)/EDA!$B$15)</f>
        <v>0.28086100744983278</v>
      </c>
      <c r="K1655" t="str">
        <f t="shared" si="25"/>
        <v>No</v>
      </c>
      <c r="L1655">
        <f>ABS((C1655-EDA!$F$15)/EDA!$G$15)</f>
        <v>5.199962412986582</v>
      </c>
      <c r="M1655" t="str">
        <f>IF(moras[[#This Row],[Z-Score Salario]]&gt;1.96, "Sí", "No")</f>
        <v>Sí</v>
      </c>
      <c r="N1655" s="14">
        <f>IF(ISBLANK(moras[[#This Row],[SALARIO]]), EDA!$M$8, moras[[#This Row],[SALARIO]])</f>
        <v>335058886</v>
      </c>
      <c r="O1655" s="14">
        <f xml:space="preserve"> IF(ISBLANK(moras[[#This Row],[EDAD]]), EDA!$E$8, moras[[#This Row],[EDAD]])</f>
        <v>38</v>
      </c>
      <c r="P1655" s="14" t="str">
        <f>IF(
    OR(ISBLANK(moras[[#This Row],[TIPO_ASEGURAMIENTO]]), moras[[#This Row],[TIPO_ASEGURAMIENTO]]=""),
    EDA!$A$32,
    moras[[#This Row],[TIPO_ASEGURAMIENTO]]
)</f>
        <v>ASALARIADO</v>
      </c>
    </row>
    <row r="1656" spans="1:16" x14ac:dyDescent="0.3">
      <c r="A1656">
        <v>1655</v>
      </c>
      <c r="B1656" t="s">
        <v>9</v>
      </c>
      <c r="C1656">
        <v>2349011</v>
      </c>
      <c r="D1656" t="s">
        <v>10</v>
      </c>
      <c r="E1656" t="s">
        <v>16</v>
      </c>
      <c r="F1656" t="s">
        <v>12</v>
      </c>
      <c r="G1656" t="s">
        <v>13</v>
      </c>
      <c r="H1656" t="s">
        <v>13</v>
      </c>
      <c r="I1656">
        <v>36</v>
      </c>
      <c r="J1656">
        <f>ABS((I1656-EDA!$A$15)/EDA!$B$15)</f>
        <v>0.42201166760410774</v>
      </c>
      <c r="K1656" t="str">
        <f t="shared" si="25"/>
        <v>No</v>
      </c>
      <c r="L1656">
        <f>ABS((C1656-EDA!$F$15)/EDA!$G$15)</f>
        <v>0.33656477097230192</v>
      </c>
      <c r="M1656" t="str">
        <f>IF(moras[[#This Row],[Z-Score Salario]]&gt;1.96, "Sí", "No")</f>
        <v>No</v>
      </c>
      <c r="N1656" s="14">
        <f>IF(ISBLANK(moras[[#This Row],[SALARIO]]), EDA!$M$8, moras[[#This Row],[SALARIO]])</f>
        <v>2349011</v>
      </c>
      <c r="O1656" s="14">
        <f xml:space="preserve"> IF(ISBLANK(moras[[#This Row],[EDAD]]), EDA!$E$8, moras[[#This Row],[EDAD]])</f>
        <v>36</v>
      </c>
      <c r="P1656" s="14" t="str">
        <f>IF(
    OR(ISBLANK(moras[[#This Row],[TIPO_ASEGURAMIENTO]]), moras[[#This Row],[TIPO_ASEGURAMIENTO]]=""),
    EDA!$A$32,
    moras[[#This Row],[TIPO_ASEGURAMIENTO]]
)</f>
        <v>ASALARIADO</v>
      </c>
    </row>
    <row r="1657" spans="1:16" x14ac:dyDescent="0.3">
      <c r="A1657">
        <v>1656</v>
      </c>
      <c r="B1657" t="s">
        <v>9</v>
      </c>
      <c r="C1657">
        <v>11085375</v>
      </c>
      <c r="D1657" t="s">
        <v>10</v>
      </c>
      <c r="E1657" t="s">
        <v>16</v>
      </c>
      <c r="F1657" t="s">
        <v>12</v>
      </c>
      <c r="G1657" t="s">
        <v>13</v>
      </c>
      <c r="H1657" t="s">
        <v>13</v>
      </c>
      <c r="I1657">
        <v>45</v>
      </c>
      <c r="J1657">
        <f>ABS((I1657-EDA!$A$15)/EDA!$B$15)</f>
        <v>0.21316630309012977</v>
      </c>
      <c r="K1657" t="str">
        <f t="shared" si="25"/>
        <v>No</v>
      </c>
      <c r="L1657">
        <f>ABS((C1657-EDA!$F$15)/EDA!$G$15)</f>
        <v>0.19118550690639532</v>
      </c>
      <c r="M1657" t="str">
        <f>IF(moras[[#This Row],[Z-Score Salario]]&gt;1.96, "Sí", "No")</f>
        <v>No</v>
      </c>
      <c r="N1657" s="14">
        <f>IF(ISBLANK(moras[[#This Row],[SALARIO]]), EDA!$M$8, moras[[#This Row],[SALARIO]])</f>
        <v>11085375</v>
      </c>
      <c r="O1657" s="14">
        <f xml:space="preserve"> IF(ISBLANK(moras[[#This Row],[EDAD]]), EDA!$E$8, moras[[#This Row],[EDAD]])</f>
        <v>45</v>
      </c>
      <c r="P1657" s="14" t="str">
        <f>IF(
    OR(ISBLANK(moras[[#This Row],[TIPO_ASEGURAMIENTO]]), moras[[#This Row],[TIPO_ASEGURAMIENTO]]=""),
    EDA!$A$32,
    moras[[#This Row],[TIPO_ASEGURAMIENTO]]
)</f>
        <v>ASALARIADO</v>
      </c>
    </row>
    <row r="1658" spans="1:16" x14ac:dyDescent="0.3">
      <c r="A1658">
        <v>1657</v>
      </c>
      <c r="B1658" t="s">
        <v>15</v>
      </c>
      <c r="C1658">
        <v>6004149</v>
      </c>
      <c r="D1658" t="s">
        <v>10</v>
      </c>
      <c r="E1658" t="s">
        <v>16</v>
      </c>
      <c r="F1658" t="s">
        <v>12</v>
      </c>
      <c r="G1658" t="s">
        <v>13</v>
      </c>
      <c r="H1658" t="s">
        <v>12</v>
      </c>
      <c r="I1658">
        <v>21</v>
      </c>
      <c r="J1658">
        <f>ABS((I1658-EDA!$A$15)/EDA!$B$15)</f>
        <v>1.4806416187611704</v>
      </c>
      <c r="K1658" t="str">
        <f t="shared" si="25"/>
        <v>No</v>
      </c>
      <c r="L1658">
        <f>ABS((C1658-EDA!$F$15)/EDA!$G$15)</f>
        <v>0.27574069444580535</v>
      </c>
      <c r="M1658" t="str">
        <f>IF(moras[[#This Row],[Z-Score Salario]]&gt;1.96, "Sí", "No")</f>
        <v>No</v>
      </c>
      <c r="N1658" s="14">
        <f>IF(ISBLANK(moras[[#This Row],[SALARIO]]), EDA!$M$8, moras[[#This Row],[SALARIO]])</f>
        <v>6004149</v>
      </c>
      <c r="O1658" s="14">
        <f xml:space="preserve"> IF(ISBLANK(moras[[#This Row],[EDAD]]), EDA!$E$8, moras[[#This Row],[EDAD]])</f>
        <v>21</v>
      </c>
      <c r="P1658" s="14" t="str">
        <f>IF(
    OR(ISBLANK(moras[[#This Row],[TIPO_ASEGURAMIENTO]]), moras[[#This Row],[TIPO_ASEGURAMIENTO]]=""),
    EDA!$A$32,
    moras[[#This Row],[TIPO_ASEGURAMIENTO]]
)</f>
        <v>ASALARIADO</v>
      </c>
    </row>
    <row r="1659" spans="1:16" x14ac:dyDescent="0.3">
      <c r="A1659">
        <v>1658</v>
      </c>
      <c r="B1659" t="s">
        <v>9</v>
      </c>
      <c r="C1659">
        <v>418000</v>
      </c>
      <c r="D1659" t="s">
        <v>10</v>
      </c>
      <c r="E1659" t="s">
        <v>16</v>
      </c>
      <c r="F1659" t="s">
        <v>12</v>
      </c>
      <c r="G1659" t="s">
        <v>13</v>
      </c>
      <c r="H1659" t="s">
        <v>13</v>
      </c>
      <c r="I1659">
        <v>51</v>
      </c>
      <c r="J1659">
        <f>ABS((I1659-EDA!$A$15)/EDA!$B$15)</f>
        <v>0.6366182835529548</v>
      </c>
      <c r="K1659" t="str">
        <f t="shared" si="25"/>
        <v>No</v>
      </c>
      <c r="L1659">
        <f>ABS((C1659-EDA!$F$15)/EDA!$G$15)</f>
        <v>0.36869815713651971</v>
      </c>
      <c r="M1659" t="str">
        <f>IF(moras[[#This Row],[Z-Score Salario]]&gt;1.96, "Sí", "No")</f>
        <v>No</v>
      </c>
      <c r="N1659" s="14">
        <f>IF(ISBLANK(moras[[#This Row],[SALARIO]]), EDA!$M$8, moras[[#This Row],[SALARIO]])</f>
        <v>418000</v>
      </c>
      <c r="O1659" s="14">
        <f xml:space="preserve"> IF(ISBLANK(moras[[#This Row],[EDAD]]), EDA!$E$8, moras[[#This Row],[EDAD]])</f>
        <v>51</v>
      </c>
      <c r="P1659" s="14" t="str">
        <f>IF(
    OR(ISBLANK(moras[[#This Row],[TIPO_ASEGURAMIENTO]]), moras[[#This Row],[TIPO_ASEGURAMIENTO]]=""),
    EDA!$A$32,
    moras[[#This Row],[TIPO_ASEGURAMIENTO]]
)</f>
        <v>ASALARIADO</v>
      </c>
    </row>
    <row r="1660" spans="1:16" x14ac:dyDescent="0.3">
      <c r="A1660">
        <v>1659</v>
      </c>
      <c r="B1660" t="s">
        <v>9</v>
      </c>
      <c r="C1660">
        <v>287787</v>
      </c>
      <c r="D1660" t="s">
        <v>10</v>
      </c>
      <c r="E1660" t="s">
        <v>16</v>
      </c>
      <c r="F1660" t="s">
        <v>12</v>
      </c>
      <c r="G1660" t="s">
        <v>13</v>
      </c>
      <c r="H1660" t="s">
        <v>13</v>
      </c>
      <c r="I1660">
        <v>19</v>
      </c>
      <c r="J1660">
        <f>ABS((I1660-EDA!$A$15)/EDA!$B$15)</f>
        <v>1.6217922789154453</v>
      </c>
      <c r="K1660" t="str">
        <f t="shared" si="25"/>
        <v>No</v>
      </c>
      <c r="L1660">
        <f>ABS((C1660-EDA!$F$15)/EDA!$G$15)</f>
        <v>0.37086499337546464</v>
      </c>
      <c r="M1660" t="str">
        <f>IF(moras[[#This Row],[Z-Score Salario]]&gt;1.96, "Sí", "No")</f>
        <v>No</v>
      </c>
      <c r="N1660" s="14">
        <f>IF(ISBLANK(moras[[#This Row],[SALARIO]]), EDA!$M$8, moras[[#This Row],[SALARIO]])</f>
        <v>287787</v>
      </c>
      <c r="O1660" s="14">
        <f xml:space="preserve"> IF(ISBLANK(moras[[#This Row],[EDAD]]), EDA!$E$8, moras[[#This Row],[EDAD]])</f>
        <v>19</v>
      </c>
      <c r="P1660" s="14" t="str">
        <f>IF(
    OR(ISBLANK(moras[[#This Row],[TIPO_ASEGURAMIENTO]]), moras[[#This Row],[TIPO_ASEGURAMIENTO]]=""),
    EDA!$A$32,
    moras[[#This Row],[TIPO_ASEGURAMIENTO]]
)</f>
        <v>ASALARIADO</v>
      </c>
    </row>
    <row r="1661" spans="1:16" x14ac:dyDescent="0.3">
      <c r="A1661">
        <v>1660</v>
      </c>
      <c r="B1661" t="s">
        <v>15</v>
      </c>
      <c r="C1661">
        <v>53873804</v>
      </c>
      <c r="D1661" t="s">
        <v>10</v>
      </c>
      <c r="E1661" t="s">
        <v>16</v>
      </c>
      <c r="F1661" t="s">
        <v>12</v>
      </c>
      <c r="G1661" t="s">
        <v>13</v>
      </c>
      <c r="H1661" t="s">
        <v>13</v>
      </c>
      <c r="I1661">
        <v>36</v>
      </c>
      <c r="J1661">
        <f>ABS((I1661-EDA!$A$15)/EDA!$B$15)</f>
        <v>0.42201166760410774</v>
      </c>
      <c r="K1661" t="str">
        <f t="shared" si="25"/>
        <v>No</v>
      </c>
      <c r="L1661">
        <f>ABS((C1661-EDA!$F$15)/EDA!$G$15)</f>
        <v>0.5208441565275338</v>
      </c>
      <c r="M1661" t="str">
        <f>IF(moras[[#This Row],[Z-Score Salario]]&gt;1.96, "Sí", "No")</f>
        <v>No</v>
      </c>
      <c r="N1661" s="14">
        <f>IF(ISBLANK(moras[[#This Row],[SALARIO]]), EDA!$M$8, moras[[#This Row],[SALARIO]])</f>
        <v>53873804</v>
      </c>
      <c r="O1661" s="14">
        <f xml:space="preserve"> IF(ISBLANK(moras[[#This Row],[EDAD]]), EDA!$E$8, moras[[#This Row],[EDAD]])</f>
        <v>36</v>
      </c>
      <c r="P1661" s="14" t="str">
        <f>IF(
    OR(ISBLANK(moras[[#This Row],[TIPO_ASEGURAMIENTO]]), moras[[#This Row],[TIPO_ASEGURAMIENTO]]=""),
    EDA!$A$32,
    moras[[#This Row],[TIPO_ASEGURAMIENTO]]
)</f>
        <v>ASALARIADO</v>
      </c>
    </row>
    <row r="1662" spans="1:16" x14ac:dyDescent="0.3">
      <c r="A1662">
        <v>1661</v>
      </c>
      <c r="B1662" t="s">
        <v>9</v>
      </c>
      <c r="C1662">
        <v>59753333</v>
      </c>
      <c r="D1662" t="s">
        <v>10</v>
      </c>
      <c r="E1662" t="s">
        <v>16</v>
      </c>
      <c r="F1662" t="s">
        <v>12</v>
      </c>
      <c r="G1662" t="s">
        <v>12</v>
      </c>
      <c r="H1662" t="s">
        <v>13</v>
      </c>
      <c r="I1662">
        <v>30</v>
      </c>
      <c r="J1662">
        <f>ABS((I1662-EDA!$A$15)/EDA!$B$15)</f>
        <v>0.84546364806693275</v>
      </c>
      <c r="K1662" t="str">
        <f t="shared" si="25"/>
        <v>No</v>
      </c>
      <c r="L1662">
        <f>ABS((C1662-EDA!$F$15)/EDA!$G$15)</f>
        <v>0.61868366951876863</v>
      </c>
      <c r="M1662" t="str">
        <f>IF(moras[[#This Row],[Z-Score Salario]]&gt;1.96, "Sí", "No")</f>
        <v>No</v>
      </c>
      <c r="N1662" s="14">
        <f>IF(ISBLANK(moras[[#This Row],[SALARIO]]), EDA!$M$8, moras[[#This Row],[SALARIO]])</f>
        <v>59753333</v>
      </c>
      <c r="O1662" s="14">
        <f xml:space="preserve"> IF(ISBLANK(moras[[#This Row],[EDAD]]), EDA!$E$8, moras[[#This Row],[EDAD]])</f>
        <v>30</v>
      </c>
      <c r="P1662" s="14" t="str">
        <f>IF(
    OR(ISBLANK(moras[[#This Row],[TIPO_ASEGURAMIENTO]]), moras[[#This Row],[TIPO_ASEGURAMIENTO]]=""),
    EDA!$A$32,
    moras[[#This Row],[TIPO_ASEGURAMIENTO]]
)</f>
        <v>ASALARIADO</v>
      </c>
    </row>
    <row r="1663" spans="1:16" x14ac:dyDescent="0.3">
      <c r="A1663">
        <v>1662</v>
      </c>
      <c r="B1663" t="s">
        <v>15</v>
      </c>
      <c r="C1663">
        <v>619489</v>
      </c>
      <c r="D1663" t="s">
        <v>10</v>
      </c>
      <c r="E1663" t="s">
        <v>11</v>
      </c>
      <c r="F1663" t="s">
        <v>12</v>
      </c>
      <c r="G1663" t="s">
        <v>13</v>
      </c>
      <c r="H1663" t="s">
        <v>13</v>
      </c>
      <c r="I1663">
        <v>37</v>
      </c>
      <c r="J1663">
        <f>ABS((I1663-EDA!$A$15)/EDA!$B$15)</f>
        <v>0.35143633752697023</v>
      </c>
      <c r="K1663" t="str">
        <f t="shared" si="25"/>
        <v>No</v>
      </c>
      <c r="L1663">
        <f>ABS((C1663-EDA!$F$15)/EDA!$G$15)</f>
        <v>0.36534523794297696</v>
      </c>
      <c r="M1663" t="str">
        <f>IF(moras[[#This Row],[Z-Score Salario]]&gt;1.96, "Sí", "No")</f>
        <v>No</v>
      </c>
      <c r="N1663" s="14">
        <f>IF(ISBLANK(moras[[#This Row],[SALARIO]]), EDA!$M$8, moras[[#This Row],[SALARIO]])</f>
        <v>619489</v>
      </c>
      <c r="O1663" s="14">
        <f xml:space="preserve"> IF(ISBLANK(moras[[#This Row],[EDAD]]), EDA!$E$8, moras[[#This Row],[EDAD]])</f>
        <v>37</v>
      </c>
      <c r="P1663" s="14" t="str">
        <f>IF(
    OR(ISBLANK(moras[[#This Row],[TIPO_ASEGURAMIENTO]]), moras[[#This Row],[TIPO_ASEGURAMIENTO]]=""),
    EDA!$A$32,
    moras[[#This Row],[TIPO_ASEGURAMIENTO]]
)</f>
        <v>ASALARIADO</v>
      </c>
    </row>
    <row r="1664" spans="1:16" x14ac:dyDescent="0.3">
      <c r="A1664">
        <v>1663</v>
      </c>
      <c r="B1664" t="s">
        <v>15</v>
      </c>
      <c r="C1664">
        <v>278032</v>
      </c>
      <c r="D1664" t="s">
        <v>17</v>
      </c>
      <c r="E1664" t="s">
        <v>16</v>
      </c>
      <c r="F1664" t="s">
        <v>12</v>
      </c>
      <c r="G1664" t="s">
        <v>13</v>
      </c>
      <c r="H1664" t="s">
        <v>13</v>
      </c>
      <c r="I1664">
        <v>45</v>
      </c>
      <c r="J1664">
        <f>ABS((I1664-EDA!$A$15)/EDA!$B$15)</f>
        <v>0.21316630309012977</v>
      </c>
      <c r="K1664" t="str">
        <f t="shared" si="25"/>
        <v>No</v>
      </c>
      <c r="L1664">
        <f>ABS((C1664-EDA!$F$15)/EDA!$G$15)</f>
        <v>0.37102732346163808</v>
      </c>
      <c r="M1664" t="str">
        <f>IF(moras[[#This Row],[Z-Score Salario]]&gt;1.96, "Sí", "No")</f>
        <v>No</v>
      </c>
      <c r="N1664" s="14">
        <f>IF(ISBLANK(moras[[#This Row],[SALARIO]]), EDA!$M$8, moras[[#This Row],[SALARIO]])</f>
        <v>278032</v>
      </c>
      <c r="O1664" s="14">
        <f xml:space="preserve"> IF(ISBLANK(moras[[#This Row],[EDAD]]), EDA!$E$8, moras[[#This Row],[EDAD]])</f>
        <v>45</v>
      </c>
      <c r="P1664" s="14" t="str">
        <f>IF(
    OR(ISBLANK(moras[[#This Row],[TIPO_ASEGURAMIENTO]]), moras[[#This Row],[TIPO_ASEGURAMIENTO]]=""),
    EDA!$A$32,
    moras[[#This Row],[TIPO_ASEGURAMIENTO]]
)</f>
        <v>ASEGURADO VOLUNTARIO</v>
      </c>
    </row>
    <row r="1665" spans="1:16" x14ac:dyDescent="0.3">
      <c r="A1665">
        <v>1664</v>
      </c>
      <c r="B1665" t="s">
        <v>15</v>
      </c>
      <c r="C1665">
        <v>297650</v>
      </c>
      <c r="D1665" t="s">
        <v>10</v>
      </c>
      <c r="E1665" t="s">
        <v>16</v>
      </c>
      <c r="F1665" t="s">
        <v>12</v>
      </c>
      <c r="G1665" t="s">
        <v>12</v>
      </c>
      <c r="H1665" t="s">
        <v>12</v>
      </c>
      <c r="I1665">
        <v>39</v>
      </c>
      <c r="J1665">
        <f>ABS((I1665-EDA!$A$15)/EDA!$B$15)</f>
        <v>0.21028567737269524</v>
      </c>
      <c r="K1665" t="str">
        <f t="shared" si="25"/>
        <v>No</v>
      </c>
      <c r="L1665">
        <f>ABS((C1665-EDA!$F$15)/EDA!$G$15)</f>
        <v>0.37070086609305264</v>
      </c>
      <c r="M1665" t="str">
        <f>IF(moras[[#This Row],[Z-Score Salario]]&gt;1.96, "Sí", "No")</f>
        <v>No</v>
      </c>
      <c r="N1665" s="14">
        <f>IF(ISBLANK(moras[[#This Row],[SALARIO]]), EDA!$M$8, moras[[#This Row],[SALARIO]])</f>
        <v>297650</v>
      </c>
      <c r="O1665" s="14">
        <f xml:space="preserve"> IF(ISBLANK(moras[[#This Row],[EDAD]]), EDA!$E$8, moras[[#This Row],[EDAD]])</f>
        <v>39</v>
      </c>
      <c r="P1665" s="14" t="str">
        <f>IF(
    OR(ISBLANK(moras[[#This Row],[TIPO_ASEGURAMIENTO]]), moras[[#This Row],[TIPO_ASEGURAMIENTO]]=""),
    EDA!$A$32,
    moras[[#This Row],[TIPO_ASEGURAMIENTO]]
)</f>
        <v>ASALARIADO</v>
      </c>
    </row>
    <row r="1666" spans="1:16" x14ac:dyDescent="0.3">
      <c r="A1666">
        <v>1665</v>
      </c>
      <c r="B1666" t="s">
        <v>9</v>
      </c>
      <c r="C1666">
        <v>266312</v>
      </c>
      <c r="D1666" t="s">
        <v>10</v>
      </c>
      <c r="E1666" t="s">
        <v>16</v>
      </c>
      <c r="F1666" t="s">
        <v>12</v>
      </c>
      <c r="G1666" t="s">
        <v>13</v>
      </c>
      <c r="H1666" t="s">
        <v>13</v>
      </c>
      <c r="I1666">
        <v>29</v>
      </c>
      <c r="J1666">
        <f>ABS((I1666-EDA!$A$15)/EDA!$B$15)</f>
        <v>0.91603897814407031</v>
      </c>
      <c r="K1666" t="str">
        <f t="shared" ref="K1666:K1729" si="26">IF(J1666 &gt;  1.96, "Sí","No")</f>
        <v>No</v>
      </c>
      <c r="L1666">
        <f>ABS((C1666-EDA!$F$15)/EDA!$G$15)</f>
        <v>0.37122235253492908</v>
      </c>
      <c r="M1666" t="str">
        <f>IF(moras[[#This Row],[Z-Score Salario]]&gt;1.96, "Sí", "No")</f>
        <v>No</v>
      </c>
      <c r="N1666" s="14">
        <f>IF(ISBLANK(moras[[#This Row],[SALARIO]]), EDA!$M$8, moras[[#This Row],[SALARIO]])</f>
        <v>266312</v>
      </c>
      <c r="O1666" s="14">
        <f xml:space="preserve"> IF(ISBLANK(moras[[#This Row],[EDAD]]), EDA!$E$8, moras[[#This Row],[EDAD]])</f>
        <v>29</v>
      </c>
      <c r="P1666" s="14" t="str">
        <f>IF(
    OR(ISBLANK(moras[[#This Row],[TIPO_ASEGURAMIENTO]]), moras[[#This Row],[TIPO_ASEGURAMIENTO]]=""),
    EDA!$A$32,
    moras[[#This Row],[TIPO_ASEGURAMIENTO]]
)</f>
        <v>ASALARIADO</v>
      </c>
    </row>
    <row r="1667" spans="1:16" x14ac:dyDescent="0.3">
      <c r="A1667">
        <v>1666</v>
      </c>
      <c r="B1667" t="s">
        <v>9</v>
      </c>
      <c r="C1667">
        <v>40376418</v>
      </c>
      <c r="D1667" t="s">
        <v>10</v>
      </c>
      <c r="E1667" t="s">
        <v>16</v>
      </c>
      <c r="F1667" t="s">
        <v>12</v>
      </c>
      <c r="G1667" t="s">
        <v>13</v>
      </c>
      <c r="H1667" t="s">
        <v>13</v>
      </c>
      <c r="I1667">
        <v>31</v>
      </c>
      <c r="J1667">
        <f>ABS((I1667-EDA!$A$15)/EDA!$B$15)</f>
        <v>0.77488831798979529</v>
      </c>
      <c r="K1667" t="str">
        <f t="shared" si="26"/>
        <v>No</v>
      </c>
      <c r="L1667">
        <f>ABS((C1667-EDA!$F$15)/EDA!$G$15)</f>
        <v>0.29623812551812639</v>
      </c>
      <c r="M1667" t="str">
        <f>IF(moras[[#This Row],[Z-Score Salario]]&gt;1.96, "Sí", "No")</f>
        <v>No</v>
      </c>
      <c r="N1667" s="14">
        <f>IF(ISBLANK(moras[[#This Row],[SALARIO]]), EDA!$M$8, moras[[#This Row],[SALARIO]])</f>
        <v>40376418</v>
      </c>
      <c r="O1667" s="14">
        <f xml:space="preserve"> IF(ISBLANK(moras[[#This Row],[EDAD]]), EDA!$E$8, moras[[#This Row],[EDAD]])</f>
        <v>31</v>
      </c>
      <c r="P1667" s="14" t="str">
        <f>IF(
    OR(ISBLANK(moras[[#This Row],[TIPO_ASEGURAMIENTO]]), moras[[#This Row],[TIPO_ASEGURAMIENTO]]=""),
    EDA!$A$32,
    moras[[#This Row],[TIPO_ASEGURAMIENTO]]
)</f>
        <v>ASALARIADO</v>
      </c>
    </row>
    <row r="1668" spans="1:16" x14ac:dyDescent="0.3">
      <c r="A1668">
        <v>1667</v>
      </c>
      <c r="B1668" t="s">
        <v>9</v>
      </c>
      <c r="C1668">
        <v>440373</v>
      </c>
      <c r="D1668" t="s">
        <v>10</v>
      </c>
      <c r="E1668" t="s">
        <v>11</v>
      </c>
      <c r="F1668" t="s">
        <v>12</v>
      </c>
      <c r="G1668" t="s">
        <v>12</v>
      </c>
      <c r="H1668" t="s">
        <v>13</v>
      </c>
      <c r="I1668">
        <v>27</v>
      </c>
      <c r="J1668">
        <f>ABS((I1668-EDA!$A$15)/EDA!$B$15)</f>
        <v>1.0571896382983452</v>
      </c>
      <c r="K1668" t="str">
        <f t="shared" si="26"/>
        <v>No</v>
      </c>
      <c r="L1668">
        <f>ABS((C1668-EDA!$F$15)/EDA!$G$15)</f>
        <v>0.3683258546231461</v>
      </c>
      <c r="M1668" t="str">
        <f>IF(moras[[#This Row],[Z-Score Salario]]&gt;1.96, "Sí", "No")</f>
        <v>No</v>
      </c>
      <c r="N1668" s="14">
        <f>IF(ISBLANK(moras[[#This Row],[SALARIO]]), EDA!$M$8, moras[[#This Row],[SALARIO]])</f>
        <v>440373</v>
      </c>
      <c r="O1668" s="14">
        <f xml:space="preserve"> IF(ISBLANK(moras[[#This Row],[EDAD]]), EDA!$E$8, moras[[#This Row],[EDAD]])</f>
        <v>27</v>
      </c>
      <c r="P1668" s="14" t="str">
        <f>IF(
    OR(ISBLANK(moras[[#This Row],[TIPO_ASEGURAMIENTO]]), moras[[#This Row],[TIPO_ASEGURAMIENTO]]=""),
    EDA!$A$32,
    moras[[#This Row],[TIPO_ASEGURAMIENTO]]
)</f>
        <v>ASALARIADO</v>
      </c>
    </row>
    <row r="1669" spans="1:16" x14ac:dyDescent="0.3">
      <c r="A1669">
        <v>1668</v>
      </c>
      <c r="B1669" t="s">
        <v>15</v>
      </c>
      <c r="C1669">
        <v>3812113</v>
      </c>
      <c r="D1669" t="s">
        <v>14</v>
      </c>
      <c r="E1669" t="s">
        <v>11</v>
      </c>
      <c r="F1669" t="s">
        <v>12</v>
      </c>
      <c r="G1669" t="s">
        <v>13</v>
      </c>
      <c r="H1669" t="s">
        <v>13</v>
      </c>
      <c r="I1669">
        <v>66</v>
      </c>
      <c r="J1669">
        <f>ABS((I1669-EDA!$A$15)/EDA!$B$15)</f>
        <v>1.6952482347100173</v>
      </c>
      <c r="K1669" t="str">
        <f t="shared" si="26"/>
        <v>No</v>
      </c>
      <c r="L1669">
        <f>ABS((C1669-EDA!$F$15)/EDA!$G$15)</f>
        <v>0.31221772087075439</v>
      </c>
      <c r="M1669" t="str">
        <f>IF(moras[[#This Row],[Z-Score Salario]]&gt;1.96, "Sí", "No")</f>
        <v>No</v>
      </c>
      <c r="N1669" s="14">
        <f>IF(ISBLANK(moras[[#This Row],[SALARIO]]), EDA!$M$8, moras[[#This Row],[SALARIO]])</f>
        <v>3812113</v>
      </c>
      <c r="O1669" s="14">
        <f xml:space="preserve"> IF(ISBLANK(moras[[#This Row],[EDAD]]), EDA!$E$8, moras[[#This Row],[EDAD]])</f>
        <v>66</v>
      </c>
      <c r="P1669" s="14" t="str">
        <f>IF(
    OR(ISBLANK(moras[[#This Row],[TIPO_ASEGURAMIENTO]]), moras[[#This Row],[TIPO_ASEGURAMIENTO]]=""),
    EDA!$A$32,
    moras[[#This Row],[TIPO_ASEGURAMIENTO]]
)</f>
        <v>PENSIONADOS EN SU PROPIO SISTEMA</v>
      </c>
    </row>
    <row r="1670" spans="1:16" x14ac:dyDescent="0.3">
      <c r="A1670">
        <v>1669</v>
      </c>
      <c r="B1670" t="s">
        <v>15</v>
      </c>
      <c r="C1670">
        <v>908129</v>
      </c>
      <c r="D1670" t="s">
        <v>10</v>
      </c>
      <c r="E1670" t="s">
        <v>11</v>
      </c>
      <c r="F1670" t="s">
        <v>12</v>
      </c>
      <c r="G1670" t="s">
        <v>13</v>
      </c>
      <c r="H1670" t="s">
        <v>12</v>
      </c>
      <c r="I1670">
        <v>49</v>
      </c>
      <c r="J1670">
        <f>ABS((I1670-EDA!$A$15)/EDA!$B$15)</f>
        <v>0.49546762339867978</v>
      </c>
      <c r="K1670" t="str">
        <f t="shared" si="26"/>
        <v>No</v>
      </c>
      <c r="L1670">
        <f>ABS((C1670-EDA!$F$15)/EDA!$G$15)</f>
        <v>0.36054206458848037</v>
      </c>
      <c r="M1670" t="str">
        <f>IF(moras[[#This Row],[Z-Score Salario]]&gt;1.96, "Sí", "No")</f>
        <v>No</v>
      </c>
      <c r="N1670" s="14">
        <f>IF(ISBLANK(moras[[#This Row],[SALARIO]]), EDA!$M$8, moras[[#This Row],[SALARIO]])</f>
        <v>908129</v>
      </c>
      <c r="O1670" s="14">
        <f xml:space="preserve"> IF(ISBLANK(moras[[#This Row],[EDAD]]), EDA!$E$8, moras[[#This Row],[EDAD]])</f>
        <v>49</v>
      </c>
      <c r="P1670" s="14" t="str">
        <f>IF(
    OR(ISBLANK(moras[[#This Row],[TIPO_ASEGURAMIENTO]]), moras[[#This Row],[TIPO_ASEGURAMIENTO]]=""),
    EDA!$A$32,
    moras[[#This Row],[TIPO_ASEGURAMIENTO]]
)</f>
        <v>ASALARIADO</v>
      </c>
    </row>
    <row r="1671" spans="1:16" x14ac:dyDescent="0.3">
      <c r="A1671">
        <v>1670</v>
      </c>
      <c r="B1671" t="s">
        <v>9</v>
      </c>
      <c r="C1671">
        <v>131198</v>
      </c>
      <c r="D1671" t="s">
        <v>10</v>
      </c>
      <c r="E1671" t="s">
        <v>16</v>
      </c>
      <c r="F1671" t="s">
        <v>12</v>
      </c>
      <c r="G1671" t="s">
        <v>13</v>
      </c>
      <c r="H1671" t="s">
        <v>13</v>
      </c>
      <c r="I1671">
        <v>20</v>
      </c>
      <c r="J1671">
        <f>ABS((I1671-EDA!$A$15)/EDA!$B$15)</f>
        <v>1.5512169488383079</v>
      </c>
      <c r="K1671" t="str">
        <f t="shared" si="26"/>
        <v>No</v>
      </c>
      <c r="L1671">
        <f>ABS((C1671-EDA!$F$15)/EDA!$G$15)</f>
        <v>0.37347074487354964</v>
      </c>
      <c r="M1671" t="str">
        <f>IF(moras[[#This Row],[Z-Score Salario]]&gt;1.96, "Sí", "No")</f>
        <v>No</v>
      </c>
      <c r="N1671" s="14">
        <f>IF(ISBLANK(moras[[#This Row],[SALARIO]]), EDA!$M$8, moras[[#This Row],[SALARIO]])</f>
        <v>131198</v>
      </c>
      <c r="O1671" s="14">
        <f xml:space="preserve"> IF(ISBLANK(moras[[#This Row],[EDAD]]), EDA!$E$8, moras[[#This Row],[EDAD]])</f>
        <v>20</v>
      </c>
      <c r="P1671" s="14" t="str">
        <f>IF(
    OR(ISBLANK(moras[[#This Row],[TIPO_ASEGURAMIENTO]]), moras[[#This Row],[TIPO_ASEGURAMIENTO]]=""),
    EDA!$A$32,
    moras[[#This Row],[TIPO_ASEGURAMIENTO]]
)</f>
        <v>ASALARIADO</v>
      </c>
    </row>
    <row r="1672" spans="1:16" x14ac:dyDescent="0.3">
      <c r="A1672">
        <v>1671</v>
      </c>
      <c r="B1672" t="s">
        <v>15</v>
      </c>
      <c r="C1672">
        <v>58292103</v>
      </c>
      <c r="D1672" t="s">
        <v>10</v>
      </c>
      <c r="E1672" t="s">
        <v>16</v>
      </c>
      <c r="F1672" t="s">
        <v>12</v>
      </c>
      <c r="G1672" t="s">
        <v>13</v>
      </c>
      <c r="H1672" t="s">
        <v>13</v>
      </c>
      <c r="I1672">
        <v>31</v>
      </c>
      <c r="J1672">
        <f>ABS((I1672-EDA!$A$15)/EDA!$B$15)</f>
        <v>0.77488831798979529</v>
      </c>
      <c r="K1672" t="str">
        <f t="shared" si="26"/>
        <v>No</v>
      </c>
      <c r="L1672">
        <f>ABS((C1672-EDA!$F$15)/EDA!$G$15)</f>
        <v>0.59436777081868875</v>
      </c>
      <c r="M1672" t="str">
        <f>IF(moras[[#This Row],[Z-Score Salario]]&gt;1.96, "Sí", "No")</f>
        <v>No</v>
      </c>
      <c r="N1672" s="14">
        <f>IF(ISBLANK(moras[[#This Row],[SALARIO]]), EDA!$M$8, moras[[#This Row],[SALARIO]])</f>
        <v>58292103</v>
      </c>
      <c r="O1672" s="14">
        <f xml:space="preserve"> IF(ISBLANK(moras[[#This Row],[EDAD]]), EDA!$E$8, moras[[#This Row],[EDAD]])</f>
        <v>31</v>
      </c>
      <c r="P1672" s="14" t="str">
        <f>IF(
    OR(ISBLANK(moras[[#This Row],[TIPO_ASEGURAMIENTO]]), moras[[#This Row],[TIPO_ASEGURAMIENTO]]=""),
    EDA!$A$32,
    moras[[#This Row],[TIPO_ASEGURAMIENTO]]
)</f>
        <v>ASALARIADO</v>
      </c>
    </row>
    <row r="1673" spans="1:16" x14ac:dyDescent="0.3">
      <c r="A1673">
        <v>1672</v>
      </c>
      <c r="B1673" t="s">
        <v>9</v>
      </c>
      <c r="C1673">
        <v>2511039</v>
      </c>
      <c r="D1673" t="s">
        <v>10</v>
      </c>
      <c r="E1673" t="s">
        <v>16</v>
      </c>
      <c r="F1673" t="s">
        <v>12</v>
      </c>
      <c r="G1673" t="s">
        <v>13</v>
      </c>
      <c r="H1673" t="s">
        <v>13</v>
      </c>
      <c r="I1673">
        <v>19</v>
      </c>
      <c r="J1673">
        <f>ABS((I1673-EDA!$A$15)/EDA!$B$15)</f>
        <v>1.6217922789154453</v>
      </c>
      <c r="K1673" t="str">
        <f t="shared" si="26"/>
        <v>No</v>
      </c>
      <c r="L1673">
        <f>ABS((C1673-EDA!$F$15)/EDA!$G$15)</f>
        <v>0.33386851067476042</v>
      </c>
      <c r="M1673" t="str">
        <f>IF(moras[[#This Row],[Z-Score Salario]]&gt;1.96, "Sí", "No")</f>
        <v>No</v>
      </c>
      <c r="N1673" s="14">
        <f>IF(ISBLANK(moras[[#This Row],[SALARIO]]), EDA!$M$8, moras[[#This Row],[SALARIO]])</f>
        <v>2511039</v>
      </c>
      <c r="O1673" s="14">
        <f xml:space="preserve"> IF(ISBLANK(moras[[#This Row],[EDAD]]), EDA!$E$8, moras[[#This Row],[EDAD]])</f>
        <v>19</v>
      </c>
      <c r="P1673" s="14" t="str">
        <f>IF(
    OR(ISBLANK(moras[[#This Row],[TIPO_ASEGURAMIENTO]]), moras[[#This Row],[TIPO_ASEGURAMIENTO]]=""),
    EDA!$A$32,
    moras[[#This Row],[TIPO_ASEGURAMIENTO]]
)</f>
        <v>ASALARIADO</v>
      </c>
    </row>
    <row r="1674" spans="1:16" x14ac:dyDescent="0.3">
      <c r="A1674">
        <v>1673</v>
      </c>
      <c r="B1674" t="s">
        <v>15</v>
      </c>
      <c r="C1674">
        <v>297046</v>
      </c>
      <c r="D1674" t="s">
        <v>17</v>
      </c>
      <c r="E1674" t="s">
        <v>16</v>
      </c>
      <c r="F1674" t="s">
        <v>12</v>
      </c>
      <c r="G1674" t="s">
        <v>13</v>
      </c>
      <c r="H1674" t="s">
        <v>13</v>
      </c>
      <c r="I1674">
        <v>38</v>
      </c>
      <c r="J1674">
        <f>ABS((I1674-EDA!$A$15)/EDA!$B$15)</f>
        <v>0.28086100744983278</v>
      </c>
      <c r="K1674" t="str">
        <f t="shared" si="26"/>
        <v>No</v>
      </c>
      <c r="L1674">
        <f>ABS((C1674-EDA!$F$15)/EDA!$G$15)</f>
        <v>0.37071091707942361</v>
      </c>
      <c r="M1674" t="str">
        <f>IF(moras[[#This Row],[Z-Score Salario]]&gt;1.96, "Sí", "No")</f>
        <v>No</v>
      </c>
      <c r="N1674" s="14">
        <f>IF(ISBLANK(moras[[#This Row],[SALARIO]]), EDA!$M$8, moras[[#This Row],[SALARIO]])</f>
        <v>297046</v>
      </c>
      <c r="O1674" s="14">
        <f xml:space="preserve"> IF(ISBLANK(moras[[#This Row],[EDAD]]), EDA!$E$8, moras[[#This Row],[EDAD]])</f>
        <v>38</v>
      </c>
      <c r="P1674" s="14" t="str">
        <f>IF(
    OR(ISBLANK(moras[[#This Row],[TIPO_ASEGURAMIENTO]]), moras[[#This Row],[TIPO_ASEGURAMIENTO]]=""),
    EDA!$A$32,
    moras[[#This Row],[TIPO_ASEGURAMIENTO]]
)</f>
        <v>ASEGURADO VOLUNTARIO</v>
      </c>
    </row>
    <row r="1675" spans="1:16" x14ac:dyDescent="0.3">
      <c r="A1675">
        <v>1674</v>
      </c>
      <c r="B1675" t="s">
        <v>15</v>
      </c>
      <c r="C1675">
        <v>27803099</v>
      </c>
      <c r="D1675" t="s">
        <v>17</v>
      </c>
      <c r="E1675" t="s">
        <v>16</v>
      </c>
      <c r="F1675" t="s">
        <v>12</v>
      </c>
      <c r="G1675" t="s">
        <v>12</v>
      </c>
      <c r="H1675" t="s">
        <v>13</v>
      </c>
      <c r="I1675">
        <v>44</v>
      </c>
      <c r="J1675">
        <f>ABS((I1675-EDA!$A$15)/EDA!$B$15)</f>
        <v>0.14259097301299228</v>
      </c>
      <c r="K1675" t="str">
        <f t="shared" si="26"/>
        <v>No</v>
      </c>
      <c r="L1675">
        <f>ABS((C1675-EDA!$F$15)/EDA!$G$15)</f>
        <v>8.7009221698885322E-2</v>
      </c>
      <c r="M1675" t="str">
        <f>IF(moras[[#This Row],[Z-Score Salario]]&gt;1.96, "Sí", "No")</f>
        <v>No</v>
      </c>
      <c r="N1675" s="14">
        <f>IF(ISBLANK(moras[[#This Row],[SALARIO]]), EDA!$M$8, moras[[#This Row],[SALARIO]])</f>
        <v>27803099</v>
      </c>
      <c r="O1675" s="14">
        <f xml:space="preserve"> IF(ISBLANK(moras[[#This Row],[EDAD]]), EDA!$E$8, moras[[#This Row],[EDAD]])</f>
        <v>44</v>
      </c>
      <c r="P1675" s="14" t="str">
        <f>IF(
    OR(ISBLANK(moras[[#This Row],[TIPO_ASEGURAMIENTO]]), moras[[#This Row],[TIPO_ASEGURAMIENTO]]=""),
    EDA!$A$32,
    moras[[#This Row],[TIPO_ASEGURAMIENTO]]
)</f>
        <v>ASEGURADO VOLUNTARIO</v>
      </c>
    </row>
    <row r="1676" spans="1:16" x14ac:dyDescent="0.3">
      <c r="A1676">
        <v>1675</v>
      </c>
      <c r="B1676" t="s">
        <v>15</v>
      </c>
      <c r="C1676">
        <v>373396</v>
      </c>
      <c r="D1676" t="s">
        <v>10</v>
      </c>
      <c r="E1676" t="s">
        <v>11</v>
      </c>
      <c r="F1676" t="s">
        <v>12</v>
      </c>
      <c r="G1676" t="s">
        <v>13</v>
      </c>
      <c r="H1676" t="s">
        <v>13</v>
      </c>
      <c r="I1676">
        <v>29</v>
      </c>
      <c r="J1676">
        <f>ABS((I1676-EDA!$A$15)/EDA!$B$15)</f>
        <v>0.91603897814407031</v>
      </c>
      <c r="K1676" t="str">
        <f t="shared" si="26"/>
        <v>No</v>
      </c>
      <c r="L1676">
        <f>ABS((C1676-EDA!$F$15)/EDA!$G$15)</f>
        <v>0.36944039918302735</v>
      </c>
      <c r="M1676" t="str">
        <f>IF(moras[[#This Row],[Z-Score Salario]]&gt;1.96, "Sí", "No")</f>
        <v>No</v>
      </c>
      <c r="N1676" s="14">
        <f>IF(ISBLANK(moras[[#This Row],[SALARIO]]), EDA!$M$8, moras[[#This Row],[SALARIO]])</f>
        <v>373396</v>
      </c>
      <c r="O1676" s="14">
        <f xml:space="preserve"> IF(ISBLANK(moras[[#This Row],[EDAD]]), EDA!$E$8, moras[[#This Row],[EDAD]])</f>
        <v>29</v>
      </c>
      <c r="P1676" s="14" t="str">
        <f>IF(
    OR(ISBLANK(moras[[#This Row],[TIPO_ASEGURAMIENTO]]), moras[[#This Row],[TIPO_ASEGURAMIENTO]]=""),
    EDA!$A$32,
    moras[[#This Row],[TIPO_ASEGURAMIENTO]]
)</f>
        <v>ASALARIADO</v>
      </c>
    </row>
    <row r="1677" spans="1:16" x14ac:dyDescent="0.3">
      <c r="A1677">
        <v>1676</v>
      </c>
      <c r="B1677" t="s">
        <v>9</v>
      </c>
      <c r="C1677">
        <v>297110</v>
      </c>
      <c r="D1677" t="s">
        <v>18</v>
      </c>
      <c r="E1677" t="s">
        <v>16</v>
      </c>
      <c r="F1677" t="s">
        <v>12</v>
      </c>
      <c r="G1677" t="s">
        <v>13</v>
      </c>
      <c r="H1677" t="s">
        <v>12</v>
      </c>
      <c r="I1677">
        <v>35</v>
      </c>
      <c r="J1677">
        <f>ABS((I1677-EDA!$A$15)/EDA!$B$15)</f>
        <v>0.49258699768124525</v>
      </c>
      <c r="K1677" t="str">
        <f t="shared" si="26"/>
        <v>No</v>
      </c>
      <c r="L1677">
        <f>ABS((C1677-EDA!$F$15)/EDA!$G$15)</f>
        <v>0.37070985207424523</v>
      </c>
      <c r="M1677" t="str">
        <f>IF(moras[[#This Row],[Z-Score Salario]]&gt;1.96, "Sí", "No")</f>
        <v>No</v>
      </c>
      <c r="N1677" s="14">
        <f>IF(ISBLANK(moras[[#This Row],[SALARIO]]), EDA!$M$8, moras[[#This Row],[SALARIO]])</f>
        <v>297110</v>
      </c>
      <c r="O1677" s="14">
        <f xml:space="preserve"> IF(ISBLANK(moras[[#This Row],[EDAD]]), EDA!$E$8, moras[[#This Row],[EDAD]])</f>
        <v>35</v>
      </c>
      <c r="P1677" s="14" t="str">
        <f>IF(
    OR(ISBLANK(moras[[#This Row],[TIPO_ASEGURAMIENTO]]), moras[[#This Row],[TIPO_ASEGURAMIENTO]]=""),
    EDA!$A$32,
    moras[[#This Row],[TIPO_ASEGURAMIENTO]]
)</f>
        <v>TRABAJADOR INDEPENDIENTE</v>
      </c>
    </row>
    <row r="1678" spans="1:16" x14ac:dyDescent="0.3">
      <c r="A1678">
        <v>1677</v>
      </c>
      <c r="B1678" t="s">
        <v>9</v>
      </c>
      <c r="C1678">
        <v>296000</v>
      </c>
      <c r="D1678" t="s">
        <v>10</v>
      </c>
      <c r="E1678" t="s">
        <v>16</v>
      </c>
      <c r="F1678" t="s">
        <v>12</v>
      </c>
      <c r="G1678" t="s">
        <v>13</v>
      </c>
      <c r="H1678" t="s">
        <v>13</v>
      </c>
      <c r="I1678">
        <v>28</v>
      </c>
      <c r="J1678">
        <f>ABS((I1678-EDA!$A$15)/EDA!$B$15)</f>
        <v>0.98661430822120777</v>
      </c>
      <c r="K1678" t="str">
        <f t="shared" si="26"/>
        <v>No</v>
      </c>
      <c r="L1678">
        <f>ABS((C1678-EDA!$F$15)/EDA!$G$15)</f>
        <v>0.37072832325780775</v>
      </c>
      <c r="M1678" t="str">
        <f>IF(moras[[#This Row],[Z-Score Salario]]&gt;1.96, "Sí", "No")</f>
        <v>No</v>
      </c>
      <c r="N1678" s="14">
        <f>IF(ISBLANK(moras[[#This Row],[SALARIO]]), EDA!$M$8, moras[[#This Row],[SALARIO]])</f>
        <v>296000</v>
      </c>
      <c r="O1678" s="14">
        <f xml:space="preserve"> IF(ISBLANK(moras[[#This Row],[EDAD]]), EDA!$E$8, moras[[#This Row],[EDAD]])</f>
        <v>28</v>
      </c>
      <c r="P1678" s="14" t="str">
        <f>IF(
    OR(ISBLANK(moras[[#This Row],[TIPO_ASEGURAMIENTO]]), moras[[#This Row],[TIPO_ASEGURAMIENTO]]=""),
    EDA!$A$32,
    moras[[#This Row],[TIPO_ASEGURAMIENTO]]
)</f>
        <v>ASALARIADO</v>
      </c>
    </row>
    <row r="1679" spans="1:16" x14ac:dyDescent="0.3">
      <c r="A1679">
        <v>1678</v>
      </c>
      <c r="B1679" t="s">
        <v>9</v>
      </c>
      <c r="C1679">
        <v>424103</v>
      </c>
      <c r="D1679" t="s">
        <v>18</v>
      </c>
      <c r="E1679" t="s">
        <v>16</v>
      </c>
      <c r="F1679" t="s">
        <v>12</v>
      </c>
      <c r="G1679" t="s">
        <v>13</v>
      </c>
      <c r="H1679" t="s">
        <v>12</v>
      </c>
      <c r="I1679">
        <v>35</v>
      </c>
      <c r="J1679">
        <f>ABS((I1679-EDA!$A$15)/EDA!$B$15)</f>
        <v>0.49258699768124525</v>
      </c>
      <c r="K1679" t="str">
        <f t="shared" si="26"/>
        <v>No</v>
      </c>
      <c r="L1679">
        <f>ABS((C1679-EDA!$F$15)/EDA!$G$15)</f>
        <v>0.36859659890833757</v>
      </c>
      <c r="M1679" t="str">
        <f>IF(moras[[#This Row],[Z-Score Salario]]&gt;1.96, "Sí", "No")</f>
        <v>No</v>
      </c>
      <c r="N1679" s="14">
        <f>IF(ISBLANK(moras[[#This Row],[SALARIO]]), EDA!$M$8, moras[[#This Row],[SALARIO]])</f>
        <v>424103</v>
      </c>
      <c r="O1679" s="14">
        <f xml:space="preserve"> IF(ISBLANK(moras[[#This Row],[EDAD]]), EDA!$E$8, moras[[#This Row],[EDAD]])</f>
        <v>35</v>
      </c>
      <c r="P1679" s="14" t="str">
        <f>IF(
    OR(ISBLANK(moras[[#This Row],[TIPO_ASEGURAMIENTO]]), moras[[#This Row],[TIPO_ASEGURAMIENTO]]=""),
    EDA!$A$32,
    moras[[#This Row],[TIPO_ASEGURAMIENTO]]
)</f>
        <v>TRABAJADOR INDEPENDIENTE</v>
      </c>
    </row>
    <row r="1680" spans="1:16" x14ac:dyDescent="0.3">
      <c r="A1680">
        <v>1679</v>
      </c>
      <c r="B1680" t="s">
        <v>9</v>
      </c>
      <c r="C1680">
        <v>11000</v>
      </c>
      <c r="D1680" t="s">
        <v>10</v>
      </c>
      <c r="E1680" t="s">
        <v>16</v>
      </c>
      <c r="F1680" t="s">
        <v>12</v>
      </c>
      <c r="G1680" t="s">
        <v>13</v>
      </c>
      <c r="H1680" t="s">
        <v>12</v>
      </c>
      <c r="I1680">
        <v>32</v>
      </c>
      <c r="J1680">
        <f>ABS((I1680-EDA!$A$15)/EDA!$B$15)</f>
        <v>0.70431298791265773</v>
      </c>
      <c r="K1680" t="str">
        <f t="shared" si="26"/>
        <v>No</v>
      </c>
      <c r="L1680">
        <f>ABS((C1680-EDA!$F$15)/EDA!$G$15)</f>
        <v>0.37547092444278396</v>
      </c>
      <c r="M1680" t="str">
        <f>IF(moras[[#This Row],[Z-Score Salario]]&gt;1.96, "Sí", "No")</f>
        <v>No</v>
      </c>
      <c r="N1680" s="14">
        <f>IF(ISBLANK(moras[[#This Row],[SALARIO]]), EDA!$M$8, moras[[#This Row],[SALARIO]])</f>
        <v>11000</v>
      </c>
      <c r="O1680" s="14">
        <f xml:space="preserve"> IF(ISBLANK(moras[[#This Row],[EDAD]]), EDA!$E$8, moras[[#This Row],[EDAD]])</f>
        <v>32</v>
      </c>
      <c r="P1680" s="14" t="str">
        <f>IF(
    OR(ISBLANK(moras[[#This Row],[TIPO_ASEGURAMIENTO]]), moras[[#This Row],[TIPO_ASEGURAMIENTO]]=""),
    EDA!$A$32,
    moras[[#This Row],[TIPO_ASEGURAMIENTO]]
)</f>
        <v>ASALARIADO</v>
      </c>
    </row>
    <row r="1681" spans="1:16" x14ac:dyDescent="0.3">
      <c r="A1681">
        <v>1680</v>
      </c>
      <c r="B1681" t="s">
        <v>9</v>
      </c>
      <c r="C1681">
        <v>365500</v>
      </c>
      <c r="D1681" t="s">
        <v>10</v>
      </c>
      <c r="E1681" t="s">
        <v>16</v>
      </c>
      <c r="F1681" t="s">
        <v>12</v>
      </c>
      <c r="G1681" t="s">
        <v>13</v>
      </c>
      <c r="H1681" t="s">
        <v>13</v>
      </c>
      <c r="I1681">
        <v>32</v>
      </c>
      <c r="J1681">
        <f>ABS((I1681-EDA!$A$15)/EDA!$B$15)</f>
        <v>0.70431298791265773</v>
      </c>
      <c r="K1681" t="str">
        <f t="shared" si="26"/>
        <v>No</v>
      </c>
      <c r="L1681">
        <f>ABS((C1681-EDA!$F$15)/EDA!$G$15)</f>
        <v>0.36957179419691005</v>
      </c>
      <c r="M1681" t="str">
        <f>IF(moras[[#This Row],[Z-Score Salario]]&gt;1.96, "Sí", "No")</f>
        <v>No</v>
      </c>
      <c r="N1681" s="14">
        <f>IF(ISBLANK(moras[[#This Row],[SALARIO]]), EDA!$M$8, moras[[#This Row],[SALARIO]])</f>
        <v>365500</v>
      </c>
      <c r="O1681" s="14">
        <f xml:space="preserve"> IF(ISBLANK(moras[[#This Row],[EDAD]]), EDA!$E$8, moras[[#This Row],[EDAD]])</f>
        <v>32</v>
      </c>
      <c r="P1681" s="14" t="str">
        <f>IF(
    OR(ISBLANK(moras[[#This Row],[TIPO_ASEGURAMIENTO]]), moras[[#This Row],[TIPO_ASEGURAMIENTO]]=""),
    EDA!$A$32,
    moras[[#This Row],[TIPO_ASEGURAMIENTO]]
)</f>
        <v>ASALARIADO</v>
      </c>
    </row>
    <row r="1682" spans="1:16" x14ac:dyDescent="0.3">
      <c r="A1682">
        <v>1681</v>
      </c>
      <c r="B1682" t="s">
        <v>9</v>
      </c>
      <c r="C1682">
        <v>25600</v>
      </c>
      <c r="D1682" t="s">
        <v>10</v>
      </c>
      <c r="E1682" t="s">
        <v>16</v>
      </c>
      <c r="F1682" t="s">
        <v>12</v>
      </c>
      <c r="G1682" t="s">
        <v>12</v>
      </c>
      <c r="H1682" t="s">
        <v>12</v>
      </c>
      <c r="I1682">
        <v>45</v>
      </c>
      <c r="J1682">
        <f>ABS((I1682-EDA!$A$15)/EDA!$B$15)</f>
        <v>0.21316630309012977</v>
      </c>
      <c r="K1682" t="str">
        <f t="shared" si="26"/>
        <v>No</v>
      </c>
      <c r="L1682">
        <f>ABS((C1682-EDA!$F$15)/EDA!$G$15)</f>
        <v>0.37522797013646586</v>
      </c>
      <c r="M1682" t="str">
        <f>IF(moras[[#This Row],[Z-Score Salario]]&gt;1.96, "Sí", "No")</f>
        <v>No</v>
      </c>
      <c r="N1682" s="14">
        <f>IF(ISBLANK(moras[[#This Row],[SALARIO]]), EDA!$M$8, moras[[#This Row],[SALARIO]])</f>
        <v>25600</v>
      </c>
      <c r="O1682" s="14">
        <f xml:space="preserve"> IF(ISBLANK(moras[[#This Row],[EDAD]]), EDA!$E$8, moras[[#This Row],[EDAD]])</f>
        <v>45</v>
      </c>
      <c r="P1682" s="14" t="str">
        <f>IF(
    OR(ISBLANK(moras[[#This Row],[TIPO_ASEGURAMIENTO]]), moras[[#This Row],[TIPO_ASEGURAMIENTO]]=""),
    EDA!$A$32,
    moras[[#This Row],[TIPO_ASEGURAMIENTO]]
)</f>
        <v>ASALARIADO</v>
      </c>
    </row>
    <row r="1683" spans="1:16" x14ac:dyDescent="0.3">
      <c r="A1683">
        <v>1682</v>
      </c>
      <c r="B1683" t="s">
        <v>9</v>
      </c>
      <c r="C1683">
        <v>27696448</v>
      </c>
      <c r="D1683" t="s">
        <v>10</v>
      </c>
      <c r="E1683" t="s">
        <v>16</v>
      </c>
      <c r="F1683" t="s">
        <v>12</v>
      </c>
      <c r="G1683" t="s">
        <v>13</v>
      </c>
      <c r="H1683" t="s">
        <v>13</v>
      </c>
      <c r="I1683">
        <v>25</v>
      </c>
      <c r="J1683">
        <f>ABS((I1683-EDA!$A$15)/EDA!$B$15)</f>
        <v>1.1983402984526204</v>
      </c>
      <c r="K1683" t="str">
        <f t="shared" si="26"/>
        <v>No</v>
      </c>
      <c r="L1683">
        <f>ABS((C1683-EDA!$F$15)/EDA!$G$15)</f>
        <v>8.5234473772643579E-2</v>
      </c>
      <c r="M1683" t="str">
        <f>IF(moras[[#This Row],[Z-Score Salario]]&gt;1.96, "Sí", "No")</f>
        <v>No</v>
      </c>
      <c r="N1683" s="14">
        <f>IF(ISBLANK(moras[[#This Row],[SALARIO]]), EDA!$M$8, moras[[#This Row],[SALARIO]])</f>
        <v>27696448</v>
      </c>
      <c r="O1683" s="14">
        <f xml:space="preserve"> IF(ISBLANK(moras[[#This Row],[EDAD]]), EDA!$E$8, moras[[#This Row],[EDAD]])</f>
        <v>25</v>
      </c>
      <c r="P1683" s="14" t="str">
        <f>IF(
    OR(ISBLANK(moras[[#This Row],[TIPO_ASEGURAMIENTO]]), moras[[#This Row],[TIPO_ASEGURAMIENTO]]=""),
    EDA!$A$32,
    moras[[#This Row],[TIPO_ASEGURAMIENTO]]
)</f>
        <v>ASALARIADO</v>
      </c>
    </row>
    <row r="1684" spans="1:16" x14ac:dyDescent="0.3">
      <c r="A1684">
        <v>1683</v>
      </c>
      <c r="B1684" t="s">
        <v>9</v>
      </c>
      <c r="C1684">
        <v>10384615</v>
      </c>
      <c r="D1684" t="s">
        <v>10</v>
      </c>
      <c r="E1684" t="s">
        <v>16</v>
      </c>
      <c r="F1684" t="s">
        <v>12</v>
      </c>
      <c r="G1684" t="s">
        <v>13</v>
      </c>
      <c r="H1684" t="s">
        <v>13</v>
      </c>
      <c r="I1684">
        <v>58</v>
      </c>
      <c r="J1684">
        <f>ABS((I1684-EDA!$A$15)/EDA!$B$15)</f>
        <v>1.1306455940929174</v>
      </c>
      <c r="K1684" t="str">
        <f t="shared" si="26"/>
        <v>No</v>
      </c>
      <c r="L1684">
        <f>ABS((C1684-EDA!$F$15)/EDA!$G$15)</f>
        <v>0.20284664798142663</v>
      </c>
      <c r="M1684" t="str">
        <f>IF(moras[[#This Row],[Z-Score Salario]]&gt;1.96, "Sí", "No")</f>
        <v>No</v>
      </c>
      <c r="N1684" s="14">
        <f>IF(ISBLANK(moras[[#This Row],[SALARIO]]), EDA!$M$8, moras[[#This Row],[SALARIO]])</f>
        <v>10384615</v>
      </c>
      <c r="O1684" s="14">
        <f xml:space="preserve"> IF(ISBLANK(moras[[#This Row],[EDAD]]), EDA!$E$8, moras[[#This Row],[EDAD]])</f>
        <v>58</v>
      </c>
      <c r="P1684" s="14" t="str">
        <f>IF(
    OR(ISBLANK(moras[[#This Row],[TIPO_ASEGURAMIENTO]]), moras[[#This Row],[TIPO_ASEGURAMIENTO]]=""),
    EDA!$A$32,
    moras[[#This Row],[TIPO_ASEGURAMIENTO]]
)</f>
        <v>ASALARIADO</v>
      </c>
    </row>
    <row r="1685" spans="1:16" x14ac:dyDescent="0.3">
      <c r="A1685">
        <v>1684</v>
      </c>
      <c r="B1685" t="s">
        <v>9</v>
      </c>
      <c r="C1685">
        <v>24969135</v>
      </c>
      <c r="D1685" t="s">
        <v>10</v>
      </c>
      <c r="E1685" t="s">
        <v>16</v>
      </c>
      <c r="F1685" t="s">
        <v>12</v>
      </c>
      <c r="G1685" t="s">
        <v>13</v>
      </c>
      <c r="H1685" t="s">
        <v>13</v>
      </c>
      <c r="I1685">
        <v>24</v>
      </c>
      <c r="J1685">
        <f>ABS((I1685-EDA!$A$15)/EDA!$B$15)</f>
        <v>1.2689156285297578</v>
      </c>
      <c r="K1685" t="str">
        <f t="shared" si="26"/>
        <v>No</v>
      </c>
      <c r="L1685">
        <f>ABS((C1685-EDA!$F$15)/EDA!$G$15)</f>
        <v>3.9850060209131358E-2</v>
      </c>
      <c r="M1685" t="str">
        <f>IF(moras[[#This Row],[Z-Score Salario]]&gt;1.96, "Sí", "No")</f>
        <v>No</v>
      </c>
      <c r="N1685" s="14">
        <f>IF(ISBLANK(moras[[#This Row],[SALARIO]]), EDA!$M$8, moras[[#This Row],[SALARIO]])</f>
        <v>24969135</v>
      </c>
      <c r="O1685" s="14">
        <f xml:space="preserve"> IF(ISBLANK(moras[[#This Row],[EDAD]]), EDA!$E$8, moras[[#This Row],[EDAD]])</f>
        <v>24</v>
      </c>
      <c r="P1685" s="14" t="str">
        <f>IF(
    OR(ISBLANK(moras[[#This Row],[TIPO_ASEGURAMIENTO]]), moras[[#This Row],[TIPO_ASEGURAMIENTO]]=""),
    EDA!$A$32,
    moras[[#This Row],[TIPO_ASEGURAMIENTO]]
)</f>
        <v>ASALARIADO</v>
      </c>
    </row>
    <row r="1686" spans="1:16" x14ac:dyDescent="0.3">
      <c r="A1686">
        <v>1685</v>
      </c>
      <c r="B1686" t="s">
        <v>9</v>
      </c>
      <c r="C1686">
        <v>30648066</v>
      </c>
      <c r="D1686" t="s">
        <v>10</v>
      </c>
      <c r="E1686" t="s">
        <v>11</v>
      </c>
      <c r="F1686" t="s">
        <v>12</v>
      </c>
      <c r="G1686" t="s">
        <v>13</v>
      </c>
      <c r="H1686" t="s">
        <v>13</v>
      </c>
      <c r="I1686">
        <v>25</v>
      </c>
      <c r="J1686">
        <f>ABS((I1686-EDA!$A$15)/EDA!$B$15)</f>
        <v>1.1983402984526204</v>
      </c>
      <c r="K1686" t="str">
        <f t="shared" si="26"/>
        <v>No</v>
      </c>
      <c r="L1686">
        <f>ABS((C1686-EDA!$F$15)/EDA!$G$15)</f>
        <v>0.13435148087579118</v>
      </c>
      <c r="M1686" t="str">
        <f>IF(moras[[#This Row],[Z-Score Salario]]&gt;1.96, "Sí", "No")</f>
        <v>No</v>
      </c>
      <c r="N1686" s="14">
        <f>IF(ISBLANK(moras[[#This Row],[SALARIO]]), EDA!$M$8, moras[[#This Row],[SALARIO]])</f>
        <v>30648066</v>
      </c>
      <c r="O1686" s="14">
        <f xml:space="preserve"> IF(ISBLANK(moras[[#This Row],[EDAD]]), EDA!$E$8, moras[[#This Row],[EDAD]])</f>
        <v>25</v>
      </c>
      <c r="P1686" s="14" t="str">
        <f>IF(
    OR(ISBLANK(moras[[#This Row],[TIPO_ASEGURAMIENTO]]), moras[[#This Row],[TIPO_ASEGURAMIENTO]]=""),
    EDA!$A$32,
    moras[[#This Row],[TIPO_ASEGURAMIENTO]]
)</f>
        <v>ASALARIADO</v>
      </c>
    </row>
    <row r="1687" spans="1:16" x14ac:dyDescent="0.3">
      <c r="A1687">
        <v>1686</v>
      </c>
      <c r="B1687" t="s">
        <v>9</v>
      </c>
      <c r="C1687">
        <v>280000</v>
      </c>
      <c r="D1687" t="s">
        <v>10</v>
      </c>
      <c r="E1687" t="s">
        <v>16</v>
      </c>
      <c r="F1687" t="s">
        <v>12</v>
      </c>
      <c r="G1687" t="s">
        <v>13</v>
      </c>
      <c r="H1687" t="s">
        <v>13</v>
      </c>
      <c r="I1687">
        <v>85</v>
      </c>
      <c r="J1687">
        <f>ABS((I1687-EDA!$A$15)/EDA!$B$15)</f>
        <v>3.03617950617563</v>
      </c>
      <c r="K1687" t="str">
        <f t="shared" si="26"/>
        <v>Sí</v>
      </c>
      <c r="L1687">
        <f>ABS((C1687-EDA!$F$15)/EDA!$G$15)</f>
        <v>0.37099457455240292</v>
      </c>
      <c r="M1687" t="str">
        <f>IF(moras[[#This Row],[Z-Score Salario]]&gt;1.96, "Sí", "No")</f>
        <v>No</v>
      </c>
      <c r="N1687" s="14">
        <f>IF(ISBLANK(moras[[#This Row],[SALARIO]]), EDA!$M$8, moras[[#This Row],[SALARIO]])</f>
        <v>280000</v>
      </c>
      <c r="O1687" s="14">
        <f xml:space="preserve"> IF(ISBLANK(moras[[#This Row],[EDAD]]), EDA!$E$8, moras[[#This Row],[EDAD]])</f>
        <v>85</v>
      </c>
      <c r="P1687" s="14" t="str">
        <f>IF(
    OR(ISBLANK(moras[[#This Row],[TIPO_ASEGURAMIENTO]]), moras[[#This Row],[TIPO_ASEGURAMIENTO]]=""),
    EDA!$A$32,
    moras[[#This Row],[TIPO_ASEGURAMIENTO]]
)</f>
        <v>ASALARIADO</v>
      </c>
    </row>
    <row r="1688" spans="1:16" x14ac:dyDescent="0.3">
      <c r="A1688">
        <v>1687</v>
      </c>
      <c r="B1688" t="s">
        <v>9</v>
      </c>
      <c r="C1688">
        <v>165000</v>
      </c>
      <c r="D1688" t="s">
        <v>10</v>
      </c>
      <c r="E1688" t="s">
        <v>16</v>
      </c>
      <c r="F1688" t="s">
        <v>12</v>
      </c>
      <c r="G1688" t="s">
        <v>13</v>
      </c>
      <c r="H1688" t="s">
        <v>13</v>
      </c>
      <c r="I1688">
        <v>38</v>
      </c>
      <c r="J1688">
        <f>ABS((I1688-EDA!$A$15)/EDA!$B$15)</f>
        <v>0.28086100744983278</v>
      </c>
      <c r="K1688" t="str">
        <f t="shared" si="26"/>
        <v>No</v>
      </c>
      <c r="L1688">
        <f>ABS((C1688-EDA!$F$15)/EDA!$G$15)</f>
        <v>0.37290825573230557</v>
      </c>
      <c r="M1688" t="str">
        <f>IF(moras[[#This Row],[Z-Score Salario]]&gt;1.96, "Sí", "No")</f>
        <v>No</v>
      </c>
      <c r="N1688" s="14">
        <f>IF(ISBLANK(moras[[#This Row],[SALARIO]]), EDA!$M$8, moras[[#This Row],[SALARIO]])</f>
        <v>165000</v>
      </c>
      <c r="O1688" s="14">
        <f xml:space="preserve"> IF(ISBLANK(moras[[#This Row],[EDAD]]), EDA!$E$8, moras[[#This Row],[EDAD]])</f>
        <v>38</v>
      </c>
      <c r="P1688" s="14" t="str">
        <f>IF(
    OR(ISBLANK(moras[[#This Row],[TIPO_ASEGURAMIENTO]]), moras[[#This Row],[TIPO_ASEGURAMIENTO]]=""),
    EDA!$A$32,
    moras[[#This Row],[TIPO_ASEGURAMIENTO]]
)</f>
        <v>ASALARIADO</v>
      </c>
    </row>
    <row r="1689" spans="1:16" x14ac:dyDescent="0.3">
      <c r="A1689">
        <v>1688</v>
      </c>
      <c r="B1689" t="s">
        <v>15</v>
      </c>
      <c r="C1689">
        <v>29626563</v>
      </c>
      <c r="D1689" t="s">
        <v>10</v>
      </c>
      <c r="E1689" t="s">
        <v>16</v>
      </c>
      <c r="F1689" t="s">
        <v>12</v>
      </c>
      <c r="G1689" t="s">
        <v>13</v>
      </c>
      <c r="H1689" t="s">
        <v>12</v>
      </c>
      <c r="I1689">
        <v>38</v>
      </c>
      <c r="J1689">
        <f>ABS((I1689-EDA!$A$15)/EDA!$B$15)</f>
        <v>0.28086100744983278</v>
      </c>
      <c r="K1689" t="str">
        <f t="shared" si="26"/>
        <v>No</v>
      </c>
      <c r="L1689">
        <f>ABS((C1689-EDA!$F$15)/EDA!$G$15)</f>
        <v>0.11735294986436404</v>
      </c>
      <c r="M1689" t="str">
        <f>IF(moras[[#This Row],[Z-Score Salario]]&gt;1.96, "Sí", "No")</f>
        <v>No</v>
      </c>
      <c r="N1689" s="14">
        <f>IF(ISBLANK(moras[[#This Row],[SALARIO]]), EDA!$M$8, moras[[#This Row],[SALARIO]])</f>
        <v>29626563</v>
      </c>
      <c r="O1689" s="14">
        <f xml:space="preserve"> IF(ISBLANK(moras[[#This Row],[EDAD]]), EDA!$E$8, moras[[#This Row],[EDAD]])</f>
        <v>38</v>
      </c>
      <c r="P1689" s="14" t="str">
        <f>IF(
    OR(ISBLANK(moras[[#This Row],[TIPO_ASEGURAMIENTO]]), moras[[#This Row],[TIPO_ASEGURAMIENTO]]=""),
    EDA!$A$32,
    moras[[#This Row],[TIPO_ASEGURAMIENTO]]
)</f>
        <v>ASALARIADO</v>
      </c>
    </row>
    <row r="1690" spans="1:16" x14ac:dyDescent="0.3">
      <c r="A1690">
        <v>1689</v>
      </c>
      <c r="B1690" t="s">
        <v>15</v>
      </c>
      <c r="C1690">
        <v>1766548</v>
      </c>
      <c r="D1690" t="s">
        <v>10</v>
      </c>
      <c r="E1690" t="s">
        <v>16</v>
      </c>
      <c r="F1690" t="s">
        <v>12</v>
      </c>
      <c r="G1690" t="s">
        <v>13</v>
      </c>
      <c r="H1690" t="s">
        <v>13</v>
      </c>
      <c r="I1690">
        <v>32</v>
      </c>
      <c r="J1690">
        <f>ABS((I1690-EDA!$A$15)/EDA!$B$15)</f>
        <v>0.70431298791265773</v>
      </c>
      <c r="K1690" t="str">
        <f t="shared" si="26"/>
        <v>No</v>
      </c>
      <c r="L1690">
        <f>ABS((C1690-EDA!$F$15)/EDA!$G$15)</f>
        <v>0.34625736646003802</v>
      </c>
      <c r="M1690" t="str">
        <f>IF(moras[[#This Row],[Z-Score Salario]]&gt;1.96, "Sí", "No")</f>
        <v>No</v>
      </c>
      <c r="N1690" s="14">
        <f>IF(ISBLANK(moras[[#This Row],[SALARIO]]), EDA!$M$8, moras[[#This Row],[SALARIO]])</f>
        <v>1766548</v>
      </c>
      <c r="O1690" s="14">
        <f xml:space="preserve"> IF(ISBLANK(moras[[#This Row],[EDAD]]), EDA!$E$8, moras[[#This Row],[EDAD]])</f>
        <v>32</v>
      </c>
      <c r="P1690" s="14" t="str">
        <f>IF(
    OR(ISBLANK(moras[[#This Row],[TIPO_ASEGURAMIENTO]]), moras[[#This Row],[TIPO_ASEGURAMIENTO]]=""),
    EDA!$A$32,
    moras[[#This Row],[TIPO_ASEGURAMIENTO]]
)</f>
        <v>ASALARIADO</v>
      </c>
    </row>
    <row r="1691" spans="1:16" x14ac:dyDescent="0.3">
      <c r="A1691">
        <v>1690</v>
      </c>
      <c r="B1691" t="s">
        <v>9</v>
      </c>
      <c r="C1691">
        <v>297046</v>
      </c>
      <c r="D1691" t="s">
        <v>17</v>
      </c>
      <c r="E1691" t="s">
        <v>16</v>
      </c>
      <c r="F1691" t="s">
        <v>12</v>
      </c>
      <c r="G1691" t="s">
        <v>13</v>
      </c>
      <c r="H1691" t="s">
        <v>13</v>
      </c>
      <c r="I1691">
        <v>21</v>
      </c>
      <c r="J1691">
        <f>ABS((I1691-EDA!$A$15)/EDA!$B$15)</f>
        <v>1.4806416187611704</v>
      </c>
      <c r="K1691" t="str">
        <f t="shared" si="26"/>
        <v>No</v>
      </c>
      <c r="L1691">
        <f>ABS((C1691-EDA!$F$15)/EDA!$G$15)</f>
        <v>0.37071091707942361</v>
      </c>
      <c r="M1691" t="str">
        <f>IF(moras[[#This Row],[Z-Score Salario]]&gt;1.96, "Sí", "No")</f>
        <v>No</v>
      </c>
      <c r="N1691" s="14">
        <f>IF(ISBLANK(moras[[#This Row],[SALARIO]]), EDA!$M$8, moras[[#This Row],[SALARIO]])</f>
        <v>297046</v>
      </c>
      <c r="O1691" s="14">
        <f xml:space="preserve"> IF(ISBLANK(moras[[#This Row],[EDAD]]), EDA!$E$8, moras[[#This Row],[EDAD]])</f>
        <v>21</v>
      </c>
      <c r="P1691" s="14" t="str">
        <f>IF(
    OR(ISBLANK(moras[[#This Row],[TIPO_ASEGURAMIENTO]]), moras[[#This Row],[TIPO_ASEGURAMIENTO]]=""),
    EDA!$A$32,
    moras[[#This Row],[TIPO_ASEGURAMIENTO]]
)</f>
        <v>ASEGURADO VOLUNTARIO</v>
      </c>
    </row>
    <row r="1692" spans="1:16" x14ac:dyDescent="0.3">
      <c r="A1692">
        <v>1691</v>
      </c>
      <c r="B1692" t="s">
        <v>9</v>
      </c>
      <c r="C1692">
        <v>278030</v>
      </c>
      <c r="D1692" t="s">
        <v>19</v>
      </c>
      <c r="E1692" t="s">
        <v>16</v>
      </c>
      <c r="F1692" t="s">
        <v>12</v>
      </c>
      <c r="G1692" t="s">
        <v>13</v>
      </c>
      <c r="H1692" t="s">
        <v>13</v>
      </c>
      <c r="I1692">
        <v>36</v>
      </c>
      <c r="J1692">
        <f>ABS((I1692-EDA!$A$15)/EDA!$B$15)</f>
        <v>0.42201166760410774</v>
      </c>
      <c r="K1692" t="str">
        <f t="shared" si="26"/>
        <v>No</v>
      </c>
      <c r="L1692">
        <f>ABS((C1692-EDA!$F$15)/EDA!$G$15)</f>
        <v>0.37102735674304993</v>
      </c>
      <c r="M1692" t="str">
        <f>IF(moras[[#This Row],[Z-Score Salario]]&gt;1.96, "Sí", "No")</f>
        <v>No</v>
      </c>
      <c r="N1692" s="14">
        <f>IF(ISBLANK(moras[[#This Row],[SALARIO]]), EDA!$M$8, moras[[#This Row],[SALARIO]])</f>
        <v>278030</v>
      </c>
      <c r="O1692" s="14">
        <f xml:space="preserve"> IF(ISBLANK(moras[[#This Row],[EDAD]]), EDA!$E$8, moras[[#This Row],[EDAD]])</f>
        <v>36</v>
      </c>
      <c r="P1692" s="14" t="str">
        <f>IF(
    OR(ISBLANK(moras[[#This Row],[TIPO_ASEGURAMIENTO]]), moras[[#This Row],[TIPO_ASEGURAMIENTO]]=""),
    EDA!$A$32,
    moras[[#This Row],[TIPO_ASEGURAMIENTO]]
)</f>
        <v>CONVENIOS ESPECIALES DE TRABAJADORES INDEPENDIENTES</v>
      </c>
    </row>
    <row r="1693" spans="1:16" x14ac:dyDescent="0.3">
      <c r="A1693">
        <v>1692</v>
      </c>
      <c r="B1693" t="s">
        <v>9</v>
      </c>
      <c r="C1693">
        <v>838098</v>
      </c>
      <c r="D1693" t="s">
        <v>10</v>
      </c>
      <c r="E1693" t="s">
        <v>16</v>
      </c>
      <c r="F1693" t="s">
        <v>12</v>
      </c>
      <c r="G1693" t="s">
        <v>13</v>
      </c>
      <c r="H1693" t="s">
        <v>13</v>
      </c>
      <c r="I1693">
        <v>40</v>
      </c>
      <c r="J1693">
        <f>ABS((I1693-EDA!$A$15)/EDA!$B$15)</f>
        <v>0.13971034729555773</v>
      </c>
      <c r="K1693" t="str">
        <f t="shared" si="26"/>
        <v>No</v>
      </c>
      <c r="L1693">
        <f>ABS((C1693-EDA!$F$15)/EDA!$G$15)</f>
        <v>0.3617074298642175</v>
      </c>
      <c r="M1693" t="str">
        <f>IF(moras[[#This Row],[Z-Score Salario]]&gt;1.96, "Sí", "No")</f>
        <v>No</v>
      </c>
      <c r="N1693" s="14">
        <f>IF(ISBLANK(moras[[#This Row],[SALARIO]]), EDA!$M$8, moras[[#This Row],[SALARIO]])</f>
        <v>838098</v>
      </c>
      <c r="O1693" s="14">
        <f xml:space="preserve"> IF(ISBLANK(moras[[#This Row],[EDAD]]), EDA!$E$8, moras[[#This Row],[EDAD]])</f>
        <v>40</v>
      </c>
      <c r="P1693" s="14" t="str">
        <f>IF(
    OR(ISBLANK(moras[[#This Row],[TIPO_ASEGURAMIENTO]]), moras[[#This Row],[TIPO_ASEGURAMIENTO]]=""),
    EDA!$A$32,
    moras[[#This Row],[TIPO_ASEGURAMIENTO]]
)</f>
        <v>ASALARIADO</v>
      </c>
    </row>
    <row r="1694" spans="1:16" x14ac:dyDescent="0.3">
      <c r="A1694">
        <v>1693</v>
      </c>
      <c r="B1694" t="s">
        <v>9</v>
      </c>
      <c r="C1694">
        <v>594092</v>
      </c>
      <c r="D1694" t="s">
        <v>18</v>
      </c>
      <c r="E1694" t="s">
        <v>16</v>
      </c>
      <c r="F1694" t="s">
        <v>12</v>
      </c>
      <c r="G1694" t="s">
        <v>13</v>
      </c>
      <c r="H1694" t="s">
        <v>13</v>
      </c>
      <c r="I1694">
        <v>68</v>
      </c>
      <c r="J1694">
        <f>ABS((I1694-EDA!$A$15)/EDA!$B$15)</f>
        <v>1.8363988948642924</v>
      </c>
      <c r="K1694" t="str">
        <f t="shared" si="26"/>
        <v>No</v>
      </c>
      <c r="L1694">
        <f>ABS((C1694-EDA!$F$15)/EDA!$G$15)</f>
        <v>0.36576786195102906</v>
      </c>
      <c r="M1694" t="str">
        <f>IF(moras[[#This Row],[Z-Score Salario]]&gt;1.96, "Sí", "No")</f>
        <v>No</v>
      </c>
      <c r="N1694" s="14">
        <f>IF(ISBLANK(moras[[#This Row],[SALARIO]]), EDA!$M$8, moras[[#This Row],[SALARIO]])</f>
        <v>594092</v>
      </c>
      <c r="O1694" s="14">
        <f xml:space="preserve"> IF(ISBLANK(moras[[#This Row],[EDAD]]), EDA!$E$8, moras[[#This Row],[EDAD]])</f>
        <v>68</v>
      </c>
      <c r="P1694" s="14" t="str">
        <f>IF(
    OR(ISBLANK(moras[[#This Row],[TIPO_ASEGURAMIENTO]]), moras[[#This Row],[TIPO_ASEGURAMIENTO]]=""),
    EDA!$A$32,
    moras[[#This Row],[TIPO_ASEGURAMIENTO]]
)</f>
        <v>TRABAJADOR INDEPENDIENTE</v>
      </c>
    </row>
    <row r="1695" spans="1:16" x14ac:dyDescent="0.3">
      <c r="A1695">
        <v>1694</v>
      </c>
      <c r="B1695" t="s">
        <v>15</v>
      </c>
      <c r="C1695">
        <v>6158056</v>
      </c>
      <c r="D1695" t="s">
        <v>10</v>
      </c>
      <c r="E1695" t="s">
        <v>16</v>
      </c>
      <c r="F1695" t="s">
        <v>12</v>
      </c>
      <c r="G1695" t="s">
        <v>13</v>
      </c>
      <c r="H1695" t="s">
        <v>13</v>
      </c>
      <c r="I1695">
        <v>29</v>
      </c>
      <c r="J1695">
        <f>ABS((I1695-EDA!$A$15)/EDA!$B$15)</f>
        <v>0.91603897814407031</v>
      </c>
      <c r="K1695" t="str">
        <f t="shared" si="26"/>
        <v>No</v>
      </c>
      <c r="L1695">
        <f>ABS((C1695-EDA!$F$15)/EDA!$G$15)</f>
        <v>0.27317957332097681</v>
      </c>
      <c r="M1695" t="str">
        <f>IF(moras[[#This Row],[Z-Score Salario]]&gt;1.96, "Sí", "No")</f>
        <v>No</v>
      </c>
      <c r="N1695" s="14">
        <f>IF(ISBLANK(moras[[#This Row],[SALARIO]]), EDA!$M$8, moras[[#This Row],[SALARIO]])</f>
        <v>6158056</v>
      </c>
      <c r="O1695" s="14">
        <f xml:space="preserve"> IF(ISBLANK(moras[[#This Row],[EDAD]]), EDA!$E$8, moras[[#This Row],[EDAD]])</f>
        <v>29</v>
      </c>
      <c r="P1695" s="14" t="str">
        <f>IF(
    OR(ISBLANK(moras[[#This Row],[TIPO_ASEGURAMIENTO]]), moras[[#This Row],[TIPO_ASEGURAMIENTO]]=""),
    EDA!$A$32,
    moras[[#This Row],[TIPO_ASEGURAMIENTO]]
)</f>
        <v>ASALARIADO</v>
      </c>
    </row>
    <row r="1696" spans="1:16" x14ac:dyDescent="0.3">
      <c r="A1696">
        <v>1695</v>
      </c>
      <c r="B1696" t="s">
        <v>9</v>
      </c>
      <c r="C1696">
        <v>6253225</v>
      </c>
      <c r="D1696" t="s">
        <v>10</v>
      </c>
      <c r="E1696" t="s">
        <v>16</v>
      </c>
      <c r="F1696" t="s">
        <v>12</v>
      </c>
      <c r="G1696" t="s">
        <v>13</v>
      </c>
      <c r="H1696" t="s">
        <v>13</v>
      </c>
      <c r="I1696">
        <v>54</v>
      </c>
      <c r="J1696">
        <f>ABS((I1696-EDA!$A$15)/EDA!$B$15)</f>
        <v>0.84834427378436728</v>
      </c>
      <c r="K1696" t="str">
        <f t="shared" si="26"/>
        <v>No</v>
      </c>
      <c r="L1696">
        <f>ABS((C1696-EDA!$F$15)/EDA!$G$15)</f>
        <v>0.27159589398001893</v>
      </c>
      <c r="M1696" t="str">
        <f>IF(moras[[#This Row],[Z-Score Salario]]&gt;1.96, "Sí", "No")</f>
        <v>No</v>
      </c>
      <c r="N1696" s="14">
        <f>IF(ISBLANK(moras[[#This Row],[SALARIO]]), EDA!$M$8, moras[[#This Row],[SALARIO]])</f>
        <v>6253225</v>
      </c>
      <c r="O1696" s="14">
        <f xml:space="preserve"> IF(ISBLANK(moras[[#This Row],[EDAD]]), EDA!$E$8, moras[[#This Row],[EDAD]])</f>
        <v>54</v>
      </c>
      <c r="P1696" s="14" t="str">
        <f>IF(
    OR(ISBLANK(moras[[#This Row],[TIPO_ASEGURAMIENTO]]), moras[[#This Row],[TIPO_ASEGURAMIENTO]]=""),
    EDA!$A$32,
    moras[[#This Row],[TIPO_ASEGURAMIENTO]]
)</f>
        <v>ASALARIADO</v>
      </c>
    </row>
    <row r="1697" spans="1:16" x14ac:dyDescent="0.3">
      <c r="A1697">
        <v>1696</v>
      </c>
      <c r="B1697" t="s">
        <v>9</v>
      </c>
      <c r="C1697">
        <v>364086</v>
      </c>
      <c r="D1697" t="s">
        <v>18</v>
      </c>
      <c r="E1697" t="s">
        <v>16</v>
      </c>
      <c r="F1697" t="s">
        <v>12</v>
      </c>
      <c r="G1697" t="s">
        <v>12</v>
      </c>
      <c r="H1697" t="s">
        <v>12</v>
      </c>
      <c r="I1697">
        <v>31</v>
      </c>
      <c r="J1697">
        <f>ABS((I1697-EDA!$A$15)/EDA!$B$15)</f>
        <v>0.77488831798979529</v>
      </c>
      <c r="K1697" t="str">
        <f t="shared" si="26"/>
        <v>No</v>
      </c>
      <c r="L1697">
        <f>ABS((C1697-EDA!$F$15)/EDA!$G$15)</f>
        <v>0.3695953241550699</v>
      </c>
      <c r="M1697" t="str">
        <f>IF(moras[[#This Row],[Z-Score Salario]]&gt;1.96, "Sí", "No")</f>
        <v>No</v>
      </c>
      <c r="N1697" s="14">
        <f>IF(ISBLANK(moras[[#This Row],[SALARIO]]), EDA!$M$8, moras[[#This Row],[SALARIO]])</f>
        <v>364086</v>
      </c>
      <c r="O1697" s="14">
        <f xml:space="preserve"> IF(ISBLANK(moras[[#This Row],[EDAD]]), EDA!$E$8, moras[[#This Row],[EDAD]])</f>
        <v>31</v>
      </c>
      <c r="P1697" s="14" t="str">
        <f>IF(
    OR(ISBLANK(moras[[#This Row],[TIPO_ASEGURAMIENTO]]), moras[[#This Row],[TIPO_ASEGURAMIENTO]]=""),
    EDA!$A$32,
    moras[[#This Row],[TIPO_ASEGURAMIENTO]]
)</f>
        <v>TRABAJADOR INDEPENDIENTE</v>
      </c>
    </row>
    <row r="1698" spans="1:16" x14ac:dyDescent="0.3">
      <c r="A1698">
        <v>1697</v>
      </c>
      <c r="B1698" t="s">
        <v>9</v>
      </c>
      <c r="C1698">
        <v>976390</v>
      </c>
      <c r="D1698" t="s">
        <v>10</v>
      </c>
      <c r="E1698" t="s">
        <v>11</v>
      </c>
      <c r="F1698" t="s">
        <v>12</v>
      </c>
      <c r="G1698" t="s">
        <v>13</v>
      </c>
      <c r="H1698" t="s">
        <v>13</v>
      </c>
      <c r="I1698">
        <v>32</v>
      </c>
      <c r="J1698">
        <f>ABS((I1698-EDA!$A$15)/EDA!$B$15)</f>
        <v>0.70431298791265773</v>
      </c>
      <c r="K1698" t="str">
        <f t="shared" si="26"/>
        <v>No</v>
      </c>
      <c r="L1698">
        <f>ABS((C1698-EDA!$F$15)/EDA!$G$15)</f>
        <v>0.35940615336220788</v>
      </c>
      <c r="M1698" t="str">
        <f>IF(moras[[#This Row],[Z-Score Salario]]&gt;1.96, "Sí", "No")</f>
        <v>No</v>
      </c>
      <c r="N1698" s="14">
        <f>IF(ISBLANK(moras[[#This Row],[SALARIO]]), EDA!$M$8, moras[[#This Row],[SALARIO]])</f>
        <v>976390</v>
      </c>
      <c r="O1698" s="14">
        <f xml:space="preserve"> IF(ISBLANK(moras[[#This Row],[EDAD]]), EDA!$E$8, moras[[#This Row],[EDAD]])</f>
        <v>32</v>
      </c>
      <c r="P1698" s="14" t="str">
        <f>IF(
    OR(ISBLANK(moras[[#This Row],[TIPO_ASEGURAMIENTO]]), moras[[#This Row],[TIPO_ASEGURAMIENTO]]=""),
    EDA!$A$32,
    moras[[#This Row],[TIPO_ASEGURAMIENTO]]
)</f>
        <v>ASALARIADO</v>
      </c>
    </row>
    <row r="1699" spans="1:16" x14ac:dyDescent="0.3">
      <c r="A1699">
        <v>1698</v>
      </c>
      <c r="B1699" t="s">
        <v>9</v>
      </c>
      <c r="C1699">
        <v>297046</v>
      </c>
      <c r="D1699" t="s">
        <v>17</v>
      </c>
      <c r="E1699" t="s">
        <v>16</v>
      </c>
      <c r="F1699" t="s">
        <v>12</v>
      </c>
      <c r="G1699" t="s">
        <v>13</v>
      </c>
      <c r="H1699" t="s">
        <v>13</v>
      </c>
      <c r="I1699">
        <v>42</v>
      </c>
      <c r="J1699">
        <f>ABS((I1699-EDA!$A$15)/EDA!$B$15)</f>
        <v>1.4403128587172659E-3</v>
      </c>
      <c r="K1699" t="str">
        <f t="shared" si="26"/>
        <v>No</v>
      </c>
      <c r="L1699">
        <f>ABS((C1699-EDA!$F$15)/EDA!$G$15)</f>
        <v>0.37071091707942361</v>
      </c>
      <c r="M1699" t="str">
        <f>IF(moras[[#This Row],[Z-Score Salario]]&gt;1.96, "Sí", "No")</f>
        <v>No</v>
      </c>
      <c r="N1699" s="14">
        <f>IF(ISBLANK(moras[[#This Row],[SALARIO]]), EDA!$M$8, moras[[#This Row],[SALARIO]])</f>
        <v>297046</v>
      </c>
      <c r="O1699" s="14">
        <f xml:space="preserve"> IF(ISBLANK(moras[[#This Row],[EDAD]]), EDA!$E$8, moras[[#This Row],[EDAD]])</f>
        <v>42</v>
      </c>
      <c r="P1699" s="14" t="str">
        <f>IF(
    OR(ISBLANK(moras[[#This Row],[TIPO_ASEGURAMIENTO]]), moras[[#This Row],[TIPO_ASEGURAMIENTO]]=""),
    EDA!$A$32,
    moras[[#This Row],[TIPO_ASEGURAMIENTO]]
)</f>
        <v>ASEGURADO VOLUNTARIO</v>
      </c>
    </row>
    <row r="1700" spans="1:16" x14ac:dyDescent="0.3">
      <c r="A1700">
        <v>1699</v>
      </c>
      <c r="B1700" t="s">
        <v>15</v>
      </c>
      <c r="C1700">
        <v>310869861</v>
      </c>
      <c r="D1700" t="s">
        <v>10</v>
      </c>
      <c r="E1700" t="s">
        <v>16</v>
      </c>
      <c r="F1700" t="s">
        <v>12</v>
      </c>
      <c r="G1700" t="s">
        <v>13</v>
      </c>
      <c r="H1700" t="s">
        <v>13</v>
      </c>
      <c r="I1700">
        <v>37</v>
      </c>
      <c r="J1700">
        <f>ABS((I1700-EDA!$A$15)/EDA!$B$15)</f>
        <v>0.35143633752697023</v>
      </c>
      <c r="K1700" t="str">
        <f t="shared" si="26"/>
        <v>No</v>
      </c>
      <c r="L1700">
        <f>ABS((C1700-EDA!$F$15)/EDA!$G$15)</f>
        <v>4.7974399616587968</v>
      </c>
      <c r="M1700" t="str">
        <f>IF(moras[[#This Row],[Z-Score Salario]]&gt;1.96, "Sí", "No")</f>
        <v>Sí</v>
      </c>
      <c r="N1700" s="14">
        <f>IF(ISBLANK(moras[[#This Row],[SALARIO]]), EDA!$M$8, moras[[#This Row],[SALARIO]])</f>
        <v>310869861</v>
      </c>
      <c r="O1700" s="14">
        <f xml:space="preserve"> IF(ISBLANK(moras[[#This Row],[EDAD]]), EDA!$E$8, moras[[#This Row],[EDAD]])</f>
        <v>37</v>
      </c>
      <c r="P1700" s="14" t="str">
        <f>IF(
    OR(ISBLANK(moras[[#This Row],[TIPO_ASEGURAMIENTO]]), moras[[#This Row],[TIPO_ASEGURAMIENTO]]=""),
    EDA!$A$32,
    moras[[#This Row],[TIPO_ASEGURAMIENTO]]
)</f>
        <v>ASALARIADO</v>
      </c>
    </row>
    <row r="1701" spans="1:16" x14ac:dyDescent="0.3">
      <c r="A1701">
        <v>1700</v>
      </c>
      <c r="B1701" t="s">
        <v>9</v>
      </c>
      <c r="C1701">
        <v>30992725</v>
      </c>
      <c r="D1701" t="s">
        <v>10</v>
      </c>
      <c r="E1701" t="s">
        <v>16</v>
      </c>
      <c r="F1701" t="s">
        <v>12</v>
      </c>
      <c r="G1701" t="s">
        <v>13</v>
      </c>
      <c r="H1701" t="s">
        <v>13</v>
      </c>
      <c r="I1701">
        <v>18</v>
      </c>
      <c r="J1701">
        <f>ABS((I1701-EDA!$A$15)/EDA!$B$15)</f>
        <v>1.6923676089925828</v>
      </c>
      <c r="K1701" t="str">
        <f t="shared" si="26"/>
        <v>No</v>
      </c>
      <c r="L1701">
        <f>ABS((C1701-EDA!$F$15)/EDA!$G$15)</f>
        <v>0.14008684993478315</v>
      </c>
      <c r="M1701" t="str">
        <f>IF(moras[[#This Row],[Z-Score Salario]]&gt;1.96, "Sí", "No")</f>
        <v>No</v>
      </c>
      <c r="N1701" s="14">
        <f>IF(ISBLANK(moras[[#This Row],[SALARIO]]), EDA!$M$8, moras[[#This Row],[SALARIO]])</f>
        <v>30992725</v>
      </c>
      <c r="O1701" s="14">
        <f xml:space="preserve"> IF(ISBLANK(moras[[#This Row],[EDAD]]), EDA!$E$8, moras[[#This Row],[EDAD]])</f>
        <v>18</v>
      </c>
      <c r="P1701" s="14" t="str">
        <f>IF(
    OR(ISBLANK(moras[[#This Row],[TIPO_ASEGURAMIENTO]]), moras[[#This Row],[TIPO_ASEGURAMIENTO]]=""),
    EDA!$A$32,
    moras[[#This Row],[TIPO_ASEGURAMIENTO]]
)</f>
        <v>ASALARIADO</v>
      </c>
    </row>
    <row r="1702" spans="1:16" x14ac:dyDescent="0.3">
      <c r="A1702">
        <v>1701</v>
      </c>
      <c r="B1702" t="s">
        <v>15</v>
      </c>
      <c r="C1702">
        <v>370905</v>
      </c>
      <c r="D1702" t="s">
        <v>10</v>
      </c>
      <c r="E1702" t="s">
        <v>11</v>
      </c>
      <c r="F1702" t="s">
        <v>12</v>
      </c>
      <c r="G1702" t="s">
        <v>13</v>
      </c>
      <c r="H1702" t="s">
        <v>13</v>
      </c>
      <c r="I1702">
        <v>27</v>
      </c>
      <c r="J1702">
        <f>ABS((I1702-EDA!$A$15)/EDA!$B$15)</f>
        <v>1.0571896382983452</v>
      </c>
      <c r="K1702" t="str">
        <f t="shared" si="26"/>
        <v>No</v>
      </c>
      <c r="L1702">
        <f>ABS((C1702-EDA!$F$15)/EDA!$G$15)</f>
        <v>0.3694818511814546</v>
      </c>
      <c r="M1702" t="str">
        <f>IF(moras[[#This Row],[Z-Score Salario]]&gt;1.96, "Sí", "No")</f>
        <v>No</v>
      </c>
      <c r="N1702" s="14">
        <f>IF(ISBLANK(moras[[#This Row],[SALARIO]]), EDA!$M$8, moras[[#This Row],[SALARIO]])</f>
        <v>370905</v>
      </c>
      <c r="O1702" s="14">
        <f xml:space="preserve"> IF(ISBLANK(moras[[#This Row],[EDAD]]), EDA!$E$8, moras[[#This Row],[EDAD]])</f>
        <v>27</v>
      </c>
      <c r="P1702" s="14" t="str">
        <f>IF(
    OR(ISBLANK(moras[[#This Row],[TIPO_ASEGURAMIENTO]]), moras[[#This Row],[TIPO_ASEGURAMIENTO]]=""),
    EDA!$A$32,
    moras[[#This Row],[TIPO_ASEGURAMIENTO]]
)</f>
        <v>ASALARIADO</v>
      </c>
    </row>
    <row r="1703" spans="1:16" x14ac:dyDescent="0.3">
      <c r="A1703">
        <v>1702</v>
      </c>
      <c r="B1703" t="s">
        <v>9</v>
      </c>
      <c r="C1703">
        <v>352000</v>
      </c>
      <c r="D1703" t="s">
        <v>10</v>
      </c>
      <c r="E1703" t="s">
        <v>16</v>
      </c>
      <c r="F1703" t="s">
        <v>12</v>
      </c>
      <c r="G1703" t="s">
        <v>13</v>
      </c>
      <c r="H1703" t="s">
        <v>13</v>
      </c>
      <c r="I1703">
        <v>28</v>
      </c>
      <c r="J1703">
        <f>ABS((I1703-EDA!$A$15)/EDA!$B$15)</f>
        <v>0.98661430822120777</v>
      </c>
      <c r="K1703" t="str">
        <f t="shared" si="26"/>
        <v>No</v>
      </c>
      <c r="L1703">
        <f>ABS((C1703-EDA!$F$15)/EDA!$G$15)</f>
        <v>0.36979644372672471</v>
      </c>
      <c r="M1703" t="str">
        <f>IF(moras[[#This Row],[Z-Score Salario]]&gt;1.96, "Sí", "No")</f>
        <v>No</v>
      </c>
      <c r="N1703" s="14">
        <f>IF(ISBLANK(moras[[#This Row],[SALARIO]]), EDA!$M$8, moras[[#This Row],[SALARIO]])</f>
        <v>352000</v>
      </c>
      <c r="O1703" s="14">
        <f xml:space="preserve"> IF(ISBLANK(moras[[#This Row],[EDAD]]), EDA!$E$8, moras[[#This Row],[EDAD]])</f>
        <v>28</v>
      </c>
      <c r="P1703" s="14" t="str">
        <f>IF(
    OR(ISBLANK(moras[[#This Row],[TIPO_ASEGURAMIENTO]]), moras[[#This Row],[TIPO_ASEGURAMIENTO]]=""),
    EDA!$A$32,
    moras[[#This Row],[TIPO_ASEGURAMIENTO]]
)</f>
        <v>ASALARIADO</v>
      </c>
    </row>
    <row r="1704" spans="1:16" x14ac:dyDescent="0.3">
      <c r="A1704">
        <v>1703</v>
      </c>
      <c r="B1704" t="s">
        <v>9</v>
      </c>
      <c r="C1704">
        <v>39089995</v>
      </c>
      <c r="D1704" t="s">
        <v>10</v>
      </c>
      <c r="E1704" t="s">
        <v>16</v>
      </c>
      <c r="F1704" t="s">
        <v>12</v>
      </c>
      <c r="G1704" t="s">
        <v>13</v>
      </c>
      <c r="H1704" t="s">
        <v>13</v>
      </c>
      <c r="I1704">
        <v>61</v>
      </c>
      <c r="J1704">
        <f>ABS((I1704-EDA!$A$15)/EDA!$B$15)</f>
        <v>1.3423715843243298</v>
      </c>
      <c r="K1704" t="str">
        <f t="shared" si="26"/>
        <v>No</v>
      </c>
      <c r="L1704">
        <f>ABS((C1704-EDA!$F$15)/EDA!$G$15)</f>
        <v>0.27483113869643999</v>
      </c>
      <c r="M1704" t="str">
        <f>IF(moras[[#This Row],[Z-Score Salario]]&gt;1.96, "Sí", "No")</f>
        <v>No</v>
      </c>
      <c r="N1704" s="14">
        <f>IF(ISBLANK(moras[[#This Row],[SALARIO]]), EDA!$M$8, moras[[#This Row],[SALARIO]])</f>
        <v>39089995</v>
      </c>
      <c r="O1704" s="14">
        <f xml:space="preserve"> IF(ISBLANK(moras[[#This Row],[EDAD]]), EDA!$E$8, moras[[#This Row],[EDAD]])</f>
        <v>61</v>
      </c>
      <c r="P1704" s="14" t="str">
        <f>IF(
    OR(ISBLANK(moras[[#This Row],[TIPO_ASEGURAMIENTO]]), moras[[#This Row],[TIPO_ASEGURAMIENTO]]=""),
    EDA!$A$32,
    moras[[#This Row],[TIPO_ASEGURAMIENTO]]
)</f>
        <v>ASALARIADO</v>
      </c>
    </row>
    <row r="1705" spans="1:16" x14ac:dyDescent="0.3">
      <c r="A1705">
        <v>1704</v>
      </c>
      <c r="B1705" t="s">
        <v>15</v>
      </c>
      <c r="C1705">
        <v>46069292</v>
      </c>
      <c r="D1705" t="s">
        <v>10</v>
      </c>
      <c r="E1705" t="s">
        <v>16</v>
      </c>
      <c r="F1705" t="s">
        <v>12</v>
      </c>
      <c r="G1705" t="s">
        <v>13</v>
      </c>
      <c r="H1705" t="s">
        <v>13</v>
      </c>
      <c r="I1705">
        <v>22</v>
      </c>
      <c r="J1705">
        <f>ABS((I1705-EDA!$A$15)/EDA!$B$15)</f>
        <v>1.4100662886840327</v>
      </c>
      <c r="K1705" t="str">
        <f t="shared" si="26"/>
        <v>No</v>
      </c>
      <c r="L1705">
        <f>ABS((C1705-EDA!$F$15)/EDA!$G$15)</f>
        <v>0.39097156754731999</v>
      </c>
      <c r="M1705" t="str">
        <f>IF(moras[[#This Row],[Z-Score Salario]]&gt;1.96, "Sí", "No")</f>
        <v>No</v>
      </c>
      <c r="N1705" s="14">
        <f>IF(ISBLANK(moras[[#This Row],[SALARIO]]), EDA!$M$8, moras[[#This Row],[SALARIO]])</f>
        <v>46069292</v>
      </c>
      <c r="O1705" s="14">
        <f xml:space="preserve"> IF(ISBLANK(moras[[#This Row],[EDAD]]), EDA!$E$8, moras[[#This Row],[EDAD]])</f>
        <v>22</v>
      </c>
      <c r="P1705" s="14" t="str">
        <f>IF(
    OR(ISBLANK(moras[[#This Row],[TIPO_ASEGURAMIENTO]]), moras[[#This Row],[TIPO_ASEGURAMIENTO]]=""),
    EDA!$A$32,
    moras[[#This Row],[TIPO_ASEGURAMIENTO]]
)</f>
        <v>ASALARIADO</v>
      </c>
    </row>
    <row r="1706" spans="1:16" x14ac:dyDescent="0.3">
      <c r="A1706">
        <v>1705</v>
      </c>
      <c r="B1706" t="s">
        <v>15</v>
      </c>
      <c r="C1706">
        <v>4842678</v>
      </c>
      <c r="D1706" t="s">
        <v>14</v>
      </c>
      <c r="E1706" t="s">
        <v>11</v>
      </c>
      <c r="F1706" t="s">
        <v>12</v>
      </c>
      <c r="G1706" t="s">
        <v>13</v>
      </c>
      <c r="H1706" t="s">
        <v>13</v>
      </c>
      <c r="I1706">
        <v>84</v>
      </c>
      <c r="J1706">
        <f>ABS((I1706-EDA!$A$15)/EDA!$B$15)</f>
        <v>2.9656041760984926</v>
      </c>
      <c r="K1706" t="str">
        <f t="shared" si="26"/>
        <v>Sí</v>
      </c>
      <c r="L1706">
        <f>ABS((C1706-EDA!$F$15)/EDA!$G$15)</f>
        <v>0.29506839178235089</v>
      </c>
      <c r="M1706" t="str">
        <f>IF(moras[[#This Row],[Z-Score Salario]]&gt;1.96, "Sí", "No")</f>
        <v>No</v>
      </c>
      <c r="N1706" s="14">
        <f>IF(ISBLANK(moras[[#This Row],[SALARIO]]), EDA!$M$8, moras[[#This Row],[SALARIO]])</f>
        <v>4842678</v>
      </c>
      <c r="O1706" s="14">
        <f xml:space="preserve"> IF(ISBLANK(moras[[#This Row],[EDAD]]), EDA!$E$8, moras[[#This Row],[EDAD]])</f>
        <v>84</v>
      </c>
      <c r="P1706" s="14" t="str">
        <f>IF(
    OR(ISBLANK(moras[[#This Row],[TIPO_ASEGURAMIENTO]]), moras[[#This Row],[TIPO_ASEGURAMIENTO]]=""),
    EDA!$A$32,
    moras[[#This Row],[TIPO_ASEGURAMIENTO]]
)</f>
        <v>PENSIONADOS EN SU PROPIO SISTEMA</v>
      </c>
    </row>
    <row r="1707" spans="1:16" x14ac:dyDescent="0.3">
      <c r="A1707">
        <v>1706</v>
      </c>
      <c r="B1707" t="s">
        <v>9</v>
      </c>
      <c r="C1707">
        <v>7241167</v>
      </c>
      <c r="D1707" t="s">
        <v>10</v>
      </c>
      <c r="E1707" t="s">
        <v>11</v>
      </c>
      <c r="F1707" t="s">
        <v>12</v>
      </c>
      <c r="G1707" t="s">
        <v>13</v>
      </c>
      <c r="H1707" t="s">
        <v>13</v>
      </c>
      <c r="I1707">
        <v>56</v>
      </c>
      <c r="J1707">
        <f>ABS((I1707-EDA!$A$15)/EDA!$B$15)</f>
        <v>0.9894949339386423</v>
      </c>
      <c r="K1707" t="str">
        <f t="shared" si="26"/>
        <v>No</v>
      </c>
      <c r="L1707">
        <f>ABS((C1707-EDA!$F$15)/EDA!$G$15)</f>
        <v>0.25515584169971101</v>
      </c>
      <c r="M1707" t="str">
        <f>IF(moras[[#This Row],[Z-Score Salario]]&gt;1.96, "Sí", "No")</f>
        <v>No</v>
      </c>
      <c r="N1707" s="14">
        <f>IF(ISBLANK(moras[[#This Row],[SALARIO]]), EDA!$M$8, moras[[#This Row],[SALARIO]])</f>
        <v>7241167</v>
      </c>
      <c r="O1707" s="14">
        <f xml:space="preserve"> IF(ISBLANK(moras[[#This Row],[EDAD]]), EDA!$E$8, moras[[#This Row],[EDAD]])</f>
        <v>56</v>
      </c>
      <c r="P1707" s="14" t="str">
        <f>IF(
    OR(ISBLANK(moras[[#This Row],[TIPO_ASEGURAMIENTO]]), moras[[#This Row],[TIPO_ASEGURAMIENTO]]=""),
    EDA!$A$32,
    moras[[#This Row],[TIPO_ASEGURAMIENTO]]
)</f>
        <v>ASALARIADO</v>
      </c>
    </row>
    <row r="1708" spans="1:16" x14ac:dyDescent="0.3">
      <c r="A1708">
        <v>1707</v>
      </c>
      <c r="B1708" t="s">
        <v>9</v>
      </c>
      <c r="C1708">
        <v>620713</v>
      </c>
      <c r="D1708" t="s">
        <v>18</v>
      </c>
      <c r="E1708" t="s">
        <v>16</v>
      </c>
      <c r="F1708" t="s">
        <v>12</v>
      </c>
      <c r="G1708" t="s">
        <v>13</v>
      </c>
      <c r="H1708" t="s">
        <v>12</v>
      </c>
      <c r="I1708">
        <v>43</v>
      </c>
      <c r="J1708">
        <f>ABS((I1708-EDA!$A$15)/EDA!$B$15)</f>
        <v>7.2015642935854773E-2</v>
      </c>
      <c r="K1708" t="str">
        <f t="shared" si="26"/>
        <v>No</v>
      </c>
      <c r="L1708">
        <f>ABS((C1708-EDA!$F$15)/EDA!$G$15)</f>
        <v>0.36532486971894046</v>
      </c>
      <c r="M1708" t="str">
        <f>IF(moras[[#This Row],[Z-Score Salario]]&gt;1.96, "Sí", "No")</f>
        <v>No</v>
      </c>
      <c r="N1708" s="14">
        <f>IF(ISBLANK(moras[[#This Row],[SALARIO]]), EDA!$M$8, moras[[#This Row],[SALARIO]])</f>
        <v>620713</v>
      </c>
      <c r="O1708" s="14">
        <f xml:space="preserve"> IF(ISBLANK(moras[[#This Row],[EDAD]]), EDA!$E$8, moras[[#This Row],[EDAD]])</f>
        <v>43</v>
      </c>
      <c r="P1708" s="14" t="str">
        <f>IF(
    OR(ISBLANK(moras[[#This Row],[TIPO_ASEGURAMIENTO]]), moras[[#This Row],[TIPO_ASEGURAMIENTO]]=""),
    EDA!$A$32,
    moras[[#This Row],[TIPO_ASEGURAMIENTO]]
)</f>
        <v>TRABAJADOR INDEPENDIENTE</v>
      </c>
    </row>
    <row r="1709" spans="1:16" x14ac:dyDescent="0.3">
      <c r="A1709">
        <v>1708</v>
      </c>
      <c r="B1709" t="s">
        <v>9</v>
      </c>
      <c r="C1709">
        <v>297044</v>
      </c>
      <c r="D1709" t="s">
        <v>10</v>
      </c>
      <c r="E1709" t="s">
        <v>16</v>
      </c>
      <c r="F1709" t="s">
        <v>12</v>
      </c>
      <c r="G1709" t="s">
        <v>13</v>
      </c>
      <c r="H1709" t="s">
        <v>13</v>
      </c>
      <c r="I1709">
        <v>28</v>
      </c>
      <c r="J1709">
        <f>ABS((I1709-EDA!$A$15)/EDA!$B$15)</f>
        <v>0.98661430822120777</v>
      </c>
      <c r="K1709" t="str">
        <f t="shared" si="26"/>
        <v>No</v>
      </c>
      <c r="L1709">
        <f>ABS((C1709-EDA!$F$15)/EDA!$G$15)</f>
        <v>0.3707109503608354</v>
      </c>
      <c r="M1709" t="str">
        <f>IF(moras[[#This Row],[Z-Score Salario]]&gt;1.96, "Sí", "No")</f>
        <v>No</v>
      </c>
      <c r="N1709" s="14">
        <f>IF(ISBLANK(moras[[#This Row],[SALARIO]]), EDA!$M$8, moras[[#This Row],[SALARIO]])</f>
        <v>297044</v>
      </c>
      <c r="O1709" s="14">
        <f xml:space="preserve"> IF(ISBLANK(moras[[#This Row],[EDAD]]), EDA!$E$8, moras[[#This Row],[EDAD]])</f>
        <v>28</v>
      </c>
      <c r="P1709" s="14" t="str">
        <f>IF(
    OR(ISBLANK(moras[[#This Row],[TIPO_ASEGURAMIENTO]]), moras[[#This Row],[TIPO_ASEGURAMIENTO]]=""),
    EDA!$A$32,
    moras[[#This Row],[TIPO_ASEGURAMIENTO]]
)</f>
        <v>ASALARIADO</v>
      </c>
    </row>
    <row r="1710" spans="1:16" x14ac:dyDescent="0.3">
      <c r="A1710">
        <v>1709</v>
      </c>
      <c r="B1710" t="s">
        <v>9</v>
      </c>
      <c r="C1710">
        <v>17043968</v>
      </c>
      <c r="D1710" t="s">
        <v>10</v>
      </c>
      <c r="E1710" t="s">
        <v>16</v>
      </c>
      <c r="F1710" t="s">
        <v>12</v>
      </c>
      <c r="G1710" t="s">
        <v>13</v>
      </c>
      <c r="H1710" t="s">
        <v>12</v>
      </c>
      <c r="I1710">
        <v>24</v>
      </c>
      <c r="J1710">
        <f>ABS((I1710-EDA!$A$15)/EDA!$B$15)</f>
        <v>1.2689156285297578</v>
      </c>
      <c r="K1710" t="str">
        <f t="shared" si="26"/>
        <v>No</v>
      </c>
      <c r="L1710">
        <f>ABS((C1710-EDA!$F$15)/EDA!$G$15)</f>
        <v>9.203031314291861E-2</v>
      </c>
      <c r="M1710" t="str">
        <f>IF(moras[[#This Row],[Z-Score Salario]]&gt;1.96, "Sí", "No")</f>
        <v>No</v>
      </c>
      <c r="N1710" s="14">
        <f>IF(ISBLANK(moras[[#This Row],[SALARIO]]), EDA!$M$8, moras[[#This Row],[SALARIO]])</f>
        <v>17043968</v>
      </c>
      <c r="O1710" s="14">
        <f xml:space="preserve"> IF(ISBLANK(moras[[#This Row],[EDAD]]), EDA!$E$8, moras[[#This Row],[EDAD]])</f>
        <v>24</v>
      </c>
      <c r="P1710" s="14" t="str">
        <f>IF(
    OR(ISBLANK(moras[[#This Row],[TIPO_ASEGURAMIENTO]]), moras[[#This Row],[TIPO_ASEGURAMIENTO]]=""),
    EDA!$A$32,
    moras[[#This Row],[TIPO_ASEGURAMIENTO]]
)</f>
        <v>ASALARIADO</v>
      </c>
    </row>
    <row r="1711" spans="1:16" x14ac:dyDescent="0.3">
      <c r="A1711">
        <v>1710</v>
      </c>
      <c r="B1711" t="s">
        <v>9</v>
      </c>
      <c r="C1711">
        <v>94935</v>
      </c>
      <c r="D1711" t="s">
        <v>10</v>
      </c>
      <c r="E1711" t="s">
        <v>16</v>
      </c>
      <c r="F1711" t="s">
        <v>12</v>
      </c>
      <c r="G1711" t="s">
        <v>13</v>
      </c>
      <c r="H1711" t="s">
        <v>13</v>
      </c>
      <c r="I1711">
        <v>24</v>
      </c>
      <c r="J1711">
        <f>ABS((I1711-EDA!$A$15)/EDA!$B$15)</f>
        <v>1.2689156285297578</v>
      </c>
      <c r="K1711" t="str">
        <f t="shared" si="26"/>
        <v>No</v>
      </c>
      <c r="L1711">
        <f>ABS((C1711-EDA!$F$15)/EDA!$G$15)</f>
        <v>0.37407418679204368</v>
      </c>
      <c r="M1711" t="str">
        <f>IF(moras[[#This Row],[Z-Score Salario]]&gt;1.96, "Sí", "No")</f>
        <v>No</v>
      </c>
      <c r="N1711" s="14">
        <f>IF(ISBLANK(moras[[#This Row],[SALARIO]]), EDA!$M$8, moras[[#This Row],[SALARIO]])</f>
        <v>94935</v>
      </c>
      <c r="O1711" s="14">
        <f xml:space="preserve"> IF(ISBLANK(moras[[#This Row],[EDAD]]), EDA!$E$8, moras[[#This Row],[EDAD]])</f>
        <v>24</v>
      </c>
      <c r="P1711" s="14" t="str">
        <f>IF(
    OR(ISBLANK(moras[[#This Row],[TIPO_ASEGURAMIENTO]]), moras[[#This Row],[TIPO_ASEGURAMIENTO]]=""),
    EDA!$A$32,
    moras[[#This Row],[TIPO_ASEGURAMIENTO]]
)</f>
        <v>ASALARIADO</v>
      </c>
    </row>
    <row r="1712" spans="1:16" x14ac:dyDescent="0.3">
      <c r="A1712">
        <v>1711</v>
      </c>
      <c r="B1712" t="s">
        <v>15</v>
      </c>
      <c r="C1712">
        <v>37496622</v>
      </c>
      <c r="D1712" t="s">
        <v>14</v>
      </c>
      <c r="E1712" t="s">
        <v>11</v>
      </c>
      <c r="F1712" t="s">
        <v>12</v>
      </c>
      <c r="G1712" t="s">
        <v>13</v>
      </c>
      <c r="H1712" t="s">
        <v>13</v>
      </c>
      <c r="I1712">
        <v>85</v>
      </c>
      <c r="J1712">
        <f>ABS((I1712-EDA!$A$15)/EDA!$B$15)</f>
        <v>3.03617950617563</v>
      </c>
      <c r="K1712" t="str">
        <f t="shared" si="26"/>
        <v>Sí</v>
      </c>
      <c r="L1712">
        <f>ABS((C1712-EDA!$F$15)/EDA!$G$15)</f>
        <v>0.24831628719500465</v>
      </c>
      <c r="M1712" t="str">
        <f>IF(moras[[#This Row],[Z-Score Salario]]&gt;1.96, "Sí", "No")</f>
        <v>No</v>
      </c>
      <c r="N1712" s="14">
        <f>IF(ISBLANK(moras[[#This Row],[SALARIO]]), EDA!$M$8, moras[[#This Row],[SALARIO]])</f>
        <v>37496622</v>
      </c>
      <c r="O1712" s="14">
        <f xml:space="preserve"> IF(ISBLANK(moras[[#This Row],[EDAD]]), EDA!$E$8, moras[[#This Row],[EDAD]])</f>
        <v>85</v>
      </c>
      <c r="P1712" s="14" t="str">
        <f>IF(
    OR(ISBLANK(moras[[#This Row],[TIPO_ASEGURAMIENTO]]), moras[[#This Row],[TIPO_ASEGURAMIENTO]]=""),
    EDA!$A$32,
    moras[[#This Row],[TIPO_ASEGURAMIENTO]]
)</f>
        <v>PENSIONADOS EN SU PROPIO SISTEMA</v>
      </c>
    </row>
    <row r="1713" spans="1:16" x14ac:dyDescent="0.3">
      <c r="A1713">
        <v>1712</v>
      </c>
      <c r="B1713" t="s">
        <v>15</v>
      </c>
      <c r="C1713">
        <v>787800</v>
      </c>
      <c r="D1713" t="s">
        <v>10</v>
      </c>
      <c r="E1713" t="s">
        <v>16</v>
      </c>
      <c r="F1713" t="s">
        <v>12</v>
      </c>
      <c r="G1713" t="s">
        <v>13</v>
      </c>
      <c r="H1713" t="s">
        <v>12</v>
      </c>
      <c r="I1713">
        <v>29</v>
      </c>
      <c r="J1713">
        <f>ABS((I1713-EDA!$A$15)/EDA!$B$15)</f>
        <v>0.91603897814407031</v>
      </c>
      <c r="K1713" t="str">
        <f t="shared" si="26"/>
        <v>No</v>
      </c>
      <c r="L1713">
        <f>ABS((C1713-EDA!$F$15)/EDA!$G$15)</f>
        <v>0.36254442409018917</v>
      </c>
      <c r="M1713" t="str">
        <f>IF(moras[[#This Row],[Z-Score Salario]]&gt;1.96, "Sí", "No")</f>
        <v>No</v>
      </c>
      <c r="N1713" s="14">
        <f>IF(ISBLANK(moras[[#This Row],[SALARIO]]), EDA!$M$8, moras[[#This Row],[SALARIO]])</f>
        <v>787800</v>
      </c>
      <c r="O1713" s="14">
        <f xml:space="preserve"> IF(ISBLANK(moras[[#This Row],[EDAD]]), EDA!$E$8, moras[[#This Row],[EDAD]])</f>
        <v>29</v>
      </c>
      <c r="P1713" s="14" t="str">
        <f>IF(
    OR(ISBLANK(moras[[#This Row],[TIPO_ASEGURAMIENTO]]), moras[[#This Row],[TIPO_ASEGURAMIENTO]]=""),
    EDA!$A$32,
    moras[[#This Row],[TIPO_ASEGURAMIENTO]]
)</f>
        <v>ASALARIADO</v>
      </c>
    </row>
    <row r="1714" spans="1:16" x14ac:dyDescent="0.3">
      <c r="A1714">
        <v>1713</v>
      </c>
      <c r="B1714" t="s">
        <v>15</v>
      </c>
      <c r="C1714">
        <v>12922052</v>
      </c>
      <c r="D1714" t="s">
        <v>10</v>
      </c>
      <c r="E1714" t="s">
        <v>11</v>
      </c>
      <c r="F1714" t="s">
        <v>12</v>
      </c>
      <c r="G1714" t="s">
        <v>13</v>
      </c>
      <c r="H1714" t="s">
        <v>13</v>
      </c>
      <c r="I1714">
        <v>50</v>
      </c>
      <c r="J1714">
        <f>ABS((I1714-EDA!$A$15)/EDA!$B$15)</f>
        <v>0.56604295347581735</v>
      </c>
      <c r="K1714" t="str">
        <f t="shared" si="26"/>
        <v>No</v>
      </c>
      <c r="L1714">
        <f>ABS((C1714-EDA!$F$15)/EDA!$G$15)</f>
        <v>0.16062190509369875</v>
      </c>
      <c r="M1714" t="str">
        <f>IF(moras[[#This Row],[Z-Score Salario]]&gt;1.96, "Sí", "No")</f>
        <v>No</v>
      </c>
      <c r="N1714" s="14">
        <f>IF(ISBLANK(moras[[#This Row],[SALARIO]]), EDA!$M$8, moras[[#This Row],[SALARIO]])</f>
        <v>12922052</v>
      </c>
      <c r="O1714" s="14">
        <f xml:space="preserve"> IF(ISBLANK(moras[[#This Row],[EDAD]]), EDA!$E$8, moras[[#This Row],[EDAD]])</f>
        <v>50</v>
      </c>
      <c r="P1714" s="14" t="str">
        <f>IF(
    OR(ISBLANK(moras[[#This Row],[TIPO_ASEGURAMIENTO]]), moras[[#This Row],[TIPO_ASEGURAMIENTO]]=""),
    EDA!$A$32,
    moras[[#This Row],[TIPO_ASEGURAMIENTO]]
)</f>
        <v>ASALARIADO</v>
      </c>
    </row>
    <row r="1715" spans="1:16" x14ac:dyDescent="0.3">
      <c r="A1715">
        <v>1714</v>
      </c>
      <c r="B1715" t="s">
        <v>15</v>
      </c>
      <c r="C1715">
        <v>27803099</v>
      </c>
      <c r="D1715" t="s">
        <v>19</v>
      </c>
      <c r="E1715" t="s">
        <v>16</v>
      </c>
      <c r="F1715" t="s">
        <v>12</v>
      </c>
      <c r="G1715" t="s">
        <v>13</v>
      </c>
      <c r="H1715" t="s">
        <v>13</v>
      </c>
      <c r="I1715">
        <v>44</v>
      </c>
      <c r="J1715">
        <f>ABS((I1715-EDA!$A$15)/EDA!$B$15)</f>
        <v>0.14259097301299228</v>
      </c>
      <c r="K1715" t="str">
        <f t="shared" si="26"/>
        <v>No</v>
      </c>
      <c r="L1715">
        <f>ABS((C1715-EDA!$F$15)/EDA!$G$15)</f>
        <v>8.7009221698885322E-2</v>
      </c>
      <c r="M1715" t="str">
        <f>IF(moras[[#This Row],[Z-Score Salario]]&gt;1.96, "Sí", "No")</f>
        <v>No</v>
      </c>
      <c r="N1715" s="14">
        <f>IF(ISBLANK(moras[[#This Row],[SALARIO]]), EDA!$M$8, moras[[#This Row],[SALARIO]])</f>
        <v>27803099</v>
      </c>
      <c r="O1715" s="14">
        <f xml:space="preserve"> IF(ISBLANK(moras[[#This Row],[EDAD]]), EDA!$E$8, moras[[#This Row],[EDAD]])</f>
        <v>44</v>
      </c>
      <c r="P1715" s="14" t="str">
        <f>IF(
    OR(ISBLANK(moras[[#This Row],[TIPO_ASEGURAMIENTO]]), moras[[#This Row],[TIPO_ASEGURAMIENTO]]=""),
    EDA!$A$32,
    moras[[#This Row],[TIPO_ASEGURAMIENTO]]
)</f>
        <v>CONVENIOS ESPECIALES DE TRABAJADORES INDEPENDIENTES</v>
      </c>
    </row>
    <row r="1716" spans="1:16" x14ac:dyDescent="0.3">
      <c r="A1716">
        <v>1715</v>
      </c>
      <c r="B1716" t="s">
        <v>9</v>
      </c>
      <c r="C1716">
        <v>513333</v>
      </c>
      <c r="D1716" t="s">
        <v>10</v>
      </c>
      <c r="E1716" t="s">
        <v>16</v>
      </c>
      <c r="F1716" t="s">
        <v>12</v>
      </c>
      <c r="G1716" t="s">
        <v>13</v>
      </c>
      <c r="H1716" t="s">
        <v>13</v>
      </c>
      <c r="I1716">
        <v>55</v>
      </c>
      <c r="J1716">
        <f>ABS((I1716-EDA!$A$15)/EDA!$B$15)</f>
        <v>0.91891960386150484</v>
      </c>
      <c r="K1716" t="str">
        <f t="shared" si="26"/>
        <v>No</v>
      </c>
      <c r="L1716">
        <f>ABS((C1716-EDA!$F$15)/EDA!$G$15)</f>
        <v>0.36711174871979219</v>
      </c>
      <c r="M1716" t="str">
        <f>IF(moras[[#This Row],[Z-Score Salario]]&gt;1.96, "Sí", "No")</f>
        <v>No</v>
      </c>
      <c r="N1716" s="14">
        <f>IF(ISBLANK(moras[[#This Row],[SALARIO]]), EDA!$M$8, moras[[#This Row],[SALARIO]])</f>
        <v>513333</v>
      </c>
      <c r="O1716" s="14">
        <f xml:space="preserve"> IF(ISBLANK(moras[[#This Row],[EDAD]]), EDA!$E$8, moras[[#This Row],[EDAD]])</f>
        <v>55</v>
      </c>
      <c r="P1716" s="14" t="str">
        <f>IF(
    OR(ISBLANK(moras[[#This Row],[TIPO_ASEGURAMIENTO]]), moras[[#This Row],[TIPO_ASEGURAMIENTO]]=""),
    EDA!$A$32,
    moras[[#This Row],[TIPO_ASEGURAMIENTO]]
)</f>
        <v>ASALARIADO</v>
      </c>
    </row>
    <row r="1717" spans="1:16" x14ac:dyDescent="0.3">
      <c r="A1717">
        <v>1716</v>
      </c>
      <c r="B1717" t="s">
        <v>9</v>
      </c>
      <c r="C1717">
        <v>703205</v>
      </c>
      <c r="D1717" t="s">
        <v>14</v>
      </c>
      <c r="E1717" t="s">
        <v>11</v>
      </c>
      <c r="F1717" t="s">
        <v>12</v>
      </c>
      <c r="G1717" t="s">
        <v>13</v>
      </c>
      <c r="H1717" t="s">
        <v>13</v>
      </c>
      <c r="I1717">
        <v>81</v>
      </c>
      <c r="J1717">
        <f>ABS((I1717-EDA!$A$15)/EDA!$B$15)</f>
        <v>2.7538781858670798</v>
      </c>
      <c r="K1717" t="str">
        <f t="shared" si="26"/>
        <v>Sí</v>
      </c>
      <c r="L1717">
        <f>ABS((C1717-EDA!$F$15)/EDA!$G$15)</f>
        <v>0.36395214460683151</v>
      </c>
      <c r="M1717" t="str">
        <f>IF(moras[[#This Row],[Z-Score Salario]]&gt;1.96, "Sí", "No")</f>
        <v>No</v>
      </c>
      <c r="N1717" s="14">
        <f>IF(ISBLANK(moras[[#This Row],[SALARIO]]), EDA!$M$8, moras[[#This Row],[SALARIO]])</f>
        <v>703205</v>
      </c>
      <c r="O1717" s="14">
        <f xml:space="preserve"> IF(ISBLANK(moras[[#This Row],[EDAD]]), EDA!$E$8, moras[[#This Row],[EDAD]])</f>
        <v>81</v>
      </c>
      <c r="P1717" s="14" t="str">
        <f>IF(
    OR(ISBLANK(moras[[#This Row],[TIPO_ASEGURAMIENTO]]), moras[[#This Row],[TIPO_ASEGURAMIENTO]]=""),
    EDA!$A$32,
    moras[[#This Row],[TIPO_ASEGURAMIENTO]]
)</f>
        <v>PENSIONADOS EN SU PROPIO SISTEMA</v>
      </c>
    </row>
    <row r="1718" spans="1:16" x14ac:dyDescent="0.3">
      <c r="A1718">
        <v>1717</v>
      </c>
      <c r="B1718" t="s">
        <v>9</v>
      </c>
      <c r="C1718">
        <v>300018</v>
      </c>
      <c r="D1718" t="s">
        <v>18</v>
      </c>
      <c r="E1718" t="s">
        <v>16</v>
      </c>
      <c r="F1718" t="s">
        <v>12</v>
      </c>
      <c r="G1718" t="s">
        <v>13</v>
      </c>
      <c r="H1718" t="s">
        <v>13</v>
      </c>
      <c r="I1718">
        <v>32</v>
      </c>
      <c r="J1718">
        <f>ABS((I1718-EDA!$A$15)/EDA!$B$15)</f>
        <v>0.70431298791265773</v>
      </c>
      <c r="K1718" t="str">
        <f t="shared" si="26"/>
        <v>No</v>
      </c>
      <c r="L1718">
        <f>ABS((C1718-EDA!$F$15)/EDA!$G$15)</f>
        <v>0.37066146090145252</v>
      </c>
      <c r="M1718" t="str">
        <f>IF(moras[[#This Row],[Z-Score Salario]]&gt;1.96, "Sí", "No")</f>
        <v>No</v>
      </c>
      <c r="N1718" s="14">
        <f>IF(ISBLANK(moras[[#This Row],[SALARIO]]), EDA!$M$8, moras[[#This Row],[SALARIO]])</f>
        <v>300018</v>
      </c>
      <c r="O1718" s="14">
        <f xml:space="preserve"> IF(ISBLANK(moras[[#This Row],[EDAD]]), EDA!$E$8, moras[[#This Row],[EDAD]])</f>
        <v>32</v>
      </c>
      <c r="P1718" s="14" t="str">
        <f>IF(
    OR(ISBLANK(moras[[#This Row],[TIPO_ASEGURAMIENTO]]), moras[[#This Row],[TIPO_ASEGURAMIENTO]]=""),
    EDA!$A$32,
    moras[[#This Row],[TIPO_ASEGURAMIENTO]]
)</f>
        <v>TRABAJADOR INDEPENDIENTE</v>
      </c>
    </row>
    <row r="1719" spans="1:16" x14ac:dyDescent="0.3">
      <c r="A1719">
        <v>1718</v>
      </c>
      <c r="B1719" t="s">
        <v>9</v>
      </c>
      <c r="C1719">
        <v>611625</v>
      </c>
      <c r="D1719" t="s">
        <v>10</v>
      </c>
      <c r="E1719" t="s">
        <v>16</v>
      </c>
      <c r="F1719" t="s">
        <v>12</v>
      </c>
      <c r="G1719" t="s">
        <v>13</v>
      </c>
      <c r="H1719" t="s">
        <v>13</v>
      </c>
      <c r="I1719">
        <v>41</v>
      </c>
      <c r="J1719">
        <f>ABS((I1719-EDA!$A$15)/EDA!$B$15)</f>
        <v>6.9135017218420233E-2</v>
      </c>
      <c r="K1719" t="str">
        <f t="shared" si="26"/>
        <v>No</v>
      </c>
      <c r="L1719">
        <f>ABS((C1719-EDA!$F$15)/EDA!$G$15)</f>
        <v>0.36547610045427048</v>
      </c>
      <c r="M1719" t="str">
        <f>IF(moras[[#This Row],[Z-Score Salario]]&gt;1.96, "Sí", "No")</f>
        <v>No</v>
      </c>
      <c r="N1719" s="14">
        <f>IF(ISBLANK(moras[[#This Row],[SALARIO]]), EDA!$M$8, moras[[#This Row],[SALARIO]])</f>
        <v>611625</v>
      </c>
      <c r="O1719" s="14">
        <f xml:space="preserve"> IF(ISBLANK(moras[[#This Row],[EDAD]]), EDA!$E$8, moras[[#This Row],[EDAD]])</f>
        <v>41</v>
      </c>
      <c r="P1719" s="14" t="str">
        <f>IF(
    OR(ISBLANK(moras[[#This Row],[TIPO_ASEGURAMIENTO]]), moras[[#This Row],[TIPO_ASEGURAMIENTO]]=""),
    EDA!$A$32,
    moras[[#This Row],[TIPO_ASEGURAMIENTO]]
)</f>
        <v>ASALARIADO</v>
      </c>
    </row>
    <row r="1720" spans="1:16" x14ac:dyDescent="0.3">
      <c r="A1720">
        <v>1719</v>
      </c>
      <c r="B1720" t="s">
        <v>15</v>
      </c>
      <c r="C1720">
        <v>845778357</v>
      </c>
      <c r="D1720" t="s">
        <v>10</v>
      </c>
      <c r="E1720" t="s">
        <v>16</v>
      </c>
      <c r="F1720" t="s">
        <v>12</v>
      </c>
      <c r="G1720" t="s">
        <v>12</v>
      </c>
      <c r="H1720" t="s">
        <v>13</v>
      </c>
      <c r="I1720">
        <v>55</v>
      </c>
      <c r="J1720">
        <f>ABS((I1720-EDA!$A$15)/EDA!$B$15)</f>
        <v>0.91891960386150484</v>
      </c>
      <c r="K1720" t="str">
        <f t="shared" si="26"/>
        <v>No</v>
      </c>
      <c r="L1720">
        <f>ABS((C1720-EDA!$F$15)/EDA!$G$15)</f>
        <v>13.698694933530497</v>
      </c>
      <c r="M1720" t="str">
        <f>IF(moras[[#This Row],[Z-Score Salario]]&gt;1.96, "Sí", "No")</f>
        <v>Sí</v>
      </c>
      <c r="N1720" s="14">
        <f>IF(ISBLANK(moras[[#This Row],[SALARIO]]), EDA!$M$8, moras[[#This Row],[SALARIO]])</f>
        <v>845778357</v>
      </c>
      <c r="O1720" s="14">
        <f xml:space="preserve"> IF(ISBLANK(moras[[#This Row],[EDAD]]), EDA!$E$8, moras[[#This Row],[EDAD]])</f>
        <v>55</v>
      </c>
      <c r="P1720" s="14" t="str">
        <f>IF(
    OR(ISBLANK(moras[[#This Row],[TIPO_ASEGURAMIENTO]]), moras[[#This Row],[TIPO_ASEGURAMIENTO]]=""),
    EDA!$A$32,
    moras[[#This Row],[TIPO_ASEGURAMIENTO]]
)</f>
        <v>ASALARIADO</v>
      </c>
    </row>
    <row r="1721" spans="1:16" x14ac:dyDescent="0.3">
      <c r="A1721">
        <v>1720</v>
      </c>
      <c r="B1721" t="s">
        <v>9</v>
      </c>
      <c r="C1721">
        <v>41240056</v>
      </c>
      <c r="D1721" t="s">
        <v>10</v>
      </c>
      <c r="E1721" t="s">
        <v>16</v>
      </c>
      <c r="F1721" t="s">
        <v>12</v>
      </c>
      <c r="G1721" t="s">
        <v>13</v>
      </c>
      <c r="H1721" t="s">
        <v>13</v>
      </c>
      <c r="I1721">
        <v>23</v>
      </c>
      <c r="J1721">
        <f>ABS((I1721-EDA!$A$15)/EDA!$B$15)</f>
        <v>1.3394909586068953</v>
      </c>
      <c r="K1721" t="str">
        <f t="shared" si="26"/>
        <v>No</v>
      </c>
      <c r="L1721">
        <f>ABS((C1721-EDA!$F$15)/EDA!$G$15)</f>
        <v>0.31060967149072455</v>
      </c>
      <c r="M1721" t="str">
        <f>IF(moras[[#This Row],[Z-Score Salario]]&gt;1.96, "Sí", "No")</f>
        <v>No</v>
      </c>
      <c r="N1721" s="14">
        <f>IF(ISBLANK(moras[[#This Row],[SALARIO]]), EDA!$M$8, moras[[#This Row],[SALARIO]])</f>
        <v>41240056</v>
      </c>
      <c r="O1721" s="14">
        <f xml:space="preserve"> IF(ISBLANK(moras[[#This Row],[EDAD]]), EDA!$E$8, moras[[#This Row],[EDAD]])</f>
        <v>23</v>
      </c>
      <c r="P1721" s="14" t="str">
        <f>IF(
    OR(ISBLANK(moras[[#This Row],[TIPO_ASEGURAMIENTO]]), moras[[#This Row],[TIPO_ASEGURAMIENTO]]=""),
    EDA!$A$32,
    moras[[#This Row],[TIPO_ASEGURAMIENTO]]
)</f>
        <v>ASALARIADO</v>
      </c>
    </row>
    <row r="1722" spans="1:16" x14ac:dyDescent="0.3">
      <c r="A1722">
        <v>1721</v>
      </c>
      <c r="B1722" t="s">
        <v>9</v>
      </c>
      <c r="C1722">
        <v>341319</v>
      </c>
      <c r="D1722" t="s">
        <v>10</v>
      </c>
      <c r="E1722" t="s">
        <v>16</v>
      </c>
      <c r="F1722" t="s">
        <v>12</v>
      </c>
      <c r="G1722" t="s">
        <v>13</v>
      </c>
      <c r="H1722" t="s">
        <v>13</v>
      </c>
      <c r="I1722">
        <v>39</v>
      </c>
      <c r="J1722">
        <f>ABS((I1722-EDA!$A$15)/EDA!$B$15)</f>
        <v>0.21028567737269524</v>
      </c>
      <c r="K1722" t="str">
        <f t="shared" si="26"/>
        <v>No</v>
      </c>
      <c r="L1722">
        <f>ABS((C1722-EDA!$F$15)/EDA!$G$15)</f>
        <v>0.36997418310657287</v>
      </c>
      <c r="M1722" t="str">
        <f>IF(moras[[#This Row],[Z-Score Salario]]&gt;1.96, "Sí", "No")</f>
        <v>No</v>
      </c>
      <c r="N1722" s="14">
        <f>IF(ISBLANK(moras[[#This Row],[SALARIO]]), EDA!$M$8, moras[[#This Row],[SALARIO]])</f>
        <v>341319</v>
      </c>
      <c r="O1722" s="14">
        <f xml:space="preserve"> IF(ISBLANK(moras[[#This Row],[EDAD]]), EDA!$E$8, moras[[#This Row],[EDAD]])</f>
        <v>39</v>
      </c>
      <c r="P1722" s="14" t="str">
        <f>IF(
    OR(ISBLANK(moras[[#This Row],[TIPO_ASEGURAMIENTO]]), moras[[#This Row],[TIPO_ASEGURAMIENTO]]=""),
    EDA!$A$32,
    moras[[#This Row],[TIPO_ASEGURAMIENTO]]
)</f>
        <v>ASALARIADO</v>
      </c>
    </row>
    <row r="1723" spans="1:16" x14ac:dyDescent="0.3">
      <c r="A1723">
        <v>1722</v>
      </c>
      <c r="B1723" t="s">
        <v>15</v>
      </c>
      <c r="C1723">
        <v>1268597</v>
      </c>
      <c r="D1723" t="s">
        <v>14</v>
      </c>
      <c r="E1723" t="s">
        <v>11</v>
      </c>
      <c r="F1723" t="s">
        <v>12</v>
      </c>
      <c r="G1723" t="s">
        <v>13</v>
      </c>
      <c r="H1723" t="s">
        <v>13</v>
      </c>
      <c r="I1723">
        <v>58</v>
      </c>
      <c r="J1723">
        <f>ABS((I1723-EDA!$A$15)/EDA!$B$15)</f>
        <v>1.1306455940929174</v>
      </c>
      <c r="K1723" t="str">
        <f t="shared" si="26"/>
        <v>No</v>
      </c>
      <c r="L1723">
        <f>ABS((C1723-EDA!$F$15)/EDA!$G$15)</f>
        <v>0.3545436226097225</v>
      </c>
      <c r="M1723" t="str">
        <f>IF(moras[[#This Row],[Z-Score Salario]]&gt;1.96, "Sí", "No")</f>
        <v>No</v>
      </c>
      <c r="N1723" s="14">
        <f>IF(ISBLANK(moras[[#This Row],[SALARIO]]), EDA!$M$8, moras[[#This Row],[SALARIO]])</f>
        <v>1268597</v>
      </c>
      <c r="O1723" s="14">
        <f xml:space="preserve"> IF(ISBLANK(moras[[#This Row],[EDAD]]), EDA!$E$8, moras[[#This Row],[EDAD]])</f>
        <v>58</v>
      </c>
      <c r="P1723" s="14" t="str">
        <f>IF(
    OR(ISBLANK(moras[[#This Row],[TIPO_ASEGURAMIENTO]]), moras[[#This Row],[TIPO_ASEGURAMIENTO]]=""),
    EDA!$A$32,
    moras[[#This Row],[TIPO_ASEGURAMIENTO]]
)</f>
        <v>PENSIONADOS EN SU PROPIO SISTEMA</v>
      </c>
    </row>
    <row r="1724" spans="1:16" x14ac:dyDescent="0.3">
      <c r="A1724">
        <v>1723</v>
      </c>
      <c r="B1724" t="s">
        <v>9</v>
      </c>
      <c r="C1724">
        <v>79640095</v>
      </c>
      <c r="D1724" t="s">
        <v>10</v>
      </c>
      <c r="E1724" t="s">
        <v>11</v>
      </c>
      <c r="F1724" t="s">
        <v>12</v>
      </c>
      <c r="G1724" t="s">
        <v>13</v>
      </c>
      <c r="H1724" t="s">
        <v>13</v>
      </c>
      <c r="I1724">
        <v>36</v>
      </c>
      <c r="J1724">
        <f>ABS((I1724-EDA!$A$15)/EDA!$B$15)</f>
        <v>0.42201166760410774</v>
      </c>
      <c r="K1724" t="str">
        <f t="shared" si="26"/>
        <v>No</v>
      </c>
      <c r="L1724">
        <f>ABS((C1724-EDA!$F$15)/EDA!$G$15)</f>
        <v>0.94961342750662669</v>
      </c>
      <c r="M1724" t="str">
        <f>IF(moras[[#This Row],[Z-Score Salario]]&gt;1.96, "Sí", "No")</f>
        <v>No</v>
      </c>
      <c r="N1724" s="14">
        <f>IF(ISBLANK(moras[[#This Row],[SALARIO]]), EDA!$M$8, moras[[#This Row],[SALARIO]])</f>
        <v>79640095</v>
      </c>
      <c r="O1724" s="14">
        <f xml:space="preserve"> IF(ISBLANK(moras[[#This Row],[EDAD]]), EDA!$E$8, moras[[#This Row],[EDAD]])</f>
        <v>36</v>
      </c>
      <c r="P1724" s="14" t="str">
        <f>IF(
    OR(ISBLANK(moras[[#This Row],[TIPO_ASEGURAMIENTO]]), moras[[#This Row],[TIPO_ASEGURAMIENTO]]=""),
    EDA!$A$32,
    moras[[#This Row],[TIPO_ASEGURAMIENTO]]
)</f>
        <v>ASALARIADO</v>
      </c>
    </row>
    <row r="1725" spans="1:16" x14ac:dyDescent="0.3">
      <c r="A1725">
        <v>1724</v>
      </c>
      <c r="B1725" t="s">
        <v>15</v>
      </c>
      <c r="C1725">
        <v>736729</v>
      </c>
      <c r="D1725" t="s">
        <v>14</v>
      </c>
      <c r="E1725" t="s">
        <v>11</v>
      </c>
      <c r="F1725" t="s">
        <v>12</v>
      </c>
      <c r="G1725" t="s">
        <v>13</v>
      </c>
      <c r="H1725" t="s">
        <v>13</v>
      </c>
      <c r="I1725">
        <v>61</v>
      </c>
      <c r="J1725">
        <f>ABS((I1725-EDA!$A$15)/EDA!$B$15)</f>
        <v>1.3423715843243298</v>
      </c>
      <c r="K1725" t="str">
        <f t="shared" si="26"/>
        <v>No</v>
      </c>
      <c r="L1725">
        <f>ABS((C1725-EDA!$F$15)/EDA!$G$15)</f>
        <v>0.36339428158183101</v>
      </c>
      <c r="M1725" t="str">
        <f>IF(moras[[#This Row],[Z-Score Salario]]&gt;1.96, "Sí", "No")</f>
        <v>No</v>
      </c>
      <c r="N1725" s="14">
        <f>IF(ISBLANK(moras[[#This Row],[SALARIO]]), EDA!$M$8, moras[[#This Row],[SALARIO]])</f>
        <v>736729</v>
      </c>
      <c r="O1725" s="14">
        <f xml:space="preserve"> IF(ISBLANK(moras[[#This Row],[EDAD]]), EDA!$E$8, moras[[#This Row],[EDAD]])</f>
        <v>61</v>
      </c>
      <c r="P1725" s="14" t="str">
        <f>IF(
    OR(ISBLANK(moras[[#This Row],[TIPO_ASEGURAMIENTO]]), moras[[#This Row],[TIPO_ASEGURAMIENTO]]=""),
    EDA!$A$32,
    moras[[#This Row],[TIPO_ASEGURAMIENTO]]
)</f>
        <v>PENSIONADOS EN SU PROPIO SISTEMA</v>
      </c>
    </row>
    <row r="1726" spans="1:16" x14ac:dyDescent="0.3">
      <c r="A1726">
        <v>1725</v>
      </c>
      <c r="B1726" t="s">
        <v>9</v>
      </c>
      <c r="C1726">
        <v>3939888</v>
      </c>
      <c r="D1726" t="s">
        <v>10</v>
      </c>
      <c r="E1726" t="s">
        <v>11</v>
      </c>
      <c r="F1726" t="s">
        <v>12</v>
      </c>
      <c r="G1726" t="s">
        <v>13</v>
      </c>
      <c r="H1726" t="s">
        <v>13</v>
      </c>
      <c r="I1726">
        <v>58</v>
      </c>
      <c r="J1726">
        <f>ABS((I1726-EDA!$A$15)/EDA!$B$15)</f>
        <v>1.1306455940929174</v>
      </c>
      <c r="K1726" t="str">
        <f t="shared" si="26"/>
        <v>No</v>
      </c>
      <c r="L1726">
        <f>ABS((C1726-EDA!$F$15)/EDA!$G$15)</f>
        <v>0.3100914546728234</v>
      </c>
      <c r="M1726" t="str">
        <f>IF(moras[[#This Row],[Z-Score Salario]]&gt;1.96, "Sí", "No")</f>
        <v>No</v>
      </c>
      <c r="N1726" s="14">
        <f>IF(ISBLANK(moras[[#This Row],[SALARIO]]), EDA!$M$8, moras[[#This Row],[SALARIO]])</f>
        <v>3939888</v>
      </c>
      <c r="O1726" s="14">
        <f xml:space="preserve"> IF(ISBLANK(moras[[#This Row],[EDAD]]), EDA!$E$8, moras[[#This Row],[EDAD]])</f>
        <v>58</v>
      </c>
      <c r="P1726" s="14" t="str">
        <f>IF(
    OR(ISBLANK(moras[[#This Row],[TIPO_ASEGURAMIENTO]]), moras[[#This Row],[TIPO_ASEGURAMIENTO]]=""),
    EDA!$A$32,
    moras[[#This Row],[TIPO_ASEGURAMIENTO]]
)</f>
        <v>ASALARIADO</v>
      </c>
    </row>
    <row r="1727" spans="1:16" x14ac:dyDescent="0.3">
      <c r="A1727">
        <v>1726</v>
      </c>
      <c r="B1727" t="s">
        <v>9</v>
      </c>
      <c r="C1727">
        <v>7308463</v>
      </c>
      <c r="D1727" t="s">
        <v>14</v>
      </c>
      <c r="E1727" t="s">
        <v>11</v>
      </c>
      <c r="F1727" t="s">
        <v>12</v>
      </c>
      <c r="G1727" t="s">
        <v>13</v>
      </c>
      <c r="H1727" t="s">
        <v>13</v>
      </c>
      <c r="I1727">
        <v>73</v>
      </c>
      <c r="J1727">
        <f>ABS((I1727-EDA!$A$15)/EDA!$B$15)</f>
        <v>2.1892755452499797</v>
      </c>
      <c r="K1727" t="str">
        <f t="shared" si="26"/>
        <v>Sí</v>
      </c>
      <c r="L1727">
        <f>ABS((C1727-EDA!$F$15)/EDA!$G$15)</f>
        <v>0.25403598875464378</v>
      </c>
      <c r="M1727" t="str">
        <f>IF(moras[[#This Row],[Z-Score Salario]]&gt;1.96, "Sí", "No")</f>
        <v>No</v>
      </c>
      <c r="N1727" s="14">
        <f>IF(ISBLANK(moras[[#This Row],[SALARIO]]), EDA!$M$8, moras[[#This Row],[SALARIO]])</f>
        <v>7308463</v>
      </c>
      <c r="O1727" s="14">
        <f xml:space="preserve"> IF(ISBLANK(moras[[#This Row],[EDAD]]), EDA!$E$8, moras[[#This Row],[EDAD]])</f>
        <v>73</v>
      </c>
      <c r="P1727" s="14" t="str">
        <f>IF(
    OR(ISBLANK(moras[[#This Row],[TIPO_ASEGURAMIENTO]]), moras[[#This Row],[TIPO_ASEGURAMIENTO]]=""),
    EDA!$A$32,
    moras[[#This Row],[TIPO_ASEGURAMIENTO]]
)</f>
        <v>PENSIONADOS EN SU PROPIO SISTEMA</v>
      </c>
    </row>
    <row r="1728" spans="1:16" x14ac:dyDescent="0.3">
      <c r="A1728">
        <v>1727</v>
      </c>
      <c r="B1728" t="s">
        <v>9</v>
      </c>
      <c r="C1728">
        <v>3410000</v>
      </c>
      <c r="D1728" t="s">
        <v>10</v>
      </c>
      <c r="E1728" t="s">
        <v>16</v>
      </c>
      <c r="F1728" t="s">
        <v>12</v>
      </c>
      <c r="G1728" t="s">
        <v>13</v>
      </c>
      <c r="H1728" t="s">
        <v>13</v>
      </c>
      <c r="I1728">
        <v>49</v>
      </c>
      <c r="J1728">
        <f>ABS((I1728-EDA!$A$15)/EDA!$B$15)</f>
        <v>0.49546762339867978</v>
      </c>
      <c r="K1728" t="str">
        <f t="shared" si="26"/>
        <v>No</v>
      </c>
      <c r="L1728">
        <f>ABS((C1728-EDA!$F$15)/EDA!$G$15)</f>
        <v>0.31890916504722572</v>
      </c>
      <c r="M1728" t="str">
        <f>IF(moras[[#This Row],[Z-Score Salario]]&gt;1.96, "Sí", "No")</f>
        <v>No</v>
      </c>
      <c r="N1728" s="14">
        <f>IF(ISBLANK(moras[[#This Row],[SALARIO]]), EDA!$M$8, moras[[#This Row],[SALARIO]])</f>
        <v>3410000</v>
      </c>
      <c r="O1728" s="14">
        <f xml:space="preserve"> IF(ISBLANK(moras[[#This Row],[EDAD]]), EDA!$E$8, moras[[#This Row],[EDAD]])</f>
        <v>49</v>
      </c>
      <c r="P1728" s="14" t="str">
        <f>IF(
    OR(ISBLANK(moras[[#This Row],[TIPO_ASEGURAMIENTO]]), moras[[#This Row],[TIPO_ASEGURAMIENTO]]=""),
    EDA!$A$32,
    moras[[#This Row],[TIPO_ASEGURAMIENTO]]
)</f>
        <v>ASALARIADO</v>
      </c>
    </row>
    <row r="1729" spans="1:16" x14ac:dyDescent="0.3">
      <c r="A1729">
        <v>1728</v>
      </c>
      <c r="B1729" t="s">
        <v>9</v>
      </c>
      <c r="C1729">
        <v>46074172</v>
      </c>
      <c r="D1729" t="s">
        <v>10</v>
      </c>
      <c r="E1729" t="s">
        <v>16</v>
      </c>
      <c r="F1729" t="s">
        <v>12</v>
      </c>
      <c r="G1729" t="s">
        <v>12</v>
      </c>
      <c r="H1729" t="s">
        <v>13</v>
      </c>
      <c r="I1729">
        <v>31</v>
      </c>
      <c r="J1729">
        <f>ABS((I1729-EDA!$A$15)/EDA!$B$15)</f>
        <v>0.77488831798979529</v>
      </c>
      <c r="K1729" t="str">
        <f t="shared" si="26"/>
        <v>No</v>
      </c>
      <c r="L1729">
        <f>ABS((C1729-EDA!$F$15)/EDA!$G$15)</f>
        <v>0.39105277419217155</v>
      </c>
      <c r="M1729" t="str">
        <f>IF(moras[[#This Row],[Z-Score Salario]]&gt;1.96, "Sí", "No")</f>
        <v>No</v>
      </c>
      <c r="N1729" s="14">
        <f>IF(ISBLANK(moras[[#This Row],[SALARIO]]), EDA!$M$8, moras[[#This Row],[SALARIO]])</f>
        <v>46074172</v>
      </c>
      <c r="O1729" s="14">
        <f xml:space="preserve"> IF(ISBLANK(moras[[#This Row],[EDAD]]), EDA!$E$8, moras[[#This Row],[EDAD]])</f>
        <v>31</v>
      </c>
      <c r="P1729" s="14" t="str">
        <f>IF(
    OR(ISBLANK(moras[[#This Row],[TIPO_ASEGURAMIENTO]]), moras[[#This Row],[TIPO_ASEGURAMIENTO]]=""),
    EDA!$A$32,
    moras[[#This Row],[TIPO_ASEGURAMIENTO]]
)</f>
        <v>ASALARIADO</v>
      </c>
    </row>
    <row r="1730" spans="1:16" x14ac:dyDescent="0.3">
      <c r="A1730">
        <v>1729</v>
      </c>
      <c r="B1730" t="s">
        <v>15</v>
      </c>
      <c r="C1730">
        <v>297046</v>
      </c>
      <c r="D1730" t="s">
        <v>17</v>
      </c>
      <c r="E1730" t="s">
        <v>16</v>
      </c>
      <c r="F1730" t="s">
        <v>12</v>
      </c>
      <c r="G1730" t="s">
        <v>13</v>
      </c>
      <c r="H1730" t="s">
        <v>13</v>
      </c>
      <c r="I1730">
        <v>39</v>
      </c>
      <c r="J1730">
        <f>ABS((I1730-EDA!$A$15)/EDA!$B$15)</f>
        <v>0.21028567737269524</v>
      </c>
      <c r="K1730" t="str">
        <f t="shared" ref="K1730:K1793" si="27">IF(J1730 &gt;  1.96, "Sí","No")</f>
        <v>No</v>
      </c>
      <c r="L1730">
        <f>ABS((C1730-EDA!$F$15)/EDA!$G$15)</f>
        <v>0.37071091707942361</v>
      </c>
      <c r="M1730" t="str">
        <f>IF(moras[[#This Row],[Z-Score Salario]]&gt;1.96, "Sí", "No")</f>
        <v>No</v>
      </c>
      <c r="N1730" s="14">
        <f>IF(ISBLANK(moras[[#This Row],[SALARIO]]), EDA!$M$8, moras[[#This Row],[SALARIO]])</f>
        <v>297046</v>
      </c>
      <c r="O1730" s="14">
        <f xml:space="preserve"> IF(ISBLANK(moras[[#This Row],[EDAD]]), EDA!$E$8, moras[[#This Row],[EDAD]])</f>
        <v>39</v>
      </c>
      <c r="P1730" s="14" t="str">
        <f>IF(
    OR(ISBLANK(moras[[#This Row],[TIPO_ASEGURAMIENTO]]), moras[[#This Row],[TIPO_ASEGURAMIENTO]]=""),
    EDA!$A$32,
    moras[[#This Row],[TIPO_ASEGURAMIENTO]]
)</f>
        <v>ASEGURADO VOLUNTARIO</v>
      </c>
    </row>
    <row r="1731" spans="1:16" x14ac:dyDescent="0.3">
      <c r="A1731">
        <v>1730</v>
      </c>
      <c r="B1731" t="s">
        <v>9</v>
      </c>
      <c r="C1731">
        <v>77217752</v>
      </c>
      <c r="D1731" t="s">
        <v>10</v>
      </c>
      <c r="E1731" t="s">
        <v>16</v>
      </c>
      <c r="F1731" t="s">
        <v>12</v>
      </c>
      <c r="G1731" t="s">
        <v>13</v>
      </c>
      <c r="H1731" t="s">
        <v>13</v>
      </c>
      <c r="I1731">
        <v>28</v>
      </c>
      <c r="J1731">
        <f>ABS((I1731-EDA!$A$15)/EDA!$B$15)</f>
        <v>0.98661430822120777</v>
      </c>
      <c r="K1731" t="str">
        <f t="shared" si="27"/>
        <v>No</v>
      </c>
      <c r="L1731">
        <f>ABS((C1731-EDA!$F$15)/EDA!$G$15)</f>
        <v>0.9093039300251573</v>
      </c>
      <c r="M1731" t="str">
        <f>IF(moras[[#This Row],[Z-Score Salario]]&gt;1.96, "Sí", "No")</f>
        <v>No</v>
      </c>
      <c r="N1731" s="14">
        <f>IF(ISBLANK(moras[[#This Row],[SALARIO]]), EDA!$M$8, moras[[#This Row],[SALARIO]])</f>
        <v>77217752</v>
      </c>
      <c r="O1731" s="14">
        <f xml:space="preserve"> IF(ISBLANK(moras[[#This Row],[EDAD]]), EDA!$E$8, moras[[#This Row],[EDAD]])</f>
        <v>28</v>
      </c>
      <c r="P1731" s="14" t="str">
        <f>IF(
    OR(ISBLANK(moras[[#This Row],[TIPO_ASEGURAMIENTO]]), moras[[#This Row],[TIPO_ASEGURAMIENTO]]=""),
    EDA!$A$32,
    moras[[#This Row],[TIPO_ASEGURAMIENTO]]
)</f>
        <v>ASALARIADO</v>
      </c>
    </row>
    <row r="1732" spans="1:16" x14ac:dyDescent="0.3">
      <c r="A1732">
        <v>1731</v>
      </c>
      <c r="B1732" t="s">
        <v>15</v>
      </c>
      <c r="C1732">
        <v>289717</v>
      </c>
      <c r="D1732" t="s">
        <v>18</v>
      </c>
      <c r="E1732" t="s">
        <v>16</v>
      </c>
      <c r="F1732" t="s">
        <v>12</v>
      </c>
      <c r="G1732" t="s">
        <v>13</v>
      </c>
      <c r="H1732" t="s">
        <v>13</v>
      </c>
      <c r="I1732">
        <v>59</v>
      </c>
      <c r="J1732">
        <f>ABS((I1732-EDA!$A$15)/EDA!$B$15)</f>
        <v>1.2012209241700549</v>
      </c>
      <c r="K1732" t="str">
        <f t="shared" si="27"/>
        <v>No</v>
      </c>
      <c r="L1732">
        <f>ABS((C1732-EDA!$F$15)/EDA!$G$15)</f>
        <v>0.3708328768130541</v>
      </c>
      <c r="M1732" t="str">
        <f>IF(moras[[#This Row],[Z-Score Salario]]&gt;1.96, "Sí", "No")</f>
        <v>No</v>
      </c>
      <c r="N1732" s="14">
        <f>IF(ISBLANK(moras[[#This Row],[SALARIO]]), EDA!$M$8, moras[[#This Row],[SALARIO]])</f>
        <v>289717</v>
      </c>
      <c r="O1732" s="14">
        <f xml:space="preserve"> IF(ISBLANK(moras[[#This Row],[EDAD]]), EDA!$E$8, moras[[#This Row],[EDAD]])</f>
        <v>59</v>
      </c>
      <c r="P1732" s="14" t="str">
        <f>IF(
    OR(ISBLANK(moras[[#This Row],[TIPO_ASEGURAMIENTO]]), moras[[#This Row],[TIPO_ASEGURAMIENTO]]=""),
    EDA!$A$32,
    moras[[#This Row],[TIPO_ASEGURAMIENTO]]
)</f>
        <v>TRABAJADOR INDEPENDIENTE</v>
      </c>
    </row>
    <row r="1733" spans="1:16" x14ac:dyDescent="0.3">
      <c r="A1733">
        <v>1732</v>
      </c>
      <c r="B1733" t="s">
        <v>15</v>
      </c>
      <c r="C1733">
        <v>380000</v>
      </c>
      <c r="D1733" t="s">
        <v>10</v>
      </c>
      <c r="E1733" t="s">
        <v>16</v>
      </c>
      <c r="F1733" t="s">
        <v>12</v>
      </c>
      <c r="G1733" t="s">
        <v>13</v>
      </c>
      <c r="H1733" t="s">
        <v>13</v>
      </c>
      <c r="I1733">
        <v>57</v>
      </c>
      <c r="J1733">
        <f>ABS((I1733-EDA!$A$15)/EDA!$B$15)</f>
        <v>1.0600702640157798</v>
      </c>
      <c r="K1733" t="str">
        <f t="shared" si="27"/>
        <v>No</v>
      </c>
      <c r="L1733">
        <f>ABS((C1733-EDA!$F$15)/EDA!$G$15)</f>
        <v>0.36933050396118317</v>
      </c>
      <c r="M1733" t="str">
        <f>IF(moras[[#This Row],[Z-Score Salario]]&gt;1.96, "Sí", "No")</f>
        <v>No</v>
      </c>
      <c r="N1733" s="14">
        <f>IF(ISBLANK(moras[[#This Row],[SALARIO]]), EDA!$M$8, moras[[#This Row],[SALARIO]])</f>
        <v>380000</v>
      </c>
      <c r="O1733" s="14">
        <f xml:space="preserve"> IF(ISBLANK(moras[[#This Row],[EDAD]]), EDA!$E$8, moras[[#This Row],[EDAD]])</f>
        <v>57</v>
      </c>
      <c r="P1733" s="14" t="str">
        <f>IF(
    OR(ISBLANK(moras[[#This Row],[TIPO_ASEGURAMIENTO]]), moras[[#This Row],[TIPO_ASEGURAMIENTO]]=""),
    EDA!$A$32,
    moras[[#This Row],[TIPO_ASEGURAMIENTO]]
)</f>
        <v>ASALARIADO</v>
      </c>
    </row>
    <row r="1734" spans="1:16" x14ac:dyDescent="0.3">
      <c r="A1734">
        <v>1733</v>
      </c>
      <c r="B1734" t="s">
        <v>15</v>
      </c>
      <c r="C1734">
        <v>115684184</v>
      </c>
      <c r="D1734" t="s">
        <v>10</v>
      </c>
      <c r="E1734" t="s">
        <v>11</v>
      </c>
      <c r="F1734" t="s">
        <v>12</v>
      </c>
      <c r="G1734" t="s">
        <v>13</v>
      </c>
      <c r="H1734" t="s">
        <v>13</v>
      </c>
      <c r="I1734">
        <v>43</v>
      </c>
      <c r="J1734">
        <f>ABS((I1734-EDA!$A$15)/EDA!$B$15)</f>
        <v>7.2015642935854773E-2</v>
      </c>
      <c r="K1734" t="str">
        <f t="shared" si="27"/>
        <v>No</v>
      </c>
      <c r="L1734">
        <f>ABS((C1734-EDA!$F$15)/EDA!$G$15)</f>
        <v>1.5494125124286879</v>
      </c>
      <c r="M1734" t="str">
        <f>IF(moras[[#This Row],[Z-Score Salario]]&gt;1.96, "Sí", "No")</f>
        <v>No</v>
      </c>
      <c r="N1734" s="14">
        <f>IF(ISBLANK(moras[[#This Row],[SALARIO]]), EDA!$M$8, moras[[#This Row],[SALARIO]])</f>
        <v>115684184</v>
      </c>
      <c r="O1734" s="14">
        <f xml:space="preserve"> IF(ISBLANK(moras[[#This Row],[EDAD]]), EDA!$E$8, moras[[#This Row],[EDAD]])</f>
        <v>43</v>
      </c>
      <c r="P1734" s="14" t="str">
        <f>IF(
    OR(ISBLANK(moras[[#This Row],[TIPO_ASEGURAMIENTO]]), moras[[#This Row],[TIPO_ASEGURAMIENTO]]=""),
    EDA!$A$32,
    moras[[#This Row],[TIPO_ASEGURAMIENTO]]
)</f>
        <v>ASALARIADO</v>
      </c>
    </row>
    <row r="1735" spans="1:16" x14ac:dyDescent="0.3">
      <c r="A1735">
        <v>1734</v>
      </c>
      <c r="B1735" t="s">
        <v>9</v>
      </c>
      <c r="C1735">
        <v>3874894</v>
      </c>
      <c r="D1735" t="s">
        <v>10</v>
      </c>
      <c r="E1735" t="s">
        <v>16</v>
      </c>
      <c r="F1735" t="s">
        <v>12</v>
      </c>
      <c r="G1735" t="s">
        <v>13</v>
      </c>
      <c r="H1735" t="s">
        <v>13</v>
      </c>
      <c r="I1735">
        <v>35</v>
      </c>
      <c r="J1735">
        <f>ABS((I1735-EDA!$A$15)/EDA!$B$15)</f>
        <v>0.49258699768124525</v>
      </c>
      <c r="K1735" t="str">
        <f t="shared" si="27"/>
        <v>No</v>
      </c>
      <c r="L1735">
        <f>ABS((C1735-EDA!$F$15)/EDA!$G$15)</f>
        <v>0.31117300071288073</v>
      </c>
      <c r="M1735" t="str">
        <f>IF(moras[[#This Row],[Z-Score Salario]]&gt;1.96, "Sí", "No")</f>
        <v>No</v>
      </c>
      <c r="N1735" s="14">
        <f>IF(ISBLANK(moras[[#This Row],[SALARIO]]), EDA!$M$8, moras[[#This Row],[SALARIO]])</f>
        <v>3874894</v>
      </c>
      <c r="O1735" s="14">
        <f xml:space="preserve"> IF(ISBLANK(moras[[#This Row],[EDAD]]), EDA!$E$8, moras[[#This Row],[EDAD]])</f>
        <v>35</v>
      </c>
      <c r="P1735" s="14" t="str">
        <f>IF(
    OR(ISBLANK(moras[[#This Row],[TIPO_ASEGURAMIENTO]]), moras[[#This Row],[TIPO_ASEGURAMIENTO]]=""),
    EDA!$A$32,
    moras[[#This Row],[TIPO_ASEGURAMIENTO]]
)</f>
        <v>ASALARIADO</v>
      </c>
    </row>
    <row r="1736" spans="1:16" x14ac:dyDescent="0.3">
      <c r="A1736">
        <v>1735</v>
      </c>
      <c r="B1736" t="s">
        <v>9</v>
      </c>
      <c r="C1736">
        <v>449596</v>
      </c>
      <c r="D1736" t="s">
        <v>10</v>
      </c>
      <c r="E1736" t="s">
        <v>11</v>
      </c>
      <c r="F1736" t="s">
        <v>12</v>
      </c>
      <c r="G1736" t="s">
        <v>13</v>
      </c>
      <c r="H1736" t="s">
        <v>13</v>
      </c>
      <c r="I1736">
        <v>36</v>
      </c>
      <c r="J1736">
        <f>ABS((I1736-EDA!$A$15)/EDA!$B$15)</f>
        <v>0.42201166760410774</v>
      </c>
      <c r="K1736" t="str">
        <f t="shared" si="27"/>
        <v>No</v>
      </c>
      <c r="L1736">
        <f>ABS((C1736-EDA!$F$15)/EDA!$G$15)</f>
        <v>0.3681723773925179</v>
      </c>
      <c r="M1736" t="str">
        <f>IF(moras[[#This Row],[Z-Score Salario]]&gt;1.96, "Sí", "No")</f>
        <v>No</v>
      </c>
      <c r="N1736" s="14">
        <f>IF(ISBLANK(moras[[#This Row],[SALARIO]]), EDA!$M$8, moras[[#This Row],[SALARIO]])</f>
        <v>449596</v>
      </c>
      <c r="O1736" s="14">
        <f xml:space="preserve"> IF(ISBLANK(moras[[#This Row],[EDAD]]), EDA!$E$8, moras[[#This Row],[EDAD]])</f>
        <v>36</v>
      </c>
      <c r="P1736" s="14" t="str">
        <f>IF(
    OR(ISBLANK(moras[[#This Row],[TIPO_ASEGURAMIENTO]]), moras[[#This Row],[TIPO_ASEGURAMIENTO]]=""),
    EDA!$A$32,
    moras[[#This Row],[TIPO_ASEGURAMIENTO]]
)</f>
        <v>ASALARIADO</v>
      </c>
    </row>
    <row r="1737" spans="1:16" x14ac:dyDescent="0.3">
      <c r="A1737">
        <v>1736</v>
      </c>
      <c r="B1737" t="s">
        <v>9</v>
      </c>
      <c r="C1737">
        <v>477300</v>
      </c>
      <c r="D1737" t="s">
        <v>10</v>
      </c>
      <c r="E1737" t="s">
        <v>16</v>
      </c>
      <c r="F1737" t="s">
        <v>12</v>
      </c>
      <c r="G1737" t="s">
        <v>13</v>
      </c>
      <c r="H1737" t="s">
        <v>13</v>
      </c>
      <c r="I1737">
        <v>63</v>
      </c>
      <c r="J1737">
        <f>ABS((I1737-EDA!$A$15)/EDA!$B$15)</f>
        <v>1.4835222444786049</v>
      </c>
      <c r="K1737" t="str">
        <f t="shared" si="27"/>
        <v>No</v>
      </c>
      <c r="L1737">
        <f>ABS((C1737-EDA!$F$15)/EDA!$G$15)</f>
        <v>0.36771136327592641</v>
      </c>
      <c r="M1737" t="str">
        <f>IF(moras[[#This Row],[Z-Score Salario]]&gt;1.96, "Sí", "No")</f>
        <v>No</v>
      </c>
      <c r="N1737" s="14">
        <f>IF(ISBLANK(moras[[#This Row],[SALARIO]]), EDA!$M$8, moras[[#This Row],[SALARIO]])</f>
        <v>477300</v>
      </c>
      <c r="O1737" s="14">
        <f xml:space="preserve"> IF(ISBLANK(moras[[#This Row],[EDAD]]), EDA!$E$8, moras[[#This Row],[EDAD]])</f>
        <v>63</v>
      </c>
      <c r="P1737" s="14" t="str">
        <f>IF(
    OR(ISBLANK(moras[[#This Row],[TIPO_ASEGURAMIENTO]]), moras[[#This Row],[TIPO_ASEGURAMIENTO]]=""),
    EDA!$A$32,
    moras[[#This Row],[TIPO_ASEGURAMIENTO]]
)</f>
        <v>ASALARIADO</v>
      </c>
    </row>
    <row r="1738" spans="1:16" x14ac:dyDescent="0.3">
      <c r="A1738">
        <v>1737</v>
      </c>
      <c r="B1738" t="s">
        <v>9</v>
      </c>
      <c r="C1738">
        <v>42570355</v>
      </c>
      <c r="D1738" t="s">
        <v>10</v>
      </c>
      <c r="E1738" t="s">
        <v>16</v>
      </c>
      <c r="F1738" t="s">
        <v>12</v>
      </c>
      <c r="G1738" t="s">
        <v>13</v>
      </c>
      <c r="H1738" t="s">
        <v>13</v>
      </c>
      <c r="I1738">
        <v>44</v>
      </c>
      <c r="J1738">
        <f>ABS((I1738-EDA!$A$15)/EDA!$B$15)</f>
        <v>0.14259097301299228</v>
      </c>
      <c r="K1738" t="str">
        <f t="shared" si="27"/>
        <v>No</v>
      </c>
      <c r="L1738">
        <f>ABS((C1738-EDA!$F$15)/EDA!$G$15)</f>
        <v>0.33274678592501455</v>
      </c>
      <c r="M1738" t="str">
        <f>IF(moras[[#This Row],[Z-Score Salario]]&gt;1.96, "Sí", "No")</f>
        <v>No</v>
      </c>
      <c r="N1738" s="14">
        <f>IF(ISBLANK(moras[[#This Row],[SALARIO]]), EDA!$M$8, moras[[#This Row],[SALARIO]])</f>
        <v>42570355</v>
      </c>
      <c r="O1738" s="14">
        <f xml:space="preserve"> IF(ISBLANK(moras[[#This Row],[EDAD]]), EDA!$E$8, moras[[#This Row],[EDAD]])</f>
        <v>44</v>
      </c>
      <c r="P1738" s="14" t="str">
        <f>IF(
    OR(ISBLANK(moras[[#This Row],[TIPO_ASEGURAMIENTO]]), moras[[#This Row],[TIPO_ASEGURAMIENTO]]=""),
    EDA!$A$32,
    moras[[#This Row],[TIPO_ASEGURAMIENTO]]
)</f>
        <v>ASALARIADO</v>
      </c>
    </row>
    <row r="1739" spans="1:16" x14ac:dyDescent="0.3">
      <c r="A1739">
        <v>1738</v>
      </c>
      <c r="B1739" t="s">
        <v>9</v>
      </c>
      <c r="C1739">
        <v>8714273</v>
      </c>
      <c r="D1739" t="s">
        <v>10</v>
      </c>
      <c r="E1739" t="s">
        <v>16</v>
      </c>
      <c r="F1739" t="s">
        <v>12</v>
      </c>
      <c r="G1739" t="s">
        <v>13</v>
      </c>
      <c r="H1739" t="s">
        <v>13</v>
      </c>
      <c r="I1739">
        <v>51</v>
      </c>
      <c r="J1739">
        <f>ABS((I1739-EDA!$A$15)/EDA!$B$15)</f>
        <v>0.6366182835529548</v>
      </c>
      <c r="K1739" t="str">
        <f t="shared" si="27"/>
        <v>No</v>
      </c>
      <c r="L1739">
        <f>ABS((C1739-EDA!$F$15)/EDA!$G$15)</f>
        <v>0.23064231797621787</v>
      </c>
      <c r="M1739" t="str">
        <f>IF(moras[[#This Row],[Z-Score Salario]]&gt;1.96, "Sí", "No")</f>
        <v>No</v>
      </c>
      <c r="N1739" s="14">
        <f>IF(ISBLANK(moras[[#This Row],[SALARIO]]), EDA!$M$8, moras[[#This Row],[SALARIO]])</f>
        <v>8714273</v>
      </c>
      <c r="O1739" s="14">
        <f xml:space="preserve"> IF(ISBLANK(moras[[#This Row],[EDAD]]), EDA!$E$8, moras[[#This Row],[EDAD]])</f>
        <v>51</v>
      </c>
      <c r="P1739" s="14" t="str">
        <f>IF(
    OR(ISBLANK(moras[[#This Row],[TIPO_ASEGURAMIENTO]]), moras[[#This Row],[TIPO_ASEGURAMIENTO]]=""),
    EDA!$A$32,
    moras[[#This Row],[TIPO_ASEGURAMIENTO]]
)</f>
        <v>ASALARIADO</v>
      </c>
    </row>
    <row r="1740" spans="1:16" x14ac:dyDescent="0.3">
      <c r="A1740">
        <v>1739</v>
      </c>
      <c r="B1740" t="s">
        <v>9</v>
      </c>
      <c r="C1740">
        <v>368750</v>
      </c>
      <c r="D1740" t="s">
        <v>10</v>
      </c>
      <c r="E1740" t="s">
        <v>16</v>
      </c>
      <c r="F1740" t="s">
        <v>12</v>
      </c>
      <c r="G1740" t="s">
        <v>13</v>
      </c>
      <c r="H1740" t="s">
        <v>13</v>
      </c>
      <c r="I1740">
        <v>41</v>
      </c>
      <c r="J1740">
        <f>ABS((I1740-EDA!$A$15)/EDA!$B$15)</f>
        <v>6.9135017218420233E-2</v>
      </c>
      <c r="K1740" t="str">
        <f t="shared" si="27"/>
        <v>No</v>
      </c>
      <c r="L1740">
        <f>ABS((C1740-EDA!$F$15)/EDA!$G$15)</f>
        <v>0.36951771190269539</v>
      </c>
      <c r="M1740" t="str">
        <f>IF(moras[[#This Row],[Z-Score Salario]]&gt;1.96, "Sí", "No")</f>
        <v>No</v>
      </c>
      <c r="N1740" s="14">
        <f>IF(ISBLANK(moras[[#This Row],[SALARIO]]), EDA!$M$8, moras[[#This Row],[SALARIO]])</f>
        <v>368750</v>
      </c>
      <c r="O1740" s="14">
        <f xml:space="preserve"> IF(ISBLANK(moras[[#This Row],[EDAD]]), EDA!$E$8, moras[[#This Row],[EDAD]])</f>
        <v>41</v>
      </c>
      <c r="P1740" s="14" t="str">
        <f>IF(
    OR(ISBLANK(moras[[#This Row],[TIPO_ASEGURAMIENTO]]), moras[[#This Row],[TIPO_ASEGURAMIENTO]]=""),
    EDA!$A$32,
    moras[[#This Row],[TIPO_ASEGURAMIENTO]]
)</f>
        <v>ASALARIADO</v>
      </c>
    </row>
    <row r="1741" spans="1:16" x14ac:dyDescent="0.3">
      <c r="A1741">
        <v>1740</v>
      </c>
      <c r="B1741" t="s">
        <v>9</v>
      </c>
      <c r="C1741">
        <v>74415802</v>
      </c>
      <c r="D1741" t="s">
        <v>10</v>
      </c>
      <c r="E1741" t="s">
        <v>11</v>
      </c>
      <c r="F1741" t="s">
        <v>12</v>
      </c>
      <c r="G1741" t="s">
        <v>13</v>
      </c>
      <c r="H1741" t="s">
        <v>13</v>
      </c>
      <c r="I1741">
        <v>26</v>
      </c>
      <c r="J1741">
        <f>ABS((I1741-EDA!$A$15)/EDA!$B$15)</f>
        <v>1.1277649683754829</v>
      </c>
      <c r="K1741" t="str">
        <f t="shared" si="27"/>
        <v>No</v>
      </c>
      <c r="L1741">
        <f>ABS((C1741-EDA!$F$15)/EDA!$G$15)</f>
        <v>0.86267750409447641</v>
      </c>
      <c r="M1741" t="str">
        <f>IF(moras[[#This Row],[Z-Score Salario]]&gt;1.96, "Sí", "No")</f>
        <v>No</v>
      </c>
      <c r="N1741" s="14">
        <f>IF(ISBLANK(moras[[#This Row],[SALARIO]]), EDA!$M$8, moras[[#This Row],[SALARIO]])</f>
        <v>74415802</v>
      </c>
      <c r="O1741" s="14">
        <f xml:space="preserve"> IF(ISBLANK(moras[[#This Row],[EDAD]]), EDA!$E$8, moras[[#This Row],[EDAD]])</f>
        <v>26</v>
      </c>
      <c r="P1741" s="14" t="str">
        <f>IF(
    OR(ISBLANK(moras[[#This Row],[TIPO_ASEGURAMIENTO]]), moras[[#This Row],[TIPO_ASEGURAMIENTO]]=""),
    EDA!$A$32,
    moras[[#This Row],[TIPO_ASEGURAMIENTO]]
)</f>
        <v>ASALARIADO</v>
      </c>
    </row>
    <row r="1742" spans="1:16" x14ac:dyDescent="0.3">
      <c r="A1742">
        <v>1741</v>
      </c>
      <c r="B1742" t="s">
        <v>9</v>
      </c>
      <c r="C1742">
        <v>280000</v>
      </c>
      <c r="D1742" t="s">
        <v>10</v>
      </c>
      <c r="E1742" t="s">
        <v>16</v>
      </c>
      <c r="F1742" t="s">
        <v>12</v>
      </c>
      <c r="G1742" t="s">
        <v>13</v>
      </c>
      <c r="H1742" t="s">
        <v>12</v>
      </c>
      <c r="I1742">
        <v>56</v>
      </c>
      <c r="J1742">
        <f>ABS((I1742-EDA!$A$15)/EDA!$B$15)</f>
        <v>0.9894949339386423</v>
      </c>
      <c r="K1742" t="str">
        <f t="shared" si="27"/>
        <v>No</v>
      </c>
      <c r="L1742">
        <f>ABS((C1742-EDA!$F$15)/EDA!$G$15)</f>
        <v>0.37099457455240292</v>
      </c>
      <c r="M1742" t="str">
        <f>IF(moras[[#This Row],[Z-Score Salario]]&gt;1.96, "Sí", "No")</f>
        <v>No</v>
      </c>
      <c r="N1742" s="14">
        <f>IF(ISBLANK(moras[[#This Row],[SALARIO]]), EDA!$M$8, moras[[#This Row],[SALARIO]])</f>
        <v>280000</v>
      </c>
      <c r="O1742" s="14">
        <f xml:space="preserve"> IF(ISBLANK(moras[[#This Row],[EDAD]]), EDA!$E$8, moras[[#This Row],[EDAD]])</f>
        <v>56</v>
      </c>
      <c r="P1742" s="14" t="str">
        <f>IF(
    OR(ISBLANK(moras[[#This Row],[TIPO_ASEGURAMIENTO]]), moras[[#This Row],[TIPO_ASEGURAMIENTO]]=""),
    EDA!$A$32,
    moras[[#This Row],[TIPO_ASEGURAMIENTO]]
)</f>
        <v>ASALARIADO</v>
      </c>
    </row>
    <row r="1743" spans="1:16" x14ac:dyDescent="0.3">
      <c r="A1743">
        <v>1742</v>
      </c>
      <c r="B1743" t="s">
        <v>9</v>
      </c>
      <c r="C1743">
        <v>38258415</v>
      </c>
      <c r="D1743" t="s">
        <v>10</v>
      </c>
      <c r="E1743" t="s">
        <v>11</v>
      </c>
      <c r="F1743" t="s">
        <v>12</v>
      </c>
      <c r="G1743" t="s">
        <v>13</v>
      </c>
      <c r="H1743" t="s">
        <v>13</v>
      </c>
      <c r="I1743">
        <v>47</v>
      </c>
      <c r="J1743">
        <f>ABS((I1743-EDA!$A$15)/EDA!$B$15)</f>
        <v>0.35431696324440481</v>
      </c>
      <c r="K1743" t="str">
        <f t="shared" si="27"/>
        <v>No</v>
      </c>
      <c r="L1743">
        <f>ABS((C1743-EDA!$F$15)/EDA!$G$15)</f>
        <v>0.26099306047397508</v>
      </c>
      <c r="M1743" t="str">
        <f>IF(moras[[#This Row],[Z-Score Salario]]&gt;1.96, "Sí", "No")</f>
        <v>No</v>
      </c>
      <c r="N1743" s="14">
        <f>IF(ISBLANK(moras[[#This Row],[SALARIO]]), EDA!$M$8, moras[[#This Row],[SALARIO]])</f>
        <v>38258415</v>
      </c>
      <c r="O1743" s="14">
        <f xml:space="preserve"> IF(ISBLANK(moras[[#This Row],[EDAD]]), EDA!$E$8, moras[[#This Row],[EDAD]])</f>
        <v>47</v>
      </c>
      <c r="P1743" s="14" t="str">
        <f>IF(
    OR(ISBLANK(moras[[#This Row],[TIPO_ASEGURAMIENTO]]), moras[[#This Row],[TIPO_ASEGURAMIENTO]]=""),
    EDA!$A$32,
    moras[[#This Row],[TIPO_ASEGURAMIENTO]]
)</f>
        <v>ASALARIADO</v>
      </c>
    </row>
    <row r="1744" spans="1:16" x14ac:dyDescent="0.3">
      <c r="A1744">
        <v>1743</v>
      </c>
      <c r="B1744" t="s">
        <v>15</v>
      </c>
      <c r="C1744">
        <v>12754405</v>
      </c>
      <c r="D1744" t="s">
        <v>10</v>
      </c>
      <c r="E1744" t="s">
        <v>11</v>
      </c>
      <c r="F1744" t="s">
        <v>12</v>
      </c>
      <c r="G1744" t="s">
        <v>13</v>
      </c>
      <c r="H1744" t="s">
        <v>13</v>
      </c>
      <c r="I1744">
        <v>58</v>
      </c>
      <c r="J1744">
        <f>ABS((I1744-EDA!$A$15)/EDA!$B$15)</f>
        <v>1.1306455940929174</v>
      </c>
      <c r="K1744" t="str">
        <f t="shared" si="27"/>
        <v>No</v>
      </c>
      <c r="L1744">
        <f>ABS((C1744-EDA!$F$15)/EDA!$G$15)</f>
        <v>0.16341166951776087</v>
      </c>
      <c r="M1744" t="str">
        <f>IF(moras[[#This Row],[Z-Score Salario]]&gt;1.96, "Sí", "No")</f>
        <v>No</v>
      </c>
      <c r="N1744" s="14">
        <f>IF(ISBLANK(moras[[#This Row],[SALARIO]]), EDA!$M$8, moras[[#This Row],[SALARIO]])</f>
        <v>12754405</v>
      </c>
      <c r="O1744" s="14">
        <f xml:space="preserve"> IF(ISBLANK(moras[[#This Row],[EDAD]]), EDA!$E$8, moras[[#This Row],[EDAD]])</f>
        <v>58</v>
      </c>
      <c r="P1744" s="14" t="str">
        <f>IF(
    OR(ISBLANK(moras[[#This Row],[TIPO_ASEGURAMIENTO]]), moras[[#This Row],[TIPO_ASEGURAMIENTO]]=""),
    EDA!$A$32,
    moras[[#This Row],[TIPO_ASEGURAMIENTO]]
)</f>
        <v>ASALARIADO</v>
      </c>
    </row>
    <row r="1745" spans="1:16" x14ac:dyDescent="0.3">
      <c r="A1745">
        <v>1744</v>
      </c>
      <c r="B1745" t="s">
        <v>15</v>
      </c>
      <c r="C1745">
        <v>15660461</v>
      </c>
      <c r="D1745" t="s">
        <v>10</v>
      </c>
      <c r="E1745" t="s">
        <v>11</v>
      </c>
      <c r="F1745" t="s">
        <v>12</v>
      </c>
      <c r="G1745" t="s">
        <v>13</v>
      </c>
      <c r="H1745" t="s">
        <v>13</v>
      </c>
      <c r="I1745">
        <v>28</v>
      </c>
      <c r="J1745">
        <f>ABS((I1745-EDA!$A$15)/EDA!$B$15)</f>
        <v>0.98661430822120777</v>
      </c>
      <c r="K1745" t="str">
        <f t="shared" si="27"/>
        <v>No</v>
      </c>
      <c r="L1745">
        <f>ABS((C1745-EDA!$F$15)/EDA!$G$15)</f>
        <v>0.11505284625738479</v>
      </c>
      <c r="M1745" t="str">
        <f>IF(moras[[#This Row],[Z-Score Salario]]&gt;1.96, "Sí", "No")</f>
        <v>No</v>
      </c>
      <c r="N1745" s="14">
        <f>IF(ISBLANK(moras[[#This Row],[SALARIO]]), EDA!$M$8, moras[[#This Row],[SALARIO]])</f>
        <v>15660461</v>
      </c>
      <c r="O1745" s="14">
        <f xml:space="preserve"> IF(ISBLANK(moras[[#This Row],[EDAD]]), EDA!$E$8, moras[[#This Row],[EDAD]])</f>
        <v>28</v>
      </c>
      <c r="P1745" s="14" t="str">
        <f>IF(
    OR(ISBLANK(moras[[#This Row],[TIPO_ASEGURAMIENTO]]), moras[[#This Row],[TIPO_ASEGURAMIENTO]]=""),
    EDA!$A$32,
    moras[[#This Row],[TIPO_ASEGURAMIENTO]]
)</f>
        <v>ASALARIADO</v>
      </c>
    </row>
    <row r="1746" spans="1:16" x14ac:dyDescent="0.3">
      <c r="A1746">
        <v>1745</v>
      </c>
      <c r="B1746" t="s">
        <v>15</v>
      </c>
      <c r="C1746">
        <v>477915</v>
      </c>
      <c r="D1746" t="s">
        <v>10</v>
      </c>
      <c r="E1746" t="s">
        <v>11</v>
      </c>
      <c r="F1746" t="s">
        <v>12</v>
      </c>
      <c r="G1746" t="s">
        <v>13</v>
      </c>
      <c r="H1746" t="s">
        <v>13</v>
      </c>
      <c r="I1746">
        <v>29</v>
      </c>
      <c r="J1746">
        <f>ABS((I1746-EDA!$A$15)/EDA!$B$15)</f>
        <v>0.91603897814407031</v>
      </c>
      <c r="K1746" t="str">
        <f t="shared" si="27"/>
        <v>No</v>
      </c>
      <c r="L1746">
        <f>ABS((C1746-EDA!$F$15)/EDA!$G$15)</f>
        <v>0.36770112924179038</v>
      </c>
      <c r="M1746" t="str">
        <f>IF(moras[[#This Row],[Z-Score Salario]]&gt;1.96, "Sí", "No")</f>
        <v>No</v>
      </c>
      <c r="N1746" s="14">
        <f>IF(ISBLANK(moras[[#This Row],[SALARIO]]), EDA!$M$8, moras[[#This Row],[SALARIO]])</f>
        <v>477915</v>
      </c>
      <c r="O1746" s="14">
        <f xml:space="preserve"> IF(ISBLANK(moras[[#This Row],[EDAD]]), EDA!$E$8, moras[[#This Row],[EDAD]])</f>
        <v>29</v>
      </c>
      <c r="P1746" s="14" t="str">
        <f>IF(
    OR(ISBLANK(moras[[#This Row],[TIPO_ASEGURAMIENTO]]), moras[[#This Row],[TIPO_ASEGURAMIENTO]]=""),
    EDA!$A$32,
    moras[[#This Row],[TIPO_ASEGURAMIENTO]]
)</f>
        <v>ASALARIADO</v>
      </c>
    </row>
    <row r="1747" spans="1:16" x14ac:dyDescent="0.3">
      <c r="A1747">
        <v>1746</v>
      </c>
      <c r="B1747" t="s">
        <v>9</v>
      </c>
      <c r="C1747">
        <v>389617</v>
      </c>
      <c r="D1747" t="s">
        <v>10</v>
      </c>
      <c r="E1747" t="s">
        <v>16</v>
      </c>
      <c r="F1747" t="s">
        <v>12</v>
      </c>
      <c r="G1747" t="s">
        <v>13</v>
      </c>
      <c r="H1747" t="s">
        <v>13</v>
      </c>
      <c r="I1747">
        <v>61</v>
      </c>
      <c r="J1747">
        <f>ABS((I1747-EDA!$A$15)/EDA!$B$15)</f>
        <v>1.3423715843243298</v>
      </c>
      <c r="K1747" t="str">
        <f t="shared" si="27"/>
        <v>No</v>
      </c>
      <c r="L1747">
        <f>ABS((C1747-EDA!$F$15)/EDA!$G$15)</f>
        <v>0.36917047029242556</v>
      </c>
      <c r="M1747" t="str">
        <f>IF(moras[[#This Row],[Z-Score Salario]]&gt;1.96, "Sí", "No")</f>
        <v>No</v>
      </c>
      <c r="N1747" s="14">
        <f>IF(ISBLANK(moras[[#This Row],[SALARIO]]), EDA!$M$8, moras[[#This Row],[SALARIO]])</f>
        <v>389617</v>
      </c>
      <c r="O1747" s="14">
        <f xml:space="preserve"> IF(ISBLANK(moras[[#This Row],[EDAD]]), EDA!$E$8, moras[[#This Row],[EDAD]])</f>
        <v>61</v>
      </c>
      <c r="P1747" s="14" t="str">
        <f>IF(
    OR(ISBLANK(moras[[#This Row],[TIPO_ASEGURAMIENTO]]), moras[[#This Row],[TIPO_ASEGURAMIENTO]]=""),
    EDA!$A$32,
    moras[[#This Row],[TIPO_ASEGURAMIENTO]]
)</f>
        <v>ASALARIADO</v>
      </c>
    </row>
    <row r="1748" spans="1:16" x14ac:dyDescent="0.3">
      <c r="A1748">
        <v>1747</v>
      </c>
      <c r="B1748" t="s">
        <v>15</v>
      </c>
      <c r="C1748">
        <v>331218643</v>
      </c>
      <c r="D1748" t="s">
        <v>10</v>
      </c>
      <c r="E1748" t="s">
        <v>11</v>
      </c>
      <c r="F1748" t="s">
        <v>12</v>
      </c>
      <c r="G1748" t="s">
        <v>13</v>
      </c>
      <c r="H1748" t="s">
        <v>13</v>
      </c>
      <c r="I1748">
        <v>41</v>
      </c>
      <c r="J1748">
        <f>ABS((I1748-EDA!$A$15)/EDA!$B$15)</f>
        <v>6.9135017218420233E-2</v>
      </c>
      <c r="K1748" t="str">
        <f t="shared" si="27"/>
        <v>No</v>
      </c>
      <c r="L1748">
        <f>ABS((C1748-EDA!$F$15)/EDA!$G$15)</f>
        <v>5.1360580585922078</v>
      </c>
      <c r="M1748" t="str">
        <f>IF(moras[[#This Row],[Z-Score Salario]]&gt;1.96, "Sí", "No")</f>
        <v>Sí</v>
      </c>
      <c r="N1748" s="14">
        <f>IF(ISBLANK(moras[[#This Row],[SALARIO]]), EDA!$M$8, moras[[#This Row],[SALARIO]])</f>
        <v>331218643</v>
      </c>
      <c r="O1748" s="14">
        <f xml:space="preserve"> IF(ISBLANK(moras[[#This Row],[EDAD]]), EDA!$E$8, moras[[#This Row],[EDAD]])</f>
        <v>41</v>
      </c>
      <c r="P1748" s="14" t="str">
        <f>IF(
    OR(ISBLANK(moras[[#This Row],[TIPO_ASEGURAMIENTO]]), moras[[#This Row],[TIPO_ASEGURAMIENTO]]=""),
    EDA!$A$32,
    moras[[#This Row],[TIPO_ASEGURAMIENTO]]
)</f>
        <v>ASALARIADO</v>
      </c>
    </row>
    <row r="1749" spans="1:16" x14ac:dyDescent="0.3">
      <c r="A1749">
        <v>1748</v>
      </c>
      <c r="B1749" t="s">
        <v>9</v>
      </c>
      <c r="C1749">
        <v>331181</v>
      </c>
      <c r="D1749" t="s">
        <v>18</v>
      </c>
      <c r="E1749" t="s">
        <v>16</v>
      </c>
      <c r="F1749" t="s">
        <v>12</v>
      </c>
      <c r="G1749" t="s">
        <v>13</v>
      </c>
      <c r="H1749" t="s">
        <v>12</v>
      </c>
      <c r="I1749">
        <v>57</v>
      </c>
      <c r="J1749">
        <f>ABS((I1749-EDA!$A$15)/EDA!$B$15)</f>
        <v>1.0600702640157798</v>
      </c>
      <c r="K1749" t="str">
        <f t="shared" si="27"/>
        <v>No</v>
      </c>
      <c r="L1749">
        <f>ABS((C1749-EDA!$F$15)/EDA!$G$15)</f>
        <v>0.37014288658311073</v>
      </c>
      <c r="M1749" t="str">
        <f>IF(moras[[#This Row],[Z-Score Salario]]&gt;1.96, "Sí", "No")</f>
        <v>No</v>
      </c>
      <c r="N1749" s="14">
        <f>IF(ISBLANK(moras[[#This Row],[SALARIO]]), EDA!$M$8, moras[[#This Row],[SALARIO]])</f>
        <v>331181</v>
      </c>
      <c r="O1749" s="14">
        <f xml:space="preserve"> IF(ISBLANK(moras[[#This Row],[EDAD]]), EDA!$E$8, moras[[#This Row],[EDAD]])</f>
        <v>57</v>
      </c>
      <c r="P1749" s="14" t="str">
        <f>IF(
    OR(ISBLANK(moras[[#This Row],[TIPO_ASEGURAMIENTO]]), moras[[#This Row],[TIPO_ASEGURAMIENTO]]=""),
    EDA!$A$32,
    moras[[#This Row],[TIPO_ASEGURAMIENTO]]
)</f>
        <v>TRABAJADOR INDEPENDIENTE</v>
      </c>
    </row>
    <row r="1750" spans="1:16" x14ac:dyDescent="0.3">
      <c r="A1750">
        <v>1749</v>
      </c>
      <c r="B1750" t="s">
        <v>9</v>
      </c>
      <c r="C1750">
        <v>196000</v>
      </c>
      <c r="D1750" t="s">
        <v>10</v>
      </c>
      <c r="E1750" t="s">
        <v>16</v>
      </c>
      <c r="F1750" t="s">
        <v>12</v>
      </c>
      <c r="G1750" t="s">
        <v>13</v>
      </c>
      <c r="H1750" t="s">
        <v>13</v>
      </c>
      <c r="I1750">
        <v>52</v>
      </c>
      <c r="J1750">
        <f>ABS((I1750-EDA!$A$15)/EDA!$B$15)</f>
        <v>0.70719361363009237</v>
      </c>
      <c r="K1750" t="str">
        <f t="shared" si="27"/>
        <v>No</v>
      </c>
      <c r="L1750">
        <f>ABS((C1750-EDA!$F$15)/EDA!$G$15)</f>
        <v>0.37239239384902745</v>
      </c>
      <c r="M1750" t="str">
        <f>IF(moras[[#This Row],[Z-Score Salario]]&gt;1.96, "Sí", "No")</f>
        <v>No</v>
      </c>
      <c r="N1750" s="14">
        <f>IF(ISBLANK(moras[[#This Row],[SALARIO]]), EDA!$M$8, moras[[#This Row],[SALARIO]])</f>
        <v>196000</v>
      </c>
      <c r="O1750" s="14">
        <f xml:space="preserve"> IF(ISBLANK(moras[[#This Row],[EDAD]]), EDA!$E$8, moras[[#This Row],[EDAD]])</f>
        <v>52</v>
      </c>
      <c r="P1750" s="14" t="str">
        <f>IF(
    OR(ISBLANK(moras[[#This Row],[TIPO_ASEGURAMIENTO]]), moras[[#This Row],[TIPO_ASEGURAMIENTO]]=""),
    EDA!$A$32,
    moras[[#This Row],[TIPO_ASEGURAMIENTO]]
)</f>
        <v>ASALARIADO</v>
      </c>
    </row>
    <row r="1751" spans="1:16" x14ac:dyDescent="0.3">
      <c r="A1751">
        <v>1750</v>
      </c>
      <c r="B1751" t="s">
        <v>9</v>
      </c>
      <c r="C1751">
        <v>430000</v>
      </c>
      <c r="D1751" t="s">
        <v>10</v>
      </c>
      <c r="E1751" t="s">
        <v>16</v>
      </c>
      <c r="F1751" t="s">
        <v>12</v>
      </c>
      <c r="G1751" t="s">
        <v>13</v>
      </c>
      <c r="H1751" t="s">
        <v>13</v>
      </c>
      <c r="I1751">
        <v>39</v>
      </c>
      <c r="J1751">
        <f>ABS((I1751-EDA!$A$15)/EDA!$B$15)</f>
        <v>0.21028567737269524</v>
      </c>
      <c r="K1751" t="str">
        <f t="shared" si="27"/>
        <v>No</v>
      </c>
      <c r="L1751">
        <f>ABS((C1751-EDA!$F$15)/EDA!$G$15)</f>
        <v>0.36849846866557334</v>
      </c>
      <c r="M1751" t="str">
        <f>IF(moras[[#This Row],[Z-Score Salario]]&gt;1.96, "Sí", "No")</f>
        <v>No</v>
      </c>
      <c r="N1751" s="14">
        <f>IF(ISBLANK(moras[[#This Row],[SALARIO]]), EDA!$M$8, moras[[#This Row],[SALARIO]])</f>
        <v>430000</v>
      </c>
      <c r="O1751" s="14">
        <f xml:space="preserve"> IF(ISBLANK(moras[[#This Row],[EDAD]]), EDA!$E$8, moras[[#This Row],[EDAD]])</f>
        <v>39</v>
      </c>
      <c r="P1751" s="14" t="str">
        <f>IF(
    OR(ISBLANK(moras[[#This Row],[TIPO_ASEGURAMIENTO]]), moras[[#This Row],[TIPO_ASEGURAMIENTO]]=""),
    EDA!$A$32,
    moras[[#This Row],[TIPO_ASEGURAMIENTO]]
)</f>
        <v>ASALARIADO</v>
      </c>
    </row>
    <row r="1752" spans="1:16" x14ac:dyDescent="0.3">
      <c r="A1752">
        <v>1751</v>
      </c>
      <c r="B1752" t="s">
        <v>15</v>
      </c>
      <c r="C1752">
        <v>340000</v>
      </c>
      <c r="D1752" t="s">
        <v>10</v>
      </c>
      <c r="E1752" t="s">
        <v>16</v>
      </c>
      <c r="F1752" t="s">
        <v>12</v>
      </c>
      <c r="G1752" t="s">
        <v>13</v>
      </c>
      <c r="H1752" t="s">
        <v>13</v>
      </c>
      <c r="I1752">
        <v>26</v>
      </c>
      <c r="J1752">
        <f>ABS((I1752-EDA!$A$15)/EDA!$B$15)</f>
        <v>1.1277649683754829</v>
      </c>
      <c r="K1752" t="str">
        <f t="shared" si="27"/>
        <v>No</v>
      </c>
      <c r="L1752">
        <f>ABS((C1752-EDA!$F$15)/EDA!$G$15)</f>
        <v>0.36999613219767108</v>
      </c>
      <c r="M1752" t="str">
        <f>IF(moras[[#This Row],[Z-Score Salario]]&gt;1.96, "Sí", "No")</f>
        <v>No</v>
      </c>
      <c r="N1752" s="14">
        <f>IF(ISBLANK(moras[[#This Row],[SALARIO]]), EDA!$M$8, moras[[#This Row],[SALARIO]])</f>
        <v>340000</v>
      </c>
      <c r="O1752" s="14">
        <f xml:space="preserve"> IF(ISBLANK(moras[[#This Row],[EDAD]]), EDA!$E$8, moras[[#This Row],[EDAD]])</f>
        <v>26</v>
      </c>
      <c r="P1752" s="14" t="str">
        <f>IF(
    OR(ISBLANK(moras[[#This Row],[TIPO_ASEGURAMIENTO]]), moras[[#This Row],[TIPO_ASEGURAMIENTO]]=""),
    EDA!$A$32,
    moras[[#This Row],[TIPO_ASEGURAMIENTO]]
)</f>
        <v>ASALARIADO</v>
      </c>
    </row>
    <row r="1753" spans="1:16" x14ac:dyDescent="0.3">
      <c r="A1753">
        <v>1752</v>
      </c>
      <c r="B1753" t="s">
        <v>15</v>
      </c>
      <c r="C1753">
        <v>118322701</v>
      </c>
      <c r="D1753" t="s">
        <v>10</v>
      </c>
      <c r="E1753" t="s">
        <v>16</v>
      </c>
      <c r="F1753" t="s">
        <v>12</v>
      </c>
      <c r="G1753" t="s">
        <v>13</v>
      </c>
      <c r="H1753" t="s">
        <v>13</v>
      </c>
      <c r="I1753">
        <v>32</v>
      </c>
      <c r="J1753">
        <f>ABS((I1753-EDA!$A$15)/EDA!$B$15)</f>
        <v>0.70431298791265773</v>
      </c>
      <c r="K1753" t="str">
        <f t="shared" si="27"/>
        <v>No</v>
      </c>
      <c r="L1753">
        <f>ABS((C1753-EDA!$F$15)/EDA!$G$15)</f>
        <v>1.5933192978700206</v>
      </c>
      <c r="M1753" t="str">
        <f>IF(moras[[#This Row],[Z-Score Salario]]&gt;1.96, "Sí", "No")</f>
        <v>No</v>
      </c>
      <c r="N1753" s="14">
        <f>IF(ISBLANK(moras[[#This Row],[SALARIO]]), EDA!$M$8, moras[[#This Row],[SALARIO]])</f>
        <v>118322701</v>
      </c>
      <c r="O1753" s="14">
        <f xml:space="preserve"> IF(ISBLANK(moras[[#This Row],[EDAD]]), EDA!$E$8, moras[[#This Row],[EDAD]])</f>
        <v>32</v>
      </c>
      <c r="P1753" s="14" t="str">
        <f>IF(
    OR(ISBLANK(moras[[#This Row],[TIPO_ASEGURAMIENTO]]), moras[[#This Row],[TIPO_ASEGURAMIENTO]]=""),
    EDA!$A$32,
    moras[[#This Row],[TIPO_ASEGURAMIENTO]]
)</f>
        <v>ASALARIADO</v>
      </c>
    </row>
    <row r="1754" spans="1:16" x14ac:dyDescent="0.3">
      <c r="A1754">
        <v>1753</v>
      </c>
      <c r="B1754" t="s">
        <v>15</v>
      </c>
      <c r="C1754">
        <v>392375</v>
      </c>
      <c r="D1754" t="s">
        <v>10</v>
      </c>
      <c r="E1754" t="s">
        <v>16</v>
      </c>
      <c r="F1754" t="s">
        <v>12</v>
      </c>
      <c r="G1754" t="s">
        <v>13</v>
      </c>
      <c r="H1754" t="s">
        <v>13</v>
      </c>
      <c r="I1754">
        <v>33</v>
      </c>
      <c r="J1754">
        <f>ABS((I1754-EDA!$A$15)/EDA!$B$15)</f>
        <v>0.63373765783552027</v>
      </c>
      <c r="K1754" t="str">
        <f t="shared" si="27"/>
        <v>No</v>
      </c>
      <c r="L1754">
        <f>ABS((C1754-EDA!$F$15)/EDA!$G$15)</f>
        <v>0.36912457522551972</v>
      </c>
      <c r="M1754" t="str">
        <f>IF(moras[[#This Row],[Z-Score Salario]]&gt;1.96, "Sí", "No")</f>
        <v>No</v>
      </c>
      <c r="N1754" s="14">
        <f>IF(ISBLANK(moras[[#This Row],[SALARIO]]), EDA!$M$8, moras[[#This Row],[SALARIO]])</f>
        <v>392375</v>
      </c>
      <c r="O1754" s="14">
        <f xml:space="preserve"> IF(ISBLANK(moras[[#This Row],[EDAD]]), EDA!$E$8, moras[[#This Row],[EDAD]])</f>
        <v>33</v>
      </c>
      <c r="P1754" s="14" t="str">
        <f>IF(
    OR(ISBLANK(moras[[#This Row],[TIPO_ASEGURAMIENTO]]), moras[[#This Row],[TIPO_ASEGURAMIENTO]]=""),
    EDA!$A$32,
    moras[[#This Row],[TIPO_ASEGURAMIENTO]]
)</f>
        <v>ASALARIADO</v>
      </c>
    </row>
    <row r="1755" spans="1:16" x14ac:dyDescent="0.3">
      <c r="A1755">
        <v>1754</v>
      </c>
      <c r="B1755" t="s">
        <v>15</v>
      </c>
      <c r="C1755">
        <v>278030</v>
      </c>
      <c r="D1755" t="s">
        <v>19</v>
      </c>
      <c r="E1755" t="s">
        <v>16</v>
      </c>
      <c r="F1755" t="s">
        <v>12</v>
      </c>
      <c r="G1755" t="s">
        <v>13</v>
      </c>
      <c r="H1755" t="s">
        <v>13</v>
      </c>
      <c r="I1755">
        <v>53</v>
      </c>
      <c r="J1755">
        <f>ABS((I1755-EDA!$A$15)/EDA!$B$15)</f>
        <v>0.77776894370722982</v>
      </c>
      <c r="K1755" t="str">
        <f t="shared" si="27"/>
        <v>No</v>
      </c>
      <c r="L1755">
        <f>ABS((C1755-EDA!$F$15)/EDA!$G$15)</f>
        <v>0.37102735674304993</v>
      </c>
      <c r="M1755" t="str">
        <f>IF(moras[[#This Row],[Z-Score Salario]]&gt;1.96, "Sí", "No")</f>
        <v>No</v>
      </c>
      <c r="N1755" s="14">
        <f>IF(ISBLANK(moras[[#This Row],[SALARIO]]), EDA!$M$8, moras[[#This Row],[SALARIO]])</f>
        <v>278030</v>
      </c>
      <c r="O1755" s="14">
        <f xml:space="preserve"> IF(ISBLANK(moras[[#This Row],[EDAD]]), EDA!$E$8, moras[[#This Row],[EDAD]])</f>
        <v>53</v>
      </c>
      <c r="P1755" s="14" t="str">
        <f>IF(
    OR(ISBLANK(moras[[#This Row],[TIPO_ASEGURAMIENTO]]), moras[[#This Row],[TIPO_ASEGURAMIENTO]]=""),
    EDA!$A$32,
    moras[[#This Row],[TIPO_ASEGURAMIENTO]]
)</f>
        <v>CONVENIOS ESPECIALES DE TRABAJADORES INDEPENDIENTES</v>
      </c>
    </row>
    <row r="1756" spans="1:16" x14ac:dyDescent="0.3">
      <c r="A1756">
        <v>1755</v>
      </c>
      <c r="B1756" t="s">
        <v>15</v>
      </c>
      <c r="C1756">
        <v>436448</v>
      </c>
      <c r="D1756" t="s">
        <v>18</v>
      </c>
      <c r="E1756" t="s">
        <v>16</v>
      </c>
      <c r="F1756" t="s">
        <v>12</v>
      </c>
      <c r="G1756" t="s">
        <v>13</v>
      </c>
      <c r="H1756" t="s">
        <v>13</v>
      </c>
      <c r="I1756">
        <v>37</v>
      </c>
      <c r="J1756">
        <f>ABS((I1756-EDA!$A$15)/EDA!$B$15)</f>
        <v>0.35143633752697023</v>
      </c>
      <c r="K1756" t="str">
        <f t="shared" si="27"/>
        <v>No</v>
      </c>
      <c r="L1756">
        <f>ABS((C1756-EDA!$F$15)/EDA!$G$15)</f>
        <v>0.36839116939385147</v>
      </c>
      <c r="M1756" t="str">
        <f>IF(moras[[#This Row],[Z-Score Salario]]&gt;1.96, "Sí", "No")</f>
        <v>No</v>
      </c>
      <c r="N1756" s="14">
        <f>IF(ISBLANK(moras[[#This Row],[SALARIO]]), EDA!$M$8, moras[[#This Row],[SALARIO]])</f>
        <v>436448</v>
      </c>
      <c r="O1756" s="14">
        <f xml:space="preserve"> IF(ISBLANK(moras[[#This Row],[EDAD]]), EDA!$E$8, moras[[#This Row],[EDAD]])</f>
        <v>37</v>
      </c>
      <c r="P1756" s="14" t="str">
        <f>IF(
    OR(ISBLANK(moras[[#This Row],[TIPO_ASEGURAMIENTO]]), moras[[#This Row],[TIPO_ASEGURAMIENTO]]=""),
    EDA!$A$32,
    moras[[#This Row],[TIPO_ASEGURAMIENTO]]
)</f>
        <v>TRABAJADOR INDEPENDIENTE</v>
      </c>
    </row>
    <row r="1757" spans="1:16" x14ac:dyDescent="0.3">
      <c r="A1757">
        <v>1756</v>
      </c>
      <c r="B1757" t="s">
        <v>9</v>
      </c>
      <c r="C1757">
        <v>21938152</v>
      </c>
      <c r="D1757" t="s">
        <v>10</v>
      </c>
      <c r="E1757" t="s">
        <v>16</v>
      </c>
      <c r="F1757" t="s">
        <v>12</v>
      </c>
      <c r="G1757" t="s">
        <v>12</v>
      </c>
      <c r="H1757" t="s">
        <v>13</v>
      </c>
      <c r="I1757">
        <v>53</v>
      </c>
      <c r="J1757">
        <f>ABS((I1757-EDA!$A$15)/EDA!$B$15)</f>
        <v>0.77776894370722982</v>
      </c>
      <c r="K1757" t="str">
        <f t="shared" si="27"/>
        <v>No</v>
      </c>
      <c r="L1757">
        <f>ABS((C1757-EDA!$F$15)/EDA!$G$15)</f>
        <v>1.0587636518737779E-2</v>
      </c>
      <c r="M1757" t="str">
        <f>IF(moras[[#This Row],[Z-Score Salario]]&gt;1.96, "Sí", "No")</f>
        <v>No</v>
      </c>
      <c r="N1757" s="14">
        <f>IF(ISBLANK(moras[[#This Row],[SALARIO]]), EDA!$M$8, moras[[#This Row],[SALARIO]])</f>
        <v>21938152</v>
      </c>
      <c r="O1757" s="14">
        <f xml:space="preserve"> IF(ISBLANK(moras[[#This Row],[EDAD]]), EDA!$E$8, moras[[#This Row],[EDAD]])</f>
        <v>53</v>
      </c>
      <c r="P1757" s="14" t="str">
        <f>IF(
    OR(ISBLANK(moras[[#This Row],[TIPO_ASEGURAMIENTO]]), moras[[#This Row],[TIPO_ASEGURAMIENTO]]=""),
    EDA!$A$32,
    moras[[#This Row],[TIPO_ASEGURAMIENTO]]
)</f>
        <v>ASALARIADO</v>
      </c>
    </row>
    <row r="1758" spans="1:16" x14ac:dyDescent="0.3">
      <c r="A1758">
        <v>1757</v>
      </c>
      <c r="B1758" t="s">
        <v>15</v>
      </c>
      <c r="C1758">
        <v>359500</v>
      </c>
      <c r="D1758" t="s">
        <v>10</v>
      </c>
      <c r="E1758" t="s">
        <v>16</v>
      </c>
      <c r="F1758" t="s">
        <v>12</v>
      </c>
      <c r="G1758" t="s">
        <v>13</v>
      </c>
      <c r="H1758" t="s">
        <v>13</v>
      </c>
      <c r="I1758">
        <v>41</v>
      </c>
      <c r="J1758">
        <f>ABS((I1758-EDA!$A$15)/EDA!$B$15)</f>
        <v>6.9135017218420233E-2</v>
      </c>
      <c r="K1758" t="str">
        <f t="shared" si="27"/>
        <v>No</v>
      </c>
      <c r="L1758">
        <f>ABS((C1758-EDA!$F$15)/EDA!$G$15)</f>
        <v>0.36967163843238321</v>
      </c>
      <c r="M1758" t="str">
        <f>IF(moras[[#This Row],[Z-Score Salario]]&gt;1.96, "Sí", "No")</f>
        <v>No</v>
      </c>
      <c r="N1758" s="14">
        <f>IF(ISBLANK(moras[[#This Row],[SALARIO]]), EDA!$M$8, moras[[#This Row],[SALARIO]])</f>
        <v>359500</v>
      </c>
      <c r="O1758" s="14">
        <f xml:space="preserve"> IF(ISBLANK(moras[[#This Row],[EDAD]]), EDA!$E$8, moras[[#This Row],[EDAD]])</f>
        <v>41</v>
      </c>
      <c r="P1758" s="14" t="str">
        <f>IF(
    OR(ISBLANK(moras[[#This Row],[TIPO_ASEGURAMIENTO]]), moras[[#This Row],[TIPO_ASEGURAMIENTO]]=""),
    EDA!$A$32,
    moras[[#This Row],[TIPO_ASEGURAMIENTO]]
)</f>
        <v>ASALARIADO</v>
      </c>
    </row>
    <row r="1759" spans="1:16" x14ac:dyDescent="0.3">
      <c r="A1759">
        <v>1758</v>
      </c>
      <c r="B1759" t="s">
        <v>9</v>
      </c>
      <c r="C1759">
        <v>300018</v>
      </c>
      <c r="D1759" t="s">
        <v>18</v>
      </c>
      <c r="E1759" t="s">
        <v>16</v>
      </c>
      <c r="F1759" t="s">
        <v>12</v>
      </c>
      <c r="G1759" t="s">
        <v>13</v>
      </c>
      <c r="H1759" t="s">
        <v>12</v>
      </c>
      <c r="I1759">
        <v>62</v>
      </c>
      <c r="J1759">
        <f>ABS((I1759-EDA!$A$15)/EDA!$B$15)</f>
        <v>1.4129469144014672</v>
      </c>
      <c r="K1759" t="str">
        <f t="shared" si="27"/>
        <v>No</v>
      </c>
      <c r="L1759">
        <f>ABS((C1759-EDA!$F$15)/EDA!$G$15)</f>
        <v>0.37066146090145252</v>
      </c>
      <c r="M1759" t="str">
        <f>IF(moras[[#This Row],[Z-Score Salario]]&gt;1.96, "Sí", "No")</f>
        <v>No</v>
      </c>
      <c r="N1759" s="14">
        <f>IF(ISBLANK(moras[[#This Row],[SALARIO]]), EDA!$M$8, moras[[#This Row],[SALARIO]])</f>
        <v>300018</v>
      </c>
      <c r="O1759" s="14">
        <f xml:space="preserve"> IF(ISBLANK(moras[[#This Row],[EDAD]]), EDA!$E$8, moras[[#This Row],[EDAD]])</f>
        <v>62</v>
      </c>
      <c r="P1759" s="14" t="str">
        <f>IF(
    OR(ISBLANK(moras[[#This Row],[TIPO_ASEGURAMIENTO]]), moras[[#This Row],[TIPO_ASEGURAMIENTO]]=""),
    EDA!$A$32,
    moras[[#This Row],[TIPO_ASEGURAMIENTO]]
)</f>
        <v>TRABAJADOR INDEPENDIENTE</v>
      </c>
    </row>
    <row r="1760" spans="1:16" x14ac:dyDescent="0.3">
      <c r="A1760">
        <v>1759</v>
      </c>
      <c r="B1760" t="s">
        <v>9</v>
      </c>
      <c r="C1760">
        <v>300018</v>
      </c>
      <c r="D1760" t="s">
        <v>17</v>
      </c>
      <c r="E1760" t="s">
        <v>16</v>
      </c>
      <c r="F1760" t="s">
        <v>12</v>
      </c>
      <c r="G1760" t="s">
        <v>13</v>
      </c>
      <c r="H1760" t="s">
        <v>13</v>
      </c>
      <c r="I1760">
        <v>60</v>
      </c>
      <c r="J1760">
        <f>ABS((I1760-EDA!$A$15)/EDA!$B$15)</f>
        <v>1.2717962542471923</v>
      </c>
      <c r="K1760" t="str">
        <f t="shared" si="27"/>
        <v>No</v>
      </c>
      <c r="L1760">
        <f>ABS((C1760-EDA!$F$15)/EDA!$G$15)</f>
        <v>0.37066146090145252</v>
      </c>
      <c r="M1760" t="str">
        <f>IF(moras[[#This Row],[Z-Score Salario]]&gt;1.96, "Sí", "No")</f>
        <v>No</v>
      </c>
      <c r="N1760" s="14">
        <f>IF(ISBLANK(moras[[#This Row],[SALARIO]]), EDA!$M$8, moras[[#This Row],[SALARIO]])</f>
        <v>300018</v>
      </c>
      <c r="O1760" s="14">
        <f xml:space="preserve"> IF(ISBLANK(moras[[#This Row],[EDAD]]), EDA!$E$8, moras[[#This Row],[EDAD]])</f>
        <v>60</v>
      </c>
      <c r="P1760" s="14" t="str">
        <f>IF(
    OR(ISBLANK(moras[[#This Row],[TIPO_ASEGURAMIENTO]]), moras[[#This Row],[TIPO_ASEGURAMIENTO]]=""),
    EDA!$A$32,
    moras[[#This Row],[TIPO_ASEGURAMIENTO]]
)</f>
        <v>ASEGURADO VOLUNTARIO</v>
      </c>
    </row>
    <row r="1761" spans="1:16" x14ac:dyDescent="0.3">
      <c r="A1761">
        <v>1760</v>
      </c>
      <c r="B1761" t="s">
        <v>9</v>
      </c>
      <c r="C1761">
        <v>297046</v>
      </c>
      <c r="D1761" t="s">
        <v>17</v>
      </c>
      <c r="E1761" t="s">
        <v>16</v>
      </c>
      <c r="F1761" t="s">
        <v>12</v>
      </c>
      <c r="G1761" t="s">
        <v>13</v>
      </c>
      <c r="H1761" t="s">
        <v>13</v>
      </c>
      <c r="I1761">
        <v>68</v>
      </c>
      <c r="J1761">
        <f>ABS((I1761-EDA!$A$15)/EDA!$B$15)</f>
        <v>1.8363988948642924</v>
      </c>
      <c r="K1761" t="str">
        <f t="shared" si="27"/>
        <v>No</v>
      </c>
      <c r="L1761">
        <f>ABS((C1761-EDA!$F$15)/EDA!$G$15)</f>
        <v>0.37071091707942361</v>
      </c>
      <c r="M1761" t="str">
        <f>IF(moras[[#This Row],[Z-Score Salario]]&gt;1.96, "Sí", "No")</f>
        <v>No</v>
      </c>
      <c r="N1761" s="14">
        <f>IF(ISBLANK(moras[[#This Row],[SALARIO]]), EDA!$M$8, moras[[#This Row],[SALARIO]])</f>
        <v>297046</v>
      </c>
      <c r="O1761" s="14">
        <f xml:space="preserve"> IF(ISBLANK(moras[[#This Row],[EDAD]]), EDA!$E$8, moras[[#This Row],[EDAD]])</f>
        <v>68</v>
      </c>
      <c r="P1761" s="14" t="str">
        <f>IF(
    OR(ISBLANK(moras[[#This Row],[TIPO_ASEGURAMIENTO]]), moras[[#This Row],[TIPO_ASEGURAMIENTO]]=""),
    EDA!$A$32,
    moras[[#This Row],[TIPO_ASEGURAMIENTO]]
)</f>
        <v>ASEGURADO VOLUNTARIO</v>
      </c>
    </row>
    <row r="1762" spans="1:16" x14ac:dyDescent="0.3">
      <c r="A1762">
        <v>1761</v>
      </c>
      <c r="B1762" t="s">
        <v>9</v>
      </c>
      <c r="C1762">
        <v>42591667</v>
      </c>
      <c r="D1762" t="s">
        <v>10</v>
      </c>
      <c r="E1762" t="s">
        <v>16</v>
      </c>
      <c r="F1762" t="s">
        <v>12</v>
      </c>
      <c r="G1762" t="s">
        <v>13</v>
      </c>
      <c r="H1762" t="s">
        <v>13</v>
      </c>
      <c r="I1762">
        <v>22</v>
      </c>
      <c r="J1762">
        <f>ABS((I1762-EDA!$A$15)/EDA!$B$15)</f>
        <v>1.4100662886840327</v>
      </c>
      <c r="K1762" t="str">
        <f t="shared" si="27"/>
        <v>No</v>
      </c>
      <c r="L1762">
        <f>ABS((C1762-EDA!$F$15)/EDA!$G$15)</f>
        <v>0.33310143264941533</v>
      </c>
      <c r="M1762" t="str">
        <f>IF(moras[[#This Row],[Z-Score Salario]]&gt;1.96, "Sí", "No")</f>
        <v>No</v>
      </c>
      <c r="N1762" s="14">
        <f>IF(ISBLANK(moras[[#This Row],[SALARIO]]), EDA!$M$8, moras[[#This Row],[SALARIO]])</f>
        <v>42591667</v>
      </c>
      <c r="O1762" s="14">
        <f xml:space="preserve"> IF(ISBLANK(moras[[#This Row],[EDAD]]), EDA!$E$8, moras[[#This Row],[EDAD]])</f>
        <v>22</v>
      </c>
      <c r="P1762" s="14" t="str">
        <f>IF(
    OR(ISBLANK(moras[[#This Row],[TIPO_ASEGURAMIENTO]]), moras[[#This Row],[TIPO_ASEGURAMIENTO]]=""),
    EDA!$A$32,
    moras[[#This Row],[TIPO_ASEGURAMIENTO]]
)</f>
        <v>ASALARIADO</v>
      </c>
    </row>
    <row r="1763" spans="1:16" x14ac:dyDescent="0.3">
      <c r="A1763">
        <v>1762</v>
      </c>
      <c r="B1763" t="s">
        <v>15</v>
      </c>
      <c r="C1763">
        <v>318064</v>
      </c>
      <c r="D1763" t="s">
        <v>18</v>
      </c>
      <c r="E1763" t="s">
        <v>16</v>
      </c>
      <c r="F1763" t="s">
        <v>12</v>
      </c>
      <c r="G1763" t="s">
        <v>13</v>
      </c>
      <c r="H1763" t="s">
        <v>12</v>
      </c>
      <c r="I1763">
        <v>38</v>
      </c>
      <c r="J1763">
        <f>ABS((I1763-EDA!$A$15)/EDA!$B$15)</f>
        <v>0.28086100744983278</v>
      </c>
      <c r="K1763" t="str">
        <f t="shared" si="27"/>
        <v>No</v>
      </c>
      <c r="L1763">
        <f>ABS((C1763-EDA!$F$15)/EDA!$G$15)</f>
        <v>0.37036116272256103</v>
      </c>
      <c r="M1763" t="str">
        <f>IF(moras[[#This Row],[Z-Score Salario]]&gt;1.96, "Sí", "No")</f>
        <v>No</v>
      </c>
      <c r="N1763" s="14">
        <f>IF(ISBLANK(moras[[#This Row],[SALARIO]]), EDA!$M$8, moras[[#This Row],[SALARIO]])</f>
        <v>318064</v>
      </c>
      <c r="O1763" s="14">
        <f xml:space="preserve"> IF(ISBLANK(moras[[#This Row],[EDAD]]), EDA!$E$8, moras[[#This Row],[EDAD]])</f>
        <v>38</v>
      </c>
      <c r="P1763" s="14" t="str">
        <f>IF(
    OR(ISBLANK(moras[[#This Row],[TIPO_ASEGURAMIENTO]]), moras[[#This Row],[TIPO_ASEGURAMIENTO]]=""),
    EDA!$A$32,
    moras[[#This Row],[TIPO_ASEGURAMIENTO]]
)</f>
        <v>TRABAJADOR INDEPENDIENTE</v>
      </c>
    </row>
    <row r="1764" spans="1:16" x14ac:dyDescent="0.3">
      <c r="A1764">
        <v>1763</v>
      </c>
      <c r="B1764" t="s">
        <v>9</v>
      </c>
      <c r="C1764">
        <v>9492451</v>
      </c>
      <c r="D1764" t="s">
        <v>10</v>
      </c>
      <c r="E1764" t="s">
        <v>11</v>
      </c>
      <c r="F1764" t="s">
        <v>12</v>
      </c>
      <c r="G1764" t="s">
        <v>13</v>
      </c>
      <c r="H1764" t="s">
        <v>13</v>
      </c>
      <c r="I1764">
        <v>44</v>
      </c>
      <c r="J1764">
        <f>ABS((I1764-EDA!$A$15)/EDA!$B$15)</f>
        <v>0.14259097301299228</v>
      </c>
      <c r="K1764" t="str">
        <f t="shared" si="27"/>
        <v>No</v>
      </c>
      <c r="L1764">
        <f>ABS((C1764-EDA!$F$15)/EDA!$G$15)</f>
        <v>0.21769288673087611</v>
      </c>
      <c r="M1764" t="str">
        <f>IF(moras[[#This Row],[Z-Score Salario]]&gt;1.96, "Sí", "No")</f>
        <v>No</v>
      </c>
      <c r="N1764" s="14">
        <f>IF(ISBLANK(moras[[#This Row],[SALARIO]]), EDA!$M$8, moras[[#This Row],[SALARIO]])</f>
        <v>9492451</v>
      </c>
      <c r="O1764" s="14">
        <f xml:space="preserve"> IF(ISBLANK(moras[[#This Row],[EDAD]]), EDA!$E$8, moras[[#This Row],[EDAD]])</f>
        <v>44</v>
      </c>
      <c r="P1764" s="14" t="str">
        <f>IF(
    OR(ISBLANK(moras[[#This Row],[TIPO_ASEGURAMIENTO]]), moras[[#This Row],[TIPO_ASEGURAMIENTO]]=""),
    EDA!$A$32,
    moras[[#This Row],[TIPO_ASEGURAMIENTO]]
)</f>
        <v>ASALARIADO</v>
      </c>
    </row>
    <row r="1765" spans="1:16" x14ac:dyDescent="0.3">
      <c r="A1765">
        <v>1764</v>
      </c>
      <c r="B1765" t="s">
        <v>9</v>
      </c>
      <c r="C1765">
        <v>329608</v>
      </c>
      <c r="D1765" t="s">
        <v>18</v>
      </c>
      <c r="E1765" t="s">
        <v>16</v>
      </c>
      <c r="F1765" t="s">
        <v>12</v>
      </c>
      <c r="G1765" t="s">
        <v>13</v>
      </c>
      <c r="H1765" t="s">
        <v>13</v>
      </c>
      <c r="I1765">
        <v>44</v>
      </c>
      <c r="J1765">
        <f>ABS((I1765-EDA!$A$15)/EDA!$B$15)</f>
        <v>0.14259097301299228</v>
      </c>
      <c r="K1765" t="str">
        <f t="shared" si="27"/>
        <v>No</v>
      </c>
      <c r="L1765">
        <f>ABS((C1765-EDA!$F$15)/EDA!$G$15)</f>
        <v>0.37016906241351061</v>
      </c>
      <c r="M1765" t="str">
        <f>IF(moras[[#This Row],[Z-Score Salario]]&gt;1.96, "Sí", "No")</f>
        <v>No</v>
      </c>
      <c r="N1765" s="14">
        <f>IF(ISBLANK(moras[[#This Row],[SALARIO]]), EDA!$M$8, moras[[#This Row],[SALARIO]])</f>
        <v>329608</v>
      </c>
      <c r="O1765" s="14">
        <f xml:space="preserve"> IF(ISBLANK(moras[[#This Row],[EDAD]]), EDA!$E$8, moras[[#This Row],[EDAD]])</f>
        <v>44</v>
      </c>
      <c r="P1765" s="14" t="str">
        <f>IF(
    OR(ISBLANK(moras[[#This Row],[TIPO_ASEGURAMIENTO]]), moras[[#This Row],[TIPO_ASEGURAMIENTO]]=""),
    EDA!$A$32,
    moras[[#This Row],[TIPO_ASEGURAMIENTO]]
)</f>
        <v>TRABAJADOR INDEPENDIENTE</v>
      </c>
    </row>
    <row r="1766" spans="1:16" x14ac:dyDescent="0.3">
      <c r="A1766">
        <v>1765</v>
      </c>
      <c r="B1766" t="s">
        <v>15</v>
      </c>
      <c r="C1766">
        <v>33918814</v>
      </c>
      <c r="D1766" t="s">
        <v>10</v>
      </c>
      <c r="E1766" t="s">
        <v>16</v>
      </c>
      <c r="F1766" t="s">
        <v>12</v>
      </c>
      <c r="G1766" t="s">
        <v>13</v>
      </c>
      <c r="H1766" t="s">
        <v>13</v>
      </c>
      <c r="I1766">
        <v>24</v>
      </c>
      <c r="J1766">
        <f>ABS((I1766-EDA!$A$15)/EDA!$B$15)</f>
        <v>1.2689156285297578</v>
      </c>
      <c r="K1766" t="str">
        <f t="shared" si="27"/>
        <v>No</v>
      </c>
      <c r="L1766">
        <f>ABS((C1766-EDA!$F$15)/EDA!$G$15)</f>
        <v>0.18877903645669827</v>
      </c>
      <c r="M1766" t="str">
        <f>IF(moras[[#This Row],[Z-Score Salario]]&gt;1.96, "Sí", "No")</f>
        <v>No</v>
      </c>
      <c r="N1766" s="14">
        <f>IF(ISBLANK(moras[[#This Row],[SALARIO]]), EDA!$M$8, moras[[#This Row],[SALARIO]])</f>
        <v>33918814</v>
      </c>
      <c r="O1766" s="14">
        <f xml:space="preserve"> IF(ISBLANK(moras[[#This Row],[EDAD]]), EDA!$E$8, moras[[#This Row],[EDAD]])</f>
        <v>24</v>
      </c>
      <c r="P1766" s="14" t="str">
        <f>IF(
    OR(ISBLANK(moras[[#This Row],[TIPO_ASEGURAMIENTO]]), moras[[#This Row],[TIPO_ASEGURAMIENTO]]=""),
    EDA!$A$32,
    moras[[#This Row],[TIPO_ASEGURAMIENTO]]
)</f>
        <v>ASALARIADO</v>
      </c>
    </row>
    <row r="1767" spans="1:16" x14ac:dyDescent="0.3">
      <c r="A1767">
        <v>1766</v>
      </c>
      <c r="B1767" t="s">
        <v>15</v>
      </c>
      <c r="C1767">
        <v>3777606</v>
      </c>
      <c r="D1767" t="s">
        <v>10</v>
      </c>
      <c r="E1767" t="s">
        <v>16</v>
      </c>
      <c r="F1767" t="s">
        <v>12</v>
      </c>
      <c r="G1767" t="s">
        <v>13</v>
      </c>
      <c r="H1767" t="s">
        <v>13</v>
      </c>
      <c r="I1767">
        <v>19</v>
      </c>
      <c r="J1767">
        <f>ABS((I1767-EDA!$A$15)/EDA!$B$15)</f>
        <v>1.6217922789154453</v>
      </c>
      <c r="K1767" t="str">
        <f t="shared" si="27"/>
        <v>No</v>
      </c>
      <c r="L1767">
        <f>ABS((C1767-EDA!$F$15)/EDA!$G$15)</f>
        <v>0.31279194170966657</v>
      </c>
      <c r="M1767" t="str">
        <f>IF(moras[[#This Row],[Z-Score Salario]]&gt;1.96, "Sí", "No")</f>
        <v>No</v>
      </c>
      <c r="N1767" s="14">
        <f>IF(ISBLANK(moras[[#This Row],[SALARIO]]), EDA!$M$8, moras[[#This Row],[SALARIO]])</f>
        <v>3777606</v>
      </c>
      <c r="O1767" s="14">
        <f xml:space="preserve"> IF(ISBLANK(moras[[#This Row],[EDAD]]), EDA!$E$8, moras[[#This Row],[EDAD]])</f>
        <v>19</v>
      </c>
      <c r="P1767" s="14" t="str">
        <f>IF(
    OR(ISBLANK(moras[[#This Row],[TIPO_ASEGURAMIENTO]]), moras[[#This Row],[TIPO_ASEGURAMIENTO]]=""),
    EDA!$A$32,
    moras[[#This Row],[TIPO_ASEGURAMIENTO]]
)</f>
        <v>ASALARIADO</v>
      </c>
    </row>
    <row r="1768" spans="1:16" x14ac:dyDescent="0.3">
      <c r="A1768">
        <v>1767</v>
      </c>
      <c r="B1768" t="s">
        <v>9</v>
      </c>
      <c r="C1768">
        <v>300010</v>
      </c>
      <c r="D1768" t="s">
        <v>17</v>
      </c>
      <c r="E1768" t="s">
        <v>16</v>
      </c>
      <c r="F1768" t="s">
        <v>12</v>
      </c>
      <c r="G1768" t="s">
        <v>13</v>
      </c>
      <c r="H1768" t="s">
        <v>13</v>
      </c>
      <c r="I1768">
        <v>44</v>
      </c>
      <c r="J1768">
        <f>ABS((I1768-EDA!$A$15)/EDA!$B$15)</f>
        <v>0.14259097301299228</v>
      </c>
      <c r="K1768" t="str">
        <f t="shared" si="27"/>
        <v>No</v>
      </c>
      <c r="L1768">
        <f>ABS((C1768-EDA!$F$15)/EDA!$G$15)</f>
        <v>0.37066159402709981</v>
      </c>
      <c r="M1768" t="str">
        <f>IF(moras[[#This Row],[Z-Score Salario]]&gt;1.96, "Sí", "No")</f>
        <v>No</v>
      </c>
      <c r="N1768" s="14">
        <f>IF(ISBLANK(moras[[#This Row],[SALARIO]]), EDA!$M$8, moras[[#This Row],[SALARIO]])</f>
        <v>300010</v>
      </c>
      <c r="O1768" s="14">
        <f xml:space="preserve"> IF(ISBLANK(moras[[#This Row],[EDAD]]), EDA!$E$8, moras[[#This Row],[EDAD]])</f>
        <v>44</v>
      </c>
      <c r="P1768" s="14" t="str">
        <f>IF(
    OR(ISBLANK(moras[[#This Row],[TIPO_ASEGURAMIENTO]]), moras[[#This Row],[TIPO_ASEGURAMIENTO]]=""),
    EDA!$A$32,
    moras[[#This Row],[TIPO_ASEGURAMIENTO]]
)</f>
        <v>ASEGURADO VOLUNTARIO</v>
      </c>
    </row>
    <row r="1769" spans="1:16" x14ac:dyDescent="0.3">
      <c r="A1769">
        <v>1768</v>
      </c>
      <c r="B1769" t="s">
        <v>15</v>
      </c>
      <c r="C1769">
        <v>360000</v>
      </c>
      <c r="D1769" t="s">
        <v>10</v>
      </c>
      <c r="E1769" t="s">
        <v>16</v>
      </c>
      <c r="F1769" t="s">
        <v>12</v>
      </c>
      <c r="G1769" t="s">
        <v>13</v>
      </c>
      <c r="H1769" t="s">
        <v>13</v>
      </c>
      <c r="I1769">
        <v>23</v>
      </c>
      <c r="J1769">
        <f>ABS((I1769-EDA!$A$15)/EDA!$B$15)</f>
        <v>1.3394909586068953</v>
      </c>
      <c r="K1769" t="str">
        <f t="shared" si="27"/>
        <v>No</v>
      </c>
      <c r="L1769">
        <f>ABS((C1769-EDA!$F$15)/EDA!$G$15)</f>
        <v>0.36966331807942709</v>
      </c>
      <c r="M1769" t="str">
        <f>IF(moras[[#This Row],[Z-Score Salario]]&gt;1.96, "Sí", "No")</f>
        <v>No</v>
      </c>
      <c r="N1769" s="14">
        <f>IF(ISBLANK(moras[[#This Row],[SALARIO]]), EDA!$M$8, moras[[#This Row],[SALARIO]])</f>
        <v>360000</v>
      </c>
      <c r="O1769" s="14">
        <f xml:space="preserve"> IF(ISBLANK(moras[[#This Row],[EDAD]]), EDA!$E$8, moras[[#This Row],[EDAD]])</f>
        <v>23</v>
      </c>
      <c r="P1769" s="14" t="str">
        <f>IF(
    OR(ISBLANK(moras[[#This Row],[TIPO_ASEGURAMIENTO]]), moras[[#This Row],[TIPO_ASEGURAMIENTO]]=""),
    EDA!$A$32,
    moras[[#This Row],[TIPO_ASEGURAMIENTO]]
)</f>
        <v>ASALARIADO</v>
      </c>
    </row>
    <row r="1770" spans="1:16" x14ac:dyDescent="0.3">
      <c r="A1770">
        <v>1769</v>
      </c>
      <c r="B1770" t="s">
        <v>9</v>
      </c>
      <c r="C1770">
        <v>305704</v>
      </c>
      <c r="D1770" t="s">
        <v>17</v>
      </c>
      <c r="E1770" t="s">
        <v>16</v>
      </c>
      <c r="F1770" t="s">
        <v>12</v>
      </c>
      <c r="G1770" t="s">
        <v>13</v>
      </c>
      <c r="H1770" t="s">
        <v>13</v>
      </c>
      <c r="I1770">
        <v>60</v>
      </c>
      <c r="J1770">
        <f>ABS((I1770-EDA!$A$15)/EDA!$B$15)</f>
        <v>1.2717962542471923</v>
      </c>
      <c r="K1770" t="str">
        <f t="shared" si="27"/>
        <v>No</v>
      </c>
      <c r="L1770">
        <f>ABS((C1770-EDA!$F$15)/EDA!$G$15)</f>
        <v>0.37056684184763578</v>
      </c>
      <c r="M1770" t="str">
        <f>IF(moras[[#This Row],[Z-Score Salario]]&gt;1.96, "Sí", "No")</f>
        <v>No</v>
      </c>
      <c r="N1770" s="14">
        <f>IF(ISBLANK(moras[[#This Row],[SALARIO]]), EDA!$M$8, moras[[#This Row],[SALARIO]])</f>
        <v>305704</v>
      </c>
      <c r="O1770" s="14">
        <f xml:space="preserve"> IF(ISBLANK(moras[[#This Row],[EDAD]]), EDA!$E$8, moras[[#This Row],[EDAD]])</f>
        <v>60</v>
      </c>
      <c r="P1770" s="14" t="str">
        <f>IF(
    OR(ISBLANK(moras[[#This Row],[TIPO_ASEGURAMIENTO]]), moras[[#This Row],[TIPO_ASEGURAMIENTO]]=""),
    EDA!$A$32,
    moras[[#This Row],[TIPO_ASEGURAMIENTO]]
)</f>
        <v>ASEGURADO VOLUNTARIO</v>
      </c>
    </row>
    <row r="1771" spans="1:16" x14ac:dyDescent="0.3">
      <c r="A1771">
        <v>1770</v>
      </c>
      <c r="B1771" t="s">
        <v>9</v>
      </c>
      <c r="C1771">
        <v>3496703</v>
      </c>
      <c r="D1771" t="s">
        <v>10</v>
      </c>
      <c r="E1771" t="s">
        <v>16</v>
      </c>
      <c r="F1771" t="s">
        <v>12</v>
      </c>
      <c r="G1771" t="s">
        <v>13</v>
      </c>
      <c r="H1771" t="s">
        <v>13</v>
      </c>
      <c r="I1771">
        <v>32</v>
      </c>
      <c r="J1771">
        <f>ABS((I1771-EDA!$A$15)/EDA!$B$15)</f>
        <v>0.70431298791265773</v>
      </c>
      <c r="K1771" t="str">
        <f t="shared" si="27"/>
        <v>No</v>
      </c>
      <c r="L1771">
        <f>ABS((C1771-EDA!$F$15)/EDA!$G$15)</f>
        <v>0.31746636592252048</v>
      </c>
      <c r="M1771" t="str">
        <f>IF(moras[[#This Row],[Z-Score Salario]]&gt;1.96, "Sí", "No")</f>
        <v>No</v>
      </c>
      <c r="N1771" s="14">
        <f>IF(ISBLANK(moras[[#This Row],[SALARIO]]), EDA!$M$8, moras[[#This Row],[SALARIO]])</f>
        <v>3496703</v>
      </c>
      <c r="O1771" s="14">
        <f xml:space="preserve"> IF(ISBLANK(moras[[#This Row],[EDAD]]), EDA!$E$8, moras[[#This Row],[EDAD]])</f>
        <v>32</v>
      </c>
      <c r="P1771" s="14" t="str">
        <f>IF(
    OR(ISBLANK(moras[[#This Row],[TIPO_ASEGURAMIENTO]]), moras[[#This Row],[TIPO_ASEGURAMIENTO]]=""),
    EDA!$A$32,
    moras[[#This Row],[TIPO_ASEGURAMIENTO]]
)</f>
        <v>ASALARIADO</v>
      </c>
    </row>
    <row r="1772" spans="1:16" x14ac:dyDescent="0.3">
      <c r="A1772">
        <v>1771</v>
      </c>
      <c r="B1772" t="s">
        <v>9</v>
      </c>
      <c r="C1772">
        <v>38138592</v>
      </c>
      <c r="D1772" t="s">
        <v>10</v>
      </c>
      <c r="E1772" t="s">
        <v>16</v>
      </c>
      <c r="F1772" t="s">
        <v>12</v>
      </c>
      <c r="G1772" t="s">
        <v>13</v>
      </c>
      <c r="H1772" t="s">
        <v>13</v>
      </c>
      <c r="I1772">
        <v>43</v>
      </c>
      <c r="J1772">
        <f>ABS((I1772-EDA!$A$15)/EDA!$B$15)</f>
        <v>7.2015642935854773E-2</v>
      </c>
      <c r="K1772" t="str">
        <f t="shared" si="27"/>
        <v>No</v>
      </c>
      <c r="L1772">
        <f>ABS((C1772-EDA!$F$15)/EDA!$G$15)</f>
        <v>0.25899912116945784</v>
      </c>
      <c r="M1772" t="str">
        <f>IF(moras[[#This Row],[Z-Score Salario]]&gt;1.96, "Sí", "No")</f>
        <v>No</v>
      </c>
      <c r="N1772" s="14">
        <f>IF(ISBLANK(moras[[#This Row],[SALARIO]]), EDA!$M$8, moras[[#This Row],[SALARIO]])</f>
        <v>38138592</v>
      </c>
      <c r="O1772" s="14">
        <f xml:space="preserve"> IF(ISBLANK(moras[[#This Row],[EDAD]]), EDA!$E$8, moras[[#This Row],[EDAD]])</f>
        <v>43</v>
      </c>
      <c r="P1772" s="14" t="str">
        <f>IF(
    OR(ISBLANK(moras[[#This Row],[TIPO_ASEGURAMIENTO]]), moras[[#This Row],[TIPO_ASEGURAMIENTO]]=""),
    EDA!$A$32,
    moras[[#This Row],[TIPO_ASEGURAMIENTO]]
)</f>
        <v>ASALARIADO</v>
      </c>
    </row>
    <row r="1773" spans="1:16" x14ac:dyDescent="0.3">
      <c r="A1773">
        <v>1772</v>
      </c>
      <c r="B1773" t="s">
        <v>9</v>
      </c>
      <c r="C1773">
        <v>1272000</v>
      </c>
      <c r="D1773" t="s">
        <v>10</v>
      </c>
      <c r="E1773" t="s">
        <v>16</v>
      </c>
      <c r="F1773" t="s">
        <v>12</v>
      </c>
      <c r="G1773" t="s">
        <v>13</v>
      </c>
      <c r="H1773" t="s">
        <v>13</v>
      </c>
      <c r="I1773">
        <v>32</v>
      </c>
      <c r="J1773">
        <f>ABS((I1773-EDA!$A$15)/EDA!$B$15)</f>
        <v>0.70431298791265773</v>
      </c>
      <c r="K1773" t="str">
        <f t="shared" si="27"/>
        <v>No</v>
      </c>
      <c r="L1773">
        <f>ABS((C1773-EDA!$F$15)/EDA!$G$15)</f>
        <v>0.3544869942875033</v>
      </c>
      <c r="M1773" t="str">
        <f>IF(moras[[#This Row],[Z-Score Salario]]&gt;1.96, "Sí", "No")</f>
        <v>No</v>
      </c>
      <c r="N1773" s="14">
        <f>IF(ISBLANK(moras[[#This Row],[SALARIO]]), EDA!$M$8, moras[[#This Row],[SALARIO]])</f>
        <v>1272000</v>
      </c>
      <c r="O1773" s="14">
        <f xml:space="preserve"> IF(ISBLANK(moras[[#This Row],[EDAD]]), EDA!$E$8, moras[[#This Row],[EDAD]])</f>
        <v>32</v>
      </c>
      <c r="P1773" s="14" t="str">
        <f>IF(
    OR(ISBLANK(moras[[#This Row],[TIPO_ASEGURAMIENTO]]), moras[[#This Row],[TIPO_ASEGURAMIENTO]]=""),
    EDA!$A$32,
    moras[[#This Row],[TIPO_ASEGURAMIENTO]]
)</f>
        <v>ASALARIADO</v>
      </c>
    </row>
    <row r="1774" spans="1:16" x14ac:dyDescent="0.3">
      <c r="A1774">
        <v>1773</v>
      </c>
      <c r="B1774" t="s">
        <v>9</v>
      </c>
      <c r="C1774">
        <v>297046</v>
      </c>
      <c r="D1774" t="s">
        <v>17</v>
      </c>
      <c r="E1774" t="s">
        <v>16</v>
      </c>
      <c r="F1774" t="s">
        <v>13</v>
      </c>
      <c r="G1774" t="s">
        <v>13</v>
      </c>
      <c r="H1774" t="s">
        <v>12</v>
      </c>
      <c r="I1774">
        <v>73</v>
      </c>
      <c r="J1774">
        <f>ABS((I1774-EDA!$A$15)/EDA!$B$15)</f>
        <v>2.1892755452499797</v>
      </c>
      <c r="K1774" t="str">
        <f t="shared" si="27"/>
        <v>Sí</v>
      </c>
      <c r="L1774">
        <f>ABS((C1774-EDA!$F$15)/EDA!$G$15)</f>
        <v>0.37071091707942361</v>
      </c>
      <c r="M1774" t="str">
        <f>IF(moras[[#This Row],[Z-Score Salario]]&gt;1.96, "Sí", "No")</f>
        <v>No</v>
      </c>
      <c r="N1774" s="14">
        <f>IF(ISBLANK(moras[[#This Row],[SALARIO]]), EDA!$M$8, moras[[#This Row],[SALARIO]])</f>
        <v>297046</v>
      </c>
      <c r="O1774" s="14">
        <f xml:space="preserve"> IF(ISBLANK(moras[[#This Row],[EDAD]]), EDA!$E$8, moras[[#This Row],[EDAD]])</f>
        <v>73</v>
      </c>
      <c r="P1774" s="14" t="str">
        <f>IF(
    OR(ISBLANK(moras[[#This Row],[TIPO_ASEGURAMIENTO]]), moras[[#This Row],[TIPO_ASEGURAMIENTO]]=""),
    EDA!$A$32,
    moras[[#This Row],[TIPO_ASEGURAMIENTO]]
)</f>
        <v>ASEGURADO VOLUNTARIO</v>
      </c>
    </row>
    <row r="1775" spans="1:16" x14ac:dyDescent="0.3">
      <c r="A1775">
        <v>1774</v>
      </c>
      <c r="B1775" t="s">
        <v>9</v>
      </c>
      <c r="C1775">
        <v>343391</v>
      </c>
      <c r="D1775" t="s">
        <v>10</v>
      </c>
      <c r="E1775" t="s">
        <v>16</v>
      </c>
      <c r="F1775" t="s">
        <v>12</v>
      </c>
      <c r="G1775" t="s">
        <v>13</v>
      </c>
      <c r="H1775" t="s">
        <v>13</v>
      </c>
      <c r="I1775">
        <v>70</v>
      </c>
      <c r="J1775">
        <f>ABS((I1775-EDA!$A$15)/EDA!$B$15)</f>
        <v>1.9775495550185673</v>
      </c>
      <c r="K1775" t="str">
        <f t="shared" si="27"/>
        <v>Sí</v>
      </c>
      <c r="L1775">
        <f>ABS((C1775-EDA!$F$15)/EDA!$G$15)</f>
        <v>0.36993970356392281</v>
      </c>
      <c r="M1775" t="str">
        <f>IF(moras[[#This Row],[Z-Score Salario]]&gt;1.96, "Sí", "No")</f>
        <v>No</v>
      </c>
      <c r="N1775" s="14">
        <f>IF(ISBLANK(moras[[#This Row],[SALARIO]]), EDA!$M$8, moras[[#This Row],[SALARIO]])</f>
        <v>343391</v>
      </c>
      <c r="O1775" s="14">
        <f xml:space="preserve"> IF(ISBLANK(moras[[#This Row],[EDAD]]), EDA!$E$8, moras[[#This Row],[EDAD]])</f>
        <v>70</v>
      </c>
      <c r="P1775" s="14" t="str">
        <f>IF(
    OR(ISBLANK(moras[[#This Row],[TIPO_ASEGURAMIENTO]]), moras[[#This Row],[TIPO_ASEGURAMIENTO]]=""),
    EDA!$A$32,
    moras[[#This Row],[TIPO_ASEGURAMIENTO]]
)</f>
        <v>ASALARIADO</v>
      </c>
    </row>
    <row r="1776" spans="1:16" x14ac:dyDescent="0.3">
      <c r="A1776">
        <v>1775</v>
      </c>
      <c r="B1776" t="s">
        <v>9</v>
      </c>
      <c r="C1776">
        <v>166204288</v>
      </c>
      <c r="D1776" t="s">
        <v>10</v>
      </c>
      <c r="E1776" t="s">
        <v>11</v>
      </c>
      <c r="F1776" t="s">
        <v>12</v>
      </c>
      <c r="G1776" t="s">
        <v>13</v>
      </c>
      <c r="H1776" t="s">
        <v>13</v>
      </c>
      <c r="I1776">
        <v>57</v>
      </c>
      <c r="J1776">
        <f>ABS((I1776-EDA!$A$15)/EDA!$B$15)</f>
        <v>1.0600702640157798</v>
      </c>
      <c r="K1776" t="str">
        <f t="shared" si="27"/>
        <v>No</v>
      </c>
      <c r="L1776">
        <f>ABS((C1776-EDA!$F$15)/EDA!$G$15)</f>
        <v>2.3901027057463042</v>
      </c>
      <c r="M1776" t="str">
        <f>IF(moras[[#This Row],[Z-Score Salario]]&gt;1.96, "Sí", "No")</f>
        <v>Sí</v>
      </c>
      <c r="N1776" s="14">
        <f>IF(ISBLANK(moras[[#This Row],[SALARIO]]), EDA!$M$8, moras[[#This Row],[SALARIO]])</f>
        <v>166204288</v>
      </c>
      <c r="O1776" s="14">
        <f xml:space="preserve"> IF(ISBLANK(moras[[#This Row],[EDAD]]), EDA!$E$8, moras[[#This Row],[EDAD]])</f>
        <v>57</v>
      </c>
      <c r="P1776" s="14" t="str">
        <f>IF(
    OR(ISBLANK(moras[[#This Row],[TIPO_ASEGURAMIENTO]]), moras[[#This Row],[TIPO_ASEGURAMIENTO]]=""),
    EDA!$A$32,
    moras[[#This Row],[TIPO_ASEGURAMIENTO]]
)</f>
        <v>ASALARIADO</v>
      </c>
    </row>
    <row r="1777" spans="1:16" x14ac:dyDescent="0.3">
      <c r="A1777">
        <v>1776</v>
      </c>
      <c r="B1777" t="s">
        <v>9</v>
      </c>
      <c r="C1777">
        <v>50000</v>
      </c>
      <c r="D1777" t="s">
        <v>10</v>
      </c>
      <c r="E1777" t="s">
        <v>16</v>
      </c>
      <c r="F1777" t="s">
        <v>12</v>
      </c>
      <c r="G1777" t="s">
        <v>13</v>
      </c>
      <c r="H1777" t="s">
        <v>13</v>
      </c>
      <c r="I1777">
        <v>29</v>
      </c>
      <c r="J1777">
        <f>ABS((I1777-EDA!$A$15)/EDA!$B$15)</f>
        <v>0.91603897814407031</v>
      </c>
      <c r="K1777" t="str">
        <f t="shared" si="27"/>
        <v>No</v>
      </c>
      <c r="L1777">
        <f>ABS((C1777-EDA!$F$15)/EDA!$G$15)</f>
        <v>0.37482193691220822</v>
      </c>
      <c r="M1777" t="str">
        <f>IF(moras[[#This Row],[Z-Score Salario]]&gt;1.96, "Sí", "No")</f>
        <v>No</v>
      </c>
      <c r="N1777" s="14">
        <f>IF(ISBLANK(moras[[#This Row],[SALARIO]]), EDA!$M$8, moras[[#This Row],[SALARIO]])</f>
        <v>50000</v>
      </c>
      <c r="O1777" s="14">
        <f xml:space="preserve"> IF(ISBLANK(moras[[#This Row],[EDAD]]), EDA!$E$8, moras[[#This Row],[EDAD]])</f>
        <v>29</v>
      </c>
      <c r="P1777" s="14" t="str">
        <f>IF(
    OR(ISBLANK(moras[[#This Row],[TIPO_ASEGURAMIENTO]]), moras[[#This Row],[TIPO_ASEGURAMIENTO]]=""),
    EDA!$A$32,
    moras[[#This Row],[TIPO_ASEGURAMIENTO]]
)</f>
        <v>ASALARIADO</v>
      </c>
    </row>
    <row r="1778" spans="1:16" x14ac:dyDescent="0.3">
      <c r="A1778">
        <v>1777</v>
      </c>
      <c r="B1778" t="s">
        <v>15</v>
      </c>
      <c r="C1778">
        <v>376500</v>
      </c>
      <c r="D1778" t="s">
        <v>10</v>
      </c>
      <c r="E1778" t="s">
        <v>16</v>
      </c>
      <c r="F1778" t="s">
        <v>12</v>
      </c>
      <c r="G1778" t="s">
        <v>12</v>
      </c>
      <c r="H1778" t="s">
        <v>13</v>
      </c>
      <c r="I1778">
        <v>28</v>
      </c>
      <c r="J1778">
        <f>ABS((I1778-EDA!$A$15)/EDA!$B$15)</f>
        <v>0.98661430822120777</v>
      </c>
      <c r="K1778" t="str">
        <f t="shared" si="27"/>
        <v>No</v>
      </c>
      <c r="L1778">
        <f>ABS((C1778-EDA!$F$15)/EDA!$G$15)</f>
        <v>0.36938874643187586</v>
      </c>
      <c r="M1778" t="str">
        <f>IF(moras[[#This Row],[Z-Score Salario]]&gt;1.96, "Sí", "No")</f>
        <v>No</v>
      </c>
      <c r="N1778" s="14">
        <f>IF(ISBLANK(moras[[#This Row],[SALARIO]]), EDA!$M$8, moras[[#This Row],[SALARIO]])</f>
        <v>376500</v>
      </c>
      <c r="O1778" s="14">
        <f xml:space="preserve"> IF(ISBLANK(moras[[#This Row],[EDAD]]), EDA!$E$8, moras[[#This Row],[EDAD]])</f>
        <v>28</v>
      </c>
      <c r="P1778" s="14" t="str">
        <f>IF(
    OR(ISBLANK(moras[[#This Row],[TIPO_ASEGURAMIENTO]]), moras[[#This Row],[TIPO_ASEGURAMIENTO]]=""),
    EDA!$A$32,
    moras[[#This Row],[TIPO_ASEGURAMIENTO]]
)</f>
        <v>ASALARIADO</v>
      </c>
    </row>
    <row r="1779" spans="1:16" x14ac:dyDescent="0.3">
      <c r="A1779">
        <v>1778</v>
      </c>
      <c r="B1779" t="s">
        <v>9</v>
      </c>
      <c r="C1779">
        <v>109986375</v>
      </c>
      <c r="D1779" t="s">
        <v>10</v>
      </c>
      <c r="E1779" t="s">
        <v>11</v>
      </c>
      <c r="F1779" t="s">
        <v>12</v>
      </c>
      <c r="G1779" t="s">
        <v>13</v>
      </c>
      <c r="H1779" t="s">
        <v>13</v>
      </c>
      <c r="I1779">
        <v>40</v>
      </c>
      <c r="J1779">
        <f>ABS((I1779-EDA!$A$15)/EDA!$B$15)</f>
        <v>0.13971034729555773</v>
      </c>
      <c r="K1779" t="str">
        <f t="shared" si="27"/>
        <v>No</v>
      </c>
      <c r="L1779">
        <f>ABS((C1779-EDA!$F$15)/EDA!$G$15)</f>
        <v>1.4545969485158177</v>
      </c>
      <c r="M1779" t="str">
        <f>IF(moras[[#This Row],[Z-Score Salario]]&gt;1.96, "Sí", "No")</f>
        <v>No</v>
      </c>
      <c r="N1779" s="14">
        <f>IF(ISBLANK(moras[[#This Row],[SALARIO]]), EDA!$M$8, moras[[#This Row],[SALARIO]])</f>
        <v>109986375</v>
      </c>
      <c r="O1779" s="14">
        <f xml:space="preserve"> IF(ISBLANK(moras[[#This Row],[EDAD]]), EDA!$E$8, moras[[#This Row],[EDAD]])</f>
        <v>40</v>
      </c>
      <c r="P1779" s="14" t="str">
        <f>IF(
    OR(ISBLANK(moras[[#This Row],[TIPO_ASEGURAMIENTO]]), moras[[#This Row],[TIPO_ASEGURAMIENTO]]=""),
    EDA!$A$32,
    moras[[#This Row],[TIPO_ASEGURAMIENTO]]
)</f>
        <v>ASALARIADO</v>
      </c>
    </row>
    <row r="1780" spans="1:16" x14ac:dyDescent="0.3">
      <c r="A1780">
        <v>1779</v>
      </c>
      <c r="B1780" t="s">
        <v>15</v>
      </c>
      <c r="C1780">
        <v>420000</v>
      </c>
      <c r="D1780" t="s">
        <v>10</v>
      </c>
      <c r="E1780" t="s">
        <v>16</v>
      </c>
      <c r="F1780" t="s">
        <v>12</v>
      </c>
      <c r="G1780" t="s">
        <v>13</v>
      </c>
      <c r="H1780" t="s">
        <v>13</v>
      </c>
      <c r="I1780">
        <v>25</v>
      </c>
      <c r="J1780">
        <f>ABS((I1780-EDA!$A$15)/EDA!$B$15)</f>
        <v>1.1983402984526204</v>
      </c>
      <c r="K1780" t="str">
        <f t="shared" si="27"/>
        <v>No</v>
      </c>
      <c r="L1780">
        <f>ABS((C1780-EDA!$F$15)/EDA!$G$15)</f>
        <v>0.36866487572469531</v>
      </c>
      <c r="M1780" t="str">
        <f>IF(moras[[#This Row],[Z-Score Salario]]&gt;1.96, "Sí", "No")</f>
        <v>No</v>
      </c>
      <c r="N1780" s="14">
        <f>IF(ISBLANK(moras[[#This Row],[SALARIO]]), EDA!$M$8, moras[[#This Row],[SALARIO]])</f>
        <v>420000</v>
      </c>
      <c r="O1780" s="14">
        <f xml:space="preserve"> IF(ISBLANK(moras[[#This Row],[EDAD]]), EDA!$E$8, moras[[#This Row],[EDAD]])</f>
        <v>25</v>
      </c>
      <c r="P1780" s="14" t="str">
        <f>IF(
    OR(ISBLANK(moras[[#This Row],[TIPO_ASEGURAMIENTO]]), moras[[#This Row],[TIPO_ASEGURAMIENTO]]=""),
    EDA!$A$32,
    moras[[#This Row],[TIPO_ASEGURAMIENTO]]
)</f>
        <v>ASALARIADO</v>
      </c>
    </row>
    <row r="1781" spans="1:16" x14ac:dyDescent="0.3">
      <c r="A1781">
        <v>1780</v>
      </c>
      <c r="B1781" t="s">
        <v>9</v>
      </c>
      <c r="C1781">
        <v>48074721</v>
      </c>
      <c r="D1781" t="s">
        <v>10</v>
      </c>
      <c r="E1781" t="s">
        <v>16</v>
      </c>
      <c r="F1781" t="s">
        <v>12</v>
      </c>
      <c r="G1781" t="s">
        <v>13</v>
      </c>
      <c r="H1781" t="s">
        <v>13</v>
      </c>
      <c r="I1781">
        <v>62</v>
      </c>
      <c r="J1781">
        <f>ABS((I1781-EDA!$A$15)/EDA!$B$15)</f>
        <v>1.4129469144014672</v>
      </c>
      <c r="K1781" t="str">
        <f t="shared" si="27"/>
        <v>No</v>
      </c>
      <c r="L1781">
        <f>ABS((C1781-EDA!$F$15)/EDA!$G$15)</f>
        <v>0.42434332176411166</v>
      </c>
      <c r="M1781" t="str">
        <f>IF(moras[[#This Row],[Z-Score Salario]]&gt;1.96, "Sí", "No")</f>
        <v>No</v>
      </c>
      <c r="N1781" s="14">
        <f>IF(ISBLANK(moras[[#This Row],[SALARIO]]), EDA!$M$8, moras[[#This Row],[SALARIO]])</f>
        <v>48074721</v>
      </c>
      <c r="O1781" s="14">
        <f xml:space="preserve"> IF(ISBLANK(moras[[#This Row],[EDAD]]), EDA!$E$8, moras[[#This Row],[EDAD]])</f>
        <v>62</v>
      </c>
      <c r="P1781" s="14" t="str">
        <f>IF(
    OR(ISBLANK(moras[[#This Row],[TIPO_ASEGURAMIENTO]]), moras[[#This Row],[TIPO_ASEGURAMIENTO]]=""),
    EDA!$A$32,
    moras[[#This Row],[TIPO_ASEGURAMIENTO]]
)</f>
        <v>ASALARIADO</v>
      </c>
    </row>
    <row r="1782" spans="1:16" x14ac:dyDescent="0.3">
      <c r="A1782">
        <v>1781</v>
      </c>
      <c r="B1782" t="s">
        <v>9</v>
      </c>
      <c r="C1782">
        <v>40149984</v>
      </c>
      <c r="D1782" t="s">
        <v>10</v>
      </c>
      <c r="E1782" t="s">
        <v>16</v>
      </c>
      <c r="F1782" t="s">
        <v>12</v>
      </c>
      <c r="G1782" t="s">
        <v>13</v>
      </c>
      <c r="H1782" t="s">
        <v>13</v>
      </c>
      <c r="I1782">
        <v>32</v>
      </c>
      <c r="J1782">
        <f>ABS((I1782-EDA!$A$15)/EDA!$B$15)</f>
        <v>0.70431298791265773</v>
      </c>
      <c r="K1782" t="str">
        <f t="shared" si="27"/>
        <v>No</v>
      </c>
      <c r="L1782">
        <f>ABS((C1782-EDA!$F$15)/EDA!$G$15)</f>
        <v>0.29247010391560396</v>
      </c>
      <c r="M1782" t="str">
        <f>IF(moras[[#This Row],[Z-Score Salario]]&gt;1.96, "Sí", "No")</f>
        <v>No</v>
      </c>
      <c r="N1782" s="14">
        <f>IF(ISBLANK(moras[[#This Row],[SALARIO]]), EDA!$M$8, moras[[#This Row],[SALARIO]])</f>
        <v>40149984</v>
      </c>
      <c r="O1782" s="14">
        <f xml:space="preserve"> IF(ISBLANK(moras[[#This Row],[EDAD]]), EDA!$E$8, moras[[#This Row],[EDAD]])</f>
        <v>32</v>
      </c>
      <c r="P1782" s="14" t="str">
        <f>IF(
    OR(ISBLANK(moras[[#This Row],[TIPO_ASEGURAMIENTO]]), moras[[#This Row],[TIPO_ASEGURAMIENTO]]=""),
    EDA!$A$32,
    moras[[#This Row],[TIPO_ASEGURAMIENTO]]
)</f>
        <v>ASALARIADO</v>
      </c>
    </row>
    <row r="1783" spans="1:16" x14ac:dyDescent="0.3">
      <c r="A1783">
        <v>1782</v>
      </c>
      <c r="B1783" t="s">
        <v>9</v>
      </c>
      <c r="C1783">
        <v>297046</v>
      </c>
      <c r="D1783" t="s">
        <v>18</v>
      </c>
      <c r="E1783" t="s">
        <v>16</v>
      </c>
      <c r="F1783" t="s">
        <v>12</v>
      </c>
      <c r="G1783" t="s">
        <v>13</v>
      </c>
      <c r="H1783" t="s">
        <v>12</v>
      </c>
      <c r="I1783">
        <v>34</v>
      </c>
      <c r="J1783">
        <f>ABS((I1783-EDA!$A$15)/EDA!$B$15)</f>
        <v>0.56316232775838282</v>
      </c>
      <c r="K1783" t="str">
        <f t="shared" si="27"/>
        <v>No</v>
      </c>
      <c r="L1783">
        <f>ABS((C1783-EDA!$F$15)/EDA!$G$15)</f>
        <v>0.37071091707942361</v>
      </c>
      <c r="M1783" t="str">
        <f>IF(moras[[#This Row],[Z-Score Salario]]&gt;1.96, "Sí", "No")</f>
        <v>No</v>
      </c>
      <c r="N1783" s="14">
        <f>IF(ISBLANK(moras[[#This Row],[SALARIO]]), EDA!$M$8, moras[[#This Row],[SALARIO]])</f>
        <v>297046</v>
      </c>
      <c r="O1783" s="14">
        <f xml:space="preserve"> IF(ISBLANK(moras[[#This Row],[EDAD]]), EDA!$E$8, moras[[#This Row],[EDAD]])</f>
        <v>34</v>
      </c>
      <c r="P1783" s="14" t="str">
        <f>IF(
    OR(ISBLANK(moras[[#This Row],[TIPO_ASEGURAMIENTO]]), moras[[#This Row],[TIPO_ASEGURAMIENTO]]=""),
    EDA!$A$32,
    moras[[#This Row],[TIPO_ASEGURAMIENTO]]
)</f>
        <v>TRABAJADOR INDEPENDIENTE</v>
      </c>
    </row>
    <row r="1784" spans="1:16" x14ac:dyDescent="0.3">
      <c r="A1784">
        <v>1783</v>
      </c>
      <c r="B1784" t="s">
        <v>15</v>
      </c>
      <c r="C1784">
        <v>580000</v>
      </c>
      <c r="D1784" t="s">
        <v>10</v>
      </c>
      <c r="E1784" t="s">
        <v>16</v>
      </c>
      <c r="F1784" t="s">
        <v>12</v>
      </c>
      <c r="G1784" t="s">
        <v>13</v>
      </c>
      <c r="H1784" t="s">
        <v>13</v>
      </c>
      <c r="I1784">
        <v>21</v>
      </c>
      <c r="J1784">
        <f>ABS((I1784-EDA!$A$15)/EDA!$B$15)</f>
        <v>1.4806416187611704</v>
      </c>
      <c r="K1784" t="str">
        <f t="shared" si="27"/>
        <v>No</v>
      </c>
      <c r="L1784">
        <f>ABS((C1784-EDA!$F$15)/EDA!$G$15)</f>
        <v>0.36600236277874376</v>
      </c>
      <c r="M1784" t="str">
        <f>IF(moras[[#This Row],[Z-Score Salario]]&gt;1.96, "Sí", "No")</f>
        <v>No</v>
      </c>
      <c r="N1784" s="14">
        <f>IF(ISBLANK(moras[[#This Row],[SALARIO]]), EDA!$M$8, moras[[#This Row],[SALARIO]])</f>
        <v>580000</v>
      </c>
      <c r="O1784" s="14">
        <f xml:space="preserve"> IF(ISBLANK(moras[[#This Row],[EDAD]]), EDA!$E$8, moras[[#This Row],[EDAD]])</f>
        <v>21</v>
      </c>
      <c r="P1784" s="14" t="str">
        <f>IF(
    OR(ISBLANK(moras[[#This Row],[TIPO_ASEGURAMIENTO]]), moras[[#This Row],[TIPO_ASEGURAMIENTO]]=""),
    EDA!$A$32,
    moras[[#This Row],[TIPO_ASEGURAMIENTO]]
)</f>
        <v>ASALARIADO</v>
      </c>
    </row>
    <row r="1785" spans="1:16" x14ac:dyDescent="0.3">
      <c r="A1785">
        <v>1784</v>
      </c>
      <c r="B1785" t="s">
        <v>9</v>
      </c>
      <c r="C1785">
        <v>319574</v>
      </c>
      <c r="D1785" t="s">
        <v>10</v>
      </c>
      <c r="E1785" t="s">
        <v>16</v>
      </c>
      <c r="F1785" t="s">
        <v>12</v>
      </c>
      <c r="G1785" t="s">
        <v>12</v>
      </c>
      <c r="H1785" t="s">
        <v>12</v>
      </c>
      <c r="I1785">
        <v>43</v>
      </c>
      <c r="J1785">
        <f>ABS((I1785-EDA!$A$15)/EDA!$B$15)</f>
        <v>7.2015642935854773E-2</v>
      </c>
      <c r="K1785" t="str">
        <f t="shared" si="27"/>
        <v>No</v>
      </c>
      <c r="L1785">
        <f>ABS((C1785-EDA!$F$15)/EDA!$G$15)</f>
        <v>0.37033603525663361</v>
      </c>
      <c r="M1785" t="str">
        <f>IF(moras[[#This Row],[Z-Score Salario]]&gt;1.96, "Sí", "No")</f>
        <v>No</v>
      </c>
      <c r="N1785" s="14">
        <f>IF(ISBLANK(moras[[#This Row],[SALARIO]]), EDA!$M$8, moras[[#This Row],[SALARIO]])</f>
        <v>319574</v>
      </c>
      <c r="O1785" s="14">
        <f xml:space="preserve"> IF(ISBLANK(moras[[#This Row],[EDAD]]), EDA!$E$8, moras[[#This Row],[EDAD]])</f>
        <v>43</v>
      </c>
      <c r="P1785" s="14" t="str">
        <f>IF(
    OR(ISBLANK(moras[[#This Row],[TIPO_ASEGURAMIENTO]]), moras[[#This Row],[TIPO_ASEGURAMIENTO]]=""),
    EDA!$A$32,
    moras[[#This Row],[TIPO_ASEGURAMIENTO]]
)</f>
        <v>ASALARIADO</v>
      </c>
    </row>
    <row r="1786" spans="1:16" x14ac:dyDescent="0.3">
      <c r="A1786">
        <v>1785</v>
      </c>
      <c r="B1786" t="s">
        <v>15</v>
      </c>
      <c r="C1786">
        <v>297719</v>
      </c>
      <c r="D1786" t="s">
        <v>17</v>
      </c>
      <c r="E1786" t="s">
        <v>16</v>
      </c>
      <c r="F1786" t="s">
        <v>12</v>
      </c>
      <c r="G1786" t="s">
        <v>12</v>
      </c>
      <c r="H1786" t="s">
        <v>13</v>
      </c>
      <c r="I1786">
        <v>43</v>
      </c>
      <c r="J1786">
        <f>ABS((I1786-EDA!$A$15)/EDA!$B$15)</f>
        <v>7.2015642935854773E-2</v>
      </c>
      <c r="K1786" t="str">
        <f t="shared" si="27"/>
        <v>No</v>
      </c>
      <c r="L1786">
        <f>ABS((C1786-EDA!$F$15)/EDA!$G$15)</f>
        <v>0.37069971788434469</v>
      </c>
      <c r="M1786" t="str">
        <f>IF(moras[[#This Row],[Z-Score Salario]]&gt;1.96, "Sí", "No")</f>
        <v>No</v>
      </c>
      <c r="N1786" s="14">
        <f>IF(ISBLANK(moras[[#This Row],[SALARIO]]), EDA!$M$8, moras[[#This Row],[SALARIO]])</f>
        <v>297719</v>
      </c>
      <c r="O1786" s="14">
        <f xml:space="preserve"> IF(ISBLANK(moras[[#This Row],[EDAD]]), EDA!$E$8, moras[[#This Row],[EDAD]])</f>
        <v>43</v>
      </c>
      <c r="P1786" s="14" t="str">
        <f>IF(
    OR(ISBLANK(moras[[#This Row],[TIPO_ASEGURAMIENTO]]), moras[[#This Row],[TIPO_ASEGURAMIENTO]]=""),
    EDA!$A$32,
    moras[[#This Row],[TIPO_ASEGURAMIENTO]]
)</f>
        <v>ASEGURADO VOLUNTARIO</v>
      </c>
    </row>
    <row r="1787" spans="1:16" x14ac:dyDescent="0.3">
      <c r="A1787">
        <v>1786</v>
      </c>
      <c r="B1787" t="s">
        <v>9</v>
      </c>
      <c r="C1787">
        <v>297046</v>
      </c>
      <c r="D1787" t="s">
        <v>17</v>
      </c>
      <c r="E1787" t="s">
        <v>16</v>
      </c>
      <c r="F1787" t="s">
        <v>12</v>
      </c>
      <c r="G1787" t="s">
        <v>13</v>
      </c>
      <c r="H1787" t="s">
        <v>13</v>
      </c>
      <c r="I1787">
        <v>41</v>
      </c>
      <c r="J1787">
        <f>ABS((I1787-EDA!$A$15)/EDA!$B$15)</f>
        <v>6.9135017218420233E-2</v>
      </c>
      <c r="K1787" t="str">
        <f t="shared" si="27"/>
        <v>No</v>
      </c>
      <c r="L1787">
        <f>ABS((C1787-EDA!$F$15)/EDA!$G$15)</f>
        <v>0.37071091707942361</v>
      </c>
      <c r="M1787" t="str">
        <f>IF(moras[[#This Row],[Z-Score Salario]]&gt;1.96, "Sí", "No")</f>
        <v>No</v>
      </c>
      <c r="N1787" s="14">
        <f>IF(ISBLANK(moras[[#This Row],[SALARIO]]), EDA!$M$8, moras[[#This Row],[SALARIO]])</f>
        <v>297046</v>
      </c>
      <c r="O1787" s="14">
        <f xml:space="preserve"> IF(ISBLANK(moras[[#This Row],[EDAD]]), EDA!$E$8, moras[[#This Row],[EDAD]])</f>
        <v>41</v>
      </c>
      <c r="P1787" s="14" t="str">
        <f>IF(
    OR(ISBLANK(moras[[#This Row],[TIPO_ASEGURAMIENTO]]), moras[[#This Row],[TIPO_ASEGURAMIENTO]]=""),
    EDA!$A$32,
    moras[[#This Row],[TIPO_ASEGURAMIENTO]]
)</f>
        <v>ASEGURADO VOLUNTARIO</v>
      </c>
    </row>
    <row r="1788" spans="1:16" x14ac:dyDescent="0.3">
      <c r="A1788">
        <v>1787</v>
      </c>
      <c r="B1788" t="s">
        <v>9</v>
      </c>
      <c r="C1788">
        <v>157803317</v>
      </c>
      <c r="D1788" t="s">
        <v>10</v>
      </c>
      <c r="E1788" t="s">
        <v>11</v>
      </c>
      <c r="F1788" t="s">
        <v>12</v>
      </c>
      <c r="G1788" t="s">
        <v>13</v>
      </c>
      <c r="H1788" t="s">
        <v>13</v>
      </c>
      <c r="I1788">
        <v>50</v>
      </c>
      <c r="J1788">
        <f>ABS((I1788-EDA!$A$15)/EDA!$B$15)</f>
        <v>0.56604295347581735</v>
      </c>
      <c r="K1788" t="str">
        <f t="shared" si="27"/>
        <v>No</v>
      </c>
      <c r="L1788">
        <f>ABS((C1788-EDA!$F$15)/EDA!$G$15)</f>
        <v>2.250304617958407</v>
      </c>
      <c r="M1788" t="str">
        <f>IF(moras[[#This Row],[Z-Score Salario]]&gt;1.96, "Sí", "No")</f>
        <v>Sí</v>
      </c>
      <c r="N1788" s="14">
        <f>IF(ISBLANK(moras[[#This Row],[SALARIO]]), EDA!$M$8, moras[[#This Row],[SALARIO]])</f>
        <v>157803317</v>
      </c>
      <c r="O1788" s="14">
        <f xml:space="preserve"> IF(ISBLANK(moras[[#This Row],[EDAD]]), EDA!$E$8, moras[[#This Row],[EDAD]])</f>
        <v>50</v>
      </c>
      <c r="P1788" s="14" t="str">
        <f>IF(
    OR(ISBLANK(moras[[#This Row],[TIPO_ASEGURAMIENTO]]), moras[[#This Row],[TIPO_ASEGURAMIENTO]]=""),
    EDA!$A$32,
    moras[[#This Row],[TIPO_ASEGURAMIENTO]]
)</f>
        <v>ASALARIADO</v>
      </c>
    </row>
    <row r="1789" spans="1:16" x14ac:dyDescent="0.3">
      <c r="A1789">
        <v>1788</v>
      </c>
      <c r="B1789" t="s">
        <v>15</v>
      </c>
      <c r="C1789">
        <v>361421</v>
      </c>
      <c r="D1789" t="s">
        <v>18</v>
      </c>
      <c r="E1789" t="s">
        <v>16</v>
      </c>
      <c r="F1789" t="s">
        <v>12</v>
      </c>
      <c r="G1789" t="s">
        <v>12</v>
      </c>
      <c r="H1789" t="s">
        <v>13</v>
      </c>
      <c r="I1789">
        <v>56</v>
      </c>
      <c r="J1789">
        <f>ABS((I1789-EDA!$A$15)/EDA!$B$15)</f>
        <v>0.9894949339386423</v>
      </c>
      <c r="K1789" t="str">
        <f t="shared" si="27"/>
        <v>No</v>
      </c>
      <c r="L1789">
        <f>ABS((C1789-EDA!$F$15)/EDA!$G$15)</f>
        <v>0.36963967163632588</v>
      </c>
      <c r="M1789" t="str">
        <f>IF(moras[[#This Row],[Z-Score Salario]]&gt;1.96, "Sí", "No")</f>
        <v>No</v>
      </c>
      <c r="N1789" s="14">
        <f>IF(ISBLANK(moras[[#This Row],[SALARIO]]), EDA!$M$8, moras[[#This Row],[SALARIO]])</f>
        <v>361421</v>
      </c>
      <c r="O1789" s="14">
        <f xml:space="preserve"> IF(ISBLANK(moras[[#This Row],[EDAD]]), EDA!$E$8, moras[[#This Row],[EDAD]])</f>
        <v>56</v>
      </c>
      <c r="P1789" s="14" t="str">
        <f>IF(
    OR(ISBLANK(moras[[#This Row],[TIPO_ASEGURAMIENTO]]), moras[[#This Row],[TIPO_ASEGURAMIENTO]]=""),
    EDA!$A$32,
    moras[[#This Row],[TIPO_ASEGURAMIENTO]]
)</f>
        <v>TRABAJADOR INDEPENDIENTE</v>
      </c>
    </row>
    <row r="1790" spans="1:16" x14ac:dyDescent="0.3">
      <c r="A1790">
        <v>1789</v>
      </c>
      <c r="B1790" t="s">
        <v>15</v>
      </c>
      <c r="C1790">
        <v>1431628</v>
      </c>
      <c r="D1790" t="s">
        <v>10</v>
      </c>
      <c r="E1790" t="s">
        <v>11</v>
      </c>
      <c r="F1790" t="s">
        <v>12</v>
      </c>
      <c r="G1790" t="s">
        <v>13</v>
      </c>
      <c r="H1790" t="s">
        <v>12</v>
      </c>
      <c r="I1790">
        <v>37</v>
      </c>
      <c r="J1790">
        <f>ABS((I1790-EDA!$A$15)/EDA!$B$15)</f>
        <v>0.35143633752697023</v>
      </c>
      <c r="K1790" t="str">
        <f t="shared" si="27"/>
        <v>No</v>
      </c>
      <c r="L1790">
        <f>ABS((C1790-EDA!$F$15)/EDA!$G$15)</f>
        <v>0.35183067168415111</v>
      </c>
      <c r="M1790" t="str">
        <f>IF(moras[[#This Row],[Z-Score Salario]]&gt;1.96, "Sí", "No")</f>
        <v>No</v>
      </c>
      <c r="N1790" s="14">
        <f>IF(ISBLANK(moras[[#This Row],[SALARIO]]), EDA!$M$8, moras[[#This Row],[SALARIO]])</f>
        <v>1431628</v>
      </c>
      <c r="O1790" s="14">
        <f xml:space="preserve"> IF(ISBLANK(moras[[#This Row],[EDAD]]), EDA!$E$8, moras[[#This Row],[EDAD]])</f>
        <v>37</v>
      </c>
      <c r="P1790" s="14" t="str">
        <f>IF(
    OR(ISBLANK(moras[[#This Row],[TIPO_ASEGURAMIENTO]]), moras[[#This Row],[TIPO_ASEGURAMIENTO]]=""),
    EDA!$A$32,
    moras[[#This Row],[TIPO_ASEGURAMIENTO]]
)</f>
        <v>ASALARIADO</v>
      </c>
    </row>
    <row r="1791" spans="1:16" x14ac:dyDescent="0.3">
      <c r="A1791">
        <v>1790</v>
      </c>
      <c r="B1791" t="s">
        <v>9</v>
      </c>
      <c r="C1791">
        <v>55486233</v>
      </c>
      <c r="D1791" t="s">
        <v>10</v>
      </c>
      <c r="E1791" t="s">
        <v>16</v>
      </c>
      <c r="F1791" t="s">
        <v>12</v>
      </c>
      <c r="G1791" t="s">
        <v>13</v>
      </c>
      <c r="H1791" t="s">
        <v>13</v>
      </c>
      <c r="I1791">
        <v>56</v>
      </c>
      <c r="J1791">
        <f>ABS((I1791-EDA!$A$15)/EDA!$B$15)</f>
        <v>0.9894949339386423</v>
      </c>
      <c r="K1791" t="str">
        <f t="shared" si="27"/>
        <v>No</v>
      </c>
      <c r="L1791">
        <f>ABS((C1791-EDA!$F$15)/EDA!$G$15)</f>
        <v>0.54767611332083199</v>
      </c>
      <c r="M1791" t="str">
        <f>IF(moras[[#This Row],[Z-Score Salario]]&gt;1.96, "Sí", "No")</f>
        <v>No</v>
      </c>
      <c r="N1791" s="14">
        <f>IF(ISBLANK(moras[[#This Row],[SALARIO]]), EDA!$M$8, moras[[#This Row],[SALARIO]])</f>
        <v>55486233</v>
      </c>
      <c r="O1791" s="14">
        <f xml:space="preserve"> IF(ISBLANK(moras[[#This Row],[EDAD]]), EDA!$E$8, moras[[#This Row],[EDAD]])</f>
        <v>56</v>
      </c>
      <c r="P1791" s="14" t="str">
        <f>IF(
    OR(ISBLANK(moras[[#This Row],[TIPO_ASEGURAMIENTO]]), moras[[#This Row],[TIPO_ASEGURAMIENTO]]=""),
    EDA!$A$32,
    moras[[#This Row],[TIPO_ASEGURAMIENTO]]
)</f>
        <v>ASALARIADO</v>
      </c>
    </row>
    <row r="1792" spans="1:16" x14ac:dyDescent="0.3">
      <c r="A1792">
        <v>1791</v>
      </c>
      <c r="B1792" t="s">
        <v>9</v>
      </c>
      <c r="C1792">
        <v>200000</v>
      </c>
      <c r="D1792" t="s">
        <v>10</v>
      </c>
      <c r="E1792" t="s">
        <v>16</v>
      </c>
      <c r="F1792" t="s">
        <v>12</v>
      </c>
      <c r="G1792" t="s">
        <v>13</v>
      </c>
      <c r="H1792" t="s">
        <v>12</v>
      </c>
      <c r="I1792">
        <v>27</v>
      </c>
      <c r="J1792">
        <f>ABS((I1792-EDA!$A$15)/EDA!$B$15)</f>
        <v>1.0571896382983452</v>
      </c>
      <c r="K1792" t="str">
        <f t="shared" si="27"/>
        <v>No</v>
      </c>
      <c r="L1792">
        <f>ABS((C1792-EDA!$F$15)/EDA!$G$15)</f>
        <v>0.3723258310253787</v>
      </c>
      <c r="M1792" t="str">
        <f>IF(moras[[#This Row],[Z-Score Salario]]&gt;1.96, "Sí", "No")</f>
        <v>No</v>
      </c>
      <c r="N1792" s="14">
        <f>IF(ISBLANK(moras[[#This Row],[SALARIO]]), EDA!$M$8, moras[[#This Row],[SALARIO]])</f>
        <v>200000</v>
      </c>
      <c r="O1792" s="14">
        <f xml:space="preserve"> IF(ISBLANK(moras[[#This Row],[EDAD]]), EDA!$E$8, moras[[#This Row],[EDAD]])</f>
        <v>27</v>
      </c>
      <c r="P1792" s="14" t="str">
        <f>IF(
    OR(ISBLANK(moras[[#This Row],[TIPO_ASEGURAMIENTO]]), moras[[#This Row],[TIPO_ASEGURAMIENTO]]=""),
    EDA!$A$32,
    moras[[#This Row],[TIPO_ASEGURAMIENTO]]
)</f>
        <v>ASALARIADO</v>
      </c>
    </row>
    <row r="1793" spans="1:16" x14ac:dyDescent="0.3">
      <c r="A1793">
        <v>1792</v>
      </c>
      <c r="B1793" t="s">
        <v>9</v>
      </c>
      <c r="C1793">
        <v>253444495</v>
      </c>
      <c r="D1793" t="s">
        <v>10</v>
      </c>
      <c r="E1793" t="s">
        <v>11</v>
      </c>
      <c r="F1793" t="s">
        <v>12</v>
      </c>
      <c r="G1793" t="s">
        <v>13</v>
      </c>
      <c r="H1793" t="s">
        <v>13</v>
      </c>
      <c r="I1793">
        <v>38</v>
      </c>
      <c r="J1793">
        <f>ABS((I1793-EDA!$A$15)/EDA!$B$15)</f>
        <v>0.28086100744983278</v>
      </c>
      <c r="K1793" t="str">
        <f t="shared" si="27"/>
        <v>No</v>
      </c>
      <c r="L1793">
        <f>ABS((C1793-EDA!$F$15)/EDA!$G$15)</f>
        <v>3.8418413341525097</v>
      </c>
      <c r="M1793" t="str">
        <f>IF(moras[[#This Row],[Z-Score Salario]]&gt;1.96, "Sí", "No")</f>
        <v>Sí</v>
      </c>
      <c r="N1793" s="14">
        <f>IF(ISBLANK(moras[[#This Row],[SALARIO]]), EDA!$M$8, moras[[#This Row],[SALARIO]])</f>
        <v>253444495</v>
      </c>
      <c r="O1793" s="14">
        <f xml:space="preserve"> IF(ISBLANK(moras[[#This Row],[EDAD]]), EDA!$E$8, moras[[#This Row],[EDAD]])</f>
        <v>38</v>
      </c>
      <c r="P1793" s="14" t="str">
        <f>IF(
    OR(ISBLANK(moras[[#This Row],[TIPO_ASEGURAMIENTO]]), moras[[#This Row],[TIPO_ASEGURAMIENTO]]=""),
    EDA!$A$32,
    moras[[#This Row],[TIPO_ASEGURAMIENTO]]
)</f>
        <v>ASALARIADO</v>
      </c>
    </row>
    <row r="1794" spans="1:16" x14ac:dyDescent="0.3">
      <c r="A1794">
        <v>1793</v>
      </c>
      <c r="B1794" t="s">
        <v>9</v>
      </c>
      <c r="C1794">
        <v>253000</v>
      </c>
      <c r="D1794" t="s">
        <v>10</v>
      </c>
      <c r="E1794" t="s">
        <v>16</v>
      </c>
      <c r="F1794" t="s">
        <v>12</v>
      </c>
      <c r="G1794" t="s">
        <v>13</v>
      </c>
      <c r="H1794" t="s">
        <v>13</v>
      </c>
      <c r="I1794">
        <v>48</v>
      </c>
      <c r="J1794">
        <f>ABS((I1794-EDA!$A$15)/EDA!$B$15)</f>
        <v>0.42489229332154227</v>
      </c>
      <c r="K1794" t="str">
        <f t="shared" ref="K1794:K1857" si="28">IF(J1794 &gt;  1.96, "Sí","No")</f>
        <v>No</v>
      </c>
      <c r="L1794">
        <f>ABS((C1794-EDA!$F$15)/EDA!$G$15)</f>
        <v>0.37144387361203224</v>
      </c>
      <c r="M1794" t="str">
        <f>IF(moras[[#This Row],[Z-Score Salario]]&gt;1.96, "Sí", "No")</f>
        <v>No</v>
      </c>
      <c r="N1794" s="14">
        <f>IF(ISBLANK(moras[[#This Row],[SALARIO]]), EDA!$M$8, moras[[#This Row],[SALARIO]])</f>
        <v>253000</v>
      </c>
      <c r="O1794" s="14">
        <f xml:space="preserve"> IF(ISBLANK(moras[[#This Row],[EDAD]]), EDA!$E$8, moras[[#This Row],[EDAD]])</f>
        <v>48</v>
      </c>
      <c r="P1794" s="14" t="str">
        <f>IF(
    OR(ISBLANK(moras[[#This Row],[TIPO_ASEGURAMIENTO]]), moras[[#This Row],[TIPO_ASEGURAMIENTO]]=""),
    EDA!$A$32,
    moras[[#This Row],[TIPO_ASEGURAMIENTO]]
)</f>
        <v>ASALARIADO</v>
      </c>
    </row>
    <row r="1795" spans="1:16" x14ac:dyDescent="0.3">
      <c r="A1795">
        <v>1794</v>
      </c>
      <c r="B1795" t="s">
        <v>15</v>
      </c>
      <c r="C1795">
        <v>325925</v>
      </c>
      <c r="D1795" t="s">
        <v>18</v>
      </c>
      <c r="E1795" t="s">
        <v>16</v>
      </c>
      <c r="F1795" t="s">
        <v>12</v>
      </c>
      <c r="G1795" t="s">
        <v>13</v>
      </c>
      <c r="H1795" t="s">
        <v>13</v>
      </c>
      <c r="I1795">
        <v>64</v>
      </c>
      <c r="J1795">
        <f>ABS((I1795-EDA!$A$15)/EDA!$B$15)</f>
        <v>1.5540975745557424</v>
      </c>
      <c r="K1795" t="str">
        <f t="shared" si="28"/>
        <v>No</v>
      </c>
      <c r="L1795">
        <f>ABS((C1795-EDA!$F$15)/EDA!$G$15)</f>
        <v>0.37023035013338523</v>
      </c>
      <c r="M1795" t="str">
        <f>IF(moras[[#This Row],[Z-Score Salario]]&gt;1.96, "Sí", "No")</f>
        <v>No</v>
      </c>
      <c r="N1795" s="14">
        <f>IF(ISBLANK(moras[[#This Row],[SALARIO]]), EDA!$M$8, moras[[#This Row],[SALARIO]])</f>
        <v>325925</v>
      </c>
      <c r="O1795" s="14">
        <f xml:space="preserve"> IF(ISBLANK(moras[[#This Row],[EDAD]]), EDA!$E$8, moras[[#This Row],[EDAD]])</f>
        <v>64</v>
      </c>
      <c r="P1795" s="14" t="str">
        <f>IF(
    OR(ISBLANK(moras[[#This Row],[TIPO_ASEGURAMIENTO]]), moras[[#This Row],[TIPO_ASEGURAMIENTO]]=""),
    EDA!$A$32,
    moras[[#This Row],[TIPO_ASEGURAMIENTO]]
)</f>
        <v>TRABAJADOR INDEPENDIENTE</v>
      </c>
    </row>
    <row r="1796" spans="1:16" x14ac:dyDescent="0.3">
      <c r="A1796">
        <v>1795</v>
      </c>
      <c r="B1796" t="s">
        <v>15</v>
      </c>
      <c r="C1796">
        <v>200000</v>
      </c>
      <c r="D1796" t="s">
        <v>10</v>
      </c>
      <c r="E1796" t="s">
        <v>16</v>
      </c>
      <c r="F1796" t="s">
        <v>12</v>
      </c>
      <c r="G1796" t="s">
        <v>12</v>
      </c>
      <c r="H1796" t="s">
        <v>13</v>
      </c>
      <c r="I1796">
        <v>59</v>
      </c>
      <c r="J1796">
        <f>ABS((I1796-EDA!$A$15)/EDA!$B$15)</f>
        <v>1.2012209241700549</v>
      </c>
      <c r="K1796" t="str">
        <f t="shared" si="28"/>
        <v>No</v>
      </c>
      <c r="L1796">
        <f>ABS((C1796-EDA!$F$15)/EDA!$G$15)</f>
        <v>0.3723258310253787</v>
      </c>
      <c r="M1796" t="str">
        <f>IF(moras[[#This Row],[Z-Score Salario]]&gt;1.96, "Sí", "No")</f>
        <v>No</v>
      </c>
      <c r="N1796" s="14">
        <f>IF(ISBLANK(moras[[#This Row],[SALARIO]]), EDA!$M$8, moras[[#This Row],[SALARIO]])</f>
        <v>200000</v>
      </c>
      <c r="O1796" s="14">
        <f xml:space="preserve"> IF(ISBLANK(moras[[#This Row],[EDAD]]), EDA!$E$8, moras[[#This Row],[EDAD]])</f>
        <v>59</v>
      </c>
      <c r="P1796" s="14" t="str">
        <f>IF(
    OR(ISBLANK(moras[[#This Row],[TIPO_ASEGURAMIENTO]]), moras[[#This Row],[TIPO_ASEGURAMIENTO]]=""),
    EDA!$A$32,
    moras[[#This Row],[TIPO_ASEGURAMIENTO]]
)</f>
        <v>ASALARIADO</v>
      </c>
    </row>
    <row r="1797" spans="1:16" x14ac:dyDescent="0.3">
      <c r="A1797">
        <v>1796</v>
      </c>
      <c r="B1797" t="s">
        <v>9</v>
      </c>
      <c r="C1797">
        <v>329794</v>
      </c>
      <c r="D1797" t="s">
        <v>18</v>
      </c>
      <c r="E1797" t="s">
        <v>16</v>
      </c>
      <c r="F1797" t="s">
        <v>12</v>
      </c>
      <c r="G1797" t="s">
        <v>13</v>
      </c>
      <c r="H1797" t="s">
        <v>12</v>
      </c>
      <c r="I1797">
        <v>41</v>
      </c>
      <c r="J1797">
        <f>ABS((I1797-EDA!$A$15)/EDA!$B$15)</f>
        <v>6.9135017218420233E-2</v>
      </c>
      <c r="K1797" t="str">
        <f t="shared" si="28"/>
        <v>No</v>
      </c>
      <c r="L1797">
        <f>ABS((C1797-EDA!$F$15)/EDA!$G$15)</f>
        <v>0.37016596724221096</v>
      </c>
      <c r="M1797" t="str">
        <f>IF(moras[[#This Row],[Z-Score Salario]]&gt;1.96, "Sí", "No")</f>
        <v>No</v>
      </c>
      <c r="N1797" s="14">
        <f>IF(ISBLANK(moras[[#This Row],[SALARIO]]), EDA!$M$8, moras[[#This Row],[SALARIO]])</f>
        <v>329794</v>
      </c>
      <c r="O1797" s="14">
        <f xml:space="preserve"> IF(ISBLANK(moras[[#This Row],[EDAD]]), EDA!$E$8, moras[[#This Row],[EDAD]])</f>
        <v>41</v>
      </c>
      <c r="P1797" s="14" t="str">
        <f>IF(
    OR(ISBLANK(moras[[#This Row],[TIPO_ASEGURAMIENTO]]), moras[[#This Row],[TIPO_ASEGURAMIENTO]]=""),
    EDA!$A$32,
    moras[[#This Row],[TIPO_ASEGURAMIENTO]]
)</f>
        <v>TRABAJADOR INDEPENDIENTE</v>
      </c>
    </row>
    <row r="1798" spans="1:16" x14ac:dyDescent="0.3">
      <c r="A1798">
        <v>1797</v>
      </c>
      <c r="B1798" t="s">
        <v>9</v>
      </c>
      <c r="C1798">
        <v>37028728</v>
      </c>
      <c r="D1798" t="s">
        <v>10</v>
      </c>
      <c r="E1798" t="s">
        <v>11</v>
      </c>
      <c r="F1798" t="s">
        <v>12</v>
      </c>
      <c r="G1798" t="s">
        <v>13</v>
      </c>
      <c r="H1798" t="s">
        <v>13</v>
      </c>
      <c r="I1798">
        <v>46</v>
      </c>
      <c r="J1798">
        <f>ABS((I1798-EDA!$A$15)/EDA!$B$15)</f>
        <v>0.2837416331672673</v>
      </c>
      <c r="K1798" t="str">
        <f t="shared" si="28"/>
        <v>No</v>
      </c>
      <c r="L1798">
        <f>ABS((C1798-EDA!$F$15)/EDA!$G$15)</f>
        <v>0.24053020074292306</v>
      </c>
      <c r="M1798" t="str">
        <f>IF(moras[[#This Row],[Z-Score Salario]]&gt;1.96, "Sí", "No")</f>
        <v>No</v>
      </c>
      <c r="N1798" s="14">
        <f>IF(ISBLANK(moras[[#This Row],[SALARIO]]), EDA!$M$8, moras[[#This Row],[SALARIO]])</f>
        <v>37028728</v>
      </c>
      <c r="O1798" s="14">
        <f xml:space="preserve"> IF(ISBLANK(moras[[#This Row],[EDAD]]), EDA!$E$8, moras[[#This Row],[EDAD]])</f>
        <v>46</v>
      </c>
      <c r="P1798" s="14" t="str">
        <f>IF(
    OR(ISBLANK(moras[[#This Row],[TIPO_ASEGURAMIENTO]]), moras[[#This Row],[TIPO_ASEGURAMIENTO]]=""),
    EDA!$A$32,
    moras[[#This Row],[TIPO_ASEGURAMIENTO]]
)</f>
        <v>ASALARIADO</v>
      </c>
    </row>
    <row r="1799" spans="1:16" x14ac:dyDescent="0.3">
      <c r="A1799">
        <v>1798</v>
      </c>
      <c r="B1799" t="s">
        <v>15</v>
      </c>
      <c r="C1799">
        <v>1229350</v>
      </c>
      <c r="D1799" t="s">
        <v>10</v>
      </c>
      <c r="E1799" t="s">
        <v>16</v>
      </c>
      <c r="F1799" t="s">
        <v>12</v>
      </c>
      <c r="G1799" t="s">
        <v>13</v>
      </c>
      <c r="H1799" t="s">
        <v>13</v>
      </c>
      <c r="I1799">
        <v>33</v>
      </c>
      <c r="J1799">
        <f>ABS((I1799-EDA!$A$15)/EDA!$B$15)</f>
        <v>0.63373765783552027</v>
      </c>
      <c r="K1799" t="str">
        <f t="shared" si="28"/>
        <v>No</v>
      </c>
      <c r="L1799">
        <f>ABS((C1799-EDA!$F$15)/EDA!$G$15)</f>
        <v>0.35519672039465849</v>
      </c>
      <c r="M1799" t="str">
        <f>IF(moras[[#This Row],[Z-Score Salario]]&gt;1.96, "Sí", "No")</f>
        <v>No</v>
      </c>
      <c r="N1799" s="14">
        <f>IF(ISBLANK(moras[[#This Row],[SALARIO]]), EDA!$M$8, moras[[#This Row],[SALARIO]])</f>
        <v>1229350</v>
      </c>
      <c r="O1799" s="14">
        <f xml:space="preserve"> IF(ISBLANK(moras[[#This Row],[EDAD]]), EDA!$E$8, moras[[#This Row],[EDAD]])</f>
        <v>33</v>
      </c>
      <c r="P1799" s="14" t="str">
        <f>IF(
    OR(ISBLANK(moras[[#This Row],[TIPO_ASEGURAMIENTO]]), moras[[#This Row],[TIPO_ASEGURAMIENTO]]=""),
    EDA!$A$32,
    moras[[#This Row],[TIPO_ASEGURAMIENTO]]
)</f>
        <v>ASALARIADO</v>
      </c>
    </row>
    <row r="1800" spans="1:16" x14ac:dyDescent="0.3">
      <c r="A1800">
        <v>1799</v>
      </c>
      <c r="B1800" t="s">
        <v>9</v>
      </c>
      <c r="C1800">
        <v>300000</v>
      </c>
      <c r="D1800" t="s">
        <v>10</v>
      </c>
      <c r="E1800" t="s">
        <v>16</v>
      </c>
      <c r="F1800" t="s">
        <v>12</v>
      </c>
      <c r="G1800" t="s">
        <v>13</v>
      </c>
      <c r="H1800" t="s">
        <v>13</v>
      </c>
      <c r="I1800">
        <v>26</v>
      </c>
      <c r="J1800">
        <f>ABS((I1800-EDA!$A$15)/EDA!$B$15)</f>
        <v>1.1277649683754829</v>
      </c>
      <c r="K1800" t="str">
        <f t="shared" si="28"/>
        <v>No</v>
      </c>
      <c r="L1800">
        <f>ABS((C1800-EDA!$F$15)/EDA!$G$15)</f>
        <v>0.37066176043415894</v>
      </c>
      <c r="M1800" t="str">
        <f>IF(moras[[#This Row],[Z-Score Salario]]&gt;1.96, "Sí", "No")</f>
        <v>No</v>
      </c>
      <c r="N1800" s="14">
        <f>IF(ISBLANK(moras[[#This Row],[SALARIO]]), EDA!$M$8, moras[[#This Row],[SALARIO]])</f>
        <v>300000</v>
      </c>
      <c r="O1800" s="14">
        <f xml:space="preserve"> IF(ISBLANK(moras[[#This Row],[EDAD]]), EDA!$E$8, moras[[#This Row],[EDAD]])</f>
        <v>26</v>
      </c>
      <c r="P1800" s="14" t="str">
        <f>IF(
    OR(ISBLANK(moras[[#This Row],[TIPO_ASEGURAMIENTO]]), moras[[#This Row],[TIPO_ASEGURAMIENTO]]=""),
    EDA!$A$32,
    moras[[#This Row],[TIPO_ASEGURAMIENTO]]
)</f>
        <v>ASALARIADO</v>
      </c>
    </row>
    <row r="1801" spans="1:16" x14ac:dyDescent="0.3">
      <c r="A1801">
        <v>1800</v>
      </c>
      <c r="B1801" t="s">
        <v>9</v>
      </c>
      <c r="C1801">
        <v>298155</v>
      </c>
      <c r="D1801" t="s">
        <v>18</v>
      </c>
      <c r="E1801" t="s">
        <v>16</v>
      </c>
      <c r="F1801" t="s">
        <v>12</v>
      </c>
      <c r="G1801" t="s">
        <v>13</v>
      </c>
      <c r="H1801" t="s">
        <v>13</v>
      </c>
      <c r="I1801">
        <v>29</v>
      </c>
      <c r="J1801">
        <f>ABS((I1801-EDA!$A$15)/EDA!$B$15)</f>
        <v>0.91603897814407031</v>
      </c>
      <c r="K1801" t="str">
        <f t="shared" si="28"/>
        <v>No</v>
      </c>
      <c r="L1801">
        <f>ABS((C1801-EDA!$F$15)/EDA!$G$15)</f>
        <v>0.37069246253656696</v>
      </c>
      <c r="M1801" t="str">
        <f>IF(moras[[#This Row],[Z-Score Salario]]&gt;1.96, "Sí", "No")</f>
        <v>No</v>
      </c>
      <c r="N1801" s="14">
        <f>IF(ISBLANK(moras[[#This Row],[SALARIO]]), EDA!$M$8, moras[[#This Row],[SALARIO]])</f>
        <v>298155</v>
      </c>
      <c r="O1801" s="14">
        <f xml:space="preserve"> IF(ISBLANK(moras[[#This Row],[EDAD]]), EDA!$E$8, moras[[#This Row],[EDAD]])</f>
        <v>29</v>
      </c>
      <c r="P1801" s="14" t="str">
        <f>IF(
    OR(ISBLANK(moras[[#This Row],[TIPO_ASEGURAMIENTO]]), moras[[#This Row],[TIPO_ASEGURAMIENTO]]=""),
    EDA!$A$32,
    moras[[#This Row],[TIPO_ASEGURAMIENTO]]
)</f>
        <v>TRABAJADOR INDEPENDIENTE</v>
      </c>
    </row>
    <row r="1802" spans="1:16" x14ac:dyDescent="0.3">
      <c r="A1802">
        <v>1801</v>
      </c>
      <c r="B1802" t="s">
        <v>15</v>
      </c>
      <c r="C1802">
        <v>76102705</v>
      </c>
      <c r="D1802" t="s">
        <v>10</v>
      </c>
      <c r="E1802" t="s">
        <v>11</v>
      </c>
      <c r="F1802" t="s">
        <v>12</v>
      </c>
      <c r="G1802" t="s">
        <v>13</v>
      </c>
      <c r="H1802" t="s">
        <v>13</v>
      </c>
      <c r="I1802">
        <v>28</v>
      </c>
      <c r="J1802">
        <f>ABS((I1802-EDA!$A$15)/EDA!$B$15)</f>
        <v>0.98661430822120777</v>
      </c>
      <c r="K1802" t="str">
        <f t="shared" si="28"/>
        <v>No</v>
      </c>
      <c r="L1802">
        <f>ABS((C1802-EDA!$F$15)/EDA!$G$15)</f>
        <v>0.89074876081987953</v>
      </c>
      <c r="M1802" t="str">
        <f>IF(moras[[#This Row],[Z-Score Salario]]&gt;1.96, "Sí", "No")</f>
        <v>No</v>
      </c>
      <c r="N1802" s="14">
        <f>IF(ISBLANK(moras[[#This Row],[SALARIO]]), EDA!$M$8, moras[[#This Row],[SALARIO]])</f>
        <v>76102705</v>
      </c>
      <c r="O1802" s="14">
        <f xml:space="preserve"> IF(ISBLANK(moras[[#This Row],[EDAD]]), EDA!$E$8, moras[[#This Row],[EDAD]])</f>
        <v>28</v>
      </c>
      <c r="P1802" s="14" t="str">
        <f>IF(
    OR(ISBLANK(moras[[#This Row],[TIPO_ASEGURAMIENTO]]), moras[[#This Row],[TIPO_ASEGURAMIENTO]]=""),
    EDA!$A$32,
    moras[[#This Row],[TIPO_ASEGURAMIENTO]]
)</f>
        <v>ASALARIADO</v>
      </c>
    </row>
    <row r="1803" spans="1:16" x14ac:dyDescent="0.3">
      <c r="A1803">
        <v>1802</v>
      </c>
      <c r="B1803" t="s">
        <v>9</v>
      </c>
      <c r="C1803">
        <v>3475395</v>
      </c>
      <c r="D1803" t="s">
        <v>10</v>
      </c>
      <c r="E1803" t="s">
        <v>16</v>
      </c>
      <c r="F1803" t="s">
        <v>12</v>
      </c>
      <c r="G1803" t="s">
        <v>13</v>
      </c>
      <c r="H1803" t="s">
        <v>13</v>
      </c>
      <c r="I1803">
        <v>28</v>
      </c>
      <c r="J1803">
        <f>ABS((I1803-EDA!$A$15)/EDA!$B$15)</f>
        <v>0.98661430822120777</v>
      </c>
      <c r="K1803" t="str">
        <f t="shared" si="28"/>
        <v>No</v>
      </c>
      <c r="L1803">
        <f>ABS((C1803-EDA!$F$15)/EDA!$G$15)</f>
        <v>0.31782094608409761</v>
      </c>
      <c r="M1803" t="str">
        <f>IF(moras[[#This Row],[Z-Score Salario]]&gt;1.96, "Sí", "No")</f>
        <v>No</v>
      </c>
      <c r="N1803" s="14">
        <f>IF(ISBLANK(moras[[#This Row],[SALARIO]]), EDA!$M$8, moras[[#This Row],[SALARIO]])</f>
        <v>3475395</v>
      </c>
      <c r="O1803" s="14">
        <f xml:space="preserve"> IF(ISBLANK(moras[[#This Row],[EDAD]]), EDA!$E$8, moras[[#This Row],[EDAD]])</f>
        <v>28</v>
      </c>
      <c r="P1803" s="14" t="str">
        <f>IF(
    OR(ISBLANK(moras[[#This Row],[TIPO_ASEGURAMIENTO]]), moras[[#This Row],[TIPO_ASEGURAMIENTO]]=""),
    EDA!$A$32,
    moras[[#This Row],[TIPO_ASEGURAMIENTO]]
)</f>
        <v>ASALARIADO</v>
      </c>
    </row>
    <row r="1804" spans="1:16" x14ac:dyDescent="0.3">
      <c r="A1804">
        <v>1803</v>
      </c>
      <c r="B1804" t="s">
        <v>15</v>
      </c>
      <c r="C1804">
        <v>319574</v>
      </c>
      <c r="D1804" t="s">
        <v>10</v>
      </c>
      <c r="E1804" t="s">
        <v>16</v>
      </c>
      <c r="F1804" t="s">
        <v>12</v>
      </c>
      <c r="G1804" t="s">
        <v>12</v>
      </c>
      <c r="H1804" t="s">
        <v>13</v>
      </c>
      <c r="I1804">
        <v>30</v>
      </c>
      <c r="J1804">
        <f>ABS((I1804-EDA!$A$15)/EDA!$B$15)</f>
        <v>0.84546364806693275</v>
      </c>
      <c r="K1804" t="str">
        <f t="shared" si="28"/>
        <v>No</v>
      </c>
      <c r="L1804">
        <f>ABS((C1804-EDA!$F$15)/EDA!$G$15)</f>
        <v>0.37033603525663361</v>
      </c>
      <c r="M1804" t="str">
        <f>IF(moras[[#This Row],[Z-Score Salario]]&gt;1.96, "Sí", "No")</f>
        <v>No</v>
      </c>
      <c r="N1804" s="14">
        <f>IF(ISBLANK(moras[[#This Row],[SALARIO]]), EDA!$M$8, moras[[#This Row],[SALARIO]])</f>
        <v>319574</v>
      </c>
      <c r="O1804" s="14">
        <f xml:space="preserve"> IF(ISBLANK(moras[[#This Row],[EDAD]]), EDA!$E$8, moras[[#This Row],[EDAD]])</f>
        <v>30</v>
      </c>
      <c r="P1804" s="14" t="str">
        <f>IF(
    OR(ISBLANK(moras[[#This Row],[TIPO_ASEGURAMIENTO]]), moras[[#This Row],[TIPO_ASEGURAMIENTO]]=""),
    EDA!$A$32,
    moras[[#This Row],[TIPO_ASEGURAMIENTO]]
)</f>
        <v>ASALARIADO</v>
      </c>
    </row>
    <row r="1805" spans="1:16" x14ac:dyDescent="0.3">
      <c r="A1805">
        <v>1804</v>
      </c>
      <c r="B1805" t="s">
        <v>9</v>
      </c>
      <c r="C1805">
        <v>35278275</v>
      </c>
      <c r="D1805" t="s">
        <v>10</v>
      </c>
      <c r="E1805" t="s">
        <v>16</v>
      </c>
      <c r="F1805" t="s">
        <v>12</v>
      </c>
      <c r="G1805" t="s">
        <v>12</v>
      </c>
      <c r="H1805" t="s">
        <v>13</v>
      </c>
      <c r="I1805">
        <v>27</v>
      </c>
      <c r="J1805">
        <f>ABS((I1805-EDA!$A$15)/EDA!$B$15)</f>
        <v>1.0571896382983452</v>
      </c>
      <c r="K1805" t="str">
        <f t="shared" si="28"/>
        <v>No</v>
      </c>
      <c r="L1805">
        <f>ABS((C1805-EDA!$F$15)/EDA!$G$15)</f>
        <v>0.21140142715679977</v>
      </c>
      <c r="M1805" t="str">
        <f>IF(moras[[#This Row],[Z-Score Salario]]&gt;1.96, "Sí", "No")</f>
        <v>No</v>
      </c>
      <c r="N1805" s="14">
        <f>IF(ISBLANK(moras[[#This Row],[SALARIO]]), EDA!$M$8, moras[[#This Row],[SALARIO]])</f>
        <v>35278275</v>
      </c>
      <c r="O1805" s="14">
        <f xml:space="preserve"> IF(ISBLANK(moras[[#This Row],[EDAD]]), EDA!$E$8, moras[[#This Row],[EDAD]])</f>
        <v>27</v>
      </c>
      <c r="P1805" s="14" t="str">
        <f>IF(
    OR(ISBLANK(moras[[#This Row],[TIPO_ASEGURAMIENTO]]), moras[[#This Row],[TIPO_ASEGURAMIENTO]]=""),
    EDA!$A$32,
    moras[[#This Row],[TIPO_ASEGURAMIENTO]]
)</f>
        <v>ASALARIADO</v>
      </c>
    </row>
    <row r="1806" spans="1:16" x14ac:dyDescent="0.3">
      <c r="A1806">
        <v>1805</v>
      </c>
      <c r="B1806" t="s">
        <v>9</v>
      </c>
      <c r="C1806">
        <v>4534138</v>
      </c>
      <c r="D1806" t="s">
        <v>10</v>
      </c>
      <c r="E1806" t="s">
        <v>16</v>
      </c>
      <c r="F1806" t="s">
        <v>12</v>
      </c>
      <c r="G1806" t="s">
        <v>13</v>
      </c>
      <c r="H1806" t="s">
        <v>13</v>
      </c>
      <c r="I1806">
        <v>52</v>
      </c>
      <c r="J1806">
        <f>ABS((I1806-EDA!$A$15)/EDA!$B$15)</f>
        <v>0.70719361363009237</v>
      </c>
      <c r="K1806" t="str">
        <f t="shared" si="28"/>
        <v>No</v>
      </c>
      <c r="L1806">
        <f>ABS((C1806-EDA!$F$15)/EDA!$G$15)</f>
        <v>0.3002027151845002</v>
      </c>
      <c r="M1806" t="str">
        <f>IF(moras[[#This Row],[Z-Score Salario]]&gt;1.96, "Sí", "No")</f>
        <v>No</v>
      </c>
      <c r="N1806" s="14">
        <f>IF(ISBLANK(moras[[#This Row],[SALARIO]]), EDA!$M$8, moras[[#This Row],[SALARIO]])</f>
        <v>4534138</v>
      </c>
      <c r="O1806" s="14">
        <f xml:space="preserve"> IF(ISBLANK(moras[[#This Row],[EDAD]]), EDA!$E$8, moras[[#This Row],[EDAD]])</f>
        <v>52</v>
      </c>
      <c r="P1806" s="14" t="str">
        <f>IF(
    OR(ISBLANK(moras[[#This Row],[TIPO_ASEGURAMIENTO]]), moras[[#This Row],[TIPO_ASEGURAMIENTO]]=""),
    EDA!$A$32,
    moras[[#This Row],[TIPO_ASEGURAMIENTO]]
)</f>
        <v>ASALARIADO</v>
      </c>
    </row>
    <row r="1807" spans="1:16" x14ac:dyDescent="0.3">
      <c r="A1807">
        <v>1806</v>
      </c>
      <c r="B1807" t="s">
        <v>15</v>
      </c>
      <c r="C1807">
        <v>329950</v>
      </c>
      <c r="D1807" t="s">
        <v>18</v>
      </c>
      <c r="E1807" t="s">
        <v>16</v>
      </c>
      <c r="F1807" t="s">
        <v>12</v>
      </c>
      <c r="G1807" t="s">
        <v>13</v>
      </c>
      <c r="H1807" t="s">
        <v>12</v>
      </c>
      <c r="I1807">
        <v>43</v>
      </c>
      <c r="J1807">
        <f>ABS((I1807-EDA!$A$15)/EDA!$B$15)</f>
        <v>7.2015642935854773E-2</v>
      </c>
      <c r="K1807" t="str">
        <f t="shared" si="28"/>
        <v>No</v>
      </c>
      <c r="L1807">
        <f>ABS((C1807-EDA!$F$15)/EDA!$G$15)</f>
        <v>0.37016337129208865</v>
      </c>
      <c r="M1807" t="str">
        <f>IF(moras[[#This Row],[Z-Score Salario]]&gt;1.96, "Sí", "No")</f>
        <v>No</v>
      </c>
      <c r="N1807" s="14">
        <f>IF(ISBLANK(moras[[#This Row],[SALARIO]]), EDA!$M$8, moras[[#This Row],[SALARIO]])</f>
        <v>329950</v>
      </c>
      <c r="O1807" s="14">
        <f xml:space="preserve"> IF(ISBLANK(moras[[#This Row],[EDAD]]), EDA!$E$8, moras[[#This Row],[EDAD]])</f>
        <v>43</v>
      </c>
      <c r="P1807" s="14" t="str">
        <f>IF(
    OR(ISBLANK(moras[[#This Row],[TIPO_ASEGURAMIENTO]]), moras[[#This Row],[TIPO_ASEGURAMIENTO]]=""),
    EDA!$A$32,
    moras[[#This Row],[TIPO_ASEGURAMIENTO]]
)</f>
        <v>TRABAJADOR INDEPENDIENTE</v>
      </c>
    </row>
    <row r="1808" spans="1:16" x14ac:dyDescent="0.3">
      <c r="A1808">
        <v>1807</v>
      </c>
      <c r="B1808" t="s">
        <v>9</v>
      </c>
      <c r="C1808">
        <v>73444938</v>
      </c>
      <c r="D1808" t="s">
        <v>10</v>
      </c>
      <c r="E1808" t="s">
        <v>11</v>
      </c>
      <c r="F1808" t="s">
        <v>12</v>
      </c>
      <c r="G1808" t="s">
        <v>13</v>
      </c>
      <c r="H1808" t="s">
        <v>13</v>
      </c>
      <c r="I1808">
        <v>24</v>
      </c>
      <c r="J1808">
        <f>ABS((I1808-EDA!$A$15)/EDA!$B$15)</f>
        <v>1.2689156285297578</v>
      </c>
      <c r="K1808" t="str">
        <f t="shared" si="28"/>
        <v>No</v>
      </c>
      <c r="L1808">
        <f>ABS((C1808-EDA!$F$15)/EDA!$G$15)</f>
        <v>0.84652164178973699</v>
      </c>
      <c r="M1808" t="str">
        <f>IF(moras[[#This Row],[Z-Score Salario]]&gt;1.96, "Sí", "No")</f>
        <v>No</v>
      </c>
      <c r="N1808" s="14">
        <f>IF(ISBLANK(moras[[#This Row],[SALARIO]]), EDA!$M$8, moras[[#This Row],[SALARIO]])</f>
        <v>73444938</v>
      </c>
      <c r="O1808" s="14">
        <f xml:space="preserve"> IF(ISBLANK(moras[[#This Row],[EDAD]]), EDA!$E$8, moras[[#This Row],[EDAD]])</f>
        <v>24</v>
      </c>
      <c r="P1808" s="14" t="str">
        <f>IF(
    OR(ISBLANK(moras[[#This Row],[TIPO_ASEGURAMIENTO]]), moras[[#This Row],[TIPO_ASEGURAMIENTO]]=""),
    EDA!$A$32,
    moras[[#This Row],[TIPO_ASEGURAMIENTO]]
)</f>
        <v>ASALARIADO</v>
      </c>
    </row>
    <row r="1809" spans="1:16" x14ac:dyDescent="0.3">
      <c r="A1809">
        <v>1808</v>
      </c>
      <c r="B1809" t="s">
        <v>9</v>
      </c>
      <c r="C1809">
        <v>74638068</v>
      </c>
      <c r="D1809" t="s">
        <v>10</v>
      </c>
      <c r="E1809" t="s">
        <v>16</v>
      </c>
      <c r="F1809" t="s">
        <v>12</v>
      </c>
      <c r="G1809" t="s">
        <v>13</v>
      </c>
      <c r="H1809" t="s">
        <v>13</v>
      </c>
      <c r="I1809">
        <v>37</v>
      </c>
      <c r="J1809">
        <f>ABS((I1809-EDA!$A$15)/EDA!$B$15)</f>
        <v>0.35143633752697023</v>
      </c>
      <c r="K1809" t="str">
        <f t="shared" si="28"/>
        <v>No</v>
      </c>
      <c r="L1809">
        <f>ABS((C1809-EDA!$F$15)/EDA!$G$15)</f>
        <v>0.86637616723475686</v>
      </c>
      <c r="M1809" t="str">
        <f>IF(moras[[#This Row],[Z-Score Salario]]&gt;1.96, "Sí", "No")</f>
        <v>No</v>
      </c>
      <c r="N1809" s="14">
        <f>IF(ISBLANK(moras[[#This Row],[SALARIO]]), EDA!$M$8, moras[[#This Row],[SALARIO]])</f>
        <v>74638068</v>
      </c>
      <c r="O1809" s="14">
        <f xml:space="preserve"> IF(ISBLANK(moras[[#This Row],[EDAD]]), EDA!$E$8, moras[[#This Row],[EDAD]])</f>
        <v>37</v>
      </c>
      <c r="P1809" s="14" t="str">
        <f>IF(
    OR(ISBLANK(moras[[#This Row],[TIPO_ASEGURAMIENTO]]), moras[[#This Row],[TIPO_ASEGURAMIENTO]]=""),
    EDA!$A$32,
    moras[[#This Row],[TIPO_ASEGURAMIENTO]]
)</f>
        <v>ASALARIADO</v>
      </c>
    </row>
    <row r="1810" spans="1:16" x14ac:dyDescent="0.3">
      <c r="A1810">
        <v>1809</v>
      </c>
      <c r="B1810" t="s">
        <v>15</v>
      </c>
      <c r="C1810">
        <v>420000</v>
      </c>
      <c r="D1810" t="s">
        <v>10</v>
      </c>
      <c r="E1810" t="s">
        <v>16</v>
      </c>
      <c r="F1810" t="s">
        <v>12</v>
      </c>
      <c r="G1810" t="s">
        <v>13</v>
      </c>
      <c r="H1810" t="s">
        <v>13</v>
      </c>
      <c r="I1810">
        <v>29</v>
      </c>
      <c r="J1810">
        <f>ABS((I1810-EDA!$A$15)/EDA!$B$15)</f>
        <v>0.91603897814407031</v>
      </c>
      <c r="K1810" t="str">
        <f t="shared" si="28"/>
        <v>No</v>
      </c>
      <c r="L1810">
        <f>ABS((C1810-EDA!$F$15)/EDA!$G$15)</f>
        <v>0.36866487572469531</v>
      </c>
      <c r="M1810" t="str">
        <f>IF(moras[[#This Row],[Z-Score Salario]]&gt;1.96, "Sí", "No")</f>
        <v>No</v>
      </c>
      <c r="N1810" s="14">
        <f>IF(ISBLANK(moras[[#This Row],[SALARIO]]), EDA!$M$8, moras[[#This Row],[SALARIO]])</f>
        <v>420000</v>
      </c>
      <c r="O1810" s="14">
        <f xml:space="preserve"> IF(ISBLANK(moras[[#This Row],[EDAD]]), EDA!$E$8, moras[[#This Row],[EDAD]])</f>
        <v>29</v>
      </c>
      <c r="P1810" s="14" t="str">
        <f>IF(
    OR(ISBLANK(moras[[#This Row],[TIPO_ASEGURAMIENTO]]), moras[[#This Row],[TIPO_ASEGURAMIENTO]]=""),
    EDA!$A$32,
    moras[[#This Row],[TIPO_ASEGURAMIENTO]]
)</f>
        <v>ASALARIADO</v>
      </c>
    </row>
    <row r="1811" spans="1:16" x14ac:dyDescent="0.3">
      <c r="A1811">
        <v>1810</v>
      </c>
      <c r="B1811" t="s">
        <v>9</v>
      </c>
      <c r="C1811">
        <v>829520</v>
      </c>
      <c r="D1811" t="s">
        <v>10</v>
      </c>
      <c r="E1811" t="s">
        <v>16</v>
      </c>
      <c r="F1811" t="s">
        <v>12</v>
      </c>
      <c r="G1811" t="s">
        <v>13</v>
      </c>
      <c r="H1811" t="s">
        <v>13</v>
      </c>
      <c r="I1811">
        <v>61</v>
      </c>
      <c r="J1811">
        <f>ABS((I1811-EDA!$A$15)/EDA!$B$15)</f>
        <v>1.3423715843243298</v>
      </c>
      <c r="K1811" t="str">
        <f t="shared" si="28"/>
        <v>No</v>
      </c>
      <c r="L1811">
        <f>ABS((C1811-EDA!$F$15)/EDA!$G$15)</f>
        <v>0.36185017383953233</v>
      </c>
      <c r="M1811" t="str">
        <f>IF(moras[[#This Row],[Z-Score Salario]]&gt;1.96, "Sí", "No")</f>
        <v>No</v>
      </c>
      <c r="N1811" s="14">
        <f>IF(ISBLANK(moras[[#This Row],[SALARIO]]), EDA!$M$8, moras[[#This Row],[SALARIO]])</f>
        <v>829520</v>
      </c>
      <c r="O1811" s="14">
        <f xml:space="preserve"> IF(ISBLANK(moras[[#This Row],[EDAD]]), EDA!$E$8, moras[[#This Row],[EDAD]])</f>
        <v>61</v>
      </c>
      <c r="P1811" s="14" t="str">
        <f>IF(
    OR(ISBLANK(moras[[#This Row],[TIPO_ASEGURAMIENTO]]), moras[[#This Row],[TIPO_ASEGURAMIENTO]]=""),
    EDA!$A$32,
    moras[[#This Row],[TIPO_ASEGURAMIENTO]]
)</f>
        <v>ASALARIADO</v>
      </c>
    </row>
    <row r="1812" spans="1:16" x14ac:dyDescent="0.3">
      <c r="A1812">
        <v>1811</v>
      </c>
      <c r="B1812" t="s">
        <v>15</v>
      </c>
      <c r="C1812">
        <v>297046</v>
      </c>
      <c r="D1812" t="s">
        <v>17</v>
      </c>
      <c r="E1812" t="s">
        <v>16</v>
      </c>
      <c r="F1812" t="s">
        <v>12</v>
      </c>
      <c r="G1812" t="s">
        <v>13</v>
      </c>
      <c r="H1812" t="s">
        <v>13</v>
      </c>
      <c r="I1812">
        <v>53</v>
      </c>
      <c r="J1812">
        <f>ABS((I1812-EDA!$A$15)/EDA!$B$15)</f>
        <v>0.77776894370722982</v>
      </c>
      <c r="K1812" t="str">
        <f t="shared" si="28"/>
        <v>No</v>
      </c>
      <c r="L1812">
        <f>ABS((C1812-EDA!$F$15)/EDA!$G$15)</f>
        <v>0.37071091707942361</v>
      </c>
      <c r="M1812" t="str">
        <f>IF(moras[[#This Row],[Z-Score Salario]]&gt;1.96, "Sí", "No")</f>
        <v>No</v>
      </c>
      <c r="N1812" s="14">
        <f>IF(ISBLANK(moras[[#This Row],[SALARIO]]), EDA!$M$8, moras[[#This Row],[SALARIO]])</f>
        <v>297046</v>
      </c>
      <c r="O1812" s="14">
        <f xml:space="preserve"> IF(ISBLANK(moras[[#This Row],[EDAD]]), EDA!$E$8, moras[[#This Row],[EDAD]])</f>
        <v>53</v>
      </c>
      <c r="P1812" s="14" t="str">
        <f>IF(
    OR(ISBLANK(moras[[#This Row],[TIPO_ASEGURAMIENTO]]), moras[[#This Row],[TIPO_ASEGURAMIENTO]]=""),
    EDA!$A$32,
    moras[[#This Row],[TIPO_ASEGURAMIENTO]]
)</f>
        <v>ASEGURADO VOLUNTARIO</v>
      </c>
    </row>
    <row r="1813" spans="1:16" x14ac:dyDescent="0.3">
      <c r="A1813">
        <v>1812</v>
      </c>
      <c r="B1813" t="s">
        <v>9</v>
      </c>
      <c r="C1813">
        <v>292180369</v>
      </c>
      <c r="D1813" t="s">
        <v>10</v>
      </c>
      <c r="E1813" t="s">
        <v>16</v>
      </c>
      <c r="F1813" t="s">
        <v>12</v>
      </c>
      <c r="G1813" t="s">
        <v>13</v>
      </c>
      <c r="H1813" t="s">
        <v>13</v>
      </c>
      <c r="I1813">
        <v>38</v>
      </c>
      <c r="J1813">
        <f>ABS((I1813-EDA!$A$15)/EDA!$B$15)</f>
        <v>0.28086100744983278</v>
      </c>
      <c r="K1813" t="str">
        <f t="shared" si="28"/>
        <v>No</v>
      </c>
      <c r="L1813">
        <f>ABS((C1813-EDA!$F$15)/EDA!$G$15)</f>
        <v>4.4864336216384348</v>
      </c>
      <c r="M1813" t="str">
        <f>IF(moras[[#This Row],[Z-Score Salario]]&gt;1.96, "Sí", "No")</f>
        <v>Sí</v>
      </c>
      <c r="N1813" s="14">
        <f>IF(ISBLANK(moras[[#This Row],[SALARIO]]), EDA!$M$8, moras[[#This Row],[SALARIO]])</f>
        <v>292180369</v>
      </c>
      <c r="O1813" s="14">
        <f xml:space="preserve"> IF(ISBLANK(moras[[#This Row],[EDAD]]), EDA!$E$8, moras[[#This Row],[EDAD]])</f>
        <v>38</v>
      </c>
      <c r="P1813" s="14" t="str">
        <f>IF(
    OR(ISBLANK(moras[[#This Row],[TIPO_ASEGURAMIENTO]]), moras[[#This Row],[TIPO_ASEGURAMIENTO]]=""),
    EDA!$A$32,
    moras[[#This Row],[TIPO_ASEGURAMIENTO]]
)</f>
        <v>ASALARIADO</v>
      </c>
    </row>
    <row r="1814" spans="1:16" x14ac:dyDescent="0.3">
      <c r="A1814">
        <v>1813</v>
      </c>
      <c r="B1814" t="s">
        <v>9</v>
      </c>
      <c r="C1814">
        <v>299647</v>
      </c>
      <c r="D1814" t="s">
        <v>17</v>
      </c>
      <c r="E1814" t="s">
        <v>16</v>
      </c>
      <c r="F1814" t="s">
        <v>12</v>
      </c>
      <c r="G1814" t="s">
        <v>13</v>
      </c>
      <c r="H1814" t="s">
        <v>13</v>
      </c>
      <c r="I1814">
        <v>58</v>
      </c>
      <c r="J1814">
        <f>ABS((I1814-EDA!$A$15)/EDA!$B$15)</f>
        <v>1.1306455940929174</v>
      </c>
      <c r="K1814" t="str">
        <f t="shared" si="28"/>
        <v>No</v>
      </c>
      <c r="L1814">
        <f>ABS((C1814-EDA!$F$15)/EDA!$G$15)</f>
        <v>0.37066763460334595</v>
      </c>
      <c r="M1814" t="str">
        <f>IF(moras[[#This Row],[Z-Score Salario]]&gt;1.96, "Sí", "No")</f>
        <v>No</v>
      </c>
      <c r="N1814" s="14">
        <f>IF(ISBLANK(moras[[#This Row],[SALARIO]]), EDA!$M$8, moras[[#This Row],[SALARIO]])</f>
        <v>299647</v>
      </c>
      <c r="O1814" s="14">
        <f xml:space="preserve"> IF(ISBLANK(moras[[#This Row],[EDAD]]), EDA!$E$8, moras[[#This Row],[EDAD]])</f>
        <v>58</v>
      </c>
      <c r="P1814" s="14" t="str">
        <f>IF(
    OR(ISBLANK(moras[[#This Row],[TIPO_ASEGURAMIENTO]]), moras[[#This Row],[TIPO_ASEGURAMIENTO]]=""),
    EDA!$A$32,
    moras[[#This Row],[TIPO_ASEGURAMIENTO]]
)</f>
        <v>ASEGURADO VOLUNTARIO</v>
      </c>
    </row>
    <row r="1815" spans="1:16" x14ac:dyDescent="0.3">
      <c r="A1815">
        <v>1814</v>
      </c>
      <c r="B1815" t="s">
        <v>15</v>
      </c>
      <c r="C1815">
        <v>385548</v>
      </c>
      <c r="D1815" t="s">
        <v>17</v>
      </c>
      <c r="E1815" t="s">
        <v>16</v>
      </c>
      <c r="F1815" t="s">
        <v>12</v>
      </c>
      <c r="G1815" t="s">
        <v>12</v>
      </c>
      <c r="H1815" t="s">
        <v>13</v>
      </c>
      <c r="I1815">
        <v>55</v>
      </c>
      <c r="J1815">
        <f>ABS((I1815-EDA!$A$15)/EDA!$B$15)</f>
        <v>0.91891960386150484</v>
      </c>
      <c r="K1815" t="str">
        <f t="shared" si="28"/>
        <v>No</v>
      </c>
      <c r="L1815">
        <f>ABS((C1815-EDA!$F$15)/EDA!$G$15)</f>
        <v>0.36923818132478231</v>
      </c>
      <c r="M1815" t="str">
        <f>IF(moras[[#This Row],[Z-Score Salario]]&gt;1.96, "Sí", "No")</f>
        <v>No</v>
      </c>
      <c r="N1815" s="14">
        <f>IF(ISBLANK(moras[[#This Row],[SALARIO]]), EDA!$M$8, moras[[#This Row],[SALARIO]])</f>
        <v>385548</v>
      </c>
      <c r="O1815" s="14">
        <f xml:space="preserve"> IF(ISBLANK(moras[[#This Row],[EDAD]]), EDA!$E$8, moras[[#This Row],[EDAD]])</f>
        <v>55</v>
      </c>
      <c r="P1815" s="14" t="str">
        <f>IF(
    OR(ISBLANK(moras[[#This Row],[TIPO_ASEGURAMIENTO]]), moras[[#This Row],[TIPO_ASEGURAMIENTO]]=""),
    EDA!$A$32,
    moras[[#This Row],[TIPO_ASEGURAMIENTO]]
)</f>
        <v>ASEGURADO VOLUNTARIO</v>
      </c>
    </row>
    <row r="1816" spans="1:16" x14ac:dyDescent="0.3">
      <c r="A1816">
        <v>1815</v>
      </c>
      <c r="B1816" t="s">
        <v>15</v>
      </c>
      <c r="C1816">
        <v>639148</v>
      </c>
      <c r="D1816" t="s">
        <v>18</v>
      </c>
      <c r="E1816" t="s">
        <v>16</v>
      </c>
      <c r="F1816" t="s">
        <v>12</v>
      </c>
      <c r="G1816" t="s">
        <v>13</v>
      </c>
      <c r="H1816" t="s">
        <v>13</v>
      </c>
      <c r="I1816">
        <v>34</v>
      </c>
      <c r="J1816">
        <f>ABS((I1816-EDA!$A$15)/EDA!$B$15)</f>
        <v>0.56316232775838282</v>
      </c>
      <c r="K1816" t="str">
        <f t="shared" si="28"/>
        <v>No</v>
      </c>
      <c r="L1816">
        <f>ABS((C1816-EDA!$F$15)/EDA!$G$15)</f>
        <v>0.36501809830544912</v>
      </c>
      <c r="M1816" t="str">
        <f>IF(moras[[#This Row],[Z-Score Salario]]&gt;1.96, "Sí", "No")</f>
        <v>No</v>
      </c>
      <c r="N1816" s="14">
        <f>IF(ISBLANK(moras[[#This Row],[SALARIO]]), EDA!$M$8, moras[[#This Row],[SALARIO]])</f>
        <v>639148</v>
      </c>
      <c r="O1816" s="14">
        <f xml:space="preserve"> IF(ISBLANK(moras[[#This Row],[EDAD]]), EDA!$E$8, moras[[#This Row],[EDAD]])</f>
        <v>34</v>
      </c>
      <c r="P1816" s="14" t="str">
        <f>IF(
    OR(ISBLANK(moras[[#This Row],[TIPO_ASEGURAMIENTO]]), moras[[#This Row],[TIPO_ASEGURAMIENTO]]=""),
    EDA!$A$32,
    moras[[#This Row],[TIPO_ASEGURAMIENTO]]
)</f>
        <v>TRABAJADOR INDEPENDIENTE</v>
      </c>
    </row>
    <row r="1817" spans="1:16" x14ac:dyDescent="0.3">
      <c r="A1817">
        <v>1816</v>
      </c>
      <c r="B1817" t="s">
        <v>9</v>
      </c>
      <c r="C1817">
        <v>20260091</v>
      </c>
      <c r="D1817" t="s">
        <v>10</v>
      </c>
      <c r="E1817" t="s">
        <v>16</v>
      </c>
      <c r="F1817" t="s">
        <v>12</v>
      </c>
      <c r="G1817" t="s">
        <v>13</v>
      </c>
      <c r="H1817" t="s">
        <v>13</v>
      </c>
      <c r="I1817">
        <v>40</v>
      </c>
      <c r="J1817">
        <f>ABS((I1817-EDA!$A$15)/EDA!$B$15)</f>
        <v>0.13971034729555773</v>
      </c>
      <c r="K1817" t="str">
        <f t="shared" si="28"/>
        <v>No</v>
      </c>
      <c r="L1817">
        <f>ABS((C1817-EDA!$F$15)/EDA!$G$15)</f>
        <v>3.8511756122465289E-2</v>
      </c>
      <c r="M1817" t="str">
        <f>IF(moras[[#This Row],[Z-Score Salario]]&gt;1.96, "Sí", "No")</f>
        <v>No</v>
      </c>
      <c r="N1817" s="14">
        <f>IF(ISBLANK(moras[[#This Row],[SALARIO]]), EDA!$M$8, moras[[#This Row],[SALARIO]])</f>
        <v>20260091</v>
      </c>
      <c r="O1817" s="14">
        <f xml:space="preserve"> IF(ISBLANK(moras[[#This Row],[EDAD]]), EDA!$E$8, moras[[#This Row],[EDAD]])</f>
        <v>40</v>
      </c>
      <c r="P1817" s="14" t="str">
        <f>IF(
    OR(ISBLANK(moras[[#This Row],[TIPO_ASEGURAMIENTO]]), moras[[#This Row],[TIPO_ASEGURAMIENTO]]=""),
    EDA!$A$32,
    moras[[#This Row],[TIPO_ASEGURAMIENTO]]
)</f>
        <v>ASALARIADO</v>
      </c>
    </row>
    <row r="1818" spans="1:16" x14ac:dyDescent="0.3">
      <c r="A1818">
        <v>1817</v>
      </c>
      <c r="B1818" t="s">
        <v>9</v>
      </c>
      <c r="C1818">
        <v>594092</v>
      </c>
      <c r="D1818" t="s">
        <v>18</v>
      </c>
      <c r="E1818" t="s">
        <v>16</v>
      </c>
      <c r="F1818" t="s">
        <v>12</v>
      </c>
      <c r="G1818" t="s">
        <v>13</v>
      </c>
      <c r="H1818" t="s">
        <v>12</v>
      </c>
      <c r="I1818">
        <v>61</v>
      </c>
      <c r="J1818">
        <f>ABS((I1818-EDA!$A$15)/EDA!$B$15)</f>
        <v>1.3423715843243298</v>
      </c>
      <c r="K1818" t="str">
        <f t="shared" si="28"/>
        <v>No</v>
      </c>
      <c r="L1818">
        <f>ABS((C1818-EDA!$F$15)/EDA!$G$15)</f>
        <v>0.36576786195102906</v>
      </c>
      <c r="M1818" t="str">
        <f>IF(moras[[#This Row],[Z-Score Salario]]&gt;1.96, "Sí", "No")</f>
        <v>No</v>
      </c>
      <c r="N1818" s="14">
        <f>IF(ISBLANK(moras[[#This Row],[SALARIO]]), EDA!$M$8, moras[[#This Row],[SALARIO]])</f>
        <v>594092</v>
      </c>
      <c r="O1818" s="14">
        <f xml:space="preserve"> IF(ISBLANK(moras[[#This Row],[EDAD]]), EDA!$E$8, moras[[#This Row],[EDAD]])</f>
        <v>61</v>
      </c>
      <c r="P1818" s="14" t="str">
        <f>IF(
    OR(ISBLANK(moras[[#This Row],[TIPO_ASEGURAMIENTO]]), moras[[#This Row],[TIPO_ASEGURAMIENTO]]=""),
    EDA!$A$32,
    moras[[#This Row],[TIPO_ASEGURAMIENTO]]
)</f>
        <v>TRABAJADOR INDEPENDIENTE</v>
      </c>
    </row>
    <row r="1819" spans="1:16" x14ac:dyDescent="0.3">
      <c r="A1819">
        <v>1818</v>
      </c>
      <c r="B1819" t="s">
        <v>15</v>
      </c>
      <c r="C1819">
        <v>347514</v>
      </c>
      <c r="D1819" t="s">
        <v>10</v>
      </c>
      <c r="E1819" t="s">
        <v>16</v>
      </c>
      <c r="F1819" t="s">
        <v>12</v>
      </c>
      <c r="G1819" t="s">
        <v>13</v>
      </c>
      <c r="H1819" t="s">
        <v>12</v>
      </c>
      <c r="I1819">
        <v>20</v>
      </c>
      <c r="J1819">
        <f>ABS((I1819-EDA!$A$15)/EDA!$B$15)</f>
        <v>1.5512169488383079</v>
      </c>
      <c r="K1819" t="str">
        <f t="shared" si="28"/>
        <v>No</v>
      </c>
      <c r="L1819">
        <f>ABS((C1819-EDA!$F$15)/EDA!$G$15)</f>
        <v>0.3698710939334468</v>
      </c>
      <c r="M1819" t="str">
        <f>IF(moras[[#This Row],[Z-Score Salario]]&gt;1.96, "Sí", "No")</f>
        <v>No</v>
      </c>
      <c r="N1819" s="14">
        <f>IF(ISBLANK(moras[[#This Row],[SALARIO]]), EDA!$M$8, moras[[#This Row],[SALARIO]])</f>
        <v>347514</v>
      </c>
      <c r="O1819" s="14">
        <f xml:space="preserve"> IF(ISBLANK(moras[[#This Row],[EDAD]]), EDA!$E$8, moras[[#This Row],[EDAD]])</f>
        <v>20</v>
      </c>
      <c r="P1819" s="14" t="str">
        <f>IF(
    OR(ISBLANK(moras[[#This Row],[TIPO_ASEGURAMIENTO]]), moras[[#This Row],[TIPO_ASEGURAMIENTO]]=""),
    EDA!$A$32,
    moras[[#This Row],[TIPO_ASEGURAMIENTO]]
)</f>
        <v>ASALARIADO</v>
      </c>
    </row>
    <row r="1820" spans="1:16" x14ac:dyDescent="0.3">
      <c r="A1820">
        <v>1819</v>
      </c>
      <c r="B1820" t="s">
        <v>9</v>
      </c>
      <c r="C1820">
        <v>356858</v>
      </c>
      <c r="D1820" t="s">
        <v>18</v>
      </c>
      <c r="E1820" t="s">
        <v>16</v>
      </c>
      <c r="F1820" t="s">
        <v>12</v>
      </c>
      <c r="G1820" t="s">
        <v>13</v>
      </c>
      <c r="H1820" t="s">
        <v>12</v>
      </c>
      <c r="I1820">
        <v>42</v>
      </c>
      <c r="J1820">
        <f>ABS((I1820-EDA!$A$15)/EDA!$B$15)</f>
        <v>1.4403128587172659E-3</v>
      </c>
      <c r="K1820" t="str">
        <f t="shared" si="28"/>
        <v>No</v>
      </c>
      <c r="L1820">
        <f>ABS((C1820-EDA!$F$15)/EDA!$G$15)</f>
        <v>0.36971560317740326</v>
      </c>
      <c r="M1820" t="str">
        <f>IF(moras[[#This Row],[Z-Score Salario]]&gt;1.96, "Sí", "No")</f>
        <v>No</v>
      </c>
      <c r="N1820" s="14">
        <f>IF(ISBLANK(moras[[#This Row],[SALARIO]]), EDA!$M$8, moras[[#This Row],[SALARIO]])</f>
        <v>356858</v>
      </c>
      <c r="O1820" s="14">
        <f xml:space="preserve"> IF(ISBLANK(moras[[#This Row],[EDAD]]), EDA!$E$8, moras[[#This Row],[EDAD]])</f>
        <v>42</v>
      </c>
      <c r="P1820" s="14" t="str">
        <f>IF(
    OR(ISBLANK(moras[[#This Row],[TIPO_ASEGURAMIENTO]]), moras[[#This Row],[TIPO_ASEGURAMIENTO]]=""),
    EDA!$A$32,
    moras[[#This Row],[TIPO_ASEGURAMIENTO]]
)</f>
        <v>TRABAJADOR INDEPENDIENTE</v>
      </c>
    </row>
    <row r="1821" spans="1:16" x14ac:dyDescent="0.3">
      <c r="A1821">
        <v>1820</v>
      </c>
      <c r="B1821" t="s">
        <v>9</v>
      </c>
      <c r="C1821">
        <v>387953</v>
      </c>
      <c r="D1821" t="s">
        <v>18</v>
      </c>
      <c r="E1821" t="s">
        <v>16</v>
      </c>
      <c r="F1821" t="s">
        <v>13</v>
      </c>
      <c r="G1821" t="s">
        <v>13</v>
      </c>
      <c r="H1821" t="s">
        <v>12</v>
      </c>
      <c r="I1821">
        <v>32</v>
      </c>
      <c r="J1821">
        <f>ABS((I1821-EDA!$A$15)/EDA!$B$15)</f>
        <v>0.70431298791265773</v>
      </c>
      <c r="K1821" t="str">
        <f t="shared" si="28"/>
        <v>No</v>
      </c>
      <c r="L1821">
        <f>ABS((C1821-EDA!$F$15)/EDA!$G$15)</f>
        <v>0.36919816042706349</v>
      </c>
      <c r="M1821" t="str">
        <f>IF(moras[[#This Row],[Z-Score Salario]]&gt;1.96, "Sí", "No")</f>
        <v>No</v>
      </c>
      <c r="N1821" s="14">
        <f>IF(ISBLANK(moras[[#This Row],[SALARIO]]), EDA!$M$8, moras[[#This Row],[SALARIO]])</f>
        <v>387953</v>
      </c>
      <c r="O1821" s="14">
        <f xml:space="preserve"> IF(ISBLANK(moras[[#This Row],[EDAD]]), EDA!$E$8, moras[[#This Row],[EDAD]])</f>
        <v>32</v>
      </c>
      <c r="P1821" s="14" t="str">
        <f>IF(
    OR(ISBLANK(moras[[#This Row],[TIPO_ASEGURAMIENTO]]), moras[[#This Row],[TIPO_ASEGURAMIENTO]]=""),
    EDA!$A$32,
    moras[[#This Row],[TIPO_ASEGURAMIENTO]]
)</f>
        <v>TRABAJADOR INDEPENDIENTE</v>
      </c>
    </row>
    <row r="1822" spans="1:16" x14ac:dyDescent="0.3">
      <c r="A1822">
        <v>1821</v>
      </c>
      <c r="B1822" t="s">
        <v>9</v>
      </c>
      <c r="C1822">
        <v>1742310</v>
      </c>
      <c r="D1822" t="s">
        <v>10</v>
      </c>
      <c r="E1822" t="s">
        <v>16</v>
      </c>
      <c r="F1822" t="s">
        <v>12</v>
      </c>
      <c r="G1822" t="s">
        <v>13</v>
      </c>
      <c r="H1822" t="s">
        <v>13</v>
      </c>
      <c r="I1822">
        <v>28</v>
      </c>
      <c r="J1822">
        <f>ABS((I1822-EDA!$A$15)/EDA!$B$15)</f>
        <v>0.98661430822120777</v>
      </c>
      <c r="K1822" t="str">
        <f t="shared" si="28"/>
        <v>No</v>
      </c>
      <c r="L1822">
        <f>ABS((C1822-EDA!$F$15)/EDA!$G$15)</f>
        <v>0.34666070388993786</v>
      </c>
      <c r="M1822" t="str">
        <f>IF(moras[[#This Row],[Z-Score Salario]]&gt;1.96, "Sí", "No")</f>
        <v>No</v>
      </c>
      <c r="N1822" s="14">
        <f>IF(ISBLANK(moras[[#This Row],[SALARIO]]), EDA!$M$8, moras[[#This Row],[SALARIO]])</f>
        <v>1742310</v>
      </c>
      <c r="O1822" s="14">
        <f xml:space="preserve"> IF(ISBLANK(moras[[#This Row],[EDAD]]), EDA!$E$8, moras[[#This Row],[EDAD]])</f>
        <v>28</v>
      </c>
      <c r="P1822" s="14" t="str">
        <f>IF(
    OR(ISBLANK(moras[[#This Row],[TIPO_ASEGURAMIENTO]]), moras[[#This Row],[TIPO_ASEGURAMIENTO]]=""),
    EDA!$A$32,
    moras[[#This Row],[TIPO_ASEGURAMIENTO]]
)</f>
        <v>ASALARIADO</v>
      </c>
    </row>
    <row r="1823" spans="1:16" x14ac:dyDescent="0.3">
      <c r="A1823">
        <v>1822</v>
      </c>
      <c r="B1823" t="s">
        <v>9</v>
      </c>
      <c r="C1823">
        <v>550000</v>
      </c>
      <c r="D1823" t="s">
        <v>10</v>
      </c>
      <c r="E1823" t="s">
        <v>16</v>
      </c>
      <c r="F1823" t="s">
        <v>12</v>
      </c>
      <c r="G1823" t="s">
        <v>13</v>
      </c>
      <c r="H1823" t="s">
        <v>13</v>
      </c>
      <c r="I1823">
        <v>28</v>
      </c>
      <c r="J1823">
        <f>ABS((I1823-EDA!$A$15)/EDA!$B$15)</f>
        <v>0.98661430822120777</v>
      </c>
      <c r="K1823" t="str">
        <f t="shared" si="28"/>
        <v>No</v>
      </c>
      <c r="L1823">
        <f>ABS((C1823-EDA!$F$15)/EDA!$G$15)</f>
        <v>0.36650158395610966</v>
      </c>
      <c r="M1823" t="str">
        <f>IF(moras[[#This Row],[Z-Score Salario]]&gt;1.96, "Sí", "No")</f>
        <v>No</v>
      </c>
      <c r="N1823" s="14">
        <f>IF(ISBLANK(moras[[#This Row],[SALARIO]]), EDA!$M$8, moras[[#This Row],[SALARIO]])</f>
        <v>550000</v>
      </c>
      <c r="O1823" s="14">
        <f xml:space="preserve"> IF(ISBLANK(moras[[#This Row],[EDAD]]), EDA!$E$8, moras[[#This Row],[EDAD]])</f>
        <v>28</v>
      </c>
      <c r="P1823" s="14" t="str">
        <f>IF(
    OR(ISBLANK(moras[[#This Row],[TIPO_ASEGURAMIENTO]]), moras[[#This Row],[TIPO_ASEGURAMIENTO]]=""),
    EDA!$A$32,
    moras[[#This Row],[TIPO_ASEGURAMIENTO]]
)</f>
        <v>ASALARIADO</v>
      </c>
    </row>
    <row r="1824" spans="1:16" x14ac:dyDescent="0.3">
      <c r="A1824">
        <v>1823</v>
      </c>
      <c r="B1824" t="s">
        <v>9</v>
      </c>
      <c r="C1824">
        <v>1524359</v>
      </c>
      <c r="D1824" t="s">
        <v>10</v>
      </c>
      <c r="E1824" t="s">
        <v>11</v>
      </c>
      <c r="F1824" t="s">
        <v>12</v>
      </c>
      <c r="G1824" t="s">
        <v>13</v>
      </c>
      <c r="H1824" t="s">
        <v>12</v>
      </c>
      <c r="I1824">
        <v>51</v>
      </c>
      <c r="J1824">
        <f>ABS((I1824-EDA!$A$15)/EDA!$B$15)</f>
        <v>0.6366182835529548</v>
      </c>
      <c r="K1824" t="str">
        <f t="shared" si="28"/>
        <v>No</v>
      </c>
      <c r="L1824">
        <f>ABS((C1824-EDA!$F$15)/EDA!$G$15)</f>
        <v>0.35028756238420711</v>
      </c>
      <c r="M1824" t="str">
        <f>IF(moras[[#This Row],[Z-Score Salario]]&gt;1.96, "Sí", "No")</f>
        <v>No</v>
      </c>
      <c r="N1824" s="14">
        <f>IF(ISBLANK(moras[[#This Row],[SALARIO]]), EDA!$M$8, moras[[#This Row],[SALARIO]])</f>
        <v>1524359</v>
      </c>
      <c r="O1824" s="14">
        <f xml:space="preserve"> IF(ISBLANK(moras[[#This Row],[EDAD]]), EDA!$E$8, moras[[#This Row],[EDAD]])</f>
        <v>51</v>
      </c>
      <c r="P1824" s="14" t="str">
        <f>IF(
    OR(ISBLANK(moras[[#This Row],[TIPO_ASEGURAMIENTO]]), moras[[#This Row],[TIPO_ASEGURAMIENTO]]=""),
    EDA!$A$32,
    moras[[#This Row],[TIPO_ASEGURAMIENTO]]
)</f>
        <v>ASALARIADO</v>
      </c>
    </row>
    <row r="1825" spans="1:16" x14ac:dyDescent="0.3">
      <c r="A1825">
        <v>1824</v>
      </c>
      <c r="B1825" t="s">
        <v>15</v>
      </c>
      <c r="C1825">
        <v>50000</v>
      </c>
      <c r="D1825" t="s">
        <v>10</v>
      </c>
      <c r="E1825" t="s">
        <v>16</v>
      </c>
      <c r="F1825" t="s">
        <v>12</v>
      </c>
      <c r="G1825" t="s">
        <v>12</v>
      </c>
      <c r="H1825" t="s">
        <v>13</v>
      </c>
      <c r="I1825">
        <v>35</v>
      </c>
      <c r="J1825">
        <f>ABS((I1825-EDA!$A$15)/EDA!$B$15)</f>
        <v>0.49258699768124525</v>
      </c>
      <c r="K1825" t="str">
        <f t="shared" si="28"/>
        <v>No</v>
      </c>
      <c r="L1825">
        <f>ABS((C1825-EDA!$F$15)/EDA!$G$15)</f>
        <v>0.37482193691220822</v>
      </c>
      <c r="M1825" t="str">
        <f>IF(moras[[#This Row],[Z-Score Salario]]&gt;1.96, "Sí", "No")</f>
        <v>No</v>
      </c>
      <c r="N1825" s="14">
        <f>IF(ISBLANK(moras[[#This Row],[SALARIO]]), EDA!$M$8, moras[[#This Row],[SALARIO]])</f>
        <v>50000</v>
      </c>
      <c r="O1825" s="14">
        <f xml:space="preserve"> IF(ISBLANK(moras[[#This Row],[EDAD]]), EDA!$E$8, moras[[#This Row],[EDAD]])</f>
        <v>35</v>
      </c>
      <c r="P1825" s="14" t="str">
        <f>IF(
    OR(ISBLANK(moras[[#This Row],[TIPO_ASEGURAMIENTO]]), moras[[#This Row],[TIPO_ASEGURAMIENTO]]=""),
    EDA!$A$32,
    moras[[#This Row],[TIPO_ASEGURAMIENTO]]
)</f>
        <v>ASALARIADO</v>
      </c>
    </row>
    <row r="1826" spans="1:16" x14ac:dyDescent="0.3">
      <c r="A1826">
        <v>1825</v>
      </c>
      <c r="B1826" t="s">
        <v>15</v>
      </c>
      <c r="C1826">
        <v>310124</v>
      </c>
      <c r="D1826" t="s">
        <v>17</v>
      </c>
      <c r="E1826" t="s">
        <v>16</v>
      </c>
      <c r="F1826" t="s">
        <v>12</v>
      </c>
      <c r="G1826" t="s">
        <v>13</v>
      </c>
      <c r="H1826" t="s">
        <v>12</v>
      </c>
      <c r="I1826">
        <v>32</v>
      </c>
      <c r="J1826">
        <f>ABS((I1826-EDA!$A$15)/EDA!$B$15)</f>
        <v>0.70431298791265773</v>
      </c>
      <c r="K1826" t="str">
        <f t="shared" si="28"/>
        <v>No</v>
      </c>
      <c r="L1826">
        <f>ABS((C1826-EDA!$F$15)/EDA!$G$15)</f>
        <v>0.37049328992750385</v>
      </c>
      <c r="M1826" t="str">
        <f>IF(moras[[#This Row],[Z-Score Salario]]&gt;1.96, "Sí", "No")</f>
        <v>No</v>
      </c>
      <c r="N1826" s="14">
        <f>IF(ISBLANK(moras[[#This Row],[SALARIO]]), EDA!$M$8, moras[[#This Row],[SALARIO]])</f>
        <v>310124</v>
      </c>
      <c r="O1826" s="14">
        <f xml:space="preserve"> IF(ISBLANK(moras[[#This Row],[EDAD]]), EDA!$E$8, moras[[#This Row],[EDAD]])</f>
        <v>32</v>
      </c>
      <c r="P1826" s="14" t="str">
        <f>IF(
    OR(ISBLANK(moras[[#This Row],[TIPO_ASEGURAMIENTO]]), moras[[#This Row],[TIPO_ASEGURAMIENTO]]=""),
    EDA!$A$32,
    moras[[#This Row],[TIPO_ASEGURAMIENTO]]
)</f>
        <v>ASEGURADO VOLUNTARIO</v>
      </c>
    </row>
    <row r="1827" spans="1:16" x14ac:dyDescent="0.3">
      <c r="A1827">
        <v>1826</v>
      </c>
      <c r="B1827" t="s">
        <v>9</v>
      </c>
      <c r="C1827">
        <v>216200</v>
      </c>
      <c r="D1827" t="s">
        <v>10</v>
      </c>
      <c r="E1827" t="s">
        <v>16</v>
      </c>
      <c r="F1827" t="s">
        <v>12</v>
      </c>
      <c r="G1827" t="s">
        <v>12</v>
      </c>
      <c r="H1827" t="s">
        <v>12</v>
      </c>
      <c r="I1827">
        <v>29</v>
      </c>
      <c r="J1827">
        <f>ABS((I1827-EDA!$A$15)/EDA!$B$15)</f>
        <v>0.91603897814407031</v>
      </c>
      <c r="K1827" t="str">
        <f t="shared" si="28"/>
        <v>No</v>
      </c>
      <c r="L1827">
        <f>ABS((C1827-EDA!$F$15)/EDA!$G$15)</f>
        <v>0.37205625158960109</v>
      </c>
      <c r="M1827" t="str">
        <f>IF(moras[[#This Row],[Z-Score Salario]]&gt;1.96, "Sí", "No")</f>
        <v>No</v>
      </c>
      <c r="N1827" s="14">
        <f>IF(ISBLANK(moras[[#This Row],[SALARIO]]), EDA!$M$8, moras[[#This Row],[SALARIO]])</f>
        <v>216200</v>
      </c>
      <c r="O1827" s="14">
        <f xml:space="preserve"> IF(ISBLANK(moras[[#This Row],[EDAD]]), EDA!$E$8, moras[[#This Row],[EDAD]])</f>
        <v>29</v>
      </c>
      <c r="P1827" s="14" t="str">
        <f>IF(
    OR(ISBLANK(moras[[#This Row],[TIPO_ASEGURAMIENTO]]), moras[[#This Row],[TIPO_ASEGURAMIENTO]]=""),
    EDA!$A$32,
    moras[[#This Row],[TIPO_ASEGURAMIENTO]]
)</f>
        <v>ASALARIADO</v>
      </c>
    </row>
    <row r="1828" spans="1:16" x14ac:dyDescent="0.3">
      <c r="A1828">
        <v>1827</v>
      </c>
      <c r="B1828" t="s">
        <v>15</v>
      </c>
      <c r="C1828">
        <v>577181</v>
      </c>
      <c r="D1828" t="s">
        <v>10</v>
      </c>
      <c r="E1828" t="s">
        <v>11</v>
      </c>
      <c r="F1828" t="s">
        <v>12</v>
      </c>
      <c r="G1828" t="s">
        <v>13</v>
      </c>
      <c r="H1828" t="s">
        <v>12</v>
      </c>
      <c r="I1828">
        <v>55</v>
      </c>
      <c r="J1828">
        <f>ABS((I1828-EDA!$A$15)/EDA!$B$15)</f>
        <v>0.91891960386150484</v>
      </c>
      <c r="K1828" t="str">
        <f t="shared" si="28"/>
        <v>No</v>
      </c>
      <c r="L1828">
        <f>ABS((C1828-EDA!$F$15)/EDA!$G$15)</f>
        <v>0.3660492729287102</v>
      </c>
      <c r="M1828" t="str">
        <f>IF(moras[[#This Row],[Z-Score Salario]]&gt;1.96, "Sí", "No")</f>
        <v>No</v>
      </c>
      <c r="N1828" s="14">
        <f>IF(ISBLANK(moras[[#This Row],[SALARIO]]), EDA!$M$8, moras[[#This Row],[SALARIO]])</f>
        <v>577181</v>
      </c>
      <c r="O1828" s="14">
        <f xml:space="preserve"> IF(ISBLANK(moras[[#This Row],[EDAD]]), EDA!$E$8, moras[[#This Row],[EDAD]])</f>
        <v>55</v>
      </c>
      <c r="P1828" s="14" t="str">
        <f>IF(
    OR(ISBLANK(moras[[#This Row],[TIPO_ASEGURAMIENTO]]), moras[[#This Row],[TIPO_ASEGURAMIENTO]]=""),
    EDA!$A$32,
    moras[[#This Row],[TIPO_ASEGURAMIENTO]]
)</f>
        <v>ASALARIADO</v>
      </c>
    </row>
    <row r="1829" spans="1:16" x14ac:dyDescent="0.3">
      <c r="A1829">
        <v>1828</v>
      </c>
      <c r="B1829" t="s">
        <v>15</v>
      </c>
      <c r="C1829">
        <v>71987323</v>
      </c>
      <c r="D1829" t="s">
        <v>10</v>
      </c>
      <c r="E1829" t="s">
        <v>16</v>
      </c>
      <c r="F1829" t="s">
        <v>12</v>
      </c>
      <c r="G1829" t="s">
        <v>13</v>
      </c>
      <c r="H1829" t="s">
        <v>13</v>
      </c>
      <c r="I1829">
        <v>26</v>
      </c>
      <c r="J1829">
        <f>ABS((I1829-EDA!$A$15)/EDA!$B$15)</f>
        <v>1.1277649683754829</v>
      </c>
      <c r="K1829" t="str">
        <f t="shared" si="28"/>
        <v>No</v>
      </c>
      <c r="L1829">
        <f>ABS((C1829-EDA!$F$15)/EDA!$G$15)</f>
        <v>0.82226589924152971</v>
      </c>
      <c r="M1829" t="str">
        <f>IF(moras[[#This Row],[Z-Score Salario]]&gt;1.96, "Sí", "No")</f>
        <v>No</v>
      </c>
      <c r="N1829" s="14">
        <f>IF(ISBLANK(moras[[#This Row],[SALARIO]]), EDA!$M$8, moras[[#This Row],[SALARIO]])</f>
        <v>71987323</v>
      </c>
      <c r="O1829" s="14">
        <f xml:space="preserve"> IF(ISBLANK(moras[[#This Row],[EDAD]]), EDA!$E$8, moras[[#This Row],[EDAD]])</f>
        <v>26</v>
      </c>
      <c r="P1829" s="14" t="str">
        <f>IF(
    OR(ISBLANK(moras[[#This Row],[TIPO_ASEGURAMIENTO]]), moras[[#This Row],[TIPO_ASEGURAMIENTO]]=""),
    EDA!$A$32,
    moras[[#This Row],[TIPO_ASEGURAMIENTO]]
)</f>
        <v>ASALARIADO</v>
      </c>
    </row>
    <row r="1830" spans="1:16" x14ac:dyDescent="0.3">
      <c r="A1830">
        <v>1829</v>
      </c>
      <c r="B1830" t="s">
        <v>15</v>
      </c>
      <c r="C1830">
        <v>62520197</v>
      </c>
      <c r="D1830" t="s">
        <v>10</v>
      </c>
      <c r="E1830" t="s">
        <v>16</v>
      </c>
      <c r="F1830" t="s">
        <v>12</v>
      </c>
      <c r="G1830" t="s">
        <v>13</v>
      </c>
      <c r="H1830" t="s">
        <v>13</v>
      </c>
      <c r="I1830">
        <v>24</v>
      </c>
      <c r="J1830">
        <f>ABS((I1830-EDA!$A$15)/EDA!$B$15)</f>
        <v>1.2689156285297578</v>
      </c>
      <c r="K1830" t="str">
        <f t="shared" si="28"/>
        <v>No</v>
      </c>
      <c r="L1830">
        <f>ABS((C1830-EDA!$F$15)/EDA!$G$15)</f>
        <v>0.6647262396418141</v>
      </c>
      <c r="M1830" t="str">
        <f>IF(moras[[#This Row],[Z-Score Salario]]&gt;1.96, "Sí", "No")</f>
        <v>No</v>
      </c>
      <c r="N1830" s="14">
        <f>IF(ISBLANK(moras[[#This Row],[SALARIO]]), EDA!$M$8, moras[[#This Row],[SALARIO]])</f>
        <v>62520197</v>
      </c>
      <c r="O1830" s="14">
        <f xml:space="preserve"> IF(ISBLANK(moras[[#This Row],[EDAD]]), EDA!$E$8, moras[[#This Row],[EDAD]])</f>
        <v>24</v>
      </c>
      <c r="P1830" s="14" t="str">
        <f>IF(
    OR(ISBLANK(moras[[#This Row],[TIPO_ASEGURAMIENTO]]), moras[[#This Row],[TIPO_ASEGURAMIENTO]]=""),
    EDA!$A$32,
    moras[[#This Row],[TIPO_ASEGURAMIENTO]]
)</f>
        <v>ASALARIADO</v>
      </c>
    </row>
    <row r="1831" spans="1:16" x14ac:dyDescent="0.3">
      <c r="A1831">
        <v>1830</v>
      </c>
      <c r="B1831" t="s">
        <v>9</v>
      </c>
      <c r="C1831">
        <v>294101</v>
      </c>
      <c r="D1831" t="s">
        <v>10</v>
      </c>
      <c r="E1831" t="s">
        <v>16</v>
      </c>
      <c r="F1831" t="s">
        <v>12</v>
      </c>
      <c r="G1831" t="s">
        <v>13</v>
      </c>
      <c r="H1831" t="s">
        <v>13</v>
      </c>
      <c r="I1831">
        <v>25</v>
      </c>
      <c r="J1831">
        <f>ABS((I1831-EDA!$A$15)/EDA!$B$15)</f>
        <v>1.1983402984526204</v>
      </c>
      <c r="K1831" t="str">
        <f t="shared" si="28"/>
        <v>No</v>
      </c>
      <c r="L1831">
        <f>ABS((C1831-EDA!$F$15)/EDA!$G$15)</f>
        <v>0.37075992395833501</v>
      </c>
      <c r="M1831" t="str">
        <f>IF(moras[[#This Row],[Z-Score Salario]]&gt;1.96, "Sí", "No")</f>
        <v>No</v>
      </c>
      <c r="N1831" s="14">
        <f>IF(ISBLANK(moras[[#This Row],[SALARIO]]), EDA!$M$8, moras[[#This Row],[SALARIO]])</f>
        <v>294101</v>
      </c>
      <c r="O1831" s="14">
        <f xml:space="preserve"> IF(ISBLANK(moras[[#This Row],[EDAD]]), EDA!$E$8, moras[[#This Row],[EDAD]])</f>
        <v>25</v>
      </c>
      <c r="P1831" s="14" t="str">
        <f>IF(
    OR(ISBLANK(moras[[#This Row],[TIPO_ASEGURAMIENTO]]), moras[[#This Row],[TIPO_ASEGURAMIENTO]]=""),
    EDA!$A$32,
    moras[[#This Row],[TIPO_ASEGURAMIENTO]]
)</f>
        <v>ASALARIADO</v>
      </c>
    </row>
    <row r="1832" spans="1:16" x14ac:dyDescent="0.3">
      <c r="A1832">
        <v>1831</v>
      </c>
      <c r="B1832" t="s">
        <v>15</v>
      </c>
      <c r="C1832">
        <v>278272</v>
      </c>
      <c r="D1832" t="s">
        <v>17</v>
      </c>
      <c r="E1832" t="s">
        <v>16</v>
      </c>
      <c r="F1832" t="s">
        <v>12</v>
      </c>
      <c r="G1832" t="s">
        <v>13</v>
      </c>
      <c r="H1832" t="s">
        <v>13</v>
      </c>
      <c r="I1832">
        <v>25</v>
      </c>
      <c r="J1832">
        <f>ABS((I1832-EDA!$A$15)/EDA!$B$15)</f>
        <v>1.1983402984526204</v>
      </c>
      <c r="K1832" t="str">
        <f t="shared" si="28"/>
        <v>No</v>
      </c>
      <c r="L1832">
        <f>ABS((C1832-EDA!$F$15)/EDA!$G$15)</f>
        <v>0.37102332969221918</v>
      </c>
      <c r="M1832" t="str">
        <f>IF(moras[[#This Row],[Z-Score Salario]]&gt;1.96, "Sí", "No")</f>
        <v>No</v>
      </c>
      <c r="N1832" s="14">
        <f>IF(ISBLANK(moras[[#This Row],[SALARIO]]), EDA!$M$8, moras[[#This Row],[SALARIO]])</f>
        <v>278272</v>
      </c>
      <c r="O1832" s="14">
        <f xml:space="preserve"> IF(ISBLANK(moras[[#This Row],[EDAD]]), EDA!$E$8, moras[[#This Row],[EDAD]])</f>
        <v>25</v>
      </c>
      <c r="P1832" s="14" t="str">
        <f>IF(
    OR(ISBLANK(moras[[#This Row],[TIPO_ASEGURAMIENTO]]), moras[[#This Row],[TIPO_ASEGURAMIENTO]]=""),
    EDA!$A$32,
    moras[[#This Row],[TIPO_ASEGURAMIENTO]]
)</f>
        <v>ASEGURADO VOLUNTARIO</v>
      </c>
    </row>
    <row r="1833" spans="1:16" x14ac:dyDescent="0.3">
      <c r="A1833">
        <v>1832</v>
      </c>
      <c r="B1833" t="s">
        <v>15</v>
      </c>
      <c r="C1833">
        <v>370275</v>
      </c>
      <c r="D1833" t="s">
        <v>10</v>
      </c>
      <c r="E1833" t="s">
        <v>16</v>
      </c>
      <c r="F1833" t="s">
        <v>12</v>
      </c>
      <c r="G1833" t="s">
        <v>13</v>
      </c>
      <c r="H1833" t="s">
        <v>13</v>
      </c>
      <c r="I1833">
        <v>36</v>
      </c>
      <c r="J1833">
        <f>ABS((I1833-EDA!$A$15)/EDA!$B$15)</f>
        <v>0.42201166760410774</v>
      </c>
      <c r="K1833" t="str">
        <f t="shared" si="28"/>
        <v>No</v>
      </c>
      <c r="L1833">
        <f>ABS((C1833-EDA!$F$15)/EDA!$G$15)</f>
        <v>0.36949233482617927</v>
      </c>
      <c r="M1833" t="str">
        <f>IF(moras[[#This Row],[Z-Score Salario]]&gt;1.96, "Sí", "No")</f>
        <v>No</v>
      </c>
      <c r="N1833" s="14">
        <f>IF(ISBLANK(moras[[#This Row],[SALARIO]]), EDA!$M$8, moras[[#This Row],[SALARIO]])</f>
        <v>370275</v>
      </c>
      <c r="O1833" s="14">
        <f xml:space="preserve"> IF(ISBLANK(moras[[#This Row],[EDAD]]), EDA!$E$8, moras[[#This Row],[EDAD]])</f>
        <v>36</v>
      </c>
      <c r="P1833" s="14" t="str">
        <f>IF(
    OR(ISBLANK(moras[[#This Row],[TIPO_ASEGURAMIENTO]]), moras[[#This Row],[TIPO_ASEGURAMIENTO]]=""),
    EDA!$A$32,
    moras[[#This Row],[TIPO_ASEGURAMIENTO]]
)</f>
        <v>ASALARIADO</v>
      </c>
    </row>
    <row r="1834" spans="1:16" x14ac:dyDescent="0.3">
      <c r="A1834">
        <v>1833</v>
      </c>
      <c r="B1834" t="s">
        <v>9</v>
      </c>
      <c r="C1834">
        <v>50332968</v>
      </c>
      <c r="D1834" t="s">
        <v>10</v>
      </c>
      <c r="E1834" t="s">
        <v>16</v>
      </c>
      <c r="F1834" t="s">
        <v>12</v>
      </c>
      <c r="G1834" t="s">
        <v>12</v>
      </c>
      <c r="H1834" t="s">
        <v>13</v>
      </c>
      <c r="I1834">
        <v>26</v>
      </c>
      <c r="J1834">
        <f>ABS((I1834-EDA!$A$15)/EDA!$B$15)</f>
        <v>1.1277649683754829</v>
      </c>
      <c r="K1834" t="str">
        <f t="shared" si="28"/>
        <v>No</v>
      </c>
      <c r="L1834">
        <f>ABS((C1834-EDA!$F$15)/EDA!$G$15)</f>
        <v>0.46192214596821324</v>
      </c>
      <c r="M1834" t="str">
        <f>IF(moras[[#This Row],[Z-Score Salario]]&gt;1.96, "Sí", "No")</f>
        <v>No</v>
      </c>
      <c r="N1834" s="14">
        <f>IF(ISBLANK(moras[[#This Row],[SALARIO]]), EDA!$M$8, moras[[#This Row],[SALARIO]])</f>
        <v>50332968</v>
      </c>
      <c r="O1834" s="14">
        <f xml:space="preserve"> IF(ISBLANK(moras[[#This Row],[EDAD]]), EDA!$E$8, moras[[#This Row],[EDAD]])</f>
        <v>26</v>
      </c>
      <c r="P1834" s="14" t="str">
        <f>IF(
    OR(ISBLANK(moras[[#This Row],[TIPO_ASEGURAMIENTO]]), moras[[#This Row],[TIPO_ASEGURAMIENTO]]=""),
    EDA!$A$32,
    moras[[#This Row],[TIPO_ASEGURAMIENTO]]
)</f>
        <v>ASALARIADO</v>
      </c>
    </row>
    <row r="1835" spans="1:16" x14ac:dyDescent="0.3">
      <c r="A1835">
        <v>1834</v>
      </c>
      <c r="B1835" t="s">
        <v>9</v>
      </c>
      <c r="C1835">
        <v>43298625</v>
      </c>
      <c r="D1835" t="s">
        <v>10</v>
      </c>
      <c r="E1835" t="s">
        <v>16</v>
      </c>
      <c r="F1835" t="s">
        <v>12</v>
      </c>
      <c r="G1835" t="s">
        <v>12</v>
      </c>
      <c r="H1835" t="s">
        <v>13</v>
      </c>
      <c r="I1835">
        <v>45</v>
      </c>
      <c r="J1835">
        <f>ABS((I1835-EDA!$A$15)/EDA!$B$15)</f>
        <v>0.21316630309012977</v>
      </c>
      <c r="K1835" t="str">
        <f t="shared" si="28"/>
        <v>No</v>
      </c>
      <c r="L1835">
        <f>ABS((C1835-EDA!$F$15)/EDA!$G$15)</f>
        <v>0.34486571281969042</v>
      </c>
      <c r="M1835" t="str">
        <f>IF(moras[[#This Row],[Z-Score Salario]]&gt;1.96, "Sí", "No")</f>
        <v>No</v>
      </c>
      <c r="N1835" s="14">
        <f>IF(ISBLANK(moras[[#This Row],[SALARIO]]), EDA!$M$8, moras[[#This Row],[SALARIO]])</f>
        <v>43298625</v>
      </c>
      <c r="O1835" s="14">
        <f xml:space="preserve"> IF(ISBLANK(moras[[#This Row],[EDAD]]), EDA!$E$8, moras[[#This Row],[EDAD]])</f>
        <v>45</v>
      </c>
      <c r="P1835" s="14" t="str">
        <f>IF(
    OR(ISBLANK(moras[[#This Row],[TIPO_ASEGURAMIENTO]]), moras[[#This Row],[TIPO_ASEGURAMIENTO]]=""),
    EDA!$A$32,
    moras[[#This Row],[TIPO_ASEGURAMIENTO]]
)</f>
        <v>ASALARIADO</v>
      </c>
    </row>
    <row r="1836" spans="1:16" x14ac:dyDescent="0.3">
      <c r="A1836">
        <v>1835</v>
      </c>
      <c r="B1836" t="s">
        <v>9</v>
      </c>
      <c r="C1836">
        <v>346480</v>
      </c>
      <c r="D1836" t="s">
        <v>10</v>
      </c>
      <c r="E1836" t="s">
        <v>16</v>
      </c>
      <c r="F1836" t="s">
        <v>12</v>
      </c>
      <c r="G1836" t="s">
        <v>13</v>
      </c>
      <c r="H1836" t="s">
        <v>13</v>
      </c>
      <c r="I1836">
        <v>25</v>
      </c>
      <c r="J1836">
        <f>ABS((I1836-EDA!$A$15)/EDA!$B$15)</f>
        <v>1.1983402984526204</v>
      </c>
      <c r="K1836" t="str">
        <f t="shared" si="28"/>
        <v>No</v>
      </c>
      <c r="L1836">
        <f>ABS((C1836-EDA!$F$15)/EDA!$G$15)</f>
        <v>0.36988830042336002</v>
      </c>
      <c r="M1836" t="str">
        <f>IF(moras[[#This Row],[Z-Score Salario]]&gt;1.96, "Sí", "No")</f>
        <v>No</v>
      </c>
      <c r="N1836" s="14">
        <f>IF(ISBLANK(moras[[#This Row],[SALARIO]]), EDA!$M$8, moras[[#This Row],[SALARIO]])</f>
        <v>346480</v>
      </c>
      <c r="O1836" s="14">
        <f xml:space="preserve"> IF(ISBLANK(moras[[#This Row],[EDAD]]), EDA!$E$8, moras[[#This Row],[EDAD]])</f>
        <v>25</v>
      </c>
      <c r="P1836" s="14" t="str">
        <f>IF(
    OR(ISBLANK(moras[[#This Row],[TIPO_ASEGURAMIENTO]]), moras[[#This Row],[TIPO_ASEGURAMIENTO]]=""),
    EDA!$A$32,
    moras[[#This Row],[TIPO_ASEGURAMIENTO]]
)</f>
        <v>ASALARIADO</v>
      </c>
    </row>
    <row r="1837" spans="1:16" x14ac:dyDescent="0.3">
      <c r="A1837">
        <v>1836</v>
      </c>
      <c r="B1837" t="s">
        <v>9</v>
      </c>
      <c r="C1837">
        <v>903246</v>
      </c>
      <c r="D1837" t="s">
        <v>10</v>
      </c>
      <c r="E1837" t="s">
        <v>11</v>
      </c>
      <c r="F1837" t="s">
        <v>12</v>
      </c>
      <c r="G1837" t="s">
        <v>13</v>
      </c>
      <c r="H1837" t="s">
        <v>13</v>
      </c>
      <c r="I1837">
        <v>34</v>
      </c>
      <c r="J1837">
        <f>ABS((I1837-EDA!$A$15)/EDA!$B$15)</f>
        <v>0.56316232775838282</v>
      </c>
      <c r="K1837" t="str">
        <f t="shared" si="28"/>
        <v>No</v>
      </c>
      <c r="L1837">
        <f>ABS((C1837-EDA!$F$15)/EDA!$G$15)</f>
        <v>0.36062332115544965</v>
      </c>
      <c r="M1837" t="str">
        <f>IF(moras[[#This Row],[Z-Score Salario]]&gt;1.96, "Sí", "No")</f>
        <v>No</v>
      </c>
      <c r="N1837" s="14">
        <f>IF(ISBLANK(moras[[#This Row],[SALARIO]]), EDA!$M$8, moras[[#This Row],[SALARIO]])</f>
        <v>903246</v>
      </c>
      <c r="O1837" s="14">
        <f xml:space="preserve"> IF(ISBLANK(moras[[#This Row],[EDAD]]), EDA!$E$8, moras[[#This Row],[EDAD]])</f>
        <v>34</v>
      </c>
      <c r="P1837" s="14" t="str">
        <f>IF(
    OR(ISBLANK(moras[[#This Row],[TIPO_ASEGURAMIENTO]]), moras[[#This Row],[TIPO_ASEGURAMIENTO]]=""),
    EDA!$A$32,
    moras[[#This Row],[TIPO_ASEGURAMIENTO]]
)</f>
        <v>ASALARIADO</v>
      </c>
    </row>
    <row r="1838" spans="1:16" x14ac:dyDescent="0.3">
      <c r="A1838">
        <v>1837</v>
      </c>
      <c r="B1838" t="s">
        <v>9</v>
      </c>
      <c r="C1838">
        <v>320283</v>
      </c>
      <c r="D1838" t="s">
        <v>18</v>
      </c>
      <c r="E1838" t="s">
        <v>16</v>
      </c>
      <c r="F1838" t="s">
        <v>12</v>
      </c>
      <c r="G1838" t="s">
        <v>13</v>
      </c>
      <c r="H1838" t="s">
        <v>12</v>
      </c>
      <c r="I1838">
        <v>24</v>
      </c>
      <c r="J1838">
        <f>ABS((I1838-EDA!$A$15)/EDA!$B$15)</f>
        <v>1.2689156285297578</v>
      </c>
      <c r="K1838" t="str">
        <f t="shared" si="28"/>
        <v>No</v>
      </c>
      <c r="L1838">
        <f>ABS((C1838-EDA!$F$15)/EDA!$G$15)</f>
        <v>0.37032423699614186</v>
      </c>
      <c r="M1838" t="str">
        <f>IF(moras[[#This Row],[Z-Score Salario]]&gt;1.96, "Sí", "No")</f>
        <v>No</v>
      </c>
      <c r="N1838" s="14">
        <f>IF(ISBLANK(moras[[#This Row],[SALARIO]]), EDA!$M$8, moras[[#This Row],[SALARIO]])</f>
        <v>320283</v>
      </c>
      <c r="O1838" s="14">
        <f xml:space="preserve"> IF(ISBLANK(moras[[#This Row],[EDAD]]), EDA!$E$8, moras[[#This Row],[EDAD]])</f>
        <v>24</v>
      </c>
      <c r="P1838" s="14" t="str">
        <f>IF(
    OR(ISBLANK(moras[[#This Row],[TIPO_ASEGURAMIENTO]]), moras[[#This Row],[TIPO_ASEGURAMIENTO]]=""),
    EDA!$A$32,
    moras[[#This Row],[TIPO_ASEGURAMIENTO]]
)</f>
        <v>TRABAJADOR INDEPENDIENTE</v>
      </c>
    </row>
    <row r="1839" spans="1:16" x14ac:dyDescent="0.3">
      <c r="A1839">
        <v>1838</v>
      </c>
      <c r="B1839" t="s">
        <v>15</v>
      </c>
      <c r="C1839">
        <v>297045</v>
      </c>
      <c r="D1839" t="s">
        <v>17</v>
      </c>
      <c r="E1839" t="s">
        <v>16</v>
      </c>
      <c r="F1839" t="s">
        <v>12</v>
      </c>
      <c r="G1839" t="s">
        <v>13</v>
      </c>
      <c r="H1839" t="s">
        <v>13</v>
      </c>
      <c r="I1839">
        <v>41</v>
      </c>
      <c r="J1839">
        <f>ABS((I1839-EDA!$A$15)/EDA!$B$15)</f>
        <v>6.9135017218420233E-2</v>
      </c>
      <c r="K1839" t="str">
        <f t="shared" si="28"/>
        <v>No</v>
      </c>
      <c r="L1839">
        <f>ABS((C1839-EDA!$F$15)/EDA!$G$15)</f>
        <v>0.37071093372012948</v>
      </c>
      <c r="M1839" t="str">
        <f>IF(moras[[#This Row],[Z-Score Salario]]&gt;1.96, "Sí", "No")</f>
        <v>No</v>
      </c>
      <c r="N1839" s="14">
        <f>IF(ISBLANK(moras[[#This Row],[SALARIO]]), EDA!$M$8, moras[[#This Row],[SALARIO]])</f>
        <v>297045</v>
      </c>
      <c r="O1839" s="14">
        <f xml:space="preserve"> IF(ISBLANK(moras[[#This Row],[EDAD]]), EDA!$E$8, moras[[#This Row],[EDAD]])</f>
        <v>41</v>
      </c>
      <c r="P1839" s="14" t="str">
        <f>IF(
    OR(ISBLANK(moras[[#This Row],[TIPO_ASEGURAMIENTO]]), moras[[#This Row],[TIPO_ASEGURAMIENTO]]=""),
    EDA!$A$32,
    moras[[#This Row],[TIPO_ASEGURAMIENTO]]
)</f>
        <v>ASEGURADO VOLUNTARIO</v>
      </c>
    </row>
    <row r="1840" spans="1:16" x14ac:dyDescent="0.3">
      <c r="A1840">
        <v>1839</v>
      </c>
      <c r="B1840" t="s">
        <v>15</v>
      </c>
      <c r="C1840">
        <v>1019557</v>
      </c>
      <c r="D1840" t="s">
        <v>10</v>
      </c>
      <c r="E1840" t="s">
        <v>11</v>
      </c>
      <c r="F1840" t="s">
        <v>12</v>
      </c>
      <c r="G1840" t="s">
        <v>13</v>
      </c>
      <c r="H1840" t="s">
        <v>13</v>
      </c>
      <c r="I1840">
        <v>33</v>
      </c>
      <c r="J1840">
        <f>ABS((I1840-EDA!$A$15)/EDA!$B$15)</f>
        <v>0.63373765783552027</v>
      </c>
      <c r="K1840" t="str">
        <f t="shared" si="28"/>
        <v>No</v>
      </c>
      <c r="L1840">
        <f>ABS((C1840-EDA!$F$15)/EDA!$G$15)</f>
        <v>0.35868782401009608</v>
      </c>
      <c r="M1840" t="str">
        <f>IF(moras[[#This Row],[Z-Score Salario]]&gt;1.96, "Sí", "No")</f>
        <v>No</v>
      </c>
      <c r="N1840" s="14">
        <f>IF(ISBLANK(moras[[#This Row],[SALARIO]]), EDA!$M$8, moras[[#This Row],[SALARIO]])</f>
        <v>1019557</v>
      </c>
      <c r="O1840" s="14">
        <f xml:space="preserve"> IF(ISBLANK(moras[[#This Row],[EDAD]]), EDA!$E$8, moras[[#This Row],[EDAD]])</f>
        <v>33</v>
      </c>
      <c r="P1840" s="14" t="str">
        <f>IF(
    OR(ISBLANK(moras[[#This Row],[TIPO_ASEGURAMIENTO]]), moras[[#This Row],[TIPO_ASEGURAMIENTO]]=""),
    EDA!$A$32,
    moras[[#This Row],[TIPO_ASEGURAMIENTO]]
)</f>
        <v>ASALARIADO</v>
      </c>
    </row>
    <row r="1841" spans="1:16" x14ac:dyDescent="0.3">
      <c r="A1841">
        <v>1840</v>
      </c>
      <c r="B1841" t="s">
        <v>9</v>
      </c>
      <c r="C1841">
        <v>37044066</v>
      </c>
      <c r="D1841" t="s">
        <v>10</v>
      </c>
      <c r="E1841" t="s">
        <v>16</v>
      </c>
      <c r="F1841" t="s">
        <v>12</v>
      </c>
      <c r="G1841" t="s">
        <v>13</v>
      </c>
      <c r="H1841" t="s">
        <v>13</v>
      </c>
      <c r="I1841">
        <v>42</v>
      </c>
      <c r="J1841">
        <f>ABS((I1841-EDA!$A$15)/EDA!$B$15)</f>
        <v>1.4403128587172659E-3</v>
      </c>
      <c r="K1841" t="str">
        <f t="shared" si="28"/>
        <v>No</v>
      </c>
      <c r="L1841">
        <f>ABS((C1841-EDA!$F$15)/EDA!$G$15)</f>
        <v>0.24078543589020432</v>
      </c>
      <c r="M1841" t="str">
        <f>IF(moras[[#This Row],[Z-Score Salario]]&gt;1.96, "Sí", "No")</f>
        <v>No</v>
      </c>
      <c r="N1841" s="14">
        <f>IF(ISBLANK(moras[[#This Row],[SALARIO]]), EDA!$M$8, moras[[#This Row],[SALARIO]])</f>
        <v>37044066</v>
      </c>
      <c r="O1841" s="14">
        <f xml:space="preserve"> IF(ISBLANK(moras[[#This Row],[EDAD]]), EDA!$E$8, moras[[#This Row],[EDAD]])</f>
        <v>42</v>
      </c>
      <c r="P1841" s="14" t="str">
        <f>IF(
    OR(ISBLANK(moras[[#This Row],[TIPO_ASEGURAMIENTO]]), moras[[#This Row],[TIPO_ASEGURAMIENTO]]=""),
    EDA!$A$32,
    moras[[#This Row],[TIPO_ASEGURAMIENTO]]
)</f>
        <v>ASALARIADO</v>
      </c>
    </row>
    <row r="1842" spans="1:16" x14ac:dyDescent="0.3">
      <c r="A1842">
        <v>1841</v>
      </c>
      <c r="B1842" t="s">
        <v>15</v>
      </c>
      <c r="C1842">
        <v>133838</v>
      </c>
      <c r="D1842" t="s">
        <v>10</v>
      </c>
      <c r="E1842" t="s">
        <v>16</v>
      </c>
      <c r="F1842" t="s">
        <v>12</v>
      </c>
      <c r="G1842" t="s">
        <v>13</v>
      </c>
      <c r="H1842" t="s">
        <v>13</v>
      </c>
      <c r="I1842">
        <v>53</v>
      </c>
      <c r="J1842">
        <f>ABS((I1842-EDA!$A$15)/EDA!$B$15)</f>
        <v>0.77776894370722982</v>
      </c>
      <c r="K1842" t="str">
        <f t="shared" si="28"/>
        <v>No</v>
      </c>
      <c r="L1842">
        <f>ABS((C1842-EDA!$F$15)/EDA!$G$15)</f>
        <v>0.37342681340994144</v>
      </c>
      <c r="M1842" t="str">
        <f>IF(moras[[#This Row],[Z-Score Salario]]&gt;1.96, "Sí", "No")</f>
        <v>No</v>
      </c>
      <c r="N1842" s="14">
        <f>IF(ISBLANK(moras[[#This Row],[SALARIO]]), EDA!$M$8, moras[[#This Row],[SALARIO]])</f>
        <v>133838</v>
      </c>
      <c r="O1842" s="14">
        <f xml:space="preserve"> IF(ISBLANK(moras[[#This Row],[EDAD]]), EDA!$E$8, moras[[#This Row],[EDAD]])</f>
        <v>53</v>
      </c>
      <c r="P1842" s="14" t="str">
        <f>IF(
    OR(ISBLANK(moras[[#This Row],[TIPO_ASEGURAMIENTO]]), moras[[#This Row],[TIPO_ASEGURAMIENTO]]=""),
    EDA!$A$32,
    moras[[#This Row],[TIPO_ASEGURAMIENTO]]
)</f>
        <v>ASALARIADO</v>
      </c>
    </row>
    <row r="1843" spans="1:16" x14ac:dyDescent="0.3">
      <c r="A1843">
        <v>1842</v>
      </c>
      <c r="B1843" t="s">
        <v>9</v>
      </c>
      <c r="C1843">
        <v>157851116</v>
      </c>
      <c r="D1843" t="s">
        <v>10</v>
      </c>
      <c r="E1843" t="s">
        <v>16</v>
      </c>
      <c r="F1843" t="s">
        <v>12</v>
      </c>
      <c r="G1843" t="s">
        <v>13</v>
      </c>
      <c r="H1843" t="s">
        <v>13</v>
      </c>
      <c r="I1843">
        <v>36</v>
      </c>
      <c r="J1843">
        <f>ABS((I1843-EDA!$A$15)/EDA!$B$15)</f>
        <v>0.42201166760410774</v>
      </c>
      <c r="K1843" t="str">
        <f t="shared" si="28"/>
        <v>No</v>
      </c>
      <c r="L1843">
        <f>ABS((C1843-EDA!$F$15)/EDA!$G$15)</f>
        <v>2.2511000270603043</v>
      </c>
      <c r="M1843" t="str">
        <f>IF(moras[[#This Row],[Z-Score Salario]]&gt;1.96, "Sí", "No")</f>
        <v>Sí</v>
      </c>
      <c r="N1843" s="14">
        <f>IF(ISBLANK(moras[[#This Row],[SALARIO]]), EDA!$M$8, moras[[#This Row],[SALARIO]])</f>
        <v>157851116</v>
      </c>
      <c r="O1843" s="14">
        <f xml:space="preserve"> IF(ISBLANK(moras[[#This Row],[EDAD]]), EDA!$E$8, moras[[#This Row],[EDAD]])</f>
        <v>36</v>
      </c>
      <c r="P1843" s="14" t="str">
        <f>IF(
    OR(ISBLANK(moras[[#This Row],[TIPO_ASEGURAMIENTO]]), moras[[#This Row],[TIPO_ASEGURAMIENTO]]=""),
    EDA!$A$32,
    moras[[#This Row],[TIPO_ASEGURAMIENTO]]
)</f>
        <v>ASALARIADO</v>
      </c>
    </row>
    <row r="1844" spans="1:16" x14ac:dyDescent="0.3">
      <c r="A1844">
        <v>1843</v>
      </c>
      <c r="B1844" t="s">
        <v>9</v>
      </c>
      <c r="C1844">
        <v>639148</v>
      </c>
      <c r="D1844" t="s">
        <v>18</v>
      </c>
      <c r="E1844" t="s">
        <v>16</v>
      </c>
      <c r="F1844" t="s">
        <v>12</v>
      </c>
      <c r="G1844" t="s">
        <v>13</v>
      </c>
      <c r="H1844" t="s">
        <v>13</v>
      </c>
      <c r="I1844">
        <v>45</v>
      </c>
      <c r="J1844">
        <f>ABS((I1844-EDA!$A$15)/EDA!$B$15)</f>
        <v>0.21316630309012977</v>
      </c>
      <c r="K1844" t="str">
        <f t="shared" si="28"/>
        <v>No</v>
      </c>
      <c r="L1844">
        <f>ABS((C1844-EDA!$F$15)/EDA!$G$15)</f>
        <v>0.36501809830544912</v>
      </c>
      <c r="M1844" t="str">
        <f>IF(moras[[#This Row],[Z-Score Salario]]&gt;1.96, "Sí", "No")</f>
        <v>No</v>
      </c>
      <c r="N1844" s="14">
        <f>IF(ISBLANK(moras[[#This Row],[SALARIO]]), EDA!$M$8, moras[[#This Row],[SALARIO]])</f>
        <v>639148</v>
      </c>
      <c r="O1844" s="14">
        <f xml:space="preserve"> IF(ISBLANK(moras[[#This Row],[EDAD]]), EDA!$E$8, moras[[#This Row],[EDAD]])</f>
        <v>45</v>
      </c>
      <c r="P1844" s="14" t="str">
        <f>IF(
    OR(ISBLANK(moras[[#This Row],[TIPO_ASEGURAMIENTO]]), moras[[#This Row],[TIPO_ASEGURAMIENTO]]=""),
    EDA!$A$32,
    moras[[#This Row],[TIPO_ASEGURAMIENTO]]
)</f>
        <v>TRABAJADOR INDEPENDIENTE</v>
      </c>
    </row>
    <row r="1845" spans="1:16" x14ac:dyDescent="0.3">
      <c r="A1845">
        <v>1844</v>
      </c>
      <c r="B1845" t="s">
        <v>9</v>
      </c>
      <c r="C1845">
        <v>300018</v>
      </c>
      <c r="D1845" t="s">
        <v>18</v>
      </c>
      <c r="E1845" t="s">
        <v>16</v>
      </c>
      <c r="F1845" t="s">
        <v>12</v>
      </c>
      <c r="G1845" t="s">
        <v>13</v>
      </c>
      <c r="H1845" t="s">
        <v>12</v>
      </c>
      <c r="I1845">
        <v>42</v>
      </c>
      <c r="J1845">
        <f>ABS((I1845-EDA!$A$15)/EDA!$B$15)</f>
        <v>1.4403128587172659E-3</v>
      </c>
      <c r="K1845" t="str">
        <f t="shared" si="28"/>
        <v>No</v>
      </c>
      <c r="L1845">
        <f>ABS((C1845-EDA!$F$15)/EDA!$G$15)</f>
        <v>0.37066146090145252</v>
      </c>
      <c r="M1845" t="str">
        <f>IF(moras[[#This Row],[Z-Score Salario]]&gt;1.96, "Sí", "No")</f>
        <v>No</v>
      </c>
      <c r="N1845" s="14">
        <f>IF(ISBLANK(moras[[#This Row],[SALARIO]]), EDA!$M$8, moras[[#This Row],[SALARIO]])</f>
        <v>300018</v>
      </c>
      <c r="O1845" s="14">
        <f xml:space="preserve"> IF(ISBLANK(moras[[#This Row],[EDAD]]), EDA!$E$8, moras[[#This Row],[EDAD]])</f>
        <v>42</v>
      </c>
      <c r="P1845" s="14" t="str">
        <f>IF(
    OR(ISBLANK(moras[[#This Row],[TIPO_ASEGURAMIENTO]]), moras[[#This Row],[TIPO_ASEGURAMIENTO]]=""),
    EDA!$A$32,
    moras[[#This Row],[TIPO_ASEGURAMIENTO]]
)</f>
        <v>TRABAJADOR INDEPENDIENTE</v>
      </c>
    </row>
    <row r="1846" spans="1:16" x14ac:dyDescent="0.3">
      <c r="A1846">
        <v>1845</v>
      </c>
      <c r="B1846" t="s">
        <v>15</v>
      </c>
      <c r="C1846">
        <v>390000</v>
      </c>
      <c r="D1846" t="s">
        <v>10</v>
      </c>
      <c r="E1846" t="s">
        <v>16</v>
      </c>
      <c r="F1846" t="s">
        <v>12</v>
      </c>
      <c r="G1846" t="s">
        <v>13</v>
      </c>
      <c r="H1846" t="s">
        <v>13</v>
      </c>
      <c r="I1846">
        <v>32</v>
      </c>
      <c r="J1846">
        <f>ABS((I1846-EDA!$A$15)/EDA!$B$15)</f>
        <v>0.70431298791265773</v>
      </c>
      <c r="K1846" t="str">
        <f t="shared" si="28"/>
        <v>No</v>
      </c>
      <c r="L1846">
        <f>ABS((C1846-EDA!$F$15)/EDA!$G$15)</f>
        <v>0.3691640969020612</v>
      </c>
      <c r="M1846" t="str">
        <f>IF(moras[[#This Row],[Z-Score Salario]]&gt;1.96, "Sí", "No")</f>
        <v>No</v>
      </c>
      <c r="N1846" s="14">
        <f>IF(ISBLANK(moras[[#This Row],[SALARIO]]), EDA!$M$8, moras[[#This Row],[SALARIO]])</f>
        <v>390000</v>
      </c>
      <c r="O1846" s="14">
        <f xml:space="preserve"> IF(ISBLANK(moras[[#This Row],[EDAD]]), EDA!$E$8, moras[[#This Row],[EDAD]])</f>
        <v>32</v>
      </c>
      <c r="P1846" s="14" t="str">
        <f>IF(
    OR(ISBLANK(moras[[#This Row],[TIPO_ASEGURAMIENTO]]), moras[[#This Row],[TIPO_ASEGURAMIENTO]]=""),
    EDA!$A$32,
    moras[[#This Row],[TIPO_ASEGURAMIENTO]]
)</f>
        <v>ASALARIADO</v>
      </c>
    </row>
    <row r="1847" spans="1:16" x14ac:dyDescent="0.3">
      <c r="A1847">
        <v>1846</v>
      </c>
      <c r="B1847" t="s">
        <v>9</v>
      </c>
      <c r="C1847">
        <v>299784</v>
      </c>
      <c r="D1847" t="s">
        <v>17</v>
      </c>
      <c r="E1847" t="s">
        <v>16</v>
      </c>
      <c r="F1847" t="s">
        <v>12</v>
      </c>
      <c r="G1847" t="s">
        <v>13</v>
      </c>
      <c r="H1847" t="s">
        <v>13</v>
      </c>
      <c r="I1847">
        <v>59</v>
      </c>
      <c r="J1847">
        <f>ABS((I1847-EDA!$A$15)/EDA!$B$15)</f>
        <v>1.2012209241700549</v>
      </c>
      <c r="K1847" t="str">
        <f t="shared" si="28"/>
        <v>No</v>
      </c>
      <c r="L1847">
        <f>ABS((C1847-EDA!$F$15)/EDA!$G$15)</f>
        <v>0.37066535482663598</v>
      </c>
      <c r="M1847" t="str">
        <f>IF(moras[[#This Row],[Z-Score Salario]]&gt;1.96, "Sí", "No")</f>
        <v>No</v>
      </c>
      <c r="N1847" s="14">
        <f>IF(ISBLANK(moras[[#This Row],[SALARIO]]), EDA!$M$8, moras[[#This Row],[SALARIO]])</f>
        <v>299784</v>
      </c>
      <c r="O1847" s="14">
        <f xml:space="preserve"> IF(ISBLANK(moras[[#This Row],[EDAD]]), EDA!$E$8, moras[[#This Row],[EDAD]])</f>
        <v>59</v>
      </c>
      <c r="P1847" s="14" t="str">
        <f>IF(
    OR(ISBLANK(moras[[#This Row],[TIPO_ASEGURAMIENTO]]), moras[[#This Row],[TIPO_ASEGURAMIENTO]]=""),
    EDA!$A$32,
    moras[[#This Row],[TIPO_ASEGURAMIENTO]]
)</f>
        <v>ASEGURADO VOLUNTARIO</v>
      </c>
    </row>
    <row r="1848" spans="1:16" x14ac:dyDescent="0.3">
      <c r="A1848">
        <v>1847</v>
      </c>
      <c r="B1848" t="s">
        <v>9</v>
      </c>
      <c r="C1848">
        <v>648421</v>
      </c>
      <c r="D1848" t="s">
        <v>10</v>
      </c>
      <c r="E1848" t="s">
        <v>16</v>
      </c>
      <c r="F1848" t="s">
        <v>12</v>
      </c>
      <c r="G1848" t="s">
        <v>13</v>
      </c>
      <c r="H1848" t="s">
        <v>13</v>
      </c>
      <c r="I1848">
        <v>53</v>
      </c>
      <c r="J1848">
        <f>ABS((I1848-EDA!$A$15)/EDA!$B$15)</f>
        <v>0.77776894370722982</v>
      </c>
      <c r="K1848" t="str">
        <f t="shared" si="28"/>
        <v>No</v>
      </c>
      <c r="L1848">
        <f>ABS((C1848-EDA!$F$15)/EDA!$G$15)</f>
        <v>0.36486378903952532</v>
      </c>
      <c r="M1848" t="str">
        <f>IF(moras[[#This Row],[Z-Score Salario]]&gt;1.96, "Sí", "No")</f>
        <v>No</v>
      </c>
      <c r="N1848" s="14">
        <f>IF(ISBLANK(moras[[#This Row],[SALARIO]]), EDA!$M$8, moras[[#This Row],[SALARIO]])</f>
        <v>648421</v>
      </c>
      <c r="O1848" s="14">
        <f xml:space="preserve"> IF(ISBLANK(moras[[#This Row],[EDAD]]), EDA!$E$8, moras[[#This Row],[EDAD]])</f>
        <v>53</v>
      </c>
      <c r="P1848" s="14" t="str">
        <f>IF(
    OR(ISBLANK(moras[[#This Row],[TIPO_ASEGURAMIENTO]]), moras[[#This Row],[TIPO_ASEGURAMIENTO]]=""),
    EDA!$A$32,
    moras[[#This Row],[TIPO_ASEGURAMIENTO]]
)</f>
        <v>ASALARIADO</v>
      </c>
    </row>
    <row r="1849" spans="1:16" x14ac:dyDescent="0.3">
      <c r="A1849">
        <v>1848</v>
      </c>
      <c r="B1849" t="s">
        <v>15</v>
      </c>
      <c r="C1849">
        <v>298018</v>
      </c>
      <c r="D1849" t="s">
        <v>18</v>
      </c>
      <c r="E1849" t="s">
        <v>16</v>
      </c>
      <c r="F1849" t="s">
        <v>12</v>
      </c>
      <c r="G1849" t="s">
        <v>13</v>
      </c>
      <c r="H1849" t="s">
        <v>12</v>
      </c>
      <c r="I1849">
        <v>54</v>
      </c>
      <c r="J1849">
        <f>ABS((I1849-EDA!$A$15)/EDA!$B$15)</f>
        <v>0.84834427378436728</v>
      </c>
      <c r="K1849" t="str">
        <f t="shared" si="28"/>
        <v>No</v>
      </c>
      <c r="L1849">
        <f>ABS((C1849-EDA!$F$15)/EDA!$G$15)</f>
        <v>0.37069474231327693</v>
      </c>
      <c r="M1849" t="str">
        <f>IF(moras[[#This Row],[Z-Score Salario]]&gt;1.96, "Sí", "No")</f>
        <v>No</v>
      </c>
      <c r="N1849" s="14">
        <f>IF(ISBLANK(moras[[#This Row],[SALARIO]]), EDA!$M$8, moras[[#This Row],[SALARIO]])</f>
        <v>298018</v>
      </c>
      <c r="O1849" s="14">
        <f xml:space="preserve"> IF(ISBLANK(moras[[#This Row],[EDAD]]), EDA!$E$8, moras[[#This Row],[EDAD]])</f>
        <v>54</v>
      </c>
      <c r="P1849" s="14" t="str">
        <f>IF(
    OR(ISBLANK(moras[[#This Row],[TIPO_ASEGURAMIENTO]]), moras[[#This Row],[TIPO_ASEGURAMIENTO]]=""),
    EDA!$A$32,
    moras[[#This Row],[TIPO_ASEGURAMIENTO]]
)</f>
        <v>TRABAJADOR INDEPENDIENTE</v>
      </c>
    </row>
    <row r="1850" spans="1:16" x14ac:dyDescent="0.3">
      <c r="A1850">
        <v>1849</v>
      </c>
      <c r="B1850" t="s">
        <v>15</v>
      </c>
      <c r="C1850">
        <v>299046</v>
      </c>
      <c r="D1850" t="s">
        <v>18</v>
      </c>
      <c r="E1850" t="s">
        <v>16</v>
      </c>
      <c r="F1850" t="s">
        <v>12</v>
      </c>
      <c r="G1850" t="s">
        <v>12</v>
      </c>
      <c r="H1850" t="s">
        <v>13</v>
      </c>
      <c r="I1850">
        <v>40</v>
      </c>
      <c r="J1850">
        <f>ABS((I1850-EDA!$A$15)/EDA!$B$15)</f>
        <v>0.13971034729555773</v>
      </c>
      <c r="K1850" t="str">
        <f t="shared" si="28"/>
        <v>No</v>
      </c>
      <c r="L1850">
        <f>ABS((C1850-EDA!$F$15)/EDA!$G$15)</f>
        <v>0.3706776356675992</v>
      </c>
      <c r="M1850" t="str">
        <f>IF(moras[[#This Row],[Z-Score Salario]]&gt;1.96, "Sí", "No")</f>
        <v>No</v>
      </c>
      <c r="N1850" s="14">
        <f>IF(ISBLANK(moras[[#This Row],[SALARIO]]), EDA!$M$8, moras[[#This Row],[SALARIO]])</f>
        <v>299046</v>
      </c>
      <c r="O1850" s="14">
        <f xml:space="preserve"> IF(ISBLANK(moras[[#This Row],[EDAD]]), EDA!$E$8, moras[[#This Row],[EDAD]])</f>
        <v>40</v>
      </c>
      <c r="P1850" s="14" t="str">
        <f>IF(
    OR(ISBLANK(moras[[#This Row],[TIPO_ASEGURAMIENTO]]), moras[[#This Row],[TIPO_ASEGURAMIENTO]]=""),
    EDA!$A$32,
    moras[[#This Row],[TIPO_ASEGURAMIENTO]]
)</f>
        <v>TRABAJADOR INDEPENDIENTE</v>
      </c>
    </row>
    <row r="1851" spans="1:16" x14ac:dyDescent="0.3">
      <c r="A1851">
        <v>1850</v>
      </c>
      <c r="B1851" t="s">
        <v>9</v>
      </c>
      <c r="C1851">
        <v>472038</v>
      </c>
      <c r="D1851" t="s">
        <v>10</v>
      </c>
      <c r="E1851" t="s">
        <v>16</v>
      </c>
      <c r="F1851" t="s">
        <v>12</v>
      </c>
      <c r="G1851" t="s">
        <v>13</v>
      </c>
      <c r="H1851" t="s">
        <v>13</v>
      </c>
      <c r="I1851">
        <v>28</v>
      </c>
      <c r="J1851">
        <f>ABS((I1851-EDA!$A$15)/EDA!$B$15)</f>
        <v>0.98661430822120777</v>
      </c>
      <c r="K1851" t="str">
        <f t="shared" si="28"/>
        <v>No</v>
      </c>
      <c r="L1851">
        <f>ABS((C1851-EDA!$F$15)/EDA!$G$15)</f>
        <v>0.3677989266704364</v>
      </c>
      <c r="M1851" t="str">
        <f>IF(moras[[#This Row],[Z-Score Salario]]&gt;1.96, "Sí", "No")</f>
        <v>No</v>
      </c>
      <c r="N1851" s="14">
        <f>IF(ISBLANK(moras[[#This Row],[SALARIO]]), EDA!$M$8, moras[[#This Row],[SALARIO]])</f>
        <v>472038</v>
      </c>
      <c r="O1851" s="14">
        <f xml:space="preserve"> IF(ISBLANK(moras[[#This Row],[EDAD]]), EDA!$E$8, moras[[#This Row],[EDAD]])</f>
        <v>28</v>
      </c>
      <c r="P1851" s="14" t="str">
        <f>IF(
    OR(ISBLANK(moras[[#This Row],[TIPO_ASEGURAMIENTO]]), moras[[#This Row],[TIPO_ASEGURAMIENTO]]=""),
    EDA!$A$32,
    moras[[#This Row],[TIPO_ASEGURAMIENTO]]
)</f>
        <v>ASALARIADO</v>
      </c>
    </row>
    <row r="1852" spans="1:16" x14ac:dyDescent="0.3">
      <c r="A1852">
        <v>1851</v>
      </c>
      <c r="B1852" t="s">
        <v>9</v>
      </c>
      <c r="C1852">
        <v>15098035</v>
      </c>
      <c r="D1852" t="s">
        <v>10</v>
      </c>
      <c r="E1852" t="s">
        <v>11</v>
      </c>
      <c r="F1852" t="s">
        <v>12</v>
      </c>
      <c r="G1852" t="s">
        <v>13</v>
      </c>
      <c r="H1852" t="s">
        <v>13</v>
      </c>
      <c r="I1852">
        <v>34</v>
      </c>
      <c r="J1852">
        <f>ABS((I1852-EDA!$A$15)/EDA!$B$15)</f>
        <v>0.56316232775838282</v>
      </c>
      <c r="K1852" t="str">
        <f t="shared" si="28"/>
        <v>No</v>
      </c>
      <c r="L1852">
        <f>ABS((C1852-EDA!$F$15)/EDA!$G$15)</f>
        <v>0.12441201192075819</v>
      </c>
      <c r="M1852" t="str">
        <f>IF(moras[[#This Row],[Z-Score Salario]]&gt;1.96, "Sí", "No")</f>
        <v>No</v>
      </c>
      <c r="N1852" s="14">
        <f>IF(ISBLANK(moras[[#This Row],[SALARIO]]), EDA!$M$8, moras[[#This Row],[SALARIO]])</f>
        <v>15098035</v>
      </c>
      <c r="O1852" s="14">
        <f xml:space="preserve"> IF(ISBLANK(moras[[#This Row],[EDAD]]), EDA!$E$8, moras[[#This Row],[EDAD]])</f>
        <v>34</v>
      </c>
      <c r="P1852" s="14" t="str">
        <f>IF(
    OR(ISBLANK(moras[[#This Row],[TIPO_ASEGURAMIENTO]]), moras[[#This Row],[TIPO_ASEGURAMIENTO]]=""),
    EDA!$A$32,
    moras[[#This Row],[TIPO_ASEGURAMIENTO]]
)</f>
        <v>ASALARIADO</v>
      </c>
    </row>
    <row r="1853" spans="1:16" x14ac:dyDescent="0.3">
      <c r="A1853">
        <v>1852</v>
      </c>
      <c r="B1853" t="s">
        <v>15</v>
      </c>
      <c r="C1853">
        <v>278030</v>
      </c>
      <c r="D1853" t="s">
        <v>17</v>
      </c>
      <c r="E1853" t="s">
        <v>16</v>
      </c>
      <c r="F1853" t="s">
        <v>12</v>
      </c>
      <c r="G1853" t="s">
        <v>13</v>
      </c>
      <c r="H1853" t="s">
        <v>13</v>
      </c>
      <c r="I1853">
        <v>37</v>
      </c>
      <c r="J1853">
        <f>ABS((I1853-EDA!$A$15)/EDA!$B$15)</f>
        <v>0.35143633752697023</v>
      </c>
      <c r="K1853" t="str">
        <f t="shared" si="28"/>
        <v>No</v>
      </c>
      <c r="L1853">
        <f>ABS((C1853-EDA!$F$15)/EDA!$G$15)</f>
        <v>0.37102735674304993</v>
      </c>
      <c r="M1853" t="str">
        <f>IF(moras[[#This Row],[Z-Score Salario]]&gt;1.96, "Sí", "No")</f>
        <v>No</v>
      </c>
      <c r="N1853" s="14">
        <f>IF(ISBLANK(moras[[#This Row],[SALARIO]]), EDA!$M$8, moras[[#This Row],[SALARIO]])</f>
        <v>278030</v>
      </c>
      <c r="O1853" s="14">
        <f xml:space="preserve"> IF(ISBLANK(moras[[#This Row],[EDAD]]), EDA!$E$8, moras[[#This Row],[EDAD]])</f>
        <v>37</v>
      </c>
      <c r="P1853" s="14" t="str">
        <f>IF(
    OR(ISBLANK(moras[[#This Row],[TIPO_ASEGURAMIENTO]]), moras[[#This Row],[TIPO_ASEGURAMIENTO]]=""),
    EDA!$A$32,
    moras[[#This Row],[TIPO_ASEGURAMIENTO]]
)</f>
        <v>ASEGURADO VOLUNTARIO</v>
      </c>
    </row>
    <row r="1854" spans="1:16" x14ac:dyDescent="0.3">
      <c r="A1854">
        <v>1853</v>
      </c>
      <c r="B1854" t="s">
        <v>15</v>
      </c>
      <c r="C1854">
        <v>259800</v>
      </c>
      <c r="D1854" t="s">
        <v>10</v>
      </c>
      <c r="E1854" t="s">
        <v>16</v>
      </c>
      <c r="F1854" t="s">
        <v>12</v>
      </c>
      <c r="G1854" t="s">
        <v>13</v>
      </c>
      <c r="H1854" t="s">
        <v>13</v>
      </c>
      <c r="I1854">
        <v>38</v>
      </c>
      <c r="J1854">
        <f>ABS((I1854-EDA!$A$15)/EDA!$B$15)</f>
        <v>0.28086100744983278</v>
      </c>
      <c r="K1854" t="str">
        <f t="shared" si="28"/>
        <v>No</v>
      </c>
      <c r="L1854">
        <f>ABS((C1854-EDA!$F$15)/EDA!$G$15)</f>
        <v>0.37133071681182928</v>
      </c>
      <c r="M1854" t="str">
        <f>IF(moras[[#This Row],[Z-Score Salario]]&gt;1.96, "Sí", "No")</f>
        <v>No</v>
      </c>
      <c r="N1854" s="14">
        <f>IF(ISBLANK(moras[[#This Row],[SALARIO]]), EDA!$M$8, moras[[#This Row],[SALARIO]])</f>
        <v>259800</v>
      </c>
      <c r="O1854" s="14">
        <f xml:space="preserve"> IF(ISBLANK(moras[[#This Row],[EDAD]]), EDA!$E$8, moras[[#This Row],[EDAD]])</f>
        <v>38</v>
      </c>
      <c r="P1854" s="14" t="str">
        <f>IF(
    OR(ISBLANK(moras[[#This Row],[TIPO_ASEGURAMIENTO]]), moras[[#This Row],[TIPO_ASEGURAMIENTO]]=""),
    EDA!$A$32,
    moras[[#This Row],[TIPO_ASEGURAMIENTO]]
)</f>
        <v>ASALARIADO</v>
      </c>
    </row>
    <row r="1855" spans="1:16" x14ac:dyDescent="0.3">
      <c r="A1855">
        <v>1854</v>
      </c>
      <c r="B1855" t="s">
        <v>9</v>
      </c>
      <c r="C1855">
        <v>973600</v>
      </c>
      <c r="D1855" t="s">
        <v>10</v>
      </c>
      <c r="E1855" t="s">
        <v>16</v>
      </c>
      <c r="F1855" t="s">
        <v>12</v>
      </c>
      <c r="G1855" t="s">
        <v>13</v>
      </c>
      <c r="H1855" t="s">
        <v>13</v>
      </c>
      <c r="I1855">
        <v>25</v>
      </c>
      <c r="J1855">
        <f>ABS((I1855-EDA!$A$15)/EDA!$B$15)</f>
        <v>1.1983402984526204</v>
      </c>
      <c r="K1855" t="str">
        <f t="shared" si="28"/>
        <v>No</v>
      </c>
      <c r="L1855">
        <f>ABS((C1855-EDA!$F$15)/EDA!$G$15)</f>
        <v>0.35945258093170296</v>
      </c>
      <c r="M1855" t="str">
        <f>IF(moras[[#This Row],[Z-Score Salario]]&gt;1.96, "Sí", "No")</f>
        <v>No</v>
      </c>
      <c r="N1855" s="14">
        <f>IF(ISBLANK(moras[[#This Row],[SALARIO]]), EDA!$M$8, moras[[#This Row],[SALARIO]])</f>
        <v>973600</v>
      </c>
      <c r="O1855" s="14">
        <f xml:space="preserve"> IF(ISBLANK(moras[[#This Row],[EDAD]]), EDA!$E$8, moras[[#This Row],[EDAD]])</f>
        <v>25</v>
      </c>
      <c r="P1855" s="14" t="str">
        <f>IF(
    OR(ISBLANK(moras[[#This Row],[TIPO_ASEGURAMIENTO]]), moras[[#This Row],[TIPO_ASEGURAMIENTO]]=""),
    EDA!$A$32,
    moras[[#This Row],[TIPO_ASEGURAMIENTO]]
)</f>
        <v>ASALARIADO</v>
      </c>
    </row>
    <row r="1856" spans="1:16" x14ac:dyDescent="0.3">
      <c r="A1856">
        <v>1855</v>
      </c>
      <c r="B1856" t="s">
        <v>9</v>
      </c>
      <c r="C1856">
        <v>485399151</v>
      </c>
      <c r="D1856" t="s">
        <v>10</v>
      </c>
      <c r="E1856" t="s">
        <v>16</v>
      </c>
      <c r="F1856" t="s">
        <v>12</v>
      </c>
      <c r="G1856" t="s">
        <v>13</v>
      </c>
      <c r="H1856" t="s">
        <v>13</v>
      </c>
      <c r="I1856">
        <v>43</v>
      </c>
      <c r="J1856">
        <f>ABS((I1856-EDA!$A$15)/EDA!$B$15)</f>
        <v>7.2015642935854773E-2</v>
      </c>
      <c r="K1856" t="str">
        <f t="shared" si="28"/>
        <v>No</v>
      </c>
      <c r="L1856">
        <f>ABS((C1856-EDA!$F$15)/EDA!$G$15)</f>
        <v>7.7017305496133721</v>
      </c>
      <c r="M1856" t="str">
        <f>IF(moras[[#This Row],[Z-Score Salario]]&gt;1.96, "Sí", "No")</f>
        <v>Sí</v>
      </c>
      <c r="N1856" s="14">
        <f>IF(ISBLANK(moras[[#This Row],[SALARIO]]), EDA!$M$8, moras[[#This Row],[SALARIO]])</f>
        <v>485399151</v>
      </c>
      <c r="O1856" s="14">
        <f xml:space="preserve"> IF(ISBLANK(moras[[#This Row],[EDAD]]), EDA!$E$8, moras[[#This Row],[EDAD]])</f>
        <v>43</v>
      </c>
      <c r="P1856" s="14" t="str">
        <f>IF(
    OR(ISBLANK(moras[[#This Row],[TIPO_ASEGURAMIENTO]]), moras[[#This Row],[TIPO_ASEGURAMIENTO]]=""),
    EDA!$A$32,
    moras[[#This Row],[TIPO_ASEGURAMIENTO]]
)</f>
        <v>ASALARIADO</v>
      </c>
    </row>
    <row r="1857" spans="1:16" x14ac:dyDescent="0.3">
      <c r="A1857">
        <v>1856</v>
      </c>
      <c r="B1857" t="s">
        <v>9</v>
      </c>
      <c r="C1857">
        <v>849678</v>
      </c>
      <c r="D1857" t="s">
        <v>18</v>
      </c>
      <c r="E1857" t="s">
        <v>16</v>
      </c>
      <c r="F1857" t="s">
        <v>12</v>
      </c>
      <c r="G1857" t="s">
        <v>13</v>
      </c>
      <c r="H1857" t="s">
        <v>12</v>
      </c>
      <c r="I1857">
        <v>51</v>
      </c>
      <c r="J1857">
        <f>ABS((I1857-EDA!$A$15)/EDA!$B$15)</f>
        <v>0.6366182835529548</v>
      </c>
      <c r="K1857" t="str">
        <f t="shared" si="28"/>
        <v>No</v>
      </c>
      <c r="L1857">
        <f>ABS((C1857-EDA!$F$15)/EDA!$G$15)</f>
        <v>0.36151473048975424</v>
      </c>
      <c r="M1857" t="str">
        <f>IF(moras[[#This Row],[Z-Score Salario]]&gt;1.96, "Sí", "No")</f>
        <v>No</v>
      </c>
      <c r="N1857" s="14">
        <f>IF(ISBLANK(moras[[#This Row],[SALARIO]]), EDA!$M$8, moras[[#This Row],[SALARIO]])</f>
        <v>849678</v>
      </c>
      <c r="O1857" s="14">
        <f xml:space="preserve"> IF(ISBLANK(moras[[#This Row],[EDAD]]), EDA!$E$8, moras[[#This Row],[EDAD]])</f>
        <v>51</v>
      </c>
      <c r="P1857" s="14" t="str">
        <f>IF(
    OR(ISBLANK(moras[[#This Row],[TIPO_ASEGURAMIENTO]]), moras[[#This Row],[TIPO_ASEGURAMIENTO]]=""),
    EDA!$A$32,
    moras[[#This Row],[TIPO_ASEGURAMIENTO]]
)</f>
        <v>TRABAJADOR INDEPENDIENTE</v>
      </c>
    </row>
    <row r="1858" spans="1:16" x14ac:dyDescent="0.3">
      <c r="A1858">
        <v>1857</v>
      </c>
      <c r="B1858" t="s">
        <v>9</v>
      </c>
      <c r="C1858">
        <v>200000</v>
      </c>
      <c r="D1858" t="s">
        <v>10</v>
      </c>
      <c r="E1858" t="s">
        <v>16</v>
      </c>
      <c r="F1858" t="s">
        <v>12</v>
      </c>
      <c r="G1858" t="s">
        <v>13</v>
      </c>
      <c r="H1858" t="s">
        <v>12</v>
      </c>
      <c r="I1858">
        <v>58</v>
      </c>
      <c r="J1858">
        <f>ABS((I1858-EDA!$A$15)/EDA!$B$15)</f>
        <v>1.1306455940929174</v>
      </c>
      <c r="K1858" t="str">
        <f t="shared" ref="K1858:K1921" si="29">IF(J1858 &gt;  1.96, "Sí","No")</f>
        <v>No</v>
      </c>
      <c r="L1858">
        <f>ABS((C1858-EDA!$F$15)/EDA!$G$15)</f>
        <v>0.3723258310253787</v>
      </c>
      <c r="M1858" t="str">
        <f>IF(moras[[#This Row],[Z-Score Salario]]&gt;1.96, "Sí", "No")</f>
        <v>No</v>
      </c>
      <c r="N1858" s="14">
        <f>IF(ISBLANK(moras[[#This Row],[SALARIO]]), EDA!$M$8, moras[[#This Row],[SALARIO]])</f>
        <v>200000</v>
      </c>
      <c r="O1858" s="14">
        <f xml:space="preserve"> IF(ISBLANK(moras[[#This Row],[EDAD]]), EDA!$E$8, moras[[#This Row],[EDAD]])</f>
        <v>58</v>
      </c>
      <c r="P1858" s="14" t="str">
        <f>IF(
    OR(ISBLANK(moras[[#This Row],[TIPO_ASEGURAMIENTO]]), moras[[#This Row],[TIPO_ASEGURAMIENTO]]=""),
    EDA!$A$32,
    moras[[#This Row],[TIPO_ASEGURAMIENTO]]
)</f>
        <v>ASALARIADO</v>
      </c>
    </row>
    <row r="1859" spans="1:16" x14ac:dyDescent="0.3">
      <c r="A1859">
        <v>1858</v>
      </c>
      <c r="B1859" t="s">
        <v>9</v>
      </c>
      <c r="C1859">
        <v>184239971</v>
      </c>
      <c r="D1859" t="s">
        <v>10</v>
      </c>
      <c r="E1859" t="s">
        <v>11</v>
      </c>
      <c r="F1859" t="s">
        <v>12</v>
      </c>
      <c r="G1859" t="s">
        <v>13</v>
      </c>
      <c r="H1859" t="s">
        <v>13</v>
      </c>
      <c r="I1859">
        <v>51</v>
      </c>
      <c r="J1859">
        <f>ABS((I1859-EDA!$A$15)/EDA!$B$15)</f>
        <v>0.6366182835529548</v>
      </c>
      <c r="K1859" t="str">
        <f t="shared" si="29"/>
        <v>No</v>
      </c>
      <c r="L1859">
        <f>ABS((C1859-EDA!$F$15)/EDA!$G$15)</f>
        <v>2.6902292024749181</v>
      </c>
      <c r="M1859" t="str">
        <f>IF(moras[[#This Row],[Z-Score Salario]]&gt;1.96, "Sí", "No")</f>
        <v>Sí</v>
      </c>
      <c r="N1859" s="14">
        <f>IF(ISBLANK(moras[[#This Row],[SALARIO]]), EDA!$M$8, moras[[#This Row],[SALARIO]])</f>
        <v>184239971</v>
      </c>
      <c r="O1859" s="14">
        <f xml:space="preserve"> IF(ISBLANK(moras[[#This Row],[EDAD]]), EDA!$E$8, moras[[#This Row],[EDAD]])</f>
        <v>51</v>
      </c>
      <c r="P1859" s="14" t="str">
        <f>IF(
    OR(ISBLANK(moras[[#This Row],[TIPO_ASEGURAMIENTO]]), moras[[#This Row],[TIPO_ASEGURAMIENTO]]=""),
    EDA!$A$32,
    moras[[#This Row],[TIPO_ASEGURAMIENTO]]
)</f>
        <v>ASALARIADO</v>
      </c>
    </row>
    <row r="1860" spans="1:16" x14ac:dyDescent="0.3">
      <c r="A1860">
        <v>1859</v>
      </c>
      <c r="B1860" t="s">
        <v>9</v>
      </c>
      <c r="C1860">
        <v>30310</v>
      </c>
      <c r="D1860" t="s">
        <v>10</v>
      </c>
      <c r="E1860" t="s">
        <v>16</v>
      </c>
      <c r="F1860" t="s">
        <v>12</v>
      </c>
      <c r="G1860" t="s">
        <v>13</v>
      </c>
      <c r="H1860" t="s">
        <v>12</v>
      </c>
      <c r="I1860">
        <v>34</v>
      </c>
      <c r="J1860">
        <f>ABS((I1860-EDA!$A$15)/EDA!$B$15)</f>
        <v>0.56316232775838282</v>
      </c>
      <c r="K1860" t="str">
        <f t="shared" si="29"/>
        <v>No</v>
      </c>
      <c r="L1860">
        <f>ABS((C1860-EDA!$F$15)/EDA!$G$15)</f>
        <v>0.37514959241161944</v>
      </c>
      <c r="M1860" t="str">
        <f>IF(moras[[#This Row],[Z-Score Salario]]&gt;1.96, "Sí", "No")</f>
        <v>No</v>
      </c>
      <c r="N1860" s="14">
        <f>IF(ISBLANK(moras[[#This Row],[SALARIO]]), EDA!$M$8, moras[[#This Row],[SALARIO]])</f>
        <v>30310</v>
      </c>
      <c r="O1860" s="14">
        <f xml:space="preserve"> IF(ISBLANK(moras[[#This Row],[EDAD]]), EDA!$E$8, moras[[#This Row],[EDAD]])</f>
        <v>34</v>
      </c>
      <c r="P1860" s="14" t="str">
        <f>IF(
    OR(ISBLANK(moras[[#This Row],[TIPO_ASEGURAMIENTO]]), moras[[#This Row],[TIPO_ASEGURAMIENTO]]=""),
    EDA!$A$32,
    moras[[#This Row],[TIPO_ASEGURAMIENTO]]
)</f>
        <v>ASALARIADO</v>
      </c>
    </row>
    <row r="1861" spans="1:16" x14ac:dyDescent="0.3">
      <c r="A1861">
        <v>1860</v>
      </c>
      <c r="B1861" t="s">
        <v>15</v>
      </c>
      <c r="C1861">
        <v>359545</v>
      </c>
      <c r="D1861" t="s">
        <v>10</v>
      </c>
      <c r="E1861" t="s">
        <v>16</v>
      </c>
      <c r="F1861" t="s">
        <v>12</v>
      </c>
      <c r="G1861" t="s">
        <v>13</v>
      </c>
      <c r="H1861" t="s">
        <v>13</v>
      </c>
      <c r="I1861">
        <v>27</v>
      </c>
      <c r="J1861">
        <f>ABS((I1861-EDA!$A$15)/EDA!$B$15)</f>
        <v>1.0571896382983452</v>
      </c>
      <c r="K1861" t="str">
        <f t="shared" si="29"/>
        <v>No</v>
      </c>
      <c r="L1861">
        <f>ABS((C1861-EDA!$F$15)/EDA!$G$15)</f>
        <v>0.36967088960061717</v>
      </c>
      <c r="M1861" t="str">
        <f>IF(moras[[#This Row],[Z-Score Salario]]&gt;1.96, "Sí", "No")</f>
        <v>No</v>
      </c>
      <c r="N1861" s="14">
        <f>IF(ISBLANK(moras[[#This Row],[SALARIO]]), EDA!$M$8, moras[[#This Row],[SALARIO]])</f>
        <v>359545</v>
      </c>
      <c r="O1861" s="14">
        <f xml:space="preserve"> IF(ISBLANK(moras[[#This Row],[EDAD]]), EDA!$E$8, moras[[#This Row],[EDAD]])</f>
        <v>27</v>
      </c>
      <c r="P1861" s="14" t="str">
        <f>IF(
    OR(ISBLANK(moras[[#This Row],[TIPO_ASEGURAMIENTO]]), moras[[#This Row],[TIPO_ASEGURAMIENTO]]=""),
    EDA!$A$32,
    moras[[#This Row],[TIPO_ASEGURAMIENTO]]
)</f>
        <v>ASALARIADO</v>
      </c>
    </row>
    <row r="1862" spans="1:16" x14ac:dyDescent="0.3">
      <c r="A1862">
        <v>1861</v>
      </c>
      <c r="B1862" t="s">
        <v>9</v>
      </c>
      <c r="C1862">
        <v>55592049</v>
      </c>
      <c r="D1862" t="s">
        <v>10</v>
      </c>
      <c r="E1862" t="s">
        <v>16</v>
      </c>
      <c r="F1862" t="s">
        <v>12</v>
      </c>
      <c r="G1862" t="s">
        <v>12</v>
      </c>
      <c r="H1862" t="s">
        <v>13</v>
      </c>
      <c r="I1862">
        <v>47</v>
      </c>
      <c r="J1862">
        <f>ABS((I1862-EDA!$A$15)/EDA!$B$15)</f>
        <v>0.35431696324440481</v>
      </c>
      <c r="K1862" t="str">
        <f t="shared" si="29"/>
        <v>No</v>
      </c>
      <c r="L1862">
        <f>ABS((C1862-EDA!$F$15)/EDA!$G$15)</f>
        <v>0.54943696625763705</v>
      </c>
      <c r="M1862" t="str">
        <f>IF(moras[[#This Row],[Z-Score Salario]]&gt;1.96, "Sí", "No")</f>
        <v>No</v>
      </c>
      <c r="N1862" s="14">
        <f>IF(ISBLANK(moras[[#This Row],[SALARIO]]), EDA!$M$8, moras[[#This Row],[SALARIO]])</f>
        <v>55592049</v>
      </c>
      <c r="O1862" s="14">
        <f xml:space="preserve"> IF(ISBLANK(moras[[#This Row],[EDAD]]), EDA!$E$8, moras[[#This Row],[EDAD]])</f>
        <v>47</v>
      </c>
      <c r="P1862" s="14" t="str">
        <f>IF(
    OR(ISBLANK(moras[[#This Row],[TIPO_ASEGURAMIENTO]]), moras[[#This Row],[TIPO_ASEGURAMIENTO]]=""),
    EDA!$A$32,
    moras[[#This Row],[TIPO_ASEGURAMIENTO]]
)</f>
        <v>ASALARIADO</v>
      </c>
    </row>
    <row r="1863" spans="1:16" x14ac:dyDescent="0.3">
      <c r="A1863">
        <v>1862</v>
      </c>
      <c r="B1863" t="s">
        <v>15</v>
      </c>
      <c r="C1863">
        <v>297046</v>
      </c>
      <c r="D1863" t="s">
        <v>18</v>
      </c>
      <c r="E1863" t="s">
        <v>16</v>
      </c>
      <c r="F1863" t="s">
        <v>12</v>
      </c>
      <c r="G1863" t="s">
        <v>13</v>
      </c>
      <c r="H1863" t="s">
        <v>12</v>
      </c>
      <c r="I1863">
        <v>25</v>
      </c>
      <c r="J1863">
        <f>ABS((I1863-EDA!$A$15)/EDA!$B$15)</f>
        <v>1.1983402984526204</v>
      </c>
      <c r="K1863" t="str">
        <f t="shared" si="29"/>
        <v>No</v>
      </c>
      <c r="L1863">
        <f>ABS((C1863-EDA!$F$15)/EDA!$G$15)</f>
        <v>0.37071091707942361</v>
      </c>
      <c r="M1863" t="str">
        <f>IF(moras[[#This Row],[Z-Score Salario]]&gt;1.96, "Sí", "No")</f>
        <v>No</v>
      </c>
      <c r="N1863" s="14">
        <f>IF(ISBLANK(moras[[#This Row],[SALARIO]]), EDA!$M$8, moras[[#This Row],[SALARIO]])</f>
        <v>297046</v>
      </c>
      <c r="O1863" s="14">
        <f xml:space="preserve"> IF(ISBLANK(moras[[#This Row],[EDAD]]), EDA!$E$8, moras[[#This Row],[EDAD]])</f>
        <v>25</v>
      </c>
      <c r="P1863" s="14" t="str">
        <f>IF(
    OR(ISBLANK(moras[[#This Row],[TIPO_ASEGURAMIENTO]]), moras[[#This Row],[TIPO_ASEGURAMIENTO]]=""),
    EDA!$A$32,
    moras[[#This Row],[TIPO_ASEGURAMIENTO]]
)</f>
        <v>TRABAJADOR INDEPENDIENTE</v>
      </c>
    </row>
    <row r="1864" spans="1:16" x14ac:dyDescent="0.3">
      <c r="A1864">
        <v>1863</v>
      </c>
      <c r="B1864" t="s">
        <v>9</v>
      </c>
      <c r="C1864">
        <v>31791558</v>
      </c>
      <c r="D1864" t="s">
        <v>10</v>
      </c>
      <c r="E1864" t="s">
        <v>16</v>
      </c>
      <c r="F1864" t="s">
        <v>12</v>
      </c>
      <c r="G1864" t="s">
        <v>13</v>
      </c>
      <c r="H1864" t="s">
        <v>13</v>
      </c>
      <c r="I1864">
        <v>49</v>
      </c>
      <c r="J1864">
        <f>ABS((I1864-EDA!$A$15)/EDA!$B$15)</f>
        <v>0.49546762339867978</v>
      </c>
      <c r="K1864" t="str">
        <f t="shared" si="29"/>
        <v>No</v>
      </c>
      <c r="L1864">
        <f>ABS((C1864-EDA!$F$15)/EDA!$G$15)</f>
        <v>0.15337999496074137</v>
      </c>
      <c r="M1864" t="str">
        <f>IF(moras[[#This Row],[Z-Score Salario]]&gt;1.96, "Sí", "No")</f>
        <v>No</v>
      </c>
      <c r="N1864" s="14">
        <f>IF(ISBLANK(moras[[#This Row],[SALARIO]]), EDA!$M$8, moras[[#This Row],[SALARIO]])</f>
        <v>31791558</v>
      </c>
      <c r="O1864" s="14">
        <f xml:space="preserve"> IF(ISBLANK(moras[[#This Row],[EDAD]]), EDA!$E$8, moras[[#This Row],[EDAD]])</f>
        <v>49</v>
      </c>
      <c r="P1864" s="14" t="str">
        <f>IF(
    OR(ISBLANK(moras[[#This Row],[TIPO_ASEGURAMIENTO]]), moras[[#This Row],[TIPO_ASEGURAMIENTO]]=""),
    EDA!$A$32,
    moras[[#This Row],[TIPO_ASEGURAMIENTO]]
)</f>
        <v>ASALARIADO</v>
      </c>
    </row>
    <row r="1865" spans="1:16" x14ac:dyDescent="0.3">
      <c r="A1865">
        <v>1864</v>
      </c>
      <c r="B1865" t="s">
        <v>9</v>
      </c>
      <c r="C1865">
        <v>297045</v>
      </c>
      <c r="D1865" t="s">
        <v>17</v>
      </c>
      <c r="E1865" t="s">
        <v>16</v>
      </c>
      <c r="F1865" t="s">
        <v>12</v>
      </c>
      <c r="G1865" t="s">
        <v>13</v>
      </c>
      <c r="H1865" t="s">
        <v>12</v>
      </c>
      <c r="I1865">
        <v>49</v>
      </c>
      <c r="J1865">
        <f>ABS((I1865-EDA!$A$15)/EDA!$B$15)</f>
        <v>0.49546762339867978</v>
      </c>
      <c r="K1865" t="str">
        <f t="shared" si="29"/>
        <v>No</v>
      </c>
      <c r="L1865">
        <f>ABS((C1865-EDA!$F$15)/EDA!$G$15)</f>
        <v>0.37071093372012948</v>
      </c>
      <c r="M1865" t="str">
        <f>IF(moras[[#This Row],[Z-Score Salario]]&gt;1.96, "Sí", "No")</f>
        <v>No</v>
      </c>
      <c r="N1865" s="14">
        <f>IF(ISBLANK(moras[[#This Row],[SALARIO]]), EDA!$M$8, moras[[#This Row],[SALARIO]])</f>
        <v>297045</v>
      </c>
      <c r="O1865" s="14">
        <f xml:space="preserve"> IF(ISBLANK(moras[[#This Row],[EDAD]]), EDA!$E$8, moras[[#This Row],[EDAD]])</f>
        <v>49</v>
      </c>
      <c r="P1865" s="14" t="str">
        <f>IF(
    OR(ISBLANK(moras[[#This Row],[TIPO_ASEGURAMIENTO]]), moras[[#This Row],[TIPO_ASEGURAMIENTO]]=""),
    EDA!$A$32,
    moras[[#This Row],[TIPO_ASEGURAMIENTO]]
)</f>
        <v>ASEGURADO VOLUNTARIO</v>
      </c>
    </row>
    <row r="1866" spans="1:16" x14ac:dyDescent="0.3">
      <c r="A1866">
        <v>1865</v>
      </c>
      <c r="B1866" t="s">
        <v>15</v>
      </c>
      <c r="C1866">
        <v>10941196</v>
      </c>
      <c r="D1866" t="s">
        <v>10</v>
      </c>
      <c r="E1866" t="s">
        <v>11</v>
      </c>
      <c r="F1866" t="s">
        <v>12</v>
      </c>
      <c r="G1866" t="s">
        <v>13</v>
      </c>
      <c r="H1866" t="s">
        <v>13</v>
      </c>
      <c r="I1866">
        <v>49</v>
      </c>
      <c r="J1866">
        <f>ABS((I1866-EDA!$A$15)/EDA!$B$15)</f>
        <v>0.49546762339867978</v>
      </c>
      <c r="K1866" t="str">
        <f t="shared" si="29"/>
        <v>No</v>
      </c>
      <c r="L1866">
        <f>ABS((C1866-EDA!$F$15)/EDA!$G$15)</f>
        <v>0.19358474724411001</v>
      </c>
      <c r="M1866" t="str">
        <f>IF(moras[[#This Row],[Z-Score Salario]]&gt;1.96, "Sí", "No")</f>
        <v>No</v>
      </c>
      <c r="N1866" s="14">
        <f>IF(ISBLANK(moras[[#This Row],[SALARIO]]), EDA!$M$8, moras[[#This Row],[SALARIO]])</f>
        <v>10941196</v>
      </c>
      <c r="O1866" s="14">
        <f xml:space="preserve"> IF(ISBLANK(moras[[#This Row],[EDAD]]), EDA!$E$8, moras[[#This Row],[EDAD]])</f>
        <v>49</v>
      </c>
      <c r="P1866" s="14" t="str">
        <f>IF(
    OR(ISBLANK(moras[[#This Row],[TIPO_ASEGURAMIENTO]]), moras[[#This Row],[TIPO_ASEGURAMIENTO]]=""),
    EDA!$A$32,
    moras[[#This Row],[TIPO_ASEGURAMIENTO]]
)</f>
        <v>ASALARIADO</v>
      </c>
    </row>
    <row r="1867" spans="1:16" x14ac:dyDescent="0.3">
      <c r="A1867">
        <v>1866</v>
      </c>
      <c r="B1867" t="s">
        <v>9</v>
      </c>
      <c r="C1867">
        <v>276587</v>
      </c>
      <c r="D1867" t="s">
        <v>10</v>
      </c>
      <c r="E1867" t="s">
        <v>16</v>
      </c>
      <c r="F1867" t="s">
        <v>12</v>
      </c>
      <c r="G1867" t="s">
        <v>13</v>
      </c>
      <c r="H1867" t="s">
        <v>13</v>
      </c>
      <c r="I1867">
        <v>34</v>
      </c>
      <c r="J1867">
        <f>ABS((I1867-EDA!$A$15)/EDA!$B$15)</f>
        <v>0.56316232775838282</v>
      </c>
      <c r="K1867" t="str">
        <f t="shared" si="29"/>
        <v>No</v>
      </c>
      <c r="L1867">
        <f>ABS((C1867-EDA!$F$15)/EDA!$G$15)</f>
        <v>0.3710513692816812</v>
      </c>
      <c r="M1867" t="str">
        <f>IF(moras[[#This Row],[Z-Score Salario]]&gt;1.96, "Sí", "No")</f>
        <v>No</v>
      </c>
      <c r="N1867" s="14">
        <f>IF(ISBLANK(moras[[#This Row],[SALARIO]]), EDA!$M$8, moras[[#This Row],[SALARIO]])</f>
        <v>276587</v>
      </c>
      <c r="O1867" s="14">
        <f xml:space="preserve"> IF(ISBLANK(moras[[#This Row],[EDAD]]), EDA!$E$8, moras[[#This Row],[EDAD]])</f>
        <v>34</v>
      </c>
      <c r="P1867" s="14" t="str">
        <f>IF(
    OR(ISBLANK(moras[[#This Row],[TIPO_ASEGURAMIENTO]]), moras[[#This Row],[TIPO_ASEGURAMIENTO]]=""),
    EDA!$A$32,
    moras[[#This Row],[TIPO_ASEGURAMIENTO]]
)</f>
        <v>ASALARIADO</v>
      </c>
    </row>
    <row r="1868" spans="1:16" x14ac:dyDescent="0.3">
      <c r="A1868">
        <v>1867</v>
      </c>
      <c r="B1868" t="s">
        <v>9</v>
      </c>
      <c r="C1868">
        <v>91835177</v>
      </c>
      <c r="D1868" t="s">
        <v>10</v>
      </c>
      <c r="E1868" t="s">
        <v>16</v>
      </c>
      <c r="F1868" t="s">
        <v>12</v>
      </c>
      <c r="G1868" t="s">
        <v>13</v>
      </c>
      <c r="H1868" t="s">
        <v>13</v>
      </c>
      <c r="I1868">
        <v>33</v>
      </c>
      <c r="J1868">
        <f>ABS((I1868-EDA!$A$15)/EDA!$B$15)</f>
        <v>0.63373765783552027</v>
      </c>
      <c r="K1868" t="str">
        <f t="shared" si="29"/>
        <v>No</v>
      </c>
      <c r="L1868">
        <f>ABS((C1868-EDA!$F$15)/EDA!$G$15)</f>
        <v>1.152548200643756</v>
      </c>
      <c r="M1868" t="str">
        <f>IF(moras[[#This Row],[Z-Score Salario]]&gt;1.96, "Sí", "No")</f>
        <v>No</v>
      </c>
      <c r="N1868" s="14">
        <f>IF(ISBLANK(moras[[#This Row],[SALARIO]]), EDA!$M$8, moras[[#This Row],[SALARIO]])</f>
        <v>91835177</v>
      </c>
      <c r="O1868" s="14">
        <f xml:space="preserve"> IF(ISBLANK(moras[[#This Row],[EDAD]]), EDA!$E$8, moras[[#This Row],[EDAD]])</f>
        <v>33</v>
      </c>
      <c r="P1868" s="14" t="str">
        <f>IF(
    OR(ISBLANK(moras[[#This Row],[TIPO_ASEGURAMIENTO]]), moras[[#This Row],[TIPO_ASEGURAMIENTO]]=""),
    EDA!$A$32,
    moras[[#This Row],[TIPO_ASEGURAMIENTO]]
)</f>
        <v>ASALARIADO</v>
      </c>
    </row>
    <row r="1869" spans="1:16" x14ac:dyDescent="0.3">
      <c r="A1869">
        <v>1868</v>
      </c>
      <c r="B1869" t="s">
        <v>9</v>
      </c>
      <c r="C1869">
        <v>639148</v>
      </c>
      <c r="D1869" t="s">
        <v>18</v>
      </c>
      <c r="E1869" t="s">
        <v>16</v>
      </c>
      <c r="F1869" t="s">
        <v>12</v>
      </c>
      <c r="G1869" t="s">
        <v>13</v>
      </c>
      <c r="H1869" t="s">
        <v>12</v>
      </c>
      <c r="I1869">
        <v>57</v>
      </c>
      <c r="J1869">
        <f>ABS((I1869-EDA!$A$15)/EDA!$B$15)</f>
        <v>1.0600702640157798</v>
      </c>
      <c r="K1869" t="str">
        <f t="shared" si="29"/>
        <v>No</v>
      </c>
      <c r="L1869">
        <f>ABS((C1869-EDA!$F$15)/EDA!$G$15)</f>
        <v>0.36501809830544912</v>
      </c>
      <c r="M1869" t="str">
        <f>IF(moras[[#This Row],[Z-Score Salario]]&gt;1.96, "Sí", "No")</f>
        <v>No</v>
      </c>
      <c r="N1869" s="14">
        <f>IF(ISBLANK(moras[[#This Row],[SALARIO]]), EDA!$M$8, moras[[#This Row],[SALARIO]])</f>
        <v>639148</v>
      </c>
      <c r="O1869" s="14">
        <f xml:space="preserve"> IF(ISBLANK(moras[[#This Row],[EDAD]]), EDA!$E$8, moras[[#This Row],[EDAD]])</f>
        <v>57</v>
      </c>
      <c r="P1869" s="14" t="str">
        <f>IF(
    OR(ISBLANK(moras[[#This Row],[TIPO_ASEGURAMIENTO]]), moras[[#This Row],[TIPO_ASEGURAMIENTO]]=""),
    EDA!$A$32,
    moras[[#This Row],[TIPO_ASEGURAMIENTO]]
)</f>
        <v>TRABAJADOR INDEPENDIENTE</v>
      </c>
    </row>
    <row r="1870" spans="1:16" x14ac:dyDescent="0.3">
      <c r="A1870">
        <v>1869</v>
      </c>
      <c r="B1870" t="s">
        <v>9</v>
      </c>
      <c r="C1870">
        <v>4142255</v>
      </c>
      <c r="D1870" t="s">
        <v>10</v>
      </c>
      <c r="E1870" t="s">
        <v>16</v>
      </c>
      <c r="F1870" t="s">
        <v>12</v>
      </c>
      <c r="G1870" t="s">
        <v>13</v>
      </c>
      <c r="H1870" t="s">
        <v>13</v>
      </c>
      <c r="I1870">
        <v>63</v>
      </c>
      <c r="J1870">
        <f>ABS((I1870-EDA!$A$15)/EDA!$B$15)</f>
        <v>1.4835222444786049</v>
      </c>
      <c r="K1870" t="str">
        <f t="shared" si="29"/>
        <v>No</v>
      </c>
      <c r="L1870">
        <f>ABS((C1870-EDA!$F$15)/EDA!$G$15)</f>
        <v>0.3067239249394898</v>
      </c>
      <c r="M1870" t="str">
        <f>IF(moras[[#This Row],[Z-Score Salario]]&gt;1.96, "Sí", "No")</f>
        <v>No</v>
      </c>
      <c r="N1870" s="14">
        <f>IF(ISBLANK(moras[[#This Row],[SALARIO]]), EDA!$M$8, moras[[#This Row],[SALARIO]])</f>
        <v>4142255</v>
      </c>
      <c r="O1870" s="14">
        <f xml:space="preserve"> IF(ISBLANK(moras[[#This Row],[EDAD]]), EDA!$E$8, moras[[#This Row],[EDAD]])</f>
        <v>63</v>
      </c>
      <c r="P1870" s="14" t="str">
        <f>IF(
    OR(ISBLANK(moras[[#This Row],[TIPO_ASEGURAMIENTO]]), moras[[#This Row],[TIPO_ASEGURAMIENTO]]=""),
    EDA!$A$32,
    moras[[#This Row],[TIPO_ASEGURAMIENTO]]
)</f>
        <v>ASALARIADO</v>
      </c>
    </row>
    <row r="1871" spans="1:16" x14ac:dyDescent="0.3">
      <c r="A1871">
        <v>1870</v>
      </c>
      <c r="B1871" t="s">
        <v>9</v>
      </c>
      <c r="C1871">
        <v>8521945</v>
      </c>
      <c r="D1871" t="s">
        <v>10</v>
      </c>
      <c r="E1871" t="s">
        <v>16</v>
      </c>
      <c r="F1871" t="s">
        <v>12</v>
      </c>
      <c r="G1871" t="s">
        <v>13</v>
      </c>
      <c r="H1871" t="s">
        <v>13</v>
      </c>
      <c r="I1871">
        <v>47</v>
      </c>
      <c r="J1871">
        <f>ABS((I1871-EDA!$A$15)/EDA!$B$15)</f>
        <v>0.35431696324440481</v>
      </c>
      <c r="K1871" t="str">
        <f t="shared" si="29"/>
        <v>No</v>
      </c>
      <c r="L1871">
        <f>ABS((C1871-EDA!$F$15)/EDA!$G$15)</f>
        <v>0.23384279166289892</v>
      </c>
      <c r="M1871" t="str">
        <f>IF(moras[[#This Row],[Z-Score Salario]]&gt;1.96, "Sí", "No")</f>
        <v>No</v>
      </c>
      <c r="N1871" s="14">
        <f>IF(ISBLANK(moras[[#This Row],[SALARIO]]), EDA!$M$8, moras[[#This Row],[SALARIO]])</f>
        <v>8521945</v>
      </c>
      <c r="O1871" s="14">
        <f xml:space="preserve"> IF(ISBLANK(moras[[#This Row],[EDAD]]), EDA!$E$8, moras[[#This Row],[EDAD]])</f>
        <v>47</v>
      </c>
      <c r="P1871" s="14" t="str">
        <f>IF(
    OR(ISBLANK(moras[[#This Row],[TIPO_ASEGURAMIENTO]]), moras[[#This Row],[TIPO_ASEGURAMIENTO]]=""),
    EDA!$A$32,
    moras[[#This Row],[TIPO_ASEGURAMIENTO]]
)</f>
        <v>ASALARIADO</v>
      </c>
    </row>
    <row r="1872" spans="1:16" x14ac:dyDescent="0.3">
      <c r="A1872">
        <v>1871</v>
      </c>
      <c r="B1872" t="s">
        <v>9</v>
      </c>
      <c r="C1872">
        <v>399647</v>
      </c>
      <c r="D1872" t="s">
        <v>18</v>
      </c>
      <c r="E1872" t="s">
        <v>16</v>
      </c>
      <c r="F1872" t="s">
        <v>12</v>
      </c>
      <c r="G1872" t="s">
        <v>13</v>
      </c>
      <c r="H1872" t="s">
        <v>13</v>
      </c>
      <c r="I1872">
        <v>58</v>
      </c>
      <c r="J1872">
        <f>ABS((I1872-EDA!$A$15)/EDA!$B$15)</f>
        <v>1.1306455940929174</v>
      </c>
      <c r="K1872" t="str">
        <f t="shared" si="29"/>
        <v>No</v>
      </c>
      <c r="L1872">
        <f>ABS((C1872-EDA!$F$15)/EDA!$G$15)</f>
        <v>0.36900356401212625</v>
      </c>
      <c r="M1872" t="str">
        <f>IF(moras[[#This Row],[Z-Score Salario]]&gt;1.96, "Sí", "No")</f>
        <v>No</v>
      </c>
      <c r="N1872" s="14">
        <f>IF(ISBLANK(moras[[#This Row],[SALARIO]]), EDA!$M$8, moras[[#This Row],[SALARIO]])</f>
        <v>399647</v>
      </c>
      <c r="O1872" s="14">
        <f xml:space="preserve"> IF(ISBLANK(moras[[#This Row],[EDAD]]), EDA!$E$8, moras[[#This Row],[EDAD]])</f>
        <v>58</v>
      </c>
      <c r="P1872" s="14" t="str">
        <f>IF(
    OR(ISBLANK(moras[[#This Row],[TIPO_ASEGURAMIENTO]]), moras[[#This Row],[TIPO_ASEGURAMIENTO]]=""),
    EDA!$A$32,
    moras[[#This Row],[TIPO_ASEGURAMIENTO]]
)</f>
        <v>TRABAJADOR INDEPENDIENTE</v>
      </c>
    </row>
    <row r="1873" spans="1:16" x14ac:dyDescent="0.3">
      <c r="A1873">
        <v>1872</v>
      </c>
      <c r="B1873" t="s">
        <v>15</v>
      </c>
      <c r="C1873">
        <v>5743876</v>
      </c>
      <c r="D1873" t="s">
        <v>10</v>
      </c>
      <c r="E1873" t="s">
        <v>11</v>
      </c>
      <c r="F1873" t="s">
        <v>12</v>
      </c>
      <c r="G1873" t="s">
        <v>13</v>
      </c>
      <c r="H1873" t="s">
        <v>13</v>
      </c>
      <c r="I1873">
        <v>54</v>
      </c>
      <c r="J1873">
        <f>ABS((I1873-EDA!$A$15)/EDA!$B$15)</f>
        <v>0.84834427378436728</v>
      </c>
      <c r="K1873" t="str">
        <f t="shared" si="29"/>
        <v>No</v>
      </c>
      <c r="L1873">
        <f>ABS((C1873-EDA!$F$15)/EDA!$G$15)</f>
        <v>0.28007182089569066</v>
      </c>
      <c r="M1873" t="str">
        <f>IF(moras[[#This Row],[Z-Score Salario]]&gt;1.96, "Sí", "No")</f>
        <v>No</v>
      </c>
      <c r="N1873" s="14">
        <f>IF(ISBLANK(moras[[#This Row],[SALARIO]]), EDA!$M$8, moras[[#This Row],[SALARIO]])</f>
        <v>5743876</v>
      </c>
      <c r="O1873" s="14">
        <f xml:space="preserve"> IF(ISBLANK(moras[[#This Row],[EDAD]]), EDA!$E$8, moras[[#This Row],[EDAD]])</f>
        <v>54</v>
      </c>
      <c r="P1873" s="14" t="str">
        <f>IF(
    OR(ISBLANK(moras[[#This Row],[TIPO_ASEGURAMIENTO]]), moras[[#This Row],[TIPO_ASEGURAMIENTO]]=""),
    EDA!$A$32,
    moras[[#This Row],[TIPO_ASEGURAMIENTO]]
)</f>
        <v>ASALARIADO</v>
      </c>
    </row>
    <row r="1874" spans="1:16" x14ac:dyDescent="0.3">
      <c r="A1874">
        <v>1873</v>
      </c>
      <c r="B1874" t="s">
        <v>15</v>
      </c>
      <c r="C1874">
        <v>55098874</v>
      </c>
      <c r="D1874" t="s">
        <v>10</v>
      </c>
      <c r="E1874" t="s">
        <v>11</v>
      </c>
      <c r="F1874" t="s">
        <v>12</v>
      </c>
      <c r="G1874" t="s">
        <v>13</v>
      </c>
      <c r="H1874" t="s">
        <v>13</v>
      </c>
      <c r="I1874">
        <v>47</v>
      </c>
      <c r="J1874">
        <f>ABS((I1874-EDA!$A$15)/EDA!$B$15)</f>
        <v>0.35431696324440481</v>
      </c>
      <c r="K1874" t="str">
        <f t="shared" si="29"/>
        <v>No</v>
      </c>
      <c r="L1874">
        <f>ABS((C1874-EDA!$F$15)/EDA!$G$15)</f>
        <v>0.54123018611938922</v>
      </c>
      <c r="M1874" t="str">
        <f>IF(moras[[#This Row],[Z-Score Salario]]&gt;1.96, "Sí", "No")</f>
        <v>No</v>
      </c>
      <c r="N1874" s="14">
        <f>IF(ISBLANK(moras[[#This Row],[SALARIO]]), EDA!$M$8, moras[[#This Row],[SALARIO]])</f>
        <v>55098874</v>
      </c>
      <c r="O1874" s="14">
        <f xml:space="preserve"> IF(ISBLANK(moras[[#This Row],[EDAD]]), EDA!$E$8, moras[[#This Row],[EDAD]])</f>
        <v>47</v>
      </c>
      <c r="P1874" s="14" t="str">
        <f>IF(
    OR(ISBLANK(moras[[#This Row],[TIPO_ASEGURAMIENTO]]), moras[[#This Row],[TIPO_ASEGURAMIENTO]]=""),
    EDA!$A$32,
    moras[[#This Row],[TIPO_ASEGURAMIENTO]]
)</f>
        <v>ASALARIADO</v>
      </c>
    </row>
    <row r="1875" spans="1:16" x14ac:dyDescent="0.3">
      <c r="A1875">
        <v>1874</v>
      </c>
      <c r="B1875" t="s">
        <v>9</v>
      </c>
      <c r="C1875">
        <v>738540</v>
      </c>
      <c r="D1875" t="s">
        <v>10</v>
      </c>
      <c r="E1875" t="s">
        <v>16</v>
      </c>
      <c r="F1875" t="s">
        <v>12</v>
      </c>
      <c r="G1875" t="s">
        <v>13</v>
      </c>
      <c r="H1875" t="s">
        <v>13</v>
      </c>
      <c r="I1875">
        <v>36</v>
      </c>
      <c r="J1875">
        <f>ABS((I1875-EDA!$A$15)/EDA!$B$15)</f>
        <v>0.42201166760410774</v>
      </c>
      <c r="K1875" t="str">
        <f t="shared" si="29"/>
        <v>No</v>
      </c>
      <c r="L1875">
        <f>ABS((C1875-EDA!$F$15)/EDA!$G$15)</f>
        <v>0.36336414526342398</v>
      </c>
      <c r="M1875" t="str">
        <f>IF(moras[[#This Row],[Z-Score Salario]]&gt;1.96, "Sí", "No")</f>
        <v>No</v>
      </c>
      <c r="N1875" s="14">
        <f>IF(ISBLANK(moras[[#This Row],[SALARIO]]), EDA!$M$8, moras[[#This Row],[SALARIO]])</f>
        <v>738540</v>
      </c>
      <c r="O1875" s="14">
        <f xml:space="preserve"> IF(ISBLANK(moras[[#This Row],[EDAD]]), EDA!$E$8, moras[[#This Row],[EDAD]])</f>
        <v>36</v>
      </c>
      <c r="P1875" s="14" t="str">
        <f>IF(
    OR(ISBLANK(moras[[#This Row],[TIPO_ASEGURAMIENTO]]), moras[[#This Row],[TIPO_ASEGURAMIENTO]]=""),
    EDA!$A$32,
    moras[[#This Row],[TIPO_ASEGURAMIENTO]]
)</f>
        <v>ASALARIADO</v>
      </c>
    </row>
    <row r="1876" spans="1:16" x14ac:dyDescent="0.3">
      <c r="A1876">
        <v>1875</v>
      </c>
      <c r="B1876" t="s">
        <v>15</v>
      </c>
      <c r="C1876">
        <v>955500</v>
      </c>
      <c r="D1876" t="s">
        <v>10</v>
      </c>
      <c r="E1876" t="s">
        <v>16</v>
      </c>
      <c r="F1876" t="s">
        <v>12</v>
      </c>
      <c r="G1876" t="s">
        <v>13</v>
      </c>
      <c r="H1876" t="s">
        <v>13</v>
      </c>
      <c r="I1876">
        <v>45</v>
      </c>
      <c r="J1876">
        <f>ABS((I1876-EDA!$A$15)/EDA!$B$15)</f>
        <v>0.21316630309012977</v>
      </c>
      <c r="K1876" t="str">
        <f t="shared" si="29"/>
        <v>No</v>
      </c>
      <c r="L1876">
        <f>ABS((C1876-EDA!$F$15)/EDA!$G$15)</f>
        <v>0.3597537777087137</v>
      </c>
      <c r="M1876" t="str">
        <f>IF(moras[[#This Row],[Z-Score Salario]]&gt;1.96, "Sí", "No")</f>
        <v>No</v>
      </c>
      <c r="N1876" s="14">
        <f>IF(ISBLANK(moras[[#This Row],[SALARIO]]), EDA!$M$8, moras[[#This Row],[SALARIO]])</f>
        <v>955500</v>
      </c>
      <c r="O1876" s="14">
        <f xml:space="preserve"> IF(ISBLANK(moras[[#This Row],[EDAD]]), EDA!$E$8, moras[[#This Row],[EDAD]])</f>
        <v>45</v>
      </c>
      <c r="P1876" s="14" t="str">
        <f>IF(
    OR(ISBLANK(moras[[#This Row],[TIPO_ASEGURAMIENTO]]), moras[[#This Row],[TIPO_ASEGURAMIENTO]]=""),
    EDA!$A$32,
    moras[[#This Row],[TIPO_ASEGURAMIENTO]]
)</f>
        <v>ASALARIADO</v>
      </c>
    </row>
    <row r="1877" spans="1:16" x14ac:dyDescent="0.3">
      <c r="A1877">
        <v>1876</v>
      </c>
      <c r="B1877" t="s">
        <v>9</v>
      </c>
      <c r="C1877">
        <v>5222876</v>
      </c>
      <c r="D1877" t="s">
        <v>10</v>
      </c>
      <c r="E1877" t="s">
        <v>16</v>
      </c>
      <c r="F1877" t="s">
        <v>12</v>
      </c>
      <c r="G1877" t="s">
        <v>13</v>
      </c>
      <c r="H1877" t="s">
        <v>13</v>
      </c>
      <c r="I1877">
        <v>36</v>
      </c>
      <c r="J1877">
        <f>ABS((I1877-EDA!$A$15)/EDA!$B$15)</f>
        <v>0.42201166760410774</v>
      </c>
      <c r="K1877" t="str">
        <f t="shared" si="29"/>
        <v>No</v>
      </c>
      <c r="L1877">
        <f>ABS((C1877-EDA!$F$15)/EDA!$G$15)</f>
        <v>0.28874162867594538</v>
      </c>
      <c r="M1877" t="str">
        <f>IF(moras[[#This Row],[Z-Score Salario]]&gt;1.96, "Sí", "No")</f>
        <v>No</v>
      </c>
      <c r="N1877" s="14">
        <f>IF(ISBLANK(moras[[#This Row],[SALARIO]]), EDA!$M$8, moras[[#This Row],[SALARIO]])</f>
        <v>5222876</v>
      </c>
      <c r="O1877" s="14">
        <f xml:space="preserve"> IF(ISBLANK(moras[[#This Row],[EDAD]]), EDA!$E$8, moras[[#This Row],[EDAD]])</f>
        <v>36</v>
      </c>
      <c r="P1877" s="14" t="str">
        <f>IF(
    OR(ISBLANK(moras[[#This Row],[TIPO_ASEGURAMIENTO]]), moras[[#This Row],[TIPO_ASEGURAMIENTO]]=""),
    EDA!$A$32,
    moras[[#This Row],[TIPO_ASEGURAMIENTO]]
)</f>
        <v>ASALARIADO</v>
      </c>
    </row>
    <row r="1878" spans="1:16" x14ac:dyDescent="0.3">
      <c r="A1878">
        <v>1877</v>
      </c>
      <c r="B1878" t="s">
        <v>15</v>
      </c>
      <c r="C1878">
        <v>34296837</v>
      </c>
      <c r="D1878" t="s">
        <v>10</v>
      </c>
      <c r="E1878" t="s">
        <v>16</v>
      </c>
      <c r="F1878" t="s">
        <v>12</v>
      </c>
      <c r="G1878" t="s">
        <v>13</v>
      </c>
      <c r="H1878" t="s">
        <v>13</v>
      </c>
      <c r="I1878">
        <v>43</v>
      </c>
      <c r="J1878">
        <f>ABS((I1878-EDA!$A$15)/EDA!$B$15)</f>
        <v>7.2015642935854773E-2</v>
      </c>
      <c r="K1878" t="str">
        <f t="shared" si="29"/>
        <v>No</v>
      </c>
      <c r="L1878">
        <f>ABS((C1878-EDA!$F$15)/EDA!$G$15)</f>
        <v>0.19506960602774479</v>
      </c>
      <c r="M1878" t="str">
        <f>IF(moras[[#This Row],[Z-Score Salario]]&gt;1.96, "Sí", "No")</f>
        <v>No</v>
      </c>
      <c r="N1878" s="14">
        <f>IF(ISBLANK(moras[[#This Row],[SALARIO]]), EDA!$M$8, moras[[#This Row],[SALARIO]])</f>
        <v>34296837</v>
      </c>
      <c r="O1878" s="14">
        <f xml:space="preserve"> IF(ISBLANK(moras[[#This Row],[EDAD]]), EDA!$E$8, moras[[#This Row],[EDAD]])</f>
        <v>43</v>
      </c>
      <c r="P1878" s="14" t="str">
        <f>IF(
    OR(ISBLANK(moras[[#This Row],[TIPO_ASEGURAMIENTO]]), moras[[#This Row],[TIPO_ASEGURAMIENTO]]=""),
    EDA!$A$32,
    moras[[#This Row],[TIPO_ASEGURAMIENTO]]
)</f>
        <v>ASALARIADO</v>
      </c>
    </row>
    <row r="1879" spans="1:16" x14ac:dyDescent="0.3">
      <c r="A1879">
        <v>1878</v>
      </c>
      <c r="B1879" t="s">
        <v>15</v>
      </c>
      <c r="C1879">
        <v>619612</v>
      </c>
      <c r="D1879" t="s">
        <v>18</v>
      </c>
      <c r="E1879" t="s">
        <v>16</v>
      </c>
      <c r="F1879" t="s">
        <v>12</v>
      </c>
      <c r="G1879" t="s">
        <v>13</v>
      </c>
      <c r="H1879" t="s">
        <v>13</v>
      </c>
      <c r="I1879">
        <v>40</v>
      </c>
      <c r="J1879">
        <f>ABS((I1879-EDA!$A$15)/EDA!$B$15)</f>
        <v>0.13971034729555773</v>
      </c>
      <c r="K1879" t="str">
        <f t="shared" si="29"/>
        <v>No</v>
      </c>
      <c r="L1879">
        <f>ABS((C1879-EDA!$F$15)/EDA!$G$15)</f>
        <v>0.36534319113614977</v>
      </c>
      <c r="M1879" t="str">
        <f>IF(moras[[#This Row],[Z-Score Salario]]&gt;1.96, "Sí", "No")</f>
        <v>No</v>
      </c>
      <c r="N1879" s="14">
        <f>IF(ISBLANK(moras[[#This Row],[SALARIO]]), EDA!$M$8, moras[[#This Row],[SALARIO]])</f>
        <v>619612</v>
      </c>
      <c r="O1879" s="14">
        <f xml:space="preserve"> IF(ISBLANK(moras[[#This Row],[EDAD]]), EDA!$E$8, moras[[#This Row],[EDAD]])</f>
        <v>40</v>
      </c>
      <c r="P1879" s="14" t="str">
        <f>IF(
    OR(ISBLANK(moras[[#This Row],[TIPO_ASEGURAMIENTO]]), moras[[#This Row],[TIPO_ASEGURAMIENTO]]=""),
    EDA!$A$32,
    moras[[#This Row],[TIPO_ASEGURAMIENTO]]
)</f>
        <v>TRABAJADOR INDEPENDIENTE</v>
      </c>
    </row>
    <row r="1880" spans="1:16" x14ac:dyDescent="0.3">
      <c r="A1880">
        <v>1879</v>
      </c>
      <c r="B1880" t="s">
        <v>9</v>
      </c>
      <c r="C1880">
        <v>95275345</v>
      </c>
      <c r="D1880" t="s">
        <v>14</v>
      </c>
      <c r="E1880" t="s">
        <v>11</v>
      </c>
      <c r="F1880" t="s">
        <v>12</v>
      </c>
      <c r="G1880" t="s">
        <v>13</v>
      </c>
      <c r="H1880" t="s">
        <v>13</v>
      </c>
      <c r="I1880">
        <v>86</v>
      </c>
      <c r="J1880">
        <f>ABS((I1880-EDA!$A$15)/EDA!$B$15)</f>
        <v>3.1067548362527675</v>
      </c>
      <c r="K1880" t="str">
        <f t="shared" si="29"/>
        <v>Sí</v>
      </c>
      <c r="L1880">
        <f>ABS((C1880-EDA!$F$15)/EDA!$G$15)</f>
        <v>1.2097950246203075</v>
      </c>
      <c r="M1880" t="str">
        <f>IF(moras[[#This Row],[Z-Score Salario]]&gt;1.96, "Sí", "No")</f>
        <v>No</v>
      </c>
      <c r="N1880" s="14">
        <f>IF(ISBLANK(moras[[#This Row],[SALARIO]]), EDA!$M$8, moras[[#This Row],[SALARIO]])</f>
        <v>95275345</v>
      </c>
      <c r="O1880" s="14">
        <f xml:space="preserve"> IF(ISBLANK(moras[[#This Row],[EDAD]]), EDA!$E$8, moras[[#This Row],[EDAD]])</f>
        <v>86</v>
      </c>
      <c r="P1880" s="14" t="str">
        <f>IF(
    OR(ISBLANK(moras[[#This Row],[TIPO_ASEGURAMIENTO]]), moras[[#This Row],[TIPO_ASEGURAMIENTO]]=""),
    EDA!$A$32,
    moras[[#This Row],[TIPO_ASEGURAMIENTO]]
)</f>
        <v>PENSIONADOS EN SU PROPIO SISTEMA</v>
      </c>
    </row>
    <row r="1881" spans="1:16" x14ac:dyDescent="0.3">
      <c r="A1881">
        <v>1880</v>
      </c>
      <c r="B1881" t="s">
        <v>15</v>
      </c>
      <c r="C1881">
        <v>422091</v>
      </c>
      <c r="D1881" t="s">
        <v>18</v>
      </c>
      <c r="E1881" t="s">
        <v>16</v>
      </c>
      <c r="F1881" t="s">
        <v>12</v>
      </c>
      <c r="G1881" t="s">
        <v>13</v>
      </c>
      <c r="H1881" t="s">
        <v>13</v>
      </c>
      <c r="I1881">
        <v>36</v>
      </c>
      <c r="J1881">
        <f>ABS((I1881-EDA!$A$15)/EDA!$B$15)</f>
        <v>0.42201166760410774</v>
      </c>
      <c r="K1881" t="str">
        <f t="shared" si="29"/>
        <v>No</v>
      </c>
      <c r="L1881">
        <f>ABS((C1881-EDA!$F$15)/EDA!$G$15)</f>
        <v>0.3686300800086329</v>
      </c>
      <c r="M1881" t="str">
        <f>IF(moras[[#This Row],[Z-Score Salario]]&gt;1.96, "Sí", "No")</f>
        <v>No</v>
      </c>
      <c r="N1881" s="14">
        <f>IF(ISBLANK(moras[[#This Row],[SALARIO]]), EDA!$M$8, moras[[#This Row],[SALARIO]])</f>
        <v>422091</v>
      </c>
      <c r="O1881" s="14">
        <f xml:space="preserve"> IF(ISBLANK(moras[[#This Row],[EDAD]]), EDA!$E$8, moras[[#This Row],[EDAD]])</f>
        <v>36</v>
      </c>
      <c r="P1881" s="14" t="str">
        <f>IF(
    OR(ISBLANK(moras[[#This Row],[TIPO_ASEGURAMIENTO]]), moras[[#This Row],[TIPO_ASEGURAMIENTO]]=""),
    EDA!$A$32,
    moras[[#This Row],[TIPO_ASEGURAMIENTO]]
)</f>
        <v>TRABAJADOR INDEPENDIENTE</v>
      </c>
    </row>
    <row r="1882" spans="1:16" x14ac:dyDescent="0.3">
      <c r="A1882">
        <v>1881</v>
      </c>
      <c r="B1882" t="s">
        <v>9</v>
      </c>
      <c r="C1882">
        <v>150000</v>
      </c>
      <c r="D1882" t="s">
        <v>10</v>
      </c>
      <c r="E1882" t="s">
        <v>16</v>
      </c>
      <c r="F1882" t="s">
        <v>12</v>
      </c>
      <c r="G1882" t="s">
        <v>13</v>
      </c>
      <c r="H1882" t="s">
        <v>13</v>
      </c>
      <c r="I1882">
        <v>73</v>
      </c>
      <c r="J1882">
        <f>ABS((I1882-EDA!$A$15)/EDA!$B$15)</f>
        <v>2.1892755452499797</v>
      </c>
      <c r="K1882" t="str">
        <f t="shared" si="29"/>
        <v>Sí</v>
      </c>
      <c r="L1882">
        <f>ABS((C1882-EDA!$F$15)/EDA!$G$15)</f>
        <v>0.37315786632098852</v>
      </c>
      <c r="M1882" t="str">
        <f>IF(moras[[#This Row],[Z-Score Salario]]&gt;1.96, "Sí", "No")</f>
        <v>No</v>
      </c>
      <c r="N1882" s="14">
        <f>IF(ISBLANK(moras[[#This Row],[SALARIO]]), EDA!$M$8, moras[[#This Row],[SALARIO]])</f>
        <v>150000</v>
      </c>
      <c r="O1882" s="14">
        <f xml:space="preserve"> IF(ISBLANK(moras[[#This Row],[EDAD]]), EDA!$E$8, moras[[#This Row],[EDAD]])</f>
        <v>73</v>
      </c>
      <c r="P1882" s="14" t="str">
        <f>IF(
    OR(ISBLANK(moras[[#This Row],[TIPO_ASEGURAMIENTO]]), moras[[#This Row],[TIPO_ASEGURAMIENTO]]=""),
    EDA!$A$32,
    moras[[#This Row],[TIPO_ASEGURAMIENTO]]
)</f>
        <v>ASALARIADO</v>
      </c>
    </row>
    <row r="1883" spans="1:16" x14ac:dyDescent="0.3">
      <c r="A1883">
        <v>1882</v>
      </c>
      <c r="B1883" t="s">
        <v>9</v>
      </c>
      <c r="C1883">
        <v>10500</v>
      </c>
      <c r="D1883" t="s">
        <v>10</v>
      </c>
      <c r="E1883" t="s">
        <v>16</v>
      </c>
      <c r="F1883" t="s">
        <v>12</v>
      </c>
      <c r="G1883" t="s">
        <v>12</v>
      </c>
      <c r="H1883" t="s">
        <v>13</v>
      </c>
      <c r="I1883">
        <v>29</v>
      </c>
      <c r="J1883">
        <f>ABS((I1883-EDA!$A$15)/EDA!$B$15)</f>
        <v>0.91603897814407031</v>
      </c>
      <c r="K1883" t="str">
        <f t="shared" si="29"/>
        <v>No</v>
      </c>
      <c r="L1883">
        <f>ABS((C1883-EDA!$F$15)/EDA!$G$15)</f>
        <v>0.37547924479574002</v>
      </c>
      <c r="M1883" t="str">
        <f>IF(moras[[#This Row],[Z-Score Salario]]&gt;1.96, "Sí", "No")</f>
        <v>No</v>
      </c>
      <c r="N1883" s="14">
        <f>IF(ISBLANK(moras[[#This Row],[SALARIO]]), EDA!$M$8, moras[[#This Row],[SALARIO]])</f>
        <v>10500</v>
      </c>
      <c r="O1883" s="14">
        <f xml:space="preserve"> IF(ISBLANK(moras[[#This Row],[EDAD]]), EDA!$E$8, moras[[#This Row],[EDAD]])</f>
        <v>29</v>
      </c>
      <c r="P1883" s="14" t="str">
        <f>IF(
    OR(ISBLANK(moras[[#This Row],[TIPO_ASEGURAMIENTO]]), moras[[#This Row],[TIPO_ASEGURAMIENTO]]=""),
    EDA!$A$32,
    moras[[#This Row],[TIPO_ASEGURAMIENTO]]
)</f>
        <v>ASALARIADO</v>
      </c>
    </row>
    <row r="1884" spans="1:16" x14ac:dyDescent="0.3">
      <c r="A1884">
        <v>1883</v>
      </c>
      <c r="B1884" t="s">
        <v>9</v>
      </c>
      <c r="C1884">
        <v>27803099</v>
      </c>
      <c r="D1884" t="s">
        <v>19</v>
      </c>
      <c r="E1884" t="s">
        <v>16</v>
      </c>
      <c r="F1884" t="s">
        <v>12</v>
      </c>
      <c r="G1884" t="s">
        <v>13</v>
      </c>
      <c r="H1884" t="s">
        <v>13</v>
      </c>
      <c r="I1884">
        <v>37</v>
      </c>
      <c r="J1884">
        <f>ABS((I1884-EDA!$A$15)/EDA!$B$15)</f>
        <v>0.35143633752697023</v>
      </c>
      <c r="K1884" t="str">
        <f t="shared" si="29"/>
        <v>No</v>
      </c>
      <c r="L1884">
        <f>ABS((C1884-EDA!$F$15)/EDA!$G$15)</f>
        <v>8.7009221698885322E-2</v>
      </c>
      <c r="M1884" t="str">
        <f>IF(moras[[#This Row],[Z-Score Salario]]&gt;1.96, "Sí", "No")</f>
        <v>No</v>
      </c>
      <c r="N1884" s="14">
        <f>IF(ISBLANK(moras[[#This Row],[SALARIO]]), EDA!$M$8, moras[[#This Row],[SALARIO]])</f>
        <v>27803099</v>
      </c>
      <c r="O1884" s="14">
        <f xml:space="preserve"> IF(ISBLANK(moras[[#This Row],[EDAD]]), EDA!$E$8, moras[[#This Row],[EDAD]])</f>
        <v>37</v>
      </c>
      <c r="P1884" s="14" t="str">
        <f>IF(
    OR(ISBLANK(moras[[#This Row],[TIPO_ASEGURAMIENTO]]), moras[[#This Row],[TIPO_ASEGURAMIENTO]]=""),
    EDA!$A$32,
    moras[[#This Row],[TIPO_ASEGURAMIENTO]]
)</f>
        <v>CONVENIOS ESPECIALES DE TRABAJADORES INDEPENDIENTES</v>
      </c>
    </row>
    <row r="1885" spans="1:16" x14ac:dyDescent="0.3">
      <c r="A1885">
        <v>1884</v>
      </c>
      <c r="B1885" t="s">
        <v>15</v>
      </c>
      <c r="C1885">
        <v>756240</v>
      </c>
      <c r="D1885" t="s">
        <v>10</v>
      </c>
      <c r="E1885" t="s">
        <v>11</v>
      </c>
      <c r="F1885" t="s">
        <v>12</v>
      </c>
      <c r="G1885" t="s">
        <v>13</v>
      </c>
      <c r="H1885" t="s">
        <v>12</v>
      </c>
      <c r="I1885">
        <v>64</v>
      </c>
      <c r="J1885">
        <f>ABS((I1885-EDA!$A$15)/EDA!$B$15)</f>
        <v>1.5540975745557424</v>
      </c>
      <c r="K1885" t="str">
        <f t="shared" si="29"/>
        <v>No</v>
      </c>
      <c r="L1885">
        <f>ABS((C1885-EDA!$F$15)/EDA!$G$15)</f>
        <v>0.36306960476877809</v>
      </c>
      <c r="M1885" t="str">
        <f>IF(moras[[#This Row],[Z-Score Salario]]&gt;1.96, "Sí", "No")</f>
        <v>No</v>
      </c>
      <c r="N1885" s="14">
        <f>IF(ISBLANK(moras[[#This Row],[SALARIO]]), EDA!$M$8, moras[[#This Row],[SALARIO]])</f>
        <v>756240</v>
      </c>
      <c r="O1885" s="14">
        <f xml:space="preserve"> IF(ISBLANK(moras[[#This Row],[EDAD]]), EDA!$E$8, moras[[#This Row],[EDAD]])</f>
        <v>64</v>
      </c>
      <c r="P1885" s="14" t="str">
        <f>IF(
    OR(ISBLANK(moras[[#This Row],[TIPO_ASEGURAMIENTO]]), moras[[#This Row],[TIPO_ASEGURAMIENTO]]=""),
    EDA!$A$32,
    moras[[#This Row],[TIPO_ASEGURAMIENTO]]
)</f>
        <v>ASALARIADO</v>
      </c>
    </row>
    <row r="1886" spans="1:16" x14ac:dyDescent="0.3">
      <c r="A1886">
        <v>1885</v>
      </c>
      <c r="B1886" t="s">
        <v>9</v>
      </c>
      <c r="C1886">
        <v>600000</v>
      </c>
      <c r="D1886" t="s">
        <v>10</v>
      </c>
      <c r="E1886" t="s">
        <v>16</v>
      </c>
      <c r="F1886" t="s">
        <v>12</v>
      </c>
      <c r="G1886" t="s">
        <v>13</v>
      </c>
      <c r="H1886" t="s">
        <v>12</v>
      </c>
      <c r="I1886">
        <v>53</v>
      </c>
      <c r="J1886">
        <f>ABS((I1886-EDA!$A$15)/EDA!$B$15)</f>
        <v>0.77776894370722982</v>
      </c>
      <c r="K1886" t="str">
        <f t="shared" si="29"/>
        <v>No</v>
      </c>
      <c r="L1886">
        <f>ABS((C1886-EDA!$F$15)/EDA!$G$15)</f>
        <v>0.36566954866049978</v>
      </c>
      <c r="M1886" t="str">
        <f>IF(moras[[#This Row],[Z-Score Salario]]&gt;1.96, "Sí", "No")</f>
        <v>No</v>
      </c>
      <c r="N1886" s="14">
        <f>IF(ISBLANK(moras[[#This Row],[SALARIO]]), EDA!$M$8, moras[[#This Row],[SALARIO]])</f>
        <v>600000</v>
      </c>
      <c r="O1886" s="14">
        <f xml:space="preserve"> IF(ISBLANK(moras[[#This Row],[EDAD]]), EDA!$E$8, moras[[#This Row],[EDAD]])</f>
        <v>53</v>
      </c>
      <c r="P1886" s="14" t="str">
        <f>IF(
    OR(ISBLANK(moras[[#This Row],[TIPO_ASEGURAMIENTO]]), moras[[#This Row],[TIPO_ASEGURAMIENTO]]=""),
    EDA!$A$32,
    moras[[#This Row],[TIPO_ASEGURAMIENTO]]
)</f>
        <v>ASALARIADO</v>
      </c>
    </row>
    <row r="1887" spans="1:16" x14ac:dyDescent="0.3">
      <c r="A1887">
        <v>1886</v>
      </c>
      <c r="B1887" t="s">
        <v>9</v>
      </c>
      <c r="C1887">
        <v>35954427</v>
      </c>
      <c r="D1887" t="s">
        <v>21</v>
      </c>
      <c r="E1887" t="s">
        <v>16</v>
      </c>
      <c r="F1887" t="s">
        <v>12</v>
      </c>
      <c r="G1887" t="s">
        <v>12</v>
      </c>
      <c r="H1887" t="s">
        <v>13</v>
      </c>
      <c r="I1887">
        <v>26</v>
      </c>
      <c r="J1887">
        <f>ABS((I1887-EDA!$A$15)/EDA!$B$15)</f>
        <v>1.1277649683754829</v>
      </c>
      <c r="K1887" t="str">
        <f t="shared" si="29"/>
        <v>No</v>
      </c>
      <c r="L1887">
        <f>ABS((C1887-EDA!$F$15)/EDA!$G$15)</f>
        <v>0.22265307374074372</v>
      </c>
      <c r="M1887" t="str">
        <f>IF(moras[[#This Row],[Z-Score Salario]]&gt;1.96, "Sí", "No")</f>
        <v>No</v>
      </c>
      <c r="N1887" s="14">
        <f>IF(ISBLANK(moras[[#This Row],[SALARIO]]), EDA!$M$8, moras[[#This Row],[SALARIO]])</f>
        <v>35954427</v>
      </c>
      <c r="O1887" s="14">
        <f xml:space="preserve"> IF(ISBLANK(moras[[#This Row],[EDAD]]), EDA!$E$8, moras[[#This Row],[EDAD]])</f>
        <v>26</v>
      </c>
      <c r="P1887" s="14" t="str">
        <f>IF(
    OR(ISBLANK(moras[[#This Row],[TIPO_ASEGURAMIENTO]]), moras[[#This Row],[TIPO_ASEGURAMIENTO]]=""),
    EDA!$A$32,
    moras[[#This Row],[TIPO_ASEGURAMIENTO]]
)</f>
        <v>CONVENIOS ESPECIALES DE ASEGURADOS VOLUNTARIOS</v>
      </c>
    </row>
    <row r="1888" spans="1:16" x14ac:dyDescent="0.3">
      <c r="A1888">
        <v>1887</v>
      </c>
      <c r="B1888" t="s">
        <v>9</v>
      </c>
      <c r="C1888">
        <v>529650</v>
      </c>
      <c r="D1888" t="s">
        <v>10</v>
      </c>
      <c r="E1888" t="s">
        <v>16</v>
      </c>
      <c r="F1888" t="s">
        <v>12</v>
      </c>
      <c r="G1888" t="s">
        <v>13</v>
      </c>
      <c r="H1888" t="s">
        <v>13</v>
      </c>
      <c r="I1888">
        <v>55</v>
      </c>
      <c r="J1888">
        <f>ABS((I1888-EDA!$A$15)/EDA!$B$15)</f>
        <v>0.91891960386150484</v>
      </c>
      <c r="K1888" t="str">
        <f t="shared" si="29"/>
        <v>No</v>
      </c>
      <c r="L1888">
        <f>ABS((C1888-EDA!$F$15)/EDA!$G$15)</f>
        <v>0.36684022232142288</v>
      </c>
      <c r="M1888" t="str">
        <f>IF(moras[[#This Row],[Z-Score Salario]]&gt;1.96, "Sí", "No")</f>
        <v>No</v>
      </c>
      <c r="N1888" s="14">
        <f>IF(ISBLANK(moras[[#This Row],[SALARIO]]), EDA!$M$8, moras[[#This Row],[SALARIO]])</f>
        <v>529650</v>
      </c>
      <c r="O1888" s="14">
        <f xml:space="preserve"> IF(ISBLANK(moras[[#This Row],[EDAD]]), EDA!$E$8, moras[[#This Row],[EDAD]])</f>
        <v>55</v>
      </c>
      <c r="P1888" s="14" t="str">
        <f>IF(
    OR(ISBLANK(moras[[#This Row],[TIPO_ASEGURAMIENTO]]), moras[[#This Row],[TIPO_ASEGURAMIENTO]]=""),
    EDA!$A$32,
    moras[[#This Row],[TIPO_ASEGURAMIENTO]]
)</f>
        <v>ASALARIADO</v>
      </c>
    </row>
    <row r="1889" spans="1:16" x14ac:dyDescent="0.3">
      <c r="A1889">
        <v>1888</v>
      </c>
      <c r="B1889" t="s">
        <v>9</v>
      </c>
      <c r="C1889">
        <v>40696663</v>
      </c>
      <c r="D1889" t="s">
        <v>10</v>
      </c>
      <c r="E1889" t="s">
        <v>16</v>
      </c>
      <c r="F1889" t="s">
        <v>12</v>
      </c>
      <c r="G1889" t="s">
        <v>13</v>
      </c>
      <c r="H1889" t="s">
        <v>13</v>
      </c>
      <c r="I1889">
        <v>37</v>
      </c>
      <c r="J1889">
        <f>ABS((I1889-EDA!$A$15)/EDA!$B$15)</f>
        <v>0.35143633752697023</v>
      </c>
      <c r="K1889" t="str">
        <f t="shared" si="29"/>
        <v>No</v>
      </c>
      <c r="L1889">
        <f>ABS((C1889-EDA!$F$15)/EDA!$G$15)</f>
        <v>0.301567228382978</v>
      </c>
      <c r="M1889" t="str">
        <f>IF(moras[[#This Row],[Z-Score Salario]]&gt;1.96, "Sí", "No")</f>
        <v>No</v>
      </c>
      <c r="N1889" s="14">
        <f>IF(ISBLANK(moras[[#This Row],[SALARIO]]), EDA!$M$8, moras[[#This Row],[SALARIO]])</f>
        <v>40696663</v>
      </c>
      <c r="O1889" s="14">
        <f xml:space="preserve"> IF(ISBLANK(moras[[#This Row],[EDAD]]), EDA!$E$8, moras[[#This Row],[EDAD]])</f>
        <v>37</v>
      </c>
      <c r="P1889" s="14" t="str">
        <f>IF(
    OR(ISBLANK(moras[[#This Row],[TIPO_ASEGURAMIENTO]]), moras[[#This Row],[TIPO_ASEGURAMIENTO]]=""),
    EDA!$A$32,
    moras[[#This Row],[TIPO_ASEGURAMIENTO]]
)</f>
        <v>ASALARIADO</v>
      </c>
    </row>
    <row r="1890" spans="1:16" x14ac:dyDescent="0.3">
      <c r="A1890">
        <v>1889</v>
      </c>
      <c r="B1890" t="s">
        <v>9</v>
      </c>
      <c r="C1890">
        <v>185000</v>
      </c>
      <c r="D1890" t="s">
        <v>10</v>
      </c>
      <c r="E1890" t="s">
        <v>16</v>
      </c>
      <c r="F1890" t="s">
        <v>12</v>
      </c>
      <c r="G1890" t="s">
        <v>13</v>
      </c>
      <c r="H1890" t="s">
        <v>13</v>
      </c>
      <c r="I1890">
        <v>36</v>
      </c>
      <c r="J1890">
        <f>ABS((I1890-EDA!$A$15)/EDA!$B$15)</f>
        <v>0.42201166760410774</v>
      </c>
      <c r="K1890" t="str">
        <f t="shared" si="29"/>
        <v>No</v>
      </c>
      <c r="L1890">
        <f>ABS((C1890-EDA!$F$15)/EDA!$G$15)</f>
        <v>0.37257544161406164</v>
      </c>
      <c r="M1890" t="str">
        <f>IF(moras[[#This Row],[Z-Score Salario]]&gt;1.96, "Sí", "No")</f>
        <v>No</v>
      </c>
      <c r="N1890" s="14">
        <f>IF(ISBLANK(moras[[#This Row],[SALARIO]]), EDA!$M$8, moras[[#This Row],[SALARIO]])</f>
        <v>185000</v>
      </c>
      <c r="O1890" s="14">
        <f xml:space="preserve"> IF(ISBLANK(moras[[#This Row],[EDAD]]), EDA!$E$8, moras[[#This Row],[EDAD]])</f>
        <v>36</v>
      </c>
      <c r="P1890" s="14" t="str">
        <f>IF(
    OR(ISBLANK(moras[[#This Row],[TIPO_ASEGURAMIENTO]]), moras[[#This Row],[TIPO_ASEGURAMIENTO]]=""),
    EDA!$A$32,
    moras[[#This Row],[TIPO_ASEGURAMIENTO]]
)</f>
        <v>ASALARIADO</v>
      </c>
    </row>
    <row r="1891" spans="1:16" x14ac:dyDescent="0.3">
      <c r="A1891">
        <v>1890</v>
      </c>
      <c r="B1891" t="s">
        <v>15</v>
      </c>
      <c r="C1891">
        <v>29915238</v>
      </c>
      <c r="D1891" t="s">
        <v>10</v>
      </c>
      <c r="E1891" t="s">
        <v>11</v>
      </c>
      <c r="F1891" t="s">
        <v>12</v>
      </c>
      <c r="G1891" t="s">
        <v>13</v>
      </c>
      <c r="H1891" t="s">
        <v>13</v>
      </c>
      <c r="I1891">
        <v>36</v>
      </c>
      <c r="J1891">
        <f>ABS((I1891-EDA!$A$15)/EDA!$B$15)</f>
        <v>0.42201166760410774</v>
      </c>
      <c r="K1891" t="str">
        <f t="shared" si="29"/>
        <v>No</v>
      </c>
      <c r="L1891">
        <f>ABS((C1891-EDA!$F$15)/EDA!$G$15)</f>
        <v>0.12215670564356755</v>
      </c>
      <c r="M1891" t="str">
        <f>IF(moras[[#This Row],[Z-Score Salario]]&gt;1.96, "Sí", "No")</f>
        <v>No</v>
      </c>
      <c r="N1891" s="14">
        <f>IF(ISBLANK(moras[[#This Row],[SALARIO]]), EDA!$M$8, moras[[#This Row],[SALARIO]])</f>
        <v>29915238</v>
      </c>
      <c r="O1891" s="14">
        <f xml:space="preserve"> IF(ISBLANK(moras[[#This Row],[EDAD]]), EDA!$E$8, moras[[#This Row],[EDAD]])</f>
        <v>36</v>
      </c>
      <c r="P1891" s="14" t="str">
        <f>IF(
    OR(ISBLANK(moras[[#This Row],[TIPO_ASEGURAMIENTO]]), moras[[#This Row],[TIPO_ASEGURAMIENTO]]=""),
    EDA!$A$32,
    moras[[#This Row],[TIPO_ASEGURAMIENTO]]
)</f>
        <v>ASALARIADO</v>
      </c>
    </row>
    <row r="1892" spans="1:16" x14ac:dyDescent="0.3">
      <c r="A1892">
        <v>1891</v>
      </c>
      <c r="B1892" t="s">
        <v>9</v>
      </c>
      <c r="C1892">
        <v>170502</v>
      </c>
      <c r="D1892" t="s">
        <v>10</v>
      </c>
      <c r="E1892" t="s">
        <v>16</v>
      </c>
      <c r="F1892" t="s">
        <v>12</v>
      </c>
      <c r="G1892" t="s">
        <v>13</v>
      </c>
      <c r="H1892" t="s">
        <v>13</v>
      </c>
      <c r="I1892">
        <v>64</v>
      </c>
      <c r="J1892">
        <f>ABS((I1892-EDA!$A$15)/EDA!$B$15)</f>
        <v>1.5540975745557424</v>
      </c>
      <c r="K1892" t="str">
        <f t="shared" si="29"/>
        <v>No</v>
      </c>
      <c r="L1892">
        <f>ABS((C1892-EDA!$F$15)/EDA!$G$15)</f>
        <v>0.37281669856837668</v>
      </c>
      <c r="M1892" t="str">
        <f>IF(moras[[#This Row],[Z-Score Salario]]&gt;1.96, "Sí", "No")</f>
        <v>No</v>
      </c>
      <c r="N1892" s="14">
        <f>IF(ISBLANK(moras[[#This Row],[SALARIO]]), EDA!$M$8, moras[[#This Row],[SALARIO]])</f>
        <v>170502</v>
      </c>
      <c r="O1892" s="14">
        <f xml:space="preserve"> IF(ISBLANK(moras[[#This Row],[EDAD]]), EDA!$E$8, moras[[#This Row],[EDAD]])</f>
        <v>64</v>
      </c>
      <c r="P1892" s="14" t="str">
        <f>IF(
    OR(ISBLANK(moras[[#This Row],[TIPO_ASEGURAMIENTO]]), moras[[#This Row],[TIPO_ASEGURAMIENTO]]=""),
    EDA!$A$32,
    moras[[#This Row],[TIPO_ASEGURAMIENTO]]
)</f>
        <v>ASALARIADO</v>
      </c>
    </row>
    <row r="1893" spans="1:16" x14ac:dyDescent="0.3">
      <c r="A1893">
        <v>1892</v>
      </c>
      <c r="B1893" t="s">
        <v>15</v>
      </c>
      <c r="C1893">
        <v>758880</v>
      </c>
      <c r="D1893" t="s">
        <v>10</v>
      </c>
      <c r="E1893" t="s">
        <v>16</v>
      </c>
      <c r="F1893" t="s">
        <v>12</v>
      </c>
      <c r="G1893" t="s">
        <v>13</v>
      </c>
      <c r="H1893" t="s">
        <v>13</v>
      </c>
      <c r="I1893">
        <v>27</v>
      </c>
      <c r="J1893">
        <f>ABS((I1893-EDA!$A$15)/EDA!$B$15)</f>
        <v>1.0571896382983452</v>
      </c>
      <c r="K1893" t="str">
        <f t="shared" si="29"/>
        <v>No</v>
      </c>
      <c r="L1893">
        <f>ABS((C1893-EDA!$F$15)/EDA!$G$15)</f>
        <v>0.36302567330516994</v>
      </c>
      <c r="M1893" t="str">
        <f>IF(moras[[#This Row],[Z-Score Salario]]&gt;1.96, "Sí", "No")</f>
        <v>No</v>
      </c>
      <c r="N1893" s="14">
        <f>IF(ISBLANK(moras[[#This Row],[SALARIO]]), EDA!$M$8, moras[[#This Row],[SALARIO]])</f>
        <v>758880</v>
      </c>
      <c r="O1893" s="14">
        <f xml:space="preserve"> IF(ISBLANK(moras[[#This Row],[EDAD]]), EDA!$E$8, moras[[#This Row],[EDAD]])</f>
        <v>27</v>
      </c>
      <c r="P1893" s="14" t="str">
        <f>IF(
    OR(ISBLANK(moras[[#This Row],[TIPO_ASEGURAMIENTO]]), moras[[#This Row],[TIPO_ASEGURAMIENTO]]=""),
    EDA!$A$32,
    moras[[#This Row],[TIPO_ASEGURAMIENTO]]
)</f>
        <v>ASALARIADO</v>
      </c>
    </row>
    <row r="1894" spans="1:16" x14ac:dyDescent="0.3">
      <c r="A1894">
        <v>1893</v>
      </c>
      <c r="B1894" t="s">
        <v>15</v>
      </c>
      <c r="C1894">
        <v>345600</v>
      </c>
      <c r="D1894" t="s">
        <v>10</v>
      </c>
      <c r="E1894" t="s">
        <v>16</v>
      </c>
      <c r="F1894" t="s">
        <v>12</v>
      </c>
      <c r="G1894" t="s">
        <v>13</v>
      </c>
      <c r="H1894" t="s">
        <v>13</v>
      </c>
      <c r="I1894">
        <v>23</v>
      </c>
      <c r="J1894">
        <f>ABS((I1894-EDA!$A$15)/EDA!$B$15)</f>
        <v>1.3394909586068953</v>
      </c>
      <c r="K1894" t="str">
        <f t="shared" si="29"/>
        <v>No</v>
      </c>
      <c r="L1894">
        <f>ABS((C1894-EDA!$F$15)/EDA!$G$15)</f>
        <v>0.36990294424456277</v>
      </c>
      <c r="M1894" t="str">
        <f>IF(moras[[#This Row],[Z-Score Salario]]&gt;1.96, "Sí", "No")</f>
        <v>No</v>
      </c>
      <c r="N1894" s="14">
        <f>IF(ISBLANK(moras[[#This Row],[SALARIO]]), EDA!$M$8, moras[[#This Row],[SALARIO]])</f>
        <v>345600</v>
      </c>
      <c r="O1894" s="14">
        <f xml:space="preserve"> IF(ISBLANK(moras[[#This Row],[EDAD]]), EDA!$E$8, moras[[#This Row],[EDAD]])</f>
        <v>23</v>
      </c>
      <c r="P1894" s="14" t="str">
        <f>IF(
    OR(ISBLANK(moras[[#This Row],[TIPO_ASEGURAMIENTO]]), moras[[#This Row],[TIPO_ASEGURAMIENTO]]=""),
    EDA!$A$32,
    moras[[#This Row],[TIPO_ASEGURAMIENTO]]
)</f>
        <v>ASALARIADO</v>
      </c>
    </row>
    <row r="1895" spans="1:16" x14ac:dyDescent="0.3">
      <c r="A1895">
        <v>1894</v>
      </c>
      <c r="B1895" t="s">
        <v>9</v>
      </c>
      <c r="C1895">
        <v>30933333</v>
      </c>
      <c r="D1895" t="s">
        <v>10</v>
      </c>
      <c r="E1895" t="s">
        <v>16</v>
      </c>
      <c r="F1895" t="s">
        <v>12</v>
      </c>
      <c r="G1895" t="s">
        <v>13</v>
      </c>
      <c r="H1895" t="s">
        <v>12</v>
      </c>
      <c r="I1895">
        <v>61</v>
      </c>
      <c r="J1895">
        <f>ABS((I1895-EDA!$A$15)/EDA!$B$15)</f>
        <v>1.3423715843243298</v>
      </c>
      <c r="K1895" t="str">
        <f t="shared" si="29"/>
        <v>No</v>
      </c>
      <c r="L1895">
        <f>ABS((C1895-EDA!$F$15)/EDA!$G$15)</f>
        <v>0.13909852512924595</v>
      </c>
      <c r="M1895" t="str">
        <f>IF(moras[[#This Row],[Z-Score Salario]]&gt;1.96, "Sí", "No")</f>
        <v>No</v>
      </c>
      <c r="N1895" s="14">
        <f>IF(ISBLANK(moras[[#This Row],[SALARIO]]), EDA!$M$8, moras[[#This Row],[SALARIO]])</f>
        <v>30933333</v>
      </c>
      <c r="O1895" s="14">
        <f xml:space="preserve"> IF(ISBLANK(moras[[#This Row],[EDAD]]), EDA!$E$8, moras[[#This Row],[EDAD]])</f>
        <v>61</v>
      </c>
      <c r="P1895" s="14" t="str">
        <f>IF(
    OR(ISBLANK(moras[[#This Row],[TIPO_ASEGURAMIENTO]]), moras[[#This Row],[TIPO_ASEGURAMIENTO]]=""),
    EDA!$A$32,
    moras[[#This Row],[TIPO_ASEGURAMIENTO]]
)</f>
        <v>ASALARIADO</v>
      </c>
    </row>
    <row r="1896" spans="1:16" x14ac:dyDescent="0.3">
      <c r="A1896">
        <v>1895</v>
      </c>
      <c r="B1896" t="s">
        <v>15</v>
      </c>
      <c r="C1896">
        <v>1188000</v>
      </c>
      <c r="D1896" t="s">
        <v>10</v>
      </c>
      <c r="E1896" t="s">
        <v>16</v>
      </c>
      <c r="F1896" t="s">
        <v>12</v>
      </c>
      <c r="G1896" t="s">
        <v>13</v>
      </c>
      <c r="H1896" t="s">
        <v>13</v>
      </c>
      <c r="I1896">
        <v>27</v>
      </c>
      <c r="J1896">
        <f>ABS((I1896-EDA!$A$15)/EDA!$B$15)</f>
        <v>1.0571896382983452</v>
      </c>
      <c r="K1896" t="str">
        <f t="shared" si="29"/>
        <v>No</v>
      </c>
      <c r="L1896">
        <f>ABS((C1896-EDA!$F$15)/EDA!$G$15)</f>
        <v>0.35588481358412788</v>
      </c>
      <c r="M1896" t="str">
        <f>IF(moras[[#This Row],[Z-Score Salario]]&gt;1.96, "Sí", "No")</f>
        <v>No</v>
      </c>
      <c r="N1896" s="14">
        <f>IF(ISBLANK(moras[[#This Row],[SALARIO]]), EDA!$M$8, moras[[#This Row],[SALARIO]])</f>
        <v>1188000</v>
      </c>
      <c r="O1896" s="14">
        <f xml:space="preserve"> IF(ISBLANK(moras[[#This Row],[EDAD]]), EDA!$E$8, moras[[#This Row],[EDAD]])</f>
        <v>27</v>
      </c>
      <c r="P1896" s="14" t="str">
        <f>IF(
    OR(ISBLANK(moras[[#This Row],[TIPO_ASEGURAMIENTO]]), moras[[#This Row],[TIPO_ASEGURAMIENTO]]=""),
    EDA!$A$32,
    moras[[#This Row],[TIPO_ASEGURAMIENTO]]
)</f>
        <v>ASALARIADO</v>
      </c>
    </row>
    <row r="1897" spans="1:16" x14ac:dyDescent="0.3">
      <c r="A1897">
        <v>1896</v>
      </c>
      <c r="B1897" t="s">
        <v>15</v>
      </c>
      <c r="C1897">
        <v>444296054</v>
      </c>
      <c r="D1897" t="s">
        <v>10</v>
      </c>
      <c r="E1897" t="s">
        <v>16</v>
      </c>
      <c r="F1897" t="s">
        <v>12</v>
      </c>
      <c r="G1897" t="s">
        <v>13</v>
      </c>
      <c r="H1897" t="s">
        <v>13</v>
      </c>
      <c r="I1897">
        <v>34</v>
      </c>
      <c r="J1897">
        <f>ABS((I1897-EDA!$A$15)/EDA!$B$15)</f>
        <v>0.56316232775838282</v>
      </c>
      <c r="K1897" t="str">
        <f t="shared" si="29"/>
        <v>No</v>
      </c>
      <c r="L1897">
        <f>ABS((C1897-EDA!$F$15)/EDA!$G$15)</f>
        <v>7.0177460003558583</v>
      </c>
      <c r="M1897" t="str">
        <f>IF(moras[[#This Row],[Z-Score Salario]]&gt;1.96, "Sí", "No")</f>
        <v>Sí</v>
      </c>
      <c r="N1897" s="14">
        <f>IF(ISBLANK(moras[[#This Row],[SALARIO]]), EDA!$M$8, moras[[#This Row],[SALARIO]])</f>
        <v>444296054</v>
      </c>
      <c r="O1897" s="14">
        <f xml:space="preserve"> IF(ISBLANK(moras[[#This Row],[EDAD]]), EDA!$E$8, moras[[#This Row],[EDAD]])</f>
        <v>34</v>
      </c>
      <c r="P1897" s="14" t="str">
        <f>IF(
    OR(ISBLANK(moras[[#This Row],[TIPO_ASEGURAMIENTO]]), moras[[#This Row],[TIPO_ASEGURAMIENTO]]=""),
    EDA!$A$32,
    moras[[#This Row],[TIPO_ASEGURAMIENTO]]
)</f>
        <v>ASALARIADO</v>
      </c>
    </row>
    <row r="1898" spans="1:16" x14ac:dyDescent="0.3">
      <c r="A1898">
        <v>1897</v>
      </c>
      <c r="B1898" t="s">
        <v>9</v>
      </c>
      <c r="C1898">
        <v>451891</v>
      </c>
      <c r="D1898" t="s">
        <v>18</v>
      </c>
      <c r="E1898" t="s">
        <v>16</v>
      </c>
      <c r="F1898" t="s">
        <v>12</v>
      </c>
      <c r="G1898" t="s">
        <v>13</v>
      </c>
      <c r="H1898" t="s">
        <v>12</v>
      </c>
      <c r="I1898">
        <v>46</v>
      </c>
      <c r="J1898">
        <f>ABS((I1898-EDA!$A$15)/EDA!$B$15)</f>
        <v>0.2837416331672673</v>
      </c>
      <c r="K1898" t="str">
        <f t="shared" si="29"/>
        <v>No</v>
      </c>
      <c r="L1898">
        <f>ABS((C1898-EDA!$F$15)/EDA!$G$15)</f>
        <v>0.36813418697244943</v>
      </c>
      <c r="M1898" t="str">
        <f>IF(moras[[#This Row],[Z-Score Salario]]&gt;1.96, "Sí", "No")</f>
        <v>No</v>
      </c>
      <c r="N1898" s="14">
        <f>IF(ISBLANK(moras[[#This Row],[SALARIO]]), EDA!$M$8, moras[[#This Row],[SALARIO]])</f>
        <v>451891</v>
      </c>
      <c r="O1898" s="14">
        <f xml:space="preserve"> IF(ISBLANK(moras[[#This Row],[EDAD]]), EDA!$E$8, moras[[#This Row],[EDAD]])</f>
        <v>46</v>
      </c>
      <c r="P1898" s="14" t="str">
        <f>IF(
    OR(ISBLANK(moras[[#This Row],[TIPO_ASEGURAMIENTO]]), moras[[#This Row],[TIPO_ASEGURAMIENTO]]=""),
    EDA!$A$32,
    moras[[#This Row],[TIPO_ASEGURAMIENTO]]
)</f>
        <v>TRABAJADOR INDEPENDIENTE</v>
      </c>
    </row>
    <row r="1899" spans="1:16" x14ac:dyDescent="0.3">
      <c r="A1899">
        <v>1898</v>
      </c>
      <c r="B1899" t="s">
        <v>15</v>
      </c>
      <c r="C1899">
        <v>1103237</v>
      </c>
      <c r="D1899" t="s">
        <v>10</v>
      </c>
      <c r="E1899" t="s">
        <v>11</v>
      </c>
      <c r="F1899" t="s">
        <v>12</v>
      </c>
      <c r="G1899" t="s">
        <v>13</v>
      </c>
      <c r="H1899" t="s">
        <v>12</v>
      </c>
      <c r="I1899">
        <v>30</v>
      </c>
      <c r="J1899">
        <f>ABS((I1899-EDA!$A$15)/EDA!$B$15)</f>
        <v>0.84546364806693275</v>
      </c>
      <c r="K1899" t="str">
        <f t="shared" si="29"/>
        <v>No</v>
      </c>
      <c r="L1899">
        <f>ABS((C1899-EDA!$F$15)/EDA!$G$15)</f>
        <v>0.35729532973936345</v>
      </c>
      <c r="M1899" t="str">
        <f>IF(moras[[#This Row],[Z-Score Salario]]&gt;1.96, "Sí", "No")</f>
        <v>No</v>
      </c>
      <c r="N1899" s="14">
        <f>IF(ISBLANK(moras[[#This Row],[SALARIO]]), EDA!$M$8, moras[[#This Row],[SALARIO]])</f>
        <v>1103237</v>
      </c>
      <c r="O1899" s="14">
        <f xml:space="preserve"> IF(ISBLANK(moras[[#This Row],[EDAD]]), EDA!$E$8, moras[[#This Row],[EDAD]])</f>
        <v>30</v>
      </c>
      <c r="P1899" s="14" t="str">
        <f>IF(
    OR(ISBLANK(moras[[#This Row],[TIPO_ASEGURAMIENTO]]), moras[[#This Row],[TIPO_ASEGURAMIENTO]]=""),
    EDA!$A$32,
    moras[[#This Row],[TIPO_ASEGURAMIENTO]]
)</f>
        <v>ASALARIADO</v>
      </c>
    </row>
    <row r="1900" spans="1:16" x14ac:dyDescent="0.3">
      <c r="A1900">
        <v>1899</v>
      </c>
      <c r="B1900" t="s">
        <v>9</v>
      </c>
      <c r="C1900">
        <v>387468</v>
      </c>
      <c r="D1900" t="s">
        <v>10</v>
      </c>
      <c r="E1900" t="s">
        <v>11</v>
      </c>
      <c r="F1900" t="s">
        <v>12</v>
      </c>
      <c r="G1900" t="s">
        <v>13</v>
      </c>
      <c r="H1900" t="s">
        <v>13</v>
      </c>
      <c r="I1900">
        <v>32</v>
      </c>
      <c r="J1900">
        <f>ABS((I1900-EDA!$A$15)/EDA!$B$15)</f>
        <v>0.70431298791265773</v>
      </c>
      <c r="K1900" t="str">
        <f t="shared" si="29"/>
        <v>No</v>
      </c>
      <c r="L1900">
        <f>ABS((C1900-EDA!$F$15)/EDA!$G$15)</f>
        <v>0.36920623116943091</v>
      </c>
      <c r="M1900" t="str">
        <f>IF(moras[[#This Row],[Z-Score Salario]]&gt;1.96, "Sí", "No")</f>
        <v>No</v>
      </c>
      <c r="N1900" s="14">
        <f>IF(ISBLANK(moras[[#This Row],[SALARIO]]), EDA!$M$8, moras[[#This Row],[SALARIO]])</f>
        <v>387468</v>
      </c>
      <c r="O1900" s="14">
        <f xml:space="preserve"> IF(ISBLANK(moras[[#This Row],[EDAD]]), EDA!$E$8, moras[[#This Row],[EDAD]])</f>
        <v>32</v>
      </c>
      <c r="P1900" s="14" t="str">
        <f>IF(
    OR(ISBLANK(moras[[#This Row],[TIPO_ASEGURAMIENTO]]), moras[[#This Row],[TIPO_ASEGURAMIENTO]]=""),
    EDA!$A$32,
    moras[[#This Row],[TIPO_ASEGURAMIENTO]]
)</f>
        <v>ASALARIADO</v>
      </c>
    </row>
    <row r="1901" spans="1:16" x14ac:dyDescent="0.3">
      <c r="A1901">
        <v>1900</v>
      </c>
      <c r="B1901" t="s">
        <v>15</v>
      </c>
      <c r="C1901">
        <v>594092</v>
      </c>
      <c r="D1901" t="s">
        <v>18</v>
      </c>
      <c r="E1901" t="s">
        <v>16</v>
      </c>
      <c r="F1901" t="s">
        <v>12</v>
      </c>
      <c r="G1901" t="s">
        <v>13</v>
      </c>
      <c r="H1901" t="s">
        <v>13</v>
      </c>
      <c r="I1901">
        <v>57</v>
      </c>
      <c r="J1901">
        <f>ABS((I1901-EDA!$A$15)/EDA!$B$15)</f>
        <v>1.0600702640157798</v>
      </c>
      <c r="K1901" t="str">
        <f t="shared" si="29"/>
        <v>No</v>
      </c>
      <c r="L1901">
        <f>ABS((C1901-EDA!$F$15)/EDA!$G$15)</f>
        <v>0.36576786195102906</v>
      </c>
      <c r="M1901" t="str">
        <f>IF(moras[[#This Row],[Z-Score Salario]]&gt;1.96, "Sí", "No")</f>
        <v>No</v>
      </c>
      <c r="N1901" s="14">
        <f>IF(ISBLANK(moras[[#This Row],[SALARIO]]), EDA!$M$8, moras[[#This Row],[SALARIO]])</f>
        <v>594092</v>
      </c>
      <c r="O1901" s="14">
        <f xml:space="preserve"> IF(ISBLANK(moras[[#This Row],[EDAD]]), EDA!$E$8, moras[[#This Row],[EDAD]])</f>
        <v>57</v>
      </c>
      <c r="P1901" s="14" t="str">
        <f>IF(
    OR(ISBLANK(moras[[#This Row],[TIPO_ASEGURAMIENTO]]), moras[[#This Row],[TIPO_ASEGURAMIENTO]]=""),
    EDA!$A$32,
    moras[[#This Row],[TIPO_ASEGURAMIENTO]]
)</f>
        <v>TRABAJADOR INDEPENDIENTE</v>
      </c>
    </row>
    <row r="1902" spans="1:16" x14ac:dyDescent="0.3">
      <c r="A1902">
        <v>1901</v>
      </c>
      <c r="B1902" t="s">
        <v>15</v>
      </c>
      <c r="C1902">
        <v>299647</v>
      </c>
      <c r="D1902" t="s">
        <v>17</v>
      </c>
      <c r="E1902" t="s">
        <v>16</v>
      </c>
      <c r="F1902" t="s">
        <v>12</v>
      </c>
      <c r="G1902" t="s">
        <v>13</v>
      </c>
      <c r="H1902" t="s">
        <v>13</v>
      </c>
      <c r="I1902">
        <v>78</v>
      </c>
      <c r="J1902">
        <f>ABS((I1902-EDA!$A$15)/EDA!$B$15)</f>
        <v>2.5421521956356674</v>
      </c>
      <c r="K1902" t="str">
        <f t="shared" si="29"/>
        <v>Sí</v>
      </c>
      <c r="L1902">
        <f>ABS((C1902-EDA!$F$15)/EDA!$G$15)</f>
        <v>0.37066763460334595</v>
      </c>
      <c r="M1902" t="str">
        <f>IF(moras[[#This Row],[Z-Score Salario]]&gt;1.96, "Sí", "No")</f>
        <v>No</v>
      </c>
      <c r="N1902" s="14">
        <f>IF(ISBLANK(moras[[#This Row],[SALARIO]]), EDA!$M$8, moras[[#This Row],[SALARIO]])</f>
        <v>299647</v>
      </c>
      <c r="O1902" s="14">
        <f xml:space="preserve"> IF(ISBLANK(moras[[#This Row],[EDAD]]), EDA!$E$8, moras[[#This Row],[EDAD]])</f>
        <v>78</v>
      </c>
      <c r="P1902" s="14" t="str">
        <f>IF(
    OR(ISBLANK(moras[[#This Row],[TIPO_ASEGURAMIENTO]]), moras[[#This Row],[TIPO_ASEGURAMIENTO]]=""),
    EDA!$A$32,
    moras[[#This Row],[TIPO_ASEGURAMIENTO]]
)</f>
        <v>ASEGURADO VOLUNTARIO</v>
      </c>
    </row>
    <row r="1903" spans="1:16" x14ac:dyDescent="0.3">
      <c r="A1903">
        <v>1902</v>
      </c>
      <c r="B1903" t="s">
        <v>9</v>
      </c>
      <c r="C1903">
        <v>340566</v>
      </c>
      <c r="D1903" t="s">
        <v>18</v>
      </c>
      <c r="E1903" t="s">
        <v>16</v>
      </c>
      <c r="F1903" t="s">
        <v>12</v>
      </c>
      <c r="G1903" t="s">
        <v>12</v>
      </c>
      <c r="H1903" t="s">
        <v>13</v>
      </c>
      <c r="I1903">
        <v>32</v>
      </c>
      <c r="J1903">
        <f>ABS((I1903-EDA!$A$15)/EDA!$B$15)</f>
        <v>0.70431298791265773</v>
      </c>
      <c r="K1903" t="str">
        <f t="shared" si="29"/>
        <v>No</v>
      </c>
      <c r="L1903">
        <f>ABS((C1903-EDA!$F$15)/EDA!$G$15)</f>
        <v>0.36998671355812474</v>
      </c>
      <c r="M1903" t="str">
        <f>IF(moras[[#This Row],[Z-Score Salario]]&gt;1.96, "Sí", "No")</f>
        <v>No</v>
      </c>
      <c r="N1903" s="14">
        <f>IF(ISBLANK(moras[[#This Row],[SALARIO]]), EDA!$M$8, moras[[#This Row],[SALARIO]])</f>
        <v>340566</v>
      </c>
      <c r="O1903" s="14">
        <f xml:space="preserve"> IF(ISBLANK(moras[[#This Row],[EDAD]]), EDA!$E$8, moras[[#This Row],[EDAD]])</f>
        <v>32</v>
      </c>
      <c r="P1903" s="14" t="str">
        <f>IF(
    OR(ISBLANK(moras[[#This Row],[TIPO_ASEGURAMIENTO]]), moras[[#This Row],[TIPO_ASEGURAMIENTO]]=""),
    EDA!$A$32,
    moras[[#This Row],[TIPO_ASEGURAMIENTO]]
)</f>
        <v>TRABAJADOR INDEPENDIENTE</v>
      </c>
    </row>
    <row r="1904" spans="1:16" x14ac:dyDescent="0.3">
      <c r="A1904">
        <v>1903</v>
      </c>
      <c r="B1904" t="s">
        <v>9</v>
      </c>
      <c r="C1904">
        <v>539000</v>
      </c>
      <c r="D1904" t="s">
        <v>10</v>
      </c>
      <c r="E1904" t="s">
        <v>16</v>
      </c>
      <c r="F1904" t="s">
        <v>12</v>
      </c>
      <c r="G1904" t="s">
        <v>12</v>
      </c>
      <c r="H1904" t="s">
        <v>13</v>
      </c>
      <c r="I1904">
        <v>36</v>
      </c>
      <c r="J1904">
        <f>ABS((I1904-EDA!$A$15)/EDA!$B$15)</f>
        <v>0.42201166760410774</v>
      </c>
      <c r="K1904" t="str">
        <f t="shared" si="29"/>
        <v>No</v>
      </c>
      <c r="L1904">
        <f>ABS((C1904-EDA!$F$15)/EDA!$G$15)</f>
        <v>0.36668463172114385</v>
      </c>
      <c r="M1904" t="str">
        <f>IF(moras[[#This Row],[Z-Score Salario]]&gt;1.96, "Sí", "No")</f>
        <v>No</v>
      </c>
      <c r="N1904" s="14">
        <f>IF(ISBLANK(moras[[#This Row],[SALARIO]]), EDA!$M$8, moras[[#This Row],[SALARIO]])</f>
        <v>539000</v>
      </c>
      <c r="O1904" s="14">
        <f xml:space="preserve"> IF(ISBLANK(moras[[#This Row],[EDAD]]), EDA!$E$8, moras[[#This Row],[EDAD]])</f>
        <v>36</v>
      </c>
      <c r="P1904" s="14" t="str">
        <f>IF(
    OR(ISBLANK(moras[[#This Row],[TIPO_ASEGURAMIENTO]]), moras[[#This Row],[TIPO_ASEGURAMIENTO]]=""),
    EDA!$A$32,
    moras[[#This Row],[TIPO_ASEGURAMIENTO]]
)</f>
        <v>ASALARIADO</v>
      </c>
    </row>
    <row r="1905" spans="1:16" x14ac:dyDescent="0.3">
      <c r="A1905">
        <v>1904</v>
      </c>
      <c r="B1905" t="s">
        <v>15</v>
      </c>
      <c r="C1905">
        <v>298155</v>
      </c>
      <c r="D1905" t="s">
        <v>17</v>
      </c>
      <c r="E1905" t="s">
        <v>16</v>
      </c>
      <c r="F1905" t="s">
        <v>12</v>
      </c>
      <c r="G1905" t="s">
        <v>13</v>
      </c>
      <c r="H1905" t="s">
        <v>12</v>
      </c>
      <c r="I1905">
        <v>54</v>
      </c>
      <c r="J1905">
        <f>ABS((I1905-EDA!$A$15)/EDA!$B$15)</f>
        <v>0.84834427378436728</v>
      </c>
      <c r="K1905" t="str">
        <f t="shared" si="29"/>
        <v>No</v>
      </c>
      <c r="L1905">
        <f>ABS((C1905-EDA!$F$15)/EDA!$G$15)</f>
        <v>0.37069246253656696</v>
      </c>
      <c r="M1905" t="str">
        <f>IF(moras[[#This Row],[Z-Score Salario]]&gt;1.96, "Sí", "No")</f>
        <v>No</v>
      </c>
      <c r="N1905" s="14">
        <f>IF(ISBLANK(moras[[#This Row],[SALARIO]]), EDA!$M$8, moras[[#This Row],[SALARIO]])</f>
        <v>298155</v>
      </c>
      <c r="O1905" s="14">
        <f xml:space="preserve"> IF(ISBLANK(moras[[#This Row],[EDAD]]), EDA!$E$8, moras[[#This Row],[EDAD]])</f>
        <v>54</v>
      </c>
      <c r="P1905" s="14" t="str">
        <f>IF(
    OR(ISBLANK(moras[[#This Row],[TIPO_ASEGURAMIENTO]]), moras[[#This Row],[TIPO_ASEGURAMIENTO]]=""),
    EDA!$A$32,
    moras[[#This Row],[TIPO_ASEGURAMIENTO]]
)</f>
        <v>ASEGURADO VOLUNTARIO</v>
      </c>
    </row>
    <row r="1906" spans="1:16" x14ac:dyDescent="0.3">
      <c r="A1906">
        <v>1905</v>
      </c>
      <c r="B1906" t="s">
        <v>9</v>
      </c>
      <c r="C1906">
        <v>278030</v>
      </c>
      <c r="D1906" t="s">
        <v>19</v>
      </c>
      <c r="E1906" t="s">
        <v>16</v>
      </c>
      <c r="F1906" t="s">
        <v>12</v>
      </c>
      <c r="G1906" t="s">
        <v>12</v>
      </c>
      <c r="H1906" t="s">
        <v>13</v>
      </c>
      <c r="I1906">
        <v>54</v>
      </c>
      <c r="J1906">
        <f>ABS((I1906-EDA!$A$15)/EDA!$B$15)</f>
        <v>0.84834427378436728</v>
      </c>
      <c r="K1906" t="str">
        <f t="shared" si="29"/>
        <v>No</v>
      </c>
      <c r="L1906">
        <f>ABS((C1906-EDA!$F$15)/EDA!$G$15)</f>
        <v>0.37102735674304993</v>
      </c>
      <c r="M1906" t="str">
        <f>IF(moras[[#This Row],[Z-Score Salario]]&gt;1.96, "Sí", "No")</f>
        <v>No</v>
      </c>
      <c r="N1906" s="14">
        <f>IF(ISBLANK(moras[[#This Row],[SALARIO]]), EDA!$M$8, moras[[#This Row],[SALARIO]])</f>
        <v>278030</v>
      </c>
      <c r="O1906" s="14">
        <f xml:space="preserve"> IF(ISBLANK(moras[[#This Row],[EDAD]]), EDA!$E$8, moras[[#This Row],[EDAD]])</f>
        <v>54</v>
      </c>
      <c r="P1906" s="14" t="str">
        <f>IF(
    OR(ISBLANK(moras[[#This Row],[TIPO_ASEGURAMIENTO]]), moras[[#This Row],[TIPO_ASEGURAMIENTO]]=""),
    EDA!$A$32,
    moras[[#This Row],[TIPO_ASEGURAMIENTO]]
)</f>
        <v>CONVENIOS ESPECIALES DE TRABAJADORES INDEPENDIENTES</v>
      </c>
    </row>
    <row r="1907" spans="1:16" x14ac:dyDescent="0.3">
      <c r="A1907">
        <v>1906</v>
      </c>
      <c r="B1907" t="s">
        <v>15</v>
      </c>
      <c r="C1907">
        <v>65312246</v>
      </c>
      <c r="D1907" t="s">
        <v>10</v>
      </c>
      <c r="E1907" t="s">
        <v>16</v>
      </c>
      <c r="F1907" t="s">
        <v>12</v>
      </c>
      <c r="G1907" t="s">
        <v>13</v>
      </c>
      <c r="H1907" t="s">
        <v>13</v>
      </c>
      <c r="I1907">
        <v>29</v>
      </c>
      <c r="J1907">
        <f>ABS((I1907-EDA!$A$15)/EDA!$B$15)</f>
        <v>0.91603897814407031</v>
      </c>
      <c r="K1907" t="str">
        <f t="shared" si="29"/>
        <v>No</v>
      </c>
      <c r="L1907">
        <f>ABS((C1907-EDA!$F$15)/EDA!$G$15)</f>
        <v>0.71118790594325831</v>
      </c>
      <c r="M1907" t="str">
        <f>IF(moras[[#This Row],[Z-Score Salario]]&gt;1.96, "Sí", "No")</f>
        <v>No</v>
      </c>
      <c r="N1907" s="14">
        <f>IF(ISBLANK(moras[[#This Row],[SALARIO]]), EDA!$M$8, moras[[#This Row],[SALARIO]])</f>
        <v>65312246</v>
      </c>
      <c r="O1907" s="14">
        <f xml:space="preserve"> IF(ISBLANK(moras[[#This Row],[EDAD]]), EDA!$E$8, moras[[#This Row],[EDAD]])</f>
        <v>29</v>
      </c>
      <c r="P1907" s="14" t="str">
        <f>IF(
    OR(ISBLANK(moras[[#This Row],[TIPO_ASEGURAMIENTO]]), moras[[#This Row],[TIPO_ASEGURAMIENTO]]=""),
    EDA!$A$32,
    moras[[#This Row],[TIPO_ASEGURAMIENTO]]
)</f>
        <v>ASALARIADO</v>
      </c>
    </row>
    <row r="1908" spans="1:16" x14ac:dyDescent="0.3">
      <c r="A1908">
        <v>1907</v>
      </c>
      <c r="B1908" t="s">
        <v>15</v>
      </c>
      <c r="C1908">
        <v>899559</v>
      </c>
      <c r="D1908" t="s">
        <v>10</v>
      </c>
      <c r="E1908" t="s">
        <v>11</v>
      </c>
      <c r="F1908" t="s">
        <v>12</v>
      </c>
      <c r="G1908" t="s">
        <v>13</v>
      </c>
      <c r="H1908" t="s">
        <v>13</v>
      </c>
      <c r="I1908">
        <v>51</v>
      </c>
      <c r="J1908">
        <f>ABS((I1908-EDA!$A$15)/EDA!$B$15)</f>
        <v>0.6366182835529548</v>
      </c>
      <c r="K1908" t="str">
        <f t="shared" si="29"/>
        <v>No</v>
      </c>
      <c r="L1908">
        <f>ABS((C1908-EDA!$F$15)/EDA!$G$15)</f>
        <v>0.36068467543814792</v>
      </c>
      <c r="M1908" t="str">
        <f>IF(moras[[#This Row],[Z-Score Salario]]&gt;1.96, "Sí", "No")</f>
        <v>No</v>
      </c>
      <c r="N1908" s="14">
        <f>IF(ISBLANK(moras[[#This Row],[SALARIO]]), EDA!$M$8, moras[[#This Row],[SALARIO]])</f>
        <v>899559</v>
      </c>
      <c r="O1908" s="14">
        <f xml:space="preserve"> IF(ISBLANK(moras[[#This Row],[EDAD]]), EDA!$E$8, moras[[#This Row],[EDAD]])</f>
        <v>51</v>
      </c>
      <c r="P1908" s="14" t="str">
        <f>IF(
    OR(ISBLANK(moras[[#This Row],[TIPO_ASEGURAMIENTO]]), moras[[#This Row],[TIPO_ASEGURAMIENTO]]=""),
    EDA!$A$32,
    moras[[#This Row],[TIPO_ASEGURAMIENTO]]
)</f>
        <v>ASALARIADO</v>
      </c>
    </row>
    <row r="1909" spans="1:16" x14ac:dyDescent="0.3">
      <c r="A1909">
        <v>1908</v>
      </c>
      <c r="B1909" t="s">
        <v>9</v>
      </c>
      <c r="C1909">
        <v>3740031</v>
      </c>
      <c r="D1909" t="s">
        <v>10</v>
      </c>
      <c r="E1909" t="s">
        <v>16</v>
      </c>
      <c r="F1909" t="s">
        <v>12</v>
      </c>
      <c r="G1909" t="s">
        <v>13</v>
      </c>
      <c r="H1909" t="s">
        <v>13</v>
      </c>
      <c r="I1909">
        <v>38</v>
      </c>
      <c r="J1909">
        <f>ABS((I1909-EDA!$A$15)/EDA!$B$15)</f>
        <v>0.28086100744983278</v>
      </c>
      <c r="K1909" t="str">
        <f t="shared" si="29"/>
        <v>No</v>
      </c>
      <c r="L1909">
        <f>ABS((C1909-EDA!$F$15)/EDA!$G$15)</f>
        <v>0.3134172162343174</v>
      </c>
      <c r="M1909" t="str">
        <f>IF(moras[[#This Row],[Z-Score Salario]]&gt;1.96, "Sí", "No")</f>
        <v>No</v>
      </c>
      <c r="N1909" s="14">
        <f>IF(ISBLANK(moras[[#This Row],[SALARIO]]), EDA!$M$8, moras[[#This Row],[SALARIO]])</f>
        <v>3740031</v>
      </c>
      <c r="O1909" s="14">
        <f xml:space="preserve"> IF(ISBLANK(moras[[#This Row],[EDAD]]), EDA!$E$8, moras[[#This Row],[EDAD]])</f>
        <v>38</v>
      </c>
      <c r="P1909" s="14" t="str">
        <f>IF(
    OR(ISBLANK(moras[[#This Row],[TIPO_ASEGURAMIENTO]]), moras[[#This Row],[TIPO_ASEGURAMIENTO]]=""),
    EDA!$A$32,
    moras[[#This Row],[TIPO_ASEGURAMIENTO]]
)</f>
        <v>ASALARIADO</v>
      </c>
    </row>
    <row r="1910" spans="1:16" x14ac:dyDescent="0.3">
      <c r="A1910">
        <v>1909</v>
      </c>
      <c r="B1910" t="s">
        <v>9</v>
      </c>
      <c r="C1910">
        <v>297046</v>
      </c>
      <c r="D1910" t="s">
        <v>17</v>
      </c>
      <c r="E1910" t="s">
        <v>16</v>
      </c>
      <c r="F1910" t="s">
        <v>12</v>
      </c>
      <c r="G1910" t="s">
        <v>13</v>
      </c>
      <c r="H1910" t="s">
        <v>13</v>
      </c>
      <c r="I1910">
        <v>67</v>
      </c>
      <c r="J1910">
        <f>ABS((I1910-EDA!$A$15)/EDA!$B$15)</f>
        <v>1.765823564787155</v>
      </c>
      <c r="K1910" t="str">
        <f t="shared" si="29"/>
        <v>No</v>
      </c>
      <c r="L1910">
        <f>ABS((C1910-EDA!$F$15)/EDA!$G$15)</f>
        <v>0.37071091707942361</v>
      </c>
      <c r="M1910" t="str">
        <f>IF(moras[[#This Row],[Z-Score Salario]]&gt;1.96, "Sí", "No")</f>
        <v>No</v>
      </c>
      <c r="N1910" s="14">
        <f>IF(ISBLANK(moras[[#This Row],[SALARIO]]), EDA!$M$8, moras[[#This Row],[SALARIO]])</f>
        <v>297046</v>
      </c>
      <c r="O1910" s="14">
        <f xml:space="preserve"> IF(ISBLANK(moras[[#This Row],[EDAD]]), EDA!$E$8, moras[[#This Row],[EDAD]])</f>
        <v>67</v>
      </c>
      <c r="P1910" s="14" t="str">
        <f>IF(
    OR(ISBLANK(moras[[#This Row],[TIPO_ASEGURAMIENTO]]), moras[[#This Row],[TIPO_ASEGURAMIENTO]]=""),
    EDA!$A$32,
    moras[[#This Row],[TIPO_ASEGURAMIENTO]]
)</f>
        <v>ASEGURADO VOLUNTARIO</v>
      </c>
    </row>
    <row r="1911" spans="1:16" x14ac:dyDescent="0.3">
      <c r="A1911">
        <v>1910</v>
      </c>
      <c r="B1911" t="s">
        <v>15</v>
      </c>
      <c r="C1911">
        <v>1150000</v>
      </c>
      <c r="D1911" t="s">
        <v>10</v>
      </c>
      <c r="E1911" t="s">
        <v>16</v>
      </c>
      <c r="F1911" t="s">
        <v>12</v>
      </c>
      <c r="G1911" t="s">
        <v>13</v>
      </c>
      <c r="H1911" t="s">
        <v>13</v>
      </c>
      <c r="I1911">
        <v>32</v>
      </c>
      <c r="J1911">
        <f>ABS((I1911-EDA!$A$15)/EDA!$B$15)</f>
        <v>0.70431298791265773</v>
      </c>
      <c r="K1911" t="str">
        <f t="shared" si="29"/>
        <v>No</v>
      </c>
      <c r="L1911">
        <f>ABS((C1911-EDA!$F$15)/EDA!$G$15)</f>
        <v>0.35651716040879133</v>
      </c>
      <c r="M1911" t="str">
        <f>IF(moras[[#This Row],[Z-Score Salario]]&gt;1.96, "Sí", "No")</f>
        <v>No</v>
      </c>
      <c r="N1911" s="14">
        <f>IF(ISBLANK(moras[[#This Row],[SALARIO]]), EDA!$M$8, moras[[#This Row],[SALARIO]])</f>
        <v>1150000</v>
      </c>
      <c r="O1911" s="14">
        <f xml:space="preserve"> IF(ISBLANK(moras[[#This Row],[EDAD]]), EDA!$E$8, moras[[#This Row],[EDAD]])</f>
        <v>32</v>
      </c>
      <c r="P1911" s="14" t="str">
        <f>IF(
    OR(ISBLANK(moras[[#This Row],[TIPO_ASEGURAMIENTO]]), moras[[#This Row],[TIPO_ASEGURAMIENTO]]=""),
    EDA!$A$32,
    moras[[#This Row],[TIPO_ASEGURAMIENTO]]
)</f>
        <v>ASALARIADO</v>
      </c>
    </row>
    <row r="1912" spans="1:16" x14ac:dyDescent="0.3">
      <c r="A1912">
        <v>1911</v>
      </c>
      <c r="B1912" t="s">
        <v>9</v>
      </c>
      <c r="C1912">
        <v>5183333</v>
      </c>
      <c r="D1912" t="s">
        <v>10</v>
      </c>
      <c r="E1912" t="s">
        <v>16</v>
      </c>
      <c r="F1912" t="s">
        <v>12</v>
      </c>
      <c r="G1912" t="s">
        <v>13</v>
      </c>
      <c r="H1912" t="s">
        <v>13</v>
      </c>
      <c r="I1912">
        <v>37</v>
      </c>
      <c r="J1912">
        <f>ABS((I1912-EDA!$A$15)/EDA!$B$15)</f>
        <v>0.35143633752697023</v>
      </c>
      <c r="K1912" t="str">
        <f t="shared" si="29"/>
        <v>No</v>
      </c>
      <c r="L1912">
        <f>ABS((C1912-EDA!$F$15)/EDA!$G$15)</f>
        <v>0.28939965210983137</v>
      </c>
      <c r="M1912" t="str">
        <f>IF(moras[[#This Row],[Z-Score Salario]]&gt;1.96, "Sí", "No")</f>
        <v>No</v>
      </c>
      <c r="N1912" s="14">
        <f>IF(ISBLANK(moras[[#This Row],[SALARIO]]), EDA!$M$8, moras[[#This Row],[SALARIO]])</f>
        <v>5183333</v>
      </c>
      <c r="O1912" s="14">
        <f xml:space="preserve"> IF(ISBLANK(moras[[#This Row],[EDAD]]), EDA!$E$8, moras[[#This Row],[EDAD]])</f>
        <v>37</v>
      </c>
      <c r="P1912" s="14" t="str">
        <f>IF(
    OR(ISBLANK(moras[[#This Row],[TIPO_ASEGURAMIENTO]]), moras[[#This Row],[TIPO_ASEGURAMIENTO]]=""),
    EDA!$A$32,
    moras[[#This Row],[TIPO_ASEGURAMIENTO]]
)</f>
        <v>ASALARIADO</v>
      </c>
    </row>
    <row r="1913" spans="1:16" x14ac:dyDescent="0.3">
      <c r="A1913">
        <v>1912</v>
      </c>
      <c r="B1913" t="s">
        <v>9</v>
      </c>
      <c r="C1913">
        <v>22502495</v>
      </c>
      <c r="D1913" t="s">
        <v>10</v>
      </c>
      <c r="E1913" t="s">
        <v>16</v>
      </c>
      <c r="F1913" t="s">
        <v>12</v>
      </c>
      <c r="G1913" t="s">
        <v>13</v>
      </c>
      <c r="H1913" t="s">
        <v>13</v>
      </c>
      <c r="I1913">
        <v>19</v>
      </c>
      <c r="J1913">
        <f>ABS((I1913-EDA!$A$15)/EDA!$B$15)</f>
        <v>1.6217922789154453</v>
      </c>
      <c r="K1913" t="str">
        <f t="shared" si="29"/>
        <v>No</v>
      </c>
      <c r="L1913">
        <f>ABS((C1913-EDA!$F$15)/EDA!$G$15)</f>
        <v>1.1965706221306876E-3</v>
      </c>
      <c r="M1913" t="str">
        <f>IF(moras[[#This Row],[Z-Score Salario]]&gt;1.96, "Sí", "No")</f>
        <v>No</v>
      </c>
      <c r="N1913" s="14">
        <f>IF(ISBLANK(moras[[#This Row],[SALARIO]]), EDA!$M$8, moras[[#This Row],[SALARIO]])</f>
        <v>22502495</v>
      </c>
      <c r="O1913" s="14">
        <f xml:space="preserve"> IF(ISBLANK(moras[[#This Row],[EDAD]]), EDA!$E$8, moras[[#This Row],[EDAD]])</f>
        <v>19</v>
      </c>
      <c r="P1913" s="14" t="str">
        <f>IF(
    OR(ISBLANK(moras[[#This Row],[TIPO_ASEGURAMIENTO]]), moras[[#This Row],[TIPO_ASEGURAMIENTO]]=""),
    EDA!$A$32,
    moras[[#This Row],[TIPO_ASEGURAMIENTO]]
)</f>
        <v>ASALARIADO</v>
      </c>
    </row>
    <row r="1914" spans="1:16" x14ac:dyDescent="0.3">
      <c r="A1914">
        <v>1913</v>
      </c>
      <c r="B1914" t="s">
        <v>9</v>
      </c>
      <c r="C1914">
        <v>704330</v>
      </c>
      <c r="D1914" t="s">
        <v>10</v>
      </c>
      <c r="E1914" t="s">
        <v>11</v>
      </c>
      <c r="F1914" t="s">
        <v>12</v>
      </c>
      <c r="G1914" t="s">
        <v>13</v>
      </c>
      <c r="H1914" t="s">
        <v>13</v>
      </c>
      <c r="I1914">
        <v>32</v>
      </c>
      <c r="J1914">
        <f>ABS((I1914-EDA!$A$15)/EDA!$B$15)</f>
        <v>0.70431298791265773</v>
      </c>
      <c r="K1914" t="str">
        <f t="shared" si="29"/>
        <v>No</v>
      </c>
      <c r="L1914">
        <f>ABS((C1914-EDA!$F$15)/EDA!$G$15)</f>
        <v>0.36393342381268029</v>
      </c>
      <c r="M1914" t="str">
        <f>IF(moras[[#This Row],[Z-Score Salario]]&gt;1.96, "Sí", "No")</f>
        <v>No</v>
      </c>
      <c r="N1914" s="14">
        <f>IF(ISBLANK(moras[[#This Row],[SALARIO]]), EDA!$M$8, moras[[#This Row],[SALARIO]])</f>
        <v>704330</v>
      </c>
      <c r="O1914" s="14">
        <f xml:space="preserve"> IF(ISBLANK(moras[[#This Row],[EDAD]]), EDA!$E$8, moras[[#This Row],[EDAD]])</f>
        <v>32</v>
      </c>
      <c r="P1914" s="14" t="str">
        <f>IF(
    OR(ISBLANK(moras[[#This Row],[TIPO_ASEGURAMIENTO]]), moras[[#This Row],[TIPO_ASEGURAMIENTO]]=""),
    EDA!$A$32,
    moras[[#This Row],[TIPO_ASEGURAMIENTO]]
)</f>
        <v>ASALARIADO</v>
      </c>
    </row>
    <row r="1915" spans="1:16" x14ac:dyDescent="0.3">
      <c r="A1915">
        <v>1914</v>
      </c>
      <c r="B1915" t="s">
        <v>15</v>
      </c>
      <c r="C1915">
        <v>277520</v>
      </c>
      <c r="D1915" t="s">
        <v>10</v>
      </c>
      <c r="E1915" t="s">
        <v>16</v>
      </c>
      <c r="F1915" t="s">
        <v>12</v>
      </c>
      <c r="G1915" t="s">
        <v>12</v>
      </c>
      <c r="H1915" t="s">
        <v>13</v>
      </c>
      <c r="I1915">
        <v>46</v>
      </c>
      <c r="J1915">
        <f>ABS((I1915-EDA!$A$15)/EDA!$B$15)</f>
        <v>0.2837416331672673</v>
      </c>
      <c r="K1915" t="str">
        <f t="shared" si="29"/>
        <v>No</v>
      </c>
      <c r="L1915">
        <f>ABS((C1915-EDA!$F$15)/EDA!$G$15)</f>
        <v>0.37103584350306512</v>
      </c>
      <c r="M1915" t="str">
        <f>IF(moras[[#This Row],[Z-Score Salario]]&gt;1.96, "Sí", "No")</f>
        <v>No</v>
      </c>
      <c r="N1915" s="14">
        <f>IF(ISBLANK(moras[[#This Row],[SALARIO]]), EDA!$M$8, moras[[#This Row],[SALARIO]])</f>
        <v>277520</v>
      </c>
      <c r="O1915" s="14">
        <f xml:space="preserve"> IF(ISBLANK(moras[[#This Row],[EDAD]]), EDA!$E$8, moras[[#This Row],[EDAD]])</f>
        <v>46</v>
      </c>
      <c r="P1915" s="14" t="str">
        <f>IF(
    OR(ISBLANK(moras[[#This Row],[TIPO_ASEGURAMIENTO]]), moras[[#This Row],[TIPO_ASEGURAMIENTO]]=""),
    EDA!$A$32,
    moras[[#This Row],[TIPO_ASEGURAMIENTO]]
)</f>
        <v>ASALARIADO</v>
      </c>
    </row>
    <row r="1916" spans="1:16" x14ac:dyDescent="0.3">
      <c r="A1916">
        <v>1915</v>
      </c>
      <c r="B1916" t="s">
        <v>15</v>
      </c>
      <c r="C1916">
        <v>1610392</v>
      </c>
      <c r="D1916" t="s">
        <v>10</v>
      </c>
      <c r="E1916" t="s">
        <v>11</v>
      </c>
      <c r="F1916" t="s">
        <v>12</v>
      </c>
      <c r="G1916" t="s">
        <v>13</v>
      </c>
      <c r="H1916" t="s">
        <v>13</v>
      </c>
      <c r="I1916">
        <v>46</v>
      </c>
      <c r="J1916">
        <f>ABS((I1916-EDA!$A$15)/EDA!$B$15)</f>
        <v>0.2837416331672673</v>
      </c>
      <c r="K1916" t="str">
        <f t="shared" si="29"/>
        <v>No</v>
      </c>
      <c r="L1916">
        <f>ABS((C1916-EDA!$F$15)/EDA!$G$15)</f>
        <v>0.34885591253246306</v>
      </c>
      <c r="M1916" t="str">
        <f>IF(moras[[#This Row],[Z-Score Salario]]&gt;1.96, "Sí", "No")</f>
        <v>No</v>
      </c>
      <c r="N1916" s="14">
        <f>IF(ISBLANK(moras[[#This Row],[SALARIO]]), EDA!$M$8, moras[[#This Row],[SALARIO]])</f>
        <v>1610392</v>
      </c>
      <c r="O1916" s="14">
        <f xml:space="preserve"> IF(ISBLANK(moras[[#This Row],[EDAD]]), EDA!$E$8, moras[[#This Row],[EDAD]])</f>
        <v>46</v>
      </c>
      <c r="P1916" s="14" t="str">
        <f>IF(
    OR(ISBLANK(moras[[#This Row],[TIPO_ASEGURAMIENTO]]), moras[[#This Row],[TIPO_ASEGURAMIENTO]]=""),
    EDA!$A$32,
    moras[[#This Row],[TIPO_ASEGURAMIENTO]]
)</f>
        <v>ASALARIADO</v>
      </c>
    </row>
    <row r="1917" spans="1:16" x14ac:dyDescent="0.3">
      <c r="A1917">
        <v>1916</v>
      </c>
      <c r="B1917" t="s">
        <v>15</v>
      </c>
      <c r="C1917">
        <v>280000</v>
      </c>
      <c r="D1917" t="s">
        <v>10</v>
      </c>
      <c r="E1917" t="s">
        <v>16</v>
      </c>
      <c r="F1917" t="s">
        <v>12</v>
      </c>
      <c r="G1917" t="s">
        <v>13</v>
      </c>
      <c r="H1917" t="s">
        <v>13</v>
      </c>
      <c r="I1917">
        <v>38</v>
      </c>
      <c r="J1917">
        <f>ABS((I1917-EDA!$A$15)/EDA!$B$15)</f>
        <v>0.28086100744983278</v>
      </c>
      <c r="K1917" t="str">
        <f t="shared" si="29"/>
        <v>No</v>
      </c>
      <c r="L1917">
        <f>ABS((C1917-EDA!$F$15)/EDA!$G$15)</f>
        <v>0.37099457455240292</v>
      </c>
      <c r="M1917" t="str">
        <f>IF(moras[[#This Row],[Z-Score Salario]]&gt;1.96, "Sí", "No")</f>
        <v>No</v>
      </c>
      <c r="N1917" s="14">
        <f>IF(ISBLANK(moras[[#This Row],[SALARIO]]), EDA!$M$8, moras[[#This Row],[SALARIO]])</f>
        <v>280000</v>
      </c>
      <c r="O1917" s="14">
        <f xml:space="preserve"> IF(ISBLANK(moras[[#This Row],[EDAD]]), EDA!$E$8, moras[[#This Row],[EDAD]])</f>
        <v>38</v>
      </c>
      <c r="P1917" s="14" t="str">
        <f>IF(
    OR(ISBLANK(moras[[#This Row],[TIPO_ASEGURAMIENTO]]), moras[[#This Row],[TIPO_ASEGURAMIENTO]]=""),
    EDA!$A$32,
    moras[[#This Row],[TIPO_ASEGURAMIENTO]]
)</f>
        <v>ASALARIADO</v>
      </c>
    </row>
    <row r="1918" spans="1:16" x14ac:dyDescent="0.3">
      <c r="A1918">
        <v>1917</v>
      </c>
      <c r="B1918" t="s">
        <v>9</v>
      </c>
      <c r="C1918">
        <v>322500</v>
      </c>
      <c r="D1918" t="s">
        <v>10</v>
      </c>
      <c r="E1918" t="s">
        <v>16</v>
      </c>
      <c r="F1918" t="s">
        <v>12</v>
      </c>
      <c r="G1918" t="s">
        <v>13</v>
      </c>
      <c r="H1918" t="s">
        <v>12</v>
      </c>
      <c r="I1918">
        <v>46</v>
      </c>
      <c r="J1918">
        <f>ABS((I1918-EDA!$A$15)/EDA!$B$15)</f>
        <v>0.2837416331672673</v>
      </c>
      <c r="K1918" t="str">
        <f t="shared" si="29"/>
        <v>No</v>
      </c>
      <c r="L1918">
        <f>ABS((C1918-EDA!$F$15)/EDA!$G$15)</f>
        <v>0.37028734455113449</v>
      </c>
      <c r="M1918" t="str">
        <f>IF(moras[[#This Row],[Z-Score Salario]]&gt;1.96, "Sí", "No")</f>
        <v>No</v>
      </c>
      <c r="N1918" s="14">
        <f>IF(ISBLANK(moras[[#This Row],[SALARIO]]), EDA!$M$8, moras[[#This Row],[SALARIO]])</f>
        <v>322500</v>
      </c>
      <c r="O1918" s="14">
        <f xml:space="preserve"> IF(ISBLANK(moras[[#This Row],[EDAD]]), EDA!$E$8, moras[[#This Row],[EDAD]])</f>
        <v>46</v>
      </c>
      <c r="P1918" s="14" t="str">
        <f>IF(
    OR(ISBLANK(moras[[#This Row],[TIPO_ASEGURAMIENTO]]), moras[[#This Row],[TIPO_ASEGURAMIENTO]]=""),
    EDA!$A$32,
    moras[[#This Row],[TIPO_ASEGURAMIENTO]]
)</f>
        <v>ASALARIADO</v>
      </c>
    </row>
    <row r="1919" spans="1:16" x14ac:dyDescent="0.3">
      <c r="A1919">
        <v>1918</v>
      </c>
      <c r="B1919" t="s">
        <v>9</v>
      </c>
      <c r="C1919">
        <v>35993118</v>
      </c>
      <c r="D1919" t="s">
        <v>10</v>
      </c>
      <c r="E1919" t="s">
        <v>11</v>
      </c>
      <c r="F1919" t="s">
        <v>12</v>
      </c>
      <c r="G1919" t="s">
        <v>13</v>
      </c>
      <c r="H1919" t="s">
        <v>13</v>
      </c>
      <c r="I1919">
        <v>60</v>
      </c>
      <c r="J1919">
        <f>ABS((I1919-EDA!$A$15)/EDA!$B$15)</f>
        <v>1.2717962542471923</v>
      </c>
      <c r="K1919" t="str">
        <f t="shared" si="29"/>
        <v>No</v>
      </c>
      <c r="L1919">
        <f>ABS((C1919-EDA!$F$15)/EDA!$G$15)</f>
        <v>0.22329691929319254</v>
      </c>
      <c r="M1919" t="str">
        <f>IF(moras[[#This Row],[Z-Score Salario]]&gt;1.96, "Sí", "No")</f>
        <v>No</v>
      </c>
      <c r="N1919" s="14">
        <f>IF(ISBLANK(moras[[#This Row],[SALARIO]]), EDA!$M$8, moras[[#This Row],[SALARIO]])</f>
        <v>35993118</v>
      </c>
      <c r="O1919" s="14">
        <f xml:space="preserve"> IF(ISBLANK(moras[[#This Row],[EDAD]]), EDA!$E$8, moras[[#This Row],[EDAD]])</f>
        <v>60</v>
      </c>
      <c r="P1919" s="14" t="str">
        <f>IF(
    OR(ISBLANK(moras[[#This Row],[TIPO_ASEGURAMIENTO]]), moras[[#This Row],[TIPO_ASEGURAMIENTO]]=""),
    EDA!$A$32,
    moras[[#This Row],[TIPO_ASEGURAMIENTO]]
)</f>
        <v>ASALARIADO</v>
      </c>
    </row>
    <row r="1920" spans="1:16" x14ac:dyDescent="0.3">
      <c r="A1920">
        <v>1919</v>
      </c>
      <c r="B1920" t="s">
        <v>15</v>
      </c>
      <c r="C1920">
        <v>5125579</v>
      </c>
      <c r="D1920" t="s">
        <v>10</v>
      </c>
      <c r="E1920" t="s">
        <v>16</v>
      </c>
      <c r="F1920" t="s">
        <v>12</v>
      </c>
      <c r="G1920" t="s">
        <v>13</v>
      </c>
      <c r="H1920" t="s">
        <v>13</v>
      </c>
      <c r="I1920">
        <v>35</v>
      </c>
      <c r="J1920">
        <f>ABS((I1920-EDA!$A$15)/EDA!$B$15)</f>
        <v>0.49258699768124525</v>
      </c>
      <c r="K1920" t="str">
        <f t="shared" si="29"/>
        <v>No</v>
      </c>
      <c r="L1920">
        <f>ABS((C1920-EDA!$F$15)/EDA!$G$15)</f>
        <v>0.29036071943908442</v>
      </c>
      <c r="M1920" t="str">
        <f>IF(moras[[#This Row],[Z-Score Salario]]&gt;1.96, "Sí", "No")</f>
        <v>No</v>
      </c>
      <c r="N1920" s="14">
        <f>IF(ISBLANK(moras[[#This Row],[SALARIO]]), EDA!$M$8, moras[[#This Row],[SALARIO]])</f>
        <v>5125579</v>
      </c>
      <c r="O1920" s="14">
        <f xml:space="preserve"> IF(ISBLANK(moras[[#This Row],[EDAD]]), EDA!$E$8, moras[[#This Row],[EDAD]])</f>
        <v>35</v>
      </c>
      <c r="P1920" s="14" t="str">
        <f>IF(
    OR(ISBLANK(moras[[#This Row],[TIPO_ASEGURAMIENTO]]), moras[[#This Row],[TIPO_ASEGURAMIENTO]]=""),
    EDA!$A$32,
    moras[[#This Row],[TIPO_ASEGURAMIENTO]]
)</f>
        <v>ASALARIADO</v>
      </c>
    </row>
    <row r="1921" spans="1:16" x14ac:dyDescent="0.3">
      <c r="A1921">
        <v>1920</v>
      </c>
      <c r="B1921" t="s">
        <v>15</v>
      </c>
      <c r="C1921">
        <v>500000</v>
      </c>
      <c r="D1921" t="s">
        <v>10</v>
      </c>
      <c r="E1921" t="s">
        <v>16</v>
      </c>
      <c r="F1921" t="s">
        <v>12</v>
      </c>
      <c r="G1921" t="s">
        <v>13</v>
      </c>
      <c r="H1921" t="s">
        <v>13</v>
      </c>
      <c r="I1921">
        <v>57</v>
      </c>
      <c r="J1921">
        <f>ABS((I1921-EDA!$A$15)/EDA!$B$15)</f>
        <v>1.0600702640157798</v>
      </c>
      <c r="K1921" t="str">
        <f t="shared" si="29"/>
        <v>No</v>
      </c>
      <c r="L1921">
        <f>ABS((C1921-EDA!$F$15)/EDA!$G$15)</f>
        <v>0.36733361925171953</v>
      </c>
      <c r="M1921" t="str">
        <f>IF(moras[[#This Row],[Z-Score Salario]]&gt;1.96, "Sí", "No")</f>
        <v>No</v>
      </c>
      <c r="N1921" s="14">
        <f>IF(ISBLANK(moras[[#This Row],[SALARIO]]), EDA!$M$8, moras[[#This Row],[SALARIO]])</f>
        <v>500000</v>
      </c>
      <c r="O1921" s="14">
        <f xml:space="preserve"> IF(ISBLANK(moras[[#This Row],[EDAD]]), EDA!$E$8, moras[[#This Row],[EDAD]])</f>
        <v>57</v>
      </c>
      <c r="P1921" s="14" t="str">
        <f>IF(
    OR(ISBLANK(moras[[#This Row],[TIPO_ASEGURAMIENTO]]), moras[[#This Row],[TIPO_ASEGURAMIENTO]]=""),
    EDA!$A$32,
    moras[[#This Row],[TIPO_ASEGURAMIENTO]]
)</f>
        <v>ASALARIADO</v>
      </c>
    </row>
    <row r="1922" spans="1:16" x14ac:dyDescent="0.3">
      <c r="A1922">
        <v>1921</v>
      </c>
      <c r="B1922" t="s">
        <v>9</v>
      </c>
      <c r="C1922">
        <v>1744445</v>
      </c>
      <c r="D1922" t="s">
        <v>10</v>
      </c>
      <c r="E1922" t="s">
        <v>11</v>
      </c>
      <c r="F1922" t="s">
        <v>12</v>
      </c>
      <c r="G1922" t="s">
        <v>13</v>
      </c>
      <c r="H1922" t="s">
        <v>13</v>
      </c>
      <c r="I1922">
        <v>40</v>
      </c>
      <c r="J1922">
        <f>ABS((I1922-EDA!$A$15)/EDA!$B$15)</f>
        <v>0.13971034729555773</v>
      </c>
      <c r="K1922" t="str">
        <f t="shared" ref="K1922:K1985" si="30">IF(J1922 &gt;  1.96, "Sí","No")</f>
        <v>No</v>
      </c>
      <c r="L1922">
        <f>ABS((C1922-EDA!$F$15)/EDA!$G$15)</f>
        <v>0.34662517598281528</v>
      </c>
      <c r="M1922" t="str">
        <f>IF(moras[[#This Row],[Z-Score Salario]]&gt;1.96, "Sí", "No")</f>
        <v>No</v>
      </c>
      <c r="N1922" s="14">
        <f>IF(ISBLANK(moras[[#This Row],[SALARIO]]), EDA!$M$8, moras[[#This Row],[SALARIO]])</f>
        <v>1744445</v>
      </c>
      <c r="O1922" s="14">
        <f xml:space="preserve"> IF(ISBLANK(moras[[#This Row],[EDAD]]), EDA!$E$8, moras[[#This Row],[EDAD]])</f>
        <v>40</v>
      </c>
      <c r="P1922" s="14" t="str">
        <f>IF(
    OR(ISBLANK(moras[[#This Row],[TIPO_ASEGURAMIENTO]]), moras[[#This Row],[TIPO_ASEGURAMIENTO]]=""),
    EDA!$A$32,
    moras[[#This Row],[TIPO_ASEGURAMIENTO]]
)</f>
        <v>ASALARIADO</v>
      </c>
    </row>
    <row r="1923" spans="1:16" x14ac:dyDescent="0.3">
      <c r="A1923">
        <v>1922</v>
      </c>
      <c r="B1923" t="s">
        <v>15</v>
      </c>
      <c r="C1923">
        <v>35757642</v>
      </c>
      <c r="D1923" t="s">
        <v>10</v>
      </c>
      <c r="E1923" t="s">
        <v>16</v>
      </c>
      <c r="F1923" t="s">
        <v>12</v>
      </c>
      <c r="G1923" t="s">
        <v>13</v>
      </c>
      <c r="H1923" t="s">
        <v>13</v>
      </c>
      <c r="I1923">
        <v>35</v>
      </c>
      <c r="J1923">
        <f>ABS((I1923-EDA!$A$15)/EDA!$B$15)</f>
        <v>0.49258699768124525</v>
      </c>
      <c r="K1923" t="str">
        <f t="shared" si="30"/>
        <v>No</v>
      </c>
      <c r="L1923">
        <f>ABS((C1923-EDA!$F$15)/EDA!$G$15)</f>
        <v>0.21937843242781199</v>
      </c>
      <c r="M1923" t="str">
        <f>IF(moras[[#This Row],[Z-Score Salario]]&gt;1.96, "Sí", "No")</f>
        <v>No</v>
      </c>
      <c r="N1923" s="14">
        <f>IF(ISBLANK(moras[[#This Row],[SALARIO]]), EDA!$M$8, moras[[#This Row],[SALARIO]])</f>
        <v>35757642</v>
      </c>
      <c r="O1923" s="14">
        <f xml:space="preserve"> IF(ISBLANK(moras[[#This Row],[EDAD]]), EDA!$E$8, moras[[#This Row],[EDAD]])</f>
        <v>35</v>
      </c>
      <c r="P1923" s="14" t="str">
        <f>IF(
    OR(ISBLANK(moras[[#This Row],[TIPO_ASEGURAMIENTO]]), moras[[#This Row],[TIPO_ASEGURAMIENTO]]=""),
    EDA!$A$32,
    moras[[#This Row],[TIPO_ASEGURAMIENTO]]
)</f>
        <v>ASALARIADO</v>
      </c>
    </row>
    <row r="1924" spans="1:16" x14ac:dyDescent="0.3">
      <c r="A1924">
        <v>1923</v>
      </c>
      <c r="B1924" t="s">
        <v>9</v>
      </c>
      <c r="C1924">
        <v>2724750</v>
      </c>
      <c r="D1924" t="s">
        <v>10</v>
      </c>
      <c r="E1924" t="s">
        <v>16</v>
      </c>
      <c r="F1924" t="s">
        <v>12</v>
      </c>
      <c r="G1924" t="s">
        <v>13</v>
      </c>
      <c r="H1924" t="s">
        <v>13</v>
      </c>
      <c r="I1924">
        <v>25</v>
      </c>
      <c r="J1924">
        <f>ABS((I1924-EDA!$A$15)/EDA!$B$15)</f>
        <v>1.1983402984526204</v>
      </c>
      <c r="K1924" t="str">
        <f t="shared" si="30"/>
        <v>No</v>
      </c>
      <c r="L1924">
        <f>ABS((C1924-EDA!$F$15)/EDA!$G$15)</f>
        <v>0.33031220877355882</v>
      </c>
      <c r="M1924" t="str">
        <f>IF(moras[[#This Row],[Z-Score Salario]]&gt;1.96, "Sí", "No")</f>
        <v>No</v>
      </c>
      <c r="N1924" s="14">
        <f>IF(ISBLANK(moras[[#This Row],[SALARIO]]), EDA!$M$8, moras[[#This Row],[SALARIO]])</f>
        <v>2724750</v>
      </c>
      <c r="O1924" s="14">
        <f xml:space="preserve"> IF(ISBLANK(moras[[#This Row],[EDAD]]), EDA!$E$8, moras[[#This Row],[EDAD]])</f>
        <v>25</v>
      </c>
      <c r="P1924" s="14" t="str">
        <f>IF(
    OR(ISBLANK(moras[[#This Row],[TIPO_ASEGURAMIENTO]]), moras[[#This Row],[TIPO_ASEGURAMIENTO]]=""),
    EDA!$A$32,
    moras[[#This Row],[TIPO_ASEGURAMIENTO]]
)</f>
        <v>ASALARIADO</v>
      </c>
    </row>
    <row r="1925" spans="1:16" x14ac:dyDescent="0.3">
      <c r="A1925">
        <v>1924</v>
      </c>
      <c r="B1925" t="s">
        <v>9</v>
      </c>
      <c r="C1925">
        <v>655672</v>
      </c>
      <c r="D1925" t="s">
        <v>17</v>
      </c>
      <c r="E1925" t="s">
        <v>16</v>
      </c>
      <c r="F1925" t="s">
        <v>12</v>
      </c>
      <c r="G1925" t="s">
        <v>13</v>
      </c>
      <c r="H1925" t="s">
        <v>13</v>
      </c>
      <c r="I1925">
        <v>58</v>
      </c>
      <c r="J1925">
        <f>ABS((I1925-EDA!$A$15)/EDA!$B$15)</f>
        <v>1.1306455940929174</v>
      </c>
      <c r="K1925" t="str">
        <f t="shared" si="30"/>
        <v>No</v>
      </c>
      <c r="L1925">
        <f>ABS((C1925-EDA!$F$15)/EDA!$G$15)</f>
        <v>0.36474312728095598</v>
      </c>
      <c r="M1925" t="str">
        <f>IF(moras[[#This Row],[Z-Score Salario]]&gt;1.96, "Sí", "No")</f>
        <v>No</v>
      </c>
      <c r="N1925" s="14">
        <f>IF(ISBLANK(moras[[#This Row],[SALARIO]]), EDA!$M$8, moras[[#This Row],[SALARIO]])</f>
        <v>655672</v>
      </c>
      <c r="O1925" s="14">
        <f xml:space="preserve"> IF(ISBLANK(moras[[#This Row],[EDAD]]), EDA!$E$8, moras[[#This Row],[EDAD]])</f>
        <v>58</v>
      </c>
      <c r="P1925" s="14" t="str">
        <f>IF(
    OR(ISBLANK(moras[[#This Row],[TIPO_ASEGURAMIENTO]]), moras[[#This Row],[TIPO_ASEGURAMIENTO]]=""),
    EDA!$A$32,
    moras[[#This Row],[TIPO_ASEGURAMIENTO]]
)</f>
        <v>ASEGURADO VOLUNTARIO</v>
      </c>
    </row>
    <row r="1926" spans="1:16" x14ac:dyDescent="0.3">
      <c r="A1926">
        <v>1925</v>
      </c>
      <c r="B1926" t="s">
        <v>9</v>
      </c>
      <c r="C1926">
        <v>1257384</v>
      </c>
      <c r="D1926" t="s">
        <v>14</v>
      </c>
      <c r="E1926" t="s">
        <v>11</v>
      </c>
      <c r="F1926" t="s">
        <v>12</v>
      </c>
      <c r="G1926" t="s">
        <v>13</v>
      </c>
      <c r="H1926" t="s">
        <v>13</v>
      </c>
      <c r="I1926">
        <v>68</v>
      </c>
      <c r="J1926">
        <f>ABS((I1926-EDA!$A$15)/EDA!$B$15)</f>
        <v>1.8363988948642924</v>
      </c>
      <c r="K1926" t="str">
        <f t="shared" si="30"/>
        <v>No</v>
      </c>
      <c r="L1926">
        <f>ABS((C1926-EDA!$F$15)/EDA!$G$15)</f>
        <v>0.35473021484511597</v>
      </c>
      <c r="M1926" t="str">
        <f>IF(moras[[#This Row],[Z-Score Salario]]&gt;1.96, "Sí", "No")</f>
        <v>No</v>
      </c>
      <c r="N1926" s="14">
        <f>IF(ISBLANK(moras[[#This Row],[SALARIO]]), EDA!$M$8, moras[[#This Row],[SALARIO]])</f>
        <v>1257384</v>
      </c>
      <c r="O1926" s="14">
        <f xml:space="preserve"> IF(ISBLANK(moras[[#This Row],[EDAD]]), EDA!$E$8, moras[[#This Row],[EDAD]])</f>
        <v>68</v>
      </c>
      <c r="P1926" s="14" t="str">
        <f>IF(
    OR(ISBLANK(moras[[#This Row],[TIPO_ASEGURAMIENTO]]), moras[[#This Row],[TIPO_ASEGURAMIENTO]]=""),
    EDA!$A$32,
    moras[[#This Row],[TIPO_ASEGURAMIENTO]]
)</f>
        <v>PENSIONADOS EN SU PROPIO SISTEMA</v>
      </c>
    </row>
    <row r="1927" spans="1:16" x14ac:dyDescent="0.3">
      <c r="A1927">
        <v>1926</v>
      </c>
      <c r="B1927" t="s">
        <v>9</v>
      </c>
      <c r="C1927">
        <v>38546082</v>
      </c>
      <c r="D1927" t="s">
        <v>10</v>
      </c>
      <c r="E1927" t="s">
        <v>16</v>
      </c>
      <c r="F1927" t="s">
        <v>12</v>
      </c>
      <c r="G1927" t="s">
        <v>13</v>
      </c>
      <c r="H1927" t="s">
        <v>13</v>
      </c>
      <c r="I1927">
        <v>20</v>
      </c>
      <c r="J1927">
        <f>ABS((I1927-EDA!$A$15)/EDA!$B$15)</f>
        <v>1.5512169488383079</v>
      </c>
      <c r="K1927" t="str">
        <f t="shared" si="30"/>
        <v>No</v>
      </c>
      <c r="L1927">
        <f>ABS((C1927-EDA!$F$15)/EDA!$G$15)</f>
        <v>0.26578004242161907</v>
      </c>
      <c r="M1927" t="str">
        <f>IF(moras[[#This Row],[Z-Score Salario]]&gt;1.96, "Sí", "No")</f>
        <v>No</v>
      </c>
      <c r="N1927" s="14">
        <f>IF(ISBLANK(moras[[#This Row],[SALARIO]]), EDA!$M$8, moras[[#This Row],[SALARIO]])</f>
        <v>38546082</v>
      </c>
      <c r="O1927" s="14">
        <f xml:space="preserve"> IF(ISBLANK(moras[[#This Row],[EDAD]]), EDA!$E$8, moras[[#This Row],[EDAD]])</f>
        <v>20</v>
      </c>
      <c r="P1927" s="14" t="str">
        <f>IF(
    OR(ISBLANK(moras[[#This Row],[TIPO_ASEGURAMIENTO]]), moras[[#This Row],[TIPO_ASEGURAMIENTO]]=""),
    EDA!$A$32,
    moras[[#This Row],[TIPO_ASEGURAMIENTO]]
)</f>
        <v>ASALARIADO</v>
      </c>
    </row>
    <row r="1928" spans="1:16" x14ac:dyDescent="0.3">
      <c r="A1928">
        <v>1927</v>
      </c>
      <c r="B1928" t="s">
        <v>9</v>
      </c>
      <c r="C1928">
        <v>45446158</v>
      </c>
      <c r="D1928" t="s">
        <v>10</v>
      </c>
      <c r="E1928" t="s">
        <v>16</v>
      </c>
      <c r="F1928" t="s">
        <v>12</v>
      </c>
      <c r="G1928" t="s">
        <v>13</v>
      </c>
      <c r="H1928" t="s">
        <v>12</v>
      </c>
      <c r="I1928">
        <v>29</v>
      </c>
      <c r="J1928">
        <f>ABS((I1928-EDA!$A$15)/EDA!$B$15)</f>
        <v>0.91603897814407031</v>
      </c>
      <c r="K1928" t="str">
        <f t="shared" si="30"/>
        <v>No</v>
      </c>
      <c r="L1928">
        <f>ABS((C1928-EDA!$F$15)/EDA!$G$15)</f>
        <v>0.38060217790942891</v>
      </c>
      <c r="M1928" t="str">
        <f>IF(moras[[#This Row],[Z-Score Salario]]&gt;1.96, "Sí", "No")</f>
        <v>No</v>
      </c>
      <c r="N1928" s="14">
        <f>IF(ISBLANK(moras[[#This Row],[SALARIO]]), EDA!$M$8, moras[[#This Row],[SALARIO]])</f>
        <v>45446158</v>
      </c>
      <c r="O1928" s="14">
        <f xml:space="preserve"> IF(ISBLANK(moras[[#This Row],[EDAD]]), EDA!$E$8, moras[[#This Row],[EDAD]])</f>
        <v>29</v>
      </c>
      <c r="P1928" s="14" t="str">
        <f>IF(
    OR(ISBLANK(moras[[#This Row],[TIPO_ASEGURAMIENTO]]), moras[[#This Row],[TIPO_ASEGURAMIENTO]]=""),
    EDA!$A$32,
    moras[[#This Row],[TIPO_ASEGURAMIENTO]]
)</f>
        <v>ASALARIADO</v>
      </c>
    </row>
    <row r="1929" spans="1:16" x14ac:dyDescent="0.3">
      <c r="A1929">
        <v>1928</v>
      </c>
      <c r="B1929" t="s">
        <v>15</v>
      </c>
      <c r="C1929">
        <v>277402</v>
      </c>
      <c r="D1929" t="s">
        <v>10</v>
      </c>
      <c r="E1929" t="s">
        <v>16</v>
      </c>
      <c r="F1929" t="s">
        <v>12</v>
      </c>
      <c r="G1929" t="s">
        <v>13</v>
      </c>
      <c r="H1929" t="s">
        <v>13</v>
      </c>
      <c r="I1929">
        <v>41</v>
      </c>
      <c r="J1929">
        <f>ABS((I1929-EDA!$A$15)/EDA!$B$15)</f>
        <v>6.9135017218420233E-2</v>
      </c>
      <c r="K1929" t="str">
        <f t="shared" si="30"/>
        <v>No</v>
      </c>
      <c r="L1929">
        <f>ABS((C1929-EDA!$F$15)/EDA!$G$15)</f>
        <v>0.3710378071063628</v>
      </c>
      <c r="M1929" t="str">
        <f>IF(moras[[#This Row],[Z-Score Salario]]&gt;1.96, "Sí", "No")</f>
        <v>No</v>
      </c>
      <c r="N1929" s="14">
        <f>IF(ISBLANK(moras[[#This Row],[SALARIO]]), EDA!$M$8, moras[[#This Row],[SALARIO]])</f>
        <v>277402</v>
      </c>
      <c r="O1929" s="14">
        <f xml:space="preserve"> IF(ISBLANK(moras[[#This Row],[EDAD]]), EDA!$E$8, moras[[#This Row],[EDAD]])</f>
        <v>41</v>
      </c>
      <c r="P1929" s="14" t="str">
        <f>IF(
    OR(ISBLANK(moras[[#This Row],[TIPO_ASEGURAMIENTO]]), moras[[#This Row],[TIPO_ASEGURAMIENTO]]=""),
    EDA!$A$32,
    moras[[#This Row],[TIPO_ASEGURAMIENTO]]
)</f>
        <v>ASALARIADO</v>
      </c>
    </row>
    <row r="1930" spans="1:16" x14ac:dyDescent="0.3">
      <c r="A1930">
        <v>1929</v>
      </c>
      <c r="B1930" t="s">
        <v>9</v>
      </c>
      <c r="C1930">
        <v>297046</v>
      </c>
      <c r="D1930" t="s">
        <v>18</v>
      </c>
      <c r="E1930" t="s">
        <v>16</v>
      </c>
      <c r="F1930" t="s">
        <v>12</v>
      </c>
      <c r="G1930" t="s">
        <v>13</v>
      </c>
      <c r="H1930" t="s">
        <v>12</v>
      </c>
      <c r="I1930">
        <v>27</v>
      </c>
      <c r="J1930">
        <f>ABS((I1930-EDA!$A$15)/EDA!$B$15)</f>
        <v>1.0571896382983452</v>
      </c>
      <c r="K1930" t="str">
        <f t="shared" si="30"/>
        <v>No</v>
      </c>
      <c r="L1930">
        <f>ABS((C1930-EDA!$F$15)/EDA!$G$15)</f>
        <v>0.37071091707942361</v>
      </c>
      <c r="M1930" t="str">
        <f>IF(moras[[#This Row],[Z-Score Salario]]&gt;1.96, "Sí", "No")</f>
        <v>No</v>
      </c>
      <c r="N1930" s="14">
        <f>IF(ISBLANK(moras[[#This Row],[SALARIO]]), EDA!$M$8, moras[[#This Row],[SALARIO]])</f>
        <v>297046</v>
      </c>
      <c r="O1930" s="14">
        <f xml:space="preserve"> IF(ISBLANK(moras[[#This Row],[EDAD]]), EDA!$E$8, moras[[#This Row],[EDAD]])</f>
        <v>27</v>
      </c>
      <c r="P1930" s="14" t="str">
        <f>IF(
    OR(ISBLANK(moras[[#This Row],[TIPO_ASEGURAMIENTO]]), moras[[#This Row],[TIPO_ASEGURAMIENTO]]=""),
    EDA!$A$32,
    moras[[#This Row],[TIPO_ASEGURAMIENTO]]
)</f>
        <v>TRABAJADOR INDEPENDIENTE</v>
      </c>
    </row>
    <row r="1931" spans="1:16" x14ac:dyDescent="0.3">
      <c r="A1931">
        <v>1930</v>
      </c>
      <c r="B1931" t="s">
        <v>9</v>
      </c>
      <c r="C1931">
        <v>154126351</v>
      </c>
      <c r="D1931" t="s">
        <v>10</v>
      </c>
      <c r="E1931" t="s">
        <v>16</v>
      </c>
      <c r="F1931" t="s">
        <v>12</v>
      </c>
      <c r="G1931" t="s">
        <v>13</v>
      </c>
      <c r="H1931" t="s">
        <v>13</v>
      </c>
      <c r="I1931">
        <v>46</v>
      </c>
      <c r="J1931">
        <f>ABS((I1931-EDA!$A$15)/EDA!$B$15)</f>
        <v>0.2837416331672673</v>
      </c>
      <c r="K1931" t="str">
        <f t="shared" si="30"/>
        <v>No</v>
      </c>
      <c r="L1931">
        <f>ABS((C1931-EDA!$F$15)/EDA!$G$15)</f>
        <v>2.1891173081032589</v>
      </c>
      <c r="M1931" t="str">
        <f>IF(moras[[#This Row],[Z-Score Salario]]&gt;1.96, "Sí", "No")</f>
        <v>Sí</v>
      </c>
      <c r="N1931" s="14">
        <f>IF(ISBLANK(moras[[#This Row],[SALARIO]]), EDA!$M$8, moras[[#This Row],[SALARIO]])</f>
        <v>154126351</v>
      </c>
      <c r="O1931" s="14">
        <f xml:space="preserve"> IF(ISBLANK(moras[[#This Row],[EDAD]]), EDA!$E$8, moras[[#This Row],[EDAD]])</f>
        <v>46</v>
      </c>
      <c r="P1931" s="14" t="str">
        <f>IF(
    OR(ISBLANK(moras[[#This Row],[TIPO_ASEGURAMIENTO]]), moras[[#This Row],[TIPO_ASEGURAMIENTO]]=""),
    EDA!$A$32,
    moras[[#This Row],[TIPO_ASEGURAMIENTO]]
)</f>
        <v>ASALARIADO</v>
      </c>
    </row>
    <row r="1932" spans="1:16" x14ac:dyDescent="0.3">
      <c r="A1932">
        <v>1931</v>
      </c>
      <c r="B1932" t="s">
        <v>15</v>
      </c>
      <c r="C1932">
        <v>1017485</v>
      </c>
      <c r="D1932" t="s">
        <v>18</v>
      </c>
      <c r="E1932" t="s">
        <v>16</v>
      </c>
      <c r="F1932" t="s">
        <v>12</v>
      </c>
      <c r="G1932" t="s">
        <v>13</v>
      </c>
      <c r="H1932" t="s">
        <v>13</v>
      </c>
      <c r="I1932">
        <v>53</v>
      </c>
      <c r="J1932">
        <f>ABS((I1932-EDA!$A$15)/EDA!$B$15)</f>
        <v>0.77776894370722982</v>
      </c>
      <c r="K1932" t="str">
        <f t="shared" si="30"/>
        <v>No</v>
      </c>
      <c r="L1932">
        <f>ABS((C1932-EDA!$F$15)/EDA!$G$15)</f>
        <v>0.35872230355274615</v>
      </c>
      <c r="M1932" t="str">
        <f>IF(moras[[#This Row],[Z-Score Salario]]&gt;1.96, "Sí", "No")</f>
        <v>No</v>
      </c>
      <c r="N1932" s="14">
        <f>IF(ISBLANK(moras[[#This Row],[SALARIO]]), EDA!$M$8, moras[[#This Row],[SALARIO]])</f>
        <v>1017485</v>
      </c>
      <c r="O1932" s="14">
        <f xml:space="preserve"> IF(ISBLANK(moras[[#This Row],[EDAD]]), EDA!$E$8, moras[[#This Row],[EDAD]])</f>
        <v>53</v>
      </c>
      <c r="P1932" s="14" t="str">
        <f>IF(
    OR(ISBLANK(moras[[#This Row],[TIPO_ASEGURAMIENTO]]), moras[[#This Row],[TIPO_ASEGURAMIENTO]]=""),
    EDA!$A$32,
    moras[[#This Row],[TIPO_ASEGURAMIENTO]]
)</f>
        <v>TRABAJADOR INDEPENDIENTE</v>
      </c>
    </row>
    <row r="1933" spans="1:16" x14ac:dyDescent="0.3">
      <c r="A1933">
        <v>1932</v>
      </c>
      <c r="B1933" t="s">
        <v>9</v>
      </c>
      <c r="C1933">
        <v>185495225</v>
      </c>
      <c r="D1933" t="s">
        <v>10</v>
      </c>
      <c r="E1933" t="s">
        <v>16</v>
      </c>
      <c r="F1933" t="s">
        <v>12</v>
      </c>
      <c r="G1933" t="s">
        <v>13</v>
      </c>
      <c r="H1933" t="s">
        <v>13</v>
      </c>
      <c r="I1933">
        <v>33</v>
      </c>
      <c r="J1933">
        <f>ABS((I1933-EDA!$A$15)/EDA!$B$15)</f>
        <v>0.63373765783552027</v>
      </c>
      <c r="K1933" t="str">
        <f t="shared" si="30"/>
        <v>No</v>
      </c>
      <c r="L1933">
        <f>ABS((C1933-EDA!$F$15)/EDA!$G$15)</f>
        <v>2.7111175151340272</v>
      </c>
      <c r="M1933" t="str">
        <f>IF(moras[[#This Row],[Z-Score Salario]]&gt;1.96, "Sí", "No")</f>
        <v>Sí</v>
      </c>
      <c r="N1933" s="14">
        <f>IF(ISBLANK(moras[[#This Row],[SALARIO]]), EDA!$M$8, moras[[#This Row],[SALARIO]])</f>
        <v>185495225</v>
      </c>
      <c r="O1933" s="14">
        <f xml:space="preserve"> IF(ISBLANK(moras[[#This Row],[EDAD]]), EDA!$E$8, moras[[#This Row],[EDAD]])</f>
        <v>33</v>
      </c>
      <c r="P1933" s="14" t="str">
        <f>IF(
    OR(ISBLANK(moras[[#This Row],[TIPO_ASEGURAMIENTO]]), moras[[#This Row],[TIPO_ASEGURAMIENTO]]=""),
    EDA!$A$32,
    moras[[#This Row],[TIPO_ASEGURAMIENTO]]
)</f>
        <v>ASALARIADO</v>
      </c>
    </row>
    <row r="1934" spans="1:16" x14ac:dyDescent="0.3">
      <c r="A1934">
        <v>1933</v>
      </c>
      <c r="B1934" t="s">
        <v>9</v>
      </c>
      <c r="C1934">
        <v>315617</v>
      </c>
      <c r="D1934" t="s">
        <v>17</v>
      </c>
      <c r="E1934" t="s">
        <v>16</v>
      </c>
      <c r="F1934" t="s">
        <v>12</v>
      </c>
      <c r="G1934" t="s">
        <v>13</v>
      </c>
      <c r="H1934" t="s">
        <v>13</v>
      </c>
      <c r="I1934">
        <v>56</v>
      </c>
      <c r="J1934">
        <f>ABS((I1934-EDA!$A$15)/EDA!$B$15)</f>
        <v>0.9894949339386423</v>
      </c>
      <c r="K1934" t="str">
        <f t="shared" si="30"/>
        <v>No</v>
      </c>
      <c r="L1934">
        <f>ABS((C1934-EDA!$F$15)/EDA!$G$15)</f>
        <v>0.37040188252992817</v>
      </c>
      <c r="M1934" t="str">
        <f>IF(moras[[#This Row],[Z-Score Salario]]&gt;1.96, "Sí", "No")</f>
        <v>No</v>
      </c>
      <c r="N1934" s="14">
        <f>IF(ISBLANK(moras[[#This Row],[SALARIO]]), EDA!$M$8, moras[[#This Row],[SALARIO]])</f>
        <v>315617</v>
      </c>
      <c r="O1934" s="14">
        <f xml:space="preserve"> IF(ISBLANK(moras[[#This Row],[EDAD]]), EDA!$E$8, moras[[#This Row],[EDAD]])</f>
        <v>56</v>
      </c>
      <c r="P1934" s="14" t="str">
        <f>IF(
    OR(ISBLANK(moras[[#This Row],[TIPO_ASEGURAMIENTO]]), moras[[#This Row],[TIPO_ASEGURAMIENTO]]=""),
    EDA!$A$32,
    moras[[#This Row],[TIPO_ASEGURAMIENTO]]
)</f>
        <v>ASEGURADO VOLUNTARIO</v>
      </c>
    </row>
    <row r="1935" spans="1:16" x14ac:dyDescent="0.3">
      <c r="A1935">
        <v>1934</v>
      </c>
      <c r="B1935" t="s">
        <v>15</v>
      </c>
      <c r="C1935">
        <v>310124</v>
      </c>
      <c r="D1935" t="s">
        <v>18</v>
      </c>
      <c r="E1935" t="s">
        <v>16</v>
      </c>
      <c r="F1935" t="s">
        <v>12</v>
      </c>
      <c r="G1935" t="s">
        <v>13</v>
      </c>
      <c r="H1935" t="s">
        <v>12</v>
      </c>
      <c r="I1935">
        <v>59</v>
      </c>
      <c r="J1935">
        <f>ABS((I1935-EDA!$A$15)/EDA!$B$15)</f>
        <v>1.2012209241700549</v>
      </c>
      <c r="K1935" t="str">
        <f t="shared" si="30"/>
        <v>No</v>
      </c>
      <c r="L1935">
        <f>ABS((C1935-EDA!$F$15)/EDA!$G$15)</f>
        <v>0.37049328992750385</v>
      </c>
      <c r="M1935" t="str">
        <f>IF(moras[[#This Row],[Z-Score Salario]]&gt;1.96, "Sí", "No")</f>
        <v>No</v>
      </c>
      <c r="N1935" s="14">
        <f>IF(ISBLANK(moras[[#This Row],[SALARIO]]), EDA!$M$8, moras[[#This Row],[SALARIO]])</f>
        <v>310124</v>
      </c>
      <c r="O1935" s="14">
        <f xml:space="preserve"> IF(ISBLANK(moras[[#This Row],[EDAD]]), EDA!$E$8, moras[[#This Row],[EDAD]])</f>
        <v>59</v>
      </c>
      <c r="P1935" s="14" t="str">
        <f>IF(
    OR(ISBLANK(moras[[#This Row],[TIPO_ASEGURAMIENTO]]), moras[[#This Row],[TIPO_ASEGURAMIENTO]]=""),
    EDA!$A$32,
    moras[[#This Row],[TIPO_ASEGURAMIENTO]]
)</f>
        <v>TRABAJADOR INDEPENDIENTE</v>
      </c>
    </row>
    <row r="1936" spans="1:16" x14ac:dyDescent="0.3">
      <c r="A1936">
        <v>1935</v>
      </c>
      <c r="B1936" t="s">
        <v>9</v>
      </c>
      <c r="C1936">
        <v>240000</v>
      </c>
      <c r="D1936" t="s">
        <v>10</v>
      </c>
      <c r="E1936" t="s">
        <v>16</v>
      </c>
      <c r="F1936" t="s">
        <v>12</v>
      </c>
      <c r="G1936" t="s">
        <v>13</v>
      </c>
      <c r="H1936" t="s">
        <v>13</v>
      </c>
      <c r="I1936">
        <v>39</v>
      </c>
      <c r="J1936">
        <f>ABS((I1936-EDA!$A$15)/EDA!$B$15)</f>
        <v>0.21028567737269524</v>
      </c>
      <c r="K1936" t="str">
        <f t="shared" si="30"/>
        <v>No</v>
      </c>
      <c r="L1936">
        <f>ABS((C1936-EDA!$F$15)/EDA!$G$15)</f>
        <v>0.37166020278889078</v>
      </c>
      <c r="M1936" t="str">
        <f>IF(moras[[#This Row],[Z-Score Salario]]&gt;1.96, "Sí", "No")</f>
        <v>No</v>
      </c>
      <c r="N1936" s="14">
        <f>IF(ISBLANK(moras[[#This Row],[SALARIO]]), EDA!$M$8, moras[[#This Row],[SALARIO]])</f>
        <v>240000</v>
      </c>
      <c r="O1936" s="14">
        <f xml:space="preserve"> IF(ISBLANK(moras[[#This Row],[EDAD]]), EDA!$E$8, moras[[#This Row],[EDAD]])</f>
        <v>39</v>
      </c>
      <c r="P1936" s="14" t="str">
        <f>IF(
    OR(ISBLANK(moras[[#This Row],[TIPO_ASEGURAMIENTO]]), moras[[#This Row],[TIPO_ASEGURAMIENTO]]=""),
    EDA!$A$32,
    moras[[#This Row],[TIPO_ASEGURAMIENTO]]
)</f>
        <v>ASALARIADO</v>
      </c>
    </row>
    <row r="1937" spans="1:16" x14ac:dyDescent="0.3">
      <c r="A1937">
        <v>1936</v>
      </c>
      <c r="B1937" t="s">
        <v>15</v>
      </c>
      <c r="C1937">
        <v>4460616</v>
      </c>
      <c r="D1937" t="s">
        <v>10</v>
      </c>
      <c r="E1937" t="s">
        <v>16</v>
      </c>
      <c r="F1937" t="s">
        <v>12</v>
      </c>
      <c r="G1937" t="s">
        <v>13</v>
      </c>
      <c r="H1937" t="s">
        <v>12</v>
      </c>
      <c r="I1937">
        <v>59</v>
      </c>
      <c r="J1937">
        <f>ABS((I1937-EDA!$A$15)/EDA!$B$15)</f>
        <v>1.2012209241700549</v>
      </c>
      <c r="K1937" t="str">
        <f t="shared" si="30"/>
        <v>No</v>
      </c>
      <c r="L1937">
        <f>ABS((C1937-EDA!$F$15)/EDA!$G$15)</f>
        <v>0.30142617316457676</v>
      </c>
      <c r="M1937" t="str">
        <f>IF(moras[[#This Row],[Z-Score Salario]]&gt;1.96, "Sí", "No")</f>
        <v>No</v>
      </c>
      <c r="N1937" s="14">
        <f>IF(ISBLANK(moras[[#This Row],[SALARIO]]), EDA!$M$8, moras[[#This Row],[SALARIO]])</f>
        <v>4460616</v>
      </c>
      <c r="O1937" s="14">
        <f xml:space="preserve"> IF(ISBLANK(moras[[#This Row],[EDAD]]), EDA!$E$8, moras[[#This Row],[EDAD]])</f>
        <v>59</v>
      </c>
      <c r="P1937" s="14" t="str">
        <f>IF(
    OR(ISBLANK(moras[[#This Row],[TIPO_ASEGURAMIENTO]]), moras[[#This Row],[TIPO_ASEGURAMIENTO]]=""),
    EDA!$A$32,
    moras[[#This Row],[TIPO_ASEGURAMIENTO]]
)</f>
        <v>ASALARIADO</v>
      </c>
    </row>
    <row r="1938" spans="1:16" x14ac:dyDescent="0.3">
      <c r="A1938">
        <v>1937</v>
      </c>
      <c r="B1938" t="s">
        <v>9</v>
      </c>
      <c r="C1938">
        <v>566297</v>
      </c>
      <c r="D1938" t="s">
        <v>18</v>
      </c>
      <c r="E1938" t="s">
        <v>16</v>
      </c>
      <c r="F1938" t="s">
        <v>12</v>
      </c>
      <c r="G1938" t="s">
        <v>13</v>
      </c>
      <c r="H1938" t="s">
        <v>13</v>
      </c>
      <c r="I1938">
        <v>49</v>
      </c>
      <c r="J1938">
        <f>ABS((I1938-EDA!$A$15)/EDA!$B$15)</f>
        <v>0.49546762339867978</v>
      </c>
      <c r="K1938" t="str">
        <f t="shared" si="30"/>
        <v>No</v>
      </c>
      <c r="L1938">
        <f>ABS((C1938-EDA!$F$15)/EDA!$G$15)</f>
        <v>0.36623039037185856</v>
      </c>
      <c r="M1938" t="str">
        <f>IF(moras[[#This Row],[Z-Score Salario]]&gt;1.96, "Sí", "No")</f>
        <v>No</v>
      </c>
      <c r="N1938" s="14">
        <f>IF(ISBLANK(moras[[#This Row],[SALARIO]]), EDA!$M$8, moras[[#This Row],[SALARIO]])</f>
        <v>566297</v>
      </c>
      <c r="O1938" s="14">
        <f xml:space="preserve"> IF(ISBLANK(moras[[#This Row],[EDAD]]), EDA!$E$8, moras[[#This Row],[EDAD]])</f>
        <v>49</v>
      </c>
      <c r="P1938" s="14" t="str">
        <f>IF(
    OR(ISBLANK(moras[[#This Row],[TIPO_ASEGURAMIENTO]]), moras[[#This Row],[TIPO_ASEGURAMIENTO]]=""),
    EDA!$A$32,
    moras[[#This Row],[TIPO_ASEGURAMIENTO]]
)</f>
        <v>TRABAJADOR INDEPENDIENTE</v>
      </c>
    </row>
    <row r="1939" spans="1:16" x14ac:dyDescent="0.3">
      <c r="A1939">
        <v>1938</v>
      </c>
      <c r="B1939" t="s">
        <v>15</v>
      </c>
      <c r="C1939">
        <v>50000</v>
      </c>
      <c r="D1939" t="s">
        <v>10</v>
      </c>
      <c r="E1939" t="s">
        <v>16</v>
      </c>
      <c r="F1939" t="s">
        <v>12</v>
      </c>
      <c r="G1939" t="s">
        <v>13</v>
      </c>
      <c r="H1939" t="s">
        <v>12</v>
      </c>
      <c r="I1939">
        <v>21</v>
      </c>
      <c r="J1939">
        <f>ABS((I1939-EDA!$A$15)/EDA!$B$15)</f>
        <v>1.4806416187611704</v>
      </c>
      <c r="K1939" t="str">
        <f t="shared" si="30"/>
        <v>No</v>
      </c>
      <c r="L1939">
        <f>ABS((C1939-EDA!$F$15)/EDA!$G$15)</f>
        <v>0.37482193691220822</v>
      </c>
      <c r="M1939" t="str">
        <f>IF(moras[[#This Row],[Z-Score Salario]]&gt;1.96, "Sí", "No")</f>
        <v>No</v>
      </c>
      <c r="N1939" s="14">
        <f>IF(ISBLANK(moras[[#This Row],[SALARIO]]), EDA!$M$8, moras[[#This Row],[SALARIO]])</f>
        <v>50000</v>
      </c>
      <c r="O1939" s="14">
        <f xml:space="preserve"> IF(ISBLANK(moras[[#This Row],[EDAD]]), EDA!$E$8, moras[[#This Row],[EDAD]])</f>
        <v>21</v>
      </c>
      <c r="P1939" s="14" t="str">
        <f>IF(
    OR(ISBLANK(moras[[#This Row],[TIPO_ASEGURAMIENTO]]), moras[[#This Row],[TIPO_ASEGURAMIENTO]]=""),
    EDA!$A$32,
    moras[[#This Row],[TIPO_ASEGURAMIENTO]]
)</f>
        <v>ASALARIADO</v>
      </c>
    </row>
    <row r="1940" spans="1:16" x14ac:dyDescent="0.3">
      <c r="A1940">
        <v>1939</v>
      </c>
      <c r="B1940" t="s">
        <v>15</v>
      </c>
      <c r="C1940">
        <v>394998</v>
      </c>
      <c r="D1940" t="s">
        <v>10</v>
      </c>
      <c r="E1940" t="s">
        <v>16</v>
      </c>
      <c r="F1940" t="s">
        <v>12</v>
      </c>
      <c r="G1940" t="s">
        <v>13</v>
      </c>
      <c r="H1940" t="s">
        <v>13</v>
      </c>
      <c r="I1940">
        <v>29</v>
      </c>
      <c r="J1940">
        <f>ABS((I1940-EDA!$A$15)/EDA!$B$15)</f>
        <v>0.91603897814407031</v>
      </c>
      <c r="K1940" t="str">
        <f t="shared" si="30"/>
        <v>No</v>
      </c>
      <c r="L1940">
        <f>ABS((C1940-EDA!$F$15)/EDA!$G$15)</f>
        <v>0.36908092665391207</v>
      </c>
      <c r="M1940" t="str">
        <f>IF(moras[[#This Row],[Z-Score Salario]]&gt;1.96, "Sí", "No")</f>
        <v>No</v>
      </c>
      <c r="N1940" s="14">
        <f>IF(ISBLANK(moras[[#This Row],[SALARIO]]), EDA!$M$8, moras[[#This Row],[SALARIO]])</f>
        <v>394998</v>
      </c>
      <c r="O1940" s="14">
        <f xml:space="preserve"> IF(ISBLANK(moras[[#This Row],[EDAD]]), EDA!$E$8, moras[[#This Row],[EDAD]])</f>
        <v>29</v>
      </c>
      <c r="P1940" s="14" t="str">
        <f>IF(
    OR(ISBLANK(moras[[#This Row],[TIPO_ASEGURAMIENTO]]), moras[[#This Row],[TIPO_ASEGURAMIENTO]]=""),
    EDA!$A$32,
    moras[[#This Row],[TIPO_ASEGURAMIENTO]]
)</f>
        <v>ASALARIADO</v>
      </c>
    </row>
    <row r="1941" spans="1:16" x14ac:dyDescent="0.3">
      <c r="A1941">
        <v>1940</v>
      </c>
      <c r="B1941" t="s">
        <v>15</v>
      </c>
      <c r="C1941">
        <v>320000</v>
      </c>
      <c r="D1941" t="s">
        <v>10</v>
      </c>
      <c r="E1941" t="s">
        <v>16</v>
      </c>
      <c r="F1941" t="s">
        <v>12</v>
      </c>
      <c r="G1941" t="s">
        <v>13</v>
      </c>
      <c r="H1941" t="s">
        <v>13</v>
      </c>
      <c r="I1941">
        <v>27</v>
      </c>
      <c r="J1941">
        <f>ABS((I1941-EDA!$A$15)/EDA!$B$15)</f>
        <v>1.0571896382983452</v>
      </c>
      <c r="K1941" t="str">
        <f t="shared" si="30"/>
        <v>No</v>
      </c>
      <c r="L1941">
        <f>ABS((C1941-EDA!$F$15)/EDA!$G$15)</f>
        <v>0.37032894631591501</v>
      </c>
      <c r="M1941" t="str">
        <f>IF(moras[[#This Row],[Z-Score Salario]]&gt;1.96, "Sí", "No")</f>
        <v>No</v>
      </c>
      <c r="N1941" s="14">
        <f>IF(ISBLANK(moras[[#This Row],[SALARIO]]), EDA!$M$8, moras[[#This Row],[SALARIO]])</f>
        <v>320000</v>
      </c>
      <c r="O1941" s="14">
        <f xml:space="preserve"> IF(ISBLANK(moras[[#This Row],[EDAD]]), EDA!$E$8, moras[[#This Row],[EDAD]])</f>
        <v>27</v>
      </c>
      <c r="P1941" s="14" t="str">
        <f>IF(
    OR(ISBLANK(moras[[#This Row],[TIPO_ASEGURAMIENTO]]), moras[[#This Row],[TIPO_ASEGURAMIENTO]]=""),
    EDA!$A$32,
    moras[[#This Row],[TIPO_ASEGURAMIENTO]]
)</f>
        <v>ASALARIADO</v>
      </c>
    </row>
    <row r="1942" spans="1:16" x14ac:dyDescent="0.3">
      <c r="A1942">
        <v>1941</v>
      </c>
      <c r="B1942" t="s">
        <v>9</v>
      </c>
      <c r="C1942">
        <v>95372887</v>
      </c>
      <c r="D1942" t="s">
        <v>10</v>
      </c>
      <c r="E1942" t="s">
        <v>16</v>
      </c>
      <c r="F1942" t="s">
        <v>12</v>
      </c>
      <c r="G1942" t="s">
        <v>13</v>
      </c>
      <c r="H1942" t="s">
        <v>13</v>
      </c>
      <c r="I1942">
        <v>60</v>
      </c>
      <c r="J1942">
        <f>ABS((I1942-EDA!$A$15)/EDA!$B$15)</f>
        <v>1.2717962542471923</v>
      </c>
      <c r="K1942" t="str">
        <f t="shared" si="30"/>
        <v>No</v>
      </c>
      <c r="L1942">
        <f>ABS((C1942-EDA!$F$15)/EDA!$G$15)</f>
        <v>1.2114181923563951</v>
      </c>
      <c r="M1942" t="str">
        <f>IF(moras[[#This Row],[Z-Score Salario]]&gt;1.96, "Sí", "No")</f>
        <v>No</v>
      </c>
      <c r="N1942" s="14">
        <f>IF(ISBLANK(moras[[#This Row],[SALARIO]]), EDA!$M$8, moras[[#This Row],[SALARIO]])</f>
        <v>95372887</v>
      </c>
      <c r="O1942" s="14">
        <f xml:space="preserve"> IF(ISBLANK(moras[[#This Row],[EDAD]]), EDA!$E$8, moras[[#This Row],[EDAD]])</f>
        <v>60</v>
      </c>
      <c r="P1942" s="14" t="str">
        <f>IF(
    OR(ISBLANK(moras[[#This Row],[TIPO_ASEGURAMIENTO]]), moras[[#This Row],[TIPO_ASEGURAMIENTO]]=""),
    EDA!$A$32,
    moras[[#This Row],[TIPO_ASEGURAMIENTO]]
)</f>
        <v>ASALARIADO</v>
      </c>
    </row>
    <row r="1943" spans="1:16" x14ac:dyDescent="0.3">
      <c r="A1943">
        <v>1942</v>
      </c>
      <c r="B1943" t="s">
        <v>9</v>
      </c>
      <c r="C1943">
        <v>5074436</v>
      </c>
      <c r="D1943" t="s">
        <v>10</v>
      </c>
      <c r="E1943" t="s">
        <v>16</v>
      </c>
      <c r="F1943" t="s">
        <v>12</v>
      </c>
      <c r="G1943" t="s">
        <v>13</v>
      </c>
      <c r="H1943" t="s">
        <v>13</v>
      </c>
      <c r="I1943">
        <v>20</v>
      </c>
      <c r="J1943">
        <f>ABS((I1943-EDA!$A$15)/EDA!$B$15)</f>
        <v>1.5512169488383079</v>
      </c>
      <c r="K1943" t="str">
        <f t="shared" si="30"/>
        <v>No</v>
      </c>
      <c r="L1943">
        <f>ABS((C1943-EDA!$F$15)/EDA!$G$15)</f>
        <v>0.29121177506155194</v>
      </c>
      <c r="M1943" t="str">
        <f>IF(moras[[#This Row],[Z-Score Salario]]&gt;1.96, "Sí", "No")</f>
        <v>No</v>
      </c>
      <c r="N1943" s="14">
        <f>IF(ISBLANK(moras[[#This Row],[SALARIO]]), EDA!$M$8, moras[[#This Row],[SALARIO]])</f>
        <v>5074436</v>
      </c>
      <c r="O1943" s="14">
        <f xml:space="preserve"> IF(ISBLANK(moras[[#This Row],[EDAD]]), EDA!$E$8, moras[[#This Row],[EDAD]])</f>
        <v>20</v>
      </c>
      <c r="P1943" s="14" t="str">
        <f>IF(
    OR(ISBLANK(moras[[#This Row],[TIPO_ASEGURAMIENTO]]), moras[[#This Row],[TIPO_ASEGURAMIENTO]]=""),
    EDA!$A$32,
    moras[[#This Row],[TIPO_ASEGURAMIENTO]]
)</f>
        <v>ASALARIADO</v>
      </c>
    </row>
    <row r="1944" spans="1:16" x14ac:dyDescent="0.3">
      <c r="A1944">
        <v>1943</v>
      </c>
      <c r="B1944" t="s">
        <v>15</v>
      </c>
      <c r="C1944">
        <v>995680</v>
      </c>
      <c r="D1944" t="s">
        <v>10</v>
      </c>
      <c r="E1944" t="s">
        <v>11</v>
      </c>
      <c r="F1944" t="s">
        <v>12</v>
      </c>
      <c r="G1944" t="s">
        <v>13</v>
      </c>
      <c r="H1944" t="s">
        <v>13</v>
      </c>
      <c r="I1944">
        <v>35</v>
      </c>
      <c r="J1944">
        <f>ABS((I1944-EDA!$A$15)/EDA!$B$15)</f>
        <v>0.49258699768124525</v>
      </c>
      <c r="K1944" t="str">
        <f t="shared" si="30"/>
        <v>No</v>
      </c>
      <c r="L1944">
        <f>ABS((C1944-EDA!$F$15)/EDA!$G$15)</f>
        <v>0.35908515414516162</v>
      </c>
      <c r="M1944" t="str">
        <f>IF(moras[[#This Row],[Z-Score Salario]]&gt;1.96, "Sí", "No")</f>
        <v>No</v>
      </c>
      <c r="N1944" s="14">
        <f>IF(ISBLANK(moras[[#This Row],[SALARIO]]), EDA!$M$8, moras[[#This Row],[SALARIO]])</f>
        <v>995680</v>
      </c>
      <c r="O1944" s="14">
        <f xml:space="preserve"> IF(ISBLANK(moras[[#This Row],[EDAD]]), EDA!$E$8, moras[[#This Row],[EDAD]])</f>
        <v>35</v>
      </c>
      <c r="P1944" s="14" t="str">
        <f>IF(
    OR(ISBLANK(moras[[#This Row],[TIPO_ASEGURAMIENTO]]), moras[[#This Row],[TIPO_ASEGURAMIENTO]]=""),
    EDA!$A$32,
    moras[[#This Row],[TIPO_ASEGURAMIENTO]]
)</f>
        <v>ASALARIADO</v>
      </c>
    </row>
    <row r="1945" spans="1:16" x14ac:dyDescent="0.3">
      <c r="A1945">
        <v>1944</v>
      </c>
      <c r="B1945" t="s">
        <v>9</v>
      </c>
      <c r="C1945">
        <v>278030</v>
      </c>
      <c r="D1945" t="s">
        <v>19</v>
      </c>
      <c r="E1945" t="s">
        <v>16</v>
      </c>
      <c r="F1945" t="s">
        <v>12</v>
      </c>
      <c r="G1945" t="s">
        <v>13</v>
      </c>
      <c r="H1945" t="s">
        <v>13</v>
      </c>
      <c r="I1945">
        <v>64</v>
      </c>
      <c r="J1945">
        <f>ABS((I1945-EDA!$A$15)/EDA!$B$15)</f>
        <v>1.5540975745557424</v>
      </c>
      <c r="K1945" t="str">
        <f t="shared" si="30"/>
        <v>No</v>
      </c>
      <c r="L1945">
        <f>ABS((C1945-EDA!$F$15)/EDA!$G$15)</f>
        <v>0.37102735674304993</v>
      </c>
      <c r="M1945" t="str">
        <f>IF(moras[[#This Row],[Z-Score Salario]]&gt;1.96, "Sí", "No")</f>
        <v>No</v>
      </c>
      <c r="N1945" s="14">
        <f>IF(ISBLANK(moras[[#This Row],[SALARIO]]), EDA!$M$8, moras[[#This Row],[SALARIO]])</f>
        <v>278030</v>
      </c>
      <c r="O1945" s="14">
        <f xml:space="preserve"> IF(ISBLANK(moras[[#This Row],[EDAD]]), EDA!$E$8, moras[[#This Row],[EDAD]])</f>
        <v>64</v>
      </c>
      <c r="P1945" s="14" t="str">
        <f>IF(
    OR(ISBLANK(moras[[#This Row],[TIPO_ASEGURAMIENTO]]), moras[[#This Row],[TIPO_ASEGURAMIENTO]]=""),
    EDA!$A$32,
    moras[[#This Row],[TIPO_ASEGURAMIENTO]]
)</f>
        <v>CONVENIOS ESPECIALES DE TRABAJADORES INDEPENDIENTES</v>
      </c>
    </row>
    <row r="1946" spans="1:16" x14ac:dyDescent="0.3">
      <c r="A1946">
        <v>1945</v>
      </c>
      <c r="B1946" t="s">
        <v>9</v>
      </c>
      <c r="C1946">
        <v>3401008</v>
      </c>
      <c r="D1946" t="s">
        <v>10</v>
      </c>
      <c r="E1946" t="s">
        <v>16</v>
      </c>
      <c r="F1946" t="s">
        <v>12</v>
      </c>
      <c r="G1946" t="s">
        <v>13</v>
      </c>
      <c r="H1946" t="s">
        <v>13</v>
      </c>
      <c r="I1946">
        <v>22</v>
      </c>
      <c r="J1946">
        <f>ABS((I1946-EDA!$A$15)/EDA!$B$15)</f>
        <v>1.4100662886840327</v>
      </c>
      <c r="K1946" t="str">
        <f t="shared" si="30"/>
        <v>No</v>
      </c>
      <c r="L1946">
        <f>ABS((C1946-EDA!$F$15)/EDA!$G$15)</f>
        <v>0.31905879827478822</v>
      </c>
      <c r="M1946" t="str">
        <f>IF(moras[[#This Row],[Z-Score Salario]]&gt;1.96, "Sí", "No")</f>
        <v>No</v>
      </c>
      <c r="N1946" s="14">
        <f>IF(ISBLANK(moras[[#This Row],[SALARIO]]), EDA!$M$8, moras[[#This Row],[SALARIO]])</f>
        <v>3401008</v>
      </c>
      <c r="O1946" s="14">
        <f xml:space="preserve"> IF(ISBLANK(moras[[#This Row],[EDAD]]), EDA!$E$8, moras[[#This Row],[EDAD]])</f>
        <v>22</v>
      </c>
      <c r="P1946" s="14" t="str">
        <f>IF(
    OR(ISBLANK(moras[[#This Row],[TIPO_ASEGURAMIENTO]]), moras[[#This Row],[TIPO_ASEGURAMIENTO]]=""),
    EDA!$A$32,
    moras[[#This Row],[TIPO_ASEGURAMIENTO]]
)</f>
        <v>ASALARIADO</v>
      </c>
    </row>
    <row r="1947" spans="1:16" x14ac:dyDescent="0.3">
      <c r="A1947">
        <v>1946</v>
      </c>
      <c r="B1947" t="s">
        <v>9</v>
      </c>
      <c r="C1947">
        <v>8899765</v>
      </c>
      <c r="D1947" t="s">
        <v>10</v>
      </c>
      <c r="E1947" t="s">
        <v>11</v>
      </c>
      <c r="F1947" t="s">
        <v>12</v>
      </c>
      <c r="G1947" t="s">
        <v>13</v>
      </c>
      <c r="H1947" t="s">
        <v>13</v>
      </c>
      <c r="I1947">
        <v>30</v>
      </c>
      <c r="J1947">
        <f>ABS((I1947-EDA!$A$15)/EDA!$B$15)</f>
        <v>0.84546364806693275</v>
      </c>
      <c r="K1947" t="str">
        <f t="shared" si="30"/>
        <v>No</v>
      </c>
      <c r="L1947">
        <f>ABS((C1947-EDA!$F$15)/EDA!$G$15)</f>
        <v>0.22755560015515258</v>
      </c>
      <c r="M1947" t="str">
        <f>IF(moras[[#This Row],[Z-Score Salario]]&gt;1.96, "Sí", "No")</f>
        <v>No</v>
      </c>
      <c r="N1947" s="14">
        <f>IF(ISBLANK(moras[[#This Row],[SALARIO]]), EDA!$M$8, moras[[#This Row],[SALARIO]])</f>
        <v>8899765</v>
      </c>
      <c r="O1947" s="14">
        <f xml:space="preserve"> IF(ISBLANK(moras[[#This Row],[EDAD]]), EDA!$E$8, moras[[#This Row],[EDAD]])</f>
        <v>30</v>
      </c>
      <c r="P1947" s="14" t="str">
        <f>IF(
    OR(ISBLANK(moras[[#This Row],[TIPO_ASEGURAMIENTO]]), moras[[#This Row],[TIPO_ASEGURAMIENTO]]=""),
    EDA!$A$32,
    moras[[#This Row],[TIPO_ASEGURAMIENTO]]
)</f>
        <v>ASALARIADO</v>
      </c>
    </row>
    <row r="1948" spans="1:16" x14ac:dyDescent="0.3">
      <c r="A1948">
        <v>1947</v>
      </c>
      <c r="B1948" t="s">
        <v>9</v>
      </c>
      <c r="C1948">
        <v>55842011</v>
      </c>
      <c r="D1948" t="s">
        <v>10</v>
      </c>
      <c r="E1948" t="s">
        <v>16</v>
      </c>
      <c r="F1948" t="s">
        <v>12</v>
      </c>
      <c r="G1948" t="s">
        <v>13</v>
      </c>
      <c r="H1948" t="s">
        <v>13</v>
      </c>
      <c r="I1948">
        <v>26</v>
      </c>
      <c r="J1948">
        <f>ABS((I1948-EDA!$A$15)/EDA!$B$15)</f>
        <v>1.1277649683754829</v>
      </c>
      <c r="K1948" t="str">
        <f t="shared" si="30"/>
        <v>No</v>
      </c>
      <c r="L1948">
        <f>ABS((C1948-EDA!$F$15)/EDA!$G$15)</f>
        <v>0.55359651038886171</v>
      </c>
      <c r="M1948" t="str">
        <f>IF(moras[[#This Row],[Z-Score Salario]]&gt;1.96, "Sí", "No")</f>
        <v>No</v>
      </c>
      <c r="N1948" s="14">
        <f>IF(ISBLANK(moras[[#This Row],[SALARIO]]), EDA!$M$8, moras[[#This Row],[SALARIO]])</f>
        <v>55842011</v>
      </c>
      <c r="O1948" s="14">
        <f xml:space="preserve"> IF(ISBLANK(moras[[#This Row],[EDAD]]), EDA!$E$8, moras[[#This Row],[EDAD]])</f>
        <v>26</v>
      </c>
      <c r="P1948" s="14" t="str">
        <f>IF(
    OR(ISBLANK(moras[[#This Row],[TIPO_ASEGURAMIENTO]]), moras[[#This Row],[TIPO_ASEGURAMIENTO]]=""),
    EDA!$A$32,
    moras[[#This Row],[TIPO_ASEGURAMIENTO]]
)</f>
        <v>ASALARIADO</v>
      </c>
    </row>
    <row r="1949" spans="1:16" x14ac:dyDescent="0.3">
      <c r="A1949">
        <v>1948</v>
      </c>
      <c r="B1949" t="s">
        <v>9</v>
      </c>
      <c r="C1949">
        <v>478452</v>
      </c>
      <c r="D1949" t="s">
        <v>18</v>
      </c>
      <c r="E1949" t="s">
        <v>16</v>
      </c>
      <c r="F1949" t="s">
        <v>12</v>
      </c>
      <c r="G1949" t="s">
        <v>12</v>
      </c>
      <c r="H1949" t="s">
        <v>13</v>
      </c>
      <c r="I1949">
        <v>49</v>
      </c>
      <c r="J1949">
        <f>ABS((I1949-EDA!$A$15)/EDA!$B$15)</f>
        <v>0.49546762339867978</v>
      </c>
      <c r="K1949" t="str">
        <f t="shared" si="30"/>
        <v>No</v>
      </c>
      <c r="L1949">
        <f>ABS((C1949-EDA!$F$15)/EDA!$G$15)</f>
        <v>0.36769219318271557</v>
      </c>
      <c r="M1949" t="str">
        <f>IF(moras[[#This Row],[Z-Score Salario]]&gt;1.96, "Sí", "No")</f>
        <v>No</v>
      </c>
      <c r="N1949" s="14">
        <f>IF(ISBLANK(moras[[#This Row],[SALARIO]]), EDA!$M$8, moras[[#This Row],[SALARIO]])</f>
        <v>478452</v>
      </c>
      <c r="O1949" s="14">
        <f xml:space="preserve"> IF(ISBLANK(moras[[#This Row],[EDAD]]), EDA!$E$8, moras[[#This Row],[EDAD]])</f>
        <v>49</v>
      </c>
      <c r="P1949" s="14" t="str">
        <f>IF(
    OR(ISBLANK(moras[[#This Row],[TIPO_ASEGURAMIENTO]]), moras[[#This Row],[TIPO_ASEGURAMIENTO]]=""),
    EDA!$A$32,
    moras[[#This Row],[TIPO_ASEGURAMIENTO]]
)</f>
        <v>TRABAJADOR INDEPENDIENTE</v>
      </c>
    </row>
    <row r="1950" spans="1:16" x14ac:dyDescent="0.3">
      <c r="A1950">
        <v>1949</v>
      </c>
      <c r="B1950" t="s">
        <v>15</v>
      </c>
      <c r="C1950">
        <v>594092</v>
      </c>
      <c r="D1950" t="s">
        <v>18</v>
      </c>
      <c r="E1950" t="s">
        <v>16</v>
      </c>
      <c r="F1950" t="s">
        <v>12</v>
      </c>
      <c r="G1950" t="s">
        <v>13</v>
      </c>
      <c r="H1950" t="s">
        <v>12</v>
      </c>
      <c r="I1950">
        <v>54</v>
      </c>
      <c r="J1950">
        <f>ABS((I1950-EDA!$A$15)/EDA!$B$15)</f>
        <v>0.84834427378436728</v>
      </c>
      <c r="K1950" t="str">
        <f t="shared" si="30"/>
        <v>No</v>
      </c>
      <c r="L1950">
        <f>ABS((C1950-EDA!$F$15)/EDA!$G$15)</f>
        <v>0.36576786195102906</v>
      </c>
      <c r="M1950" t="str">
        <f>IF(moras[[#This Row],[Z-Score Salario]]&gt;1.96, "Sí", "No")</f>
        <v>No</v>
      </c>
      <c r="N1950" s="14">
        <f>IF(ISBLANK(moras[[#This Row],[SALARIO]]), EDA!$M$8, moras[[#This Row],[SALARIO]])</f>
        <v>594092</v>
      </c>
      <c r="O1950" s="14">
        <f xml:space="preserve"> IF(ISBLANK(moras[[#This Row],[EDAD]]), EDA!$E$8, moras[[#This Row],[EDAD]])</f>
        <v>54</v>
      </c>
      <c r="P1950" s="14" t="str">
        <f>IF(
    OR(ISBLANK(moras[[#This Row],[TIPO_ASEGURAMIENTO]]), moras[[#This Row],[TIPO_ASEGURAMIENTO]]=""),
    EDA!$A$32,
    moras[[#This Row],[TIPO_ASEGURAMIENTO]]
)</f>
        <v>TRABAJADOR INDEPENDIENTE</v>
      </c>
    </row>
    <row r="1951" spans="1:16" x14ac:dyDescent="0.3">
      <c r="A1951">
        <v>1950</v>
      </c>
      <c r="B1951" t="s">
        <v>15</v>
      </c>
      <c r="C1951">
        <v>1281095</v>
      </c>
      <c r="D1951" t="s">
        <v>10</v>
      </c>
      <c r="E1951" t="s">
        <v>11</v>
      </c>
      <c r="F1951" t="s">
        <v>12</v>
      </c>
      <c r="G1951" t="s">
        <v>13</v>
      </c>
      <c r="H1951" t="s">
        <v>12</v>
      </c>
      <c r="I1951">
        <v>43</v>
      </c>
      <c r="J1951">
        <f>ABS((I1951-EDA!$A$15)/EDA!$B$15)</f>
        <v>7.2015642935854773E-2</v>
      </c>
      <c r="K1951" t="str">
        <f t="shared" si="30"/>
        <v>No</v>
      </c>
      <c r="L1951">
        <f>ABS((C1951-EDA!$F$15)/EDA!$G$15)</f>
        <v>0.35433564706723186</v>
      </c>
      <c r="M1951" t="str">
        <f>IF(moras[[#This Row],[Z-Score Salario]]&gt;1.96, "Sí", "No")</f>
        <v>No</v>
      </c>
      <c r="N1951" s="14">
        <f>IF(ISBLANK(moras[[#This Row],[SALARIO]]), EDA!$M$8, moras[[#This Row],[SALARIO]])</f>
        <v>1281095</v>
      </c>
      <c r="O1951" s="14">
        <f xml:space="preserve"> IF(ISBLANK(moras[[#This Row],[EDAD]]), EDA!$E$8, moras[[#This Row],[EDAD]])</f>
        <v>43</v>
      </c>
      <c r="P1951" s="14" t="str">
        <f>IF(
    OR(ISBLANK(moras[[#This Row],[TIPO_ASEGURAMIENTO]]), moras[[#This Row],[TIPO_ASEGURAMIENTO]]=""),
    EDA!$A$32,
    moras[[#This Row],[TIPO_ASEGURAMIENTO]]
)</f>
        <v>ASALARIADO</v>
      </c>
    </row>
    <row r="1952" spans="1:16" x14ac:dyDescent="0.3">
      <c r="A1952">
        <v>1951</v>
      </c>
      <c r="B1952" t="s">
        <v>9</v>
      </c>
      <c r="C1952">
        <v>610146</v>
      </c>
      <c r="D1952" t="s">
        <v>17</v>
      </c>
      <c r="E1952" t="s">
        <v>16</v>
      </c>
      <c r="F1952" t="s">
        <v>12</v>
      </c>
      <c r="G1952" t="s">
        <v>13</v>
      </c>
      <c r="H1952" t="s">
        <v>13</v>
      </c>
      <c r="I1952">
        <v>49</v>
      </c>
      <c r="J1952">
        <f>ABS((I1952-EDA!$A$15)/EDA!$B$15)</f>
        <v>0.49546762339867978</v>
      </c>
      <c r="K1952" t="str">
        <f t="shared" si="30"/>
        <v>No</v>
      </c>
      <c r="L1952">
        <f>ABS((C1952-EDA!$F$15)/EDA!$G$15)</f>
        <v>0.36550071205831464</v>
      </c>
      <c r="M1952" t="str">
        <f>IF(moras[[#This Row],[Z-Score Salario]]&gt;1.96, "Sí", "No")</f>
        <v>No</v>
      </c>
      <c r="N1952" s="14">
        <f>IF(ISBLANK(moras[[#This Row],[SALARIO]]), EDA!$M$8, moras[[#This Row],[SALARIO]])</f>
        <v>610146</v>
      </c>
      <c r="O1952" s="14">
        <f xml:space="preserve"> IF(ISBLANK(moras[[#This Row],[EDAD]]), EDA!$E$8, moras[[#This Row],[EDAD]])</f>
        <v>49</v>
      </c>
      <c r="P1952" s="14" t="str">
        <f>IF(
    OR(ISBLANK(moras[[#This Row],[TIPO_ASEGURAMIENTO]]), moras[[#This Row],[TIPO_ASEGURAMIENTO]]=""),
    EDA!$A$32,
    moras[[#This Row],[TIPO_ASEGURAMIENTO]]
)</f>
        <v>ASEGURADO VOLUNTARIO</v>
      </c>
    </row>
    <row r="1953" spans="1:16" x14ac:dyDescent="0.3">
      <c r="A1953">
        <v>1952</v>
      </c>
      <c r="B1953" t="s">
        <v>9</v>
      </c>
      <c r="C1953">
        <v>278030</v>
      </c>
      <c r="D1953" t="s">
        <v>19</v>
      </c>
      <c r="E1953" t="s">
        <v>16</v>
      </c>
      <c r="F1953" t="s">
        <v>12</v>
      </c>
      <c r="G1953" t="s">
        <v>13</v>
      </c>
      <c r="H1953" t="s">
        <v>13</v>
      </c>
      <c r="I1953">
        <v>55</v>
      </c>
      <c r="J1953">
        <f>ABS((I1953-EDA!$A$15)/EDA!$B$15)</f>
        <v>0.91891960386150484</v>
      </c>
      <c r="K1953" t="str">
        <f t="shared" si="30"/>
        <v>No</v>
      </c>
      <c r="L1953">
        <f>ABS((C1953-EDA!$F$15)/EDA!$G$15)</f>
        <v>0.37102735674304993</v>
      </c>
      <c r="M1953" t="str">
        <f>IF(moras[[#This Row],[Z-Score Salario]]&gt;1.96, "Sí", "No")</f>
        <v>No</v>
      </c>
      <c r="N1953" s="14">
        <f>IF(ISBLANK(moras[[#This Row],[SALARIO]]), EDA!$M$8, moras[[#This Row],[SALARIO]])</f>
        <v>278030</v>
      </c>
      <c r="O1953" s="14">
        <f xml:space="preserve"> IF(ISBLANK(moras[[#This Row],[EDAD]]), EDA!$E$8, moras[[#This Row],[EDAD]])</f>
        <v>55</v>
      </c>
      <c r="P1953" s="14" t="str">
        <f>IF(
    OR(ISBLANK(moras[[#This Row],[TIPO_ASEGURAMIENTO]]), moras[[#This Row],[TIPO_ASEGURAMIENTO]]=""),
    EDA!$A$32,
    moras[[#This Row],[TIPO_ASEGURAMIENTO]]
)</f>
        <v>CONVENIOS ESPECIALES DE TRABAJADORES INDEPENDIENTES</v>
      </c>
    </row>
    <row r="1954" spans="1:16" x14ac:dyDescent="0.3">
      <c r="A1954">
        <v>1953</v>
      </c>
      <c r="B1954" t="s">
        <v>15</v>
      </c>
      <c r="C1954">
        <v>752666</v>
      </c>
      <c r="D1954" t="s">
        <v>10</v>
      </c>
      <c r="E1954" t="s">
        <v>16</v>
      </c>
      <c r="F1954" t="s">
        <v>12</v>
      </c>
      <c r="G1954" t="s">
        <v>13</v>
      </c>
      <c r="H1954" t="s">
        <v>13</v>
      </c>
      <c r="I1954">
        <v>31</v>
      </c>
      <c r="J1954">
        <f>ABS((I1954-EDA!$A$15)/EDA!$B$15)</f>
        <v>0.77488831798979529</v>
      </c>
      <c r="K1954" t="str">
        <f t="shared" si="30"/>
        <v>No</v>
      </c>
      <c r="L1954">
        <f>ABS((C1954-EDA!$F$15)/EDA!$G$15)</f>
        <v>0.36312907865170829</v>
      </c>
      <c r="M1954" t="str">
        <f>IF(moras[[#This Row],[Z-Score Salario]]&gt;1.96, "Sí", "No")</f>
        <v>No</v>
      </c>
      <c r="N1954" s="14">
        <f>IF(ISBLANK(moras[[#This Row],[SALARIO]]), EDA!$M$8, moras[[#This Row],[SALARIO]])</f>
        <v>752666</v>
      </c>
      <c r="O1954" s="14">
        <f xml:space="preserve"> IF(ISBLANK(moras[[#This Row],[EDAD]]), EDA!$E$8, moras[[#This Row],[EDAD]])</f>
        <v>31</v>
      </c>
      <c r="P1954" s="14" t="str">
        <f>IF(
    OR(ISBLANK(moras[[#This Row],[TIPO_ASEGURAMIENTO]]), moras[[#This Row],[TIPO_ASEGURAMIENTO]]=""),
    EDA!$A$32,
    moras[[#This Row],[TIPO_ASEGURAMIENTO]]
)</f>
        <v>ASALARIADO</v>
      </c>
    </row>
    <row r="1955" spans="1:16" x14ac:dyDescent="0.3">
      <c r="A1955">
        <v>1954</v>
      </c>
      <c r="B1955" t="s">
        <v>9</v>
      </c>
      <c r="C1955">
        <v>96000</v>
      </c>
      <c r="D1955" t="s">
        <v>10</v>
      </c>
      <c r="E1955" t="s">
        <v>16</v>
      </c>
      <c r="F1955" t="s">
        <v>12</v>
      </c>
      <c r="G1955" t="s">
        <v>12</v>
      </c>
      <c r="H1955" t="s">
        <v>13</v>
      </c>
      <c r="I1955">
        <v>47</v>
      </c>
      <c r="J1955">
        <f>ABS((I1955-EDA!$A$15)/EDA!$B$15)</f>
        <v>0.35431696324440481</v>
      </c>
      <c r="K1955" t="str">
        <f t="shared" si="30"/>
        <v>No</v>
      </c>
      <c r="L1955">
        <f>ABS((C1955-EDA!$F$15)/EDA!$G$15)</f>
        <v>0.37405646444024715</v>
      </c>
      <c r="M1955" t="str">
        <f>IF(moras[[#This Row],[Z-Score Salario]]&gt;1.96, "Sí", "No")</f>
        <v>No</v>
      </c>
      <c r="N1955" s="14">
        <f>IF(ISBLANK(moras[[#This Row],[SALARIO]]), EDA!$M$8, moras[[#This Row],[SALARIO]])</f>
        <v>96000</v>
      </c>
      <c r="O1955" s="14">
        <f xml:space="preserve"> IF(ISBLANK(moras[[#This Row],[EDAD]]), EDA!$E$8, moras[[#This Row],[EDAD]])</f>
        <v>47</v>
      </c>
      <c r="P1955" s="14" t="str">
        <f>IF(
    OR(ISBLANK(moras[[#This Row],[TIPO_ASEGURAMIENTO]]), moras[[#This Row],[TIPO_ASEGURAMIENTO]]=""),
    EDA!$A$32,
    moras[[#This Row],[TIPO_ASEGURAMIENTO]]
)</f>
        <v>ASALARIADO</v>
      </c>
    </row>
    <row r="1956" spans="1:16" x14ac:dyDescent="0.3">
      <c r="A1956">
        <v>1955</v>
      </c>
      <c r="B1956" t="s">
        <v>15</v>
      </c>
      <c r="C1956">
        <v>36360449</v>
      </c>
      <c r="D1956" t="s">
        <v>10</v>
      </c>
      <c r="E1956" t="s">
        <v>16</v>
      </c>
      <c r="F1956" t="s">
        <v>12</v>
      </c>
      <c r="G1956" t="s">
        <v>13</v>
      </c>
      <c r="H1956" t="s">
        <v>13</v>
      </c>
      <c r="I1956">
        <v>21</v>
      </c>
      <c r="J1956">
        <f>ABS((I1956-EDA!$A$15)/EDA!$B$15)</f>
        <v>1.4806416187611704</v>
      </c>
      <c r="K1956" t="str">
        <f t="shared" si="30"/>
        <v>No</v>
      </c>
      <c r="L1956">
        <f>ABS((C1956-EDA!$F$15)/EDA!$G$15)</f>
        <v>0.22940956643662583</v>
      </c>
      <c r="M1956" t="str">
        <f>IF(moras[[#This Row],[Z-Score Salario]]&gt;1.96, "Sí", "No")</f>
        <v>No</v>
      </c>
      <c r="N1956" s="14">
        <f>IF(ISBLANK(moras[[#This Row],[SALARIO]]), EDA!$M$8, moras[[#This Row],[SALARIO]])</f>
        <v>36360449</v>
      </c>
      <c r="O1956" s="14">
        <f xml:space="preserve"> IF(ISBLANK(moras[[#This Row],[EDAD]]), EDA!$E$8, moras[[#This Row],[EDAD]])</f>
        <v>21</v>
      </c>
      <c r="P1956" s="14" t="str">
        <f>IF(
    OR(ISBLANK(moras[[#This Row],[TIPO_ASEGURAMIENTO]]), moras[[#This Row],[TIPO_ASEGURAMIENTO]]=""),
    EDA!$A$32,
    moras[[#This Row],[TIPO_ASEGURAMIENTO]]
)</f>
        <v>ASALARIADO</v>
      </c>
    </row>
    <row r="1957" spans="1:16" x14ac:dyDescent="0.3">
      <c r="A1957">
        <v>1956</v>
      </c>
      <c r="B1957" t="s">
        <v>9</v>
      </c>
      <c r="C1957">
        <v>10947276</v>
      </c>
      <c r="D1957" t="s">
        <v>14</v>
      </c>
      <c r="E1957" t="s">
        <v>11</v>
      </c>
      <c r="F1957" t="s">
        <v>12</v>
      </c>
      <c r="G1957" t="s">
        <v>13</v>
      </c>
      <c r="H1957" t="s">
        <v>13</v>
      </c>
      <c r="I1957">
        <v>70</v>
      </c>
      <c r="J1957">
        <f>ABS((I1957-EDA!$A$15)/EDA!$B$15)</f>
        <v>1.9775495550185673</v>
      </c>
      <c r="K1957" t="str">
        <f t="shared" si="30"/>
        <v>Sí</v>
      </c>
      <c r="L1957">
        <f>ABS((C1957-EDA!$F$15)/EDA!$G$15)</f>
        <v>0.19348357175216385</v>
      </c>
      <c r="M1957" t="str">
        <f>IF(moras[[#This Row],[Z-Score Salario]]&gt;1.96, "Sí", "No")</f>
        <v>No</v>
      </c>
      <c r="N1957" s="14">
        <f>IF(ISBLANK(moras[[#This Row],[SALARIO]]), EDA!$M$8, moras[[#This Row],[SALARIO]])</f>
        <v>10947276</v>
      </c>
      <c r="O1957" s="14">
        <f xml:space="preserve"> IF(ISBLANK(moras[[#This Row],[EDAD]]), EDA!$E$8, moras[[#This Row],[EDAD]])</f>
        <v>70</v>
      </c>
      <c r="P1957" s="14" t="str">
        <f>IF(
    OR(ISBLANK(moras[[#This Row],[TIPO_ASEGURAMIENTO]]), moras[[#This Row],[TIPO_ASEGURAMIENTO]]=""),
    EDA!$A$32,
    moras[[#This Row],[TIPO_ASEGURAMIENTO]]
)</f>
        <v>PENSIONADOS EN SU PROPIO SISTEMA</v>
      </c>
    </row>
    <row r="1958" spans="1:16" x14ac:dyDescent="0.3">
      <c r="A1958">
        <v>1957</v>
      </c>
      <c r="B1958" t="s">
        <v>15</v>
      </c>
      <c r="C1958">
        <v>297046</v>
      </c>
      <c r="D1958" t="s">
        <v>17</v>
      </c>
      <c r="E1958" t="s">
        <v>16</v>
      </c>
      <c r="F1958" t="s">
        <v>12</v>
      </c>
      <c r="G1958" t="s">
        <v>13</v>
      </c>
      <c r="H1958" t="s">
        <v>13</v>
      </c>
      <c r="I1958">
        <v>25</v>
      </c>
      <c r="J1958">
        <f>ABS((I1958-EDA!$A$15)/EDA!$B$15)</f>
        <v>1.1983402984526204</v>
      </c>
      <c r="K1958" t="str">
        <f t="shared" si="30"/>
        <v>No</v>
      </c>
      <c r="L1958">
        <f>ABS((C1958-EDA!$F$15)/EDA!$G$15)</f>
        <v>0.37071091707942361</v>
      </c>
      <c r="M1958" t="str">
        <f>IF(moras[[#This Row],[Z-Score Salario]]&gt;1.96, "Sí", "No")</f>
        <v>No</v>
      </c>
      <c r="N1958" s="14">
        <f>IF(ISBLANK(moras[[#This Row],[SALARIO]]), EDA!$M$8, moras[[#This Row],[SALARIO]])</f>
        <v>297046</v>
      </c>
      <c r="O1958" s="14">
        <f xml:space="preserve"> IF(ISBLANK(moras[[#This Row],[EDAD]]), EDA!$E$8, moras[[#This Row],[EDAD]])</f>
        <v>25</v>
      </c>
      <c r="P1958" s="14" t="str">
        <f>IF(
    OR(ISBLANK(moras[[#This Row],[TIPO_ASEGURAMIENTO]]), moras[[#This Row],[TIPO_ASEGURAMIENTO]]=""),
    EDA!$A$32,
    moras[[#This Row],[TIPO_ASEGURAMIENTO]]
)</f>
        <v>ASEGURADO VOLUNTARIO</v>
      </c>
    </row>
    <row r="1959" spans="1:16" x14ac:dyDescent="0.3">
      <c r="A1959">
        <v>1958</v>
      </c>
      <c r="B1959" t="s">
        <v>9</v>
      </c>
      <c r="C1959">
        <v>297046</v>
      </c>
      <c r="D1959" t="s">
        <v>17</v>
      </c>
      <c r="E1959" t="s">
        <v>16</v>
      </c>
      <c r="F1959" t="s">
        <v>12</v>
      </c>
      <c r="G1959" t="s">
        <v>13</v>
      </c>
      <c r="H1959" t="s">
        <v>13</v>
      </c>
      <c r="I1959">
        <v>45</v>
      </c>
      <c r="J1959">
        <f>ABS((I1959-EDA!$A$15)/EDA!$B$15)</f>
        <v>0.21316630309012977</v>
      </c>
      <c r="K1959" t="str">
        <f t="shared" si="30"/>
        <v>No</v>
      </c>
      <c r="L1959">
        <f>ABS((C1959-EDA!$F$15)/EDA!$G$15)</f>
        <v>0.37071091707942361</v>
      </c>
      <c r="M1959" t="str">
        <f>IF(moras[[#This Row],[Z-Score Salario]]&gt;1.96, "Sí", "No")</f>
        <v>No</v>
      </c>
      <c r="N1959" s="14">
        <f>IF(ISBLANK(moras[[#This Row],[SALARIO]]), EDA!$M$8, moras[[#This Row],[SALARIO]])</f>
        <v>297046</v>
      </c>
      <c r="O1959" s="14">
        <f xml:space="preserve"> IF(ISBLANK(moras[[#This Row],[EDAD]]), EDA!$E$8, moras[[#This Row],[EDAD]])</f>
        <v>45</v>
      </c>
      <c r="P1959" s="14" t="str">
        <f>IF(
    OR(ISBLANK(moras[[#This Row],[TIPO_ASEGURAMIENTO]]), moras[[#This Row],[TIPO_ASEGURAMIENTO]]=""),
    EDA!$A$32,
    moras[[#This Row],[TIPO_ASEGURAMIENTO]]
)</f>
        <v>ASEGURADO VOLUNTARIO</v>
      </c>
    </row>
    <row r="1960" spans="1:16" x14ac:dyDescent="0.3">
      <c r="A1960">
        <v>1959</v>
      </c>
      <c r="B1960" t="s">
        <v>15</v>
      </c>
      <c r="C1960">
        <v>35089948</v>
      </c>
      <c r="D1960" t="s">
        <v>10</v>
      </c>
      <c r="E1960" t="s">
        <v>16</v>
      </c>
      <c r="F1960" t="s">
        <v>12</v>
      </c>
      <c r="G1960" t="s">
        <v>12</v>
      </c>
      <c r="H1960" t="s">
        <v>13</v>
      </c>
      <c r="I1960">
        <v>38</v>
      </c>
      <c r="J1960">
        <f>ABS((I1960-EDA!$A$15)/EDA!$B$15)</f>
        <v>0.28086100744983278</v>
      </c>
      <c r="K1960" t="str">
        <f t="shared" si="30"/>
        <v>No</v>
      </c>
      <c r="L1960">
        <f>ABS((C1960-EDA!$F$15)/EDA!$G$15)</f>
        <v>0.20826753293447342</v>
      </c>
      <c r="M1960" t="str">
        <f>IF(moras[[#This Row],[Z-Score Salario]]&gt;1.96, "Sí", "No")</f>
        <v>No</v>
      </c>
      <c r="N1960" s="14">
        <f>IF(ISBLANK(moras[[#This Row],[SALARIO]]), EDA!$M$8, moras[[#This Row],[SALARIO]])</f>
        <v>35089948</v>
      </c>
      <c r="O1960" s="14">
        <f xml:space="preserve"> IF(ISBLANK(moras[[#This Row],[EDAD]]), EDA!$E$8, moras[[#This Row],[EDAD]])</f>
        <v>38</v>
      </c>
      <c r="P1960" s="14" t="str">
        <f>IF(
    OR(ISBLANK(moras[[#This Row],[TIPO_ASEGURAMIENTO]]), moras[[#This Row],[TIPO_ASEGURAMIENTO]]=""),
    EDA!$A$32,
    moras[[#This Row],[TIPO_ASEGURAMIENTO]]
)</f>
        <v>ASALARIADO</v>
      </c>
    </row>
    <row r="1961" spans="1:16" x14ac:dyDescent="0.3">
      <c r="A1961">
        <v>1960</v>
      </c>
      <c r="B1961" t="s">
        <v>9</v>
      </c>
      <c r="C1961">
        <v>639148</v>
      </c>
      <c r="D1961" t="s">
        <v>18</v>
      </c>
      <c r="E1961" t="s">
        <v>16</v>
      </c>
      <c r="F1961" t="s">
        <v>12</v>
      </c>
      <c r="G1961" t="s">
        <v>13</v>
      </c>
      <c r="H1961" t="s">
        <v>12</v>
      </c>
      <c r="I1961">
        <v>50</v>
      </c>
      <c r="J1961">
        <f>ABS((I1961-EDA!$A$15)/EDA!$B$15)</f>
        <v>0.56604295347581735</v>
      </c>
      <c r="K1961" t="str">
        <f t="shared" si="30"/>
        <v>No</v>
      </c>
      <c r="L1961">
        <f>ABS((C1961-EDA!$F$15)/EDA!$G$15)</f>
        <v>0.36501809830544912</v>
      </c>
      <c r="M1961" t="str">
        <f>IF(moras[[#This Row],[Z-Score Salario]]&gt;1.96, "Sí", "No")</f>
        <v>No</v>
      </c>
      <c r="N1961" s="14">
        <f>IF(ISBLANK(moras[[#This Row],[SALARIO]]), EDA!$M$8, moras[[#This Row],[SALARIO]])</f>
        <v>639148</v>
      </c>
      <c r="O1961" s="14">
        <f xml:space="preserve"> IF(ISBLANK(moras[[#This Row],[EDAD]]), EDA!$E$8, moras[[#This Row],[EDAD]])</f>
        <v>50</v>
      </c>
      <c r="P1961" s="14" t="str">
        <f>IF(
    OR(ISBLANK(moras[[#This Row],[TIPO_ASEGURAMIENTO]]), moras[[#This Row],[TIPO_ASEGURAMIENTO]]=""),
    EDA!$A$32,
    moras[[#This Row],[TIPO_ASEGURAMIENTO]]
)</f>
        <v>TRABAJADOR INDEPENDIENTE</v>
      </c>
    </row>
    <row r="1962" spans="1:16" x14ac:dyDescent="0.3">
      <c r="A1962">
        <v>1961</v>
      </c>
      <c r="B1962" t="s">
        <v>15</v>
      </c>
      <c r="C1962">
        <v>798237</v>
      </c>
      <c r="D1962" t="s">
        <v>10</v>
      </c>
      <c r="E1962" t="s">
        <v>11</v>
      </c>
      <c r="F1962" t="s">
        <v>12</v>
      </c>
      <c r="G1962" t="s">
        <v>13</v>
      </c>
      <c r="H1962" t="s">
        <v>12</v>
      </c>
      <c r="I1962">
        <v>36</v>
      </c>
      <c r="J1962">
        <f>ABS((I1962-EDA!$A$15)/EDA!$B$15)</f>
        <v>0.42201166760410774</v>
      </c>
      <c r="K1962" t="str">
        <f t="shared" si="30"/>
        <v>No</v>
      </c>
      <c r="L1962">
        <f>ABS((C1962-EDA!$F$15)/EDA!$G$15)</f>
        <v>0.36237074504258354</v>
      </c>
      <c r="M1962" t="str">
        <f>IF(moras[[#This Row],[Z-Score Salario]]&gt;1.96, "Sí", "No")</f>
        <v>No</v>
      </c>
      <c r="N1962" s="14">
        <f>IF(ISBLANK(moras[[#This Row],[SALARIO]]), EDA!$M$8, moras[[#This Row],[SALARIO]])</f>
        <v>798237</v>
      </c>
      <c r="O1962" s="14">
        <f xml:space="preserve"> IF(ISBLANK(moras[[#This Row],[EDAD]]), EDA!$E$8, moras[[#This Row],[EDAD]])</f>
        <v>36</v>
      </c>
      <c r="P1962" s="14" t="str">
        <f>IF(
    OR(ISBLANK(moras[[#This Row],[TIPO_ASEGURAMIENTO]]), moras[[#This Row],[TIPO_ASEGURAMIENTO]]=""),
    EDA!$A$32,
    moras[[#This Row],[TIPO_ASEGURAMIENTO]]
)</f>
        <v>ASALARIADO</v>
      </c>
    </row>
    <row r="1963" spans="1:16" x14ac:dyDescent="0.3">
      <c r="A1963">
        <v>1962</v>
      </c>
      <c r="B1963" t="s">
        <v>9</v>
      </c>
      <c r="C1963">
        <v>445567</v>
      </c>
      <c r="D1963" t="s">
        <v>18</v>
      </c>
      <c r="E1963" t="s">
        <v>16</v>
      </c>
      <c r="F1963" t="s">
        <v>12</v>
      </c>
      <c r="G1963" t="s">
        <v>13</v>
      </c>
      <c r="H1963" t="s">
        <v>12</v>
      </c>
      <c r="I1963">
        <v>33</v>
      </c>
      <c r="J1963">
        <f>ABS((I1963-EDA!$A$15)/EDA!$B$15)</f>
        <v>0.63373765783552027</v>
      </c>
      <c r="K1963" t="str">
        <f t="shared" si="30"/>
        <v>No</v>
      </c>
      <c r="L1963">
        <f>ABS((C1963-EDA!$F$15)/EDA!$G$15)</f>
        <v>0.36823942279663813</v>
      </c>
      <c r="M1963" t="str">
        <f>IF(moras[[#This Row],[Z-Score Salario]]&gt;1.96, "Sí", "No")</f>
        <v>No</v>
      </c>
      <c r="N1963" s="14">
        <f>IF(ISBLANK(moras[[#This Row],[SALARIO]]), EDA!$M$8, moras[[#This Row],[SALARIO]])</f>
        <v>445567</v>
      </c>
      <c r="O1963" s="14">
        <f xml:space="preserve"> IF(ISBLANK(moras[[#This Row],[EDAD]]), EDA!$E$8, moras[[#This Row],[EDAD]])</f>
        <v>33</v>
      </c>
      <c r="P1963" s="14" t="str">
        <f>IF(
    OR(ISBLANK(moras[[#This Row],[TIPO_ASEGURAMIENTO]]), moras[[#This Row],[TIPO_ASEGURAMIENTO]]=""),
    EDA!$A$32,
    moras[[#This Row],[TIPO_ASEGURAMIENTO]]
)</f>
        <v>TRABAJADOR INDEPENDIENTE</v>
      </c>
    </row>
    <row r="1964" spans="1:16" x14ac:dyDescent="0.3">
      <c r="A1964">
        <v>1963</v>
      </c>
      <c r="B1964" t="s">
        <v>9</v>
      </c>
      <c r="C1964">
        <v>537540</v>
      </c>
      <c r="D1964" t="s">
        <v>10</v>
      </c>
      <c r="E1964" t="s">
        <v>16</v>
      </c>
      <c r="F1964" t="s">
        <v>12</v>
      </c>
      <c r="G1964" t="s">
        <v>13</v>
      </c>
      <c r="H1964" t="s">
        <v>13</v>
      </c>
      <c r="I1964">
        <v>36</v>
      </c>
      <c r="J1964">
        <f>ABS((I1964-EDA!$A$15)/EDA!$B$15)</f>
        <v>0.42201166760410774</v>
      </c>
      <c r="K1964" t="str">
        <f t="shared" si="30"/>
        <v>No</v>
      </c>
      <c r="L1964">
        <f>ABS((C1964-EDA!$F$15)/EDA!$G$15)</f>
        <v>0.36670892715177561</v>
      </c>
      <c r="M1964" t="str">
        <f>IF(moras[[#This Row],[Z-Score Salario]]&gt;1.96, "Sí", "No")</f>
        <v>No</v>
      </c>
      <c r="N1964" s="14">
        <f>IF(ISBLANK(moras[[#This Row],[SALARIO]]), EDA!$M$8, moras[[#This Row],[SALARIO]])</f>
        <v>537540</v>
      </c>
      <c r="O1964" s="14">
        <f xml:space="preserve"> IF(ISBLANK(moras[[#This Row],[EDAD]]), EDA!$E$8, moras[[#This Row],[EDAD]])</f>
        <v>36</v>
      </c>
      <c r="P1964" s="14" t="str">
        <f>IF(
    OR(ISBLANK(moras[[#This Row],[TIPO_ASEGURAMIENTO]]), moras[[#This Row],[TIPO_ASEGURAMIENTO]]=""),
    EDA!$A$32,
    moras[[#This Row],[TIPO_ASEGURAMIENTO]]
)</f>
        <v>ASALARIADO</v>
      </c>
    </row>
    <row r="1965" spans="1:16" x14ac:dyDescent="0.3">
      <c r="A1965">
        <v>1964</v>
      </c>
      <c r="B1965" t="s">
        <v>9</v>
      </c>
      <c r="C1965">
        <v>300018</v>
      </c>
      <c r="D1965" t="s">
        <v>18</v>
      </c>
      <c r="E1965" t="s">
        <v>16</v>
      </c>
      <c r="F1965" t="s">
        <v>12</v>
      </c>
      <c r="G1965" t="s">
        <v>13</v>
      </c>
      <c r="H1965" t="s">
        <v>13</v>
      </c>
      <c r="I1965">
        <v>71</v>
      </c>
      <c r="J1965">
        <f>ABS((I1965-EDA!$A$15)/EDA!$B$15)</f>
        <v>2.0481248850957048</v>
      </c>
      <c r="K1965" t="str">
        <f t="shared" si="30"/>
        <v>Sí</v>
      </c>
      <c r="L1965">
        <f>ABS((C1965-EDA!$F$15)/EDA!$G$15)</f>
        <v>0.37066146090145252</v>
      </c>
      <c r="M1965" t="str">
        <f>IF(moras[[#This Row],[Z-Score Salario]]&gt;1.96, "Sí", "No")</f>
        <v>No</v>
      </c>
      <c r="N1965" s="14">
        <f>IF(ISBLANK(moras[[#This Row],[SALARIO]]), EDA!$M$8, moras[[#This Row],[SALARIO]])</f>
        <v>300018</v>
      </c>
      <c r="O1965" s="14">
        <f xml:space="preserve"> IF(ISBLANK(moras[[#This Row],[EDAD]]), EDA!$E$8, moras[[#This Row],[EDAD]])</f>
        <v>71</v>
      </c>
      <c r="P1965" s="14" t="str">
        <f>IF(
    OR(ISBLANK(moras[[#This Row],[TIPO_ASEGURAMIENTO]]), moras[[#This Row],[TIPO_ASEGURAMIENTO]]=""),
    EDA!$A$32,
    moras[[#This Row],[TIPO_ASEGURAMIENTO]]
)</f>
        <v>TRABAJADOR INDEPENDIENTE</v>
      </c>
    </row>
    <row r="1966" spans="1:16" x14ac:dyDescent="0.3">
      <c r="A1966">
        <v>1965</v>
      </c>
      <c r="B1966" t="s">
        <v>9</v>
      </c>
      <c r="C1966">
        <v>150080875</v>
      </c>
      <c r="D1966" t="s">
        <v>10</v>
      </c>
      <c r="E1966" t="s">
        <v>16</v>
      </c>
      <c r="F1966" t="s">
        <v>12</v>
      </c>
      <c r="G1966" t="s">
        <v>13</v>
      </c>
      <c r="H1966" t="s">
        <v>13</v>
      </c>
      <c r="I1966">
        <v>37</v>
      </c>
      <c r="J1966">
        <f>ABS((I1966-EDA!$A$15)/EDA!$B$15)</f>
        <v>0.35143633752697023</v>
      </c>
      <c r="K1966" t="str">
        <f t="shared" si="30"/>
        <v>No</v>
      </c>
      <c r="L1966">
        <f>ABS((C1966-EDA!$F$15)/EDA!$G$15)</f>
        <v>2.1217977317124075</v>
      </c>
      <c r="M1966" t="str">
        <f>IF(moras[[#This Row],[Z-Score Salario]]&gt;1.96, "Sí", "No")</f>
        <v>Sí</v>
      </c>
      <c r="N1966" s="14">
        <f>IF(ISBLANK(moras[[#This Row],[SALARIO]]), EDA!$M$8, moras[[#This Row],[SALARIO]])</f>
        <v>150080875</v>
      </c>
      <c r="O1966" s="14">
        <f xml:space="preserve"> IF(ISBLANK(moras[[#This Row],[EDAD]]), EDA!$E$8, moras[[#This Row],[EDAD]])</f>
        <v>37</v>
      </c>
      <c r="P1966" s="14" t="str">
        <f>IF(
    OR(ISBLANK(moras[[#This Row],[TIPO_ASEGURAMIENTO]]), moras[[#This Row],[TIPO_ASEGURAMIENTO]]=""),
    EDA!$A$32,
    moras[[#This Row],[TIPO_ASEGURAMIENTO]]
)</f>
        <v>ASALARIADO</v>
      </c>
    </row>
    <row r="1967" spans="1:16" x14ac:dyDescent="0.3">
      <c r="A1967">
        <v>1966</v>
      </c>
      <c r="B1967" t="s">
        <v>15</v>
      </c>
      <c r="C1967">
        <v>285000</v>
      </c>
      <c r="D1967" t="s">
        <v>10</v>
      </c>
      <c r="E1967" t="s">
        <v>16</v>
      </c>
      <c r="F1967" t="s">
        <v>12</v>
      </c>
      <c r="G1967" t="s">
        <v>13</v>
      </c>
      <c r="H1967" t="s">
        <v>13</v>
      </c>
      <c r="I1967">
        <v>27</v>
      </c>
      <c r="J1967">
        <f>ABS((I1967-EDA!$A$15)/EDA!$B$15)</f>
        <v>1.0571896382983452</v>
      </c>
      <c r="K1967" t="str">
        <f t="shared" si="30"/>
        <v>No</v>
      </c>
      <c r="L1967">
        <f>ABS((C1967-EDA!$F$15)/EDA!$G$15)</f>
        <v>0.37091137102284188</v>
      </c>
      <c r="M1967" t="str">
        <f>IF(moras[[#This Row],[Z-Score Salario]]&gt;1.96, "Sí", "No")</f>
        <v>No</v>
      </c>
      <c r="N1967" s="14">
        <f>IF(ISBLANK(moras[[#This Row],[SALARIO]]), EDA!$M$8, moras[[#This Row],[SALARIO]])</f>
        <v>285000</v>
      </c>
      <c r="O1967" s="14">
        <f xml:space="preserve"> IF(ISBLANK(moras[[#This Row],[EDAD]]), EDA!$E$8, moras[[#This Row],[EDAD]])</f>
        <v>27</v>
      </c>
      <c r="P1967" s="14" t="str">
        <f>IF(
    OR(ISBLANK(moras[[#This Row],[TIPO_ASEGURAMIENTO]]), moras[[#This Row],[TIPO_ASEGURAMIENTO]]=""),
    EDA!$A$32,
    moras[[#This Row],[TIPO_ASEGURAMIENTO]]
)</f>
        <v>ASALARIADO</v>
      </c>
    </row>
    <row r="1968" spans="1:16" x14ac:dyDescent="0.3">
      <c r="A1968">
        <v>1967</v>
      </c>
      <c r="B1968" t="s">
        <v>9</v>
      </c>
      <c r="C1968">
        <v>282305</v>
      </c>
      <c r="D1968" t="s">
        <v>18</v>
      </c>
      <c r="E1968" t="s">
        <v>16</v>
      </c>
      <c r="F1968" t="s">
        <v>12</v>
      </c>
      <c r="G1968" t="s">
        <v>13</v>
      </c>
      <c r="H1968" t="s">
        <v>13</v>
      </c>
      <c r="I1968">
        <v>29</v>
      </c>
      <c r="J1968">
        <f>ABS((I1968-EDA!$A$15)/EDA!$B$15)</f>
        <v>0.91603897814407031</v>
      </c>
      <c r="K1968" t="str">
        <f t="shared" si="30"/>
        <v>No</v>
      </c>
      <c r="L1968">
        <f>ABS((C1968-EDA!$F$15)/EDA!$G$15)</f>
        <v>0.37095621772527526</v>
      </c>
      <c r="M1968" t="str">
        <f>IF(moras[[#This Row],[Z-Score Salario]]&gt;1.96, "Sí", "No")</f>
        <v>No</v>
      </c>
      <c r="N1968" s="14">
        <f>IF(ISBLANK(moras[[#This Row],[SALARIO]]), EDA!$M$8, moras[[#This Row],[SALARIO]])</f>
        <v>282305</v>
      </c>
      <c r="O1968" s="14">
        <f xml:space="preserve"> IF(ISBLANK(moras[[#This Row],[EDAD]]), EDA!$E$8, moras[[#This Row],[EDAD]])</f>
        <v>29</v>
      </c>
      <c r="P1968" s="14" t="str">
        <f>IF(
    OR(ISBLANK(moras[[#This Row],[TIPO_ASEGURAMIENTO]]), moras[[#This Row],[TIPO_ASEGURAMIENTO]]=""),
    EDA!$A$32,
    moras[[#This Row],[TIPO_ASEGURAMIENTO]]
)</f>
        <v>TRABAJADOR INDEPENDIENTE</v>
      </c>
    </row>
    <row r="1969" spans="1:16" x14ac:dyDescent="0.3">
      <c r="A1969">
        <v>1968</v>
      </c>
      <c r="B1969" t="s">
        <v>9</v>
      </c>
      <c r="C1969">
        <v>25466284</v>
      </c>
      <c r="D1969" t="s">
        <v>10</v>
      </c>
      <c r="E1969" t="s">
        <v>11</v>
      </c>
      <c r="F1969" t="s">
        <v>12</v>
      </c>
      <c r="G1969" t="s">
        <v>13</v>
      </c>
      <c r="H1969" t="s">
        <v>13</v>
      </c>
      <c r="I1969">
        <v>59</v>
      </c>
      <c r="J1969">
        <f>ABS((I1969-EDA!$A$15)/EDA!$B$15)</f>
        <v>1.2012209241700549</v>
      </c>
      <c r="K1969" t="str">
        <f t="shared" si="30"/>
        <v>No</v>
      </c>
      <c r="L1969">
        <f>ABS((C1969-EDA!$F$15)/EDA!$G$15)</f>
        <v>4.8122970512674272E-2</v>
      </c>
      <c r="M1969" t="str">
        <f>IF(moras[[#This Row],[Z-Score Salario]]&gt;1.96, "Sí", "No")</f>
        <v>No</v>
      </c>
      <c r="N1969" s="14">
        <f>IF(ISBLANK(moras[[#This Row],[SALARIO]]), EDA!$M$8, moras[[#This Row],[SALARIO]])</f>
        <v>25466284</v>
      </c>
      <c r="O1969" s="14">
        <f xml:space="preserve"> IF(ISBLANK(moras[[#This Row],[EDAD]]), EDA!$E$8, moras[[#This Row],[EDAD]])</f>
        <v>59</v>
      </c>
      <c r="P1969" s="14" t="str">
        <f>IF(
    OR(ISBLANK(moras[[#This Row],[TIPO_ASEGURAMIENTO]]), moras[[#This Row],[TIPO_ASEGURAMIENTO]]=""),
    EDA!$A$32,
    moras[[#This Row],[TIPO_ASEGURAMIENTO]]
)</f>
        <v>ASALARIADO</v>
      </c>
    </row>
    <row r="1970" spans="1:16" x14ac:dyDescent="0.3">
      <c r="A1970">
        <v>1969</v>
      </c>
      <c r="B1970" t="s">
        <v>9</v>
      </c>
      <c r="C1970">
        <v>4619355</v>
      </c>
      <c r="D1970" t="s">
        <v>10</v>
      </c>
      <c r="E1970" t="s">
        <v>16</v>
      </c>
      <c r="F1970" t="s">
        <v>12</v>
      </c>
      <c r="G1970" t="s">
        <v>13</v>
      </c>
      <c r="H1970" t="s">
        <v>13</v>
      </c>
      <c r="I1970">
        <v>28</v>
      </c>
      <c r="J1970">
        <f>ABS((I1970-EDA!$A$15)/EDA!$B$15)</f>
        <v>0.98661430822120777</v>
      </c>
      <c r="K1970" t="str">
        <f t="shared" si="30"/>
        <v>No</v>
      </c>
      <c r="L1970">
        <f>ABS((C1970-EDA!$F$15)/EDA!$G$15)</f>
        <v>0.29878464414878053</v>
      </c>
      <c r="M1970" t="str">
        <f>IF(moras[[#This Row],[Z-Score Salario]]&gt;1.96, "Sí", "No")</f>
        <v>No</v>
      </c>
      <c r="N1970" s="14">
        <f>IF(ISBLANK(moras[[#This Row],[SALARIO]]), EDA!$M$8, moras[[#This Row],[SALARIO]])</f>
        <v>4619355</v>
      </c>
      <c r="O1970" s="14">
        <f xml:space="preserve"> IF(ISBLANK(moras[[#This Row],[EDAD]]), EDA!$E$8, moras[[#This Row],[EDAD]])</f>
        <v>28</v>
      </c>
      <c r="P1970" s="14" t="str">
        <f>IF(
    OR(ISBLANK(moras[[#This Row],[TIPO_ASEGURAMIENTO]]), moras[[#This Row],[TIPO_ASEGURAMIENTO]]=""),
    EDA!$A$32,
    moras[[#This Row],[TIPO_ASEGURAMIENTO]]
)</f>
        <v>ASALARIADO</v>
      </c>
    </row>
    <row r="1971" spans="1:16" x14ac:dyDescent="0.3">
      <c r="A1971">
        <v>1970</v>
      </c>
      <c r="B1971" t="s">
        <v>15</v>
      </c>
      <c r="C1971">
        <v>2123561</v>
      </c>
      <c r="D1971" t="s">
        <v>10</v>
      </c>
      <c r="E1971" t="s">
        <v>16</v>
      </c>
      <c r="F1971" t="s">
        <v>12</v>
      </c>
      <c r="G1971" t="s">
        <v>13</v>
      </c>
      <c r="H1971" t="s">
        <v>13</v>
      </c>
      <c r="I1971">
        <v>27</v>
      </c>
      <c r="J1971">
        <f>ABS((I1971-EDA!$A$15)/EDA!$B$15)</f>
        <v>1.0571896382983452</v>
      </c>
      <c r="K1971" t="str">
        <f t="shared" si="30"/>
        <v>No</v>
      </c>
      <c r="L1971">
        <f>ABS((C1971-EDA!$F$15)/EDA!$G$15)</f>
        <v>0.34031641812020674</v>
      </c>
      <c r="M1971" t="str">
        <f>IF(moras[[#This Row],[Z-Score Salario]]&gt;1.96, "Sí", "No")</f>
        <v>No</v>
      </c>
      <c r="N1971" s="14">
        <f>IF(ISBLANK(moras[[#This Row],[SALARIO]]), EDA!$M$8, moras[[#This Row],[SALARIO]])</f>
        <v>2123561</v>
      </c>
      <c r="O1971" s="14">
        <f xml:space="preserve"> IF(ISBLANK(moras[[#This Row],[EDAD]]), EDA!$E$8, moras[[#This Row],[EDAD]])</f>
        <v>27</v>
      </c>
      <c r="P1971" s="14" t="str">
        <f>IF(
    OR(ISBLANK(moras[[#This Row],[TIPO_ASEGURAMIENTO]]), moras[[#This Row],[TIPO_ASEGURAMIENTO]]=""),
    EDA!$A$32,
    moras[[#This Row],[TIPO_ASEGURAMIENTO]]
)</f>
        <v>ASALARIADO</v>
      </c>
    </row>
    <row r="1972" spans="1:16" x14ac:dyDescent="0.3">
      <c r="A1972">
        <v>1971</v>
      </c>
      <c r="B1972" t="s">
        <v>9</v>
      </c>
      <c r="C1972">
        <v>297046</v>
      </c>
      <c r="D1972" t="s">
        <v>18</v>
      </c>
      <c r="E1972" t="s">
        <v>16</v>
      </c>
      <c r="F1972" t="s">
        <v>12</v>
      </c>
      <c r="G1972" t="s">
        <v>13</v>
      </c>
      <c r="H1972" t="s">
        <v>12</v>
      </c>
      <c r="I1972">
        <v>38</v>
      </c>
      <c r="J1972">
        <f>ABS((I1972-EDA!$A$15)/EDA!$B$15)</f>
        <v>0.28086100744983278</v>
      </c>
      <c r="K1972" t="str">
        <f t="shared" si="30"/>
        <v>No</v>
      </c>
      <c r="L1972">
        <f>ABS((C1972-EDA!$F$15)/EDA!$G$15)</f>
        <v>0.37071091707942361</v>
      </c>
      <c r="M1972" t="str">
        <f>IF(moras[[#This Row],[Z-Score Salario]]&gt;1.96, "Sí", "No")</f>
        <v>No</v>
      </c>
      <c r="N1972" s="14">
        <f>IF(ISBLANK(moras[[#This Row],[SALARIO]]), EDA!$M$8, moras[[#This Row],[SALARIO]])</f>
        <v>297046</v>
      </c>
      <c r="O1972" s="14">
        <f xml:space="preserve"> IF(ISBLANK(moras[[#This Row],[EDAD]]), EDA!$E$8, moras[[#This Row],[EDAD]])</f>
        <v>38</v>
      </c>
      <c r="P1972" s="14" t="str">
        <f>IF(
    OR(ISBLANK(moras[[#This Row],[TIPO_ASEGURAMIENTO]]), moras[[#This Row],[TIPO_ASEGURAMIENTO]]=""),
    EDA!$A$32,
    moras[[#This Row],[TIPO_ASEGURAMIENTO]]
)</f>
        <v>TRABAJADOR INDEPENDIENTE</v>
      </c>
    </row>
    <row r="1973" spans="1:16" x14ac:dyDescent="0.3">
      <c r="A1973">
        <v>1972</v>
      </c>
      <c r="B1973" t="s">
        <v>15</v>
      </c>
      <c r="C1973">
        <v>367734</v>
      </c>
      <c r="D1973" t="s">
        <v>18</v>
      </c>
      <c r="E1973" t="s">
        <v>16</v>
      </c>
      <c r="F1973" t="s">
        <v>12</v>
      </c>
      <c r="G1973" t="s">
        <v>13</v>
      </c>
      <c r="H1973" t="s">
        <v>13</v>
      </c>
      <c r="I1973">
        <v>45</v>
      </c>
      <c r="J1973">
        <f>ABS((I1973-EDA!$A$15)/EDA!$B$15)</f>
        <v>0.21316630309012977</v>
      </c>
      <c r="K1973" t="str">
        <f t="shared" si="30"/>
        <v>No</v>
      </c>
      <c r="L1973">
        <f>ABS((C1973-EDA!$F$15)/EDA!$G$15)</f>
        <v>0.36953461885990219</v>
      </c>
      <c r="M1973" t="str">
        <f>IF(moras[[#This Row],[Z-Score Salario]]&gt;1.96, "Sí", "No")</f>
        <v>No</v>
      </c>
      <c r="N1973" s="14">
        <f>IF(ISBLANK(moras[[#This Row],[SALARIO]]), EDA!$M$8, moras[[#This Row],[SALARIO]])</f>
        <v>367734</v>
      </c>
      <c r="O1973" s="14">
        <f xml:space="preserve"> IF(ISBLANK(moras[[#This Row],[EDAD]]), EDA!$E$8, moras[[#This Row],[EDAD]])</f>
        <v>45</v>
      </c>
      <c r="P1973" s="14" t="str">
        <f>IF(
    OR(ISBLANK(moras[[#This Row],[TIPO_ASEGURAMIENTO]]), moras[[#This Row],[TIPO_ASEGURAMIENTO]]=""),
    EDA!$A$32,
    moras[[#This Row],[TIPO_ASEGURAMIENTO]]
)</f>
        <v>TRABAJADOR INDEPENDIENTE</v>
      </c>
    </row>
    <row r="1974" spans="1:16" x14ac:dyDescent="0.3">
      <c r="A1974">
        <v>1973</v>
      </c>
      <c r="B1974" t="s">
        <v>15</v>
      </c>
      <c r="C1974">
        <v>3553113</v>
      </c>
      <c r="D1974" t="s">
        <v>10</v>
      </c>
      <c r="E1974" t="s">
        <v>11</v>
      </c>
      <c r="F1974" t="s">
        <v>12</v>
      </c>
      <c r="G1974" t="s">
        <v>13</v>
      </c>
      <c r="H1974" t="s">
        <v>13</v>
      </c>
      <c r="I1974">
        <v>46</v>
      </c>
      <c r="J1974">
        <f>ABS((I1974-EDA!$A$15)/EDA!$B$15)</f>
        <v>0.2837416331672673</v>
      </c>
      <c r="K1974" t="str">
        <f t="shared" si="30"/>
        <v>No</v>
      </c>
      <c r="L1974">
        <f>ABS((C1974-EDA!$F$15)/EDA!$G$15)</f>
        <v>0.31652766370201346</v>
      </c>
      <c r="M1974" t="str">
        <f>IF(moras[[#This Row],[Z-Score Salario]]&gt;1.96, "Sí", "No")</f>
        <v>No</v>
      </c>
      <c r="N1974" s="14">
        <f>IF(ISBLANK(moras[[#This Row],[SALARIO]]), EDA!$M$8, moras[[#This Row],[SALARIO]])</f>
        <v>3553113</v>
      </c>
      <c r="O1974" s="14">
        <f xml:space="preserve"> IF(ISBLANK(moras[[#This Row],[EDAD]]), EDA!$E$8, moras[[#This Row],[EDAD]])</f>
        <v>46</v>
      </c>
      <c r="P1974" s="14" t="str">
        <f>IF(
    OR(ISBLANK(moras[[#This Row],[TIPO_ASEGURAMIENTO]]), moras[[#This Row],[TIPO_ASEGURAMIENTO]]=""),
    EDA!$A$32,
    moras[[#This Row],[TIPO_ASEGURAMIENTO]]
)</f>
        <v>ASALARIADO</v>
      </c>
    </row>
    <row r="1975" spans="1:16" x14ac:dyDescent="0.3">
      <c r="A1975">
        <v>1974</v>
      </c>
      <c r="B1975" t="s">
        <v>9</v>
      </c>
      <c r="C1975">
        <v>4340894</v>
      </c>
      <c r="D1975" t="s">
        <v>14</v>
      </c>
      <c r="E1975" t="s">
        <v>11</v>
      </c>
      <c r="F1975" t="s">
        <v>12</v>
      </c>
      <c r="G1975" t="s">
        <v>13</v>
      </c>
      <c r="H1975" t="s">
        <v>13</v>
      </c>
      <c r="I1975">
        <v>54</v>
      </c>
      <c r="J1975">
        <f>ABS((I1975-EDA!$A$15)/EDA!$B$15)</f>
        <v>0.84834427378436728</v>
      </c>
      <c r="K1975" t="str">
        <f t="shared" si="30"/>
        <v>No</v>
      </c>
      <c r="L1975">
        <f>ABS((C1975-EDA!$F$15)/EDA!$G$15)</f>
        <v>0.30341843175779687</v>
      </c>
      <c r="M1975" t="str">
        <f>IF(moras[[#This Row],[Z-Score Salario]]&gt;1.96, "Sí", "No")</f>
        <v>No</v>
      </c>
      <c r="N1975" s="14">
        <f>IF(ISBLANK(moras[[#This Row],[SALARIO]]), EDA!$M$8, moras[[#This Row],[SALARIO]])</f>
        <v>4340894</v>
      </c>
      <c r="O1975" s="14">
        <f xml:space="preserve"> IF(ISBLANK(moras[[#This Row],[EDAD]]), EDA!$E$8, moras[[#This Row],[EDAD]])</f>
        <v>54</v>
      </c>
      <c r="P1975" s="14" t="str">
        <f>IF(
    OR(ISBLANK(moras[[#This Row],[TIPO_ASEGURAMIENTO]]), moras[[#This Row],[TIPO_ASEGURAMIENTO]]=""),
    EDA!$A$32,
    moras[[#This Row],[TIPO_ASEGURAMIENTO]]
)</f>
        <v>PENSIONADOS EN SU PROPIO SISTEMA</v>
      </c>
    </row>
    <row r="1976" spans="1:16" x14ac:dyDescent="0.3">
      <c r="A1976">
        <v>1975</v>
      </c>
      <c r="B1976" t="s">
        <v>15</v>
      </c>
      <c r="C1976">
        <v>300056</v>
      </c>
      <c r="D1976" t="s">
        <v>14</v>
      </c>
      <c r="E1976" t="s">
        <v>11</v>
      </c>
      <c r="F1976" t="s">
        <v>12</v>
      </c>
      <c r="G1976" t="s">
        <v>13</v>
      </c>
      <c r="H1976" t="s">
        <v>13</v>
      </c>
      <c r="I1976">
        <v>60</v>
      </c>
      <c r="J1976">
        <f>ABS((I1976-EDA!$A$15)/EDA!$B$15)</f>
        <v>1.2717962542471923</v>
      </c>
      <c r="K1976" t="str">
        <f t="shared" si="30"/>
        <v>No</v>
      </c>
      <c r="L1976">
        <f>ABS((C1976-EDA!$F$15)/EDA!$G$15)</f>
        <v>0.3706608285546279</v>
      </c>
      <c r="M1976" t="str">
        <f>IF(moras[[#This Row],[Z-Score Salario]]&gt;1.96, "Sí", "No")</f>
        <v>No</v>
      </c>
      <c r="N1976" s="14">
        <f>IF(ISBLANK(moras[[#This Row],[SALARIO]]), EDA!$M$8, moras[[#This Row],[SALARIO]])</f>
        <v>300056</v>
      </c>
      <c r="O1976" s="14">
        <f xml:space="preserve"> IF(ISBLANK(moras[[#This Row],[EDAD]]), EDA!$E$8, moras[[#This Row],[EDAD]])</f>
        <v>60</v>
      </c>
      <c r="P1976" s="14" t="str">
        <f>IF(
    OR(ISBLANK(moras[[#This Row],[TIPO_ASEGURAMIENTO]]), moras[[#This Row],[TIPO_ASEGURAMIENTO]]=""),
    EDA!$A$32,
    moras[[#This Row],[TIPO_ASEGURAMIENTO]]
)</f>
        <v>PENSIONADOS EN SU PROPIO SISTEMA</v>
      </c>
    </row>
    <row r="1977" spans="1:16" x14ac:dyDescent="0.3">
      <c r="A1977">
        <v>1976</v>
      </c>
      <c r="B1977" t="s">
        <v>9</v>
      </c>
      <c r="C1977">
        <v>22259723</v>
      </c>
      <c r="D1977" t="s">
        <v>10</v>
      </c>
      <c r="E1977" t="s">
        <v>16</v>
      </c>
      <c r="F1977" t="s">
        <v>12</v>
      </c>
      <c r="G1977" t="s">
        <v>13</v>
      </c>
      <c r="H1977" t="s">
        <v>13</v>
      </c>
      <c r="I1977">
        <v>23</v>
      </c>
      <c r="J1977">
        <f>ABS((I1977-EDA!$A$15)/EDA!$B$15)</f>
        <v>1.3394909586068953</v>
      </c>
      <c r="K1977" t="str">
        <f t="shared" si="30"/>
        <v>No</v>
      </c>
      <c r="L1977">
        <f>ABS((C1977-EDA!$F$15)/EDA!$G$15)</f>
        <v>5.2364680778466208E-3</v>
      </c>
      <c r="M1977" t="str">
        <f>IF(moras[[#This Row],[Z-Score Salario]]&gt;1.96, "Sí", "No")</f>
        <v>No</v>
      </c>
      <c r="N1977" s="14">
        <f>IF(ISBLANK(moras[[#This Row],[SALARIO]]), EDA!$M$8, moras[[#This Row],[SALARIO]])</f>
        <v>22259723</v>
      </c>
      <c r="O1977" s="14">
        <f xml:space="preserve"> IF(ISBLANK(moras[[#This Row],[EDAD]]), EDA!$E$8, moras[[#This Row],[EDAD]])</f>
        <v>23</v>
      </c>
      <c r="P1977" s="14" t="str">
        <f>IF(
    OR(ISBLANK(moras[[#This Row],[TIPO_ASEGURAMIENTO]]), moras[[#This Row],[TIPO_ASEGURAMIENTO]]=""),
    EDA!$A$32,
    moras[[#This Row],[TIPO_ASEGURAMIENTO]]
)</f>
        <v>ASALARIADO</v>
      </c>
    </row>
    <row r="1978" spans="1:16" x14ac:dyDescent="0.3">
      <c r="A1978">
        <v>1977</v>
      </c>
      <c r="B1978" t="s">
        <v>9</v>
      </c>
      <c r="C1978">
        <v>409746</v>
      </c>
      <c r="D1978" t="s">
        <v>18</v>
      </c>
      <c r="E1978" t="s">
        <v>16</v>
      </c>
      <c r="F1978" t="s">
        <v>12</v>
      </c>
      <c r="G1978" t="s">
        <v>13</v>
      </c>
      <c r="H1978" t="s">
        <v>12</v>
      </c>
      <c r="I1978">
        <v>30</v>
      </c>
      <c r="J1978">
        <f>ABS((I1978-EDA!$A$15)/EDA!$B$15)</f>
        <v>0.84546364806693275</v>
      </c>
      <c r="K1978" t="str">
        <f t="shared" si="30"/>
        <v>No</v>
      </c>
      <c r="L1978">
        <f>ABS((C1978-EDA!$F$15)/EDA!$G$15)</f>
        <v>0.36883550952311894</v>
      </c>
      <c r="M1978" t="str">
        <f>IF(moras[[#This Row],[Z-Score Salario]]&gt;1.96, "Sí", "No")</f>
        <v>No</v>
      </c>
      <c r="N1978" s="14">
        <f>IF(ISBLANK(moras[[#This Row],[SALARIO]]), EDA!$M$8, moras[[#This Row],[SALARIO]])</f>
        <v>409746</v>
      </c>
      <c r="O1978" s="14">
        <f xml:space="preserve"> IF(ISBLANK(moras[[#This Row],[EDAD]]), EDA!$E$8, moras[[#This Row],[EDAD]])</f>
        <v>30</v>
      </c>
      <c r="P1978" s="14" t="str">
        <f>IF(
    OR(ISBLANK(moras[[#This Row],[TIPO_ASEGURAMIENTO]]), moras[[#This Row],[TIPO_ASEGURAMIENTO]]=""),
    EDA!$A$32,
    moras[[#This Row],[TIPO_ASEGURAMIENTO]]
)</f>
        <v>TRABAJADOR INDEPENDIENTE</v>
      </c>
    </row>
    <row r="1979" spans="1:16" x14ac:dyDescent="0.3">
      <c r="A1979">
        <v>1978</v>
      </c>
      <c r="B1979" t="s">
        <v>9</v>
      </c>
      <c r="C1979">
        <v>3464745</v>
      </c>
      <c r="D1979" t="s">
        <v>10</v>
      </c>
      <c r="E1979" t="s">
        <v>16</v>
      </c>
      <c r="F1979" t="s">
        <v>12</v>
      </c>
      <c r="G1979" t="s">
        <v>13</v>
      </c>
      <c r="H1979" t="s">
        <v>13</v>
      </c>
      <c r="I1979">
        <v>28</v>
      </c>
      <c r="J1979">
        <f>ABS((I1979-EDA!$A$15)/EDA!$B$15)</f>
        <v>0.98661430822120777</v>
      </c>
      <c r="K1979" t="str">
        <f t="shared" si="30"/>
        <v>No</v>
      </c>
      <c r="L1979">
        <f>ABS((C1979-EDA!$F$15)/EDA!$G$15)</f>
        <v>0.31799816960206251</v>
      </c>
      <c r="M1979" t="str">
        <f>IF(moras[[#This Row],[Z-Score Salario]]&gt;1.96, "Sí", "No")</f>
        <v>No</v>
      </c>
      <c r="N1979" s="14">
        <f>IF(ISBLANK(moras[[#This Row],[SALARIO]]), EDA!$M$8, moras[[#This Row],[SALARIO]])</f>
        <v>3464745</v>
      </c>
      <c r="O1979" s="14">
        <f xml:space="preserve"> IF(ISBLANK(moras[[#This Row],[EDAD]]), EDA!$E$8, moras[[#This Row],[EDAD]])</f>
        <v>28</v>
      </c>
      <c r="P1979" s="14" t="str">
        <f>IF(
    OR(ISBLANK(moras[[#This Row],[TIPO_ASEGURAMIENTO]]), moras[[#This Row],[TIPO_ASEGURAMIENTO]]=""),
    EDA!$A$32,
    moras[[#This Row],[TIPO_ASEGURAMIENTO]]
)</f>
        <v>ASALARIADO</v>
      </c>
    </row>
    <row r="1980" spans="1:16" x14ac:dyDescent="0.3">
      <c r="A1980">
        <v>1979</v>
      </c>
      <c r="B1980" t="s">
        <v>9</v>
      </c>
      <c r="C1980">
        <v>278030</v>
      </c>
      <c r="D1980" t="s">
        <v>19</v>
      </c>
      <c r="E1980" t="s">
        <v>16</v>
      </c>
      <c r="F1980" t="s">
        <v>12</v>
      </c>
      <c r="G1980" t="s">
        <v>13</v>
      </c>
      <c r="H1980" t="s">
        <v>13</v>
      </c>
      <c r="I1980">
        <v>86</v>
      </c>
      <c r="J1980">
        <f>ABS((I1980-EDA!$A$15)/EDA!$B$15)</f>
        <v>3.1067548362527675</v>
      </c>
      <c r="K1980" t="str">
        <f t="shared" si="30"/>
        <v>Sí</v>
      </c>
      <c r="L1980">
        <f>ABS((C1980-EDA!$F$15)/EDA!$G$15)</f>
        <v>0.37102735674304993</v>
      </c>
      <c r="M1980" t="str">
        <f>IF(moras[[#This Row],[Z-Score Salario]]&gt;1.96, "Sí", "No")</f>
        <v>No</v>
      </c>
      <c r="N1980" s="14">
        <f>IF(ISBLANK(moras[[#This Row],[SALARIO]]), EDA!$M$8, moras[[#This Row],[SALARIO]])</f>
        <v>278030</v>
      </c>
      <c r="O1980" s="14">
        <f xml:space="preserve"> IF(ISBLANK(moras[[#This Row],[EDAD]]), EDA!$E$8, moras[[#This Row],[EDAD]])</f>
        <v>86</v>
      </c>
      <c r="P1980" s="14" t="str">
        <f>IF(
    OR(ISBLANK(moras[[#This Row],[TIPO_ASEGURAMIENTO]]), moras[[#This Row],[TIPO_ASEGURAMIENTO]]=""),
    EDA!$A$32,
    moras[[#This Row],[TIPO_ASEGURAMIENTO]]
)</f>
        <v>CONVENIOS ESPECIALES DE TRABAJADORES INDEPENDIENTES</v>
      </c>
    </row>
    <row r="1981" spans="1:16" x14ac:dyDescent="0.3">
      <c r="A1981">
        <v>1980</v>
      </c>
      <c r="B1981" t="s">
        <v>9</v>
      </c>
      <c r="C1981">
        <v>27803099</v>
      </c>
      <c r="D1981" t="s">
        <v>19</v>
      </c>
      <c r="E1981" t="s">
        <v>16</v>
      </c>
      <c r="F1981" t="s">
        <v>12</v>
      </c>
      <c r="G1981" t="s">
        <v>13</v>
      </c>
      <c r="H1981" t="s">
        <v>13</v>
      </c>
      <c r="I1981">
        <v>27</v>
      </c>
      <c r="J1981">
        <f>ABS((I1981-EDA!$A$15)/EDA!$B$15)</f>
        <v>1.0571896382983452</v>
      </c>
      <c r="K1981" t="str">
        <f t="shared" si="30"/>
        <v>No</v>
      </c>
      <c r="L1981">
        <f>ABS((C1981-EDA!$F$15)/EDA!$G$15)</f>
        <v>8.7009221698885322E-2</v>
      </c>
      <c r="M1981" t="str">
        <f>IF(moras[[#This Row],[Z-Score Salario]]&gt;1.96, "Sí", "No")</f>
        <v>No</v>
      </c>
      <c r="N1981" s="14">
        <f>IF(ISBLANK(moras[[#This Row],[SALARIO]]), EDA!$M$8, moras[[#This Row],[SALARIO]])</f>
        <v>27803099</v>
      </c>
      <c r="O1981" s="14">
        <f xml:space="preserve"> IF(ISBLANK(moras[[#This Row],[EDAD]]), EDA!$E$8, moras[[#This Row],[EDAD]])</f>
        <v>27</v>
      </c>
      <c r="P1981" s="14" t="str">
        <f>IF(
    OR(ISBLANK(moras[[#This Row],[TIPO_ASEGURAMIENTO]]), moras[[#This Row],[TIPO_ASEGURAMIENTO]]=""),
    EDA!$A$32,
    moras[[#This Row],[TIPO_ASEGURAMIENTO]]
)</f>
        <v>CONVENIOS ESPECIALES DE TRABAJADORES INDEPENDIENTES</v>
      </c>
    </row>
    <row r="1982" spans="1:16" x14ac:dyDescent="0.3">
      <c r="A1982">
        <v>1981</v>
      </c>
      <c r="B1982" t="s">
        <v>9</v>
      </c>
      <c r="C1982">
        <v>530000</v>
      </c>
      <c r="D1982" t="s">
        <v>10</v>
      </c>
      <c r="E1982" t="s">
        <v>16</v>
      </c>
      <c r="F1982" t="s">
        <v>12</v>
      </c>
      <c r="G1982" t="s">
        <v>13</v>
      </c>
      <c r="H1982" t="s">
        <v>13</v>
      </c>
      <c r="I1982">
        <v>24</v>
      </c>
      <c r="J1982">
        <f>ABS((I1982-EDA!$A$15)/EDA!$B$15)</f>
        <v>1.2689156285297578</v>
      </c>
      <c r="K1982" t="str">
        <f t="shared" si="30"/>
        <v>No</v>
      </c>
      <c r="L1982">
        <f>ABS((C1982-EDA!$F$15)/EDA!$G$15)</f>
        <v>0.36683439807435358</v>
      </c>
      <c r="M1982" t="str">
        <f>IF(moras[[#This Row],[Z-Score Salario]]&gt;1.96, "Sí", "No")</f>
        <v>No</v>
      </c>
      <c r="N1982" s="14">
        <f>IF(ISBLANK(moras[[#This Row],[SALARIO]]), EDA!$M$8, moras[[#This Row],[SALARIO]])</f>
        <v>530000</v>
      </c>
      <c r="O1982" s="14">
        <f xml:space="preserve"> IF(ISBLANK(moras[[#This Row],[EDAD]]), EDA!$E$8, moras[[#This Row],[EDAD]])</f>
        <v>24</v>
      </c>
      <c r="P1982" s="14" t="str">
        <f>IF(
    OR(ISBLANK(moras[[#This Row],[TIPO_ASEGURAMIENTO]]), moras[[#This Row],[TIPO_ASEGURAMIENTO]]=""),
    EDA!$A$32,
    moras[[#This Row],[TIPO_ASEGURAMIENTO]]
)</f>
        <v>ASALARIADO</v>
      </c>
    </row>
    <row r="1983" spans="1:16" x14ac:dyDescent="0.3">
      <c r="A1983">
        <v>1982</v>
      </c>
      <c r="B1983" t="s">
        <v>15</v>
      </c>
      <c r="C1983">
        <v>1583743</v>
      </c>
      <c r="D1983" t="s">
        <v>10</v>
      </c>
      <c r="E1983" t="s">
        <v>11</v>
      </c>
      <c r="F1983" t="s">
        <v>12</v>
      </c>
      <c r="G1983" t="s">
        <v>13</v>
      </c>
      <c r="H1983" t="s">
        <v>13</v>
      </c>
      <c r="I1983">
        <v>58</v>
      </c>
      <c r="J1983">
        <f>ABS((I1983-EDA!$A$15)/EDA!$B$15)</f>
        <v>1.1306455940929174</v>
      </c>
      <c r="K1983" t="str">
        <f t="shared" si="30"/>
        <v>No</v>
      </c>
      <c r="L1983">
        <f>ABS((C1983-EDA!$F$15)/EDA!$G$15)</f>
        <v>0.34929937070431721</v>
      </c>
      <c r="M1983" t="str">
        <f>IF(moras[[#This Row],[Z-Score Salario]]&gt;1.96, "Sí", "No")</f>
        <v>No</v>
      </c>
      <c r="N1983" s="14">
        <f>IF(ISBLANK(moras[[#This Row],[SALARIO]]), EDA!$M$8, moras[[#This Row],[SALARIO]])</f>
        <v>1583743</v>
      </c>
      <c r="O1983" s="14">
        <f xml:space="preserve"> IF(ISBLANK(moras[[#This Row],[EDAD]]), EDA!$E$8, moras[[#This Row],[EDAD]])</f>
        <v>58</v>
      </c>
      <c r="P1983" s="14" t="str">
        <f>IF(
    OR(ISBLANK(moras[[#This Row],[TIPO_ASEGURAMIENTO]]), moras[[#This Row],[TIPO_ASEGURAMIENTO]]=""),
    EDA!$A$32,
    moras[[#This Row],[TIPO_ASEGURAMIENTO]]
)</f>
        <v>ASALARIADO</v>
      </c>
    </row>
    <row r="1984" spans="1:16" x14ac:dyDescent="0.3">
      <c r="A1984">
        <v>1983</v>
      </c>
      <c r="B1984" t="s">
        <v>15</v>
      </c>
      <c r="C1984">
        <v>1178626</v>
      </c>
      <c r="D1984" t="s">
        <v>10</v>
      </c>
      <c r="E1984" t="s">
        <v>11</v>
      </c>
      <c r="F1984" t="s">
        <v>12</v>
      </c>
      <c r="G1984" t="s">
        <v>13</v>
      </c>
      <c r="H1984" t="s">
        <v>13</v>
      </c>
      <c r="I1984">
        <v>36</v>
      </c>
      <c r="J1984">
        <f>ABS((I1984-EDA!$A$15)/EDA!$B$15)</f>
        <v>0.42201166760410774</v>
      </c>
      <c r="K1984" t="str">
        <f t="shared" si="30"/>
        <v>No</v>
      </c>
      <c r="L1984">
        <f>ABS((C1984-EDA!$F$15)/EDA!$G$15)</f>
        <v>0.35604080356134882</v>
      </c>
      <c r="M1984" t="str">
        <f>IF(moras[[#This Row],[Z-Score Salario]]&gt;1.96, "Sí", "No")</f>
        <v>No</v>
      </c>
      <c r="N1984" s="14">
        <f>IF(ISBLANK(moras[[#This Row],[SALARIO]]), EDA!$M$8, moras[[#This Row],[SALARIO]])</f>
        <v>1178626</v>
      </c>
      <c r="O1984" s="14">
        <f xml:space="preserve"> IF(ISBLANK(moras[[#This Row],[EDAD]]), EDA!$E$8, moras[[#This Row],[EDAD]])</f>
        <v>36</v>
      </c>
      <c r="P1984" s="14" t="str">
        <f>IF(
    OR(ISBLANK(moras[[#This Row],[TIPO_ASEGURAMIENTO]]), moras[[#This Row],[TIPO_ASEGURAMIENTO]]=""),
    EDA!$A$32,
    moras[[#This Row],[TIPO_ASEGURAMIENTO]]
)</f>
        <v>ASALARIADO</v>
      </c>
    </row>
    <row r="1985" spans="1:16" x14ac:dyDescent="0.3">
      <c r="A1985">
        <v>1984</v>
      </c>
      <c r="B1985" t="s">
        <v>9</v>
      </c>
      <c r="C1985">
        <v>297045</v>
      </c>
      <c r="D1985" t="s">
        <v>17</v>
      </c>
      <c r="E1985" t="s">
        <v>16</v>
      </c>
      <c r="F1985" t="s">
        <v>12</v>
      </c>
      <c r="G1985" t="s">
        <v>13</v>
      </c>
      <c r="H1985" t="s">
        <v>13</v>
      </c>
      <c r="I1985">
        <v>78</v>
      </c>
      <c r="J1985">
        <f>ABS((I1985-EDA!$A$15)/EDA!$B$15)</f>
        <v>2.5421521956356674</v>
      </c>
      <c r="K1985" t="str">
        <f t="shared" si="30"/>
        <v>Sí</v>
      </c>
      <c r="L1985">
        <f>ABS((C1985-EDA!$F$15)/EDA!$G$15)</f>
        <v>0.37071093372012948</v>
      </c>
      <c r="M1985" t="str">
        <f>IF(moras[[#This Row],[Z-Score Salario]]&gt;1.96, "Sí", "No")</f>
        <v>No</v>
      </c>
      <c r="N1985" s="14">
        <f>IF(ISBLANK(moras[[#This Row],[SALARIO]]), EDA!$M$8, moras[[#This Row],[SALARIO]])</f>
        <v>297045</v>
      </c>
      <c r="O1985" s="14">
        <f xml:space="preserve"> IF(ISBLANK(moras[[#This Row],[EDAD]]), EDA!$E$8, moras[[#This Row],[EDAD]])</f>
        <v>78</v>
      </c>
      <c r="P1985" s="14" t="str">
        <f>IF(
    OR(ISBLANK(moras[[#This Row],[TIPO_ASEGURAMIENTO]]), moras[[#This Row],[TIPO_ASEGURAMIENTO]]=""),
    EDA!$A$32,
    moras[[#This Row],[TIPO_ASEGURAMIENTO]]
)</f>
        <v>ASEGURADO VOLUNTARIO</v>
      </c>
    </row>
    <row r="1986" spans="1:16" x14ac:dyDescent="0.3">
      <c r="A1986">
        <v>1985</v>
      </c>
      <c r="B1986" t="s">
        <v>15</v>
      </c>
      <c r="C1986">
        <v>48469948</v>
      </c>
      <c r="D1986" t="s">
        <v>10</v>
      </c>
      <c r="E1986" t="s">
        <v>16</v>
      </c>
      <c r="F1986" t="s">
        <v>12</v>
      </c>
      <c r="G1986" t="s">
        <v>13</v>
      </c>
      <c r="H1986" t="s">
        <v>13</v>
      </c>
      <c r="I1986">
        <v>21</v>
      </c>
      <c r="J1986">
        <f>ABS((I1986-EDA!$A$15)/EDA!$B$15)</f>
        <v>1.4806416187611704</v>
      </c>
      <c r="K1986" t="str">
        <f t="shared" ref="K1986:K2049" si="31">IF(J1986 &gt;  1.96, "Sí","No")</f>
        <v>No</v>
      </c>
      <c r="L1986">
        <f>ABS((C1986-EDA!$F$15)/EDA!$G$15)</f>
        <v>0.43092017803967164</v>
      </c>
      <c r="M1986" t="str">
        <f>IF(moras[[#This Row],[Z-Score Salario]]&gt;1.96, "Sí", "No")</f>
        <v>No</v>
      </c>
      <c r="N1986" s="14">
        <f>IF(ISBLANK(moras[[#This Row],[SALARIO]]), EDA!$M$8, moras[[#This Row],[SALARIO]])</f>
        <v>48469948</v>
      </c>
      <c r="O1986" s="14">
        <f xml:space="preserve"> IF(ISBLANK(moras[[#This Row],[EDAD]]), EDA!$E$8, moras[[#This Row],[EDAD]])</f>
        <v>21</v>
      </c>
      <c r="P1986" s="14" t="str">
        <f>IF(
    OR(ISBLANK(moras[[#This Row],[TIPO_ASEGURAMIENTO]]), moras[[#This Row],[TIPO_ASEGURAMIENTO]]=""),
    EDA!$A$32,
    moras[[#This Row],[TIPO_ASEGURAMIENTO]]
)</f>
        <v>ASALARIADO</v>
      </c>
    </row>
    <row r="1987" spans="1:16" x14ac:dyDescent="0.3">
      <c r="A1987">
        <v>1986</v>
      </c>
      <c r="B1987" t="s">
        <v>9</v>
      </c>
      <c r="C1987">
        <v>1782316</v>
      </c>
      <c r="D1987" t="s">
        <v>10</v>
      </c>
      <c r="E1987" t="s">
        <v>11</v>
      </c>
      <c r="F1987" t="s">
        <v>12</v>
      </c>
      <c r="G1987" t="s">
        <v>13</v>
      </c>
      <c r="H1987" t="s">
        <v>12</v>
      </c>
      <c r="I1987">
        <v>50</v>
      </c>
      <c r="J1987">
        <f>ABS((I1987-EDA!$A$15)/EDA!$B$15)</f>
        <v>0.56604295347581735</v>
      </c>
      <c r="K1987" t="str">
        <f t="shared" si="31"/>
        <v>No</v>
      </c>
      <c r="L1987">
        <f>ABS((C1987-EDA!$F$15)/EDA!$G$15)</f>
        <v>0.34599497580921446</v>
      </c>
      <c r="M1987" t="str">
        <f>IF(moras[[#This Row],[Z-Score Salario]]&gt;1.96, "Sí", "No")</f>
        <v>No</v>
      </c>
      <c r="N1987" s="14">
        <f>IF(ISBLANK(moras[[#This Row],[SALARIO]]), EDA!$M$8, moras[[#This Row],[SALARIO]])</f>
        <v>1782316</v>
      </c>
      <c r="O1987" s="14">
        <f xml:space="preserve"> IF(ISBLANK(moras[[#This Row],[EDAD]]), EDA!$E$8, moras[[#This Row],[EDAD]])</f>
        <v>50</v>
      </c>
      <c r="P1987" s="14" t="str">
        <f>IF(
    OR(ISBLANK(moras[[#This Row],[TIPO_ASEGURAMIENTO]]), moras[[#This Row],[TIPO_ASEGURAMIENTO]]=""),
    EDA!$A$32,
    moras[[#This Row],[TIPO_ASEGURAMIENTO]]
)</f>
        <v>ASALARIADO</v>
      </c>
    </row>
    <row r="1988" spans="1:16" x14ac:dyDescent="0.3">
      <c r="A1988">
        <v>1987</v>
      </c>
      <c r="B1988" t="s">
        <v>15</v>
      </c>
      <c r="C1988">
        <v>45467358</v>
      </c>
      <c r="D1988" t="s">
        <v>10</v>
      </c>
      <c r="E1988" t="s">
        <v>16</v>
      </c>
      <c r="F1988" t="s">
        <v>12</v>
      </c>
      <c r="G1988" t="s">
        <v>13</v>
      </c>
      <c r="H1988" t="s">
        <v>13</v>
      </c>
      <c r="I1988">
        <v>39</v>
      </c>
      <c r="J1988">
        <f>ABS((I1988-EDA!$A$15)/EDA!$B$15)</f>
        <v>0.21028567737269524</v>
      </c>
      <c r="K1988" t="str">
        <f t="shared" si="31"/>
        <v>No</v>
      </c>
      <c r="L1988">
        <f>ABS((C1988-EDA!$F$15)/EDA!$G$15)</f>
        <v>0.38095496087476749</v>
      </c>
      <c r="M1988" t="str">
        <f>IF(moras[[#This Row],[Z-Score Salario]]&gt;1.96, "Sí", "No")</f>
        <v>No</v>
      </c>
      <c r="N1988" s="14">
        <f>IF(ISBLANK(moras[[#This Row],[SALARIO]]), EDA!$M$8, moras[[#This Row],[SALARIO]])</f>
        <v>45467358</v>
      </c>
      <c r="O1988" s="14">
        <f xml:space="preserve"> IF(ISBLANK(moras[[#This Row],[EDAD]]), EDA!$E$8, moras[[#This Row],[EDAD]])</f>
        <v>39</v>
      </c>
      <c r="P1988" s="14" t="str">
        <f>IF(
    OR(ISBLANK(moras[[#This Row],[TIPO_ASEGURAMIENTO]]), moras[[#This Row],[TIPO_ASEGURAMIENTO]]=""),
    EDA!$A$32,
    moras[[#This Row],[TIPO_ASEGURAMIENTO]]
)</f>
        <v>ASALARIADO</v>
      </c>
    </row>
    <row r="1989" spans="1:16" x14ac:dyDescent="0.3">
      <c r="A1989">
        <v>1988</v>
      </c>
      <c r="B1989" t="s">
        <v>15</v>
      </c>
      <c r="C1989">
        <v>120000</v>
      </c>
      <c r="D1989" t="s">
        <v>10</v>
      </c>
      <c r="E1989" t="s">
        <v>16</v>
      </c>
      <c r="F1989" t="s">
        <v>12</v>
      </c>
      <c r="G1989" t="s">
        <v>13</v>
      </c>
      <c r="H1989" t="s">
        <v>13</v>
      </c>
      <c r="I1989">
        <v>32</v>
      </c>
      <c r="J1989">
        <f>ABS((I1989-EDA!$A$15)/EDA!$B$15)</f>
        <v>0.70431298791265773</v>
      </c>
      <c r="K1989" t="str">
        <f t="shared" si="31"/>
        <v>No</v>
      </c>
      <c r="L1989">
        <f>ABS((C1989-EDA!$F$15)/EDA!$G$15)</f>
        <v>0.37365708749835447</v>
      </c>
      <c r="M1989" t="str">
        <f>IF(moras[[#This Row],[Z-Score Salario]]&gt;1.96, "Sí", "No")</f>
        <v>No</v>
      </c>
      <c r="N1989" s="14">
        <f>IF(ISBLANK(moras[[#This Row],[SALARIO]]), EDA!$M$8, moras[[#This Row],[SALARIO]])</f>
        <v>120000</v>
      </c>
      <c r="O1989" s="14">
        <f xml:space="preserve"> IF(ISBLANK(moras[[#This Row],[EDAD]]), EDA!$E$8, moras[[#This Row],[EDAD]])</f>
        <v>32</v>
      </c>
      <c r="P1989" s="14" t="str">
        <f>IF(
    OR(ISBLANK(moras[[#This Row],[TIPO_ASEGURAMIENTO]]), moras[[#This Row],[TIPO_ASEGURAMIENTO]]=""),
    EDA!$A$32,
    moras[[#This Row],[TIPO_ASEGURAMIENTO]]
)</f>
        <v>ASALARIADO</v>
      </c>
    </row>
    <row r="1990" spans="1:16" x14ac:dyDescent="0.3">
      <c r="A1990">
        <v>1989</v>
      </c>
      <c r="B1990" t="s">
        <v>9</v>
      </c>
      <c r="C1990">
        <v>513274</v>
      </c>
      <c r="D1990" t="s">
        <v>10</v>
      </c>
      <c r="E1990" t="s">
        <v>11</v>
      </c>
      <c r="F1990" t="s">
        <v>12</v>
      </c>
      <c r="G1990" t="s">
        <v>13</v>
      </c>
      <c r="H1990" t="s">
        <v>13</v>
      </c>
      <c r="I1990">
        <v>57</v>
      </c>
      <c r="J1990">
        <f>ABS((I1990-EDA!$A$15)/EDA!$B$15)</f>
        <v>1.0600702640157798</v>
      </c>
      <c r="K1990" t="str">
        <f t="shared" si="31"/>
        <v>No</v>
      </c>
      <c r="L1990">
        <f>ABS((C1990-EDA!$F$15)/EDA!$G$15)</f>
        <v>0.367112730521441</v>
      </c>
      <c r="M1990" t="str">
        <f>IF(moras[[#This Row],[Z-Score Salario]]&gt;1.96, "Sí", "No")</f>
        <v>No</v>
      </c>
      <c r="N1990" s="14">
        <f>IF(ISBLANK(moras[[#This Row],[SALARIO]]), EDA!$M$8, moras[[#This Row],[SALARIO]])</f>
        <v>513274</v>
      </c>
      <c r="O1990" s="14">
        <f xml:space="preserve"> IF(ISBLANK(moras[[#This Row],[EDAD]]), EDA!$E$8, moras[[#This Row],[EDAD]])</f>
        <v>57</v>
      </c>
      <c r="P1990" s="14" t="str">
        <f>IF(
    OR(ISBLANK(moras[[#This Row],[TIPO_ASEGURAMIENTO]]), moras[[#This Row],[TIPO_ASEGURAMIENTO]]=""),
    EDA!$A$32,
    moras[[#This Row],[TIPO_ASEGURAMIENTO]]
)</f>
        <v>ASALARIADO</v>
      </c>
    </row>
    <row r="1991" spans="1:16" x14ac:dyDescent="0.3">
      <c r="A1991">
        <v>1990</v>
      </c>
      <c r="B1991" t="s">
        <v>15</v>
      </c>
      <c r="C1991">
        <v>457059</v>
      </c>
      <c r="D1991" t="s">
        <v>10</v>
      </c>
      <c r="E1991" t="s">
        <v>11</v>
      </c>
      <c r="F1991" t="s">
        <v>12</v>
      </c>
      <c r="G1991" t="s">
        <v>13</v>
      </c>
      <c r="H1991" t="s">
        <v>12</v>
      </c>
      <c r="I1991">
        <v>59</v>
      </c>
      <c r="J1991">
        <f>ABS((I1991-EDA!$A$15)/EDA!$B$15)</f>
        <v>1.2012209241700549</v>
      </c>
      <c r="K1991" t="str">
        <f t="shared" si="31"/>
        <v>No</v>
      </c>
      <c r="L1991">
        <f>ABS((C1991-EDA!$F$15)/EDA!$G$15)</f>
        <v>0.36804818780429516</v>
      </c>
      <c r="M1991" t="str">
        <f>IF(moras[[#This Row],[Z-Score Salario]]&gt;1.96, "Sí", "No")</f>
        <v>No</v>
      </c>
      <c r="N1991" s="14">
        <f>IF(ISBLANK(moras[[#This Row],[SALARIO]]), EDA!$M$8, moras[[#This Row],[SALARIO]])</f>
        <v>457059</v>
      </c>
      <c r="O1991" s="14">
        <f xml:space="preserve"> IF(ISBLANK(moras[[#This Row],[EDAD]]), EDA!$E$8, moras[[#This Row],[EDAD]])</f>
        <v>59</v>
      </c>
      <c r="P1991" s="14" t="str">
        <f>IF(
    OR(ISBLANK(moras[[#This Row],[TIPO_ASEGURAMIENTO]]), moras[[#This Row],[TIPO_ASEGURAMIENTO]]=""),
    EDA!$A$32,
    moras[[#This Row],[TIPO_ASEGURAMIENTO]]
)</f>
        <v>ASALARIADO</v>
      </c>
    </row>
    <row r="1992" spans="1:16" x14ac:dyDescent="0.3">
      <c r="A1992">
        <v>1991</v>
      </c>
      <c r="B1992" t="s">
        <v>15</v>
      </c>
      <c r="C1992">
        <v>1708013</v>
      </c>
      <c r="D1992" t="s">
        <v>14</v>
      </c>
      <c r="E1992" t="s">
        <v>11</v>
      </c>
      <c r="F1992" t="s">
        <v>12</v>
      </c>
      <c r="G1992" t="s">
        <v>13</v>
      </c>
      <c r="H1992" t="s">
        <v>13</v>
      </c>
      <c r="I1992">
        <v>57</v>
      </c>
      <c r="J1992">
        <f>ABS((I1992-EDA!$A$15)/EDA!$B$15)</f>
        <v>1.0600702640157798</v>
      </c>
      <c r="K1992" t="str">
        <f t="shared" si="31"/>
        <v>No</v>
      </c>
      <c r="L1992">
        <f>ABS((C1992-EDA!$F$15)/EDA!$G$15)</f>
        <v>0.34723143018060848</v>
      </c>
      <c r="M1992" t="str">
        <f>IF(moras[[#This Row],[Z-Score Salario]]&gt;1.96, "Sí", "No")</f>
        <v>No</v>
      </c>
      <c r="N1992" s="14">
        <f>IF(ISBLANK(moras[[#This Row],[SALARIO]]), EDA!$M$8, moras[[#This Row],[SALARIO]])</f>
        <v>1708013</v>
      </c>
      <c r="O1992" s="14">
        <f xml:space="preserve"> IF(ISBLANK(moras[[#This Row],[EDAD]]), EDA!$E$8, moras[[#This Row],[EDAD]])</f>
        <v>57</v>
      </c>
      <c r="P1992" s="14" t="str">
        <f>IF(
    OR(ISBLANK(moras[[#This Row],[TIPO_ASEGURAMIENTO]]), moras[[#This Row],[TIPO_ASEGURAMIENTO]]=""),
    EDA!$A$32,
    moras[[#This Row],[TIPO_ASEGURAMIENTO]]
)</f>
        <v>PENSIONADOS EN SU PROPIO SISTEMA</v>
      </c>
    </row>
    <row r="1993" spans="1:16" x14ac:dyDescent="0.3">
      <c r="A1993">
        <v>1992</v>
      </c>
      <c r="B1993" t="s">
        <v>9</v>
      </c>
      <c r="C1993">
        <v>36298967</v>
      </c>
      <c r="D1993" t="s">
        <v>10</v>
      </c>
      <c r="E1993" t="s">
        <v>16</v>
      </c>
      <c r="F1993" t="s">
        <v>12</v>
      </c>
      <c r="G1993" t="s">
        <v>13</v>
      </c>
      <c r="H1993" t="s">
        <v>13</v>
      </c>
      <c r="I1993">
        <v>20</v>
      </c>
      <c r="J1993">
        <f>ABS((I1993-EDA!$A$15)/EDA!$B$15)</f>
        <v>1.5512169488383079</v>
      </c>
      <c r="K1993" t="str">
        <f t="shared" si="31"/>
        <v>No</v>
      </c>
      <c r="L1993">
        <f>ABS((C1993-EDA!$F$15)/EDA!$G$15)</f>
        <v>0.22838646255573214</v>
      </c>
      <c r="M1993" t="str">
        <f>IF(moras[[#This Row],[Z-Score Salario]]&gt;1.96, "Sí", "No")</f>
        <v>No</v>
      </c>
      <c r="N1993" s="14">
        <f>IF(ISBLANK(moras[[#This Row],[SALARIO]]), EDA!$M$8, moras[[#This Row],[SALARIO]])</f>
        <v>36298967</v>
      </c>
      <c r="O1993" s="14">
        <f xml:space="preserve"> IF(ISBLANK(moras[[#This Row],[EDAD]]), EDA!$E$8, moras[[#This Row],[EDAD]])</f>
        <v>20</v>
      </c>
      <c r="P1993" s="14" t="str">
        <f>IF(
    OR(ISBLANK(moras[[#This Row],[TIPO_ASEGURAMIENTO]]), moras[[#This Row],[TIPO_ASEGURAMIENTO]]=""),
    EDA!$A$32,
    moras[[#This Row],[TIPO_ASEGURAMIENTO]]
)</f>
        <v>ASALARIADO</v>
      </c>
    </row>
    <row r="1994" spans="1:16" x14ac:dyDescent="0.3">
      <c r="A1994">
        <v>1993</v>
      </c>
      <c r="B1994" t="s">
        <v>9</v>
      </c>
      <c r="C1994">
        <v>393714</v>
      </c>
      <c r="D1994" t="s">
        <v>10</v>
      </c>
      <c r="E1994" t="s">
        <v>16</v>
      </c>
      <c r="F1994" t="s">
        <v>12</v>
      </c>
      <c r="G1994" t="s">
        <v>13</v>
      </c>
      <c r="H1994" t="s">
        <v>13</v>
      </c>
      <c r="I1994">
        <v>48</v>
      </c>
      <c r="J1994">
        <f>ABS((I1994-EDA!$A$15)/EDA!$B$15)</f>
        <v>0.42489229332154227</v>
      </c>
      <c r="K1994" t="str">
        <f t="shared" si="31"/>
        <v>No</v>
      </c>
      <c r="L1994">
        <f>ABS((C1994-EDA!$F$15)/EDA!$G$15)</f>
        <v>0.36910229332030331</v>
      </c>
      <c r="M1994" t="str">
        <f>IF(moras[[#This Row],[Z-Score Salario]]&gt;1.96, "Sí", "No")</f>
        <v>No</v>
      </c>
      <c r="N1994" s="14">
        <f>IF(ISBLANK(moras[[#This Row],[SALARIO]]), EDA!$M$8, moras[[#This Row],[SALARIO]])</f>
        <v>393714</v>
      </c>
      <c r="O1994" s="14">
        <f xml:space="preserve"> IF(ISBLANK(moras[[#This Row],[EDAD]]), EDA!$E$8, moras[[#This Row],[EDAD]])</f>
        <v>48</v>
      </c>
      <c r="P1994" s="14" t="str">
        <f>IF(
    OR(ISBLANK(moras[[#This Row],[TIPO_ASEGURAMIENTO]]), moras[[#This Row],[TIPO_ASEGURAMIENTO]]=""),
    EDA!$A$32,
    moras[[#This Row],[TIPO_ASEGURAMIENTO]]
)</f>
        <v>ASALARIADO</v>
      </c>
    </row>
    <row r="1995" spans="1:16" x14ac:dyDescent="0.3">
      <c r="A1995">
        <v>1994</v>
      </c>
      <c r="B1995" t="s">
        <v>9</v>
      </c>
      <c r="C1995">
        <v>444719</v>
      </c>
      <c r="D1995" t="s">
        <v>18</v>
      </c>
      <c r="E1995" t="s">
        <v>16</v>
      </c>
      <c r="F1995" t="s">
        <v>12</v>
      </c>
      <c r="G1995" t="s">
        <v>13</v>
      </c>
      <c r="H1995" t="s">
        <v>12</v>
      </c>
      <c r="I1995">
        <v>36</v>
      </c>
      <c r="J1995">
        <f>ABS((I1995-EDA!$A$15)/EDA!$B$15)</f>
        <v>0.42201166760410774</v>
      </c>
      <c r="K1995" t="str">
        <f t="shared" si="31"/>
        <v>No</v>
      </c>
      <c r="L1995">
        <f>ABS((C1995-EDA!$F$15)/EDA!$G$15)</f>
        <v>0.36825353411525169</v>
      </c>
      <c r="M1995" t="str">
        <f>IF(moras[[#This Row],[Z-Score Salario]]&gt;1.96, "Sí", "No")</f>
        <v>No</v>
      </c>
      <c r="N1995" s="14">
        <f>IF(ISBLANK(moras[[#This Row],[SALARIO]]), EDA!$M$8, moras[[#This Row],[SALARIO]])</f>
        <v>444719</v>
      </c>
      <c r="O1995" s="14">
        <f xml:space="preserve"> IF(ISBLANK(moras[[#This Row],[EDAD]]), EDA!$E$8, moras[[#This Row],[EDAD]])</f>
        <v>36</v>
      </c>
      <c r="P1995" s="14" t="str">
        <f>IF(
    OR(ISBLANK(moras[[#This Row],[TIPO_ASEGURAMIENTO]]), moras[[#This Row],[TIPO_ASEGURAMIENTO]]=""),
    EDA!$A$32,
    moras[[#This Row],[TIPO_ASEGURAMIENTO]]
)</f>
        <v>TRABAJADOR INDEPENDIENTE</v>
      </c>
    </row>
    <row r="1996" spans="1:16" x14ac:dyDescent="0.3">
      <c r="A1996">
        <v>1995</v>
      </c>
      <c r="B1996" t="s">
        <v>9</v>
      </c>
      <c r="C1996">
        <v>13527237</v>
      </c>
      <c r="D1996" t="s">
        <v>10</v>
      </c>
      <c r="E1996" t="s">
        <v>11</v>
      </c>
      <c r="F1996" t="s">
        <v>12</v>
      </c>
      <c r="G1996" t="s">
        <v>13</v>
      </c>
      <c r="H1996" t="s">
        <v>13</v>
      </c>
      <c r="I1996">
        <v>29</v>
      </c>
      <c r="J1996">
        <f>ABS((I1996-EDA!$A$15)/EDA!$B$15)</f>
        <v>0.91603897814407031</v>
      </c>
      <c r="K1996" t="str">
        <f t="shared" si="31"/>
        <v>No</v>
      </c>
      <c r="L1996">
        <f>ABS((C1996-EDA!$F$15)/EDA!$G$15)</f>
        <v>0.1505511994862257</v>
      </c>
      <c r="M1996" t="str">
        <f>IF(moras[[#This Row],[Z-Score Salario]]&gt;1.96, "Sí", "No")</f>
        <v>No</v>
      </c>
      <c r="N1996" s="14">
        <f>IF(ISBLANK(moras[[#This Row],[SALARIO]]), EDA!$M$8, moras[[#This Row],[SALARIO]])</f>
        <v>13527237</v>
      </c>
      <c r="O1996" s="14">
        <f xml:space="preserve"> IF(ISBLANK(moras[[#This Row],[EDAD]]), EDA!$E$8, moras[[#This Row],[EDAD]])</f>
        <v>29</v>
      </c>
      <c r="P1996" s="14" t="str">
        <f>IF(
    OR(ISBLANK(moras[[#This Row],[TIPO_ASEGURAMIENTO]]), moras[[#This Row],[TIPO_ASEGURAMIENTO]]=""),
    EDA!$A$32,
    moras[[#This Row],[TIPO_ASEGURAMIENTO]]
)</f>
        <v>ASALARIADO</v>
      </c>
    </row>
    <row r="1997" spans="1:16" x14ac:dyDescent="0.3">
      <c r="A1997">
        <v>1996</v>
      </c>
      <c r="B1997" t="s">
        <v>9</v>
      </c>
      <c r="C1997">
        <v>299647</v>
      </c>
      <c r="D1997" t="s">
        <v>18</v>
      </c>
      <c r="E1997" t="s">
        <v>16</v>
      </c>
      <c r="F1997" t="s">
        <v>12</v>
      </c>
      <c r="G1997" t="s">
        <v>13</v>
      </c>
      <c r="H1997" t="s">
        <v>12</v>
      </c>
      <c r="I1997">
        <v>38</v>
      </c>
      <c r="J1997">
        <f>ABS((I1997-EDA!$A$15)/EDA!$B$15)</f>
        <v>0.28086100744983278</v>
      </c>
      <c r="K1997" t="str">
        <f t="shared" si="31"/>
        <v>No</v>
      </c>
      <c r="L1997">
        <f>ABS((C1997-EDA!$F$15)/EDA!$G$15)</f>
        <v>0.37066763460334595</v>
      </c>
      <c r="M1997" t="str">
        <f>IF(moras[[#This Row],[Z-Score Salario]]&gt;1.96, "Sí", "No")</f>
        <v>No</v>
      </c>
      <c r="N1997" s="14">
        <f>IF(ISBLANK(moras[[#This Row],[SALARIO]]), EDA!$M$8, moras[[#This Row],[SALARIO]])</f>
        <v>299647</v>
      </c>
      <c r="O1997" s="14">
        <f xml:space="preserve"> IF(ISBLANK(moras[[#This Row],[EDAD]]), EDA!$E$8, moras[[#This Row],[EDAD]])</f>
        <v>38</v>
      </c>
      <c r="P1997" s="14" t="str">
        <f>IF(
    OR(ISBLANK(moras[[#This Row],[TIPO_ASEGURAMIENTO]]), moras[[#This Row],[TIPO_ASEGURAMIENTO]]=""),
    EDA!$A$32,
    moras[[#This Row],[TIPO_ASEGURAMIENTO]]
)</f>
        <v>TRABAJADOR INDEPENDIENTE</v>
      </c>
    </row>
    <row r="1998" spans="1:16" x14ac:dyDescent="0.3">
      <c r="A1998">
        <v>1997</v>
      </c>
      <c r="B1998" t="s">
        <v>15</v>
      </c>
      <c r="C1998">
        <v>14150948</v>
      </c>
      <c r="D1998" t="s">
        <v>14</v>
      </c>
      <c r="E1998" t="s">
        <v>11</v>
      </c>
      <c r="F1998" t="s">
        <v>12</v>
      </c>
      <c r="G1998" t="s">
        <v>13</v>
      </c>
      <c r="H1998" t="s">
        <v>13</v>
      </c>
      <c r="I1998">
        <v>91</v>
      </c>
      <c r="J1998">
        <f>ABS((I1998-EDA!$A$15)/EDA!$B$15)</f>
        <v>3.4596314866384548</v>
      </c>
      <c r="K1998" t="str">
        <f t="shared" si="31"/>
        <v>Sí</v>
      </c>
      <c r="L1998">
        <f>ABS((C1998-EDA!$F$15)/EDA!$G$15)</f>
        <v>0.1401722081610233</v>
      </c>
      <c r="M1998" t="str">
        <f>IF(moras[[#This Row],[Z-Score Salario]]&gt;1.96, "Sí", "No")</f>
        <v>No</v>
      </c>
      <c r="N1998" s="14">
        <f>IF(ISBLANK(moras[[#This Row],[SALARIO]]), EDA!$M$8, moras[[#This Row],[SALARIO]])</f>
        <v>14150948</v>
      </c>
      <c r="O1998" s="14">
        <f xml:space="preserve"> IF(ISBLANK(moras[[#This Row],[EDAD]]), EDA!$E$8, moras[[#This Row],[EDAD]])</f>
        <v>91</v>
      </c>
      <c r="P1998" s="14" t="str">
        <f>IF(
    OR(ISBLANK(moras[[#This Row],[TIPO_ASEGURAMIENTO]]), moras[[#This Row],[TIPO_ASEGURAMIENTO]]=""),
    EDA!$A$32,
    moras[[#This Row],[TIPO_ASEGURAMIENTO]]
)</f>
        <v>PENSIONADOS EN SU PROPIO SISTEMA</v>
      </c>
    </row>
    <row r="1999" spans="1:16" x14ac:dyDescent="0.3">
      <c r="A1999">
        <v>1998</v>
      </c>
      <c r="B1999" t="s">
        <v>15</v>
      </c>
      <c r="C1999">
        <v>350000</v>
      </c>
      <c r="D1999" t="s">
        <v>10</v>
      </c>
      <c r="E1999" t="s">
        <v>11</v>
      </c>
      <c r="F1999" t="s">
        <v>12</v>
      </c>
      <c r="G1999" t="s">
        <v>13</v>
      </c>
      <c r="H1999" t="s">
        <v>13</v>
      </c>
      <c r="I1999">
        <v>41</v>
      </c>
      <c r="J1999">
        <f>ABS((I1999-EDA!$A$15)/EDA!$B$15)</f>
        <v>6.9135017218420233E-2</v>
      </c>
      <c r="K1999" t="str">
        <f t="shared" si="31"/>
        <v>No</v>
      </c>
      <c r="L1999">
        <f>ABS((C1999-EDA!$F$15)/EDA!$G$15)</f>
        <v>0.36982972513854911</v>
      </c>
      <c r="M1999" t="str">
        <f>IF(moras[[#This Row],[Z-Score Salario]]&gt;1.96, "Sí", "No")</f>
        <v>No</v>
      </c>
      <c r="N1999" s="14">
        <f>IF(ISBLANK(moras[[#This Row],[SALARIO]]), EDA!$M$8, moras[[#This Row],[SALARIO]])</f>
        <v>350000</v>
      </c>
      <c r="O1999" s="14">
        <f xml:space="preserve"> IF(ISBLANK(moras[[#This Row],[EDAD]]), EDA!$E$8, moras[[#This Row],[EDAD]])</f>
        <v>41</v>
      </c>
      <c r="P1999" s="14" t="str">
        <f>IF(
    OR(ISBLANK(moras[[#This Row],[TIPO_ASEGURAMIENTO]]), moras[[#This Row],[TIPO_ASEGURAMIENTO]]=""),
    EDA!$A$32,
    moras[[#This Row],[TIPO_ASEGURAMIENTO]]
)</f>
        <v>ASALARIADO</v>
      </c>
    </row>
    <row r="2000" spans="1:16" x14ac:dyDescent="0.3">
      <c r="A2000">
        <v>1999</v>
      </c>
      <c r="B2000" t="s">
        <v>15</v>
      </c>
      <c r="C2000">
        <v>1274218</v>
      </c>
      <c r="D2000" t="s">
        <v>10</v>
      </c>
      <c r="E2000" t="s">
        <v>16</v>
      </c>
      <c r="F2000" t="s">
        <v>12</v>
      </c>
      <c r="G2000" t="s">
        <v>13</v>
      </c>
      <c r="H2000" t="s">
        <v>13</v>
      </c>
      <c r="I2000">
        <v>25</v>
      </c>
      <c r="J2000">
        <f>ABS((I2000-EDA!$A$15)/EDA!$B$15)</f>
        <v>1.1983402984526204</v>
      </c>
      <c r="K2000" t="str">
        <f t="shared" si="31"/>
        <v>No</v>
      </c>
      <c r="L2000">
        <f>ABS((C2000-EDA!$F$15)/EDA!$G$15)</f>
        <v>0.35445008520179005</v>
      </c>
      <c r="M2000" t="str">
        <f>IF(moras[[#This Row],[Z-Score Salario]]&gt;1.96, "Sí", "No")</f>
        <v>No</v>
      </c>
      <c r="N2000" s="14">
        <f>IF(ISBLANK(moras[[#This Row],[SALARIO]]), EDA!$M$8, moras[[#This Row],[SALARIO]])</f>
        <v>1274218</v>
      </c>
      <c r="O2000" s="14">
        <f xml:space="preserve"> IF(ISBLANK(moras[[#This Row],[EDAD]]), EDA!$E$8, moras[[#This Row],[EDAD]])</f>
        <v>25</v>
      </c>
      <c r="P2000" s="14" t="str">
        <f>IF(
    OR(ISBLANK(moras[[#This Row],[TIPO_ASEGURAMIENTO]]), moras[[#This Row],[TIPO_ASEGURAMIENTO]]=""),
    EDA!$A$32,
    moras[[#This Row],[TIPO_ASEGURAMIENTO]]
)</f>
        <v>ASALARIADO</v>
      </c>
    </row>
    <row r="2001" spans="1:16" x14ac:dyDescent="0.3">
      <c r="A2001">
        <v>2000</v>
      </c>
      <c r="B2001" t="s">
        <v>9</v>
      </c>
      <c r="C2001">
        <v>266719</v>
      </c>
      <c r="D2001" t="s">
        <v>10</v>
      </c>
      <c r="E2001" t="s">
        <v>16</v>
      </c>
      <c r="F2001" t="s">
        <v>12</v>
      </c>
      <c r="G2001" t="s">
        <v>13</v>
      </c>
      <c r="H2001" t="s">
        <v>13</v>
      </c>
      <c r="I2001">
        <v>36</v>
      </c>
      <c r="J2001">
        <f>ABS((I2001-EDA!$A$15)/EDA!$B$15)</f>
        <v>0.42201166760410774</v>
      </c>
      <c r="K2001" t="str">
        <f t="shared" si="31"/>
        <v>No</v>
      </c>
      <c r="L2001">
        <f>ABS((C2001-EDA!$F$15)/EDA!$G$15)</f>
        <v>0.37121557976762276</v>
      </c>
      <c r="M2001" t="str">
        <f>IF(moras[[#This Row],[Z-Score Salario]]&gt;1.96, "Sí", "No")</f>
        <v>No</v>
      </c>
      <c r="N2001" s="14">
        <f>IF(ISBLANK(moras[[#This Row],[SALARIO]]), EDA!$M$8, moras[[#This Row],[SALARIO]])</f>
        <v>266719</v>
      </c>
      <c r="O2001" s="14">
        <f xml:space="preserve"> IF(ISBLANK(moras[[#This Row],[EDAD]]), EDA!$E$8, moras[[#This Row],[EDAD]])</f>
        <v>36</v>
      </c>
      <c r="P2001" s="14" t="str">
        <f>IF(
    OR(ISBLANK(moras[[#This Row],[TIPO_ASEGURAMIENTO]]), moras[[#This Row],[TIPO_ASEGURAMIENTO]]=""),
    EDA!$A$32,
    moras[[#This Row],[TIPO_ASEGURAMIENTO]]
)</f>
        <v>ASALARIADO</v>
      </c>
    </row>
    <row r="2002" spans="1:16" x14ac:dyDescent="0.3">
      <c r="A2002">
        <v>2001</v>
      </c>
      <c r="B2002" t="s">
        <v>15</v>
      </c>
      <c r="C2002">
        <v>76619868</v>
      </c>
      <c r="D2002" t="s">
        <v>10</v>
      </c>
      <c r="E2002" t="s">
        <v>11</v>
      </c>
      <c r="F2002" t="s">
        <v>12</v>
      </c>
      <c r="G2002" t="s">
        <v>12</v>
      </c>
      <c r="H2002" t="s">
        <v>13</v>
      </c>
      <c r="I2002">
        <v>36</v>
      </c>
      <c r="J2002">
        <f>ABS((I2002-EDA!$A$15)/EDA!$B$15)</f>
        <v>0.42201166760410774</v>
      </c>
      <c r="K2002" t="str">
        <f t="shared" si="31"/>
        <v>No</v>
      </c>
      <c r="L2002">
        <f>ABS((C2002-EDA!$F$15)/EDA!$G$15)</f>
        <v>0.89935471821154922</v>
      </c>
      <c r="M2002" t="str">
        <f>IF(moras[[#This Row],[Z-Score Salario]]&gt;1.96, "Sí", "No")</f>
        <v>No</v>
      </c>
      <c r="N2002" s="14">
        <f>IF(ISBLANK(moras[[#This Row],[SALARIO]]), EDA!$M$8, moras[[#This Row],[SALARIO]])</f>
        <v>76619868</v>
      </c>
      <c r="O2002" s="14">
        <f xml:space="preserve"> IF(ISBLANK(moras[[#This Row],[EDAD]]), EDA!$E$8, moras[[#This Row],[EDAD]])</f>
        <v>36</v>
      </c>
      <c r="P2002" s="14" t="str">
        <f>IF(
    OR(ISBLANK(moras[[#This Row],[TIPO_ASEGURAMIENTO]]), moras[[#This Row],[TIPO_ASEGURAMIENTO]]=""),
    EDA!$A$32,
    moras[[#This Row],[TIPO_ASEGURAMIENTO]]
)</f>
        <v>ASALARIADO</v>
      </c>
    </row>
    <row r="2003" spans="1:16" x14ac:dyDescent="0.3">
      <c r="A2003">
        <v>2002</v>
      </c>
      <c r="B2003" t="s">
        <v>9</v>
      </c>
      <c r="C2003">
        <v>152884972</v>
      </c>
      <c r="D2003" t="s">
        <v>10</v>
      </c>
      <c r="E2003" t="s">
        <v>11</v>
      </c>
      <c r="F2003" t="s">
        <v>12</v>
      </c>
      <c r="G2003" t="s">
        <v>13</v>
      </c>
      <c r="H2003" t="s">
        <v>13</v>
      </c>
      <c r="I2003">
        <v>45</v>
      </c>
      <c r="J2003">
        <f>ABS((I2003-EDA!$A$15)/EDA!$B$15)</f>
        <v>0.21316630309012977</v>
      </c>
      <c r="K2003" t="str">
        <f t="shared" si="31"/>
        <v>No</v>
      </c>
      <c r="L2003">
        <f>ABS((C2003-EDA!$F$15)/EDA!$G$15)</f>
        <v>2.1684598852386818</v>
      </c>
      <c r="M2003" t="str">
        <f>IF(moras[[#This Row],[Z-Score Salario]]&gt;1.96, "Sí", "No")</f>
        <v>Sí</v>
      </c>
      <c r="N2003" s="14">
        <f>IF(ISBLANK(moras[[#This Row],[SALARIO]]), EDA!$M$8, moras[[#This Row],[SALARIO]])</f>
        <v>152884972</v>
      </c>
      <c r="O2003" s="14">
        <f xml:space="preserve"> IF(ISBLANK(moras[[#This Row],[EDAD]]), EDA!$E$8, moras[[#This Row],[EDAD]])</f>
        <v>45</v>
      </c>
      <c r="P2003" s="14" t="str">
        <f>IF(
    OR(ISBLANK(moras[[#This Row],[TIPO_ASEGURAMIENTO]]), moras[[#This Row],[TIPO_ASEGURAMIENTO]]=""),
    EDA!$A$32,
    moras[[#This Row],[TIPO_ASEGURAMIENTO]]
)</f>
        <v>ASALARIADO</v>
      </c>
    </row>
    <row r="2004" spans="1:16" x14ac:dyDescent="0.3">
      <c r="A2004">
        <v>2003</v>
      </c>
      <c r="B2004" t="s">
        <v>9</v>
      </c>
      <c r="C2004">
        <v>297047</v>
      </c>
      <c r="D2004" t="s">
        <v>18</v>
      </c>
      <c r="E2004" t="s">
        <v>16</v>
      </c>
      <c r="F2004" t="s">
        <v>12</v>
      </c>
      <c r="G2004" t="s">
        <v>13</v>
      </c>
      <c r="H2004" t="s">
        <v>13</v>
      </c>
      <c r="I2004">
        <v>59</v>
      </c>
      <c r="J2004">
        <f>ABS((I2004-EDA!$A$15)/EDA!$B$15)</f>
        <v>1.2012209241700549</v>
      </c>
      <c r="K2004" t="str">
        <f t="shared" si="31"/>
        <v>No</v>
      </c>
      <c r="L2004">
        <f>ABS((C2004-EDA!$F$15)/EDA!$G$15)</f>
        <v>0.37071090043871768</v>
      </c>
      <c r="M2004" t="str">
        <f>IF(moras[[#This Row],[Z-Score Salario]]&gt;1.96, "Sí", "No")</f>
        <v>No</v>
      </c>
      <c r="N2004" s="14">
        <f>IF(ISBLANK(moras[[#This Row],[SALARIO]]), EDA!$M$8, moras[[#This Row],[SALARIO]])</f>
        <v>297047</v>
      </c>
      <c r="O2004" s="14">
        <f xml:space="preserve"> IF(ISBLANK(moras[[#This Row],[EDAD]]), EDA!$E$8, moras[[#This Row],[EDAD]])</f>
        <v>59</v>
      </c>
      <c r="P2004" s="14" t="str">
        <f>IF(
    OR(ISBLANK(moras[[#This Row],[TIPO_ASEGURAMIENTO]]), moras[[#This Row],[TIPO_ASEGURAMIENTO]]=""),
    EDA!$A$32,
    moras[[#This Row],[TIPO_ASEGURAMIENTO]]
)</f>
        <v>TRABAJADOR INDEPENDIENTE</v>
      </c>
    </row>
    <row r="2005" spans="1:16" x14ac:dyDescent="0.3">
      <c r="A2005">
        <v>2004</v>
      </c>
      <c r="B2005" t="s">
        <v>15</v>
      </c>
      <c r="C2005">
        <v>50000</v>
      </c>
      <c r="D2005" t="s">
        <v>10</v>
      </c>
      <c r="E2005" t="s">
        <v>16</v>
      </c>
      <c r="F2005" t="s">
        <v>12</v>
      </c>
      <c r="G2005" t="s">
        <v>13</v>
      </c>
      <c r="H2005" t="s">
        <v>13</v>
      </c>
      <c r="I2005">
        <v>40</v>
      </c>
      <c r="J2005">
        <f>ABS((I2005-EDA!$A$15)/EDA!$B$15)</f>
        <v>0.13971034729555773</v>
      </c>
      <c r="K2005" t="str">
        <f t="shared" si="31"/>
        <v>No</v>
      </c>
      <c r="L2005">
        <f>ABS((C2005-EDA!$F$15)/EDA!$G$15)</f>
        <v>0.37482193691220822</v>
      </c>
      <c r="M2005" t="str">
        <f>IF(moras[[#This Row],[Z-Score Salario]]&gt;1.96, "Sí", "No")</f>
        <v>No</v>
      </c>
      <c r="N2005" s="14">
        <f>IF(ISBLANK(moras[[#This Row],[SALARIO]]), EDA!$M$8, moras[[#This Row],[SALARIO]])</f>
        <v>50000</v>
      </c>
      <c r="O2005" s="14">
        <f xml:space="preserve"> IF(ISBLANK(moras[[#This Row],[EDAD]]), EDA!$E$8, moras[[#This Row],[EDAD]])</f>
        <v>40</v>
      </c>
      <c r="P2005" s="14" t="str">
        <f>IF(
    OR(ISBLANK(moras[[#This Row],[TIPO_ASEGURAMIENTO]]), moras[[#This Row],[TIPO_ASEGURAMIENTO]]=""),
    EDA!$A$32,
    moras[[#This Row],[TIPO_ASEGURAMIENTO]]
)</f>
        <v>ASALARIADO</v>
      </c>
    </row>
    <row r="2006" spans="1:16" x14ac:dyDescent="0.3">
      <c r="A2006">
        <v>2005</v>
      </c>
      <c r="B2006" t="s">
        <v>9</v>
      </c>
      <c r="C2006">
        <v>379361</v>
      </c>
      <c r="D2006" t="s">
        <v>10</v>
      </c>
      <c r="E2006" t="s">
        <v>16</v>
      </c>
      <c r="F2006" t="s">
        <v>12</v>
      </c>
      <c r="G2006" t="s">
        <v>13</v>
      </c>
      <c r="H2006" t="s">
        <v>13</v>
      </c>
      <c r="I2006">
        <v>39</v>
      </c>
      <c r="J2006">
        <f>ABS((I2006-EDA!$A$15)/EDA!$B$15)</f>
        <v>0.21028567737269524</v>
      </c>
      <c r="K2006" t="str">
        <f t="shared" si="31"/>
        <v>No</v>
      </c>
      <c r="L2006">
        <f>ABS((C2006-EDA!$F$15)/EDA!$G$15)</f>
        <v>0.3693411373722611</v>
      </c>
      <c r="M2006" t="str">
        <f>IF(moras[[#This Row],[Z-Score Salario]]&gt;1.96, "Sí", "No")</f>
        <v>No</v>
      </c>
      <c r="N2006" s="14">
        <f>IF(ISBLANK(moras[[#This Row],[SALARIO]]), EDA!$M$8, moras[[#This Row],[SALARIO]])</f>
        <v>379361</v>
      </c>
      <c r="O2006" s="14">
        <f xml:space="preserve"> IF(ISBLANK(moras[[#This Row],[EDAD]]), EDA!$E$8, moras[[#This Row],[EDAD]])</f>
        <v>39</v>
      </c>
      <c r="P2006" s="14" t="str">
        <f>IF(
    OR(ISBLANK(moras[[#This Row],[TIPO_ASEGURAMIENTO]]), moras[[#This Row],[TIPO_ASEGURAMIENTO]]=""),
    EDA!$A$32,
    moras[[#This Row],[TIPO_ASEGURAMIENTO]]
)</f>
        <v>ASALARIADO</v>
      </c>
    </row>
    <row r="2007" spans="1:16" x14ac:dyDescent="0.3">
      <c r="A2007">
        <v>2006</v>
      </c>
      <c r="B2007" t="s">
        <v>9</v>
      </c>
      <c r="C2007">
        <v>59438881</v>
      </c>
      <c r="D2007" t="s">
        <v>10</v>
      </c>
      <c r="E2007" t="s">
        <v>16</v>
      </c>
      <c r="F2007" t="s">
        <v>12</v>
      </c>
      <c r="G2007" t="s">
        <v>13</v>
      </c>
      <c r="H2007" t="s">
        <v>13</v>
      </c>
      <c r="I2007">
        <v>24</v>
      </c>
      <c r="J2007">
        <f>ABS((I2007-EDA!$A$15)/EDA!$B$15)</f>
        <v>1.2689156285297578</v>
      </c>
      <c r="K2007" t="str">
        <f t="shared" si="31"/>
        <v>No</v>
      </c>
      <c r="L2007">
        <f>ABS((C2007-EDA!$F$15)/EDA!$G$15)</f>
        <v>0.61345096626326634</v>
      </c>
      <c r="M2007" t="str">
        <f>IF(moras[[#This Row],[Z-Score Salario]]&gt;1.96, "Sí", "No")</f>
        <v>No</v>
      </c>
      <c r="N2007" s="14">
        <f>IF(ISBLANK(moras[[#This Row],[SALARIO]]), EDA!$M$8, moras[[#This Row],[SALARIO]])</f>
        <v>59438881</v>
      </c>
      <c r="O2007" s="14">
        <f xml:space="preserve"> IF(ISBLANK(moras[[#This Row],[EDAD]]), EDA!$E$8, moras[[#This Row],[EDAD]])</f>
        <v>24</v>
      </c>
      <c r="P2007" s="14" t="str">
        <f>IF(
    OR(ISBLANK(moras[[#This Row],[TIPO_ASEGURAMIENTO]]), moras[[#This Row],[TIPO_ASEGURAMIENTO]]=""),
    EDA!$A$32,
    moras[[#This Row],[TIPO_ASEGURAMIENTO]]
)</f>
        <v>ASALARIADO</v>
      </c>
    </row>
    <row r="2008" spans="1:16" x14ac:dyDescent="0.3">
      <c r="A2008">
        <v>2007</v>
      </c>
      <c r="B2008" t="s">
        <v>15</v>
      </c>
      <c r="C2008">
        <v>35402989</v>
      </c>
      <c r="D2008" t="s">
        <v>10</v>
      </c>
      <c r="E2008" t="s">
        <v>16</v>
      </c>
      <c r="F2008" t="s">
        <v>12</v>
      </c>
      <c r="G2008" t="s">
        <v>13</v>
      </c>
      <c r="H2008" t="s">
        <v>13</v>
      </c>
      <c r="I2008">
        <v>33</v>
      </c>
      <c r="J2008">
        <f>ABS((I2008-EDA!$A$15)/EDA!$B$15)</f>
        <v>0.63373765783552027</v>
      </c>
      <c r="K2008" t="str">
        <f t="shared" si="31"/>
        <v>No</v>
      </c>
      <c r="L2008">
        <f>ABS((C2008-EDA!$F$15)/EDA!$G$15)</f>
        <v>0.21347675615393352</v>
      </c>
      <c r="M2008" t="str">
        <f>IF(moras[[#This Row],[Z-Score Salario]]&gt;1.96, "Sí", "No")</f>
        <v>No</v>
      </c>
      <c r="N2008" s="14">
        <f>IF(ISBLANK(moras[[#This Row],[SALARIO]]), EDA!$M$8, moras[[#This Row],[SALARIO]])</f>
        <v>35402989</v>
      </c>
      <c r="O2008" s="14">
        <f xml:space="preserve"> IF(ISBLANK(moras[[#This Row],[EDAD]]), EDA!$E$8, moras[[#This Row],[EDAD]])</f>
        <v>33</v>
      </c>
      <c r="P2008" s="14" t="str">
        <f>IF(
    OR(ISBLANK(moras[[#This Row],[TIPO_ASEGURAMIENTO]]), moras[[#This Row],[TIPO_ASEGURAMIENTO]]=""),
    EDA!$A$32,
    moras[[#This Row],[TIPO_ASEGURAMIENTO]]
)</f>
        <v>ASALARIADO</v>
      </c>
    </row>
    <row r="2009" spans="1:16" x14ac:dyDescent="0.3">
      <c r="A2009">
        <v>2008</v>
      </c>
      <c r="B2009" t="s">
        <v>9</v>
      </c>
      <c r="C2009">
        <v>342027</v>
      </c>
      <c r="D2009" t="s">
        <v>10</v>
      </c>
      <c r="E2009" t="s">
        <v>16</v>
      </c>
      <c r="F2009" t="s">
        <v>12</v>
      </c>
      <c r="G2009" t="s">
        <v>13</v>
      </c>
      <c r="H2009" t="s">
        <v>13</v>
      </c>
      <c r="I2009">
        <v>53</v>
      </c>
      <c r="J2009">
        <f>ABS((I2009-EDA!$A$15)/EDA!$B$15)</f>
        <v>0.77776894370722982</v>
      </c>
      <c r="K2009" t="str">
        <f t="shared" si="31"/>
        <v>No</v>
      </c>
      <c r="L2009">
        <f>ABS((C2009-EDA!$F$15)/EDA!$G$15)</f>
        <v>0.36996240148678705</v>
      </c>
      <c r="M2009" t="str">
        <f>IF(moras[[#This Row],[Z-Score Salario]]&gt;1.96, "Sí", "No")</f>
        <v>No</v>
      </c>
      <c r="N2009" s="14">
        <f>IF(ISBLANK(moras[[#This Row],[SALARIO]]), EDA!$M$8, moras[[#This Row],[SALARIO]])</f>
        <v>342027</v>
      </c>
      <c r="O2009" s="14">
        <f xml:space="preserve"> IF(ISBLANK(moras[[#This Row],[EDAD]]), EDA!$E$8, moras[[#This Row],[EDAD]])</f>
        <v>53</v>
      </c>
      <c r="P2009" s="14" t="str">
        <f>IF(
    OR(ISBLANK(moras[[#This Row],[TIPO_ASEGURAMIENTO]]), moras[[#This Row],[TIPO_ASEGURAMIENTO]]=""),
    EDA!$A$32,
    moras[[#This Row],[TIPO_ASEGURAMIENTO]]
)</f>
        <v>ASALARIADO</v>
      </c>
    </row>
    <row r="2010" spans="1:16" x14ac:dyDescent="0.3">
      <c r="A2010">
        <v>2009</v>
      </c>
      <c r="B2010" t="s">
        <v>15</v>
      </c>
      <c r="C2010">
        <v>1059620</v>
      </c>
      <c r="D2010" t="s">
        <v>17</v>
      </c>
      <c r="E2010" t="s">
        <v>16</v>
      </c>
      <c r="F2010" t="s">
        <v>12</v>
      </c>
      <c r="G2010" t="s">
        <v>12</v>
      </c>
      <c r="H2010" t="s">
        <v>13</v>
      </c>
      <c r="I2010">
        <v>76</v>
      </c>
      <c r="J2010">
        <f>ABS((I2010-EDA!$A$15)/EDA!$B$15)</f>
        <v>2.4010015354813925</v>
      </c>
      <c r="K2010" t="str">
        <f t="shared" si="31"/>
        <v>Sí</v>
      </c>
      <c r="L2010">
        <f>ABS((C2010-EDA!$F$15)/EDA!$G$15)</f>
        <v>0.35802114740913571</v>
      </c>
      <c r="M2010" t="str">
        <f>IF(moras[[#This Row],[Z-Score Salario]]&gt;1.96, "Sí", "No")</f>
        <v>No</v>
      </c>
      <c r="N2010" s="14">
        <f>IF(ISBLANK(moras[[#This Row],[SALARIO]]), EDA!$M$8, moras[[#This Row],[SALARIO]])</f>
        <v>1059620</v>
      </c>
      <c r="O2010" s="14">
        <f xml:space="preserve"> IF(ISBLANK(moras[[#This Row],[EDAD]]), EDA!$E$8, moras[[#This Row],[EDAD]])</f>
        <v>76</v>
      </c>
      <c r="P2010" s="14" t="str">
        <f>IF(
    OR(ISBLANK(moras[[#This Row],[TIPO_ASEGURAMIENTO]]), moras[[#This Row],[TIPO_ASEGURAMIENTO]]=""),
    EDA!$A$32,
    moras[[#This Row],[TIPO_ASEGURAMIENTO]]
)</f>
        <v>ASEGURADO VOLUNTARIO</v>
      </c>
    </row>
    <row r="2011" spans="1:16" x14ac:dyDescent="0.3">
      <c r="A2011">
        <v>2010</v>
      </c>
      <c r="B2011" t="s">
        <v>15</v>
      </c>
      <c r="C2011">
        <v>23353736</v>
      </c>
      <c r="D2011" t="s">
        <v>10</v>
      </c>
      <c r="E2011" t="s">
        <v>16</v>
      </c>
      <c r="F2011" t="s">
        <v>12</v>
      </c>
      <c r="G2011" t="s">
        <v>13</v>
      </c>
      <c r="H2011" t="s">
        <v>13</v>
      </c>
      <c r="I2011">
        <v>33</v>
      </c>
      <c r="J2011">
        <f>ABS((I2011-EDA!$A$15)/EDA!$B$15)</f>
        <v>0.63373765783552027</v>
      </c>
      <c r="K2011" t="str">
        <f t="shared" si="31"/>
        <v>No</v>
      </c>
      <c r="L2011">
        <f>ABS((C2011-EDA!$F$15)/EDA!$G$15)</f>
        <v>1.296868051927395E-2</v>
      </c>
      <c r="M2011" t="str">
        <f>IF(moras[[#This Row],[Z-Score Salario]]&gt;1.96, "Sí", "No")</f>
        <v>No</v>
      </c>
      <c r="N2011" s="14">
        <f>IF(ISBLANK(moras[[#This Row],[SALARIO]]), EDA!$M$8, moras[[#This Row],[SALARIO]])</f>
        <v>23353736</v>
      </c>
      <c r="O2011" s="14">
        <f xml:space="preserve"> IF(ISBLANK(moras[[#This Row],[EDAD]]), EDA!$E$8, moras[[#This Row],[EDAD]])</f>
        <v>33</v>
      </c>
      <c r="P2011" s="14" t="str">
        <f>IF(
    OR(ISBLANK(moras[[#This Row],[TIPO_ASEGURAMIENTO]]), moras[[#This Row],[TIPO_ASEGURAMIENTO]]=""),
    EDA!$A$32,
    moras[[#This Row],[TIPO_ASEGURAMIENTO]]
)</f>
        <v>ASALARIADO</v>
      </c>
    </row>
    <row r="2012" spans="1:16" x14ac:dyDescent="0.3">
      <c r="A2012">
        <v>2011</v>
      </c>
      <c r="B2012" t="s">
        <v>9</v>
      </c>
      <c r="C2012">
        <v>21613511</v>
      </c>
      <c r="D2012" t="s">
        <v>10</v>
      </c>
      <c r="E2012" t="s">
        <v>11</v>
      </c>
      <c r="F2012" t="s">
        <v>12</v>
      </c>
      <c r="G2012" t="s">
        <v>13</v>
      </c>
      <c r="H2012" t="s">
        <v>13</v>
      </c>
      <c r="I2012">
        <v>56</v>
      </c>
      <c r="J2012">
        <f>ABS((I2012-EDA!$A$15)/EDA!$B$15)</f>
        <v>0.9894949339386423</v>
      </c>
      <c r="K2012" t="str">
        <f t="shared" si="31"/>
        <v>No</v>
      </c>
      <c r="L2012">
        <f>ABS((C2012-EDA!$F$15)/EDA!$G$15)</f>
        <v>1.5989891926779382E-2</v>
      </c>
      <c r="M2012" t="str">
        <f>IF(moras[[#This Row],[Z-Score Salario]]&gt;1.96, "Sí", "No")</f>
        <v>No</v>
      </c>
      <c r="N2012" s="14">
        <f>IF(ISBLANK(moras[[#This Row],[SALARIO]]), EDA!$M$8, moras[[#This Row],[SALARIO]])</f>
        <v>21613511</v>
      </c>
      <c r="O2012" s="14">
        <f xml:space="preserve"> IF(ISBLANK(moras[[#This Row],[EDAD]]), EDA!$E$8, moras[[#This Row],[EDAD]])</f>
        <v>56</v>
      </c>
      <c r="P2012" s="14" t="str">
        <f>IF(
    OR(ISBLANK(moras[[#This Row],[TIPO_ASEGURAMIENTO]]), moras[[#This Row],[TIPO_ASEGURAMIENTO]]=""),
    EDA!$A$32,
    moras[[#This Row],[TIPO_ASEGURAMIENTO]]
)</f>
        <v>ASALARIADO</v>
      </c>
    </row>
    <row r="2013" spans="1:16" x14ac:dyDescent="0.3">
      <c r="A2013">
        <v>2012</v>
      </c>
      <c r="B2013" t="s">
        <v>9</v>
      </c>
      <c r="C2013">
        <v>15803453</v>
      </c>
      <c r="D2013" t="s">
        <v>10</v>
      </c>
      <c r="E2013" t="s">
        <v>16</v>
      </c>
      <c r="F2013" t="s">
        <v>12</v>
      </c>
      <c r="G2013" t="s">
        <v>12</v>
      </c>
      <c r="H2013" t="s">
        <v>12</v>
      </c>
      <c r="I2013">
        <v>34</v>
      </c>
      <c r="J2013">
        <f>ABS((I2013-EDA!$A$15)/EDA!$B$15)</f>
        <v>0.56316232775838282</v>
      </c>
      <c r="K2013" t="str">
        <f t="shared" si="31"/>
        <v>No</v>
      </c>
      <c r="L2013">
        <f>ABS((C2013-EDA!$F$15)/EDA!$G$15)</f>
        <v>0.11267335843758788</v>
      </c>
      <c r="M2013" t="str">
        <f>IF(moras[[#This Row],[Z-Score Salario]]&gt;1.96, "Sí", "No")</f>
        <v>No</v>
      </c>
      <c r="N2013" s="14">
        <f>IF(ISBLANK(moras[[#This Row],[SALARIO]]), EDA!$M$8, moras[[#This Row],[SALARIO]])</f>
        <v>15803453</v>
      </c>
      <c r="O2013" s="14">
        <f xml:space="preserve"> IF(ISBLANK(moras[[#This Row],[EDAD]]), EDA!$E$8, moras[[#This Row],[EDAD]])</f>
        <v>34</v>
      </c>
      <c r="P2013" s="14" t="str">
        <f>IF(
    OR(ISBLANK(moras[[#This Row],[TIPO_ASEGURAMIENTO]]), moras[[#This Row],[TIPO_ASEGURAMIENTO]]=""),
    EDA!$A$32,
    moras[[#This Row],[TIPO_ASEGURAMIENTO]]
)</f>
        <v>ASALARIADO</v>
      </c>
    </row>
    <row r="2014" spans="1:16" x14ac:dyDescent="0.3">
      <c r="A2014">
        <v>2013</v>
      </c>
      <c r="B2014" t="s">
        <v>9</v>
      </c>
      <c r="C2014">
        <v>433085</v>
      </c>
      <c r="D2014" t="s">
        <v>18</v>
      </c>
      <c r="E2014" t="s">
        <v>16</v>
      </c>
      <c r="F2014" t="s">
        <v>12</v>
      </c>
      <c r="G2014" t="s">
        <v>13</v>
      </c>
      <c r="H2014" t="s">
        <v>12</v>
      </c>
      <c r="I2014">
        <v>46</v>
      </c>
      <c r="J2014">
        <f>ABS((I2014-EDA!$A$15)/EDA!$B$15)</f>
        <v>0.2837416331672673</v>
      </c>
      <c r="K2014" t="str">
        <f t="shared" si="31"/>
        <v>No</v>
      </c>
      <c r="L2014">
        <f>ABS((C2014-EDA!$F$15)/EDA!$G$15)</f>
        <v>0.36844713208783419</v>
      </c>
      <c r="M2014" t="str">
        <f>IF(moras[[#This Row],[Z-Score Salario]]&gt;1.96, "Sí", "No")</f>
        <v>No</v>
      </c>
      <c r="N2014" s="14">
        <f>IF(ISBLANK(moras[[#This Row],[SALARIO]]), EDA!$M$8, moras[[#This Row],[SALARIO]])</f>
        <v>433085</v>
      </c>
      <c r="O2014" s="14">
        <f xml:space="preserve"> IF(ISBLANK(moras[[#This Row],[EDAD]]), EDA!$E$8, moras[[#This Row],[EDAD]])</f>
        <v>46</v>
      </c>
      <c r="P2014" s="14" t="str">
        <f>IF(
    OR(ISBLANK(moras[[#This Row],[TIPO_ASEGURAMIENTO]]), moras[[#This Row],[TIPO_ASEGURAMIENTO]]=""),
    EDA!$A$32,
    moras[[#This Row],[TIPO_ASEGURAMIENTO]]
)</f>
        <v>TRABAJADOR INDEPENDIENTE</v>
      </c>
    </row>
    <row r="2015" spans="1:16" x14ac:dyDescent="0.3">
      <c r="A2015">
        <v>2014</v>
      </c>
      <c r="B2015" t="s">
        <v>9</v>
      </c>
      <c r="C2015">
        <v>76511168</v>
      </c>
      <c r="D2015" t="s">
        <v>14</v>
      </c>
      <c r="E2015" t="s">
        <v>11</v>
      </c>
      <c r="F2015" t="s">
        <v>12</v>
      </c>
      <c r="G2015" t="s">
        <v>13</v>
      </c>
      <c r="H2015" t="s">
        <v>13</v>
      </c>
      <c r="I2015">
        <v>62</v>
      </c>
      <c r="J2015">
        <f>ABS((I2015-EDA!$A$15)/EDA!$B$15)</f>
        <v>1.4129469144014672</v>
      </c>
      <c r="K2015" t="str">
        <f t="shared" si="31"/>
        <v>No</v>
      </c>
      <c r="L2015">
        <f>ABS((C2015-EDA!$F$15)/EDA!$G$15)</f>
        <v>0.89754587347889336</v>
      </c>
      <c r="M2015" t="str">
        <f>IF(moras[[#This Row],[Z-Score Salario]]&gt;1.96, "Sí", "No")</f>
        <v>No</v>
      </c>
      <c r="N2015" s="14">
        <f>IF(ISBLANK(moras[[#This Row],[SALARIO]]), EDA!$M$8, moras[[#This Row],[SALARIO]])</f>
        <v>76511168</v>
      </c>
      <c r="O2015" s="14">
        <f xml:space="preserve"> IF(ISBLANK(moras[[#This Row],[EDAD]]), EDA!$E$8, moras[[#This Row],[EDAD]])</f>
        <v>62</v>
      </c>
      <c r="P2015" s="14" t="str">
        <f>IF(
    OR(ISBLANK(moras[[#This Row],[TIPO_ASEGURAMIENTO]]), moras[[#This Row],[TIPO_ASEGURAMIENTO]]=""),
    EDA!$A$32,
    moras[[#This Row],[TIPO_ASEGURAMIENTO]]
)</f>
        <v>PENSIONADOS EN SU PROPIO SISTEMA</v>
      </c>
    </row>
    <row r="2016" spans="1:16" x14ac:dyDescent="0.3">
      <c r="A2016">
        <v>2015</v>
      </c>
      <c r="B2016" t="s">
        <v>9</v>
      </c>
      <c r="C2016">
        <v>175000</v>
      </c>
      <c r="D2016" t="s">
        <v>10</v>
      </c>
      <c r="E2016" t="s">
        <v>16</v>
      </c>
      <c r="F2016" t="s">
        <v>12</v>
      </c>
      <c r="G2016" t="s">
        <v>13</v>
      </c>
      <c r="H2016" t="s">
        <v>13</v>
      </c>
      <c r="I2016">
        <v>39</v>
      </c>
      <c r="J2016">
        <f>ABS((I2016-EDA!$A$15)/EDA!$B$15)</f>
        <v>0.21028567737269524</v>
      </c>
      <c r="K2016" t="str">
        <f t="shared" si="31"/>
        <v>No</v>
      </c>
      <c r="L2016">
        <f>ABS((C2016-EDA!$F$15)/EDA!$G$15)</f>
        <v>0.37274184867318361</v>
      </c>
      <c r="M2016" t="str">
        <f>IF(moras[[#This Row],[Z-Score Salario]]&gt;1.96, "Sí", "No")</f>
        <v>No</v>
      </c>
      <c r="N2016" s="14">
        <f>IF(ISBLANK(moras[[#This Row],[SALARIO]]), EDA!$M$8, moras[[#This Row],[SALARIO]])</f>
        <v>175000</v>
      </c>
      <c r="O2016" s="14">
        <f xml:space="preserve"> IF(ISBLANK(moras[[#This Row],[EDAD]]), EDA!$E$8, moras[[#This Row],[EDAD]])</f>
        <v>39</v>
      </c>
      <c r="P2016" s="14" t="str">
        <f>IF(
    OR(ISBLANK(moras[[#This Row],[TIPO_ASEGURAMIENTO]]), moras[[#This Row],[TIPO_ASEGURAMIENTO]]=""),
    EDA!$A$32,
    moras[[#This Row],[TIPO_ASEGURAMIENTO]]
)</f>
        <v>ASALARIADO</v>
      </c>
    </row>
    <row r="2017" spans="1:16" x14ac:dyDescent="0.3">
      <c r="A2017">
        <v>2016</v>
      </c>
      <c r="B2017" t="s">
        <v>9</v>
      </c>
      <c r="C2017">
        <v>611409</v>
      </c>
      <c r="D2017" t="s">
        <v>18</v>
      </c>
      <c r="E2017" t="s">
        <v>16</v>
      </c>
      <c r="F2017" t="s">
        <v>12</v>
      </c>
      <c r="G2017" t="s">
        <v>13</v>
      </c>
      <c r="H2017" t="s">
        <v>12</v>
      </c>
      <c r="I2017">
        <v>68</v>
      </c>
      <c r="J2017">
        <f>ABS((I2017-EDA!$A$15)/EDA!$B$15)</f>
        <v>1.8363988948642924</v>
      </c>
      <c r="K2017" t="str">
        <f t="shared" si="31"/>
        <v>No</v>
      </c>
      <c r="L2017">
        <f>ABS((C2017-EDA!$F$15)/EDA!$G$15)</f>
        <v>0.36547969484674753</v>
      </c>
      <c r="M2017" t="str">
        <f>IF(moras[[#This Row],[Z-Score Salario]]&gt;1.96, "Sí", "No")</f>
        <v>No</v>
      </c>
      <c r="N2017" s="14">
        <f>IF(ISBLANK(moras[[#This Row],[SALARIO]]), EDA!$M$8, moras[[#This Row],[SALARIO]])</f>
        <v>611409</v>
      </c>
      <c r="O2017" s="14">
        <f xml:space="preserve"> IF(ISBLANK(moras[[#This Row],[EDAD]]), EDA!$E$8, moras[[#This Row],[EDAD]])</f>
        <v>68</v>
      </c>
      <c r="P2017" s="14" t="str">
        <f>IF(
    OR(ISBLANK(moras[[#This Row],[TIPO_ASEGURAMIENTO]]), moras[[#This Row],[TIPO_ASEGURAMIENTO]]=""),
    EDA!$A$32,
    moras[[#This Row],[TIPO_ASEGURAMIENTO]]
)</f>
        <v>TRABAJADOR INDEPENDIENTE</v>
      </c>
    </row>
    <row r="2018" spans="1:16" x14ac:dyDescent="0.3">
      <c r="A2018">
        <v>2017</v>
      </c>
      <c r="B2018" t="s">
        <v>9</v>
      </c>
      <c r="C2018">
        <v>40547329</v>
      </c>
      <c r="D2018" t="s">
        <v>10</v>
      </c>
      <c r="E2018" t="s">
        <v>16</v>
      </c>
      <c r="F2018" t="s">
        <v>12</v>
      </c>
      <c r="G2018" t="s">
        <v>12</v>
      </c>
      <c r="H2018" t="s">
        <v>13</v>
      </c>
      <c r="I2018">
        <v>29</v>
      </c>
      <c r="J2018">
        <f>ABS((I2018-EDA!$A$15)/EDA!$B$15)</f>
        <v>0.91603897814407031</v>
      </c>
      <c r="K2018" t="str">
        <f t="shared" si="31"/>
        <v>No</v>
      </c>
      <c r="L2018">
        <f>ABS((C2018-EDA!$F$15)/EDA!$G$15)</f>
        <v>0.29908220520628592</v>
      </c>
      <c r="M2018" t="str">
        <f>IF(moras[[#This Row],[Z-Score Salario]]&gt;1.96, "Sí", "No")</f>
        <v>No</v>
      </c>
      <c r="N2018" s="14">
        <f>IF(ISBLANK(moras[[#This Row],[SALARIO]]), EDA!$M$8, moras[[#This Row],[SALARIO]])</f>
        <v>40547329</v>
      </c>
      <c r="O2018" s="14">
        <f xml:space="preserve"> IF(ISBLANK(moras[[#This Row],[EDAD]]), EDA!$E$8, moras[[#This Row],[EDAD]])</f>
        <v>29</v>
      </c>
      <c r="P2018" s="14" t="str">
        <f>IF(
    OR(ISBLANK(moras[[#This Row],[TIPO_ASEGURAMIENTO]]), moras[[#This Row],[TIPO_ASEGURAMIENTO]]=""),
    EDA!$A$32,
    moras[[#This Row],[TIPO_ASEGURAMIENTO]]
)</f>
        <v>ASALARIADO</v>
      </c>
    </row>
    <row r="2019" spans="1:16" x14ac:dyDescent="0.3">
      <c r="A2019">
        <v>2018</v>
      </c>
      <c r="B2019" t="s">
        <v>15</v>
      </c>
      <c r="C2019">
        <v>297046</v>
      </c>
      <c r="D2019" t="s">
        <v>17</v>
      </c>
      <c r="E2019" t="s">
        <v>16</v>
      </c>
      <c r="F2019" t="s">
        <v>13</v>
      </c>
      <c r="G2019" t="s">
        <v>13</v>
      </c>
      <c r="H2019" t="s">
        <v>12</v>
      </c>
      <c r="I2019">
        <v>27</v>
      </c>
      <c r="J2019">
        <f>ABS((I2019-EDA!$A$15)/EDA!$B$15)</f>
        <v>1.0571896382983452</v>
      </c>
      <c r="K2019" t="str">
        <f t="shared" si="31"/>
        <v>No</v>
      </c>
      <c r="L2019">
        <f>ABS((C2019-EDA!$F$15)/EDA!$G$15)</f>
        <v>0.37071091707942361</v>
      </c>
      <c r="M2019" t="str">
        <f>IF(moras[[#This Row],[Z-Score Salario]]&gt;1.96, "Sí", "No")</f>
        <v>No</v>
      </c>
      <c r="N2019" s="14">
        <f>IF(ISBLANK(moras[[#This Row],[SALARIO]]), EDA!$M$8, moras[[#This Row],[SALARIO]])</f>
        <v>297046</v>
      </c>
      <c r="O2019" s="14">
        <f xml:space="preserve"> IF(ISBLANK(moras[[#This Row],[EDAD]]), EDA!$E$8, moras[[#This Row],[EDAD]])</f>
        <v>27</v>
      </c>
      <c r="P2019" s="14" t="str">
        <f>IF(
    OR(ISBLANK(moras[[#This Row],[TIPO_ASEGURAMIENTO]]), moras[[#This Row],[TIPO_ASEGURAMIENTO]]=""),
    EDA!$A$32,
    moras[[#This Row],[TIPO_ASEGURAMIENTO]]
)</f>
        <v>ASEGURADO VOLUNTARIO</v>
      </c>
    </row>
    <row r="2020" spans="1:16" x14ac:dyDescent="0.3">
      <c r="A2020">
        <v>2019</v>
      </c>
      <c r="B2020" t="s">
        <v>15</v>
      </c>
      <c r="C2020">
        <v>297046</v>
      </c>
      <c r="D2020" t="s">
        <v>17</v>
      </c>
      <c r="E2020" t="s">
        <v>16</v>
      </c>
      <c r="F2020" t="s">
        <v>12</v>
      </c>
      <c r="G2020" t="s">
        <v>13</v>
      </c>
      <c r="H2020" t="s">
        <v>13</v>
      </c>
      <c r="I2020">
        <v>26</v>
      </c>
      <c r="J2020">
        <f>ABS((I2020-EDA!$A$15)/EDA!$B$15)</f>
        <v>1.1277649683754829</v>
      </c>
      <c r="K2020" t="str">
        <f t="shared" si="31"/>
        <v>No</v>
      </c>
      <c r="L2020">
        <f>ABS((C2020-EDA!$F$15)/EDA!$G$15)</f>
        <v>0.37071091707942361</v>
      </c>
      <c r="M2020" t="str">
        <f>IF(moras[[#This Row],[Z-Score Salario]]&gt;1.96, "Sí", "No")</f>
        <v>No</v>
      </c>
      <c r="N2020" s="14">
        <f>IF(ISBLANK(moras[[#This Row],[SALARIO]]), EDA!$M$8, moras[[#This Row],[SALARIO]])</f>
        <v>297046</v>
      </c>
      <c r="O2020" s="14">
        <f xml:space="preserve"> IF(ISBLANK(moras[[#This Row],[EDAD]]), EDA!$E$8, moras[[#This Row],[EDAD]])</f>
        <v>26</v>
      </c>
      <c r="P2020" s="14" t="str">
        <f>IF(
    OR(ISBLANK(moras[[#This Row],[TIPO_ASEGURAMIENTO]]), moras[[#This Row],[TIPO_ASEGURAMIENTO]]=""),
    EDA!$A$32,
    moras[[#This Row],[TIPO_ASEGURAMIENTO]]
)</f>
        <v>ASEGURADO VOLUNTARIO</v>
      </c>
    </row>
    <row r="2021" spans="1:16" x14ac:dyDescent="0.3">
      <c r="A2021">
        <v>2020</v>
      </c>
      <c r="B2021" t="s">
        <v>15</v>
      </c>
      <c r="C2021">
        <v>9705295</v>
      </c>
      <c r="D2021" t="s">
        <v>10</v>
      </c>
      <c r="E2021" t="s">
        <v>11</v>
      </c>
      <c r="F2021" t="s">
        <v>12</v>
      </c>
      <c r="G2021" t="s">
        <v>13</v>
      </c>
      <c r="H2021" t="s">
        <v>13</v>
      </c>
      <c r="I2021">
        <v>37</v>
      </c>
      <c r="J2021">
        <f>ABS((I2021-EDA!$A$15)/EDA!$B$15)</f>
        <v>0.35143633752697023</v>
      </c>
      <c r="K2021" t="str">
        <f t="shared" si="31"/>
        <v>No</v>
      </c>
      <c r="L2021">
        <f>ABS((C2021-EDA!$F$15)/EDA!$G$15)</f>
        <v>0.21415101232170039</v>
      </c>
      <c r="M2021" t="str">
        <f>IF(moras[[#This Row],[Z-Score Salario]]&gt;1.96, "Sí", "No")</f>
        <v>No</v>
      </c>
      <c r="N2021" s="14">
        <f>IF(ISBLANK(moras[[#This Row],[SALARIO]]), EDA!$M$8, moras[[#This Row],[SALARIO]])</f>
        <v>9705295</v>
      </c>
      <c r="O2021" s="14">
        <f xml:space="preserve"> IF(ISBLANK(moras[[#This Row],[EDAD]]), EDA!$E$8, moras[[#This Row],[EDAD]])</f>
        <v>37</v>
      </c>
      <c r="P2021" s="14" t="str">
        <f>IF(
    OR(ISBLANK(moras[[#This Row],[TIPO_ASEGURAMIENTO]]), moras[[#This Row],[TIPO_ASEGURAMIENTO]]=""),
    EDA!$A$32,
    moras[[#This Row],[TIPO_ASEGURAMIENTO]]
)</f>
        <v>ASALARIADO</v>
      </c>
    </row>
    <row r="2022" spans="1:16" x14ac:dyDescent="0.3">
      <c r="A2022">
        <v>2021</v>
      </c>
      <c r="B2022" t="s">
        <v>15</v>
      </c>
      <c r="C2022">
        <v>178916105</v>
      </c>
      <c r="D2022" t="s">
        <v>10</v>
      </c>
      <c r="E2022" t="s">
        <v>11</v>
      </c>
      <c r="F2022" t="s">
        <v>12</v>
      </c>
      <c r="G2022" t="s">
        <v>13</v>
      </c>
      <c r="H2022" t="s">
        <v>13</v>
      </c>
      <c r="I2022">
        <v>41</v>
      </c>
      <c r="J2022">
        <f>ABS((I2022-EDA!$A$15)/EDA!$B$15)</f>
        <v>6.9135017218420233E-2</v>
      </c>
      <c r="K2022" t="str">
        <f t="shared" si="31"/>
        <v>No</v>
      </c>
      <c r="L2022">
        <f>ABS((C2022-EDA!$F$15)/EDA!$G$15)</f>
        <v>2.6016363140529726</v>
      </c>
      <c r="M2022" t="str">
        <f>IF(moras[[#This Row],[Z-Score Salario]]&gt;1.96, "Sí", "No")</f>
        <v>Sí</v>
      </c>
      <c r="N2022" s="14">
        <f>IF(ISBLANK(moras[[#This Row],[SALARIO]]), EDA!$M$8, moras[[#This Row],[SALARIO]])</f>
        <v>178916105</v>
      </c>
      <c r="O2022" s="14">
        <f xml:space="preserve"> IF(ISBLANK(moras[[#This Row],[EDAD]]), EDA!$E$8, moras[[#This Row],[EDAD]])</f>
        <v>41</v>
      </c>
      <c r="P2022" s="14" t="str">
        <f>IF(
    OR(ISBLANK(moras[[#This Row],[TIPO_ASEGURAMIENTO]]), moras[[#This Row],[TIPO_ASEGURAMIENTO]]=""),
    EDA!$A$32,
    moras[[#This Row],[TIPO_ASEGURAMIENTO]]
)</f>
        <v>ASALARIADO</v>
      </c>
    </row>
    <row r="2023" spans="1:16" x14ac:dyDescent="0.3">
      <c r="A2023">
        <v>2022</v>
      </c>
      <c r="B2023" t="s">
        <v>9</v>
      </c>
      <c r="C2023">
        <v>417000</v>
      </c>
      <c r="D2023" t="s">
        <v>10</v>
      </c>
      <c r="E2023" t="s">
        <v>16</v>
      </c>
      <c r="F2023" t="s">
        <v>12</v>
      </c>
      <c r="G2023" t="s">
        <v>13</v>
      </c>
      <c r="H2023" t="s">
        <v>13</v>
      </c>
      <c r="I2023">
        <v>42</v>
      </c>
      <c r="J2023">
        <f>ABS((I2023-EDA!$A$15)/EDA!$B$15)</f>
        <v>1.4403128587172659E-3</v>
      </c>
      <c r="K2023" t="str">
        <f t="shared" si="31"/>
        <v>No</v>
      </c>
      <c r="L2023">
        <f>ABS((C2023-EDA!$F$15)/EDA!$G$15)</f>
        <v>0.36871479784243189</v>
      </c>
      <c r="M2023" t="str">
        <f>IF(moras[[#This Row],[Z-Score Salario]]&gt;1.96, "Sí", "No")</f>
        <v>No</v>
      </c>
      <c r="N2023" s="14">
        <f>IF(ISBLANK(moras[[#This Row],[SALARIO]]), EDA!$M$8, moras[[#This Row],[SALARIO]])</f>
        <v>417000</v>
      </c>
      <c r="O2023" s="14">
        <f xml:space="preserve"> IF(ISBLANK(moras[[#This Row],[EDAD]]), EDA!$E$8, moras[[#This Row],[EDAD]])</f>
        <v>42</v>
      </c>
      <c r="P2023" s="14" t="str">
        <f>IF(
    OR(ISBLANK(moras[[#This Row],[TIPO_ASEGURAMIENTO]]), moras[[#This Row],[TIPO_ASEGURAMIENTO]]=""),
    EDA!$A$32,
    moras[[#This Row],[TIPO_ASEGURAMIENTO]]
)</f>
        <v>ASALARIADO</v>
      </c>
    </row>
    <row r="2024" spans="1:16" x14ac:dyDescent="0.3">
      <c r="A2024">
        <v>2023</v>
      </c>
      <c r="B2024" t="s">
        <v>9</v>
      </c>
      <c r="C2024">
        <v>500000</v>
      </c>
      <c r="D2024" t="s">
        <v>18</v>
      </c>
      <c r="E2024" t="s">
        <v>16</v>
      </c>
      <c r="F2024" t="s">
        <v>12</v>
      </c>
      <c r="G2024" t="s">
        <v>13</v>
      </c>
      <c r="H2024" t="s">
        <v>13</v>
      </c>
      <c r="I2024">
        <v>31</v>
      </c>
      <c r="J2024">
        <f>ABS((I2024-EDA!$A$15)/EDA!$B$15)</f>
        <v>0.77488831798979529</v>
      </c>
      <c r="K2024" t="str">
        <f t="shared" si="31"/>
        <v>No</v>
      </c>
      <c r="L2024">
        <f>ABS((C2024-EDA!$F$15)/EDA!$G$15)</f>
        <v>0.36733361925171953</v>
      </c>
      <c r="M2024" t="str">
        <f>IF(moras[[#This Row],[Z-Score Salario]]&gt;1.96, "Sí", "No")</f>
        <v>No</v>
      </c>
      <c r="N2024" s="14">
        <f>IF(ISBLANK(moras[[#This Row],[SALARIO]]), EDA!$M$8, moras[[#This Row],[SALARIO]])</f>
        <v>500000</v>
      </c>
      <c r="O2024" s="14">
        <f xml:space="preserve"> IF(ISBLANK(moras[[#This Row],[EDAD]]), EDA!$E$8, moras[[#This Row],[EDAD]])</f>
        <v>31</v>
      </c>
      <c r="P2024" s="14" t="str">
        <f>IF(
    OR(ISBLANK(moras[[#This Row],[TIPO_ASEGURAMIENTO]]), moras[[#This Row],[TIPO_ASEGURAMIENTO]]=""),
    EDA!$A$32,
    moras[[#This Row],[TIPO_ASEGURAMIENTO]]
)</f>
        <v>TRABAJADOR INDEPENDIENTE</v>
      </c>
    </row>
    <row r="2025" spans="1:16" x14ac:dyDescent="0.3">
      <c r="A2025">
        <v>2024</v>
      </c>
      <c r="B2025" t="s">
        <v>9</v>
      </c>
      <c r="C2025">
        <v>351360</v>
      </c>
      <c r="D2025" t="s">
        <v>10</v>
      </c>
      <c r="E2025" t="s">
        <v>16</v>
      </c>
      <c r="F2025" t="s">
        <v>12</v>
      </c>
      <c r="G2025" t="s">
        <v>13</v>
      </c>
      <c r="H2025" t="s">
        <v>12</v>
      </c>
      <c r="I2025">
        <v>61</v>
      </c>
      <c r="J2025">
        <f>ABS((I2025-EDA!$A$15)/EDA!$B$15)</f>
        <v>1.3423715843243298</v>
      </c>
      <c r="K2025" t="str">
        <f t="shared" si="31"/>
        <v>No</v>
      </c>
      <c r="L2025">
        <f>ABS((C2025-EDA!$F$15)/EDA!$G$15)</f>
        <v>0.36980709377850851</v>
      </c>
      <c r="M2025" t="str">
        <f>IF(moras[[#This Row],[Z-Score Salario]]&gt;1.96, "Sí", "No")</f>
        <v>No</v>
      </c>
      <c r="N2025" s="14">
        <f>IF(ISBLANK(moras[[#This Row],[SALARIO]]), EDA!$M$8, moras[[#This Row],[SALARIO]])</f>
        <v>351360</v>
      </c>
      <c r="O2025" s="14">
        <f xml:space="preserve"> IF(ISBLANK(moras[[#This Row],[EDAD]]), EDA!$E$8, moras[[#This Row],[EDAD]])</f>
        <v>61</v>
      </c>
      <c r="P2025" s="14" t="str">
        <f>IF(
    OR(ISBLANK(moras[[#This Row],[TIPO_ASEGURAMIENTO]]), moras[[#This Row],[TIPO_ASEGURAMIENTO]]=""),
    EDA!$A$32,
    moras[[#This Row],[TIPO_ASEGURAMIENTO]]
)</f>
        <v>ASALARIADO</v>
      </c>
    </row>
    <row r="2026" spans="1:16" x14ac:dyDescent="0.3">
      <c r="A2026">
        <v>2025</v>
      </c>
      <c r="B2026" t="s">
        <v>15</v>
      </c>
      <c r="C2026">
        <v>297046</v>
      </c>
      <c r="D2026" t="s">
        <v>17</v>
      </c>
      <c r="E2026" t="s">
        <v>16</v>
      </c>
      <c r="F2026" t="s">
        <v>13</v>
      </c>
      <c r="G2026" t="s">
        <v>13</v>
      </c>
      <c r="H2026" t="s">
        <v>12</v>
      </c>
      <c r="I2026">
        <v>54</v>
      </c>
      <c r="J2026">
        <f>ABS((I2026-EDA!$A$15)/EDA!$B$15)</f>
        <v>0.84834427378436728</v>
      </c>
      <c r="K2026" t="str">
        <f t="shared" si="31"/>
        <v>No</v>
      </c>
      <c r="L2026">
        <f>ABS((C2026-EDA!$F$15)/EDA!$G$15)</f>
        <v>0.37071091707942361</v>
      </c>
      <c r="M2026" t="str">
        <f>IF(moras[[#This Row],[Z-Score Salario]]&gt;1.96, "Sí", "No")</f>
        <v>No</v>
      </c>
      <c r="N2026" s="14">
        <f>IF(ISBLANK(moras[[#This Row],[SALARIO]]), EDA!$M$8, moras[[#This Row],[SALARIO]])</f>
        <v>297046</v>
      </c>
      <c r="O2026" s="14">
        <f xml:space="preserve"> IF(ISBLANK(moras[[#This Row],[EDAD]]), EDA!$E$8, moras[[#This Row],[EDAD]])</f>
        <v>54</v>
      </c>
      <c r="P2026" s="14" t="str">
        <f>IF(
    OR(ISBLANK(moras[[#This Row],[TIPO_ASEGURAMIENTO]]), moras[[#This Row],[TIPO_ASEGURAMIENTO]]=""),
    EDA!$A$32,
    moras[[#This Row],[TIPO_ASEGURAMIENTO]]
)</f>
        <v>ASEGURADO VOLUNTARIO</v>
      </c>
    </row>
    <row r="2027" spans="1:16" x14ac:dyDescent="0.3">
      <c r="A2027">
        <v>2026</v>
      </c>
      <c r="B2027" t="s">
        <v>15</v>
      </c>
      <c r="C2027">
        <v>297042</v>
      </c>
      <c r="D2027" t="s">
        <v>18</v>
      </c>
      <c r="E2027" t="s">
        <v>16</v>
      </c>
      <c r="F2027" t="s">
        <v>12</v>
      </c>
      <c r="G2027" t="s">
        <v>13</v>
      </c>
      <c r="H2027" t="s">
        <v>13</v>
      </c>
      <c r="I2027">
        <v>25</v>
      </c>
      <c r="J2027">
        <f>ABS((I2027-EDA!$A$15)/EDA!$B$15)</f>
        <v>1.1983402984526204</v>
      </c>
      <c r="K2027" t="str">
        <f t="shared" si="31"/>
        <v>No</v>
      </c>
      <c r="L2027">
        <f>ABS((C2027-EDA!$F$15)/EDA!$G$15)</f>
        <v>0.37071098364224725</v>
      </c>
      <c r="M2027" t="str">
        <f>IF(moras[[#This Row],[Z-Score Salario]]&gt;1.96, "Sí", "No")</f>
        <v>No</v>
      </c>
      <c r="N2027" s="14">
        <f>IF(ISBLANK(moras[[#This Row],[SALARIO]]), EDA!$M$8, moras[[#This Row],[SALARIO]])</f>
        <v>297042</v>
      </c>
      <c r="O2027" s="14">
        <f xml:space="preserve"> IF(ISBLANK(moras[[#This Row],[EDAD]]), EDA!$E$8, moras[[#This Row],[EDAD]])</f>
        <v>25</v>
      </c>
      <c r="P2027" s="14" t="str">
        <f>IF(
    OR(ISBLANK(moras[[#This Row],[TIPO_ASEGURAMIENTO]]), moras[[#This Row],[TIPO_ASEGURAMIENTO]]=""),
    EDA!$A$32,
    moras[[#This Row],[TIPO_ASEGURAMIENTO]]
)</f>
        <v>TRABAJADOR INDEPENDIENTE</v>
      </c>
    </row>
    <row r="2028" spans="1:16" x14ac:dyDescent="0.3">
      <c r="A2028">
        <v>2027</v>
      </c>
      <c r="B2028" t="s">
        <v>9</v>
      </c>
      <c r="C2028">
        <v>356455</v>
      </c>
      <c r="D2028" t="s">
        <v>18</v>
      </c>
      <c r="E2028" t="s">
        <v>16</v>
      </c>
      <c r="F2028" t="s">
        <v>12</v>
      </c>
      <c r="G2028" t="s">
        <v>13</v>
      </c>
      <c r="H2028" t="s">
        <v>12</v>
      </c>
      <c r="I2028">
        <v>55</v>
      </c>
      <c r="J2028">
        <f>ABS((I2028-EDA!$A$15)/EDA!$B$15)</f>
        <v>0.91891960386150484</v>
      </c>
      <c r="K2028" t="str">
        <f t="shared" si="31"/>
        <v>No</v>
      </c>
      <c r="L2028">
        <f>ABS((C2028-EDA!$F$15)/EDA!$G$15)</f>
        <v>0.36972230938188588</v>
      </c>
      <c r="M2028" t="str">
        <f>IF(moras[[#This Row],[Z-Score Salario]]&gt;1.96, "Sí", "No")</f>
        <v>No</v>
      </c>
      <c r="N2028" s="14">
        <f>IF(ISBLANK(moras[[#This Row],[SALARIO]]), EDA!$M$8, moras[[#This Row],[SALARIO]])</f>
        <v>356455</v>
      </c>
      <c r="O2028" s="14">
        <f xml:space="preserve"> IF(ISBLANK(moras[[#This Row],[EDAD]]), EDA!$E$8, moras[[#This Row],[EDAD]])</f>
        <v>55</v>
      </c>
      <c r="P2028" s="14" t="str">
        <f>IF(
    OR(ISBLANK(moras[[#This Row],[TIPO_ASEGURAMIENTO]]), moras[[#This Row],[TIPO_ASEGURAMIENTO]]=""),
    EDA!$A$32,
    moras[[#This Row],[TIPO_ASEGURAMIENTO]]
)</f>
        <v>TRABAJADOR INDEPENDIENTE</v>
      </c>
    </row>
    <row r="2029" spans="1:16" x14ac:dyDescent="0.3">
      <c r="A2029">
        <v>2028</v>
      </c>
      <c r="B2029" t="s">
        <v>15</v>
      </c>
      <c r="C2029">
        <v>36933824</v>
      </c>
      <c r="D2029" t="s">
        <v>10</v>
      </c>
      <c r="E2029" t="s">
        <v>16</v>
      </c>
      <c r="F2029" t="s">
        <v>12</v>
      </c>
      <c r="G2029" t="s">
        <v>13</v>
      </c>
      <c r="H2029" t="s">
        <v>13</v>
      </c>
      <c r="I2029">
        <v>48</v>
      </c>
      <c r="J2029">
        <f>ABS((I2029-EDA!$A$15)/EDA!$B$15)</f>
        <v>0.42489229332154227</v>
      </c>
      <c r="K2029" t="str">
        <f t="shared" si="31"/>
        <v>No</v>
      </c>
      <c r="L2029">
        <f>ABS((C2029-EDA!$F$15)/EDA!$G$15)</f>
        <v>0.23895093118903188</v>
      </c>
      <c r="M2029" t="str">
        <f>IF(moras[[#This Row],[Z-Score Salario]]&gt;1.96, "Sí", "No")</f>
        <v>No</v>
      </c>
      <c r="N2029" s="14">
        <f>IF(ISBLANK(moras[[#This Row],[SALARIO]]), EDA!$M$8, moras[[#This Row],[SALARIO]])</f>
        <v>36933824</v>
      </c>
      <c r="O2029" s="14">
        <f xml:space="preserve"> IF(ISBLANK(moras[[#This Row],[EDAD]]), EDA!$E$8, moras[[#This Row],[EDAD]])</f>
        <v>48</v>
      </c>
      <c r="P2029" s="14" t="str">
        <f>IF(
    OR(ISBLANK(moras[[#This Row],[TIPO_ASEGURAMIENTO]]), moras[[#This Row],[TIPO_ASEGURAMIENTO]]=""),
    EDA!$A$32,
    moras[[#This Row],[TIPO_ASEGURAMIENTO]]
)</f>
        <v>ASALARIADO</v>
      </c>
    </row>
    <row r="2030" spans="1:16" x14ac:dyDescent="0.3">
      <c r="A2030">
        <v>2029</v>
      </c>
      <c r="B2030" t="s">
        <v>15</v>
      </c>
      <c r="C2030">
        <v>299837</v>
      </c>
      <c r="D2030" t="s">
        <v>17</v>
      </c>
      <c r="E2030" t="s">
        <v>16</v>
      </c>
      <c r="F2030" t="s">
        <v>13</v>
      </c>
      <c r="G2030" t="s">
        <v>12</v>
      </c>
      <c r="H2030" t="s">
        <v>13</v>
      </c>
      <c r="I2030">
        <v>52</v>
      </c>
      <c r="J2030">
        <f>ABS((I2030-EDA!$A$15)/EDA!$B$15)</f>
        <v>0.70719361363009237</v>
      </c>
      <c r="K2030" t="str">
        <f t="shared" si="31"/>
        <v>No</v>
      </c>
      <c r="L2030">
        <f>ABS((C2030-EDA!$F$15)/EDA!$G$15)</f>
        <v>0.37066447286922266</v>
      </c>
      <c r="M2030" t="str">
        <f>IF(moras[[#This Row],[Z-Score Salario]]&gt;1.96, "Sí", "No")</f>
        <v>No</v>
      </c>
      <c r="N2030" s="14">
        <f>IF(ISBLANK(moras[[#This Row],[SALARIO]]), EDA!$M$8, moras[[#This Row],[SALARIO]])</f>
        <v>299837</v>
      </c>
      <c r="O2030" s="14">
        <f xml:space="preserve"> IF(ISBLANK(moras[[#This Row],[EDAD]]), EDA!$E$8, moras[[#This Row],[EDAD]])</f>
        <v>52</v>
      </c>
      <c r="P2030" s="14" t="str">
        <f>IF(
    OR(ISBLANK(moras[[#This Row],[TIPO_ASEGURAMIENTO]]), moras[[#This Row],[TIPO_ASEGURAMIENTO]]=""),
    EDA!$A$32,
    moras[[#This Row],[TIPO_ASEGURAMIENTO]]
)</f>
        <v>ASEGURADO VOLUNTARIO</v>
      </c>
    </row>
    <row r="2031" spans="1:16" x14ac:dyDescent="0.3">
      <c r="A2031">
        <v>2030</v>
      </c>
      <c r="B2031" t="s">
        <v>15</v>
      </c>
      <c r="C2031">
        <v>267366</v>
      </c>
      <c r="D2031" t="s">
        <v>10</v>
      </c>
      <c r="E2031" t="s">
        <v>16</v>
      </c>
      <c r="F2031" t="s">
        <v>12</v>
      </c>
      <c r="G2031" t="s">
        <v>13</v>
      </c>
      <c r="H2031" t="s">
        <v>13</v>
      </c>
      <c r="I2031">
        <v>27</v>
      </c>
      <c r="J2031">
        <f>ABS((I2031-EDA!$A$15)/EDA!$B$15)</f>
        <v>1.0571896382983452</v>
      </c>
      <c r="K2031" t="str">
        <f t="shared" si="31"/>
        <v>No</v>
      </c>
      <c r="L2031">
        <f>ABS((C2031-EDA!$F$15)/EDA!$G$15)</f>
        <v>0.3712048132308976</v>
      </c>
      <c r="M2031" t="str">
        <f>IF(moras[[#This Row],[Z-Score Salario]]&gt;1.96, "Sí", "No")</f>
        <v>No</v>
      </c>
      <c r="N2031" s="14">
        <f>IF(ISBLANK(moras[[#This Row],[SALARIO]]), EDA!$M$8, moras[[#This Row],[SALARIO]])</f>
        <v>267366</v>
      </c>
      <c r="O2031" s="14">
        <f xml:space="preserve"> IF(ISBLANK(moras[[#This Row],[EDAD]]), EDA!$E$8, moras[[#This Row],[EDAD]])</f>
        <v>27</v>
      </c>
      <c r="P2031" s="14" t="str">
        <f>IF(
    OR(ISBLANK(moras[[#This Row],[TIPO_ASEGURAMIENTO]]), moras[[#This Row],[TIPO_ASEGURAMIENTO]]=""),
    EDA!$A$32,
    moras[[#This Row],[TIPO_ASEGURAMIENTO]]
)</f>
        <v>ASALARIADO</v>
      </c>
    </row>
    <row r="2032" spans="1:16" x14ac:dyDescent="0.3">
      <c r="A2032">
        <v>2031</v>
      </c>
      <c r="B2032" t="s">
        <v>9</v>
      </c>
      <c r="C2032">
        <v>340000</v>
      </c>
      <c r="D2032" t="s">
        <v>10</v>
      </c>
      <c r="E2032" t="s">
        <v>16</v>
      </c>
      <c r="F2032" t="s">
        <v>12</v>
      </c>
      <c r="G2032" t="s">
        <v>13</v>
      </c>
      <c r="H2032" t="s">
        <v>13</v>
      </c>
      <c r="I2032">
        <v>40</v>
      </c>
      <c r="J2032">
        <f>ABS((I2032-EDA!$A$15)/EDA!$B$15)</f>
        <v>0.13971034729555773</v>
      </c>
      <c r="K2032" t="str">
        <f t="shared" si="31"/>
        <v>No</v>
      </c>
      <c r="L2032">
        <f>ABS((C2032-EDA!$F$15)/EDA!$G$15)</f>
        <v>0.36999613219767108</v>
      </c>
      <c r="M2032" t="str">
        <f>IF(moras[[#This Row],[Z-Score Salario]]&gt;1.96, "Sí", "No")</f>
        <v>No</v>
      </c>
      <c r="N2032" s="14">
        <f>IF(ISBLANK(moras[[#This Row],[SALARIO]]), EDA!$M$8, moras[[#This Row],[SALARIO]])</f>
        <v>340000</v>
      </c>
      <c r="O2032" s="14">
        <f xml:space="preserve"> IF(ISBLANK(moras[[#This Row],[EDAD]]), EDA!$E$8, moras[[#This Row],[EDAD]])</f>
        <v>40</v>
      </c>
      <c r="P2032" s="14" t="str">
        <f>IF(
    OR(ISBLANK(moras[[#This Row],[TIPO_ASEGURAMIENTO]]), moras[[#This Row],[TIPO_ASEGURAMIENTO]]=""),
    EDA!$A$32,
    moras[[#This Row],[TIPO_ASEGURAMIENTO]]
)</f>
        <v>ASALARIADO</v>
      </c>
    </row>
    <row r="2033" spans="1:16" x14ac:dyDescent="0.3">
      <c r="A2033">
        <v>2032</v>
      </c>
      <c r="B2033" t="s">
        <v>9</v>
      </c>
      <c r="C2033">
        <v>505930</v>
      </c>
      <c r="D2033" t="s">
        <v>10</v>
      </c>
      <c r="E2033" t="s">
        <v>16</v>
      </c>
      <c r="F2033" t="s">
        <v>12</v>
      </c>
      <c r="G2033" t="s">
        <v>13</v>
      </c>
      <c r="H2033" t="s">
        <v>13</v>
      </c>
      <c r="I2033">
        <v>20</v>
      </c>
      <c r="J2033">
        <f>ABS((I2033-EDA!$A$15)/EDA!$B$15)</f>
        <v>1.5512169488383079</v>
      </c>
      <c r="K2033" t="str">
        <f t="shared" si="31"/>
        <v>No</v>
      </c>
      <c r="L2033">
        <f>ABS((C2033-EDA!$F$15)/EDA!$G$15)</f>
        <v>0.36723493986566019</v>
      </c>
      <c r="M2033" t="str">
        <f>IF(moras[[#This Row],[Z-Score Salario]]&gt;1.96, "Sí", "No")</f>
        <v>No</v>
      </c>
      <c r="N2033" s="14">
        <f>IF(ISBLANK(moras[[#This Row],[SALARIO]]), EDA!$M$8, moras[[#This Row],[SALARIO]])</f>
        <v>505930</v>
      </c>
      <c r="O2033" s="14">
        <f xml:space="preserve"> IF(ISBLANK(moras[[#This Row],[EDAD]]), EDA!$E$8, moras[[#This Row],[EDAD]])</f>
        <v>20</v>
      </c>
      <c r="P2033" s="14" t="str">
        <f>IF(
    OR(ISBLANK(moras[[#This Row],[TIPO_ASEGURAMIENTO]]), moras[[#This Row],[TIPO_ASEGURAMIENTO]]=""),
    EDA!$A$32,
    moras[[#This Row],[TIPO_ASEGURAMIENTO]]
)</f>
        <v>ASALARIADO</v>
      </c>
    </row>
    <row r="2034" spans="1:16" x14ac:dyDescent="0.3">
      <c r="A2034">
        <v>2033</v>
      </c>
      <c r="B2034" t="s">
        <v>9</v>
      </c>
      <c r="C2034">
        <v>275658</v>
      </c>
      <c r="D2034" t="s">
        <v>10</v>
      </c>
      <c r="E2034" t="s">
        <v>16</v>
      </c>
      <c r="F2034" t="s">
        <v>12</v>
      </c>
      <c r="G2034" t="s">
        <v>12</v>
      </c>
      <c r="H2034" t="s">
        <v>13</v>
      </c>
      <c r="I2034">
        <v>52</v>
      </c>
      <c r="J2034">
        <f>ABS((I2034-EDA!$A$15)/EDA!$B$15)</f>
        <v>0.70719361363009237</v>
      </c>
      <c r="K2034" t="str">
        <f t="shared" si="31"/>
        <v>No</v>
      </c>
      <c r="L2034">
        <f>ABS((C2034-EDA!$F$15)/EDA!$G$15)</f>
        <v>0.37106682849747363</v>
      </c>
      <c r="M2034" t="str">
        <f>IF(moras[[#This Row],[Z-Score Salario]]&gt;1.96, "Sí", "No")</f>
        <v>No</v>
      </c>
      <c r="N2034" s="14">
        <f>IF(ISBLANK(moras[[#This Row],[SALARIO]]), EDA!$M$8, moras[[#This Row],[SALARIO]])</f>
        <v>275658</v>
      </c>
      <c r="O2034" s="14">
        <f xml:space="preserve"> IF(ISBLANK(moras[[#This Row],[EDAD]]), EDA!$E$8, moras[[#This Row],[EDAD]])</f>
        <v>52</v>
      </c>
      <c r="P2034" s="14" t="str">
        <f>IF(
    OR(ISBLANK(moras[[#This Row],[TIPO_ASEGURAMIENTO]]), moras[[#This Row],[TIPO_ASEGURAMIENTO]]=""),
    EDA!$A$32,
    moras[[#This Row],[TIPO_ASEGURAMIENTO]]
)</f>
        <v>ASALARIADO</v>
      </c>
    </row>
    <row r="2035" spans="1:16" x14ac:dyDescent="0.3">
      <c r="A2035">
        <v>2034</v>
      </c>
      <c r="B2035" t="s">
        <v>9</v>
      </c>
      <c r="C2035">
        <v>278035</v>
      </c>
      <c r="D2035" t="s">
        <v>18</v>
      </c>
      <c r="E2035" t="s">
        <v>16</v>
      </c>
      <c r="F2035" t="s">
        <v>12</v>
      </c>
      <c r="G2035" t="s">
        <v>13</v>
      </c>
      <c r="H2035" t="s">
        <v>13</v>
      </c>
      <c r="I2035">
        <v>28</v>
      </c>
      <c r="J2035">
        <f>ABS((I2035-EDA!$A$15)/EDA!$B$15)</f>
        <v>0.98661430822120777</v>
      </c>
      <c r="K2035" t="str">
        <f t="shared" si="31"/>
        <v>No</v>
      </c>
      <c r="L2035">
        <f>ABS((C2035-EDA!$F$15)/EDA!$G$15)</f>
        <v>0.37102727353952036</v>
      </c>
      <c r="M2035" t="str">
        <f>IF(moras[[#This Row],[Z-Score Salario]]&gt;1.96, "Sí", "No")</f>
        <v>No</v>
      </c>
      <c r="N2035" s="14">
        <f>IF(ISBLANK(moras[[#This Row],[SALARIO]]), EDA!$M$8, moras[[#This Row],[SALARIO]])</f>
        <v>278035</v>
      </c>
      <c r="O2035" s="14">
        <f xml:space="preserve"> IF(ISBLANK(moras[[#This Row],[EDAD]]), EDA!$E$8, moras[[#This Row],[EDAD]])</f>
        <v>28</v>
      </c>
      <c r="P2035" s="14" t="str">
        <f>IF(
    OR(ISBLANK(moras[[#This Row],[TIPO_ASEGURAMIENTO]]), moras[[#This Row],[TIPO_ASEGURAMIENTO]]=""),
    EDA!$A$32,
    moras[[#This Row],[TIPO_ASEGURAMIENTO]]
)</f>
        <v>TRABAJADOR INDEPENDIENTE</v>
      </c>
    </row>
    <row r="2036" spans="1:16" x14ac:dyDescent="0.3">
      <c r="A2036">
        <v>2035</v>
      </c>
      <c r="B2036" t="s">
        <v>15</v>
      </c>
      <c r="C2036">
        <v>1546084</v>
      </c>
      <c r="D2036" t="s">
        <v>10</v>
      </c>
      <c r="E2036" t="s">
        <v>11</v>
      </c>
      <c r="F2036" t="s">
        <v>12</v>
      </c>
      <c r="G2036" t="s">
        <v>13</v>
      </c>
      <c r="H2036" t="s">
        <v>13</v>
      </c>
      <c r="I2036">
        <v>47</v>
      </c>
      <c r="J2036">
        <f>ABS((I2036-EDA!$A$15)/EDA!$B$15)</f>
        <v>0.35431696324440481</v>
      </c>
      <c r="K2036" t="str">
        <f t="shared" si="31"/>
        <v>No</v>
      </c>
      <c r="L2036">
        <f>ABS((C2036-EDA!$F$15)/EDA!$G$15)</f>
        <v>0.34992604304826463</v>
      </c>
      <c r="M2036" t="str">
        <f>IF(moras[[#This Row],[Z-Score Salario]]&gt;1.96, "Sí", "No")</f>
        <v>No</v>
      </c>
      <c r="N2036" s="14">
        <f>IF(ISBLANK(moras[[#This Row],[SALARIO]]), EDA!$M$8, moras[[#This Row],[SALARIO]])</f>
        <v>1546084</v>
      </c>
      <c r="O2036" s="14">
        <f xml:space="preserve"> IF(ISBLANK(moras[[#This Row],[EDAD]]), EDA!$E$8, moras[[#This Row],[EDAD]])</f>
        <v>47</v>
      </c>
      <c r="P2036" s="14" t="str">
        <f>IF(
    OR(ISBLANK(moras[[#This Row],[TIPO_ASEGURAMIENTO]]), moras[[#This Row],[TIPO_ASEGURAMIENTO]]=""),
    EDA!$A$32,
    moras[[#This Row],[TIPO_ASEGURAMIENTO]]
)</f>
        <v>ASALARIADO</v>
      </c>
    </row>
    <row r="2037" spans="1:16" x14ac:dyDescent="0.3">
      <c r="A2037">
        <v>2036</v>
      </c>
      <c r="B2037" t="s">
        <v>9</v>
      </c>
      <c r="C2037">
        <v>810097</v>
      </c>
      <c r="D2037" t="s">
        <v>10</v>
      </c>
      <c r="E2037" t="s">
        <v>16</v>
      </c>
      <c r="F2037" t="s">
        <v>12</v>
      </c>
      <c r="G2037" t="s">
        <v>13</v>
      </c>
      <c r="H2037" t="s">
        <v>13</v>
      </c>
      <c r="I2037">
        <v>31</v>
      </c>
      <c r="J2037">
        <f>ABS((I2037-EDA!$A$15)/EDA!$B$15)</f>
        <v>0.77488831798979529</v>
      </c>
      <c r="K2037" t="str">
        <f t="shared" si="31"/>
        <v>No</v>
      </c>
      <c r="L2037">
        <f>ABS((C2037-EDA!$F$15)/EDA!$G$15)</f>
        <v>0.36217338627046491</v>
      </c>
      <c r="M2037" t="str">
        <f>IF(moras[[#This Row],[Z-Score Salario]]&gt;1.96, "Sí", "No")</f>
        <v>No</v>
      </c>
      <c r="N2037" s="14">
        <f>IF(ISBLANK(moras[[#This Row],[SALARIO]]), EDA!$M$8, moras[[#This Row],[SALARIO]])</f>
        <v>810097</v>
      </c>
      <c r="O2037" s="14">
        <f xml:space="preserve"> IF(ISBLANK(moras[[#This Row],[EDAD]]), EDA!$E$8, moras[[#This Row],[EDAD]])</f>
        <v>31</v>
      </c>
      <c r="P2037" s="14" t="str">
        <f>IF(
    OR(ISBLANK(moras[[#This Row],[TIPO_ASEGURAMIENTO]]), moras[[#This Row],[TIPO_ASEGURAMIENTO]]=""),
    EDA!$A$32,
    moras[[#This Row],[TIPO_ASEGURAMIENTO]]
)</f>
        <v>ASALARIADO</v>
      </c>
    </row>
    <row r="2038" spans="1:16" x14ac:dyDescent="0.3">
      <c r="A2038">
        <v>2037</v>
      </c>
      <c r="B2038" t="s">
        <v>9</v>
      </c>
      <c r="C2038">
        <v>106867967</v>
      </c>
      <c r="D2038" t="s">
        <v>10</v>
      </c>
      <c r="E2038" t="s">
        <v>11</v>
      </c>
      <c r="F2038" t="s">
        <v>12</v>
      </c>
      <c r="G2038" t="s">
        <v>13</v>
      </c>
      <c r="H2038" t="s">
        <v>13</v>
      </c>
      <c r="I2038">
        <v>28</v>
      </c>
      <c r="J2038">
        <f>ABS((I2038-EDA!$A$15)/EDA!$B$15)</f>
        <v>0.98661430822120777</v>
      </c>
      <c r="K2038" t="str">
        <f t="shared" si="31"/>
        <v>No</v>
      </c>
      <c r="L2038">
        <f>ABS((C2038-EDA!$F$15)/EDA!$G$15)</f>
        <v>1.4027044380735747</v>
      </c>
      <c r="M2038" t="str">
        <f>IF(moras[[#This Row],[Z-Score Salario]]&gt;1.96, "Sí", "No")</f>
        <v>No</v>
      </c>
      <c r="N2038" s="14">
        <f>IF(ISBLANK(moras[[#This Row],[SALARIO]]), EDA!$M$8, moras[[#This Row],[SALARIO]])</f>
        <v>106867967</v>
      </c>
      <c r="O2038" s="14">
        <f xml:space="preserve"> IF(ISBLANK(moras[[#This Row],[EDAD]]), EDA!$E$8, moras[[#This Row],[EDAD]])</f>
        <v>28</v>
      </c>
      <c r="P2038" s="14" t="str">
        <f>IF(
    OR(ISBLANK(moras[[#This Row],[TIPO_ASEGURAMIENTO]]), moras[[#This Row],[TIPO_ASEGURAMIENTO]]=""),
    EDA!$A$32,
    moras[[#This Row],[TIPO_ASEGURAMIENTO]]
)</f>
        <v>ASALARIADO</v>
      </c>
    </row>
    <row r="2039" spans="1:16" x14ac:dyDescent="0.3">
      <c r="A2039">
        <v>2038</v>
      </c>
      <c r="B2039" t="s">
        <v>15</v>
      </c>
      <c r="C2039">
        <v>1511481</v>
      </c>
      <c r="D2039" t="s">
        <v>14</v>
      </c>
      <c r="E2039" t="s">
        <v>11</v>
      </c>
      <c r="F2039" t="s">
        <v>12</v>
      </c>
      <c r="G2039" t="s">
        <v>13</v>
      </c>
      <c r="H2039" t="s">
        <v>13</v>
      </c>
      <c r="I2039">
        <v>69</v>
      </c>
      <c r="J2039">
        <f>ABS((I2039-EDA!$A$15)/EDA!$B$15)</f>
        <v>1.9069742249414299</v>
      </c>
      <c r="K2039" t="str">
        <f t="shared" si="31"/>
        <v>No</v>
      </c>
      <c r="L2039">
        <f>ABS((C2039-EDA!$F$15)/EDA!$G$15)</f>
        <v>0.35050186139494438</v>
      </c>
      <c r="M2039" t="str">
        <f>IF(moras[[#This Row],[Z-Score Salario]]&gt;1.96, "Sí", "No")</f>
        <v>No</v>
      </c>
      <c r="N2039" s="14">
        <f>IF(ISBLANK(moras[[#This Row],[SALARIO]]), EDA!$M$8, moras[[#This Row],[SALARIO]])</f>
        <v>1511481</v>
      </c>
      <c r="O2039" s="14">
        <f xml:space="preserve"> IF(ISBLANK(moras[[#This Row],[EDAD]]), EDA!$E$8, moras[[#This Row],[EDAD]])</f>
        <v>69</v>
      </c>
      <c r="P2039" s="14" t="str">
        <f>IF(
    OR(ISBLANK(moras[[#This Row],[TIPO_ASEGURAMIENTO]]), moras[[#This Row],[TIPO_ASEGURAMIENTO]]=""),
    EDA!$A$32,
    moras[[#This Row],[TIPO_ASEGURAMIENTO]]
)</f>
        <v>PENSIONADOS EN SU PROPIO SISTEMA</v>
      </c>
    </row>
    <row r="2040" spans="1:16" x14ac:dyDescent="0.3">
      <c r="A2040">
        <v>2039</v>
      </c>
      <c r="B2040" t="s">
        <v>9</v>
      </c>
      <c r="C2040">
        <v>360000</v>
      </c>
      <c r="D2040" t="s">
        <v>10</v>
      </c>
      <c r="E2040" t="s">
        <v>16</v>
      </c>
      <c r="F2040" t="s">
        <v>12</v>
      </c>
      <c r="G2040" t="s">
        <v>13</v>
      </c>
      <c r="H2040" t="s">
        <v>13</v>
      </c>
      <c r="I2040">
        <v>49</v>
      </c>
      <c r="J2040">
        <f>ABS((I2040-EDA!$A$15)/EDA!$B$15)</f>
        <v>0.49546762339867978</v>
      </c>
      <c r="K2040" t="str">
        <f t="shared" si="31"/>
        <v>No</v>
      </c>
      <c r="L2040">
        <f>ABS((C2040-EDA!$F$15)/EDA!$G$15)</f>
        <v>0.36966331807942709</v>
      </c>
      <c r="M2040" t="str">
        <f>IF(moras[[#This Row],[Z-Score Salario]]&gt;1.96, "Sí", "No")</f>
        <v>No</v>
      </c>
      <c r="N2040" s="14">
        <f>IF(ISBLANK(moras[[#This Row],[SALARIO]]), EDA!$M$8, moras[[#This Row],[SALARIO]])</f>
        <v>360000</v>
      </c>
      <c r="O2040" s="14">
        <f xml:space="preserve"> IF(ISBLANK(moras[[#This Row],[EDAD]]), EDA!$E$8, moras[[#This Row],[EDAD]])</f>
        <v>49</v>
      </c>
      <c r="P2040" s="14" t="str">
        <f>IF(
    OR(ISBLANK(moras[[#This Row],[TIPO_ASEGURAMIENTO]]), moras[[#This Row],[TIPO_ASEGURAMIENTO]]=""),
    EDA!$A$32,
    moras[[#This Row],[TIPO_ASEGURAMIENTO]]
)</f>
        <v>ASALARIADO</v>
      </c>
    </row>
    <row r="2041" spans="1:16" x14ac:dyDescent="0.3">
      <c r="A2041">
        <v>2040</v>
      </c>
      <c r="B2041" t="s">
        <v>9</v>
      </c>
      <c r="C2041">
        <v>639148</v>
      </c>
      <c r="D2041" t="s">
        <v>18</v>
      </c>
      <c r="E2041" t="s">
        <v>16</v>
      </c>
      <c r="F2041" t="s">
        <v>12</v>
      </c>
      <c r="G2041" t="s">
        <v>13</v>
      </c>
      <c r="H2041" t="s">
        <v>13</v>
      </c>
      <c r="I2041">
        <v>54</v>
      </c>
      <c r="J2041">
        <f>ABS((I2041-EDA!$A$15)/EDA!$B$15)</f>
        <v>0.84834427378436728</v>
      </c>
      <c r="K2041" t="str">
        <f t="shared" si="31"/>
        <v>No</v>
      </c>
      <c r="L2041">
        <f>ABS((C2041-EDA!$F$15)/EDA!$G$15)</f>
        <v>0.36501809830544912</v>
      </c>
      <c r="M2041" t="str">
        <f>IF(moras[[#This Row],[Z-Score Salario]]&gt;1.96, "Sí", "No")</f>
        <v>No</v>
      </c>
      <c r="N2041" s="14">
        <f>IF(ISBLANK(moras[[#This Row],[SALARIO]]), EDA!$M$8, moras[[#This Row],[SALARIO]])</f>
        <v>639148</v>
      </c>
      <c r="O2041" s="14">
        <f xml:space="preserve"> IF(ISBLANK(moras[[#This Row],[EDAD]]), EDA!$E$8, moras[[#This Row],[EDAD]])</f>
        <v>54</v>
      </c>
      <c r="P2041" s="14" t="str">
        <f>IF(
    OR(ISBLANK(moras[[#This Row],[TIPO_ASEGURAMIENTO]]), moras[[#This Row],[TIPO_ASEGURAMIENTO]]=""),
    EDA!$A$32,
    moras[[#This Row],[TIPO_ASEGURAMIENTO]]
)</f>
        <v>TRABAJADOR INDEPENDIENTE</v>
      </c>
    </row>
    <row r="2042" spans="1:16" x14ac:dyDescent="0.3">
      <c r="A2042">
        <v>2041</v>
      </c>
      <c r="B2042" t="s">
        <v>9</v>
      </c>
      <c r="C2042">
        <v>3002779</v>
      </c>
      <c r="D2042" t="s">
        <v>10</v>
      </c>
      <c r="E2042" t="s">
        <v>16</v>
      </c>
      <c r="F2042" t="s">
        <v>12</v>
      </c>
      <c r="G2042" t="s">
        <v>12</v>
      </c>
      <c r="H2042" t="s">
        <v>13</v>
      </c>
      <c r="I2042">
        <v>39</v>
      </c>
      <c r="J2042">
        <f>ABS((I2042-EDA!$A$15)/EDA!$B$15)</f>
        <v>0.21028567737269524</v>
      </c>
      <c r="K2042" t="str">
        <f t="shared" si="31"/>
        <v>No</v>
      </c>
      <c r="L2042">
        <f>ABS((C2042-EDA!$F$15)/EDA!$G$15)</f>
        <v>0.32568560994949658</v>
      </c>
      <c r="M2042" t="str">
        <f>IF(moras[[#This Row],[Z-Score Salario]]&gt;1.96, "Sí", "No")</f>
        <v>No</v>
      </c>
      <c r="N2042" s="14">
        <f>IF(ISBLANK(moras[[#This Row],[SALARIO]]), EDA!$M$8, moras[[#This Row],[SALARIO]])</f>
        <v>3002779</v>
      </c>
      <c r="O2042" s="14">
        <f xml:space="preserve"> IF(ISBLANK(moras[[#This Row],[EDAD]]), EDA!$E$8, moras[[#This Row],[EDAD]])</f>
        <v>39</v>
      </c>
      <c r="P2042" s="14" t="str">
        <f>IF(
    OR(ISBLANK(moras[[#This Row],[TIPO_ASEGURAMIENTO]]), moras[[#This Row],[TIPO_ASEGURAMIENTO]]=""),
    EDA!$A$32,
    moras[[#This Row],[TIPO_ASEGURAMIENTO]]
)</f>
        <v>ASALARIADO</v>
      </c>
    </row>
    <row r="2043" spans="1:16" x14ac:dyDescent="0.3">
      <c r="A2043">
        <v>2042</v>
      </c>
      <c r="B2043" t="s">
        <v>9</v>
      </c>
      <c r="C2043">
        <v>505376</v>
      </c>
      <c r="D2043" t="s">
        <v>10</v>
      </c>
      <c r="E2043" t="s">
        <v>11</v>
      </c>
      <c r="F2043" t="s">
        <v>12</v>
      </c>
      <c r="G2043" t="s">
        <v>13</v>
      </c>
      <c r="H2043" t="s">
        <v>12</v>
      </c>
      <c r="I2043">
        <v>29</v>
      </c>
      <c r="J2043">
        <f>ABS((I2043-EDA!$A$15)/EDA!$B$15)</f>
        <v>0.91603897814407031</v>
      </c>
      <c r="K2043" t="str">
        <f t="shared" si="31"/>
        <v>No</v>
      </c>
      <c r="L2043">
        <f>ABS((C2043-EDA!$F$15)/EDA!$G$15)</f>
        <v>0.36724415881673556</v>
      </c>
      <c r="M2043" t="str">
        <f>IF(moras[[#This Row],[Z-Score Salario]]&gt;1.96, "Sí", "No")</f>
        <v>No</v>
      </c>
      <c r="N2043" s="14">
        <f>IF(ISBLANK(moras[[#This Row],[SALARIO]]), EDA!$M$8, moras[[#This Row],[SALARIO]])</f>
        <v>505376</v>
      </c>
      <c r="O2043" s="14">
        <f xml:space="preserve"> IF(ISBLANK(moras[[#This Row],[EDAD]]), EDA!$E$8, moras[[#This Row],[EDAD]])</f>
        <v>29</v>
      </c>
      <c r="P2043" s="14" t="str">
        <f>IF(
    OR(ISBLANK(moras[[#This Row],[TIPO_ASEGURAMIENTO]]), moras[[#This Row],[TIPO_ASEGURAMIENTO]]=""),
    EDA!$A$32,
    moras[[#This Row],[TIPO_ASEGURAMIENTO]]
)</f>
        <v>ASALARIADO</v>
      </c>
    </row>
    <row r="2044" spans="1:16" x14ac:dyDescent="0.3">
      <c r="A2044">
        <v>2043</v>
      </c>
      <c r="B2044" t="s">
        <v>15</v>
      </c>
      <c r="C2044">
        <v>269568</v>
      </c>
      <c r="D2044" t="s">
        <v>10</v>
      </c>
      <c r="E2044" t="s">
        <v>16</v>
      </c>
      <c r="F2044" t="s">
        <v>12</v>
      </c>
      <c r="G2044" t="s">
        <v>13</v>
      </c>
      <c r="H2044" t="s">
        <v>13</v>
      </c>
      <c r="I2044">
        <v>28</v>
      </c>
      <c r="J2044">
        <f>ABS((I2044-EDA!$A$15)/EDA!$B$15)</f>
        <v>0.98661430822120777</v>
      </c>
      <c r="K2044" t="str">
        <f t="shared" si="31"/>
        <v>No</v>
      </c>
      <c r="L2044">
        <f>ABS((C2044-EDA!$F$15)/EDA!$G$15)</f>
        <v>0.37116817039647892</v>
      </c>
      <c r="M2044" t="str">
        <f>IF(moras[[#This Row],[Z-Score Salario]]&gt;1.96, "Sí", "No")</f>
        <v>No</v>
      </c>
      <c r="N2044" s="14">
        <f>IF(ISBLANK(moras[[#This Row],[SALARIO]]), EDA!$M$8, moras[[#This Row],[SALARIO]])</f>
        <v>269568</v>
      </c>
      <c r="O2044" s="14">
        <f xml:space="preserve"> IF(ISBLANK(moras[[#This Row],[EDAD]]), EDA!$E$8, moras[[#This Row],[EDAD]])</f>
        <v>28</v>
      </c>
      <c r="P2044" s="14" t="str">
        <f>IF(
    OR(ISBLANK(moras[[#This Row],[TIPO_ASEGURAMIENTO]]), moras[[#This Row],[TIPO_ASEGURAMIENTO]]=""),
    EDA!$A$32,
    moras[[#This Row],[TIPO_ASEGURAMIENTO]]
)</f>
        <v>ASALARIADO</v>
      </c>
    </row>
    <row r="2045" spans="1:16" x14ac:dyDescent="0.3">
      <c r="A2045">
        <v>2044</v>
      </c>
      <c r="B2045" t="s">
        <v>9</v>
      </c>
      <c r="C2045">
        <v>366000</v>
      </c>
      <c r="D2045" t="s">
        <v>10</v>
      </c>
      <c r="E2045" t="s">
        <v>16</v>
      </c>
      <c r="F2045" t="s">
        <v>12</v>
      </c>
      <c r="G2045" t="s">
        <v>13</v>
      </c>
      <c r="H2045" t="s">
        <v>13</v>
      </c>
      <c r="I2045">
        <v>51</v>
      </c>
      <c r="J2045">
        <f>ABS((I2045-EDA!$A$15)/EDA!$B$15)</f>
        <v>0.6366182835529548</v>
      </c>
      <c r="K2045" t="str">
        <f t="shared" si="31"/>
        <v>No</v>
      </c>
      <c r="L2045">
        <f>ABS((C2045-EDA!$F$15)/EDA!$G$15)</f>
        <v>0.36956347384395394</v>
      </c>
      <c r="M2045" t="str">
        <f>IF(moras[[#This Row],[Z-Score Salario]]&gt;1.96, "Sí", "No")</f>
        <v>No</v>
      </c>
      <c r="N2045" s="14">
        <f>IF(ISBLANK(moras[[#This Row],[SALARIO]]), EDA!$M$8, moras[[#This Row],[SALARIO]])</f>
        <v>366000</v>
      </c>
      <c r="O2045" s="14">
        <f xml:space="preserve"> IF(ISBLANK(moras[[#This Row],[EDAD]]), EDA!$E$8, moras[[#This Row],[EDAD]])</f>
        <v>51</v>
      </c>
      <c r="P2045" s="14" t="str">
        <f>IF(
    OR(ISBLANK(moras[[#This Row],[TIPO_ASEGURAMIENTO]]), moras[[#This Row],[TIPO_ASEGURAMIENTO]]=""),
    EDA!$A$32,
    moras[[#This Row],[TIPO_ASEGURAMIENTO]]
)</f>
        <v>ASALARIADO</v>
      </c>
    </row>
    <row r="2046" spans="1:16" x14ac:dyDescent="0.3">
      <c r="A2046">
        <v>2045</v>
      </c>
      <c r="B2046" t="s">
        <v>9</v>
      </c>
      <c r="C2046">
        <v>35724053</v>
      </c>
      <c r="D2046" t="s">
        <v>10</v>
      </c>
      <c r="E2046" t="s">
        <v>16</v>
      </c>
      <c r="F2046" t="s">
        <v>12</v>
      </c>
      <c r="G2046" t="s">
        <v>13</v>
      </c>
      <c r="H2046" t="s">
        <v>13</v>
      </c>
      <c r="I2046">
        <v>21</v>
      </c>
      <c r="J2046">
        <f>ABS((I2046-EDA!$A$15)/EDA!$B$15)</f>
        <v>1.4806416187611704</v>
      </c>
      <c r="K2046" t="str">
        <f t="shared" si="31"/>
        <v>No</v>
      </c>
      <c r="L2046">
        <f>ABS((C2046-EDA!$F$15)/EDA!$G$15)</f>
        <v>0.21881948775692719</v>
      </c>
      <c r="M2046" t="str">
        <f>IF(moras[[#This Row],[Z-Score Salario]]&gt;1.96, "Sí", "No")</f>
        <v>No</v>
      </c>
      <c r="N2046" s="14">
        <f>IF(ISBLANK(moras[[#This Row],[SALARIO]]), EDA!$M$8, moras[[#This Row],[SALARIO]])</f>
        <v>35724053</v>
      </c>
      <c r="O2046" s="14">
        <f xml:space="preserve"> IF(ISBLANK(moras[[#This Row],[EDAD]]), EDA!$E$8, moras[[#This Row],[EDAD]])</f>
        <v>21</v>
      </c>
      <c r="P2046" s="14" t="str">
        <f>IF(
    OR(ISBLANK(moras[[#This Row],[TIPO_ASEGURAMIENTO]]), moras[[#This Row],[TIPO_ASEGURAMIENTO]]=""),
    EDA!$A$32,
    moras[[#This Row],[TIPO_ASEGURAMIENTO]]
)</f>
        <v>ASALARIADO</v>
      </c>
    </row>
    <row r="2047" spans="1:16" x14ac:dyDescent="0.3">
      <c r="A2047">
        <v>2046</v>
      </c>
      <c r="B2047" t="s">
        <v>9</v>
      </c>
      <c r="C2047">
        <v>310124</v>
      </c>
      <c r="D2047" t="s">
        <v>18</v>
      </c>
      <c r="E2047" t="s">
        <v>16</v>
      </c>
      <c r="F2047" t="s">
        <v>12</v>
      </c>
      <c r="G2047" t="s">
        <v>13</v>
      </c>
      <c r="H2047" t="s">
        <v>12</v>
      </c>
      <c r="I2047">
        <v>66</v>
      </c>
      <c r="J2047">
        <f>ABS((I2047-EDA!$A$15)/EDA!$B$15)</f>
        <v>1.6952482347100173</v>
      </c>
      <c r="K2047" t="str">
        <f t="shared" si="31"/>
        <v>No</v>
      </c>
      <c r="L2047">
        <f>ABS((C2047-EDA!$F$15)/EDA!$G$15)</f>
        <v>0.37049328992750385</v>
      </c>
      <c r="M2047" t="str">
        <f>IF(moras[[#This Row],[Z-Score Salario]]&gt;1.96, "Sí", "No")</f>
        <v>No</v>
      </c>
      <c r="N2047" s="14">
        <f>IF(ISBLANK(moras[[#This Row],[SALARIO]]), EDA!$M$8, moras[[#This Row],[SALARIO]])</f>
        <v>310124</v>
      </c>
      <c r="O2047" s="14">
        <f xml:space="preserve"> IF(ISBLANK(moras[[#This Row],[EDAD]]), EDA!$E$8, moras[[#This Row],[EDAD]])</f>
        <v>66</v>
      </c>
      <c r="P2047" s="14" t="str">
        <f>IF(
    OR(ISBLANK(moras[[#This Row],[TIPO_ASEGURAMIENTO]]), moras[[#This Row],[TIPO_ASEGURAMIENTO]]=""),
    EDA!$A$32,
    moras[[#This Row],[TIPO_ASEGURAMIENTO]]
)</f>
        <v>TRABAJADOR INDEPENDIENTE</v>
      </c>
    </row>
    <row r="2048" spans="1:16" x14ac:dyDescent="0.3">
      <c r="A2048">
        <v>2047</v>
      </c>
      <c r="B2048" t="s">
        <v>9</v>
      </c>
      <c r="C2048">
        <v>50587511</v>
      </c>
      <c r="D2048" t="s">
        <v>10</v>
      </c>
      <c r="E2048" t="s">
        <v>16</v>
      </c>
      <c r="F2048" t="s">
        <v>12</v>
      </c>
      <c r="G2048" t="s">
        <v>13</v>
      </c>
      <c r="H2048" t="s">
        <v>13</v>
      </c>
      <c r="I2048">
        <v>29</v>
      </c>
      <c r="J2048">
        <f>ABS((I2048-EDA!$A$15)/EDA!$B$15)</f>
        <v>0.91603897814407031</v>
      </c>
      <c r="K2048" t="str">
        <f t="shared" si="31"/>
        <v>No</v>
      </c>
      <c r="L2048">
        <f>ABS((C2048-EDA!$F$15)/EDA!$G$15)</f>
        <v>0.46615792117322163</v>
      </c>
      <c r="M2048" t="str">
        <f>IF(moras[[#This Row],[Z-Score Salario]]&gt;1.96, "Sí", "No")</f>
        <v>No</v>
      </c>
      <c r="N2048" s="14">
        <f>IF(ISBLANK(moras[[#This Row],[SALARIO]]), EDA!$M$8, moras[[#This Row],[SALARIO]])</f>
        <v>50587511</v>
      </c>
      <c r="O2048" s="14">
        <f xml:space="preserve"> IF(ISBLANK(moras[[#This Row],[EDAD]]), EDA!$E$8, moras[[#This Row],[EDAD]])</f>
        <v>29</v>
      </c>
      <c r="P2048" s="14" t="str">
        <f>IF(
    OR(ISBLANK(moras[[#This Row],[TIPO_ASEGURAMIENTO]]), moras[[#This Row],[TIPO_ASEGURAMIENTO]]=""),
    EDA!$A$32,
    moras[[#This Row],[TIPO_ASEGURAMIENTO]]
)</f>
        <v>ASALARIADO</v>
      </c>
    </row>
    <row r="2049" spans="1:16" x14ac:dyDescent="0.3">
      <c r="A2049">
        <v>2048</v>
      </c>
      <c r="B2049" t="s">
        <v>9</v>
      </c>
      <c r="C2049">
        <v>34404181</v>
      </c>
      <c r="D2049" t="s">
        <v>10</v>
      </c>
      <c r="E2049" t="s">
        <v>16</v>
      </c>
      <c r="F2049" t="s">
        <v>12</v>
      </c>
      <c r="G2049" t="s">
        <v>13</v>
      </c>
      <c r="H2049" t="s">
        <v>13</v>
      </c>
      <c r="I2049">
        <v>23</v>
      </c>
      <c r="J2049">
        <f>ABS((I2049-EDA!$A$15)/EDA!$B$15)</f>
        <v>1.3394909586068953</v>
      </c>
      <c r="K2049" t="str">
        <f t="shared" si="31"/>
        <v>No</v>
      </c>
      <c r="L2049">
        <f>ABS((C2049-EDA!$F$15)/EDA!$G$15)</f>
        <v>0.19685588596318368</v>
      </c>
      <c r="M2049" t="str">
        <f>IF(moras[[#This Row],[Z-Score Salario]]&gt;1.96, "Sí", "No")</f>
        <v>No</v>
      </c>
      <c r="N2049" s="14">
        <f>IF(ISBLANK(moras[[#This Row],[SALARIO]]), EDA!$M$8, moras[[#This Row],[SALARIO]])</f>
        <v>34404181</v>
      </c>
      <c r="O2049" s="14">
        <f xml:space="preserve"> IF(ISBLANK(moras[[#This Row],[EDAD]]), EDA!$E$8, moras[[#This Row],[EDAD]])</f>
        <v>23</v>
      </c>
      <c r="P2049" s="14" t="str">
        <f>IF(
    OR(ISBLANK(moras[[#This Row],[TIPO_ASEGURAMIENTO]]), moras[[#This Row],[TIPO_ASEGURAMIENTO]]=""),
    EDA!$A$32,
    moras[[#This Row],[TIPO_ASEGURAMIENTO]]
)</f>
        <v>ASALARIADO</v>
      </c>
    </row>
    <row r="2050" spans="1:16" x14ac:dyDescent="0.3">
      <c r="A2050">
        <v>2049</v>
      </c>
      <c r="B2050" t="s">
        <v>15</v>
      </c>
      <c r="C2050">
        <v>731044</v>
      </c>
      <c r="D2050" t="s">
        <v>10</v>
      </c>
      <c r="E2050" t="s">
        <v>11</v>
      </c>
      <c r="F2050" t="s">
        <v>12</v>
      </c>
      <c r="G2050" t="s">
        <v>13</v>
      </c>
      <c r="H2050" t="s">
        <v>12</v>
      </c>
      <c r="I2050">
        <v>36</v>
      </c>
      <c r="J2050">
        <f>ABS((I2050-EDA!$A$15)/EDA!$B$15)</f>
        <v>0.42201166760410774</v>
      </c>
      <c r="K2050" t="str">
        <f t="shared" ref="K2050:K2113" si="32">IF(J2050 &gt;  1.96, "Sí","No")</f>
        <v>No</v>
      </c>
      <c r="L2050">
        <f>ABS((C2050-EDA!$F$15)/EDA!$G$15)</f>
        <v>0.36348888399494184</v>
      </c>
      <c r="M2050" t="str">
        <f>IF(moras[[#This Row],[Z-Score Salario]]&gt;1.96, "Sí", "No")</f>
        <v>No</v>
      </c>
      <c r="N2050" s="14">
        <f>IF(ISBLANK(moras[[#This Row],[SALARIO]]), EDA!$M$8, moras[[#This Row],[SALARIO]])</f>
        <v>731044</v>
      </c>
      <c r="O2050" s="14">
        <f xml:space="preserve"> IF(ISBLANK(moras[[#This Row],[EDAD]]), EDA!$E$8, moras[[#This Row],[EDAD]])</f>
        <v>36</v>
      </c>
      <c r="P2050" s="14" t="str">
        <f>IF(
    OR(ISBLANK(moras[[#This Row],[TIPO_ASEGURAMIENTO]]), moras[[#This Row],[TIPO_ASEGURAMIENTO]]=""),
    EDA!$A$32,
    moras[[#This Row],[TIPO_ASEGURAMIENTO]]
)</f>
        <v>ASALARIADO</v>
      </c>
    </row>
    <row r="2051" spans="1:16" x14ac:dyDescent="0.3">
      <c r="A2051">
        <v>2050</v>
      </c>
      <c r="B2051" t="s">
        <v>15</v>
      </c>
      <c r="C2051">
        <v>30267895</v>
      </c>
      <c r="D2051" t="s">
        <v>10</v>
      </c>
      <c r="E2051" t="s">
        <v>11</v>
      </c>
      <c r="F2051" t="s">
        <v>12</v>
      </c>
      <c r="G2051" t="s">
        <v>13</v>
      </c>
      <c r="H2051" t="s">
        <v>13</v>
      </c>
      <c r="I2051">
        <v>58</v>
      </c>
      <c r="J2051">
        <f>ABS((I2051-EDA!$A$15)/EDA!$B$15)</f>
        <v>1.1306455940929174</v>
      </c>
      <c r="K2051" t="str">
        <f t="shared" si="32"/>
        <v>No</v>
      </c>
      <c r="L2051">
        <f>ABS((C2051-EDA!$F$15)/EDA!$G$15)</f>
        <v>0.12802516706844527</v>
      </c>
      <c r="M2051" t="str">
        <f>IF(moras[[#This Row],[Z-Score Salario]]&gt;1.96, "Sí", "No")</f>
        <v>No</v>
      </c>
      <c r="N2051" s="14">
        <f>IF(ISBLANK(moras[[#This Row],[SALARIO]]), EDA!$M$8, moras[[#This Row],[SALARIO]])</f>
        <v>30267895</v>
      </c>
      <c r="O2051" s="14">
        <f xml:space="preserve"> IF(ISBLANK(moras[[#This Row],[EDAD]]), EDA!$E$8, moras[[#This Row],[EDAD]])</f>
        <v>58</v>
      </c>
      <c r="P2051" s="14" t="str">
        <f>IF(
    OR(ISBLANK(moras[[#This Row],[TIPO_ASEGURAMIENTO]]), moras[[#This Row],[TIPO_ASEGURAMIENTO]]=""),
    EDA!$A$32,
    moras[[#This Row],[TIPO_ASEGURAMIENTO]]
)</f>
        <v>ASALARIADO</v>
      </c>
    </row>
    <row r="2052" spans="1:16" x14ac:dyDescent="0.3">
      <c r="A2052">
        <v>2051</v>
      </c>
      <c r="B2052" t="s">
        <v>15</v>
      </c>
      <c r="C2052">
        <v>79110677</v>
      </c>
      <c r="D2052" t="s">
        <v>10</v>
      </c>
      <c r="E2052" t="s">
        <v>16</v>
      </c>
      <c r="F2052" t="s">
        <v>12</v>
      </c>
      <c r="G2052" t="s">
        <v>13</v>
      </c>
      <c r="H2052" t="s">
        <v>13</v>
      </c>
      <c r="I2052">
        <v>48</v>
      </c>
      <c r="J2052">
        <f>ABS((I2052-EDA!$A$15)/EDA!$B$15)</f>
        <v>0.42489229332154227</v>
      </c>
      <c r="K2052" t="str">
        <f t="shared" si="32"/>
        <v>No</v>
      </c>
      <c r="L2052">
        <f>ABS((C2052-EDA!$F$15)/EDA!$G$15)</f>
        <v>0.94080353826400309</v>
      </c>
      <c r="M2052" t="str">
        <f>IF(moras[[#This Row],[Z-Score Salario]]&gt;1.96, "Sí", "No")</f>
        <v>No</v>
      </c>
      <c r="N2052" s="14">
        <f>IF(ISBLANK(moras[[#This Row],[SALARIO]]), EDA!$M$8, moras[[#This Row],[SALARIO]])</f>
        <v>79110677</v>
      </c>
      <c r="O2052" s="14">
        <f xml:space="preserve"> IF(ISBLANK(moras[[#This Row],[EDAD]]), EDA!$E$8, moras[[#This Row],[EDAD]])</f>
        <v>48</v>
      </c>
      <c r="P2052" s="14" t="str">
        <f>IF(
    OR(ISBLANK(moras[[#This Row],[TIPO_ASEGURAMIENTO]]), moras[[#This Row],[TIPO_ASEGURAMIENTO]]=""),
    EDA!$A$32,
    moras[[#This Row],[TIPO_ASEGURAMIENTO]]
)</f>
        <v>ASALARIADO</v>
      </c>
    </row>
    <row r="2053" spans="1:16" x14ac:dyDescent="0.3">
      <c r="A2053">
        <v>2052</v>
      </c>
      <c r="B2053" t="s">
        <v>15</v>
      </c>
      <c r="C2053">
        <v>11206894</v>
      </c>
      <c r="D2053" t="s">
        <v>14</v>
      </c>
      <c r="E2053" t="s">
        <v>11</v>
      </c>
      <c r="F2053" t="s">
        <v>12</v>
      </c>
      <c r="G2053" t="s">
        <v>13</v>
      </c>
      <c r="H2053" t="s">
        <v>13</v>
      </c>
      <c r="I2053">
        <v>68</v>
      </c>
      <c r="J2053">
        <f>ABS((I2053-EDA!$A$15)/EDA!$B$15)</f>
        <v>1.8363988948642924</v>
      </c>
      <c r="K2053" t="str">
        <f t="shared" si="32"/>
        <v>No</v>
      </c>
      <c r="L2053">
        <f>ABS((C2053-EDA!$F$15)/EDA!$G$15)</f>
        <v>0.18916334496465104</v>
      </c>
      <c r="M2053" t="str">
        <f>IF(moras[[#This Row],[Z-Score Salario]]&gt;1.96, "Sí", "No")</f>
        <v>No</v>
      </c>
      <c r="N2053" s="14">
        <f>IF(ISBLANK(moras[[#This Row],[SALARIO]]), EDA!$M$8, moras[[#This Row],[SALARIO]])</f>
        <v>11206894</v>
      </c>
      <c r="O2053" s="14">
        <f xml:space="preserve"> IF(ISBLANK(moras[[#This Row],[EDAD]]), EDA!$E$8, moras[[#This Row],[EDAD]])</f>
        <v>68</v>
      </c>
      <c r="P2053" s="14" t="str">
        <f>IF(
    OR(ISBLANK(moras[[#This Row],[TIPO_ASEGURAMIENTO]]), moras[[#This Row],[TIPO_ASEGURAMIENTO]]=""),
    EDA!$A$32,
    moras[[#This Row],[TIPO_ASEGURAMIENTO]]
)</f>
        <v>PENSIONADOS EN SU PROPIO SISTEMA</v>
      </c>
    </row>
    <row r="2054" spans="1:16" x14ac:dyDescent="0.3">
      <c r="A2054">
        <v>2053</v>
      </c>
      <c r="B2054" t="s">
        <v>9</v>
      </c>
      <c r="C2054">
        <v>297046</v>
      </c>
      <c r="D2054" t="s">
        <v>17</v>
      </c>
      <c r="E2054" t="s">
        <v>16</v>
      </c>
      <c r="F2054" t="s">
        <v>12</v>
      </c>
      <c r="G2054" t="s">
        <v>13</v>
      </c>
      <c r="H2054" t="s">
        <v>12</v>
      </c>
      <c r="I2054">
        <v>31</v>
      </c>
      <c r="J2054">
        <f>ABS((I2054-EDA!$A$15)/EDA!$B$15)</f>
        <v>0.77488831798979529</v>
      </c>
      <c r="K2054" t="str">
        <f t="shared" si="32"/>
        <v>No</v>
      </c>
      <c r="L2054">
        <f>ABS((C2054-EDA!$F$15)/EDA!$G$15)</f>
        <v>0.37071091707942361</v>
      </c>
      <c r="M2054" t="str">
        <f>IF(moras[[#This Row],[Z-Score Salario]]&gt;1.96, "Sí", "No")</f>
        <v>No</v>
      </c>
      <c r="N2054" s="14">
        <f>IF(ISBLANK(moras[[#This Row],[SALARIO]]), EDA!$M$8, moras[[#This Row],[SALARIO]])</f>
        <v>297046</v>
      </c>
      <c r="O2054" s="14">
        <f xml:space="preserve"> IF(ISBLANK(moras[[#This Row],[EDAD]]), EDA!$E$8, moras[[#This Row],[EDAD]])</f>
        <v>31</v>
      </c>
      <c r="P2054" s="14" t="str">
        <f>IF(
    OR(ISBLANK(moras[[#This Row],[TIPO_ASEGURAMIENTO]]), moras[[#This Row],[TIPO_ASEGURAMIENTO]]=""),
    EDA!$A$32,
    moras[[#This Row],[TIPO_ASEGURAMIENTO]]
)</f>
        <v>ASEGURADO VOLUNTARIO</v>
      </c>
    </row>
    <row r="2055" spans="1:16" x14ac:dyDescent="0.3">
      <c r="A2055">
        <v>2054</v>
      </c>
      <c r="B2055" t="s">
        <v>15</v>
      </c>
      <c r="C2055">
        <v>2024000</v>
      </c>
      <c r="D2055" t="s">
        <v>10</v>
      </c>
      <c r="E2055" t="s">
        <v>16</v>
      </c>
      <c r="F2055" t="s">
        <v>12</v>
      </c>
      <c r="G2055" t="s">
        <v>13</v>
      </c>
      <c r="H2055" t="s">
        <v>13</v>
      </c>
      <c r="I2055">
        <v>26</v>
      </c>
      <c r="J2055">
        <f>ABS((I2055-EDA!$A$15)/EDA!$B$15)</f>
        <v>1.1277649683754829</v>
      </c>
      <c r="K2055" t="str">
        <f t="shared" si="32"/>
        <v>No</v>
      </c>
      <c r="L2055">
        <f>ABS((C2055-EDA!$F$15)/EDA!$G$15)</f>
        <v>0.34197318344153099</v>
      </c>
      <c r="M2055" t="str">
        <f>IF(moras[[#This Row],[Z-Score Salario]]&gt;1.96, "Sí", "No")</f>
        <v>No</v>
      </c>
      <c r="N2055" s="14">
        <f>IF(ISBLANK(moras[[#This Row],[SALARIO]]), EDA!$M$8, moras[[#This Row],[SALARIO]])</f>
        <v>2024000</v>
      </c>
      <c r="O2055" s="14">
        <f xml:space="preserve"> IF(ISBLANK(moras[[#This Row],[EDAD]]), EDA!$E$8, moras[[#This Row],[EDAD]])</f>
        <v>26</v>
      </c>
      <c r="P2055" s="14" t="str">
        <f>IF(
    OR(ISBLANK(moras[[#This Row],[TIPO_ASEGURAMIENTO]]), moras[[#This Row],[TIPO_ASEGURAMIENTO]]=""),
    EDA!$A$32,
    moras[[#This Row],[TIPO_ASEGURAMIENTO]]
)</f>
        <v>ASALARIADO</v>
      </c>
    </row>
    <row r="2056" spans="1:16" x14ac:dyDescent="0.3">
      <c r="A2056">
        <v>2055</v>
      </c>
      <c r="B2056" t="s">
        <v>15</v>
      </c>
      <c r="C2056">
        <v>220000</v>
      </c>
      <c r="D2056" t="s">
        <v>10</v>
      </c>
      <c r="E2056" t="s">
        <v>16</v>
      </c>
      <c r="F2056" t="s">
        <v>12</v>
      </c>
      <c r="G2056" t="s">
        <v>13</v>
      </c>
      <c r="H2056" t="s">
        <v>13</v>
      </c>
      <c r="I2056">
        <v>24</v>
      </c>
      <c r="J2056">
        <f>ABS((I2056-EDA!$A$15)/EDA!$B$15)</f>
        <v>1.2689156285297578</v>
      </c>
      <c r="K2056" t="str">
        <f t="shared" si="32"/>
        <v>No</v>
      </c>
      <c r="L2056">
        <f>ABS((C2056-EDA!$F$15)/EDA!$G$15)</f>
        <v>0.37199301690713471</v>
      </c>
      <c r="M2056" t="str">
        <f>IF(moras[[#This Row],[Z-Score Salario]]&gt;1.96, "Sí", "No")</f>
        <v>No</v>
      </c>
      <c r="N2056" s="14">
        <f>IF(ISBLANK(moras[[#This Row],[SALARIO]]), EDA!$M$8, moras[[#This Row],[SALARIO]])</f>
        <v>220000</v>
      </c>
      <c r="O2056" s="14">
        <f xml:space="preserve"> IF(ISBLANK(moras[[#This Row],[EDAD]]), EDA!$E$8, moras[[#This Row],[EDAD]])</f>
        <v>24</v>
      </c>
      <c r="P2056" s="14" t="str">
        <f>IF(
    OR(ISBLANK(moras[[#This Row],[TIPO_ASEGURAMIENTO]]), moras[[#This Row],[TIPO_ASEGURAMIENTO]]=""),
    EDA!$A$32,
    moras[[#This Row],[TIPO_ASEGURAMIENTO]]
)</f>
        <v>ASALARIADO</v>
      </c>
    </row>
    <row r="2057" spans="1:16" x14ac:dyDescent="0.3">
      <c r="A2057">
        <v>2056</v>
      </c>
      <c r="B2057" t="s">
        <v>9</v>
      </c>
      <c r="C2057">
        <v>297659</v>
      </c>
      <c r="D2057" t="s">
        <v>18</v>
      </c>
      <c r="E2057" t="s">
        <v>16</v>
      </c>
      <c r="F2057" t="s">
        <v>12</v>
      </c>
      <c r="G2057" t="s">
        <v>13</v>
      </c>
      <c r="H2057" t="s">
        <v>13</v>
      </c>
      <c r="I2057">
        <v>60</v>
      </c>
      <c r="J2057">
        <f>ABS((I2057-EDA!$A$15)/EDA!$B$15)</f>
        <v>1.2717962542471923</v>
      </c>
      <c r="K2057" t="str">
        <f t="shared" si="32"/>
        <v>No</v>
      </c>
      <c r="L2057">
        <f>ABS((C2057-EDA!$F$15)/EDA!$G$15)</f>
        <v>0.37070071632669943</v>
      </c>
      <c r="M2057" t="str">
        <f>IF(moras[[#This Row],[Z-Score Salario]]&gt;1.96, "Sí", "No")</f>
        <v>No</v>
      </c>
      <c r="N2057" s="14">
        <f>IF(ISBLANK(moras[[#This Row],[SALARIO]]), EDA!$M$8, moras[[#This Row],[SALARIO]])</f>
        <v>297659</v>
      </c>
      <c r="O2057" s="14">
        <f xml:space="preserve"> IF(ISBLANK(moras[[#This Row],[EDAD]]), EDA!$E$8, moras[[#This Row],[EDAD]])</f>
        <v>60</v>
      </c>
      <c r="P2057" s="14" t="str">
        <f>IF(
    OR(ISBLANK(moras[[#This Row],[TIPO_ASEGURAMIENTO]]), moras[[#This Row],[TIPO_ASEGURAMIENTO]]=""),
    EDA!$A$32,
    moras[[#This Row],[TIPO_ASEGURAMIENTO]]
)</f>
        <v>TRABAJADOR INDEPENDIENTE</v>
      </c>
    </row>
    <row r="2058" spans="1:16" x14ac:dyDescent="0.3">
      <c r="A2058">
        <v>2057</v>
      </c>
      <c r="B2058" t="s">
        <v>15</v>
      </c>
      <c r="C2058">
        <v>1286116</v>
      </c>
      <c r="D2058" t="s">
        <v>10</v>
      </c>
      <c r="E2058" t="s">
        <v>11</v>
      </c>
      <c r="F2058" t="s">
        <v>12</v>
      </c>
      <c r="G2058" t="s">
        <v>13</v>
      </c>
      <c r="H2058" t="s">
        <v>12</v>
      </c>
      <c r="I2058">
        <v>51</v>
      </c>
      <c r="J2058">
        <f>ABS((I2058-EDA!$A$15)/EDA!$B$15)</f>
        <v>0.6366182835529548</v>
      </c>
      <c r="K2058" t="str">
        <f t="shared" si="32"/>
        <v>No</v>
      </c>
      <c r="L2058">
        <f>ABS((C2058-EDA!$F$15)/EDA!$G$15)</f>
        <v>0.35425209408284675</v>
      </c>
      <c r="M2058" t="str">
        <f>IF(moras[[#This Row],[Z-Score Salario]]&gt;1.96, "Sí", "No")</f>
        <v>No</v>
      </c>
      <c r="N2058" s="14">
        <f>IF(ISBLANK(moras[[#This Row],[SALARIO]]), EDA!$M$8, moras[[#This Row],[SALARIO]])</f>
        <v>1286116</v>
      </c>
      <c r="O2058" s="14">
        <f xml:space="preserve"> IF(ISBLANK(moras[[#This Row],[EDAD]]), EDA!$E$8, moras[[#This Row],[EDAD]])</f>
        <v>51</v>
      </c>
      <c r="P2058" s="14" t="str">
        <f>IF(
    OR(ISBLANK(moras[[#This Row],[TIPO_ASEGURAMIENTO]]), moras[[#This Row],[TIPO_ASEGURAMIENTO]]=""),
    EDA!$A$32,
    moras[[#This Row],[TIPO_ASEGURAMIENTO]]
)</f>
        <v>ASALARIADO</v>
      </c>
    </row>
    <row r="2059" spans="1:16" x14ac:dyDescent="0.3">
      <c r="A2059">
        <v>2058</v>
      </c>
      <c r="B2059" t="s">
        <v>9</v>
      </c>
      <c r="C2059">
        <v>180800</v>
      </c>
      <c r="D2059" t="s">
        <v>10</v>
      </c>
      <c r="E2059" t="s">
        <v>16</v>
      </c>
      <c r="F2059" t="s">
        <v>12</v>
      </c>
      <c r="G2059" t="s">
        <v>13</v>
      </c>
      <c r="H2059" t="s">
        <v>12</v>
      </c>
      <c r="I2059">
        <v>35</v>
      </c>
      <c r="J2059">
        <f>ABS((I2059-EDA!$A$15)/EDA!$B$15)</f>
        <v>0.49258699768124525</v>
      </c>
      <c r="K2059" t="str">
        <f t="shared" si="32"/>
        <v>No</v>
      </c>
      <c r="L2059">
        <f>ABS((C2059-EDA!$F$15)/EDA!$G$15)</f>
        <v>0.37264533257889287</v>
      </c>
      <c r="M2059" t="str">
        <f>IF(moras[[#This Row],[Z-Score Salario]]&gt;1.96, "Sí", "No")</f>
        <v>No</v>
      </c>
      <c r="N2059" s="14">
        <f>IF(ISBLANK(moras[[#This Row],[SALARIO]]), EDA!$M$8, moras[[#This Row],[SALARIO]])</f>
        <v>180800</v>
      </c>
      <c r="O2059" s="14">
        <f xml:space="preserve"> IF(ISBLANK(moras[[#This Row],[EDAD]]), EDA!$E$8, moras[[#This Row],[EDAD]])</f>
        <v>35</v>
      </c>
      <c r="P2059" s="14" t="str">
        <f>IF(
    OR(ISBLANK(moras[[#This Row],[TIPO_ASEGURAMIENTO]]), moras[[#This Row],[TIPO_ASEGURAMIENTO]]=""),
    EDA!$A$32,
    moras[[#This Row],[TIPO_ASEGURAMIENTO]]
)</f>
        <v>ASALARIADO</v>
      </c>
    </row>
    <row r="2060" spans="1:16" x14ac:dyDescent="0.3">
      <c r="A2060">
        <v>2059</v>
      </c>
      <c r="B2060" t="s">
        <v>9</v>
      </c>
      <c r="C2060">
        <v>334141</v>
      </c>
      <c r="D2060" t="s">
        <v>18</v>
      </c>
      <c r="E2060" t="s">
        <v>16</v>
      </c>
      <c r="F2060" t="s">
        <v>12</v>
      </c>
      <c r="G2060" t="s">
        <v>13</v>
      </c>
      <c r="H2060" t="s">
        <v>12</v>
      </c>
      <c r="I2060">
        <v>38</v>
      </c>
      <c r="J2060">
        <f>ABS((I2060-EDA!$A$15)/EDA!$B$15)</f>
        <v>0.28086100744983278</v>
      </c>
      <c r="K2060" t="str">
        <f t="shared" si="32"/>
        <v>No</v>
      </c>
      <c r="L2060">
        <f>ABS((C2060-EDA!$F$15)/EDA!$G$15)</f>
        <v>0.37009363009361063</v>
      </c>
      <c r="M2060" t="str">
        <f>IF(moras[[#This Row],[Z-Score Salario]]&gt;1.96, "Sí", "No")</f>
        <v>No</v>
      </c>
      <c r="N2060" s="14">
        <f>IF(ISBLANK(moras[[#This Row],[SALARIO]]), EDA!$M$8, moras[[#This Row],[SALARIO]])</f>
        <v>334141</v>
      </c>
      <c r="O2060" s="14">
        <f xml:space="preserve"> IF(ISBLANK(moras[[#This Row],[EDAD]]), EDA!$E$8, moras[[#This Row],[EDAD]])</f>
        <v>38</v>
      </c>
      <c r="P2060" s="14" t="str">
        <f>IF(
    OR(ISBLANK(moras[[#This Row],[TIPO_ASEGURAMIENTO]]), moras[[#This Row],[TIPO_ASEGURAMIENTO]]=""),
    EDA!$A$32,
    moras[[#This Row],[TIPO_ASEGURAMIENTO]]
)</f>
        <v>TRABAJADOR INDEPENDIENTE</v>
      </c>
    </row>
    <row r="2061" spans="1:16" x14ac:dyDescent="0.3">
      <c r="A2061">
        <v>2060</v>
      </c>
      <c r="B2061" t="s">
        <v>15</v>
      </c>
      <c r="C2061">
        <v>3565496</v>
      </c>
      <c r="D2061" t="s">
        <v>10</v>
      </c>
      <c r="E2061" t="s">
        <v>16</v>
      </c>
      <c r="F2061" t="s">
        <v>12</v>
      </c>
      <c r="G2061" t="s">
        <v>13</v>
      </c>
      <c r="H2061" t="s">
        <v>12</v>
      </c>
      <c r="I2061">
        <v>43</v>
      </c>
      <c r="J2061">
        <f>ABS((I2061-EDA!$A$15)/EDA!$B$15)</f>
        <v>7.2015642935854773E-2</v>
      </c>
      <c r="K2061" t="str">
        <f t="shared" si="32"/>
        <v>No</v>
      </c>
      <c r="L2061">
        <f>ABS((C2061-EDA!$F$15)/EDA!$G$15)</f>
        <v>0.31632160184070274</v>
      </c>
      <c r="M2061" t="str">
        <f>IF(moras[[#This Row],[Z-Score Salario]]&gt;1.96, "Sí", "No")</f>
        <v>No</v>
      </c>
      <c r="N2061" s="14">
        <f>IF(ISBLANK(moras[[#This Row],[SALARIO]]), EDA!$M$8, moras[[#This Row],[SALARIO]])</f>
        <v>3565496</v>
      </c>
      <c r="O2061" s="14">
        <f xml:space="preserve"> IF(ISBLANK(moras[[#This Row],[EDAD]]), EDA!$E$8, moras[[#This Row],[EDAD]])</f>
        <v>43</v>
      </c>
      <c r="P2061" s="14" t="str">
        <f>IF(
    OR(ISBLANK(moras[[#This Row],[TIPO_ASEGURAMIENTO]]), moras[[#This Row],[TIPO_ASEGURAMIENTO]]=""),
    EDA!$A$32,
    moras[[#This Row],[TIPO_ASEGURAMIENTO]]
)</f>
        <v>ASALARIADO</v>
      </c>
    </row>
    <row r="2062" spans="1:16" x14ac:dyDescent="0.3">
      <c r="A2062">
        <v>2061</v>
      </c>
      <c r="B2062" t="s">
        <v>9</v>
      </c>
      <c r="C2062">
        <v>5264418</v>
      </c>
      <c r="D2062" t="s">
        <v>10</v>
      </c>
      <c r="E2062" t="s">
        <v>16</v>
      </c>
      <c r="F2062" t="s">
        <v>12</v>
      </c>
      <c r="G2062" t="s">
        <v>13</v>
      </c>
      <c r="H2062" t="s">
        <v>13</v>
      </c>
      <c r="I2062">
        <v>43</v>
      </c>
      <c r="J2062">
        <f>ABS((I2062-EDA!$A$15)/EDA!$B$15)</f>
        <v>7.2015642935854773E-2</v>
      </c>
      <c r="K2062" t="str">
        <f t="shared" si="32"/>
        <v>No</v>
      </c>
      <c r="L2062">
        <f>ABS((C2062-EDA!$F$15)/EDA!$G$15)</f>
        <v>0.28805034047094086</v>
      </c>
      <c r="M2062" t="str">
        <f>IF(moras[[#This Row],[Z-Score Salario]]&gt;1.96, "Sí", "No")</f>
        <v>No</v>
      </c>
      <c r="N2062" s="14">
        <f>IF(ISBLANK(moras[[#This Row],[SALARIO]]), EDA!$M$8, moras[[#This Row],[SALARIO]])</f>
        <v>5264418</v>
      </c>
      <c r="O2062" s="14">
        <f xml:space="preserve"> IF(ISBLANK(moras[[#This Row],[EDAD]]), EDA!$E$8, moras[[#This Row],[EDAD]])</f>
        <v>43</v>
      </c>
      <c r="P2062" s="14" t="str">
        <f>IF(
    OR(ISBLANK(moras[[#This Row],[TIPO_ASEGURAMIENTO]]), moras[[#This Row],[TIPO_ASEGURAMIENTO]]=""),
    EDA!$A$32,
    moras[[#This Row],[TIPO_ASEGURAMIENTO]]
)</f>
        <v>ASALARIADO</v>
      </c>
    </row>
    <row r="2063" spans="1:16" x14ac:dyDescent="0.3">
      <c r="A2063">
        <v>2062</v>
      </c>
      <c r="B2063" t="s">
        <v>15</v>
      </c>
      <c r="C2063">
        <v>297046</v>
      </c>
      <c r="D2063" t="s">
        <v>17</v>
      </c>
      <c r="E2063" t="s">
        <v>16</v>
      </c>
      <c r="F2063" t="s">
        <v>12</v>
      </c>
      <c r="G2063" t="s">
        <v>13</v>
      </c>
      <c r="H2063" t="s">
        <v>13</v>
      </c>
      <c r="I2063">
        <v>30</v>
      </c>
      <c r="J2063">
        <f>ABS((I2063-EDA!$A$15)/EDA!$B$15)</f>
        <v>0.84546364806693275</v>
      </c>
      <c r="K2063" t="str">
        <f t="shared" si="32"/>
        <v>No</v>
      </c>
      <c r="L2063">
        <f>ABS((C2063-EDA!$F$15)/EDA!$G$15)</f>
        <v>0.37071091707942361</v>
      </c>
      <c r="M2063" t="str">
        <f>IF(moras[[#This Row],[Z-Score Salario]]&gt;1.96, "Sí", "No")</f>
        <v>No</v>
      </c>
      <c r="N2063" s="14">
        <f>IF(ISBLANK(moras[[#This Row],[SALARIO]]), EDA!$M$8, moras[[#This Row],[SALARIO]])</f>
        <v>297046</v>
      </c>
      <c r="O2063" s="14">
        <f xml:space="preserve"> IF(ISBLANK(moras[[#This Row],[EDAD]]), EDA!$E$8, moras[[#This Row],[EDAD]])</f>
        <v>30</v>
      </c>
      <c r="P2063" s="14" t="str">
        <f>IF(
    OR(ISBLANK(moras[[#This Row],[TIPO_ASEGURAMIENTO]]), moras[[#This Row],[TIPO_ASEGURAMIENTO]]=""),
    EDA!$A$32,
    moras[[#This Row],[TIPO_ASEGURAMIENTO]]
)</f>
        <v>ASEGURADO VOLUNTARIO</v>
      </c>
    </row>
    <row r="2064" spans="1:16" x14ac:dyDescent="0.3">
      <c r="A2064">
        <v>2063</v>
      </c>
      <c r="B2064" t="s">
        <v>15</v>
      </c>
      <c r="C2064">
        <v>26964095</v>
      </c>
      <c r="D2064" t="s">
        <v>10</v>
      </c>
      <c r="E2064" t="s">
        <v>16</v>
      </c>
      <c r="F2064" t="s">
        <v>12</v>
      </c>
      <c r="G2064" t="s">
        <v>13</v>
      </c>
      <c r="H2064" t="s">
        <v>13</v>
      </c>
      <c r="I2064">
        <v>26</v>
      </c>
      <c r="J2064">
        <f>ABS((I2064-EDA!$A$15)/EDA!$B$15)</f>
        <v>1.1277649683754829</v>
      </c>
      <c r="K2064" t="str">
        <f t="shared" si="32"/>
        <v>No</v>
      </c>
      <c r="L2064">
        <f>ABS((C2064-EDA!$F$15)/EDA!$G$15)</f>
        <v>7.3047602875728243E-2</v>
      </c>
      <c r="M2064" t="str">
        <f>IF(moras[[#This Row],[Z-Score Salario]]&gt;1.96, "Sí", "No")</f>
        <v>No</v>
      </c>
      <c r="N2064" s="14">
        <f>IF(ISBLANK(moras[[#This Row],[SALARIO]]), EDA!$M$8, moras[[#This Row],[SALARIO]])</f>
        <v>26964095</v>
      </c>
      <c r="O2064" s="14">
        <f xml:space="preserve"> IF(ISBLANK(moras[[#This Row],[EDAD]]), EDA!$E$8, moras[[#This Row],[EDAD]])</f>
        <v>26</v>
      </c>
      <c r="P2064" s="14" t="str">
        <f>IF(
    OR(ISBLANK(moras[[#This Row],[TIPO_ASEGURAMIENTO]]), moras[[#This Row],[TIPO_ASEGURAMIENTO]]=""),
    EDA!$A$32,
    moras[[#This Row],[TIPO_ASEGURAMIENTO]]
)</f>
        <v>ASALARIADO</v>
      </c>
    </row>
    <row r="2065" spans="1:16" x14ac:dyDescent="0.3">
      <c r="A2065">
        <v>2064</v>
      </c>
      <c r="B2065" t="s">
        <v>9</v>
      </c>
      <c r="C2065">
        <v>601793</v>
      </c>
      <c r="D2065" t="s">
        <v>10</v>
      </c>
      <c r="E2065" t="s">
        <v>11</v>
      </c>
      <c r="F2065" t="s">
        <v>12</v>
      </c>
      <c r="G2065" t="s">
        <v>13</v>
      </c>
      <c r="H2065" t="s">
        <v>13</v>
      </c>
      <c r="I2065">
        <v>58</v>
      </c>
      <c r="J2065">
        <f>ABS((I2065-EDA!$A$15)/EDA!$B$15)</f>
        <v>1.1306455940929174</v>
      </c>
      <c r="K2065" t="str">
        <f t="shared" si="32"/>
        <v>No</v>
      </c>
      <c r="L2065">
        <f>ABS((C2065-EDA!$F$15)/EDA!$G$15)</f>
        <v>0.36563971187479921</v>
      </c>
      <c r="M2065" t="str">
        <f>IF(moras[[#This Row],[Z-Score Salario]]&gt;1.96, "Sí", "No")</f>
        <v>No</v>
      </c>
      <c r="N2065" s="14">
        <f>IF(ISBLANK(moras[[#This Row],[SALARIO]]), EDA!$M$8, moras[[#This Row],[SALARIO]])</f>
        <v>601793</v>
      </c>
      <c r="O2065" s="14">
        <f xml:space="preserve"> IF(ISBLANK(moras[[#This Row],[EDAD]]), EDA!$E$8, moras[[#This Row],[EDAD]])</f>
        <v>58</v>
      </c>
      <c r="P2065" s="14" t="str">
        <f>IF(
    OR(ISBLANK(moras[[#This Row],[TIPO_ASEGURAMIENTO]]), moras[[#This Row],[TIPO_ASEGURAMIENTO]]=""),
    EDA!$A$32,
    moras[[#This Row],[TIPO_ASEGURAMIENTO]]
)</f>
        <v>ASALARIADO</v>
      </c>
    </row>
    <row r="2066" spans="1:16" x14ac:dyDescent="0.3">
      <c r="A2066">
        <v>2065</v>
      </c>
      <c r="B2066" t="s">
        <v>15</v>
      </c>
      <c r="C2066">
        <v>1000000</v>
      </c>
      <c r="D2066" t="s">
        <v>10</v>
      </c>
      <c r="E2066" t="s">
        <v>16</v>
      </c>
      <c r="F2066" t="s">
        <v>12</v>
      </c>
      <c r="G2066" t="s">
        <v>13</v>
      </c>
      <c r="H2066" t="s">
        <v>13</v>
      </c>
      <c r="I2066">
        <v>23</v>
      </c>
      <c r="J2066">
        <f>ABS((I2066-EDA!$A$15)/EDA!$B$15)</f>
        <v>1.3394909586068953</v>
      </c>
      <c r="K2066" t="str">
        <f t="shared" si="32"/>
        <v>No</v>
      </c>
      <c r="L2066">
        <f>ABS((C2066-EDA!$F$15)/EDA!$G$15)</f>
        <v>0.35901326629562091</v>
      </c>
      <c r="M2066" t="str">
        <f>IF(moras[[#This Row],[Z-Score Salario]]&gt;1.96, "Sí", "No")</f>
        <v>No</v>
      </c>
      <c r="N2066" s="14">
        <f>IF(ISBLANK(moras[[#This Row],[SALARIO]]), EDA!$M$8, moras[[#This Row],[SALARIO]])</f>
        <v>1000000</v>
      </c>
      <c r="O2066" s="14">
        <f xml:space="preserve"> IF(ISBLANK(moras[[#This Row],[EDAD]]), EDA!$E$8, moras[[#This Row],[EDAD]])</f>
        <v>23</v>
      </c>
      <c r="P2066" s="14" t="str">
        <f>IF(
    OR(ISBLANK(moras[[#This Row],[TIPO_ASEGURAMIENTO]]), moras[[#This Row],[TIPO_ASEGURAMIENTO]]=""),
    EDA!$A$32,
    moras[[#This Row],[TIPO_ASEGURAMIENTO]]
)</f>
        <v>ASALARIADO</v>
      </c>
    </row>
    <row r="2067" spans="1:16" x14ac:dyDescent="0.3">
      <c r="A2067">
        <v>2066</v>
      </c>
      <c r="B2067" t="s">
        <v>9</v>
      </c>
      <c r="C2067">
        <v>255672</v>
      </c>
      <c r="D2067" t="s">
        <v>10</v>
      </c>
      <c r="E2067" t="s">
        <v>16</v>
      </c>
      <c r="F2067" t="s">
        <v>12</v>
      </c>
      <c r="G2067" t="s">
        <v>13</v>
      </c>
      <c r="H2067" t="s">
        <v>13</v>
      </c>
      <c r="I2067">
        <v>50</v>
      </c>
      <c r="J2067">
        <f>ABS((I2067-EDA!$A$15)/EDA!$B$15)</f>
        <v>0.56604295347581735</v>
      </c>
      <c r="K2067" t="str">
        <f t="shared" si="32"/>
        <v>No</v>
      </c>
      <c r="L2067">
        <f>ABS((C2067-EDA!$F$15)/EDA!$G$15)</f>
        <v>0.37139940964583484</v>
      </c>
      <c r="M2067" t="str">
        <f>IF(moras[[#This Row],[Z-Score Salario]]&gt;1.96, "Sí", "No")</f>
        <v>No</v>
      </c>
      <c r="N2067" s="14">
        <f>IF(ISBLANK(moras[[#This Row],[SALARIO]]), EDA!$M$8, moras[[#This Row],[SALARIO]])</f>
        <v>255672</v>
      </c>
      <c r="O2067" s="14">
        <f xml:space="preserve"> IF(ISBLANK(moras[[#This Row],[EDAD]]), EDA!$E$8, moras[[#This Row],[EDAD]])</f>
        <v>50</v>
      </c>
      <c r="P2067" s="14" t="str">
        <f>IF(
    OR(ISBLANK(moras[[#This Row],[TIPO_ASEGURAMIENTO]]), moras[[#This Row],[TIPO_ASEGURAMIENTO]]=""),
    EDA!$A$32,
    moras[[#This Row],[TIPO_ASEGURAMIENTO]]
)</f>
        <v>ASALARIADO</v>
      </c>
    </row>
    <row r="2068" spans="1:16" x14ac:dyDescent="0.3">
      <c r="A2068">
        <v>2067</v>
      </c>
      <c r="B2068" t="s">
        <v>9</v>
      </c>
      <c r="C2068">
        <v>693616</v>
      </c>
      <c r="D2068" t="s">
        <v>10</v>
      </c>
      <c r="E2068" t="s">
        <v>16</v>
      </c>
      <c r="F2068" t="s">
        <v>12</v>
      </c>
      <c r="G2068" t="s">
        <v>13</v>
      </c>
      <c r="H2068" t="s">
        <v>13</v>
      </c>
      <c r="I2068">
        <v>60</v>
      </c>
      <c r="J2068">
        <f>ABS((I2068-EDA!$A$15)/EDA!$B$15)</f>
        <v>1.2717962542471923</v>
      </c>
      <c r="K2068" t="str">
        <f t="shared" si="32"/>
        <v>No</v>
      </c>
      <c r="L2068">
        <f>ABS((C2068-EDA!$F$15)/EDA!$G$15)</f>
        <v>0.36411171233582357</v>
      </c>
      <c r="M2068" t="str">
        <f>IF(moras[[#This Row],[Z-Score Salario]]&gt;1.96, "Sí", "No")</f>
        <v>No</v>
      </c>
      <c r="N2068" s="14">
        <f>IF(ISBLANK(moras[[#This Row],[SALARIO]]), EDA!$M$8, moras[[#This Row],[SALARIO]])</f>
        <v>693616</v>
      </c>
      <c r="O2068" s="14">
        <f xml:space="preserve"> IF(ISBLANK(moras[[#This Row],[EDAD]]), EDA!$E$8, moras[[#This Row],[EDAD]])</f>
        <v>60</v>
      </c>
      <c r="P2068" s="14" t="str">
        <f>IF(
    OR(ISBLANK(moras[[#This Row],[TIPO_ASEGURAMIENTO]]), moras[[#This Row],[TIPO_ASEGURAMIENTO]]=""),
    EDA!$A$32,
    moras[[#This Row],[TIPO_ASEGURAMIENTO]]
)</f>
        <v>ASALARIADO</v>
      </c>
    </row>
    <row r="2069" spans="1:16" x14ac:dyDescent="0.3">
      <c r="A2069">
        <v>2068</v>
      </c>
      <c r="B2069" t="s">
        <v>9</v>
      </c>
      <c r="C2069">
        <v>326749</v>
      </c>
      <c r="D2069" t="s">
        <v>18</v>
      </c>
      <c r="E2069" t="s">
        <v>16</v>
      </c>
      <c r="F2069" t="s">
        <v>12</v>
      </c>
      <c r="G2069" t="s">
        <v>13</v>
      </c>
      <c r="H2069" t="s">
        <v>12</v>
      </c>
      <c r="I2069">
        <v>36</v>
      </c>
      <c r="J2069">
        <f>ABS((I2069-EDA!$A$15)/EDA!$B$15)</f>
        <v>0.42201166760410774</v>
      </c>
      <c r="K2069" t="str">
        <f t="shared" si="32"/>
        <v>No</v>
      </c>
      <c r="L2069">
        <f>ABS((C2069-EDA!$F$15)/EDA!$G$15)</f>
        <v>0.37021663819171358</v>
      </c>
      <c r="M2069" t="str">
        <f>IF(moras[[#This Row],[Z-Score Salario]]&gt;1.96, "Sí", "No")</f>
        <v>No</v>
      </c>
      <c r="N2069" s="14">
        <f>IF(ISBLANK(moras[[#This Row],[SALARIO]]), EDA!$M$8, moras[[#This Row],[SALARIO]])</f>
        <v>326749</v>
      </c>
      <c r="O2069" s="14">
        <f xml:space="preserve"> IF(ISBLANK(moras[[#This Row],[EDAD]]), EDA!$E$8, moras[[#This Row],[EDAD]])</f>
        <v>36</v>
      </c>
      <c r="P2069" s="14" t="str">
        <f>IF(
    OR(ISBLANK(moras[[#This Row],[TIPO_ASEGURAMIENTO]]), moras[[#This Row],[TIPO_ASEGURAMIENTO]]=""),
    EDA!$A$32,
    moras[[#This Row],[TIPO_ASEGURAMIENTO]]
)</f>
        <v>TRABAJADOR INDEPENDIENTE</v>
      </c>
    </row>
    <row r="2070" spans="1:16" x14ac:dyDescent="0.3">
      <c r="A2070">
        <v>2069</v>
      </c>
      <c r="B2070" t="s">
        <v>15</v>
      </c>
      <c r="C2070">
        <v>319576</v>
      </c>
      <c r="D2070" t="s">
        <v>10</v>
      </c>
      <c r="E2070" t="s">
        <v>16</v>
      </c>
      <c r="F2070" t="s">
        <v>12</v>
      </c>
      <c r="G2070" t="s">
        <v>13</v>
      </c>
      <c r="H2070" t="s">
        <v>13</v>
      </c>
      <c r="I2070">
        <v>44</v>
      </c>
      <c r="J2070">
        <f>ABS((I2070-EDA!$A$15)/EDA!$B$15)</f>
        <v>0.14259097301299228</v>
      </c>
      <c r="K2070" t="str">
        <f t="shared" si="32"/>
        <v>No</v>
      </c>
      <c r="L2070">
        <f>ABS((C2070-EDA!$F$15)/EDA!$G$15)</f>
        <v>0.37033600197522176</v>
      </c>
      <c r="M2070" t="str">
        <f>IF(moras[[#This Row],[Z-Score Salario]]&gt;1.96, "Sí", "No")</f>
        <v>No</v>
      </c>
      <c r="N2070" s="14">
        <f>IF(ISBLANK(moras[[#This Row],[SALARIO]]), EDA!$M$8, moras[[#This Row],[SALARIO]])</f>
        <v>319576</v>
      </c>
      <c r="O2070" s="14">
        <f xml:space="preserve"> IF(ISBLANK(moras[[#This Row],[EDAD]]), EDA!$E$8, moras[[#This Row],[EDAD]])</f>
        <v>44</v>
      </c>
      <c r="P2070" s="14" t="str">
        <f>IF(
    OR(ISBLANK(moras[[#This Row],[TIPO_ASEGURAMIENTO]]), moras[[#This Row],[TIPO_ASEGURAMIENTO]]=""),
    EDA!$A$32,
    moras[[#This Row],[TIPO_ASEGURAMIENTO]]
)</f>
        <v>ASALARIADO</v>
      </c>
    </row>
    <row r="2071" spans="1:16" x14ac:dyDescent="0.3">
      <c r="A2071">
        <v>2070</v>
      </c>
      <c r="B2071" t="s">
        <v>9</v>
      </c>
      <c r="C2071">
        <v>27803099</v>
      </c>
      <c r="D2071" t="s">
        <v>19</v>
      </c>
      <c r="E2071" t="s">
        <v>16</v>
      </c>
      <c r="F2071" t="s">
        <v>12</v>
      </c>
      <c r="G2071" t="s">
        <v>13</v>
      </c>
      <c r="H2071" t="s">
        <v>13</v>
      </c>
      <c r="I2071">
        <v>43</v>
      </c>
      <c r="J2071">
        <f>ABS((I2071-EDA!$A$15)/EDA!$B$15)</f>
        <v>7.2015642935854773E-2</v>
      </c>
      <c r="K2071" t="str">
        <f t="shared" si="32"/>
        <v>No</v>
      </c>
      <c r="L2071">
        <f>ABS((C2071-EDA!$F$15)/EDA!$G$15)</f>
        <v>8.7009221698885322E-2</v>
      </c>
      <c r="M2071" t="str">
        <f>IF(moras[[#This Row],[Z-Score Salario]]&gt;1.96, "Sí", "No")</f>
        <v>No</v>
      </c>
      <c r="N2071" s="14">
        <f>IF(ISBLANK(moras[[#This Row],[SALARIO]]), EDA!$M$8, moras[[#This Row],[SALARIO]])</f>
        <v>27803099</v>
      </c>
      <c r="O2071" s="14">
        <f xml:space="preserve"> IF(ISBLANK(moras[[#This Row],[EDAD]]), EDA!$E$8, moras[[#This Row],[EDAD]])</f>
        <v>43</v>
      </c>
      <c r="P2071" s="14" t="str">
        <f>IF(
    OR(ISBLANK(moras[[#This Row],[TIPO_ASEGURAMIENTO]]), moras[[#This Row],[TIPO_ASEGURAMIENTO]]=""),
    EDA!$A$32,
    moras[[#This Row],[TIPO_ASEGURAMIENTO]]
)</f>
        <v>CONVENIOS ESPECIALES DE TRABAJADORES INDEPENDIENTES</v>
      </c>
    </row>
    <row r="2072" spans="1:16" x14ac:dyDescent="0.3">
      <c r="A2072">
        <v>2071</v>
      </c>
      <c r="B2072" t="s">
        <v>15</v>
      </c>
      <c r="C2072">
        <v>400000</v>
      </c>
      <c r="D2072" t="s">
        <v>10</v>
      </c>
      <c r="E2072" t="s">
        <v>16</v>
      </c>
      <c r="F2072" t="s">
        <v>12</v>
      </c>
      <c r="G2072" t="s">
        <v>13</v>
      </c>
      <c r="H2072" t="s">
        <v>13</v>
      </c>
      <c r="I2072">
        <v>40</v>
      </c>
      <c r="J2072">
        <f>ABS((I2072-EDA!$A$15)/EDA!$B$15)</f>
        <v>0.13971034729555773</v>
      </c>
      <c r="K2072" t="str">
        <f t="shared" si="32"/>
        <v>No</v>
      </c>
      <c r="L2072">
        <f>ABS((C2072-EDA!$F$15)/EDA!$G$15)</f>
        <v>0.36899768984293924</v>
      </c>
      <c r="M2072" t="str">
        <f>IF(moras[[#This Row],[Z-Score Salario]]&gt;1.96, "Sí", "No")</f>
        <v>No</v>
      </c>
      <c r="N2072" s="14">
        <f>IF(ISBLANK(moras[[#This Row],[SALARIO]]), EDA!$M$8, moras[[#This Row],[SALARIO]])</f>
        <v>400000</v>
      </c>
      <c r="O2072" s="14">
        <f xml:space="preserve"> IF(ISBLANK(moras[[#This Row],[EDAD]]), EDA!$E$8, moras[[#This Row],[EDAD]])</f>
        <v>40</v>
      </c>
      <c r="P2072" s="14" t="str">
        <f>IF(
    OR(ISBLANK(moras[[#This Row],[TIPO_ASEGURAMIENTO]]), moras[[#This Row],[TIPO_ASEGURAMIENTO]]=""),
    EDA!$A$32,
    moras[[#This Row],[TIPO_ASEGURAMIENTO]]
)</f>
        <v>ASALARIADO</v>
      </c>
    </row>
    <row r="2073" spans="1:16" x14ac:dyDescent="0.3">
      <c r="A2073">
        <v>2072</v>
      </c>
      <c r="B2073" t="s">
        <v>9</v>
      </c>
      <c r="C2073">
        <v>328192</v>
      </c>
      <c r="D2073" t="s">
        <v>18</v>
      </c>
      <c r="E2073" t="s">
        <v>16</v>
      </c>
      <c r="F2073" t="s">
        <v>12</v>
      </c>
      <c r="G2073" t="s">
        <v>13</v>
      </c>
      <c r="H2073" t="s">
        <v>12</v>
      </c>
      <c r="I2073">
        <v>43</v>
      </c>
      <c r="J2073">
        <f>ABS((I2073-EDA!$A$15)/EDA!$B$15)</f>
        <v>7.2015642935854773E-2</v>
      </c>
      <c r="K2073" t="str">
        <f t="shared" si="32"/>
        <v>No</v>
      </c>
      <c r="L2073">
        <f>ABS((C2073-EDA!$F$15)/EDA!$G$15)</f>
        <v>0.37019262565308231</v>
      </c>
      <c r="M2073" t="str">
        <f>IF(moras[[#This Row],[Z-Score Salario]]&gt;1.96, "Sí", "No")</f>
        <v>No</v>
      </c>
      <c r="N2073" s="14">
        <f>IF(ISBLANK(moras[[#This Row],[SALARIO]]), EDA!$M$8, moras[[#This Row],[SALARIO]])</f>
        <v>328192</v>
      </c>
      <c r="O2073" s="14">
        <f xml:space="preserve"> IF(ISBLANK(moras[[#This Row],[EDAD]]), EDA!$E$8, moras[[#This Row],[EDAD]])</f>
        <v>43</v>
      </c>
      <c r="P2073" s="14" t="str">
        <f>IF(
    OR(ISBLANK(moras[[#This Row],[TIPO_ASEGURAMIENTO]]), moras[[#This Row],[TIPO_ASEGURAMIENTO]]=""),
    EDA!$A$32,
    moras[[#This Row],[TIPO_ASEGURAMIENTO]]
)</f>
        <v>TRABAJADOR INDEPENDIENTE</v>
      </c>
    </row>
    <row r="2074" spans="1:16" x14ac:dyDescent="0.3">
      <c r="A2074">
        <v>2073</v>
      </c>
      <c r="B2074" t="s">
        <v>15</v>
      </c>
      <c r="C2074">
        <v>1314059</v>
      </c>
      <c r="D2074" t="s">
        <v>14</v>
      </c>
      <c r="E2074" t="s">
        <v>11</v>
      </c>
      <c r="F2074" t="s">
        <v>12</v>
      </c>
      <c r="G2074" t="s">
        <v>13</v>
      </c>
      <c r="H2074" t="s">
        <v>13</v>
      </c>
      <c r="I2074">
        <v>67</v>
      </c>
      <c r="J2074">
        <f>ABS((I2074-EDA!$A$15)/EDA!$B$15)</f>
        <v>1.765823564787155</v>
      </c>
      <c r="K2074" t="str">
        <f t="shared" si="32"/>
        <v>No</v>
      </c>
      <c r="L2074">
        <f>ABS((C2074-EDA!$F$15)/EDA!$G$15)</f>
        <v>0.35378710283754222</v>
      </c>
      <c r="M2074" t="str">
        <f>IF(moras[[#This Row],[Z-Score Salario]]&gt;1.96, "Sí", "No")</f>
        <v>No</v>
      </c>
      <c r="N2074" s="14">
        <f>IF(ISBLANK(moras[[#This Row],[SALARIO]]), EDA!$M$8, moras[[#This Row],[SALARIO]])</f>
        <v>1314059</v>
      </c>
      <c r="O2074" s="14">
        <f xml:space="preserve"> IF(ISBLANK(moras[[#This Row],[EDAD]]), EDA!$E$8, moras[[#This Row],[EDAD]])</f>
        <v>67</v>
      </c>
      <c r="P2074" s="14" t="str">
        <f>IF(
    OR(ISBLANK(moras[[#This Row],[TIPO_ASEGURAMIENTO]]), moras[[#This Row],[TIPO_ASEGURAMIENTO]]=""),
    EDA!$A$32,
    moras[[#This Row],[TIPO_ASEGURAMIENTO]]
)</f>
        <v>PENSIONADOS EN SU PROPIO SISTEMA</v>
      </c>
    </row>
    <row r="2075" spans="1:16" x14ac:dyDescent="0.3">
      <c r="A2075">
        <v>2074</v>
      </c>
      <c r="B2075" t="s">
        <v>15</v>
      </c>
      <c r="C2075">
        <v>300018</v>
      </c>
      <c r="D2075" t="s">
        <v>17</v>
      </c>
      <c r="E2075" t="s">
        <v>16</v>
      </c>
      <c r="F2075" t="s">
        <v>12</v>
      </c>
      <c r="G2075" t="s">
        <v>13</v>
      </c>
      <c r="H2075" t="s">
        <v>13</v>
      </c>
      <c r="I2075">
        <v>59</v>
      </c>
      <c r="J2075">
        <f>ABS((I2075-EDA!$A$15)/EDA!$B$15)</f>
        <v>1.2012209241700549</v>
      </c>
      <c r="K2075" t="str">
        <f t="shared" si="32"/>
        <v>No</v>
      </c>
      <c r="L2075">
        <f>ABS((C2075-EDA!$F$15)/EDA!$G$15)</f>
        <v>0.37066146090145252</v>
      </c>
      <c r="M2075" t="str">
        <f>IF(moras[[#This Row],[Z-Score Salario]]&gt;1.96, "Sí", "No")</f>
        <v>No</v>
      </c>
      <c r="N2075" s="14">
        <f>IF(ISBLANK(moras[[#This Row],[SALARIO]]), EDA!$M$8, moras[[#This Row],[SALARIO]])</f>
        <v>300018</v>
      </c>
      <c r="O2075" s="14">
        <f xml:space="preserve"> IF(ISBLANK(moras[[#This Row],[EDAD]]), EDA!$E$8, moras[[#This Row],[EDAD]])</f>
        <v>59</v>
      </c>
      <c r="P2075" s="14" t="str">
        <f>IF(
    OR(ISBLANK(moras[[#This Row],[TIPO_ASEGURAMIENTO]]), moras[[#This Row],[TIPO_ASEGURAMIENTO]]=""),
    EDA!$A$32,
    moras[[#This Row],[TIPO_ASEGURAMIENTO]]
)</f>
        <v>ASEGURADO VOLUNTARIO</v>
      </c>
    </row>
    <row r="2076" spans="1:16" x14ac:dyDescent="0.3">
      <c r="A2076">
        <v>2075</v>
      </c>
      <c r="B2076" t="s">
        <v>15</v>
      </c>
      <c r="C2076">
        <v>400000</v>
      </c>
      <c r="D2076" t="s">
        <v>10</v>
      </c>
      <c r="E2076" t="s">
        <v>16</v>
      </c>
      <c r="F2076" t="s">
        <v>12</v>
      </c>
      <c r="G2076" t="s">
        <v>13</v>
      </c>
      <c r="H2076" t="s">
        <v>13</v>
      </c>
      <c r="I2076">
        <v>35</v>
      </c>
      <c r="J2076">
        <f>ABS((I2076-EDA!$A$15)/EDA!$B$15)</f>
        <v>0.49258699768124525</v>
      </c>
      <c r="K2076" t="str">
        <f t="shared" si="32"/>
        <v>No</v>
      </c>
      <c r="L2076">
        <f>ABS((C2076-EDA!$F$15)/EDA!$G$15)</f>
        <v>0.36899768984293924</v>
      </c>
      <c r="M2076" t="str">
        <f>IF(moras[[#This Row],[Z-Score Salario]]&gt;1.96, "Sí", "No")</f>
        <v>No</v>
      </c>
      <c r="N2076" s="14">
        <f>IF(ISBLANK(moras[[#This Row],[SALARIO]]), EDA!$M$8, moras[[#This Row],[SALARIO]])</f>
        <v>400000</v>
      </c>
      <c r="O2076" s="14">
        <f xml:space="preserve"> IF(ISBLANK(moras[[#This Row],[EDAD]]), EDA!$E$8, moras[[#This Row],[EDAD]])</f>
        <v>35</v>
      </c>
      <c r="P2076" s="14" t="str">
        <f>IF(
    OR(ISBLANK(moras[[#This Row],[TIPO_ASEGURAMIENTO]]), moras[[#This Row],[TIPO_ASEGURAMIENTO]]=""),
    EDA!$A$32,
    moras[[#This Row],[TIPO_ASEGURAMIENTO]]
)</f>
        <v>ASALARIADO</v>
      </c>
    </row>
    <row r="2077" spans="1:16" x14ac:dyDescent="0.3">
      <c r="A2077">
        <v>2076</v>
      </c>
      <c r="B2077" t="s">
        <v>9</v>
      </c>
      <c r="C2077">
        <v>550000</v>
      </c>
      <c r="D2077" t="s">
        <v>10</v>
      </c>
      <c r="E2077" t="s">
        <v>16</v>
      </c>
      <c r="F2077" t="s">
        <v>12</v>
      </c>
      <c r="G2077" t="s">
        <v>13</v>
      </c>
      <c r="H2077" t="s">
        <v>13</v>
      </c>
      <c r="I2077">
        <v>25</v>
      </c>
      <c r="J2077">
        <f>ABS((I2077-EDA!$A$15)/EDA!$B$15)</f>
        <v>1.1983402984526204</v>
      </c>
      <c r="K2077" t="str">
        <f t="shared" si="32"/>
        <v>No</v>
      </c>
      <c r="L2077">
        <f>ABS((C2077-EDA!$F$15)/EDA!$G$15)</f>
        <v>0.36650158395610966</v>
      </c>
      <c r="M2077" t="str">
        <f>IF(moras[[#This Row],[Z-Score Salario]]&gt;1.96, "Sí", "No")</f>
        <v>No</v>
      </c>
      <c r="N2077" s="14">
        <f>IF(ISBLANK(moras[[#This Row],[SALARIO]]), EDA!$M$8, moras[[#This Row],[SALARIO]])</f>
        <v>550000</v>
      </c>
      <c r="O2077" s="14">
        <f xml:space="preserve"> IF(ISBLANK(moras[[#This Row],[EDAD]]), EDA!$E$8, moras[[#This Row],[EDAD]])</f>
        <v>25</v>
      </c>
      <c r="P2077" s="14" t="str">
        <f>IF(
    OR(ISBLANK(moras[[#This Row],[TIPO_ASEGURAMIENTO]]), moras[[#This Row],[TIPO_ASEGURAMIENTO]]=""),
    EDA!$A$32,
    moras[[#This Row],[TIPO_ASEGURAMIENTO]]
)</f>
        <v>ASALARIADO</v>
      </c>
    </row>
    <row r="2078" spans="1:16" x14ac:dyDescent="0.3">
      <c r="A2078">
        <v>2077</v>
      </c>
      <c r="B2078" t="s">
        <v>15</v>
      </c>
      <c r="C2078">
        <v>686170</v>
      </c>
      <c r="D2078" t="s">
        <v>18</v>
      </c>
      <c r="E2078" t="s">
        <v>16</v>
      </c>
      <c r="F2078" t="s">
        <v>12</v>
      </c>
      <c r="G2078" t="s">
        <v>13</v>
      </c>
      <c r="H2078" t="s">
        <v>12</v>
      </c>
      <c r="I2078">
        <v>43</v>
      </c>
      <c r="J2078">
        <f>ABS((I2078-EDA!$A$15)/EDA!$B$15)</f>
        <v>7.2015642935854773E-2</v>
      </c>
      <c r="K2078" t="str">
        <f t="shared" si="32"/>
        <v>No</v>
      </c>
      <c r="L2078">
        <f>ABS((C2078-EDA!$F$15)/EDA!$G$15)</f>
        <v>0.36423561903204577</v>
      </c>
      <c r="M2078" t="str">
        <f>IF(moras[[#This Row],[Z-Score Salario]]&gt;1.96, "Sí", "No")</f>
        <v>No</v>
      </c>
      <c r="N2078" s="14">
        <f>IF(ISBLANK(moras[[#This Row],[SALARIO]]), EDA!$M$8, moras[[#This Row],[SALARIO]])</f>
        <v>686170</v>
      </c>
      <c r="O2078" s="14">
        <f xml:space="preserve"> IF(ISBLANK(moras[[#This Row],[EDAD]]), EDA!$E$8, moras[[#This Row],[EDAD]])</f>
        <v>43</v>
      </c>
      <c r="P2078" s="14" t="str">
        <f>IF(
    OR(ISBLANK(moras[[#This Row],[TIPO_ASEGURAMIENTO]]), moras[[#This Row],[TIPO_ASEGURAMIENTO]]=""),
    EDA!$A$32,
    moras[[#This Row],[TIPO_ASEGURAMIENTO]]
)</f>
        <v>TRABAJADOR INDEPENDIENTE</v>
      </c>
    </row>
    <row r="2079" spans="1:16" x14ac:dyDescent="0.3">
      <c r="A2079">
        <v>2078</v>
      </c>
      <c r="B2079" t="s">
        <v>15</v>
      </c>
      <c r="C2079">
        <v>161550</v>
      </c>
      <c r="D2079" t="s">
        <v>10</v>
      </c>
      <c r="E2079" t="s">
        <v>16</v>
      </c>
      <c r="F2079" t="s">
        <v>12</v>
      </c>
      <c r="G2079" t="s">
        <v>13</v>
      </c>
      <c r="H2079" t="s">
        <v>13</v>
      </c>
      <c r="I2079">
        <v>39</v>
      </c>
      <c r="J2079">
        <f>ABS((I2079-EDA!$A$15)/EDA!$B$15)</f>
        <v>0.21028567737269524</v>
      </c>
      <c r="K2079" t="str">
        <f t="shared" si="32"/>
        <v>No</v>
      </c>
      <c r="L2079">
        <f>ABS((C2079-EDA!$F$15)/EDA!$G$15)</f>
        <v>0.37296566616770266</v>
      </c>
      <c r="M2079" t="str">
        <f>IF(moras[[#This Row],[Z-Score Salario]]&gt;1.96, "Sí", "No")</f>
        <v>No</v>
      </c>
      <c r="N2079" s="14">
        <f>IF(ISBLANK(moras[[#This Row],[SALARIO]]), EDA!$M$8, moras[[#This Row],[SALARIO]])</f>
        <v>161550</v>
      </c>
      <c r="O2079" s="14">
        <f xml:space="preserve"> IF(ISBLANK(moras[[#This Row],[EDAD]]), EDA!$E$8, moras[[#This Row],[EDAD]])</f>
        <v>39</v>
      </c>
      <c r="P2079" s="14" t="str">
        <f>IF(
    OR(ISBLANK(moras[[#This Row],[TIPO_ASEGURAMIENTO]]), moras[[#This Row],[TIPO_ASEGURAMIENTO]]=""),
    EDA!$A$32,
    moras[[#This Row],[TIPO_ASEGURAMIENTO]]
)</f>
        <v>ASALARIADO</v>
      </c>
    </row>
    <row r="2080" spans="1:16" x14ac:dyDescent="0.3">
      <c r="A2080">
        <v>2079</v>
      </c>
      <c r="B2080" t="s">
        <v>9</v>
      </c>
      <c r="C2080">
        <v>1038456</v>
      </c>
      <c r="D2080" t="s">
        <v>10</v>
      </c>
      <c r="E2080" t="s">
        <v>16</v>
      </c>
      <c r="F2080" t="s">
        <v>12</v>
      </c>
      <c r="G2080" t="s">
        <v>13</v>
      </c>
      <c r="H2080" t="s">
        <v>13</v>
      </c>
      <c r="I2080">
        <v>36</v>
      </c>
      <c r="J2080">
        <f>ABS((I2080-EDA!$A$15)/EDA!$B$15)</f>
        <v>0.42201166760410774</v>
      </c>
      <c r="K2080" t="str">
        <f t="shared" si="32"/>
        <v>No</v>
      </c>
      <c r="L2080">
        <f>ABS((C2080-EDA!$F$15)/EDA!$G$15)</f>
        <v>0.35837333130906146</v>
      </c>
      <c r="M2080" t="str">
        <f>IF(moras[[#This Row],[Z-Score Salario]]&gt;1.96, "Sí", "No")</f>
        <v>No</v>
      </c>
      <c r="N2080" s="14">
        <f>IF(ISBLANK(moras[[#This Row],[SALARIO]]), EDA!$M$8, moras[[#This Row],[SALARIO]])</f>
        <v>1038456</v>
      </c>
      <c r="O2080" s="14">
        <f xml:space="preserve"> IF(ISBLANK(moras[[#This Row],[EDAD]]), EDA!$E$8, moras[[#This Row],[EDAD]])</f>
        <v>36</v>
      </c>
      <c r="P2080" s="14" t="str">
        <f>IF(
    OR(ISBLANK(moras[[#This Row],[TIPO_ASEGURAMIENTO]]), moras[[#This Row],[TIPO_ASEGURAMIENTO]]=""),
    EDA!$A$32,
    moras[[#This Row],[TIPO_ASEGURAMIENTO]]
)</f>
        <v>ASALARIADO</v>
      </c>
    </row>
    <row r="2081" spans="1:16" x14ac:dyDescent="0.3">
      <c r="A2081">
        <v>2080</v>
      </c>
      <c r="B2081" t="s">
        <v>9</v>
      </c>
      <c r="C2081">
        <v>68565334</v>
      </c>
      <c r="D2081" t="s">
        <v>10</v>
      </c>
      <c r="E2081" t="s">
        <v>16</v>
      </c>
      <c r="F2081" t="s">
        <v>12</v>
      </c>
      <c r="G2081" t="s">
        <v>13</v>
      </c>
      <c r="H2081" t="s">
        <v>13</v>
      </c>
      <c r="I2081">
        <v>44</v>
      </c>
      <c r="J2081">
        <f>ABS((I2081-EDA!$A$15)/EDA!$B$15)</f>
        <v>0.14259097301299228</v>
      </c>
      <c r="K2081" t="str">
        <f t="shared" si="32"/>
        <v>No</v>
      </c>
      <c r="L2081">
        <f>ABS((C2081-EDA!$F$15)/EDA!$G$15)</f>
        <v>0.76532158665775607</v>
      </c>
      <c r="M2081" t="str">
        <f>IF(moras[[#This Row],[Z-Score Salario]]&gt;1.96, "Sí", "No")</f>
        <v>No</v>
      </c>
      <c r="N2081" s="14">
        <f>IF(ISBLANK(moras[[#This Row],[SALARIO]]), EDA!$M$8, moras[[#This Row],[SALARIO]])</f>
        <v>68565334</v>
      </c>
      <c r="O2081" s="14">
        <f xml:space="preserve"> IF(ISBLANK(moras[[#This Row],[EDAD]]), EDA!$E$8, moras[[#This Row],[EDAD]])</f>
        <v>44</v>
      </c>
      <c r="P2081" s="14" t="str">
        <f>IF(
    OR(ISBLANK(moras[[#This Row],[TIPO_ASEGURAMIENTO]]), moras[[#This Row],[TIPO_ASEGURAMIENTO]]=""),
    EDA!$A$32,
    moras[[#This Row],[TIPO_ASEGURAMIENTO]]
)</f>
        <v>ASALARIADO</v>
      </c>
    </row>
    <row r="2082" spans="1:16" x14ac:dyDescent="0.3">
      <c r="A2082">
        <v>2081</v>
      </c>
      <c r="B2082" t="s">
        <v>9</v>
      </c>
      <c r="C2082">
        <v>594092</v>
      </c>
      <c r="D2082" t="s">
        <v>18</v>
      </c>
      <c r="E2082" t="s">
        <v>16</v>
      </c>
      <c r="F2082" t="s">
        <v>12</v>
      </c>
      <c r="G2082" t="s">
        <v>12</v>
      </c>
      <c r="H2082" t="s">
        <v>13</v>
      </c>
      <c r="I2082">
        <v>55</v>
      </c>
      <c r="J2082">
        <f>ABS((I2082-EDA!$A$15)/EDA!$B$15)</f>
        <v>0.91891960386150484</v>
      </c>
      <c r="K2082" t="str">
        <f t="shared" si="32"/>
        <v>No</v>
      </c>
      <c r="L2082">
        <f>ABS((C2082-EDA!$F$15)/EDA!$G$15)</f>
        <v>0.36576786195102906</v>
      </c>
      <c r="M2082" t="str">
        <f>IF(moras[[#This Row],[Z-Score Salario]]&gt;1.96, "Sí", "No")</f>
        <v>No</v>
      </c>
      <c r="N2082" s="14">
        <f>IF(ISBLANK(moras[[#This Row],[SALARIO]]), EDA!$M$8, moras[[#This Row],[SALARIO]])</f>
        <v>594092</v>
      </c>
      <c r="O2082" s="14">
        <f xml:space="preserve"> IF(ISBLANK(moras[[#This Row],[EDAD]]), EDA!$E$8, moras[[#This Row],[EDAD]])</f>
        <v>55</v>
      </c>
      <c r="P2082" s="14" t="str">
        <f>IF(
    OR(ISBLANK(moras[[#This Row],[TIPO_ASEGURAMIENTO]]), moras[[#This Row],[TIPO_ASEGURAMIENTO]]=""),
    EDA!$A$32,
    moras[[#This Row],[TIPO_ASEGURAMIENTO]]
)</f>
        <v>TRABAJADOR INDEPENDIENTE</v>
      </c>
    </row>
    <row r="2083" spans="1:16" x14ac:dyDescent="0.3">
      <c r="A2083">
        <v>2082</v>
      </c>
      <c r="B2083" t="s">
        <v>9</v>
      </c>
      <c r="C2083">
        <v>457059</v>
      </c>
      <c r="D2083" t="s">
        <v>10</v>
      </c>
      <c r="E2083" t="s">
        <v>11</v>
      </c>
      <c r="F2083" t="s">
        <v>12</v>
      </c>
      <c r="G2083" t="s">
        <v>13</v>
      </c>
      <c r="H2083" t="s">
        <v>12</v>
      </c>
      <c r="I2083">
        <v>44</v>
      </c>
      <c r="J2083">
        <f>ABS((I2083-EDA!$A$15)/EDA!$B$15)</f>
        <v>0.14259097301299228</v>
      </c>
      <c r="K2083" t="str">
        <f t="shared" si="32"/>
        <v>No</v>
      </c>
      <c r="L2083">
        <f>ABS((C2083-EDA!$F$15)/EDA!$G$15)</f>
        <v>0.36804818780429516</v>
      </c>
      <c r="M2083" t="str">
        <f>IF(moras[[#This Row],[Z-Score Salario]]&gt;1.96, "Sí", "No")</f>
        <v>No</v>
      </c>
      <c r="N2083" s="14">
        <f>IF(ISBLANK(moras[[#This Row],[SALARIO]]), EDA!$M$8, moras[[#This Row],[SALARIO]])</f>
        <v>457059</v>
      </c>
      <c r="O2083" s="14">
        <f xml:space="preserve"> IF(ISBLANK(moras[[#This Row],[EDAD]]), EDA!$E$8, moras[[#This Row],[EDAD]])</f>
        <v>44</v>
      </c>
      <c r="P2083" s="14" t="str">
        <f>IF(
    OR(ISBLANK(moras[[#This Row],[TIPO_ASEGURAMIENTO]]), moras[[#This Row],[TIPO_ASEGURAMIENTO]]=""),
    EDA!$A$32,
    moras[[#This Row],[TIPO_ASEGURAMIENTO]]
)</f>
        <v>ASALARIADO</v>
      </c>
    </row>
    <row r="2084" spans="1:16" x14ac:dyDescent="0.3">
      <c r="A2084">
        <v>2083</v>
      </c>
      <c r="B2084" t="s">
        <v>9</v>
      </c>
      <c r="C2084">
        <v>250000</v>
      </c>
      <c r="D2084" t="s">
        <v>10</v>
      </c>
      <c r="E2084" t="s">
        <v>16</v>
      </c>
      <c r="F2084" t="s">
        <v>12</v>
      </c>
      <c r="G2084" t="s">
        <v>12</v>
      </c>
      <c r="H2084" t="s">
        <v>12</v>
      </c>
      <c r="I2084">
        <v>47</v>
      </c>
      <c r="J2084">
        <f>ABS((I2084-EDA!$A$15)/EDA!$B$15)</f>
        <v>0.35431696324440481</v>
      </c>
      <c r="K2084" t="str">
        <f t="shared" si="32"/>
        <v>No</v>
      </c>
      <c r="L2084">
        <f>ABS((C2084-EDA!$F$15)/EDA!$G$15)</f>
        <v>0.37149379572976882</v>
      </c>
      <c r="M2084" t="str">
        <f>IF(moras[[#This Row],[Z-Score Salario]]&gt;1.96, "Sí", "No")</f>
        <v>No</v>
      </c>
      <c r="N2084" s="14">
        <f>IF(ISBLANK(moras[[#This Row],[SALARIO]]), EDA!$M$8, moras[[#This Row],[SALARIO]])</f>
        <v>250000</v>
      </c>
      <c r="O2084" s="14">
        <f xml:space="preserve"> IF(ISBLANK(moras[[#This Row],[EDAD]]), EDA!$E$8, moras[[#This Row],[EDAD]])</f>
        <v>47</v>
      </c>
      <c r="P2084" s="14" t="str">
        <f>IF(
    OR(ISBLANK(moras[[#This Row],[TIPO_ASEGURAMIENTO]]), moras[[#This Row],[TIPO_ASEGURAMIENTO]]=""),
    EDA!$A$32,
    moras[[#This Row],[TIPO_ASEGURAMIENTO]]
)</f>
        <v>ASALARIADO</v>
      </c>
    </row>
    <row r="2085" spans="1:16" x14ac:dyDescent="0.3">
      <c r="A2085">
        <v>2084</v>
      </c>
      <c r="B2085" t="s">
        <v>15</v>
      </c>
      <c r="C2085">
        <v>356600</v>
      </c>
      <c r="D2085" t="s">
        <v>10</v>
      </c>
      <c r="E2085" t="s">
        <v>16</v>
      </c>
      <c r="F2085" t="s">
        <v>12</v>
      </c>
      <c r="G2085" t="s">
        <v>13</v>
      </c>
      <c r="H2085" t="s">
        <v>13</v>
      </c>
      <c r="I2085">
        <v>49</v>
      </c>
      <c r="J2085">
        <f>ABS((I2085-EDA!$A$15)/EDA!$B$15)</f>
        <v>0.49546762339867978</v>
      </c>
      <c r="K2085" t="str">
        <f t="shared" si="32"/>
        <v>No</v>
      </c>
      <c r="L2085">
        <f>ABS((C2085-EDA!$F$15)/EDA!$G$15)</f>
        <v>0.36971989647952858</v>
      </c>
      <c r="M2085" t="str">
        <f>IF(moras[[#This Row],[Z-Score Salario]]&gt;1.96, "Sí", "No")</f>
        <v>No</v>
      </c>
      <c r="N2085" s="14">
        <f>IF(ISBLANK(moras[[#This Row],[SALARIO]]), EDA!$M$8, moras[[#This Row],[SALARIO]])</f>
        <v>356600</v>
      </c>
      <c r="O2085" s="14">
        <f xml:space="preserve"> IF(ISBLANK(moras[[#This Row],[EDAD]]), EDA!$E$8, moras[[#This Row],[EDAD]])</f>
        <v>49</v>
      </c>
      <c r="P2085" s="14" t="str">
        <f>IF(
    OR(ISBLANK(moras[[#This Row],[TIPO_ASEGURAMIENTO]]), moras[[#This Row],[TIPO_ASEGURAMIENTO]]=""),
    EDA!$A$32,
    moras[[#This Row],[TIPO_ASEGURAMIENTO]]
)</f>
        <v>ASALARIADO</v>
      </c>
    </row>
    <row r="2086" spans="1:16" x14ac:dyDescent="0.3">
      <c r="A2086">
        <v>2085</v>
      </c>
      <c r="B2086" t="s">
        <v>9</v>
      </c>
      <c r="C2086">
        <v>3983343</v>
      </c>
      <c r="D2086" t="s">
        <v>14</v>
      </c>
      <c r="E2086" t="s">
        <v>11</v>
      </c>
      <c r="F2086" t="s">
        <v>12</v>
      </c>
      <c r="G2086" t="s">
        <v>13</v>
      </c>
      <c r="H2086" t="s">
        <v>13</v>
      </c>
      <c r="I2086">
        <v>69</v>
      </c>
      <c r="J2086">
        <f>ABS((I2086-EDA!$A$15)/EDA!$B$15)</f>
        <v>1.9069742249414299</v>
      </c>
      <c r="K2086" t="str">
        <f t="shared" si="32"/>
        <v>No</v>
      </c>
      <c r="L2086">
        <f>ABS((C2086-EDA!$F$15)/EDA!$G$15)</f>
        <v>0.30936833279740888</v>
      </c>
      <c r="M2086" t="str">
        <f>IF(moras[[#This Row],[Z-Score Salario]]&gt;1.96, "Sí", "No")</f>
        <v>No</v>
      </c>
      <c r="N2086" s="14">
        <f>IF(ISBLANK(moras[[#This Row],[SALARIO]]), EDA!$M$8, moras[[#This Row],[SALARIO]])</f>
        <v>3983343</v>
      </c>
      <c r="O2086" s="14">
        <f xml:space="preserve"> IF(ISBLANK(moras[[#This Row],[EDAD]]), EDA!$E$8, moras[[#This Row],[EDAD]])</f>
        <v>69</v>
      </c>
      <c r="P2086" s="14" t="str">
        <f>IF(
    OR(ISBLANK(moras[[#This Row],[TIPO_ASEGURAMIENTO]]), moras[[#This Row],[TIPO_ASEGURAMIENTO]]=""),
    EDA!$A$32,
    moras[[#This Row],[TIPO_ASEGURAMIENTO]]
)</f>
        <v>PENSIONADOS EN SU PROPIO SISTEMA</v>
      </c>
    </row>
    <row r="2087" spans="1:16" x14ac:dyDescent="0.3">
      <c r="A2087">
        <v>2086</v>
      </c>
      <c r="B2087" t="s">
        <v>9</v>
      </c>
      <c r="C2087">
        <v>300000</v>
      </c>
      <c r="D2087" t="s">
        <v>10</v>
      </c>
      <c r="E2087" t="s">
        <v>16</v>
      </c>
      <c r="F2087" t="s">
        <v>12</v>
      </c>
      <c r="G2087" t="s">
        <v>13</v>
      </c>
      <c r="H2087" t="s">
        <v>13</v>
      </c>
      <c r="I2087">
        <v>20</v>
      </c>
      <c r="J2087">
        <f>ABS((I2087-EDA!$A$15)/EDA!$B$15)</f>
        <v>1.5512169488383079</v>
      </c>
      <c r="K2087" t="str">
        <f t="shared" si="32"/>
        <v>No</v>
      </c>
      <c r="L2087">
        <f>ABS((C2087-EDA!$F$15)/EDA!$G$15)</f>
        <v>0.37066176043415894</v>
      </c>
      <c r="M2087" t="str">
        <f>IF(moras[[#This Row],[Z-Score Salario]]&gt;1.96, "Sí", "No")</f>
        <v>No</v>
      </c>
      <c r="N2087" s="14">
        <f>IF(ISBLANK(moras[[#This Row],[SALARIO]]), EDA!$M$8, moras[[#This Row],[SALARIO]])</f>
        <v>300000</v>
      </c>
      <c r="O2087" s="14">
        <f xml:space="preserve"> IF(ISBLANK(moras[[#This Row],[EDAD]]), EDA!$E$8, moras[[#This Row],[EDAD]])</f>
        <v>20</v>
      </c>
      <c r="P2087" s="14" t="str">
        <f>IF(
    OR(ISBLANK(moras[[#This Row],[TIPO_ASEGURAMIENTO]]), moras[[#This Row],[TIPO_ASEGURAMIENTO]]=""),
    EDA!$A$32,
    moras[[#This Row],[TIPO_ASEGURAMIENTO]]
)</f>
        <v>ASALARIADO</v>
      </c>
    </row>
    <row r="2088" spans="1:16" x14ac:dyDescent="0.3">
      <c r="A2088">
        <v>2087</v>
      </c>
      <c r="B2088" t="s">
        <v>9</v>
      </c>
      <c r="C2088">
        <v>110000</v>
      </c>
      <c r="D2088" t="s">
        <v>10</v>
      </c>
      <c r="E2088" t="s">
        <v>16</v>
      </c>
      <c r="F2088" t="s">
        <v>12</v>
      </c>
      <c r="G2088" t="s">
        <v>13</v>
      </c>
      <c r="H2088" t="s">
        <v>12</v>
      </c>
      <c r="I2088">
        <v>57</v>
      </c>
      <c r="J2088">
        <f>ABS((I2088-EDA!$A$15)/EDA!$B$15)</f>
        <v>1.0600702640157798</v>
      </c>
      <c r="K2088" t="str">
        <f t="shared" si="32"/>
        <v>No</v>
      </c>
      <c r="L2088">
        <f>ABS((C2088-EDA!$F$15)/EDA!$G$15)</f>
        <v>0.37382349455747643</v>
      </c>
      <c r="M2088" t="str">
        <f>IF(moras[[#This Row],[Z-Score Salario]]&gt;1.96, "Sí", "No")</f>
        <v>No</v>
      </c>
      <c r="N2088" s="14">
        <f>IF(ISBLANK(moras[[#This Row],[SALARIO]]), EDA!$M$8, moras[[#This Row],[SALARIO]])</f>
        <v>110000</v>
      </c>
      <c r="O2088" s="14">
        <f xml:space="preserve"> IF(ISBLANK(moras[[#This Row],[EDAD]]), EDA!$E$8, moras[[#This Row],[EDAD]])</f>
        <v>57</v>
      </c>
      <c r="P2088" s="14" t="str">
        <f>IF(
    OR(ISBLANK(moras[[#This Row],[TIPO_ASEGURAMIENTO]]), moras[[#This Row],[TIPO_ASEGURAMIENTO]]=""),
    EDA!$A$32,
    moras[[#This Row],[TIPO_ASEGURAMIENTO]]
)</f>
        <v>ASALARIADO</v>
      </c>
    </row>
    <row r="2089" spans="1:16" x14ac:dyDescent="0.3">
      <c r="A2089">
        <v>2088</v>
      </c>
      <c r="B2089" t="s">
        <v>15</v>
      </c>
      <c r="C2089">
        <v>799650</v>
      </c>
      <c r="D2089" t="s">
        <v>10</v>
      </c>
      <c r="E2089" t="s">
        <v>16</v>
      </c>
      <c r="F2089" t="s">
        <v>12</v>
      </c>
      <c r="G2089" t="s">
        <v>13</v>
      </c>
      <c r="H2089" t="s">
        <v>13</v>
      </c>
      <c r="I2089">
        <v>25</v>
      </c>
      <c r="J2089">
        <f>ABS((I2089-EDA!$A$15)/EDA!$B$15)</f>
        <v>1.1983402984526204</v>
      </c>
      <c r="K2089" t="str">
        <f t="shared" si="32"/>
        <v>No</v>
      </c>
      <c r="L2089">
        <f>ABS((C2089-EDA!$F$15)/EDA!$G$15)</f>
        <v>0.36234723172512961</v>
      </c>
      <c r="M2089" t="str">
        <f>IF(moras[[#This Row],[Z-Score Salario]]&gt;1.96, "Sí", "No")</f>
        <v>No</v>
      </c>
      <c r="N2089" s="14">
        <f>IF(ISBLANK(moras[[#This Row],[SALARIO]]), EDA!$M$8, moras[[#This Row],[SALARIO]])</f>
        <v>799650</v>
      </c>
      <c r="O2089" s="14">
        <f xml:space="preserve"> IF(ISBLANK(moras[[#This Row],[EDAD]]), EDA!$E$8, moras[[#This Row],[EDAD]])</f>
        <v>25</v>
      </c>
      <c r="P2089" s="14" t="str">
        <f>IF(
    OR(ISBLANK(moras[[#This Row],[TIPO_ASEGURAMIENTO]]), moras[[#This Row],[TIPO_ASEGURAMIENTO]]=""),
    EDA!$A$32,
    moras[[#This Row],[TIPO_ASEGURAMIENTO]]
)</f>
        <v>ASALARIADO</v>
      </c>
    </row>
    <row r="2090" spans="1:16" x14ac:dyDescent="0.3">
      <c r="A2090">
        <v>2089</v>
      </c>
      <c r="B2090" t="s">
        <v>15</v>
      </c>
      <c r="C2090">
        <v>488750</v>
      </c>
      <c r="D2090" t="s">
        <v>10</v>
      </c>
      <c r="E2090" t="s">
        <v>16</v>
      </c>
      <c r="F2090" t="s">
        <v>12</v>
      </c>
      <c r="G2090" t="s">
        <v>13</v>
      </c>
      <c r="H2090" t="s">
        <v>13</v>
      </c>
      <c r="I2090">
        <v>24</v>
      </c>
      <c r="J2090">
        <f>ABS((I2090-EDA!$A$15)/EDA!$B$15)</f>
        <v>1.2689156285297578</v>
      </c>
      <c r="K2090" t="str">
        <f t="shared" si="32"/>
        <v>No</v>
      </c>
      <c r="L2090">
        <f>ABS((C2090-EDA!$F$15)/EDA!$G$15)</f>
        <v>0.36752082719323176</v>
      </c>
      <c r="M2090" t="str">
        <f>IF(moras[[#This Row],[Z-Score Salario]]&gt;1.96, "Sí", "No")</f>
        <v>No</v>
      </c>
      <c r="N2090" s="14">
        <f>IF(ISBLANK(moras[[#This Row],[SALARIO]]), EDA!$M$8, moras[[#This Row],[SALARIO]])</f>
        <v>488750</v>
      </c>
      <c r="O2090" s="14">
        <f xml:space="preserve"> IF(ISBLANK(moras[[#This Row],[EDAD]]), EDA!$E$8, moras[[#This Row],[EDAD]])</f>
        <v>24</v>
      </c>
      <c r="P2090" s="14" t="str">
        <f>IF(
    OR(ISBLANK(moras[[#This Row],[TIPO_ASEGURAMIENTO]]), moras[[#This Row],[TIPO_ASEGURAMIENTO]]=""),
    EDA!$A$32,
    moras[[#This Row],[TIPO_ASEGURAMIENTO]]
)</f>
        <v>ASALARIADO</v>
      </c>
    </row>
    <row r="2091" spans="1:16" x14ac:dyDescent="0.3">
      <c r="A2091">
        <v>2090</v>
      </c>
      <c r="B2091" t="s">
        <v>9</v>
      </c>
      <c r="C2091">
        <v>2038867</v>
      </c>
      <c r="D2091" t="s">
        <v>10</v>
      </c>
      <c r="E2091" t="s">
        <v>16</v>
      </c>
      <c r="F2091" t="s">
        <v>12</v>
      </c>
      <c r="G2091" t="s">
        <v>13</v>
      </c>
      <c r="H2091" t="s">
        <v>13</v>
      </c>
      <c r="I2091">
        <v>34</v>
      </c>
      <c r="J2091">
        <f>ABS((I2091-EDA!$A$15)/EDA!$B$15)</f>
        <v>0.56316232775838282</v>
      </c>
      <c r="K2091" t="str">
        <f t="shared" si="32"/>
        <v>No</v>
      </c>
      <c r="L2091">
        <f>ABS((C2091-EDA!$F$15)/EDA!$G$15)</f>
        <v>0.34172578606673437</v>
      </c>
      <c r="M2091" t="str">
        <f>IF(moras[[#This Row],[Z-Score Salario]]&gt;1.96, "Sí", "No")</f>
        <v>No</v>
      </c>
      <c r="N2091" s="14">
        <f>IF(ISBLANK(moras[[#This Row],[SALARIO]]), EDA!$M$8, moras[[#This Row],[SALARIO]])</f>
        <v>2038867</v>
      </c>
      <c r="O2091" s="14">
        <f xml:space="preserve"> IF(ISBLANK(moras[[#This Row],[EDAD]]), EDA!$E$8, moras[[#This Row],[EDAD]])</f>
        <v>34</v>
      </c>
      <c r="P2091" s="14" t="str">
        <f>IF(
    OR(ISBLANK(moras[[#This Row],[TIPO_ASEGURAMIENTO]]), moras[[#This Row],[TIPO_ASEGURAMIENTO]]=""),
    EDA!$A$32,
    moras[[#This Row],[TIPO_ASEGURAMIENTO]]
)</f>
        <v>ASALARIADO</v>
      </c>
    </row>
    <row r="2092" spans="1:16" x14ac:dyDescent="0.3">
      <c r="A2092">
        <v>2091</v>
      </c>
      <c r="B2092" t="s">
        <v>15</v>
      </c>
      <c r="C2092">
        <v>79393098</v>
      </c>
      <c r="D2092" t="s">
        <v>10</v>
      </c>
      <c r="E2092" t="s">
        <v>11</v>
      </c>
      <c r="F2092" t="s">
        <v>12</v>
      </c>
      <c r="G2092" t="s">
        <v>13</v>
      </c>
      <c r="H2092" t="s">
        <v>13</v>
      </c>
      <c r="I2092">
        <v>35</v>
      </c>
      <c r="J2092">
        <f>ABS((I2092-EDA!$A$15)/EDA!$B$15)</f>
        <v>0.49258699768124525</v>
      </c>
      <c r="K2092" t="str">
        <f t="shared" si="32"/>
        <v>No</v>
      </c>
      <c r="L2092">
        <f>ABS((C2092-EDA!$F$15)/EDA!$G$15)</f>
        <v>0.94550322306843182</v>
      </c>
      <c r="M2092" t="str">
        <f>IF(moras[[#This Row],[Z-Score Salario]]&gt;1.96, "Sí", "No")</f>
        <v>No</v>
      </c>
      <c r="N2092" s="14">
        <f>IF(ISBLANK(moras[[#This Row],[SALARIO]]), EDA!$M$8, moras[[#This Row],[SALARIO]])</f>
        <v>79393098</v>
      </c>
      <c r="O2092" s="14">
        <f xml:space="preserve"> IF(ISBLANK(moras[[#This Row],[EDAD]]), EDA!$E$8, moras[[#This Row],[EDAD]])</f>
        <v>35</v>
      </c>
      <c r="P2092" s="14" t="str">
        <f>IF(
    OR(ISBLANK(moras[[#This Row],[TIPO_ASEGURAMIENTO]]), moras[[#This Row],[TIPO_ASEGURAMIENTO]]=""),
    EDA!$A$32,
    moras[[#This Row],[TIPO_ASEGURAMIENTO]]
)</f>
        <v>ASALARIADO</v>
      </c>
    </row>
    <row r="2093" spans="1:16" x14ac:dyDescent="0.3">
      <c r="A2093">
        <v>2092</v>
      </c>
      <c r="B2093" t="s">
        <v>9</v>
      </c>
      <c r="C2093">
        <v>45233726</v>
      </c>
      <c r="D2093" t="s">
        <v>10</v>
      </c>
      <c r="E2093" t="s">
        <v>16</v>
      </c>
      <c r="F2093" t="s">
        <v>12</v>
      </c>
      <c r="G2093" t="s">
        <v>13</v>
      </c>
      <c r="H2093" t="s">
        <v>13</v>
      </c>
      <c r="I2093">
        <v>40</v>
      </c>
      <c r="J2093">
        <f>ABS((I2093-EDA!$A$15)/EDA!$B$15)</f>
        <v>0.13971034729555773</v>
      </c>
      <c r="K2093" t="str">
        <f t="shared" si="32"/>
        <v>No</v>
      </c>
      <c r="L2093">
        <f>ABS((C2093-EDA!$F$15)/EDA!$G$15)</f>
        <v>0.37706715947108904</v>
      </c>
      <c r="M2093" t="str">
        <f>IF(moras[[#This Row],[Z-Score Salario]]&gt;1.96, "Sí", "No")</f>
        <v>No</v>
      </c>
      <c r="N2093" s="14">
        <f>IF(ISBLANK(moras[[#This Row],[SALARIO]]), EDA!$M$8, moras[[#This Row],[SALARIO]])</f>
        <v>45233726</v>
      </c>
      <c r="O2093" s="14">
        <f xml:space="preserve"> IF(ISBLANK(moras[[#This Row],[EDAD]]), EDA!$E$8, moras[[#This Row],[EDAD]])</f>
        <v>40</v>
      </c>
      <c r="P2093" s="14" t="str">
        <f>IF(
    OR(ISBLANK(moras[[#This Row],[TIPO_ASEGURAMIENTO]]), moras[[#This Row],[TIPO_ASEGURAMIENTO]]=""),
    EDA!$A$32,
    moras[[#This Row],[TIPO_ASEGURAMIENTO]]
)</f>
        <v>ASALARIADO</v>
      </c>
    </row>
    <row r="2094" spans="1:16" x14ac:dyDescent="0.3">
      <c r="A2094">
        <v>2093</v>
      </c>
      <c r="B2094" t="s">
        <v>9</v>
      </c>
      <c r="C2094">
        <v>40125865</v>
      </c>
      <c r="D2094" t="s">
        <v>10</v>
      </c>
      <c r="E2094" t="s">
        <v>16</v>
      </c>
      <c r="F2094" t="s">
        <v>12</v>
      </c>
      <c r="G2094" t="s">
        <v>13</v>
      </c>
      <c r="H2094" t="s">
        <v>13</v>
      </c>
      <c r="I2094">
        <v>59</v>
      </c>
      <c r="J2094">
        <f>ABS((I2094-EDA!$A$15)/EDA!$B$15)</f>
        <v>1.2012209241700549</v>
      </c>
      <c r="K2094" t="str">
        <f t="shared" si="32"/>
        <v>No</v>
      </c>
      <c r="L2094">
        <f>ABS((C2094-EDA!$F$15)/EDA!$G$15)</f>
        <v>0.29206874672970767</v>
      </c>
      <c r="M2094" t="str">
        <f>IF(moras[[#This Row],[Z-Score Salario]]&gt;1.96, "Sí", "No")</f>
        <v>No</v>
      </c>
      <c r="N2094" s="14">
        <f>IF(ISBLANK(moras[[#This Row],[SALARIO]]), EDA!$M$8, moras[[#This Row],[SALARIO]])</f>
        <v>40125865</v>
      </c>
      <c r="O2094" s="14">
        <f xml:space="preserve"> IF(ISBLANK(moras[[#This Row],[EDAD]]), EDA!$E$8, moras[[#This Row],[EDAD]])</f>
        <v>59</v>
      </c>
      <c r="P2094" s="14" t="str">
        <f>IF(
    OR(ISBLANK(moras[[#This Row],[TIPO_ASEGURAMIENTO]]), moras[[#This Row],[TIPO_ASEGURAMIENTO]]=""),
    EDA!$A$32,
    moras[[#This Row],[TIPO_ASEGURAMIENTO]]
)</f>
        <v>ASALARIADO</v>
      </c>
    </row>
    <row r="2095" spans="1:16" x14ac:dyDescent="0.3">
      <c r="A2095">
        <v>2094</v>
      </c>
      <c r="B2095" t="s">
        <v>15</v>
      </c>
      <c r="C2095">
        <v>47634445</v>
      </c>
      <c r="D2095" t="s">
        <v>10</v>
      </c>
      <c r="E2095" t="s">
        <v>16</v>
      </c>
      <c r="F2095" t="s">
        <v>12</v>
      </c>
      <c r="G2095" t="s">
        <v>13</v>
      </c>
      <c r="H2095" t="s">
        <v>13</v>
      </c>
      <c r="I2095">
        <v>24</v>
      </c>
      <c r="J2095">
        <f>ABS((I2095-EDA!$A$15)/EDA!$B$15)</f>
        <v>1.2689156285297578</v>
      </c>
      <c r="K2095" t="str">
        <f t="shared" si="32"/>
        <v>No</v>
      </c>
      <c r="L2095">
        <f>ABS((C2095-EDA!$F$15)/EDA!$G$15)</f>
        <v>0.41701681832791315</v>
      </c>
      <c r="M2095" t="str">
        <f>IF(moras[[#This Row],[Z-Score Salario]]&gt;1.96, "Sí", "No")</f>
        <v>No</v>
      </c>
      <c r="N2095" s="14">
        <f>IF(ISBLANK(moras[[#This Row],[SALARIO]]), EDA!$M$8, moras[[#This Row],[SALARIO]])</f>
        <v>47634445</v>
      </c>
      <c r="O2095" s="14">
        <f xml:space="preserve"> IF(ISBLANK(moras[[#This Row],[EDAD]]), EDA!$E$8, moras[[#This Row],[EDAD]])</f>
        <v>24</v>
      </c>
      <c r="P2095" s="14" t="str">
        <f>IF(
    OR(ISBLANK(moras[[#This Row],[TIPO_ASEGURAMIENTO]]), moras[[#This Row],[TIPO_ASEGURAMIENTO]]=""),
    EDA!$A$32,
    moras[[#This Row],[TIPO_ASEGURAMIENTO]]
)</f>
        <v>ASALARIADO</v>
      </c>
    </row>
    <row r="2096" spans="1:16" x14ac:dyDescent="0.3">
      <c r="A2096">
        <v>2095</v>
      </c>
      <c r="B2096" t="s">
        <v>9</v>
      </c>
      <c r="C2096">
        <v>1934551</v>
      </c>
      <c r="D2096" t="s">
        <v>10</v>
      </c>
      <c r="E2096" t="s">
        <v>16</v>
      </c>
      <c r="F2096" t="s">
        <v>12</v>
      </c>
      <c r="G2096" t="s">
        <v>13</v>
      </c>
      <c r="H2096" t="s">
        <v>12</v>
      </c>
      <c r="I2096">
        <v>58</v>
      </c>
      <c r="J2096">
        <f>ABS((I2096-EDA!$A$15)/EDA!$B$15)</f>
        <v>1.1306455940929174</v>
      </c>
      <c r="K2096" t="str">
        <f t="shared" si="32"/>
        <v>No</v>
      </c>
      <c r="L2096">
        <f>ABS((C2096-EDA!$F$15)/EDA!$G$15)</f>
        <v>0.34346167794467114</v>
      </c>
      <c r="M2096" t="str">
        <f>IF(moras[[#This Row],[Z-Score Salario]]&gt;1.96, "Sí", "No")</f>
        <v>No</v>
      </c>
      <c r="N2096" s="14">
        <f>IF(ISBLANK(moras[[#This Row],[SALARIO]]), EDA!$M$8, moras[[#This Row],[SALARIO]])</f>
        <v>1934551</v>
      </c>
      <c r="O2096" s="14">
        <f xml:space="preserve"> IF(ISBLANK(moras[[#This Row],[EDAD]]), EDA!$E$8, moras[[#This Row],[EDAD]])</f>
        <v>58</v>
      </c>
      <c r="P2096" s="14" t="str">
        <f>IF(
    OR(ISBLANK(moras[[#This Row],[TIPO_ASEGURAMIENTO]]), moras[[#This Row],[TIPO_ASEGURAMIENTO]]=""),
    EDA!$A$32,
    moras[[#This Row],[TIPO_ASEGURAMIENTO]]
)</f>
        <v>ASALARIADO</v>
      </c>
    </row>
    <row r="2097" spans="1:16" x14ac:dyDescent="0.3">
      <c r="A2097">
        <v>2096</v>
      </c>
      <c r="B2097" t="s">
        <v>9</v>
      </c>
      <c r="C2097">
        <v>199548254</v>
      </c>
      <c r="D2097" t="s">
        <v>10</v>
      </c>
      <c r="E2097" t="s">
        <v>11</v>
      </c>
      <c r="F2097" t="s">
        <v>12</v>
      </c>
      <c r="G2097" t="s">
        <v>13</v>
      </c>
      <c r="H2097" t="s">
        <v>13</v>
      </c>
      <c r="I2097">
        <v>34</v>
      </c>
      <c r="J2097">
        <f>ABS((I2097-EDA!$A$15)/EDA!$B$15)</f>
        <v>0.56316232775838282</v>
      </c>
      <c r="K2097" t="str">
        <f t="shared" si="32"/>
        <v>No</v>
      </c>
      <c r="L2097">
        <f>ABS((C2097-EDA!$F$15)/EDA!$G$15)</f>
        <v>2.9449698378986056</v>
      </c>
      <c r="M2097" t="str">
        <f>IF(moras[[#This Row],[Z-Score Salario]]&gt;1.96, "Sí", "No")</f>
        <v>Sí</v>
      </c>
      <c r="N2097" s="14">
        <f>IF(ISBLANK(moras[[#This Row],[SALARIO]]), EDA!$M$8, moras[[#This Row],[SALARIO]])</f>
        <v>199548254</v>
      </c>
      <c r="O2097" s="14">
        <f xml:space="preserve"> IF(ISBLANK(moras[[#This Row],[EDAD]]), EDA!$E$8, moras[[#This Row],[EDAD]])</f>
        <v>34</v>
      </c>
      <c r="P2097" s="14" t="str">
        <f>IF(
    OR(ISBLANK(moras[[#This Row],[TIPO_ASEGURAMIENTO]]), moras[[#This Row],[TIPO_ASEGURAMIENTO]]=""),
    EDA!$A$32,
    moras[[#This Row],[TIPO_ASEGURAMIENTO]]
)</f>
        <v>ASALARIADO</v>
      </c>
    </row>
    <row r="2098" spans="1:16" x14ac:dyDescent="0.3">
      <c r="A2098">
        <v>2097</v>
      </c>
      <c r="B2098" t="s">
        <v>9</v>
      </c>
      <c r="C2098">
        <v>297949</v>
      </c>
      <c r="D2098" t="s">
        <v>17</v>
      </c>
      <c r="E2098" t="s">
        <v>16</v>
      </c>
      <c r="F2098" t="s">
        <v>12</v>
      </c>
      <c r="G2098" t="s">
        <v>13</v>
      </c>
      <c r="H2098" t="s">
        <v>13</v>
      </c>
      <c r="I2098">
        <v>37</v>
      </c>
      <c r="J2098">
        <f>ABS((I2098-EDA!$A$15)/EDA!$B$15)</f>
        <v>0.35143633752697023</v>
      </c>
      <c r="K2098" t="str">
        <f t="shared" si="32"/>
        <v>No</v>
      </c>
      <c r="L2098">
        <f>ABS((C2098-EDA!$F$15)/EDA!$G$15)</f>
        <v>0.37069589052198487</v>
      </c>
      <c r="M2098" t="str">
        <f>IF(moras[[#This Row],[Z-Score Salario]]&gt;1.96, "Sí", "No")</f>
        <v>No</v>
      </c>
      <c r="N2098" s="14">
        <f>IF(ISBLANK(moras[[#This Row],[SALARIO]]), EDA!$M$8, moras[[#This Row],[SALARIO]])</f>
        <v>297949</v>
      </c>
      <c r="O2098" s="14">
        <f xml:space="preserve"> IF(ISBLANK(moras[[#This Row],[EDAD]]), EDA!$E$8, moras[[#This Row],[EDAD]])</f>
        <v>37</v>
      </c>
      <c r="P2098" s="14" t="str">
        <f>IF(
    OR(ISBLANK(moras[[#This Row],[TIPO_ASEGURAMIENTO]]), moras[[#This Row],[TIPO_ASEGURAMIENTO]]=""),
    EDA!$A$32,
    moras[[#This Row],[TIPO_ASEGURAMIENTO]]
)</f>
        <v>ASEGURADO VOLUNTARIO</v>
      </c>
    </row>
    <row r="2099" spans="1:16" x14ac:dyDescent="0.3">
      <c r="A2099">
        <v>2098</v>
      </c>
      <c r="B2099" t="s">
        <v>9</v>
      </c>
      <c r="C2099">
        <v>722064</v>
      </c>
      <c r="D2099" t="s">
        <v>10</v>
      </c>
      <c r="E2099" t="s">
        <v>16</v>
      </c>
      <c r="F2099" t="s">
        <v>12</v>
      </c>
      <c r="G2099" t="s">
        <v>13</v>
      </c>
      <c r="H2099" t="s">
        <v>13</v>
      </c>
      <c r="I2099">
        <v>33</v>
      </c>
      <c r="J2099">
        <f>ABS((I2099-EDA!$A$15)/EDA!$B$15)</f>
        <v>0.63373765783552027</v>
      </c>
      <c r="K2099" t="str">
        <f t="shared" si="32"/>
        <v>No</v>
      </c>
      <c r="L2099">
        <f>ABS((C2099-EDA!$F$15)/EDA!$G$15)</f>
        <v>0.36363831753403336</v>
      </c>
      <c r="M2099" t="str">
        <f>IF(moras[[#This Row],[Z-Score Salario]]&gt;1.96, "Sí", "No")</f>
        <v>No</v>
      </c>
      <c r="N2099" s="14">
        <f>IF(ISBLANK(moras[[#This Row],[SALARIO]]), EDA!$M$8, moras[[#This Row],[SALARIO]])</f>
        <v>722064</v>
      </c>
      <c r="O2099" s="14">
        <f xml:space="preserve"> IF(ISBLANK(moras[[#This Row],[EDAD]]), EDA!$E$8, moras[[#This Row],[EDAD]])</f>
        <v>33</v>
      </c>
      <c r="P2099" s="14" t="str">
        <f>IF(
    OR(ISBLANK(moras[[#This Row],[TIPO_ASEGURAMIENTO]]), moras[[#This Row],[TIPO_ASEGURAMIENTO]]=""),
    EDA!$A$32,
    moras[[#This Row],[TIPO_ASEGURAMIENTO]]
)</f>
        <v>ASALARIADO</v>
      </c>
    </row>
    <row r="2100" spans="1:16" x14ac:dyDescent="0.3">
      <c r="A2100">
        <v>2099</v>
      </c>
      <c r="B2100" t="s">
        <v>9</v>
      </c>
      <c r="C2100">
        <v>7539135</v>
      </c>
      <c r="D2100" t="s">
        <v>10</v>
      </c>
      <c r="E2100" t="s">
        <v>11</v>
      </c>
      <c r="F2100" t="s">
        <v>12</v>
      </c>
      <c r="G2100" t="s">
        <v>13</v>
      </c>
      <c r="H2100" t="s">
        <v>13</v>
      </c>
      <c r="I2100">
        <v>56</v>
      </c>
      <c r="J2100">
        <f>ABS((I2100-EDA!$A$15)/EDA!$B$15)</f>
        <v>0.9894949339386423</v>
      </c>
      <c r="K2100" t="str">
        <f t="shared" si="32"/>
        <v>No</v>
      </c>
      <c r="L2100">
        <f>ABS((C2100-EDA!$F$15)/EDA!$G$15)</f>
        <v>0.25019744384046544</v>
      </c>
      <c r="M2100" t="str">
        <f>IF(moras[[#This Row],[Z-Score Salario]]&gt;1.96, "Sí", "No")</f>
        <v>No</v>
      </c>
      <c r="N2100" s="14">
        <f>IF(ISBLANK(moras[[#This Row],[SALARIO]]), EDA!$M$8, moras[[#This Row],[SALARIO]])</f>
        <v>7539135</v>
      </c>
      <c r="O2100" s="14">
        <f xml:space="preserve"> IF(ISBLANK(moras[[#This Row],[EDAD]]), EDA!$E$8, moras[[#This Row],[EDAD]])</f>
        <v>56</v>
      </c>
      <c r="P2100" s="14" t="str">
        <f>IF(
    OR(ISBLANK(moras[[#This Row],[TIPO_ASEGURAMIENTO]]), moras[[#This Row],[TIPO_ASEGURAMIENTO]]=""),
    EDA!$A$32,
    moras[[#This Row],[TIPO_ASEGURAMIENTO]]
)</f>
        <v>ASALARIADO</v>
      </c>
    </row>
    <row r="2101" spans="1:16" x14ac:dyDescent="0.3">
      <c r="A2101">
        <v>2100</v>
      </c>
      <c r="B2101" t="s">
        <v>9</v>
      </c>
      <c r="C2101">
        <v>60714285</v>
      </c>
      <c r="D2101" t="s">
        <v>10</v>
      </c>
      <c r="E2101" t="s">
        <v>16</v>
      </c>
      <c r="F2101" t="s">
        <v>12</v>
      </c>
      <c r="G2101" t="s">
        <v>13</v>
      </c>
      <c r="H2101" t="s">
        <v>13</v>
      </c>
      <c r="I2101">
        <v>31</v>
      </c>
      <c r="J2101">
        <f>ABS((I2101-EDA!$A$15)/EDA!$B$15)</f>
        <v>0.77488831798979529</v>
      </c>
      <c r="K2101" t="str">
        <f t="shared" si="32"/>
        <v>No</v>
      </c>
      <c r="L2101">
        <f>ABS((C2101-EDA!$F$15)/EDA!$G$15)</f>
        <v>0.63467458914650632</v>
      </c>
      <c r="M2101" t="str">
        <f>IF(moras[[#This Row],[Z-Score Salario]]&gt;1.96, "Sí", "No")</f>
        <v>No</v>
      </c>
      <c r="N2101" s="14">
        <f>IF(ISBLANK(moras[[#This Row],[SALARIO]]), EDA!$M$8, moras[[#This Row],[SALARIO]])</f>
        <v>60714285</v>
      </c>
      <c r="O2101" s="14">
        <f xml:space="preserve"> IF(ISBLANK(moras[[#This Row],[EDAD]]), EDA!$E$8, moras[[#This Row],[EDAD]])</f>
        <v>31</v>
      </c>
      <c r="P2101" s="14" t="str">
        <f>IF(
    OR(ISBLANK(moras[[#This Row],[TIPO_ASEGURAMIENTO]]), moras[[#This Row],[TIPO_ASEGURAMIENTO]]=""),
    EDA!$A$32,
    moras[[#This Row],[TIPO_ASEGURAMIENTO]]
)</f>
        <v>ASALARIADO</v>
      </c>
    </row>
    <row r="2102" spans="1:16" x14ac:dyDescent="0.3">
      <c r="A2102">
        <v>2101</v>
      </c>
      <c r="B2102" t="s">
        <v>9</v>
      </c>
      <c r="C2102">
        <v>260000</v>
      </c>
      <c r="D2102" t="s">
        <v>10</v>
      </c>
      <c r="E2102" t="s">
        <v>16</v>
      </c>
      <c r="F2102" t="s">
        <v>12</v>
      </c>
      <c r="G2102" t="s">
        <v>13</v>
      </c>
      <c r="H2102" t="s">
        <v>12</v>
      </c>
      <c r="I2102">
        <v>37</v>
      </c>
      <c r="J2102">
        <f>ABS((I2102-EDA!$A$15)/EDA!$B$15)</f>
        <v>0.35143633752697023</v>
      </c>
      <c r="K2102" t="str">
        <f t="shared" si="32"/>
        <v>No</v>
      </c>
      <c r="L2102">
        <f>ABS((C2102-EDA!$F$15)/EDA!$G$15)</f>
        <v>0.37132738867064685</v>
      </c>
      <c r="M2102" t="str">
        <f>IF(moras[[#This Row],[Z-Score Salario]]&gt;1.96, "Sí", "No")</f>
        <v>No</v>
      </c>
      <c r="N2102" s="14">
        <f>IF(ISBLANK(moras[[#This Row],[SALARIO]]), EDA!$M$8, moras[[#This Row],[SALARIO]])</f>
        <v>260000</v>
      </c>
      <c r="O2102" s="14">
        <f xml:space="preserve"> IF(ISBLANK(moras[[#This Row],[EDAD]]), EDA!$E$8, moras[[#This Row],[EDAD]])</f>
        <v>37</v>
      </c>
      <c r="P2102" s="14" t="str">
        <f>IF(
    OR(ISBLANK(moras[[#This Row],[TIPO_ASEGURAMIENTO]]), moras[[#This Row],[TIPO_ASEGURAMIENTO]]=""),
    EDA!$A$32,
    moras[[#This Row],[TIPO_ASEGURAMIENTO]]
)</f>
        <v>ASALARIADO</v>
      </c>
    </row>
    <row r="2103" spans="1:16" x14ac:dyDescent="0.3">
      <c r="A2103">
        <v>2102</v>
      </c>
      <c r="B2103" t="s">
        <v>9</v>
      </c>
      <c r="C2103">
        <v>742000</v>
      </c>
      <c r="D2103" t="s">
        <v>10</v>
      </c>
      <c r="E2103" t="s">
        <v>16</v>
      </c>
      <c r="F2103" t="s">
        <v>12</v>
      </c>
      <c r="G2103" t="s">
        <v>13</v>
      </c>
      <c r="H2103" t="s">
        <v>13</v>
      </c>
      <c r="I2103">
        <v>57</v>
      </c>
      <c r="J2103">
        <f>ABS((I2103-EDA!$A$15)/EDA!$B$15)</f>
        <v>1.0600702640157798</v>
      </c>
      <c r="K2103" t="str">
        <f t="shared" si="32"/>
        <v>No</v>
      </c>
      <c r="L2103">
        <f>ABS((C2103-EDA!$F$15)/EDA!$G$15)</f>
        <v>0.36330656842096781</v>
      </c>
      <c r="M2103" t="str">
        <f>IF(moras[[#This Row],[Z-Score Salario]]&gt;1.96, "Sí", "No")</f>
        <v>No</v>
      </c>
      <c r="N2103" s="14">
        <f>IF(ISBLANK(moras[[#This Row],[SALARIO]]), EDA!$M$8, moras[[#This Row],[SALARIO]])</f>
        <v>742000</v>
      </c>
      <c r="O2103" s="14">
        <f xml:space="preserve"> IF(ISBLANK(moras[[#This Row],[EDAD]]), EDA!$E$8, moras[[#This Row],[EDAD]])</f>
        <v>57</v>
      </c>
      <c r="P2103" s="14" t="str">
        <f>IF(
    OR(ISBLANK(moras[[#This Row],[TIPO_ASEGURAMIENTO]]), moras[[#This Row],[TIPO_ASEGURAMIENTO]]=""),
    EDA!$A$32,
    moras[[#This Row],[TIPO_ASEGURAMIENTO]]
)</f>
        <v>ASALARIADO</v>
      </c>
    </row>
    <row r="2104" spans="1:16" x14ac:dyDescent="0.3">
      <c r="A2104">
        <v>2103</v>
      </c>
      <c r="B2104" t="s">
        <v>9</v>
      </c>
      <c r="C2104">
        <v>170440</v>
      </c>
      <c r="D2104" t="s">
        <v>10</v>
      </c>
      <c r="E2104" t="s">
        <v>16</v>
      </c>
      <c r="F2104" t="s">
        <v>12</v>
      </c>
      <c r="G2104" t="s">
        <v>13</v>
      </c>
      <c r="H2104" t="s">
        <v>13</v>
      </c>
      <c r="I2104">
        <v>42</v>
      </c>
      <c r="J2104">
        <f>ABS((I2104-EDA!$A$15)/EDA!$B$15)</f>
        <v>1.4403128587172659E-3</v>
      </c>
      <c r="K2104" t="str">
        <f t="shared" si="32"/>
        <v>No</v>
      </c>
      <c r="L2104">
        <f>ABS((C2104-EDA!$F$15)/EDA!$G$15)</f>
        <v>0.37281773029214321</v>
      </c>
      <c r="M2104" t="str">
        <f>IF(moras[[#This Row],[Z-Score Salario]]&gt;1.96, "Sí", "No")</f>
        <v>No</v>
      </c>
      <c r="N2104" s="14">
        <f>IF(ISBLANK(moras[[#This Row],[SALARIO]]), EDA!$M$8, moras[[#This Row],[SALARIO]])</f>
        <v>170440</v>
      </c>
      <c r="O2104" s="14">
        <f xml:space="preserve"> IF(ISBLANK(moras[[#This Row],[EDAD]]), EDA!$E$8, moras[[#This Row],[EDAD]])</f>
        <v>42</v>
      </c>
      <c r="P2104" s="14" t="str">
        <f>IF(
    OR(ISBLANK(moras[[#This Row],[TIPO_ASEGURAMIENTO]]), moras[[#This Row],[TIPO_ASEGURAMIENTO]]=""),
    EDA!$A$32,
    moras[[#This Row],[TIPO_ASEGURAMIENTO]]
)</f>
        <v>ASALARIADO</v>
      </c>
    </row>
    <row r="2105" spans="1:16" x14ac:dyDescent="0.3">
      <c r="A2105">
        <v>2104</v>
      </c>
      <c r="B2105" t="s">
        <v>15</v>
      </c>
      <c r="C2105">
        <v>242860</v>
      </c>
      <c r="D2105" t="s">
        <v>10</v>
      </c>
      <c r="E2105" t="s">
        <v>16</v>
      </c>
      <c r="F2105" t="s">
        <v>12</v>
      </c>
      <c r="G2105" t="s">
        <v>13</v>
      </c>
      <c r="H2105" t="s">
        <v>12</v>
      </c>
      <c r="I2105">
        <v>62</v>
      </c>
      <c r="J2105">
        <f>ABS((I2105-EDA!$A$15)/EDA!$B$15)</f>
        <v>1.4129469144014672</v>
      </c>
      <c r="K2105" t="str">
        <f t="shared" si="32"/>
        <v>No</v>
      </c>
      <c r="L2105">
        <f>ABS((C2105-EDA!$F$15)/EDA!$G$15)</f>
        <v>0.37161261036998189</v>
      </c>
      <c r="M2105" t="str">
        <f>IF(moras[[#This Row],[Z-Score Salario]]&gt;1.96, "Sí", "No")</f>
        <v>No</v>
      </c>
      <c r="N2105" s="14">
        <f>IF(ISBLANK(moras[[#This Row],[SALARIO]]), EDA!$M$8, moras[[#This Row],[SALARIO]])</f>
        <v>242860</v>
      </c>
      <c r="O2105" s="14">
        <f xml:space="preserve"> IF(ISBLANK(moras[[#This Row],[EDAD]]), EDA!$E$8, moras[[#This Row],[EDAD]])</f>
        <v>62</v>
      </c>
      <c r="P2105" s="14" t="str">
        <f>IF(
    OR(ISBLANK(moras[[#This Row],[TIPO_ASEGURAMIENTO]]), moras[[#This Row],[TIPO_ASEGURAMIENTO]]=""),
    EDA!$A$32,
    moras[[#This Row],[TIPO_ASEGURAMIENTO]]
)</f>
        <v>ASALARIADO</v>
      </c>
    </row>
    <row r="2106" spans="1:16" x14ac:dyDescent="0.3">
      <c r="A2106">
        <v>2105</v>
      </c>
      <c r="B2106" t="s">
        <v>9</v>
      </c>
      <c r="C2106">
        <v>1860734</v>
      </c>
      <c r="D2106" t="s">
        <v>18</v>
      </c>
      <c r="E2106" t="s">
        <v>16</v>
      </c>
      <c r="F2106" t="s">
        <v>12</v>
      </c>
      <c r="G2106" t="s">
        <v>12</v>
      </c>
      <c r="H2106" t="s">
        <v>12</v>
      </c>
      <c r="I2106">
        <v>52</v>
      </c>
      <c r="J2106">
        <f>ABS((I2106-EDA!$A$15)/EDA!$B$15)</f>
        <v>0.70719361363009237</v>
      </c>
      <c r="K2106" t="str">
        <f t="shared" si="32"/>
        <v>No</v>
      </c>
      <c r="L2106">
        <f>ABS((C2106-EDA!$F$15)/EDA!$G$15)</f>
        <v>0.34469004493299182</v>
      </c>
      <c r="M2106" t="str">
        <f>IF(moras[[#This Row],[Z-Score Salario]]&gt;1.96, "Sí", "No")</f>
        <v>No</v>
      </c>
      <c r="N2106" s="14">
        <f>IF(ISBLANK(moras[[#This Row],[SALARIO]]), EDA!$M$8, moras[[#This Row],[SALARIO]])</f>
        <v>1860734</v>
      </c>
      <c r="O2106" s="14">
        <f xml:space="preserve"> IF(ISBLANK(moras[[#This Row],[EDAD]]), EDA!$E$8, moras[[#This Row],[EDAD]])</f>
        <v>52</v>
      </c>
      <c r="P2106" s="14" t="str">
        <f>IF(
    OR(ISBLANK(moras[[#This Row],[TIPO_ASEGURAMIENTO]]), moras[[#This Row],[TIPO_ASEGURAMIENTO]]=""),
    EDA!$A$32,
    moras[[#This Row],[TIPO_ASEGURAMIENTO]]
)</f>
        <v>TRABAJADOR INDEPENDIENTE</v>
      </c>
    </row>
    <row r="2107" spans="1:16" x14ac:dyDescent="0.3">
      <c r="A2107">
        <v>2106</v>
      </c>
      <c r="B2107" t="s">
        <v>9</v>
      </c>
      <c r="C2107">
        <v>62037367</v>
      </c>
      <c r="D2107" t="s">
        <v>10</v>
      </c>
      <c r="E2107" t="s">
        <v>16</v>
      </c>
      <c r="F2107" t="s">
        <v>12</v>
      </c>
      <c r="G2107" t="s">
        <v>13</v>
      </c>
      <c r="H2107" t="s">
        <v>13</v>
      </c>
      <c r="I2107">
        <v>46</v>
      </c>
      <c r="J2107">
        <f>ABS((I2107-EDA!$A$15)/EDA!$B$15)</f>
        <v>0.2837416331672673</v>
      </c>
      <c r="K2107" t="str">
        <f t="shared" si="32"/>
        <v>No</v>
      </c>
      <c r="L2107">
        <f>ABS((C2107-EDA!$F$15)/EDA!$G$15)</f>
        <v>0.65669160760622791</v>
      </c>
      <c r="M2107" t="str">
        <f>IF(moras[[#This Row],[Z-Score Salario]]&gt;1.96, "Sí", "No")</f>
        <v>No</v>
      </c>
      <c r="N2107" s="14">
        <f>IF(ISBLANK(moras[[#This Row],[SALARIO]]), EDA!$M$8, moras[[#This Row],[SALARIO]])</f>
        <v>62037367</v>
      </c>
      <c r="O2107" s="14">
        <f xml:space="preserve"> IF(ISBLANK(moras[[#This Row],[EDAD]]), EDA!$E$8, moras[[#This Row],[EDAD]])</f>
        <v>46</v>
      </c>
      <c r="P2107" s="14" t="str">
        <f>IF(
    OR(ISBLANK(moras[[#This Row],[TIPO_ASEGURAMIENTO]]), moras[[#This Row],[TIPO_ASEGURAMIENTO]]=""),
    EDA!$A$32,
    moras[[#This Row],[TIPO_ASEGURAMIENTO]]
)</f>
        <v>ASALARIADO</v>
      </c>
    </row>
    <row r="2108" spans="1:16" x14ac:dyDescent="0.3">
      <c r="A2108">
        <v>2107</v>
      </c>
      <c r="B2108" t="s">
        <v>15</v>
      </c>
      <c r="C2108">
        <v>1233708</v>
      </c>
      <c r="D2108" t="s">
        <v>10</v>
      </c>
      <c r="E2108" t="s">
        <v>16</v>
      </c>
      <c r="F2108" t="s">
        <v>12</v>
      </c>
      <c r="G2108" t="s">
        <v>13</v>
      </c>
      <c r="H2108" t="s">
        <v>13</v>
      </c>
      <c r="I2108">
        <v>40</v>
      </c>
      <c r="J2108">
        <f>ABS((I2108-EDA!$A$15)/EDA!$B$15)</f>
        <v>0.13971034729555773</v>
      </c>
      <c r="K2108" t="str">
        <f t="shared" si="32"/>
        <v>No</v>
      </c>
      <c r="L2108">
        <f>ABS((C2108-EDA!$F$15)/EDA!$G$15)</f>
        <v>0.35512420019829316</v>
      </c>
      <c r="M2108" t="str">
        <f>IF(moras[[#This Row],[Z-Score Salario]]&gt;1.96, "Sí", "No")</f>
        <v>No</v>
      </c>
      <c r="N2108" s="14">
        <f>IF(ISBLANK(moras[[#This Row],[SALARIO]]), EDA!$M$8, moras[[#This Row],[SALARIO]])</f>
        <v>1233708</v>
      </c>
      <c r="O2108" s="14">
        <f xml:space="preserve"> IF(ISBLANK(moras[[#This Row],[EDAD]]), EDA!$E$8, moras[[#This Row],[EDAD]])</f>
        <v>40</v>
      </c>
      <c r="P2108" s="14" t="str">
        <f>IF(
    OR(ISBLANK(moras[[#This Row],[TIPO_ASEGURAMIENTO]]), moras[[#This Row],[TIPO_ASEGURAMIENTO]]=""),
    EDA!$A$32,
    moras[[#This Row],[TIPO_ASEGURAMIENTO]]
)</f>
        <v>ASALARIADO</v>
      </c>
    </row>
    <row r="2109" spans="1:16" x14ac:dyDescent="0.3">
      <c r="A2109">
        <v>2108</v>
      </c>
      <c r="B2109" t="s">
        <v>9</v>
      </c>
      <c r="C2109">
        <v>520000</v>
      </c>
      <c r="D2109" t="s">
        <v>10</v>
      </c>
      <c r="E2109" t="s">
        <v>16</v>
      </c>
      <c r="F2109" t="s">
        <v>12</v>
      </c>
      <c r="G2109" t="s">
        <v>13</v>
      </c>
      <c r="H2109" t="s">
        <v>13</v>
      </c>
      <c r="I2109">
        <v>45</v>
      </c>
      <c r="J2109">
        <f>ABS((I2109-EDA!$A$15)/EDA!$B$15)</f>
        <v>0.21316630309012977</v>
      </c>
      <c r="K2109" t="str">
        <f t="shared" si="32"/>
        <v>No</v>
      </c>
      <c r="L2109">
        <f>ABS((C2109-EDA!$F$15)/EDA!$G$15)</f>
        <v>0.36700080513347555</v>
      </c>
      <c r="M2109" t="str">
        <f>IF(moras[[#This Row],[Z-Score Salario]]&gt;1.96, "Sí", "No")</f>
        <v>No</v>
      </c>
      <c r="N2109" s="14">
        <f>IF(ISBLANK(moras[[#This Row],[SALARIO]]), EDA!$M$8, moras[[#This Row],[SALARIO]])</f>
        <v>520000</v>
      </c>
      <c r="O2109" s="14">
        <f xml:space="preserve"> IF(ISBLANK(moras[[#This Row],[EDAD]]), EDA!$E$8, moras[[#This Row],[EDAD]])</f>
        <v>45</v>
      </c>
      <c r="P2109" s="14" t="str">
        <f>IF(
    OR(ISBLANK(moras[[#This Row],[TIPO_ASEGURAMIENTO]]), moras[[#This Row],[TIPO_ASEGURAMIENTO]]=""),
    EDA!$A$32,
    moras[[#This Row],[TIPO_ASEGURAMIENTO]]
)</f>
        <v>ASALARIADO</v>
      </c>
    </row>
    <row r="2110" spans="1:16" x14ac:dyDescent="0.3">
      <c r="A2110">
        <v>2109</v>
      </c>
      <c r="B2110" t="s">
        <v>9</v>
      </c>
      <c r="C2110">
        <v>160000</v>
      </c>
      <c r="D2110" t="s">
        <v>10</v>
      </c>
      <c r="E2110" t="s">
        <v>16</v>
      </c>
      <c r="F2110" t="s">
        <v>12</v>
      </c>
      <c r="G2110" t="s">
        <v>12</v>
      </c>
      <c r="H2110" t="s">
        <v>13</v>
      </c>
      <c r="I2110">
        <v>26</v>
      </c>
      <c r="J2110">
        <f>ABS((I2110-EDA!$A$15)/EDA!$B$15)</f>
        <v>1.1277649683754829</v>
      </c>
      <c r="K2110" t="str">
        <f t="shared" si="32"/>
        <v>No</v>
      </c>
      <c r="L2110">
        <f>ABS((C2110-EDA!$F$15)/EDA!$G$15)</f>
        <v>0.37299145926186655</v>
      </c>
      <c r="M2110" t="str">
        <f>IF(moras[[#This Row],[Z-Score Salario]]&gt;1.96, "Sí", "No")</f>
        <v>No</v>
      </c>
      <c r="N2110" s="14">
        <f>IF(ISBLANK(moras[[#This Row],[SALARIO]]), EDA!$M$8, moras[[#This Row],[SALARIO]])</f>
        <v>160000</v>
      </c>
      <c r="O2110" s="14">
        <f xml:space="preserve"> IF(ISBLANK(moras[[#This Row],[EDAD]]), EDA!$E$8, moras[[#This Row],[EDAD]])</f>
        <v>26</v>
      </c>
      <c r="P2110" s="14" t="str">
        <f>IF(
    OR(ISBLANK(moras[[#This Row],[TIPO_ASEGURAMIENTO]]), moras[[#This Row],[TIPO_ASEGURAMIENTO]]=""),
    EDA!$A$32,
    moras[[#This Row],[TIPO_ASEGURAMIENTO]]
)</f>
        <v>ASALARIADO</v>
      </c>
    </row>
    <row r="2111" spans="1:16" x14ac:dyDescent="0.3">
      <c r="A2111">
        <v>2110</v>
      </c>
      <c r="B2111" t="s">
        <v>9</v>
      </c>
      <c r="C2111">
        <v>2963462</v>
      </c>
      <c r="D2111" t="s">
        <v>10</v>
      </c>
      <c r="E2111" t="s">
        <v>16</v>
      </c>
      <c r="F2111" t="s">
        <v>12</v>
      </c>
      <c r="G2111" t="s">
        <v>13</v>
      </c>
      <c r="H2111" t="s">
        <v>13</v>
      </c>
      <c r="I2111">
        <v>48</v>
      </c>
      <c r="J2111">
        <f>ABS((I2111-EDA!$A$15)/EDA!$B$15)</f>
        <v>0.42489229332154227</v>
      </c>
      <c r="K2111" t="str">
        <f t="shared" si="32"/>
        <v>No</v>
      </c>
      <c r="L2111">
        <f>ABS((C2111-EDA!$F$15)/EDA!$G$15)</f>
        <v>0.32633987258384645</v>
      </c>
      <c r="M2111" t="str">
        <f>IF(moras[[#This Row],[Z-Score Salario]]&gt;1.96, "Sí", "No")</f>
        <v>No</v>
      </c>
      <c r="N2111" s="14">
        <f>IF(ISBLANK(moras[[#This Row],[SALARIO]]), EDA!$M$8, moras[[#This Row],[SALARIO]])</f>
        <v>2963462</v>
      </c>
      <c r="O2111" s="14">
        <f xml:space="preserve"> IF(ISBLANK(moras[[#This Row],[EDAD]]), EDA!$E$8, moras[[#This Row],[EDAD]])</f>
        <v>48</v>
      </c>
      <c r="P2111" s="14" t="str">
        <f>IF(
    OR(ISBLANK(moras[[#This Row],[TIPO_ASEGURAMIENTO]]), moras[[#This Row],[TIPO_ASEGURAMIENTO]]=""),
    EDA!$A$32,
    moras[[#This Row],[TIPO_ASEGURAMIENTO]]
)</f>
        <v>ASALARIADO</v>
      </c>
    </row>
    <row r="2112" spans="1:16" x14ac:dyDescent="0.3">
      <c r="A2112">
        <v>2111</v>
      </c>
      <c r="B2112" t="s">
        <v>15</v>
      </c>
      <c r="C2112">
        <v>3294209</v>
      </c>
      <c r="D2112" t="s">
        <v>10</v>
      </c>
      <c r="E2112" t="s">
        <v>11</v>
      </c>
      <c r="F2112" t="s">
        <v>12</v>
      </c>
      <c r="G2112" t="s">
        <v>13</v>
      </c>
      <c r="H2112" t="s">
        <v>13</v>
      </c>
      <c r="I2112">
        <v>24</v>
      </c>
      <c r="J2112">
        <f>ABS((I2112-EDA!$A$15)/EDA!$B$15)</f>
        <v>1.2689156285297578</v>
      </c>
      <c r="K2112" t="str">
        <f t="shared" si="32"/>
        <v>No</v>
      </c>
      <c r="L2112">
        <f>ABS((C2112-EDA!$F$15)/EDA!$G$15)</f>
        <v>0.32083600902550496</v>
      </c>
      <c r="M2112" t="str">
        <f>IF(moras[[#This Row],[Z-Score Salario]]&gt;1.96, "Sí", "No")</f>
        <v>No</v>
      </c>
      <c r="N2112" s="14">
        <f>IF(ISBLANK(moras[[#This Row],[SALARIO]]), EDA!$M$8, moras[[#This Row],[SALARIO]])</f>
        <v>3294209</v>
      </c>
      <c r="O2112" s="14">
        <f xml:space="preserve"> IF(ISBLANK(moras[[#This Row],[EDAD]]), EDA!$E$8, moras[[#This Row],[EDAD]])</f>
        <v>24</v>
      </c>
      <c r="P2112" s="14" t="str">
        <f>IF(
    OR(ISBLANK(moras[[#This Row],[TIPO_ASEGURAMIENTO]]), moras[[#This Row],[TIPO_ASEGURAMIENTO]]=""),
    EDA!$A$32,
    moras[[#This Row],[TIPO_ASEGURAMIENTO]]
)</f>
        <v>ASALARIADO</v>
      </c>
    </row>
    <row r="2113" spans="1:16" x14ac:dyDescent="0.3">
      <c r="A2113">
        <v>2112</v>
      </c>
      <c r="B2113" t="s">
        <v>9</v>
      </c>
      <c r="C2113">
        <v>297102</v>
      </c>
      <c r="D2113" t="s">
        <v>18</v>
      </c>
      <c r="E2113" t="s">
        <v>16</v>
      </c>
      <c r="F2113" t="s">
        <v>12</v>
      </c>
      <c r="G2113" t="s">
        <v>13</v>
      </c>
      <c r="H2113" t="s">
        <v>13</v>
      </c>
      <c r="I2113">
        <v>29</v>
      </c>
      <c r="J2113">
        <f>ABS((I2113-EDA!$A$15)/EDA!$B$15)</f>
        <v>0.91603897814407031</v>
      </c>
      <c r="K2113" t="str">
        <f t="shared" si="32"/>
        <v>No</v>
      </c>
      <c r="L2113">
        <f>ABS((C2113-EDA!$F$15)/EDA!$G$15)</f>
        <v>0.37070998519989251</v>
      </c>
      <c r="M2113" t="str">
        <f>IF(moras[[#This Row],[Z-Score Salario]]&gt;1.96, "Sí", "No")</f>
        <v>No</v>
      </c>
      <c r="N2113" s="14">
        <f>IF(ISBLANK(moras[[#This Row],[SALARIO]]), EDA!$M$8, moras[[#This Row],[SALARIO]])</f>
        <v>297102</v>
      </c>
      <c r="O2113" s="14">
        <f xml:space="preserve"> IF(ISBLANK(moras[[#This Row],[EDAD]]), EDA!$E$8, moras[[#This Row],[EDAD]])</f>
        <v>29</v>
      </c>
      <c r="P2113" s="14" t="str">
        <f>IF(
    OR(ISBLANK(moras[[#This Row],[TIPO_ASEGURAMIENTO]]), moras[[#This Row],[TIPO_ASEGURAMIENTO]]=""),
    EDA!$A$32,
    moras[[#This Row],[TIPO_ASEGURAMIENTO]]
)</f>
        <v>TRABAJADOR INDEPENDIENTE</v>
      </c>
    </row>
    <row r="2114" spans="1:16" x14ac:dyDescent="0.3">
      <c r="A2114">
        <v>2113</v>
      </c>
      <c r="B2114" t="s">
        <v>9</v>
      </c>
      <c r="C2114">
        <v>297139</v>
      </c>
      <c r="D2114" t="s">
        <v>17</v>
      </c>
      <c r="E2114" t="s">
        <v>16</v>
      </c>
      <c r="F2114" t="s">
        <v>12</v>
      </c>
      <c r="G2114" t="s">
        <v>13</v>
      </c>
      <c r="H2114" t="s">
        <v>13</v>
      </c>
      <c r="I2114">
        <v>36</v>
      </c>
      <c r="J2114">
        <f>ABS((I2114-EDA!$A$15)/EDA!$B$15)</f>
        <v>0.42201166760410774</v>
      </c>
      <c r="K2114" t="str">
        <f t="shared" ref="K2114:K2177" si="33">IF(J2114 &gt;  1.96, "Sí","No")</f>
        <v>No</v>
      </c>
      <c r="L2114">
        <f>ABS((C2114-EDA!$F$15)/EDA!$G$15)</f>
        <v>0.37070936949377375</v>
      </c>
      <c r="M2114" t="str">
        <f>IF(moras[[#This Row],[Z-Score Salario]]&gt;1.96, "Sí", "No")</f>
        <v>No</v>
      </c>
      <c r="N2114" s="14">
        <f>IF(ISBLANK(moras[[#This Row],[SALARIO]]), EDA!$M$8, moras[[#This Row],[SALARIO]])</f>
        <v>297139</v>
      </c>
      <c r="O2114" s="14">
        <f xml:space="preserve"> IF(ISBLANK(moras[[#This Row],[EDAD]]), EDA!$E$8, moras[[#This Row],[EDAD]])</f>
        <v>36</v>
      </c>
      <c r="P2114" s="14" t="str">
        <f>IF(
    OR(ISBLANK(moras[[#This Row],[TIPO_ASEGURAMIENTO]]), moras[[#This Row],[TIPO_ASEGURAMIENTO]]=""),
    EDA!$A$32,
    moras[[#This Row],[TIPO_ASEGURAMIENTO]]
)</f>
        <v>ASEGURADO VOLUNTARIO</v>
      </c>
    </row>
    <row r="2115" spans="1:16" x14ac:dyDescent="0.3">
      <c r="A2115">
        <v>2114</v>
      </c>
      <c r="B2115" t="s">
        <v>9</v>
      </c>
      <c r="C2115">
        <v>106901375</v>
      </c>
      <c r="D2115" t="s">
        <v>10</v>
      </c>
      <c r="E2115" t="s">
        <v>16</v>
      </c>
      <c r="F2115" t="s">
        <v>12</v>
      </c>
      <c r="G2115" t="s">
        <v>13</v>
      </c>
      <c r="H2115" t="s">
        <v>13</v>
      </c>
      <c r="I2115">
        <v>27</v>
      </c>
      <c r="J2115">
        <f>ABS((I2115-EDA!$A$15)/EDA!$B$15)</f>
        <v>1.0571896382983452</v>
      </c>
      <c r="K2115" t="str">
        <f t="shared" si="33"/>
        <v>No</v>
      </c>
      <c r="L2115">
        <f>ABS((C2115-EDA!$F$15)/EDA!$G$15)</f>
        <v>1.4032603707766893</v>
      </c>
      <c r="M2115" t="str">
        <f>IF(moras[[#This Row],[Z-Score Salario]]&gt;1.96, "Sí", "No")</f>
        <v>No</v>
      </c>
      <c r="N2115" s="14">
        <f>IF(ISBLANK(moras[[#This Row],[SALARIO]]), EDA!$M$8, moras[[#This Row],[SALARIO]])</f>
        <v>106901375</v>
      </c>
      <c r="O2115" s="14">
        <f xml:space="preserve"> IF(ISBLANK(moras[[#This Row],[EDAD]]), EDA!$E$8, moras[[#This Row],[EDAD]])</f>
        <v>27</v>
      </c>
      <c r="P2115" s="14" t="str">
        <f>IF(
    OR(ISBLANK(moras[[#This Row],[TIPO_ASEGURAMIENTO]]), moras[[#This Row],[TIPO_ASEGURAMIENTO]]=""),
    EDA!$A$32,
    moras[[#This Row],[TIPO_ASEGURAMIENTO]]
)</f>
        <v>ASALARIADO</v>
      </c>
    </row>
    <row r="2116" spans="1:16" x14ac:dyDescent="0.3">
      <c r="A2116">
        <v>2115</v>
      </c>
      <c r="B2116" t="s">
        <v>15</v>
      </c>
      <c r="C2116">
        <v>358405</v>
      </c>
      <c r="D2116" t="s">
        <v>10</v>
      </c>
      <c r="E2116" t="s">
        <v>16</v>
      </c>
      <c r="F2116" t="s">
        <v>12</v>
      </c>
      <c r="G2116" t="s">
        <v>13</v>
      </c>
      <c r="H2116" t="s">
        <v>13</v>
      </c>
      <c r="I2116">
        <v>24</v>
      </c>
      <c r="J2116">
        <f>ABS((I2116-EDA!$A$15)/EDA!$B$15)</f>
        <v>1.2689156285297578</v>
      </c>
      <c r="K2116" t="str">
        <f t="shared" si="33"/>
        <v>No</v>
      </c>
      <c r="L2116">
        <f>ABS((C2116-EDA!$F$15)/EDA!$G$15)</f>
        <v>0.36968986000535708</v>
      </c>
      <c r="M2116" t="str">
        <f>IF(moras[[#This Row],[Z-Score Salario]]&gt;1.96, "Sí", "No")</f>
        <v>No</v>
      </c>
      <c r="N2116" s="14">
        <f>IF(ISBLANK(moras[[#This Row],[SALARIO]]), EDA!$M$8, moras[[#This Row],[SALARIO]])</f>
        <v>358405</v>
      </c>
      <c r="O2116" s="14">
        <f xml:space="preserve"> IF(ISBLANK(moras[[#This Row],[EDAD]]), EDA!$E$8, moras[[#This Row],[EDAD]])</f>
        <v>24</v>
      </c>
      <c r="P2116" s="14" t="str">
        <f>IF(
    OR(ISBLANK(moras[[#This Row],[TIPO_ASEGURAMIENTO]]), moras[[#This Row],[TIPO_ASEGURAMIENTO]]=""),
    EDA!$A$32,
    moras[[#This Row],[TIPO_ASEGURAMIENTO]]
)</f>
        <v>ASALARIADO</v>
      </c>
    </row>
    <row r="2117" spans="1:16" x14ac:dyDescent="0.3">
      <c r="A2117">
        <v>2116</v>
      </c>
      <c r="B2117" t="s">
        <v>9</v>
      </c>
      <c r="C2117">
        <v>1596417</v>
      </c>
      <c r="D2117" t="s">
        <v>10</v>
      </c>
      <c r="E2117" t="s">
        <v>11</v>
      </c>
      <c r="F2117" t="s">
        <v>12</v>
      </c>
      <c r="G2117" t="s">
        <v>13</v>
      </c>
      <c r="H2117" t="s">
        <v>12</v>
      </c>
      <c r="I2117">
        <v>47</v>
      </c>
      <c r="J2117">
        <f>ABS((I2117-EDA!$A$15)/EDA!$B$15)</f>
        <v>0.35431696324440481</v>
      </c>
      <c r="K2117" t="str">
        <f t="shared" si="33"/>
        <v>No</v>
      </c>
      <c r="L2117">
        <f>ABS((C2117-EDA!$F$15)/EDA!$G$15)</f>
        <v>0.34908846639758601</v>
      </c>
      <c r="M2117" t="str">
        <f>IF(moras[[#This Row],[Z-Score Salario]]&gt;1.96, "Sí", "No")</f>
        <v>No</v>
      </c>
      <c r="N2117" s="14">
        <f>IF(ISBLANK(moras[[#This Row],[SALARIO]]), EDA!$M$8, moras[[#This Row],[SALARIO]])</f>
        <v>1596417</v>
      </c>
      <c r="O2117" s="14">
        <f xml:space="preserve"> IF(ISBLANK(moras[[#This Row],[EDAD]]), EDA!$E$8, moras[[#This Row],[EDAD]])</f>
        <v>47</v>
      </c>
      <c r="P2117" s="14" t="str">
        <f>IF(
    OR(ISBLANK(moras[[#This Row],[TIPO_ASEGURAMIENTO]]), moras[[#This Row],[TIPO_ASEGURAMIENTO]]=""),
    EDA!$A$32,
    moras[[#This Row],[TIPO_ASEGURAMIENTO]]
)</f>
        <v>ASALARIADO</v>
      </c>
    </row>
    <row r="2118" spans="1:16" x14ac:dyDescent="0.3">
      <c r="A2118">
        <v>2117</v>
      </c>
      <c r="B2118" t="s">
        <v>9</v>
      </c>
      <c r="C2118">
        <v>303000</v>
      </c>
      <c r="D2118" t="s">
        <v>10</v>
      </c>
      <c r="E2118" t="s">
        <v>16</v>
      </c>
      <c r="F2118" t="s">
        <v>12</v>
      </c>
      <c r="G2118" t="s">
        <v>13</v>
      </c>
      <c r="H2118" t="s">
        <v>13</v>
      </c>
      <c r="I2118">
        <v>24</v>
      </c>
      <c r="J2118">
        <f>ABS((I2118-EDA!$A$15)/EDA!$B$15)</f>
        <v>1.2689156285297578</v>
      </c>
      <c r="K2118" t="str">
        <f t="shared" si="33"/>
        <v>No</v>
      </c>
      <c r="L2118">
        <f>ABS((C2118-EDA!$F$15)/EDA!$G$15)</f>
        <v>0.37061183831642236</v>
      </c>
      <c r="M2118" t="str">
        <f>IF(moras[[#This Row],[Z-Score Salario]]&gt;1.96, "Sí", "No")</f>
        <v>No</v>
      </c>
      <c r="N2118" s="14">
        <f>IF(ISBLANK(moras[[#This Row],[SALARIO]]), EDA!$M$8, moras[[#This Row],[SALARIO]])</f>
        <v>303000</v>
      </c>
      <c r="O2118" s="14">
        <f xml:space="preserve"> IF(ISBLANK(moras[[#This Row],[EDAD]]), EDA!$E$8, moras[[#This Row],[EDAD]])</f>
        <v>24</v>
      </c>
      <c r="P2118" s="14" t="str">
        <f>IF(
    OR(ISBLANK(moras[[#This Row],[TIPO_ASEGURAMIENTO]]), moras[[#This Row],[TIPO_ASEGURAMIENTO]]=""),
    EDA!$A$32,
    moras[[#This Row],[TIPO_ASEGURAMIENTO]]
)</f>
        <v>ASALARIADO</v>
      </c>
    </row>
    <row r="2119" spans="1:16" x14ac:dyDescent="0.3">
      <c r="A2119">
        <v>2118</v>
      </c>
      <c r="B2119" t="s">
        <v>9</v>
      </c>
      <c r="C2119">
        <v>4009449</v>
      </c>
      <c r="D2119" t="s">
        <v>10</v>
      </c>
      <c r="E2119" t="s">
        <v>16</v>
      </c>
      <c r="F2119" t="s">
        <v>12</v>
      </c>
      <c r="G2119" t="s">
        <v>13</v>
      </c>
      <c r="H2119" t="s">
        <v>13</v>
      </c>
      <c r="I2119">
        <v>27</v>
      </c>
      <c r="J2119">
        <f>ABS((I2119-EDA!$A$15)/EDA!$B$15)</f>
        <v>1.0571896382983452</v>
      </c>
      <c r="K2119" t="str">
        <f t="shared" si="33"/>
        <v>No</v>
      </c>
      <c r="L2119">
        <f>ABS((C2119-EDA!$F$15)/EDA!$G$15)</f>
        <v>0.30893391052886504</v>
      </c>
      <c r="M2119" t="str">
        <f>IF(moras[[#This Row],[Z-Score Salario]]&gt;1.96, "Sí", "No")</f>
        <v>No</v>
      </c>
      <c r="N2119" s="14">
        <f>IF(ISBLANK(moras[[#This Row],[SALARIO]]), EDA!$M$8, moras[[#This Row],[SALARIO]])</f>
        <v>4009449</v>
      </c>
      <c r="O2119" s="14">
        <f xml:space="preserve"> IF(ISBLANK(moras[[#This Row],[EDAD]]), EDA!$E$8, moras[[#This Row],[EDAD]])</f>
        <v>27</v>
      </c>
      <c r="P2119" s="14" t="str">
        <f>IF(
    OR(ISBLANK(moras[[#This Row],[TIPO_ASEGURAMIENTO]]), moras[[#This Row],[TIPO_ASEGURAMIENTO]]=""),
    EDA!$A$32,
    moras[[#This Row],[TIPO_ASEGURAMIENTO]]
)</f>
        <v>ASALARIADO</v>
      </c>
    </row>
    <row r="2120" spans="1:16" x14ac:dyDescent="0.3">
      <c r="A2120">
        <v>2119</v>
      </c>
      <c r="B2120" t="s">
        <v>9</v>
      </c>
      <c r="C2120">
        <v>130000</v>
      </c>
      <c r="D2120" t="s">
        <v>10</v>
      </c>
      <c r="E2120" t="s">
        <v>16</v>
      </c>
      <c r="F2120" t="s">
        <v>12</v>
      </c>
      <c r="G2120" t="s">
        <v>13</v>
      </c>
      <c r="H2120" t="s">
        <v>12</v>
      </c>
      <c r="I2120">
        <v>27</v>
      </c>
      <c r="J2120">
        <f>ABS((I2120-EDA!$A$15)/EDA!$B$15)</f>
        <v>1.0571896382983452</v>
      </c>
      <c r="K2120" t="str">
        <f t="shared" si="33"/>
        <v>No</v>
      </c>
      <c r="L2120">
        <f>ABS((C2120-EDA!$F$15)/EDA!$G$15)</f>
        <v>0.37349068043923245</v>
      </c>
      <c r="M2120" t="str">
        <f>IF(moras[[#This Row],[Z-Score Salario]]&gt;1.96, "Sí", "No")</f>
        <v>No</v>
      </c>
      <c r="N2120" s="14">
        <f>IF(ISBLANK(moras[[#This Row],[SALARIO]]), EDA!$M$8, moras[[#This Row],[SALARIO]])</f>
        <v>130000</v>
      </c>
      <c r="O2120" s="14">
        <f xml:space="preserve"> IF(ISBLANK(moras[[#This Row],[EDAD]]), EDA!$E$8, moras[[#This Row],[EDAD]])</f>
        <v>27</v>
      </c>
      <c r="P2120" s="14" t="str">
        <f>IF(
    OR(ISBLANK(moras[[#This Row],[TIPO_ASEGURAMIENTO]]), moras[[#This Row],[TIPO_ASEGURAMIENTO]]=""),
    EDA!$A$32,
    moras[[#This Row],[TIPO_ASEGURAMIENTO]]
)</f>
        <v>ASALARIADO</v>
      </c>
    </row>
    <row r="2121" spans="1:16" x14ac:dyDescent="0.3">
      <c r="A2121">
        <v>2120</v>
      </c>
      <c r="B2121" t="s">
        <v>15</v>
      </c>
      <c r="C2121">
        <v>284392</v>
      </c>
      <c r="D2121" t="s">
        <v>10</v>
      </c>
      <c r="E2121" t="s">
        <v>11</v>
      </c>
      <c r="F2121" t="s">
        <v>12</v>
      </c>
      <c r="G2121" t="s">
        <v>13</v>
      </c>
      <c r="H2121" t="s">
        <v>12</v>
      </c>
      <c r="I2121">
        <v>56</v>
      </c>
      <c r="J2121">
        <f>ABS((I2121-EDA!$A$15)/EDA!$B$15)</f>
        <v>0.9894949339386423</v>
      </c>
      <c r="K2121" t="str">
        <f t="shared" si="33"/>
        <v>No</v>
      </c>
      <c r="L2121">
        <f>ABS((C2121-EDA!$F$15)/EDA!$G$15)</f>
        <v>0.37092148857203655</v>
      </c>
      <c r="M2121" t="str">
        <f>IF(moras[[#This Row],[Z-Score Salario]]&gt;1.96, "Sí", "No")</f>
        <v>No</v>
      </c>
      <c r="N2121" s="14">
        <f>IF(ISBLANK(moras[[#This Row],[SALARIO]]), EDA!$M$8, moras[[#This Row],[SALARIO]])</f>
        <v>284392</v>
      </c>
      <c r="O2121" s="14">
        <f xml:space="preserve"> IF(ISBLANK(moras[[#This Row],[EDAD]]), EDA!$E$8, moras[[#This Row],[EDAD]])</f>
        <v>56</v>
      </c>
      <c r="P2121" s="14" t="str">
        <f>IF(
    OR(ISBLANK(moras[[#This Row],[TIPO_ASEGURAMIENTO]]), moras[[#This Row],[TIPO_ASEGURAMIENTO]]=""),
    EDA!$A$32,
    moras[[#This Row],[TIPO_ASEGURAMIENTO]]
)</f>
        <v>ASALARIADO</v>
      </c>
    </row>
    <row r="2122" spans="1:16" x14ac:dyDescent="0.3">
      <c r="A2122">
        <v>2121</v>
      </c>
      <c r="B2122" t="s">
        <v>9</v>
      </c>
      <c r="C2122">
        <v>68130801</v>
      </c>
      <c r="D2122" t="s">
        <v>10</v>
      </c>
      <c r="E2122" t="s">
        <v>16</v>
      </c>
      <c r="F2122" t="s">
        <v>12</v>
      </c>
      <c r="G2122" t="s">
        <v>13</v>
      </c>
      <c r="H2122" t="s">
        <v>13</v>
      </c>
      <c r="I2122">
        <v>31</v>
      </c>
      <c r="J2122">
        <f>ABS((I2122-EDA!$A$15)/EDA!$B$15)</f>
        <v>0.77488831798979529</v>
      </c>
      <c r="K2122" t="str">
        <f t="shared" si="33"/>
        <v>No</v>
      </c>
      <c r="L2122">
        <f>ABS((C2122-EDA!$F$15)/EDA!$G$15)</f>
        <v>0.75809065079561122</v>
      </c>
      <c r="M2122" t="str">
        <f>IF(moras[[#This Row],[Z-Score Salario]]&gt;1.96, "Sí", "No")</f>
        <v>No</v>
      </c>
      <c r="N2122" s="14">
        <f>IF(ISBLANK(moras[[#This Row],[SALARIO]]), EDA!$M$8, moras[[#This Row],[SALARIO]])</f>
        <v>68130801</v>
      </c>
      <c r="O2122" s="14">
        <f xml:space="preserve"> IF(ISBLANK(moras[[#This Row],[EDAD]]), EDA!$E$8, moras[[#This Row],[EDAD]])</f>
        <v>31</v>
      </c>
      <c r="P2122" s="14" t="str">
        <f>IF(
    OR(ISBLANK(moras[[#This Row],[TIPO_ASEGURAMIENTO]]), moras[[#This Row],[TIPO_ASEGURAMIENTO]]=""),
    EDA!$A$32,
    moras[[#This Row],[TIPO_ASEGURAMIENTO]]
)</f>
        <v>ASALARIADO</v>
      </c>
    </row>
    <row r="2123" spans="1:16" x14ac:dyDescent="0.3">
      <c r="A2123">
        <v>2122</v>
      </c>
      <c r="B2123" t="s">
        <v>15</v>
      </c>
      <c r="C2123">
        <v>1436096</v>
      </c>
      <c r="D2123" t="s">
        <v>14</v>
      </c>
      <c r="E2123" t="s">
        <v>11</v>
      </c>
      <c r="F2123" t="s">
        <v>12</v>
      </c>
      <c r="G2123" t="s">
        <v>13</v>
      </c>
      <c r="H2123" t="s">
        <v>13</v>
      </c>
      <c r="I2123">
        <v>60</v>
      </c>
      <c r="J2123">
        <f>ABS((I2123-EDA!$A$15)/EDA!$B$15)</f>
        <v>1.2717962542471923</v>
      </c>
      <c r="K2123" t="str">
        <f t="shared" si="33"/>
        <v>No</v>
      </c>
      <c r="L2123">
        <f>ABS((C2123-EDA!$F$15)/EDA!$G$15)</f>
        <v>0.35175632101013538</v>
      </c>
      <c r="M2123" t="str">
        <f>IF(moras[[#This Row],[Z-Score Salario]]&gt;1.96, "Sí", "No")</f>
        <v>No</v>
      </c>
      <c r="N2123" s="14">
        <f>IF(ISBLANK(moras[[#This Row],[SALARIO]]), EDA!$M$8, moras[[#This Row],[SALARIO]])</f>
        <v>1436096</v>
      </c>
      <c r="O2123" s="14">
        <f xml:space="preserve"> IF(ISBLANK(moras[[#This Row],[EDAD]]), EDA!$E$8, moras[[#This Row],[EDAD]])</f>
        <v>60</v>
      </c>
      <c r="P2123" s="14" t="str">
        <f>IF(
    OR(ISBLANK(moras[[#This Row],[TIPO_ASEGURAMIENTO]]), moras[[#This Row],[TIPO_ASEGURAMIENTO]]=""),
    EDA!$A$32,
    moras[[#This Row],[TIPO_ASEGURAMIENTO]]
)</f>
        <v>PENSIONADOS EN SU PROPIO SISTEMA</v>
      </c>
    </row>
    <row r="2124" spans="1:16" x14ac:dyDescent="0.3">
      <c r="A2124">
        <v>2123</v>
      </c>
      <c r="B2124" t="s">
        <v>9</v>
      </c>
      <c r="C2124">
        <v>299647</v>
      </c>
      <c r="D2124" t="s">
        <v>18</v>
      </c>
      <c r="E2124" t="s">
        <v>16</v>
      </c>
      <c r="F2124" t="s">
        <v>12</v>
      </c>
      <c r="G2124" t="s">
        <v>13</v>
      </c>
      <c r="H2124" t="s">
        <v>12</v>
      </c>
      <c r="I2124">
        <v>48</v>
      </c>
      <c r="J2124">
        <f>ABS((I2124-EDA!$A$15)/EDA!$B$15)</f>
        <v>0.42489229332154227</v>
      </c>
      <c r="K2124" t="str">
        <f t="shared" si="33"/>
        <v>No</v>
      </c>
      <c r="L2124">
        <f>ABS((C2124-EDA!$F$15)/EDA!$G$15)</f>
        <v>0.37066763460334595</v>
      </c>
      <c r="M2124" t="str">
        <f>IF(moras[[#This Row],[Z-Score Salario]]&gt;1.96, "Sí", "No")</f>
        <v>No</v>
      </c>
      <c r="N2124" s="14">
        <f>IF(ISBLANK(moras[[#This Row],[SALARIO]]), EDA!$M$8, moras[[#This Row],[SALARIO]])</f>
        <v>299647</v>
      </c>
      <c r="O2124" s="14">
        <f xml:space="preserve"> IF(ISBLANK(moras[[#This Row],[EDAD]]), EDA!$E$8, moras[[#This Row],[EDAD]])</f>
        <v>48</v>
      </c>
      <c r="P2124" s="14" t="str">
        <f>IF(
    OR(ISBLANK(moras[[#This Row],[TIPO_ASEGURAMIENTO]]), moras[[#This Row],[TIPO_ASEGURAMIENTO]]=""),
    EDA!$A$32,
    moras[[#This Row],[TIPO_ASEGURAMIENTO]]
)</f>
        <v>TRABAJADOR INDEPENDIENTE</v>
      </c>
    </row>
    <row r="2125" spans="1:16" x14ac:dyDescent="0.3">
      <c r="A2125">
        <v>2124</v>
      </c>
      <c r="B2125" t="s">
        <v>9</v>
      </c>
      <c r="C2125">
        <v>522249</v>
      </c>
      <c r="D2125" t="s">
        <v>18</v>
      </c>
      <c r="E2125" t="s">
        <v>16</v>
      </c>
      <c r="F2125" t="s">
        <v>12</v>
      </c>
      <c r="G2125" t="s">
        <v>13</v>
      </c>
      <c r="H2125" t="s">
        <v>12</v>
      </c>
      <c r="I2125">
        <v>30</v>
      </c>
      <c r="J2125">
        <f>ABS((I2125-EDA!$A$15)/EDA!$B$15)</f>
        <v>0.84546364806693275</v>
      </c>
      <c r="K2125" t="str">
        <f t="shared" si="33"/>
        <v>No</v>
      </c>
      <c r="L2125">
        <f>ABS((C2125-EDA!$F$15)/EDA!$G$15)</f>
        <v>0.36696338018587904</v>
      </c>
      <c r="M2125" t="str">
        <f>IF(moras[[#This Row],[Z-Score Salario]]&gt;1.96, "Sí", "No")</f>
        <v>No</v>
      </c>
      <c r="N2125" s="14">
        <f>IF(ISBLANK(moras[[#This Row],[SALARIO]]), EDA!$M$8, moras[[#This Row],[SALARIO]])</f>
        <v>522249</v>
      </c>
      <c r="O2125" s="14">
        <f xml:space="preserve"> IF(ISBLANK(moras[[#This Row],[EDAD]]), EDA!$E$8, moras[[#This Row],[EDAD]])</f>
        <v>30</v>
      </c>
      <c r="P2125" s="14" t="str">
        <f>IF(
    OR(ISBLANK(moras[[#This Row],[TIPO_ASEGURAMIENTO]]), moras[[#This Row],[TIPO_ASEGURAMIENTO]]=""),
    EDA!$A$32,
    moras[[#This Row],[TIPO_ASEGURAMIENTO]]
)</f>
        <v>TRABAJADOR INDEPENDIENTE</v>
      </c>
    </row>
    <row r="2126" spans="1:16" x14ac:dyDescent="0.3">
      <c r="A2126">
        <v>2125</v>
      </c>
      <c r="B2126" t="s">
        <v>9</v>
      </c>
      <c r="C2126">
        <v>239911794</v>
      </c>
      <c r="D2126" t="s">
        <v>10</v>
      </c>
      <c r="E2126" t="s">
        <v>16</v>
      </c>
      <c r="F2126" t="s">
        <v>12</v>
      </c>
      <c r="G2126" t="s">
        <v>13</v>
      </c>
      <c r="H2126" t="s">
        <v>13</v>
      </c>
      <c r="I2126">
        <v>36</v>
      </c>
      <c r="J2126">
        <f>ABS((I2126-EDA!$A$15)/EDA!$B$15)</f>
        <v>0.42201166760410774</v>
      </c>
      <c r="K2126" t="str">
        <f t="shared" si="33"/>
        <v>No</v>
      </c>
      <c r="L2126">
        <f>ABS((C2126-EDA!$F$15)/EDA!$G$15)</f>
        <v>3.6166476366138132</v>
      </c>
      <c r="M2126" t="str">
        <f>IF(moras[[#This Row],[Z-Score Salario]]&gt;1.96, "Sí", "No")</f>
        <v>Sí</v>
      </c>
      <c r="N2126" s="14">
        <f>IF(ISBLANK(moras[[#This Row],[SALARIO]]), EDA!$M$8, moras[[#This Row],[SALARIO]])</f>
        <v>239911794</v>
      </c>
      <c r="O2126" s="14">
        <f xml:space="preserve"> IF(ISBLANK(moras[[#This Row],[EDAD]]), EDA!$E$8, moras[[#This Row],[EDAD]])</f>
        <v>36</v>
      </c>
      <c r="P2126" s="14" t="str">
        <f>IF(
    OR(ISBLANK(moras[[#This Row],[TIPO_ASEGURAMIENTO]]), moras[[#This Row],[TIPO_ASEGURAMIENTO]]=""),
    EDA!$A$32,
    moras[[#This Row],[TIPO_ASEGURAMIENTO]]
)</f>
        <v>ASALARIADO</v>
      </c>
    </row>
    <row r="2127" spans="1:16" x14ac:dyDescent="0.3">
      <c r="A2127">
        <v>2126</v>
      </c>
      <c r="B2127" t="s">
        <v>9</v>
      </c>
      <c r="C2127">
        <v>143168032</v>
      </c>
      <c r="D2127" t="s">
        <v>10</v>
      </c>
      <c r="E2127" t="s">
        <v>11</v>
      </c>
      <c r="F2127" t="s">
        <v>12</v>
      </c>
      <c r="G2127" t="s">
        <v>13</v>
      </c>
      <c r="H2127" t="s">
        <v>13</v>
      </c>
      <c r="I2127">
        <v>37</v>
      </c>
      <c r="J2127">
        <f>ABS((I2127-EDA!$A$15)/EDA!$B$15)</f>
        <v>0.35143633752697023</v>
      </c>
      <c r="K2127" t="str">
        <f t="shared" si="33"/>
        <v>No</v>
      </c>
      <c r="L2127">
        <f>ABS((C2127-EDA!$F$15)/EDA!$G$15)</f>
        <v>2.0067631443322163</v>
      </c>
      <c r="M2127" t="str">
        <f>IF(moras[[#This Row],[Z-Score Salario]]&gt;1.96, "Sí", "No")</f>
        <v>Sí</v>
      </c>
      <c r="N2127" s="14">
        <f>IF(ISBLANK(moras[[#This Row],[SALARIO]]), EDA!$M$8, moras[[#This Row],[SALARIO]])</f>
        <v>143168032</v>
      </c>
      <c r="O2127" s="14">
        <f xml:space="preserve"> IF(ISBLANK(moras[[#This Row],[EDAD]]), EDA!$E$8, moras[[#This Row],[EDAD]])</f>
        <v>37</v>
      </c>
      <c r="P2127" s="14" t="str">
        <f>IF(
    OR(ISBLANK(moras[[#This Row],[TIPO_ASEGURAMIENTO]]), moras[[#This Row],[TIPO_ASEGURAMIENTO]]=""),
    EDA!$A$32,
    moras[[#This Row],[TIPO_ASEGURAMIENTO]]
)</f>
        <v>ASALARIADO</v>
      </c>
    </row>
    <row r="2128" spans="1:16" x14ac:dyDescent="0.3">
      <c r="A2128">
        <v>2127</v>
      </c>
      <c r="B2128" t="s">
        <v>9</v>
      </c>
      <c r="C2128">
        <v>299647</v>
      </c>
      <c r="D2128" t="s">
        <v>17</v>
      </c>
      <c r="E2128" t="s">
        <v>16</v>
      </c>
      <c r="F2128" t="s">
        <v>12</v>
      </c>
      <c r="G2128" t="s">
        <v>13</v>
      </c>
      <c r="H2128" t="s">
        <v>12</v>
      </c>
      <c r="I2128">
        <v>63</v>
      </c>
      <c r="J2128">
        <f>ABS((I2128-EDA!$A$15)/EDA!$B$15)</f>
        <v>1.4835222444786049</v>
      </c>
      <c r="K2128" t="str">
        <f t="shared" si="33"/>
        <v>No</v>
      </c>
      <c r="L2128">
        <f>ABS((C2128-EDA!$F$15)/EDA!$G$15)</f>
        <v>0.37066763460334595</v>
      </c>
      <c r="M2128" t="str">
        <f>IF(moras[[#This Row],[Z-Score Salario]]&gt;1.96, "Sí", "No")</f>
        <v>No</v>
      </c>
      <c r="N2128" s="14">
        <f>IF(ISBLANK(moras[[#This Row],[SALARIO]]), EDA!$M$8, moras[[#This Row],[SALARIO]])</f>
        <v>299647</v>
      </c>
      <c r="O2128" s="14">
        <f xml:space="preserve"> IF(ISBLANK(moras[[#This Row],[EDAD]]), EDA!$E$8, moras[[#This Row],[EDAD]])</f>
        <v>63</v>
      </c>
      <c r="P2128" s="14" t="str">
        <f>IF(
    OR(ISBLANK(moras[[#This Row],[TIPO_ASEGURAMIENTO]]), moras[[#This Row],[TIPO_ASEGURAMIENTO]]=""),
    EDA!$A$32,
    moras[[#This Row],[TIPO_ASEGURAMIENTO]]
)</f>
        <v>ASEGURADO VOLUNTARIO</v>
      </c>
    </row>
    <row r="2129" spans="1:16" x14ac:dyDescent="0.3">
      <c r="A2129">
        <v>2128</v>
      </c>
      <c r="B2129" t="s">
        <v>9</v>
      </c>
      <c r="C2129">
        <v>297046</v>
      </c>
      <c r="D2129" t="s">
        <v>18</v>
      </c>
      <c r="E2129" t="s">
        <v>16</v>
      </c>
      <c r="F2129" t="s">
        <v>12</v>
      </c>
      <c r="G2129" t="s">
        <v>12</v>
      </c>
      <c r="H2129" t="s">
        <v>12</v>
      </c>
      <c r="I2129">
        <v>25</v>
      </c>
      <c r="J2129">
        <f>ABS((I2129-EDA!$A$15)/EDA!$B$15)</f>
        <v>1.1983402984526204</v>
      </c>
      <c r="K2129" t="str">
        <f t="shared" si="33"/>
        <v>No</v>
      </c>
      <c r="L2129">
        <f>ABS((C2129-EDA!$F$15)/EDA!$G$15)</f>
        <v>0.37071091707942361</v>
      </c>
      <c r="M2129" t="str">
        <f>IF(moras[[#This Row],[Z-Score Salario]]&gt;1.96, "Sí", "No")</f>
        <v>No</v>
      </c>
      <c r="N2129" s="14">
        <f>IF(ISBLANK(moras[[#This Row],[SALARIO]]), EDA!$M$8, moras[[#This Row],[SALARIO]])</f>
        <v>297046</v>
      </c>
      <c r="O2129" s="14">
        <f xml:space="preserve"> IF(ISBLANK(moras[[#This Row],[EDAD]]), EDA!$E$8, moras[[#This Row],[EDAD]])</f>
        <v>25</v>
      </c>
      <c r="P2129" s="14" t="str">
        <f>IF(
    OR(ISBLANK(moras[[#This Row],[TIPO_ASEGURAMIENTO]]), moras[[#This Row],[TIPO_ASEGURAMIENTO]]=""),
    EDA!$A$32,
    moras[[#This Row],[TIPO_ASEGURAMIENTO]]
)</f>
        <v>TRABAJADOR INDEPENDIENTE</v>
      </c>
    </row>
    <row r="2130" spans="1:16" x14ac:dyDescent="0.3">
      <c r="A2130">
        <v>2129</v>
      </c>
      <c r="B2130" t="s">
        <v>9</v>
      </c>
      <c r="C2130">
        <v>347510</v>
      </c>
      <c r="D2130" t="s">
        <v>10</v>
      </c>
      <c r="E2130" t="s">
        <v>16</v>
      </c>
      <c r="F2130" t="s">
        <v>12</v>
      </c>
      <c r="G2130" t="s">
        <v>13</v>
      </c>
      <c r="H2130" t="s">
        <v>13</v>
      </c>
      <c r="I2130">
        <v>37</v>
      </c>
      <c r="J2130">
        <f>ABS((I2130-EDA!$A$15)/EDA!$B$15)</f>
        <v>0.35143633752697023</v>
      </c>
      <c r="K2130" t="str">
        <f t="shared" si="33"/>
        <v>No</v>
      </c>
      <c r="L2130">
        <f>ABS((C2130-EDA!$F$15)/EDA!$G$15)</f>
        <v>0.36987116049627045</v>
      </c>
      <c r="M2130" t="str">
        <f>IF(moras[[#This Row],[Z-Score Salario]]&gt;1.96, "Sí", "No")</f>
        <v>No</v>
      </c>
      <c r="N2130" s="14">
        <f>IF(ISBLANK(moras[[#This Row],[SALARIO]]), EDA!$M$8, moras[[#This Row],[SALARIO]])</f>
        <v>347510</v>
      </c>
      <c r="O2130" s="14">
        <f xml:space="preserve"> IF(ISBLANK(moras[[#This Row],[EDAD]]), EDA!$E$8, moras[[#This Row],[EDAD]])</f>
        <v>37</v>
      </c>
      <c r="P2130" s="14" t="str">
        <f>IF(
    OR(ISBLANK(moras[[#This Row],[TIPO_ASEGURAMIENTO]]), moras[[#This Row],[TIPO_ASEGURAMIENTO]]=""),
    EDA!$A$32,
    moras[[#This Row],[TIPO_ASEGURAMIENTO]]
)</f>
        <v>ASALARIADO</v>
      </c>
    </row>
    <row r="2131" spans="1:16" x14ac:dyDescent="0.3">
      <c r="A2131">
        <v>2130</v>
      </c>
      <c r="B2131" t="s">
        <v>9</v>
      </c>
      <c r="C2131">
        <v>315000</v>
      </c>
      <c r="D2131" t="s">
        <v>10</v>
      </c>
      <c r="E2131" t="s">
        <v>16</v>
      </c>
      <c r="F2131" t="s">
        <v>12</v>
      </c>
      <c r="G2131" t="s">
        <v>13</v>
      </c>
      <c r="H2131" t="s">
        <v>13</v>
      </c>
      <c r="I2131">
        <v>53</v>
      </c>
      <c r="J2131">
        <f>ABS((I2131-EDA!$A$15)/EDA!$B$15)</f>
        <v>0.77776894370722982</v>
      </c>
      <c r="K2131" t="str">
        <f t="shared" si="33"/>
        <v>No</v>
      </c>
      <c r="L2131">
        <f>ABS((C2131-EDA!$F$15)/EDA!$G$15)</f>
        <v>0.37041214984547599</v>
      </c>
      <c r="M2131" t="str">
        <f>IF(moras[[#This Row],[Z-Score Salario]]&gt;1.96, "Sí", "No")</f>
        <v>No</v>
      </c>
      <c r="N2131" s="14">
        <f>IF(ISBLANK(moras[[#This Row],[SALARIO]]), EDA!$M$8, moras[[#This Row],[SALARIO]])</f>
        <v>315000</v>
      </c>
      <c r="O2131" s="14">
        <f xml:space="preserve"> IF(ISBLANK(moras[[#This Row],[EDAD]]), EDA!$E$8, moras[[#This Row],[EDAD]])</f>
        <v>53</v>
      </c>
      <c r="P2131" s="14" t="str">
        <f>IF(
    OR(ISBLANK(moras[[#This Row],[TIPO_ASEGURAMIENTO]]), moras[[#This Row],[TIPO_ASEGURAMIENTO]]=""),
    EDA!$A$32,
    moras[[#This Row],[TIPO_ASEGURAMIENTO]]
)</f>
        <v>ASALARIADO</v>
      </c>
    </row>
    <row r="2132" spans="1:16" x14ac:dyDescent="0.3">
      <c r="A2132">
        <v>2131</v>
      </c>
      <c r="B2132" t="s">
        <v>9</v>
      </c>
      <c r="C2132">
        <v>297046</v>
      </c>
      <c r="D2132" t="s">
        <v>18</v>
      </c>
      <c r="E2132" t="s">
        <v>16</v>
      </c>
      <c r="F2132" t="s">
        <v>12</v>
      </c>
      <c r="G2132" t="s">
        <v>13</v>
      </c>
      <c r="H2132" t="s">
        <v>13</v>
      </c>
      <c r="I2132">
        <v>43</v>
      </c>
      <c r="J2132">
        <f>ABS((I2132-EDA!$A$15)/EDA!$B$15)</f>
        <v>7.2015642935854773E-2</v>
      </c>
      <c r="K2132" t="str">
        <f t="shared" si="33"/>
        <v>No</v>
      </c>
      <c r="L2132">
        <f>ABS((C2132-EDA!$F$15)/EDA!$G$15)</f>
        <v>0.37071091707942361</v>
      </c>
      <c r="M2132" t="str">
        <f>IF(moras[[#This Row],[Z-Score Salario]]&gt;1.96, "Sí", "No")</f>
        <v>No</v>
      </c>
      <c r="N2132" s="14">
        <f>IF(ISBLANK(moras[[#This Row],[SALARIO]]), EDA!$M$8, moras[[#This Row],[SALARIO]])</f>
        <v>297046</v>
      </c>
      <c r="O2132" s="14">
        <f xml:space="preserve"> IF(ISBLANK(moras[[#This Row],[EDAD]]), EDA!$E$8, moras[[#This Row],[EDAD]])</f>
        <v>43</v>
      </c>
      <c r="P2132" s="14" t="str">
        <f>IF(
    OR(ISBLANK(moras[[#This Row],[TIPO_ASEGURAMIENTO]]), moras[[#This Row],[TIPO_ASEGURAMIENTO]]=""),
    EDA!$A$32,
    moras[[#This Row],[TIPO_ASEGURAMIENTO]]
)</f>
        <v>TRABAJADOR INDEPENDIENTE</v>
      </c>
    </row>
    <row r="2133" spans="1:16" x14ac:dyDescent="0.3">
      <c r="A2133">
        <v>2132</v>
      </c>
      <c r="B2133" t="s">
        <v>9</v>
      </c>
      <c r="C2133">
        <v>278030</v>
      </c>
      <c r="D2133" t="s">
        <v>19</v>
      </c>
      <c r="E2133" t="s">
        <v>16</v>
      </c>
      <c r="F2133" t="s">
        <v>12</v>
      </c>
      <c r="G2133" t="s">
        <v>12</v>
      </c>
      <c r="H2133" t="s">
        <v>13</v>
      </c>
      <c r="I2133">
        <v>54</v>
      </c>
      <c r="J2133">
        <f>ABS((I2133-EDA!$A$15)/EDA!$B$15)</f>
        <v>0.84834427378436728</v>
      </c>
      <c r="K2133" t="str">
        <f t="shared" si="33"/>
        <v>No</v>
      </c>
      <c r="L2133">
        <f>ABS((C2133-EDA!$F$15)/EDA!$G$15)</f>
        <v>0.37102735674304993</v>
      </c>
      <c r="M2133" t="str">
        <f>IF(moras[[#This Row],[Z-Score Salario]]&gt;1.96, "Sí", "No")</f>
        <v>No</v>
      </c>
      <c r="N2133" s="14">
        <f>IF(ISBLANK(moras[[#This Row],[SALARIO]]), EDA!$M$8, moras[[#This Row],[SALARIO]])</f>
        <v>278030</v>
      </c>
      <c r="O2133" s="14">
        <f xml:space="preserve"> IF(ISBLANK(moras[[#This Row],[EDAD]]), EDA!$E$8, moras[[#This Row],[EDAD]])</f>
        <v>54</v>
      </c>
      <c r="P2133" s="14" t="str">
        <f>IF(
    OR(ISBLANK(moras[[#This Row],[TIPO_ASEGURAMIENTO]]), moras[[#This Row],[TIPO_ASEGURAMIENTO]]=""),
    EDA!$A$32,
    moras[[#This Row],[TIPO_ASEGURAMIENTO]]
)</f>
        <v>CONVENIOS ESPECIALES DE TRABAJADORES INDEPENDIENTES</v>
      </c>
    </row>
    <row r="2134" spans="1:16" x14ac:dyDescent="0.3">
      <c r="A2134">
        <v>2133</v>
      </c>
      <c r="B2134" t="s">
        <v>15</v>
      </c>
      <c r="C2134">
        <v>445821</v>
      </c>
      <c r="D2134" t="s">
        <v>18</v>
      </c>
      <c r="E2134" t="s">
        <v>16</v>
      </c>
      <c r="F2134" t="s">
        <v>12</v>
      </c>
      <c r="G2134" t="s">
        <v>13</v>
      </c>
      <c r="H2134" t="s">
        <v>13</v>
      </c>
      <c r="I2134">
        <v>39</v>
      </c>
      <c r="J2134">
        <f>ABS((I2134-EDA!$A$15)/EDA!$B$15)</f>
        <v>0.21028567737269524</v>
      </c>
      <c r="K2134" t="str">
        <f t="shared" si="33"/>
        <v>No</v>
      </c>
      <c r="L2134">
        <f>ABS((C2134-EDA!$F$15)/EDA!$G$15)</f>
        <v>0.36823519605733646</v>
      </c>
      <c r="M2134" t="str">
        <f>IF(moras[[#This Row],[Z-Score Salario]]&gt;1.96, "Sí", "No")</f>
        <v>No</v>
      </c>
      <c r="N2134" s="14">
        <f>IF(ISBLANK(moras[[#This Row],[SALARIO]]), EDA!$M$8, moras[[#This Row],[SALARIO]])</f>
        <v>445821</v>
      </c>
      <c r="O2134" s="14">
        <f xml:space="preserve"> IF(ISBLANK(moras[[#This Row],[EDAD]]), EDA!$E$8, moras[[#This Row],[EDAD]])</f>
        <v>39</v>
      </c>
      <c r="P2134" s="14" t="str">
        <f>IF(
    OR(ISBLANK(moras[[#This Row],[TIPO_ASEGURAMIENTO]]), moras[[#This Row],[TIPO_ASEGURAMIENTO]]=""),
    EDA!$A$32,
    moras[[#This Row],[TIPO_ASEGURAMIENTO]]
)</f>
        <v>TRABAJADOR INDEPENDIENTE</v>
      </c>
    </row>
    <row r="2135" spans="1:16" x14ac:dyDescent="0.3">
      <c r="A2135">
        <v>2134</v>
      </c>
      <c r="B2135" t="s">
        <v>9</v>
      </c>
      <c r="C2135">
        <v>3067233</v>
      </c>
      <c r="D2135" t="s">
        <v>18</v>
      </c>
      <c r="E2135" t="s">
        <v>16</v>
      </c>
      <c r="F2135" t="s">
        <v>12</v>
      </c>
      <c r="G2135" t="s">
        <v>12</v>
      </c>
      <c r="H2135" t="s">
        <v>12</v>
      </c>
      <c r="I2135">
        <v>45</v>
      </c>
      <c r="J2135">
        <f>ABS((I2135-EDA!$A$15)/EDA!$B$15)</f>
        <v>0.21316630309012977</v>
      </c>
      <c r="K2135" t="str">
        <f t="shared" si="33"/>
        <v>No</v>
      </c>
      <c r="L2135">
        <f>ABS((C2135-EDA!$F$15)/EDA!$G$15)</f>
        <v>0.32461304989063183</v>
      </c>
      <c r="M2135" t="str">
        <f>IF(moras[[#This Row],[Z-Score Salario]]&gt;1.96, "Sí", "No")</f>
        <v>No</v>
      </c>
      <c r="N2135" s="14">
        <f>IF(ISBLANK(moras[[#This Row],[SALARIO]]), EDA!$M$8, moras[[#This Row],[SALARIO]])</f>
        <v>3067233</v>
      </c>
      <c r="O2135" s="14">
        <f xml:space="preserve"> IF(ISBLANK(moras[[#This Row],[EDAD]]), EDA!$E$8, moras[[#This Row],[EDAD]])</f>
        <v>45</v>
      </c>
      <c r="P2135" s="14" t="str">
        <f>IF(
    OR(ISBLANK(moras[[#This Row],[TIPO_ASEGURAMIENTO]]), moras[[#This Row],[TIPO_ASEGURAMIENTO]]=""),
    EDA!$A$32,
    moras[[#This Row],[TIPO_ASEGURAMIENTO]]
)</f>
        <v>TRABAJADOR INDEPENDIENTE</v>
      </c>
    </row>
    <row r="2136" spans="1:16" x14ac:dyDescent="0.3">
      <c r="A2136">
        <v>2135</v>
      </c>
      <c r="B2136" t="s">
        <v>15</v>
      </c>
      <c r="C2136">
        <v>44543132</v>
      </c>
      <c r="D2136" t="s">
        <v>10</v>
      </c>
      <c r="E2136" t="s">
        <v>16</v>
      </c>
      <c r="F2136" t="s">
        <v>12</v>
      </c>
      <c r="G2136" t="s">
        <v>13</v>
      </c>
      <c r="H2136" t="s">
        <v>13</v>
      </c>
      <c r="I2136">
        <v>25</v>
      </c>
      <c r="J2136">
        <f>ABS((I2136-EDA!$A$15)/EDA!$B$15)</f>
        <v>1.1983402984526204</v>
      </c>
      <c r="K2136" t="str">
        <f t="shared" si="33"/>
        <v>No</v>
      </c>
      <c r="L2136">
        <f>ABS((C2136-EDA!$F$15)/EDA!$G$15)</f>
        <v>0.36557518781236115</v>
      </c>
      <c r="M2136" t="str">
        <f>IF(moras[[#This Row],[Z-Score Salario]]&gt;1.96, "Sí", "No")</f>
        <v>No</v>
      </c>
      <c r="N2136" s="14">
        <f>IF(ISBLANK(moras[[#This Row],[SALARIO]]), EDA!$M$8, moras[[#This Row],[SALARIO]])</f>
        <v>44543132</v>
      </c>
      <c r="O2136" s="14">
        <f xml:space="preserve"> IF(ISBLANK(moras[[#This Row],[EDAD]]), EDA!$E$8, moras[[#This Row],[EDAD]])</f>
        <v>25</v>
      </c>
      <c r="P2136" s="14" t="str">
        <f>IF(
    OR(ISBLANK(moras[[#This Row],[TIPO_ASEGURAMIENTO]]), moras[[#This Row],[TIPO_ASEGURAMIENTO]]=""),
    EDA!$A$32,
    moras[[#This Row],[TIPO_ASEGURAMIENTO]]
)</f>
        <v>ASALARIADO</v>
      </c>
    </row>
    <row r="2137" spans="1:16" x14ac:dyDescent="0.3">
      <c r="A2137">
        <v>2136</v>
      </c>
      <c r="B2137" t="s">
        <v>9</v>
      </c>
      <c r="C2137">
        <v>146078678</v>
      </c>
      <c r="D2137" t="s">
        <v>10</v>
      </c>
      <c r="E2137" t="s">
        <v>16</v>
      </c>
      <c r="F2137" t="s">
        <v>12</v>
      </c>
      <c r="G2137" t="s">
        <v>13</v>
      </c>
      <c r="H2137" t="s">
        <v>13</v>
      </c>
      <c r="I2137">
        <v>32</v>
      </c>
      <c r="J2137">
        <f>ABS((I2137-EDA!$A$15)/EDA!$B$15)</f>
        <v>0.70431298791265773</v>
      </c>
      <c r="K2137" t="str">
        <f t="shared" si="33"/>
        <v>No</v>
      </c>
      <c r="L2137">
        <f>ABS((C2137-EDA!$F$15)/EDA!$G$15)</f>
        <v>2.0551983484327296</v>
      </c>
      <c r="M2137" t="str">
        <f>IF(moras[[#This Row],[Z-Score Salario]]&gt;1.96, "Sí", "No")</f>
        <v>Sí</v>
      </c>
      <c r="N2137" s="14">
        <f>IF(ISBLANK(moras[[#This Row],[SALARIO]]), EDA!$M$8, moras[[#This Row],[SALARIO]])</f>
        <v>146078678</v>
      </c>
      <c r="O2137" s="14">
        <f xml:space="preserve"> IF(ISBLANK(moras[[#This Row],[EDAD]]), EDA!$E$8, moras[[#This Row],[EDAD]])</f>
        <v>32</v>
      </c>
      <c r="P2137" s="14" t="str">
        <f>IF(
    OR(ISBLANK(moras[[#This Row],[TIPO_ASEGURAMIENTO]]), moras[[#This Row],[TIPO_ASEGURAMIENTO]]=""),
    EDA!$A$32,
    moras[[#This Row],[TIPO_ASEGURAMIENTO]]
)</f>
        <v>ASALARIADO</v>
      </c>
    </row>
    <row r="2138" spans="1:16" x14ac:dyDescent="0.3">
      <c r="A2138">
        <v>2137</v>
      </c>
      <c r="B2138" t="s">
        <v>9</v>
      </c>
      <c r="C2138">
        <v>10652</v>
      </c>
      <c r="D2138" t="s">
        <v>10</v>
      </c>
      <c r="E2138" t="s">
        <v>16</v>
      </c>
      <c r="F2138" t="s">
        <v>12</v>
      </c>
      <c r="G2138" t="s">
        <v>12</v>
      </c>
      <c r="H2138" t="s">
        <v>13</v>
      </c>
      <c r="I2138">
        <v>24</v>
      </c>
      <c r="J2138">
        <f>ABS((I2138-EDA!$A$15)/EDA!$B$15)</f>
        <v>1.2689156285297578</v>
      </c>
      <c r="K2138" t="str">
        <f t="shared" si="33"/>
        <v>No</v>
      </c>
      <c r="L2138">
        <f>ABS((C2138-EDA!$F$15)/EDA!$G$15)</f>
        <v>0.37547671540844141</v>
      </c>
      <c r="M2138" t="str">
        <f>IF(moras[[#This Row],[Z-Score Salario]]&gt;1.96, "Sí", "No")</f>
        <v>No</v>
      </c>
      <c r="N2138" s="14">
        <f>IF(ISBLANK(moras[[#This Row],[SALARIO]]), EDA!$M$8, moras[[#This Row],[SALARIO]])</f>
        <v>10652</v>
      </c>
      <c r="O2138" s="14">
        <f xml:space="preserve"> IF(ISBLANK(moras[[#This Row],[EDAD]]), EDA!$E$8, moras[[#This Row],[EDAD]])</f>
        <v>24</v>
      </c>
      <c r="P2138" s="14" t="str">
        <f>IF(
    OR(ISBLANK(moras[[#This Row],[TIPO_ASEGURAMIENTO]]), moras[[#This Row],[TIPO_ASEGURAMIENTO]]=""),
    EDA!$A$32,
    moras[[#This Row],[TIPO_ASEGURAMIENTO]]
)</f>
        <v>ASALARIADO</v>
      </c>
    </row>
    <row r="2139" spans="1:16" x14ac:dyDescent="0.3">
      <c r="A2139">
        <v>2138</v>
      </c>
      <c r="B2139" t="s">
        <v>15</v>
      </c>
      <c r="C2139">
        <v>278030</v>
      </c>
      <c r="D2139" t="s">
        <v>17</v>
      </c>
      <c r="E2139" t="s">
        <v>16</v>
      </c>
      <c r="F2139" t="s">
        <v>12</v>
      </c>
      <c r="G2139" t="s">
        <v>13</v>
      </c>
      <c r="H2139" t="s">
        <v>12</v>
      </c>
      <c r="I2139">
        <v>27</v>
      </c>
      <c r="J2139">
        <f>ABS((I2139-EDA!$A$15)/EDA!$B$15)</f>
        <v>1.0571896382983452</v>
      </c>
      <c r="K2139" t="str">
        <f t="shared" si="33"/>
        <v>No</v>
      </c>
      <c r="L2139">
        <f>ABS((C2139-EDA!$F$15)/EDA!$G$15)</f>
        <v>0.37102735674304993</v>
      </c>
      <c r="M2139" t="str">
        <f>IF(moras[[#This Row],[Z-Score Salario]]&gt;1.96, "Sí", "No")</f>
        <v>No</v>
      </c>
      <c r="N2139" s="14">
        <f>IF(ISBLANK(moras[[#This Row],[SALARIO]]), EDA!$M$8, moras[[#This Row],[SALARIO]])</f>
        <v>278030</v>
      </c>
      <c r="O2139" s="14">
        <f xml:space="preserve"> IF(ISBLANK(moras[[#This Row],[EDAD]]), EDA!$E$8, moras[[#This Row],[EDAD]])</f>
        <v>27</v>
      </c>
      <c r="P2139" s="14" t="str">
        <f>IF(
    OR(ISBLANK(moras[[#This Row],[TIPO_ASEGURAMIENTO]]), moras[[#This Row],[TIPO_ASEGURAMIENTO]]=""),
    EDA!$A$32,
    moras[[#This Row],[TIPO_ASEGURAMIENTO]]
)</f>
        <v>ASEGURADO VOLUNTARIO</v>
      </c>
    </row>
    <row r="2140" spans="1:16" x14ac:dyDescent="0.3">
      <c r="A2140">
        <v>2139</v>
      </c>
      <c r="B2140" t="s">
        <v>15</v>
      </c>
      <c r="C2140">
        <v>1160116</v>
      </c>
      <c r="D2140" t="s">
        <v>14</v>
      </c>
      <c r="E2140" t="s">
        <v>11</v>
      </c>
      <c r="F2140" t="s">
        <v>12</v>
      </c>
      <c r="G2140" t="s">
        <v>13</v>
      </c>
      <c r="H2140" t="s">
        <v>13</v>
      </c>
      <c r="I2140">
        <v>66</v>
      </c>
      <c r="J2140">
        <f>ABS((I2140-EDA!$A$15)/EDA!$B$15)</f>
        <v>1.6952482347100173</v>
      </c>
      <c r="K2140" t="str">
        <f t="shared" si="33"/>
        <v>No</v>
      </c>
      <c r="L2140">
        <f>ABS((C2140-EDA!$F$15)/EDA!$G$15)</f>
        <v>0.35634882302778359</v>
      </c>
      <c r="M2140" t="str">
        <f>IF(moras[[#This Row],[Z-Score Salario]]&gt;1.96, "Sí", "No")</f>
        <v>No</v>
      </c>
      <c r="N2140" s="14">
        <f>IF(ISBLANK(moras[[#This Row],[SALARIO]]), EDA!$M$8, moras[[#This Row],[SALARIO]])</f>
        <v>1160116</v>
      </c>
      <c r="O2140" s="14">
        <f xml:space="preserve"> IF(ISBLANK(moras[[#This Row],[EDAD]]), EDA!$E$8, moras[[#This Row],[EDAD]])</f>
        <v>66</v>
      </c>
      <c r="P2140" s="14" t="str">
        <f>IF(
    OR(ISBLANK(moras[[#This Row],[TIPO_ASEGURAMIENTO]]), moras[[#This Row],[TIPO_ASEGURAMIENTO]]=""),
    EDA!$A$32,
    moras[[#This Row],[TIPO_ASEGURAMIENTO]]
)</f>
        <v>PENSIONADOS EN SU PROPIO SISTEMA</v>
      </c>
    </row>
    <row r="2141" spans="1:16" x14ac:dyDescent="0.3">
      <c r="A2141">
        <v>2140</v>
      </c>
      <c r="B2141" t="s">
        <v>9</v>
      </c>
      <c r="C2141">
        <v>342028</v>
      </c>
      <c r="D2141" t="s">
        <v>10</v>
      </c>
      <c r="E2141" t="s">
        <v>16</v>
      </c>
      <c r="F2141" t="s">
        <v>12</v>
      </c>
      <c r="G2141" t="s">
        <v>13</v>
      </c>
      <c r="H2141" t="s">
        <v>13</v>
      </c>
      <c r="I2141">
        <v>58</v>
      </c>
      <c r="J2141">
        <f>ABS((I2141-EDA!$A$15)/EDA!$B$15)</f>
        <v>1.1306455940929174</v>
      </c>
      <c r="K2141" t="str">
        <f t="shared" si="33"/>
        <v>No</v>
      </c>
      <c r="L2141">
        <f>ABS((C2141-EDA!$F$15)/EDA!$G$15)</f>
        <v>0.36996238484608113</v>
      </c>
      <c r="M2141" t="str">
        <f>IF(moras[[#This Row],[Z-Score Salario]]&gt;1.96, "Sí", "No")</f>
        <v>No</v>
      </c>
      <c r="N2141" s="14">
        <f>IF(ISBLANK(moras[[#This Row],[SALARIO]]), EDA!$M$8, moras[[#This Row],[SALARIO]])</f>
        <v>342028</v>
      </c>
      <c r="O2141" s="14">
        <f xml:space="preserve"> IF(ISBLANK(moras[[#This Row],[EDAD]]), EDA!$E$8, moras[[#This Row],[EDAD]])</f>
        <v>58</v>
      </c>
      <c r="P2141" s="14" t="str">
        <f>IF(
    OR(ISBLANK(moras[[#This Row],[TIPO_ASEGURAMIENTO]]), moras[[#This Row],[TIPO_ASEGURAMIENTO]]=""),
    EDA!$A$32,
    moras[[#This Row],[TIPO_ASEGURAMIENTO]]
)</f>
        <v>ASALARIADO</v>
      </c>
    </row>
    <row r="2142" spans="1:16" x14ac:dyDescent="0.3">
      <c r="A2142">
        <v>2141</v>
      </c>
      <c r="B2142" t="s">
        <v>9</v>
      </c>
      <c r="C2142">
        <v>239390</v>
      </c>
      <c r="D2142" t="s">
        <v>10</v>
      </c>
      <c r="E2142" t="s">
        <v>16</v>
      </c>
      <c r="F2142" t="s">
        <v>12</v>
      </c>
      <c r="G2142" t="s">
        <v>13</v>
      </c>
      <c r="H2142" t="s">
        <v>13</v>
      </c>
      <c r="I2142">
        <v>46</v>
      </c>
      <c r="J2142">
        <f>ABS((I2142-EDA!$A$15)/EDA!$B$15)</f>
        <v>0.2837416331672673</v>
      </c>
      <c r="K2142" t="str">
        <f t="shared" si="33"/>
        <v>No</v>
      </c>
      <c r="L2142">
        <f>ABS((C2142-EDA!$F$15)/EDA!$G$15)</f>
        <v>0.37167035361949724</v>
      </c>
      <c r="M2142" t="str">
        <f>IF(moras[[#This Row],[Z-Score Salario]]&gt;1.96, "Sí", "No")</f>
        <v>No</v>
      </c>
      <c r="N2142" s="14">
        <f>IF(ISBLANK(moras[[#This Row],[SALARIO]]), EDA!$M$8, moras[[#This Row],[SALARIO]])</f>
        <v>239390</v>
      </c>
      <c r="O2142" s="14">
        <f xml:space="preserve"> IF(ISBLANK(moras[[#This Row],[EDAD]]), EDA!$E$8, moras[[#This Row],[EDAD]])</f>
        <v>46</v>
      </c>
      <c r="P2142" s="14" t="str">
        <f>IF(
    OR(ISBLANK(moras[[#This Row],[TIPO_ASEGURAMIENTO]]), moras[[#This Row],[TIPO_ASEGURAMIENTO]]=""),
    EDA!$A$32,
    moras[[#This Row],[TIPO_ASEGURAMIENTO]]
)</f>
        <v>ASALARIADO</v>
      </c>
    </row>
    <row r="2143" spans="1:16" x14ac:dyDescent="0.3">
      <c r="A2143">
        <v>2142</v>
      </c>
      <c r="B2143" t="s">
        <v>9</v>
      </c>
      <c r="C2143">
        <v>1347519</v>
      </c>
      <c r="D2143" t="s">
        <v>10</v>
      </c>
      <c r="E2143" t="s">
        <v>11</v>
      </c>
      <c r="F2143" t="s">
        <v>12</v>
      </c>
      <c r="G2143" t="s">
        <v>13</v>
      </c>
      <c r="H2143" t="s">
        <v>13</v>
      </c>
      <c r="I2143">
        <v>57</v>
      </c>
      <c r="J2143">
        <f>ABS((I2143-EDA!$A$15)/EDA!$B$15)</f>
        <v>1.0600702640157798</v>
      </c>
      <c r="K2143" t="str">
        <f t="shared" si="33"/>
        <v>No</v>
      </c>
      <c r="L2143">
        <f>ABS((C2143-EDA!$F$15)/EDA!$G$15)</f>
        <v>0.35323030481772005</v>
      </c>
      <c r="M2143" t="str">
        <f>IF(moras[[#This Row],[Z-Score Salario]]&gt;1.96, "Sí", "No")</f>
        <v>No</v>
      </c>
      <c r="N2143" s="14">
        <f>IF(ISBLANK(moras[[#This Row],[SALARIO]]), EDA!$M$8, moras[[#This Row],[SALARIO]])</f>
        <v>1347519</v>
      </c>
      <c r="O2143" s="14">
        <f xml:space="preserve"> IF(ISBLANK(moras[[#This Row],[EDAD]]), EDA!$E$8, moras[[#This Row],[EDAD]])</f>
        <v>57</v>
      </c>
      <c r="P2143" s="14" t="str">
        <f>IF(
    OR(ISBLANK(moras[[#This Row],[TIPO_ASEGURAMIENTO]]), moras[[#This Row],[TIPO_ASEGURAMIENTO]]=""),
    EDA!$A$32,
    moras[[#This Row],[TIPO_ASEGURAMIENTO]]
)</f>
        <v>ASALARIADO</v>
      </c>
    </row>
    <row r="2144" spans="1:16" x14ac:dyDescent="0.3">
      <c r="A2144">
        <v>2143</v>
      </c>
      <c r="B2144" t="s">
        <v>9</v>
      </c>
      <c r="C2144">
        <v>350000</v>
      </c>
      <c r="D2144" t="s">
        <v>10</v>
      </c>
      <c r="E2144" t="s">
        <v>16</v>
      </c>
      <c r="F2144" t="s">
        <v>12</v>
      </c>
      <c r="G2144" t="s">
        <v>13</v>
      </c>
      <c r="H2144" t="s">
        <v>13</v>
      </c>
      <c r="I2144">
        <v>37</v>
      </c>
      <c r="J2144">
        <f>ABS((I2144-EDA!$A$15)/EDA!$B$15)</f>
        <v>0.35143633752697023</v>
      </c>
      <c r="K2144" t="str">
        <f t="shared" si="33"/>
        <v>No</v>
      </c>
      <c r="L2144">
        <f>ABS((C2144-EDA!$F$15)/EDA!$G$15)</f>
        <v>0.36982972513854911</v>
      </c>
      <c r="M2144" t="str">
        <f>IF(moras[[#This Row],[Z-Score Salario]]&gt;1.96, "Sí", "No")</f>
        <v>No</v>
      </c>
      <c r="N2144" s="14">
        <f>IF(ISBLANK(moras[[#This Row],[SALARIO]]), EDA!$M$8, moras[[#This Row],[SALARIO]])</f>
        <v>350000</v>
      </c>
      <c r="O2144" s="14">
        <f xml:space="preserve"> IF(ISBLANK(moras[[#This Row],[EDAD]]), EDA!$E$8, moras[[#This Row],[EDAD]])</f>
        <v>37</v>
      </c>
      <c r="P2144" s="14" t="str">
        <f>IF(
    OR(ISBLANK(moras[[#This Row],[TIPO_ASEGURAMIENTO]]), moras[[#This Row],[TIPO_ASEGURAMIENTO]]=""),
    EDA!$A$32,
    moras[[#This Row],[TIPO_ASEGURAMIENTO]]
)</f>
        <v>ASALARIADO</v>
      </c>
    </row>
    <row r="2145" spans="1:16" x14ac:dyDescent="0.3">
      <c r="A2145">
        <v>2144</v>
      </c>
      <c r="B2145" t="s">
        <v>15</v>
      </c>
      <c r="C2145">
        <v>295000</v>
      </c>
      <c r="D2145" t="s">
        <v>10</v>
      </c>
      <c r="E2145" t="s">
        <v>16</v>
      </c>
      <c r="F2145" t="s">
        <v>12</v>
      </c>
      <c r="G2145" t="s">
        <v>13</v>
      </c>
      <c r="H2145" t="s">
        <v>12</v>
      </c>
      <c r="I2145">
        <v>19</v>
      </c>
      <c r="J2145">
        <f>ABS((I2145-EDA!$A$15)/EDA!$B$15)</f>
        <v>1.6217922789154453</v>
      </c>
      <c r="K2145" t="str">
        <f t="shared" si="33"/>
        <v>No</v>
      </c>
      <c r="L2145">
        <f>ABS((C2145-EDA!$F$15)/EDA!$G$15)</f>
        <v>0.37074496396371992</v>
      </c>
      <c r="M2145" t="str">
        <f>IF(moras[[#This Row],[Z-Score Salario]]&gt;1.96, "Sí", "No")</f>
        <v>No</v>
      </c>
      <c r="N2145" s="14">
        <f>IF(ISBLANK(moras[[#This Row],[SALARIO]]), EDA!$M$8, moras[[#This Row],[SALARIO]])</f>
        <v>295000</v>
      </c>
      <c r="O2145" s="14">
        <f xml:space="preserve"> IF(ISBLANK(moras[[#This Row],[EDAD]]), EDA!$E$8, moras[[#This Row],[EDAD]])</f>
        <v>19</v>
      </c>
      <c r="P2145" s="14" t="str">
        <f>IF(
    OR(ISBLANK(moras[[#This Row],[TIPO_ASEGURAMIENTO]]), moras[[#This Row],[TIPO_ASEGURAMIENTO]]=""),
    EDA!$A$32,
    moras[[#This Row],[TIPO_ASEGURAMIENTO]]
)</f>
        <v>ASALARIADO</v>
      </c>
    </row>
    <row r="2146" spans="1:16" x14ac:dyDescent="0.3">
      <c r="A2146">
        <v>2145</v>
      </c>
      <c r="B2146" t="s">
        <v>9</v>
      </c>
      <c r="C2146">
        <v>302470</v>
      </c>
      <c r="D2146" t="s">
        <v>18</v>
      </c>
      <c r="E2146" t="s">
        <v>16</v>
      </c>
      <c r="F2146" t="s">
        <v>12</v>
      </c>
      <c r="G2146" t="s">
        <v>13</v>
      </c>
      <c r="H2146" t="s">
        <v>13</v>
      </c>
      <c r="I2146">
        <v>48</v>
      </c>
      <c r="J2146">
        <f>ABS((I2146-EDA!$A$15)/EDA!$B$15)</f>
        <v>0.42489229332154227</v>
      </c>
      <c r="K2146" t="str">
        <f t="shared" si="33"/>
        <v>No</v>
      </c>
      <c r="L2146">
        <f>ABS((C2146-EDA!$F$15)/EDA!$G$15)</f>
        <v>0.37062065789055582</v>
      </c>
      <c r="M2146" t="str">
        <f>IF(moras[[#This Row],[Z-Score Salario]]&gt;1.96, "Sí", "No")</f>
        <v>No</v>
      </c>
      <c r="N2146" s="14">
        <f>IF(ISBLANK(moras[[#This Row],[SALARIO]]), EDA!$M$8, moras[[#This Row],[SALARIO]])</f>
        <v>302470</v>
      </c>
      <c r="O2146" s="14">
        <f xml:space="preserve"> IF(ISBLANK(moras[[#This Row],[EDAD]]), EDA!$E$8, moras[[#This Row],[EDAD]])</f>
        <v>48</v>
      </c>
      <c r="P2146" s="14" t="str">
        <f>IF(
    OR(ISBLANK(moras[[#This Row],[TIPO_ASEGURAMIENTO]]), moras[[#This Row],[TIPO_ASEGURAMIENTO]]=""),
    EDA!$A$32,
    moras[[#This Row],[TIPO_ASEGURAMIENTO]]
)</f>
        <v>TRABAJADOR INDEPENDIENTE</v>
      </c>
    </row>
    <row r="2147" spans="1:16" x14ac:dyDescent="0.3">
      <c r="A2147">
        <v>2146</v>
      </c>
      <c r="B2147" t="s">
        <v>15</v>
      </c>
      <c r="C2147">
        <v>261328145</v>
      </c>
      <c r="D2147" t="s">
        <v>10</v>
      </c>
      <c r="E2147" t="s">
        <v>11</v>
      </c>
      <c r="F2147" t="s">
        <v>12</v>
      </c>
      <c r="G2147" t="s">
        <v>13</v>
      </c>
      <c r="H2147" t="s">
        <v>13</v>
      </c>
      <c r="I2147">
        <v>47</v>
      </c>
      <c r="J2147">
        <f>ABS((I2147-EDA!$A$15)/EDA!$B$15)</f>
        <v>0.35431696324440481</v>
      </c>
      <c r="K2147" t="str">
        <f t="shared" si="33"/>
        <v>No</v>
      </c>
      <c r="L2147">
        <f>ABS((C2147-EDA!$F$15)/EDA!$G$15)</f>
        <v>3.973030835317203</v>
      </c>
      <c r="M2147" t="str">
        <f>IF(moras[[#This Row],[Z-Score Salario]]&gt;1.96, "Sí", "No")</f>
        <v>Sí</v>
      </c>
      <c r="N2147" s="14">
        <f>IF(ISBLANK(moras[[#This Row],[SALARIO]]), EDA!$M$8, moras[[#This Row],[SALARIO]])</f>
        <v>261328145</v>
      </c>
      <c r="O2147" s="14">
        <f xml:space="preserve"> IF(ISBLANK(moras[[#This Row],[EDAD]]), EDA!$E$8, moras[[#This Row],[EDAD]])</f>
        <v>47</v>
      </c>
      <c r="P2147" s="14" t="str">
        <f>IF(
    OR(ISBLANK(moras[[#This Row],[TIPO_ASEGURAMIENTO]]), moras[[#This Row],[TIPO_ASEGURAMIENTO]]=""),
    EDA!$A$32,
    moras[[#This Row],[TIPO_ASEGURAMIENTO]]
)</f>
        <v>ASALARIADO</v>
      </c>
    </row>
    <row r="2148" spans="1:16" x14ac:dyDescent="0.3">
      <c r="A2148">
        <v>2147</v>
      </c>
      <c r="B2148" t="s">
        <v>15</v>
      </c>
      <c r="C2148">
        <v>15040917</v>
      </c>
      <c r="D2148" t="s">
        <v>14</v>
      </c>
      <c r="E2148" t="s">
        <v>11</v>
      </c>
      <c r="F2148" t="s">
        <v>12</v>
      </c>
      <c r="G2148" t="s">
        <v>13</v>
      </c>
      <c r="H2148" t="s">
        <v>13</v>
      </c>
      <c r="I2148">
        <v>86</v>
      </c>
      <c r="J2148">
        <f>ABS((I2148-EDA!$A$15)/EDA!$B$15)</f>
        <v>3.1067548362527675</v>
      </c>
      <c r="K2148" t="str">
        <f t="shared" si="33"/>
        <v>Sí</v>
      </c>
      <c r="L2148">
        <f>ABS((C2148-EDA!$F$15)/EDA!$G$15)</f>
        <v>0.12536249576105107</v>
      </c>
      <c r="M2148" t="str">
        <f>IF(moras[[#This Row],[Z-Score Salario]]&gt;1.96, "Sí", "No")</f>
        <v>No</v>
      </c>
      <c r="N2148" s="14">
        <f>IF(ISBLANK(moras[[#This Row],[SALARIO]]), EDA!$M$8, moras[[#This Row],[SALARIO]])</f>
        <v>15040917</v>
      </c>
      <c r="O2148" s="14">
        <f xml:space="preserve"> IF(ISBLANK(moras[[#This Row],[EDAD]]), EDA!$E$8, moras[[#This Row],[EDAD]])</f>
        <v>86</v>
      </c>
      <c r="P2148" s="14" t="str">
        <f>IF(
    OR(ISBLANK(moras[[#This Row],[TIPO_ASEGURAMIENTO]]), moras[[#This Row],[TIPO_ASEGURAMIENTO]]=""),
    EDA!$A$32,
    moras[[#This Row],[TIPO_ASEGURAMIENTO]]
)</f>
        <v>PENSIONADOS EN SU PROPIO SISTEMA</v>
      </c>
    </row>
    <row r="2149" spans="1:16" x14ac:dyDescent="0.3">
      <c r="A2149">
        <v>2148</v>
      </c>
      <c r="B2149" t="s">
        <v>9</v>
      </c>
      <c r="C2149">
        <v>77065</v>
      </c>
      <c r="D2149" t="s">
        <v>10</v>
      </c>
      <c r="E2149" t="s">
        <v>16</v>
      </c>
      <c r="F2149" t="s">
        <v>12</v>
      </c>
      <c r="G2149" t="s">
        <v>13</v>
      </c>
      <c r="H2149" t="s">
        <v>12</v>
      </c>
      <c r="I2149">
        <v>43</v>
      </c>
      <c r="J2149">
        <f>ABS((I2149-EDA!$A$15)/EDA!$B$15)</f>
        <v>7.2015642935854773E-2</v>
      </c>
      <c r="K2149" t="str">
        <f t="shared" si="33"/>
        <v>No</v>
      </c>
      <c r="L2149">
        <f>ABS((C2149-EDA!$F$15)/EDA!$G$15)</f>
        <v>0.37437155620669466</v>
      </c>
      <c r="M2149" t="str">
        <f>IF(moras[[#This Row],[Z-Score Salario]]&gt;1.96, "Sí", "No")</f>
        <v>No</v>
      </c>
      <c r="N2149" s="14">
        <f>IF(ISBLANK(moras[[#This Row],[SALARIO]]), EDA!$M$8, moras[[#This Row],[SALARIO]])</f>
        <v>77065</v>
      </c>
      <c r="O2149" s="14">
        <f xml:space="preserve"> IF(ISBLANK(moras[[#This Row],[EDAD]]), EDA!$E$8, moras[[#This Row],[EDAD]])</f>
        <v>43</v>
      </c>
      <c r="P2149" s="14" t="str">
        <f>IF(
    OR(ISBLANK(moras[[#This Row],[TIPO_ASEGURAMIENTO]]), moras[[#This Row],[TIPO_ASEGURAMIENTO]]=""),
    EDA!$A$32,
    moras[[#This Row],[TIPO_ASEGURAMIENTO]]
)</f>
        <v>ASALARIADO</v>
      </c>
    </row>
    <row r="2150" spans="1:16" x14ac:dyDescent="0.3">
      <c r="A2150">
        <v>2149</v>
      </c>
      <c r="B2150" t="s">
        <v>9</v>
      </c>
      <c r="C2150">
        <v>42645938</v>
      </c>
      <c r="D2150" t="s">
        <v>10</v>
      </c>
      <c r="E2150" t="s">
        <v>16</v>
      </c>
      <c r="F2150" t="s">
        <v>12</v>
      </c>
      <c r="G2150" t="s">
        <v>13</v>
      </c>
      <c r="H2150" t="s">
        <v>13</v>
      </c>
      <c r="I2150">
        <v>25</v>
      </c>
      <c r="J2150">
        <f>ABS((I2150-EDA!$A$15)/EDA!$B$15)</f>
        <v>1.1983402984526204</v>
      </c>
      <c r="K2150" t="str">
        <f t="shared" si="33"/>
        <v>No</v>
      </c>
      <c r="L2150">
        <f>ABS((C2150-EDA!$F$15)/EDA!$G$15)</f>
        <v>0.33400454039997618</v>
      </c>
      <c r="M2150" t="str">
        <f>IF(moras[[#This Row],[Z-Score Salario]]&gt;1.96, "Sí", "No")</f>
        <v>No</v>
      </c>
      <c r="N2150" s="14">
        <f>IF(ISBLANK(moras[[#This Row],[SALARIO]]), EDA!$M$8, moras[[#This Row],[SALARIO]])</f>
        <v>42645938</v>
      </c>
      <c r="O2150" s="14">
        <f xml:space="preserve"> IF(ISBLANK(moras[[#This Row],[EDAD]]), EDA!$E$8, moras[[#This Row],[EDAD]])</f>
        <v>25</v>
      </c>
      <c r="P2150" s="14" t="str">
        <f>IF(
    OR(ISBLANK(moras[[#This Row],[TIPO_ASEGURAMIENTO]]), moras[[#This Row],[TIPO_ASEGURAMIENTO]]=""),
    EDA!$A$32,
    moras[[#This Row],[TIPO_ASEGURAMIENTO]]
)</f>
        <v>ASALARIADO</v>
      </c>
    </row>
    <row r="2151" spans="1:16" x14ac:dyDescent="0.3">
      <c r="A2151">
        <v>2150</v>
      </c>
      <c r="B2151" t="s">
        <v>9</v>
      </c>
      <c r="C2151">
        <v>448880</v>
      </c>
      <c r="D2151" t="s">
        <v>10</v>
      </c>
      <c r="E2151" t="s">
        <v>16</v>
      </c>
      <c r="F2151" t="s">
        <v>12</v>
      </c>
      <c r="G2151" t="s">
        <v>13</v>
      </c>
      <c r="H2151" t="s">
        <v>13</v>
      </c>
      <c r="I2151">
        <v>33</v>
      </c>
      <c r="J2151">
        <f>ABS((I2151-EDA!$A$15)/EDA!$B$15)</f>
        <v>0.63373765783552027</v>
      </c>
      <c r="K2151" t="str">
        <f t="shared" si="33"/>
        <v>No</v>
      </c>
      <c r="L2151">
        <f>ABS((C2151-EDA!$F$15)/EDA!$G$15)</f>
        <v>0.36818429213795106</v>
      </c>
      <c r="M2151" t="str">
        <f>IF(moras[[#This Row],[Z-Score Salario]]&gt;1.96, "Sí", "No")</f>
        <v>No</v>
      </c>
      <c r="N2151" s="14">
        <f>IF(ISBLANK(moras[[#This Row],[SALARIO]]), EDA!$M$8, moras[[#This Row],[SALARIO]])</f>
        <v>448880</v>
      </c>
      <c r="O2151" s="14">
        <f xml:space="preserve"> IF(ISBLANK(moras[[#This Row],[EDAD]]), EDA!$E$8, moras[[#This Row],[EDAD]])</f>
        <v>33</v>
      </c>
      <c r="P2151" s="14" t="str">
        <f>IF(
    OR(ISBLANK(moras[[#This Row],[TIPO_ASEGURAMIENTO]]), moras[[#This Row],[TIPO_ASEGURAMIENTO]]=""),
    EDA!$A$32,
    moras[[#This Row],[TIPO_ASEGURAMIENTO]]
)</f>
        <v>ASALARIADO</v>
      </c>
    </row>
    <row r="2152" spans="1:16" x14ac:dyDescent="0.3">
      <c r="A2152">
        <v>2151</v>
      </c>
      <c r="B2152" t="s">
        <v>15</v>
      </c>
      <c r="C2152">
        <v>10</v>
      </c>
      <c r="D2152" t="s">
        <v>10</v>
      </c>
      <c r="E2152" t="s">
        <v>16</v>
      </c>
      <c r="F2152" t="s">
        <v>12</v>
      </c>
      <c r="G2152" t="s">
        <v>13</v>
      </c>
      <c r="H2152" t="s">
        <v>13</v>
      </c>
      <c r="I2152">
        <v>26</v>
      </c>
      <c r="J2152">
        <f>ABS((I2152-EDA!$A$15)/EDA!$B$15)</f>
        <v>1.1277649683754829</v>
      </c>
      <c r="K2152" t="str">
        <f t="shared" si="33"/>
        <v>No</v>
      </c>
      <c r="L2152">
        <f>ABS((C2152-EDA!$F$15)/EDA!$G$15)</f>
        <v>0.37565380580075897</v>
      </c>
      <c r="M2152" t="str">
        <f>IF(moras[[#This Row],[Z-Score Salario]]&gt;1.96, "Sí", "No")</f>
        <v>No</v>
      </c>
      <c r="N2152" s="14">
        <f>IF(ISBLANK(moras[[#This Row],[SALARIO]]), EDA!$M$8, moras[[#This Row],[SALARIO]])</f>
        <v>10</v>
      </c>
      <c r="O2152" s="14">
        <f xml:space="preserve"> IF(ISBLANK(moras[[#This Row],[EDAD]]), EDA!$E$8, moras[[#This Row],[EDAD]])</f>
        <v>26</v>
      </c>
      <c r="P2152" s="14" t="str">
        <f>IF(
    OR(ISBLANK(moras[[#This Row],[TIPO_ASEGURAMIENTO]]), moras[[#This Row],[TIPO_ASEGURAMIENTO]]=""),
    EDA!$A$32,
    moras[[#This Row],[TIPO_ASEGURAMIENTO]]
)</f>
        <v>ASALARIADO</v>
      </c>
    </row>
    <row r="2153" spans="1:16" x14ac:dyDescent="0.3">
      <c r="A2153">
        <v>2152</v>
      </c>
      <c r="B2153" t="s">
        <v>9</v>
      </c>
      <c r="C2153">
        <v>23771786</v>
      </c>
      <c r="D2153" t="s">
        <v>10</v>
      </c>
      <c r="E2153" t="s">
        <v>16</v>
      </c>
      <c r="F2153" t="s">
        <v>12</v>
      </c>
      <c r="G2153" t="s">
        <v>13</v>
      </c>
      <c r="H2153" t="s">
        <v>12</v>
      </c>
      <c r="I2153">
        <v>23</v>
      </c>
      <c r="J2153">
        <f>ABS((I2153-EDA!$A$15)/EDA!$B$15)</f>
        <v>1.3394909586068953</v>
      </c>
      <c r="K2153" t="str">
        <f t="shared" si="33"/>
        <v>No</v>
      </c>
      <c r="L2153">
        <f>ABS((C2153-EDA!$F$15)/EDA!$G$15)</f>
        <v>1.9925327625867979E-2</v>
      </c>
      <c r="M2153" t="str">
        <f>IF(moras[[#This Row],[Z-Score Salario]]&gt;1.96, "Sí", "No")</f>
        <v>No</v>
      </c>
      <c r="N2153" s="14">
        <f>IF(ISBLANK(moras[[#This Row],[SALARIO]]), EDA!$M$8, moras[[#This Row],[SALARIO]])</f>
        <v>23771786</v>
      </c>
      <c r="O2153" s="14">
        <f xml:space="preserve"> IF(ISBLANK(moras[[#This Row],[EDAD]]), EDA!$E$8, moras[[#This Row],[EDAD]])</f>
        <v>23</v>
      </c>
      <c r="P2153" s="14" t="str">
        <f>IF(
    OR(ISBLANK(moras[[#This Row],[TIPO_ASEGURAMIENTO]]), moras[[#This Row],[TIPO_ASEGURAMIENTO]]=""),
    EDA!$A$32,
    moras[[#This Row],[TIPO_ASEGURAMIENTO]]
)</f>
        <v>ASALARIADO</v>
      </c>
    </row>
    <row r="2154" spans="1:16" x14ac:dyDescent="0.3">
      <c r="A2154">
        <v>2153</v>
      </c>
      <c r="B2154" t="s">
        <v>9</v>
      </c>
      <c r="C2154">
        <v>297045</v>
      </c>
      <c r="D2154" t="s">
        <v>17</v>
      </c>
      <c r="E2154" t="s">
        <v>16</v>
      </c>
      <c r="F2154" t="s">
        <v>12</v>
      </c>
      <c r="G2154" t="s">
        <v>12</v>
      </c>
      <c r="H2154" t="s">
        <v>13</v>
      </c>
      <c r="I2154">
        <v>30</v>
      </c>
      <c r="J2154">
        <f>ABS((I2154-EDA!$A$15)/EDA!$B$15)</f>
        <v>0.84546364806693275</v>
      </c>
      <c r="K2154" t="str">
        <f t="shared" si="33"/>
        <v>No</v>
      </c>
      <c r="L2154">
        <f>ABS((C2154-EDA!$F$15)/EDA!$G$15)</f>
        <v>0.37071093372012948</v>
      </c>
      <c r="M2154" t="str">
        <f>IF(moras[[#This Row],[Z-Score Salario]]&gt;1.96, "Sí", "No")</f>
        <v>No</v>
      </c>
      <c r="N2154" s="14">
        <f>IF(ISBLANK(moras[[#This Row],[SALARIO]]), EDA!$M$8, moras[[#This Row],[SALARIO]])</f>
        <v>297045</v>
      </c>
      <c r="O2154" s="14">
        <f xml:space="preserve"> IF(ISBLANK(moras[[#This Row],[EDAD]]), EDA!$E$8, moras[[#This Row],[EDAD]])</f>
        <v>30</v>
      </c>
      <c r="P2154" s="14" t="str">
        <f>IF(
    OR(ISBLANK(moras[[#This Row],[TIPO_ASEGURAMIENTO]]), moras[[#This Row],[TIPO_ASEGURAMIENTO]]=""),
    EDA!$A$32,
    moras[[#This Row],[TIPO_ASEGURAMIENTO]]
)</f>
        <v>ASEGURADO VOLUNTARIO</v>
      </c>
    </row>
    <row r="2155" spans="1:16" x14ac:dyDescent="0.3">
      <c r="A2155">
        <v>2154</v>
      </c>
      <c r="B2155" t="s">
        <v>15</v>
      </c>
      <c r="C2155">
        <v>585854</v>
      </c>
      <c r="D2155" t="s">
        <v>14</v>
      </c>
      <c r="E2155" t="s">
        <v>11</v>
      </c>
      <c r="F2155" t="s">
        <v>12</v>
      </c>
      <c r="G2155" t="s">
        <v>13</v>
      </c>
      <c r="H2155" t="s">
        <v>13</v>
      </c>
      <c r="I2155">
        <v>76</v>
      </c>
      <c r="J2155">
        <f>ABS((I2155-EDA!$A$15)/EDA!$B$15)</f>
        <v>2.4010015354813925</v>
      </c>
      <c r="K2155" t="str">
        <f t="shared" si="33"/>
        <v>Sí</v>
      </c>
      <c r="L2155">
        <f>ABS((C2155-EDA!$F$15)/EDA!$G$15)</f>
        <v>0.36590494808633373</v>
      </c>
      <c r="M2155" t="str">
        <f>IF(moras[[#This Row],[Z-Score Salario]]&gt;1.96, "Sí", "No")</f>
        <v>No</v>
      </c>
      <c r="N2155" s="14">
        <f>IF(ISBLANK(moras[[#This Row],[SALARIO]]), EDA!$M$8, moras[[#This Row],[SALARIO]])</f>
        <v>585854</v>
      </c>
      <c r="O2155" s="14">
        <f xml:space="preserve"> IF(ISBLANK(moras[[#This Row],[EDAD]]), EDA!$E$8, moras[[#This Row],[EDAD]])</f>
        <v>76</v>
      </c>
      <c r="P2155" s="14" t="str">
        <f>IF(
    OR(ISBLANK(moras[[#This Row],[TIPO_ASEGURAMIENTO]]), moras[[#This Row],[TIPO_ASEGURAMIENTO]]=""),
    EDA!$A$32,
    moras[[#This Row],[TIPO_ASEGURAMIENTO]]
)</f>
        <v>PENSIONADOS EN SU PROPIO SISTEMA</v>
      </c>
    </row>
    <row r="2156" spans="1:16" x14ac:dyDescent="0.3">
      <c r="A2156">
        <v>2155</v>
      </c>
      <c r="B2156" t="s">
        <v>9</v>
      </c>
      <c r="C2156">
        <v>404467</v>
      </c>
      <c r="D2156" t="s">
        <v>17</v>
      </c>
      <c r="E2156" t="s">
        <v>16</v>
      </c>
      <c r="F2156" t="s">
        <v>12</v>
      </c>
      <c r="G2156" t="s">
        <v>13</v>
      </c>
      <c r="H2156" t="s">
        <v>13</v>
      </c>
      <c r="I2156">
        <v>58</v>
      </c>
      <c r="J2156">
        <f>ABS((I2156-EDA!$A$15)/EDA!$B$15)</f>
        <v>1.1306455940929174</v>
      </c>
      <c r="K2156" t="str">
        <f t="shared" si="33"/>
        <v>No</v>
      </c>
      <c r="L2156">
        <f>ABS((C2156-EDA!$F$15)/EDA!$G$15)</f>
        <v>0.36892335580962943</v>
      </c>
      <c r="M2156" t="str">
        <f>IF(moras[[#This Row],[Z-Score Salario]]&gt;1.96, "Sí", "No")</f>
        <v>No</v>
      </c>
      <c r="N2156" s="14">
        <f>IF(ISBLANK(moras[[#This Row],[SALARIO]]), EDA!$M$8, moras[[#This Row],[SALARIO]])</f>
        <v>404467</v>
      </c>
      <c r="O2156" s="14">
        <f xml:space="preserve"> IF(ISBLANK(moras[[#This Row],[EDAD]]), EDA!$E$8, moras[[#This Row],[EDAD]])</f>
        <v>58</v>
      </c>
      <c r="P2156" s="14" t="str">
        <f>IF(
    OR(ISBLANK(moras[[#This Row],[TIPO_ASEGURAMIENTO]]), moras[[#This Row],[TIPO_ASEGURAMIENTO]]=""),
    EDA!$A$32,
    moras[[#This Row],[TIPO_ASEGURAMIENTO]]
)</f>
        <v>ASEGURADO VOLUNTARIO</v>
      </c>
    </row>
    <row r="2157" spans="1:16" x14ac:dyDescent="0.3">
      <c r="A2157">
        <v>2156</v>
      </c>
      <c r="B2157" t="s">
        <v>9</v>
      </c>
      <c r="C2157">
        <v>594092</v>
      </c>
      <c r="D2157" t="s">
        <v>18</v>
      </c>
      <c r="E2157" t="s">
        <v>16</v>
      </c>
      <c r="F2157" t="s">
        <v>12</v>
      </c>
      <c r="G2157" t="s">
        <v>12</v>
      </c>
      <c r="H2157" t="s">
        <v>12</v>
      </c>
      <c r="I2157">
        <v>48</v>
      </c>
      <c r="J2157">
        <f>ABS((I2157-EDA!$A$15)/EDA!$B$15)</f>
        <v>0.42489229332154227</v>
      </c>
      <c r="K2157" t="str">
        <f t="shared" si="33"/>
        <v>No</v>
      </c>
      <c r="L2157">
        <f>ABS((C2157-EDA!$F$15)/EDA!$G$15)</f>
        <v>0.36576786195102906</v>
      </c>
      <c r="M2157" t="str">
        <f>IF(moras[[#This Row],[Z-Score Salario]]&gt;1.96, "Sí", "No")</f>
        <v>No</v>
      </c>
      <c r="N2157" s="14">
        <f>IF(ISBLANK(moras[[#This Row],[SALARIO]]), EDA!$M$8, moras[[#This Row],[SALARIO]])</f>
        <v>594092</v>
      </c>
      <c r="O2157" s="14">
        <f xml:space="preserve"> IF(ISBLANK(moras[[#This Row],[EDAD]]), EDA!$E$8, moras[[#This Row],[EDAD]])</f>
        <v>48</v>
      </c>
      <c r="P2157" s="14" t="str">
        <f>IF(
    OR(ISBLANK(moras[[#This Row],[TIPO_ASEGURAMIENTO]]), moras[[#This Row],[TIPO_ASEGURAMIENTO]]=""),
    EDA!$A$32,
    moras[[#This Row],[TIPO_ASEGURAMIENTO]]
)</f>
        <v>TRABAJADOR INDEPENDIENTE</v>
      </c>
    </row>
    <row r="2158" spans="1:16" x14ac:dyDescent="0.3">
      <c r="A2158">
        <v>2157</v>
      </c>
      <c r="B2158" t="s">
        <v>9</v>
      </c>
      <c r="C2158">
        <v>138580</v>
      </c>
      <c r="D2158" t="s">
        <v>10</v>
      </c>
      <c r="E2158" t="s">
        <v>16</v>
      </c>
      <c r="F2158" t="s">
        <v>12</v>
      </c>
      <c r="G2158" t="s">
        <v>13</v>
      </c>
      <c r="H2158" t="s">
        <v>13</v>
      </c>
      <c r="I2158">
        <v>46</v>
      </c>
      <c r="J2158">
        <f>ABS((I2158-EDA!$A$15)/EDA!$B$15)</f>
        <v>0.2837416331672673</v>
      </c>
      <c r="K2158" t="str">
        <f t="shared" si="33"/>
        <v>No</v>
      </c>
      <c r="L2158">
        <f>ABS((C2158-EDA!$F$15)/EDA!$G$15)</f>
        <v>0.37334790318250582</v>
      </c>
      <c r="M2158" t="str">
        <f>IF(moras[[#This Row],[Z-Score Salario]]&gt;1.96, "Sí", "No")</f>
        <v>No</v>
      </c>
      <c r="N2158" s="14">
        <f>IF(ISBLANK(moras[[#This Row],[SALARIO]]), EDA!$M$8, moras[[#This Row],[SALARIO]])</f>
        <v>138580</v>
      </c>
      <c r="O2158" s="14">
        <f xml:space="preserve"> IF(ISBLANK(moras[[#This Row],[EDAD]]), EDA!$E$8, moras[[#This Row],[EDAD]])</f>
        <v>46</v>
      </c>
      <c r="P2158" s="14" t="str">
        <f>IF(
    OR(ISBLANK(moras[[#This Row],[TIPO_ASEGURAMIENTO]]), moras[[#This Row],[TIPO_ASEGURAMIENTO]]=""),
    EDA!$A$32,
    moras[[#This Row],[TIPO_ASEGURAMIENTO]]
)</f>
        <v>ASALARIADO</v>
      </c>
    </row>
    <row r="2159" spans="1:16" x14ac:dyDescent="0.3">
      <c r="A2159">
        <v>2158</v>
      </c>
      <c r="B2159" t="s">
        <v>15</v>
      </c>
      <c r="C2159">
        <v>124162795</v>
      </c>
      <c r="D2159" t="s">
        <v>14</v>
      </c>
      <c r="E2159" t="s">
        <v>11</v>
      </c>
      <c r="F2159" t="s">
        <v>12</v>
      </c>
      <c r="G2159" t="s">
        <v>13</v>
      </c>
      <c r="H2159" t="s">
        <v>13</v>
      </c>
      <c r="I2159">
        <v>63</v>
      </c>
      <c r="J2159">
        <f>ABS((I2159-EDA!$A$15)/EDA!$B$15)</f>
        <v>1.4835222444786049</v>
      </c>
      <c r="K2159" t="str">
        <f t="shared" si="33"/>
        <v>No</v>
      </c>
      <c r="L2159">
        <f>ABS((C2159-EDA!$F$15)/EDA!$G$15)</f>
        <v>1.6905025846236079</v>
      </c>
      <c r="M2159" t="str">
        <f>IF(moras[[#This Row],[Z-Score Salario]]&gt;1.96, "Sí", "No")</f>
        <v>No</v>
      </c>
      <c r="N2159" s="14">
        <f>IF(ISBLANK(moras[[#This Row],[SALARIO]]), EDA!$M$8, moras[[#This Row],[SALARIO]])</f>
        <v>124162795</v>
      </c>
      <c r="O2159" s="14">
        <f xml:space="preserve"> IF(ISBLANK(moras[[#This Row],[EDAD]]), EDA!$E$8, moras[[#This Row],[EDAD]])</f>
        <v>63</v>
      </c>
      <c r="P2159" s="14" t="str">
        <f>IF(
    OR(ISBLANK(moras[[#This Row],[TIPO_ASEGURAMIENTO]]), moras[[#This Row],[TIPO_ASEGURAMIENTO]]=""),
    EDA!$A$32,
    moras[[#This Row],[TIPO_ASEGURAMIENTO]]
)</f>
        <v>PENSIONADOS EN SU PROPIO SISTEMA</v>
      </c>
    </row>
    <row r="2160" spans="1:16" x14ac:dyDescent="0.3">
      <c r="A2160">
        <v>2159</v>
      </c>
      <c r="B2160" t="s">
        <v>9</v>
      </c>
      <c r="C2160">
        <v>91502056</v>
      </c>
      <c r="D2160" t="s">
        <v>10</v>
      </c>
      <c r="E2160" t="s">
        <v>16</v>
      </c>
      <c r="F2160" t="s">
        <v>12</v>
      </c>
      <c r="G2160" t="s">
        <v>13</v>
      </c>
      <c r="H2160" t="s">
        <v>13</v>
      </c>
      <c r="I2160">
        <v>52</v>
      </c>
      <c r="J2160">
        <f>ABS((I2160-EDA!$A$15)/EDA!$B$15)</f>
        <v>0.70719361363009237</v>
      </c>
      <c r="K2160" t="str">
        <f t="shared" si="33"/>
        <v>No</v>
      </c>
      <c r="L2160">
        <f>ABS((C2160-EDA!$F$15)/EDA!$G$15)</f>
        <v>1.1470048320495789</v>
      </c>
      <c r="M2160" t="str">
        <f>IF(moras[[#This Row],[Z-Score Salario]]&gt;1.96, "Sí", "No")</f>
        <v>No</v>
      </c>
      <c r="N2160" s="14">
        <f>IF(ISBLANK(moras[[#This Row],[SALARIO]]), EDA!$M$8, moras[[#This Row],[SALARIO]])</f>
        <v>91502056</v>
      </c>
      <c r="O2160" s="14">
        <f xml:space="preserve"> IF(ISBLANK(moras[[#This Row],[EDAD]]), EDA!$E$8, moras[[#This Row],[EDAD]])</f>
        <v>52</v>
      </c>
      <c r="P2160" s="14" t="str">
        <f>IF(
    OR(ISBLANK(moras[[#This Row],[TIPO_ASEGURAMIENTO]]), moras[[#This Row],[TIPO_ASEGURAMIENTO]]=""),
    EDA!$A$32,
    moras[[#This Row],[TIPO_ASEGURAMIENTO]]
)</f>
        <v>ASALARIADO</v>
      </c>
    </row>
    <row r="2161" spans="1:16" x14ac:dyDescent="0.3">
      <c r="A2161">
        <v>2160</v>
      </c>
      <c r="B2161" t="s">
        <v>9</v>
      </c>
      <c r="C2161">
        <v>56937316</v>
      </c>
      <c r="D2161" t="s">
        <v>10</v>
      </c>
      <c r="E2161" t="s">
        <v>16</v>
      </c>
      <c r="F2161" t="s">
        <v>12</v>
      </c>
      <c r="G2161" t="s">
        <v>13</v>
      </c>
      <c r="H2161" t="s">
        <v>13</v>
      </c>
      <c r="I2161">
        <v>41</v>
      </c>
      <c r="J2161">
        <f>ABS((I2161-EDA!$A$15)/EDA!$B$15)</f>
        <v>6.9135017218420233E-2</v>
      </c>
      <c r="K2161" t="str">
        <f t="shared" si="33"/>
        <v>No</v>
      </c>
      <c r="L2161">
        <f>ABS((C2161-EDA!$F$15)/EDA!$G$15)</f>
        <v>0.57182315877802081</v>
      </c>
      <c r="M2161" t="str">
        <f>IF(moras[[#This Row],[Z-Score Salario]]&gt;1.96, "Sí", "No")</f>
        <v>No</v>
      </c>
      <c r="N2161" s="14">
        <f>IF(ISBLANK(moras[[#This Row],[SALARIO]]), EDA!$M$8, moras[[#This Row],[SALARIO]])</f>
        <v>56937316</v>
      </c>
      <c r="O2161" s="14">
        <f xml:space="preserve"> IF(ISBLANK(moras[[#This Row],[EDAD]]), EDA!$E$8, moras[[#This Row],[EDAD]])</f>
        <v>41</v>
      </c>
      <c r="P2161" s="14" t="str">
        <f>IF(
    OR(ISBLANK(moras[[#This Row],[TIPO_ASEGURAMIENTO]]), moras[[#This Row],[TIPO_ASEGURAMIENTO]]=""),
    EDA!$A$32,
    moras[[#This Row],[TIPO_ASEGURAMIENTO]]
)</f>
        <v>ASALARIADO</v>
      </c>
    </row>
    <row r="2162" spans="1:16" x14ac:dyDescent="0.3">
      <c r="A2162">
        <v>2161</v>
      </c>
      <c r="B2162" t="s">
        <v>9</v>
      </c>
      <c r="C2162">
        <v>457000</v>
      </c>
      <c r="D2162" t="s">
        <v>10</v>
      </c>
      <c r="E2162" t="s">
        <v>16</v>
      </c>
      <c r="F2162" t="s">
        <v>12</v>
      </c>
      <c r="G2162" t="s">
        <v>13</v>
      </c>
      <c r="H2162" t="s">
        <v>13</v>
      </c>
      <c r="I2162">
        <v>19</v>
      </c>
      <c r="J2162">
        <f>ABS((I2162-EDA!$A$15)/EDA!$B$15)</f>
        <v>1.6217922789154453</v>
      </c>
      <c r="K2162" t="str">
        <f t="shared" si="33"/>
        <v>No</v>
      </c>
      <c r="L2162">
        <f>ABS((C2162-EDA!$F$15)/EDA!$G$15)</f>
        <v>0.36804916960594397</v>
      </c>
      <c r="M2162" t="str">
        <f>IF(moras[[#This Row],[Z-Score Salario]]&gt;1.96, "Sí", "No")</f>
        <v>No</v>
      </c>
      <c r="N2162" s="14">
        <f>IF(ISBLANK(moras[[#This Row],[SALARIO]]), EDA!$M$8, moras[[#This Row],[SALARIO]])</f>
        <v>457000</v>
      </c>
      <c r="O2162" s="14">
        <f xml:space="preserve"> IF(ISBLANK(moras[[#This Row],[EDAD]]), EDA!$E$8, moras[[#This Row],[EDAD]])</f>
        <v>19</v>
      </c>
      <c r="P2162" s="14" t="str">
        <f>IF(
    OR(ISBLANK(moras[[#This Row],[TIPO_ASEGURAMIENTO]]), moras[[#This Row],[TIPO_ASEGURAMIENTO]]=""),
    EDA!$A$32,
    moras[[#This Row],[TIPO_ASEGURAMIENTO]]
)</f>
        <v>ASALARIADO</v>
      </c>
    </row>
    <row r="2163" spans="1:16" x14ac:dyDescent="0.3">
      <c r="A2163">
        <v>2162</v>
      </c>
      <c r="B2163" t="s">
        <v>9</v>
      </c>
      <c r="C2163">
        <v>44069647</v>
      </c>
      <c r="D2163" t="s">
        <v>10</v>
      </c>
      <c r="E2163" t="s">
        <v>16</v>
      </c>
      <c r="F2163" t="s">
        <v>12</v>
      </c>
      <c r="G2163" t="s">
        <v>13</v>
      </c>
      <c r="H2163" t="s">
        <v>13</v>
      </c>
      <c r="I2163">
        <v>27</v>
      </c>
      <c r="J2163">
        <f>ABS((I2163-EDA!$A$15)/EDA!$B$15)</f>
        <v>1.0571896382983452</v>
      </c>
      <c r="K2163" t="str">
        <f t="shared" si="33"/>
        <v>No</v>
      </c>
      <c r="L2163">
        <f>ABS((C2163-EDA!$F$15)/EDA!$G$15)</f>
        <v>0.35769606317352448</v>
      </c>
      <c r="M2163" t="str">
        <f>IF(moras[[#This Row],[Z-Score Salario]]&gt;1.96, "Sí", "No")</f>
        <v>No</v>
      </c>
      <c r="N2163" s="14">
        <f>IF(ISBLANK(moras[[#This Row],[SALARIO]]), EDA!$M$8, moras[[#This Row],[SALARIO]])</f>
        <v>44069647</v>
      </c>
      <c r="O2163" s="14">
        <f xml:space="preserve"> IF(ISBLANK(moras[[#This Row],[EDAD]]), EDA!$E$8, moras[[#This Row],[EDAD]])</f>
        <v>27</v>
      </c>
      <c r="P2163" s="14" t="str">
        <f>IF(
    OR(ISBLANK(moras[[#This Row],[TIPO_ASEGURAMIENTO]]), moras[[#This Row],[TIPO_ASEGURAMIENTO]]=""),
    EDA!$A$32,
    moras[[#This Row],[TIPO_ASEGURAMIENTO]]
)</f>
        <v>ASALARIADO</v>
      </c>
    </row>
    <row r="2164" spans="1:16" x14ac:dyDescent="0.3">
      <c r="A2164">
        <v>2163</v>
      </c>
      <c r="B2164" t="s">
        <v>15</v>
      </c>
      <c r="C2164">
        <v>1057538</v>
      </c>
      <c r="D2164" t="s">
        <v>10</v>
      </c>
      <c r="E2164" t="s">
        <v>11</v>
      </c>
      <c r="F2164" t="s">
        <v>12</v>
      </c>
      <c r="G2164" t="s">
        <v>13</v>
      </c>
      <c r="H2164" t="s">
        <v>12</v>
      </c>
      <c r="I2164">
        <v>38</v>
      </c>
      <c r="J2164">
        <f>ABS((I2164-EDA!$A$15)/EDA!$B$15)</f>
        <v>0.28086100744983278</v>
      </c>
      <c r="K2164" t="str">
        <f t="shared" si="33"/>
        <v>No</v>
      </c>
      <c r="L2164">
        <f>ABS((C2164-EDA!$F$15)/EDA!$G$15)</f>
        <v>0.35805579335884491</v>
      </c>
      <c r="M2164" t="str">
        <f>IF(moras[[#This Row],[Z-Score Salario]]&gt;1.96, "Sí", "No")</f>
        <v>No</v>
      </c>
      <c r="N2164" s="14">
        <f>IF(ISBLANK(moras[[#This Row],[SALARIO]]), EDA!$M$8, moras[[#This Row],[SALARIO]])</f>
        <v>1057538</v>
      </c>
      <c r="O2164" s="14">
        <f xml:space="preserve"> IF(ISBLANK(moras[[#This Row],[EDAD]]), EDA!$E$8, moras[[#This Row],[EDAD]])</f>
        <v>38</v>
      </c>
      <c r="P2164" s="14" t="str">
        <f>IF(
    OR(ISBLANK(moras[[#This Row],[TIPO_ASEGURAMIENTO]]), moras[[#This Row],[TIPO_ASEGURAMIENTO]]=""),
    EDA!$A$32,
    moras[[#This Row],[TIPO_ASEGURAMIENTO]]
)</f>
        <v>ASALARIADO</v>
      </c>
    </row>
    <row r="2165" spans="1:16" x14ac:dyDescent="0.3">
      <c r="A2165">
        <v>2164</v>
      </c>
      <c r="B2165" t="s">
        <v>9</v>
      </c>
      <c r="C2165">
        <v>42822268</v>
      </c>
      <c r="D2165" t="s">
        <v>10</v>
      </c>
      <c r="E2165" t="s">
        <v>16</v>
      </c>
      <c r="F2165" t="s">
        <v>12</v>
      </c>
      <c r="G2165" t="s">
        <v>13</v>
      </c>
      <c r="H2165" t="s">
        <v>12</v>
      </c>
      <c r="I2165">
        <v>21</v>
      </c>
      <c r="J2165">
        <f>ABS((I2165-EDA!$A$15)/EDA!$B$15)</f>
        <v>1.4806416187611704</v>
      </c>
      <c r="K2165" t="str">
        <f t="shared" si="33"/>
        <v>No</v>
      </c>
      <c r="L2165">
        <f>ABS((C2165-EDA!$F$15)/EDA!$G$15)</f>
        <v>0.33693879607347388</v>
      </c>
      <c r="M2165" t="str">
        <f>IF(moras[[#This Row],[Z-Score Salario]]&gt;1.96, "Sí", "No")</f>
        <v>No</v>
      </c>
      <c r="N2165" s="14">
        <f>IF(ISBLANK(moras[[#This Row],[SALARIO]]), EDA!$M$8, moras[[#This Row],[SALARIO]])</f>
        <v>42822268</v>
      </c>
      <c r="O2165" s="14">
        <f xml:space="preserve"> IF(ISBLANK(moras[[#This Row],[EDAD]]), EDA!$E$8, moras[[#This Row],[EDAD]])</f>
        <v>21</v>
      </c>
      <c r="P2165" s="14" t="str">
        <f>IF(
    OR(ISBLANK(moras[[#This Row],[TIPO_ASEGURAMIENTO]]), moras[[#This Row],[TIPO_ASEGURAMIENTO]]=""),
    EDA!$A$32,
    moras[[#This Row],[TIPO_ASEGURAMIENTO]]
)</f>
        <v>ASALARIADO</v>
      </c>
    </row>
    <row r="2166" spans="1:16" x14ac:dyDescent="0.3">
      <c r="A2166">
        <v>2165</v>
      </c>
      <c r="B2166" t="s">
        <v>9</v>
      </c>
      <c r="C2166">
        <v>301566</v>
      </c>
      <c r="D2166" t="s">
        <v>18</v>
      </c>
      <c r="E2166" t="s">
        <v>16</v>
      </c>
      <c r="F2166" t="s">
        <v>12</v>
      </c>
      <c r="G2166" t="s">
        <v>13</v>
      </c>
      <c r="H2166" t="s">
        <v>13</v>
      </c>
      <c r="I2166">
        <v>20</v>
      </c>
      <c r="J2166">
        <f>ABS((I2166-EDA!$A$15)/EDA!$B$15)</f>
        <v>1.5512169488383079</v>
      </c>
      <c r="K2166" t="str">
        <f t="shared" si="33"/>
        <v>No</v>
      </c>
      <c r="L2166">
        <f>ABS((C2166-EDA!$F$15)/EDA!$G$15)</f>
        <v>0.37063570108870048</v>
      </c>
      <c r="M2166" t="str">
        <f>IF(moras[[#This Row],[Z-Score Salario]]&gt;1.96, "Sí", "No")</f>
        <v>No</v>
      </c>
      <c r="N2166" s="14">
        <f>IF(ISBLANK(moras[[#This Row],[SALARIO]]), EDA!$M$8, moras[[#This Row],[SALARIO]])</f>
        <v>301566</v>
      </c>
      <c r="O2166" s="14">
        <f xml:space="preserve"> IF(ISBLANK(moras[[#This Row],[EDAD]]), EDA!$E$8, moras[[#This Row],[EDAD]])</f>
        <v>20</v>
      </c>
      <c r="P2166" s="14" t="str">
        <f>IF(
    OR(ISBLANK(moras[[#This Row],[TIPO_ASEGURAMIENTO]]), moras[[#This Row],[TIPO_ASEGURAMIENTO]]=""),
    EDA!$A$32,
    moras[[#This Row],[TIPO_ASEGURAMIENTO]]
)</f>
        <v>TRABAJADOR INDEPENDIENTE</v>
      </c>
    </row>
    <row r="2167" spans="1:16" x14ac:dyDescent="0.3">
      <c r="A2167">
        <v>2166</v>
      </c>
      <c r="B2167" t="s">
        <v>9</v>
      </c>
      <c r="C2167">
        <v>183333</v>
      </c>
      <c r="D2167" t="s">
        <v>10</v>
      </c>
      <c r="E2167" t="s">
        <v>16</v>
      </c>
      <c r="F2167" t="s">
        <v>12</v>
      </c>
      <c r="G2167" t="s">
        <v>12</v>
      </c>
      <c r="H2167" t="s">
        <v>12</v>
      </c>
      <c r="I2167">
        <v>30</v>
      </c>
      <c r="J2167">
        <f>ABS((I2167-EDA!$A$15)/EDA!$B$15)</f>
        <v>0.84546364806693275</v>
      </c>
      <c r="K2167" t="str">
        <f t="shared" si="33"/>
        <v>No</v>
      </c>
      <c r="L2167">
        <f>ABS((C2167-EDA!$F$15)/EDA!$G$15)</f>
        <v>0.37260318167081724</v>
      </c>
      <c r="M2167" t="str">
        <f>IF(moras[[#This Row],[Z-Score Salario]]&gt;1.96, "Sí", "No")</f>
        <v>No</v>
      </c>
      <c r="N2167" s="14">
        <f>IF(ISBLANK(moras[[#This Row],[SALARIO]]), EDA!$M$8, moras[[#This Row],[SALARIO]])</f>
        <v>183333</v>
      </c>
      <c r="O2167" s="14">
        <f xml:space="preserve"> IF(ISBLANK(moras[[#This Row],[EDAD]]), EDA!$E$8, moras[[#This Row],[EDAD]])</f>
        <v>30</v>
      </c>
      <c r="P2167" s="14" t="str">
        <f>IF(
    OR(ISBLANK(moras[[#This Row],[TIPO_ASEGURAMIENTO]]), moras[[#This Row],[TIPO_ASEGURAMIENTO]]=""),
    EDA!$A$32,
    moras[[#This Row],[TIPO_ASEGURAMIENTO]]
)</f>
        <v>ASALARIADO</v>
      </c>
    </row>
    <row r="2168" spans="1:16" x14ac:dyDescent="0.3">
      <c r="A2168">
        <v>2167</v>
      </c>
      <c r="B2168" t="s">
        <v>9</v>
      </c>
      <c r="C2168">
        <v>297045</v>
      </c>
      <c r="D2168" t="s">
        <v>17</v>
      </c>
      <c r="E2168" t="s">
        <v>16</v>
      </c>
      <c r="F2168" t="s">
        <v>12</v>
      </c>
      <c r="G2168" t="s">
        <v>12</v>
      </c>
      <c r="H2168" t="s">
        <v>13</v>
      </c>
      <c r="I2168">
        <v>28</v>
      </c>
      <c r="J2168">
        <f>ABS((I2168-EDA!$A$15)/EDA!$B$15)</f>
        <v>0.98661430822120777</v>
      </c>
      <c r="K2168" t="str">
        <f t="shared" si="33"/>
        <v>No</v>
      </c>
      <c r="L2168">
        <f>ABS((C2168-EDA!$F$15)/EDA!$G$15)</f>
        <v>0.37071093372012948</v>
      </c>
      <c r="M2168" t="str">
        <f>IF(moras[[#This Row],[Z-Score Salario]]&gt;1.96, "Sí", "No")</f>
        <v>No</v>
      </c>
      <c r="N2168" s="14">
        <f>IF(ISBLANK(moras[[#This Row],[SALARIO]]), EDA!$M$8, moras[[#This Row],[SALARIO]])</f>
        <v>297045</v>
      </c>
      <c r="O2168" s="14">
        <f xml:space="preserve"> IF(ISBLANK(moras[[#This Row],[EDAD]]), EDA!$E$8, moras[[#This Row],[EDAD]])</f>
        <v>28</v>
      </c>
      <c r="P2168" s="14" t="str">
        <f>IF(
    OR(ISBLANK(moras[[#This Row],[TIPO_ASEGURAMIENTO]]), moras[[#This Row],[TIPO_ASEGURAMIENTO]]=""),
    EDA!$A$32,
    moras[[#This Row],[TIPO_ASEGURAMIENTO]]
)</f>
        <v>ASEGURADO VOLUNTARIO</v>
      </c>
    </row>
    <row r="2169" spans="1:16" x14ac:dyDescent="0.3">
      <c r="A2169">
        <v>2168</v>
      </c>
      <c r="B2169" t="s">
        <v>9</v>
      </c>
      <c r="C2169">
        <v>3353775</v>
      </c>
      <c r="D2169" t="s">
        <v>10</v>
      </c>
      <c r="E2169" t="s">
        <v>16</v>
      </c>
      <c r="F2169" t="s">
        <v>12</v>
      </c>
      <c r="G2169" t="s">
        <v>13</v>
      </c>
      <c r="H2169" t="s">
        <v>13</v>
      </c>
      <c r="I2169">
        <v>22</v>
      </c>
      <c r="J2169">
        <f>ABS((I2169-EDA!$A$15)/EDA!$B$15)</f>
        <v>1.4100662886840327</v>
      </c>
      <c r="K2169" t="str">
        <f t="shared" si="33"/>
        <v>No</v>
      </c>
      <c r="L2169">
        <f>ABS((C2169-EDA!$F$15)/EDA!$G$15)</f>
        <v>0.31984478873713901</v>
      </c>
      <c r="M2169" t="str">
        <f>IF(moras[[#This Row],[Z-Score Salario]]&gt;1.96, "Sí", "No")</f>
        <v>No</v>
      </c>
      <c r="N2169" s="14">
        <f>IF(ISBLANK(moras[[#This Row],[SALARIO]]), EDA!$M$8, moras[[#This Row],[SALARIO]])</f>
        <v>3353775</v>
      </c>
      <c r="O2169" s="14">
        <f xml:space="preserve"> IF(ISBLANK(moras[[#This Row],[EDAD]]), EDA!$E$8, moras[[#This Row],[EDAD]])</f>
        <v>22</v>
      </c>
      <c r="P2169" s="14" t="str">
        <f>IF(
    OR(ISBLANK(moras[[#This Row],[TIPO_ASEGURAMIENTO]]), moras[[#This Row],[TIPO_ASEGURAMIENTO]]=""),
    EDA!$A$32,
    moras[[#This Row],[TIPO_ASEGURAMIENTO]]
)</f>
        <v>ASALARIADO</v>
      </c>
    </row>
    <row r="2170" spans="1:16" x14ac:dyDescent="0.3">
      <c r="A2170">
        <v>2169</v>
      </c>
      <c r="B2170" t="s">
        <v>9</v>
      </c>
      <c r="C2170">
        <v>210000</v>
      </c>
      <c r="D2170" t="s">
        <v>10</v>
      </c>
      <c r="E2170" t="s">
        <v>16</v>
      </c>
      <c r="F2170" t="s">
        <v>12</v>
      </c>
      <c r="G2170" t="s">
        <v>13</v>
      </c>
      <c r="H2170" t="s">
        <v>13</v>
      </c>
      <c r="I2170">
        <v>26</v>
      </c>
      <c r="J2170">
        <f>ABS((I2170-EDA!$A$15)/EDA!$B$15)</f>
        <v>1.1277649683754829</v>
      </c>
      <c r="K2170" t="str">
        <f t="shared" si="33"/>
        <v>No</v>
      </c>
      <c r="L2170">
        <f>ABS((C2170-EDA!$F$15)/EDA!$G$15)</f>
        <v>0.37215942396625667</v>
      </c>
      <c r="M2170" t="str">
        <f>IF(moras[[#This Row],[Z-Score Salario]]&gt;1.96, "Sí", "No")</f>
        <v>No</v>
      </c>
      <c r="N2170" s="14">
        <f>IF(ISBLANK(moras[[#This Row],[SALARIO]]), EDA!$M$8, moras[[#This Row],[SALARIO]])</f>
        <v>210000</v>
      </c>
      <c r="O2170" s="14">
        <f xml:space="preserve"> IF(ISBLANK(moras[[#This Row],[EDAD]]), EDA!$E$8, moras[[#This Row],[EDAD]])</f>
        <v>26</v>
      </c>
      <c r="P2170" s="14" t="str">
        <f>IF(
    OR(ISBLANK(moras[[#This Row],[TIPO_ASEGURAMIENTO]]), moras[[#This Row],[TIPO_ASEGURAMIENTO]]=""),
    EDA!$A$32,
    moras[[#This Row],[TIPO_ASEGURAMIENTO]]
)</f>
        <v>ASALARIADO</v>
      </c>
    </row>
    <row r="2171" spans="1:16" x14ac:dyDescent="0.3">
      <c r="A2171">
        <v>2170</v>
      </c>
      <c r="B2171" t="s">
        <v>15</v>
      </c>
      <c r="C2171">
        <v>81388834</v>
      </c>
      <c r="D2171" t="s">
        <v>10</v>
      </c>
      <c r="E2171" t="s">
        <v>11</v>
      </c>
      <c r="F2171" t="s">
        <v>12</v>
      </c>
      <c r="G2171" t="s">
        <v>13</v>
      </c>
      <c r="H2171" t="s">
        <v>13</v>
      </c>
      <c r="I2171">
        <v>29</v>
      </c>
      <c r="J2171">
        <f>ABS((I2171-EDA!$A$15)/EDA!$B$15)</f>
        <v>0.91603897814407031</v>
      </c>
      <c r="K2171" t="str">
        <f t="shared" si="33"/>
        <v>No</v>
      </c>
      <c r="L2171">
        <f>ABS((C2171-EDA!$F$15)/EDA!$G$15)</f>
        <v>0.97871367892281658</v>
      </c>
      <c r="M2171" t="str">
        <f>IF(moras[[#This Row],[Z-Score Salario]]&gt;1.96, "Sí", "No")</f>
        <v>No</v>
      </c>
      <c r="N2171" s="14">
        <f>IF(ISBLANK(moras[[#This Row],[SALARIO]]), EDA!$M$8, moras[[#This Row],[SALARIO]])</f>
        <v>81388834</v>
      </c>
      <c r="O2171" s="14">
        <f xml:space="preserve"> IF(ISBLANK(moras[[#This Row],[EDAD]]), EDA!$E$8, moras[[#This Row],[EDAD]])</f>
        <v>29</v>
      </c>
      <c r="P2171" s="14" t="str">
        <f>IF(
    OR(ISBLANK(moras[[#This Row],[TIPO_ASEGURAMIENTO]]), moras[[#This Row],[TIPO_ASEGURAMIENTO]]=""),
    EDA!$A$32,
    moras[[#This Row],[TIPO_ASEGURAMIENTO]]
)</f>
        <v>ASALARIADO</v>
      </c>
    </row>
    <row r="2172" spans="1:16" x14ac:dyDescent="0.3">
      <c r="A2172">
        <v>2171</v>
      </c>
      <c r="B2172" t="s">
        <v>15</v>
      </c>
      <c r="C2172">
        <v>297045</v>
      </c>
      <c r="D2172" t="s">
        <v>18</v>
      </c>
      <c r="E2172" t="s">
        <v>16</v>
      </c>
      <c r="F2172" t="s">
        <v>12</v>
      </c>
      <c r="G2172" t="s">
        <v>12</v>
      </c>
      <c r="H2172" t="s">
        <v>12</v>
      </c>
      <c r="I2172">
        <v>41</v>
      </c>
      <c r="J2172">
        <f>ABS((I2172-EDA!$A$15)/EDA!$B$15)</f>
        <v>6.9135017218420233E-2</v>
      </c>
      <c r="K2172" t="str">
        <f t="shared" si="33"/>
        <v>No</v>
      </c>
      <c r="L2172">
        <f>ABS((C2172-EDA!$F$15)/EDA!$G$15)</f>
        <v>0.37071093372012948</v>
      </c>
      <c r="M2172" t="str">
        <f>IF(moras[[#This Row],[Z-Score Salario]]&gt;1.96, "Sí", "No")</f>
        <v>No</v>
      </c>
      <c r="N2172" s="14">
        <f>IF(ISBLANK(moras[[#This Row],[SALARIO]]), EDA!$M$8, moras[[#This Row],[SALARIO]])</f>
        <v>297045</v>
      </c>
      <c r="O2172" s="14">
        <f xml:space="preserve"> IF(ISBLANK(moras[[#This Row],[EDAD]]), EDA!$E$8, moras[[#This Row],[EDAD]])</f>
        <v>41</v>
      </c>
      <c r="P2172" s="14" t="str">
        <f>IF(
    OR(ISBLANK(moras[[#This Row],[TIPO_ASEGURAMIENTO]]), moras[[#This Row],[TIPO_ASEGURAMIENTO]]=""),
    EDA!$A$32,
    moras[[#This Row],[TIPO_ASEGURAMIENTO]]
)</f>
        <v>TRABAJADOR INDEPENDIENTE</v>
      </c>
    </row>
    <row r="2173" spans="1:16" x14ac:dyDescent="0.3">
      <c r="A2173">
        <v>2172</v>
      </c>
      <c r="B2173" t="s">
        <v>15</v>
      </c>
      <c r="C2173">
        <v>91242805</v>
      </c>
      <c r="D2173" t="s">
        <v>10</v>
      </c>
      <c r="E2173" t="s">
        <v>16</v>
      </c>
      <c r="F2173" t="s">
        <v>12</v>
      </c>
      <c r="G2173" t="s">
        <v>13</v>
      </c>
      <c r="H2173" t="s">
        <v>13</v>
      </c>
      <c r="I2173">
        <v>24</v>
      </c>
      <c r="J2173">
        <f>ABS((I2173-EDA!$A$15)/EDA!$B$15)</f>
        <v>1.2689156285297578</v>
      </c>
      <c r="K2173" t="str">
        <f t="shared" si="33"/>
        <v>No</v>
      </c>
      <c r="L2173">
        <f>ABS((C2173-EDA!$F$15)/EDA!$G$15)</f>
        <v>1.1426907124011358</v>
      </c>
      <c r="M2173" t="str">
        <f>IF(moras[[#This Row],[Z-Score Salario]]&gt;1.96, "Sí", "No")</f>
        <v>No</v>
      </c>
      <c r="N2173" s="14">
        <f>IF(ISBLANK(moras[[#This Row],[SALARIO]]), EDA!$M$8, moras[[#This Row],[SALARIO]])</f>
        <v>91242805</v>
      </c>
      <c r="O2173" s="14">
        <f xml:space="preserve"> IF(ISBLANK(moras[[#This Row],[EDAD]]), EDA!$E$8, moras[[#This Row],[EDAD]])</f>
        <v>24</v>
      </c>
      <c r="P2173" s="14" t="str">
        <f>IF(
    OR(ISBLANK(moras[[#This Row],[TIPO_ASEGURAMIENTO]]), moras[[#This Row],[TIPO_ASEGURAMIENTO]]=""),
    EDA!$A$32,
    moras[[#This Row],[TIPO_ASEGURAMIENTO]]
)</f>
        <v>ASALARIADO</v>
      </c>
    </row>
    <row r="2174" spans="1:16" x14ac:dyDescent="0.3">
      <c r="A2174">
        <v>2173</v>
      </c>
      <c r="B2174" t="s">
        <v>9</v>
      </c>
      <c r="C2174">
        <v>76228334</v>
      </c>
      <c r="D2174" t="s">
        <v>10</v>
      </c>
      <c r="E2174" t="s">
        <v>16</v>
      </c>
      <c r="F2174" t="s">
        <v>12</v>
      </c>
      <c r="G2174" t="s">
        <v>13</v>
      </c>
      <c r="H2174" t="s">
        <v>13</v>
      </c>
      <c r="I2174">
        <v>46</v>
      </c>
      <c r="J2174">
        <f>ABS((I2174-EDA!$A$15)/EDA!$B$15)</f>
        <v>0.2837416331672673</v>
      </c>
      <c r="K2174" t="str">
        <f t="shared" si="33"/>
        <v>No</v>
      </c>
      <c r="L2174">
        <f>ABS((C2174-EDA!$F$15)/EDA!$G$15)</f>
        <v>0.89283931606292299</v>
      </c>
      <c r="M2174" t="str">
        <f>IF(moras[[#This Row],[Z-Score Salario]]&gt;1.96, "Sí", "No")</f>
        <v>No</v>
      </c>
      <c r="N2174" s="14">
        <f>IF(ISBLANK(moras[[#This Row],[SALARIO]]), EDA!$M$8, moras[[#This Row],[SALARIO]])</f>
        <v>76228334</v>
      </c>
      <c r="O2174" s="14">
        <f xml:space="preserve"> IF(ISBLANK(moras[[#This Row],[EDAD]]), EDA!$E$8, moras[[#This Row],[EDAD]])</f>
        <v>46</v>
      </c>
      <c r="P2174" s="14" t="str">
        <f>IF(
    OR(ISBLANK(moras[[#This Row],[TIPO_ASEGURAMIENTO]]), moras[[#This Row],[TIPO_ASEGURAMIENTO]]=""),
    EDA!$A$32,
    moras[[#This Row],[TIPO_ASEGURAMIENTO]]
)</f>
        <v>ASALARIADO</v>
      </c>
    </row>
    <row r="2175" spans="1:16" x14ac:dyDescent="0.3">
      <c r="A2175">
        <v>2174</v>
      </c>
      <c r="B2175" t="s">
        <v>9</v>
      </c>
      <c r="C2175">
        <v>213049</v>
      </c>
      <c r="D2175" t="s">
        <v>10</v>
      </c>
      <c r="E2175" t="s">
        <v>16</v>
      </c>
      <c r="F2175" t="s">
        <v>12</v>
      </c>
      <c r="G2175" t="s">
        <v>13</v>
      </c>
      <c r="H2175" t="s">
        <v>13</v>
      </c>
      <c r="I2175">
        <v>42</v>
      </c>
      <c r="J2175">
        <f>ABS((I2175-EDA!$A$15)/EDA!$B$15)</f>
        <v>1.4403128587172659E-3</v>
      </c>
      <c r="K2175" t="str">
        <f t="shared" si="33"/>
        <v>No</v>
      </c>
      <c r="L2175">
        <f>ABS((C2175-EDA!$F$15)/EDA!$G$15)</f>
        <v>0.37210868645393042</v>
      </c>
      <c r="M2175" t="str">
        <f>IF(moras[[#This Row],[Z-Score Salario]]&gt;1.96, "Sí", "No")</f>
        <v>No</v>
      </c>
      <c r="N2175" s="14">
        <f>IF(ISBLANK(moras[[#This Row],[SALARIO]]), EDA!$M$8, moras[[#This Row],[SALARIO]])</f>
        <v>213049</v>
      </c>
      <c r="O2175" s="14">
        <f xml:space="preserve"> IF(ISBLANK(moras[[#This Row],[EDAD]]), EDA!$E$8, moras[[#This Row],[EDAD]])</f>
        <v>42</v>
      </c>
      <c r="P2175" s="14" t="str">
        <f>IF(
    OR(ISBLANK(moras[[#This Row],[TIPO_ASEGURAMIENTO]]), moras[[#This Row],[TIPO_ASEGURAMIENTO]]=""),
    EDA!$A$32,
    moras[[#This Row],[TIPO_ASEGURAMIENTO]]
)</f>
        <v>ASALARIADO</v>
      </c>
    </row>
    <row r="2176" spans="1:16" x14ac:dyDescent="0.3">
      <c r="A2176">
        <v>2175</v>
      </c>
      <c r="B2176" t="s">
        <v>9</v>
      </c>
      <c r="C2176">
        <v>560000</v>
      </c>
      <c r="D2176" t="s">
        <v>10</v>
      </c>
      <c r="E2176" t="s">
        <v>16</v>
      </c>
      <c r="F2176" t="s">
        <v>12</v>
      </c>
      <c r="G2176" t="s">
        <v>13</v>
      </c>
      <c r="H2176" t="s">
        <v>13</v>
      </c>
      <c r="I2176">
        <v>47</v>
      </c>
      <c r="J2176">
        <f>ABS((I2176-EDA!$A$15)/EDA!$B$15)</f>
        <v>0.35431696324440481</v>
      </c>
      <c r="K2176" t="str">
        <f t="shared" si="33"/>
        <v>No</v>
      </c>
      <c r="L2176">
        <f>ABS((C2176-EDA!$F$15)/EDA!$G$15)</f>
        <v>0.36633517689698769</v>
      </c>
      <c r="M2176" t="str">
        <f>IF(moras[[#This Row],[Z-Score Salario]]&gt;1.96, "Sí", "No")</f>
        <v>No</v>
      </c>
      <c r="N2176" s="14">
        <f>IF(ISBLANK(moras[[#This Row],[SALARIO]]), EDA!$M$8, moras[[#This Row],[SALARIO]])</f>
        <v>560000</v>
      </c>
      <c r="O2176" s="14">
        <f xml:space="preserve"> IF(ISBLANK(moras[[#This Row],[EDAD]]), EDA!$E$8, moras[[#This Row],[EDAD]])</f>
        <v>47</v>
      </c>
      <c r="P2176" s="14" t="str">
        <f>IF(
    OR(ISBLANK(moras[[#This Row],[TIPO_ASEGURAMIENTO]]), moras[[#This Row],[TIPO_ASEGURAMIENTO]]=""),
    EDA!$A$32,
    moras[[#This Row],[TIPO_ASEGURAMIENTO]]
)</f>
        <v>ASALARIADO</v>
      </c>
    </row>
    <row r="2177" spans="1:16" x14ac:dyDescent="0.3">
      <c r="A2177">
        <v>2176</v>
      </c>
      <c r="B2177" t="s">
        <v>15</v>
      </c>
      <c r="C2177">
        <v>12739096</v>
      </c>
      <c r="D2177" t="s">
        <v>10</v>
      </c>
      <c r="E2177" t="s">
        <v>16</v>
      </c>
      <c r="F2177" t="s">
        <v>12</v>
      </c>
      <c r="G2177" t="s">
        <v>12</v>
      </c>
      <c r="H2177" t="s">
        <v>13</v>
      </c>
      <c r="I2177">
        <v>48</v>
      </c>
      <c r="J2177">
        <f>ABS((I2177-EDA!$A$15)/EDA!$B$15)</f>
        <v>0.42489229332154227</v>
      </c>
      <c r="K2177" t="str">
        <f t="shared" si="33"/>
        <v>No</v>
      </c>
      <c r="L2177">
        <f>ABS((C2177-EDA!$F$15)/EDA!$G$15)</f>
        <v>0.16366642208457069</v>
      </c>
      <c r="M2177" t="str">
        <f>IF(moras[[#This Row],[Z-Score Salario]]&gt;1.96, "Sí", "No")</f>
        <v>No</v>
      </c>
      <c r="N2177" s="14">
        <f>IF(ISBLANK(moras[[#This Row],[SALARIO]]), EDA!$M$8, moras[[#This Row],[SALARIO]])</f>
        <v>12739096</v>
      </c>
      <c r="O2177" s="14">
        <f xml:space="preserve"> IF(ISBLANK(moras[[#This Row],[EDAD]]), EDA!$E$8, moras[[#This Row],[EDAD]])</f>
        <v>48</v>
      </c>
      <c r="P2177" s="14" t="str">
        <f>IF(
    OR(ISBLANK(moras[[#This Row],[TIPO_ASEGURAMIENTO]]), moras[[#This Row],[TIPO_ASEGURAMIENTO]]=""),
    EDA!$A$32,
    moras[[#This Row],[TIPO_ASEGURAMIENTO]]
)</f>
        <v>ASALARIADO</v>
      </c>
    </row>
    <row r="2178" spans="1:16" x14ac:dyDescent="0.3">
      <c r="A2178">
        <v>2177</v>
      </c>
      <c r="B2178" t="s">
        <v>9</v>
      </c>
      <c r="C2178">
        <v>12000</v>
      </c>
      <c r="D2178" t="s">
        <v>10</v>
      </c>
      <c r="E2178" t="s">
        <v>16</v>
      </c>
      <c r="F2178" t="s">
        <v>12</v>
      </c>
      <c r="G2178" t="s">
        <v>13</v>
      </c>
      <c r="H2178" t="s">
        <v>12</v>
      </c>
      <c r="I2178">
        <v>24</v>
      </c>
      <c r="J2178">
        <f>ABS((I2178-EDA!$A$15)/EDA!$B$15)</f>
        <v>1.2689156285297578</v>
      </c>
      <c r="K2178" t="str">
        <f t="shared" ref="K2178:K2241" si="34">IF(J2178 &gt;  1.96, "Sí","No")</f>
        <v>No</v>
      </c>
      <c r="L2178">
        <f>ABS((C2178-EDA!$F$15)/EDA!$G$15)</f>
        <v>0.37545428373687173</v>
      </c>
      <c r="M2178" t="str">
        <f>IF(moras[[#This Row],[Z-Score Salario]]&gt;1.96, "Sí", "No")</f>
        <v>No</v>
      </c>
      <c r="N2178" s="14">
        <f>IF(ISBLANK(moras[[#This Row],[SALARIO]]), EDA!$M$8, moras[[#This Row],[SALARIO]])</f>
        <v>12000</v>
      </c>
      <c r="O2178" s="14">
        <f xml:space="preserve"> IF(ISBLANK(moras[[#This Row],[EDAD]]), EDA!$E$8, moras[[#This Row],[EDAD]])</f>
        <v>24</v>
      </c>
      <c r="P2178" s="14" t="str">
        <f>IF(
    OR(ISBLANK(moras[[#This Row],[TIPO_ASEGURAMIENTO]]), moras[[#This Row],[TIPO_ASEGURAMIENTO]]=""),
    EDA!$A$32,
    moras[[#This Row],[TIPO_ASEGURAMIENTO]]
)</f>
        <v>ASALARIADO</v>
      </c>
    </row>
    <row r="2179" spans="1:16" x14ac:dyDescent="0.3">
      <c r="A2179">
        <v>2178</v>
      </c>
      <c r="B2179" t="s">
        <v>9</v>
      </c>
      <c r="C2179">
        <v>115458675</v>
      </c>
      <c r="D2179" t="s">
        <v>10</v>
      </c>
      <c r="E2179" t="s">
        <v>16</v>
      </c>
      <c r="F2179" t="s">
        <v>12</v>
      </c>
      <c r="G2179" t="s">
        <v>13</v>
      </c>
      <c r="H2179" t="s">
        <v>13</v>
      </c>
      <c r="I2179">
        <v>30</v>
      </c>
      <c r="J2179">
        <f>ABS((I2179-EDA!$A$15)/EDA!$B$15)</f>
        <v>0.84546364806693275</v>
      </c>
      <c r="K2179" t="str">
        <f t="shared" si="34"/>
        <v>No</v>
      </c>
      <c r="L2179">
        <f>ABS((C2179-EDA!$F$15)/EDA!$G$15)</f>
        <v>1.5456598834791342</v>
      </c>
      <c r="M2179" t="str">
        <f>IF(moras[[#This Row],[Z-Score Salario]]&gt;1.96, "Sí", "No")</f>
        <v>No</v>
      </c>
      <c r="N2179" s="14">
        <f>IF(ISBLANK(moras[[#This Row],[SALARIO]]), EDA!$M$8, moras[[#This Row],[SALARIO]])</f>
        <v>115458675</v>
      </c>
      <c r="O2179" s="14">
        <f xml:space="preserve"> IF(ISBLANK(moras[[#This Row],[EDAD]]), EDA!$E$8, moras[[#This Row],[EDAD]])</f>
        <v>30</v>
      </c>
      <c r="P2179" s="14" t="str">
        <f>IF(
    OR(ISBLANK(moras[[#This Row],[TIPO_ASEGURAMIENTO]]), moras[[#This Row],[TIPO_ASEGURAMIENTO]]=""),
    EDA!$A$32,
    moras[[#This Row],[TIPO_ASEGURAMIENTO]]
)</f>
        <v>ASALARIADO</v>
      </c>
    </row>
    <row r="2180" spans="1:16" x14ac:dyDescent="0.3">
      <c r="A2180">
        <v>2179</v>
      </c>
      <c r="B2180" t="s">
        <v>9</v>
      </c>
      <c r="C2180">
        <v>39429568</v>
      </c>
      <c r="D2180" t="s">
        <v>10</v>
      </c>
      <c r="E2180" t="s">
        <v>16</v>
      </c>
      <c r="F2180" t="s">
        <v>12</v>
      </c>
      <c r="G2180" t="s">
        <v>13</v>
      </c>
      <c r="H2180" t="s">
        <v>13</v>
      </c>
      <c r="I2180">
        <v>42</v>
      </c>
      <c r="J2180">
        <f>ABS((I2180-EDA!$A$15)/EDA!$B$15)</f>
        <v>1.4403128587172659E-3</v>
      </c>
      <c r="K2180" t="str">
        <f t="shared" si="34"/>
        <v>No</v>
      </c>
      <c r="L2180">
        <f>ABS((C2180-EDA!$F$15)/EDA!$G$15)</f>
        <v>0.28048187312516254</v>
      </c>
      <c r="M2180" t="str">
        <f>IF(moras[[#This Row],[Z-Score Salario]]&gt;1.96, "Sí", "No")</f>
        <v>No</v>
      </c>
      <c r="N2180" s="14">
        <f>IF(ISBLANK(moras[[#This Row],[SALARIO]]), EDA!$M$8, moras[[#This Row],[SALARIO]])</f>
        <v>39429568</v>
      </c>
      <c r="O2180" s="14">
        <f xml:space="preserve"> IF(ISBLANK(moras[[#This Row],[EDAD]]), EDA!$E$8, moras[[#This Row],[EDAD]])</f>
        <v>42</v>
      </c>
      <c r="P2180" s="14" t="str">
        <f>IF(
    OR(ISBLANK(moras[[#This Row],[TIPO_ASEGURAMIENTO]]), moras[[#This Row],[TIPO_ASEGURAMIENTO]]=""),
    EDA!$A$32,
    moras[[#This Row],[TIPO_ASEGURAMIENTO]]
)</f>
        <v>ASALARIADO</v>
      </c>
    </row>
    <row r="2181" spans="1:16" x14ac:dyDescent="0.3">
      <c r="A2181">
        <v>2180</v>
      </c>
      <c r="B2181" t="s">
        <v>9</v>
      </c>
      <c r="C2181">
        <v>10000</v>
      </c>
      <c r="D2181" t="s">
        <v>10</v>
      </c>
      <c r="E2181" t="s">
        <v>16</v>
      </c>
      <c r="F2181" t="s">
        <v>12</v>
      </c>
      <c r="G2181" t="s">
        <v>12</v>
      </c>
      <c r="H2181" t="s">
        <v>13</v>
      </c>
      <c r="I2181">
        <v>34</v>
      </c>
      <c r="J2181">
        <f>ABS((I2181-EDA!$A$15)/EDA!$B$15)</f>
        <v>0.56316232775838282</v>
      </c>
      <c r="K2181" t="str">
        <f t="shared" si="34"/>
        <v>No</v>
      </c>
      <c r="L2181">
        <f>ABS((C2181-EDA!$F$15)/EDA!$G$15)</f>
        <v>0.37548756514869613</v>
      </c>
      <c r="M2181" t="str">
        <f>IF(moras[[#This Row],[Z-Score Salario]]&gt;1.96, "Sí", "No")</f>
        <v>No</v>
      </c>
      <c r="N2181" s="14">
        <f>IF(ISBLANK(moras[[#This Row],[SALARIO]]), EDA!$M$8, moras[[#This Row],[SALARIO]])</f>
        <v>10000</v>
      </c>
      <c r="O2181" s="14">
        <f xml:space="preserve"> IF(ISBLANK(moras[[#This Row],[EDAD]]), EDA!$E$8, moras[[#This Row],[EDAD]])</f>
        <v>34</v>
      </c>
      <c r="P2181" s="14" t="str">
        <f>IF(
    OR(ISBLANK(moras[[#This Row],[TIPO_ASEGURAMIENTO]]), moras[[#This Row],[TIPO_ASEGURAMIENTO]]=""),
    EDA!$A$32,
    moras[[#This Row],[TIPO_ASEGURAMIENTO]]
)</f>
        <v>ASALARIADO</v>
      </c>
    </row>
    <row r="2182" spans="1:16" x14ac:dyDescent="0.3">
      <c r="A2182">
        <v>2181</v>
      </c>
      <c r="B2182" t="s">
        <v>9</v>
      </c>
      <c r="C2182">
        <v>295970</v>
      </c>
      <c r="D2182" t="s">
        <v>18</v>
      </c>
      <c r="E2182" t="s">
        <v>16</v>
      </c>
      <c r="F2182" t="s">
        <v>12</v>
      </c>
      <c r="G2182" t="s">
        <v>13</v>
      </c>
      <c r="H2182" t="s">
        <v>13</v>
      </c>
      <c r="I2182">
        <v>28</v>
      </c>
      <c r="J2182">
        <f>ABS((I2182-EDA!$A$15)/EDA!$B$15)</f>
        <v>0.98661430822120777</v>
      </c>
      <c r="K2182" t="str">
        <f t="shared" si="34"/>
        <v>No</v>
      </c>
      <c r="L2182">
        <f>ABS((C2182-EDA!$F$15)/EDA!$G$15)</f>
        <v>0.37072882247898509</v>
      </c>
      <c r="M2182" t="str">
        <f>IF(moras[[#This Row],[Z-Score Salario]]&gt;1.96, "Sí", "No")</f>
        <v>No</v>
      </c>
      <c r="N2182" s="14">
        <f>IF(ISBLANK(moras[[#This Row],[SALARIO]]), EDA!$M$8, moras[[#This Row],[SALARIO]])</f>
        <v>295970</v>
      </c>
      <c r="O2182" s="14">
        <f xml:space="preserve"> IF(ISBLANK(moras[[#This Row],[EDAD]]), EDA!$E$8, moras[[#This Row],[EDAD]])</f>
        <v>28</v>
      </c>
      <c r="P2182" s="14" t="str">
        <f>IF(
    OR(ISBLANK(moras[[#This Row],[TIPO_ASEGURAMIENTO]]), moras[[#This Row],[TIPO_ASEGURAMIENTO]]=""),
    EDA!$A$32,
    moras[[#This Row],[TIPO_ASEGURAMIENTO]]
)</f>
        <v>TRABAJADOR INDEPENDIENTE</v>
      </c>
    </row>
    <row r="2183" spans="1:16" x14ac:dyDescent="0.3">
      <c r="A2183">
        <v>2182</v>
      </c>
      <c r="B2183" t="s">
        <v>9</v>
      </c>
      <c r="C2183">
        <v>1042448</v>
      </c>
      <c r="D2183" t="s">
        <v>10</v>
      </c>
      <c r="E2183" t="s">
        <v>16</v>
      </c>
      <c r="F2183" t="s">
        <v>12</v>
      </c>
      <c r="G2183" t="s">
        <v>13</v>
      </c>
      <c r="H2183" t="s">
        <v>13</v>
      </c>
      <c r="I2183">
        <v>33</v>
      </c>
      <c r="J2183">
        <f>ABS((I2183-EDA!$A$15)/EDA!$B$15)</f>
        <v>0.63373765783552027</v>
      </c>
      <c r="K2183" t="str">
        <f t="shared" si="34"/>
        <v>No</v>
      </c>
      <c r="L2183">
        <f>ABS((C2183-EDA!$F$15)/EDA!$G$15)</f>
        <v>0.35830690161105999</v>
      </c>
      <c r="M2183" t="str">
        <f>IF(moras[[#This Row],[Z-Score Salario]]&gt;1.96, "Sí", "No")</f>
        <v>No</v>
      </c>
      <c r="N2183" s="14">
        <f>IF(ISBLANK(moras[[#This Row],[SALARIO]]), EDA!$M$8, moras[[#This Row],[SALARIO]])</f>
        <v>1042448</v>
      </c>
      <c r="O2183" s="14">
        <f xml:space="preserve"> IF(ISBLANK(moras[[#This Row],[EDAD]]), EDA!$E$8, moras[[#This Row],[EDAD]])</f>
        <v>33</v>
      </c>
      <c r="P2183" s="14" t="str">
        <f>IF(
    OR(ISBLANK(moras[[#This Row],[TIPO_ASEGURAMIENTO]]), moras[[#This Row],[TIPO_ASEGURAMIENTO]]=""),
    EDA!$A$32,
    moras[[#This Row],[TIPO_ASEGURAMIENTO]]
)</f>
        <v>ASALARIADO</v>
      </c>
    </row>
    <row r="2184" spans="1:16" x14ac:dyDescent="0.3">
      <c r="A2184">
        <v>2183</v>
      </c>
      <c r="B2184" t="s">
        <v>9</v>
      </c>
      <c r="C2184">
        <v>31310976</v>
      </c>
      <c r="D2184" t="s">
        <v>10</v>
      </c>
      <c r="E2184" t="s">
        <v>16</v>
      </c>
      <c r="F2184" t="s">
        <v>12</v>
      </c>
      <c r="G2184" t="s">
        <v>12</v>
      </c>
      <c r="H2184" t="s">
        <v>13</v>
      </c>
      <c r="I2184">
        <v>55</v>
      </c>
      <c r="J2184">
        <f>ABS((I2184-EDA!$A$15)/EDA!$B$15)</f>
        <v>0.91891960386150484</v>
      </c>
      <c r="K2184" t="str">
        <f t="shared" si="34"/>
        <v>No</v>
      </c>
      <c r="L2184">
        <f>ABS((C2184-EDA!$F$15)/EDA!$G$15)</f>
        <v>0.14538277123204582</v>
      </c>
      <c r="M2184" t="str">
        <f>IF(moras[[#This Row],[Z-Score Salario]]&gt;1.96, "Sí", "No")</f>
        <v>No</v>
      </c>
      <c r="N2184" s="14">
        <f>IF(ISBLANK(moras[[#This Row],[SALARIO]]), EDA!$M$8, moras[[#This Row],[SALARIO]])</f>
        <v>31310976</v>
      </c>
      <c r="O2184" s="14">
        <f xml:space="preserve"> IF(ISBLANK(moras[[#This Row],[EDAD]]), EDA!$E$8, moras[[#This Row],[EDAD]])</f>
        <v>55</v>
      </c>
      <c r="P2184" s="14" t="str">
        <f>IF(
    OR(ISBLANK(moras[[#This Row],[TIPO_ASEGURAMIENTO]]), moras[[#This Row],[TIPO_ASEGURAMIENTO]]=""),
    EDA!$A$32,
    moras[[#This Row],[TIPO_ASEGURAMIENTO]]
)</f>
        <v>ASALARIADO</v>
      </c>
    </row>
    <row r="2185" spans="1:16" x14ac:dyDescent="0.3">
      <c r="A2185">
        <v>2184</v>
      </c>
      <c r="B2185" t="s">
        <v>9</v>
      </c>
      <c r="C2185">
        <v>203063472</v>
      </c>
      <c r="D2185" t="s">
        <v>10</v>
      </c>
      <c r="E2185" t="s">
        <v>11</v>
      </c>
      <c r="F2185" t="s">
        <v>12</v>
      </c>
      <c r="G2185" t="s">
        <v>13</v>
      </c>
      <c r="H2185" t="s">
        <v>13</v>
      </c>
      <c r="I2185">
        <v>45</v>
      </c>
      <c r="J2185">
        <f>ABS((I2185-EDA!$A$15)/EDA!$B$15)</f>
        <v>0.21316630309012977</v>
      </c>
      <c r="K2185" t="str">
        <f t="shared" si="34"/>
        <v>No</v>
      </c>
      <c r="L2185">
        <f>ABS((C2185-EDA!$F$15)/EDA!$G$15)</f>
        <v>3.0034655468538678</v>
      </c>
      <c r="M2185" t="str">
        <f>IF(moras[[#This Row],[Z-Score Salario]]&gt;1.96, "Sí", "No")</f>
        <v>Sí</v>
      </c>
      <c r="N2185" s="14">
        <f>IF(ISBLANK(moras[[#This Row],[SALARIO]]), EDA!$M$8, moras[[#This Row],[SALARIO]])</f>
        <v>203063472</v>
      </c>
      <c r="O2185" s="14">
        <f xml:space="preserve"> IF(ISBLANK(moras[[#This Row],[EDAD]]), EDA!$E$8, moras[[#This Row],[EDAD]])</f>
        <v>45</v>
      </c>
      <c r="P2185" s="14" t="str">
        <f>IF(
    OR(ISBLANK(moras[[#This Row],[TIPO_ASEGURAMIENTO]]), moras[[#This Row],[TIPO_ASEGURAMIENTO]]=""),
    EDA!$A$32,
    moras[[#This Row],[TIPO_ASEGURAMIENTO]]
)</f>
        <v>ASALARIADO</v>
      </c>
    </row>
    <row r="2186" spans="1:16" x14ac:dyDescent="0.3">
      <c r="A2186">
        <v>2185</v>
      </c>
      <c r="B2186" t="s">
        <v>9</v>
      </c>
      <c r="C2186">
        <v>975000</v>
      </c>
      <c r="D2186" t="s">
        <v>10</v>
      </c>
      <c r="E2186" t="s">
        <v>16</v>
      </c>
      <c r="F2186" t="s">
        <v>12</v>
      </c>
      <c r="G2186" t="s">
        <v>13</v>
      </c>
      <c r="H2186" t="s">
        <v>13</v>
      </c>
      <c r="I2186">
        <v>47</v>
      </c>
      <c r="J2186">
        <f>ABS((I2186-EDA!$A$15)/EDA!$B$15)</f>
        <v>0.35431696324440481</v>
      </c>
      <c r="K2186" t="str">
        <f t="shared" si="34"/>
        <v>No</v>
      </c>
      <c r="L2186">
        <f>ABS((C2186-EDA!$F$15)/EDA!$G$15)</f>
        <v>0.35942928394342588</v>
      </c>
      <c r="M2186" t="str">
        <f>IF(moras[[#This Row],[Z-Score Salario]]&gt;1.96, "Sí", "No")</f>
        <v>No</v>
      </c>
      <c r="N2186" s="14">
        <f>IF(ISBLANK(moras[[#This Row],[SALARIO]]), EDA!$M$8, moras[[#This Row],[SALARIO]])</f>
        <v>975000</v>
      </c>
      <c r="O2186" s="14">
        <f xml:space="preserve"> IF(ISBLANK(moras[[#This Row],[EDAD]]), EDA!$E$8, moras[[#This Row],[EDAD]])</f>
        <v>47</v>
      </c>
      <c r="P2186" s="14" t="str">
        <f>IF(
    OR(ISBLANK(moras[[#This Row],[TIPO_ASEGURAMIENTO]]), moras[[#This Row],[TIPO_ASEGURAMIENTO]]=""),
    EDA!$A$32,
    moras[[#This Row],[TIPO_ASEGURAMIENTO]]
)</f>
        <v>ASALARIADO</v>
      </c>
    </row>
    <row r="2187" spans="1:16" x14ac:dyDescent="0.3">
      <c r="A2187">
        <v>2186</v>
      </c>
      <c r="B2187" t="s">
        <v>9</v>
      </c>
      <c r="C2187">
        <v>12713365</v>
      </c>
      <c r="D2187" t="s">
        <v>10</v>
      </c>
      <c r="E2187" t="s">
        <v>11</v>
      </c>
      <c r="F2187" t="s">
        <v>12</v>
      </c>
      <c r="G2187" t="s">
        <v>13</v>
      </c>
      <c r="H2187" t="s">
        <v>13</v>
      </c>
      <c r="I2187">
        <v>35</v>
      </c>
      <c r="J2187">
        <f>ABS((I2187-EDA!$A$15)/EDA!$B$15)</f>
        <v>0.49258699768124525</v>
      </c>
      <c r="K2187" t="str">
        <f t="shared" si="34"/>
        <v>No</v>
      </c>
      <c r="L2187">
        <f>ABS((C2187-EDA!$F$15)/EDA!$G$15)</f>
        <v>0.16409460408839743</v>
      </c>
      <c r="M2187" t="str">
        <f>IF(moras[[#This Row],[Z-Score Salario]]&gt;1.96, "Sí", "No")</f>
        <v>No</v>
      </c>
      <c r="N2187" s="14">
        <f>IF(ISBLANK(moras[[#This Row],[SALARIO]]), EDA!$M$8, moras[[#This Row],[SALARIO]])</f>
        <v>12713365</v>
      </c>
      <c r="O2187" s="14">
        <f xml:space="preserve"> IF(ISBLANK(moras[[#This Row],[EDAD]]), EDA!$E$8, moras[[#This Row],[EDAD]])</f>
        <v>35</v>
      </c>
      <c r="P2187" s="14" t="str">
        <f>IF(
    OR(ISBLANK(moras[[#This Row],[TIPO_ASEGURAMIENTO]]), moras[[#This Row],[TIPO_ASEGURAMIENTO]]=""),
    EDA!$A$32,
    moras[[#This Row],[TIPO_ASEGURAMIENTO]]
)</f>
        <v>ASALARIADO</v>
      </c>
    </row>
    <row r="2188" spans="1:16" x14ac:dyDescent="0.3">
      <c r="A2188">
        <v>2187</v>
      </c>
      <c r="B2188" t="s">
        <v>9</v>
      </c>
      <c r="C2188">
        <v>3551482</v>
      </c>
      <c r="D2188" t="s">
        <v>14</v>
      </c>
      <c r="E2188" t="s">
        <v>11</v>
      </c>
      <c r="F2188" t="s">
        <v>12</v>
      </c>
      <c r="G2188" t="s">
        <v>13</v>
      </c>
      <c r="H2188" t="s">
        <v>13</v>
      </c>
      <c r="I2188">
        <v>64</v>
      </c>
      <c r="J2188">
        <f>ABS((I2188-EDA!$A$15)/EDA!$B$15)</f>
        <v>1.5540975745557424</v>
      </c>
      <c r="K2188" t="str">
        <f t="shared" si="34"/>
        <v>No</v>
      </c>
      <c r="L2188">
        <f>ABS((C2188-EDA!$F$15)/EDA!$G$15)</f>
        <v>0.31655480469335623</v>
      </c>
      <c r="M2188" t="str">
        <f>IF(moras[[#This Row],[Z-Score Salario]]&gt;1.96, "Sí", "No")</f>
        <v>No</v>
      </c>
      <c r="N2188" s="14">
        <f>IF(ISBLANK(moras[[#This Row],[SALARIO]]), EDA!$M$8, moras[[#This Row],[SALARIO]])</f>
        <v>3551482</v>
      </c>
      <c r="O2188" s="14">
        <f xml:space="preserve"> IF(ISBLANK(moras[[#This Row],[EDAD]]), EDA!$E$8, moras[[#This Row],[EDAD]])</f>
        <v>64</v>
      </c>
      <c r="P2188" s="14" t="str">
        <f>IF(
    OR(ISBLANK(moras[[#This Row],[TIPO_ASEGURAMIENTO]]), moras[[#This Row],[TIPO_ASEGURAMIENTO]]=""),
    EDA!$A$32,
    moras[[#This Row],[TIPO_ASEGURAMIENTO]]
)</f>
        <v>PENSIONADOS EN SU PROPIO SISTEMA</v>
      </c>
    </row>
    <row r="2189" spans="1:16" x14ac:dyDescent="0.3">
      <c r="A2189">
        <v>2188</v>
      </c>
      <c r="B2189" t="s">
        <v>15</v>
      </c>
      <c r="C2189">
        <v>297046</v>
      </c>
      <c r="D2189" t="s">
        <v>17</v>
      </c>
      <c r="E2189" t="s">
        <v>16</v>
      </c>
      <c r="F2189" t="s">
        <v>12</v>
      </c>
      <c r="G2189" t="s">
        <v>13</v>
      </c>
      <c r="H2189" t="s">
        <v>13</v>
      </c>
      <c r="I2189">
        <v>35</v>
      </c>
      <c r="J2189">
        <f>ABS((I2189-EDA!$A$15)/EDA!$B$15)</f>
        <v>0.49258699768124525</v>
      </c>
      <c r="K2189" t="str">
        <f t="shared" si="34"/>
        <v>No</v>
      </c>
      <c r="L2189">
        <f>ABS((C2189-EDA!$F$15)/EDA!$G$15)</f>
        <v>0.37071091707942361</v>
      </c>
      <c r="M2189" t="str">
        <f>IF(moras[[#This Row],[Z-Score Salario]]&gt;1.96, "Sí", "No")</f>
        <v>No</v>
      </c>
      <c r="N2189" s="14">
        <f>IF(ISBLANK(moras[[#This Row],[SALARIO]]), EDA!$M$8, moras[[#This Row],[SALARIO]])</f>
        <v>297046</v>
      </c>
      <c r="O2189" s="14">
        <f xml:space="preserve"> IF(ISBLANK(moras[[#This Row],[EDAD]]), EDA!$E$8, moras[[#This Row],[EDAD]])</f>
        <v>35</v>
      </c>
      <c r="P2189" s="14" t="str">
        <f>IF(
    OR(ISBLANK(moras[[#This Row],[TIPO_ASEGURAMIENTO]]), moras[[#This Row],[TIPO_ASEGURAMIENTO]]=""),
    EDA!$A$32,
    moras[[#This Row],[TIPO_ASEGURAMIENTO]]
)</f>
        <v>ASEGURADO VOLUNTARIO</v>
      </c>
    </row>
    <row r="2190" spans="1:16" x14ac:dyDescent="0.3">
      <c r="A2190">
        <v>2189</v>
      </c>
      <c r="B2190" t="s">
        <v>15</v>
      </c>
      <c r="C2190">
        <v>301260</v>
      </c>
      <c r="D2190" t="s">
        <v>17</v>
      </c>
      <c r="E2190" t="s">
        <v>16</v>
      </c>
      <c r="F2190" t="s">
        <v>12</v>
      </c>
      <c r="G2190" t="s">
        <v>13</v>
      </c>
      <c r="H2190" t="s">
        <v>13</v>
      </c>
      <c r="I2190">
        <v>24</v>
      </c>
      <c r="J2190">
        <f>ABS((I2190-EDA!$A$15)/EDA!$B$15)</f>
        <v>1.2689156285297578</v>
      </c>
      <c r="K2190" t="str">
        <f t="shared" si="34"/>
        <v>No</v>
      </c>
      <c r="L2190">
        <f>ABS((C2190-EDA!$F$15)/EDA!$G$15)</f>
        <v>0.3706407931447096</v>
      </c>
      <c r="M2190" t="str">
        <f>IF(moras[[#This Row],[Z-Score Salario]]&gt;1.96, "Sí", "No")</f>
        <v>No</v>
      </c>
      <c r="N2190" s="14">
        <f>IF(ISBLANK(moras[[#This Row],[SALARIO]]), EDA!$M$8, moras[[#This Row],[SALARIO]])</f>
        <v>301260</v>
      </c>
      <c r="O2190" s="14">
        <f xml:space="preserve"> IF(ISBLANK(moras[[#This Row],[EDAD]]), EDA!$E$8, moras[[#This Row],[EDAD]])</f>
        <v>24</v>
      </c>
      <c r="P2190" s="14" t="str">
        <f>IF(
    OR(ISBLANK(moras[[#This Row],[TIPO_ASEGURAMIENTO]]), moras[[#This Row],[TIPO_ASEGURAMIENTO]]=""),
    EDA!$A$32,
    moras[[#This Row],[TIPO_ASEGURAMIENTO]]
)</f>
        <v>ASEGURADO VOLUNTARIO</v>
      </c>
    </row>
    <row r="2191" spans="1:16" x14ac:dyDescent="0.3">
      <c r="A2191">
        <v>2190</v>
      </c>
      <c r="B2191" t="s">
        <v>9</v>
      </c>
      <c r="C2191">
        <v>329054</v>
      </c>
      <c r="D2191" t="s">
        <v>10</v>
      </c>
      <c r="E2191" t="s">
        <v>16</v>
      </c>
      <c r="F2191" t="s">
        <v>12</v>
      </c>
      <c r="G2191" t="s">
        <v>13</v>
      </c>
      <c r="H2191" t="s">
        <v>13</v>
      </c>
      <c r="I2191">
        <v>25</v>
      </c>
      <c r="J2191">
        <f>ABS((I2191-EDA!$A$15)/EDA!$B$15)</f>
        <v>1.1983402984526204</v>
      </c>
      <c r="K2191" t="str">
        <f t="shared" si="34"/>
        <v>No</v>
      </c>
      <c r="L2191">
        <f>ABS((C2191-EDA!$F$15)/EDA!$G$15)</f>
        <v>0.37017828136458597</v>
      </c>
      <c r="M2191" t="str">
        <f>IF(moras[[#This Row],[Z-Score Salario]]&gt;1.96, "Sí", "No")</f>
        <v>No</v>
      </c>
      <c r="N2191" s="14">
        <f>IF(ISBLANK(moras[[#This Row],[SALARIO]]), EDA!$M$8, moras[[#This Row],[SALARIO]])</f>
        <v>329054</v>
      </c>
      <c r="O2191" s="14">
        <f xml:space="preserve"> IF(ISBLANK(moras[[#This Row],[EDAD]]), EDA!$E$8, moras[[#This Row],[EDAD]])</f>
        <v>25</v>
      </c>
      <c r="P2191" s="14" t="str">
        <f>IF(
    OR(ISBLANK(moras[[#This Row],[TIPO_ASEGURAMIENTO]]), moras[[#This Row],[TIPO_ASEGURAMIENTO]]=""),
    EDA!$A$32,
    moras[[#This Row],[TIPO_ASEGURAMIENTO]]
)</f>
        <v>ASALARIADO</v>
      </c>
    </row>
    <row r="2192" spans="1:16" x14ac:dyDescent="0.3">
      <c r="A2192">
        <v>2191</v>
      </c>
      <c r="B2192" t="s">
        <v>9</v>
      </c>
      <c r="C2192">
        <v>1218000</v>
      </c>
      <c r="D2192" t="s">
        <v>10</v>
      </c>
      <c r="E2192" t="s">
        <v>16</v>
      </c>
      <c r="F2192" t="s">
        <v>12</v>
      </c>
      <c r="G2192" t="s">
        <v>12</v>
      </c>
      <c r="H2192" t="s">
        <v>13</v>
      </c>
      <c r="I2192">
        <v>49</v>
      </c>
      <c r="J2192">
        <f>ABS((I2192-EDA!$A$15)/EDA!$B$15)</f>
        <v>0.49546762339867978</v>
      </c>
      <c r="K2192" t="str">
        <f t="shared" si="34"/>
        <v>No</v>
      </c>
      <c r="L2192">
        <f>ABS((C2192-EDA!$F$15)/EDA!$G$15)</f>
        <v>0.35538559240676193</v>
      </c>
      <c r="M2192" t="str">
        <f>IF(moras[[#This Row],[Z-Score Salario]]&gt;1.96, "Sí", "No")</f>
        <v>No</v>
      </c>
      <c r="N2192" s="14">
        <f>IF(ISBLANK(moras[[#This Row],[SALARIO]]), EDA!$M$8, moras[[#This Row],[SALARIO]])</f>
        <v>1218000</v>
      </c>
      <c r="O2192" s="14">
        <f xml:space="preserve"> IF(ISBLANK(moras[[#This Row],[EDAD]]), EDA!$E$8, moras[[#This Row],[EDAD]])</f>
        <v>49</v>
      </c>
      <c r="P2192" s="14" t="str">
        <f>IF(
    OR(ISBLANK(moras[[#This Row],[TIPO_ASEGURAMIENTO]]), moras[[#This Row],[TIPO_ASEGURAMIENTO]]=""),
    EDA!$A$32,
    moras[[#This Row],[TIPO_ASEGURAMIENTO]]
)</f>
        <v>ASALARIADO</v>
      </c>
    </row>
    <row r="2193" spans="1:16" x14ac:dyDescent="0.3">
      <c r="A2193">
        <v>2192</v>
      </c>
      <c r="B2193" t="s">
        <v>15</v>
      </c>
      <c r="C2193">
        <v>78211881</v>
      </c>
      <c r="D2193" t="s">
        <v>10</v>
      </c>
      <c r="E2193" t="s">
        <v>16</v>
      </c>
      <c r="F2193" t="s">
        <v>12</v>
      </c>
      <c r="G2193" t="s">
        <v>13</v>
      </c>
      <c r="H2193" t="s">
        <v>13</v>
      </c>
      <c r="I2193">
        <v>27</v>
      </c>
      <c r="J2193">
        <f>ABS((I2193-EDA!$A$15)/EDA!$B$15)</f>
        <v>1.0571896382983452</v>
      </c>
      <c r="K2193" t="str">
        <f t="shared" si="34"/>
        <v>No</v>
      </c>
      <c r="L2193">
        <f>ABS((C2193-EDA!$F$15)/EDA!$G$15)</f>
        <v>0.92584693835294396</v>
      </c>
      <c r="M2193" t="str">
        <f>IF(moras[[#This Row],[Z-Score Salario]]&gt;1.96, "Sí", "No")</f>
        <v>No</v>
      </c>
      <c r="N2193" s="14">
        <f>IF(ISBLANK(moras[[#This Row],[SALARIO]]), EDA!$M$8, moras[[#This Row],[SALARIO]])</f>
        <v>78211881</v>
      </c>
      <c r="O2193" s="14">
        <f xml:space="preserve"> IF(ISBLANK(moras[[#This Row],[EDAD]]), EDA!$E$8, moras[[#This Row],[EDAD]])</f>
        <v>27</v>
      </c>
      <c r="P2193" s="14" t="str">
        <f>IF(
    OR(ISBLANK(moras[[#This Row],[TIPO_ASEGURAMIENTO]]), moras[[#This Row],[TIPO_ASEGURAMIENTO]]=""),
    EDA!$A$32,
    moras[[#This Row],[TIPO_ASEGURAMIENTO]]
)</f>
        <v>ASALARIADO</v>
      </c>
    </row>
    <row r="2194" spans="1:16" x14ac:dyDescent="0.3">
      <c r="A2194">
        <v>2193</v>
      </c>
      <c r="B2194" t="s">
        <v>15</v>
      </c>
      <c r="C2194">
        <v>1914699</v>
      </c>
      <c r="D2194" t="s">
        <v>10</v>
      </c>
      <c r="E2194" t="s">
        <v>11</v>
      </c>
      <c r="F2194" t="s">
        <v>12</v>
      </c>
      <c r="G2194" t="s">
        <v>13</v>
      </c>
      <c r="H2194" t="s">
        <v>13</v>
      </c>
      <c r="I2194">
        <v>59</v>
      </c>
      <c r="J2194">
        <f>ABS((I2194-EDA!$A$15)/EDA!$B$15)</f>
        <v>1.2012209241700549</v>
      </c>
      <c r="K2194" t="str">
        <f t="shared" si="34"/>
        <v>No</v>
      </c>
      <c r="L2194">
        <f>ABS((C2194-EDA!$F$15)/EDA!$G$15)</f>
        <v>0.3437920292384401</v>
      </c>
      <c r="M2194" t="str">
        <f>IF(moras[[#This Row],[Z-Score Salario]]&gt;1.96, "Sí", "No")</f>
        <v>No</v>
      </c>
      <c r="N2194" s="14">
        <f>IF(ISBLANK(moras[[#This Row],[SALARIO]]), EDA!$M$8, moras[[#This Row],[SALARIO]])</f>
        <v>1914699</v>
      </c>
      <c r="O2194" s="14">
        <f xml:space="preserve"> IF(ISBLANK(moras[[#This Row],[EDAD]]), EDA!$E$8, moras[[#This Row],[EDAD]])</f>
        <v>59</v>
      </c>
      <c r="P2194" s="14" t="str">
        <f>IF(
    OR(ISBLANK(moras[[#This Row],[TIPO_ASEGURAMIENTO]]), moras[[#This Row],[TIPO_ASEGURAMIENTO]]=""),
    EDA!$A$32,
    moras[[#This Row],[TIPO_ASEGURAMIENTO]]
)</f>
        <v>ASALARIADO</v>
      </c>
    </row>
    <row r="2195" spans="1:16" x14ac:dyDescent="0.3">
      <c r="A2195">
        <v>2194</v>
      </c>
      <c r="B2195" t="s">
        <v>9</v>
      </c>
      <c r="C2195">
        <v>347514</v>
      </c>
      <c r="D2195" t="s">
        <v>10</v>
      </c>
      <c r="E2195" t="s">
        <v>16</v>
      </c>
      <c r="F2195" t="s">
        <v>12</v>
      </c>
      <c r="G2195" t="s">
        <v>13</v>
      </c>
      <c r="H2195" t="s">
        <v>13</v>
      </c>
      <c r="I2195">
        <v>27</v>
      </c>
      <c r="J2195">
        <f>ABS((I2195-EDA!$A$15)/EDA!$B$15)</f>
        <v>1.0571896382983452</v>
      </c>
      <c r="K2195" t="str">
        <f t="shared" si="34"/>
        <v>No</v>
      </c>
      <c r="L2195">
        <f>ABS((C2195-EDA!$F$15)/EDA!$G$15)</f>
        <v>0.3698710939334468</v>
      </c>
      <c r="M2195" t="str">
        <f>IF(moras[[#This Row],[Z-Score Salario]]&gt;1.96, "Sí", "No")</f>
        <v>No</v>
      </c>
      <c r="N2195" s="14">
        <f>IF(ISBLANK(moras[[#This Row],[SALARIO]]), EDA!$M$8, moras[[#This Row],[SALARIO]])</f>
        <v>347514</v>
      </c>
      <c r="O2195" s="14">
        <f xml:space="preserve"> IF(ISBLANK(moras[[#This Row],[EDAD]]), EDA!$E$8, moras[[#This Row],[EDAD]])</f>
        <v>27</v>
      </c>
      <c r="P2195" s="14" t="str">
        <f>IF(
    OR(ISBLANK(moras[[#This Row],[TIPO_ASEGURAMIENTO]]), moras[[#This Row],[TIPO_ASEGURAMIENTO]]=""),
    EDA!$A$32,
    moras[[#This Row],[TIPO_ASEGURAMIENTO]]
)</f>
        <v>ASALARIADO</v>
      </c>
    </row>
    <row r="2196" spans="1:16" x14ac:dyDescent="0.3">
      <c r="A2196">
        <v>2195</v>
      </c>
      <c r="B2196" t="s">
        <v>15</v>
      </c>
      <c r="C2196">
        <v>136001</v>
      </c>
      <c r="D2196" t="s">
        <v>10</v>
      </c>
      <c r="E2196" t="s">
        <v>16</v>
      </c>
      <c r="F2196" t="s">
        <v>12</v>
      </c>
      <c r="G2196" t="s">
        <v>13</v>
      </c>
      <c r="H2196" t="s">
        <v>13</v>
      </c>
      <c r="I2196">
        <v>52</v>
      </c>
      <c r="J2196">
        <f>ABS((I2196-EDA!$A$15)/EDA!$B$15)</f>
        <v>0.70719361363009237</v>
      </c>
      <c r="K2196" t="str">
        <f t="shared" si="34"/>
        <v>No</v>
      </c>
      <c r="L2196">
        <f>ABS((C2196-EDA!$F$15)/EDA!$G$15)</f>
        <v>0.37339081956305337</v>
      </c>
      <c r="M2196" t="str">
        <f>IF(moras[[#This Row],[Z-Score Salario]]&gt;1.96, "Sí", "No")</f>
        <v>No</v>
      </c>
      <c r="N2196" s="14">
        <f>IF(ISBLANK(moras[[#This Row],[SALARIO]]), EDA!$M$8, moras[[#This Row],[SALARIO]])</f>
        <v>136001</v>
      </c>
      <c r="O2196" s="14">
        <f xml:space="preserve"> IF(ISBLANK(moras[[#This Row],[EDAD]]), EDA!$E$8, moras[[#This Row],[EDAD]])</f>
        <v>52</v>
      </c>
      <c r="P2196" s="14" t="str">
        <f>IF(
    OR(ISBLANK(moras[[#This Row],[TIPO_ASEGURAMIENTO]]), moras[[#This Row],[TIPO_ASEGURAMIENTO]]=""),
    EDA!$A$32,
    moras[[#This Row],[TIPO_ASEGURAMIENTO]]
)</f>
        <v>ASALARIADO</v>
      </c>
    </row>
    <row r="2197" spans="1:16" x14ac:dyDescent="0.3">
      <c r="A2197">
        <v>2196</v>
      </c>
      <c r="B2197" t="s">
        <v>15</v>
      </c>
      <c r="C2197">
        <v>1002612</v>
      </c>
      <c r="D2197" t="s">
        <v>14</v>
      </c>
      <c r="E2197" t="s">
        <v>11</v>
      </c>
      <c r="F2197" t="s">
        <v>12</v>
      </c>
      <c r="G2197" t="s">
        <v>13</v>
      </c>
      <c r="H2197" t="s">
        <v>13</v>
      </c>
      <c r="I2197">
        <v>63</v>
      </c>
      <c r="J2197">
        <f>ABS((I2197-EDA!$A$15)/EDA!$B$15)</f>
        <v>1.4835222444786049</v>
      </c>
      <c r="K2197" t="str">
        <f t="shared" si="34"/>
        <v>No</v>
      </c>
      <c r="L2197">
        <f>ABS((C2197-EDA!$F$15)/EDA!$G$15)</f>
        <v>0.35896980077177826</v>
      </c>
      <c r="M2197" t="str">
        <f>IF(moras[[#This Row],[Z-Score Salario]]&gt;1.96, "Sí", "No")</f>
        <v>No</v>
      </c>
      <c r="N2197" s="14">
        <f>IF(ISBLANK(moras[[#This Row],[SALARIO]]), EDA!$M$8, moras[[#This Row],[SALARIO]])</f>
        <v>1002612</v>
      </c>
      <c r="O2197" s="14">
        <f xml:space="preserve"> IF(ISBLANK(moras[[#This Row],[EDAD]]), EDA!$E$8, moras[[#This Row],[EDAD]])</f>
        <v>63</v>
      </c>
      <c r="P2197" s="14" t="str">
        <f>IF(
    OR(ISBLANK(moras[[#This Row],[TIPO_ASEGURAMIENTO]]), moras[[#This Row],[TIPO_ASEGURAMIENTO]]=""),
    EDA!$A$32,
    moras[[#This Row],[TIPO_ASEGURAMIENTO]]
)</f>
        <v>PENSIONADOS EN SU PROPIO SISTEMA</v>
      </c>
    </row>
    <row r="2198" spans="1:16" x14ac:dyDescent="0.3">
      <c r="A2198">
        <v>2197</v>
      </c>
      <c r="B2198" t="s">
        <v>9</v>
      </c>
      <c r="C2198">
        <v>543686</v>
      </c>
      <c r="D2198" t="s">
        <v>10</v>
      </c>
      <c r="E2198" t="s">
        <v>11</v>
      </c>
      <c r="F2198" t="s">
        <v>12</v>
      </c>
      <c r="G2198" t="s">
        <v>13</v>
      </c>
      <c r="H2198" t="s">
        <v>12</v>
      </c>
      <c r="I2198">
        <v>49</v>
      </c>
      <c r="J2198">
        <f>ABS((I2198-EDA!$A$15)/EDA!$B$15)</f>
        <v>0.49546762339867978</v>
      </c>
      <c r="K2198" t="str">
        <f t="shared" si="34"/>
        <v>No</v>
      </c>
      <c r="L2198">
        <f>ABS((C2198-EDA!$F$15)/EDA!$G$15)</f>
        <v>0.36660665337323928</v>
      </c>
      <c r="M2198" t="str">
        <f>IF(moras[[#This Row],[Z-Score Salario]]&gt;1.96, "Sí", "No")</f>
        <v>No</v>
      </c>
      <c r="N2198" s="14">
        <f>IF(ISBLANK(moras[[#This Row],[SALARIO]]), EDA!$M$8, moras[[#This Row],[SALARIO]])</f>
        <v>543686</v>
      </c>
      <c r="O2198" s="14">
        <f xml:space="preserve"> IF(ISBLANK(moras[[#This Row],[EDAD]]), EDA!$E$8, moras[[#This Row],[EDAD]])</f>
        <v>49</v>
      </c>
      <c r="P2198" s="14" t="str">
        <f>IF(
    OR(ISBLANK(moras[[#This Row],[TIPO_ASEGURAMIENTO]]), moras[[#This Row],[TIPO_ASEGURAMIENTO]]=""),
    EDA!$A$32,
    moras[[#This Row],[TIPO_ASEGURAMIENTO]]
)</f>
        <v>ASALARIADO</v>
      </c>
    </row>
    <row r="2199" spans="1:16" x14ac:dyDescent="0.3">
      <c r="A2199">
        <v>2198</v>
      </c>
      <c r="B2199" t="s">
        <v>9</v>
      </c>
      <c r="C2199">
        <v>1876456</v>
      </c>
      <c r="D2199" t="s">
        <v>10</v>
      </c>
      <c r="E2199" t="s">
        <v>16</v>
      </c>
      <c r="F2199" t="s">
        <v>12</v>
      </c>
      <c r="G2199" t="s">
        <v>13</v>
      </c>
      <c r="H2199" t="s">
        <v>13</v>
      </c>
      <c r="I2199">
        <v>47</v>
      </c>
      <c r="J2199">
        <f>ABS((I2199-EDA!$A$15)/EDA!$B$15)</f>
        <v>0.35431696324440481</v>
      </c>
      <c r="K2199" t="str">
        <f t="shared" si="34"/>
        <v>No</v>
      </c>
      <c r="L2199">
        <f>ABS((C2199-EDA!$F$15)/EDA!$G$15)</f>
        <v>0.34442841975464022</v>
      </c>
      <c r="M2199" t="str">
        <f>IF(moras[[#This Row],[Z-Score Salario]]&gt;1.96, "Sí", "No")</f>
        <v>No</v>
      </c>
      <c r="N2199" s="14">
        <f>IF(ISBLANK(moras[[#This Row],[SALARIO]]), EDA!$M$8, moras[[#This Row],[SALARIO]])</f>
        <v>1876456</v>
      </c>
      <c r="O2199" s="14">
        <f xml:space="preserve"> IF(ISBLANK(moras[[#This Row],[EDAD]]), EDA!$E$8, moras[[#This Row],[EDAD]])</f>
        <v>47</v>
      </c>
      <c r="P2199" s="14" t="str">
        <f>IF(
    OR(ISBLANK(moras[[#This Row],[TIPO_ASEGURAMIENTO]]), moras[[#This Row],[TIPO_ASEGURAMIENTO]]=""),
    EDA!$A$32,
    moras[[#This Row],[TIPO_ASEGURAMIENTO]]
)</f>
        <v>ASALARIADO</v>
      </c>
    </row>
    <row r="2200" spans="1:16" x14ac:dyDescent="0.3">
      <c r="A2200">
        <v>2199</v>
      </c>
      <c r="B2200" t="s">
        <v>9</v>
      </c>
      <c r="C2200">
        <v>837414</v>
      </c>
      <c r="D2200" t="s">
        <v>18</v>
      </c>
      <c r="E2200" t="s">
        <v>16</v>
      </c>
      <c r="F2200" t="s">
        <v>12</v>
      </c>
      <c r="G2200" t="s">
        <v>13</v>
      </c>
      <c r="H2200" t="s">
        <v>13</v>
      </c>
      <c r="I2200">
        <v>64</v>
      </c>
      <c r="J2200">
        <f>ABS((I2200-EDA!$A$15)/EDA!$B$15)</f>
        <v>1.5540975745557424</v>
      </c>
      <c r="K2200" t="str">
        <f t="shared" si="34"/>
        <v>No</v>
      </c>
      <c r="L2200">
        <f>ABS((C2200-EDA!$F$15)/EDA!$G$15)</f>
        <v>0.36171881210706142</v>
      </c>
      <c r="M2200" t="str">
        <f>IF(moras[[#This Row],[Z-Score Salario]]&gt;1.96, "Sí", "No")</f>
        <v>No</v>
      </c>
      <c r="N2200" s="14">
        <f>IF(ISBLANK(moras[[#This Row],[SALARIO]]), EDA!$M$8, moras[[#This Row],[SALARIO]])</f>
        <v>837414</v>
      </c>
      <c r="O2200" s="14">
        <f xml:space="preserve"> IF(ISBLANK(moras[[#This Row],[EDAD]]), EDA!$E$8, moras[[#This Row],[EDAD]])</f>
        <v>64</v>
      </c>
      <c r="P2200" s="14" t="str">
        <f>IF(
    OR(ISBLANK(moras[[#This Row],[TIPO_ASEGURAMIENTO]]), moras[[#This Row],[TIPO_ASEGURAMIENTO]]=""),
    EDA!$A$32,
    moras[[#This Row],[TIPO_ASEGURAMIENTO]]
)</f>
        <v>TRABAJADOR INDEPENDIENTE</v>
      </c>
    </row>
    <row r="2201" spans="1:16" x14ac:dyDescent="0.3">
      <c r="A2201">
        <v>2200</v>
      </c>
      <c r="B2201" t="s">
        <v>9</v>
      </c>
      <c r="C2201">
        <v>14097896</v>
      </c>
      <c r="D2201" t="s">
        <v>10</v>
      </c>
      <c r="E2201" t="s">
        <v>16</v>
      </c>
      <c r="F2201" t="s">
        <v>12</v>
      </c>
      <c r="G2201" t="s">
        <v>13</v>
      </c>
      <c r="H2201" t="s">
        <v>13</v>
      </c>
      <c r="I2201">
        <v>46</v>
      </c>
      <c r="J2201">
        <f>ABS((I2201-EDA!$A$15)/EDA!$B$15)</f>
        <v>0.2837416331672673</v>
      </c>
      <c r="K2201" t="str">
        <f t="shared" si="34"/>
        <v>No</v>
      </c>
      <c r="L2201">
        <f>ABS((C2201-EDA!$F$15)/EDA!$G$15)</f>
        <v>0.14105503089107718</v>
      </c>
      <c r="M2201" t="str">
        <f>IF(moras[[#This Row],[Z-Score Salario]]&gt;1.96, "Sí", "No")</f>
        <v>No</v>
      </c>
      <c r="N2201" s="14">
        <f>IF(ISBLANK(moras[[#This Row],[SALARIO]]), EDA!$M$8, moras[[#This Row],[SALARIO]])</f>
        <v>14097896</v>
      </c>
      <c r="O2201" s="14">
        <f xml:space="preserve"> IF(ISBLANK(moras[[#This Row],[EDAD]]), EDA!$E$8, moras[[#This Row],[EDAD]])</f>
        <v>46</v>
      </c>
      <c r="P2201" s="14" t="str">
        <f>IF(
    OR(ISBLANK(moras[[#This Row],[TIPO_ASEGURAMIENTO]]), moras[[#This Row],[TIPO_ASEGURAMIENTO]]=""),
    EDA!$A$32,
    moras[[#This Row],[TIPO_ASEGURAMIENTO]]
)</f>
        <v>ASALARIADO</v>
      </c>
    </row>
    <row r="2202" spans="1:16" x14ac:dyDescent="0.3">
      <c r="A2202">
        <v>2201</v>
      </c>
      <c r="B2202" t="s">
        <v>9</v>
      </c>
      <c r="C2202">
        <v>297046</v>
      </c>
      <c r="D2202" t="s">
        <v>17</v>
      </c>
      <c r="E2202" t="s">
        <v>16</v>
      </c>
      <c r="F2202" t="s">
        <v>12</v>
      </c>
      <c r="G2202" t="s">
        <v>12</v>
      </c>
      <c r="H2202" t="s">
        <v>12</v>
      </c>
      <c r="I2202">
        <v>37</v>
      </c>
      <c r="J2202">
        <f>ABS((I2202-EDA!$A$15)/EDA!$B$15)</f>
        <v>0.35143633752697023</v>
      </c>
      <c r="K2202" t="str">
        <f t="shared" si="34"/>
        <v>No</v>
      </c>
      <c r="L2202">
        <f>ABS((C2202-EDA!$F$15)/EDA!$G$15)</f>
        <v>0.37071091707942361</v>
      </c>
      <c r="M2202" t="str">
        <f>IF(moras[[#This Row],[Z-Score Salario]]&gt;1.96, "Sí", "No")</f>
        <v>No</v>
      </c>
      <c r="N2202" s="14">
        <f>IF(ISBLANK(moras[[#This Row],[SALARIO]]), EDA!$M$8, moras[[#This Row],[SALARIO]])</f>
        <v>297046</v>
      </c>
      <c r="O2202" s="14">
        <f xml:space="preserve"> IF(ISBLANK(moras[[#This Row],[EDAD]]), EDA!$E$8, moras[[#This Row],[EDAD]])</f>
        <v>37</v>
      </c>
      <c r="P2202" s="14" t="str">
        <f>IF(
    OR(ISBLANK(moras[[#This Row],[TIPO_ASEGURAMIENTO]]), moras[[#This Row],[TIPO_ASEGURAMIENTO]]=""),
    EDA!$A$32,
    moras[[#This Row],[TIPO_ASEGURAMIENTO]]
)</f>
        <v>ASEGURADO VOLUNTARIO</v>
      </c>
    </row>
    <row r="2203" spans="1:16" x14ac:dyDescent="0.3">
      <c r="A2203">
        <v>2202</v>
      </c>
      <c r="B2203" t="s">
        <v>15</v>
      </c>
      <c r="C2203">
        <v>376750</v>
      </c>
      <c r="D2203" t="s">
        <v>10</v>
      </c>
      <c r="E2203" t="s">
        <v>16</v>
      </c>
      <c r="F2203" t="s">
        <v>12</v>
      </c>
      <c r="G2203" t="s">
        <v>13</v>
      </c>
      <c r="H2203" t="s">
        <v>13</v>
      </c>
      <c r="I2203">
        <v>24</v>
      </c>
      <c r="J2203">
        <f>ABS((I2203-EDA!$A$15)/EDA!$B$15)</f>
        <v>1.2689156285297578</v>
      </c>
      <c r="K2203" t="str">
        <f t="shared" si="34"/>
        <v>No</v>
      </c>
      <c r="L2203">
        <f>ABS((C2203-EDA!$F$15)/EDA!$G$15)</f>
        <v>0.36938458625539783</v>
      </c>
      <c r="M2203" t="str">
        <f>IF(moras[[#This Row],[Z-Score Salario]]&gt;1.96, "Sí", "No")</f>
        <v>No</v>
      </c>
      <c r="N2203" s="14">
        <f>IF(ISBLANK(moras[[#This Row],[SALARIO]]), EDA!$M$8, moras[[#This Row],[SALARIO]])</f>
        <v>376750</v>
      </c>
      <c r="O2203" s="14">
        <f xml:space="preserve"> IF(ISBLANK(moras[[#This Row],[EDAD]]), EDA!$E$8, moras[[#This Row],[EDAD]])</f>
        <v>24</v>
      </c>
      <c r="P2203" s="14" t="str">
        <f>IF(
    OR(ISBLANK(moras[[#This Row],[TIPO_ASEGURAMIENTO]]), moras[[#This Row],[TIPO_ASEGURAMIENTO]]=""),
    EDA!$A$32,
    moras[[#This Row],[TIPO_ASEGURAMIENTO]]
)</f>
        <v>ASALARIADO</v>
      </c>
    </row>
    <row r="2204" spans="1:16" x14ac:dyDescent="0.3">
      <c r="A2204">
        <v>2203</v>
      </c>
      <c r="B2204" t="s">
        <v>9</v>
      </c>
      <c r="C2204">
        <v>50000</v>
      </c>
      <c r="D2204" t="s">
        <v>10</v>
      </c>
      <c r="E2204" t="s">
        <v>16</v>
      </c>
      <c r="F2204" t="s">
        <v>12</v>
      </c>
      <c r="G2204" t="s">
        <v>12</v>
      </c>
      <c r="H2204" t="s">
        <v>13</v>
      </c>
      <c r="I2204">
        <v>34</v>
      </c>
      <c r="J2204">
        <f>ABS((I2204-EDA!$A$15)/EDA!$B$15)</f>
        <v>0.56316232775838282</v>
      </c>
      <c r="K2204" t="str">
        <f t="shared" si="34"/>
        <v>No</v>
      </c>
      <c r="L2204">
        <f>ABS((C2204-EDA!$F$15)/EDA!$G$15)</f>
        <v>0.37482193691220822</v>
      </c>
      <c r="M2204" t="str">
        <f>IF(moras[[#This Row],[Z-Score Salario]]&gt;1.96, "Sí", "No")</f>
        <v>No</v>
      </c>
      <c r="N2204" s="14">
        <f>IF(ISBLANK(moras[[#This Row],[SALARIO]]), EDA!$M$8, moras[[#This Row],[SALARIO]])</f>
        <v>50000</v>
      </c>
      <c r="O2204" s="14">
        <f xml:space="preserve"> IF(ISBLANK(moras[[#This Row],[EDAD]]), EDA!$E$8, moras[[#This Row],[EDAD]])</f>
        <v>34</v>
      </c>
      <c r="P2204" s="14" t="str">
        <f>IF(
    OR(ISBLANK(moras[[#This Row],[TIPO_ASEGURAMIENTO]]), moras[[#This Row],[TIPO_ASEGURAMIENTO]]=""),
    EDA!$A$32,
    moras[[#This Row],[TIPO_ASEGURAMIENTO]]
)</f>
        <v>ASALARIADO</v>
      </c>
    </row>
    <row r="2205" spans="1:16" x14ac:dyDescent="0.3">
      <c r="A2205">
        <v>2204</v>
      </c>
      <c r="B2205" t="s">
        <v>15</v>
      </c>
      <c r="C2205">
        <v>278030</v>
      </c>
      <c r="D2205" t="s">
        <v>19</v>
      </c>
      <c r="E2205" t="s">
        <v>16</v>
      </c>
      <c r="F2205" t="s">
        <v>12</v>
      </c>
      <c r="G2205" t="s">
        <v>13</v>
      </c>
      <c r="H2205" t="s">
        <v>13</v>
      </c>
      <c r="I2205">
        <v>51</v>
      </c>
      <c r="J2205">
        <f>ABS((I2205-EDA!$A$15)/EDA!$B$15)</f>
        <v>0.6366182835529548</v>
      </c>
      <c r="K2205" t="str">
        <f t="shared" si="34"/>
        <v>No</v>
      </c>
      <c r="L2205">
        <f>ABS((C2205-EDA!$F$15)/EDA!$G$15)</f>
        <v>0.37102735674304993</v>
      </c>
      <c r="M2205" t="str">
        <f>IF(moras[[#This Row],[Z-Score Salario]]&gt;1.96, "Sí", "No")</f>
        <v>No</v>
      </c>
      <c r="N2205" s="14">
        <f>IF(ISBLANK(moras[[#This Row],[SALARIO]]), EDA!$M$8, moras[[#This Row],[SALARIO]])</f>
        <v>278030</v>
      </c>
      <c r="O2205" s="14">
        <f xml:space="preserve"> IF(ISBLANK(moras[[#This Row],[EDAD]]), EDA!$E$8, moras[[#This Row],[EDAD]])</f>
        <v>51</v>
      </c>
      <c r="P2205" s="14" t="str">
        <f>IF(
    OR(ISBLANK(moras[[#This Row],[TIPO_ASEGURAMIENTO]]), moras[[#This Row],[TIPO_ASEGURAMIENTO]]=""),
    EDA!$A$32,
    moras[[#This Row],[TIPO_ASEGURAMIENTO]]
)</f>
        <v>CONVENIOS ESPECIALES DE TRABAJADORES INDEPENDIENTES</v>
      </c>
    </row>
    <row r="2206" spans="1:16" x14ac:dyDescent="0.3">
      <c r="A2206">
        <v>2205</v>
      </c>
      <c r="B2206" t="s">
        <v>9</v>
      </c>
      <c r="C2206">
        <v>305704</v>
      </c>
      <c r="D2206" t="s">
        <v>17</v>
      </c>
      <c r="E2206" t="s">
        <v>16</v>
      </c>
      <c r="F2206" t="s">
        <v>13</v>
      </c>
      <c r="G2206" t="s">
        <v>13</v>
      </c>
      <c r="H2206" t="s">
        <v>13</v>
      </c>
      <c r="I2206">
        <v>40</v>
      </c>
      <c r="J2206">
        <f>ABS((I2206-EDA!$A$15)/EDA!$B$15)</f>
        <v>0.13971034729555773</v>
      </c>
      <c r="K2206" t="str">
        <f t="shared" si="34"/>
        <v>No</v>
      </c>
      <c r="L2206">
        <f>ABS((C2206-EDA!$F$15)/EDA!$G$15)</f>
        <v>0.37056684184763578</v>
      </c>
      <c r="M2206" t="str">
        <f>IF(moras[[#This Row],[Z-Score Salario]]&gt;1.96, "Sí", "No")</f>
        <v>No</v>
      </c>
      <c r="N2206" s="14">
        <f>IF(ISBLANK(moras[[#This Row],[SALARIO]]), EDA!$M$8, moras[[#This Row],[SALARIO]])</f>
        <v>305704</v>
      </c>
      <c r="O2206" s="14">
        <f xml:space="preserve"> IF(ISBLANK(moras[[#This Row],[EDAD]]), EDA!$E$8, moras[[#This Row],[EDAD]])</f>
        <v>40</v>
      </c>
      <c r="P2206" s="14" t="str">
        <f>IF(
    OR(ISBLANK(moras[[#This Row],[TIPO_ASEGURAMIENTO]]), moras[[#This Row],[TIPO_ASEGURAMIENTO]]=""),
    EDA!$A$32,
    moras[[#This Row],[TIPO_ASEGURAMIENTO]]
)</f>
        <v>ASEGURADO VOLUNTARIO</v>
      </c>
    </row>
    <row r="2207" spans="1:16" x14ac:dyDescent="0.3">
      <c r="A2207">
        <v>2206</v>
      </c>
      <c r="B2207" t="s">
        <v>15</v>
      </c>
      <c r="C2207">
        <v>7192718</v>
      </c>
      <c r="D2207" t="s">
        <v>14</v>
      </c>
      <c r="E2207" t="s">
        <v>11</v>
      </c>
      <c r="F2207" t="s">
        <v>12</v>
      </c>
      <c r="G2207" t="s">
        <v>13</v>
      </c>
      <c r="H2207" t="s">
        <v>13</v>
      </c>
      <c r="I2207">
        <v>81</v>
      </c>
      <c r="J2207">
        <f>ABS((I2207-EDA!$A$15)/EDA!$B$15)</f>
        <v>2.7538781858670798</v>
      </c>
      <c r="K2207" t="str">
        <f t="shared" si="34"/>
        <v>Sí</v>
      </c>
      <c r="L2207">
        <f>ABS((C2207-EDA!$F$15)/EDA!$G$15)</f>
        <v>0.25596206726045106</v>
      </c>
      <c r="M2207" t="str">
        <f>IF(moras[[#This Row],[Z-Score Salario]]&gt;1.96, "Sí", "No")</f>
        <v>No</v>
      </c>
      <c r="N2207" s="14">
        <f>IF(ISBLANK(moras[[#This Row],[SALARIO]]), EDA!$M$8, moras[[#This Row],[SALARIO]])</f>
        <v>7192718</v>
      </c>
      <c r="O2207" s="14">
        <f xml:space="preserve"> IF(ISBLANK(moras[[#This Row],[EDAD]]), EDA!$E$8, moras[[#This Row],[EDAD]])</f>
        <v>81</v>
      </c>
      <c r="P2207" s="14" t="str">
        <f>IF(
    OR(ISBLANK(moras[[#This Row],[TIPO_ASEGURAMIENTO]]), moras[[#This Row],[TIPO_ASEGURAMIENTO]]=""),
    EDA!$A$32,
    moras[[#This Row],[TIPO_ASEGURAMIENTO]]
)</f>
        <v>PENSIONADOS EN SU PROPIO SISTEMA</v>
      </c>
    </row>
    <row r="2208" spans="1:16" x14ac:dyDescent="0.3">
      <c r="A2208">
        <v>2207</v>
      </c>
      <c r="B2208" t="s">
        <v>15</v>
      </c>
      <c r="C2208">
        <v>1111989</v>
      </c>
      <c r="D2208" t="s">
        <v>10</v>
      </c>
      <c r="E2208" t="s">
        <v>11</v>
      </c>
      <c r="F2208" t="s">
        <v>12</v>
      </c>
      <c r="G2208" t="s">
        <v>13</v>
      </c>
      <c r="H2208" t="s">
        <v>12</v>
      </c>
      <c r="I2208">
        <v>53</v>
      </c>
      <c r="J2208">
        <f>ABS((I2208-EDA!$A$15)/EDA!$B$15)</f>
        <v>0.77776894370722982</v>
      </c>
      <c r="K2208" t="str">
        <f t="shared" si="34"/>
        <v>No</v>
      </c>
      <c r="L2208">
        <f>ABS((C2208-EDA!$F$15)/EDA!$G$15)</f>
        <v>0.3571496902812199</v>
      </c>
      <c r="M2208" t="str">
        <f>IF(moras[[#This Row],[Z-Score Salario]]&gt;1.96, "Sí", "No")</f>
        <v>No</v>
      </c>
      <c r="N2208" s="14">
        <f>IF(ISBLANK(moras[[#This Row],[SALARIO]]), EDA!$M$8, moras[[#This Row],[SALARIO]])</f>
        <v>1111989</v>
      </c>
      <c r="O2208" s="14">
        <f xml:space="preserve"> IF(ISBLANK(moras[[#This Row],[EDAD]]), EDA!$E$8, moras[[#This Row],[EDAD]])</f>
        <v>53</v>
      </c>
      <c r="P2208" s="14" t="str">
        <f>IF(
    OR(ISBLANK(moras[[#This Row],[TIPO_ASEGURAMIENTO]]), moras[[#This Row],[TIPO_ASEGURAMIENTO]]=""),
    EDA!$A$32,
    moras[[#This Row],[TIPO_ASEGURAMIENTO]]
)</f>
        <v>ASALARIADO</v>
      </c>
    </row>
    <row r="2209" spans="1:16" x14ac:dyDescent="0.3">
      <c r="A2209">
        <v>2208</v>
      </c>
      <c r="B2209" t="s">
        <v>15</v>
      </c>
      <c r="C2209">
        <v>1214632</v>
      </c>
      <c r="D2209" t="s">
        <v>10</v>
      </c>
      <c r="E2209" t="s">
        <v>11</v>
      </c>
      <c r="F2209" t="s">
        <v>12</v>
      </c>
      <c r="G2209" t="s">
        <v>13</v>
      </c>
      <c r="H2209" t="s">
        <v>12</v>
      </c>
      <c r="I2209">
        <v>57</v>
      </c>
      <c r="J2209">
        <f>ABS((I2209-EDA!$A$15)/EDA!$B$15)</f>
        <v>1.0600702640157798</v>
      </c>
      <c r="K2209" t="str">
        <f t="shared" si="34"/>
        <v>No</v>
      </c>
      <c r="L2209">
        <f>ABS((C2209-EDA!$F$15)/EDA!$G$15)</f>
        <v>0.35544163830427422</v>
      </c>
      <c r="M2209" t="str">
        <f>IF(moras[[#This Row],[Z-Score Salario]]&gt;1.96, "Sí", "No")</f>
        <v>No</v>
      </c>
      <c r="N2209" s="14">
        <f>IF(ISBLANK(moras[[#This Row],[SALARIO]]), EDA!$M$8, moras[[#This Row],[SALARIO]])</f>
        <v>1214632</v>
      </c>
      <c r="O2209" s="14">
        <f xml:space="preserve"> IF(ISBLANK(moras[[#This Row],[EDAD]]), EDA!$E$8, moras[[#This Row],[EDAD]])</f>
        <v>57</v>
      </c>
      <c r="P2209" s="14" t="str">
        <f>IF(
    OR(ISBLANK(moras[[#This Row],[TIPO_ASEGURAMIENTO]]), moras[[#This Row],[TIPO_ASEGURAMIENTO]]=""),
    EDA!$A$32,
    moras[[#This Row],[TIPO_ASEGURAMIENTO]]
)</f>
        <v>ASALARIADO</v>
      </c>
    </row>
    <row r="2210" spans="1:16" x14ac:dyDescent="0.3">
      <c r="A2210">
        <v>2209</v>
      </c>
      <c r="B2210" t="s">
        <v>15</v>
      </c>
      <c r="C2210">
        <v>550000</v>
      </c>
      <c r="D2210" t="s">
        <v>10</v>
      </c>
      <c r="E2210" t="s">
        <v>16</v>
      </c>
      <c r="F2210" t="s">
        <v>12</v>
      </c>
      <c r="G2210" t="s">
        <v>13</v>
      </c>
      <c r="H2210" t="s">
        <v>13</v>
      </c>
      <c r="I2210">
        <v>31</v>
      </c>
      <c r="J2210">
        <f>ABS((I2210-EDA!$A$15)/EDA!$B$15)</f>
        <v>0.77488831798979529</v>
      </c>
      <c r="K2210" t="str">
        <f t="shared" si="34"/>
        <v>No</v>
      </c>
      <c r="L2210">
        <f>ABS((C2210-EDA!$F$15)/EDA!$G$15)</f>
        <v>0.36650158395610966</v>
      </c>
      <c r="M2210" t="str">
        <f>IF(moras[[#This Row],[Z-Score Salario]]&gt;1.96, "Sí", "No")</f>
        <v>No</v>
      </c>
      <c r="N2210" s="14">
        <f>IF(ISBLANK(moras[[#This Row],[SALARIO]]), EDA!$M$8, moras[[#This Row],[SALARIO]])</f>
        <v>550000</v>
      </c>
      <c r="O2210" s="14">
        <f xml:space="preserve"> IF(ISBLANK(moras[[#This Row],[EDAD]]), EDA!$E$8, moras[[#This Row],[EDAD]])</f>
        <v>31</v>
      </c>
      <c r="P2210" s="14" t="str">
        <f>IF(
    OR(ISBLANK(moras[[#This Row],[TIPO_ASEGURAMIENTO]]), moras[[#This Row],[TIPO_ASEGURAMIENTO]]=""),
    EDA!$A$32,
    moras[[#This Row],[TIPO_ASEGURAMIENTO]]
)</f>
        <v>ASALARIADO</v>
      </c>
    </row>
    <row r="2211" spans="1:16" x14ac:dyDescent="0.3">
      <c r="A2211">
        <v>2210</v>
      </c>
      <c r="B2211" t="s">
        <v>9</v>
      </c>
      <c r="C2211">
        <v>72118776</v>
      </c>
      <c r="D2211" t="s">
        <v>10</v>
      </c>
      <c r="E2211" t="s">
        <v>11</v>
      </c>
      <c r="F2211" t="s">
        <v>12</v>
      </c>
      <c r="G2211" t="s">
        <v>13</v>
      </c>
      <c r="H2211" t="s">
        <v>13</v>
      </c>
      <c r="I2211">
        <v>49</v>
      </c>
      <c r="J2211">
        <f>ABS((I2211-EDA!$A$15)/EDA!$B$15)</f>
        <v>0.49546762339867978</v>
      </c>
      <c r="K2211" t="str">
        <f t="shared" si="34"/>
        <v>No</v>
      </c>
      <c r="L2211">
        <f>ABS((C2211-EDA!$F$15)/EDA!$G$15)</f>
        <v>0.82445336995580576</v>
      </c>
      <c r="M2211" t="str">
        <f>IF(moras[[#This Row],[Z-Score Salario]]&gt;1.96, "Sí", "No")</f>
        <v>No</v>
      </c>
      <c r="N2211" s="14">
        <f>IF(ISBLANK(moras[[#This Row],[SALARIO]]), EDA!$M$8, moras[[#This Row],[SALARIO]])</f>
        <v>72118776</v>
      </c>
      <c r="O2211" s="14">
        <f xml:space="preserve"> IF(ISBLANK(moras[[#This Row],[EDAD]]), EDA!$E$8, moras[[#This Row],[EDAD]])</f>
        <v>49</v>
      </c>
      <c r="P2211" s="14" t="str">
        <f>IF(
    OR(ISBLANK(moras[[#This Row],[TIPO_ASEGURAMIENTO]]), moras[[#This Row],[TIPO_ASEGURAMIENTO]]=""),
    EDA!$A$32,
    moras[[#This Row],[TIPO_ASEGURAMIENTO]]
)</f>
        <v>ASALARIADO</v>
      </c>
    </row>
    <row r="2212" spans="1:16" x14ac:dyDescent="0.3">
      <c r="A2212">
        <v>2211</v>
      </c>
      <c r="B2212" t="s">
        <v>9</v>
      </c>
      <c r="C2212">
        <v>333500</v>
      </c>
      <c r="D2212" t="s">
        <v>10</v>
      </c>
      <c r="E2212" t="s">
        <v>16</v>
      </c>
      <c r="F2212" t="s">
        <v>12</v>
      </c>
      <c r="G2212" t="s">
        <v>13</v>
      </c>
      <c r="H2212" t="s">
        <v>13</v>
      </c>
      <c r="I2212">
        <v>41</v>
      </c>
      <c r="J2212">
        <f>ABS((I2212-EDA!$A$15)/EDA!$B$15)</f>
        <v>6.9135017218420233E-2</v>
      </c>
      <c r="K2212" t="str">
        <f t="shared" si="34"/>
        <v>No</v>
      </c>
      <c r="L2212">
        <f>ABS((C2212-EDA!$F$15)/EDA!$G$15)</f>
        <v>0.37010429678610035</v>
      </c>
      <c r="M2212" t="str">
        <f>IF(moras[[#This Row],[Z-Score Salario]]&gt;1.96, "Sí", "No")</f>
        <v>No</v>
      </c>
      <c r="N2212" s="14">
        <f>IF(ISBLANK(moras[[#This Row],[SALARIO]]), EDA!$M$8, moras[[#This Row],[SALARIO]])</f>
        <v>333500</v>
      </c>
      <c r="O2212" s="14">
        <f xml:space="preserve"> IF(ISBLANK(moras[[#This Row],[EDAD]]), EDA!$E$8, moras[[#This Row],[EDAD]])</f>
        <v>41</v>
      </c>
      <c r="P2212" s="14" t="str">
        <f>IF(
    OR(ISBLANK(moras[[#This Row],[TIPO_ASEGURAMIENTO]]), moras[[#This Row],[TIPO_ASEGURAMIENTO]]=""),
    EDA!$A$32,
    moras[[#This Row],[TIPO_ASEGURAMIENTO]]
)</f>
        <v>ASALARIADO</v>
      </c>
    </row>
    <row r="2213" spans="1:16" x14ac:dyDescent="0.3">
      <c r="A2213">
        <v>2212</v>
      </c>
      <c r="B2213" t="s">
        <v>9</v>
      </c>
      <c r="C2213">
        <v>1371326</v>
      </c>
      <c r="D2213" t="s">
        <v>10</v>
      </c>
      <c r="E2213" t="s">
        <v>11</v>
      </c>
      <c r="F2213" t="s">
        <v>12</v>
      </c>
      <c r="G2213" t="s">
        <v>13</v>
      </c>
      <c r="H2213" t="s">
        <v>13</v>
      </c>
      <c r="I2213">
        <v>51</v>
      </c>
      <c r="J2213">
        <f>ABS((I2213-EDA!$A$15)/EDA!$B$15)</f>
        <v>0.6366182835529548</v>
      </c>
      <c r="K2213" t="str">
        <f t="shared" si="34"/>
        <v>No</v>
      </c>
      <c r="L2213">
        <f>ABS((C2213-EDA!$F$15)/EDA!$G$15)</f>
        <v>0.35283413953206838</v>
      </c>
      <c r="M2213" t="str">
        <f>IF(moras[[#This Row],[Z-Score Salario]]&gt;1.96, "Sí", "No")</f>
        <v>No</v>
      </c>
      <c r="N2213" s="14">
        <f>IF(ISBLANK(moras[[#This Row],[SALARIO]]), EDA!$M$8, moras[[#This Row],[SALARIO]])</f>
        <v>1371326</v>
      </c>
      <c r="O2213" s="14">
        <f xml:space="preserve"> IF(ISBLANK(moras[[#This Row],[EDAD]]), EDA!$E$8, moras[[#This Row],[EDAD]])</f>
        <v>51</v>
      </c>
      <c r="P2213" s="14" t="str">
        <f>IF(
    OR(ISBLANK(moras[[#This Row],[TIPO_ASEGURAMIENTO]]), moras[[#This Row],[TIPO_ASEGURAMIENTO]]=""),
    EDA!$A$32,
    moras[[#This Row],[TIPO_ASEGURAMIENTO]]
)</f>
        <v>ASALARIADO</v>
      </c>
    </row>
    <row r="2214" spans="1:16" x14ac:dyDescent="0.3">
      <c r="A2214">
        <v>2213</v>
      </c>
      <c r="B2214" t="s">
        <v>15</v>
      </c>
      <c r="C2214">
        <v>619970</v>
      </c>
      <c r="D2214" t="s">
        <v>18</v>
      </c>
      <c r="E2214" t="s">
        <v>16</v>
      </c>
      <c r="F2214" t="s">
        <v>12</v>
      </c>
      <c r="G2214" t="s">
        <v>13</v>
      </c>
      <c r="H2214" t="s">
        <v>13</v>
      </c>
      <c r="I2214">
        <v>53</v>
      </c>
      <c r="J2214">
        <f>ABS((I2214-EDA!$A$15)/EDA!$B$15)</f>
        <v>0.77776894370722982</v>
      </c>
      <c r="K2214" t="str">
        <f t="shared" si="34"/>
        <v>No</v>
      </c>
      <c r="L2214">
        <f>ABS((C2214-EDA!$F$15)/EDA!$G$15)</f>
        <v>0.36533723376343324</v>
      </c>
      <c r="M2214" t="str">
        <f>IF(moras[[#This Row],[Z-Score Salario]]&gt;1.96, "Sí", "No")</f>
        <v>No</v>
      </c>
      <c r="N2214" s="14">
        <f>IF(ISBLANK(moras[[#This Row],[SALARIO]]), EDA!$M$8, moras[[#This Row],[SALARIO]])</f>
        <v>619970</v>
      </c>
      <c r="O2214" s="14">
        <f xml:space="preserve"> IF(ISBLANK(moras[[#This Row],[EDAD]]), EDA!$E$8, moras[[#This Row],[EDAD]])</f>
        <v>53</v>
      </c>
      <c r="P2214" s="14" t="str">
        <f>IF(
    OR(ISBLANK(moras[[#This Row],[TIPO_ASEGURAMIENTO]]), moras[[#This Row],[TIPO_ASEGURAMIENTO]]=""),
    EDA!$A$32,
    moras[[#This Row],[TIPO_ASEGURAMIENTO]]
)</f>
        <v>TRABAJADOR INDEPENDIENTE</v>
      </c>
    </row>
    <row r="2215" spans="1:16" x14ac:dyDescent="0.3">
      <c r="A2215">
        <v>2214</v>
      </c>
      <c r="B2215" t="s">
        <v>9</v>
      </c>
      <c r="C2215">
        <v>361811</v>
      </c>
      <c r="D2215" t="s">
        <v>18</v>
      </c>
      <c r="E2215" t="s">
        <v>16</v>
      </c>
      <c r="F2215" t="s">
        <v>12</v>
      </c>
      <c r="G2215" t="s">
        <v>13</v>
      </c>
      <c r="H2215" t="s">
        <v>12</v>
      </c>
      <c r="I2215">
        <v>44</v>
      </c>
      <c r="J2215">
        <f>ABS((I2215-EDA!$A$15)/EDA!$B$15)</f>
        <v>0.14259097301299228</v>
      </c>
      <c r="K2215" t="str">
        <f t="shared" si="34"/>
        <v>No</v>
      </c>
      <c r="L2215">
        <f>ABS((C2215-EDA!$F$15)/EDA!$G$15)</f>
        <v>0.36963318176102011</v>
      </c>
      <c r="M2215" t="str">
        <f>IF(moras[[#This Row],[Z-Score Salario]]&gt;1.96, "Sí", "No")</f>
        <v>No</v>
      </c>
      <c r="N2215" s="14">
        <f>IF(ISBLANK(moras[[#This Row],[SALARIO]]), EDA!$M$8, moras[[#This Row],[SALARIO]])</f>
        <v>361811</v>
      </c>
      <c r="O2215" s="14">
        <f xml:space="preserve"> IF(ISBLANK(moras[[#This Row],[EDAD]]), EDA!$E$8, moras[[#This Row],[EDAD]])</f>
        <v>44</v>
      </c>
      <c r="P2215" s="14" t="str">
        <f>IF(
    OR(ISBLANK(moras[[#This Row],[TIPO_ASEGURAMIENTO]]), moras[[#This Row],[TIPO_ASEGURAMIENTO]]=""),
    EDA!$A$32,
    moras[[#This Row],[TIPO_ASEGURAMIENTO]]
)</f>
        <v>TRABAJADOR INDEPENDIENTE</v>
      </c>
    </row>
    <row r="2216" spans="1:16" x14ac:dyDescent="0.3">
      <c r="A2216">
        <v>2215</v>
      </c>
      <c r="B2216" t="s">
        <v>15</v>
      </c>
      <c r="C2216">
        <v>232973804</v>
      </c>
      <c r="D2216" t="s">
        <v>10</v>
      </c>
      <c r="E2216" t="s">
        <v>11</v>
      </c>
      <c r="F2216" t="s">
        <v>12</v>
      </c>
      <c r="G2216" t="s">
        <v>13</v>
      </c>
      <c r="H2216" t="s">
        <v>13</v>
      </c>
      <c r="I2216">
        <v>59</v>
      </c>
      <c r="J2216">
        <f>ABS((I2216-EDA!$A$15)/EDA!$B$15)</f>
        <v>1.2012209241700549</v>
      </c>
      <c r="K2216" t="str">
        <f t="shared" si="34"/>
        <v>No</v>
      </c>
      <c r="L2216">
        <f>ABS((C2216-EDA!$F$15)/EDA!$G$15)</f>
        <v>3.5011945854020481</v>
      </c>
      <c r="M2216" t="str">
        <f>IF(moras[[#This Row],[Z-Score Salario]]&gt;1.96, "Sí", "No")</f>
        <v>Sí</v>
      </c>
      <c r="N2216" s="14">
        <f>IF(ISBLANK(moras[[#This Row],[SALARIO]]), EDA!$M$8, moras[[#This Row],[SALARIO]])</f>
        <v>232973804</v>
      </c>
      <c r="O2216" s="14">
        <f xml:space="preserve"> IF(ISBLANK(moras[[#This Row],[EDAD]]), EDA!$E$8, moras[[#This Row],[EDAD]])</f>
        <v>59</v>
      </c>
      <c r="P2216" s="14" t="str">
        <f>IF(
    OR(ISBLANK(moras[[#This Row],[TIPO_ASEGURAMIENTO]]), moras[[#This Row],[TIPO_ASEGURAMIENTO]]=""),
    EDA!$A$32,
    moras[[#This Row],[TIPO_ASEGURAMIENTO]]
)</f>
        <v>ASALARIADO</v>
      </c>
    </row>
    <row r="2217" spans="1:16" x14ac:dyDescent="0.3">
      <c r="A2217">
        <v>2216</v>
      </c>
      <c r="B2217" t="s">
        <v>15</v>
      </c>
      <c r="C2217">
        <v>343085</v>
      </c>
      <c r="D2217" t="s">
        <v>18</v>
      </c>
      <c r="E2217" t="s">
        <v>16</v>
      </c>
      <c r="F2217" t="s">
        <v>12</v>
      </c>
      <c r="G2217" t="s">
        <v>13</v>
      </c>
      <c r="H2217" t="s">
        <v>13</v>
      </c>
      <c r="I2217">
        <v>42</v>
      </c>
      <c r="J2217">
        <f>ABS((I2217-EDA!$A$15)/EDA!$B$15)</f>
        <v>1.4403128587172659E-3</v>
      </c>
      <c r="K2217" t="str">
        <f t="shared" si="34"/>
        <v>No</v>
      </c>
      <c r="L2217">
        <f>ABS((C2217-EDA!$F$15)/EDA!$G$15)</f>
        <v>0.36994479561993193</v>
      </c>
      <c r="M2217" t="str">
        <f>IF(moras[[#This Row],[Z-Score Salario]]&gt;1.96, "Sí", "No")</f>
        <v>No</v>
      </c>
      <c r="N2217" s="14">
        <f>IF(ISBLANK(moras[[#This Row],[SALARIO]]), EDA!$M$8, moras[[#This Row],[SALARIO]])</f>
        <v>343085</v>
      </c>
      <c r="O2217" s="14">
        <f xml:space="preserve"> IF(ISBLANK(moras[[#This Row],[EDAD]]), EDA!$E$8, moras[[#This Row],[EDAD]])</f>
        <v>42</v>
      </c>
      <c r="P2217" s="14" t="str">
        <f>IF(
    OR(ISBLANK(moras[[#This Row],[TIPO_ASEGURAMIENTO]]), moras[[#This Row],[TIPO_ASEGURAMIENTO]]=""),
    EDA!$A$32,
    moras[[#This Row],[TIPO_ASEGURAMIENTO]]
)</f>
        <v>TRABAJADOR INDEPENDIENTE</v>
      </c>
    </row>
    <row r="2218" spans="1:16" x14ac:dyDescent="0.3">
      <c r="A2218">
        <v>2217</v>
      </c>
      <c r="B2218" t="s">
        <v>15</v>
      </c>
      <c r="C2218">
        <v>1029228</v>
      </c>
      <c r="D2218" t="s">
        <v>10</v>
      </c>
      <c r="E2218" t="s">
        <v>11</v>
      </c>
      <c r="F2218" t="s">
        <v>12</v>
      </c>
      <c r="G2218" t="s">
        <v>13</v>
      </c>
      <c r="H2218" t="s">
        <v>13</v>
      </c>
      <c r="I2218">
        <v>38</v>
      </c>
      <c r="J2218">
        <f>ABS((I2218-EDA!$A$15)/EDA!$B$15)</f>
        <v>0.28086100744983278</v>
      </c>
      <c r="K2218" t="str">
        <f t="shared" si="34"/>
        <v>No</v>
      </c>
      <c r="L2218">
        <f>ABS((C2218-EDA!$F$15)/EDA!$G$15)</f>
        <v>0.35852689174321922</v>
      </c>
      <c r="M2218" t="str">
        <f>IF(moras[[#This Row],[Z-Score Salario]]&gt;1.96, "Sí", "No")</f>
        <v>No</v>
      </c>
      <c r="N2218" s="14">
        <f>IF(ISBLANK(moras[[#This Row],[SALARIO]]), EDA!$M$8, moras[[#This Row],[SALARIO]])</f>
        <v>1029228</v>
      </c>
      <c r="O2218" s="14">
        <f xml:space="preserve"> IF(ISBLANK(moras[[#This Row],[EDAD]]), EDA!$E$8, moras[[#This Row],[EDAD]])</f>
        <v>38</v>
      </c>
      <c r="P2218" s="14" t="str">
        <f>IF(
    OR(ISBLANK(moras[[#This Row],[TIPO_ASEGURAMIENTO]]), moras[[#This Row],[TIPO_ASEGURAMIENTO]]=""),
    EDA!$A$32,
    moras[[#This Row],[TIPO_ASEGURAMIENTO]]
)</f>
        <v>ASALARIADO</v>
      </c>
    </row>
    <row r="2219" spans="1:16" x14ac:dyDescent="0.3">
      <c r="A2219">
        <v>2218</v>
      </c>
      <c r="B2219" t="s">
        <v>15</v>
      </c>
      <c r="C2219">
        <v>2725702</v>
      </c>
      <c r="D2219" t="s">
        <v>10</v>
      </c>
      <c r="E2219" t="s">
        <v>11</v>
      </c>
      <c r="F2219" t="s">
        <v>12</v>
      </c>
      <c r="G2219" t="s">
        <v>13</v>
      </c>
      <c r="H2219" t="s">
        <v>13</v>
      </c>
      <c r="I2219">
        <v>55</v>
      </c>
      <c r="J2219">
        <f>ABS((I2219-EDA!$A$15)/EDA!$B$15)</f>
        <v>0.91891960386150484</v>
      </c>
      <c r="K2219" t="str">
        <f t="shared" si="34"/>
        <v>No</v>
      </c>
      <c r="L2219">
        <f>ABS((C2219-EDA!$F$15)/EDA!$G$15)</f>
        <v>0.33029636682153046</v>
      </c>
      <c r="M2219" t="str">
        <f>IF(moras[[#This Row],[Z-Score Salario]]&gt;1.96, "Sí", "No")</f>
        <v>No</v>
      </c>
      <c r="N2219" s="14">
        <f>IF(ISBLANK(moras[[#This Row],[SALARIO]]), EDA!$M$8, moras[[#This Row],[SALARIO]])</f>
        <v>2725702</v>
      </c>
      <c r="O2219" s="14">
        <f xml:space="preserve"> IF(ISBLANK(moras[[#This Row],[EDAD]]), EDA!$E$8, moras[[#This Row],[EDAD]])</f>
        <v>55</v>
      </c>
      <c r="P2219" s="14" t="str">
        <f>IF(
    OR(ISBLANK(moras[[#This Row],[TIPO_ASEGURAMIENTO]]), moras[[#This Row],[TIPO_ASEGURAMIENTO]]=""),
    EDA!$A$32,
    moras[[#This Row],[TIPO_ASEGURAMIENTO]]
)</f>
        <v>ASALARIADO</v>
      </c>
    </row>
    <row r="2220" spans="1:16" x14ac:dyDescent="0.3">
      <c r="A2220">
        <v>2219</v>
      </c>
      <c r="B2220" t="s">
        <v>9</v>
      </c>
      <c r="C2220">
        <v>297046</v>
      </c>
      <c r="D2220" t="s">
        <v>17</v>
      </c>
      <c r="E2220" t="s">
        <v>16</v>
      </c>
      <c r="F2220" t="s">
        <v>12</v>
      </c>
      <c r="G2220" t="s">
        <v>13</v>
      </c>
      <c r="H2220" t="s">
        <v>12</v>
      </c>
      <c r="I2220">
        <v>28</v>
      </c>
      <c r="J2220">
        <f>ABS((I2220-EDA!$A$15)/EDA!$B$15)</f>
        <v>0.98661430822120777</v>
      </c>
      <c r="K2220" t="str">
        <f t="shared" si="34"/>
        <v>No</v>
      </c>
      <c r="L2220">
        <f>ABS((C2220-EDA!$F$15)/EDA!$G$15)</f>
        <v>0.37071091707942361</v>
      </c>
      <c r="M2220" t="str">
        <f>IF(moras[[#This Row],[Z-Score Salario]]&gt;1.96, "Sí", "No")</f>
        <v>No</v>
      </c>
      <c r="N2220" s="14">
        <f>IF(ISBLANK(moras[[#This Row],[SALARIO]]), EDA!$M$8, moras[[#This Row],[SALARIO]])</f>
        <v>297046</v>
      </c>
      <c r="O2220" s="14">
        <f xml:space="preserve"> IF(ISBLANK(moras[[#This Row],[EDAD]]), EDA!$E$8, moras[[#This Row],[EDAD]])</f>
        <v>28</v>
      </c>
      <c r="P2220" s="14" t="str">
        <f>IF(
    OR(ISBLANK(moras[[#This Row],[TIPO_ASEGURAMIENTO]]), moras[[#This Row],[TIPO_ASEGURAMIENTO]]=""),
    EDA!$A$32,
    moras[[#This Row],[TIPO_ASEGURAMIENTO]]
)</f>
        <v>ASEGURADO VOLUNTARIO</v>
      </c>
    </row>
    <row r="2221" spans="1:16" x14ac:dyDescent="0.3">
      <c r="A2221">
        <v>2220</v>
      </c>
      <c r="B2221" t="s">
        <v>9</v>
      </c>
      <c r="C2221">
        <v>807000</v>
      </c>
      <c r="D2221" t="s">
        <v>10</v>
      </c>
      <c r="E2221" t="s">
        <v>16</v>
      </c>
      <c r="F2221" t="s">
        <v>12</v>
      </c>
      <c r="G2221" t="s">
        <v>13</v>
      </c>
      <c r="H2221" t="s">
        <v>13</v>
      </c>
      <c r="I2221">
        <v>36</v>
      </c>
      <c r="J2221">
        <f>ABS((I2221-EDA!$A$15)/EDA!$B$15)</f>
        <v>0.42201166760410774</v>
      </c>
      <c r="K2221" t="str">
        <f t="shared" si="34"/>
        <v>No</v>
      </c>
      <c r="L2221">
        <f>ABS((C2221-EDA!$F$15)/EDA!$G$15)</f>
        <v>0.36222492253667499</v>
      </c>
      <c r="M2221" t="str">
        <f>IF(moras[[#This Row],[Z-Score Salario]]&gt;1.96, "Sí", "No")</f>
        <v>No</v>
      </c>
      <c r="N2221" s="14">
        <f>IF(ISBLANK(moras[[#This Row],[SALARIO]]), EDA!$M$8, moras[[#This Row],[SALARIO]])</f>
        <v>807000</v>
      </c>
      <c r="O2221" s="14">
        <f xml:space="preserve"> IF(ISBLANK(moras[[#This Row],[EDAD]]), EDA!$E$8, moras[[#This Row],[EDAD]])</f>
        <v>36</v>
      </c>
      <c r="P2221" s="14" t="str">
        <f>IF(
    OR(ISBLANK(moras[[#This Row],[TIPO_ASEGURAMIENTO]]), moras[[#This Row],[TIPO_ASEGURAMIENTO]]=""),
    EDA!$A$32,
    moras[[#This Row],[TIPO_ASEGURAMIENTO]]
)</f>
        <v>ASALARIADO</v>
      </c>
    </row>
    <row r="2222" spans="1:16" x14ac:dyDescent="0.3">
      <c r="A2222">
        <v>2221</v>
      </c>
      <c r="B2222" t="s">
        <v>9</v>
      </c>
      <c r="C2222">
        <v>299647</v>
      </c>
      <c r="D2222" t="s">
        <v>17</v>
      </c>
      <c r="E2222" t="s">
        <v>16</v>
      </c>
      <c r="F2222" t="s">
        <v>12</v>
      </c>
      <c r="G2222" t="s">
        <v>13</v>
      </c>
      <c r="H2222" t="s">
        <v>13</v>
      </c>
      <c r="I2222">
        <v>88</v>
      </c>
      <c r="J2222">
        <f>ABS((I2222-EDA!$A$15)/EDA!$B$15)</f>
        <v>3.2479054964070424</v>
      </c>
      <c r="K2222" t="str">
        <f t="shared" si="34"/>
        <v>Sí</v>
      </c>
      <c r="L2222">
        <f>ABS((C2222-EDA!$F$15)/EDA!$G$15)</f>
        <v>0.37066763460334595</v>
      </c>
      <c r="M2222" t="str">
        <f>IF(moras[[#This Row],[Z-Score Salario]]&gt;1.96, "Sí", "No")</f>
        <v>No</v>
      </c>
      <c r="N2222" s="14">
        <f>IF(ISBLANK(moras[[#This Row],[SALARIO]]), EDA!$M$8, moras[[#This Row],[SALARIO]])</f>
        <v>299647</v>
      </c>
      <c r="O2222" s="14">
        <f xml:space="preserve"> IF(ISBLANK(moras[[#This Row],[EDAD]]), EDA!$E$8, moras[[#This Row],[EDAD]])</f>
        <v>88</v>
      </c>
      <c r="P2222" s="14" t="str">
        <f>IF(
    OR(ISBLANK(moras[[#This Row],[TIPO_ASEGURAMIENTO]]), moras[[#This Row],[TIPO_ASEGURAMIENTO]]=""),
    EDA!$A$32,
    moras[[#This Row],[TIPO_ASEGURAMIENTO]]
)</f>
        <v>ASEGURADO VOLUNTARIO</v>
      </c>
    </row>
    <row r="2223" spans="1:16" x14ac:dyDescent="0.3">
      <c r="A2223">
        <v>2222</v>
      </c>
      <c r="B2223" t="s">
        <v>15</v>
      </c>
      <c r="C2223">
        <v>370090</v>
      </c>
      <c r="D2223" t="s">
        <v>18</v>
      </c>
      <c r="E2223" t="s">
        <v>16</v>
      </c>
      <c r="F2223" t="s">
        <v>12</v>
      </c>
      <c r="G2223" t="s">
        <v>13</v>
      </c>
      <c r="H2223" t="s">
        <v>13</v>
      </c>
      <c r="I2223">
        <v>63</v>
      </c>
      <c r="J2223">
        <f>ABS((I2223-EDA!$A$15)/EDA!$B$15)</f>
        <v>1.4835222444786049</v>
      </c>
      <c r="K2223" t="str">
        <f t="shared" si="34"/>
        <v>No</v>
      </c>
      <c r="L2223">
        <f>ABS((C2223-EDA!$F$15)/EDA!$G$15)</f>
        <v>0.36949541335677305</v>
      </c>
      <c r="M2223" t="str">
        <f>IF(moras[[#This Row],[Z-Score Salario]]&gt;1.96, "Sí", "No")</f>
        <v>No</v>
      </c>
      <c r="N2223" s="14">
        <f>IF(ISBLANK(moras[[#This Row],[SALARIO]]), EDA!$M$8, moras[[#This Row],[SALARIO]])</f>
        <v>370090</v>
      </c>
      <c r="O2223" s="14">
        <f xml:space="preserve"> IF(ISBLANK(moras[[#This Row],[EDAD]]), EDA!$E$8, moras[[#This Row],[EDAD]])</f>
        <v>63</v>
      </c>
      <c r="P2223" s="14" t="str">
        <f>IF(
    OR(ISBLANK(moras[[#This Row],[TIPO_ASEGURAMIENTO]]), moras[[#This Row],[TIPO_ASEGURAMIENTO]]=""),
    EDA!$A$32,
    moras[[#This Row],[TIPO_ASEGURAMIENTO]]
)</f>
        <v>TRABAJADOR INDEPENDIENTE</v>
      </c>
    </row>
    <row r="2224" spans="1:16" x14ac:dyDescent="0.3">
      <c r="A2224">
        <v>2223</v>
      </c>
      <c r="B2224" t="s">
        <v>9</v>
      </c>
      <c r="C2224">
        <v>26320875</v>
      </c>
      <c r="D2224" t="s">
        <v>10</v>
      </c>
      <c r="E2224" t="s">
        <v>16</v>
      </c>
      <c r="F2224" t="s">
        <v>12</v>
      </c>
      <c r="G2224" t="s">
        <v>13</v>
      </c>
      <c r="H2224" t="s">
        <v>13</v>
      </c>
      <c r="I2224">
        <v>25</v>
      </c>
      <c r="J2224">
        <f>ABS((I2224-EDA!$A$15)/EDA!$B$15)</f>
        <v>1.1983402984526204</v>
      </c>
      <c r="K2224" t="str">
        <f t="shared" si="34"/>
        <v>No</v>
      </c>
      <c r="L2224">
        <f>ABS((C2224-EDA!$F$15)/EDA!$G$15)</f>
        <v>6.2343968018884768E-2</v>
      </c>
      <c r="M2224" t="str">
        <f>IF(moras[[#This Row],[Z-Score Salario]]&gt;1.96, "Sí", "No")</f>
        <v>No</v>
      </c>
      <c r="N2224" s="14">
        <f>IF(ISBLANK(moras[[#This Row],[SALARIO]]), EDA!$M$8, moras[[#This Row],[SALARIO]])</f>
        <v>26320875</v>
      </c>
      <c r="O2224" s="14">
        <f xml:space="preserve"> IF(ISBLANK(moras[[#This Row],[EDAD]]), EDA!$E$8, moras[[#This Row],[EDAD]])</f>
        <v>25</v>
      </c>
      <c r="P2224" s="14" t="str">
        <f>IF(
    OR(ISBLANK(moras[[#This Row],[TIPO_ASEGURAMIENTO]]), moras[[#This Row],[TIPO_ASEGURAMIENTO]]=""),
    EDA!$A$32,
    moras[[#This Row],[TIPO_ASEGURAMIENTO]]
)</f>
        <v>ASALARIADO</v>
      </c>
    </row>
    <row r="2225" spans="1:16" x14ac:dyDescent="0.3">
      <c r="A2225">
        <v>2224</v>
      </c>
      <c r="B2225" t="s">
        <v>15</v>
      </c>
      <c r="C2225">
        <v>343050</v>
      </c>
      <c r="D2225" t="s">
        <v>10</v>
      </c>
      <c r="E2225" t="s">
        <v>11</v>
      </c>
      <c r="F2225" t="s">
        <v>12</v>
      </c>
      <c r="G2225" t="s">
        <v>13</v>
      </c>
      <c r="H2225" t="s">
        <v>13</v>
      </c>
      <c r="I2225">
        <v>34</v>
      </c>
      <c r="J2225">
        <f>ABS((I2225-EDA!$A$15)/EDA!$B$15)</f>
        <v>0.56316232775838282</v>
      </c>
      <c r="K2225" t="str">
        <f t="shared" si="34"/>
        <v>No</v>
      </c>
      <c r="L2225">
        <f>ABS((C2225-EDA!$F$15)/EDA!$G$15)</f>
        <v>0.36994537804463884</v>
      </c>
      <c r="M2225" t="str">
        <f>IF(moras[[#This Row],[Z-Score Salario]]&gt;1.96, "Sí", "No")</f>
        <v>No</v>
      </c>
      <c r="N2225" s="14">
        <f>IF(ISBLANK(moras[[#This Row],[SALARIO]]), EDA!$M$8, moras[[#This Row],[SALARIO]])</f>
        <v>343050</v>
      </c>
      <c r="O2225" s="14">
        <f xml:space="preserve"> IF(ISBLANK(moras[[#This Row],[EDAD]]), EDA!$E$8, moras[[#This Row],[EDAD]])</f>
        <v>34</v>
      </c>
      <c r="P2225" s="14" t="str">
        <f>IF(
    OR(ISBLANK(moras[[#This Row],[TIPO_ASEGURAMIENTO]]), moras[[#This Row],[TIPO_ASEGURAMIENTO]]=""),
    EDA!$A$32,
    moras[[#This Row],[TIPO_ASEGURAMIENTO]]
)</f>
        <v>ASALARIADO</v>
      </c>
    </row>
    <row r="2226" spans="1:16" x14ac:dyDescent="0.3">
      <c r="A2226">
        <v>2225</v>
      </c>
      <c r="B2226" t="s">
        <v>9</v>
      </c>
      <c r="C2226">
        <v>848107</v>
      </c>
      <c r="D2226" t="s">
        <v>10</v>
      </c>
      <c r="E2226" t="s">
        <v>11</v>
      </c>
      <c r="F2226" t="s">
        <v>12</v>
      </c>
      <c r="G2226" t="s">
        <v>13</v>
      </c>
      <c r="H2226" t="s">
        <v>13</v>
      </c>
      <c r="I2226">
        <v>40</v>
      </c>
      <c r="J2226">
        <f>ABS((I2226-EDA!$A$15)/EDA!$B$15)</f>
        <v>0.13971034729555773</v>
      </c>
      <c r="K2226" t="str">
        <f t="shared" si="34"/>
        <v>No</v>
      </c>
      <c r="L2226">
        <f>ABS((C2226-EDA!$F$15)/EDA!$G$15)</f>
        <v>0.36154087303874227</v>
      </c>
      <c r="M2226" t="str">
        <f>IF(moras[[#This Row],[Z-Score Salario]]&gt;1.96, "Sí", "No")</f>
        <v>No</v>
      </c>
      <c r="N2226" s="14">
        <f>IF(ISBLANK(moras[[#This Row],[SALARIO]]), EDA!$M$8, moras[[#This Row],[SALARIO]])</f>
        <v>848107</v>
      </c>
      <c r="O2226" s="14">
        <f xml:space="preserve"> IF(ISBLANK(moras[[#This Row],[EDAD]]), EDA!$E$8, moras[[#This Row],[EDAD]])</f>
        <v>40</v>
      </c>
      <c r="P2226" s="14" t="str">
        <f>IF(
    OR(ISBLANK(moras[[#This Row],[TIPO_ASEGURAMIENTO]]), moras[[#This Row],[TIPO_ASEGURAMIENTO]]=""),
    EDA!$A$32,
    moras[[#This Row],[TIPO_ASEGURAMIENTO]]
)</f>
        <v>ASALARIADO</v>
      </c>
    </row>
    <row r="2227" spans="1:16" x14ac:dyDescent="0.3">
      <c r="A2227">
        <v>2226</v>
      </c>
      <c r="B2227" t="s">
        <v>15</v>
      </c>
      <c r="C2227">
        <v>66816667</v>
      </c>
      <c r="D2227" t="s">
        <v>10</v>
      </c>
      <c r="E2227" t="s">
        <v>11</v>
      </c>
      <c r="F2227" t="s">
        <v>12</v>
      </c>
      <c r="G2227" t="s">
        <v>13</v>
      </c>
      <c r="H2227" t="s">
        <v>13</v>
      </c>
      <c r="I2227">
        <v>34</v>
      </c>
      <c r="J2227">
        <f>ABS((I2227-EDA!$A$15)/EDA!$B$15)</f>
        <v>0.56316232775838282</v>
      </c>
      <c r="K2227" t="str">
        <f t="shared" si="34"/>
        <v>No</v>
      </c>
      <c r="L2227">
        <f>ABS((C2227-EDA!$F$15)/EDA!$G$15)</f>
        <v>0.73622253337239196</v>
      </c>
      <c r="M2227" t="str">
        <f>IF(moras[[#This Row],[Z-Score Salario]]&gt;1.96, "Sí", "No")</f>
        <v>No</v>
      </c>
      <c r="N2227" s="14">
        <f>IF(ISBLANK(moras[[#This Row],[SALARIO]]), EDA!$M$8, moras[[#This Row],[SALARIO]])</f>
        <v>66816667</v>
      </c>
      <c r="O2227" s="14">
        <f xml:space="preserve"> IF(ISBLANK(moras[[#This Row],[EDAD]]), EDA!$E$8, moras[[#This Row],[EDAD]])</f>
        <v>34</v>
      </c>
      <c r="P2227" s="14" t="str">
        <f>IF(
    OR(ISBLANK(moras[[#This Row],[TIPO_ASEGURAMIENTO]]), moras[[#This Row],[TIPO_ASEGURAMIENTO]]=""),
    EDA!$A$32,
    moras[[#This Row],[TIPO_ASEGURAMIENTO]]
)</f>
        <v>ASALARIADO</v>
      </c>
    </row>
    <row r="2228" spans="1:16" x14ac:dyDescent="0.3">
      <c r="A2228">
        <v>2227</v>
      </c>
      <c r="B2228" t="s">
        <v>9</v>
      </c>
      <c r="C2228">
        <v>99280125</v>
      </c>
      <c r="D2228" t="s">
        <v>10</v>
      </c>
      <c r="E2228" t="s">
        <v>16</v>
      </c>
      <c r="F2228" t="s">
        <v>12</v>
      </c>
      <c r="G2228" t="s">
        <v>13</v>
      </c>
      <c r="H2228" t="s">
        <v>13</v>
      </c>
      <c r="I2228">
        <v>27</v>
      </c>
      <c r="J2228">
        <f>ABS((I2228-EDA!$A$15)/EDA!$B$15)</f>
        <v>1.0571896382983452</v>
      </c>
      <c r="K2228" t="str">
        <f t="shared" si="34"/>
        <v>No</v>
      </c>
      <c r="L2228">
        <f>ABS((C2228-EDA!$F$15)/EDA!$G$15)</f>
        <v>1.2764373908433566</v>
      </c>
      <c r="M2228" t="str">
        <f>IF(moras[[#This Row],[Z-Score Salario]]&gt;1.96, "Sí", "No")</f>
        <v>No</v>
      </c>
      <c r="N2228" s="14">
        <f>IF(ISBLANK(moras[[#This Row],[SALARIO]]), EDA!$M$8, moras[[#This Row],[SALARIO]])</f>
        <v>99280125</v>
      </c>
      <c r="O2228" s="14">
        <f xml:space="preserve"> IF(ISBLANK(moras[[#This Row],[EDAD]]), EDA!$E$8, moras[[#This Row],[EDAD]])</f>
        <v>27</v>
      </c>
      <c r="P2228" s="14" t="str">
        <f>IF(
    OR(ISBLANK(moras[[#This Row],[TIPO_ASEGURAMIENTO]]), moras[[#This Row],[TIPO_ASEGURAMIENTO]]=""),
    EDA!$A$32,
    moras[[#This Row],[TIPO_ASEGURAMIENTO]]
)</f>
        <v>ASALARIADO</v>
      </c>
    </row>
    <row r="2229" spans="1:16" x14ac:dyDescent="0.3">
      <c r="A2229">
        <v>2228</v>
      </c>
      <c r="B2229" t="s">
        <v>9</v>
      </c>
      <c r="C2229">
        <v>87475</v>
      </c>
      <c r="D2229" t="s">
        <v>10</v>
      </c>
      <c r="E2229" t="s">
        <v>16</v>
      </c>
      <c r="F2229" t="s">
        <v>12</v>
      </c>
      <c r="G2229" t="s">
        <v>13</v>
      </c>
      <c r="H2229" t="s">
        <v>13</v>
      </c>
      <c r="I2229">
        <v>53</v>
      </c>
      <c r="J2229">
        <f>ABS((I2229-EDA!$A$15)/EDA!$B$15)</f>
        <v>0.77776894370722982</v>
      </c>
      <c r="K2229" t="str">
        <f t="shared" si="34"/>
        <v>No</v>
      </c>
      <c r="L2229">
        <f>ABS((C2229-EDA!$F$15)/EDA!$G$15)</f>
        <v>0.37419832645814866</v>
      </c>
      <c r="M2229" t="str">
        <f>IF(moras[[#This Row],[Z-Score Salario]]&gt;1.96, "Sí", "No")</f>
        <v>No</v>
      </c>
      <c r="N2229" s="14">
        <f>IF(ISBLANK(moras[[#This Row],[SALARIO]]), EDA!$M$8, moras[[#This Row],[SALARIO]])</f>
        <v>87475</v>
      </c>
      <c r="O2229" s="14">
        <f xml:space="preserve"> IF(ISBLANK(moras[[#This Row],[EDAD]]), EDA!$E$8, moras[[#This Row],[EDAD]])</f>
        <v>53</v>
      </c>
      <c r="P2229" s="14" t="str">
        <f>IF(
    OR(ISBLANK(moras[[#This Row],[TIPO_ASEGURAMIENTO]]), moras[[#This Row],[TIPO_ASEGURAMIENTO]]=""),
    EDA!$A$32,
    moras[[#This Row],[TIPO_ASEGURAMIENTO]]
)</f>
        <v>ASALARIADO</v>
      </c>
    </row>
    <row r="2230" spans="1:16" x14ac:dyDescent="0.3">
      <c r="A2230">
        <v>2229</v>
      </c>
      <c r="B2230" t="s">
        <v>15</v>
      </c>
      <c r="C2230">
        <v>404467</v>
      </c>
      <c r="D2230" t="s">
        <v>17</v>
      </c>
      <c r="E2230" t="s">
        <v>16</v>
      </c>
      <c r="F2230" t="s">
        <v>12</v>
      </c>
      <c r="G2230" t="s">
        <v>13</v>
      </c>
      <c r="H2230" t="s">
        <v>13</v>
      </c>
      <c r="I2230">
        <v>61</v>
      </c>
      <c r="J2230">
        <f>ABS((I2230-EDA!$A$15)/EDA!$B$15)</f>
        <v>1.3423715843243298</v>
      </c>
      <c r="K2230" t="str">
        <f t="shared" si="34"/>
        <v>No</v>
      </c>
      <c r="L2230">
        <f>ABS((C2230-EDA!$F$15)/EDA!$G$15)</f>
        <v>0.36892335580962943</v>
      </c>
      <c r="M2230" t="str">
        <f>IF(moras[[#This Row],[Z-Score Salario]]&gt;1.96, "Sí", "No")</f>
        <v>No</v>
      </c>
      <c r="N2230" s="14">
        <f>IF(ISBLANK(moras[[#This Row],[SALARIO]]), EDA!$M$8, moras[[#This Row],[SALARIO]])</f>
        <v>404467</v>
      </c>
      <c r="O2230" s="14">
        <f xml:space="preserve"> IF(ISBLANK(moras[[#This Row],[EDAD]]), EDA!$E$8, moras[[#This Row],[EDAD]])</f>
        <v>61</v>
      </c>
      <c r="P2230" s="14" t="str">
        <f>IF(
    OR(ISBLANK(moras[[#This Row],[TIPO_ASEGURAMIENTO]]), moras[[#This Row],[TIPO_ASEGURAMIENTO]]=""),
    EDA!$A$32,
    moras[[#This Row],[TIPO_ASEGURAMIENTO]]
)</f>
        <v>ASEGURADO VOLUNTARIO</v>
      </c>
    </row>
    <row r="2231" spans="1:16" x14ac:dyDescent="0.3">
      <c r="A2231">
        <v>2230</v>
      </c>
      <c r="B2231" t="s">
        <v>9</v>
      </c>
      <c r="C2231">
        <v>103822844</v>
      </c>
      <c r="D2231" t="s">
        <v>10</v>
      </c>
      <c r="E2231" t="s">
        <v>11</v>
      </c>
      <c r="F2231" t="s">
        <v>12</v>
      </c>
      <c r="G2231" t="s">
        <v>13</v>
      </c>
      <c r="H2231" t="s">
        <v>13</v>
      </c>
      <c r="I2231">
        <v>37</v>
      </c>
      <c r="J2231">
        <f>ABS((I2231-EDA!$A$15)/EDA!$B$15)</f>
        <v>0.35143633752697023</v>
      </c>
      <c r="K2231" t="str">
        <f t="shared" si="34"/>
        <v>No</v>
      </c>
      <c r="L2231">
        <f>ABS((C2231-EDA!$F$15)/EDA!$G$15)</f>
        <v>1.3520314417641071</v>
      </c>
      <c r="M2231" t="str">
        <f>IF(moras[[#This Row],[Z-Score Salario]]&gt;1.96, "Sí", "No")</f>
        <v>No</v>
      </c>
      <c r="N2231" s="14">
        <f>IF(ISBLANK(moras[[#This Row],[SALARIO]]), EDA!$M$8, moras[[#This Row],[SALARIO]])</f>
        <v>103822844</v>
      </c>
      <c r="O2231" s="14">
        <f xml:space="preserve"> IF(ISBLANK(moras[[#This Row],[EDAD]]), EDA!$E$8, moras[[#This Row],[EDAD]])</f>
        <v>37</v>
      </c>
      <c r="P2231" s="14" t="str">
        <f>IF(
    OR(ISBLANK(moras[[#This Row],[TIPO_ASEGURAMIENTO]]), moras[[#This Row],[TIPO_ASEGURAMIENTO]]=""),
    EDA!$A$32,
    moras[[#This Row],[TIPO_ASEGURAMIENTO]]
)</f>
        <v>ASALARIADO</v>
      </c>
    </row>
    <row r="2232" spans="1:16" x14ac:dyDescent="0.3">
      <c r="A2232">
        <v>2231</v>
      </c>
      <c r="B2232" t="s">
        <v>15</v>
      </c>
      <c r="C2232">
        <v>297719</v>
      </c>
      <c r="D2232" t="s">
        <v>17</v>
      </c>
      <c r="E2232" t="s">
        <v>16</v>
      </c>
      <c r="F2232" t="s">
        <v>12</v>
      </c>
      <c r="G2232" t="s">
        <v>13</v>
      </c>
      <c r="H2232" t="s">
        <v>13</v>
      </c>
      <c r="I2232">
        <v>30</v>
      </c>
      <c r="J2232">
        <f>ABS((I2232-EDA!$A$15)/EDA!$B$15)</f>
        <v>0.84546364806693275</v>
      </c>
      <c r="K2232" t="str">
        <f t="shared" si="34"/>
        <v>No</v>
      </c>
      <c r="L2232">
        <f>ABS((C2232-EDA!$F$15)/EDA!$G$15)</f>
        <v>0.37069971788434469</v>
      </c>
      <c r="M2232" t="str">
        <f>IF(moras[[#This Row],[Z-Score Salario]]&gt;1.96, "Sí", "No")</f>
        <v>No</v>
      </c>
      <c r="N2232" s="14">
        <f>IF(ISBLANK(moras[[#This Row],[SALARIO]]), EDA!$M$8, moras[[#This Row],[SALARIO]])</f>
        <v>297719</v>
      </c>
      <c r="O2232" s="14">
        <f xml:space="preserve"> IF(ISBLANK(moras[[#This Row],[EDAD]]), EDA!$E$8, moras[[#This Row],[EDAD]])</f>
        <v>30</v>
      </c>
      <c r="P2232" s="14" t="str">
        <f>IF(
    OR(ISBLANK(moras[[#This Row],[TIPO_ASEGURAMIENTO]]), moras[[#This Row],[TIPO_ASEGURAMIENTO]]=""),
    EDA!$A$32,
    moras[[#This Row],[TIPO_ASEGURAMIENTO]]
)</f>
        <v>ASEGURADO VOLUNTARIO</v>
      </c>
    </row>
    <row r="2233" spans="1:16" x14ac:dyDescent="0.3">
      <c r="A2233">
        <v>2232</v>
      </c>
      <c r="B2233" t="s">
        <v>15</v>
      </c>
      <c r="C2233">
        <v>329950</v>
      </c>
      <c r="D2233" t="s">
        <v>18</v>
      </c>
      <c r="E2233" t="s">
        <v>16</v>
      </c>
      <c r="F2233" t="s">
        <v>12</v>
      </c>
      <c r="G2233" t="s">
        <v>13</v>
      </c>
      <c r="H2233" t="s">
        <v>13</v>
      </c>
      <c r="I2233">
        <v>52</v>
      </c>
      <c r="J2233">
        <f>ABS((I2233-EDA!$A$15)/EDA!$B$15)</f>
        <v>0.70719361363009237</v>
      </c>
      <c r="K2233" t="str">
        <f t="shared" si="34"/>
        <v>No</v>
      </c>
      <c r="L2233">
        <f>ABS((C2233-EDA!$F$15)/EDA!$G$15)</f>
        <v>0.37016337129208865</v>
      </c>
      <c r="M2233" t="str">
        <f>IF(moras[[#This Row],[Z-Score Salario]]&gt;1.96, "Sí", "No")</f>
        <v>No</v>
      </c>
      <c r="N2233" s="14">
        <f>IF(ISBLANK(moras[[#This Row],[SALARIO]]), EDA!$M$8, moras[[#This Row],[SALARIO]])</f>
        <v>329950</v>
      </c>
      <c r="O2233" s="14">
        <f xml:space="preserve"> IF(ISBLANK(moras[[#This Row],[EDAD]]), EDA!$E$8, moras[[#This Row],[EDAD]])</f>
        <v>52</v>
      </c>
      <c r="P2233" s="14" t="str">
        <f>IF(
    OR(ISBLANK(moras[[#This Row],[TIPO_ASEGURAMIENTO]]), moras[[#This Row],[TIPO_ASEGURAMIENTO]]=""),
    EDA!$A$32,
    moras[[#This Row],[TIPO_ASEGURAMIENTO]]
)</f>
        <v>TRABAJADOR INDEPENDIENTE</v>
      </c>
    </row>
    <row r="2234" spans="1:16" x14ac:dyDescent="0.3">
      <c r="A2234">
        <v>2233</v>
      </c>
      <c r="B2234" t="s">
        <v>15</v>
      </c>
      <c r="C2234">
        <v>181379096</v>
      </c>
      <c r="D2234" t="s">
        <v>10</v>
      </c>
      <c r="E2234" t="s">
        <v>16</v>
      </c>
      <c r="F2234" t="s">
        <v>12</v>
      </c>
      <c r="G2234" t="s">
        <v>13</v>
      </c>
      <c r="H2234" t="s">
        <v>13</v>
      </c>
      <c r="I2234">
        <v>35</v>
      </c>
      <c r="J2234">
        <f>ABS((I2234-EDA!$A$15)/EDA!$B$15)</f>
        <v>0.49258699768124525</v>
      </c>
      <c r="K2234" t="str">
        <f t="shared" si="34"/>
        <v>No</v>
      </c>
      <c r="L2234">
        <f>ABS((C2234-EDA!$F$15)/EDA!$G$15)</f>
        <v>2.6426222229483614</v>
      </c>
      <c r="M2234" t="str">
        <f>IF(moras[[#This Row],[Z-Score Salario]]&gt;1.96, "Sí", "No")</f>
        <v>Sí</v>
      </c>
      <c r="N2234" s="14">
        <f>IF(ISBLANK(moras[[#This Row],[SALARIO]]), EDA!$M$8, moras[[#This Row],[SALARIO]])</f>
        <v>181379096</v>
      </c>
      <c r="O2234" s="14">
        <f xml:space="preserve"> IF(ISBLANK(moras[[#This Row],[EDAD]]), EDA!$E$8, moras[[#This Row],[EDAD]])</f>
        <v>35</v>
      </c>
      <c r="P2234" s="14" t="str">
        <f>IF(
    OR(ISBLANK(moras[[#This Row],[TIPO_ASEGURAMIENTO]]), moras[[#This Row],[TIPO_ASEGURAMIENTO]]=""),
    EDA!$A$32,
    moras[[#This Row],[TIPO_ASEGURAMIENTO]]
)</f>
        <v>ASALARIADO</v>
      </c>
    </row>
    <row r="2235" spans="1:16" x14ac:dyDescent="0.3">
      <c r="A2235">
        <v>2234</v>
      </c>
      <c r="B2235" t="s">
        <v>9</v>
      </c>
      <c r="C2235">
        <v>639148</v>
      </c>
      <c r="D2235" t="s">
        <v>18</v>
      </c>
      <c r="E2235" t="s">
        <v>16</v>
      </c>
      <c r="F2235" t="s">
        <v>12</v>
      </c>
      <c r="G2235" t="s">
        <v>13</v>
      </c>
      <c r="H2235" t="s">
        <v>12</v>
      </c>
      <c r="I2235">
        <v>61</v>
      </c>
      <c r="J2235">
        <f>ABS((I2235-EDA!$A$15)/EDA!$B$15)</f>
        <v>1.3423715843243298</v>
      </c>
      <c r="K2235" t="str">
        <f t="shared" si="34"/>
        <v>No</v>
      </c>
      <c r="L2235">
        <f>ABS((C2235-EDA!$F$15)/EDA!$G$15)</f>
        <v>0.36501809830544912</v>
      </c>
      <c r="M2235" t="str">
        <f>IF(moras[[#This Row],[Z-Score Salario]]&gt;1.96, "Sí", "No")</f>
        <v>No</v>
      </c>
      <c r="N2235" s="14">
        <f>IF(ISBLANK(moras[[#This Row],[SALARIO]]), EDA!$M$8, moras[[#This Row],[SALARIO]])</f>
        <v>639148</v>
      </c>
      <c r="O2235" s="14">
        <f xml:space="preserve"> IF(ISBLANK(moras[[#This Row],[EDAD]]), EDA!$E$8, moras[[#This Row],[EDAD]])</f>
        <v>61</v>
      </c>
      <c r="P2235" s="14" t="str">
        <f>IF(
    OR(ISBLANK(moras[[#This Row],[TIPO_ASEGURAMIENTO]]), moras[[#This Row],[TIPO_ASEGURAMIENTO]]=""),
    EDA!$A$32,
    moras[[#This Row],[TIPO_ASEGURAMIENTO]]
)</f>
        <v>TRABAJADOR INDEPENDIENTE</v>
      </c>
    </row>
    <row r="2236" spans="1:16" x14ac:dyDescent="0.3">
      <c r="A2236">
        <v>2235</v>
      </c>
      <c r="B2236" t="s">
        <v>9</v>
      </c>
      <c r="C2236">
        <v>1080638</v>
      </c>
      <c r="D2236" t="s">
        <v>10</v>
      </c>
      <c r="E2236" t="s">
        <v>11</v>
      </c>
      <c r="F2236" t="s">
        <v>12</v>
      </c>
      <c r="G2236" t="s">
        <v>13</v>
      </c>
      <c r="H2236" t="s">
        <v>13</v>
      </c>
      <c r="I2236">
        <v>37</v>
      </c>
      <c r="J2236">
        <f>ABS((I2236-EDA!$A$15)/EDA!$B$15)</f>
        <v>0.35143633752697023</v>
      </c>
      <c r="K2236" t="str">
        <f t="shared" si="34"/>
        <v>No</v>
      </c>
      <c r="L2236">
        <f>ABS((C2236-EDA!$F$15)/EDA!$G$15)</f>
        <v>0.35767139305227319</v>
      </c>
      <c r="M2236" t="str">
        <f>IF(moras[[#This Row],[Z-Score Salario]]&gt;1.96, "Sí", "No")</f>
        <v>No</v>
      </c>
      <c r="N2236" s="14">
        <f>IF(ISBLANK(moras[[#This Row],[SALARIO]]), EDA!$M$8, moras[[#This Row],[SALARIO]])</f>
        <v>1080638</v>
      </c>
      <c r="O2236" s="14">
        <f xml:space="preserve"> IF(ISBLANK(moras[[#This Row],[EDAD]]), EDA!$E$8, moras[[#This Row],[EDAD]])</f>
        <v>37</v>
      </c>
      <c r="P2236" s="14" t="str">
        <f>IF(
    OR(ISBLANK(moras[[#This Row],[TIPO_ASEGURAMIENTO]]), moras[[#This Row],[TIPO_ASEGURAMIENTO]]=""),
    EDA!$A$32,
    moras[[#This Row],[TIPO_ASEGURAMIENTO]]
)</f>
        <v>ASALARIADO</v>
      </c>
    </row>
    <row r="2237" spans="1:16" x14ac:dyDescent="0.3">
      <c r="A2237">
        <v>2236</v>
      </c>
      <c r="B2237" t="s">
        <v>15</v>
      </c>
      <c r="C2237">
        <v>78400075</v>
      </c>
      <c r="D2237" t="s">
        <v>10</v>
      </c>
      <c r="E2237" t="s">
        <v>11</v>
      </c>
      <c r="F2237" t="s">
        <v>12</v>
      </c>
      <c r="G2237" t="s">
        <v>13</v>
      </c>
      <c r="H2237" t="s">
        <v>13</v>
      </c>
      <c r="I2237">
        <v>42</v>
      </c>
      <c r="J2237">
        <f>ABS((I2237-EDA!$A$15)/EDA!$B$15)</f>
        <v>1.4403128587172659E-3</v>
      </c>
      <c r="K2237" t="str">
        <f t="shared" si="34"/>
        <v>No</v>
      </c>
      <c r="L2237">
        <f>ABS((C2237-EDA!$F$15)/EDA!$G$15)</f>
        <v>0.92897861936138404</v>
      </c>
      <c r="M2237" t="str">
        <f>IF(moras[[#This Row],[Z-Score Salario]]&gt;1.96, "Sí", "No")</f>
        <v>No</v>
      </c>
      <c r="N2237" s="14">
        <f>IF(ISBLANK(moras[[#This Row],[SALARIO]]), EDA!$M$8, moras[[#This Row],[SALARIO]])</f>
        <v>78400075</v>
      </c>
      <c r="O2237" s="14">
        <f xml:space="preserve"> IF(ISBLANK(moras[[#This Row],[EDAD]]), EDA!$E$8, moras[[#This Row],[EDAD]])</f>
        <v>42</v>
      </c>
      <c r="P2237" s="14" t="str">
        <f>IF(
    OR(ISBLANK(moras[[#This Row],[TIPO_ASEGURAMIENTO]]), moras[[#This Row],[TIPO_ASEGURAMIENTO]]=""),
    EDA!$A$32,
    moras[[#This Row],[TIPO_ASEGURAMIENTO]]
)</f>
        <v>ASALARIADO</v>
      </c>
    </row>
    <row r="2238" spans="1:16" x14ac:dyDescent="0.3">
      <c r="A2238">
        <v>2237</v>
      </c>
      <c r="B2238" t="s">
        <v>15</v>
      </c>
      <c r="C2238">
        <v>6358274</v>
      </c>
      <c r="D2238" t="s">
        <v>14</v>
      </c>
      <c r="E2238" t="s">
        <v>11</v>
      </c>
      <c r="F2238" t="s">
        <v>12</v>
      </c>
      <c r="G2238" t="s">
        <v>13</v>
      </c>
      <c r="H2238" t="s">
        <v>13</v>
      </c>
      <c r="I2238">
        <v>64</v>
      </c>
      <c r="J2238">
        <f>ABS((I2238-EDA!$A$15)/EDA!$B$15)</f>
        <v>1.5540975745557424</v>
      </c>
      <c r="K2238" t="str">
        <f t="shared" si="34"/>
        <v>No</v>
      </c>
      <c r="L2238">
        <f>ABS((C2238-EDA!$F$15)/EDA!$G$15)</f>
        <v>0.26984780446464851</v>
      </c>
      <c r="M2238" t="str">
        <f>IF(moras[[#This Row],[Z-Score Salario]]&gt;1.96, "Sí", "No")</f>
        <v>No</v>
      </c>
      <c r="N2238" s="14">
        <f>IF(ISBLANK(moras[[#This Row],[SALARIO]]), EDA!$M$8, moras[[#This Row],[SALARIO]])</f>
        <v>6358274</v>
      </c>
      <c r="O2238" s="14">
        <f xml:space="preserve"> IF(ISBLANK(moras[[#This Row],[EDAD]]), EDA!$E$8, moras[[#This Row],[EDAD]])</f>
        <v>64</v>
      </c>
      <c r="P2238" s="14" t="str">
        <f>IF(
    OR(ISBLANK(moras[[#This Row],[TIPO_ASEGURAMIENTO]]), moras[[#This Row],[TIPO_ASEGURAMIENTO]]=""),
    EDA!$A$32,
    moras[[#This Row],[TIPO_ASEGURAMIENTO]]
)</f>
        <v>PENSIONADOS EN SU PROPIO SISTEMA</v>
      </c>
    </row>
    <row r="2239" spans="1:16" x14ac:dyDescent="0.3">
      <c r="A2239">
        <v>2238</v>
      </c>
      <c r="B2239" t="s">
        <v>15</v>
      </c>
      <c r="C2239">
        <v>278030</v>
      </c>
      <c r="D2239" t="s">
        <v>19</v>
      </c>
      <c r="E2239" t="s">
        <v>16</v>
      </c>
      <c r="F2239" t="s">
        <v>12</v>
      </c>
      <c r="G2239" t="s">
        <v>13</v>
      </c>
      <c r="H2239" t="s">
        <v>13</v>
      </c>
      <c r="I2239">
        <v>89</v>
      </c>
      <c r="J2239">
        <f>ABS((I2239-EDA!$A$15)/EDA!$B$15)</f>
        <v>3.3184808264841799</v>
      </c>
      <c r="K2239" t="str">
        <f t="shared" si="34"/>
        <v>Sí</v>
      </c>
      <c r="L2239">
        <f>ABS((C2239-EDA!$F$15)/EDA!$G$15)</f>
        <v>0.37102735674304993</v>
      </c>
      <c r="M2239" t="str">
        <f>IF(moras[[#This Row],[Z-Score Salario]]&gt;1.96, "Sí", "No")</f>
        <v>No</v>
      </c>
      <c r="N2239" s="14">
        <f>IF(ISBLANK(moras[[#This Row],[SALARIO]]), EDA!$M$8, moras[[#This Row],[SALARIO]])</f>
        <v>278030</v>
      </c>
      <c r="O2239" s="14">
        <f xml:space="preserve"> IF(ISBLANK(moras[[#This Row],[EDAD]]), EDA!$E$8, moras[[#This Row],[EDAD]])</f>
        <v>89</v>
      </c>
      <c r="P2239" s="14" t="str">
        <f>IF(
    OR(ISBLANK(moras[[#This Row],[TIPO_ASEGURAMIENTO]]), moras[[#This Row],[TIPO_ASEGURAMIENTO]]=""),
    EDA!$A$32,
    moras[[#This Row],[TIPO_ASEGURAMIENTO]]
)</f>
        <v>CONVENIOS ESPECIALES DE TRABAJADORES INDEPENDIENTES</v>
      </c>
    </row>
    <row r="2240" spans="1:16" x14ac:dyDescent="0.3">
      <c r="A2240">
        <v>2239</v>
      </c>
      <c r="B2240" t="s">
        <v>15</v>
      </c>
      <c r="C2240">
        <v>62777412</v>
      </c>
      <c r="D2240" t="s">
        <v>10</v>
      </c>
      <c r="E2240" t="s">
        <v>16</v>
      </c>
      <c r="F2240" t="s">
        <v>12</v>
      </c>
      <c r="G2240" t="s">
        <v>13</v>
      </c>
      <c r="H2240" t="s">
        <v>13</v>
      </c>
      <c r="I2240">
        <v>35</v>
      </c>
      <c r="J2240">
        <f>ABS((I2240-EDA!$A$15)/EDA!$B$15)</f>
        <v>0.49258699768124525</v>
      </c>
      <c r="K2240" t="str">
        <f t="shared" si="34"/>
        <v>No</v>
      </c>
      <c r="L2240">
        <f>ABS((C2240-EDA!$F$15)/EDA!$G$15)</f>
        <v>0.66900647881301989</v>
      </c>
      <c r="M2240" t="str">
        <f>IF(moras[[#This Row],[Z-Score Salario]]&gt;1.96, "Sí", "No")</f>
        <v>No</v>
      </c>
      <c r="N2240" s="14">
        <f>IF(ISBLANK(moras[[#This Row],[SALARIO]]), EDA!$M$8, moras[[#This Row],[SALARIO]])</f>
        <v>62777412</v>
      </c>
      <c r="O2240" s="14">
        <f xml:space="preserve"> IF(ISBLANK(moras[[#This Row],[EDAD]]), EDA!$E$8, moras[[#This Row],[EDAD]])</f>
        <v>35</v>
      </c>
      <c r="P2240" s="14" t="str">
        <f>IF(
    OR(ISBLANK(moras[[#This Row],[TIPO_ASEGURAMIENTO]]), moras[[#This Row],[TIPO_ASEGURAMIENTO]]=""),
    EDA!$A$32,
    moras[[#This Row],[TIPO_ASEGURAMIENTO]]
)</f>
        <v>ASALARIADO</v>
      </c>
    </row>
    <row r="2241" spans="1:16" x14ac:dyDescent="0.3">
      <c r="A2241">
        <v>2240</v>
      </c>
      <c r="B2241" t="s">
        <v>9</v>
      </c>
      <c r="C2241">
        <v>450000</v>
      </c>
      <c r="D2241" t="s">
        <v>10</v>
      </c>
      <c r="E2241" t="s">
        <v>16</v>
      </c>
      <c r="F2241" t="s">
        <v>12</v>
      </c>
      <c r="G2241" t="s">
        <v>13</v>
      </c>
      <c r="H2241" t="s">
        <v>13</v>
      </c>
      <c r="I2241">
        <v>58</v>
      </c>
      <c r="J2241">
        <f>ABS((I2241-EDA!$A$15)/EDA!$B$15)</f>
        <v>1.1306455940929174</v>
      </c>
      <c r="K2241" t="str">
        <f t="shared" si="34"/>
        <v>No</v>
      </c>
      <c r="L2241">
        <f>ABS((C2241-EDA!$F$15)/EDA!$G$15)</f>
        <v>0.36816565454732936</v>
      </c>
      <c r="M2241" t="str">
        <f>IF(moras[[#This Row],[Z-Score Salario]]&gt;1.96, "Sí", "No")</f>
        <v>No</v>
      </c>
      <c r="N2241" s="14">
        <f>IF(ISBLANK(moras[[#This Row],[SALARIO]]), EDA!$M$8, moras[[#This Row],[SALARIO]])</f>
        <v>450000</v>
      </c>
      <c r="O2241" s="14">
        <f xml:space="preserve"> IF(ISBLANK(moras[[#This Row],[EDAD]]), EDA!$E$8, moras[[#This Row],[EDAD]])</f>
        <v>58</v>
      </c>
      <c r="P2241" s="14" t="str">
        <f>IF(
    OR(ISBLANK(moras[[#This Row],[TIPO_ASEGURAMIENTO]]), moras[[#This Row],[TIPO_ASEGURAMIENTO]]=""),
    EDA!$A$32,
    moras[[#This Row],[TIPO_ASEGURAMIENTO]]
)</f>
        <v>ASALARIADO</v>
      </c>
    </row>
    <row r="2242" spans="1:16" x14ac:dyDescent="0.3">
      <c r="A2242">
        <v>2241</v>
      </c>
      <c r="B2242" t="s">
        <v>9</v>
      </c>
      <c r="C2242">
        <v>320000</v>
      </c>
      <c r="D2242" t="s">
        <v>10</v>
      </c>
      <c r="E2242" t="s">
        <v>16</v>
      </c>
      <c r="F2242" t="s">
        <v>12</v>
      </c>
      <c r="G2242" t="s">
        <v>13</v>
      </c>
      <c r="H2242" t="s">
        <v>13</v>
      </c>
      <c r="I2242">
        <v>31</v>
      </c>
      <c r="J2242">
        <f>ABS((I2242-EDA!$A$15)/EDA!$B$15)</f>
        <v>0.77488831798979529</v>
      </c>
      <c r="K2242" t="str">
        <f t="shared" ref="K2242:K2305" si="35">IF(J2242 &gt;  1.96, "Sí","No")</f>
        <v>No</v>
      </c>
      <c r="L2242">
        <f>ABS((C2242-EDA!$F$15)/EDA!$G$15)</f>
        <v>0.37032894631591501</v>
      </c>
      <c r="M2242" t="str">
        <f>IF(moras[[#This Row],[Z-Score Salario]]&gt;1.96, "Sí", "No")</f>
        <v>No</v>
      </c>
      <c r="N2242" s="14">
        <f>IF(ISBLANK(moras[[#This Row],[SALARIO]]), EDA!$M$8, moras[[#This Row],[SALARIO]])</f>
        <v>320000</v>
      </c>
      <c r="O2242" s="14">
        <f xml:space="preserve"> IF(ISBLANK(moras[[#This Row],[EDAD]]), EDA!$E$8, moras[[#This Row],[EDAD]])</f>
        <v>31</v>
      </c>
      <c r="P2242" s="14" t="str">
        <f>IF(
    OR(ISBLANK(moras[[#This Row],[TIPO_ASEGURAMIENTO]]), moras[[#This Row],[TIPO_ASEGURAMIENTO]]=""),
    EDA!$A$32,
    moras[[#This Row],[TIPO_ASEGURAMIENTO]]
)</f>
        <v>ASALARIADO</v>
      </c>
    </row>
    <row r="2243" spans="1:16" x14ac:dyDescent="0.3">
      <c r="A2243">
        <v>2242</v>
      </c>
      <c r="B2243" t="s">
        <v>9</v>
      </c>
      <c r="C2243">
        <v>407782</v>
      </c>
      <c r="D2243" t="s">
        <v>10</v>
      </c>
      <c r="E2243" t="s">
        <v>16</v>
      </c>
      <c r="F2243" t="s">
        <v>12</v>
      </c>
      <c r="G2243" t="s">
        <v>13</v>
      </c>
      <c r="H2243" t="s">
        <v>13</v>
      </c>
      <c r="I2243">
        <v>22</v>
      </c>
      <c r="J2243">
        <f>ABS((I2243-EDA!$A$15)/EDA!$B$15)</f>
        <v>1.4100662886840327</v>
      </c>
      <c r="K2243" t="str">
        <f t="shared" si="35"/>
        <v>No</v>
      </c>
      <c r="L2243">
        <f>ABS((C2243-EDA!$F$15)/EDA!$G$15)</f>
        <v>0.36886819186953052</v>
      </c>
      <c r="M2243" t="str">
        <f>IF(moras[[#This Row],[Z-Score Salario]]&gt;1.96, "Sí", "No")</f>
        <v>No</v>
      </c>
      <c r="N2243" s="14">
        <f>IF(ISBLANK(moras[[#This Row],[SALARIO]]), EDA!$M$8, moras[[#This Row],[SALARIO]])</f>
        <v>407782</v>
      </c>
      <c r="O2243" s="14">
        <f xml:space="preserve"> IF(ISBLANK(moras[[#This Row],[EDAD]]), EDA!$E$8, moras[[#This Row],[EDAD]])</f>
        <v>22</v>
      </c>
      <c r="P2243" s="14" t="str">
        <f>IF(
    OR(ISBLANK(moras[[#This Row],[TIPO_ASEGURAMIENTO]]), moras[[#This Row],[TIPO_ASEGURAMIENTO]]=""),
    EDA!$A$32,
    moras[[#This Row],[TIPO_ASEGURAMIENTO]]
)</f>
        <v>ASALARIADO</v>
      </c>
    </row>
    <row r="2244" spans="1:16" x14ac:dyDescent="0.3">
      <c r="A2244">
        <v>2243</v>
      </c>
      <c r="B2244" t="s">
        <v>15</v>
      </c>
      <c r="C2244">
        <v>297045</v>
      </c>
      <c r="D2244" t="s">
        <v>18</v>
      </c>
      <c r="E2244" t="s">
        <v>16</v>
      </c>
      <c r="F2244" t="s">
        <v>12</v>
      </c>
      <c r="G2244" t="s">
        <v>13</v>
      </c>
      <c r="H2244" t="s">
        <v>13</v>
      </c>
      <c r="I2244">
        <v>66</v>
      </c>
      <c r="J2244">
        <f>ABS((I2244-EDA!$A$15)/EDA!$B$15)</f>
        <v>1.6952482347100173</v>
      </c>
      <c r="K2244" t="str">
        <f t="shared" si="35"/>
        <v>No</v>
      </c>
      <c r="L2244">
        <f>ABS((C2244-EDA!$F$15)/EDA!$G$15)</f>
        <v>0.37071093372012948</v>
      </c>
      <c r="M2244" t="str">
        <f>IF(moras[[#This Row],[Z-Score Salario]]&gt;1.96, "Sí", "No")</f>
        <v>No</v>
      </c>
      <c r="N2244" s="14">
        <f>IF(ISBLANK(moras[[#This Row],[SALARIO]]), EDA!$M$8, moras[[#This Row],[SALARIO]])</f>
        <v>297045</v>
      </c>
      <c r="O2244" s="14">
        <f xml:space="preserve"> IF(ISBLANK(moras[[#This Row],[EDAD]]), EDA!$E$8, moras[[#This Row],[EDAD]])</f>
        <v>66</v>
      </c>
      <c r="P2244" s="14" t="str">
        <f>IF(
    OR(ISBLANK(moras[[#This Row],[TIPO_ASEGURAMIENTO]]), moras[[#This Row],[TIPO_ASEGURAMIENTO]]=""),
    EDA!$A$32,
    moras[[#This Row],[TIPO_ASEGURAMIENTO]]
)</f>
        <v>TRABAJADOR INDEPENDIENTE</v>
      </c>
    </row>
    <row r="2245" spans="1:16" x14ac:dyDescent="0.3">
      <c r="A2245">
        <v>2244</v>
      </c>
      <c r="B2245" t="s">
        <v>9</v>
      </c>
      <c r="C2245">
        <v>430434</v>
      </c>
      <c r="D2245" t="s">
        <v>10</v>
      </c>
      <c r="E2245" t="s">
        <v>16</v>
      </c>
      <c r="F2245" t="s">
        <v>12</v>
      </c>
      <c r="G2245" t="s">
        <v>13</v>
      </c>
      <c r="H2245" t="s">
        <v>12</v>
      </c>
      <c r="I2245">
        <v>28</v>
      </c>
      <c r="J2245">
        <f>ABS((I2245-EDA!$A$15)/EDA!$B$15)</f>
        <v>0.98661430822120777</v>
      </c>
      <c r="K2245" t="str">
        <f t="shared" si="35"/>
        <v>No</v>
      </c>
      <c r="L2245">
        <f>ABS((C2245-EDA!$F$15)/EDA!$G$15)</f>
        <v>0.3684912465992074</v>
      </c>
      <c r="M2245" t="str">
        <f>IF(moras[[#This Row],[Z-Score Salario]]&gt;1.96, "Sí", "No")</f>
        <v>No</v>
      </c>
      <c r="N2245" s="14">
        <f>IF(ISBLANK(moras[[#This Row],[SALARIO]]), EDA!$M$8, moras[[#This Row],[SALARIO]])</f>
        <v>430434</v>
      </c>
      <c r="O2245" s="14">
        <f xml:space="preserve"> IF(ISBLANK(moras[[#This Row],[EDAD]]), EDA!$E$8, moras[[#This Row],[EDAD]])</f>
        <v>28</v>
      </c>
      <c r="P2245" s="14" t="str">
        <f>IF(
    OR(ISBLANK(moras[[#This Row],[TIPO_ASEGURAMIENTO]]), moras[[#This Row],[TIPO_ASEGURAMIENTO]]=""),
    EDA!$A$32,
    moras[[#This Row],[TIPO_ASEGURAMIENTO]]
)</f>
        <v>ASALARIADO</v>
      </c>
    </row>
    <row r="2246" spans="1:16" x14ac:dyDescent="0.3">
      <c r="A2246">
        <v>2245</v>
      </c>
      <c r="B2246" t="s">
        <v>9</v>
      </c>
      <c r="C2246">
        <v>47664628</v>
      </c>
      <c r="D2246" t="s">
        <v>10</v>
      </c>
      <c r="E2246" t="s">
        <v>16</v>
      </c>
      <c r="F2246" t="s">
        <v>12</v>
      </c>
      <c r="G2246" t="s">
        <v>13</v>
      </c>
      <c r="H2246" t="s">
        <v>13</v>
      </c>
      <c r="I2246">
        <v>29</v>
      </c>
      <c r="J2246">
        <f>ABS((I2246-EDA!$A$15)/EDA!$B$15)</f>
        <v>0.91603897814407031</v>
      </c>
      <c r="K2246" t="str">
        <f t="shared" si="35"/>
        <v>No</v>
      </c>
      <c r="L2246">
        <f>ABS((C2246-EDA!$F$15)/EDA!$G$15)</f>
        <v>0.41751908475446103</v>
      </c>
      <c r="M2246" t="str">
        <f>IF(moras[[#This Row],[Z-Score Salario]]&gt;1.96, "Sí", "No")</f>
        <v>No</v>
      </c>
      <c r="N2246" s="14">
        <f>IF(ISBLANK(moras[[#This Row],[SALARIO]]), EDA!$M$8, moras[[#This Row],[SALARIO]])</f>
        <v>47664628</v>
      </c>
      <c r="O2246" s="14">
        <f xml:space="preserve"> IF(ISBLANK(moras[[#This Row],[EDAD]]), EDA!$E$8, moras[[#This Row],[EDAD]])</f>
        <v>29</v>
      </c>
      <c r="P2246" s="14" t="str">
        <f>IF(
    OR(ISBLANK(moras[[#This Row],[TIPO_ASEGURAMIENTO]]), moras[[#This Row],[TIPO_ASEGURAMIENTO]]=""),
    EDA!$A$32,
    moras[[#This Row],[TIPO_ASEGURAMIENTO]]
)</f>
        <v>ASALARIADO</v>
      </c>
    </row>
    <row r="2247" spans="1:16" x14ac:dyDescent="0.3">
      <c r="A2247">
        <v>2246</v>
      </c>
      <c r="B2247" t="s">
        <v>15</v>
      </c>
      <c r="C2247">
        <v>1566842</v>
      </c>
      <c r="D2247" t="s">
        <v>10</v>
      </c>
      <c r="E2247" t="s">
        <v>11</v>
      </c>
      <c r="F2247" t="s">
        <v>12</v>
      </c>
      <c r="G2247" t="s">
        <v>13</v>
      </c>
      <c r="H2247" t="s">
        <v>13</v>
      </c>
      <c r="I2247">
        <v>59</v>
      </c>
      <c r="J2247">
        <f>ABS((I2247-EDA!$A$15)/EDA!$B$15)</f>
        <v>1.2012209241700549</v>
      </c>
      <c r="K2247" t="str">
        <f t="shared" si="35"/>
        <v>No</v>
      </c>
      <c r="L2247">
        <f>ABS((C2247-EDA!$F$15)/EDA!$G$15)</f>
        <v>0.34958061527493928</v>
      </c>
      <c r="M2247" t="str">
        <f>IF(moras[[#This Row],[Z-Score Salario]]&gt;1.96, "Sí", "No")</f>
        <v>No</v>
      </c>
      <c r="N2247" s="14">
        <f>IF(ISBLANK(moras[[#This Row],[SALARIO]]), EDA!$M$8, moras[[#This Row],[SALARIO]])</f>
        <v>1566842</v>
      </c>
      <c r="O2247" s="14">
        <f xml:space="preserve"> IF(ISBLANK(moras[[#This Row],[EDAD]]), EDA!$E$8, moras[[#This Row],[EDAD]])</f>
        <v>59</v>
      </c>
      <c r="P2247" s="14" t="str">
        <f>IF(
    OR(ISBLANK(moras[[#This Row],[TIPO_ASEGURAMIENTO]]), moras[[#This Row],[TIPO_ASEGURAMIENTO]]=""),
    EDA!$A$32,
    moras[[#This Row],[TIPO_ASEGURAMIENTO]]
)</f>
        <v>ASALARIADO</v>
      </c>
    </row>
    <row r="2248" spans="1:16" x14ac:dyDescent="0.3">
      <c r="A2248">
        <v>2247</v>
      </c>
      <c r="B2248" t="s">
        <v>15</v>
      </c>
      <c r="C2248">
        <v>86886923</v>
      </c>
      <c r="D2248" t="s">
        <v>10</v>
      </c>
      <c r="E2248" t="s">
        <v>16</v>
      </c>
      <c r="F2248" t="s">
        <v>12</v>
      </c>
      <c r="G2248" t="s">
        <v>13</v>
      </c>
      <c r="H2248" t="s">
        <v>13</v>
      </c>
      <c r="I2248">
        <v>40</v>
      </c>
      <c r="J2248">
        <f>ABS((I2248-EDA!$A$15)/EDA!$B$15)</f>
        <v>0.13971034729555773</v>
      </c>
      <c r="K2248" t="str">
        <f t="shared" si="35"/>
        <v>No</v>
      </c>
      <c r="L2248">
        <f>ABS((C2248-EDA!$F$15)/EDA!$G$15)</f>
        <v>1.0702057610509028</v>
      </c>
      <c r="M2248" t="str">
        <f>IF(moras[[#This Row],[Z-Score Salario]]&gt;1.96, "Sí", "No")</f>
        <v>No</v>
      </c>
      <c r="N2248" s="14">
        <f>IF(ISBLANK(moras[[#This Row],[SALARIO]]), EDA!$M$8, moras[[#This Row],[SALARIO]])</f>
        <v>86886923</v>
      </c>
      <c r="O2248" s="14">
        <f xml:space="preserve"> IF(ISBLANK(moras[[#This Row],[EDAD]]), EDA!$E$8, moras[[#This Row],[EDAD]])</f>
        <v>40</v>
      </c>
      <c r="P2248" s="14" t="str">
        <f>IF(
    OR(ISBLANK(moras[[#This Row],[TIPO_ASEGURAMIENTO]]), moras[[#This Row],[TIPO_ASEGURAMIENTO]]=""),
    EDA!$A$32,
    moras[[#This Row],[TIPO_ASEGURAMIENTO]]
)</f>
        <v>ASALARIADO</v>
      </c>
    </row>
    <row r="2249" spans="1:16" x14ac:dyDescent="0.3">
      <c r="A2249">
        <v>2248</v>
      </c>
      <c r="B2249" t="s">
        <v>15</v>
      </c>
      <c r="C2249">
        <v>306400</v>
      </c>
      <c r="D2249" t="s">
        <v>10</v>
      </c>
      <c r="E2249" t="s">
        <v>16</v>
      </c>
      <c r="F2249" t="s">
        <v>12</v>
      </c>
      <c r="G2249" t="s">
        <v>13</v>
      </c>
      <c r="H2249" t="s">
        <v>13</v>
      </c>
      <c r="I2249">
        <v>61</v>
      </c>
      <c r="J2249">
        <f>ABS((I2249-EDA!$A$15)/EDA!$B$15)</f>
        <v>1.3423715843243298</v>
      </c>
      <c r="K2249" t="str">
        <f t="shared" si="35"/>
        <v>No</v>
      </c>
      <c r="L2249">
        <f>ABS((C2249-EDA!$F$15)/EDA!$G$15)</f>
        <v>0.37055525991632088</v>
      </c>
      <c r="M2249" t="str">
        <f>IF(moras[[#This Row],[Z-Score Salario]]&gt;1.96, "Sí", "No")</f>
        <v>No</v>
      </c>
      <c r="N2249" s="14">
        <f>IF(ISBLANK(moras[[#This Row],[SALARIO]]), EDA!$M$8, moras[[#This Row],[SALARIO]])</f>
        <v>306400</v>
      </c>
      <c r="O2249" s="14">
        <f xml:space="preserve"> IF(ISBLANK(moras[[#This Row],[EDAD]]), EDA!$E$8, moras[[#This Row],[EDAD]])</f>
        <v>61</v>
      </c>
      <c r="P2249" s="14" t="str">
        <f>IF(
    OR(ISBLANK(moras[[#This Row],[TIPO_ASEGURAMIENTO]]), moras[[#This Row],[TIPO_ASEGURAMIENTO]]=""),
    EDA!$A$32,
    moras[[#This Row],[TIPO_ASEGURAMIENTO]]
)</f>
        <v>ASALARIADO</v>
      </c>
    </row>
    <row r="2250" spans="1:16" x14ac:dyDescent="0.3">
      <c r="A2250">
        <v>2249</v>
      </c>
      <c r="B2250" t="s">
        <v>9</v>
      </c>
      <c r="C2250">
        <v>408800</v>
      </c>
      <c r="D2250" t="s">
        <v>10</v>
      </c>
      <c r="E2250" t="s">
        <v>16</v>
      </c>
      <c r="F2250" t="s">
        <v>12</v>
      </c>
      <c r="G2250" t="s">
        <v>13</v>
      </c>
      <c r="H2250" t="s">
        <v>13</v>
      </c>
      <c r="I2250">
        <v>39</v>
      </c>
      <c r="J2250">
        <f>ABS((I2250-EDA!$A$15)/EDA!$B$15)</f>
        <v>0.21028567737269524</v>
      </c>
      <c r="K2250" t="str">
        <f t="shared" si="35"/>
        <v>No</v>
      </c>
      <c r="L2250">
        <f>ABS((C2250-EDA!$F$15)/EDA!$G$15)</f>
        <v>0.36885125163091192</v>
      </c>
      <c r="M2250" t="str">
        <f>IF(moras[[#This Row],[Z-Score Salario]]&gt;1.96, "Sí", "No")</f>
        <v>No</v>
      </c>
      <c r="N2250" s="14">
        <f>IF(ISBLANK(moras[[#This Row],[SALARIO]]), EDA!$M$8, moras[[#This Row],[SALARIO]])</f>
        <v>408800</v>
      </c>
      <c r="O2250" s="14">
        <f xml:space="preserve"> IF(ISBLANK(moras[[#This Row],[EDAD]]), EDA!$E$8, moras[[#This Row],[EDAD]])</f>
        <v>39</v>
      </c>
      <c r="P2250" s="14" t="str">
        <f>IF(
    OR(ISBLANK(moras[[#This Row],[TIPO_ASEGURAMIENTO]]), moras[[#This Row],[TIPO_ASEGURAMIENTO]]=""),
    EDA!$A$32,
    moras[[#This Row],[TIPO_ASEGURAMIENTO]]
)</f>
        <v>ASALARIADO</v>
      </c>
    </row>
    <row r="2251" spans="1:16" x14ac:dyDescent="0.3">
      <c r="A2251">
        <v>2250</v>
      </c>
      <c r="B2251" t="s">
        <v>9</v>
      </c>
      <c r="C2251">
        <v>46716761</v>
      </c>
      <c r="D2251" t="s">
        <v>10</v>
      </c>
      <c r="E2251" t="s">
        <v>11</v>
      </c>
      <c r="F2251" t="s">
        <v>12</v>
      </c>
      <c r="G2251" t="s">
        <v>12</v>
      </c>
      <c r="H2251" t="s">
        <v>13</v>
      </c>
      <c r="I2251">
        <v>46</v>
      </c>
      <c r="J2251">
        <f>ABS((I2251-EDA!$A$15)/EDA!$B$15)</f>
        <v>0.2837416331672673</v>
      </c>
      <c r="K2251" t="str">
        <f t="shared" si="35"/>
        <v>No</v>
      </c>
      <c r="L2251">
        <f>ABS((C2251-EDA!$F$15)/EDA!$G$15)</f>
        <v>0.4017459087635844</v>
      </c>
      <c r="M2251" t="str">
        <f>IF(moras[[#This Row],[Z-Score Salario]]&gt;1.96, "Sí", "No")</f>
        <v>No</v>
      </c>
      <c r="N2251" s="14">
        <f>IF(ISBLANK(moras[[#This Row],[SALARIO]]), EDA!$M$8, moras[[#This Row],[SALARIO]])</f>
        <v>46716761</v>
      </c>
      <c r="O2251" s="14">
        <f xml:space="preserve"> IF(ISBLANK(moras[[#This Row],[EDAD]]), EDA!$E$8, moras[[#This Row],[EDAD]])</f>
        <v>46</v>
      </c>
      <c r="P2251" s="14" t="str">
        <f>IF(
    OR(ISBLANK(moras[[#This Row],[TIPO_ASEGURAMIENTO]]), moras[[#This Row],[TIPO_ASEGURAMIENTO]]=""),
    EDA!$A$32,
    moras[[#This Row],[TIPO_ASEGURAMIENTO]]
)</f>
        <v>ASALARIADO</v>
      </c>
    </row>
    <row r="2252" spans="1:16" x14ac:dyDescent="0.3">
      <c r="A2252">
        <v>2251</v>
      </c>
      <c r="B2252" t="s">
        <v>15</v>
      </c>
      <c r="C2252">
        <v>376344</v>
      </c>
      <c r="D2252" t="s">
        <v>10</v>
      </c>
      <c r="E2252" t="s">
        <v>16</v>
      </c>
      <c r="F2252" t="s">
        <v>12</v>
      </c>
      <c r="G2252" t="s">
        <v>13</v>
      </c>
      <c r="H2252" t="s">
        <v>13</v>
      </c>
      <c r="I2252">
        <v>39</v>
      </c>
      <c r="J2252">
        <f>ABS((I2252-EDA!$A$15)/EDA!$B$15)</f>
        <v>0.21028567737269524</v>
      </c>
      <c r="K2252" t="str">
        <f t="shared" si="35"/>
        <v>No</v>
      </c>
      <c r="L2252">
        <f>ABS((C2252-EDA!$F$15)/EDA!$G$15)</f>
        <v>0.36939134238199817</v>
      </c>
      <c r="M2252" t="str">
        <f>IF(moras[[#This Row],[Z-Score Salario]]&gt;1.96, "Sí", "No")</f>
        <v>No</v>
      </c>
      <c r="N2252" s="14">
        <f>IF(ISBLANK(moras[[#This Row],[SALARIO]]), EDA!$M$8, moras[[#This Row],[SALARIO]])</f>
        <v>376344</v>
      </c>
      <c r="O2252" s="14">
        <f xml:space="preserve"> IF(ISBLANK(moras[[#This Row],[EDAD]]), EDA!$E$8, moras[[#This Row],[EDAD]])</f>
        <v>39</v>
      </c>
      <c r="P2252" s="14" t="str">
        <f>IF(
    OR(ISBLANK(moras[[#This Row],[TIPO_ASEGURAMIENTO]]), moras[[#This Row],[TIPO_ASEGURAMIENTO]]=""),
    EDA!$A$32,
    moras[[#This Row],[TIPO_ASEGURAMIENTO]]
)</f>
        <v>ASALARIADO</v>
      </c>
    </row>
    <row r="2253" spans="1:16" x14ac:dyDescent="0.3">
      <c r="A2253">
        <v>2252</v>
      </c>
      <c r="B2253" t="s">
        <v>9</v>
      </c>
      <c r="C2253">
        <v>327264</v>
      </c>
      <c r="D2253" t="s">
        <v>10</v>
      </c>
      <c r="E2253" t="s">
        <v>11</v>
      </c>
      <c r="F2253" t="s">
        <v>12</v>
      </c>
      <c r="G2253" t="s">
        <v>13</v>
      </c>
      <c r="H2253" t="s">
        <v>13</v>
      </c>
      <c r="I2253">
        <v>32</v>
      </c>
      <c r="J2253">
        <f>ABS((I2253-EDA!$A$15)/EDA!$B$15)</f>
        <v>0.70431298791265773</v>
      </c>
      <c r="K2253" t="str">
        <f t="shared" si="35"/>
        <v>No</v>
      </c>
      <c r="L2253">
        <f>ABS((C2253-EDA!$F$15)/EDA!$G$15)</f>
        <v>0.37020806822816882</v>
      </c>
      <c r="M2253" t="str">
        <f>IF(moras[[#This Row],[Z-Score Salario]]&gt;1.96, "Sí", "No")</f>
        <v>No</v>
      </c>
      <c r="N2253" s="14">
        <f>IF(ISBLANK(moras[[#This Row],[SALARIO]]), EDA!$M$8, moras[[#This Row],[SALARIO]])</f>
        <v>327264</v>
      </c>
      <c r="O2253" s="14">
        <f xml:space="preserve"> IF(ISBLANK(moras[[#This Row],[EDAD]]), EDA!$E$8, moras[[#This Row],[EDAD]])</f>
        <v>32</v>
      </c>
      <c r="P2253" s="14" t="str">
        <f>IF(
    OR(ISBLANK(moras[[#This Row],[TIPO_ASEGURAMIENTO]]), moras[[#This Row],[TIPO_ASEGURAMIENTO]]=""),
    EDA!$A$32,
    moras[[#This Row],[TIPO_ASEGURAMIENTO]]
)</f>
        <v>ASALARIADO</v>
      </c>
    </row>
    <row r="2254" spans="1:16" x14ac:dyDescent="0.3">
      <c r="A2254">
        <v>2253</v>
      </c>
      <c r="B2254" t="s">
        <v>9</v>
      </c>
      <c r="C2254">
        <v>750000</v>
      </c>
      <c r="D2254" t="s">
        <v>10</v>
      </c>
      <c r="E2254" t="s">
        <v>16</v>
      </c>
      <c r="F2254" t="s">
        <v>12</v>
      </c>
      <c r="G2254" t="s">
        <v>13</v>
      </c>
      <c r="H2254" t="s">
        <v>13</v>
      </c>
      <c r="I2254">
        <v>55</v>
      </c>
      <c r="J2254">
        <f>ABS((I2254-EDA!$A$15)/EDA!$B$15)</f>
        <v>0.91891960386150484</v>
      </c>
      <c r="K2254" t="str">
        <f t="shared" si="35"/>
        <v>No</v>
      </c>
      <c r="L2254">
        <f>ABS((C2254-EDA!$F$15)/EDA!$G$15)</f>
        <v>0.3631734427736702</v>
      </c>
      <c r="M2254" t="str">
        <f>IF(moras[[#This Row],[Z-Score Salario]]&gt;1.96, "Sí", "No")</f>
        <v>No</v>
      </c>
      <c r="N2254" s="14">
        <f>IF(ISBLANK(moras[[#This Row],[SALARIO]]), EDA!$M$8, moras[[#This Row],[SALARIO]])</f>
        <v>750000</v>
      </c>
      <c r="O2254" s="14">
        <f xml:space="preserve"> IF(ISBLANK(moras[[#This Row],[EDAD]]), EDA!$E$8, moras[[#This Row],[EDAD]])</f>
        <v>55</v>
      </c>
      <c r="P2254" s="14" t="str">
        <f>IF(
    OR(ISBLANK(moras[[#This Row],[TIPO_ASEGURAMIENTO]]), moras[[#This Row],[TIPO_ASEGURAMIENTO]]=""),
    EDA!$A$32,
    moras[[#This Row],[TIPO_ASEGURAMIENTO]]
)</f>
        <v>ASALARIADO</v>
      </c>
    </row>
    <row r="2255" spans="1:16" x14ac:dyDescent="0.3">
      <c r="A2255">
        <v>2254</v>
      </c>
      <c r="B2255" t="s">
        <v>9</v>
      </c>
      <c r="C2255">
        <v>423289</v>
      </c>
      <c r="D2255" t="s">
        <v>18</v>
      </c>
      <c r="E2255" t="s">
        <v>16</v>
      </c>
      <c r="F2255" t="s">
        <v>12</v>
      </c>
      <c r="G2255" t="s">
        <v>13</v>
      </c>
      <c r="H2255" t="s">
        <v>13</v>
      </c>
      <c r="I2255">
        <v>59</v>
      </c>
      <c r="J2255">
        <f>ABS((I2255-EDA!$A$15)/EDA!$B$15)</f>
        <v>1.2012209241700549</v>
      </c>
      <c r="K2255" t="str">
        <f t="shared" si="35"/>
        <v>No</v>
      </c>
      <c r="L2255">
        <f>ABS((C2255-EDA!$F$15)/EDA!$G$15)</f>
        <v>0.36861014444295009</v>
      </c>
      <c r="M2255" t="str">
        <f>IF(moras[[#This Row],[Z-Score Salario]]&gt;1.96, "Sí", "No")</f>
        <v>No</v>
      </c>
      <c r="N2255" s="14">
        <f>IF(ISBLANK(moras[[#This Row],[SALARIO]]), EDA!$M$8, moras[[#This Row],[SALARIO]])</f>
        <v>423289</v>
      </c>
      <c r="O2255" s="14">
        <f xml:space="preserve"> IF(ISBLANK(moras[[#This Row],[EDAD]]), EDA!$E$8, moras[[#This Row],[EDAD]])</f>
        <v>59</v>
      </c>
      <c r="P2255" s="14" t="str">
        <f>IF(
    OR(ISBLANK(moras[[#This Row],[TIPO_ASEGURAMIENTO]]), moras[[#This Row],[TIPO_ASEGURAMIENTO]]=""),
    EDA!$A$32,
    moras[[#This Row],[TIPO_ASEGURAMIENTO]]
)</f>
        <v>TRABAJADOR INDEPENDIENTE</v>
      </c>
    </row>
    <row r="2256" spans="1:16" x14ac:dyDescent="0.3">
      <c r="A2256">
        <v>2255</v>
      </c>
      <c r="B2256" t="s">
        <v>15</v>
      </c>
      <c r="C2256">
        <v>61950639</v>
      </c>
      <c r="D2256" t="s">
        <v>10</v>
      </c>
      <c r="E2256" t="s">
        <v>11</v>
      </c>
      <c r="F2256" t="s">
        <v>12</v>
      </c>
      <c r="G2256" t="s">
        <v>13</v>
      </c>
      <c r="H2256" t="s">
        <v>13</v>
      </c>
      <c r="I2256">
        <v>34</v>
      </c>
      <c r="J2256">
        <f>ABS((I2256-EDA!$A$15)/EDA!$B$15)</f>
        <v>0.56316232775838282</v>
      </c>
      <c r="K2256" t="str">
        <f t="shared" si="35"/>
        <v>No</v>
      </c>
      <c r="L2256">
        <f>ABS((C2256-EDA!$F$15)/EDA!$G$15)</f>
        <v>0.6552483924638749</v>
      </c>
      <c r="M2256" t="str">
        <f>IF(moras[[#This Row],[Z-Score Salario]]&gt;1.96, "Sí", "No")</f>
        <v>No</v>
      </c>
      <c r="N2256" s="14">
        <f>IF(ISBLANK(moras[[#This Row],[SALARIO]]), EDA!$M$8, moras[[#This Row],[SALARIO]])</f>
        <v>61950639</v>
      </c>
      <c r="O2256" s="14">
        <f xml:space="preserve"> IF(ISBLANK(moras[[#This Row],[EDAD]]), EDA!$E$8, moras[[#This Row],[EDAD]])</f>
        <v>34</v>
      </c>
      <c r="P2256" s="14" t="str">
        <f>IF(
    OR(ISBLANK(moras[[#This Row],[TIPO_ASEGURAMIENTO]]), moras[[#This Row],[TIPO_ASEGURAMIENTO]]=""),
    EDA!$A$32,
    moras[[#This Row],[TIPO_ASEGURAMIENTO]]
)</f>
        <v>ASALARIADO</v>
      </c>
    </row>
    <row r="2257" spans="1:16" x14ac:dyDescent="0.3">
      <c r="A2257">
        <v>2256</v>
      </c>
      <c r="B2257" t="s">
        <v>15</v>
      </c>
      <c r="C2257">
        <v>46517989</v>
      </c>
      <c r="D2257" t="s">
        <v>10</v>
      </c>
      <c r="E2257" t="s">
        <v>16</v>
      </c>
      <c r="F2257" t="s">
        <v>12</v>
      </c>
      <c r="G2257" t="s">
        <v>13</v>
      </c>
      <c r="H2257" t="s">
        <v>13</v>
      </c>
      <c r="I2257">
        <v>39</v>
      </c>
      <c r="J2257">
        <f>ABS((I2257-EDA!$A$15)/EDA!$B$15)</f>
        <v>0.21028567737269524</v>
      </c>
      <c r="K2257" t="str">
        <f t="shared" si="35"/>
        <v>No</v>
      </c>
      <c r="L2257">
        <f>ABS((C2257-EDA!$F$15)/EDA!$G$15)</f>
        <v>0.39843820236800515</v>
      </c>
      <c r="M2257" t="str">
        <f>IF(moras[[#This Row],[Z-Score Salario]]&gt;1.96, "Sí", "No")</f>
        <v>No</v>
      </c>
      <c r="N2257" s="14">
        <f>IF(ISBLANK(moras[[#This Row],[SALARIO]]), EDA!$M$8, moras[[#This Row],[SALARIO]])</f>
        <v>46517989</v>
      </c>
      <c r="O2257" s="14">
        <f xml:space="preserve"> IF(ISBLANK(moras[[#This Row],[EDAD]]), EDA!$E$8, moras[[#This Row],[EDAD]])</f>
        <v>39</v>
      </c>
      <c r="P2257" s="14" t="str">
        <f>IF(
    OR(ISBLANK(moras[[#This Row],[TIPO_ASEGURAMIENTO]]), moras[[#This Row],[TIPO_ASEGURAMIENTO]]=""),
    EDA!$A$32,
    moras[[#This Row],[TIPO_ASEGURAMIENTO]]
)</f>
        <v>ASALARIADO</v>
      </c>
    </row>
    <row r="2258" spans="1:16" x14ac:dyDescent="0.3">
      <c r="A2258">
        <v>2257</v>
      </c>
      <c r="B2258" t="s">
        <v>9</v>
      </c>
      <c r="C2258">
        <v>56215261</v>
      </c>
      <c r="D2258" t="s">
        <v>10</v>
      </c>
      <c r="E2258" t="s">
        <v>11</v>
      </c>
      <c r="F2258" t="s">
        <v>12</v>
      </c>
      <c r="G2258" t="s">
        <v>13</v>
      </c>
      <c r="H2258" t="s">
        <v>13</v>
      </c>
      <c r="I2258">
        <v>38</v>
      </c>
      <c r="J2258">
        <f>ABS((I2258-EDA!$A$15)/EDA!$B$15)</f>
        <v>0.28086100744983278</v>
      </c>
      <c r="K2258" t="str">
        <f t="shared" si="35"/>
        <v>No</v>
      </c>
      <c r="L2258">
        <f>ABS((C2258-EDA!$F$15)/EDA!$G$15)</f>
        <v>0.55980765387058928</v>
      </c>
      <c r="M2258" t="str">
        <f>IF(moras[[#This Row],[Z-Score Salario]]&gt;1.96, "Sí", "No")</f>
        <v>No</v>
      </c>
      <c r="N2258" s="14">
        <f>IF(ISBLANK(moras[[#This Row],[SALARIO]]), EDA!$M$8, moras[[#This Row],[SALARIO]])</f>
        <v>56215261</v>
      </c>
      <c r="O2258" s="14">
        <f xml:space="preserve"> IF(ISBLANK(moras[[#This Row],[EDAD]]), EDA!$E$8, moras[[#This Row],[EDAD]])</f>
        <v>38</v>
      </c>
      <c r="P2258" s="14" t="str">
        <f>IF(
    OR(ISBLANK(moras[[#This Row],[TIPO_ASEGURAMIENTO]]), moras[[#This Row],[TIPO_ASEGURAMIENTO]]=""),
    EDA!$A$32,
    moras[[#This Row],[TIPO_ASEGURAMIENTO]]
)</f>
        <v>ASALARIADO</v>
      </c>
    </row>
    <row r="2259" spans="1:16" x14ac:dyDescent="0.3">
      <c r="A2259">
        <v>2258</v>
      </c>
      <c r="B2259" t="s">
        <v>9</v>
      </c>
      <c r="C2259">
        <v>81142165</v>
      </c>
      <c r="D2259" t="s">
        <v>10</v>
      </c>
      <c r="E2259" t="s">
        <v>11</v>
      </c>
      <c r="F2259" t="s">
        <v>12</v>
      </c>
      <c r="G2259" t="s">
        <v>13</v>
      </c>
      <c r="H2259" t="s">
        <v>13</v>
      </c>
      <c r="I2259">
        <v>32</v>
      </c>
      <c r="J2259">
        <f>ABS((I2259-EDA!$A$15)/EDA!$B$15)</f>
        <v>0.70431298791265773</v>
      </c>
      <c r="K2259" t="str">
        <f t="shared" si="35"/>
        <v>No</v>
      </c>
      <c r="L2259">
        <f>ABS((C2259-EDA!$F$15)/EDA!$G$15)</f>
        <v>0.97460893263616077</v>
      </c>
      <c r="M2259" t="str">
        <f>IF(moras[[#This Row],[Z-Score Salario]]&gt;1.96, "Sí", "No")</f>
        <v>No</v>
      </c>
      <c r="N2259" s="14">
        <f>IF(ISBLANK(moras[[#This Row],[SALARIO]]), EDA!$M$8, moras[[#This Row],[SALARIO]])</f>
        <v>81142165</v>
      </c>
      <c r="O2259" s="14">
        <f xml:space="preserve"> IF(ISBLANK(moras[[#This Row],[EDAD]]), EDA!$E$8, moras[[#This Row],[EDAD]])</f>
        <v>32</v>
      </c>
      <c r="P2259" s="14" t="str">
        <f>IF(
    OR(ISBLANK(moras[[#This Row],[TIPO_ASEGURAMIENTO]]), moras[[#This Row],[TIPO_ASEGURAMIENTO]]=""),
    EDA!$A$32,
    moras[[#This Row],[TIPO_ASEGURAMIENTO]]
)</f>
        <v>ASALARIADO</v>
      </c>
    </row>
    <row r="2260" spans="1:16" x14ac:dyDescent="0.3">
      <c r="A2260">
        <v>2259</v>
      </c>
      <c r="B2260" t="s">
        <v>15</v>
      </c>
      <c r="C2260">
        <v>33893334</v>
      </c>
      <c r="D2260" t="s">
        <v>10</v>
      </c>
      <c r="E2260" t="s">
        <v>16</v>
      </c>
      <c r="F2260" t="s">
        <v>12</v>
      </c>
      <c r="G2260" t="s">
        <v>13</v>
      </c>
      <c r="H2260" t="s">
        <v>13</v>
      </c>
      <c r="I2260">
        <v>27</v>
      </c>
      <c r="J2260">
        <f>ABS((I2260-EDA!$A$15)/EDA!$B$15)</f>
        <v>1.0571896382983452</v>
      </c>
      <c r="K2260" t="str">
        <f t="shared" si="35"/>
        <v>No</v>
      </c>
      <c r="L2260">
        <f>ABS((C2260-EDA!$F$15)/EDA!$G$15)</f>
        <v>0.18835503127005548</v>
      </c>
      <c r="M2260" t="str">
        <f>IF(moras[[#This Row],[Z-Score Salario]]&gt;1.96, "Sí", "No")</f>
        <v>No</v>
      </c>
      <c r="N2260" s="14">
        <f>IF(ISBLANK(moras[[#This Row],[SALARIO]]), EDA!$M$8, moras[[#This Row],[SALARIO]])</f>
        <v>33893334</v>
      </c>
      <c r="O2260" s="14">
        <f xml:space="preserve"> IF(ISBLANK(moras[[#This Row],[EDAD]]), EDA!$E$8, moras[[#This Row],[EDAD]])</f>
        <v>27</v>
      </c>
      <c r="P2260" s="14" t="str">
        <f>IF(
    OR(ISBLANK(moras[[#This Row],[TIPO_ASEGURAMIENTO]]), moras[[#This Row],[TIPO_ASEGURAMIENTO]]=""),
    EDA!$A$32,
    moras[[#This Row],[TIPO_ASEGURAMIENTO]]
)</f>
        <v>ASALARIADO</v>
      </c>
    </row>
    <row r="2261" spans="1:16" x14ac:dyDescent="0.3">
      <c r="A2261">
        <v>2260</v>
      </c>
      <c r="B2261" t="s">
        <v>15</v>
      </c>
      <c r="C2261">
        <v>100000</v>
      </c>
      <c r="D2261" t="s">
        <v>10</v>
      </c>
      <c r="E2261" t="s">
        <v>16</v>
      </c>
      <c r="F2261" t="s">
        <v>12</v>
      </c>
      <c r="G2261" t="s">
        <v>13</v>
      </c>
      <c r="H2261" t="s">
        <v>13</v>
      </c>
      <c r="I2261">
        <v>29</v>
      </c>
      <c r="J2261">
        <f>ABS((I2261-EDA!$A$15)/EDA!$B$15)</f>
        <v>0.91603897814407031</v>
      </c>
      <c r="K2261" t="str">
        <f t="shared" si="35"/>
        <v>No</v>
      </c>
      <c r="L2261">
        <f>ABS((C2261-EDA!$F$15)/EDA!$G$15)</f>
        <v>0.3739899016165984</v>
      </c>
      <c r="M2261" t="str">
        <f>IF(moras[[#This Row],[Z-Score Salario]]&gt;1.96, "Sí", "No")</f>
        <v>No</v>
      </c>
      <c r="N2261" s="14">
        <f>IF(ISBLANK(moras[[#This Row],[SALARIO]]), EDA!$M$8, moras[[#This Row],[SALARIO]])</f>
        <v>100000</v>
      </c>
      <c r="O2261" s="14">
        <f xml:space="preserve"> IF(ISBLANK(moras[[#This Row],[EDAD]]), EDA!$E$8, moras[[#This Row],[EDAD]])</f>
        <v>29</v>
      </c>
      <c r="P2261" s="14" t="str">
        <f>IF(
    OR(ISBLANK(moras[[#This Row],[TIPO_ASEGURAMIENTO]]), moras[[#This Row],[TIPO_ASEGURAMIENTO]]=""),
    EDA!$A$32,
    moras[[#This Row],[TIPO_ASEGURAMIENTO]]
)</f>
        <v>ASALARIADO</v>
      </c>
    </row>
    <row r="2262" spans="1:16" x14ac:dyDescent="0.3">
      <c r="A2262">
        <v>2261</v>
      </c>
      <c r="B2262" t="s">
        <v>9</v>
      </c>
      <c r="C2262">
        <v>697648</v>
      </c>
      <c r="D2262" t="s">
        <v>10</v>
      </c>
      <c r="E2262" t="s">
        <v>16</v>
      </c>
      <c r="F2262" t="s">
        <v>12</v>
      </c>
      <c r="G2262" t="s">
        <v>13</v>
      </c>
      <c r="H2262" t="s">
        <v>13</v>
      </c>
      <c r="I2262">
        <v>61</v>
      </c>
      <c r="J2262">
        <f>ABS((I2262-EDA!$A$15)/EDA!$B$15)</f>
        <v>1.3423715843243298</v>
      </c>
      <c r="K2262" t="str">
        <f t="shared" si="35"/>
        <v>No</v>
      </c>
      <c r="L2262">
        <f>ABS((C2262-EDA!$F$15)/EDA!$G$15)</f>
        <v>0.36404461700958557</v>
      </c>
      <c r="M2262" t="str">
        <f>IF(moras[[#This Row],[Z-Score Salario]]&gt;1.96, "Sí", "No")</f>
        <v>No</v>
      </c>
      <c r="N2262" s="14">
        <f>IF(ISBLANK(moras[[#This Row],[SALARIO]]), EDA!$M$8, moras[[#This Row],[SALARIO]])</f>
        <v>697648</v>
      </c>
      <c r="O2262" s="14">
        <f xml:space="preserve"> IF(ISBLANK(moras[[#This Row],[EDAD]]), EDA!$E$8, moras[[#This Row],[EDAD]])</f>
        <v>61</v>
      </c>
      <c r="P2262" s="14" t="str">
        <f>IF(
    OR(ISBLANK(moras[[#This Row],[TIPO_ASEGURAMIENTO]]), moras[[#This Row],[TIPO_ASEGURAMIENTO]]=""),
    EDA!$A$32,
    moras[[#This Row],[TIPO_ASEGURAMIENTO]]
)</f>
        <v>ASALARIADO</v>
      </c>
    </row>
    <row r="2263" spans="1:16" x14ac:dyDescent="0.3">
      <c r="A2263">
        <v>2262</v>
      </c>
      <c r="B2263" t="s">
        <v>9</v>
      </c>
      <c r="C2263">
        <v>377498</v>
      </c>
      <c r="D2263" t="s">
        <v>18</v>
      </c>
      <c r="E2263" t="s">
        <v>16</v>
      </c>
      <c r="F2263" t="s">
        <v>12</v>
      </c>
      <c r="G2263" t="s">
        <v>13</v>
      </c>
      <c r="H2263" t="s">
        <v>13</v>
      </c>
      <c r="I2263">
        <v>37</v>
      </c>
      <c r="J2263">
        <f>ABS((I2263-EDA!$A$15)/EDA!$B$15)</f>
        <v>0.35143633752697023</v>
      </c>
      <c r="K2263" t="str">
        <f t="shared" si="35"/>
        <v>No</v>
      </c>
      <c r="L2263">
        <f>ABS((C2263-EDA!$F$15)/EDA!$G$15)</f>
        <v>0.36937213900737548</v>
      </c>
      <c r="M2263" t="str">
        <f>IF(moras[[#This Row],[Z-Score Salario]]&gt;1.96, "Sí", "No")</f>
        <v>No</v>
      </c>
      <c r="N2263" s="14">
        <f>IF(ISBLANK(moras[[#This Row],[SALARIO]]), EDA!$M$8, moras[[#This Row],[SALARIO]])</f>
        <v>377498</v>
      </c>
      <c r="O2263" s="14">
        <f xml:space="preserve"> IF(ISBLANK(moras[[#This Row],[EDAD]]), EDA!$E$8, moras[[#This Row],[EDAD]])</f>
        <v>37</v>
      </c>
      <c r="P2263" s="14" t="str">
        <f>IF(
    OR(ISBLANK(moras[[#This Row],[TIPO_ASEGURAMIENTO]]), moras[[#This Row],[TIPO_ASEGURAMIENTO]]=""),
    EDA!$A$32,
    moras[[#This Row],[TIPO_ASEGURAMIENTO]]
)</f>
        <v>TRABAJADOR INDEPENDIENTE</v>
      </c>
    </row>
    <row r="2264" spans="1:16" x14ac:dyDescent="0.3">
      <c r="A2264">
        <v>2263</v>
      </c>
      <c r="B2264" t="s">
        <v>9</v>
      </c>
      <c r="C2264">
        <v>308750</v>
      </c>
      <c r="D2264" t="s">
        <v>10</v>
      </c>
      <c r="E2264" t="s">
        <v>16</v>
      </c>
      <c r="F2264" t="s">
        <v>12</v>
      </c>
      <c r="G2264" t="s">
        <v>13</v>
      </c>
      <c r="H2264" t="s">
        <v>12</v>
      </c>
      <c r="I2264">
        <v>35</v>
      </c>
      <c r="J2264">
        <f>ABS((I2264-EDA!$A$15)/EDA!$B$15)</f>
        <v>0.49258699768124525</v>
      </c>
      <c r="K2264" t="str">
        <f t="shared" si="35"/>
        <v>No</v>
      </c>
      <c r="L2264">
        <f>ABS((C2264-EDA!$F$15)/EDA!$G$15)</f>
        <v>0.37051615425742723</v>
      </c>
      <c r="M2264" t="str">
        <f>IF(moras[[#This Row],[Z-Score Salario]]&gt;1.96, "Sí", "No")</f>
        <v>No</v>
      </c>
      <c r="N2264" s="14">
        <f>IF(ISBLANK(moras[[#This Row],[SALARIO]]), EDA!$M$8, moras[[#This Row],[SALARIO]])</f>
        <v>308750</v>
      </c>
      <c r="O2264" s="14">
        <f xml:space="preserve"> IF(ISBLANK(moras[[#This Row],[EDAD]]), EDA!$E$8, moras[[#This Row],[EDAD]])</f>
        <v>35</v>
      </c>
      <c r="P2264" s="14" t="str">
        <f>IF(
    OR(ISBLANK(moras[[#This Row],[TIPO_ASEGURAMIENTO]]), moras[[#This Row],[TIPO_ASEGURAMIENTO]]=""),
    EDA!$A$32,
    moras[[#This Row],[TIPO_ASEGURAMIENTO]]
)</f>
        <v>ASALARIADO</v>
      </c>
    </row>
    <row r="2265" spans="1:16" x14ac:dyDescent="0.3">
      <c r="A2265">
        <v>2264</v>
      </c>
      <c r="B2265" t="s">
        <v>9</v>
      </c>
      <c r="C2265">
        <v>45135446</v>
      </c>
      <c r="D2265" t="s">
        <v>10</v>
      </c>
      <c r="E2265" t="s">
        <v>16</v>
      </c>
      <c r="F2265" t="s">
        <v>12</v>
      </c>
      <c r="G2265" t="s">
        <v>13</v>
      </c>
      <c r="H2265" t="s">
        <v>13</v>
      </c>
      <c r="I2265">
        <v>58</v>
      </c>
      <c r="J2265">
        <f>ABS((I2265-EDA!$A$15)/EDA!$B$15)</f>
        <v>1.1306455940929174</v>
      </c>
      <c r="K2265" t="str">
        <f t="shared" si="35"/>
        <v>No</v>
      </c>
      <c r="L2265">
        <f>ABS((C2265-EDA!$F$15)/EDA!$G$15)</f>
        <v>0.37543171089403832</v>
      </c>
      <c r="M2265" t="str">
        <f>IF(moras[[#This Row],[Z-Score Salario]]&gt;1.96, "Sí", "No")</f>
        <v>No</v>
      </c>
      <c r="N2265" s="14">
        <f>IF(ISBLANK(moras[[#This Row],[SALARIO]]), EDA!$M$8, moras[[#This Row],[SALARIO]])</f>
        <v>45135446</v>
      </c>
      <c r="O2265" s="14">
        <f xml:space="preserve"> IF(ISBLANK(moras[[#This Row],[EDAD]]), EDA!$E$8, moras[[#This Row],[EDAD]])</f>
        <v>58</v>
      </c>
      <c r="P2265" s="14" t="str">
        <f>IF(
    OR(ISBLANK(moras[[#This Row],[TIPO_ASEGURAMIENTO]]), moras[[#This Row],[TIPO_ASEGURAMIENTO]]=""),
    EDA!$A$32,
    moras[[#This Row],[TIPO_ASEGURAMIENTO]]
)</f>
        <v>ASALARIADO</v>
      </c>
    </row>
    <row r="2266" spans="1:16" x14ac:dyDescent="0.3">
      <c r="A2266">
        <v>2265</v>
      </c>
      <c r="B2266" t="s">
        <v>9</v>
      </c>
      <c r="C2266">
        <v>4550015</v>
      </c>
      <c r="D2266" t="s">
        <v>10</v>
      </c>
      <c r="E2266" t="s">
        <v>16</v>
      </c>
      <c r="F2266" t="s">
        <v>12</v>
      </c>
      <c r="G2266" t="s">
        <v>13</v>
      </c>
      <c r="H2266" t="s">
        <v>13</v>
      </c>
      <c r="I2266">
        <v>20</v>
      </c>
      <c r="J2266">
        <f>ABS((I2266-EDA!$A$15)/EDA!$B$15)</f>
        <v>1.5512169488383079</v>
      </c>
      <c r="K2266" t="str">
        <f t="shared" si="35"/>
        <v>No</v>
      </c>
      <c r="L2266">
        <f>ABS((C2266-EDA!$F$15)/EDA!$G$15)</f>
        <v>0.29993851069673227</v>
      </c>
      <c r="M2266" t="str">
        <f>IF(moras[[#This Row],[Z-Score Salario]]&gt;1.96, "Sí", "No")</f>
        <v>No</v>
      </c>
      <c r="N2266" s="14">
        <f>IF(ISBLANK(moras[[#This Row],[SALARIO]]), EDA!$M$8, moras[[#This Row],[SALARIO]])</f>
        <v>4550015</v>
      </c>
      <c r="O2266" s="14">
        <f xml:space="preserve"> IF(ISBLANK(moras[[#This Row],[EDAD]]), EDA!$E$8, moras[[#This Row],[EDAD]])</f>
        <v>20</v>
      </c>
      <c r="P2266" s="14" t="str">
        <f>IF(
    OR(ISBLANK(moras[[#This Row],[TIPO_ASEGURAMIENTO]]), moras[[#This Row],[TIPO_ASEGURAMIENTO]]=""),
    EDA!$A$32,
    moras[[#This Row],[TIPO_ASEGURAMIENTO]]
)</f>
        <v>ASALARIADO</v>
      </c>
    </row>
    <row r="2267" spans="1:16" x14ac:dyDescent="0.3">
      <c r="A2267">
        <v>2266</v>
      </c>
      <c r="B2267" t="s">
        <v>15</v>
      </c>
      <c r="C2267">
        <v>9948825</v>
      </c>
      <c r="D2267" t="s">
        <v>10</v>
      </c>
      <c r="E2267" t="s">
        <v>16</v>
      </c>
      <c r="F2267" t="s">
        <v>12</v>
      </c>
      <c r="G2267" t="s">
        <v>13</v>
      </c>
      <c r="H2267" t="s">
        <v>13</v>
      </c>
      <c r="I2267">
        <v>50</v>
      </c>
      <c r="J2267">
        <f>ABS((I2267-EDA!$A$15)/EDA!$B$15)</f>
        <v>0.56604295347581735</v>
      </c>
      <c r="K2267" t="str">
        <f t="shared" si="35"/>
        <v>No</v>
      </c>
      <c r="L2267">
        <f>ABS((C2267-EDA!$F$15)/EDA!$G$15)</f>
        <v>0.21009850121090304</v>
      </c>
      <c r="M2267" t="str">
        <f>IF(moras[[#This Row],[Z-Score Salario]]&gt;1.96, "Sí", "No")</f>
        <v>No</v>
      </c>
      <c r="N2267" s="14">
        <f>IF(ISBLANK(moras[[#This Row],[SALARIO]]), EDA!$M$8, moras[[#This Row],[SALARIO]])</f>
        <v>9948825</v>
      </c>
      <c r="O2267" s="14">
        <f xml:space="preserve"> IF(ISBLANK(moras[[#This Row],[EDAD]]), EDA!$E$8, moras[[#This Row],[EDAD]])</f>
        <v>50</v>
      </c>
      <c r="P2267" s="14" t="str">
        <f>IF(
    OR(ISBLANK(moras[[#This Row],[TIPO_ASEGURAMIENTO]]), moras[[#This Row],[TIPO_ASEGURAMIENTO]]=""),
    EDA!$A$32,
    moras[[#This Row],[TIPO_ASEGURAMIENTO]]
)</f>
        <v>ASALARIADO</v>
      </c>
    </row>
    <row r="2268" spans="1:16" x14ac:dyDescent="0.3">
      <c r="A2268">
        <v>2267</v>
      </c>
      <c r="B2268" t="s">
        <v>9</v>
      </c>
      <c r="C2268">
        <v>509509</v>
      </c>
      <c r="D2268" t="s">
        <v>18</v>
      </c>
      <c r="E2268" t="s">
        <v>16</v>
      </c>
      <c r="F2268" t="s">
        <v>12</v>
      </c>
      <c r="G2268" t="s">
        <v>12</v>
      </c>
      <c r="H2268" t="s">
        <v>12</v>
      </c>
      <c r="I2268">
        <v>59</v>
      </c>
      <c r="J2268">
        <f>ABS((I2268-EDA!$A$15)/EDA!$B$15)</f>
        <v>1.2012209241700549</v>
      </c>
      <c r="K2268" t="str">
        <f t="shared" si="35"/>
        <v>No</v>
      </c>
      <c r="L2268">
        <f>ABS((C2268-EDA!$F$15)/EDA!$G$15)</f>
        <v>0.36717538277920042</v>
      </c>
      <c r="M2268" t="str">
        <f>IF(moras[[#This Row],[Z-Score Salario]]&gt;1.96, "Sí", "No")</f>
        <v>No</v>
      </c>
      <c r="N2268" s="14">
        <f>IF(ISBLANK(moras[[#This Row],[SALARIO]]), EDA!$M$8, moras[[#This Row],[SALARIO]])</f>
        <v>509509</v>
      </c>
      <c r="O2268" s="14">
        <f xml:space="preserve"> IF(ISBLANK(moras[[#This Row],[EDAD]]), EDA!$E$8, moras[[#This Row],[EDAD]])</f>
        <v>59</v>
      </c>
      <c r="P2268" s="14" t="str">
        <f>IF(
    OR(ISBLANK(moras[[#This Row],[TIPO_ASEGURAMIENTO]]), moras[[#This Row],[TIPO_ASEGURAMIENTO]]=""),
    EDA!$A$32,
    moras[[#This Row],[TIPO_ASEGURAMIENTO]]
)</f>
        <v>TRABAJADOR INDEPENDIENTE</v>
      </c>
    </row>
    <row r="2269" spans="1:16" x14ac:dyDescent="0.3">
      <c r="A2269">
        <v>2268</v>
      </c>
      <c r="B2269" t="s">
        <v>9</v>
      </c>
      <c r="C2269">
        <v>349920</v>
      </c>
      <c r="D2269" t="s">
        <v>10</v>
      </c>
      <c r="E2269" t="s">
        <v>16</v>
      </c>
      <c r="F2269" t="s">
        <v>12</v>
      </c>
      <c r="G2269" t="s">
        <v>13</v>
      </c>
      <c r="H2269" t="s">
        <v>13</v>
      </c>
      <c r="I2269">
        <v>34</v>
      </c>
      <c r="J2269">
        <f>ABS((I2269-EDA!$A$15)/EDA!$B$15)</f>
        <v>0.56316232775838282</v>
      </c>
      <c r="K2269" t="str">
        <f t="shared" si="35"/>
        <v>No</v>
      </c>
      <c r="L2269">
        <f>ABS((C2269-EDA!$F$15)/EDA!$G$15)</f>
        <v>0.36983105639502206</v>
      </c>
      <c r="M2269" t="str">
        <f>IF(moras[[#This Row],[Z-Score Salario]]&gt;1.96, "Sí", "No")</f>
        <v>No</v>
      </c>
      <c r="N2269" s="14">
        <f>IF(ISBLANK(moras[[#This Row],[SALARIO]]), EDA!$M$8, moras[[#This Row],[SALARIO]])</f>
        <v>349920</v>
      </c>
      <c r="O2269" s="14">
        <f xml:space="preserve"> IF(ISBLANK(moras[[#This Row],[EDAD]]), EDA!$E$8, moras[[#This Row],[EDAD]])</f>
        <v>34</v>
      </c>
      <c r="P2269" s="14" t="str">
        <f>IF(
    OR(ISBLANK(moras[[#This Row],[TIPO_ASEGURAMIENTO]]), moras[[#This Row],[TIPO_ASEGURAMIENTO]]=""),
    EDA!$A$32,
    moras[[#This Row],[TIPO_ASEGURAMIENTO]]
)</f>
        <v>ASALARIADO</v>
      </c>
    </row>
    <row r="2270" spans="1:16" x14ac:dyDescent="0.3">
      <c r="A2270">
        <v>2269</v>
      </c>
      <c r="B2270" t="s">
        <v>9</v>
      </c>
      <c r="C2270">
        <v>177608</v>
      </c>
      <c r="D2270" t="s">
        <v>10</v>
      </c>
      <c r="E2270" t="s">
        <v>16</v>
      </c>
      <c r="F2270" t="s">
        <v>12</v>
      </c>
      <c r="G2270" t="s">
        <v>12</v>
      </c>
      <c r="H2270" t="s">
        <v>13</v>
      </c>
      <c r="I2270">
        <v>29</v>
      </c>
      <c r="J2270">
        <f>ABS((I2270-EDA!$A$15)/EDA!$B$15)</f>
        <v>0.91603897814407031</v>
      </c>
      <c r="K2270" t="str">
        <f t="shared" si="35"/>
        <v>No</v>
      </c>
      <c r="L2270">
        <f>ABS((C2270-EDA!$F$15)/EDA!$G$15)</f>
        <v>0.37269844971216459</v>
      </c>
      <c r="M2270" t="str">
        <f>IF(moras[[#This Row],[Z-Score Salario]]&gt;1.96, "Sí", "No")</f>
        <v>No</v>
      </c>
      <c r="N2270" s="14">
        <f>IF(ISBLANK(moras[[#This Row],[SALARIO]]), EDA!$M$8, moras[[#This Row],[SALARIO]])</f>
        <v>177608</v>
      </c>
      <c r="O2270" s="14">
        <f xml:space="preserve"> IF(ISBLANK(moras[[#This Row],[EDAD]]), EDA!$E$8, moras[[#This Row],[EDAD]])</f>
        <v>29</v>
      </c>
      <c r="P2270" s="14" t="str">
        <f>IF(
    OR(ISBLANK(moras[[#This Row],[TIPO_ASEGURAMIENTO]]), moras[[#This Row],[TIPO_ASEGURAMIENTO]]=""),
    EDA!$A$32,
    moras[[#This Row],[TIPO_ASEGURAMIENTO]]
)</f>
        <v>ASALARIADO</v>
      </c>
    </row>
    <row r="2271" spans="1:16" x14ac:dyDescent="0.3">
      <c r="A2271">
        <v>2270</v>
      </c>
      <c r="B2271" t="s">
        <v>15</v>
      </c>
      <c r="C2271">
        <v>5267368</v>
      </c>
      <c r="D2271" t="s">
        <v>10</v>
      </c>
      <c r="E2271" t="s">
        <v>16</v>
      </c>
      <c r="F2271" t="s">
        <v>12</v>
      </c>
      <c r="G2271" t="s">
        <v>13</v>
      </c>
      <c r="H2271" t="s">
        <v>13</v>
      </c>
      <c r="I2271">
        <v>25</v>
      </c>
      <c r="J2271">
        <f>ABS((I2271-EDA!$A$15)/EDA!$B$15)</f>
        <v>1.1983402984526204</v>
      </c>
      <c r="K2271" t="str">
        <f t="shared" si="35"/>
        <v>No</v>
      </c>
      <c r="L2271">
        <f>ABS((C2271-EDA!$F$15)/EDA!$G$15)</f>
        <v>0.28800125038849989</v>
      </c>
      <c r="M2271" t="str">
        <f>IF(moras[[#This Row],[Z-Score Salario]]&gt;1.96, "Sí", "No")</f>
        <v>No</v>
      </c>
      <c r="N2271" s="14">
        <f>IF(ISBLANK(moras[[#This Row],[SALARIO]]), EDA!$M$8, moras[[#This Row],[SALARIO]])</f>
        <v>5267368</v>
      </c>
      <c r="O2271" s="14">
        <f xml:space="preserve"> IF(ISBLANK(moras[[#This Row],[EDAD]]), EDA!$E$8, moras[[#This Row],[EDAD]])</f>
        <v>25</v>
      </c>
      <c r="P2271" s="14" t="str">
        <f>IF(
    OR(ISBLANK(moras[[#This Row],[TIPO_ASEGURAMIENTO]]), moras[[#This Row],[TIPO_ASEGURAMIENTO]]=""),
    EDA!$A$32,
    moras[[#This Row],[TIPO_ASEGURAMIENTO]]
)</f>
        <v>ASALARIADO</v>
      </c>
    </row>
    <row r="2272" spans="1:16" x14ac:dyDescent="0.3">
      <c r="A2272">
        <v>2271</v>
      </c>
      <c r="B2272" t="s">
        <v>9</v>
      </c>
      <c r="C2272">
        <v>49715533</v>
      </c>
      <c r="D2272" t="s">
        <v>10</v>
      </c>
      <c r="E2272" t="s">
        <v>16</v>
      </c>
      <c r="F2272" t="s">
        <v>12</v>
      </c>
      <c r="G2272" t="s">
        <v>13</v>
      </c>
      <c r="H2272" t="s">
        <v>13</v>
      </c>
      <c r="I2272">
        <v>27</v>
      </c>
      <c r="J2272">
        <f>ABS((I2272-EDA!$A$15)/EDA!$B$15)</f>
        <v>1.0571896382983452</v>
      </c>
      <c r="K2272" t="str">
        <f t="shared" si="35"/>
        <v>No</v>
      </c>
      <c r="L2272">
        <f>ABS((C2272-EDA!$F$15)/EDA!$G$15)</f>
        <v>0.45164759171331575</v>
      </c>
      <c r="M2272" t="str">
        <f>IF(moras[[#This Row],[Z-Score Salario]]&gt;1.96, "Sí", "No")</f>
        <v>No</v>
      </c>
      <c r="N2272" s="14">
        <f>IF(ISBLANK(moras[[#This Row],[SALARIO]]), EDA!$M$8, moras[[#This Row],[SALARIO]])</f>
        <v>49715533</v>
      </c>
      <c r="O2272" s="14">
        <f xml:space="preserve"> IF(ISBLANK(moras[[#This Row],[EDAD]]), EDA!$E$8, moras[[#This Row],[EDAD]])</f>
        <v>27</v>
      </c>
      <c r="P2272" s="14" t="str">
        <f>IF(
    OR(ISBLANK(moras[[#This Row],[TIPO_ASEGURAMIENTO]]), moras[[#This Row],[TIPO_ASEGURAMIENTO]]=""),
    EDA!$A$32,
    moras[[#This Row],[TIPO_ASEGURAMIENTO]]
)</f>
        <v>ASALARIADO</v>
      </c>
    </row>
    <row r="2273" spans="1:16" x14ac:dyDescent="0.3">
      <c r="A2273">
        <v>2272</v>
      </c>
      <c r="B2273" t="s">
        <v>15</v>
      </c>
      <c r="C2273">
        <v>423675</v>
      </c>
      <c r="D2273" t="s">
        <v>10</v>
      </c>
      <c r="E2273" t="s">
        <v>16</v>
      </c>
      <c r="F2273" t="s">
        <v>12</v>
      </c>
      <c r="G2273" t="s">
        <v>13</v>
      </c>
      <c r="H2273" t="s">
        <v>13</v>
      </c>
      <c r="I2273">
        <v>26</v>
      </c>
      <c r="J2273">
        <f>ABS((I2273-EDA!$A$15)/EDA!$B$15)</f>
        <v>1.1277649683754829</v>
      </c>
      <c r="K2273" t="str">
        <f t="shared" si="35"/>
        <v>No</v>
      </c>
      <c r="L2273">
        <f>ABS((C2273-EDA!$F$15)/EDA!$G$15)</f>
        <v>0.36860372113046797</v>
      </c>
      <c r="M2273" t="str">
        <f>IF(moras[[#This Row],[Z-Score Salario]]&gt;1.96, "Sí", "No")</f>
        <v>No</v>
      </c>
      <c r="N2273" s="14">
        <f>IF(ISBLANK(moras[[#This Row],[SALARIO]]), EDA!$M$8, moras[[#This Row],[SALARIO]])</f>
        <v>423675</v>
      </c>
      <c r="O2273" s="14">
        <f xml:space="preserve"> IF(ISBLANK(moras[[#This Row],[EDAD]]), EDA!$E$8, moras[[#This Row],[EDAD]])</f>
        <v>26</v>
      </c>
      <c r="P2273" s="14" t="str">
        <f>IF(
    OR(ISBLANK(moras[[#This Row],[TIPO_ASEGURAMIENTO]]), moras[[#This Row],[TIPO_ASEGURAMIENTO]]=""),
    EDA!$A$32,
    moras[[#This Row],[TIPO_ASEGURAMIENTO]]
)</f>
        <v>ASALARIADO</v>
      </c>
    </row>
    <row r="2274" spans="1:16" x14ac:dyDescent="0.3">
      <c r="A2274">
        <v>2273</v>
      </c>
      <c r="B2274" t="s">
        <v>9</v>
      </c>
      <c r="C2274">
        <v>292387</v>
      </c>
      <c r="D2274" t="s">
        <v>17</v>
      </c>
      <c r="E2274" t="s">
        <v>16</v>
      </c>
      <c r="F2274" t="s">
        <v>12</v>
      </c>
      <c r="G2274" t="s">
        <v>12</v>
      </c>
      <c r="H2274" t="s">
        <v>13</v>
      </c>
      <c r="I2274">
        <v>33</v>
      </c>
      <c r="J2274">
        <f>ABS((I2274-EDA!$A$15)/EDA!$B$15)</f>
        <v>0.63373765783552027</v>
      </c>
      <c r="K2274" t="str">
        <f t="shared" si="35"/>
        <v>No</v>
      </c>
      <c r="L2274">
        <f>ABS((C2274-EDA!$F$15)/EDA!$G$15)</f>
        <v>0.3707884461282685</v>
      </c>
      <c r="M2274" t="str">
        <f>IF(moras[[#This Row],[Z-Score Salario]]&gt;1.96, "Sí", "No")</f>
        <v>No</v>
      </c>
      <c r="N2274" s="14">
        <f>IF(ISBLANK(moras[[#This Row],[SALARIO]]), EDA!$M$8, moras[[#This Row],[SALARIO]])</f>
        <v>292387</v>
      </c>
      <c r="O2274" s="14">
        <f xml:space="preserve"> IF(ISBLANK(moras[[#This Row],[EDAD]]), EDA!$E$8, moras[[#This Row],[EDAD]])</f>
        <v>33</v>
      </c>
      <c r="P2274" s="14" t="str">
        <f>IF(
    OR(ISBLANK(moras[[#This Row],[TIPO_ASEGURAMIENTO]]), moras[[#This Row],[TIPO_ASEGURAMIENTO]]=""),
    EDA!$A$32,
    moras[[#This Row],[TIPO_ASEGURAMIENTO]]
)</f>
        <v>ASEGURADO VOLUNTARIO</v>
      </c>
    </row>
    <row r="2275" spans="1:16" x14ac:dyDescent="0.3">
      <c r="A2275">
        <v>2274</v>
      </c>
      <c r="B2275" t="s">
        <v>15</v>
      </c>
      <c r="C2275">
        <v>430993</v>
      </c>
      <c r="D2275" t="s">
        <v>14</v>
      </c>
      <c r="E2275" t="s">
        <v>11</v>
      </c>
      <c r="F2275" t="s">
        <v>12</v>
      </c>
      <c r="G2275" t="s">
        <v>13</v>
      </c>
      <c r="H2275" t="s">
        <v>13</v>
      </c>
      <c r="I2275">
        <v>64</v>
      </c>
      <c r="J2275">
        <f>ABS((I2275-EDA!$A$15)/EDA!$B$15)</f>
        <v>1.5540975745557424</v>
      </c>
      <c r="K2275" t="str">
        <f t="shared" si="35"/>
        <v>No</v>
      </c>
      <c r="L2275">
        <f>ABS((C2275-EDA!$F$15)/EDA!$G$15)</f>
        <v>0.36848194444460253</v>
      </c>
      <c r="M2275" t="str">
        <f>IF(moras[[#This Row],[Z-Score Salario]]&gt;1.96, "Sí", "No")</f>
        <v>No</v>
      </c>
      <c r="N2275" s="14">
        <f>IF(ISBLANK(moras[[#This Row],[SALARIO]]), EDA!$M$8, moras[[#This Row],[SALARIO]])</f>
        <v>430993</v>
      </c>
      <c r="O2275" s="14">
        <f xml:space="preserve"> IF(ISBLANK(moras[[#This Row],[EDAD]]), EDA!$E$8, moras[[#This Row],[EDAD]])</f>
        <v>64</v>
      </c>
      <c r="P2275" s="14" t="str">
        <f>IF(
    OR(ISBLANK(moras[[#This Row],[TIPO_ASEGURAMIENTO]]), moras[[#This Row],[TIPO_ASEGURAMIENTO]]=""),
    EDA!$A$32,
    moras[[#This Row],[TIPO_ASEGURAMIENTO]]
)</f>
        <v>PENSIONADOS EN SU PROPIO SISTEMA</v>
      </c>
    </row>
    <row r="2276" spans="1:16" x14ac:dyDescent="0.3">
      <c r="A2276">
        <v>2275</v>
      </c>
      <c r="B2276" t="s">
        <v>9</v>
      </c>
      <c r="C2276">
        <v>298000</v>
      </c>
      <c r="D2276" t="s">
        <v>10</v>
      </c>
      <c r="E2276" t="s">
        <v>16</v>
      </c>
      <c r="F2276" t="s">
        <v>12</v>
      </c>
      <c r="G2276" t="s">
        <v>12</v>
      </c>
      <c r="H2276" t="s">
        <v>13</v>
      </c>
      <c r="I2276">
        <v>42</v>
      </c>
      <c r="J2276">
        <f>ABS((I2276-EDA!$A$15)/EDA!$B$15)</f>
        <v>1.4403128587172659E-3</v>
      </c>
      <c r="K2276" t="str">
        <f t="shared" si="35"/>
        <v>No</v>
      </c>
      <c r="L2276">
        <f>ABS((C2276-EDA!$F$15)/EDA!$G$15)</f>
        <v>0.37069504184598334</v>
      </c>
      <c r="M2276" t="str">
        <f>IF(moras[[#This Row],[Z-Score Salario]]&gt;1.96, "Sí", "No")</f>
        <v>No</v>
      </c>
      <c r="N2276" s="14">
        <f>IF(ISBLANK(moras[[#This Row],[SALARIO]]), EDA!$M$8, moras[[#This Row],[SALARIO]])</f>
        <v>298000</v>
      </c>
      <c r="O2276" s="14">
        <f xml:space="preserve"> IF(ISBLANK(moras[[#This Row],[EDAD]]), EDA!$E$8, moras[[#This Row],[EDAD]])</f>
        <v>42</v>
      </c>
      <c r="P2276" s="14" t="str">
        <f>IF(
    OR(ISBLANK(moras[[#This Row],[TIPO_ASEGURAMIENTO]]), moras[[#This Row],[TIPO_ASEGURAMIENTO]]=""),
    EDA!$A$32,
    moras[[#This Row],[TIPO_ASEGURAMIENTO]]
)</f>
        <v>ASALARIADO</v>
      </c>
    </row>
    <row r="2277" spans="1:16" x14ac:dyDescent="0.3">
      <c r="A2277">
        <v>2276</v>
      </c>
      <c r="B2277" t="s">
        <v>9</v>
      </c>
      <c r="C2277">
        <v>405063</v>
      </c>
      <c r="D2277" t="s">
        <v>18</v>
      </c>
      <c r="E2277" t="s">
        <v>16</v>
      </c>
      <c r="F2277" t="s">
        <v>12</v>
      </c>
      <c r="G2277" t="s">
        <v>12</v>
      </c>
      <c r="H2277" t="s">
        <v>12</v>
      </c>
      <c r="I2277">
        <v>40</v>
      </c>
      <c r="J2277">
        <f>ABS((I2277-EDA!$A$15)/EDA!$B$15)</f>
        <v>0.13971034729555773</v>
      </c>
      <c r="K2277" t="str">
        <f t="shared" si="35"/>
        <v>No</v>
      </c>
      <c r="L2277">
        <f>ABS((C2277-EDA!$F$15)/EDA!$G$15)</f>
        <v>0.3689134379489058</v>
      </c>
      <c r="M2277" t="str">
        <f>IF(moras[[#This Row],[Z-Score Salario]]&gt;1.96, "Sí", "No")</f>
        <v>No</v>
      </c>
      <c r="N2277" s="14">
        <f>IF(ISBLANK(moras[[#This Row],[SALARIO]]), EDA!$M$8, moras[[#This Row],[SALARIO]])</f>
        <v>405063</v>
      </c>
      <c r="O2277" s="14">
        <f xml:space="preserve"> IF(ISBLANK(moras[[#This Row],[EDAD]]), EDA!$E$8, moras[[#This Row],[EDAD]])</f>
        <v>40</v>
      </c>
      <c r="P2277" s="14" t="str">
        <f>IF(
    OR(ISBLANK(moras[[#This Row],[TIPO_ASEGURAMIENTO]]), moras[[#This Row],[TIPO_ASEGURAMIENTO]]=""),
    EDA!$A$32,
    moras[[#This Row],[TIPO_ASEGURAMIENTO]]
)</f>
        <v>TRABAJADOR INDEPENDIENTE</v>
      </c>
    </row>
    <row r="2278" spans="1:16" x14ac:dyDescent="0.3">
      <c r="A2278">
        <v>2277</v>
      </c>
      <c r="B2278" t="s">
        <v>9</v>
      </c>
      <c r="C2278">
        <v>1400000</v>
      </c>
      <c r="D2278" t="s">
        <v>10</v>
      </c>
      <c r="E2278" t="s">
        <v>16</v>
      </c>
      <c r="F2278" t="s">
        <v>12</v>
      </c>
      <c r="G2278" t="s">
        <v>13</v>
      </c>
      <c r="H2278" t="s">
        <v>13</v>
      </c>
      <c r="I2278">
        <v>30</v>
      </c>
      <c r="J2278">
        <f>ABS((I2278-EDA!$A$15)/EDA!$B$15)</f>
        <v>0.84546364806693275</v>
      </c>
      <c r="K2278" t="str">
        <f t="shared" si="35"/>
        <v>No</v>
      </c>
      <c r="L2278">
        <f>ABS((C2278-EDA!$F$15)/EDA!$G$15)</f>
        <v>0.35235698393074205</v>
      </c>
      <c r="M2278" t="str">
        <f>IF(moras[[#This Row],[Z-Score Salario]]&gt;1.96, "Sí", "No")</f>
        <v>No</v>
      </c>
      <c r="N2278" s="14">
        <f>IF(ISBLANK(moras[[#This Row],[SALARIO]]), EDA!$M$8, moras[[#This Row],[SALARIO]])</f>
        <v>1400000</v>
      </c>
      <c r="O2278" s="14">
        <f xml:space="preserve"> IF(ISBLANK(moras[[#This Row],[EDAD]]), EDA!$E$8, moras[[#This Row],[EDAD]])</f>
        <v>30</v>
      </c>
      <c r="P2278" s="14" t="str">
        <f>IF(
    OR(ISBLANK(moras[[#This Row],[TIPO_ASEGURAMIENTO]]), moras[[#This Row],[TIPO_ASEGURAMIENTO]]=""),
    EDA!$A$32,
    moras[[#This Row],[TIPO_ASEGURAMIENTO]]
)</f>
        <v>ASALARIADO</v>
      </c>
    </row>
    <row r="2279" spans="1:16" x14ac:dyDescent="0.3">
      <c r="A2279">
        <v>2278</v>
      </c>
      <c r="B2279" t="s">
        <v>15</v>
      </c>
      <c r="C2279">
        <v>341602</v>
      </c>
      <c r="D2279" t="s">
        <v>18</v>
      </c>
      <c r="E2279" t="s">
        <v>16</v>
      </c>
      <c r="F2279" t="s">
        <v>12</v>
      </c>
      <c r="G2279" t="s">
        <v>13</v>
      </c>
      <c r="H2279" t="s">
        <v>13</v>
      </c>
      <c r="I2279">
        <v>42</v>
      </c>
      <c r="J2279">
        <f>ABS((I2279-EDA!$A$15)/EDA!$B$15)</f>
        <v>1.4403128587172659E-3</v>
      </c>
      <c r="K2279" t="str">
        <f t="shared" si="35"/>
        <v>No</v>
      </c>
      <c r="L2279">
        <f>ABS((C2279-EDA!$F$15)/EDA!$G$15)</f>
        <v>0.36996947378679973</v>
      </c>
      <c r="M2279" t="str">
        <f>IF(moras[[#This Row],[Z-Score Salario]]&gt;1.96, "Sí", "No")</f>
        <v>No</v>
      </c>
      <c r="N2279" s="14">
        <f>IF(ISBLANK(moras[[#This Row],[SALARIO]]), EDA!$M$8, moras[[#This Row],[SALARIO]])</f>
        <v>341602</v>
      </c>
      <c r="O2279" s="14">
        <f xml:space="preserve"> IF(ISBLANK(moras[[#This Row],[EDAD]]), EDA!$E$8, moras[[#This Row],[EDAD]])</f>
        <v>42</v>
      </c>
      <c r="P2279" s="14" t="str">
        <f>IF(
    OR(ISBLANK(moras[[#This Row],[TIPO_ASEGURAMIENTO]]), moras[[#This Row],[TIPO_ASEGURAMIENTO]]=""),
    EDA!$A$32,
    moras[[#This Row],[TIPO_ASEGURAMIENTO]]
)</f>
        <v>TRABAJADOR INDEPENDIENTE</v>
      </c>
    </row>
    <row r="2280" spans="1:16" x14ac:dyDescent="0.3">
      <c r="A2280">
        <v>2279</v>
      </c>
      <c r="B2280" t="s">
        <v>9</v>
      </c>
      <c r="C2280">
        <v>915000</v>
      </c>
      <c r="D2280" t="s">
        <v>10</v>
      </c>
      <c r="E2280" t="s">
        <v>16</v>
      </c>
      <c r="F2280" t="s">
        <v>12</v>
      </c>
      <c r="G2280" t="s">
        <v>13</v>
      </c>
      <c r="H2280" t="s">
        <v>13</v>
      </c>
      <c r="I2280">
        <v>24</v>
      </c>
      <c r="J2280">
        <f>ABS((I2280-EDA!$A$15)/EDA!$B$15)</f>
        <v>1.2689156285297578</v>
      </c>
      <c r="K2280" t="str">
        <f t="shared" si="35"/>
        <v>No</v>
      </c>
      <c r="L2280">
        <f>ABS((C2280-EDA!$F$15)/EDA!$G$15)</f>
        <v>0.36042772629815767</v>
      </c>
      <c r="M2280" t="str">
        <f>IF(moras[[#This Row],[Z-Score Salario]]&gt;1.96, "Sí", "No")</f>
        <v>No</v>
      </c>
      <c r="N2280" s="14">
        <f>IF(ISBLANK(moras[[#This Row],[SALARIO]]), EDA!$M$8, moras[[#This Row],[SALARIO]])</f>
        <v>915000</v>
      </c>
      <c r="O2280" s="14">
        <f xml:space="preserve"> IF(ISBLANK(moras[[#This Row],[EDAD]]), EDA!$E$8, moras[[#This Row],[EDAD]])</f>
        <v>24</v>
      </c>
      <c r="P2280" s="14" t="str">
        <f>IF(
    OR(ISBLANK(moras[[#This Row],[TIPO_ASEGURAMIENTO]]), moras[[#This Row],[TIPO_ASEGURAMIENTO]]=""),
    EDA!$A$32,
    moras[[#This Row],[TIPO_ASEGURAMIENTO]]
)</f>
        <v>ASALARIADO</v>
      </c>
    </row>
    <row r="2281" spans="1:16" x14ac:dyDescent="0.3">
      <c r="A2281">
        <v>2280</v>
      </c>
      <c r="B2281" t="s">
        <v>15</v>
      </c>
      <c r="C2281">
        <v>33916462</v>
      </c>
      <c r="D2281" t="s">
        <v>14</v>
      </c>
      <c r="E2281" t="s">
        <v>11</v>
      </c>
      <c r="F2281" t="s">
        <v>12</v>
      </c>
      <c r="G2281" t="s">
        <v>13</v>
      </c>
      <c r="H2281" t="s">
        <v>13</v>
      </c>
      <c r="I2281">
        <v>70</v>
      </c>
      <c r="J2281">
        <f>ABS((I2281-EDA!$A$15)/EDA!$B$15)</f>
        <v>1.9775495550185673</v>
      </c>
      <c r="K2281" t="str">
        <f t="shared" si="35"/>
        <v>Sí</v>
      </c>
      <c r="L2281">
        <f>ABS((C2281-EDA!$F$15)/EDA!$G$15)</f>
        <v>0.18873989751639278</v>
      </c>
      <c r="M2281" t="str">
        <f>IF(moras[[#This Row],[Z-Score Salario]]&gt;1.96, "Sí", "No")</f>
        <v>No</v>
      </c>
      <c r="N2281" s="14">
        <f>IF(ISBLANK(moras[[#This Row],[SALARIO]]), EDA!$M$8, moras[[#This Row],[SALARIO]])</f>
        <v>33916462</v>
      </c>
      <c r="O2281" s="14">
        <f xml:space="preserve"> IF(ISBLANK(moras[[#This Row],[EDAD]]), EDA!$E$8, moras[[#This Row],[EDAD]])</f>
        <v>70</v>
      </c>
      <c r="P2281" s="14" t="str">
        <f>IF(
    OR(ISBLANK(moras[[#This Row],[TIPO_ASEGURAMIENTO]]), moras[[#This Row],[TIPO_ASEGURAMIENTO]]=""),
    EDA!$A$32,
    moras[[#This Row],[TIPO_ASEGURAMIENTO]]
)</f>
        <v>PENSIONADOS EN SU PROPIO SISTEMA</v>
      </c>
    </row>
    <row r="2282" spans="1:16" x14ac:dyDescent="0.3">
      <c r="A2282">
        <v>2281</v>
      </c>
      <c r="B2282" t="s">
        <v>9</v>
      </c>
      <c r="C2282">
        <v>278030</v>
      </c>
      <c r="D2282" t="s">
        <v>19</v>
      </c>
      <c r="E2282" t="s">
        <v>16</v>
      </c>
      <c r="F2282" t="s">
        <v>12</v>
      </c>
      <c r="G2282" t="s">
        <v>13</v>
      </c>
      <c r="H2282" t="s">
        <v>13</v>
      </c>
      <c r="I2282">
        <v>71</v>
      </c>
      <c r="J2282">
        <f>ABS((I2282-EDA!$A$15)/EDA!$B$15)</f>
        <v>2.0481248850957048</v>
      </c>
      <c r="K2282" t="str">
        <f t="shared" si="35"/>
        <v>Sí</v>
      </c>
      <c r="L2282">
        <f>ABS((C2282-EDA!$F$15)/EDA!$G$15)</f>
        <v>0.37102735674304993</v>
      </c>
      <c r="M2282" t="str">
        <f>IF(moras[[#This Row],[Z-Score Salario]]&gt;1.96, "Sí", "No")</f>
        <v>No</v>
      </c>
      <c r="N2282" s="14">
        <f>IF(ISBLANK(moras[[#This Row],[SALARIO]]), EDA!$M$8, moras[[#This Row],[SALARIO]])</f>
        <v>278030</v>
      </c>
      <c r="O2282" s="14">
        <f xml:space="preserve"> IF(ISBLANK(moras[[#This Row],[EDAD]]), EDA!$E$8, moras[[#This Row],[EDAD]])</f>
        <v>71</v>
      </c>
      <c r="P2282" s="14" t="str">
        <f>IF(
    OR(ISBLANK(moras[[#This Row],[TIPO_ASEGURAMIENTO]]), moras[[#This Row],[TIPO_ASEGURAMIENTO]]=""),
    EDA!$A$32,
    moras[[#This Row],[TIPO_ASEGURAMIENTO]]
)</f>
        <v>CONVENIOS ESPECIALES DE TRABAJADORES INDEPENDIENTES</v>
      </c>
    </row>
    <row r="2283" spans="1:16" x14ac:dyDescent="0.3">
      <c r="A2283">
        <v>2282</v>
      </c>
      <c r="B2283" t="s">
        <v>15</v>
      </c>
      <c r="C2283">
        <v>4907136</v>
      </c>
      <c r="D2283" t="s">
        <v>10</v>
      </c>
      <c r="E2283" t="s">
        <v>16</v>
      </c>
      <c r="F2283" t="s">
        <v>12</v>
      </c>
      <c r="G2283" t="s">
        <v>13</v>
      </c>
      <c r="H2283" t="s">
        <v>13</v>
      </c>
      <c r="I2283">
        <v>47</v>
      </c>
      <c r="J2283">
        <f>ABS((I2283-EDA!$A$15)/EDA!$B$15)</f>
        <v>0.35431696324440481</v>
      </c>
      <c r="K2283" t="str">
        <f t="shared" si="35"/>
        <v>No</v>
      </c>
      <c r="L2283">
        <f>ABS((C2283-EDA!$F$15)/EDA!$G$15)</f>
        <v>0.2939957651606625</v>
      </c>
      <c r="M2283" t="str">
        <f>IF(moras[[#This Row],[Z-Score Salario]]&gt;1.96, "Sí", "No")</f>
        <v>No</v>
      </c>
      <c r="N2283" s="14">
        <f>IF(ISBLANK(moras[[#This Row],[SALARIO]]), EDA!$M$8, moras[[#This Row],[SALARIO]])</f>
        <v>4907136</v>
      </c>
      <c r="O2283" s="14">
        <f xml:space="preserve"> IF(ISBLANK(moras[[#This Row],[EDAD]]), EDA!$E$8, moras[[#This Row],[EDAD]])</f>
        <v>47</v>
      </c>
      <c r="P2283" s="14" t="str">
        <f>IF(
    OR(ISBLANK(moras[[#This Row],[TIPO_ASEGURAMIENTO]]), moras[[#This Row],[TIPO_ASEGURAMIENTO]]=""),
    EDA!$A$32,
    moras[[#This Row],[TIPO_ASEGURAMIENTO]]
)</f>
        <v>ASALARIADO</v>
      </c>
    </row>
    <row r="2284" spans="1:16" x14ac:dyDescent="0.3">
      <c r="A2284">
        <v>2283</v>
      </c>
      <c r="B2284" t="s">
        <v>9</v>
      </c>
      <c r="C2284">
        <v>10513748</v>
      </c>
      <c r="D2284" t="s">
        <v>10</v>
      </c>
      <c r="E2284" t="s">
        <v>11</v>
      </c>
      <c r="F2284" t="s">
        <v>12</v>
      </c>
      <c r="G2284" t="s">
        <v>13</v>
      </c>
      <c r="H2284" t="s">
        <v>13</v>
      </c>
      <c r="I2284">
        <v>62</v>
      </c>
      <c r="J2284">
        <f>ABS((I2284-EDA!$A$15)/EDA!$B$15)</f>
        <v>1.4129469144014672</v>
      </c>
      <c r="K2284" t="str">
        <f t="shared" si="35"/>
        <v>No</v>
      </c>
      <c r="L2284">
        <f>ABS((C2284-EDA!$F$15)/EDA!$G$15)</f>
        <v>0.20069778370486685</v>
      </c>
      <c r="M2284" t="str">
        <f>IF(moras[[#This Row],[Z-Score Salario]]&gt;1.96, "Sí", "No")</f>
        <v>No</v>
      </c>
      <c r="N2284" s="14">
        <f>IF(ISBLANK(moras[[#This Row],[SALARIO]]), EDA!$M$8, moras[[#This Row],[SALARIO]])</f>
        <v>10513748</v>
      </c>
      <c r="O2284" s="14">
        <f xml:space="preserve"> IF(ISBLANK(moras[[#This Row],[EDAD]]), EDA!$E$8, moras[[#This Row],[EDAD]])</f>
        <v>62</v>
      </c>
      <c r="P2284" s="14" t="str">
        <f>IF(
    OR(ISBLANK(moras[[#This Row],[TIPO_ASEGURAMIENTO]]), moras[[#This Row],[TIPO_ASEGURAMIENTO]]=""),
    EDA!$A$32,
    moras[[#This Row],[TIPO_ASEGURAMIENTO]]
)</f>
        <v>ASALARIADO</v>
      </c>
    </row>
    <row r="2285" spans="1:16" x14ac:dyDescent="0.3">
      <c r="A2285">
        <v>2284</v>
      </c>
      <c r="B2285" t="s">
        <v>9</v>
      </c>
      <c r="C2285">
        <v>44584144</v>
      </c>
      <c r="D2285" t="s">
        <v>10</v>
      </c>
      <c r="E2285" t="s">
        <v>16</v>
      </c>
      <c r="F2285" t="s">
        <v>12</v>
      </c>
      <c r="G2285" t="s">
        <v>12</v>
      </c>
      <c r="H2285" t="s">
        <v>13</v>
      </c>
      <c r="I2285">
        <v>57</v>
      </c>
      <c r="J2285">
        <f>ABS((I2285-EDA!$A$15)/EDA!$B$15)</f>
        <v>1.0600702640157798</v>
      </c>
      <c r="K2285" t="str">
        <f t="shared" si="35"/>
        <v>No</v>
      </c>
      <c r="L2285">
        <f>ABS((C2285-EDA!$F$15)/EDA!$G$15)</f>
        <v>0.36625765644323222</v>
      </c>
      <c r="M2285" t="str">
        <f>IF(moras[[#This Row],[Z-Score Salario]]&gt;1.96, "Sí", "No")</f>
        <v>No</v>
      </c>
      <c r="N2285" s="14">
        <f>IF(ISBLANK(moras[[#This Row],[SALARIO]]), EDA!$M$8, moras[[#This Row],[SALARIO]])</f>
        <v>44584144</v>
      </c>
      <c r="O2285" s="14">
        <f xml:space="preserve"> IF(ISBLANK(moras[[#This Row],[EDAD]]), EDA!$E$8, moras[[#This Row],[EDAD]])</f>
        <v>57</v>
      </c>
      <c r="P2285" s="14" t="str">
        <f>IF(
    OR(ISBLANK(moras[[#This Row],[TIPO_ASEGURAMIENTO]]), moras[[#This Row],[TIPO_ASEGURAMIENTO]]=""),
    EDA!$A$32,
    moras[[#This Row],[TIPO_ASEGURAMIENTO]]
)</f>
        <v>ASALARIADO</v>
      </c>
    </row>
    <row r="2286" spans="1:16" x14ac:dyDescent="0.3">
      <c r="A2286">
        <v>2285</v>
      </c>
      <c r="B2286" t="s">
        <v>15</v>
      </c>
      <c r="C2286">
        <v>48584398</v>
      </c>
      <c r="D2286" t="s">
        <v>10</v>
      </c>
      <c r="E2286" t="s">
        <v>16</v>
      </c>
      <c r="F2286" t="s">
        <v>12</v>
      </c>
      <c r="G2286" t="s">
        <v>13</v>
      </c>
      <c r="H2286" t="s">
        <v>13</v>
      </c>
      <c r="I2286">
        <v>25</v>
      </c>
      <c r="J2286">
        <f>ABS((I2286-EDA!$A$15)/EDA!$B$15)</f>
        <v>1.1983402984526204</v>
      </c>
      <c r="K2286" t="str">
        <f t="shared" si="35"/>
        <v>No</v>
      </c>
      <c r="L2286">
        <f>ABS((C2286-EDA!$F$15)/EDA!$G$15)</f>
        <v>0.43282470683132263</v>
      </c>
      <c r="M2286" t="str">
        <f>IF(moras[[#This Row],[Z-Score Salario]]&gt;1.96, "Sí", "No")</f>
        <v>No</v>
      </c>
      <c r="N2286" s="14">
        <f>IF(ISBLANK(moras[[#This Row],[SALARIO]]), EDA!$M$8, moras[[#This Row],[SALARIO]])</f>
        <v>48584398</v>
      </c>
      <c r="O2286" s="14">
        <f xml:space="preserve"> IF(ISBLANK(moras[[#This Row],[EDAD]]), EDA!$E$8, moras[[#This Row],[EDAD]])</f>
        <v>25</v>
      </c>
      <c r="P2286" s="14" t="str">
        <f>IF(
    OR(ISBLANK(moras[[#This Row],[TIPO_ASEGURAMIENTO]]), moras[[#This Row],[TIPO_ASEGURAMIENTO]]=""),
    EDA!$A$32,
    moras[[#This Row],[TIPO_ASEGURAMIENTO]]
)</f>
        <v>ASALARIADO</v>
      </c>
    </row>
    <row r="2287" spans="1:16" x14ac:dyDescent="0.3">
      <c r="A2287">
        <v>2286</v>
      </c>
      <c r="B2287" t="s">
        <v>9</v>
      </c>
      <c r="C2287">
        <v>370647</v>
      </c>
      <c r="D2287" t="s">
        <v>18</v>
      </c>
      <c r="E2287" t="s">
        <v>16</v>
      </c>
      <c r="F2287" t="s">
        <v>12</v>
      </c>
      <c r="G2287" t="s">
        <v>13</v>
      </c>
      <c r="H2287" t="s">
        <v>13</v>
      </c>
      <c r="I2287">
        <v>49</v>
      </c>
      <c r="J2287">
        <f>ABS((I2287-EDA!$A$15)/EDA!$B$15)</f>
        <v>0.49546762339867978</v>
      </c>
      <c r="K2287" t="str">
        <f t="shared" si="35"/>
        <v>No</v>
      </c>
      <c r="L2287">
        <f>ABS((C2287-EDA!$F$15)/EDA!$G$15)</f>
        <v>0.36948614448357997</v>
      </c>
      <c r="M2287" t="str">
        <f>IF(moras[[#This Row],[Z-Score Salario]]&gt;1.96, "Sí", "No")</f>
        <v>No</v>
      </c>
      <c r="N2287" s="14">
        <f>IF(ISBLANK(moras[[#This Row],[SALARIO]]), EDA!$M$8, moras[[#This Row],[SALARIO]])</f>
        <v>370647</v>
      </c>
      <c r="O2287" s="14">
        <f xml:space="preserve"> IF(ISBLANK(moras[[#This Row],[EDAD]]), EDA!$E$8, moras[[#This Row],[EDAD]])</f>
        <v>49</v>
      </c>
      <c r="P2287" s="14" t="str">
        <f>IF(
    OR(ISBLANK(moras[[#This Row],[TIPO_ASEGURAMIENTO]]), moras[[#This Row],[TIPO_ASEGURAMIENTO]]=""),
    EDA!$A$32,
    moras[[#This Row],[TIPO_ASEGURAMIENTO]]
)</f>
        <v>TRABAJADOR INDEPENDIENTE</v>
      </c>
    </row>
    <row r="2288" spans="1:16" x14ac:dyDescent="0.3">
      <c r="A2288">
        <v>2287</v>
      </c>
      <c r="B2288" t="s">
        <v>15</v>
      </c>
      <c r="C2288">
        <v>1381018</v>
      </c>
      <c r="D2288" t="s">
        <v>10</v>
      </c>
      <c r="E2288" t="s">
        <v>11</v>
      </c>
      <c r="F2288" t="s">
        <v>12</v>
      </c>
      <c r="G2288" t="s">
        <v>13</v>
      </c>
      <c r="H2288" t="s">
        <v>13</v>
      </c>
      <c r="I2288">
        <v>31</v>
      </c>
      <c r="J2288">
        <f>ABS((I2288-EDA!$A$15)/EDA!$B$15)</f>
        <v>0.77488831798979529</v>
      </c>
      <c r="K2288" t="str">
        <f t="shared" si="35"/>
        <v>No</v>
      </c>
      <c r="L2288">
        <f>ABS((C2288-EDA!$F$15)/EDA!$G$15)</f>
        <v>0.35267285781036739</v>
      </c>
      <c r="M2288" t="str">
        <f>IF(moras[[#This Row],[Z-Score Salario]]&gt;1.96, "Sí", "No")</f>
        <v>No</v>
      </c>
      <c r="N2288" s="14">
        <f>IF(ISBLANK(moras[[#This Row],[SALARIO]]), EDA!$M$8, moras[[#This Row],[SALARIO]])</f>
        <v>1381018</v>
      </c>
      <c r="O2288" s="14">
        <f xml:space="preserve"> IF(ISBLANK(moras[[#This Row],[EDAD]]), EDA!$E$8, moras[[#This Row],[EDAD]])</f>
        <v>31</v>
      </c>
      <c r="P2288" s="14" t="str">
        <f>IF(
    OR(ISBLANK(moras[[#This Row],[TIPO_ASEGURAMIENTO]]), moras[[#This Row],[TIPO_ASEGURAMIENTO]]=""),
    EDA!$A$32,
    moras[[#This Row],[TIPO_ASEGURAMIENTO]]
)</f>
        <v>ASALARIADO</v>
      </c>
    </row>
    <row r="2289" spans="1:16" x14ac:dyDescent="0.3">
      <c r="A2289">
        <v>2288</v>
      </c>
      <c r="B2289" t="s">
        <v>9</v>
      </c>
      <c r="C2289">
        <v>338629</v>
      </c>
      <c r="D2289" t="s">
        <v>18</v>
      </c>
      <c r="E2289" t="s">
        <v>16</v>
      </c>
      <c r="F2289" t="s">
        <v>12</v>
      </c>
      <c r="G2289" t="s">
        <v>13</v>
      </c>
      <c r="H2289" t="s">
        <v>12</v>
      </c>
      <c r="I2289">
        <v>50</v>
      </c>
      <c r="J2289">
        <f>ABS((I2289-EDA!$A$15)/EDA!$B$15)</f>
        <v>0.56604295347581735</v>
      </c>
      <c r="K2289" t="str">
        <f t="shared" si="35"/>
        <v>No</v>
      </c>
      <c r="L2289">
        <f>ABS((C2289-EDA!$F$15)/EDA!$G$15)</f>
        <v>0.37001894660547668</v>
      </c>
      <c r="M2289" t="str">
        <f>IF(moras[[#This Row],[Z-Score Salario]]&gt;1.96, "Sí", "No")</f>
        <v>No</v>
      </c>
      <c r="N2289" s="14">
        <f>IF(ISBLANK(moras[[#This Row],[SALARIO]]), EDA!$M$8, moras[[#This Row],[SALARIO]])</f>
        <v>338629</v>
      </c>
      <c r="O2289" s="14">
        <f xml:space="preserve"> IF(ISBLANK(moras[[#This Row],[EDAD]]), EDA!$E$8, moras[[#This Row],[EDAD]])</f>
        <v>50</v>
      </c>
      <c r="P2289" s="14" t="str">
        <f>IF(
    OR(ISBLANK(moras[[#This Row],[TIPO_ASEGURAMIENTO]]), moras[[#This Row],[TIPO_ASEGURAMIENTO]]=""),
    EDA!$A$32,
    moras[[#This Row],[TIPO_ASEGURAMIENTO]]
)</f>
        <v>TRABAJADOR INDEPENDIENTE</v>
      </c>
    </row>
    <row r="2290" spans="1:16" x14ac:dyDescent="0.3">
      <c r="A2290">
        <v>2289</v>
      </c>
      <c r="B2290" t="s">
        <v>9</v>
      </c>
      <c r="C2290">
        <v>10804965</v>
      </c>
      <c r="D2290" t="s">
        <v>10</v>
      </c>
      <c r="E2290" t="s">
        <v>16</v>
      </c>
      <c r="F2290" t="s">
        <v>12</v>
      </c>
      <c r="G2290" t="s">
        <v>13</v>
      </c>
      <c r="H2290" t="s">
        <v>13</v>
      </c>
      <c r="I2290">
        <v>37</v>
      </c>
      <c r="J2290">
        <f>ABS((I2290-EDA!$A$15)/EDA!$B$15)</f>
        <v>0.35143633752697023</v>
      </c>
      <c r="K2290" t="str">
        <f t="shared" si="35"/>
        <v>No</v>
      </c>
      <c r="L2290">
        <f>ABS((C2290-EDA!$F$15)/EDA!$G$15)</f>
        <v>0.19585172725123454</v>
      </c>
      <c r="M2290" t="str">
        <f>IF(moras[[#This Row],[Z-Score Salario]]&gt;1.96, "Sí", "No")</f>
        <v>No</v>
      </c>
      <c r="N2290" s="14">
        <f>IF(ISBLANK(moras[[#This Row],[SALARIO]]), EDA!$M$8, moras[[#This Row],[SALARIO]])</f>
        <v>10804965</v>
      </c>
      <c r="O2290" s="14">
        <f xml:space="preserve"> IF(ISBLANK(moras[[#This Row],[EDAD]]), EDA!$E$8, moras[[#This Row],[EDAD]])</f>
        <v>37</v>
      </c>
      <c r="P2290" s="14" t="str">
        <f>IF(
    OR(ISBLANK(moras[[#This Row],[TIPO_ASEGURAMIENTO]]), moras[[#This Row],[TIPO_ASEGURAMIENTO]]=""),
    EDA!$A$32,
    moras[[#This Row],[TIPO_ASEGURAMIENTO]]
)</f>
        <v>ASALARIADO</v>
      </c>
    </row>
    <row r="2291" spans="1:16" x14ac:dyDescent="0.3">
      <c r="A2291">
        <v>2290</v>
      </c>
      <c r="B2291" t="s">
        <v>15</v>
      </c>
      <c r="C2291">
        <v>294025</v>
      </c>
      <c r="D2291" t="s">
        <v>10</v>
      </c>
      <c r="E2291" t="s">
        <v>16</v>
      </c>
      <c r="F2291" t="s">
        <v>12</v>
      </c>
      <c r="G2291" t="s">
        <v>13</v>
      </c>
      <c r="H2291" t="s">
        <v>13</v>
      </c>
      <c r="I2291">
        <v>49</v>
      </c>
      <c r="J2291">
        <f>ABS((I2291-EDA!$A$15)/EDA!$B$15)</f>
        <v>0.49546762339867978</v>
      </c>
      <c r="K2291" t="str">
        <f t="shared" si="35"/>
        <v>No</v>
      </c>
      <c r="L2291">
        <f>ABS((C2291-EDA!$F$15)/EDA!$G$15)</f>
        <v>0.37076118865198432</v>
      </c>
      <c r="M2291" t="str">
        <f>IF(moras[[#This Row],[Z-Score Salario]]&gt;1.96, "Sí", "No")</f>
        <v>No</v>
      </c>
      <c r="N2291" s="14">
        <f>IF(ISBLANK(moras[[#This Row],[SALARIO]]), EDA!$M$8, moras[[#This Row],[SALARIO]])</f>
        <v>294025</v>
      </c>
      <c r="O2291" s="14">
        <f xml:space="preserve"> IF(ISBLANK(moras[[#This Row],[EDAD]]), EDA!$E$8, moras[[#This Row],[EDAD]])</f>
        <v>49</v>
      </c>
      <c r="P2291" s="14" t="str">
        <f>IF(
    OR(ISBLANK(moras[[#This Row],[TIPO_ASEGURAMIENTO]]), moras[[#This Row],[TIPO_ASEGURAMIENTO]]=""),
    EDA!$A$32,
    moras[[#This Row],[TIPO_ASEGURAMIENTO]]
)</f>
        <v>ASALARIADO</v>
      </c>
    </row>
    <row r="2292" spans="1:16" x14ac:dyDescent="0.3">
      <c r="A2292">
        <v>2291</v>
      </c>
      <c r="B2292" t="s">
        <v>9</v>
      </c>
      <c r="C2292">
        <v>300018</v>
      </c>
      <c r="D2292" t="s">
        <v>18</v>
      </c>
      <c r="E2292" t="s">
        <v>16</v>
      </c>
      <c r="F2292" t="s">
        <v>12</v>
      </c>
      <c r="G2292" t="s">
        <v>13</v>
      </c>
      <c r="H2292" t="s">
        <v>12</v>
      </c>
      <c r="I2292">
        <v>54</v>
      </c>
      <c r="J2292">
        <f>ABS((I2292-EDA!$A$15)/EDA!$B$15)</f>
        <v>0.84834427378436728</v>
      </c>
      <c r="K2292" t="str">
        <f t="shared" si="35"/>
        <v>No</v>
      </c>
      <c r="L2292">
        <f>ABS((C2292-EDA!$F$15)/EDA!$G$15)</f>
        <v>0.37066146090145252</v>
      </c>
      <c r="M2292" t="str">
        <f>IF(moras[[#This Row],[Z-Score Salario]]&gt;1.96, "Sí", "No")</f>
        <v>No</v>
      </c>
      <c r="N2292" s="14">
        <f>IF(ISBLANK(moras[[#This Row],[SALARIO]]), EDA!$M$8, moras[[#This Row],[SALARIO]])</f>
        <v>300018</v>
      </c>
      <c r="O2292" s="14">
        <f xml:space="preserve"> IF(ISBLANK(moras[[#This Row],[EDAD]]), EDA!$E$8, moras[[#This Row],[EDAD]])</f>
        <v>54</v>
      </c>
      <c r="P2292" s="14" t="str">
        <f>IF(
    OR(ISBLANK(moras[[#This Row],[TIPO_ASEGURAMIENTO]]), moras[[#This Row],[TIPO_ASEGURAMIENTO]]=""),
    EDA!$A$32,
    moras[[#This Row],[TIPO_ASEGURAMIENTO]]
)</f>
        <v>TRABAJADOR INDEPENDIENTE</v>
      </c>
    </row>
    <row r="2293" spans="1:16" x14ac:dyDescent="0.3">
      <c r="A2293">
        <v>2292</v>
      </c>
      <c r="B2293" t="s">
        <v>9</v>
      </c>
      <c r="C2293">
        <v>278030</v>
      </c>
      <c r="D2293" t="s">
        <v>19</v>
      </c>
      <c r="E2293" t="s">
        <v>16</v>
      </c>
      <c r="F2293" t="s">
        <v>12</v>
      </c>
      <c r="G2293" t="s">
        <v>13</v>
      </c>
      <c r="H2293" t="s">
        <v>13</v>
      </c>
      <c r="I2293">
        <v>53</v>
      </c>
      <c r="J2293">
        <f>ABS((I2293-EDA!$A$15)/EDA!$B$15)</f>
        <v>0.77776894370722982</v>
      </c>
      <c r="K2293" t="str">
        <f t="shared" si="35"/>
        <v>No</v>
      </c>
      <c r="L2293">
        <f>ABS((C2293-EDA!$F$15)/EDA!$G$15)</f>
        <v>0.37102735674304993</v>
      </c>
      <c r="M2293" t="str">
        <f>IF(moras[[#This Row],[Z-Score Salario]]&gt;1.96, "Sí", "No")</f>
        <v>No</v>
      </c>
      <c r="N2293" s="14">
        <f>IF(ISBLANK(moras[[#This Row],[SALARIO]]), EDA!$M$8, moras[[#This Row],[SALARIO]])</f>
        <v>278030</v>
      </c>
      <c r="O2293" s="14">
        <f xml:space="preserve"> IF(ISBLANK(moras[[#This Row],[EDAD]]), EDA!$E$8, moras[[#This Row],[EDAD]])</f>
        <v>53</v>
      </c>
      <c r="P2293" s="14" t="str">
        <f>IF(
    OR(ISBLANK(moras[[#This Row],[TIPO_ASEGURAMIENTO]]), moras[[#This Row],[TIPO_ASEGURAMIENTO]]=""),
    EDA!$A$32,
    moras[[#This Row],[TIPO_ASEGURAMIENTO]]
)</f>
        <v>CONVENIOS ESPECIALES DE TRABAJADORES INDEPENDIENTES</v>
      </c>
    </row>
    <row r="2294" spans="1:16" x14ac:dyDescent="0.3">
      <c r="A2294">
        <v>2293</v>
      </c>
      <c r="B2294" t="s">
        <v>9</v>
      </c>
      <c r="C2294">
        <v>299647</v>
      </c>
      <c r="D2294" t="s">
        <v>17</v>
      </c>
      <c r="E2294" t="s">
        <v>16</v>
      </c>
      <c r="F2294" t="s">
        <v>12</v>
      </c>
      <c r="G2294" t="s">
        <v>13</v>
      </c>
      <c r="H2294" t="s">
        <v>13</v>
      </c>
      <c r="I2294">
        <v>61</v>
      </c>
      <c r="J2294">
        <f>ABS((I2294-EDA!$A$15)/EDA!$B$15)</f>
        <v>1.3423715843243298</v>
      </c>
      <c r="K2294" t="str">
        <f t="shared" si="35"/>
        <v>No</v>
      </c>
      <c r="L2294">
        <f>ABS((C2294-EDA!$F$15)/EDA!$G$15)</f>
        <v>0.37066763460334595</v>
      </c>
      <c r="M2294" t="str">
        <f>IF(moras[[#This Row],[Z-Score Salario]]&gt;1.96, "Sí", "No")</f>
        <v>No</v>
      </c>
      <c r="N2294" s="14">
        <f>IF(ISBLANK(moras[[#This Row],[SALARIO]]), EDA!$M$8, moras[[#This Row],[SALARIO]])</f>
        <v>299647</v>
      </c>
      <c r="O2294" s="14">
        <f xml:space="preserve"> IF(ISBLANK(moras[[#This Row],[EDAD]]), EDA!$E$8, moras[[#This Row],[EDAD]])</f>
        <v>61</v>
      </c>
      <c r="P2294" s="14" t="str">
        <f>IF(
    OR(ISBLANK(moras[[#This Row],[TIPO_ASEGURAMIENTO]]), moras[[#This Row],[TIPO_ASEGURAMIENTO]]=""),
    EDA!$A$32,
    moras[[#This Row],[TIPO_ASEGURAMIENTO]]
)</f>
        <v>ASEGURADO VOLUNTARIO</v>
      </c>
    </row>
    <row r="2295" spans="1:16" x14ac:dyDescent="0.3">
      <c r="A2295">
        <v>2294</v>
      </c>
      <c r="B2295" t="s">
        <v>15</v>
      </c>
      <c r="C2295">
        <v>2376310</v>
      </c>
      <c r="D2295" t="s">
        <v>10</v>
      </c>
      <c r="E2295" t="s">
        <v>11</v>
      </c>
      <c r="F2295" t="s">
        <v>12</v>
      </c>
      <c r="G2295" t="s">
        <v>13</v>
      </c>
      <c r="H2295" t="s">
        <v>13</v>
      </c>
      <c r="I2295">
        <v>45</v>
      </c>
      <c r="J2295">
        <f>ABS((I2295-EDA!$A$15)/EDA!$B$15)</f>
        <v>0.21316630309012977</v>
      </c>
      <c r="K2295" t="str">
        <f t="shared" si="35"/>
        <v>No</v>
      </c>
      <c r="L2295">
        <f>ABS((C2295-EDA!$F$15)/EDA!$G$15)</f>
        <v>0.33611049634160484</v>
      </c>
      <c r="M2295" t="str">
        <f>IF(moras[[#This Row],[Z-Score Salario]]&gt;1.96, "Sí", "No")</f>
        <v>No</v>
      </c>
      <c r="N2295" s="14">
        <f>IF(ISBLANK(moras[[#This Row],[SALARIO]]), EDA!$M$8, moras[[#This Row],[SALARIO]])</f>
        <v>2376310</v>
      </c>
      <c r="O2295" s="14">
        <f xml:space="preserve"> IF(ISBLANK(moras[[#This Row],[EDAD]]), EDA!$E$8, moras[[#This Row],[EDAD]])</f>
        <v>45</v>
      </c>
      <c r="P2295" s="14" t="str">
        <f>IF(
    OR(ISBLANK(moras[[#This Row],[TIPO_ASEGURAMIENTO]]), moras[[#This Row],[TIPO_ASEGURAMIENTO]]=""),
    EDA!$A$32,
    moras[[#This Row],[TIPO_ASEGURAMIENTO]]
)</f>
        <v>ASALARIADO</v>
      </c>
    </row>
    <row r="2296" spans="1:16" x14ac:dyDescent="0.3">
      <c r="A2296">
        <v>2295</v>
      </c>
      <c r="B2296" t="s">
        <v>15</v>
      </c>
      <c r="C2296">
        <v>257784</v>
      </c>
      <c r="D2296" t="s">
        <v>10</v>
      </c>
      <c r="E2296" t="s">
        <v>16</v>
      </c>
      <c r="F2296" t="s">
        <v>12</v>
      </c>
      <c r="G2296" t="s">
        <v>13</v>
      </c>
      <c r="H2296" t="s">
        <v>13</v>
      </c>
      <c r="I2296">
        <v>44</v>
      </c>
      <c r="J2296">
        <f>ABS((I2296-EDA!$A$15)/EDA!$B$15)</f>
        <v>0.14259097301299228</v>
      </c>
      <c r="K2296" t="str">
        <f t="shared" si="35"/>
        <v>No</v>
      </c>
      <c r="L2296">
        <f>ABS((C2296-EDA!$F$15)/EDA!$G$15)</f>
        <v>0.37136426447494825</v>
      </c>
      <c r="M2296" t="str">
        <f>IF(moras[[#This Row],[Z-Score Salario]]&gt;1.96, "Sí", "No")</f>
        <v>No</v>
      </c>
      <c r="N2296" s="14">
        <f>IF(ISBLANK(moras[[#This Row],[SALARIO]]), EDA!$M$8, moras[[#This Row],[SALARIO]])</f>
        <v>257784</v>
      </c>
      <c r="O2296" s="14">
        <f xml:space="preserve"> IF(ISBLANK(moras[[#This Row],[EDAD]]), EDA!$E$8, moras[[#This Row],[EDAD]])</f>
        <v>44</v>
      </c>
      <c r="P2296" s="14" t="str">
        <f>IF(
    OR(ISBLANK(moras[[#This Row],[TIPO_ASEGURAMIENTO]]), moras[[#This Row],[TIPO_ASEGURAMIENTO]]=""),
    EDA!$A$32,
    moras[[#This Row],[TIPO_ASEGURAMIENTO]]
)</f>
        <v>ASALARIADO</v>
      </c>
    </row>
    <row r="2297" spans="1:16" x14ac:dyDescent="0.3">
      <c r="A2297">
        <v>2296</v>
      </c>
      <c r="B2297" t="s">
        <v>15</v>
      </c>
      <c r="C2297">
        <v>14980053</v>
      </c>
      <c r="D2297" t="s">
        <v>10</v>
      </c>
      <c r="E2297" t="s">
        <v>16</v>
      </c>
      <c r="F2297" t="s">
        <v>12</v>
      </c>
      <c r="G2297" t="s">
        <v>13</v>
      </c>
      <c r="H2297" t="s">
        <v>13</v>
      </c>
      <c r="I2297">
        <v>63</v>
      </c>
      <c r="J2297">
        <f>ABS((I2297-EDA!$A$15)/EDA!$B$15)</f>
        <v>1.4835222444786049</v>
      </c>
      <c r="K2297" t="str">
        <f t="shared" si="35"/>
        <v>No</v>
      </c>
      <c r="L2297">
        <f>ABS((C2297-EDA!$F$15)/EDA!$G$15)</f>
        <v>0.12637531568569105</v>
      </c>
      <c r="M2297" t="str">
        <f>IF(moras[[#This Row],[Z-Score Salario]]&gt;1.96, "Sí", "No")</f>
        <v>No</v>
      </c>
      <c r="N2297" s="14">
        <f>IF(ISBLANK(moras[[#This Row],[SALARIO]]), EDA!$M$8, moras[[#This Row],[SALARIO]])</f>
        <v>14980053</v>
      </c>
      <c r="O2297" s="14">
        <f xml:space="preserve"> IF(ISBLANK(moras[[#This Row],[EDAD]]), EDA!$E$8, moras[[#This Row],[EDAD]])</f>
        <v>63</v>
      </c>
      <c r="P2297" s="14" t="str">
        <f>IF(
    OR(ISBLANK(moras[[#This Row],[TIPO_ASEGURAMIENTO]]), moras[[#This Row],[TIPO_ASEGURAMIENTO]]=""),
    EDA!$A$32,
    moras[[#This Row],[TIPO_ASEGURAMIENTO]]
)</f>
        <v>ASALARIADO</v>
      </c>
    </row>
    <row r="2298" spans="1:16" x14ac:dyDescent="0.3">
      <c r="A2298">
        <v>2297</v>
      </c>
      <c r="B2298" t="s">
        <v>15</v>
      </c>
      <c r="C2298">
        <v>282305</v>
      </c>
      <c r="D2298" t="s">
        <v>17</v>
      </c>
      <c r="E2298" t="s">
        <v>16</v>
      </c>
      <c r="F2298" t="s">
        <v>12</v>
      </c>
      <c r="G2298" t="s">
        <v>13</v>
      </c>
      <c r="H2298" t="s">
        <v>13</v>
      </c>
      <c r="I2298">
        <v>52</v>
      </c>
      <c r="J2298">
        <f>ABS((I2298-EDA!$A$15)/EDA!$B$15)</f>
        <v>0.70719361363009237</v>
      </c>
      <c r="K2298" t="str">
        <f t="shared" si="35"/>
        <v>No</v>
      </c>
      <c r="L2298">
        <f>ABS((C2298-EDA!$F$15)/EDA!$G$15)</f>
        <v>0.37095621772527526</v>
      </c>
      <c r="M2298" t="str">
        <f>IF(moras[[#This Row],[Z-Score Salario]]&gt;1.96, "Sí", "No")</f>
        <v>No</v>
      </c>
      <c r="N2298" s="14">
        <f>IF(ISBLANK(moras[[#This Row],[SALARIO]]), EDA!$M$8, moras[[#This Row],[SALARIO]])</f>
        <v>282305</v>
      </c>
      <c r="O2298" s="14">
        <f xml:space="preserve"> IF(ISBLANK(moras[[#This Row],[EDAD]]), EDA!$E$8, moras[[#This Row],[EDAD]])</f>
        <v>52</v>
      </c>
      <c r="P2298" s="14" t="str">
        <f>IF(
    OR(ISBLANK(moras[[#This Row],[TIPO_ASEGURAMIENTO]]), moras[[#This Row],[TIPO_ASEGURAMIENTO]]=""),
    EDA!$A$32,
    moras[[#This Row],[TIPO_ASEGURAMIENTO]]
)</f>
        <v>ASEGURADO VOLUNTARIO</v>
      </c>
    </row>
    <row r="2299" spans="1:16" x14ac:dyDescent="0.3">
      <c r="A2299">
        <v>2298</v>
      </c>
      <c r="B2299" t="s">
        <v>9</v>
      </c>
      <c r="C2299">
        <v>458557</v>
      </c>
      <c r="D2299" t="s">
        <v>18</v>
      </c>
      <c r="E2299" t="s">
        <v>16</v>
      </c>
      <c r="F2299" t="s">
        <v>12</v>
      </c>
      <c r="G2299" t="s">
        <v>13</v>
      </c>
      <c r="H2299" t="s">
        <v>12</v>
      </c>
      <c r="I2299">
        <v>30</v>
      </c>
      <c r="J2299">
        <f>ABS((I2299-EDA!$A$15)/EDA!$B$15)</f>
        <v>0.84546364806693275</v>
      </c>
      <c r="K2299" t="str">
        <f t="shared" si="35"/>
        <v>No</v>
      </c>
      <c r="L2299">
        <f>ABS((C2299-EDA!$F$15)/EDA!$G$15)</f>
        <v>0.36802326002683872</v>
      </c>
      <c r="M2299" t="str">
        <f>IF(moras[[#This Row],[Z-Score Salario]]&gt;1.96, "Sí", "No")</f>
        <v>No</v>
      </c>
      <c r="N2299" s="14">
        <f>IF(ISBLANK(moras[[#This Row],[SALARIO]]), EDA!$M$8, moras[[#This Row],[SALARIO]])</f>
        <v>458557</v>
      </c>
      <c r="O2299" s="14">
        <f xml:space="preserve"> IF(ISBLANK(moras[[#This Row],[EDAD]]), EDA!$E$8, moras[[#This Row],[EDAD]])</f>
        <v>30</v>
      </c>
      <c r="P2299" s="14" t="str">
        <f>IF(
    OR(ISBLANK(moras[[#This Row],[TIPO_ASEGURAMIENTO]]), moras[[#This Row],[TIPO_ASEGURAMIENTO]]=""),
    EDA!$A$32,
    moras[[#This Row],[TIPO_ASEGURAMIENTO]]
)</f>
        <v>TRABAJADOR INDEPENDIENTE</v>
      </c>
    </row>
    <row r="2300" spans="1:16" x14ac:dyDescent="0.3">
      <c r="A2300">
        <v>2299</v>
      </c>
      <c r="B2300" t="s">
        <v>9</v>
      </c>
      <c r="C2300">
        <v>299647</v>
      </c>
      <c r="D2300" t="s">
        <v>17</v>
      </c>
      <c r="E2300" t="s">
        <v>16</v>
      </c>
      <c r="F2300" t="s">
        <v>12</v>
      </c>
      <c r="G2300" t="s">
        <v>13</v>
      </c>
      <c r="H2300" t="s">
        <v>13</v>
      </c>
      <c r="I2300">
        <v>54</v>
      </c>
      <c r="J2300">
        <f>ABS((I2300-EDA!$A$15)/EDA!$B$15)</f>
        <v>0.84834427378436728</v>
      </c>
      <c r="K2300" t="str">
        <f t="shared" si="35"/>
        <v>No</v>
      </c>
      <c r="L2300">
        <f>ABS((C2300-EDA!$F$15)/EDA!$G$15)</f>
        <v>0.37066763460334595</v>
      </c>
      <c r="M2300" t="str">
        <f>IF(moras[[#This Row],[Z-Score Salario]]&gt;1.96, "Sí", "No")</f>
        <v>No</v>
      </c>
      <c r="N2300" s="14">
        <f>IF(ISBLANK(moras[[#This Row],[SALARIO]]), EDA!$M$8, moras[[#This Row],[SALARIO]])</f>
        <v>299647</v>
      </c>
      <c r="O2300" s="14">
        <f xml:space="preserve"> IF(ISBLANK(moras[[#This Row],[EDAD]]), EDA!$E$8, moras[[#This Row],[EDAD]])</f>
        <v>54</v>
      </c>
      <c r="P2300" s="14" t="str">
        <f>IF(
    OR(ISBLANK(moras[[#This Row],[TIPO_ASEGURAMIENTO]]), moras[[#This Row],[TIPO_ASEGURAMIENTO]]=""),
    EDA!$A$32,
    moras[[#This Row],[TIPO_ASEGURAMIENTO]]
)</f>
        <v>ASEGURADO VOLUNTARIO</v>
      </c>
    </row>
    <row r="2301" spans="1:16" x14ac:dyDescent="0.3">
      <c r="A2301">
        <v>2300</v>
      </c>
      <c r="B2301" t="s">
        <v>9</v>
      </c>
      <c r="C2301">
        <v>347000</v>
      </c>
      <c r="D2301" t="s">
        <v>10</v>
      </c>
      <c r="E2301" t="s">
        <v>16</v>
      </c>
      <c r="F2301" t="s">
        <v>12</v>
      </c>
      <c r="G2301" t="s">
        <v>13</v>
      </c>
      <c r="H2301" t="s">
        <v>13</v>
      </c>
      <c r="I2301">
        <v>18</v>
      </c>
      <c r="J2301">
        <f>ABS((I2301-EDA!$A$15)/EDA!$B$15)</f>
        <v>1.6923676089925828</v>
      </c>
      <c r="K2301" t="str">
        <f t="shared" si="35"/>
        <v>No</v>
      </c>
      <c r="L2301">
        <f>ABS((C2301-EDA!$F$15)/EDA!$G$15)</f>
        <v>0.36987964725628569</v>
      </c>
      <c r="M2301" t="str">
        <f>IF(moras[[#This Row],[Z-Score Salario]]&gt;1.96, "Sí", "No")</f>
        <v>No</v>
      </c>
      <c r="N2301" s="14">
        <f>IF(ISBLANK(moras[[#This Row],[SALARIO]]), EDA!$M$8, moras[[#This Row],[SALARIO]])</f>
        <v>347000</v>
      </c>
      <c r="O2301" s="14">
        <f xml:space="preserve"> IF(ISBLANK(moras[[#This Row],[EDAD]]), EDA!$E$8, moras[[#This Row],[EDAD]])</f>
        <v>18</v>
      </c>
      <c r="P2301" s="14" t="str">
        <f>IF(
    OR(ISBLANK(moras[[#This Row],[TIPO_ASEGURAMIENTO]]), moras[[#This Row],[TIPO_ASEGURAMIENTO]]=""),
    EDA!$A$32,
    moras[[#This Row],[TIPO_ASEGURAMIENTO]]
)</f>
        <v>ASALARIADO</v>
      </c>
    </row>
    <row r="2302" spans="1:16" x14ac:dyDescent="0.3">
      <c r="A2302">
        <v>2301</v>
      </c>
      <c r="B2302" t="s">
        <v>15</v>
      </c>
      <c r="C2302">
        <v>297046</v>
      </c>
      <c r="D2302" t="s">
        <v>17</v>
      </c>
      <c r="E2302" t="s">
        <v>16</v>
      </c>
      <c r="F2302" t="s">
        <v>12</v>
      </c>
      <c r="G2302" t="s">
        <v>13</v>
      </c>
      <c r="H2302" t="s">
        <v>13</v>
      </c>
      <c r="I2302">
        <v>58</v>
      </c>
      <c r="J2302">
        <f>ABS((I2302-EDA!$A$15)/EDA!$B$15)</f>
        <v>1.1306455940929174</v>
      </c>
      <c r="K2302" t="str">
        <f t="shared" si="35"/>
        <v>No</v>
      </c>
      <c r="L2302">
        <f>ABS((C2302-EDA!$F$15)/EDA!$G$15)</f>
        <v>0.37071091707942361</v>
      </c>
      <c r="M2302" t="str">
        <f>IF(moras[[#This Row],[Z-Score Salario]]&gt;1.96, "Sí", "No")</f>
        <v>No</v>
      </c>
      <c r="N2302" s="14">
        <f>IF(ISBLANK(moras[[#This Row],[SALARIO]]), EDA!$M$8, moras[[#This Row],[SALARIO]])</f>
        <v>297046</v>
      </c>
      <c r="O2302" s="14">
        <f xml:space="preserve"> IF(ISBLANK(moras[[#This Row],[EDAD]]), EDA!$E$8, moras[[#This Row],[EDAD]])</f>
        <v>58</v>
      </c>
      <c r="P2302" s="14" t="str">
        <f>IF(
    OR(ISBLANK(moras[[#This Row],[TIPO_ASEGURAMIENTO]]), moras[[#This Row],[TIPO_ASEGURAMIENTO]]=""),
    EDA!$A$32,
    moras[[#This Row],[TIPO_ASEGURAMIENTO]]
)</f>
        <v>ASEGURADO VOLUNTARIO</v>
      </c>
    </row>
    <row r="2303" spans="1:16" x14ac:dyDescent="0.3">
      <c r="A2303">
        <v>2302</v>
      </c>
      <c r="B2303" t="s">
        <v>9</v>
      </c>
      <c r="C2303">
        <v>1329256</v>
      </c>
      <c r="D2303" t="s">
        <v>10</v>
      </c>
      <c r="E2303" t="s">
        <v>11</v>
      </c>
      <c r="F2303" t="s">
        <v>12</v>
      </c>
      <c r="G2303" t="s">
        <v>13</v>
      </c>
      <c r="H2303" t="s">
        <v>12</v>
      </c>
      <c r="I2303">
        <v>30</v>
      </c>
      <c r="J2303">
        <f>ABS((I2303-EDA!$A$15)/EDA!$B$15)</f>
        <v>0.84546364806693275</v>
      </c>
      <c r="K2303" t="str">
        <f t="shared" si="35"/>
        <v>No</v>
      </c>
      <c r="L2303">
        <f>ABS((C2303-EDA!$F$15)/EDA!$G$15)</f>
        <v>0.35353421402979451</v>
      </c>
      <c r="M2303" t="str">
        <f>IF(moras[[#This Row],[Z-Score Salario]]&gt;1.96, "Sí", "No")</f>
        <v>No</v>
      </c>
      <c r="N2303" s="14">
        <f>IF(ISBLANK(moras[[#This Row],[SALARIO]]), EDA!$M$8, moras[[#This Row],[SALARIO]])</f>
        <v>1329256</v>
      </c>
      <c r="O2303" s="14">
        <f xml:space="preserve"> IF(ISBLANK(moras[[#This Row],[EDAD]]), EDA!$E$8, moras[[#This Row],[EDAD]])</f>
        <v>30</v>
      </c>
      <c r="P2303" s="14" t="str">
        <f>IF(
    OR(ISBLANK(moras[[#This Row],[TIPO_ASEGURAMIENTO]]), moras[[#This Row],[TIPO_ASEGURAMIENTO]]=""),
    EDA!$A$32,
    moras[[#This Row],[TIPO_ASEGURAMIENTO]]
)</f>
        <v>ASALARIADO</v>
      </c>
    </row>
    <row r="2304" spans="1:16" x14ac:dyDescent="0.3">
      <c r="A2304">
        <v>2303</v>
      </c>
      <c r="B2304" t="s">
        <v>9</v>
      </c>
      <c r="C2304">
        <v>38233334</v>
      </c>
      <c r="D2304" t="s">
        <v>10</v>
      </c>
      <c r="E2304" t="s">
        <v>16</v>
      </c>
      <c r="F2304" t="s">
        <v>12</v>
      </c>
      <c r="G2304" t="s">
        <v>13</v>
      </c>
      <c r="H2304" t="s">
        <v>13</v>
      </c>
      <c r="I2304">
        <v>22</v>
      </c>
      <c r="J2304">
        <f>ABS((I2304-EDA!$A$15)/EDA!$B$15)</f>
        <v>1.4100662886840327</v>
      </c>
      <c r="K2304" t="str">
        <f t="shared" si="35"/>
        <v>No</v>
      </c>
      <c r="L2304">
        <f>ABS((C2304-EDA!$F$15)/EDA!$G$15)</f>
        <v>0.26057569492899124</v>
      </c>
      <c r="M2304" t="str">
        <f>IF(moras[[#This Row],[Z-Score Salario]]&gt;1.96, "Sí", "No")</f>
        <v>No</v>
      </c>
      <c r="N2304" s="14">
        <f>IF(ISBLANK(moras[[#This Row],[SALARIO]]), EDA!$M$8, moras[[#This Row],[SALARIO]])</f>
        <v>38233334</v>
      </c>
      <c r="O2304" s="14">
        <f xml:space="preserve"> IF(ISBLANK(moras[[#This Row],[EDAD]]), EDA!$E$8, moras[[#This Row],[EDAD]])</f>
        <v>22</v>
      </c>
      <c r="P2304" s="14" t="str">
        <f>IF(
    OR(ISBLANK(moras[[#This Row],[TIPO_ASEGURAMIENTO]]), moras[[#This Row],[TIPO_ASEGURAMIENTO]]=""),
    EDA!$A$32,
    moras[[#This Row],[TIPO_ASEGURAMIENTO]]
)</f>
        <v>ASALARIADO</v>
      </c>
    </row>
    <row r="2305" spans="1:16" x14ac:dyDescent="0.3">
      <c r="A2305">
        <v>2304</v>
      </c>
      <c r="B2305" t="s">
        <v>9</v>
      </c>
      <c r="C2305">
        <v>330000</v>
      </c>
      <c r="D2305" t="s">
        <v>10</v>
      </c>
      <c r="E2305" t="s">
        <v>16</v>
      </c>
      <c r="F2305" t="s">
        <v>12</v>
      </c>
      <c r="G2305" t="s">
        <v>13</v>
      </c>
      <c r="H2305" t="s">
        <v>13</v>
      </c>
      <c r="I2305">
        <v>21</v>
      </c>
      <c r="J2305">
        <f>ABS((I2305-EDA!$A$15)/EDA!$B$15)</f>
        <v>1.4806416187611704</v>
      </c>
      <c r="K2305" t="str">
        <f t="shared" si="35"/>
        <v>No</v>
      </c>
      <c r="L2305">
        <f>ABS((C2305-EDA!$F$15)/EDA!$G$15)</f>
        <v>0.37016253925679304</v>
      </c>
      <c r="M2305" t="str">
        <f>IF(moras[[#This Row],[Z-Score Salario]]&gt;1.96, "Sí", "No")</f>
        <v>No</v>
      </c>
      <c r="N2305" s="14">
        <f>IF(ISBLANK(moras[[#This Row],[SALARIO]]), EDA!$M$8, moras[[#This Row],[SALARIO]])</f>
        <v>330000</v>
      </c>
      <c r="O2305" s="14">
        <f xml:space="preserve"> IF(ISBLANK(moras[[#This Row],[EDAD]]), EDA!$E$8, moras[[#This Row],[EDAD]])</f>
        <v>21</v>
      </c>
      <c r="P2305" s="14" t="str">
        <f>IF(
    OR(ISBLANK(moras[[#This Row],[TIPO_ASEGURAMIENTO]]), moras[[#This Row],[TIPO_ASEGURAMIENTO]]=""),
    EDA!$A$32,
    moras[[#This Row],[TIPO_ASEGURAMIENTO]]
)</f>
        <v>ASALARIADO</v>
      </c>
    </row>
    <row r="2306" spans="1:16" x14ac:dyDescent="0.3">
      <c r="A2306">
        <v>2305</v>
      </c>
      <c r="B2306" t="s">
        <v>9</v>
      </c>
      <c r="C2306">
        <v>4839767</v>
      </c>
      <c r="D2306" t="s">
        <v>14</v>
      </c>
      <c r="E2306" t="s">
        <v>11</v>
      </c>
      <c r="F2306" t="s">
        <v>12</v>
      </c>
      <c r="G2306" t="s">
        <v>13</v>
      </c>
      <c r="H2306" t="s">
        <v>13</v>
      </c>
      <c r="I2306">
        <v>72</v>
      </c>
      <c r="J2306">
        <f>ABS((I2306-EDA!$A$15)/EDA!$B$15)</f>
        <v>2.1187002151728422</v>
      </c>
      <c r="K2306" t="str">
        <f t="shared" ref="K2306:K2369" si="36">IF(J2306 &gt;  1.96, "Sí","No")</f>
        <v>Sí</v>
      </c>
      <c r="L2306">
        <f>ABS((C2306-EDA!$F$15)/EDA!$G$15)</f>
        <v>0.29511683287726131</v>
      </c>
      <c r="M2306" t="str">
        <f>IF(moras[[#This Row],[Z-Score Salario]]&gt;1.96, "Sí", "No")</f>
        <v>No</v>
      </c>
      <c r="N2306" s="14">
        <f>IF(ISBLANK(moras[[#This Row],[SALARIO]]), EDA!$M$8, moras[[#This Row],[SALARIO]])</f>
        <v>4839767</v>
      </c>
      <c r="O2306" s="14">
        <f xml:space="preserve"> IF(ISBLANK(moras[[#This Row],[EDAD]]), EDA!$E$8, moras[[#This Row],[EDAD]])</f>
        <v>72</v>
      </c>
      <c r="P2306" s="14" t="str">
        <f>IF(
    OR(ISBLANK(moras[[#This Row],[TIPO_ASEGURAMIENTO]]), moras[[#This Row],[TIPO_ASEGURAMIENTO]]=""),
    EDA!$A$32,
    moras[[#This Row],[TIPO_ASEGURAMIENTO]]
)</f>
        <v>PENSIONADOS EN SU PROPIO SISTEMA</v>
      </c>
    </row>
    <row r="2307" spans="1:16" x14ac:dyDescent="0.3">
      <c r="A2307">
        <v>2306</v>
      </c>
      <c r="B2307" t="s">
        <v>15</v>
      </c>
      <c r="C2307">
        <v>34339086</v>
      </c>
      <c r="D2307" t="s">
        <v>10</v>
      </c>
      <c r="E2307" t="s">
        <v>16</v>
      </c>
      <c r="F2307" t="s">
        <v>12</v>
      </c>
      <c r="G2307" t="s">
        <v>13</v>
      </c>
      <c r="H2307" t="s">
        <v>12</v>
      </c>
      <c r="I2307">
        <v>25</v>
      </c>
      <c r="J2307">
        <f>ABS((I2307-EDA!$A$15)/EDA!$B$15)</f>
        <v>1.1983402984526204</v>
      </c>
      <c r="K2307" t="str">
        <f t="shared" si="36"/>
        <v>No</v>
      </c>
      <c r="L2307">
        <f>ABS((C2307-EDA!$F$15)/EDA!$G$15)</f>
        <v>0.19577265921182921</v>
      </c>
      <c r="M2307" t="str">
        <f>IF(moras[[#This Row],[Z-Score Salario]]&gt;1.96, "Sí", "No")</f>
        <v>No</v>
      </c>
      <c r="N2307" s="14">
        <f>IF(ISBLANK(moras[[#This Row],[SALARIO]]), EDA!$M$8, moras[[#This Row],[SALARIO]])</f>
        <v>34339086</v>
      </c>
      <c r="O2307" s="14">
        <f xml:space="preserve"> IF(ISBLANK(moras[[#This Row],[EDAD]]), EDA!$E$8, moras[[#This Row],[EDAD]])</f>
        <v>25</v>
      </c>
      <c r="P2307" s="14" t="str">
        <f>IF(
    OR(ISBLANK(moras[[#This Row],[TIPO_ASEGURAMIENTO]]), moras[[#This Row],[TIPO_ASEGURAMIENTO]]=""),
    EDA!$A$32,
    moras[[#This Row],[TIPO_ASEGURAMIENTO]]
)</f>
        <v>ASALARIADO</v>
      </c>
    </row>
    <row r="2308" spans="1:16" x14ac:dyDescent="0.3">
      <c r="A2308">
        <v>2307</v>
      </c>
      <c r="B2308" t="s">
        <v>9</v>
      </c>
      <c r="C2308">
        <v>278030</v>
      </c>
      <c r="D2308" t="s">
        <v>19</v>
      </c>
      <c r="E2308" t="s">
        <v>16</v>
      </c>
      <c r="F2308" t="s">
        <v>12</v>
      </c>
      <c r="G2308" t="s">
        <v>13</v>
      </c>
      <c r="H2308" t="s">
        <v>13</v>
      </c>
      <c r="I2308">
        <v>59</v>
      </c>
      <c r="J2308">
        <f>ABS((I2308-EDA!$A$15)/EDA!$B$15)</f>
        <v>1.2012209241700549</v>
      </c>
      <c r="K2308" t="str">
        <f t="shared" si="36"/>
        <v>No</v>
      </c>
      <c r="L2308">
        <f>ABS((C2308-EDA!$F$15)/EDA!$G$15)</f>
        <v>0.37102735674304993</v>
      </c>
      <c r="M2308" t="str">
        <f>IF(moras[[#This Row],[Z-Score Salario]]&gt;1.96, "Sí", "No")</f>
        <v>No</v>
      </c>
      <c r="N2308" s="14">
        <f>IF(ISBLANK(moras[[#This Row],[SALARIO]]), EDA!$M$8, moras[[#This Row],[SALARIO]])</f>
        <v>278030</v>
      </c>
      <c r="O2308" s="14">
        <f xml:space="preserve"> IF(ISBLANK(moras[[#This Row],[EDAD]]), EDA!$E$8, moras[[#This Row],[EDAD]])</f>
        <v>59</v>
      </c>
      <c r="P2308" s="14" t="str">
        <f>IF(
    OR(ISBLANK(moras[[#This Row],[TIPO_ASEGURAMIENTO]]), moras[[#This Row],[TIPO_ASEGURAMIENTO]]=""),
    EDA!$A$32,
    moras[[#This Row],[TIPO_ASEGURAMIENTO]]
)</f>
        <v>CONVENIOS ESPECIALES DE TRABAJADORES INDEPENDIENTES</v>
      </c>
    </row>
    <row r="2309" spans="1:16" x14ac:dyDescent="0.3">
      <c r="A2309">
        <v>2308</v>
      </c>
      <c r="B2309" t="s">
        <v>9</v>
      </c>
      <c r="C2309">
        <v>417995</v>
      </c>
      <c r="D2309" t="s">
        <v>10</v>
      </c>
      <c r="E2309" t="s">
        <v>16</v>
      </c>
      <c r="F2309" t="s">
        <v>12</v>
      </c>
      <c r="G2309" t="s">
        <v>13</v>
      </c>
      <c r="H2309" t="s">
        <v>13</v>
      </c>
      <c r="I2309">
        <v>40</v>
      </c>
      <c r="J2309">
        <f>ABS((I2309-EDA!$A$15)/EDA!$B$15)</f>
        <v>0.13971034729555773</v>
      </c>
      <c r="K2309" t="str">
        <f t="shared" si="36"/>
        <v>No</v>
      </c>
      <c r="L2309">
        <f>ABS((C2309-EDA!$F$15)/EDA!$G$15)</f>
        <v>0.36869824034004922</v>
      </c>
      <c r="M2309" t="str">
        <f>IF(moras[[#This Row],[Z-Score Salario]]&gt;1.96, "Sí", "No")</f>
        <v>No</v>
      </c>
      <c r="N2309" s="14">
        <f>IF(ISBLANK(moras[[#This Row],[SALARIO]]), EDA!$M$8, moras[[#This Row],[SALARIO]])</f>
        <v>417995</v>
      </c>
      <c r="O2309" s="14">
        <f xml:space="preserve"> IF(ISBLANK(moras[[#This Row],[EDAD]]), EDA!$E$8, moras[[#This Row],[EDAD]])</f>
        <v>40</v>
      </c>
      <c r="P2309" s="14" t="str">
        <f>IF(
    OR(ISBLANK(moras[[#This Row],[TIPO_ASEGURAMIENTO]]), moras[[#This Row],[TIPO_ASEGURAMIENTO]]=""),
    EDA!$A$32,
    moras[[#This Row],[TIPO_ASEGURAMIENTO]]
)</f>
        <v>ASALARIADO</v>
      </c>
    </row>
    <row r="2310" spans="1:16" x14ac:dyDescent="0.3">
      <c r="A2310">
        <v>2309</v>
      </c>
      <c r="B2310" t="s">
        <v>9</v>
      </c>
      <c r="C2310">
        <v>400000</v>
      </c>
      <c r="D2310" t="s">
        <v>10</v>
      </c>
      <c r="E2310" t="s">
        <v>16</v>
      </c>
      <c r="F2310" t="s">
        <v>12</v>
      </c>
      <c r="G2310" t="s">
        <v>13</v>
      </c>
      <c r="H2310" t="s">
        <v>13</v>
      </c>
      <c r="I2310">
        <v>56</v>
      </c>
      <c r="J2310">
        <f>ABS((I2310-EDA!$A$15)/EDA!$B$15)</f>
        <v>0.9894949339386423</v>
      </c>
      <c r="K2310" t="str">
        <f t="shared" si="36"/>
        <v>No</v>
      </c>
      <c r="L2310">
        <f>ABS((C2310-EDA!$F$15)/EDA!$G$15)</f>
        <v>0.36899768984293924</v>
      </c>
      <c r="M2310" t="str">
        <f>IF(moras[[#This Row],[Z-Score Salario]]&gt;1.96, "Sí", "No")</f>
        <v>No</v>
      </c>
      <c r="N2310" s="14">
        <f>IF(ISBLANK(moras[[#This Row],[SALARIO]]), EDA!$M$8, moras[[#This Row],[SALARIO]])</f>
        <v>400000</v>
      </c>
      <c r="O2310" s="14">
        <f xml:space="preserve"> IF(ISBLANK(moras[[#This Row],[EDAD]]), EDA!$E$8, moras[[#This Row],[EDAD]])</f>
        <v>56</v>
      </c>
      <c r="P2310" s="14" t="str">
        <f>IF(
    OR(ISBLANK(moras[[#This Row],[TIPO_ASEGURAMIENTO]]), moras[[#This Row],[TIPO_ASEGURAMIENTO]]=""),
    EDA!$A$32,
    moras[[#This Row],[TIPO_ASEGURAMIENTO]]
)</f>
        <v>ASALARIADO</v>
      </c>
    </row>
    <row r="2311" spans="1:16" x14ac:dyDescent="0.3">
      <c r="A2311">
        <v>2310</v>
      </c>
      <c r="B2311" t="s">
        <v>9</v>
      </c>
      <c r="C2311">
        <v>278030</v>
      </c>
      <c r="D2311" t="s">
        <v>19</v>
      </c>
      <c r="E2311" t="s">
        <v>16</v>
      </c>
      <c r="F2311" t="s">
        <v>12</v>
      </c>
      <c r="G2311" t="s">
        <v>13</v>
      </c>
      <c r="H2311" t="s">
        <v>13</v>
      </c>
      <c r="I2311">
        <v>45</v>
      </c>
      <c r="J2311">
        <f>ABS((I2311-EDA!$A$15)/EDA!$B$15)</f>
        <v>0.21316630309012977</v>
      </c>
      <c r="K2311" t="str">
        <f t="shared" si="36"/>
        <v>No</v>
      </c>
      <c r="L2311">
        <f>ABS((C2311-EDA!$F$15)/EDA!$G$15)</f>
        <v>0.37102735674304993</v>
      </c>
      <c r="M2311" t="str">
        <f>IF(moras[[#This Row],[Z-Score Salario]]&gt;1.96, "Sí", "No")</f>
        <v>No</v>
      </c>
      <c r="N2311" s="14">
        <f>IF(ISBLANK(moras[[#This Row],[SALARIO]]), EDA!$M$8, moras[[#This Row],[SALARIO]])</f>
        <v>278030</v>
      </c>
      <c r="O2311" s="14">
        <f xml:space="preserve"> IF(ISBLANK(moras[[#This Row],[EDAD]]), EDA!$E$8, moras[[#This Row],[EDAD]])</f>
        <v>45</v>
      </c>
      <c r="P2311" s="14" t="str">
        <f>IF(
    OR(ISBLANK(moras[[#This Row],[TIPO_ASEGURAMIENTO]]), moras[[#This Row],[TIPO_ASEGURAMIENTO]]=""),
    EDA!$A$32,
    moras[[#This Row],[TIPO_ASEGURAMIENTO]]
)</f>
        <v>CONVENIOS ESPECIALES DE TRABAJADORES INDEPENDIENTES</v>
      </c>
    </row>
    <row r="2312" spans="1:16" x14ac:dyDescent="0.3">
      <c r="A2312">
        <v>2311</v>
      </c>
      <c r="B2312" t="s">
        <v>15</v>
      </c>
      <c r="C2312">
        <v>297046</v>
      </c>
      <c r="D2312" t="s">
        <v>18</v>
      </c>
      <c r="E2312" t="s">
        <v>16</v>
      </c>
      <c r="F2312" t="s">
        <v>12</v>
      </c>
      <c r="G2312" t="s">
        <v>13</v>
      </c>
      <c r="H2312" t="s">
        <v>13</v>
      </c>
      <c r="I2312">
        <v>41</v>
      </c>
      <c r="J2312">
        <f>ABS((I2312-EDA!$A$15)/EDA!$B$15)</f>
        <v>6.9135017218420233E-2</v>
      </c>
      <c r="K2312" t="str">
        <f t="shared" si="36"/>
        <v>No</v>
      </c>
      <c r="L2312">
        <f>ABS((C2312-EDA!$F$15)/EDA!$G$15)</f>
        <v>0.37071091707942361</v>
      </c>
      <c r="M2312" t="str">
        <f>IF(moras[[#This Row],[Z-Score Salario]]&gt;1.96, "Sí", "No")</f>
        <v>No</v>
      </c>
      <c r="N2312" s="14">
        <f>IF(ISBLANK(moras[[#This Row],[SALARIO]]), EDA!$M$8, moras[[#This Row],[SALARIO]])</f>
        <v>297046</v>
      </c>
      <c r="O2312" s="14">
        <f xml:space="preserve"> IF(ISBLANK(moras[[#This Row],[EDAD]]), EDA!$E$8, moras[[#This Row],[EDAD]])</f>
        <v>41</v>
      </c>
      <c r="P2312" s="14" t="str">
        <f>IF(
    OR(ISBLANK(moras[[#This Row],[TIPO_ASEGURAMIENTO]]), moras[[#This Row],[TIPO_ASEGURAMIENTO]]=""),
    EDA!$A$32,
    moras[[#This Row],[TIPO_ASEGURAMIENTO]]
)</f>
        <v>TRABAJADOR INDEPENDIENTE</v>
      </c>
    </row>
    <row r="2313" spans="1:16" x14ac:dyDescent="0.3">
      <c r="A2313">
        <v>2312</v>
      </c>
      <c r="B2313" t="s">
        <v>9</v>
      </c>
      <c r="C2313">
        <v>639148</v>
      </c>
      <c r="D2313" t="s">
        <v>18</v>
      </c>
      <c r="E2313" t="s">
        <v>16</v>
      </c>
      <c r="F2313" t="s">
        <v>12</v>
      </c>
      <c r="G2313" t="s">
        <v>13</v>
      </c>
      <c r="H2313" t="s">
        <v>12</v>
      </c>
      <c r="I2313">
        <v>41</v>
      </c>
      <c r="J2313">
        <f>ABS((I2313-EDA!$A$15)/EDA!$B$15)</f>
        <v>6.9135017218420233E-2</v>
      </c>
      <c r="K2313" t="str">
        <f t="shared" si="36"/>
        <v>No</v>
      </c>
      <c r="L2313">
        <f>ABS((C2313-EDA!$F$15)/EDA!$G$15)</f>
        <v>0.36501809830544912</v>
      </c>
      <c r="M2313" t="str">
        <f>IF(moras[[#This Row],[Z-Score Salario]]&gt;1.96, "Sí", "No")</f>
        <v>No</v>
      </c>
      <c r="N2313" s="14">
        <f>IF(ISBLANK(moras[[#This Row],[SALARIO]]), EDA!$M$8, moras[[#This Row],[SALARIO]])</f>
        <v>639148</v>
      </c>
      <c r="O2313" s="14">
        <f xml:space="preserve"> IF(ISBLANK(moras[[#This Row],[EDAD]]), EDA!$E$8, moras[[#This Row],[EDAD]])</f>
        <v>41</v>
      </c>
      <c r="P2313" s="14" t="str">
        <f>IF(
    OR(ISBLANK(moras[[#This Row],[TIPO_ASEGURAMIENTO]]), moras[[#This Row],[TIPO_ASEGURAMIENTO]]=""),
    EDA!$A$32,
    moras[[#This Row],[TIPO_ASEGURAMIENTO]]
)</f>
        <v>TRABAJADOR INDEPENDIENTE</v>
      </c>
    </row>
    <row r="2314" spans="1:16" x14ac:dyDescent="0.3">
      <c r="A2314">
        <v>2313</v>
      </c>
      <c r="B2314" t="s">
        <v>9</v>
      </c>
      <c r="C2314">
        <v>69095285</v>
      </c>
      <c r="D2314" t="s">
        <v>10</v>
      </c>
      <c r="E2314" t="s">
        <v>16</v>
      </c>
      <c r="F2314" t="s">
        <v>12</v>
      </c>
      <c r="G2314" t="s">
        <v>13</v>
      </c>
      <c r="H2314" t="s">
        <v>13</v>
      </c>
      <c r="I2314">
        <v>38</v>
      </c>
      <c r="J2314">
        <f>ABS((I2314-EDA!$A$15)/EDA!$B$15)</f>
        <v>0.28086100744983278</v>
      </c>
      <c r="K2314" t="str">
        <f t="shared" si="36"/>
        <v>No</v>
      </c>
      <c r="L2314">
        <f>ABS((C2314-EDA!$F$15)/EDA!$G$15)</f>
        <v>0.77414034539663079</v>
      </c>
      <c r="M2314" t="str">
        <f>IF(moras[[#This Row],[Z-Score Salario]]&gt;1.96, "Sí", "No")</f>
        <v>No</v>
      </c>
      <c r="N2314" s="14">
        <f>IF(ISBLANK(moras[[#This Row],[SALARIO]]), EDA!$M$8, moras[[#This Row],[SALARIO]])</f>
        <v>69095285</v>
      </c>
      <c r="O2314" s="14">
        <f xml:space="preserve"> IF(ISBLANK(moras[[#This Row],[EDAD]]), EDA!$E$8, moras[[#This Row],[EDAD]])</f>
        <v>38</v>
      </c>
      <c r="P2314" s="14" t="str">
        <f>IF(
    OR(ISBLANK(moras[[#This Row],[TIPO_ASEGURAMIENTO]]), moras[[#This Row],[TIPO_ASEGURAMIENTO]]=""),
    EDA!$A$32,
    moras[[#This Row],[TIPO_ASEGURAMIENTO]]
)</f>
        <v>ASALARIADO</v>
      </c>
    </row>
    <row r="2315" spans="1:16" x14ac:dyDescent="0.3">
      <c r="A2315">
        <v>2314</v>
      </c>
      <c r="B2315" t="s">
        <v>9</v>
      </c>
      <c r="C2315">
        <v>150000</v>
      </c>
      <c r="D2315" t="s">
        <v>10</v>
      </c>
      <c r="E2315" t="s">
        <v>16</v>
      </c>
      <c r="F2315" t="s">
        <v>12</v>
      </c>
      <c r="G2315" t="s">
        <v>12</v>
      </c>
      <c r="H2315" t="s">
        <v>12</v>
      </c>
      <c r="I2315">
        <v>41</v>
      </c>
      <c r="J2315">
        <f>ABS((I2315-EDA!$A$15)/EDA!$B$15)</f>
        <v>6.9135017218420233E-2</v>
      </c>
      <c r="K2315" t="str">
        <f t="shared" si="36"/>
        <v>No</v>
      </c>
      <c r="L2315">
        <f>ABS((C2315-EDA!$F$15)/EDA!$G$15)</f>
        <v>0.37315786632098852</v>
      </c>
      <c r="M2315" t="str">
        <f>IF(moras[[#This Row],[Z-Score Salario]]&gt;1.96, "Sí", "No")</f>
        <v>No</v>
      </c>
      <c r="N2315" s="14">
        <f>IF(ISBLANK(moras[[#This Row],[SALARIO]]), EDA!$M$8, moras[[#This Row],[SALARIO]])</f>
        <v>150000</v>
      </c>
      <c r="O2315" s="14">
        <f xml:space="preserve"> IF(ISBLANK(moras[[#This Row],[EDAD]]), EDA!$E$8, moras[[#This Row],[EDAD]])</f>
        <v>41</v>
      </c>
      <c r="P2315" s="14" t="str">
        <f>IF(
    OR(ISBLANK(moras[[#This Row],[TIPO_ASEGURAMIENTO]]), moras[[#This Row],[TIPO_ASEGURAMIENTO]]=""),
    EDA!$A$32,
    moras[[#This Row],[TIPO_ASEGURAMIENTO]]
)</f>
        <v>ASALARIADO</v>
      </c>
    </row>
    <row r="2316" spans="1:16" x14ac:dyDescent="0.3">
      <c r="A2316">
        <v>2315</v>
      </c>
      <c r="B2316" t="s">
        <v>15</v>
      </c>
      <c r="C2316">
        <v>750000</v>
      </c>
      <c r="D2316" t="s">
        <v>10</v>
      </c>
      <c r="E2316" t="s">
        <v>16</v>
      </c>
      <c r="F2316" t="s">
        <v>12</v>
      </c>
      <c r="G2316" t="s">
        <v>13</v>
      </c>
      <c r="H2316" t="s">
        <v>13</v>
      </c>
      <c r="I2316">
        <v>32</v>
      </c>
      <c r="J2316">
        <f>ABS((I2316-EDA!$A$15)/EDA!$B$15)</f>
        <v>0.70431298791265773</v>
      </c>
      <c r="K2316" t="str">
        <f t="shared" si="36"/>
        <v>No</v>
      </c>
      <c r="L2316">
        <f>ABS((C2316-EDA!$F$15)/EDA!$G$15)</f>
        <v>0.3631734427736702</v>
      </c>
      <c r="M2316" t="str">
        <f>IF(moras[[#This Row],[Z-Score Salario]]&gt;1.96, "Sí", "No")</f>
        <v>No</v>
      </c>
      <c r="N2316" s="14">
        <f>IF(ISBLANK(moras[[#This Row],[SALARIO]]), EDA!$M$8, moras[[#This Row],[SALARIO]])</f>
        <v>750000</v>
      </c>
      <c r="O2316" s="14">
        <f xml:space="preserve"> IF(ISBLANK(moras[[#This Row],[EDAD]]), EDA!$E$8, moras[[#This Row],[EDAD]])</f>
        <v>32</v>
      </c>
      <c r="P2316" s="14" t="str">
        <f>IF(
    OR(ISBLANK(moras[[#This Row],[TIPO_ASEGURAMIENTO]]), moras[[#This Row],[TIPO_ASEGURAMIENTO]]=""),
    EDA!$A$32,
    moras[[#This Row],[TIPO_ASEGURAMIENTO]]
)</f>
        <v>ASALARIADO</v>
      </c>
    </row>
    <row r="2317" spans="1:16" x14ac:dyDescent="0.3">
      <c r="A2317">
        <v>2316</v>
      </c>
      <c r="B2317" t="s">
        <v>15</v>
      </c>
      <c r="C2317">
        <v>1458494</v>
      </c>
      <c r="D2317" t="s">
        <v>10</v>
      </c>
      <c r="E2317" t="s">
        <v>11</v>
      </c>
      <c r="F2317" t="s">
        <v>12</v>
      </c>
      <c r="G2317" t="s">
        <v>13</v>
      </c>
      <c r="H2317" t="s">
        <v>12</v>
      </c>
      <c r="I2317">
        <v>49</v>
      </c>
      <c r="J2317">
        <f>ABS((I2317-EDA!$A$15)/EDA!$B$15)</f>
        <v>0.49546762339867978</v>
      </c>
      <c r="K2317" t="str">
        <f t="shared" si="36"/>
        <v>No</v>
      </c>
      <c r="L2317">
        <f>ABS((C2317-EDA!$F$15)/EDA!$G$15)</f>
        <v>0.35138360247911399</v>
      </c>
      <c r="M2317" t="str">
        <f>IF(moras[[#This Row],[Z-Score Salario]]&gt;1.96, "Sí", "No")</f>
        <v>No</v>
      </c>
      <c r="N2317" s="14">
        <f>IF(ISBLANK(moras[[#This Row],[SALARIO]]), EDA!$M$8, moras[[#This Row],[SALARIO]])</f>
        <v>1458494</v>
      </c>
      <c r="O2317" s="14">
        <f xml:space="preserve"> IF(ISBLANK(moras[[#This Row],[EDAD]]), EDA!$E$8, moras[[#This Row],[EDAD]])</f>
        <v>49</v>
      </c>
      <c r="P2317" s="14" t="str">
        <f>IF(
    OR(ISBLANK(moras[[#This Row],[TIPO_ASEGURAMIENTO]]), moras[[#This Row],[TIPO_ASEGURAMIENTO]]=""),
    EDA!$A$32,
    moras[[#This Row],[TIPO_ASEGURAMIENTO]]
)</f>
        <v>ASALARIADO</v>
      </c>
    </row>
    <row r="2318" spans="1:16" x14ac:dyDescent="0.3">
      <c r="A2318">
        <v>2317</v>
      </c>
      <c r="B2318" t="s">
        <v>15</v>
      </c>
      <c r="C2318">
        <v>500460</v>
      </c>
      <c r="D2318" t="s">
        <v>10</v>
      </c>
      <c r="E2318" t="s">
        <v>11</v>
      </c>
      <c r="F2318" t="s">
        <v>12</v>
      </c>
      <c r="G2318" t="s">
        <v>13</v>
      </c>
      <c r="H2318" t="s">
        <v>13</v>
      </c>
      <c r="I2318">
        <v>43</v>
      </c>
      <c r="J2318">
        <f>ABS((I2318-EDA!$A$15)/EDA!$B$15)</f>
        <v>7.2015642935854773E-2</v>
      </c>
      <c r="K2318" t="str">
        <f t="shared" si="36"/>
        <v>No</v>
      </c>
      <c r="L2318">
        <f>ABS((C2318-EDA!$F$15)/EDA!$G$15)</f>
        <v>0.36732596452699989</v>
      </c>
      <c r="M2318" t="str">
        <f>IF(moras[[#This Row],[Z-Score Salario]]&gt;1.96, "Sí", "No")</f>
        <v>No</v>
      </c>
      <c r="N2318" s="14">
        <f>IF(ISBLANK(moras[[#This Row],[SALARIO]]), EDA!$M$8, moras[[#This Row],[SALARIO]])</f>
        <v>500460</v>
      </c>
      <c r="O2318" s="14">
        <f xml:space="preserve"> IF(ISBLANK(moras[[#This Row],[EDAD]]), EDA!$E$8, moras[[#This Row],[EDAD]])</f>
        <v>43</v>
      </c>
      <c r="P2318" s="14" t="str">
        <f>IF(
    OR(ISBLANK(moras[[#This Row],[TIPO_ASEGURAMIENTO]]), moras[[#This Row],[TIPO_ASEGURAMIENTO]]=""),
    EDA!$A$32,
    moras[[#This Row],[TIPO_ASEGURAMIENTO]]
)</f>
        <v>ASALARIADO</v>
      </c>
    </row>
    <row r="2319" spans="1:16" x14ac:dyDescent="0.3">
      <c r="A2319">
        <v>2318</v>
      </c>
      <c r="B2319" t="s">
        <v>15</v>
      </c>
      <c r="C2319">
        <v>453432</v>
      </c>
      <c r="D2319" t="s">
        <v>14</v>
      </c>
      <c r="E2319" t="s">
        <v>11</v>
      </c>
      <c r="F2319" t="s">
        <v>12</v>
      </c>
      <c r="G2319" t="s">
        <v>13</v>
      </c>
      <c r="H2319" t="s">
        <v>13</v>
      </c>
      <c r="I2319">
        <v>67</v>
      </c>
      <c r="J2319">
        <f>ABS((I2319-EDA!$A$15)/EDA!$B$15)</f>
        <v>1.765823564787155</v>
      </c>
      <c r="K2319" t="str">
        <f t="shared" si="36"/>
        <v>No</v>
      </c>
      <c r="L2319">
        <f>ABS((C2319-EDA!$F$15)/EDA!$G$15)</f>
        <v>0.36810854364463874</v>
      </c>
      <c r="M2319" t="str">
        <f>IF(moras[[#This Row],[Z-Score Salario]]&gt;1.96, "Sí", "No")</f>
        <v>No</v>
      </c>
      <c r="N2319" s="14">
        <f>IF(ISBLANK(moras[[#This Row],[SALARIO]]), EDA!$M$8, moras[[#This Row],[SALARIO]])</f>
        <v>453432</v>
      </c>
      <c r="O2319" s="14">
        <f xml:space="preserve"> IF(ISBLANK(moras[[#This Row],[EDAD]]), EDA!$E$8, moras[[#This Row],[EDAD]])</f>
        <v>67</v>
      </c>
      <c r="P2319" s="14" t="str">
        <f>IF(
    OR(ISBLANK(moras[[#This Row],[TIPO_ASEGURAMIENTO]]), moras[[#This Row],[TIPO_ASEGURAMIENTO]]=""),
    EDA!$A$32,
    moras[[#This Row],[TIPO_ASEGURAMIENTO]]
)</f>
        <v>PENSIONADOS EN SU PROPIO SISTEMA</v>
      </c>
    </row>
    <row r="2320" spans="1:16" x14ac:dyDescent="0.3">
      <c r="A2320">
        <v>2319</v>
      </c>
      <c r="B2320" t="s">
        <v>9</v>
      </c>
      <c r="C2320">
        <v>297046</v>
      </c>
      <c r="D2320" t="s">
        <v>17</v>
      </c>
      <c r="E2320" t="s">
        <v>16</v>
      </c>
      <c r="F2320" t="s">
        <v>12</v>
      </c>
      <c r="G2320" t="s">
        <v>13</v>
      </c>
      <c r="H2320" t="s">
        <v>13</v>
      </c>
      <c r="I2320">
        <v>53</v>
      </c>
      <c r="J2320">
        <f>ABS((I2320-EDA!$A$15)/EDA!$B$15)</f>
        <v>0.77776894370722982</v>
      </c>
      <c r="K2320" t="str">
        <f t="shared" si="36"/>
        <v>No</v>
      </c>
      <c r="L2320">
        <f>ABS((C2320-EDA!$F$15)/EDA!$G$15)</f>
        <v>0.37071091707942361</v>
      </c>
      <c r="M2320" t="str">
        <f>IF(moras[[#This Row],[Z-Score Salario]]&gt;1.96, "Sí", "No")</f>
        <v>No</v>
      </c>
      <c r="N2320" s="14">
        <f>IF(ISBLANK(moras[[#This Row],[SALARIO]]), EDA!$M$8, moras[[#This Row],[SALARIO]])</f>
        <v>297046</v>
      </c>
      <c r="O2320" s="14">
        <f xml:space="preserve"> IF(ISBLANK(moras[[#This Row],[EDAD]]), EDA!$E$8, moras[[#This Row],[EDAD]])</f>
        <v>53</v>
      </c>
      <c r="P2320" s="14" t="str">
        <f>IF(
    OR(ISBLANK(moras[[#This Row],[TIPO_ASEGURAMIENTO]]), moras[[#This Row],[TIPO_ASEGURAMIENTO]]=""),
    EDA!$A$32,
    moras[[#This Row],[TIPO_ASEGURAMIENTO]]
)</f>
        <v>ASEGURADO VOLUNTARIO</v>
      </c>
    </row>
    <row r="2321" spans="1:16" x14ac:dyDescent="0.3">
      <c r="A2321">
        <v>2320</v>
      </c>
      <c r="B2321" t="s">
        <v>9</v>
      </c>
      <c r="C2321">
        <v>5361429</v>
      </c>
      <c r="D2321" t="s">
        <v>10</v>
      </c>
      <c r="E2321" t="s">
        <v>16</v>
      </c>
      <c r="F2321" t="s">
        <v>12</v>
      </c>
      <c r="G2321" t="s">
        <v>13</v>
      </c>
      <c r="H2321" t="s">
        <v>13</v>
      </c>
      <c r="I2321">
        <v>20</v>
      </c>
      <c r="J2321">
        <f>ABS((I2321-EDA!$A$15)/EDA!$B$15)</f>
        <v>1.5512169488383079</v>
      </c>
      <c r="K2321" t="str">
        <f t="shared" si="36"/>
        <v>No</v>
      </c>
      <c r="L2321">
        <f>ABS((C2321-EDA!$F$15)/EDA!$G$15)</f>
        <v>0.28643600894969273</v>
      </c>
      <c r="M2321" t="str">
        <f>IF(moras[[#This Row],[Z-Score Salario]]&gt;1.96, "Sí", "No")</f>
        <v>No</v>
      </c>
      <c r="N2321" s="14">
        <f>IF(ISBLANK(moras[[#This Row],[SALARIO]]), EDA!$M$8, moras[[#This Row],[SALARIO]])</f>
        <v>5361429</v>
      </c>
      <c r="O2321" s="14">
        <f xml:space="preserve"> IF(ISBLANK(moras[[#This Row],[EDAD]]), EDA!$E$8, moras[[#This Row],[EDAD]])</f>
        <v>20</v>
      </c>
      <c r="P2321" s="14" t="str">
        <f>IF(
    OR(ISBLANK(moras[[#This Row],[TIPO_ASEGURAMIENTO]]), moras[[#This Row],[TIPO_ASEGURAMIENTO]]=""),
    EDA!$A$32,
    moras[[#This Row],[TIPO_ASEGURAMIENTO]]
)</f>
        <v>ASALARIADO</v>
      </c>
    </row>
    <row r="2322" spans="1:16" x14ac:dyDescent="0.3">
      <c r="A2322">
        <v>2321</v>
      </c>
      <c r="B2322" t="s">
        <v>15</v>
      </c>
      <c r="C2322">
        <v>1584930</v>
      </c>
      <c r="D2322" t="s">
        <v>14</v>
      </c>
      <c r="E2322" t="s">
        <v>11</v>
      </c>
      <c r="F2322" t="s">
        <v>12</v>
      </c>
      <c r="G2322" t="s">
        <v>13</v>
      </c>
      <c r="H2322" t="s">
        <v>13</v>
      </c>
      <c r="I2322">
        <v>71</v>
      </c>
      <c r="J2322">
        <f>ABS((I2322-EDA!$A$15)/EDA!$B$15)</f>
        <v>2.0481248850957048</v>
      </c>
      <c r="K2322" t="str">
        <f t="shared" si="36"/>
        <v>Sí</v>
      </c>
      <c r="L2322">
        <f>ABS((C2322-EDA!$F$15)/EDA!$G$15)</f>
        <v>0.34927961818639941</v>
      </c>
      <c r="M2322" t="str">
        <f>IF(moras[[#This Row],[Z-Score Salario]]&gt;1.96, "Sí", "No")</f>
        <v>No</v>
      </c>
      <c r="N2322" s="14">
        <f>IF(ISBLANK(moras[[#This Row],[SALARIO]]), EDA!$M$8, moras[[#This Row],[SALARIO]])</f>
        <v>1584930</v>
      </c>
      <c r="O2322" s="14">
        <f xml:space="preserve"> IF(ISBLANK(moras[[#This Row],[EDAD]]), EDA!$E$8, moras[[#This Row],[EDAD]])</f>
        <v>71</v>
      </c>
      <c r="P2322" s="14" t="str">
        <f>IF(
    OR(ISBLANK(moras[[#This Row],[TIPO_ASEGURAMIENTO]]), moras[[#This Row],[TIPO_ASEGURAMIENTO]]=""),
    EDA!$A$32,
    moras[[#This Row],[TIPO_ASEGURAMIENTO]]
)</f>
        <v>PENSIONADOS EN SU PROPIO SISTEMA</v>
      </c>
    </row>
    <row r="2323" spans="1:16" x14ac:dyDescent="0.3">
      <c r="A2323">
        <v>2322</v>
      </c>
      <c r="B2323" t="s">
        <v>15</v>
      </c>
      <c r="C2323">
        <v>2417294</v>
      </c>
      <c r="D2323" t="s">
        <v>10</v>
      </c>
      <c r="E2323" t="s">
        <v>16</v>
      </c>
      <c r="F2323" t="s">
        <v>12</v>
      </c>
      <c r="G2323" t="s">
        <v>13</v>
      </c>
      <c r="H2323" t="s">
        <v>13</v>
      </c>
      <c r="I2323">
        <v>34</v>
      </c>
      <c r="J2323">
        <f>ABS((I2323-EDA!$A$15)/EDA!$B$15)</f>
        <v>0.56316232775838282</v>
      </c>
      <c r="K2323" t="str">
        <f t="shared" si="36"/>
        <v>No</v>
      </c>
      <c r="L2323">
        <f>ABS((C2323-EDA!$F$15)/EDA!$G$15)</f>
        <v>0.33542849365049932</v>
      </c>
      <c r="M2323" t="str">
        <f>IF(moras[[#This Row],[Z-Score Salario]]&gt;1.96, "Sí", "No")</f>
        <v>No</v>
      </c>
      <c r="N2323" s="14">
        <f>IF(ISBLANK(moras[[#This Row],[SALARIO]]), EDA!$M$8, moras[[#This Row],[SALARIO]])</f>
        <v>2417294</v>
      </c>
      <c r="O2323" s="14">
        <f xml:space="preserve"> IF(ISBLANK(moras[[#This Row],[EDAD]]), EDA!$E$8, moras[[#This Row],[EDAD]])</f>
        <v>34</v>
      </c>
      <c r="P2323" s="14" t="str">
        <f>IF(
    OR(ISBLANK(moras[[#This Row],[TIPO_ASEGURAMIENTO]]), moras[[#This Row],[TIPO_ASEGURAMIENTO]]=""),
    EDA!$A$32,
    moras[[#This Row],[TIPO_ASEGURAMIENTO]]
)</f>
        <v>ASALARIADO</v>
      </c>
    </row>
    <row r="2324" spans="1:16" x14ac:dyDescent="0.3">
      <c r="A2324">
        <v>2323</v>
      </c>
      <c r="B2324" t="s">
        <v>9</v>
      </c>
      <c r="C2324">
        <v>297046</v>
      </c>
      <c r="D2324" t="s">
        <v>18</v>
      </c>
      <c r="E2324" t="s">
        <v>16</v>
      </c>
      <c r="F2324" t="s">
        <v>12</v>
      </c>
      <c r="G2324" t="s">
        <v>13</v>
      </c>
      <c r="H2324" t="s">
        <v>12</v>
      </c>
      <c r="I2324">
        <v>43</v>
      </c>
      <c r="J2324">
        <f>ABS((I2324-EDA!$A$15)/EDA!$B$15)</f>
        <v>7.2015642935854773E-2</v>
      </c>
      <c r="K2324" t="str">
        <f t="shared" si="36"/>
        <v>No</v>
      </c>
      <c r="L2324">
        <f>ABS((C2324-EDA!$F$15)/EDA!$G$15)</f>
        <v>0.37071091707942361</v>
      </c>
      <c r="M2324" t="str">
        <f>IF(moras[[#This Row],[Z-Score Salario]]&gt;1.96, "Sí", "No")</f>
        <v>No</v>
      </c>
      <c r="N2324" s="14">
        <f>IF(ISBLANK(moras[[#This Row],[SALARIO]]), EDA!$M$8, moras[[#This Row],[SALARIO]])</f>
        <v>297046</v>
      </c>
      <c r="O2324" s="14">
        <f xml:space="preserve"> IF(ISBLANK(moras[[#This Row],[EDAD]]), EDA!$E$8, moras[[#This Row],[EDAD]])</f>
        <v>43</v>
      </c>
      <c r="P2324" s="14" t="str">
        <f>IF(
    OR(ISBLANK(moras[[#This Row],[TIPO_ASEGURAMIENTO]]), moras[[#This Row],[TIPO_ASEGURAMIENTO]]=""),
    EDA!$A$32,
    moras[[#This Row],[TIPO_ASEGURAMIENTO]]
)</f>
        <v>TRABAJADOR INDEPENDIENTE</v>
      </c>
    </row>
    <row r="2325" spans="1:16" x14ac:dyDescent="0.3">
      <c r="A2325">
        <v>2324</v>
      </c>
      <c r="B2325" t="s">
        <v>15</v>
      </c>
      <c r="C2325">
        <v>40224906</v>
      </c>
      <c r="D2325" t="s">
        <v>10</v>
      </c>
      <c r="E2325" t="s">
        <v>16</v>
      </c>
      <c r="F2325" t="s">
        <v>12</v>
      </c>
      <c r="G2325" t="s">
        <v>13</v>
      </c>
      <c r="H2325" t="s">
        <v>13</v>
      </c>
      <c r="I2325">
        <v>29</v>
      </c>
      <c r="J2325">
        <f>ABS((I2325-EDA!$A$15)/EDA!$B$15)</f>
        <v>0.91603897814407031</v>
      </c>
      <c r="K2325" t="str">
        <f t="shared" si="36"/>
        <v>No</v>
      </c>
      <c r="L2325">
        <f>ABS((C2325-EDA!$F$15)/EDA!$G$15)</f>
        <v>0.2937168588839576</v>
      </c>
      <c r="M2325" t="str">
        <f>IF(moras[[#This Row],[Z-Score Salario]]&gt;1.96, "Sí", "No")</f>
        <v>No</v>
      </c>
      <c r="N2325" s="14">
        <f>IF(ISBLANK(moras[[#This Row],[SALARIO]]), EDA!$M$8, moras[[#This Row],[SALARIO]])</f>
        <v>40224906</v>
      </c>
      <c r="O2325" s="14">
        <f xml:space="preserve"> IF(ISBLANK(moras[[#This Row],[EDAD]]), EDA!$E$8, moras[[#This Row],[EDAD]])</f>
        <v>29</v>
      </c>
      <c r="P2325" s="14" t="str">
        <f>IF(
    OR(ISBLANK(moras[[#This Row],[TIPO_ASEGURAMIENTO]]), moras[[#This Row],[TIPO_ASEGURAMIENTO]]=""),
    EDA!$A$32,
    moras[[#This Row],[TIPO_ASEGURAMIENTO]]
)</f>
        <v>ASALARIADO</v>
      </c>
    </row>
    <row r="2326" spans="1:16" x14ac:dyDescent="0.3">
      <c r="A2326">
        <v>2325</v>
      </c>
      <c r="B2326" t="s">
        <v>9</v>
      </c>
      <c r="C2326">
        <v>639148</v>
      </c>
      <c r="D2326" t="s">
        <v>18</v>
      </c>
      <c r="E2326" t="s">
        <v>16</v>
      </c>
      <c r="F2326" t="s">
        <v>12</v>
      </c>
      <c r="G2326" t="s">
        <v>13</v>
      </c>
      <c r="H2326" t="s">
        <v>12</v>
      </c>
      <c r="I2326">
        <v>46</v>
      </c>
      <c r="J2326">
        <f>ABS((I2326-EDA!$A$15)/EDA!$B$15)</f>
        <v>0.2837416331672673</v>
      </c>
      <c r="K2326" t="str">
        <f t="shared" si="36"/>
        <v>No</v>
      </c>
      <c r="L2326">
        <f>ABS((C2326-EDA!$F$15)/EDA!$G$15)</f>
        <v>0.36501809830544912</v>
      </c>
      <c r="M2326" t="str">
        <f>IF(moras[[#This Row],[Z-Score Salario]]&gt;1.96, "Sí", "No")</f>
        <v>No</v>
      </c>
      <c r="N2326" s="14">
        <f>IF(ISBLANK(moras[[#This Row],[SALARIO]]), EDA!$M$8, moras[[#This Row],[SALARIO]])</f>
        <v>639148</v>
      </c>
      <c r="O2326" s="14">
        <f xml:space="preserve"> IF(ISBLANK(moras[[#This Row],[EDAD]]), EDA!$E$8, moras[[#This Row],[EDAD]])</f>
        <v>46</v>
      </c>
      <c r="P2326" s="14" t="str">
        <f>IF(
    OR(ISBLANK(moras[[#This Row],[TIPO_ASEGURAMIENTO]]), moras[[#This Row],[TIPO_ASEGURAMIENTO]]=""),
    EDA!$A$32,
    moras[[#This Row],[TIPO_ASEGURAMIENTO]]
)</f>
        <v>TRABAJADOR INDEPENDIENTE</v>
      </c>
    </row>
    <row r="2327" spans="1:16" x14ac:dyDescent="0.3">
      <c r="A2327">
        <v>2326</v>
      </c>
      <c r="B2327" t="s">
        <v>9</v>
      </c>
      <c r="C2327">
        <v>3282102</v>
      </c>
      <c r="D2327" t="s">
        <v>10</v>
      </c>
      <c r="E2327" t="s">
        <v>16</v>
      </c>
      <c r="F2327" t="s">
        <v>12</v>
      </c>
      <c r="G2327" t="s">
        <v>13</v>
      </c>
      <c r="H2327" t="s">
        <v>13</v>
      </c>
      <c r="I2327">
        <v>42</v>
      </c>
      <c r="J2327">
        <f>ABS((I2327-EDA!$A$15)/EDA!$B$15)</f>
        <v>1.4403128587172659E-3</v>
      </c>
      <c r="K2327" t="str">
        <f t="shared" si="36"/>
        <v>No</v>
      </c>
      <c r="L2327">
        <f>ABS((C2327-EDA!$F$15)/EDA!$G$15)</f>
        <v>0.3210374780519839</v>
      </c>
      <c r="M2327" t="str">
        <f>IF(moras[[#This Row],[Z-Score Salario]]&gt;1.96, "Sí", "No")</f>
        <v>No</v>
      </c>
      <c r="N2327" s="14">
        <f>IF(ISBLANK(moras[[#This Row],[SALARIO]]), EDA!$M$8, moras[[#This Row],[SALARIO]])</f>
        <v>3282102</v>
      </c>
      <c r="O2327" s="14">
        <f xml:space="preserve"> IF(ISBLANK(moras[[#This Row],[EDAD]]), EDA!$E$8, moras[[#This Row],[EDAD]])</f>
        <v>42</v>
      </c>
      <c r="P2327" s="14" t="str">
        <f>IF(
    OR(ISBLANK(moras[[#This Row],[TIPO_ASEGURAMIENTO]]), moras[[#This Row],[TIPO_ASEGURAMIENTO]]=""),
    EDA!$A$32,
    moras[[#This Row],[TIPO_ASEGURAMIENTO]]
)</f>
        <v>ASALARIADO</v>
      </c>
    </row>
    <row r="2328" spans="1:16" x14ac:dyDescent="0.3">
      <c r="A2328">
        <v>2327</v>
      </c>
      <c r="B2328" t="s">
        <v>15</v>
      </c>
      <c r="C2328">
        <v>361045</v>
      </c>
      <c r="D2328" t="s">
        <v>18</v>
      </c>
      <c r="E2328" t="s">
        <v>16</v>
      </c>
      <c r="F2328" t="s">
        <v>12</v>
      </c>
      <c r="G2328" t="s">
        <v>13</v>
      </c>
      <c r="H2328" t="s">
        <v>12</v>
      </c>
      <c r="I2328">
        <v>42</v>
      </c>
      <c r="J2328">
        <f>ABS((I2328-EDA!$A$15)/EDA!$B$15)</f>
        <v>1.4403128587172659E-3</v>
      </c>
      <c r="K2328" t="str">
        <f t="shared" si="36"/>
        <v>No</v>
      </c>
      <c r="L2328">
        <f>ABS((C2328-EDA!$F$15)/EDA!$G$15)</f>
        <v>0.36964592854174888</v>
      </c>
      <c r="M2328" t="str">
        <f>IF(moras[[#This Row],[Z-Score Salario]]&gt;1.96, "Sí", "No")</f>
        <v>No</v>
      </c>
      <c r="N2328" s="14">
        <f>IF(ISBLANK(moras[[#This Row],[SALARIO]]), EDA!$M$8, moras[[#This Row],[SALARIO]])</f>
        <v>361045</v>
      </c>
      <c r="O2328" s="14">
        <f xml:space="preserve"> IF(ISBLANK(moras[[#This Row],[EDAD]]), EDA!$E$8, moras[[#This Row],[EDAD]])</f>
        <v>42</v>
      </c>
      <c r="P2328" s="14" t="str">
        <f>IF(
    OR(ISBLANK(moras[[#This Row],[TIPO_ASEGURAMIENTO]]), moras[[#This Row],[TIPO_ASEGURAMIENTO]]=""),
    EDA!$A$32,
    moras[[#This Row],[TIPO_ASEGURAMIENTO]]
)</f>
        <v>TRABAJADOR INDEPENDIENTE</v>
      </c>
    </row>
    <row r="2329" spans="1:16" x14ac:dyDescent="0.3">
      <c r="A2329">
        <v>2328</v>
      </c>
      <c r="B2329" t="s">
        <v>9</v>
      </c>
      <c r="C2329">
        <v>999312</v>
      </c>
      <c r="D2329" t="s">
        <v>10</v>
      </c>
      <c r="E2329" t="s">
        <v>11</v>
      </c>
      <c r="F2329" t="s">
        <v>12</v>
      </c>
      <c r="G2329" t="s">
        <v>13</v>
      </c>
      <c r="H2329" t="s">
        <v>12</v>
      </c>
      <c r="I2329">
        <v>28</v>
      </c>
      <c r="J2329">
        <f>ABS((I2329-EDA!$A$15)/EDA!$B$15)</f>
        <v>0.98661430822120777</v>
      </c>
      <c r="K2329" t="str">
        <f t="shared" si="36"/>
        <v>No</v>
      </c>
      <c r="L2329">
        <f>ABS((C2329-EDA!$F$15)/EDA!$G$15)</f>
        <v>0.35902471510128853</v>
      </c>
      <c r="M2329" t="str">
        <f>IF(moras[[#This Row],[Z-Score Salario]]&gt;1.96, "Sí", "No")</f>
        <v>No</v>
      </c>
      <c r="N2329" s="14">
        <f>IF(ISBLANK(moras[[#This Row],[SALARIO]]), EDA!$M$8, moras[[#This Row],[SALARIO]])</f>
        <v>999312</v>
      </c>
      <c r="O2329" s="14">
        <f xml:space="preserve"> IF(ISBLANK(moras[[#This Row],[EDAD]]), EDA!$E$8, moras[[#This Row],[EDAD]])</f>
        <v>28</v>
      </c>
      <c r="P2329" s="14" t="str">
        <f>IF(
    OR(ISBLANK(moras[[#This Row],[TIPO_ASEGURAMIENTO]]), moras[[#This Row],[TIPO_ASEGURAMIENTO]]=""),
    EDA!$A$32,
    moras[[#This Row],[TIPO_ASEGURAMIENTO]]
)</f>
        <v>ASALARIADO</v>
      </c>
    </row>
    <row r="2330" spans="1:16" x14ac:dyDescent="0.3">
      <c r="A2330">
        <v>2329</v>
      </c>
      <c r="B2330" t="s">
        <v>15</v>
      </c>
      <c r="C2330">
        <v>121300</v>
      </c>
      <c r="D2330" t="s">
        <v>10</v>
      </c>
      <c r="E2330" t="s">
        <v>16</v>
      </c>
      <c r="F2330" t="s">
        <v>12</v>
      </c>
      <c r="G2330" t="s">
        <v>13</v>
      </c>
      <c r="H2330" t="s">
        <v>12</v>
      </c>
      <c r="I2330">
        <v>40</v>
      </c>
      <c r="J2330">
        <f>ABS((I2330-EDA!$A$15)/EDA!$B$15)</f>
        <v>0.13971034729555773</v>
      </c>
      <c r="K2330" t="str">
        <f t="shared" si="36"/>
        <v>No</v>
      </c>
      <c r="L2330">
        <f>ABS((C2330-EDA!$F$15)/EDA!$G$15)</f>
        <v>0.3736354545806686</v>
      </c>
      <c r="M2330" t="str">
        <f>IF(moras[[#This Row],[Z-Score Salario]]&gt;1.96, "Sí", "No")</f>
        <v>No</v>
      </c>
      <c r="N2330" s="14">
        <f>IF(ISBLANK(moras[[#This Row],[SALARIO]]), EDA!$M$8, moras[[#This Row],[SALARIO]])</f>
        <v>121300</v>
      </c>
      <c r="O2330" s="14">
        <f xml:space="preserve"> IF(ISBLANK(moras[[#This Row],[EDAD]]), EDA!$E$8, moras[[#This Row],[EDAD]])</f>
        <v>40</v>
      </c>
      <c r="P2330" s="14" t="str">
        <f>IF(
    OR(ISBLANK(moras[[#This Row],[TIPO_ASEGURAMIENTO]]), moras[[#This Row],[TIPO_ASEGURAMIENTO]]=""),
    EDA!$A$32,
    moras[[#This Row],[TIPO_ASEGURAMIENTO]]
)</f>
        <v>ASALARIADO</v>
      </c>
    </row>
    <row r="2331" spans="1:16" x14ac:dyDescent="0.3">
      <c r="A2331">
        <v>2330</v>
      </c>
      <c r="B2331" t="s">
        <v>9</v>
      </c>
      <c r="C2331">
        <v>27996049</v>
      </c>
      <c r="D2331" t="s">
        <v>10</v>
      </c>
      <c r="E2331" t="s">
        <v>16</v>
      </c>
      <c r="F2331" t="s">
        <v>12</v>
      </c>
      <c r="G2331" t="s">
        <v>13</v>
      </c>
      <c r="H2331" t="s">
        <v>13</v>
      </c>
      <c r="I2331">
        <v>23</v>
      </c>
      <c r="J2331">
        <f>ABS((I2331-EDA!$A$15)/EDA!$B$15)</f>
        <v>1.3394909586068953</v>
      </c>
      <c r="K2331" t="str">
        <f t="shared" si="36"/>
        <v>No</v>
      </c>
      <c r="L2331">
        <f>ABS((C2331-EDA!$F$15)/EDA!$G$15)</f>
        <v>9.0220045904643761E-2</v>
      </c>
      <c r="M2331" t="str">
        <f>IF(moras[[#This Row],[Z-Score Salario]]&gt;1.96, "Sí", "No")</f>
        <v>No</v>
      </c>
      <c r="N2331" s="14">
        <f>IF(ISBLANK(moras[[#This Row],[SALARIO]]), EDA!$M$8, moras[[#This Row],[SALARIO]])</f>
        <v>27996049</v>
      </c>
      <c r="O2331" s="14">
        <f xml:space="preserve"> IF(ISBLANK(moras[[#This Row],[EDAD]]), EDA!$E$8, moras[[#This Row],[EDAD]])</f>
        <v>23</v>
      </c>
      <c r="P2331" s="14" t="str">
        <f>IF(
    OR(ISBLANK(moras[[#This Row],[TIPO_ASEGURAMIENTO]]), moras[[#This Row],[TIPO_ASEGURAMIENTO]]=""),
    EDA!$A$32,
    moras[[#This Row],[TIPO_ASEGURAMIENTO]]
)</f>
        <v>ASALARIADO</v>
      </c>
    </row>
    <row r="2332" spans="1:16" x14ac:dyDescent="0.3">
      <c r="A2332">
        <v>2331</v>
      </c>
      <c r="B2332" t="s">
        <v>15</v>
      </c>
      <c r="C2332">
        <v>11921991</v>
      </c>
      <c r="D2332" t="s">
        <v>14</v>
      </c>
      <c r="E2332" t="s">
        <v>11</v>
      </c>
      <c r="F2332" t="s">
        <v>12</v>
      </c>
      <c r="G2332" t="s">
        <v>13</v>
      </c>
      <c r="H2332" t="s">
        <v>13</v>
      </c>
      <c r="I2332">
        <v>59</v>
      </c>
      <c r="J2332">
        <f>ABS((I2332-EDA!$A$15)/EDA!$B$15)</f>
        <v>1.2012209241700549</v>
      </c>
      <c r="K2332" t="str">
        <f t="shared" si="36"/>
        <v>No</v>
      </c>
      <c r="L2332">
        <f>ABS((C2332-EDA!$F$15)/EDA!$G$15)</f>
        <v>0.17726362608895657</v>
      </c>
      <c r="M2332" t="str">
        <f>IF(moras[[#This Row],[Z-Score Salario]]&gt;1.96, "Sí", "No")</f>
        <v>No</v>
      </c>
      <c r="N2332" s="14">
        <f>IF(ISBLANK(moras[[#This Row],[SALARIO]]), EDA!$M$8, moras[[#This Row],[SALARIO]])</f>
        <v>11921991</v>
      </c>
      <c r="O2332" s="14">
        <f xml:space="preserve"> IF(ISBLANK(moras[[#This Row],[EDAD]]), EDA!$E$8, moras[[#This Row],[EDAD]])</f>
        <v>59</v>
      </c>
      <c r="P2332" s="14" t="str">
        <f>IF(
    OR(ISBLANK(moras[[#This Row],[TIPO_ASEGURAMIENTO]]), moras[[#This Row],[TIPO_ASEGURAMIENTO]]=""),
    EDA!$A$32,
    moras[[#This Row],[TIPO_ASEGURAMIENTO]]
)</f>
        <v>PENSIONADOS EN SU PROPIO SISTEMA</v>
      </c>
    </row>
    <row r="2333" spans="1:16" x14ac:dyDescent="0.3">
      <c r="A2333">
        <v>2332</v>
      </c>
      <c r="B2333" t="s">
        <v>15</v>
      </c>
      <c r="C2333">
        <v>430000</v>
      </c>
      <c r="D2333" t="s">
        <v>10</v>
      </c>
      <c r="E2333" t="s">
        <v>16</v>
      </c>
      <c r="F2333" t="s">
        <v>12</v>
      </c>
      <c r="G2333" t="s">
        <v>13</v>
      </c>
      <c r="H2333" t="s">
        <v>13</v>
      </c>
      <c r="I2333">
        <v>42</v>
      </c>
      <c r="J2333">
        <f>ABS((I2333-EDA!$A$15)/EDA!$B$15)</f>
        <v>1.4403128587172659E-3</v>
      </c>
      <c r="K2333" t="str">
        <f t="shared" si="36"/>
        <v>No</v>
      </c>
      <c r="L2333">
        <f>ABS((C2333-EDA!$F$15)/EDA!$G$15)</f>
        <v>0.36849846866557334</v>
      </c>
      <c r="M2333" t="str">
        <f>IF(moras[[#This Row],[Z-Score Salario]]&gt;1.96, "Sí", "No")</f>
        <v>No</v>
      </c>
      <c r="N2333" s="14">
        <f>IF(ISBLANK(moras[[#This Row],[SALARIO]]), EDA!$M$8, moras[[#This Row],[SALARIO]])</f>
        <v>430000</v>
      </c>
      <c r="O2333" s="14">
        <f xml:space="preserve"> IF(ISBLANK(moras[[#This Row],[EDAD]]), EDA!$E$8, moras[[#This Row],[EDAD]])</f>
        <v>42</v>
      </c>
      <c r="P2333" s="14" t="str">
        <f>IF(
    OR(ISBLANK(moras[[#This Row],[TIPO_ASEGURAMIENTO]]), moras[[#This Row],[TIPO_ASEGURAMIENTO]]=""),
    EDA!$A$32,
    moras[[#This Row],[TIPO_ASEGURAMIENTO]]
)</f>
        <v>ASALARIADO</v>
      </c>
    </row>
    <row r="2334" spans="1:16" x14ac:dyDescent="0.3">
      <c r="A2334">
        <v>2333</v>
      </c>
      <c r="B2334" t="s">
        <v>15</v>
      </c>
      <c r="C2334">
        <v>278030</v>
      </c>
      <c r="D2334" t="s">
        <v>17</v>
      </c>
      <c r="E2334" t="s">
        <v>16</v>
      </c>
      <c r="F2334" t="s">
        <v>12</v>
      </c>
      <c r="G2334" t="s">
        <v>13</v>
      </c>
      <c r="H2334" t="s">
        <v>12</v>
      </c>
      <c r="I2334">
        <v>20</v>
      </c>
      <c r="J2334">
        <f>ABS((I2334-EDA!$A$15)/EDA!$B$15)</f>
        <v>1.5512169488383079</v>
      </c>
      <c r="K2334" t="str">
        <f t="shared" si="36"/>
        <v>No</v>
      </c>
      <c r="L2334">
        <f>ABS((C2334-EDA!$F$15)/EDA!$G$15)</f>
        <v>0.37102735674304993</v>
      </c>
      <c r="M2334" t="str">
        <f>IF(moras[[#This Row],[Z-Score Salario]]&gt;1.96, "Sí", "No")</f>
        <v>No</v>
      </c>
      <c r="N2334" s="14">
        <f>IF(ISBLANK(moras[[#This Row],[SALARIO]]), EDA!$M$8, moras[[#This Row],[SALARIO]])</f>
        <v>278030</v>
      </c>
      <c r="O2334" s="14">
        <f xml:space="preserve"> IF(ISBLANK(moras[[#This Row],[EDAD]]), EDA!$E$8, moras[[#This Row],[EDAD]])</f>
        <v>20</v>
      </c>
      <c r="P2334" s="14" t="str">
        <f>IF(
    OR(ISBLANK(moras[[#This Row],[TIPO_ASEGURAMIENTO]]), moras[[#This Row],[TIPO_ASEGURAMIENTO]]=""),
    EDA!$A$32,
    moras[[#This Row],[TIPO_ASEGURAMIENTO]]
)</f>
        <v>ASEGURADO VOLUNTARIO</v>
      </c>
    </row>
    <row r="2335" spans="1:16" x14ac:dyDescent="0.3">
      <c r="A2335">
        <v>2334</v>
      </c>
      <c r="B2335" t="s">
        <v>9</v>
      </c>
      <c r="C2335">
        <v>161370264</v>
      </c>
      <c r="D2335" t="s">
        <v>10</v>
      </c>
      <c r="E2335" t="s">
        <v>16</v>
      </c>
      <c r="F2335" t="s">
        <v>12</v>
      </c>
      <c r="G2335" t="s">
        <v>13</v>
      </c>
      <c r="H2335" t="s">
        <v>13</v>
      </c>
      <c r="I2335">
        <v>32</v>
      </c>
      <c r="J2335">
        <f>ABS((I2335-EDA!$A$15)/EDA!$B$15)</f>
        <v>0.70431298791265773</v>
      </c>
      <c r="K2335" t="str">
        <f t="shared" si="36"/>
        <v>No</v>
      </c>
      <c r="L2335">
        <f>ABS((C2335-EDA!$F$15)/EDA!$G$15)</f>
        <v>2.3096611339898012</v>
      </c>
      <c r="M2335" t="str">
        <f>IF(moras[[#This Row],[Z-Score Salario]]&gt;1.96, "Sí", "No")</f>
        <v>Sí</v>
      </c>
      <c r="N2335" s="14">
        <f>IF(ISBLANK(moras[[#This Row],[SALARIO]]), EDA!$M$8, moras[[#This Row],[SALARIO]])</f>
        <v>161370264</v>
      </c>
      <c r="O2335" s="14">
        <f xml:space="preserve"> IF(ISBLANK(moras[[#This Row],[EDAD]]), EDA!$E$8, moras[[#This Row],[EDAD]])</f>
        <v>32</v>
      </c>
      <c r="P2335" s="14" t="str">
        <f>IF(
    OR(ISBLANK(moras[[#This Row],[TIPO_ASEGURAMIENTO]]), moras[[#This Row],[TIPO_ASEGURAMIENTO]]=""),
    EDA!$A$32,
    moras[[#This Row],[TIPO_ASEGURAMIENTO]]
)</f>
        <v>ASALARIADO</v>
      </c>
    </row>
    <row r="2336" spans="1:16" x14ac:dyDescent="0.3">
      <c r="A2336">
        <v>2335</v>
      </c>
      <c r="B2336" t="s">
        <v>9</v>
      </c>
      <c r="C2336">
        <v>25451837</v>
      </c>
      <c r="D2336" t="s">
        <v>10</v>
      </c>
      <c r="E2336" t="s">
        <v>16</v>
      </c>
      <c r="F2336" t="s">
        <v>12</v>
      </c>
      <c r="G2336" t="s">
        <v>13</v>
      </c>
      <c r="H2336" t="s">
        <v>13</v>
      </c>
      <c r="I2336">
        <v>46</v>
      </c>
      <c r="J2336">
        <f>ABS((I2336-EDA!$A$15)/EDA!$B$15)</f>
        <v>0.2837416331672673</v>
      </c>
      <c r="K2336" t="str">
        <f t="shared" si="36"/>
        <v>No</v>
      </c>
      <c r="L2336">
        <f>ABS((C2336-EDA!$F$15)/EDA!$G$15)</f>
        <v>4.7882562234360757E-2</v>
      </c>
      <c r="M2336" t="str">
        <f>IF(moras[[#This Row],[Z-Score Salario]]&gt;1.96, "Sí", "No")</f>
        <v>No</v>
      </c>
      <c r="N2336" s="14">
        <f>IF(ISBLANK(moras[[#This Row],[SALARIO]]), EDA!$M$8, moras[[#This Row],[SALARIO]])</f>
        <v>25451837</v>
      </c>
      <c r="O2336" s="14">
        <f xml:space="preserve"> IF(ISBLANK(moras[[#This Row],[EDAD]]), EDA!$E$8, moras[[#This Row],[EDAD]])</f>
        <v>46</v>
      </c>
      <c r="P2336" s="14" t="str">
        <f>IF(
    OR(ISBLANK(moras[[#This Row],[TIPO_ASEGURAMIENTO]]), moras[[#This Row],[TIPO_ASEGURAMIENTO]]=""),
    EDA!$A$32,
    moras[[#This Row],[TIPO_ASEGURAMIENTO]]
)</f>
        <v>ASALARIADO</v>
      </c>
    </row>
    <row r="2337" spans="1:16" x14ac:dyDescent="0.3">
      <c r="A2337">
        <v>2336</v>
      </c>
      <c r="B2337" t="s">
        <v>9</v>
      </c>
      <c r="C2337">
        <v>2133715</v>
      </c>
      <c r="D2337" t="s">
        <v>14</v>
      </c>
      <c r="E2337" t="s">
        <v>11</v>
      </c>
      <c r="F2337" t="s">
        <v>12</v>
      </c>
      <c r="G2337" t="s">
        <v>13</v>
      </c>
      <c r="H2337" t="s">
        <v>13</v>
      </c>
      <c r="I2337">
        <v>83</v>
      </c>
      <c r="J2337">
        <f>ABS((I2337-EDA!$A$15)/EDA!$B$15)</f>
        <v>2.8950288460213551</v>
      </c>
      <c r="K2337" t="str">
        <f t="shared" si="36"/>
        <v>Sí</v>
      </c>
      <c r="L2337">
        <f>ABS((C2337-EDA!$F$15)/EDA!$G$15)</f>
        <v>0.34014744839237432</v>
      </c>
      <c r="M2337" t="str">
        <f>IF(moras[[#This Row],[Z-Score Salario]]&gt;1.96, "Sí", "No")</f>
        <v>No</v>
      </c>
      <c r="N2337" s="14">
        <f>IF(ISBLANK(moras[[#This Row],[SALARIO]]), EDA!$M$8, moras[[#This Row],[SALARIO]])</f>
        <v>2133715</v>
      </c>
      <c r="O2337" s="14">
        <f xml:space="preserve"> IF(ISBLANK(moras[[#This Row],[EDAD]]), EDA!$E$8, moras[[#This Row],[EDAD]])</f>
        <v>83</v>
      </c>
      <c r="P2337" s="14" t="str">
        <f>IF(
    OR(ISBLANK(moras[[#This Row],[TIPO_ASEGURAMIENTO]]), moras[[#This Row],[TIPO_ASEGURAMIENTO]]=""),
    EDA!$A$32,
    moras[[#This Row],[TIPO_ASEGURAMIENTO]]
)</f>
        <v>PENSIONADOS EN SU PROPIO SISTEMA</v>
      </c>
    </row>
    <row r="2338" spans="1:16" x14ac:dyDescent="0.3">
      <c r="A2338">
        <v>2337</v>
      </c>
      <c r="B2338" t="s">
        <v>15</v>
      </c>
      <c r="C2338">
        <v>81536</v>
      </c>
      <c r="D2338" t="s">
        <v>10</v>
      </c>
      <c r="E2338" t="s">
        <v>11</v>
      </c>
      <c r="F2338" t="s">
        <v>12</v>
      </c>
      <c r="G2338" t="s">
        <v>13</v>
      </c>
      <c r="H2338" t="s">
        <v>12</v>
      </c>
      <c r="I2338">
        <v>31</v>
      </c>
      <c r="J2338">
        <f>ABS((I2338-EDA!$A$15)/EDA!$B$15)</f>
        <v>0.77488831798979529</v>
      </c>
      <c r="K2338" t="str">
        <f t="shared" si="36"/>
        <v>No</v>
      </c>
      <c r="L2338">
        <f>ABS((C2338-EDA!$F$15)/EDA!$G$15)</f>
        <v>0.37429715561056121</v>
      </c>
      <c r="M2338" t="str">
        <f>IF(moras[[#This Row],[Z-Score Salario]]&gt;1.96, "Sí", "No")</f>
        <v>No</v>
      </c>
      <c r="N2338" s="14">
        <f>IF(ISBLANK(moras[[#This Row],[SALARIO]]), EDA!$M$8, moras[[#This Row],[SALARIO]])</f>
        <v>81536</v>
      </c>
      <c r="O2338" s="14">
        <f xml:space="preserve"> IF(ISBLANK(moras[[#This Row],[EDAD]]), EDA!$E$8, moras[[#This Row],[EDAD]])</f>
        <v>31</v>
      </c>
      <c r="P2338" s="14" t="str">
        <f>IF(
    OR(ISBLANK(moras[[#This Row],[TIPO_ASEGURAMIENTO]]), moras[[#This Row],[TIPO_ASEGURAMIENTO]]=""),
    EDA!$A$32,
    moras[[#This Row],[TIPO_ASEGURAMIENTO]]
)</f>
        <v>ASALARIADO</v>
      </c>
    </row>
    <row r="2339" spans="1:16" x14ac:dyDescent="0.3">
      <c r="A2339">
        <v>2338</v>
      </c>
      <c r="B2339" t="s">
        <v>15</v>
      </c>
      <c r="C2339">
        <v>157177</v>
      </c>
      <c r="D2339" t="s">
        <v>10</v>
      </c>
      <c r="E2339" t="s">
        <v>16</v>
      </c>
      <c r="F2339" t="s">
        <v>12</v>
      </c>
      <c r="G2339" t="s">
        <v>13</v>
      </c>
      <c r="H2339" t="s">
        <v>13</v>
      </c>
      <c r="I2339">
        <v>23</v>
      </c>
      <c r="J2339">
        <f>ABS((I2339-EDA!$A$15)/EDA!$B$15)</f>
        <v>1.3394909586068953</v>
      </c>
      <c r="K2339" t="str">
        <f t="shared" si="36"/>
        <v>No</v>
      </c>
      <c r="L2339">
        <f>ABS((C2339-EDA!$F$15)/EDA!$G$15)</f>
        <v>0.37303843597465669</v>
      </c>
      <c r="M2339" t="str">
        <f>IF(moras[[#This Row],[Z-Score Salario]]&gt;1.96, "Sí", "No")</f>
        <v>No</v>
      </c>
      <c r="N2339" s="14">
        <f>IF(ISBLANK(moras[[#This Row],[SALARIO]]), EDA!$M$8, moras[[#This Row],[SALARIO]])</f>
        <v>157177</v>
      </c>
      <c r="O2339" s="14">
        <f xml:space="preserve"> IF(ISBLANK(moras[[#This Row],[EDAD]]), EDA!$E$8, moras[[#This Row],[EDAD]])</f>
        <v>23</v>
      </c>
      <c r="P2339" s="14" t="str">
        <f>IF(
    OR(ISBLANK(moras[[#This Row],[TIPO_ASEGURAMIENTO]]), moras[[#This Row],[TIPO_ASEGURAMIENTO]]=""),
    EDA!$A$32,
    moras[[#This Row],[TIPO_ASEGURAMIENTO]]
)</f>
        <v>ASALARIADO</v>
      </c>
    </row>
    <row r="2340" spans="1:16" x14ac:dyDescent="0.3">
      <c r="A2340">
        <v>2339</v>
      </c>
      <c r="B2340" t="s">
        <v>9</v>
      </c>
      <c r="C2340">
        <v>505609</v>
      </c>
      <c r="D2340" t="s">
        <v>10</v>
      </c>
      <c r="E2340" t="s">
        <v>16</v>
      </c>
      <c r="F2340" t="s">
        <v>12</v>
      </c>
      <c r="G2340" t="s">
        <v>13</v>
      </c>
      <c r="H2340" t="s">
        <v>13</v>
      </c>
      <c r="I2340">
        <v>44</v>
      </c>
      <c r="J2340">
        <f>ABS((I2340-EDA!$A$15)/EDA!$B$15)</f>
        <v>0.14259097301299228</v>
      </c>
      <c r="K2340" t="str">
        <f t="shared" si="36"/>
        <v>No</v>
      </c>
      <c r="L2340">
        <f>ABS((C2340-EDA!$F$15)/EDA!$G$15)</f>
        <v>0.36724028153225802</v>
      </c>
      <c r="M2340" t="str">
        <f>IF(moras[[#This Row],[Z-Score Salario]]&gt;1.96, "Sí", "No")</f>
        <v>No</v>
      </c>
      <c r="N2340" s="14">
        <f>IF(ISBLANK(moras[[#This Row],[SALARIO]]), EDA!$M$8, moras[[#This Row],[SALARIO]])</f>
        <v>505609</v>
      </c>
      <c r="O2340" s="14">
        <f xml:space="preserve"> IF(ISBLANK(moras[[#This Row],[EDAD]]), EDA!$E$8, moras[[#This Row],[EDAD]])</f>
        <v>44</v>
      </c>
      <c r="P2340" s="14" t="str">
        <f>IF(
    OR(ISBLANK(moras[[#This Row],[TIPO_ASEGURAMIENTO]]), moras[[#This Row],[TIPO_ASEGURAMIENTO]]=""),
    EDA!$A$32,
    moras[[#This Row],[TIPO_ASEGURAMIENTO]]
)</f>
        <v>ASALARIADO</v>
      </c>
    </row>
    <row r="2341" spans="1:16" x14ac:dyDescent="0.3">
      <c r="A2341">
        <v>2340</v>
      </c>
      <c r="B2341" t="s">
        <v>15</v>
      </c>
      <c r="C2341">
        <v>617762</v>
      </c>
      <c r="D2341" t="s">
        <v>10</v>
      </c>
      <c r="E2341" t="s">
        <v>16</v>
      </c>
      <c r="F2341" t="s">
        <v>12</v>
      </c>
      <c r="G2341" t="s">
        <v>13</v>
      </c>
      <c r="H2341" t="s">
        <v>13</v>
      </c>
      <c r="I2341">
        <v>61</v>
      </c>
      <c r="J2341">
        <f>ABS((I2341-EDA!$A$15)/EDA!$B$15)</f>
        <v>1.3423715843243298</v>
      </c>
      <c r="K2341" t="str">
        <f t="shared" si="36"/>
        <v>No</v>
      </c>
      <c r="L2341">
        <f>ABS((C2341-EDA!$F$15)/EDA!$G$15)</f>
        <v>0.36537397644208736</v>
      </c>
      <c r="M2341" t="str">
        <f>IF(moras[[#This Row],[Z-Score Salario]]&gt;1.96, "Sí", "No")</f>
        <v>No</v>
      </c>
      <c r="N2341" s="14">
        <f>IF(ISBLANK(moras[[#This Row],[SALARIO]]), EDA!$M$8, moras[[#This Row],[SALARIO]])</f>
        <v>617762</v>
      </c>
      <c r="O2341" s="14">
        <f xml:space="preserve"> IF(ISBLANK(moras[[#This Row],[EDAD]]), EDA!$E$8, moras[[#This Row],[EDAD]])</f>
        <v>61</v>
      </c>
      <c r="P2341" s="14" t="str">
        <f>IF(
    OR(ISBLANK(moras[[#This Row],[TIPO_ASEGURAMIENTO]]), moras[[#This Row],[TIPO_ASEGURAMIENTO]]=""),
    EDA!$A$32,
    moras[[#This Row],[TIPO_ASEGURAMIENTO]]
)</f>
        <v>ASALARIADO</v>
      </c>
    </row>
    <row r="2342" spans="1:16" x14ac:dyDescent="0.3">
      <c r="A2342">
        <v>2341</v>
      </c>
      <c r="B2342" t="s">
        <v>15</v>
      </c>
      <c r="C2342">
        <v>299137</v>
      </c>
      <c r="D2342" t="s">
        <v>10</v>
      </c>
      <c r="E2342" t="s">
        <v>11</v>
      </c>
      <c r="F2342" t="s">
        <v>12</v>
      </c>
      <c r="G2342" t="s">
        <v>13</v>
      </c>
      <c r="H2342" t="s">
        <v>13</v>
      </c>
      <c r="I2342">
        <v>44</v>
      </c>
      <c r="J2342">
        <f>ABS((I2342-EDA!$A$15)/EDA!$B$15)</f>
        <v>0.14259097301299228</v>
      </c>
      <c r="K2342" t="str">
        <f t="shared" si="36"/>
        <v>No</v>
      </c>
      <c r="L2342">
        <f>ABS((C2342-EDA!$F$15)/EDA!$G$15)</f>
        <v>0.3706761213633612</v>
      </c>
      <c r="M2342" t="str">
        <f>IF(moras[[#This Row],[Z-Score Salario]]&gt;1.96, "Sí", "No")</f>
        <v>No</v>
      </c>
      <c r="N2342" s="14">
        <f>IF(ISBLANK(moras[[#This Row],[SALARIO]]), EDA!$M$8, moras[[#This Row],[SALARIO]])</f>
        <v>299137</v>
      </c>
      <c r="O2342" s="14">
        <f xml:space="preserve"> IF(ISBLANK(moras[[#This Row],[EDAD]]), EDA!$E$8, moras[[#This Row],[EDAD]])</f>
        <v>44</v>
      </c>
      <c r="P2342" s="14" t="str">
        <f>IF(
    OR(ISBLANK(moras[[#This Row],[TIPO_ASEGURAMIENTO]]), moras[[#This Row],[TIPO_ASEGURAMIENTO]]=""),
    EDA!$A$32,
    moras[[#This Row],[TIPO_ASEGURAMIENTO]]
)</f>
        <v>ASALARIADO</v>
      </c>
    </row>
    <row r="2343" spans="1:16" x14ac:dyDescent="0.3">
      <c r="A2343">
        <v>2342</v>
      </c>
      <c r="B2343" t="s">
        <v>15</v>
      </c>
      <c r="C2343">
        <v>338166</v>
      </c>
      <c r="D2343" t="s">
        <v>18</v>
      </c>
      <c r="E2343" t="s">
        <v>16</v>
      </c>
      <c r="F2343" t="s">
        <v>12</v>
      </c>
      <c r="G2343" t="s">
        <v>13</v>
      </c>
      <c r="H2343" t="s">
        <v>13</v>
      </c>
      <c r="I2343">
        <v>61</v>
      </c>
      <c r="J2343">
        <f>ABS((I2343-EDA!$A$15)/EDA!$B$15)</f>
        <v>1.3423715843243298</v>
      </c>
      <c r="K2343" t="str">
        <f t="shared" si="36"/>
        <v>No</v>
      </c>
      <c r="L2343">
        <f>ABS((C2343-EDA!$F$15)/EDA!$G$15)</f>
        <v>0.37002665125231404</v>
      </c>
      <c r="M2343" t="str">
        <f>IF(moras[[#This Row],[Z-Score Salario]]&gt;1.96, "Sí", "No")</f>
        <v>No</v>
      </c>
      <c r="N2343" s="14">
        <f>IF(ISBLANK(moras[[#This Row],[SALARIO]]), EDA!$M$8, moras[[#This Row],[SALARIO]])</f>
        <v>338166</v>
      </c>
      <c r="O2343" s="14">
        <f xml:space="preserve"> IF(ISBLANK(moras[[#This Row],[EDAD]]), EDA!$E$8, moras[[#This Row],[EDAD]])</f>
        <v>61</v>
      </c>
      <c r="P2343" s="14" t="str">
        <f>IF(
    OR(ISBLANK(moras[[#This Row],[TIPO_ASEGURAMIENTO]]), moras[[#This Row],[TIPO_ASEGURAMIENTO]]=""),
    EDA!$A$32,
    moras[[#This Row],[TIPO_ASEGURAMIENTO]]
)</f>
        <v>TRABAJADOR INDEPENDIENTE</v>
      </c>
    </row>
    <row r="2344" spans="1:16" x14ac:dyDescent="0.3">
      <c r="A2344">
        <v>2343</v>
      </c>
      <c r="B2344" t="s">
        <v>9</v>
      </c>
      <c r="C2344">
        <v>1250000</v>
      </c>
      <c r="D2344" t="s">
        <v>10</v>
      </c>
      <c r="E2344" t="s">
        <v>16</v>
      </c>
      <c r="F2344" t="s">
        <v>12</v>
      </c>
      <c r="G2344" t="s">
        <v>13</v>
      </c>
      <c r="H2344" t="s">
        <v>13</v>
      </c>
      <c r="I2344">
        <v>29</v>
      </c>
      <c r="J2344">
        <f>ABS((I2344-EDA!$A$15)/EDA!$B$15)</f>
        <v>0.91603897814407031</v>
      </c>
      <c r="K2344" t="str">
        <f t="shared" si="36"/>
        <v>No</v>
      </c>
      <c r="L2344">
        <f>ABS((C2344-EDA!$F$15)/EDA!$G$15)</f>
        <v>0.35485308981757163</v>
      </c>
      <c r="M2344" t="str">
        <f>IF(moras[[#This Row],[Z-Score Salario]]&gt;1.96, "Sí", "No")</f>
        <v>No</v>
      </c>
      <c r="N2344" s="14">
        <f>IF(ISBLANK(moras[[#This Row],[SALARIO]]), EDA!$M$8, moras[[#This Row],[SALARIO]])</f>
        <v>1250000</v>
      </c>
      <c r="O2344" s="14">
        <f xml:space="preserve"> IF(ISBLANK(moras[[#This Row],[EDAD]]), EDA!$E$8, moras[[#This Row],[EDAD]])</f>
        <v>29</v>
      </c>
      <c r="P2344" s="14" t="str">
        <f>IF(
    OR(ISBLANK(moras[[#This Row],[TIPO_ASEGURAMIENTO]]), moras[[#This Row],[TIPO_ASEGURAMIENTO]]=""),
    EDA!$A$32,
    moras[[#This Row],[TIPO_ASEGURAMIENTO]]
)</f>
        <v>ASALARIADO</v>
      </c>
    </row>
    <row r="2345" spans="1:16" x14ac:dyDescent="0.3">
      <c r="A2345">
        <v>2344</v>
      </c>
      <c r="B2345" t="s">
        <v>15</v>
      </c>
      <c r="C2345">
        <v>305704</v>
      </c>
      <c r="D2345" t="s">
        <v>17</v>
      </c>
      <c r="E2345" t="s">
        <v>16</v>
      </c>
      <c r="F2345" t="s">
        <v>13</v>
      </c>
      <c r="G2345" t="s">
        <v>13</v>
      </c>
      <c r="H2345" t="s">
        <v>13</v>
      </c>
      <c r="I2345">
        <v>60</v>
      </c>
      <c r="J2345">
        <f>ABS((I2345-EDA!$A$15)/EDA!$B$15)</f>
        <v>1.2717962542471923</v>
      </c>
      <c r="K2345" t="str">
        <f t="shared" si="36"/>
        <v>No</v>
      </c>
      <c r="L2345">
        <f>ABS((C2345-EDA!$F$15)/EDA!$G$15)</f>
        <v>0.37056684184763578</v>
      </c>
      <c r="M2345" t="str">
        <f>IF(moras[[#This Row],[Z-Score Salario]]&gt;1.96, "Sí", "No")</f>
        <v>No</v>
      </c>
      <c r="N2345" s="14">
        <f>IF(ISBLANK(moras[[#This Row],[SALARIO]]), EDA!$M$8, moras[[#This Row],[SALARIO]])</f>
        <v>305704</v>
      </c>
      <c r="O2345" s="14">
        <f xml:space="preserve"> IF(ISBLANK(moras[[#This Row],[EDAD]]), EDA!$E$8, moras[[#This Row],[EDAD]])</f>
        <v>60</v>
      </c>
      <c r="P2345" s="14" t="str">
        <f>IF(
    OR(ISBLANK(moras[[#This Row],[TIPO_ASEGURAMIENTO]]), moras[[#This Row],[TIPO_ASEGURAMIENTO]]=""),
    EDA!$A$32,
    moras[[#This Row],[TIPO_ASEGURAMIENTO]]
)</f>
        <v>ASEGURADO VOLUNTARIO</v>
      </c>
    </row>
    <row r="2346" spans="1:16" x14ac:dyDescent="0.3">
      <c r="A2346">
        <v>2345</v>
      </c>
      <c r="B2346" t="s">
        <v>9</v>
      </c>
      <c r="C2346">
        <v>50206388</v>
      </c>
      <c r="D2346" t="s">
        <v>10</v>
      </c>
      <c r="E2346" t="s">
        <v>16</v>
      </c>
      <c r="F2346" t="s">
        <v>12</v>
      </c>
      <c r="G2346" t="s">
        <v>13</v>
      </c>
      <c r="H2346" t="s">
        <v>13</v>
      </c>
      <c r="I2346">
        <v>22</v>
      </c>
      <c r="J2346">
        <f>ABS((I2346-EDA!$A$15)/EDA!$B$15)</f>
        <v>1.4100662886840327</v>
      </c>
      <c r="K2346" t="str">
        <f t="shared" si="36"/>
        <v>No</v>
      </c>
      <c r="L2346">
        <f>ABS((C2346-EDA!$F$15)/EDA!$G$15)</f>
        <v>0.45981576541384728</v>
      </c>
      <c r="M2346" t="str">
        <f>IF(moras[[#This Row],[Z-Score Salario]]&gt;1.96, "Sí", "No")</f>
        <v>No</v>
      </c>
      <c r="N2346" s="14">
        <f>IF(ISBLANK(moras[[#This Row],[SALARIO]]), EDA!$M$8, moras[[#This Row],[SALARIO]])</f>
        <v>50206388</v>
      </c>
      <c r="O2346" s="14">
        <f xml:space="preserve"> IF(ISBLANK(moras[[#This Row],[EDAD]]), EDA!$E$8, moras[[#This Row],[EDAD]])</f>
        <v>22</v>
      </c>
      <c r="P2346" s="14" t="str">
        <f>IF(
    OR(ISBLANK(moras[[#This Row],[TIPO_ASEGURAMIENTO]]), moras[[#This Row],[TIPO_ASEGURAMIENTO]]=""),
    EDA!$A$32,
    moras[[#This Row],[TIPO_ASEGURAMIENTO]]
)</f>
        <v>ASALARIADO</v>
      </c>
    </row>
    <row r="2347" spans="1:16" x14ac:dyDescent="0.3">
      <c r="A2347">
        <v>2346</v>
      </c>
      <c r="B2347" t="s">
        <v>9</v>
      </c>
      <c r="C2347">
        <v>84382496</v>
      </c>
      <c r="D2347" t="s">
        <v>10</v>
      </c>
      <c r="E2347" t="s">
        <v>16</v>
      </c>
      <c r="F2347" t="s">
        <v>12</v>
      </c>
      <c r="G2347" t="s">
        <v>13</v>
      </c>
      <c r="H2347" t="s">
        <v>13</v>
      </c>
      <c r="I2347">
        <v>31</v>
      </c>
      <c r="J2347">
        <f>ABS((I2347-EDA!$A$15)/EDA!$B$15)</f>
        <v>0.77488831798979529</v>
      </c>
      <c r="K2347" t="str">
        <f t="shared" si="36"/>
        <v>No</v>
      </c>
      <c r="L2347">
        <f>ABS((C2347-EDA!$F$15)/EDA!$G$15)</f>
        <v>1.0285303278653366</v>
      </c>
      <c r="M2347" t="str">
        <f>IF(moras[[#This Row],[Z-Score Salario]]&gt;1.96, "Sí", "No")</f>
        <v>No</v>
      </c>
      <c r="N2347" s="14">
        <f>IF(ISBLANK(moras[[#This Row],[SALARIO]]), EDA!$M$8, moras[[#This Row],[SALARIO]])</f>
        <v>84382496</v>
      </c>
      <c r="O2347" s="14">
        <f xml:space="preserve"> IF(ISBLANK(moras[[#This Row],[EDAD]]), EDA!$E$8, moras[[#This Row],[EDAD]])</f>
        <v>31</v>
      </c>
      <c r="P2347" s="14" t="str">
        <f>IF(
    OR(ISBLANK(moras[[#This Row],[TIPO_ASEGURAMIENTO]]), moras[[#This Row],[TIPO_ASEGURAMIENTO]]=""),
    EDA!$A$32,
    moras[[#This Row],[TIPO_ASEGURAMIENTO]]
)</f>
        <v>ASALARIADO</v>
      </c>
    </row>
    <row r="2348" spans="1:16" x14ac:dyDescent="0.3">
      <c r="A2348">
        <v>2347</v>
      </c>
      <c r="B2348" t="s">
        <v>9</v>
      </c>
      <c r="C2348">
        <v>278030</v>
      </c>
      <c r="D2348" t="s">
        <v>18</v>
      </c>
      <c r="E2348" t="s">
        <v>16</v>
      </c>
      <c r="F2348" t="s">
        <v>12</v>
      </c>
      <c r="G2348" t="s">
        <v>13</v>
      </c>
      <c r="H2348" t="s">
        <v>12</v>
      </c>
      <c r="I2348">
        <v>39</v>
      </c>
      <c r="J2348">
        <f>ABS((I2348-EDA!$A$15)/EDA!$B$15)</f>
        <v>0.21028567737269524</v>
      </c>
      <c r="K2348" t="str">
        <f t="shared" si="36"/>
        <v>No</v>
      </c>
      <c r="L2348">
        <f>ABS((C2348-EDA!$F$15)/EDA!$G$15)</f>
        <v>0.37102735674304993</v>
      </c>
      <c r="M2348" t="str">
        <f>IF(moras[[#This Row],[Z-Score Salario]]&gt;1.96, "Sí", "No")</f>
        <v>No</v>
      </c>
      <c r="N2348" s="14">
        <f>IF(ISBLANK(moras[[#This Row],[SALARIO]]), EDA!$M$8, moras[[#This Row],[SALARIO]])</f>
        <v>278030</v>
      </c>
      <c r="O2348" s="14">
        <f xml:space="preserve"> IF(ISBLANK(moras[[#This Row],[EDAD]]), EDA!$E$8, moras[[#This Row],[EDAD]])</f>
        <v>39</v>
      </c>
      <c r="P2348" s="14" t="str">
        <f>IF(
    OR(ISBLANK(moras[[#This Row],[TIPO_ASEGURAMIENTO]]), moras[[#This Row],[TIPO_ASEGURAMIENTO]]=""),
    EDA!$A$32,
    moras[[#This Row],[TIPO_ASEGURAMIENTO]]
)</f>
        <v>TRABAJADOR INDEPENDIENTE</v>
      </c>
    </row>
    <row r="2349" spans="1:16" x14ac:dyDescent="0.3">
      <c r="A2349">
        <v>2348</v>
      </c>
      <c r="B2349" t="s">
        <v>9</v>
      </c>
      <c r="C2349">
        <v>3475044</v>
      </c>
      <c r="D2349" t="s">
        <v>10</v>
      </c>
      <c r="E2349" t="s">
        <v>16</v>
      </c>
      <c r="F2349" t="s">
        <v>12</v>
      </c>
      <c r="G2349" t="s">
        <v>12</v>
      </c>
      <c r="H2349" t="s">
        <v>13</v>
      </c>
      <c r="I2349">
        <v>24</v>
      </c>
      <c r="J2349">
        <f>ABS((I2349-EDA!$A$15)/EDA!$B$15)</f>
        <v>1.2689156285297578</v>
      </c>
      <c r="K2349" t="str">
        <f t="shared" si="36"/>
        <v>No</v>
      </c>
      <c r="L2349">
        <f>ABS((C2349-EDA!$F$15)/EDA!$G$15)</f>
        <v>0.31782678697187278</v>
      </c>
      <c r="M2349" t="str">
        <f>IF(moras[[#This Row],[Z-Score Salario]]&gt;1.96, "Sí", "No")</f>
        <v>No</v>
      </c>
      <c r="N2349" s="14">
        <f>IF(ISBLANK(moras[[#This Row],[SALARIO]]), EDA!$M$8, moras[[#This Row],[SALARIO]])</f>
        <v>3475044</v>
      </c>
      <c r="O2349" s="14">
        <f xml:space="preserve"> IF(ISBLANK(moras[[#This Row],[EDAD]]), EDA!$E$8, moras[[#This Row],[EDAD]])</f>
        <v>24</v>
      </c>
      <c r="P2349" s="14" t="str">
        <f>IF(
    OR(ISBLANK(moras[[#This Row],[TIPO_ASEGURAMIENTO]]), moras[[#This Row],[TIPO_ASEGURAMIENTO]]=""),
    EDA!$A$32,
    moras[[#This Row],[TIPO_ASEGURAMIENTO]]
)</f>
        <v>ASALARIADO</v>
      </c>
    </row>
    <row r="2350" spans="1:16" x14ac:dyDescent="0.3">
      <c r="A2350">
        <v>2349</v>
      </c>
      <c r="B2350" t="s">
        <v>9</v>
      </c>
      <c r="C2350">
        <v>181130847</v>
      </c>
      <c r="D2350" t="s">
        <v>10</v>
      </c>
      <c r="E2350" t="s">
        <v>16</v>
      </c>
      <c r="F2350" t="s">
        <v>12</v>
      </c>
      <c r="G2350" t="s">
        <v>13</v>
      </c>
      <c r="H2350" t="s">
        <v>13</v>
      </c>
      <c r="I2350">
        <v>43</v>
      </c>
      <c r="J2350">
        <f>ABS((I2350-EDA!$A$15)/EDA!$B$15)</f>
        <v>7.2015642935854773E-2</v>
      </c>
      <c r="K2350" t="str">
        <f t="shared" si="36"/>
        <v>No</v>
      </c>
      <c r="L2350">
        <f>ABS((C2350-EDA!$F$15)/EDA!$G$15)</f>
        <v>2.6384911843463641</v>
      </c>
      <c r="M2350" t="str">
        <f>IF(moras[[#This Row],[Z-Score Salario]]&gt;1.96, "Sí", "No")</f>
        <v>Sí</v>
      </c>
      <c r="N2350" s="14">
        <f>IF(ISBLANK(moras[[#This Row],[SALARIO]]), EDA!$M$8, moras[[#This Row],[SALARIO]])</f>
        <v>181130847</v>
      </c>
      <c r="O2350" s="14">
        <f xml:space="preserve"> IF(ISBLANK(moras[[#This Row],[EDAD]]), EDA!$E$8, moras[[#This Row],[EDAD]])</f>
        <v>43</v>
      </c>
      <c r="P2350" s="14" t="str">
        <f>IF(
    OR(ISBLANK(moras[[#This Row],[TIPO_ASEGURAMIENTO]]), moras[[#This Row],[TIPO_ASEGURAMIENTO]]=""),
    EDA!$A$32,
    moras[[#This Row],[TIPO_ASEGURAMIENTO]]
)</f>
        <v>ASALARIADO</v>
      </c>
    </row>
    <row r="2351" spans="1:16" x14ac:dyDescent="0.3">
      <c r="A2351">
        <v>2350</v>
      </c>
      <c r="B2351" t="s">
        <v>15</v>
      </c>
      <c r="C2351">
        <v>35954427</v>
      </c>
      <c r="D2351" t="s">
        <v>21</v>
      </c>
      <c r="E2351" t="s">
        <v>16</v>
      </c>
      <c r="F2351" t="s">
        <v>12</v>
      </c>
      <c r="G2351" t="s">
        <v>12</v>
      </c>
      <c r="H2351" t="s">
        <v>13</v>
      </c>
      <c r="I2351">
        <v>51</v>
      </c>
      <c r="J2351">
        <f>ABS((I2351-EDA!$A$15)/EDA!$B$15)</f>
        <v>0.6366182835529548</v>
      </c>
      <c r="K2351" t="str">
        <f t="shared" si="36"/>
        <v>No</v>
      </c>
      <c r="L2351">
        <f>ABS((C2351-EDA!$F$15)/EDA!$G$15)</f>
        <v>0.22265307374074372</v>
      </c>
      <c r="M2351" t="str">
        <f>IF(moras[[#This Row],[Z-Score Salario]]&gt;1.96, "Sí", "No")</f>
        <v>No</v>
      </c>
      <c r="N2351" s="14">
        <f>IF(ISBLANK(moras[[#This Row],[SALARIO]]), EDA!$M$8, moras[[#This Row],[SALARIO]])</f>
        <v>35954427</v>
      </c>
      <c r="O2351" s="14">
        <f xml:space="preserve"> IF(ISBLANK(moras[[#This Row],[EDAD]]), EDA!$E$8, moras[[#This Row],[EDAD]])</f>
        <v>51</v>
      </c>
      <c r="P2351" s="14" t="str">
        <f>IF(
    OR(ISBLANK(moras[[#This Row],[TIPO_ASEGURAMIENTO]]), moras[[#This Row],[TIPO_ASEGURAMIENTO]]=""),
    EDA!$A$32,
    moras[[#This Row],[TIPO_ASEGURAMIENTO]]
)</f>
        <v>CONVENIOS ESPECIALES DE ASEGURADOS VOLUNTARIOS</v>
      </c>
    </row>
    <row r="2352" spans="1:16" x14ac:dyDescent="0.3">
      <c r="A2352">
        <v>2351</v>
      </c>
      <c r="B2352" t="s">
        <v>15</v>
      </c>
      <c r="C2352">
        <v>278030</v>
      </c>
      <c r="D2352" t="s">
        <v>19</v>
      </c>
      <c r="E2352" t="s">
        <v>16</v>
      </c>
      <c r="F2352" t="s">
        <v>12</v>
      </c>
      <c r="G2352" t="s">
        <v>13</v>
      </c>
      <c r="H2352" t="s">
        <v>13</v>
      </c>
      <c r="I2352">
        <v>32</v>
      </c>
      <c r="J2352">
        <f>ABS((I2352-EDA!$A$15)/EDA!$B$15)</f>
        <v>0.70431298791265773</v>
      </c>
      <c r="K2352" t="str">
        <f t="shared" si="36"/>
        <v>No</v>
      </c>
      <c r="L2352">
        <f>ABS((C2352-EDA!$F$15)/EDA!$G$15)</f>
        <v>0.37102735674304993</v>
      </c>
      <c r="M2352" t="str">
        <f>IF(moras[[#This Row],[Z-Score Salario]]&gt;1.96, "Sí", "No")</f>
        <v>No</v>
      </c>
      <c r="N2352" s="14">
        <f>IF(ISBLANK(moras[[#This Row],[SALARIO]]), EDA!$M$8, moras[[#This Row],[SALARIO]])</f>
        <v>278030</v>
      </c>
      <c r="O2352" s="14">
        <f xml:space="preserve"> IF(ISBLANK(moras[[#This Row],[EDAD]]), EDA!$E$8, moras[[#This Row],[EDAD]])</f>
        <v>32</v>
      </c>
      <c r="P2352" s="14" t="str">
        <f>IF(
    OR(ISBLANK(moras[[#This Row],[TIPO_ASEGURAMIENTO]]), moras[[#This Row],[TIPO_ASEGURAMIENTO]]=""),
    EDA!$A$32,
    moras[[#This Row],[TIPO_ASEGURAMIENTO]]
)</f>
        <v>CONVENIOS ESPECIALES DE TRABAJADORES INDEPENDIENTES</v>
      </c>
    </row>
    <row r="2353" spans="1:16" x14ac:dyDescent="0.3">
      <c r="A2353">
        <v>2352</v>
      </c>
      <c r="B2353" t="s">
        <v>15</v>
      </c>
      <c r="C2353">
        <v>278035</v>
      </c>
      <c r="D2353" t="s">
        <v>17</v>
      </c>
      <c r="E2353" t="s">
        <v>16</v>
      </c>
      <c r="F2353" t="s">
        <v>12</v>
      </c>
      <c r="G2353" t="s">
        <v>13</v>
      </c>
      <c r="H2353" t="s">
        <v>13</v>
      </c>
      <c r="I2353">
        <v>27</v>
      </c>
      <c r="J2353">
        <f>ABS((I2353-EDA!$A$15)/EDA!$B$15)</f>
        <v>1.0571896382983452</v>
      </c>
      <c r="K2353" t="str">
        <f t="shared" si="36"/>
        <v>No</v>
      </c>
      <c r="L2353">
        <f>ABS((C2353-EDA!$F$15)/EDA!$G$15)</f>
        <v>0.37102727353952036</v>
      </c>
      <c r="M2353" t="str">
        <f>IF(moras[[#This Row],[Z-Score Salario]]&gt;1.96, "Sí", "No")</f>
        <v>No</v>
      </c>
      <c r="N2353" s="14">
        <f>IF(ISBLANK(moras[[#This Row],[SALARIO]]), EDA!$M$8, moras[[#This Row],[SALARIO]])</f>
        <v>278035</v>
      </c>
      <c r="O2353" s="14">
        <f xml:space="preserve"> IF(ISBLANK(moras[[#This Row],[EDAD]]), EDA!$E$8, moras[[#This Row],[EDAD]])</f>
        <v>27</v>
      </c>
      <c r="P2353" s="14" t="str">
        <f>IF(
    OR(ISBLANK(moras[[#This Row],[TIPO_ASEGURAMIENTO]]), moras[[#This Row],[TIPO_ASEGURAMIENTO]]=""),
    EDA!$A$32,
    moras[[#This Row],[TIPO_ASEGURAMIENTO]]
)</f>
        <v>ASEGURADO VOLUNTARIO</v>
      </c>
    </row>
    <row r="2354" spans="1:16" x14ac:dyDescent="0.3">
      <c r="A2354">
        <v>2353</v>
      </c>
      <c r="B2354" t="s">
        <v>9</v>
      </c>
      <c r="C2354">
        <v>88810164</v>
      </c>
      <c r="D2354" t="s">
        <v>10</v>
      </c>
      <c r="E2354" t="s">
        <v>11</v>
      </c>
      <c r="F2354" t="s">
        <v>12</v>
      </c>
      <c r="G2354" t="s">
        <v>13</v>
      </c>
      <c r="H2354" t="s">
        <v>13</v>
      </c>
      <c r="I2354">
        <v>30</v>
      </c>
      <c r="J2354">
        <f>ABS((I2354-EDA!$A$15)/EDA!$B$15)</f>
        <v>0.84546364806693275</v>
      </c>
      <c r="K2354" t="str">
        <f t="shared" si="36"/>
        <v>No</v>
      </c>
      <c r="L2354">
        <f>ABS((C2354-EDA!$F$15)/EDA!$G$15)</f>
        <v>1.1022098489301828</v>
      </c>
      <c r="M2354" t="str">
        <f>IF(moras[[#This Row],[Z-Score Salario]]&gt;1.96, "Sí", "No")</f>
        <v>No</v>
      </c>
      <c r="N2354" s="14">
        <f>IF(ISBLANK(moras[[#This Row],[SALARIO]]), EDA!$M$8, moras[[#This Row],[SALARIO]])</f>
        <v>88810164</v>
      </c>
      <c r="O2354" s="14">
        <f xml:space="preserve"> IF(ISBLANK(moras[[#This Row],[EDAD]]), EDA!$E$8, moras[[#This Row],[EDAD]])</f>
        <v>30</v>
      </c>
      <c r="P2354" s="14" t="str">
        <f>IF(
    OR(ISBLANK(moras[[#This Row],[TIPO_ASEGURAMIENTO]]), moras[[#This Row],[TIPO_ASEGURAMIENTO]]=""),
    EDA!$A$32,
    moras[[#This Row],[TIPO_ASEGURAMIENTO]]
)</f>
        <v>ASALARIADO</v>
      </c>
    </row>
    <row r="2355" spans="1:16" x14ac:dyDescent="0.3">
      <c r="A2355">
        <v>2354</v>
      </c>
      <c r="B2355" t="s">
        <v>15</v>
      </c>
      <c r="C2355">
        <v>4179712</v>
      </c>
      <c r="D2355" t="s">
        <v>10</v>
      </c>
      <c r="E2355" t="s">
        <v>16</v>
      </c>
      <c r="F2355" t="s">
        <v>12</v>
      </c>
      <c r="G2355" t="s">
        <v>13</v>
      </c>
      <c r="H2355" t="s">
        <v>12</v>
      </c>
      <c r="I2355">
        <v>40</v>
      </c>
      <c r="J2355">
        <f>ABS((I2355-EDA!$A$15)/EDA!$B$15)</f>
        <v>0.13971034729555773</v>
      </c>
      <c r="K2355" t="str">
        <f t="shared" si="36"/>
        <v>No</v>
      </c>
      <c r="L2355">
        <f>ABS((C2355-EDA!$F$15)/EDA!$G$15)</f>
        <v>0.3061006140181366</v>
      </c>
      <c r="M2355" t="str">
        <f>IF(moras[[#This Row],[Z-Score Salario]]&gt;1.96, "Sí", "No")</f>
        <v>No</v>
      </c>
      <c r="N2355" s="14">
        <f>IF(ISBLANK(moras[[#This Row],[SALARIO]]), EDA!$M$8, moras[[#This Row],[SALARIO]])</f>
        <v>4179712</v>
      </c>
      <c r="O2355" s="14">
        <f xml:space="preserve"> IF(ISBLANK(moras[[#This Row],[EDAD]]), EDA!$E$8, moras[[#This Row],[EDAD]])</f>
        <v>40</v>
      </c>
      <c r="P2355" s="14" t="str">
        <f>IF(
    OR(ISBLANK(moras[[#This Row],[TIPO_ASEGURAMIENTO]]), moras[[#This Row],[TIPO_ASEGURAMIENTO]]=""),
    EDA!$A$32,
    moras[[#This Row],[TIPO_ASEGURAMIENTO]]
)</f>
        <v>ASALARIADO</v>
      </c>
    </row>
    <row r="2356" spans="1:16" x14ac:dyDescent="0.3">
      <c r="A2356">
        <v>2355</v>
      </c>
      <c r="B2356" t="s">
        <v>15</v>
      </c>
      <c r="C2356">
        <v>380732</v>
      </c>
      <c r="D2356" t="s">
        <v>10</v>
      </c>
      <c r="E2356" t="s">
        <v>11</v>
      </c>
      <c r="F2356" t="s">
        <v>12</v>
      </c>
      <c r="G2356" t="s">
        <v>13</v>
      </c>
      <c r="H2356" t="s">
        <v>12</v>
      </c>
      <c r="I2356">
        <v>55</v>
      </c>
      <c r="J2356">
        <f>ABS((I2356-EDA!$A$15)/EDA!$B$15)</f>
        <v>0.91891960386150484</v>
      </c>
      <c r="K2356" t="str">
        <f t="shared" si="36"/>
        <v>No</v>
      </c>
      <c r="L2356">
        <f>ABS((C2356-EDA!$F$15)/EDA!$G$15)</f>
        <v>0.36931832296445544</v>
      </c>
      <c r="M2356" t="str">
        <f>IF(moras[[#This Row],[Z-Score Salario]]&gt;1.96, "Sí", "No")</f>
        <v>No</v>
      </c>
      <c r="N2356" s="14">
        <f>IF(ISBLANK(moras[[#This Row],[SALARIO]]), EDA!$M$8, moras[[#This Row],[SALARIO]])</f>
        <v>380732</v>
      </c>
      <c r="O2356" s="14">
        <f xml:space="preserve"> IF(ISBLANK(moras[[#This Row],[EDAD]]), EDA!$E$8, moras[[#This Row],[EDAD]])</f>
        <v>55</v>
      </c>
      <c r="P2356" s="14" t="str">
        <f>IF(
    OR(ISBLANK(moras[[#This Row],[TIPO_ASEGURAMIENTO]]), moras[[#This Row],[TIPO_ASEGURAMIENTO]]=""),
    EDA!$A$32,
    moras[[#This Row],[TIPO_ASEGURAMIENTO]]
)</f>
        <v>ASALARIADO</v>
      </c>
    </row>
    <row r="2357" spans="1:16" x14ac:dyDescent="0.3">
      <c r="A2357">
        <v>2356</v>
      </c>
      <c r="B2357" t="s">
        <v>9</v>
      </c>
      <c r="C2357">
        <v>317306967</v>
      </c>
      <c r="D2357" t="s">
        <v>10</v>
      </c>
      <c r="E2357" t="s">
        <v>11</v>
      </c>
      <c r="F2357" t="s">
        <v>12</v>
      </c>
      <c r="G2357" t="s">
        <v>13</v>
      </c>
      <c r="H2357" t="s">
        <v>13</v>
      </c>
      <c r="I2357">
        <v>54</v>
      </c>
      <c r="J2357">
        <f>ABS((I2357-EDA!$A$15)/EDA!$B$15)</f>
        <v>0.84834427378436728</v>
      </c>
      <c r="K2357" t="str">
        <f t="shared" si="36"/>
        <v>No</v>
      </c>
      <c r="L2357">
        <f>ABS((C2357-EDA!$F$15)/EDA!$G$15)</f>
        <v>4.9045579495304361</v>
      </c>
      <c r="M2357" t="str">
        <f>IF(moras[[#This Row],[Z-Score Salario]]&gt;1.96, "Sí", "No")</f>
        <v>Sí</v>
      </c>
      <c r="N2357" s="14">
        <f>IF(ISBLANK(moras[[#This Row],[SALARIO]]), EDA!$M$8, moras[[#This Row],[SALARIO]])</f>
        <v>317306967</v>
      </c>
      <c r="O2357" s="14">
        <f xml:space="preserve"> IF(ISBLANK(moras[[#This Row],[EDAD]]), EDA!$E$8, moras[[#This Row],[EDAD]])</f>
        <v>54</v>
      </c>
      <c r="P2357" s="14" t="str">
        <f>IF(
    OR(ISBLANK(moras[[#This Row],[TIPO_ASEGURAMIENTO]]), moras[[#This Row],[TIPO_ASEGURAMIENTO]]=""),
    EDA!$A$32,
    moras[[#This Row],[TIPO_ASEGURAMIENTO]]
)</f>
        <v>ASALARIADO</v>
      </c>
    </row>
    <row r="2358" spans="1:16" x14ac:dyDescent="0.3">
      <c r="A2358">
        <v>2357</v>
      </c>
      <c r="B2358" t="s">
        <v>15</v>
      </c>
      <c r="C2358">
        <v>355000</v>
      </c>
      <c r="D2358" t="s">
        <v>18</v>
      </c>
      <c r="E2358" t="s">
        <v>16</v>
      </c>
      <c r="F2358" t="s">
        <v>12</v>
      </c>
      <c r="G2358" t="s">
        <v>13</v>
      </c>
      <c r="H2358" t="s">
        <v>12</v>
      </c>
      <c r="I2358">
        <v>28</v>
      </c>
      <c r="J2358">
        <f>ABS((I2358-EDA!$A$15)/EDA!$B$15)</f>
        <v>0.98661430822120777</v>
      </c>
      <c r="K2358" t="str">
        <f t="shared" si="36"/>
        <v>No</v>
      </c>
      <c r="L2358">
        <f>ABS((C2358-EDA!$F$15)/EDA!$G$15)</f>
        <v>0.36974652160898813</v>
      </c>
      <c r="M2358" t="str">
        <f>IF(moras[[#This Row],[Z-Score Salario]]&gt;1.96, "Sí", "No")</f>
        <v>No</v>
      </c>
      <c r="N2358" s="14">
        <f>IF(ISBLANK(moras[[#This Row],[SALARIO]]), EDA!$M$8, moras[[#This Row],[SALARIO]])</f>
        <v>355000</v>
      </c>
      <c r="O2358" s="14">
        <f xml:space="preserve"> IF(ISBLANK(moras[[#This Row],[EDAD]]), EDA!$E$8, moras[[#This Row],[EDAD]])</f>
        <v>28</v>
      </c>
      <c r="P2358" s="14" t="str">
        <f>IF(
    OR(ISBLANK(moras[[#This Row],[TIPO_ASEGURAMIENTO]]), moras[[#This Row],[TIPO_ASEGURAMIENTO]]=""),
    EDA!$A$32,
    moras[[#This Row],[TIPO_ASEGURAMIENTO]]
)</f>
        <v>TRABAJADOR INDEPENDIENTE</v>
      </c>
    </row>
    <row r="2359" spans="1:16" x14ac:dyDescent="0.3">
      <c r="A2359">
        <v>2358</v>
      </c>
      <c r="B2359" t="s">
        <v>9</v>
      </c>
      <c r="C2359">
        <v>563202</v>
      </c>
      <c r="D2359" t="s">
        <v>10</v>
      </c>
      <c r="E2359" t="s">
        <v>16</v>
      </c>
      <c r="F2359" t="s">
        <v>12</v>
      </c>
      <c r="G2359" t="s">
        <v>13</v>
      </c>
      <c r="H2359" t="s">
        <v>13</v>
      </c>
      <c r="I2359">
        <v>37</v>
      </c>
      <c r="J2359">
        <f>ABS((I2359-EDA!$A$15)/EDA!$B$15)</f>
        <v>0.35143633752697023</v>
      </c>
      <c r="K2359" t="str">
        <f t="shared" si="36"/>
        <v>No</v>
      </c>
      <c r="L2359">
        <f>ABS((C2359-EDA!$F$15)/EDA!$G$15)</f>
        <v>0.36628189335665684</v>
      </c>
      <c r="M2359" t="str">
        <f>IF(moras[[#This Row],[Z-Score Salario]]&gt;1.96, "Sí", "No")</f>
        <v>No</v>
      </c>
      <c r="N2359" s="14">
        <f>IF(ISBLANK(moras[[#This Row],[SALARIO]]), EDA!$M$8, moras[[#This Row],[SALARIO]])</f>
        <v>563202</v>
      </c>
      <c r="O2359" s="14">
        <f xml:space="preserve"> IF(ISBLANK(moras[[#This Row],[EDAD]]), EDA!$E$8, moras[[#This Row],[EDAD]])</f>
        <v>37</v>
      </c>
      <c r="P2359" s="14" t="str">
        <f>IF(
    OR(ISBLANK(moras[[#This Row],[TIPO_ASEGURAMIENTO]]), moras[[#This Row],[TIPO_ASEGURAMIENTO]]=""),
    EDA!$A$32,
    moras[[#This Row],[TIPO_ASEGURAMIENTO]]
)</f>
        <v>ASALARIADO</v>
      </c>
    </row>
    <row r="2360" spans="1:16" x14ac:dyDescent="0.3">
      <c r="A2360">
        <v>2359</v>
      </c>
      <c r="B2360" t="s">
        <v>9</v>
      </c>
      <c r="C2360">
        <v>299647</v>
      </c>
      <c r="D2360" t="s">
        <v>17</v>
      </c>
      <c r="E2360" t="s">
        <v>16</v>
      </c>
      <c r="F2360" t="s">
        <v>12</v>
      </c>
      <c r="G2360" t="s">
        <v>13</v>
      </c>
      <c r="H2360" t="s">
        <v>13</v>
      </c>
      <c r="I2360">
        <v>74</v>
      </c>
      <c r="J2360">
        <f>ABS((I2360-EDA!$A$15)/EDA!$B$15)</f>
        <v>2.2598508753271176</v>
      </c>
      <c r="K2360" t="str">
        <f t="shared" si="36"/>
        <v>Sí</v>
      </c>
      <c r="L2360">
        <f>ABS((C2360-EDA!$F$15)/EDA!$G$15)</f>
        <v>0.37066763460334595</v>
      </c>
      <c r="M2360" t="str">
        <f>IF(moras[[#This Row],[Z-Score Salario]]&gt;1.96, "Sí", "No")</f>
        <v>No</v>
      </c>
      <c r="N2360" s="14">
        <f>IF(ISBLANK(moras[[#This Row],[SALARIO]]), EDA!$M$8, moras[[#This Row],[SALARIO]])</f>
        <v>299647</v>
      </c>
      <c r="O2360" s="14">
        <f xml:space="preserve"> IF(ISBLANK(moras[[#This Row],[EDAD]]), EDA!$E$8, moras[[#This Row],[EDAD]])</f>
        <v>74</v>
      </c>
      <c r="P2360" s="14" t="str">
        <f>IF(
    OR(ISBLANK(moras[[#This Row],[TIPO_ASEGURAMIENTO]]), moras[[#This Row],[TIPO_ASEGURAMIENTO]]=""),
    EDA!$A$32,
    moras[[#This Row],[TIPO_ASEGURAMIENTO]]
)</f>
        <v>ASEGURADO VOLUNTARIO</v>
      </c>
    </row>
    <row r="2361" spans="1:16" x14ac:dyDescent="0.3">
      <c r="A2361">
        <v>2360</v>
      </c>
      <c r="B2361" t="s">
        <v>9</v>
      </c>
      <c r="C2361">
        <v>56495582</v>
      </c>
      <c r="D2361" t="s">
        <v>10</v>
      </c>
      <c r="E2361" t="s">
        <v>16</v>
      </c>
      <c r="F2361" t="s">
        <v>12</v>
      </c>
      <c r="G2361" t="s">
        <v>13</v>
      </c>
      <c r="H2361" t="s">
        <v>13</v>
      </c>
      <c r="I2361">
        <v>60</v>
      </c>
      <c r="J2361">
        <f>ABS((I2361-EDA!$A$15)/EDA!$B$15)</f>
        <v>1.2717962542471923</v>
      </c>
      <c r="K2361" t="str">
        <f t="shared" si="36"/>
        <v>No</v>
      </c>
      <c r="L2361">
        <f>ABS((C2361-EDA!$F$15)/EDA!$G$15)</f>
        <v>0.56447239319260234</v>
      </c>
      <c r="M2361" t="str">
        <f>IF(moras[[#This Row],[Z-Score Salario]]&gt;1.96, "Sí", "No")</f>
        <v>No</v>
      </c>
      <c r="N2361" s="14">
        <f>IF(ISBLANK(moras[[#This Row],[SALARIO]]), EDA!$M$8, moras[[#This Row],[SALARIO]])</f>
        <v>56495582</v>
      </c>
      <c r="O2361" s="14">
        <f xml:space="preserve"> IF(ISBLANK(moras[[#This Row],[EDAD]]), EDA!$E$8, moras[[#This Row],[EDAD]])</f>
        <v>60</v>
      </c>
      <c r="P2361" s="14" t="str">
        <f>IF(
    OR(ISBLANK(moras[[#This Row],[TIPO_ASEGURAMIENTO]]), moras[[#This Row],[TIPO_ASEGURAMIENTO]]=""),
    EDA!$A$32,
    moras[[#This Row],[TIPO_ASEGURAMIENTO]]
)</f>
        <v>ASALARIADO</v>
      </c>
    </row>
    <row r="2362" spans="1:16" x14ac:dyDescent="0.3">
      <c r="A2362">
        <v>2361</v>
      </c>
      <c r="B2362" t="s">
        <v>9</v>
      </c>
      <c r="C2362">
        <v>326749</v>
      </c>
      <c r="D2362" t="s">
        <v>18</v>
      </c>
      <c r="E2362" t="s">
        <v>16</v>
      </c>
      <c r="F2362" t="s">
        <v>12</v>
      </c>
      <c r="G2362" t="s">
        <v>13</v>
      </c>
      <c r="H2362" t="s">
        <v>12</v>
      </c>
      <c r="I2362">
        <v>52</v>
      </c>
      <c r="J2362">
        <f>ABS((I2362-EDA!$A$15)/EDA!$B$15)</f>
        <v>0.70719361363009237</v>
      </c>
      <c r="K2362" t="str">
        <f t="shared" si="36"/>
        <v>No</v>
      </c>
      <c r="L2362">
        <f>ABS((C2362-EDA!$F$15)/EDA!$G$15)</f>
        <v>0.37021663819171358</v>
      </c>
      <c r="M2362" t="str">
        <f>IF(moras[[#This Row],[Z-Score Salario]]&gt;1.96, "Sí", "No")</f>
        <v>No</v>
      </c>
      <c r="N2362" s="14">
        <f>IF(ISBLANK(moras[[#This Row],[SALARIO]]), EDA!$M$8, moras[[#This Row],[SALARIO]])</f>
        <v>326749</v>
      </c>
      <c r="O2362" s="14">
        <f xml:space="preserve"> IF(ISBLANK(moras[[#This Row],[EDAD]]), EDA!$E$8, moras[[#This Row],[EDAD]])</f>
        <v>52</v>
      </c>
      <c r="P2362" s="14" t="str">
        <f>IF(
    OR(ISBLANK(moras[[#This Row],[TIPO_ASEGURAMIENTO]]), moras[[#This Row],[TIPO_ASEGURAMIENTO]]=""),
    EDA!$A$32,
    moras[[#This Row],[TIPO_ASEGURAMIENTO]]
)</f>
        <v>TRABAJADOR INDEPENDIENTE</v>
      </c>
    </row>
    <row r="2363" spans="1:16" x14ac:dyDescent="0.3">
      <c r="A2363">
        <v>2362</v>
      </c>
      <c r="B2363" t="s">
        <v>9</v>
      </c>
      <c r="C2363">
        <v>2190000</v>
      </c>
      <c r="D2363" t="s">
        <v>10</v>
      </c>
      <c r="E2363" t="s">
        <v>16</v>
      </c>
      <c r="F2363" t="s">
        <v>12</v>
      </c>
      <c r="G2363" t="s">
        <v>13</v>
      </c>
      <c r="H2363" t="s">
        <v>13</v>
      </c>
      <c r="I2363">
        <v>59</v>
      </c>
      <c r="J2363">
        <f>ABS((I2363-EDA!$A$15)/EDA!$B$15)</f>
        <v>1.2012209241700549</v>
      </c>
      <c r="K2363" t="str">
        <f t="shared" si="36"/>
        <v>No</v>
      </c>
      <c r="L2363">
        <f>ABS((C2363-EDA!$F$15)/EDA!$G$15)</f>
        <v>0.33921082626010629</v>
      </c>
      <c r="M2363" t="str">
        <f>IF(moras[[#This Row],[Z-Score Salario]]&gt;1.96, "Sí", "No")</f>
        <v>No</v>
      </c>
      <c r="N2363" s="14">
        <f>IF(ISBLANK(moras[[#This Row],[SALARIO]]), EDA!$M$8, moras[[#This Row],[SALARIO]])</f>
        <v>2190000</v>
      </c>
      <c r="O2363" s="14">
        <f xml:space="preserve"> IF(ISBLANK(moras[[#This Row],[EDAD]]), EDA!$E$8, moras[[#This Row],[EDAD]])</f>
        <v>59</v>
      </c>
      <c r="P2363" s="14" t="str">
        <f>IF(
    OR(ISBLANK(moras[[#This Row],[TIPO_ASEGURAMIENTO]]), moras[[#This Row],[TIPO_ASEGURAMIENTO]]=""),
    EDA!$A$32,
    moras[[#This Row],[TIPO_ASEGURAMIENTO]]
)</f>
        <v>ASALARIADO</v>
      </c>
    </row>
    <row r="2364" spans="1:16" x14ac:dyDescent="0.3">
      <c r="A2364">
        <v>2363</v>
      </c>
      <c r="B2364" t="s">
        <v>15</v>
      </c>
      <c r="C2364">
        <v>1248185</v>
      </c>
      <c r="D2364" t="s">
        <v>10</v>
      </c>
      <c r="E2364" t="s">
        <v>11</v>
      </c>
      <c r="F2364" t="s">
        <v>12</v>
      </c>
      <c r="G2364" t="s">
        <v>13</v>
      </c>
      <c r="H2364" t="s">
        <v>12</v>
      </c>
      <c r="I2364">
        <v>60</v>
      </c>
      <c r="J2364">
        <f>ABS((I2364-EDA!$A$15)/EDA!$B$15)</f>
        <v>1.2717962542471923</v>
      </c>
      <c r="K2364" t="str">
        <f t="shared" si="36"/>
        <v>No</v>
      </c>
      <c r="L2364">
        <f>ABS((C2364-EDA!$F$15)/EDA!$G$15)</f>
        <v>0.35488329269880226</v>
      </c>
      <c r="M2364" t="str">
        <f>IF(moras[[#This Row],[Z-Score Salario]]&gt;1.96, "Sí", "No")</f>
        <v>No</v>
      </c>
      <c r="N2364" s="14">
        <f>IF(ISBLANK(moras[[#This Row],[SALARIO]]), EDA!$M$8, moras[[#This Row],[SALARIO]])</f>
        <v>1248185</v>
      </c>
      <c r="O2364" s="14">
        <f xml:space="preserve"> IF(ISBLANK(moras[[#This Row],[EDAD]]), EDA!$E$8, moras[[#This Row],[EDAD]])</f>
        <v>60</v>
      </c>
      <c r="P2364" s="14" t="str">
        <f>IF(
    OR(ISBLANK(moras[[#This Row],[TIPO_ASEGURAMIENTO]]), moras[[#This Row],[TIPO_ASEGURAMIENTO]]=""),
    EDA!$A$32,
    moras[[#This Row],[TIPO_ASEGURAMIENTO]]
)</f>
        <v>ASALARIADO</v>
      </c>
    </row>
    <row r="2365" spans="1:16" x14ac:dyDescent="0.3">
      <c r="A2365">
        <v>2364</v>
      </c>
      <c r="B2365" t="s">
        <v>15</v>
      </c>
      <c r="C2365">
        <v>360000</v>
      </c>
      <c r="D2365" t="s">
        <v>10</v>
      </c>
      <c r="E2365" t="s">
        <v>16</v>
      </c>
      <c r="F2365" t="s">
        <v>12</v>
      </c>
      <c r="G2365" t="s">
        <v>13</v>
      </c>
      <c r="H2365" t="s">
        <v>13</v>
      </c>
      <c r="I2365">
        <v>27</v>
      </c>
      <c r="J2365">
        <f>ABS((I2365-EDA!$A$15)/EDA!$B$15)</f>
        <v>1.0571896382983452</v>
      </c>
      <c r="K2365" t="str">
        <f t="shared" si="36"/>
        <v>No</v>
      </c>
      <c r="L2365">
        <f>ABS((C2365-EDA!$F$15)/EDA!$G$15)</f>
        <v>0.36966331807942709</v>
      </c>
      <c r="M2365" t="str">
        <f>IF(moras[[#This Row],[Z-Score Salario]]&gt;1.96, "Sí", "No")</f>
        <v>No</v>
      </c>
      <c r="N2365" s="14">
        <f>IF(ISBLANK(moras[[#This Row],[SALARIO]]), EDA!$M$8, moras[[#This Row],[SALARIO]])</f>
        <v>360000</v>
      </c>
      <c r="O2365" s="14">
        <f xml:space="preserve"> IF(ISBLANK(moras[[#This Row],[EDAD]]), EDA!$E$8, moras[[#This Row],[EDAD]])</f>
        <v>27</v>
      </c>
      <c r="P2365" s="14" t="str">
        <f>IF(
    OR(ISBLANK(moras[[#This Row],[TIPO_ASEGURAMIENTO]]), moras[[#This Row],[TIPO_ASEGURAMIENTO]]=""),
    EDA!$A$32,
    moras[[#This Row],[TIPO_ASEGURAMIENTO]]
)</f>
        <v>ASALARIADO</v>
      </c>
    </row>
    <row r="2366" spans="1:16" x14ac:dyDescent="0.3">
      <c r="A2366">
        <v>2365</v>
      </c>
      <c r="B2366" t="s">
        <v>9</v>
      </c>
      <c r="C2366">
        <v>190000</v>
      </c>
      <c r="D2366" t="s">
        <v>10</v>
      </c>
      <c r="E2366" t="s">
        <v>16</v>
      </c>
      <c r="F2366" t="s">
        <v>12</v>
      </c>
      <c r="G2366" t="s">
        <v>13</v>
      </c>
      <c r="H2366" t="s">
        <v>12</v>
      </c>
      <c r="I2366">
        <v>45</v>
      </c>
      <c r="J2366">
        <f>ABS((I2366-EDA!$A$15)/EDA!$B$15)</f>
        <v>0.21316630309012977</v>
      </c>
      <c r="K2366" t="str">
        <f t="shared" si="36"/>
        <v>No</v>
      </c>
      <c r="L2366">
        <f>ABS((C2366-EDA!$F$15)/EDA!$G$15)</f>
        <v>0.37249223808450066</v>
      </c>
      <c r="M2366" t="str">
        <f>IF(moras[[#This Row],[Z-Score Salario]]&gt;1.96, "Sí", "No")</f>
        <v>No</v>
      </c>
      <c r="N2366" s="14">
        <f>IF(ISBLANK(moras[[#This Row],[SALARIO]]), EDA!$M$8, moras[[#This Row],[SALARIO]])</f>
        <v>190000</v>
      </c>
      <c r="O2366" s="14">
        <f xml:space="preserve"> IF(ISBLANK(moras[[#This Row],[EDAD]]), EDA!$E$8, moras[[#This Row],[EDAD]])</f>
        <v>45</v>
      </c>
      <c r="P2366" s="14" t="str">
        <f>IF(
    OR(ISBLANK(moras[[#This Row],[TIPO_ASEGURAMIENTO]]), moras[[#This Row],[TIPO_ASEGURAMIENTO]]=""),
    EDA!$A$32,
    moras[[#This Row],[TIPO_ASEGURAMIENTO]]
)</f>
        <v>ASALARIADO</v>
      </c>
    </row>
    <row r="2367" spans="1:16" x14ac:dyDescent="0.3">
      <c r="A2367">
        <v>2366</v>
      </c>
      <c r="B2367" t="s">
        <v>15</v>
      </c>
      <c r="C2367">
        <v>1287284</v>
      </c>
      <c r="D2367" t="s">
        <v>10</v>
      </c>
      <c r="E2367" t="s">
        <v>11</v>
      </c>
      <c r="F2367" t="s">
        <v>12</v>
      </c>
      <c r="G2367" t="s">
        <v>13</v>
      </c>
      <c r="H2367" t="s">
        <v>13</v>
      </c>
      <c r="I2367">
        <v>37</v>
      </c>
      <c r="J2367">
        <f>ABS((I2367-EDA!$A$15)/EDA!$B$15)</f>
        <v>0.35143633752697023</v>
      </c>
      <c r="K2367" t="str">
        <f t="shared" si="36"/>
        <v>No</v>
      </c>
      <c r="L2367">
        <f>ABS((C2367-EDA!$F$15)/EDA!$G$15)</f>
        <v>0.35423265773834128</v>
      </c>
      <c r="M2367" t="str">
        <f>IF(moras[[#This Row],[Z-Score Salario]]&gt;1.96, "Sí", "No")</f>
        <v>No</v>
      </c>
      <c r="N2367" s="14">
        <f>IF(ISBLANK(moras[[#This Row],[SALARIO]]), EDA!$M$8, moras[[#This Row],[SALARIO]])</f>
        <v>1287284</v>
      </c>
      <c r="O2367" s="14">
        <f xml:space="preserve"> IF(ISBLANK(moras[[#This Row],[EDAD]]), EDA!$E$8, moras[[#This Row],[EDAD]])</f>
        <v>37</v>
      </c>
      <c r="P2367" s="14" t="str">
        <f>IF(
    OR(ISBLANK(moras[[#This Row],[TIPO_ASEGURAMIENTO]]), moras[[#This Row],[TIPO_ASEGURAMIENTO]]=""),
    EDA!$A$32,
    moras[[#This Row],[TIPO_ASEGURAMIENTO]]
)</f>
        <v>ASALARIADO</v>
      </c>
    </row>
    <row r="2368" spans="1:16" x14ac:dyDescent="0.3">
      <c r="A2368">
        <v>2367</v>
      </c>
      <c r="B2368" t="s">
        <v>9</v>
      </c>
      <c r="C2368">
        <v>116169785</v>
      </c>
      <c r="D2368" t="s">
        <v>10</v>
      </c>
      <c r="E2368" t="s">
        <v>11</v>
      </c>
      <c r="F2368" t="s">
        <v>12</v>
      </c>
      <c r="G2368" t="s">
        <v>13</v>
      </c>
      <c r="H2368" t="s">
        <v>13</v>
      </c>
      <c r="I2368">
        <v>41</v>
      </c>
      <c r="J2368">
        <f>ABS((I2368-EDA!$A$15)/EDA!$B$15)</f>
        <v>6.9135017218420233E-2</v>
      </c>
      <c r="K2368" t="str">
        <f t="shared" si="36"/>
        <v>No</v>
      </c>
      <c r="L2368">
        <f>ABS((C2368-EDA!$F$15)/EDA!$G$15)</f>
        <v>1.5574932558603567</v>
      </c>
      <c r="M2368" t="str">
        <f>IF(moras[[#This Row],[Z-Score Salario]]&gt;1.96, "Sí", "No")</f>
        <v>No</v>
      </c>
      <c r="N2368" s="14">
        <f>IF(ISBLANK(moras[[#This Row],[SALARIO]]), EDA!$M$8, moras[[#This Row],[SALARIO]])</f>
        <v>116169785</v>
      </c>
      <c r="O2368" s="14">
        <f xml:space="preserve"> IF(ISBLANK(moras[[#This Row],[EDAD]]), EDA!$E$8, moras[[#This Row],[EDAD]])</f>
        <v>41</v>
      </c>
      <c r="P2368" s="14" t="str">
        <f>IF(
    OR(ISBLANK(moras[[#This Row],[TIPO_ASEGURAMIENTO]]), moras[[#This Row],[TIPO_ASEGURAMIENTO]]=""),
    EDA!$A$32,
    moras[[#This Row],[TIPO_ASEGURAMIENTO]]
)</f>
        <v>ASALARIADO</v>
      </c>
    </row>
    <row r="2369" spans="1:16" x14ac:dyDescent="0.3">
      <c r="A2369">
        <v>2368</v>
      </c>
      <c r="B2369" t="s">
        <v>9</v>
      </c>
      <c r="C2369">
        <v>520000</v>
      </c>
      <c r="D2369" t="s">
        <v>10</v>
      </c>
      <c r="E2369" t="s">
        <v>16</v>
      </c>
      <c r="F2369" t="s">
        <v>12</v>
      </c>
      <c r="G2369" t="s">
        <v>13</v>
      </c>
      <c r="H2369" t="s">
        <v>12</v>
      </c>
      <c r="I2369">
        <v>62</v>
      </c>
      <c r="J2369">
        <f>ABS((I2369-EDA!$A$15)/EDA!$B$15)</f>
        <v>1.4129469144014672</v>
      </c>
      <c r="K2369" t="str">
        <f t="shared" si="36"/>
        <v>No</v>
      </c>
      <c r="L2369">
        <f>ABS((C2369-EDA!$F$15)/EDA!$G$15)</f>
        <v>0.36700080513347555</v>
      </c>
      <c r="M2369" t="str">
        <f>IF(moras[[#This Row],[Z-Score Salario]]&gt;1.96, "Sí", "No")</f>
        <v>No</v>
      </c>
      <c r="N2369" s="14">
        <f>IF(ISBLANK(moras[[#This Row],[SALARIO]]), EDA!$M$8, moras[[#This Row],[SALARIO]])</f>
        <v>520000</v>
      </c>
      <c r="O2369" s="14">
        <f xml:space="preserve"> IF(ISBLANK(moras[[#This Row],[EDAD]]), EDA!$E$8, moras[[#This Row],[EDAD]])</f>
        <v>62</v>
      </c>
      <c r="P2369" s="14" t="str">
        <f>IF(
    OR(ISBLANK(moras[[#This Row],[TIPO_ASEGURAMIENTO]]), moras[[#This Row],[TIPO_ASEGURAMIENTO]]=""),
    EDA!$A$32,
    moras[[#This Row],[TIPO_ASEGURAMIENTO]]
)</f>
        <v>ASALARIADO</v>
      </c>
    </row>
    <row r="2370" spans="1:16" x14ac:dyDescent="0.3">
      <c r="A2370">
        <v>2369</v>
      </c>
      <c r="B2370" t="s">
        <v>9</v>
      </c>
      <c r="C2370">
        <v>1459164</v>
      </c>
      <c r="D2370" t="s">
        <v>10</v>
      </c>
      <c r="E2370" t="s">
        <v>16</v>
      </c>
      <c r="F2370" t="s">
        <v>12</v>
      </c>
      <c r="G2370" t="s">
        <v>13</v>
      </c>
      <c r="H2370" t="s">
        <v>13</v>
      </c>
      <c r="I2370">
        <v>55</v>
      </c>
      <c r="J2370">
        <f>ABS((I2370-EDA!$A$15)/EDA!$B$15)</f>
        <v>0.91891960386150484</v>
      </c>
      <c r="K2370" t="str">
        <f t="shared" ref="K2370:K2433" si="37">IF(J2370 &gt;  1.96, "Sí","No")</f>
        <v>No</v>
      </c>
      <c r="L2370">
        <f>ABS((C2370-EDA!$F$15)/EDA!$G$15)</f>
        <v>0.35137245320615285</v>
      </c>
      <c r="M2370" t="str">
        <f>IF(moras[[#This Row],[Z-Score Salario]]&gt;1.96, "Sí", "No")</f>
        <v>No</v>
      </c>
      <c r="N2370" s="14">
        <f>IF(ISBLANK(moras[[#This Row],[SALARIO]]), EDA!$M$8, moras[[#This Row],[SALARIO]])</f>
        <v>1459164</v>
      </c>
      <c r="O2370" s="14">
        <f xml:space="preserve"> IF(ISBLANK(moras[[#This Row],[EDAD]]), EDA!$E$8, moras[[#This Row],[EDAD]])</f>
        <v>55</v>
      </c>
      <c r="P2370" s="14" t="str">
        <f>IF(
    OR(ISBLANK(moras[[#This Row],[TIPO_ASEGURAMIENTO]]), moras[[#This Row],[TIPO_ASEGURAMIENTO]]=""),
    EDA!$A$32,
    moras[[#This Row],[TIPO_ASEGURAMIENTO]]
)</f>
        <v>ASALARIADO</v>
      </c>
    </row>
    <row r="2371" spans="1:16" x14ac:dyDescent="0.3">
      <c r="A2371">
        <v>2370</v>
      </c>
      <c r="B2371" t="s">
        <v>9</v>
      </c>
      <c r="C2371">
        <v>78510377</v>
      </c>
      <c r="D2371" t="s">
        <v>10</v>
      </c>
      <c r="E2371" t="s">
        <v>16</v>
      </c>
      <c r="F2371" t="s">
        <v>12</v>
      </c>
      <c r="G2371" t="s">
        <v>13</v>
      </c>
      <c r="H2371" t="s">
        <v>13</v>
      </c>
      <c r="I2371">
        <v>49</v>
      </c>
      <c r="J2371">
        <f>ABS((I2371-EDA!$A$15)/EDA!$B$15)</f>
        <v>0.49546762339867978</v>
      </c>
      <c r="K2371" t="str">
        <f t="shared" si="37"/>
        <v>No</v>
      </c>
      <c r="L2371">
        <f>ABS((C2371-EDA!$F$15)/EDA!$G$15)</f>
        <v>0.93081412250491113</v>
      </c>
      <c r="M2371" t="str">
        <f>IF(moras[[#This Row],[Z-Score Salario]]&gt;1.96, "Sí", "No")</f>
        <v>No</v>
      </c>
      <c r="N2371" s="14">
        <f>IF(ISBLANK(moras[[#This Row],[SALARIO]]), EDA!$M$8, moras[[#This Row],[SALARIO]])</f>
        <v>78510377</v>
      </c>
      <c r="O2371" s="14">
        <f xml:space="preserve"> IF(ISBLANK(moras[[#This Row],[EDAD]]), EDA!$E$8, moras[[#This Row],[EDAD]])</f>
        <v>49</v>
      </c>
      <c r="P2371" s="14" t="str">
        <f>IF(
    OR(ISBLANK(moras[[#This Row],[TIPO_ASEGURAMIENTO]]), moras[[#This Row],[TIPO_ASEGURAMIENTO]]=""),
    EDA!$A$32,
    moras[[#This Row],[TIPO_ASEGURAMIENTO]]
)</f>
        <v>ASALARIADO</v>
      </c>
    </row>
    <row r="2372" spans="1:16" x14ac:dyDescent="0.3">
      <c r="A2372">
        <v>2371</v>
      </c>
      <c r="B2372" t="s">
        <v>9</v>
      </c>
      <c r="C2372">
        <v>17587458</v>
      </c>
      <c r="D2372" t="s">
        <v>10</v>
      </c>
      <c r="E2372" t="s">
        <v>16</v>
      </c>
      <c r="F2372" t="s">
        <v>12</v>
      </c>
      <c r="G2372" t="s">
        <v>13</v>
      </c>
      <c r="H2372" t="s">
        <v>12</v>
      </c>
      <c r="I2372">
        <v>38</v>
      </c>
      <c r="J2372">
        <f>ABS((I2372-EDA!$A$15)/EDA!$B$15)</f>
        <v>0.28086100744983278</v>
      </c>
      <c r="K2372" t="str">
        <f t="shared" si="37"/>
        <v>No</v>
      </c>
      <c r="L2372">
        <f>ABS((C2372-EDA!$F$15)/EDA!$G$15)</f>
        <v>8.2986255886698571E-2</v>
      </c>
      <c r="M2372" t="str">
        <f>IF(moras[[#This Row],[Z-Score Salario]]&gt;1.96, "Sí", "No")</f>
        <v>No</v>
      </c>
      <c r="N2372" s="14">
        <f>IF(ISBLANK(moras[[#This Row],[SALARIO]]), EDA!$M$8, moras[[#This Row],[SALARIO]])</f>
        <v>17587458</v>
      </c>
      <c r="O2372" s="14">
        <f xml:space="preserve"> IF(ISBLANK(moras[[#This Row],[EDAD]]), EDA!$E$8, moras[[#This Row],[EDAD]])</f>
        <v>38</v>
      </c>
      <c r="P2372" s="14" t="str">
        <f>IF(
    OR(ISBLANK(moras[[#This Row],[TIPO_ASEGURAMIENTO]]), moras[[#This Row],[TIPO_ASEGURAMIENTO]]=""),
    EDA!$A$32,
    moras[[#This Row],[TIPO_ASEGURAMIENTO]]
)</f>
        <v>ASALARIADO</v>
      </c>
    </row>
    <row r="2373" spans="1:16" x14ac:dyDescent="0.3">
      <c r="A2373">
        <v>2372</v>
      </c>
      <c r="B2373" t="s">
        <v>9</v>
      </c>
      <c r="C2373">
        <v>341004</v>
      </c>
      <c r="D2373" t="s">
        <v>10</v>
      </c>
      <c r="E2373" t="s">
        <v>16</v>
      </c>
      <c r="F2373" t="s">
        <v>12</v>
      </c>
      <c r="G2373" t="s">
        <v>12</v>
      </c>
      <c r="H2373" t="s">
        <v>13</v>
      </c>
      <c r="I2373">
        <v>57</v>
      </c>
      <c r="J2373">
        <f>ABS((I2373-EDA!$A$15)/EDA!$B$15)</f>
        <v>1.0600702640157798</v>
      </c>
      <c r="K2373" t="str">
        <f t="shared" si="37"/>
        <v>No</v>
      </c>
      <c r="L2373">
        <f>ABS((C2373-EDA!$F$15)/EDA!$G$15)</f>
        <v>0.36997942492893521</v>
      </c>
      <c r="M2373" t="str">
        <f>IF(moras[[#This Row],[Z-Score Salario]]&gt;1.96, "Sí", "No")</f>
        <v>No</v>
      </c>
      <c r="N2373" s="14">
        <f>IF(ISBLANK(moras[[#This Row],[SALARIO]]), EDA!$M$8, moras[[#This Row],[SALARIO]])</f>
        <v>341004</v>
      </c>
      <c r="O2373" s="14">
        <f xml:space="preserve"> IF(ISBLANK(moras[[#This Row],[EDAD]]), EDA!$E$8, moras[[#This Row],[EDAD]])</f>
        <v>57</v>
      </c>
      <c r="P2373" s="14" t="str">
        <f>IF(
    OR(ISBLANK(moras[[#This Row],[TIPO_ASEGURAMIENTO]]), moras[[#This Row],[TIPO_ASEGURAMIENTO]]=""),
    EDA!$A$32,
    moras[[#This Row],[TIPO_ASEGURAMIENTO]]
)</f>
        <v>ASALARIADO</v>
      </c>
    </row>
    <row r="2374" spans="1:16" x14ac:dyDescent="0.3">
      <c r="A2374">
        <v>2373</v>
      </c>
      <c r="B2374" t="s">
        <v>15</v>
      </c>
      <c r="C2374">
        <v>342644735</v>
      </c>
      <c r="D2374" t="s">
        <v>10</v>
      </c>
      <c r="E2374" t="s">
        <v>11</v>
      </c>
      <c r="F2374" t="s">
        <v>12</v>
      </c>
      <c r="G2374" t="s">
        <v>13</v>
      </c>
      <c r="H2374" t="s">
        <v>13</v>
      </c>
      <c r="I2374">
        <v>42</v>
      </c>
      <c r="J2374">
        <f>ABS((I2374-EDA!$A$15)/EDA!$B$15)</f>
        <v>1.4403128587172659E-3</v>
      </c>
      <c r="K2374" t="str">
        <f t="shared" si="37"/>
        <v>No</v>
      </c>
      <c r="L2374">
        <f>ABS((C2374-EDA!$F$15)/EDA!$G$15)</f>
        <v>5.3261962952899164</v>
      </c>
      <c r="M2374" t="str">
        <f>IF(moras[[#This Row],[Z-Score Salario]]&gt;1.96, "Sí", "No")</f>
        <v>Sí</v>
      </c>
      <c r="N2374" s="14">
        <f>IF(ISBLANK(moras[[#This Row],[SALARIO]]), EDA!$M$8, moras[[#This Row],[SALARIO]])</f>
        <v>342644735</v>
      </c>
      <c r="O2374" s="14">
        <f xml:space="preserve"> IF(ISBLANK(moras[[#This Row],[EDAD]]), EDA!$E$8, moras[[#This Row],[EDAD]])</f>
        <v>42</v>
      </c>
      <c r="P2374" s="14" t="str">
        <f>IF(
    OR(ISBLANK(moras[[#This Row],[TIPO_ASEGURAMIENTO]]), moras[[#This Row],[TIPO_ASEGURAMIENTO]]=""),
    EDA!$A$32,
    moras[[#This Row],[TIPO_ASEGURAMIENTO]]
)</f>
        <v>ASALARIADO</v>
      </c>
    </row>
    <row r="2375" spans="1:16" x14ac:dyDescent="0.3">
      <c r="A2375">
        <v>2374</v>
      </c>
      <c r="B2375" t="s">
        <v>15</v>
      </c>
      <c r="C2375">
        <v>638675</v>
      </c>
      <c r="D2375" t="s">
        <v>10</v>
      </c>
      <c r="E2375" t="s">
        <v>16</v>
      </c>
      <c r="F2375" t="s">
        <v>12</v>
      </c>
      <c r="G2375" t="s">
        <v>13</v>
      </c>
      <c r="H2375" t="s">
        <v>13</v>
      </c>
      <c r="I2375">
        <v>18</v>
      </c>
      <c r="J2375">
        <f>ABS((I2375-EDA!$A$15)/EDA!$B$15)</f>
        <v>1.6923676089925828</v>
      </c>
      <c r="K2375" t="str">
        <f t="shared" si="37"/>
        <v>No</v>
      </c>
      <c r="L2375">
        <f>ABS((C2375-EDA!$F$15)/EDA!$G$15)</f>
        <v>0.36502596935934556</v>
      </c>
      <c r="M2375" t="str">
        <f>IF(moras[[#This Row],[Z-Score Salario]]&gt;1.96, "Sí", "No")</f>
        <v>No</v>
      </c>
      <c r="N2375" s="14">
        <f>IF(ISBLANK(moras[[#This Row],[SALARIO]]), EDA!$M$8, moras[[#This Row],[SALARIO]])</f>
        <v>638675</v>
      </c>
      <c r="O2375" s="14">
        <f xml:space="preserve"> IF(ISBLANK(moras[[#This Row],[EDAD]]), EDA!$E$8, moras[[#This Row],[EDAD]])</f>
        <v>18</v>
      </c>
      <c r="P2375" s="14" t="str">
        <f>IF(
    OR(ISBLANK(moras[[#This Row],[TIPO_ASEGURAMIENTO]]), moras[[#This Row],[TIPO_ASEGURAMIENTO]]=""),
    EDA!$A$32,
    moras[[#This Row],[TIPO_ASEGURAMIENTO]]
)</f>
        <v>ASALARIADO</v>
      </c>
    </row>
    <row r="2376" spans="1:16" x14ac:dyDescent="0.3">
      <c r="A2376">
        <v>2375</v>
      </c>
      <c r="B2376" t="s">
        <v>9</v>
      </c>
      <c r="C2376">
        <v>587574</v>
      </c>
      <c r="D2376" t="s">
        <v>18</v>
      </c>
      <c r="E2376" t="s">
        <v>16</v>
      </c>
      <c r="F2376" t="s">
        <v>12</v>
      </c>
      <c r="G2376" t="s">
        <v>12</v>
      </c>
      <c r="H2376" t="s">
        <v>13</v>
      </c>
      <c r="I2376">
        <v>53</v>
      </c>
      <c r="J2376">
        <f>ABS((I2376-EDA!$A$15)/EDA!$B$15)</f>
        <v>0.77776894370722982</v>
      </c>
      <c r="K2376" t="str">
        <f t="shared" si="37"/>
        <v>No</v>
      </c>
      <c r="L2376">
        <f>ABS((C2376-EDA!$F$15)/EDA!$G$15)</f>
        <v>0.36587632607216475</v>
      </c>
      <c r="M2376" t="str">
        <f>IF(moras[[#This Row],[Z-Score Salario]]&gt;1.96, "Sí", "No")</f>
        <v>No</v>
      </c>
      <c r="N2376" s="14">
        <f>IF(ISBLANK(moras[[#This Row],[SALARIO]]), EDA!$M$8, moras[[#This Row],[SALARIO]])</f>
        <v>587574</v>
      </c>
      <c r="O2376" s="14">
        <f xml:space="preserve"> IF(ISBLANK(moras[[#This Row],[EDAD]]), EDA!$E$8, moras[[#This Row],[EDAD]])</f>
        <v>53</v>
      </c>
      <c r="P2376" s="14" t="str">
        <f>IF(
    OR(ISBLANK(moras[[#This Row],[TIPO_ASEGURAMIENTO]]), moras[[#This Row],[TIPO_ASEGURAMIENTO]]=""),
    EDA!$A$32,
    moras[[#This Row],[TIPO_ASEGURAMIENTO]]
)</f>
        <v>TRABAJADOR INDEPENDIENTE</v>
      </c>
    </row>
    <row r="2377" spans="1:16" x14ac:dyDescent="0.3">
      <c r="A2377">
        <v>2376</v>
      </c>
      <c r="B2377" t="s">
        <v>15</v>
      </c>
      <c r="C2377">
        <v>120000</v>
      </c>
      <c r="D2377" t="s">
        <v>10</v>
      </c>
      <c r="E2377" t="s">
        <v>16</v>
      </c>
      <c r="F2377" t="s">
        <v>12</v>
      </c>
      <c r="G2377" t="s">
        <v>13</v>
      </c>
      <c r="H2377" t="s">
        <v>12</v>
      </c>
      <c r="I2377">
        <v>47</v>
      </c>
      <c r="J2377">
        <f>ABS((I2377-EDA!$A$15)/EDA!$B$15)</f>
        <v>0.35431696324440481</v>
      </c>
      <c r="K2377" t="str">
        <f t="shared" si="37"/>
        <v>No</v>
      </c>
      <c r="L2377">
        <f>ABS((C2377-EDA!$F$15)/EDA!$G$15)</f>
        <v>0.37365708749835447</v>
      </c>
      <c r="M2377" t="str">
        <f>IF(moras[[#This Row],[Z-Score Salario]]&gt;1.96, "Sí", "No")</f>
        <v>No</v>
      </c>
      <c r="N2377" s="14">
        <f>IF(ISBLANK(moras[[#This Row],[SALARIO]]), EDA!$M$8, moras[[#This Row],[SALARIO]])</f>
        <v>120000</v>
      </c>
      <c r="O2377" s="14">
        <f xml:space="preserve"> IF(ISBLANK(moras[[#This Row],[EDAD]]), EDA!$E$8, moras[[#This Row],[EDAD]])</f>
        <v>47</v>
      </c>
      <c r="P2377" s="14" t="str">
        <f>IF(
    OR(ISBLANK(moras[[#This Row],[TIPO_ASEGURAMIENTO]]), moras[[#This Row],[TIPO_ASEGURAMIENTO]]=""),
    EDA!$A$32,
    moras[[#This Row],[TIPO_ASEGURAMIENTO]]
)</f>
        <v>ASALARIADO</v>
      </c>
    </row>
    <row r="2378" spans="1:16" x14ac:dyDescent="0.3">
      <c r="A2378">
        <v>2377</v>
      </c>
      <c r="B2378" t="s">
        <v>9</v>
      </c>
      <c r="C2378">
        <v>49814167</v>
      </c>
      <c r="D2378" t="s">
        <v>10</v>
      </c>
      <c r="E2378" t="s">
        <v>16</v>
      </c>
      <c r="F2378" t="s">
        <v>12</v>
      </c>
      <c r="G2378" t="s">
        <v>13</v>
      </c>
      <c r="H2378" t="s">
        <v>13</v>
      </c>
      <c r="I2378">
        <v>49</v>
      </c>
      <c r="J2378">
        <f>ABS((I2378-EDA!$A$15)/EDA!$B$15)</f>
        <v>0.49546762339867978</v>
      </c>
      <c r="K2378" t="str">
        <f t="shared" si="37"/>
        <v>No</v>
      </c>
      <c r="L2378">
        <f>ABS((C2378-EDA!$F$15)/EDA!$G$15)</f>
        <v>0.45328893110025942</v>
      </c>
      <c r="M2378" t="str">
        <f>IF(moras[[#This Row],[Z-Score Salario]]&gt;1.96, "Sí", "No")</f>
        <v>No</v>
      </c>
      <c r="N2378" s="14">
        <f>IF(ISBLANK(moras[[#This Row],[SALARIO]]), EDA!$M$8, moras[[#This Row],[SALARIO]])</f>
        <v>49814167</v>
      </c>
      <c r="O2378" s="14">
        <f xml:space="preserve"> IF(ISBLANK(moras[[#This Row],[EDAD]]), EDA!$E$8, moras[[#This Row],[EDAD]])</f>
        <v>49</v>
      </c>
      <c r="P2378" s="14" t="str">
        <f>IF(
    OR(ISBLANK(moras[[#This Row],[TIPO_ASEGURAMIENTO]]), moras[[#This Row],[TIPO_ASEGURAMIENTO]]=""),
    EDA!$A$32,
    moras[[#This Row],[TIPO_ASEGURAMIENTO]]
)</f>
        <v>ASALARIADO</v>
      </c>
    </row>
    <row r="2379" spans="1:16" x14ac:dyDescent="0.3">
      <c r="A2379">
        <v>2378</v>
      </c>
      <c r="B2379" t="s">
        <v>9</v>
      </c>
      <c r="C2379">
        <v>56249375</v>
      </c>
      <c r="D2379" t="s">
        <v>10</v>
      </c>
      <c r="E2379" t="s">
        <v>16</v>
      </c>
      <c r="F2379" t="s">
        <v>12</v>
      </c>
      <c r="G2379" t="s">
        <v>13</v>
      </c>
      <c r="H2379" t="s">
        <v>13</v>
      </c>
      <c r="I2379">
        <v>34</v>
      </c>
      <c r="J2379">
        <f>ABS((I2379-EDA!$A$15)/EDA!$B$15)</f>
        <v>0.56316232775838282</v>
      </c>
      <c r="K2379" t="str">
        <f t="shared" si="37"/>
        <v>No</v>
      </c>
      <c r="L2379">
        <f>ABS((C2379-EDA!$F$15)/EDA!$G$15)</f>
        <v>0.56037533491207803</v>
      </c>
      <c r="M2379" t="str">
        <f>IF(moras[[#This Row],[Z-Score Salario]]&gt;1.96, "Sí", "No")</f>
        <v>No</v>
      </c>
      <c r="N2379" s="14">
        <f>IF(ISBLANK(moras[[#This Row],[SALARIO]]), EDA!$M$8, moras[[#This Row],[SALARIO]])</f>
        <v>56249375</v>
      </c>
      <c r="O2379" s="14">
        <f xml:space="preserve"> IF(ISBLANK(moras[[#This Row],[EDAD]]), EDA!$E$8, moras[[#This Row],[EDAD]])</f>
        <v>34</v>
      </c>
      <c r="P2379" s="14" t="str">
        <f>IF(
    OR(ISBLANK(moras[[#This Row],[TIPO_ASEGURAMIENTO]]), moras[[#This Row],[TIPO_ASEGURAMIENTO]]=""),
    EDA!$A$32,
    moras[[#This Row],[TIPO_ASEGURAMIENTO]]
)</f>
        <v>ASALARIADO</v>
      </c>
    </row>
    <row r="2380" spans="1:16" x14ac:dyDescent="0.3">
      <c r="A2380">
        <v>2379</v>
      </c>
      <c r="B2380" t="s">
        <v>9</v>
      </c>
      <c r="C2380">
        <v>464100</v>
      </c>
      <c r="D2380" t="s">
        <v>10</v>
      </c>
      <c r="E2380" t="s">
        <v>16</v>
      </c>
      <c r="F2380" t="s">
        <v>12</v>
      </c>
      <c r="G2380" t="s">
        <v>12</v>
      </c>
      <c r="H2380" t="s">
        <v>13</v>
      </c>
      <c r="I2380">
        <v>29</v>
      </c>
      <c r="J2380">
        <f>ABS((I2380-EDA!$A$15)/EDA!$B$15)</f>
        <v>0.91603897814407031</v>
      </c>
      <c r="K2380" t="str">
        <f t="shared" si="37"/>
        <v>No</v>
      </c>
      <c r="L2380">
        <f>ABS((C2380-EDA!$F$15)/EDA!$G$15)</f>
        <v>0.36793102059396737</v>
      </c>
      <c r="M2380" t="str">
        <f>IF(moras[[#This Row],[Z-Score Salario]]&gt;1.96, "Sí", "No")</f>
        <v>No</v>
      </c>
      <c r="N2380" s="14">
        <f>IF(ISBLANK(moras[[#This Row],[SALARIO]]), EDA!$M$8, moras[[#This Row],[SALARIO]])</f>
        <v>464100</v>
      </c>
      <c r="O2380" s="14">
        <f xml:space="preserve"> IF(ISBLANK(moras[[#This Row],[EDAD]]), EDA!$E$8, moras[[#This Row],[EDAD]])</f>
        <v>29</v>
      </c>
      <c r="P2380" s="14" t="str">
        <f>IF(
    OR(ISBLANK(moras[[#This Row],[TIPO_ASEGURAMIENTO]]), moras[[#This Row],[TIPO_ASEGURAMIENTO]]=""),
    EDA!$A$32,
    moras[[#This Row],[TIPO_ASEGURAMIENTO]]
)</f>
        <v>ASALARIADO</v>
      </c>
    </row>
    <row r="2381" spans="1:16" x14ac:dyDescent="0.3">
      <c r="A2381">
        <v>2380</v>
      </c>
      <c r="B2381" t="s">
        <v>9</v>
      </c>
      <c r="C2381">
        <v>324953</v>
      </c>
      <c r="D2381" t="s">
        <v>17</v>
      </c>
      <c r="E2381" t="s">
        <v>16</v>
      </c>
      <c r="F2381" t="s">
        <v>12</v>
      </c>
      <c r="G2381" t="s">
        <v>13</v>
      </c>
      <c r="H2381" t="s">
        <v>13</v>
      </c>
      <c r="I2381">
        <v>33</v>
      </c>
      <c r="J2381">
        <f>ABS((I2381-EDA!$A$15)/EDA!$B$15)</f>
        <v>0.63373765783552027</v>
      </c>
      <c r="K2381" t="str">
        <f t="shared" si="37"/>
        <v>No</v>
      </c>
      <c r="L2381">
        <f>ABS((C2381-EDA!$F$15)/EDA!$G$15)</f>
        <v>0.37024652489953191</v>
      </c>
      <c r="M2381" t="str">
        <f>IF(moras[[#This Row],[Z-Score Salario]]&gt;1.96, "Sí", "No")</f>
        <v>No</v>
      </c>
      <c r="N2381" s="14">
        <f>IF(ISBLANK(moras[[#This Row],[SALARIO]]), EDA!$M$8, moras[[#This Row],[SALARIO]])</f>
        <v>324953</v>
      </c>
      <c r="O2381" s="14">
        <f xml:space="preserve"> IF(ISBLANK(moras[[#This Row],[EDAD]]), EDA!$E$8, moras[[#This Row],[EDAD]])</f>
        <v>33</v>
      </c>
      <c r="P2381" s="14" t="str">
        <f>IF(
    OR(ISBLANK(moras[[#This Row],[TIPO_ASEGURAMIENTO]]), moras[[#This Row],[TIPO_ASEGURAMIENTO]]=""),
    EDA!$A$32,
    moras[[#This Row],[TIPO_ASEGURAMIENTO]]
)</f>
        <v>ASEGURADO VOLUNTARIO</v>
      </c>
    </row>
    <row r="2382" spans="1:16" x14ac:dyDescent="0.3">
      <c r="A2382">
        <v>2381</v>
      </c>
      <c r="B2382" t="s">
        <v>15</v>
      </c>
      <c r="C2382">
        <v>318550</v>
      </c>
      <c r="D2382" t="s">
        <v>10</v>
      </c>
      <c r="E2382" t="s">
        <v>16</v>
      </c>
      <c r="F2382" t="s">
        <v>12</v>
      </c>
      <c r="G2382" t="s">
        <v>13</v>
      </c>
      <c r="H2382" t="s">
        <v>13</v>
      </c>
      <c r="I2382">
        <v>41</v>
      </c>
      <c r="J2382">
        <f>ABS((I2382-EDA!$A$15)/EDA!$B$15)</f>
        <v>6.9135017218420233E-2</v>
      </c>
      <c r="K2382" t="str">
        <f t="shared" si="37"/>
        <v>No</v>
      </c>
      <c r="L2382">
        <f>ABS((C2382-EDA!$F$15)/EDA!$G$15)</f>
        <v>0.37035307533948769</v>
      </c>
      <c r="M2382" t="str">
        <f>IF(moras[[#This Row],[Z-Score Salario]]&gt;1.96, "Sí", "No")</f>
        <v>No</v>
      </c>
      <c r="N2382" s="14">
        <f>IF(ISBLANK(moras[[#This Row],[SALARIO]]), EDA!$M$8, moras[[#This Row],[SALARIO]])</f>
        <v>318550</v>
      </c>
      <c r="O2382" s="14">
        <f xml:space="preserve"> IF(ISBLANK(moras[[#This Row],[EDAD]]), EDA!$E$8, moras[[#This Row],[EDAD]])</f>
        <v>41</v>
      </c>
      <c r="P2382" s="14" t="str">
        <f>IF(
    OR(ISBLANK(moras[[#This Row],[TIPO_ASEGURAMIENTO]]), moras[[#This Row],[TIPO_ASEGURAMIENTO]]=""),
    EDA!$A$32,
    moras[[#This Row],[TIPO_ASEGURAMIENTO]]
)</f>
        <v>ASALARIADO</v>
      </c>
    </row>
    <row r="2383" spans="1:16" x14ac:dyDescent="0.3">
      <c r="A2383">
        <v>2382</v>
      </c>
      <c r="B2383" t="s">
        <v>9</v>
      </c>
      <c r="C2383">
        <v>33621785</v>
      </c>
      <c r="D2383" t="s">
        <v>10</v>
      </c>
      <c r="E2383" t="s">
        <v>16</v>
      </c>
      <c r="F2383" t="s">
        <v>12</v>
      </c>
      <c r="G2383" t="s">
        <v>12</v>
      </c>
      <c r="H2383" t="s">
        <v>13</v>
      </c>
      <c r="I2383">
        <v>43</v>
      </c>
      <c r="J2383">
        <f>ABS((I2383-EDA!$A$15)/EDA!$B$15)</f>
        <v>7.2015642935854773E-2</v>
      </c>
      <c r="K2383" t="str">
        <f t="shared" si="37"/>
        <v>No</v>
      </c>
      <c r="L2383">
        <f>ABS((C2383-EDA!$F$15)/EDA!$G$15)</f>
        <v>0.18383626422030427</v>
      </c>
      <c r="M2383" t="str">
        <f>IF(moras[[#This Row],[Z-Score Salario]]&gt;1.96, "Sí", "No")</f>
        <v>No</v>
      </c>
      <c r="N2383" s="14">
        <f>IF(ISBLANK(moras[[#This Row],[SALARIO]]), EDA!$M$8, moras[[#This Row],[SALARIO]])</f>
        <v>33621785</v>
      </c>
      <c r="O2383" s="14">
        <f xml:space="preserve"> IF(ISBLANK(moras[[#This Row],[EDAD]]), EDA!$E$8, moras[[#This Row],[EDAD]])</f>
        <v>43</v>
      </c>
      <c r="P2383" s="14" t="str">
        <f>IF(
    OR(ISBLANK(moras[[#This Row],[TIPO_ASEGURAMIENTO]]), moras[[#This Row],[TIPO_ASEGURAMIENTO]]=""),
    EDA!$A$32,
    moras[[#This Row],[TIPO_ASEGURAMIENTO]]
)</f>
        <v>ASALARIADO</v>
      </c>
    </row>
    <row r="2384" spans="1:16" x14ac:dyDescent="0.3">
      <c r="A2384">
        <v>2383</v>
      </c>
      <c r="B2384" t="s">
        <v>9</v>
      </c>
      <c r="C2384">
        <v>297045</v>
      </c>
      <c r="D2384" t="s">
        <v>17</v>
      </c>
      <c r="E2384" t="s">
        <v>16</v>
      </c>
      <c r="F2384" t="s">
        <v>12</v>
      </c>
      <c r="G2384" t="s">
        <v>13</v>
      </c>
      <c r="H2384" t="s">
        <v>13</v>
      </c>
      <c r="I2384">
        <v>24</v>
      </c>
      <c r="J2384">
        <f>ABS((I2384-EDA!$A$15)/EDA!$B$15)</f>
        <v>1.2689156285297578</v>
      </c>
      <c r="K2384" t="str">
        <f t="shared" si="37"/>
        <v>No</v>
      </c>
      <c r="L2384">
        <f>ABS((C2384-EDA!$F$15)/EDA!$G$15)</f>
        <v>0.37071093372012948</v>
      </c>
      <c r="M2384" t="str">
        <f>IF(moras[[#This Row],[Z-Score Salario]]&gt;1.96, "Sí", "No")</f>
        <v>No</v>
      </c>
      <c r="N2384" s="14">
        <f>IF(ISBLANK(moras[[#This Row],[SALARIO]]), EDA!$M$8, moras[[#This Row],[SALARIO]])</f>
        <v>297045</v>
      </c>
      <c r="O2384" s="14">
        <f xml:space="preserve"> IF(ISBLANK(moras[[#This Row],[EDAD]]), EDA!$E$8, moras[[#This Row],[EDAD]])</f>
        <v>24</v>
      </c>
      <c r="P2384" s="14" t="str">
        <f>IF(
    OR(ISBLANK(moras[[#This Row],[TIPO_ASEGURAMIENTO]]), moras[[#This Row],[TIPO_ASEGURAMIENTO]]=""),
    EDA!$A$32,
    moras[[#This Row],[TIPO_ASEGURAMIENTO]]
)</f>
        <v>ASEGURADO VOLUNTARIO</v>
      </c>
    </row>
    <row r="2385" spans="1:16" x14ac:dyDescent="0.3">
      <c r="A2385">
        <v>2384</v>
      </c>
      <c r="B2385" t="s">
        <v>9</v>
      </c>
      <c r="C2385">
        <v>1614330</v>
      </c>
      <c r="D2385" t="s">
        <v>10</v>
      </c>
      <c r="E2385" t="s">
        <v>11</v>
      </c>
      <c r="F2385" t="s">
        <v>12</v>
      </c>
      <c r="G2385" t="s">
        <v>13</v>
      </c>
      <c r="H2385" t="s">
        <v>12</v>
      </c>
      <c r="I2385">
        <v>30</v>
      </c>
      <c r="J2385">
        <f>ABS((I2385-EDA!$A$15)/EDA!$B$15)</f>
        <v>0.84546364806693275</v>
      </c>
      <c r="K2385" t="str">
        <f t="shared" si="37"/>
        <v>No</v>
      </c>
      <c r="L2385">
        <f>ABS((C2385-EDA!$F$15)/EDA!$G$15)</f>
        <v>0.34879038143258084</v>
      </c>
      <c r="M2385" t="str">
        <f>IF(moras[[#This Row],[Z-Score Salario]]&gt;1.96, "Sí", "No")</f>
        <v>No</v>
      </c>
      <c r="N2385" s="14">
        <f>IF(ISBLANK(moras[[#This Row],[SALARIO]]), EDA!$M$8, moras[[#This Row],[SALARIO]])</f>
        <v>1614330</v>
      </c>
      <c r="O2385" s="14">
        <f xml:space="preserve"> IF(ISBLANK(moras[[#This Row],[EDAD]]), EDA!$E$8, moras[[#This Row],[EDAD]])</f>
        <v>30</v>
      </c>
      <c r="P2385" s="14" t="str">
        <f>IF(
    OR(ISBLANK(moras[[#This Row],[TIPO_ASEGURAMIENTO]]), moras[[#This Row],[TIPO_ASEGURAMIENTO]]=""),
    EDA!$A$32,
    moras[[#This Row],[TIPO_ASEGURAMIENTO]]
)</f>
        <v>ASALARIADO</v>
      </c>
    </row>
    <row r="2386" spans="1:16" x14ac:dyDescent="0.3">
      <c r="A2386">
        <v>2385</v>
      </c>
      <c r="B2386" t="s">
        <v>15</v>
      </c>
      <c r="C2386">
        <v>260000</v>
      </c>
      <c r="D2386" t="s">
        <v>10</v>
      </c>
      <c r="E2386" t="s">
        <v>16</v>
      </c>
      <c r="F2386" t="s">
        <v>12</v>
      </c>
      <c r="G2386" t="s">
        <v>13</v>
      </c>
      <c r="H2386" t="s">
        <v>12</v>
      </c>
      <c r="I2386">
        <v>39</v>
      </c>
      <c r="J2386">
        <f>ABS((I2386-EDA!$A$15)/EDA!$B$15)</f>
        <v>0.21028567737269524</v>
      </c>
      <c r="K2386" t="str">
        <f t="shared" si="37"/>
        <v>No</v>
      </c>
      <c r="L2386">
        <f>ABS((C2386-EDA!$F$15)/EDA!$G$15)</f>
        <v>0.37132738867064685</v>
      </c>
      <c r="M2386" t="str">
        <f>IF(moras[[#This Row],[Z-Score Salario]]&gt;1.96, "Sí", "No")</f>
        <v>No</v>
      </c>
      <c r="N2386" s="14">
        <f>IF(ISBLANK(moras[[#This Row],[SALARIO]]), EDA!$M$8, moras[[#This Row],[SALARIO]])</f>
        <v>260000</v>
      </c>
      <c r="O2386" s="14">
        <f xml:space="preserve"> IF(ISBLANK(moras[[#This Row],[EDAD]]), EDA!$E$8, moras[[#This Row],[EDAD]])</f>
        <v>39</v>
      </c>
      <c r="P2386" s="14" t="str">
        <f>IF(
    OR(ISBLANK(moras[[#This Row],[TIPO_ASEGURAMIENTO]]), moras[[#This Row],[TIPO_ASEGURAMIENTO]]=""),
    EDA!$A$32,
    moras[[#This Row],[TIPO_ASEGURAMIENTO]]
)</f>
        <v>ASALARIADO</v>
      </c>
    </row>
    <row r="2387" spans="1:16" x14ac:dyDescent="0.3">
      <c r="A2387">
        <v>2386</v>
      </c>
      <c r="B2387" t="s">
        <v>15</v>
      </c>
      <c r="C2387">
        <v>278030</v>
      </c>
      <c r="D2387" t="s">
        <v>18</v>
      </c>
      <c r="E2387" t="s">
        <v>16</v>
      </c>
      <c r="F2387" t="s">
        <v>12</v>
      </c>
      <c r="G2387" t="s">
        <v>13</v>
      </c>
      <c r="H2387" t="s">
        <v>13</v>
      </c>
      <c r="I2387">
        <v>52</v>
      </c>
      <c r="J2387">
        <f>ABS((I2387-EDA!$A$15)/EDA!$B$15)</f>
        <v>0.70719361363009237</v>
      </c>
      <c r="K2387" t="str">
        <f t="shared" si="37"/>
        <v>No</v>
      </c>
      <c r="L2387">
        <f>ABS((C2387-EDA!$F$15)/EDA!$G$15)</f>
        <v>0.37102735674304993</v>
      </c>
      <c r="M2387" t="str">
        <f>IF(moras[[#This Row],[Z-Score Salario]]&gt;1.96, "Sí", "No")</f>
        <v>No</v>
      </c>
      <c r="N2387" s="14">
        <f>IF(ISBLANK(moras[[#This Row],[SALARIO]]), EDA!$M$8, moras[[#This Row],[SALARIO]])</f>
        <v>278030</v>
      </c>
      <c r="O2387" s="14">
        <f xml:space="preserve"> IF(ISBLANK(moras[[#This Row],[EDAD]]), EDA!$E$8, moras[[#This Row],[EDAD]])</f>
        <v>52</v>
      </c>
      <c r="P2387" s="14" t="str">
        <f>IF(
    OR(ISBLANK(moras[[#This Row],[TIPO_ASEGURAMIENTO]]), moras[[#This Row],[TIPO_ASEGURAMIENTO]]=""),
    EDA!$A$32,
    moras[[#This Row],[TIPO_ASEGURAMIENTO]]
)</f>
        <v>TRABAJADOR INDEPENDIENTE</v>
      </c>
    </row>
    <row r="2388" spans="1:16" x14ac:dyDescent="0.3">
      <c r="A2388">
        <v>2387</v>
      </c>
      <c r="B2388" t="s">
        <v>15</v>
      </c>
      <c r="C2388">
        <v>297046</v>
      </c>
      <c r="D2388" t="s">
        <v>18</v>
      </c>
      <c r="E2388" t="s">
        <v>16</v>
      </c>
      <c r="F2388" t="s">
        <v>12</v>
      </c>
      <c r="G2388" t="s">
        <v>13</v>
      </c>
      <c r="H2388" t="s">
        <v>12</v>
      </c>
      <c r="I2388">
        <v>40</v>
      </c>
      <c r="J2388">
        <f>ABS((I2388-EDA!$A$15)/EDA!$B$15)</f>
        <v>0.13971034729555773</v>
      </c>
      <c r="K2388" t="str">
        <f t="shared" si="37"/>
        <v>No</v>
      </c>
      <c r="L2388">
        <f>ABS((C2388-EDA!$F$15)/EDA!$G$15)</f>
        <v>0.37071091707942361</v>
      </c>
      <c r="M2388" t="str">
        <f>IF(moras[[#This Row],[Z-Score Salario]]&gt;1.96, "Sí", "No")</f>
        <v>No</v>
      </c>
      <c r="N2388" s="14">
        <f>IF(ISBLANK(moras[[#This Row],[SALARIO]]), EDA!$M$8, moras[[#This Row],[SALARIO]])</f>
        <v>297046</v>
      </c>
      <c r="O2388" s="14">
        <f xml:space="preserve"> IF(ISBLANK(moras[[#This Row],[EDAD]]), EDA!$E$8, moras[[#This Row],[EDAD]])</f>
        <v>40</v>
      </c>
      <c r="P2388" s="14" t="str">
        <f>IF(
    OR(ISBLANK(moras[[#This Row],[TIPO_ASEGURAMIENTO]]), moras[[#This Row],[TIPO_ASEGURAMIENTO]]=""),
    EDA!$A$32,
    moras[[#This Row],[TIPO_ASEGURAMIENTO]]
)</f>
        <v>TRABAJADOR INDEPENDIENTE</v>
      </c>
    </row>
    <row r="2389" spans="1:16" x14ac:dyDescent="0.3">
      <c r="A2389">
        <v>2388</v>
      </c>
      <c r="B2389" t="s">
        <v>9</v>
      </c>
      <c r="C2389">
        <v>4917062</v>
      </c>
      <c r="D2389" t="s">
        <v>10</v>
      </c>
      <c r="E2389" t="s">
        <v>16</v>
      </c>
      <c r="F2389" t="s">
        <v>12</v>
      </c>
      <c r="G2389" t="s">
        <v>13</v>
      </c>
      <c r="H2389" t="s">
        <v>13</v>
      </c>
      <c r="I2389">
        <v>50</v>
      </c>
      <c r="J2389">
        <f>ABS((I2389-EDA!$A$15)/EDA!$B$15)</f>
        <v>0.56604295347581735</v>
      </c>
      <c r="K2389" t="str">
        <f t="shared" si="37"/>
        <v>No</v>
      </c>
      <c r="L2389">
        <f>ABS((C2389-EDA!$F$15)/EDA!$G$15)</f>
        <v>0.29383058951377805</v>
      </c>
      <c r="M2389" t="str">
        <f>IF(moras[[#This Row],[Z-Score Salario]]&gt;1.96, "Sí", "No")</f>
        <v>No</v>
      </c>
      <c r="N2389" s="14">
        <f>IF(ISBLANK(moras[[#This Row],[SALARIO]]), EDA!$M$8, moras[[#This Row],[SALARIO]])</f>
        <v>4917062</v>
      </c>
      <c r="O2389" s="14">
        <f xml:space="preserve"> IF(ISBLANK(moras[[#This Row],[EDAD]]), EDA!$E$8, moras[[#This Row],[EDAD]])</f>
        <v>50</v>
      </c>
      <c r="P2389" s="14" t="str">
        <f>IF(
    OR(ISBLANK(moras[[#This Row],[TIPO_ASEGURAMIENTO]]), moras[[#This Row],[TIPO_ASEGURAMIENTO]]=""),
    EDA!$A$32,
    moras[[#This Row],[TIPO_ASEGURAMIENTO]]
)</f>
        <v>ASALARIADO</v>
      </c>
    </row>
    <row r="2390" spans="1:16" x14ac:dyDescent="0.3">
      <c r="A2390">
        <v>2389</v>
      </c>
      <c r="B2390" t="s">
        <v>9</v>
      </c>
      <c r="C2390">
        <v>1308403</v>
      </c>
      <c r="D2390" t="s">
        <v>10</v>
      </c>
      <c r="E2390" t="s">
        <v>11</v>
      </c>
      <c r="F2390" t="s">
        <v>12</v>
      </c>
      <c r="G2390" t="s">
        <v>13</v>
      </c>
      <c r="H2390" t="s">
        <v>13</v>
      </c>
      <c r="I2390">
        <v>40</v>
      </c>
      <c r="J2390">
        <f>ABS((I2390-EDA!$A$15)/EDA!$B$15)</f>
        <v>0.13971034729555773</v>
      </c>
      <c r="K2390" t="str">
        <f t="shared" si="37"/>
        <v>No</v>
      </c>
      <c r="L2390">
        <f>ABS((C2390-EDA!$F$15)/EDA!$G$15)</f>
        <v>0.35388122267018157</v>
      </c>
      <c r="M2390" t="str">
        <f>IF(moras[[#This Row],[Z-Score Salario]]&gt;1.96, "Sí", "No")</f>
        <v>No</v>
      </c>
      <c r="N2390" s="14">
        <f>IF(ISBLANK(moras[[#This Row],[SALARIO]]), EDA!$M$8, moras[[#This Row],[SALARIO]])</f>
        <v>1308403</v>
      </c>
      <c r="O2390" s="14">
        <f xml:space="preserve"> IF(ISBLANK(moras[[#This Row],[EDAD]]), EDA!$E$8, moras[[#This Row],[EDAD]])</f>
        <v>40</v>
      </c>
      <c r="P2390" s="14" t="str">
        <f>IF(
    OR(ISBLANK(moras[[#This Row],[TIPO_ASEGURAMIENTO]]), moras[[#This Row],[TIPO_ASEGURAMIENTO]]=""),
    EDA!$A$32,
    moras[[#This Row],[TIPO_ASEGURAMIENTO]]
)</f>
        <v>ASALARIADO</v>
      </c>
    </row>
    <row r="2391" spans="1:16" x14ac:dyDescent="0.3">
      <c r="A2391">
        <v>2390</v>
      </c>
      <c r="B2391" t="s">
        <v>9</v>
      </c>
      <c r="C2391">
        <v>278030</v>
      </c>
      <c r="D2391" t="s">
        <v>19</v>
      </c>
      <c r="E2391" t="s">
        <v>16</v>
      </c>
      <c r="F2391" t="s">
        <v>12</v>
      </c>
      <c r="G2391" t="s">
        <v>13</v>
      </c>
      <c r="H2391" t="s">
        <v>13</v>
      </c>
      <c r="I2391">
        <v>28</v>
      </c>
      <c r="J2391">
        <f>ABS((I2391-EDA!$A$15)/EDA!$B$15)</f>
        <v>0.98661430822120777</v>
      </c>
      <c r="K2391" t="str">
        <f t="shared" si="37"/>
        <v>No</v>
      </c>
      <c r="L2391">
        <f>ABS((C2391-EDA!$F$15)/EDA!$G$15)</f>
        <v>0.37102735674304993</v>
      </c>
      <c r="M2391" t="str">
        <f>IF(moras[[#This Row],[Z-Score Salario]]&gt;1.96, "Sí", "No")</f>
        <v>No</v>
      </c>
      <c r="N2391" s="14">
        <f>IF(ISBLANK(moras[[#This Row],[SALARIO]]), EDA!$M$8, moras[[#This Row],[SALARIO]])</f>
        <v>278030</v>
      </c>
      <c r="O2391" s="14">
        <f xml:space="preserve"> IF(ISBLANK(moras[[#This Row],[EDAD]]), EDA!$E$8, moras[[#This Row],[EDAD]])</f>
        <v>28</v>
      </c>
      <c r="P2391" s="14" t="str">
        <f>IF(
    OR(ISBLANK(moras[[#This Row],[TIPO_ASEGURAMIENTO]]), moras[[#This Row],[TIPO_ASEGURAMIENTO]]=""),
    EDA!$A$32,
    moras[[#This Row],[TIPO_ASEGURAMIENTO]]
)</f>
        <v>CONVENIOS ESPECIALES DE TRABAJADORES INDEPENDIENTES</v>
      </c>
    </row>
    <row r="2392" spans="1:16" x14ac:dyDescent="0.3">
      <c r="A2392">
        <v>2391</v>
      </c>
      <c r="B2392" t="s">
        <v>9</v>
      </c>
      <c r="C2392">
        <v>338629</v>
      </c>
      <c r="D2392" t="s">
        <v>18</v>
      </c>
      <c r="E2392" t="s">
        <v>16</v>
      </c>
      <c r="F2392" t="s">
        <v>12</v>
      </c>
      <c r="G2392" t="s">
        <v>13</v>
      </c>
      <c r="H2392" t="s">
        <v>12</v>
      </c>
      <c r="I2392">
        <v>39</v>
      </c>
      <c r="J2392">
        <f>ABS((I2392-EDA!$A$15)/EDA!$B$15)</f>
        <v>0.21028567737269524</v>
      </c>
      <c r="K2392" t="str">
        <f t="shared" si="37"/>
        <v>No</v>
      </c>
      <c r="L2392">
        <f>ABS((C2392-EDA!$F$15)/EDA!$G$15)</f>
        <v>0.37001894660547668</v>
      </c>
      <c r="M2392" t="str">
        <f>IF(moras[[#This Row],[Z-Score Salario]]&gt;1.96, "Sí", "No")</f>
        <v>No</v>
      </c>
      <c r="N2392" s="14">
        <f>IF(ISBLANK(moras[[#This Row],[SALARIO]]), EDA!$M$8, moras[[#This Row],[SALARIO]])</f>
        <v>338629</v>
      </c>
      <c r="O2392" s="14">
        <f xml:space="preserve"> IF(ISBLANK(moras[[#This Row],[EDAD]]), EDA!$E$8, moras[[#This Row],[EDAD]])</f>
        <v>39</v>
      </c>
      <c r="P2392" s="14" t="str">
        <f>IF(
    OR(ISBLANK(moras[[#This Row],[TIPO_ASEGURAMIENTO]]), moras[[#This Row],[TIPO_ASEGURAMIENTO]]=""),
    EDA!$A$32,
    moras[[#This Row],[TIPO_ASEGURAMIENTO]]
)</f>
        <v>TRABAJADOR INDEPENDIENTE</v>
      </c>
    </row>
    <row r="2393" spans="1:16" x14ac:dyDescent="0.3">
      <c r="A2393">
        <v>2392</v>
      </c>
      <c r="B2393" t="s">
        <v>9</v>
      </c>
      <c r="C2393">
        <v>639148</v>
      </c>
      <c r="D2393" t="s">
        <v>18</v>
      </c>
      <c r="E2393" t="s">
        <v>16</v>
      </c>
      <c r="F2393" t="s">
        <v>12</v>
      </c>
      <c r="G2393" t="s">
        <v>13</v>
      </c>
      <c r="H2393" t="s">
        <v>13</v>
      </c>
      <c r="I2393">
        <v>48</v>
      </c>
      <c r="J2393">
        <f>ABS((I2393-EDA!$A$15)/EDA!$B$15)</f>
        <v>0.42489229332154227</v>
      </c>
      <c r="K2393" t="str">
        <f t="shared" si="37"/>
        <v>No</v>
      </c>
      <c r="L2393">
        <f>ABS((C2393-EDA!$F$15)/EDA!$G$15)</f>
        <v>0.36501809830544912</v>
      </c>
      <c r="M2393" t="str">
        <f>IF(moras[[#This Row],[Z-Score Salario]]&gt;1.96, "Sí", "No")</f>
        <v>No</v>
      </c>
      <c r="N2393" s="14">
        <f>IF(ISBLANK(moras[[#This Row],[SALARIO]]), EDA!$M$8, moras[[#This Row],[SALARIO]])</f>
        <v>639148</v>
      </c>
      <c r="O2393" s="14">
        <f xml:space="preserve"> IF(ISBLANK(moras[[#This Row],[EDAD]]), EDA!$E$8, moras[[#This Row],[EDAD]])</f>
        <v>48</v>
      </c>
      <c r="P2393" s="14" t="str">
        <f>IF(
    OR(ISBLANK(moras[[#This Row],[TIPO_ASEGURAMIENTO]]), moras[[#This Row],[TIPO_ASEGURAMIENTO]]=""),
    EDA!$A$32,
    moras[[#This Row],[TIPO_ASEGURAMIENTO]]
)</f>
        <v>TRABAJADOR INDEPENDIENTE</v>
      </c>
    </row>
    <row r="2394" spans="1:16" x14ac:dyDescent="0.3">
      <c r="A2394">
        <v>2393</v>
      </c>
      <c r="B2394" t="s">
        <v>9</v>
      </c>
      <c r="C2394">
        <v>869420</v>
      </c>
      <c r="D2394" t="s">
        <v>10</v>
      </c>
      <c r="E2394" t="s">
        <v>11</v>
      </c>
      <c r="F2394" t="s">
        <v>12</v>
      </c>
      <c r="G2394" t="s">
        <v>13</v>
      </c>
      <c r="H2394" t="s">
        <v>12</v>
      </c>
      <c r="I2394">
        <v>46</v>
      </c>
      <c r="J2394">
        <f>ABS((I2394-EDA!$A$15)/EDA!$B$15)</f>
        <v>0.2837416331672673</v>
      </c>
      <c r="K2394" t="str">
        <f t="shared" si="37"/>
        <v>No</v>
      </c>
      <c r="L2394">
        <f>ABS((C2394-EDA!$F$15)/EDA!$G$15)</f>
        <v>0.36118620967363563</v>
      </c>
      <c r="M2394" t="str">
        <f>IF(moras[[#This Row],[Z-Score Salario]]&gt;1.96, "Sí", "No")</f>
        <v>No</v>
      </c>
      <c r="N2394" s="14">
        <f>IF(ISBLANK(moras[[#This Row],[SALARIO]]), EDA!$M$8, moras[[#This Row],[SALARIO]])</f>
        <v>869420</v>
      </c>
      <c r="O2394" s="14">
        <f xml:space="preserve"> IF(ISBLANK(moras[[#This Row],[EDAD]]), EDA!$E$8, moras[[#This Row],[EDAD]])</f>
        <v>46</v>
      </c>
      <c r="P2394" s="14" t="str">
        <f>IF(
    OR(ISBLANK(moras[[#This Row],[TIPO_ASEGURAMIENTO]]), moras[[#This Row],[TIPO_ASEGURAMIENTO]]=""),
    EDA!$A$32,
    moras[[#This Row],[TIPO_ASEGURAMIENTO]]
)</f>
        <v>ASALARIADO</v>
      </c>
    </row>
    <row r="2395" spans="1:16" x14ac:dyDescent="0.3">
      <c r="A2395">
        <v>2394</v>
      </c>
      <c r="B2395" t="s">
        <v>9</v>
      </c>
      <c r="C2395">
        <v>86400</v>
      </c>
      <c r="D2395" t="s">
        <v>10</v>
      </c>
      <c r="E2395" t="s">
        <v>16</v>
      </c>
      <c r="F2395" t="s">
        <v>12</v>
      </c>
      <c r="G2395" t="s">
        <v>13</v>
      </c>
      <c r="H2395" t="s">
        <v>13</v>
      </c>
      <c r="I2395">
        <v>24</v>
      </c>
      <c r="J2395">
        <f>ABS((I2395-EDA!$A$15)/EDA!$B$15)</f>
        <v>1.2689156285297578</v>
      </c>
      <c r="K2395" t="str">
        <f t="shared" si="37"/>
        <v>No</v>
      </c>
      <c r="L2395">
        <f>ABS((C2395-EDA!$F$15)/EDA!$G$15)</f>
        <v>0.37421621521700427</v>
      </c>
      <c r="M2395" t="str">
        <f>IF(moras[[#This Row],[Z-Score Salario]]&gt;1.96, "Sí", "No")</f>
        <v>No</v>
      </c>
      <c r="N2395" s="14">
        <f>IF(ISBLANK(moras[[#This Row],[SALARIO]]), EDA!$M$8, moras[[#This Row],[SALARIO]])</f>
        <v>86400</v>
      </c>
      <c r="O2395" s="14">
        <f xml:space="preserve"> IF(ISBLANK(moras[[#This Row],[EDAD]]), EDA!$E$8, moras[[#This Row],[EDAD]])</f>
        <v>24</v>
      </c>
      <c r="P2395" s="14" t="str">
        <f>IF(
    OR(ISBLANK(moras[[#This Row],[TIPO_ASEGURAMIENTO]]), moras[[#This Row],[TIPO_ASEGURAMIENTO]]=""),
    EDA!$A$32,
    moras[[#This Row],[TIPO_ASEGURAMIENTO]]
)</f>
        <v>ASALARIADO</v>
      </c>
    </row>
    <row r="2396" spans="1:16" x14ac:dyDescent="0.3">
      <c r="A2396">
        <v>2395</v>
      </c>
      <c r="B2396" t="s">
        <v>15</v>
      </c>
      <c r="C2396">
        <v>466740</v>
      </c>
      <c r="D2396" t="s">
        <v>10</v>
      </c>
      <c r="E2396" t="s">
        <v>11</v>
      </c>
      <c r="F2396" t="s">
        <v>12</v>
      </c>
      <c r="G2396" t="s">
        <v>13</v>
      </c>
      <c r="H2396" t="s">
        <v>12</v>
      </c>
      <c r="I2396">
        <v>35</v>
      </c>
      <c r="J2396">
        <f>ABS((I2396-EDA!$A$15)/EDA!$B$15)</f>
        <v>0.49258699768124525</v>
      </c>
      <c r="K2396" t="str">
        <f t="shared" si="37"/>
        <v>No</v>
      </c>
      <c r="L2396">
        <f>ABS((C2396-EDA!$F$15)/EDA!$G$15)</f>
        <v>0.36788708913035917</v>
      </c>
      <c r="M2396" t="str">
        <f>IF(moras[[#This Row],[Z-Score Salario]]&gt;1.96, "Sí", "No")</f>
        <v>No</v>
      </c>
      <c r="N2396" s="14">
        <f>IF(ISBLANK(moras[[#This Row],[SALARIO]]), EDA!$M$8, moras[[#This Row],[SALARIO]])</f>
        <v>466740</v>
      </c>
      <c r="O2396" s="14">
        <f xml:space="preserve"> IF(ISBLANK(moras[[#This Row],[EDAD]]), EDA!$E$8, moras[[#This Row],[EDAD]])</f>
        <v>35</v>
      </c>
      <c r="P2396" s="14" t="str">
        <f>IF(
    OR(ISBLANK(moras[[#This Row],[TIPO_ASEGURAMIENTO]]), moras[[#This Row],[TIPO_ASEGURAMIENTO]]=""),
    EDA!$A$32,
    moras[[#This Row],[TIPO_ASEGURAMIENTO]]
)</f>
        <v>ASALARIADO</v>
      </c>
    </row>
    <row r="2397" spans="1:16" x14ac:dyDescent="0.3">
      <c r="A2397">
        <v>2396</v>
      </c>
      <c r="B2397" t="s">
        <v>15</v>
      </c>
      <c r="C2397">
        <v>319560</v>
      </c>
      <c r="D2397" t="s">
        <v>10</v>
      </c>
      <c r="E2397" t="s">
        <v>16</v>
      </c>
      <c r="F2397" t="s">
        <v>12</v>
      </c>
      <c r="G2397" t="s">
        <v>13</v>
      </c>
      <c r="H2397" t="s">
        <v>12</v>
      </c>
      <c r="I2397">
        <v>30</v>
      </c>
      <c r="J2397">
        <f>ABS((I2397-EDA!$A$15)/EDA!$B$15)</f>
        <v>0.84546364806693275</v>
      </c>
      <c r="K2397" t="str">
        <f t="shared" si="37"/>
        <v>No</v>
      </c>
      <c r="L2397">
        <f>ABS((C2397-EDA!$F$15)/EDA!$G$15)</f>
        <v>0.37033626822651639</v>
      </c>
      <c r="M2397" t="str">
        <f>IF(moras[[#This Row],[Z-Score Salario]]&gt;1.96, "Sí", "No")</f>
        <v>No</v>
      </c>
      <c r="N2397" s="14">
        <f>IF(ISBLANK(moras[[#This Row],[SALARIO]]), EDA!$M$8, moras[[#This Row],[SALARIO]])</f>
        <v>319560</v>
      </c>
      <c r="O2397" s="14">
        <f xml:space="preserve"> IF(ISBLANK(moras[[#This Row],[EDAD]]), EDA!$E$8, moras[[#This Row],[EDAD]])</f>
        <v>30</v>
      </c>
      <c r="P2397" s="14" t="str">
        <f>IF(
    OR(ISBLANK(moras[[#This Row],[TIPO_ASEGURAMIENTO]]), moras[[#This Row],[TIPO_ASEGURAMIENTO]]=""),
    EDA!$A$32,
    moras[[#This Row],[TIPO_ASEGURAMIENTO]]
)</f>
        <v>ASALARIADO</v>
      </c>
    </row>
    <row r="2398" spans="1:16" x14ac:dyDescent="0.3">
      <c r="A2398">
        <v>2397</v>
      </c>
      <c r="B2398" t="s">
        <v>9</v>
      </c>
      <c r="C2398">
        <v>54557925</v>
      </c>
      <c r="D2398" t="s">
        <v>10</v>
      </c>
      <c r="E2398" t="s">
        <v>16</v>
      </c>
      <c r="F2398" t="s">
        <v>12</v>
      </c>
      <c r="G2398" t="s">
        <v>13</v>
      </c>
      <c r="H2398" t="s">
        <v>13</v>
      </c>
      <c r="I2398">
        <v>39</v>
      </c>
      <c r="J2398">
        <f>ABS((I2398-EDA!$A$15)/EDA!$B$15)</f>
        <v>0.21028567737269524</v>
      </c>
      <c r="K2398" t="str">
        <f t="shared" si="37"/>
        <v>No</v>
      </c>
      <c r="L2398">
        <f>ABS((C2398-EDA!$F$15)/EDA!$G$15)</f>
        <v>0.53222841289689204</v>
      </c>
      <c r="M2398" t="str">
        <f>IF(moras[[#This Row],[Z-Score Salario]]&gt;1.96, "Sí", "No")</f>
        <v>No</v>
      </c>
      <c r="N2398" s="14">
        <f>IF(ISBLANK(moras[[#This Row],[SALARIO]]), EDA!$M$8, moras[[#This Row],[SALARIO]])</f>
        <v>54557925</v>
      </c>
      <c r="O2398" s="14">
        <f xml:space="preserve"> IF(ISBLANK(moras[[#This Row],[EDAD]]), EDA!$E$8, moras[[#This Row],[EDAD]])</f>
        <v>39</v>
      </c>
      <c r="P2398" s="14" t="str">
        <f>IF(
    OR(ISBLANK(moras[[#This Row],[TIPO_ASEGURAMIENTO]]), moras[[#This Row],[TIPO_ASEGURAMIENTO]]=""),
    EDA!$A$32,
    moras[[#This Row],[TIPO_ASEGURAMIENTO]]
)</f>
        <v>ASALARIADO</v>
      </c>
    </row>
    <row r="2399" spans="1:16" x14ac:dyDescent="0.3">
      <c r="A2399">
        <v>2398</v>
      </c>
      <c r="B2399" t="s">
        <v>9</v>
      </c>
      <c r="C2399">
        <v>297046</v>
      </c>
      <c r="D2399" t="s">
        <v>18</v>
      </c>
      <c r="E2399" t="s">
        <v>16</v>
      </c>
      <c r="F2399" t="s">
        <v>12</v>
      </c>
      <c r="G2399" t="s">
        <v>12</v>
      </c>
      <c r="H2399" t="s">
        <v>12</v>
      </c>
      <c r="I2399">
        <v>43</v>
      </c>
      <c r="J2399">
        <f>ABS((I2399-EDA!$A$15)/EDA!$B$15)</f>
        <v>7.2015642935854773E-2</v>
      </c>
      <c r="K2399" t="str">
        <f t="shared" si="37"/>
        <v>No</v>
      </c>
      <c r="L2399">
        <f>ABS((C2399-EDA!$F$15)/EDA!$G$15)</f>
        <v>0.37071091707942361</v>
      </c>
      <c r="M2399" t="str">
        <f>IF(moras[[#This Row],[Z-Score Salario]]&gt;1.96, "Sí", "No")</f>
        <v>No</v>
      </c>
      <c r="N2399" s="14">
        <f>IF(ISBLANK(moras[[#This Row],[SALARIO]]), EDA!$M$8, moras[[#This Row],[SALARIO]])</f>
        <v>297046</v>
      </c>
      <c r="O2399" s="14">
        <f xml:space="preserve"> IF(ISBLANK(moras[[#This Row],[EDAD]]), EDA!$E$8, moras[[#This Row],[EDAD]])</f>
        <v>43</v>
      </c>
      <c r="P2399" s="14" t="str">
        <f>IF(
    OR(ISBLANK(moras[[#This Row],[TIPO_ASEGURAMIENTO]]), moras[[#This Row],[TIPO_ASEGURAMIENTO]]=""),
    EDA!$A$32,
    moras[[#This Row],[TIPO_ASEGURAMIENTO]]
)</f>
        <v>TRABAJADOR INDEPENDIENTE</v>
      </c>
    </row>
    <row r="2400" spans="1:16" x14ac:dyDescent="0.3">
      <c r="A2400">
        <v>2399</v>
      </c>
      <c r="B2400" t="s">
        <v>9</v>
      </c>
      <c r="C2400">
        <v>46433596</v>
      </c>
      <c r="D2400" t="s">
        <v>10</v>
      </c>
      <c r="E2400" t="s">
        <v>16</v>
      </c>
      <c r="F2400" t="s">
        <v>12</v>
      </c>
      <c r="G2400" t="s">
        <v>13</v>
      </c>
      <c r="H2400" t="s">
        <v>13</v>
      </c>
      <c r="I2400">
        <v>54</v>
      </c>
      <c r="J2400">
        <f>ABS((I2400-EDA!$A$15)/EDA!$B$15)</f>
        <v>0.84834427378436728</v>
      </c>
      <c r="K2400" t="str">
        <f t="shared" si="37"/>
        <v>No</v>
      </c>
      <c r="L2400">
        <f>ABS((C2400-EDA!$F$15)/EDA!$G$15)</f>
        <v>0.39703384327395708</v>
      </c>
      <c r="M2400" t="str">
        <f>IF(moras[[#This Row],[Z-Score Salario]]&gt;1.96, "Sí", "No")</f>
        <v>No</v>
      </c>
      <c r="N2400" s="14">
        <f>IF(ISBLANK(moras[[#This Row],[SALARIO]]), EDA!$M$8, moras[[#This Row],[SALARIO]])</f>
        <v>46433596</v>
      </c>
      <c r="O2400" s="14">
        <f xml:space="preserve"> IF(ISBLANK(moras[[#This Row],[EDAD]]), EDA!$E$8, moras[[#This Row],[EDAD]])</f>
        <v>54</v>
      </c>
      <c r="P2400" s="14" t="str">
        <f>IF(
    OR(ISBLANK(moras[[#This Row],[TIPO_ASEGURAMIENTO]]), moras[[#This Row],[TIPO_ASEGURAMIENTO]]=""),
    EDA!$A$32,
    moras[[#This Row],[TIPO_ASEGURAMIENTO]]
)</f>
        <v>ASALARIADO</v>
      </c>
    </row>
    <row r="2401" spans="1:16" x14ac:dyDescent="0.3">
      <c r="A2401">
        <v>2400</v>
      </c>
      <c r="B2401" t="s">
        <v>9</v>
      </c>
      <c r="C2401">
        <v>35000</v>
      </c>
      <c r="D2401" t="s">
        <v>10</v>
      </c>
      <c r="E2401" t="s">
        <v>16</v>
      </c>
      <c r="F2401" t="s">
        <v>12</v>
      </c>
      <c r="G2401" t="s">
        <v>13</v>
      </c>
      <c r="H2401" t="s">
        <v>13</v>
      </c>
      <c r="I2401">
        <v>34</v>
      </c>
      <c r="J2401">
        <f>ABS((I2401-EDA!$A$15)/EDA!$B$15)</f>
        <v>0.56316232775838282</v>
      </c>
      <c r="K2401" t="str">
        <f t="shared" si="37"/>
        <v>No</v>
      </c>
      <c r="L2401">
        <f>ABS((C2401-EDA!$F$15)/EDA!$G$15)</f>
        <v>0.37507154750089122</v>
      </c>
      <c r="M2401" t="str">
        <f>IF(moras[[#This Row],[Z-Score Salario]]&gt;1.96, "Sí", "No")</f>
        <v>No</v>
      </c>
      <c r="N2401" s="14">
        <f>IF(ISBLANK(moras[[#This Row],[SALARIO]]), EDA!$M$8, moras[[#This Row],[SALARIO]])</f>
        <v>35000</v>
      </c>
      <c r="O2401" s="14">
        <f xml:space="preserve"> IF(ISBLANK(moras[[#This Row],[EDAD]]), EDA!$E$8, moras[[#This Row],[EDAD]])</f>
        <v>34</v>
      </c>
      <c r="P2401" s="14" t="str">
        <f>IF(
    OR(ISBLANK(moras[[#This Row],[TIPO_ASEGURAMIENTO]]), moras[[#This Row],[TIPO_ASEGURAMIENTO]]=""),
    EDA!$A$32,
    moras[[#This Row],[TIPO_ASEGURAMIENTO]]
)</f>
        <v>ASALARIADO</v>
      </c>
    </row>
    <row r="2402" spans="1:16" x14ac:dyDescent="0.3">
      <c r="A2402">
        <v>2401</v>
      </c>
      <c r="B2402" t="s">
        <v>9</v>
      </c>
      <c r="C2402">
        <v>344805</v>
      </c>
      <c r="D2402" t="s">
        <v>10</v>
      </c>
      <c r="E2402" t="s">
        <v>16</v>
      </c>
      <c r="F2402" t="s">
        <v>12</v>
      </c>
      <c r="G2402" t="s">
        <v>13</v>
      </c>
      <c r="H2402" t="s">
        <v>13</v>
      </c>
      <c r="I2402">
        <v>47</v>
      </c>
      <c r="J2402">
        <f>ABS((I2402-EDA!$A$15)/EDA!$B$15)</f>
        <v>0.35431696324440481</v>
      </c>
      <c r="K2402" t="str">
        <f t="shared" si="37"/>
        <v>No</v>
      </c>
      <c r="L2402">
        <f>ABS((C2402-EDA!$F$15)/EDA!$G$15)</f>
        <v>0.36991617360576295</v>
      </c>
      <c r="M2402" t="str">
        <f>IF(moras[[#This Row],[Z-Score Salario]]&gt;1.96, "Sí", "No")</f>
        <v>No</v>
      </c>
      <c r="N2402" s="14">
        <f>IF(ISBLANK(moras[[#This Row],[SALARIO]]), EDA!$M$8, moras[[#This Row],[SALARIO]])</f>
        <v>344805</v>
      </c>
      <c r="O2402" s="14">
        <f xml:space="preserve"> IF(ISBLANK(moras[[#This Row],[EDAD]]), EDA!$E$8, moras[[#This Row],[EDAD]])</f>
        <v>47</v>
      </c>
      <c r="P2402" s="14" t="str">
        <f>IF(
    OR(ISBLANK(moras[[#This Row],[TIPO_ASEGURAMIENTO]]), moras[[#This Row],[TIPO_ASEGURAMIENTO]]=""),
    EDA!$A$32,
    moras[[#This Row],[TIPO_ASEGURAMIENTO]]
)</f>
        <v>ASALARIADO</v>
      </c>
    </row>
    <row r="2403" spans="1:16" x14ac:dyDescent="0.3">
      <c r="A2403">
        <v>2402</v>
      </c>
      <c r="B2403" t="s">
        <v>15</v>
      </c>
      <c r="C2403">
        <v>323562</v>
      </c>
      <c r="D2403" t="s">
        <v>18</v>
      </c>
      <c r="E2403" t="s">
        <v>16</v>
      </c>
      <c r="F2403" t="s">
        <v>12</v>
      </c>
      <c r="G2403" t="s">
        <v>13</v>
      </c>
      <c r="H2403" t="s">
        <v>12</v>
      </c>
      <c r="I2403">
        <v>38</v>
      </c>
      <c r="J2403">
        <f>ABS((I2403-EDA!$A$15)/EDA!$B$15)</f>
        <v>0.28086100744983278</v>
      </c>
      <c r="K2403" t="str">
        <f t="shared" si="37"/>
        <v>No</v>
      </c>
      <c r="L2403">
        <f>ABS((C2403-EDA!$F$15)/EDA!$G$15)</f>
        <v>0.37026967212145578</v>
      </c>
      <c r="M2403" t="str">
        <f>IF(moras[[#This Row],[Z-Score Salario]]&gt;1.96, "Sí", "No")</f>
        <v>No</v>
      </c>
      <c r="N2403" s="14">
        <f>IF(ISBLANK(moras[[#This Row],[SALARIO]]), EDA!$M$8, moras[[#This Row],[SALARIO]])</f>
        <v>323562</v>
      </c>
      <c r="O2403" s="14">
        <f xml:space="preserve"> IF(ISBLANK(moras[[#This Row],[EDAD]]), EDA!$E$8, moras[[#This Row],[EDAD]])</f>
        <v>38</v>
      </c>
      <c r="P2403" s="14" t="str">
        <f>IF(
    OR(ISBLANK(moras[[#This Row],[TIPO_ASEGURAMIENTO]]), moras[[#This Row],[TIPO_ASEGURAMIENTO]]=""),
    EDA!$A$32,
    moras[[#This Row],[TIPO_ASEGURAMIENTO]]
)</f>
        <v>TRABAJADOR INDEPENDIENTE</v>
      </c>
    </row>
    <row r="2404" spans="1:16" x14ac:dyDescent="0.3">
      <c r="A2404">
        <v>2403</v>
      </c>
      <c r="B2404" t="s">
        <v>15</v>
      </c>
      <c r="C2404">
        <v>1095589</v>
      </c>
      <c r="D2404" t="s">
        <v>10</v>
      </c>
      <c r="E2404" t="s">
        <v>11</v>
      </c>
      <c r="F2404" t="s">
        <v>12</v>
      </c>
      <c r="G2404" t="s">
        <v>13</v>
      </c>
      <c r="H2404" t="s">
        <v>12</v>
      </c>
      <c r="I2404">
        <v>37</v>
      </c>
      <c r="J2404">
        <f>ABS((I2404-EDA!$A$15)/EDA!$B$15)</f>
        <v>0.35143633752697023</v>
      </c>
      <c r="K2404" t="str">
        <f t="shared" si="37"/>
        <v>No</v>
      </c>
      <c r="L2404">
        <f>ABS((C2404-EDA!$F$15)/EDA!$G$15)</f>
        <v>0.35742259785817992</v>
      </c>
      <c r="M2404" t="str">
        <f>IF(moras[[#This Row],[Z-Score Salario]]&gt;1.96, "Sí", "No")</f>
        <v>No</v>
      </c>
      <c r="N2404" s="14">
        <f>IF(ISBLANK(moras[[#This Row],[SALARIO]]), EDA!$M$8, moras[[#This Row],[SALARIO]])</f>
        <v>1095589</v>
      </c>
      <c r="O2404" s="14">
        <f xml:space="preserve"> IF(ISBLANK(moras[[#This Row],[EDAD]]), EDA!$E$8, moras[[#This Row],[EDAD]])</f>
        <v>37</v>
      </c>
      <c r="P2404" s="14" t="str">
        <f>IF(
    OR(ISBLANK(moras[[#This Row],[TIPO_ASEGURAMIENTO]]), moras[[#This Row],[TIPO_ASEGURAMIENTO]]=""),
    EDA!$A$32,
    moras[[#This Row],[TIPO_ASEGURAMIENTO]]
)</f>
        <v>ASALARIADO</v>
      </c>
    </row>
    <row r="2405" spans="1:16" x14ac:dyDescent="0.3">
      <c r="A2405">
        <v>2404</v>
      </c>
      <c r="B2405" t="s">
        <v>9</v>
      </c>
      <c r="C2405">
        <v>54944533</v>
      </c>
      <c r="D2405" t="s">
        <v>10</v>
      </c>
      <c r="E2405" t="s">
        <v>16</v>
      </c>
      <c r="F2405" t="s">
        <v>12</v>
      </c>
      <c r="G2405" t="s">
        <v>13</v>
      </c>
      <c r="H2405" t="s">
        <v>13</v>
      </c>
      <c r="I2405">
        <v>20</v>
      </c>
      <c r="J2405">
        <f>ABS((I2405-EDA!$A$15)/EDA!$B$15)</f>
        <v>1.5512169488383079</v>
      </c>
      <c r="K2405" t="str">
        <f t="shared" si="37"/>
        <v>No</v>
      </c>
      <c r="L2405">
        <f>ABS((C2405-EDA!$F$15)/EDA!$G$15)</f>
        <v>0.53866184292819475</v>
      </c>
      <c r="M2405" t="str">
        <f>IF(moras[[#This Row],[Z-Score Salario]]&gt;1.96, "Sí", "No")</f>
        <v>No</v>
      </c>
      <c r="N2405" s="14">
        <f>IF(ISBLANK(moras[[#This Row],[SALARIO]]), EDA!$M$8, moras[[#This Row],[SALARIO]])</f>
        <v>54944533</v>
      </c>
      <c r="O2405" s="14">
        <f xml:space="preserve"> IF(ISBLANK(moras[[#This Row],[EDAD]]), EDA!$E$8, moras[[#This Row],[EDAD]])</f>
        <v>20</v>
      </c>
      <c r="P2405" s="14" t="str">
        <f>IF(
    OR(ISBLANK(moras[[#This Row],[TIPO_ASEGURAMIENTO]]), moras[[#This Row],[TIPO_ASEGURAMIENTO]]=""),
    EDA!$A$32,
    moras[[#This Row],[TIPO_ASEGURAMIENTO]]
)</f>
        <v>ASALARIADO</v>
      </c>
    </row>
    <row r="2406" spans="1:16" x14ac:dyDescent="0.3">
      <c r="A2406">
        <v>2405</v>
      </c>
      <c r="B2406" t="s">
        <v>15</v>
      </c>
      <c r="C2406">
        <v>2450798</v>
      </c>
      <c r="D2406" t="s">
        <v>10</v>
      </c>
      <c r="E2406" t="s">
        <v>16</v>
      </c>
      <c r="F2406" t="s">
        <v>12</v>
      </c>
      <c r="G2406" t="s">
        <v>13</v>
      </c>
      <c r="H2406" t="s">
        <v>13</v>
      </c>
      <c r="I2406">
        <v>21</v>
      </c>
      <c r="J2406">
        <f>ABS((I2406-EDA!$A$15)/EDA!$B$15)</f>
        <v>1.4806416187611704</v>
      </c>
      <c r="K2406" t="str">
        <f t="shared" si="37"/>
        <v>No</v>
      </c>
      <c r="L2406">
        <f>ABS((C2406-EDA!$F$15)/EDA!$G$15)</f>
        <v>0.33487096343961709</v>
      </c>
      <c r="M2406" t="str">
        <f>IF(moras[[#This Row],[Z-Score Salario]]&gt;1.96, "Sí", "No")</f>
        <v>No</v>
      </c>
      <c r="N2406" s="14">
        <f>IF(ISBLANK(moras[[#This Row],[SALARIO]]), EDA!$M$8, moras[[#This Row],[SALARIO]])</f>
        <v>2450798</v>
      </c>
      <c r="O2406" s="14">
        <f xml:space="preserve"> IF(ISBLANK(moras[[#This Row],[EDAD]]), EDA!$E$8, moras[[#This Row],[EDAD]])</f>
        <v>21</v>
      </c>
      <c r="P2406" s="14" t="str">
        <f>IF(
    OR(ISBLANK(moras[[#This Row],[TIPO_ASEGURAMIENTO]]), moras[[#This Row],[TIPO_ASEGURAMIENTO]]=""),
    EDA!$A$32,
    moras[[#This Row],[TIPO_ASEGURAMIENTO]]
)</f>
        <v>ASALARIADO</v>
      </c>
    </row>
    <row r="2407" spans="1:16" x14ac:dyDescent="0.3">
      <c r="A2407">
        <v>2406</v>
      </c>
      <c r="B2407" t="s">
        <v>15</v>
      </c>
      <c r="C2407">
        <v>38709975</v>
      </c>
      <c r="D2407" t="s">
        <v>10</v>
      </c>
      <c r="E2407" t="s">
        <v>16</v>
      </c>
      <c r="F2407" t="s">
        <v>12</v>
      </c>
      <c r="G2407" t="s">
        <v>13</v>
      </c>
      <c r="H2407" t="s">
        <v>13</v>
      </c>
      <c r="I2407">
        <v>41</v>
      </c>
      <c r="J2407">
        <f>ABS((I2407-EDA!$A$15)/EDA!$B$15)</f>
        <v>6.9135017218420233E-2</v>
      </c>
      <c r="K2407" t="str">
        <f t="shared" si="37"/>
        <v>No</v>
      </c>
      <c r="L2407">
        <f>ABS((C2407-EDA!$F$15)/EDA!$G$15)</f>
        <v>0.26850733763568679</v>
      </c>
      <c r="M2407" t="str">
        <f>IF(moras[[#This Row],[Z-Score Salario]]&gt;1.96, "Sí", "No")</f>
        <v>No</v>
      </c>
      <c r="N2407" s="14">
        <f>IF(ISBLANK(moras[[#This Row],[SALARIO]]), EDA!$M$8, moras[[#This Row],[SALARIO]])</f>
        <v>38709975</v>
      </c>
      <c r="O2407" s="14">
        <f xml:space="preserve"> IF(ISBLANK(moras[[#This Row],[EDAD]]), EDA!$E$8, moras[[#This Row],[EDAD]])</f>
        <v>41</v>
      </c>
      <c r="P2407" s="14" t="str">
        <f>IF(
    OR(ISBLANK(moras[[#This Row],[TIPO_ASEGURAMIENTO]]), moras[[#This Row],[TIPO_ASEGURAMIENTO]]=""),
    EDA!$A$32,
    moras[[#This Row],[TIPO_ASEGURAMIENTO]]
)</f>
        <v>ASALARIADO</v>
      </c>
    </row>
    <row r="2408" spans="1:16" x14ac:dyDescent="0.3">
      <c r="A2408">
        <v>2407</v>
      </c>
      <c r="B2408" t="s">
        <v>9</v>
      </c>
      <c r="C2408">
        <v>253571</v>
      </c>
      <c r="D2408" t="s">
        <v>14</v>
      </c>
      <c r="E2408" t="s">
        <v>11</v>
      </c>
      <c r="F2408" t="s">
        <v>12</v>
      </c>
      <c r="G2408" t="s">
        <v>13</v>
      </c>
      <c r="H2408" t="s">
        <v>13</v>
      </c>
      <c r="I2408">
        <v>56</v>
      </c>
      <c r="J2408">
        <f>ABS((I2408-EDA!$A$15)/EDA!$B$15)</f>
        <v>0.9894949339386423</v>
      </c>
      <c r="K2408" t="str">
        <f t="shared" si="37"/>
        <v>No</v>
      </c>
      <c r="L2408">
        <f>ABS((C2408-EDA!$F$15)/EDA!$G$15)</f>
        <v>0.37143437176895633</v>
      </c>
      <c r="M2408" t="str">
        <f>IF(moras[[#This Row],[Z-Score Salario]]&gt;1.96, "Sí", "No")</f>
        <v>No</v>
      </c>
      <c r="N2408" s="14">
        <f>IF(ISBLANK(moras[[#This Row],[SALARIO]]), EDA!$M$8, moras[[#This Row],[SALARIO]])</f>
        <v>253571</v>
      </c>
      <c r="O2408" s="14">
        <f xml:space="preserve"> IF(ISBLANK(moras[[#This Row],[EDAD]]), EDA!$E$8, moras[[#This Row],[EDAD]])</f>
        <v>56</v>
      </c>
      <c r="P2408" s="14" t="str">
        <f>IF(
    OR(ISBLANK(moras[[#This Row],[TIPO_ASEGURAMIENTO]]), moras[[#This Row],[TIPO_ASEGURAMIENTO]]=""),
    EDA!$A$32,
    moras[[#This Row],[TIPO_ASEGURAMIENTO]]
)</f>
        <v>PENSIONADOS EN SU PROPIO SISTEMA</v>
      </c>
    </row>
    <row r="2409" spans="1:16" x14ac:dyDescent="0.3">
      <c r="A2409">
        <v>2408</v>
      </c>
      <c r="B2409" t="s">
        <v>9</v>
      </c>
      <c r="C2409">
        <v>1187224</v>
      </c>
      <c r="D2409" t="s">
        <v>10</v>
      </c>
      <c r="E2409" t="s">
        <v>11</v>
      </c>
      <c r="F2409" t="s">
        <v>12</v>
      </c>
      <c r="G2409" t="s">
        <v>13</v>
      </c>
      <c r="H2409" t="s">
        <v>12</v>
      </c>
      <c r="I2409">
        <v>46</v>
      </c>
      <c r="J2409">
        <f>ABS((I2409-EDA!$A$15)/EDA!$B$15)</f>
        <v>0.2837416331672673</v>
      </c>
      <c r="K2409" t="str">
        <f t="shared" si="37"/>
        <v>No</v>
      </c>
      <c r="L2409">
        <f>ABS((C2409-EDA!$F$15)/EDA!$G$15)</f>
        <v>0.35589772677191572</v>
      </c>
      <c r="M2409" t="str">
        <f>IF(moras[[#This Row],[Z-Score Salario]]&gt;1.96, "Sí", "No")</f>
        <v>No</v>
      </c>
      <c r="N2409" s="14">
        <f>IF(ISBLANK(moras[[#This Row],[SALARIO]]), EDA!$M$8, moras[[#This Row],[SALARIO]])</f>
        <v>1187224</v>
      </c>
      <c r="O2409" s="14">
        <f xml:space="preserve"> IF(ISBLANK(moras[[#This Row],[EDAD]]), EDA!$E$8, moras[[#This Row],[EDAD]])</f>
        <v>46</v>
      </c>
      <c r="P2409" s="14" t="str">
        <f>IF(
    OR(ISBLANK(moras[[#This Row],[TIPO_ASEGURAMIENTO]]), moras[[#This Row],[TIPO_ASEGURAMIENTO]]=""),
    EDA!$A$32,
    moras[[#This Row],[TIPO_ASEGURAMIENTO]]
)</f>
        <v>ASALARIADO</v>
      </c>
    </row>
    <row r="2410" spans="1:16" x14ac:dyDescent="0.3">
      <c r="A2410">
        <v>2409</v>
      </c>
      <c r="B2410" t="s">
        <v>9</v>
      </c>
      <c r="C2410">
        <v>58411533</v>
      </c>
      <c r="D2410" t="s">
        <v>10</v>
      </c>
      <c r="E2410" t="s">
        <v>16</v>
      </c>
      <c r="F2410" t="s">
        <v>12</v>
      </c>
      <c r="G2410" t="s">
        <v>13</v>
      </c>
      <c r="H2410" t="s">
        <v>13</v>
      </c>
      <c r="I2410">
        <v>46</v>
      </c>
      <c r="J2410">
        <f>ABS((I2410-EDA!$A$15)/EDA!$B$15)</f>
        <v>0.2837416331672673</v>
      </c>
      <c r="K2410" t="str">
        <f t="shared" si="37"/>
        <v>No</v>
      </c>
      <c r="L2410">
        <f>ABS((C2410-EDA!$F$15)/EDA!$G$15)</f>
        <v>0.59635517032578245</v>
      </c>
      <c r="M2410" t="str">
        <f>IF(moras[[#This Row],[Z-Score Salario]]&gt;1.96, "Sí", "No")</f>
        <v>No</v>
      </c>
      <c r="N2410" s="14">
        <f>IF(ISBLANK(moras[[#This Row],[SALARIO]]), EDA!$M$8, moras[[#This Row],[SALARIO]])</f>
        <v>58411533</v>
      </c>
      <c r="O2410" s="14">
        <f xml:space="preserve"> IF(ISBLANK(moras[[#This Row],[EDAD]]), EDA!$E$8, moras[[#This Row],[EDAD]])</f>
        <v>46</v>
      </c>
      <c r="P2410" s="14" t="str">
        <f>IF(
    OR(ISBLANK(moras[[#This Row],[TIPO_ASEGURAMIENTO]]), moras[[#This Row],[TIPO_ASEGURAMIENTO]]=""),
    EDA!$A$32,
    moras[[#This Row],[TIPO_ASEGURAMIENTO]]
)</f>
        <v>ASALARIADO</v>
      </c>
    </row>
    <row r="2411" spans="1:16" x14ac:dyDescent="0.3">
      <c r="A2411">
        <v>2410</v>
      </c>
      <c r="B2411" t="s">
        <v>15</v>
      </c>
      <c r="C2411">
        <v>446928</v>
      </c>
      <c r="D2411" t="s">
        <v>10</v>
      </c>
      <c r="E2411" t="s">
        <v>16</v>
      </c>
      <c r="F2411" t="s">
        <v>12</v>
      </c>
      <c r="G2411" t="s">
        <v>13</v>
      </c>
      <c r="H2411" t="s">
        <v>13</v>
      </c>
      <c r="I2411">
        <v>23</v>
      </c>
      <c r="J2411">
        <f>ABS((I2411-EDA!$A$15)/EDA!$B$15)</f>
        <v>1.3394909586068953</v>
      </c>
      <c r="K2411" t="str">
        <f t="shared" si="37"/>
        <v>No</v>
      </c>
      <c r="L2411">
        <f>ABS((C2411-EDA!$F$15)/EDA!$G$15)</f>
        <v>0.36821677479589165</v>
      </c>
      <c r="M2411" t="str">
        <f>IF(moras[[#This Row],[Z-Score Salario]]&gt;1.96, "Sí", "No")</f>
        <v>No</v>
      </c>
      <c r="N2411" s="14">
        <f>IF(ISBLANK(moras[[#This Row],[SALARIO]]), EDA!$M$8, moras[[#This Row],[SALARIO]])</f>
        <v>446928</v>
      </c>
      <c r="O2411" s="14">
        <f xml:space="preserve"> IF(ISBLANK(moras[[#This Row],[EDAD]]), EDA!$E$8, moras[[#This Row],[EDAD]])</f>
        <v>23</v>
      </c>
      <c r="P2411" s="14" t="str">
        <f>IF(
    OR(ISBLANK(moras[[#This Row],[TIPO_ASEGURAMIENTO]]), moras[[#This Row],[TIPO_ASEGURAMIENTO]]=""),
    EDA!$A$32,
    moras[[#This Row],[TIPO_ASEGURAMIENTO]]
)</f>
        <v>ASALARIADO</v>
      </c>
    </row>
    <row r="2412" spans="1:16" x14ac:dyDescent="0.3">
      <c r="A2412">
        <v>2411</v>
      </c>
      <c r="B2412" t="s">
        <v>9</v>
      </c>
      <c r="C2412">
        <v>302470</v>
      </c>
      <c r="D2412" t="s">
        <v>17</v>
      </c>
      <c r="E2412" t="s">
        <v>16</v>
      </c>
      <c r="F2412" t="s">
        <v>12</v>
      </c>
      <c r="G2412" t="s">
        <v>12</v>
      </c>
      <c r="H2412" t="s">
        <v>13</v>
      </c>
      <c r="I2412">
        <v>34</v>
      </c>
      <c r="J2412">
        <f>ABS((I2412-EDA!$A$15)/EDA!$B$15)</f>
        <v>0.56316232775838282</v>
      </c>
      <c r="K2412" t="str">
        <f t="shared" si="37"/>
        <v>No</v>
      </c>
      <c r="L2412">
        <f>ABS((C2412-EDA!$F$15)/EDA!$G$15)</f>
        <v>0.37062065789055582</v>
      </c>
      <c r="M2412" t="str">
        <f>IF(moras[[#This Row],[Z-Score Salario]]&gt;1.96, "Sí", "No")</f>
        <v>No</v>
      </c>
      <c r="N2412" s="14">
        <f>IF(ISBLANK(moras[[#This Row],[SALARIO]]), EDA!$M$8, moras[[#This Row],[SALARIO]])</f>
        <v>302470</v>
      </c>
      <c r="O2412" s="14">
        <f xml:space="preserve"> IF(ISBLANK(moras[[#This Row],[EDAD]]), EDA!$E$8, moras[[#This Row],[EDAD]])</f>
        <v>34</v>
      </c>
      <c r="P2412" s="14" t="str">
        <f>IF(
    OR(ISBLANK(moras[[#This Row],[TIPO_ASEGURAMIENTO]]), moras[[#This Row],[TIPO_ASEGURAMIENTO]]=""),
    EDA!$A$32,
    moras[[#This Row],[TIPO_ASEGURAMIENTO]]
)</f>
        <v>ASEGURADO VOLUNTARIO</v>
      </c>
    </row>
    <row r="2413" spans="1:16" x14ac:dyDescent="0.3">
      <c r="A2413">
        <v>2412</v>
      </c>
      <c r="B2413" t="s">
        <v>9</v>
      </c>
      <c r="C2413">
        <v>277000</v>
      </c>
      <c r="D2413" t="s">
        <v>10</v>
      </c>
      <c r="E2413" t="s">
        <v>16</v>
      </c>
      <c r="F2413" t="s">
        <v>12</v>
      </c>
      <c r="G2413" t="s">
        <v>12</v>
      </c>
      <c r="H2413" t="s">
        <v>12</v>
      </c>
      <c r="I2413">
        <v>23</v>
      </c>
      <c r="J2413">
        <f>ABS((I2413-EDA!$A$15)/EDA!$B$15)</f>
        <v>1.3394909586068953</v>
      </c>
      <c r="K2413" t="str">
        <f t="shared" si="37"/>
        <v>No</v>
      </c>
      <c r="L2413">
        <f>ABS((C2413-EDA!$F$15)/EDA!$G$15)</f>
        <v>0.3710444966701395</v>
      </c>
      <c r="M2413" t="str">
        <f>IF(moras[[#This Row],[Z-Score Salario]]&gt;1.96, "Sí", "No")</f>
        <v>No</v>
      </c>
      <c r="N2413" s="14">
        <f>IF(ISBLANK(moras[[#This Row],[SALARIO]]), EDA!$M$8, moras[[#This Row],[SALARIO]])</f>
        <v>277000</v>
      </c>
      <c r="O2413" s="14">
        <f xml:space="preserve"> IF(ISBLANK(moras[[#This Row],[EDAD]]), EDA!$E$8, moras[[#This Row],[EDAD]])</f>
        <v>23</v>
      </c>
      <c r="P2413" s="14" t="str">
        <f>IF(
    OR(ISBLANK(moras[[#This Row],[TIPO_ASEGURAMIENTO]]), moras[[#This Row],[TIPO_ASEGURAMIENTO]]=""),
    EDA!$A$32,
    moras[[#This Row],[TIPO_ASEGURAMIENTO]]
)</f>
        <v>ASALARIADO</v>
      </c>
    </row>
    <row r="2414" spans="1:16" x14ac:dyDescent="0.3">
      <c r="A2414">
        <v>2413</v>
      </c>
      <c r="B2414" t="s">
        <v>9</v>
      </c>
      <c r="C2414">
        <v>241458</v>
      </c>
      <c r="D2414" t="s">
        <v>10</v>
      </c>
      <c r="E2414" t="s">
        <v>16</v>
      </c>
      <c r="F2414" t="s">
        <v>12</v>
      </c>
      <c r="G2414" t="s">
        <v>13</v>
      </c>
      <c r="H2414" t="s">
        <v>12</v>
      </c>
      <c r="I2414">
        <v>41</v>
      </c>
      <c r="J2414">
        <f>ABS((I2414-EDA!$A$15)/EDA!$B$15)</f>
        <v>6.9135017218420233E-2</v>
      </c>
      <c r="K2414" t="str">
        <f t="shared" si="37"/>
        <v>No</v>
      </c>
      <c r="L2414">
        <f>ABS((C2414-EDA!$F$15)/EDA!$G$15)</f>
        <v>0.37163594063967081</v>
      </c>
      <c r="M2414" t="str">
        <f>IF(moras[[#This Row],[Z-Score Salario]]&gt;1.96, "Sí", "No")</f>
        <v>No</v>
      </c>
      <c r="N2414" s="14">
        <f>IF(ISBLANK(moras[[#This Row],[SALARIO]]), EDA!$M$8, moras[[#This Row],[SALARIO]])</f>
        <v>241458</v>
      </c>
      <c r="O2414" s="14">
        <f xml:space="preserve"> IF(ISBLANK(moras[[#This Row],[EDAD]]), EDA!$E$8, moras[[#This Row],[EDAD]])</f>
        <v>41</v>
      </c>
      <c r="P2414" s="14" t="str">
        <f>IF(
    OR(ISBLANK(moras[[#This Row],[TIPO_ASEGURAMIENTO]]), moras[[#This Row],[TIPO_ASEGURAMIENTO]]=""),
    EDA!$A$32,
    moras[[#This Row],[TIPO_ASEGURAMIENTO]]
)</f>
        <v>ASALARIADO</v>
      </c>
    </row>
    <row r="2415" spans="1:16" x14ac:dyDescent="0.3">
      <c r="A2415">
        <v>2414</v>
      </c>
      <c r="B2415" t="s">
        <v>9</v>
      </c>
      <c r="C2415">
        <v>255000</v>
      </c>
      <c r="D2415" t="s">
        <v>10</v>
      </c>
      <c r="E2415" t="s">
        <v>16</v>
      </c>
      <c r="F2415" t="s">
        <v>12</v>
      </c>
      <c r="G2415" t="s">
        <v>12</v>
      </c>
      <c r="H2415" t="s">
        <v>12</v>
      </c>
      <c r="I2415">
        <v>55</v>
      </c>
      <c r="J2415">
        <f>ABS((I2415-EDA!$A$15)/EDA!$B$15)</f>
        <v>0.91891960386150484</v>
      </c>
      <c r="K2415" t="str">
        <f t="shared" si="37"/>
        <v>No</v>
      </c>
      <c r="L2415">
        <f>ABS((C2415-EDA!$F$15)/EDA!$G$15)</f>
        <v>0.37141059220020783</v>
      </c>
      <c r="M2415" t="str">
        <f>IF(moras[[#This Row],[Z-Score Salario]]&gt;1.96, "Sí", "No")</f>
        <v>No</v>
      </c>
      <c r="N2415" s="14">
        <f>IF(ISBLANK(moras[[#This Row],[SALARIO]]), EDA!$M$8, moras[[#This Row],[SALARIO]])</f>
        <v>255000</v>
      </c>
      <c r="O2415" s="14">
        <f xml:space="preserve"> IF(ISBLANK(moras[[#This Row],[EDAD]]), EDA!$E$8, moras[[#This Row],[EDAD]])</f>
        <v>55</v>
      </c>
      <c r="P2415" s="14" t="str">
        <f>IF(
    OR(ISBLANK(moras[[#This Row],[TIPO_ASEGURAMIENTO]]), moras[[#This Row],[TIPO_ASEGURAMIENTO]]=""),
    EDA!$A$32,
    moras[[#This Row],[TIPO_ASEGURAMIENTO]]
)</f>
        <v>ASALARIADO</v>
      </c>
    </row>
    <row r="2416" spans="1:16" x14ac:dyDescent="0.3">
      <c r="A2416">
        <v>2415</v>
      </c>
      <c r="B2416" t="s">
        <v>15</v>
      </c>
      <c r="C2416">
        <v>1332081</v>
      </c>
      <c r="D2416" t="s">
        <v>14</v>
      </c>
      <c r="E2416" t="s">
        <v>11</v>
      </c>
      <c r="F2416" t="s">
        <v>12</v>
      </c>
      <c r="G2416" t="s">
        <v>13</v>
      </c>
      <c r="H2416" t="s">
        <v>13</v>
      </c>
      <c r="I2416">
        <v>65</v>
      </c>
      <c r="J2416">
        <f>ABS((I2416-EDA!$A$15)/EDA!$B$15)</f>
        <v>1.6246729046328798</v>
      </c>
      <c r="K2416" t="str">
        <f t="shared" si="37"/>
        <v>No</v>
      </c>
      <c r="L2416">
        <f>ABS((C2416-EDA!$F$15)/EDA!$G$15)</f>
        <v>0.35348720403559258</v>
      </c>
      <c r="M2416" t="str">
        <f>IF(moras[[#This Row],[Z-Score Salario]]&gt;1.96, "Sí", "No")</f>
        <v>No</v>
      </c>
      <c r="N2416" s="14">
        <f>IF(ISBLANK(moras[[#This Row],[SALARIO]]), EDA!$M$8, moras[[#This Row],[SALARIO]])</f>
        <v>1332081</v>
      </c>
      <c r="O2416" s="14">
        <f xml:space="preserve"> IF(ISBLANK(moras[[#This Row],[EDAD]]), EDA!$E$8, moras[[#This Row],[EDAD]])</f>
        <v>65</v>
      </c>
      <c r="P2416" s="14" t="str">
        <f>IF(
    OR(ISBLANK(moras[[#This Row],[TIPO_ASEGURAMIENTO]]), moras[[#This Row],[TIPO_ASEGURAMIENTO]]=""),
    EDA!$A$32,
    moras[[#This Row],[TIPO_ASEGURAMIENTO]]
)</f>
        <v>PENSIONADOS EN SU PROPIO SISTEMA</v>
      </c>
    </row>
    <row r="2417" spans="1:16" x14ac:dyDescent="0.3">
      <c r="A2417">
        <v>2416</v>
      </c>
      <c r="B2417" t="s">
        <v>9</v>
      </c>
      <c r="C2417">
        <v>323296</v>
      </c>
      <c r="D2417" t="s">
        <v>18</v>
      </c>
      <c r="E2417" t="s">
        <v>16</v>
      </c>
      <c r="F2417" t="s">
        <v>12</v>
      </c>
      <c r="G2417" t="s">
        <v>13</v>
      </c>
      <c r="H2417" t="s">
        <v>13</v>
      </c>
      <c r="I2417">
        <v>33</v>
      </c>
      <c r="J2417">
        <f>ABS((I2417-EDA!$A$15)/EDA!$B$15)</f>
        <v>0.63373765783552027</v>
      </c>
      <c r="K2417" t="str">
        <f t="shared" si="37"/>
        <v>No</v>
      </c>
      <c r="L2417">
        <f>ABS((C2417-EDA!$F$15)/EDA!$G$15)</f>
        <v>0.37027409854922838</v>
      </c>
      <c r="M2417" t="str">
        <f>IF(moras[[#This Row],[Z-Score Salario]]&gt;1.96, "Sí", "No")</f>
        <v>No</v>
      </c>
      <c r="N2417" s="14">
        <f>IF(ISBLANK(moras[[#This Row],[SALARIO]]), EDA!$M$8, moras[[#This Row],[SALARIO]])</f>
        <v>323296</v>
      </c>
      <c r="O2417" s="14">
        <f xml:space="preserve"> IF(ISBLANK(moras[[#This Row],[EDAD]]), EDA!$E$8, moras[[#This Row],[EDAD]])</f>
        <v>33</v>
      </c>
      <c r="P2417" s="14" t="str">
        <f>IF(
    OR(ISBLANK(moras[[#This Row],[TIPO_ASEGURAMIENTO]]), moras[[#This Row],[TIPO_ASEGURAMIENTO]]=""),
    EDA!$A$32,
    moras[[#This Row],[TIPO_ASEGURAMIENTO]]
)</f>
        <v>TRABAJADOR INDEPENDIENTE</v>
      </c>
    </row>
    <row r="2418" spans="1:16" x14ac:dyDescent="0.3">
      <c r="A2418">
        <v>2417</v>
      </c>
      <c r="B2418" t="s">
        <v>9</v>
      </c>
      <c r="C2418">
        <v>362000</v>
      </c>
      <c r="D2418" t="s">
        <v>10</v>
      </c>
      <c r="E2418" t="s">
        <v>16</v>
      </c>
      <c r="F2418" t="s">
        <v>12</v>
      </c>
      <c r="G2418" t="s">
        <v>13</v>
      </c>
      <c r="H2418" t="s">
        <v>13</v>
      </c>
      <c r="I2418">
        <v>31</v>
      </c>
      <c r="J2418">
        <f>ABS((I2418-EDA!$A$15)/EDA!$B$15)</f>
        <v>0.77488831798979529</v>
      </c>
      <c r="K2418" t="str">
        <f t="shared" si="37"/>
        <v>No</v>
      </c>
      <c r="L2418">
        <f>ABS((C2418-EDA!$F$15)/EDA!$G$15)</f>
        <v>0.36963003666760275</v>
      </c>
      <c r="M2418" t="str">
        <f>IF(moras[[#This Row],[Z-Score Salario]]&gt;1.96, "Sí", "No")</f>
        <v>No</v>
      </c>
      <c r="N2418" s="14">
        <f>IF(ISBLANK(moras[[#This Row],[SALARIO]]), EDA!$M$8, moras[[#This Row],[SALARIO]])</f>
        <v>362000</v>
      </c>
      <c r="O2418" s="14">
        <f xml:space="preserve"> IF(ISBLANK(moras[[#This Row],[EDAD]]), EDA!$E$8, moras[[#This Row],[EDAD]])</f>
        <v>31</v>
      </c>
      <c r="P2418" s="14" t="str">
        <f>IF(
    OR(ISBLANK(moras[[#This Row],[TIPO_ASEGURAMIENTO]]), moras[[#This Row],[TIPO_ASEGURAMIENTO]]=""),
    EDA!$A$32,
    moras[[#This Row],[TIPO_ASEGURAMIENTO]]
)</f>
        <v>ASALARIADO</v>
      </c>
    </row>
    <row r="2419" spans="1:16" x14ac:dyDescent="0.3">
      <c r="A2419">
        <v>2418</v>
      </c>
      <c r="B2419" t="s">
        <v>9</v>
      </c>
      <c r="C2419">
        <v>501467</v>
      </c>
      <c r="D2419" t="s">
        <v>18</v>
      </c>
      <c r="E2419" t="s">
        <v>16</v>
      </c>
      <c r="F2419" t="s">
        <v>12</v>
      </c>
      <c r="G2419" t="s">
        <v>13</v>
      </c>
      <c r="H2419" t="s">
        <v>13</v>
      </c>
      <c r="I2419">
        <v>37</v>
      </c>
      <c r="J2419">
        <f>ABS((I2419-EDA!$A$15)/EDA!$B$15)</f>
        <v>0.35143633752697023</v>
      </c>
      <c r="K2419" t="str">
        <f t="shared" si="37"/>
        <v>No</v>
      </c>
      <c r="L2419">
        <f>ABS((C2419-EDA!$F$15)/EDA!$G$15)</f>
        <v>0.3673092073361463</v>
      </c>
      <c r="M2419" t="str">
        <f>IF(moras[[#This Row],[Z-Score Salario]]&gt;1.96, "Sí", "No")</f>
        <v>No</v>
      </c>
      <c r="N2419" s="14">
        <f>IF(ISBLANK(moras[[#This Row],[SALARIO]]), EDA!$M$8, moras[[#This Row],[SALARIO]])</f>
        <v>501467</v>
      </c>
      <c r="O2419" s="14">
        <f xml:space="preserve"> IF(ISBLANK(moras[[#This Row],[EDAD]]), EDA!$E$8, moras[[#This Row],[EDAD]])</f>
        <v>37</v>
      </c>
      <c r="P2419" s="14" t="str">
        <f>IF(
    OR(ISBLANK(moras[[#This Row],[TIPO_ASEGURAMIENTO]]), moras[[#This Row],[TIPO_ASEGURAMIENTO]]=""),
    EDA!$A$32,
    moras[[#This Row],[TIPO_ASEGURAMIENTO]]
)</f>
        <v>TRABAJADOR INDEPENDIENTE</v>
      </c>
    </row>
    <row r="2420" spans="1:16" x14ac:dyDescent="0.3">
      <c r="A2420">
        <v>2419</v>
      </c>
      <c r="B2420" t="s">
        <v>15</v>
      </c>
      <c r="C2420">
        <v>534933</v>
      </c>
      <c r="D2420" t="s">
        <v>10</v>
      </c>
      <c r="E2420" t="s">
        <v>16</v>
      </c>
      <c r="F2420" t="s">
        <v>12</v>
      </c>
      <c r="G2420" t="s">
        <v>13</v>
      </c>
      <c r="H2420" t="s">
        <v>13</v>
      </c>
      <c r="I2420">
        <v>59</v>
      </c>
      <c r="J2420">
        <f>ABS((I2420-EDA!$A$15)/EDA!$B$15)</f>
        <v>1.2012209241700549</v>
      </c>
      <c r="K2420" t="str">
        <f t="shared" si="37"/>
        <v>No</v>
      </c>
      <c r="L2420">
        <f>ABS((C2420-EDA!$F$15)/EDA!$G$15)</f>
        <v>0.36675230947208876</v>
      </c>
      <c r="M2420" t="str">
        <f>IF(moras[[#This Row],[Z-Score Salario]]&gt;1.96, "Sí", "No")</f>
        <v>No</v>
      </c>
      <c r="N2420" s="14">
        <f>IF(ISBLANK(moras[[#This Row],[SALARIO]]), EDA!$M$8, moras[[#This Row],[SALARIO]])</f>
        <v>534933</v>
      </c>
      <c r="O2420" s="14">
        <f xml:space="preserve"> IF(ISBLANK(moras[[#This Row],[EDAD]]), EDA!$E$8, moras[[#This Row],[EDAD]])</f>
        <v>59</v>
      </c>
      <c r="P2420" s="14" t="str">
        <f>IF(
    OR(ISBLANK(moras[[#This Row],[TIPO_ASEGURAMIENTO]]), moras[[#This Row],[TIPO_ASEGURAMIENTO]]=""),
    EDA!$A$32,
    moras[[#This Row],[TIPO_ASEGURAMIENTO]]
)</f>
        <v>ASALARIADO</v>
      </c>
    </row>
    <row r="2421" spans="1:16" x14ac:dyDescent="0.3">
      <c r="A2421">
        <v>2420</v>
      </c>
      <c r="B2421" t="s">
        <v>15</v>
      </c>
      <c r="C2421">
        <v>375584</v>
      </c>
      <c r="D2421" t="s">
        <v>10</v>
      </c>
      <c r="E2421" t="s">
        <v>11</v>
      </c>
      <c r="F2421" t="s">
        <v>12</v>
      </c>
      <c r="G2421" t="s">
        <v>13</v>
      </c>
      <c r="H2421" t="s">
        <v>13</v>
      </c>
      <c r="I2421">
        <v>26</v>
      </c>
      <c r="J2421">
        <f>ABS((I2421-EDA!$A$15)/EDA!$B$15)</f>
        <v>1.1277649683754829</v>
      </c>
      <c r="K2421" t="str">
        <f t="shared" si="37"/>
        <v>No</v>
      </c>
      <c r="L2421">
        <f>ABS((C2421-EDA!$F$15)/EDA!$G$15)</f>
        <v>0.36940398931849144</v>
      </c>
      <c r="M2421" t="str">
        <f>IF(moras[[#This Row],[Z-Score Salario]]&gt;1.96, "Sí", "No")</f>
        <v>No</v>
      </c>
      <c r="N2421" s="14">
        <f>IF(ISBLANK(moras[[#This Row],[SALARIO]]), EDA!$M$8, moras[[#This Row],[SALARIO]])</f>
        <v>375584</v>
      </c>
      <c r="O2421" s="14">
        <f xml:space="preserve"> IF(ISBLANK(moras[[#This Row],[EDAD]]), EDA!$E$8, moras[[#This Row],[EDAD]])</f>
        <v>26</v>
      </c>
      <c r="P2421" s="14" t="str">
        <f>IF(
    OR(ISBLANK(moras[[#This Row],[TIPO_ASEGURAMIENTO]]), moras[[#This Row],[TIPO_ASEGURAMIENTO]]=""),
    EDA!$A$32,
    moras[[#This Row],[TIPO_ASEGURAMIENTO]]
)</f>
        <v>ASALARIADO</v>
      </c>
    </row>
    <row r="2422" spans="1:16" x14ac:dyDescent="0.3">
      <c r="A2422">
        <v>2421</v>
      </c>
      <c r="B2422" t="s">
        <v>9</v>
      </c>
      <c r="C2422">
        <v>41409487</v>
      </c>
      <c r="D2422" t="s">
        <v>10</v>
      </c>
      <c r="E2422" t="s">
        <v>16</v>
      </c>
      <c r="F2422" t="s">
        <v>12</v>
      </c>
      <c r="G2422" t="s">
        <v>13</v>
      </c>
      <c r="H2422" t="s">
        <v>13</v>
      </c>
      <c r="I2422">
        <v>19</v>
      </c>
      <c r="J2422">
        <f>ABS((I2422-EDA!$A$15)/EDA!$B$15)</f>
        <v>1.6217922789154453</v>
      </c>
      <c r="K2422" t="str">
        <f t="shared" si="37"/>
        <v>No</v>
      </c>
      <c r="L2422">
        <f>ABS((C2422-EDA!$F$15)/EDA!$G$15)</f>
        <v>0.31342912293413405</v>
      </c>
      <c r="M2422" t="str">
        <f>IF(moras[[#This Row],[Z-Score Salario]]&gt;1.96, "Sí", "No")</f>
        <v>No</v>
      </c>
      <c r="N2422" s="14">
        <f>IF(ISBLANK(moras[[#This Row],[SALARIO]]), EDA!$M$8, moras[[#This Row],[SALARIO]])</f>
        <v>41409487</v>
      </c>
      <c r="O2422" s="14">
        <f xml:space="preserve"> IF(ISBLANK(moras[[#This Row],[EDAD]]), EDA!$E$8, moras[[#This Row],[EDAD]])</f>
        <v>19</v>
      </c>
      <c r="P2422" s="14" t="str">
        <f>IF(
    OR(ISBLANK(moras[[#This Row],[TIPO_ASEGURAMIENTO]]), moras[[#This Row],[TIPO_ASEGURAMIENTO]]=""),
    EDA!$A$32,
    moras[[#This Row],[TIPO_ASEGURAMIENTO]]
)</f>
        <v>ASALARIADO</v>
      </c>
    </row>
    <row r="2423" spans="1:16" x14ac:dyDescent="0.3">
      <c r="A2423">
        <v>2422</v>
      </c>
      <c r="B2423" t="s">
        <v>9</v>
      </c>
      <c r="C2423">
        <v>292387</v>
      </c>
      <c r="D2423" t="s">
        <v>17</v>
      </c>
      <c r="E2423" t="s">
        <v>16</v>
      </c>
      <c r="F2423" t="s">
        <v>12</v>
      </c>
      <c r="G2423" t="s">
        <v>13</v>
      </c>
      <c r="H2423" t="s">
        <v>12</v>
      </c>
      <c r="I2423">
        <v>52</v>
      </c>
      <c r="J2423">
        <f>ABS((I2423-EDA!$A$15)/EDA!$B$15)</f>
        <v>0.70719361363009237</v>
      </c>
      <c r="K2423" t="str">
        <f t="shared" si="37"/>
        <v>No</v>
      </c>
      <c r="L2423">
        <f>ABS((C2423-EDA!$F$15)/EDA!$G$15)</f>
        <v>0.3707884461282685</v>
      </c>
      <c r="M2423" t="str">
        <f>IF(moras[[#This Row],[Z-Score Salario]]&gt;1.96, "Sí", "No")</f>
        <v>No</v>
      </c>
      <c r="N2423" s="14">
        <f>IF(ISBLANK(moras[[#This Row],[SALARIO]]), EDA!$M$8, moras[[#This Row],[SALARIO]])</f>
        <v>292387</v>
      </c>
      <c r="O2423" s="14">
        <f xml:space="preserve"> IF(ISBLANK(moras[[#This Row],[EDAD]]), EDA!$E$8, moras[[#This Row],[EDAD]])</f>
        <v>52</v>
      </c>
      <c r="P2423" s="14" t="str">
        <f>IF(
    OR(ISBLANK(moras[[#This Row],[TIPO_ASEGURAMIENTO]]), moras[[#This Row],[TIPO_ASEGURAMIENTO]]=""),
    EDA!$A$32,
    moras[[#This Row],[TIPO_ASEGURAMIENTO]]
)</f>
        <v>ASEGURADO VOLUNTARIO</v>
      </c>
    </row>
    <row r="2424" spans="1:16" x14ac:dyDescent="0.3">
      <c r="A2424">
        <v>2423</v>
      </c>
      <c r="B2424" t="s">
        <v>15</v>
      </c>
      <c r="C2424">
        <v>75300324</v>
      </c>
      <c r="D2424" t="s">
        <v>10</v>
      </c>
      <c r="E2424" t="s">
        <v>11</v>
      </c>
      <c r="F2424" t="s">
        <v>12</v>
      </c>
      <c r="G2424" t="s">
        <v>13</v>
      </c>
      <c r="H2424" t="s">
        <v>13</v>
      </c>
      <c r="I2424">
        <v>22</v>
      </c>
      <c r="J2424">
        <f>ABS((I2424-EDA!$A$15)/EDA!$B$15)</f>
        <v>1.4100662886840327</v>
      </c>
      <c r="K2424" t="str">
        <f t="shared" si="37"/>
        <v>No</v>
      </c>
      <c r="L2424">
        <f>ABS((C2424-EDA!$F$15)/EDA!$G$15)</f>
        <v>0.87739657456934483</v>
      </c>
      <c r="M2424" t="str">
        <f>IF(moras[[#This Row],[Z-Score Salario]]&gt;1.96, "Sí", "No")</f>
        <v>No</v>
      </c>
      <c r="N2424" s="14">
        <f>IF(ISBLANK(moras[[#This Row],[SALARIO]]), EDA!$M$8, moras[[#This Row],[SALARIO]])</f>
        <v>75300324</v>
      </c>
      <c r="O2424" s="14">
        <f xml:space="preserve"> IF(ISBLANK(moras[[#This Row],[EDAD]]), EDA!$E$8, moras[[#This Row],[EDAD]])</f>
        <v>22</v>
      </c>
      <c r="P2424" s="14" t="str">
        <f>IF(
    OR(ISBLANK(moras[[#This Row],[TIPO_ASEGURAMIENTO]]), moras[[#This Row],[TIPO_ASEGURAMIENTO]]=""),
    EDA!$A$32,
    moras[[#This Row],[TIPO_ASEGURAMIENTO]]
)</f>
        <v>ASALARIADO</v>
      </c>
    </row>
    <row r="2425" spans="1:16" x14ac:dyDescent="0.3">
      <c r="A2425">
        <v>2424</v>
      </c>
      <c r="B2425" t="s">
        <v>15</v>
      </c>
      <c r="C2425">
        <v>375740</v>
      </c>
      <c r="D2425" t="s">
        <v>18</v>
      </c>
      <c r="E2425" t="s">
        <v>16</v>
      </c>
      <c r="F2425" t="s">
        <v>12</v>
      </c>
      <c r="G2425" t="s">
        <v>13</v>
      </c>
      <c r="H2425" t="s">
        <v>12</v>
      </c>
      <c r="I2425">
        <v>50</v>
      </c>
      <c r="J2425">
        <f>ABS((I2425-EDA!$A$15)/EDA!$B$15)</f>
        <v>0.56604295347581735</v>
      </c>
      <c r="K2425" t="str">
        <f t="shared" si="37"/>
        <v>No</v>
      </c>
      <c r="L2425">
        <f>ABS((C2425-EDA!$F$15)/EDA!$G$15)</f>
        <v>0.36940139336836914</v>
      </c>
      <c r="M2425" t="str">
        <f>IF(moras[[#This Row],[Z-Score Salario]]&gt;1.96, "Sí", "No")</f>
        <v>No</v>
      </c>
      <c r="N2425" s="14">
        <f>IF(ISBLANK(moras[[#This Row],[SALARIO]]), EDA!$M$8, moras[[#This Row],[SALARIO]])</f>
        <v>375740</v>
      </c>
      <c r="O2425" s="14">
        <f xml:space="preserve"> IF(ISBLANK(moras[[#This Row],[EDAD]]), EDA!$E$8, moras[[#This Row],[EDAD]])</f>
        <v>50</v>
      </c>
      <c r="P2425" s="14" t="str">
        <f>IF(
    OR(ISBLANK(moras[[#This Row],[TIPO_ASEGURAMIENTO]]), moras[[#This Row],[TIPO_ASEGURAMIENTO]]=""),
    EDA!$A$32,
    moras[[#This Row],[TIPO_ASEGURAMIENTO]]
)</f>
        <v>TRABAJADOR INDEPENDIENTE</v>
      </c>
    </row>
    <row r="2426" spans="1:16" x14ac:dyDescent="0.3">
      <c r="A2426">
        <v>2425</v>
      </c>
      <c r="B2426" t="s">
        <v>15</v>
      </c>
      <c r="C2426">
        <v>1070560</v>
      </c>
      <c r="D2426" t="s">
        <v>10</v>
      </c>
      <c r="E2426" t="s">
        <v>11</v>
      </c>
      <c r="F2426" t="s">
        <v>12</v>
      </c>
      <c r="G2426" t="s">
        <v>13</v>
      </c>
      <c r="H2426" t="s">
        <v>12</v>
      </c>
      <c r="I2426">
        <v>34</v>
      </c>
      <c r="J2426">
        <f>ABS((I2426-EDA!$A$15)/EDA!$B$15)</f>
        <v>0.56316232775838282</v>
      </c>
      <c r="K2426" t="str">
        <f t="shared" si="37"/>
        <v>No</v>
      </c>
      <c r="L2426">
        <f>ABS((C2426-EDA!$F$15)/EDA!$G$15)</f>
        <v>0.35783909808645631</v>
      </c>
      <c r="M2426" t="str">
        <f>IF(moras[[#This Row],[Z-Score Salario]]&gt;1.96, "Sí", "No")</f>
        <v>No</v>
      </c>
      <c r="N2426" s="14">
        <f>IF(ISBLANK(moras[[#This Row],[SALARIO]]), EDA!$M$8, moras[[#This Row],[SALARIO]])</f>
        <v>1070560</v>
      </c>
      <c r="O2426" s="14">
        <f xml:space="preserve"> IF(ISBLANK(moras[[#This Row],[EDAD]]), EDA!$E$8, moras[[#This Row],[EDAD]])</f>
        <v>34</v>
      </c>
      <c r="P2426" s="14" t="str">
        <f>IF(
    OR(ISBLANK(moras[[#This Row],[TIPO_ASEGURAMIENTO]]), moras[[#This Row],[TIPO_ASEGURAMIENTO]]=""),
    EDA!$A$32,
    moras[[#This Row],[TIPO_ASEGURAMIENTO]]
)</f>
        <v>ASALARIADO</v>
      </c>
    </row>
    <row r="2427" spans="1:16" x14ac:dyDescent="0.3">
      <c r="A2427">
        <v>2426</v>
      </c>
      <c r="B2427" t="s">
        <v>15</v>
      </c>
      <c r="C2427">
        <v>297046</v>
      </c>
      <c r="D2427" t="s">
        <v>17</v>
      </c>
      <c r="E2427" t="s">
        <v>16</v>
      </c>
      <c r="F2427" t="s">
        <v>12</v>
      </c>
      <c r="G2427" t="s">
        <v>12</v>
      </c>
      <c r="H2427" t="s">
        <v>13</v>
      </c>
      <c r="I2427">
        <v>55</v>
      </c>
      <c r="J2427">
        <f>ABS((I2427-EDA!$A$15)/EDA!$B$15)</f>
        <v>0.91891960386150484</v>
      </c>
      <c r="K2427" t="str">
        <f t="shared" si="37"/>
        <v>No</v>
      </c>
      <c r="L2427">
        <f>ABS((C2427-EDA!$F$15)/EDA!$G$15)</f>
        <v>0.37071091707942361</v>
      </c>
      <c r="M2427" t="str">
        <f>IF(moras[[#This Row],[Z-Score Salario]]&gt;1.96, "Sí", "No")</f>
        <v>No</v>
      </c>
      <c r="N2427" s="14">
        <f>IF(ISBLANK(moras[[#This Row],[SALARIO]]), EDA!$M$8, moras[[#This Row],[SALARIO]])</f>
        <v>297046</v>
      </c>
      <c r="O2427" s="14">
        <f xml:space="preserve"> IF(ISBLANK(moras[[#This Row],[EDAD]]), EDA!$E$8, moras[[#This Row],[EDAD]])</f>
        <v>55</v>
      </c>
      <c r="P2427" s="14" t="str">
        <f>IF(
    OR(ISBLANK(moras[[#This Row],[TIPO_ASEGURAMIENTO]]), moras[[#This Row],[TIPO_ASEGURAMIENTO]]=""),
    EDA!$A$32,
    moras[[#This Row],[TIPO_ASEGURAMIENTO]]
)</f>
        <v>ASEGURADO VOLUNTARIO</v>
      </c>
    </row>
    <row r="2428" spans="1:16" x14ac:dyDescent="0.3">
      <c r="A2428">
        <v>2427</v>
      </c>
      <c r="B2428" t="s">
        <v>9</v>
      </c>
      <c r="C2428">
        <v>391510</v>
      </c>
      <c r="D2428" t="s">
        <v>10</v>
      </c>
      <c r="E2428" t="s">
        <v>16</v>
      </c>
      <c r="F2428" t="s">
        <v>12</v>
      </c>
      <c r="G2428" t="s">
        <v>13</v>
      </c>
      <c r="H2428" t="s">
        <v>13</v>
      </c>
      <c r="I2428">
        <v>31</v>
      </c>
      <c r="J2428">
        <f>ABS((I2428-EDA!$A$15)/EDA!$B$15)</f>
        <v>0.77488831798979529</v>
      </c>
      <c r="K2428" t="str">
        <f t="shared" si="37"/>
        <v>No</v>
      </c>
      <c r="L2428">
        <f>ABS((C2428-EDA!$F$15)/EDA!$G$15)</f>
        <v>0.36913896943613378</v>
      </c>
      <c r="M2428" t="str">
        <f>IF(moras[[#This Row],[Z-Score Salario]]&gt;1.96, "Sí", "No")</f>
        <v>No</v>
      </c>
      <c r="N2428" s="14">
        <f>IF(ISBLANK(moras[[#This Row],[SALARIO]]), EDA!$M$8, moras[[#This Row],[SALARIO]])</f>
        <v>391510</v>
      </c>
      <c r="O2428" s="14">
        <f xml:space="preserve"> IF(ISBLANK(moras[[#This Row],[EDAD]]), EDA!$E$8, moras[[#This Row],[EDAD]])</f>
        <v>31</v>
      </c>
      <c r="P2428" s="14" t="str">
        <f>IF(
    OR(ISBLANK(moras[[#This Row],[TIPO_ASEGURAMIENTO]]), moras[[#This Row],[TIPO_ASEGURAMIENTO]]=""),
    EDA!$A$32,
    moras[[#This Row],[TIPO_ASEGURAMIENTO]]
)</f>
        <v>ASALARIADO</v>
      </c>
    </row>
    <row r="2429" spans="1:16" x14ac:dyDescent="0.3">
      <c r="A2429">
        <v>2428</v>
      </c>
      <c r="B2429" t="s">
        <v>9</v>
      </c>
      <c r="C2429">
        <v>447250</v>
      </c>
      <c r="D2429" t="s">
        <v>10</v>
      </c>
      <c r="E2429" t="s">
        <v>16</v>
      </c>
      <c r="F2429" t="s">
        <v>12</v>
      </c>
      <c r="G2429" t="s">
        <v>13</v>
      </c>
      <c r="H2429" t="s">
        <v>13</v>
      </c>
      <c r="I2429">
        <v>37</v>
      </c>
      <c r="J2429">
        <f>ABS((I2429-EDA!$A$15)/EDA!$B$15)</f>
        <v>0.35143633752697023</v>
      </c>
      <c r="K2429" t="str">
        <f t="shared" si="37"/>
        <v>No</v>
      </c>
      <c r="L2429">
        <f>ABS((C2429-EDA!$F$15)/EDA!$G$15)</f>
        <v>0.36821141648858791</v>
      </c>
      <c r="M2429" t="str">
        <f>IF(moras[[#This Row],[Z-Score Salario]]&gt;1.96, "Sí", "No")</f>
        <v>No</v>
      </c>
      <c r="N2429" s="14">
        <f>IF(ISBLANK(moras[[#This Row],[SALARIO]]), EDA!$M$8, moras[[#This Row],[SALARIO]])</f>
        <v>447250</v>
      </c>
      <c r="O2429" s="14">
        <f xml:space="preserve"> IF(ISBLANK(moras[[#This Row],[EDAD]]), EDA!$E$8, moras[[#This Row],[EDAD]])</f>
        <v>37</v>
      </c>
      <c r="P2429" s="14" t="str">
        <f>IF(
    OR(ISBLANK(moras[[#This Row],[TIPO_ASEGURAMIENTO]]), moras[[#This Row],[TIPO_ASEGURAMIENTO]]=""),
    EDA!$A$32,
    moras[[#This Row],[TIPO_ASEGURAMIENTO]]
)</f>
        <v>ASALARIADO</v>
      </c>
    </row>
    <row r="2430" spans="1:16" x14ac:dyDescent="0.3">
      <c r="A2430">
        <v>2429</v>
      </c>
      <c r="B2430" t="s">
        <v>9</v>
      </c>
      <c r="C2430">
        <v>51873806</v>
      </c>
      <c r="D2430" t="s">
        <v>10</v>
      </c>
      <c r="E2430" t="s">
        <v>16</v>
      </c>
      <c r="F2430" t="s">
        <v>12</v>
      </c>
      <c r="G2430" t="s">
        <v>12</v>
      </c>
      <c r="H2430" t="s">
        <v>13</v>
      </c>
      <c r="I2430">
        <v>41</v>
      </c>
      <c r="J2430">
        <f>ABS((I2430-EDA!$A$15)/EDA!$B$15)</f>
        <v>6.9135017218420233E-2</v>
      </c>
      <c r="K2430" t="str">
        <f t="shared" si="37"/>
        <v>No</v>
      </c>
      <c r="L2430">
        <f>ABS((C2430-EDA!$F$15)/EDA!$G$15)</f>
        <v>0.48756277798455128</v>
      </c>
      <c r="M2430" t="str">
        <f>IF(moras[[#This Row],[Z-Score Salario]]&gt;1.96, "Sí", "No")</f>
        <v>No</v>
      </c>
      <c r="N2430" s="14">
        <f>IF(ISBLANK(moras[[#This Row],[SALARIO]]), EDA!$M$8, moras[[#This Row],[SALARIO]])</f>
        <v>51873806</v>
      </c>
      <c r="O2430" s="14">
        <f xml:space="preserve"> IF(ISBLANK(moras[[#This Row],[EDAD]]), EDA!$E$8, moras[[#This Row],[EDAD]])</f>
        <v>41</v>
      </c>
      <c r="P2430" s="14" t="str">
        <f>IF(
    OR(ISBLANK(moras[[#This Row],[TIPO_ASEGURAMIENTO]]), moras[[#This Row],[TIPO_ASEGURAMIENTO]]=""),
    EDA!$A$32,
    moras[[#This Row],[TIPO_ASEGURAMIENTO]]
)</f>
        <v>ASALARIADO</v>
      </c>
    </row>
    <row r="2431" spans="1:16" x14ac:dyDescent="0.3">
      <c r="A2431">
        <v>2430</v>
      </c>
      <c r="B2431" t="s">
        <v>15</v>
      </c>
      <c r="C2431">
        <v>1373096</v>
      </c>
      <c r="D2431" t="s">
        <v>10</v>
      </c>
      <c r="E2431" t="s">
        <v>11</v>
      </c>
      <c r="F2431" t="s">
        <v>12</v>
      </c>
      <c r="G2431" t="s">
        <v>13</v>
      </c>
      <c r="H2431" t="s">
        <v>13</v>
      </c>
      <c r="I2431">
        <v>37</v>
      </c>
      <c r="J2431">
        <f>ABS((I2431-EDA!$A$15)/EDA!$B$15)</f>
        <v>0.35143633752697023</v>
      </c>
      <c r="K2431" t="str">
        <f t="shared" si="37"/>
        <v>No</v>
      </c>
      <c r="L2431">
        <f>ABS((C2431-EDA!$F$15)/EDA!$G$15)</f>
        <v>0.3528046854826038</v>
      </c>
      <c r="M2431" t="str">
        <f>IF(moras[[#This Row],[Z-Score Salario]]&gt;1.96, "Sí", "No")</f>
        <v>No</v>
      </c>
      <c r="N2431" s="14">
        <f>IF(ISBLANK(moras[[#This Row],[SALARIO]]), EDA!$M$8, moras[[#This Row],[SALARIO]])</f>
        <v>1373096</v>
      </c>
      <c r="O2431" s="14">
        <f xml:space="preserve"> IF(ISBLANK(moras[[#This Row],[EDAD]]), EDA!$E$8, moras[[#This Row],[EDAD]])</f>
        <v>37</v>
      </c>
      <c r="P2431" s="14" t="str">
        <f>IF(
    OR(ISBLANK(moras[[#This Row],[TIPO_ASEGURAMIENTO]]), moras[[#This Row],[TIPO_ASEGURAMIENTO]]=""),
    EDA!$A$32,
    moras[[#This Row],[TIPO_ASEGURAMIENTO]]
)</f>
        <v>ASALARIADO</v>
      </c>
    </row>
    <row r="2432" spans="1:16" x14ac:dyDescent="0.3">
      <c r="A2432">
        <v>2431</v>
      </c>
      <c r="B2432" t="s">
        <v>15</v>
      </c>
      <c r="C2432">
        <v>57461166</v>
      </c>
      <c r="D2432" t="s">
        <v>10</v>
      </c>
      <c r="E2432" t="s">
        <v>16</v>
      </c>
      <c r="F2432" t="s">
        <v>12</v>
      </c>
      <c r="G2432" t="s">
        <v>13</v>
      </c>
      <c r="H2432" t="s">
        <v>13</v>
      </c>
      <c r="I2432">
        <v>37</v>
      </c>
      <c r="J2432">
        <f>ABS((I2432-EDA!$A$15)/EDA!$B$15)</f>
        <v>0.35143633752697023</v>
      </c>
      <c r="K2432" t="str">
        <f t="shared" si="37"/>
        <v>No</v>
      </c>
      <c r="L2432">
        <f>ABS((C2432-EDA!$F$15)/EDA!$G$15)</f>
        <v>0.58054039257012535</v>
      </c>
      <c r="M2432" t="str">
        <f>IF(moras[[#This Row],[Z-Score Salario]]&gt;1.96, "Sí", "No")</f>
        <v>No</v>
      </c>
      <c r="N2432" s="14">
        <f>IF(ISBLANK(moras[[#This Row],[SALARIO]]), EDA!$M$8, moras[[#This Row],[SALARIO]])</f>
        <v>57461166</v>
      </c>
      <c r="O2432" s="14">
        <f xml:space="preserve"> IF(ISBLANK(moras[[#This Row],[EDAD]]), EDA!$E$8, moras[[#This Row],[EDAD]])</f>
        <v>37</v>
      </c>
      <c r="P2432" s="14" t="str">
        <f>IF(
    OR(ISBLANK(moras[[#This Row],[TIPO_ASEGURAMIENTO]]), moras[[#This Row],[TIPO_ASEGURAMIENTO]]=""),
    EDA!$A$32,
    moras[[#This Row],[TIPO_ASEGURAMIENTO]]
)</f>
        <v>ASALARIADO</v>
      </c>
    </row>
    <row r="2433" spans="1:16" x14ac:dyDescent="0.3">
      <c r="A2433">
        <v>2432</v>
      </c>
      <c r="B2433" t="s">
        <v>9</v>
      </c>
      <c r="C2433">
        <v>4502977</v>
      </c>
      <c r="D2433" t="s">
        <v>10</v>
      </c>
      <c r="E2433" t="s">
        <v>16</v>
      </c>
      <c r="F2433" t="s">
        <v>12</v>
      </c>
      <c r="G2433" t="s">
        <v>13</v>
      </c>
      <c r="H2433" t="s">
        <v>13</v>
      </c>
      <c r="I2433">
        <v>43</v>
      </c>
      <c r="J2433">
        <f>ABS((I2433-EDA!$A$15)/EDA!$B$15)</f>
        <v>7.2015642935854773E-2</v>
      </c>
      <c r="K2433" t="str">
        <f t="shared" si="37"/>
        <v>No</v>
      </c>
      <c r="L2433">
        <f>ABS((C2433-EDA!$F$15)/EDA!$G$15)</f>
        <v>0.3007212562214302</v>
      </c>
      <c r="M2433" t="str">
        <f>IF(moras[[#This Row],[Z-Score Salario]]&gt;1.96, "Sí", "No")</f>
        <v>No</v>
      </c>
      <c r="N2433" s="14">
        <f>IF(ISBLANK(moras[[#This Row],[SALARIO]]), EDA!$M$8, moras[[#This Row],[SALARIO]])</f>
        <v>4502977</v>
      </c>
      <c r="O2433" s="14">
        <f xml:space="preserve"> IF(ISBLANK(moras[[#This Row],[EDAD]]), EDA!$E$8, moras[[#This Row],[EDAD]])</f>
        <v>43</v>
      </c>
      <c r="P2433" s="14" t="str">
        <f>IF(
    OR(ISBLANK(moras[[#This Row],[TIPO_ASEGURAMIENTO]]), moras[[#This Row],[TIPO_ASEGURAMIENTO]]=""),
    EDA!$A$32,
    moras[[#This Row],[TIPO_ASEGURAMIENTO]]
)</f>
        <v>ASALARIADO</v>
      </c>
    </row>
    <row r="2434" spans="1:16" x14ac:dyDescent="0.3">
      <c r="A2434">
        <v>2433</v>
      </c>
      <c r="B2434" t="s">
        <v>15</v>
      </c>
      <c r="C2434">
        <v>477000</v>
      </c>
      <c r="D2434" t="s">
        <v>10</v>
      </c>
      <c r="E2434" t="s">
        <v>16</v>
      </c>
      <c r="F2434" t="s">
        <v>12</v>
      </c>
      <c r="G2434" t="s">
        <v>13</v>
      </c>
      <c r="H2434" t="s">
        <v>13</v>
      </c>
      <c r="I2434">
        <v>34</v>
      </c>
      <c r="J2434">
        <f>ABS((I2434-EDA!$A$15)/EDA!$B$15)</f>
        <v>0.56316232775838282</v>
      </c>
      <c r="K2434" t="str">
        <f t="shared" ref="K2434:K2497" si="38">IF(J2434 &gt;  1.96, "Sí","No")</f>
        <v>No</v>
      </c>
      <c r="L2434">
        <f>ABS((C2434-EDA!$F$15)/EDA!$G$15)</f>
        <v>0.36771635548770004</v>
      </c>
      <c r="M2434" t="str">
        <f>IF(moras[[#This Row],[Z-Score Salario]]&gt;1.96, "Sí", "No")</f>
        <v>No</v>
      </c>
      <c r="N2434" s="14">
        <f>IF(ISBLANK(moras[[#This Row],[SALARIO]]), EDA!$M$8, moras[[#This Row],[SALARIO]])</f>
        <v>477000</v>
      </c>
      <c r="O2434" s="14">
        <f xml:space="preserve"> IF(ISBLANK(moras[[#This Row],[EDAD]]), EDA!$E$8, moras[[#This Row],[EDAD]])</f>
        <v>34</v>
      </c>
      <c r="P2434" s="14" t="str">
        <f>IF(
    OR(ISBLANK(moras[[#This Row],[TIPO_ASEGURAMIENTO]]), moras[[#This Row],[TIPO_ASEGURAMIENTO]]=""),
    EDA!$A$32,
    moras[[#This Row],[TIPO_ASEGURAMIENTO]]
)</f>
        <v>ASALARIADO</v>
      </c>
    </row>
    <row r="2435" spans="1:16" x14ac:dyDescent="0.3">
      <c r="A2435">
        <v>2434</v>
      </c>
      <c r="B2435" t="s">
        <v>9</v>
      </c>
      <c r="C2435">
        <v>416418177</v>
      </c>
      <c r="D2435" t="s">
        <v>10</v>
      </c>
      <c r="E2435" t="s">
        <v>16</v>
      </c>
      <c r="F2435" t="s">
        <v>12</v>
      </c>
      <c r="G2435" t="s">
        <v>13</v>
      </c>
      <c r="H2435" t="s">
        <v>13</v>
      </c>
      <c r="I2435">
        <v>35</v>
      </c>
      <c r="J2435">
        <f>ABS((I2435-EDA!$A$15)/EDA!$B$15)</f>
        <v>0.49258699768124525</v>
      </c>
      <c r="K2435" t="str">
        <f t="shared" si="38"/>
        <v>No</v>
      </c>
      <c r="L2435">
        <f>ABS((C2435-EDA!$F$15)/EDA!$G$15)</f>
        <v>6.5538384477424527</v>
      </c>
      <c r="M2435" t="str">
        <f>IF(moras[[#This Row],[Z-Score Salario]]&gt;1.96, "Sí", "No")</f>
        <v>Sí</v>
      </c>
      <c r="N2435" s="14">
        <f>IF(ISBLANK(moras[[#This Row],[SALARIO]]), EDA!$M$8, moras[[#This Row],[SALARIO]])</f>
        <v>416418177</v>
      </c>
      <c r="O2435" s="14">
        <f xml:space="preserve"> IF(ISBLANK(moras[[#This Row],[EDAD]]), EDA!$E$8, moras[[#This Row],[EDAD]])</f>
        <v>35</v>
      </c>
      <c r="P2435" s="14" t="str">
        <f>IF(
    OR(ISBLANK(moras[[#This Row],[TIPO_ASEGURAMIENTO]]), moras[[#This Row],[TIPO_ASEGURAMIENTO]]=""),
    EDA!$A$32,
    moras[[#This Row],[TIPO_ASEGURAMIENTO]]
)</f>
        <v>ASALARIADO</v>
      </c>
    </row>
    <row r="2436" spans="1:16" x14ac:dyDescent="0.3">
      <c r="A2436">
        <v>2435</v>
      </c>
      <c r="B2436" t="s">
        <v>15</v>
      </c>
      <c r="C2436">
        <v>147669345</v>
      </c>
      <c r="D2436" t="s">
        <v>14</v>
      </c>
      <c r="E2436" t="s">
        <v>11</v>
      </c>
      <c r="F2436" t="s">
        <v>12</v>
      </c>
      <c r="G2436" t="s">
        <v>13</v>
      </c>
      <c r="H2436" t="s">
        <v>13</v>
      </c>
      <c r="I2436">
        <v>62</v>
      </c>
      <c r="J2436">
        <f>ABS((I2436-EDA!$A$15)/EDA!$B$15)</f>
        <v>1.4129469144014672</v>
      </c>
      <c r="K2436" t="str">
        <f t="shared" si="38"/>
        <v>No</v>
      </c>
      <c r="L2436">
        <f>ABS((C2436-EDA!$F$15)/EDA!$G$15)</f>
        <v>2.0816681701839665</v>
      </c>
      <c r="M2436" t="str">
        <f>IF(moras[[#This Row],[Z-Score Salario]]&gt;1.96, "Sí", "No")</f>
        <v>Sí</v>
      </c>
      <c r="N2436" s="14">
        <f>IF(ISBLANK(moras[[#This Row],[SALARIO]]), EDA!$M$8, moras[[#This Row],[SALARIO]])</f>
        <v>147669345</v>
      </c>
      <c r="O2436" s="14">
        <f xml:space="preserve"> IF(ISBLANK(moras[[#This Row],[EDAD]]), EDA!$E$8, moras[[#This Row],[EDAD]])</f>
        <v>62</v>
      </c>
      <c r="P2436" s="14" t="str">
        <f>IF(
    OR(ISBLANK(moras[[#This Row],[TIPO_ASEGURAMIENTO]]), moras[[#This Row],[TIPO_ASEGURAMIENTO]]=""),
    EDA!$A$32,
    moras[[#This Row],[TIPO_ASEGURAMIENTO]]
)</f>
        <v>PENSIONADOS EN SU PROPIO SISTEMA</v>
      </c>
    </row>
    <row r="2437" spans="1:16" x14ac:dyDescent="0.3">
      <c r="A2437">
        <v>2436</v>
      </c>
      <c r="B2437" t="s">
        <v>9</v>
      </c>
      <c r="C2437">
        <v>278030</v>
      </c>
      <c r="D2437" t="s">
        <v>18</v>
      </c>
      <c r="E2437" t="s">
        <v>16</v>
      </c>
      <c r="F2437" t="s">
        <v>12</v>
      </c>
      <c r="G2437" t="s">
        <v>13</v>
      </c>
      <c r="H2437" t="s">
        <v>13</v>
      </c>
      <c r="I2437">
        <v>38</v>
      </c>
      <c r="J2437">
        <f>ABS((I2437-EDA!$A$15)/EDA!$B$15)</f>
        <v>0.28086100744983278</v>
      </c>
      <c r="K2437" t="str">
        <f t="shared" si="38"/>
        <v>No</v>
      </c>
      <c r="L2437">
        <f>ABS((C2437-EDA!$F$15)/EDA!$G$15)</f>
        <v>0.37102735674304993</v>
      </c>
      <c r="M2437" t="str">
        <f>IF(moras[[#This Row],[Z-Score Salario]]&gt;1.96, "Sí", "No")</f>
        <v>No</v>
      </c>
      <c r="N2437" s="14">
        <f>IF(ISBLANK(moras[[#This Row],[SALARIO]]), EDA!$M$8, moras[[#This Row],[SALARIO]])</f>
        <v>278030</v>
      </c>
      <c r="O2437" s="14">
        <f xml:space="preserve"> IF(ISBLANK(moras[[#This Row],[EDAD]]), EDA!$E$8, moras[[#This Row],[EDAD]])</f>
        <v>38</v>
      </c>
      <c r="P2437" s="14" t="str">
        <f>IF(
    OR(ISBLANK(moras[[#This Row],[TIPO_ASEGURAMIENTO]]), moras[[#This Row],[TIPO_ASEGURAMIENTO]]=""),
    EDA!$A$32,
    moras[[#This Row],[TIPO_ASEGURAMIENTO]]
)</f>
        <v>TRABAJADOR INDEPENDIENTE</v>
      </c>
    </row>
    <row r="2438" spans="1:16" x14ac:dyDescent="0.3">
      <c r="A2438">
        <v>2437</v>
      </c>
      <c r="B2438" t="s">
        <v>9</v>
      </c>
      <c r="C2438">
        <v>5348155</v>
      </c>
      <c r="D2438" t="s">
        <v>10</v>
      </c>
      <c r="E2438" t="s">
        <v>11</v>
      </c>
      <c r="F2438" t="s">
        <v>12</v>
      </c>
      <c r="G2438" t="s">
        <v>13</v>
      </c>
      <c r="H2438" t="s">
        <v>13</v>
      </c>
      <c r="I2438">
        <v>26</v>
      </c>
      <c r="J2438">
        <f>ABS((I2438-EDA!$A$15)/EDA!$B$15)</f>
        <v>1.1277649683754829</v>
      </c>
      <c r="K2438" t="str">
        <f t="shared" si="38"/>
        <v>No</v>
      </c>
      <c r="L2438">
        <f>ABS((C2438-EDA!$F$15)/EDA!$G$15)</f>
        <v>0.28665689767997121</v>
      </c>
      <c r="M2438" t="str">
        <f>IF(moras[[#This Row],[Z-Score Salario]]&gt;1.96, "Sí", "No")</f>
        <v>No</v>
      </c>
      <c r="N2438" s="14">
        <f>IF(ISBLANK(moras[[#This Row],[SALARIO]]), EDA!$M$8, moras[[#This Row],[SALARIO]])</f>
        <v>5348155</v>
      </c>
      <c r="O2438" s="14">
        <f xml:space="preserve"> IF(ISBLANK(moras[[#This Row],[EDAD]]), EDA!$E$8, moras[[#This Row],[EDAD]])</f>
        <v>26</v>
      </c>
      <c r="P2438" s="14" t="str">
        <f>IF(
    OR(ISBLANK(moras[[#This Row],[TIPO_ASEGURAMIENTO]]), moras[[#This Row],[TIPO_ASEGURAMIENTO]]=""),
    EDA!$A$32,
    moras[[#This Row],[TIPO_ASEGURAMIENTO]]
)</f>
        <v>ASALARIADO</v>
      </c>
    </row>
    <row r="2439" spans="1:16" x14ac:dyDescent="0.3">
      <c r="A2439">
        <v>2438</v>
      </c>
      <c r="B2439" t="s">
        <v>9</v>
      </c>
      <c r="C2439">
        <v>2767500</v>
      </c>
      <c r="D2439" t="s">
        <v>10</v>
      </c>
      <c r="E2439" t="s">
        <v>16</v>
      </c>
      <c r="F2439" t="s">
        <v>12</v>
      </c>
      <c r="G2439" t="s">
        <v>13</v>
      </c>
      <c r="H2439" t="s">
        <v>13</v>
      </c>
      <c r="I2439">
        <v>24</v>
      </c>
      <c r="J2439">
        <f>ABS((I2439-EDA!$A$15)/EDA!$B$15)</f>
        <v>1.2689156285297578</v>
      </c>
      <c r="K2439" t="str">
        <f t="shared" si="38"/>
        <v>No</v>
      </c>
      <c r="L2439">
        <f>ABS((C2439-EDA!$F$15)/EDA!$G$15)</f>
        <v>0.32960081859581242</v>
      </c>
      <c r="M2439" t="str">
        <f>IF(moras[[#This Row],[Z-Score Salario]]&gt;1.96, "Sí", "No")</f>
        <v>No</v>
      </c>
      <c r="N2439" s="14">
        <f>IF(ISBLANK(moras[[#This Row],[SALARIO]]), EDA!$M$8, moras[[#This Row],[SALARIO]])</f>
        <v>2767500</v>
      </c>
      <c r="O2439" s="14">
        <f xml:space="preserve"> IF(ISBLANK(moras[[#This Row],[EDAD]]), EDA!$E$8, moras[[#This Row],[EDAD]])</f>
        <v>24</v>
      </c>
      <c r="P2439" s="14" t="str">
        <f>IF(
    OR(ISBLANK(moras[[#This Row],[TIPO_ASEGURAMIENTO]]), moras[[#This Row],[TIPO_ASEGURAMIENTO]]=""),
    EDA!$A$32,
    moras[[#This Row],[TIPO_ASEGURAMIENTO]]
)</f>
        <v>ASALARIADO</v>
      </c>
    </row>
    <row r="2440" spans="1:16" x14ac:dyDescent="0.3">
      <c r="A2440">
        <v>2439</v>
      </c>
      <c r="B2440" t="s">
        <v>9</v>
      </c>
      <c r="C2440">
        <v>297046</v>
      </c>
      <c r="D2440" t="s">
        <v>18</v>
      </c>
      <c r="E2440" t="s">
        <v>16</v>
      </c>
      <c r="F2440" t="s">
        <v>12</v>
      </c>
      <c r="G2440" t="s">
        <v>13</v>
      </c>
      <c r="H2440" t="s">
        <v>13</v>
      </c>
      <c r="I2440">
        <v>29</v>
      </c>
      <c r="J2440">
        <f>ABS((I2440-EDA!$A$15)/EDA!$B$15)</f>
        <v>0.91603897814407031</v>
      </c>
      <c r="K2440" t="str">
        <f t="shared" si="38"/>
        <v>No</v>
      </c>
      <c r="L2440">
        <f>ABS((C2440-EDA!$F$15)/EDA!$G$15)</f>
        <v>0.37071091707942361</v>
      </c>
      <c r="M2440" t="str">
        <f>IF(moras[[#This Row],[Z-Score Salario]]&gt;1.96, "Sí", "No")</f>
        <v>No</v>
      </c>
      <c r="N2440" s="14">
        <f>IF(ISBLANK(moras[[#This Row],[SALARIO]]), EDA!$M$8, moras[[#This Row],[SALARIO]])</f>
        <v>297046</v>
      </c>
      <c r="O2440" s="14">
        <f xml:space="preserve"> IF(ISBLANK(moras[[#This Row],[EDAD]]), EDA!$E$8, moras[[#This Row],[EDAD]])</f>
        <v>29</v>
      </c>
      <c r="P2440" s="14" t="str">
        <f>IF(
    OR(ISBLANK(moras[[#This Row],[TIPO_ASEGURAMIENTO]]), moras[[#This Row],[TIPO_ASEGURAMIENTO]]=""),
    EDA!$A$32,
    moras[[#This Row],[TIPO_ASEGURAMIENTO]]
)</f>
        <v>TRABAJADOR INDEPENDIENTE</v>
      </c>
    </row>
    <row r="2441" spans="1:16" x14ac:dyDescent="0.3">
      <c r="A2441">
        <v>2440</v>
      </c>
      <c r="B2441" t="s">
        <v>15</v>
      </c>
      <c r="C2441">
        <v>278030</v>
      </c>
      <c r="D2441" t="s">
        <v>19</v>
      </c>
      <c r="E2441" t="s">
        <v>16</v>
      </c>
      <c r="F2441" t="s">
        <v>12</v>
      </c>
      <c r="G2441" t="s">
        <v>13</v>
      </c>
      <c r="H2441" t="s">
        <v>13</v>
      </c>
      <c r="I2441">
        <v>39</v>
      </c>
      <c r="J2441">
        <f>ABS((I2441-EDA!$A$15)/EDA!$B$15)</f>
        <v>0.21028567737269524</v>
      </c>
      <c r="K2441" t="str">
        <f t="shared" si="38"/>
        <v>No</v>
      </c>
      <c r="L2441">
        <f>ABS((C2441-EDA!$F$15)/EDA!$G$15)</f>
        <v>0.37102735674304993</v>
      </c>
      <c r="M2441" t="str">
        <f>IF(moras[[#This Row],[Z-Score Salario]]&gt;1.96, "Sí", "No")</f>
        <v>No</v>
      </c>
      <c r="N2441" s="14">
        <f>IF(ISBLANK(moras[[#This Row],[SALARIO]]), EDA!$M$8, moras[[#This Row],[SALARIO]])</f>
        <v>278030</v>
      </c>
      <c r="O2441" s="14">
        <f xml:space="preserve"> IF(ISBLANK(moras[[#This Row],[EDAD]]), EDA!$E$8, moras[[#This Row],[EDAD]])</f>
        <v>39</v>
      </c>
      <c r="P2441" s="14" t="str">
        <f>IF(
    OR(ISBLANK(moras[[#This Row],[TIPO_ASEGURAMIENTO]]), moras[[#This Row],[TIPO_ASEGURAMIENTO]]=""),
    EDA!$A$32,
    moras[[#This Row],[TIPO_ASEGURAMIENTO]]
)</f>
        <v>CONVENIOS ESPECIALES DE TRABAJADORES INDEPENDIENTES</v>
      </c>
    </row>
    <row r="2442" spans="1:16" x14ac:dyDescent="0.3">
      <c r="A2442">
        <v>2441</v>
      </c>
      <c r="B2442" t="s">
        <v>15</v>
      </c>
      <c r="C2442">
        <v>436419</v>
      </c>
      <c r="D2442" t="s">
        <v>14</v>
      </c>
      <c r="E2442" t="s">
        <v>11</v>
      </c>
      <c r="F2442" t="s">
        <v>12</v>
      </c>
      <c r="G2442" t="s">
        <v>13</v>
      </c>
      <c r="H2442" t="s">
        <v>13</v>
      </c>
      <c r="I2442">
        <v>79</v>
      </c>
      <c r="J2442">
        <f>ABS((I2442-EDA!$A$15)/EDA!$B$15)</f>
        <v>2.6127275257128049</v>
      </c>
      <c r="K2442" t="str">
        <f t="shared" si="38"/>
        <v>Sí</v>
      </c>
      <c r="L2442">
        <f>ABS((C2442-EDA!$F$15)/EDA!$G$15)</f>
        <v>0.36839165197432294</v>
      </c>
      <c r="M2442" t="str">
        <f>IF(moras[[#This Row],[Z-Score Salario]]&gt;1.96, "Sí", "No")</f>
        <v>No</v>
      </c>
      <c r="N2442" s="14">
        <f>IF(ISBLANK(moras[[#This Row],[SALARIO]]), EDA!$M$8, moras[[#This Row],[SALARIO]])</f>
        <v>436419</v>
      </c>
      <c r="O2442" s="14">
        <f xml:space="preserve"> IF(ISBLANK(moras[[#This Row],[EDAD]]), EDA!$E$8, moras[[#This Row],[EDAD]])</f>
        <v>79</v>
      </c>
      <c r="P2442" s="14" t="str">
        <f>IF(
    OR(ISBLANK(moras[[#This Row],[TIPO_ASEGURAMIENTO]]), moras[[#This Row],[TIPO_ASEGURAMIENTO]]=""),
    EDA!$A$32,
    moras[[#This Row],[TIPO_ASEGURAMIENTO]]
)</f>
        <v>PENSIONADOS EN SU PROPIO SISTEMA</v>
      </c>
    </row>
    <row r="2443" spans="1:16" x14ac:dyDescent="0.3">
      <c r="A2443">
        <v>2442</v>
      </c>
      <c r="B2443" t="s">
        <v>15</v>
      </c>
      <c r="C2443">
        <v>734801</v>
      </c>
      <c r="D2443" t="s">
        <v>10</v>
      </c>
      <c r="E2443" t="s">
        <v>11</v>
      </c>
      <c r="F2443" t="s">
        <v>12</v>
      </c>
      <c r="G2443" t="s">
        <v>13</v>
      </c>
      <c r="H2443" t="s">
        <v>13</v>
      </c>
      <c r="I2443">
        <v>43</v>
      </c>
      <c r="J2443">
        <f>ABS((I2443-EDA!$A$15)/EDA!$B$15)</f>
        <v>7.2015642935854773E-2</v>
      </c>
      <c r="K2443" t="str">
        <f t="shared" si="38"/>
        <v>No</v>
      </c>
      <c r="L2443">
        <f>ABS((C2443-EDA!$F$15)/EDA!$G$15)</f>
        <v>0.3634263648628297</v>
      </c>
      <c r="M2443" t="str">
        <f>IF(moras[[#This Row],[Z-Score Salario]]&gt;1.96, "Sí", "No")</f>
        <v>No</v>
      </c>
      <c r="N2443" s="14">
        <f>IF(ISBLANK(moras[[#This Row],[SALARIO]]), EDA!$M$8, moras[[#This Row],[SALARIO]])</f>
        <v>734801</v>
      </c>
      <c r="O2443" s="14">
        <f xml:space="preserve"> IF(ISBLANK(moras[[#This Row],[EDAD]]), EDA!$E$8, moras[[#This Row],[EDAD]])</f>
        <v>43</v>
      </c>
      <c r="P2443" s="14" t="str">
        <f>IF(
    OR(ISBLANK(moras[[#This Row],[TIPO_ASEGURAMIENTO]]), moras[[#This Row],[TIPO_ASEGURAMIENTO]]=""),
    EDA!$A$32,
    moras[[#This Row],[TIPO_ASEGURAMIENTO]]
)</f>
        <v>ASALARIADO</v>
      </c>
    </row>
    <row r="2444" spans="1:16" x14ac:dyDescent="0.3">
      <c r="A2444">
        <v>2443</v>
      </c>
      <c r="B2444" t="s">
        <v>9</v>
      </c>
      <c r="C2444">
        <v>639148</v>
      </c>
      <c r="D2444" t="s">
        <v>18</v>
      </c>
      <c r="E2444" t="s">
        <v>16</v>
      </c>
      <c r="F2444" t="s">
        <v>12</v>
      </c>
      <c r="G2444" t="s">
        <v>13</v>
      </c>
      <c r="H2444" t="s">
        <v>12</v>
      </c>
      <c r="I2444">
        <v>44</v>
      </c>
      <c r="J2444">
        <f>ABS((I2444-EDA!$A$15)/EDA!$B$15)</f>
        <v>0.14259097301299228</v>
      </c>
      <c r="K2444" t="str">
        <f t="shared" si="38"/>
        <v>No</v>
      </c>
      <c r="L2444">
        <f>ABS((C2444-EDA!$F$15)/EDA!$G$15)</f>
        <v>0.36501809830544912</v>
      </c>
      <c r="M2444" t="str">
        <f>IF(moras[[#This Row],[Z-Score Salario]]&gt;1.96, "Sí", "No")</f>
        <v>No</v>
      </c>
      <c r="N2444" s="14">
        <f>IF(ISBLANK(moras[[#This Row],[SALARIO]]), EDA!$M$8, moras[[#This Row],[SALARIO]])</f>
        <v>639148</v>
      </c>
      <c r="O2444" s="14">
        <f xml:space="preserve"> IF(ISBLANK(moras[[#This Row],[EDAD]]), EDA!$E$8, moras[[#This Row],[EDAD]])</f>
        <v>44</v>
      </c>
      <c r="P2444" s="14" t="str">
        <f>IF(
    OR(ISBLANK(moras[[#This Row],[TIPO_ASEGURAMIENTO]]), moras[[#This Row],[TIPO_ASEGURAMIENTO]]=""),
    EDA!$A$32,
    moras[[#This Row],[TIPO_ASEGURAMIENTO]]
)</f>
        <v>TRABAJADOR INDEPENDIENTE</v>
      </c>
    </row>
    <row r="2445" spans="1:16" x14ac:dyDescent="0.3">
      <c r="A2445">
        <v>2444</v>
      </c>
      <c r="B2445" t="s">
        <v>15</v>
      </c>
      <c r="C2445">
        <v>45489951</v>
      </c>
      <c r="D2445" t="s">
        <v>10</v>
      </c>
      <c r="E2445" t="s">
        <v>11</v>
      </c>
      <c r="F2445" t="s">
        <v>12</v>
      </c>
      <c r="G2445" t="s">
        <v>13</v>
      </c>
      <c r="H2445" t="s">
        <v>13</v>
      </c>
      <c r="I2445">
        <v>59</v>
      </c>
      <c r="J2445">
        <f>ABS((I2445-EDA!$A$15)/EDA!$B$15)</f>
        <v>1.2012209241700549</v>
      </c>
      <c r="K2445" t="str">
        <f t="shared" si="38"/>
        <v>No</v>
      </c>
      <c r="L2445">
        <f>ABS((C2445-EDA!$F$15)/EDA!$G$15)</f>
        <v>0.38133092434344179</v>
      </c>
      <c r="M2445" t="str">
        <f>IF(moras[[#This Row],[Z-Score Salario]]&gt;1.96, "Sí", "No")</f>
        <v>No</v>
      </c>
      <c r="N2445" s="14">
        <f>IF(ISBLANK(moras[[#This Row],[SALARIO]]), EDA!$M$8, moras[[#This Row],[SALARIO]])</f>
        <v>45489951</v>
      </c>
      <c r="O2445" s="14">
        <f xml:space="preserve"> IF(ISBLANK(moras[[#This Row],[EDAD]]), EDA!$E$8, moras[[#This Row],[EDAD]])</f>
        <v>59</v>
      </c>
      <c r="P2445" s="14" t="str">
        <f>IF(
    OR(ISBLANK(moras[[#This Row],[TIPO_ASEGURAMIENTO]]), moras[[#This Row],[TIPO_ASEGURAMIENTO]]=""),
    EDA!$A$32,
    moras[[#This Row],[TIPO_ASEGURAMIENTO]]
)</f>
        <v>ASALARIADO</v>
      </c>
    </row>
    <row r="2446" spans="1:16" x14ac:dyDescent="0.3">
      <c r="A2446">
        <v>2445</v>
      </c>
      <c r="B2446" t="s">
        <v>15</v>
      </c>
      <c r="C2446">
        <v>362208485</v>
      </c>
      <c r="D2446" t="s">
        <v>10</v>
      </c>
      <c r="E2446" t="s">
        <v>16</v>
      </c>
      <c r="F2446" t="s">
        <v>12</v>
      </c>
      <c r="G2446" t="s">
        <v>13</v>
      </c>
      <c r="H2446" t="s">
        <v>13</v>
      </c>
      <c r="I2446">
        <v>35</v>
      </c>
      <c r="J2446">
        <f>ABS((I2446-EDA!$A$15)/EDA!$B$15)</f>
        <v>0.49258699768124525</v>
      </c>
      <c r="K2446" t="str">
        <f t="shared" si="38"/>
        <v>No</v>
      </c>
      <c r="L2446">
        <f>ABS((C2446-EDA!$F$15)/EDA!$G$15)</f>
        <v>5.6517509055796644</v>
      </c>
      <c r="M2446" t="str">
        <f>IF(moras[[#This Row],[Z-Score Salario]]&gt;1.96, "Sí", "No")</f>
        <v>Sí</v>
      </c>
      <c r="N2446" s="14">
        <f>IF(ISBLANK(moras[[#This Row],[SALARIO]]), EDA!$M$8, moras[[#This Row],[SALARIO]])</f>
        <v>362208485</v>
      </c>
      <c r="O2446" s="14">
        <f xml:space="preserve"> IF(ISBLANK(moras[[#This Row],[EDAD]]), EDA!$E$8, moras[[#This Row],[EDAD]])</f>
        <v>35</v>
      </c>
      <c r="P2446" s="14" t="str">
        <f>IF(
    OR(ISBLANK(moras[[#This Row],[TIPO_ASEGURAMIENTO]]), moras[[#This Row],[TIPO_ASEGURAMIENTO]]=""),
    EDA!$A$32,
    moras[[#This Row],[TIPO_ASEGURAMIENTO]]
)</f>
        <v>ASALARIADO</v>
      </c>
    </row>
    <row r="2447" spans="1:16" x14ac:dyDescent="0.3">
      <c r="A2447">
        <v>2446</v>
      </c>
      <c r="B2447" t="s">
        <v>9</v>
      </c>
      <c r="C2447">
        <v>360000</v>
      </c>
      <c r="D2447" t="s">
        <v>10</v>
      </c>
      <c r="E2447" t="s">
        <v>16</v>
      </c>
      <c r="F2447" t="s">
        <v>12</v>
      </c>
      <c r="G2447" t="s">
        <v>13</v>
      </c>
      <c r="H2447" t="s">
        <v>13</v>
      </c>
      <c r="I2447">
        <v>37</v>
      </c>
      <c r="J2447">
        <f>ABS((I2447-EDA!$A$15)/EDA!$B$15)</f>
        <v>0.35143633752697023</v>
      </c>
      <c r="K2447" t="str">
        <f t="shared" si="38"/>
        <v>No</v>
      </c>
      <c r="L2447">
        <f>ABS((C2447-EDA!$F$15)/EDA!$G$15)</f>
        <v>0.36966331807942709</v>
      </c>
      <c r="M2447" t="str">
        <f>IF(moras[[#This Row],[Z-Score Salario]]&gt;1.96, "Sí", "No")</f>
        <v>No</v>
      </c>
      <c r="N2447" s="14">
        <f>IF(ISBLANK(moras[[#This Row],[SALARIO]]), EDA!$M$8, moras[[#This Row],[SALARIO]])</f>
        <v>360000</v>
      </c>
      <c r="O2447" s="14">
        <f xml:space="preserve"> IF(ISBLANK(moras[[#This Row],[EDAD]]), EDA!$E$8, moras[[#This Row],[EDAD]])</f>
        <v>37</v>
      </c>
      <c r="P2447" s="14" t="str">
        <f>IF(
    OR(ISBLANK(moras[[#This Row],[TIPO_ASEGURAMIENTO]]), moras[[#This Row],[TIPO_ASEGURAMIENTO]]=""),
    EDA!$A$32,
    moras[[#This Row],[TIPO_ASEGURAMIENTO]]
)</f>
        <v>ASALARIADO</v>
      </c>
    </row>
    <row r="2448" spans="1:16" x14ac:dyDescent="0.3">
      <c r="A2448">
        <v>2447</v>
      </c>
      <c r="B2448" t="s">
        <v>15</v>
      </c>
      <c r="C2448">
        <v>1064830</v>
      </c>
      <c r="D2448" t="s">
        <v>10</v>
      </c>
      <c r="E2448" t="s">
        <v>11</v>
      </c>
      <c r="F2448" t="s">
        <v>12</v>
      </c>
      <c r="G2448" t="s">
        <v>13</v>
      </c>
      <c r="H2448" t="s">
        <v>12</v>
      </c>
      <c r="I2448">
        <v>51</v>
      </c>
      <c r="J2448">
        <f>ABS((I2448-EDA!$A$15)/EDA!$B$15)</f>
        <v>0.6366182835529548</v>
      </c>
      <c r="K2448" t="str">
        <f t="shared" si="38"/>
        <v>No</v>
      </c>
      <c r="L2448">
        <f>ABS((C2448-EDA!$F$15)/EDA!$G$15)</f>
        <v>0.35793444933133317</v>
      </c>
      <c r="M2448" t="str">
        <f>IF(moras[[#This Row],[Z-Score Salario]]&gt;1.96, "Sí", "No")</f>
        <v>No</v>
      </c>
      <c r="N2448" s="14">
        <f>IF(ISBLANK(moras[[#This Row],[SALARIO]]), EDA!$M$8, moras[[#This Row],[SALARIO]])</f>
        <v>1064830</v>
      </c>
      <c r="O2448" s="14">
        <f xml:space="preserve"> IF(ISBLANK(moras[[#This Row],[EDAD]]), EDA!$E$8, moras[[#This Row],[EDAD]])</f>
        <v>51</v>
      </c>
      <c r="P2448" s="14" t="str">
        <f>IF(
    OR(ISBLANK(moras[[#This Row],[TIPO_ASEGURAMIENTO]]), moras[[#This Row],[TIPO_ASEGURAMIENTO]]=""),
    EDA!$A$32,
    moras[[#This Row],[TIPO_ASEGURAMIENTO]]
)</f>
        <v>ASALARIADO</v>
      </c>
    </row>
    <row r="2449" spans="1:16" x14ac:dyDescent="0.3">
      <c r="A2449">
        <v>2448</v>
      </c>
      <c r="B2449" t="s">
        <v>15</v>
      </c>
      <c r="C2449">
        <v>624029</v>
      </c>
      <c r="D2449" t="s">
        <v>10</v>
      </c>
      <c r="E2449" t="s">
        <v>16</v>
      </c>
      <c r="F2449" t="s">
        <v>12</v>
      </c>
      <c r="G2449" t="s">
        <v>13</v>
      </c>
      <c r="H2449" t="s">
        <v>13</v>
      </c>
      <c r="I2449">
        <v>21</v>
      </c>
      <c r="J2449">
        <f>ABS((I2449-EDA!$A$15)/EDA!$B$15)</f>
        <v>1.4806416187611704</v>
      </c>
      <c r="K2449" t="str">
        <f t="shared" si="38"/>
        <v>No</v>
      </c>
      <c r="L2449">
        <f>ABS((C2449-EDA!$F$15)/EDA!$G$15)</f>
        <v>0.36526968913813562</v>
      </c>
      <c r="M2449" t="str">
        <f>IF(moras[[#This Row],[Z-Score Salario]]&gt;1.96, "Sí", "No")</f>
        <v>No</v>
      </c>
      <c r="N2449" s="14">
        <f>IF(ISBLANK(moras[[#This Row],[SALARIO]]), EDA!$M$8, moras[[#This Row],[SALARIO]])</f>
        <v>624029</v>
      </c>
      <c r="O2449" s="14">
        <f xml:space="preserve"> IF(ISBLANK(moras[[#This Row],[EDAD]]), EDA!$E$8, moras[[#This Row],[EDAD]])</f>
        <v>21</v>
      </c>
      <c r="P2449" s="14" t="str">
        <f>IF(
    OR(ISBLANK(moras[[#This Row],[TIPO_ASEGURAMIENTO]]), moras[[#This Row],[TIPO_ASEGURAMIENTO]]=""),
    EDA!$A$32,
    moras[[#This Row],[TIPO_ASEGURAMIENTO]]
)</f>
        <v>ASALARIADO</v>
      </c>
    </row>
    <row r="2450" spans="1:16" x14ac:dyDescent="0.3">
      <c r="A2450">
        <v>2449</v>
      </c>
      <c r="B2450" t="s">
        <v>9</v>
      </c>
      <c r="C2450">
        <v>297046</v>
      </c>
      <c r="D2450" t="s">
        <v>18</v>
      </c>
      <c r="E2450" t="s">
        <v>16</v>
      </c>
      <c r="F2450" t="s">
        <v>12</v>
      </c>
      <c r="G2450" t="s">
        <v>13</v>
      </c>
      <c r="H2450" t="s">
        <v>12</v>
      </c>
      <c r="I2450">
        <v>30</v>
      </c>
      <c r="J2450">
        <f>ABS((I2450-EDA!$A$15)/EDA!$B$15)</f>
        <v>0.84546364806693275</v>
      </c>
      <c r="K2450" t="str">
        <f t="shared" si="38"/>
        <v>No</v>
      </c>
      <c r="L2450">
        <f>ABS((C2450-EDA!$F$15)/EDA!$G$15)</f>
        <v>0.37071091707942361</v>
      </c>
      <c r="M2450" t="str">
        <f>IF(moras[[#This Row],[Z-Score Salario]]&gt;1.96, "Sí", "No")</f>
        <v>No</v>
      </c>
      <c r="N2450" s="14">
        <f>IF(ISBLANK(moras[[#This Row],[SALARIO]]), EDA!$M$8, moras[[#This Row],[SALARIO]])</f>
        <v>297046</v>
      </c>
      <c r="O2450" s="14">
        <f xml:space="preserve"> IF(ISBLANK(moras[[#This Row],[EDAD]]), EDA!$E$8, moras[[#This Row],[EDAD]])</f>
        <v>30</v>
      </c>
      <c r="P2450" s="14" t="str">
        <f>IF(
    OR(ISBLANK(moras[[#This Row],[TIPO_ASEGURAMIENTO]]), moras[[#This Row],[TIPO_ASEGURAMIENTO]]=""),
    EDA!$A$32,
    moras[[#This Row],[TIPO_ASEGURAMIENTO]]
)</f>
        <v>TRABAJADOR INDEPENDIENTE</v>
      </c>
    </row>
    <row r="2451" spans="1:16" x14ac:dyDescent="0.3">
      <c r="A2451">
        <v>2450</v>
      </c>
      <c r="B2451" t="s">
        <v>15</v>
      </c>
      <c r="C2451">
        <v>338125</v>
      </c>
      <c r="D2451" t="s">
        <v>10</v>
      </c>
      <c r="E2451" t="s">
        <v>16</v>
      </c>
      <c r="F2451" t="s">
        <v>12</v>
      </c>
      <c r="G2451" t="s">
        <v>13</v>
      </c>
      <c r="H2451" t="s">
        <v>13</v>
      </c>
      <c r="I2451">
        <v>50</v>
      </c>
      <c r="J2451">
        <f>ABS((I2451-EDA!$A$15)/EDA!$B$15)</f>
        <v>0.56604295347581735</v>
      </c>
      <c r="K2451" t="str">
        <f t="shared" si="38"/>
        <v>No</v>
      </c>
      <c r="L2451">
        <f>ABS((C2451-EDA!$F$15)/EDA!$G$15)</f>
        <v>0.37002733352125644</v>
      </c>
      <c r="M2451" t="str">
        <f>IF(moras[[#This Row],[Z-Score Salario]]&gt;1.96, "Sí", "No")</f>
        <v>No</v>
      </c>
      <c r="N2451" s="14">
        <f>IF(ISBLANK(moras[[#This Row],[SALARIO]]), EDA!$M$8, moras[[#This Row],[SALARIO]])</f>
        <v>338125</v>
      </c>
      <c r="O2451" s="14">
        <f xml:space="preserve"> IF(ISBLANK(moras[[#This Row],[EDAD]]), EDA!$E$8, moras[[#This Row],[EDAD]])</f>
        <v>50</v>
      </c>
      <c r="P2451" s="14" t="str">
        <f>IF(
    OR(ISBLANK(moras[[#This Row],[TIPO_ASEGURAMIENTO]]), moras[[#This Row],[TIPO_ASEGURAMIENTO]]=""),
    EDA!$A$32,
    moras[[#This Row],[TIPO_ASEGURAMIENTO]]
)</f>
        <v>ASALARIADO</v>
      </c>
    </row>
    <row r="2452" spans="1:16" x14ac:dyDescent="0.3">
      <c r="A2452">
        <v>2451</v>
      </c>
      <c r="B2452" t="s">
        <v>9</v>
      </c>
      <c r="C2452">
        <v>423458</v>
      </c>
      <c r="D2452" t="s">
        <v>18</v>
      </c>
      <c r="E2452" t="s">
        <v>16</v>
      </c>
      <c r="F2452" t="s">
        <v>12</v>
      </c>
      <c r="G2452" t="s">
        <v>13</v>
      </c>
      <c r="H2452" t="s">
        <v>13</v>
      </c>
      <c r="I2452">
        <v>42</v>
      </c>
      <c r="J2452">
        <f>ABS((I2452-EDA!$A$15)/EDA!$B$15)</f>
        <v>1.4403128587172659E-3</v>
      </c>
      <c r="K2452" t="str">
        <f t="shared" si="38"/>
        <v>No</v>
      </c>
      <c r="L2452">
        <f>ABS((C2452-EDA!$F$15)/EDA!$G$15)</f>
        <v>0.36860733216365094</v>
      </c>
      <c r="M2452" t="str">
        <f>IF(moras[[#This Row],[Z-Score Salario]]&gt;1.96, "Sí", "No")</f>
        <v>No</v>
      </c>
      <c r="N2452" s="14">
        <f>IF(ISBLANK(moras[[#This Row],[SALARIO]]), EDA!$M$8, moras[[#This Row],[SALARIO]])</f>
        <v>423458</v>
      </c>
      <c r="O2452" s="14">
        <f xml:space="preserve"> IF(ISBLANK(moras[[#This Row],[EDAD]]), EDA!$E$8, moras[[#This Row],[EDAD]])</f>
        <v>42</v>
      </c>
      <c r="P2452" s="14" t="str">
        <f>IF(
    OR(ISBLANK(moras[[#This Row],[TIPO_ASEGURAMIENTO]]), moras[[#This Row],[TIPO_ASEGURAMIENTO]]=""),
    EDA!$A$32,
    moras[[#This Row],[TIPO_ASEGURAMIENTO]]
)</f>
        <v>TRABAJADOR INDEPENDIENTE</v>
      </c>
    </row>
    <row r="2453" spans="1:16" x14ac:dyDescent="0.3">
      <c r="A2453">
        <v>2452</v>
      </c>
      <c r="B2453" t="s">
        <v>9</v>
      </c>
      <c r="C2453">
        <v>75000</v>
      </c>
      <c r="D2453" t="s">
        <v>10</v>
      </c>
      <c r="E2453" t="s">
        <v>16</v>
      </c>
      <c r="F2453" t="s">
        <v>12</v>
      </c>
      <c r="G2453" t="s">
        <v>13</v>
      </c>
      <c r="H2453" t="s">
        <v>12</v>
      </c>
      <c r="I2453">
        <v>28</v>
      </c>
      <c r="J2453">
        <f>ABS((I2453-EDA!$A$15)/EDA!$B$15)</f>
        <v>0.98661430822120777</v>
      </c>
      <c r="K2453" t="str">
        <f t="shared" si="38"/>
        <v>No</v>
      </c>
      <c r="L2453">
        <f>ABS((C2453-EDA!$F$15)/EDA!$G$15)</f>
        <v>0.37440591926440331</v>
      </c>
      <c r="M2453" t="str">
        <f>IF(moras[[#This Row],[Z-Score Salario]]&gt;1.96, "Sí", "No")</f>
        <v>No</v>
      </c>
      <c r="N2453" s="14">
        <f>IF(ISBLANK(moras[[#This Row],[SALARIO]]), EDA!$M$8, moras[[#This Row],[SALARIO]])</f>
        <v>75000</v>
      </c>
      <c r="O2453" s="14">
        <f xml:space="preserve"> IF(ISBLANK(moras[[#This Row],[EDAD]]), EDA!$E$8, moras[[#This Row],[EDAD]])</f>
        <v>28</v>
      </c>
      <c r="P2453" s="14" t="str">
        <f>IF(
    OR(ISBLANK(moras[[#This Row],[TIPO_ASEGURAMIENTO]]), moras[[#This Row],[TIPO_ASEGURAMIENTO]]=""),
    EDA!$A$32,
    moras[[#This Row],[TIPO_ASEGURAMIENTO]]
)</f>
        <v>ASALARIADO</v>
      </c>
    </row>
    <row r="2454" spans="1:16" x14ac:dyDescent="0.3">
      <c r="A2454">
        <v>2453</v>
      </c>
      <c r="B2454" t="s">
        <v>9</v>
      </c>
      <c r="C2454">
        <v>318000</v>
      </c>
      <c r="D2454" t="s">
        <v>10</v>
      </c>
      <c r="E2454" t="s">
        <v>16</v>
      </c>
      <c r="F2454" t="s">
        <v>12</v>
      </c>
      <c r="G2454" t="s">
        <v>13</v>
      </c>
      <c r="H2454" t="s">
        <v>12</v>
      </c>
      <c r="I2454">
        <v>50</v>
      </c>
      <c r="J2454">
        <f>ABS((I2454-EDA!$A$15)/EDA!$B$15)</f>
        <v>0.56604295347581735</v>
      </c>
      <c r="K2454" t="str">
        <f t="shared" si="38"/>
        <v>No</v>
      </c>
      <c r="L2454">
        <f>ABS((C2454-EDA!$F$15)/EDA!$G$15)</f>
        <v>0.37036222772773941</v>
      </c>
      <c r="M2454" t="str">
        <f>IF(moras[[#This Row],[Z-Score Salario]]&gt;1.96, "Sí", "No")</f>
        <v>No</v>
      </c>
      <c r="N2454" s="14">
        <f>IF(ISBLANK(moras[[#This Row],[SALARIO]]), EDA!$M$8, moras[[#This Row],[SALARIO]])</f>
        <v>318000</v>
      </c>
      <c r="O2454" s="14">
        <f xml:space="preserve"> IF(ISBLANK(moras[[#This Row],[EDAD]]), EDA!$E$8, moras[[#This Row],[EDAD]])</f>
        <v>50</v>
      </c>
      <c r="P2454" s="14" t="str">
        <f>IF(
    OR(ISBLANK(moras[[#This Row],[TIPO_ASEGURAMIENTO]]), moras[[#This Row],[TIPO_ASEGURAMIENTO]]=""),
    EDA!$A$32,
    moras[[#This Row],[TIPO_ASEGURAMIENTO]]
)</f>
        <v>ASALARIADO</v>
      </c>
    </row>
    <row r="2455" spans="1:16" x14ac:dyDescent="0.3">
      <c r="A2455">
        <v>2454</v>
      </c>
      <c r="B2455" t="s">
        <v>9</v>
      </c>
      <c r="C2455">
        <v>297187</v>
      </c>
      <c r="D2455" t="s">
        <v>18</v>
      </c>
      <c r="E2455" t="s">
        <v>16</v>
      </c>
      <c r="F2455" t="s">
        <v>12</v>
      </c>
      <c r="G2455" t="s">
        <v>13</v>
      </c>
      <c r="H2455" t="s">
        <v>13</v>
      </c>
      <c r="I2455">
        <v>41</v>
      </c>
      <c r="J2455">
        <f>ABS((I2455-EDA!$A$15)/EDA!$B$15)</f>
        <v>6.9135017218420233E-2</v>
      </c>
      <c r="K2455" t="str">
        <f t="shared" si="38"/>
        <v>No</v>
      </c>
      <c r="L2455">
        <f>ABS((C2455-EDA!$F$15)/EDA!$G$15)</f>
        <v>0.37070857073988994</v>
      </c>
      <c r="M2455" t="str">
        <f>IF(moras[[#This Row],[Z-Score Salario]]&gt;1.96, "Sí", "No")</f>
        <v>No</v>
      </c>
      <c r="N2455" s="14">
        <f>IF(ISBLANK(moras[[#This Row],[SALARIO]]), EDA!$M$8, moras[[#This Row],[SALARIO]])</f>
        <v>297187</v>
      </c>
      <c r="O2455" s="14">
        <f xml:space="preserve"> IF(ISBLANK(moras[[#This Row],[EDAD]]), EDA!$E$8, moras[[#This Row],[EDAD]])</f>
        <v>41</v>
      </c>
      <c r="P2455" s="14" t="str">
        <f>IF(
    OR(ISBLANK(moras[[#This Row],[TIPO_ASEGURAMIENTO]]), moras[[#This Row],[TIPO_ASEGURAMIENTO]]=""),
    EDA!$A$32,
    moras[[#This Row],[TIPO_ASEGURAMIENTO]]
)</f>
        <v>TRABAJADOR INDEPENDIENTE</v>
      </c>
    </row>
    <row r="2456" spans="1:16" x14ac:dyDescent="0.3">
      <c r="A2456">
        <v>2455</v>
      </c>
      <c r="B2456" t="s">
        <v>15</v>
      </c>
      <c r="C2456">
        <v>102388795</v>
      </c>
      <c r="D2456" t="s">
        <v>10</v>
      </c>
      <c r="E2456" t="s">
        <v>11</v>
      </c>
      <c r="F2456" t="s">
        <v>12</v>
      </c>
      <c r="G2456" t="s">
        <v>13</v>
      </c>
      <c r="H2456" t="s">
        <v>13</v>
      </c>
      <c r="I2456">
        <v>33</v>
      </c>
      <c r="J2456">
        <f>ABS((I2456-EDA!$A$15)/EDA!$B$15)</f>
        <v>0.63373765783552027</v>
      </c>
      <c r="K2456" t="str">
        <f t="shared" si="38"/>
        <v>No</v>
      </c>
      <c r="L2456">
        <f>ABS((C2456-EDA!$F$15)/EDA!$G$15)</f>
        <v>1.3281678540914266</v>
      </c>
      <c r="M2456" t="str">
        <f>IF(moras[[#This Row],[Z-Score Salario]]&gt;1.96, "Sí", "No")</f>
        <v>No</v>
      </c>
      <c r="N2456" s="14">
        <f>IF(ISBLANK(moras[[#This Row],[SALARIO]]), EDA!$M$8, moras[[#This Row],[SALARIO]])</f>
        <v>102388795</v>
      </c>
      <c r="O2456" s="14">
        <f xml:space="preserve"> IF(ISBLANK(moras[[#This Row],[EDAD]]), EDA!$E$8, moras[[#This Row],[EDAD]])</f>
        <v>33</v>
      </c>
      <c r="P2456" s="14" t="str">
        <f>IF(
    OR(ISBLANK(moras[[#This Row],[TIPO_ASEGURAMIENTO]]), moras[[#This Row],[TIPO_ASEGURAMIENTO]]=""),
    EDA!$A$32,
    moras[[#This Row],[TIPO_ASEGURAMIENTO]]
)</f>
        <v>ASALARIADO</v>
      </c>
    </row>
    <row r="2457" spans="1:16" x14ac:dyDescent="0.3">
      <c r="A2457">
        <v>2456</v>
      </c>
      <c r="B2457" t="s">
        <v>15</v>
      </c>
      <c r="C2457">
        <v>297046</v>
      </c>
      <c r="D2457" t="s">
        <v>18</v>
      </c>
      <c r="E2457" t="s">
        <v>16</v>
      </c>
      <c r="F2457" t="s">
        <v>12</v>
      </c>
      <c r="G2457" t="s">
        <v>13</v>
      </c>
      <c r="H2457" t="s">
        <v>12</v>
      </c>
      <c r="I2457">
        <v>34</v>
      </c>
      <c r="J2457">
        <f>ABS((I2457-EDA!$A$15)/EDA!$B$15)</f>
        <v>0.56316232775838282</v>
      </c>
      <c r="K2457" t="str">
        <f t="shared" si="38"/>
        <v>No</v>
      </c>
      <c r="L2457">
        <f>ABS((C2457-EDA!$F$15)/EDA!$G$15)</f>
        <v>0.37071091707942361</v>
      </c>
      <c r="M2457" t="str">
        <f>IF(moras[[#This Row],[Z-Score Salario]]&gt;1.96, "Sí", "No")</f>
        <v>No</v>
      </c>
      <c r="N2457" s="14">
        <f>IF(ISBLANK(moras[[#This Row],[SALARIO]]), EDA!$M$8, moras[[#This Row],[SALARIO]])</f>
        <v>297046</v>
      </c>
      <c r="O2457" s="14">
        <f xml:space="preserve"> IF(ISBLANK(moras[[#This Row],[EDAD]]), EDA!$E$8, moras[[#This Row],[EDAD]])</f>
        <v>34</v>
      </c>
      <c r="P2457" s="14" t="str">
        <f>IF(
    OR(ISBLANK(moras[[#This Row],[TIPO_ASEGURAMIENTO]]), moras[[#This Row],[TIPO_ASEGURAMIENTO]]=""),
    EDA!$A$32,
    moras[[#This Row],[TIPO_ASEGURAMIENTO]]
)</f>
        <v>TRABAJADOR INDEPENDIENTE</v>
      </c>
    </row>
    <row r="2458" spans="1:16" x14ac:dyDescent="0.3">
      <c r="A2458">
        <v>2457</v>
      </c>
      <c r="B2458" t="s">
        <v>15</v>
      </c>
      <c r="C2458">
        <v>937593</v>
      </c>
      <c r="D2458" t="s">
        <v>10</v>
      </c>
      <c r="E2458" t="s">
        <v>11</v>
      </c>
      <c r="F2458" t="s">
        <v>12</v>
      </c>
      <c r="G2458" t="s">
        <v>13</v>
      </c>
      <c r="H2458" t="s">
        <v>13</v>
      </c>
      <c r="I2458">
        <v>56</v>
      </c>
      <c r="J2458">
        <f>ABS((I2458-EDA!$A$15)/EDA!$B$15)</f>
        <v>0.9894949339386423</v>
      </c>
      <c r="K2458" t="str">
        <f t="shared" si="38"/>
        <v>No</v>
      </c>
      <c r="L2458">
        <f>ABS((C2458-EDA!$F$15)/EDA!$G$15)</f>
        <v>0.36005176282948342</v>
      </c>
      <c r="M2458" t="str">
        <f>IF(moras[[#This Row],[Z-Score Salario]]&gt;1.96, "Sí", "No")</f>
        <v>No</v>
      </c>
      <c r="N2458" s="14">
        <f>IF(ISBLANK(moras[[#This Row],[SALARIO]]), EDA!$M$8, moras[[#This Row],[SALARIO]])</f>
        <v>937593</v>
      </c>
      <c r="O2458" s="14">
        <f xml:space="preserve"> IF(ISBLANK(moras[[#This Row],[EDAD]]), EDA!$E$8, moras[[#This Row],[EDAD]])</f>
        <v>56</v>
      </c>
      <c r="P2458" s="14" t="str">
        <f>IF(
    OR(ISBLANK(moras[[#This Row],[TIPO_ASEGURAMIENTO]]), moras[[#This Row],[TIPO_ASEGURAMIENTO]]=""),
    EDA!$A$32,
    moras[[#This Row],[TIPO_ASEGURAMIENTO]]
)</f>
        <v>ASALARIADO</v>
      </c>
    </row>
    <row r="2459" spans="1:16" x14ac:dyDescent="0.3">
      <c r="A2459">
        <v>2458</v>
      </c>
      <c r="B2459" t="s">
        <v>15</v>
      </c>
      <c r="C2459">
        <v>69761629</v>
      </c>
      <c r="D2459" t="s">
        <v>10</v>
      </c>
      <c r="E2459" t="s">
        <v>16</v>
      </c>
      <c r="F2459" t="s">
        <v>12</v>
      </c>
      <c r="G2459" t="s">
        <v>13</v>
      </c>
      <c r="H2459" t="s">
        <v>13</v>
      </c>
      <c r="I2459">
        <v>34</v>
      </c>
      <c r="J2459">
        <f>ABS((I2459-EDA!$A$15)/EDA!$B$15)</f>
        <v>0.56316232775838282</v>
      </c>
      <c r="K2459" t="str">
        <f t="shared" si="38"/>
        <v>No</v>
      </c>
      <c r="L2459">
        <f>ABS((C2459-EDA!$F$15)/EDA!$G$15)</f>
        <v>0.78522877993698792</v>
      </c>
      <c r="M2459" t="str">
        <f>IF(moras[[#This Row],[Z-Score Salario]]&gt;1.96, "Sí", "No")</f>
        <v>No</v>
      </c>
      <c r="N2459" s="14">
        <f>IF(ISBLANK(moras[[#This Row],[SALARIO]]), EDA!$M$8, moras[[#This Row],[SALARIO]])</f>
        <v>69761629</v>
      </c>
      <c r="O2459" s="14">
        <f xml:space="preserve"> IF(ISBLANK(moras[[#This Row],[EDAD]]), EDA!$E$8, moras[[#This Row],[EDAD]])</f>
        <v>34</v>
      </c>
      <c r="P2459" s="14" t="str">
        <f>IF(
    OR(ISBLANK(moras[[#This Row],[TIPO_ASEGURAMIENTO]]), moras[[#This Row],[TIPO_ASEGURAMIENTO]]=""),
    EDA!$A$32,
    moras[[#This Row],[TIPO_ASEGURAMIENTO]]
)</f>
        <v>ASALARIADO</v>
      </c>
    </row>
    <row r="2460" spans="1:16" x14ac:dyDescent="0.3">
      <c r="A2460">
        <v>2459</v>
      </c>
      <c r="B2460" t="s">
        <v>9</v>
      </c>
      <c r="C2460">
        <v>620581</v>
      </c>
      <c r="D2460" t="s">
        <v>10</v>
      </c>
      <c r="E2460" t="s">
        <v>11</v>
      </c>
      <c r="F2460" t="s">
        <v>12</v>
      </c>
      <c r="G2460" t="s">
        <v>13</v>
      </c>
      <c r="H2460" t="s">
        <v>13</v>
      </c>
      <c r="I2460">
        <v>24</v>
      </c>
      <c r="J2460">
        <f>ABS((I2460-EDA!$A$15)/EDA!$B$15)</f>
        <v>1.2689156285297578</v>
      </c>
      <c r="K2460" t="str">
        <f t="shared" si="38"/>
        <v>No</v>
      </c>
      <c r="L2460">
        <f>ABS((C2460-EDA!$F$15)/EDA!$G$15)</f>
        <v>0.36532706629212086</v>
      </c>
      <c r="M2460" t="str">
        <f>IF(moras[[#This Row],[Z-Score Salario]]&gt;1.96, "Sí", "No")</f>
        <v>No</v>
      </c>
      <c r="N2460" s="14">
        <f>IF(ISBLANK(moras[[#This Row],[SALARIO]]), EDA!$M$8, moras[[#This Row],[SALARIO]])</f>
        <v>620581</v>
      </c>
      <c r="O2460" s="14">
        <f xml:space="preserve"> IF(ISBLANK(moras[[#This Row],[EDAD]]), EDA!$E$8, moras[[#This Row],[EDAD]])</f>
        <v>24</v>
      </c>
      <c r="P2460" s="14" t="str">
        <f>IF(
    OR(ISBLANK(moras[[#This Row],[TIPO_ASEGURAMIENTO]]), moras[[#This Row],[TIPO_ASEGURAMIENTO]]=""),
    EDA!$A$32,
    moras[[#This Row],[TIPO_ASEGURAMIENTO]]
)</f>
        <v>ASALARIADO</v>
      </c>
    </row>
    <row r="2461" spans="1:16" x14ac:dyDescent="0.3">
      <c r="A2461">
        <v>2460</v>
      </c>
      <c r="B2461" t="s">
        <v>15</v>
      </c>
      <c r="C2461">
        <v>297045</v>
      </c>
      <c r="D2461" t="s">
        <v>17</v>
      </c>
      <c r="E2461" t="s">
        <v>16</v>
      </c>
      <c r="F2461" t="s">
        <v>12</v>
      </c>
      <c r="G2461" t="s">
        <v>13</v>
      </c>
      <c r="H2461" t="s">
        <v>13</v>
      </c>
      <c r="I2461">
        <v>62</v>
      </c>
      <c r="J2461">
        <f>ABS((I2461-EDA!$A$15)/EDA!$B$15)</f>
        <v>1.4129469144014672</v>
      </c>
      <c r="K2461" t="str">
        <f t="shared" si="38"/>
        <v>No</v>
      </c>
      <c r="L2461">
        <f>ABS((C2461-EDA!$F$15)/EDA!$G$15)</f>
        <v>0.37071093372012948</v>
      </c>
      <c r="M2461" t="str">
        <f>IF(moras[[#This Row],[Z-Score Salario]]&gt;1.96, "Sí", "No")</f>
        <v>No</v>
      </c>
      <c r="N2461" s="14">
        <f>IF(ISBLANK(moras[[#This Row],[SALARIO]]), EDA!$M$8, moras[[#This Row],[SALARIO]])</f>
        <v>297045</v>
      </c>
      <c r="O2461" s="14">
        <f xml:space="preserve"> IF(ISBLANK(moras[[#This Row],[EDAD]]), EDA!$E$8, moras[[#This Row],[EDAD]])</f>
        <v>62</v>
      </c>
      <c r="P2461" s="14" t="str">
        <f>IF(
    OR(ISBLANK(moras[[#This Row],[TIPO_ASEGURAMIENTO]]), moras[[#This Row],[TIPO_ASEGURAMIENTO]]=""),
    EDA!$A$32,
    moras[[#This Row],[TIPO_ASEGURAMIENTO]]
)</f>
        <v>ASEGURADO VOLUNTARIO</v>
      </c>
    </row>
    <row r="2462" spans="1:16" x14ac:dyDescent="0.3">
      <c r="A2462">
        <v>2461</v>
      </c>
      <c r="B2462" t="s">
        <v>9</v>
      </c>
      <c r="C2462">
        <v>299647</v>
      </c>
      <c r="D2462" t="s">
        <v>17</v>
      </c>
      <c r="E2462" t="s">
        <v>16</v>
      </c>
      <c r="F2462" t="s">
        <v>12</v>
      </c>
      <c r="G2462" t="s">
        <v>13</v>
      </c>
      <c r="H2462" t="s">
        <v>13</v>
      </c>
      <c r="I2462">
        <v>54</v>
      </c>
      <c r="J2462">
        <f>ABS((I2462-EDA!$A$15)/EDA!$B$15)</f>
        <v>0.84834427378436728</v>
      </c>
      <c r="K2462" t="str">
        <f t="shared" si="38"/>
        <v>No</v>
      </c>
      <c r="L2462">
        <f>ABS((C2462-EDA!$F$15)/EDA!$G$15)</f>
        <v>0.37066763460334595</v>
      </c>
      <c r="M2462" t="str">
        <f>IF(moras[[#This Row],[Z-Score Salario]]&gt;1.96, "Sí", "No")</f>
        <v>No</v>
      </c>
      <c r="N2462" s="14">
        <f>IF(ISBLANK(moras[[#This Row],[SALARIO]]), EDA!$M$8, moras[[#This Row],[SALARIO]])</f>
        <v>299647</v>
      </c>
      <c r="O2462" s="14">
        <f xml:space="preserve"> IF(ISBLANK(moras[[#This Row],[EDAD]]), EDA!$E$8, moras[[#This Row],[EDAD]])</f>
        <v>54</v>
      </c>
      <c r="P2462" s="14" t="str">
        <f>IF(
    OR(ISBLANK(moras[[#This Row],[TIPO_ASEGURAMIENTO]]), moras[[#This Row],[TIPO_ASEGURAMIENTO]]=""),
    EDA!$A$32,
    moras[[#This Row],[TIPO_ASEGURAMIENTO]]
)</f>
        <v>ASEGURADO VOLUNTARIO</v>
      </c>
    </row>
    <row r="2463" spans="1:16" x14ac:dyDescent="0.3">
      <c r="A2463">
        <v>2462</v>
      </c>
      <c r="B2463" t="s">
        <v>9</v>
      </c>
      <c r="C2463">
        <v>458490</v>
      </c>
      <c r="D2463" t="s">
        <v>10</v>
      </c>
      <c r="E2463" t="s">
        <v>16</v>
      </c>
      <c r="F2463" t="s">
        <v>12</v>
      </c>
      <c r="G2463" t="s">
        <v>13</v>
      </c>
      <c r="H2463" t="s">
        <v>13</v>
      </c>
      <c r="I2463">
        <v>27</v>
      </c>
      <c r="J2463">
        <f>ABS((I2463-EDA!$A$15)/EDA!$B$15)</f>
        <v>1.0571896382983452</v>
      </c>
      <c r="K2463" t="str">
        <f t="shared" si="38"/>
        <v>No</v>
      </c>
      <c r="L2463">
        <f>ABS((C2463-EDA!$F$15)/EDA!$G$15)</f>
        <v>0.36802437495413481</v>
      </c>
      <c r="M2463" t="str">
        <f>IF(moras[[#This Row],[Z-Score Salario]]&gt;1.96, "Sí", "No")</f>
        <v>No</v>
      </c>
      <c r="N2463" s="14">
        <f>IF(ISBLANK(moras[[#This Row],[SALARIO]]), EDA!$M$8, moras[[#This Row],[SALARIO]])</f>
        <v>458490</v>
      </c>
      <c r="O2463" s="14">
        <f xml:space="preserve"> IF(ISBLANK(moras[[#This Row],[EDAD]]), EDA!$E$8, moras[[#This Row],[EDAD]])</f>
        <v>27</v>
      </c>
      <c r="P2463" s="14" t="str">
        <f>IF(
    OR(ISBLANK(moras[[#This Row],[TIPO_ASEGURAMIENTO]]), moras[[#This Row],[TIPO_ASEGURAMIENTO]]=""),
    EDA!$A$32,
    moras[[#This Row],[TIPO_ASEGURAMIENTO]]
)</f>
        <v>ASALARIADO</v>
      </c>
    </row>
    <row r="2464" spans="1:16" x14ac:dyDescent="0.3">
      <c r="A2464">
        <v>2463</v>
      </c>
      <c r="B2464" t="s">
        <v>15</v>
      </c>
      <c r="C2464">
        <v>297044</v>
      </c>
      <c r="D2464" t="s">
        <v>17</v>
      </c>
      <c r="E2464" t="s">
        <v>16</v>
      </c>
      <c r="F2464" t="s">
        <v>12</v>
      </c>
      <c r="G2464" t="s">
        <v>12</v>
      </c>
      <c r="H2464" t="s">
        <v>13</v>
      </c>
      <c r="I2464">
        <v>57</v>
      </c>
      <c r="J2464">
        <f>ABS((I2464-EDA!$A$15)/EDA!$B$15)</f>
        <v>1.0600702640157798</v>
      </c>
      <c r="K2464" t="str">
        <f t="shared" si="38"/>
        <v>No</v>
      </c>
      <c r="L2464">
        <f>ABS((C2464-EDA!$F$15)/EDA!$G$15)</f>
        <v>0.3707109503608354</v>
      </c>
      <c r="M2464" t="str">
        <f>IF(moras[[#This Row],[Z-Score Salario]]&gt;1.96, "Sí", "No")</f>
        <v>No</v>
      </c>
      <c r="N2464" s="14">
        <f>IF(ISBLANK(moras[[#This Row],[SALARIO]]), EDA!$M$8, moras[[#This Row],[SALARIO]])</f>
        <v>297044</v>
      </c>
      <c r="O2464" s="14">
        <f xml:space="preserve"> IF(ISBLANK(moras[[#This Row],[EDAD]]), EDA!$E$8, moras[[#This Row],[EDAD]])</f>
        <v>57</v>
      </c>
      <c r="P2464" s="14" t="str">
        <f>IF(
    OR(ISBLANK(moras[[#This Row],[TIPO_ASEGURAMIENTO]]), moras[[#This Row],[TIPO_ASEGURAMIENTO]]=""),
    EDA!$A$32,
    moras[[#This Row],[TIPO_ASEGURAMIENTO]]
)</f>
        <v>ASEGURADO VOLUNTARIO</v>
      </c>
    </row>
    <row r="2465" spans="1:16" x14ac:dyDescent="0.3">
      <c r="A2465">
        <v>2464</v>
      </c>
      <c r="B2465" t="s">
        <v>9</v>
      </c>
      <c r="C2465">
        <v>639148</v>
      </c>
      <c r="D2465" t="s">
        <v>18</v>
      </c>
      <c r="E2465" t="s">
        <v>16</v>
      </c>
      <c r="F2465" t="s">
        <v>12</v>
      </c>
      <c r="G2465" t="s">
        <v>13</v>
      </c>
      <c r="H2465" t="s">
        <v>13</v>
      </c>
      <c r="I2465">
        <v>42</v>
      </c>
      <c r="J2465">
        <f>ABS((I2465-EDA!$A$15)/EDA!$B$15)</f>
        <v>1.4403128587172659E-3</v>
      </c>
      <c r="K2465" t="str">
        <f t="shared" si="38"/>
        <v>No</v>
      </c>
      <c r="L2465">
        <f>ABS((C2465-EDA!$F$15)/EDA!$G$15)</f>
        <v>0.36501809830544912</v>
      </c>
      <c r="M2465" t="str">
        <f>IF(moras[[#This Row],[Z-Score Salario]]&gt;1.96, "Sí", "No")</f>
        <v>No</v>
      </c>
      <c r="N2465" s="14">
        <f>IF(ISBLANK(moras[[#This Row],[SALARIO]]), EDA!$M$8, moras[[#This Row],[SALARIO]])</f>
        <v>639148</v>
      </c>
      <c r="O2465" s="14">
        <f xml:space="preserve"> IF(ISBLANK(moras[[#This Row],[EDAD]]), EDA!$E$8, moras[[#This Row],[EDAD]])</f>
        <v>42</v>
      </c>
      <c r="P2465" s="14" t="str">
        <f>IF(
    OR(ISBLANK(moras[[#This Row],[TIPO_ASEGURAMIENTO]]), moras[[#This Row],[TIPO_ASEGURAMIENTO]]=""),
    EDA!$A$32,
    moras[[#This Row],[TIPO_ASEGURAMIENTO]]
)</f>
        <v>TRABAJADOR INDEPENDIENTE</v>
      </c>
    </row>
    <row r="2466" spans="1:16" x14ac:dyDescent="0.3">
      <c r="A2466">
        <v>2465</v>
      </c>
      <c r="B2466" t="s">
        <v>15</v>
      </c>
      <c r="C2466">
        <v>70088278</v>
      </c>
      <c r="D2466" t="s">
        <v>10</v>
      </c>
      <c r="E2466" t="s">
        <v>16</v>
      </c>
      <c r="F2466" t="s">
        <v>12</v>
      </c>
      <c r="G2466" t="s">
        <v>13</v>
      </c>
      <c r="H2466" t="s">
        <v>13</v>
      </c>
      <c r="I2466">
        <v>44</v>
      </c>
      <c r="J2466">
        <f>ABS((I2466-EDA!$A$15)/EDA!$B$15)</f>
        <v>0.14259097301299228</v>
      </c>
      <c r="K2466" t="str">
        <f t="shared" si="38"/>
        <v>No</v>
      </c>
      <c r="L2466">
        <f>ABS((C2466-EDA!$F$15)/EDA!$G$15)</f>
        <v>0.79066444988250129</v>
      </c>
      <c r="M2466" t="str">
        <f>IF(moras[[#This Row],[Z-Score Salario]]&gt;1.96, "Sí", "No")</f>
        <v>No</v>
      </c>
      <c r="N2466" s="14">
        <f>IF(ISBLANK(moras[[#This Row],[SALARIO]]), EDA!$M$8, moras[[#This Row],[SALARIO]])</f>
        <v>70088278</v>
      </c>
      <c r="O2466" s="14">
        <f xml:space="preserve"> IF(ISBLANK(moras[[#This Row],[EDAD]]), EDA!$E$8, moras[[#This Row],[EDAD]])</f>
        <v>44</v>
      </c>
      <c r="P2466" s="14" t="str">
        <f>IF(
    OR(ISBLANK(moras[[#This Row],[TIPO_ASEGURAMIENTO]]), moras[[#This Row],[TIPO_ASEGURAMIENTO]]=""),
    EDA!$A$32,
    moras[[#This Row],[TIPO_ASEGURAMIENTO]]
)</f>
        <v>ASALARIADO</v>
      </c>
    </row>
    <row r="2467" spans="1:16" x14ac:dyDescent="0.3">
      <c r="A2467">
        <v>2466</v>
      </c>
      <c r="B2467" t="s">
        <v>9</v>
      </c>
      <c r="C2467">
        <v>278030</v>
      </c>
      <c r="D2467" t="s">
        <v>19</v>
      </c>
      <c r="E2467" t="s">
        <v>16</v>
      </c>
      <c r="F2467" t="s">
        <v>12</v>
      </c>
      <c r="G2467" t="s">
        <v>13</v>
      </c>
      <c r="H2467" t="s">
        <v>13</v>
      </c>
      <c r="I2467">
        <v>64</v>
      </c>
      <c r="J2467">
        <f>ABS((I2467-EDA!$A$15)/EDA!$B$15)</f>
        <v>1.5540975745557424</v>
      </c>
      <c r="K2467" t="str">
        <f t="shared" si="38"/>
        <v>No</v>
      </c>
      <c r="L2467">
        <f>ABS((C2467-EDA!$F$15)/EDA!$G$15)</f>
        <v>0.37102735674304993</v>
      </c>
      <c r="M2467" t="str">
        <f>IF(moras[[#This Row],[Z-Score Salario]]&gt;1.96, "Sí", "No")</f>
        <v>No</v>
      </c>
      <c r="N2467" s="14">
        <f>IF(ISBLANK(moras[[#This Row],[SALARIO]]), EDA!$M$8, moras[[#This Row],[SALARIO]])</f>
        <v>278030</v>
      </c>
      <c r="O2467" s="14">
        <f xml:space="preserve"> IF(ISBLANK(moras[[#This Row],[EDAD]]), EDA!$E$8, moras[[#This Row],[EDAD]])</f>
        <v>64</v>
      </c>
      <c r="P2467" s="14" t="str">
        <f>IF(
    OR(ISBLANK(moras[[#This Row],[TIPO_ASEGURAMIENTO]]), moras[[#This Row],[TIPO_ASEGURAMIENTO]]=""),
    EDA!$A$32,
    moras[[#This Row],[TIPO_ASEGURAMIENTO]]
)</f>
        <v>CONVENIOS ESPECIALES DE TRABAJADORES INDEPENDIENTES</v>
      </c>
    </row>
    <row r="2468" spans="1:16" x14ac:dyDescent="0.3">
      <c r="A2468">
        <v>2467</v>
      </c>
      <c r="B2468" t="s">
        <v>15</v>
      </c>
      <c r="C2468">
        <v>6973095</v>
      </c>
      <c r="D2468" t="s">
        <v>10</v>
      </c>
      <c r="E2468" t="s">
        <v>11</v>
      </c>
      <c r="F2468" t="s">
        <v>12</v>
      </c>
      <c r="G2468" t="s">
        <v>13</v>
      </c>
      <c r="H2468" t="s">
        <v>13</v>
      </c>
      <c r="I2468">
        <v>55</v>
      </c>
      <c r="J2468">
        <f>ABS((I2468-EDA!$A$15)/EDA!$B$15)</f>
        <v>0.91891960386150484</v>
      </c>
      <c r="K2468" t="str">
        <f t="shared" si="38"/>
        <v>No</v>
      </c>
      <c r="L2468">
        <f>ABS((C2468-EDA!$F$15)/EDA!$G$15)</f>
        <v>0.25961674901500553</v>
      </c>
      <c r="M2468" t="str">
        <f>IF(moras[[#This Row],[Z-Score Salario]]&gt;1.96, "Sí", "No")</f>
        <v>No</v>
      </c>
      <c r="N2468" s="14">
        <f>IF(ISBLANK(moras[[#This Row],[SALARIO]]), EDA!$M$8, moras[[#This Row],[SALARIO]])</f>
        <v>6973095</v>
      </c>
      <c r="O2468" s="14">
        <f xml:space="preserve"> IF(ISBLANK(moras[[#This Row],[EDAD]]), EDA!$E$8, moras[[#This Row],[EDAD]])</f>
        <v>55</v>
      </c>
      <c r="P2468" s="14" t="str">
        <f>IF(
    OR(ISBLANK(moras[[#This Row],[TIPO_ASEGURAMIENTO]]), moras[[#This Row],[TIPO_ASEGURAMIENTO]]=""),
    EDA!$A$32,
    moras[[#This Row],[TIPO_ASEGURAMIENTO]]
)</f>
        <v>ASALARIADO</v>
      </c>
    </row>
    <row r="2469" spans="1:16" x14ac:dyDescent="0.3">
      <c r="A2469">
        <v>2468</v>
      </c>
      <c r="B2469" t="s">
        <v>15</v>
      </c>
      <c r="C2469">
        <v>278030</v>
      </c>
      <c r="D2469" t="s">
        <v>17</v>
      </c>
      <c r="E2469" t="s">
        <v>16</v>
      </c>
      <c r="F2469" t="s">
        <v>12</v>
      </c>
      <c r="G2469" t="s">
        <v>13</v>
      </c>
      <c r="H2469" t="s">
        <v>13</v>
      </c>
      <c r="I2469">
        <v>40</v>
      </c>
      <c r="J2469">
        <f>ABS((I2469-EDA!$A$15)/EDA!$B$15)</f>
        <v>0.13971034729555773</v>
      </c>
      <c r="K2469" t="str">
        <f t="shared" si="38"/>
        <v>No</v>
      </c>
      <c r="L2469">
        <f>ABS((C2469-EDA!$F$15)/EDA!$G$15)</f>
        <v>0.37102735674304993</v>
      </c>
      <c r="M2469" t="str">
        <f>IF(moras[[#This Row],[Z-Score Salario]]&gt;1.96, "Sí", "No")</f>
        <v>No</v>
      </c>
      <c r="N2469" s="14">
        <f>IF(ISBLANK(moras[[#This Row],[SALARIO]]), EDA!$M$8, moras[[#This Row],[SALARIO]])</f>
        <v>278030</v>
      </c>
      <c r="O2469" s="14">
        <f xml:space="preserve"> IF(ISBLANK(moras[[#This Row],[EDAD]]), EDA!$E$8, moras[[#This Row],[EDAD]])</f>
        <v>40</v>
      </c>
      <c r="P2469" s="14" t="str">
        <f>IF(
    OR(ISBLANK(moras[[#This Row],[TIPO_ASEGURAMIENTO]]), moras[[#This Row],[TIPO_ASEGURAMIENTO]]=""),
    EDA!$A$32,
    moras[[#This Row],[TIPO_ASEGURAMIENTO]]
)</f>
        <v>ASEGURADO VOLUNTARIO</v>
      </c>
    </row>
    <row r="2470" spans="1:16" x14ac:dyDescent="0.3">
      <c r="A2470">
        <v>2469</v>
      </c>
      <c r="B2470" t="s">
        <v>15</v>
      </c>
      <c r="C2470">
        <v>8886155</v>
      </c>
      <c r="D2470" t="s">
        <v>10</v>
      </c>
      <c r="E2470" t="s">
        <v>16</v>
      </c>
      <c r="F2470" t="s">
        <v>12</v>
      </c>
      <c r="G2470" t="s">
        <v>13</v>
      </c>
      <c r="H2470" t="s">
        <v>13</v>
      </c>
      <c r="I2470">
        <v>39</v>
      </c>
      <c r="J2470">
        <f>ABS((I2470-EDA!$A$15)/EDA!$B$15)</f>
        <v>0.21028567737269524</v>
      </c>
      <c r="K2470" t="str">
        <f t="shared" si="38"/>
        <v>No</v>
      </c>
      <c r="L2470">
        <f>ABS((C2470-EDA!$F$15)/EDA!$G$15)</f>
        <v>0.22778208016261761</v>
      </c>
      <c r="M2470" t="str">
        <f>IF(moras[[#This Row],[Z-Score Salario]]&gt;1.96, "Sí", "No")</f>
        <v>No</v>
      </c>
      <c r="N2470" s="14">
        <f>IF(ISBLANK(moras[[#This Row],[SALARIO]]), EDA!$M$8, moras[[#This Row],[SALARIO]])</f>
        <v>8886155</v>
      </c>
      <c r="O2470" s="14">
        <f xml:space="preserve"> IF(ISBLANK(moras[[#This Row],[EDAD]]), EDA!$E$8, moras[[#This Row],[EDAD]])</f>
        <v>39</v>
      </c>
      <c r="P2470" s="14" t="str">
        <f>IF(
    OR(ISBLANK(moras[[#This Row],[TIPO_ASEGURAMIENTO]]), moras[[#This Row],[TIPO_ASEGURAMIENTO]]=""),
    EDA!$A$32,
    moras[[#This Row],[TIPO_ASEGURAMIENTO]]
)</f>
        <v>ASALARIADO</v>
      </c>
    </row>
    <row r="2471" spans="1:16" x14ac:dyDescent="0.3">
      <c r="A2471">
        <v>2470</v>
      </c>
      <c r="B2471" t="s">
        <v>9</v>
      </c>
      <c r="C2471">
        <v>386161</v>
      </c>
      <c r="D2471" t="s">
        <v>18</v>
      </c>
      <c r="E2471" t="s">
        <v>16</v>
      </c>
      <c r="F2471" t="s">
        <v>12</v>
      </c>
      <c r="G2471" t="s">
        <v>13</v>
      </c>
      <c r="H2471" t="s">
        <v>12</v>
      </c>
      <c r="I2471">
        <v>44</v>
      </c>
      <c r="J2471">
        <f>ABS((I2471-EDA!$A$15)/EDA!$B$15)</f>
        <v>0.14259097301299228</v>
      </c>
      <c r="K2471" t="str">
        <f t="shared" si="38"/>
        <v>No</v>
      </c>
      <c r="L2471">
        <f>ABS((C2471-EDA!$F$15)/EDA!$G$15)</f>
        <v>0.36922798057205813</v>
      </c>
      <c r="M2471" t="str">
        <f>IF(moras[[#This Row],[Z-Score Salario]]&gt;1.96, "Sí", "No")</f>
        <v>No</v>
      </c>
      <c r="N2471" s="14">
        <f>IF(ISBLANK(moras[[#This Row],[SALARIO]]), EDA!$M$8, moras[[#This Row],[SALARIO]])</f>
        <v>386161</v>
      </c>
      <c r="O2471" s="14">
        <f xml:space="preserve"> IF(ISBLANK(moras[[#This Row],[EDAD]]), EDA!$E$8, moras[[#This Row],[EDAD]])</f>
        <v>44</v>
      </c>
      <c r="P2471" s="14" t="str">
        <f>IF(
    OR(ISBLANK(moras[[#This Row],[TIPO_ASEGURAMIENTO]]), moras[[#This Row],[TIPO_ASEGURAMIENTO]]=""),
    EDA!$A$32,
    moras[[#This Row],[TIPO_ASEGURAMIENTO]]
)</f>
        <v>TRABAJADOR INDEPENDIENTE</v>
      </c>
    </row>
    <row r="2472" spans="1:16" x14ac:dyDescent="0.3">
      <c r="A2472">
        <v>2471</v>
      </c>
      <c r="B2472" t="s">
        <v>15</v>
      </c>
      <c r="C2472">
        <v>130000</v>
      </c>
      <c r="D2472" t="s">
        <v>10</v>
      </c>
      <c r="E2472" t="s">
        <v>16</v>
      </c>
      <c r="F2472" t="s">
        <v>12</v>
      </c>
      <c r="G2472" t="s">
        <v>13</v>
      </c>
      <c r="H2472" t="s">
        <v>12</v>
      </c>
      <c r="I2472">
        <v>33</v>
      </c>
      <c r="J2472">
        <f>ABS((I2472-EDA!$A$15)/EDA!$B$15)</f>
        <v>0.63373765783552027</v>
      </c>
      <c r="K2472" t="str">
        <f t="shared" si="38"/>
        <v>No</v>
      </c>
      <c r="L2472">
        <f>ABS((C2472-EDA!$F$15)/EDA!$G$15)</f>
        <v>0.37349068043923245</v>
      </c>
      <c r="M2472" t="str">
        <f>IF(moras[[#This Row],[Z-Score Salario]]&gt;1.96, "Sí", "No")</f>
        <v>No</v>
      </c>
      <c r="N2472" s="14">
        <f>IF(ISBLANK(moras[[#This Row],[SALARIO]]), EDA!$M$8, moras[[#This Row],[SALARIO]])</f>
        <v>130000</v>
      </c>
      <c r="O2472" s="14">
        <f xml:space="preserve"> IF(ISBLANK(moras[[#This Row],[EDAD]]), EDA!$E$8, moras[[#This Row],[EDAD]])</f>
        <v>33</v>
      </c>
      <c r="P2472" s="14" t="str">
        <f>IF(
    OR(ISBLANK(moras[[#This Row],[TIPO_ASEGURAMIENTO]]), moras[[#This Row],[TIPO_ASEGURAMIENTO]]=""),
    EDA!$A$32,
    moras[[#This Row],[TIPO_ASEGURAMIENTO]]
)</f>
        <v>ASALARIADO</v>
      </c>
    </row>
    <row r="2473" spans="1:16" x14ac:dyDescent="0.3">
      <c r="A2473">
        <v>2472</v>
      </c>
      <c r="B2473" t="s">
        <v>9</v>
      </c>
      <c r="C2473">
        <v>300056</v>
      </c>
      <c r="D2473" t="s">
        <v>14</v>
      </c>
      <c r="E2473" t="s">
        <v>11</v>
      </c>
      <c r="F2473" t="s">
        <v>12</v>
      </c>
      <c r="G2473" t="s">
        <v>13</v>
      </c>
      <c r="H2473" t="s">
        <v>13</v>
      </c>
      <c r="I2473">
        <v>75</v>
      </c>
      <c r="J2473">
        <f>ABS((I2473-EDA!$A$15)/EDA!$B$15)</f>
        <v>2.330426205404255</v>
      </c>
      <c r="K2473" t="str">
        <f t="shared" si="38"/>
        <v>Sí</v>
      </c>
      <c r="L2473">
        <f>ABS((C2473-EDA!$F$15)/EDA!$G$15)</f>
        <v>0.3706608285546279</v>
      </c>
      <c r="M2473" t="str">
        <f>IF(moras[[#This Row],[Z-Score Salario]]&gt;1.96, "Sí", "No")</f>
        <v>No</v>
      </c>
      <c r="N2473" s="14">
        <f>IF(ISBLANK(moras[[#This Row],[SALARIO]]), EDA!$M$8, moras[[#This Row],[SALARIO]])</f>
        <v>300056</v>
      </c>
      <c r="O2473" s="14">
        <f xml:space="preserve"> IF(ISBLANK(moras[[#This Row],[EDAD]]), EDA!$E$8, moras[[#This Row],[EDAD]])</f>
        <v>75</v>
      </c>
      <c r="P2473" s="14" t="str">
        <f>IF(
    OR(ISBLANK(moras[[#This Row],[TIPO_ASEGURAMIENTO]]), moras[[#This Row],[TIPO_ASEGURAMIENTO]]=""),
    EDA!$A$32,
    moras[[#This Row],[TIPO_ASEGURAMIENTO]]
)</f>
        <v>PENSIONADOS EN SU PROPIO SISTEMA</v>
      </c>
    </row>
    <row r="2474" spans="1:16" x14ac:dyDescent="0.3">
      <c r="A2474">
        <v>2473</v>
      </c>
      <c r="B2474" t="s">
        <v>9</v>
      </c>
      <c r="C2474">
        <v>8424044</v>
      </c>
      <c r="D2474" t="s">
        <v>10</v>
      </c>
      <c r="E2474" t="s">
        <v>11</v>
      </c>
      <c r="F2474" t="s">
        <v>12</v>
      </c>
      <c r="G2474" t="s">
        <v>13</v>
      </c>
      <c r="H2474" t="s">
        <v>13</v>
      </c>
      <c r="I2474">
        <v>57</v>
      </c>
      <c r="J2474">
        <f>ABS((I2474-EDA!$A$15)/EDA!$B$15)</f>
        <v>1.0600702640157798</v>
      </c>
      <c r="K2474" t="str">
        <f t="shared" si="38"/>
        <v>No</v>
      </c>
      <c r="L2474">
        <f>ABS((C2474-EDA!$F$15)/EDA!$G$15)</f>
        <v>0.23547193341240896</v>
      </c>
      <c r="M2474" t="str">
        <f>IF(moras[[#This Row],[Z-Score Salario]]&gt;1.96, "Sí", "No")</f>
        <v>No</v>
      </c>
      <c r="N2474" s="14">
        <f>IF(ISBLANK(moras[[#This Row],[SALARIO]]), EDA!$M$8, moras[[#This Row],[SALARIO]])</f>
        <v>8424044</v>
      </c>
      <c r="O2474" s="14">
        <f xml:space="preserve"> IF(ISBLANK(moras[[#This Row],[EDAD]]), EDA!$E$8, moras[[#This Row],[EDAD]])</f>
        <v>57</v>
      </c>
      <c r="P2474" s="14" t="str">
        <f>IF(
    OR(ISBLANK(moras[[#This Row],[TIPO_ASEGURAMIENTO]]), moras[[#This Row],[TIPO_ASEGURAMIENTO]]=""),
    EDA!$A$32,
    moras[[#This Row],[TIPO_ASEGURAMIENTO]]
)</f>
        <v>ASALARIADO</v>
      </c>
    </row>
    <row r="2475" spans="1:16" x14ac:dyDescent="0.3">
      <c r="A2475">
        <v>2474</v>
      </c>
      <c r="B2475" t="s">
        <v>15</v>
      </c>
      <c r="C2475">
        <v>287616</v>
      </c>
      <c r="D2475" t="s">
        <v>10</v>
      </c>
      <c r="E2475" t="s">
        <v>16</v>
      </c>
      <c r="F2475" t="s">
        <v>12</v>
      </c>
      <c r="G2475" t="s">
        <v>13</v>
      </c>
      <c r="H2475" t="s">
        <v>13</v>
      </c>
      <c r="I2475">
        <v>24</v>
      </c>
      <c r="J2475">
        <f>ABS((I2475-EDA!$A$15)/EDA!$B$15)</f>
        <v>1.2689156285297578</v>
      </c>
      <c r="K2475" t="str">
        <f t="shared" si="38"/>
        <v>No</v>
      </c>
      <c r="L2475">
        <f>ABS((C2475-EDA!$F$15)/EDA!$G$15)</f>
        <v>0.37086783893617559</v>
      </c>
      <c r="M2475" t="str">
        <f>IF(moras[[#This Row],[Z-Score Salario]]&gt;1.96, "Sí", "No")</f>
        <v>No</v>
      </c>
      <c r="N2475" s="14">
        <f>IF(ISBLANK(moras[[#This Row],[SALARIO]]), EDA!$M$8, moras[[#This Row],[SALARIO]])</f>
        <v>287616</v>
      </c>
      <c r="O2475" s="14">
        <f xml:space="preserve"> IF(ISBLANK(moras[[#This Row],[EDAD]]), EDA!$E$8, moras[[#This Row],[EDAD]])</f>
        <v>24</v>
      </c>
      <c r="P2475" s="14" t="str">
        <f>IF(
    OR(ISBLANK(moras[[#This Row],[TIPO_ASEGURAMIENTO]]), moras[[#This Row],[TIPO_ASEGURAMIENTO]]=""),
    EDA!$A$32,
    moras[[#This Row],[TIPO_ASEGURAMIENTO]]
)</f>
        <v>ASALARIADO</v>
      </c>
    </row>
    <row r="2476" spans="1:16" x14ac:dyDescent="0.3">
      <c r="A2476">
        <v>2475</v>
      </c>
      <c r="B2476" t="s">
        <v>9</v>
      </c>
      <c r="C2476">
        <v>205612</v>
      </c>
      <c r="D2476" t="s">
        <v>10</v>
      </c>
      <c r="E2476" t="s">
        <v>16</v>
      </c>
      <c r="F2476" t="s">
        <v>12</v>
      </c>
      <c r="G2476" t="s">
        <v>13</v>
      </c>
      <c r="H2476" t="s">
        <v>13</v>
      </c>
      <c r="I2476">
        <v>33</v>
      </c>
      <c r="J2476">
        <f>ABS((I2476-EDA!$A$15)/EDA!$B$15)</f>
        <v>0.63373765783552027</v>
      </c>
      <c r="K2476" t="str">
        <f t="shared" si="38"/>
        <v>No</v>
      </c>
      <c r="L2476">
        <f>ABS((C2476-EDA!$F$15)/EDA!$G$15)</f>
        <v>0.37223244338379941</v>
      </c>
      <c r="M2476" t="str">
        <f>IF(moras[[#This Row],[Z-Score Salario]]&gt;1.96, "Sí", "No")</f>
        <v>No</v>
      </c>
      <c r="N2476" s="14">
        <f>IF(ISBLANK(moras[[#This Row],[SALARIO]]), EDA!$M$8, moras[[#This Row],[SALARIO]])</f>
        <v>205612</v>
      </c>
      <c r="O2476" s="14">
        <f xml:space="preserve"> IF(ISBLANK(moras[[#This Row],[EDAD]]), EDA!$E$8, moras[[#This Row],[EDAD]])</f>
        <v>33</v>
      </c>
      <c r="P2476" s="14" t="str">
        <f>IF(
    OR(ISBLANK(moras[[#This Row],[TIPO_ASEGURAMIENTO]]), moras[[#This Row],[TIPO_ASEGURAMIENTO]]=""),
    EDA!$A$32,
    moras[[#This Row],[TIPO_ASEGURAMIENTO]]
)</f>
        <v>ASALARIADO</v>
      </c>
    </row>
    <row r="2477" spans="1:16" x14ac:dyDescent="0.3">
      <c r="A2477">
        <v>2476</v>
      </c>
      <c r="B2477" t="s">
        <v>9</v>
      </c>
      <c r="C2477">
        <v>37772994</v>
      </c>
      <c r="D2477" t="s">
        <v>10</v>
      </c>
      <c r="E2477" t="s">
        <v>16</v>
      </c>
      <c r="F2477" t="s">
        <v>12</v>
      </c>
      <c r="G2477" t="s">
        <v>13</v>
      </c>
      <c r="H2477" t="s">
        <v>13</v>
      </c>
      <c r="I2477">
        <v>63</v>
      </c>
      <c r="J2477">
        <f>ABS((I2477-EDA!$A$15)/EDA!$B$15)</f>
        <v>1.4835222444786049</v>
      </c>
      <c r="K2477" t="str">
        <f t="shared" si="38"/>
        <v>No</v>
      </c>
      <c r="L2477">
        <f>ABS((C2477-EDA!$F$15)/EDA!$G$15)</f>
        <v>0.25291531236937037</v>
      </c>
      <c r="M2477" t="str">
        <f>IF(moras[[#This Row],[Z-Score Salario]]&gt;1.96, "Sí", "No")</f>
        <v>No</v>
      </c>
      <c r="N2477" s="14">
        <f>IF(ISBLANK(moras[[#This Row],[SALARIO]]), EDA!$M$8, moras[[#This Row],[SALARIO]])</f>
        <v>37772994</v>
      </c>
      <c r="O2477" s="14">
        <f xml:space="preserve"> IF(ISBLANK(moras[[#This Row],[EDAD]]), EDA!$E$8, moras[[#This Row],[EDAD]])</f>
        <v>63</v>
      </c>
      <c r="P2477" s="14" t="str">
        <f>IF(
    OR(ISBLANK(moras[[#This Row],[TIPO_ASEGURAMIENTO]]), moras[[#This Row],[TIPO_ASEGURAMIENTO]]=""),
    EDA!$A$32,
    moras[[#This Row],[TIPO_ASEGURAMIENTO]]
)</f>
        <v>ASALARIADO</v>
      </c>
    </row>
    <row r="2478" spans="1:16" x14ac:dyDescent="0.3">
      <c r="A2478">
        <v>2477</v>
      </c>
      <c r="B2478" t="s">
        <v>15</v>
      </c>
      <c r="C2478">
        <v>212000</v>
      </c>
      <c r="D2478" t="s">
        <v>10</v>
      </c>
      <c r="E2478" t="s">
        <v>16</v>
      </c>
      <c r="F2478" t="s">
        <v>12</v>
      </c>
      <c r="G2478" t="s">
        <v>13</v>
      </c>
      <c r="H2478" t="s">
        <v>13</v>
      </c>
      <c r="I2478">
        <v>55</v>
      </c>
      <c r="J2478">
        <f>ABS((I2478-EDA!$A$15)/EDA!$B$15)</f>
        <v>0.91891960386150484</v>
      </c>
      <c r="K2478" t="str">
        <f t="shared" si="38"/>
        <v>No</v>
      </c>
      <c r="L2478">
        <f>ABS((C2478-EDA!$F$15)/EDA!$G$15)</f>
        <v>0.37212614255443233</v>
      </c>
      <c r="M2478" t="str">
        <f>IF(moras[[#This Row],[Z-Score Salario]]&gt;1.96, "Sí", "No")</f>
        <v>No</v>
      </c>
      <c r="N2478" s="14">
        <f>IF(ISBLANK(moras[[#This Row],[SALARIO]]), EDA!$M$8, moras[[#This Row],[SALARIO]])</f>
        <v>212000</v>
      </c>
      <c r="O2478" s="14">
        <f xml:space="preserve"> IF(ISBLANK(moras[[#This Row],[EDAD]]), EDA!$E$8, moras[[#This Row],[EDAD]])</f>
        <v>55</v>
      </c>
      <c r="P2478" s="14" t="str">
        <f>IF(
    OR(ISBLANK(moras[[#This Row],[TIPO_ASEGURAMIENTO]]), moras[[#This Row],[TIPO_ASEGURAMIENTO]]=""),
    EDA!$A$32,
    moras[[#This Row],[TIPO_ASEGURAMIENTO]]
)</f>
        <v>ASALARIADO</v>
      </c>
    </row>
    <row r="2479" spans="1:16" x14ac:dyDescent="0.3">
      <c r="A2479">
        <v>2478</v>
      </c>
      <c r="B2479" t="s">
        <v>9</v>
      </c>
      <c r="C2479">
        <v>356455</v>
      </c>
      <c r="D2479" t="s">
        <v>18</v>
      </c>
      <c r="E2479" t="s">
        <v>16</v>
      </c>
      <c r="F2479" t="s">
        <v>12</v>
      </c>
      <c r="G2479" t="s">
        <v>13</v>
      </c>
      <c r="H2479" t="s">
        <v>12</v>
      </c>
      <c r="I2479">
        <v>57</v>
      </c>
      <c r="J2479">
        <f>ABS((I2479-EDA!$A$15)/EDA!$B$15)</f>
        <v>1.0600702640157798</v>
      </c>
      <c r="K2479" t="str">
        <f t="shared" si="38"/>
        <v>No</v>
      </c>
      <c r="L2479">
        <f>ABS((C2479-EDA!$F$15)/EDA!$G$15)</f>
        <v>0.36972230938188588</v>
      </c>
      <c r="M2479" t="str">
        <f>IF(moras[[#This Row],[Z-Score Salario]]&gt;1.96, "Sí", "No")</f>
        <v>No</v>
      </c>
      <c r="N2479" s="14">
        <f>IF(ISBLANK(moras[[#This Row],[SALARIO]]), EDA!$M$8, moras[[#This Row],[SALARIO]])</f>
        <v>356455</v>
      </c>
      <c r="O2479" s="14">
        <f xml:space="preserve"> IF(ISBLANK(moras[[#This Row],[EDAD]]), EDA!$E$8, moras[[#This Row],[EDAD]])</f>
        <v>57</v>
      </c>
      <c r="P2479" s="14" t="str">
        <f>IF(
    OR(ISBLANK(moras[[#This Row],[TIPO_ASEGURAMIENTO]]), moras[[#This Row],[TIPO_ASEGURAMIENTO]]=""),
    EDA!$A$32,
    moras[[#This Row],[TIPO_ASEGURAMIENTO]]
)</f>
        <v>TRABAJADOR INDEPENDIENTE</v>
      </c>
    </row>
    <row r="2480" spans="1:16" x14ac:dyDescent="0.3">
      <c r="A2480">
        <v>2479</v>
      </c>
      <c r="B2480" t="s">
        <v>15</v>
      </c>
      <c r="C2480">
        <v>1298980</v>
      </c>
      <c r="D2480" t="s">
        <v>14</v>
      </c>
      <c r="E2480" t="s">
        <v>11</v>
      </c>
      <c r="F2480" t="s">
        <v>12</v>
      </c>
      <c r="G2480" t="s">
        <v>13</v>
      </c>
      <c r="H2480" t="s">
        <v>13</v>
      </c>
      <c r="I2480">
        <v>59</v>
      </c>
      <c r="J2480">
        <f>ABS((I2480-EDA!$A$15)/EDA!$B$15)</f>
        <v>1.2012209241700549</v>
      </c>
      <c r="K2480" t="str">
        <f t="shared" si="38"/>
        <v>No</v>
      </c>
      <c r="L2480">
        <f>ABS((C2480-EDA!$F$15)/EDA!$G$15)</f>
        <v>0.35403802804199219</v>
      </c>
      <c r="M2480" t="str">
        <f>IF(moras[[#This Row],[Z-Score Salario]]&gt;1.96, "Sí", "No")</f>
        <v>No</v>
      </c>
      <c r="N2480" s="14">
        <f>IF(ISBLANK(moras[[#This Row],[SALARIO]]), EDA!$M$8, moras[[#This Row],[SALARIO]])</f>
        <v>1298980</v>
      </c>
      <c r="O2480" s="14">
        <f xml:space="preserve"> IF(ISBLANK(moras[[#This Row],[EDAD]]), EDA!$E$8, moras[[#This Row],[EDAD]])</f>
        <v>59</v>
      </c>
      <c r="P2480" s="14" t="str">
        <f>IF(
    OR(ISBLANK(moras[[#This Row],[TIPO_ASEGURAMIENTO]]), moras[[#This Row],[TIPO_ASEGURAMIENTO]]=""),
    EDA!$A$32,
    moras[[#This Row],[TIPO_ASEGURAMIENTO]]
)</f>
        <v>PENSIONADOS EN SU PROPIO SISTEMA</v>
      </c>
    </row>
    <row r="2481" spans="1:16" x14ac:dyDescent="0.3">
      <c r="A2481">
        <v>2480</v>
      </c>
      <c r="B2481" t="s">
        <v>15</v>
      </c>
      <c r="C2481">
        <v>14151016</v>
      </c>
      <c r="D2481" t="s">
        <v>14</v>
      </c>
      <c r="E2481" t="s">
        <v>11</v>
      </c>
      <c r="F2481" t="s">
        <v>12</v>
      </c>
      <c r="G2481" t="s">
        <v>13</v>
      </c>
      <c r="H2481" t="s">
        <v>13</v>
      </c>
      <c r="I2481">
        <v>85</v>
      </c>
      <c r="J2481">
        <f>ABS((I2481-EDA!$A$15)/EDA!$B$15)</f>
        <v>3.03617950617563</v>
      </c>
      <c r="K2481" t="str">
        <f t="shared" si="38"/>
        <v>Sí</v>
      </c>
      <c r="L2481">
        <f>ABS((C2481-EDA!$F$15)/EDA!$G$15)</f>
        <v>0.14017107659302125</v>
      </c>
      <c r="M2481" t="str">
        <f>IF(moras[[#This Row],[Z-Score Salario]]&gt;1.96, "Sí", "No")</f>
        <v>No</v>
      </c>
      <c r="N2481" s="14">
        <f>IF(ISBLANK(moras[[#This Row],[SALARIO]]), EDA!$M$8, moras[[#This Row],[SALARIO]])</f>
        <v>14151016</v>
      </c>
      <c r="O2481" s="14">
        <f xml:space="preserve"> IF(ISBLANK(moras[[#This Row],[EDAD]]), EDA!$E$8, moras[[#This Row],[EDAD]])</f>
        <v>85</v>
      </c>
      <c r="P2481" s="14" t="str">
        <f>IF(
    OR(ISBLANK(moras[[#This Row],[TIPO_ASEGURAMIENTO]]), moras[[#This Row],[TIPO_ASEGURAMIENTO]]=""),
    EDA!$A$32,
    moras[[#This Row],[TIPO_ASEGURAMIENTO]]
)</f>
        <v>PENSIONADOS EN SU PROPIO SISTEMA</v>
      </c>
    </row>
    <row r="2482" spans="1:16" x14ac:dyDescent="0.3">
      <c r="A2482">
        <v>2481</v>
      </c>
      <c r="B2482" t="s">
        <v>9</v>
      </c>
      <c r="C2482">
        <v>278030</v>
      </c>
      <c r="D2482" t="s">
        <v>19</v>
      </c>
      <c r="E2482" t="s">
        <v>16</v>
      </c>
      <c r="F2482" t="s">
        <v>12</v>
      </c>
      <c r="G2482" t="s">
        <v>13</v>
      </c>
      <c r="H2482" t="s">
        <v>13</v>
      </c>
      <c r="I2482">
        <v>22</v>
      </c>
      <c r="J2482">
        <f>ABS((I2482-EDA!$A$15)/EDA!$B$15)</f>
        <v>1.4100662886840327</v>
      </c>
      <c r="K2482" t="str">
        <f t="shared" si="38"/>
        <v>No</v>
      </c>
      <c r="L2482">
        <f>ABS((C2482-EDA!$F$15)/EDA!$G$15)</f>
        <v>0.37102735674304993</v>
      </c>
      <c r="M2482" t="str">
        <f>IF(moras[[#This Row],[Z-Score Salario]]&gt;1.96, "Sí", "No")</f>
        <v>No</v>
      </c>
      <c r="N2482" s="14">
        <f>IF(ISBLANK(moras[[#This Row],[SALARIO]]), EDA!$M$8, moras[[#This Row],[SALARIO]])</f>
        <v>278030</v>
      </c>
      <c r="O2482" s="14">
        <f xml:space="preserve"> IF(ISBLANK(moras[[#This Row],[EDAD]]), EDA!$E$8, moras[[#This Row],[EDAD]])</f>
        <v>22</v>
      </c>
      <c r="P2482" s="14" t="str">
        <f>IF(
    OR(ISBLANK(moras[[#This Row],[TIPO_ASEGURAMIENTO]]), moras[[#This Row],[TIPO_ASEGURAMIENTO]]=""),
    EDA!$A$32,
    moras[[#This Row],[TIPO_ASEGURAMIENTO]]
)</f>
        <v>CONVENIOS ESPECIALES DE TRABAJADORES INDEPENDIENTES</v>
      </c>
    </row>
    <row r="2483" spans="1:16" x14ac:dyDescent="0.3">
      <c r="A2483">
        <v>2482</v>
      </c>
      <c r="B2483" t="s">
        <v>9</v>
      </c>
      <c r="C2483">
        <v>347607</v>
      </c>
      <c r="D2483" t="s">
        <v>18</v>
      </c>
      <c r="E2483" t="s">
        <v>16</v>
      </c>
      <c r="F2483" t="s">
        <v>12</v>
      </c>
      <c r="G2483" t="s">
        <v>13</v>
      </c>
      <c r="H2483" t="s">
        <v>12</v>
      </c>
      <c r="I2483">
        <v>57</v>
      </c>
      <c r="J2483">
        <f>ABS((I2483-EDA!$A$15)/EDA!$B$15)</f>
        <v>1.0600702640157798</v>
      </c>
      <c r="K2483" t="str">
        <f t="shared" si="38"/>
        <v>No</v>
      </c>
      <c r="L2483">
        <f>ABS((C2483-EDA!$F$15)/EDA!$G$15)</f>
        <v>0.36986954634779701</v>
      </c>
      <c r="M2483" t="str">
        <f>IF(moras[[#This Row],[Z-Score Salario]]&gt;1.96, "Sí", "No")</f>
        <v>No</v>
      </c>
      <c r="N2483" s="14">
        <f>IF(ISBLANK(moras[[#This Row],[SALARIO]]), EDA!$M$8, moras[[#This Row],[SALARIO]])</f>
        <v>347607</v>
      </c>
      <c r="O2483" s="14">
        <f xml:space="preserve"> IF(ISBLANK(moras[[#This Row],[EDAD]]), EDA!$E$8, moras[[#This Row],[EDAD]])</f>
        <v>57</v>
      </c>
      <c r="P2483" s="14" t="str">
        <f>IF(
    OR(ISBLANK(moras[[#This Row],[TIPO_ASEGURAMIENTO]]), moras[[#This Row],[TIPO_ASEGURAMIENTO]]=""),
    EDA!$A$32,
    moras[[#This Row],[TIPO_ASEGURAMIENTO]]
)</f>
        <v>TRABAJADOR INDEPENDIENTE</v>
      </c>
    </row>
    <row r="2484" spans="1:16" x14ac:dyDescent="0.3">
      <c r="A2484">
        <v>2483</v>
      </c>
      <c r="B2484" t="s">
        <v>9</v>
      </c>
      <c r="C2484">
        <v>176400</v>
      </c>
      <c r="D2484" t="s">
        <v>10</v>
      </c>
      <c r="E2484" t="s">
        <v>16</v>
      </c>
      <c r="F2484" t="s">
        <v>12</v>
      </c>
      <c r="G2484" t="s">
        <v>13</v>
      </c>
      <c r="H2484" t="s">
        <v>13</v>
      </c>
      <c r="I2484">
        <v>27</v>
      </c>
      <c r="J2484">
        <f>ABS((I2484-EDA!$A$15)/EDA!$B$15)</f>
        <v>1.0571896382983452</v>
      </c>
      <c r="K2484" t="str">
        <f t="shared" si="38"/>
        <v>No</v>
      </c>
      <c r="L2484">
        <f>ABS((C2484-EDA!$F$15)/EDA!$G$15)</f>
        <v>0.37271855168490653</v>
      </c>
      <c r="M2484" t="str">
        <f>IF(moras[[#This Row],[Z-Score Salario]]&gt;1.96, "Sí", "No")</f>
        <v>No</v>
      </c>
      <c r="N2484" s="14">
        <f>IF(ISBLANK(moras[[#This Row],[SALARIO]]), EDA!$M$8, moras[[#This Row],[SALARIO]])</f>
        <v>176400</v>
      </c>
      <c r="O2484" s="14">
        <f xml:space="preserve"> IF(ISBLANK(moras[[#This Row],[EDAD]]), EDA!$E$8, moras[[#This Row],[EDAD]])</f>
        <v>27</v>
      </c>
      <c r="P2484" s="14" t="str">
        <f>IF(
    OR(ISBLANK(moras[[#This Row],[TIPO_ASEGURAMIENTO]]), moras[[#This Row],[TIPO_ASEGURAMIENTO]]=""),
    EDA!$A$32,
    moras[[#This Row],[TIPO_ASEGURAMIENTO]]
)</f>
        <v>ASALARIADO</v>
      </c>
    </row>
    <row r="2485" spans="1:16" x14ac:dyDescent="0.3">
      <c r="A2485">
        <v>2484</v>
      </c>
      <c r="B2485" t="s">
        <v>15</v>
      </c>
      <c r="C2485">
        <v>80894775</v>
      </c>
      <c r="D2485" t="s">
        <v>10</v>
      </c>
      <c r="E2485" t="s">
        <v>11</v>
      </c>
      <c r="F2485" t="s">
        <v>12</v>
      </c>
      <c r="G2485" t="s">
        <v>13</v>
      </c>
      <c r="H2485" t="s">
        <v>13</v>
      </c>
      <c r="I2485">
        <v>58</v>
      </c>
      <c r="J2485">
        <f>ABS((I2485-EDA!$A$15)/EDA!$B$15)</f>
        <v>1.1306455940929174</v>
      </c>
      <c r="K2485" t="str">
        <f t="shared" si="38"/>
        <v>No</v>
      </c>
      <c r="L2485">
        <f>ABS((C2485-EDA!$F$15)/EDA!$G$15)</f>
        <v>0.9704921884005423</v>
      </c>
      <c r="M2485" t="str">
        <f>IF(moras[[#This Row],[Z-Score Salario]]&gt;1.96, "Sí", "No")</f>
        <v>No</v>
      </c>
      <c r="N2485" s="14">
        <f>IF(ISBLANK(moras[[#This Row],[SALARIO]]), EDA!$M$8, moras[[#This Row],[SALARIO]])</f>
        <v>80894775</v>
      </c>
      <c r="O2485" s="14">
        <f xml:space="preserve"> IF(ISBLANK(moras[[#This Row],[EDAD]]), EDA!$E$8, moras[[#This Row],[EDAD]])</f>
        <v>58</v>
      </c>
      <c r="P2485" s="14" t="str">
        <f>IF(
    OR(ISBLANK(moras[[#This Row],[TIPO_ASEGURAMIENTO]]), moras[[#This Row],[TIPO_ASEGURAMIENTO]]=""),
    EDA!$A$32,
    moras[[#This Row],[TIPO_ASEGURAMIENTO]]
)</f>
        <v>ASALARIADO</v>
      </c>
    </row>
    <row r="2486" spans="1:16" x14ac:dyDescent="0.3">
      <c r="A2486">
        <v>2485</v>
      </c>
      <c r="B2486" t="s">
        <v>15</v>
      </c>
      <c r="C2486">
        <v>4133335</v>
      </c>
      <c r="D2486" t="s">
        <v>10</v>
      </c>
      <c r="E2486" t="s">
        <v>16</v>
      </c>
      <c r="F2486" t="s">
        <v>12</v>
      </c>
      <c r="G2486" t="s">
        <v>13</v>
      </c>
      <c r="H2486" t="s">
        <v>13</v>
      </c>
      <c r="I2486">
        <v>25</v>
      </c>
      <c r="J2486">
        <f>ABS((I2486-EDA!$A$15)/EDA!$B$15)</f>
        <v>1.1983402984526204</v>
      </c>
      <c r="K2486" t="str">
        <f t="shared" si="38"/>
        <v>No</v>
      </c>
      <c r="L2486">
        <f>ABS((C2486-EDA!$F$15)/EDA!$G$15)</f>
        <v>0.30687236003622659</v>
      </c>
      <c r="M2486" t="str">
        <f>IF(moras[[#This Row],[Z-Score Salario]]&gt;1.96, "Sí", "No")</f>
        <v>No</v>
      </c>
      <c r="N2486" s="14">
        <f>IF(ISBLANK(moras[[#This Row],[SALARIO]]), EDA!$M$8, moras[[#This Row],[SALARIO]])</f>
        <v>4133335</v>
      </c>
      <c r="O2486" s="14">
        <f xml:space="preserve"> IF(ISBLANK(moras[[#This Row],[EDAD]]), EDA!$E$8, moras[[#This Row],[EDAD]])</f>
        <v>25</v>
      </c>
      <c r="P2486" s="14" t="str">
        <f>IF(
    OR(ISBLANK(moras[[#This Row],[TIPO_ASEGURAMIENTO]]), moras[[#This Row],[TIPO_ASEGURAMIENTO]]=""),
    EDA!$A$32,
    moras[[#This Row],[TIPO_ASEGURAMIENTO]]
)</f>
        <v>ASALARIADO</v>
      </c>
    </row>
    <row r="2487" spans="1:16" x14ac:dyDescent="0.3">
      <c r="A2487">
        <v>2486</v>
      </c>
      <c r="B2487" t="s">
        <v>15</v>
      </c>
      <c r="C2487">
        <v>297046</v>
      </c>
      <c r="D2487" t="s">
        <v>17</v>
      </c>
      <c r="E2487" t="s">
        <v>16</v>
      </c>
      <c r="F2487" t="s">
        <v>12</v>
      </c>
      <c r="G2487" t="s">
        <v>13</v>
      </c>
      <c r="H2487" t="s">
        <v>12</v>
      </c>
      <c r="I2487">
        <v>31</v>
      </c>
      <c r="J2487">
        <f>ABS((I2487-EDA!$A$15)/EDA!$B$15)</f>
        <v>0.77488831798979529</v>
      </c>
      <c r="K2487" t="str">
        <f t="shared" si="38"/>
        <v>No</v>
      </c>
      <c r="L2487">
        <f>ABS((C2487-EDA!$F$15)/EDA!$G$15)</f>
        <v>0.37071091707942361</v>
      </c>
      <c r="M2487" t="str">
        <f>IF(moras[[#This Row],[Z-Score Salario]]&gt;1.96, "Sí", "No")</f>
        <v>No</v>
      </c>
      <c r="N2487" s="14">
        <f>IF(ISBLANK(moras[[#This Row],[SALARIO]]), EDA!$M$8, moras[[#This Row],[SALARIO]])</f>
        <v>297046</v>
      </c>
      <c r="O2487" s="14">
        <f xml:space="preserve"> IF(ISBLANK(moras[[#This Row],[EDAD]]), EDA!$E$8, moras[[#This Row],[EDAD]])</f>
        <v>31</v>
      </c>
      <c r="P2487" s="14" t="str">
        <f>IF(
    OR(ISBLANK(moras[[#This Row],[TIPO_ASEGURAMIENTO]]), moras[[#This Row],[TIPO_ASEGURAMIENTO]]=""),
    EDA!$A$32,
    moras[[#This Row],[TIPO_ASEGURAMIENTO]]
)</f>
        <v>ASEGURADO VOLUNTARIO</v>
      </c>
    </row>
    <row r="2488" spans="1:16" x14ac:dyDescent="0.3">
      <c r="A2488">
        <v>2487</v>
      </c>
      <c r="B2488" t="s">
        <v>9</v>
      </c>
      <c r="C2488">
        <v>54400192</v>
      </c>
      <c r="D2488" t="s">
        <v>10</v>
      </c>
      <c r="E2488" t="s">
        <v>16</v>
      </c>
      <c r="F2488" t="s">
        <v>12</v>
      </c>
      <c r="G2488" t="s">
        <v>13</v>
      </c>
      <c r="H2488" t="s">
        <v>13</v>
      </c>
      <c r="I2488">
        <v>22</v>
      </c>
      <c r="J2488">
        <f>ABS((I2488-EDA!$A$15)/EDA!$B$15)</f>
        <v>1.4100662886840327</v>
      </c>
      <c r="K2488" t="str">
        <f t="shared" si="38"/>
        <v>No</v>
      </c>
      <c r="L2488">
        <f>ABS((C2488-EDA!$F$15)/EDA!$G$15)</f>
        <v>0.52960362443124342</v>
      </c>
      <c r="M2488" t="str">
        <f>IF(moras[[#This Row],[Z-Score Salario]]&gt;1.96, "Sí", "No")</f>
        <v>No</v>
      </c>
      <c r="N2488" s="14">
        <f>IF(ISBLANK(moras[[#This Row],[SALARIO]]), EDA!$M$8, moras[[#This Row],[SALARIO]])</f>
        <v>54400192</v>
      </c>
      <c r="O2488" s="14">
        <f xml:space="preserve"> IF(ISBLANK(moras[[#This Row],[EDAD]]), EDA!$E$8, moras[[#This Row],[EDAD]])</f>
        <v>22</v>
      </c>
      <c r="P2488" s="14" t="str">
        <f>IF(
    OR(ISBLANK(moras[[#This Row],[TIPO_ASEGURAMIENTO]]), moras[[#This Row],[TIPO_ASEGURAMIENTO]]=""),
    EDA!$A$32,
    moras[[#This Row],[TIPO_ASEGURAMIENTO]]
)</f>
        <v>ASALARIADO</v>
      </c>
    </row>
    <row r="2489" spans="1:16" x14ac:dyDescent="0.3">
      <c r="A2489">
        <v>2488</v>
      </c>
      <c r="B2489" t="s">
        <v>15</v>
      </c>
      <c r="C2489">
        <v>8544175</v>
      </c>
      <c r="D2489" t="s">
        <v>10</v>
      </c>
      <c r="E2489" t="s">
        <v>16</v>
      </c>
      <c r="F2489" t="s">
        <v>12</v>
      </c>
      <c r="G2489" t="s">
        <v>13</v>
      </c>
      <c r="H2489" t="s">
        <v>13</v>
      </c>
      <c r="I2489">
        <v>26</v>
      </c>
      <c r="J2489">
        <f>ABS((I2489-EDA!$A$15)/EDA!$B$15)</f>
        <v>1.1277649683754829</v>
      </c>
      <c r="K2489" t="str">
        <f t="shared" si="38"/>
        <v>No</v>
      </c>
      <c r="L2489">
        <f>ABS((C2489-EDA!$F$15)/EDA!$G$15)</f>
        <v>0.2334728687704708</v>
      </c>
      <c r="M2489" t="str">
        <f>IF(moras[[#This Row],[Z-Score Salario]]&gt;1.96, "Sí", "No")</f>
        <v>No</v>
      </c>
      <c r="N2489" s="14">
        <f>IF(ISBLANK(moras[[#This Row],[SALARIO]]), EDA!$M$8, moras[[#This Row],[SALARIO]])</f>
        <v>8544175</v>
      </c>
      <c r="O2489" s="14">
        <f xml:space="preserve"> IF(ISBLANK(moras[[#This Row],[EDAD]]), EDA!$E$8, moras[[#This Row],[EDAD]])</f>
        <v>26</v>
      </c>
      <c r="P2489" s="14" t="str">
        <f>IF(
    OR(ISBLANK(moras[[#This Row],[TIPO_ASEGURAMIENTO]]), moras[[#This Row],[TIPO_ASEGURAMIENTO]]=""),
    EDA!$A$32,
    moras[[#This Row],[TIPO_ASEGURAMIENTO]]
)</f>
        <v>ASALARIADO</v>
      </c>
    </row>
    <row r="2490" spans="1:16" x14ac:dyDescent="0.3">
      <c r="A2490">
        <v>2489</v>
      </c>
      <c r="B2490" t="s">
        <v>9</v>
      </c>
      <c r="C2490">
        <v>216000</v>
      </c>
      <c r="D2490" t="s">
        <v>10</v>
      </c>
      <c r="E2490" t="s">
        <v>16</v>
      </c>
      <c r="F2490" t="s">
        <v>12</v>
      </c>
      <c r="G2490" t="s">
        <v>13</v>
      </c>
      <c r="H2490" t="s">
        <v>12</v>
      </c>
      <c r="I2490">
        <v>71</v>
      </c>
      <c r="J2490">
        <f>ABS((I2490-EDA!$A$15)/EDA!$B$15)</f>
        <v>2.0481248850957048</v>
      </c>
      <c r="K2490" t="str">
        <f t="shared" si="38"/>
        <v>Sí</v>
      </c>
      <c r="L2490">
        <f>ABS((C2490-EDA!$F$15)/EDA!$G$15)</f>
        <v>0.37205957973078352</v>
      </c>
      <c r="M2490" t="str">
        <f>IF(moras[[#This Row],[Z-Score Salario]]&gt;1.96, "Sí", "No")</f>
        <v>No</v>
      </c>
      <c r="N2490" s="14">
        <f>IF(ISBLANK(moras[[#This Row],[SALARIO]]), EDA!$M$8, moras[[#This Row],[SALARIO]])</f>
        <v>216000</v>
      </c>
      <c r="O2490" s="14">
        <f xml:space="preserve"> IF(ISBLANK(moras[[#This Row],[EDAD]]), EDA!$E$8, moras[[#This Row],[EDAD]])</f>
        <v>71</v>
      </c>
      <c r="P2490" s="14" t="str">
        <f>IF(
    OR(ISBLANK(moras[[#This Row],[TIPO_ASEGURAMIENTO]]), moras[[#This Row],[TIPO_ASEGURAMIENTO]]=""),
    EDA!$A$32,
    moras[[#This Row],[TIPO_ASEGURAMIENTO]]
)</f>
        <v>ASALARIADO</v>
      </c>
    </row>
    <row r="2491" spans="1:16" x14ac:dyDescent="0.3">
      <c r="A2491">
        <v>2490</v>
      </c>
      <c r="B2491" t="s">
        <v>9</v>
      </c>
      <c r="C2491">
        <v>51689785</v>
      </c>
      <c r="D2491" t="s">
        <v>10</v>
      </c>
      <c r="E2491" t="s">
        <v>16</v>
      </c>
      <c r="F2491" t="s">
        <v>12</v>
      </c>
      <c r="G2491" t="s">
        <v>13</v>
      </c>
      <c r="H2491" t="s">
        <v>13</v>
      </c>
      <c r="I2491">
        <v>61</v>
      </c>
      <c r="J2491">
        <f>ABS((I2491-EDA!$A$15)/EDA!$B$15)</f>
        <v>1.3423715843243298</v>
      </c>
      <c r="K2491" t="str">
        <f t="shared" si="38"/>
        <v>No</v>
      </c>
      <c r="L2491">
        <f>ABS((C2491-EDA!$F$15)/EDA!$G$15)</f>
        <v>0.48450053864188286</v>
      </c>
      <c r="M2491" t="str">
        <f>IF(moras[[#This Row],[Z-Score Salario]]&gt;1.96, "Sí", "No")</f>
        <v>No</v>
      </c>
      <c r="N2491" s="14">
        <f>IF(ISBLANK(moras[[#This Row],[SALARIO]]), EDA!$M$8, moras[[#This Row],[SALARIO]])</f>
        <v>51689785</v>
      </c>
      <c r="O2491" s="14">
        <f xml:space="preserve"> IF(ISBLANK(moras[[#This Row],[EDAD]]), EDA!$E$8, moras[[#This Row],[EDAD]])</f>
        <v>61</v>
      </c>
      <c r="P2491" s="14" t="str">
        <f>IF(
    OR(ISBLANK(moras[[#This Row],[TIPO_ASEGURAMIENTO]]), moras[[#This Row],[TIPO_ASEGURAMIENTO]]=""),
    EDA!$A$32,
    moras[[#This Row],[TIPO_ASEGURAMIENTO]]
)</f>
        <v>ASALARIADO</v>
      </c>
    </row>
    <row r="2492" spans="1:16" x14ac:dyDescent="0.3">
      <c r="A2492">
        <v>2491</v>
      </c>
      <c r="B2492" t="s">
        <v>9</v>
      </c>
      <c r="C2492">
        <v>76112215</v>
      </c>
      <c r="D2492" t="s">
        <v>10</v>
      </c>
      <c r="E2492" t="s">
        <v>11</v>
      </c>
      <c r="F2492" t="s">
        <v>12</v>
      </c>
      <c r="G2492" t="s">
        <v>13</v>
      </c>
      <c r="H2492" t="s">
        <v>13</v>
      </c>
      <c r="I2492">
        <v>30</v>
      </c>
      <c r="J2492">
        <f>ABS((I2492-EDA!$A$15)/EDA!$B$15)</f>
        <v>0.84546364806693275</v>
      </c>
      <c r="K2492" t="str">
        <f t="shared" si="38"/>
        <v>No</v>
      </c>
      <c r="L2492">
        <f>ABS((C2492-EDA!$F$15)/EDA!$G$15)</f>
        <v>0.89090701393310456</v>
      </c>
      <c r="M2492" t="str">
        <f>IF(moras[[#This Row],[Z-Score Salario]]&gt;1.96, "Sí", "No")</f>
        <v>No</v>
      </c>
      <c r="N2492" s="14">
        <f>IF(ISBLANK(moras[[#This Row],[SALARIO]]), EDA!$M$8, moras[[#This Row],[SALARIO]])</f>
        <v>76112215</v>
      </c>
      <c r="O2492" s="14">
        <f xml:space="preserve"> IF(ISBLANK(moras[[#This Row],[EDAD]]), EDA!$E$8, moras[[#This Row],[EDAD]])</f>
        <v>30</v>
      </c>
      <c r="P2492" s="14" t="str">
        <f>IF(
    OR(ISBLANK(moras[[#This Row],[TIPO_ASEGURAMIENTO]]), moras[[#This Row],[TIPO_ASEGURAMIENTO]]=""),
    EDA!$A$32,
    moras[[#This Row],[TIPO_ASEGURAMIENTO]]
)</f>
        <v>ASALARIADO</v>
      </c>
    </row>
    <row r="2493" spans="1:16" x14ac:dyDescent="0.3">
      <c r="A2493">
        <v>2492</v>
      </c>
      <c r="B2493" t="s">
        <v>9</v>
      </c>
      <c r="C2493">
        <v>546215</v>
      </c>
      <c r="D2493" t="s">
        <v>10</v>
      </c>
      <c r="E2493" t="s">
        <v>16</v>
      </c>
      <c r="F2493" t="s">
        <v>12</v>
      </c>
      <c r="G2493" t="s">
        <v>13</v>
      </c>
      <c r="H2493" t="s">
        <v>13</v>
      </c>
      <c r="I2493">
        <v>23</v>
      </c>
      <c r="J2493">
        <f>ABS((I2493-EDA!$A$15)/EDA!$B$15)</f>
        <v>1.3394909586068953</v>
      </c>
      <c r="K2493" t="str">
        <f t="shared" si="38"/>
        <v>No</v>
      </c>
      <c r="L2493">
        <f>ABS((C2493-EDA!$F$15)/EDA!$G$15)</f>
        <v>0.36656456902798734</v>
      </c>
      <c r="M2493" t="str">
        <f>IF(moras[[#This Row],[Z-Score Salario]]&gt;1.96, "Sí", "No")</f>
        <v>No</v>
      </c>
      <c r="N2493" s="14">
        <f>IF(ISBLANK(moras[[#This Row],[SALARIO]]), EDA!$M$8, moras[[#This Row],[SALARIO]])</f>
        <v>546215</v>
      </c>
      <c r="O2493" s="14">
        <f xml:space="preserve"> IF(ISBLANK(moras[[#This Row],[EDAD]]), EDA!$E$8, moras[[#This Row],[EDAD]])</f>
        <v>23</v>
      </c>
      <c r="P2493" s="14" t="str">
        <f>IF(
    OR(ISBLANK(moras[[#This Row],[TIPO_ASEGURAMIENTO]]), moras[[#This Row],[TIPO_ASEGURAMIENTO]]=""),
    EDA!$A$32,
    moras[[#This Row],[TIPO_ASEGURAMIENTO]]
)</f>
        <v>ASALARIADO</v>
      </c>
    </row>
    <row r="2494" spans="1:16" x14ac:dyDescent="0.3">
      <c r="A2494">
        <v>2493</v>
      </c>
      <c r="B2494" t="s">
        <v>15</v>
      </c>
      <c r="C2494">
        <v>186486572</v>
      </c>
      <c r="D2494" t="s">
        <v>10</v>
      </c>
      <c r="E2494" t="s">
        <v>11</v>
      </c>
      <c r="F2494" t="s">
        <v>12</v>
      </c>
      <c r="G2494" t="s">
        <v>13</v>
      </c>
      <c r="H2494" t="s">
        <v>13</v>
      </c>
      <c r="I2494">
        <v>34</v>
      </c>
      <c r="J2494">
        <f>ABS((I2494-EDA!$A$15)/EDA!$B$15)</f>
        <v>0.56316232775838282</v>
      </c>
      <c r="K2494" t="str">
        <f t="shared" si="38"/>
        <v>No</v>
      </c>
      <c r="L2494">
        <f>ABS((C2494-EDA!$F$15)/EDA!$G$15)</f>
        <v>2.7276142290179664</v>
      </c>
      <c r="M2494" t="str">
        <f>IF(moras[[#This Row],[Z-Score Salario]]&gt;1.96, "Sí", "No")</f>
        <v>Sí</v>
      </c>
      <c r="N2494" s="14">
        <f>IF(ISBLANK(moras[[#This Row],[SALARIO]]), EDA!$M$8, moras[[#This Row],[SALARIO]])</f>
        <v>186486572</v>
      </c>
      <c r="O2494" s="14">
        <f xml:space="preserve"> IF(ISBLANK(moras[[#This Row],[EDAD]]), EDA!$E$8, moras[[#This Row],[EDAD]])</f>
        <v>34</v>
      </c>
      <c r="P2494" s="14" t="str">
        <f>IF(
    OR(ISBLANK(moras[[#This Row],[TIPO_ASEGURAMIENTO]]), moras[[#This Row],[TIPO_ASEGURAMIENTO]]=""),
    EDA!$A$32,
    moras[[#This Row],[TIPO_ASEGURAMIENTO]]
)</f>
        <v>ASALARIADO</v>
      </c>
    </row>
    <row r="2495" spans="1:16" x14ac:dyDescent="0.3">
      <c r="A2495">
        <v>2494</v>
      </c>
      <c r="B2495" t="s">
        <v>9</v>
      </c>
      <c r="C2495">
        <v>60000</v>
      </c>
      <c r="D2495" t="s">
        <v>10</v>
      </c>
      <c r="E2495" t="s">
        <v>16</v>
      </c>
      <c r="F2495" t="s">
        <v>12</v>
      </c>
      <c r="G2495" t="s">
        <v>12</v>
      </c>
      <c r="H2495" t="s">
        <v>13</v>
      </c>
      <c r="I2495">
        <v>38</v>
      </c>
      <c r="J2495">
        <f>ABS((I2495-EDA!$A$15)/EDA!$B$15)</f>
        <v>0.28086100744983278</v>
      </c>
      <c r="K2495" t="str">
        <f t="shared" si="38"/>
        <v>No</v>
      </c>
      <c r="L2495">
        <f>ABS((C2495-EDA!$F$15)/EDA!$G$15)</f>
        <v>0.37465552985308626</v>
      </c>
      <c r="M2495" t="str">
        <f>IF(moras[[#This Row],[Z-Score Salario]]&gt;1.96, "Sí", "No")</f>
        <v>No</v>
      </c>
      <c r="N2495" s="14">
        <f>IF(ISBLANK(moras[[#This Row],[SALARIO]]), EDA!$M$8, moras[[#This Row],[SALARIO]])</f>
        <v>60000</v>
      </c>
      <c r="O2495" s="14">
        <f xml:space="preserve"> IF(ISBLANK(moras[[#This Row],[EDAD]]), EDA!$E$8, moras[[#This Row],[EDAD]])</f>
        <v>38</v>
      </c>
      <c r="P2495" s="14" t="str">
        <f>IF(
    OR(ISBLANK(moras[[#This Row],[TIPO_ASEGURAMIENTO]]), moras[[#This Row],[TIPO_ASEGURAMIENTO]]=""),
    EDA!$A$32,
    moras[[#This Row],[TIPO_ASEGURAMIENTO]]
)</f>
        <v>ASALARIADO</v>
      </c>
    </row>
    <row r="2496" spans="1:16" x14ac:dyDescent="0.3">
      <c r="A2496">
        <v>2495</v>
      </c>
      <c r="B2496" t="s">
        <v>9</v>
      </c>
      <c r="C2496">
        <v>385137</v>
      </c>
      <c r="D2496" t="s">
        <v>18</v>
      </c>
      <c r="E2496" t="s">
        <v>16</v>
      </c>
      <c r="F2496" t="s">
        <v>12</v>
      </c>
      <c r="G2496" t="s">
        <v>13</v>
      </c>
      <c r="H2496" t="s">
        <v>13</v>
      </c>
      <c r="I2496">
        <v>36</v>
      </c>
      <c r="J2496">
        <f>ABS((I2496-EDA!$A$15)/EDA!$B$15)</f>
        <v>0.42201166760410774</v>
      </c>
      <c r="K2496" t="str">
        <f t="shared" si="38"/>
        <v>No</v>
      </c>
      <c r="L2496">
        <f>ABS((C2496-EDA!$F$15)/EDA!$G$15)</f>
        <v>0.36924502065491221</v>
      </c>
      <c r="M2496" t="str">
        <f>IF(moras[[#This Row],[Z-Score Salario]]&gt;1.96, "Sí", "No")</f>
        <v>No</v>
      </c>
      <c r="N2496" s="14">
        <f>IF(ISBLANK(moras[[#This Row],[SALARIO]]), EDA!$M$8, moras[[#This Row],[SALARIO]])</f>
        <v>385137</v>
      </c>
      <c r="O2496" s="14">
        <f xml:space="preserve"> IF(ISBLANK(moras[[#This Row],[EDAD]]), EDA!$E$8, moras[[#This Row],[EDAD]])</f>
        <v>36</v>
      </c>
      <c r="P2496" s="14" t="str">
        <f>IF(
    OR(ISBLANK(moras[[#This Row],[TIPO_ASEGURAMIENTO]]), moras[[#This Row],[TIPO_ASEGURAMIENTO]]=""),
    EDA!$A$32,
    moras[[#This Row],[TIPO_ASEGURAMIENTO]]
)</f>
        <v>TRABAJADOR INDEPENDIENTE</v>
      </c>
    </row>
    <row r="2497" spans="1:16" x14ac:dyDescent="0.3">
      <c r="A2497">
        <v>2496</v>
      </c>
      <c r="B2497" t="s">
        <v>15</v>
      </c>
      <c r="C2497">
        <v>323111456</v>
      </c>
      <c r="D2497" t="s">
        <v>14</v>
      </c>
      <c r="E2497" t="s">
        <v>11</v>
      </c>
      <c r="F2497" t="s">
        <v>12</v>
      </c>
      <c r="G2497" t="s">
        <v>13</v>
      </c>
      <c r="H2497" t="s">
        <v>13</v>
      </c>
      <c r="I2497">
        <v>75</v>
      </c>
      <c r="J2497">
        <f>ABS((I2497-EDA!$A$15)/EDA!$B$15)</f>
        <v>2.330426205404255</v>
      </c>
      <c r="K2497" t="str">
        <f t="shared" si="38"/>
        <v>Sí</v>
      </c>
      <c r="L2497">
        <f>ABS((C2497-EDA!$F$15)/EDA!$G$15)</f>
        <v>5.0011487439500195</v>
      </c>
      <c r="M2497" t="str">
        <f>IF(moras[[#This Row],[Z-Score Salario]]&gt;1.96, "Sí", "No")</f>
        <v>Sí</v>
      </c>
      <c r="N2497" s="14">
        <f>IF(ISBLANK(moras[[#This Row],[SALARIO]]), EDA!$M$8, moras[[#This Row],[SALARIO]])</f>
        <v>323111456</v>
      </c>
      <c r="O2497" s="14">
        <f xml:space="preserve"> IF(ISBLANK(moras[[#This Row],[EDAD]]), EDA!$E$8, moras[[#This Row],[EDAD]])</f>
        <v>75</v>
      </c>
      <c r="P2497" s="14" t="str">
        <f>IF(
    OR(ISBLANK(moras[[#This Row],[TIPO_ASEGURAMIENTO]]), moras[[#This Row],[TIPO_ASEGURAMIENTO]]=""),
    EDA!$A$32,
    moras[[#This Row],[TIPO_ASEGURAMIENTO]]
)</f>
        <v>PENSIONADOS EN SU PROPIO SISTEMA</v>
      </c>
    </row>
    <row r="2498" spans="1:16" x14ac:dyDescent="0.3">
      <c r="A2498">
        <v>2497</v>
      </c>
      <c r="B2498" t="s">
        <v>15</v>
      </c>
      <c r="C2498">
        <v>2755981</v>
      </c>
      <c r="D2498" t="s">
        <v>10</v>
      </c>
      <c r="E2498" t="s">
        <v>16</v>
      </c>
      <c r="F2498" t="s">
        <v>12</v>
      </c>
      <c r="G2498" t="s">
        <v>13</v>
      </c>
      <c r="H2498" t="s">
        <v>13</v>
      </c>
      <c r="I2498">
        <v>52</v>
      </c>
      <c r="J2498">
        <f>ABS((I2498-EDA!$A$15)/EDA!$B$15)</f>
        <v>0.70719361363009237</v>
      </c>
      <c r="K2498" t="str">
        <f t="shared" ref="K2498:K2561" si="39">IF(J2498 &gt;  1.96, "Sí","No")</f>
        <v>No</v>
      </c>
      <c r="L2498">
        <f>ABS((C2498-EDA!$F$15)/EDA!$G$15)</f>
        <v>0.32979250288721501</v>
      </c>
      <c r="M2498" t="str">
        <f>IF(moras[[#This Row],[Z-Score Salario]]&gt;1.96, "Sí", "No")</f>
        <v>No</v>
      </c>
      <c r="N2498" s="14">
        <f>IF(ISBLANK(moras[[#This Row],[SALARIO]]), EDA!$M$8, moras[[#This Row],[SALARIO]])</f>
        <v>2755981</v>
      </c>
      <c r="O2498" s="14">
        <f xml:space="preserve"> IF(ISBLANK(moras[[#This Row],[EDAD]]), EDA!$E$8, moras[[#This Row],[EDAD]])</f>
        <v>52</v>
      </c>
      <c r="P2498" s="14" t="str">
        <f>IF(
    OR(ISBLANK(moras[[#This Row],[TIPO_ASEGURAMIENTO]]), moras[[#This Row],[TIPO_ASEGURAMIENTO]]=""),
    EDA!$A$32,
    moras[[#This Row],[TIPO_ASEGURAMIENTO]]
)</f>
        <v>ASALARIADO</v>
      </c>
    </row>
    <row r="2499" spans="1:16" x14ac:dyDescent="0.3">
      <c r="A2499">
        <v>2498</v>
      </c>
      <c r="B2499" t="s">
        <v>9</v>
      </c>
      <c r="C2499">
        <v>338655</v>
      </c>
      <c r="D2499" t="s">
        <v>10</v>
      </c>
      <c r="E2499" t="s">
        <v>16</v>
      </c>
      <c r="F2499" t="s">
        <v>12</v>
      </c>
      <c r="G2499" t="s">
        <v>13</v>
      </c>
      <c r="H2499" t="s">
        <v>13</v>
      </c>
      <c r="I2499">
        <v>36</v>
      </c>
      <c r="J2499">
        <f>ABS((I2499-EDA!$A$15)/EDA!$B$15)</f>
        <v>0.42201166760410774</v>
      </c>
      <c r="K2499" t="str">
        <f t="shared" si="39"/>
        <v>No</v>
      </c>
      <c r="L2499">
        <f>ABS((C2499-EDA!$F$15)/EDA!$G$15)</f>
        <v>0.37001851394712298</v>
      </c>
      <c r="M2499" t="str">
        <f>IF(moras[[#This Row],[Z-Score Salario]]&gt;1.96, "Sí", "No")</f>
        <v>No</v>
      </c>
      <c r="N2499" s="14">
        <f>IF(ISBLANK(moras[[#This Row],[SALARIO]]), EDA!$M$8, moras[[#This Row],[SALARIO]])</f>
        <v>338655</v>
      </c>
      <c r="O2499" s="14">
        <f xml:space="preserve"> IF(ISBLANK(moras[[#This Row],[EDAD]]), EDA!$E$8, moras[[#This Row],[EDAD]])</f>
        <v>36</v>
      </c>
      <c r="P2499" s="14" t="str">
        <f>IF(
    OR(ISBLANK(moras[[#This Row],[TIPO_ASEGURAMIENTO]]), moras[[#This Row],[TIPO_ASEGURAMIENTO]]=""),
    EDA!$A$32,
    moras[[#This Row],[TIPO_ASEGURAMIENTO]]
)</f>
        <v>ASALARIADO</v>
      </c>
    </row>
    <row r="2500" spans="1:16" x14ac:dyDescent="0.3">
      <c r="A2500">
        <v>2499</v>
      </c>
      <c r="B2500" t="s">
        <v>9</v>
      </c>
      <c r="C2500">
        <v>297046</v>
      </c>
      <c r="D2500" t="s">
        <v>17</v>
      </c>
      <c r="E2500" t="s">
        <v>16</v>
      </c>
      <c r="F2500" t="s">
        <v>12</v>
      </c>
      <c r="G2500" t="s">
        <v>12</v>
      </c>
      <c r="H2500" t="s">
        <v>12</v>
      </c>
      <c r="I2500">
        <v>52</v>
      </c>
      <c r="J2500">
        <f>ABS((I2500-EDA!$A$15)/EDA!$B$15)</f>
        <v>0.70719361363009237</v>
      </c>
      <c r="K2500" t="str">
        <f t="shared" si="39"/>
        <v>No</v>
      </c>
      <c r="L2500">
        <f>ABS((C2500-EDA!$F$15)/EDA!$G$15)</f>
        <v>0.37071091707942361</v>
      </c>
      <c r="M2500" t="str">
        <f>IF(moras[[#This Row],[Z-Score Salario]]&gt;1.96, "Sí", "No")</f>
        <v>No</v>
      </c>
      <c r="N2500" s="14">
        <f>IF(ISBLANK(moras[[#This Row],[SALARIO]]), EDA!$M$8, moras[[#This Row],[SALARIO]])</f>
        <v>297046</v>
      </c>
      <c r="O2500" s="14">
        <f xml:space="preserve"> IF(ISBLANK(moras[[#This Row],[EDAD]]), EDA!$E$8, moras[[#This Row],[EDAD]])</f>
        <v>52</v>
      </c>
      <c r="P2500" s="14" t="str">
        <f>IF(
    OR(ISBLANK(moras[[#This Row],[TIPO_ASEGURAMIENTO]]), moras[[#This Row],[TIPO_ASEGURAMIENTO]]=""),
    EDA!$A$32,
    moras[[#This Row],[TIPO_ASEGURAMIENTO]]
)</f>
        <v>ASEGURADO VOLUNTARIO</v>
      </c>
    </row>
    <row r="2501" spans="1:16" x14ac:dyDescent="0.3">
      <c r="A2501">
        <v>2500</v>
      </c>
      <c r="B2501" t="s">
        <v>9</v>
      </c>
      <c r="C2501">
        <v>258000</v>
      </c>
      <c r="D2501" t="s">
        <v>10</v>
      </c>
      <c r="E2501" t="s">
        <v>16</v>
      </c>
      <c r="F2501" t="s">
        <v>12</v>
      </c>
      <c r="G2501" t="s">
        <v>12</v>
      </c>
      <c r="H2501" t="s">
        <v>12</v>
      </c>
      <c r="I2501">
        <v>41</v>
      </c>
      <c r="J2501">
        <f>ABS((I2501-EDA!$A$15)/EDA!$B$15)</f>
        <v>6.9135017218420233E-2</v>
      </c>
      <c r="K2501" t="str">
        <f t="shared" si="39"/>
        <v>No</v>
      </c>
      <c r="L2501">
        <f>ABS((C2501-EDA!$F$15)/EDA!$G$15)</f>
        <v>0.37136067008247126</v>
      </c>
      <c r="M2501" t="str">
        <f>IF(moras[[#This Row],[Z-Score Salario]]&gt;1.96, "Sí", "No")</f>
        <v>No</v>
      </c>
      <c r="N2501" s="14">
        <f>IF(ISBLANK(moras[[#This Row],[SALARIO]]), EDA!$M$8, moras[[#This Row],[SALARIO]])</f>
        <v>258000</v>
      </c>
      <c r="O2501" s="14">
        <f xml:space="preserve"> IF(ISBLANK(moras[[#This Row],[EDAD]]), EDA!$E$8, moras[[#This Row],[EDAD]])</f>
        <v>41</v>
      </c>
      <c r="P2501" s="14" t="str">
        <f>IF(
    OR(ISBLANK(moras[[#This Row],[TIPO_ASEGURAMIENTO]]), moras[[#This Row],[TIPO_ASEGURAMIENTO]]=""),
    EDA!$A$32,
    moras[[#This Row],[TIPO_ASEGURAMIENTO]]
)</f>
        <v>ASALARIADO</v>
      </c>
    </row>
    <row r="2502" spans="1:16" x14ac:dyDescent="0.3">
      <c r="A2502">
        <v>2501</v>
      </c>
      <c r="B2502" t="s">
        <v>9</v>
      </c>
      <c r="C2502">
        <v>428100</v>
      </c>
      <c r="D2502" t="s">
        <v>10</v>
      </c>
      <c r="E2502" t="s">
        <v>11</v>
      </c>
      <c r="F2502" t="s">
        <v>12</v>
      </c>
      <c r="G2502" t="s">
        <v>13</v>
      </c>
      <c r="H2502" t="s">
        <v>13</v>
      </c>
      <c r="I2502">
        <v>36</v>
      </c>
      <c r="J2502">
        <f>ABS((I2502-EDA!$A$15)/EDA!$B$15)</f>
        <v>0.42201166760410774</v>
      </c>
      <c r="K2502" t="str">
        <f t="shared" si="39"/>
        <v>No</v>
      </c>
      <c r="L2502">
        <f>ABS((C2502-EDA!$F$15)/EDA!$G$15)</f>
        <v>0.36853008600680648</v>
      </c>
      <c r="M2502" t="str">
        <f>IF(moras[[#This Row],[Z-Score Salario]]&gt;1.96, "Sí", "No")</f>
        <v>No</v>
      </c>
      <c r="N2502" s="14">
        <f>IF(ISBLANK(moras[[#This Row],[SALARIO]]), EDA!$M$8, moras[[#This Row],[SALARIO]])</f>
        <v>428100</v>
      </c>
      <c r="O2502" s="14">
        <f xml:space="preserve"> IF(ISBLANK(moras[[#This Row],[EDAD]]), EDA!$E$8, moras[[#This Row],[EDAD]])</f>
        <v>36</v>
      </c>
      <c r="P2502" s="14" t="str">
        <f>IF(
    OR(ISBLANK(moras[[#This Row],[TIPO_ASEGURAMIENTO]]), moras[[#This Row],[TIPO_ASEGURAMIENTO]]=""),
    EDA!$A$32,
    moras[[#This Row],[TIPO_ASEGURAMIENTO]]
)</f>
        <v>ASALARIADO</v>
      </c>
    </row>
    <row r="2503" spans="1:16" x14ac:dyDescent="0.3">
      <c r="A2503">
        <v>2502</v>
      </c>
      <c r="B2503" t="s">
        <v>9</v>
      </c>
      <c r="C2503">
        <v>1814153</v>
      </c>
      <c r="D2503" t="s">
        <v>10</v>
      </c>
      <c r="E2503" t="s">
        <v>11</v>
      </c>
      <c r="F2503" t="s">
        <v>12</v>
      </c>
      <c r="G2503" t="s">
        <v>13</v>
      </c>
      <c r="H2503" t="s">
        <v>12</v>
      </c>
      <c r="I2503">
        <v>35</v>
      </c>
      <c r="J2503">
        <f>ABS((I2503-EDA!$A$15)/EDA!$B$15)</f>
        <v>0.49258699768124525</v>
      </c>
      <c r="K2503" t="str">
        <f t="shared" si="39"/>
        <v>No</v>
      </c>
      <c r="L2503">
        <f>ABS((C2503-EDA!$F$15)/EDA!$G$15)</f>
        <v>0.34546518565508788</v>
      </c>
      <c r="M2503" t="str">
        <f>IF(moras[[#This Row],[Z-Score Salario]]&gt;1.96, "Sí", "No")</f>
        <v>No</v>
      </c>
      <c r="N2503" s="14">
        <f>IF(ISBLANK(moras[[#This Row],[SALARIO]]), EDA!$M$8, moras[[#This Row],[SALARIO]])</f>
        <v>1814153</v>
      </c>
      <c r="O2503" s="14">
        <f xml:space="preserve"> IF(ISBLANK(moras[[#This Row],[EDAD]]), EDA!$E$8, moras[[#This Row],[EDAD]])</f>
        <v>35</v>
      </c>
      <c r="P2503" s="14" t="str">
        <f>IF(
    OR(ISBLANK(moras[[#This Row],[TIPO_ASEGURAMIENTO]]), moras[[#This Row],[TIPO_ASEGURAMIENTO]]=""),
    EDA!$A$32,
    moras[[#This Row],[TIPO_ASEGURAMIENTO]]
)</f>
        <v>ASALARIADO</v>
      </c>
    </row>
    <row r="2504" spans="1:16" x14ac:dyDescent="0.3">
      <c r="A2504">
        <v>2503</v>
      </c>
      <c r="B2504" t="s">
        <v>15</v>
      </c>
      <c r="C2504">
        <v>599078</v>
      </c>
      <c r="D2504" t="s">
        <v>10</v>
      </c>
      <c r="E2504" t="s">
        <v>11</v>
      </c>
      <c r="F2504" t="s">
        <v>12</v>
      </c>
      <c r="G2504" t="s">
        <v>13</v>
      </c>
      <c r="H2504" t="s">
        <v>13</v>
      </c>
      <c r="I2504">
        <v>63</v>
      </c>
      <c r="J2504">
        <f>ABS((I2504-EDA!$A$15)/EDA!$B$15)</f>
        <v>1.4835222444786049</v>
      </c>
      <c r="K2504" t="str">
        <f t="shared" si="39"/>
        <v>No</v>
      </c>
      <c r="L2504">
        <f>ABS((C2504-EDA!$F$15)/EDA!$G$15)</f>
        <v>0.36568489139135085</v>
      </c>
      <c r="M2504" t="str">
        <f>IF(moras[[#This Row],[Z-Score Salario]]&gt;1.96, "Sí", "No")</f>
        <v>No</v>
      </c>
      <c r="N2504" s="14">
        <f>IF(ISBLANK(moras[[#This Row],[SALARIO]]), EDA!$M$8, moras[[#This Row],[SALARIO]])</f>
        <v>599078</v>
      </c>
      <c r="O2504" s="14">
        <f xml:space="preserve"> IF(ISBLANK(moras[[#This Row],[EDAD]]), EDA!$E$8, moras[[#This Row],[EDAD]])</f>
        <v>63</v>
      </c>
      <c r="P2504" s="14" t="str">
        <f>IF(
    OR(ISBLANK(moras[[#This Row],[TIPO_ASEGURAMIENTO]]), moras[[#This Row],[TIPO_ASEGURAMIENTO]]=""),
    EDA!$A$32,
    moras[[#This Row],[TIPO_ASEGURAMIENTO]]
)</f>
        <v>ASALARIADO</v>
      </c>
    </row>
    <row r="2505" spans="1:16" x14ac:dyDescent="0.3">
      <c r="A2505">
        <v>2504</v>
      </c>
      <c r="B2505" t="s">
        <v>9</v>
      </c>
      <c r="C2505">
        <v>24252681</v>
      </c>
      <c r="D2505" t="s">
        <v>10</v>
      </c>
      <c r="E2505" t="s">
        <v>11</v>
      </c>
      <c r="F2505" t="s">
        <v>12</v>
      </c>
      <c r="G2505" t="s">
        <v>13</v>
      </c>
      <c r="H2505" t="s">
        <v>13</v>
      </c>
      <c r="I2505">
        <v>60</v>
      </c>
      <c r="J2505">
        <f>ABS((I2505-EDA!$A$15)/EDA!$B$15)</f>
        <v>1.2717962542471923</v>
      </c>
      <c r="K2505" t="str">
        <f t="shared" si="39"/>
        <v>No</v>
      </c>
      <c r="L2505">
        <f>ABS((C2505-EDA!$F$15)/EDA!$G$15)</f>
        <v>2.7927759895514041E-2</v>
      </c>
      <c r="M2505" t="str">
        <f>IF(moras[[#This Row],[Z-Score Salario]]&gt;1.96, "Sí", "No")</f>
        <v>No</v>
      </c>
      <c r="N2505" s="14">
        <f>IF(ISBLANK(moras[[#This Row],[SALARIO]]), EDA!$M$8, moras[[#This Row],[SALARIO]])</f>
        <v>24252681</v>
      </c>
      <c r="O2505" s="14">
        <f xml:space="preserve"> IF(ISBLANK(moras[[#This Row],[EDAD]]), EDA!$E$8, moras[[#This Row],[EDAD]])</f>
        <v>60</v>
      </c>
      <c r="P2505" s="14" t="str">
        <f>IF(
    OR(ISBLANK(moras[[#This Row],[TIPO_ASEGURAMIENTO]]), moras[[#This Row],[TIPO_ASEGURAMIENTO]]=""),
    EDA!$A$32,
    moras[[#This Row],[TIPO_ASEGURAMIENTO]]
)</f>
        <v>ASALARIADO</v>
      </c>
    </row>
    <row r="2506" spans="1:16" x14ac:dyDescent="0.3">
      <c r="A2506">
        <v>2505</v>
      </c>
      <c r="B2506" t="s">
        <v>9</v>
      </c>
      <c r="C2506">
        <v>17564935</v>
      </c>
      <c r="D2506" t="s">
        <v>10</v>
      </c>
      <c r="E2506" t="s">
        <v>11</v>
      </c>
      <c r="F2506" t="s">
        <v>12</v>
      </c>
      <c r="G2506" t="s">
        <v>13</v>
      </c>
      <c r="H2506" t="s">
        <v>13</v>
      </c>
      <c r="I2506">
        <v>31</v>
      </c>
      <c r="J2506">
        <f>ABS((I2506-EDA!$A$15)/EDA!$B$15)</f>
        <v>0.77488831798979529</v>
      </c>
      <c r="K2506" t="str">
        <f t="shared" si="39"/>
        <v>No</v>
      </c>
      <c r="L2506">
        <f>ABS((C2506-EDA!$F$15)/EDA!$G$15)</f>
        <v>8.3361054505958987E-2</v>
      </c>
      <c r="M2506" t="str">
        <f>IF(moras[[#This Row],[Z-Score Salario]]&gt;1.96, "Sí", "No")</f>
        <v>No</v>
      </c>
      <c r="N2506" s="14">
        <f>IF(ISBLANK(moras[[#This Row],[SALARIO]]), EDA!$M$8, moras[[#This Row],[SALARIO]])</f>
        <v>17564935</v>
      </c>
      <c r="O2506" s="14">
        <f xml:space="preserve"> IF(ISBLANK(moras[[#This Row],[EDAD]]), EDA!$E$8, moras[[#This Row],[EDAD]])</f>
        <v>31</v>
      </c>
      <c r="P2506" s="14" t="str">
        <f>IF(
    OR(ISBLANK(moras[[#This Row],[TIPO_ASEGURAMIENTO]]), moras[[#This Row],[TIPO_ASEGURAMIENTO]]=""),
    EDA!$A$32,
    moras[[#This Row],[TIPO_ASEGURAMIENTO]]
)</f>
        <v>ASALARIADO</v>
      </c>
    </row>
    <row r="2507" spans="1:16" x14ac:dyDescent="0.3">
      <c r="A2507">
        <v>2506</v>
      </c>
      <c r="B2507" t="s">
        <v>15</v>
      </c>
      <c r="C2507">
        <v>1185569</v>
      </c>
      <c r="D2507" t="s">
        <v>10</v>
      </c>
      <c r="E2507" t="s">
        <v>16</v>
      </c>
      <c r="F2507" t="s">
        <v>12</v>
      </c>
      <c r="G2507" t="s">
        <v>13</v>
      </c>
      <c r="H2507" t="s">
        <v>13</v>
      </c>
      <c r="I2507">
        <v>42</v>
      </c>
      <c r="J2507">
        <f>ABS((I2507-EDA!$A$15)/EDA!$B$15)</f>
        <v>1.4403128587172659E-3</v>
      </c>
      <c r="K2507" t="str">
        <f t="shared" si="39"/>
        <v>No</v>
      </c>
      <c r="L2507">
        <f>ABS((C2507-EDA!$F$15)/EDA!$G$15)</f>
        <v>0.3559252671402004</v>
      </c>
      <c r="M2507" t="str">
        <f>IF(moras[[#This Row],[Z-Score Salario]]&gt;1.96, "Sí", "No")</f>
        <v>No</v>
      </c>
      <c r="N2507" s="14">
        <f>IF(ISBLANK(moras[[#This Row],[SALARIO]]), EDA!$M$8, moras[[#This Row],[SALARIO]])</f>
        <v>1185569</v>
      </c>
      <c r="O2507" s="14">
        <f xml:space="preserve"> IF(ISBLANK(moras[[#This Row],[EDAD]]), EDA!$E$8, moras[[#This Row],[EDAD]])</f>
        <v>42</v>
      </c>
      <c r="P2507" s="14" t="str">
        <f>IF(
    OR(ISBLANK(moras[[#This Row],[TIPO_ASEGURAMIENTO]]), moras[[#This Row],[TIPO_ASEGURAMIENTO]]=""),
    EDA!$A$32,
    moras[[#This Row],[TIPO_ASEGURAMIENTO]]
)</f>
        <v>ASALARIADO</v>
      </c>
    </row>
    <row r="2508" spans="1:16" x14ac:dyDescent="0.3">
      <c r="A2508">
        <v>2507</v>
      </c>
      <c r="B2508" t="s">
        <v>9</v>
      </c>
      <c r="C2508">
        <v>103133208</v>
      </c>
      <c r="D2508" t="s">
        <v>10</v>
      </c>
      <c r="E2508" t="s">
        <v>16</v>
      </c>
      <c r="F2508" t="s">
        <v>12</v>
      </c>
      <c r="G2508" t="s">
        <v>13</v>
      </c>
      <c r="H2508" t="s">
        <v>13</v>
      </c>
      <c r="I2508">
        <v>29</v>
      </c>
      <c r="J2508">
        <f>ABS((I2508-EDA!$A$15)/EDA!$B$15)</f>
        <v>0.91603897814407031</v>
      </c>
      <c r="K2508" t="str">
        <f t="shared" si="39"/>
        <v>No</v>
      </c>
      <c r="L2508">
        <f>ABS((C2508-EDA!$F$15)/EDA!$G$15)</f>
        <v>1.340555411901643</v>
      </c>
      <c r="M2508" t="str">
        <f>IF(moras[[#This Row],[Z-Score Salario]]&gt;1.96, "Sí", "No")</f>
        <v>No</v>
      </c>
      <c r="N2508" s="14">
        <f>IF(ISBLANK(moras[[#This Row],[SALARIO]]), EDA!$M$8, moras[[#This Row],[SALARIO]])</f>
        <v>103133208</v>
      </c>
      <c r="O2508" s="14">
        <f xml:space="preserve"> IF(ISBLANK(moras[[#This Row],[EDAD]]), EDA!$E$8, moras[[#This Row],[EDAD]])</f>
        <v>29</v>
      </c>
      <c r="P2508" s="14" t="str">
        <f>IF(
    OR(ISBLANK(moras[[#This Row],[TIPO_ASEGURAMIENTO]]), moras[[#This Row],[TIPO_ASEGURAMIENTO]]=""),
    EDA!$A$32,
    moras[[#This Row],[TIPO_ASEGURAMIENTO]]
)</f>
        <v>ASALARIADO</v>
      </c>
    </row>
    <row r="2509" spans="1:16" x14ac:dyDescent="0.3">
      <c r="A2509">
        <v>2508</v>
      </c>
      <c r="B2509" t="s">
        <v>9</v>
      </c>
      <c r="C2509">
        <v>27677319</v>
      </c>
      <c r="D2509" t="s">
        <v>10</v>
      </c>
      <c r="E2509" t="s">
        <v>16</v>
      </c>
      <c r="F2509" t="s">
        <v>12</v>
      </c>
      <c r="G2509" t="s">
        <v>13</v>
      </c>
      <c r="H2509" t="s">
        <v>13</v>
      </c>
      <c r="I2509">
        <v>47</v>
      </c>
      <c r="J2509">
        <f>ABS((I2509-EDA!$A$15)/EDA!$B$15)</f>
        <v>0.35431696324440481</v>
      </c>
      <c r="K2509" t="str">
        <f t="shared" si="39"/>
        <v>No</v>
      </c>
      <c r="L2509">
        <f>ABS((C2509-EDA!$F$15)/EDA!$G$15)</f>
        <v>8.4916153709249154E-2</v>
      </c>
      <c r="M2509" t="str">
        <f>IF(moras[[#This Row],[Z-Score Salario]]&gt;1.96, "Sí", "No")</f>
        <v>No</v>
      </c>
      <c r="N2509" s="14">
        <f>IF(ISBLANK(moras[[#This Row],[SALARIO]]), EDA!$M$8, moras[[#This Row],[SALARIO]])</f>
        <v>27677319</v>
      </c>
      <c r="O2509" s="14">
        <f xml:space="preserve"> IF(ISBLANK(moras[[#This Row],[EDAD]]), EDA!$E$8, moras[[#This Row],[EDAD]])</f>
        <v>47</v>
      </c>
      <c r="P2509" s="14" t="str">
        <f>IF(
    OR(ISBLANK(moras[[#This Row],[TIPO_ASEGURAMIENTO]]), moras[[#This Row],[TIPO_ASEGURAMIENTO]]=""),
    EDA!$A$32,
    moras[[#This Row],[TIPO_ASEGURAMIENTO]]
)</f>
        <v>ASALARIADO</v>
      </c>
    </row>
    <row r="2510" spans="1:16" x14ac:dyDescent="0.3">
      <c r="A2510">
        <v>2509</v>
      </c>
      <c r="B2510" t="s">
        <v>15</v>
      </c>
      <c r="C2510">
        <v>1930775</v>
      </c>
      <c r="D2510" t="s">
        <v>10</v>
      </c>
      <c r="E2510" t="s">
        <v>16</v>
      </c>
      <c r="F2510" t="s">
        <v>12</v>
      </c>
      <c r="G2510" t="s">
        <v>13</v>
      </c>
      <c r="H2510" t="s">
        <v>13</v>
      </c>
      <c r="I2510">
        <v>52</v>
      </c>
      <c r="J2510">
        <f>ABS((I2510-EDA!$A$15)/EDA!$B$15)</f>
        <v>0.70719361363009237</v>
      </c>
      <c r="K2510" t="str">
        <f t="shared" si="39"/>
        <v>No</v>
      </c>
      <c r="L2510">
        <f>ABS((C2510-EDA!$F$15)/EDA!$G$15)</f>
        <v>0.34352451325019562</v>
      </c>
      <c r="M2510" t="str">
        <f>IF(moras[[#This Row],[Z-Score Salario]]&gt;1.96, "Sí", "No")</f>
        <v>No</v>
      </c>
      <c r="N2510" s="14">
        <f>IF(ISBLANK(moras[[#This Row],[SALARIO]]), EDA!$M$8, moras[[#This Row],[SALARIO]])</f>
        <v>1930775</v>
      </c>
      <c r="O2510" s="14">
        <f xml:space="preserve"> IF(ISBLANK(moras[[#This Row],[EDAD]]), EDA!$E$8, moras[[#This Row],[EDAD]])</f>
        <v>52</v>
      </c>
      <c r="P2510" s="14" t="str">
        <f>IF(
    OR(ISBLANK(moras[[#This Row],[TIPO_ASEGURAMIENTO]]), moras[[#This Row],[TIPO_ASEGURAMIENTO]]=""),
    EDA!$A$32,
    moras[[#This Row],[TIPO_ASEGURAMIENTO]]
)</f>
        <v>ASALARIADO</v>
      </c>
    </row>
    <row r="2511" spans="1:16" x14ac:dyDescent="0.3">
      <c r="A2511">
        <v>2510</v>
      </c>
      <c r="B2511" t="s">
        <v>9</v>
      </c>
      <c r="C2511">
        <v>246175</v>
      </c>
      <c r="D2511" t="s">
        <v>10</v>
      </c>
      <c r="E2511" t="s">
        <v>16</v>
      </c>
      <c r="F2511" t="s">
        <v>12</v>
      </c>
      <c r="G2511" t="s">
        <v>13</v>
      </c>
      <c r="H2511" t="s">
        <v>13</v>
      </c>
      <c r="I2511">
        <v>54</v>
      </c>
      <c r="J2511">
        <f>ABS((I2511-EDA!$A$15)/EDA!$B$15)</f>
        <v>0.84834427378436728</v>
      </c>
      <c r="K2511" t="str">
        <f t="shared" si="39"/>
        <v>No</v>
      </c>
      <c r="L2511">
        <f>ABS((C2511-EDA!$F$15)/EDA!$G$15)</f>
        <v>0.37155744642988298</v>
      </c>
      <c r="M2511" t="str">
        <f>IF(moras[[#This Row],[Z-Score Salario]]&gt;1.96, "Sí", "No")</f>
        <v>No</v>
      </c>
      <c r="N2511" s="14">
        <f>IF(ISBLANK(moras[[#This Row],[SALARIO]]), EDA!$M$8, moras[[#This Row],[SALARIO]])</f>
        <v>246175</v>
      </c>
      <c r="O2511" s="14">
        <f xml:space="preserve"> IF(ISBLANK(moras[[#This Row],[EDAD]]), EDA!$E$8, moras[[#This Row],[EDAD]])</f>
        <v>54</v>
      </c>
      <c r="P2511" s="14" t="str">
        <f>IF(
    OR(ISBLANK(moras[[#This Row],[TIPO_ASEGURAMIENTO]]), moras[[#This Row],[TIPO_ASEGURAMIENTO]]=""),
    EDA!$A$32,
    moras[[#This Row],[TIPO_ASEGURAMIENTO]]
)</f>
        <v>ASALARIADO</v>
      </c>
    </row>
    <row r="2512" spans="1:16" x14ac:dyDescent="0.3">
      <c r="A2512">
        <v>2511</v>
      </c>
      <c r="B2512" t="s">
        <v>9</v>
      </c>
      <c r="C2512">
        <v>39475525</v>
      </c>
      <c r="D2512" t="s">
        <v>10</v>
      </c>
      <c r="E2512" t="s">
        <v>16</v>
      </c>
      <c r="F2512" t="s">
        <v>12</v>
      </c>
      <c r="G2512" t="s">
        <v>13</v>
      </c>
      <c r="H2512" t="s">
        <v>13</v>
      </c>
      <c r="I2512">
        <v>37</v>
      </c>
      <c r="J2512">
        <f>ABS((I2512-EDA!$A$15)/EDA!$B$15)</f>
        <v>0.35143633752697023</v>
      </c>
      <c r="K2512" t="str">
        <f t="shared" si="39"/>
        <v>No</v>
      </c>
      <c r="L2512">
        <f>ABS((C2512-EDA!$F$15)/EDA!$G$15)</f>
        <v>0.28124663004676936</v>
      </c>
      <c r="M2512" t="str">
        <f>IF(moras[[#This Row],[Z-Score Salario]]&gt;1.96, "Sí", "No")</f>
        <v>No</v>
      </c>
      <c r="N2512" s="14">
        <f>IF(ISBLANK(moras[[#This Row],[SALARIO]]), EDA!$M$8, moras[[#This Row],[SALARIO]])</f>
        <v>39475525</v>
      </c>
      <c r="O2512" s="14">
        <f xml:space="preserve"> IF(ISBLANK(moras[[#This Row],[EDAD]]), EDA!$E$8, moras[[#This Row],[EDAD]])</f>
        <v>37</v>
      </c>
      <c r="P2512" s="14" t="str">
        <f>IF(
    OR(ISBLANK(moras[[#This Row],[TIPO_ASEGURAMIENTO]]), moras[[#This Row],[TIPO_ASEGURAMIENTO]]=""),
    EDA!$A$32,
    moras[[#This Row],[TIPO_ASEGURAMIENTO]]
)</f>
        <v>ASALARIADO</v>
      </c>
    </row>
    <row r="2513" spans="1:16" x14ac:dyDescent="0.3">
      <c r="A2513">
        <v>2512</v>
      </c>
      <c r="B2513" t="s">
        <v>15</v>
      </c>
      <c r="C2513">
        <v>500000</v>
      </c>
      <c r="D2513" t="s">
        <v>10</v>
      </c>
      <c r="E2513" t="s">
        <v>16</v>
      </c>
      <c r="F2513" t="s">
        <v>12</v>
      </c>
      <c r="G2513" t="s">
        <v>13</v>
      </c>
      <c r="H2513" t="s">
        <v>13</v>
      </c>
      <c r="I2513">
        <v>40</v>
      </c>
      <c r="J2513">
        <f>ABS((I2513-EDA!$A$15)/EDA!$B$15)</f>
        <v>0.13971034729555773</v>
      </c>
      <c r="K2513" t="str">
        <f t="shared" si="39"/>
        <v>No</v>
      </c>
      <c r="L2513">
        <f>ABS((C2513-EDA!$F$15)/EDA!$G$15)</f>
        <v>0.36733361925171953</v>
      </c>
      <c r="M2513" t="str">
        <f>IF(moras[[#This Row],[Z-Score Salario]]&gt;1.96, "Sí", "No")</f>
        <v>No</v>
      </c>
      <c r="N2513" s="14">
        <f>IF(ISBLANK(moras[[#This Row],[SALARIO]]), EDA!$M$8, moras[[#This Row],[SALARIO]])</f>
        <v>500000</v>
      </c>
      <c r="O2513" s="14">
        <f xml:space="preserve"> IF(ISBLANK(moras[[#This Row],[EDAD]]), EDA!$E$8, moras[[#This Row],[EDAD]])</f>
        <v>40</v>
      </c>
      <c r="P2513" s="14" t="str">
        <f>IF(
    OR(ISBLANK(moras[[#This Row],[TIPO_ASEGURAMIENTO]]), moras[[#This Row],[TIPO_ASEGURAMIENTO]]=""),
    EDA!$A$32,
    moras[[#This Row],[TIPO_ASEGURAMIENTO]]
)</f>
        <v>ASALARIADO</v>
      </c>
    </row>
    <row r="2514" spans="1:16" x14ac:dyDescent="0.3">
      <c r="A2514">
        <v>2513</v>
      </c>
      <c r="B2514" t="s">
        <v>9</v>
      </c>
      <c r="C2514">
        <v>352881</v>
      </c>
      <c r="D2514" t="s">
        <v>18</v>
      </c>
      <c r="E2514" t="s">
        <v>16</v>
      </c>
      <c r="F2514" t="s">
        <v>12</v>
      </c>
      <c r="G2514" t="s">
        <v>13</v>
      </c>
      <c r="H2514" t="s">
        <v>12</v>
      </c>
      <c r="I2514">
        <v>35</v>
      </c>
      <c r="J2514">
        <f>ABS((I2514-EDA!$A$15)/EDA!$B$15)</f>
        <v>0.49258699768124525</v>
      </c>
      <c r="K2514" t="str">
        <f t="shared" si="39"/>
        <v>No</v>
      </c>
      <c r="L2514">
        <f>ABS((C2514-EDA!$F$15)/EDA!$G$15)</f>
        <v>0.36978178326481603</v>
      </c>
      <c r="M2514" t="str">
        <f>IF(moras[[#This Row],[Z-Score Salario]]&gt;1.96, "Sí", "No")</f>
        <v>No</v>
      </c>
      <c r="N2514" s="14">
        <f>IF(ISBLANK(moras[[#This Row],[SALARIO]]), EDA!$M$8, moras[[#This Row],[SALARIO]])</f>
        <v>352881</v>
      </c>
      <c r="O2514" s="14">
        <f xml:space="preserve"> IF(ISBLANK(moras[[#This Row],[EDAD]]), EDA!$E$8, moras[[#This Row],[EDAD]])</f>
        <v>35</v>
      </c>
      <c r="P2514" s="14" t="str">
        <f>IF(
    OR(ISBLANK(moras[[#This Row],[TIPO_ASEGURAMIENTO]]), moras[[#This Row],[TIPO_ASEGURAMIENTO]]=""),
    EDA!$A$32,
    moras[[#This Row],[TIPO_ASEGURAMIENTO]]
)</f>
        <v>TRABAJADOR INDEPENDIENTE</v>
      </c>
    </row>
    <row r="2515" spans="1:16" x14ac:dyDescent="0.3">
      <c r="A2515">
        <v>2514</v>
      </c>
      <c r="B2515" t="s">
        <v>9</v>
      </c>
      <c r="C2515">
        <v>639148</v>
      </c>
      <c r="D2515" t="s">
        <v>18</v>
      </c>
      <c r="E2515" t="s">
        <v>16</v>
      </c>
      <c r="F2515" t="s">
        <v>12</v>
      </c>
      <c r="G2515" t="s">
        <v>13</v>
      </c>
      <c r="H2515" t="s">
        <v>12</v>
      </c>
      <c r="I2515">
        <v>38</v>
      </c>
      <c r="J2515">
        <f>ABS((I2515-EDA!$A$15)/EDA!$B$15)</f>
        <v>0.28086100744983278</v>
      </c>
      <c r="K2515" t="str">
        <f t="shared" si="39"/>
        <v>No</v>
      </c>
      <c r="L2515">
        <f>ABS((C2515-EDA!$F$15)/EDA!$G$15)</f>
        <v>0.36501809830544912</v>
      </c>
      <c r="M2515" t="str">
        <f>IF(moras[[#This Row],[Z-Score Salario]]&gt;1.96, "Sí", "No")</f>
        <v>No</v>
      </c>
      <c r="N2515" s="14">
        <f>IF(ISBLANK(moras[[#This Row],[SALARIO]]), EDA!$M$8, moras[[#This Row],[SALARIO]])</f>
        <v>639148</v>
      </c>
      <c r="O2515" s="14">
        <f xml:space="preserve"> IF(ISBLANK(moras[[#This Row],[EDAD]]), EDA!$E$8, moras[[#This Row],[EDAD]])</f>
        <v>38</v>
      </c>
      <c r="P2515" s="14" t="str">
        <f>IF(
    OR(ISBLANK(moras[[#This Row],[TIPO_ASEGURAMIENTO]]), moras[[#This Row],[TIPO_ASEGURAMIENTO]]=""),
    EDA!$A$32,
    moras[[#This Row],[TIPO_ASEGURAMIENTO]]
)</f>
        <v>TRABAJADOR INDEPENDIENTE</v>
      </c>
    </row>
    <row r="2516" spans="1:16" x14ac:dyDescent="0.3">
      <c r="A2516">
        <v>2515</v>
      </c>
      <c r="B2516" t="s">
        <v>9</v>
      </c>
      <c r="C2516">
        <v>347135</v>
      </c>
      <c r="D2516" t="s">
        <v>18</v>
      </c>
      <c r="E2516" t="s">
        <v>16</v>
      </c>
      <c r="F2516" t="s">
        <v>12</v>
      </c>
      <c r="G2516" t="s">
        <v>12</v>
      </c>
      <c r="H2516" t="s">
        <v>12</v>
      </c>
      <c r="I2516">
        <v>44</v>
      </c>
      <c r="J2516">
        <f>ABS((I2516-EDA!$A$15)/EDA!$B$15)</f>
        <v>0.14259097301299228</v>
      </c>
      <c r="K2516" t="str">
        <f t="shared" si="39"/>
        <v>No</v>
      </c>
      <c r="L2516">
        <f>ABS((C2516-EDA!$F$15)/EDA!$G$15)</f>
        <v>0.36987740076098752</v>
      </c>
      <c r="M2516" t="str">
        <f>IF(moras[[#This Row],[Z-Score Salario]]&gt;1.96, "Sí", "No")</f>
        <v>No</v>
      </c>
      <c r="N2516" s="14">
        <f>IF(ISBLANK(moras[[#This Row],[SALARIO]]), EDA!$M$8, moras[[#This Row],[SALARIO]])</f>
        <v>347135</v>
      </c>
      <c r="O2516" s="14">
        <f xml:space="preserve"> IF(ISBLANK(moras[[#This Row],[EDAD]]), EDA!$E$8, moras[[#This Row],[EDAD]])</f>
        <v>44</v>
      </c>
      <c r="P2516" s="14" t="str">
        <f>IF(
    OR(ISBLANK(moras[[#This Row],[TIPO_ASEGURAMIENTO]]), moras[[#This Row],[TIPO_ASEGURAMIENTO]]=""),
    EDA!$A$32,
    moras[[#This Row],[TIPO_ASEGURAMIENTO]]
)</f>
        <v>TRABAJADOR INDEPENDIENTE</v>
      </c>
    </row>
    <row r="2517" spans="1:16" x14ac:dyDescent="0.3">
      <c r="A2517">
        <v>2516</v>
      </c>
      <c r="B2517" t="s">
        <v>9</v>
      </c>
      <c r="C2517">
        <v>4477896</v>
      </c>
      <c r="D2517" t="s">
        <v>10</v>
      </c>
      <c r="E2517" t="s">
        <v>11</v>
      </c>
      <c r="F2517" t="s">
        <v>12</v>
      </c>
      <c r="G2517" t="s">
        <v>13</v>
      </c>
      <c r="H2517" t="s">
        <v>13</v>
      </c>
      <c r="I2517">
        <v>31</v>
      </c>
      <c r="J2517">
        <f>ABS((I2517-EDA!$A$15)/EDA!$B$15)</f>
        <v>0.77488831798979529</v>
      </c>
      <c r="K2517" t="str">
        <f t="shared" si="39"/>
        <v>No</v>
      </c>
      <c r="L2517">
        <f>ABS((C2517-EDA!$F$15)/EDA!$G$15)</f>
        <v>0.30113862176641404</v>
      </c>
      <c r="M2517" t="str">
        <f>IF(moras[[#This Row],[Z-Score Salario]]&gt;1.96, "Sí", "No")</f>
        <v>No</v>
      </c>
      <c r="N2517" s="14">
        <f>IF(ISBLANK(moras[[#This Row],[SALARIO]]), EDA!$M$8, moras[[#This Row],[SALARIO]])</f>
        <v>4477896</v>
      </c>
      <c r="O2517" s="14">
        <f xml:space="preserve"> IF(ISBLANK(moras[[#This Row],[EDAD]]), EDA!$E$8, moras[[#This Row],[EDAD]])</f>
        <v>31</v>
      </c>
      <c r="P2517" s="14" t="str">
        <f>IF(
    OR(ISBLANK(moras[[#This Row],[TIPO_ASEGURAMIENTO]]), moras[[#This Row],[TIPO_ASEGURAMIENTO]]=""),
    EDA!$A$32,
    moras[[#This Row],[TIPO_ASEGURAMIENTO]]
)</f>
        <v>ASALARIADO</v>
      </c>
    </row>
    <row r="2518" spans="1:16" x14ac:dyDescent="0.3">
      <c r="A2518">
        <v>2517</v>
      </c>
      <c r="B2518" t="s">
        <v>9</v>
      </c>
      <c r="C2518">
        <v>310124</v>
      </c>
      <c r="D2518" t="s">
        <v>18</v>
      </c>
      <c r="E2518" t="s">
        <v>16</v>
      </c>
      <c r="F2518" t="s">
        <v>12</v>
      </c>
      <c r="G2518" t="s">
        <v>12</v>
      </c>
      <c r="H2518" t="s">
        <v>12</v>
      </c>
      <c r="I2518">
        <v>41</v>
      </c>
      <c r="J2518">
        <f>ABS((I2518-EDA!$A$15)/EDA!$B$15)</f>
        <v>6.9135017218420233E-2</v>
      </c>
      <c r="K2518" t="str">
        <f t="shared" si="39"/>
        <v>No</v>
      </c>
      <c r="L2518">
        <f>ABS((C2518-EDA!$F$15)/EDA!$G$15)</f>
        <v>0.37049328992750385</v>
      </c>
      <c r="M2518" t="str">
        <f>IF(moras[[#This Row],[Z-Score Salario]]&gt;1.96, "Sí", "No")</f>
        <v>No</v>
      </c>
      <c r="N2518" s="14">
        <f>IF(ISBLANK(moras[[#This Row],[SALARIO]]), EDA!$M$8, moras[[#This Row],[SALARIO]])</f>
        <v>310124</v>
      </c>
      <c r="O2518" s="14">
        <f xml:space="preserve"> IF(ISBLANK(moras[[#This Row],[EDAD]]), EDA!$E$8, moras[[#This Row],[EDAD]])</f>
        <v>41</v>
      </c>
      <c r="P2518" s="14" t="str">
        <f>IF(
    OR(ISBLANK(moras[[#This Row],[TIPO_ASEGURAMIENTO]]), moras[[#This Row],[TIPO_ASEGURAMIENTO]]=""),
    EDA!$A$32,
    moras[[#This Row],[TIPO_ASEGURAMIENTO]]
)</f>
        <v>TRABAJADOR INDEPENDIENTE</v>
      </c>
    </row>
    <row r="2519" spans="1:16" x14ac:dyDescent="0.3">
      <c r="A2519">
        <v>2518</v>
      </c>
      <c r="B2519" t="s">
        <v>15</v>
      </c>
      <c r="C2519">
        <v>111007917</v>
      </c>
      <c r="D2519" t="s">
        <v>10</v>
      </c>
      <c r="E2519" t="s">
        <v>16</v>
      </c>
      <c r="F2519" t="s">
        <v>12</v>
      </c>
      <c r="G2519" t="s">
        <v>13</v>
      </c>
      <c r="H2519" t="s">
        <v>13</v>
      </c>
      <c r="I2519">
        <v>24</v>
      </c>
      <c r="J2519">
        <f>ABS((I2519-EDA!$A$15)/EDA!$B$15)</f>
        <v>1.2689156285297578</v>
      </c>
      <c r="K2519" t="str">
        <f t="shared" si="39"/>
        <v>No</v>
      </c>
      <c r="L2519">
        <f>ABS((C2519-EDA!$F$15)/EDA!$G$15)</f>
        <v>1.4715961285147754</v>
      </c>
      <c r="M2519" t="str">
        <f>IF(moras[[#This Row],[Z-Score Salario]]&gt;1.96, "Sí", "No")</f>
        <v>No</v>
      </c>
      <c r="N2519" s="14">
        <f>IF(ISBLANK(moras[[#This Row],[SALARIO]]), EDA!$M$8, moras[[#This Row],[SALARIO]])</f>
        <v>111007917</v>
      </c>
      <c r="O2519" s="14">
        <f xml:space="preserve"> IF(ISBLANK(moras[[#This Row],[EDAD]]), EDA!$E$8, moras[[#This Row],[EDAD]])</f>
        <v>24</v>
      </c>
      <c r="P2519" s="14" t="str">
        <f>IF(
    OR(ISBLANK(moras[[#This Row],[TIPO_ASEGURAMIENTO]]), moras[[#This Row],[TIPO_ASEGURAMIENTO]]=""),
    EDA!$A$32,
    moras[[#This Row],[TIPO_ASEGURAMIENTO]]
)</f>
        <v>ASALARIADO</v>
      </c>
    </row>
    <row r="2520" spans="1:16" x14ac:dyDescent="0.3">
      <c r="A2520">
        <v>2519</v>
      </c>
      <c r="B2520" t="s">
        <v>9</v>
      </c>
      <c r="C2520">
        <v>347500</v>
      </c>
      <c r="D2520" t="s">
        <v>10</v>
      </c>
      <c r="E2520" t="s">
        <v>16</v>
      </c>
      <c r="F2520" t="s">
        <v>12</v>
      </c>
      <c r="G2520" t="s">
        <v>13</v>
      </c>
      <c r="H2520" t="s">
        <v>13</v>
      </c>
      <c r="I2520">
        <v>42</v>
      </c>
      <c r="J2520">
        <f>ABS((I2520-EDA!$A$15)/EDA!$B$15)</f>
        <v>1.4403128587172659E-3</v>
      </c>
      <c r="K2520" t="str">
        <f t="shared" si="39"/>
        <v>No</v>
      </c>
      <c r="L2520">
        <f>ABS((C2520-EDA!$F$15)/EDA!$G$15)</f>
        <v>0.36987132690332958</v>
      </c>
      <c r="M2520" t="str">
        <f>IF(moras[[#This Row],[Z-Score Salario]]&gt;1.96, "Sí", "No")</f>
        <v>No</v>
      </c>
      <c r="N2520" s="14">
        <f>IF(ISBLANK(moras[[#This Row],[SALARIO]]), EDA!$M$8, moras[[#This Row],[SALARIO]])</f>
        <v>347500</v>
      </c>
      <c r="O2520" s="14">
        <f xml:space="preserve"> IF(ISBLANK(moras[[#This Row],[EDAD]]), EDA!$E$8, moras[[#This Row],[EDAD]])</f>
        <v>42</v>
      </c>
      <c r="P2520" s="14" t="str">
        <f>IF(
    OR(ISBLANK(moras[[#This Row],[TIPO_ASEGURAMIENTO]]), moras[[#This Row],[TIPO_ASEGURAMIENTO]]=""),
    EDA!$A$32,
    moras[[#This Row],[TIPO_ASEGURAMIENTO]]
)</f>
        <v>ASALARIADO</v>
      </c>
    </row>
    <row r="2521" spans="1:16" x14ac:dyDescent="0.3">
      <c r="A2521">
        <v>2520</v>
      </c>
      <c r="B2521" t="s">
        <v>15</v>
      </c>
      <c r="C2521">
        <v>134141564</v>
      </c>
      <c r="D2521" t="s">
        <v>10</v>
      </c>
      <c r="E2521" t="s">
        <v>16</v>
      </c>
      <c r="F2521" t="s">
        <v>12</v>
      </c>
      <c r="G2521" t="s">
        <v>13</v>
      </c>
      <c r="H2521" t="s">
        <v>13</v>
      </c>
      <c r="I2521">
        <v>38</v>
      </c>
      <c r="J2521">
        <f>ABS((I2521-EDA!$A$15)/EDA!$B$15)</f>
        <v>0.28086100744983278</v>
      </c>
      <c r="K2521" t="str">
        <f t="shared" si="39"/>
        <v>No</v>
      </c>
      <c r="L2521">
        <f>ABS((C2521-EDA!$F$15)/EDA!$G$15)</f>
        <v>1.8565563449183577</v>
      </c>
      <c r="M2521" t="str">
        <f>IF(moras[[#This Row],[Z-Score Salario]]&gt;1.96, "Sí", "No")</f>
        <v>No</v>
      </c>
      <c r="N2521" s="14">
        <f>IF(ISBLANK(moras[[#This Row],[SALARIO]]), EDA!$M$8, moras[[#This Row],[SALARIO]])</f>
        <v>134141564</v>
      </c>
      <c r="O2521" s="14">
        <f xml:space="preserve"> IF(ISBLANK(moras[[#This Row],[EDAD]]), EDA!$E$8, moras[[#This Row],[EDAD]])</f>
        <v>38</v>
      </c>
      <c r="P2521" s="14" t="str">
        <f>IF(
    OR(ISBLANK(moras[[#This Row],[TIPO_ASEGURAMIENTO]]), moras[[#This Row],[TIPO_ASEGURAMIENTO]]=""),
    EDA!$A$32,
    moras[[#This Row],[TIPO_ASEGURAMIENTO]]
)</f>
        <v>ASALARIADO</v>
      </c>
    </row>
    <row r="2522" spans="1:16" x14ac:dyDescent="0.3">
      <c r="A2522">
        <v>2521</v>
      </c>
      <c r="B2522" t="s">
        <v>15</v>
      </c>
      <c r="C2522">
        <v>31957536</v>
      </c>
      <c r="D2522" t="s">
        <v>10</v>
      </c>
      <c r="E2522" t="s">
        <v>16</v>
      </c>
      <c r="F2522" t="s">
        <v>12</v>
      </c>
      <c r="G2522" t="s">
        <v>13</v>
      </c>
      <c r="H2522" t="s">
        <v>13</v>
      </c>
      <c r="I2522">
        <v>64</v>
      </c>
      <c r="J2522">
        <f>ABS((I2522-EDA!$A$15)/EDA!$B$15)</f>
        <v>1.5540975745557424</v>
      </c>
      <c r="K2522" t="str">
        <f t="shared" si="39"/>
        <v>No</v>
      </c>
      <c r="L2522">
        <f>ABS((C2522-EDA!$F$15)/EDA!$G$15)</f>
        <v>0.15614198604663601</v>
      </c>
      <c r="M2522" t="str">
        <f>IF(moras[[#This Row],[Z-Score Salario]]&gt;1.96, "Sí", "No")</f>
        <v>No</v>
      </c>
      <c r="N2522" s="14">
        <f>IF(ISBLANK(moras[[#This Row],[SALARIO]]), EDA!$M$8, moras[[#This Row],[SALARIO]])</f>
        <v>31957536</v>
      </c>
      <c r="O2522" s="14">
        <f xml:space="preserve"> IF(ISBLANK(moras[[#This Row],[EDAD]]), EDA!$E$8, moras[[#This Row],[EDAD]])</f>
        <v>64</v>
      </c>
      <c r="P2522" s="14" t="str">
        <f>IF(
    OR(ISBLANK(moras[[#This Row],[TIPO_ASEGURAMIENTO]]), moras[[#This Row],[TIPO_ASEGURAMIENTO]]=""),
    EDA!$A$32,
    moras[[#This Row],[TIPO_ASEGURAMIENTO]]
)</f>
        <v>ASALARIADO</v>
      </c>
    </row>
    <row r="2523" spans="1:16" x14ac:dyDescent="0.3">
      <c r="A2523">
        <v>2522</v>
      </c>
      <c r="B2523" t="s">
        <v>9</v>
      </c>
      <c r="C2523">
        <v>594092</v>
      </c>
      <c r="D2523" t="s">
        <v>18</v>
      </c>
      <c r="E2523" t="s">
        <v>16</v>
      </c>
      <c r="F2523" t="s">
        <v>12</v>
      </c>
      <c r="G2523" t="s">
        <v>13</v>
      </c>
      <c r="H2523" t="s">
        <v>12</v>
      </c>
      <c r="I2523">
        <v>42</v>
      </c>
      <c r="J2523">
        <f>ABS((I2523-EDA!$A$15)/EDA!$B$15)</f>
        <v>1.4403128587172659E-3</v>
      </c>
      <c r="K2523" t="str">
        <f t="shared" si="39"/>
        <v>No</v>
      </c>
      <c r="L2523">
        <f>ABS((C2523-EDA!$F$15)/EDA!$G$15)</f>
        <v>0.36576786195102906</v>
      </c>
      <c r="M2523" t="str">
        <f>IF(moras[[#This Row],[Z-Score Salario]]&gt;1.96, "Sí", "No")</f>
        <v>No</v>
      </c>
      <c r="N2523" s="14">
        <f>IF(ISBLANK(moras[[#This Row],[SALARIO]]), EDA!$M$8, moras[[#This Row],[SALARIO]])</f>
        <v>594092</v>
      </c>
      <c r="O2523" s="14">
        <f xml:space="preserve"> IF(ISBLANK(moras[[#This Row],[EDAD]]), EDA!$E$8, moras[[#This Row],[EDAD]])</f>
        <v>42</v>
      </c>
      <c r="P2523" s="14" t="str">
        <f>IF(
    OR(ISBLANK(moras[[#This Row],[TIPO_ASEGURAMIENTO]]), moras[[#This Row],[TIPO_ASEGURAMIENTO]]=""),
    EDA!$A$32,
    moras[[#This Row],[TIPO_ASEGURAMIENTO]]
)</f>
        <v>TRABAJADOR INDEPENDIENTE</v>
      </c>
    </row>
    <row r="2524" spans="1:16" x14ac:dyDescent="0.3">
      <c r="A2524">
        <v>2523</v>
      </c>
      <c r="B2524" t="s">
        <v>15</v>
      </c>
      <c r="C2524">
        <v>405000</v>
      </c>
      <c r="D2524" t="s">
        <v>10</v>
      </c>
      <c r="E2524" t="s">
        <v>16</v>
      </c>
      <c r="F2524" t="s">
        <v>12</v>
      </c>
      <c r="G2524" t="s">
        <v>13</v>
      </c>
      <c r="H2524" t="s">
        <v>12</v>
      </c>
      <c r="I2524">
        <v>34</v>
      </c>
      <c r="J2524">
        <f>ABS((I2524-EDA!$A$15)/EDA!$B$15)</f>
        <v>0.56316232775838282</v>
      </c>
      <c r="K2524" t="str">
        <f t="shared" si="39"/>
        <v>No</v>
      </c>
      <c r="L2524">
        <f>ABS((C2524-EDA!$F$15)/EDA!$G$15)</f>
        <v>0.36891448631337825</v>
      </c>
      <c r="M2524" t="str">
        <f>IF(moras[[#This Row],[Z-Score Salario]]&gt;1.96, "Sí", "No")</f>
        <v>No</v>
      </c>
      <c r="N2524" s="14">
        <f>IF(ISBLANK(moras[[#This Row],[SALARIO]]), EDA!$M$8, moras[[#This Row],[SALARIO]])</f>
        <v>405000</v>
      </c>
      <c r="O2524" s="14">
        <f xml:space="preserve"> IF(ISBLANK(moras[[#This Row],[EDAD]]), EDA!$E$8, moras[[#This Row],[EDAD]])</f>
        <v>34</v>
      </c>
      <c r="P2524" s="14" t="str">
        <f>IF(
    OR(ISBLANK(moras[[#This Row],[TIPO_ASEGURAMIENTO]]), moras[[#This Row],[TIPO_ASEGURAMIENTO]]=""),
    EDA!$A$32,
    moras[[#This Row],[TIPO_ASEGURAMIENTO]]
)</f>
        <v>ASALARIADO</v>
      </c>
    </row>
    <row r="2525" spans="1:16" x14ac:dyDescent="0.3">
      <c r="A2525">
        <v>2524</v>
      </c>
      <c r="B2525" t="s">
        <v>15</v>
      </c>
      <c r="C2525">
        <v>298155</v>
      </c>
      <c r="D2525" t="s">
        <v>17</v>
      </c>
      <c r="E2525" t="s">
        <v>16</v>
      </c>
      <c r="F2525" t="s">
        <v>12</v>
      </c>
      <c r="G2525" t="s">
        <v>13</v>
      </c>
      <c r="H2525" t="s">
        <v>13</v>
      </c>
      <c r="I2525">
        <v>30</v>
      </c>
      <c r="J2525">
        <f>ABS((I2525-EDA!$A$15)/EDA!$B$15)</f>
        <v>0.84546364806693275</v>
      </c>
      <c r="K2525" t="str">
        <f t="shared" si="39"/>
        <v>No</v>
      </c>
      <c r="L2525">
        <f>ABS((C2525-EDA!$F$15)/EDA!$G$15)</f>
        <v>0.37069246253656696</v>
      </c>
      <c r="M2525" t="str">
        <f>IF(moras[[#This Row],[Z-Score Salario]]&gt;1.96, "Sí", "No")</f>
        <v>No</v>
      </c>
      <c r="N2525" s="14">
        <f>IF(ISBLANK(moras[[#This Row],[SALARIO]]), EDA!$M$8, moras[[#This Row],[SALARIO]])</f>
        <v>298155</v>
      </c>
      <c r="O2525" s="14">
        <f xml:space="preserve"> IF(ISBLANK(moras[[#This Row],[EDAD]]), EDA!$E$8, moras[[#This Row],[EDAD]])</f>
        <v>30</v>
      </c>
      <c r="P2525" s="14" t="str">
        <f>IF(
    OR(ISBLANK(moras[[#This Row],[TIPO_ASEGURAMIENTO]]), moras[[#This Row],[TIPO_ASEGURAMIENTO]]=""),
    EDA!$A$32,
    moras[[#This Row],[TIPO_ASEGURAMIENTO]]
)</f>
        <v>ASEGURADO VOLUNTARIO</v>
      </c>
    </row>
    <row r="2526" spans="1:16" x14ac:dyDescent="0.3">
      <c r="A2526">
        <v>2525</v>
      </c>
      <c r="B2526" t="s">
        <v>15</v>
      </c>
      <c r="C2526">
        <v>301260</v>
      </c>
      <c r="D2526" t="s">
        <v>17</v>
      </c>
      <c r="E2526" t="s">
        <v>16</v>
      </c>
      <c r="F2526" t="s">
        <v>12</v>
      </c>
      <c r="G2526" t="s">
        <v>13</v>
      </c>
      <c r="H2526" t="s">
        <v>13</v>
      </c>
      <c r="I2526">
        <v>38</v>
      </c>
      <c r="J2526">
        <f>ABS((I2526-EDA!$A$15)/EDA!$B$15)</f>
        <v>0.28086100744983278</v>
      </c>
      <c r="K2526" t="str">
        <f t="shared" si="39"/>
        <v>No</v>
      </c>
      <c r="L2526">
        <f>ABS((C2526-EDA!$F$15)/EDA!$G$15)</f>
        <v>0.3706407931447096</v>
      </c>
      <c r="M2526" t="str">
        <f>IF(moras[[#This Row],[Z-Score Salario]]&gt;1.96, "Sí", "No")</f>
        <v>No</v>
      </c>
      <c r="N2526" s="14">
        <f>IF(ISBLANK(moras[[#This Row],[SALARIO]]), EDA!$M$8, moras[[#This Row],[SALARIO]])</f>
        <v>301260</v>
      </c>
      <c r="O2526" s="14">
        <f xml:space="preserve"> IF(ISBLANK(moras[[#This Row],[EDAD]]), EDA!$E$8, moras[[#This Row],[EDAD]])</f>
        <v>38</v>
      </c>
      <c r="P2526" s="14" t="str">
        <f>IF(
    OR(ISBLANK(moras[[#This Row],[TIPO_ASEGURAMIENTO]]), moras[[#This Row],[TIPO_ASEGURAMIENTO]]=""),
    EDA!$A$32,
    moras[[#This Row],[TIPO_ASEGURAMIENTO]]
)</f>
        <v>ASEGURADO VOLUNTARIO</v>
      </c>
    </row>
    <row r="2527" spans="1:16" x14ac:dyDescent="0.3">
      <c r="A2527">
        <v>2526</v>
      </c>
      <c r="B2527" t="s">
        <v>15</v>
      </c>
      <c r="C2527">
        <v>1221155</v>
      </c>
      <c r="D2527" t="s">
        <v>10</v>
      </c>
      <c r="E2527" t="s">
        <v>11</v>
      </c>
      <c r="F2527" t="s">
        <v>12</v>
      </c>
      <c r="G2527" t="s">
        <v>13</v>
      </c>
      <c r="H2527" t="s">
        <v>12</v>
      </c>
      <c r="I2527">
        <v>54</v>
      </c>
      <c r="J2527">
        <f>ABS((I2527-EDA!$A$15)/EDA!$B$15)</f>
        <v>0.84834427378436728</v>
      </c>
      <c r="K2527" t="str">
        <f t="shared" si="39"/>
        <v>No</v>
      </c>
      <c r="L2527">
        <f>ABS((C2527-EDA!$F$15)/EDA!$G$15)</f>
        <v>0.35533309097960897</v>
      </c>
      <c r="M2527" t="str">
        <f>IF(moras[[#This Row],[Z-Score Salario]]&gt;1.96, "Sí", "No")</f>
        <v>No</v>
      </c>
      <c r="N2527" s="14">
        <f>IF(ISBLANK(moras[[#This Row],[SALARIO]]), EDA!$M$8, moras[[#This Row],[SALARIO]])</f>
        <v>1221155</v>
      </c>
      <c r="O2527" s="14">
        <f xml:space="preserve"> IF(ISBLANK(moras[[#This Row],[EDAD]]), EDA!$E$8, moras[[#This Row],[EDAD]])</f>
        <v>54</v>
      </c>
      <c r="P2527" s="14" t="str">
        <f>IF(
    OR(ISBLANK(moras[[#This Row],[TIPO_ASEGURAMIENTO]]), moras[[#This Row],[TIPO_ASEGURAMIENTO]]=""),
    EDA!$A$32,
    moras[[#This Row],[TIPO_ASEGURAMIENTO]]
)</f>
        <v>ASALARIADO</v>
      </c>
    </row>
    <row r="2528" spans="1:16" x14ac:dyDescent="0.3">
      <c r="A2528">
        <v>2527</v>
      </c>
      <c r="B2528" t="s">
        <v>9</v>
      </c>
      <c r="C2528">
        <v>297046</v>
      </c>
      <c r="D2528" t="s">
        <v>18</v>
      </c>
      <c r="E2528" t="s">
        <v>16</v>
      </c>
      <c r="F2528" t="s">
        <v>12</v>
      </c>
      <c r="G2528" t="s">
        <v>13</v>
      </c>
      <c r="H2528" t="s">
        <v>13</v>
      </c>
      <c r="I2528">
        <v>43</v>
      </c>
      <c r="J2528">
        <f>ABS((I2528-EDA!$A$15)/EDA!$B$15)</f>
        <v>7.2015642935854773E-2</v>
      </c>
      <c r="K2528" t="str">
        <f t="shared" si="39"/>
        <v>No</v>
      </c>
      <c r="L2528">
        <f>ABS((C2528-EDA!$F$15)/EDA!$G$15)</f>
        <v>0.37071091707942361</v>
      </c>
      <c r="M2528" t="str">
        <f>IF(moras[[#This Row],[Z-Score Salario]]&gt;1.96, "Sí", "No")</f>
        <v>No</v>
      </c>
      <c r="N2528" s="14">
        <f>IF(ISBLANK(moras[[#This Row],[SALARIO]]), EDA!$M$8, moras[[#This Row],[SALARIO]])</f>
        <v>297046</v>
      </c>
      <c r="O2528" s="14">
        <f xml:space="preserve"> IF(ISBLANK(moras[[#This Row],[EDAD]]), EDA!$E$8, moras[[#This Row],[EDAD]])</f>
        <v>43</v>
      </c>
      <c r="P2528" s="14" t="str">
        <f>IF(
    OR(ISBLANK(moras[[#This Row],[TIPO_ASEGURAMIENTO]]), moras[[#This Row],[TIPO_ASEGURAMIENTO]]=""),
    EDA!$A$32,
    moras[[#This Row],[TIPO_ASEGURAMIENTO]]
)</f>
        <v>TRABAJADOR INDEPENDIENTE</v>
      </c>
    </row>
    <row r="2529" spans="1:16" x14ac:dyDescent="0.3">
      <c r="A2529">
        <v>2528</v>
      </c>
      <c r="B2529" t="s">
        <v>9</v>
      </c>
      <c r="C2529">
        <v>90735522</v>
      </c>
      <c r="D2529" t="s">
        <v>10</v>
      </c>
      <c r="E2529" t="s">
        <v>16</v>
      </c>
      <c r="F2529" t="s">
        <v>12</v>
      </c>
      <c r="G2529" t="s">
        <v>13</v>
      </c>
      <c r="H2529" t="s">
        <v>13</v>
      </c>
      <c r="I2529">
        <v>37</v>
      </c>
      <c r="J2529">
        <f>ABS((I2529-EDA!$A$15)/EDA!$B$15)</f>
        <v>0.35143633752697023</v>
      </c>
      <c r="K2529" t="str">
        <f t="shared" si="39"/>
        <v>No</v>
      </c>
      <c r="L2529">
        <f>ABS((C2529-EDA!$F$15)/EDA!$G$15)</f>
        <v>1.1342491651838789</v>
      </c>
      <c r="M2529" t="str">
        <f>IF(moras[[#This Row],[Z-Score Salario]]&gt;1.96, "Sí", "No")</f>
        <v>No</v>
      </c>
      <c r="N2529" s="14">
        <f>IF(ISBLANK(moras[[#This Row],[SALARIO]]), EDA!$M$8, moras[[#This Row],[SALARIO]])</f>
        <v>90735522</v>
      </c>
      <c r="O2529" s="14">
        <f xml:space="preserve"> IF(ISBLANK(moras[[#This Row],[EDAD]]), EDA!$E$8, moras[[#This Row],[EDAD]])</f>
        <v>37</v>
      </c>
      <c r="P2529" s="14" t="str">
        <f>IF(
    OR(ISBLANK(moras[[#This Row],[TIPO_ASEGURAMIENTO]]), moras[[#This Row],[TIPO_ASEGURAMIENTO]]=""),
    EDA!$A$32,
    moras[[#This Row],[TIPO_ASEGURAMIENTO]]
)</f>
        <v>ASALARIADO</v>
      </c>
    </row>
    <row r="2530" spans="1:16" x14ac:dyDescent="0.3">
      <c r="A2530">
        <v>2529</v>
      </c>
      <c r="B2530" t="s">
        <v>9</v>
      </c>
      <c r="C2530">
        <v>299744</v>
      </c>
      <c r="D2530" t="s">
        <v>18</v>
      </c>
      <c r="E2530" t="s">
        <v>16</v>
      </c>
      <c r="F2530" t="s">
        <v>12</v>
      </c>
      <c r="G2530" t="s">
        <v>13</v>
      </c>
      <c r="H2530" t="s">
        <v>12</v>
      </c>
      <c r="I2530">
        <v>37</v>
      </c>
      <c r="J2530">
        <f>ABS((I2530-EDA!$A$15)/EDA!$B$15)</f>
        <v>0.35143633752697023</v>
      </c>
      <c r="K2530" t="str">
        <f t="shared" si="39"/>
        <v>No</v>
      </c>
      <c r="L2530">
        <f>ABS((C2530-EDA!$F$15)/EDA!$G$15)</f>
        <v>0.37066602045487246</v>
      </c>
      <c r="M2530" t="str">
        <f>IF(moras[[#This Row],[Z-Score Salario]]&gt;1.96, "Sí", "No")</f>
        <v>No</v>
      </c>
      <c r="N2530" s="14">
        <f>IF(ISBLANK(moras[[#This Row],[SALARIO]]), EDA!$M$8, moras[[#This Row],[SALARIO]])</f>
        <v>299744</v>
      </c>
      <c r="O2530" s="14">
        <f xml:space="preserve"> IF(ISBLANK(moras[[#This Row],[EDAD]]), EDA!$E$8, moras[[#This Row],[EDAD]])</f>
        <v>37</v>
      </c>
      <c r="P2530" s="14" t="str">
        <f>IF(
    OR(ISBLANK(moras[[#This Row],[TIPO_ASEGURAMIENTO]]), moras[[#This Row],[TIPO_ASEGURAMIENTO]]=""),
    EDA!$A$32,
    moras[[#This Row],[TIPO_ASEGURAMIENTO]]
)</f>
        <v>TRABAJADOR INDEPENDIENTE</v>
      </c>
    </row>
    <row r="2531" spans="1:16" x14ac:dyDescent="0.3">
      <c r="A2531">
        <v>2530</v>
      </c>
      <c r="B2531" t="s">
        <v>9</v>
      </c>
      <c r="C2531">
        <v>6507796</v>
      </c>
      <c r="D2531" t="s">
        <v>10</v>
      </c>
      <c r="E2531" t="s">
        <v>16</v>
      </c>
      <c r="F2531" t="s">
        <v>12</v>
      </c>
      <c r="G2531" t="s">
        <v>13</v>
      </c>
      <c r="H2531" t="s">
        <v>13</v>
      </c>
      <c r="I2531">
        <v>38</v>
      </c>
      <c r="J2531">
        <f>ABS((I2531-EDA!$A$15)/EDA!$B$15)</f>
        <v>0.28086100744983278</v>
      </c>
      <c r="K2531" t="str">
        <f t="shared" si="39"/>
        <v>No</v>
      </c>
      <c r="L2531">
        <f>ABS((C2531-EDA!$F$15)/EDA!$G$15)</f>
        <v>0.26735965283524499</v>
      </c>
      <c r="M2531" t="str">
        <f>IF(moras[[#This Row],[Z-Score Salario]]&gt;1.96, "Sí", "No")</f>
        <v>No</v>
      </c>
      <c r="N2531" s="14">
        <f>IF(ISBLANK(moras[[#This Row],[SALARIO]]), EDA!$M$8, moras[[#This Row],[SALARIO]])</f>
        <v>6507796</v>
      </c>
      <c r="O2531" s="14">
        <f xml:space="preserve"> IF(ISBLANK(moras[[#This Row],[EDAD]]), EDA!$E$8, moras[[#This Row],[EDAD]])</f>
        <v>38</v>
      </c>
      <c r="P2531" s="14" t="str">
        <f>IF(
    OR(ISBLANK(moras[[#This Row],[TIPO_ASEGURAMIENTO]]), moras[[#This Row],[TIPO_ASEGURAMIENTO]]=""),
    EDA!$A$32,
    moras[[#This Row],[TIPO_ASEGURAMIENTO]]
)</f>
        <v>ASALARIADO</v>
      </c>
    </row>
    <row r="2532" spans="1:16" x14ac:dyDescent="0.3">
      <c r="A2532">
        <v>2531</v>
      </c>
      <c r="B2532" t="s">
        <v>9</v>
      </c>
      <c r="C2532">
        <v>334008625</v>
      </c>
      <c r="D2532" t="s">
        <v>10</v>
      </c>
      <c r="E2532" t="s">
        <v>11</v>
      </c>
      <c r="F2532" t="s">
        <v>12</v>
      </c>
      <c r="G2532" t="s">
        <v>13</v>
      </c>
      <c r="H2532" t="s">
        <v>13</v>
      </c>
      <c r="I2532">
        <v>42</v>
      </c>
      <c r="J2532">
        <f>ABS((I2532-EDA!$A$15)/EDA!$B$15)</f>
        <v>1.4403128587172659E-3</v>
      </c>
      <c r="K2532" t="str">
        <f t="shared" si="39"/>
        <v>No</v>
      </c>
      <c r="L2532">
        <f>ABS((C2532-EDA!$F$15)/EDA!$G$15)</f>
        <v>5.1824853285545318</v>
      </c>
      <c r="M2532" t="str">
        <f>IF(moras[[#This Row],[Z-Score Salario]]&gt;1.96, "Sí", "No")</f>
        <v>Sí</v>
      </c>
      <c r="N2532" s="14">
        <f>IF(ISBLANK(moras[[#This Row],[SALARIO]]), EDA!$M$8, moras[[#This Row],[SALARIO]])</f>
        <v>334008625</v>
      </c>
      <c r="O2532" s="14">
        <f xml:space="preserve"> IF(ISBLANK(moras[[#This Row],[EDAD]]), EDA!$E$8, moras[[#This Row],[EDAD]])</f>
        <v>42</v>
      </c>
      <c r="P2532" s="14" t="str">
        <f>IF(
    OR(ISBLANK(moras[[#This Row],[TIPO_ASEGURAMIENTO]]), moras[[#This Row],[TIPO_ASEGURAMIENTO]]=""),
    EDA!$A$32,
    moras[[#This Row],[TIPO_ASEGURAMIENTO]]
)</f>
        <v>ASALARIADO</v>
      </c>
    </row>
    <row r="2533" spans="1:16" x14ac:dyDescent="0.3">
      <c r="A2533">
        <v>2532</v>
      </c>
      <c r="B2533" t="s">
        <v>9</v>
      </c>
      <c r="C2533">
        <v>303386</v>
      </c>
      <c r="D2533" t="s">
        <v>10</v>
      </c>
      <c r="E2533" t="s">
        <v>16</v>
      </c>
      <c r="F2533" t="s">
        <v>12</v>
      </c>
      <c r="G2533" t="s">
        <v>12</v>
      </c>
      <c r="H2533" t="s">
        <v>13</v>
      </c>
      <c r="I2533">
        <v>35</v>
      </c>
      <c r="J2533">
        <f>ABS((I2533-EDA!$A$15)/EDA!$B$15)</f>
        <v>0.49258699768124525</v>
      </c>
      <c r="K2533" t="str">
        <f t="shared" si="39"/>
        <v>No</v>
      </c>
      <c r="L2533">
        <f>ABS((C2533-EDA!$F$15)/EDA!$G$15)</f>
        <v>0.37060541500394023</v>
      </c>
      <c r="M2533" t="str">
        <f>IF(moras[[#This Row],[Z-Score Salario]]&gt;1.96, "Sí", "No")</f>
        <v>No</v>
      </c>
      <c r="N2533" s="14">
        <f>IF(ISBLANK(moras[[#This Row],[SALARIO]]), EDA!$M$8, moras[[#This Row],[SALARIO]])</f>
        <v>303386</v>
      </c>
      <c r="O2533" s="14">
        <f xml:space="preserve"> IF(ISBLANK(moras[[#This Row],[EDAD]]), EDA!$E$8, moras[[#This Row],[EDAD]])</f>
        <v>35</v>
      </c>
      <c r="P2533" s="14" t="str">
        <f>IF(
    OR(ISBLANK(moras[[#This Row],[TIPO_ASEGURAMIENTO]]), moras[[#This Row],[TIPO_ASEGURAMIENTO]]=""),
    EDA!$A$32,
    moras[[#This Row],[TIPO_ASEGURAMIENTO]]
)</f>
        <v>ASALARIADO</v>
      </c>
    </row>
    <row r="2534" spans="1:16" x14ac:dyDescent="0.3">
      <c r="A2534">
        <v>2533</v>
      </c>
      <c r="B2534" t="s">
        <v>9</v>
      </c>
      <c r="C2534">
        <v>320000</v>
      </c>
      <c r="D2534" t="s">
        <v>10</v>
      </c>
      <c r="E2534" t="s">
        <v>16</v>
      </c>
      <c r="F2534" t="s">
        <v>12</v>
      </c>
      <c r="G2534" t="s">
        <v>13</v>
      </c>
      <c r="H2534" t="s">
        <v>12</v>
      </c>
      <c r="I2534">
        <v>22</v>
      </c>
      <c r="J2534">
        <f>ABS((I2534-EDA!$A$15)/EDA!$B$15)</f>
        <v>1.4100662886840327</v>
      </c>
      <c r="K2534" t="str">
        <f t="shared" si="39"/>
        <v>No</v>
      </c>
      <c r="L2534">
        <f>ABS((C2534-EDA!$F$15)/EDA!$G$15)</f>
        <v>0.37032894631591501</v>
      </c>
      <c r="M2534" t="str">
        <f>IF(moras[[#This Row],[Z-Score Salario]]&gt;1.96, "Sí", "No")</f>
        <v>No</v>
      </c>
      <c r="N2534" s="14">
        <f>IF(ISBLANK(moras[[#This Row],[SALARIO]]), EDA!$M$8, moras[[#This Row],[SALARIO]])</f>
        <v>320000</v>
      </c>
      <c r="O2534" s="14">
        <f xml:space="preserve"> IF(ISBLANK(moras[[#This Row],[EDAD]]), EDA!$E$8, moras[[#This Row],[EDAD]])</f>
        <v>22</v>
      </c>
      <c r="P2534" s="14" t="str">
        <f>IF(
    OR(ISBLANK(moras[[#This Row],[TIPO_ASEGURAMIENTO]]), moras[[#This Row],[TIPO_ASEGURAMIENTO]]=""),
    EDA!$A$32,
    moras[[#This Row],[TIPO_ASEGURAMIENTO]]
)</f>
        <v>ASALARIADO</v>
      </c>
    </row>
    <row r="2535" spans="1:16" x14ac:dyDescent="0.3">
      <c r="A2535">
        <v>2534</v>
      </c>
      <c r="B2535" t="s">
        <v>9</v>
      </c>
      <c r="C2535">
        <v>297045</v>
      </c>
      <c r="D2535" t="s">
        <v>18</v>
      </c>
      <c r="E2535" t="s">
        <v>16</v>
      </c>
      <c r="F2535" t="s">
        <v>12</v>
      </c>
      <c r="G2535" t="s">
        <v>13</v>
      </c>
      <c r="H2535" t="s">
        <v>13</v>
      </c>
      <c r="I2535">
        <v>56</v>
      </c>
      <c r="J2535">
        <f>ABS((I2535-EDA!$A$15)/EDA!$B$15)</f>
        <v>0.9894949339386423</v>
      </c>
      <c r="K2535" t="str">
        <f t="shared" si="39"/>
        <v>No</v>
      </c>
      <c r="L2535">
        <f>ABS((C2535-EDA!$F$15)/EDA!$G$15)</f>
        <v>0.37071093372012948</v>
      </c>
      <c r="M2535" t="str">
        <f>IF(moras[[#This Row],[Z-Score Salario]]&gt;1.96, "Sí", "No")</f>
        <v>No</v>
      </c>
      <c r="N2535" s="14">
        <f>IF(ISBLANK(moras[[#This Row],[SALARIO]]), EDA!$M$8, moras[[#This Row],[SALARIO]])</f>
        <v>297045</v>
      </c>
      <c r="O2535" s="14">
        <f xml:space="preserve"> IF(ISBLANK(moras[[#This Row],[EDAD]]), EDA!$E$8, moras[[#This Row],[EDAD]])</f>
        <v>56</v>
      </c>
      <c r="P2535" s="14" t="str">
        <f>IF(
    OR(ISBLANK(moras[[#This Row],[TIPO_ASEGURAMIENTO]]), moras[[#This Row],[TIPO_ASEGURAMIENTO]]=""),
    EDA!$A$32,
    moras[[#This Row],[TIPO_ASEGURAMIENTO]]
)</f>
        <v>TRABAJADOR INDEPENDIENTE</v>
      </c>
    </row>
    <row r="2536" spans="1:16" x14ac:dyDescent="0.3">
      <c r="A2536">
        <v>2535</v>
      </c>
      <c r="B2536" t="s">
        <v>15</v>
      </c>
      <c r="C2536">
        <v>248190046</v>
      </c>
      <c r="D2536" t="s">
        <v>10</v>
      </c>
      <c r="E2536" t="s">
        <v>16</v>
      </c>
      <c r="F2536" t="s">
        <v>12</v>
      </c>
      <c r="G2536" t="s">
        <v>13</v>
      </c>
      <c r="H2536" t="s">
        <v>13</v>
      </c>
      <c r="I2536">
        <v>33</v>
      </c>
      <c r="J2536">
        <f>ABS((I2536-EDA!$A$15)/EDA!$B$15)</f>
        <v>0.63373765783552027</v>
      </c>
      <c r="K2536" t="str">
        <f t="shared" si="39"/>
        <v>No</v>
      </c>
      <c r="L2536">
        <f>ABS((C2536-EDA!$F$15)/EDA!$G$15)</f>
        <v>3.7544035936128712</v>
      </c>
      <c r="M2536" t="str">
        <f>IF(moras[[#This Row],[Z-Score Salario]]&gt;1.96, "Sí", "No")</f>
        <v>Sí</v>
      </c>
      <c r="N2536" s="14">
        <f>IF(ISBLANK(moras[[#This Row],[SALARIO]]), EDA!$M$8, moras[[#This Row],[SALARIO]])</f>
        <v>248190046</v>
      </c>
      <c r="O2536" s="14">
        <f xml:space="preserve"> IF(ISBLANK(moras[[#This Row],[EDAD]]), EDA!$E$8, moras[[#This Row],[EDAD]])</f>
        <v>33</v>
      </c>
      <c r="P2536" s="14" t="str">
        <f>IF(
    OR(ISBLANK(moras[[#This Row],[TIPO_ASEGURAMIENTO]]), moras[[#This Row],[TIPO_ASEGURAMIENTO]]=""),
    EDA!$A$32,
    moras[[#This Row],[TIPO_ASEGURAMIENTO]]
)</f>
        <v>ASALARIADO</v>
      </c>
    </row>
    <row r="2537" spans="1:16" x14ac:dyDescent="0.3">
      <c r="A2537">
        <v>2536</v>
      </c>
      <c r="B2537" t="s">
        <v>15</v>
      </c>
      <c r="C2537">
        <v>336584</v>
      </c>
      <c r="D2537" t="s">
        <v>10</v>
      </c>
      <c r="E2537" t="s">
        <v>11</v>
      </c>
      <c r="F2537" t="s">
        <v>12</v>
      </c>
      <c r="G2537" t="s">
        <v>13</v>
      </c>
      <c r="H2537" t="s">
        <v>13</v>
      </c>
      <c r="I2537">
        <v>58</v>
      </c>
      <c r="J2537">
        <f>ABS((I2537-EDA!$A$15)/EDA!$B$15)</f>
        <v>1.1306455940929174</v>
      </c>
      <c r="K2537" t="str">
        <f t="shared" si="39"/>
        <v>No</v>
      </c>
      <c r="L2537">
        <f>ABS((C2537-EDA!$F$15)/EDA!$G$15)</f>
        <v>0.37005297684906713</v>
      </c>
      <c r="M2537" t="str">
        <f>IF(moras[[#This Row],[Z-Score Salario]]&gt;1.96, "Sí", "No")</f>
        <v>No</v>
      </c>
      <c r="N2537" s="14">
        <f>IF(ISBLANK(moras[[#This Row],[SALARIO]]), EDA!$M$8, moras[[#This Row],[SALARIO]])</f>
        <v>336584</v>
      </c>
      <c r="O2537" s="14">
        <f xml:space="preserve"> IF(ISBLANK(moras[[#This Row],[EDAD]]), EDA!$E$8, moras[[#This Row],[EDAD]])</f>
        <v>58</v>
      </c>
      <c r="P2537" s="14" t="str">
        <f>IF(
    OR(ISBLANK(moras[[#This Row],[TIPO_ASEGURAMIENTO]]), moras[[#This Row],[TIPO_ASEGURAMIENTO]]=""),
    EDA!$A$32,
    moras[[#This Row],[TIPO_ASEGURAMIENTO]]
)</f>
        <v>ASALARIADO</v>
      </c>
    </row>
    <row r="2538" spans="1:16" x14ac:dyDescent="0.3">
      <c r="A2538">
        <v>2537</v>
      </c>
      <c r="B2538" t="s">
        <v>9</v>
      </c>
      <c r="C2538">
        <v>297046</v>
      </c>
      <c r="D2538" t="s">
        <v>17</v>
      </c>
      <c r="E2538" t="s">
        <v>16</v>
      </c>
      <c r="F2538" t="s">
        <v>12</v>
      </c>
      <c r="G2538" t="s">
        <v>13</v>
      </c>
      <c r="H2538" t="s">
        <v>13</v>
      </c>
      <c r="I2538">
        <v>53</v>
      </c>
      <c r="J2538">
        <f>ABS((I2538-EDA!$A$15)/EDA!$B$15)</f>
        <v>0.77776894370722982</v>
      </c>
      <c r="K2538" t="str">
        <f t="shared" si="39"/>
        <v>No</v>
      </c>
      <c r="L2538">
        <f>ABS((C2538-EDA!$F$15)/EDA!$G$15)</f>
        <v>0.37071091707942361</v>
      </c>
      <c r="M2538" t="str">
        <f>IF(moras[[#This Row],[Z-Score Salario]]&gt;1.96, "Sí", "No")</f>
        <v>No</v>
      </c>
      <c r="N2538" s="14">
        <f>IF(ISBLANK(moras[[#This Row],[SALARIO]]), EDA!$M$8, moras[[#This Row],[SALARIO]])</f>
        <v>297046</v>
      </c>
      <c r="O2538" s="14">
        <f xml:space="preserve"> IF(ISBLANK(moras[[#This Row],[EDAD]]), EDA!$E$8, moras[[#This Row],[EDAD]])</f>
        <v>53</v>
      </c>
      <c r="P2538" s="14" t="str">
        <f>IF(
    OR(ISBLANK(moras[[#This Row],[TIPO_ASEGURAMIENTO]]), moras[[#This Row],[TIPO_ASEGURAMIENTO]]=""),
    EDA!$A$32,
    moras[[#This Row],[TIPO_ASEGURAMIENTO]]
)</f>
        <v>ASEGURADO VOLUNTARIO</v>
      </c>
    </row>
    <row r="2539" spans="1:16" x14ac:dyDescent="0.3">
      <c r="A2539">
        <v>2538</v>
      </c>
      <c r="B2539" t="s">
        <v>15</v>
      </c>
      <c r="C2539">
        <v>85500</v>
      </c>
      <c r="D2539" t="s">
        <v>10</v>
      </c>
      <c r="E2539" t="s">
        <v>16</v>
      </c>
      <c r="F2539" t="s">
        <v>12</v>
      </c>
      <c r="G2539" t="s">
        <v>13</v>
      </c>
      <c r="H2539" t="s">
        <v>12</v>
      </c>
      <c r="I2539">
        <v>27</v>
      </c>
      <c r="J2539">
        <f>ABS((I2539-EDA!$A$15)/EDA!$B$15)</f>
        <v>1.0571896382983452</v>
      </c>
      <c r="K2539" t="str">
        <f t="shared" si="39"/>
        <v>No</v>
      </c>
      <c r="L2539">
        <f>ABS((C2539-EDA!$F$15)/EDA!$G$15)</f>
        <v>0.37423119185232523</v>
      </c>
      <c r="M2539" t="str">
        <f>IF(moras[[#This Row],[Z-Score Salario]]&gt;1.96, "Sí", "No")</f>
        <v>No</v>
      </c>
      <c r="N2539" s="14">
        <f>IF(ISBLANK(moras[[#This Row],[SALARIO]]), EDA!$M$8, moras[[#This Row],[SALARIO]])</f>
        <v>85500</v>
      </c>
      <c r="O2539" s="14">
        <f xml:space="preserve"> IF(ISBLANK(moras[[#This Row],[EDAD]]), EDA!$E$8, moras[[#This Row],[EDAD]])</f>
        <v>27</v>
      </c>
      <c r="P2539" s="14" t="str">
        <f>IF(
    OR(ISBLANK(moras[[#This Row],[TIPO_ASEGURAMIENTO]]), moras[[#This Row],[TIPO_ASEGURAMIENTO]]=""),
    EDA!$A$32,
    moras[[#This Row],[TIPO_ASEGURAMIENTO]]
)</f>
        <v>ASALARIADO</v>
      </c>
    </row>
    <row r="2540" spans="1:16" x14ac:dyDescent="0.3">
      <c r="A2540">
        <v>2539</v>
      </c>
      <c r="B2540" t="s">
        <v>9</v>
      </c>
      <c r="C2540">
        <v>508656</v>
      </c>
      <c r="D2540" t="s">
        <v>10</v>
      </c>
      <c r="E2540" t="s">
        <v>16</v>
      </c>
      <c r="F2540" t="s">
        <v>12</v>
      </c>
      <c r="G2540" t="s">
        <v>13</v>
      </c>
      <c r="H2540" t="s">
        <v>13</v>
      </c>
      <c r="I2540">
        <v>49</v>
      </c>
      <c r="J2540">
        <f>ABS((I2540-EDA!$A$15)/EDA!$B$15)</f>
        <v>0.49546762339867978</v>
      </c>
      <c r="K2540" t="str">
        <f t="shared" si="39"/>
        <v>No</v>
      </c>
      <c r="L2540">
        <f>ABS((C2540-EDA!$F$15)/EDA!$G$15)</f>
        <v>0.36718957730134355</v>
      </c>
      <c r="M2540" t="str">
        <f>IF(moras[[#This Row],[Z-Score Salario]]&gt;1.96, "Sí", "No")</f>
        <v>No</v>
      </c>
      <c r="N2540" s="14">
        <f>IF(ISBLANK(moras[[#This Row],[SALARIO]]), EDA!$M$8, moras[[#This Row],[SALARIO]])</f>
        <v>508656</v>
      </c>
      <c r="O2540" s="14">
        <f xml:space="preserve"> IF(ISBLANK(moras[[#This Row],[EDAD]]), EDA!$E$8, moras[[#This Row],[EDAD]])</f>
        <v>49</v>
      </c>
      <c r="P2540" s="14" t="str">
        <f>IF(
    OR(ISBLANK(moras[[#This Row],[TIPO_ASEGURAMIENTO]]), moras[[#This Row],[TIPO_ASEGURAMIENTO]]=""),
    EDA!$A$32,
    moras[[#This Row],[TIPO_ASEGURAMIENTO]]
)</f>
        <v>ASALARIADO</v>
      </c>
    </row>
    <row r="2541" spans="1:16" x14ac:dyDescent="0.3">
      <c r="A2541">
        <v>2540</v>
      </c>
      <c r="B2541" t="s">
        <v>15</v>
      </c>
      <c r="C2541">
        <v>402500</v>
      </c>
      <c r="D2541" t="s">
        <v>10</v>
      </c>
      <c r="E2541" t="s">
        <v>16</v>
      </c>
      <c r="F2541" t="s">
        <v>12</v>
      </c>
      <c r="G2541" t="s">
        <v>13</v>
      </c>
      <c r="H2541" t="s">
        <v>12</v>
      </c>
      <c r="I2541">
        <v>41</v>
      </c>
      <c r="J2541">
        <f>ABS((I2541-EDA!$A$15)/EDA!$B$15)</f>
        <v>6.9135017218420233E-2</v>
      </c>
      <c r="K2541" t="str">
        <f t="shared" si="39"/>
        <v>No</v>
      </c>
      <c r="L2541">
        <f>ABS((C2541-EDA!$F$15)/EDA!$G$15)</f>
        <v>0.36895608807815872</v>
      </c>
      <c r="M2541" t="str">
        <f>IF(moras[[#This Row],[Z-Score Salario]]&gt;1.96, "Sí", "No")</f>
        <v>No</v>
      </c>
      <c r="N2541" s="14">
        <f>IF(ISBLANK(moras[[#This Row],[SALARIO]]), EDA!$M$8, moras[[#This Row],[SALARIO]])</f>
        <v>402500</v>
      </c>
      <c r="O2541" s="14">
        <f xml:space="preserve"> IF(ISBLANK(moras[[#This Row],[EDAD]]), EDA!$E$8, moras[[#This Row],[EDAD]])</f>
        <v>41</v>
      </c>
      <c r="P2541" s="14" t="str">
        <f>IF(
    OR(ISBLANK(moras[[#This Row],[TIPO_ASEGURAMIENTO]]), moras[[#This Row],[TIPO_ASEGURAMIENTO]]=""),
    EDA!$A$32,
    moras[[#This Row],[TIPO_ASEGURAMIENTO]]
)</f>
        <v>ASALARIADO</v>
      </c>
    </row>
    <row r="2542" spans="1:16" x14ac:dyDescent="0.3">
      <c r="A2542">
        <v>2541</v>
      </c>
      <c r="B2542" t="s">
        <v>15</v>
      </c>
      <c r="C2542">
        <v>461014</v>
      </c>
      <c r="D2542" t="s">
        <v>10</v>
      </c>
      <c r="E2542" t="s">
        <v>11</v>
      </c>
      <c r="F2542" t="s">
        <v>12</v>
      </c>
      <c r="G2542" t="s">
        <v>13</v>
      </c>
      <c r="H2542" t="s">
        <v>12</v>
      </c>
      <c r="I2542">
        <v>52</v>
      </c>
      <c r="J2542">
        <f>ABS((I2542-EDA!$A$15)/EDA!$B$15)</f>
        <v>0.70719361363009237</v>
      </c>
      <c r="K2542" t="str">
        <f t="shared" si="39"/>
        <v>No</v>
      </c>
      <c r="L2542">
        <f>ABS((C2542-EDA!$F$15)/EDA!$G$15)</f>
        <v>0.36798237381241244</v>
      </c>
      <c r="M2542" t="str">
        <f>IF(moras[[#This Row],[Z-Score Salario]]&gt;1.96, "Sí", "No")</f>
        <v>No</v>
      </c>
      <c r="N2542" s="14">
        <f>IF(ISBLANK(moras[[#This Row],[SALARIO]]), EDA!$M$8, moras[[#This Row],[SALARIO]])</f>
        <v>461014</v>
      </c>
      <c r="O2542" s="14">
        <f xml:space="preserve"> IF(ISBLANK(moras[[#This Row],[EDAD]]), EDA!$E$8, moras[[#This Row],[EDAD]])</f>
        <v>52</v>
      </c>
      <c r="P2542" s="14" t="str">
        <f>IF(
    OR(ISBLANK(moras[[#This Row],[TIPO_ASEGURAMIENTO]]), moras[[#This Row],[TIPO_ASEGURAMIENTO]]=""),
    EDA!$A$32,
    moras[[#This Row],[TIPO_ASEGURAMIENTO]]
)</f>
        <v>ASALARIADO</v>
      </c>
    </row>
    <row r="2543" spans="1:16" x14ac:dyDescent="0.3">
      <c r="A2543">
        <v>2542</v>
      </c>
      <c r="B2543" t="s">
        <v>15</v>
      </c>
      <c r="C2543">
        <v>529279</v>
      </c>
      <c r="D2543" t="s">
        <v>10</v>
      </c>
      <c r="E2543" t="s">
        <v>11</v>
      </c>
      <c r="F2543" t="s">
        <v>12</v>
      </c>
      <c r="G2543" t="s">
        <v>13</v>
      </c>
      <c r="H2543" t="s">
        <v>12</v>
      </c>
      <c r="I2543">
        <v>23</v>
      </c>
      <c r="J2543">
        <f>ABS((I2543-EDA!$A$15)/EDA!$B$15)</f>
        <v>1.3394909586068953</v>
      </c>
      <c r="K2543" t="str">
        <f t="shared" si="39"/>
        <v>No</v>
      </c>
      <c r="L2543">
        <f>ABS((C2543-EDA!$F$15)/EDA!$G$15)</f>
        <v>0.36684639602331631</v>
      </c>
      <c r="M2543" t="str">
        <f>IF(moras[[#This Row],[Z-Score Salario]]&gt;1.96, "Sí", "No")</f>
        <v>No</v>
      </c>
      <c r="N2543" s="14">
        <f>IF(ISBLANK(moras[[#This Row],[SALARIO]]), EDA!$M$8, moras[[#This Row],[SALARIO]])</f>
        <v>529279</v>
      </c>
      <c r="O2543" s="14">
        <f xml:space="preserve"> IF(ISBLANK(moras[[#This Row],[EDAD]]), EDA!$E$8, moras[[#This Row],[EDAD]])</f>
        <v>23</v>
      </c>
      <c r="P2543" s="14" t="str">
        <f>IF(
    OR(ISBLANK(moras[[#This Row],[TIPO_ASEGURAMIENTO]]), moras[[#This Row],[TIPO_ASEGURAMIENTO]]=""),
    EDA!$A$32,
    moras[[#This Row],[TIPO_ASEGURAMIENTO]]
)</f>
        <v>ASALARIADO</v>
      </c>
    </row>
    <row r="2544" spans="1:16" x14ac:dyDescent="0.3">
      <c r="A2544">
        <v>2543</v>
      </c>
      <c r="B2544" t="s">
        <v>15</v>
      </c>
      <c r="C2544">
        <v>75959767</v>
      </c>
      <c r="D2544" t="s">
        <v>10</v>
      </c>
      <c r="E2544" t="s">
        <v>11</v>
      </c>
      <c r="F2544" t="s">
        <v>12</v>
      </c>
      <c r="G2544" t="s">
        <v>13</v>
      </c>
      <c r="H2544" t="s">
        <v>13</v>
      </c>
      <c r="I2544">
        <v>27</v>
      </c>
      <c r="J2544">
        <f>ABS((I2544-EDA!$A$15)/EDA!$B$15)</f>
        <v>1.0571896382983452</v>
      </c>
      <c r="K2544" t="str">
        <f t="shared" si="39"/>
        <v>No</v>
      </c>
      <c r="L2544">
        <f>ABS((C2544-EDA!$F$15)/EDA!$G$15)</f>
        <v>0.88837017159820197</v>
      </c>
      <c r="M2544" t="str">
        <f>IF(moras[[#This Row],[Z-Score Salario]]&gt;1.96, "Sí", "No")</f>
        <v>No</v>
      </c>
      <c r="N2544" s="14">
        <f>IF(ISBLANK(moras[[#This Row],[SALARIO]]), EDA!$M$8, moras[[#This Row],[SALARIO]])</f>
        <v>75959767</v>
      </c>
      <c r="O2544" s="14">
        <f xml:space="preserve"> IF(ISBLANK(moras[[#This Row],[EDAD]]), EDA!$E$8, moras[[#This Row],[EDAD]])</f>
        <v>27</v>
      </c>
      <c r="P2544" s="14" t="str">
        <f>IF(
    OR(ISBLANK(moras[[#This Row],[TIPO_ASEGURAMIENTO]]), moras[[#This Row],[TIPO_ASEGURAMIENTO]]=""),
    EDA!$A$32,
    moras[[#This Row],[TIPO_ASEGURAMIENTO]]
)</f>
        <v>ASALARIADO</v>
      </c>
    </row>
    <row r="2545" spans="1:16" x14ac:dyDescent="0.3">
      <c r="A2545">
        <v>2544</v>
      </c>
      <c r="B2545" t="s">
        <v>15</v>
      </c>
      <c r="C2545">
        <v>6880852</v>
      </c>
      <c r="D2545" t="s">
        <v>10</v>
      </c>
      <c r="E2545" t="s">
        <v>11</v>
      </c>
      <c r="F2545" t="s">
        <v>12</v>
      </c>
      <c r="G2545" t="s">
        <v>13</v>
      </c>
      <c r="H2545" t="s">
        <v>13</v>
      </c>
      <c r="I2545">
        <v>36</v>
      </c>
      <c r="J2545">
        <f>ABS((I2545-EDA!$A$15)/EDA!$B$15)</f>
        <v>0.42201166760410774</v>
      </c>
      <c r="K2545" t="str">
        <f t="shared" si="39"/>
        <v>No</v>
      </c>
      <c r="L2545">
        <f>ABS((C2545-EDA!$F$15)/EDA!$G$15)</f>
        <v>0.26115173765046434</v>
      </c>
      <c r="M2545" t="str">
        <f>IF(moras[[#This Row],[Z-Score Salario]]&gt;1.96, "Sí", "No")</f>
        <v>No</v>
      </c>
      <c r="N2545" s="14">
        <f>IF(ISBLANK(moras[[#This Row],[SALARIO]]), EDA!$M$8, moras[[#This Row],[SALARIO]])</f>
        <v>6880852</v>
      </c>
      <c r="O2545" s="14">
        <f xml:space="preserve"> IF(ISBLANK(moras[[#This Row],[EDAD]]), EDA!$E$8, moras[[#This Row],[EDAD]])</f>
        <v>36</v>
      </c>
      <c r="P2545" s="14" t="str">
        <f>IF(
    OR(ISBLANK(moras[[#This Row],[TIPO_ASEGURAMIENTO]]), moras[[#This Row],[TIPO_ASEGURAMIENTO]]=""),
    EDA!$A$32,
    moras[[#This Row],[TIPO_ASEGURAMIENTO]]
)</f>
        <v>ASALARIADO</v>
      </c>
    </row>
    <row r="2546" spans="1:16" x14ac:dyDescent="0.3">
      <c r="A2546">
        <v>2545</v>
      </c>
      <c r="B2546" t="s">
        <v>9</v>
      </c>
      <c r="C2546">
        <v>3616667</v>
      </c>
      <c r="D2546" t="s">
        <v>10</v>
      </c>
      <c r="E2546" t="s">
        <v>16</v>
      </c>
      <c r="F2546" t="s">
        <v>12</v>
      </c>
      <c r="G2546" t="s">
        <v>12</v>
      </c>
      <c r="H2546" t="s">
        <v>13</v>
      </c>
      <c r="I2546">
        <v>37</v>
      </c>
      <c r="J2546">
        <f>ABS((I2546-EDA!$A$15)/EDA!$B$15)</f>
        <v>0.35143633752697023</v>
      </c>
      <c r="K2546" t="str">
        <f t="shared" si="39"/>
        <v>No</v>
      </c>
      <c r="L2546">
        <f>ABS((C2546-EDA!$F$15)/EDA!$G$15)</f>
        <v>0.31547008027846968</v>
      </c>
      <c r="M2546" t="str">
        <f>IF(moras[[#This Row],[Z-Score Salario]]&gt;1.96, "Sí", "No")</f>
        <v>No</v>
      </c>
      <c r="N2546" s="14">
        <f>IF(ISBLANK(moras[[#This Row],[SALARIO]]), EDA!$M$8, moras[[#This Row],[SALARIO]])</f>
        <v>3616667</v>
      </c>
      <c r="O2546" s="14">
        <f xml:space="preserve"> IF(ISBLANK(moras[[#This Row],[EDAD]]), EDA!$E$8, moras[[#This Row],[EDAD]])</f>
        <v>37</v>
      </c>
      <c r="P2546" s="14" t="str">
        <f>IF(
    OR(ISBLANK(moras[[#This Row],[TIPO_ASEGURAMIENTO]]), moras[[#This Row],[TIPO_ASEGURAMIENTO]]=""),
    EDA!$A$32,
    moras[[#This Row],[TIPO_ASEGURAMIENTO]]
)</f>
        <v>ASALARIADO</v>
      </c>
    </row>
    <row r="2547" spans="1:16" x14ac:dyDescent="0.3">
      <c r="A2547">
        <v>2546</v>
      </c>
      <c r="B2547" t="s">
        <v>15</v>
      </c>
      <c r="C2547">
        <v>297046</v>
      </c>
      <c r="D2547" t="s">
        <v>17</v>
      </c>
      <c r="E2547" t="s">
        <v>16</v>
      </c>
      <c r="F2547" t="s">
        <v>13</v>
      </c>
      <c r="G2547" t="s">
        <v>12</v>
      </c>
      <c r="H2547" t="s">
        <v>13</v>
      </c>
      <c r="I2547">
        <v>50</v>
      </c>
      <c r="J2547">
        <f>ABS((I2547-EDA!$A$15)/EDA!$B$15)</f>
        <v>0.56604295347581735</v>
      </c>
      <c r="K2547" t="str">
        <f t="shared" si="39"/>
        <v>No</v>
      </c>
      <c r="L2547">
        <f>ABS((C2547-EDA!$F$15)/EDA!$G$15)</f>
        <v>0.37071091707942361</v>
      </c>
      <c r="M2547" t="str">
        <f>IF(moras[[#This Row],[Z-Score Salario]]&gt;1.96, "Sí", "No")</f>
        <v>No</v>
      </c>
      <c r="N2547" s="14">
        <f>IF(ISBLANK(moras[[#This Row],[SALARIO]]), EDA!$M$8, moras[[#This Row],[SALARIO]])</f>
        <v>297046</v>
      </c>
      <c r="O2547" s="14">
        <f xml:space="preserve"> IF(ISBLANK(moras[[#This Row],[EDAD]]), EDA!$E$8, moras[[#This Row],[EDAD]])</f>
        <v>50</v>
      </c>
      <c r="P2547" s="14" t="str">
        <f>IF(
    OR(ISBLANK(moras[[#This Row],[TIPO_ASEGURAMIENTO]]), moras[[#This Row],[TIPO_ASEGURAMIENTO]]=""),
    EDA!$A$32,
    moras[[#This Row],[TIPO_ASEGURAMIENTO]]
)</f>
        <v>ASEGURADO VOLUNTARIO</v>
      </c>
    </row>
    <row r="2548" spans="1:16" x14ac:dyDescent="0.3">
      <c r="A2548">
        <v>2547</v>
      </c>
      <c r="B2548" t="s">
        <v>15</v>
      </c>
      <c r="C2548">
        <v>30914336</v>
      </c>
      <c r="D2548" t="s">
        <v>10</v>
      </c>
      <c r="E2548" t="s">
        <v>16</v>
      </c>
      <c r="F2548" t="s">
        <v>12</v>
      </c>
      <c r="G2548" t="s">
        <v>12</v>
      </c>
      <c r="H2548" t="s">
        <v>13</v>
      </c>
      <c r="I2548">
        <v>55</v>
      </c>
      <c r="J2548">
        <f>ABS((I2548-EDA!$A$15)/EDA!$B$15)</f>
        <v>0.91891960386150484</v>
      </c>
      <c r="K2548" t="str">
        <f t="shared" si="39"/>
        <v>No</v>
      </c>
      <c r="L2548">
        <f>ABS((C2548-EDA!$F$15)/EDA!$G$15)</f>
        <v>0.13878240163903194</v>
      </c>
      <c r="M2548" t="str">
        <f>IF(moras[[#This Row],[Z-Score Salario]]&gt;1.96, "Sí", "No")</f>
        <v>No</v>
      </c>
      <c r="N2548" s="14">
        <f>IF(ISBLANK(moras[[#This Row],[SALARIO]]), EDA!$M$8, moras[[#This Row],[SALARIO]])</f>
        <v>30914336</v>
      </c>
      <c r="O2548" s="14">
        <f xml:space="preserve"> IF(ISBLANK(moras[[#This Row],[EDAD]]), EDA!$E$8, moras[[#This Row],[EDAD]])</f>
        <v>55</v>
      </c>
      <c r="P2548" s="14" t="str">
        <f>IF(
    OR(ISBLANK(moras[[#This Row],[TIPO_ASEGURAMIENTO]]), moras[[#This Row],[TIPO_ASEGURAMIENTO]]=""),
    EDA!$A$32,
    moras[[#This Row],[TIPO_ASEGURAMIENTO]]
)</f>
        <v>ASALARIADO</v>
      </c>
    </row>
    <row r="2549" spans="1:16" x14ac:dyDescent="0.3">
      <c r="A2549">
        <v>2548</v>
      </c>
      <c r="B2549" t="s">
        <v>9</v>
      </c>
      <c r="C2549">
        <v>360000</v>
      </c>
      <c r="D2549" t="s">
        <v>10</v>
      </c>
      <c r="E2549" t="s">
        <v>16</v>
      </c>
      <c r="F2549" t="s">
        <v>12</v>
      </c>
      <c r="G2549" t="s">
        <v>13</v>
      </c>
      <c r="H2549" t="s">
        <v>12</v>
      </c>
      <c r="I2549">
        <v>32</v>
      </c>
      <c r="J2549">
        <f>ABS((I2549-EDA!$A$15)/EDA!$B$15)</f>
        <v>0.70431298791265773</v>
      </c>
      <c r="K2549" t="str">
        <f t="shared" si="39"/>
        <v>No</v>
      </c>
      <c r="L2549">
        <f>ABS((C2549-EDA!$F$15)/EDA!$G$15)</f>
        <v>0.36966331807942709</v>
      </c>
      <c r="M2549" t="str">
        <f>IF(moras[[#This Row],[Z-Score Salario]]&gt;1.96, "Sí", "No")</f>
        <v>No</v>
      </c>
      <c r="N2549" s="14">
        <f>IF(ISBLANK(moras[[#This Row],[SALARIO]]), EDA!$M$8, moras[[#This Row],[SALARIO]])</f>
        <v>360000</v>
      </c>
      <c r="O2549" s="14">
        <f xml:space="preserve"> IF(ISBLANK(moras[[#This Row],[EDAD]]), EDA!$E$8, moras[[#This Row],[EDAD]])</f>
        <v>32</v>
      </c>
      <c r="P2549" s="14" t="str">
        <f>IF(
    OR(ISBLANK(moras[[#This Row],[TIPO_ASEGURAMIENTO]]), moras[[#This Row],[TIPO_ASEGURAMIENTO]]=""),
    EDA!$A$32,
    moras[[#This Row],[TIPO_ASEGURAMIENTO]]
)</f>
        <v>ASALARIADO</v>
      </c>
    </row>
    <row r="2550" spans="1:16" x14ac:dyDescent="0.3">
      <c r="A2550">
        <v>2549</v>
      </c>
      <c r="B2550" t="s">
        <v>9</v>
      </c>
      <c r="C2550">
        <v>600000</v>
      </c>
      <c r="D2550" t="s">
        <v>10</v>
      </c>
      <c r="E2550" t="s">
        <v>16</v>
      </c>
      <c r="F2550" t="s">
        <v>12</v>
      </c>
      <c r="G2550" t="s">
        <v>13</v>
      </c>
      <c r="H2550" t="s">
        <v>12</v>
      </c>
      <c r="I2550">
        <v>50</v>
      </c>
      <c r="J2550">
        <f>ABS((I2550-EDA!$A$15)/EDA!$B$15)</f>
        <v>0.56604295347581735</v>
      </c>
      <c r="K2550" t="str">
        <f t="shared" si="39"/>
        <v>No</v>
      </c>
      <c r="L2550">
        <f>ABS((C2550-EDA!$F$15)/EDA!$G$15)</f>
        <v>0.36566954866049978</v>
      </c>
      <c r="M2550" t="str">
        <f>IF(moras[[#This Row],[Z-Score Salario]]&gt;1.96, "Sí", "No")</f>
        <v>No</v>
      </c>
      <c r="N2550" s="14">
        <f>IF(ISBLANK(moras[[#This Row],[SALARIO]]), EDA!$M$8, moras[[#This Row],[SALARIO]])</f>
        <v>600000</v>
      </c>
      <c r="O2550" s="14">
        <f xml:space="preserve"> IF(ISBLANK(moras[[#This Row],[EDAD]]), EDA!$E$8, moras[[#This Row],[EDAD]])</f>
        <v>50</v>
      </c>
      <c r="P2550" s="14" t="str">
        <f>IF(
    OR(ISBLANK(moras[[#This Row],[TIPO_ASEGURAMIENTO]]), moras[[#This Row],[TIPO_ASEGURAMIENTO]]=""),
    EDA!$A$32,
    moras[[#This Row],[TIPO_ASEGURAMIENTO]]
)</f>
        <v>ASALARIADO</v>
      </c>
    </row>
    <row r="2551" spans="1:16" x14ac:dyDescent="0.3">
      <c r="A2551">
        <v>2550</v>
      </c>
      <c r="B2551" t="s">
        <v>9</v>
      </c>
      <c r="C2551">
        <v>278030</v>
      </c>
      <c r="D2551" t="s">
        <v>19</v>
      </c>
      <c r="E2551" t="s">
        <v>16</v>
      </c>
      <c r="F2551" t="s">
        <v>12</v>
      </c>
      <c r="G2551" t="s">
        <v>13</v>
      </c>
      <c r="H2551" t="s">
        <v>13</v>
      </c>
      <c r="I2551">
        <v>40</v>
      </c>
      <c r="J2551">
        <f>ABS((I2551-EDA!$A$15)/EDA!$B$15)</f>
        <v>0.13971034729555773</v>
      </c>
      <c r="K2551" t="str">
        <f t="shared" si="39"/>
        <v>No</v>
      </c>
      <c r="L2551">
        <f>ABS((C2551-EDA!$F$15)/EDA!$G$15)</f>
        <v>0.37102735674304993</v>
      </c>
      <c r="M2551" t="str">
        <f>IF(moras[[#This Row],[Z-Score Salario]]&gt;1.96, "Sí", "No")</f>
        <v>No</v>
      </c>
      <c r="N2551" s="14">
        <f>IF(ISBLANK(moras[[#This Row],[SALARIO]]), EDA!$M$8, moras[[#This Row],[SALARIO]])</f>
        <v>278030</v>
      </c>
      <c r="O2551" s="14">
        <f xml:space="preserve"> IF(ISBLANK(moras[[#This Row],[EDAD]]), EDA!$E$8, moras[[#This Row],[EDAD]])</f>
        <v>40</v>
      </c>
      <c r="P2551" s="14" t="str">
        <f>IF(
    OR(ISBLANK(moras[[#This Row],[TIPO_ASEGURAMIENTO]]), moras[[#This Row],[TIPO_ASEGURAMIENTO]]=""),
    EDA!$A$32,
    moras[[#This Row],[TIPO_ASEGURAMIENTO]]
)</f>
        <v>CONVENIOS ESPECIALES DE TRABAJADORES INDEPENDIENTES</v>
      </c>
    </row>
    <row r="2552" spans="1:16" x14ac:dyDescent="0.3">
      <c r="A2552">
        <v>2551</v>
      </c>
      <c r="B2552" t="s">
        <v>9</v>
      </c>
      <c r="C2552">
        <v>25123063</v>
      </c>
      <c r="D2552" t="s">
        <v>10</v>
      </c>
      <c r="E2552" t="s">
        <v>16</v>
      </c>
      <c r="F2552" t="s">
        <v>12</v>
      </c>
      <c r="G2552" t="s">
        <v>13</v>
      </c>
      <c r="H2552" t="s">
        <v>13</v>
      </c>
      <c r="I2552">
        <v>44</v>
      </c>
      <c r="J2552">
        <f>ABS((I2552-EDA!$A$15)/EDA!$B$15)</f>
        <v>0.14259097301299228</v>
      </c>
      <c r="K2552" t="str">
        <f t="shared" si="39"/>
        <v>No</v>
      </c>
      <c r="L2552">
        <f>ABS((C2552-EDA!$F$15)/EDA!$G$15)</f>
        <v>4.2411530788784048E-2</v>
      </c>
      <c r="M2552" t="str">
        <f>IF(moras[[#This Row],[Z-Score Salario]]&gt;1.96, "Sí", "No")</f>
        <v>No</v>
      </c>
      <c r="N2552" s="14">
        <f>IF(ISBLANK(moras[[#This Row],[SALARIO]]), EDA!$M$8, moras[[#This Row],[SALARIO]])</f>
        <v>25123063</v>
      </c>
      <c r="O2552" s="14">
        <f xml:space="preserve"> IF(ISBLANK(moras[[#This Row],[EDAD]]), EDA!$E$8, moras[[#This Row],[EDAD]])</f>
        <v>44</v>
      </c>
      <c r="P2552" s="14" t="str">
        <f>IF(
    OR(ISBLANK(moras[[#This Row],[TIPO_ASEGURAMIENTO]]), moras[[#This Row],[TIPO_ASEGURAMIENTO]]=""),
    EDA!$A$32,
    moras[[#This Row],[TIPO_ASEGURAMIENTO]]
)</f>
        <v>ASALARIADO</v>
      </c>
    </row>
    <row r="2553" spans="1:16" x14ac:dyDescent="0.3">
      <c r="A2553">
        <v>2552</v>
      </c>
      <c r="B2553" t="s">
        <v>15</v>
      </c>
      <c r="C2553">
        <v>50000</v>
      </c>
      <c r="D2553" t="s">
        <v>10</v>
      </c>
      <c r="E2553" t="s">
        <v>16</v>
      </c>
      <c r="F2553" t="s">
        <v>12</v>
      </c>
      <c r="G2553" t="s">
        <v>13</v>
      </c>
      <c r="H2553" t="s">
        <v>13</v>
      </c>
      <c r="I2553">
        <v>20</v>
      </c>
      <c r="J2553">
        <f>ABS((I2553-EDA!$A$15)/EDA!$B$15)</f>
        <v>1.5512169488383079</v>
      </c>
      <c r="K2553" t="str">
        <f t="shared" si="39"/>
        <v>No</v>
      </c>
      <c r="L2553">
        <f>ABS((C2553-EDA!$F$15)/EDA!$G$15)</f>
        <v>0.37482193691220822</v>
      </c>
      <c r="M2553" t="str">
        <f>IF(moras[[#This Row],[Z-Score Salario]]&gt;1.96, "Sí", "No")</f>
        <v>No</v>
      </c>
      <c r="N2553" s="14">
        <f>IF(ISBLANK(moras[[#This Row],[SALARIO]]), EDA!$M$8, moras[[#This Row],[SALARIO]])</f>
        <v>50000</v>
      </c>
      <c r="O2553" s="14">
        <f xml:space="preserve"> IF(ISBLANK(moras[[#This Row],[EDAD]]), EDA!$E$8, moras[[#This Row],[EDAD]])</f>
        <v>20</v>
      </c>
      <c r="P2553" s="14" t="str">
        <f>IF(
    OR(ISBLANK(moras[[#This Row],[TIPO_ASEGURAMIENTO]]), moras[[#This Row],[TIPO_ASEGURAMIENTO]]=""),
    EDA!$A$32,
    moras[[#This Row],[TIPO_ASEGURAMIENTO]]
)</f>
        <v>ASALARIADO</v>
      </c>
    </row>
    <row r="2554" spans="1:16" x14ac:dyDescent="0.3">
      <c r="A2554">
        <v>2553</v>
      </c>
      <c r="B2554" t="s">
        <v>15</v>
      </c>
      <c r="C2554">
        <v>358500</v>
      </c>
      <c r="D2554" t="s">
        <v>10</v>
      </c>
      <c r="E2554" t="s">
        <v>16</v>
      </c>
      <c r="F2554" t="s">
        <v>12</v>
      </c>
      <c r="G2554" t="s">
        <v>13</v>
      </c>
      <c r="H2554" t="s">
        <v>13</v>
      </c>
      <c r="I2554">
        <v>41</v>
      </c>
      <c r="J2554">
        <f>ABS((I2554-EDA!$A$15)/EDA!$B$15)</f>
        <v>6.9135017218420233E-2</v>
      </c>
      <c r="K2554" t="str">
        <f t="shared" si="39"/>
        <v>No</v>
      </c>
      <c r="L2554">
        <f>ABS((C2554-EDA!$F$15)/EDA!$G$15)</f>
        <v>0.36968827913829544</v>
      </c>
      <c r="M2554" t="str">
        <f>IF(moras[[#This Row],[Z-Score Salario]]&gt;1.96, "Sí", "No")</f>
        <v>No</v>
      </c>
      <c r="N2554" s="14">
        <f>IF(ISBLANK(moras[[#This Row],[SALARIO]]), EDA!$M$8, moras[[#This Row],[SALARIO]])</f>
        <v>358500</v>
      </c>
      <c r="O2554" s="14">
        <f xml:space="preserve"> IF(ISBLANK(moras[[#This Row],[EDAD]]), EDA!$E$8, moras[[#This Row],[EDAD]])</f>
        <v>41</v>
      </c>
      <c r="P2554" s="14" t="str">
        <f>IF(
    OR(ISBLANK(moras[[#This Row],[TIPO_ASEGURAMIENTO]]), moras[[#This Row],[TIPO_ASEGURAMIENTO]]=""),
    EDA!$A$32,
    moras[[#This Row],[TIPO_ASEGURAMIENTO]]
)</f>
        <v>ASALARIADO</v>
      </c>
    </row>
    <row r="2555" spans="1:16" x14ac:dyDescent="0.3">
      <c r="A2555">
        <v>2554</v>
      </c>
      <c r="B2555" t="s">
        <v>9</v>
      </c>
      <c r="C2555">
        <v>456792</v>
      </c>
      <c r="D2555" t="s">
        <v>10</v>
      </c>
      <c r="E2555" t="s">
        <v>16</v>
      </c>
      <c r="F2555" t="s">
        <v>12</v>
      </c>
      <c r="G2555" t="s">
        <v>13</v>
      </c>
      <c r="H2555" t="s">
        <v>13</v>
      </c>
      <c r="I2555">
        <v>41</v>
      </c>
      <c r="J2555">
        <f>ABS((I2555-EDA!$A$15)/EDA!$B$15)</f>
        <v>6.9135017218420233E-2</v>
      </c>
      <c r="K2555" t="str">
        <f t="shared" si="39"/>
        <v>No</v>
      </c>
      <c r="L2555">
        <f>ABS((C2555-EDA!$F$15)/EDA!$G$15)</f>
        <v>0.36805263087277373</v>
      </c>
      <c r="M2555" t="str">
        <f>IF(moras[[#This Row],[Z-Score Salario]]&gt;1.96, "Sí", "No")</f>
        <v>No</v>
      </c>
      <c r="N2555" s="14">
        <f>IF(ISBLANK(moras[[#This Row],[SALARIO]]), EDA!$M$8, moras[[#This Row],[SALARIO]])</f>
        <v>456792</v>
      </c>
      <c r="O2555" s="14">
        <f xml:space="preserve"> IF(ISBLANK(moras[[#This Row],[EDAD]]), EDA!$E$8, moras[[#This Row],[EDAD]])</f>
        <v>41</v>
      </c>
      <c r="P2555" s="14" t="str">
        <f>IF(
    OR(ISBLANK(moras[[#This Row],[TIPO_ASEGURAMIENTO]]), moras[[#This Row],[TIPO_ASEGURAMIENTO]]=""),
    EDA!$A$32,
    moras[[#This Row],[TIPO_ASEGURAMIENTO]]
)</f>
        <v>ASALARIADO</v>
      </c>
    </row>
    <row r="2556" spans="1:16" x14ac:dyDescent="0.3">
      <c r="A2556">
        <v>2555</v>
      </c>
      <c r="B2556" t="s">
        <v>9</v>
      </c>
      <c r="C2556">
        <v>381590</v>
      </c>
      <c r="D2556" t="s">
        <v>10</v>
      </c>
      <c r="E2556" t="s">
        <v>16</v>
      </c>
      <c r="F2556" t="s">
        <v>12</v>
      </c>
      <c r="G2556" t="s">
        <v>13</v>
      </c>
      <c r="H2556" t="s">
        <v>13</v>
      </c>
      <c r="I2556">
        <v>21</v>
      </c>
      <c r="J2556">
        <f>ABS((I2556-EDA!$A$15)/EDA!$B$15)</f>
        <v>1.4806416187611704</v>
      </c>
      <c r="K2556" t="str">
        <f t="shared" si="39"/>
        <v>No</v>
      </c>
      <c r="L2556">
        <f>ABS((C2556-EDA!$F$15)/EDA!$G$15)</f>
        <v>0.3693040452387828</v>
      </c>
      <c r="M2556" t="str">
        <f>IF(moras[[#This Row],[Z-Score Salario]]&gt;1.96, "Sí", "No")</f>
        <v>No</v>
      </c>
      <c r="N2556" s="14">
        <f>IF(ISBLANK(moras[[#This Row],[SALARIO]]), EDA!$M$8, moras[[#This Row],[SALARIO]])</f>
        <v>381590</v>
      </c>
      <c r="O2556" s="14">
        <f xml:space="preserve"> IF(ISBLANK(moras[[#This Row],[EDAD]]), EDA!$E$8, moras[[#This Row],[EDAD]])</f>
        <v>21</v>
      </c>
      <c r="P2556" s="14" t="str">
        <f>IF(
    OR(ISBLANK(moras[[#This Row],[TIPO_ASEGURAMIENTO]]), moras[[#This Row],[TIPO_ASEGURAMIENTO]]=""),
    EDA!$A$32,
    moras[[#This Row],[TIPO_ASEGURAMIENTO]]
)</f>
        <v>ASALARIADO</v>
      </c>
    </row>
    <row r="2557" spans="1:16" x14ac:dyDescent="0.3">
      <c r="A2557">
        <v>2556</v>
      </c>
      <c r="B2557" t="s">
        <v>9</v>
      </c>
      <c r="C2557">
        <v>330000</v>
      </c>
      <c r="D2557" t="s">
        <v>10</v>
      </c>
      <c r="E2557" t="s">
        <v>16</v>
      </c>
      <c r="F2557" t="s">
        <v>12</v>
      </c>
      <c r="G2557" t="s">
        <v>13</v>
      </c>
      <c r="H2557" t="s">
        <v>13</v>
      </c>
      <c r="I2557">
        <v>59</v>
      </c>
      <c r="J2557">
        <f>ABS((I2557-EDA!$A$15)/EDA!$B$15)</f>
        <v>1.2012209241700549</v>
      </c>
      <c r="K2557" t="str">
        <f t="shared" si="39"/>
        <v>No</v>
      </c>
      <c r="L2557">
        <f>ABS((C2557-EDA!$F$15)/EDA!$G$15)</f>
        <v>0.37016253925679304</v>
      </c>
      <c r="M2557" t="str">
        <f>IF(moras[[#This Row],[Z-Score Salario]]&gt;1.96, "Sí", "No")</f>
        <v>No</v>
      </c>
      <c r="N2557" s="14">
        <f>IF(ISBLANK(moras[[#This Row],[SALARIO]]), EDA!$M$8, moras[[#This Row],[SALARIO]])</f>
        <v>330000</v>
      </c>
      <c r="O2557" s="14">
        <f xml:space="preserve"> IF(ISBLANK(moras[[#This Row],[EDAD]]), EDA!$E$8, moras[[#This Row],[EDAD]])</f>
        <v>59</v>
      </c>
      <c r="P2557" s="14" t="str">
        <f>IF(
    OR(ISBLANK(moras[[#This Row],[TIPO_ASEGURAMIENTO]]), moras[[#This Row],[TIPO_ASEGURAMIENTO]]=""),
    EDA!$A$32,
    moras[[#This Row],[TIPO_ASEGURAMIENTO]]
)</f>
        <v>ASALARIADO</v>
      </c>
    </row>
    <row r="2558" spans="1:16" x14ac:dyDescent="0.3">
      <c r="A2558">
        <v>2557</v>
      </c>
      <c r="B2558" t="s">
        <v>15</v>
      </c>
      <c r="C2558">
        <v>976390</v>
      </c>
      <c r="D2558" t="s">
        <v>10</v>
      </c>
      <c r="E2558" t="s">
        <v>11</v>
      </c>
      <c r="F2558" t="s">
        <v>12</v>
      </c>
      <c r="G2558" t="s">
        <v>13</v>
      </c>
      <c r="H2558" t="s">
        <v>13</v>
      </c>
      <c r="I2558">
        <v>35</v>
      </c>
      <c r="J2558">
        <f>ABS((I2558-EDA!$A$15)/EDA!$B$15)</f>
        <v>0.49258699768124525</v>
      </c>
      <c r="K2558" t="str">
        <f t="shared" si="39"/>
        <v>No</v>
      </c>
      <c r="L2558">
        <f>ABS((C2558-EDA!$F$15)/EDA!$G$15)</f>
        <v>0.35940615336220788</v>
      </c>
      <c r="M2558" t="str">
        <f>IF(moras[[#This Row],[Z-Score Salario]]&gt;1.96, "Sí", "No")</f>
        <v>No</v>
      </c>
      <c r="N2558" s="14">
        <f>IF(ISBLANK(moras[[#This Row],[SALARIO]]), EDA!$M$8, moras[[#This Row],[SALARIO]])</f>
        <v>976390</v>
      </c>
      <c r="O2558" s="14">
        <f xml:space="preserve"> IF(ISBLANK(moras[[#This Row],[EDAD]]), EDA!$E$8, moras[[#This Row],[EDAD]])</f>
        <v>35</v>
      </c>
      <c r="P2558" s="14" t="str">
        <f>IF(
    OR(ISBLANK(moras[[#This Row],[TIPO_ASEGURAMIENTO]]), moras[[#This Row],[TIPO_ASEGURAMIENTO]]=""),
    EDA!$A$32,
    moras[[#This Row],[TIPO_ASEGURAMIENTO]]
)</f>
        <v>ASALARIADO</v>
      </c>
    </row>
    <row r="2559" spans="1:16" x14ac:dyDescent="0.3">
      <c r="A2559">
        <v>2558</v>
      </c>
      <c r="B2559" t="s">
        <v>9</v>
      </c>
      <c r="C2559">
        <v>300010</v>
      </c>
      <c r="D2559" t="s">
        <v>17</v>
      </c>
      <c r="E2559" t="s">
        <v>16</v>
      </c>
      <c r="F2559" t="s">
        <v>12</v>
      </c>
      <c r="G2559" t="s">
        <v>13</v>
      </c>
      <c r="H2559" t="s">
        <v>13</v>
      </c>
      <c r="I2559">
        <v>57</v>
      </c>
      <c r="J2559">
        <f>ABS((I2559-EDA!$A$15)/EDA!$B$15)</f>
        <v>1.0600702640157798</v>
      </c>
      <c r="K2559" t="str">
        <f t="shared" si="39"/>
        <v>No</v>
      </c>
      <c r="L2559">
        <f>ABS((C2559-EDA!$F$15)/EDA!$G$15)</f>
        <v>0.37066159402709981</v>
      </c>
      <c r="M2559" t="str">
        <f>IF(moras[[#This Row],[Z-Score Salario]]&gt;1.96, "Sí", "No")</f>
        <v>No</v>
      </c>
      <c r="N2559" s="14">
        <f>IF(ISBLANK(moras[[#This Row],[SALARIO]]), EDA!$M$8, moras[[#This Row],[SALARIO]])</f>
        <v>300010</v>
      </c>
      <c r="O2559" s="14">
        <f xml:space="preserve"> IF(ISBLANK(moras[[#This Row],[EDAD]]), EDA!$E$8, moras[[#This Row],[EDAD]])</f>
        <v>57</v>
      </c>
      <c r="P2559" s="14" t="str">
        <f>IF(
    OR(ISBLANK(moras[[#This Row],[TIPO_ASEGURAMIENTO]]), moras[[#This Row],[TIPO_ASEGURAMIENTO]]=""),
    EDA!$A$32,
    moras[[#This Row],[TIPO_ASEGURAMIENTO]]
)</f>
        <v>ASEGURADO VOLUNTARIO</v>
      </c>
    </row>
    <row r="2560" spans="1:16" x14ac:dyDescent="0.3">
      <c r="A2560">
        <v>2559</v>
      </c>
      <c r="B2560" t="s">
        <v>9</v>
      </c>
      <c r="C2560">
        <v>3498528</v>
      </c>
      <c r="D2560" t="s">
        <v>10</v>
      </c>
      <c r="E2560" t="s">
        <v>16</v>
      </c>
      <c r="F2560" t="s">
        <v>12</v>
      </c>
      <c r="G2560" t="s">
        <v>12</v>
      </c>
      <c r="H2560" t="s">
        <v>13</v>
      </c>
      <c r="I2560">
        <v>40</v>
      </c>
      <c r="J2560">
        <f>ABS((I2560-EDA!$A$15)/EDA!$B$15)</f>
        <v>0.13971034729555773</v>
      </c>
      <c r="K2560" t="str">
        <f t="shared" si="39"/>
        <v>No</v>
      </c>
      <c r="L2560">
        <f>ABS((C2560-EDA!$F$15)/EDA!$G$15)</f>
        <v>0.31743599663423072</v>
      </c>
      <c r="M2560" t="str">
        <f>IF(moras[[#This Row],[Z-Score Salario]]&gt;1.96, "Sí", "No")</f>
        <v>No</v>
      </c>
      <c r="N2560" s="14">
        <f>IF(ISBLANK(moras[[#This Row],[SALARIO]]), EDA!$M$8, moras[[#This Row],[SALARIO]])</f>
        <v>3498528</v>
      </c>
      <c r="O2560" s="14">
        <f xml:space="preserve"> IF(ISBLANK(moras[[#This Row],[EDAD]]), EDA!$E$8, moras[[#This Row],[EDAD]])</f>
        <v>40</v>
      </c>
      <c r="P2560" s="14" t="str">
        <f>IF(
    OR(ISBLANK(moras[[#This Row],[TIPO_ASEGURAMIENTO]]), moras[[#This Row],[TIPO_ASEGURAMIENTO]]=""),
    EDA!$A$32,
    moras[[#This Row],[TIPO_ASEGURAMIENTO]]
)</f>
        <v>ASALARIADO</v>
      </c>
    </row>
    <row r="2561" spans="1:16" x14ac:dyDescent="0.3">
      <c r="A2561">
        <v>2560</v>
      </c>
      <c r="B2561" t="s">
        <v>15</v>
      </c>
      <c r="C2561">
        <v>278030</v>
      </c>
      <c r="D2561" t="s">
        <v>19</v>
      </c>
      <c r="E2561" t="s">
        <v>16</v>
      </c>
      <c r="F2561" t="s">
        <v>12</v>
      </c>
      <c r="G2561" t="s">
        <v>13</v>
      </c>
      <c r="H2561" t="s">
        <v>12</v>
      </c>
      <c r="I2561">
        <v>28</v>
      </c>
      <c r="J2561">
        <f>ABS((I2561-EDA!$A$15)/EDA!$B$15)</f>
        <v>0.98661430822120777</v>
      </c>
      <c r="K2561" t="str">
        <f t="shared" si="39"/>
        <v>No</v>
      </c>
      <c r="L2561">
        <f>ABS((C2561-EDA!$F$15)/EDA!$G$15)</f>
        <v>0.37102735674304993</v>
      </c>
      <c r="M2561" t="str">
        <f>IF(moras[[#This Row],[Z-Score Salario]]&gt;1.96, "Sí", "No")</f>
        <v>No</v>
      </c>
      <c r="N2561" s="14">
        <f>IF(ISBLANK(moras[[#This Row],[SALARIO]]), EDA!$M$8, moras[[#This Row],[SALARIO]])</f>
        <v>278030</v>
      </c>
      <c r="O2561" s="14">
        <f xml:space="preserve"> IF(ISBLANK(moras[[#This Row],[EDAD]]), EDA!$E$8, moras[[#This Row],[EDAD]])</f>
        <v>28</v>
      </c>
      <c r="P2561" s="14" t="str">
        <f>IF(
    OR(ISBLANK(moras[[#This Row],[TIPO_ASEGURAMIENTO]]), moras[[#This Row],[TIPO_ASEGURAMIENTO]]=""),
    EDA!$A$32,
    moras[[#This Row],[TIPO_ASEGURAMIENTO]]
)</f>
        <v>CONVENIOS ESPECIALES DE TRABAJADORES INDEPENDIENTES</v>
      </c>
    </row>
    <row r="2562" spans="1:16" x14ac:dyDescent="0.3">
      <c r="A2562">
        <v>2561</v>
      </c>
      <c r="B2562" t="s">
        <v>9</v>
      </c>
      <c r="C2562">
        <v>4861623</v>
      </c>
      <c r="D2562" t="s">
        <v>10</v>
      </c>
      <c r="E2562" t="s">
        <v>16</v>
      </c>
      <c r="F2562" t="s">
        <v>12</v>
      </c>
      <c r="G2562" t="s">
        <v>12</v>
      </c>
      <c r="H2562" t="s">
        <v>13</v>
      </c>
      <c r="I2562">
        <v>35</v>
      </c>
      <c r="J2562">
        <f>ABS((I2562-EDA!$A$15)/EDA!$B$15)</f>
        <v>0.49258699768124525</v>
      </c>
      <c r="K2562" t="str">
        <f t="shared" ref="K2562:K2625" si="40">IF(J2562 &gt;  1.96, "Sí","No")</f>
        <v>No</v>
      </c>
      <c r="L2562">
        <f>ABS((C2562-EDA!$F$15)/EDA!$G$15)</f>
        <v>0.29475313360884431</v>
      </c>
      <c r="M2562" t="str">
        <f>IF(moras[[#This Row],[Z-Score Salario]]&gt;1.96, "Sí", "No")</f>
        <v>No</v>
      </c>
      <c r="N2562" s="14">
        <f>IF(ISBLANK(moras[[#This Row],[SALARIO]]), EDA!$M$8, moras[[#This Row],[SALARIO]])</f>
        <v>4861623</v>
      </c>
      <c r="O2562" s="14">
        <f xml:space="preserve"> IF(ISBLANK(moras[[#This Row],[EDAD]]), EDA!$E$8, moras[[#This Row],[EDAD]])</f>
        <v>35</v>
      </c>
      <c r="P2562" s="14" t="str">
        <f>IF(
    OR(ISBLANK(moras[[#This Row],[TIPO_ASEGURAMIENTO]]), moras[[#This Row],[TIPO_ASEGURAMIENTO]]=""),
    EDA!$A$32,
    moras[[#This Row],[TIPO_ASEGURAMIENTO]]
)</f>
        <v>ASALARIADO</v>
      </c>
    </row>
    <row r="2563" spans="1:16" x14ac:dyDescent="0.3">
      <c r="A2563">
        <v>2562</v>
      </c>
      <c r="B2563" t="s">
        <v>9</v>
      </c>
      <c r="C2563">
        <v>589097</v>
      </c>
      <c r="D2563" t="s">
        <v>10</v>
      </c>
      <c r="E2563" t="s">
        <v>16</v>
      </c>
      <c r="F2563" t="s">
        <v>12</v>
      </c>
      <c r="G2563" t="s">
        <v>13</v>
      </c>
      <c r="H2563" t="s">
        <v>13</v>
      </c>
      <c r="I2563">
        <v>54</v>
      </c>
      <c r="J2563">
        <f>ABS((I2563-EDA!$A$15)/EDA!$B$15)</f>
        <v>0.84834427378436728</v>
      </c>
      <c r="K2563" t="str">
        <f t="shared" si="40"/>
        <v>No</v>
      </c>
      <c r="L2563">
        <f>ABS((C2563-EDA!$F$15)/EDA!$G$15)</f>
        <v>0.36585098227706048</v>
      </c>
      <c r="M2563" t="str">
        <f>IF(moras[[#This Row],[Z-Score Salario]]&gt;1.96, "Sí", "No")</f>
        <v>No</v>
      </c>
      <c r="N2563" s="14">
        <f>IF(ISBLANK(moras[[#This Row],[SALARIO]]), EDA!$M$8, moras[[#This Row],[SALARIO]])</f>
        <v>589097</v>
      </c>
      <c r="O2563" s="14">
        <f xml:space="preserve"> IF(ISBLANK(moras[[#This Row],[EDAD]]), EDA!$E$8, moras[[#This Row],[EDAD]])</f>
        <v>54</v>
      </c>
      <c r="P2563" s="14" t="str">
        <f>IF(
    OR(ISBLANK(moras[[#This Row],[TIPO_ASEGURAMIENTO]]), moras[[#This Row],[TIPO_ASEGURAMIENTO]]=""),
    EDA!$A$32,
    moras[[#This Row],[TIPO_ASEGURAMIENTO]]
)</f>
        <v>ASALARIADO</v>
      </c>
    </row>
    <row r="2564" spans="1:16" x14ac:dyDescent="0.3">
      <c r="A2564">
        <v>2563</v>
      </c>
      <c r="B2564" t="s">
        <v>9</v>
      </c>
      <c r="C2564">
        <v>4461495</v>
      </c>
      <c r="D2564" t="s">
        <v>10</v>
      </c>
      <c r="E2564" t="s">
        <v>11</v>
      </c>
      <c r="F2564" t="s">
        <v>12</v>
      </c>
      <c r="G2564" t="s">
        <v>13</v>
      </c>
      <c r="H2564" t="s">
        <v>13</v>
      </c>
      <c r="I2564">
        <v>57</v>
      </c>
      <c r="J2564">
        <f>ABS((I2564-EDA!$A$15)/EDA!$B$15)</f>
        <v>1.0600702640157798</v>
      </c>
      <c r="K2564" t="str">
        <f t="shared" si="40"/>
        <v>No</v>
      </c>
      <c r="L2564">
        <f>ABS((C2564-EDA!$F$15)/EDA!$G$15)</f>
        <v>0.30141154598407999</v>
      </c>
      <c r="M2564" t="str">
        <f>IF(moras[[#This Row],[Z-Score Salario]]&gt;1.96, "Sí", "No")</f>
        <v>No</v>
      </c>
      <c r="N2564" s="14">
        <f>IF(ISBLANK(moras[[#This Row],[SALARIO]]), EDA!$M$8, moras[[#This Row],[SALARIO]])</f>
        <v>4461495</v>
      </c>
      <c r="O2564" s="14">
        <f xml:space="preserve"> IF(ISBLANK(moras[[#This Row],[EDAD]]), EDA!$E$8, moras[[#This Row],[EDAD]])</f>
        <v>57</v>
      </c>
      <c r="P2564" s="14" t="str">
        <f>IF(
    OR(ISBLANK(moras[[#This Row],[TIPO_ASEGURAMIENTO]]), moras[[#This Row],[TIPO_ASEGURAMIENTO]]=""),
    EDA!$A$32,
    moras[[#This Row],[TIPO_ASEGURAMIENTO]]
)</f>
        <v>ASALARIADO</v>
      </c>
    </row>
    <row r="2565" spans="1:16" x14ac:dyDescent="0.3">
      <c r="A2565">
        <v>2564</v>
      </c>
      <c r="B2565" t="s">
        <v>15</v>
      </c>
      <c r="C2565">
        <v>681819</v>
      </c>
      <c r="D2565" t="s">
        <v>10</v>
      </c>
      <c r="E2565" t="s">
        <v>11</v>
      </c>
      <c r="F2565" t="s">
        <v>12</v>
      </c>
      <c r="G2565" t="s">
        <v>13</v>
      </c>
      <c r="H2565" t="s">
        <v>13</v>
      </c>
      <c r="I2565">
        <v>40</v>
      </c>
      <c r="J2565">
        <f>ABS((I2565-EDA!$A$15)/EDA!$B$15)</f>
        <v>0.13971034729555773</v>
      </c>
      <c r="K2565" t="str">
        <f t="shared" si="40"/>
        <v>No</v>
      </c>
      <c r="L2565">
        <f>ABS((C2565-EDA!$F$15)/EDA!$G$15)</f>
        <v>0.36430802274346974</v>
      </c>
      <c r="M2565" t="str">
        <f>IF(moras[[#This Row],[Z-Score Salario]]&gt;1.96, "Sí", "No")</f>
        <v>No</v>
      </c>
      <c r="N2565" s="14">
        <f>IF(ISBLANK(moras[[#This Row],[SALARIO]]), EDA!$M$8, moras[[#This Row],[SALARIO]])</f>
        <v>681819</v>
      </c>
      <c r="O2565" s="14">
        <f xml:space="preserve"> IF(ISBLANK(moras[[#This Row],[EDAD]]), EDA!$E$8, moras[[#This Row],[EDAD]])</f>
        <v>40</v>
      </c>
      <c r="P2565" s="14" t="str">
        <f>IF(
    OR(ISBLANK(moras[[#This Row],[TIPO_ASEGURAMIENTO]]), moras[[#This Row],[TIPO_ASEGURAMIENTO]]=""),
    EDA!$A$32,
    moras[[#This Row],[TIPO_ASEGURAMIENTO]]
)</f>
        <v>ASALARIADO</v>
      </c>
    </row>
    <row r="2566" spans="1:16" x14ac:dyDescent="0.3">
      <c r="A2566">
        <v>2565</v>
      </c>
      <c r="B2566" t="s">
        <v>9</v>
      </c>
      <c r="C2566">
        <v>28760993</v>
      </c>
      <c r="D2566" t="s">
        <v>10</v>
      </c>
      <c r="E2566" t="s">
        <v>16</v>
      </c>
      <c r="F2566" t="s">
        <v>12</v>
      </c>
      <c r="G2566" t="s">
        <v>13</v>
      </c>
      <c r="H2566" t="s">
        <v>13</v>
      </c>
      <c r="I2566">
        <v>33</v>
      </c>
      <c r="J2566">
        <f>ABS((I2566-EDA!$A$15)/EDA!$B$15)</f>
        <v>0.63373765783552027</v>
      </c>
      <c r="K2566" t="str">
        <f t="shared" si="40"/>
        <v>No</v>
      </c>
      <c r="L2566">
        <f>ABS((C2566-EDA!$F$15)/EDA!$G$15)</f>
        <v>0.10294925404794353</v>
      </c>
      <c r="M2566" t="str">
        <f>IF(moras[[#This Row],[Z-Score Salario]]&gt;1.96, "Sí", "No")</f>
        <v>No</v>
      </c>
      <c r="N2566" s="14">
        <f>IF(ISBLANK(moras[[#This Row],[SALARIO]]), EDA!$M$8, moras[[#This Row],[SALARIO]])</f>
        <v>28760993</v>
      </c>
      <c r="O2566" s="14">
        <f xml:space="preserve"> IF(ISBLANK(moras[[#This Row],[EDAD]]), EDA!$E$8, moras[[#This Row],[EDAD]])</f>
        <v>33</v>
      </c>
      <c r="P2566" s="14" t="str">
        <f>IF(
    OR(ISBLANK(moras[[#This Row],[TIPO_ASEGURAMIENTO]]), moras[[#This Row],[TIPO_ASEGURAMIENTO]]=""),
    EDA!$A$32,
    moras[[#This Row],[TIPO_ASEGURAMIENTO]]
)</f>
        <v>ASALARIADO</v>
      </c>
    </row>
    <row r="2567" spans="1:16" x14ac:dyDescent="0.3">
      <c r="A2567">
        <v>2566</v>
      </c>
      <c r="B2567" t="s">
        <v>9</v>
      </c>
      <c r="C2567">
        <v>7114606</v>
      </c>
      <c r="D2567" t="s">
        <v>10</v>
      </c>
      <c r="E2567" t="s">
        <v>11</v>
      </c>
      <c r="F2567" t="s">
        <v>12</v>
      </c>
      <c r="G2567" t="s">
        <v>13</v>
      </c>
      <c r="H2567" t="s">
        <v>13</v>
      </c>
      <c r="I2567">
        <v>43</v>
      </c>
      <c r="J2567">
        <f>ABS((I2567-EDA!$A$15)/EDA!$B$15)</f>
        <v>7.2015642935854773E-2</v>
      </c>
      <c r="K2567" t="str">
        <f t="shared" si="40"/>
        <v>No</v>
      </c>
      <c r="L2567">
        <f>ABS((C2567-EDA!$F$15)/EDA!$G$15)</f>
        <v>0.25726190608066457</v>
      </c>
      <c r="M2567" t="str">
        <f>IF(moras[[#This Row],[Z-Score Salario]]&gt;1.96, "Sí", "No")</f>
        <v>No</v>
      </c>
      <c r="N2567" s="14">
        <f>IF(ISBLANK(moras[[#This Row],[SALARIO]]), EDA!$M$8, moras[[#This Row],[SALARIO]])</f>
        <v>7114606</v>
      </c>
      <c r="O2567" s="14">
        <f xml:space="preserve"> IF(ISBLANK(moras[[#This Row],[EDAD]]), EDA!$E$8, moras[[#This Row],[EDAD]])</f>
        <v>43</v>
      </c>
      <c r="P2567" s="14" t="str">
        <f>IF(
    OR(ISBLANK(moras[[#This Row],[TIPO_ASEGURAMIENTO]]), moras[[#This Row],[TIPO_ASEGURAMIENTO]]=""),
    EDA!$A$32,
    moras[[#This Row],[TIPO_ASEGURAMIENTO]]
)</f>
        <v>ASALARIADO</v>
      </c>
    </row>
    <row r="2568" spans="1:16" x14ac:dyDescent="0.3">
      <c r="A2568">
        <v>2567</v>
      </c>
      <c r="B2568" t="s">
        <v>9</v>
      </c>
      <c r="C2568">
        <v>304357</v>
      </c>
      <c r="D2568" t="s">
        <v>18</v>
      </c>
      <c r="E2568" t="s">
        <v>16</v>
      </c>
      <c r="F2568" t="s">
        <v>12</v>
      </c>
      <c r="G2568" t="s">
        <v>13</v>
      </c>
      <c r="H2568" t="s">
        <v>12</v>
      </c>
      <c r="I2568">
        <v>27</v>
      </c>
      <c r="J2568">
        <f>ABS((I2568-EDA!$A$15)/EDA!$B$15)</f>
        <v>1.0571896382983452</v>
      </c>
      <c r="K2568" t="str">
        <f t="shared" si="40"/>
        <v>No</v>
      </c>
      <c r="L2568">
        <f>ABS((C2568-EDA!$F$15)/EDA!$G$15)</f>
        <v>0.37058925687849953</v>
      </c>
      <c r="M2568" t="str">
        <f>IF(moras[[#This Row],[Z-Score Salario]]&gt;1.96, "Sí", "No")</f>
        <v>No</v>
      </c>
      <c r="N2568" s="14">
        <f>IF(ISBLANK(moras[[#This Row],[SALARIO]]), EDA!$M$8, moras[[#This Row],[SALARIO]])</f>
        <v>304357</v>
      </c>
      <c r="O2568" s="14">
        <f xml:space="preserve"> IF(ISBLANK(moras[[#This Row],[EDAD]]), EDA!$E$8, moras[[#This Row],[EDAD]])</f>
        <v>27</v>
      </c>
      <c r="P2568" s="14" t="str">
        <f>IF(
    OR(ISBLANK(moras[[#This Row],[TIPO_ASEGURAMIENTO]]), moras[[#This Row],[TIPO_ASEGURAMIENTO]]=""),
    EDA!$A$32,
    moras[[#This Row],[TIPO_ASEGURAMIENTO]]
)</f>
        <v>TRABAJADOR INDEPENDIENTE</v>
      </c>
    </row>
    <row r="2569" spans="1:16" x14ac:dyDescent="0.3">
      <c r="A2569">
        <v>2568</v>
      </c>
      <c r="B2569" t="s">
        <v>9</v>
      </c>
      <c r="C2569">
        <v>35954427</v>
      </c>
      <c r="D2569" t="s">
        <v>21</v>
      </c>
      <c r="E2569" t="s">
        <v>16</v>
      </c>
      <c r="F2569" t="s">
        <v>12</v>
      </c>
      <c r="G2569" t="s">
        <v>12</v>
      </c>
      <c r="H2569" t="s">
        <v>13</v>
      </c>
      <c r="I2569">
        <v>28</v>
      </c>
      <c r="J2569">
        <f>ABS((I2569-EDA!$A$15)/EDA!$B$15)</f>
        <v>0.98661430822120777</v>
      </c>
      <c r="K2569" t="str">
        <f t="shared" si="40"/>
        <v>No</v>
      </c>
      <c r="L2569">
        <f>ABS((C2569-EDA!$F$15)/EDA!$G$15)</f>
        <v>0.22265307374074372</v>
      </c>
      <c r="M2569" t="str">
        <f>IF(moras[[#This Row],[Z-Score Salario]]&gt;1.96, "Sí", "No")</f>
        <v>No</v>
      </c>
      <c r="N2569" s="14">
        <f>IF(ISBLANK(moras[[#This Row],[SALARIO]]), EDA!$M$8, moras[[#This Row],[SALARIO]])</f>
        <v>35954427</v>
      </c>
      <c r="O2569" s="14">
        <f xml:space="preserve"> IF(ISBLANK(moras[[#This Row],[EDAD]]), EDA!$E$8, moras[[#This Row],[EDAD]])</f>
        <v>28</v>
      </c>
      <c r="P2569" s="14" t="str">
        <f>IF(
    OR(ISBLANK(moras[[#This Row],[TIPO_ASEGURAMIENTO]]), moras[[#This Row],[TIPO_ASEGURAMIENTO]]=""),
    EDA!$A$32,
    moras[[#This Row],[TIPO_ASEGURAMIENTO]]
)</f>
        <v>CONVENIOS ESPECIALES DE ASEGURADOS VOLUNTARIOS</v>
      </c>
    </row>
    <row r="2570" spans="1:16" x14ac:dyDescent="0.3">
      <c r="A2570">
        <v>2569</v>
      </c>
      <c r="B2570" t="s">
        <v>9</v>
      </c>
      <c r="C2570">
        <v>145000</v>
      </c>
      <c r="D2570" t="s">
        <v>10</v>
      </c>
      <c r="E2570" t="s">
        <v>16</v>
      </c>
      <c r="F2570" t="s">
        <v>12</v>
      </c>
      <c r="G2570" t="s">
        <v>13</v>
      </c>
      <c r="H2570" t="s">
        <v>13</v>
      </c>
      <c r="I2570">
        <v>63</v>
      </c>
      <c r="J2570">
        <f>ABS((I2570-EDA!$A$15)/EDA!$B$15)</f>
        <v>1.4835222444786049</v>
      </c>
      <c r="K2570" t="str">
        <f t="shared" si="40"/>
        <v>No</v>
      </c>
      <c r="L2570">
        <f>ABS((C2570-EDA!$F$15)/EDA!$G$15)</f>
        <v>0.3732410698505495</v>
      </c>
      <c r="M2570" t="str">
        <f>IF(moras[[#This Row],[Z-Score Salario]]&gt;1.96, "Sí", "No")</f>
        <v>No</v>
      </c>
      <c r="N2570" s="14">
        <f>IF(ISBLANK(moras[[#This Row],[SALARIO]]), EDA!$M$8, moras[[#This Row],[SALARIO]])</f>
        <v>145000</v>
      </c>
      <c r="O2570" s="14">
        <f xml:space="preserve"> IF(ISBLANK(moras[[#This Row],[EDAD]]), EDA!$E$8, moras[[#This Row],[EDAD]])</f>
        <v>63</v>
      </c>
      <c r="P2570" s="14" t="str">
        <f>IF(
    OR(ISBLANK(moras[[#This Row],[TIPO_ASEGURAMIENTO]]), moras[[#This Row],[TIPO_ASEGURAMIENTO]]=""),
    EDA!$A$32,
    moras[[#This Row],[TIPO_ASEGURAMIENTO]]
)</f>
        <v>ASALARIADO</v>
      </c>
    </row>
    <row r="2571" spans="1:16" x14ac:dyDescent="0.3">
      <c r="A2571">
        <v>2570</v>
      </c>
      <c r="B2571" t="s">
        <v>9</v>
      </c>
      <c r="C2571">
        <v>634623</v>
      </c>
      <c r="D2571" t="s">
        <v>14</v>
      </c>
      <c r="E2571" t="s">
        <v>11</v>
      </c>
      <c r="F2571" t="s">
        <v>12</v>
      </c>
      <c r="G2571" t="s">
        <v>13</v>
      </c>
      <c r="H2571" t="s">
        <v>13</v>
      </c>
      <c r="I2571">
        <v>56</v>
      </c>
      <c r="J2571">
        <f>ABS((I2571-EDA!$A$15)/EDA!$B$15)</f>
        <v>0.9894949339386423</v>
      </c>
      <c r="K2571" t="str">
        <f t="shared" si="40"/>
        <v>No</v>
      </c>
      <c r="L2571">
        <f>ABS((C2571-EDA!$F$15)/EDA!$G$15)</f>
        <v>0.36509339749970182</v>
      </c>
      <c r="M2571" t="str">
        <f>IF(moras[[#This Row],[Z-Score Salario]]&gt;1.96, "Sí", "No")</f>
        <v>No</v>
      </c>
      <c r="N2571" s="14">
        <f>IF(ISBLANK(moras[[#This Row],[SALARIO]]), EDA!$M$8, moras[[#This Row],[SALARIO]])</f>
        <v>634623</v>
      </c>
      <c r="O2571" s="14">
        <f xml:space="preserve"> IF(ISBLANK(moras[[#This Row],[EDAD]]), EDA!$E$8, moras[[#This Row],[EDAD]])</f>
        <v>56</v>
      </c>
      <c r="P2571" s="14" t="str">
        <f>IF(
    OR(ISBLANK(moras[[#This Row],[TIPO_ASEGURAMIENTO]]), moras[[#This Row],[TIPO_ASEGURAMIENTO]]=""),
    EDA!$A$32,
    moras[[#This Row],[TIPO_ASEGURAMIENTO]]
)</f>
        <v>PENSIONADOS EN SU PROPIO SISTEMA</v>
      </c>
    </row>
    <row r="2572" spans="1:16" x14ac:dyDescent="0.3">
      <c r="A2572">
        <v>2571</v>
      </c>
      <c r="B2572" t="s">
        <v>15</v>
      </c>
      <c r="C2572">
        <v>547200</v>
      </c>
      <c r="D2572" t="s">
        <v>10</v>
      </c>
      <c r="E2572" t="s">
        <v>16</v>
      </c>
      <c r="F2572" t="s">
        <v>12</v>
      </c>
      <c r="G2572" t="s">
        <v>13</v>
      </c>
      <c r="H2572" t="s">
        <v>13</v>
      </c>
      <c r="I2572">
        <v>48</v>
      </c>
      <c r="J2572">
        <f>ABS((I2572-EDA!$A$15)/EDA!$B$15)</f>
        <v>0.42489229332154227</v>
      </c>
      <c r="K2572" t="str">
        <f t="shared" si="40"/>
        <v>No</v>
      </c>
      <c r="L2572">
        <f>ABS((C2572-EDA!$F$15)/EDA!$G$15)</f>
        <v>0.36654817793266381</v>
      </c>
      <c r="M2572" t="str">
        <f>IF(moras[[#This Row],[Z-Score Salario]]&gt;1.96, "Sí", "No")</f>
        <v>No</v>
      </c>
      <c r="N2572" s="14">
        <f>IF(ISBLANK(moras[[#This Row],[SALARIO]]), EDA!$M$8, moras[[#This Row],[SALARIO]])</f>
        <v>547200</v>
      </c>
      <c r="O2572" s="14">
        <f xml:space="preserve"> IF(ISBLANK(moras[[#This Row],[EDAD]]), EDA!$E$8, moras[[#This Row],[EDAD]])</f>
        <v>48</v>
      </c>
      <c r="P2572" s="14" t="str">
        <f>IF(
    OR(ISBLANK(moras[[#This Row],[TIPO_ASEGURAMIENTO]]), moras[[#This Row],[TIPO_ASEGURAMIENTO]]=""),
    EDA!$A$32,
    moras[[#This Row],[TIPO_ASEGURAMIENTO]]
)</f>
        <v>ASALARIADO</v>
      </c>
    </row>
    <row r="2573" spans="1:16" x14ac:dyDescent="0.3">
      <c r="A2573">
        <v>2572</v>
      </c>
      <c r="B2573" t="s">
        <v>15</v>
      </c>
      <c r="C2573">
        <v>1044273</v>
      </c>
      <c r="D2573" t="s">
        <v>10</v>
      </c>
      <c r="E2573" t="s">
        <v>11</v>
      </c>
      <c r="F2573" t="s">
        <v>12</v>
      </c>
      <c r="G2573" t="s">
        <v>13</v>
      </c>
      <c r="H2573" t="s">
        <v>12</v>
      </c>
      <c r="I2573">
        <v>33</v>
      </c>
      <c r="J2573">
        <f>ABS((I2573-EDA!$A$15)/EDA!$B$15)</f>
        <v>0.63373765783552027</v>
      </c>
      <c r="K2573" t="str">
        <f t="shared" si="40"/>
        <v>No</v>
      </c>
      <c r="L2573">
        <f>ABS((C2573-EDA!$F$15)/EDA!$G$15)</f>
        <v>0.35827653232277024</v>
      </c>
      <c r="M2573" t="str">
        <f>IF(moras[[#This Row],[Z-Score Salario]]&gt;1.96, "Sí", "No")</f>
        <v>No</v>
      </c>
      <c r="N2573" s="14">
        <f>IF(ISBLANK(moras[[#This Row],[SALARIO]]), EDA!$M$8, moras[[#This Row],[SALARIO]])</f>
        <v>1044273</v>
      </c>
      <c r="O2573" s="14">
        <f xml:space="preserve"> IF(ISBLANK(moras[[#This Row],[EDAD]]), EDA!$E$8, moras[[#This Row],[EDAD]])</f>
        <v>33</v>
      </c>
      <c r="P2573" s="14" t="str">
        <f>IF(
    OR(ISBLANK(moras[[#This Row],[TIPO_ASEGURAMIENTO]]), moras[[#This Row],[TIPO_ASEGURAMIENTO]]=""),
    EDA!$A$32,
    moras[[#This Row],[TIPO_ASEGURAMIENTO]]
)</f>
        <v>ASALARIADO</v>
      </c>
    </row>
    <row r="2574" spans="1:16" x14ac:dyDescent="0.3">
      <c r="A2574">
        <v>2573</v>
      </c>
      <c r="B2574" t="s">
        <v>9</v>
      </c>
      <c r="C2574">
        <v>32983681</v>
      </c>
      <c r="D2574" t="s">
        <v>10</v>
      </c>
      <c r="E2574" t="s">
        <v>16</v>
      </c>
      <c r="F2574" t="s">
        <v>12</v>
      </c>
      <c r="G2574" t="s">
        <v>13</v>
      </c>
      <c r="H2574" t="s">
        <v>13</v>
      </c>
      <c r="I2574">
        <v>55</v>
      </c>
      <c r="J2574">
        <f>ABS((I2574-EDA!$A$15)/EDA!$B$15)</f>
        <v>0.91891960386150484</v>
      </c>
      <c r="K2574" t="str">
        <f t="shared" si="40"/>
        <v>No</v>
      </c>
      <c r="L2574">
        <f>ABS((C2574-EDA!$F$15)/EDA!$G$15)</f>
        <v>0.17321776321490759</v>
      </c>
      <c r="M2574" t="str">
        <f>IF(moras[[#This Row],[Z-Score Salario]]&gt;1.96, "Sí", "No")</f>
        <v>No</v>
      </c>
      <c r="N2574" s="14">
        <f>IF(ISBLANK(moras[[#This Row],[SALARIO]]), EDA!$M$8, moras[[#This Row],[SALARIO]])</f>
        <v>32983681</v>
      </c>
      <c r="O2574" s="14">
        <f xml:space="preserve"> IF(ISBLANK(moras[[#This Row],[EDAD]]), EDA!$E$8, moras[[#This Row],[EDAD]])</f>
        <v>55</v>
      </c>
      <c r="P2574" s="14" t="str">
        <f>IF(
    OR(ISBLANK(moras[[#This Row],[TIPO_ASEGURAMIENTO]]), moras[[#This Row],[TIPO_ASEGURAMIENTO]]=""),
    EDA!$A$32,
    moras[[#This Row],[TIPO_ASEGURAMIENTO]]
)</f>
        <v>ASALARIADO</v>
      </c>
    </row>
    <row r="2575" spans="1:16" x14ac:dyDescent="0.3">
      <c r="A2575">
        <v>2574</v>
      </c>
      <c r="B2575" t="s">
        <v>9</v>
      </c>
      <c r="C2575">
        <v>297046</v>
      </c>
      <c r="D2575" t="s">
        <v>18</v>
      </c>
      <c r="E2575" t="s">
        <v>16</v>
      </c>
      <c r="F2575" t="s">
        <v>12</v>
      </c>
      <c r="G2575" t="s">
        <v>13</v>
      </c>
      <c r="H2575" t="s">
        <v>13</v>
      </c>
      <c r="I2575">
        <v>68</v>
      </c>
      <c r="J2575">
        <f>ABS((I2575-EDA!$A$15)/EDA!$B$15)</f>
        <v>1.8363988948642924</v>
      </c>
      <c r="K2575" t="str">
        <f t="shared" si="40"/>
        <v>No</v>
      </c>
      <c r="L2575">
        <f>ABS((C2575-EDA!$F$15)/EDA!$G$15)</f>
        <v>0.37071091707942361</v>
      </c>
      <c r="M2575" t="str">
        <f>IF(moras[[#This Row],[Z-Score Salario]]&gt;1.96, "Sí", "No")</f>
        <v>No</v>
      </c>
      <c r="N2575" s="14">
        <f>IF(ISBLANK(moras[[#This Row],[SALARIO]]), EDA!$M$8, moras[[#This Row],[SALARIO]])</f>
        <v>297046</v>
      </c>
      <c r="O2575" s="14">
        <f xml:space="preserve"> IF(ISBLANK(moras[[#This Row],[EDAD]]), EDA!$E$8, moras[[#This Row],[EDAD]])</f>
        <v>68</v>
      </c>
      <c r="P2575" s="14" t="str">
        <f>IF(
    OR(ISBLANK(moras[[#This Row],[TIPO_ASEGURAMIENTO]]), moras[[#This Row],[TIPO_ASEGURAMIENTO]]=""),
    EDA!$A$32,
    moras[[#This Row],[TIPO_ASEGURAMIENTO]]
)</f>
        <v>TRABAJADOR INDEPENDIENTE</v>
      </c>
    </row>
    <row r="2576" spans="1:16" x14ac:dyDescent="0.3">
      <c r="A2576">
        <v>2575</v>
      </c>
      <c r="B2576" t="s">
        <v>9</v>
      </c>
      <c r="C2576">
        <v>47082331</v>
      </c>
      <c r="D2576" t="s">
        <v>10</v>
      </c>
      <c r="E2576" t="s">
        <v>16</v>
      </c>
      <c r="F2576" t="s">
        <v>12</v>
      </c>
      <c r="G2576" t="s">
        <v>13</v>
      </c>
      <c r="H2576" t="s">
        <v>13</v>
      </c>
      <c r="I2576">
        <v>34</v>
      </c>
      <c r="J2576">
        <f>ABS((I2576-EDA!$A$15)/EDA!$B$15)</f>
        <v>0.56316232775838282</v>
      </c>
      <c r="K2576" t="str">
        <f t="shared" si="40"/>
        <v>No</v>
      </c>
      <c r="L2576">
        <f>ABS((C2576-EDA!$F$15)/EDA!$G$15)</f>
        <v>0.40782925162390632</v>
      </c>
      <c r="M2576" t="str">
        <f>IF(moras[[#This Row],[Z-Score Salario]]&gt;1.96, "Sí", "No")</f>
        <v>No</v>
      </c>
      <c r="N2576" s="14">
        <f>IF(ISBLANK(moras[[#This Row],[SALARIO]]), EDA!$M$8, moras[[#This Row],[SALARIO]])</f>
        <v>47082331</v>
      </c>
      <c r="O2576" s="14">
        <f xml:space="preserve"> IF(ISBLANK(moras[[#This Row],[EDAD]]), EDA!$E$8, moras[[#This Row],[EDAD]])</f>
        <v>34</v>
      </c>
      <c r="P2576" s="14" t="str">
        <f>IF(
    OR(ISBLANK(moras[[#This Row],[TIPO_ASEGURAMIENTO]]), moras[[#This Row],[TIPO_ASEGURAMIENTO]]=""),
    EDA!$A$32,
    moras[[#This Row],[TIPO_ASEGURAMIENTO]]
)</f>
        <v>ASALARIADO</v>
      </c>
    </row>
    <row r="2577" spans="1:16" x14ac:dyDescent="0.3">
      <c r="A2577">
        <v>2576</v>
      </c>
      <c r="B2577" t="s">
        <v>15</v>
      </c>
      <c r="C2577">
        <v>100290002</v>
      </c>
      <c r="D2577" t="s">
        <v>10</v>
      </c>
      <c r="E2577" t="s">
        <v>11</v>
      </c>
      <c r="F2577" t="s">
        <v>12</v>
      </c>
      <c r="G2577" t="s">
        <v>13</v>
      </c>
      <c r="H2577" t="s">
        <v>13</v>
      </c>
      <c r="I2577">
        <v>46</v>
      </c>
      <c r="J2577">
        <f>ABS((I2577-EDA!$A$15)/EDA!$B$15)</f>
        <v>0.2837416331672673</v>
      </c>
      <c r="K2577" t="str">
        <f t="shared" si="40"/>
        <v>No</v>
      </c>
      <c r="L2577">
        <f>ABS((C2577-EDA!$F$15)/EDA!$G$15)</f>
        <v>1.2932424570078485</v>
      </c>
      <c r="M2577" t="str">
        <f>IF(moras[[#This Row],[Z-Score Salario]]&gt;1.96, "Sí", "No")</f>
        <v>No</v>
      </c>
      <c r="N2577" s="14">
        <f>IF(ISBLANK(moras[[#This Row],[SALARIO]]), EDA!$M$8, moras[[#This Row],[SALARIO]])</f>
        <v>100290002</v>
      </c>
      <c r="O2577" s="14">
        <f xml:space="preserve"> IF(ISBLANK(moras[[#This Row],[EDAD]]), EDA!$E$8, moras[[#This Row],[EDAD]])</f>
        <v>46</v>
      </c>
      <c r="P2577" s="14" t="str">
        <f>IF(
    OR(ISBLANK(moras[[#This Row],[TIPO_ASEGURAMIENTO]]), moras[[#This Row],[TIPO_ASEGURAMIENTO]]=""),
    EDA!$A$32,
    moras[[#This Row],[TIPO_ASEGURAMIENTO]]
)</f>
        <v>ASALARIADO</v>
      </c>
    </row>
    <row r="2578" spans="1:16" x14ac:dyDescent="0.3">
      <c r="A2578">
        <v>2577</v>
      </c>
      <c r="B2578" t="s">
        <v>9</v>
      </c>
      <c r="C2578">
        <v>49014074</v>
      </c>
      <c r="D2578" t="s">
        <v>10</v>
      </c>
      <c r="E2578" t="s">
        <v>16</v>
      </c>
      <c r="F2578" t="s">
        <v>12</v>
      </c>
      <c r="G2578" t="s">
        <v>13</v>
      </c>
      <c r="H2578" t="s">
        <v>13</v>
      </c>
      <c r="I2578">
        <v>22</v>
      </c>
      <c r="J2578">
        <f>ABS((I2578-EDA!$A$15)/EDA!$B$15)</f>
        <v>1.4100662886840327</v>
      </c>
      <c r="K2578" t="str">
        <f t="shared" si="40"/>
        <v>No</v>
      </c>
      <c r="L2578">
        <f>ABS((C2578-EDA!$F$15)/EDA!$G$15)</f>
        <v>0.43997481878485184</v>
      </c>
      <c r="M2578" t="str">
        <f>IF(moras[[#This Row],[Z-Score Salario]]&gt;1.96, "Sí", "No")</f>
        <v>No</v>
      </c>
      <c r="N2578" s="14">
        <f>IF(ISBLANK(moras[[#This Row],[SALARIO]]), EDA!$M$8, moras[[#This Row],[SALARIO]])</f>
        <v>49014074</v>
      </c>
      <c r="O2578" s="14">
        <f xml:space="preserve"> IF(ISBLANK(moras[[#This Row],[EDAD]]), EDA!$E$8, moras[[#This Row],[EDAD]])</f>
        <v>22</v>
      </c>
      <c r="P2578" s="14" t="str">
        <f>IF(
    OR(ISBLANK(moras[[#This Row],[TIPO_ASEGURAMIENTO]]), moras[[#This Row],[TIPO_ASEGURAMIENTO]]=""),
    EDA!$A$32,
    moras[[#This Row],[TIPO_ASEGURAMIENTO]]
)</f>
        <v>ASALARIADO</v>
      </c>
    </row>
    <row r="2579" spans="1:16" x14ac:dyDescent="0.3">
      <c r="A2579">
        <v>2578</v>
      </c>
      <c r="B2579" t="s">
        <v>9</v>
      </c>
      <c r="C2579">
        <v>386489</v>
      </c>
      <c r="D2579" t="s">
        <v>10</v>
      </c>
      <c r="E2579" t="s">
        <v>16</v>
      </c>
      <c r="F2579" t="s">
        <v>12</v>
      </c>
      <c r="G2579" t="s">
        <v>13</v>
      </c>
      <c r="H2579" t="s">
        <v>13</v>
      </c>
      <c r="I2579">
        <v>23</v>
      </c>
      <c r="J2579">
        <f>ABS((I2579-EDA!$A$15)/EDA!$B$15)</f>
        <v>1.3394909586068953</v>
      </c>
      <c r="K2579" t="str">
        <f t="shared" si="40"/>
        <v>No</v>
      </c>
      <c r="L2579">
        <f>ABS((C2579-EDA!$F$15)/EDA!$G$15)</f>
        <v>0.36922252242051895</v>
      </c>
      <c r="M2579" t="str">
        <f>IF(moras[[#This Row],[Z-Score Salario]]&gt;1.96, "Sí", "No")</f>
        <v>No</v>
      </c>
      <c r="N2579" s="14">
        <f>IF(ISBLANK(moras[[#This Row],[SALARIO]]), EDA!$M$8, moras[[#This Row],[SALARIO]])</f>
        <v>386489</v>
      </c>
      <c r="O2579" s="14">
        <f xml:space="preserve"> IF(ISBLANK(moras[[#This Row],[EDAD]]), EDA!$E$8, moras[[#This Row],[EDAD]])</f>
        <v>23</v>
      </c>
      <c r="P2579" s="14" t="str">
        <f>IF(
    OR(ISBLANK(moras[[#This Row],[TIPO_ASEGURAMIENTO]]), moras[[#This Row],[TIPO_ASEGURAMIENTO]]=""),
    EDA!$A$32,
    moras[[#This Row],[TIPO_ASEGURAMIENTO]]
)</f>
        <v>ASALARIADO</v>
      </c>
    </row>
    <row r="2580" spans="1:16" x14ac:dyDescent="0.3">
      <c r="A2580">
        <v>2579</v>
      </c>
      <c r="B2580" t="s">
        <v>15</v>
      </c>
      <c r="C2580">
        <v>15978723</v>
      </c>
      <c r="D2580" t="s">
        <v>10</v>
      </c>
      <c r="E2580" t="s">
        <v>16</v>
      </c>
      <c r="F2580" t="s">
        <v>12</v>
      </c>
      <c r="G2580" t="s">
        <v>13</v>
      </c>
      <c r="H2580" t="s">
        <v>13</v>
      </c>
      <c r="I2580">
        <v>44</v>
      </c>
      <c r="J2580">
        <f>ABS((I2580-EDA!$A$15)/EDA!$B$15)</f>
        <v>0.14259097301299228</v>
      </c>
      <c r="K2580" t="str">
        <f t="shared" si="40"/>
        <v>No</v>
      </c>
      <c r="L2580">
        <f>ABS((C2580-EDA!$F$15)/EDA!$G$15)</f>
        <v>0.10975674191235708</v>
      </c>
      <c r="M2580" t="str">
        <f>IF(moras[[#This Row],[Z-Score Salario]]&gt;1.96, "Sí", "No")</f>
        <v>No</v>
      </c>
      <c r="N2580" s="14">
        <f>IF(ISBLANK(moras[[#This Row],[SALARIO]]), EDA!$M$8, moras[[#This Row],[SALARIO]])</f>
        <v>15978723</v>
      </c>
      <c r="O2580" s="14">
        <f xml:space="preserve"> IF(ISBLANK(moras[[#This Row],[EDAD]]), EDA!$E$8, moras[[#This Row],[EDAD]])</f>
        <v>44</v>
      </c>
      <c r="P2580" s="14" t="str">
        <f>IF(
    OR(ISBLANK(moras[[#This Row],[TIPO_ASEGURAMIENTO]]), moras[[#This Row],[TIPO_ASEGURAMIENTO]]=""),
    EDA!$A$32,
    moras[[#This Row],[TIPO_ASEGURAMIENTO]]
)</f>
        <v>ASALARIADO</v>
      </c>
    </row>
    <row r="2581" spans="1:16" x14ac:dyDescent="0.3">
      <c r="A2581">
        <v>2580</v>
      </c>
      <c r="B2581" t="s">
        <v>9</v>
      </c>
      <c r="C2581">
        <v>297046</v>
      </c>
      <c r="D2581" t="s">
        <v>17</v>
      </c>
      <c r="E2581" t="s">
        <v>16</v>
      </c>
      <c r="F2581" t="s">
        <v>12</v>
      </c>
      <c r="G2581" t="s">
        <v>13</v>
      </c>
      <c r="H2581" t="s">
        <v>13</v>
      </c>
      <c r="I2581">
        <v>40</v>
      </c>
      <c r="J2581">
        <f>ABS((I2581-EDA!$A$15)/EDA!$B$15)</f>
        <v>0.13971034729555773</v>
      </c>
      <c r="K2581" t="str">
        <f t="shared" si="40"/>
        <v>No</v>
      </c>
      <c r="L2581">
        <f>ABS((C2581-EDA!$F$15)/EDA!$G$15)</f>
        <v>0.37071091707942361</v>
      </c>
      <c r="M2581" t="str">
        <f>IF(moras[[#This Row],[Z-Score Salario]]&gt;1.96, "Sí", "No")</f>
        <v>No</v>
      </c>
      <c r="N2581" s="14">
        <f>IF(ISBLANK(moras[[#This Row],[SALARIO]]), EDA!$M$8, moras[[#This Row],[SALARIO]])</f>
        <v>297046</v>
      </c>
      <c r="O2581" s="14">
        <f xml:space="preserve"> IF(ISBLANK(moras[[#This Row],[EDAD]]), EDA!$E$8, moras[[#This Row],[EDAD]])</f>
        <v>40</v>
      </c>
      <c r="P2581" s="14" t="str">
        <f>IF(
    OR(ISBLANK(moras[[#This Row],[TIPO_ASEGURAMIENTO]]), moras[[#This Row],[TIPO_ASEGURAMIENTO]]=""),
    EDA!$A$32,
    moras[[#This Row],[TIPO_ASEGURAMIENTO]]
)</f>
        <v>ASEGURADO VOLUNTARIO</v>
      </c>
    </row>
    <row r="2582" spans="1:16" x14ac:dyDescent="0.3">
      <c r="A2582">
        <v>2581</v>
      </c>
      <c r="B2582" t="s">
        <v>15</v>
      </c>
      <c r="C2582">
        <v>66186611</v>
      </c>
      <c r="D2582" t="s">
        <v>10</v>
      </c>
      <c r="E2582" t="s">
        <v>16</v>
      </c>
      <c r="F2582" t="s">
        <v>12</v>
      </c>
      <c r="G2582" t="s">
        <v>13</v>
      </c>
      <c r="H2582" t="s">
        <v>13</v>
      </c>
      <c r="I2582">
        <v>28</v>
      </c>
      <c r="J2582">
        <f>ABS((I2582-EDA!$A$15)/EDA!$B$15)</f>
        <v>0.98661430822120777</v>
      </c>
      <c r="K2582" t="str">
        <f t="shared" si="40"/>
        <v>No</v>
      </c>
      <c r="L2582">
        <f>ABS((C2582-EDA!$F$15)/EDA!$G$15)</f>
        <v>0.72573795676817665</v>
      </c>
      <c r="M2582" t="str">
        <f>IF(moras[[#This Row],[Z-Score Salario]]&gt;1.96, "Sí", "No")</f>
        <v>No</v>
      </c>
      <c r="N2582" s="14">
        <f>IF(ISBLANK(moras[[#This Row],[SALARIO]]), EDA!$M$8, moras[[#This Row],[SALARIO]])</f>
        <v>66186611</v>
      </c>
      <c r="O2582" s="14">
        <f xml:space="preserve"> IF(ISBLANK(moras[[#This Row],[EDAD]]), EDA!$E$8, moras[[#This Row],[EDAD]])</f>
        <v>28</v>
      </c>
      <c r="P2582" s="14" t="str">
        <f>IF(
    OR(ISBLANK(moras[[#This Row],[TIPO_ASEGURAMIENTO]]), moras[[#This Row],[TIPO_ASEGURAMIENTO]]=""),
    EDA!$A$32,
    moras[[#This Row],[TIPO_ASEGURAMIENTO]]
)</f>
        <v>ASALARIADO</v>
      </c>
    </row>
    <row r="2583" spans="1:16" x14ac:dyDescent="0.3">
      <c r="A2583">
        <v>2582</v>
      </c>
      <c r="B2583" t="s">
        <v>15</v>
      </c>
      <c r="C2583">
        <v>300611</v>
      </c>
      <c r="D2583" t="s">
        <v>18</v>
      </c>
      <c r="E2583" t="s">
        <v>16</v>
      </c>
      <c r="F2583" t="s">
        <v>12</v>
      </c>
      <c r="G2583" t="s">
        <v>13</v>
      </c>
      <c r="H2583" t="s">
        <v>13</v>
      </c>
      <c r="I2583">
        <v>51</v>
      </c>
      <c r="J2583">
        <f>ABS((I2583-EDA!$A$15)/EDA!$B$15)</f>
        <v>0.6366182835529548</v>
      </c>
      <c r="K2583" t="str">
        <f t="shared" si="40"/>
        <v>No</v>
      </c>
      <c r="L2583">
        <f>ABS((C2583-EDA!$F$15)/EDA!$G$15)</f>
        <v>0.37065159296284661</v>
      </c>
      <c r="M2583" t="str">
        <f>IF(moras[[#This Row],[Z-Score Salario]]&gt;1.96, "Sí", "No")</f>
        <v>No</v>
      </c>
      <c r="N2583" s="14">
        <f>IF(ISBLANK(moras[[#This Row],[SALARIO]]), EDA!$M$8, moras[[#This Row],[SALARIO]])</f>
        <v>300611</v>
      </c>
      <c r="O2583" s="14">
        <f xml:space="preserve"> IF(ISBLANK(moras[[#This Row],[EDAD]]), EDA!$E$8, moras[[#This Row],[EDAD]])</f>
        <v>51</v>
      </c>
      <c r="P2583" s="14" t="str">
        <f>IF(
    OR(ISBLANK(moras[[#This Row],[TIPO_ASEGURAMIENTO]]), moras[[#This Row],[TIPO_ASEGURAMIENTO]]=""),
    EDA!$A$32,
    moras[[#This Row],[TIPO_ASEGURAMIENTO]]
)</f>
        <v>TRABAJADOR INDEPENDIENTE</v>
      </c>
    </row>
    <row r="2584" spans="1:16" x14ac:dyDescent="0.3">
      <c r="A2584">
        <v>2583</v>
      </c>
      <c r="B2584" t="s">
        <v>9</v>
      </c>
      <c r="C2584">
        <v>278030</v>
      </c>
      <c r="D2584" t="s">
        <v>17</v>
      </c>
      <c r="E2584" t="s">
        <v>16</v>
      </c>
      <c r="F2584" t="s">
        <v>12</v>
      </c>
      <c r="G2584" t="s">
        <v>12</v>
      </c>
      <c r="H2584" t="s">
        <v>12</v>
      </c>
      <c r="I2584">
        <v>34</v>
      </c>
      <c r="J2584">
        <f>ABS((I2584-EDA!$A$15)/EDA!$B$15)</f>
        <v>0.56316232775838282</v>
      </c>
      <c r="K2584" t="str">
        <f t="shared" si="40"/>
        <v>No</v>
      </c>
      <c r="L2584">
        <f>ABS((C2584-EDA!$F$15)/EDA!$G$15)</f>
        <v>0.37102735674304993</v>
      </c>
      <c r="M2584" t="str">
        <f>IF(moras[[#This Row],[Z-Score Salario]]&gt;1.96, "Sí", "No")</f>
        <v>No</v>
      </c>
      <c r="N2584" s="14">
        <f>IF(ISBLANK(moras[[#This Row],[SALARIO]]), EDA!$M$8, moras[[#This Row],[SALARIO]])</f>
        <v>278030</v>
      </c>
      <c r="O2584" s="14">
        <f xml:space="preserve"> IF(ISBLANK(moras[[#This Row],[EDAD]]), EDA!$E$8, moras[[#This Row],[EDAD]])</f>
        <v>34</v>
      </c>
      <c r="P2584" s="14" t="str">
        <f>IF(
    OR(ISBLANK(moras[[#This Row],[TIPO_ASEGURAMIENTO]]), moras[[#This Row],[TIPO_ASEGURAMIENTO]]=""),
    EDA!$A$32,
    moras[[#This Row],[TIPO_ASEGURAMIENTO]]
)</f>
        <v>ASEGURADO VOLUNTARIO</v>
      </c>
    </row>
    <row r="2585" spans="1:16" x14ac:dyDescent="0.3">
      <c r="A2585">
        <v>2584</v>
      </c>
      <c r="B2585" t="s">
        <v>15</v>
      </c>
      <c r="C2585">
        <v>1172054</v>
      </c>
      <c r="D2585" t="s">
        <v>14</v>
      </c>
      <c r="E2585" t="s">
        <v>11</v>
      </c>
      <c r="F2585" t="s">
        <v>12</v>
      </c>
      <c r="G2585" t="s">
        <v>13</v>
      </c>
      <c r="H2585" t="s">
        <v>13</v>
      </c>
      <c r="I2585">
        <v>64</v>
      </c>
      <c r="J2585">
        <f>ABS((I2585-EDA!$A$15)/EDA!$B$15)</f>
        <v>1.5540975745557424</v>
      </c>
      <c r="K2585" t="str">
        <f t="shared" si="40"/>
        <v>No</v>
      </c>
      <c r="L2585">
        <f>ABS((C2585-EDA!$F$15)/EDA!$G$15)</f>
        <v>0.35615016628060375</v>
      </c>
      <c r="M2585" t="str">
        <f>IF(moras[[#This Row],[Z-Score Salario]]&gt;1.96, "Sí", "No")</f>
        <v>No</v>
      </c>
      <c r="N2585" s="14">
        <f>IF(ISBLANK(moras[[#This Row],[SALARIO]]), EDA!$M$8, moras[[#This Row],[SALARIO]])</f>
        <v>1172054</v>
      </c>
      <c r="O2585" s="14">
        <f xml:space="preserve"> IF(ISBLANK(moras[[#This Row],[EDAD]]), EDA!$E$8, moras[[#This Row],[EDAD]])</f>
        <v>64</v>
      </c>
      <c r="P2585" s="14" t="str">
        <f>IF(
    OR(ISBLANK(moras[[#This Row],[TIPO_ASEGURAMIENTO]]), moras[[#This Row],[TIPO_ASEGURAMIENTO]]=""),
    EDA!$A$32,
    moras[[#This Row],[TIPO_ASEGURAMIENTO]]
)</f>
        <v>PENSIONADOS EN SU PROPIO SISTEMA</v>
      </c>
    </row>
    <row r="2586" spans="1:16" x14ac:dyDescent="0.3">
      <c r="A2586">
        <v>2585</v>
      </c>
      <c r="B2586" t="s">
        <v>9</v>
      </c>
      <c r="C2586">
        <v>912169</v>
      </c>
      <c r="D2586" t="s">
        <v>10</v>
      </c>
      <c r="E2586" t="s">
        <v>11</v>
      </c>
      <c r="F2586" t="s">
        <v>12</v>
      </c>
      <c r="G2586" t="s">
        <v>13</v>
      </c>
      <c r="H2586" t="s">
        <v>12</v>
      </c>
      <c r="I2586">
        <v>36</v>
      </c>
      <c r="J2586">
        <f>ABS((I2586-EDA!$A$15)/EDA!$B$15)</f>
        <v>0.42201166760410774</v>
      </c>
      <c r="K2586" t="str">
        <f t="shared" si="40"/>
        <v>No</v>
      </c>
      <c r="L2586">
        <f>ABS((C2586-EDA!$F$15)/EDA!$G$15)</f>
        <v>0.36047483613659514</v>
      </c>
      <c r="M2586" t="str">
        <f>IF(moras[[#This Row],[Z-Score Salario]]&gt;1.96, "Sí", "No")</f>
        <v>No</v>
      </c>
      <c r="N2586" s="14">
        <f>IF(ISBLANK(moras[[#This Row],[SALARIO]]), EDA!$M$8, moras[[#This Row],[SALARIO]])</f>
        <v>912169</v>
      </c>
      <c r="O2586" s="14">
        <f xml:space="preserve"> IF(ISBLANK(moras[[#This Row],[EDAD]]), EDA!$E$8, moras[[#This Row],[EDAD]])</f>
        <v>36</v>
      </c>
      <c r="P2586" s="14" t="str">
        <f>IF(
    OR(ISBLANK(moras[[#This Row],[TIPO_ASEGURAMIENTO]]), moras[[#This Row],[TIPO_ASEGURAMIENTO]]=""),
    EDA!$A$32,
    moras[[#This Row],[TIPO_ASEGURAMIENTO]]
)</f>
        <v>ASALARIADO</v>
      </c>
    </row>
    <row r="2587" spans="1:16" x14ac:dyDescent="0.3">
      <c r="A2587">
        <v>2586</v>
      </c>
      <c r="B2587" t="s">
        <v>9</v>
      </c>
      <c r="C2587">
        <v>933638</v>
      </c>
      <c r="D2587" t="s">
        <v>10</v>
      </c>
      <c r="E2587" t="s">
        <v>16</v>
      </c>
      <c r="F2587" t="s">
        <v>12</v>
      </c>
      <c r="G2587" t="s">
        <v>13</v>
      </c>
      <c r="H2587" t="s">
        <v>13</v>
      </c>
      <c r="I2587">
        <v>46</v>
      </c>
      <c r="J2587">
        <f>ABS((I2587-EDA!$A$15)/EDA!$B$15)</f>
        <v>0.2837416331672673</v>
      </c>
      <c r="K2587" t="str">
        <f t="shared" si="40"/>
        <v>No</v>
      </c>
      <c r="L2587">
        <f>ABS((C2587-EDA!$F$15)/EDA!$G$15)</f>
        <v>0.36011757682136614</v>
      </c>
      <c r="M2587" t="str">
        <f>IF(moras[[#This Row],[Z-Score Salario]]&gt;1.96, "Sí", "No")</f>
        <v>No</v>
      </c>
      <c r="N2587" s="14">
        <f>IF(ISBLANK(moras[[#This Row],[SALARIO]]), EDA!$M$8, moras[[#This Row],[SALARIO]])</f>
        <v>933638</v>
      </c>
      <c r="O2587" s="14">
        <f xml:space="preserve"> IF(ISBLANK(moras[[#This Row],[EDAD]]), EDA!$E$8, moras[[#This Row],[EDAD]])</f>
        <v>46</v>
      </c>
      <c r="P2587" s="14" t="str">
        <f>IF(
    OR(ISBLANK(moras[[#This Row],[TIPO_ASEGURAMIENTO]]), moras[[#This Row],[TIPO_ASEGURAMIENTO]]=""),
    EDA!$A$32,
    moras[[#This Row],[TIPO_ASEGURAMIENTO]]
)</f>
        <v>ASALARIADO</v>
      </c>
    </row>
    <row r="2588" spans="1:16" x14ac:dyDescent="0.3">
      <c r="A2588">
        <v>2587</v>
      </c>
      <c r="B2588" t="s">
        <v>9</v>
      </c>
      <c r="C2588">
        <v>762828</v>
      </c>
      <c r="D2588" t="s">
        <v>10</v>
      </c>
      <c r="E2588" t="s">
        <v>11</v>
      </c>
      <c r="F2588" t="s">
        <v>12</v>
      </c>
      <c r="G2588" t="s">
        <v>13</v>
      </c>
      <c r="H2588" t="s">
        <v>12</v>
      </c>
      <c r="I2588">
        <v>60</v>
      </c>
      <c r="J2588">
        <f>ABS((I2588-EDA!$A$15)/EDA!$B$15)</f>
        <v>1.2717962542471923</v>
      </c>
      <c r="K2588" t="str">
        <f t="shared" si="40"/>
        <v>No</v>
      </c>
      <c r="L2588">
        <f>ABS((C2588-EDA!$F$15)/EDA!$G$15)</f>
        <v>0.36295997579822858</v>
      </c>
      <c r="M2588" t="str">
        <f>IF(moras[[#This Row],[Z-Score Salario]]&gt;1.96, "Sí", "No")</f>
        <v>No</v>
      </c>
      <c r="N2588" s="14">
        <f>IF(ISBLANK(moras[[#This Row],[SALARIO]]), EDA!$M$8, moras[[#This Row],[SALARIO]])</f>
        <v>762828</v>
      </c>
      <c r="O2588" s="14">
        <f xml:space="preserve"> IF(ISBLANK(moras[[#This Row],[EDAD]]), EDA!$E$8, moras[[#This Row],[EDAD]])</f>
        <v>60</v>
      </c>
      <c r="P2588" s="14" t="str">
        <f>IF(
    OR(ISBLANK(moras[[#This Row],[TIPO_ASEGURAMIENTO]]), moras[[#This Row],[TIPO_ASEGURAMIENTO]]=""),
    EDA!$A$32,
    moras[[#This Row],[TIPO_ASEGURAMIENTO]]
)</f>
        <v>ASALARIADO</v>
      </c>
    </row>
    <row r="2589" spans="1:16" x14ac:dyDescent="0.3">
      <c r="A2589">
        <v>2588</v>
      </c>
      <c r="B2589" t="s">
        <v>9</v>
      </c>
      <c r="C2589">
        <v>847871</v>
      </c>
      <c r="D2589" t="s">
        <v>18</v>
      </c>
      <c r="E2589" t="s">
        <v>16</v>
      </c>
      <c r="F2589" t="s">
        <v>12</v>
      </c>
      <c r="G2589" t="s">
        <v>13</v>
      </c>
      <c r="H2589" t="s">
        <v>13</v>
      </c>
      <c r="I2589">
        <v>51</v>
      </c>
      <c r="J2589">
        <f>ABS((I2589-EDA!$A$15)/EDA!$B$15)</f>
        <v>0.6366182835529548</v>
      </c>
      <c r="K2589" t="str">
        <f t="shared" si="40"/>
        <v>No</v>
      </c>
      <c r="L2589">
        <f>ABS((C2589-EDA!$F$15)/EDA!$G$15)</f>
        <v>0.36154480024533758</v>
      </c>
      <c r="M2589" t="str">
        <f>IF(moras[[#This Row],[Z-Score Salario]]&gt;1.96, "Sí", "No")</f>
        <v>No</v>
      </c>
      <c r="N2589" s="14">
        <f>IF(ISBLANK(moras[[#This Row],[SALARIO]]), EDA!$M$8, moras[[#This Row],[SALARIO]])</f>
        <v>847871</v>
      </c>
      <c r="O2589" s="14">
        <f xml:space="preserve"> IF(ISBLANK(moras[[#This Row],[EDAD]]), EDA!$E$8, moras[[#This Row],[EDAD]])</f>
        <v>51</v>
      </c>
      <c r="P2589" s="14" t="str">
        <f>IF(
    OR(ISBLANK(moras[[#This Row],[TIPO_ASEGURAMIENTO]]), moras[[#This Row],[TIPO_ASEGURAMIENTO]]=""),
    EDA!$A$32,
    moras[[#This Row],[TIPO_ASEGURAMIENTO]]
)</f>
        <v>TRABAJADOR INDEPENDIENTE</v>
      </c>
    </row>
    <row r="2590" spans="1:16" x14ac:dyDescent="0.3">
      <c r="A2590">
        <v>2589</v>
      </c>
      <c r="B2590" t="s">
        <v>15</v>
      </c>
      <c r="C2590">
        <v>38898792</v>
      </c>
      <c r="D2590" t="s">
        <v>10</v>
      </c>
      <c r="E2590" t="s">
        <v>11</v>
      </c>
      <c r="F2590" t="s">
        <v>12</v>
      </c>
      <c r="G2590" t="s">
        <v>13</v>
      </c>
      <c r="H2590" t="s">
        <v>13</v>
      </c>
      <c r="I2590">
        <v>25</v>
      </c>
      <c r="J2590">
        <f>ABS((I2590-EDA!$A$15)/EDA!$B$15)</f>
        <v>1.1983402984526204</v>
      </c>
      <c r="K2590" t="str">
        <f t="shared" si="40"/>
        <v>No</v>
      </c>
      <c r="L2590">
        <f>ABS((C2590-EDA!$F$15)/EDA!$G$15)</f>
        <v>0.27164938580391013</v>
      </c>
      <c r="M2590" t="str">
        <f>IF(moras[[#This Row],[Z-Score Salario]]&gt;1.96, "Sí", "No")</f>
        <v>No</v>
      </c>
      <c r="N2590" s="14">
        <f>IF(ISBLANK(moras[[#This Row],[SALARIO]]), EDA!$M$8, moras[[#This Row],[SALARIO]])</f>
        <v>38898792</v>
      </c>
      <c r="O2590" s="14">
        <f xml:space="preserve"> IF(ISBLANK(moras[[#This Row],[EDAD]]), EDA!$E$8, moras[[#This Row],[EDAD]])</f>
        <v>25</v>
      </c>
      <c r="P2590" s="14" t="str">
        <f>IF(
    OR(ISBLANK(moras[[#This Row],[TIPO_ASEGURAMIENTO]]), moras[[#This Row],[TIPO_ASEGURAMIENTO]]=""),
    EDA!$A$32,
    moras[[#This Row],[TIPO_ASEGURAMIENTO]]
)</f>
        <v>ASALARIADO</v>
      </c>
    </row>
    <row r="2591" spans="1:16" x14ac:dyDescent="0.3">
      <c r="A2591">
        <v>2590</v>
      </c>
      <c r="B2591" t="s">
        <v>9</v>
      </c>
      <c r="C2591">
        <v>348650</v>
      </c>
      <c r="D2591" t="s">
        <v>10</v>
      </c>
      <c r="E2591" t="s">
        <v>16</v>
      </c>
      <c r="F2591" t="s">
        <v>12</v>
      </c>
      <c r="G2591" t="s">
        <v>12</v>
      </c>
      <c r="H2591" t="s">
        <v>13</v>
      </c>
      <c r="I2591">
        <v>52</v>
      </c>
      <c r="J2591">
        <f>ABS((I2591-EDA!$A$15)/EDA!$B$15)</f>
        <v>0.70719361363009237</v>
      </c>
      <c r="K2591" t="str">
        <f t="shared" si="40"/>
        <v>No</v>
      </c>
      <c r="L2591">
        <f>ABS((C2591-EDA!$F$15)/EDA!$G$15)</f>
        <v>0.36985219009153059</v>
      </c>
      <c r="M2591" t="str">
        <f>IF(moras[[#This Row],[Z-Score Salario]]&gt;1.96, "Sí", "No")</f>
        <v>No</v>
      </c>
      <c r="N2591" s="14">
        <f>IF(ISBLANK(moras[[#This Row],[SALARIO]]), EDA!$M$8, moras[[#This Row],[SALARIO]])</f>
        <v>348650</v>
      </c>
      <c r="O2591" s="14">
        <f xml:space="preserve"> IF(ISBLANK(moras[[#This Row],[EDAD]]), EDA!$E$8, moras[[#This Row],[EDAD]])</f>
        <v>52</v>
      </c>
      <c r="P2591" s="14" t="str">
        <f>IF(
    OR(ISBLANK(moras[[#This Row],[TIPO_ASEGURAMIENTO]]), moras[[#This Row],[TIPO_ASEGURAMIENTO]]=""),
    EDA!$A$32,
    moras[[#This Row],[TIPO_ASEGURAMIENTO]]
)</f>
        <v>ASALARIADO</v>
      </c>
    </row>
    <row r="2592" spans="1:16" x14ac:dyDescent="0.3">
      <c r="A2592">
        <v>2591</v>
      </c>
      <c r="B2592" t="s">
        <v>9</v>
      </c>
      <c r="C2592">
        <v>520560</v>
      </c>
      <c r="D2592" t="s">
        <v>10</v>
      </c>
      <c r="E2592" t="s">
        <v>16</v>
      </c>
      <c r="F2592" t="s">
        <v>12</v>
      </c>
      <c r="G2592" t="s">
        <v>13</v>
      </c>
      <c r="H2592" t="s">
        <v>13</v>
      </c>
      <c r="I2592">
        <v>40</v>
      </c>
      <c r="J2592">
        <f>ABS((I2592-EDA!$A$15)/EDA!$B$15)</f>
        <v>0.13971034729555773</v>
      </c>
      <c r="K2592" t="str">
        <f t="shared" si="40"/>
        <v>No</v>
      </c>
      <c r="L2592">
        <f>ABS((C2592-EDA!$F$15)/EDA!$G$15)</f>
        <v>0.36699148633816475</v>
      </c>
      <c r="M2592" t="str">
        <f>IF(moras[[#This Row],[Z-Score Salario]]&gt;1.96, "Sí", "No")</f>
        <v>No</v>
      </c>
      <c r="N2592" s="14">
        <f>IF(ISBLANK(moras[[#This Row],[SALARIO]]), EDA!$M$8, moras[[#This Row],[SALARIO]])</f>
        <v>520560</v>
      </c>
      <c r="O2592" s="14">
        <f xml:space="preserve"> IF(ISBLANK(moras[[#This Row],[EDAD]]), EDA!$E$8, moras[[#This Row],[EDAD]])</f>
        <v>40</v>
      </c>
      <c r="P2592" s="14" t="str">
        <f>IF(
    OR(ISBLANK(moras[[#This Row],[TIPO_ASEGURAMIENTO]]), moras[[#This Row],[TIPO_ASEGURAMIENTO]]=""),
    EDA!$A$32,
    moras[[#This Row],[TIPO_ASEGURAMIENTO]]
)</f>
        <v>ASALARIADO</v>
      </c>
    </row>
    <row r="2593" spans="1:16" x14ac:dyDescent="0.3">
      <c r="A2593">
        <v>2592</v>
      </c>
      <c r="B2593" t="s">
        <v>9</v>
      </c>
      <c r="C2593">
        <v>369500</v>
      </c>
      <c r="D2593" t="s">
        <v>10</v>
      </c>
      <c r="E2593" t="s">
        <v>16</v>
      </c>
      <c r="F2593" t="s">
        <v>12</v>
      </c>
      <c r="G2593" t="s">
        <v>13</v>
      </c>
      <c r="H2593" t="s">
        <v>13</v>
      </c>
      <c r="I2593">
        <v>43</v>
      </c>
      <c r="J2593">
        <f>ABS((I2593-EDA!$A$15)/EDA!$B$15)</f>
        <v>7.2015642935854773E-2</v>
      </c>
      <c r="K2593" t="str">
        <f t="shared" si="40"/>
        <v>No</v>
      </c>
      <c r="L2593">
        <f>ABS((C2593-EDA!$F$15)/EDA!$G$15)</f>
        <v>0.36950523137326124</v>
      </c>
      <c r="M2593" t="str">
        <f>IF(moras[[#This Row],[Z-Score Salario]]&gt;1.96, "Sí", "No")</f>
        <v>No</v>
      </c>
      <c r="N2593" s="14">
        <f>IF(ISBLANK(moras[[#This Row],[SALARIO]]), EDA!$M$8, moras[[#This Row],[SALARIO]])</f>
        <v>369500</v>
      </c>
      <c r="O2593" s="14">
        <f xml:space="preserve"> IF(ISBLANK(moras[[#This Row],[EDAD]]), EDA!$E$8, moras[[#This Row],[EDAD]])</f>
        <v>43</v>
      </c>
      <c r="P2593" s="14" t="str">
        <f>IF(
    OR(ISBLANK(moras[[#This Row],[TIPO_ASEGURAMIENTO]]), moras[[#This Row],[TIPO_ASEGURAMIENTO]]=""),
    EDA!$A$32,
    moras[[#This Row],[TIPO_ASEGURAMIENTO]]
)</f>
        <v>ASALARIADO</v>
      </c>
    </row>
    <row r="2594" spans="1:16" x14ac:dyDescent="0.3">
      <c r="A2594">
        <v>2593</v>
      </c>
      <c r="B2594" t="s">
        <v>9</v>
      </c>
      <c r="C2594">
        <v>1013518</v>
      </c>
      <c r="D2594" t="s">
        <v>10</v>
      </c>
      <c r="E2594" t="s">
        <v>16</v>
      </c>
      <c r="F2594" t="s">
        <v>12</v>
      </c>
      <c r="G2594" t="s">
        <v>13</v>
      </c>
      <c r="H2594" t="s">
        <v>13</v>
      </c>
      <c r="I2594">
        <v>25</v>
      </c>
      <c r="J2594">
        <f>ABS((I2594-EDA!$A$15)/EDA!$B$15)</f>
        <v>1.1983402984526204</v>
      </c>
      <c r="K2594" t="str">
        <f t="shared" si="40"/>
        <v>No</v>
      </c>
      <c r="L2594">
        <f>ABS((C2594-EDA!$F$15)/EDA!$G$15)</f>
        <v>0.35878831723309984</v>
      </c>
      <c r="M2594" t="str">
        <f>IF(moras[[#This Row],[Z-Score Salario]]&gt;1.96, "Sí", "No")</f>
        <v>No</v>
      </c>
      <c r="N2594" s="14">
        <f>IF(ISBLANK(moras[[#This Row],[SALARIO]]), EDA!$M$8, moras[[#This Row],[SALARIO]])</f>
        <v>1013518</v>
      </c>
      <c r="O2594" s="14">
        <f xml:space="preserve"> IF(ISBLANK(moras[[#This Row],[EDAD]]), EDA!$E$8, moras[[#This Row],[EDAD]])</f>
        <v>25</v>
      </c>
      <c r="P2594" s="14" t="str">
        <f>IF(
    OR(ISBLANK(moras[[#This Row],[TIPO_ASEGURAMIENTO]]), moras[[#This Row],[TIPO_ASEGURAMIENTO]]=""),
    EDA!$A$32,
    moras[[#This Row],[TIPO_ASEGURAMIENTO]]
)</f>
        <v>ASALARIADO</v>
      </c>
    </row>
    <row r="2595" spans="1:16" x14ac:dyDescent="0.3">
      <c r="A2595">
        <v>2594</v>
      </c>
      <c r="B2595" t="s">
        <v>9</v>
      </c>
      <c r="C2595">
        <v>308076752</v>
      </c>
      <c r="D2595" t="s">
        <v>10</v>
      </c>
      <c r="E2595" t="s">
        <v>11</v>
      </c>
      <c r="F2595" t="s">
        <v>12</v>
      </c>
      <c r="G2595" t="s">
        <v>13</v>
      </c>
      <c r="H2595" t="s">
        <v>13</v>
      </c>
      <c r="I2595">
        <v>42</v>
      </c>
      <c r="J2595">
        <f>ABS((I2595-EDA!$A$15)/EDA!$B$15)</f>
        <v>1.4403128587172659E-3</v>
      </c>
      <c r="K2595" t="str">
        <f t="shared" si="40"/>
        <v>No</v>
      </c>
      <c r="L2595">
        <f>ABS((C2595-EDA!$F$15)/EDA!$G$15)</f>
        <v>4.7509606562090854</v>
      </c>
      <c r="M2595" t="str">
        <f>IF(moras[[#This Row],[Z-Score Salario]]&gt;1.96, "Sí", "No")</f>
        <v>Sí</v>
      </c>
      <c r="N2595" s="14">
        <f>IF(ISBLANK(moras[[#This Row],[SALARIO]]), EDA!$M$8, moras[[#This Row],[SALARIO]])</f>
        <v>308076752</v>
      </c>
      <c r="O2595" s="14">
        <f xml:space="preserve"> IF(ISBLANK(moras[[#This Row],[EDAD]]), EDA!$E$8, moras[[#This Row],[EDAD]])</f>
        <v>42</v>
      </c>
      <c r="P2595" s="14" t="str">
        <f>IF(
    OR(ISBLANK(moras[[#This Row],[TIPO_ASEGURAMIENTO]]), moras[[#This Row],[TIPO_ASEGURAMIENTO]]=""),
    EDA!$A$32,
    moras[[#This Row],[TIPO_ASEGURAMIENTO]]
)</f>
        <v>ASALARIADO</v>
      </c>
    </row>
    <row r="2596" spans="1:16" x14ac:dyDescent="0.3">
      <c r="A2596">
        <v>2595</v>
      </c>
      <c r="B2596" t="s">
        <v>9</v>
      </c>
      <c r="C2596">
        <v>380217</v>
      </c>
      <c r="D2596" t="s">
        <v>18</v>
      </c>
      <c r="E2596" t="s">
        <v>16</v>
      </c>
      <c r="F2596" t="s">
        <v>12</v>
      </c>
      <c r="G2596" t="s">
        <v>13</v>
      </c>
      <c r="H2596" t="s">
        <v>12</v>
      </c>
      <c r="I2596">
        <v>46</v>
      </c>
      <c r="J2596">
        <f>ABS((I2596-EDA!$A$15)/EDA!$B$15)</f>
        <v>0.2837416331672673</v>
      </c>
      <c r="K2596" t="str">
        <f t="shared" si="40"/>
        <v>No</v>
      </c>
      <c r="L2596">
        <f>ABS((C2596-EDA!$F$15)/EDA!$G$15)</f>
        <v>0.36932689292800025</v>
      </c>
      <c r="M2596" t="str">
        <f>IF(moras[[#This Row],[Z-Score Salario]]&gt;1.96, "Sí", "No")</f>
        <v>No</v>
      </c>
      <c r="N2596" s="14">
        <f>IF(ISBLANK(moras[[#This Row],[SALARIO]]), EDA!$M$8, moras[[#This Row],[SALARIO]])</f>
        <v>380217</v>
      </c>
      <c r="O2596" s="14">
        <f xml:space="preserve"> IF(ISBLANK(moras[[#This Row],[EDAD]]), EDA!$E$8, moras[[#This Row],[EDAD]])</f>
        <v>46</v>
      </c>
      <c r="P2596" s="14" t="str">
        <f>IF(
    OR(ISBLANK(moras[[#This Row],[TIPO_ASEGURAMIENTO]]), moras[[#This Row],[TIPO_ASEGURAMIENTO]]=""),
    EDA!$A$32,
    moras[[#This Row],[TIPO_ASEGURAMIENTO]]
)</f>
        <v>TRABAJADOR INDEPENDIENTE</v>
      </c>
    </row>
    <row r="2597" spans="1:16" x14ac:dyDescent="0.3">
      <c r="A2597">
        <v>2596</v>
      </c>
      <c r="B2597" t="s">
        <v>15</v>
      </c>
      <c r="C2597">
        <v>285000</v>
      </c>
      <c r="D2597" t="s">
        <v>10</v>
      </c>
      <c r="E2597" t="s">
        <v>16</v>
      </c>
      <c r="F2597" t="s">
        <v>12</v>
      </c>
      <c r="G2597" t="s">
        <v>13</v>
      </c>
      <c r="H2597" t="s">
        <v>13</v>
      </c>
      <c r="I2597">
        <v>42</v>
      </c>
      <c r="J2597">
        <f>ABS((I2597-EDA!$A$15)/EDA!$B$15)</f>
        <v>1.4403128587172659E-3</v>
      </c>
      <c r="K2597" t="str">
        <f t="shared" si="40"/>
        <v>No</v>
      </c>
      <c r="L2597">
        <f>ABS((C2597-EDA!$F$15)/EDA!$G$15)</f>
        <v>0.37091137102284188</v>
      </c>
      <c r="M2597" t="str">
        <f>IF(moras[[#This Row],[Z-Score Salario]]&gt;1.96, "Sí", "No")</f>
        <v>No</v>
      </c>
      <c r="N2597" s="14">
        <f>IF(ISBLANK(moras[[#This Row],[SALARIO]]), EDA!$M$8, moras[[#This Row],[SALARIO]])</f>
        <v>285000</v>
      </c>
      <c r="O2597" s="14">
        <f xml:space="preserve"> IF(ISBLANK(moras[[#This Row],[EDAD]]), EDA!$E$8, moras[[#This Row],[EDAD]])</f>
        <v>42</v>
      </c>
      <c r="P2597" s="14" t="str">
        <f>IF(
    OR(ISBLANK(moras[[#This Row],[TIPO_ASEGURAMIENTO]]), moras[[#This Row],[TIPO_ASEGURAMIENTO]]=""),
    EDA!$A$32,
    moras[[#This Row],[TIPO_ASEGURAMIENTO]]
)</f>
        <v>ASALARIADO</v>
      </c>
    </row>
    <row r="2598" spans="1:16" x14ac:dyDescent="0.3">
      <c r="A2598">
        <v>2597</v>
      </c>
      <c r="B2598" t="s">
        <v>9</v>
      </c>
      <c r="C2598">
        <v>169374</v>
      </c>
      <c r="D2598" t="s">
        <v>10</v>
      </c>
      <c r="E2598" t="s">
        <v>16</v>
      </c>
      <c r="F2598" t="s">
        <v>12</v>
      </c>
      <c r="G2598" t="s">
        <v>12</v>
      </c>
      <c r="H2598" t="s">
        <v>12</v>
      </c>
      <c r="I2598">
        <v>44</v>
      </c>
      <c r="J2598">
        <f>ABS((I2598-EDA!$A$15)/EDA!$B$15)</f>
        <v>0.14259097301299228</v>
      </c>
      <c r="K2598" t="str">
        <f t="shared" si="40"/>
        <v>No</v>
      </c>
      <c r="L2598">
        <f>ABS((C2598-EDA!$F$15)/EDA!$G$15)</f>
        <v>0.37283546928464562</v>
      </c>
      <c r="M2598" t="str">
        <f>IF(moras[[#This Row],[Z-Score Salario]]&gt;1.96, "Sí", "No")</f>
        <v>No</v>
      </c>
      <c r="N2598" s="14">
        <f>IF(ISBLANK(moras[[#This Row],[SALARIO]]), EDA!$M$8, moras[[#This Row],[SALARIO]])</f>
        <v>169374</v>
      </c>
      <c r="O2598" s="14">
        <f xml:space="preserve"> IF(ISBLANK(moras[[#This Row],[EDAD]]), EDA!$E$8, moras[[#This Row],[EDAD]])</f>
        <v>44</v>
      </c>
      <c r="P2598" s="14" t="str">
        <f>IF(
    OR(ISBLANK(moras[[#This Row],[TIPO_ASEGURAMIENTO]]), moras[[#This Row],[TIPO_ASEGURAMIENTO]]=""),
    EDA!$A$32,
    moras[[#This Row],[TIPO_ASEGURAMIENTO]]
)</f>
        <v>ASALARIADO</v>
      </c>
    </row>
    <row r="2599" spans="1:16" x14ac:dyDescent="0.3">
      <c r="A2599">
        <v>2598</v>
      </c>
      <c r="B2599" t="s">
        <v>9</v>
      </c>
      <c r="C2599">
        <v>359250</v>
      </c>
      <c r="D2599" t="s">
        <v>10</v>
      </c>
      <c r="E2599" t="s">
        <v>16</v>
      </c>
      <c r="F2599" t="s">
        <v>12</v>
      </c>
      <c r="G2599" t="s">
        <v>13</v>
      </c>
      <c r="H2599" t="s">
        <v>13</v>
      </c>
      <c r="I2599">
        <v>24</v>
      </c>
      <c r="J2599">
        <f>ABS((I2599-EDA!$A$15)/EDA!$B$15)</f>
        <v>1.2689156285297578</v>
      </c>
      <c r="K2599" t="str">
        <f t="shared" si="40"/>
        <v>No</v>
      </c>
      <c r="L2599">
        <f>ABS((C2599-EDA!$F$15)/EDA!$G$15)</f>
        <v>0.36967579860886129</v>
      </c>
      <c r="M2599" t="str">
        <f>IF(moras[[#This Row],[Z-Score Salario]]&gt;1.96, "Sí", "No")</f>
        <v>No</v>
      </c>
      <c r="N2599" s="14">
        <f>IF(ISBLANK(moras[[#This Row],[SALARIO]]), EDA!$M$8, moras[[#This Row],[SALARIO]])</f>
        <v>359250</v>
      </c>
      <c r="O2599" s="14">
        <f xml:space="preserve"> IF(ISBLANK(moras[[#This Row],[EDAD]]), EDA!$E$8, moras[[#This Row],[EDAD]])</f>
        <v>24</v>
      </c>
      <c r="P2599" s="14" t="str">
        <f>IF(
    OR(ISBLANK(moras[[#This Row],[TIPO_ASEGURAMIENTO]]), moras[[#This Row],[TIPO_ASEGURAMIENTO]]=""),
    EDA!$A$32,
    moras[[#This Row],[TIPO_ASEGURAMIENTO]]
)</f>
        <v>ASALARIADO</v>
      </c>
    </row>
    <row r="2600" spans="1:16" x14ac:dyDescent="0.3">
      <c r="A2600">
        <v>2599</v>
      </c>
      <c r="B2600" t="s">
        <v>15</v>
      </c>
      <c r="C2600">
        <v>278030</v>
      </c>
      <c r="D2600" t="s">
        <v>21</v>
      </c>
      <c r="E2600" t="s">
        <v>16</v>
      </c>
      <c r="F2600" t="s">
        <v>12</v>
      </c>
      <c r="G2600" t="s">
        <v>13</v>
      </c>
      <c r="H2600" t="s">
        <v>13</v>
      </c>
      <c r="I2600">
        <v>25</v>
      </c>
      <c r="J2600">
        <f>ABS((I2600-EDA!$A$15)/EDA!$B$15)</f>
        <v>1.1983402984526204</v>
      </c>
      <c r="K2600" t="str">
        <f t="shared" si="40"/>
        <v>No</v>
      </c>
      <c r="L2600">
        <f>ABS((C2600-EDA!$F$15)/EDA!$G$15)</f>
        <v>0.37102735674304993</v>
      </c>
      <c r="M2600" t="str">
        <f>IF(moras[[#This Row],[Z-Score Salario]]&gt;1.96, "Sí", "No")</f>
        <v>No</v>
      </c>
      <c r="N2600" s="14">
        <f>IF(ISBLANK(moras[[#This Row],[SALARIO]]), EDA!$M$8, moras[[#This Row],[SALARIO]])</f>
        <v>278030</v>
      </c>
      <c r="O2600" s="14">
        <f xml:space="preserve"> IF(ISBLANK(moras[[#This Row],[EDAD]]), EDA!$E$8, moras[[#This Row],[EDAD]])</f>
        <v>25</v>
      </c>
      <c r="P2600" s="14" t="str">
        <f>IF(
    OR(ISBLANK(moras[[#This Row],[TIPO_ASEGURAMIENTO]]), moras[[#This Row],[TIPO_ASEGURAMIENTO]]=""),
    EDA!$A$32,
    moras[[#This Row],[TIPO_ASEGURAMIENTO]]
)</f>
        <v>CONVENIOS ESPECIALES DE ASEGURADOS VOLUNTARIOS</v>
      </c>
    </row>
    <row r="2601" spans="1:16" x14ac:dyDescent="0.3">
      <c r="A2601">
        <v>2600</v>
      </c>
      <c r="B2601" t="s">
        <v>9</v>
      </c>
      <c r="C2601">
        <v>517494</v>
      </c>
      <c r="D2601" t="s">
        <v>18</v>
      </c>
      <c r="E2601" t="s">
        <v>16</v>
      </c>
      <c r="F2601" t="s">
        <v>12</v>
      </c>
      <c r="G2601" t="s">
        <v>13</v>
      </c>
      <c r="H2601" t="s">
        <v>12</v>
      </c>
      <c r="I2601">
        <v>38</v>
      </c>
      <c r="J2601">
        <f>ABS((I2601-EDA!$A$15)/EDA!$B$15)</f>
        <v>0.28086100744983278</v>
      </c>
      <c r="K2601" t="str">
        <f t="shared" si="40"/>
        <v>No</v>
      </c>
      <c r="L2601">
        <f>ABS((C2601-EDA!$F$15)/EDA!$G$15)</f>
        <v>0.36704250674249156</v>
      </c>
      <c r="M2601" t="str">
        <f>IF(moras[[#This Row],[Z-Score Salario]]&gt;1.96, "Sí", "No")</f>
        <v>No</v>
      </c>
      <c r="N2601" s="14">
        <f>IF(ISBLANK(moras[[#This Row],[SALARIO]]), EDA!$M$8, moras[[#This Row],[SALARIO]])</f>
        <v>517494</v>
      </c>
      <c r="O2601" s="14">
        <f xml:space="preserve"> IF(ISBLANK(moras[[#This Row],[EDAD]]), EDA!$E$8, moras[[#This Row],[EDAD]])</f>
        <v>38</v>
      </c>
      <c r="P2601" s="14" t="str">
        <f>IF(
    OR(ISBLANK(moras[[#This Row],[TIPO_ASEGURAMIENTO]]), moras[[#This Row],[TIPO_ASEGURAMIENTO]]=""),
    EDA!$A$32,
    moras[[#This Row],[TIPO_ASEGURAMIENTO]]
)</f>
        <v>TRABAJADOR INDEPENDIENTE</v>
      </c>
    </row>
    <row r="2602" spans="1:16" x14ac:dyDescent="0.3">
      <c r="A2602">
        <v>2601</v>
      </c>
      <c r="B2602" t="s">
        <v>9</v>
      </c>
      <c r="C2602">
        <v>300366</v>
      </c>
      <c r="D2602" t="s">
        <v>10</v>
      </c>
      <c r="E2602" t="s">
        <v>16</v>
      </c>
      <c r="F2602" t="s">
        <v>12</v>
      </c>
      <c r="G2602" t="s">
        <v>12</v>
      </c>
      <c r="H2602" t="s">
        <v>13</v>
      </c>
      <c r="I2602">
        <v>25</v>
      </c>
      <c r="J2602">
        <f>ABS((I2602-EDA!$A$15)/EDA!$B$15)</f>
        <v>1.1983402984526204</v>
      </c>
      <c r="K2602" t="str">
        <f t="shared" si="40"/>
        <v>No</v>
      </c>
      <c r="L2602">
        <f>ABS((C2602-EDA!$F$15)/EDA!$G$15)</f>
        <v>0.37065566993579507</v>
      </c>
      <c r="M2602" t="str">
        <f>IF(moras[[#This Row],[Z-Score Salario]]&gt;1.96, "Sí", "No")</f>
        <v>No</v>
      </c>
      <c r="N2602" s="14">
        <f>IF(ISBLANK(moras[[#This Row],[SALARIO]]), EDA!$M$8, moras[[#This Row],[SALARIO]])</f>
        <v>300366</v>
      </c>
      <c r="O2602" s="14">
        <f xml:space="preserve"> IF(ISBLANK(moras[[#This Row],[EDAD]]), EDA!$E$8, moras[[#This Row],[EDAD]])</f>
        <v>25</v>
      </c>
      <c r="P2602" s="14" t="str">
        <f>IF(
    OR(ISBLANK(moras[[#This Row],[TIPO_ASEGURAMIENTO]]), moras[[#This Row],[TIPO_ASEGURAMIENTO]]=""),
    EDA!$A$32,
    moras[[#This Row],[TIPO_ASEGURAMIENTO]]
)</f>
        <v>ASALARIADO</v>
      </c>
    </row>
    <row r="2603" spans="1:16" x14ac:dyDescent="0.3">
      <c r="A2603">
        <v>2602</v>
      </c>
      <c r="B2603" t="s">
        <v>9</v>
      </c>
      <c r="C2603">
        <v>297045</v>
      </c>
      <c r="D2603" t="s">
        <v>18</v>
      </c>
      <c r="E2603" t="s">
        <v>16</v>
      </c>
      <c r="F2603" t="s">
        <v>12</v>
      </c>
      <c r="G2603" t="s">
        <v>13</v>
      </c>
      <c r="H2603" t="s">
        <v>13</v>
      </c>
      <c r="I2603">
        <v>22</v>
      </c>
      <c r="J2603">
        <f>ABS((I2603-EDA!$A$15)/EDA!$B$15)</f>
        <v>1.4100662886840327</v>
      </c>
      <c r="K2603" t="str">
        <f t="shared" si="40"/>
        <v>No</v>
      </c>
      <c r="L2603">
        <f>ABS((C2603-EDA!$F$15)/EDA!$G$15)</f>
        <v>0.37071093372012948</v>
      </c>
      <c r="M2603" t="str">
        <f>IF(moras[[#This Row],[Z-Score Salario]]&gt;1.96, "Sí", "No")</f>
        <v>No</v>
      </c>
      <c r="N2603" s="14">
        <f>IF(ISBLANK(moras[[#This Row],[SALARIO]]), EDA!$M$8, moras[[#This Row],[SALARIO]])</f>
        <v>297045</v>
      </c>
      <c r="O2603" s="14">
        <f xml:space="preserve"> IF(ISBLANK(moras[[#This Row],[EDAD]]), EDA!$E$8, moras[[#This Row],[EDAD]])</f>
        <v>22</v>
      </c>
      <c r="P2603" s="14" t="str">
        <f>IF(
    OR(ISBLANK(moras[[#This Row],[TIPO_ASEGURAMIENTO]]), moras[[#This Row],[TIPO_ASEGURAMIENTO]]=""),
    EDA!$A$32,
    moras[[#This Row],[TIPO_ASEGURAMIENTO]]
)</f>
        <v>TRABAJADOR INDEPENDIENTE</v>
      </c>
    </row>
    <row r="2604" spans="1:16" x14ac:dyDescent="0.3">
      <c r="A2604">
        <v>2603</v>
      </c>
      <c r="B2604" t="s">
        <v>15</v>
      </c>
      <c r="C2604">
        <v>1214327</v>
      </c>
      <c r="D2604" t="s">
        <v>10</v>
      </c>
      <c r="E2604" t="s">
        <v>11</v>
      </c>
      <c r="F2604" t="s">
        <v>12</v>
      </c>
      <c r="G2604" t="s">
        <v>13</v>
      </c>
      <c r="H2604" t="s">
        <v>13</v>
      </c>
      <c r="I2604">
        <v>56</v>
      </c>
      <c r="J2604">
        <f>ABS((I2604-EDA!$A$15)/EDA!$B$15)</f>
        <v>0.9894949339386423</v>
      </c>
      <c r="K2604" t="str">
        <f t="shared" si="40"/>
        <v>No</v>
      </c>
      <c r="L2604">
        <f>ABS((C2604-EDA!$F$15)/EDA!$G$15)</f>
        <v>0.35544671371957742</v>
      </c>
      <c r="M2604" t="str">
        <f>IF(moras[[#This Row],[Z-Score Salario]]&gt;1.96, "Sí", "No")</f>
        <v>No</v>
      </c>
      <c r="N2604" s="14">
        <f>IF(ISBLANK(moras[[#This Row],[SALARIO]]), EDA!$M$8, moras[[#This Row],[SALARIO]])</f>
        <v>1214327</v>
      </c>
      <c r="O2604" s="14">
        <f xml:space="preserve"> IF(ISBLANK(moras[[#This Row],[EDAD]]), EDA!$E$8, moras[[#This Row],[EDAD]])</f>
        <v>56</v>
      </c>
      <c r="P2604" s="14" t="str">
        <f>IF(
    OR(ISBLANK(moras[[#This Row],[TIPO_ASEGURAMIENTO]]), moras[[#This Row],[TIPO_ASEGURAMIENTO]]=""),
    EDA!$A$32,
    moras[[#This Row],[TIPO_ASEGURAMIENTO]]
)</f>
        <v>ASALARIADO</v>
      </c>
    </row>
    <row r="2605" spans="1:16" x14ac:dyDescent="0.3">
      <c r="A2605">
        <v>2604</v>
      </c>
      <c r="B2605" t="s">
        <v>15</v>
      </c>
      <c r="C2605">
        <v>353400</v>
      </c>
      <c r="D2605" t="s">
        <v>10</v>
      </c>
      <c r="E2605" t="s">
        <v>16</v>
      </c>
      <c r="F2605" t="s">
        <v>12</v>
      </c>
      <c r="G2605" t="s">
        <v>12</v>
      </c>
      <c r="H2605" t="s">
        <v>13</v>
      </c>
      <c r="I2605">
        <v>47</v>
      </c>
      <c r="J2605">
        <f>ABS((I2605-EDA!$A$15)/EDA!$B$15)</f>
        <v>0.35431696324440481</v>
      </c>
      <c r="K2605" t="str">
        <f t="shared" si="40"/>
        <v>No</v>
      </c>
      <c r="L2605">
        <f>ABS((C2605-EDA!$F$15)/EDA!$G$15)</f>
        <v>0.36977314673844763</v>
      </c>
      <c r="M2605" t="str">
        <f>IF(moras[[#This Row],[Z-Score Salario]]&gt;1.96, "Sí", "No")</f>
        <v>No</v>
      </c>
      <c r="N2605" s="14">
        <f>IF(ISBLANK(moras[[#This Row],[SALARIO]]), EDA!$M$8, moras[[#This Row],[SALARIO]])</f>
        <v>353400</v>
      </c>
      <c r="O2605" s="14">
        <f xml:space="preserve"> IF(ISBLANK(moras[[#This Row],[EDAD]]), EDA!$E$8, moras[[#This Row],[EDAD]])</f>
        <v>47</v>
      </c>
      <c r="P2605" s="14" t="str">
        <f>IF(
    OR(ISBLANK(moras[[#This Row],[TIPO_ASEGURAMIENTO]]), moras[[#This Row],[TIPO_ASEGURAMIENTO]]=""),
    EDA!$A$32,
    moras[[#This Row],[TIPO_ASEGURAMIENTO]]
)</f>
        <v>ASALARIADO</v>
      </c>
    </row>
    <row r="2606" spans="1:16" x14ac:dyDescent="0.3">
      <c r="A2606">
        <v>2605</v>
      </c>
      <c r="B2606" t="s">
        <v>9</v>
      </c>
      <c r="C2606">
        <v>1614177</v>
      </c>
      <c r="D2606" t="s">
        <v>14</v>
      </c>
      <c r="E2606" t="s">
        <v>11</v>
      </c>
      <c r="F2606" t="s">
        <v>12</v>
      </c>
      <c r="G2606" t="s">
        <v>13</v>
      </c>
      <c r="H2606" t="s">
        <v>13</v>
      </c>
      <c r="I2606">
        <v>56</v>
      </c>
      <c r="J2606">
        <f>ABS((I2606-EDA!$A$15)/EDA!$B$15)</f>
        <v>0.9894949339386423</v>
      </c>
      <c r="K2606" t="str">
        <f t="shared" si="40"/>
        <v>No</v>
      </c>
      <c r="L2606">
        <f>ABS((C2606-EDA!$F$15)/EDA!$G$15)</f>
        <v>0.34879292746058538</v>
      </c>
      <c r="M2606" t="str">
        <f>IF(moras[[#This Row],[Z-Score Salario]]&gt;1.96, "Sí", "No")</f>
        <v>No</v>
      </c>
      <c r="N2606" s="14">
        <f>IF(ISBLANK(moras[[#This Row],[SALARIO]]), EDA!$M$8, moras[[#This Row],[SALARIO]])</f>
        <v>1614177</v>
      </c>
      <c r="O2606" s="14">
        <f xml:space="preserve"> IF(ISBLANK(moras[[#This Row],[EDAD]]), EDA!$E$8, moras[[#This Row],[EDAD]])</f>
        <v>56</v>
      </c>
      <c r="P2606" s="14" t="str">
        <f>IF(
    OR(ISBLANK(moras[[#This Row],[TIPO_ASEGURAMIENTO]]), moras[[#This Row],[TIPO_ASEGURAMIENTO]]=""),
    EDA!$A$32,
    moras[[#This Row],[TIPO_ASEGURAMIENTO]]
)</f>
        <v>PENSIONADOS EN SU PROPIO SISTEMA</v>
      </c>
    </row>
    <row r="2607" spans="1:16" x14ac:dyDescent="0.3">
      <c r="A2607">
        <v>2606</v>
      </c>
      <c r="B2607" t="s">
        <v>15</v>
      </c>
      <c r="C2607">
        <v>1488158</v>
      </c>
      <c r="D2607" t="s">
        <v>10</v>
      </c>
      <c r="E2607" t="s">
        <v>11</v>
      </c>
      <c r="F2607" t="s">
        <v>12</v>
      </c>
      <c r="G2607" t="s">
        <v>13</v>
      </c>
      <c r="H2607" t="s">
        <v>12</v>
      </c>
      <c r="I2607">
        <v>41</v>
      </c>
      <c r="J2607">
        <f>ABS((I2607-EDA!$A$15)/EDA!$B$15)</f>
        <v>6.9135017218420233E-2</v>
      </c>
      <c r="K2607" t="str">
        <f t="shared" si="40"/>
        <v>No</v>
      </c>
      <c r="L2607">
        <f>ABS((C2607-EDA!$F$15)/EDA!$G$15)</f>
        <v>0.35088997257893456</v>
      </c>
      <c r="M2607" t="str">
        <f>IF(moras[[#This Row],[Z-Score Salario]]&gt;1.96, "Sí", "No")</f>
        <v>No</v>
      </c>
      <c r="N2607" s="14">
        <f>IF(ISBLANK(moras[[#This Row],[SALARIO]]), EDA!$M$8, moras[[#This Row],[SALARIO]])</f>
        <v>1488158</v>
      </c>
      <c r="O2607" s="14">
        <f xml:space="preserve"> IF(ISBLANK(moras[[#This Row],[EDAD]]), EDA!$E$8, moras[[#This Row],[EDAD]])</f>
        <v>41</v>
      </c>
      <c r="P2607" s="14" t="str">
        <f>IF(
    OR(ISBLANK(moras[[#This Row],[TIPO_ASEGURAMIENTO]]), moras[[#This Row],[TIPO_ASEGURAMIENTO]]=""),
    EDA!$A$32,
    moras[[#This Row],[TIPO_ASEGURAMIENTO]]
)</f>
        <v>ASALARIADO</v>
      </c>
    </row>
    <row r="2608" spans="1:16" x14ac:dyDescent="0.3">
      <c r="A2608">
        <v>2607</v>
      </c>
      <c r="B2608" t="s">
        <v>15</v>
      </c>
      <c r="C2608">
        <v>353418</v>
      </c>
      <c r="D2608" t="s">
        <v>17</v>
      </c>
      <c r="E2608" t="s">
        <v>16</v>
      </c>
      <c r="F2608" t="s">
        <v>12</v>
      </c>
      <c r="G2608" t="s">
        <v>12</v>
      </c>
      <c r="H2608" t="s">
        <v>13</v>
      </c>
      <c r="I2608">
        <v>56</v>
      </c>
      <c r="J2608">
        <f>ABS((I2608-EDA!$A$15)/EDA!$B$15)</f>
        <v>0.9894949339386423</v>
      </c>
      <c r="K2608" t="str">
        <f t="shared" si="40"/>
        <v>No</v>
      </c>
      <c r="L2608">
        <f>ABS((C2608-EDA!$F$15)/EDA!$G$15)</f>
        <v>0.36977284720574122</v>
      </c>
      <c r="M2608" t="str">
        <f>IF(moras[[#This Row],[Z-Score Salario]]&gt;1.96, "Sí", "No")</f>
        <v>No</v>
      </c>
      <c r="N2608" s="14">
        <f>IF(ISBLANK(moras[[#This Row],[SALARIO]]), EDA!$M$8, moras[[#This Row],[SALARIO]])</f>
        <v>353418</v>
      </c>
      <c r="O2608" s="14">
        <f xml:space="preserve"> IF(ISBLANK(moras[[#This Row],[EDAD]]), EDA!$E$8, moras[[#This Row],[EDAD]])</f>
        <v>56</v>
      </c>
      <c r="P2608" s="14" t="str">
        <f>IF(
    OR(ISBLANK(moras[[#This Row],[TIPO_ASEGURAMIENTO]]), moras[[#This Row],[TIPO_ASEGURAMIENTO]]=""),
    EDA!$A$32,
    moras[[#This Row],[TIPO_ASEGURAMIENTO]]
)</f>
        <v>ASEGURADO VOLUNTARIO</v>
      </c>
    </row>
    <row r="2609" spans="1:16" x14ac:dyDescent="0.3">
      <c r="A2609">
        <v>2608</v>
      </c>
      <c r="B2609" t="s">
        <v>9</v>
      </c>
      <c r="C2609">
        <v>819375</v>
      </c>
      <c r="D2609" t="s">
        <v>10</v>
      </c>
      <c r="E2609" t="s">
        <v>16</v>
      </c>
      <c r="F2609" t="s">
        <v>12</v>
      </c>
      <c r="G2609" t="s">
        <v>13</v>
      </c>
      <c r="H2609" t="s">
        <v>13</v>
      </c>
      <c r="I2609">
        <v>41</v>
      </c>
      <c r="J2609">
        <f>ABS((I2609-EDA!$A$15)/EDA!$B$15)</f>
        <v>6.9135017218420233E-2</v>
      </c>
      <c r="K2609" t="str">
        <f t="shared" si="40"/>
        <v>No</v>
      </c>
      <c r="L2609">
        <f>ABS((C2609-EDA!$F$15)/EDA!$G$15)</f>
        <v>0.36201899380101155</v>
      </c>
      <c r="M2609" t="str">
        <f>IF(moras[[#This Row],[Z-Score Salario]]&gt;1.96, "Sí", "No")</f>
        <v>No</v>
      </c>
      <c r="N2609" s="14">
        <f>IF(ISBLANK(moras[[#This Row],[SALARIO]]), EDA!$M$8, moras[[#This Row],[SALARIO]])</f>
        <v>819375</v>
      </c>
      <c r="O2609" s="14">
        <f xml:space="preserve"> IF(ISBLANK(moras[[#This Row],[EDAD]]), EDA!$E$8, moras[[#This Row],[EDAD]])</f>
        <v>41</v>
      </c>
      <c r="P2609" s="14" t="str">
        <f>IF(
    OR(ISBLANK(moras[[#This Row],[TIPO_ASEGURAMIENTO]]), moras[[#This Row],[TIPO_ASEGURAMIENTO]]=""),
    EDA!$A$32,
    moras[[#This Row],[TIPO_ASEGURAMIENTO]]
)</f>
        <v>ASALARIADO</v>
      </c>
    </row>
    <row r="2610" spans="1:16" x14ac:dyDescent="0.3">
      <c r="A2610">
        <v>2609</v>
      </c>
      <c r="B2610" t="s">
        <v>15</v>
      </c>
      <c r="C2610">
        <v>1389523</v>
      </c>
      <c r="D2610" t="s">
        <v>10</v>
      </c>
      <c r="E2610" t="s">
        <v>11</v>
      </c>
      <c r="F2610" t="s">
        <v>12</v>
      </c>
      <c r="G2610" t="s">
        <v>13</v>
      </c>
      <c r="H2610" t="s">
        <v>12</v>
      </c>
      <c r="I2610">
        <v>48</v>
      </c>
      <c r="J2610">
        <f>ABS((I2610-EDA!$A$15)/EDA!$B$15)</f>
        <v>0.42489229332154227</v>
      </c>
      <c r="K2610" t="str">
        <f t="shared" si="40"/>
        <v>No</v>
      </c>
      <c r="L2610">
        <f>ABS((C2610-EDA!$F$15)/EDA!$G$15)</f>
        <v>0.35253132860658415</v>
      </c>
      <c r="M2610" t="str">
        <f>IF(moras[[#This Row],[Z-Score Salario]]&gt;1.96, "Sí", "No")</f>
        <v>No</v>
      </c>
      <c r="N2610" s="14">
        <f>IF(ISBLANK(moras[[#This Row],[SALARIO]]), EDA!$M$8, moras[[#This Row],[SALARIO]])</f>
        <v>1389523</v>
      </c>
      <c r="O2610" s="14">
        <f xml:space="preserve"> IF(ISBLANK(moras[[#This Row],[EDAD]]), EDA!$E$8, moras[[#This Row],[EDAD]])</f>
        <v>48</v>
      </c>
      <c r="P2610" s="14" t="str">
        <f>IF(
    OR(ISBLANK(moras[[#This Row],[TIPO_ASEGURAMIENTO]]), moras[[#This Row],[TIPO_ASEGURAMIENTO]]=""),
    EDA!$A$32,
    moras[[#This Row],[TIPO_ASEGURAMIENTO]]
)</f>
        <v>ASALARIADO</v>
      </c>
    </row>
    <row r="2611" spans="1:16" x14ac:dyDescent="0.3">
      <c r="A2611">
        <v>2610</v>
      </c>
      <c r="B2611" t="s">
        <v>9</v>
      </c>
      <c r="C2611">
        <v>284326</v>
      </c>
      <c r="D2611" t="s">
        <v>10</v>
      </c>
      <c r="E2611" t="s">
        <v>16</v>
      </c>
      <c r="F2611" t="s">
        <v>12</v>
      </c>
      <c r="G2611" t="s">
        <v>13</v>
      </c>
      <c r="H2611" t="s">
        <v>13</v>
      </c>
      <c r="I2611">
        <v>28</v>
      </c>
      <c r="J2611">
        <f>ABS((I2611-EDA!$A$15)/EDA!$B$15)</f>
        <v>0.98661430822120777</v>
      </c>
      <c r="K2611" t="str">
        <f t="shared" si="40"/>
        <v>No</v>
      </c>
      <c r="L2611">
        <f>ABS((C2611-EDA!$F$15)/EDA!$G$15)</f>
        <v>0.37092258685862672</v>
      </c>
      <c r="M2611" t="str">
        <f>IF(moras[[#This Row],[Z-Score Salario]]&gt;1.96, "Sí", "No")</f>
        <v>No</v>
      </c>
      <c r="N2611" s="14">
        <f>IF(ISBLANK(moras[[#This Row],[SALARIO]]), EDA!$M$8, moras[[#This Row],[SALARIO]])</f>
        <v>284326</v>
      </c>
      <c r="O2611" s="14">
        <f xml:space="preserve"> IF(ISBLANK(moras[[#This Row],[EDAD]]), EDA!$E$8, moras[[#This Row],[EDAD]])</f>
        <v>28</v>
      </c>
      <c r="P2611" s="14" t="str">
        <f>IF(
    OR(ISBLANK(moras[[#This Row],[TIPO_ASEGURAMIENTO]]), moras[[#This Row],[TIPO_ASEGURAMIENTO]]=""),
    EDA!$A$32,
    moras[[#This Row],[TIPO_ASEGURAMIENTO]]
)</f>
        <v>ASALARIADO</v>
      </c>
    </row>
    <row r="2612" spans="1:16" x14ac:dyDescent="0.3">
      <c r="A2612">
        <v>2611</v>
      </c>
      <c r="B2612" t="s">
        <v>9</v>
      </c>
      <c r="C2612">
        <v>133302248</v>
      </c>
      <c r="D2612" t="s">
        <v>10</v>
      </c>
      <c r="E2612" t="s">
        <v>11</v>
      </c>
      <c r="F2612" t="s">
        <v>12</v>
      </c>
      <c r="G2612" t="s">
        <v>13</v>
      </c>
      <c r="H2612" t="s">
        <v>13</v>
      </c>
      <c r="I2612">
        <v>40</v>
      </c>
      <c r="J2612">
        <f>ABS((I2612-EDA!$A$15)/EDA!$B$15)</f>
        <v>0.13971034729555773</v>
      </c>
      <c r="K2612" t="str">
        <f t="shared" si="40"/>
        <v>No</v>
      </c>
      <c r="L2612">
        <f>ABS((C2612-EDA!$F$15)/EDA!$G$15)</f>
        <v>1.8425895341949561</v>
      </c>
      <c r="M2612" t="str">
        <f>IF(moras[[#This Row],[Z-Score Salario]]&gt;1.96, "Sí", "No")</f>
        <v>No</v>
      </c>
      <c r="N2612" s="14">
        <f>IF(ISBLANK(moras[[#This Row],[SALARIO]]), EDA!$M$8, moras[[#This Row],[SALARIO]])</f>
        <v>133302248</v>
      </c>
      <c r="O2612" s="14">
        <f xml:space="preserve"> IF(ISBLANK(moras[[#This Row],[EDAD]]), EDA!$E$8, moras[[#This Row],[EDAD]])</f>
        <v>40</v>
      </c>
      <c r="P2612" s="14" t="str">
        <f>IF(
    OR(ISBLANK(moras[[#This Row],[TIPO_ASEGURAMIENTO]]), moras[[#This Row],[TIPO_ASEGURAMIENTO]]=""),
    EDA!$A$32,
    moras[[#This Row],[TIPO_ASEGURAMIENTO]]
)</f>
        <v>ASALARIADO</v>
      </c>
    </row>
    <row r="2613" spans="1:16" x14ac:dyDescent="0.3">
      <c r="A2613">
        <v>2612</v>
      </c>
      <c r="B2613" t="s">
        <v>9</v>
      </c>
      <c r="C2613">
        <v>2157206</v>
      </c>
      <c r="D2613" t="s">
        <v>10</v>
      </c>
      <c r="E2613" t="s">
        <v>16</v>
      </c>
      <c r="F2613" t="s">
        <v>12</v>
      </c>
      <c r="G2613" t="s">
        <v>13</v>
      </c>
      <c r="H2613" t="s">
        <v>13</v>
      </c>
      <c r="I2613">
        <v>30</v>
      </c>
      <c r="J2613">
        <f>ABS((I2613-EDA!$A$15)/EDA!$B$15)</f>
        <v>0.84546364806693275</v>
      </c>
      <c r="K2613" t="str">
        <f t="shared" si="40"/>
        <v>No</v>
      </c>
      <c r="L2613">
        <f>ABS((C2613-EDA!$F$15)/EDA!$G$15)</f>
        <v>0.3397565415697909</v>
      </c>
      <c r="M2613" t="str">
        <f>IF(moras[[#This Row],[Z-Score Salario]]&gt;1.96, "Sí", "No")</f>
        <v>No</v>
      </c>
      <c r="N2613" s="14">
        <f>IF(ISBLANK(moras[[#This Row],[SALARIO]]), EDA!$M$8, moras[[#This Row],[SALARIO]])</f>
        <v>2157206</v>
      </c>
      <c r="O2613" s="14">
        <f xml:space="preserve"> IF(ISBLANK(moras[[#This Row],[EDAD]]), EDA!$E$8, moras[[#This Row],[EDAD]])</f>
        <v>30</v>
      </c>
      <c r="P2613" s="14" t="str">
        <f>IF(
    OR(ISBLANK(moras[[#This Row],[TIPO_ASEGURAMIENTO]]), moras[[#This Row],[TIPO_ASEGURAMIENTO]]=""),
    EDA!$A$32,
    moras[[#This Row],[TIPO_ASEGURAMIENTO]]
)</f>
        <v>ASALARIADO</v>
      </c>
    </row>
    <row r="2614" spans="1:16" x14ac:dyDescent="0.3">
      <c r="A2614">
        <v>2613</v>
      </c>
      <c r="B2614" t="s">
        <v>9</v>
      </c>
      <c r="C2614">
        <v>32770914</v>
      </c>
      <c r="D2614" t="s">
        <v>10</v>
      </c>
      <c r="E2614" t="s">
        <v>16</v>
      </c>
      <c r="F2614" t="s">
        <v>12</v>
      </c>
      <c r="G2614" t="s">
        <v>13</v>
      </c>
      <c r="H2614" t="s">
        <v>13</v>
      </c>
      <c r="I2614">
        <v>21</v>
      </c>
      <c r="J2614">
        <f>ABS((I2614-EDA!$A$15)/EDA!$B$15)</f>
        <v>1.4806416187611704</v>
      </c>
      <c r="K2614" t="str">
        <f t="shared" si="40"/>
        <v>No</v>
      </c>
      <c r="L2614">
        <f>ABS((C2614-EDA!$F$15)/EDA!$G$15)</f>
        <v>0.16967717014008712</v>
      </c>
      <c r="M2614" t="str">
        <f>IF(moras[[#This Row],[Z-Score Salario]]&gt;1.96, "Sí", "No")</f>
        <v>No</v>
      </c>
      <c r="N2614" s="14">
        <f>IF(ISBLANK(moras[[#This Row],[SALARIO]]), EDA!$M$8, moras[[#This Row],[SALARIO]])</f>
        <v>32770914</v>
      </c>
      <c r="O2614" s="14">
        <f xml:space="preserve"> IF(ISBLANK(moras[[#This Row],[EDAD]]), EDA!$E$8, moras[[#This Row],[EDAD]])</f>
        <v>21</v>
      </c>
      <c r="P2614" s="14" t="str">
        <f>IF(
    OR(ISBLANK(moras[[#This Row],[TIPO_ASEGURAMIENTO]]), moras[[#This Row],[TIPO_ASEGURAMIENTO]]=""),
    EDA!$A$32,
    moras[[#This Row],[TIPO_ASEGURAMIENTO]]
)</f>
        <v>ASALARIADO</v>
      </c>
    </row>
    <row r="2615" spans="1:16" x14ac:dyDescent="0.3">
      <c r="A2615">
        <v>2614</v>
      </c>
      <c r="B2615" t="s">
        <v>9</v>
      </c>
      <c r="C2615">
        <v>342027</v>
      </c>
      <c r="D2615" t="s">
        <v>10</v>
      </c>
      <c r="E2615" t="s">
        <v>16</v>
      </c>
      <c r="F2615" t="s">
        <v>12</v>
      </c>
      <c r="G2615" t="s">
        <v>13</v>
      </c>
      <c r="H2615" t="s">
        <v>13</v>
      </c>
      <c r="I2615">
        <v>37</v>
      </c>
      <c r="J2615">
        <f>ABS((I2615-EDA!$A$15)/EDA!$B$15)</f>
        <v>0.35143633752697023</v>
      </c>
      <c r="K2615" t="str">
        <f t="shared" si="40"/>
        <v>No</v>
      </c>
      <c r="L2615">
        <f>ABS((C2615-EDA!$F$15)/EDA!$G$15)</f>
        <v>0.36996240148678705</v>
      </c>
      <c r="M2615" t="str">
        <f>IF(moras[[#This Row],[Z-Score Salario]]&gt;1.96, "Sí", "No")</f>
        <v>No</v>
      </c>
      <c r="N2615" s="14">
        <f>IF(ISBLANK(moras[[#This Row],[SALARIO]]), EDA!$M$8, moras[[#This Row],[SALARIO]])</f>
        <v>342027</v>
      </c>
      <c r="O2615" s="14">
        <f xml:space="preserve"> IF(ISBLANK(moras[[#This Row],[EDAD]]), EDA!$E$8, moras[[#This Row],[EDAD]])</f>
        <v>37</v>
      </c>
      <c r="P2615" s="14" t="str">
        <f>IF(
    OR(ISBLANK(moras[[#This Row],[TIPO_ASEGURAMIENTO]]), moras[[#This Row],[TIPO_ASEGURAMIENTO]]=""),
    EDA!$A$32,
    moras[[#This Row],[TIPO_ASEGURAMIENTO]]
)</f>
        <v>ASALARIADO</v>
      </c>
    </row>
    <row r="2616" spans="1:16" x14ac:dyDescent="0.3">
      <c r="A2616">
        <v>2615</v>
      </c>
      <c r="B2616" t="s">
        <v>15</v>
      </c>
      <c r="C2616">
        <v>1688298</v>
      </c>
      <c r="D2616" t="s">
        <v>10</v>
      </c>
      <c r="E2616" t="s">
        <v>11</v>
      </c>
      <c r="F2616" t="s">
        <v>12</v>
      </c>
      <c r="G2616" t="s">
        <v>13</v>
      </c>
      <c r="H2616" t="s">
        <v>13</v>
      </c>
      <c r="I2616">
        <v>48</v>
      </c>
      <c r="J2616">
        <f>ABS((I2616-EDA!$A$15)/EDA!$B$15)</f>
        <v>0.42489229332154227</v>
      </c>
      <c r="K2616" t="str">
        <f t="shared" si="40"/>
        <v>No</v>
      </c>
      <c r="L2616">
        <f>ABS((C2616-EDA!$F$15)/EDA!$G$15)</f>
        <v>0.34755950169766742</v>
      </c>
      <c r="M2616" t="str">
        <f>IF(moras[[#This Row],[Z-Score Salario]]&gt;1.96, "Sí", "No")</f>
        <v>No</v>
      </c>
      <c r="N2616" s="14">
        <f>IF(ISBLANK(moras[[#This Row],[SALARIO]]), EDA!$M$8, moras[[#This Row],[SALARIO]])</f>
        <v>1688298</v>
      </c>
      <c r="O2616" s="14">
        <f xml:space="preserve"> IF(ISBLANK(moras[[#This Row],[EDAD]]), EDA!$E$8, moras[[#This Row],[EDAD]])</f>
        <v>48</v>
      </c>
      <c r="P2616" s="14" t="str">
        <f>IF(
    OR(ISBLANK(moras[[#This Row],[TIPO_ASEGURAMIENTO]]), moras[[#This Row],[TIPO_ASEGURAMIENTO]]=""),
    EDA!$A$32,
    moras[[#This Row],[TIPO_ASEGURAMIENTO]]
)</f>
        <v>ASALARIADO</v>
      </c>
    </row>
    <row r="2617" spans="1:16" x14ac:dyDescent="0.3">
      <c r="A2617">
        <v>2616</v>
      </c>
      <c r="B2617" t="s">
        <v>9</v>
      </c>
      <c r="C2617">
        <v>1000000</v>
      </c>
      <c r="D2617" t="s">
        <v>10</v>
      </c>
      <c r="E2617" t="s">
        <v>16</v>
      </c>
      <c r="F2617" t="s">
        <v>12</v>
      </c>
      <c r="G2617" t="s">
        <v>13</v>
      </c>
      <c r="H2617" t="s">
        <v>13</v>
      </c>
      <c r="I2617">
        <v>29</v>
      </c>
      <c r="J2617">
        <f>ABS((I2617-EDA!$A$15)/EDA!$B$15)</f>
        <v>0.91603897814407031</v>
      </c>
      <c r="K2617" t="str">
        <f t="shared" si="40"/>
        <v>No</v>
      </c>
      <c r="L2617">
        <f>ABS((C2617-EDA!$F$15)/EDA!$G$15)</f>
        <v>0.35901326629562091</v>
      </c>
      <c r="M2617" t="str">
        <f>IF(moras[[#This Row],[Z-Score Salario]]&gt;1.96, "Sí", "No")</f>
        <v>No</v>
      </c>
      <c r="N2617" s="14">
        <f>IF(ISBLANK(moras[[#This Row],[SALARIO]]), EDA!$M$8, moras[[#This Row],[SALARIO]])</f>
        <v>1000000</v>
      </c>
      <c r="O2617" s="14">
        <f xml:space="preserve"> IF(ISBLANK(moras[[#This Row],[EDAD]]), EDA!$E$8, moras[[#This Row],[EDAD]])</f>
        <v>29</v>
      </c>
      <c r="P2617" s="14" t="str">
        <f>IF(
    OR(ISBLANK(moras[[#This Row],[TIPO_ASEGURAMIENTO]]), moras[[#This Row],[TIPO_ASEGURAMIENTO]]=""),
    EDA!$A$32,
    moras[[#This Row],[TIPO_ASEGURAMIENTO]]
)</f>
        <v>ASALARIADO</v>
      </c>
    </row>
    <row r="2618" spans="1:16" x14ac:dyDescent="0.3">
      <c r="A2618">
        <v>2617</v>
      </c>
      <c r="B2618" t="s">
        <v>15</v>
      </c>
      <c r="C2618">
        <v>280000</v>
      </c>
      <c r="D2618" t="s">
        <v>10</v>
      </c>
      <c r="E2618" t="s">
        <v>16</v>
      </c>
      <c r="F2618" t="s">
        <v>12</v>
      </c>
      <c r="G2618" t="s">
        <v>12</v>
      </c>
      <c r="H2618" t="s">
        <v>13</v>
      </c>
      <c r="I2618">
        <v>25</v>
      </c>
      <c r="J2618">
        <f>ABS((I2618-EDA!$A$15)/EDA!$B$15)</f>
        <v>1.1983402984526204</v>
      </c>
      <c r="K2618" t="str">
        <f t="shared" si="40"/>
        <v>No</v>
      </c>
      <c r="L2618">
        <f>ABS((C2618-EDA!$F$15)/EDA!$G$15)</f>
        <v>0.37099457455240292</v>
      </c>
      <c r="M2618" t="str">
        <f>IF(moras[[#This Row],[Z-Score Salario]]&gt;1.96, "Sí", "No")</f>
        <v>No</v>
      </c>
      <c r="N2618" s="14">
        <f>IF(ISBLANK(moras[[#This Row],[SALARIO]]), EDA!$M$8, moras[[#This Row],[SALARIO]])</f>
        <v>280000</v>
      </c>
      <c r="O2618" s="14">
        <f xml:space="preserve"> IF(ISBLANK(moras[[#This Row],[EDAD]]), EDA!$E$8, moras[[#This Row],[EDAD]])</f>
        <v>25</v>
      </c>
      <c r="P2618" s="14" t="str">
        <f>IF(
    OR(ISBLANK(moras[[#This Row],[TIPO_ASEGURAMIENTO]]), moras[[#This Row],[TIPO_ASEGURAMIENTO]]=""),
    EDA!$A$32,
    moras[[#This Row],[TIPO_ASEGURAMIENTO]]
)</f>
        <v>ASALARIADO</v>
      </c>
    </row>
    <row r="2619" spans="1:16" x14ac:dyDescent="0.3">
      <c r="A2619">
        <v>2618</v>
      </c>
      <c r="B2619" t="s">
        <v>9</v>
      </c>
      <c r="C2619">
        <v>24650481</v>
      </c>
      <c r="D2619" t="s">
        <v>10</v>
      </c>
      <c r="E2619" t="s">
        <v>16</v>
      </c>
      <c r="F2619" t="s">
        <v>12</v>
      </c>
      <c r="G2619" t="s">
        <v>13</v>
      </c>
      <c r="H2619" t="s">
        <v>13</v>
      </c>
      <c r="I2619">
        <v>19</v>
      </c>
      <c r="J2619">
        <f>ABS((I2619-EDA!$A$15)/EDA!$B$15)</f>
        <v>1.6217922789154453</v>
      </c>
      <c r="K2619" t="str">
        <f t="shared" si="40"/>
        <v>No</v>
      </c>
      <c r="L2619">
        <f>ABS((C2619-EDA!$F$15)/EDA!$G$15)</f>
        <v>3.4547432707386076E-2</v>
      </c>
      <c r="M2619" t="str">
        <f>IF(moras[[#This Row],[Z-Score Salario]]&gt;1.96, "Sí", "No")</f>
        <v>No</v>
      </c>
      <c r="N2619" s="14">
        <f>IF(ISBLANK(moras[[#This Row],[SALARIO]]), EDA!$M$8, moras[[#This Row],[SALARIO]])</f>
        <v>24650481</v>
      </c>
      <c r="O2619" s="14">
        <f xml:space="preserve"> IF(ISBLANK(moras[[#This Row],[EDAD]]), EDA!$E$8, moras[[#This Row],[EDAD]])</f>
        <v>19</v>
      </c>
      <c r="P2619" s="14" t="str">
        <f>IF(
    OR(ISBLANK(moras[[#This Row],[TIPO_ASEGURAMIENTO]]), moras[[#This Row],[TIPO_ASEGURAMIENTO]]=""),
    EDA!$A$32,
    moras[[#This Row],[TIPO_ASEGURAMIENTO]]
)</f>
        <v>ASALARIADO</v>
      </c>
    </row>
    <row r="2620" spans="1:16" x14ac:dyDescent="0.3">
      <c r="A2620">
        <v>2619</v>
      </c>
      <c r="B2620" t="s">
        <v>15</v>
      </c>
      <c r="C2620">
        <v>2128000</v>
      </c>
      <c r="D2620" t="s">
        <v>10</v>
      </c>
      <c r="E2620" t="s">
        <v>16</v>
      </c>
      <c r="F2620" t="s">
        <v>12</v>
      </c>
      <c r="G2620" t="s">
        <v>13</v>
      </c>
      <c r="H2620" t="s">
        <v>13</v>
      </c>
      <c r="I2620">
        <v>37</v>
      </c>
      <c r="J2620">
        <f>ABS((I2620-EDA!$A$15)/EDA!$B$15)</f>
        <v>0.35143633752697023</v>
      </c>
      <c r="K2620" t="str">
        <f t="shared" si="40"/>
        <v>No</v>
      </c>
      <c r="L2620">
        <f>ABS((C2620-EDA!$F$15)/EDA!$G$15)</f>
        <v>0.34024255002666254</v>
      </c>
      <c r="M2620" t="str">
        <f>IF(moras[[#This Row],[Z-Score Salario]]&gt;1.96, "Sí", "No")</f>
        <v>No</v>
      </c>
      <c r="N2620" s="14">
        <f>IF(ISBLANK(moras[[#This Row],[SALARIO]]), EDA!$M$8, moras[[#This Row],[SALARIO]])</f>
        <v>2128000</v>
      </c>
      <c r="O2620" s="14">
        <f xml:space="preserve"> IF(ISBLANK(moras[[#This Row],[EDAD]]), EDA!$E$8, moras[[#This Row],[EDAD]])</f>
        <v>37</v>
      </c>
      <c r="P2620" s="14" t="str">
        <f>IF(
    OR(ISBLANK(moras[[#This Row],[TIPO_ASEGURAMIENTO]]), moras[[#This Row],[TIPO_ASEGURAMIENTO]]=""),
    EDA!$A$32,
    moras[[#This Row],[TIPO_ASEGURAMIENTO]]
)</f>
        <v>ASALARIADO</v>
      </c>
    </row>
    <row r="2621" spans="1:16" x14ac:dyDescent="0.3">
      <c r="A2621">
        <v>2620</v>
      </c>
      <c r="B2621" t="s">
        <v>9</v>
      </c>
      <c r="C2621">
        <v>6084143</v>
      </c>
      <c r="D2621" t="s">
        <v>10</v>
      </c>
      <c r="E2621" t="s">
        <v>11</v>
      </c>
      <c r="F2621" t="s">
        <v>12</v>
      </c>
      <c r="G2621" t="s">
        <v>13</v>
      </c>
      <c r="H2621" t="s">
        <v>13</v>
      </c>
      <c r="I2621">
        <v>38</v>
      </c>
      <c r="J2621">
        <f>ABS((I2621-EDA!$A$15)/EDA!$B$15)</f>
        <v>0.28086100744983278</v>
      </c>
      <c r="K2621" t="str">
        <f t="shared" si="40"/>
        <v>No</v>
      </c>
      <c r="L2621">
        <f>ABS((C2621-EDA!$F$15)/EDA!$G$15)</f>
        <v>0.27440953781706501</v>
      </c>
      <c r="M2621" t="str">
        <f>IF(moras[[#This Row],[Z-Score Salario]]&gt;1.96, "Sí", "No")</f>
        <v>No</v>
      </c>
      <c r="N2621" s="14">
        <f>IF(ISBLANK(moras[[#This Row],[SALARIO]]), EDA!$M$8, moras[[#This Row],[SALARIO]])</f>
        <v>6084143</v>
      </c>
      <c r="O2621" s="14">
        <f xml:space="preserve"> IF(ISBLANK(moras[[#This Row],[EDAD]]), EDA!$E$8, moras[[#This Row],[EDAD]])</f>
        <v>38</v>
      </c>
      <c r="P2621" s="14" t="str">
        <f>IF(
    OR(ISBLANK(moras[[#This Row],[TIPO_ASEGURAMIENTO]]), moras[[#This Row],[TIPO_ASEGURAMIENTO]]=""),
    EDA!$A$32,
    moras[[#This Row],[TIPO_ASEGURAMIENTO]]
)</f>
        <v>ASALARIADO</v>
      </c>
    </row>
    <row r="2622" spans="1:16" x14ac:dyDescent="0.3">
      <c r="A2622">
        <v>2621</v>
      </c>
      <c r="B2622" t="s">
        <v>9</v>
      </c>
      <c r="C2622">
        <v>297046</v>
      </c>
      <c r="D2622" t="s">
        <v>18</v>
      </c>
      <c r="E2622" t="s">
        <v>16</v>
      </c>
      <c r="F2622" t="s">
        <v>12</v>
      </c>
      <c r="G2622" t="s">
        <v>13</v>
      </c>
      <c r="H2622" t="s">
        <v>12</v>
      </c>
      <c r="I2622">
        <v>33</v>
      </c>
      <c r="J2622">
        <f>ABS((I2622-EDA!$A$15)/EDA!$B$15)</f>
        <v>0.63373765783552027</v>
      </c>
      <c r="K2622" t="str">
        <f t="shared" si="40"/>
        <v>No</v>
      </c>
      <c r="L2622">
        <f>ABS((C2622-EDA!$F$15)/EDA!$G$15)</f>
        <v>0.37071091707942361</v>
      </c>
      <c r="M2622" t="str">
        <f>IF(moras[[#This Row],[Z-Score Salario]]&gt;1.96, "Sí", "No")</f>
        <v>No</v>
      </c>
      <c r="N2622" s="14">
        <f>IF(ISBLANK(moras[[#This Row],[SALARIO]]), EDA!$M$8, moras[[#This Row],[SALARIO]])</f>
        <v>297046</v>
      </c>
      <c r="O2622" s="14">
        <f xml:space="preserve"> IF(ISBLANK(moras[[#This Row],[EDAD]]), EDA!$E$8, moras[[#This Row],[EDAD]])</f>
        <v>33</v>
      </c>
      <c r="P2622" s="14" t="str">
        <f>IF(
    OR(ISBLANK(moras[[#This Row],[TIPO_ASEGURAMIENTO]]), moras[[#This Row],[TIPO_ASEGURAMIENTO]]=""),
    EDA!$A$32,
    moras[[#This Row],[TIPO_ASEGURAMIENTO]]
)</f>
        <v>TRABAJADOR INDEPENDIENTE</v>
      </c>
    </row>
    <row r="2623" spans="1:16" x14ac:dyDescent="0.3">
      <c r="A2623">
        <v>2622</v>
      </c>
      <c r="B2623" t="s">
        <v>9</v>
      </c>
      <c r="C2623">
        <v>297056</v>
      </c>
      <c r="D2623" t="s">
        <v>18</v>
      </c>
      <c r="E2623" t="s">
        <v>16</v>
      </c>
      <c r="F2623" t="s">
        <v>12</v>
      </c>
      <c r="G2623" t="s">
        <v>13</v>
      </c>
      <c r="H2623" t="s">
        <v>13</v>
      </c>
      <c r="I2623">
        <v>76</v>
      </c>
      <c r="J2623">
        <f>ABS((I2623-EDA!$A$15)/EDA!$B$15)</f>
        <v>2.4010015354813925</v>
      </c>
      <c r="K2623" t="str">
        <f t="shared" si="40"/>
        <v>Sí</v>
      </c>
      <c r="L2623">
        <f>ABS((C2623-EDA!$F$15)/EDA!$G$15)</f>
        <v>0.37071075067236448</v>
      </c>
      <c r="M2623" t="str">
        <f>IF(moras[[#This Row],[Z-Score Salario]]&gt;1.96, "Sí", "No")</f>
        <v>No</v>
      </c>
      <c r="N2623" s="14">
        <f>IF(ISBLANK(moras[[#This Row],[SALARIO]]), EDA!$M$8, moras[[#This Row],[SALARIO]])</f>
        <v>297056</v>
      </c>
      <c r="O2623" s="14">
        <f xml:space="preserve"> IF(ISBLANK(moras[[#This Row],[EDAD]]), EDA!$E$8, moras[[#This Row],[EDAD]])</f>
        <v>76</v>
      </c>
      <c r="P2623" s="14" t="str">
        <f>IF(
    OR(ISBLANK(moras[[#This Row],[TIPO_ASEGURAMIENTO]]), moras[[#This Row],[TIPO_ASEGURAMIENTO]]=""),
    EDA!$A$32,
    moras[[#This Row],[TIPO_ASEGURAMIENTO]]
)</f>
        <v>TRABAJADOR INDEPENDIENTE</v>
      </c>
    </row>
    <row r="2624" spans="1:16" x14ac:dyDescent="0.3">
      <c r="A2624">
        <v>2623</v>
      </c>
      <c r="B2624" t="s">
        <v>15</v>
      </c>
      <c r="C2624">
        <v>60000</v>
      </c>
      <c r="D2624" t="s">
        <v>10</v>
      </c>
      <c r="E2624" t="s">
        <v>16</v>
      </c>
      <c r="F2624" t="s">
        <v>12</v>
      </c>
      <c r="G2624" t="s">
        <v>12</v>
      </c>
      <c r="H2624" t="s">
        <v>13</v>
      </c>
      <c r="I2624">
        <v>35</v>
      </c>
      <c r="J2624">
        <f>ABS((I2624-EDA!$A$15)/EDA!$B$15)</f>
        <v>0.49258699768124525</v>
      </c>
      <c r="K2624" t="str">
        <f t="shared" si="40"/>
        <v>No</v>
      </c>
      <c r="L2624">
        <f>ABS((C2624-EDA!$F$15)/EDA!$G$15)</f>
        <v>0.37465552985308626</v>
      </c>
      <c r="M2624" t="str">
        <f>IF(moras[[#This Row],[Z-Score Salario]]&gt;1.96, "Sí", "No")</f>
        <v>No</v>
      </c>
      <c r="N2624" s="14">
        <f>IF(ISBLANK(moras[[#This Row],[SALARIO]]), EDA!$M$8, moras[[#This Row],[SALARIO]])</f>
        <v>60000</v>
      </c>
      <c r="O2624" s="14">
        <f xml:space="preserve"> IF(ISBLANK(moras[[#This Row],[EDAD]]), EDA!$E$8, moras[[#This Row],[EDAD]])</f>
        <v>35</v>
      </c>
      <c r="P2624" s="14" t="str">
        <f>IF(
    OR(ISBLANK(moras[[#This Row],[TIPO_ASEGURAMIENTO]]), moras[[#This Row],[TIPO_ASEGURAMIENTO]]=""),
    EDA!$A$32,
    moras[[#This Row],[TIPO_ASEGURAMIENTO]]
)</f>
        <v>ASALARIADO</v>
      </c>
    </row>
    <row r="2625" spans="1:16" x14ac:dyDescent="0.3">
      <c r="A2625">
        <v>2624</v>
      </c>
      <c r="B2625" t="s">
        <v>9</v>
      </c>
      <c r="C2625">
        <v>51223488</v>
      </c>
      <c r="D2625" t="s">
        <v>10</v>
      </c>
      <c r="E2625" t="s">
        <v>16</v>
      </c>
      <c r="F2625" t="s">
        <v>12</v>
      </c>
      <c r="G2625" t="s">
        <v>13</v>
      </c>
      <c r="H2625" t="s">
        <v>13</v>
      </c>
      <c r="I2625">
        <v>28</v>
      </c>
      <c r="J2625">
        <f>ABS((I2625-EDA!$A$15)/EDA!$B$15)</f>
        <v>0.98661430822120777</v>
      </c>
      <c r="K2625" t="str">
        <f t="shared" si="40"/>
        <v>No</v>
      </c>
      <c r="L2625">
        <f>ABS((C2625-EDA!$F$15)/EDA!$G$15)</f>
        <v>0.47674102739714302</v>
      </c>
      <c r="M2625" t="str">
        <f>IF(moras[[#This Row],[Z-Score Salario]]&gt;1.96, "Sí", "No")</f>
        <v>No</v>
      </c>
      <c r="N2625" s="14">
        <f>IF(ISBLANK(moras[[#This Row],[SALARIO]]), EDA!$M$8, moras[[#This Row],[SALARIO]])</f>
        <v>51223488</v>
      </c>
      <c r="O2625" s="14">
        <f xml:space="preserve"> IF(ISBLANK(moras[[#This Row],[EDAD]]), EDA!$E$8, moras[[#This Row],[EDAD]])</f>
        <v>28</v>
      </c>
      <c r="P2625" s="14" t="str">
        <f>IF(
    OR(ISBLANK(moras[[#This Row],[TIPO_ASEGURAMIENTO]]), moras[[#This Row],[TIPO_ASEGURAMIENTO]]=""),
    EDA!$A$32,
    moras[[#This Row],[TIPO_ASEGURAMIENTO]]
)</f>
        <v>ASALARIADO</v>
      </c>
    </row>
    <row r="2626" spans="1:16" x14ac:dyDescent="0.3">
      <c r="A2626">
        <v>2625</v>
      </c>
      <c r="B2626" t="s">
        <v>9</v>
      </c>
      <c r="C2626">
        <v>84231004</v>
      </c>
      <c r="D2626" t="s">
        <v>10</v>
      </c>
      <c r="E2626" t="s">
        <v>16</v>
      </c>
      <c r="F2626" t="s">
        <v>12</v>
      </c>
      <c r="G2626" t="s">
        <v>13</v>
      </c>
      <c r="H2626" t="s">
        <v>13</v>
      </c>
      <c r="I2626">
        <v>43</v>
      </c>
      <c r="J2626">
        <f>ABS((I2626-EDA!$A$15)/EDA!$B$15)</f>
        <v>7.2015642935854773E-2</v>
      </c>
      <c r="K2626" t="str">
        <f t="shared" ref="K2626:K2689" si="41">IF(J2626 &gt;  1.96, "Sí","No")</f>
        <v>No</v>
      </c>
      <c r="L2626">
        <f>ABS((C2626-EDA!$F$15)/EDA!$G$15)</f>
        <v>1.0260093940452859</v>
      </c>
      <c r="M2626" t="str">
        <f>IF(moras[[#This Row],[Z-Score Salario]]&gt;1.96, "Sí", "No")</f>
        <v>No</v>
      </c>
      <c r="N2626" s="14">
        <f>IF(ISBLANK(moras[[#This Row],[SALARIO]]), EDA!$M$8, moras[[#This Row],[SALARIO]])</f>
        <v>84231004</v>
      </c>
      <c r="O2626" s="14">
        <f xml:space="preserve"> IF(ISBLANK(moras[[#This Row],[EDAD]]), EDA!$E$8, moras[[#This Row],[EDAD]])</f>
        <v>43</v>
      </c>
      <c r="P2626" s="14" t="str">
        <f>IF(
    OR(ISBLANK(moras[[#This Row],[TIPO_ASEGURAMIENTO]]), moras[[#This Row],[TIPO_ASEGURAMIENTO]]=""),
    EDA!$A$32,
    moras[[#This Row],[TIPO_ASEGURAMIENTO]]
)</f>
        <v>ASALARIADO</v>
      </c>
    </row>
    <row r="2627" spans="1:16" x14ac:dyDescent="0.3">
      <c r="A2627">
        <v>2626</v>
      </c>
      <c r="B2627" t="s">
        <v>15</v>
      </c>
      <c r="C2627">
        <v>378558</v>
      </c>
      <c r="D2627" t="s">
        <v>10</v>
      </c>
      <c r="E2627" t="s">
        <v>11</v>
      </c>
      <c r="F2627" t="s">
        <v>12</v>
      </c>
      <c r="G2627" t="s">
        <v>13</v>
      </c>
      <c r="H2627" t="s">
        <v>12</v>
      </c>
      <c r="I2627">
        <v>34</v>
      </c>
      <c r="J2627">
        <f>ABS((I2627-EDA!$A$15)/EDA!$B$15)</f>
        <v>0.56316232775838282</v>
      </c>
      <c r="K2627" t="str">
        <f t="shared" si="41"/>
        <v>No</v>
      </c>
      <c r="L2627">
        <f>ABS((C2627-EDA!$F$15)/EDA!$G$15)</f>
        <v>0.36935449985910856</v>
      </c>
      <c r="M2627" t="str">
        <f>IF(moras[[#This Row],[Z-Score Salario]]&gt;1.96, "Sí", "No")</f>
        <v>No</v>
      </c>
      <c r="N2627" s="14">
        <f>IF(ISBLANK(moras[[#This Row],[SALARIO]]), EDA!$M$8, moras[[#This Row],[SALARIO]])</f>
        <v>378558</v>
      </c>
      <c r="O2627" s="14">
        <f xml:space="preserve"> IF(ISBLANK(moras[[#This Row],[EDAD]]), EDA!$E$8, moras[[#This Row],[EDAD]])</f>
        <v>34</v>
      </c>
      <c r="P2627" s="14" t="str">
        <f>IF(
    OR(ISBLANK(moras[[#This Row],[TIPO_ASEGURAMIENTO]]), moras[[#This Row],[TIPO_ASEGURAMIENTO]]=""),
    EDA!$A$32,
    moras[[#This Row],[TIPO_ASEGURAMIENTO]]
)</f>
        <v>ASALARIADO</v>
      </c>
    </row>
    <row r="2628" spans="1:16" x14ac:dyDescent="0.3">
      <c r="A2628">
        <v>2627</v>
      </c>
      <c r="B2628" t="s">
        <v>9</v>
      </c>
      <c r="C2628">
        <v>290000</v>
      </c>
      <c r="D2628" t="s">
        <v>10</v>
      </c>
      <c r="E2628" t="s">
        <v>16</v>
      </c>
      <c r="F2628" t="s">
        <v>12</v>
      </c>
      <c r="G2628" t="s">
        <v>13</v>
      </c>
      <c r="H2628" t="s">
        <v>13</v>
      </c>
      <c r="I2628">
        <v>38</v>
      </c>
      <c r="J2628">
        <f>ABS((I2628-EDA!$A$15)/EDA!$B$15)</f>
        <v>0.28086100744983278</v>
      </c>
      <c r="K2628" t="str">
        <f t="shared" si="41"/>
        <v>No</v>
      </c>
      <c r="L2628">
        <f>ABS((C2628-EDA!$F$15)/EDA!$G$15)</f>
        <v>0.3708281674932809</v>
      </c>
      <c r="M2628" t="str">
        <f>IF(moras[[#This Row],[Z-Score Salario]]&gt;1.96, "Sí", "No")</f>
        <v>No</v>
      </c>
      <c r="N2628" s="14">
        <f>IF(ISBLANK(moras[[#This Row],[SALARIO]]), EDA!$M$8, moras[[#This Row],[SALARIO]])</f>
        <v>290000</v>
      </c>
      <c r="O2628" s="14">
        <f xml:space="preserve"> IF(ISBLANK(moras[[#This Row],[EDAD]]), EDA!$E$8, moras[[#This Row],[EDAD]])</f>
        <v>38</v>
      </c>
      <c r="P2628" s="14" t="str">
        <f>IF(
    OR(ISBLANK(moras[[#This Row],[TIPO_ASEGURAMIENTO]]), moras[[#This Row],[TIPO_ASEGURAMIENTO]]=""),
    EDA!$A$32,
    moras[[#This Row],[TIPO_ASEGURAMIENTO]]
)</f>
        <v>ASALARIADO</v>
      </c>
    </row>
    <row r="2629" spans="1:16" x14ac:dyDescent="0.3">
      <c r="A2629">
        <v>2628</v>
      </c>
      <c r="B2629" t="s">
        <v>9</v>
      </c>
      <c r="C2629">
        <v>278030</v>
      </c>
      <c r="D2629" t="s">
        <v>19</v>
      </c>
      <c r="E2629" t="s">
        <v>16</v>
      </c>
      <c r="F2629" t="s">
        <v>12</v>
      </c>
      <c r="G2629" t="s">
        <v>13</v>
      </c>
      <c r="H2629" t="s">
        <v>13</v>
      </c>
      <c r="I2629">
        <v>43</v>
      </c>
      <c r="J2629">
        <f>ABS((I2629-EDA!$A$15)/EDA!$B$15)</f>
        <v>7.2015642935854773E-2</v>
      </c>
      <c r="K2629" t="str">
        <f t="shared" si="41"/>
        <v>No</v>
      </c>
      <c r="L2629">
        <f>ABS((C2629-EDA!$F$15)/EDA!$G$15)</f>
        <v>0.37102735674304993</v>
      </c>
      <c r="M2629" t="str">
        <f>IF(moras[[#This Row],[Z-Score Salario]]&gt;1.96, "Sí", "No")</f>
        <v>No</v>
      </c>
      <c r="N2629" s="14">
        <f>IF(ISBLANK(moras[[#This Row],[SALARIO]]), EDA!$M$8, moras[[#This Row],[SALARIO]])</f>
        <v>278030</v>
      </c>
      <c r="O2629" s="14">
        <f xml:space="preserve"> IF(ISBLANK(moras[[#This Row],[EDAD]]), EDA!$E$8, moras[[#This Row],[EDAD]])</f>
        <v>43</v>
      </c>
      <c r="P2629" s="14" t="str">
        <f>IF(
    OR(ISBLANK(moras[[#This Row],[TIPO_ASEGURAMIENTO]]), moras[[#This Row],[TIPO_ASEGURAMIENTO]]=""),
    EDA!$A$32,
    moras[[#This Row],[TIPO_ASEGURAMIENTO]]
)</f>
        <v>CONVENIOS ESPECIALES DE TRABAJADORES INDEPENDIENTES</v>
      </c>
    </row>
    <row r="2630" spans="1:16" x14ac:dyDescent="0.3">
      <c r="A2630">
        <v>2629</v>
      </c>
      <c r="B2630" t="s">
        <v>9</v>
      </c>
      <c r="C2630">
        <v>634725</v>
      </c>
      <c r="D2630" t="s">
        <v>10</v>
      </c>
      <c r="E2630" t="s">
        <v>16</v>
      </c>
      <c r="F2630" t="s">
        <v>12</v>
      </c>
      <c r="G2630" t="s">
        <v>13</v>
      </c>
      <c r="H2630" t="s">
        <v>13</v>
      </c>
      <c r="I2630">
        <v>34</v>
      </c>
      <c r="J2630">
        <f>ABS((I2630-EDA!$A$15)/EDA!$B$15)</f>
        <v>0.56316232775838282</v>
      </c>
      <c r="K2630" t="str">
        <f t="shared" si="41"/>
        <v>No</v>
      </c>
      <c r="L2630">
        <f>ABS((C2630-EDA!$F$15)/EDA!$G$15)</f>
        <v>0.36509170014769876</v>
      </c>
      <c r="M2630" t="str">
        <f>IF(moras[[#This Row],[Z-Score Salario]]&gt;1.96, "Sí", "No")</f>
        <v>No</v>
      </c>
      <c r="N2630" s="14">
        <f>IF(ISBLANK(moras[[#This Row],[SALARIO]]), EDA!$M$8, moras[[#This Row],[SALARIO]])</f>
        <v>634725</v>
      </c>
      <c r="O2630" s="14">
        <f xml:space="preserve"> IF(ISBLANK(moras[[#This Row],[EDAD]]), EDA!$E$8, moras[[#This Row],[EDAD]])</f>
        <v>34</v>
      </c>
      <c r="P2630" s="14" t="str">
        <f>IF(
    OR(ISBLANK(moras[[#This Row],[TIPO_ASEGURAMIENTO]]), moras[[#This Row],[TIPO_ASEGURAMIENTO]]=""),
    EDA!$A$32,
    moras[[#This Row],[TIPO_ASEGURAMIENTO]]
)</f>
        <v>ASALARIADO</v>
      </c>
    </row>
    <row r="2631" spans="1:16" x14ac:dyDescent="0.3">
      <c r="A2631">
        <v>2630</v>
      </c>
      <c r="B2631" t="s">
        <v>9</v>
      </c>
      <c r="C2631">
        <v>4709745</v>
      </c>
      <c r="D2631" t="s">
        <v>10</v>
      </c>
      <c r="E2631" t="s">
        <v>16</v>
      </c>
      <c r="F2631" t="s">
        <v>12</v>
      </c>
      <c r="G2631" t="s">
        <v>13</v>
      </c>
      <c r="H2631" t="s">
        <v>13</v>
      </c>
      <c r="I2631">
        <v>36</v>
      </c>
      <c r="J2631">
        <f>ABS((I2631-EDA!$A$15)/EDA!$B$15)</f>
        <v>0.42201166760410774</v>
      </c>
      <c r="K2631" t="str">
        <f t="shared" si="41"/>
        <v>No</v>
      </c>
      <c r="L2631">
        <f>ABS((C2631-EDA!$F$15)/EDA!$G$15)</f>
        <v>0.29728049074137702</v>
      </c>
      <c r="M2631" t="str">
        <f>IF(moras[[#This Row],[Z-Score Salario]]&gt;1.96, "Sí", "No")</f>
        <v>No</v>
      </c>
      <c r="N2631" s="14">
        <f>IF(ISBLANK(moras[[#This Row],[SALARIO]]), EDA!$M$8, moras[[#This Row],[SALARIO]])</f>
        <v>4709745</v>
      </c>
      <c r="O2631" s="14">
        <f xml:space="preserve"> IF(ISBLANK(moras[[#This Row],[EDAD]]), EDA!$E$8, moras[[#This Row],[EDAD]])</f>
        <v>36</v>
      </c>
      <c r="P2631" s="14" t="str">
        <f>IF(
    OR(ISBLANK(moras[[#This Row],[TIPO_ASEGURAMIENTO]]), moras[[#This Row],[TIPO_ASEGURAMIENTO]]=""),
    EDA!$A$32,
    moras[[#This Row],[TIPO_ASEGURAMIENTO]]
)</f>
        <v>ASALARIADO</v>
      </c>
    </row>
    <row r="2632" spans="1:16" x14ac:dyDescent="0.3">
      <c r="A2632">
        <v>2631</v>
      </c>
      <c r="B2632" t="s">
        <v>9</v>
      </c>
      <c r="C2632">
        <v>5505905</v>
      </c>
      <c r="D2632" t="s">
        <v>10</v>
      </c>
      <c r="E2632" t="s">
        <v>11</v>
      </c>
      <c r="F2632" t="s">
        <v>12</v>
      </c>
      <c r="G2632" t="s">
        <v>13</v>
      </c>
      <c r="H2632" t="s">
        <v>13</v>
      </c>
      <c r="I2632">
        <v>24</v>
      </c>
      <c r="J2632">
        <f>ABS((I2632-EDA!$A$15)/EDA!$B$15)</f>
        <v>1.2689156285297578</v>
      </c>
      <c r="K2632" t="str">
        <f t="shared" si="41"/>
        <v>No</v>
      </c>
      <c r="L2632">
        <f>ABS((C2632-EDA!$F$15)/EDA!$G$15)</f>
        <v>0.2840318263223221</v>
      </c>
      <c r="M2632" t="str">
        <f>IF(moras[[#This Row],[Z-Score Salario]]&gt;1.96, "Sí", "No")</f>
        <v>No</v>
      </c>
      <c r="N2632" s="14">
        <f>IF(ISBLANK(moras[[#This Row],[SALARIO]]), EDA!$M$8, moras[[#This Row],[SALARIO]])</f>
        <v>5505905</v>
      </c>
      <c r="O2632" s="14">
        <f xml:space="preserve"> IF(ISBLANK(moras[[#This Row],[EDAD]]), EDA!$E$8, moras[[#This Row],[EDAD]])</f>
        <v>24</v>
      </c>
      <c r="P2632" s="14" t="str">
        <f>IF(
    OR(ISBLANK(moras[[#This Row],[TIPO_ASEGURAMIENTO]]), moras[[#This Row],[TIPO_ASEGURAMIENTO]]=""),
    EDA!$A$32,
    moras[[#This Row],[TIPO_ASEGURAMIENTO]]
)</f>
        <v>ASALARIADO</v>
      </c>
    </row>
    <row r="2633" spans="1:16" x14ac:dyDescent="0.3">
      <c r="A2633">
        <v>2632</v>
      </c>
      <c r="B2633" t="s">
        <v>9</v>
      </c>
      <c r="C2633">
        <v>278030</v>
      </c>
      <c r="D2633" t="s">
        <v>19</v>
      </c>
      <c r="E2633" t="s">
        <v>16</v>
      </c>
      <c r="F2633" t="s">
        <v>12</v>
      </c>
      <c r="G2633" t="s">
        <v>13</v>
      </c>
      <c r="H2633" t="s">
        <v>13</v>
      </c>
      <c r="I2633">
        <v>37</v>
      </c>
      <c r="J2633">
        <f>ABS((I2633-EDA!$A$15)/EDA!$B$15)</f>
        <v>0.35143633752697023</v>
      </c>
      <c r="K2633" t="str">
        <f t="shared" si="41"/>
        <v>No</v>
      </c>
      <c r="L2633">
        <f>ABS((C2633-EDA!$F$15)/EDA!$G$15)</f>
        <v>0.37102735674304993</v>
      </c>
      <c r="M2633" t="str">
        <f>IF(moras[[#This Row],[Z-Score Salario]]&gt;1.96, "Sí", "No")</f>
        <v>No</v>
      </c>
      <c r="N2633" s="14">
        <f>IF(ISBLANK(moras[[#This Row],[SALARIO]]), EDA!$M$8, moras[[#This Row],[SALARIO]])</f>
        <v>278030</v>
      </c>
      <c r="O2633" s="14">
        <f xml:space="preserve"> IF(ISBLANK(moras[[#This Row],[EDAD]]), EDA!$E$8, moras[[#This Row],[EDAD]])</f>
        <v>37</v>
      </c>
      <c r="P2633" s="14" t="str">
        <f>IF(
    OR(ISBLANK(moras[[#This Row],[TIPO_ASEGURAMIENTO]]), moras[[#This Row],[TIPO_ASEGURAMIENTO]]=""),
    EDA!$A$32,
    moras[[#This Row],[TIPO_ASEGURAMIENTO]]
)</f>
        <v>CONVENIOS ESPECIALES DE TRABAJADORES INDEPENDIENTES</v>
      </c>
    </row>
    <row r="2634" spans="1:16" x14ac:dyDescent="0.3">
      <c r="A2634">
        <v>2633</v>
      </c>
      <c r="B2634" t="s">
        <v>15</v>
      </c>
      <c r="C2634">
        <v>278030</v>
      </c>
      <c r="D2634" t="s">
        <v>17</v>
      </c>
      <c r="E2634" t="s">
        <v>16</v>
      </c>
      <c r="F2634" t="s">
        <v>12</v>
      </c>
      <c r="G2634" t="s">
        <v>12</v>
      </c>
      <c r="H2634" t="s">
        <v>13</v>
      </c>
      <c r="I2634">
        <v>25</v>
      </c>
      <c r="J2634">
        <f>ABS((I2634-EDA!$A$15)/EDA!$B$15)</f>
        <v>1.1983402984526204</v>
      </c>
      <c r="K2634" t="str">
        <f t="shared" si="41"/>
        <v>No</v>
      </c>
      <c r="L2634">
        <f>ABS((C2634-EDA!$F$15)/EDA!$G$15)</f>
        <v>0.37102735674304993</v>
      </c>
      <c r="M2634" t="str">
        <f>IF(moras[[#This Row],[Z-Score Salario]]&gt;1.96, "Sí", "No")</f>
        <v>No</v>
      </c>
      <c r="N2634" s="14">
        <f>IF(ISBLANK(moras[[#This Row],[SALARIO]]), EDA!$M$8, moras[[#This Row],[SALARIO]])</f>
        <v>278030</v>
      </c>
      <c r="O2634" s="14">
        <f xml:space="preserve"> IF(ISBLANK(moras[[#This Row],[EDAD]]), EDA!$E$8, moras[[#This Row],[EDAD]])</f>
        <v>25</v>
      </c>
      <c r="P2634" s="14" t="str">
        <f>IF(
    OR(ISBLANK(moras[[#This Row],[TIPO_ASEGURAMIENTO]]), moras[[#This Row],[TIPO_ASEGURAMIENTO]]=""),
    EDA!$A$32,
    moras[[#This Row],[TIPO_ASEGURAMIENTO]]
)</f>
        <v>ASEGURADO VOLUNTARIO</v>
      </c>
    </row>
    <row r="2635" spans="1:16" x14ac:dyDescent="0.3">
      <c r="A2635">
        <v>2634</v>
      </c>
      <c r="B2635" t="s">
        <v>9</v>
      </c>
      <c r="C2635">
        <v>369875</v>
      </c>
      <c r="D2635" t="s">
        <v>10</v>
      </c>
      <c r="E2635" t="s">
        <v>16</v>
      </c>
      <c r="F2635" t="s">
        <v>12</v>
      </c>
      <c r="G2635" t="s">
        <v>13</v>
      </c>
      <c r="H2635" t="s">
        <v>13</v>
      </c>
      <c r="I2635">
        <v>28</v>
      </c>
      <c r="J2635">
        <f>ABS((I2635-EDA!$A$15)/EDA!$B$15)</f>
        <v>0.98661430822120777</v>
      </c>
      <c r="K2635" t="str">
        <f t="shared" si="41"/>
        <v>No</v>
      </c>
      <c r="L2635">
        <f>ABS((C2635-EDA!$F$15)/EDA!$G$15)</f>
        <v>0.36949899110854417</v>
      </c>
      <c r="M2635" t="str">
        <f>IF(moras[[#This Row],[Z-Score Salario]]&gt;1.96, "Sí", "No")</f>
        <v>No</v>
      </c>
      <c r="N2635" s="14">
        <f>IF(ISBLANK(moras[[#This Row],[SALARIO]]), EDA!$M$8, moras[[#This Row],[SALARIO]])</f>
        <v>369875</v>
      </c>
      <c r="O2635" s="14">
        <f xml:space="preserve"> IF(ISBLANK(moras[[#This Row],[EDAD]]), EDA!$E$8, moras[[#This Row],[EDAD]])</f>
        <v>28</v>
      </c>
      <c r="P2635" s="14" t="str">
        <f>IF(
    OR(ISBLANK(moras[[#This Row],[TIPO_ASEGURAMIENTO]]), moras[[#This Row],[TIPO_ASEGURAMIENTO]]=""),
    EDA!$A$32,
    moras[[#This Row],[TIPO_ASEGURAMIENTO]]
)</f>
        <v>ASALARIADO</v>
      </c>
    </row>
    <row r="2636" spans="1:16" x14ac:dyDescent="0.3">
      <c r="A2636">
        <v>2635</v>
      </c>
      <c r="B2636" t="s">
        <v>15</v>
      </c>
      <c r="C2636">
        <v>386020</v>
      </c>
      <c r="D2636" t="s">
        <v>10</v>
      </c>
      <c r="E2636" t="s">
        <v>16</v>
      </c>
      <c r="F2636" t="s">
        <v>12</v>
      </c>
      <c r="G2636" t="s">
        <v>13</v>
      </c>
      <c r="H2636" t="s">
        <v>13</v>
      </c>
      <c r="I2636">
        <v>59</v>
      </c>
      <c r="J2636">
        <f>ABS((I2636-EDA!$A$15)/EDA!$B$15)</f>
        <v>1.2012209241700549</v>
      </c>
      <c r="K2636" t="str">
        <f t="shared" si="41"/>
        <v>No</v>
      </c>
      <c r="L2636">
        <f>ABS((C2636-EDA!$F$15)/EDA!$G$15)</f>
        <v>0.36923032691159174</v>
      </c>
      <c r="M2636" t="str">
        <f>IF(moras[[#This Row],[Z-Score Salario]]&gt;1.96, "Sí", "No")</f>
        <v>No</v>
      </c>
      <c r="N2636" s="14">
        <f>IF(ISBLANK(moras[[#This Row],[SALARIO]]), EDA!$M$8, moras[[#This Row],[SALARIO]])</f>
        <v>386020</v>
      </c>
      <c r="O2636" s="14">
        <f xml:space="preserve"> IF(ISBLANK(moras[[#This Row],[EDAD]]), EDA!$E$8, moras[[#This Row],[EDAD]])</f>
        <v>59</v>
      </c>
      <c r="P2636" s="14" t="str">
        <f>IF(
    OR(ISBLANK(moras[[#This Row],[TIPO_ASEGURAMIENTO]]), moras[[#This Row],[TIPO_ASEGURAMIENTO]]=""),
    EDA!$A$32,
    moras[[#This Row],[TIPO_ASEGURAMIENTO]]
)</f>
        <v>ASALARIADO</v>
      </c>
    </row>
    <row r="2637" spans="1:16" x14ac:dyDescent="0.3">
      <c r="A2637">
        <v>2636</v>
      </c>
      <c r="B2637" t="s">
        <v>15</v>
      </c>
      <c r="C2637">
        <v>539036</v>
      </c>
      <c r="D2637" t="s">
        <v>10</v>
      </c>
      <c r="E2637" t="s">
        <v>11</v>
      </c>
      <c r="F2637" t="s">
        <v>12</v>
      </c>
      <c r="G2637" t="s">
        <v>13</v>
      </c>
      <c r="H2637" t="s">
        <v>13</v>
      </c>
      <c r="I2637">
        <v>32</v>
      </c>
      <c r="J2637">
        <f>ABS((I2637-EDA!$A$15)/EDA!$B$15)</f>
        <v>0.70431298791265773</v>
      </c>
      <c r="K2637" t="str">
        <f t="shared" si="41"/>
        <v>No</v>
      </c>
      <c r="L2637">
        <f>ABS((C2637-EDA!$F$15)/EDA!$G$15)</f>
        <v>0.36668403265573096</v>
      </c>
      <c r="M2637" t="str">
        <f>IF(moras[[#This Row],[Z-Score Salario]]&gt;1.96, "Sí", "No")</f>
        <v>No</v>
      </c>
      <c r="N2637" s="14">
        <f>IF(ISBLANK(moras[[#This Row],[SALARIO]]), EDA!$M$8, moras[[#This Row],[SALARIO]])</f>
        <v>539036</v>
      </c>
      <c r="O2637" s="14">
        <f xml:space="preserve"> IF(ISBLANK(moras[[#This Row],[EDAD]]), EDA!$E$8, moras[[#This Row],[EDAD]])</f>
        <v>32</v>
      </c>
      <c r="P2637" s="14" t="str">
        <f>IF(
    OR(ISBLANK(moras[[#This Row],[TIPO_ASEGURAMIENTO]]), moras[[#This Row],[TIPO_ASEGURAMIENTO]]=""),
    EDA!$A$32,
    moras[[#This Row],[TIPO_ASEGURAMIENTO]]
)</f>
        <v>ASALARIADO</v>
      </c>
    </row>
    <row r="2638" spans="1:16" x14ac:dyDescent="0.3">
      <c r="A2638">
        <v>2637</v>
      </c>
      <c r="B2638" t="s">
        <v>9</v>
      </c>
      <c r="C2638">
        <v>623700</v>
      </c>
      <c r="D2638" t="s">
        <v>10</v>
      </c>
      <c r="E2638" t="s">
        <v>16</v>
      </c>
      <c r="F2638" t="s">
        <v>12</v>
      </c>
      <c r="G2638" t="s">
        <v>13</v>
      </c>
      <c r="H2638" t="s">
        <v>13</v>
      </c>
      <c r="I2638">
        <v>35</v>
      </c>
      <c r="J2638">
        <f>ABS((I2638-EDA!$A$15)/EDA!$B$15)</f>
        <v>0.49258699768124525</v>
      </c>
      <c r="K2638" t="str">
        <f t="shared" si="41"/>
        <v>No</v>
      </c>
      <c r="L2638">
        <f>ABS((C2638-EDA!$F$15)/EDA!$G$15)</f>
        <v>0.36527516393038073</v>
      </c>
      <c r="M2638" t="str">
        <f>IF(moras[[#This Row],[Z-Score Salario]]&gt;1.96, "Sí", "No")</f>
        <v>No</v>
      </c>
      <c r="N2638" s="14">
        <f>IF(ISBLANK(moras[[#This Row],[SALARIO]]), EDA!$M$8, moras[[#This Row],[SALARIO]])</f>
        <v>623700</v>
      </c>
      <c r="O2638" s="14">
        <f xml:space="preserve"> IF(ISBLANK(moras[[#This Row],[EDAD]]), EDA!$E$8, moras[[#This Row],[EDAD]])</f>
        <v>35</v>
      </c>
      <c r="P2638" s="14" t="str">
        <f>IF(
    OR(ISBLANK(moras[[#This Row],[TIPO_ASEGURAMIENTO]]), moras[[#This Row],[TIPO_ASEGURAMIENTO]]=""),
    EDA!$A$32,
    moras[[#This Row],[TIPO_ASEGURAMIENTO]]
)</f>
        <v>ASALARIADO</v>
      </c>
    </row>
    <row r="2639" spans="1:16" x14ac:dyDescent="0.3">
      <c r="A2639">
        <v>2638</v>
      </c>
      <c r="B2639" t="s">
        <v>9</v>
      </c>
      <c r="C2639">
        <v>302470</v>
      </c>
      <c r="D2639" t="s">
        <v>17</v>
      </c>
      <c r="E2639" t="s">
        <v>16</v>
      </c>
      <c r="F2639" t="s">
        <v>12</v>
      </c>
      <c r="G2639" t="s">
        <v>13</v>
      </c>
      <c r="H2639" t="s">
        <v>13</v>
      </c>
      <c r="I2639">
        <v>29</v>
      </c>
      <c r="J2639">
        <f>ABS((I2639-EDA!$A$15)/EDA!$B$15)</f>
        <v>0.91603897814407031</v>
      </c>
      <c r="K2639" t="str">
        <f t="shared" si="41"/>
        <v>No</v>
      </c>
      <c r="L2639">
        <f>ABS((C2639-EDA!$F$15)/EDA!$G$15)</f>
        <v>0.37062065789055582</v>
      </c>
      <c r="M2639" t="str">
        <f>IF(moras[[#This Row],[Z-Score Salario]]&gt;1.96, "Sí", "No")</f>
        <v>No</v>
      </c>
      <c r="N2639" s="14">
        <f>IF(ISBLANK(moras[[#This Row],[SALARIO]]), EDA!$M$8, moras[[#This Row],[SALARIO]])</f>
        <v>302470</v>
      </c>
      <c r="O2639" s="14">
        <f xml:space="preserve"> IF(ISBLANK(moras[[#This Row],[EDAD]]), EDA!$E$8, moras[[#This Row],[EDAD]])</f>
        <v>29</v>
      </c>
      <c r="P2639" s="14" t="str">
        <f>IF(
    OR(ISBLANK(moras[[#This Row],[TIPO_ASEGURAMIENTO]]), moras[[#This Row],[TIPO_ASEGURAMIENTO]]=""),
    EDA!$A$32,
    moras[[#This Row],[TIPO_ASEGURAMIENTO]]
)</f>
        <v>ASEGURADO VOLUNTARIO</v>
      </c>
    </row>
    <row r="2640" spans="1:16" x14ac:dyDescent="0.3">
      <c r="A2640">
        <v>2639</v>
      </c>
      <c r="B2640" t="s">
        <v>15</v>
      </c>
      <c r="C2640">
        <v>8175747</v>
      </c>
      <c r="D2640" t="s">
        <v>10</v>
      </c>
      <c r="E2640" t="s">
        <v>16</v>
      </c>
      <c r="F2640" t="s">
        <v>12</v>
      </c>
      <c r="G2640" t="s">
        <v>13</v>
      </c>
      <c r="H2640" t="s">
        <v>13</v>
      </c>
      <c r="I2640">
        <v>22</v>
      </c>
      <c r="J2640">
        <f>ABS((I2640-EDA!$A$15)/EDA!$B$15)</f>
        <v>1.4100662886840327</v>
      </c>
      <c r="K2640" t="str">
        <f t="shared" si="41"/>
        <v>No</v>
      </c>
      <c r="L2640">
        <f>ABS((C2640-EDA!$F$15)/EDA!$G$15)</f>
        <v>0.23960377076828976</v>
      </c>
      <c r="M2640" t="str">
        <f>IF(moras[[#This Row],[Z-Score Salario]]&gt;1.96, "Sí", "No")</f>
        <v>No</v>
      </c>
      <c r="N2640" s="14">
        <f>IF(ISBLANK(moras[[#This Row],[SALARIO]]), EDA!$M$8, moras[[#This Row],[SALARIO]])</f>
        <v>8175747</v>
      </c>
      <c r="O2640" s="14">
        <f xml:space="preserve"> IF(ISBLANK(moras[[#This Row],[EDAD]]), EDA!$E$8, moras[[#This Row],[EDAD]])</f>
        <v>22</v>
      </c>
      <c r="P2640" s="14" t="str">
        <f>IF(
    OR(ISBLANK(moras[[#This Row],[TIPO_ASEGURAMIENTO]]), moras[[#This Row],[TIPO_ASEGURAMIENTO]]=""),
    EDA!$A$32,
    moras[[#This Row],[TIPO_ASEGURAMIENTO]]
)</f>
        <v>ASALARIADO</v>
      </c>
    </row>
    <row r="2641" spans="1:16" x14ac:dyDescent="0.3">
      <c r="A2641">
        <v>2640</v>
      </c>
      <c r="B2641" t="s">
        <v>9</v>
      </c>
      <c r="C2641">
        <v>70376613</v>
      </c>
      <c r="D2641" t="s">
        <v>10</v>
      </c>
      <c r="E2641" t="s">
        <v>16</v>
      </c>
      <c r="F2641" t="s">
        <v>12</v>
      </c>
      <c r="G2641" t="s">
        <v>13</v>
      </c>
      <c r="H2641" t="s">
        <v>13</v>
      </c>
      <c r="I2641">
        <v>45</v>
      </c>
      <c r="J2641">
        <f>ABS((I2641-EDA!$A$15)/EDA!$B$15)</f>
        <v>0.21316630309012977</v>
      </c>
      <c r="K2641" t="str">
        <f t="shared" si="41"/>
        <v>No</v>
      </c>
      <c r="L2641">
        <f>ABS((C2641-EDA!$F$15)/EDA!$G$15)</f>
        <v>0.79546254782169457</v>
      </c>
      <c r="M2641" t="str">
        <f>IF(moras[[#This Row],[Z-Score Salario]]&gt;1.96, "Sí", "No")</f>
        <v>No</v>
      </c>
      <c r="N2641" s="14">
        <f>IF(ISBLANK(moras[[#This Row],[SALARIO]]), EDA!$M$8, moras[[#This Row],[SALARIO]])</f>
        <v>70376613</v>
      </c>
      <c r="O2641" s="14">
        <f xml:space="preserve"> IF(ISBLANK(moras[[#This Row],[EDAD]]), EDA!$E$8, moras[[#This Row],[EDAD]])</f>
        <v>45</v>
      </c>
      <c r="P2641" s="14" t="str">
        <f>IF(
    OR(ISBLANK(moras[[#This Row],[TIPO_ASEGURAMIENTO]]), moras[[#This Row],[TIPO_ASEGURAMIENTO]]=""),
    EDA!$A$32,
    moras[[#This Row],[TIPO_ASEGURAMIENTO]]
)</f>
        <v>ASALARIADO</v>
      </c>
    </row>
    <row r="2642" spans="1:16" x14ac:dyDescent="0.3">
      <c r="A2642">
        <v>2641</v>
      </c>
      <c r="B2642" t="s">
        <v>9</v>
      </c>
      <c r="C2642">
        <v>361421</v>
      </c>
      <c r="D2642" t="s">
        <v>18</v>
      </c>
      <c r="E2642" t="s">
        <v>16</v>
      </c>
      <c r="F2642" t="s">
        <v>12</v>
      </c>
      <c r="G2642" t="s">
        <v>13</v>
      </c>
      <c r="H2642" t="s">
        <v>13</v>
      </c>
      <c r="I2642">
        <v>51</v>
      </c>
      <c r="J2642">
        <f>ABS((I2642-EDA!$A$15)/EDA!$B$15)</f>
        <v>0.6366182835529548</v>
      </c>
      <c r="K2642" t="str">
        <f t="shared" si="41"/>
        <v>No</v>
      </c>
      <c r="L2642">
        <f>ABS((C2642-EDA!$F$15)/EDA!$G$15)</f>
        <v>0.36963967163632588</v>
      </c>
      <c r="M2642" t="str">
        <f>IF(moras[[#This Row],[Z-Score Salario]]&gt;1.96, "Sí", "No")</f>
        <v>No</v>
      </c>
      <c r="N2642" s="14">
        <f>IF(ISBLANK(moras[[#This Row],[SALARIO]]), EDA!$M$8, moras[[#This Row],[SALARIO]])</f>
        <v>361421</v>
      </c>
      <c r="O2642" s="14">
        <f xml:space="preserve"> IF(ISBLANK(moras[[#This Row],[EDAD]]), EDA!$E$8, moras[[#This Row],[EDAD]])</f>
        <v>51</v>
      </c>
      <c r="P2642" s="14" t="str">
        <f>IF(
    OR(ISBLANK(moras[[#This Row],[TIPO_ASEGURAMIENTO]]), moras[[#This Row],[TIPO_ASEGURAMIENTO]]=""),
    EDA!$A$32,
    moras[[#This Row],[TIPO_ASEGURAMIENTO]]
)</f>
        <v>TRABAJADOR INDEPENDIENTE</v>
      </c>
    </row>
    <row r="2643" spans="1:16" x14ac:dyDescent="0.3">
      <c r="A2643">
        <v>2642</v>
      </c>
      <c r="B2643" t="s">
        <v>15</v>
      </c>
      <c r="C2643">
        <v>33072257</v>
      </c>
      <c r="D2643" t="s">
        <v>10</v>
      </c>
      <c r="E2643" t="s">
        <v>16</v>
      </c>
      <c r="F2643" t="s">
        <v>12</v>
      </c>
      <c r="G2643" t="s">
        <v>13</v>
      </c>
      <c r="H2643" t="s">
        <v>13</v>
      </c>
      <c r="I2643">
        <v>37</v>
      </c>
      <c r="J2643">
        <f>ABS((I2643-EDA!$A$15)/EDA!$B$15)</f>
        <v>0.35143633752697023</v>
      </c>
      <c r="K2643" t="str">
        <f t="shared" si="41"/>
        <v>No</v>
      </c>
      <c r="L2643">
        <f>ABS((C2643-EDA!$F$15)/EDA!$G$15)</f>
        <v>0.17469173038178637</v>
      </c>
      <c r="M2643" t="str">
        <f>IF(moras[[#This Row],[Z-Score Salario]]&gt;1.96, "Sí", "No")</f>
        <v>No</v>
      </c>
      <c r="N2643" s="14">
        <f>IF(ISBLANK(moras[[#This Row],[SALARIO]]), EDA!$M$8, moras[[#This Row],[SALARIO]])</f>
        <v>33072257</v>
      </c>
      <c r="O2643" s="14">
        <f xml:space="preserve"> IF(ISBLANK(moras[[#This Row],[EDAD]]), EDA!$E$8, moras[[#This Row],[EDAD]])</f>
        <v>37</v>
      </c>
      <c r="P2643" s="14" t="str">
        <f>IF(
    OR(ISBLANK(moras[[#This Row],[TIPO_ASEGURAMIENTO]]), moras[[#This Row],[TIPO_ASEGURAMIENTO]]=""),
    EDA!$A$32,
    moras[[#This Row],[TIPO_ASEGURAMIENTO]]
)</f>
        <v>ASALARIADO</v>
      </c>
    </row>
    <row r="2644" spans="1:16" x14ac:dyDescent="0.3">
      <c r="A2644">
        <v>2643</v>
      </c>
      <c r="B2644" t="s">
        <v>9</v>
      </c>
      <c r="C2644">
        <v>291514</v>
      </c>
      <c r="D2644" t="s">
        <v>18</v>
      </c>
      <c r="E2644" t="s">
        <v>16</v>
      </c>
      <c r="F2644" t="s">
        <v>12</v>
      </c>
      <c r="G2644" t="s">
        <v>13</v>
      </c>
      <c r="H2644" t="s">
        <v>12</v>
      </c>
      <c r="I2644">
        <v>28</v>
      </c>
      <c r="J2644">
        <f>ABS((I2644-EDA!$A$15)/EDA!$B$15)</f>
        <v>0.98661430822120777</v>
      </c>
      <c r="K2644" t="str">
        <f t="shared" si="41"/>
        <v>No</v>
      </c>
      <c r="L2644">
        <f>ABS((C2644-EDA!$F$15)/EDA!$G$15)</f>
        <v>0.37080297346452984</v>
      </c>
      <c r="M2644" t="str">
        <f>IF(moras[[#This Row],[Z-Score Salario]]&gt;1.96, "Sí", "No")</f>
        <v>No</v>
      </c>
      <c r="N2644" s="14">
        <f>IF(ISBLANK(moras[[#This Row],[SALARIO]]), EDA!$M$8, moras[[#This Row],[SALARIO]])</f>
        <v>291514</v>
      </c>
      <c r="O2644" s="14">
        <f xml:space="preserve"> IF(ISBLANK(moras[[#This Row],[EDAD]]), EDA!$E$8, moras[[#This Row],[EDAD]])</f>
        <v>28</v>
      </c>
      <c r="P2644" s="14" t="str">
        <f>IF(
    OR(ISBLANK(moras[[#This Row],[TIPO_ASEGURAMIENTO]]), moras[[#This Row],[TIPO_ASEGURAMIENTO]]=""),
    EDA!$A$32,
    moras[[#This Row],[TIPO_ASEGURAMIENTO]]
)</f>
        <v>TRABAJADOR INDEPENDIENTE</v>
      </c>
    </row>
    <row r="2645" spans="1:16" x14ac:dyDescent="0.3">
      <c r="A2645">
        <v>2644</v>
      </c>
      <c r="B2645" t="s">
        <v>15</v>
      </c>
      <c r="C2645">
        <v>199067</v>
      </c>
      <c r="D2645" t="s">
        <v>10</v>
      </c>
      <c r="E2645" t="s">
        <v>11</v>
      </c>
      <c r="F2645" t="s">
        <v>12</v>
      </c>
      <c r="G2645" t="s">
        <v>13</v>
      </c>
      <c r="H2645" t="s">
        <v>12</v>
      </c>
      <c r="I2645">
        <v>25</v>
      </c>
      <c r="J2645">
        <f>ABS((I2645-EDA!$A$15)/EDA!$B$15)</f>
        <v>1.1983402984526204</v>
      </c>
      <c r="K2645" t="str">
        <f t="shared" si="41"/>
        <v>No</v>
      </c>
      <c r="L2645">
        <f>ABS((C2645-EDA!$F$15)/EDA!$G$15)</f>
        <v>0.37234135680399477</v>
      </c>
      <c r="M2645" t="str">
        <f>IF(moras[[#This Row],[Z-Score Salario]]&gt;1.96, "Sí", "No")</f>
        <v>No</v>
      </c>
      <c r="N2645" s="14">
        <f>IF(ISBLANK(moras[[#This Row],[SALARIO]]), EDA!$M$8, moras[[#This Row],[SALARIO]])</f>
        <v>199067</v>
      </c>
      <c r="O2645" s="14">
        <f xml:space="preserve"> IF(ISBLANK(moras[[#This Row],[EDAD]]), EDA!$E$8, moras[[#This Row],[EDAD]])</f>
        <v>25</v>
      </c>
      <c r="P2645" s="14" t="str">
        <f>IF(
    OR(ISBLANK(moras[[#This Row],[TIPO_ASEGURAMIENTO]]), moras[[#This Row],[TIPO_ASEGURAMIENTO]]=""),
    EDA!$A$32,
    moras[[#This Row],[TIPO_ASEGURAMIENTO]]
)</f>
        <v>ASALARIADO</v>
      </c>
    </row>
    <row r="2646" spans="1:16" x14ac:dyDescent="0.3">
      <c r="A2646">
        <v>2645</v>
      </c>
      <c r="B2646" t="s">
        <v>9</v>
      </c>
      <c r="C2646">
        <v>14615055</v>
      </c>
      <c r="D2646" t="s">
        <v>10</v>
      </c>
      <c r="E2646" t="s">
        <v>16</v>
      </c>
      <c r="F2646" t="s">
        <v>12</v>
      </c>
      <c r="G2646" t="s">
        <v>13</v>
      </c>
      <c r="H2646" t="s">
        <v>13</v>
      </c>
      <c r="I2646">
        <v>46</v>
      </c>
      <c r="J2646">
        <f>ABS((I2646-EDA!$A$15)/EDA!$B$15)</f>
        <v>0.2837416331672673</v>
      </c>
      <c r="K2646" t="str">
        <f t="shared" si="41"/>
        <v>No</v>
      </c>
      <c r="L2646">
        <f>ABS((C2646-EDA!$F$15)/EDA!$G$15)</f>
        <v>0.13244914006223119</v>
      </c>
      <c r="M2646" t="str">
        <f>IF(moras[[#This Row],[Z-Score Salario]]&gt;1.96, "Sí", "No")</f>
        <v>No</v>
      </c>
      <c r="N2646" s="14">
        <f>IF(ISBLANK(moras[[#This Row],[SALARIO]]), EDA!$M$8, moras[[#This Row],[SALARIO]])</f>
        <v>14615055</v>
      </c>
      <c r="O2646" s="14">
        <f xml:space="preserve"> IF(ISBLANK(moras[[#This Row],[EDAD]]), EDA!$E$8, moras[[#This Row],[EDAD]])</f>
        <v>46</v>
      </c>
      <c r="P2646" s="14" t="str">
        <f>IF(
    OR(ISBLANK(moras[[#This Row],[TIPO_ASEGURAMIENTO]]), moras[[#This Row],[TIPO_ASEGURAMIENTO]]=""),
    EDA!$A$32,
    moras[[#This Row],[TIPO_ASEGURAMIENTO]]
)</f>
        <v>ASALARIADO</v>
      </c>
    </row>
    <row r="2647" spans="1:16" x14ac:dyDescent="0.3">
      <c r="A2647">
        <v>2646</v>
      </c>
      <c r="B2647" t="s">
        <v>9</v>
      </c>
      <c r="C2647">
        <v>74539294</v>
      </c>
      <c r="D2647" t="s">
        <v>10</v>
      </c>
      <c r="E2647" t="s">
        <v>16</v>
      </c>
      <c r="F2647" t="s">
        <v>12</v>
      </c>
      <c r="G2647" t="s">
        <v>13</v>
      </c>
      <c r="H2647" t="s">
        <v>13</v>
      </c>
      <c r="I2647">
        <v>56</v>
      </c>
      <c r="J2647">
        <f>ABS((I2647-EDA!$A$15)/EDA!$B$15)</f>
        <v>0.9894949339386423</v>
      </c>
      <c r="K2647" t="str">
        <f t="shared" si="41"/>
        <v>No</v>
      </c>
      <c r="L2647">
        <f>ABS((C2647-EDA!$F$15)/EDA!$G$15)</f>
        <v>0.86473249814898545</v>
      </c>
      <c r="M2647" t="str">
        <f>IF(moras[[#This Row],[Z-Score Salario]]&gt;1.96, "Sí", "No")</f>
        <v>No</v>
      </c>
      <c r="N2647" s="14">
        <f>IF(ISBLANK(moras[[#This Row],[SALARIO]]), EDA!$M$8, moras[[#This Row],[SALARIO]])</f>
        <v>74539294</v>
      </c>
      <c r="O2647" s="14">
        <f xml:space="preserve"> IF(ISBLANK(moras[[#This Row],[EDAD]]), EDA!$E$8, moras[[#This Row],[EDAD]])</f>
        <v>56</v>
      </c>
      <c r="P2647" s="14" t="str">
        <f>IF(
    OR(ISBLANK(moras[[#This Row],[TIPO_ASEGURAMIENTO]]), moras[[#This Row],[TIPO_ASEGURAMIENTO]]=""),
    EDA!$A$32,
    moras[[#This Row],[TIPO_ASEGURAMIENTO]]
)</f>
        <v>ASALARIADO</v>
      </c>
    </row>
    <row r="2648" spans="1:16" x14ac:dyDescent="0.3">
      <c r="A2648">
        <v>2647</v>
      </c>
      <c r="B2648" t="s">
        <v>9</v>
      </c>
      <c r="C2648">
        <v>297046</v>
      </c>
      <c r="D2648" t="s">
        <v>18</v>
      </c>
      <c r="E2648" t="s">
        <v>16</v>
      </c>
      <c r="F2648" t="s">
        <v>13</v>
      </c>
      <c r="G2648" t="s">
        <v>13</v>
      </c>
      <c r="H2648" t="s">
        <v>13</v>
      </c>
      <c r="I2648">
        <v>58</v>
      </c>
      <c r="J2648">
        <f>ABS((I2648-EDA!$A$15)/EDA!$B$15)</f>
        <v>1.1306455940929174</v>
      </c>
      <c r="K2648" t="str">
        <f t="shared" si="41"/>
        <v>No</v>
      </c>
      <c r="L2648">
        <f>ABS((C2648-EDA!$F$15)/EDA!$G$15)</f>
        <v>0.37071091707942361</v>
      </c>
      <c r="M2648" t="str">
        <f>IF(moras[[#This Row],[Z-Score Salario]]&gt;1.96, "Sí", "No")</f>
        <v>No</v>
      </c>
      <c r="N2648" s="14">
        <f>IF(ISBLANK(moras[[#This Row],[SALARIO]]), EDA!$M$8, moras[[#This Row],[SALARIO]])</f>
        <v>297046</v>
      </c>
      <c r="O2648" s="14">
        <f xml:space="preserve"> IF(ISBLANK(moras[[#This Row],[EDAD]]), EDA!$E$8, moras[[#This Row],[EDAD]])</f>
        <v>58</v>
      </c>
      <c r="P2648" s="14" t="str">
        <f>IF(
    OR(ISBLANK(moras[[#This Row],[TIPO_ASEGURAMIENTO]]), moras[[#This Row],[TIPO_ASEGURAMIENTO]]=""),
    EDA!$A$32,
    moras[[#This Row],[TIPO_ASEGURAMIENTO]]
)</f>
        <v>TRABAJADOR INDEPENDIENTE</v>
      </c>
    </row>
    <row r="2649" spans="1:16" x14ac:dyDescent="0.3">
      <c r="A2649">
        <v>2648</v>
      </c>
      <c r="B2649" t="s">
        <v>15</v>
      </c>
      <c r="C2649">
        <v>2029604</v>
      </c>
      <c r="D2649" t="s">
        <v>14</v>
      </c>
      <c r="E2649" t="s">
        <v>11</v>
      </c>
      <c r="F2649" t="s">
        <v>12</v>
      </c>
      <c r="G2649" t="s">
        <v>13</v>
      </c>
      <c r="H2649" t="s">
        <v>13</v>
      </c>
      <c r="I2649">
        <v>72</v>
      </c>
      <c r="J2649">
        <f>ABS((I2649-EDA!$A$15)/EDA!$B$15)</f>
        <v>2.1187002151728422</v>
      </c>
      <c r="K2649" t="str">
        <f t="shared" si="41"/>
        <v>Sí</v>
      </c>
      <c r="L2649">
        <f>ABS((C2649-EDA!$F$15)/EDA!$G$15)</f>
        <v>0.34187992892559904</v>
      </c>
      <c r="M2649" t="str">
        <f>IF(moras[[#This Row],[Z-Score Salario]]&gt;1.96, "Sí", "No")</f>
        <v>No</v>
      </c>
      <c r="N2649" s="14">
        <f>IF(ISBLANK(moras[[#This Row],[SALARIO]]), EDA!$M$8, moras[[#This Row],[SALARIO]])</f>
        <v>2029604</v>
      </c>
      <c r="O2649" s="14">
        <f xml:space="preserve"> IF(ISBLANK(moras[[#This Row],[EDAD]]), EDA!$E$8, moras[[#This Row],[EDAD]])</f>
        <v>72</v>
      </c>
      <c r="P2649" s="14" t="str">
        <f>IF(
    OR(ISBLANK(moras[[#This Row],[TIPO_ASEGURAMIENTO]]), moras[[#This Row],[TIPO_ASEGURAMIENTO]]=""),
    EDA!$A$32,
    moras[[#This Row],[TIPO_ASEGURAMIENTO]]
)</f>
        <v>PENSIONADOS EN SU PROPIO SISTEMA</v>
      </c>
    </row>
    <row r="2650" spans="1:16" x14ac:dyDescent="0.3">
      <c r="A2650">
        <v>2649</v>
      </c>
      <c r="B2650" t="s">
        <v>15</v>
      </c>
      <c r="C2650">
        <v>360000</v>
      </c>
      <c r="D2650" t="s">
        <v>10</v>
      </c>
      <c r="E2650" t="s">
        <v>16</v>
      </c>
      <c r="F2650" t="s">
        <v>12</v>
      </c>
      <c r="G2650" t="s">
        <v>13</v>
      </c>
      <c r="H2650" t="s">
        <v>13</v>
      </c>
      <c r="I2650">
        <v>30</v>
      </c>
      <c r="J2650">
        <f>ABS((I2650-EDA!$A$15)/EDA!$B$15)</f>
        <v>0.84546364806693275</v>
      </c>
      <c r="K2650" t="str">
        <f t="shared" si="41"/>
        <v>No</v>
      </c>
      <c r="L2650">
        <f>ABS((C2650-EDA!$F$15)/EDA!$G$15)</f>
        <v>0.36966331807942709</v>
      </c>
      <c r="M2650" t="str">
        <f>IF(moras[[#This Row],[Z-Score Salario]]&gt;1.96, "Sí", "No")</f>
        <v>No</v>
      </c>
      <c r="N2650" s="14">
        <f>IF(ISBLANK(moras[[#This Row],[SALARIO]]), EDA!$M$8, moras[[#This Row],[SALARIO]])</f>
        <v>360000</v>
      </c>
      <c r="O2650" s="14">
        <f xml:space="preserve"> IF(ISBLANK(moras[[#This Row],[EDAD]]), EDA!$E$8, moras[[#This Row],[EDAD]])</f>
        <v>30</v>
      </c>
      <c r="P2650" s="14" t="str">
        <f>IF(
    OR(ISBLANK(moras[[#This Row],[TIPO_ASEGURAMIENTO]]), moras[[#This Row],[TIPO_ASEGURAMIENTO]]=""),
    EDA!$A$32,
    moras[[#This Row],[TIPO_ASEGURAMIENTO]]
)</f>
        <v>ASALARIADO</v>
      </c>
    </row>
    <row r="2651" spans="1:16" x14ac:dyDescent="0.3">
      <c r="A2651">
        <v>2650</v>
      </c>
      <c r="B2651" t="s">
        <v>9</v>
      </c>
      <c r="C2651">
        <v>300018</v>
      </c>
      <c r="D2651" t="s">
        <v>18</v>
      </c>
      <c r="E2651" t="s">
        <v>16</v>
      </c>
      <c r="F2651" t="s">
        <v>12</v>
      </c>
      <c r="G2651" t="s">
        <v>13</v>
      </c>
      <c r="H2651" t="s">
        <v>12</v>
      </c>
      <c r="I2651">
        <v>62</v>
      </c>
      <c r="J2651">
        <f>ABS((I2651-EDA!$A$15)/EDA!$B$15)</f>
        <v>1.4129469144014672</v>
      </c>
      <c r="K2651" t="str">
        <f t="shared" si="41"/>
        <v>No</v>
      </c>
      <c r="L2651">
        <f>ABS((C2651-EDA!$F$15)/EDA!$G$15)</f>
        <v>0.37066146090145252</v>
      </c>
      <c r="M2651" t="str">
        <f>IF(moras[[#This Row],[Z-Score Salario]]&gt;1.96, "Sí", "No")</f>
        <v>No</v>
      </c>
      <c r="N2651" s="14">
        <f>IF(ISBLANK(moras[[#This Row],[SALARIO]]), EDA!$M$8, moras[[#This Row],[SALARIO]])</f>
        <v>300018</v>
      </c>
      <c r="O2651" s="14">
        <f xml:space="preserve"> IF(ISBLANK(moras[[#This Row],[EDAD]]), EDA!$E$8, moras[[#This Row],[EDAD]])</f>
        <v>62</v>
      </c>
      <c r="P2651" s="14" t="str">
        <f>IF(
    OR(ISBLANK(moras[[#This Row],[TIPO_ASEGURAMIENTO]]), moras[[#This Row],[TIPO_ASEGURAMIENTO]]=""),
    EDA!$A$32,
    moras[[#This Row],[TIPO_ASEGURAMIENTO]]
)</f>
        <v>TRABAJADOR INDEPENDIENTE</v>
      </c>
    </row>
    <row r="2652" spans="1:16" x14ac:dyDescent="0.3">
      <c r="A2652">
        <v>2651</v>
      </c>
      <c r="B2652" t="s">
        <v>15</v>
      </c>
      <c r="C2652">
        <v>200000</v>
      </c>
      <c r="D2652" t="s">
        <v>10</v>
      </c>
      <c r="E2652" t="s">
        <v>16</v>
      </c>
      <c r="F2652" t="s">
        <v>12</v>
      </c>
      <c r="G2652" t="s">
        <v>12</v>
      </c>
      <c r="H2652" t="s">
        <v>12</v>
      </c>
      <c r="I2652">
        <v>42</v>
      </c>
      <c r="J2652">
        <f>ABS((I2652-EDA!$A$15)/EDA!$B$15)</f>
        <v>1.4403128587172659E-3</v>
      </c>
      <c r="K2652" t="str">
        <f t="shared" si="41"/>
        <v>No</v>
      </c>
      <c r="L2652">
        <f>ABS((C2652-EDA!$F$15)/EDA!$G$15)</f>
        <v>0.3723258310253787</v>
      </c>
      <c r="M2652" t="str">
        <f>IF(moras[[#This Row],[Z-Score Salario]]&gt;1.96, "Sí", "No")</f>
        <v>No</v>
      </c>
      <c r="N2652" s="14">
        <f>IF(ISBLANK(moras[[#This Row],[SALARIO]]), EDA!$M$8, moras[[#This Row],[SALARIO]])</f>
        <v>200000</v>
      </c>
      <c r="O2652" s="14">
        <f xml:space="preserve"> IF(ISBLANK(moras[[#This Row],[EDAD]]), EDA!$E$8, moras[[#This Row],[EDAD]])</f>
        <v>42</v>
      </c>
      <c r="P2652" s="14" t="str">
        <f>IF(
    OR(ISBLANK(moras[[#This Row],[TIPO_ASEGURAMIENTO]]), moras[[#This Row],[TIPO_ASEGURAMIENTO]]=""),
    EDA!$A$32,
    moras[[#This Row],[TIPO_ASEGURAMIENTO]]
)</f>
        <v>ASALARIADO</v>
      </c>
    </row>
    <row r="2653" spans="1:16" x14ac:dyDescent="0.3">
      <c r="A2653">
        <v>2652</v>
      </c>
      <c r="B2653" t="s">
        <v>15</v>
      </c>
      <c r="C2653">
        <v>799000</v>
      </c>
      <c r="D2653" t="s">
        <v>10</v>
      </c>
      <c r="E2653" t="s">
        <v>16</v>
      </c>
      <c r="F2653" t="s">
        <v>12</v>
      </c>
      <c r="G2653" t="s">
        <v>13</v>
      </c>
      <c r="H2653" t="s">
        <v>12</v>
      </c>
      <c r="I2653">
        <v>24</v>
      </c>
      <c r="J2653">
        <f>ABS((I2653-EDA!$A$15)/EDA!$B$15)</f>
        <v>1.2689156285297578</v>
      </c>
      <c r="K2653" t="str">
        <f t="shared" si="41"/>
        <v>No</v>
      </c>
      <c r="L2653">
        <f>ABS((C2653-EDA!$F$15)/EDA!$G$15)</f>
        <v>0.36235804818397255</v>
      </c>
      <c r="M2653" t="str">
        <f>IF(moras[[#This Row],[Z-Score Salario]]&gt;1.96, "Sí", "No")</f>
        <v>No</v>
      </c>
      <c r="N2653" s="14">
        <f>IF(ISBLANK(moras[[#This Row],[SALARIO]]), EDA!$M$8, moras[[#This Row],[SALARIO]])</f>
        <v>799000</v>
      </c>
      <c r="O2653" s="14">
        <f xml:space="preserve"> IF(ISBLANK(moras[[#This Row],[EDAD]]), EDA!$E$8, moras[[#This Row],[EDAD]])</f>
        <v>24</v>
      </c>
      <c r="P2653" s="14" t="str">
        <f>IF(
    OR(ISBLANK(moras[[#This Row],[TIPO_ASEGURAMIENTO]]), moras[[#This Row],[TIPO_ASEGURAMIENTO]]=""),
    EDA!$A$32,
    moras[[#This Row],[TIPO_ASEGURAMIENTO]]
)</f>
        <v>ASALARIADO</v>
      </c>
    </row>
    <row r="2654" spans="1:16" x14ac:dyDescent="0.3">
      <c r="A2654">
        <v>2653</v>
      </c>
      <c r="B2654" t="s">
        <v>15</v>
      </c>
      <c r="C2654">
        <v>39750445</v>
      </c>
      <c r="D2654" t="s">
        <v>10</v>
      </c>
      <c r="E2654" t="s">
        <v>16</v>
      </c>
      <c r="F2654" t="s">
        <v>12</v>
      </c>
      <c r="G2654" t="s">
        <v>13</v>
      </c>
      <c r="H2654" t="s">
        <v>13</v>
      </c>
      <c r="I2654">
        <v>22</v>
      </c>
      <c r="J2654">
        <f>ABS((I2654-EDA!$A$15)/EDA!$B$15)</f>
        <v>1.4100662886840327</v>
      </c>
      <c r="K2654" t="str">
        <f t="shared" si="41"/>
        <v>No</v>
      </c>
      <c r="L2654">
        <f>ABS((C2654-EDA!$F$15)/EDA!$G$15)</f>
        <v>0.28582149291615061</v>
      </c>
      <c r="M2654" t="str">
        <f>IF(moras[[#This Row],[Z-Score Salario]]&gt;1.96, "Sí", "No")</f>
        <v>No</v>
      </c>
      <c r="N2654" s="14">
        <f>IF(ISBLANK(moras[[#This Row],[SALARIO]]), EDA!$M$8, moras[[#This Row],[SALARIO]])</f>
        <v>39750445</v>
      </c>
      <c r="O2654" s="14">
        <f xml:space="preserve"> IF(ISBLANK(moras[[#This Row],[EDAD]]), EDA!$E$8, moras[[#This Row],[EDAD]])</f>
        <v>22</v>
      </c>
      <c r="P2654" s="14" t="str">
        <f>IF(
    OR(ISBLANK(moras[[#This Row],[TIPO_ASEGURAMIENTO]]), moras[[#This Row],[TIPO_ASEGURAMIENTO]]=""),
    EDA!$A$32,
    moras[[#This Row],[TIPO_ASEGURAMIENTO]]
)</f>
        <v>ASALARIADO</v>
      </c>
    </row>
    <row r="2655" spans="1:16" x14ac:dyDescent="0.3">
      <c r="A2655">
        <v>2654</v>
      </c>
      <c r="B2655" t="s">
        <v>15</v>
      </c>
      <c r="C2655">
        <v>636889</v>
      </c>
      <c r="D2655" t="s">
        <v>18</v>
      </c>
      <c r="E2655" t="s">
        <v>16</v>
      </c>
      <c r="F2655" t="s">
        <v>12</v>
      </c>
      <c r="G2655" t="s">
        <v>13</v>
      </c>
      <c r="H2655" t="s">
        <v>13</v>
      </c>
      <c r="I2655">
        <v>50</v>
      </c>
      <c r="J2655">
        <f>ABS((I2655-EDA!$A$15)/EDA!$B$15)</f>
        <v>0.56604295347581735</v>
      </c>
      <c r="K2655" t="str">
        <f t="shared" si="41"/>
        <v>No</v>
      </c>
      <c r="L2655">
        <f>ABS((C2655-EDA!$F$15)/EDA!$G$15)</f>
        <v>0.36505568966010477</v>
      </c>
      <c r="M2655" t="str">
        <f>IF(moras[[#This Row],[Z-Score Salario]]&gt;1.96, "Sí", "No")</f>
        <v>No</v>
      </c>
      <c r="N2655" s="14">
        <f>IF(ISBLANK(moras[[#This Row],[SALARIO]]), EDA!$M$8, moras[[#This Row],[SALARIO]])</f>
        <v>636889</v>
      </c>
      <c r="O2655" s="14">
        <f xml:space="preserve"> IF(ISBLANK(moras[[#This Row],[EDAD]]), EDA!$E$8, moras[[#This Row],[EDAD]])</f>
        <v>50</v>
      </c>
      <c r="P2655" s="14" t="str">
        <f>IF(
    OR(ISBLANK(moras[[#This Row],[TIPO_ASEGURAMIENTO]]), moras[[#This Row],[TIPO_ASEGURAMIENTO]]=""),
    EDA!$A$32,
    moras[[#This Row],[TIPO_ASEGURAMIENTO]]
)</f>
        <v>TRABAJADOR INDEPENDIENTE</v>
      </c>
    </row>
    <row r="2656" spans="1:16" x14ac:dyDescent="0.3">
      <c r="A2656">
        <v>2655</v>
      </c>
      <c r="B2656" t="s">
        <v>9</v>
      </c>
      <c r="C2656">
        <v>360585</v>
      </c>
      <c r="D2656" t="s">
        <v>10</v>
      </c>
      <c r="E2656" t="s">
        <v>16</v>
      </c>
      <c r="F2656" t="s">
        <v>12</v>
      </c>
      <c r="G2656" t="s">
        <v>13</v>
      </c>
      <c r="H2656" t="s">
        <v>13</v>
      </c>
      <c r="I2656">
        <v>48</v>
      </c>
      <c r="J2656">
        <f>ABS((I2656-EDA!$A$15)/EDA!$B$15)</f>
        <v>0.42489229332154227</v>
      </c>
      <c r="K2656" t="str">
        <f t="shared" si="41"/>
        <v>No</v>
      </c>
      <c r="L2656">
        <f>ABS((C2656-EDA!$F$15)/EDA!$G$15)</f>
        <v>0.36965358326646847</v>
      </c>
      <c r="M2656" t="str">
        <f>IF(moras[[#This Row],[Z-Score Salario]]&gt;1.96, "Sí", "No")</f>
        <v>No</v>
      </c>
      <c r="N2656" s="14">
        <f>IF(ISBLANK(moras[[#This Row],[SALARIO]]), EDA!$M$8, moras[[#This Row],[SALARIO]])</f>
        <v>360585</v>
      </c>
      <c r="O2656" s="14">
        <f xml:space="preserve"> IF(ISBLANK(moras[[#This Row],[EDAD]]), EDA!$E$8, moras[[#This Row],[EDAD]])</f>
        <v>48</v>
      </c>
      <c r="P2656" s="14" t="str">
        <f>IF(
    OR(ISBLANK(moras[[#This Row],[TIPO_ASEGURAMIENTO]]), moras[[#This Row],[TIPO_ASEGURAMIENTO]]=""),
    EDA!$A$32,
    moras[[#This Row],[TIPO_ASEGURAMIENTO]]
)</f>
        <v>ASALARIADO</v>
      </c>
    </row>
    <row r="2657" spans="1:16" x14ac:dyDescent="0.3">
      <c r="A2657">
        <v>2656</v>
      </c>
      <c r="B2657" t="s">
        <v>9</v>
      </c>
      <c r="C2657">
        <v>639605</v>
      </c>
      <c r="D2657" t="s">
        <v>10</v>
      </c>
      <c r="E2657" t="s">
        <v>11</v>
      </c>
      <c r="F2657" t="s">
        <v>12</v>
      </c>
      <c r="G2657" t="s">
        <v>13</v>
      </c>
      <c r="H2657" t="s">
        <v>13</v>
      </c>
      <c r="I2657">
        <v>45</v>
      </c>
      <c r="J2657">
        <f>ABS((I2657-EDA!$A$15)/EDA!$B$15)</f>
        <v>0.21316630309012977</v>
      </c>
      <c r="K2657" t="str">
        <f t="shared" si="41"/>
        <v>No</v>
      </c>
      <c r="L2657">
        <f>ABS((C2657-EDA!$F$15)/EDA!$G$15)</f>
        <v>0.36501049350284726</v>
      </c>
      <c r="M2657" t="str">
        <f>IF(moras[[#This Row],[Z-Score Salario]]&gt;1.96, "Sí", "No")</f>
        <v>No</v>
      </c>
      <c r="N2657" s="14">
        <f>IF(ISBLANK(moras[[#This Row],[SALARIO]]), EDA!$M$8, moras[[#This Row],[SALARIO]])</f>
        <v>639605</v>
      </c>
      <c r="O2657" s="14">
        <f xml:space="preserve"> IF(ISBLANK(moras[[#This Row],[EDAD]]), EDA!$E$8, moras[[#This Row],[EDAD]])</f>
        <v>45</v>
      </c>
      <c r="P2657" s="14" t="str">
        <f>IF(
    OR(ISBLANK(moras[[#This Row],[TIPO_ASEGURAMIENTO]]), moras[[#This Row],[TIPO_ASEGURAMIENTO]]=""),
    EDA!$A$32,
    moras[[#This Row],[TIPO_ASEGURAMIENTO]]
)</f>
        <v>ASALARIADO</v>
      </c>
    </row>
    <row r="2658" spans="1:16" x14ac:dyDescent="0.3">
      <c r="A2658">
        <v>2657</v>
      </c>
      <c r="B2658" t="s">
        <v>15</v>
      </c>
      <c r="C2658">
        <v>1644679</v>
      </c>
      <c r="D2658" t="s">
        <v>10</v>
      </c>
      <c r="E2658" t="s">
        <v>11</v>
      </c>
      <c r="F2658" t="s">
        <v>12</v>
      </c>
      <c r="G2658" t="s">
        <v>13</v>
      </c>
      <c r="H2658" t="s">
        <v>12</v>
      </c>
      <c r="I2658">
        <v>36</v>
      </c>
      <c r="J2658">
        <f>ABS((I2658-EDA!$A$15)/EDA!$B$15)</f>
        <v>0.42201166760410774</v>
      </c>
      <c r="K2658" t="str">
        <f t="shared" si="41"/>
        <v>No</v>
      </c>
      <c r="L2658">
        <f>ABS((C2658-EDA!$F$15)/EDA!$G$15)</f>
        <v>0.34828535264885158</v>
      </c>
      <c r="M2658" t="str">
        <f>IF(moras[[#This Row],[Z-Score Salario]]&gt;1.96, "Sí", "No")</f>
        <v>No</v>
      </c>
      <c r="N2658" s="14">
        <f>IF(ISBLANK(moras[[#This Row],[SALARIO]]), EDA!$M$8, moras[[#This Row],[SALARIO]])</f>
        <v>1644679</v>
      </c>
      <c r="O2658" s="14">
        <f xml:space="preserve"> IF(ISBLANK(moras[[#This Row],[EDAD]]), EDA!$E$8, moras[[#This Row],[EDAD]])</f>
        <v>36</v>
      </c>
      <c r="P2658" s="14" t="str">
        <f>IF(
    OR(ISBLANK(moras[[#This Row],[TIPO_ASEGURAMIENTO]]), moras[[#This Row],[TIPO_ASEGURAMIENTO]]=""),
    EDA!$A$32,
    moras[[#This Row],[TIPO_ASEGURAMIENTO]]
)</f>
        <v>ASALARIADO</v>
      </c>
    </row>
    <row r="2659" spans="1:16" x14ac:dyDescent="0.3">
      <c r="A2659">
        <v>2658</v>
      </c>
      <c r="B2659" t="s">
        <v>9</v>
      </c>
      <c r="C2659">
        <v>42165026</v>
      </c>
      <c r="D2659" t="s">
        <v>10</v>
      </c>
      <c r="E2659" t="s">
        <v>16</v>
      </c>
      <c r="F2659" t="s">
        <v>12</v>
      </c>
      <c r="G2659" t="s">
        <v>13</v>
      </c>
      <c r="H2659" t="s">
        <v>13</v>
      </c>
      <c r="I2659">
        <v>37</v>
      </c>
      <c r="J2659">
        <f>ABS((I2659-EDA!$A$15)/EDA!$B$15)</f>
        <v>0.35143633752697023</v>
      </c>
      <c r="K2659" t="str">
        <f t="shared" si="41"/>
        <v>No</v>
      </c>
      <c r="L2659">
        <f>ABS((C2659-EDA!$F$15)/EDA!$G$15)</f>
        <v>0.3260018252383296</v>
      </c>
      <c r="M2659" t="str">
        <f>IF(moras[[#This Row],[Z-Score Salario]]&gt;1.96, "Sí", "No")</f>
        <v>No</v>
      </c>
      <c r="N2659" s="14">
        <f>IF(ISBLANK(moras[[#This Row],[SALARIO]]), EDA!$M$8, moras[[#This Row],[SALARIO]])</f>
        <v>42165026</v>
      </c>
      <c r="O2659" s="14">
        <f xml:space="preserve"> IF(ISBLANK(moras[[#This Row],[EDAD]]), EDA!$E$8, moras[[#This Row],[EDAD]])</f>
        <v>37</v>
      </c>
      <c r="P2659" s="14" t="str">
        <f>IF(
    OR(ISBLANK(moras[[#This Row],[TIPO_ASEGURAMIENTO]]), moras[[#This Row],[TIPO_ASEGURAMIENTO]]=""),
    EDA!$A$32,
    moras[[#This Row],[TIPO_ASEGURAMIENTO]]
)</f>
        <v>ASALARIADO</v>
      </c>
    </row>
    <row r="2660" spans="1:16" x14ac:dyDescent="0.3">
      <c r="A2660">
        <v>2659</v>
      </c>
      <c r="B2660" t="s">
        <v>9</v>
      </c>
      <c r="C2660">
        <v>6785314</v>
      </c>
      <c r="D2660" t="s">
        <v>10</v>
      </c>
      <c r="E2660" t="s">
        <v>11</v>
      </c>
      <c r="F2660" t="s">
        <v>12</v>
      </c>
      <c r="G2660" t="s">
        <v>13</v>
      </c>
      <c r="H2660" t="s">
        <v>13</v>
      </c>
      <c r="I2660">
        <v>48</v>
      </c>
      <c r="J2660">
        <f>ABS((I2660-EDA!$A$15)/EDA!$B$15)</f>
        <v>0.42489229332154227</v>
      </c>
      <c r="K2660" t="str">
        <f t="shared" si="41"/>
        <v>No</v>
      </c>
      <c r="L2660">
        <f>ABS((C2660-EDA!$F$15)/EDA!$G$15)</f>
        <v>0.2627415574119038</v>
      </c>
      <c r="M2660" t="str">
        <f>IF(moras[[#This Row],[Z-Score Salario]]&gt;1.96, "Sí", "No")</f>
        <v>No</v>
      </c>
      <c r="N2660" s="14">
        <f>IF(ISBLANK(moras[[#This Row],[SALARIO]]), EDA!$M$8, moras[[#This Row],[SALARIO]])</f>
        <v>6785314</v>
      </c>
      <c r="O2660" s="14">
        <f xml:space="preserve"> IF(ISBLANK(moras[[#This Row],[EDAD]]), EDA!$E$8, moras[[#This Row],[EDAD]])</f>
        <v>48</v>
      </c>
      <c r="P2660" s="14" t="str">
        <f>IF(
    OR(ISBLANK(moras[[#This Row],[TIPO_ASEGURAMIENTO]]), moras[[#This Row],[TIPO_ASEGURAMIENTO]]=""),
    EDA!$A$32,
    moras[[#This Row],[TIPO_ASEGURAMIENTO]]
)</f>
        <v>ASALARIADO</v>
      </c>
    </row>
    <row r="2661" spans="1:16" x14ac:dyDescent="0.3">
      <c r="A2661">
        <v>2660</v>
      </c>
      <c r="B2661" t="s">
        <v>9</v>
      </c>
      <c r="C2661">
        <v>17536776</v>
      </c>
      <c r="D2661" t="s">
        <v>10</v>
      </c>
      <c r="E2661" t="s">
        <v>16</v>
      </c>
      <c r="F2661" t="s">
        <v>12</v>
      </c>
      <c r="G2661" t="s">
        <v>13</v>
      </c>
      <c r="H2661" t="s">
        <v>13</v>
      </c>
      <c r="I2661">
        <v>36</v>
      </c>
      <c r="J2661">
        <f>ABS((I2661-EDA!$A$15)/EDA!$B$15)</f>
        <v>0.42201166760410774</v>
      </c>
      <c r="K2661" t="str">
        <f t="shared" si="41"/>
        <v>No</v>
      </c>
      <c r="L2661">
        <f>ABS((C2661-EDA!$F$15)/EDA!$G$15)</f>
        <v>8.3829640143740544E-2</v>
      </c>
      <c r="M2661" t="str">
        <f>IF(moras[[#This Row],[Z-Score Salario]]&gt;1.96, "Sí", "No")</f>
        <v>No</v>
      </c>
      <c r="N2661" s="14">
        <f>IF(ISBLANK(moras[[#This Row],[SALARIO]]), EDA!$M$8, moras[[#This Row],[SALARIO]])</f>
        <v>17536776</v>
      </c>
      <c r="O2661" s="14">
        <f xml:space="preserve"> IF(ISBLANK(moras[[#This Row],[EDAD]]), EDA!$E$8, moras[[#This Row],[EDAD]])</f>
        <v>36</v>
      </c>
      <c r="P2661" s="14" t="str">
        <f>IF(
    OR(ISBLANK(moras[[#This Row],[TIPO_ASEGURAMIENTO]]), moras[[#This Row],[TIPO_ASEGURAMIENTO]]=""),
    EDA!$A$32,
    moras[[#This Row],[TIPO_ASEGURAMIENTO]]
)</f>
        <v>ASALARIADO</v>
      </c>
    </row>
    <row r="2662" spans="1:16" x14ac:dyDescent="0.3">
      <c r="A2662">
        <v>2661</v>
      </c>
      <c r="B2662" t="s">
        <v>15</v>
      </c>
      <c r="C2662">
        <v>52290695</v>
      </c>
      <c r="D2662" t="s">
        <v>10</v>
      </c>
      <c r="E2662" t="s">
        <v>16</v>
      </c>
      <c r="F2662" t="s">
        <v>12</v>
      </c>
      <c r="G2662" t="s">
        <v>12</v>
      </c>
      <c r="H2662" t="s">
        <v>13</v>
      </c>
      <c r="I2662">
        <v>37</v>
      </c>
      <c r="J2662">
        <f>ABS((I2662-EDA!$A$15)/EDA!$B$15)</f>
        <v>0.35143633752697023</v>
      </c>
      <c r="K2662" t="str">
        <f t="shared" si="41"/>
        <v>No</v>
      </c>
      <c r="L2662">
        <f>ABS((C2662-EDA!$F$15)/EDA!$G$15)</f>
        <v>0.49450010523158128</v>
      </c>
      <c r="M2662" t="str">
        <f>IF(moras[[#This Row],[Z-Score Salario]]&gt;1.96, "Sí", "No")</f>
        <v>No</v>
      </c>
      <c r="N2662" s="14">
        <f>IF(ISBLANK(moras[[#This Row],[SALARIO]]), EDA!$M$8, moras[[#This Row],[SALARIO]])</f>
        <v>52290695</v>
      </c>
      <c r="O2662" s="14">
        <f xml:space="preserve"> IF(ISBLANK(moras[[#This Row],[EDAD]]), EDA!$E$8, moras[[#This Row],[EDAD]])</f>
        <v>37</v>
      </c>
      <c r="P2662" s="14" t="str">
        <f>IF(
    OR(ISBLANK(moras[[#This Row],[TIPO_ASEGURAMIENTO]]), moras[[#This Row],[TIPO_ASEGURAMIENTO]]=""),
    EDA!$A$32,
    moras[[#This Row],[TIPO_ASEGURAMIENTO]]
)</f>
        <v>ASALARIADO</v>
      </c>
    </row>
    <row r="2663" spans="1:16" x14ac:dyDescent="0.3">
      <c r="A2663">
        <v>2662</v>
      </c>
      <c r="B2663" t="s">
        <v>9</v>
      </c>
      <c r="C2663">
        <v>69925107</v>
      </c>
      <c r="D2663" t="s">
        <v>10</v>
      </c>
      <c r="E2663" t="s">
        <v>16</v>
      </c>
      <c r="F2663" t="s">
        <v>12</v>
      </c>
      <c r="G2663" t="s">
        <v>13</v>
      </c>
      <c r="H2663" t="s">
        <v>13</v>
      </c>
      <c r="I2663">
        <v>24</v>
      </c>
      <c r="J2663">
        <f>ABS((I2663-EDA!$A$15)/EDA!$B$15)</f>
        <v>1.2689156285297578</v>
      </c>
      <c r="K2663" t="str">
        <f t="shared" si="41"/>
        <v>No</v>
      </c>
      <c r="L2663">
        <f>ABS((C2663-EDA!$F$15)/EDA!$G$15)</f>
        <v>0.7879491692581021</v>
      </c>
      <c r="M2663" t="str">
        <f>IF(moras[[#This Row],[Z-Score Salario]]&gt;1.96, "Sí", "No")</f>
        <v>No</v>
      </c>
      <c r="N2663" s="14">
        <f>IF(ISBLANK(moras[[#This Row],[SALARIO]]), EDA!$M$8, moras[[#This Row],[SALARIO]])</f>
        <v>69925107</v>
      </c>
      <c r="O2663" s="14">
        <f xml:space="preserve"> IF(ISBLANK(moras[[#This Row],[EDAD]]), EDA!$E$8, moras[[#This Row],[EDAD]])</f>
        <v>24</v>
      </c>
      <c r="P2663" s="14" t="str">
        <f>IF(
    OR(ISBLANK(moras[[#This Row],[TIPO_ASEGURAMIENTO]]), moras[[#This Row],[TIPO_ASEGURAMIENTO]]=""),
    EDA!$A$32,
    moras[[#This Row],[TIPO_ASEGURAMIENTO]]
)</f>
        <v>ASALARIADO</v>
      </c>
    </row>
    <row r="2664" spans="1:16" x14ac:dyDescent="0.3">
      <c r="A2664">
        <v>2663</v>
      </c>
      <c r="B2664" t="s">
        <v>15</v>
      </c>
      <c r="C2664">
        <v>23384277</v>
      </c>
      <c r="D2664" t="s">
        <v>10</v>
      </c>
      <c r="E2664" t="s">
        <v>16</v>
      </c>
      <c r="F2664" t="s">
        <v>12</v>
      </c>
      <c r="G2664" t="s">
        <v>13</v>
      </c>
      <c r="H2664" t="s">
        <v>13</v>
      </c>
      <c r="I2664">
        <v>22</v>
      </c>
      <c r="J2664">
        <f>ABS((I2664-EDA!$A$15)/EDA!$B$15)</f>
        <v>1.4100662886840327</v>
      </c>
      <c r="K2664" t="str">
        <f t="shared" si="41"/>
        <v>No</v>
      </c>
      <c r="L2664">
        <f>ABS((C2664-EDA!$F$15)/EDA!$G$15)</f>
        <v>1.3476904318538364E-2</v>
      </c>
      <c r="M2664" t="str">
        <f>IF(moras[[#This Row],[Z-Score Salario]]&gt;1.96, "Sí", "No")</f>
        <v>No</v>
      </c>
      <c r="N2664" s="14">
        <f>IF(ISBLANK(moras[[#This Row],[SALARIO]]), EDA!$M$8, moras[[#This Row],[SALARIO]])</f>
        <v>23384277</v>
      </c>
      <c r="O2664" s="14">
        <f xml:space="preserve"> IF(ISBLANK(moras[[#This Row],[EDAD]]), EDA!$E$8, moras[[#This Row],[EDAD]])</f>
        <v>22</v>
      </c>
      <c r="P2664" s="14" t="str">
        <f>IF(
    OR(ISBLANK(moras[[#This Row],[TIPO_ASEGURAMIENTO]]), moras[[#This Row],[TIPO_ASEGURAMIENTO]]=""),
    EDA!$A$32,
    moras[[#This Row],[TIPO_ASEGURAMIENTO]]
)</f>
        <v>ASALARIADO</v>
      </c>
    </row>
    <row r="2665" spans="1:16" x14ac:dyDescent="0.3">
      <c r="A2665">
        <v>2664</v>
      </c>
      <c r="B2665" t="s">
        <v>15</v>
      </c>
      <c r="C2665">
        <v>297045</v>
      </c>
      <c r="D2665" t="s">
        <v>17</v>
      </c>
      <c r="E2665" t="s">
        <v>16</v>
      </c>
      <c r="F2665" t="s">
        <v>12</v>
      </c>
      <c r="G2665" t="s">
        <v>12</v>
      </c>
      <c r="H2665" t="s">
        <v>13</v>
      </c>
      <c r="I2665">
        <v>52</v>
      </c>
      <c r="J2665">
        <f>ABS((I2665-EDA!$A$15)/EDA!$B$15)</f>
        <v>0.70719361363009237</v>
      </c>
      <c r="K2665" t="str">
        <f t="shared" si="41"/>
        <v>No</v>
      </c>
      <c r="L2665">
        <f>ABS((C2665-EDA!$F$15)/EDA!$G$15)</f>
        <v>0.37071093372012948</v>
      </c>
      <c r="M2665" t="str">
        <f>IF(moras[[#This Row],[Z-Score Salario]]&gt;1.96, "Sí", "No")</f>
        <v>No</v>
      </c>
      <c r="N2665" s="14">
        <f>IF(ISBLANK(moras[[#This Row],[SALARIO]]), EDA!$M$8, moras[[#This Row],[SALARIO]])</f>
        <v>297045</v>
      </c>
      <c r="O2665" s="14">
        <f xml:space="preserve"> IF(ISBLANK(moras[[#This Row],[EDAD]]), EDA!$E$8, moras[[#This Row],[EDAD]])</f>
        <v>52</v>
      </c>
      <c r="P2665" s="14" t="str">
        <f>IF(
    OR(ISBLANK(moras[[#This Row],[TIPO_ASEGURAMIENTO]]), moras[[#This Row],[TIPO_ASEGURAMIENTO]]=""),
    EDA!$A$32,
    moras[[#This Row],[TIPO_ASEGURAMIENTO]]
)</f>
        <v>ASEGURADO VOLUNTARIO</v>
      </c>
    </row>
    <row r="2666" spans="1:16" x14ac:dyDescent="0.3">
      <c r="A2666">
        <v>2665</v>
      </c>
      <c r="B2666" t="s">
        <v>9</v>
      </c>
      <c r="C2666">
        <v>385165</v>
      </c>
      <c r="D2666" t="s">
        <v>18</v>
      </c>
      <c r="E2666" t="s">
        <v>16</v>
      </c>
      <c r="F2666" t="s">
        <v>12</v>
      </c>
      <c r="G2666" t="s">
        <v>13</v>
      </c>
      <c r="H2666" t="s">
        <v>12</v>
      </c>
      <c r="I2666">
        <v>71</v>
      </c>
      <c r="J2666">
        <f>ABS((I2666-EDA!$A$15)/EDA!$B$15)</f>
        <v>2.0481248850957048</v>
      </c>
      <c r="K2666" t="str">
        <f t="shared" si="41"/>
        <v>Sí</v>
      </c>
      <c r="L2666">
        <f>ABS((C2666-EDA!$F$15)/EDA!$G$15)</f>
        <v>0.36924455471514667</v>
      </c>
      <c r="M2666" t="str">
        <f>IF(moras[[#This Row],[Z-Score Salario]]&gt;1.96, "Sí", "No")</f>
        <v>No</v>
      </c>
      <c r="N2666" s="14">
        <f>IF(ISBLANK(moras[[#This Row],[SALARIO]]), EDA!$M$8, moras[[#This Row],[SALARIO]])</f>
        <v>385165</v>
      </c>
      <c r="O2666" s="14">
        <f xml:space="preserve"> IF(ISBLANK(moras[[#This Row],[EDAD]]), EDA!$E$8, moras[[#This Row],[EDAD]])</f>
        <v>71</v>
      </c>
      <c r="P2666" s="14" t="str">
        <f>IF(
    OR(ISBLANK(moras[[#This Row],[TIPO_ASEGURAMIENTO]]), moras[[#This Row],[TIPO_ASEGURAMIENTO]]=""),
    EDA!$A$32,
    moras[[#This Row],[TIPO_ASEGURAMIENTO]]
)</f>
        <v>TRABAJADOR INDEPENDIENTE</v>
      </c>
    </row>
    <row r="2667" spans="1:16" x14ac:dyDescent="0.3">
      <c r="A2667">
        <v>2666</v>
      </c>
      <c r="B2667" t="s">
        <v>9</v>
      </c>
      <c r="C2667">
        <v>40557335</v>
      </c>
      <c r="D2667" t="s">
        <v>10</v>
      </c>
      <c r="E2667" t="s">
        <v>16</v>
      </c>
      <c r="F2667" t="s">
        <v>12</v>
      </c>
      <c r="G2667" t="s">
        <v>13</v>
      </c>
      <c r="H2667" t="s">
        <v>13</v>
      </c>
      <c r="I2667">
        <v>24</v>
      </c>
      <c r="J2667">
        <f>ABS((I2667-EDA!$A$15)/EDA!$B$15)</f>
        <v>1.2689156285297578</v>
      </c>
      <c r="K2667" t="str">
        <f t="shared" si="41"/>
        <v>No</v>
      </c>
      <c r="L2667">
        <f>ABS((C2667-EDA!$F$15)/EDA!$G$15)</f>
        <v>0.29924871210964338</v>
      </c>
      <c r="M2667" t="str">
        <f>IF(moras[[#This Row],[Z-Score Salario]]&gt;1.96, "Sí", "No")</f>
        <v>No</v>
      </c>
      <c r="N2667" s="14">
        <f>IF(ISBLANK(moras[[#This Row],[SALARIO]]), EDA!$M$8, moras[[#This Row],[SALARIO]])</f>
        <v>40557335</v>
      </c>
      <c r="O2667" s="14">
        <f xml:space="preserve"> IF(ISBLANK(moras[[#This Row],[EDAD]]), EDA!$E$8, moras[[#This Row],[EDAD]])</f>
        <v>24</v>
      </c>
      <c r="P2667" s="14" t="str">
        <f>IF(
    OR(ISBLANK(moras[[#This Row],[TIPO_ASEGURAMIENTO]]), moras[[#This Row],[TIPO_ASEGURAMIENTO]]=""),
    EDA!$A$32,
    moras[[#This Row],[TIPO_ASEGURAMIENTO]]
)</f>
        <v>ASALARIADO</v>
      </c>
    </row>
    <row r="2668" spans="1:16" x14ac:dyDescent="0.3">
      <c r="A2668">
        <v>2667</v>
      </c>
      <c r="B2668" t="s">
        <v>9</v>
      </c>
      <c r="C2668">
        <v>299441</v>
      </c>
      <c r="D2668" t="s">
        <v>18</v>
      </c>
      <c r="E2668" t="s">
        <v>16</v>
      </c>
      <c r="F2668" t="s">
        <v>12</v>
      </c>
      <c r="G2668" t="s">
        <v>13</v>
      </c>
      <c r="H2668" t="s">
        <v>13</v>
      </c>
      <c r="I2668">
        <v>61</v>
      </c>
      <c r="J2668">
        <f>ABS((I2668-EDA!$A$15)/EDA!$B$15)</f>
        <v>1.3423715843243298</v>
      </c>
      <c r="K2668" t="str">
        <f t="shared" si="41"/>
        <v>No</v>
      </c>
      <c r="L2668">
        <f>ABS((C2668-EDA!$F$15)/EDA!$G$15)</f>
        <v>0.37067106258876387</v>
      </c>
      <c r="M2668" t="str">
        <f>IF(moras[[#This Row],[Z-Score Salario]]&gt;1.96, "Sí", "No")</f>
        <v>No</v>
      </c>
      <c r="N2668" s="14">
        <f>IF(ISBLANK(moras[[#This Row],[SALARIO]]), EDA!$M$8, moras[[#This Row],[SALARIO]])</f>
        <v>299441</v>
      </c>
      <c r="O2668" s="14">
        <f xml:space="preserve"> IF(ISBLANK(moras[[#This Row],[EDAD]]), EDA!$E$8, moras[[#This Row],[EDAD]])</f>
        <v>61</v>
      </c>
      <c r="P2668" s="14" t="str">
        <f>IF(
    OR(ISBLANK(moras[[#This Row],[TIPO_ASEGURAMIENTO]]), moras[[#This Row],[TIPO_ASEGURAMIENTO]]=""),
    EDA!$A$32,
    moras[[#This Row],[TIPO_ASEGURAMIENTO]]
)</f>
        <v>TRABAJADOR INDEPENDIENTE</v>
      </c>
    </row>
    <row r="2669" spans="1:16" x14ac:dyDescent="0.3">
      <c r="A2669">
        <v>2668</v>
      </c>
      <c r="B2669" t="s">
        <v>9</v>
      </c>
      <c r="C2669">
        <v>410402</v>
      </c>
      <c r="D2669" t="s">
        <v>10</v>
      </c>
      <c r="E2669" t="s">
        <v>16</v>
      </c>
      <c r="F2669" t="s">
        <v>12</v>
      </c>
      <c r="G2669" t="s">
        <v>13</v>
      </c>
      <c r="H2669" t="s">
        <v>13</v>
      </c>
      <c r="I2669">
        <v>45</v>
      </c>
      <c r="J2669">
        <f>ABS((I2669-EDA!$A$15)/EDA!$B$15)</f>
        <v>0.21316630309012977</v>
      </c>
      <c r="K2669" t="str">
        <f t="shared" si="41"/>
        <v>No</v>
      </c>
      <c r="L2669">
        <f>ABS((C2669-EDA!$F$15)/EDA!$G$15)</f>
        <v>0.36882459322004058</v>
      </c>
      <c r="M2669" t="str">
        <f>IF(moras[[#This Row],[Z-Score Salario]]&gt;1.96, "Sí", "No")</f>
        <v>No</v>
      </c>
      <c r="N2669" s="14">
        <f>IF(ISBLANK(moras[[#This Row],[SALARIO]]), EDA!$M$8, moras[[#This Row],[SALARIO]])</f>
        <v>410402</v>
      </c>
      <c r="O2669" s="14">
        <f xml:space="preserve"> IF(ISBLANK(moras[[#This Row],[EDAD]]), EDA!$E$8, moras[[#This Row],[EDAD]])</f>
        <v>45</v>
      </c>
      <c r="P2669" s="14" t="str">
        <f>IF(
    OR(ISBLANK(moras[[#This Row],[TIPO_ASEGURAMIENTO]]), moras[[#This Row],[TIPO_ASEGURAMIENTO]]=""),
    EDA!$A$32,
    moras[[#This Row],[TIPO_ASEGURAMIENTO]]
)</f>
        <v>ASALARIADO</v>
      </c>
    </row>
    <row r="2670" spans="1:16" x14ac:dyDescent="0.3">
      <c r="A2670">
        <v>2669</v>
      </c>
      <c r="B2670" t="s">
        <v>9</v>
      </c>
      <c r="C2670">
        <v>51611273</v>
      </c>
      <c r="D2670" t="s">
        <v>10</v>
      </c>
      <c r="E2670" t="s">
        <v>16</v>
      </c>
      <c r="F2670" t="s">
        <v>12</v>
      </c>
      <c r="G2670" t="s">
        <v>13</v>
      </c>
      <c r="H2670" t="s">
        <v>13</v>
      </c>
      <c r="I2670">
        <v>27</v>
      </c>
      <c r="J2670">
        <f>ABS((I2670-EDA!$A$15)/EDA!$B$15)</f>
        <v>1.0571896382983452</v>
      </c>
      <c r="K2670" t="str">
        <f t="shared" si="41"/>
        <v>No</v>
      </c>
      <c r="L2670">
        <f>ABS((C2670-EDA!$F$15)/EDA!$G$15)</f>
        <v>0.48319404353930445</v>
      </c>
      <c r="M2670" t="str">
        <f>IF(moras[[#This Row],[Z-Score Salario]]&gt;1.96, "Sí", "No")</f>
        <v>No</v>
      </c>
      <c r="N2670" s="14">
        <f>IF(ISBLANK(moras[[#This Row],[SALARIO]]), EDA!$M$8, moras[[#This Row],[SALARIO]])</f>
        <v>51611273</v>
      </c>
      <c r="O2670" s="14">
        <f xml:space="preserve"> IF(ISBLANK(moras[[#This Row],[EDAD]]), EDA!$E$8, moras[[#This Row],[EDAD]])</f>
        <v>27</v>
      </c>
      <c r="P2670" s="14" t="str">
        <f>IF(
    OR(ISBLANK(moras[[#This Row],[TIPO_ASEGURAMIENTO]]), moras[[#This Row],[TIPO_ASEGURAMIENTO]]=""),
    EDA!$A$32,
    moras[[#This Row],[TIPO_ASEGURAMIENTO]]
)</f>
        <v>ASALARIADO</v>
      </c>
    </row>
    <row r="2671" spans="1:16" x14ac:dyDescent="0.3">
      <c r="A2671">
        <v>2670</v>
      </c>
      <c r="B2671" t="s">
        <v>9</v>
      </c>
      <c r="C2671">
        <v>35668625</v>
      </c>
      <c r="D2671" t="s">
        <v>10</v>
      </c>
      <c r="E2671" t="s">
        <v>16</v>
      </c>
      <c r="F2671" t="s">
        <v>12</v>
      </c>
      <c r="G2671" t="s">
        <v>13</v>
      </c>
      <c r="H2671" t="s">
        <v>13</v>
      </c>
      <c r="I2671">
        <v>38</v>
      </c>
      <c r="J2671">
        <f>ABS((I2671-EDA!$A$15)/EDA!$B$15)</f>
        <v>0.28086100744983278</v>
      </c>
      <c r="K2671" t="str">
        <f t="shared" si="41"/>
        <v>No</v>
      </c>
      <c r="L2671">
        <f>ABS((C2671-EDA!$F$15)/EDA!$G$15)</f>
        <v>0.21789712670962594</v>
      </c>
      <c r="M2671" t="str">
        <f>IF(moras[[#This Row],[Z-Score Salario]]&gt;1.96, "Sí", "No")</f>
        <v>No</v>
      </c>
      <c r="N2671" s="14">
        <f>IF(ISBLANK(moras[[#This Row],[SALARIO]]), EDA!$M$8, moras[[#This Row],[SALARIO]])</f>
        <v>35668625</v>
      </c>
      <c r="O2671" s="14">
        <f xml:space="preserve"> IF(ISBLANK(moras[[#This Row],[EDAD]]), EDA!$E$8, moras[[#This Row],[EDAD]])</f>
        <v>38</v>
      </c>
      <c r="P2671" s="14" t="str">
        <f>IF(
    OR(ISBLANK(moras[[#This Row],[TIPO_ASEGURAMIENTO]]), moras[[#This Row],[TIPO_ASEGURAMIENTO]]=""),
    EDA!$A$32,
    moras[[#This Row],[TIPO_ASEGURAMIENTO]]
)</f>
        <v>ASALARIADO</v>
      </c>
    </row>
    <row r="2672" spans="1:16" x14ac:dyDescent="0.3">
      <c r="A2672">
        <v>2671</v>
      </c>
      <c r="B2672" t="s">
        <v>15</v>
      </c>
      <c r="C2672">
        <v>1794936</v>
      </c>
      <c r="D2672" t="s">
        <v>10</v>
      </c>
      <c r="E2672" t="s">
        <v>16</v>
      </c>
      <c r="F2672" t="s">
        <v>12</v>
      </c>
      <c r="G2672" t="s">
        <v>13</v>
      </c>
      <c r="H2672" t="s">
        <v>13</v>
      </c>
      <c r="I2672">
        <v>29</v>
      </c>
      <c r="J2672">
        <f>ABS((I2672-EDA!$A$15)/EDA!$B$15)</f>
        <v>0.91603897814407031</v>
      </c>
      <c r="K2672" t="str">
        <f t="shared" si="41"/>
        <v>No</v>
      </c>
      <c r="L2672">
        <f>ABS((C2672-EDA!$F$15)/EDA!$G$15)</f>
        <v>0.34578497010060255</v>
      </c>
      <c r="M2672" t="str">
        <f>IF(moras[[#This Row],[Z-Score Salario]]&gt;1.96, "Sí", "No")</f>
        <v>No</v>
      </c>
      <c r="N2672" s="14">
        <f>IF(ISBLANK(moras[[#This Row],[SALARIO]]), EDA!$M$8, moras[[#This Row],[SALARIO]])</f>
        <v>1794936</v>
      </c>
      <c r="O2672" s="14">
        <f xml:space="preserve"> IF(ISBLANK(moras[[#This Row],[EDAD]]), EDA!$E$8, moras[[#This Row],[EDAD]])</f>
        <v>29</v>
      </c>
      <c r="P2672" s="14" t="str">
        <f>IF(
    OR(ISBLANK(moras[[#This Row],[TIPO_ASEGURAMIENTO]]), moras[[#This Row],[TIPO_ASEGURAMIENTO]]=""),
    EDA!$A$32,
    moras[[#This Row],[TIPO_ASEGURAMIENTO]]
)</f>
        <v>ASALARIADO</v>
      </c>
    </row>
    <row r="2673" spans="1:16" x14ac:dyDescent="0.3">
      <c r="A2673">
        <v>2672</v>
      </c>
      <c r="B2673" t="s">
        <v>9</v>
      </c>
      <c r="C2673">
        <v>6837165</v>
      </c>
      <c r="D2673" t="s">
        <v>10</v>
      </c>
      <c r="E2673" t="s">
        <v>11</v>
      </c>
      <c r="F2673" t="s">
        <v>12</v>
      </c>
      <c r="G2673" t="s">
        <v>13</v>
      </c>
      <c r="H2673" t="s">
        <v>13</v>
      </c>
      <c r="I2673">
        <v>42</v>
      </c>
      <c r="J2673">
        <f>ABS((I2673-EDA!$A$15)/EDA!$B$15)</f>
        <v>1.4403128587172659E-3</v>
      </c>
      <c r="K2673" t="str">
        <f t="shared" si="41"/>
        <v>No</v>
      </c>
      <c r="L2673">
        <f>ABS((C2673-EDA!$F$15)/EDA!$G$15)</f>
        <v>0.26187872016965047</v>
      </c>
      <c r="M2673" t="str">
        <f>IF(moras[[#This Row],[Z-Score Salario]]&gt;1.96, "Sí", "No")</f>
        <v>No</v>
      </c>
      <c r="N2673" s="14">
        <f>IF(ISBLANK(moras[[#This Row],[SALARIO]]), EDA!$M$8, moras[[#This Row],[SALARIO]])</f>
        <v>6837165</v>
      </c>
      <c r="O2673" s="14">
        <f xml:space="preserve"> IF(ISBLANK(moras[[#This Row],[EDAD]]), EDA!$E$8, moras[[#This Row],[EDAD]])</f>
        <v>42</v>
      </c>
      <c r="P2673" s="14" t="str">
        <f>IF(
    OR(ISBLANK(moras[[#This Row],[TIPO_ASEGURAMIENTO]]), moras[[#This Row],[TIPO_ASEGURAMIENTO]]=""),
    EDA!$A$32,
    moras[[#This Row],[TIPO_ASEGURAMIENTO]]
)</f>
        <v>ASALARIADO</v>
      </c>
    </row>
    <row r="2674" spans="1:16" x14ac:dyDescent="0.3">
      <c r="A2674">
        <v>2673</v>
      </c>
      <c r="B2674" t="s">
        <v>9</v>
      </c>
      <c r="C2674">
        <v>186718</v>
      </c>
      <c r="D2674" t="s">
        <v>10</v>
      </c>
      <c r="E2674" t="s">
        <v>16</v>
      </c>
      <c r="F2674" t="s">
        <v>12</v>
      </c>
      <c r="G2674" t="s">
        <v>13</v>
      </c>
      <c r="H2674" t="s">
        <v>13</v>
      </c>
      <c r="I2674">
        <v>31</v>
      </c>
      <c r="J2674">
        <f>ABS((I2674-EDA!$A$15)/EDA!$B$15)</f>
        <v>0.77488831798979529</v>
      </c>
      <c r="K2674" t="str">
        <f t="shared" si="41"/>
        <v>No</v>
      </c>
      <c r="L2674">
        <f>ABS((C2674-EDA!$F$15)/EDA!$G$15)</f>
        <v>0.37254685288130446</v>
      </c>
      <c r="M2674" t="str">
        <f>IF(moras[[#This Row],[Z-Score Salario]]&gt;1.96, "Sí", "No")</f>
        <v>No</v>
      </c>
      <c r="N2674" s="14">
        <f>IF(ISBLANK(moras[[#This Row],[SALARIO]]), EDA!$M$8, moras[[#This Row],[SALARIO]])</f>
        <v>186718</v>
      </c>
      <c r="O2674" s="14">
        <f xml:space="preserve"> IF(ISBLANK(moras[[#This Row],[EDAD]]), EDA!$E$8, moras[[#This Row],[EDAD]])</f>
        <v>31</v>
      </c>
      <c r="P2674" s="14" t="str">
        <f>IF(
    OR(ISBLANK(moras[[#This Row],[TIPO_ASEGURAMIENTO]]), moras[[#This Row],[TIPO_ASEGURAMIENTO]]=""),
    EDA!$A$32,
    moras[[#This Row],[TIPO_ASEGURAMIENTO]]
)</f>
        <v>ASALARIADO</v>
      </c>
    </row>
    <row r="2675" spans="1:16" x14ac:dyDescent="0.3">
      <c r="A2675">
        <v>2674</v>
      </c>
      <c r="B2675" t="s">
        <v>9</v>
      </c>
      <c r="C2675">
        <v>39960316</v>
      </c>
      <c r="D2675" t="s">
        <v>10</v>
      </c>
      <c r="E2675" t="s">
        <v>16</v>
      </c>
      <c r="F2675" t="s">
        <v>12</v>
      </c>
      <c r="G2675" t="s">
        <v>13</v>
      </c>
      <c r="H2675" t="s">
        <v>13</v>
      </c>
      <c r="I2675">
        <v>43</v>
      </c>
      <c r="J2675">
        <f>ABS((I2675-EDA!$A$15)/EDA!$B$15)</f>
        <v>7.2015642935854773E-2</v>
      </c>
      <c r="K2675" t="str">
        <f t="shared" si="41"/>
        <v>No</v>
      </c>
      <c r="L2675">
        <f>ABS((C2675-EDA!$F$15)/EDA!$G$15)</f>
        <v>0.28931389450664935</v>
      </c>
      <c r="M2675" t="str">
        <f>IF(moras[[#This Row],[Z-Score Salario]]&gt;1.96, "Sí", "No")</f>
        <v>No</v>
      </c>
      <c r="N2675" s="14">
        <f>IF(ISBLANK(moras[[#This Row],[SALARIO]]), EDA!$M$8, moras[[#This Row],[SALARIO]])</f>
        <v>39960316</v>
      </c>
      <c r="O2675" s="14">
        <f xml:space="preserve"> IF(ISBLANK(moras[[#This Row],[EDAD]]), EDA!$E$8, moras[[#This Row],[EDAD]])</f>
        <v>43</v>
      </c>
      <c r="P2675" s="14" t="str">
        <f>IF(
    OR(ISBLANK(moras[[#This Row],[TIPO_ASEGURAMIENTO]]), moras[[#This Row],[TIPO_ASEGURAMIENTO]]=""),
    EDA!$A$32,
    moras[[#This Row],[TIPO_ASEGURAMIENTO]]
)</f>
        <v>ASALARIADO</v>
      </c>
    </row>
    <row r="2676" spans="1:16" x14ac:dyDescent="0.3">
      <c r="A2676">
        <v>2675</v>
      </c>
      <c r="B2676" t="s">
        <v>15</v>
      </c>
      <c r="C2676">
        <v>35482298</v>
      </c>
      <c r="D2676" t="s">
        <v>14</v>
      </c>
      <c r="E2676" t="s">
        <v>11</v>
      </c>
      <c r="F2676" t="s">
        <v>12</v>
      </c>
      <c r="G2676" t="s">
        <v>13</v>
      </c>
      <c r="H2676" t="s">
        <v>13</v>
      </c>
      <c r="I2676">
        <v>75</v>
      </c>
      <c r="J2676">
        <f>ABS((I2676-EDA!$A$15)/EDA!$B$15)</f>
        <v>2.330426205404255</v>
      </c>
      <c r="K2676" t="str">
        <f t="shared" si="41"/>
        <v>Sí</v>
      </c>
      <c r="L2676">
        <f>ABS((C2676-EDA!$F$15)/EDA!$G$15)</f>
        <v>0.21479651389912396</v>
      </c>
      <c r="M2676" t="str">
        <f>IF(moras[[#This Row],[Z-Score Salario]]&gt;1.96, "Sí", "No")</f>
        <v>No</v>
      </c>
      <c r="N2676" s="14">
        <f>IF(ISBLANK(moras[[#This Row],[SALARIO]]), EDA!$M$8, moras[[#This Row],[SALARIO]])</f>
        <v>35482298</v>
      </c>
      <c r="O2676" s="14">
        <f xml:space="preserve"> IF(ISBLANK(moras[[#This Row],[EDAD]]), EDA!$E$8, moras[[#This Row],[EDAD]])</f>
        <v>75</v>
      </c>
      <c r="P2676" s="14" t="str">
        <f>IF(
    OR(ISBLANK(moras[[#This Row],[TIPO_ASEGURAMIENTO]]), moras[[#This Row],[TIPO_ASEGURAMIENTO]]=""),
    EDA!$A$32,
    moras[[#This Row],[TIPO_ASEGURAMIENTO]]
)</f>
        <v>PENSIONADOS EN SU PROPIO SISTEMA</v>
      </c>
    </row>
    <row r="2677" spans="1:16" x14ac:dyDescent="0.3">
      <c r="A2677">
        <v>2676</v>
      </c>
      <c r="B2677" t="s">
        <v>15</v>
      </c>
      <c r="C2677">
        <v>4258296</v>
      </c>
      <c r="D2677" t="s">
        <v>10</v>
      </c>
      <c r="E2677" t="s">
        <v>16</v>
      </c>
      <c r="F2677" t="s">
        <v>12</v>
      </c>
      <c r="G2677" t="s">
        <v>13</v>
      </c>
      <c r="H2677" t="s">
        <v>13</v>
      </c>
      <c r="I2677">
        <v>19</v>
      </c>
      <c r="J2677">
        <f>ABS((I2677-EDA!$A$15)/EDA!$B$15)</f>
        <v>1.6217922789154453</v>
      </c>
      <c r="K2677" t="str">
        <f t="shared" si="41"/>
        <v>No</v>
      </c>
      <c r="L2677">
        <f>ABS((C2677-EDA!$F$15)/EDA!$G$15)</f>
        <v>0.30479292078473252</v>
      </c>
      <c r="M2677" t="str">
        <f>IF(moras[[#This Row],[Z-Score Salario]]&gt;1.96, "Sí", "No")</f>
        <v>No</v>
      </c>
      <c r="N2677" s="14">
        <f>IF(ISBLANK(moras[[#This Row],[SALARIO]]), EDA!$M$8, moras[[#This Row],[SALARIO]])</f>
        <v>4258296</v>
      </c>
      <c r="O2677" s="14">
        <f xml:space="preserve"> IF(ISBLANK(moras[[#This Row],[EDAD]]), EDA!$E$8, moras[[#This Row],[EDAD]])</f>
        <v>19</v>
      </c>
      <c r="P2677" s="14" t="str">
        <f>IF(
    OR(ISBLANK(moras[[#This Row],[TIPO_ASEGURAMIENTO]]), moras[[#This Row],[TIPO_ASEGURAMIENTO]]=""),
    EDA!$A$32,
    moras[[#This Row],[TIPO_ASEGURAMIENTO]]
)</f>
        <v>ASALARIADO</v>
      </c>
    </row>
    <row r="2678" spans="1:16" x14ac:dyDescent="0.3">
      <c r="A2678">
        <v>2677</v>
      </c>
      <c r="B2678" t="s">
        <v>9</v>
      </c>
      <c r="C2678">
        <v>452229</v>
      </c>
      <c r="D2678" t="s">
        <v>18</v>
      </c>
      <c r="E2678" t="s">
        <v>16</v>
      </c>
      <c r="F2678" t="s">
        <v>12</v>
      </c>
      <c r="G2678" t="s">
        <v>13</v>
      </c>
      <c r="H2678" t="s">
        <v>13</v>
      </c>
      <c r="I2678">
        <v>34</v>
      </c>
      <c r="J2678">
        <f>ABS((I2678-EDA!$A$15)/EDA!$B$15)</f>
        <v>0.56316232775838282</v>
      </c>
      <c r="K2678" t="str">
        <f t="shared" si="41"/>
        <v>No</v>
      </c>
      <c r="L2678">
        <f>ABS((C2678-EDA!$F$15)/EDA!$G$15)</f>
        <v>0.36812856241385111</v>
      </c>
      <c r="M2678" t="str">
        <f>IF(moras[[#This Row],[Z-Score Salario]]&gt;1.96, "Sí", "No")</f>
        <v>No</v>
      </c>
      <c r="N2678" s="14">
        <f>IF(ISBLANK(moras[[#This Row],[SALARIO]]), EDA!$M$8, moras[[#This Row],[SALARIO]])</f>
        <v>452229</v>
      </c>
      <c r="O2678" s="14">
        <f xml:space="preserve"> IF(ISBLANK(moras[[#This Row],[EDAD]]), EDA!$E$8, moras[[#This Row],[EDAD]])</f>
        <v>34</v>
      </c>
      <c r="P2678" s="14" t="str">
        <f>IF(
    OR(ISBLANK(moras[[#This Row],[TIPO_ASEGURAMIENTO]]), moras[[#This Row],[TIPO_ASEGURAMIENTO]]=""),
    EDA!$A$32,
    moras[[#This Row],[TIPO_ASEGURAMIENTO]]
)</f>
        <v>TRABAJADOR INDEPENDIENTE</v>
      </c>
    </row>
    <row r="2679" spans="1:16" x14ac:dyDescent="0.3">
      <c r="A2679">
        <v>2678</v>
      </c>
      <c r="B2679" t="s">
        <v>9</v>
      </c>
      <c r="C2679">
        <v>315605</v>
      </c>
      <c r="D2679" t="s">
        <v>17</v>
      </c>
      <c r="E2679" t="s">
        <v>16</v>
      </c>
      <c r="F2679" t="s">
        <v>12</v>
      </c>
      <c r="G2679" t="s">
        <v>13</v>
      </c>
      <c r="H2679" t="s">
        <v>13</v>
      </c>
      <c r="I2679">
        <v>58</v>
      </c>
      <c r="J2679">
        <f>ABS((I2679-EDA!$A$15)/EDA!$B$15)</f>
        <v>1.1306455940929174</v>
      </c>
      <c r="K2679" t="str">
        <f t="shared" si="41"/>
        <v>No</v>
      </c>
      <c r="L2679">
        <f>ABS((C2679-EDA!$F$15)/EDA!$G$15)</f>
        <v>0.3704020822183991</v>
      </c>
      <c r="M2679" t="str">
        <f>IF(moras[[#This Row],[Z-Score Salario]]&gt;1.96, "Sí", "No")</f>
        <v>No</v>
      </c>
      <c r="N2679" s="14">
        <f>IF(ISBLANK(moras[[#This Row],[SALARIO]]), EDA!$M$8, moras[[#This Row],[SALARIO]])</f>
        <v>315605</v>
      </c>
      <c r="O2679" s="14">
        <f xml:space="preserve"> IF(ISBLANK(moras[[#This Row],[EDAD]]), EDA!$E$8, moras[[#This Row],[EDAD]])</f>
        <v>58</v>
      </c>
      <c r="P2679" s="14" t="str">
        <f>IF(
    OR(ISBLANK(moras[[#This Row],[TIPO_ASEGURAMIENTO]]), moras[[#This Row],[TIPO_ASEGURAMIENTO]]=""),
    EDA!$A$32,
    moras[[#This Row],[TIPO_ASEGURAMIENTO]]
)</f>
        <v>ASEGURADO VOLUNTARIO</v>
      </c>
    </row>
    <row r="2680" spans="1:16" x14ac:dyDescent="0.3">
      <c r="A2680">
        <v>2679</v>
      </c>
      <c r="B2680" t="s">
        <v>15</v>
      </c>
      <c r="C2680">
        <v>7492353</v>
      </c>
      <c r="D2680" t="s">
        <v>10</v>
      </c>
      <c r="E2680" t="s">
        <v>16</v>
      </c>
      <c r="F2680" t="s">
        <v>12</v>
      </c>
      <c r="G2680" t="s">
        <v>13</v>
      </c>
      <c r="H2680" t="s">
        <v>13</v>
      </c>
      <c r="I2680">
        <v>40</v>
      </c>
      <c r="J2680">
        <f>ABS((I2680-EDA!$A$15)/EDA!$B$15)</f>
        <v>0.13971034729555773</v>
      </c>
      <c r="K2680" t="str">
        <f t="shared" si="41"/>
        <v>No</v>
      </c>
      <c r="L2680">
        <f>ABS((C2680-EDA!$F$15)/EDA!$G$15)</f>
        <v>0.25097592934444984</v>
      </c>
      <c r="M2680" t="str">
        <f>IF(moras[[#This Row],[Z-Score Salario]]&gt;1.96, "Sí", "No")</f>
        <v>No</v>
      </c>
      <c r="N2680" s="14">
        <f>IF(ISBLANK(moras[[#This Row],[SALARIO]]), EDA!$M$8, moras[[#This Row],[SALARIO]])</f>
        <v>7492353</v>
      </c>
      <c r="O2680" s="14">
        <f xml:space="preserve"> IF(ISBLANK(moras[[#This Row],[EDAD]]), EDA!$E$8, moras[[#This Row],[EDAD]])</f>
        <v>40</v>
      </c>
      <c r="P2680" s="14" t="str">
        <f>IF(
    OR(ISBLANK(moras[[#This Row],[TIPO_ASEGURAMIENTO]]), moras[[#This Row],[TIPO_ASEGURAMIENTO]]=""),
    EDA!$A$32,
    moras[[#This Row],[TIPO_ASEGURAMIENTO]]
)</f>
        <v>ASALARIADO</v>
      </c>
    </row>
    <row r="2681" spans="1:16" x14ac:dyDescent="0.3">
      <c r="A2681">
        <v>2680</v>
      </c>
      <c r="B2681" t="s">
        <v>9</v>
      </c>
      <c r="C2681">
        <v>36649532</v>
      </c>
      <c r="D2681" t="s">
        <v>10</v>
      </c>
      <c r="E2681" t="s">
        <v>16</v>
      </c>
      <c r="F2681" t="s">
        <v>12</v>
      </c>
      <c r="G2681" t="s">
        <v>13</v>
      </c>
      <c r="H2681" t="s">
        <v>13</v>
      </c>
      <c r="I2681">
        <v>22</v>
      </c>
      <c r="J2681">
        <f>ABS((I2681-EDA!$A$15)/EDA!$B$15)</f>
        <v>1.4100662886840327</v>
      </c>
      <c r="K2681" t="str">
        <f t="shared" si="41"/>
        <v>No</v>
      </c>
      <c r="L2681">
        <f>ABS((C2681-EDA!$F$15)/EDA!$G$15)</f>
        <v>0.23422011162384154</v>
      </c>
      <c r="M2681" t="str">
        <f>IF(moras[[#This Row],[Z-Score Salario]]&gt;1.96, "Sí", "No")</f>
        <v>No</v>
      </c>
      <c r="N2681" s="14">
        <f>IF(ISBLANK(moras[[#This Row],[SALARIO]]), EDA!$M$8, moras[[#This Row],[SALARIO]])</f>
        <v>36649532</v>
      </c>
      <c r="O2681" s="14">
        <f xml:space="preserve"> IF(ISBLANK(moras[[#This Row],[EDAD]]), EDA!$E$8, moras[[#This Row],[EDAD]])</f>
        <v>22</v>
      </c>
      <c r="P2681" s="14" t="str">
        <f>IF(
    OR(ISBLANK(moras[[#This Row],[TIPO_ASEGURAMIENTO]]), moras[[#This Row],[TIPO_ASEGURAMIENTO]]=""),
    EDA!$A$32,
    moras[[#This Row],[TIPO_ASEGURAMIENTO]]
)</f>
        <v>ASALARIADO</v>
      </c>
    </row>
    <row r="2682" spans="1:16" x14ac:dyDescent="0.3">
      <c r="A2682">
        <v>2681</v>
      </c>
      <c r="B2682" t="s">
        <v>9</v>
      </c>
      <c r="C2682">
        <v>80000</v>
      </c>
      <c r="D2682" t="s">
        <v>10</v>
      </c>
      <c r="E2682" t="s">
        <v>16</v>
      </c>
      <c r="F2682" t="s">
        <v>12</v>
      </c>
      <c r="G2682" t="s">
        <v>12</v>
      </c>
      <c r="H2682" t="s">
        <v>13</v>
      </c>
      <c r="I2682">
        <v>21</v>
      </c>
      <c r="J2682">
        <f>ABS((I2682-EDA!$A$15)/EDA!$B$15)</f>
        <v>1.4806416187611704</v>
      </c>
      <c r="K2682" t="str">
        <f t="shared" si="41"/>
        <v>No</v>
      </c>
      <c r="L2682">
        <f>ABS((C2682-EDA!$F$15)/EDA!$G$15)</f>
        <v>0.37432271573484233</v>
      </c>
      <c r="M2682" t="str">
        <f>IF(moras[[#This Row],[Z-Score Salario]]&gt;1.96, "Sí", "No")</f>
        <v>No</v>
      </c>
      <c r="N2682" s="14">
        <f>IF(ISBLANK(moras[[#This Row],[SALARIO]]), EDA!$M$8, moras[[#This Row],[SALARIO]])</f>
        <v>80000</v>
      </c>
      <c r="O2682" s="14">
        <f xml:space="preserve"> IF(ISBLANK(moras[[#This Row],[EDAD]]), EDA!$E$8, moras[[#This Row],[EDAD]])</f>
        <v>21</v>
      </c>
      <c r="P2682" s="14" t="str">
        <f>IF(
    OR(ISBLANK(moras[[#This Row],[TIPO_ASEGURAMIENTO]]), moras[[#This Row],[TIPO_ASEGURAMIENTO]]=""),
    EDA!$A$32,
    moras[[#This Row],[TIPO_ASEGURAMIENTO]]
)</f>
        <v>ASALARIADO</v>
      </c>
    </row>
    <row r="2683" spans="1:16" x14ac:dyDescent="0.3">
      <c r="A2683">
        <v>2682</v>
      </c>
      <c r="B2683" t="s">
        <v>9</v>
      </c>
      <c r="C2683">
        <v>31696469</v>
      </c>
      <c r="D2683" t="s">
        <v>10</v>
      </c>
      <c r="E2683" t="s">
        <v>16</v>
      </c>
      <c r="F2683" t="s">
        <v>12</v>
      </c>
      <c r="G2683" t="s">
        <v>13</v>
      </c>
      <c r="H2683" t="s">
        <v>13</v>
      </c>
      <c r="I2683">
        <v>20</v>
      </c>
      <c r="J2683">
        <f>ABS((I2683-EDA!$A$15)/EDA!$B$15)</f>
        <v>1.5512169488383079</v>
      </c>
      <c r="K2683" t="str">
        <f t="shared" si="41"/>
        <v>No</v>
      </c>
      <c r="L2683">
        <f>ABS((C2683-EDA!$F$15)/EDA!$G$15)</f>
        <v>0.15179764687625644</v>
      </c>
      <c r="M2683" t="str">
        <f>IF(moras[[#This Row],[Z-Score Salario]]&gt;1.96, "Sí", "No")</f>
        <v>No</v>
      </c>
      <c r="N2683" s="14">
        <f>IF(ISBLANK(moras[[#This Row],[SALARIO]]), EDA!$M$8, moras[[#This Row],[SALARIO]])</f>
        <v>31696469</v>
      </c>
      <c r="O2683" s="14">
        <f xml:space="preserve"> IF(ISBLANK(moras[[#This Row],[EDAD]]), EDA!$E$8, moras[[#This Row],[EDAD]])</f>
        <v>20</v>
      </c>
      <c r="P2683" s="14" t="str">
        <f>IF(
    OR(ISBLANK(moras[[#This Row],[TIPO_ASEGURAMIENTO]]), moras[[#This Row],[TIPO_ASEGURAMIENTO]]=""),
    EDA!$A$32,
    moras[[#This Row],[TIPO_ASEGURAMIENTO]]
)</f>
        <v>ASALARIADO</v>
      </c>
    </row>
    <row r="2684" spans="1:16" x14ac:dyDescent="0.3">
      <c r="A2684">
        <v>2683</v>
      </c>
      <c r="B2684" t="s">
        <v>15</v>
      </c>
      <c r="C2684">
        <v>370500</v>
      </c>
      <c r="D2684" t="s">
        <v>10</v>
      </c>
      <c r="E2684" t="s">
        <v>16</v>
      </c>
      <c r="F2684" t="s">
        <v>12</v>
      </c>
      <c r="G2684" t="s">
        <v>13</v>
      </c>
      <c r="H2684" t="s">
        <v>13</v>
      </c>
      <c r="I2684">
        <v>28</v>
      </c>
      <c r="J2684">
        <f>ABS((I2684-EDA!$A$15)/EDA!$B$15)</f>
        <v>0.98661430822120777</v>
      </c>
      <c r="K2684" t="str">
        <f t="shared" si="41"/>
        <v>No</v>
      </c>
      <c r="L2684">
        <f>ABS((C2684-EDA!$F$15)/EDA!$G$15)</f>
        <v>0.36948859066734907</v>
      </c>
      <c r="M2684" t="str">
        <f>IF(moras[[#This Row],[Z-Score Salario]]&gt;1.96, "Sí", "No")</f>
        <v>No</v>
      </c>
      <c r="N2684" s="14">
        <f>IF(ISBLANK(moras[[#This Row],[SALARIO]]), EDA!$M$8, moras[[#This Row],[SALARIO]])</f>
        <v>370500</v>
      </c>
      <c r="O2684" s="14">
        <f xml:space="preserve"> IF(ISBLANK(moras[[#This Row],[EDAD]]), EDA!$E$8, moras[[#This Row],[EDAD]])</f>
        <v>28</v>
      </c>
      <c r="P2684" s="14" t="str">
        <f>IF(
    OR(ISBLANK(moras[[#This Row],[TIPO_ASEGURAMIENTO]]), moras[[#This Row],[TIPO_ASEGURAMIENTO]]=""),
    EDA!$A$32,
    moras[[#This Row],[TIPO_ASEGURAMIENTO]]
)</f>
        <v>ASALARIADO</v>
      </c>
    </row>
    <row r="2685" spans="1:16" x14ac:dyDescent="0.3">
      <c r="A2685">
        <v>2684</v>
      </c>
      <c r="B2685" t="s">
        <v>9</v>
      </c>
      <c r="C2685">
        <v>10817096</v>
      </c>
      <c r="D2685" t="s">
        <v>10</v>
      </c>
      <c r="E2685" t="s">
        <v>11</v>
      </c>
      <c r="F2685" t="s">
        <v>12</v>
      </c>
      <c r="G2685" t="s">
        <v>13</v>
      </c>
      <c r="H2685" t="s">
        <v>13</v>
      </c>
      <c r="I2685">
        <v>59</v>
      </c>
      <c r="J2685">
        <f>ABS((I2685-EDA!$A$15)/EDA!$B$15)</f>
        <v>1.2012209241700549</v>
      </c>
      <c r="K2685" t="str">
        <f t="shared" si="41"/>
        <v>No</v>
      </c>
      <c r="L2685">
        <f>ABS((C2685-EDA!$F$15)/EDA!$G$15)</f>
        <v>0.19564985884781366</v>
      </c>
      <c r="M2685" t="str">
        <f>IF(moras[[#This Row],[Z-Score Salario]]&gt;1.96, "Sí", "No")</f>
        <v>No</v>
      </c>
      <c r="N2685" s="14">
        <f>IF(ISBLANK(moras[[#This Row],[SALARIO]]), EDA!$M$8, moras[[#This Row],[SALARIO]])</f>
        <v>10817096</v>
      </c>
      <c r="O2685" s="14">
        <f xml:space="preserve"> IF(ISBLANK(moras[[#This Row],[EDAD]]), EDA!$E$8, moras[[#This Row],[EDAD]])</f>
        <v>59</v>
      </c>
      <c r="P2685" s="14" t="str">
        <f>IF(
    OR(ISBLANK(moras[[#This Row],[TIPO_ASEGURAMIENTO]]), moras[[#This Row],[TIPO_ASEGURAMIENTO]]=""),
    EDA!$A$32,
    moras[[#This Row],[TIPO_ASEGURAMIENTO]]
)</f>
        <v>ASALARIADO</v>
      </c>
    </row>
    <row r="2686" spans="1:16" x14ac:dyDescent="0.3">
      <c r="A2686">
        <v>2685</v>
      </c>
      <c r="B2686" t="s">
        <v>15</v>
      </c>
      <c r="C2686">
        <v>6984267</v>
      </c>
      <c r="D2686" t="s">
        <v>10</v>
      </c>
      <c r="E2686" t="s">
        <v>11</v>
      </c>
      <c r="F2686" t="s">
        <v>12</v>
      </c>
      <c r="G2686" t="s">
        <v>13</v>
      </c>
      <c r="H2686" t="s">
        <v>13</v>
      </c>
      <c r="I2686">
        <v>35</v>
      </c>
      <c r="J2686">
        <f>ABS((I2686-EDA!$A$15)/EDA!$B$15)</f>
        <v>0.49258699768124525</v>
      </c>
      <c r="K2686" t="str">
        <f t="shared" si="41"/>
        <v>No</v>
      </c>
      <c r="L2686">
        <f>ABS((C2686-EDA!$F$15)/EDA!$G$15)</f>
        <v>0.25943083904855446</v>
      </c>
      <c r="M2686" t="str">
        <f>IF(moras[[#This Row],[Z-Score Salario]]&gt;1.96, "Sí", "No")</f>
        <v>No</v>
      </c>
      <c r="N2686" s="14">
        <f>IF(ISBLANK(moras[[#This Row],[SALARIO]]), EDA!$M$8, moras[[#This Row],[SALARIO]])</f>
        <v>6984267</v>
      </c>
      <c r="O2686" s="14">
        <f xml:space="preserve"> IF(ISBLANK(moras[[#This Row],[EDAD]]), EDA!$E$8, moras[[#This Row],[EDAD]])</f>
        <v>35</v>
      </c>
      <c r="P2686" s="14" t="str">
        <f>IF(
    OR(ISBLANK(moras[[#This Row],[TIPO_ASEGURAMIENTO]]), moras[[#This Row],[TIPO_ASEGURAMIENTO]]=""),
    EDA!$A$32,
    moras[[#This Row],[TIPO_ASEGURAMIENTO]]
)</f>
        <v>ASALARIADO</v>
      </c>
    </row>
    <row r="2687" spans="1:16" x14ac:dyDescent="0.3">
      <c r="A2687">
        <v>2686</v>
      </c>
      <c r="B2687" t="s">
        <v>9</v>
      </c>
      <c r="C2687">
        <v>431290</v>
      </c>
      <c r="D2687" t="s">
        <v>10</v>
      </c>
      <c r="E2687" t="s">
        <v>16</v>
      </c>
      <c r="F2687" t="s">
        <v>12</v>
      </c>
      <c r="G2687" t="s">
        <v>13</v>
      </c>
      <c r="H2687" t="s">
        <v>13</v>
      </c>
      <c r="I2687">
        <v>60</v>
      </c>
      <c r="J2687">
        <f>ABS((I2687-EDA!$A$15)/EDA!$B$15)</f>
        <v>1.2717962542471923</v>
      </c>
      <c r="K2687" t="str">
        <f t="shared" si="41"/>
        <v>No</v>
      </c>
      <c r="L2687">
        <f>ABS((C2687-EDA!$F$15)/EDA!$G$15)</f>
        <v>0.36847700215494661</v>
      </c>
      <c r="M2687" t="str">
        <f>IF(moras[[#This Row],[Z-Score Salario]]&gt;1.96, "Sí", "No")</f>
        <v>No</v>
      </c>
      <c r="N2687" s="14">
        <f>IF(ISBLANK(moras[[#This Row],[SALARIO]]), EDA!$M$8, moras[[#This Row],[SALARIO]])</f>
        <v>431290</v>
      </c>
      <c r="O2687" s="14">
        <f xml:space="preserve"> IF(ISBLANK(moras[[#This Row],[EDAD]]), EDA!$E$8, moras[[#This Row],[EDAD]])</f>
        <v>60</v>
      </c>
      <c r="P2687" s="14" t="str">
        <f>IF(
    OR(ISBLANK(moras[[#This Row],[TIPO_ASEGURAMIENTO]]), moras[[#This Row],[TIPO_ASEGURAMIENTO]]=""),
    EDA!$A$32,
    moras[[#This Row],[TIPO_ASEGURAMIENTO]]
)</f>
        <v>ASALARIADO</v>
      </c>
    </row>
    <row r="2688" spans="1:16" x14ac:dyDescent="0.3">
      <c r="A2688">
        <v>2687</v>
      </c>
      <c r="B2688" t="s">
        <v>9</v>
      </c>
      <c r="C2688">
        <v>297045</v>
      </c>
      <c r="D2688" t="s">
        <v>17</v>
      </c>
      <c r="E2688" t="s">
        <v>16</v>
      </c>
      <c r="F2688" t="s">
        <v>12</v>
      </c>
      <c r="G2688" t="s">
        <v>13</v>
      </c>
      <c r="H2688" t="s">
        <v>13</v>
      </c>
      <c r="I2688">
        <v>51</v>
      </c>
      <c r="J2688">
        <f>ABS((I2688-EDA!$A$15)/EDA!$B$15)</f>
        <v>0.6366182835529548</v>
      </c>
      <c r="K2688" t="str">
        <f t="shared" si="41"/>
        <v>No</v>
      </c>
      <c r="L2688">
        <f>ABS((C2688-EDA!$F$15)/EDA!$G$15)</f>
        <v>0.37071093372012948</v>
      </c>
      <c r="M2688" t="str">
        <f>IF(moras[[#This Row],[Z-Score Salario]]&gt;1.96, "Sí", "No")</f>
        <v>No</v>
      </c>
      <c r="N2688" s="14">
        <f>IF(ISBLANK(moras[[#This Row],[SALARIO]]), EDA!$M$8, moras[[#This Row],[SALARIO]])</f>
        <v>297045</v>
      </c>
      <c r="O2688" s="14">
        <f xml:space="preserve"> IF(ISBLANK(moras[[#This Row],[EDAD]]), EDA!$E$8, moras[[#This Row],[EDAD]])</f>
        <v>51</v>
      </c>
      <c r="P2688" s="14" t="str">
        <f>IF(
    OR(ISBLANK(moras[[#This Row],[TIPO_ASEGURAMIENTO]]), moras[[#This Row],[TIPO_ASEGURAMIENTO]]=""),
    EDA!$A$32,
    moras[[#This Row],[TIPO_ASEGURAMIENTO]]
)</f>
        <v>ASEGURADO VOLUNTARIO</v>
      </c>
    </row>
    <row r="2689" spans="1:16" x14ac:dyDescent="0.3">
      <c r="A2689">
        <v>2688</v>
      </c>
      <c r="B2689" t="s">
        <v>9</v>
      </c>
      <c r="C2689">
        <v>610312</v>
      </c>
      <c r="D2689" t="s">
        <v>10</v>
      </c>
      <c r="E2689" t="s">
        <v>16</v>
      </c>
      <c r="F2689" t="s">
        <v>12</v>
      </c>
      <c r="G2689" t="s">
        <v>13</v>
      </c>
      <c r="H2689" t="s">
        <v>13</v>
      </c>
      <c r="I2689">
        <v>33</v>
      </c>
      <c r="J2689">
        <f>ABS((I2689-EDA!$A$15)/EDA!$B$15)</f>
        <v>0.63373765783552027</v>
      </c>
      <c r="K2689" t="str">
        <f t="shared" si="41"/>
        <v>No</v>
      </c>
      <c r="L2689">
        <f>ABS((C2689-EDA!$F$15)/EDA!$G$15)</f>
        <v>0.3654979497011332</v>
      </c>
      <c r="M2689" t="str">
        <f>IF(moras[[#This Row],[Z-Score Salario]]&gt;1.96, "Sí", "No")</f>
        <v>No</v>
      </c>
      <c r="N2689" s="14">
        <f>IF(ISBLANK(moras[[#This Row],[SALARIO]]), EDA!$M$8, moras[[#This Row],[SALARIO]])</f>
        <v>610312</v>
      </c>
      <c r="O2689" s="14">
        <f xml:space="preserve"> IF(ISBLANK(moras[[#This Row],[EDAD]]), EDA!$E$8, moras[[#This Row],[EDAD]])</f>
        <v>33</v>
      </c>
      <c r="P2689" s="14" t="str">
        <f>IF(
    OR(ISBLANK(moras[[#This Row],[TIPO_ASEGURAMIENTO]]), moras[[#This Row],[TIPO_ASEGURAMIENTO]]=""),
    EDA!$A$32,
    moras[[#This Row],[TIPO_ASEGURAMIENTO]]
)</f>
        <v>ASALARIADO</v>
      </c>
    </row>
    <row r="2690" spans="1:16" x14ac:dyDescent="0.3">
      <c r="A2690">
        <v>2689</v>
      </c>
      <c r="B2690" t="s">
        <v>15</v>
      </c>
      <c r="C2690">
        <v>550022</v>
      </c>
      <c r="D2690" t="s">
        <v>10</v>
      </c>
      <c r="E2690" t="s">
        <v>16</v>
      </c>
      <c r="F2690" t="s">
        <v>12</v>
      </c>
      <c r="G2690" t="s">
        <v>12</v>
      </c>
      <c r="H2690" t="s">
        <v>13</v>
      </c>
      <c r="I2690">
        <v>29</v>
      </c>
      <c r="J2690">
        <f>ABS((I2690-EDA!$A$15)/EDA!$B$15)</f>
        <v>0.91603897814407031</v>
      </c>
      <c r="K2690" t="str">
        <f t="shared" ref="K2690:K2753" si="42">IF(J2690 &gt;  1.96, "Sí","No")</f>
        <v>No</v>
      </c>
      <c r="L2690">
        <f>ABS((C2690-EDA!$F$15)/EDA!$G$15)</f>
        <v>0.3665012178605796</v>
      </c>
      <c r="M2690" t="str">
        <f>IF(moras[[#This Row],[Z-Score Salario]]&gt;1.96, "Sí", "No")</f>
        <v>No</v>
      </c>
      <c r="N2690" s="14">
        <f>IF(ISBLANK(moras[[#This Row],[SALARIO]]), EDA!$M$8, moras[[#This Row],[SALARIO]])</f>
        <v>550022</v>
      </c>
      <c r="O2690" s="14">
        <f xml:space="preserve"> IF(ISBLANK(moras[[#This Row],[EDAD]]), EDA!$E$8, moras[[#This Row],[EDAD]])</f>
        <v>29</v>
      </c>
      <c r="P2690" s="14" t="str">
        <f>IF(
    OR(ISBLANK(moras[[#This Row],[TIPO_ASEGURAMIENTO]]), moras[[#This Row],[TIPO_ASEGURAMIENTO]]=""),
    EDA!$A$32,
    moras[[#This Row],[TIPO_ASEGURAMIENTO]]
)</f>
        <v>ASALARIADO</v>
      </c>
    </row>
    <row r="2691" spans="1:16" x14ac:dyDescent="0.3">
      <c r="A2691">
        <v>2690</v>
      </c>
      <c r="B2691" t="s">
        <v>15</v>
      </c>
      <c r="C2691">
        <v>1264065</v>
      </c>
      <c r="D2691" t="s">
        <v>10</v>
      </c>
      <c r="E2691" t="s">
        <v>11</v>
      </c>
      <c r="F2691" t="s">
        <v>12</v>
      </c>
      <c r="G2691" t="s">
        <v>13</v>
      </c>
      <c r="H2691" t="s">
        <v>13</v>
      </c>
      <c r="I2691">
        <v>49</v>
      </c>
      <c r="J2691">
        <f>ABS((I2691-EDA!$A$15)/EDA!$B$15)</f>
        <v>0.49546762339867978</v>
      </c>
      <c r="K2691" t="str">
        <f t="shared" si="42"/>
        <v>No</v>
      </c>
      <c r="L2691">
        <f>ABS((C2691-EDA!$F$15)/EDA!$G$15)</f>
        <v>0.35461903828891655</v>
      </c>
      <c r="M2691" t="str">
        <f>IF(moras[[#This Row],[Z-Score Salario]]&gt;1.96, "Sí", "No")</f>
        <v>No</v>
      </c>
      <c r="N2691" s="14">
        <f>IF(ISBLANK(moras[[#This Row],[SALARIO]]), EDA!$M$8, moras[[#This Row],[SALARIO]])</f>
        <v>1264065</v>
      </c>
      <c r="O2691" s="14">
        <f xml:space="preserve"> IF(ISBLANK(moras[[#This Row],[EDAD]]), EDA!$E$8, moras[[#This Row],[EDAD]])</f>
        <v>49</v>
      </c>
      <c r="P2691" s="14" t="str">
        <f>IF(
    OR(ISBLANK(moras[[#This Row],[TIPO_ASEGURAMIENTO]]), moras[[#This Row],[TIPO_ASEGURAMIENTO]]=""),
    EDA!$A$32,
    moras[[#This Row],[TIPO_ASEGURAMIENTO]]
)</f>
        <v>ASALARIADO</v>
      </c>
    </row>
    <row r="2692" spans="1:16" x14ac:dyDescent="0.3">
      <c r="A2692">
        <v>2691</v>
      </c>
      <c r="B2692" t="s">
        <v>15</v>
      </c>
      <c r="C2692">
        <v>9119825</v>
      </c>
      <c r="D2692" t="s">
        <v>10</v>
      </c>
      <c r="E2692" t="s">
        <v>11</v>
      </c>
      <c r="F2692" t="s">
        <v>12</v>
      </c>
      <c r="G2692" t="s">
        <v>13</v>
      </c>
      <c r="H2692" t="s">
        <v>13</v>
      </c>
      <c r="I2692">
        <v>29</v>
      </c>
      <c r="J2692">
        <f>ABS((I2692-EDA!$A$15)/EDA!$B$15)</f>
        <v>0.91603897814407031</v>
      </c>
      <c r="K2692" t="str">
        <f t="shared" si="42"/>
        <v>No</v>
      </c>
      <c r="L2692">
        <f>ABS((C2692-EDA!$F$15)/EDA!$G$15)</f>
        <v>0.22389364641211448</v>
      </c>
      <c r="M2692" t="str">
        <f>IF(moras[[#This Row],[Z-Score Salario]]&gt;1.96, "Sí", "No")</f>
        <v>No</v>
      </c>
      <c r="N2692" s="14">
        <f>IF(ISBLANK(moras[[#This Row],[SALARIO]]), EDA!$M$8, moras[[#This Row],[SALARIO]])</f>
        <v>9119825</v>
      </c>
      <c r="O2692" s="14">
        <f xml:space="preserve"> IF(ISBLANK(moras[[#This Row],[EDAD]]), EDA!$E$8, moras[[#This Row],[EDAD]])</f>
        <v>29</v>
      </c>
      <c r="P2692" s="14" t="str">
        <f>IF(
    OR(ISBLANK(moras[[#This Row],[TIPO_ASEGURAMIENTO]]), moras[[#This Row],[TIPO_ASEGURAMIENTO]]=""),
    EDA!$A$32,
    moras[[#This Row],[TIPO_ASEGURAMIENTO]]
)</f>
        <v>ASALARIADO</v>
      </c>
    </row>
    <row r="2693" spans="1:16" x14ac:dyDescent="0.3">
      <c r="A2693">
        <v>2692</v>
      </c>
      <c r="B2693" t="s">
        <v>9</v>
      </c>
      <c r="C2693">
        <v>40800</v>
      </c>
      <c r="D2693" t="s">
        <v>10</v>
      </c>
      <c r="E2693" t="s">
        <v>16</v>
      </c>
      <c r="F2693" t="s">
        <v>12</v>
      </c>
      <c r="G2693" t="s">
        <v>13</v>
      </c>
      <c r="H2693" t="s">
        <v>13</v>
      </c>
      <c r="I2693">
        <v>25</v>
      </c>
      <c r="J2693">
        <f>ABS((I2693-EDA!$A$15)/EDA!$B$15)</f>
        <v>1.1983402984526204</v>
      </c>
      <c r="K2693" t="str">
        <f t="shared" si="42"/>
        <v>No</v>
      </c>
      <c r="L2693">
        <f>ABS((C2693-EDA!$F$15)/EDA!$G$15)</f>
        <v>0.37497503140660043</v>
      </c>
      <c r="M2693" t="str">
        <f>IF(moras[[#This Row],[Z-Score Salario]]&gt;1.96, "Sí", "No")</f>
        <v>No</v>
      </c>
      <c r="N2693" s="14">
        <f>IF(ISBLANK(moras[[#This Row],[SALARIO]]), EDA!$M$8, moras[[#This Row],[SALARIO]])</f>
        <v>40800</v>
      </c>
      <c r="O2693" s="14">
        <f xml:space="preserve"> IF(ISBLANK(moras[[#This Row],[EDAD]]), EDA!$E$8, moras[[#This Row],[EDAD]])</f>
        <v>25</v>
      </c>
      <c r="P2693" s="14" t="str">
        <f>IF(
    OR(ISBLANK(moras[[#This Row],[TIPO_ASEGURAMIENTO]]), moras[[#This Row],[TIPO_ASEGURAMIENTO]]=""),
    EDA!$A$32,
    moras[[#This Row],[TIPO_ASEGURAMIENTO]]
)</f>
        <v>ASALARIADO</v>
      </c>
    </row>
    <row r="2694" spans="1:16" x14ac:dyDescent="0.3">
      <c r="A2694">
        <v>2693</v>
      </c>
      <c r="B2694" t="s">
        <v>9</v>
      </c>
      <c r="C2694">
        <v>278030</v>
      </c>
      <c r="D2694" t="s">
        <v>19</v>
      </c>
      <c r="E2694" t="s">
        <v>16</v>
      </c>
      <c r="F2694" t="s">
        <v>12</v>
      </c>
      <c r="G2694" t="s">
        <v>13</v>
      </c>
      <c r="H2694" t="s">
        <v>13</v>
      </c>
      <c r="I2694">
        <v>35</v>
      </c>
      <c r="J2694">
        <f>ABS((I2694-EDA!$A$15)/EDA!$B$15)</f>
        <v>0.49258699768124525</v>
      </c>
      <c r="K2694" t="str">
        <f t="shared" si="42"/>
        <v>No</v>
      </c>
      <c r="L2694">
        <f>ABS((C2694-EDA!$F$15)/EDA!$G$15)</f>
        <v>0.37102735674304993</v>
      </c>
      <c r="M2694" t="str">
        <f>IF(moras[[#This Row],[Z-Score Salario]]&gt;1.96, "Sí", "No")</f>
        <v>No</v>
      </c>
      <c r="N2694" s="14">
        <f>IF(ISBLANK(moras[[#This Row],[SALARIO]]), EDA!$M$8, moras[[#This Row],[SALARIO]])</f>
        <v>278030</v>
      </c>
      <c r="O2694" s="14">
        <f xml:space="preserve"> IF(ISBLANK(moras[[#This Row],[EDAD]]), EDA!$E$8, moras[[#This Row],[EDAD]])</f>
        <v>35</v>
      </c>
      <c r="P2694" s="14" t="str">
        <f>IF(
    OR(ISBLANK(moras[[#This Row],[TIPO_ASEGURAMIENTO]]), moras[[#This Row],[TIPO_ASEGURAMIENTO]]=""),
    EDA!$A$32,
    moras[[#This Row],[TIPO_ASEGURAMIENTO]]
)</f>
        <v>CONVENIOS ESPECIALES DE TRABAJADORES INDEPENDIENTES</v>
      </c>
    </row>
    <row r="2695" spans="1:16" x14ac:dyDescent="0.3">
      <c r="A2695">
        <v>2694</v>
      </c>
      <c r="B2695" t="s">
        <v>15</v>
      </c>
      <c r="C2695">
        <v>439474</v>
      </c>
      <c r="D2695" t="s">
        <v>10</v>
      </c>
      <c r="E2695" t="s">
        <v>11</v>
      </c>
      <c r="F2695" t="s">
        <v>12</v>
      </c>
      <c r="G2695" t="s">
        <v>13</v>
      </c>
      <c r="H2695" t="s">
        <v>12</v>
      </c>
      <c r="I2695">
        <v>57</v>
      </c>
      <c r="J2695">
        <f>ABS((I2695-EDA!$A$15)/EDA!$B$15)</f>
        <v>1.0600702640157798</v>
      </c>
      <c r="K2695" t="str">
        <f t="shared" si="42"/>
        <v>No</v>
      </c>
      <c r="L2695">
        <f>ABS((C2695-EDA!$F$15)/EDA!$G$15)</f>
        <v>0.36834081461776114</v>
      </c>
      <c r="M2695" t="str">
        <f>IF(moras[[#This Row],[Z-Score Salario]]&gt;1.96, "Sí", "No")</f>
        <v>No</v>
      </c>
      <c r="N2695" s="14">
        <f>IF(ISBLANK(moras[[#This Row],[SALARIO]]), EDA!$M$8, moras[[#This Row],[SALARIO]])</f>
        <v>439474</v>
      </c>
      <c r="O2695" s="14">
        <f xml:space="preserve"> IF(ISBLANK(moras[[#This Row],[EDAD]]), EDA!$E$8, moras[[#This Row],[EDAD]])</f>
        <v>57</v>
      </c>
      <c r="P2695" s="14" t="str">
        <f>IF(
    OR(ISBLANK(moras[[#This Row],[TIPO_ASEGURAMIENTO]]), moras[[#This Row],[TIPO_ASEGURAMIENTO]]=""),
    EDA!$A$32,
    moras[[#This Row],[TIPO_ASEGURAMIENTO]]
)</f>
        <v>ASALARIADO</v>
      </c>
    </row>
    <row r="2696" spans="1:16" x14ac:dyDescent="0.3">
      <c r="A2696">
        <v>2695</v>
      </c>
      <c r="B2696" t="s">
        <v>9</v>
      </c>
      <c r="C2696">
        <v>3500000</v>
      </c>
      <c r="D2696" t="s">
        <v>10</v>
      </c>
      <c r="E2696" t="s">
        <v>16</v>
      </c>
      <c r="F2696" t="s">
        <v>12</v>
      </c>
      <c r="G2696" t="s">
        <v>13</v>
      </c>
      <c r="H2696" t="s">
        <v>13</v>
      </c>
      <c r="I2696">
        <v>60</v>
      </c>
      <c r="J2696">
        <f>ABS((I2696-EDA!$A$15)/EDA!$B$15)</f>
        <v>1.2717962542471923</v>
      </c>
      <c r="K2696" t="str">
        <f t="shared" si="42"/>
        <v>No</v>
      </c>
      <c r="L2696">
        <f>ABS((C2696-EDA!$F$15)/EDA!$G$15)</f>
        <v>0.31741150151512798</v>
      </c>
      <c r="M2696" t="str">
        <f>IF(moras[[#This Row],[Z-Score Salario]]&gt;1.96, "Sí", "No")</f>
        <v>No</v>
      </c>
      <c r="N2696" s="14">
        <f>IF(ISBLANK(moras[[#This Row],[SALARIO]]), EDA!$M$8, moras[[#This Row],[SALARIO]])</f>
        <v>3500000</v>
      </c>
      <c r="O2696" s="14">
        <f xml:space="preserve"> IF(ISBLANK(moras[[#This Row],[EDAD]]), EDA!$E$8, moras[[#This Row],[EDAD]])</f>
        <v>60</v>
      </c>
      <c r="P2696" s="14" t="str">
        <f>IF(
    OR(ISBLANK(moras[[#This Row],[TIPO_ASEGURAMIENTO]]), moras[[#This Row],[TIPO_ASEGURAMIENTO]]=""),
    EDA!$A$32,
    moras[[#This Row],[TIPO_ASEGURAMIENTO]]
)</f>
        <v>ASALARIADO</v>
      </c>
    </row>
    <row r="2697" spans="1:16" x14ac:dyDescent="0.3">
      <c r="A2697">
        <v>2696</v>
      </c>
      <c r="B2697" t="s">
        <v>9</v>
      </c>
      <c r="C2697">
        <v>517500</v>
      </c>
      <c r="D2697" t="s">
        <v>10</v>
      </c>
      <c r="E2697" t="s">
        <v>16</v>
      </c>
      <c r="F2697" t="s">
        <v>12</v>
      </c>
      <c r="G2697" t="s">
        <v>13</v>
      </c>
      <c r="H2697" t="s">
        <v>13</v>
      </c>
      <c r="I2697">
        <v>31</v>
      </c>
      <c r="J2697">
        <f>ABS((I2697-EDA!$A$15)/EDA!$B$15)</f>
        <v>0.77488831798979529</v>
      </c>
      <c r="K2697" t="str">
        <f t="shared" si="42"/>
        <v>No</v>
      </c>
      <c r="L2697">
        <f>ABS((C2697-EDA!$F$15)/EDA!$G$15)</f>
        <v>0.36704240689825607</v>
      </c>
      <c r="M2697" t="str">
        <f>IF(moras[[#This Row],[Z-Score Salario]]&gt;1.96, "Sí", "No")</f>
        <v>No</v>
      </c>
      <c r="N2697" s="14">
        <f>IF(ISBLANK(moras[[#This Row],[SALARIO]]), EDA!$M$8, moras[[#This Row],[SALARIO]])</f>
        <v>517500</v>
      </c>
      <c r="O2697" s="14">
        <f xml:space="preserve"> IF(ISBLANK(moras[[#This Row],[EDAD]]), EDA!$E$8, moras[[#This Row],[EDAD]])</f>
        <v>31</v>
      </c>
      <c r="P2697" s="14" t="str">
        <f>IF(
    OR(ISBLANK(moras[[#This Row],[TIPO_ASEGURAMIENTO]]), moras[[#This Row],[TIPO_ASEGURAMIENTO]]=""),
    EDA!$A$32,
    moras[[#This Row],[TIPO_ASEGURAMIENTO]]
)</f>
        <v>ASALARIADO</v>
      </c>
    </row>
    <row r="2698" spans="1:16" x14ac:dyDescent="0.3">
      <c r="A2698">
        <v>2697</v>
      </c>
      <c r="B2698" t="s">
        <v>15</v>
      </c>
      <c r="C2698">
        <v>376000</v>
      </c>
      <c r="D2698" t="s">
        <v>10</v>
      </c>
      <c r="E2698" t="s">
        <v>16</v>
      </c>
      <c r="F2698" t="s">
        <v>12</v>
      </c>
      <c r="G2698" t="s">
        <v>13</v>
      </c>
      <c r="H2698" t="s">
        <v>13</v>
      </c>
      <c r="I2698">
        <v>32</v>
      </c>
      <c r="J2698">
        <f>ABS((I2698-EDA!$A$15)/EDA!$B$15)</f>
        <v>0.70431298791265773</v>
      </c>
      <c r="K2698" t="str">
        <f t="shared" si="42"/>
        <v>No</v>
      </c>
      <c r="L2698">
        <f>ABS((C2698-EDA!$F$15)/EDA!$G$15)</f>
        <v>0.36939706678483197</v>
      </c>
      <c r="M2698" t="str">
        <f>IF(moras[[#This Row],[Z-Score Salario]]&gt;1.96, "Sí", "No")</f>
        <v>No</v>
      </c>
      <c r="N2698" s="14">
        <f>IF(ISBLANK(moras[[#This Row],[SALARIO]]), EDA!$M$8, moras[[#This Row],[SALARIO]])</f>
        <v>376000</v>
      </c>
      <c r="O2698" s="14">
        <f xml:space="preserve"> IF(ISBLANK(moras[[#This Row],[EDAD]]), EDA!$E$8, moras[[#This Row],[EDAD]])</f>
        <v>32</v>
      </c>
      <c r="P2698" s="14" t="str">
        <f>IF(
    OR(ISBLANK(moras[[#This Row],[TIPO_ASEGURAMIENTO]]), moras[[#This Row],[TIPO_ASEGURAMIENTO]]=""),
    EDA!$A$32,
    moras[[#This Row],[TIPO_ASEGURAMIENTO]]
)</f>
        <v>ASALARIADO</v>
      </c>
    </row>
    <row r="2699" spans="1:16" x14ac:dyDescent="0.3">
      <c r="A2699">
        <v>2698</v>
      </c>
      <c r="B2699" t="s">
        <v>9</v>
      </c>
      <c r="C2699">
        <v>297230</v>
      </c>
      <c r="D2699" t="s">
        <v>10</v>
      </c>
      <c r="E2699" t="s">
        <v>16</v>
      </c>
      <c r="F2699" t="s">
        <v>12</v>
      </c>
      <c r="G2699" t="s">
        <v>13</v>
      </c>
      <c r="H2699" t="s">
        <v>13</v>
      </c>
      <c r="I2699">
        <v>24</v>
      </c>
      <c r="J2699">
        <f>ABS((I2699-EDA!$A$15)/EDA!$B$15)</f>
        <v>1.2689156285297578</v>
      </c>
      <c r="K2699" t="str">
        <f t="shared" si="42"/>
        <v>No</v>
      </c>
      <c r="L2699">
        <f>ABS((C2699-EDA!$F$15)/EDA!$G$15)</f>
        <v>0.37070785518953575</v>
      </c>
      <c r="M2699" t="str">
        <f>IF(moras[[#This Row],[Z-Score Salario]]&gt;1.96, "Sí", "No")</f>
        <v>No</v>
      </c>
      <c r="N2699" s="14">
        <f>IF(ISBLANK(moras[[#This Row],[SALARIO]]), EDA!$M$8, moras[[#This Row],[SALARIO]])</f>
        <v>297230</v>
      </c>
      <c r="O2699" s="14">
        <f xml:space="preserve"> IF(ISBLANK(moras[[#This Row],[EDAD]]), EDA!$E$8, moras[[#This Row],[EDAD]])</f>
        <v>24</v>
      </c>
      <c r="P2699" s="14" t="str">
        <f>IF(
    OR(ISBLANK(moras[[#This Row],[TIPO_ASEGURAMIENTO]]), moras[[#This Row],[TIPO_ASEGURAMIENTO]]=""),
    EDA!$A$32,
    moras[[#This Row],[TIPO_ASEGURAMIENTO]]
)</f>
        <v>ASALARIADO</v>
      </c>
    </row>
    <row r="2700" spans="1:16" x14ac:dyDescent="0.3">
      <c r="A2700">
        <v>2699</v>
      </c>
      <c r="B2700" t="s">
        <v>15</v>
      </c>
      <c r="C2700">
        <v>300000</v>
      </c>
      <c r="D2700" t="s">
        <v>10</v>
      </c>
      <c r="E2700" t="s">
        <v>16</v>
      </c>
      <c r="F2700" t="s">
        <v>12</v>
      </c>
      <c r="G2700" t="s">
        <v>13</v>
      </c>
      <c r="H2700" t="s">
        <v>13</v>
      </c>
      <c r="I2700">
        <v>32</v>
      </c>
      <c r="J2700">
        <f>ABS((I2700-EDA!$A$15)/EDA!$B$15)</f>
        <v>0.70431298791265773</v>
      </c>
      <c r="K2700" t="str">
        <f t="shared" si="42"/>
        <v>No</v>
      </c>
      <c r="L2700">
        <f>ABS((C2700-EDA!$F$15)/EDA!$G$15)</f>
        <v>0.37066176043415894</v>
      </c>
      <c r="M2700" t="str">
        <f>IF(moras[[#This Row],[Z-Score Salario]]&gt;1.96, "Sí", "No")</f>
        <v>No</v>
      </c>
      <c r="N2700" s="14">
        <f>IF(ISBLANK(moras[[#This Row],[SALARIO]]), EDA!$M$8, moras[[#This Row],[SALARIO]])</f>
        <v>300000</v>
      </c>
      <c r="O2700" s="14">
        <f xml:space="preserve"> IF(ISBLANK(moras[[#This Row],[EDAD]]), EDA!$E$8, moras[[#This Row],[EDAD]])</f>
        <v>32</v>
      </c>
      <c r="P2700" s="14" t="str">
        <f>IF(
    OR(ISBLANK(moras[[#This Row],[TIPO_ASEGURAMIENTO]]), moras[[#This Row],[TIPO_ASEGURAMIENTO]]=""),
    EDA!$A$32,
    moras[[#This Row],[TIPO_ASEGURAMIENTO]]
)</f>
        <v>ASALARIADO</v>
      </c>
    </row>
    <row r="2701" spans="1:16" x14ac:dyDescent="0.3">
      <c r="A2701">
        <v>2700</v>
      </c>
      <c r="B2701" t="s">
        <v>15</v>
      </c>
      <c r="C2701">
        <v>4301039</v>
      </c>
      <c r="D2701" t="s">
        <v>10</v>
      </c>
      <c r="E2701" t="s">
        <v>16</v>
      </c>
      <c r="F2701" t="s">
        <v>12</v>
      </c>
      <c r="G2701" t="s">
        <v>13</v>
      </c>
      <c r="H2701" t="s">
        <v>13</v>
      </c>
      <c r="I2701">
        <v>22</v>
      </c>
      <c r="J2701">
        <f>ABS((I2701-EDA!$A$15)/EDA!$B$15)</f>
        <v>1.4100662886840327</v>
      </c>
      <c r="K2701" t="str">
        <f t="shared" si="42"/>
        <v>No</v>
      </c>
      <c r="L2701">
        <f>ABS((C2701-EDA!$F$15)/EDA!$G$15)</f>
        <v>0.30408164709192748</v>
      </c>
      <c r="M2701" t="str">
        <f>IF(moras[[#This Row],[Z-Score Salario]]&gt;1.96, "Sí", "No")</f>
        <v>No</v>
      </c>
      <c r="N2701" s="14">
        <f>IF(ISBLANK(moras[[#This Row],[SALARIO]]), EDA!$M$8, moras[[#This Row],[SALARIO]])</f>
        <v>4301039</v>
      </c>
      <c r="O2701" s="14">
        <f xml:space="preserve"> IF(ISBLANK(moras[[#This Row],[EDAD]]), EDA!$E$8, moras[[#This Row],[EDAD]])</f>
        <v>22</v>
      </c>
      <c r="P2701" s="14" t="str">
        <f>IF(
    OR(ISBLANK(moras[[#This Row],[TIPO_ASEGURAMIENTO]]), moras[[#This Row],[TIPO_ASEGURAMIENTO]]=""),
    EDA!$A$32,
    moras[[#This Row],[TIPO_ASEGURAMIENTO]]
)</f>
        <v>ASALARIADO</v>
      </c>
    </row>
    <row r="2702" spans="1:16" x14ac:dyDescent="0.3">
      <c r="A2702">
        <v>2701</v>
      </c>
      <c r="B2702" t="s">
        <v>9</v>
      </c>
      <c r="C2702">
        <v>858401</v>
      </c>
      <c r="D2702" t="s">
        <v>10</v>
      </c>
      <c r="E2702" t="s">
        <v>16</v>
      </c>
      <c r="F2702" t="s">
        <v>12</v>
      </c>
      <c r="G2702" t="s">
        <v>13</v>
      </c>
      <c r="H2702" t="s">
        <v>13</v>
      </c>
      <c r="I2702">
        <v>32</v>
      </c>
      <c r="J2702">
        <f>ABS((I2702-EDA!$A$15)/EDA!$B$15)</f>
        <v>0.70431298791265773</v>
      </c>
      <c r="K2702" t="str">
        <f t="shared" si="42"/>
        <v>No</v>
      </c>
      <c r="L2702">
        <f>ABS((C2702-EDA!$F$15)/EDA!$G$15)</f>
        <v>0.36136957361208216</v>
      </c>
      <c r="M2702" t="str">
        <f>IF(moras[[#This Row],[Z-Score Salario]]&gt;1.96, "Sí", "No")</f>
        <v>No</v>
      </c>
      <c r="N2702" s="14">
        <f>IF(ISBLANK(moras[[#This Row],[SALARIO]]), EDA!$M$8, moras[[#This Row],[SALARIO]])</f>
        <v>858401</v>
      </c>
      <c r="O2702" s="14">
        <f xml:space="preserve"> IF(ISBLANK(moras[[#This Row],[EDAD]]), EDA!$E$8, moras[[#This Row],[EDAD]])</f>
        <v>32</v>
      </c>
      <c r="P2702" s="14" t="str">
        <f>IF(
    OR(ISBLANK(moras[[#This Row],[TIPO_ASEGURAMIENTO]]), moras[[#This Row],[TIPO_ASEGURAMIENTO]]=""),
    EDA!$A$32,
    moras[[#This Row],[TIPO_ASEGURAMIENTO]]
)</f>
        <v>ASALARIADO</v>
      </c>
    </row>
    <row r="2703" spans="1:16" x14ac:dyDescent="0.3">
      <c r="A2703">
        <v>2702</v>
      </c>
      <c r="B2703" t="s">
        <v>15</v>
      </c>
      <c r="C2703">
        <v>1452304</v>
      </c>
      <c r="D2703" t="s">
        <v>14</v>
      </c>
      <c r="E2703" t="s">
        <v>11</v>
      </c>
      <c r="F2703" t="s">
        <v>12</v>
      </c>
      <c r="G2703" t="s">
        <v>13</v>
      </c>
      <c r="H2703" t="s">
        <v>13</v>
      </c>
      <c r="I2703">
        <v>60</v>
      </c>
      <c r="J2703">
        <f>ABS((I2703-EDA!$A$15)/EDA!$B$15)</f>
        <v>1.2717962542471923</v>
      </c>
      <c r="K2703" t="str">
        <f t="shared" si="42"/>
        <v>No</v>
      </c>
      <c r="L2703">
        <f>ABS((C2703-EDA!$F$15)/EDA!$G$15)</f>
        <v>0.35148660844871049</v>
      </c>
      <c r="M2703" t="str">
        <f>IF(moras[[#This Row],[Z-Score Salario]]&gt;1.96, "Sí", "No")</f>
        <v>No</v>
      </c>
      <c r="N2703" s="14">
        <f>IF(ISBLANK(moras[[#This Row],[SALARIO]]), EDA!$M$8, moras[[#This Row],[SALARIO]])</f>
        <v>1452304</v>
      </c>
      <c r="O2703" s="14">
        <f xml:space="preserve"> IF(ISBLANK(moras[[#This Row],[EDAD]]), EDA!$E$8, moras[[#This Row],[EDAD]])</f>
        <v>60</v>
      </c>
      <c r="P2703" s="14" t="str">
        <f>IF(
    OR(ISBLANK(moras[[#This Row],[TIPO_ASEGURAMIENTO]]), moras[[#This Row],[TIPO_ASEGURAMIENTO]]=""),
    EDA!$A$32,
    moras[[#This Row],[TIPO_ASEGURAMIENTO]]
)</f>
        <v>PENSIONADOS EN SU PROPIO SISTEMA</v>
      </c>
    </row>
    <row r="2704" spans="1:16" x14ac:dyDescent="0.3">
      <c r="A2704">
        <v>2703</v>
      </c>
      <c r="B2704" t="s">
        <v>15</v>
      </c>
      <c r="C2704">
        <v>358838</v>
      </c>
      <c r="D2704" t="s">
        <v>10</v>
      </c>
      <c r="E2704" t="s">
        <v>11</v>
      </c>
      <c r="F2704" t="s">
        <v>12</v>
      </c>
      <c r="G2704" t="s">
        <v>13</v>
      </c>
      <c r="H2704" t="s">
        <v>13</v>
      </c>
      <c r="I2704">
        <v>38</v>
      </c>
      <c r="J2704">
        <f>ABS((I2704-EDA!$A$15)/EDA!$B$15)</f>
        <v>0.28086100744983278</v>
      </c>
      <c r="K2704" t="str">
        <f t="shared" si="42"/>
        <v>No</v>
      </c>
      <c r="L2704">
        <f>ABS((C2704-EDA!$F$15)/EDA!$G$15)</f>
        <v>0.36968265457969707</v>
      </c>
      <c r="M2704" t="str">
        <f>IF(moras[[#This Row],[Z-Score Salario]]&gt;1.96, "Sí", "No")</f>
        <v>No</v>
      </c>
      <c r="N2704" s="14">
        <f>IF(ISBLANK(moras[[#This Row],[SALARIO]]), EDA!$M$8, moras[[#This Row],[SALARIO]])</f>
        <v>358838</v>
      </c>
      <c r="O2704" s="14">
        <f xml:space="preserve"> IF(ISBLANK(moras[[#This Row],[EDAD]]), EDA!$E$8, moras[[#This Row],[EDAD]])</f>
        <v>38</v>
      </c>
      <c r="P2704" s="14" t="str">
        <f>IF(
    OR(ISBLANK(moras[[#This Row],[TIPO_ASEGURAMIENTO]]), moras[[#This Row],[TIPO_ASEGURAMIENTO]]=""),
    EDA!$A$32,
    moras[[#This Row],[TIPO_ASEGURAMIENTO]]
)</f>
        <v>ASALARIADO</v>
      </c>
    </row>
    <row r="2705" spans="1:16" x14ac:dyDescent="0.3">
      <c r="A2705">
        <v>2704</v>
      </c>
      <c r="B2705" t="s">
        <v>9</v>
      </c>
      <c r="C2705">
        <v>35690347</v>
      </c>
      <c r="D2705" t="s">
        <v>10</v>
      </c>
      <c r="E2705" t="s">
        <v>16</v>
      </c>
      <c r="F2705" t="s">
        <v>12</v>
      </c>
      <c r="G2705" t="s">
        <v>13</v>
      </c>
      <c r="H2705" t="s">
        <v>13</v>
      </c>
      <c r="I2705">
        <v>49</v>
      </c>
      <c r="J2705">
        <f>ABS((I2705-EDA!$A$15)/EDA!$B$15)</f>
        <v>0.49546762339867978</v>
      </c>
      <c r="K2705" t="str">
        <f t="shared" si="42"/>
        <v>No</v>
      </c>
      <c r="L2705">
        <f>ABS((C2705-EDA!$F$15)/EDA!$G$15)</f>
        <v>0.21825859612345069</v>
      </c>
      <c r="M2705" t="str">
        <f>IF(moras[[#This Row],[Z-Score Salario]]&gt;1.96, "Sí", "No")</f>
        <v>No</v>
      </c>
      <c r="N2705" s="14">
        <f>IF(ISBLANK(moras[[#This Row],[SALARIO]]), EDA!$M$8, moras[[#This Row],[SALARIO]])</f>
        <v>35690347</v>
      </c>
      <c r="O2705" s="14">
        <f xml:space="preserve"> IF(ISBLANK(moras[[#This Row],[EDAD]]), EDA!$E$8, moras[[#This Row],[EDAD]])</f>
        <v>49</v>
      </c>
      <c r="P2705" s="14" t="str">
        <f>IF(
    OR(ISBLANK(moras[[#This Row],[TIPO_ASEGURAMIENTO]]), moras[[#This Row],[TIPO_ASEGURAMIENTO]]=""),
    EDA!$A$32,
    moras[[#This Row],[TIPO_ASEGURAMIENTO]]
)</f>
        <v>ASALARIADO</v>
      </c>
    </row>
    <row r="2706" spans="1:16" x14ac:dyDescent="0.3">
      <c r="A2706">
        <v>2705</v>
      </c>
      <c r="B2706" t="s">
        <v>9</v>
      </c>
      <c r="C2706">
        <v>300018</v>
      </c>
      <c r="D2706" t="s">
        <v>18</v>
      </c>
      <c r="E2706" t="s">
        <v>16</v>
      </c>
      <c r="F2706" t="s">
        <v>12</v>
      </c>
      <c r="G2706" t="s">
        <v>13</v>
      </c>
      <c r="H2706" t="s">
        <v>13</v>
      </c>
      <c r="I2706">
        <v>39</v>
      </c>
      <c r="J2706">
        <f>ABS((I2706-EDA!$A$15)/EDA!$B$15)</f>
        <v>0.21028567737269524</v>
      </c>
      <c r="K2706" t="str">
        <f t="shared" si="42"/>
        <v>No</v>
      </c>
      <c r="L2706">
        <f>ABS((C2706-EDA!$F$15)/EDA!$G$15)</f>
        <v>0.37066146090145252</v>
      </c>
      <c r="M2706" t="str">
        <f>IF(moras[[#This Row],[Z-Score Salario]]&gt;1.96, "Sí", "No")</f>
        <v>No</v>
      </c>
      <c r="N2706" s="14">
        <f>IF(ISBLANK(moras[[#This Row],[SALARIO]]), EDA!$M$8, moras[[#This Row],[SALARIO]])</f>
        <v>300018</v>
      </c>
      <c r="O2706" s="14">
        <f xml:space="preserve"> IF(ISBLANK(moras[[#This Row],[EDAD]]), EDA!$E$8, moras[[#This Row],[EDAD]])</f>
        <v>39</v>
      </c>
      <c r="P2706" s="14" t="str">
        <f>IF(
    OR(ISBLANK(moras[[#This Row],[TIPO_ASEGURAMIENTO]]), moras[[#This Row],[TIPO_ASEGURAMIENTO]]=""),
    EDA!$A$32,
    moras[[#This Row],[TIPO_ASEGURAMIENTO]]
)</f>
        <v>TRABAJADOR INDEPENDIENTE</v>
      </c>
    </row>
    <row r="2707" spans="1:16" x14ac:dyDescent="0.3">
      <c r="A2707">
        <v>2706</v>
      </c>
      <c r="B2707" t="s">
        <v>15</v>
      </c>
      <c r="C2707">
        <v>10619465</v>
      </c>
      <c r="D2707" t="s">
        <v>10</v>
      </c>
      <c r="E2707" t="s">
        <v>11</v>
      </c>
      <c r="F2707" t="s">
        <v>12</v>
      </c>
      <c r="G2707" t="s">
        <v>13</v>
      </c>
      <c r="H2707" t="s">
        <v>13</v>
      </c>
      <c r="I2707">
        <v>29</v>
      </c>
      <c r="J2707">
        <f>ABS((I2707-EDA!$A$15)/EDA!$B$15)</f>
        <v>0.91603897814407031</v>
      </c>
      <c r="K2707" t="str">
        <f t="shared" si="42"/>
        <v>No</v>
      </c>
      <c r="L2707">
        <f>ABS((C2707-EDA!$F$15)/EDA!$G$15)</f>
        <v>0.19893857819794711</v>
      </c>
      <c r="M2707" t="str">
        <f>IF(moras[[#This Row],[Z-Score Salario]]&gt;1.96, "Sí", "No")</f>
        <v>No</v>
      </c>
      <c r="N2707" s="14">
        <f>IF(ISBLANK(moras[[#This Row],[SALARIO]]), EDA!$M$8, moras[[#This Row],[SALARIO]])</f>
        <v>10619465</v>
      </c>
      <c r="O2707" s="14">
        <f xml:space="preserve"> IF(ISBLANK(moras[[#This Row],[EDAD]]), EDA!$E$8, moras[[#This Row],[EDAD]])</f>
        <v>29</v>
      </c>
      <c r="P2707" s="14" t="str">
        <f>IF(
    OR(ISBLANK(moras[[#This Row],[TIPO_ASEGURAMIENTO]]), moras[[#This Row],[TIPO_ASEGURAMIENTO]]=""),
    EDA!$A$32,
    moras[[#This Row],[TIPO_ASEGURAMIENTO]]
)</f>
        <v>ASALARIADO</v>
      </c>
    </row>
    <row r="2708" spans="1:16" x14ac:dyDescent="0.3">
      <c r="A2708">
        <v>2707</v>
      </c>
      <c r="B2708" t="s">
        <v>9</v>
      </c>
      <c r="C2708">
        <v>79597532</v>
      </c>
      <c r="D2708" t="s">
        <v>10</v>
      </c>
      <c r="E2708" t="s">
        <v>11</v>
      </c>
      <c r="F2708" t="s">
        <v>12</v>
      </c>
      <c r="G2708" t="s">
        <v>13</v>
      </c>
      <c r="H2708" t="s">
        <v>13</v>
      </c>
      <c r="I2708">
        <v>38</v>
      </c>
      <c r="J2708">
        <f>ABS((I2708-EDA!$A$15)/EDA!$B$15)</f>
        <v>0.28086100744983278</v>
      </c>
      <c r="K2708" t="str">
        <f t="shared" si="42"/>
        <v>No</v>
      </c>
      <c r="L2708">
        <f>ABS((C2708-EDA!$F$15)/EDA!$G$15)</f>
        <v>0.94890514914088586</v>
      </c>
      <c r="M2708" t="str">
        <f>IF(moras[[#This Row],[Z-Score Salario]]&gt;1.96, "Sí", "No")</f>
        <v>No</v>
      </c>
      <c r="N2708" s="14">
        <f>IF(ISBLANK(moras[[#This Row],[SALARIO]]), EDA!$M$8, moras[[#This Row],[SALARIO]])</f>
        <v>79597532</v>
      </c>
      <c r="O2708" s="14">
        <f xml:space="preserve"> IF(ISBLANK(moras[[#This Row],[EDAD]]), EDA!$E$8, moras[[#This Row],[EDAD]])</f>
        <v>38</v>
      </c>
      <c r="P2708" s="14" t="str">
        <f>IF(
    OR(ISBLANK(moras[[#This Row],[TIPO_ASEGURAMIENTO]]), moras[[#This Row],[TIPO_ASEGURAMIENTO]]=""),
    EDA!$A$32,
    moras[[#This Row],[TIPO_ASEGURAMIENTO]]
)</f>
        <v>ASALARIADO</v>
      </c>
    </row>
    <row r="2709" spans="1:16" x14ac:dyDescent="0.3">
      <c r="A2709">
        <v>2708</v>
      </c>
      <c r="B2709" t="s">
        <v>9</v>
      </c>
      <c r="C2709">
        <v>3852002</v>
      </c>
      <c r="D2709" t="s">
        <v>10</v>
      </c>
      <c r="E2709" t="s">
        <v>16</v>
      </c>
      <c r="F2709" t="s">
        <v>12</v>
      </c>
      <c r="G2709" t="s">
        <v>13</v>
      </c>
      <c r="H2709" t="s">
        <v>13</v>
      </c>
      <c r="I2709">
        <v>27</v>
      </c>
      <c r="J2709">
        <f>ABS((I2709-EDA!$A$15)/EDA!$B$15)</f>
        <v>1.0571896382983452</v>
      </c>
      <c r="K2709" t="str">
        <f t="shared" si="42"/>
        <v>No</v>
      </c>
      <c r="L2709">
        <f>ABS((C2709-EDA!$F$15)/EDA!$G$15)</f>
        <v>0.31155393975262274</v>
      </c>
      <c r="M2709" t="str">
        <f>IF(moras[[#This Row],[Z-Score Salario]]&gt;1.96, "Sí", "No")</f>
        <v>No</v>
      </c>
      <c r="N2709" s="14">
        <f>IF(ISBLANK(moras[[#This Row],[SALARIO]]), EDA!$M$8, moras[[#This Row],[SALARIO]])</f>
        <v>3852002</v>
      </c>
      <c r="O2709" s="14">
        <f xml:space="preserve"> IF(ISBLANK(moras[[#This Row],[EDAD]]), EDA!$E$8, moras[[#This Row],[EDAD]])</f>
        <v>27</v>
      </c>
      <c r="P2709" s="14" t="str">
        <f>IF(
    OR(ISBLANK(moras[[#This Row],[TIPO_ASEGURAMIENTO]]), moras[[#This Row],[TIPO_ASEGURAMIENTO]]=""),
    EDA!$A$32,
    moras[[#This Row],[TIPO_ASEGURAMIENTO]]
)</f>
        <v>ASALARIADO</v>
      </c>
    </row>
    <row r="2710" spans="1:16" x14ac:dyDescent="0.3">
      <c r="A2710">
        <v>2709</v>
      </c>
      <c r="B2710" t="s">
        <v>9</v>
      </c>
      <c r="C2710">
        <v>507944</v>
      </c>
      <c r="D2710" t="s">
        <v>18</v>
      </c>
      <c r="E2710" t="s">
        <v>16</v>
      </c>
      <c r="F2710" t="s">
        <v>12</v>
      </c>
      <c r="G2710" t="s">
        <v>12</v>
      </c>
      <c r="H2710" t="s">
        <v>12</v>
      </c>
      <c r="I2710">
        <v>54</v>
      </c>
      <c r="J2710">
        <f>ABS((I2710-EDA!$A$15)/EDA!$B$15)</f>
        <v>0.84834427378436728</v>
      </c>
      <c r="K2710" t="str">
        <f t="shared" si="42"/>
        <v>No</v>
      </c>
      <c r="L2710">
        <f>ABS((C2710-EDA!$F$15)/EDA!$G$15)</f>
        <v>0.36720142548395301</v>
      </c>
      <c r="M2710" t="str">
        <f>IF(moras[[#This Row],[Z-Score Salario]]&gt;1.96, "Sí", "No")</f>
        <v>No</v>
      </c>
      <c r="N2710" s="14">
        <f>IF(ISBLANK(moras[[#This Row],[SALARIO]]), EDA!$M$8, moras[[#This Row],[SALARIO]])</f>
        <v>507944</v>
      </c>
      <c r="O2710" s="14">
        <f xml:space="preserve"> IF(ISBLANK(moras[[#This Row],[EDAD]]), EDA!$E$8, moras[[#This Row],[EDAD]])</f>
        <v>54</v>
      </c>
      <c r="P2710" s="14" t="str">
        <f>IF(
    OR(ISBLANK(moras[[#This Row],[TIPO_ASEGURAMIENTO]]), moras[[#This Row],[TIPO_ASEGURAMIENTO]]=""),
    EDA!$A$32,
    moras[[#This Row],[TIPO_ASEGURAMIENTO]]
)</f>
        <v>TRABAJADOR INDEPENDIENTE</v>
      </c>
    </row>
    <row r="2711" spans="1:16" x14ac:dyDescent="0.3">
      <c r="A2711">
        <v>2710</v>
      </c>
      <c r="B2711" t="s">
        <v>9</v>
      </c>
      <c r="C2711">
        <v>1196608</v>
      </c>
      <c r="D2711" t="s">
        <v>10</v>
      </c>
      <c r="E2711" t="s">
        <v>16</v>
      </c>
      <c r="F2711" t="s">
        <v>12</v>
      </c>
      <c r="G2711" t="s">
        <v>13</v>
      </c>
      <c r="H2711" t="s">
        <v>13</v>
      </c>
      <c r="I2711">
        <v>33</v>
      </c>
      <c r="J2711">
        <f>ABS((I2711-EDA!$A$15)/EDA!$B$15)</f>
        <v>0.63373765783552027</v>
      </c>
      <c r="K2711" t="str">
        <f t="shared" si="42"/>
        <v>No</v>
      </c>
      <c r="L2711">
        <f>ABS((C2711-EDA!$F$15)/EDA!$G$15)</f>
        <v>0.35574157038763565</v>
      </c>
      <c r="M2711" t="str">
        <f>IF(moras[[#This Row],[Z-Score Salario]]&gt;1.96, "Sí", "No")</f>
        <v>No</v>
      </c>
      <c r="N2711" s="14">
        <f>IF(ISBLANK(moras[[#This Row],[SALARIO]]), EDA!$M$8, moras[[#This Row],[SALARIO]])</f>
        <v>1196608</v>
      </c>
      <c r="O2711" s="14">
        <f xml:space="preserve"> IF(ISBLANK(moras[[#This Row],[EDAD]]), EDA!$E$8, moras[[#This Row],[EDAD]])</f>
        <v>33</v>
      </c>
      <c r="P2711" s="14" t="str">
        <f>IF(
    OR(ISBLANK(moras[[#This Row],[TIPO_ASEGURAMIENTO]]), moras[[#This Row],[TIPO_ASEGURAMIENTO]]=""),
    EDA!$A$32,
    moras[[#This Row],[TIPO_ASEGURAMIENTO]]
)</f>
        <v>ASALARIADO</v>
      </c>
    </row>
    <row r="2712" spans="1:16" x14ac:dyDescent="0.3">
      <c r="A2712">
        <v>2711</v>
      </c>
      <c r="B2712" t="s">
        <v>9</v>
      </c>
      <c r="C2712">
        <v>38831575</v>
      </c>
      <c r="D2712" t="s">
        <v>10</v>
      </c>
      <c r="E2712" t="s">
        <v>16</v>
      </c>
      <c r="F2712" t="s">
        <v>12</v>
      </c>
      <c r="G2712" t="s">
        <v>13</v>
      </c>
      <c r="H2712" t="s">
        <v>13</v>
      </c>
      <c r="I2712">
        <v>59</v>
      </c>
      <c r="J2712">
        <f>ABS((I2712-EDA!$A$15)/EDA!$B$15)</f>
        <v>1.2012209241700549</v>
      </c>
      <c r="K2712" t="str">
        <f t="shared" si="42"/>
        <v>No</v>
      </c>
      <c r="L2712">
        <f>ABS((C2712-EDA!$F$15)/EDA!$G$15)</f>
        <v>0.27053084747460998</v>
      </c>
      <c r="M2712" t="str">
        <f>IF(moras[[#This Row],[Z-Score Salario]]&gt;1.96, "Sí", "No")</f>
        <v>No</v>
      </c>
      <c r="N2712" s="14">
        <f>IF(ISBLANK(moras[[#This Row],[SALARIO]]), EDA!$M$8, moras[[#This Row],[SALARIO]])</f>
        <v>38831575</v>
      </c>
      <c r="O2712" s="14">
        <f xml:space="preserve"> IF(ISBLANK(moras[[#This Row],[EDAD]]), EDA!$E$8, moras[[#This Row],[EDAD]])</f>
        <v>59</v>
      </c>
      <c r="P2712" s="14" t="str">
        <f>IF(
    OR(ISBLANK(moras[[#This Row],[TIPO_ASEGURAMIENTO]]), moras[[#This Row],[TIPO_ASEGURAMIENTO]]=""),
    EDA!$A$32,
    moras[[#This Row],[TIPO_ASEGURAMIENTO]]
)</f>
        <v>ASALARIADO</v>
      </c>
    </row>
    <row r="2713" spans="1:16" x14ac:dyDescent="0.3">
      <c r="A2713">
        <v>2712</v>
      </c>
      <c r="B2713" t="s">
        <v>15</v>
      </c>
      <c r="C2713">
        <v>210952285</v>
      </c>
      <c r="D2713" t="s">
        <v>10</v>
      </c>
      <c r="E2713" t="s">
        <v>11</v>
      </c>
      <c r="F2713" t="s">
        <v>12</v>
      </c>
      <c r="G2713" t="s">
        <v>13</v>
      </c>
      <c r="H2713" t="s">
        <v>13</v>
      </c>
      <c r="I2713">
        <v>45</v>
      </c>
      <c r="J2713">
        <f>ABS((I2713-EDA!$A$15)/EDA!$B$15)</f>
        <v>0.21316630309012977</v>
      </c>
      <c r="K2713" t="str">
        <f t="shared" si="42"/>
        <v>No</v>
      </c>
      <c r="L2713">
        <f>ABS((C2713-EDA!$F$15)/EDA!$G$15)</f>
        <v>3.1347409639831856</v>
      </c>
      <c r="M2713" t="str">
        <f>IF(moras[[#This Row],[Z-Score Salario]]&gt;1.96, "Sí", "No")</f>
        <v>Sí</v>
      </c>
      <c r="N2713" s="14">
        <f>IF(ISBLANK(moras[[#This Row],[SALARIO]]), EDA!$M$8, moras[[#This Row],[SALARIO]])</f>
        <v>210952285</v>
      </c>
      <c r="O2713" s="14">
        <f xml:space="preserve"> IF(ISBLANK(moras[[#This Row],[EDAD]]), EDA!$E$8, moras[[#This Row],[EDAD]])</f>
        <v>45</v>
      </c>
      <c r="P2713" s="14" t="str">
        <f>IF(
    OR(ISBLANK(moras[[#This Row],[TIPO_ASEGURAMIENTO]]), moras[[#This Row],[TIPO_ASEGURAMIENTO]]=""),
    EDA!$A$32,
    moras[[#This Row],[TIPO_ASEGURAMIENTO]]
)</f>
        <v>ASALARIADO</v>
      </c>
    </row>
    <row r="2714" spans="1:16" x14ac:dyDescent="0.3">
      <c r="A2714">
        <v>2713</v>
      </c>
      <c r="B2714" t="s">
        <v>9</v>
      </c>
      <c r="C2714">
        <v>297046</v>
      </c>
      <c r="D2714" t="s">
        <v>17</v>
      </c>
      <c r="E2714" t="s">
        <v>16</v>
      </c>
      <c r="F2714" t="s">
        <v>12</v>
      </c>
      <c r="G2714" t="s">
        <v>12</v>
      </c>
      <c r="H2714" t="s">
        <v>12</v>
      </c>
      <c r="I2714">
        <v>46</v>
      </c>
      <c r="J2714">
        <f>ABS((I2714-EDA!$A$15)/EDA!$B$15)</f>
        <v>0.2837416331672673</v>
      </c>
      <c r="K2714" t="str">
        <f t="shared" si="42"/>
        <v>No</v>
      </c>
      <c r="L2714">
        <f>ABS((C2714-EDA!$F$15)/EDA!$G$15)</f>
        <v>0.37071091707942361</v>
      </c>
      <c r="M2714" t="str">
        <f>IF(moras[[#This Row],[Z-Score Salario]]&gt;1.96, "Sí", "No")</f>
        <v>No</v>
      </c>
      <c r="N2714" s="14">
        <f>IF(ISBLANK(moras[[#This Row],[SALARIO]]), EDA!$M$8, moras[[#This Row],[SALARIO]])</f>
        <v>297046</v>
      </c>
      <c r="O2714" s="14">
        <f xml:space="preserve"> IF(ISBLANK(moras[[#This Row],[EDAD]]), EDA!$E$8, moras[[#This Row],[EDAD]])</f>
        <v>46</v>
      </c>
      <c r="P2714" s="14" t="str">
        <f>IF(
    OR(ISBLANK(moras[[#This Row],[TIPO_ASEGURAMIENTO]]), moras[[#This Row],[TIPO_ASEGURAMIENTO]]=""),
    EDA!$A$32,
    moras[[#This Row],[TIPO_ASEGURAMIENTO]]
)</f>
        <v>ASEGURADO VOLUNTARIO</v>
      </c>
    </row>
    <row r="2715" spans="1:16" x14ac:dyDescent="0.3">
      <c r="A2715">
        <v>2714</v>
      </c>
      <c r="B2715" t="s">
        <v>9</v>
      </c>
      <c r="C2715">
        <v>389232</v>
      </c>
      <c r="D2715" t="s">
        <v>10</v>
      </c>
      <c r="E2715" t="s">
        <v>16</v>
      </c>
      <c r="F2715" t="s">
        <v>12</v>
      </c>
      <c r="G2715" t="s">
        <v>13</v>
      </c>
      <c r="H2715" t="s">
        <v>13</v>
      </c>
      <c r="I2715">
        <v>39</v>
      </c>
      <c r="J2715">
        <f>ABS((I2715-EDA!$A$15)/EDA!$B$15)</f>
        <v>0.21028567737269524</v>
      </c>
      <c r="K2715" t="str">
        <f t="shared" si="42"/>
        <v>No</v>
      </c>
      <c r="L2715">
        <f>ABS((C2715-EDA!$F$15)/EDA!$G$15)</f>
        <v>0.36917687696420176</v>
      </c>
      <c r="M2715" t="str">
        <f>IF(moras[[#This Row],[Z-Score Salario]]&gt;1.96, "Sí", "No")</f>
        <v>No</v>
      </c>
      <c r="N2715" s="14">
        <f>IF(ISBLANK(moras[[#This Row],[SALARIO]]), EDA!$M$8, moras[[#This Row],[SALARIO]])</f>
        <v>389232</v>
      </c>
      <c r="O2715" s="14">
        <f xml:space="preserve"> IF(ISBLANK(moras[[#This Row],[EDAD]]), EDA!$E$8, moras[[#This Row],[EDAD]])</f>
        <v>39</v>
      </c>
      <c r="P2715" s="14" t="str">
        <f>IF(
    OR(ISBLANK(moras[[#This Row],[TIPO_ASEGURAMIENTO]]), moras[[#This Row],[TIPO_ASEGURAMIENTO]]=""),
    EDA!$A$32,
    moras[[#This Row],[TIPO_ASEGURAMIENTO]]
)</f>
        <v>ASALARIADO</v>
      </c>
    </row>
    <row r="2716" spans="1:16" x14ac:dyDescent="0.3">
      <c r="A2716">
        <v>2715</v>
      </c>
      <c r="B2716" t="s">
        <v>15</v>
      </c>
      <c r="C2716">
        <v>746903</v>
      </c>
      <c r="D2716" t="s">
        <v>10</v>
      </c>
      <c r="E2716" t="s">
        <v>11</v>
      </c>
      <c r="F2716" t="s">
        <v>12</v>
      </c>
      <c r="G2716" t="s">
        <v>13</v>
      </c>
      <c r="H2716" t="s">
        <v>12</v>
      </c>
      <c r="I2716">
        <v>31</v>
      </c>
      <c r="J2716">
        <f>ABS((I2716-EDA!$A$15)/EDA!$B$15)</f>
        <v>0.77488831798979529</v>
      </c>
      <c r="K2716" t="str">
        <f t="shared" si="42"/>
        <v>No</v>
      </c>
      <c r="L2716">
        <f>ABS((C2716-EDA!$F$15)/EDA!$G$15)</f>
        <v>0.36322497903988032</v>
      </c>
      <c r="M2716" t="str">
        <f>IF(moras[[#This Row],[Z-Score Salario]]&gt;1.96, "Sí", "No")</f>
        <v>No</v>
      </c>
      <c r="N2716" s="14">
        <f>IF(ISBLANK(moras[[#This Row],[SALARIO]]), EDA!$M$8, moras[[#This Row],[SALARIO]])</f>
        <v>746903</v>
      </c>
      <c r="O2716" s="14">
        <f xml:space="preserve"> IF(ISBLANK(moras[[#This Row],[EDAD]]), EDA!$E$8, moras[[#This Row],[EDAD]])</f>
        <v>31</v>
      </c>
      <c r="P2716" s="14" t="str">
        <f>IF(
    OR(ISBLANK(moras[[#This Row],[TIPO_ASEGURAMIENTO]]), moras[[#This Row],[TIPO_ASEGURAMIENTO]]=""),
    EDA!$A$32,
    moras[[#This Row],[TIPO_ASEGURAMIENTO]]
)</f>
        <v>ASALARIADO</v>
      </c>
    </row>
    <row r="2717" spans="1:16" x14ac:dyDescent="0.3">
      <c r="A2717">
        <v>2716</v>
      </c>
      <c r="B2717" t="s">
        <v>9</v>
      </c>
      <c r="C2717">
        <v>362250</v>
      </c>
      <c r="D2717" t="s">
        <v>10</v>
      </c>
      <c r="E2717" t="s">
        <v>16</v>
      </c>
      <c r="F2717" t="s">
        <v>12</v>
      </c>
      <c r="G2717" t="s">
        <v>13</v>
      </c>
      <c r="H2717" t="s">
        <v>13</v>
      </c>
      <c r="I2717">
        <v>44</v>
      </c>
      <c r="J2717">
        <f>ABS((I2717-EDA!$A$15)/EDA!$B$15)</f>
        <v>0.14259097301299228</v>
      </c>
      <c r="K2717" t="str">
        <f t="shared" si="42"/>
        <v>No</v>
      </c>
      <c r="L2717">
        <f>ABS((C2717-EDA!$F$15)/EDA!$G$15)</f>
        <v>0.36962587649112466</v>
      </c>
      <c r="M2717" t="str">
        <f>IF(moras[[#This Row],[Z-Score Salario]]&gt;1.96, "Sí", "No")</f>
        <v>No</v>
      </c>
      <c r="N2717" s="14">
        <f>IF(ISBLANK(moras[[#This Row],[SALARIO]]), EDA!$M$8, moras[[#This Row],[SALARIO]])</f>
        <v>362250</v>
      </c>
      <c r="O2717" s="14">
        <f xml:space="preserve"> IF(ISBLANK(moras[[#This Row],[EDAD]]), EDA!$E$8, moras[[#This Row],[EDAD]])</f>
        <v>44</v>
      </c>
      <c r="P2717" s="14" t="str">
        <f>IF(
    OR(ISBLANK(moras[[#This Row],[TIPO_ASEGURAMIENTO]]), moras[[#This Row],[TIPO_ASEGURAMIENTO]]=""),
    EDA!$A$32,
    moras[[#This Row],[TIPO_ASEGURAMIENTO]]
)</f>
        <v>ASALARIADO</v>
      </c>
    </row>
    <row r="2718" spans="1:16" x14ac:dyDescent="0.3">
      <c r="A2718">
        <v>2717</v>
      </c>
      <c r="B2718" t="s">
        <v>9</v>
      </c>
      <c r="C2718">
        <v>278030</v>
      </c>
      <c r="D2718" t="s">
        <v>19</v>
      </c>
      <c r="E2718" t="s">
        <v>16</v>
      </c>
      <c r="F2718" t="s">
        <v>12</v>
      </c>
      <c r="G2718" t="s">
        <v>13</v>
      </c>
      <c r="H2718" t="s">
        <v>13</v>
      </c>
      <c r="I2718">
        <v>30</v>
      </c>
      <c r="J2718">
        <f>ABS((I2718-EDA!$A$15)/EDA!$B$15)</f>
        <v>0.84546364806693275</v>
      </c>
      <c r="K2718" t="str">
        <f t="shared" si="42"/>
        <v>No</v>
      </c>
      <c r="L2718">
        <f>ABS((C2718-EDA!$F$15)/EDA!$G$15)</f>
        <v>0.37102735674304993</v>
      </c>
      <c r="M2718" t="str">
        <f>IF(moras[[#This Row],[Z-Score Salario]]&gt;1.96, "Sí", "No")</f>
        <v>No</v>
      </c>
      <c r="N2718" s="14">
        <f>IF(ISBLANK(moras[[#This Row],[SALARIO]]), EDA!$M$8, moras[[#This Row],[SALARIO]])</f>
        <v>278030</v>
      </c>
      <c r="O2718" s="14">
        <f xml:space="preserve"> IF(ISBLANK(moras[[#This Row],[EDAD]]), EDA!$E$8, moras[[#This Row],[EDAD]])</f>
        <v>30</v>
      </c>
      <c r="P2718" s="14" t="str">
        <f>IF(
    OR(ISBLANK(moras[[#This Row],[TIPO_ASEGURAMIENTO]]), moras[[#This Row],[TIPO_ASEGURAMIENTO]]=""),
    EDA!$A$32,
    moras[[#This Row],[TIPO_ASEGURAMIENTO]]
)</f>
        <v>CONVENIOS ESPECIALES DE TRABAJADORES INDEPENDIENTES</v>
      </c>
    </row>
    <row r="2719" spans="1:16" x14ac:dyDescent="0.3">
      <c r="A2719">
        <v>2718</v>
      </c>
      <c r="B2719" t="s">
        <v>15</v>
      </c>
      <c r="C2719">
        <v>250000</v>
      </c>
      <c r="D2719" t="s">
        <v>10</v>
      </c>
      <c r="E2719" t="s">
        <v>16</v>
      </c>
      <c r="F2719" t="s">
        <v>12</v>
      </c>
      <c r="G2719" t="s">
        <v>12</v>
      </c>
      <c r="H2719" t="s">
        <v>12</v>
      </c>
      <c r="I2719">
        <v>54</v>
      </c>
      <c r="J2719">
        <f>ABS((I2719-EDA!$A$15)/EDA!$B$15)</f>
        <v>0.84834427378436728</v>
      </c>
      <c r="K2719" t="str">
        <f t="shared" si="42"/>
        <v>No</v>
      </c>
      <c r="L2719">
        <f>ABS((C2719-EDA!$F$15)/EDA!$G$15)</f>
        <v>0.37149379572976882</v>
      </c>
      <c r="M2719" t="str">
        <f>IF(moras[[#This Row],[Z-Score Salario]]&gt;1.96, "Sí", "No")</f>
        <v>No</v>
      </c>
      <c r="N2719" s="14">
        <f>IF(ISBLANK(moras[[#This Row],[SALARIO]]), EDA!$M$8, moras[[#This Row],[SALARIO]])</f>
        <v>250000</v>
      </c>
      <c r="O2719" s="14">
        <f xml:space="preserve"> IF(ISBLANK(moras[[#This Row],[EDAD]]), EDA!$E$8, moras[[#This Row],[EDAD]])</f>
        <v>54</v>
      </c>
      <c r="P2719" s="14" t="str">
        <f>IF(
    OR(ISBLANK(moras[[#This Row],[TIPO_ASEGURAMIENTO]]), moras[[#This Row],[TIPO_ASEGURAMIENTO]]=""),
    EDA!$A$32,
    moras[[#This Row],[TIPO_ASEGURAMIENTO]]
)</f>
        <v>ASALARIADO</v>
      </c>
    </row>
    <row r="2720" spans="1:16" x14ac:dyDescent="0.3">
      <c r="A2720">
        <v>2719</v>
      </c>
      <c r="B2720" t="s">
        <v>15</v>
      </c>
      <c r="C2720">
        <v>297046</v>
      </c>
      <c r="D2720" t="s">
        <v>17</v>
      </c>
      <c r="E2720" t="s">
        <v>16</v>
      </c>
      <c r="F2720" t="s">
        <v>12</v>
      </c>
      <c r="G2720" t="s">
        <v>12</v>
      </c>
      <c r="H2720" t="s">
        <v>13</v>
      </c>
      <c r="I2720">
        <v>44</v>
      </c>
      <c r="J2720">
        <f>ABS((I2720-EDA!$A$15)/EDA!$B$15)</f>
        <v>0.14259097301299228</v>
      </c>
      <c r="K2720" t="str">
        <f t="shared" si="42"/>
        <v>No</v>
      </c>
      <c r="L2720">
        <f>ABS((C2720-EDA!$F$15)/EDA!$G$15)</f>
        <v>0.37071091707942361</v>
      </c>
      <c r="M2720" t="str">
        <f>IF(moras[[#This Row],[Z-Score Salario]]&gt;1.96, "Sí", "No")</f>
        <v>No</v>
      </c>
      <c r="N2720" s="14">
        <f>IF(ISBLANK(moras[[#This Row],[SALARIO]]), EDA!$M$8, moras[[#This Row],[SALARIO]])</f>
        <v>297046</v>
      </c>
      <c r="O2720" s="14">
        <f xml:space="preserve"> IF(ISBLANK(moras[[#This Row],[EDAD]]), EDA!$E$8, moras[[#This Row],[EDAD]])</f>
        <v>44</v>
      </c>
      <c r="P2720" s="14" t="str">
        <f>IF(
    OR(ISBLANK(moras[[#This Row],[TIPO_ASEGURAMIENTO]]), moras[[#This Row],[TIPO_ASEGURAMIENTO]]=""),
    EDA!$A$32,
    moras[[#This Row],[TIPO_ASEGURAMIENTO]]
)</f>
        <v>ASEGURADO VOLUNTARIO</v>
      </c>
    </row>
    <row r="2721" spans="1:16" x14ac:dyDescent="0.3">
      <c r="A2721">
        <v>2720</v>
      </c>
      <c r="B2721" t="s">
        <v>15</v>
      </c>
      <c r="C2721">
        <v>120000</v>
      </c>
      <c r="D2721" t="s">
        <v>10</v>
      </c>
      <c r="E2721" t="s">
        <v>16</v>
      </c>
      <c r="F2721" t="s">
        <v>12</v>
      </c>
      <c r="G2721" t="s">
        <v>13</v>
      </c>
      <c r="H2721" t="s">
        <v>12</v>
      </c>
      <c r="I2721">
        <v>55</v>
      </c>
      <c r="J2721">
        <f>ABS((I2721-EDA!$A$15)/EDA!$B$15)</f>
        <v>0.91891960386150484</v>
      </c>
      <c r="K2721" t="str">
        <f t="shared" si="42"/>
        <v>No</v>
      </c>
      <c r="L2721">
        <f>ABS((C2721-EDA!$F$15)/EDA!$G$15)</f>
        <v>0.37365708749835447</v>
      </c>
      <c r="M2721" t="str">
        <f>IF(moras[[#This Row],[Z-Score Salario]]&gt;1.96, "Sí", "No")</f>
        <v>No</v>
      </c>
      <c r="N2721" s="14">
        <f>IF(ISBLANK(moras[[#This Row],[SALARIO]]), EDA!$M$8, moras[[#This Row],[SALARIO]])</f>
        <v>120000</v>
      </c>
      <c r="O2721" s="14">
        <f xml:space="preserve"> IF(ISBLANK(moras[[#This Row],[EDAD]]), EDA!$E$8, moras[[#This Row],[EDAD]])</f>
        <v>55</v>
      </c>
      <c r="P2721" s="14" t="str">
        <f>IF(
    OR(ISBLANK(moras[[#This Row],[TIPO_ASEGURAMIENTO]]), moras[[#This Row],[TIPO_ASEGURAMIENTO]]=""),
    EDA!$A$32,
    moras[[#This Row],[TIPO_ASEGURAMIENTO]]
)</f>
        <v>ASALARIADO</v>
      </c>
    </row>
    <row r="2722" spans="1:16" x14ac:dyDescent="0.3">
      <c r="A2722">
        <v>2721</v>
      </c>
      <c r="B2722" t="s">
        <v>15</v>
      </c>
      <c r="C2722">
        <v>315617</v>
      </c>
      <c r="D2722" t="s">
        <v>17</v>
      </c>
      <c r="E2722" t="s">
        <v>16</v>
      </c>
      <c r="F2722" t="s">
        <v>12</v>
      </c>
      <c r="G2722" t="s">
        <v>13</v>
      </c>
      <c r="H2722" t="s">
        <v>13</v>
      </c>
      <c r="I2722">
        <v>65</v>
      </c>
      <c r="J2722">
        <f>ABS((I2722-EDA!$A$15)/EDA!$B$15)</f>
        <v>1.6246729046328798</v>
      </c>
      <c r="K2722" t="str">
        <f t="shared" si="42"/>
        <v>No</v>
      </c>
      <c r="L2722">
        <f>ABS((C2722-EDA!$F$15)/EDA!$G$15)</f>
        <v>0.37040188252992817</v>
      </c>
      <c r="M2722" t="str">
        <f>IF(moras[[#This Row],[Z-Score Salario]]&gt;1.96, "Sí", "No")</f>
        <v>No</v>
      </c>
      <c r="N2722" s="14">
        <f>IF(ISBLANK(moras[[#This Row],[SALARIO]]), EDA!$M$8, moras[[#This Row],[SALARIO]])</f>
        <v>315617</v>
      </c>
      <c r="O2722" s="14">
        <f xml:space="preserve"> IF(ISBLANK(moras[[#This Row],[EDAD]]), EDA!$E$8, moras[[#This Row],[EDAD]])</f>
        <v>65</v>
      </c>
      <c r="P2722" s="14" t="str">
        <f>IF(
    OR(ISBLANK(moras[[#This Row],[TIPO_ASEGURAMIENTO]]), moras[[#This Row],[TIPO_ASEGURAMIENTO]]=""),
    EDA!$A$32,
    moras[[#This Row],[TIPO_ASEGURAMIENTO]]
)</f>
        <v>ASEGURADO VOLUNTARIO</v>
      </c>
    </row>
    <row r="2723" spans="1:16" x14ac:dyDescent="0.3">
      <c r="A2723">
        <v>2722</v>
      </c>
      <c r="B2723" t="s">
        <v>9</v>
      </c>
      <c r="C2723">
        <v>103418315</v>
      </c>
      <c r="D2723" t="s">
        <v>10</v>
      </c>
      <c r="E2723" t="s">
        <v>16</v>
      </c>
      <c r="F2723" t="s">
        <v>12</v>
      </c>
      <c r="G2723" t="s">
        <v>13</v>
      </c>
      <c r="H2723" t="s">
        <v>13</v>
      </c>
      <c r="I2723">
        <v>28</v>
      </c>
      <c r="J2723">
        <f>ABS((I2723-EDA!$A$15)/EDA!$B$15)</f>
        <v>0.98661430822120777</v>
      </c>
      <c r="K2723" t="str">
        <f t="shared" si="42"/>
        <v>No</v>
      </c>
      <c r="L2723">
        <f>ABS((C2723-EDA!$F$15)/EDA!$G$15)</f>
        <v>1.3452997936421518</v>
      </c>
      <c r="M2723" t="str">
        <f>IF(moras[[#This Row],[Z-Score Salario]]&gt;1.96, "Sí", "No")</f>
        <v>No</v>
      </c>
      <c r="N2723" s="14">
        <f>IF(ISBLANK(moras[[#This Row],[SALARIO]]), EDA!$M$8, moras[[#This Row],[SALARIO]])</f>
        <v>103418315</v>
      </c>
      <c r="O2723" s="14">
        <f xml:space="preserve"> IF(ISBLANK(moras[[#This Row],[EDAD]]), EDA!$E$8, moras[[#This Row],[EDAD]])</f>
        <v>28</v>
      </c>
      <c r="P2723" s="14" t="str">
        <f>IF(
    OR(ISBLANK(moras[[#This Row],[TIPO_ASEGURAMIENTO]]), moras[[#This Row],[TIPO_ASEGURAMIENTO]]=""),
    EDA!$A$32,
    moras[[#This Row],[TIPO_ASEGURAMIENTO]]
)</f>
        <v>ASALARIADO</v>
      </c>
    </row>
    <row r="2724" spans="1:16" x14ac:dyDescent="0.3">
      <c r="A2724">
        <v>2723</v>
      </c>
      <c r="B2724" t="s">
        <v>9</v>
      </c>
      <c r="C2724">
        <v>48402245</v>
      </c>
      <c r="D2724" t="s">
        <v>10</v>
      </c>
      <c r="E2724" t="s">
        <v>16</v>
      </c>
      <c r="F2724" t="s">
        <v>12</v>
      </c>
      <c r="G2724" t="s">
        <v>13</v>
      </c>
      <c r="H2724" t="s">
        <v>13</v>
      </c>
      <c r="I2724">
        <v>42</v>
      </c>
      <c r="J2724">
        <f>ABS((I2724-EDA!$A$15)/EDA!$B$15)</f>
        <v>1.4403128587172659E-3</v>
      </c>
      <c r="K2724" t="str">
        <f t="shared" si="42"/>
        <v>No</v>
      </c>
      <c r="L2724">
        <f>ABS((C2724-EDA!$F$15)/EDA!$G$15)</f>
        <v>0.42979355232729816</v>
      </c>
      <c r="M2724" t="str">
        <f>IF(moras[[#This Row],[Z-Score Salario]]&gt;1.96, "Sí", "No")</f>
        <v>No</v>
      </c>
      <c r="N2724" s="14">
        <f>IF(ISBLANK(moras[[#This Row],[SALARIO]]), EDA!$M$8, moras[[#This Row],[SALARIO]])</f>
        <v>48402245</v>
      </c>
      <c r="O2724" s="14">
        <f xml:space="preserve"> IF(ISBLANK(moras[[#This Row],[EDAD]]), EDA!$E$8, moras[[#This Row],[EDAD]])</f>
        <v>42</v>
      </c>
      <c r="P2724" s="14" t="str">
        <f>IF(
    OR(ISBLANK(moras[[#This Row],[TIPO_ASEGURAMIENTO]]), moras[[#This Row],[TIPO_ASEGURAMIENTO]]=""),
    EDA!$A$32,
    moras[[#This Row],[TIPO_ASEGURAMIENTO]]
)</f>
        <v>ASALARIADO</v>
      </c>
    </row>
    <row r="2725" spans="1:16" x14ac:dyDescent="0.3">
      <c r="A2725">
        <v>2724</v>
      </c>
      <c r="B2725" t="s">
        <v>15</v>
      </c>
      <c r="C2725">
        <v>200000</v>
      </c>
      <c r="D2725" t="s">
        <v>10</v>
      </c>
      <c r="E2725" t="s">
        <v>16</v>
      </c>
      <c r="F2725" t="s">
        <v>12</v>
      </c>
      <c r="G2725" t="s">
        <v>12</v>
      </c>
      <c r="H2725" t="s">
        <v>13</v>
      </c>
      <c r="I2725">
        <v>53</v>
      </c>
      <c r="J2725">
        <f>ABS((I2725-EDA!$A$15)/EDA!$B$15)</f>
        <v>0.77776894370722982</v>
      </c>
      <c r="K2725" t="str">
        <f t="shared" si="42"/>
        <v>No</v>
      </c>
      <c r="L2725">
        <f>ABS((C2725-EDA!$F$15)/EDA!$G$15)</f>
        <v>0.3723258310253787</v>
      </c>
      <c r="M2725" t="str">
        <f>IF(moras[[#This Row],[Z-Score Salario]]&gt;1.96, "Sí", "No")</f>
        <v>No</v>
      </c>
      <c r="N2725" s="14">
        <f>IF(ISBLANK(moras[[#This Row],[SALARIO]]), EDA!$M$8, moras[[#This Row],[SALARIO]])</f>
        <v>200000</v>
      </c>
      <c r="O2725" s="14">
        <f xml:space="preserve"> IF(ISBLANK(moras[[#This Row],[EDAD]]), EDA!$E$8, moras[[#This Row],[EDAD]])</f>
        <v>53</v>
      </c>
      <c r="P2725" s="14" t="str">
        <f>IF(
    OR(ISBLANK(moras[[#This Row],[TIPO_ASEGURAMIENTO]]), moras[[#This Row],[TIPO_ASEGURAMIENTO]]=""),
    EDA!$A$32,
    moras[[#This Row],[TIPO_ASEGURAMIENTO]]
)</f>
        <v>ASALARIADO</v>
      </c>
    </row>
    <row r="2726" spans="1:16" x14ac:dyDescent="0.3">
      <c r="A2726">
        <v>2725</v>
      </c>
      <c r="B2726" t="s">
        <v>9</v>
      </c>
      <c r="C2726">
        <v>594092</v>
      </c>
      <c r="D2726" t="s">
        <v>18</v>
      </c>
      <c r="E2726" t="s">
        <v>16</v>
      </c>
      <c r="F2726" t="s">
        <v>12</v>
      </c>
      <c r="G2726" t="s">
        <v>13</v>
      </c>
      <c r="H2726" t="s">
        <v>12</v>
      </c>
      <c r="I2726">
        <v>67</v>
      </c>
      <c r="J2726">
        <f>ABS((I2726-EDA!$A$15)/EDA!$B$15)</f>
        <v>1.765823564787155</v>
      </c>
      <c r="K2726" t="str">
        <f t="shared" si="42"/>
        <v>No</v>
      </c>
      <c r="L2726">
        <f>ABS((C2726-EDA!$F$15)/EDA!$G$15)</f>
        <v>0.36576786195102906</v>
      </c>
      <c r="M2726" t="str">
        <f>IF(moras[[#This Row],[Z-Score Salario]]&gt;1.96, "Sí", "No")</f>
        <v>No</v>
      </c>
      <c r="N2726" s="14">
        <f>IF(ISBLANK(moras[[#This Row],[SALARIO]]), EDA!$M$8, moras[[#This Row],[SALARIO]])</f>
        <v>594092</v>
      </c>
      <c r="O2726" s="14">
        <f xml:space="preserve"> IF(ISBLANK(moras[[#This Row],[EDAD]]), EDA!$E$8, moras[[#This Row],[EDAD]])</f>
        <v>67</v>
      </c>
      <c r="P2726" s="14" t="str">
        <f>IF(
    OR(ISBLANK(moras[[#This Row],[TIPO_ASEGURAMIENTO]]), moras[[#This Row],[TIPO_ASEGURAMIENTO]]=""),
    EDA!$A$32,
    moras[[#This Row],[TIPO_ASEGURAMIENTO]]
)</f>
        <v>TRABAJADOR INDEPENDIENTE</v>
      </c>
    </row>
    <row r="2727" spans="1:16" x14ac:dyDescent="0.3">
      <c r="A2727">
        <v>2726</v>
      </c>
      <c r="B2727" t="s">
        <v>9</v>
      </c>
      <c r="C2727">
        <v>50195024</v>
      </c>
      <c r="D2727" t="s">
        <v>10</v>
      </c>
      <c r="E2727" t="s">
        <v>16</v>
      </c>
      <c r="F2727" t="s">
        <v>12</v>
      </c>
      <c r="G2727" t="s">
        <v>13</v>
      </c>
      <c r="H2727" t="s">
        <v>13</v>
      </c>
      <c r="I2727">
        <v>46</v>
      </c>
      <c r="J2727">
        <f>ABS((I2727-EDA!$A$15)/EDA!$B$15)</f>
        <v>0.2837416331672673</v>
      </c>
      <c r="K2727" t="str">
        <f t="shared" si="42"/>
        <v>No</v>
      </c>
      <c r="L2727">
        <f>ABS((C2727-EDA!$F$15)/EDA!$G$15)</f>
        <v>0.45962666043186107</v>
      </c>
      <c r="M2727" t="str">
        <f>IF(moras[[#This Row],[Z-Score Salario]]&gt;1.96, "Sí", "No")</f>
        <v>No</v>
      </c>
      <c r="N2727" s="14">
        <f>IF(ISBLANK(moras[[#This Row],[SALARIO]]), EDA!$M$8, moras[[#This Row],[SALARIO]])</f>
        <v>50195024</v>
      </c>
      <c r="O2727" s="14">
        <f xml:space="preserve"> IF(ISBLANK(moras[[#This Row],[EDAD]]), EDA!$E$8, moras[[#This Row],[EDAD]])</f>
        <v>46</v>
      </c>
      <c r="P2727" s="14" t="str">
        <f>IF(
    OR(ISBLANK(moras[[#This Row],[TIPO_ASEGURAMIENTO]]), moras[[#This Row],[TIPO_ASEGURAMIENTO]]=""),
    EDA!$A$32,
    moras[[#This Row],[TIPO_ASEGURAMIENTO]]
)</f>
        <v>ASALARIADO</v>
      </c>
    </row>
    <row r="2728" spans="1:16" x14ac:dyDescent="0.3">
      <c r="A2728">
        <v>2727</v>
      </c>
      <c r="B2728" t="s">
        <v>9</v>
      </c>
      <c r="C2728">
        <v>297046</v>
      </c>
      <c r="D2728" t="s">
        <v>17</v>
      </c>
      <c r="E2728" t="s">
        <v>16</v>
      </c>
      <c r="F2728" t="s">
        <v>12</v>
      </c>
      <c r="G2728" t="s">
        <v>13</v>
      </c>
      <c r="H2728" t="s">
        <v>13</v>
      </c>
      <c r="I2728">
        <v>46</v>
      </c>
      <c r="J2728">
        <f>ABS((I2728-EDA!$A$15)/EDA!$B$15)</f>
        <v>0.2837416331672673</v>
      </c>
      <c r="K2728" t="str">
        <f t="shared" si="42"/>
        <v>No</v>
      </c>
      <c r="L2728">
        <f>ABS((C2728-EDA!$F$15)/EDA!$G$15)</f>
        <v>0.37071091707942361</v>
      </c>
      <c r="M2728" t="str">
        <f>IF(moras[[#This Row],[Z-Score Salario]]&gt;1.96, "Sí", "No")</f>
        <v>No</v>
      </c>
      <c r="N2728" s="14">
        <f>IF(ISBLANK(moras[[#This Row],[SALARIO]]), EDA!$M$8, moras[[#This Row],[SALARIO]])</f>
        <v>297046</v>
      </c>
      <c r="O2728" s="14">
        <f xml:space="preserve"> IF(ISBLANK(moras[[#This Row],[EDAD]]), EDA!$E$8, moras[[#This Row],[EDAD]])</f>
        <v>46</v>
      </c>
      <c r="P2728" s="14" t="str">
        <f>IF(
    OR(ISBLANK(moras[[#This Row],[TIPO_ASEGURAMIENTO]]), moras[[#This Row],[TIPO_ASEGURAMIENTO]]=""),
    EDA!$A$32,
    moras[[#This Row],[TIPO_ASEGURAMIENTO]]
)</f>
        <v>ASEGURADO VOLUNTARIO</v>
      </c>
    </row>
    <row r="2729" spans="1:16" x14ac:dyDescent="0.3">
      <c r="A2729">
        <v>2728</v>
      </c>
      <c r="B2729" t="s">
        <v>9</v>
      </c>
      <c r="C2729">
        <v>360061</v>
      </c>
      <c r="D2729" t="s">
        <v>10</v>
      </c>
      <c r="E2729" t="s">
        <v>16</v>
      </c>
      <c r="F2729" t="s">
        <v>12</v>
      </c>
      <c r="G2729" t="s">
        <v>13</v>
      </c>
      <c r="H2729" t="s">
        <v>13</v>
      </c>
      <c r="I2729">
        <v>32</v>
      </c>
      <c r="J2729">
        <f>ABS((I2729-EDA!$A$15)/EDA!$B$15)</f>
        <v>0.70431298791265773</v>
      </c>
      <c r="K2729" t="str">
        <f t="shared" si="42"/>
        <v>No</v>
      </c>
      <c r="L2729">
        <f>ABS((C2729-EDA!$F$15)/EDA!$G$15)</f>
        <v>0.36966230299636649</v>
      </c>
      <c r="M2729" t="str">
        <f>IF(moras[[#This Row],[Z-Score Salario]]&gt;1.96, "Sí", "No")</f>
        <v>No</v>
      </c>
      <c r="N2729" s="14">
        <f>IF(ISBLANK(moras[[#This Row],[SALARIO]]), EDA!$M$8, moras[[#This Row],[SALARIO]])</f>
        <v>360061</v>
      </c>
      <c r="O2729" s="14">
        <f xml:space="preserve"> IF(ISBLANK(moras[[#This Row],[EDAD]]), EDA!$E$8, moras[[#This Row],[EDAD]])</f>
        <v>32</v>
      </c>
      <c r="P2729" s="14" t="str">
        <f>IF(
    OR(ISBLANK(moras[[#This Row],[TIPO_ASEGURAMIENTO]]), moras[[#This Row],[TIPO_ASEGURAMIENTO]]=""),
    EDA!$A$32,
    moras[[#This Row],[TIPO_ASEGURAMIENTO]]
)</f>
        <v>ASALARIADO</v>
      </c>
    </row>
    <row r="2730" spans="1:16" x14ac:dyDescent="0.3">
      <c r="A2730">
        <v>2729</v>
      </c>
      <c r="B2730" t="s">
        <v>15</v>
      </c>
      <c r="C2730">
        <v>350325</v>
      </c>
      <c r="D2730" t="s">
        <v>10</v>
      </c>
      <c r="E2730" t="s">
        <v>16</v>
      </c>
      <c r="F2730" t="s">
        <v>12</v>
      </c>
      <c r="G2730" t="s">
        <v>13</v>
      </c>
      <c r="H2730" t="s">
        <v>13</v>
      </c>
      <c r="I2730">
        <v>27</v>
      </c>
      <c r="J2730">
        <f>ABS((I2730-EDA!$A$15)/EDA!$B$15)</f>
        <v>1.0571896382983452</v>
      </c>
      <c r="K2730" t="str">
        <f t="shared" si="42"/>
        <v>No</v>
      </c>
      <c r="L2730">
        <f>ABS((C2730-EDA!$F$15)/EDA!$G$15)</f>
        <v>0.36982431690912765</v>
      </c>
      <c r="M2730" t="str">
        <f>IF(moras[[#This Row],[Z-Score Salario]]&gt;1.96, "Sí", "No")</f>
        <v>No</v>
      </c>
      <c r="N2730" s="14">
        <f>IF(ISBLANK(moras[[#This Row],[SALARIO]]), EDA!$M$8, moras[[#This Row],[SALARIO]])</f>
        <v>350325</v>
      </c>
      <c r="O2730" s="14">
        <f xml:space="preserve"> IF(ISBLANK(moras[[#This Row],[EDAD]]), EDA!$E$8, moras[[#This Row],[EDAD]])</f>
        <v>27</v>
      </c>
      <c r="P2730" s="14" t="str">
        <f>IF(
    OR(ISBLANK(moras[[#This Row],[TIPO_ASEGURAMIENTO]]), moras[[#This Row],[TIPO_ASEGURAMIENTO]]=""),
    EDA!$A$32,
    moras[[#This Row],[TIPO_ASEGURAMIENTO]]
)</f>
        <v>ASALARIADO</v>
      </c>
    </row>
    <row r="2731" spans="1:16" x14ac:dyDescent="0.3">
      <c r="A2731">
        <v>2730</v>
      </c>
      <c r="B2731" t="s">
        <v>9</v>
      </c>
      <c r="C2731">
        <v>68780261</v>
      </c>
      <c r="D2731" t="s">
        <v>10</v>
      </c>
      <c r="E2731" t="s">
        <v>16</v>
      </c>
      <c r="F2731" t="s">
        <v>12</v>
      </c>
      <c r="G2731" t="s">
        <v>12</v>
      </c>
      <c r="H2731" t="s">
        <v>13</v>
      </c>
      <c r="I2731">
        <v>47</v>
      </c>
      <c r="J2731">
        <f>ABS((I2731-EDA!$A$15)/EDA!$B$15)</f>
        <v>0.35431696324440481</v>
      </c>
      <c r="K2731" t="str">
        <f t="shared" si="42"/>
        <v>No</v>
      </c>
      <c r="L2731">
        <f>ABS((C2731-EDA!$F$15)/EDA!$G$15)</f>
        <v>0.76889812365734678</v>
      </c>
      <c r="M2731" t="str">
        <f>IF(moras[[#This Row],[Z-Score Salario]]&gt;1.96, "Sí", "No")</f>
        <v>No</v>
      </c>
      <c r="N2731" s="14">
        <f>IF(ISBLANK(moras[[#This Row],[SALARIO]]), EDA!$M$8, moras[[#This Row],[SALARIO]])</f>
        <v>68780261</v>
      </c>
      <c r="O2731" s="14">
        <f xml:space="preserve"> IF(ISBLANK(moras[[#This Row],[EDAD]]), EDA!$E$8, moras[[#This Row],[EDAD]])</f>
        <v>47</v>
      </c>
      <c r="P2731" s="14" t="str">
        <f>IF(
    OR(ISBLANK(moras[[#This Row],[TIPO_ASEGURAMIENTO]]), moras[[#This Row],[TIPO_ASEGURAMIENTO]]=""),
    EDA!$A$32,
    moras[[#This Row],[TIPO_ASEGURAMIENTO]]
)</f>
        <v>ASALARIADO</v>
      </c>
    </row>
    <row r="2732" spans="1:16" x14ac:dyDescent="0.3">
      <c r="A2732">
        <v>2731</v>
      </c>
      <c r="B2732" t="s">
        <v>15</v>
      </c>
      <c r="C2732">
        <v>300000</v>
      </c>
      <c r="D2732" t="s">
        <v>10</v>
      </c>
      <c r="E2732" t="s">
        <v>16</v>
      </c>
      <c r="F2732" t="s">
        <v>12</v>
      </c>
      <c r="G2732" t="s">
        <v>13</v>
      </c>
      <c r="H2732" t="s">
        <v>13</v>
      </c>
      <c r="I2732">
        <v>43</v>
      </c>
      <c r="J2732">
        <f>ABS((I2732-EDA!$A$15)/EDA!$B$15)</f>
        <v>7.2015642935854773E-2</v>
      </c>
      <c r="K2732" t="str">
        <f t="shared" si="42"/>
        <v>No</v>
      </c>
      <c r="L2732">
        <f>ABS((C2732-EDA!$F$15)/EDA!$G$15)</f>
        <v>0.37066176043415894</v>
      </c>
      <c r="M2732" t="str">
        <f>IF(moras[[#This Row],[Z-Score Salario]]&gt;1.96, "Sí", "No")</f>
        <v>No</v>
      </c>
      <c r="N2732" s="14">
        <f>IF(ISBLANK(moras[[#This Row],[SALARIO]]), EDA!$M$8, moras[[#This Row],[SALARIO]])</f>
        <v>300000</v>
      </c>
      <c r="O2732" s="14">
        <f xml:space="preserve"> IF(ISBLANK(moras[[#This Row],[EDAD]]), EDA!$E$8, moras[[#This Row],[EDAD]])</f>
        <v>43</v>
      </c>
      <c r="P2732" s="14" t="str">
        <f>IF(
    OR(ISBLANK(moras[[#This Row],[TIPO_ASEGURAMIENTO]]), moras[[#This Row],[TIPO_ASEGURAMIENTO]]=""),
    EDA!$A$32,
    moras[[#This Row],[TIPO_ASEGURAMIENTO]]
)</f>
        <v>ASALARIADO</v>
      </c>
    </row>
    <row r="2733" spans="1:16" x14ac:dyDescent="0.3">
      <c r="A2733">
        <v>2732</v>
      </c>
      <c r="B2733" t="s">
        <v>9</v>
      </c>
      <c r="C2733">
        <v>4735279</v>
      </c>
      <c r="D2733" t="s">
        <v>10</v>
      </c>
      <c r="E2733" t="s">
        <v>16</v>
      </c>
      <c r="F2733" t="s">
        <v>12</v>
      </c>
      <c r="G2733" t="s">
        <v>13</v>
      </c>
      <c r="H2733" t="s">
        <v>13</v>
      </c>
      <c r="I2733">
        <v>29</v>
      </c>
      <c r="J2733">
        <f>ABS((I2733-EDA!$A$15)/EDA!$B$15)</f>
        <v>0.91603897814407031</v>
      </c>
      <c r="K2733" t="str">
        <f t="shared" si="42"/>
        <v>No</v>
      </c>
      <c r="L2733">
        <f>ABS((C2733-EDA!$F$15)/EDA!$G$15)</f>
        <v>0.29685558695661496</v>
      </c>
      <c r="M2733" t="str">
        <f>IF(moras[[#This Row],[Z-Score Salario]]&gt;1.96, "Sí", "No")</f>
        <v>No</v>
      </c>
      <c r="N2733" s="14">
        <f>IF(ISBLANK(moras[[#This Row],[SALARIO]]), EDA!$M$8, moras[[#This Row],[SALARIO]])</f>
        <v>4735279</v>
      </c>
      <c r="O2733" s="14">
        <f xml:space="preserve"> IF(ISBLANK(moras[[#This Row],[EDAD]]), EDA!$E$8, moras[[#This Row],[EDAD]])</f>
        <v>29</v>
      </c>
      <c r="P2733" s="14" t="str">
        <f>IF(
    OR(ISBLANK(moras[[#This Row],[TIPO_ASEGURAMIENTO]]), moras[[#This Row],[TIPO_ASEGURAMIENTO]]=""),
    EDA!$A$32,
    moras[[#This Row],[TIPO_ASEGURAMIENTO]]
)</f>
        <v>ASALARIADO</v>
      </c>
    </row>
    <row r="2734" spans="1:16" x14ac:dyDescent="0.3">
      <c r="A2734">
        <v>2733</v>
      </c>
      <c r="B2734" t="s">
        <v>9</v>
      </c>
      <c r="C2734">
        <v>404467</v>
      </c>
      <c r="D2734" t="s">
        <v>17</v>
      </c>
      <c r="E2734" t="s">
        <v>16</v>
      </c>
      <c r="F2734" t="s">
        <v>12</v>
      </c>
      <c r="G2734" t="s">
        <v>13</v>
      </c>
      <c r="H2734" t="s">
        <v>13</v>
      </c>
      <c r="I2734">
        <v>62</v>
      </c>
      <c r="J2734">
        <f>ABS((I2734-EDA!$A$15)/EDA!$B$15)</f>
        <v>1.4129469144014672</v>
      </c>
      <c r="K2734" t="str">
        <f t="shared" si="42"/>
        <v>No</v>
      </c>
      <c r="L2734">
        <f>ABS((C2734-EDA!$F$15)/EDA!$G$15)</f>
        <v>0.36892335580962943</v>
      </c>
      <c r="M2734" t="str">
        <f>IF(moras[[#This Row],[Z-Score Salario]]&gt;1.96, "Sí", "No")</f>
        <v>No</v>
      </c>
      <c r="N2734" s="14">
        <f>IF(ISBLANK(moras[[#This Row],[SALARIO]]), EDA!$M$8, moras[[#This Row],[SALARIO]])</f>
        <v>404467</v>
      </c>
      <c r="O2734" s="14">
        <f xml:space="preserve"> IF(ISBLANK(moras[[#This Row],[EDAD]]), EDA!$E$8, moras[[#This Row],[EDAD]])</f>
        <v>62</v>
      </c>
      <c r="P2734" s="14" t="str">
        <f>IF(
    OR(ISBLANK(moras[[#This Row],[TIPO_ASEGURAMIENTO]]), moras[[#This Row],[TIPO_ASEGURAMIENTO]]=""),
    EDA!$A$32,
    moras[[#This Row],[TIPO_ASEGURAMIENTO]]
)</f>
        <v>ASEGURADO VOLUNTARIO</v>
      </c>
    </row>
    <row r="2735" spans="1:16" x14ac:dyDescent="0.3">
      <c r="A2735">
        <v>2734</v>
      </c>
      <c r="B2735" t="s">
        <v>15</v>
      </c>
      <c r="C2735">
        <v>68195886</v>
      </c>
      <c r="D2735" t="s">
        <v>10</v>
      </c>
      <c r="E2735" t="s">
        <v>16</v>
      </c>
      <c r="F2735" t="s">
        <v>12</v>
      </c>
      <c r="G2735" t="s">
        <v>13</v>
      </c>
      <c r="H2735" t="s">
        <v>13</v>
      </c>
      <c r="I2735">
        <v>28</v>
      </c>
      <c r="J2735">
        <f>ABS((I2735-EDA!$A$15)/EDA!$B$15)</f>
        <v>0.98661430822120777</v>
      </c>
      <c r="K2735" t="str">
        <f t="shared" si="42"/>
        <v>No</v>
      </c>
      <c r="L2735">
        <f>ABS((C2735-EDA!$F$15)/EDA!$G$15)</f>
        <v>0.75917371113990662</v>
      </c>
      <c r="M2735" t="str">
        <f>IF(moras[[#This Row],[Z-Score Salario]]&gt;1.96, "Sí", "No")</f>
        <v>No</v>
      </c>
      <c r="N2735" s="14">
        <f>IF(ISBLANK(moras[[#This Row],[SALARIO]]), EDA!$M$8, moras[[#This Row],[SALARIO]])</f>
        <v>68195886</v>
      </c>
      <c r="O2735" s="14">
        <f xml:space="preserve"> IF(ISBLANK(moras[[#This Row],[EDAD]]), EDA!$E$8, moras[[#This Row],[EDAD]])</f>
        <v>28</v>
      </c>
      <c r="P2735" s="14" t="str">
        <f>IF(
    OR(ISBLANK(moras[[#This Row],[TIPO_ASEGURAMIENTO]]), moras[[#This Row],[TIPO_ASEGURAMIENTO]]=""),
    EDA!$A$32,
    moras[[#This Row],[TIPO_ASEGURAMIENTO]]
)</f>
        <v>ASALARIADO</v>
      </c>
    </row>
    <row r="2736" spans="1:16" x14ac:dyDescent="0.3">
      <c r="A2736">
        <v>2735</v>
      </c>
      <c r="B2736" t="s">
        <v>9</v>
      </c>
      <c r="C2736">
        <v>1109112</v>
      </c>
      <c r="D2736" t="s">
        <v>10</v>
      </c>
      <c r="E2736" t="s">
        <v>11</v>
      </c>
      <c r="F2736" t="s">
        <v>12</v>
      </c>
      <c r="G2736" t="s">
        <v>13</v>
      </c>
      <c r="H2736" t="s">
        <v>13</v>
      </c>
      <c r="I2736">
        <v>32</v>
      </c>
      <c r="J2736">
        <f>ABS((I2736-EDA!$A$15)/EDA!$B$15)</f>
        <v>0.70431298791265773</v>
      </c>
      <c r="K2736" t="str">
        <f t="shared" si="42"/>
        <v>No</v>
      </c>
      <c r="L2736">
        <f>ABS((C2736-EDA!$F$15)/EDA!$G$15)</f>
        <v>0.35719756559212928</v>
      </c>
      <c r="M2736" t="str">
        <f>IF(moras[[#This Row],[Z-Score Salario]]&gt;1.96, "Sí", "No")</f>
        <v>No</v>
      </c>
      <c r="N2736" s="14">
        <f>IF(ISBLANK(moras[[#This Row],[SALARIO]]), EDA!$M$8, moras[[#This Row],[SALARIO]])</f>
        <v>1109112</v>
      </c>
      <c r="O2736" s="14">
        <f xml:space="preserve"> IF(ISBLANK(moras[[#This Row],[EDAD]]), EDA!$E$8, moras[[#This Row],[EDAD]])</f>
        <v>32</v>
      </c>
      <c r="P2736" s="14" t="str">
        <f>IF(
    OR(ISBLANK(moras[[#This Row],[TIPO_ASEGURAMIENTO]]), moras[[#This Row],[TIPO_ASEGURAMIENTO]]=""),
    EDA!$A$32,
    moras[[#This Row],[TIPO_ASEGURAMIENTO]]
)</f>
        <v>ASALARIADO</v>
      </c>
    </row>
    <row r="2737" spans="1:16" x14ac:dyDescent="0.3">
      <c r="A2737">
        <v>2736</v>
      </c>
      <c r="B2737" t="s">
        <v>9</v>
      </c>
      <c r="C2737">
        <v>356025</v>
      </c>
      <c r="D2737" t="s">
        <v>10</v>
      </c>
      <c r="E2737" t="s">
        <v>16</v>
      </c>
      <c r="F2737" t="s">
        <v>12</v>
      </c>
      <c r="G2737" t="s">
        <v>13</v>
      </c>
      <c r="H2737" t="s">
        <v>13</v>
      </c>
      <c r="I2737">
        <v>22</v>
      </c>
      <c r="J2737">
        <f>ABS((I2737-EDA!$A$15)/EDA!$B$15)</f>
        <v>1.4100662886840327</v>
      </c>
      <c r="K2737" t="str">
        <f t="shared" si="42"/>
        <v>No</v>
      </c>
      <c r="L2737">
        <f>ABS((C2737-EDA!$F$15)/EDA!$G$15)</f>
        <v>0.36972946488542813</v>
      </c>
      <c r="M2737" t="str">
        <f>IF(moras[[#This Row],[Z-Score Salario]]&gt;1.96, "Sí", "No")</f>
        <v>No</v>
      </c>
      <c r="N2737" s="14">
        <f>IF(ISBLANK(moras[[#This Row],[SALARIO]]), EDA!$M$8, moras[[#This Row],[SALARIO]])</f>
        <v>356025</v>
      </c>
      <c r="O2737" s="14">
        <f xml:space="preserve"> IF(ISBLANK(moras[[#This Row],[EDAD]]), EDA!$E$8, moras[[#This Row],[EDAD]])</f>
        <v>22</v>
      </c>
      <c r="P2737" s="14" t="str">
        <f>IF(
    OR(ISBLANK(moras[[#This Row],[TIPO_ASEGURAMIENTO]]), moras[[#This Row],[TIPO_ASEGURAMIENTO]]=""),
    EDA!$A$32,
    moras[[#This Row],[TIPO_ASEGURAMIENTO]]
)</f>
        <v>ASALARIADO</v>
      </c>
    </row>
    <row r="2738" spans="1:16" x14ac:dyDescent="0.3">
      <c r="A2738">
        <v>2737</v>
      </c>
      <c r="B2738" t="s">
        <v>9</v>
      </c>
      <c r="C2738">
        <v>51323895</v>
      </c>
      <c r="D2738" t="s">
        <v>10</v>
      </c>
      <c r="E2738" t="s">
        <v>16</v>
      </c>
      <c r="F2738" t="s">
        <v>12</v>
      </c>
      <c r="G2738" t="s">
        <v>13</v>
      </c>
      <c r="H2738" t="s">
        <v>13</v>
      </c>
      <c r="I2738">
        <v>34</v>
      </c>
      <c r="J2738">
        <f>ABS((I2738-EDA!$A$15)/EDA!$B$15)</f>
        <v>0.56316232775838282</v>
      </c>
      <c r="K2738" t="str">
        <f t="shared" si="42"/>
        <v>No</v>
      </c>
      <c r="L2738">
        <f>ABS((C2738-EDA!$F$15)/EDA!$G$15)</f>
        <v>0.47841187075566904</v>
      </c>
      <c r="M2738" t="str">
        <f>IF(moras[[#This Row],[Z-Score Salario]]&gt;1.96, "Sí", "No")</f>
        <v>No</v>
      </c>
      <c r="N2738" s="14">
        <f>IF(ISBLANK(moras[[#This Row],[SALARIO]]), EDA!$M$8, moras[[#This Row],[SALARIO]])</f>
        <v>51323895</v>
      </c>
      <c r="O2738" s="14">
        <f xml:space="preserve"> IF(ISBLANK(moras[[#This Row],[EDAD]]), EDA!$E$8, moras[[#This Row],[EDAD]])</f>
        <v>34</v>
      </c>
      <c r="P2738" s="14" t="str">
        <f>IF(
    OR(ISBLANK(moras[[#This Row],[TIPO_ASEGURAMIENTO]]), moras[[#This Row],[TIPO_ASEGURAMIENTO]]=""),
    EDA!$A$32,
    moras[[#This Row],[TIPO_ASEGURAMIENTO]]
)</f>
        <v>ASALARIADO</v>
      </c>
    </row>
    <row r="2739" spans="1:16" x14ac:dyDescent="0.3">
      <c r="A2739">
        <v>2738</v>
      </c>
      <c r="B2739" t="s">
        <v>9</v>
      </c>
      <c r="C2739">
        <v>278030</v>
      </c>
      <c r="D2739" t="s">
        <v>21</v>
      </c>
      <c r="E2739" t="s">
        <v>16</v>
      </c>
      <c r="F2739" t="s">
        <v>12</v>
      </c>
      <c r="G2739" t="s">
        <v>12</v>
      </c>
      <c r="H2739" t="s">
        <v>13</v>
      </c>
      <c r="I2739">
        <v>27</v>
      </c>
      <c r="J2739">
        <f>ABS((I2739-EDA!$A$15)/EDA!$B$15)</f>
        <v>1.0571896382983452</v>
      </c>
      <c r="K2739" t="str">
        <f t="shared" si="42"/>
        <v>No</v>
      </c>
      <c r="L2739">
        <f>ABS((C2739-EDA!$F$15)/EDA!$G$15)</f>
        <v>0.37102735674304993</v>
      </c>
      <c r="M2739" t="str">
        <f>IF(moras[[#This Row],[Z-Score Salario]]&gt;1.96, "Sí", "No")</f>
        <v>No</v>
      </c>
      <c r="N2739" s="14">
        <f>IF(ISBLANK(moras[[#This Row],[SALARIO]]), EDA!$M$8, moras[[#This Row],[SALARIO]])</f>
        <v>278030</v>
      </c>
      <c r="O2739" s="14">
        <f xml:space="preserve"> IF(ISBLANK(moras[[#This Row],[EDAD]]), EDA!$E$8, moras[[#This Row],[EDAD]])</f>
        <v>27</v>
      </c>
      <c r="P2739" s="14" t="str">
        <f>IF(
    OR(ISBLANK(moras[[#This Row],[TIPO_ASEGURAMIENTO]]), moras[[#This Row],[TIPO_ASEGURAMIENTO]]=""),
    EDA!$A$32,
    moras[[#This Row],[TIPO_ASEGURAMIENTO]]
)</f>
        <v>CONVENIOS ESPECIALES DE ASEGURADOS VOLUNTARIOS</v>
      </c>
    </row>
    <row r="2740" spans="1:16" x14ac:dyDescent="0.3">
      <c r="A2740">
        <v>2739</v>
      </c>
      <c r="B2740" t="s">
        <v>15</v>
      </c>
      <c r="C2740">
        <v>14151017</v>
      </c>
      <c r="D2740" t="s">
        <v>14</v>
      </c>
      <c r="E2740" t="s">
        <v>11</v>
      </c>
      <c r="F2740" t="s">
        <v>12</v>
      </c>
      <c r="G2740" t="s">
        <v>13</v>
      </c>
      <c r="H2740" t="s">
        <v>13</v>
      </c>
      <c r="I2740">
        <v>85</v>
      </c>
      <c r="J2740">
        <f>ABS((I2740-EDA!$A$15)/EDA!$B$15)</f>
        <v>3.03617950617563</v>
      </c>
      <c r="K2740" t="str">
        <f t="shared" si="42"/>
        <v>Sí</v>
      </c>
      <c r="L2740">
        <f>ABS((C2740-EDA!$F$15)/EDA!$G$15)</f>
        <v>0.14017105995231535</v>
      </c>
      <c r="M2740" t="str">
        <f>IF(moras[[#This Row],[Z-Score Salario]]&gt;1.96, "Sí", "No")</f>
        <v>No</v>
      </c>
      <c r="N2740" s="14">
        <f>IF(ISBLANK(moras[[#This Row],[SALARIO]]), EDA!$M$8, moras[[#This Row],[SALARIO]])</f>
        <v>14151017</v>
      </c>
      <c r="O2740" s="14">
        <f xml:space="preserve"> IF(ISBLANK(moras[[#This Row],[EDAD]]), EDA!$E$8, moras[[#This Row],[EDAD]])</f>
        <v>85</v>
      </c>
      <c r="P2740" s="14" t="str">
        <f>IF(
    OR(ISBLANK(moras[[#This Row],[TIPO_ASEGURAMIENTO]]), moras[[#This Row],[TIPO_ASEGURAMIENTO]]=""),
    EDA!$A$32,
    moras[[#This Row],[TIPO_ASEGURAMIENTO]]
)</f>
        <v>PENSIONADOS EN SU PROPIO SISTEMA</v>
      </c>
    </row>
    <row r="2741" spans="1:16" x14ac:dyDescent="0.3">
      <c r="A2741">
        <v>2740</v>
      </c>
      <c r="B2741" t="s">
        <v>15</v>
      </c>
      <c r="C2741">
        <v>135000</v>
      </c>
      <c r="D2741" t="s">
        <v>10</v>
      </c>
      <c r="E2741" t="s">
        <v>16</v>
      </c>
      <c r="F2741" t="s">
        <v>12</v>
      </c>
      <c r="G2741" t="s">
        <v>13</v>
      </c>
      <c r="H2741" t="s">
        <v>12</v>
      </c>
      <c r="I2741">
        <v>37</v>
      </c>
      <c r="J2741">
        <f>ABS((I2741-EDA!$A$15)/EDA!$B$15)</f>
        <v>0.35143633752697023</v>
      </c>
      <c r="K2741" t="str">
        <f t="shared" si="42"/>
        <v>No</v>
      </c>
      <c r="L2741">
        <f>ABS((C2741-EDA!$F$15)/EDA!$G$15)</f>
        <v>0.37340747690967147</v>
      </c>
      <c r="M2741" t="str">
        <f>IF(moras[[#This Row],[Z-Score Salario]]&gt;1.96, "Sí", "No")</f>
        <v>No</v>
      </c>
      <c r="N2741" s="14">
        <f>IF(ISBLANK(moras[[#This Row],[SALARIO]]), EDA!$M$8, moras[[#This Row],[SALARIO]])</f>
        <v>135000</v>
      </c>
      <c r="O2741" s="14">
        <f xml:space="preserve"> IF(ISBLANK(moras[[#This Row],[EDAD]]), EDA!$E$8, moras[[#This Row],[EDAD]])</f>
        <v>37</v>
      </c>
      <c r="P2741" s="14" t="str">
        <f>IF(
    OR(ISBLANK(moras[[#This Row],[TIPO_ASEGURAMIENTO]]), moras[[#This Row],[TIPO_ASEGURAMIENTO]]=""),
    EDA!$A$32,
    moras[[#This Row],[TIPO_ASEGURAMIENTO]]
)</f>
        <v>ASALARIADO</v>
      </c>
    </row>
    <row r="2742" spans="1:16" x14ac:dyDescent="0.3">
      <c r="A2742">
        <v>2741</v>
      </c>
      <c r="B2742" t="s">
        <v>9</v>
      </c>
      <c r="C2742">
        <v>678710452</v>
      </c>
      <c r="D2742" t="s">
        <v>10</v>
      </c>
      <c r="E2742" t="s">
        <v>11</v>
      </c>
      <c r="F2742" t="s">
        <v>12</v>
      </c>
      <c r="G2742" t="s">
        <v>13</v>
      </c>
      <c r="H2742" t="s">
        <v>13</v>
      </c>
      <c r="I2742">
        <v>56</v>
      </c>
      <c r="J2742">
        <f>ABS((I2742-EDA!$A$15)/EDA!$B$15)</f>
        <v>0.9894949339386423</v>
      </c>
      <c r="K2742" t="str">
        <f t="shared" si="42"/>
        <v>No</v>
      </c>
      <c r="L2742">
        <f>ABS((C2742-EDA!$F$15)/EDA!$G$15)</f>
        <v>10.918567059058601</v>
      </c>
      <c r="M2742" t="str">
        <f>IF(moras[[#This Row],[Z-Score Salario]]&gt;1.96, "Sí", "No")</f>
        <v>Sí</v>
      </c>
      <c r="N2742" s="14">
        <f>IF(ISBLANK(moras[[#This Row],[SALARIO]]), EDA!$M$8, moras[[#This Row],[SALARIO]])</f>
        <v>678710452</v>
      </c>
      <c r="O2742" s="14">
        <f xml:space="preserve"> IF(ISBLANK(moras[[#This Row],[EDAD]]), EDA!$E$8, moras[[#This Row],[EDAD]])</f>
        <v>56</v>
      </c>
      <c r="P2742" s="14" t="str">
        <f>IF(
    OR(ISBLANK(moras[[#This Row],[TIPO_ASEGURAMIENTO]]), moras[[#This Row],[TIPO_ASEGURAMIENTO]]=""),
    EDA!$A$32,
    moras[[#This Row],[TIPO_ASEGURAMIENTO]]
)</f>
        <v>ASALARIADO</v>
      </c>
    </row>
    <row r="2743" spans="1:16" x14ac:dyDescent="0.3">
      <c r="A2743">
        <v>2742</v>
      </c>
      <c r="B2743" t="s">
        <v>15</v>
      </c>
      <c r="C2743">
        <v>77749445</v>
      </c>
      <c r="D2743" t="s">
        <v>10</v>
      </c>
      <c r="E2743" t="s">
        <v>11</v>
      </c>
      <c r="F2743" t="s">
        <v>12</v>
      </c>
      <c r="G2743" t="s">
        <v>13</v>
      </c>
      <c r="H2743" t="s">
        <v>13</v>
      </c>
      <c r="I2743">
        <v>32</v>
      </c>
      <c r="J2743">
        <f>ABS((I2743-EDA!$A$15)/EDA!$B$15)</f>
        <v>0.70431298791265773</v>
      </c>
      <c r="K2743" t="str">
        <f t="shared" si="42"/>
        <v>No</v>
      </c>
      <c r="L2743">
        <f>ABS((C2743-EDA!$F$15)/EDA!$G$15)</f>
        <v>0.91815167687373112</v>
      </c>
      <c r="M2743" t="str">
        <f>IF(moras[[#This Row],[Z-Score Salario]]&gt;1.96, "Sí", "No")</f>
        <v>No</v>
      </c>
      <c r="N2743" s="14">
        <f>IF(ISBLANK(moras[[#This Row],[SALARIO]]), EDA!$M$8, moras[[#This Row],[SALARIO]])</f>
        <v>77749445</v>
      </c>
      <c r="O2743" s="14">
        <f xml:space="preserve"> IF(ISBLANK(moras[[#This Row],[EDAD]]), EDA!$E$8, moras[[#This Row],[EDAD]])</f>
        <v>32</v>
      </c>
      <c r="P2743" s="14" t="str">
        <f>IF(
    OR(ISBLANK(moras[[#This Row],[TIPO_ASEGURAMIENTO]]), moras[[#This Row],[TIPO_ASEGURAMIENTO]]=""),
    EDA!$A$32,
    moras[[#This Row],[TIPO_ASEGURAMIENTO]]
)</f>
        <v>ASALARIADO</v>
      </c>
    </row>
    <row r="2744" spans="1:16" x14ac:dyDescent="0.3">
      <c r="A2744">
        <v>2743</v>
      </c>
      <c r="B2744" t="s">
        <v>9</v>
      </c>
      <c r="C2744">
        <v>550491</v>
      </c>
      <c r="D2744" t="s">
        <v>10</v>
      </c>
      <c r="E2744" t="s">
        <v>16</v>
      </c>
      <c r="F2744" t="s">
        <v>12</v>
      </c>
      <c r="G2744" t="s">
        <v>13</v>
      </c>
      <c r="H2744" t="s">
        <v>13</v>
      </c>
      <c r="I2744">
        <v>45</v>
      </c>
      <c r="J2744">
        <f>ABS((I2744-EDA!$A$15)/EDA!$B$15)</f>
        <v>0.21316630309012977</v>
      </c>
      <c r="K2744" t="str">
        <f t="shared" si="42"/>
        <v>No</v>
      </c>
      <c r="L2744">
        <f>ABS((C2744-EDA!$F$15)/EDA!$G$15)</f>
        <v>0.36649341336950675</v>
      </c>
      <c r="M2744" t="str">
        <f>IF(moras[[#This Row],[Z-Score Salario]]&gt;1.96, "Sí", "No")</f>
        <v>No</v>
      </c>
      <c r="N2744" s="14">
        <f>IF(ISBLANK(moras[[#This Row],[SALARIO]]), EDA!$M$8, moras[[#This Row],[SALARIO]])</f>
        <v>550491</v>
      </c>
      <c r="O2744" s="14">
        <f xml:space="preserve"> IF(ISBLANK(moras[[#This Row],[EDAD]]), EDA!$E$8, moras[[#This Row],[EDAD]])</f>
        <v>45</v>
      </c>
      <c r="P2744" s="14" t="str">
        <f>IF(
    OR(ISBLANK(moras[[#This Row],[TIPO_ASEGURAMIENTO]]), moras[[#This Row],[TIPO_ASEGURAMIENTO]]=""),
    EDA!$A$32,
    moras[[#This Row],[TIPO_ASEGURAMIENTO]]
)</f>
        <v>ASALARIADO</v>
      </c>
    </row>
    <row r="2745" spans="1:16" x14ac:dyDescent="0.3">
      <c r="A2745">
        <v>2744</v>
      </c>
      <c r="B2745" t="s">
        <v>15</v>
      </c>
      <c r="C2745">
        <v>298018</v>
      </c>
      <c r="D2745" t="s">
        <v>17</v>
      </c>
      <c r="E2745" t="s">
        <v>16</v>
      </c>
      <c r="F2745" t="s">
        <v>12</v>
      </c>
      <c r="G2745" t="s">
        <v>12</v>
      </c>
      <c r="H2745" t="s">
        <v>13</v>
      </c>
      <c r="I2745">
        <v>51</v>
      </c>
      <c r="J2745">
        <f>ABS((I2745-EDA!$A$15)/EDA!$B$15)</f>
        <v>0.6366182835529548</v>
      </c>
      <c r="K2745" t="str">
        <f t="shared" si="42"/>
        <v>No</v>
      </c>
      <c r="L2745">
        <f>ABS((C2745-EDA!$F$15)/EDA!$G$15)</f>
        <v>0.37069474231327693</v>
      </c>
      <c r="M2745" t="str">
        <f>IF(moras[[#This Row],[Z-Score Salario]]&gt;1.96, "Sí", "No")</f>
        <v>No</v>
      </c>
      <c r="N2745" s="14">
        <f>IF(ISBLANK(moras[[#This Row],[SALARIO]]), EDA!$M$8, moras[[#This Row],[SALARIO]])</f>
        <v>298018</v>
      </c>
      <c r="O2745" s="14">
        <f xml:space="preserve"> IF(ISBLANK(moras[[#This Row],[EDAD]]), EDA!$E$8, moras[[#This Row],[EDAD]])</f>
        <v>51</v>
      </c>
      <c r="P2745" s="14" t="str">
        <f>IF(
    OR(ISBLANK(moras[[#This Row],[TIPO_ASEGURAMIENTO]]), moras[[#This Row],[TIPO_ASEGURAMIENTO]]=""),
    EDA!$A$32,
    moras[[#This Row],[TIPO_ASEGURAMIENTO]]
)</f>
        <v>ASEGURADO VOLUNTARIO</v>
      </c>
    </row>
    <row r="2746" spans="1:16" x14ac:dyDescent="0.3">
      <c r="A2746">
        <v>2745</v>
      </c>
      <c r="B2746" t="s">
        <v>9</v>
      </c>
      <c r="C2746">
        <v>802400</v>
      </c>
      <c r="D2746" t="s">
        <v>10</v>
      </c>
      <c r="E2746" t="s">
        <v>16</v>
      </c>
      <c r="F2746" t="s">
        <v>12</v>
      </c>
      <c r="G2746" t="s">
        <v>13</v>
      </c>
      <c r="H2746" t="s">
        <v>13</v>
      </c>
      <c r="I2746">
        <v>39</v>
      </c>
      <c r="J2746">
        <f>ABS((I2746-EDA!$A$15)/EDA!$B$15)</f>
        <v>0.21028567737269524</v>
      </c>
      <c r="K2746" t="str">
        <f t="shared" si="42"/>
        <v>No</v>
      </c>
      <c r="L2746">
        <f>ABS((C2746-EDA!$F$15)/EDA!$G$15)</f>
        <v>0.36230146978387107</v>
      </c>
      <c r="M2746" t="str">
        <f>IF(moras[[#This Row],[Z-Score Salario]]&gt;1.96, "Sí", "No")</f>
        <v>No</v>
      </c>
      <c r="N2746" s="14">
        <f>IF(ISBLANK(moras[[#This Row],[SALARIO]]), EDA!$M$8, moras[[#This Row],[SALARIO]])</f>
        <v>802400</v>
      </c>
      <c r="O2746" s="14">
        <f xml:space="preserve"> IF(ISBLANK(moras[[#This Row],[EDAD]]), EDA!$E$8, moras[[#This Row],[EDAD]])</f>
        <v>39</v>
      </c>
      <c r="P2746" s="14" t="str">
        <f>IF(
    OR(ISBLANK(moras[[#This Row],[TIPO_ASEGURAMIENTO]]), moras[[#This Row],[TIPO_ASEGURAMIENTO]]=""),
    EDA!$A$32,
    moras[[#This Row],[TIPO_ASEGURAMIENTO]]
)</f>
        <v>ASALARIADO</v>
      </c>
    </row>
    <row r="2747" spans="1:16" x14ac:dyDescent="0.3">
      <c r="A2747">
        <v>2746</v>
      </c>
      <c r="B2747" t="s">
        <v>15</v>
      </c>
      <c r="C2747">
        <v>270000</v>
      </c>
      <c r="D2747" t="s">
        <v>10</v>
      </c>
      <c r="E2747" t="s">
        <v>16</v>
      </c>
      <c r="F2747" t="s">
        <v>12</v>
      </c>
      <c r="G2747" t="s">
        <v>12</v>
      </c>
      <c r="H2747" t="s">
        <v>13</v>
      </c>
      <c r="I2747">
        <v>28</v>
      </c>
      <c r="J2747">
        <f>ABS((I2747-EDA!$A$15)/EDA!$B$15)</f>
        <v>0.98661430822120777</v>
      </c>
      <c r="K2747" t="str">
        <f t="shared" si="42"/>
        <v>No</v>
      </c>
      <c r="L2747">
        <f>ABS((C2747-EDA!$F$15)/EDA!$G$15)</f>
        <v>0.37116098161152489</v>
      </c>
      <c r="M2747" t="str">
        <f>IF(moras[[#This Row],[Z-Score Salario]]&gt;1.96, "Sí", "No")</f>
        <v>No</v>
      </c>
      <c r="N2747" s="14">
        <f>IF(ISBLANK(moras[[#This Row],[SALARIO]]), EDA!$M$8, moras[[#This Row],[SALARIO]])</f>
        <v>270000</v>
      </c>
      <c r="O2747" s="14">
        <f xml:space="preserve"> IF(ISBLANK(moras[[#This Row],[EDAD]]), EDA!$E$8, moras[[#This Row],[EDAD]])</f>
        <v>28</v>
      </c>
      <c r="P2747" s="14" t="str">
        <f>IF(
    OR(ISBLANK(moras[[#This Row],[TIPO_ASEGURAMIENTO]]), moras[[#This Row],[TIPO_ASEGURAMIENTO]]=""),
    EDA!$A$32,
    moras[[#This Row],[TIPO_ASEGURAMIENTO]]
)</f>
        <v>ASALARIADO</v>
      </c>
    </row>
    <row r="2748" spans="1:16" x14ac:dyDescent="0.3">
      <c r="A2748">
        <v>2747</v>
      </c>
      <c r="B2748" t="s">
        <v>9</v>
      </c>
      <c r="C2748">
        <v>296700</v>
      </c>
      <c r="D2748" t="s">
        <v>10</v>
      </c>
      <c r="E2748" t="s">
        <v>16</v>
      </c>
      <c r="F2748" t="s">
        <v>12</v>
      </c>
      <c r="G2748" t="s">
        <v>13</v>
      </c>
      <c r="H2748" t="s">
        <v>13</v>
      </c>
      <c r="I2748">
        <v>31</v>
      </c>
      <c r="J2748">
        <f>ABS((I2748-EDA!$A$15)/EDA!$B$15)</f>
        <v>0.77488831798979529</v>
      </c>
      <c r="K2748" t="str">
        <f t="shared" si="42"/>
        <v>No</v>
      </c>
      <c r="L2748">
        <f>ABS((C2748-EDA!$F$15)/EDA!$G$15)</f>
        <v>0.37071667476366921</v>
      </c>
      <c r="M2748" t="str">
        <f>IF(moras[[#This Row],[Z-Score Salario]]&gt;1.96, "Sí", "No")</f>
        <v>No</v>
      </c>
      <c r="N2748" s="14">
        <f>IF(ISBLANK(moras[[#This Row],[SALARIO]]), EDA!$M$8, moras[[#This Row],[SALARIO]])</f>
        <v>296700</v>
      </c>
      <c r="O2748" s="14">
        <f xml:space="preserve"> IF(ISBLANK(moras[[#This Row],[EDAD]]), EDA!$E$8, moras[[#This Row],[EDAD]])</f>
        <v>31</v>
      </c>
      <c r="P2748" s="14" t="str">
        <f>IF(
    OR(ISBLANK(moras[[#This Row],[TIPO_ASEGURAMIENTO]]), moras[[#This Row],[TIPO_ASEGURAMIENTO]]=""),
    EDA!$A$32,
    moras[[#This Row],[TIPO_ASEGURAMIENTO]]
)</f>
        <v>ASALARIADO</v>
      </c>
    </row>
    <row r="2749" spans="1:16" x14ac:dyDescent="0.3">
      <c r="A2749">
        <v>2748</v>
      </c>
      <c r="B2749" t="s">
        <v>15</v>
      </c>
      <c r="C2749">
        <v>1332247</v>
      </c>
      <c r="D2749" t="s">
        <v>10</v>
      </c>
      <c r="E2749" t="s">
        <v>11</v>
      </c>
      <c r="F2749" t="s">
        <v>12</v>
      </c>
      <c r="G2749" t="s">
        <v>13</v>
      </c>
      <c r="H2749" t="s">
        <v>13</v>
      </c>
      <c r="I2749">
        <v>33</v>
      </c>
      <c r="J2749">
        <f>ABS((I2749-EDA!$A$15)/EDA!$B$15)</f>
        <v>0.63373765783552027</v>
      </c>
      <c r="K2749" t="str">
        <f t="shared" si="42"/>
        <v>No</v>
      </c>
      <c r="L2749">
        <f>ABS((C2749-EDA!$F$15)/EDA!$G$15)</f>
        <v>0.35348444167841114</v>
      </c>
      <c r="M2749" t="str">
        <f>IF(moras[[#This Row],[Z-Score Salario]]&gt;1.96, "Sí", "No")</f>
        <v>No</v>
      </c>
      <c r="N2749" s="14">
        <f>IF(ISBLANK(moras[[#This Row],[SALARIO]]), EDA!$M$8, moras[[#This Row],[SALARIO]])</f>
        <v>1332247</v>
      </c>
      <c r="O2749" s="14">
        <f xml:space="preserve"> IF(ISBLANK(moras[[#This Row],[EDAD]]), EDA!$E$8, moras[[#This Row],[EDAD]])</f>
        <v>33</v>
      </c>
      <c r="P2749" s="14" t="str">
        <f>IF(
    OR(ISBLANK(moras[[#This Row],[TIPO_ASEGURAMIENTO]]), moras[[#This Row],[TIPO_ASEGURAMIENTO]]=""),
    EDA!$A$32,
    moras[[#This Row],[TIPO_ASEGURAMIENTO]]
)</f>
        <v>ASALARIADO</v>
      </c>
    </row>
    <row r="2750" spans="1:16" x14ac:dyDescent="0.3">
      <c r="A2750">
        <v>2749</v>
      </c>
      <c r="B2750" t="s">
        <v>15</v>
      </c>
      <c r="C2750">
        <v>327400</v>
      </c>
      <c r="D2750" t="s">
        <v>10</v>
      </c>
      <c r="E2750" t="s">
        <v>16</v>
      </c>
      <c r="F2750" t="s">
        <v>12</v>
      </c>
      <c r="G2750" t="s">
        <v>13</v>
      </c>
      <c r="H2750" t="s">
        <v>13</v>
      </c>
      <c r="I2750">
        <v>35</v>
      </c>
      <c r="J2750">
        <f>ABS((I2750-EDA!$A$15)/EDA!$B$15)</f>
        <v>0.49258699768124525</v>
      </c>
      <c r="K2750" t="str">
        <f t="shared" si="42"/>
        <v>No</v>
      </c>
      <c r="L2750">
        <f>ABS((C2750-EDA!$F$15)/EDA!$G$15)</f>
        <v>0.37020580509216477</v>
      </c>
      <c r="M2750" t="str">
        <f>IF(moras[[#This Row],[Z-Score Salario]]&gt;1.96, "Sí", "No")</f>
        <v>No</v>
      </c>
      <c r="N2750" s="14">
        <f>IF(ISBLANK(moras[[#This Row],[SALARIO]]), EDA!$M$8, moras[[#This Row],[SALARIO]])</f>
        <v>327400</v>
      </c>
      <c r="O2750" s="14">
        <f xml:space="preserve"> IF(ISBLANK(moras[[#This Row],[EDAD]]), EDA!$E$8, moras[[#This Row],[EDAD]])</f>
        <v>35</v>
      </c>
      <c r="P2750" s="14" t="str">
        <f>IF(
    OR(ISBLANK(moras[[#This Row],[TIPO_ASEGURAMIENTO]]), moras[[#This Row],[TIPO_ASEGURAMIENTO]]=""),
    EDA!$A$32,
    moras[[#This Row],[TIPO_ASEGURAMIENTO]]
)</f>
        <v>ASALARIADO</v>
      </c>
    </row>
    <row r="2751" spans="1:16" x14ac:dyDescent="0.3">
      <c r="A2751">
        <v>2750</v>
      </c>
      <c r="B2751" t="s">
        <v>9</v>
      </c>
      <c r="C2751">
        <v>454803</v>
      </c>
      <c r="D2751" t="s">
        <v>10</v>
      </c>
      <c r="E2751" t="s">
        <v>16</v>
      </c>
      <c r="F2751" t="s">
        <v>12</v>
      </c>
      <c r="G2751" t="s">
        <v>13</v>
      </c>
      <c r="H2751" t="s">
        <v>13</v>
      </c>
      <c r="I2751">
        <v>26</v>
      </c>
      <c r="J2751">
        <f>ABS((I2751-EDA!$A$15)/EDA!$B$15)</f>
        <v>1.1277649683754829</v>
      </c>
      <c r="K2751" t="str">
        <f t="shared" si="42"/>
        <v>No</v>
      </c>
      <c r="L2751">
        <f>ABS((C2751-EDA!$F$15)/EDA!$G$15)</f>
        <v>0.36808572923683308</v>
      </c>
      <c r="M2751" t="str">
        <f>IF(moras[[#This Row],[Z-Score Salario]]&gt;1.96, "Sí", "No")</f>
        <v>No</v>
      </c>
      <c r="N2751" s="14">
        <f>IF(ISBLANK(moras[[#This Row],[SALARIO]]), EDA!$M$8, moras[[#This Row],[SALARIO]])</f>
        <v>454803</v>
      </c>
      <c r="O2751" s="14">
        <f xml:space="preserve"> IF(ISBLANK(moras[[#This Row],[EDAD]]), EDA!$E$8, moras[[#This Row],[EDAD]])</f>
        <v>26</v>
      </c>
      <c r="P2751" s="14" t="str">
        <f>IF(
    OR(ISBLANK(moras[[#This Row],[TIPO_ASEGURAMIENTO]]), moras[[#This Row],[TIPO_ASEGURAMIENTO]]=""),
    EDA!$A$32,
    moras[[#This Row],[TIPO_ASEGURAMIENTO]]
)</f>
        <v>ASALARIADO</v>
      </c>
    </row>
    <row r="2752" spans="1:16" x14ac:dyDescent="0.3">
      <c r="A2752">
        <v>2751</v>
      </c>
      <c r="B2752" t="s">
        <v>15</v>
      </c>
      <c r="C2752">
        <v>297045</v>
      </c>
      <c r="D2752" t="s">
        <v>18</v>
      </c>
      <c r="E2752" t="s">
        <v>16</v>
      </c>
      <c r="F2752" t="s">
        <v>12</v>
      </c>
      <c r="G2752" t="s">
        <v>13</v>
      </c>
      <c r="H2752" t="s">
        <v>13</v>
      </c>
      <c r="I2752">
        <v>53</v>
      </c>
      <c r="J2752">
        <f>ABS((I2752-EDA!$A$15)/EDA!$B$15)</f>
        <v>0.77776894370722982</v>
      </c>
      <c r="K2752" t="str">
        <f t="shared" si="42"/>
        <v>No</v>
      </c>
      <c r="L2752">
        <f>ABS((C2752-EDA!$F$15)/EDA!$G$15)</f>
        <v>0.37071093372012948</v>
      </c>
      <c r="M2752" t="str">
        <f>IF(moras[[#This Row],[Z-Score Salario]]&gt;1.96, "Sí", "No")</f>
        <v>No</v>
      </c>
      <c r="N2752" s="14">
        <f>IF(ISBLANK(moras[[#This Row],[SALARIO]]), EDA!$M$8, moras[[#This Row],[SALARIO]])</f>
        <v>297045</v>
      </c>
      <c r="O2752" s="14">
        <f xml:space="preserve"> IF(ISBLANK(moras[[#This Row],[EDAD]]), EDA!$E$8, moras[[#This Row],[EDAD]])</f>
        <v>53</v>
      </c>
      <c r="P2752" s="14" t="str">
        <f>IF(
    OR(ISBLANK(moras[[#This Row],[TIPO_ASEGURAMIENTO]]), moras[[#This Row],[TIPO_ASEGURAMIENTO]]=""),
    EDA!$A$32,
    moras[[#This Row],[TIPO_ASEGURAMIENTO]]
)</f>
        <v>TRABAJADOR INDEPENDIENTE</v>
      </c>
    </row>
    <row r="2753" spans="1:16" x14ac:dyDescent="0.3">
      <c r="A2753">
        <v>2752</v>
      </c>
      <c r="B2753" t="s">
        <v>9</v>
      </c>
      <c r="C2753">
        <v>310544</v>
      </c>
      <c r="D2753" t="s">
        <v>18</v>
      </c>
      <c r="E2753" t="s">
        <v>16</v>
      </c>
      <c r="F2753" t="s">
        <v>12</v>
      </c>
      <c r="G2753" t="s">
        <v>13</v>
      </c>
      <c r="H2753" t="s">
        <v>12</v>
      </c>
      <c r="I2753">
        <v>42</v>
      </c>
      <c r="J2753">
        <f>ABS((I2753-EDA!$A$15)/EDA!$B$15)</f>
        <v>1.4403128587172659E-3</v>
      </c>
      <c r="K2753" t="str">
        <f t="shared" si="42"/>
        <v>No</v>
      </c>
      <c r="L2753">
        <f>ABS((C2753-EDA!$F$15)/EDA!$G$15)</f>
        <v>0.37048630083102074</v>
      </c>
      <c r="M2753" t="str">
        <f>IF(moras[[#This Row],[Z-Score Salario]]&gt;1.96, "Sí", "No")</f>
        <v>No</v>
      </c>
      <c r="N2753" s="14">
        <f>IF(ISBLANK(moras[[#This Row],[SALARIO]]), EDA!$M$8, moras[[#This Row],[SALARIO]])</f>
        <v>310544</v>
      </c>
      <c r="O2753" s="14">
        <f xml:space="preserve"> IF(ISBLANK(moras[[#This Row],[EDAD]]), EDA!$E$8, moras[[#This Row],[EDAD]])</f>
        <v>42</v>
      </c>
      <c r="P2753" s="14" t="str">
        <f>IF(
    OR(ISBLANK(moras[[#This Row],[TIPO_ASEGURAMIENTO]]), moras[[#This Row],[TIPO_ASEGURAMIENTO]]=""),
    EDA!$A$32,
    moras[[#This Row],[TIPO_ASEGURAMIENTO]]
)</f>
        <v>TRABAJADOR INDEPENDIENTE</v>
      </c>
    </row>
    <row r="2754" spans="1:16" x14ac:dyDescent="0.3">
      <c r="A2754">
        <v>2753</v>
      </c>
      <c r="B2754" t="s">
        <v>15</v>
      </c>
      <c r="C2754">
        <v>140215095</v>
      </c>
      <c r="D2754" t="s">
        <v>10</v>
      </c>
      <c r="E2754" t="s">
        <v>16</v>
      </c>
      <c r="F2754" t="s">
        <v>12</v>
      </c>
      <c r="G2754" t="s">
        <v>13</v>
      </c>
      <c r="H2754" t="s">
        <v>13</v>
      </c>
      <c r="I2754">
        <v>32</v>
      </c>
      <c r="J2754">
        <f>ABS((I2754-EDA!$A$15)/EDA!$B$15)</f>
        <v>0.70431298791265773</v>
      </c>
      <c r="K2754" t="str">
        <f t="shared" ref="K2754:K2817" si="43">IF(J2754 &gt;  1.96, "Sí","No")</f>
        <v>No</v>
      </c>
      <c r="L2754">
        <f>ABS((C2754-EDA!$F$15)/EDA!$G$15)</f>
        <v>1.9576241881379706</v>
      </c>
      <c r="M2754" t="str">
        <f>IF(moras[[#This Row],[Z-Score Salario]]&gt;1.96, "Sí", "No")</f>
        <v>No</v>
      </c>
      <c r="N2754" s="14">
        <f>IF(ISBLANK(moras[[#This Row],[SALARIO]]), EDA!$M$8, moras[[#This Row],[SALARIO]])</f>
        <v>140215095</v>
      </c>
      <c r="O2754" s="14">
        <f xml:space="preserve"> IF(ISBLANK(moras[[#This Row],[EDAD]]), EDA!$E$8, moras[[#This Row],[EDAD]])</f>
        <v>32</v>
      </c>
      <c r="P2754" s="14" t="str">
        <f>IF(
    OR(ISBLANK(moras[[#This Row],[TIPO_ASEGURAMIENTO]]), moras[[#This Row],[TIPO_ASEGURAMIENTO]]=""),
    EDA!$A$32,
    moras[[#This Row],[TIPO_ASEGURAMIENTO]]
)</f>
        <v>ASALARIADO</v>
      </c>
    </row>
    <row r="2755" spans="1:16" x14ac:dyDescent="0.3">
      <c r="A2755">
        <v>2754</v>
      </c>
      <c r="B2755" t="s">
        <v>15</v>
      </c>
      <c r="C2755">
        <v>812430</v>
      </c>
      <c r="D2755" t="s">
        <v>10</v>
      </c>
      <c r="E2755" t="s">
        <v>16</v>
      </c>
      <c r="F2755" t="s">
        <v>12</v>
      </c>
      <c r="G2755" t="s">
        <v>13</v>
      </c>
      <c r="H2755" t="s">
        <v>13</v>
      </c>
      <c r="I2755">
        <v>27</v>
      </c>
      <c r="J2755">
        <f>ABS((I2755-EDA!$A$15)/EDA!$B$15)</f>
        <v>1.0571896382983452</v>
      </c>
      <c r="K2755" t="str">
        <f t="shared" si="43"/>
        <v>No</v>
      </c>
      <c r="L2755">
        <f>ABS((C2755-EDA!$F$15)/EDA!$G$15)</f>
        <v>0.36213456350357176</v>
      </c>
      <c r="M2755" t="str">
        <f>IF(moras[[#This Row],[Z-Score Salario]]&gt;1.96, "Sí", "No")</f>
        <v>No</v>
      </c>
      <c r="N2755" s="14">
        <f>IF(ISBLANK(moras[[#This Row],[SALARIO]]), EDA!$M$8, moras[[#This Row],[SALARIO]])</f>
        <v>812430</v>
      </c>
      <c r="O2755" s="14">
        <f xml:space="preserve"> IF(ISBLANK(moras[[#This Row],[EDAD]]), EDA!$E$8, moras[[#This Row],[EDAD]])</f>
        <v>27</v>
      </c>
      <c r="P2755" s="14" t="str">
        <f>IF(
    OR(ISBLANK(moras[[#This Row],[TIPO_ASEGURAMIENTO]]), moras[[#This Row],[TIPO_ASEGURAMIENTO]]=""),
    EDA!$A$32,
    moras[[#This Row],[TIPO_ASEGURAMIENTO]]
)</f>
        <v>ASALARIADO</v>
      </c>
    </row>
    <row r="2756" spans="1:16" x14ac:dyDescent="0.3">
      <c r="A2756">
        <v>2755</v>
      </c>
      <c r="B2756" t="s">
        <v>9</v>
      </c>
      <c r="C2756">
        <v>6102434</v>
      </c>
      <c r="D2756" t="s">
        <v>10</v>
      </c>
      <c r="E2756" t="s">
        <v>16</v>
      </c>
      <c r="F2756" t="s">
        <v>12</v>
      </c>
      <c r="G2756" t="s">
        <v>13</v>
      </c>
      <c r="H2756" t="s">
        <v>13</v>
      </c>
      <c r="I2756">
        <v>52</v>
      </c>
      <c r="J2756">
        <f>ABS((I2756-EDA!$A$15)/EDA!$B$15)</f>
        <v>0.70719361363009237</v>
      </c>
      <c r="K2756" t="str">
        <f t="shared" si="43"/>
        <v>No</v>
      </c>
      <c r="L2756">
        <f>ABS((C2756-EDA!$F$15)/EDA!$G$15)</f>
        <v>0.27410516266522506</v>
      </c>
      <c r="M2756" t="str">
        <f>IF(moras[[#This Row],[Z-Score Salario]]&gt;1.96, "Sí", "No")</f>
        <v>No</v>
      </c>
      <c r="N2756" s="14">
        <f>IF(ISBLANK(moras[[#This Row],[SALARIO]]), EDA!$M$8, moras[[#This Row],[SALARIO]])</f>
        <v>6102434</v>
      </c>
      <c r="O2756" s="14">
        <f xml:space="preserve"> IF(ISBLANK(moras[[#This Row],[EDAD]]), EDA!$E$8, moras[[#This Row],[EDAD]])</f>
        <v>52</v>
      </c>
      <c r="P2756" s="14" t="str">
        <f>IF(
    OR(ISBLANK(moras[[#This Row],[TIPO_ASEGURAMIENTO]]), moras[[#This Row],[TIPO_ASEGURAMIENTO]]=""),
    EDA!$A$32,
    moras[[#This Row],[TIPO_ASEGURAMIENTO]]
)</f>
        <v>ASALARIADO</v>
      </c>
    </row>
    <row r="2757" spans="1:16" x14ac:dyDescent="0.3">
      <c r="A2757">
        <v>2756</v>
      </c>
      <c r="B2757" t="s">
        <v>9</v>
      </c>
      <c r="C2757">
        <v>12913333</v>
      </c>
      <c r="D2757" t="s">
        <v>10</v>
      </c>
      <c r="E2757" t="s">
        <v>16</v>
      </c>
      <c r="F2757" t="s">
        <v>12</v>
      </c>
      <c r="G2757" t="s">
        <v>13</v>
      </c>
      <c r="H2757" t="s">
        <v>13</v>
      </c>
      <c r="I2757">
        <v>35</v>
      </c>
      <c r="J2757">
        <f>ABS((I2757-EDA!$A$15)/EDA!$B$15)</f>
        <v>0.49258699768124525</v>
      </c>
      <c r="K2757" t="str">
        <f t="shared" si="43"/>
        <v>No</v>
      </c>
      <c r="L2757">
        <f>ABS((C2757-EDA!$F$15)/EDA!$G$15)</f>
        <v>0.16076699540854719</v>
      </c>
      <c r="M2757" t="str">
        <f>IF(moras[[#This Row],[Z-Score Salario]]&gt;1.96, "Sí", "No")</f>
        <v>No</v>
      </c>
      <c r="N2757" s="14">
        <f>IF(ISBLANK(moras[[#This Row],[SALARIO]]), EDA!$M$8, moras[[#This Row],[SALARIO]])</f>
        <v>12913333</v>
      </c>
      <c r="O2757" s="14">
        <f xml:space="preserve"> IF(ISBLANK(moras[[#This Row],[EDAD]]), EDA!$E$8, moras[[#This Row],[EDAD]])</f>
        <v>35</v>
      </c>
      <c r="P2757" s="14" t="str">
        <f>IF(
    OR(ISBLANK(moras[[#This Row],[TIPO_ASEGURAMIENTO]]), moras[[#This Row],[TIPO_ASEGURAMIENTO]]=""),
    EDA!$A$32,
    moras[[#This Row],[TIPO_ASEGURAMIENTO]]
)</f>
        <v>ASALARIADO</v>
      </c>
    </row>
    <row r="2758" spans="1:16" x14ac:dyDescent="0.3">
      <c r="A2758">
        <v>2757</v>
      </c>
      <c r="B2758" t="s">
        <v>9</v>
      </c>
      <c r="C2758">
        <v>1119534</v>
      </c>
      <c r="D2758" t="s">
        <v>18</v>
      </c>
      <c r="E2758" t="s">
        <v>16</v>
      </c>
      <c r="F2758" t="s">
        <v>12</v>
      </c>
      <c r="G2758" t="s">
        <v>12</v>
      </c>
      <c r="H2758" t="s">
        <v>12</v>
      </c>
      <c r="I2758">
        <v>53</v>
      </c>
      <c r="J2758">
        <f>ABS((I2758-EDA!$A$15)/EDA!$B$15)</f>
        <v>0.77776894370722982</v>
      </c>
      <c r="K2758" t="str">
        <f t="shared" si="43"/>
        <v>No</v>
      </c>
      <c r="L2758">
        <f>ABS((C2758-EDA!$F$15)/EDA!$G$15)</f>
        <v>0.35702413615511236</v>
      </c>
      <c r="M2758" t="str">
        <f>IF(moras[[#This Row],[Z-Score Salario]]&gt;1.96, "Sí", "No")</f>
        <v>No</v>
      </c>
      <c r="N2758" s="14">
        <f>IF(ISBLANK(moras[[#This Row],[SALARIO]]), EDA!$M$8, moras[[#This Row],[SALARIO]])</f>
        <v>1119534</v>
      </c>
      <c r="O2758" s="14">
        <f xml:space="preserve"> IF(ISBLANK(moras[[#This Row],[EDAD]]), EDA!$E$8, moras[[#This Row],[EDAD]])</f>
        <v>53</v>
      </c>
      <c r="P2758" s="14" t="str">
        <f>IF(
    OR(ISBLANK(moras[[#This Row],[TIPO_ASEGURAMIENTO]]), moras[[#This Row],[TIPO_ASEGURAMIENTO]]=""),
    EDA!$A$32,
    moras[[#This Row],[TIPO_ASEGURAMIENTO]]
)</f>
        <v>TRABAJADOR INDEPENDIENTE</v>
      </c>
    </row>
    <row r="2759" spans="1:16" x14ac:dyDescent="0.3">
      <c r="A2759">
        <v>2758</v>
      </c>
      <c r="B2759" t="s">
        <v>15</v>
      </c>
      <c r="C2759">
        <v>302010</v>
      </c>
      <c r="D2759" t="s">
        <v>18</v>
      </c>
      <c r="E2759" t="s">
        <v>16</v>
      </c>
      <c r="F2759" t="s">
        <v>12</v>
      </c>
      <c r="G2759" t="s">
        <v>13</v>
      </c>
      <c r="H2759" t="s">
        <v>13</v>
      </c>
      <c r="I2759">
        <v>24</v>
      </c>
      <c r="J2759">
        <f>ABS((I2759-EDA!$A$15)/EDA!$B$15)</f>
        <v>1.2689156285297578</v>
      </c>
      <c r="K2759" t="str">
        <f t="shared" si="43"/>
        <v>No</v>
      </c>
      <c r="L2759">
        <f>ABS((C2759-EDA!$F$15)/EDA!$G$15)</f>
        <v>0.37062831261527546</v>
      </c>
      <c r="M2759" t="str">
        <f>IF(moras[[#This Row],[Z-Score Salario]]&gt;1.96, "Sí", "No")</f>
        <v>No</v>
      </c>
      <c r="N2759" s="14">
        <f>IF(ISBLANK(moras[[#This Row],[SALARIO]]), EDA!$M$8, moras[[#This Row],[SALARIO]])</f>
        <v>302010</v>
      </c>
      <c r="O2759" s="14">
        <f xml:space="preserve"> IF(ISBLANK(moras[[#This Row],[EDAD]]), EDA!$E$8, moras[[#This Row],[EDAD]])</f>
        <v>24</v>
      </c>
      <c r="P2759" s="14" t="str">
        <f>IF(
    OR(ISBLANK(moras[[#This Row],[TIPO_ASEGURAMIENTO]]), moras[[#This Row],[TIPO_ASEGURAMIENTO]]=""),
    EDA!$A$32,
    moras[[#This Row],[TIPO_ASEGURAMIENTO]]
)</f>
        <v>TRABAJADOR INDEPENDIENTE</v>
      </c>
    </row>
    <row r="2760" spans="1:16" x14ac:dyDescent="0.3">
      <c r="A2760">
        <v>2759</v>
      </c>
      <c r="B2760" t="s">
        <v>15</v>
      </c>
      <c r="C2760">
        <v>325000</v>
      </c>
      <c r="D2760" t="s">
        <v>10</v>
      </c>
      <c r="E2760" t="s">
        <v>16</v>
      </c>
      <c r="F2760" t="s">
        <v>12</v>
      </c>
      <c r="G2760" t="s">
        <v>12</v>
      </c>
      <c r="H2760" t="s">
        <v>13</v>
      </c>
      <c r="I2760">
        <v>24</v>
      </c>
      <c r="J2760">
        <f>ABS((I2760-EDA!$A$15)/EDA!$B$15)</f>
        <v>1.2689156285297578</v>
      </c>
      <c r="K2760" t="str">
        <f t="shared" si="43"/>
        <v>No</v>
      </c>
      <c r="L2760">
        <f>ABS((C2760-EDA!$F$15)/EDA!$G$15)</f>
        <v>0.37024574278635403</v>
      </c>
      <c r="M2760" t="str">
        <f>IF(moras[[#This Row],[Z-Score Salario]]&gt;1.96, "Sí", "No")</f>
        <v>No</v>
      </c>
      <c r="N2760" s="14">
        <f>IF(ISBLANK(moras[[#This Row],[SALARIO]]), EDA!$M$8, moras[[#This Row],[SALARIO]])</f>
        <v>325000</v>
      </c>
      <c r="O2760" s="14">
        <f xml:space="preserve"> IF(ISBLANK(moras[[#This Row],[EDAD]]), EDA!$E$8, moras[[#This Row],[EDAD]])</f>
        <v>24</v>
      </c>
      <c r="P2760" s="14" t="str">
        <f>IF(
    OR(ISBLANK(moras[[#This Row],[TIPO_ASEGURAMIENTO]]), moras[[#This Row],[TIPO_ASEGURAMIENTO]]=""),
    EDA!$A$32,
    moras[[#This Row],[TIPO_ASEGURAMIENTO]]
)</f>
        <v>ASALARIADO</v>
      </c>
    </row>
    <row r="2761" spans="1:16" x14ac:dyDescent="0.3">
      <c r="A2761">
        <v>2760</v>
      </c>
      <c r="B2761" t="s">
        <v>9</v>
      </c>
      <c r="C2761">
        <v>278030</v>
      </c>
      <c r="D2761" t="s">
        <v>19</v>
      </c>
      <c r="E2761" t="s">
        <v>16</v>
      </c>
      <c r="F2761" t="s">
        <v>12</v>
      </c>
      <c r="G2761" t="s">
        <v>13</v>
      </c>
      <c r="H2761" t="s">
        <v>13</v>
      </c>
      <c r="I2761">
        <v>24</v>
      </c>
      <c r="J2761">
        <f>ABS((I2761-EDA!$A$15)/EDA!$B$15)</f>
        <v>1.2689156285297578</v>
      </c>
      <c r="K2761" t="str">
        <f t="shared" si="43"/>
        <v>No</v>
      </c>
      <c r="L2761">
        <f>ABS((C2761-EDA!$F$15)/EDA!$G$15)</f>
        <v>0.37102735674304993</v>
      </c>
      <c r="M2761" t="str">
        <f>IF(moras[[#This Row],[Z-Score Salario]]&gt;1.96, "Sí", "No")</f>
        <v>No</v>
      </c>
      <c r="N2761" s="14">
        <f>IF(ISBLANK(moras[[#This Row],[SALARIO]]), EDA!$M$8, moras[[#This Row],[SALARIO]])</f>
        <v>278030</v>
      </c>
      <c r="O2761" s="14">
        <f xml:space="preserve"> IF(ISBLANK(moras[[#This Row],[EDAD]]), EDA!$E$8, moras[[#This Row],[EDAD]])</f>
        <v>24</v>
      </c>
      <c r="P2761" s="14" t="str">
        <f>IF(
    OR(ISBLANK(moras[[#This Row],[TIPO_ASEGURAMIENTO]]), moras[[#This Row],[TIPO_ASEGURAMIENTO]]=""),
    EDA!$A$32,
    moras[[#This Row],[TIPO_ASEGURAMIENTO]]
)</f>
        <v>CONVENIOS ESPECIALES DE TRABAJADORES INDEPENDIENTES</v>
      </c>
    </row>
    <row r="2762" spans="1:16" x14ac:dyDescent="0.3">
      <c r="A2762">
        <v>2761</v>
      </c>
      <c r="B2762" t="s">
        <v>15</v>
      </c>
      <c r="C2762">
        <v>35954427</v>
      </c>
      <c r="D2762" t="s">
        <v>21</v>
      </c>
      <c r="E2762" t="s">
        <v>16</v>
      </c>
      <c r="F2762" t="s">
        <v>12</v>
      </c>
      <c r="G2762" t="s">
        <v>12</v>
      </c>
      <c r="H2762" t="s">
        <v>13</v>
      </c>
      <c r="I2762">
        <v>66</v>
      </c>
      <c r="J2762">
        <f>ABS((I2762-EDA!$A$15)/EDA!$B$15)</f>
        <v>1.6952482347100173</v>
      </c>
      <c r="K2762" t="str">
        <f t="shared" si="43"/>
        <v>No</v>
      </c>
      <c r="L2762">
        <f>ABS((C2762-EDA!$F$15)/EDA!$G$15)</f>
        <v>0.22265307374074372</v>
      </c>
      <c r="M2762" t="str">
        <f>IF(moras[[#This Row],[Z-Score Salario]]&gt;1.96, "Sí", "No")</f>
        <v>No</v>
      </c>
      <c r="N2762" s="14">
        <f>IF(ISBLANK(moras[[#This Row],[SALARIO]]), EDA!$M$8, moras[[#This Row],[SALARIO]])</f>
        <v>35954427</v>
      </c>
      <c r="O2762" s="14">
        <f xml:space="preserve"> IF(ISBLANK(moras[[#This Row],[EDAD]]), EDA!$E$8, moras[[#This Row],[EDAD]])</f>
        <v>66</v>
      </c>
      <c r="P2762" s="14" t="str">
        <f>IF(
    OR(ISBLANK(moras[[#This Row],[TIPO_ASEGURAMIENTO]]), moras[[#This Row],[TIPO_ASEGURAMIENTO]]=""),
    EDA!$A$32,
    moras[[#This Row],[TIPO_ASEGURAMIENTO]]
)</f>
        <v>CONVENIOS ESPECIALES DE ASEGURADOS VOLUNTARIOS</v>
      </c>
    </row>
    <row r="2763" spans="1:16" x14ac:dyDescent="0.3">
      <c r="A2763">
        <v>2762</v>
      </c>
      <c r="B2763" t="s">
        <v>9</v>
      </c>
      <c r="C2763">
        <v>680000</v>
      </c>
      <c r="D2763" t="s">
        <v>10</v>
      </c>
      <c r="E2763" t="s">
        <v>16</v>
      </c>
      <c r="F2763" t="s">
        <v>12</v>
      </c>
      <c r="G2763" t="s">
        <v>13</v>
      </c>
      <c r="H2763" t="s">
        <v>13</v>
      </c>
      <c r="I2763">
        <v>33</v>
      </c>
      <c r="J2763">
        <f>ABS((I2763-EDA!$A$15)/EDA!$B$15)</f>
        <v>0.63373765783552027</v>
      </c>
      <c r="K2763" t="str">
        <f t="shared" si="43"/>
        <v>No</v>
      </c>
      <c r="L2763">
        <f>ABS((C2763-EDA!$F$15)/EDA!$G$15)</f>
        <v>0.364338292187524</v>
      </c>
      <c r="M2763" t="str">
        <f>IF(moras[[#This Row],[Z-Score Salario]]&gt;1.96, "Sí", "No")</f>
        <v>No</v>
      </c>
      <c r="N2763" s="14">
        <f>IF(ISBLANK(moras[[#This Row],[SALARIO]]), EDA!$M$8, moras[[#This Row],[SALARIO]])</f>
        <v>680000</v>
      </c>
      <c r="O2763" s="14">
        <f xml:space="preserve"> IF(ISBLANK(moras[[#This Row],[EDAD]]), EDA!$E$8, moras[[#This Row],[EDAD]])</f>
        <v>33</v>
      </c>
      <c r="P2763" s="14" t="str">
        <f>IF(
    OR(ISBLANK(moras[[#This Row],[TIPO_ASEGURAMIENTO]]), moras[[#This Row],[TIPO_ASEGURAMIENTO]]=""),
    EDA!$A$32,
    moras[[#This Row],[TIPO_ASEGURAMIENTO]]
)</f>
        <v>ASALARIADO</v>
      </c>
    </row>
    <row r="2764" spans="1:16" x14ac:dyDescent="0.3">
      <c r="A2764">
        <v>2763</v>
      </c>
      <c r="B2764" t="s">
        <v>15</v>
      </c>
      <c r="C2764">
        <v>610000</v>
      </c>
      <c r="D2764" t="s">
        <v>10</v>
      </c>
      <c r="E2764" t="s">
        <v>16</v>
      </c>
      <c r="F2764" t="s">
        <v>12</v>
      </c>
      <c r="G2764" t="s">
        <v>13</v>
      </c>
      <c r="H2764" t="s">
        <v>13</v>
      </c>
      <c r="I2764">
        <v>30</v>
      </c>
      <c r="J2764">
        <f>ABS((I2764-EDA!$A$15)/EDA!$B$15)</f>
        <v>0.84546364806693275</v>
      </c>
      <c r="K2764" t="str">
        <f t="shared" si="43"/>
        <v>No</v>
      </c>
      <c r="L2764">
        <f>ABS((C2764-EDA!$F$15)/EDA!$G$15)</f>
        <v>0.36550314160137781</v>
      </c>
      <c r="M2764" t="str">
        <f>IF(moras[[#This Row],[Z-Score Salario]]&gt;1.96, "Sí", "No")</f>
        <v>No</v>
      </c>
      <c r="N2764" s="14">
        <f>IF(ISBLANK(moras[[#This Row],[SALARIO]]), EDA!$M$8, moras[[#This Row],[SALARIO]])</f>
        <v>610000</v>
      </c>
      <c r="O2764" s="14">
        <f xml:space="preserve"> IF(ISBLANK(moras[[#This Row],[EDAD]]), EDA!$E$8, moras[[#This Row],[EDAD]])</f>
        <v>30</v>
      </c>
      <c r="P2764" s="14" t="str">
        <f>IF(
    OR(ISBLANK(moras[[#This Row],[TIPO_ASEGURAMIENTO]]), moras[[#This Row],[TIPO_ASEGURAMIENTO]]=""),
    EDA!$A$32,
    moras[[#This Row],[TIPO_ASEGURAMIENTO]]
)</f>
        <v>ASALARIADO</v>
      </c>
    </row>
    <row r="2765" spans="1:16" x14ac:dyDescent="0.3">
      <c r="A2765">
        <v>2764</v>
      </c>
      <c r="B2765" t="s">
        <v>9</v>
      </c>
      <c r="C2765">
        <v>47730736</v>
      </c>
      <c r="D2765" t="s">
        <v>10</v>
      </c>
      <c r="E2765" t="s">
        <v>16</v>
      </c>
      <c r="F2765" t="s">
        <v>12</v>
      </c>
      <c r="G2765" t="s">
        <v>13</v>
      </c>
      <c r="H2765" t="s">
        <v>13</v>
      </c>
      <c r="I2765">
        <v>63</v>
      </c>
      <c r="J2765">
        <f>ABS((I2765-EDA!$A$15)/EDA!$B$15)</f>
        <v>1.4835222444786049</v>
      </c>
      <c r="K2765" t="str">
        <f t="shared" si="43"/>
        <v>No</v>
      </c>
      <c r="L2765">
        <f>ABS((C2765-EDA!$F$15)/EDA!$G$15)</f>
        <v>0.41861916854090453</v>
      </c>
      <c r="M2765" t="str">
        <f>IF(moras[[#This Row],[Z-Score Salario]]&gt;1.96, "Sí", "No")</f>
        <v>No</v>
      </c>
      <c r="N2765" s="14">
        <f>IF(ISBLANK(moras[[#This Row],[SALARIO]]), EDA!$M$8, moras[[#This Row],[SALARIO]])</f>
        <v>47730736</v>
      </c>
      <c r="O2765" s="14">
        <f xml:space="preserve"> IF(ISBLANK(moras[[#This Row],[EDAD]]), EDA!$E$8, moras[[#This Row],[EDAD]])</f>
        <v>63</v>
      </c>
      <c r="P2765" s="14" t="str">
        <f>IF(
    OR(ISBLANK(moras[[#This Row],[TIPO_ASEGURAMIENTO]]), moras[[#This Row],[TIPO_ASEGURAMIENTO]]=""),
    EDA!$A$32,
    moras[[#This Row],[TIPO_ASEGURAMIENTO]]
)</f>
        <v>ASALARIADO</v>
      </c>
    </row>
    <row r="2766" spans="1:16" x14ac:dyDescent="0.3">
      <c r="A2766">
        <v>2765</v>
      </c>
      <c r="B2766" t="s">
        <v>9</v>
      </c>
      <c r="C2766">
        <v>385938</v>
      </c>
      <c r="D2766" t="s">
        <v>10</v>
      </c>
      <c r="E2766" t="s">
        <v>16</v>
      </c>
      <c r="F2766" t="s">
        <v>12</v>
      </c>
      <c r="G2766" t="s">
        <v>13</v>
      </c>
      <c r="H2766" t="s">
        <v>12</v>
      </c>
      <c r="I2766">
        <v>51</v>
      </c>
      <c r="J2766">
        <f>ABS((I2766-EDA!$A$15)/EDA!$B$15)</f>
        <v>0.6366182835529548</v>
      </c>
      <c r="K2766" t="str">
        <f t="shared" si="43"/>
        <v>No</v>
      </c>
      <c r="L2766">
        <f>ABS((C2766-EDA!$F$15)/EDA!$G$15)</f>
        <v>0.36923169144947654</v>
      </c>
      <c r="M2766" t="str">
        <f>IF(moras[[#This Row],[Z-Score Salario]]&gt;1.96, "Sí", "No")</f>
        <v>No</v>
      </c>
      <c r="N2766" s="14">
        <f>IF(ISBLANK(moras[[#This Row],[SALARIO]]), EDA!$M$8, moras[[#This Row],[SALARIO]])</f>
        <v>385938</v>
      </c>
      <c r="O2766" s="14">
        <f xml:space="preserve"> IF(ISBLANK(moras[[#This Row],[EDAD]]), EDA!$E$8, moras[[#This Row],[EDAD]])</f>
        <v>51</v>
      </c>
      <c r="P2766" s="14" t="str">
        <f>IF(
    OR(ISBLANK(moras[[#This Row],[TIPO_ASEGURAMIENTO]]), moras[[#This Row],[TIPO_ASEGURAMIENTO]]=""),
    EDA!$A$32,
    moras[[#This Row],[TIPO_ASEGURAMIENTO]]
)</f>
        <v>ASALARIADO</v>
      </c>
    </row>
    <row r="2767" spans="1:16" x14ac:dyDescent="0.3">
      <c r="A2767">
        <v>2766</v>
      </c>
      <c r="B2767" t="s">
        <v>15</v>
      </c>
      <c r="C2767">
        <v>450000</v>
      </c>
      <c r="D2767" t="s">
        <v>10</v>
      </c>
      <c r="E2767" t="s">
        <v>16</v>
      </c>
      <c r="F2767" t="s">
        <v>12</v>
      </c>
      <c r="G2767" t="s">
        <v>12</v>
      </c>
      <c r="H2767" t="s">
        <v>13</v>
      </c>
      <c r="I2767">
        <v>29</v>
      </c>
      <c r="J2767">
        <f>ABS((I2767-EDA!$A$15)/EDA!$B$15)</f>
        <v>0.91603897814407031</v>
      </c>
      <c r="K2767" t="str">
        <f t="shared" si="43"/>
        <v>No</v>
      </c>
      <c r="L2767">
        <f>ABS((C2767-EDA!$F$15)/EDA!$G$15)</f>
        <v>0.36816565454732936</v>
      </c>
      <c r="M2767" t="str">
        <f>IF(moras[[#This Row],[Z-Score Salario]]&gt;1.96, "Sí", "No")</f>
        <v>No</v>
      </c>
      <c r="N2767" s="14">
        <f>IF(ISBLANK(moras[[#This Row],[SALARIO]]), EDA!$M$8, moras[[#This Row],[SALARIO]])</f>
        <v>450000</v>
      </c>
      <c r="O2767" s="14">
        <f xml:space="preserve"> IF(ISBLANK(moras[[#This Row],[EDAD]]), EDA!$E$8, moras[[#This Row],[EDAD]])</f>
        <v>29</v>
      </c>
      <c r="P2767" s="14" t="str">
        <f>IF(
    OR(ISBLANK(moras[[#This Row],[TIPO_ASEGURAMIENTO]]), moras[[#This Row],[TIPO_ASEGURAMIENTO]]=""),
    EDA!$A$32,
    moras[[#This Row],[TIPO_ASEGURAMIENTO]]
)</f>
        <v>ASALARIADO</v>
      </c>
    </row>
    <row r="2768" spans="1:16" x14ac:dyDescent="0.3">
      <c r="A2768">
        <v>2767</v>
      </c>
      <c r="B2768" t="s">
        <v>9</v>
      </c>
      <c r="C2768">
        <v>35954427</v>
      </c>
      <c r="D2768" t="s">
        <v>21</v>
      </c>
      <c r="E2768" t="s">
        <v>16</v>
      </c>
      <c r="F2768" t="s">
        <v>12</v>
      </c>
      <c r="G2768" t="s">
        <v>12</v>
      </c>
      <c r="H2768" t="s">
        <v>13</v>
      </c>
      <c r="I2768">
        <v>59</v>
      </c>
      <c r="J2768">
        <f>ABS((I2768-EDA!$A$15)/EDA!$B$15)</f>
        <v>1.2012209241700549</v>
      </c>
      <c r="K2768" t="str">
        <f t="shared" si="43"/>
        <v>No</v>
      </c>
      <c r="L2768">
        <f>ABS((C2768-EDA!$F$15)/EDA!$G$15)</f>
        <v>0.22265307374074372</v>
      </c>
      <c r="M2768" t="str">
        <f>IF(moras[[#This Row],[Z-Score Salario]]&gt;1.96, "Sí", "No")</f>
        <v>No</v>
      </c>
      <c r="N2768" s="14">
        <f>IF(ISBLANK(moras[[#This Row],[SALARIO]]), EDA!$M$8, moras[[#This Row],[SALARIO]])</f>
        <v>35954427</v>
      </c>
      <c r="O2768" s="14">
        <f xml:space="preserve"> IF(ISBLANK(moras[[#This Row],[EDAD]]), EDA!$E$8, moras[[#This Row],[EDAD]])</f>
        <v>59</v>
      </c>
      <c r="P2768" s="14" t="str">
        <f>IF(
    OR(ISBLANK(moras[[#This Row],[TIPO_ASEGURAMIENTO]]), moras[[#This Row],[TIPO_ASEGURAMIENTO]]=""),
    EDA!$A$32,
    moras[[#This Row],[TIPO_ASEGURAMIENTO]]
)</f>
        <v>CONVENIOS ESPECIALES DE ASEGURADOS VOLUNTARIOS</v>
      </c>
    </row>
    <row r="2769" spans="1:16" x14ac:dyDescent="0.3">
      <c r="A2769">
        <v>2768</v>
      </c>
      <c r="B2769" t="s">
        <v>9</v>
      </c>
      <c r="C2769">
        <v>7595696</v>
      </c>
      <c r="D2769" t="s">
        <v>10</v>
      </c>
      <c r="E2769" t="s">
        <v>11</v>
      </c>
      <c r="F2769" t="s">
        <v>12</v>
      </c>
      <c r="G2769" t="s">
        <v>13</v>
      </c>
      <c r="H2769" t="s">
        <v>13</v>
      </c>
      <c r="I2769">
        <v>34</v>
      </c>
      <c r="J2769">
        <f>ABS((I2769-EDA!$A$15)/EDA!$B$15)</f>
        <v>0.56316232775838282</v>
      </c>
      <c r="K2769" t="str">
        <f t="shared" si="43"/>
        <v>No</v>
      </c>
      <c r="L2769">
        <f>ABS((C2769-EDA!$F$15)/EDA!$G$15)</f>
        <v>0.24925622887336565</v>
      </c>
      <c r="M2769" t="str">
        <f>IF(moras[[#This Row],[Z-Score Salario]]&gt;1.96, "Sí", "No")</f>
        <v>No</v>
      </c>
      <c r="N2769" s="14">
        <f>IF(ISBLANK(moras[[#This Row],[SALARIO]]), EDA!$M$8, moras[[#This Row],[SALARIO]])</f>
        <v>7595696</v>
      </c>
      <c r="O2769" s="14">
        <f xml:space="preserve"> IF(ISBLANK(moras[[#This Row],[EDAD]]), EDA!$E$8, moras[[#This Row],[EDAD]])</f>
        <v>34</v>
      </c>
      <c r="P2769" s="14" t="str">
        <f>IF(
    OR(ISBLANK(moras[[#This Row],[TIPO_ASEGURAMIENTO]]), moras[[#This Row],[TIPO_ASEGURAMIENTO]]=""),
    EDA!$A$32,
    moras[[#This Row],[TIPO_ASEGURAMIENTO]]
)</f>
        <v>ASALARIADO</v>
      </c>
    </row>
    <row r="2770" spans="1:16" x14ac:dyDescent="0.3">
      <c r="A2770">
        <v>2769</v>
      </c>
      <c r="B2770" t="s">
        <v>15</v>
      </c>
      <c r="C2770">
        <v>894532</v>
      </c>
      <c r="D2770" t="s">
        <v>10</v>
      </c>
      <c r="E2770" t="s">
        <v>11</v>
      </c>
      <c r="F2770" t="s">
        <v>12</v>
      </c>
      <c r="G2770" t="s">
        <v>13</v>
      </c>
      <c r="H2770" t="s">
        <v>12</v>
      </c>
      <c r="I2770">
        <v>44</v>
      </c>
      <c r="J2770">
        <f>ABS((I2770-EDA!$A$15)/EDA!$B$15)</f>
        <v>0.14259097301299228</v>
      </c>
      <c r="K2770" t="str">
        <f t="shared" si="43"/>
        <v>No</v>
      </c>
      <c r="L2770">
        <f>ABS((C2770-EDA!$F$15)/EDA!$G$15)</f>
        <v>0.36076832826676852</v>
      </c>
      <c r="M2770" t="str">
        <f>IF(moras[[#This Row],[Z-Score Salario]]&gt;1.96, "Sí", "No")</f>
        <v>No</v>
      </c>
      <c r="N2770" s="14">
        <f>IF(ISBLANK(moras[[#This Row],[SALARIO]]), EDA!$M$8, moras[[#This Row],[SALARIO]])</f>
        <v>894532</v>
      </c>
      <c r="O2770" s="14">
        <f xml:space="preserve"> IF(ISBLANK(moras[[#This Row],[EDAD]]), EDA!$E$8, moras[[#This Row],[EDAD]])</f>
        <v>44</v>
      </c>
      <c r="P2770" s="14" t="str">
        <f>IF(
    OR(ISBLANK(moras[[#This Row],[TIPO_ASEGURAMIENTO]]), moras[[#This Row],[TIPO_ASEGURAMIENTO]]=""),
    EDA!$A$32,
    moras[[#This Row],[TIPO_ASEGURAMIENTO]]
)</f>
        <v>ASALARIADO</v>
      </c>
    </row>
    <row r="2771" spans="1:16" x14ac:dyDescent="0.3">
      <c r="A2771">
        <v>2770</v>
      </c>
      <c r="B2771" t="s">
        <v>9</v>
      </c>
      <c r="C2771">
        <v>11718667</v>
      </c>
      <c r="D2771" t="s">
        <v>10</v>
      </c>
      <c r="E2771" t="s">
        <v>16</v>
      </c>
      <c r="F2771" t="s">
        <v>12</v>
      </c>
      <c r="G2771" t="s">
        <v>13</v>
      </c>
      <c r="H2771" t="s">
        <v>13</v>
      </c>
      <c r="I2771">
        <v>25</v>
      </c>
      <c r="J2771">
        <f>ABS((I2771-EDA!$A$15)/EDA!$B$15)</f>
        <v>1.1983402984526204</v>
      </c>
      <c r="K2771" t="str">
        <f t="shared" si="43"/>
        <v>No</v>
      </c>
      <c r="L2771">
        <f>ABS((C2771-EDA!$F$15)/EDA!$G$15)</f>
        <v>0.18064708097784815</v>
      </c>
      <c r="M2771" t="str">
        <f>IF(moras[[#This Row],[Z-Score Salario]]&gt;1.96, "Sí", "No")</f>
        <v>No</v>
      </c>
      <c r="N2771" s="14">
        <f>IF(ISBLANK(moras[[#This Row],[SALARIO]]), EDA!$M$8, moras[[#This Row],[SALARIO]])</f>
        <v>11718667</v>
      </c>
      <c r="O2771" s="14">
        <f xml:space="preserve"> IF(ISBLANK(moras[[#This Row],[EDAD]]), EDA!$E$8, moras[[#This Row],[EDAD]])</f>
        <v>25</v>
      </c>
      <c r="P2771" s="14" t="str">
        <f>IF(
    OR(ISBLANK(moras[[#This Row],[TIPO_ASEGURAMIENTO]]), moras[[#This Row],[TIPO_ASEGURAMIENTO]]=""),
    EDA!$A$32,
    moras[[#This Row],[TIPO_ASEGURAMIENTO]]
)</f>
        <v>ASALARIADO</v>
      </c>
    </row>
    <row r="2772" spans="1:16" x14ac:dyDescent="0.3">
      <c r="A2772">
        <v>2771</v>
      </c>
      <c r="B2772" t="s">
        <v>15</v>
      </c>
      <c r="C2772">
        <v>1314609</v>
      </c>
      <c r="D2772" t="s">
        <v>10</v>
      </c>
      <c r="E2772" t="s">
        <v>11</v>
      </c>
      <c r="F2772" t="s">
        <v>12</v>
      </c>
      <c r="G2772" t="s">
        <v>13</v>
      </c>
      <c r="H2772" t="s">
        <v>13</v>
      </c>
      <c r="I2772">
        <v>48</v>
      </c>
      <c r="J2772">
        <f>ABS((I2772-EDA!$A$15)/EDA!$B$15)</f>
        <v>0.42489229332154227</v>
      </c>
      <c r="K2772" t="str">
        <f t="shared" si="43"/>
        <v>No</v>
      </c>
      <c r="L2772">
        <f>ABS((C2772-EDA!$F$15)/EDA!$G$15)</f>
        <v>0.3537779504492905</v>
      </c>
      <c r="M2772" t="str">
        <f>IF(moras[[#This Row],[Z-Score Salario]]&gt;1.96, "Sí", "No")</f>
        <v>No</v>
      </c>
      <c r="N2772" s="14">
        <f>IF(ISBLANK(moras[[#This Row],[SALARIO]]), EDA!$M$8, moras[[#This Row],[SALARIO]])</f>
        <v>1314609</v>
      </c>
      <c r="O2772" s="14">
        <f xml:space="preserve"> IF(ISBLANK(moras[[#This Row],[EDAD]]), EDA!$E$8, moras[[#This Row],[EDAD]])</f>
        <v>48</v>
      </c>
      <c r="P2772" s="14" t="str">
        <f>IF(
    OR(ISBLANK(moras[[#This Row],[TIPO_ASEGURAMIENTO]]), moras[[#This Row],[TIPO_ASEGURAMIENTO]]=""),
    EDA!$A$32,
    moras[[#This Row],[TIPO_ASEGURAMIENTO]]
)</f>
        <v>ASALARIADO</v>
      </c>
    </row>
    <row r="2773" spans="1:16" x14ac:dyDescent="0.3">
      <c r="A2773">
        <v>2772</v>
      </c>
      <c r="B2773" t="s">
        <v>15</v>
      </c>
      <c r="C2773">
        <v>298925</v>
      </c>
      <c r="D2773" t="s">
        <v>18</v>
      </c>
      <c r="E2773" t="s">
        <v>16</v>
      </c>
      <c r="F2773" t="s">
        <v>12</v>
      </c>
      <c r="G2773" t="s">
        <v>12</v>
      </c>
      <c r="H2773" t="s">
        <v>12</v>
      </c>
      <c r="I2773">
        <v>28</v>
      </c>
      <c r="J2773">
        <f>ABS((I2773-EDA!$A$15)/EDA!$B$15)</f>
        <v>0.98661430822120777</v>
      </c>
      <c r="K2773" t="str">
        <f t="shared" si="43"/>
        <v>No</v>
      </c>
      <c r="L2773">
        <f>ABS((C2773-EDA!$F$15)/EDA!$G$15)</f>
        <v>0.37067964919301455</v>
      </c>
      <c r="M2773" t="str">
        <f>IF(moras[[#This Row],[Z-Score Salario]]&gt;1.96, "Sí", "No")</f>
        <v>No</v>
      </c>
      <c r="N2773" s="14">
        <f>IF(ISBLANK(moras[[#This Row],[SALARIO]]), EDA!$M$8, moras[[#This Row],[SALARIO]])</f>
        <v>298925</v>
      </c>
      <c r="O2773" s="14">
        <f xml:space="preserve"> IF(ISBLANK(moras[[#This Row],[EDAD]]), EDA!$E$8, moras[[#This Row],[EDAD]])</f>
        <v>28</v>
      </c>
      <c r="P2773" s="14" t="str">
        <f>IF(
    OR(ISBLANK(moras[[#This Row],[TIPO_ASEGURAMIENTO]]), moras[[#This Row],[TIPO_ASEGURAMIENTO]]=""),
    EDA!$A$32,
    moras[[#This Row],[TIPO_ASEGURAMIENTO]]
)</f>
        <v>TRABAJADOR INDEPENDIENTE</v>
      </c>
    </row>
    <row r="2774" spans="1:16" x14ac:dyDescent="0.3">
      <c r="A2774">
        <v>2773</v>
      </c>
      <c r="B2774" t="s">
        <v>9</v>
      </c>
      <c r="C2774">
        <v>410982</v>
      </c>
      <c r="D2774" t="s">
        <v>10</v>
      </c>
      <c r="E2774" t="s">
        <v>16</v>
      </c>
      <c r="F2774" t="s">
        <v>12</v>
      </c>
      <c r="G2774" t="s">
        <v>13</v>
      </c>
      <c r="H2774" t="s">
        <v>13</v>
      </c>
      <c r="I2774">
        <v>30</v>
      </c>
      <c r="J2774">
        <f>ABS((I2774-EDA!$A$15)/EDA!$B$15)</f>
        <v>0.84546364806693275</v>
      </c>
      <c r="K2774" t="str">
        <f t="shared" si="43"/>
        <v>No</v>
      </c>
      <c r="L2774">
        <f>ABS((C2774-EDA!$F$15)/EDA!$G$15)</f>
        <v>0.36881494161061151</v>
      </c>
      <c r="M2774" t="str">
        <f>IF(moras[[#This Row],[Z-Score Salario]]&gt;1.96, "Sí", "No")</f>
        <v>No</v>
      </c>
      <c r="N2774" s="14">
        <f>IF(ISBLANK(moras[[#This Row],[SALARIO]]), EDA!$M$8, moras[[#This Row],[SALARIO]])</f>
        <v>410982</v>
      </c>
      <c r="O2774" s="14">
        <f xml:space="preserve"> IF(ISBLANK(moras[[#This Row],[EDAD]]), EDA!$E$8, moras[[#This Row],[EDAD]])</f>
        <v>30</v>
      </c>
      <c r="P2774" s="14" t="str">
        <f>IF(
    OR(ISBLANK(moras[[#This Row],[TIPO_ASEGURAMIENTO]]), moras[[#This Row],[TIPO_ASEGURAMIENTO]]=""),
    EDA!$A$32,
    moras[[#This Row],[TIPO_ASEGURAMIENTO]]
)</f>
        <v>ASALARIADO</v>
      </c>
    </row>
    <row r="2775" spans="1:16" x14ac:dyDescent="0.3">
      <c r="A2775">
        <v>2774</v>
      </c>
      <c r="B2775" t="s">
        <v>15</v>
      </c>
      <c r="C2775">
        <v>1511127</v>
      </c>
      <c r="D2775" t="s">
        <v>10</v>
      </c>
      <c r="E2775" t="s">
        <v>11</v>
      </c>
      <c r="F2775" t="s">
        <v>12</v>
      </c>
      <c r="G2775" t="s">
        <v>13</v>
      </c>
      <c r="H2775" t="s">
        <v>13</v>
      </c>
      <c r="I2775">
        <v>36</v>
      </c>
      <c r="J2775">
        <f>ABS((I2775-EDA!$A$15)/EDA!$B$15)</f>
        <v>0.42201166760410774</v>
      </c>
      <c r="K2775" t="str">
        <f t="shared" si="43"/>
        <v>No</v>
      </c>
      <c r="L2775">
        <f>ABS((C2775-EDA!$F$15)/EDA!$G$15)</f>
        <v>0.35050775220483732</v>
      </c>
      <c r="M2775" t="str">
        <f>IF(moras[[#This Row],[Z-Score Salario]]&gt;1.96, "Sí", "No")</f>
        <v>No</v>
      </c>
      <c r="N2775" s="14">
        <f>IF(ISBLANK(moras[[#This Row],[SALARIO]]), EDA!$M$8, moras[[#This Row],[SALARIO]])</f>
        <v>1511127</v>
      </c>
      <c r="O2775" s="14">
        <f xml:space="preserve"> IF(ISBLANK(moras[[#This Row],[EDAD]]), EDA!$E$8, moras[[#This Row],[EDAD]])</f>
        <v>36</v>
      </c>
      <c r="P2775" s="14" t="str">
        <f>IF(
    OR(ISBLANK(moras[[#This Row],[TIPO_ASEGURAMIENTO]]), moras[[#This Row],[TIPO_ASEGURAMIENTO]]=""),
    EDA!$A$32,
    moras[[#This Row],[TIPO_ASEGURAMIENTO]]
)</f>
        <v>ASALARIADO</v>
      </c>
    </row>
    <row r="2776" spans="1:16" x14ac:dyDescent="0.3">
      <c r="A2776">
        <v>2775</v>
      </c>
      <c r="B2776" t="s">
        <v>15</v>
      </c>
      <c r="C2776">
        <v>361080</v>
      </c>
      <c r="D2776" t="s">
        <v>10</v>
      </c>
      <c r="E2776" t="s">
        <v>16</v>
      </c>
      <c r="F2776" t="s">
        <v>12</v>
      </c>
      <c r="G2776" t="s">
        <v>13</v>
      </c>
      <c r="H2776" t="s">
        <v>13</v>
      </c>
      <c r="I2776">
        <v>29</v>
      </c>
      <c r="J2776">
        <f>ABS((I2776-EDA!$A$15)/EDA!$B$15)</f>
        <v>0.91603897814407031</v>
      </c>
      <c r="K2776" t="str">
        <f t="shared" si="43"/>
        <v>No</v>
      </c>
      <c r="L2776">
        <f>ABS((C2776-EDA!$F$15)/EDA!$G$15)</f>
        <v>0.36964534611704197</v>
      </c>
      <c r="M2776" t="str">
        <f>IF(moras[[#This Row],[Z-Score Salario]]&gt;1.96, "Sí", "No")</f>
        <v>No</v>
      </c>
      <c r="N2776" s="14">
        <f>IF(ISBLANK(moras[[#This Row],[SALARIO]]), EDA!$M$8, moras[[#This Row],[SALARIO]])</f>
        <v>361080</v>
      </c>
      <c r="O2776" s="14">
        <f xml:space="preserve"> IF(ISBLANK(moras[[#This Row],[EDAD]]), EDA!$E$8, moras[[#This Row],[EDAD]])</f>
        <v>29</v>
      </c>
      <c r="P2776" s="14" t="str">
        <f>IF(
    OR(ISBLANK(moras[[#This Row],[TIPO_ASEGURAMIENTO]]), moras[[#This Row],[TIPO_ASEGURAMIENTO]]=""),
    EDA!$A$32,
    moras[[#This Row],[TIPO_ASEGURAMIENTO]]
)</f>
        <v>ASALARIADO</v>
      </c>
    </row>
    <row r="2777" spans="1:16" x14ac:dyDescent="0.3">
      <c r="A2777">
        <v>2776</v>
      </c>
      <c r="B2777" t="s">
        <v>9</v>
      </c>
      <c r="C2777">
        <v>267648665</v>
      </c>
      <c r="D2777" t="s">
        <v>10</v>
      </c>
      <c r="E2777" t="s">
        <v>16</v>
      </c>
      <c r="F2777" t="s">
        <v>12</v>
      </c>
      <c r="G2777" t="s">
        <v>13</v>
      </c>
      <c r="H2777" t="s">
        <v>13</v>
      </c>
      <c r="I2777">
        <v>26</v>
      </c>
      <c r="J2777">
        <f>ABS((I2777-EDA!$A$15)/EDA!$B$15)</f>
        <v>1.1277649683754829</v>
      </c>
      <c r="K2777" t="str">
        <f t="shared" si="43"/>
        <v>No</v>
      </c>
      <c r="L2777">
        <f>ABS((C2777-EDA!$F$15)/EDA!$G$15)</f>
        <v>4.0782087498493631</v>
      </c>
      <c r="M2777" t="str">
        <f>IF(moras[[#This Row],[Z-Score Salario]]&gt;1.96, "Sí", "No")</f>
        <v>Sí</v>
      </c>
      <c r="N2777" s="14">
        <f>IF(ISBLANK(moras[[#This Row],[SALARIO]]), EDA!$M$8, moras[[#This Row],[SALARIO]])</f>
        <v>267648665</v>
      </c>
      <c r="O2777" s="14">
        <f xml:space="preserve"> IF(ISBLANK(moras[[#This Row],[EDAD]]), EDA!$E$8, moras[[#This Row],[EDAD]])</f>
        <v>26</v>
      </c>
      <c r="P2777" s="14" t="str">
        <f>IF(
    OR(ISBLANK(moras[[#This Row],[TIPO_ASEGURAMIENTO]]), moras[[#This Row],[TIPO_ASEGURAMIENTO]]=""),
    EDA!$A$32,
    moras[[#This Row],[TIPO_ASEGURAMIENTO]]
)</f>
        <v>ASALARIADO</v>
      </c>
    </row>
    <row r="2778" spans="1:16" x14ac:dyDescent="0.3">
      <c r="A2778">
        <v>2777</v>
      </c>
      <c r="B2778" t="s">
        <v>15</v>
      </c>
      <c r="C2778">
        <v>298482</v>
      </c>
      <c r="D2778" t="s">
        <v>18</v>
      </c>
      <c r="E2778" t="s">
        <v>16</v>
      </c>
      <c r="F2778" t="s">
        <v>12</v>
      </c>
      <c r="G2778" t="s">
        <v>13</v>
      </c>
      <c r="H2778" t="s">
        <v>13</v>
      </c>
      <c r="I2778">
        <v>47</v>
      </c>
      <c r="J2778">
        <f>ABS((I2778-EDA!$A$15)/EDA!$B$15)</f>
        <v>0.35431696324440481</v>
      </c>
      <c r="K2778" t="str">
        <f t="shared" si="43"/>
        <v>No</v>
      </c>
      <c r="L2778">
        <f>ABS((C2778-EDA!$F$15)/EDA!$G$15)</f>
        <v>0.37068702102573364</v>
      </c>
      <c r="M2778" t="str">
        <f>IF(moras[[#This Row],[Z-Score Salario]]&gt;1.96, "Sí", "No")</f>
        <v>No</v>
      </c>
      <c r="N2778" s="14">
        <f>IF(ISBLANK(moras[[#This Row],[SALARIO]]), EDA!$M$8, moras[[#This Row],[SALARIO]])</f>
        <v>298482</v>
      </c>
      <c r="O2778" s="14">
        <f xml:space="preserve"> IF(ISBLANK(moras[[#This Row],[EDAD]]), EDA!$E$8, moras[[#This Row],[EDAD]])</f>
        <v>47</v>
      </c>
      <c r="P2778" s="14" t="str">
        <f>IF(
    OR(ISBLANK(moras[[#This Row],[TIPO_ASEGURAMIENTO]]), moras[[#This Row],[TIPO_ASEGURAMIENTO]]=""),
    EDA!$A$32,
    moras[[#This Row],[TIPO_ASEGURAMIENTO]]
)</f>
        <v>TRABAJADOR INDEPENDIENTE</v>
      </c>
    </row>
    <row r="2779" spans="1:16" x14ac:dyDescent="0.3">
      <c r="A2779">
        <v>2778</v>
      </c>
      <c r="B2779" t="s">
        <v>9</v>
      </c>
      <c r="C2779">
        <v>160363849</v>
      </c>
      <c r="D2779" t="s">
        <v>10</v>
      </c>
      <c r="E2779" t="s">
        <v>16</v>
      </c>
      <c r="F2779" t="s">
        <v>12</v>
      </c>
      <c r="G2779" t="s">
        <v>13</v>
      </c>
      <c r="H2779" t="s">
        <v>13</v>
      </c>
      <c r="I2779">
        <v>43</v>
      </c>
      <c r="J2779">
        <f>ABS((I2779-EDA!$A$15)/EDA!$B$15)</f>
        <v>7.2015642935854773E-2</v>
      </c>
      <c r="K2779" t="str">
        <f t="shared" si="43"/>
        <v>No</v>
      </c>
      <c r="L2779">
        <f>ABS((C2779-EDA!$F$15)/EDA!$G$15)</f>
        <v>2.2929136779491772</v>
      </c>
      <c r="M2779" t="str">
        <f>IF(moras[[#This Row],[Z-Score Salario]]&gt;1.96, "Sí", "No")</f>
        <v>Sí</v>
      </c>
      <c r="N2779" s="14">
        <f>IF(ISBLANK(moras[[#This Row],[SALARIO]]), EDA!$M$8, moras[[#This Row],[SALARIO]])</f>
        <v>160363849</v>
      </c>
      <c r="O2779" s="14">
        <f xml:space="preserve"> IF(ISBLANK(moras[[#This Row],[EDAD]]), EDA!$E$8, moras[[#This Row],[EDAD]])</f>
        <v>43</v>
      </c>
      <c r="P2779" s="14" t="str">
        <f>IF(
    OR(ISBLANK(moras[[#This Row],[TIPO_ASEGURAMIENTO]]), moras[[#This Row],[TIPO_ASEGURAMIENTO]]=""),
    EDA!$A$32,
    moras[[#This Row],[TIPO_ASEGURAMIENTO]]
)</f>
        <v>ASALARIADO</v>
      </c>
    </row>
    <row r="2780" spans="1:16" x14ac:dyDescent="0.3">
      <c r="A2780">
        <v>2779</v>
      </c>
      <c r="B2780" t="s">
        <v>9</v>
      </c>
      <c r="C2780">
        <v>75782241</v>
      </c>
      <c r="D2780" t="s">
        <v>10</v>
      </c>
      <c r="E2780" t="s">
        <v>16</v>
      </c>
      <c r="F2780" t="s">
        <v>12</v>
      </c>
      <c r="G2780" t="s">
        <v>13</v>
      </c>
      <c r="H2780" t="s">
        <v>13</v>
      </c>
      <c r="I2780">
        <v>31</v>
      </c>
      <c r="J2780">
        <f>ABS((I2780-EDA!$A$15)/EDA!$B$15)</f>
        <v>0.77488831798979529</v>
      </c>
      <c r="K2780" t="str">
        <f t="shared" si="43"/>
        <v>No</v>
      </c>
      <c r="L2780">
        <f>ABS((C2780-EDA!$F$15)/EDA!$G$15)</f>
        <v>0.88541601364043321</v>
      </c>
      <c r="M2780" t="str">
        <f>IF(moras[[#This Row],[Z-Score Salario]]&gt;1.96, "Sí", "No")</f>
        <v>No</v>
      </c>
      <c r="N2780" s="14">
        <f>IF(ISBLANK(moras[[#This Row],[SALARIO]]), EDA!$M$8, moras[[#This Row],[SALARIO]])</f>
        <v>75782241</v>
      </c>
      <c r="O2780" s="14">
        <f xml:space="preserve"> IF(ISBLANK(moras[[#This Row],[EDAD]]), EDA!$E$8, moras[[#This Row],[EDAD]])</f>
        <v>31</v>
      </c>
      <c r="P2780" s="14" t="str">
        <f>IF(
    OR(ISBLANK(moras[[#This Row],[TIPO_ASEGURAMIENTO]]), moras[[#This Row],[TIPO_ASEGURAMIENTO]]=""),
    EDA!$A$32,
    moras[[#This Row],[TIPO_ASEGURAMIENTO]]
)</f>
        <v>ASALARIADO</v>
      </c>
    </row>
    <row r="2781" spans="1:16" x14ac:dyDescent="0.3">
      <c r="A2781">
        <v>2780</v>
      </c>
      <c r="B2781" t="s">
        <v>15</v>
      </c>
      <c r="C2781">
        <v>298000</v>
      </c>
      <c r="D2781" t="s">
        <v>18</v>
      </c>
      <c r="E2781" t="s">
        <v>16</v>
      </c>
      <c r="F2781" t="s">
        <v>12</v>
      </c>
      <c r="G2781" t="s">
        <v>13</v>
      </c>
      <c r="H2781" t="s">
        <v>13</v>
      </c>
      <c r="I2781">
        <v>23</v>
      </c>
      <c r="J2781">
        <f>ABS((I2781-EDA!$A$15)/EDA!$B$15)</f>
        <v>1.3394909586068953</v>
      </c>
      <c r="K2781" t="str">
        <f t="shared" si="43"/>
        <v>No</v>
      </c>
      <c r="L2781">
        <f>ABS((C2781-EDA!$F$15)/EDA!$G$15)</f>
        <v>0.37069504184598334</v>
      </c>
      <c r="M2781" t="str">
        <f>IF(moras[[#This Row],[Z-Score Salario]]&gt;1.96, "Sí", "No")</f>
        <v>No</v>
      </c>
      <c r="N2781" s="14">
        <f>IF(ISBLANK(moras[[#This Row],[SALARIO]]), EDA!$M$8, moras[[#This Row],[SALARIO]])</f>
        <v>298000</v>
      </c>
      <c r="O2781" s="14">
        <f xml:space="preserve"> IF(ISBLANK(moras[[#This Row],[EDAD]]), EDA!$E$8, moras[[#This Row],[EDAD]])</f>
        <v>23</v>
      </c>
      <c r="P2781" s="14" t="str">
        <f>IF(
    OR(ISBLANK(moras[[#This Row],[TIPO_ASEGURAMIENTO]]), moras[[#This Row],[TIPO_ASEGURAMIENTO]]=""),
    EDA!$A$32,
    moras[[#This Row],[TIPO_ASEGURAMIENTO]]
)</f>
        <v>TRABAJADOR INDEPENDIENTE</v>
      </c>
    </row>
    <row r="2782" spans="1:16" x14ac:dyDescent="0.3">
      <c r="A2782">
        <v>2781</v>
      </c>
      <c r="B2782" t="s">
        <v>15</v>
      </c>
      <c r="C2782">
        <v>300018</v>
      </c>
      <c r="D2782" t="s">
        <v>18</v>
      </c>
      <c r="E2782" t="s">
        <v>16</v>
      </c>
      <c r="F2782" t="s">
        <v>12</v>
      </c>
      <c r="G2782" t="s">
        <v>12</v>
      </c>
      <c r="H2782" t="s">
        <v>12</v>
      </c>
      <c r="I2782">
        <v>49</v>
      </c>
      <c r="J2782">
        <f>ABS((I2782-EDA!$A$15)/EDA!$B$15)</f>
        <v>0.49546762339867978</v>
      </c>
      <c r="K2782" t="str">
        <f t="shared" si="43"/>
        <v>No</v>
      </c>
      <c r="L2782">
        <f>ABS((C2782-EDA!$F$15)/EDA!$G$15)</f>
        <v>0.37066146090145252</v>
      </c>
      <c r="M2782" t="str">
        <f>IF(moras[[#This Row],[Z-Score Salario]]&gt;1.96, "Sí", "No")</f>
        <v>No</v>
      </c>
      <c r="N2782" s="14">
        <f>IF(ISBLANK(moras[[#This Row],[SALARIO]]), EDA!$M$8, moras[[#This Row],[SALARIO]])</f>
        <v>300018</v>
      </c>
      <c r="O2782" s="14">
        <f xml:space="preserve"> IF(ISBLANK(moras[[#This Row],[EDAD]]), EDA!$E$8, moras[[#This Row],[EDAD]])</f>
        <v>49</v>
      </c>
      <c r="P2782" s="14" t="str">
        <f>IF(
    OR(ISBLANK(moras[[#This Row],[TIPO_ASEGURAMIENTO]]), moras[[#This Row],[TIPO_ASEGURAMIENTO]]=""),
    EDA!$A$32,
    moras[[#This Row],[TIPO_ASEGURAMIENTO]]
)</f>
        <v>TRABAJADOR INDEPENDIENTE</v>
      </c>
    </row>
    <row r="2783" spans="1:16" x14ac:dyDescent="0.3">
      <c r="A2783">
        <v>2782</v>
      </c>
      <c r="B2783" t="s">
        <v>9</v>
      </c>
      <c r="C2783">
        <v>65156996</v>
      </c>
      <c r="D2783" t="s">
        <v>10</v>
      </c>
      <c r="E2783" t="s">
        <v>16</v>
      </c>
      <c r="F2783" t="s">
        <v>12</v>
      </c>
      <c r="G2783" t="s">
        <v>13</v>
      </c>
      <c r="H2783" t="s">
        <v>13</v>
      </c>
      <c r="I2783">
        <v>33</v>
      </c>
      <c r="J2783">
        <f>ABS((I2783-EDA!$A$15)/EDA!$B$15)</f>
        <v>0.63373765783552027</v>
      </c>
      <c r="K2783" t="str">
        <f t="shared" si="43"/>
        <v>No</v>
      </c>
      <c r="L2783">
        <f>ABS((C2783-EDA!$F$15)/EDA!$G$15)</f>
        <v>0.70860443635038972</v>
      </c>
      <c r="M2783" t="str">
        <f>IF(moras[[#This Row],[Z-Score Salario]]&gt;1.96, "Sí", "No")</f>
        <v>No</v>
      </c>
      <c r="N2783" s="14">
        <f>IF(ISBLANK(moras[[#This Row],[SALARIO]]), EDA!$M$8, moras[[#This Row],[SALARIO]])</f>
        <v>65156996</v>
      </c>
      <c r="O2783" s="14">
        <f xml:space="preserve"> IF(ISBLANK(moras[[#This Row],[EDAD]]), EDA!$E$8, moras[[#This Row],[EDAD]])</f>
        <v>33</v>
      </c>
      <c r="P2783" s="14" t="str">
        <f>IF(
    OR(ISBLANK(moras[[#This Row],[TIPO_ASEGURAMIENTO]]), moras[[#This Row],[TIPO_ASEGURAMIENTO]]=""),
    EDA!$A$32,
    moras[[#This Row],[TIPO_ASEGURAMIENTO]]
)</f>
        <v>ASALARIADO</v>
      </c>
    </row>
    <row r="2784" spans="1:16" x14ac:dyDescent="0.3">
      <c r="A2784">
        <v>2783</v>
      </c>
      <c r="B2784" t="s">
        <v>15</v>
      </c>
      <c r="C2784">
        <v>35954427</v>
      </c>
      <c r="D2784" t="s">
        <v>21</v>
      </c>
      <c r="E2784" t="s">
        <v>16</v>
      </c>
      <c r="F2784" t="s">
        <v>12</v>
      </c>
      <c r="G2784" t="s">
        <v>12</v>
      </c>
      <c r="H2784" t="s">
        <v>13</v>
      </c>
      <c r="I2784">
        <v>47</v>
      </c>
      <c r="J2784">
        <f>ABS((I2784-EDA!$A$15)/EDA!$B$15)</f>
        <v>0.35431696324440481</v>
      </c>
      <c r="K2784" t="str">
        <f t="shared" si="43"/>
        <v>No</v>
      </c>
      <c r="L2784">
        <f>ABS((C2784-EDA!$F$15)/EDA!$G$15)</f>
        <v>0.22265307374074372</v>
      </c>
      <c r="M2784" t="str">
        <f>IF(moras[[#This Row],[Z-Score Salario]]&gt;1.96, "Sí", "No")</f>
        <v>No</v>
      </c>
      <c r="N2784" s="14">
        <f>IF(ISBLANK(moras[[#This Row],[SALARIO]]), EDA!$M$8, moras[[#This Row],[SALARIO]])</f>
        <v>35954427</v>
      </c>
      <c r="O2784" s="14">
        <f xml:space="preserve"> IF(ISBLANK(moras[[#This Row],[EDAD]]), EDA!$E$8, moras[[#This Row],[EDAD]])</f>
        <v>47</v>
      </c>
      <c r="P2784" s="14" t="str">
        <f>IF(
    OR(ISBLANK(moras[[#This Row],[TIPO_ASEGURAMIENTO]]), moras[[#This Row],[TIPO_ASEGURAMIENTO]]=""),
    EDA!$A$32,
    moras[[#This Row],[TIPO_ASEGURAMIENTO]]
)</f>
        <v>CONVENIOS ESPECIALES DE ASEGURADOS VOLUNTARIOS</v>
      </c>
    </row>
    <row r="2785" spans="1:16" x14ac:dyDescent="0.3">
      <c r="A2785">
        <v>2784</v>
      </c>
      <c r="B2785" t="s">
        <v>15</v>
      </c>
      <c r="C2785">
        <v>554128</v>
      </c>
      <c r="D2785" t="s">
        <v>10</v>
      </c>
      <c r="E2785" t="s">
        <v>11</v>
      </c>
      <c r="F2785" t="s">
        <v>12</v>
      </c>
      <c r="G2785" t="s">
        <v>13</v>
      </c>
      <c r="H2785" t="s">
        <v>13</v>
      </c>
      <c r="I2785">
        <v>26</v>
      </c>
      <c r="J2785">
        <f>ABS((I2785-EDA!$A$15)/EDA!$B$15)</f>
        <v>1.1277649683754829</v>
      </c>
      <c r="K2785" t="str">
        <f t="shared" si="43"/>
        <v>No</v>
      </c>
      <c r="L2785">
        <f>ABS((C2785-EDA!$F$15)/EDA!$G$15)</f>
        <v>0.36643289112210409</v>
      </c>
      <c r="M2785" t="str">
        <f>IF(moras[[#This Row],[Z-Score Salario]]&gt;1.96, "Sí", "No")</f>
        <v>No</v>
      </c>
      <c r="N2785" s="14">
        <f>IF(ISBLANK(moras[[#This Row],[SALARIO]]), EDA!$M$8, moras[[#This Row],[SALARIO]])</f>
        <v>554128</v>
      </c>
      <c r="O2785" s="14">
        <f xml:space="preserve"> IF(ISBLANK(moras[[#This Row],[EDAD]]), EDA!$E$8, moras[[#This Row],[EDAD]])</f>
        <v>26</v>
      </c>
      <c r="P2785" s="14" t="str">
        <f>IF(
    OR(ISBLANK(moras[[#This Row],[TIPO_ASEGURAMIENTO]]), moras[[#This Row],[TIPO_ASEGURAMIENTO]]=""),
    EDA!$A$32,
    moras[[#This Row],[TIPO_ASEGURAMIENTO]]
)</f>
        <v>ASALARIADO</v>
      </c>
    </row>
    <row r="2786" spans="1:16" x14ac:dyDescent="0.3">
      <c r="A2786">
        <v>2785</v>
      </c>
      <c r="B2786" t="s">
        <v>9</v>
      </c>
      <c r="C2786">
        <v>49335264</v>
      </c>
      <c r="D2786" t="s">
        <v>10</v>
      </c>
      <c r="E2786" t="s">
        <v>16</v>
      </c>
      <c r="F2786" t="s">
        <v>12</v>
      </c>
      <c r="G2786" t="s">
        <v>13</v>
      </c>
      <c r="H2786" t="s">
        <v>13</v>
      </c>
      <c r="I2786">
        <v>25</v>
      </c>
      <c r="J2786">
        <f>ABS((I2786-EDA!$A$15)/EDA!$B$15)</f>
        <v>1.1983402984526204</v>
      </c>
      <c r="K2786" t="str">
        <f t="shared" si="43"/>
        <v>No</v>
      </c>
      <c r="L2786">
        <f>ABS((C2786-EDA!$F$15)/EDA!$G$15)</f>
        <v>0.44531964711679045</v>
      </c>
      <c r="M2786" t="str">
        <f>IF(moras[[#This Row],[Z-Score Salario]]&gt;1.96, "Sí", "No")</f>
        <v>No</v>
      </c>
      <c r="N2786" s="14">
        <f>IF(ISBLANK(moras[[#This Row],[SALARIO]]), EDA!$M$8, moras[[#This Row],[SALARIO]])</f>
        <v>49335264</v>
      </c>
      <c r="O2786" s="14">
        <f xml:space="preserve"> IF(ISBLANK(moras[[#This Row],[EDAD]]), EDA!$E$8, moras[[#This Row],[EDAD]])</f>
        <v>25</v>
      </c>
      <c r="P2786" s="14" t="str">
        <f>IF(
    OR(ISBLANK(moras[[#This Row],[TIPO_ASEGURAMIENTO]]), moras[[#This Row],[TIPO_ASEGURAMIENTO]]=""),
    EDA!$A$32,
    moras[[#This Row],[TIPO_ASEGURAMIENTO]]
)</f>
        <v>ASALARIADO</v>
      </c>
    </row>
    <row r="2787" spans="1:16" x14ac:dyDescent="0.3">
      <c r="A2787">
        <v>2786</v>
      </c>
      <c r="B2787" t="s">
        <v>9</v>
      </c>
      <c r="C2787">
        <v>264600</v>
      </c>
      <c r="D2787" t="s">
        <v>10</v>
      </c>
      <c r="E2787" t="s">
        <v>16</v>
      </c>
      <c r="F2787" t="s">
        <v>12</v>
      </c>
      <c r="G2787" t="s">
        <v>13</v>
      </c>
      <c r="H2787" t="s">
        <v>13</v>
      </c>
      <c r="I2787">
        <v>30</v>
      </c>
      <c r="J2787">
        <f>ABS((I2787-EDA!$A$15)/EDA!$B$15)</f>
        <v>0.84546364806693275</v>
      </c>
      <c r="K2787" t="str">
        <f t="shared" si="43"/>
        <v>No</v>
      </c>
      <c r="L2787">
        <f>ABS((C2787-EDA!$F$15)/EDA!$G$15)</f>
        <v>0.37125084142345072</v>
      </c>
      <c r="M2787" t="str">
        <f>IF(moras[[#This Row],[Z-Score Salario]]&gt;1.96, "Sí", "No")</f>
        <v>No</v>
      </c>
      <c r="N2787" s="14">
        <f>IF(ISBLANK(moras[[#This Row],[SALARIO]]), EDA!$M$8, moras[[#This Row],[SALARIO]])</f>
        <v>264600</v>
      </c>
      <c r="O2787" s="14">
        <f xml:space="preserve"> IF(ISBLANK(moras[[#This Row],[EDAD]]), EDA!$E$8, moras[[#This Row],[EDAD]])</f>
        <v>30</v>
      </c>
      <c r="P2787" s="14" t="str">
        <f>IF(
    OR(ISBLANK(moras[[#This Row],[TIPO_ASEGURAMIENTO]]), moras[[#This Row],[TIPO_ASEGURAMIENTO]]=""),
    EDA!$A$32,
    moras[[#This Row],[TIPO_ASEGURAMIENTO]]
)</f>
        <v>ASALARIADO</v>
      </c>
    </row>
    <row r="2788" spans="1:16" x14ac:dyDescent="0.3">
      <c r="A2788">
        <v>2787</v>
      </c>
      <c r="B2788" t="s">
        <v>15</v>
      </c>
      <c r="C2788">
        <v>68193183</v>
      </c>
      <c r="D2788" t="s">
        <v>10</v>
      </c>
      <c r="E2788" t="s">
        <v>16</v>
      </c>
      <c r="F2788" t="s">
        <v>12</v>
      </c>
      <c r="G2788" t="s">
        <v>13</v>
      </c>
      <c r="H2788" t="s">
        <v>13</v>
      </c>
      <c r="I2788">
        <v>34</v>
      </c>
      <c r="J2788">
        <f>ABS((I2788-EDA!$A$15)/EDA!$B$15)</f>
        <v>0.56316232775838282</v>
      </c>
      <c r="K2788" t="str">
        <f t="shared" si="43"/>
        <v>No</v>
      </c>
      <c r="L2788">
        <f>ABS((C2788-EDA!$F$15)/EDA!$G$15)</f>
        <v>0.7591287313118259</v>
      </c>
      <c r="M2788" t="str">
        <f>IF(moras[[#This Row],[Z-Score Salario]]&gt;1.96, "Sí", "No")</f>
        <v>No</v>
      </c>
      <c r="N2788" s="14">
        <f>IF(ISBLANK(moras[[#This Row],[SALARIO]]), EDA!$M$8, moras[[#This Row],[SALARIO]])</f>
        <v>68193183</v>
      </c>
      <c r="O2788" s="14">
        <f xml:space="preserve"> IF(ISBLANK(moras[[#This Row],[EDAD]]), EDA!$E$8, moras[[#This Row],[EDAD]])</f>
        <v>34</v>
      </c>
      <c r="P2788" s="14" t="str">
        <f>IF(
    OR(ISBLANK(moras[[#This Row],[TIPO_ASEGURAMIENTO]]), moras[[#This Row],[TIPO_ASEGURAMIENTO]]=""),
    EDA!$A$32,
    moras[[#This Row],[TIPO_ASEGURAMIENTO]]
)</f>
        <v>ASALARIADO</v>
      </c>
    </row>
    <row r="2789" spans="1:16" x14ac:dyDescent="0.3">
      <c r="A2789">
        <v>2788</v>
      </c>
      <c r="B2789" t="s">
        <v>15</v>
      </c>
      <c r="C2789">
        <v>278030</v>
      </c>
      <c r="D2789" t="s">
        <v>19</v>
      </c>
      <c r="E2789" t="s">
        <v>16</v>
      </c>
      <c r="F2789" t="s">
        <v>12</v>
      </c>
      <c r="G2789" t="s">
        <v>13</v>
      </c>
      <c r="H2789" t="s">
        <v>13</v>
      </c>
      <c r="I2789">
        <v>25</v>
      </c>
      <c r="J2789">
        <f>ABS((I2789-EDA!$A$15)/EDA!$B$15)</f>
        <v>1.1983402984526204</v>
      </c>
      <c r="K2789" t="str">
        <f t="shared" si="43"/>
        <v>No</v>
      </c>
      <c r="L2789">
        <f>ABS((C2789-EDA!$F$15)/EDA!$G$15)</f>
        <v>0.37102735674304993</v>
      </c>
      <c r="M2789" t="str">
        <f>IF(moras[[#This Row],[Z-Score Salario]]&gt;1.96, "Sí", "No")</f>
        <v>No</v>
      </c>
      <c r="N2789" s="14">
        <f>IF(ISBLANK(moras[[#This Row],[SALARIO]]), EDA!$M$8, moras[[#This Row],[SALARIO]])</f>
        <v>278030</v>
      </c>
      <c r="O2789" s="14">
        <f xml:space="preserve"> IF(ISBLANK(moras[[#This Row],[EDAD]]), EDA!$E$8, moras[[#This Row],[EDAD]])</f>
        <v>25</v>
      </c>
      <c r="P2789" s="14" t="str">
        <f>IF(
    OR(ISBLANK(moras[[#This Row],[TIPO_ASEGURAMIENTO]]), moras[[#This Row],[TIPO_ASEGURAMIENTO]]=""),
    EDA!$A$32,
    moras[[#This Row],[TIPO_ASEGURAMIENTO]]
)</f>
        <v>CONVENIOS ESPECIALES DE TRABAJADORES INDEPENDIENTES</v>
      </c>
    </row>
    <row r="2790" spans="1:16" x14ac:dyDescent="0.3">
      <c r="A2790">
        <v>2789</v>
      </c>
      <c r="B2790" t="s">
        <v>15</v>
      </c>
      <c r="C2790">
        <v>1725833</v>
      </c>
      <c r="D2790" t="s">
        <v>10</v>
      </c>
      <c r="E2790" t="s">
        <v>11</v>
      </c>
      <c r="F2790" t="s">
        <v>12</v>
      </c>
      <c r="G2790" t="s">
        <v>13</v>
      </c>
      <c r="H2790" t="s">
        <v>13</v>
      </c>
      <c r="I2790">
        <v>54</v>
      </c>
      <c r="J2790">
        <f>ABS((I2790-EDA!$A$15)/EDA!$B$15)</f>
        <v>0.84834427378436728</v>
      </c>
      <c r="K2790" t="str">
        <f t="shared" si="43"/>
        <v>No</v>
      </c>
      <c r="L2790">
        <f>ABS((C2790-EDA!$F$15)/EDA!$G$15)</f>
        <v>0.34693489280125311</v>
      </c>
      <c r="M2790" t="str">
        <f>IF(moras[[#This Row],[Z-Score Salario]]&gt;1.96, "Sí", "No")</f>
        <v>No</v>
      </c>
      <c r="N2790" s="14">
        <f>IF(ISBLANK(moras[[#This Row],[SALARIO]]), EDA!$M$8, moras[[#This Row],[SALARIO]])</f>
        <v>1725833</v>
      </c>
      <c r="O2790" s="14">
        <f xml:space="preserve"> IF(ISBLANK(moras[[#This Row],[EDAD]]), EDA!$E$8, moras[[#This Row],[EDAD]])</f>
        <v>54</v>
      </c>
      <c r="P2790" s="14" t="str">
        <f>IF(
    OR(ISBLANK(moras[[#This Row],[TIPO_ASEGURAMIENTO]]), moras[[#This Row],[TIPO_ASEGURAMIENTO]]=""),
    EDA!$A$32,
    moras[[#This Row],[TIPO_ASEGURAMIENTO]]
)</f>
        <v>ASALARIADO</v>
      </c>
    </row>
    <row r="2791" spans="1:16" x14ac:dyDescent="0.3">
      <c r="A2791">
        <v>2790</v>
      </c>
      <c r="B2791" t="s">
        <v>9</v>
      </c>
      <c r="C2791">
        <v>12131145</v>
      </c>
      <c r="D2791" t="s">
        <v>10</v>
      </c>
      <c r="E2791" t="s">
        <v>11</v>
      </c>
      <c r="F2791" t="s">
        <v>12</v>
      </c>
      <c r="G2791" t="s">
        <v>13</v>
      </c>
      <c r="H2791" t="s">
        <v>13</v>
      </c>
      <c r="I2791">
        <v>39</v>
      </c>
      <c r="J2791">
        <f>ABS((I2791-EDA!$A$15)/EDA!$B$15)</f>
        <v>0.21028567737269524</v>
      </c>
      <c r="K2791" t="str">
        <f t="shared" si="43"/>
        <v>No</v>
      </c>
      <c r="L2791">
        <f>ABS((C2791-EDA!$F$15)/EDA!$G$15)</f>
        <v>0.17378315588459689</v>
      </c>
      <c r="M2791" t="str">
        <f>IF(moras[[#This Row],[Z-Score Salario]]&gt;1.96, "Sí", "No")</f>
        <v>No</v>
      </c>
      <c r="N2791" s="14">
        <f>IF(ISBLANK(moras[[#This Row],[SALARIO]]), EDA!$M$8, moras[[#This Row],[SALARIO]])</f>
        <v>12131145</v>
      </c>
      <c r="O2791" s="14">
        <f xml:space="preserve"> IF(ISBLANK(moras[[#This Row],[EDAD]]), EDA!$E$8, moras[[#This Row],[EDAD]])</f>
        <v>39</v>
      </c>
      <c r="P2791" s="14" t="str">
        <f>IF(
    OR(ISBLANK(moras[[#This Row],[TIPO_ASEGURAMIENTO]]), moras[[#This Row],[TIPO_ASEGURAMIENTO]]=""),
    EDA!$A$32,
    moras[[#This Row],[TIPO_ASEGURAMIENTO]]
)</f>
        <v>ASALARIADO</v>
      </c>
    </row>
    <row r="2792" spans="1:16" x14ac:dyDescent="0.3">
      <c r="A2792">
        <v>2791</v>
      </c>
      <c r="B2792" t="s">
        <v>15</v>
      </c>
      <c r="C2792">
        <v>335772</v>
      </c>
      <c r="D2792" t="s">
        <v>10</v>
      </c>
      <c r="E2792" t="s">
        <v>11</v>
      </c>
      <c r="F2792" t="s">
        <v>12</v>
      </c>
      <c r="G2792" t="s">
        <v>13</v>
      </c>
      <c r="H2792" t="s">
        <v>12</v>
      </c>
      <c r="I2792">
        <v>51</v>
      </c>
      <c r="J2792">
        <f>ABS((I2792-EDA!$A$15)/EDA!$B$15)</f>
        <v>0.6366182835529548</v>
      </c>
      <c r="K2792" t="str">
        <f t="shared" si="43"/>
        <v>No</v>
      </c>
      <c r="L2792">
        <f>ABS((C2792-EDA!$F$15)/EDA!$G$15)</f>
        <v>0.37006648910226786</v>
      </c>
      <c r="M2792" t="str">
        <f>IF(moras[[#This Row],[Z-Score Salario]]&gt;1.96, "Sí", "No")</f>
        <v>No</v>
      </c>
      <c r="N2792" s="14">
        <f>IF(ISBLANK(moras[[#This Row],[SALARIO]]), EDA!$M$8, moras[[#This Row],[SALARIO]])</f>
        <v>335772</v>
      </c>
      <c r="O2792" s="14">
        <f xml:space="preserve"> IF(ISBLANK(moras[[#This Row],[EDAD]]), EDA!$E$8, moras[[#This Row],[EDAD]])</f>
        <v>51</v>
      </c>
      <c r="P2792" s="14" t="str">
        <f>IF(
    OR(ISBLANK(moras[[#This Row],[TIPO_ASEGURAMIENTO]]), moras[[#This Row],[TIPO_ASEGURAMIENTO]]=""),
    EDA!$A$32,
    moras[[#This Row],[TIPO_ASEGURAMIENTO]]
)</f>
        <v>ASALARIADO</v>
      </c>
    </row>
    <row r="2793" spans="1:16" x14ac:dyDescent="0.3">
      <c r="A2793">
        <v>2792</v>
      </c>
      <c r="B2793" t="s">
        <v>15</v>
      </c>
      <c r="C2793">
        <v>49784764</v>
      </c>
      <c r="D2793" t="s">
        <v>10</v>
      </c>
      <c r="E2793" t="s">
        <v>16</v>
      </c>
      <c r="F2793" t="s">
        <v>12</v>
      </c>
      <c r="G2793" t="s">
        <v>13</v>
      </c>
      <c r="H2793" t="s">
        <v>13</v>
      </c>
      <c r="I2793">
        <v>45</v>
      </c>
      <c r="J2793">
        <f>ABS((I2793-EDA!$A$15)/EDA!$B$15)</f>
        <v>0.21316630309012977</v>
      </c>
      <c r="K2793" t="str">
        <f t="shared" si="43"/>
        <v>No</v>
      </c>
      <c r="L2793">
        <f>ABS((C2793-EDA!$F$15)/EDA!$G$15)</f>
        <v>0.45279964442432308</v>
      </c>
      <c r="M2793" t="str">
        <f>IF(moras[[#This Row],[Z-Score Salario]]&gt;1.96, "Sí", "No")</f>
        <v>No</v>
      </c>
      <c r="N2793" s="14">
        <f>IF(ISBLANK(moras[[#This Row],[SALARIO]]), EDA!$M$8, moras[[#This Row],[SALARIO]])</f>
        <v>49784764</v>
      </c>
      <c r="O2793" s="14">
        <f xml:space="preserve"> IF(ISBLANK(moras[[#This Row],[EDAD]]), EDA!$E$8, moras[[#This Row],[EDAD]])</f>
        <v>45</v>
      </c>
      <c r="P2793" s="14" t="str">
        <f>IF(
    OR(ISBLANK(moras[[#This Row],[TIPO_ASEGURAMIENTO]]), moras[[#This Row],[TIPO_ASEGURAMIENTO]]=""),
    EDA!$A$32,
    moras[[#This Row],[TIPO_ASEGURAMIENTO]]
)</f>
        <v>ASALARIADO</v>
      </c>
    </row>
    <row r="2794" spans="1:16" x14ac:dyDescent="0.3">
      <c r="A2794">
        <v>2793</v>
      </c>
      <c r="B2794" t="s">
        <v>9</v>
      </c>
      <c r="C2794">
        <v>480488</v>
      </c>
      <c r="D2794" t="s">
        <v>10</v>
      </c>
      <c r="E2794" t="s">
        <v>16</v>
      </c>
      <c r="F2794" t="s">
        <v>12</v>
      </c>
      <c r="G2794" t="s">
        <v>12</v>
      </c>
      <c r="H2794" t="s">
        <v>13</v>
      </c>
      <c r="I2794">
        <v>23</v>
      </c>
      <c r="J2794">
        <f>ABS((I2794-EDA!$A$15)/EDA!$B$15)</f>
        <v>1.3394909586068953</v>
      </c>
      <c r="K2794" t="str">
        <f t="shared" si="43"/>
        <v>No</v>
      </c>
      <c r="L2794">
        <f>ABS((C2794-EDA!$F$15)/EDA!$G$15)</f>
        <v>0.36765831270547833</v>
      </c>
      <c r="M2794" t="str">
        <f>IF(moras[[#This Row],[Z-Score Salario]]&gt;1.96, "Sí", "No")</f>
        <v>No</v>
      </c>
      <c r="N2794" s="14">
        <f>IF(ISBLANK(moras[[#This Row],[SALARIO]]), EDA!$M$8, moras[[#This Row],[SALARIO]])</f>
        <v>480488</v>
      </c>
      <c r="O2794" s="14">
        <f xml:space="preserve"> IF(ISBLANK(moras[[#This Row],[EDAD]]), EDA!$E$8, moras[[#This Row],[EDAD]])</f>
        <v>23</v>
      </c>
      <c r="P2794" s="14" t="str">
        <f>IF(
    OR(ISBLANK(moras[[#This Row],[TIPO_ASEGURAMIENTO]]), moras[[#This Row],[TIPO_ASEGURAMIENTO]]=""),
    EDA!$A$32,
    moras[[#This Row],[TIPO_ASEGURAMIENTO]]
)</f>
        <v>ASALARIADO</v>
      </c>
    </row>
    <row r="2795" spans="1:16" x14ac:dyDescent="0.3">
      <c r="A2795">
        <v>2794</v>
      </c>
      <c r="B2795" t="s">
        <v>9</v>
      </c>
      <c r="C2795">
        <v>35954427</v>
      </c>
      <c r="D2795" t="s">
        <v>21</v>
      </c>
      <c r="E2795" t="s">
        <v>16</v>
      </c>
      <c r="F2795" t="s">
        <v>12</v>
      </c>
      <c r="G2795" t="s">
        <v>12</v>
      </c>
      <c r="H2795" t="s">
        <v>13</v>
      </c>
      <c r="I2795">
        <v>61</v>
      </c>
      <c r="J2795">
        <f>ABS((I2795-EDA!$A$15)/EDA!$B$15)</f>
        <v>1.3423715843243298</v>
      </c>
      <c r="K2795" t="str">
        <f t="shared" si="43"/>
        <v>No</v>
      </c>
      <c r="L2795">
        <f>ABS((C2795-EDA!$F$15)/EDA!$G$15)</f>
        <v>0.22265307374074372</v>
      </c>
      <c r="M2795" t="str">
        <f>IF(moras[[#This Row],[Z-Score Salario]]&gt;1.96, "Sí", "No")</f>
        <v>No</v>
      </c>
      <c r="N2795" s="14">
        <f>IF(ISBLANK(moras[[#This Row],[SALARIO]]), EDA!$M$8, moras[[#This Row],[SALARIO]])</f>
        <v>35954427</v>
      </c>
      <c r="O2795" s="14">
        <f xml:space="preserve"> IF(ISBLANK(moras[[#This Row],[EDAD]]), EDA!$E$8, moras[[#This Row],[EDAD]])</f>
        <v>61</v>
      </c>
      <c r="P2795" s="14" t="str">
        <f>IF(
    OR(ISBLANK(moras[[#This Row],[TIPO_ASEGURAMIENTO]]), moras[[#This Row],[TIPO_ASEGURAMIENTO]]=""),
    EDA!$A$32,
    moras[[#This Row],[TIPO_ASEGURAMIENTO]]
)</f>
        <v>CONVENIOS ESPECIALES DE ASEGURADOS VOLUNTARIOS</v>
      </c>
    </row>
    <row r="2796" spans="1:16" x14ac:dyDescent="0.3">
      <c r="A2796">
        <v>2795</v>
      </c>
      <c r="B2796" t="s">
        <v>15</v>
      </c>
      <c r="C2796">
        <v>602634</v>
      </c>
      <c r="D2796" t="s">
        <v>10</v>
      </c>
      <c r="E2796" t="s">
        <v>11</v>
      </c>
      <c r="F2796" t="s">
        <v>12</v>
      </c>
      <c r="G2796" t="s">
        <v>13</v>
      </c>
      <c r="H2796" t="s">
        <v>13</v>
      </c>
      <c r="I2796">
        <v>35</v>
      </c>
      <c r="J2796">
        <f>ABS((I2796-EDA!$A$15)/EDA!$B$15)</f>
        <v>0.49258699768124525</v>
      </c>
      <c r="K2796" t="str">
        <f t="shared" si="43"/>
        <v>No</v>
      </c>
      <c r="L2796">
        <f>ABS((C2796-EDA!$F$15)/EDA!$G$15)</f>
        <v>0.36562571704112706</v>
      </c>
      <c r="M2796" t="str">
        <f>IF(moras[[#This Row],[Z-Score Salario]]&gt;1.96, "Sí", "No")</f>
        <v>No</v>
      </c>
      <c r="N2796" s="14">
        <f>IF(ISBLANK(moras[[#This Row],[SALARIO]]), EDA!$M$8, moras[[#This Row],[SALARIO]])</f>
        <v>602634</v>
      </c>
      <c r="O2796" s="14">
        <f xml:space="preserve"> IF(ISBLANK(moras[[#This Row],[EDAD]]), EDA!$E$8, moras[[#This Row],[EDAD]])</f>
        <v>35</v>
      </c>
      <c r="P2796" s="14" t="str">
        <f>IF(
    OR(ISBLANK(moras[[#This Row],[TIPO_ASEGURAMIENTO]]), moras[[#This Row],[TIPO_ASEGURAMIENTO]]=""),
    EDA!$A$32,
    moras[[#This Row],[TIPO_ASEGURAMIENTO]]
)</f>
        <v>ASALARIADO</v>
      </c>
    </row>
    <row r="2797" spans="1:16" x14ac:dyDescent="0.3">
      <c r="A2797">
        <v>2796</v>
      </c>
      <c r="B2797" t="s">
        <v>15</v>
      </c>
      <c r="C2797">
        <v>297046</v>
      </c>
      <c r="D2797" t="s">
        <v>18</v>
      </c>
      <c r="E2797" t="s">
        <v>16</v>
      </c>
      <c r="F2797" t="s">
        <v>12</v>
      </c>
      <c r="G2797" t="s">
        <v>13</v>
      </c>
      <c r="H2797" t="s">
        <v>13</v>
      </c>
      <c r="I2797">
        <v>43</v>
      </c>
      <c r="J2797">
        <f>ABS((I2797-EDA!$A$15)/EDA!$B$15)</f>
        <v>7.2015642935854773E-2</v>
      </c>
      <c r="K2797" t="str">
        <f t="shared" si="43"/>
        <v>No</v>
      </c>
      <c r="L2797">
        <f>ABS((C2797-EDA!$F$15)/EDA!$G$15)</f>
        <v>0.37071091707942361</v>
      </c>
      <c r="M2797" t="str">
        <f>IF(moras[[#This Row],[Z-Score Salario]]&gt;1.96, "Sí", "No")</f>
        <v>No</v>
      </c>
      <c r="N2797" s="14">
        <f>IF(ISBLANK(moras[[#This Row],[SALARIO]]), EDA!$M$8, moras[[#This Row],[SALARIO]])</f>
        <v>297046</v>
      </c>
      <c r="O2797" s="14">
        <f xml:space="preserve"> IF(ISBLANK(moras[[#This Row],[EDAD]]), EDA!$E$8, moras[[#This Row],[EDAD]])</f>
        <v>43</v>
      </c>
      <c r="P2797" s="14" t="str">
        <f>IF(
    OR(ISBLANK(moras[[#This Row],[TIPO_ASEGURAMIENTO]]), moras[[#This Row],[TIPO_ASEGURAMIENTO]]=""),
    EDA!$A$32,
    moras[[#This Row],[TIPO_ASEGURAMIENTO]]
)</f>
        <v>TRABAJADOR INDEPENDIENTE</v>
      </c>
    </row>
    <row r="2798" spans="1:16" x14ac:dyDescent="0.3">
      <c r="A2798">
        <v>2797</v>
      </c>
      <c r="B2798" t="s">
        <v>15</v>
      </c>
      <c r="C2798">
        <v>184014675</v>
      </c>
      <c r="D2798" t="s">
        <v>10</v>
      </c>
      <c r="E2798" t="s">
        <v>11</v>
      </c>
      <c r="F2798" t="s">
        <v>12</v>
      </c>
      <c r="G2798" t="s">
        <v>13</v>
      </c>
      <c r="H2798" t="s">
        <v>13</v>
      </c>
      <c r="I2798">
        <v>49</v>
      </c>
      <c r="J2798">
        <f>ABS((I2798-EDA!$A$15)/EDA!$B$15)</f>
        <v>0.49546762339867978</v>
      </c>
      <c r="K2798" t="str">
        <f t="shared" si="43"/>
        <v>No</v>
      </c>
      <c r="L2798">
        <f>ABS((C2798-EDA!$F$15)/EDA!$G$15)</f>
        <v>2.6864801179957238</v>
      </c>
      <c r="M2798" t="str">
        <f>IF(moras[[#This Row],[Z-Score Salario]]&gt;1.96, "Sí", "No")</f>
        <v>Sí</v>
      </c>
      <c r="N2798" s="14">
        <f>IF(ISBLANK(moras[[#This Row],[SALARIO]]), EDA!$M$8, moras[[#This Row],[SALARIO]])</f>
        <v>184014675</v>
      </c>
      <c r="O2798" s="14">
        <f xml:space="preserve"> IF(ISBLANK(moras[[#This Row],[EDAD]]), EDA!$E$8, moras[[#This Row],[EDAD]])</f>
        <v>49</v>
      </c>
      <c r="P2798" s="14" t="str">
        <f>IF(
    OR(ISBLANK(moras[[#This Row],[TIPO_ASEGURAMIENTO]]), moras[[#This Row],[TIPO_ASEGURAMIENTO]]=""),
    EDA!$A$32,
    moras[[#This Row],[TIPO_ASEGURAMIENTO]]
)</f>
        <v>ASALARIADO</v>
      </c>
    </row>
    <row r="2799" spans="1:16" x14ac:dyDescent="0.3">
      <c r="A2799">
        <v>2798</v>
      </c>
      <c r="B2799" t="s">
        <v>15</v>
      </c>
      <c r="C2799">
        <v>297046</v>
      </c>
      <c r="D2799" t="s">
        <v>17</v>
      </c>
      <c r="E2799" t="s">
        <v>16</v>
      </c>
      <c r="F2799" t="s">
        <v>12</v>
      </c>
      <c r="G2799" t="s">
        <v>13</v>
      </c>
      <c r="H2799" t="s">
        <v>13</v>
      </c>
      <c r="I2799">
        <v>62</v>
      </c>
      <c r="J2799">
        <f>ABS((I2799-EDA!$A$15)/EDA!$B$15)</f>
        <v>1.4129469144014672</v>
      </c>
      <c r="K2799" t="str">
        <f t="shared" si="43"/>
        <v>No</v>
      </c>
      <c r="L2799">
        <f>ABS((C2799-EDA!$F$15)/EDA!$G$15)</f>
        <v>0.37071091707942361</v>
      </c>
      <c r="M2799" t="str">
        <f>IF(moras[[#This Row],[Z-Score Salario]]&gt;1.96, "Sí", "No")</f>
        <v>No</v>
      </c>
      <c r="N2799" s="14">
        <f>IF(ISBLANK(moras[[#This Row],[SALARIO]]), EDA!$M$8, moras[[#This Row],[SALARIO]])</f>
        <v>297046</v>
      </c>
      <c r="O2799" s="14">
        <f xml:space="preserve"> IF(ISBLANK(moras[[#This Row],[EDAD]]), EDA!$E$8, moras[[#This Row],[EDAD]])</f>
        <v>62</v>
      </c>
      <c r="P2799" s="14" t="str">
        <f>IF(
    OR(ISBLANK(moras[[#This Row],[TIPO_ASEGURAMIENTO]]), moras[[#This Row],[TIPO_ASEGURAMIENTO]]=""),
    EDA!$A$32,
    moras[[#This Row],[TIPO_ASEGURAMIENTO]]
)</f>
        <v>ASEGURADO VOLUNTARIO</v>
      </c>
    </row>
    <row r="2800" spans="1:16" x14ac:dyDescent="0.3">
      <c r="A2800">
        <v>2799</v>
      </c>
      <c r="B2800" t="s">
        <v>15</v>
      </c>
      <c r="C2800">
        <v>358000</v>
      </c>
      <c r="D2800" t="s">
        <v>10</v>
      </c>
      <c r="E2800" t="s">
        <v>16</v>
      </c>
      <c r="F2800" t="s">
        <v>12</v>
      </c>
      <c r="G2800" t="s">
        <v>12</v>
      </c>
      <c r="H2800" t="s">
        <v>13</v>
      </c>
      <c r="I2800">
        <v>29</v>
      </c>
      <c r="J2800">
        <f>ABS((I2800-EDA!$A$15)/EDA!$B$15)</f>
        <v>0.91603897814407031</v>
      </c>
      <c r="K2800" t="str">
        <f t="shared" si="43"/>
        <v>No</v>
      </c>
      <c r="L2800">
        <f>ABS((C2800-EDA!$F$15)/EDA!$G$15)</f>
        <v>0.3696965994912515</v>
      </c>
      <c r="M2800" t="str">
        <f>IF(moras[[#This Row],[Z-Score Salario]]&gt;1.96, "Sí", "No")</f>
        <v>No</v>
      </c>
      <c r="N2800" s="14">
        <f>IF(ISBLANK(moras[[#This Row],[SALARIO]]), EDA!$M$8, moras[[#This Row],[SALARIO]])</f>
        <v>358000</v>
      </c>
      <c r="O2800" s="14">
        <f xml:space="preserve"> IF(ISBLANK(moras[[#This Row],[EDAD]]), EDA!$E$8, moras[[#This Row],[EDAD]])</f>
        <v>29</v>
      </c>
      <c r="P2800" s="14" t="str">
        <f>IF(
    OR(ISBLANK(moras[[#This Row],[TIPO_ASEGURAMIENTO]]), moras[[#This Row],[TIPO_ASEGURAMIENTO]]=""),
    EDA!$A$32,
    moras[[#This Row],[TIPO_ASEGURAMIENTO]]
)</f>
        <v>ASALARIADO</v>
      </c>
    </row>
    <row r="2801" spans="1:16" x14ac:dyDescent="0.3">
      <c r="A2801">
        <v>2800</v>
      </c>
      <c r="B2801" t="s">
        <v>9</v>
      </c>
      <c r="C2801">
        <v>436134</v>
      </c>
      <c r="D2801" t="s">
        <v>10</v>
      </c>
      <c r="E2801" t="s">
        <v>16</v>
      </c>
      <c r="F2801" t="s">
        <v>12</v>
      </c>
      <c r="G2801" t="s">
        <v>13</v>
      </c>
      <c r="H2801" t="s">
        <v>13</v>
      </c>
      <c r="I2801">
        <v>23</v>
      </c>
      <c r="J2801">
        <f>ABS((I2801-EDA!$A$15)/EDA!$B$15)</f>
        <v>1.3394909586068953</v>
      </c>
      <c r="K2801" t="str">
        <f t="shared" si="43"/>
        <v>No</v>
      </c>
      <c r="L2801">
        <f>ABS((C2801-EDA!$F$15)/EDA!$G$15)</f>
        <v>0.36839639457550788</v>
      </c>
      <c r="M2801" t="str">
        <f>IF(moras[[#This Row],[Z-Score Salario]]&gt;1.96, "Sí", "No")</f>
        <v>No</v>
      </c>
      <c r="N2801" s="14">
        <f>IF(ISBLANK(moras[[#This Row],[SALARIO]]), EDA!$M$8, moras[[#This Row],[SALARIO]])</f>
        <v>436134</v>
      </c>
      <c r="O2801" s="14">
        <f xml:space="preserve"> IF(ISBLANK(moras[[#This Row],[EDAD]]), EDA!$E$8, moras[[#This Row],[EDAD]])</f>
        <v>23</v>
      </c>
      <c r="P2801" s="14" t="str">
        <f>IF(
    OR(ISBLANK(moras[[#This Row],[TIPO_ASEGURAMIENTO]]), moras[[#This Row],[TIPO_ASEGURAMIENTO]]=""),
    EDA!$A$32,
    moras[[#This Row],[TIPO_ASEGURAMIENTO]]
)</f>
        <v>ASALARIADO</v>
      </c>
    </row>
    <row r="2802" spans="1:16" x14ac:dyDescent="0.3">
      <c r="A2802">
        <v>2801</v>
      </c>
      <c r="B2802" t="s">
        <v>9</v>
      </c>
      <c r="C2802">
        <v>375277</v>
      </c>
      <c r="D2802" t="s">
        <v>10</v>
      </c>
      <c r="E2802" t="s">
        <v>11</v>
      </c>
      <c r="F2802" t="s">
        <v>12</v>
      </c>
      <c r="G2802" t="s">
        <v>13</v>
      </c>
      <c r="H2802" t="s">
        <v>12</v>
      </c>
      <c r="I2802">
        <v>54</v>
      </c>
      <c r="J2802">
        <f>ABS((I2802-EDA!$A$15)/EDA!$B$15)</f>
        <v>0.84834427378436728</v>
      </c>
      <c r="K2802" t="str">
        <f t="shared" si="43"/>
        <v>No</v>
      </c>
      <c r="L2802">
        <f>ABS((C2802-EDA!$F$15)/EDA!$G$15)</f>
        <v>0.36940909801520649</v>
      </c>
      <c r="M2802" t="str">
        <f>IF(moras[[#This Row],[Z-Score Salario]]&gt;1.96, "Sí", "No")</f>
        <v>No</v>
      </c>
      <c r="N2802" s="14">
        <f>IF(ISBLANK(moras[[#This Row],[SALARIO]]), EDA!$M$8, moras[[#This Row],[SALARIO]])</f>
        <v>375277</v>
      </c>
      <c r="O2802" s="14">
        <f xml:space="preserve"> IF(ISBLANK(moras[[#This Row],[EDAD]]), EDA!$E$8, moras[[#This Row],[EDAD]])</f>
        <v>54</v>
      </c>
      <c r="P2802" s="14" t="str">
        <f>IF(
    OR(ISBLANK(moras[[#This Row],[TIPO_ASEGURAMIENTO]]), moras[[#This Row],[TIPO_ASEGURAMIENTO]]=""),
    EDA!$A$32,
    moras[[#This Row],[TIPO_ASEGURAMIENTO]]
)</f>
        <v>ASALARIADO</v>
      </c>
    </row>
    <row r="2803" spans="1:16" x14ac:dyDescent="0.3">
      <c r="A2803">
        <v>2802</v>
      </c>
      <c r="B2803" t="s">
        <v>9</v>
      </c>
      <c r="C2803">
        <v>1037264</v>
      </c>
      <c r="D2803" t="s">
        <v>10</v>
      </c>
      <c r="E2803" t="s">
        <v>16</v>
      </c>
      <c r="F2803" t="s">
        <v>12</v>
      </c>
      <c r="G2803" t="s">
        <v>13</v>
      </c>
      <c r="H2803" t="s">
        <v>13</v>
      </c>
      <c r="I2803">
        <v>36</v>
      </c>
      <c r="J2803">
        <f>ABS((I2803-EDA!$A$15)/EDA!$B$15)</f>
        <v>0.42201166760410774</v>
      </c>
      <c r="K2803" t="str">
        <f t="shared" si="43"/>
        <v>No</v>
      </c>
      <c r="L2803">
        <f>ABS((C2803-EDA!$F$15)/EDA!$G$15)</f>
        <v>0.35839316703050883</v>
      </c>
      <c r="M2803" t="str">
        <f>IF(moras[[#This Row],[Z-Score Salario]]&gt;1.96, "Sí", "No")</f>
        <v>No</v>
      </c>
      <c r="N2803" s="14">
        <f>IF(ISBLANK(moras[[#This Row],[SALARIO]]), EDA!$M$8, moras[[#This Row],[SALARIO]])</f>
        <v>1037264</v>
      </c>
      <c r="O2803" s="14">
        <f xml:space="preserve"> IF(ISBLANK(moras[[#This Row],[EDAD]]), EDA!$E$8, moras[[#This Row],[EDAD]])</f>
        <v>36</v>
      </c>
      <c r="P2803" s="14" t="str">
        <f>IF(
    OR(ISBLANK(moras[[#This Row],[TIPO_ASEGURAMIENTO]]), moras[[#This Row],[TIPO_ASEGURAMIENTO]]=""),
    EDA!$A$32,
    moras[[#This Row],[TIPO_ASEGURAMIENTO]]
)</f>
        <v>ASALARIADO</v>
      </c>
    </row>
    <row r="2804" spans="1:16" x14ac:dyDescent="0.3">
      <c r="A2804">
        <v>2803</v>
      </c>
      <c r="B2804" t="s">
        <v>9</v>
      </c>
      <c r="C2804">
        <v>70000</v>
      </c>
      <c r="D2804" t="s">
        <v>10</v>
      </c>
      <c r="E2804" t="s">
        <v>16</v>
      </c>
      <c r="F2804" t="s">
        <v>12</v>
      </c>
      <c r="G2804" t="s">
        <v>13</v>
      </c>
      <c r="H2804" t="s">
        <v>13</v>
      </c>
      <c r="I2804">
        <v>47</v>
      </c>
      <c r="J2804">
        <f>ABS((I2804-EDA!$A$15)/EDA!$B$15)</f>
        <v>0.35431696324440481</v>
      </c>
      <c r="K2804" t="str">
        <f t="shared" si="43"/>
        <v>No</v>
      </c>
      <c r="L2804">
        <f>ABS((C2804-EDA!$F$15)/EDA!$G$15)</f>
        <v>0.37448912279396429</v>
      </c>
      <c r="M2804" t="str">
        <f>IF(moras[[#This Row],[Z-Score Salario]]&gt;1.96, "Sí", "No")</f>
        <v>No</v>
      </c>
      <c r="N2804" s="14">
        <f>IF(ISBLANK(moras[[#This Row],[SALARIO]]), EDA!$M$8, moras[[#This Row],[SALARIO]])</f>
        <v>70000</v>
      </c>
      <c r="O2804" s="14">
        <f xml:space="preserve"> IF(ISBLANK(moras[[#This Row],[EDAD]]), EDA!$E$8, moras[[#This Row],[EDAD]])</f>
        <v>47</v>
      </c>
      <c r="P2804" s="14" t="str">
        <f>IF(
    OR(ISBLANK(moras[[#This Row],[TIPO_ASEGURAMIENTO]]), moras[[#This Row],[TIPO_ASEGURAMIENTO]]=""),
    EDA!$A$32,
    moras[[#This Row],[TIPO_ASEGURAMIENTO]]
)</f>
        <v>ASALARIADO</v>
      </c>
    </row>
    <row r="2805" spans="1:16" x14ac:dyDescent="0.3">
      <c r="A2805">
        <v>2804</v>
      </c>
      <c r="B2805" t="s">
        <v>9</v>
      </c>
      <c r="C2805">
        <v>38326576</v>
      </c>
      <c r="D2805" t="s">
        <v>10</v>
      </c>
      <c r="E2805" t="s">
        <v>16</v>
      </c>
      <c r="F2805" t="s">
        <v>12</v>
      </c>
      <c r="G2805" t="s">
        <v>13</v>
      </c>
      <c r="H2805" t="s">
        <v>13</v>
      </c>
      <c r="I2805">
        <v>56</v>
      </c>
      <c r="J2805">
        <f>ABS((I2805-EDA!$A$15)/EDA!$B$15)</f>
        <v>0.9894949339386423</v>
      </c>
      <c r="K2805" t="str">
        <f t="shared" si="43"/>
        <v>No</v>
      </c>
      <c r="L2805">
        <f>ABS((C2805-EDA!$F$15)/EDA!$G$15)</f>
        <v>0.26212730762965636</v>
      </c>
      <c r="M2805" t="str">
        <f>IF(moras[[#This Row],[Z-Score Salario]]&gt;1.96, "Sí", "No")</f>
        <v>No</v>
      </c>
      <c r="N2805" s="14">
        <f>IF(ISBLANK(moras[[#This Row],[SALARIO]]), EDA!$M$8, moras[[#This Row],[SALARIO]])</f>
        <v>38326576</v>
      </c>
      <c r="O2805" s="14">
        <f xml:space="preserve"> IF(ISBLANK(moras[[#This Row],[EDAD]]), EDA!$E$8, moras[[#This Row],[EDAD]])</f>
        <v>56</v>
      </c>
      <c r="P2805" s="14" t="str">
        <f>IF(
    OR(ISBLANK(moras[[#This Row],[TIPO_ASEGURAMIENTO]]), moras[[#This Row],[TIPO_ASEGURAMIENTO]]=""),
    EDA!$A$32,
    moras[[#This Row],[TIPO_ASEGURAMIENTO]]
)</f>
        <v>ASALARIADO</v>
      </c>
    </row>
    <row r="2806" spans="1:16" x14ac:dyDescent="0.3">
      <c r="A2806">
        <v>2805</v>
      </c>
      <c r="B2806" t="s">
        <v>9</v>
      </c>
      <c r="C2806">
        <v>1302821</v>
      </c>
      <c r="D2806" t="s">
        <v>10</v>
      </c>
      <c r="E2806" t="s">
        <v>11</v>
      </c>
      <c r="F2806" t="s">
        <v>12</v>
      </c>
      <c r="G2806" t="s">
        <v>13</v>
      </c>
      <c r="H2806" t="s">
        <v>13</v>
      </c>
      <c r="I2806">
        <v>42</v>
      </c>
      <c r="J2806">
        <f>ABS((I2806-EDA!$A$15)/EDA!$B$15)</f>
        <v>1.4403128587172659E-3</v>
      </c>
      <c r="K2806" t="str">
        <f t="shared" si="43"/>
        <v>No</v>
      </c>
      <c r="L2806">
        <f>ABS((C2806-EDA!$F$15)/EDA!$G$15)</f>
        <v>0.35397411109058347</v>
      </c>
      <c r="M2806" t="str">
        <f>IF(moras[[#This Row],[Z-Score Salario]]&gt;1.96, "Sí", "No")</f>
        <v>No</v>
      </c>
      <c r="N2806" s="14">
        <f>IF(ISBLANK(moras[[#This Row],[SALARIO]]), EDA!$M$8, moras[[#This Row],[SALARIO]])</f>
        <v>1302821</v>
      </c>
      <c r="O2806" s="14">
        <f xml:space="preserve"> IF(ISBLANK(moras[[#This Row],[EDAD]]), EDA!$E$8, moras[[#This Row],[EDAD]])</f>
        <v>42</v>
      </c>
      <c r="P2806" s="14" t="str">
        <f>IF(
    OR(ISBLANK(moras[[#This Row],[TIPO_ASEGURAMIENTO]]), moras[[#This Row],[TIPO_ASEGURAMIENTO]]=""),
    EDA!$A$32,
    moras[[#This Row],[TIPO_ASEGURAMIENTO]]
)</f>
        <v>ASALARIADO</v>
      </c>
    </row>
    <row r="2807" spans="1:16" x14ac:dyDescent="0.3">
      <c r="A2807">
        <v>2806</v>
      </c>
      <c r="B2807" t="s">
        <v>15</v>
      </c>
      <c r="C2807">
        <v>385886</v>
      </c>
      <c r="D2807" t="s">
        <v>14</v>
      </c>
      <c r="E2807" t="s">
        <v>11</v>
      </c>
      <c r="F2807" t="s">
        <v>12</v>
      </c>
      <c r="G2807" t="s">
        <v>13</v>
      </c>
      <c r="H2807" t="s">
        <v>13</v>
      </c>
      <c r="I2807">
        <v>73</v>
      </c>
      <c r="J2807">
        <f>ABS((I2807-EDA!$A$15)/EDA!$B$15)</f>
        <v>2.1892755452499797</v>
      </c>
      <c r="K2807" t="str">
        <f t="shared" si="43"/>
        <v>Sí</v>
      </c>
      <c r="L2807">
        <f>ABS((C2807-EDA!$F$15)/EDA!$G$15)</f>
        <v>0.36923255676618399</v>
      </c>
      <c r="M2807" t="str">
        <f>IF(moras[[#This Row],[Z-Score Salario]]&gt;1.96, "Sí", "No")</f>
        <v>No</v>
      </c>
      <c r="N2807" s="14">
        <f>IF(ISBLANK(moras[[#This Row],[SALARIO]]), EDA!$M$8, moras[[#This Row],[SALARIO]])</f>
        <v>385886</v>
      </c>
      <c r="O2807" s="14">
        <f xml:space="preserve"> IF(ISBLANK(moras[[#This Row],[EDAD]]), EDA!$E$8, moras[[#This Row],[EDAD]])</f>
        <v>73</v>
      </c>
      <c r="P2807" s="14" t="str">
        <f>IF(
    OR(ISBLANK(moras[[#This Row],[TIPO_ASEGURAMIENTO]]), moras[[#This Row],[TIPO_ASEGURAMIENTO]]=""),
    EDA!$A$32,
    moras[[#This Row],[TIPO_ASEGURAMIENTO]]
)</f>
        <v>PENSIONADOS EN SU PROPIO SISTEMA</v>
      </c>
    </row>
    <row r="2808" spans="1:16" x14ac:dyDescent="0.3">
      <c r="A2808">
        <v>2807</v>
      </c>
      <c r="B2808" t="s">
        <v>9</v>
      </c>
      <c r="C2808">
        <v>297046</v>
      </c>
      <c r="D2808" t="s">
        <v>18</v>
      </c>
      <c r="E2808" t="s">
        <v>16</v>
      </c>
      <c r="F2808" t="s">
        <v>12</v>
      </c>
      <c r="G2808" t="s">
        <v>13</v>
      </c>
      <c r="H2808" t="s">
        <v>12</v>
      </c>
      <c r="I2808">
        <v>39</v>
      </c>
      <c r="J2808">
        <f>ABS((I2808-EDA!$A$15)/EDA!$B$15)</f>
        <v>0.21028567737269524</v>
      </c>
      <c r="K2808" t="str">
        <f t="shared" si="43"/>
        <v>No</v>
      </c>
      <c r="L2808">
        <f>ABS((C2808-EDA!$F$15)/EDA!$G$15)</f>
        <v>0.37071091707942361</v>
      </c>
      <c r="M2808" t="str">
        <f>IF(moras[[#This Row],[Z-Score Salario]]&gt;1.96, "Sí", "No")</f>
        <v>No</v>
      </c>
      <c r="N2808" s="14">
        <f>IF(ISBLANK(moras[[#This Row],[SALARIO]]), EDA!$M$8, moras[[#This Row],[SALARIO]])</f>
        <v>297046</v>
      </c>
      <c r="O2808" s="14">
        <f xml:space="preserve"> IF(ISBLANK(moras[[#This Row],[EDAD]]), EDA!$E$8, moras[[#This Row],[EDAD]])</f>
        <v>39</v>
      </c>
      <c r="P2808" s="14" t="str">
        <f>IF(
    OR(ISBLANK(moras[[#This Row],[TIPO_ASEGURAMIENTO]]), moras[[#This Row],[TIPO_ASEGURAMIENTO]]=""),
    EDA!$A$32,
    moras[[#This Row],[TIPO_ASEGURAMIENTO]]
)</f>
        <v>TRABAJADOR INDEPENDIENTE</v>
      </c>
    </row>
    <row r="2809" spans="1:16" x14ac:dyDescent="0.3">
      <c r="A2809">
        <v>2808</v>
      </c>
      <c r="B2809" t="s">
        <v>9</v>
      </c>
      <c r="C2809">
        <v>500936</v>
      </c>
      <c r="D2809" t="s">
        <v>10</v>
      </c>
      <c r="E2809" t="s">
        <v>11</v>
      </c>
      <c r="F2809" t="s">
        <v>12</v>
      </c>
      <c r="G2809" t="s">
        <v>13</v>
      </c>
      <c r="H2809" t="s">
        <v>13</v>
      </c>
      <c r="I2809">
        <v>32</v>
      </c>
      <c r="J2809">
        <f>ABS((I2809-EDA!$A$15)/EDA!$B$15)</f>
        <v>0.70431298791265773</v>
      </c>
      <c r="K2809" t="str">
        <f t="shared" si="43"/>
        <v>No</v>
      </c>
      <c r="L2809">
        <f>ABS((C2809-EDA!$F$15)/EDA!$G$15)</f>
        <v>0.36731804355098568</v>
      </c>
      <c r="M2809" t="str">
        <f>IF(moras[[#This Row],[Z-Score Salario]]&gt;1.96, "Sí", "No")</f>
        <v>No</v>
      </c>
      <c r="N2809" s="14">
        <f>IF(ISBLANK(moras[[#This Row],[SALARIO]]), EDA!$M$8, moras[[#This Row],[SALARIO]])</f>
        <v>500936</v>
      </c>
      <c r="O2809" s="14">
        <f xml:space="preserve"> IF(ISBLANK(moras[[#This Row],[EDAD]]), EDA!$E$8, moras[[#This Row],[EDAD]])</f>
        <v>32</v>
      </c>
      <c r="P2809" s="14" t="str">
        <f>IF(
    OR(ISBLANK(moras[[#This Row],[TIPO_ASEGURAMIENTO]]), moras[[#This Row],[TIPO_ASEGURAMIENTO]]=""),
    EDA!$A$32,
    moras[[#This Row],[TIPO_ASEGURAMIENTO]]
)</f>
        <v>ASALARIADO</v>
      </c>
    </row>
    <row r="2810" spans="1:16" x14ac:dyDescent="0.3">
      <c r="A2810">
        <v>2809</v>
      </c>
      <c r="B2810" t="s">
        <v>15</v>
      </c>
      <c r="C2810">
        <v>8600365</v>
      </c>
      <c r="D2810" t="s">
        <v>10</v>
      </c>
      <c r="E2810" t="s">
        <v>11</v>
      </c>
      <c r="F2810" t="s">
        <v>12</v>
      </c>
      <c r="G2810" t="s">
        <v>13</v>
      </c>
      <c r="H2810" t="s">
        <v>13</v>
      </c>
      <c r="I2810">
        <v>49</v>
      </c>
      <c r="J2810">
        <f>ABS((I2810-EDA!$A$15)/EDA!$B$15)</f>
        <v>0.49546762339867978</v>
      </c>
      <c r="K2810" t="str">
        <f t="shared" si="43"/>
        <v>No</v>
      </c>
      <c r="L2810">
        <f>ABS((C2810-EDA!$F$15)/EDA!$G$15)</f>
        <v>0.23253782750526444</v>
      </c>
      <c r="M2810" t="str">
        <f>IF(moras[[#This Row],[Z-Score Salario]]&gt;1.96, "Sí", "No")</f>
        <v>No</v>
      </c>
      <c r="N2810" s="14">
        <f>IF(ISBLANK(moras[[#This Row],[SALARIO]]), EDA!$M$8, moras[[#This Row],[SALARIO]])</f>
        <v>8600365</v>
      </c>
      <c r="O2810" s="14">
        <f xml:space="preserve"> IF(ISBLANK(moras[[#This Row],[EDAD]]), EDA!$E$8, moras[[#This Row],[EDAD]])</f>
        <v>49</v>
      </c>
      <c r="P2810" s="14" t="str">
        <f>IF(
    OR(ISBLANK(moras[[#This Row],[TIPO_ASEGURAMIENTO]]), moras[[#This Row],[TIPO_ASEGURAMIENTO]]=""),
    EDA!$A$32,
    moras[[#This Row],[TIPO_ASEGURAMIENTO]]
)</f>
        <v>ASALARIADO</v>
      </c>
    </row>
    <row r="2811" spans="1:16" x14ac:dyDescent="0.3">
      <c r="A2811">
        <v>2810</v>
      </c>
      <c r="B2811" t="s">
        <v>9</v>
      </c>
      <c r="C2811">
        <v>2734507</v>
      </c>
      <c r="D2811" t="s">
        <v>10</v>
      </c>
      <c r="E2811" t="s">
        <v>16</v>
      </c>
      <c r="F2811" t="s">
        <v>12</v>
      </c>
      <c r="G2811" t="s">
        <v>13</v>
      </c>
      <c r="H2811" t="s">
        <v>13</v>
      </c>
      <c r="I2811">
        <v>18</v>
      </c>
      <c r="J2811">
        <f>ABS((I2811-EDA!$A$15)/EDA!$B$15)</f>
        <v>1.6923676089925828</v>
      </c>
      <c r="K2811" t="str">
        <f t="shared" si="43"/>
        <v>No</v>
      </c>
      <c r="L2811">
        <f>ABS((C2811-EDA!$F$15)/EDA!$G$15)</f>
        <v>0.33014984540597353</v>
      </c>
      <c r="M2811" t="str">
        <f>IF(moras[[#This Row],[Z-Score Salario]]&gt;1.96, "Sí", "No")</f>
        <v>No</v>
      </c>
      <c r="N2811" s="14">
        <f>IF(ISBLANK(moras[[#This Row],[SALARIO]]), EDA!$M$8, moras[[#This Row],[SALARIO]])</f>
        <v>2734507</v>
      </c>
      <c r="O2811" s="14">
        <f xml:space="preserve"> IF(ISBLANK(moras[[#This Row],[EDAD]]), EDA!$E$8, moras[[#This Row],[EDAD]])</f>
        <v>18</v>
      </c>
      <c r="P2811" s="14" t="str">
        <f>IF(
    OR(ISBLANK(moras[[#This Row],[TIPO_ASEGURAMIENTO]]), moras[[#This Row],[TIPO_ASEGURAMIENTO]]=""),
    EDA!$A$32,
    moras[[#This Row],[TIPO_ASEGURAMIENTO]]
)</f>
        <v>ASALARIADO</v>
      </c>
    </row>
    <row r="2812" spans="1:16" x14ac:dyDescent="0.3">
      <c r="A2812">
        <v>2811</v>
      </c>
      <c r="B2812" t="s">
        <v>15</v>
      </c>
      <c r="C2812">
        <v>320000</v>
      </c>
      <c r="D2812" t="s">
        <v>10</v>
      </c>
      <c r="E2812" t="s">
        <v>16</v>
      </c>
      <c r="F2812" t="s">
        <v>12</v>
      </c>
      <c r="G2812" t="s">
        <v>13</v>
      </c>
      <c r="H2812" t="s">
        <v>12</v>
      </c>
      <c r="I2812">
        <v>61</v>
      </c>
      <c r="J2812">
        <f>ABS((I2812-EDA!$A$15)/EDA!$B$15)</f>
        <v>1.3423715843243298</v>
      </c>
      <c r="K2812" t="str">
        <f t="shared" si="43"/>
        <v>No</v>
      </c>
      <c r="L2812">
        <f>ABS((C2812-EDA!$F$15)/EDA!$G$15)</f>
        <v>0.37032894631591501</v>
      </c>
      <c r="M2812" t="str">
        <f>IF(moras[[#This Row],[Z-Score Salario]]&gt;1.96, "Sí", "No")</f>
        <v>No</v>
      </c>
      <c r="N2812" s="14">
        <f>IF(ISBLANK(moras[[#This Row],[SALARIO]]), EDA!$M$8, moras[[#This Row],[SALARIO]])</f>
        <v>320000</v>
      </c>
      <c r="O2812" s="14">
        <f xml:space="preserve"> IF(ISBLANK(moras[[#This Row],[EDAD]]), EDA!$E$8, moras[[#This Row],[EDAD]])</f>
        <v>61</v>
      </c>
      <c r="P2812" s="14" t="str">
        <f>IF(
    OR(ISBLANK(moras[[#This Row],[TIPO_ASEGURAMIENTO]]), moras[[#This Row],[TIPO_ASEGURAMIENTO]]=""),
    EDA!$A$32,
    moras[[#This Row],[TIPO_ASEGURAMIENTO]]
)</f>
        <v>ASALARIADO</v>
      </c>
    </row>
    <row r="2813" spans="1:16" x14ac:dyDescent="0.3">
      <c r="A2813">
        <v>2812</v>
      </c>
      <c r="B2813" t="s">
        <v>9</v>
      </c>
      <c r="C2813">
        <v>297046</v>
      </c>
      <c r="D2813" t="s">
        <v>17</v>
      </c>
      <c r="E2813" t="s">
        <v>16</v>
      </c>
      <c r="F2813" t="s">
        <v>12</v>
      </c>
      <c r="G2813" t="s">
        <v>13</v>
      </c>
      <c r="H2813" t="s">
        <v>13</v>
      </c>
      <c r="I2813">
        <v>55</v>
      </c>
      <c r="J2813">
        <f>ABS((I2813-EDA!$A$15)/EDA!$B$15)</f>
        <v>0.91891960386150484</v>
      </c>
      <c r="K2813" t="str">
        <f t="shared" si="43"/>
        <v>No</v>
      </c>
      <c r="L2813">
        <f>ABS((C2813-EDA!$F$15)/EDA!$G$15)</f>
        <v>0.37071091707942361</v>
      </c>
      <c r="M2813" t="str">
        <f>IF(moras[[#This Row],[Z-Score Salario]]&gt;1.96, "Sí", "No")</f>
        <v>No</v>
      </c>
      <c r="N2813" s="14">
        <f>IF(ISBLANK(moras[[#This Row],[SALARIO]]), EDA!$M$8, moras[[#This Row],[SALARIO]])</f>
        <v>297046</v>
      </c>
      <c r="O2813" s="14">
        <f xml:space="preserve"> IF(ISBLANK(moras[[#This Row],[EDAD]]), EDA!$E$8, moras[[#This Row],[EDAD]])</f>
        <v>55</v>
      </c>
      <c r="P2813" s="14" t="str">
        <f>IF(
    OR(ISBLANK(moras[[#This Row],[TIPO_ASEGURAMIENTO]]), moras[[#This Row],[TIPO_ASEGURAMIENTO]]=""),
    EDA!$A$32,
    moras[[#This Row],[TIPO_ASEGURAMIENTO]]
)</f>
        <v>ASEGURADO VOLUNTARIO</v>
      </c>
    </row>
    <row r="2814" spans="1:16" x14ac:dyDescent="0.3">
      <c r="A2814">
        <v>2813</v>
      </c>
      <c r="B2814" t="s">
        <v>15</v>
      </c>
      <c r="C2814">
        <v>208326659</v>
      </c>
      <c r="D2814" t="s">
        <v>10</v>
      </c>
      <c r="E2814" t="s">
        <v>11</v>
      </c>
      <c r="F2814" t="s">
        <v>12</v>
      </c>
      <c r="G2814" t="s">
        <v>13</v>
      </c>
      <c r="H2814" t="s">
        <v>13</v>
      </c>
      <c r="I2814">
        <v>43</v>
      </c>
      <c r="J2814">
        <f>ABS((I2814-EDA!$A$15)/EDA!$B$15)</f>
        <v>7.2015642935854773E-2</v>
      </c>
      <c r="K2814" t="str">
        <f t="shared" si="43"/>
        <v>No</v>
      </c>
      <c r="L2814">
        <f>ABS((C2814-EDA!$F$15)/EDA!$G$15)</f>
        <v>3.091048693881767</v>
      </c>
      <c r="M2814" t="str">
        <f>IF(moras[[#This Row],[Z-Score Salario]]&gt;1.96, "Sí", "No")</f>
        <v>Sí</v>
      </c>
      <c r="N2814" s="14">
        <f>IF(ISBLANK(moras[[#This Row],[SALARIO]]), EDA!$M$8, moras[[#This Row],[SALARIO]])</f>
        <v>208326659</v>
      </c>
      <c r="O2814" s="14">
        <f xml:space="preserve"> IF(ISBLANK(moras[[#This Row],[EDAD]]), EDA!$E$8, moras[[#This Row],[EDAD]])</f>
        <v>43</v>
      </c>
      <c r="P2814" s="14" t="str">
        <f>IF(
    OR(ISBLANK(moras[[#This Row],[TIPO_ASEGURAMIENTO]]), moras[[#This Row],[TIPO_ASEGURAMIENTO]]=""),
    EDA!$A$32,
    moras[[#This Row],[TIPO_ASEGURAMIENTO]]
)</f>
        <v>ASALARIADO</v>
      </c>
    </row>
    <row r="2815" spans="1:16" x14ac:dyDescent="0.3">
      <c r="A2815">
        <v>2814</v>
      </c>
      <c r="B2815" t="s">
        <v>9</v>
      </c>
      <c r="C2815">
        <v>349790</v>
      </c>
      <c r="D2815" t="s">
        <v>10</v>
      </c>
      <c r="E2815" t="s">
        <v>16</v>
      </c>
      <c r="F2815" t="s">
        <v>12</v>
      </c>
      <c r="G2815" t="s">
        <v>12</v>
      </c>
      <c r="H2815" t="s">
        <v>13</v>
      </c>
      <c r="I2815">
        <v>20</v>
      </c>
      <c r="J2815">
        <f>ABS((I2815-EDA!$A$15)/EDA!$B$15)</f>
        <v>1.5512169488383079</v>
      </c>
      <c r="K2815" t="str">
        <f t="shared" si="43"/>
        <v>No</v>
      </c>
      <c r="L2815">
        <f>ABS((C2815-EDA!$F$15)/EDA!$G$15)</f>
        <v>0.36983321968679067</v>
      </c>
      <c r="M2815" t="str">
        <f>IF(moras[[#This Row],[Z-Score Salario]]&gt;1.96, "Sí", "No")</f>
        <v>No</v>
      </c>
      <c r="N2815" s="14">
        <f>IF(ISBLANK(moras[[#This Row],[SALARIO]]), EDA!$M$8, moras[[#This Row],[SALARIO]])</f>
        <v>349790</v>
      </c>
      <c r="O2815" s="14">
        <f xml:space="preserve"> IF(ISBLANK(moras[[#This Row],[EDAD]]), EDA!$E$8, moras[[#This Row],[EDAD]])</f>
        <v>20</v>
      </c>
      <c r="P2815" s="14" t="str">
        <f>IF(
    OR(ISBLANK(moras[[#This Row],[TIPO_ASEGURAMIENTO]]), moras[[#This Row],[TIPO_ASEGURAMIENTO]]=""),
    EDA!$A$32,
    moras[[#This Row],[TIPO_ASEGURAMIENTO]]
)</f>
        <v>ASALARIADO</v>
      </c>
    </row>
    <row r="2816" spans="1:16" x14ac:dyDescent="0.3">
      <c r="A2816">
        <v>2815</v>
      </c>
      <c r="B2816" t="s">
        <v>15</v>
      </c>
      <c r="C2816">
        <v>682608</v>
      </c>
      <c r="D2816" t="s">
        <v>10</v>
      </c>
      <c r="E2816" t="s">
        <v>16</v>
      </c>
      <c r="F2816" t="s">
        <v>12</v>
      </c>
      <c r="G2816" t="s">
        <v>13</v>
      </c>
      <c r="H2816" t="s">
        <v>13</v>
      </c>
      <c r="I2816">
        <v>29</v>
      </c>
      <c r="J2816">
        <f>ABS((I2816-EDA!$A$15)/EDA!$B$15)</f>
        <v>0.91603897814407031</v>
      </c>
      <c r="K2816" t="str">
        <f t="shared" si="43"/>
        <v>No</v>
      </c>
      <c r="L2816">
        <f>ABS((C2816-EDA!$F$15)/EDA!$G$15)</f>
        <v>0.36429489322650499</v>
      </c>
      <c r="M2816" t="str">
        <f>IF(moras[[#This Row],[Z-Score Salario]]&gt;1.96, "Sí", "No")</f>
        <v>No</v>
      </c>
      <c r="N2816" s="14">
        <f>IF(ISBLANK(moras[[#This Row],[SALARIO]]), EDA!$M$8, moras[[#This Row],[SALARIO]])</f>
        <v>682608</v>
      </c>
      <c r="O2816" s="14">
        <f xml:space="preserve"> IF(ISBLANK(moras[[#This Row],[EDAD]]), EDA!$E$8, moras[[#This Row],[EDAD]])</f>
        <v>29</v>
      </c>
      <c r="P2816" s="14" t="str">
        <f>IF(
    OR(ISBLANK(moras[[#This Row],[TIPO_ASEGURAMIENTO]]), moras[[#This Row],[TIPO_ASEGURAMIENTO]]=""),
    EDA!$A$32,
    moras[[#This Row],[TIPO_ASEGURAMIENTO]]
)</f>
        <v>ASALARIADO</v>
      </c>
    </row>
    <row r="2817" spans="1:16" x14ac:dyDescent="0.3">
      <c r="A2817">
        <v>2816</v>
      </c>
      <c r="B2817" t="s">
        <v>9</v>
      </c>
      <c r="C2817">
        <v>1203600</v>
      </c>
      <c r="D2817" t="s">
        <v>10</v>
      </c>
      <c r="E2817" t="s">
        <v>16</v>
      </c>
      <c r="F2817" t="s">
        <v>12</v>
      </c>
      <c r="G2817" t="s">
        <v>13</v>
      </c>
      <c r="H2817" t="s">
        <v>13</v>
      </c>
      <c r="I2817">
        <v>41</v>
      </c>
      <c r="J2817">
        <f>ABS((I2817-EDA!$A$15)/EDA!$B$15)</f>
        <v>6.9135017218420233E-2</v>
      </c>
      <c r="K2817" t="str">
        <f t="shared" si="43"/>
        <v>No</v>
      </c>
      <c r="L2817">
        <f>ABS((C2817-EDA!$F$15)/EDA!$G$15)</f>
        <v>0.35562521857189761</v>
      </c>
      <c r="M2817" t="str">
        <f>IF(moras[[#This Row],[Z-Score Salario]]&gt;1.96, "Sí", "No")</f>
        <v>No</v>
      </c>
      <c r="N2817" s="14">
        <f>IF(ISBLANK(moras[[#This Row],[SALARIO]]), EDA!$M$8, moras[[#This Row],[SALARIO]])</f>
        <v>1203600</v>
      </c>
      <c r="O2817" s="14">
        <f xml:space="preserve"> IF(ISBLANK(moras[[#This Row],[EDAD]]), EDA!$E$8, moras[[#This Row],[EDAD]])</f>
        <v>41</v>
      </c>
      <c r="P2817" s="14" t="str">
        <f>IF(
    OR(ISBLANK(moras[[#This Row],[TIPO_ASEGURAMIENTO]]), moras[[#This Row],[TIPO_ASEGURAMIENTO]]=""),
    EDA!$A$32,
    moras[[#This Row],[TIPO_ASEGURAMIENTO]]
)</f>
        <v>ASALARIADO</v>
      </c>
    </row>
    <row r="2818" spans="1:16" x14ac:dyDescent="0.3">
      <c r="A2818">
        <v>2817</v>
      </c>
      <c r="B2818" t="s">
        <v>15</v>
      </c>
      <c r="C2818">
        <v>72811438</v>
      </c>
      <c r="D2818" t="s">
        <v>10</v>
      </c>
      <c r="E2818" t="s">
        <v>16</v>
      </c>
      <c r="F2818" t="s">
        <v>12</v>
      </c>
      <c r="G2818" t="s">
        <v>13</v>
      </c>
      <c r="H2818" t="s">
        <v>13</v>
      </c>
      <c r="I2818">
        <v>46</v>
      </c>
      <c r="J2818">
        <f>ABS((I2818-EDA!$A$15)/EDA!$B$15)</f>
        <v>0.2837416331672673</v>
      </c>
      <c r="K2818" t="str">
        <f t="shared" ref="K2818:K2881" si="44">IF(J2818 &gt;  1.96, "Sí","No")</f>
        <v>No</v>
      </c>
      <c r="L2818">
        <f>ABS((C2818-EDA!$F$15)/EDA!$G$15)</f>
        <v>0.83597975459436014</v>
      </c>
      <c r="M2818" t="str">
        <f>IF(moras[[#This Row],[Z-Score Salario]]&gt;1.96, "Sí", "No")</f>
        <v>No</v>
      </c>
      <c r="N2818" s="14">
        <f>IF(ISBLANK(moras[[#This Row],[SALARIO]]), EDA!$M$8, moras[[#This Row],[SALARIO]])</f>
        <v>72811438</v>
      </c>
      <c r="O2818" s="14">
        <f xml:space="preserve"> IF(ISBLANK(moras[[#This Row],[EDAD]]), EDA!$E$8, moras[[#This Row],[EDAD]])</f>
        <v>46</v>
      </c>
      <c r="P2818" s="14" t="str">
        <f>IF(
    OR(ISBLANK(moras[[#This Row],[TIPO_ASEGURAMIENTO]]), moras[[#This Row],[TIPO_ASEGURAMIENTO]]=""),
    EDA!$A$32,
    moras[[#This Row],[TIPO_ASEGURAMIENTO]]
)</f>
        <v>ASALARIADO</v>
      </c>
    </row>
    <row r="2819" spans="1:16" x14ac:dyDescent="0.3">
      <c r="A2819">
        <v>2818</v>
      </c>
      <c r="B2819" t="s">
        <v>9</v>
      </c>
      <c r="C2819">
        <v>56833333</v>
      </c>
      <c r="D2819" t="s">
        <v>10</v>
      </c>
      <c r="E2819" t="s">
        <v>16</v>
      </c>
      <c r="F2819" t="s">
        <v>12</v>
      </c>
      <c r="G2819" t="s">
        <v>13</v>
      </c>
      <c r="H2819" t="s">
        <v>13</v>
      </c>
      <c r="I2819">
        <v>20</v>
      </c>
      <c r="J2819">
        <f>ABS((I2819-EDA!$A$15)/EDA!$B$15)</f>
        <v>1.5512169488383079</v>
      </c>
      <c r="K2819" t="str">
        <f t="shared" si="44"/>
        <v>No</v>
      </c>
      <c r="L2819">
        <f>ABS((C2819-EDA!$F$15)/EDA!$G$15)</f>
        <v>0.57009280825515285</v>
      </c>
      <c r="M2819" t="str">
        <f>IF(moras[[#This Row],[Z-Score Salario]]&gt;1.96, "Sí", "No")</f>
        <v>No</v>
      </c>
      <c r="N2819" s="14">
        <f>IF(ISBLANK(moras[[#This Row],[SALARIO]]), EDA!$M$8, moras[[#This Row],[SALARIO]])</f>
        <v>56833333</v>
      </c>
      <c r="O2819" s="14">
        <f xml:space="preserve"> IF(ISBLANK(moras[[#This Row],[EDAD]]), EDA!$E$8, moras[[#This Row],[EDAD]])</f>
        <v>20</v>
      </c>
      <c r="P2819" s="14" t="str">
        <f>IF(
    OR(ISBLANK(moras[[#This Row],[TIPO_ASEGURAMIENTO]]), moras[[#This Row],[TIPO_ASEGURAMIENTO]]=""),
    EDA!$A$32,
    moras[[#This Row],[TIPO_ASEGURAMIENTO]]
)</f>
        <v>ASALARIADO</v>
      </c>
    </row>
    <row r="2820" spans="1:16" x14ac:dyDescent="0.3">
      <c r="A2820">
        <v>2819</v>
      </c>
      <c r="B2820" t="s">
        <v>15</v>
      </c>
      <c r="C2820">
        <v>340654</v>
      </c>
      <c r="D2820" t="s">
        <v>10</v>
      </c>
      <c r="E2820" t="s">
        <v>16</v>
      </c>
      <c r="F2820" t="s">
        <v>12</v>
      </c>
      <c r="G2820" t="s">
        <v>13</v>
      </c>
      <c r="H2820" t="s">
        <v>13</v>
      </c>
      <c r="I2820">
        <v>45</v>
      </c>
      <c r="J2820">
        <f>ABS((I2820-EDA!$A$15)/EDA!$B$15)</f>
        <v>0.21316630309012977</v>
      </c>
      <c r="K2820" t="str">
        <f t="shared" si="44"/>
        <v>No</v>
      </c>
      <c r="L2820">
        <f>ABS((C2820-EDA!$F$15)/EDA!$G$15)</f>
        <v>0.3699852491760045</v>
      </c>
      <c r="M2820" t="str">
        <f>IF(moras[[#This Row],[Z-Score Salario]]&gt;1.96, "Sí", "No")</f>
        <v>No</v>
      </c>
      <c r="N2820" s="14">
        <f>IF(ISBLANK(moras[[#This Row],[SALARIO]]), EDA!$M$8, moras[[#This Row],[SALARIO]])</f>
        <v>340654</v>
      </c>
      <c r="O2820" s="14">
        <f xml:space="preserve"> IF(ISBLANK(moras[[#This Row],[EDAD]]), EDA!$E$8, moras[[#This Row],[EDAD]])</f>
        <v>45</v>
      </c>
      <c r="P2820" s="14" t="str">
        <f>IF(
    OR(ISBLANK(moras[[#This Row],[TIPO_ASEGURAMIENTO]]), moras[[#This Row],[TIPO_ASEGURAMIENTO]]=""),
    EDA!$A$32,
    moras[[#This Row],[TIPO_ASEGURAMIENTO]]
)</f>
        <v>ASALARIADO</v>
      </c>
    </row>
    <row r="2821" spans="1:16" x14ac:dyDescent="0.3">
      <c r="A2821">
        <v>2820</v>
      </c>
      <c r="B2821" t="s">
        <v>15</v>
      </c>
      <c r="C2821">
        <v>18812081</v>
      </c>
      <c r="D2821" t="s">
        <v>14</v>
      </c>
      <c r="E2821" t="s">
        <v>11</v>
      </c>
      <c r="F2821" t="s">
        <v>12</v>
      </c>
      <c r="G2821" t="s">
        <v>13</v>
      </c>
      <c r="H2821" t="s">
        <v>13</v>
      </c>
      <c r="I2821">
        <v>75</v>
      </c>
      <c r="J2821">
        <f>ABS((I2821-EDA!$A$15)/EDA!$B$15)</f>
        <v>2.330426205404255</v>
      </c>
      <c r="K2821" t="str">
        <f t="shared" si="44"/>
        <v>Sí</v>
      </c>
      <c r="L2821">
        <f>ABS((C2821-EDA!$F$15)/EDA!$G$15)</f>
        <v>6.2607664690385922E-2</v>
      </c>
      <c r="M2821" t="str">
        <f>IF(moras[[#This Row],[Z-Score Salario]]&gt;1.96, "Sí", "No")</f>
        <v>No</v>
      </c>
      <c r="N2821" s="14">
        <f>IF(ISBLANK(moras[[#This Row],[SALARIO]]), EDA!$M$8, moras[[#This Row],[SALARIO]])</f>
        <v>18812081</v>
      </c>
      <c r="O2821" s="14">
        <f xml:space="preserve"> IF(ISBLANK(moras[[#This Row],[EDAD]]), EDA!$E$8, moras[[#This Row],[EDAD]])</f>
        <v>75</v>
      </c>
      <c r="P2821" s="14" t="str">
        <f>IF(
    OR(ISBLANK(moras[[#This Row],[TIPO_ASEGURAMIENTO]]), moras[[#This Row],[TIPO_ASEGURAMIENTO]]=""),
    EDA!$A$32,
    moras[[#This Row],[TIPO_ASEGURAMIENTO]]
)</f>
        <v>PENSIONADOS EN SU PROPIO SISTEMA</v>
      </c>
    </row>
    <row r="2822" spans="1:16" x14ac:dyDescent="0.3">
      <c r="A2822">
        <v>2821</v>
      </c>
      <c r="B2822" t="s">
        <v>9</v>
      </c>
      <c r="C2822">
        <v>639148</v>
      </c>
      <c r="D2822" t="s">
        <v>18</v>
      </c>
      <c r="E2822" t="s">
        <v>16</v>
      </c>
      <c r="F2822" t="s">
        <v>12</v>
      </c>
      <c r="G2822" t="s">
        <v>13</v>
      </c>
      <c r="H2822" t="s">
        <v>12</v>
      </c>
      <c r="I2822">
        <v>67</v>
      </c>
      <c r="J2822">
        <f>ABS((I2822-EDA!$A$15)/EDA!$B$15)</f>
        <v>1.765823564787155</v>
      </c>
      <c r="K2822" t="str">
        <f t="shared" si="44"/>
        <v>No</v>
      </c>
      <c r="L2822">
        <f>ABS((C2822-EDA!$F$15)/EDA!$G$15)</f>
        <v>0.36501809830544912</v>
      </c>
      <c r="M2822" t="str">
        <f>IF(moras[[#This Row],[Z-Score Salario]]&gt;1.96, "Sí", "No")</f>
        <v>No</v>
      </c>
      <c r="N2822" s="14">
        <f>IF(ISBLANK(moras[[#This Row],[SALARIO]]), EDA!$M$8, moras[[#This Row],[SALARIO]])</f>
        <v>639148</v>
      </c>
      <c r="O2822" s="14">
        <f xml:space="preserve"> IF(ISBLANK(moras[[#This Row],[EDAD]]), EDA!$E$8, moras[[#This Row],[EDAD]])</f>
        <v>67</v>
      </c>
      <c r="P2822" s="14" t="str">
        <f>IF(
    OR(ISBLANK(moras[[#This Row],[TIPO_ASEGURAMIENTO]]), moras[[#This Row],[TIPO_ASEGURAMIENTO]]=""),
    EDA!$A$32,
    moras[[#This Row],[TIPO_ASEGURAMIENTO]]
)</f>
        <v>TRABAJADOR INDEPENDIENTE</v>
      </c>
    </row>
    <row r="2823" spans="1:16" x14ac:dyDescent="0.3">
      <c r="A2823">
        <v>2822</v>
      </c>
      <c r="B2823" t="s">
        <v>9</v>
      </c>
      <c r="C2823">
        <v>76884682</v>
      </c>
      <c r="D2823" t="s">
        <v>10</v>
      </c>
      <c r="E2823" t="s">
        <v>16</v>
      </c>
      <c r="F2823" t="s">
        <v>12</v>
      </c>
      <c r="G2823" t="s">
        <v>13</v>
      </c>
      <c r="H2823" t="s">
        <v>13</v>
      </c>
      <c r="I2823">
        <v>32</v>
      </c>
      <c r="J2823">
        <f>ABS((I2823-EDA!$A$15)/EDA!$B$15)</f>
        <v>0.70431298791265773</v>
      </c>
      <c r="K2823" t="str">
        <f t="shared" si="44"/>
        <v>No</v>
      </c>
      <c r="L2823">
        <f>ABS((C2823-EDA!$F$15)/EDA!$G$15)</f>
        <v>0.90376141010698174</v>
      </c>
      <c r="M2823" t="str">
        <f>IF(moras[[#This Row],[Z-Score Salario]]&gt;1.96, "Sí", "No")</f>
        <v>No</v>
      </c>
      <c r="N2823" s="14">
        <f>IF(ISBLANK(moras[[#This Row],[SALARIO]]), EDA!$M$8, moras[[#This Row],[SALARIO]])</f>
        <v>76884682</v>
      </c>
      <c r="O2823" s="14">
        <f xml:space="preserve"> IF(ISBLANK(moras[[#This Row],[EDAD]]), EDA!$E$8, moras[[#This Row],[EDAD]])</f>
        <v>32</v>
      </c>
      <c r="P2823" s="14" t="str">
        <f>IF(
    OR(ISBLANK(moras[[#This Row],[TIPO_ASEGURAMIENTO]]), moras[[#This Row],[TIPO_ASEGURAMIENTO]]=""),
    EDA!$A$32,
    moras[[#This Row],[TIPO_ASEGURAMIENTO]]
)</f>
        <v>ASALARIADO</v>
      </c>
    </row>
    <row r="2824" spans="1:16" x14ac:dyDescent="0.3">
      <c r="A2824">
        <v>2823</v>
      </c>
      <c r="B2824" t="s">
        <v>15</v>
      </c>
      <c r="C2824">
        <v>1292336</v>
      </c>
      <c r="D2824" t="s">
        <v>10</v>
      </c>
      <c r="E2824" t="s">
        <v>11</v>
      </c>
      <c r="F2824" t="s">
        <v>12</v>
      </c>
      <c r="G2824" t="s">
        <v>13</v>
      </c>
      <c r="H2824" t="s">
        <v>13</v>
      </c>
      <c r="I2824">
        <v>36</v>
      </c>
      <c r="J2824">
        <f>ABS((I2824-EDA!$A$15)/EDA!$B$15)</f>
        <v>0.42201166760410774</v>
      </c>
      <c r="K2824" t="str">
        <f t="shared" si="44"/>
        <v>No</v>
      </c>
      <c r="L2824">
        <f>ABS((C2824-EDA!$F$15)/EDA!$G$15)</f>
        <v>0.35414858889207285</v>
      </c>
      <c r="M2824" t="str">
        <f>IF(moras[[#This Row],[Z-Score Salario]]&gt;1.96, "Sí", "No")</f>
        <v>No</v>
      </c>
      <c r="N2824" s="14">
        <f>IF(ISBLANK(moras[[#This Row],[SALARIO]]), EDA!$M$8, moras[[#This Row],[SALARIO]])</f>
        <v>1292336</v>
      </c>
      <c r="O2824" s="14">
        <f xml:space="preserve"> IF(ISBLANK(moras[[#This Row],[EDAD]]), EDA!$E$8, moras[[#This Row],[EDAD]])</f>
        <v>36</v>
      </c>
      <c r="P2824" s="14" t="str">
        <f>IF(
    OR(ISBLANK(moras[[#This Row],[TIPO_ASEGURAMIENTO]]), moras[[#This Row],[TIPO_ASEGURAMIENTO]]=""),
    EDA!$A$32,
    moras[[#This Row],[TIPO_ASEGURAMIENTO]]
)</f>
        <v>ASALARIADO</v>
      </c>
    </row>
    <row r="2825" spans="1:16" x14ac:dyDescent="0.3">
      <c r="A2825">
        <v>2824</v>
      </c>
      <c r="B2825" t="s">
        <v>9</v>
      </c>
      <c r="C2825">
        <v>813799</v>
      </c>
      <c r="D2825" t="s">
        <v>10</v>
      </c>
      <c r="E2825" t="s">
        <v>11</v>
      </c>
      <c r="F2825" t="s">
        <v>12</v>
      </c>
      <c r="G2825" t="s">
        <v>13</v>
      </c>
      <c r="H2825" t="s">
        <v>13</v>
      </c>
      <c r="I2825">
        <v>43</v>
      </c>
      <c r="J2825">
        <f>ABS((I2825-EDA!$A$15)/EDA!$B$15)</f>
        <v>7.2015642935854773E-2</v>
      </c>
      <c r="K2825" t="str">
        <f t="shared" si="44"/>
        <v>No</v>
      </c>
      <c r="L2825">
        <f>ABS((C2825-EDA!$F$15)/EDA!$G$15)</f>
        <v>0.36211178237717795</v>
      </c>
      <c r="M2825" t="str">
        <f>IF(moras[[#This Row],[Z-Score Salario]]&gt;1.96, "Sí", "No")</f>
        <v>No</v>
      </c>
      <c r="N2825" s="14">
        <f>IF(ISBLANK(moras[[#This Row],[SALARIO]]), EDA!$M$8, moras[[#This Row],[SALARIO]])</f>
        <v>813799</v>
      </c>
      <c r="O2825" s="14">
        <f xml:space="preserve"> IF(ISBLANK(moras[[#This Row],[EDAD]]), EDA!$E$8, moras[[#This Row],[EDAD]])</f>
        <v>43</v>
      </c>
      <c r="P2825" s="14" t="str">
        <f>IF(
    OR(ISBLANK(moras[[#This Row],[TIPO_ASEGURAMIENTO]]), moras[[#This Row],[TIPO_ASEGURAMIENTO]]=""),
    EDA!$A$32,
    moras[[#This Row],[TIPO_ASEGURAMIENTO]]
)</f>
        <v>ASALARIADO</v>
      </c>
    </row>
    <row r="2826" spans="1:16" x14ac:dyDescent="0.3">
      <c r="A2826">
        <v>2825</v>
      </c>
      <c r="B2826" t="s">
        <v>9</v>
      </c>
      <c r="C2826">
        <v>1507112</v>
      </c>
      <c r="D2826" t="s">
        <v>10</v>
      </c>
      <c r="E2826" t="s">
        <v>11</v>
      </c>
      <c r="F2826" t="s">
        <v>12</v>
      </c>
      <c r="G2826" t="s">
        <v>13</v>
      </c>
      <c r="H2826" t="s">
        <v>12</v>
      </c>
      <c r="I2826">
        <v>50</v>
      </c>
      <c r="J2826">
        <f>ABS((I2826-EDA!$A$15)/EDA!$B$15)</f>
        <v>0.56604295347581735</v>
      </c>
      <c r="K2826" t="str">
        <f t="shared" si="44"/>
        <v>No</v>
      </c>
      <c r="L2826">
        <f>ABS((C2826-EDA!$F$15)/EDA!$G$15)</f>
        <v>0.35057456463907477</v>
      </c>
      <c r="M2826" t="str">
        <f>IF(moras[[#This Row],[Z-Score Salario]]&gt;1.96, "Sí", "No")</f>
        <v>No</v>
      </c>
      <c r="N2826" s="14">
        <f>IF(ISBLANK(moras[[#This Row],[SALARIO]]), EDA!$M$8, moras[[#This Row],[SALARIO]])</f>
        <v>1507112</v>
      </c>
      <c r="O2826" s="14">
        <f xml:space="preserve"> IF(ISBLANK(moras[[#This Row],[EDAD]]), EDA!$E$8, moras[[#This Row],[EDAD]])</f>
        <v>50</v>
      </c>
      <c r="P2826" s="14" t="str">
        <f>IF(
    OR(ISBLANK(moras[[#This Row],[TIPO_ASEGURAMIENTO]]), moras[[#This Row],[TIPO_ASEGURAMIENTO]]=""),
    EDA!$A$32,
    moras[[#This Row],[TIPO_ASEGURAMIENTO]]
)</f>
        <v>ASALARIADO</v>
      </c>
    </row>
    <row r="2827" spans="1:16" x14ac:dyDescent="0.3">
      <c r="A2827">
        <v>2826</v>
      </c>
      <c r="B2827" t="s">
        <v>9</v>
      </c>
      <c r="C2827">
        <v>115877694</v>
      </c>
      <c r="D2827" t="s">
        <v>10</v>
      </c>
      <c r="E2827" t="s">
        <v>16</v>
      </c>
      <c r="F2827" t="s">
        <v>12</v>
      </c>
      <c r="G2827" t="s">
        <v>13</v>
      </c>
      <c r="H2827" t="s">
        <v>13</v>
      </c>
      <c r="I2827">
        <v>22</v>
      </c>
      <c r="J2827">
        <f>ABS((I2827-EDA!$A$15)/EDA!$B$15)</f>
        <v>1.4100662886840327</v>
      </c>
      <c r="K2827" t="str">
        <f t="shared" si="44"/>
        <v>No</v>
      </c>
      <c r="L2827">
        <f>ABS((C2827-EDA!$F$15)/EDA!$G$15)</f>
        <v>1.5526326554297571</v>
      </c>
      <c r="M2827" t="str">
        <f>IF(moras[[#This Row],[Z-Score Salario]]&gt;1.96, "Sí", "No")</f>
        <v>No</v>
      </c>
      <c r="N2827" s="14">
        <f>IF(ISBLANK(moras[[#This Row],[SALARIO]]), EDA!$M$8, moras[[#This Row],[SALARIO]])</f>
        <v>115877694</v>
      </c>
      <c r="O2827" s="14">
        <f xml:space="preserve"> IF(ISBLANK(moras[[#This Row],[EDAD]]), EDA!$E$8, moras[[#This Row],[EDAD]])</f>
        <v>22</v>
      </c>
      <c r="P2827" s="14" t="str">
        <f>IF(
    OR(ISBLANK(moras[[#This Row],[TIPO_ASEGURAMIENTO]]), moras[[#This Row],[TIPO_ASEGURAMIENTO]]=""),
    EDA!$A$32,
    moras[[#This Row],[TIPO_ASEGURAMIENTO]]
)</f>
        <v>ASALARIADO</v>
      </c>
    </row>
    <row r="2828" spans="1:16" x14ac:dyDescent="0.3">
      <c r="A2828">
        <v>2827</v>
      </c>
      <c r="B2828" t="s">
        <v>9</v>
      </c>
      <c r="C2828">
        <v>50470531</v>
      </c>
      <c r="D2828" t="s">
        <v>10</v>
      </c>
      <c r="E2828" t="s">
        <v>16</v>
      </c>
      <c r="F2828" t="s">
        <v>12</v>
      </c>
      <c r="G2828" t="s">
        <v>13</v>
      </c>
      <c r="H2828" t="s">
        <v>13</v>
      </c>
      <c r="I2828">
        <v>35</v>
      </c>
      <c r="J2828">
        <f>ABS((I2828-EDA!$A$15)/EDA!$B$15)</f>
        <v>0.49258699768124525</v>
      </c>
      <c r="K2828" t="str">
        <f t="shared" si="44"/>
        <v>No</v>
      </c>
      <c r="L2828">
        <f>ABS((C2828-EDA!$F$15)/EDA!$G$15)</f>
        <v>0.46421129139561279</v>
      </c>
      <c r="M2828" t="str">
        <f>IF(moras[[#This Row],[Z-Score Salario]]&gt;1.96, "Sí", "No")</f>
        <v>No</v>
      </c>
      <c r="N2828" s="14">
        <f>IF(ISBLANK(moras[[#This Row],[SALARIO]]), EDA!$M$8, moras[[#This Row],[SALARIO]])</f>
        <v>50470531</v>
      </c>
      <c r="O2828" s="14">
        <f xml:space="preserve"> IF(ISBLANK(moras[[#This Row],[EDAD]]), EDA!$E$8, moras[[#This Row],[EDAD]])</f>
        <v>35</v>
      </c>
      <c r="P2828" s="14" t="str">
        <f>IF(
    OR(ISBLANK(moras[[#This Row],[TIPO_ASEGURAMIENTO]]), moras[[#This Row],[TIPO_ASEGURAMIENTO]]=""),
    EDA!$A$32,
    moras[[#This Row],[TIPO_ASEGURAMIENTO]]
)</f>
        <v>ASALARIADO</v>
      </c>
    </row>
    <row r="2829" spans="1:16" x14ac:dyDescent="0.3">
      <c r="A2829">
        <v>2828</v>
      </c>
      <c r="B2829" t="s">
        <v>9</v>
      </c>
      <c r="C2829">
        <v>714074</v>
      </c>
      <c r="D2829" t="s">
        <v>10</v>
      </c>
      <c r="E2829" t="s">
        <v>16</v>
      </c>
      <c r="F2829" t="s">
        <v>12</v>
      </c>
      <c r="G2829" t="s">
        <v>13</v>
      </c>
      <c r="H2829" t="s">
        <v>13</v>
      </c>
      <c r="I2829">
        <v>37</v>
      </c>
      <c r="J2829">
        <f>ABS((I2829-EDA!$A$15)/EDA!$B$15)</f>
        <v>0.35143633752697023</v>
      </c>
      <c r="K2829" t="str">
        <f t="shared" si="44"/>
        <v>No</v>
      </c>
      <c r="L2829">
        <f>ABS((C2829-EDA!$F$15)/EDA!$G$15)</f>
        <v>0.36377127677427185</v>
      </c>
      <c r="M2829" t="str">
        <f>IF(moras[[#This Row],[Z-Score Salario]]&gt;1.96, "Sí", "No")</f>
        <v>No</v>
      </c>
      <c r="N2829" s="14">
        <f>IF(ISBLANK(moras[[#This Row],[SALARIO]]), EDA!$M$8, moras[[#This Row],[SALARIO]])</f>
        <v>714074</v>
      </c>
      <c r="O2829" s="14">
        <f xml:space="preserve"> IF(ISBLANK(moras[[#This Row],[EDAD]]), EDA!$E$8, moras[[#This Row],[EDAD]])</f>
        <v>37</v>
      </c>
      <c r="P2829" s="14" t="str">
        <f>IF(
    OR(ISBLANK(moras[[#This Row],[TIPO_ASEGURAMIENTO]]), moras[[#This Row],[TIPO_ASEGURAMIENTO]]=""),
    EDA!$A$32,
    moras[[#This Row],[TIPO_ASEGURAMIENTO]]
)</f>
        <v>ASALARIADO</v>
      </c>
    </row>
    <row r="2830" spans="1:16" x14ac:dyDescent="0.3">
      <c r="A2830">
        <v>2829</v>
      </c>
      <c r="B2830" t="s">
        <v>9</v>
      </c>
      <c r="C2830">
        <v>28318196</v>
      </c>
      <c r="D2830" t="s">
        <v>10</v>
      </c>
      <c r="E2830" t="s">
        <v>16</v>
      </c>
      <c r="F2830" t="s">
        <v>12</v>
      </c>
      <c r="G2830" t="s">
        <v>13</v>
      </c>
      <c r="H2830" t="s">
        <v>13</v>
      </c>
      <c r="I2830">
        <v>50</v>
      </c>
      <c r="J2830">
        <f>ABS((I2830-EDA!$A$15)/EDA!$B$15)</f>
        <v>0.56604295347581735</v>
      </c>
      <c r="K2830" t="str">
        <f t="shared" si="44"/>
        <v>No</v>
      </c>
      <c r="L2830">
        <f>ABS((C2830-EDA!$F$15)/EDA!$G$15)</f>
        <v>9.5580799392140342E-2</v>
      </c>
      <c r="M2830" t="str">
        <f>IF(moras[[#This Row],[Z-Score Salario]]&gt;1.96, "Sí", "No")</f>
        <v>No</v>
      </c>
      <c r="N2830" s="14">
        <f>IF(ISBLANK(moras[[#This Row],[SALARIO]]), EDA!$M$8, moras[[#This Row],[SALARIO]])</f>
        <v>28318196</v>
      </c>
      <c r="O2830" s="14">
        <f xml:space="preserve"> IF(ISBLANK(moras[[#This Row],[EDAD]]), EDA!$E$8, moras[[#This Row],[EDAD]])</f>
        <v>50</v>
      </c>
      <c r="P2830" s="14" t="str">
        <f>IF(
    OR(ISBLANK(moras[[#This Row],[TIPO_ASEGURAMIENTO]]), moras[[#This Row],[TIPO_ASEGURAMIENTO]]=""),
    EDA!$A$32,
    moras[[#This Row],[TIPO_ASEGURAMIENTO]]
)</f>
        <v>ASALARIADO</v>
      </c>
    </row>
    <row r="2831" spans="1:16" x14ac:dyDescent="0.3">
      <c r="A2831">
        <v>2830</v>
      </c>
      <c r="B2831" t="s">
        <v>9</v>
      </c>
      <c r="C2831">
        <v>52897051</v>
      </c>
      <c r="D2831" t="s">
        <v>10</v>
      </c>
      <c r="E2831" t="s">
        <v>16</v>
      </c>
      <c r="F2831" t="s">
        <v>12</v>
      </c>
      <c r="G2831" t="s">
        <v>13</v>
      </c>
      <c r="H2831" t="s">
        <v>13</v>
      </c>
      <c r="I2831">
        <v>59</v>
      </c>
      <c r="J2831">
        <f>ABS((I2831-EDA!$A$15)/EDA!$B$15)</f>
        <v>1.2012209241700549</v>
      </c>
      <c r="K2831" t="str">
        <f t="shared" si="44"/>
        <v>No</v>
      </c>
      <c r="L2831">
        <f>ABS((C2831-EDA!$F$15)/EDA!$G$15)</f>
        <v>0.50459029710567749</v>
      </c>
      <c r="M2831" t="str">
        <f>IF(moras[[#This Row],[Z-Score Salario]]&gt;1.96, "Sí", "No")</f>
        <v>No</v>
      </c>
      <c r="N2831" s="14">
        <f>IF(ISBLANK(moras[[#This Row],[SALARIO]]), EDA!$M$8, moras[[#This Row],[SALARIO]])</f>
        <v>52897051</v>
      </c>
      <c r="O2831" s="14">
        <f xml:space="preserve"> IF(ISBLANK(moras[[#This Row],[EDAD]]), EDA!$E$8, moras[[#This Row],[EDAD]])</f>
        <v>59</v>
      </c>
      <c r="P2831" s="14" t="str">
        <f>IF(
    OR(ISBLANK(moras[[#This Row],[TIPO_ASEGURAMIENTO]]), moras[[#This Row],[TIPO_ASEGURAMIENTO]]=""),
    EDA!$A$32,
    moras[[#This Row],[TIPO_ASEGURAMIENTO]]
)</f>
        <v>ASALARIADO</v>
      </c>
    </row>
    <row r="2832" spans="1:16" x14ac:dyDescent="0.3">
      <c r="A2832">
        <v>2831</v>
      </c>
      <c r="B2832" t="s">
        <v>9</v>
      </c>
      <c r="C2832">
        <v>310124</v>
      </c>
      <c r="D2832" t="s">
        <v>18</v>
      </c>
      <c r="E2832" t="s">
        <v>16</v>
      </c>
      <c r="F2832" t="s">
        <v>12</v>
      </c>
      <c r="G2832" t="s">
        <v>13</v>
      </c>
      <c r="H2832" t="s">
        <v>12</v>
      </c>
      <c r="I2832">
        <v>29</v>
      </c>
      <c r="J2832">
        <f>ABS((I2832-EDA!$A$15)/EDA!$B$15)</f>
        <v>0.91603897814407031</v>
      </c>
      <c r="K2832" t="str">
        <f t="shared" si="44"/>
        <v>No</v>
      </c>
      <c r="L2832">
        <f>ABS((C2832-EDA!$F$15)/EDA!$G$15)</f>
        <v>0.37049328992750385</v>
      </c>
      <c r="M2832" t="str">
        <f>IF(moras[[#This Row],[Z-Score Salario]]&gt;1.96, "Sí", "No")</f>
        <v>No</v>
      </c>
      <c r="N2832" s="14">
        <f>IF(ISBLANK(moras[[#This Row],[SALARIO]]), EDA!$M$8, moras[[#This Row],[SALARIO]])</f>
        <v>310124</v>
      </c>
      <c r="O2832" s="14">
        <f xml:space="preserve"> IF(ISBLANK(moras[[#This Row],[EDAD]]), EDA!$E$8, moras[[#This Row],[EDAD]])</f>
        <v>29</v>
      </c>
      <c r="P2832" s="14" t="str">
        <f>IF(
    OR(ISBLANK(moras[[#This Row],[TIPO_ASEGURAMIENTO]]), moras[[#This Row],[TIPO_ASEGURAMIENTO]]=""),
    EDA!$A$32,
    moras[[#This Row],[TIPO_ASEGURAMIENTO]]
)</f>
        <v>TRABAJADOR INDEPENDIENTE</v>
      </c>
    </row>
    <row r="2833" spans="1:16" x14ac:dyDescent="0.3">
      <c r="A2833">
        <v>2832</v>
      </c>
      <c r="B2833" t="s">
        <v>15</v>
      </c>
      <c r="C2833">
        <v>371911</v>
      </c>
      <c r="D2833" t="s">
        <v>10</v>
      </c>
      <c r="E2833" t="s">
        <v>11</v>
      </c>
      <c r="F2833" t="s">
        <v>12</v>
      </c>
      <c r="G2833" t="s">
        <v>13</v>
      </c>
      <c r="H2833" t="s">
        <v>13</v>
      </c>
      <c r="I2833">
        <v>33</v>
      </c>
      <c r="J2833">
        <f>ABS((I2833-EDA!$A$15)/EDA!$B$15)</f>
        <v>0.63373765783552027</v>
      </c>
      <c r="K2833" t="str">
        <f t="shared" si="44"/>
        <v>No</v>
      </c>
      <c r="L2833">
        <f>ABS((C2833-EDA!$F$15)/EDA!$G$15)</f>
        <v>0.36946511063130694</v>
      </c>
      <c r="M2833" t="str">
        <f>IF(moras[[#This Row],[Z-Score Salario]]&gt;1.96, "Sí", "No")</f>
        <v>No</v>
      </c>
      <c r="N2833" s="14">
        <f>IF(ISBLANK(moras[[#This Row],[SALARIO]]), EDA!$M$8, moras[[#This Row],[SALARIO]])</f>
        <v>371911</v>
      </c>
      <c r="O2833" s="14">
        <f xml:space="preserve"> IF(ISBLANK(moras[[#This Row],[EDAD]]), EDA!$E$8, moras[[#This Row],[EDAD]])</f>
        <v>33</v>
      </c>
      <c r="P2833" s="14" t="str">
        <f>IF(
    OR(ISBLANK(moras[[#This Row],[TIPO_ASEGURAMIENTO]]), moras[[#This Row],[TIPO_ASEGURAMIENTO]]=""),
    EDA!$A$32,
    moras[[#This Row],[TIPO_ASEGURAMIENTO]]
)</f>
        <v>ASALARIADO</v>
      </c>
    </row>
    <row r="2834" spans="1:16" x14ac:dyDescent="0.3">
      <c r="A2834">
        <v>2833</v>
      </c>
      <c r="B2834" t="s">
        <v>9</v>
      </c>
      <c r="C2834">
        <v>220575</v>
      </c>
      <c r="D2834" t="s">
        <v>10</v>
      </c>
      <c r="E2834" t="s">
        <v>16</v>
      </c>
      <c r="F2834" t="s">
        <v>12</v>
      </c>
      <c r="G2834" t="s">
        <v>12</v>
      </c>
      <c r="H2834" t="s">
        <v>13</v>
      </c>
      <c r="I2834">
        <v>48</v>
      </c>
      <c r="J2834">
        <f>ABS((I2834-EDA!$A$15)/EDA!$B$15)</f>
        <v>0.42489229332154227</v>
      </c>
      <c r="K2834" t="str">
        <f t="shared" si="44"/>
        <v>No</v>
      </c>
      <c r="L2834">
        <f>ABS((C2834-EDA!$F$15)/EDA!$G$15)</f>
        <v>0.37198344850123521</v>
      </c>
      <c r="M2834" t="str">
        <f>IF(moras[[#This Row],[Z-Score Salario]]&gt;1.96, "Sí", "No")</f>
        <v>No</v>
      </c>
      <c r="N2834" s="14">
        <f>IF(ISBLANK(moras[[#This Row],[SALARIO]]), EDA!$M$8, moras[[#This Row],[SALARIO]])</f>
        <v>220575</v>
      </c>
      <c r="O2834" s="14">
        <f xml:space="preserve"> IF(ISBLANK(moras[[#This Row],[EDAD]]), EDA!$E$8, moras[[#This Row],[EDAD]])</f>
        <v>48</v>
      </c>
      <c r="P2834" s="14" t="str">
        <f>IF(
    OR(ISBLANK(moras[[#This Row],[TIPO_ASEGURAMIENTO]]), moras[[#This Row],[TIPO_ASEGURAMIENTO]]=""),
    EDA!$A$32,
    moras[[#This Row],[TIPO_ASEGURAMIENTO]]
)</f>
        <v>ASALARIADO</v>
      </c>
    </row>
    <row r="2835" spans="1:16" x14ac:dyDescent="0.3">
      <c r="A2835">
        <v>2834</v>
      </c>
      <c r="B2835" t="s">
        <v>9</v>
      </c>
      <c r="C2835">
        <v>233662</v>
      </c>
      <c r="D2835" t="s">
        <v>10</v>
      </c>
      <c r="E2835" t="s">
        <v>16</v>
      </c>
      <c r="F2835" t="s">
        <v>12</v>
      </c>
      <c r="G2835" t="s">
        <v>13</v>
      </c>
      <c r="H2835" t="s">
        <v>12</v>
      </c>
      <c r="I2835">
        <v>32</v>
      </c>
      <c r="J2835">
        <f>ABS((I2835-EDA!$A$15)/EDA!$B$15)</f>
        <v>0.70431298791265773</v>
      </c>
      <c r="K2835" t="str">
        <f t="shared" si="44"/>
        <v>No</v>
      </c>
      <c r="L2835">
        <f>ABS((C2835-EDA!$F$15)/EDA!$G$15)</f>
        <v>0.37176567158296231</v>
      </c>
      <c r="M2835" t="str">
        <f>IF(moras[[#This Row],[Z-Score Salario]]&gt;1.96, "Sí", "No")</f>
        <v>No</v>
      </c>
      <c r="N2835" s="14">
        <f>IF(ISBLANK(moras[[#This Row],[SALARIO]]), EDA!$M$8, moras[[#This Row],[SALARIO]])</f>
        <v>233662</v>
      </c>
      <c r="O2835" s="14">
        <f xml:space="preserve"> IF(ISBLANK(moras[[#This Row],[EDAD]]), EDA!$E$8, moras[[#This Row],[EDAD]])</f>
        <v>32</v>
      </c>
      <c r="P2835" s="14" t="str">
        <f>IF(
    OR(ISBLANK(moras[[#This Row],[TIPO_ASEGURAMIENTO]]), moras[[#This Row],[TIPO_ASEGURAMIENTO]]=""),
    EDA!$A$32,
    moras[[#This Row],[TIPO_ASEGURAMIENTO]]
)</f>
        <v>ASALARIADO</v>
      </c>
    </row>
    <row r="2836" spans="1:16" x14ac:dyDescent="0.3">
      <c r="A2836">
        <v>2835</v>
      </c>
      <c r="B2836" t="s">
        <v>9</v>
      </c>
      <c r="C2836">
        <v>448447</v>
      </c>
      <c r="D2836" t="s">
        <v>10</v>
      </c>
      <c r="E2836" t="s">
        <v>16</v>
      </c>
      <c r="F2836" t="s">
        <v>12</v>
      </c>
      <c r="G2836" t="s">
        <v>13</v>
      </c>
      <c r="H2836" t="s">
        <v>13</v>
      </c>
      <c r="I2836">
        <v>41</v>
      </c>
      <c r="J2836">
        <f>ABS((I2836-EDA!$A$15)/EDA!$B$15)</f>
        <v>6.9135017218420233E-2</v>
      </c>
      <c r="K2836" t="str">
        <f t="shared" si="44"/>
        <v>No</v>
      </c>
      <c r="L2836">
        <f>ABS((C2836-EDA!$F$15)/EDA!$G$15)</f>
        <v>0.36819149756361103</v>
      </c>
      <c r="M2836" t="str">
        <f>IF(moras[[#This Row],[Z-Score Salario]]&gt;1.96, "Sí", "No")</f>
        <v>No</v>
      </c>
      <c r="N2836" s="14">
        <f>IF(ISBLANK(moras[[#This Row],[SALARIO]]), EDA!$M$8, moras[[#This Row],[SALARIO]])</f>
        <v>448447</v>
      </c>
      <c r="O2836" s="14">
        <f xml:space="preserve"> IF(ISBLANK(moras[[#This Row],[EDAD]]), EDA!$E$8, moras[[#This Row],[EDAD]])</f>
        <v>41</v>
      </c>
      <c r="P2836" s="14" t="str">
        <f>IF(
    OR(ISBLANK(moras[[#This Row],[TIPO_ASEGURAMIENTO]]), moras[[#This Row],[TIPO_ASEGURAMIENTO]]=""),
    EDA!$A$32,
    moras[[#This Row],[TIPO_ASEGURAMIENTO]]
)</f>
        <v>ASALARIADO</v>
      </c>
    </row>
    <row r="2837" spans="1:16" x14ac:dyDescent="0.3">
      <c r="A2837">
        <v>2836</v>
      </c>
      <c r="B2837" t="s">
        <v>15</v>
      </c>
      <c r="C2837">
        <v>847616</v>
      </c>
      <c r="D2837" t="s">
        <v>10</v>
      </c>
      <c r="E2837" t="s">
        <v>11</v>
      </c>
      <c r="F2837" t="s">
        <v>12</v>
      </c>
      <c r="G2837" t="s">
        <v>13</v>
      </c>
      <c r="H2837" t="s">
        <v>13</v>
      </c>
      <c r="I2837">
        <v>31</v>
      </c>
      <c r="J2837">
        <f>ABS((I2837-EDA!$A$15)/EDA!$B$15)</f>
        <v>0.77488831798979529</v>
      </c>
      <c r="K2837" t="str">
        <f t="shared" si="44"/>
        <v>No</v>
      </c>
      <c r="L2837">
        <f>ABS((C2837-EDA!$F$15)/EDA!$G$15)</f>
        <v>0.36154904362534518</v>
      </c>
      <c r="M2837" t="str">
        <f>IF(moras[[#This Row],[Z-Score Salario]]&gt;1.96, "Sí", "No")</f>
        <v>No</v>
      </c>
      <c r="N2837" s="14">
        <f>IF(ISBLANK(moras[[#This Row],[SALARIO]]), EDA!$M$8, moras[[#This Row],[SALARIO]])</f>
        <v>847616</v>
      </c>
      <c r="O2837" s="14">
        <f xml:space="preserve"> IF(ISBLANK(moras[[#This Row],[EDAD]]), EDA!$E$8, moras[[#This Row],[EDAD]])</f>
        <v>31</v>
      </c>
      <c r="P2837" s="14" t="str">
        <f>IF(
    OR(ISBLANK(moras[[#This Row],[TIPO_ASEGURAMIENTO]]), moras[[#This Row],[TIPO_ASEGURAMIENTO]]=""),
    EDA!$A$32,
    moras[[#This Row],[TIPO_ASEGURAMIENTO]]
)</f>
        <v>ASALARIADO</v>
      </c>
    </row>
    <row r="2838" spans="1:16" x14ac:dyDescent="0.3">
      <c r="A2838">
        <v>2837</v>
      </c>
      <c r="B2838" t="s">
        <v>9</v>
      </c>
      <c r="C2838">
        <v>300056</v>
      </c>
      <c r="D2838" t="s">
        <v>14</v>
      </c>
      <c r="E2838" t="s">
        <v>11</v>
      </c>
      <c r="F2838" t="s">
        <v>12</v>
      </c>
      <c r="G2838" t="s">
        <v>13</v>
      </c>
      <c r="H2838" t="s">
        <v>13</v>
      </c>
      <c r="I2838">
        <v>61</v>
      </c>
      <c r="J2838">
        <f>ABS((I2838-EDA!$A$15)/EDA!$B$15)</f>
        <v>1.3423715843243298</v>
      </c>
      <c r="K2838" t="str">
        <f t="shared" si="44"/>
        <v>No</v>
      </c>
      <c r="L2838">
        <f>ABS((C2838-EDA!$F$15)/EDA!$G$15)</f>
        <v>0.3706608285546279</v>
      </c>
      <c r="M2838" t="str">
        <f>IF(moras[[#This Row],[Z-Score Salario]]&gt;1.96, "Sí", "No")</f>
        <v>No</v>
      </c>
      <c r="N2838" s="14">
        <f>IF(ISBLANK(moras[[#This Row],[SALARIO]]), EDA!$M$8, moras[[#This Row],[SALARIO]])</f>
        <v>300056</v>
      </c>
      <c r="O2838" s="14">
        <f xml:space="preserve"> IF(ISBLANK(moras[[#This Row],[EDAD]]), EDA!$E$8, moras[[#This Row],[EDAD]])</f>
        <v>61</v>
      </c>
      <c r="P2838" s="14" t="str">
        <f>IF(
    OR(ISBLANK(moras[[#This Row],[TIPO_ASEGURAMIENTO]]), moras[[#This Row],[TIPO_ASEGURAMIENTO]]=""),
    EDA!$A$32,
    moras[[#This Row],[TIPO_ASEGURAMIENTO]]
)</f>
        <v>PENSIONADOS EN SU PROPIO SISTEMA</v>
      </c>
    </row>
    <row r="2839" spans="1:16" x14ac:dyDescent="0.3">
      <c r="A2839">
        <v>2838</v>
      </c>
      <c r="B2839" t="s">
        <v>15</v>
      </c>
      <c r="C2839">
        <v>278030</v>
      </c>
      <c r="D2839" t="s">
        <v>19</v>
      </c>
      <c r="E2839" t="s">
        <v>16</v>
      </c>
      <c r="F2839" t="s">
        <v>12</v>
      </c>
      <c r="G2839" t="s">
        <v>13</v>
      </c>
      <c r="H2839" t="s">
        <v>13</v>
      </c>
      <c r="I2839">
        <v>23</v>
      </c>
      <c r="J2839">
        <f>ABS((I2839-EDA!$A$15)/EDA!$B$15)</f>
        <v>1.3394909586068953</v>
      </c>
      <c r="K2839" t="str">
        <f t="shared" si="44"/>
        <v>No</v>
      </c>
      <c r="L2839">
        <f>ABS((C2839-EDA!$F$15)/EDA!$G$15)</f>
        <v>0.37102735674304993</v>
      </c>
      <c r="M2839" t="str">
        <f>IF(moras[[#This Row],[Z-Score Salario]]&gt;1.96, "Sí", "No")</f>
        <v>No</v>
      </c>
      <c r="N2839" s="14">
        <f>IF(ISBLANK(moras[[#This Row],[SALARIO]]), EDA!$M$8, moras[[#This Row],[SALARIO]])</f>
        <v>278030</v>
      </c>
      <c r="O2839" s="14">
        <f xml:space="preserve"> IF(ISBLANK(moras[[#This Row],[EDAD]]), EDA!$E$8, moras[[#This Row],[EDAD]])</f>
        <v>23</v>
      </c>
      <c r="P2839" s="14" t="str">
        <f>IF(
    OR(ISBLANK(moras[[#This Row],[TIPO_ASEGURAMIENTO]]), moras[[#This Row],[TIPO_ASEGURAMIENTO]]=""),
    EDA!$A$32,
    moras[[#This Row],[TIPO_ASEGURAMIENTO]]
)</f>
        <v>CONVENIOS ESPECIALES DE TRABAJADORES INDEPENDIENTES</v>
      </c>
    </row>
    <row r="2840" spans="1:16" x14ac:dyDescent="0.3">
      <c r="A2840">
        <v>2839</v>
      </c>
      <c r="B2840" t="s">
        <v>9</v>
      </c>
      <c r="C2840">
        <v>956230</v>
      </c>
      <c r="D2840" t="s">
        <v>10</v>
      </c>
      <c r="E2840" t="s">
        <v>11</v>
      </c>
      <c r="F2840" t="s">
        <v>12</v>
      </c>
      <c r="G2840" t="s">
        <v>13</v>
      </c>
      <c r="H2840" t="s">
        <v>12</v>
      </c>
      <c r="I2840">
        <v>60</v>
      </c>
      <c r="J2840">
        <f>ABS((I2840-EDA!$A$15)/EDA!$B$15)</f>
        <v>1.2717962542471923</v>
      </c>
      <c r="K2840" t="str">
        <f t="shared" si="44"/>
        <v>No</v>
      </c>
      <c r="L2840">
        <f>ABS((C2840-EDA!$F$15)/EDA!$G$15)</f>
        <v>0.35974162999339782</v>
      </c>
      <c r="M2840" t="str">
        <f>IF(moras[[#This Row],[Z-Score Salario]]&gt;1.96, "Sí", "No")</f>
        <v>No</v>
      </c>
      <c r="N2840" s="14">
        <f>IF(ISBLANK(moras[[#This Row],[SALARIO]]), EDA!$M$8, moras[[#This Row],[SALARIO]])</f>
        <v>956230</v>
      </c>
      <c r="O2840" s="14">
        <f xml:space="preserve"> IF(ISBLANK(moras[[#This Row],[EDAD]]), EDA!$E$8, moras[[#This Row],[EDAD]])</f>
        <v>60</v>
      </c>
      <c r="P2840" s="14" t="str">
        <f>IF(
    OR(ISBLANK(moras[[#This Row],[TIPO_ASEGURAMIENTO]]), moras[[#This Row],[TIPO_ASEGURAMIENTO]]=""),
    EDA!$A$32,
    moras[[#This Row],[TIPO_ASEGURAMIENTO]]
)</f>
        <v>ASALARIADO</v>
      </c>
    </row>
    <row r="2841" spans="1:16" x14ac:dyDescent="0.3">
      <c r="A2841">
        <v>2840</v>
      </c>
      <c r="B2841" t="s">
        <v>15</v>
      </c>
      <c r="C2841">
        <v>41073826</v>
      </c>
      <c r="D2841" t="s">
        <v>10</v>
      </c>
      <c r="E2841" t="s">
        <v>16</v>
      </c>
      <c r="F2841" t="s">
        <v>12</v>
      </c>
      <c r="G2841" t="s">
        <v>13</v>
      </c>
      <c r="H2841" t="s">
        <v>13</v>
      </c>
      <c r="I2841">
        <v>30</v>
      </c>
      <c r="J2841">
        <f>ABS((I2841-EDA!$A$15)/EDA!$B$15)</f>
        <v>0.84546364806693275</v>
      </c>
      <c r="K2841" t="str">
        <f t="shared" si="44"/>
        <v>No</v>
      </c>
      <c r="L2841">
        <f>ABS((C2841-EDA!$F$15)/EDA!$G$15)</f>
        <v>0.30784348694694003</v>
      </c>
      <c r="M2841" t="str">
        <f>IF(moras[[#This Row],[Z-Score Salario]]&gt;1.96, "Sí", "No")</f>
        <v>No</v>
      </c>
      <c r="N2841" s="14">
        <f>IF(ISBLANK(moras[[#This Row],[SALARIO]]), EDA!$M$8, moras[[#This Row],[SALARIO]])</f>
        <v>41073826</v>
      </c>
      <c r="O2841" s="14">
        <f xml:space="preserve"> IF(ISBLANK(moras[[#This Row],[EDAD]]), EDA!$E$8, moras[[#This Row],[EDAD]])</f>
        <v>30</v>
      </c>
      <c r="P2841" s="14" t="str">
        <f>IF(
    OR(ISBLANK(moras[[#This Row],[TIPO_ASEGURAMIENTO]]), moras[[#This Row],[TIPO_ASEGURAMIENTO]]=""),
    EDA!$A$32,
    moras[[#This Row],[TIPO_ASEGURAMIENTO]]
)</f>
        <v>ASALARIADO</v>
      </c>
    </row>
    <row r="2842" spans="1:16" x14ac:dyDescent="0.3">
      <c r="A2842">
        <v>2841</v>
      </c>
      <c r="B2842" t="s">
        <v>9</v>
      </c>
      <c r="C2842">
        <v>451015</v>
      </c>
      <c r="D2842" t="s">
        <v>10</v>
      </c>
      <c r="E2842" t="s">
        <v>16</v>
      </c>
      <c r="F2842" t="s">
        <v>12</v>
      </c>
      <c r="G2842" t="s">
        <v>13</v>
      </c>
      <c r="H2842" t="s">
        <v>13</v>
      </c>
      <c r="I2842">
        <v>28</v>
      </c>
      <c r="J2842">
        <f>ABS((I2842-EDA!$A$15)/EDA!$B$15)</f>
        <v>0.98661430822120777</v>
      </c>
      <c r="K2842" t="str">
        <f t="shared" si="44"/>
        <v>No</v>
      </c>
      <c r="L2842">
        <f>ABS((C2842-EDA!$F$15)/EDA!$G$15)</f>
        <v>0.36814876423082848</v>
      </c>
      <c r="M2842" t="str">
        <f>IF(moras[[#This Row],[Z-Score Salario]]&gt;1.96, "Sí", "No")</f>
        <v>No</v>
      </c>
      <c r="N2842" s="14">
        <f>IF(ISBLANK(moras[[#This Row],[SALARIO]]), EDA!$M$8, moras[[#This Row],[SALARIO]])</f>
        <v>451015</v>
      </c>
      <c r="O2842" s="14">
        <f xml:space="preserve"> IF(ISBLANK(moras[[#This Row],[EDAD]]), EDA!$E$8, moras[[#This Row],[EDAD]])</f>
        <v>28</v>
      </c>
      <c r="P2842" s="14" t="str">
        <f>IF(
    OR(ISBLANK(moras[[#This Row],[TIPO_ASEGURAMIENTO]]), moras[[#This Row],[TIPO_ASEGURAMIENTO]]=""),
    EDA!$A$32,
    moras[[#This Row],[TIPO_ASEGURAMIENTO]]
)</f>
        <v>ASALARIADO</v>
      </c>
    </row>
    <row r="2843" spans="1:16" x14ac:dyDescent="0.3">
      <c r="A2843">
        <v>2842</v>
      </c>
      <c r="B2843" t="s">
        <v>9</v>
      </c>
      <c r="C2843">
        <v>370000</v>
      </c>
      <c r="D2843" t="s">
        <v>10</v>
      </c>
      <c r="E2843" t="s">
        <v>16</v>
      </c>
      <c r="F2843" t="s">
        <v>12</v>
      </c>
      <c r="G2843" t="s">
        <v>13</v>
      </c>
      <c r="H2843" t="s">
        <v>13</v>
      </c>
      <c r="I2843">
        <v>45</v>
      </c>
      <c r="J2843">
        <f>ABS((I2843-EDA!$A$15)/EDA!$B$15)</f>
        <v>0.21316630309012977</v>
      </c>
      <c r="K2843" t="str">
        <f t="shared" si="44"/>
        <v>No</v>
      </c>
      <c r="L2843">
        <f>ABS((C2843-EDA!$F$15)/EDA!$G$15)</f>
        <v>0.36949691102030513</v>
      </c>
      <c r="M2843" t="str">
        <f>IF(moras[[#This Row],[Z-Score Salario]]&gt;1.96, "Sí", "No")</f>
        <v>No</v>
      </c>
      <c r="N2843" s="14">
        <f>IF(ISBLANK(moras[[#This Row],[SALARIO]]), EDA!$M$8, moras[[#This Row],[SALARIO]])</f>
        <v>370000</v>
      </c>
      <c r="O2843" s="14">
        <f xml:space="preserve"> IF(ISBLANK(moras[[#This Row],[EDAD]]), EDA!$E$8, moras[[#This Row],[EDAD]])</f>
        <v>45</v>
      </c>
      <c r="P2843" s="14" t="str">
        <f>IF(
    OR(ISBLANK(moras[[#This Row],[TIPO_ASEGURAMIENTO]]), moras[[#This Row],[TIPO_ASEGURAMIENTO]]=""),
    EDA!$A$32,
    moras[[#This Row],[TIPO_ASEGURAMIENTO]]
)</f>
        <v>ASALARIADO</v>
      </c>
    </row>
    <row r="2844" spans="1:16" x14ac:dyDescent="0.3">
      <c r="A2844">
        <v>2843</v>
      </c>
      <c r="B2844" t="s">
        <v>15</v>
      </c>
      <c r="C2844">
        <v>297046</v>
      </c>
      <c r="D2844" t="s">
        <v>17</v>
      </c>
      <c r="E2844" t="s">
        <v>16</v>
      </c>
      <c r="F2844" t="s">
        <v>13</v>
      </c>
      <c r="G2844" t="s">
        <v>13</v>
      </c>
      <c r="H2844" t="s">
        <v>12</v>
      </c>
      <c r="I2844">
        <v>19</v>
      </c>
      <c r="J2844">
        <f>ABS((I2844-EDA!$A$15)/EDA!$B$15)</f>
        <v>1.6217922789154453</v>
      </c>
      <c r="K2844" t="str">
        <f t="shared" si="44"/>
        <v>No</v>
      </c>
      <c r="L2844">
        <f>ABS((C2844-EDA!$F$15)/EDA!$G$15)</f>
        <v>0.37071091707942361</v>
      </c>
      <c r="M2844" t="str">
        <f>IF(moras[[#This Row],[Z-Score Salario]]&gt;1.96, "Sí", "No")</f>
        <v>No</v>
      </c>
      <c r="N2844" s="14">
        <f>IF(ISBLANK(moras[[#This Row],[SALARIO]]), EDA!$M$8, moras[[#This Row],[SALARIO]])</f>
        <v>297046</v>
      </c>
      <c r="O2844" s="14">
        <f xml:space="preserve"> IF(ISBLANK(moras[[#This Row],[EDAD]]), EDA!$E$8, moras[[#This Row],[EDAD]])</f>
        <v>19</v>
      </c>
      <c r="P2844" s="14" t="str">
        <f>IF(
    OR(ISBLANK(moras[[#This Row],[TIPO_ASEGURAMIENTO]]), moras[[#This Row],[TIPO_ASEGURAMIENTO]]=""),
    EDA!$A$32,
    moras[[#This Row],[TIPO_ASEGURAMIENTO]]
)</f>
        <v>ASEGURADO VOLUNTARIO</v>
      </c>
    </row>
    <row r="2845" spans="1:16" x14ac:dyDescent="0.3">
      <c r="A2845">
        <v>2844</v>
      </c>
      <c r="B2845" t="s">
        <v>9</v>
      </c>
      <c r="C2845">
        <v>5194835</v>
      </c>
      <c r="D2845" t="s">
        <v>10</v>
      </c>
      <c r="E2845" t="s">
        <v>16</v>
      </c>
      <c r="F2845" t="s">
        <v>12</v>
      </c>
      <c r="G2845" t="s">
        <v>12</v>
      </c>
      <c r="H2845" t="s">
        <v>12</v>
      </c>
      <c r="I2845">
        <v>37</v>
      </c>
      <c r="J2845">
        <f>ABS((I2845-EDA!$A$15)/EDA!$B$15)</f>
        <v>0.35143633752697023</v>
      </c>
      <c r="K2845" t="str">
        <f t="shared" si="44"/>
        <v>No</v>
      </c>
      <c r="L2845">
        <f>ABS((C2845-EDA!$F$15)/EDA!$G$15)</f>
        <v>0.28920825071042927</v>
      </c>
      <c r="M2845" t="str">
        <f>IF(moras[[#This Row],[Z-Score Salario]]&gt;1.96, "Sí", "No")</f>
        <v>No</v>
      </c>
      <c r="N2845" s="14">
        <f>IF(ISBLANK(moras[[#This Row],[SALARIO]]), EDA!$M$8, moras[[#This Row],[SALARIO]])</f>
        <v>5194835</v>
      </c>
      <c r="O2845" s="14">
        <f xml:space="preserve"> IF(ISBLANK(moras[[#This Row],[EDAD]]), EDA!$E$8, moras[[#This Row],[EDAD]])</f>
        <v>37</v>
      </c>
      <c r="P2845" s="14" t="str">
        <f>IF(
    OR(ISBLANK(moras[[#This Row],[TIPO_ASEGURAMIENTO]]), moras[[#This Row],[TIPO_ASEGURAMIENTO]]=""),
    EDA!$A$32,
    moras[[#This Row],[TIPO_ASEGURAMIENTO]]
)</f>
        <v>ASALARIADO</v>
      </c>
    </row>
    <row r="2846" spans="1:16" x14ac:dyDescent="0.3">
      <c r="A2846">
        <v>2845</v>
      </c>
      <c r="B2846" t="s">
        <v>15</v>
      </c>
      <c r="C2846">
        <v>221675036</v>
      </c>
      <c r="D2846" t="s">
        <v>10</v>
      </c>
      <c r="E2846" t="s">
        <v>16</v>
      </c>
      <c r="F2846" t="s">
        <v>12</v>
      </c>
      <c r="G2846" t="s">
        <v>12</v>
      </c>
      <c r="H2846" t="s">
        <v>13</v>
      </c>
      <c r="I2846">
        <v>30</v>
      </c>
      <c r="J2846">
        <f>ABS((I2846-EDA!$A$15)/EDA!$B$15)</f>
        <v>0.84546364806693275</v>
      </c>
      <c r="K2846" t="str">
        <f t="shared" si="44"/>
        <v>No</v>
      </c>
      <c r="L2846">
        <f>ABS((C2846-EDA!$F$15)/EDA!$G$15)</f>
        <v>3.313175109943904</v>
      </c>
      <c r="M2846" t="str">
        <f>IF(moras[[#This Row],[Z-Score Salario]]&gt;1.96, "Sí", "No")</f>
        <v>Sí</v>
      </c>
      <c r="N2846" s="14">
        <f>IF(ISBLANK(moras[[#This Row],[SALARIO]]), EDA!$M$8, moras[[#This Row],[SALARIO]])</f>
        <v>221675036</v>
      </c>
      <c r="O2846" s="14">
        <f xml:space="preserve"> IF(ISBLANK(moras[[#This Row],[EDAD]]), EDA!$E$8, moras[[#This Row],[EDAD]])</f>
        <v>30</v>
      </c>
      <c r="P2846" s="14" t="str">
        <f>IF(
    OR(ISBLANK(moras[[#This Row],[TIPO_ASEGURAMIENTO]]), moras[[#This Row],[TIPO_ASEGURAMIENTO]]=""),
    EDA!$A$32,
    moras[[#This Row],[TIPO_ASEGURAMIENTO]]
)</f>
        <v>ASALARIADO</v>
      </c>
    </row>
    <row r="2847" spans="1:16" x14ac:dyDescent="0.3">
      <c r="A2847">
        <v>2846</v>
      </c>
      <c r="B2847" t="s">
        <v>9</v>
      </c>
      <c r="C2847">
        <v>241999</v>
      </c>
      <c r="D2847" t="s">
        <v>10</v>
      </c>
      <c r="E2847" t="s">
        <v>16</v>
      </c>
      <c r="F2847" t="s">
        <v>12</v>
      </c>
      <c r="G2847" t="s">
        <v>13</v>
      </c>
      <c r="H2847" t="s">
        <v>12</v>
      </c>
      <c r="I2847">
        <v>45</v>
      </c>
      <c r="J2847">
        <f>ABS((I2847-EDA!$A$15)/EDA!$B$15)</f>
        <v>0.21316630309012977</v>
      </c>
      <c r="K2847" t="str">
        <f t="shared" si="44"/>
        <v>No</v>
      </c>
      <c r="L2847">
        <f>ABS((C2847-EDA!$F$15)/EDA!$G$15)</f>
        <v>0.3716269380177723</v>
      </c>
      <c r="M2847" t="str">
        <f>IF(moras[[#This Row],[Z-Score Salario]]&gt;1.96, "Sí", "No")</f>
        <v>No</v>
      </c>
      <c r="N2847" s="14">
        <f>IF(ISBLANK(moras[[#This Row],[SALARIO]]), EDA!$M$8, moras[[#This Row],[SALARIO]])</f>
        <v>241999</v>
      </c>
      <c r="O2847" s="14">
        <f xml:space="preserve"> IF(ISBLANK(moras[[#This Row],[EDAD]]), EDA!$E$8, moras[[#This Row],[EDAD]])</f>
        <v>45</v>
      </c>
      <c r="P2847" s="14" t="str">
        <f>IF(
    OR(ISBLANK(moras[[#This Row],[TIPO_ASEGURAMIENTO]]), moras[[#This Row],[TIPO_ASEGURAMIENTO]]=""),
    EDA!$A$32,
    moras[[#This Row],[TIPO_ASEGURAMIENTO]]
)</f>
        <v>ASALARIADO</v>
      </c>
    </row>
    <row r="2848" spans="1:16" x14ac:dyDescent="0.3">
      <c r="A2848">
        <v>2847</v>
      </c>
      <c r="B2848" t="s">
        <v>15</v>
      </c>
      <c r="C2848">
        <v>300018</v>
      </c>
      <c r="D2848" t="s">
        <v>17</v>
      </c>
      <c r="E2848" t="s">
        <v>16</v>
      </c>
      <c r="F2848" t="s">
        <v>12</v>
      </c>
      <c r="G2848" t="s">
        <v>13</v>
      </c>
      <c r="H2848" t="s">
        <v>13</v>
      </c>
      <c r="I2848">
        <v>59</v>
      </c>
      <c r="J2848">
        <f>ABS((I2848-EDA!$A$15)/EDA!$B$15)</f>
        <v>1.2012209241700549</v>
      </c>
      <c r="K2848" t="str">
        <f t="shared" si="44"/>
        <v>No</v>
      </c>
      <c r="L2848">
        <f>ABS((C2848-EDA!$F$15)/EDA!$G$15)</f>
        <v>0.37066146090145252</v>
      </c>
      <c r="M2848" t="str">
        <f>IF(moras[[#This Row],[Z-Score Salario]]&gt;1.96, "Sí", "No")</f>
        <v>No</v>
      </c>
      <c r="N2848" s="14">
        <f>IF(ISBLANK(moras[[#This Row],[SALARIO]]), EDA!$M$8, moras[[#This Row],[SALARIO]])</f>
        <v>300018</v>
      </c>
      <c r="O2848" s="14">
        <f xml:space="preserve"> IF(ISBLANK(moras[[#This Row],[EDAD]]), EDA!$E$8, moras[[#This Row],[EDAD]])</f>
        <v>59</v>
      </c>
      <c r="P2848" s="14" t="str">
        <f>IF(
    OR(ISBLANK(moras[[#This Row],[TIPO_ASEGURAMIENTO]]), moras[[#This Row],[TIPO_ASEGURAMIENTO]]=""),
    EDA!$A$32,
    moras[[#This Row],[TIPO_ASEGURAMIENTO]]
)</f>
        <v>ASEGURADO VOLUNTARIO</v>
      </c>
    </row>
    <row r="2849" spans="1:16" x14ac:dyDescent="0.3">
      <c r="A2849">
        <v>2848</v>
      </c>
      <c r="B2849" t="s">
        <v>9</v>
      </c>
      <c r="C2849">
        <v>309288</v>
      </c>
      <c r="D2849" t="s">
        <v>10</v>
      </c>
      <c r="E2849" t="s">
        <v>16</v>
      </c>
      <c r="F2849" t="s">
        <v>12</v>
      </c>
      <c r="G2849" t="s">
        <v>13</v>
      </c>
      <c r="H2849" t="s">
        <v>13</v>
      </c>
      <c r="I2849">
        <v>39</v>
      </c>
      <c r="J2849">
        <f>ABS((I2849-EDA!$A$15)/EDA!$B$15)</f>
        <v>0.21028567737269524</v>
      </c>
      <c r="K2849" t="str">
        <f t="shared" si="44"/>
        <v>No</v>
      </c>
      <c r="L2849">
        <f>ABS((C2849-EDA!$F$15)/EDA!$G$15)</f>
        <v>0.37050720155764649</v>
      </c>
      <c r="M2849" t="str">
        <f>IF(moras[[#This Row],[Z-Score Salario]]&gt;1.96, "Sí", "No")</f>
        <v>No</v>
      </c>
      <c r="N2849" s="14">
        <f>IF(ISBLANK(moras[[#This Row],[SALARIO]]), EDA!$M$8, moras[[#This Row],[SALARIO]])</f>
        <v>309288</v>
      </c>
      <c r="O2849" s="14">
        <f xml:space="preserve"> IF(ISBLANK(moras[[#This Row],[EDAD]]), EDA!$E$8, moras[[#This Row],[EDAD]])</f>
        <v>39</v>
      </c>
      <c r="P2849" s="14" t="str">
        <f>IF(
    OR(ISBLANK(moras[[#This Row],[TIPO_ASEGURAMIENTO]]), moras[[#This Row],[TIPO_ASEGURAMIENTO]]=""),
    EDA!$A$32,
    moras[[#This Row],[TIPO_ASEGURAMIENTO]]
)</f>
        <v>ASALARIADO</v>
      </c>
    </row>
    <row r="2850" spans="1:16" x14ac:dyDescent="0.3">
      <c r="A2850">
        <v>2849</v>
      </c>
      <c r="B2850" t="s">
        <v>15</v>
      </c>
      <c r="C2850">
        <v>250750</v>
      </c>
      <c r="D2850" t="s">
        <v>10</v>
      </c>
      <c r="E2850" t="s">
        <v>16</v>
      </c>
      <c r="F2850" t="s">
        <v>12</v>
      </c>
      <c r="G2850" t="s">
        <v>13</v>
      </c>
      <c r="H2850" t="s">
        <v>13</v>
      </c>
      <c r="I2850">
        <v>31</v>
      </c>
      <c r="J2850">
        <f>ABS((I2850-EDA!$A$15)/EDA!$B$15)</f>
        <v>0.77488831798979529</v>
      </c>
      <c r="K2850" t="str">
        <f t="shared" si="44"/>
        <v>No</v>
      </c>
      <c r="L2850">
        <f>ABS((C2850-EDA!$F$15)/EDA!$G$15)</f>
        <v>0.37148131520033467</v>
      </c>
      <c r="M2850" t="str">
        <f>IF(moras[[#This Row],[Z-Score Salario]]&gt;1.96, "Sí", "No")</f>
        <v>No</v>
      </c>
      <c r="N2850" s="14">
        <f>IF(ISBLANK(moras[[#This Row],[SALARIO]]), EDA!$M$8, moras[[#This Row],[SALARIO]])</f>
        <v>250750</v>
      </c>
      <c r="O2850" s="14">
        <f xml:space="preserve"> IF(ISBLANK(moras[[#This Row],[EDAD]]), EDA!$E$8, moras[[#This Row],[EDAD]])</f>
        <v>31</v>
      </c>
      <c r="P2850" s="14" t="str">
        <f>IF(
    OR(ISBLANK(moras[[#This Row],[TIPO_ASEGURAMIENTO]]), moras[[#This Row],[TIPO_ASEGURAMIENTO]]=""),
    EDA!$A$32,
    moras[[#This Row],[TIPO_ASEGURAMIENTO]]
)</f>
        <v>ASALARIADO</v>
      </c>
    </row>
    <row r="2851" spans="1:16" x14ac:dyDescent="0.3">
      <c r="A2851">
        <v>2850</v>
      </c>
      <c r="B2851" t="s">
        <v>15</v>
      </c>
      <c r="C2851">
        <v>155636</v>
      </c>
      <c r="D2851" t="s">
        <v>10</v>
      </c>
      <c r="E2851" t="s">
        <v>16</v>
      </c>
      <c r="F2851" t="s">
        <v>12</v>
      </c>
      <c r="G2851" t="s">
        <v>13</v>
      </c>
      <c r="H2851" t="s">
        <v>13</v>
      </c>
      <c r="I2851">
        <v>61</v>
      </c>
      <c r="J2851">
        <f>ABS((I2851-EDA!$A$15)/EDA!$B$15)</f>
        <v>1.3423715843243298</v>
      </c>
      <c r="K2851" t="str">
        <f t="shared" si="44"/>
        <v>No</v>
      </c>
      <c r="L2851">
        <f>ABS((C2851-EDA!$F$15)/EDA!$G$15)</f>
        <v>0.37306407930246738</v>
      </c>
      <c r="M2851" t="str">
        <f>IF(moras[[#This Row],[Z-Score Salario]]&gt;1.96, "Sí", "No")</f>
        <v>No</v>
      </c>
      <c r="N2851" s="14">
        <f>IF(ISBLANK(moras[[#This Row],[SALARIO]]), EDA!$M$8, moras[[#This Row],[SALARIO]])</f>
        <v>155636</v>
      </c>
      <c r="O2851" s="14">
        <f xml:space="preserve"> IF(ISBLANK(moras[[#This Row],[EDAD]]), EDA!$E$8, moras[[#This Row],[EDAD]])</f>
        <v>61</v>
      </c>
      <c r="P2851" s="14" t="str">
        <f>IF(
    OR(ISBLANK(moras[[#This Row],[TIPO_ASEGURAMIENTO]]), moras[[#This Row],[TIPO_ASEGURAMIENTO]]=""),
    EDA!$A$32,
    moras[[#This Row],[TIPO_ASEGURAMIENTO]]
)</f>
        <v>ASALARIADO</v>
      </c>
    </row>
    <row r="2852" spans="1:16" x14ac:dyDescent="0.3">
      <c r="A2852">
        <v>2851</v>
      </c>
      <c r="B2852" t="s">
        <v>9</v>
      </c>
      <c r="C2852">
        <v>617586</v>
      </c>
      <c r="D2852" t="s">
        <v>10</v>
      </c>
      <c r="E2852" t="s">
        <v>16</v>
      </c>
      <c r="F2852" t="s">
        <v>12</v>
      </c>
      <c r="G2852" t="s">
        <v>13</v>
      </c>
      <c r="H2852" t="s">
        <v>12</v>
      </c>
      <c r="I2852">
        <v>36</v>
      </c>
      <c r="J2852">
        <f>ABS((I2852-EDA!$A$15)/EDA!$B$15)</f>
        <v>0.42201166760410774</v>
      </c>
      <c r="K2852" t="str">
        <f t="shared" si="44"/>
        <v>No</v>
      </c>
      <c r="L2852">
        <f>ABS((C2852-EDA!$F$15)/EDA!$G$15)</f>
        <v>0.36537690520632787</v>
      </c>
      <c r="M2852" t="str">
        <f>IF(moras[[#This Row],[Z-Score Salario]]&gt;1.96, "Sí", "No")</f>
        <v>No</v>
      </c>
      <c r="N2852" s="14">
        <f>IF(ISBLANK(moras[[#This Row],[SALARIO]]), EDA!$M$8, moras[[#This Row],[SALARIO]])</f>
        <v>617586</v>
      </c>
      <c r="O2852" s="14">
        <f xml:space="preserve"> IF(ISBLANK(moras[[#This Row],[EDAD]]), EDA!$E$8, moras[[#This Row],[EDAD]])</f>
        <v>36</v>
      </c>
      <c r="P2852" s="14" t="str">
        <f>IF(
    OR(ISBLANK(moras[[#This Row],[TIPO_ASEGURAMIENTO]]), moras[[#This Row],[TIPO_ASEGURAMIENTO]]=""),
    EDA!$A$32,
    moras[[#This Row],[TIPO_ASEGURAMIENTO]]
)</f>
        <v>ASALARIADO</v>
      </c>
    </row>
    <row r="2853" spans="1:16" x14ac:dyDescent="0.3">
      <c r="A2853">
        <v>2852</v>
      </c>
      <c r="B2853" t="s">
        <v>9</v>
      </c>
      <c r="C2853">
        <v>450886</v>
      </c>
      <c r="D2853" t="s">
        <v>18</v>
      </c>
      <c r="E2853" t="s">
        <v>16</v>
      </c>
      <c r="F2853" t="s">
        <v>12</v>
      </c>
      <c r="G2853" t="s">
        <v>13</v>
      </c>
      <c r="H2853" t="s">
        <v>13</v>
      </c>
      <c r="I2853">
        <v>49</v>
      </c>
      <c r="J2853">
        <f>ABS((I2853-EDA!$A$15)/EDA!$B$15)</f>
        <v>0.49546762339867978</v>
      </c>
      <c r="K2853" t="str">
        <f t="shared" si="44"/>
        <v>No</v>
      </c>
      <c r="L2853">
        <f>ABS((C2853-EDA!$F$15)/EDA!$G$15)</f>
        <v>0.36815091088189117</v>
      </c>
      <c r="M2853" t="str">
        <f>IF(moras[[#This Row],[Z-Score Salario]]&gt;1.96, "Sí", "No")</f>
        <v>No</v>
      </c>
      <c r="N2853" s="14">
        <f>IF(ISBLANK(moras[[#This Row],[SALARIO]]), EDA!$M$8, moras[[#This Row],[SALARIO]])</f>
        <v>450886</v>
      </c>
      <c r="O2853" s="14">
        <f xml:space="preserve"> IF(ISBLANK(moras[[#This Row],[EDAD]]), EDA!$E$8, moras[[#This Row],[EDAD]])</f>
        <v>49</v>
      </c>
      <c r="P2853" s="14" t="str">
        <f>IF(
    OR(ISBLANK(moras[[#This Row],[TIPO_ASEGURAMIENTO]]), moras[[#This Row],[TIPO_ASEGURAMIENTO]]=""),
    EDA!$A$32,
    moras[[#This Row],[TIPO_ASEGURAMIENTO]]
)</f>
        <v>TRABAJADOR INDEPENDIENTE</v>
      </c>
    </row>
    <row r="2854" spans="1:16" x14ac:dyDescent="0.3">
      <c r="A2854">
        <v>2853</v>
      </c>
      <c r="B2854" t="s">
        <v>15</v>
      </c>
      <c r="C2854">
        <v>297046</v>
      </c>
      <c r="D2854" t="s">
        <v>17</v>
      </c>
      <c r="E2854" t="s">
        <v>16</v>
      </c>
      <c r="F2854" t="s">
        <v>12</v>
      </c>
      <c r="G2854" t="s">
        <v>13</v>
      </c>
      <c r="H2854" t="s">
        <v>13</v>
      </c>
      <c r="I2854">
        <v>61</v>
      </c>
      <c r="J2854">
        <f>ABS((I2854-EDA!$A$15)/EDA!$B$15)</f>
        <v>1.3423715843243298</v>
      </c>
      <c r="K2854" t="str">
        <f t="shared" si="44"/>
        <v>No</v>
      </c>
      <c r="L2854">
        <f>ABS((C2854-EDA!$F$15)/EDA!$G$15)</f>
        <v>0.37071091707942361</v>
      </c>
      <c r="M2854" t="str">
        <f>IF(moras[[#This Row],[Z-Score Salario]]&gt;1.96, "Sí", "No")</f>
        <v>No</v>
      </c>
      <c r="N2854" s="14">
        <f>IF(ISBLANK(moras[[#This Row],[SALARIO]]), EDA!$M$8, moras[[#This Row],[SALARIO]])</f>
        <v>297046</v>
      </c>
      <c r="O2854" s="14">
        <f xml:space="preserve"> IF(ISBLANK(moras[[#This Row],[EDAD]]), EDA!$E$8, moras[[#This Row],[EDAD]])</f>
        <v>61</v>
      </c>
      <c r="P2854" s="14" t="str">
        <f>IF(
    OR(ISBLANK(moras[[#This Row],[TIPO_ASEGURAMIENTO]]), moras[[#This Row],[TIPO_ASEGURAMIENTO]]=""),
    EDA!$A$32,
    moras[[#This Row],[TIPO_ASEGURAMIENTO]]
)</f>
        <v>ASEGURADO VOLUNTARIO</v>
      </c>
    </row>
    <row r="2855" spans="1:16" x14ac:dyDescent="0.3">
      <c r="A2855">
        <v>2854</v>
      </c>
      <c r="B2855" t="s">
        <v>9</v>
      </c>
      <c r="C2855">
        <v>446000</v>
      </c>
      <c r="D2855" t="s">
        <v>10</v>
      </c>
      <c r="E2855" t="s">
        <v>16</v>
      </c>
      <c r="F2855" t="s">
        <v>12</v>
      </c>
      <c r="G2855" t="s">
        <v>13</v>
      </c>
      <c r="H2855" t="s">
        <v>13</v>
      </c>
      <c r="I2855">
        <v>28</v>
      </c>
      <c r="J2855">
        <f>ABS((I2855-EDA!$A$15)/EDA!$B$15)</f>
        <v>0.98661430822120777</v>
      </c>
      <c r="K2855" t="str">
        <f t="shared" si="44"/>
        <v>No</v>
      </c>
      <c r="L2855">
        <f>ABS((C2855-EDA!$F$15)/EDA!$G$15)</f>
        <v>0.36823221737097817</v>
      </c>
      <c r="M2855" t="str">
        <f>IF(moras[[#This Row],[Z-Score Salario]]&gt;1.96, "Sí", "No")</f>
        <v>No</v>
      </c>
      <c r="N2855" s="14">
        <f>IF(ISBLANK(moras[[#This Row],[SALARIO]]), EDA!$M$8, moras[[#This Row],[SALARIO]])</f>
        <v>446000</v>
      </c>
      <c r="O2855" s="14">
        <f xml:space="preserve"> IF(ISBLANK(moras[[#This Row],[EDAD]]), EDA!$E$8, moras[[#This Row],[EDAD]])</f>
        <v>28</v>
      </c>
      <c r="P2855" s="14" t="str">
        <f>IF(
    OR(ISBLANK(moras[[#This Row],[TIPO_ASEGURAMIENTO]]), moras[[#This Row],[TIPO_ASEGURAMIENTO]]=""),
    EDA!$A$32,
    moras[[#This Row],[TIPO_ASEGURAMIENTO]]
)</f>
        <v>ASALARIADO</v>
      </c>
    </row>
    <row r="2856" spans="1:16" x14ac:dyDescent="0.3">
      <c r="A2856">
        <v>2855</v>
      </c>
      <c r="B2856" t="s">
        <v>9</v>
      </c>
      <c r="C2856">
        <v>509509</v>
      </c>
      <c r="D2856" t="s">
        <v>18</v>
      </c>
      <c r="E2856" t="s">
        <v>16</v>
      </c>
      <c r="F2856" t="s">
        <v>12</v>
      </c>
      <c r="G2856" t="s">
        <v>13</v>
      </c>
      <c r="H2856" t="s">
        <v>12</v>
      </c>
      <c r="I2856">
        <v>37</v>
      </c>
      <c r="J2856">
        <f>ABS((I2856-EDA!$A$15)/EDA!$B$15)</f>
        <v>0.35143633752697023</v>
      </c>
      <c r="K2856" t="str">
        <f t="shared" si="44"/>
        <v>No</v>
      </c>
      <c r="L2856">
        <f>ABS((C2856-EDA!$F$15)/EDA!$G$15)</f>
        <v>0.36717538277920042</v>
      </c>
      <c r="M2856" t="str">
        <f>IF(moras[[#This Row],[Z-Score Salario]]&gt;1.96, "Sí", "No")</f>
        <v>No</v>
      </c>
      <c r="N2856" s="14">
        <f>IF(ISBLANK(moras[[#This Row],[SALARIO]]), EDA!$M$8, moras[[#This Row],[SALARIO]])</f>
        <v>509509</v>
      </c>
      <c r="O2856" s="14">
        <f xml:space="preserve"> IF(ISBLANK(moras[[#This Row],[EDAD]]), EDA!$E$8, moras[[#This Row],[EDAD]])</f>
        <v>37</v>
      </c>
      <c r="P2856" s="14" t="str">
        <f>IF(
    OR(ISBLANK(moras[[#This Row],[TIPO_ASEGURAMIENTO]]), moras[[#This Row],[TIPO_ASEGURAMIENTO]]=""),
    EDA!$A$32,
    moras[[#This Row],[TIPO_ASEGURAMIENTO]]
)</f>
        <v>TRABAJADOR INDEPENDIENTE</v>
      </c>
    </row>
    <row r="2857" spans="1:16" x14ac:dyDescent="0.3">
      <c r="A2857">
        <v>2856</v>
      </c>
      <c r="B2857" t="s">
        <v>9</v>
      </c>
      <c r="C2857">
        <v>7995715</v>
      </c>
      <c r="D2857" t="s">
        <v>10</v>
      </c>
      <c r="E2857" t="s">
        <v>16</v>
      </c>
      <c r="F2857" t="s">
        <v>12</v>
      </c>
      <c r="G2857" t="s">
        <v>13</v>
      </c>
      <c r="H2857" t="s">
        <v>13</v>
      </c>
      <c r="I2857">
        <v>22</v>
      </c>
      <c r="J2857">
        <f>ABS((I2857-EDA!$A$15)/EDA!$B$15)</f>
        <v>1.4100662886840327</v>
      </c>
      <c r="K2857" t="str">
        <f t="shared" si="44"/>
        <v>No</v>
      </c>
      <c r="L2857">
        <f>ABS((C2857-EDA!$F$15)/EDA!$G$15)</f>
        <v>0.24259963033507445</v>
      </c>
      <c r="M2857" t="str">
        <f>IF(moras[[#This Row],[Z-Score Salario]]&gt;1.96, "Sí", "No")</f>
        <v>No</v>
      </c>
      <c r="N2857" s="14">
        <f>IF(ISBLANK(moras[[#This Row],[SALARIO]]), EDA!$M$8, moras[[#This Row],[SALARIO]])</f>
        <v>7995715</v>
      </c>
      <c r="O2857" s="14">
        <f xml:space="preserve"> IF(ISBLANK(moras[[#This Row],[EDAD]]), EDA!$E$8, moras[[#This Row],[EDAD]])</f>
        <v>22</v>
      </c>
      <c r="P2857" s="14" t="str">
        <f>IF(
    OR(ISBLANK(moras[[#This Row],[TIPO_ASEGURAMIENTO]]), moras[[#This Row],[TIPO_ASEGURAMIENTO]]=""),
    EDA!$A$32,
    moras[[#This Row],[TIPO_ASEGURAMIENTO]]
)</f>
        <v>ASALARIADO</v>
      </c>
    </row>
    <row r="2858" spans="1:16" x14ac:dyDescent="0.3">
      <c r="A2858">
        <v>2857</v>
      </c>
      <c r="B2858" t="s">
        <v>9</v>
      </c>
      <c r="C2858">
        <v>297046</v>
      </c>
      <c r="D2858" t="s">
        <v>17</v>
      </c>
      <c r="E2858" t="s">
        <v>16</v>
      </c>
      <c r="F2858" t="s">
        <v>12</v>
      </c>
      <c r="G2858" t="s">
        <v>12</v>
      </c>
      <c r="H2858" t="s">
        <v>12</v>
      </c>
      <c r="I2858">
        <v>57</v>
      </c>
      <c r="J2858">
        <f>ABS((I2858-EDA!$A$15)/EDA!$B$15)</f>
        <v>1.0600702640157798</v>
      </c>
      <c r="K2858" t="str">
        <f t="shared" si="44"/>
        <v>No</v>
      </c>
      <c r="L2858">
        <f>ABS((C2858-EDA!$F$15)/EDA!$G$15)</f>
        <v>0.37071091707942361</v>
      </c>
      <c r="M2858" t="str">
        <f>IF(moras[[#This Row],[Z-Score Salario]]&gt;1.96, "Sí", "No")</f>
        <v>No</v>
      </c>
      <c r="N2858" s="14">
        <f>IF(ISBLANK(moras[[#This Row],[SALARIO]]), EDA!$M$8, moras[[#This Row],[SALARIO]])</f>
        <v>297046</v>
      </c>
      <c r="O2858" s="14">
        <f xml:space="preserve"> IF(ISBLANK(moras[[#This Row],[EDAD]]), EDA!$E$8, moras[[#This Row],[EDAD]])</f>
        <v>57</v>
      </c>
      <c r="P2858" s="14" t="str">
        <f>IF(
    OR(ISBLANK(moras[[#This Row],[TIPO_ASEGURAMIENTO]]), moras[[#This Row],[TIPO_ASEGURAMIENTO]]=""),
    EDA!$A$32,
    moras[[#This Row],[TIPO_ASEGURAMIENTO]]
)</f>
        <v>ASEGURADO VOLUNTARIO</v>
      </c>
    </row>
    <row r="2859" spans="1:16" x14ac:dyDescent="0.3">
      <c r="A2859">
        <v>2858</v>
      </c>
      <c r="B2859" t="s">
        <v>15</v>
      </c>
      <c r="C2859">
        <v>130000</v>
      </c>
      <c r="D2859" t="s">
        <v>10</v>
      </c>
      <c r="E2859" t="s">
        <v>16</v>
      </c>
      <c r="F2859" t="s">
        <v>12</v>
      </c>
      <c r="G2859" t="s">
        <v>13</v>
      </c>
      <c r="H2859" t="s">
        <v>13</v>
      </c>
      <c r="I2859">
        <v>51</v>
      </c>
      <c r="J2859">
        <f>ABS((I2859-EDA!$A$15)/EDA!$B$15)</f>
        <v>0.6366182835529548</v>
      </c>
      <c r="K2859" t="str">
        <f t="shared" si="44"/>
        <v>No</v>
      </c>
      <c r="L2859">
        <f>ABS((C2859-EDA!$F$15)/EDA!$G$15)</f>
        <v>0.37349068043923245</v>
      </c>
      <c r="M2859" t="str">
        <f>IF(moras[[#This Row],[Z-Score Salario]]&gt;1.96, "Sí", "No")</f>
        <v>No</v>
      </c>
      <c r="N2859" s="14">
        <f>IF(ISBLANK(moras[[#This Row],[SALARIO]]), EDA!$M$8, moras[[#This Row],[SALARIO]])</f>
        <v>130000</v>
      </c>
      <c r="O2859" s="14">
        <f xml:space="preserve"> IF(ISBLANK(moras[[#This Row],[EDAD]]), EDA!$E$8, moras[[#This Row],[EDAD]])</f>
        <v>51</v>
      </c>
      <c r="P2859" s="14" t="str">
        <f>IF(
    OR(ISBLANK(moras[[#This Row],[TIPO_ASEGURAMIENTO]]), moras[[#This Row],[TIPO_ASEGURAMIENTO]]=""),
    EDA!$A$32,
    moras[[#This Row],[TIPO_ASEGURAMIENTO]]
)</f>
        <v>ASALARIADO</v>
      </c>
    </row>
    <row r="2860" spans="1:16" x14ac:dyDescent="0.3">
      <c r="A2860">
        <v>2859</v>
      </c>
      <c r="B2860" t="s">
        <v>9</v>
      </c>
      <c r="C2860">
        <v>429740</v>
      </c>
      <c r="D2860" t="s">
        <v>10</v>
      </c>
      <c r="E2860" t="s">
        <v>16</v>
      </c>
      <c r="F2860" t="s">
        <v>12</v>
      </c>
      <c r="G2860" t="s">
        <v>13</v>
      </c>
      <c r="H2860" t="s">
        <v>13</v>
      </c>
      <c r="I2860">
        <v>27</v>
      </c>
      <c r="J2860">
        <f>ABS((I2860-EDA!$A$15)/EDA!$B$15)</f>
        <v>1.0571896382983452</v>
      </c>
      <c r="K2860" t="str">
        <f t="shared" si="44"/>
        <v>No</v>
      </c>
      <c r="L2860">
        <f>ABS((C2860-EDA!$F$15)/EDA!$G$15)</f>
        <v>0.3685027952491105</v>
      </c>
      <c r="M2860" t="str">
        <f>IF(moras[[#This Row],[Z-Score Salario]]&gt;1.96, "Sí", "No")</f>
        <v>No</v>
      </c>
      <c r="N2860" s="14">
        <f>IF(ISBLANK(moras[[#This Row],[SALARIO]]), EDA!$M$8, moras[[#This Row],[SALARIO]])</f>
        <v>429740</v>
      </c>
      <c r="O2860" s="14">
        <f xml:space="preserve"> IF(ISBLANK(moras[[#This Row],[EDAD]]), EDA!$E$8, moras[[#This Row],[EDAD]])</f>
        <v>27</v>
      </c>
      <c r="P2860" s="14" t="str">
        <f>IF(
    OR(ISBLANK(moras[[#This Row],[TIPO_ASEGURAMIENTO]]), moras[[#This Row],[TIPO_ASEGURAMIENTO]]=""),
    EDA!$A$32,
    moras[[#This Row],[TIPO_ASEGURAMIENTO]]
)</f>
        <v>ASALARIADO</v>
      </c>
    </row>
    <row r="2861" spans="1:16" x14ac:dyDescent="0.3">
      <c r="A2861">
        <v>2860</v>
      </c>
      <c r="B2861" t="s">
        <v>9</v>
      </c>
      <c r="C2861">
        <v>356858</v>
      </c>
      <c r="D2861" t="s">
        <v>18</v>
      </c>
      <c r="E2861" t="s">
        <v>16</v>
      </c>
      <c r="F2861" t="s">
        <v>12</v>
      </c>
      <c r="G2861" t="s">
        <v>12</v>
      </c>
      <c r="H2861" t="s">
        <v>12</v>
      </c>
      <c r="I2861">
        <v>25</v>
      </c>
      <c r="J2861">
        <f>ABS((I2861-EDA!$A$15)/EDA!$B$15)</f>
        <v>1.1983402984526204</v>
      </c>
      <c r="K2861" t="str">
        <f t="shared" si="44"/>
        <v>No</v>
      </c>
      <c r="L2861">
        <f>ABS((C2861-EDA!$F$15)/EDA!$G$15)</f>
        <v>0.36971560317740326</v>
      </c>
      <c r="M2861" t="str">
        <f>IF(moras[[#This Row],[Z-Score Salario]]&gt;1.96, "Sí", "No")</f>
        <v>No</v>
      </c>
      <c r="N2861" s="14">
        <f>IF(ISBLANK(moras[[#This Row],[SALARIO]]), EDA!$M$8, moras[[#This Row],[SALARIO]])</f>
        <v>356858</v>
      </c>
      <c r="O2861" s="14">
        <f xml:space="preserve"> IF(ISBLANK(moras[[#This Row],[EDAD]]), EDA!$E$8, moras[[#This Row],[EDAD]])</f>
        <v>25</v>
      </c>
      <c r="P2861" s="14" t="str">
        <f>IF(
    OR(ISBLANK(moras[[#This Row],[TIPO_ASEGURAMIENTO]]), moras[[#This Row],[TIPO_ASEGURAMIENTO]]=""),
    EDA!$A$32,
    moras[[#This Row],[TIPO_ASEGURAMIENTO]]
)</f>
        <v>TRABAJADOR INDEPENDIENTE</v>
      </c>
    </row>
    <row r="2862" spans="1:16" x14ac:dyDescent="0.3">
      <c r="A2862">
        <v>2861</v>
      </c>
      <c r="B2862" t="s">
        <v>15</v>
      </c>
      <c r="C2862">
        <v>375000</v>
      </c>
      <c r="D2862" t="s">
        <v>10</v>
      </c>
      <c r="E2862" t="s">
        <v>16</v>
      </c>
      <c r="F2862" t="s">
        <v>12</v>
      </c>
      <c r="G2862" t="s">
        <v>13</v>
      </c>
      <c r="H2862" t="s">
        <v>13</v>
      </c>
      <c r="I2862">
        <v>42</v>
      </c>
      <c r="J2862">
        <f>ABS((I2862-EDA!$A$15)/EDA!$B$15)</f>
        <v>1.4403128587172659E-3</v>
      </c>
      <c r="K2862" t="str">
        <f t="shared" si="44"/>
        <v>No</v>
      </c>
      <c r="L2862">
        <f>ABS((C2862-EDA!$F$15)/EDA!$G$15)</f>
        <v>0.36941370749074415</v>
      </c>
      <c r="M2862" t="str">
        <f>IF(moras[[#This Row],[Z-Score Salario]]&gt;1.96, "Sí", "No")</f>
        <v>No</v>
      </c>
      <c r="N2862" s="14">
        <f>IF(ISBLANK(moras[[#This Row],[SALARIO]]), EDA!$M$8, moras[[#This Row],[SALARIO]])</f>
        <v>375000</v>
      </c>
      <c r="O2862" s="14">
        <f xml:space="preserve"> IF(ISBLANK(moras[[#This Row],[EDAD]]), EDA!$E$8, moras[[#This Row],[EDAD]])</f>
        <v>42</v>
      </c>
      <c r="P2862" s="14" t="str">
        <f>IF(
    OR(ISBLANK(moras[[#This Row],[TIPO_ASEGURAMIENTO]]), moras[[#This Row],[TIPO_ASEGURAMIENTO]]=""),
    EDA!$A$32,
    moras[[#This Row],[TIPO_ASEGURAMIENTO]]
)</f>
        <v>ASALARIADO</v>
      </c>
    </row>
    <row r="2863" spans="1:16" x14ac:dyDescent="0.3">
      <c r="A2863">
        <v>2862</v>
      </c>
      <c r="B2863" t="s">
        <v>15</v>
      </c>
      <c r="C2863">
        <v>384500</v>
      </c>
      <c r="D2863" t="s">
        <v>10</v>
      </c>
      <c r="E2863" t="s">
        <v>16</v>
      </c>
      <c r="F2863" t="s">
        <v>12</v>
      </c>
      <c r="G2863" t="s">
        <v>13</v>
      </c>
      <c r="H2863" t="s">
        <v>13</v>
      </c>
      <c r="I2863">
        <v>33</v>
      </c>
      <c r="J2863">
        <f>ABS((I2863-EDA!$A$15)/EDA!$B$15)</f>
        <v>0.63373765783552027</v>
      </c>
      <c r="K2863" t="str">
        <f t="shared" si="44"/>
        <v>No</v>
      </c>
      <c r="L2863">
        <f>ABS((C2863-EDA!$F$15)/EDA!$G$15)</f>
        <v>0.3692556207845783</v>
      </c>
      <c r="M2863" t="str">
        <f>IF(moras[[#This Row],[Z-Score Salario]]&gt;1.96, "Sí", "No")</f>
        <v>No</v>
      </c>
      <c r="N2863" s="14">
        <f>IF(ISBLANK(moras[[#This Row],[SALARIO]]), EDA!$M$8, moras[[#This Row],[SALARIO]])</f>
        <v>384500</v>
      </c>
      <c r="O2863" s="14">
        <f xml:space="preserve"> IF(ISBLANK(moras[[#This Row],[EDAD]]), EDA!$E$8, moras[[#This Row],[EDAD]])</f>
        <v>33</v>
      </c>
      <c r="P2863" s="14" t="str">
        <f>IF(
    OR(ISBLANK(moras[[#This Row],[TIPO_ASEGURAMIENTO]]), moras[[#This Row],[TIPO_ASEGURAMIENTO]]=""),
    EDA!$A$32,
    moras[[#This Row],[TIPO_ASEGURAMIENTO]]
)</f>
        <v>ASALARIADO</v>
      </c>
    </row>
    <row r="2864" spans="1:16" x14ac:dyDescent="0.3">
      <c r="A2864">
        <v>2863</v>
      </c>
      <c r="B2864" t="s">
        <v>9</v>
      </c>
      <c r="C2864">
        <v>368127</v>
      </c>
      <c r="D2864" t="s">
        <v>18</v>
      </c>
      <c r="E2864" t="s">
        <v>16</v>
      </c>
      <c r="F2864" t="s">
        <v>12</v>
      </c>
      <c r="G2864" t="s">
        <v>13</v>
      </c>
      <c r="H2864" t="s">
        <v>12</v>
      </c>
      <c r="I2864">
        <v>35</v>
      </c>
      <c r="J2864">
        <f>ABS((I2864-EDA!$A$15)/EDA!$B$15)</f>
        <v>0.49258699768124525</v>
      </c>
      <c r="K2864" t="str">
        <f t="shared" si="44"/>
        <v>No</v>
      </c>
      <c r="L2864">
        <f>ABS((C2864-EDA!$F$15)/EDA!$G$15)</f>
        <v>0.3695280790624787</v>
      </c>
      <c r="M2864" t="str">
        <f>IF(moras[[#This Row],[Z-Score Salario]]&gt;1.96, "Sí", "No")</f>
        <v>No</v>
      </c>
      <c r="N2864" s="14">
        <f>IF(ISBLANK(moras[[#This Row],[SALARIO]]), EDA!$M$8, moras[[#This Row],[SALARIO]])</f>
        <v>368127</v>
      </c>
      <c r="O2864" s="14">
        <f xml:space="preserve"> IF(ISBLANK(moras[[#This Row],[EDAD]]), EDA!$E$8, moras[[#This Row],[EDAD]])</f>
        <v>35</v>
      </c>
      <c r="P2864" s="14" t="str">
        <f>IF(
    OR(ISBLANK(moras[[#This Row],[TIPO_ASEGURAMIENTO]]), moras[[#This Row],[TIPO_ASEGURAMIENTO]]=""),
    EDA!$A$32,
    moras[[#This Row],[TIPO_ASEGURAMIENTO]]
)</f>
        <v>TRABAJADOR INDEPENDIENTE</v>
      </c>
    </row>
    <row r="2865" spans="1:16" x14ac:dyDescent="0.3">
      <c r="A2865">
        <v>2864</v>
      </c>
      <c r="B2865" t="s">
        <v>9</v>
      </c>
      <c r="C2865">
        <v>258000</v>
      </c>
      <c r="D2865" t="s">
        <v>10</v>
      </c>
      <c r="E2865" t="s">
        <v>16</v>
      </c>
      <c r="F2865" t="s">
        <v>12</v>
      </c>
      <c r="G2865" t="s">
        <v>13</v>
      </c>
      <c r="H2865" t="s">
        <v>13</v>
      </c>
      <c r="I2865">
        <v>50</v>
      </c>
      <c r="J2865">
        <f>ABS((I2865-EDA!$A$15)/EDA!$B$15)</f>
        <v>0.56604295347581735</v>
      </c>
      <c r="K2865" t="str">
        <f t="shared" si="44"/>
        <v>No</v>
      </c>
      <c r="L2865">
        <f>ABS((C2865-EDA!$F$15)/EDA!$G$15)</f>
        <v>0.37136067008247126</v>
      </c>
      <c r="M2865" t="str">
        <f>IF(moras[[#This Row],[Z-Score Salario]]&gt;1.96, "Sí", "No")</f>
        <v>No</v>
      </c>
      <c r="N2865" s="14">
        <f>IF(ISBLANK(moras[[#This Row],[SALARIO]]), EDA!$M$8, moras[[#This Row],[SALARIO]])</f>
        <v>258000</v>
      </c>
      <c r="O2865" s="14">
        <f xml:space="preserve"> IF(ISBLANK(moras[[#This Row],[EDAD]]), EDA!$E$8, moras[[#This Row],[EDAD]])</f>
        <v>50</v>
      </c>
      <c r="P2865" s="14" t="str">
        <f>IF(
    OR(ISBLANK(moras[[#This Row],[TIPO_ASEGURAMIENTO]]), moras[[#This Row],[TIPO_ASEGURAMIENTO]]=""),
    EDA!$A$32,
    moras[[#This Row],[TIPO_ASEGURAMIENTO]]
)</f>
        <v>ASALARIADO</v>
      </c>
    </row>
    <row r="2866" spans="1:16" x14ac:dyDescent="0.3">
      <c r="A2866">
        <v>2865</v>
      </c>
      <c r="B2866" t="s">
        <v>9</v>
      </c>
      <c r="C2866">
        <v>23966572</v>
      </c>
      <c r="D2866" t="s">
        <v>10</v>
      </c>
      <c r="E2866" t="s">
        <v>16</v>
      </c>
      <c r="F2866" t="s">
        <v>12</v>
      </c>
      <c r="G2866" t="s">
        <v>13</v>
      </c>
      <c r="H2866" t="s">
        <v>13</v>
      </c>
      <c r="I2866">
        <v>34</v>
      </c>
      <c r="J2866">
        <f>ABS((I2866-EDA!$A$15)/EDA!$B$15)</f>
        <v>0.56316232775838282</v>
      </c>
      <c r="K2866" t="str">
        <f t="shared" si="44"/>
        <v>No</v>
      </c>
      <c r="L2866">
        <f>ABS((C2866-EDA!$F$15)/EDA!$G$15)</f>
        <v>2.3166704167681219E-2</v>
      </c>
      <c r="M2866" t="str">
        <f>IF(moras[[#This Row],[Z-Score Salario]]&gt;1.96, "Sí", "No")</f>
        <v>No</v>
      </c>
      <c r="N2866" s="14">
        <f>IF(ISBLANK(moras[[#This Row],[SALARIO]]), EDA!$M$8, moras[[#This Row],[SALARIO]])</f>
        <v>23966572</v>
      </c>
      <c r="O2866" s="14">
        <f xml:space="preserve"> IF(ISBLANK(moras[[#This Row],[EDAD]]), EDA!$E$8, moras[[#This Row],[EDAD]])</f>
        <v>34</v>
      </c>
      <c r="P2866" s="14" t="str">
        <f>IF(
    OR(ISBLANK(moras[[#This Row],[TIPO_ASEGURAMIENTO]]), moras[[#This Row],[TIPO_ASEGURAMIENTO]]=""),
    EDA!$A$32,
    moras[[#This Row],[TIPO_ASEGURAMIENTO]]
)</f>
        <v>ASALARIADO</v>
      </c>
    </row>
    <row r="2867" spans="1:16" x14ac:dyDescent="0.3">
      <c r="A2867">
        <v>2866</v>
      </c>
      <c r="B2867" t="s">
        <v>15</v>
      </c>
      <c r="C2867">
        <v>297046</v>
      </c>
      <c r="D2867" t="s">
        <v>17</v>
      </c>
      <c r="E2867" t="s">
        <v>16</v>
      </c>
      <c r="F2867" t="s">
        <v>12</v>
      </c>
      <c r="G2867" t="s">
        <v>13</v>
      </c>
      <c r="H2867" t="s">
        <v>13</v>
      </c>
      <c r="I2867">
        <v>29</v>
      </c>
      <c r="J2867">
        <f>ABS((I2867-EDA!$A$15)/EDA!$B$15)</f>
        <v>0.91603897814407031</v>
      </c>
      <c r="K2867" t="str">
        <f t="shared" si="44"/>
        <v>No</v>
      </c>
      <c r="L2867">
        <f>ABS((C2867-EDA!$F$15)/EDA!$G$15)</f>
        <v>0.37071091707942361</v>
      </c>
      <c r="M2867" t="str">
        <f>IF(moras[[#This Row],[Z-Score Salario]]&gt;1.96, "Sí", "No")</f>
        <v>No</v>
      </c>
      <c r="N2867" s="14">
        <f>IF(ISBLANK(moras[[#This Row],[SALARIO]]), EDA!$M$8, moras[[#This Row],[SALARIO]])</f>
        <v>297046</v>
      </c>
      <c r="O2867" s="14">
        <f xml:space="preserve"> IF(ISBLANK(moras[[#This Row],[EDAD]]), EDA!$E$8, moras[[#This Row],[EDAD]])</f>
        <v>29</v>
      </c>
      <c r="P2867" s="14" t="str">
        <f>IF(
    OR(ISBLANK(moras[[#This Row],[TIPO_ASEGURAMIENTO]]), moras[[#This Row],[TIPO_ASEGURAMIENTO]]=""),
    EDA!$A$32,
    moras[[#This Row],[TIPO_ASEGURAMIENTO]]
)</f>
        <v>ASEGURADO VOLUNTARIO</v>
      </c>
    </row>
    <row r="2868" spans="1:16" x14ac:dyDescent="0.3">
      <c r="A2868">
        <v>2867</v>
      </c>
      <c r="B2868" t="s">
        <v>9</v>
      </c>
      <c r="C2868">
        <v>335930</v>
      </c>
      <c r="D2868" t="s">
        <v>10</v>
      </c>
      <c r="E2868" t="s">
        <v>16</v>
      </c>
      <c r="F2868" t="s">
        <v>12</v>
      </c>
      <c r="G2868" t="s">
        <v>13</v>
      </c>
      <c r="H2868" t="s">
        <v>13</v>
      </c>
      <c r="I2868">
        <v>49</v>
      </c>
      <c r="J2868">
        <f>ABS((I2868-EDA!$A$15)/EDA!$B$15)</f>
        <v>0.49546762339867978</v>
      </c>
      <c r="K2868" t="str">
        <f t="shared" si="44"/>
        <v>No</v>
      </c>
      <c r="L2868">
        <f>ABS((C2868-EDA!$F$15)/EDA!$G$15)</f>
        <v>0.3700638598707337</v>
      </c>
      <c r="M2868" t="str">
        <f>IF(moras[[#This Row],[Z-Score Salario]]&gt;1.96, "Sí", "No")</f>
        <v>No</v>
      </c>
      <c r="N2868" s="14">
        <f>IF(ISBLANK(moras[[#This Row],[SALARIO]]), EDA!$M$8, moras[[#This Row],[SALARIO]])</f>
        <v>335930</v>
      </c>
      <c r="O2868" s="14">
        <f xml:space="preserve"> IF(ISBLANK(moras[[#This Row],[EDAD]]), EDA!$E$8, moras[[#This Row],[EDAD]])</f>
        <v>49</v>
      </c>
      <c r="P2868" s="14" t="str">
        <f>IF(
    OR(ISBLANK(moras[[#This Row],[TIPO_ASEGURAMIENTO]]), moras[[#This Row],[TIPO_ASEGURAMIENTO]]=""),
    EDA!$A$32,
    moras[[#This Row],[TIPO_ASEGURAMIENTO]]
)</f>
        <v>ASALARIADO</v>
      </c>
    </row>
    <row r="2869" spans="1:16" x14ac:dyDescent="0.3">
      <c r="A2869">
        <v>2868</v>
      </c>
      <c r="B2869" t="s">
        <v>15</v>
      </c>
      <c r="C2869">
        <v>278030</v>
      </c>
      <c r="D2869" t="s">
        <v>19</v>
      </c>
      <c r="E2869" t="s">
        <v>16</v>
      </c>
      <c r="F2869" t="s">
        <v>12</v>
      </c>
      <c r="G2869" t="s">
        <v>13</v>
      </c>
      <c r="H2869" t="s">
        <v>13</v>
      </c>
      <c r="I2869">
        <v>40</v>
      </c>
      <c r="J2869">
        <f>ABS((I2869-EDA!$A$15)/EDA!$B$15)</f>
        <v>0.13971034729555773</v>
      </c>
      <c r="K2869" t="str">
        <f t="shared" si="44"/>
        <v>No</v>
      </c>
      <c r="L2869">
        <f>ABS((C2869-EDA!$F$15)/EDA!$G$15)</f>
        <v>0.37102735674304993</v>
      </c>
      <c r="M2869" t="str">
        <f>IF(moras[[#This Row],[Z-Score Salario]]&gt;1.96, "Sí", "No")</f>
        <v>No</v>
      </c>
      <c r="N2869" s="14">
        <f>IF(ISBLANK(moras[[#This Row],[SALARIO]]), EDA!$M$8, moras[[#This Row],[SALARIO]])</f>
        <v>278030</v>
      </c>
      <c r="O2869" s="14">
        <f xml:space="preserve"> IF(ISBLANK(moras[[#This Row],[EDAD]]), EDA!$E$8, moras[[#This Row],[EDAD]])</f>
        <v>40</v>
      </c>
      <c r="P2869" s="14" t="str">
        <f>IF(
    OR(ISBLANK(moras[[#This Row],[TIPO_ASEGURAMIENTO]]), moras[[#This Row],[TIPO_ASEGURAMIENTO]]=""),
    EDA!$A$32,
    moras[[#This Row],[TIPO_ASEGURAMIENTO]]
)</f>
        <v>CONVENIOS ESPECIALES DE TRABAJADORES INDEPENDIENTES</v>
      </c>
    </row>
    <row r="2870" spans="1:16" x14ac:dyDescent="0.3">
      <c r="A2870">
        <v>2869</v>
      </c>
      <c r="B2870" t="s">
        <v>9</v>
      </c>
      <c r="C2870">
        <v>1739925</v>
      </c>
      <c r="D2870" t="s">
        <v>10</v>
      </c>
      <c r="E2870" t="s">
        <v>16</v>
      </c>
      <c r="F2870" t="s">
        <v>12</v>
      </c>
      <c r="G2870" t="s">
        <v>13</v>
      </c>
      <c r="H2870" t="s">
        <v>13</v>
      </c>
      <c r="I2870">
        <v>43</v>
      </c>
      <c r="J2870">
        <f>ABS((I2870-EDA!$A$15)/EDA!$B$15)</f>
        <v>7.2015642935854773E-2</v>
      </c>
      <c r="K2870" t="str">
        <f t="shared" si="44"/>
        <v>No</v>
      </c>
      <c r="L2870">
        <f>ABS((C2870-EDA!$F$15)/EDA!$G$15)</f>
        <v>0.34670039197353841</v>
      </c>
      <c r="M2870" t="str">
        <f>IF(moras[[#This Row],[Z-Score Salario]]&gt;1.96, "Sí", "No")</f>
        <v>No</v>
      </c>
      <c r="N2870" s="14">
        <f>IF(ISBLANK(moras[[#This Row],[SALARIO]]), EDA!$M$8, moras[[#This Row],[SALARIO]])</f>
        <v>1739925</v>
      </c>
      <c r="O2870" s="14">
        <f xml:space="preserve"> IF(ISBLANK(moras[[#This Row],[EDAD]]), EDA!$E$8, moras[[#This Row],[EDAD]])</f>
        <v>43</v>
      </c>
      <c r="P2870" s="14" t="str">
        <f>IF(
    OR(ISBLANK(moras[[#This Row],[TIPO_ASEGURAMIENTO]]), moras[[#This Row],[TIPO_ASEGURAMIENTO]]=""),
    EDA!$A$32,
    moras[[#This Row],[TIPO_ASEGURAMIENTO]]
)</f>
        <v>ASALARIADO</v>
      </c>
    </row>
    <row r="2871" spans="1:16" x14ac:dyDescent="0.3">
      <c r="A2871">
        <v>2870</v>
      </c>
      <c r="B2871" t="s">
        <v>15</v>
      </c>
      <c r="C2871">
        <v>2688750</v>
      </c>
      <c r="D2871" t="s">
        <v>14</v>
      </c>
      <c r="E2871" t="s">
        <v>11</v>
      </c>
      <c r="F2871" t="s">
        <v>12</v>
      </c>
      <c r="G2871" t="s">
        <v>13</v>
      </c>
      <c r="H2871" t="s">
        <v>13</v>
      </c>
      <c r="I2871">
        <v>80</v>
      </c>
      <c r="J2871">
        <f>ABS((I2871-EDA!$A$15)/EDA!$B$15)</f>
        <v>2.6833028557899423</v>
      </c>
      <c r="K2871" t="str">
        <f t="shared" si="44"/>
        <v>Sí</v>
      </c>
      <c r="L2871">
        <f>ABS((C2871-EDA!$F$15)/EDA!$G$15)</f>
        <v>0.33091127418639793</v>
      </c>
      <c r="M2871" t="str">
        <f>IF(moras[[#This Row],[Z-Score Salario]]&gt;1.96, "Sí", "No")</f>
        <v>No</v>
      </c>
      <c r="N2871" s="14">
        <f>IF(ISBLANK(moras[[#This Row],[SALARIO]]), EDA!$M$8, moras[[#This Row],[SALARIO]])</f>
        <v>2688750</v>
      </c>
      <c r="O2871" s="14">
        <f xml:space="preserve"> IF(ISBLANK(moras[[#This Row],[EDAD]]), EDA!$E$8, moras[[#This Row],[EDAD]])</f>
        <v>80</v>
      </c>
      <c r="P2871" s="14" t="str">
        <f>IF(
    OR(ISBLANK(moras[[#This Row],[TIPO_ASEGURAMIENTO]]), moras[[#This Row],[TIPO_ASEGURAMIENTO]]=""),
    EDA!$A$32,
    moras[[#This Row],[TIPO_ASEGURAMIENTO]]
)</f>
        <v>PENSIONADOS EN SU PROPIO SISTEMA</v>
      </c>
    </row>
    <row r="2872" spans="1:16" x14ac:dyDescent="0.3">
      <c r="A2872">
        <v>2871</v>
      </c>
      <c r="B2872" t="s">
        <v>9</v>
      </c>
      <c r="C2872">
        <v>539969</v>
      </c>
      <c r="D2872" t="s">
        <v>10</v>
      </c>
      <c r="E2872" t="s">
        <v>16</v>
      </c>
      <c r="F2872" t="s">
        <v>12</v>
      </c>
      <c r="G2872" t="s">
        <v>13</v>
      </c>
      <c r="H2872" t="s">
        <v>13</v>
      </c>
      <c r="I2872">
        <v>47</v>
      </c>
      <c r="J2872">
        <f>ABS((I2872-EDA!$A$15)/EDA!$B$15)</f>
        <v>0.35431696324440481</v>
      </c>
      <c r="K2872" t="str">
        <f t="shared" si="44"/>
        <v>No</v>
      </c>
      <c r="L2872">
        <f>ABS((C2872-EDA!$F$15)/EDA!$G$15)</f>
        <v>0.36666850687711489</v>
      </c>
      <c r="M2872" t="str">
        <f>IF(moras[[#This Row],[Z-Score Salario]]&gt;1.96, "Sí", "No")</f>
        <v>No</v>
      </c>
      <c r="N2872" s="14">
        <f>IF(ISBLANK(moras[[#This Row],[SALARIO]]), EDA!$M$8, moras[[#This Row],[SALARIO]])</f>
        <v>539969</v>
      </c>
      <c r="O2872" s="14">
        <f xml:space="preserve"> IF(ISBLANK(moras[[#This Row],[EDAD]]), EDA!$E$8, moras[[#This Row],[EDAD]])</f>
        <v>47</v>
      </c>
      <c r="P2872" s="14" t="str">
        <f>IF(
    OR(ISBLANK(moras[[#This Row],[TIPO_ASEGURAMIENTO]]), moras[[#This Row],[TIPO_ASEGURAMIENTO]]=""),
    EDA!$A$32,
    moras[[#This Row],[TIPO_ASEGURAMIENTO]]
)</f>
        <v>ASALARIADO</v>
      </c>
    </row>
    <row r="2873" spans="1:16" x14ac:dyDescent="0.3">
      <c r="A2873">
        <v>2872</v>
      </c>
      <c r="B2873" t="s">
        <v>9</v>
      </c>
      <c r="C2873">
        <v>297045</v>
      </c>
      <c r="D2873" t="s">
        <v>18</v>
      </c>
      <c r="E2873" t="s">
        <v>16</v>
      </c>
      <c r="F2873" t="s">
        <v>12</v>
      </c>
      <c r="G2873" t="s">
        <v>13</v>
      </c>
      <c r="H2873" t="s">
        <v>13</v>
      </c>
      <c r="I2873">
        <v>54</v>
      </c>
      <c r="J2873">
        <f>ABS((I2873-EDA!$A$15)/EDA!$B$15)</f>
        <v>0.84834427378436728</v>
      </c>
      <c r="K2873" t="str">
        <f t="shared" si="44"/>
        <v>No</v>
      </c>
      <c r="L2873">
        <f>ABS((C2873-EDA!$F$15)/EDA!$G$15)</f>
        <v>0.37071093372012948</v>
      </c>
      <c r="M2873" t="str">
        <f>IF(moras[[#This Row],[Z-Score Salario]]&gt;1.96, "Sí", "No")</f>
        <v>No</v>
      </c>
      <c r="N2873" s="14">
        <f>IF(ISBLANK(moras[[#This Row],[SALARIO]]), EDA!$M$8, moras[[#This Row],[SALARIO]])</f>
        <v>297045</v>
      </c>
      <c r="O2873" s="14">
        <f xml:space="preserve"> IF(ISBLANK(moras[[#This Row],[EDAD]]), EDA!$E$8, moras[[#This Row],[EDAD]])</f>
        <v>54</v>
      </c>
      <c r="P2873" s="14" t="str">
        <f>IF(
    OR(ISBLANK(moras[[#This Row],[TIPO_ASEGURAMIENTO]]), moras[[#This Row],[TIPO_ASEGURAMIENTO]]=""),
    EDA!$A$32,
    moras[[#This Row],[TIPO_ASEGURAMIENTO]]
)</f>
        <v>TRABAJADOR INDEPENDIENTE</v>
      </c>
    </row>
    <row r="2874" spans="1:16" x14ac:dyDescent="0.3">
      <c r="A2874">
        <v>2873</v>
      </c>
      <c r="B2874" t="s">
        <v>9</v>
      </c>
      <c r="C2874">
        <v>747205</v>
      </c>
      <c r="D2874" t="s">
        <v>10</v>
      </c>
      <c r="E2874" t="s">
        <v>16</v>
      </c>
      <c r="F2874" t="s">
        <v>12</v>
      </c>
      <c r="G2874" t="s">
        <v>12</v>
      </c>
      <c r="H2874" t="s">
        <v>13</v>
      </c>
      <c r="I2874">
        <v>31</v>
      </c>
      <c r="J2874">
        <f>ABS((I2874-EDA!$A$15)/EDA!$B$15)</f>
        <v>0.77488831798979529</v>
      </c>
      <c r="K2874" t="str">
        <f t="shared" si="44"/>
        <v>No</v>
      </c>
      <c r="L2874">
        <f>ABS((C2874-EDA!$F$15)/EDA!$G$15)</f>
        <v>0.36321995354669484</v>
      </c>
      <c r="M2874" t="str">
        <f>IF(moras[[#This Row],[Z-Score Salario]]&gt;1.96, "Sí", "No")</f>
        <v>No</v>
      </c>
      <c r="N2874" s="14">
        <f>IF(ISBLANK(moras[[#This Row],[SALARIO]]), EDA!$M$8, moras[[#This Row],[SALARIO]])</f>
        <v>747205</v>
      </c>
      <c r="O2874" s="14">
        <f xml:space="preserve"> IF(ISBLANK(moras[[#This Row],[EDAD]]), EDA!$E$8, moras[[#This Row],[EDAD]])</f>
        <v>31</v>
      </c>
      <c r="P2874" s="14" t="str">
        <f>IF(
    OR(ISBLANK(moras[[#This Row],[TIPO_ASEGURAMIENTO]]), moras[[#This Row],[TIPO_ASEGURAMIENTO]]=""),
    EDA!$A$32,
    moras[[#This Row],[TIPO_ASEGURAMIENTO]]
)</f>
        <v>ASALARIADO</v>
      </c>
    </row>
    <row r="2875" spans="1:16" x14ac:dyDescent="0.3">
      <c r="A2875">
        <v>2874</v>
      </c>
      <c r="B2875" t="s">
        <v>15</v>
      </c>
      <c r="C2875">
        <v>3901368</v>
      </c>
      <c r="D2875" t="s">
        <v>10</v>
      </c>
      <c r="E2875" t="s">
        <v>16</v>
      </c>
      <c r="F2875" t="s">
        <v>12</v>
      </c>
      <c r="G2875" t="s">
        <v>13</v>
      </c>
      <c r="H2875" t="s">
        <v>13</v>
      </c>
      <c r="I2875">
        <v>25</v>
      </c>
      <c r="J2875">
        <f>ABS((I2875-EDA!$A$15)/EDA!$B$15)</f>
        <v>1.1983402984526204</v>
      </c>
      <c r="K2875" t="str">
        <f t="shared" si="44"/>
        <v>No</v>
      </c>
      <c r="L2875">
        <f>ABS((C2875-EDA!$F$15)/EDA!$G$15)</f>
        <v>0.31073245466456123</v>
      </c>
      <c r="M2875" t="str">
        <f>IF(moras[[#This Row],[Z-Score Salario]]&gt;1.96, "Sí", "No")</f>
        <v>No</v>
      </c>
      <c r="N2875" s="14">
        <f>IF(ISBLANK(moras[[#This Row],[SALARIO]]), EDA!$M$8, moras[[#This Row],[SALARIO]])</f>
        <v>3901368</v>
      </c>
      <c r="O2875" s="14">
        <f xml:space="preserve"> IF(ISBLANK(moras[[#This Row],[EDAD]]), EDA!$E$8, moras[[#This Row],[EDAD]])</f>
        <v>25</v>
      </c>
      <c r="P2875" s="14" t="str">
        <f>IF(
    OR(ISBLANK(moras[[#This Row],[TIPO_ASEGURAMIENTO]]), moras[[#This Row],[TIPO_ASEGURAMIENTO]]=""),
    EDA!$A$32,
    moras[[#This Row],[TIPO_ASEGURAMIENTO]]
)</f>
        <v>ASALARIADO</v>
      </c>
    </row>
    <row r="2876" spans="1:16" x14ac:dyDescent="0.3">
      <c r="A2876">
        <v>2875</v>
      </c>
      <c r="B2876" t="s">
        <v>15</v>
      </c>
      <c r="C2876">
        <v>338192</v>
      </c>
      <c r="D2876" t="s">
        <v>10</v>
      </c>
      <c r="E2876" t="s">
        <v>11</v>
      </c>
      <c r="F2876" t="s">
        <v>12</v>
      </c>
      <c r="G2876" t="s">
        <v>13</v>
      </c>
      <c r="H2876" t="s">
        <v>13</v>
      </c>
      <c r="I2876">
        <v>51</v>
      </c>
      <c r="J2876">
        <f>ABS((I2876-EDA!$A$15)/EDA!$B$15)</f>
        <v>0.6366182835529548</v>
      </c>
      <c r="K2876" t="str">
        <f t="shared" si="44"/>
        <v>No</v>
      </c>
      <c r="L2876">
        <f>ABS((C2876-EDA!$F$15)/EDA!$G$15)</f>
        <v>0.37002621859396034</v>
      </c>
      <c r="M2876" t="str">
        <f>IF(moras[[#This Row],[Z-Score Salario]]&gt;1.96, "Sí", "No")</f>
        <v>No</v>
      </c>
      <c r="N2876" s="14">
        <f>IF(ISBLANK(moras[[#This Row],[SALARIO]]), EDA!$M$8, moras[[#This Row],[SALARIO]])</f>
        <v>338192</v>
      </c>
      <c r="O2876" s="14">
        <f xml:space="preserve"> IF(ISBLANK(moras[[#This Row],[EDAD]]), EDA!$E$8, moras[[#This Row],[EDAD]])</f>
        <v>51</v>
      </c>
      <c r="P2876" s="14" t="str">
        <f>IF(
    OR(ISBLANK(moras[[#This Row],[TIPO_ASEGURAMIENTO]]), moras[[#This Row],[TIPO_ASEGURAMIENTO]]=""),
    EDA!$A$32,
    moras[[#This Row],[TIPO_ASEGURAMIENTO]]
)</f>
        <v>ASALARIADO</v>
      </c>
    </row>
    <row r="2877" spans="1:16" x14ac:dyDescent="0.3">
      <c r="A2877">
        <v>2876</v>
      </c>
      <c r="B2877" t="s">
        <v>15</v>
      </c>
      <c r="C2877">
        <v>1350000</v>
      </c>
      <c r="D2877" t="s">
        <v>10</v>
      </c>
      <c r="E2877" t="s">
        <v>16</v>
      </c>
      <c r="F2877" t="s">
        <v>12</v>
      </c>
      <c r="G2877" t="s">
        <v>13</v>
      </c>
      <c r="H2877" t="s">
        <v>13</v>
      </c>
      <c r="I2877">
        <v>57</v>
      </c>
      <c r="J2877">
        <f>ABS((I2877-EDA!$A$15)/EDA!$B$15)</f>
        <v>1.0600702640157798</v>
      </c>
      <c r="K2877" t="str">
        <f t="shared" si="44"/>
        <v>No</v>
      </c>
      <c r="L2877">
        <f>ABS((C2877-EDA!$F$15)/EDA!$G$15)</f>
        <v>0.35318901922635193</v>
      </c>
      <c r="M2877" t="str">
        <f>IF(moras[[#This Row],[Z-Score Salario]]&gt;1.96, "Sí", "No")</f>
        <v>No</v>
      </c>
      <c r="N2877" s="14">
        <f>IF(ISBLANK(moras[[#This Row],[SALARIO]]), EDA!$M$8, moras[[#This Row],[SALARIO]])</f>
        <v>1350000</v>
      </c>
      <c r="O2877" s="14">
        <f xml:space="preserve"> IF(ISBLANK(moras[[#This Row],[EDAD]]), EDA!$E$8, moras[[#This Row],[EDAD]])</f>
        <v>57</v>
      </c>
      <c r="P2877" s="14" t="str">
        <f>IF(
    OR(ISBLANK(moras[[#This Row],[TIPO_ASEGURAMIENTO]]), moras[[#This Row],[TIPO_ASEGURAMIENTO]]=""),
    EDA!$A$32,
    moras[[#This Row],[TIPO_ASEGURAMIENTO]]
)</f>
        <v>ASALARIADO</v>
      </c>
    </row>
    <row r="2878" spans="1:16" x14ac:dyDescent="0.3">
      <c r="A2878">
        <v>2877</v>
      </c>
      <c r="B2878" t="s">
        <v>15</v>
      </c>
      <c r="C2878">
        <v>360955414</v>
      </c>
      <c r="D2878" t="s">
        <v>10</v>
      </c>
      <c r="E2878" t="s">
        <v>11</v>
      </c>
      <c r="F2878" t="s">
        <v>12</v>
      </c>
      <c r="G2878" t="s">
        <v>13</v>
      </c>
      <c r="H2878" t="s">
        <v>13</v>
      </c>
      <c r="I2878">
        <v>55</v>
      </c>
      <c r="J2878">
        <f>ABS((I2878-EDA!$A$15)/EDA!$B$15)</f>
        <v>0.91891960386150484</v>
      </c>
      <c r="K2878" t="str">
        <f t="shared" si="44"/>
        <v>No</v>
      </c>
      <c r="L2878">
        <f>ABS((C2878-EDA!$F$15)/EDA!$G$15)</f>
        <v>5.6308989195815613</v>
      </c>
      <c r="M2878" t="str">
        <f>IF(moras[[#This Row],[Z-Score Salario]]&gt;1.96, "Sí", "No")</f>
        <v>Sí</v>
      </c>
      <c r="N2878" s="14">
        <f>IF(ISBLANK(moras[[#This Row],[SALARIO]]), EDA!$M$8, moras[[#This Row],[SALARIO]])</f>
        <v>360955414</v>
      </c>
      <c r="O2878" s="14">
        <f xml:space="preserve"> IF(ISBLANK(moras[[#This Row],[EDAD]]), EDA!$E$8, moras[[#This Row],[EDAD]])</f>
        <v>55</v>
      </c>
      <c r="P2878" s="14" t="str">
        <f>IF(
    OR(ISBLANK(moras[[#This Row],[TIPO_ASEGURAMIENTO]]), moras[[#This Row],[TIPO_ASEGURAMIENTO]]=""),
    EDA!$A$32,
    moras[[#This Row],[TIPO_ASEGURAMIENTO]]
)</f>
        <v>ASALARIADO</v>
      </c>
    </row>
    <row r="2879" spans="1:16" x14ac:dyDescent="0.3">
      <c r="A2879">
        <v>2878</v>
      </c>
      <c r="B2879" t="s">
        <v>9</v>
      </c>
      <c r="C2879">
        <v>122041397</v>
      </c>
      <c r="D2879" t="s">
        <v>10</v>
      </c>
      <c r="E2879" t="s">
        <v>16</v>
      </c>
      <c r="F2879" t="s">
        <v>12</v>
      </c>
      <c r="G2879" t="s">
        <v>13</v>
      </c>
      <c r="H2879" t="s">
        <v>13</v>
      </c>
      <c r="I2879">
        <v>27</v>
      </c>
      <c r="J2879">
        <f>ABS((I2879-EDA!$A$15)/EDA!$B$15)</f>
        <v>1.0571896382983452</v>
      </c>
      <c r="K2879" t="str">
        <f t="shared" si="44"/>
        <v>No</v>
      </c>
      <c r="L2879">
        <f>ABS((C2879-EDA!$F$15)/EDA!$G$15)</f>
        <v>1.6552010243828845</v>
      </c>
      <c r="M2879" t="str">
        <f>IF(moras[[#This Row],[Z-Score Salario]]&gt;1.96, "Sí", "No")</f>
        <v>No</v>
      </c>
      <c r="N2879" s="14">
        <f>IF(ISBLANK(moras[[#This Row],[SALARIO]]), EDA!$M$8, moras[[#This Row],[SALARIO]])</f>
        <v>122041397</v>
      </c>
      <c r="O2879" s="14">
        <f xml:space="preserve"> IF(ISBLANK(moras[[#This Row],[EDAD]]), EDA!$E$8, moras[[#This Row],[EDAD]])</f>
        <v>27</v>
      </c>
      <c r="P2879" s="14" t="str">
        <f>IF(
    OR(ISBLANK(moras[[#This Row],[TIPO_ASEGURAMIENTO]]), moras[[#This Row],[TIPO_ASEGURAMIENTO]]=""),
    EDA!$A$32,
    moras[[#This Row],[TIPO_ASEGURAMIENTO]]
)</f>
        <v>ASALARIADO</v>
      </c>
    </row>
    <row r="2880" spans="1:16" x14ac:dyDescent="0.3">
      <c r="A2880">
        <v>2879</v>
      </c>
      <c r="B2880" t="s">
        <v>9</v>
      </c>
      <c r="C2880">
        <v>278030</v>
      </c>
      <c r="D2880" t="s">
        <v>19</v>
      </c>
      <c r="E2880" t="s">
        <v>16</v>
      </c>
      <c r="F2880" t="s">
        <v>12</v>
      </c>
      <c r="G2880" t="s">
        <v>13</v>
      </c>
      <c r="H2880" t="s">
        <v>13</v>
      </c>
      <c r="I2880">
        <v>32</v>
      </c>
      <c r="J2880">
        <f>ABS((I2880-EDA!$A$15)/EDA!$B$15)</f>
        <v>0.70431298791265773</v>
      </c>
      <c r="K2880" t="str">
        <f t="shared" si="44"/>
        <v>No</v>
      </c>
      <c r="L2880">
        <f>ABS((C2880-EDA!$F$15)/EDA!$G$15)</f>
        <v>0.37102735674304993</v>
      </c>
      <c r="M2880" t="str">
        <f>IF(moras[[#This Row],[Z-Score Salario]]&gt;1.96, "Sí", "No")</f>
        <v>No</v>
      </c>
      <c r="N2880" s="14">
        <f>IF(ISBLANK(moras[[#This Row],[SALARIO]]), EDA!$M$8, moras[[#This Row],[SALARIO]])</f>
        <v>278030</v>
      </c>
      <c r="O2880" s="14">
        <f xml:space="preserve"> IF(ISBLANK(moras[[#This Row],[EDAD]]), EDA!$E$8, moras[[#This Row],[EDAD]])</f>
        <v>32</v>
      </c>
      <c r="P2880" s="14" t="str">
        <f>IF(
    OR(ISBLANK(moras[[#This Row],[TIPO_ASEGURAMIENTO]]), moras[[#This Row],[TIPO_ASEGURAMIENTO]]=""),
    EDA!$A$32,
    moras[[#This Row],[TIPO_ASEGURAMIENTO]]
)</f>
        <v>CONVENIOS ESPECIALES DE TRABAJADORES INDEPENDIENTES</v>
      </c>
    </row>
    <row r="2881" spans="1:16" x14ac:dyDescent="0.3">
      <c r="A2881">
        <v>2880</v>
      </c>
      <c r="B2881" t="s">
        <v>9</v>
      </c>
      <c r="C2881">
        <v>76279688</v>
      </c>
      <c r="D2881" t="s">
        <v>10</v>
      </c>
      <c r="E2881" t="s">
        <v>16</v>
      </c>
      <c r="F2881" t="s">
        <v>12</v>
      </c>
      <c r="G2881" t="s">
        <v>13</v>
      </c>
      <c r="H2881" t="s">
        <v>13</v>
      </c>
      <c r="I2881">
        <v>26</v>
      </c>
      <c r="J2881">
        <f>ABS((I2881-EDA!$A$15)/EDA!$B$15)</f>
        <v>1.1277649683754829</v>
      </c>
      <c r="K2881" t="str">
        <f t="shared" si="44"/>
        <v>No</v>
      </c>
      <c r="L2881">
        <f>ABS((C2881-EDA!$F$15)/EDA!$G$15)</f>
        <v>0.89369388287433793</v>
      </c>
      <c r="M2881" t="str">
        <f>IF(moras[[#This Row],[Z-Score Salario]]&gt;1.96, "Sí", "No")</f>
        <v>No</v>
      </c>
      <c r="N2881" s="14">
        <f>IF(ISBLANK(moras[[#This Row],[SALARIO]]), EDA!$M$8, moras[[#This Row],[SALARIO]])</f>
        <v>76279688</v>
      </c>
      <c r="O2881" s="14">
        <f xml:space="preserve"> IF(ISBLANK(moras[[#This Row],[EDAD]]), EDA!$E$8, moras[[#This Row],[EDAD]])</f>
        <v>26</v>
      </c>
      <c r="P2881" s="14" t="str">
        <f>IF(
    OR(ISBLANK(moras[[#This Row],[TIPO_ASEGURAMIENTO]]), moras[[#This Row],[TIPO_ASEGURAMIENTO]]=""),
    EDA!$A$32,
    moras[[#This Row],[TIPO_ASEGURAMIENTO]]
)</f>
        <v>ASALARIADO</v>
      </c>
    </row>
    <row r="2882" spans="1:16" x14ac:dyDescent="0.3">
      <c r="A2882">
        <v>2881</v>
      </c>
      <c r="B2882" t="s">
        <v>9</v>
      </c>
      <c r="C2882">
        <v>41375105</v>
      </c>
      <c r="D2882" t="s">
        <v>10</v>
      </c>
      <c r="E2882" t="s">
        <v>16</v>
      </c>
      <c r="F2882" t="s">
        <v>12</v>
      </c>
      <c r="G2882" t="s">
        <v>13</v>
      </c>
      <c r="H2882" t="s">
        <v>13</v>
      </c>
      <c r="I2882">
        <v>28</v>
      </c>
      <c r="J2882">
        <f>ABS((I2882-EDA!$A$15)/EDA!$B$15)</f>
        <v>0.98661430822120777</v>
      </c>
      <c r="K2882" t="str">
        <f t="shared" ref="K2882:K2945" si="45">IF(J2882 &gt;  1.96, "Sí","No")</f>
        <v>No</v>
      </c>
      <c r="L2882">
        <f>ABS((C2882-EDA!$F$15)/EDA!$G$15)</f>
        <v>0.31285698218346086</v>
      </c>
      <c r="M2882" t="str">
        <f>IF(moras[[#This Row],[Z-Score Salario]]&gt;1.96, "Sí", "No")</f>
        <v>No</v>
      </c>
      <c r="N2882" s="14">
        <f>IF(ISBLANK(moras[[#This Row],[SALARIO]]), EDA!$M$8, moras[[#This Row],[SALARIO]])</f>
        <v>41375105</v>
      </c>
      <c r="O2882" s="14">
        <f xml:space="preserve"> IF(ISBLANK(moras[[#This Row],[EDAD]]), EDA!$E$8, moras[[#This Row],[EDAD]])</f>
        <v>28</v>
      </c>
      <c r="P2882" s="14" t="str">
        <f>IF(
    OR(ISBLANK(moras[[#This Row],[TIPO_ASEGURAMIENTO]]), moras[[#This Row],[TIPO_ASEGURAMIENTO]]=""),
    EDA!$A$32,
    moras[[#This Row],[TIPO_ASEGURAMIENTO]]
)</f>
        <v>ASALARIADO</v>
      </c>
    </row>
    <row r="2883" spans="1:16" x14ac:dyDescent="0.3">
      <c r="A2883">
        <v>2882</v>
      </c>
      <c r="B2883" t="s">
        <v>9</v>
      </c>
      <c r="C2883">
        <v>362000</v>
      </c>
      <c r="D2883" t="s">
        <v>17</v>
      </c>
      <c r="E2883" t="s">
        <v>16</v>
      </c>
      <c r="F2883" t="s">
        <v>12</v>
      </c>
      <c r="G2883" t="s">
        <v>13</v>
      </c>
      <c r="H2883" t="s">
        <v>13</v>
      </c>
      <c r="I2883">
        <v>35</v>
      </c>
      <c r="J2883">
        <f>ABS((I2883-EDA!$A$15)/EDA!$B$15)</f>
        <v>0.49258699768124525</v>
      </c>
      <c r="K2883" t="str">
        <f t="shared" si="45"/>
        <v>No</v>
      </c>
      <c r="L2883">
        <f>ABS((C2883-EDA!$F$15)/EDA!$G$15)</f>
        <v>0.36963003666760275</v>
      </c>
      <c r="M2883" t="str">
        <f>IF(moras[[#This Row],[Z-Score Salario]]&gt;1.96, "Sí", "No")</f>
        <v>No</v>
      </c>
      <c r="N2883" s="14">
        <f>IF(ISBLANK(moras[[#This Row],[SALARIO]]), EDA!$M$8, moras[[#This Row],[SALARIO]])</f>
        <v>362000</v>
      </c>
      <c r="O2883" s="14">
        <f xml:space="preserve"> IF(ISBLANK(moras[[#This Row],[EDAD]]), EDA!$E$8, moras[[#This Row],[EDAD]])</f>
        <v>35</v>
      </c>
      <c r="P2883" s="14" t="str">
        <f>IF(
    OR(ISBLANK(moras[[#This Row],[TIPO_ASEGURAMIENTO]]), moras[[#This Row],[TIPO_ASEGURAMIENTO]]=""),
    EDA!$A$32,
    moras[[#This Row],[TIPO_ASEGURAMIENTO]]
)</f>
        <v>ASEGURADO VOLUNTARIO</v>
      </c>
    </row>
    <row r="2884" spans="1:16" x14ac:dyDescent="0.3">
      <c r="A2884">
        <v>2883</v>
      </c>
      <c r="B2884" t="s">
        <v>15</v>
      </c>
      <c r="C2884">
        <v>297044</v>
      </c>
      <c r="D2884" t="s">
        <v>10</v>
      </c>
      <c r="E2884" t="s">
        <v>16</v>
      </c>
      <c r="F2884" t="s">
        <v>12</v>
      </c>
      <c r="G2884" t="s">
        <v>13</v>
      </c>
      <c r="H2884" t="s">
        <v>13</v>
      </c>
      <c r="I2884">
        <v>58</v>
      </c>
      <c r="J2884">
        <f>ABS((I2884-EDA!$A$15)/EDA!$B$15)</f>
        <v>1.1306455940929174</v>
      </c>
      <c r="K2884" t="str">
        <f t="shared" si="45"/>
        <v>No</v>
      </c>
      <c r="L2884">
        <f>ABS((C2884-EDA!$F$15)/EDA!$G$15)</f>
        <v>0.3707109503608354</v>
      </c>
      <c r="M2884" t="str">
        <f>IF(moras[[#This Row],[Z-Score Salario]]&gt;1.96, "Sí", "No")</f>
        <v>No</v>
      </c>
      <c r="N2884" s="14">
        <f>IF(ISBLANK(moras[[#This Row],[SALARIO]]), EDA!$M$8, moras[[#This Row],[SALARIO]])</f>
        <v>297044</v>
      </c>
      <c r="O2884" s="14">
        <f xml:space="preserve"> IF(ISBLANK(moras[[#This Row],[EDAD]]), EDA!$E$8, moras[[#This Row],[EDAD]])</f>
        <v>58</v>
      </c>
      <c r="P2884" s="14" t="str">
        <f>IF(
    OR(ISBLANK(moras[[#This Row],[TIPO_ASEGURAMIENTO]]), moras[[#This Row],[TIPO_ASEGURAMIENTO]]=""),
    EDA!$A$32,
    moras[[#This Row],[TIPO_ASEGURAMIENTO]]
)</f>
        <v>ASALARIADO</v>
      </c>
    </row>
    <row r="2885" spans="1:16" x14ac:dyDescent="0.3">
      <c r="A2885">
        <v>2884</v>
      </c>
      <c r="B2885" t="s">
        <v>9</v>
      </c>
      <c r="C2885">
        <v>2414456</v>
      </c>
      <c r="D2885" t="s">
        <v>10</v>
      </c>
      <c r="E2885" t="s">
        <v>16</v>
      </c>
      <c r="F2885" t="s">
        <v>12</v>
      </c>
      <c r="G2885" t="s">
        <v>13</v>
      </c>
      <c r="H2885" t="s">
        <v>13</v>
      </c>
      <c r="I2885">
        <v>36</v>
      </c>
      <c r="J2885">
        <f>ABS((I2885-EDA!$A$15)/EDA!$B$15)</f>
        <v>0.42201166760410774</v>
      </c>
      <c r="K2885" t="str">
        <f t="shared" si="45"/>
        <v>No</v>
      </c>
      <c r="L2885">
        <f>ABS((C2885-EDA!$F$15)/EDA!$G$15)</f>
        <v>0.33547571997387815</v>
      </c>
      <c r="M2885" t="str">
        <f>IF(moras[[#This Row],[Z-Score Salario]]&gt;1.96, "Sí", "No")</f>
        <v>No</v>
      </c>
      <c r="N2885" s="14">
        <f>IF(ISBLANK(moras[[#This Row],[SALARIO]]), EDA!$M$8, moras[[#This Row],[SALARIO]])</f>
        <v>2414456</v>
      </c>
      <c r="O2885" s="14">
        <f xml:space="preserve"> IF(ISBLANK(moras[[#This Row],[EDAD]]), EDA!$E$8, moras[[#This Row],[EDAD]])</f>
        <v>36</v>
      </c>
      <c r="P2885" s="14" t="str">
        <f>IF(
    OR(ISBLANK(moras[[#This Row],[TIPO_ASEGURAMIENTO]]), moras[[#This Row],[TIPO_ASEGURAMIENTO]]=""),
    EDA!$A$32,
    moras[[#This Row],[TIPO_ASEGURAMIENTO]]
)</f>
        <v>ASALARIADO</v>
      </c>
    </row>
    <row r="2886" spans="1:16" x14ac:dyDescent="0.3">
      <c r="A2886">
        <v>2885</v>
      </c>
      <c r="B2886" t="s">
        <v>9</v>
      </c>
      <c r="C2886">
        <v>40665945</v>
      </c>
      <c r="D2886" t="s">
        <v>10</v>
      </c>
      <c r="E2886" t="s">
        <v>11</v>
      </c>
      <c r="F2886" t="s">
        <v>12</v>
      </c>
      <c r="G2886" t="s">
        <v>13</v>
      </c>
      <c r="H2886" t="s">
        <v>13</v>
      </c>
      <c r="I2886">
        <v>27</v>
      </c>
      <c r="J2886">
        <f>ABS((I2886-EDA!$A$15)/EDA!$B$15)</f>
        <v>1.0571896382983452</v>
      </c>
      <c r="K2886" t="str">
        <f t="shared" si="45"/>
        <v>No</v>
      </c>
      <c r="L2886">
        <f>ABS((C2886-EDA!$F$15)/EDA!$G$15)</f>
        <v>0.30105605917876715</v>
      </c>
      <c r="M2886" t="str">
        <f>IF(moras[[#This Row],[Z-Score Salario]]&gt;1.96, "Sí", "No")</f>
        <v>No</v>
      </c>
      <c r="N2886" s="14">
        <f>IF(ISBLANK(moras[[#This Row],[SALARIO]]), EDA!$M$8, moras[[#This Row],[SALARIO]])</f>
        <v>40665945</v>
      </c>
      <c r="O2886" s="14">
        <f xml:space="preserve"> IF(ISBLANK(moras[[#This Row],[EDAD]]), EDA!$E$8, moras[[#This Row],[EDAD]])</f>
        <v>27</v>
      </c>
      <c r="P2886" s="14" t="str">
        <f>IF(
    OR(ISBLANK(moras[[#This Row],[TIPO_ASEGURAMIENTO]]), moras[[#This Row],[TIPO_ASEGURAMIENTO]]=""),
    EDA!$A$32,
    moras[[#This Row],[TIPO_ASEGURAMIENTO]]
)</f>
        <v>ASALARIADO</v>
      </c>
    </row>
    <row r="2887" spans="1:16" x14ac:dyDescent="0.3">
      <c r="A2887">
        <v>2886</v>
      </c>
      <c r="B2887" t="s">
        <v>9</v>
      </c>
      <c r="C2887">
        <v>51443514</v>
      </c>
      <c r="D2887" t="s">
        <v>10</v>
      </c>
      <c r="E2887" t="s">
        <v>16</v>
      </c>
      <c r="F2887" t="s">
        <v>12</v>
      </c>
      <c r="G2887" t="s">
        <v>13</v>
      </c>
      <c r="H2887" t="s">
        <v>13</v>
      </c>
      <c r="I2887">
        <v>48</v>
      </c>
      <c r="J2887">
        <f>ABS((I2887-EDA!$A$15)/EDA!$B$15)</f>
        <v>0.42489229332154227</v>
      </c>
      <c r="K2887" t="str">
        <f t="shared" si="45"/>
        <v>No</v>
      </c>
      <c r="L2887">
        <f>ABS((C2887-EDA!$F$15)/EDA!$G$15)</f>
        <v>0.48040241535618017</v>
      </c>
      <c r="M2887" t="str">
        <f>IF(moras[[#This Row],[Z-Score Salario]]&gt;1.96, "Sí", "No")</f>
        <v>No</v>
      </c>
      <c r="N2887" s="14">
        <f>IF(ISBLANK(moras[[#This Row],[SALARIO]]), EDA!$M$8, moras[[#This Row],[SALARIO]])</f>
        <v>51443514</v>
      </c>
      <c r="O2887" s="14">
        <f xml:space="preserve"> IF(ISBLANK(moras[[#This Row],[EDAD]]), EDA!$E$8, moras[[#This Row],[EDAD]])</f>
        <v>48</v>
      </c>
      <c r="P2887" s="14" t="str">
        <f>IF(
    OR(ISBLANK(moras[[#This Row],[TIPO_ASEGURAMIENTO]]), moras[[#This Row],[TIPO_ASEGURAMIENTO]]=""),
    EDA!$A$32,
    moras[[#This Row],[TIPO_ASEGURAMIENTO]]
)</f>
        <v>ASALARIADO</v>
      </c>
    </row>
    <row r="2888" spans="1:16" x14ac:dyDescent="0.3">
      <c r="A2888">
        <v>2887</v>
      </c>
      <c r="B2888" t="s">
        <v>15</v>
      </c>
      <c r="C2888">
        <v>70580713</v>
      </c>
      <c r="D2888" t="s">
        <v>10</v>
      </c>
      <c r="E2888" t="s">
        <v>11</v>
      </c>
      <c r="F2888" t="s">
        <v>12</v>
      </c>
      <c r="G2888" t="s">
        <v>13</v>
      </c>
      <c r="H2888" t="s">
        <v>13</v>
      </c>
      <c r="I2888">
        <v>34</v>
      </c>
      <c r="J2888">
        <f>ABS((I2888-EDA!$A$15)/EDA!$B$15)</f>
        <v>0.56316232775838282</v>
      </c>
      <c r="K2888" t="str">
        <f t="shared" si="45"/>
        <v>No</v>
      </c>
      <c r="L2888">
        <f>ABS((C2888-EDA!$F$15)/EDA!$G$15)</f>
        <v>0.7988589158983741</v>
      </c>
      <c r="M2888" t="str">
        <f>IF(moras[[#This Row],[Z-Score Salario]]&gt;1.96, "Sí", "No")</f>
        <v>No</v>
      </c>
      <c r="N2888" s="14">
        <f>IF(ISBLANK(moras[[#This Row],[SALARIO]]), EDA!$M$8, moras[[#This Row],[SALARIO]])</f>
        <v>70580713</v>
      </c>
      <c r="O2888" s="14">
        <f xml:space="preserve"> IF(ISBLANK(moras[[#This Row],[EDAD]]), EDA!$E$8, moras[[#This Row],[EDAD]])</f>
        <v>34</v>
      </c>
      <c r="P2888" s="14" t="str">
        <f>IF(
    OR(ISBLANK(moras[[#This Row],[TIPO_ASEGURAMIENTO]]), moras[[#This Row],[TIPO_ASEGURAMIENTO]]=""),
    EDA!$A$32,
    moras[[#This Row],[TIPO_ASEGURAMIENTO]]
)</f>
        <v>ASALARIADO</v>
      </c>
    </row>
    <row r="2889" spans="1:16" x14ac:dyDescent="0.3">
      <c r="A2889">
        <v>2888</v>
      </c>
      <c r="B2889" t="s">
        <v>15</v>
      </c>
      <c r="C2889">
        <v>46256985</v>
      </c>
      <c r="D2889" t="s">
        <v>10</v>
      </c>
      <c r="E2889" t="s">
        <v>16</v>
      </c>
      <c r="F2889" t="s">
        <v>12</v>
      </c>
      <c r="G2889" t="s">
        <v>13</v>
      </c>
      <c r="H2889" t="s">
        <v>13</v>
      </c>
      <c r="I2889">
        <v>27</v>
      </c>
      <c r="J2889">
        <f>ABS((I2889-EDA!$A$15)/EDA!$B$15)</f>
        <v>1.0571896382983452</v>
      </c>
      <c r="K2889" t="str">
        <f t="shared" si="45"/>
        <v>No</v>
      </c>
      <c r="L2889">
        <f>ABS((C2889-EDA!$F$15)/EDA!$G$15)</f>
        <v>0.39409491156209803</v>
      </c>
      <c r="M2889" t="str">
        <f>IF(moras[[#This Row],[Z-Score Salario]]&gt;1.96, "Sí", "No")</f>
        <v>No</v>
      </c>
      <c r="N2889" s="14">
        <f>IF(ISBLANK(moras[[#This Row],[SALARIO]]), EDA!$M$8, moras[[#This Row],[SALARIO]])</f>
        <v>46256985</v>
      </c>
      <c r="O2889" s="14">
        <f xml:space="preserve"> IF(ISBLANK(moras[[#This Row],[EDAD]]), EDA!$E$8, moras[[#This Row],[EDAD]])</f>
        <v>27</v>
      </c>
      <c r="P2889" s="14" t="str">
        <f>IF(
    OR(ISBLANK(moras[[#This Row],[TIPO_ASEGURAMIENTO]]), moras[[#This Row],[TIPO_ASEGURAMIENTO]]=""),
    EDA!$A$32,
    moras[[#This Row],[TIPO_ASEGURAMIENTO]]
)</f>
        <v>ASALARIADO</v>
      </c>
    </row>
    <row r="2890" spans="1:16" x14ac:dyDescent="0.3">
      <c r="A2890">
        <v>2889</v>
      </c>
      <c r="B2890" t="s">
        <v>9</v>
      </c>
      <c r="C2890">
        <v>100000</v>
      </c>
      <c r="D2890" t="s">
        <v>10</v>
      </c>
      <c r="E2890" t="s">
        <v>16</v>
      </c>
      <c r="F2890" t="s">
        <v>12</v>
      </c>
      <c r="G2890" t="s">
        <v>13</v>
      </c>
      <c r="H2890" t="s">
        <v>13</v>
      </c>
      <c r="I2890">
        <v>24</v>
      </c>
      <c r="J2890">
        <f>ABS((I2890-EDA!$A$15)/EDA!$B$15)</f>
        <v>1.2689156285297578</v>
      </c>
      <c r="K2890" t="str">
        <f t="shared" si="45"/>
        <v>No</v>
      </c>
      <c r="L2890">
        <f>ABS((C2890-EDA!$F$15)/EDA!$G$15)</f>
        <v>0.3739899016165984</v>
      </c>
      <c r="M2890" t="str">
        <f>IF(moras[[#This Row],[Z-Score Salario]]&gt;1.96, "Sí", "No")</f>
        <v>No</v>
      </c>
      <c r="N2890" s="14">
        <f>IF(ISBLANK(moras[[#This Row],[SALARIO]]), EDA!$M$8, moras[[#This Row],[SALARIO]])</f>
        <v>100000</v>
      </c>
      <c r="O2890" s="14">
        <f xml:space="preserve"> IF(ISBLANK(moras[[#This Row],[EDAD]]), EDA!$E$8, moras[[#This Row],[EDAD]])</f>
        <v>24</v>
      </c>
      <c r="P2890" s="14" t="str">
        <f>IF(
    OR(ISBLANK(moras[[#This Row],[TIPO_ASEGURAMIENTO]]), moras[[#This Row],[TIPO_ASEGURAMIENTO]]=""),
    EDA!$A$32,
    moras[[#This Row],[TIPO_ASEGURAMIENTO]]
)</f>
        <v>ASALARIADO</v>
      </c>
    </row>
    <row r="2891" spans="1:16" x14ac:dyDescent="0.3">
      <c r="A2891">
        <v>2890</v>
      </c>
      <c r="B2891" t="s">
        <v>9</v>
      </c>
      <c r="C2891">
        <v>337811</v>
      </c>
      <c r="D2891" t="s">
        <v>14</v>
      </c>
      <c r="E2891" t="s">
        <v>11</v>
      </c>
      <c r="F2891" t="s">
        <v>12</v>
      </c>
      <c r="G2891" t="s">
        <v>13</v>
      </c>
      <c r="H2891" t="s">
        <v>13</v>
      </c>
      <c r="I2891">
        <v>81</v>
      </c>
      <c r="J2891">
        <f>ABS((I2891-EDA!$A$15)/EDA!$B$15)</f>
        <v>2.7538781858670798</v>
      </c>
      <c r="K2891" t="str">
        <f t="shared" si="45"/>
        <v>Sí</v>
      </c>
      <c r="L2891">
        <f>ABS((C2891-EDA!$F$15)/EDA!$G$15)</f>
        <v>0.37003255870291285</v>
      </c>
      <c r="M2891" t="str">
        <f>IF(moras[[#This Row],[Z-Score Salario]]&gt;1.96, "Sí", "No")</f>
        <v>No</v>
      </c>
      <c r="N2891" s="14">
        <f>IF(ISBLANK(moras[[#This Row],[SALARIO]]), EDA!$M$8, moras[[#This Row],[SALARIO]])</f>
        <v>337811</v>
      </c>
      <c r="O2891" s="14">
        <f xml:space="preserve"> IF(ISBLANK(moras[[#This Row],[EDAD]]), EDA!$E$8, moras[[#This Row],[EDAD]])</f>
        <v>81</v>
      </c>
      <c r="P2891" s="14" t="str">
        <f>IF(
    OR(ISBLANK(moras[[#This Row],[TIPO_ASEGURAMIENTO]]), moras[[#This Row],[TIPO_ASEGURAMIENTO]]=""),
    EDA!$A$32,
    moras[[#This Row],[TIPO_ASEGURAMIENTO]]
)</f>
        <v>PENSIONADOS EN SU PROPIO SISTEMA</v>
      </c>
    </row>
    <row r="2892" spans="1:16" x14ac:dyDescent="0.3">
      <c r="A2892">
        <v>2891</v>
      </c>
      <c r="B2892" t="s">
        <v>15</v>
      </c>
      <c r="C2892">
        <v>35954427</v>
      </c>
      <c r="D2892" t="s">
        <v>21</v>
      </c>
      <c r="E2892" t="s">
        <v>16</v>
      </c>
      <c r="F2892" t="s">
        <v>12</v>
      </c>
      <c r="G2892" t="s">
        <v>12</v>
      </c>
      <c r="H2892" t="s">
        <v>13</v>
      </c>
      <c r="I2892">
        <v>38</v>
      </c>
      <c r="J2892">
        <f>ABS((I2892-EDA!$A$15)/EDA!$B$15)</f>
        <v>0.28086100744983278</v>
      </c>
      <c r="K2892" t="str">
        <f t="shared" si="45"/>
        <v>No</v>
      </c>
      <c r="L2892">
        <f>ABS((C2892-EDA!$F$15)/EDA!$G$15)</f>
        <v>0.22265307374074372</v>
      </c>
      <c r="M2892" t="str">
        <f>IF(moras[[#This Row],[Z-Score Salario]]&gt;1.96, "Sí", "No")</f>
        <v>No</v>
      </c>
      <c r="N2892" s="14">
        <f>IF(ISBLANK(moras[[#This Row],[SALARIO]]), EDA!$M$8, moras[[#This Row],[SALARIO]])</f>
        <v>35954427</v>
      </c>
      <c r="O2892" s="14">
        <f xml:space="preserve"> IF(ISBLANK(moras[[#This Row],[EDAD]]), EDA!$E$8, moras[[#This Row],[EDAD]])</f>
        <v>38</v>
      </c>
      <c r="P2892" s="14" t="str">
        <f>IF(
    OR(ISBLANK(moras[[#This Row],[TIPO_ASEGURAMIENTO]]), moras[[#This Row],[TIPO_ASEGURAMIENTO]]=""),
    EDA!$A$32,
    moras[[#This Row],[TIPO_ASEGURAMIENTO]]
)</f>
        <v>CONVENIOS ESPECIALES DE ASEGURADOS VOLUNTARIOS</v>
      </c>
    </row>
    <row r="2893" spans="1:16" x14ac:dyDescent="0.3">
      <c r="A2893">
        <v>2892</v>
      </c>
      <c r="B2893" t="s">
        <v>9</v>
      </c>
      <c r="C2893">
        <v>44438901</v>
      </c>
      <c r="D2893" t="s">
        <v>10</v>
      </c>
      <c r="E2893" t="s">
        <v>11</v>
      </c>
      <c r="F2893" t="s">
        <v>12</v>
      </c>
      <c r="G2893" t="s">
        <v>13</v>
      </c>
      <c r="H2893" t="s">
        <v>13</v>
      </c>
      <c r="I2893">
        <v>60</v>
      </c>
      <c r="J2893">
        <f>ABS((I2893-EDA!$A$15)/EDA!$B$15)</f>
        <v>1.2717962542471923</v>
      </c>
      <c r="K2893" t="str">
        <f t="shared" si="45"/>
        <v>No</v>
      </c>
      <c r="L2893">
        <f>ABS((C2893-EDA!$F$15)/EDA!$G$15)</f>
        <v>0.36384071039442695</v>
      </c>
      <c r="M2893" t="str">
        <f>IF(moras[[#This Row],[Z-Score Salario]]&gt;1.96, "Sí", "No")</f>
        <v>No</v>
      </c>
      <c r="N2893" s="14">
        <f>IF(ISBLANK(moras[[#This Row],[SALARIO]]), EDA!$M$8, moras[[#This Row],[SALARIO]])</f>
        <v>44438901</v>
      </c>
      <c r="O2893" s="14">
        <f xml:space="preserve"> IF(ISBLANK(moras[[#This Row],[EDAD]]), EDA!$E$8, moras[[#This Row],[EDAD]])</f>
        <v>60</v>
      </c>
      <c r="P2893" s="14" t="str">
        <f>IF(
    OR(ISBLANK(moras[[#This Row],[TIPO_ASEGURAMIENTO]]), moras[[#This Row],[TIPO_ASEGURAMIENTO]]=""),
    EDA!$A$32,
    moras[[#This Row],[TIPO_ASEGURAMIENTO]]
)</f>
        <v>ASALARIADO</v>
      </c>
    </row>
    <row r="2894" spans="1:16" x14ac:dyDescent="0.3">
      <c r="A2894">
        <v>2893</v>
      </c>
      <c r="B2894" t="s">
        <v>9</v>
      </c>
      <c r="C2894">
        <v>299046</v>
      </c>
      <c r="D2894" t="s">
        <v>17</v>
      </c>
      <c r="E2894" t="s">
        <v>16</v>
      </c>
      <c r="F2894" t="s">
        <v>12</v>
      </c>
      <c r="G2894" t="s">
        <v>13</v>
      </c>
      <c r="H2894" t="s">
        <v>13</v>
      </c>
      <c r="I2894">
        <v>31</v>
      </c>
      <c r="J2894">
        <f>ABS((I2894-EDA!$A$15)/EDA!$B$15)</f>
        <v>0.77488831798979529</v>
      </c>
      <c r="K2894" t="str">
        <f t="shared" si="45"/>
        <v>No</v>
      </c>
      <c r="L2894">
        <f>ABS((C2894-EDA!$F$15)/EDA!$G$15)</f>
        <v>0.3706776356675992</v>
      </c>
      <c r="M2894" t="str">
        <f>IF(moras[[#This Row],[Z-Score Salario]]&gt;1.96, "Sí", "No")</f>
        <v>No</v>
      </c>
      <c r="N2894" s="14">
        <f>IF(ISBLANK(moras[[#This Row],[SALARIO]]), EDA!$M$8, moras[[#This Row],[SALARIO]])</f>
        <v>299046</v>
      </c>
      <c r="O2894" s="14">
        <f xml:space="preserve"> IF(ISBLANK(moras[[#This Row],[EDAD]]), EDA!$E$8, moras[[#This Row],[EDAD]])</f>
        <v>31</v>
      </c>
      <c r="P2894" s="14" t="str">
        <f>IF(
    OR(ISBLANK(moras[[#This Row],[TIPO_ASEGURAMIENTO]]), moras[[#This Row],[TIPO_ASEGURAMIENTO]]=""),
    EDA!$A$32,
    moras[[#This Row],[TIPO_ASEGURAMIENTO]]
)</f>
        <v>ASEGURADO VOLUNTARIO</v>
      </c>
    </row>
    <row r="2895" spans="1:16" x14ac:dyDescent="0.3">
      <c r="A2895">
        <v>2894</v>
      </c>
      <c r="B2895" t="s">
        <v>9</v>
      </c>
      <c r="C2895">
        <v>127059665</v>
      </c>
      <c r="D2895" t="s">
        <v>10</v>
      </c>
      <c r="E2895" t="s">
        <v>11</v>
      </c>
      <c r="F2895" t="s">
        <v>12</v>
      </c>
      <c r="G2895" t="s">
        <v>13</v>
      </c>
      <c r="H2895" t="s">
        <v>13</v>
      </c>
      <c r="I2895">
        <v>44</v>
      </c>
      <c r="J2895">
        <f>ABS((I2895-EDA!$A$15)/EDA!$B$15)</f>
        <v>0.14259097301299228</v>
      </c>
      <c r="K2895" t="str">
        <f t="shared" si="45"/>
        <v>No</v>
      </c>
      <c r="L2895">
        <f>ABS((C2895-EDA!$F$15)/EDA!$G$15)</f>
        <v>1.7387085463594745</v>
      </c>
      <c r="M2895" t="str">
        <f>IF(moras[[#This Row],[Z-Score Salario]]&gt;1.96, "Sí", "No")</f>
        <v>No</v>
      </c>
      <c r="N2895" s="14">
        <f>IF(ISBLANK(moras[[#This Row],[SALARIO]]), EDA!$M$8, moras[[#This Row],[SALARIO]])</f>
        <v>127059665</v>
      </c>
      <c r="O2895" s="14">
        <f xml:space="preserve"> IF(ISBLANK(moras[[#This Row],[EDAD]]), EDA!$E$8, moras[[#This Row],[EDAD]])</f>
        <v>44</v>
      </c>
      <c r="P2895" s="14" t="str">
        <f>IF(
    OR(ISBLANK(moras[[#This Row],[TIPO_ASEGURAMIENTO]]), moras[[#This Row],[TIPO_ASEGURAMIENTO]]=""),
    EDA!$A$32,
    moras[[#This Row],[TIPO_ASEGURAMIENTO]]
)</f>
        <v>ASALARIADO</v>
      </c>
    </row>
    <row r="2896" spans="1:16" x14ac:dyDescent="0.3">
      <c r="A2896">
        <v>2895</v>
      </c>
      <c r="B2896" t="s">
        <v>9</v>
      </c>
      <c r="C2896">
        <v>92278875</v>
      </c>
      <c r="D2896" t="s">
        <v>10</v>
      </c>
      <c r="E2896" t="s">
        <v>16</v>
      </c>
      <c r="F2896" t="s">
        <v>12</v>
      </c>
      <c r="G2896" t="s">
        <v>13</v>
      </c>
      <c r="H2896" t="s">
        <v>13</v>
      </c>
      <c r="I2896">
        <v>25</v>
      </c>
      <c r="J2896">
        <f>ABS((I2896-EDA!$A$15)/EDA!$B$15)</f>
        <v>1.1983402984526204</v>
      </c>
      <c r="K2896" t="str">
        <f t="shared" si="45"/>
        <v>No</v>
      </c>
      <c r="L2896">
        <f>ABS((C2896-EDA!$F$15)/EDA!$G$15)</f>
        <v>1.1599316485755859</v>
      </c>
      <c r="M2896" t="str">
        <f>IF(moras[[#This Row],[Z-Score Salario]]&gt;1.96, "Sí", "No")</f>
        <v>No</v>
      </c>
      <c r="N2896" s="14">
        <f>IF(ISBLANK(moras[[#This Row],[SALARIO]]), EDA!$M$8, moras[[#This Row],[SALARIO]])</f>
        <v>92278875</v>
      </c>
      <c r="O2896" s="14">
        <f xml:space="preserve"> IF(ISBLANK(moras[[#This Row],[EDAD]]), EDA!$E$8, moras[[#This Row],[EDAD]])</f>
        <v>25</v>
      </c>
      <c r="P2896" s="14" t="str">
        <f>IF(
    OR(ISBLANK(moras[[#This Row],[TIPO_ASEGURAMIENTO]]), moras[[#This Row],[TIPO_ASEGURAMIENTO]]=""),
    EDA!$A$32,
    moras[[#This Row],[TIPO_ASEGURAMIENTO]]
)</f>
        <v>ASALARIADO</v>
      </c>
    </row>
    <row r="2897" spans="1:16" x14ac:dyDescent="0.3">
      <c r="A2897">
        <v>2896</v>
      </c>
      <c r="B2897" t="s">
        <v>9</v>
      </c>
      <c r="C2897">
        <v>297045</v>
      </c>
      <c r="D2897" t="s">
        <v>18</v>
      </c>
      <c r="E2897" t="s">
        <v>16</v>
      </c>
      <c r="F2897" t="s">
        <v>12</v>
      </c>
      <c r="G2897" t="s">
        <v>13</v>
      </c>
      <c r="H2897" t="s">
        <v>13</v>
      </c>
      <c r="I2897">
        <v>49</v>
      </c>
      <c r="J2897">
        <f>ABS((I2897-EDA!$A$15)/EDA!$B$15)</f>
        <v>0.49546762339867978</v>
      </c>
      <c r="K2897" t="str">
        <f t="shared" si="45"/>
        <v>No</v>
      </c>
      <c r="L2897">
        <f>ABS((C2897-EDA!$F$15)/EDA!$G$15)</f>
        <v>0.37071093372012948</v>
      </c>
      <c r="M2897" t="str">
        <f>IF(moras[[#This Row],[Z-Score Salario]]&gt;1.96, "Sí", "No")</f>
        <v>No</v>
      </c>
      <c r="N2897" s="14">
        <f>IF(ISBLANK(moras[[#This Row],[SALARIO]]), EDA!$M$8, moras[[#This Row],[SALARIO]])</f>
        <v>297045</v>
      </c>
      <c r="O2897" s="14">
        <f xml:space="preserve"> IF(ISBLANK(moras[[#This Row],[EDAD]]), EDA!$E$8, moras[[#This Row],[EDAD]])</f>
        <v>49</v>
      </c>
      <c r="P2897" s="14" t="str">
        <f>IF(
    OR(ISBLANK(moras[[#This Row],[TIPO_ASEGURAMIENTO]]), moras[[#This Row],[TIPO_ASEGURAMIENTO]]=""),
    EDA!$A$32,
    moras[[#This Row],[TIPO_ASEGURAMIENTO]]
)</f>
        <v>TRABAJADOR INDEPENDIENTE</v>
      </c>
    </row>
    <row r="2898" spans="1:16" x14ac:dyDescent="0.3">
      <c r="A2898">
        <v>2897</v>
      </c>
      <c r="B2898" t="s">
        <v>15</v>
      </c>
      <c r="C2898">
        <v>105593804</v>
      </c>
      <c r="D2898" t="s">
        <v>10</v>
      </c>
      <c r="E2898" t="s">
        <v>11</v>
      </c>
      <c r="F2898" t="s">
        <v>12</v>
      </c>
      <c r="G2898" t="s">
        <v>13</v>
      </c>
      <c r="H2898" t="s">
        <v>13</v>
      </c>
      <c r="I2898">
        <v>30</v>
      </c>
      <c r="J2898">
        <f>ABS((I2898-EDA!$A$15)/EDA!$B$15)</f>
        <v>0.84546364806693275</v>
      </c>
      <c r="K2898" t="str">
        <f t="shared" si="45"/>
        <v>No</v>
      </c>
      <c r="L2898">
        <f>ABS((C2898-EDA!$F$15)/EDA!$G$15)</f>
        <v>1.3815014663063716</v>
      </c>
      <c r="M2898" t="str">
        <f>IF(moras[[#This Row],[Z-Score Salario]]&gt;1.96, "Sí", "No")</f>
        <v>No</v>
      </c>
      <c r="N2898" s="14">
        <f>IF(ISBLANK(moras[[#This Row],[SALARIO]]), EDA!$M$8, moras[[#This Row],[SALARIO]])</f>
        <v>105593804</v>
      </c>
      <c r="O2898" s="14">
        <f xml:space="preserve"> IF(ISBLANK(moras[[#This Row],[EDAD]]), EDA!$E$8, moras[[#This Row],[EDAD]])</f>
        <v>30</v>
      </c>
      <c r="P2898" s="14" t="str">
        <f>IF(
    OR(ISBLANK(moras[[#This Row],[TIPO_ASEGURAMIENTO]]), moras[[#This Row],[TIPO_ASEGURAMIENTO]]=""),
    EDA!$A$32,
    moras[[#This Row],[TIPO_ASEGURAMIENTO]]
)</f>
        <v>ASALARIADO</v>
      </c>
    </row>
    <row r="2899" spans="1:16" x14ac:dyDescent="0.3">
      <c r="A2899">
        <v>2898</v>
      </c>
      <c r="B2899" t="s">
        <v>15</v>
      </c>
      <c r="C2899">
        <v>639148</v>
      </c>
      <c r="D2899" t="s">
        <v>17</v>
      </c>
      <c r="E2899" t="s">
        <v>16</v>
      </c>
      <c r="F2899" t="s">
        <v>12</v>
      </c>
      <c r="G2899" t="s">
        <v>13</v>
      </c>
      <c r="H2899" t="s">
        <v>13</v>
      </c>
      <c r="I2899">
        <v>75</v>
      </c>
      <c r="J2899">
        <f>ABS((I2899-EDA!$A$15)/EDA!$B$15)</f>
        <v>2.330426205404255</v>
      </c>
      <c r="K2899" t="str">
        <f t="shared" si="45"/>
        <v>Sí</v>
      </c>
      <c r="L2899">
        <f>ABS((C2899-EDA!$F$15)/EDA!$G$15)</f>
        <v>0.36501809830544912</v>
      </c>
      <c r="M2899" t="str">
        <f>IF(moras[[#This Row],[Z-Score Salario]]&gt;1.96, "Sí", "No")</f>
        <v>No</v>
      </c>
      <c r="N2899" s="14">
        <f>IF(ISBLANK(moras[[#This Row],[SALARIO]]), EDA!$M$8, moras[[#This Row],[SALARIO]])</f>
        <v>639148</v>
      </c>
      <c r="O2899" s="14">
        <f xml:space="preserve"> IF(ISBLANK(moras[[#This Row],[EDAD]]), EDA!$E$8, moras[[#This Row],[EDAD]])</f>
        <v>75</v>
      </c>
      <c r="P2899" s="14" t="str">
        <f>IF(
    OR(ISBLANK(moras[[#This Row],[TIPO_ASEGURAMIENTO]]), moras[[#This Row],[TIPO_ASEGURAMIENTO]]=""),
    EDA!$A$32,
    moras[[#This Row],[TIPO_ASEGURAMIENTO]]
)</f>
        <v>ASEGURADO VOLUNTARIO</v>
      </c>
    </row>
    <row r="2900" spans="1:16" x14ac:dyDescent="0.3">
      <c r="A2900">
        <v>2899</v>
      </c>
      <c r="B2900" t="s">
        <v>9</v>
      </c>
      <c r="C2900">
        <v>38509362</v>
      </c>
      <c r="D2900" t="s">
        <v>10</v>
      </c>
      <c r="E2900" t="s">
        <v>16</v>
      </c>
      <c r="F2900" t="s">
        <v>12</v>
      </c>
      <c r="G2900" t="s">
        <v>13</v>
      </c>
      <c r="H2900" t="s">
        <v>13</v>
      </c>
      <c r="I2900">
        <v>44</v>
      </c>
      <c r="J2900">
        <f>ABS((I2900-EDA!$A$15)/EDA!$B$15)</f>
        <v>0.14259097301299228</v>
      </c>
      <c r="K2900" t="str">
        <f t="shared" si="45"/>
        <v>No</v>
      </c>
      <c r="L2900">
        <f>ABS((C2900-EDA!$F$15)/EDA!$G$15)</f>
        <v>0.26516899570052321</v>
      </c>
      <c r="M2900" t="str">
        <f>IF(moras[[#This Row],[Z-Score Salario]]&gt;1.96, "Sí", "No")</f>
        <v>No</v>
      </c>
      <c r="N2900" s="14">
        <f>IF(ISBLANK(moras[[#This Row],[SALARIO]]), EDA!$M$8, moras[[#This Row],[SALARIO]])</f>
        <v>38509362</v>
      </c>
      <c r="O2900" s="14">
        <f xml:space="preserve"> IF(ISBLANK(moras[[#This Row],[EDAD]]), EDA!$E$8, moras[[#This Row],[EDAD]])</f>
        <v>44</v>
      </c>
      <c r="P2900" s="14" t="str">
        <f>IF(
    OR(ISBLANK(moras[[#This Row],[TIPO_ASEGURAMIENTO]]), moras[[#This Row],[TIPO_ASEGURAMIENTO]]=""),
    EDA!$A$32,
    moras[[#This Row],[TIPO_ASEGURAMIENTO]]
)</f>
        <v>ASALARIADO</v>
      </c>
    </row>
    <row r="2901" spans="1:16" x14ac:dyDescent="0.3">
      <c r="A2901">
        <v>2900</v>
      </c>
      <c r="B2901" t="s">
        <v>9</v>
      </c>
      <c r="C2901">
        <v>64625166</v>
      </c>
      <c r="D2901" t="s">
        <v>10</v>
      </c>
      <c r="E2901" t="s">
        <v>16</v>
      </c>
      <c r="F2901" t="s">
        <v>12</v>
      </c>
      <c r="G2901" t="s">
        <v>13</v>
      </c>
      <c r="H2901" t="s">
        <v>13</v>
      </c>
      <c r="I2901">
        <v>27</v>
      </c>
      <c r="J2901">
        <f>ABS((I2901-EDA!$A$15)/EDA!$B$15)</f>
        <v>1.0571896382983452</v>
      </c>
      <c r="K2901" t="str">
        <f t="shared" si="45"/>
        <v>No</v>
      </c>
      <c r="L2901">
        <f>ABS((C2901-EDA!$F$15)/EDA!$G$15)</f>
        <v>0.69975440972510594</v>
      </c>
      <c r="M2901" t="str">
        <f>IF(moras[[#This Row],[Z-Score Salario]]&gt;1.96, "Sí", "No")</f>
        <v>No</v>
      </c>
      <c r="N2901" s="14">
        <f>IF(ISBLANK(moras[[#This Row],[SALARIO]]), EDA!$M$8, moras[[#This Row],[SALARIO]])</f>
        <v>64625166</v>
      </c>
      <c r="O2901" s="14">
        <f xml:space="preserve"> IF(ISBLANK(moras[[#This Row],[EDAD]]), EDA!$E$8, moras[[#This Row],[EDAD]])</f>
        <v>27</v>
      </c>
      <c r="P2901" s="14" t="str">
        <f>IF(
    OR(ISBLANK(moras[[#This Row],[TIPO_ASEGURAMIENTO]]), moras[[#This Row],[TIPO_ASEGURAMIENTO]]=""),
    EDA!$A$32,
    moras[[#This Row],[TIPO_ASEGURAMIENTO]]
)</f>
        <v>ASALARIADO</v>
      </c>
    </row>
    <row r="2902" spans="1:16" x14ac:dyDescent="0.3">
      <c r="A2902">
        <v>2901</v>
      </c>
      <c r="B2902" t="s">
        <v>9</v>
      </c>
      <c r="C2902">
        <v>330000</v>
      </c>
      <c r="D2902" t="s">
        <v>10</v>
      </c>
      <c r="E2902" t="s">
        <v>16</v>
      </c>
      <c r="F2902" t="s">
        <v>12</v>
      </c>
      <c r="G2902" t="s">
        <v>12</v>
      </c>
      <c r="H2902" t="s">
        <v>13</v>
      </c>
      <c r="I2902">
        <v>47</v>
      </c>
      <c r="J2902">
        <f>ABS((I2902-EDA!$A$15)/EDA!$B$15)</f>
        <v>0.35431696324440481</v>
      </c>
      <c r="K2902" t="str">
        <f t="shared" si="45"/>
        <v>No</v>
      </c>
      <c r="L2902">
        <f>ABS((C2902-EDA!$F$15)/EDA!$G$15)</f>
        <v>0.37016253925679304</v>
      </c>
      <c r="M2902" t="str">
        <f>IF(moras[[#This Row],[Z-Score Salario]]&gt;1.96, "Sí", "No")</f>
        <v>No</v>
      </c>
      <c r="N2902" s="14">
        <f>IF(ISBLANK(moras[[#This Row],[SALARIO]]), EDA!$M$8, moras[[#This Row],[SALARIO]])</f>
        <v>330000</v>
      </c>
      <c r="O2902" s="14">
        <f xml:space="preserve"> IF(ISBLANK(moras[[#This Row],[EDAD]]), EDA!$E$8, moras[[#This Row],[EDAD]])</f>
        <v>47</v>
      </c>
      <c r="P2902" s="14" t="str">
        <f>IF(
    OR(ISBLANK(moras[[#This Row],[TIPO_ASEGURAMIENTO]]), moras[[#This Row],[TIPO_ASEGURAMIENTO]]=""),
    EDA!$A$32,
    moras[[#This Row],[TIPO_ASEGURAMIENTO]]
)</f>
        <v>ASALARIADO</v>
      </c>
    </row>
    <row r="2903" spans="1:16" x14ac:dyDescent="0.3">
      <c r="A2903">
        <v>2902</v>
      </c>
      <c r="B2903" t="s">
        <v>9</v>
      </c>
      <c r="C2903">
        <v>297046</v>
      </c>
      <c r="D2903" t="s">
        <v>18</v>
      </c>
      <c r="E2903" t="s">
        <v>16</v>
      </c>
      <c r="F2903" t="s">
        <v>12</v>
      </c>
      <c r="G2903" t="s">
        <v>13</v>
      </c>
      <c r="H2903" t="s">
        <v>13</v>
      </c>
      <c r="I2903">
        <v>63</v>
      </c>
      <c r="J2903">
        <f>ABS((I2903-EDA!$A$15)/EDA!$B$15)</f>
        <v>1.4835222444786049</v>
      </c>
      <c r="K2903" t="str">
        <f t="shared" si="45"/>
        <v>No</v>
      </c>
      <c r="L2903">
        <f>ABS((C2903-EDA!$F$15)/EDA!$G$15)</f>
        <v>0.37071091707942361</v>
      </c>
      <c r="M2903" t="str">
        <f>IF(moras[[#This Row],[Z-Score Salario]]&gt;1.96, "Sí", "No")</f>
        <v>No</v>
      </c>
      <c r="N2903" s="14">
        <f>IF(ISBLANK(moras[[#This Row],[SALARIO]]), EDA!$M$8, moras[[#This Row],[SALARIO]])</f>
        <v>297046</v>
      </c>
      <c r="O2903" s="14">
        <f xml:space="preserve"> IF(ISBLANK(moras[[#This Row],[EDAD]]), EDA!$E$8, moras[[#This Row],[EDAD]])</f>
        <v>63</v>
      </c>
      <c r="P2903" s="14" t="str">
        <f>IF(
    OR(ISBLANK(moras[[#This Row],[TIPO_ASEGURAMIENTO]]), moras[[#This Row],[TIPO_ASEGURAMIENTO]]=""),
    EDA!$A$32,
    moras[[#This Row],[TIPO_ASEGURAMIENTO]]
)</f>
        <v>TRABAJADOR INDEPENDIENTE</v>
      </c>
    </row>
    <row r="2904" spans="1:16" x14ac:dyDescent="0.3">
      <c r="A2904">
        <v>2903</v>
      </c>
      <c r="B2904" t="s">
        <v>15</v>
      </c>
      <c r="C2904">
        <v>62239465</v>
      </c>
      <c r="D2904" t="s">
        <v>10</v>
      </c>
      <c r="E2904" t="s">
        <v>16</v>
      </c>
      <c r="F2904" t="s">
        <v>12</v>
      </c>
      <c r="G2904" t="s">
        <v>13</v>
      </c>
      <c r="H2904" t="s">
        <v>12</v>
      </c>
      <c r="I2904">
        <v>23</v>
      </c>
      <c r="J2904">
        <f>ABS((I2904-EDA!$A$15)/EDA!$B$15)</f>
        <v>1.3394909586068953</v>
      </c>
      <c r="K2904" t="str">
        <f t="shared" si="45"/>
        <v>No</v>
      </c>
      <c r="L2904">
        <f>ABS((C2904-EDA!$F$15)/EDA!$G$15)</f>
        <v>0.66005466098967114</v>
      </c>
      <c r="M2904" t="str">
        <f>IF(moras[[#This Row],[Z-Score Salario]]&gt;1.96, "Sí", "No")</f>
        <v>No</v>
      </c>
      <c r="N2904" s="14">
        <f>IF(ISBLANK(moras[[#This Row],[SALARIO]]), EDA!$M$8, moras[[#This Row],[SALARIO]])</f>
        <v>62239465</v>
      </c>
      <c r="O2904" s="14">
        <f xml:space="preserve"> IF(ISBLANK(moras[[#This Row],[EDAD]]), EDA!$E$8, moras[[#This Row],[EDAD]])</f>
        <v>23</v>
      </c>
      <c r="P2904" s="14" t="str">
        <f>IF(
    OR(ISBLANK(moras[[#This Row],[TIPO_ASEGURAMIENTO]]), moras[[#This Row],[TIPO_ASEGURAMIENTO]]=""),
    EDA!$A$32,
    moras[[#This Row],[TIPO_ASEGURAMIENTO]]
)</f>
        <v>ASALARIADO</v>
      </c>
    </row>
    <row r="2905" spans="1:16" x14ac:dyDescent="0.3">
      <c r="A2905">
        <v>2904</v>
      </c>
      <c r="B2905" t="s">
        <v>9</v>
      </c>
      <c r="C2905">
        <v>171000</v>
      </c>
      <c r="D2905" t="s">
        <v>10</v>
      </c>
      <c r="E2905" t="s">
        <v>16</v>
      </c>
      <c r="F2905" t="s">
        <v>12</v>
      </c>
      <c r="G2905" t="s">
        <v>13</v>
      </c>
      <c r="H2905" t="s">
        <v>13</v>
      </c>
      <c r="I2905">
        <v>56</v>
      </c>
      <c r="J2905">
        <f>ABS((I2905-EDA!$A$15)/EDA!$B$15)</f>
        <v>0.9894949339386423</v>
      </c>
      <c r="K2905" t="str">
        <f t="shared" si="45"/>
        <v>No</v>
      </c>
      <c r="L2905">
        <f>ABS((C2905-EDA!$F$15)/EDA!$G$15)</f>
        <v>0.37280841149683241</v>
      </c>
      <c r="M2905" t="str">
        <f>IF(moras[[#This Row],[Z-Score Salario]]&gt;1.96, "Sí", "No")</f>
        <v>No</v>
      </c>
      <c r="N2905" s="14">
        <f>IF(ISBLANK(moras[[#This Row],[SALARIO]]), EDA!$M$8, moras[[#This Row],[SALARIO]])</f>
        <v>171000</v>
      </c>
      <c r="O2905" s="14">
        <f xml:space="preserve"> IF(ISBLANK(moras[[#This Row],[EDAD]]), EDA!$E$8, moras[[#This Row],[EDAD]])</f>
        <v>56</v>
      </c>
      <c r="P2905" s="14" t="str">
        <f>IF(
    OR(ISBLANK(moras[[#This Row],[TIPO_ASEGURAMIENTO]]), moras[[#This Row],[TIPO_ASEGURAMIENTO]]=""),
    EDA!$A$32,
    moras[[#This Row],[TIPO_ASEGURAMIENTO]]
)</f>
        <v>ASALARIADO</v>
      </c>
    </row>
    <row r="2906" spans="1:16" x14ac:dyDescent="0.3">
      <c r="A2906">
        <v>2905</v>
      </c>
      <c r="B2906" t="s">
        <v>15</v>
      </c>
      <c r="C2906">
        <v>38540061</v>
      </c>
      <c r="D2906" t="s">
        <v>10</v>
      </c>
      <c r="E2906" t="s">
        <v>16</v>
      </c>
      <c r="F2906" t="s">
        <v>12</v>
      </c>
      <c r="G2906" t="s">
        <v>12</v>
      </c>
      <c r="H2906" t="s">
        <v>13</v>
      </c>
      <c r="I2906">
        <v>30</v>
      </c>
      <c r="J2906">
        <f>ABS((I2906-EDA!$A$15)/EDA!$B$15)</f>
        <v>0.84546364806693275</v>
      </c>
      <c r="K2906" t="str">
        <f t="shared" si="45"/>
        <v>No</v>
      </c>
      <c r="L2906">
        <f>ABS((C2906-EDA!$F$15)/EDA!$G$15)</f>
        <v>0.26567984873132172</v>
      </c>
      <c r="M2906" t="str">
        <f>IF(moras[[#This Row],[Z-Score Salario]]&gt;1.96, "Sí", "No")</f>
        <v>No</v>
      </c>
      <c r="N2906" s="14">
        <f>IF(ISBLANK(moras[[#This Row],[SALARIO]]), EDA!$M$8, moras[[#This Row],[SALARIO]])</f>
        <v>38540061</v>
      </c>
      <c r="O2906" s="14">
        <f xml:space="preserve"> IF(ISBLANK(moras[[#This Row],[EDAD]]), EDA!$E$8, moras[[#This Row],[EDAD]])</f>
        <v>30</v>
      </c>
      <c r="P2906" s="14" t="str">
        <f>IF(
    OR(ISBLANK(moras[[#This Row],[TIPO_ASEGURAMIENTO]]), moras[[#This Row],[TIPO_ASEGURAMIENTO]]=""),
    EDA!$A$32,
    moras[[#This Row],[TIPO_ASEGURAMIENTO]]
)</f>
        <v>ASALARIADO</v>
      </c>
    </row>
    <row r="2907" spans="1:16" x14ac:dyDescent="0.3">
      <c r="A2907">
        <v>2906</v>
      </c>
      <c r="B2907" t="s">
        <v>15</v>
      </c>
      <c r="C2907">
        <v>161931326</v>
      </c>
      <c r="D2907" t="s">
        <v>10</v>
      </c>
      <c r="E2907" t="s">
        <v>16</v>
      </c>
      <c r="F2907" t="s">
        <v>12</v>
      </c>
      <c r="G2907" t="s">
        <v>13</v>
      </c>
      <c r="H2907" t="s">
        <v>13</v>
      </c>
      <c r="I2907">
        <v>33</v>
      </c>
      <c r="J2907">
        <f>ABS((I2907-EDA!$A$15)/EDA!$B$15)</f>
        <v>0.63373765783552027</v>
      </c>
      <c r="K2907" t="str">
        <f t="shared" si="45"/>
        <v>No</v>
      </c>
      <c r="L2907">
        <f>ABS((C2907-EDA!$F$15)/EDA!$G$15)</f>
        <v>2.3189976017303104</v>
      </c>
      <c r="M2907" t="str">
        <f>IF(moras[[#This Row],[Z-Score Salario]]&gt;1.96, "Sí", "No")</f>
        <v>Sí</v>
      </c>
      <c r="N2907" s="14">
        <f>IF(ISBLANK(moras[[#This Row],[SALARIO]]), EDA!$M$8, moras[[#This Row],[SALARIO]])</f>
        <v>161931326</v>
      </c>
      <c r="O2907" s="14">
        <f xml:space="preserve"> IF(ISBLANK(moras[[#This Row],[EDAD]]), EDA!$E$8, moras[[#This Row],[EDAD]])</f>
        <v>33</v>
      </c>
      <c r="P2907" s="14" t="str">
        <f>IF(
    OR(ISBLANK(moras[[#This Row],[TIPO_ASEGURAMIENTO]]), moras[[#This Row],[TIPO_ASEGURAMIENTO]]=""),
    EDA!$A$32,
    moras[[#This Row],[TIPO_ASEGURAMIENTO]]
)</f>
        <v>ASALARIADO</v>
      </c>
    </row>
    <row r="2908" spans="1:16" x14ac:dyDescent="0.3">
      <c r="A2908">
        <v>2907</v>
      </c>
      <c r="B2908" t="s">
        <v>9</v>
      </c>
      <c r="C2908">
        <v>40354167</v>
      </c>
      <c r="D2908" t="s">
        <v>10</v>
      </c>
      <c r="E2908" t="s">
        <v>16</v>
      </c>
      <c r="F2908" t="s">
        <v>12</v>
      </c>
      <c r="G2908" t="s">
        <v>13</v>
      </c>
      <c r="H2908" t="s">
        <v>13</v>
      </c>
      <c r="I2908">
        <v>43</v>
      </c>
      <c r="J2908">
        <f>ABS((I2908-EDA!$A$15)/EDA!$B$15)</f>
        <v>7.2015642935854773E-2</v>
      </c>
      <c r="K2908" t="str">
        <f t="shared" si="45"/>
        <v>No</v>
      </c>
      <c r="L2908">
        <f>ABS((C2908-EDA!$F$15)/EDA!$G$15)</f>
        <v>0.29586785317087411</v>
      </c>
      <c r="M2908" t="str">
        <f>IF(moras[[#This Row],[Z-Score Salario]]&gt;1.96, "Sí", "No")</f>
        <v>No</v>
      </c>
      <c r="N2908" s="14">
        <f>IF(ISBLANK(moras[[#This Row],[SALARIO]]), EDA!$M$8, moras[[#This Row],[SALARIO]])</f>
        <v>40354167</v>
      </c>
      <c r="O2908" s="14">
        <f xml:space="preserve"> IF(ISBLANK(moras[[#This Row],[EDAD]]), EDA!$E$8, moras[[#This Row],[EDAD]])</f>
        <v>43</v>
      </c>
      <c r="P2908" s="14" t="str">
        <f>IF(
    OR(ISBLANK(moras[[#This Row],[TIPO_ASEGURAMIENTO]]), moras[[#This Row],[TIPO_ASEGURAMIENTO]]=""),
    EDA!$A$32,
    moras[[#This Row],[TIPO_ASEGURAMIENTO]]
)</f>
        <v>ASALARIADO</v>
      </c>
    </row>
    <row r="2909" spans="1:16" x14ac:dyDescent="0.3">
      <c r="A2909">
        <v>2908</v>
      </c>
      <c r="B2909" t="s">
        <v>9</v>
      </c>
      <c r="C2909">
        <v>600000</v>
      </c>
      <c r="D2909" t="s">
        <v>10</v>
      </c>
      <c r="E2909" t="s">
        <v>16</v>
      </c>
      <c r="F2909" t="s">
        <v>12</v>
      </c>
      <c r="G2909" t="s">
        <v>13</v>
      </c>
      <c r="H2909" t="s">
        <v>13</v>
      </c>
      <c r="I2909">
        <v>24</v>
      </c>
      <c r="J2909">
        <f>ABS((I2909-EDA!$A$15)/EDA!$B$15)</f>
        <v>1.2689156285297578</v>
      </c>
      <c r="K2909" t="str">
        <f t="shared" si="45"/>
        <v>No</v>
      </c>
      <c r="L2909">
        <f>ABS((C2909-EDA!$F$15)/EDA!$G$15)</f>
        <v>0.36566954866049978</v>
      </c>
      <c r="M2909" t="str">
        <f>IF(moras[[#This Row],[Z-Score Salario]]&gt;1.96, "Sí", "No")</f>
        <v>No</v>
      </c>
      <c r="N2909" s="14">
        <f>IF(ISBLANK(moras[[#This Row],[SALARIO]]), EDA!$M$8, moras[[#This Row],[SALARIO]])</f>
        <v>600000</v>
      </c>
      <c r="O2909" s="14">
        <f xml:space="preserve"> IF(ISBLANK(moras[[#This Row],[EDAD]]), EDA!$E$8, moras[[#This Row],[EDAD]])</f>
        <v>24</v>
      </c>
      <c r="P2909" s="14" t="str">
        <f>IF(
    OR(ISBLANK(moras[[#This Row],[TIPO_ASEGURAMIENTO]]), moras[[#This Row],[TIPO_ASEGURAMIENTO]]=""),
    EDA!$A$32,
    moras[[#This Row],[TIPO_ASEGURAMIENTO]]
)</f>
        <v>ASALARIADO</v>
      </c>
    </row>
    <row r="2910" spans="1:16" x14ac:dyDescent="0.3">
      <c r="A2910">
        <v>2909</v>
      </c>
      <c r="B2910" t="s">
        <v>9</v>
      </c>
      <c r="C2910">
        <v>319300</v>
      </c>
      <c r="D2910" t="s">
        <v>10</v>
      </c>
      <c r="E2910" t="s">
        <v>16</v>
      </c>
      <c r="F2910" t="s">
        <v>12</v>
      </c>
      <c r="G2910" t="s">
        <v>13</v>
      </c>
      <c r="H2910" t="s">
        <v>13</v>
      </c>
      <c r="I2910">
        <v>69</v>
      </c>
      <c r="J2910">
        <f>ABS((I2910-EDA!$A$15)/EDA!$B$15)</f>
        <v>1.9069742249414299</v>
      </c>
      <c r="K2910" t="str">
        <f t="shared" si="45"/>
        <v>No</v>
      </c>
      <c r="L2910">
        <f>ABS((C2910-EDA!$F$15)/EDA!$G$15)</f>
        <v>0.37034059481005355</v>
      </c>
      <c r="M2910" t="str">
        <f>IF(moras[[#This Row],[Z-Score Salario]]&gt;1.96, "Sí", "No")</f>
        <v>No</v>
      </c>
      <c r="N2910" s="14">
        <f>IF(ISBLANK(moras[[#This Row],[SALARIO]]), EDA!$M$8, moras[[#This Row],[SALARIO]])</f>
        <v>319300</v>
      </c>
      <c r="O2910" s="14">
        <f xml:space="preserve"> IF(ISBLANK(moras[[#This Row],[EDAD]]), EDA!$E$8, moras[[#This Row],[EDAD]])</f>
        <v>69</v>
      </c>
      <c r="P2910" s="14" t="str">
        <f>IF(
    OR(ISBLANK(moras[[#This Row],[TIPO_ASEGURAMIENTO]]), moras[[#This Row],[TIPO_ASEGURAMIENTO]]=""),
    EDA!$A$32,
    moras[[#This Row],[TIPO_ASEGURAMIENTO]]
)</f>
        <v>ASALARIADO</v>
      </c>
    </row>
    <row r="2911" spans="1:16" x14ac:dyDescent="0.3">
      <c r="A2911">
        <v>2910</v>
      </c>
      <c r="B2911" t="s">
        <v>9</v>
      </c>
      <c r="C2911">
        <v>445567</v>
      </c>
      <c r="D2911" t="s">
        <v>18</v>
      </c>
      <c r="E2911" t="s">
        <v>16</v>
      </c>
      <c r="F2911" t="s">
        <v>12</v>
      </c>
      <c r="G2911" t="s">
        <v>13</v>
      </c>
      <c r="H2911" t="s">
        <v>12</v>
      </c>
      <c r="I2911">
        <v>35</v>
      </c>
      <c r="J2911">
        <f>ABS((I2911-EDA!$A$15)/EDA!$B$15)</f>
        <v>0.49258699768124525</v>
      </c>
      <c r="K2911" t="str">
        <f t="shared" si="45"/>
        <v>No</v>
      </c>
      <c r="L2911">
        <f>ABS((C2911-EDA!$F$15)/EDA!$G$15)</f>
        <v>0.36823942279663813</v>
      </c>
      <c r="M2911" t="str">
        <f>IF(moras[[#This Row],[Z-Score Salario]]&gt;1.96, "Sí", "No")</f>
        <v>No</v>
      </c>
      <c r="N2911" s="14">
        <f>IF(ISBLANK(moras[[#This Row],[SALARIO]]), EDA!$M$8, moras[[#This Row],[SALARIO]])</f>
        <v>445567</v>
      </c>
      <c r="O2911" s="14">
        <f xml:space="preserve"> IF(ISBLANK(moras[[#This Row],[EDAD]]), EDA!$E$8, moras[[#This Row],[EDAD]])</f>
        <v>35</v>
      </c>
      <c r="P2911" s="14" t="str">
        <f>IF(
    OR(ISBLANK(moras[[#This Row],[TIPO_ASEGURAMIENTO]]), moras[[#This Row],[TIPO_ASEGURAMIENTO]]=""),
    EDA!$A$32,
    moras[[#This Row],[TIPO_ASEGURAMIENTO]]
)</f>
        <v>TRABAJADOR INDEPENDIENTE</v>
      </c>
    </row>
    <row r="2912" spans="1:16" x14ac:dyDescent="0.3">
      <c r="A2912">
        <v>2911</v>
      </c>
      <c r="B2912" t="s">
        <v>9</v>
      </c>
      <c r="C2912">
        <v>314396</v>
      </c>
      <c r="D2912" t="s">
        <v>10</v>
      </c>
      <c r="E2912" t="s">
        <v>11</v>
      </c>
      <c r="F2912" t="s">
        <v>12</v>
      </c>
      <c r="G2912" t="s">
        <v>13</v>
      </c>
      <c r="H2912" t="s">
        <v>12</v>
      </c>
      <c r="I2912">
        <v>53</v>
      </c>
      <c r="J2912">
        <f>ABS((I2912-EDA!$A$15)/EDA!$B$15)</f>
        <v>0.77776894370722982</v>
      </c>
      <c r="K2912" t="str">
        <f t="shared" si="45"/>
        <v>No</v>
      </c>
      <c r="L2912">
        <f>ABS((C2912-EDA!$F$15)/EDA!$G$15)</f>
        <v>0.37042220083184696</v>
      </c>
      <c r="M2912" t="str">
        <f>IF(moras[[#This Row],[Z-Score Salario]]&gt;1.96, "Sí", "No")</f>
        <v>No</v>
      </c>
      <c r="N2912" s="14">
        <f>IF(ISBLANK(moras[[#This Row],[SALARIO]]), EDA!$M$8, moras[[#This Row],[SALARIO]])</f>
        <v>314396</v>
      </c>
      <c r="O2912" s="14">
        <f xml:space="preserve"> IF(ISBLANK(moras[[#This Row],[EDAD]]), EDA!$E$8, moras[[#This Row],[EDAD]])</f>
        <v>53</v>
      </c>
      <c r="P2912" s="14" t="str">
        <f>IF(
    OR(ISBLANK(moras[[#This Row],[TIPO_ASEGURAMIENTO]]), moras[[#This Row],[TIPO_ASEGURAMIENTO]]=""),
    EDA!$A$32,
    moras[[#This Row],[TIPO_ASEGURAMIENTO]]
)</f>
        <v>ASALARIADO</v>
      </c>
    </row>
    <row r="2913" spans="1:16" x14ac:dyDescent="0.3">
      <c r="A2913">
        <v>2912</v>
      </c>
      <c r="B2913" t="s">
        <v>15</v>
      </c>
      <c r="C2913">
        <v>1165110</v>
      </c>
      <c r="D2913" t="s">
        <v>10</v>
      </c>
      <c r="E2913" t="s">
        <v>11</v>
      </c>
      <c r="F2913" t="s">
        <v>12</v>
      </c>
      <c r="G2913" t="s">
        <v>13</v>
      </c>
      <c r="H2913" t="s">
        <v>12</v>
      </c>
      <c r="I2913">
        <v>38</v>
      </c>
      <c r="J2913">
        <f>ABS((I2913-EDA!$A$15)/EDA!$B$15)</f>
        <v>0.28086100744983278</v>
      </c>
      <c r="K2913" t="str">
        <f t="shared" si="45"/>
        <v>No</v>
      </c>
      <c r="L2913">
        <f>ABS((C2913-EDA!$F$15)/EDA!$G$15)</f>
        <v>0.35626571934245804</v>
      </c>
      <c r="M2913" t="str">
        <f>IF(moras[[#This Row],[Z-Score Salario]]&gt;1.96, "Sí", "No")</f>
        <v>No</v>
      </c>
      <c r="N2913" s="14">
        <f>IF(ISBLANK(moras[[#This Row],[SALARIO]]), EDA!$M$8, moras[[#This Row],[SALARIO]])</f>
        <v>1165110</v>
      </c>
      <c r="O2913" s="14">
        <f xml:space="preserve"> IF(ISBLANK(moras[[#This Row],[EDAD]]), EDA!$E$8, moras[[#This Row],[EDAD]])</f>
        <v>38</v>
      </c>
      <c r="P2913" s="14" t="str">
        <f>IF(
    OR(ISBLANK(moras[[#This Row],[TIPO_ASEGURAMIENTO]]), moras[[#This Row],[TIPO_ASEGURAMIENTO]]=""),
    EDA!$A$32,
    moras[[#This Row],[TIPO_ASEGURAMIENTO]]
)</f>
        <v>ASALARIADO</v>
      </c>
    </row>
    <row r="2914" spans="1:16" x14ac:dyDescent="0.3">
      <c r="A2914">
        <v>2913</v>
      </c>
      <c r="B2914" t="s">
        <v>9</v>
      </c>
      <c r="C2914">
        <v>639148</v>
      </c>
      <c r="D2914" t="s">
        <v>18</v>
      </c>
      <c r="E2914" t="s">
        <v>16</v>
      </c>
      <c r="F2914" t="s">
        <v>12</v>
      </c>
      <c r="G2914" t="s">
        <v>13</v>
      </c>
      <c r="H2914" t="s">
        <v>12</v>
      </c>
      <c r="I2914">
        <v>69</v>
      </c>
      <c r="J2914">
        <f>ABS((I2914-EDA!$A$15)/EDA!$B$15)</f>
        <v>1.9069742249414299</v>
      </c>
      <c r="K2914" t="str">
        <f t="shared" si="45"/>
        <v>No</v>
      </c>
      <c r="L2914">
        <f>ABS((C2914-EDA!$F$15)/EDA!$G$15)</f>
        <v>0.36501809830544912</v>
      </c>
      <c r="M2914" t="str">
        <f>IF(moras[[#This Row],[Z-Score Salario]]&gt;1.96, "Sí", "No")</f>
        <v>No</v>
      </c>
      <c r="N2914" s="14">
        <f>IF(ISBLANK(moras[[#This Row],[SALARIO]]), EDA!$M$8, moras[[#This Row],[SALARIO]])</f>
        <v>639148</v>
      </c>
      <c r="O2914" s="14">
        <f xml:space="preserve"> IF(ISBLANK(moras[[#This Row],[EDAD]]), EDA!$E$8, moras[[#This Row],[EDAD]])</f>
        <v>69</v>
      </c>
      <c r="P2914" s="14" t="str">
        <f>IF(
    OR(ISBLANK(moras[[#This Row],[TIPO_ASEGURAMIENTO]]), moras[[#This Row],[TIPO_ASEGURAMIENTO]]=""),
    EDA!$A$32,
    moras[[#This Row],[TIPO_ASEGURAMIENTO]]
)</f>
        <v>TRABAJADOR INDEPENDIENTE</v>
      </c>
    </row>
    <row r="2915" spans="1:16" x14ac:dyDescent="0.3">
      <c r="A2915">
        <v>2914</v>
      </c>
      <c r="B2915" t="s">
        <v>15</v>
      </c>
      <c r="C2915">
        <v>65981965</v>
      </c>
      <c r="D2915" t="s">
        <v>10</v>
      </c>
      <c r="E2915" t="s">
        <v>11</v>
      </c>
      <c r="F2915" t="s">
        <v>12</v>
      </c>
      <c r="G2915" t="s">
        <v>13</v>
      </c>
      <c r="H2915" t="s">
        <v>13</v>
      </c>
      <c r="I2915">
        <v>26</v>
      </c>
      <c r="J2915">
        <f>ABS((I2915-EDA!$A$15)/EDA!$B$15)</f>
        <v>1.1277649683754829</v>
      </c>
      <c r="K2915" t="str">
        <f t="shared" si="45"/>
        <v>No</v>
      </c>
      <c r="L2915">
        <f>ABS((C2915-EDA!$F$15)/EDA!$G$15)</f>
        <v>0.72233250286606909</v>
      </c>
      <c r="M2915" t="str">
        <f>IF(moras[[#This Row],[Z-Score Salario]]&gt;1.96, "Sí", "No")</f>
        <v>No</v>
      </c>
      <c r="N2915" s="14">
        <f>IF(ISBLANK(moras[[#This Row],[SALARIO]]), EDA!$M$8, moras[[#This Row],[SALARIO]])</f>
        <v>65981965</v>
      </c>
      <c r="O2915" s="14">
        <f xml:space="preserve"> IF(ISBLANK(moras[[#This Row],[EDAD]]), EDA!$E$8, moras[[#This Row],[EDAD]])</f>
        <v>26</v>
      </c>
      <c r="P2915" s="14" t="str">
        <f>IF(
    OR(ISBLANK(moras[[#This Row],[TIPO_ASEGURAMIENTO]]), moras[[#This Row],[TIPO_ASEGURAMIENTO]]=""),
    EDA!$A$32,
    moras[[#This Row],[TIPO_ASEGURAMIENTO]]
)</f>
        <v>ASALARIADO</v>
      </c>
    </row>
    <row r="2916" spans="1:16" x14ac:dyDescent="0.3">
      <c r="A2916">
        <v>2915</v>
      </c>
      <c r="B2916" t="s">
        <v>15</v>
      </c>
      <c r="C2916">
        <v>297500</v>
      </c>
      <c r="D2916" t="s">
        <v>17</v>
      </c>
      <c r="E2916" t="s">
        <v>16</v>
      </c>
      <c r="F2916" t="s">
        <v>12</v>
      </c>
      <c r="G2916" t="s">
        <v>12</v>
      </c>
      <c r="H2916" t="s">
        <v>13</v>
      </c>
      <c r="I2916">
        <v>29</v>
      </c>
      <c r="J2916">
        <f>ABS((I2916-EDA!$A$15)/EDA!$B$15)</f>
        <v>0.91603897814407031</v>
      </c>
      <c r="K2916" t="str">
        <f t="shared" si="45"/>
        <v>No</v>
      </c>
      <c r="L2916">
        <f>ABS((C2916-EDA!$F$15)/EDA!$G$15)</f>
        <v>0.37070336219893946</v>
      </c>
      <c r="M2916" t="str">
        <f>IF(moras[[#This Row],[Z-Score Salario]]&gt;1.96, "Sí", "No")</f>
        <v>No</v>
      </c>
      <c r="N2916" s="14">
        <f>IF(ISBLANK(moras[[#This Row],[SALARIO]]), EDA!$M$8, moras[[#This Row],[SALARIO]])</f>
        <v>297500</v>
      </c>
      <c r="O2916" s="14">
        <f xml:space="preserve"> IF(ISBLANK(moras[[#This Row],[EDAD]]), EDA!$E$8, moras[[#This Row],[EDAD]])</f>
        <v>29</v>
      </c>
      <c r="P2916" s="14" t="str">
        <f>IF(
    OR(ISBLANK(moras[[#This Row],[TIPO_ASEGURAMIENTO]]), moras[[#This Row],[TIPO_ASEGURAMIENTO]]=""),
    EDA!$A$32,
    moras[[#This Row],[TIPO_ASEGURAMIENTO]]
)</f>
        <v>ASEGURADO VOLUNTARIO</v>
      </c>
    </row>
    <row r="2917" spans="1:16" x14ac:dyDescent="0.3">
      <c r="A2917">
        <v>2916</v>
      </c>
      <c r="B2917" t="s">
        <v>9</v>
      </c>
      <c r="C2917">
        <v>75608419</v>
      </c>
      <c r="D2917" t="s">
        <v>10</v>
      </c>
      <c r="E2917" t="s">
        <v>16</v>
      </c>
      <c r="F2917" t="s">
        <v>12</v>
      </c>
      <c r="G2917" t="s">
        <v>13</v>
      </c>
      <c r="H2917" t="s">
        <v>13</v>
      </c>
      <c r="I2917">
        <v>21</v>
      </c>
      <c r="J2917">
        <f>ABS((I2917-EDA!$A$15)/EDA!$B$15)</f>
        <v>1.4806416187611704</v>
      </c>
      <c r="K2917" t="str">
        <f t="shared" si="45"/>
        <v>No</v>
      </c>
      <c r="L2917">
        <f>ABS((C2917-EDA!$F$15)/EDA!$G$15)</f>
        <v>0.88252349285736331</v>
      </c>
      <c r="M2917" t="str">
        <f>IF(moras[[#This Row],[Z-Score Salario]]&gt;1.96, "Sí", "No")</f>
        <v>No</v>
      </c>
      <c r="N2917" s="14">
        <f>IF(ISBLANK(moras[[#This Row],[SALARIO]]), EDA!$M$8, moras[[#This Row],[SALARIO]])</f>
        <v>75608419</v>
      </c>
      <c r="O2917" s="14">
        <f xml:space="preserve"> IF(ISBLANK(moras[[#This Row],[EDAD]]), EDA!$E$8, moras[[#This Row],[EDAD]])</f>
        <v>21</v>
      </c>
      <c r="P2917" s="14" t="str">
        <f>IF(
    OR(ISBLANK(moras[[#This Row],[TIPO_ASEGURAMIENTO]]), moras[[#This Row],[TIPO_ASEGURAMIENTO]]=""),
    EDA!$A$32,
    moras[[#This Row],[TIPO_ASEGURAMIENTO]]
)</f>
        <v>ASALARIADO</v>
      </c>
    </row>
    <row r="2918" spans="1:16" x14ac:dyDescent="0.3">
      <c r="A2918">
        <v>2917</v>
      </c>
      <c r="B2918" t="s">
        <v>15</v>
      </c>
      <c r="C2918">
        <v>3792375</v>
      </c>
      <c r="D2918" t="s">
        <v>10</v>
      </c>
      <c r="E2918" t="s">
        <v>11</v>
      </c>
      <c r="F2918" t="s">
        <v>12</v>
      </c>
      <c r="G2918" t="s">
        <v>13</v>
      </c>
      <c r="H2918" t="s">
        <v>13</v>
      </c>
      <c r="I2918">
        <v>25</v>
      </c>
      <c r="J2918">
        <f>ABS((I2918-EDA!$A$15)/EDA!$B$15)</f>
        <v>1.1983402984526204</v>
      </c>
      <c r="K2918" t="str">
        <f t="shared" si="45"/>
        <v>No</v>
      </c>
      <c r="L2918">
        <f>ABS((C2918-EDA!$F$15)/EDA!$G$15)</f>
        <v>0.31254617512404936</v>
      </c>
      <c r="M2918" t="str">
        <f>IF(moras[[#This Row],[Z-Score Salario]]&gt;1.96, "Sí", "No")</f>
        <v>No</v>
      </c>
      <c r="N2918" s="14">
        <f>IF(ISBLANK(moras[[#This Row],[SALARIO]]), EDA!$M$8, moras[[#This Row],[SALARIO]])</f>
        <v>3792375</v>
      </c>
      <c r="O2918" s="14">
        <f xml:space="preserve"> IF(ISBLANK(moras[[#This Row],[EDAD]]), EDA!$E$8, moras[[#This Row],[EDAD]])</f>
        <v>25</v>
      </c>
      <c r="P2918" s="14" t="str">
        <f>IF(
    OR(ISBLANK(moras[[#This Row],[TIPO_ASEGURAMIENTO]]), moras[[#This Row],[TIPO_ASEGURAMIENTO]]=""),
    EDA!$A$32,
    moras[[#This Row],[TIPO_ASEGURAMIENTO]]
)</f>
        <v>ASALARIADO</v>
      </c>
    </row>
    <row r="2919" spans="1:16" x14ac:dyDescent="0.3">
      <c r="A2919">
        <v>2918</v>
      </c>
      <c r="B2919" t="s">
        <v>9</v>
      </c>
      <c r="C2919">
        <v>31158504</v>
      </c>
      <c r="D2919" t="s">
        <v>10</v>
      </c>
      <c r="E2919" t="s">
        <v>16</v>
      </c>
      <c r="F2919" t="s">
        <v>12</v>
      </c>
      <c r="G2919" t="s">
        <v>13</v>
      </c>
      <c r="H2919" t="s">
        <v>13</v>
      </c>
      <c r="I2919">
        <v>26</v>
      </c>
      <c r="J2919">
        <f>ABS((I2919-EDA!$A$15)/EDA!$B$15)</f>
        <v>1.1277649683754829</v>
      </c>
      <c r="K2919" t="str">
        <f t="shared" si="45"/>
        <v>No</v>
      </c>
      <c r="L2919">
        <f>ABS((C2919-EDA!$F$15)/EDA!$G$15)</f>
        <v>0.1428455295202013</v>
      </c>
      <c r="M2919" t="str">
        <f>IF(moras[[#This Row],[Z-Score Salario]]&gt;1.96, "Sí", "No")</f>
        <v>No</v>
      </c>
      <c r="N2919" s="14">
        <f>IF(ISBLANK(moras[[#This Row],[SALARIO]]), EDA!$M$8, moras[[#This Row],[SALARIO]])</f>
        <v>31158504</v>
      </c>
      <c r="O2919" s="14">
        <f xml:space="preserve"> IF(ISBLANK(moras[[#This Row],[EDAD]]), EDA!$E$8, moras[[#This Row],[EDAD]])</f>
        <v>26</v>
      </c>
      <c r="P2919" s="14" t="str">
        <f>IF(
    OR(ISBLANK(moras[[#This Row],[TIPO_ASEGURAMIENTO]]), moras[[#This Row],[TIPO_ASEGURAMIENTO]]=""),
    EDA!$A$32,
    moras[[#This Row],[TIPO_ASEGURAMIENTO]]
)</f>
        <v>ASALARIADO</v>
      </c>
    </row>
    <row r="2920" spans="1:16" x14ac:dyDescent="0.3">
      <c r="A2920">
        <v>2919</v>
      </c>
      <c r="B2920" t="s">
        <v>15</v>
      </c>
      <c r="C2920">
        <v>19834605</v>
      </c>
      <c r="D2920" t="s">
        <v>10</v>
      </c>
      <c r="E2920" t="s">
        <v>11</v>
      </c>
      <c r="F2920" t="s">
        <v>12</v>
      </c>
      <c r="G2920" t="s">
        <v>13</v>
      </c>
      <c r="H2920" t="s">
        <v>13</v>
      </c>
      <c r="I2920">
        <v>61</v>
      </c>
      <c r="J2920">
        <f>ABS((I2920-EDA!$A$15)/EDA!$B$15)</f>
        <v>1.3423715843243298</v>
      </c>
      <c r="K2920" t="str">
        <f t="shared" si="45"/>
        <v>No</v>
      </c>
      <c r="L2920">
        <f>ABS((C2920-EDA!$F$15)/EDA!$G$15)</f>
        <v>4.5592143518222418E-2</v>
      </c>
      <c r="M2920" t="str">
        <f>IF(moras[[#This Row],[Z-Score Salario]]&gt;1.96, "Sí", "No")</f>
        <v>No</v>
      </c>
      <c r="N2920" s="14">
        <f>IF(ISBLANK(moras[[#This Row],[SALARIO]]), EDA!$M$8, moras[[#This Row],[SALARIO]])</f>
        <v>19834605</v>
      </c>
      <c r="O2920" s="14">
        <f xml:space="preserve"> IF(ISBLANK(moras[[#This Row],[EDAD]]), EDA!$E$8, moras[[#This Row],[EDAD]])</f>
        <v>61</v>
      </c>
      <c r="P2920" s="14" t="str">
        <f>IF(
    OR(ISBLANK(moras[[#This Row],[TIPO_ASEGURAMIENTO]]), moras[[#This Row],[TIPO_ASEGURAMIENTO]]=""),
    EDA!$A$32,
    moras[[#This Row],[TIPO_ASEGURAMIENTO]]
)</f>
        <v>ASALARIADO</v>
      </c>
    </row>
    <row r="2921" spans="1:16" x14ac:dyDescent="0.3">
      <c r="A2921">
        <v>2920</v>
      </c>
      <c r="B2921" t="s">
        <v>9</v>
      </c>
      <c r="C2921">
        <v>723495</v>
      </c>
      <c r="D2921" t="s">
        <v>10</v>
      </c>
      <c r="E2921" t="s">
        <v>11</v>
      </c>
      <c r="F2921" t="s">
        <v>12</v>
      </c>
      <c r="G2921" t="s">
        <v>13</v>
      </c>
      <c r="H2921" t="s">
        <v>13</v>
      </c>
      <c r="I2921">
        <v>37</v>
      </c>
      <c r="J2921">
        <f>ABS((I2921-EDA!$A$15)/EDA!$B$15)</f>
        <v>0.35143633752697023</v>
      </c>
      <c r="K2921" t="str">
        <f t="shared" si="45"/>
        <v>No</v>
      </c>
      <c r="L2921">
        <f>ABS((C2921-EDA!$F$15)/EDA!$G$15)</f>
        <v>0.36361450468387302</v>
      </c>
      <c r="M2921" t="str">
        <f>IF(moras[[#This Row],[Z-Score Salario]]&gt;1.96, "Sí", "No")</f>
        <v>No</v>
      </c>
      <c r="N2921" s="14">
        <f>IF(ISBLANK(moras[[#This Row],[SALARIO]]), EDA!$M$8, moras[[#This Row],[SALARIO]])</f>
        <v>723495</v>
      </c>
      <c r="O2921" s="14">
        <f xml:space="preserve"> IF(ISBLANK(moras[[#This Row],[EDAD]]), EDA!$E$8, moras[[#This Row],[EDAD]])</f>
        <v>37</v>
      </c>
      <c r="P2921" s="14" t="str">
        <f>IF(
    OR(ISBLANK(moras[[#This Row],[TIPO_ASEGURAMIENTO]]), moras[[#This Row],[TIPO_ASEGURAMIENTO]]=""),
    EDA!$A$32,
    moras[[#This Row],[TIPO_ASEGURAMIENTO]]
)</f>
        <v>ASALARIADO</v>
      </c>
    </row>
    <row r="2922" spans="1:16" x14ac:dyDescent="0.3">
      <c r="A2922">
        <v>2921</v>
      </c>
      <c r="B2922" t="s">
        <v>9</v>
      </c>
      <c r="C2922">
        <v>42697782</v>
      </c>
      <c r="D2922" t="s">
        <v>10</v>
      </c>
      <c r="E2922" t="s">
        <v>16</v>
      </c>
      <c r="F2922" t="s">
        <v>12</v>
      </c>
      <c r="G2922" t="s">
        <v>12</v>
      </c>
      <c r="H2922" t="s">
        <v>13</v>
      </c>
      <c r="I2922">
        <v>53</v>
      </c>
      <c r="J2922">
        <f>ABS((I2922-EDA!$A$15)/EDA!$B$15)</f>
        <v>0.77776894370722982</v>
      </c>
      <c r="K2922" t="str">
        <f t="shared" si="45"/>
        <v>No</v>
      </c>
      <c r="L2922">
        <f>ABS((C2922-EDA!$F$15)/EDA!$G$15)</f>
        <v>0.3348672611572881</v>
      </c>
      <c r="M2922" t="str">
        <f>IF(moras[[#This Row],[Z-Score Salario]]&gt;1.96, "Sí", "No")</f>
        <v>No</v>
      </c>
      <c r="N2922" s="14">
        <f>IF(ISBLANK(moras[[#This Row],[SALARIO]]), EDA!$M$8, moras[[#This Row],[SALARIO]])</f>
        <v>42697782</v>
      </c>
      <c r="O2922" s="14">
        <f xml:space="preserve"> IF(ISBLANK(moras[[#This Row],[EDAD]]), EDA!$E$8, moras[[#This Row],[EDAD]])</f>
        <v>53</v>
      </c>
      <c r="P2922" s="14" t="str">
        <f>IF(
    OR(ISBLANK(moras[[#This Row],[TIPO_ASEGURAMIENTO]]), moras[[#This Row],[TIPO_ASEGURAMIENTO]]=""),
    EDA!$A$32,
    moras[[#This Row],[TIPO_ASEGURAMIENTO]]
)</f>
        <v>ASALARIADO</v>
      </c>
    </row>
    <row r="2923" spans="1:16" x14ac:dyDescent="0.3">
      <c r="A2923">
        <v>2922</v>
      </c>
      <c r="B2923" t="s">
        <v>15</v>
      </c>
      <c r="C2923">
        <v>1459586</v>
      </c>
      <c r="D2923" t="s">
        <v>10</v>
      </c>
      <c r="E2923" t="s">
        <v>11</v>
      </c>
      <c r="F2923" t="s">
        <v>12</v>
      </c>
      <c r="G2923" t="s">
        <v>13</v>
      </c>
      <c r="H2923" t="s">
        <v>13</v>
      </c>
      <c r="I2923">
        <v>47</v>
      </c>
      <c r="J2923">
        <f>ABS((I2923-EDA!$A$15)/EDA!$B$15)</f>
        <v>0.35431696324440481</v>
      </c>
      <c r="K2923" t="str">
        <f t="shared" si="45"/>
        <v>No</v>
      </c>
      <c r="L2923">
        <f>ABS((C2923-EDA!$F$15)/EDA!$G$15)</f>
        <v>0.35136543082825789</v>
      </c>
      <c r="M2923" t="str">
        <f>IF(moras[[#This Row],[Z-Score Salario]]&gt;1.96, "Sí", "No")</f>
        <v>No</v>
      </c>
      <c r="N2923" s="14">
        <f>IF(ISBLANK(moras[[#This Row],[SALARIO]]), EDA!$M$8, moras[[#This Row],[SALARIO]])</f>
        <v>1459586</v>
      </c>
      <c r="O2923" s="14">
        <f xml:space="preserve"> IF(ISBLANK(moras[[#This Row],[EDAD]]), EDA!$E$8, moras[[#This Row],[EDAD]])</f>
        <v>47</v>
      </c>
      <c r="P2923" s="14" t="str">
        <f>IF(
    OR(ISBLANK(moras[[#This Row],[TIPO_ASEGURAMIENTO]]), moras[[#This Row],[TIPO_ASEGURAMIENTO]]=""),
    EDA!$A$32,
    moras[[#This Row],[TIPO_ASEGURAMIENTO]]
)</f>
        <v>ASALARIADO</v>
      </c>
    </row>
    <row r="2924" spans="1:16" x14ac:dyDescent="0.3">
      <c r="A2924">
        <v>2923</v>
      </c>
      <c r="B2924" t="s">
        <v>9</v>
      </c>
      <c r="C2924">
        <v>44782578</v>
      </c>
      <c r="D2924" t="s">
        <v>10</v>
      </c>
      <c r="E2924" t="s">
        <v>16</v>
      </c>
      <c r="F2924" t="s">
        <v>12</v>
      </c>
      <c r="G2924" t="s">
        <v>13</v>
      </c>
      <c r="H2924" t="s">
        <v>13</v>
      </c>
      <c r="I2924">
        <v>53</v>
      </c>
      <c r="J2924">
        <f>ABS((I2924-EDA!$A$15)/EDA!$B$15)</f>
        <v>0.77776894370722982</v>
      </c>
      <c r="K2924" t="str">
        <f t="shared" si="45"/>
        <v>No</v>
      </c>
      <c r="L2924">
        <f>ABS((C2924-EDA!$F$15)/EDA!$G$15)</f>
        <v>0.36955973828021316</v>
      </c>
      <c r="M2924" t="str">
        <f>IF(moras[[#This Row],[Z-Score Salario]]&gt;1.96, "Sí", "No")</f>
        <v>No</v>
      </c>
      <c r="N2924" s="14">
        <f>IF(ISBLANK(moras[[#This Row],[SALARIO]]), EDA!$M$8, moras[[#This Row],[SALARIO]])</f>
        <v>44782578</v>
      </c>
      <c r="O2924" s="14">
        <f xml:space="preserve"> IF(ISBLANK(moras[[#This Row],[EDAD]]), EDA!$E$8, moras[[#This Row],[EDAD]])</f>
        <v>53</v>
      </c>
      <c r="P2924" s="14" t="str">
        <f>IF(
    OR(ISBLANK(moras[[#This Row],[TIPO_ASEGURAMIENTO]]), moras[[#This Row],[TIPO_ASEGURAMIENTO]]=""),
    EDA!$A$32,
    moras[[#This Row],[TIPO_ASEGURAMIENTO]]
)</f>
        <v>ASALARIADO</v>
      </c>
    </row>
    <row r="2925" spans="1:16" x14ac:dyDescent="0.3">
      <c r="A2925">
        <v>2924</v>
      </c>
      <c r="B2925" t="s">
        <v>15</v>
      </c>
      <c r="C2925">
        <v>297865</v>
      </c>
      <c r="D2925" t="s">
        <v>18</v>
      </c>
      <c r="E2925" t="s">
        <v>16</v>
      </c>
      <c r="F2925" t="s">
        <v>12</v>
      </c>
      <c r="G2925" t="s">
        <v>13</v>
      </c>
      <c r="H2925" t="s">
        <v>13</v>
      </c>
      <c r="I2925">
        <v>41</v>
      </c>
      <c r="J2925">
        <f>ABS((I2925-EDA!$A$15)/EDA!$B$15)</f>
        <v>6.9135017218420233E-2</v>
      </c>
      <c r="K2925" t="str">
        <f t="shared" si="45"/>
        <v>No</v>
      </c>
      <c r="L2925">
        <f>ABS((C2925-EDA!$F$15)/EDA!$G$15)</f>
        <v>0.37069728834128152</v>
      </c>
      <c r="M2925" t="str">
        <f>IF(moras[[#This Row],[Z-Score Salario]]&gt;1.96, "Sí", "No")</f>
        <v>No</v>
      </c>
      <c r="N2925" s="14">
        <f>IF(ISBLANK(moras[[#This Row],[SALARIO]]), EDA!$M$8, moras[[#This Row],[SALARIO]])</f>
        <v>297865</v>
      </c>
      <c r="O2925" s="14">
        <f xml:space="preserve"> IF(ISBLANK(moras[[#This Row],[EDAD]]), EDA!$E$8, moras[[#This Row],[EDAD]])</f>
        <v>41</v>
      </c>
      <c r="P2925" s="14" t="str">
        <f>IF(
    OR(ISBLANK(moras[[#This Row],[TIPO_ASEGURAMIENTO]]), moras[[#This Row],[TIPO_ASEGURAMIENTO]]=""),
    EDA!$A$32,
    moras[[#This Row],[TIPO_ASEGURAMIENTO]]
)</f>
        <v>TRABAJADOR INDEPENDIENTE</v>
      </c>
    </row>
    <row r="2926" spans="1:16" x14ac:dyDescent="0.3">
      <c r="A2926">
        <v>2925</v>
      </c>
      <c r="B2926" t="s">
        <v>9</v>
      </c>
      <c r="C2926">
        <v>41640624</v>
      </c>
      <c r="D2926" t="s">
        <v>10</v>
      </c>
      <c r="E2926" t="s">
        <v>16</v>
      </c>
      <c r="F2926" t="s">
        <v>12</v>
      </c>
      <c r="G2926" t="s">
        <v>13</v>
      </c>
      <c r="H2926" t="s">
        <v>13</v>
      </c>
      <c r="I2926">
        <v>35</v>
      </c>
      <c r="J2926">
        <f>ABS((I2926-EDA!$A$15)/EDA!$B$15)</f>
        <v>0.49258699768124525</v>
      </c>
      <c r="K2926" t="str">
        <f t="shared" si="45"/>
        <v>No</v>
      </c>
      <c r="L2926">
        <f>ABS((C2926-EDA!$F$15)/EDA!$G$15)</f>
        <v>0.31727540577656155</v>
      </c>
      <c r="M2926" t="str">
        <f>IF(moras[[#This Row],[Z-Score Salario]]&gt;1.96, "Sí", "No")</f>
        <v>No</v>
      </c>
      <c r="N2926" s="14">
        <f>IF(ISBLANK(moras[[#This Row],[SALARIO]]), EDA!$M$8, moras[[#This Row],[SALARIO]])</f>
        <v>41640624</v>
      </c>
      <c r="O2926" s="14">
        <f xml:space="preserve"> IF(ISBLANK(moras[[#This Row],[EDAD]]), EDA!$E$8, moras[[#This Row],[EDAD]])</f>
        <v>35</v>
      </c>
      <c r="P2926" s="14" t="str">
        <f>IF(
    OR(ISBLANK(moras[[#This Row],[TIPO_ASEGURAMIENTO]]), moras[[#This Row],[TIPO_ASEGURAMIENTO]]=""),
    EDA!$A$32,
    moras[[#This Row],[TIPO_ASEGURAMIENTO]]
)</f>
        <v>ASALARIADO</v>
      </c>
    </row>
    <row r="2927" spans="1:16" x14ac:dyDescent="0.3">
      <c r="A2927">
        <v>2926</v>
      </c>
      <c r="B2927" t="s">
        <v>9</v>
      </c>
      <c r="C2927">
        <v>54861175</v>
      </c>
      <c r="D2927" t="s">
        <v>10</v>
      </c>
      <c r="E2927" t="s">
        <v>16</v>
      </c>
      <c r="F2927" t="s">
        <v>12</v>
      </c>
      <c r="G2927" t="s">
        <v>13</v>
      </c>
      <c r="H2927" t="s">
        <v>13</v>
      </c>
      <c r="I2927">
        <v>27</v>
      </c>
      <c r="J2927">
        <f>ABS((I2927-EDA!$A$15)/EDA!$B$15)</f>
        <v>1.0571896382983452</v>
      </c>
      <c r="K2927" t="str">
        <f t="shared" si="45"/>
        <v>No</v>
      </c>
      <c r="L2927">
        <f>ABS((C2927-EDA!$F$15)/EDA!$G$15)</f>
        <v>0.53727470696476587</v>
      </c>
      <c r="M2927" t="str">
        <f>IF(moras[[#This Row],[Z-Score Salario]]&gt;1.96, "Sí", "No")</f>
        <v>No</v>
      </c>
      <c r="N2927" s="14">
        <f>IF(ISBLANK(moras[[#This Row],[SALARIO]]), EDA!$M$8, moras[[#This Row],[SALARIO]])</f>
        <v>54861175</v>
      </c>
      <c r="O2927" s="14">
        <f xml:space="preserve"> IF(ISBLANK(moras[[#This Row],[EDAD]]), EDA!$E$8, moras[[#This Row],[EDAD]])</f>
        <v>27</v>
      </c>
      <c r="P2927" s="14" t="str">
        <f>IF(
    OR(ISBLANK(moras[[#This Row],[TIPO_ASEGURAMIENTO]]), moras[[#This Row],[TIPO_ASEGURAMIENTO]]=""),
    EDA!$A$32,
    moras[[#This Row],[TIPO_ASEGURAMIENTO]]
)</f>
        <v>ASALARIADO</v>
      </c>
    </row>
    <row r="2928" spans="1:16" x14ac:dyDescent="0.3">
      <c r="A2928">
        <v>2927</v>
      </c>
      <c r="B2928" t="s">
        <v>9</v>
      </c>
      <c r="C2928">
        <v>445567</v>
      </c>
      <c r="D2928" t="s">
        <v>18</v>
      </c>
      <c r="E2928" t="s">
        <v>16</v>
      </c>
      <c r="F2928" t="s">
        <v>12</v>
      </c>
      <c r="G2928" t="s">
        <v>13</v>
      </c>
      <c r="H2928" t="s">
        <v>12</v>
      </c>
      <c r="I2928">
        <v>52</v>
      </c>
      <c r="J2928">
        <f>ABS((I2928-EDA!$A$15)/EDA!$B$15)</f>
        <v>0.70719361363009237</v>
      </c>
      <c r="K2928" t="str">
        <f t="shared" si="45"/>
        <v>No</v>
      </c>
      <c r="L2928">
        <f>ABS((C2928-EDA!$F$15)/EDA!$G$15)</f>
        <v>0.36823942279663813</v>
      </c>
      <c r="M2928" t="str">
        <f>IF(moras[[#This Row],[Z-Score Salario]]&gt;1.96, "Sí", "No")</f>
        <v>No</v>
      </c>
      <c r="N2928" s="14">
        <f>IF(ISBLANK(moras[[#This Row],[SALARIO]]), EDA!$M$8, moras[[#This Row],[SALARIO]])</f>
        <v>445567</v>
      </c>
      <c r="O2928" s="14">
        <f xml:space="preserve"> IF(ISBLANK(moras[[#This Row],[EDAD]]), EDA!$E$8, moras[[#This Row],[EDAD]])</f>
        <v>52</v>
      </c>
      <c r="P2928" s="14" t="str">
        <f>IF(
    OR(ISBLANK(moras[[#This Row],[TIPO_ASEGURAMIENTO]]), moras[[#This Row],[TIPO_ASEGURAMIENTO]]=""),
    EDA!$A$32,
    moras[[#This Row],[TIPO_ASEGURAMIENTO]]
)</f>
        <v>TRABAJADOR INDEPENDIENTE</v>
      </c>
    </row>
    <row r="2929" spans="1:16" x14ac:dyDescent="0.3">
      <c r="A2929">
        <v>2928</v>
      </c>
      <c r="B2929" t="s">
        <v>15</v>
      </c>
      <c r="C2929">
        <v>918531</v>
      </c>
      <c r="D2929" t="s">
        <v>10</v>
      </c>
      <c r="E2929" t="s">
        <v>16</v>
      </c>
      <c r="F2929" t="s">
        <v>12</v>
      </c>
      <c r="G2929" t="s">
        <v>13</v>
      </c>
      <c r="H2929" t="s">
        <v>13</v>
      </c>
      <c r="I2929">
        <v>33</v>
      </c>
      <c r="J2929">
        <f>ABS((I2929-EDA!$A$15)/EDA!$B$15)</f>
        <v>0.63373765783552027</v>
      </c>
      <c r="K2929" t="str">
        <f t="shared" si="45"/>
        <v>No</v>
      </c>
      <c r="L2929">
        <f>ABS((C2929-EDA!$F$15)/EDA!$G$15)</f>
        <v>0.36036896796558171</v>
      </c>
      <c r="M2929" t="str">
        <f>IF(moras[[#This Row],[Z-Score Salario]]&gt;1.96, "Sí", "No")</f>
        <v>No</v>
      </c>
      <c r="N2929" s="14">
        <f>IF(ISBLANK(moras[[#This Row],[SALARIO]]), EDA!$M$8, moras[[#This Row],[SALARIO]])</f>
        <v>918531</v>
      </c>
      <c r="O2929" s="14">
        <f xml:space="preserve"> IF(ISBLANK(moras[[#This Row],[EDAD]]), EDA!$E$8, moras[[#This Row],[EDAD]])</f>
        <v>33</v>
      </c>
      <c r="P2929" s="14" t="str">
        <f>IF(
    OR(ISBLANK(moras[[#This Row],[TIPO_ASEGURAMIENTO]]), moras[[#This Row],[TIPO_ASEGURAMIENTO]]=""),
    EDA!$A$32,
    moras[[#This Row],[TIPO_ASEGURAMIENTO]]
)</f>
        <v>ASALARIADO</v>
      </c>
    </row>
    <row r="2930" spans="1:16" x14ac:dyDescent="0.3">
      <c r="A2930">
        <v>2929</v>
      </c>
      <c r="B2930" t="s">
        <v>9</v>
      </c>
      <c r="C2930">
        <v>484083</v>
      </c>
      <c r="D2930" t="s">
        <v>10</v>
      </c>
      <c r="E2930" t="s">
        <v>16</v>
      </c>
      <c r="F2930" t="s">
        <v>12</v>
      </c>
      <c r="G2930" t="s">
        <v>13</v>
      </c>
      <c r="H2930" t="s">
        <v>13</v>
      </c>
      <c r="I2930">
        <v>33</v>
      </c>
      <c r="J2930">
        <f>ABS((I2930-EDA!$A$15)/EDA!$B$15)</f>
        <v>0.63373765783552027</v>
      </c>
      <c r="K2930" t="str">
        <f t="shared" si="45"/>
        <v>No</v>
      </c>
      <c r="L2930">
        <f>ABS((C2930-EDA!$F$15)/EDA!$G$15)</f>
        <v>0.36759848936772394</v>
      </c>
      <c r="M2930" t="str">
        <f>IF(moras[[#This Row],[Z-Score Salario]]&gt;1.96, "Sí", "No")</f>
        <v>No</v>
      </c>
      <c r="N2930" s="14">
        <f>IF(ISBLANK(moras[[#This Row],[SALARIO]]), EDA!$M$8, moras[[#This Row],[SALARIO]])</f>
        <v>484083</v>
      </c>
      <c r="O2930" s="14">
        <f xml:space="preserve"> IF(ISBLANK(moras[[#This Row],[EDAD]]), EDA!$E$8, moras[[#This Row],[EDAD]])</f>
        <v>33</v>
      </c>
      <c r="P2930" s="14" t="str">
        <f>IF(
    OR(ISBLANK(moras[[#This Row],[TIPO_ASEGURAMIENTO]]), moras[[#This Row],[TIPO_ASEGURAMIENTO]]=""),
    EDA!$A$32,
    moras[[#This Row],[TIPO_ASEGURAMIENTO]]
)</f>
        <v>ASALARIADO</v>
      </c>
    </row>
    <row r="2931" spans="1:16" x14ac:dyDescent="0.3">
      <c r="A2931">
        <v>2930</v>
      </c>
      <c r="B2931" t="s">
        <v>9</v>
      </c>
      <c r="C2931">
        <v>437310</v>
      </c>
      <c r="D2931" t="s">
        <v>10</v>
      </c>
      <c r="E2931" t="s">
        <v>16</v>
      </c>
      <c r="F2931" t="s">
        <v>12</v>
      </c>
      <c r="G2931" t="s">
        <v>13</v>
      </c>
      <c r="H2931" t="s">
        <v>13</v>
      </c>
      <c r="I2931">
        <v>31</v>
      </c>
      <c r="J2931">
        <f>ABS((I2931-EDA!$A$15)/EDA!$B$15)</f>
        <v>0.77488831798979529</v>
      </c>
      <c r="K2931" t="str">
        <f t="shared" si="45"/>
        <v>No</v>
      </c>
      <c r="L2931">
        <f>ABS((C2931-EDA!$F$15)/EDA!$G$15)</f>
        <v>0.36837682510535513</v>
      </c>
      <c r="M2931" t="str">
        <f>IF(moras[[#This Row],[Z-Score Salario]]&gt;1.96, "Sí", "No")</f>
        <v>No</v>
      </c>
      <c r="N2931" s="14">
        <f>IF(ISBLANK(moras[[#This Row],[SALARIO]]), EDA!$M$8, moras[[#This Row],[SALARIO]])</f>
        <v>437310</v>
      </c>
      <c r="O2931" s="14">
        <f xml:space="preserve"> IF(ISBLANK(moras[[#This Row],[EDAD]]), EDA!$E$8, moras[[#This Row],[EDAD]])</f>
        <v>31</v>
      </c>
      <c r="P2931" s="14" t="str">
        <f>IF(
    OR(ISBLANK(moras[[#This Row],[TIPO_ASEGURAMIENTO]]), moras[[#This Row],[TIPO_ASEGURAMIENTO]]=""),
    EDA!$A$32,
    moras[[#This Row],[TIPO_ASEGURAMIENTO]]
)</f>
        <v>ASALARIADO</v>
      </c>
    </row>
    <row r="2932" spans="1:16" x14ac:dyDescent="0.3">
      <c r="A2932">
        <v>2931</v>
      </c>
      <c r="B2932" t="s">
        <v>9</v>
      </c>
      <c r="C2932">
        <v>33022688</v>
      </c>
      <c r="D2932" t="s">
        <v>10</v>
      </c>
      <c r="E2932" t="s">
        <v>16</v>
      </c>
      <c r="F2932" t="s">
        <v>12</v>
      </c>
      <c r="G2932" t="s">
        <v>12</v>
      </c>
      <c r="H2932" t="s">
        <v>13</v>
      </c>
      <c r="I2932">
        <v>49</v>
      </c>
      <c r="J2932">
        <f>ABS((I2932-EDA!$A$15)/EDA!$B$15)</f>
        <v>0.49546762339867978</v>
      </c>
      <c r="K2932" t="str">
        <f t="shared" si="45"/>
        <v>No</v>
      </c>
      <c r="L2932">
        <f>ABS((C2932-EDA!$F$15)/EDA!$G$15)</f>
        <v>0.17386686723042466</v>
      </c>
      <c r="M2932" t="str">
        <f>IF(moras[[#This Row],[Z-Score Salario]]&gt;1.96, "Sí", "No")</f>
        <v>No</v>
      </c>
      <c r="N2932" s="14">
        <f>IF(ISBLANK(moras[[#This Row],[SALARIO]]), EDA!$M$8, moras[[#This Row],[SALARIO]])</f>
        <v>33022688</v>
      </c>
      <c r="O2932" s="14">
        <f xml:space="preserve"> IF(ISBLANK(moras[[#This Row],[EDAD]]), EDA!$E$8, moras[[#This Row],[EDAD]])</f>
        <v>49</v>
      </c>
      <c r="P2932" s="14" t="str">
        <f>IF(
    OR(ISBLANK(moras[[#This Row],[TIPO_ASEGURAMIENTO]]), moras[[#This Row],[TIPO_ASEGURAMIENTO]]=""),
    EDA!$A$32,
    moras[[#This Row],[TIPO_ASEGURAMIENTO]]
)</f>
        <v>ASALARIADO</v>
      </c>
    </row>
    <row r="2933" spans="1:16" x14ac:dyDescent="0.3">
      <c r="A2933">
        <v>2932</v>
      </c>
      <c r="B2933" t="s">
        <v>9</v>
      </c>
      <c r="C2933">
        <v>3217274</v>
      </c>
      <c r="D2933" t="s">
        <v>14</v>
      </c>
      <c r="E2933" t="s">
        <v>11</v>
      </c>
      <c r="F2933" t="s">
        <v>12</v>
      </c>
      <c r="G2933" t="s">
        <v>13</v>
      </c>
      <c r="H2933" t="s">
        <v>13</v>
      </c>
      <c r="I2933">
        <v>80</v>
      </c>
      <c r="J2933">
        <f>ABS((I2933-EDA!$A$15)/EDA!$B$15)</f>
        <v>2.6833028557899423</v>
      </c>
      <c r="K2933" t="str">
        <f t="shared" si="45"/>
        <v>Sí</v>
      </c>
      <c r="L2933">
        <f>ABS((C2933-EDA!$F$15)/EDA!$G$15)</f>
        <v>0.32211626173485985</v>
      </c>
      <c r="M2933" t="str">
        <f>IF(moras[[#This Row],[Z-Score Salario]]&gt;1.96, "Sí", "No")</f>
        <v>No</v>
      </c>
      <c r="N2933" s="14">
        <f>IF(ISBLANK(moras[[#This Row],[SALARIO]]), EDA!$M$8, moras[[#This Row],[SALARIO]])</f>
        <v>3217274</v>
      </c>
      <c r="O2933" s="14">
        <f xml:space="preserve"> IF(ISBLANK(moras[[#This Row],[EDAD]]), EDA!$E$8, moras[[#This Row],[EDAD]])</f>
        <v>80</v>
      </c>
      <c r="P2933" s="14" t="str">
        <f>IF(
    OR(ISBLANK(moras[[#This Row],[TIPO_ASEGURAMIENTO]]), moras[[#This Row],[TIPO_ASEGURAMIENTO]]=""),
    EDA!$A$32,
    moras[[#This Row],[TIPO_ASEGURAMIENTO]]
)</f>
        <v>PENSIONADOS EN SU PROPIO SISTEMA</v>
      </c>
    </row>
    <row r="2934" spans="1:16" x14ac:dyDescent="0.3">
      <c r="A2934">
        <v>2933</v>
      </c>
      <c r="B2934" t="s">
        <v>15</v>
      </c>
      <c r="C2934">
        <v>250000</v>
      </c>
      <c r="D2934" t="s">
        <v>10</v>
      </c>
      <c r="E2934" t="s">
        <v>16</v>
      </c>
      <c r="F2934" t="s">
        <v>12</v>
      </c>
      <c r="G2934" t="s">
        <v>12</v>
      </c>
      <c r="H2934" t="s">
        <v>13</v>
      </c>
      <c r="I2934">
        <v>53</v>
      </c>
      <c r="J2934">
        <f>ABS((I2934-EDA!$A$15)/EDA!$B$15)</f>
        <v>0.77776894370722982</v>
      </c>
      <c r="K2934" t="str">
        <f t="shared" si="45"/>
        <v>No</v>
      </c>
      <c r="L2934">
        <f>ABS((C2934-EDA!$F$15)/EDA!$G$15)</f>
        <v>0.37149379572976882</v>
      </c>
      <c r="M2934" t="str">
        <f>IF(moras[[#This Row],[Z-Score Salario]]&gt;1.96, "Sí", "No")</f>
        <v>No</v>
      </c>
      <c r="N2934" s="14">
        <f>IF(ISBLANK(moras[[#This Row],[SALARIO]]), EDA!$M$8, moras[[#This Row],[SALARIO]])</f>
        <v>250000</v>
      </c>
      <c r="O2934" s="14">
        <f xml:space="preserve"> IF(ISBLANK(moras[[#This Row],[EDAD]]), EDA!$E$8, moras[[#This Row],[EDAD]])</f>
        <v>53</v>
      </c>
      <c r="P2934" s="14" t="str">
        <f>IF(
    OR(ISBLANK(moras[[#This Row],[TIPO_ASEGURAMIENTO]]), moras[[#This Row],[TIPO_ASEGURAMIENTO]]=""),
    EDA!$A$32,
    moras[[#This Row],[TIPO_ASEGURAMIENTO]]
)</f>
        <v>ASALARIADO</v>
      </c>
    </row>
    <row r="2935" spans="1:16" x14ac:dyDescent="0.3">
      <c r="A2935">
        <v>2934</v>
      </c>
      <c r="B2935" t="s">
        <v>15</v>
      </c>
      <c r="C2935">
        <v>297046</v>
      </c>
      <c r="D2935" t="s">
        <v>17</v>
      </c>
      <c r="E2935" t="s">
        <v>16</v>
      </c>
      <c r="F2935" t="s">
        <v>12</v>
      </c>
      <c r="G2935" t="s">
        <v>13</v>
      </c>
      <c r="H2935" t="s">
        <v>13</v>
      </c>
      <c r="I2935">
        <v>55</v>
      </c>
      <c r="J2935">
        <f>ABS((I2935-EDA!$A$15)/EDA!$B$15)</f>
        <v>0.91891960386150484</v>
      </c>
      <c r="K2935" t="str">
        <f t="shared" si="45"/>
        <v>No</v>
      </c>
      <c r="L2935">
        <f>ABS((C2935-EDA!$F$15)/EDA!$G$15)</f>
        <v>0.37071091707942361</v>
      </c>
      <c r="M2935" t="str">
        <f>IF(moras[[#This Row],[Z-Score Salario]]&gt;1.96, "Sí", "No")</f>
        <v>No</v>
      </c>
      <c r="N2935" s="14">
        <f>IF(ISBLANK(moras[[#This Row],[SALARIO]]), EDA!$M$8, moras[[#This Row],[SALARIO]])</f>
        <v>297046</v>
      </c>
      <c r="O2935" s="14">
        <f xml:space="preserve"> IF(ISBLANK(moras[[#This Row],[EDAD]]), EDA!$E$8, moras[[#This Row],[EDAD]])</f>
        <v>55</v>
      </c>
      <c r="P2935" s="14" t="str">
        <f>IF(
    OR(ISBLANK(moras[[#This Row],[TIPO_ASEGURAMIENTO]]), moras[[#This Row],[TIPO_ASEGURAMIENTO]]=""),
    EDA!$A$32,
    moras[[#This Row],[TIPO_ASEGURAMIENTO]]
)</f>
        <v>ASEGURADO VOLUNTARIO</v>
      </c>
    </row>
    <row r="2936" spans="1:16" x14ac:dyDescent="0.3">
      <c r="A2936">
        <v>2935</v>
      </c>
      <c r="B2936" t="s">
        <v>9</v>
      </c>
      <c r="C2936">
        <v>35954427</v>
      </c>
      <c r="D2936" t="s">
        <v>21</v>
      </c>
      <c r="E2936" t="s">
        <v>16</v>
      </c>
      <c r="F2936" t="s">
        <v>12</v>
      </c>
      <c r="G2936" t="s">
        <v>12</v>
      </c>
      <c r="H2936" t="s">
        <v>13</v>
      </c>
      <c r="I2936">
        <v>66</v>
      </c>
      <c r="J2936">
        <f>ABS((I2936-EDA!$A$15)/EDA!$B$15)</f>
        <v>1.6952482347100173</v>
      </c>
      <c r="K2936" t="str">
        <f t="shared" si="45"/>
        <v>No</v>
      </c>
      <c r="L2936">
        <f>ABS((C2936-EDA!$F$15)/EDA!$G$15)</f>
        <v>0.22265307374074372</v>
      </c>
      <c r="M2936" t="str">
        <f>IF(moras[[#This Row],[Z-Score Salario]]&gt;1.96, "Sí", "No")</f>
        <v>No</v>
      </c>
      <c r="N2936" s="14">
        <f>IF(ISBLANK(moras[[#This Row],[SALARIO]]), EDA!$M$8, moras[[#This Row],[SALARIO]])</f>
        <v>35954427</v>
      </c>
      <c r="O2936" s="14">
        <f xml:space="preserve"> IF(ISBLANK(moras[[#This Row],[EDAD]]), EDA!$E$8, moras[[#This Row],[EDAD]])</f>
        <v>66</v>
      </c>
      <c r="P2936" s="14" t="str">
        <f>IF(
    OR(ISBLANK(moras[[#This Row],[TIPO_ASEGURAMIENTO]]), moras[[#This Row],[TIPO_ASEGURAMIENTO]]=""),
    EDA!$A$32,
    moras[[#This Row],[TIPO_ASEGURAMIENTO]]
)</f>
        <v>CONVENIOS ESPECIALES DE ASEGURADOS VOLUNTARIOS</v>
      </c>
    </row>
    <row r="2937" spans="1:16" x14ac:dyDescent="0.3">
      <c r="A2937">
        <v>2936</v>
      </c>
      <c r="B2937" t="s">
        <v>9</v>
      </c>
      <c r="C2937">
        <v>9249999</v>
      </c>
      <c r="D2937" t="s">
        <v>10</v>
      </c>
      <c r="E2937" t="s">
        <v>16</v>
      </c>
      <c r="F2937" t="s">
        <v>12</v>
      </c>
      <c r="G2937" t="s">
        <v>13</v>
      </c>
      <c r="H2937" t="s">
        <v>13</v>
      </c>
      <c r="I2937">
        <v>27</v>
      </c>
      <c r="J2937">
        <f>ABS((I2937-EDA!$A$15)/EDA!$B$15)</f>
        <v>1.0571896382983452</v>
      </c>
      <c r="K2937" t="str">
        <f t="shared" si="45"/>
        <v>No</v>
      </c>
      <c r="L2937">
        <f>ABS((C2937-EDA!$F$15)/EDA!$G$15)</f>
        <v>0.22172745916070014</v>
      </c>
      <c r="M2937" t="str">
        <f>IF(moras[[#This Row],[Z-Score Salario]]&gt;1.96, "Sí", "No")</f>
        <v>No</v>
      </c>
      <c r="N2937" s="14">
        <f>IF(ISBLANK(moras[[#This Row],[SALARIO]]), EDA!$M$8, moras[[#This Row],[SALARIO]])</f>
        <v>9249999</v>
      </c>
      <c r="O2937" s="14">
        <f xml:space="preserve"> IF(ISBLANK(moras[[#This Row],[EDAD]]), EDA!$E$8, moras[[#This Row],[EDAD]])</f>
        <v>27</v>
      </c>
      <c r="P2937" s="14" t="str">
        <f>IF(
    OR(ISBLANK(moras[[#This Row],[TIPO_ASEGURAMIENTO]]), moras[[#This Row],[TIPO_ASEGURAMIENTO]]=""),
    EDA!$A$32,
    moras[[#This Row],[TIPO_ASEGURAMIENTO]]
)</f>
        <v>ASALARIADO</v>
      </c>
    </row>
    <row r="2938" spans="1:16" x14ac:dyDescent="0.3">
      <c r="A2938">
        <v>2937</v>
      </c>
      <c r="B2938" t="s">
        <v>15</v>
      </c>
      <c r="C2938">
        <v>323296</v>
      </c>
      <c r="D2938" t="s">
        <v>17</v>
      </c>
      <c r="E2938" t="s">
        <v>16</v>
      </c>
      <c r="F2938" t="s">
        <v>12</v>
      </c>
      <c r="G2938" t="s">
        <v>12</v>
      </c>
      <c r="H2938" t="s">
        <v>13</v>
      </c>
      <c r="I2938">
        <v>38</v>
      </c>
      <c r="J2938">
        <f>ABS((I2938-EDA!$A$15)/EDA!$B$15)</f>
        <v>0.28086100744983278</v>
      </c>
      <c r="K2938" t="str">
        <f t="shared" si="45"/>
        <v>No</v>
      </c>
      <c r="L2938">
        <f>ABS((C2938-EDA!$F$15)/EDA!$G$15)</f>
        <v>0.37027409854922838</v>
      </c>
      <c r="M2938" t="str">
        <f>IF(moras[[#This Row],[Z-Score Salario]]&gt;1.96, "Sí", "No")</f>
        <v>No</v>
      </c>
      <c r="N2938" s="14">
        <f>IF(ISBLANK(moras[[#This Row],[SALARIO]]), EDA!$M$8, moras[[#This Row],[SALARIO]])</f>
        <v>323296</v>
      </c>
      <c r="O2938" s="14">
        <f xml:space="preserve"> IF(ISBLANK(moras[[#This Row],[EDAD]]), EDA!$E$8, moras[[#This Row],[EDAD]])</f>
        <v>38</v>
      </c>
      <c r="P2938" s="14" t="str">
        <f>IF(
    OR(ISBLANK(moras[[#This Row],[TIPO_ASEGURAMIENTO]]), moras[[#This Row],[TIPO_ASEGURAMIENTO]]=""),
    EDA!$A$32,
    moras[[#This Row],[TIPO_ASEGURAMIENTO]]
)</f>
        <v>ASEGURADO VOLUNTARIO</v>
      </c>
    </row>
    <row r="2939" spans="1:16" x14ac:dyDescent="0.3">
      <c r="A2939">
        <v>2938</v>
      </c>
      <c r="B2939" t="s">
        <v>9</v>
      </c>
      <c r="C2939">
        <v>348000</v>
      </c>
      <c r="D2939" t="s">
        <v>10</v>
      </c>
      <c r="E2939" t="s">
        <v>16</v>
      </c>
      <c r="F2939" t="s">
        <v>12</v>
      </c>
      <c r="G2939" t="s">
        <v>13</v>
      </c>
      <c r="H2939" t="s">
        <v>12</v>
      </c>
      <c r="I2939">
        <v>19</v>
      </c>
      <c r="J2939">
        <f>ABS((I2939-EDA!$A$15)/EDA!$B$15)</f>
        <v>1.6217922789154453</v>
      </c>
      <c r="K2939" t="str">
        <f t="shared" si="45"/>
        <v>No</v>
      </c>
      <c r="L2939">
        <f>ABS((C2939-EDA!$F$15)/EDA!$G$15)</f>
        <v>0.36986300655037346</v>
      </c>
      <c r="M2939" t="str">
        <f>IF(moras[[#This Row],[Z-Score Salario]]&gt;1.96, "Sí", "No")</f>
        <v>No</v>
      </c>
      <c r="N2939" s="14">
        <f>IF(ISBLANK(moras[[#This Row],[SALARIO]]), EDA!$M$8, moras[[#This Row],[SALARIO]])</f>
        <v>348000</v>
      </c>
      <c r="O2939" s="14">
        <f xml:space="preserve"> IF(ISBLANK(moras[[#This Row],[EDAD]]), EDA!$E$8, moras[[#This Row],[EDAD]])</f>
        <v>19</v>
      </c>
      <c r="P2939" s="14" t="str">
        <f>IF(
    OR(ISBLANK(moras[[#This Row],[TIPO_ASEGURAMIENTO]]), moras[[#This Row],[TIPO_ASEGURAMIENTO]]=""),
    EDA!$A$32,
    moras[[#This Row],[TIPO_ASEGURAMIENTO]]
)</f>
        <v>ASALARIADO</v>
      </c>
    </row>
    <row r="2940" spans="1:16" x14ac:dyDescent="0.3">
      <c r="A2940">
        <v>2939</v>
      </c>
      <c r="B2940" t="s">
        <v>15</v>
      </c>
      <c r="C2940">
        <v>295000</v>
      </c>
      <c r="D2940" t="s">
        <v>17</v>
      </c>
      <c r="E2940" t="s">
        <v>16</v>
      </c>
      <c r="F2940" t="s">
        <v>12</v>
      </c>
      <c r="G2940" t="s">
        <v>12</v>
      </c>
      <c r="H2940" t="s">
        <v>13</v>
      </c>
      <c r="I2940">
        <v>33</v>
      </c>
      <c r="J2940">
        <f>ABS((I2940-EDA!$A$15)/EDA!$B$15)</f>
        <v>0.63373765783552027</v>
      </c>
      <c r="K2940" t="str">
        <f t="shared" si="45"/>
        <v>No</v>
      </c>
      <c r="L2940">
        <f>ABS((C2940-EDA!$F$15)/EDA!$G$15)</f>
        <v>0.37074496396371992</v>
      </c>
      <c r="M2940" t="str">
        <f>IF(moras[[#This Row],[Z-Score Salario]]&gt;1.96, "Sí", "No")</f>
        <v>No</v>
      </c>
      <c r="N2940" s="14">
        <f>IF(ISBLANK(moras[[#This Row],[SALARIO]]), EDA!$M$8, moras[[#This Row],[SALARIO]])</f>
        <v>295000</v>
      </c>
      <c r="O2940" s="14">
        <f xml:space="preserve"> IF(ISBLANK(moras[[#This Row],[EDAD]]), EDA!$E$8, moras[[#This Row],[EDAD]])</f>
        <v>33</v>
      </c>
      <c r="P2940" s="14" t="str">
        <f>IF(
    OR(ISBLANK(moras[[#This Row],[TIPO_ASEGURAMIENTO]]), moras[[#This Row],[TIPO_ASEGURAMIENTO]]=""),
    EDA!$A$32,
    moras[[#This Row],[TIPO_ASEGURAMIENTO]]
)</f>
        <v>ASEGURADO VOLUNTARIO</v>
      </c>
    </row>
    <row r="2941" spans="1:16" x14ac:dyDescent="0.3">
      <c r="A2941">
        <v>2940</v>
      </c>
      <c r="B2941" t="s">
        <v>9</v>
      </c>
      <c r="C2941">
        <v>297045</v>
      </c>
      <c r="D2941" t="s">
        <v>18</v>
      </c>
      <c r="E2941" t="s">
        <v>16</v>
      </c>
      <c r="F2941" t="s">
        <v>12</v>
      </c>
      <c r="G2941" t="s">
        <v>13</v>
      </c>
      <c r="H2941" t="s">
        <v>13</v>
      </c>
      <c r="I2941">
        <v>49</v>
      </c>
      <c r="J2941">
        <f>ABS((I2941-EDA!$A$15)/EDA!$B$15)</f>
        <v>0.49546762339867978</v>
      </c>
      <c r="K2941" t="str">
        <f t="shared" si="45"/>
        <v>No</v>
      </c>
      <c r="L2941">
        <f>ABS((C2941-EDA!$F$15)/EDA!$G$15)</f>
        <v>0.37071093372012948</v>
      </c>
      <c r="M2941" t="str">
        <f>IF(moras[[#This Row],[Z-Score Salario]]&gt;1.96, "Sí", "No")</f>
        <v>No</v>
      </c>
      <c r="N2941" s="14">
        <f>IF(ISBLANK(moras[[#This Row],[SALARIO]]), EDA!$M$8, moras[[#This Row],[SALARIO]])</f>
        <v>297045</v>
      </c>
      <c r="O2941" s="14">
        <f xml:space="preserve"> IF(ISBLANK(moras[[#This Row],[EDAD]]), EDA!$E$8, moras[[#This Row],[EDAD]])</f>
        <v>49</v>
      </c>
      <c r="P2941" s="14" t="str">
        <f>IF(
    OR(ISBLANK(moras[[#This Row],[TIPO_ASEGURAMIENTO]]), moras[[#This Row],[TIPO_ASEGURAMIENTO]]=""),
    EDA!$A$32,
    moras[[#This Row],[TIPO_ASEGURAMIENTO]]
)</f>
        <v>TRABAJADOR INDEPENDIENTE</v>
      </c>
    </row>
    <row r="2942" spans="1:16" x14ac:dyDescent="0.3">
      <c r="A2942">
        <v>2941</v>
      </c>
      <c r="B2942" t="s">
        <v>9</v>
      </c>
      <c r="C2942">
        <v>1889038</v>
      </c>
      <c r="D2942" t="s">
        <v>14</v>
      </c>
      <c r="E2942" t="s">
        <v>11</v>
      </c>
      <c r="F2942" t="s">
        <v>12</v>
      </c>
      <c r="G2942" t="s">
        <v>13</v>
      </c>
      <c r="H2942" t="s">
        <v>13</v>
      </c>
      <c r="I2942">
        <v>67</v>
      </c>
      <c r="J2942">
        <f>ABS((I2942-EDA!$A$15)/EDA!$B$15)</f>
        <v>1.765823564787155</v>
      </c>
      <c r="K2942" t="str">
        <f t="shared" si="45"/>
        <v>No</v>
      </c>
      <c r="L2942">
        <f>ABS((C2942-EDA!$F$15)/EDA!$G$15)</f>
        <v>0.344219046392853</v>
      </c>
      <c r="M2942" t="str">
        <f>IF(moras[[#This Row],[Z-Score Salario]]&gt;1.96, "Sí", "No")</f>
        <v>No</v>
      </c>
      <c r="N2942" s="14">
        <f>IF(ISBLANK(moras[[#This Row],[SALARIO]]), EDA!$M$8, moras[[#This Row],[SALARIO]])</f>
        <v>1889038</v>
      </c>
      <c r="O2942" s="14">
        <f xml:space="preserve"> IF(ISBLANK(moras[[#This Row],[EDAD]]), EDA!$E$8, moras[[#This Row],[EDAD]])</f>
        <v>67</v>
      </c>
      <c r="P2942" s="14" t="str">
        <f>IF(
    OR(ISBLANK(moras[[#This Row],[TIPO_ASEGURAMIENTO]]), moras[[#This Row],[TIPO_ASEGURAMIENTO]]=""),
    EDA!$A$32,
    moras[[#This Row],[TIPO_ASEGURAMIENTO]]
)</f>
        <v>PENSIONADOS EN SU PROPIO SISTEMA</v>
      </c>
    </row>
    <row r="2943" spans="1:16" x14ac:dyDescent="0.3">
      <c r="A2943">
        <v>2942</v>
      </c>
      <c r="B2943" t="s">
        <v>15</v>
      </c>
      <c r="C2943">
        <v>1675853</v>
      </c>
      <c r="D2943" t="s">
        <v>14</v>
      </c>
      <c r="E2943" t="s">
        <v>11</v>
      </c>
      <c r="F2943" t="s">
        <v>12</v>
      </c>
      <c r="G2943" t="s">
        <v>13</v>
      </c>
      <c r="H2943" t="s">
        <v>13</v>
      </c>
      <c r="I2943">
        <v>55</v>
      </c>
      <c r="J2943">
        <f>ABS((I2943-EDA!$A$15)/EDA!$B$15)</f>
        <v>0.91891960386150484</v>
      </c>
      <c r="K2943" t="str">
        <f t="shared" si="45"/>
        <v>No</v>
      </c>
      <c r="L2943">
        <f>ABS((C2943-EDA!$F$15)/EDA!$G$15)</f>
        <v>0.34776659528274473</v>
      </c>
      <c r="M2943" t="str">
        <f>IF(moras[[#This Row],[Z-Score Salario]]&gt;1.96, "Sí", "No")</f>
        <v>No</v>
      </c>
      <c r="N2943" s="14">
        <f>IF(ISBLANK(moras[[#This Row],[SALARIO]]), EDA!$M$8, moras[[#This Row],[SALARIO]])</f>
        <v>1675853</v>
      </c>
      <c r="O2943" s="14">
        <f xml:space="preserve"> IF(ISBLANK(moras[[#This Row],[EDAD]]), EDA!$E$8, moras[[#This Row],[EDAD]])</f>
        <v>55</v>
      </c>
      <c r="P2943" s="14" t="str">
        <f>IF(
    OR(ISBLANK(moras[[#This Row],[TIPO_ASEGURAMIENTO]]), moras[[#This Row],[TIPO_ASEGURAMIENTO]]=""),
    EDA!$A$32,
    moras[[#This Row],[TIPO_ASEGURAMIENTO]]
)</f>
        <v>PENSIONADOS EN SU PROPIO SISTEMA</v>
      </c>
    </row>
    <row r="2944" spans="1:16" x14ac:dyDescent="0.3">
      <c r="A2944">
        <v>2943</v>
      </c>
      <c r="B2944" t="s">
        <v>9</v>
      </c>
      <c r="C2944">
        <v>25000</v>
      </c>
      <c r="D2944" t="s">
        <v>10</v>
      </c>
      <c r="E2944" t="s">
        <v>16</v>
      </c>
      <c r="F2944" t="s">
        <v>12</v>
      </c>
      <c r="G2944" t="s">
        <v>13</v>
      </c>
      <c r="H2944" t="s">
        <v>13</v>
      </c>
      <c r="I2944">
        <v>18</v>
      </c>
      <c r="J2944">
        <f>ABS((I2944-EDA!$A$15)/EDA!$B$15)</f>
        <v>1.6923676089925828</v>
      </c>
      <c r="K2944" t="str">
        <f t="shared" si="45"/>
        <v>No</v>
      </c>
      <c r="L2944">
        <f>ABS((C2944-EDA!$F$15)/EDA!$G$15)</f>
        <v>0.37523795456001319</v>
      </c>
      <c r="M2944" t="str">
        <f>IF(moras[[#This Row],[Z-Score Salario]]&gt;1.96, "Sí", "No")</f>
        <v>No</v>
      </c>
      <c r="N2944" s="14">
        <f>IF(ISBLANK(moras[[#This Row],[SALARIO]]), EDA!$M$8, moras[[#This Row],[SALARIO]])</f>
        <v>25000</v>
      </c>
      <c r="O2944" s="14">
        <f xml:space="preserve"> IF(ISBLANK(moras[[#This Row],[EDAD]]), EDA!$E$8, moras[[#This Row],[EDAD]])</f>
        <v>18</v>
      </c>
      <c r="P2944" s="14" t="str">
        <f>IF(
    OR(ISBLANK(moras[[#This Row],[TIPO_ASEGURAMIENTO]]), moras[[#This Row],[TIPO_ASEGURAMIENTO]]=""),
    EDA!$A$32,
    moras[[#This Row],[TIPO_ASEGURAMIENTO]]
)</f>
        <v>ASALARIADO</v>
      </c>
    </row>
    <row r="2945" spans="1:16" x14ac:dyDescent="0.3">
      <c r="A2945">
        <v>2944</v>
      </c>
      <c r="B2945" t="s">
        <v>9</v>
      </c>
      <c r="C2945">
        <v>3777301</v>
      </c>
      <c r="D2945" t="s">
        <v>10</v>
      </c>
      <c r="E2945" t="s">
        <v>16</v>
      </c>
      <c r="F2945" t="s">
        <v>12</v>
      </c>
      <c r="G2945" t="s">
        <v>13</v>
      </c>
      <c r="H2945" t="s">
        <v>13</v>
      </c>
      <c r="I2945">
        <v>46</v>
      </c>
      <c r="J2945">
        <f>ABS((I2945-EDA!$A$15)/EDA!$B$15)</f>
        <v>0.2837416331672673</v>
      </c>
      <c r="K2945" t="str">
        <f t="shared" si="45"/>
        <v>No</v>
      </c>
      <c r="L2945">
        <f>ABS((C2945-EDA!$F$15)/EDA!$G$15)</f>
        <v>0.31279701712496982</v>
      </c>
      <c r="M2945" t="str">
        <f>IF(moras[[#This Row],[Z-Score Salario]]&gt;1.96, "Sí", "No")</f>
        <v>No</v>
      </c>
      <c r="N2945" s="14">
        <f>IF(ISBLANK(moras[[#This Row],[SALARIO]]), EDA!$M$8, moras[[#This Row],[SALARIO]])</f>
        <v>3777301</v>
      </c>
      <c r="O2945" s="14">
        <f xml:space="preserve"> IF(ISBLANK(moras[[#This Row],[EDAD]]), EDA!$E$8, moras[[#This Row],[EDAD]])</f>
        <v>46</v>
      </c>
      <c r="P2945" s="14" t="str">
        <f>IF(
    OR(ISBLANK(moras[[#This Row],[TIPO_ASEGURAMIENTO]]), moras[[#This Row],[TIPO_ASEGURAMIENTO]]=""),
    EDA!$A$32,
    moras[[#This Row],[TIPO_ASEGURAMIENTO]]
)</f>
        <v>ASALARIADO</v>
      </c>
    </row>
    <row r="2946" spans="1:16" x14ac:dyDescent="0.3">
      <c r="A2946">
        <v>2945</v>
      </c>
      <c r="B2946" t="s">
        <v>9</v>
      </c>
      <c r="C2946">
        <v>38541182</v>
      </c>
      <c r="D2946" t="s">
        <v>10</v>
      </c>
      <c r="E2946" t="s">
        <v>16</v>
      </c>
      <c r="F2946" t="s">
        <v>12</v>
      </c>
      <c r="G2946" t="s">
        <v>13</v>
      </c>
      <c r="H2946" t="s">
        <v>13</v>
      </c>
      <c r="I2946">
        <v>24</v>
      </c>
      <c r="J2946">
        <f>ABS((I2946-EDA!$A$15)/EDA!$B$15)</f>
        <v>1.2689156285297578</v>
      </c>
      <c r="K2946" t="str">
        <f t="shared" ref="K2946:K3009" si="46">IF(J2946 &gt;  1.96, "Sí","No")</f>
        <v>No</v>
      </c>
      <c r="L2946">
        <f>ABS((C2946-EDA!$F$15)/EDA!$G$15)</f>
        <v>0.2656985029626493</v>
      </c>
      <c r="M2946" t="str">
        <f>IF(moras[[#This Row],[Z-Score Salario]]&gt;1.96, "Sí", "No")</f>
        <v>No</v>
      </c>
      <c r="N2946" s="14">
        <f>IF(ISBLANK(moras[[#This Row],[SALARIO]]), EDA!$M$8, moras[[#This Row],[SALARIO]])</f>
        <v>38541182</v>
      </c>
      <c r="O2946" s="14">
        <f xml:space="preserve"> IF(ISBLANK(moras[[#This Row],[EDAD]]), EDA!$E$8, moras[[#This Row],[EDAD]])</f>
        <v>24</v>
      </c>
      <c r="P2946" s="14" t="str">
        <f>IF(
    OR(ISBLANK(moras[[#This Row],[TIPO_ASEGURAMIENTO]]), moras[[#This Row],[TIPO_ASEGURAMIENTO]]=""),
    EDA!$A$32,
    moras[[#This Row],[TIPO_ASEGURAMIENTO]]
)</f>
        <v>ASALARIADO</v>
      </c>
    </row>
    <row r="2947" spans="1:16" x14ac:dyDescent="0.3">
      <c r="A2947">
        <v>2946</v>
      </c>
      <c r="B2947" t="s">
        <v>15</v>
      </c>
      <c r="C2947">
        <v>1621195</v>
      </c>
      <c r="D2947" t="s">
        <v>10</v>
      </c>
      <c r="E2947" t="s">
        <v>11</v>
      </c>
      <c r="F2947" t="s">
        <v>12</v>
      </c>
      <c r="G2947" t="s">
        <v>13</v>
      </c>
      <c r="H2947" t="s">
        <v>13</v>
      </c>
      <c r="I2947">
        <v>31</v>
      </c>
      <c r="J2947">
        <f>ABS((I2947-EDA!$A$15)/EDA!$B$15)</f>
        <v>0.77488831798979529</v>
      </c>
      <c r="K2947" t="str">
        <f t="shared" si="46"/>
        <v>No</v>
      </c>
      <c r="L2947">
        <f>ABS((C2947-EDA!$F$15)/EDA!$G$15)</f>
        <v>0.34867614298649358</v>
      </c>
      <c r="M2947" t="str">
        <f>IF(moras[[#This Row],[Z-Score Salario]]&gt;1.96, "Sí", "No")</f>
        <v>No</v>
      </c>
      <c r="N2947" s="14">
        <f>IF(ISBLANK(moras[[#This Row],[SALARIO]]), EDA!$M$8, moras[[#This Row],[SALARIO]])</f>
        <v>1621195</v>
      </c>
      <c r="O2947" s="14">
        <f xml:space="preserve"> IF(ISBLANK(moras[[#This Row],[EDAD]]), EDA!$E$8, moras[[#This Row],[EDAD]])</f>
        <v>31</v>
      </c>
      <c r="P2947" s="14" t="str">
        <f>IF(
    OR(ISBLANK(moras[[#This Row],[TIPO_ASEGURAMIENTO]]), moras[[#This Row],[TIPO_ASEGURAMIENTO]]=""),
    EDA!$A$32,
    moras[[#This Row],[TIPO_ASEGURAMIENTO]]
)</f>
        <v>ASALARIADO</v>
      </c>
    </row>
    <row r="2948" spans="1:16" x14ac:dyDescent="0.3">
      <c r="A2948">
        <v>2947</v>
      </c>
      <c r="B2948" t="s">
        <v>15</v>
      </c>
      <c r="C2948">
        <v>782500</v>
      </c>
      <c r="D2948" t="s">
        <v>10</v>
      </c>
      <c r="E2948" t="s">
        <v>11</v>
      </c>
      <c r="F2948" t="s">
        <v>12</v>
      </c>
      <c r="G2948" t="s">
        <v>13</v>
      </c>
      <c r="H2948" t="s">
        <v>13</v>
      </c>
      <c r="I2948">
        <v>28</v>
      </c>
      <c r="J2948">
        <f>ABS((I2948-EDA!$A$15)/EDA!$B$15)</f>
        <v>0.98661430822120777</v>
      </c>
      <c r="K2948" t="str">
        <f t="shared" si="46"/>
        <v>No</v>
      </c>
      <c r="L2948">
        <f>ABS((C2948-EDA!$F$15)/EDA!$G$15)</f>
        <v>0.36263261983152384</v>
      </c>
      <c r="M2948" t="str">
        <f>IF(moras[[#This Row],[Z-Score Salario]]&gt;1.96, "Sí", "No")</f>
        <v>No</v>
      </c>
      <c r="N2948" s="14">
        <f>IF(ISBLANK(moras[[#This Row],[SALARIO]]), EDA!$M$8, moras[[#This Row],[SALARIO]])</f>
        <v>782500</v>
      </c>
      <c r="O2948" s="14">
        <f xml:space="preserve"> IF(ISBLANK(moras[[#This Row],[EDAD]]), EDA!$E$8, moras[[#This Row],[EDAD]])</f>
        <v>28</v>
      </c>
      <c r="P2948" s="14" t="str">
        <f>IF(
    OR(ISBLANK(moras[[#This Row],[TIPO_ASEGURAMIENTO]]), moras[[#This Row],[TIPO_ASEGURAMIENTO]]=""),
    EDA!$A$32,
    moras[[#This Row],[TIPO_ASEGURAMIENTO]]
)</f>
        <v>ASALARIADO</v>
      </c>
    </row>
    <row r="2949" spans="1:16" x14ac:dyDescent="0.3">
      <c r="A2949">
        <v>2948</v>
      </c>
      <c r="B2949" t="s">
        <v>9</v>
      </c>
      <c r="C2949">
        <v>467011</v>
      </c>
      <c r="D2949" t="s">
        <v>10</v>
      </c>
      <c r="E2949" t="s">
        <v>16</v>
      </c>
      <c r="F2949" t="s">
        <v>12</v>
      </c>
      <c r="G2949" t="s">
        <v>13</v>
      </c>
      <c r="H2949" t="s">
        <v>13</v>
      </c>
      <c r="I2949">
        <v>57</v>
      </c>
      <c r="J2949">
        <f>ABS((I2949-EDA!$A$15)/EDA!$B$15)</f>
        <v>1.0600702640157798</v>
      </c>
      <c r="K2949" t="str">
        <f t="shared" si="46"/>
        <v>No</v>
      </c>
      <c r="L2949">
        <f>ABS((C2949-EDA!$F$15)/EDA!$G$15)</f>
        <v>0.36788257949905701</v>
      </c>
      <c r="M2949" t="str">
        <f>IF(moras[[#This Row],[Z-Score Salario]]&gt;1.96, "Sí", "No")</f>
        <v>No</v>
      </c>
      <c r="N2949" s="14">
        <f>IF(ISBLANK(moras[[#This Row],[SALARIO]]), EDA!$M$8, moras[[#This Row],[SALARIO]])</f>
        <v>467011</v>
      </c>
      <c r="O2949" s="14">
        <f xml:space="preserve"> IF(ISBLANK(moras[[#This Row],[EDAD]]), EDA!$E$8, moras[[#This Row],[EDAD]])</f>
        <v>57</v>
      </c>
      <c r="P2949" s="14" t="str">
        <f>IF(
    OR(ISBLANK(moras[[#This Row],[TIPO_ASEGURAMIENTO]]), moras[[#This Row],[TIPO_ASEGURAMIENTO]]=""),
    EDA!$A$32,
    moras[[#This Row],[TIPO_ASEGURAMIENTO]]
)</f>
        <v>ASALARIADO</v>
      </c>
    </row>
    <row r="2950" spans="1:16" x14ac:dyDescent="0.3">
      <c r="A2950">
        <v>2949</v>
      </c>
      <c r="B2950" t="s">
        <v>15</v>
      </c>
      <c r="C2950">
        <v>240000</v>
      </c>
      <c r="D2950" t="s">
        <v>10</v>
      </c>
      <c r="E2950" t="s">
        <v>16</v>
      </c>
      <c r="F2950" t="s">
        <v>12</v>
      </c>
      <c r="G2950" t="s">
        <v>13</v>
      </c>
      <c r="H2950" t="s">
        <v>13</v>
      </c>
      <c r="I2950">
        <v>41</v>
      </c>
      <c r="J2950">
        <f>ABS((I2950-EDA!$A$15)/EDA!$B$15)</f>
        <v>6.9135017218420233E-2</v>
      </c>
      <c r="K2950" t="str">
        <f t="shared" si="46"/>
        <v>No</v>
      </c>
      <c r="L2950">
        <f>ABS((C2950-EDA!$F$15)/EDA!$G$15)</f>
        <v>0.37166020278889078</v>
      </c>
      <c r="M2950" t="str">
        <f>IF(moras[[#This Row],[Z-Score Salario]]&gt;1.96, "Sí", "No")</f>
        <v>No</v>
      </c>
      <c r="N2950" s="14">
        <f>IF(ISBLANK(moras[[#This Row],[SALARIO]]), EDA!$M$8, moras[[#This Row],[SALARIO]])</f>
        <v>240000</v>
      </c>
      <c r="O2950" s="14">
        <f xml:space="preserve"> IF(ISBLANK(moras[[#This Row],[EDAD]]), EDA!$E$8, moras[[#This Row],[EDAD]])</f>
        <v>41</v>
      </c>
      <c r="P2950" s="14" t="str">
        <f>IF(
    OR(ISBLANK(moras[[#This Row],[TIPO_ASEGURAMIENTO]]), moras[[#This Row],[TIPO_ASEGURAMIENTO]]=""),
    EDA!$A$32,
    moras[[#This Row],[TIPO_ASEGURAMIENTO]]
)</f>
        <v>ASALARIADO</v>
      </c>
    </row>
    <row r="2951" spans="1:16" x14ac:dyDescent="0.3">
      <c r="A2951">
        <v>2950</v>
      </c>
      <c r="B2951" t="s">
        <v>15</v>
      </c>
      <c r="C2951">
        <v>80642108</v>
      </c>
      <c r="D2951" t="s">
        <v>10</v>
      </c>
      <c r="E2951" t="s">
        <v>16</v>
      </c>
      <c r="F2951" t="s">
        <v>12</v>
      </c>
      <c r="G2951" t="s">
        <v>13</v>
      </c>
      <c r="H2951" t="s">
        <v>13</v>
      </c>
      <c r="I2951">
        <v>58</v>
      </c>
      <c r="J2951">
        <f>ABS((I2951-EDA!$A$15)/EDA!$B$15)</f>
        <v>1.1306455940929174</v>
      </c>
      <c r="K2951" t="str">
        <f t="shared" si="46"/>
        <v>No</v>
      </c>
      <c r="L2951">
        <f>ABS((C2951-EDA!$F$15)/EDA!$G$15)</f>
        <v>0.96628763115982519</v>
      </c>
      <c r="M2951" t="str">
        <f>IF(moras[[#This Row],[Z-Score Salario]]&gt;1.96, "Sí", "No")</f>
        <v>No</v>
      </c>
      <c r="N2951" s="14">
        <f>IF(ISBLANK(moras[[#This Row],[SALARIO]]), EDA!$M$8, moras[[#This Row],[SALARIO]])</f>
        <v>80642108</v>
      </c>
      <c r="O2951" s="14">
        <f xml:space="preserve"> IF(ISBLANK(moras[[#This Row],[EDAD]]), EDA!$E$8, moras[[#This Row],[EDAD]])</f>
        <v>58</v>
      </c>
      <c r="P2951" s="14" t="str">
        <f>IF(
    OR(ISBLANK(moras[[#This Row],[TIPO_ASEGURAMIENTO]]), moras[[#This Row],[TIPO_ASEGURAMIENTO]]=""),
    EDA!$A$32,
    moras[[#This Row],[TIPO_ASEGURAMIENTO]]
)</f>
        <v>ASALARIADO</v>
      </c>
    </row>
    <row r="2952" spans="1:16" x14ac:dyDescent="0.3">
      <c r="A2952">
        <v>2951</v>
      </c>
      <c r="B2952" t="s">
        <v>15</v>
      </c>
      <c r="C2952">
        <v>400000</v>
      </c>
      <c r="D2952" t="s">
        <v>10</v>
      </c>
      <c r="E2952" t="s">
        <v>16</v>
      </c>
      <c r="F2952" t="s">
        <v>12</v>
      </c>
      <c r="G2952" t="s">
        <v>13</v>
      </c>
      <c r="H2952" t="s">
        <v>13</v>
      </c>
      <c r="I2952">
        <v>25</v>
      </c>
      <c r="J2952">
        <f>ABS((I2952-EDA!$A$15)/EDA!$B$15)</f>
        <v>1.1983402984526204</v>
      </c>
      <c r="K2952" t="str">
        <f t="shared" si="46"/>
        <v>No</v>
      </c>
      <c r="L2952">
        <f>ABS((C2952-EDA!$F$15)/EDA!$G$15)</f>
        <v>0.36899768984293924</v>
      </c>
      <c r="M2952" t="str">
        <f>IF(moras[[#This Row],[Z-Score Salario]]&gt;1.96, "Sí", "No")</f>
        <v>No</v>
      </c>
      <c r="N2952" s="14">
        <f>IF(ISBLANK(moras[[#This Row],[SALARIO]]), EDA!$M$8, moras[[#This Row],[SALARIO]])</f>
        <v>400000</v>
      </c>
      <c r="O2952" s="14">
        <f xml:space="preserve"> IF(ISBLANK(moras[[#This Row],[EDAD]]), EDA!$E$8, moras[[#This Row],[EDAD]])</f>
        <v>25</v>
      </c>
      <c r="P2952" s="14" t="str">
        <f>IF(
    OR(ISBLANK(moras[[#This Row],[TIPO_ASEGURAMIENTO]]), moras[[#This Row],[TIPO_ASEGURAMIENTO]]=""),
    EDA!$A$32,
    moras[[#This Row],[TIPO_ASEGURAMIENTO]]
)</f>
        <v>ASALARIADO</v>
      </c>
    </row>
    <row r="2953" spans="1:16" x14ac:dyDescent="0.3">
      <c r="A2953">
        <v>2952</v>
      </c>
      <c r="B2953" t="s">
        <v>9</v>
      </c>
      <c r="C2953">
        <v>299441</v>
      </c>
      <c r="D2953" t="s">
        <v>18</v>
      </c>
      <c r="E2953" t="s">
        <v>16</v>
      </c>
      <c r="F2953" t="s">
        <v>12</v>
      </c>
      <c r="G2953" t="s">
        <v>12</v>
      </c>
      <c r="H2953" t="s">
        <v>12</v>
      </c>
      <c r="I2953">
        <v>53</v>
      </c>
      <c r="J2953">
        <f>ABS((I2953-EDA!$A$15)/EDA!$B$15)</f>
        <v>0.77776894370722982</v>
      </c>
      <c r="K2953" t="str">
        <f t="shared" si="46"/>
        <v>No</v>
      </c>
      <c r="L2953">
        <f>ABS((C2953-EDA!$F$15)/EDA!$G$15)</f>
        <v>0.37067106258876387</v>
      </c>
      <c r="M2953" t="str">
        <f>IF(moras[[#This Row],[Z-Score Salario]]&gt;1.96, "Sí", "No")</f>
        <v>No</v>
      </c>
      <c r="N2953" s="14">
        <f>IF(ISBLANK(moras[[#This Row],[SALARIO]]), EDA!$M$8, moras[[#This Row],[SALARIO]])</f>
        <v>299441</v>
      </c>
      <c r="O2953" s="14">
        <f xml:space="preserve"> IF(ISBLANK(moras[[#This Row],[EDAD]]), EDA!$E$8, moras[[#This Row],[EDAD]])</f>
        <v>53</v>
      </c>
      <c r="P2953" s="14" t="str">
        <f>IF(
    OR(ISBLANK(moras[[#This Row],[TIPO_ASEGURAMIENTO]]), moras[[#This Row],[TIPO_ASEGURAMIENTO]]=""),
    EDA!$A$32,
    moras[[#This Row],[TIPO_ASEGURAMIENTO]]
)</f>
        <v>TRABAJADOR INDEPENDIENTE</v>
      </c>
    </row>
    <row r="2954" spans="1:16" x14ac:dyDescent="0.3">
      <c r="A2954">
        <v>2953</v>
      </c>
      <c r="B2954" t="s">
        <v>9</v>
      </c>
      <c r="C2954">
        <v>37716437</v>
      </c>
      <c r="D2954" t="s">
        <v>10</v>
      </c>
      <c r="E2954" t="s">
        <v>16</v>
      </c>
      <c r="F2954" t="s">
        <v>12</v>
      </c>
      <c r="G2954" t="s">
        <v>13</v>
      </c>
      <c r="H2954" t="s">
        <v>13</v>
      </c>
      <c r="I2954">
        <v>39</v>
      </c>
      <c r="J2954">
        <f>ABS((I2954-EDA!$A$15)/EDA!$B$15)</f>
        <v>0.21028567737269524</v>
      </c>
      <c r="K2954" t="str">
        <f t="shared" si="46"/>
        <v>No</v>
      </c>
      <c r="L2954">
        <f>ABS((C2954-EDA!$F$15)/EDA!$G$15)</f>
        <v>0.25197416396509426</v>
      </c>
      <c r="M2954" t="str">
        <f>IF(moras[[#This Row],[Z-Score Salario]]&gt;1.96, "Sí", "No")</f>
        <v>No</v>
      </c>
      <c r="N2954" s="14">
        <f>IF(ISBLANK(moras[[#This Row],[SALARIO]]), EDA!$M$8, moras[[#This Row],[SALARIO]])</f>
        <v>37716437</v>
      </c>
      <c r="O2954" s="14">
        <f xml:space="preserve"> IF(ISBLANK(moras[[#This Row],[EDAD]]), EDA!$E$8, moras[[#This Row],[EDAD]])</f>
        <v>39</v>
      </c>
      <c r="P2954" s="14" t="str">
        <f>IF(
    OR(ISBLANK(moras[[#This Row],[TIPO_ASEGURAMIENTO]]), moras[[#This Row],[TIPO_ASEGURAMIENTO]]=""),
    EDA!$A$32,
    moras[[#This Row],[TIPO_ASEGURAMIENTO]]
)</f>
        <v>ASALARIADO</v>
      </c>
    </row>
    <row r="2955" spans="1:16" x14ac:dyDescent="0.3">
      <c r="A2955">
        <v>2954</v>
      </c>
      <c r="B2955" t="s">
        <v>15</v>
      </c>
      <c r="C2955">
        <v>523392</v>
      </c>
      <c r="D2955" t="s">
        <v>10</v>
      </c>
      <c r="E2955" t="s">
        <v>16</v>
      </c>
      <c r="F2955" t="s">
        <v>12</v>
      </c>
      <c r="G2955" t="s">
        <v>13</v>
      </c>
      <c r="H2955" t="s">
        <v>13</v>
      </c>
      <c r="I2955">
        <v>21</v>
      </c>
      <c r="J2955">
        <f>ABS((I2955-EDA!$A$15)/EDA!$B$15)</f>
        <v>1.4806416187611704</v>
      </c>
      <c r="K2955" t="str">
        <f t="shared" si="46"/>
        <v>No</v>
      </c>
      <c r="L2955">
        <f>ABS((C2955-EDA!$F$15)/EDA!$G$15)</f>
        <v>0.36694435985902141</v>
      </c>
      <c r="M2955" t="str">
        <f>IF(moras[[#This Row],[Z-Score Salario]]&gt;1.96, "Sí", "No")</f>
        <v>No</v>
      </c>
      <c r="N2955" s="14">
        <f>IF(ISBLANK(moras[[#This Row],[SALARIO]]), EDA!$M$8, moras[[#This Row],[SALARIO]])</f>
        <v>523392</v>
      </c>
      <c r="O2955" s="14">
        <f xml:space="preserve"> IF(ISBLANK(moras[[#This Row],[EDAD]]), EDA!$E$8, moras[[#This Row],[EDAD]])</f>
        <v>21</v>
      </c>
      <c r="P2955" s="14" t="str">
        <f>IF(
    OR(ISBLANK(moras[[#This Row],[TIPO_ASEGURAMIENTO]]), moras[[#This Row],[TIPO_ASEGURAMIENTO]]=""),
    EDA!$A$32,
    moras[[#This Row],[TIPO_ASEGURAMIENTO]]
)</f>
        <v>ASALARIADO</v>
      </c>
    </row>
    <row r="2956" spans="1:16" x14ac:dyDescent="0.3">
      <c r="A2956">
        <v>2955</v>
      </c>
      <c r="B2956" t="s">
        <v>9</v>
      </c>
      <c r="C2956">
        <v>297046</v>
      </c>
      <c r="D2956" t="s">
        <v>18</v>
      </c>
      <c r="E2956" t="s">
        <v>16</v>
      </c>
      <c r="F2956" t="s">
        <v>13</v>
      </c>
      <c r="G2956" t="s">
        <v>13</v>
      </c>
      <c r="H2956" t="s">
        <v>12</v>
      </c>
      <c r="I2956">
        <v>69</v>
      </c>
      <c r="J2956">
        <f>ABS((I2956-EDA!$A$15)/EDA!$B$15)</f>
        <v>1.9069742249414299</v>
      </c>
      <c r="K2956" t="str">
        <f t="shared" si="46"/>
        <v>No</v>
      </c>
      <c r="L2956">
        <f>ABS((C2956-EDA!$F$15)/EDA!$G$15)</f>
        <v>0.37071091707942361</v>
      </c>
      <c r="M2956" t="str">
        <f>IF(moras[[#This Row],[Z-Score Salario]]&gt;1.96, "Sí", "No")</f>
        <v>No</v>
      </c>
      <c r="N2956" s="14">
        <f>IF(ISBLANK(moras[[#This Row],[SALARIO]]), EDA!$M$8, moras[[#This Row],[SALARIO]])</f>
        <v>297046</v>
      </c>
      <c r="O2956" s="14">
        <f xml:space="preserve"> IF(ISBLANK(moras[[#This Row],[EDAD]]), EDA!$E$8, moras[[#This Row],[EDAD]])</f>
        <v>69</v>
      </c>
      <c r="P2956" s="14" t="str">
        <f>IF(
    OR(ISBLANK(moras[[#This Row],[TIPO_ASEGURAMIENTO]]), moras[[#This Row],[TIPO_ASEGURAMIENTO]]=""),
    EDA!$A$32,
    moras[[#This Row],[TIPO_ASEGURAMIENTO]]
)</f>
        <v>TRABAJADOR INDEPENDIENTE</v>
      </c>
    </row>
    <row r="2957" spans="1:16" x14ac:dyDescent="0.3">
      <c r="A2957">
        <v>2956</v>
      </c>
      <c r="B2957" t="s">
        <v>15</v>
      </c>
      <c r="C2957">
        <v>3975599</v>
      </c>
      <c r="D2957" t="s">
        <v>10</v>
      </c>
      <c r="E2957" t="s">
        <v>16</v>
      </c>
      <c r="F2957" t="s">
        <v>12</v>
      </c>
      <c r="G2957" t="s">
        <v>12</v>
      </c>
      <c r="H2957" t="s">
        <v>13</v>
      </c>
      <c r="I2957">
        <v>26</v>
      </c>
      <c r="J2957">
        <f>ABS((I2957-EDA!$A$15)/EDA!$B$15)</f>
        <v>1.1277649683754829</v>
      </c>
      <c r="K2957" t="str">
        <f t="shared" si="46"/>
        <v>No</v>
      </c>
      <c r="L2957">
        <f>ABS((C2957-EDA!$F$15)/EDA!$G$15)</f>
        <v>0.30949719842399293</v>
      </c>
      <c r="M2957" t="str">
        <f>IF(moras[[#This Row],[Z-Score Salario]]&gt;1.96, "Sí", "No")</f>
        <v>No</v>
      </c>
      <c r="N2957" s="14">
        <f>IF(ISBLANK(moras[[#This Row],[SALARIO]]), EDA!$M$8, moras[[#This Row],[SALARIO]])</f>
        <v>3975599</v>
      </c>
      <c r="O2957" s="14">
        <f xml:space="preserve"> IF(ISBLANK(moras[[#This Row],[EDAD]]), EDA!$E$8, moras[[#This Row],[EDAD]])</f>
        <v>26</v>
      </c>
      <c r="P2957" s="14" t="str">
        <f>IF(
    OR(ISBLANK(moras[[#This Row],[TIPO_ASEGURAMIENTO]]), moras[[#This Row],[TIPO_ASEGURAMIENTO]]=""),
    EDA!$A$32,
    moras[[#This Row],[TIPO_ASEGURAMIENTO]]
)</f>
        <v>ASALARIADO</v>
      </c>
    </row>
    <row r="2958" spans="1:16" x14ac:dyDescent="0.3">
      <c r="A2958">
        <v>2957</v>
      </c>
      <c r="B2958" t="s">
        <v>9</v>
      </c>
      <c r="C2958">
        <v>56679541</v>
      </c>
      <c r="D2958" t="s">
        <v>10</v>
      </c>
      <c r="E2958" t="s">
        <v>11</v>
      </c>
      <c r="F2958" t="s">
        <v>12</v>
      </c>
      <c r="G2958" t="s">
        <v>13</v>
      </c>
      <c r="H2958" t="s">
        <v>13</v>
      </c>
      <c r="I2958">
        <v>45</v>
      </c>
      <c r="J2958">
        <f>ABS((I2958-EDA!$A$15)/EDA!$B$15)</f>
        <v>0.21316630309012977</v>
      </c>
      <c r="K2958" t="str">
        <f t="shared" si="46"/>
        <v>No</v>
      </c>
      <c r="L2958">
        <f>ABS((C2958-EDA!$F$15)/EDA!$G$15)</f>
        <v>0.56753360081150417</v>
      </c>
      <c r="M2958" t="str">
        <f>IF(moras[[#This Row],[Z-Score Salario]]&gt;1.96, "Sí", "No")</f>
        <v>No</v>
      </c>
      <c r="N2958" s="14">
        <f>IF(ISBLANK(moras[[#This Row],[SALARIO]]), EDA!$M$8, moras[[#This Row],[SALARIO]])</f>
        <v>56679541</v>
      </c>
      <c r="O2958" s="14">
        <f xml:space="preserve"> IF(ISBLANK(moras[[#This Row],[EDAD]]), EDA!$E$8, moras[[#This Row],[EDAD]])</f>
        <v>45</v>
      </c>
      <c r="P2958" s="14" t="str">
        <f>IF(
    OR(ISBLANK(moras[[#This Row],[TIPO_ASEGURAMIENTO]]), moras[[#This Row],[TIPO_ASEGURAMIENTO]]=""),
    EDA!$A$32,
    moras[[#This Row],[TIPO_ASEGURAMIENTO]]
)</f>
        <v>ASALARIADO</v>
      </c>
    </row>
    <row r="2959" spans="1:16" x14ac:dyDescent="0.3">
      <c r="A2959">
        <v>2958</v>
      </c>
      <c r="B2959" t="s">
        <v>9</v>
      </c>
      <c r="C2959">
        <v>5904217</v>
      </c>
      <c r="D2959" t="s">
        <v>10</v>
      </c>
      <c r="E2959" t="s">
        <v>11</v>
      </c>
      <c r="F2959" t="s">
        <v>12</v>
      </c>
      <c r="G2959" t="s">
        <v>13</v>
      </c>
      <c r="H2959" t="s">
        <v>13</v>
      </c>
      <c r="I2959">
        <v>34</v>
      </c>
      <c r="J2959">
        <f>ABS((I2959-EDA!$A$15)/EDA!$B$15)</f>
        <v>0.56316232775838282</v>
      </c>
      <c r="K2959" t="str">
        <f t="shared" si="46"/>
        <v>No</v>
      </c>
      <c r="L2959">
        <f>ABS((C2959-EDA!$F$15)/EDA!$G$15)</f>
        <v>0.27740363346902303</v>
      </c>
      <c r="M2959" t="str">
        <f>IF(moras[[#This Row],[Z-Score Salario]]&gt;1.96, "Sí", "No")</f>
        <v>No</v>
      </c>
      <c r="N2959" s="14">
        <f>IF(ISBLANK(moras[[#This Row],[SALARIO]]), EDA!$M$8, moras[[#This Row],[SALARIO]])</f>
        <v>5904217</v>
      </c>
      <c r="O2959" s="14">
        <f xml:space="preserve"> IF(ISBLANK(moras[[#This Row],[EDAD]]), EDA!$E$8, moras[[#This Row],[EDAD]])</f>
        <v>34</v>
      </c>
      <c r="P2959" s="14" t="str">
        <f>IF(
    OR(ISBLANK(moras[[#This Row],[TIPO_ASEGURAMIENTO]]), moras[[#This Row],[TIPO_ASEGURAMIENTO]]=""),
    EDA!$A$32,
    moras[[#This Row],[TIPO_ASEGURAMIENTO]]
)</f>
        <v>ASALARIADO</v>
      </c>
    </row>
    <row r="2960" spans="1:16" x14ac:dyDescent="0.3">
      <c r="A2960">
        <v>2959</v>
      </c>
      <c r="B2960" t="s">
        <v>9</v>
      </c>
      <c r="C2960">
        <v>36383334</v>
      </c>
      <c r="D2960" t="s">
        <v>10</v>
      </c>
      <c r="E2960" t="s">
        <v>16</v>
      </c>
      <c r="F2960" t="s">
        <v>12</v>
      </c>
      <c r="G2960" t="s">
        <v>13</v>
      </c>
      <c r="H2960" t="s">
        <v>13</v>
      </c>
      <c r="I2960">
        <v>33</v>
      </c>
      <c r="J2960">
        <f>ABS((I2960-EDA!$A$15)/EDA!$B$15)</f>
        <v>0.63373765783552027</v>
      </c>
      <c r="K2960" t="str">
        <f t="shared" si="46"/>
        <v>No</v>
      </c>
      <c r="L2960">
        <f>ABS((C2960-EDA!$F$15)/EDA!$G$15)</f>
        <v>0.22979038899142645</v>
      </c>
      <c r="M2960" t="str">
        <f>IF(moras[[#This Row],[Z-Score Salario]]&gt;1.96, "Sí", "No")</f>
        <v>No</v>
      </c>
      <c r="N2960" s="14">
        <f>IF(ISBLANK(moras[[#This Row],[SALARIO]]), EDA!$M$8, moras[[#This Row],[SALARIO]])</f>
        <v>36383334</v>
      </c>
      <c r="O2960" s="14">
        <f xml:space="preserve"> IF(ISBLANK(moras[[#This Row],[EDAD]]), EDA!$E$8, moras[[#This Row],[EDAD]])</f>
        <v>33</v>
      </c>
      <c r="P2960" s="14" t="str">
        <f>IF(
    OR(ISBLANK(moras[[#This Row],[TIPO_ASEGURAMIENTO]]), moras[[#This Row],[TIPO_ASEGURAMIENTO]]=""),
    EDA!$A$32,
    moras[[#This Row],[TIPO_ASEGURAMIENTO]]
)</f>
        <v>ASALARIADO</v>
      </c>
    </row>
    <row r="2961" spans="1:16" x14ac:dyDescent="0.3">
      <c r="A2961">
        <v>2960</v>
      </c>
      <c r="B2961" t="s">
        <v>9</v>
      </c>
      <c r="C2961">
        <v>297046</v>
      </c>
      <c r="D2961" t="s">
        <v>18</v>
      </c>
      <c r="E2961" t="s">
        <v>16</v>
      </c>
      <c r="F2961" t="s">
        <v>12</v>
      </c>
      <c r="G2961" t="s">
        <v>12</v>
      </c>
      <c r="H2961" t="s">
        <v>12</v>
      </c>
      <c r="I2961">
        <v>36</v>
      </c>
      <c r="J2961">
        <f>ABS((I2961-EDA!$A$15)/EDA!$B$15)</f>
        <v>0.42201166760410774</v>
      </c>
      <c r="K2961" t="str">
        <f t="shared" si="46"/>
        <v>No</v>
      </c>
      <c r="L2961">
        <f>ABS((C2961-EDA!$F$15)/EDA!$G$15)</f>
        <v>0.37071091707942361</v>
      </c>
      <c r="M2961" t="str">
        <f>IF(moras[[#This Row],[Z-Score Salario]]&gt;1.96, "Sí", "No")</f>
        <v>No</v>
      </c>
      <c r="N2961" s="14">
        <f>IF(ISBLANK(moras[[#This Row],[SALARIO]]), EDA!$M$8, moras[[#This Row],[SALARIO]])</f>
        <v>297046</v>
      </c>
      <c r="O2961" s="14">
        <f xml:space="preserve"> IF(ISBLANK(moras[[#This Row],[EDAD]]), EDA!$E$8, moras[[#This Row],[EDAD]])</f>
        <v>36</v>
      </c>
      <c r="P2961" s="14" t="str">
        <f>IF(
    OR(ISBLANK(moras[[#This Row],[TIPO_ASEGURAMIENTO]]), moras[[#This Row],[TIPO_ASEGURAMIENTO]]=""),
    EDA!$A$32,
    moras[[#This Row],[TIPO_ASEGURAMIENTO]]
)</f>
        <v>TRABAJADOR INDEPENDIENTE</v>
      </c>
    </row>
    <row r="2962" spans="1:16" x14ac:dyDescent="0.3">
      <c r="A2962">
        <v>2961</v>
      </c>
      <c r="B2962" t="s">
        <v>9</v>
      </c>
      <c r="C2962">
        <v>225000</v>
      </c>
      <c r="D2962" t="s">
        <v>10</v>
      </c>
      <c r="E2962" t="s">
        <v>16</v>
      </c>
      <c r="F2962" t="s">
        <v>12</v>
      </c>
      <c r="G2962" t="s">
        <v>12</v>
      </c>
      <c r="H2962" t="s">
        <v>12</v>
      </c>
      <c r="I2962">
        <v>47</v>
      </c>
      <c r="J2962">
        <f>ABS((I2962-EDA!$A$15)/EDA!$B$15)</f>
        <v>0.35431696324440481</v>
      </c>
      <c r="K2962" t="str">
        <f t="shared" si="46"/>
        <v>No</v>
      </c>
      <c r="L2962">
        <f>ABS((C2962-EDA!$F$15)/EDA!$G$15)</f>
        <v>0.37190981337757373</v>
      </c>
      <c r="M2962" t="str">
        <f>IF(moras[[#This Row],[Z-Score Salario]]&gt;1.96, "Sí", "No")</f>
        <v>No</v>
      </c>
      <c r="N2962" s="14">
        <f>IF(ISBLANK(moras[[#This Row],[SALARIO]]), EDA!$M$8, moras[[#This Row],[SALARIO]])</f>
        <v>225000</v>
      </c>
      <c r="O2962" s="14">
        <f xml:space="preserve"> IF(ISBLANK(moras[[#This Row],[EDAD]]), EDA!$E$8, moras[[#This Row],[EDAD]])</f>
        <v>47</v>
      </c>
      <c r="P2962" s="14" t="str">
        <f>IF(
    OR(ISBLANK(moras[[#This Row],[TIPO_ASEGURAMIENTO]]), moras[[#This Row],[TIPO_ASEGURAMIENTO]]=""),
    EDA!$A$32,
    moras[[#This Row],[TIPO_ASEGURAMIENTO]]
)</f>
        <v>ASALARIADO</v>
      </c>
    </row>
    <row r="2963" spans="1:16" x14ac:dyDescent="0.3">
      <c r="A2963">
        <v>2962</v>
      </c>
      <c r="B2963" t="s">
        <v>9</v>
      </c>
      <c r="C2963">
        <v>105491489</v>
      </c>
      <c r="D2963" t="s">
        <v>10</v>
      </c>
      <c r="E2963" t="s">
        <v>11</v>
      </c>
      <c r="F2963" t="s">
        <v>12</v>
      </c>
      <c r="G2963" t="s">
        <v>13</v>
      </c>
      <c r="H2963" t="s">
        <v>13</v>
      </c>
      <c r="I2963">
        <v>50</v>
      </c>
      <c r="J2963">
        <f>ABS((I2963-EDA!$A$15)/EDA!$B$15)</f>
        <v>0.56604295347581735</v>
      </c>
      <c r="K2963" t="str">
        <f t="shared" si="46"/>
        <v>No</v>
      </c>
      <c r="L2963">
        <f>ABS((C2963-EDA!$F$15)/EDA!$G$15)</f>
        <v>1.3797988724809653</v>
      </c>
      <c r="M2963" t="str">
        <f>IF(moras[[#This Row],[Z-Score Salario]]&gt;1.96, "Sí", "No")</f>
        <v>No</v>
      </c>
      <c r="N2963" s="14">
        <f>IF(ISBLANK(moras[[#This Row],[SALARIO]]), EDA!$M$8, moras[[#This Row],[SALARIO]])</f>
        <v>105491489</v>
      </c>
      <c r="O2963" s="14">
        <f xml:space="preserve"> IF(ISBLANK(moras[[#This Row],[EDAD]]), EDA!$E$8, moras[[#This Row],[EDAD]])</f>
        <v>50</v>
      </c>
      <c r="P2963" s="14" t="str">
        <f>IF(
    OR(ISBLANK(moras[[#This Row],[TIPO_ASEGURAMIENTO]]), moras[[#This Row],[TIPO_ASEGURAMIENTO]]=""),
    EDA!$A$32,
    moras[[#This Row],[TIPO_ASEGURAMIENTO]]
)</f>
        <v>ASALARIADO</v>
      </c>
    </row>
    <row r="2964" spans="1:16" x14ac:dyDescent="0.3">
      <c r="A2964">
        <v>2963</v>
      </c>
      <c r="B2964" t="s">
        <v>9</v>
      </c>
      <c r="C2964">
        <v>229028</v>
      </c>
      <c r="D2964" t="s">
        <v>10</v>
      </c>
      <c r="E2964" t="s">
        <v>16</v>
      </c>
      <c r="F2964" t="s">
        <v>12</v>
      </c>
      <c r="G2964" t="s">
        <v>13</v>
      </c>
      <c r="H2964" t="s">
        <v>13</v>
      </c>
      <c r="I2964">
        <v>20</v>
      </c>
      <c r="J2964">
        <f>ABS((I2964-EDA!$A$15)/EDA!$B$15)</f>
        <v>1.5512169488383079</v>
      </c>
      <c r="K2964" t="str">
        <f t="shared" si="46"/>
        <v>No</v>
      </c>
      <c r="L2964">
        <f>ABS((C2964-EDA!$F$15)/EDA!$G$15)</f>
        <v>0.37184278461415943</v>
      </c>
      <c r="M2964" t="str">
        <f>IF(moras[[#This Row],[Z-Score Salario]]&gt;1.96, "Sí", "No")</f>
        <v>No</v>
      </c>
      <c r="N2964" s="14">
        <f>IF(ISBLANK(moras[[#This Row],[SALARIO]]), EDA!$M$8, moras[[#This Row],[SALARIO]])</f>
        <v>229028</v>
      </c>
      <c r="O2964" s="14">
        <f xml:space="preserve"> IF(ISBLANK(moras[[#This Row],[EDAD]]), EDA!$E$8, moras[[#This Row],[EDAD]])</f>
        <v>20</v>
      </c>
      <c r="P2964" s="14" t="str">
        <f>IF(
    OR(ISBLANK(moras[[#This Row],[TIPO_ASEGURAMIENTO]]), moras[[#This Row],[TIPO_ASEGURAMIENTO]]=""),
    EDA!$A$32,
    moras[[#This Row],[TIPO_ASEGURAMIENTO]]
)</f>
        <v>ASALARIADO</v>
      </c>
    </row>
    <row r="2965" spans="1:16" x14ac:dyDescent="0.3">
      <c r="A2965">
        <v>2964</v>
      </c>
      <c r="B2965" t="s">
        <v>9</v>
      </c>
      <c r="C2965">
        <v>836076</v>
      </c>
      <c r="D2965" t="s">
        <v>10</v>
      </c>
      <c r="E2965" t="s">
        <v>11</v>
      </c>
      <c r="F2965" t="s">
        <v>12</v>
      </c>
      <c r="G2965" t="s">
        <v>13</v>
      </c>
      <c r="H2965" t="s">
        <v>13</v>
      </c>
      <c r="I2965">
        <v>32</v>
      </c>
      <c r="J2965">
        <f>ABS((I2965-EDA!$A$15)/EDA!$B$15)</f>
        <v>0.70431298791265773</v>
      </c>
      <c r="K2965" t="str">
        <f t="shared" si="46"/>
        <v>No</v>
      </c>
      <c r="L2965">
        <f>ABS((C2965-EDA!$F$15)/EDA!$G$15)</f>
        <v>0.36174107737157196</v>
      </c>
      <c r="M2965" t="str">
        <f>IF(moras[[#This Row],[Z-Score Salario]]&gt;1.96, "Sí", "No")</f>
        <v>No</v>
      </c>
      <c r="N2965" s="14">
        <f>IF(ISBLANK(moras[[#This Row],[SALARIO]]), EDA!$M$8, moras[[#This Row],[SALARIO]])</f>
        <v>836076</v>
      </c>
      <c r="O2965" s="14">
        <f xml:space="preserve"> IF(ISBLANK(moras[[#This Row],[EDAD]]), EDA!$E$8, moras[[#This Row],[EDAD]])</f>
        <v>32</v>
      </c>
      <c r="P2965" s="14" t="str">
        <f>IF(
    OR(ISBLANK(moras[[#This Row],[TIPO_ASEGURAMIENTO]]), moras[[#This Row],[TIPO_ASEGURAMIENTO]]=""),
    EDA!$A$32,
    moras[[#This Row],[TIPO_ASEGURAMIENTO]]
)</f>
        <v>ASALARIADO</v>
      </c>
    </row>
    <row r="2966" spans="1:16" x14ac:dyDescent="0.3">
      <c r="A2966">
        <v>2965</v>
      </c>
      <c r="B2966" t="s">
        <v>15</v>
      </c>
      <c r="C2966">
        <v>297046</v>
      </c>
      <c r="D2966" t="s">
        <v>18</v>
      </c>
      <c r="E2966" t="s">
        <v>16</v>
      </c>
      <c r="F2966" t="s">
        <v>12</v>
      </c>
      <c r="G2966" t="s">
        <v>13</v>
      </c>
      <c r="H2966" t="s">
        <v>12</v>
      </c>
      <c r="I2966">
        <v>38</v>
      </c>
      <c r="J2966">
        <f>ABS((I2966-EDA!$A$15)/EDA!$B$15)</f>
        <v>0.28086100744983278</v>
      </c>
      <c r="K2966" t="str">
        <f t="shared" si="46"/>
        <v>No</v>
      </c>
      <c r="L2966">
        <f>ABS((C2966-EDA!$F$15)/EDA!$G$15)</f>
        <v>0.37071091707942361</v>
      </c>
      <c r="M2966" t="str">
        <f>IF(moras[[#This Row],[Z-Score Salario]]&gt;1.96, "Sí", "No")</f>
        <v>No</v>
      </c>
      <c r="N2966" s="14">
        <f>IF(ISBLANK(moras[[#This Row],[SALARIO]]), EDA!$M$8, moras[[#This Row],[SALARIO]])</f>
        <v>297046</v>
      </c>
      <c r="O2966" s="14">
        <f xml:space="preserve"> IF(ISBLANK(moras[[#This Row],[EDAD]]), EDA!$E$8, moras[[#This Row],[EDAD]])</f>
        <v>38</v>
      </c>
      <c r="P2966" s="14" t="str">
        <f>IF(
    OR(ISBLANK(moras[[#This Row],[TIPO_ASEGURAMIENTO]]), moras[[#This Row],[TIPO_ASEGURAMIENTO]]=""),
    EDA!$A$32,
    moras[[#This Row],[TIPO_ASEGURAMIENTO]]
)</f>
        <v>TRABAJADOR INDEPENDIENTE</v>
      </c>
    </row>
    <row r="2967" spans="1:16" x14ac:dyDescent="0.3">
      <c r="A2967">
        <v>2966</v>
      </c>
      <c r="B2967" t="s">
        <v>15</v>
      </c>
      <c r="C2967">
        <v>6602597</v>
      </c>
      <c r="D2967" t="s">
        <v>10</v>
      </c>
      <c r="E2967" t="s">
        <v>11</v>
      </c>
      <c r="F2967" t="s">
        <v>12</v>
      </c>
      <c r="G2967" t="s">
        <v>13</v>
      </c>
      <c r="H2967" t="s">
        <v>13</v>
      </c>
      <c r="I2967">
        <v>24</v>
      </c>
      <c r="J2967">
        <f>ABS((I2967-EDA!$A$15)/EDA!$B$15)</f>
        <v>1.2689156285297578</v>
      </c>
      <c r="K2967" t="str">
        <f t="shared" si="46"/>
        <v>No</v>
      </c>
      <c r="L2967">
        <f>ABS((C2967-EDA!$F$15)/EDA!$G$15)</f>
        <v>0.26578209727406277</v>
      </c>
      <c r="M2967" t="str">
        <f>IF(moras[[#This Row],[Z-Score Salario]]&gt;1.96, "Sí", "No")</f>
        <v>No</v>
      </c>
      <c r="N2967" s="14">
        <f>IF(ISBLANK(moras[[#This Row],[SALARIO]]), EDA!$M$8, moras[[#This Row],[SALARIO]])</f>
        <v>6602597</v>
      </c>
      <c r="O2967" s="14">
        <f xml:space="preserve"> IF(ISBLANK(moras[[#This Row],[EDAD]]), EDA!$E$8, moras[[#This Row],[EDAD]])</f>
        <v>24</v>
      </c>
      <c r="P2967" s="14" t="str">
        <f>IF(
    OR(ISBLANK(moras[[#This Row],[TIPO_ASEGURAMIENTO]]), moras[[#This Row],[TIPO_ASEGURAMIENTO]]=""),
    EDA!$A$32,
    moras[[#This Row],[TIPO_ASEGURAMIENTO]]
)</f>
        <v>ASALARIADO</v>
      </c>
    </row>
    <row r="2968" spans="1:16" x14ac:dyDescent="0.3">
      <c r="A2968">
        <v>2967</v>
      </c>
      <c r="B2968" t="s">
        <v>15</v>
      </c>
      <c r="C2968">
        <v>297139</v>
      </c>
      <c r="D2968" t="s">
        <v>17</v>
      </c>
      <c r="E2968" t="s">
        <v>16</v>
      </c>
      <c r="F2968" t="s">
        <v>12</v>
      </c>
      <c r="G2968" t="s">
        <v>13</v>
      </c>
      <c r="H2968" t="s">
        <v>13</v>
      </c>
      <c r="I2968">
        <v>56</v>
      </c>
      <c r="J2968">
        <f>ABS((I2968-EDA!$A$15)/EDA!$B$15)</f>
        <v>0.9894949339386423</v>
      </c>
      <c r="K2968" t="str">
        <f t="shared" si="46"/>
        <v>No</v>
      </c>
      <c r="L2968">
        <f>ABS((C2968-EDA!$F$15)/EDA!$G$15)</f>
        <v>0.37070936949377375</v>
      </c>
      <c r="M2968" t="str">
        <f>IF(moras[[#This Row],[Z-Score Salario]]&gt;1.96, "Sí", "No")</f>
        <v>No</v>
      </c>
      <c r="N2968" s="14">
        <f>IF(ISBLANK(moras[[#This Row],[SALARIO]]), EDA!$M$8, moras[[#This Row],[SALARIO]])</f>
        <v>297139</v>
      </c>
      <c r="O2968" s="14">
        <f xml:space="preserve"> IF(ISBLANK(moras[[#This Row],[EDAD]]), EDA!$E$8, moras[[#This Row],[EDAD]])</f>
        <v>56</v>
      </c>
      <c r="P2968" s="14" t="str">
        <f>IF(
    OR(ISBLANK(moras[[#This Row],[TIPO_ASEGURAMIENTO]]), moras[[#This Row],[TIPO_ASEGURAMIENTO]]=""),
    EDA!$A$32,
    moras[[#This Row],[TIPO_ASEGURAMIENTO]]
)</f>
        <v>ASEGURADO VOLUNTARIO</v>
      </c>
    </row>
    <row r="2969" spans="1:16" x14ac:dyDescent="0.3">
      <c r="A2969">
        <v>2968</v>
      </c>
      <c r="B2969" t="s">
        <v>15</v>
      </c>
      <c r="C2969">
        <v>125334312</v>
      </c>
      <c r="D2969" t="s">
        <v>10</v>
      </c>
      <c r="E2969" t="s">
        <v>16</v>
      </c>
      <c r="F2969" t="s">
        <v>12</v>
      </c>
      <c r="G2969" t="s">
        <v>13</v>
      </c>
      <c r="H2969" t="s">
        <v>13</v>
      </c>
      <c r="I2969">
        <v>35</v>
      </c>
      <c r="J2969">
        <f>ABS((I2969-EDA!$A$15)/EDA!$B$15)</f>
        <v>0.49258699768124525</v>
      </c>
      <c r="K2969" t="str">
        <f t="shared" si="46"/>
        <v>No</v>
      </c>
      <c r="L2969">
        <f>ABS((C2969-EDA!$F$15)/EDA!$G$15)</f>
        <v>1.7099974544917473</v>
      </c>
      <c r="M2969" t="str">
        <f>IF(moras[[#This Row],[Z-Score Salario]]&gt;1.96, "Sí", "No")</f>
        <v>No</v>
      </c>
      <c r="N2969" s="14">
        <f>IF(ISBLANK(moras[[#This Row],[SALARIO]]), EDA!$M$8, moras[[#This Row],[SALARIO]])</f>
        <v>125334312</v>
      </c>
      <c r="O2969" s="14">
        <f xml:space="preserve"> IF(ISBLANK(moras[[#This Row],[EDAD]]), EDA!$E$8, moras[[#This Row],[EDAD]])</f>
        <v>35</v>
      </c>
      <c r="P2969" s="14" t="str">
        <f>IF(
    OR(ISBLANK(moras[[#This Row],[TIPO_ASEGURAMIENTO]]), moras[[#This Row],[TIPO_ASEGURAMIENTO]]=""),
    EDA!$A$32,
    moras[[#This Row],[TIPO_ASEGURAMIENTO]]
)</f>
        <v>ASALARIADO</v>
      </c>
    </row>
    <row r="2970" spans="1:16" x14ac:dyDescent="0.3">
      <c r="A2970">
        <v>2969</v>
      </c>
      <c r="B2970" t="s">
        <v>9</v>
      </c>
      <c r="C2970">
        <v>297046</v>
      </c>
      <c r="D2970" t="s">
        <v>18</v>
      </c>
      <c r="E2970" t="s">
        <v>16</v>
      </c>
      <c r="F2970" t="s">
        <v>12</v>
      </c>
      <c r="G2970" t="s">
        <v>13</v>
      </c>
      <c r="H2970" t="s">
        <v>13</v>
      </c>
      <c r="I2970">
        <v>59</v>
      </c>
      <c r="J2970">
        <f>ABS((I2970-EDA!$A$15)/EDA!$B$15)</f>
        <v>1.2012209241700549</v>
      </c>
      <c r="K2970" t="str">
        <f t="shared" si="46"/>
        <v>No</v>
      </c>
      <c r="L2970">
        <f>ABS((C2970-EDA!$F$15)/EDA!$G$15)</f>
        <v>0.37071091707942361</v>
      </c>
      <c r="M2970" t="str">
        <f>IF(moras[[#This Row],[Z-Score Salario]]&gt;1.96, "Sí", "No")</f>
        <v>No</v>
      </c>
      <c r="N2970" s="14">
        <f>IF(ISBLANK(moras[[#This Row],[SALARIO]]), EDA!$M$8, moras[[#This Row],[SALARIO]])</f>
        <v>297046</v>
      </c>
      <c r="O2970" s="14">
        <f xml:space="preserve"> IF(ISBLANK(moras[[#This Row],[EDAD]]), EDA!$E$8, moras[[#This Row],[EDAD]])</f>
        <v>59</v>
      </c>
      <c r="P2970" s="14" t="str">
        <f>IF(
    OR(ISBLANK(moras[[#This Row],[TIPO_ASEGURAMIENTO]]), moras[[#This Row],[TIPO_ASEGURAMIENTO]]=""),
    EDA!$A$32,
    moras[[#This Row],[TIPO_ASEGURAMIENTO]]
)</f>
        <v>TRABAJADOR INDEPENDIENTE</v>
      </c>
    </row>
    <row r="2971" spans="1:16" x14ac:dyDescent="0.3">
      <c r="A2971">
        <v>2970</v>
      </c>
      <c r="B2971" t="s">
        <v>9</v>
      </c>
      <c r="C2971">
        <v>392675</v>
      </c>
      <c r="D2971" t="s">
        <v>18</v>
      </c>
      <c r="E2971" t="s">
        <v>16</v>
      </c>
      <c r="F2971" t="s">
        <v>12</v>
      </c>
      <c r="G2971" t="s">
        <v>13</v>
      </c>
      <c r="H2971" t="s">
        <v>13</v>
      </c>
      <c r="I2971">
        <v>44</v>
      </c>
      <c r="J2971">
        <f>ABS((I2971-EDA!$A$15)/EDA!$B$15)</f>
        <v>0.14259097301299228</v>
      </c>
      <c r="K2971" t="str">
        <f t="shared" si="46"/>
        <v>No</v>
      </c>
      <c r="L2971">
        <f>ABS((C2971-EDA!$F$15)/EDA!$G$15)</f>
        <v>0.36911958301374609</v>
      </c>
      <c r="M2971" t="str">
        <f>IF(moras[[#This Row],[Z-Score Salario]]&gt;1.96, "Sí", "No")</f>
        <v>No</v>
      </c>
      <c r="N2971" s="14">
        <f>IF(ISBLANK(moras[[#This Row],[SALARIO]]), EDA!$M$8, moras[[#This Row],[SALARIO]])</f>
        <v>392675</v>
      </c>
      <c r="O2971" s="14">
        <f xml:space="preserve"> IF(ISBLANK(moras[[#This Row],[EDAD]]), EDA!$E$8, moras[[#This Row],[EDAD]])</f>
        <v>44</v>
      </c>
      <c r="P2971" s="14" t="str">
        <f>IF(
    OR(ISBLANK(moras[[#This Row],[TIPO_ASEGURAMIENTO]]), moras[[#This Row],[TIPO_ASEGURAMIENTO]]=""),
    EDA!$A$32,
    moras[[#This Row],[TIPO_ASEGURAMIENTO]]
)</f>
        <v>TRABAJADOR INDEPENDIENTE</v>
      </c>
    </row>
    <row r="2972" spans="1:16" x14ac:dyDescent="0.3">
      <c r="A2972">
        <v>2971</v>
      </c>
      <c r="B2972" t="s">
        <v>15</v>
      </c>
      <c r="C2972">
        <v>300018</v>
      </c>
      <c r="D2972" t="s">
        <v>17</v>
      </c>
      <c r="E2972" t="s">
        <v>16</v>
      </c>
      <c r="F2972" t="s">
        <v>12</v>
      </c>
      <c r="G2972" t="s">
        <v>13</v>
      </c>
      <c r="H2972" t="s">
        <v>13</v>
      </c>
      <c r="I2972">
        <v>58</v>
      </c>
      <c r="J2972">
        <f>ABS((I2972-EDA!$A$15)/EDA!$B$15)</f>
        <v>1.1306455940929174</v>
      </c>
      <c r="K2972" t="str">
        <f t="shared" si="46"/>
        <v>No</v>
      </c>
      <c r="L2972">
        <f>ABS((C2972-EDA!$F$15)/EDA!$G$15)</f>
        <v>0.37066146090145252</v>
      </c>
      <c r="M2972" t="str">
        <f>IF(moras[[#This Row],[Z-Score Salario]]&gt;1.96, "Sí", "No")</f>
        <v>No</v>
      </c>
      <c r="N2972" s="14">
        <f>IF(ISBLANK(moras[[#This Row],[SALARIO]]), EDA!$M$8, moras[[#This Row],[SALARIO]])</f>
        <v>300018</v>
      </c>
      <c r="O2972" s="14">
        <f xml:space="preserve"> IF(ISBLANK(moras[[#This Row],[EDAD]]), EDA!$E$8, moras[[#This Row],[EDAD]])</f>
        <v>58</v>
      </c>
      <c r="P2972" s="14" t="str">
        <f>IF(
    OR(ISBLANK(moras[[#This Row],[TIPO_ASEGURAMIENTO]]), moras[[#This Row],[TIPO_ASEGURAMIENTO]]=""),
    EDA!$A$32,
    moras[[#This Row],[TIPO_ASEGURAMIENTO]]
)</f>
        <v>ASEGURADO VOLUNTARIO</v>
      </c>
    </row>
    <row r="2973" spans="1:16" x14ac:dyDescent="0.3">
      <c r="A2973">
        <v>2972</v>
      </c>
      <c r="B2973" t="s">
        <v>15</v>
      </c>
      <c r="C2973">
        <v>127500</v>
      </c>
      <c r="D2973" t="s">
        <v>10</v>
      </c>
      <c r="E2973" t="s">
        <v>16</v>
      </c>
      <c r="F2973" t="s">
        <v>12</v>
      </c>
      <c r="G2973" t="s">
        <v>13</v>
      </c>
      <c r="H2973" t="s">
        <v>12</v>
      </c>
      <c r="I2973">
        <v>52</v>
      </c>
      <c r="J2973">
        <f>ABS((I2973-EDA!$A$15)/EDA!$B$15)</f>
        <v>0.70719361363009237</v>
      </c>
      <c r="K2973" t="str">
        <f t="shared" si="46"/>
        <v>No</v>
      </c>
      <c r="L2973">
        <f>ABS((C2973-EDA!$F$15)/EDA!$G$15)</f>
        <v>0.37353228220401297</v>
      </c>
      <c r="M2973" t="str">
        <f>IF(moras[[#This Row],[Z-Score Salario]]&gt;1.96, "Sí", "No")</f>
        <v>No</v>
      </c>
      <c r="N2973" s="14">
        <f>IF(ISBLANK(moras[[#This Row],[SALARIO]]), EDA!$M$8, moras[[#This Row],[SALARIO]])</f>
        <v>127500</v>
      </c>
      <c r="O2973" s="14">
        <f xml:space="preserve"> IF(ISBLANK(moras[[#This Row],[EDAD]]), EDA!$E$8, moras[[#This Row],[EDAD]])</f>
        <v>52</v>
      </c>
      <c r="P2973" s="14" t="str">
        <f>IF(
    OR(ISBLANK(moras[[#This Row],[TIPO_ASEGURAMIENTO]]), moras[[#This Row],[TIPO_ASEGURAMIENTO]]=""),
    EDA!$A$32,
    moras[[#This Row],[TIPO_ASEGURAMIENTO]]
)</f>
        <v>ASALARIADO</v>
      </c>
    </row>
    <row r="2974" spans="1:16" x14ac:dyDescent="0.3">
      <c r="A2974">
        <v>2973</v>
      </c>
      <c r="B2974" t="s">
        <v>15</v>
      </c>
      <c r="C2974">
        <v>296000</v>
      </c>
      <c r="D2974" t="s">
        <v>10</v>
      </c>
      <c r="E2974" t="s">
        <v>16</v>
      </c>
      <c r="F2974" t="s">
        <v>12</v>
      </c>
      <c r="G2974" t="s">
        <v>13</v>
      </c>
      <c r="H2974" t="s">
        <v>13</v>
      </c>
      <c r="I2974">
        <v>57</v>
      </c>
      <c r="J2974">
        <f>ABS((I2974-EDA!$A$15)/EDA!$B$15)</f>
        <v>1.0600702640157798</v>
      </c>
      <c r="K2974" t="str">
        <f t="shared" si="46"/>
        <v>No</v>
      </c>
      <c r="L2974">
        <f>ABS((C2974-EDA!$F$15)/EDA!$G$15)</f>
        <v>0.37072832325780775</v>
      </c>
      <c r="M2974" t="str">
        <f>IF(moras[[#This Row],[Z-Score Salario]]&gt;1.96, "Sí", "No")</f>
        <v>No</v>
      </c>
      <c r="N2974" s="14">
        <f>IF(ISBLANK(moras[[#This Row],[SALARIO]]), EDA!$M$8, moras[[#This Row],[SALARIO]])</f>
        <v>296000</v>
      </c>
      <c r="O2974" s="14">
        <f xml:space="preserve"> IF(ISBLANK(moras[[#This Row],[EDAD]]), EDA!$E$8, moras[[#This Row],[EDAD]])</f>
        <v>57</v>
      </c>
      <c r="P2974" s="14" t="str">
        <f>IF(
    OR(ISBLANK(moras[[#This Row],[TIPO_ASEGURAMIENTO]]), moras[[#This Row],[TIPO_ASEGURAMIENTO]]=""),
    EDA!$A$32,
    moras[[#This Row],[TIPO_ASEGURAMIENTO]]
)</f>
        <v>ASALARIADO</v>
      </c>
    </row>
    <row r="2975" spans="1:16" x14ac:dyDescent="0.3">
      <c r="A2975">
        <v>2974</v>
      </c>
      <c r="B2975" t="s">
        <v>15</v>
      </c>
      <c r="C2975">
        <v>6485119</v>
      </c>
      <c r="D2975" t="s">
        <v>10</v>
      </c>
      <c r="E2975" t="s">
        <v>16</v>
      </c>
      <c r="F2975" t="s">
        <v>12</v>
      </c>
      <c r="G2975" t="s">
        <v>13</v>
      </c>
      <c r="H2975" t="s">
        <v>13</v>
      </c>
      <c r="I2975">
        <v>25</v>
      </c>
      <c r="J2975">
        <f>ABS((I2975-EDA!$A$15)/EDA!$B$15)</f>
        <v>1.1983402984526204</v>
      </c>
      <c r="K2975" t="str">
        <f t="shared" si="46"/>
        <v>No</v>
      </c>
      <c r="L2975">
        <f>ABS((C2975-EDA!$F$15)/EDA!$G$15)</f>
        <v>0.26773701412321588</v>
      </c>
      <c r="M2975" t="str">
        <f>IF(moras[[#This Row],[Z-Score Salario]]&gt;1.96, "Sí", "No")</f>
        <v>No</v>
      </c>
      <c r="N2975" s="14">
        <f>IF(ISBLANK(moras[[#This Row],[SALARIO]]), EDA!$M$8, moras[[#This Row],[SALARIO]])</f>
        <v>6485119</v>
      </c>
      <c r="O2975" s="14">
        <f xml:space="preserve"> IF(ISBLANK(moras[[#This Row],[EDAD]]), EDA!$E$8, moras[[#This Row],[EDAD]])</f>
        <v>25</v>
      </c>
      <c r="P2975" s="14" t="str">
        <f>IF(
    OR(ISBLANK(moras[[#This Row],[TIPO_ASEGURAMIENTO]]), moras[[#This Row],[TIPO_ASEGURAMIENTO]]=""),
    EDA!$A$32,
    moras[[#This Row],[TIPO_ASEGURAMIENTO]]
)</f>
        <v>ASALARIADO</v>
      </c>
    </row>
    <row r="2976" spans="1:16" x14ac:dyDescent="0.3">
      <c r="A2976">
        <v>2975</v>
      </c>
      <c r="B2976" t="s">
        <v>15</v>
      </c>
      <c r="C2976">
        <v>10</v>
      </c>
      <c r="D2976" t="s">
        <v>10</v>
      </c>
      <c r="E2976" t="s">
        <v>11</v>
      </c>
      <c r="F2976" t="s">
        <v>12</v>
      </c>
      <c r="G2976" t="s">
        <v>13</v>
      </c>
      <c r="H2976" t="s">
        <v>13</v>
      </c>
      <c r="I2976">
        <v>51</v>
      </c>
      <c r="J2976">
        <f>ABS((I2976-EDA!$A$15)/EDA!$B$15)</f>
        <v>0.6366182835529548</v>
      </c>
      <c r="K2976" t="str">
        <f t="shared" si="46"/>
        <v>No</v>
      </c>
      <c r="L2976">
        <f>ABS((C2976-EDA!$F$15)/EDA!$G$15)</f>
        <v>0.37565380580075897</v>
      </c>
      <c r="M2976" t="str">
        <f>IF(moras[[#This Row],[Z-Score Salario]]&gt;1.96, "Sí", "No")</f>
        <v>No</v>
      </c>
      <c r="N2976" s="14">
        <f>IF(ISBLANK(moras[[#This Row],[SALARIO]]), EDA!$M$8, moras[[#This Row],[SALARIO]])</f>
        <v>10</v>
      </c>
      <c r="O2976" s="14">
        <f xml:space="preserve"> IF(ISBLANK(moras[[#This Row],[EDAD]]), EDA!$E$8, moras[[#This Row],[EDAD]])</f>
        <v>51</v>
      </c>
      <c r="P2976" s="14" t="str">
        <f>IF(
    OR(ISBLANK(moras[[#This Row],[TIPO_ASEGURAMIENTO]]), moras[[#This Row],[TIPO_ASEGURAMIENTO]]=""),
    EDA!$A$32,
    moras[[#This Row],[TIPO_ASEGURAMIENTO]]
)</f>
        <v>ASALARIADO</v>
      </c>
    </row>
    <row r="2977" spans="1:16" x14ac:dyDescent="0.3">
      <c r="A2977">
        <v>2976</v>
      </c>
      <c r="B2977" t="s">
        <v>15</v>
      </c>
      <c r="C2977">
        <v>97686832</v>
      </c>
      <c r="D2977" t="s">
        <v>10</v>
      </c>
      <c r="E2977" t="s">
        <v>16</v>
      </c>
      <c r="F2977" t="s">
        <v>12</v>
      </c>
      <c r="G2977" t="s">
        <v>13</v>
      </c>
      <c r="H2977" t="s">
        <v>13</v>
      </c>
      <c r="I2977">
        <v>37</v>
      </c>
      <c r="J2977">
        <f>ABS((I2977-EDA!$A$15)/EDA!$B$15)</f>
        <v>0.35143633752697023</v>
      </c>
      <c r="K2977" t="str">
        <f t="shared" si="46"/>
        <v>No</v>
      </c>
      <c r="L2977">
        <f>ABS((C2977-EDA!$F$15)/EDA!$G$15)</f>
        <v>1.2499238705983942</v>
      </c>
      <c r="M2977" t="str">
        <f>IF(moras[[#This Row],[Z-Score Salario]]&gt;1.96, "Sí", "No")</f>
        <v>No</v>
      </c>
      <c r="N2977" s="14">
        <f>IF(ISBLANK(moras[[#This Row],[SALARIO]]), EDA!$M$8, moras[[#This Row],[SALARIO]])</f>
        <v>97686832</v>
      </c>
      <c r="O2977" s="14">
        <f xml:space="preserve"> IF(ISBLANK(moras[[#This Row],[EDAD]]), EDA!$E$8, moras[[#This Row],[EDAD]])</f>
        <v>37</v>
      </c>
      <c r="P2977" s="14" t="str">
        <f>IF(
    OR(ISBLANK(moras[[#This Row],[TIPO_ASEGURAMIENTO]]), moras[[#This Row],[TIPO_ASEGURAMIENTO]]=""),
    EDA!$A$32,
    moras[[#This Row],[TIPO_ASEGURAMIENTO]]
)</f>
        <v>ASALARIADO</v>
      </c>
    </row>
    <row r="2978" spans="1:16" x14ac:dyDescent="0.3">
      <c r="A2978">
        <v>2977</v>
      </c>
      <c r="B2978" t="s">
        <v>9</v>
      </c>
      <c r="C2978">
        <v>301783</v>
      </c>
      <c r="D2978" t="s">
        <v>10</v>
      </c>
      <c r="E2978" t="s">
        <v>16</v>
      </c>
      <c r="F2978" t="s">
        <v>12</v>
      </c>
      <c r="G2978" t="s">
        <v>13</v>
      </c>
      <c r="H2978" t="s">
        <v>12</v>
      </c>
      <c r="I2978">
        <v>36</v>
      </c>
      <c r="J2978">
        <f>ABS((I2978-EDA!$A$15)/EDA!$B$15)</f>
        <v>0.42201166760410774</v>
      </c>
      <c r="K2978" t="str">
        <f t="shared" si="46"/>
        <v>No</v>
      </c>
      <c r="L2978">
        <f>ABS((C2978-EDA!$F$15)/EDA!$G$15)</f>
        <v>0.3706320900555175</v>
      </c>
      <c r="M2978" t="str">
        <f>IF(moras[[#This Row],[Z-Score Salario]]&gt;1.96, "Sí", "No")</f>
        <v>No</v>
      </c>
      <c r="N2978" s="14">
        <f>IF(ISBLANK(moras[[#This Row],[SALARIO]]), EDA!$M$8, moras[[#This Row],[SALARIO]])</f>
        <v>301783</v>
      </c>
      <c r="O2978" s="14">
        <f xml:space="preserve"> IF(ISBLANK(moras[[#This Row],[EDAD]]), EDA!$E$8, moras[[#This Row],[EDAD]])</f>
        <v>36</v>
      </c>
      <c r="P2978" s="14" t="str">
        <f>IF(
    OR(ISBLANK(moras[[#This Row],[TIPO_ASEGURAMIENTO]]), moras[[#This Row],[TIPO_ASEGURAMIENTO]]=""),
    EDA!$A$32,
    moras[[#This Row],[TIPO_ASEGURAMIENTO]]
)</f>
        <v>ASALARIADO</v>
      </c>
    </row>
    <row r="2979" spans="1:16" x14ac:dyDescent="0.3">
      <c r="A2979">
        <v>2978</v>
      </c>
      <c r="B2979" t="s">
        <v>9</v>
      </c>
      <c r="C2979">
        <v>299647</v>
      </c>
      <c r="D2979" t="s">
        <v>17</v>
      </c>
      <c r="E2979" t="s">
        <v>16</v>
      </c>
      <c r="F2979" t="s">
        <v>12</v>
      </c>
      <c r="G2979" t="s">
        <v>13</v>
      </c>
      <c r="H2979" t="s">
        <v>13</v>
      </c>
      <c r="I2979">
        <v>62</v>
      </c>
      <c r="J2979">
        <f>ABS((I2979-EDA!$A$15)/EDA!$B$15)</f>
        <v>1.4129469144014672</v>
      </c>
      <c r="K2979" t="str">
        <f t="shared" si="46"/>
        <v>No</v>
      </c>
      <c r="L2979">
        <f>ABS((C2979-EDA!$F$15)/EDA!$G$15)</f>
        <v>0.37066763460334595</v>
      </c>
      <c r="M2979" t="str">
        <f>IF(moras[[#This Row],[Z-Score Salario]]&gt;1.96, "Sí", "No")</f>
        <v>No</v>
      </c>
      <c r="N2979" s="14">
        <f>IF(ISBLANK(moras[[#This Row],[SALARIO]]), EDA!$M$8, moras[[#This Row],[SALARIO]])</f>
        <v>299647</v>
      </c>
      <c r="O2979" s="14">
        <f xml:space="preserve"> IF(ISBLANK(moras[[#This Row],[EDAD]]), EDA!$E$8, moras[[#This Row],[EDAD]])</f>
        <v>62</v>
      </c>
      <c r="P2979" s="14" t="str">
        <f>IF(
    OR(ISBLANK(moras[[#This Row],[TIPO_ASEGURAMIENTO]]), moras[[#This Row],[TIPO_ASEGURAMIENTO]]=""),
    EDA!$A$32,
    moras[[#This Row],[TIPO_ASEGURAMIENTO]]
)</f>
        <v>ASEGURADO VOLUNTARIO</v>
      </c>
    </row>
    <row r="2980" spans="1:16" x14ac:dyDescent="0.3">
      <c r="A2980">
        <v>2979</v>
      </c>
      <c r="B2980" t="s">
        <v>15</v>
      </c>
      <c r="C2980">
        <v>18935691</v>
      </c>
      <c r="D2980" t="s">
        <v>10</v>
      </c>
      <c r="E2980" t="s">
        <v>11</v>
      </c>
      <c r="F2980" t="s">
        <v>12</v>
      </c>
      <c r="G2980" t="s">
        <v>13</v>
      </c>
      <c r="H2980" t="s">
        <v>13</v>
      </c>
      <c r="I2980">
        <v>54</v>
      </c>
      <c r="J2980">
        <f>ABS((I2980-EDA!$A$15)/EDA!$B$15)</f>
        <v>0.84834427378436728</v>
      </c>
      <c r="K2980" t="str">
        <f t="shared" si="46"/>
        <v>No</v>
      </c>
      <c r="L2980">
        <f>ABS((C2980-EDA!$F$15)/EDA!$G$15)</f>
        <v>6.0550707032579226E-2</v>
      </c>
      <c r="M2980" t="str">
        <f>IF(moras[[#This Row],[Z-Score Salario]]&gt;1.96, "Sí", "No")</f>
        <v>No</v>
      </c>
      <c r="N2980" s="14">
        <f>IF(ISBLANK(moras[[#This Row],[SALARIO]]), EDA!$M$8, moras[[#This Row],[SALARIO]])</f>
        <v>18935691</v>
      </c>
      <c r="O2980" s="14">
        <f xml:space="preserve"> IF(ISBLANK(moras[[#This Row],[EDAD]]), EDA!$E$8, moras[[#This Row],[EDAD]])</f>
        <v>54</v>
      </c>
      <c r="P2980" s="14" t="str">
        <f>IF(
    OR(ISBLANK(moras[[#This Row],[TIPO_ASEGURAMIENTO]]), moras[[#This Row],[TIPO_ASEGURAMIENTO]]=""),
    EDA!$A$32,
    moras[[#This Row],[TIPO_ASEGURAMIENTO]]
)</f>
        <v>ASALARIADO</v>
      </c>
    </row>
    <row r="2981" spans="1:16" x14ac:dyDescent="0.3">
      <c r="A2981">
        <v>2980</v>
      </c>
      <c r="B2981" t="s">
        <v>9</v>
      </c>
      <c r="C2981">
        <v>173700</v>
      </c>
      <c r="D2981" t="s">
        <v>10</v>
      </c>
      <c r="E2981" t="s">
        <v>16</v>
      </c>
      <c r="F2981" t="s">
        <v>12</v>
      </c>
      <c r="G2981" t="s">
        <v>13</v>
      </c>
      <c r="H2981" t="s">
        <v>13</v>
      </c>
      <c r="I2981">
        <v>51</v>
      </c>
      <c r="J2981">
        <f>ABS((I2981-EDA!$A$15)/EDA!$B$15)</f>
        <v>0.6366182835529548</v>
      </c>
      <c r="K2981" t="str">
        <f t="shared" si="46"/>
        <v>No</v>
      </c>
      <c r="L2981">
        <f>ABS((C2981-EDA!$F$15)/EDA!$G$15)</f>
        <v>0.37276348159086947</v>
      </c>
      <c r="M2981" t="str">
        <f>IF(moras[[#This Row],[Z-Score Salario]]&gt;1.96, "Sí", "No")</f>
        <v>No</v>
      </c>
      <c r="N2981" s="14">
        <f>IF(ISBLANK(moras[[#This Row],[SALARIO]]), EDA!$M$8, moras[[#This Row],[SALARIO]])</f>
        <v>173700</v>
      </c>
      <c r="O2981" s="14">
        <f xml:space="preserve"> IF(ISBLANK(moras[[#This Row],[EDAD]]), EDA!$E$8, moras[[#This Row],[EDAD]])</f>
        <v>51</v>
      </c>
      <c r="P2981" s="14" t="str">
        <f>IF(
    OR(ISBLANK(moras[[#This Row],[TIPO_ASEGURAMIENTO]]), moras[[#This Row],[TIPO_ASEGURAMIENTO]]=""),
    EDA!$A$32,
    moras[[#This Row],[TIPO_ASEGURAMIENTO]]
)</f>
        <v>ASALARIADO</v>
      </c>
    </row>
    <row r="2982" spans="1:16" x14ac:dyDescent="0.3">
      <c r="A2982">
        <v>2981</v>
      </c>
      <c r="B2982" t="s">
        <v>15</v>
      </c>
      <c r="C2982">
        <v>766774</v>
      </c>
      <c r="D2982" t="s">
        <v>10</v>
      </c>
      <c r="E2982" t="s">
        <v>16</v>
      </c>
      <c r="F2982" t="s">
        <v>12</v>
      </c>
      <c r="G2982" t="s">
        <v>12</v>
      </c>
      <c r="H2982" t="s">
        <v>13</v>
      </c>
      <c r="I2982">
        <v>52</v>
      </c>
      <c r="J2982">
        <f>ABS((I2982-EDA!$A$15)/EDA!$B$15)</f>
        <v>0.70719361363009237</v>
      </c>
      <c r="K2982" t="str">
        <f t="shared" si="46"/>
        <v>No</v>
      </c>
      <c r="L2982">
        <f>ABS((C2982-EDA!$F$15)/EDA!$G$15)</f>
        <v>0.36289431157269902</v>
      </c>
      <c r="M2982" t="str">
        <f>IF(moras[[#This Row],[Z-Score Salario]]&gt;1.96, "Sí", "No")</f>
        <v>No</v>
      </c>
      <c r="N2982" s="14">
        <f>IF(ISBLANK(moras[[#This Row],[SALARIO]]), EDA!$M$8, moras[[#This Row],[SALARIO]])</f>
        <v>766774</v>
      </c>
      <c r="O2982" s="14">
        <f xml:space="preserve"> IF(ISBLANK(moras[[#This Row],[EDAD]]), EDA!$E$8, moras[[#This Row],[EDAD]])</f>
        <v>52</v>
      </c>
      <c r="P2982" s="14" t="str">
        <f>IF(
    OR(ISBLANK(moras[[#This Row],[TIPO_ASEGURAMIENTO]]), moras[[#This Row],[TIPO_ASEGURAMIENTO]]=""),
    EDA!$A$32,
    moras[[#This Row],[TIPO_ASEGURAMIENTO]]
)</f>
        <v>ASALARIADO</v>
      </c>
    </row>
    <row r="2983" spans="1:16" x14ac:dyDescent="0.3">
      <c r="A2983">
        <v>2982</v>
      </c>
      <c r="B2983" t="s">
        <v>9</v>
      </c>
      <c r="C2983">
        <v>291514</v>
      </c>
      <c r="D2983" t="s">
        <v>17</v>
      </c>
      <c r="E2983" t="s">
        <v>16</v>
      </c>
      <c r="F2983" t="s">
        <v>12</v>
      </c>
      <c r="G2983" t="s">
        <v>13</v>
      </c>
      <c r="H2983" t="s">
        <v>13</v>
      </c>
      <c r="I2983">
        <v>51</v>
      </c>
      <c r="J2983">
        <f>ABS((I2983-EDA!$A$15)/EDA!$B$15)</f>
        <v>0.6366182835529548</v>
      </c>
      <c r="K2983" t="str">
        <f t="shared" si="46"/>
        <v>No</v>
      </c>
      <c r="L2983">
        <f>ABS((C2983-EDA!$F$15)/EDA!$G$15)</f>
        <v>0.37080297346452984</v>
      </c>
      <c r="M2983" t="str">
        <f>IF(moras[[#This Row],[Z-Score Salario]]&gt;1.96, "Sí", "No")</f>
        <v>No</v>
      </c>
      <c r="N2983" s="14">
        <f>IF(ISBLANK(moras[[#This Row],[SALARIO]]), EDA!$M$8, moras[[#This Row],[SALARIO]])</f>
        <v>291514</v>
      </c>
      <c r="O2983" s="14">
        <f xml:space="preserve"> IF(ISBLANK(moras[[#This Row],[EDAD]]), EDA!$E$8, moras[[#This Row],[EDAD]])</f>
        <v>51</v>
      </c>
      <c r="P2983" s="14" t="str">
        <f>IF(
    OR(ISBLANK(moras[[#This Row],[TIPO_ASEGURAMIENTO]]), moras[[#This Row],[TIPO_ASEGURAMIENTO]]=""),
    EDA!$A$32,
    moras[[#This Row],[TIPO_ASEGURAMIENTO]]
)</f>
        <v>ASEGURADO VOLUNTARIO</v>
      </c>
    </row>
    <row r="2984" spans="1:16" x14ac:dyDescent="0.3">
      <c r="A2984">
        <v>2983</v>
      </c>
      <c r="B2984" t="s">
        <v>9</v>
      </c>
      <c r="C2984">
        <v>490122</v>
      </c>
      <c r="D2984" t="s">
        <v>18</v>
      </c>
      <c r="E2984" t="s">
        <v>16</v>
      </c>
      <c r="F2984" t="s">
        <v>12</v>
      </c>
      <c r="G2984" t="s">
        <v>13</v>
      </c>
      <c r="H2984" t="s">
        <v>13</v>
      </c>
      <c r="I2984">
        <v>63</v>
      </c>
      <c r="J2984">
        <f>ABS((I2984-EDA!$A$15)/EDA!$B$15)</f>
        <v>1.4835222444786049</v>
      </c>
      <c r="K2984" t="str">
        <f t="shared" si="46"/>
        <v>No</v>
      </c>
      <c r="L2984">
        <f>ABS((C2984-EDA!$F$15)/EDA!$G$15)</f>
        <v>0.36749799614472017</v>
      </c>
      <c r="M2984" t="str">
        <f>IF(moras[[#This Row],[Z-Score Salario]]&gt;1.96, "Sí", "No")</f>
        <v>No</v>
      </c>
      <c r="N2984" s="14">
        <f>IF(ISBLANK(moras[[#This Row],[SALARIO]]), EDA!$M$8, moras[[#This Row],[SALARIO]])</f>
        <v>490122</v>
      </c>
      <c r="O2984" s="14">
        <f xml:space="preserve"> IF(ISBLANK(moras[[#This Row],[EDAD]]), EDA!$E$8, moras[[#This Row],[EDAD]])</f>
        <v>63</v>
      </c>
      <c r="P2984" s="14" t="str">
        <f>IF(
    OR(ISBLANK(moras[[#This Row],[TIPO_ASEGURAMIENTO]]), moras[[#This Row],[TIPO_ASEGURAMIENTO]]=""),
    EDA!$A$32,
    moras[[#This Row],[TIPO_ASEGURAMIENTO]]
)</f>
        <v>TRABAJADOR INDEPENDIENTE</v>
      </c>
    </row>
    <row r="2985" spans="1:16" x14ac:dyDescent="0.3">
      <c r="A2985">
        <v>2984</v>
      </c>
      <c r="B2985" t="s">
        <v>15</v>
      </c>
      <c r="C2985">
        <v>299647</v>
      </c>
      <c r="D2985" t="s">
        <v>17</v>
      </c>
      <c r="E2985" t="s">
        <v>16</v>
      </c>
      <c r="F2985" t="s">
        <v>12</v>
      </c>
      <c r="G2985" t="s">
        <v>12</v>
      </c>
      <c r="H2985" t="s">
        <v>13</v>
      </c>
      <c r="I2985">
        <v>69</v>
      </c>
      <c r="J2985">
        <f>ABS((I2985-EDA!$A$15)/EDA!$B$15)</f>
        <v>1.9069742249414299</v>
      </c>
      <c r="K2985" t="str">
        <f t="shared" si="46"/>
        <v>No</v>
      </c>
      <c r="L2985">
        <f>ABS((C2985-EDA!$F$15)/EDA!$G$15)</f>
        <v>0.37066763460334595</v>
      </c>
      <c r="M2985" t="str">
        <f>IF(moras[[#This Row],[Z-Score Salario]]&gt;1.96, "Sí", "No")</f>
        <v>No</v>
      </c>
      <c r="N2985" s="14">
        <f>IF(ISBLANK(moras[[#This Row],[SALARIO]]), EDA!$M$8, moras[[#This Row],[SALARIO]])</f>
        <v>299647</v>
      </c>
      <c r="O2985" s="14">
        <f xml:space="preserve"> IF(ISBLANK(moras[[#This Row],[EDAD]]), EDA!$E$8, moras[[#This Row],[EDAD]])</f>
        <v>69</v>
      </c>
      <c r="P2985" s="14" t="str">
        <f>IF(
    OR(ISBLANK(moras[[#This Row],[TIPO_ASEGURAMIENTO]]), moras[[#This Row],[TIPO_ASEGURAMIENTO]]=""),
    EDA!$A$32,
    moras[[#This Row],[TIPO_ASEGURAMIENTO]]
)</f>
        <v>ASEGURADO VOLUNTARIO</v>
      </c>
    </row>
    <row r="2986" spans="1:16" x14ac:dyDescent="0.3">
      <c r="A2986">
        <v>2985</v>
      </c>
      <c r="B2986" t="s">
        <v>9</v>
      </c>
      <c r="C2986">
        <v>297046</v>
      </c>
      <c r="D2986" t="s">
        <v>18</v>
      </c>
      <c r="E2986" t="s">
        <v>16</v>
      </c>
      <c r="F2986" t="s">
        <v>13</v>
      </c>
      <c r="G2986" t="s">
        <v>13</v>
      </c>
      <c r="H2986" t="s">
        <v>12</v>
      </c>
      <c r="I2986">
        <v>55</v>
      </c>
      <c r="J2986">
        <f>ABS((I2986-EDA!$A$15)/EDA!$B$15)</f>
        <v>0.91891960386150484</v>
      </c>
      <c r="K2986" t="str">
        <f t="shared" si="46"/>
        <v>No</v>
      </c>
      <c r="L2986">
        <f>ABS((C2986-EDA!$F$15)/EDA!$G$15)</f>
        <v>0.37071091707942361</v>
      </c>
      <c r="M2986" t="str">
        <f>IF(moras[[#This Row],[Z-Score Salario]]&gt;1.96, "Sí", "No")</f>
        <v>No</v>
      </c>
      <c r="N2986" s="14">
        <f>IF(ISBLANK(moras[[#This Row],[SALARIO]]), EDA!$M$8, moras[[#This Row],[SALARIO]])</f>
        <v>297046</v>
      </c>
      <c r="O2986" s="14">
        <f xml:space="preserve"> IF(ISBLANK(moras[[#This Row],[EDAD]]), EDA!$E$8, moras[[#This Row],[EDAD]])</f>
        <v>55</v>
      </c>
      <c r="P2986" s="14" t="str">
        <f>IF(
    OR(ISBLANK(moras[[#This Row],[TIPO_ASEGURAMIENTO]]), moras[[#This Row],[TIPO_ASEGURAMIENTO]]=""),
    EDA!$A$32,
    moras[[#This Row],[TIPO_ASEGURAMIENTO]]
)</f>
        <v>TRABAJADOR INDEPENDIENTE</v>
      </c>
    </row>
    <row r="2987" spans="1:16" x14ac:dyDescent="0.3">
      <c r="A2987">
        <v>2986</v>
      </c>
      <c r="B2987" t="s">
        <v>15</v>
      </c>
      <c r="C2987">
        <v>300018</v>
      </c>
      <c r="D2987" t="s">
        <v>17</v>
      </c>
      <c r="E2987" t="s">
        <v>16</v>
      </c>
      <c r="F2987" t="s">
        <v>12</v>
      </c>
      <c r="G2987" t="s">
        <v>13</v>
      </c>
      <c r="H2987" t="s">
        <v>13</v>
      </c>
      <c r="I2987">
        <v>53</v>
      </c>
      <c r="J2987">
        <f>ABS((I2987-EDA!$A$15)/EDA!$B$15)</f>
        <v>0.77776894370722982</v>
      </c>
      <c r="K2987" t="str">
        <f t="shared" si="46"/>
        <v>No</v>
      </c>
      <c r="L2987">
        <f>ABS((C2987-EDA!$F$15)/EDA!$G$15)</f>
        <v>0.37066146090145252</v>
      </c>
      <c r="M2987" t="str">
        <f>IF(moras[[#This Row],[Z-Score Salario]]&gt;1.96, "Sí", "No")</f>
        <v>No</v>
      </c>
      <c r="N2987" s="14">
        <f>IF(ISBLANK(moras[[#This Row],[SALARIO]]), EDA!$M$8, moras[[#This Row],[SALARIO]])</f>
        <v>300018</v>
      </c>
      <c r="O2987" s="14">
        <f xml:space="preserve"> IF(ISBLANK(moras[[#This Row],[EDAD]]), EDA!$E$8, moras[[#This Row],[EDAD]])</f>
        <v>53</v>
      </c>
      <c r="P2987" s="14" t="str">
        <f>IF(
    OR(ISBLANK(moras[[#This Row],[TIPO_ASEGURAMIENTO]]), moras[[#This Row],[TIPO_ASEGURAMIENTO]]=""),
    EDA!$A$32,
    moras[[#This Row],[TIPO_ASEGURAMIENTO]]
)</f>
        <v>ASEGURADO VOLUNTARIO</v>
      </c>
    </row>
    <row r="2988" spans="1:16" x14ac:dyDescent="0.3">
      <c r="A2988">
        <v>2987</v>
      </c>
      <c r="B2988" t="s">
        <v>9</v>
      </c>
      <c r="C2988">
        <v>321550</v>
      </c>
      <c r="D2988" t="s">
        <v>18</v>
      </c>
      <c r="E2988" t="s">
        <v>16</v>
      </c>
      <c r="F2988" t="s">
        <v>12</v>
      </c>
      <c r="G2988" t="s">
        <v>13</v>
      </c>
      <c r="H2988" t="s">
        <v>12</v>
      </c>
      <c r="I2988">
        <v>51</v>
      </c>
      <c r="J2988">
        <f>ABS((I2988-EDA!$A$15)/EDA!$B$15)</f>
        <v>0.6366182835529548</v>
      </c>
      <c r="K2988" t="str">
        <f t="shared" si="46"/>
        <v>No</v>
      </c>
      <c r="L2988">
        <f>ABS((C2988-EDA!$F$15)/EDA!$G$15)</f>
        <v>0.37030315322175111</v>
      </c>
      <c r="M2988" t="str">
        <f>IF(moras[[#This Row],[Z-Score Salario]]&gt;1.96, "Sí", "No")</f>
        <v>No</v>
      </c>
      <c r="N2988" s="14">
        <f>IF(ISBLANK(moras[[#This Row],[SALARIO]]), EDA!$M$8, moras[[#This Row],[SALARIO]])</f>
        <v>321550</v>
      </c>
      <c r="O2988" s="14">
        <f xml:space="preserve"> IF(ISBLANK(moras[[#This Row],[EDAD]]), EDA!$E$8, moras[[#This Row],[EDAD]])</f>
        <v>51</v>
      </c>
      <c r="P2988" s="14" t="str">
        <f>IF(
    OR(ISBLANK(moras[[#This Row],[TIPO_ASEGURAMIENTO]]), moras[[#This Row],[TIPO_ASEGURAMIENTO]]=""),
    EDA!$A$32,
    moras[[#This Row],[TIPO_ASEGURAMIENTO]]
)</f>
        <v>TRABAJADOR INDEPENDIENTE</v>
      </c>
    </row>
    <row r="2989" spans="1:16" x14ac:dyDescent="0.3">
      <c r="A2989">
        <v>2988</v>
      </c>
      <c r="B2989" t="s">
        <v>9</v>
      </c>
      <c r="C2989">
        <v>422424</v>
      </c>
      <c r="D2989" t="s">
        <v>10</v>
      </c>
      <c r="E2989" t="s">
        <v>16</v>
      </c>
      <c r="F2989" t="s">
        <v>12</v>
      </c>
      <c r="G2989" t="s">
        <v>13</v>
      </c>
      <c r="H2989" t="s">
        <v>13</v>
      </c>
      <c r="I2989">
        <v>27</v>
      </c>
      <c r="J2989">
        <f>ABS((I2989-EDA!$A$15)/EDA!$B$15)</f>
        <v>1.0571896382983452</v>
      </c>
      <c r="K2989" t="str">
        <f t="shared" si="46"/>
        <v>No</v>
      </c>
      <c r="L2989">
        <f>ABS((C2989-EDA!$F$15)/EDA!$G$15)</f>
        <v>0.36862453865356415</v>
      </c>
      <c r="M2989" t="str">
        <f>IF(moras[[#This Row],[Z-Score Salario]]&gt;1.96, "Sí", "No")</f>
        <v>No</v>
      </c>
      <c r="N2989" s="14">
        <f>IF(ISBLANK(moras[[#This Row],[SALARIO]]), EDA!$M$8, moras[[#This Row],[SALARIO]])</f>
        <v>422424</v>
      </c>
      <c r="O2989" s="14">
        <f xml:space="preserve"> IF(ISBLANK(moras[[#This Row],[EDAD]]), EDA!$E$8, moras[[#This Row],[EDAD]])</f>
        <v>27</v>
      </c>
      <c r="P2989" s="14" t="str">
        <f>IF(
    OR(ISBLANK(moras[[#This Row],[TIPO_ASEGURAMIENTO]]), moras[[#This Row],[TIPO_ASEGURAMIENTO]]=""),
    EDA!$A$32,
    moras[[#This Row],[TIPO_ASEGURAMIENTO]]
)</f>
        <v>ASALARIADO</v>
      </c>
    </row>
    <row r="2990" spans="1:16" x14ac:dyDescent="0.3">
      <c r="A2990">
        <v>2989</v>
      </c>
      <c r="B2990" t="s">
        <v>15</v>
      </c>
      <c r="C2990">
        <v>35153184</v>
      </c>
      <c r="D2990" t="s">
        <v>10</v>
      </c>
      <c r="E2990" t="s">
        <v>16</v>
      </c>
      <c r="F2990" t="s">
        <v>12</v>
      </c>
      <c r="G2990" t="s">
        <v>13</v>
      </c>
      <c r="H2990" t="s">
        <v>13</v>
      </c>
      <c r="I2990">
        <v>38</v>
      </c>
      <c r="J2990">
        <f>ABS((I2990-EDA!$A$15)/EDA!$B$15)</f>
        <v>0.28086100744983278</v>
      </c>
      <c r="K2990" t="str">
        <f t="shared" si="46"/>
        <v>No</v>
      </c>
      <c r="L2990">
        <f>ABS((C2990-EDA!$F$15)/EDA!$G$15)</f>
        <v>0.2093198246135371</v>
      </c>
      <c r="M2990" t="str">
        <f>IF(moras[[#This Row],[Z-Score Salario]]&gt;1.96, "Sí", "No")</f>
        <v>No</v>
      </c>
      <c r="N2990" s="14">
        <f>IF(ISBLANK(moras[[#This Row],[SALARIO]]), EDA!$M$8, moras[[#This Row],[SALARIO]])</f>
        <v>35153184</v>
      </c>
      <c r="O2990" s="14">
        <f xml:space="preserve"> IF(ISBLANK(moras[[#This Row],[EDAD]]), EDA!$E$8, moras[[#This Row],[EDAD]])</f>
        <v>38</v>
      </c>
      <c r="P2990" s="14" t="str">
        <f>IF(
    OR(ISBLANK(moras[[#This Row],[TIPO_ASEGURAMIENTO]]), moras[[#This Row],[TIPO_ASEGURAMIENTO]]=""),
    EDA!$A$32,
    moras[[#This Row],[TIPO_ASEGURAMIENTO]]
)</f>
        <v>ASALARIADO</v>
      </c>
    </row>
    <row r="2991" spans="1:16" x14ac:dyDescent="0.3">
      <c r="A2991">
        <v>2990</v>
      </c>
      <c r="B2991" t="s">
        <v>9</v>
      </c>
      <c r="C2991">
        <v>356000</v>
      </c>
      <c r="D2991" t="s">
        <v>10</v>
      </c>
      <c r="E2991" t="s">
        <v>16</v>
      </c>
      <c r="F2991" t="s">
        <v>12</v>
      </c>
      <c r="G2991" t="s">
        <v>13</v>
      </c>
      <c r="H2991" t="s">
        <v>13</v>
      </c>
      <c r="I2991">
        <v>57</v>
      </c>
      <c r="J2991">
        <f>ABS((I2991-EDA!$A$15)/EDA!$B$15)</f>
        <v>1.0600702640157798</v>
      </c>
      <c r="K2991" t="str">
        <f t="shared" si="46"/>
        <v>No</v>
      </c>
      <c r="L2991">
        <f>ABS((C2991-EDA!$F$15)/EDA!$G$15)</f>
        <v>0.3697298809030759</v>
      </c>
      <c r="M2991" t="str">
        <f>IF(moras[[#This Row],[Z-Score Salario]]&gt;1.96, "Sí", "No")</f>
        <v>No</v>
      </c>
      <c r="N2991" s="14">
        <f>IF(ISBLANK(moras[[#This Row],[SALARIO]]), EDA!$M$8, moras[[#This Row],[SALARIO]])</f>
        <v>356000</v>
      </c>
      <c r="O2991" s="14">
        <f xml:space="preserve"> IF(ISBLANK(moras[[#This Row],[EDAD]]), EDA!$E$8, moras[[#This Row],[EDAD]])</f>
        <v>57</v>
      </c>
      <c r="P2991" s="14" t="str">
        <f>IF(
    OR(ISBLANK(moras[[#This Row],[TIPO_ASEGURAMIENTO]]), moras[[#This Row],[TIPO_ASEGURAMIENTO]]=""),
    EDA!$A$32,
    moras[[#This Row],[TIPO_ASEGURAMIENTO]]
)</f>
        <v>ASALARIADO</v>
      </c>
    </row>
    <row r="2992" spans="1:16" x14ac:dyDescent="0.3">
      <c r="A2992">
        <v>2991</v>
      </c>
      <c r="B2992" t="s">
        <v>15</v>
      </c>
      <c r="C2992">
        <v>278031</v>
      </c>
      <c r="D2992" t="s">
        <v>17</v>
      </c>
      <c r="E2992" t="s">
        <v>16</v>
      </c>
      <c r="F2992" t="s">
        <v>12</v>
      </c>
      <c r="G2992" t="s">
        <v>13</v>
      </c>
      <c r="H2992" t="s">
        <v>13</v>
      </c>
      <c r="I2992">
        <v>39</v>
      </c>
      <c r="J2992">
        <f>ABS((I2992-EDA!$A$15)/EDA!$B$15)</f>
        <v>0.21028567737269524</v>
      </c>
      <c r="K2992" t="str">
        <f t="shared" si="46"/>
        <v>No</v>
      </c>
      <c r="L2992">
        <f>ABS((C2992-EDA!$F$15)/EDA!$G$15)</f>
        <v>0.37102734010234401</v>
      </c>
      <c r="M2992" t="str">
        <f>IF(moras[[#This Row],[Z-Score Salario]]&gt;1.96, "Sí", "No")</f>
        <v>No</v>
      </c>
      <c r="N2992" s="14">
        <f>IF(ISBLANK(moras[[#This Row],[SALARIO]]), EDA!$M$8, moras[[#This Row],[SALARIO]])</f>
        <v>278031</v>
      </c>
      <c r="O2992" s="14">
        <f xml:space="preserve"> IF(ISBLANK(moras[[#This Row],[EDAD]]), EDA!$E$8, moras[[#This Row],[EDAD]])</f>
        <v>39</v>
      </c>
      <c r="P2992" s="14" t="str">
        <f>IF(
    OR(ISBLANK(moras[[#This Row],[TIPO_ASEGURAMIENTO]]), moras[[#This Row],[TIPO_ASEGURAMIENTO]]=""),
    EDA!$A$32,
    moras[[#This Row],[TIPO_ASEGURAMIENTO]]
)</f>
        <v>ASEGURADO VOLUNTARIO</v>
      </c>
    </row>
    <row r="2993" spans="1:16" x14ac:dyDescent="0.3">
      <c r="A2993">
        <v>2992</v>
      </c>
      <c r="B2993" t="s">
        <v>9</v>
      </c>
      <c r="C2993">
        <v>2247500</v>
      </c>
      <c r="D2993" t="s">
        <v>10</v>
      </c>
      <c r="E2993" t="s">
        <v>16</v>
      </c>
      <c r="F2993" t="s">
        <v>12</v>
      </c>
      <c r="G2993" t="s">
        <v>13</v>
      </c>
      <c r="H2993" t="s">
        <v>13</v>
      </c>
      <c r="I2993">
        <v>45</v>
      </c>
      <c r="J2993">
        <f>ABS((I2993-EDA!$A$15)/EDA!$B$15)</f>
        <v>0.21316630309012977</v>
      </c>
      <c r="K2993" t="str">
        <f t="shared" si="46"/>
        <v>No</v>
      </c>
      <c r="L2993">
        <f>ABS((C2993-EDA!$F$15)/EDA!$G$15)</f>
        <v>0.33825398567015497</v>
      </c>
      <c r="M2993" t="str">
        <f>IF(moras[[#This Row],[Z-Score Salario]]&gt;1.96, "Sí", "No")</f>
        <v>No</v>
      </c>
      <c r="N2993" s="14">
        <f>IF(ISBLANK(moras[[#This Row],[SALARIO]]), EDA!$M$8, moras[[#This Row],[SALARIO]])</f>
        <v>2247500</v>
      </c>
      <c r="O2993" s="14">
        <f xml:space="preserve"> IF(ISBLANK(moras[[#This Row],[EDAD]]), EDA!$E$8, moras[[#This Row],[EDAD]])</f>
        <v>45</v>
      </c>
      <c r="P2993" s="14" t="str">
        <f>IF(
    OR(ISBLANK(moras[[#This Row],[TIPO_ASEGURAMIENTO]]), moras[[#This Row],[TIPO_ASEGURAMIENTO]]=""),
    EDA!$A$32,
    moras[[#This Row],[TIPO_ASEGURAMIENTO]]
)</f>
        <v>ASALARIADO</v>
      </c>
    </row>
    <row r="2994" spans="1:16" x14ac:dyDescent="0.3">
      <c r="A2994">
        <v>2993</v>
      </c>
      <c r="B2994" t="s">
        <v>9</v>
      </c>
      <c r="C2994">
        <v>340000</v>
      </c>
      <c r="D2994" t="s">
        <v>10</v>
      </c>
      <c r="E2994" t="s">
        <v>16</v>
      </c>
      <c r="F2994" t="s">
        <v>12</v>
      </c>
      <c r="G2994" t="s">
        <v>13</v>
      </c>
      <c r="H2994" t="s">
        <v>13</v>
      </c>
      <c r="I2994">
        <v>34</v>
      </c>
      <c r="J2994">
        <f>ABS((I2994-EDA!$A$15)/EDA!$B$15)</f>
        <v>0.56316232775838282</v>
      </c>
      <c r="K2994" t="str">
        <f t="shared" si="46"/>
        <v>No</v>
      </c>
      <c r="L2994">
        <f>ABS((C2994-EDA!$F$15)/EDA!$G$15)</f>
        <v>0.36999613219767108</v>
      </c>
      <c r="M2994" t="str">
        <f>IF(moras[[#This Row],[Z-Score Salario]]&gt;1.96, "Sí", "No")</f>
        <v>No</v>
      </c>
      <c r="N2994" s="14">
        <f>IF(ISBLANK(moras[[#This Row],[SALARIO]]), EDA!$M$8, moras[[#This Row],[SALARIO]])</f>
        <v>340000</v>
      </c>
      <c r="O2994" s="14">
        <f xml:space="preserve"> IF(ISBLANK(moras[[#This Row],[EDAD]]), EDA!$E$8, moras[[#This Row],[EDAD]])</f>
        <v>34</v>
      </c>
      <c r="P2994" s="14" t="str">
        <f>IF(
    OR(ISBLANK(moras[[#This Row],[TIPO_ASEGURAMIENTO]]), moras[[#This Row],[TIPO_ASEGURAMIENTO]]=""),
    EDA!$A$32,
    moras[[#This Row],[TIPO_ASEGURAMIENTO]]
)</f>
        <v>ASALARIADO</v>
      </c>
    </row>
    <row r="2995" spans="1:16" x14ac:dyDescent="0.3">
      <c r="A2995">
        <v>2994</v>
      </c>
      <c r="B2995" t="s">
        <v>9</v>
      </c>
      <c r="C2995">
        <v>50000</v>
      </c>
      <c r="D2995" t="s">
        <v>10</v>
      </c>
      <c r="E2995" t="s">
        <v>16</v>
      </c>
      <c r="F2995" t="s">
        <v>12</v>
      </c>
      <c r="G2995" t="s">
        <v>12</v>
      </c>
      <c r="H2995" t="s">
        <v>12</v>
      </c>
      <c r="I2995">
        <v>53</v>
      </c>
      <c r="J2995">
        <f>ABS((I2995-EDA!$A$15)/EDA!$B$15)</f>
        <v>0.77776894370722982</v>
      </c>
      <c r="K2995" t="str">
        <f t="shared" si="46"/>
        <v>No</v>
      </c>
      <c r="L2995">
        <f>ABS((C2995-EDA!$F$15)/EDA!$G$15)</f>
        <v>0.37482193691220822</v>
      </c>
      <c r="M2995" t="str">
        <f>IF(moras[[#This Row],[Z-Score Salario]]&gt;1.96, "Sí", "No")</f>
        <v>No</v>
      </c>
      <c r="N2995" s="14">
        <f>IF(ISBLANK(moras[[#This Row],[SALARIO]]), EDA!$M$8, moras[[#This Row],[SALARIO]])</f>
        <v>50000</v>
      </c>
      <c r="O2995" s="14">
        <f xml:space="preserve"> IF(ISBLANK(moras[[#This Row],[EDAD]]), EDA!$E$8, moras[[#This Row],[EDAD]])</f>
        <v>53</v>
      </c>
      <c r="P2995" s="14" t="str">
        <f>IF(
    OR(ISBLANK(moras[[#This Row],[TIPO_ASEGURAMIENTO]]), moras[[#This Row],[TIPO_ASEGURAMIENTO]]=""),
    EDA!$A$32,
    moras[[#This Row],[TIPO_ASEGURAMIENTO]]
)</f>
        <v>ASALARIADO</v>
      </c>
    </row>
    <row r="2996" spans="1:16" x14ac:dyDescent="0.3">
      <c r="A2996">
        <v>2995</v>
      </c>
      <c r="B2996" t="s">
        <v>9</v>
      </c>
      <c r="C2996">
        <v>389718</v>
      </c>
      <c r="D2996" t="s">
        <v>10</v>
      </c>
      <c r="E2996" t="s">
        <v>16</v>
      </c>
      <c r="F2996" t="s">
        <v>12</v>
      </c>
      <c r="G2996" t="s">
        <v>13</v>
      </c>
      <c r="H2996" t="s">
        <v>13</v>
      </c>
      <c r="I2996">
        <v>41</v>
      </c>
      <c r="J2996">
        <f>ABS((I2996-EDA!$A$15)/EDA!$B$15)</f>
        <v>6.9135017218420233E-2</v>
      </c>
      <c r="K2996" t="str">
        <f t="shared" si="46"/>
        <v>No</v>
      </c>
      <c r="L2996">
        <f>ABS((C2996-EDA!$F$15)/EDA!$G$15)</f>
        <v>0.36916878958112842</v>
      </c>
      <c r="M2996" t="str">
        <f>IF(moras[[#This Row],[Z-Score Salario]]&gt;1.96, "Sí", "No")</f>
        <v>No</v>
      </c>
      <c r="N2996" s="14">
        <f>IF(ISBLANK(moras[[#This Row],[SALARIO]]), EDA!$M$8, moras[[#This Row],[SALARIO]])</f>
        <v>389718</v>
      </c>
      <c r="O2996" s="14">
        <f xml:space="preserve"> IF(ISBLANK(moras[[#This Row],[EDAD]]), EDA!$E$8, moras[[#This Row],[EDAD]])</f>
        <v>41</v>
      </c>
      <c r="P2996" s="14" t="str">
        <f>IF(
    OR(ISBLANK(moras[[#This Row],[TIPO_ASEGURAMIENTO]]), moras[[#This Row],[TIPO_ASEGURAMIENTO]]=""),
    EDA!$A$32,
    moras[[#This Row],[TIPO_ASEGURAMIENTO]]
)</f>
        <v>ASALARIADO</v>
      </c>
    </row>
    <row r="2997" spans="1:16" x14ac:dyDescent="0.3">
      <c r="A2997">
        <v>2996</v>
      </c>
      <c r="B2997" t="s">
        <v>15</v>
      </c>
      <c r="C2997">
        <v>203226293</v>
      </c>
      <c r="D2997" t="s">
        <v>10</v>
      </c>
      <c r="E2997" t="s">
        <v>16</v>
      </c>
      <c r="F2997" t="s">
        <v>12</v>
      </c>
      <c r="G2997" t="s">
        <v>13</v>
      </c>
      <c r="H2997" t="s">
        <v>13</v>
      </c>
      <c r="I2997">
        <v>54</v>
      </c>
      <c r="J2997">
        <f>ABS((I2997-EDA!$A$15)/EDA!$B$15)</f>
        <v>0.84834427378436728</v>
      </c>
      <c r="K2997" t="str">
        <f t="shared" si="46"/>
        <v>No</v>
      </c>
      <c r="L2997">
        <f>ABS((C2997-EDA!$F$15)/EDA!$G$15)</f>
        <v>3.0061750032311974</v>
      </c>
      <c r="M2997" t="str">
        <f>IF(moras[[#This Row],[Z-Score Salario]]&gt;1.96, "Sí", "No")</f>
        <v>Sí</v>
      </c>
      <c r="N2997" s="14">
        <f>IF(ISBLANK(moras[[#This Row],[SALARIO]]), EDA!$M$8, moras[[#This Row],[SALARIO]])</f>
        <v>203226293</v>
      </c>
      <c r="O2997" s="14">
        <f xml:space="preserve"> IF(ISBLANK(moras[[#This Row],[EDAD]]), EDA!$E$8, moras[[#This Row],[EDAD]])</f>
        <v>54</v>
      </c>
      <c r="P2997" s="14" t="str">
        <f>IF(
    OR(ISBLANK(moras[[#This Row],[TIPO_ASEGURAMIENTO]]), moras[[#This Row],[TIPO_ASEGURAMIENTO]]=""),
    EDA!$A$32,
    moras[[#This Row],[TIPO_ASEGURAMIENTO]]
)</f>
        <v>ASALARIADO</v>
      </c>
    </row>
    <row r="2998" spans="1:16" x14ac:dyDescent="0.3">
      <c r="A2998">
        <v>2997</v>
      </c>
      <c r="B2998" t="s">
        <v>15</v>
      </c>
      <c r="C2998">
        <v>89567</v>
      </c>
      <c r="D2998" t="s">
        <v>10</v>
      </c>
      <c r="E2998" t="s">
        <v>11</v>
      </c>
      <c r="F2998" t="s">
        <v>12</v>
      </c>
      <c r="G2998" t="s">
        <v>13</v>
      </c>
      <c r="H2998" t="s">
        <v>13</v>
      </c>
      <c r="I2998">
        <v>34</v>
      </c>
      <c r="J2998">
        <f>ABS((I2998-EDA!$A$15)/EDA!$B$15)</f>
        <v>0.56316232775838282</v>
      </c>
      <c r="K2998" t="str">
        <f t="shared" si="46"/>
        <v>No</v>
      </c>
      <c r="L2998">
        <f>ABS((C2998-EDA!$F$15)/EDA!$G$15)</f>
        <v>0.37416351410138032</v>
      </c>
      <c r="M2998" t="str">
        <f>IF(moras[[#This Row],[Z-Score Salario]]&gt;1.96, "Sí", "No")</f>
        <v>No</v>
      </c>
      <c r="N2998" s="14">
        <f>IF(ISBLANK(moras[[#This Row],[SALARIO]]), EDA!$M$8, moras[[#This Row],[SALARIO]])</f>
        <v>89567</v>
      </c>
      <c r="O2998" s="14">
        <f xml:space="preserve"> IF(ISBLANK(moras[[#This Row],[EDAD]]), EDA!$E$8, moras[[#This Row],[EDAD]])</f>
        <v>34</v>
      </c>
      <c r="P2998" s="14" t="str">
        <f>IF(
    OR(ISBLANK(moras[[#This Row],[TIPO_ASEGURAMIENTO]]), moras[[#This Row],[TIPO_ASEGURAMIENTO]]=""),
    EDA!$A$32,
    moras[[#This Row],[TIPO_ASEGURAMIENTO]]
)</f>
        <v>ASALARIADO</v>
      </c>
    </row>
    <row r="2999" spans="1:16" x14ac:dyDescent="0.3">
      <c r="A2999">
        <v>2998</v>
      </c>
      <c r="B2999" t="s">
        <v>9</v>
      </c>
      <c r="C2999">
        <v>316965</v>
      </c>
      <c r="D2999" t="s">
        <v>10</v>
      </c>
      <c r="E2999" t="s">
        <v>16</v>
      </c>
      <c r="F2999" t="s">
        <v>12</v>
      </c>
      <c r="G2999" t="s">
        <v>13</v>
      </c>
      <c r="H2999" t="s">
        <v>13</v>
      </c>
      <c r="I2999">
        <v>25</v>
      </c>
      <c r="J2999">
        <f>ABS((I2999-EDA!$A$15)/EDA!$B$15)</f>
        <v>1.1983402984526204</v>
      </c>
      <c r="K2999" t="str">
        <f t="shared" si="46"/>
        <v>No</v>
      </c>
      <c r="L2999">
        <f>ABS((C2999-EDA!$F$15)/EDA!$G$15)</f>
        <v>0.37037945085835855</v>
      </c>
      <c r="M2999" t="str">
        <f>IF(moras[[#This Row],[Z-Score Salario]]&gt;1.96, "Sí", "No")</f>
        <v>No</v>
      </c>
      <c r="N2999" s="14">
        <f>IF(ISBLANK(moras[[#This Row],[SALARIO]]), EDA!$M$8, moras[[#This Row],[SALARIO]])</f>
        <v>316965</v>
      </c>
      <c r="O2999" s="14">
        <f xml:space="preserve"> IF(ISBLANK(moras[[#This Row],[EDAD]]), EDA!$E$8, moras[[#This Row],[EDAD]])</f>
        <v>25</v>
      </c>
      <c r="P2999" s="14" t="str">
        <f>IF(
    OR(ISBLANK(moras[[#This Row],[TIPO_ASEGURAMIENTO]]), moras[[#This Row],[TIPO_ASEGURAMIENTO]]=""),
    EDA!$A$32,
    moras[[#This Row],[TIPO_ASEGURAMIENTO]]
)</f>
        <v>ASALARIADO</v>
      </c>
    </row>
    <row r="3000" spans="1:16" x14ac:dyDescent="0.3">
      <c r="A3000">
        <v>2999</v>
      </c>
      <c r="B3000" t="s">
        <v>15</v>
      </c>
      <c r="C3000">
        <v>347135</v>
      </c>
      <c r="D3000" t="s">
        <v>17</v>
      </c>
      <c r="E3000" t="s">
        <v>16</v>
      </c>
      <c r="F3000" t="s">
        <v>12</v>
      </c>
      <c r="G3000" t="s">
        <v>12</v>
      </c>
      <c r="H3000" t="s">
        <v>13</v>
      </c>
      <c r="I3000">
        <v>63</v>
      </c>
      <c r="J3000">
        <f>ABS((I3000-EDA!$A$15)/EDA!$B$15)</f>
        <v>1.4835222444786049</v>
      </c>
      <c r="K3000" t="str">
        <f t="shared" si="46"/>
        <v>No</v>
      </c>
      <c r="L3000">
        <f>ABS((C3000-EDA!$F$15)/EDA!$G$15)</f>
        <v>0.36987740076098752</v>
      </c>
      <c r="M3000" t="str">
        <f>IF(moras[[#This Row],[Z-Score Salario]]&gt;1.96, "Sí", "No")</f>
        <v>No</v>
      </c>
      <c r="N3000" s="14">
        <f>IF(ISBLANK(moras[[#This Row],[SALARIO]]), EDA!$M$8, moras[[#This Row],[SALARIO]])</f>
        <v>347135</v>
      </c>
      <c r="O3000" s="14">
        <f xml:space="preserve"> IF(ISBLANK(moras[[#This Row],[EDAD]]), EDA!$E$8, moras[[#This Row],[EDAD]])</f>
        <v>63</v>
      </c>
      <c r="P3000" s="14" t="str">
        <f>IF(
    OR(ISBLANK(moras[[#This Row],[TIPO_ASEGURAMIENTO]]), moras[[#This Row],[TIPO_ASEGURAMIENTO]]=""),
    EDA!$A$32,
    moras[[#This Row],[TIPO_ASEGURAMIENTO]]
)</f>
        <v>ASEGURADO VOLUNTARIO</v>
      </c>
    </row>
    <row r="3001" spans="1:16" x14ac:dyDescent="0.3">
      <c r="A3001">
        <v>3000</v>
      </c>
      <c r="B3001" t="s">
        <v>15</v>
      </c>
      <c r="C3001">
        <v>15016493</v>
      </c>
      <c r="D3001" t="s">
        <v>10</v>
      </c>
      <c r="E3001" t="s">
        <v>16</v>
      </c>
      <c r="F3001" t="s">
        <v>12</v>
      </c>
      <c r="G3001" t="s">
        <v>12</v>
      </c>
      <c r="H3001" t="s">
        <v>13</v>
      </c>
      <c r="I3001">
        <v>35</v>
      </c>
      <c r="J3001">
        <f>ABS((I3001-EDA!$A$15)/EDA!$B$15)</f>
        <v>0.49258699768124525</v>
      </c>
      <c r="K3001" t="str">
        <f t="shared" si="46"/>
        <v>No</v>
      </c>
      <c r="L3001">
        <f>ABS((C3001-EDA!$F$15)/EDA!$G$15)</f>
        <v>0.12576892836225059</v>
      </c>
      <c r="M3001" t="str">
        <f>IF(moras[[#This Row],[Z-Score Salario]]&gt;1.96, "Sí", "No")</f>
        <v>No</v>
      </c>
      <c r="N3001" s="14">
        <f>IF(ISBLANK(moras[[#This Row],[SALARIO]]), EDA!$M$8, moras[[#This Row],[SALARIO]])</f>
        <v>15016493</v>
      </c>
      <c r="O3001" s="14">
        <f xml:space="preserve"> IF(ISBLANK(moras[[#This Row],[EDAD]]), EDA!$E$8, moras[[#This Row],[EDAD]])</f>
        <v>35</v>
      </c>
      <c r="P3001" s="14" t="str">
        <f>IF(
    OR(ISBLANK(moras[[#This Row],[TIPO_ASEGURAMIENTO]]), moras[[#This Row],[TIPO_ASEGURAMIENTO]]=""),
    EDA!$A$32,
    moras[[#This Row],[TIPO_ASEGURAMIENTO]]
)</f>
        <v>ASALARIADO</v>
      </c>
    </row>
    <row r="3002" spans="1:16" x14ac:dyDescent="0.3">
      <c r="A3002">
        <v>3001</v>
      </c>
      <c r="B3002" t="s">
        <v>9</v>
      </c>
      <c r="C3002">
        <v>302470</v>
      </c>
      <c r="D3002" t="s">
        <v>18</v>
      </c>
      <c r="E3002" t="s">
        <v>16</v>
      </c>
      <c r="F3002" t="s">
        <v>12</v>
      </c>
      <c r="G3002" t="s">
        <v>13</v>
      </c>
      <c r="H3002" t="s">
        <v>13</v>
      </c>
      <c r="I3002">
        <v>61</v>
      </c>
      <c r="J3002">
        <f>ABS((I3002-EDA!$A$15)/EDA!$B$15)</f>
        <v>1.3423715843243298</v>
      </c>
      <c r="K3002" t="str">
        <f t="shared" si="46"/>
        <v>No</v>
      </c>
      <c r="L3002">
        <f>ABS((C3002-EDA!$F$15)/EDA!$G$15)</f>
        <v>0.37062065789055582</v>
      </c>
      <c r="M3002" t="str">
        <f>IF(moras[[#This Row],[Z-Score Salario]]&gt;1.96, "Sí", "No")</f>
        <v>No</v>
      </c>
      <c r="N3002" s="14">
        <f>IF(ISBLANK(moras[[#This Row],[SALARIO]]), EDA!$M$8, moras[[#This Row],[SALARIO]])</f>
        <v>302470</v>
      </c>
      <c r="O3002" s="14">
        <f xml:space="preserve"> IF(ISBLANK(moras[[#This Row],[EDAD]]), EDA!$E$8, moras[[#This Row],[EDAD]])</f>
        <v>61</v>
      </c>
      <c r="P3002" s="14" t="str">
        <f>IF(
    OR(ISBLANK(moras[[#This Row],[TIPO_ASEGURAMIENTO]]), moras[[#This Row],[TIPO_ASEGURAMIENTO]]=""),
    EDA!$A$32,
    moras[[#This Row],[TIPO_ASEGURAMIENTO]]
)</f>
        <v>TRABAJADOR INDEPENDIENTE</v>
      </c>
    </row>
    <row r="3003" spans="1:16" x14ac:dyDescent="0.3">
      <c r="A3003">
        <v>3002</v>
      </c>
      <c r="B3003" t="s">
        <v>15</v>
      </c>
      <c r="C3003">
        <v>477140</v>
      </c>
      <c r="D3003" t="s">
        <v>10</v>
      </c>
      <c r="E3003" t="s">
        <v>11</v>
      </c>
      <c r="F3003" t="s">
        <v>12</v>
      </c>
      <c r="G3003" t="s">
        <v>13</v>
      </c>
      <c r="H3003" t="s">
        <v>13</v>
      </c>
      <c r="I3003">
        <v>48</v>
      </c>
      <c r="J3003">
        <f>ABS((I3003-EDA!$A$15)/EDA!$B$15)</f>
        <v>0.42489229332154227</v>
      </c>
      <c r="K3003" t="str">
        <f t="shared" si="46"/>
        <v>No</v>
      </c>
      <c r="L3003">
        <f>ABS((C3003-EDA!$F$15)/EDA!$G$15)</f>
        <v>0.36771402578887236</v>
      </c>
      <c r="M3003" t="str">
        <f>IF(moras[[#This Row],[Z-Score Salario]]&gt;1.96, "Sí", "No")</f>
        <v>No</v>
      </c>
      <c r="N3003" s="14">
        <f>IF(ISBLANK(moras[[#This Row],[SALARIO]]), EDA!$M$8, moras[[#This Row],[SALARIO]])</f>
        <v>477140</v>
      </c>
      <c r="O3003" s="14">
        <f xml:space="preserve"> IF(ISBLANK(moras[[#This Row],[EDAD]]), EDA!$E$8, moras[[#This Row],[EDAD]])</f>
        <v>48</v>
      </c>
      <c r="P3003" s="14" t="str">
        <f>IF(
    OR(ISBLANK(moras[[#This Row],[TIPO_ASEGURAMIENTO]]), moras[[#This Row],[TIPO_ASEGURAMIENTO]]=""),
    EDA!$A$32,
    moras[[#This Row],[TIPO_ASEGURAMIENTO]]
)</f>
        <v>ASALARIADO</v>
      </c>
    </row>
    <row r="3004" spans="1:16" x14ac:dyDescent="0.3">
      <c r="A3004">
        <v>3003</v>
      </c>
      <c r="B3004" t="s">
        <v>9</v>
      </c>
      <c r="C3004">
        <v>1194392</v>
      </c>
      <c r="D3004" t="s">
        <v>10</v>
      </c>
      <c r="E3004" t="s">
        <v>16</v>
      </c>
      <c r="F3004" t="s">
        <v>12</v>
      </c>
      <c r="G3004" t="s">
        <v>13</v>
      </c>
      <c r="H3004" t="s">
        <v>13</v>
      </c>
      <c r="I3004">
        <v>28</v>
      </c>
      <c r="J3004">
        <f>ABS((I3004-EDA!$A$15)/EDA!$B$15)</f>
        <v>0.98661430822120777</v>
      </c>
      <c r="K3004" t="str">
        <f t="shared" si="46"/>
        <v>No</v>
      </c>
      <c r="L3004">
        <f>ABS((C3004-EDA!$F$15)/EDA!$G$15)</f>
        <v>0.3557784461919371</v>
      </c>
      <c r="M3004" t="str">
        <f>IF(moras[[#This Row],[Z-Score Salario]]&gt;1.96, "Sí", "No")</f>
        <v>No</v>
      </c>
      <c r="N3004" s="14">
        <f>IF(ISBLANK(moras[[#This Row],[SALARIO]]), EDA!$M$8, moras[[#This Row],[SALARIO]])</f>
        <v>1194392</v>
      </c>
      <c r="O3004" s="14">
        <f xml:space="preserve"> IF(ISBLANK(moras[[#This Row],[EDAD]]), EDA!$E$8, moras[[#This Row],[EDAD]])</f>
        <v>28</v>
      </c>
      <c r="P3004" s="14" t="str">
        <f>IF(
    OR(ISBLANK(moras[[#This Row],[TIPO_ASEGURAMIENTO]]), moras[[#This Row],[TIPO_ASEGURAMIENTO]]=""),
    EDA!$A$32,
    moras[[#This Row],[TIPO_ASEGURAMIENTO]]
)</f>
        <v>ASALARIADO</v>
      </c>
    </row>
    <row r="3005" spans="1:16" x14ac:dyDescent="0.3">
      <c r="A3005">
        <v>3004</v>
      </c>
      <c r="B3005" t="s">
        <v>15</v>
      </c>
      <c r="C3005">
        <v>18760235</v>
      </c>
      <c r="D3005" t="s">
        <v>10</v>
      </c>
      <c r="E3005" t="s">
        <v>11</v>
      </c>
      <c r="F3005" t="s">
        <v>12</v>
      </c>
      <c r="G3005" t="s">
        <v>13</v>
      </c>
      <c r="H3005" t="s">
        <v>13</v>
      </c>
      <c r="I3005">
        <v>46</v>
      </c>
      <c r="J3005">
        <f>ABS((I3005-EDA!$A$15)/EDA!$B$15)</f>
        <v>0.2837416331672673</v>
      </c>
      <c r="K3005" t="str">
        <f t="shared" si="46"/>
        <v>No</v>
      </c>
      <c r="L3005">
        <f>ABS((C3005-EDA!$F$15)/EDA!$G$15)</f>
        <v>6.347041872910969E-2</v>
      </c>
      <c r="M3005" t="str">
        <f>IF(moras[[#This Row],[Z-Score Salario]]&gt;1.96, "Sí", "No")</f>
        <v>No</v>
      </c>
      <c r="N3005" s="14">
        <f>IF(ISBLANK(moras[[#This Row],[SALARIO]]), EDA!$M$8, moras[[#This Row],[SALARIO]])</f>
        <v>18760235</v>
      </c>
      <c r="O3005" s="14">
        <f xml:space="preserve"> IF(ISBLANK(moras[[#This Row],[EDAD]]), EDA!$E$8, moras[[#This Row],[EDAD]])</f>
        <v>46</v>
      </c>
      <c r="P3005" s="14" t="str">
        <f>IF(
    OR(ISBLANK(moras[[#This Row],[TIPO_ASEGURAMIENTO]]), moras[[#This Row],[TIPO_ASEGURAMIENTO]]=""),
    EDA!$A$32,
    moras[[#This Row],[TIPO_ASEGURAMIENTO]]
)</f>
        <v>ASALARIADO</v>
      </c>
    </row>
    <row r="3006" spans="1:16" x14ac:dyDescent="0.3">
      <c r="A3006">
        <v>3005</v>
      </c>
      <c r="B3006" t="s">
        <v>15</v>
      </c>
      <c r="C3006">
        <v>582000</v>
      </c>
      <c r="D3006" t="s">
        <v>10</v>
      </c>
      <c r="E3006" t="s">
        <v>16</v>
      </c>
      <c r="F3006" t="s">
        <v>12</v>
      </c>
      <c r="G3006" t="s">
        <v>13</v>
      </c>
      <c r="H3006" t="s">
        <v>13</v>
      </c>
      <c r="I3006">
        <v>23</v>
      </c>
      <c r="J3006">
        <f>ABS((I3006-EDA!$A$15)/EDA!$B$15)</f>
        <v>1.3394909586068953</v>
      </c>
      <c r="K3006" t="str">
        <f t="shared" si="46"/>
        <v>No</v>
      </c>
      <c r="L3006">
        <f>ABS((C3006-EDA!$F$15)/EDA!$G$15)</f>
        <v>0.36596908136691936</v>
      </c>
      <c r="M3006" t="str">
        <f>IF(moras[[#This Row],[Z-Score Salario]]&gt;1.96, "Sí", "No")</f>
        <v>No</v>
      </c>
      <c r="N3006" s="14">
        <f>IF(ISBLANK(moras[[#This Row],[SALARIO]]), EDA!$M$8, moras[[#This Row],[SALARIO]])</f>
        <v>582000</v>
      </c>
      <c r="O3006" s="14">
        <f xml:space="preserve"> IF(ISBLANK(moras[[#This Row],[EDAD]]), EDA!$E$8, moras[[#This Row],[EDAD]])</f>
        <v>23</v>
      </c>
      <c r="P3006" s="14" t="str">
        <f>IF(
    OR(ISBLANK(moras[[#This Row],[TIPO_ASEGURAMIENTO]]), moras[[#This Row],[TIPO_ASEGURAMIENTO]]=""),
    EDA!$A$32,
    moras[[#This Row],[TIPO_ASEGURAMIENTO]]
)</f>
        <v>ASALARIADO</v>
      </c>
    </row>
    <row r="3007" spans="1:16" x14ac:dyDescent="0.3">
      <c r="A3007">
        <v>3006</v>
      </c>
      <c r="B3007" t="s">
        <v>15</v>
      </c>
      <c r="C3007">
        <v>627691</v>
      </c>
      <c r="D3007" t="s">
        <v>10</v>
      </c>
      <c r="E3007" t="s">
        <v>11</v>
      </c>
      <c r="F3007" t="s">
        <v>12</v>
      </c>
      <c r="G3007" t="s">
        <v>13</v>
      </c>
      <c r="H3007" t="s">
        <v>13</v>
      </c>
      <c r="I3007">
        <v>41</v>
      </c>
      <c r="J3007">
        <f>ABS((I3007-EDA!$A$15)/EDA!$B$15)</f>
        <v>6.9135017218420233E-2</v>
      </c>
      <c r="K3007" t="str">
        <f t="shared" si="46"/>
        <v>No</v>
      </c>
      <c r="L3007">
        <f>ABS((C3007-EDA!$F$15)/EDA!$G$15)</f>
        <v>0.36520875087308513</v>
      </c>
      <c r="M3007" t="str">
        <f>IF(moras[[#This Row],[Z-Score Salario]]&gt;1.96, "Sí", "No")</f>
        <v>No</v>
      </c>
      <c r="N3007" s="14">
        <f>IF(ISBLANK(moras[[#This Row],[SALARIO]]), EDA!$M$8, moras[[#This Row],[SALARIO]])</f>
        <v>627691</v>
      </c>
      <c r="O3007" s="14">
        <f xml:space="preserve"> IF(ISBLANK(moras[[#This Row],[EDAD]]), EDA!$E$8, moras[[#This Row],[EDAD]])</f>
        <v>41</v>
      </c>
      <c r="P3007" s="14" t="str">
        <f>IF(
    OR(ISBLANK(moras[[#This Row],[TIPO_ASEGURAMIENTO]]), moras[[#This Row],[TIPO_ASEGURAMIENTO]]=""),
    EDA!$A$32,
    moras[[#This Row],[TIPO_ASEGURAMIENTO]]
)</f>
        <v>ASALARIADO</v>
      </c>
    </row>
    <row r="3008" spans="1:16" x14ac:dyDescent="0.3">
      <c r="A3008">
        <v>3007</v>
      </c>
      <c r="B3008" t="s">
        <v>9</v>
      </c>
      <c r="C3008">
        <v>297046</v>
      </c>
      <c r="D3008" t="s">
        <v>17</v>
      </c>
      <c r="E3008" t="s">
        <v>16</v>
      </c>
      <c r="F3008" t="s">
        <v>12</v>
      </c>
      <c r="G3008" t="s">
        <v>13</v>
      </c>
      <c r="H3008" t="s">
        <v>13</v>
      </c>
      <c r="I3008">
        <v>59</v>
      </c>
      <c r="J3008">
        <f>ABS((I3008-EDA!$A$15)/EDA!$B$15)</f>
        <v>1.2012209241700549</v>
      </c>
      <c r="K3008" t="str">
        <f t="shared" si="46"/>
        <v>No</v>
      </c>
      <c r="L3008">
        <f>ABS((C3008-EDA!$F$15)/EDA!$G$15)</f>
        <v>0.37071091707942361</v>
      </c>
      <c r="M3008" t="str">
        <f>IF(moras[[#This Row],[Z-Score Salario]]&gt;1.96, "Sí", "No")</f>
        <v>No</v>
      </c>
      <c r="N3008" s="14">
        <f>IF(ISBLANK(moras[[#This Row],[SALARIO]]), EDA!$M$8, moras[[#This Row],[SALARIO]])</f>
        <v>297046</v>
      </c>
      <c r="O3008" s="14">
        <f xml:space="preserve"> IF(ISBLANK(moras[[#This Row],[EDAD]]), EDA!$E$8, moras[[#This Row],[EDAD]])</f>
        <v>59</v>
      </c>
      <c r="P3008" s="14" t="str">
        <f>IF(
    OR(ISBLANK(moras[[#This Row],[TIPO_ASEGURAMIENTO]]), moras[[#This Row],[TIPO_ASEGURAMIENTO]]=""),
    EDA!$A$32,
    moras[[#This Row],[TIPO_ASEGURAMIENTO]]
)</f>
        <v>ASEGURADO VOLUNTARIO</v>
      </c>
    </row>
    <row r="3009" spans="1:16" x14ac:dyDescent="0.3">
      <c r="A3009">
        <v>3008</v>
      </c>
      <c r="B3009" t="s">
        <v>15</v>
      </c>
      <c r="C3009">
        <v>944226</v>
      </c>
      <c r="D3009" t="s">
        <v>10</v>
      </c>
      <c r="E3009" t="s">
        <v>11</v>
      </c>
      <c r="F3009" t="s">
        <v>12</v>
      </c>
      <c r="G3009" t="s">
        <v>13</v>
      </c>
      <c r="H3009" t="s">
        <v>12</v>
      </c>
      <c r="I3009">
        <v>40</v>
      </c>
      <c r="J3009">
        <f>ABS((I3009-EDA!$A$15)/EDA!$B$15)</f>
        <v>0.13971034729555773</v>
      </c>
      <c r="K3009" t="str">
        <f t="shared" si="46"/>
        <v>No</v>
      </c>
      <c r="L3009">
        <f>ABS((C3009-EDA!$F$15)/EDA!$G$15)</f>
        <v>0.35994138502716783</v>
      </c>
      <c r="M3009" t="str">
        <f>IF(moras[[#This Row],[Z-Score Salario]]&gt;1.96, "Sí", "No")</f>
        <v>No</v>
      </c>
      <c r="N3009" s="14">
        <f>IF(ISBLANK(moras[[#This Row],[SALARIO]]), EDA!$M$8, moras[[#This Row],[SALARIO]])</f>
        <v>944226</v>
      </c>
      <c r="O3009" s="14">
        <f xml:space="preserve"> IF(ISBLANK(moras[[#This Row],[EDAD]]), EDA!$E$8, moras[[#This Row],[EDAD]])</f>
        <v>40</v>
      </c>
      <c r="P3009" s="14" t="str">
        <f>IF(
    OR(ISBLANK(moras[[#This Row],[TIPO_ASEGURAMIENTO]]), moras[[#This Row],[TIPO_ASEGURAMIENTO]]=""),
    EDA!$A$32,
    moras[[#This Row],[TIPO_ASEGURAMIENTO]]
)</f>
        <v>ASALARIADO</v>
      </c>
    </row>
    <row r="3010" spans="1:16" x14ac:dyDescent="0.3">
      <c r="A3010">
        <v>3009</v>
      </c>
      <c r="B3010" t="s">
        <v>15</v>
      </c>
      <c r="C3010">
        <v>5249730</v>
      </c>
      <c r="D3010" t="s">
        <v>10</v>
      </c>
      <c r="E3010" t="s">
        <v>11</v>
      </c>
      <c r="F3010" t="s">
        <v>12</v>
      </c>
      <c r="G3010" t="s">
        <v>13</v>
      </c>
      <c r="H3010" t="s">
        <v>13</v>
      </c>
      <c r="I3010">
        <v>63</v>
      </c>
      <c r="J3010">
        <f>ABS((I3010-EDA!$A$15)/EDA!$B$15)</f>
        <v>1.4835222444786049</v>
      </c>
      <c r="K3010" t="str">
        <f t="shared" ref="K3010:K3073" si="47">IF(J3010 &gt;  1.96, "Sí","No")</f>
        <v>No</v>
      </c>
      <c r="L3010">
        <f>ABS((C3010-EDA!$F$15)/EDA!$G$15)</f>
        <v>0.28829475915937924</v>
      </c>
      <c r="M3010" t="str">
        <f>IF(moras[[#This Row],[Z-Score Salario]]&gt;1.96, "Sí", "No")</f>
        <v>No</v>
      </c>
      <c r="N3010" s="14">
        <f>IF(ISBLANK(moras[[#This Row],[SALARIO]]), EDA!$M$8, moras[[#This Row],[SALARIO]])</f>
        <v>5249730</v>
      </c>
      <c r="O3010" s="14">
        <f xml:space="preserve"> IF(ISBLANK(moras[[#This Row],[EDAD]]), EDA!$E$8, moras[[#This Row],[EDAD]])</f>
        <v>63</v>
      </c>
      <c r="P3010" s="14" t="str">
        <f>IF(
    OR(ISBLANK(moras[[#This Row],[TIPO_ASEGURAMIENTO]]), moras[[#This Row],[TIPO_ASEGURAMIENTO]]=""),
    EDA!$A$32,
    moras[[#This Row],[TIPO_ASEGURAMIENTO]]
)</f>
        <v>ASALARIADO</v>
      </c>
    </row>
    <row r="3011" spans="1:16" x14ac:dyDescent="0.3">
      <c r="A3011">
        <v>3010</v>
      </c>
      <c r="B3011" t="s">
        <v>15</v>
      </c>
      <c r="C3011">
        <v>737925</v>
      </c>
      <c r="D3011" t="s">
        <v>10</v>
      </c>
      <c r="E3011" t="s">
        <v>16</v>
      </c>
      <c r="F3011" t="s">
        <v>12</v>
      </c>
      <c r="G3011" t="s">
        <v>13</v>
      </c>
      <c r="H3011" t="s">
        <v>13</v>
      </c>
      <c r="I3011">
        <v>51</v>
      </c>
      <c r="J3011">
        <f>ABS((I3011-EDA!$A$15)/EDA!$B$15)</f>
        <v>0.6366182835529548</v>
      </c>
      <c r="K3011" t="str">
        <f t="shared" si="47"/>
        <v>No</v>
      </c>
      <c r="L3011">
        <f>ABS((C3011-EDA!$F$15)/EDA!$G$15)</f>
        <v>0.36337437929756</v>
      </c>
      <c r="M3011" t="str">
        <f>IF(moras[[#This Row],[Z-Score Salario]]&gt;1.96, "Sí", "No")</f>
        <v>No</v>
      </c>
      <c r="N3011" s="14">
        <f>IF(ISBLANK(moras[[#This Row],[SALARIO]]), EDA!$M$8, moras[[#This Row],[SALARIO]])</f>
        <v>737925</v>
      </c>
      <c r="O3011" s="14">
        <f xml:space="preserve"> IF(ISBLANK(moras[[#This Row],[EDAD]]), EDA!$E$8, moras[[#This Row],[EDAD]])</f>
        <v>51</v>
      </c>
      <c r="P3011" s="14" t="str">
        <f>IF(
    OR(ISBLANK(moras[[#This Row],[TIPO_ASEGURAMIENTO]]), moras[[#This Row],[TIPO_ASEGURAMIENTO]]=""),
    EDA!$A$32,
    moras[[#This Row],[TIPO_ASEGURAMIENTO]]
)</f>
        <v>ASALARIADO</v>
      </c>
    </row>
    <row r="3012" spans="1:16" x14ac:dyDescent="0.3">
      <c r="A3012">
        <v>3011</v>
      </c>
      <c r="B3012" t="s">
        <v>15</v>
      </c>
      <c r="C3012">
        <v>700000</v>
      </c>
      <c r="D3012" t="s">
        <v>10</v>
      </c>
      <c r="E3012" t="s">
        <v>16</v>
      </c>
      <c r="F3012" t="s">
        <v>12</v>
      </c>
      <c r="G3012" t="s">
        <v>13</v>
      </c>
      <c r="H3012" t="s">
        <v>13</v>
      </c>
      <c r="I3012">
        <v>27</v>
      </c>
      <c r="J3012">
        <f>ABS((I3012-EDA!$A$15)/EDA!$B$15)</f>
        <v>1.0571896382983452</v>
      </c>
      <c r="K3012" t="str">
        <f t="shared" si="47"/>
        <v>No</v>
      </c>
      <c r="L3012">
        <f>ABS((C3012-EDA!$F$15)/EDA!$G$15)</f>
        <v>0.36400547806928008</v>
      </c>
      <c r="M3012" t="str">
        <f>IF(moras[[#This Row],[Z-Score Salario]]&gt;1.96, "Sí", "No")</f>
        <v>No</v>
      </c>
      <c r="N3012" s="14">
        <f>IF(ISBLANK(moras[[#This Row],[SALARIO]]), EDA!$M$8, moras[[#This Row],[SALARIO]])</f>
        <v>700000</v>
      </c>
      <c r="O3012" s="14">
        <f xml:space="preserve"> IF(ISBLANK(moras[[#This Row],[EDAD]]), EDA!$E$8, moras[[#This Row],[EDAD]])</f>
        <v>27</v>
      </c>
      <c r="P3012" s="14" t="str">
        <f>IF(
    OR(ISBLANK(moras[[#This Row],[TIPO_ASEGURAMIENTO]]), moras[[#This Row],[TIPO_ASEGURAMIENTO]]=""),
    EDA!$A$32,
    moras[[#This Row],[TIPO_ASEGURAMIENTO]]
)</f>
        <v>ASALARIADO</v>
      </c>
    </row>
    <row r="3013" spans="1:16" x14ac:dyDescent="0.3">
      <c r="A3013">
        <v>3012</v>
      </c>
      <c r="B3013" t="s">
        <v>9</v>
      </c>
      <c r="C3013">
        <v>278030</v>
      </c>
      <c r="D3013" t="s">
        <v>19</v>
      </c>
      <c r="E3013" t="s">
        <v>16</v>
      </c>
      <c r="F3013" t="s">
        <v>12</v>
      </c>
      <c r="G3013" t="s">
        <v>13</v>
      </c>
      <c r="H3013" t="s">
        <v>13</v>
      </c>
      <c r="I3013">
        <v>42</v>
      </c>
      <c r="J3013">
        <f>ABS((I3013-EDA!$A$15)/EDA!$B$15)</f>
        <v>1.4403128587172659E-3</v>
      </c>
      <c r="K3013" t="str">
        <f t="shared" si="47"/>
        <v>No</v>
      </c>
      <c r="L3013">
        <f>ABS((C3013-EDA!$F$15)/EDA!$G$15)</f>
        <v>0.37102735674304993</v>
      </c>
      <c r="M3013" t="str">
        <f>IF(moras[[#This Row],[Z-Score Salario]]&gt;1.96, "Sí", "No")</f>
        <v>No</v>
      </c>
      <c r="N3013" s="14">
        <f>IF(ISBLANK(moras[[#This Row],[SALARIO]]), EDA!$M$8, moras[[#This Row],[SALARIO]])</f>
        <v>278030</v>
      </c>
      <c r="O3013" s="14">
        <f xml:space="preserve"> IF(ISBLANK(moras[[#This Row],[EDAD]]), EDA!$E$8, moras[[#This Row],[EDAD]])</f>
        <v>42</v>
      </c>
      <c r="P3013" s="14" t="str">
        <f>IF(
    OR(ISBLANK(moras[[#This Row],[TIPO_ASEGURAMIENTO]]), moras[[#This Row],[TIPO_ASEGURAMIENTO]]=""),
    EDA!$A$32,
    moras[[#This Row],[TIPO_ASEGURAMIENTO]]
)</f>
        <v>CONVENIOS ESPECIALES DE TRABAJADORES INDEPENDIENTES</v>
      </c>
    </row>
    <row r="3014" spans="1:16" x14ac:dyDescent="0.3">
      <c r="A3014">
        <v>3013</v>
      </c>
      <c r="B3014" t="s">
        <v>9</v>
      </c>
      <c r="C3014">
        <v>39840134</v>
      </c>
      <c r="D3014" t="s">
        <v>10</v>
      </c>
      <c r="E3014" t="s">
        <v>16</v>
      </c>
      <c r="F3014" t="s">
        <v>12</v>
      </c>
      <c r="G3014" t="s">
        <v>13</v>
      </c>
      <c r="H3014" t="s">
        <v>13</v>
      </c>
      <c r="I3014">
        <v>38</v>
      </c>
      <c r="J3014">
        <f>ABS((I3014-EDA!$A$15)/EDA!$B$15)</f>
        <v>0.28086100744983278</v>
      </c>
      <c r="K3014" t="str">
        <f t="shared" si="47"/>
        <v>No</v>
      </c>
      <c r="L3014">
        <f>ABS((C3014-EDA!$F$15)/EDA!$G$15)</f>
        <v>0.28731398118870966</v>
      </c>
      <c r="M3014" t="str">
        <f>IF(moras[[#This Row],[Z-Score Salario]]&gt;1.96, "Sí", "No")</f>
        <v>No</v>
      </c>
      <c r="N3014" s="14">
        <f>IF(ISBLANK(moras[[#This Row],[SALARIO]]), EDA!$M$8, moras[[#This Row],[SALARIO]])</f>
        <v>39840134</v>
      </c>
      <c r="O3014" s="14">
        <f xml:space="preserve"> IF(ISBLANK(moras[[#This Row],[EDAD]]), EDA!$E$8, moras[[#This Row],[EDAD]])</f>
        <v>38</v>
      </c>
      <c r="P3014" s="14" t="str">
        <f>IF(
    OR(ISBLANK(moras[[#This Row],[TIPO_ASEGURAMIENTO]]), moras[[#This Row],[TIPO_ASEGURAMIENTO]]=""),
    EDA!$A$32,
    moras[[#This Row],[TIPO_ASEGURAMIENTO]]
)</f>
        <v>ASALARIADO</v>
      </c>
    </row>
    <row r="3015" spans="1:16" x14ac:dyDescent="0.3">
      <c r="A3015">
        <v>3014</v>
      </c>
      <c r="B3015" t="s">
        <v>9</v>
      </c>
      <c r="C3015">
        <v>3615294</v>
      </c>
      <c r="D3015" t="s">
        <v>10</v>
      </c>
      <c r="E3015" t="s">
        <v>16</v>
      </c>
      <c r="F3015" t="s">
        <v>12</v>
      </c>
      <c r="G3015" t="s">
        <v>13</v>
      </c>
      <c r="H3015" t="s">
        <v>13</v>
      </c>
      <c r="I3015">
        <v>32</v>
      </c>
      <c r="J3015">
        <f>ABS((I3015-EDA!$A$15)/EDA!$B$15)</f>
        <v>0.70431298791265773</v>
      </c>
      <c r="K3015" t="str">
        <f t="shared" si="47"/>
        <v>No</v>
      </c>
      <c r="L3015">
        <f>ABS((C3015-EDA!$F$15)/EDA!$G$15)</f>
        <v>0.31549292796768713</v>
      </c>
      <c r="M3015" t="str">
        <f>IF(moras[[#This Row],[Z-Score Salario]]&gt;1.96, "Sí", "No")</f>
        <v>No</v>
      </c>
      <c r="N3015" s="14">
        <f>IF(ISBLANK(moras[[#This Row],[SALARIO]]), EDA!$M$8, moras[[#This Row],[SALARIO]])</f>
        <v>3615294</v>
      </c>
      <c r="O3015" s="14">
        <f xml:space="preserve"> IF(ISBLANK(moras[[#This Row],[EDAD]]), EDA!$E$8, moras[[#This Row],[EDAD]])</f>
        <v>32</v>
      </c>
      <c r="P3015" s="14" t="str">
        <f>IF(
    OR(ISBLANK(moras[[#This Row],[TIPO_ASEGURAMIENTO]]), moras[[#This Row],[TIPO_ASEGURAMIENTO]]=""),
    EDA!$A$32,
    moras[[#This Row],[TIPO_ASEGURAMIENTO]]
)</f>
        <v>ASALARIADO</v>
      </c>
    </row>
    <row r="3016" spans="1:16" x14ac:dyDescent="0.3">
      <c r="A3016">
        <v>3015</v>
      </c>
      <c r="B3016" t="s">
        <v>9</v>
      </c>
      <c r="C3016">
        <v>239959407</v>
      </c>
      <c r="D3016" t="s">
        <v>10</v>
      </c>
      <c r="E3016" t="s">
        <v>16</v>
      </c>
      <c r="F3016" t="s">
        <v>12</v>
      </c>
      <c r="G3016" t="s">
        <v>13</v>
      </c>
      <c r="H3016" t="s">
        <v>13</v>
      </c>
      <c r="I3016">
        <v>44</v>
      </c>
      <c r="J3016">
        <f>ABS((I3016-EDA!$A$15)/EDA!$B$15)</f>
        <v>0.14259097301299228</v>
      </c>
      <c r="K3016" t="str">
        <f t="shared" si="47"/>
        <v>No</v>
      </c>
      <c r="L3016">
        <f>ABS((C3016-EDA!$F$15)/EDA!$G$15)</f>
        <v>3.6174399505444104</v>
      </c>
      <c r="M3016" t="str">
        <f>IF(moras[[#This Row],[Z-Score Salario]]&gt;1.96, "Sí", "No")</f>
        <v>Sí</v>
      </c>
      <c r="N3016" s="14">
        <f>IF(ISBLANK(moras[[#This Row],[SALARIO]]), EDA!$M$8, moras[[#This Row],[SALARIO]])</f>
        <v>239959407</v>
      </c>
      <c r="O3016" s="14">
        <f xml:space="preserve"> IF(ISBLANK(moras[[#This Row],[EDAD]]), EDA!$E$8, moras[[#This Row],[EDAD]])</f>
        <v>44</v>
      </c>
      <c r="P3016" s="14" t="str">
        <f>IF(
    OR(ISBLANK(moras[[#This Row],[TIPO_ASEGURAMIENTO]]), moras[[#This Row],[TIPO_ASEGURAMIENTO]]=""),
    EDA!$A$32,
    moras[[#This Row],[TIPO_ASEGURAMIENTO]]
)</f>
        <v>ASALARIADO</v>
      </c>
    </row>
    <row r="3017" spans="1:16" x14ac:dyDescent="0.3">
      <c r="A3017">
        <v>3016</v>
      </c>
      <c r="B3017" t="s">
        <v>15</v>
      </c>
      <c r="C3017">
        <v>610142</v>
      </c>
      <c r="D3017" t="s">
        <v>18</v>
      </c>
      <c r="E3017" t="s">
        <v>16</v>
      </c>
      <c r="F3017" t="s">
        <v>12</v>
      </c>
      <c r="G3017" t="s">
        <v>13</v>
      </c>
      <c r="H3017" t="s">
        <v>13</v>
      </c>
      <c r="I3017">
        <v>46</v>
      </c>
      <c r="J3017">
        <f>ABS((I3017-EDA!$A$15)/EDA!$B$15)</f>
        <v>0.2837416331672673</v>
      </c>
      <c r="K3017" t="str">
        <f t="shared" si="47"/>
        <v>No</v>
      </c>
      <c r="L3017">
        <f>ABS((C3017-EDA!$F$15)/EDA!$G$15)</f>
        <v>0.36550077862113828</v>
      </c>
      <c r="M3017" t="str">
        <f>IF(moras[[#This Row],[Z-Score Salario]]&gt;1.96, "Sí", "No")</f>
        <v>No</v>
      </c>
      <c r="N3017" s="14">
        <f>IF(ISBLANK(moras[[#This Row],[SALARIO]]), EDA!$M$8, moras[[#This Row],[SALARIO]])</f>
        <v>610142</v>
      </c>
      <c r="O3017" s="14">
        <f xml:space="preserve"> IF(ISBLANK(moras[[#This Row],[EDAD]]), EDA!$E$8, moras[[#This Row],[EDAD]])</f>
        <v>46</v>
      </c>
      <c r="P3017" s="14" t="str">
        <f>IF(
    OR(ISBLANK(moras[[#This Row],[TIPO_ASEGURAMIENTO]]), moras[[#This Row],[TIPO_ASEGURAMIENTO]]=""),
    EDA!$A$32,
    moras[[#This Row],[TIPO_ASEGURAMIENTO]]
)</f>
        <v>TRABAJADOR INDEPENDIENTE</v>
      </c>
    </row>
    <row r="3018" spans="1:16" x14ac:dyDescent="0.3">
      <c r="A3018">
        <v>3017</v>
      </c>
      <c r="B3018" t="s">
        <v>9</v>
      </c>
      <c r="C3018">
        <v>146562744</v>
      </c>
      <c r="D3018" t="s">
        <v>14</v>
      </c>
      <c r="E3018" t="s">
        <v>11</v>
      </c>
      <c r="F3018" t="s">
        <v>12</v>
      </c>
      <c r="G3018" t="s">
        <v>13</v>
      </c>
      <c r="H3018" t="s">
        <v>13</v>
      </c>
      <c r="I3018">
        <v>61</v>
      </c>
      <c r="J3018">
        <f>ABS((I3018-EDA!$A$15)/EDA!$B$15)</f>
        <v>1.3423715843243298</v>
      </c>
      <c r="K3018" t="str">
        <f t="shared" si="47"/>
        <v>No</v>
      </c>
      <c r="L3018">
        <f>ABS((C3018-EDA!$F$15)/EDA!$G$15)</f>
        <v>2.063253548380823</v>
      </c>
      <c r="M3018" t="str">
        <f>IF(moras[[#This Row],[Z-Score Salario]]&gt;1.96, "Sí", "No")</f>
        <v>Sí</v>
      </c>
      <c r="N3018" s="14">
        <f>IF(ISBLANK(moras[[#This Row],[SALARIO]]), EDA!$M$8, moras[[#This Row],[SALARIO]])</f>
        <v>146562744</v>
      </c>
      <c r="O3018" s="14">
        <f xml:space="preserve"> IF(ISBLANK(moras[[#This Row],[EDAD]]), EDA!$E$8, moras[[#This Row],[EDAD]])</f>
        <v>61</v>
      </c>
      <c r="P3018" s="14" t="str">
        <f>IF(
    OR(ISBLANK(moras[[#This Row],[TIPO_ASEGURAMIENTO]]), moras[[#This Row],[TIPO_ASEGURAMIENTO]]=""),
    EDA!$A$32,
    moras[[#This Row],[TIPO_ASEGURAMIENTO]]
)</f>
        <v>PENSIONADOS EN SU PROPIO SISTEMA</v>
      </c>
    </row>
    <row r="3019" spans="1:16" x14ac:dyDescent="0.3">
      <c r="A3019">
        <v>3018</v>
      </c>
      <c r="B3019" t="s">
        <v>9</v>
      </c>
      <c r="C3019">
        <v>298500</v>
      </c>
      <c r="D3019" t="s">
        <v>17</v>
      </c>
      <c r="E3019" t="s">
        <v>16</v>
      </c>
      <c r="F3019" t="s">
        <v>12</v>
      </c>
      <c r="G3019" t="s">
        <v>12</v>
      </c>
      <c r="H3019" t="s">
        <v>13</v>
      </c>
      <c r="I3019">
        <v>27</v>
      </c>
      <c r="J3019">
        <f>ABS((I3019-EDA!$A$15)/EDA!$B$15)</f>
        <v>1.0571896382983452</v>
      </c>
      <c r="K3019" t="str">
        <f t="shared" si="47"/>
        <v>No</v>
      </c>
      <c r="L3019">
        <f>ABS((C3019-EDA!$F$15)/EDA!$G$15)</f>
        <v>0.37068672149302723</v>
      </c>
      <c r="M3019" t="str">
        <f>IF(moras[[#This Row],[Z-Score Salario]]&gt;1.96, "Sí", "No")</f>
        <v>No</v>
      </c>
      <c r="N3019" s="14">
        <f>IF(ISBLANK(moras[[#This Row],[SALARIO]]), EDA!$M$8, moras[[#This Row],[SALARIO]])</f>
        <v>298500</v>
      </c>
      <c r="O3019" s="14">
        <f xml:space="preserve"> IF(ISBLANK(moras[[#This Row],[EDAD]]), EDA!$E$8, moras[[#This Row],[EDAD]])</f>
        <v>27</v>
      </c>
      <c r="P3019" s="14" t="str">
        <f>IF(
    OR(ISBLANK(moras[[#This Row],[TIPO_ASEGURAMIENTO]]), moras[[#This Row],[TIPO_ASEGURAMIENTO]]=""),
    EDA!$A$32,
    moras[[#This Row],[TIPO_ASEGURAMIENTO]]
)</f>
        <v>ASEGURADO VOLUNTARIO</v>
      </c>
    </row>
    <row r="3020" spans="1:16" x14ac:dyDescent="0.3">
      <c r="A3020">
        <v>3019</v>
      </c>
      <c r="B3020" t="s">
        <v>9</v>
      </c>
      <c r="C3020">
        <v>278030</v>
      </c>
      <c r="D3020" t="s">
        <v>19</v>
      </c>
      <c r="E3020" t="s">
        <v>16</v>
      </c>
      <c r="F3020" t="s">
        <v>12</v>
      </c>
      <c r="G3020" t="s">
        <v>13</v>
      </c>
      <c r="H3020" t="s">
        <v>13</v>
      </c>
      <c r="I3020">
        <v>50</v>
      </c>
      <c r="J3020">
        <f>ABS((I3020-EDA!$A$15)/EDA!$B$15)</f>
        <v>0.56604295347581735</v>
      </c>
      <c r="K3020" t="str">
        <f t="shared" si="47"/>
        <v>No</v>
      </c>
      <c r="L3020">
        <f>ABS((C3020-EDA!$F$15)/EDA!$G$15)</f>
        <v>0.37102735674304993</v>
      </c>
      <c r="M3020" t="str">
        <f>IF(moras[[#This Row],[Z-Score Salario]]&gt;1.96, "Sí", "No")</f>
        <v>No</v>
      </c>
      <c r="N3020" s="14">
        <f>IF(ISBLANK(moras[[#This Row],[SALARIO]]), EDA!$M$8, moras[[#This Row],[SALARIO]])</f>
        <v>278030</v>
      </c>
      <c r="O3020" s="14">
        <f xml:space="preserve"> IF(ISBLANK(moras[[#This Row],[EDAD]]), EDA!$E$8, moras[[#This Row],[EDAD]])</f>
        <v>50</v>
      </c>
      <c r="P3020" s="14" t="str">
        <f>IF(
    OR(ISBLANK(moras[[#This Row],[TIPO_ASEGURAMIENTO]]), moras[[#This Row],[TIPO_ASEGURAMIENTO]]=""),
    EDA!$A$32,
    moras[[#This Row],[TIPO_ASEGURAMIENTO]]
)</f>
        <v>CONVENIOS ESPECIALES DE TRABAJADORES INDEPENDIENTES</v>
      </c>
    </row>
    <row r="3021" spans="1:16" x14ac:dyDescent="0.3">
      <c r="A3021">
        <v>3020</v>
      </c>
      <c r="B3021" t="s">
        <v>15</v>
      </c>
      <c r="C3021">
        <v>192192832</v>
      </c>
      <c r="D3021" t="s">
        <v>10</v>
      </c>
      <c r="E3021" t="s">
        <v>11</v>
      </c>
      <c r="F3021" t="s">
        <v>12</v>
      </c>
      <c r="G3021" t="s">
        <v>13</v>
      </c>
      <c r="H3021" t="s">
        <v>13</v>
      </c>
      <c r="I3021">
        <v>51</v>
      </c>
      <c r="J3021">
        <f>ABS((I3021-EDA!$A$15)/EDA!$B$15)</f>
        <v>0.6366182835529548</v>
      </c>
      <c r="K3021" t="str">
        <f t="shared" si="47"/>
        <v>No</v>
      </c>
      <c r="L3021">
        <f>ABS((C3021-EDA!$F$15)/EDA!$G$15)</f>
        <v>2.8225704235365008</v>
      </c>
      <c r="M3021" t="str">
        <f>IF(moras[[#This Row],[Z-Score Salario]]&gt;1.96, "Sí", "No")</f>
        <v>Sí</v>
      </c>
      <c r="N3021" s="14">
        <f>IF(ISBLANK(moras[[#This Row],[SALARIO]]), EDA!$M$8, moras[[#This Row],[SALARIO]])</f>
        <v>192192832</v>
      </c>
      <c r="O3021" s="14">
        <f xml:space="preserve"> IF(ISBLANK(moras[[#This Row],[EDAD]]), EDA!$E$8, moras[[#This Row],[EDAD]])</f>
        <v>51</v>
      </c>
      <c r="P3021" s="14" t="str">
        <f>IF(
    OR(ISBLANK(moras[[#This Row],[TIPO_ASEGURAMIENTO]]), moras[[#This Row],[TIPO_ASEGURAMIENTO]]=""),
    EDA!$A$32,
    moras[[#This Row],[TIPO_ASEGURAMIENTO]]
)</f>
        <v>ASALARIADO</v>
      </c>
    </row>
    <row r="3022" spans="1:16" x14ac:dyDescent="0.3">
      <c r="A3022">
        <v>3021</v>
      </c>
      <c r="B3022" t="s">
        <v>9</v>
      </c>
      <c r="C3022">
        <v>639148</v>
      </c>
      <c r="D3022" t="s">
        <v>17</v>
      </c>
      <c r="E3022" t="s">
        <v>16</v>
      </c>
      <c r="F3022" t="s">
        <v>12</v>
      </c>
      <c r="G3022" t="s">
        <v>12</v>
      </c>
      <c r="H3022" t="s">
        <v>13</v>
      </c>
      <c r="I3022">
        <v>79</v>
      </c>
      <c r="J3022">
        <f>ABS((I3022-EDA!$A$15)/EDA!$B$15)</f>
        <v>2.6127275257128049</v>
      </c>
      <c r="K3022" t="str">
        <f t="shared" si="47"/>
        <v>Sí</v>
      </c>
      <c r="L3022">
        <f>ABS((C3022-EDA!$F$15)/EDA!$G$15)</f>
        <v>0.36501809830544912</v>
      </c>
      <c r="M3022" t="str">
        <f>IF(moras[[#This Row],[Z-Score Salario]]&gt;1.96, "Sí", "No")</f>
        <v>No</v>
      </c>
      <c r="N3022" s="14">
        <f>IF(ISBLANK(moras[[#This Row],[SALARIO]]), EDA!$M$8, moras[[#This Row],[SALARIO]])</f>
        <v>639148</v>
      </c>
      <c r="O3022" s="14">
        <f xml:space="preserve"> IF(ISBLANK(moras[[#This Row],[EDAD]]), EDA!$E$8, moras[[#This Row],[EDAD]])</f>
        <v>79</v>
      </c>
      <c r="P3022" s="14" t="str">
        <f>IF(
    OR(ISBLANK(moras[[#This Row],[TIPO_ASEGURAMIENTO]]), moras[[#This Row],[TIPO_ASEGURAMIENTO]]=""),
    EDA!$A$32,
    moras[[#This Row],[TIPO_ASEGURAMIENTO]]
)</f>
        <v>ASEGURADO VOLUNTARIO</v>
      </c>
    </row>
    <row r="3023" spans="1:16" x14ac:dyDescent="0.3">
      <c r="A3023">
        <v>3022</v>
      </c>
      <c r="B3023" t="s">
        <v>15</v>
      </c>
      <c r="C3023">
        <v>322866</v>
      </c>
      <c r="D3023" t="s">
        <v>10</v>
      </c>
      <c r="E3023" t="s">
        <v>16</v>
      </c>
      <c r="F3023" t="s">
        <v>12</v>
      </c>
      <c r="G3023" t="s">
        <v>13</v>
      </c>
      <c r="H3023" t="s">
        <v>13</v>
      </c>
      <c r="I3023">
        <v>19</v>
      </c>
      <c r="J3023">
        <f>ABS((I3023-EDA!$A$15)/EDA!$B$15)</f>
        <v>1.6217922789154453</v>
      </c>
      <c r="K3023" t="str">
        <f t="shared" si="47"/>
        <v>No</v>
      </c>
      <c r="L3023">
        <f>ABS((C3023-EDA!$F$15)/EDA!$G$15)</f>
        <v>0.37028125405277063</v>
      </c>
      <c r="M3023" t="str">
        <f>IF(moras[[#This Row],[Z-Score Salario]]&gt;1.96, "Sí", "No")</f>
        <v>No</v>
      </c>
      <c r="N3023" s="14">
        <f>IF(ISBLANK(moras[[#This Row],[SALARIO]]), EDA!$M$8, moras[[#This Row],[SALARIO]])</f>
        <v>322866</v>
      </c>
      <c r="O3023" s="14">
        <f xml:space="preserve"> IF(ISBLANK(moras[[#This Row],[EDAD]]), EDA!$E$8, moras[[#This Row],[EDAD]])</f>
        <v>19</v>
      </c>
      <c r="P3023" s="14" t="str">
        <f>IF(
    OR(ISBLANK(moras[[#This Row],[TIPO_ASEGURAMIENTO]]), moras[[#This Row],[TIPO_ASEGURAMIENTO]]=""),
    EDA!$A$32,
    moras[[#This Row],[TIPO_ASEGURAMIENTO]]
)</f>
        <v>ASALARIADO</v>
      </c>
    </row>
    <row r="3024" spans="1:16" x14ac:dyDescent="0.3">
      <c r="A3024">
        <v>3023</v>
      </c>
      <c r="B3024" t="s">
        <v>9</v>
      </c>
      <c r="C3024">
        <v>40500233</v>
      </c>
      <c r="D3024" t="s">
        <v>10</v>
      </c>
      <c r="E3024" t="s">
        <v>11</v>
      </c>
      <c r="F3024" t="s">
        <v>12</v>
      </c>
      <c r="G3024" t="s">
        <v>13</v>
      </c>
      <c r="H3024" t="s">
        <v>13</v>
      </c>
      <c r="I3024">
        <v>47</v>
      </c>
      <c r="J3024">
        <f>ABS((I3024-EDA!$A$15)/EDA!$B$15)</f>
        <v>0.35431696324440481</v>
      </c>
      <c r="K3024" t="str">
        <f t="shared" si="47"/>
        <v>No</v>
      </c>
      <c r="L3024">
        <f>ABS((C3024-EDA!$F$15)/EDA!$G$15)</f>
        <v>0.29829849452064511</v>
      </c>
      <c r="M3024" t="str">
        <f>IF(moras[[#This Row],[Z-Score Salario]]&gt;1.96, "Sí", "No")</f>
        <v>No</v>
      </c>
      <c r="N3024" s="14">
        <f>IF(ISBLANK(moras[[#This Row],[SALARIO]]), EDA!$M$8, moras[[#This Row],[SALARIO]])</f>
        <v>40500233</v>
      </c>
      <c r="O3024" s="14">
        <f xml:space="preserve"> IF(ISBLANK(moras[[#This Row],[EDAD]]), EDA!$E$8, moras[[#This Row],[EDAD]])</f>
        <v>47</v>
      </c>
      <c r="P3024" s="14" t="str">
        <f>IF(
    OR(ISBLANK(moras[[#This Row],[TIPO_ASEGURAMIENTO]]), moras[[#This Row],[TIPO_ASEGURAMIENTO]]=""),
    EDA!$A$32,
    moras[[#This Row],[TIPO_ASEGURAMIENTO]]
)</f>
        <v>ASALARIADO</v>
      </c>
    </row>
    <row r="3025" spans="1:16" x14ac:dyDescent="0.3">
      <c r="A3025">
        <v>3024</v>
      </c>
      <c r="B3025" t="s">
        <v>9</v>
      </c>
      <c r="C3025">
        <v>297046</v>
      </c>
      <c r="D3025" t="s">
        <v>17</v>
      </c>
      <c r="E3025" t="s">
        <v>16</v>
      </c>
      <c r="F3025" t="s">
        <v>12</v>
      </c>
      <c r="G3025" t="s">
        <v>13</v>
      </c>
      <c r="H3025" t="s">
        <v>13</v>
      </c>
      <c r="I3025">
        <v>64</v>
      </c>
      <c r="J3025">
        <f>ABS((I3025-EDA!$A$15)/EDA!$B$15)</f>
        <v>1.5540975745557424</v>
      </c>
      <c r="K3025" t="str">
        <f t="shared" si="47"/>
        <v>No</v>
      </c>
      <c r="L3025">
        <f>ABS((C3025-EDA!$F$15)/EDA!$G$15)</f>
        <v>0.37071091707942361</v>
      </c>
      <c r="M3025" t="str">
        <f>IF(moras[[#This Row],[Z-Score Salario]]&gt;1.96, "Sí", "No")</f>
        <v>No</v>
      </c>
      <c r="N3025" s="14">
        <f>IF(ISBLANK(moras[[#This Row],[SALARIO]]), EDA!$M$8, moras[[#This Row],[SALARIO]])</f>
        <v>297046</v>
      </c>
      <c r="O3025" s="14">
        <f xml:space="preserve"> IF(ISBLANK(moras[[#This Row],[EDAD]]), EDA!$E$8, moras[[#This Row],[EDAD]])</f>
        <v>64</v>
      </c>
      <c r="P3025" s="14" t="str">
        <f>IF(
    OR(ISBLANK(moras[[#This Row],[TIPO_ASEGURAMIENTO]]), moras[[#This Row],[TIPO_ASEGURAMIENTO]]=""),
    EDA!$A$32,
    moras[[#This Row],[TIPO_ASEGURAMIENTO]]
)</f>
        <v>ASEGURADO VOLUNTARIO</v>
      </c>
    </row>
    <row r="3026" spans="1:16" x14ac:dyDescent="0.3">
      <c r="A3026">
        <v>3025</v>
      </c>
      <c r="B3026" t="s">
        <v>15</v>
      </c>
      <c r="C3026">
        <v>6513332</v>
      </c>
      <c r="D3026" t="s">
        <v>10</v>
      </c>
      <c r="E3026" t="s">
        <v>11</v>
      </c>
      <c r="F3026" t="s">
        <v>12</v>
      </c>
      <c r="G3026" t="s">
        <v>13</v>
      </c>
      <c r="H3026" t="s">
        <v>13</v>
      </c>
      <c r="I3026">
        <v>36</v>
      </c>
      <c r="J3026">
        <f>ABS((I3026-EDA!$A$15)/EDA!$B$15)</f>
        <v>0.42201166760410774</v>
      </c>
      <c r="K3026" t="str">
        <f t="shared" si="47"/>
        <v>No</v>
      </c>
      <c r="L3026">
        <f>ABS((C3026-EDA!$F$15)/EDA!$G$15)</f>
        <v>0.26726752988731506</v>
      </c>
      <c r="M3026" t="str">
        <f>IF(moras[[#This Row],[Z-Score Salario]]&gt;1.96, "Sí", "No")</f>
        <v>No</v>
      </c>
      <c r="N3026" s="14">
        <f>IF(ISBLANK(moras[[#This Row],[SALARIO]]), EDA!$M$8, moras[[#This Row],[SALARIO]])</f>
        <v>6513332</v>
      </c>
      <c r="O3026" s="14">
        <f xml:space="preserve"> IF(ISBLANK(moras[[#This Row],[EDAD]]), EDA!$E$8, moras[[#This Row],[EDAD]])</f>
        <v>36</v>
      </c>
      <c r="P3026" s="14" t="str">
        <f>IF(
    OR(ISBLANK(moras[[#This Row],[TIPO_ASEGURAMIENTO]]), moras[[#This Row],[TIPO_ASEGURAMIENTO]]=""),
    EDA!$A$32,
    moras[[#This Row],[TIPO_ASEGURAMIENTO]]
)</f>
        <v>ASALARIADO</v>
      </c>
    </row>
    <row r="3027" spans="1:16" x14ac:dyDescent="0.3">
      <c r="A3027">
        <v>3026</v>
      </c>
      <c r="B3027" t="s">
        <v>9</v>
      </c>
      <c r="C3027">
        <v>577384</v>
      </c>
      <c r="D3027" t="s">
        <v>10</v>
      </c>
      <c r="E3027" t="s">
        <v>16</v>
      </c>
      <c r="F3027" t="s">
        <v>12</v>
      </c>
      <c r="G3027" t="s">
        <v>13</v>
      </c>
      <c r="H3027" t="s">
        <v>13</v>
      </c>
      <c r="I3027">
        <v>41</v>
      </c>
      <c r="J3027">
        <f>ABS((I3027-EDA!$A$15)/EDA!$B$15)</f>
        <v>6.9135017218420233E-2</v>
      </c>
      <c r="K3027" t="str">
        <f t="shared" si="47"/>
        <v>No</v>
      </c>
      <c r="L3027">
        <f>ABS((C3027-EDA!$F$15)/EDA!$G$15)</f>
        <v>0.36604589486541006</v>
      </c>
      <c r="M3027" t="str">
        <f>IF(moras[[#This Row],[Z-Score Salario]]&gt;1.96, "Sí", "No")</f>
        <v>No</v>
      </c>
      <c r="N3027" s="14">
        <f>IF(ISBLANK(moras[[#This Row],[SALARIO]]), EDA!$M$8, moras[[#This Row],[SALARIO]])</f>
        <v>577384</v>
      </c>
      <c r="O3027" s="14">
        <f xml:space="preserve"> IF(ISBLANK(moras[[#This Row],[EDAD]]), EDA!$E$8, moras[[#This Row],[EDAD]])</f>
        <v>41</v>
      </c>
      <c r="P3027" s="14" t="str">
        <f>IF(
    OR(ISBLANK(moras[[#This Row],[TIPO_ASEGURAMIENTO]]), moras[[#This Row],[TIPO_ASEGURAMIENTO]]=""),
    EDA!$A$32,
    moras[[#This Row],[TIPO_ASEGURAMIENTO]]
)</f>
        <v>ASALARIADO</v>
      </c>
    </row>
    <row r="3028" spans="1:16" x14ac:dyDescent="0.3">
      <c r="A3028">
        <v>3027</v>
      </c>
      <c r="B3028" t="s">
        <v>15</v>
      </c>
      <c r="C3028">
        <v>12070044</v>
      </c>
      <c r="D3028" t="s">
        <v>10</v>
      </c>
      <c r="E3028" t="s">
        <v>11</v>
      </c>
      <c r="F3028" t="s">
        <v>12</v>
      </c>
      <c r="G3028" t="s">
        <v>13</v>
      </c>
      <c r="H3028" t="s">
        <v>13</v>
      </c>
      <c r="I3028">
        <v>45</v>
      </c>
      <c r="J3028">
        <f>ABS((I3028-EDA!$A$15)/EDA!$B$15)</f>
        <v>0.21316630309012977</v>
      </c>
      <c r="K3028" t="str">
        <f t="shared" si="47"/>
        <v>No</v>
      </c>
      <c r="L3028">
        <f>ABS((C3028-EDA!$F$15)/EDA!$G$15)</f>
        <v>0.17479991965653804</v>
      </c>
      <c r="M3028" t="str">
        <f>IF(moras[[#This Row],[Z-Score Salario]]&gt;1.96, "Sí", "No")</f>
        <v>No</v>
      </c>
      <c r="N3028" s="14">
        <f>IF(ISBLANK(moras[[#This Row],[SALARIO]]), EDA!$M$8, moras[[#This Row],[SALARIO]])</f>
        <v>12070044</v>
      </c>
      <c r="O3028" s="14">
        <f xml:space="preserve"> IF(ISBLANK(moras[[#This Row],[EDAD]]), EDA!$E$8, moras[[#This Row],[EDAD]])</f>
        <v>45</v>
      </c>
      <c r="P3028" s="14" t="str">
        <f>IF(
    OR(ISBLANK(moras[[#This Row],[TIPO_ASEGURAMIENTO]]), moras[[#This Row],[TIPO_ASEGURAMIENTO]]=""),
    EDA!$A$32,
    moras[[#This Row],[TIPO_ASEGURAMIENTO]]
)</f>
        <v>ASALARIADO</v>
      </c>
    </row>
    <row r="3029" spans="1:16" x14ac:dyDescent="0.3">
      <c r="A3029">
        <v>3028</v>
      </c>
      <c r="B3029" t="s">
        <v>9</v>
      </c>
      <c r="C3029">
        <v>355880</v>
      </c>
      <c r="D3029" t="s">
        <v>10</v>
      </c>
      <c r="E3029" t="s">
        <v>16</v>
      </c>
      <c r="F3029" t="s">
        <v>12</v>
      </c>
      <c r="G3029" t="s">
        <v>13</v>
      </c>
      <c r="H3029" t="s">
        <v>13</v>
      </c>
      <c r="I3029">
        <v>41</v>
      </c>
      <c r="J3029">
        <f>ABS((I3029-EDA!$A$15)/EDA!$B$15)</f>
        <v>6.9135017218420233E-2</v>
      </c>
      <c r="K3029" t="str">
        <f t="shared" si="47"/>
        <v>No</v>
      </c>
      <c r="L3029">
        <f>ABS((C3029-EDA!$F$15)/EDA!$G$15)</f>
        <v>0.36973187778778538</v>
      </c>
      <c r="M3029" t="str">
        <f>IF(moras[[#This Row],[Z-Score Salario]]&gt;1.96, "Sí", "No")</f>
        <v>No</v>
      </c>
      <c r="N3029" s="14">
        <f>IF(ISBLANK(moras[[#This Row],[SALARIO]]), EDA!$M$8, moras[[#This Row],[SALARIO]])</f>
        <v>355880</v>
      </c>
      <c r="O3029" s="14">
        <f xml:space="preserve"> IF(ISBLANK(moras[[#This Row],[EDAD]]), EDA!$E$8, moras[[#This Row],[EDAD]])</f>
        <v>41</v>
      </c>
      <c r="P3029" s="14" t="str">
        <f>IF(
    OR(ISBLANK(moras[[#This Row],[TIPO_ASEGURAMIENTO]]), moras[[#This Row],[TIPO_ASEGURAMIENTO]]=""),
    EDA!$A$32,
    moras[[#This Row],[TIPO_ASEGURAMIENTO]]
)</f>
        <v>ASALARIADO</v>
      </c>
    </row>
    <row r="3030" spans="1:16" x14ac:dyDescent="0.3">
      <c r="A3030">
        <v>3029</v>
      </c>
      <c r="B3030" t="s">
        <v>15</v>
      </c>
      <c r="C3030">
        <v>278030</v>
      </c>
      <c r="D3030" t="s">
        <v>19</v>
      </c>
      <c r="E3030" t="s">
        <v>16</v>
      </c>
      <c r="F3030" t="s">
        <v>12</v>
      </c>
      <c r="G3030" t="s">
        <v>13</v>
      </c>
      <c r="H3030" t="s">
        <v>13</v>
      </c>
      <c r="I3030">
        <v>40</v>
      </c>
      <c r="J3030">
        <f>ABS((I3030-EDA!$A$15)/EDA!$B$15)</f>
        <v>0.13971034729555773</v>
      </c>
      <c r="K3030" t="str">
        <f t="shared" si="47"/>
        <v>No</v>
      </c>
      <c r="L3030">
        <f>ABS((C3030-EDA!$F$15)/EDA!$G$15)</f>
        <v>0.37102735674304993</v>
      </c>
      <c r="M3030" t="str">
        <f>IF(moras[[#This Row],[Z-Score Salario]]&gt;1.96, "Sí", "No")</f>
        <v>No</v>
      </c>
      <c r="N3030" s="14">
        <f>IF(ISBLANK(moras[[#This Row],[SALARIO]]), EDA!$M$8, moras[[#This Row],[SALARIO]])</f>
        <v>278030</v>
      </c>
      <c r="O3030" s="14">
        <f xml:space="preserve"> IF(ISBLANK(moras[[#This Row],[EDAD]]), EDA!$E$8, moras[[#This Row],[EDAD]])</f>
        <v>40</v>
      </c>
      <c r="P3030" s="14" t="str">
        <f>IF(
    OR(ISBLANK(moras[[#This Row],[TIPO_ASEGURAMIENTO]]), moras[[#This Row],[TIPO_ASEGURAMIENTO]]=""),
    EDA!$A$32,
    moras[[#This Row],[TIPO_ASEGURAMIENTO]]
)</f>
        <v>CONVENIOS ESPECIALES DE TRABAJADORES INDEPENDIENTES</v>
      </c>
    </row>
    <row r="3031" spans="1:16" x14ac:dyDescent="0.3">
      <c r="A3031">
        <v>3030</v>
      </c>
      <c r="B3031" t="s">
        <v>9</v>
      </c>
      <c r="C3031">
        <v>1566315</v>
      </c>
      <c r="D3031" t="s">
        <v>14</v>
      </c>
      <c r="E3031" t="s">
        <v>11</v>
      </c>
      <c r="F3031" t="s">
        <v>12</v>
      </c>
      <c r="G3031" t="s">
        <v>13</v>
      </c>
      <c r="H3031" t="s">
        <v>13</v>
      </c>
      <c r="I3031">
        <v>91</v>
      </c>
      <c r="J3031">
        <f>ABS((I3031-EDA!$A$15)/EDA!$B$15)</f>
        <v>3.4596314866384548</v>
      </c>
      <c r="K3031" t="str">
        <f t="shared" si="47"/>
        <v>Sí</v>
      </c>
      <c r="L3031">
        <f>ABS((C3031-EDA!$F$15)/EDA!$G$15)</f>
        <v>0.34958938492695496</v>
      </c>
      <c r="M3031" t="str">
        <f>IF(moras[[#This Row],[Z-Score Salario]]&gt;1.96, "Sí", "No")</f>
        <v>No</v>
      </c>
      <c r="N3031" s="14">
        <f>IF(ISBLANK(moras[[#This Row],[SALARIO]]), EDA!$M$8, moras[[#This Row],[SALARIO]])</f>
        <v>1566315</v>
      </c>
      <c r="O3031" s="14">
        <f xml:space="preserve"> IF(ISBLANK(moras[[#This Row],[EDAD]]), EDA!$E$8, moras[[#This Row],[EDAD]])</f>
        <v>91</v>
      </c>
      <c r="P3031" s="14" t="str">
        <f>IF(
    OR(ISBLANK(moras[[#This Row],[TIPO_ASEGURAMIENTO]]), moras[[#This Row],[TIPO_ASEGURAMIENTO]]=""),
    EDA!$A$32,
    moras[[#This Row],[TIPO_ASEGURAMIENTO]]
)</f>
        <v>PENSIONADOS EN SU PROPIO SISTEMA</v>
      </c>
    </row>
    <row r="3032" spans="1:16" x14ac:dyDescent="0.3">
      <c r="A3032">
        <v>3031</v>
      </c>
      <c r="B3032" t="s">
        <v>9</v>
      </c>
      <c r="C3032">
        <v>341207</v>
      </c>
      <c r="D3032" t="s">
        <v>10</v>
      </c>
      <c r="E3032" t="s">
        <v>16</v>
      </c>
      <c r="F3032" t="s">
        <v>12</v>
      </c>
      <c r="G3032" t="s">
        <v>13</v>
      </c>
      <c r="H3032" t="s">
        <v>12</v>
      </c>
      <c r="I3032">
        <v>38</v>
      </c>
      <c r="J3032">
        <f>ABS((I3032-EDA!$A$15)/EDA!$B$15)</f>
        <v>0.28086100744983278</v>
      </c>
      <c r="K3032" t="str">
        <f t="shared" si="47"/>
        <v>No</v>
      </c>
      <c r="L3032">
        <f>ABS((C3032-EDA!$F$15)/EDA!$G$15)</f>
        <v>0.36997604686563507</v>
      </c>
      <c r="M3032" t="str">
        <f>IF(moras[[#This Row],[Z-Score Salario]]&gt;1.96, "Sí", "No")</f>
        <v>No</v>
      </c>
      <c r="N3032" s="14">
        <f>IF(ISBLANK(moras[[#This Row],[SALARIO]]), EDA!$M$8, moras[[#This Row],[SALARIO]])</f>
        <v>341207</v>
      </c>
      <c r="O3032" s="14">
        <f xml:space="preserve"> IF(ISBLANK(moras[[#This Row],[EDAD]]), EDA!$E$8, moras[[#This Row],[EDAD]])</f>
        <v>38</v>
      </c>
      <c r="P3032" s="14" t="str">
        <f>IF(
    OR(ISBLANK(moras[[#This Row],[TIPO_ASEGURAMIENTO]]), moras[[#This Row],[TIPO_ASEGURAMIENTO]]=""),
    EDA!$A$32,
    moras[[#This Row],[TIPO_ASEGURAMIENTO]]
)</f>
        <v>ASALARIADO</v>
      </c>
    </row>
    <row r="3033" spans="1:16" x14ac:dyDescent="0.3">
      <c r="A3033">
        <v>3032</v>
      </c>
      <c r="B3033" t="s">
        <v>15</v>
      </c>
      <c r="C3033">
        <v>151741752</v>
      </c>
      <c r="D3033" t="s">
        <v>10</v>
      </c>
      <c r="E3033" t="s">
        <v>11</v>
      </c>
      <c r="F3033" t="s">
        <v>12</v>
      </c>
      <c r="G3033" t="s">
        <v>13</v>
      </c>
      <c r="H3033" t="s">
        <v>13</v>
      </c>
      <c r="I3033">
        <v>42</v>
      </c>
      <c r="J3033">
        <f>ABS((I3033-EDA!$A$15)/EDA!$B$15)</f>
        <v>1.4403128587172659E-3</v>
      </c>
      <c r="K3033" t="str">
        <f t="shared" si="47"/>
        <v>No</v>
      </c>
      <c r="L3033">
        <f>ABS((C3033-EDA!$F$15)/EDA!$G$15)</f>
        <v>2.1494358974257395</v>
      </c>
      <c r="M3033" t="str">
        <f>IF(moras[[#This Row],[Z-Score Salario]]&gt;1.96, "Sí", "No")</f>
        <v>Sí</v>
      </c>
      <c r="N3033" s="14">
        <f>IF(ISBLANK(moras[[#This Row],[SALARIO]]), EDA!$M$8, moras[[#This Row],[SALARIO]])</f>
        <v>151741752</v>
      </c>
      <c r="O3033" s="14">
        <f xml:space="preserve"> IF(ISBLANK(moras[[#This Row],[EDAD]]), EDA!$E$8, moras[[#This Row],[EDAD]])</f>
        <v>42</v>
      </c>
      <c r="P3033" s="14" t="str">
        <f>IF(
    OR(ISBLANK(moras[[#This Row],[TIPO_ASEGURAMIENTO]]), moras[[#This Row],[TIPO_ASEGURAMIENTO]]=""),
    EDA!$A$32,
    moras[[#This Row],[TIPO_ASEGURAMIENTO]]
)</f>
        <v>ASALARIADO</v>
      </c>
    </row>
    <row r="3034" spans="1:16" x14ac:dyDescent="0.3">
      <c r="A3034">
        <v>3033</v>
      </c>
      <c r="B3034" t="s">
        <v>9</v>
      </c>
      <c r="C3034">
        <v>2929452</v>
      </c>
      <c r="D3034" t="s">
        <v>10</v>
      </c>
      <c r="E3034" t="s">
        <v>16</v>
      </c>
      <c r="F3034" t="s">
        <v>12</v>
      </c>
      <c r="G3034" t="s">
        <v>13</v>
      </c>
      <c r="H3034" t="s">
        <v>13</v>
      </c>
      <c r="I3034">
        <v>47</v>
      </c>
      <c r="J3034">
        <f>ABS((I3034-EDA!$A$15)/EDA!$B$15)</f>
        <v>0.35431696324440481</v>
      </c>
      <c r="K3034" t="str">
        <f t="shared" si="47"/>
        <v>No</v>
      </c>
      <c r="L3034">
        <f>ABS((C3034-EDA!$F$15)/EDA!$G$15)</f>
        <v>0.32690582299192028</v>
      </c>
      <c r="M3034" t="str">
        <f>IF(moras[[#This Row],[Z-Score Salario]]&gt;1.96, "Sí", "No")</f>
        <v>No</v>
      </c>
      <c r="N3034" s="14">
        <f>IF(ISBLANK(moras[[#This Row],[SALARIO]]), EDA!$M$8, moras[[#This Row],[SALARIO]])</f>
        <v>2929452</v>
      </c>
      <c r="O3034" s="14">
        <f xml:space="preserve"> IF(ISBLANK(moras[[#This Row],[EDAD]]), EDA!$E$8, moras[[#This Row],[EDAD]])</f>
        <v>47</v>
      </c>
      <c r="P3034" s="14" t="str">
        <f>IF(
    OR(ISBLANK(moras[[#This Row],[TIPO_ASEGURAMIENTO]]), moras[[#This Row],[TIPO_ASEGURAMIENTO]]=""),
    EDA!$A$32,
    moras[[#This Row],[TIPO_ASEGURAMIENTO]]
)</f>
        <v>ASALARIADO</v>
      </c>
    </row>
    <row r="3035" spans="1:16" x14ac:dyDescent="0.3">
      <c r="A3035">
        <v>3034</v>
      </c>
      <c r="B3035" t="s">
        <v>9</v>
      </c>
      <c r="C3035">
        <v>514062</v>
      </c>
      <c r="D3035" t="s">
        <v>18</v>
      </c>
      <c r="E3035" t="s">
        <v>16</v>
      </c>
      <c r="F3035" t="s">
        <v>12</v>
      </c>
      <c r="G3035" t="s">
        <v>13</v>
      </c>
      <c r="H3035" t="s">
        <v>12</v>
      </c>
      <c r="I3035">
        <v>45</v>
      </c>
      <c r="J3035">
        <f>ABS((I3035-EDA!$A$15)/EDA!$B$15)</f>
        <v>0.21316630309012977</v>
      </c>
      <c r="K3035" t="str">
        <f t="shared" si="47"/>
        <v>No</v>
      </c>
      <c r="L3035">
        <f>ABS((C3035-EDA!$F$15)/EDA!$G$15)</f>
        <v>0.36709961764518217</v>
      </c>
      <c r="M3035" t="str">
        <f>IF(moras[[#This Row],[Z-Score Salario]]&gt;1.96, "Sí", "No")</f>
        <v>No</v>
      </c>
      <c r="N3035" s="14">
        <f>IF(ISBLANK(moras[[#This Row],[SALARIO]]), EDA!$M$8, moras[[#This Row],[SALARIO]])</f>
        <v>514062</v>
      </c>
      <c r="O3035" s="14">
        <f xml:space="preserve"> IF(ISBLANK(moras[[#This Row],[EDAD]]), EDA!$E$8, moras[[#This Row],[EDAD]])</f>
        <v>45</v>
      </c>
      <c r="P3035" s="14" t="str">
        <f>IF(
    OR(ISBLANK(moras[[#This Row],[TIPO_ASEGURAMIENTO]]), moras[[#This Row],[TIPO_ASEGURAMIENTO]]=""),
    EDA!$A$32,
    moras[[#This Row],[TIPO_ASEGURAMIENTO]]
)</f>
        <v>TRABAJADOR INDEPENDIENTE</v>
      </c>
    </row>
    <row r="3036" spans="1:16" x14ac:dyDescent="0.3">
      <c r="A3036">
        <v>3035</v>
      </c>
      <c r="B3036" t="s">
        <v>15</v>
      </c>
      <c r="C3036">
        <v>1926574</v>
      </c>
      <c r="D3036" t="s">
        <v>10</v>
      </c>
      <c r="E3036" t="s">
        <v>11</v>
      </c>
      <c r="F3036" t="s">
        <v>12</v>
      </c>
      <c r="G3036" t="s">
        <v>13</v>
      </c>
      <c r="H3036" t="s">
        <v>13</v>
      </c>
      <c r="I3036">
        <v>36</v>
      </c>
      <c r="J3036">
        <f>ABS((I3036-EDA!$A$15)/EDA!$B$15)</f>
        <v>0.42201166760410774</v>
      </c>
      <c r="K3036" t="str">
        <f t="shared" si="47"/>
        <v>No</v>
      </c>
      <c r="L3036">
        <f>ABS((C3036-EDA!$F$15)/EDA!$G$15)</f>
        <v>0.34359442085573272</v>
      </c>
      <c r="M3036" t="str">
        <f>IF(moras[[#This Row],[Z-Score Salario]]&gt;1.96, "Sí", "No")</f>
        <v>No</v>
      </c>
      <c r="N3036" s="14">
        <f>IF(ISBLANK(moras[[#This Row],[SALARIO]]), EDA!$M$8, moras[[#This Row],[SALARIO]])</f>
        <v>1926574</v>
      </c>
      <c r="O3036" s="14">
        <f xml:space="preserve"> IF(ISBLANK(moras[[#This Row],[EDAD]]), EDA!$E$8, moras[[#This Row],[EDAD]])</f>
        <v>36</v>
      </c>
      <c r="P3036" s="14" t="str">
        <f>IF(
    OR(ISBLANK(moras[[#This Row],[TIPO_ASEGURAMIENTO]]), moras[[#This Row],[TIPO_ASEGURAMIENTO]]=""),
    EDA!$A$32,
    moras[[#This Row],[TIPO_ASEGURAMIENTO]]
)</f>
        <v>ASALARIADO</v>
      </c>
    </row>
    <row r="3037" spans="1:16" x14ac:dyDescent="0.3">
      <c r="A3037">
        <v>3036</v>
      </c>
      <c r="B3037" t="s">
        <v>9</v>
      </c>
      <c r="C3037">
        <v>331181</v>
      </c>
      <c r="D3037" t="s">
        <v>17</v>
      </c>
      <c r="E3037" t="s">
        <v>16</v>
      </c>
      <c r="F3037" t="s">
        <v>12</v>
      </c>
      <c r="G3037" t="s">
        <v>13</v>
      </c>
      <c r="H3037" t="s">
        <v>13</v>
      </c>
      <c r="I3037">
        <v>41</v>
      </c>
      <c r="J3037">
        <f>ABS((I3037-EDA!$A$15)/EDA!$B$15)</f>
        <v>6.9135017218420233E-2</v>
      </c>
      <c r="K3037" t="str">
        <f t="shared" si="47"/>
        <v>No</v>
      </c>
      <c r="L3037">
        <f>ABS((C3037-EDA!$F$15)/EDA!$G$15)</f>
        <v>0.37014288658311073</v>
      </c>
      <c r="M3037" t="str">
        <f>IF(moras[[#This Row],[Z-Score Salario]]&gt;1.96, "Sí", "No")</f>
        <v>No</v>
      </c>
      <c r="N3037" s="14">
        <f>IF(ISBLANK(moras[[#This Row],[SALARIO]]), EDA!$M$8, moras[[#This Row],[SALARIO]])</f>
        <v>331181</v>
      </c>
      <c r="O3037" s="14">
        <f xml:space="preserve"> IF(ISBLANK(moras[[#This Row],[EDAD]]), EDA!$E$8, moras[[#This Row],[EDAD]])</f>
        <v>41</v>
      </c>
      <c r="P3037" s="14" t="str">
        <f>IF(
    OR(ISBLANK(moras[[#This Row],[TIPO_ASEGURAMIENTO]]), moras[[#This Row],[TIPO_ASEGURAMIENTO]]=""),
    EDA!$A$32,
    moras[[#This Row],[TIPO_ASEGURAMIENTO]]
)</f>
        <v>ASEGURADO VOLUNTARIO</v>
      </c>
    </row>
    <row r="3038" spans="1:16" x14ac:dyDescent="0.3">
      <c r="A3038">
        <v>3037</v>
      </c>
      <c r="B3038" t="s">
        <v>9</v>
      </c>
      <c r="C3038">
        <v>134620875</v>
      </c>
      <c r="D3038" t="s">
        <v>10</v>
      </c>
      <c r="E3038" t="s">
        <v>16</v>
      </c>
      <c r="F3038" t="s">
        <v>12</v>
      </c>
      <c r="G3038" t="s">
        <v>13</v>
      </c>
      <c r="H3038" t="s">
        <v>13</v>
      </c>
      <c r="I3038">
        <v>38</v>
      </c>
      <c r="J3038">
        <f>ABS((I3038-EDA!$A$15)/EDA!$B$15)</f>
        <v>0.28086100744983278</v>
      </c>
      <c r="K3038" t="str">
        <f t="shared" si="47"/>
        <v>No</v>
      </c>
      <c r="L3038">
        <f>ABS((C3038-EDA!$F$15)/EDA!$G$15)</f>
        <v>1.8645324183098388</v>
      </c>
      <c r="M3038" t="str">
        <f>IF(moras[[#This Row],[Z-Score Salario]]&gt;1.96, "Sí", "No")</f>
        <v>No</v>
      </c>
      <c r="N3038" s="14">
        <f>IF(ISBLANK(moras[[#This Row],[SALARIO]]), EDA!$M$8, moras[[#This Row],[SALARIO]])</f>
        <v>134620875</v>
      </c>
      <c r="O3038" s="14">
        <f xml:space="preserve"> IF(ISBLANK(moras[[#This Row],[EDAD]]), EDA!$E$8, moras[[#This Row],[EDAD]])</f>
        <v>38</v>
      </c>
      <c r="P3038" s="14" t="str">
        <f>IF(
    OR(ISBLANK(moras[[#This Row],[TIPO_ASEGURAMIENTO]]), moras[[#This Row],[TIPO_ASEGURAMIENTO]]=""),
    EDA!$A$32,
    moras[[#This Row],[TIPO_ASEGURAMIENTO]]
)</f>
        <v>ASALARIADO</v>
      </c>
    </row>
    <row r="3039" spans="1:16" x14ac:dyDescent="0.3">
      <c r="A3039">
        <v>3038</v>
      </c>
      <c r="B3039" t="s">
        <v>9</v>
      </c>
      <c r="C3039">
        <v>639143</v>
      </c>
      <c r="D3039" t="s">
        <v>21</v>
      </c>
      <c r="E3039" t="s">
        <v>16</v>
      </c>
      <c r="F3039" t="s">
        <v>12</v>
      </c>
      <c r="G3039" t="s">
        <v>12</v>
      </c>
      <c r="H3039" t="s">
        <v>13</v>
      </c>
      <c r="I3039">
        <v>75</v>
      </c>
      <c r="J3039">
        <f>ABS((I3039-EDA!$A$15)/EDA!$B$15)</f>
        <v>2.330426205404255</v>
      </c>
      <c r="K3039" t="str">
        <f t="shared" si="47"/>
        <v>Sí</v>
      </c>
      <c r="L3039">
        <f>ABS((C3039-EDA!$F$15)/EDA!$G$15)</f>
        <v>0.36501818150897869</v>
      </c>
      <c r="M3039" t="str">
        <f>IF(moras[[#This Row],[Z-Score Salario]]&gt;1.96, "Sí", "No")</f>
        <v>No</v>
      </c>
      <c r="N3039" s="14">
        <f>IF(ISBLANK(moras[[#This Row],[SALARIO]]), EDA!$M$8, moras[[#This Row],[SALARIO]])</f>
        <v>639143</v>
      </c>
      <c r="O3039" s="14">
        <f xml:space="preserve"> IF(ISBLANK(moras[[#This Row],[EDAD]]), EDA!$E$8, moras[[#This Row],[EDAD]])</f>
        <v>75</v>
      </c>
      <c r="P3039" s="14" t="str">
        <f>IF(
    OR(ISBLANK(moras[[#This Row],[TIPO_ASEGURAMIENTO]]), moras[[#This Row],[TIPO_ASEGURAMIENTO]]=""),
    EDA!$A$32,
    moras[[#This Row],[TIPO_ASEGURAMIENTO]]
)</f>
        <v>CONVENIOS ESPECIALES DE ASEGURADOS VOLUNTARIOS</v>
      </c>
    </row>
    <row r="3040" spans="1:16" x14ac:dyDescent="0.3">
      <c r="A3040">
        <v>3039</v>
      </c>
      <c r="B3040" t="s">
        <v>15</v>
      </c>
      <c r="C3040">
        <v>54533875</v>
      </c>
      <c r="D3040" t="s">
        <v>10</v>
      </c>
      <c r="E3040" t="s">
        <v>11</v>
      </c>
      <c r="F3040" t="s">
        <v>12</v>
      </c>
      <c r="G3040" t="s">
        <v>13</v>
      </c>
      <c r="H3040" t="s">
        <v>13</v>
      </c>
      <c r="I3040">
        <v>27</v>
      </c>
      <c r="J3040">
        <f>ABS((I3040-EDA!$A$15)/EDA!$B$15)</f>
        <v>1.0571896382983452</v>
      </c>
      <c r="K3040" t="str">
        <f t="shared" si="47"/>
        <v>No</v>
      </c>
      <c r="L3040">
        <f>ABS((C3040-EDA!$F$15)/EDA!$G$15)</f>
        <v>0.53182820391970376</v>
      </c>
      <c r="M3040" t="str">
        <f>IF(moras[[#This Row],[Z-Score Salario]]&gt;1.96, "Sí", "No")</f>
        <v>No</v>
      </c>
      <c r="N3040" s="14">
        <f>IF(ISBLANK(moras[[#This Row],[SALARIO]]), EDA!$M$8, moras[[#This Row],[SALARIO]])</f>
        <v>54533875</v>
      </c>
      <c r="O3040" s="14">
        <f xml:space="preserve"> IF(ISBLANK(moras[[#This Row],[EDAD]]), EDA!$E$8, moras[[#This Row],[EDAD]])</f>
        <v>27</v>
      </c>
      <c r="P3040" s="14" t="str">
        <f>IF(
    OR(ISBLANK(moras[[#This Row],[TIPO_ASEGURAMIENTO]]), moras[[#This Row],[TIPO_ASEGURAMIENTO]]=""),
    EDA!$A$32,
    moras[[#This Row],[TIPO_ASEGURAMIENTO]]
)</f>
        <v>ASALARIADO</v>
      </c>
    </row>
    <row r="3041" spans="1:16" x14ac:dyDescent="0.3">
      <c r="A3041">
        <v>3040</v>
      </c>
      <c r="B3041" t="s">
        <v>9</v>
      </c>
      <c r="C3041">
        <v>39654385</v>
      </c>
      <c r="D3041" t="s">
        <v>10</v>
      </c>
      <c r="E3041" t="s">
        <v>16</v>
      </c>
      <c r="F3041" t="s">
        <v>12</v>
      </c>
      <c r="G3041" t="s">
        <v>13</v>
      </c>
      <c r="H3041" t="s">
        <v>13</v>
      </c>
      <c r="I3041">
        <v>27</v>
      </c>
      <c r="J3041">
        <f>ABS((I3041-EDA!$A$15)/EDA!$B$15)</f>
        <v>1.0571896382983452</v>
      </c>
      <c r="K3041" t="str">
        <f t="shared" si="47"/>
        <v>No</v>
      </c>
      <c r="L3041">
        <f>ABS((C3041-EDA!$F$15)/EDA!$G$15)</f>
        <v>0.28422298670622498</v>
      </c>
      <c r="M3041" t="str">
        <f>IF(moras[[#This Row],[Z-Score Salario]]&gt;1.96, "Sí", "No")</f>
        <v>No</v>
      </c>
      <c r="N3041" s="14">
        <f>IF(ISBLANK(moras[[#This Row],[SALARIO]]), EDA!$M$8, moras[[#This Row],[SALARIO]])</f>
        <v>39654385</v>
      </c>
      <c r="O3041" s="14">
        <f xml:space="preserve"> IF(ISBLANK(moras[[#This Row],[EDAD]]), EDA!$E$8, moras[[#This Row],[EDAD]])</f>
        <v>27</v>
      </c>
      <c r="P3041" s="14" t="str">
        <f>IF(
    OR(ISBLANK(moras[[#This Row],[TIPO_ASEGURAMIENTO]]), moras[[#This Row],[TIPO_ASEGURAMIENTO]]=""),
    EDA!$A$32,
    moras[[#This Row],[TIPO_ASEGURAMIENTO]]
)</f>
        <v>ASALARIADO</v>
      </c>
    </row>
    <row r="3042" spans="1:16" x14ac:dyDescent="0.3">
      <c r="A3042">
        <v>3041</v>
      </c>
      <c r="B3042" t="s">
        <v>15</v>
      </c>
      <c r="C3042">
        <v>941448</v>
      </c>
      <c r="D3042" t="s">
        <v>10</v>
      </c>
      <c r="E3042" t="s">
        <v>11</v>
      </c>
      <c r="F3042" t="s">
        <v>12</v>
      </c>
      <c r="G3042" t="s">
        <v>13</v>
      </c>
      <c r="H3042" t="s">
        <v>13</v>
      </c>
      <c r="I3042">
        <v>27</v>
      </c>
      <c r="J3042">
        <f>ABS((I3042-EDA!$A$15)/EDA!$B$15)</f>
        <v>1.0571896382983452</v>
      </c>
      <c r="K3042" t="str">
        <f t="shared" si="47"/>
        <v>No</v>
      </c>
      <c r="L3042">
        <f>ABS((C3042-EDA!$F$15)/EDA!$G$15)</f>
        <v>0.35998761290819192</v>
      </c>
      <c r="M3042" t="str">
        <f>IF(moras[[#This Row],[Z-Score Salario]]&gt;1.96, "Sí", "No")</f>
        <v>No</v>
      </c>
      <c r="N3042" s="14">
        <f>IF(ISBLANK(moras[[#This Row],[SALARIO]]), EDA!$M$8, moras[[#This Row],[SALARIO]])</f>
        <v>941448</v>
      </c>
      <c r="O3042" s="14">
        <f xml:space="preserve"> IF(ISBLANK(moras[[#This Row],[EDAD]]), EDA!$E$8, moras[[#This Row],[EDAD]])</f>
        <v>27</v>
      </c>
      <c r="P3042" s="14" t="str">
        <f>IF(
    OR(ISBLANK(moras[[#This Row],[TIPO_ASEGURAMIENTO]]), moras[[#This Row],[TIPO_ASEGURAMIENTO]]=""),
    EDA!$A$32,
    moras[[#This Row],[TIPO_ASEGURAMIENTO]]
)</f>
        <v>ASALARIADO</v>
      </c>
    </row>
    <row r="3043" spans="1:16" x14ac:dyDescent="0.3">
      <c r="A3043">
        <v>3042</v>
      </c>
      <c r="B3043" t="s">
        <v>15</v>
      </c>
      <c r="C3043">
        <v>929129</v>
      </c>
      <c r="D3043" t="s">
        <v>10</v>
      </c>
      <c r="E3043" t="s">
        <v>11</v>
      </c>
      <c r="F3043" t="s">
        <v>12</v>
      </c>
      <c r="G3043" t="s">
        <v>13</v>
      </c>
      <c r="H3043" t="s">
        <v>13</v>
      </c>
      <c r="I3043">
        <v>38</v>
      </c>
      <c r="J3043">
        <f>ABS((I3043-EDA!$A$15)/EDA!$B$15)</f>
        <v>0.28086100744983278</v>
      </c>
      <c r="K3043" t="str">
        <f t="shared" si="47"/>
        <v>No</v>
      </c>
      <c r="L3043">
        <f>ABS((C3043-EDA!$F$15)/EDA!$G$15)</f>
        <v>0.36019260976432427</v>
      </c>
      <c r="M3043" t="str">
        <f>IF(moras[[#This Row],[Z-Score Salario]]&gt;1.96, "Sí", "No")</f>
        <v>No</v>
      </c>
      <c r="N3043" s="14">
        <f>IF(ISBLANK(moras[[#This Row],[SALARIO]]), EDA!$M$8, moras[[#This Row],[SALARIO]])</f>
        <v>929129</v>
      </c>
      <c r="O3043" s="14">
        <f xml:space="preserve"> IF(ISBLANK(moras[[#This Row],[EDAD]]), EDA!$E$8, moras[[#This Row],[EDAD]])</f>
        <v>38</v>
      </c>
      <c r="P3043" s="14" t="str">
        <f>IF(
    OR(ISBLANK(moras[[#This Row],[TIPO_ASEGURAMIENTO]]), moras[[#This Row],[TIPO_ASEGURAMIENTO]]=""),
    EDA!$A$32,
    moras[[#This Row],[TIPO_ASEGURAMIENTO]]
)</f>
        <v>ASALARIADO</v>
      </c>
    </row>
    <row r="3044" spans="1:16" x14ac:dyDescent="0.3">
      <c r="A3044">
        <v>3043</v>
      </c>
      <c r="B3044" t="s">
        <v>9</v>
      </c>
      <c r="C3044">
        <v>352881</v>
      </c>
      <c r="D3044" t="s">
        <v>17</v>
      </c>
      <c r="E3044" t="s">
        <v>16</v>
      </c>
      <c r="F3044" t="s">
        <v>12</v>
      </c>
      <c r="G3044" t="s">
        <v>12</v>
      </c>
      <c r="H3044" t="s">
        <v>13</v>
      </c>
      <c r="I3044">
        <v>57</v>
      </c>
      <c r="J3044">
        <f>ABS((I3044-EDA!$A$15)/EDA!$B$15)</f>
        <v>1.0600702640157798</v>
      </c>
      <c r="K3044" t="str">
        <f t="shared" si="47"/>
        <v>No</v>
      </c>
      <c r="L3044">
        <f>ABS((C3044-EDA!$F$15)/EDA!$G$15)</f>
        <v>0.36978178326481603</v>
      </c>
      <c r="M3044" t="str">
        <f>IF(moras[[#This Row],[Z-Score Salario]]&gt;1.96, "Sí", "No")</f>
        <v>No</v>
      </c>
      <c r="N3044" s="14">
        <f>IF(ISBLANK(moras[[#This Row],[SALARIO]]), EDA!$M$8, moras[[#This Row],[SALARIO]])</f>
        <v>352881</v>
      </c>
      <c r="O3044" s="14">
        <f xml:space="preserve"> IF(ISBLANK(moras[[#This Row],[EDAD]]), EDA!$E$8, moras[[#This Row],[EDAD]])</f>
        <v>57</v>
      </c>
      <c r="P3044" s="14" t="str">
        <f>IF(
    OR(ISBLANK(moras[[#This Row],[TIPO_ASEGURAMIENTO]]), moras[[#This Row],[TIPO_ASEGURAMIENTO]]=""),
    EDA!$A$32,
    moras[[#This Row],[TIPO_ASEGURAMIENTO]]
)</f>
        <v>ASEGURADO VOLUNTARIO</v>
      </c>
    </row>
    <row r="3045" spans="1:16" x14ac:dyDescent="0.3">
      <c r="A3045">
        <v>3044</v>
      </c>
      <c r="B3045" t="s">
        <v>9</v>
      </c>
      <c r="C3045">
        <v>34036908</v>
      </c>
      <c r="D3045" t="s">
        <v>10</v>
      </c>
      <c r="E3045" t="s">
        <v>16</v>
      </c>
      <c r="F3045" t="s">
        <v>12</v>
      </c>
      <c r="G3045" t="s">
        <v>13</v>
      </c>
      <c r="H3045" t="s">
        <v>13</v>
      </c>
      <c r="I3045">
        <v>29</v>
      </c>
      <c r="J3045">
        <f>ABS((I3045-EDA!$A$15)/EDA!$B$15)</f>
        <v>0.91603897814407031</v>
      </c>
      <c r="K3045" t="str">
        <f t="shared" si="47"/>
        <v>No</v>
      </c>
      <c r="L3045">
        <f>ABS((C3045-EDA!$F$15)/EDA!$G$15)</f>
        <v>0.19074420398069328</v>
      </c>
      <c r="M3045" t="str">
        <f>IF(moras[[#This Row],[Z-Score Salario]]&gt;1.96, "Sí", "No")</f>
        <v>No</v>
      </c>
      <c r="N3045" s="14">
        <f>IF(ISBLANK(moras[[#This Row],[SALARIO]]), EDA!$M$8, moras[[#This Row],[SALARIO]])</f>
        <v>34036908</v>
      </c>
      <c r="O3045" s="14">
        <f xml:space="preserve"> IF(ISBLANK(moras[[#This Row],[EDAD]]), EDA!$E$8, moras[[#This Row],[EDAD]])</f>
        <v>29</v>
      </c>
      <c r="P3045" s="14" t="str">
        <f>IF(
    OR(ISBLANK(moras[[#This Row],[TIPO_ASEGURAMIENTO]]), moras[[#This Row],[TIPO_ASEGURAMIENTO]]=""),
    EDA!$A$32,
    moras[[#This Row],[TIPO_ASEGURAMIENTO]]
)</f>
        <v>ASALARIADO</v>
      </c>
    </row>
    <row r="3046" spans="1:16" x14ac:dyDescent="0.3">
      <c r="A3046">
        <v>3045</v>
      </c>
      <c r="B3046" t="s">
        <v>9</v>
      </c>
      <c r="C3046">
        <v>358468</v>
      </c>
      <c r="D3046" t="s">
        <v>10</v>
      </c>
      <c r="E3046" t="s">
        <v>16</v>
      </c>
      <c r="F3046" t="s">
        <v>12</v>
      </c>
      <c r="G3046" t="s">
        <v>13</v>
      </c>
      <c r="H3046" t="s">
        <v>13</v>
      </c>
      <c r="I3046">
        <v>42</v>
      </c>
      <c r="J3046">
        <f>ABS((I3046-EDA!$A$15)/EDA!$B$15)</f>
        <v>1.4403128587172659E-3</v>
      </c>
      <c r="K3046" t="str">
        <f t="shared" si="47"/>
        <v>No</v>
      </c>
      <c r="L3046">
        <f>ABS((C3046-EDA!$F$15)/EDA!$G$15)</f>
        <v>0.36968881164088463</v>
      </c>
      <c r="M3046" t="str">
        <f>IF(moras[[#This Row],[Z-Score Salario]]&gt;1.96, "Sí", "No")</f>
        <v>No</v>
      </c>
      <c r="N3046" s="14">
        <f>IF(ISBLANK(moras[[#This Row],[SALARIO]]), EDA!$M$8, moras[[#This Row],[SALARIO]])</f>
        <v>358468</v>
      </c>
      <c r="O3046" s="14">
        <f xml:space="preserve"> IF(ISBLANK(moras[[#This Row],[EDAD]]), EDA!$E$8, moras[[#This Row],[EDAD]])</f>
        <v>42</v>
      </c>
      <c r="P3046" s="14" t="str">
        <f>IF(
    OR(ISBLANK(moras[[#This Row],[TIPO_ASEGURAMIENTO]]), moras[[#This Row],[TIPO_ASEGURAMIENTO]]=""),
    EDA!$A$32,
    moras[[#This Row],[TIPO_ASEGURAMIENTO]]
)</f>
        <v>ASALARIADO</v>
      </c>
    </row>
    <row r="3047" spans="1:16" x14ac:dyDescent="0.3">
      <c r="A3047">
        <v>3046</v>
      </c>
      <c r="B3047" t="s">
        <v>9</v>
      </c>
      <c r="C3047">
        <v>814688</v>
      </c>
      <c r="D3047" t="s">
        <v>10</v>
      </c>
      <c r="E3047" t="s">
        <v>16</v>
      </c>
      <c r="F3047" t="s">
        <v>12</v>
      </c>
      <c r="G3047" t="s">
        <v>13</v>
      </c>
      <c r="H3047" t="s">
        <v>13</v>
      </c>
      <c r="I3047">
        <v>36</v>
      </c>
      <c r="J3047">
        <f>ABS((I3047-EDA!$A$15)/EDA!$B$15)</f>
        <v>0.42201166760410774</v>
      </c>
      <c r="K3047" t="str">
        <f t="shared" si="47"/>
        <v>No</v>
      </c>
      <c r="L3047">
        <f>ABS((C3047-EDA!$F$15)/EDA!$G$15)</f>
        <v>0.36209698878962199</v>
      </c>
      <c r="M3047" t="str">
        <f>IF(moras[[#This Row],[Z-Score Salario]]&gt;1.96, "Sí", "No")</f>
        <v>No</v>
      </c>
      <c r="N3047" s="14">
        <f>IF(ISBLANK(moras[[#This Row],[SALARIO]]), EDA!$M$8, moras[[#This Row],[SALARIO]])</f>
        <v>814688</v>
      </c>
      <c r="O3047" s="14">
        <f xml:space="preserve"> IF(ISBLANK(moras[[#This Row],[EDAD]]), EDA!$E$8, moras[[#This Row],[EDAD]])</f>
        <v>36</v>
      </c>
      <c r="P3047" s="14" t="str">
        <f>IF(
    OR(ISBLANK(moras[[#This Row],[TIPO_ASEGURAMIENTO]]), moras[[#This Row],[TIPO_ASEGURAMIENTO]]=""),
    EDA!$A$32,
    moras[[#This Row],[TIPO_ASEGURAMIENTO]]
)</f>
        <v>ASALARIADO</v>
      </c>
    </row>
    <row r="3048" spans="1:16" x14ac:dyDescent="0.3">
      <c r="A3048">
        <v>3047</v>
      </c>
      <c r="B3048" t="s">
        <v>15</v>
      </c>
      <c r="C3048">
        <v>358640</v>
      </c>
      <c r="D3048" t="s">
        <v>17</v>
      </c>
      <c r="E3048" t="s">
        <v>16</v>
      </c>
      <c r="F3048" t="s">
        <v>12</v>
      </c>
      <c r="G3048" t="s">
        <v>12</v>
      </c>
      <c r="H3048" t="s">
        <v>13</v>
      </c>
      <c r="I3048">
        <v>67</v>
      </c>
      <c r="J3048">
        <f>ABS((I3048-EDA!$A$15)/EDA!$B$15)</f>
        <v>1.765823564787155</v>
      </c>
      <c r="K3048" t="str">
        <f t="shared" si="47"/>
        <v>No</v>
      </c>
      <c r="L3048">
        <f>ABS((C3048-EDA!$F$15)/EDA!$G$15)</f>
        <v>0.3696859494394677</v>
      </c>
      <c r="M3048" t="str">
        <f>IF(moras[[#This Row],[Z-Score Salario]]&gt;1.96, "Sí", "No")</f>
        <v>No</v>
      </c>
      <c r="N3048" s="14">
        <f>IF(ISBLANK(moras[[#This Row],[SALARIO]]), EDA!$M$8, moras[[#This Row],[SALARIO]])</f>
        <v>358640</v>
      </c>
      <c r="O3048" s="14">
        <f xml:space="preserve"> IF(ISBLANK(moras[[#This Row],[EDAD]]), EDA!$E$8, moras[[#This Row],[EDAD]])</f>
        <v>67</v>
      </c>
      <c r="P3048" s="14" t="str">
        <f>IF(
    OR(ISBLANK(moras[[#This Row],[TIPO_ASEGURAMIENTO]]), moras[[#This Row],[TIPO_ASEGURAMIENTO]]=""),
    EDA!$A$32,
    moras[[#This Row],[TIPO_ASEGURAMIENTO]]
)</f>
        <v>ASEGURADO VOLUNTARIO</v>
      </c>
    </row>
    <row r="3049" spans="1:16" x14ac:dyDescent="0.3">
      <c r="A3049">
        <v>3048</v>
      </c>
      <c r="B3049" t="s">
        <v>15</v>
      </c>
      <c r="C3049">
        <v>1324052</v>
      </c>
      <c r="D3049" t="s">
        <v>10</v>
      </c>
      <c r="E3049" t="s">
        <v>11</v>
      </c>
      <c r="F3049" t="s">
        <v>12</v>
      </c>
      <c r="G3049" t="s">
        <v>13</v>
      </c>
      <c r="H3049" t="s">
        <v>12</v>
      </c>
      <c r="I3049">
        <v>43</v>
      </c>
      <c r="J3049">
        <f>ABS((I3049-EDA!$A$15)/EDA!$B$15)</f>
        <v>7.2015642935854773E-2</v>
      </c>
      <c r="K3049" t="str">
        <f t="shared" si="47"/>
        <v>No</v>
      </c>
      <c r="L3049">
        <f>ABS((C3049-EDA!$F$15)/EDA!$G$15)</f>
        <v>0.35362081226336162</v>
      </c>
      <c r="M3049" t="str">
        <f>IF(moras[[#This Row],[Z-Score Salario]]&gt;1.96, "Sí", "No")</f>
        <v>No</v>
      </c>
      <c r="N3049" s="14">
        <f>IF(ISBLANK(moras[[#This Row],[SALARIO]]), EDA!$M$8, moras[[#This Row],[SALARIO]])</f>
        <v>1324052</v>
      </c>
      <c r="O3049" s="14">
        <f xml:space="preserve"> IF(ISBLANK(moras[[#This Row],[EDAD]]), EDA!$E$8, moras[[#This Row],[EDAD]])</f>
        <v>43</v>
      </c>
      <c r="P3049" s="14" t="str">
        <f>IF(
    OR(ISBLANK(moras[[#This Row],[TIPO_ASEGURAMIENTO]]), moras[[#This Row],[TIPO_ASEGURAMIENTO]]=""),
    EDA!$A$32,
    moras[[#This Row],[TIPO_ASEGURAMIENTO]]
)</f>
        <v>ASALARIADO</v>
      </c>
    </row>
    <row r="3050" spans="1:16" x14ac:dyDescent="0.3">
      <c r="A3050">
        <v>3049</v>
      </c>
      <c r="B3050" t="s">
        <v>9</v>
      </c>
      <c r="C3050">
        <v>298018</v>
      </c>
      <c r="D3050" t="s">
        <v>17</v>
      </c>
      <c r="E3050" t="s">
        <v>16</v>
      </c>
      <c r="F3050" t="s">
        <v>12</v>
      </c>
      <c r="G3050" t="s">
        <v>13</v>
      </c>
      <c r="H3050" t="s">
        <v>13</v>
      </c>
      <c r="I3050">
        <v>29</v>
      </c>
      <c r="J3050">
        <f>ABS((I3050-EDA!$A$15)/EDA!$B$15)</f>
        <v>0.91603897814407031</v>
      </c>
      <c r="K3050" t="str">
        <f t="shared" si="47"/>
        <v>No</v>
      </c>
      <c r="L3050">
        <f>ABS((C3050-EDA!$F$15)/EDA!$G$15)</f>
        <v>0.37069474231327693</v>
      </c>
      <c r="M3050" t="str">
        <f>IF(moras[[#This Row],[Z-Score Salario]]&gt;1.96, "Sí", "No")</f>
        <v>No</v>
      </c>
      <c r="N3050" s="14">
        <f>IF(ISBLANK(moras[[#This Row],[SALARIO]]), EDA!$M$8, moras[[#This Row],[SALARIO]])</f>
        <v>298018</v>
      </c>
      <c r="O3050" s="14">
        <f xml:space="preserve"> IF(ISBLANK(moras[[#This Row],[EDAD]]), EDA!$E$8, moras[[#This Row],[EDAD]])</f>
        <v>29</v>
      </c>
      <c r="P3050" s="14" t="str">
        <f>IF(
    OR(ISBLANK(moras[[#This Row],[TIPO_ASEGURAMIENTO]]), moras[[#This Row],[TIPO_ASEGURAMIENTO]]=""),
    EDA!$A$32,
    moras[[#This Row],[TIPO_ASEGURAMIENTO]]
)</f>
        <v>ASEGURADO VOLUNTARIO</v>
      </c>
    </row>
    <row r="3051" spans="1:16" x14ac:dyDescent="0.3">
      <c r="A3051">
        <v>3050</v>
      </c>
      <c r="B3051" t="s">
        <v>9</v>
      </c>
      <c r="C3051">
        <v>316030</v>
      </c>
      <c r="D3051" t="s">
        <v>10</v>
      </c>
      <c r="E3051" t="s">
        <v>16</v>
      </c>
      <c r="F3051" t="s">
        <v>12</v>
      </c>
      <c r="G3051" t="s">
        <v>13</v>
      </c>
      <c r="H3051" t="s">
        <v>13</v>
      </c>
      <c r="I3051">
        <v>52</v>
      </c>
      <c r="J3051">
        <f>ABS((I3051-EDA!$A$15)/EDA!$B$15)</f>
        <v>0.70719361363009237</v>
      </c>
      <c r="K3051" t="str">
        <f t="shared" si="47"/>
        <v>No</v>
      </c>
      <c r="L3051">
        <f>ABS((C3051-EDA!$F$15)/EDA!$G$15)</f>
        <v>0.37039500991838642</v>
      </c>
      <c r="M3051" t="str">
        <f>IF(moras[[#This Row],[Z-Score Salario]]&gt;1.96, "Sí", "No")</f>
        <v>No</v>
      </c>
      <c r="N3051" s="14">
        <f>IF(ISBLANK(moras[[#This Row],[SALARIO]]), EDA!$M$8, moras[[#This Row],[SALARIO]])</f>
        <v>316030</v>
      </c>
      <c r="O3051" s="14">
        <f xml:space="preserve"> IF(ISBLANK(moras[[#This Row],[EDAD]]), EDA!$E$8, moras[[#This Row],[EDAD]])</f>
        <v>52</v>
      </c>
      <c r="P3051" s="14" t="str">
        <f>IF(
    OR(ISBLANK(moras[[#This Row],[TIPO_ASEGURAMIENTO]]), moras[[#This Row],[TIPO_ASEGURAMIENTO]]=""),
    EDA!$A$32,
    moras[[#This Row],[TIPO_ASEGURAMIENTO]]
)</f>
        <v>ASALARIADO</v>
      </c>
    </row>
    <row r="3052" spans="1:16" x14ac:dyDescent="0.3">
      <c r="A3052">
        <v>3051</v>
      </c>
      <c r="B3052" t="s">
        <v>9</v>
      </c>
      <c r="C3052">
        <v>3042998</v>
      </c>
      <c r="D3052" t="s">
        <v>14</v>
      </c>
      <c r="E3052" t="s">
        <v>11</v>
      </c>
      <c r="F3052" t="s">
        <v>12</v>
      </c>
      <c r="G3052" t="s">
        <v>13</v>
      </c>
      <c r="H3052" t="s">
        <v>13</v>
      </c>
      <c r="I3052">
        <v>55</v>
      </c>
      <c r="J3052">
        <f>ABS((I3052-EDA!$A$15)/EDA!$B$15)</f>
        <v>0.91891960386150484</v>
      </c>
      <c r="K3052" t="str">
        <f t="shared" si="47"/>
        <v>No</v>
      </c>
      <c r="L3052">
        <f>ABS((C3052-EDA!$F$15)/EDA!$G$15)</f>
        <v>0.3250163373984139</v>
      </c>
      <c r="M3052" t="str">
        <f>IF(moras[[#This Row],[Z-Score Salario]]&gt;1.96, "Sí", "No")</f>
        <v>No</v>
      </c>
      <c r="N3052" s="14">
        <f>IF(ISBLANK(moras[[#This Row],[SALARIO]]), EDA!$M$8, moras[[#This Row],[SALARIO]])</f>
        <v>3042998</v>
      </c>
      <c r="O3052" s="14">
        <f xml:space="preserve"> IF(ISBLANK(moras[[#This Row],[EDAD]]), EDA!$E$8, moras[[#This Row],[EDAD]])</f>
        <v>55</v>
      </c>
      <c r="P3052" s="14" t="str">
        <f>IF(
    OR(ISBLANK(moras[[#This Row],[TIPO_ASEGURAMIENTO]]), moras[[#This Row],[TIPO_ASEGURAMIENTO]]=""),
    EDA!$A$32,
    moras[[#This Row],[TIPO_ASEGURAMIENTO]]
)</f>
        <v>PENSIONADOS EN SU PROPIO SISTEMA</v>
      </c>
    </row>
    <row r="3053" spans="1:16" x14ac:dyDescent="0.3">
      <c r="A3053">
        <v>3052</v>
      </c>
      <c r="B3053" t="s">
        <v>15</v>
      </c>
      <c r="C3053">
        <v>297046</v>
      </c>
      <c r="D3053" t="s">
        <v>17</v>
      </c>
      <c r="E3053" t="s">
        <v>16</v>
      </c>
      <c r="F3053" t="s">
        <v>12</v>
      </c>
      <c r="G3053" t="s">
        <v>13</v>
      </c>
      <c r="H3053" t="s">
        <v>12</v>
      </c>
      <c r="I3053">
        <v>36</v>
      </c>
      <c r="J3053">
        <f>ABS((I3053-EDA!$A$15)/EDA!$B$15)</f>
        <v>0.42201166760410774</v>
      </c>
      <c r="K3053" t="str">
        <f t="shared" si="47"/>
        <v>No</v>
      </c>
      <c r="L3053">
        <f>ABS((C3053-EDA!$F$15)/EDA!$G$15)</f>
        <v>0.37071091707942361</v>
      </c>
      <c r="M3053" t="str">
        <f>IF(moras[[#This Row],[Z-Score Salario]]&gt;1.96, "Sí", "No")</f>
        <v>No</v>
      </c>
      <c r="N3053" s="14">
        <f>IF(ISBLANK(moras[[#This Row],[SALARIO]]), EDA!$M$8, moras[[#This Row],[SALARIO]])</f>
        <v>297046</v>
      </c>
      <c r="O3053" s="14">
        <f xml:space="preserve"> IF(ISBLANK(moras[[#This Row],[EDAD]]), EDA!$E$8, moras[[#This Row],[EDAD]])</f>
        <v>36</v>
      </c>
      <c r="P3053" s="14" t="str">
        <f>IF(
    OR(ISBLANK(moras[[#This Row],[TIPO_ASEGURAMIENTO]]), moras[[#This Row],[TIPO_ASEGURAMIENTO]]=""),
    EDA!$A$32,
    moras[[#This Row],[TIPO_ASEGURAMIENTO]]
)</f>
        <v>ASEGURADO VOLUNTARIO</v>
      </c>
    </row>
    <row r="3054" spans="1:16" x14ac:dyDescent="0.3">
      <c r="A3054">
        <v>3053</v>
      </c>
      <c r="B3054" t="s">
        <v>9</v>
      </c>
      <c r="C3054">
        <v>106560</v>
      </c>
      <c r="D3054" t="s">
        <v>10</v>
      </c>
      <c r="E3054" t="s">
        <v>16</v>
      </c>
      <c r="F3054" t="s">
        <v>12</v>
      </c>
      <c r="G3054" t="s">
        <v>13</v>
      </c>
      <c r="H3054" t="s">
        <v>13</v>
      </c>
      <c r="I3054">
        <v>47</v>
      </c>
      <c r="J3054">
        <f>ABS((I3054-EDA!$A$15)/EDA!$B$15)</f>
        <v>0.35431696324440481</v>
      </c>
      <c r="K3054" t="str">
        <f t="shared" si="47"/>
        <v>No</v>
      </c>
      <c r="L3054">
        <f>ABS((C3054-EDA!$F$15)/EDA!$G$15)</f>
        <v>0.37388073858581439</v>
      </c>
      <c r="M3054" t="str">
        <f>IF(moras[[#This Row],[Z-Score Salario]]&gt;1.96, "Sí", "No")</f>
        <v>No</v>
      </c>
      <c r="N3054" s="14">
        <f>IF(ISBLANK(moras[[#This Row],[SALARIO]]), EDA!$M$8, moras[[#This Row],[SALARIO]])</f>
        <v>106560</v>
      </c>
      <c r="O3054" s="14">
        <f xml:space="preserve"> IF(ISBLANK(moras[[#This Row],[EDAD]]), EDA!$E$8, moras[[#This Row],[EDAD]])</f>
        <v>47</v>
      </c>
      <c r="P3054" s="14" t="str">
        <f>IF(
    OR(ISBLANK(moras[[#This Row],[TIPO_ASEGURAMIENTO]]), moras[[#This Row],[TIPO_ASEGURAMIENTO]]=""),
    EDA!$A$32,
    moras[[#This Row],[TIPO_ASEGURAMIENTO]]
)</f>
        <v>ASALARIADO</v>
      </c>
    </row>
    <row r="3055" spans="1:16" x14ac:dyDescent="0.3">
      <c r="A3055">
        <v>3054</v>
      </c>
      <c r="B3055" t="s">
        <v>15</v>
      </c>
      <c r="C3055">
        <v>407609</v>
      </c>
      <c r="D3055" t="s">
        <v>18</v>
      </c>
      <c r="E3055" t="s">
        <v>16</v>
      </c>
      <c r="F3055" t="s">
        <v>12</v>
      </c>
      <c r="G3055" t="s">
        <v>13</v>
      </c>
      <c r="H3055" t="s">
        <v>13</v>
      </c>
      <c r="I3055">
        <v>59</v>
      </c>
      <c r="J3055">
        <f>ABS((I3055-EDA!$A$15)/EDA!$B$15)</f>
        <v>1.2012209241700549</v>
      </c>
      <c r="K3055" t="str">
        <f t="shared" si="47"/>
        <v>No</v>
      </c>
      <c r="L3055">
        <f>ABS((C3055-EDA!$F$15)/EDA!$G$15)</f>
        <v>0.36887107071165331</v>
      </c>
      <c r="M3055" t="str">
        <f>IF(moras[[#This Row],[Z-Score Salario]]&gt;1.96, "Sí", "No")</f>
        <v>No</v>
      </c>
      <c r="N3055" s="14">
        <f>IF(ISBLANK(moras[[#This Row],[SALARIO]]), EDA!$M$8, moras[[#This Row],[SALARIO]])</f>
        <v>407609</v>
      </c>
      <c r="O3055" s="14">
        <f xml:space="preserve"> IF(ISBLANK(moras[[#This Row],[EDAD]]), EDA!$E$8, moras[[#This Row],[EDAD]])</f>
        <v>59</v>
      </c>
      <c r="P3055" s="14" t="str">
        <f>IF(
    OR(ISBLANK(moras[[#This Row],[TIPO_ASEGURAMIENTO]]), moras[[#This Row],[TIPO_ASEGURAMIENTO]]=""),
    EDA!$A$32,
    moras[[#This Row],[TIPO_ASEGURAMIENTO]]
)</f>
        <v>TRABAJADOR INDEPENDIENTE</v>
      </c>
    </row>
    <row r="3056" spans="1:16" x14ac:dyDescent="0.3">
      <c r="A3056">
        <v>3055</v>
      </c>
      <c r="B3056" t="s">
        <v>9</v>
      </c>
      <c r="C3056">
        <v>639148</v>
      </c>
      <c r="D3056" t="s">
        <v>18</v>
      </c>
      <c r="E3056" t="s">
        <v>16</v>
      </c>
      <c r="F3056" t="s">
        <v>12</v>
      </c>
      <c r="G3056" t="s">
        <v>13</v>
      </c>
      <c r="H3056" t="s">
        <v>13</v>
      </c>
      <c r="I3056">
        <v>53</v>
      </c>
      <c r="J3056">
        <f>ABS((I3056-EDA!$A$15)/EDA!$B$15)</f>
        <v>0.77776894370722982</v>
      </c>
      <c r="K3056" t="str">
        <f t="shared" si="47"/>
        <v>No</v>
      </c>
      <c r="L3056">
        <f>ABS((C3056-EDA!$F$15)/EDA!$G$15)</f>
        <v>0.36501809830544912</v>
      </c>
      <c r="M3056" t="str">
        <f>IF(moras[[#This Row],[Z-Score Salario]]&gt;1.96, "Sí", "No")</f>
        <v>No</v>
      </c>
      <c r="N3056" s="14">
        <f>IF(ISBLANK(moras[[#This Row],[SALARIO]]), EDA!$M$8, moras[[#This Row],[SALARIO]])</f>
        <v>639148</v>
      </c>
      <c r="O3056" s="14">
        <f xml:space="preserve"> IF(ISBLANK(moras[[#This Row],[EDAD]]), EDA!$E$8, moras[[#This Row],[EDAD]])</f>
        <v>53</v>
      </c>
      <c r="P3056" s="14" t="str">
        <f>IF(
    OR(ISBLANK(moras[[#This Row],[TIPO_ASEGURAMIENTO]]), moras[[#This Row],[TIPO_ASEGURAMIENTO]]=""),
    EDA!$A$32,
    moras[[#This Row],[TIPO_ASEGURAMIENTO]]
)</f>
        <v>TRABAJADOR INDEPENDIENTE</v>
      </c>
    </row>
    <row r="3057" spans="1:16" x14ac:dyDescent="0.3">
      <c r="A3057">
        <v>3056</v>
      </c>
      <c r="B3057" t="s">
        <v>9</v>
      </c>
      <c r="C3057">
        <v>405063</v>
      </c>
      <c r="D3057" t="s">
        <v>18</v>
      </c>
      <c r="E3057" t="s">
        <v>16</v>
      </c>
      <c r="F3057" t="s">
        <v>12</v>
      </c>
      <c r="G3057" t="s">
        <v>13</v>
      </c>
      <c r="H3057" t="s">
        <v>12</v>
      </c>
      <c r="I3057">
        <v>42</v>
      </c>
      <c r="J3057">
        <f>ABS((I3057-EDA!$A$15)/EDA!$B$15)</f>
        <v>1.4403128587172659E-3</v>
      </c>
      <c r="K3057" t="str">
        <f t="shared" si="47"/>
        <v>No</v>
      </c>
      <c r="L3057">
        <f>ABS((C3057-EDA!$F$15)/EDA!$G$15)</f>
        <v>0.3689134379489058</v>
      </c>
      <c r="M3057" t="str">
        <f>IF(moras[[#This Row],[Z-Score Salario]]&gt;1.96, "Sí", "No")</f>
        <v>No</v>
      </c>
      <c r="N3057" s="14">
        <f>IF(ISBLANK(moras[[#This Row],[SALARIO]]), EDA!$M$8, moras[[#This Row],[SALARIO]])</f>
        <v>405063</v>
      </c>
      <c r="O3057" s="14">
        <f xml:space="preserve"> IF(ISBLANK(moras[[#This Row],[EDAD]]), EDA!$E$8, moras[[#This Row],[EDAD]])</f>
        <v>42</v>
      </c>
      <c r="P3057" s="14" t="str">
        <f>IF(
    OR(ISBLANK(moras[[#This Row],[TIPO_ASEGURAMIENTO]]), moras[[#This Row],[TIPO_ASEGURAMIENTO]]=""),
    EDA!$A$32,
    moras[[#This Row],[TIPO_ASEGURAMIENTO]]
)</f>
        <v>TRABAJADOR INDEPENDIENTE</v>
      </c>
    </row>
    <row r="3058" spans="1:16" x14ac:dyDescent="0.3">
      <c r="A3058">
        <v>3057</v>
      </c>
      <c r="B3058" t="s">
        <v>15</v>
      </c>
      <c r="C3058">
        <v>182811474</v>
      </c>
      <c r="D3058" t="s">
        <v>10</v>
      </c>
      <c r="E3058" t="s">
        <v>11</v>
      </c>
      <c r="F3058" t="s">
        <v>12</v>
      </c>
      <c r="G3058" t="s">
        <v>13</v>
      </c>
      <c r="H3058" t="s">
        <v>13</v>
      </c>
      <c r="I3058">
        <v>33</v>
      </c>
      <c r="J3058">
        <f>ABS((I3058-EDA!$A$15)/EDA!$B$15)</f>
        <v>0.63373765783552027</v>
      </c>
      <c r="K3058" t="str">
        <f t="shared" si="47"/>
        <v>No</v>
      </c>
      <c r="L3058">
        <f>ABS((C3058-EDA!$F$15)/EDA!$G$15)</f>
        <v>2.6664580040014623</v>
      </c>
      <c r="M3058" t="str">
        <f>IF(moras[[#This Row],[Z-Score Salario]]&gt;1.96, "Sí", "No")</f>
        <v>Sí</v>
      </c>
      <c r="N3058" s="14">
        <f>IF(ISBLANK(moras[[#This Row],[SALARIO]]), EDA!$M$8, moras[[#This Row],[SALARIO]])</f>
        <v>182811474</v>
      </c>
      <c r="O3058" s="14">
        <f xml:space="preserve"> IF(ISBLANK(moras[[#This Row],[EDAD]]), EDA!$E$8, moras[[#This Row],[EDAD]])</f>
        <v>33</v>
      </c>
      <c r="P3058" s="14" t="str">
        <f>IF(
    OR(ISBLANK(moras[[#This Row],[TIPO_ASEGURAMIENTO]]), moras[[#This Row],[TIPO_ASEGURAMIENTO]]=""),
    EDA!$A$32,
    moras[[#This Row],[TIPO_ASEGURAMIENTO]]
)</f>
        <v>ASALARIADO</v>
      </c>
    </row>
    <row r="3059" spans="1:16" x14ac:dyDescent="0.3">
      <c r="A3059">
        <v>3058</v>
      </c>
      <c r="B3059" t="s">
        <v>15</v>
      </c>
      <c r="C3059">
        <v>383625</v>
      </c>
      <c r="D3059" t="s">
        <v>10</v>
      </c>
      <c r="E3059" t="s">
        <v>16</v>
      </c>
      <c r="F3059" t="s">
        <v>12</v>
      </c>
      <c r="G3059" t="s">
        <v>13</v>
      </c>
      <c r="H3059" t="s">
        <v>13</v>
      </c>
      <c r="I3059">
        <v>26</v>
      </c>
      <c r="J3059">
        <f>ABS((I3059-EDA!$A$15)/EDA!$B$15)</f>
        <v>1.1277649683754829</v>
      </c>
      <c r="K3059" t="str">
        <f t="shared" si="47"/>
        <v>No</v>
      </c>
      <c r="L3059">
        <f>ABS((C3059-EDA!$F$15)/EDA!$G$15)</f>
        <v>0.36927018140225149</v>
      </c>
      <c r="M3059" t="str">
        <f>IF(moras[[#This Row],[Z-Score Salario]]&gt;1.96, "Sí", "No")</f>
        <v>No</v>
      </c>
      <c r="N3059" s="14">
        <f>IF(ISBLANK(moras[[#This Row],[SALARIO]]), EDA!$M$8, moras[[#This Row],[SALARIO]])</f>
        <v>383625</v>
      </c>
      <c r="O3059" s="14">
        <f xml:space="preserve"> IF(ISBLANK(moras[[#This Row],[EDAD]]), EDA!$E$8, moras[[#This Row],[EDAD]])</f>
        <v>26</v>
      </c>
      <c r="P3059" s="14" t="str">
        <f>IF(
    OR(ISBLANK(moras[[#This Row],[TIPO_ASEGURAMIENTO]]), moras[[#This Row],[TIPO_ASEGURAMIENTO]]=""),
    EDA!$A$32,
    moras[[#This Row],[TIPO_ASEGURAMIENTO]]
)</f>
        <v>ASALARIADO</v>
      </c>
    </row>
    <row r="3060" spans="1:16" x14ac:dyDescent="0.3">
      <c r="A3060">
        <v>3059</v>
      </c>
      <c r="B3060" t="s">
        <v>9</v>
      </c>
      <c r="C3060">
        <v>278030</v>
      </c>
      <c r="D3060" t="s">
        <v>19</v>
      </c>
      <c r="E3060" t="s">
        <v>16</v>
      </c>
      <c r="F3060" t="s">
        <v>12</v>
      </c>
      <c r="G3060" t="s">
        <v>13</v>
      </c>
      <c r="H3060" t="s">
        <v>13</v>
      </c>
      <c r="I3060">
        <v>26</v>
      </c>
      <c r="J3060">
        <f>ABS((I3060-EDA!$A$15)/EDA!$B$15)</f>
        <v>1.1277649683754829</v>
      </c>
      <c r="K3060" t="str">
        <f t="shared" si="47"/>
        <v>No</v>
      </c>
      <c r="L3060">
        <f>ABS((C3060-EDA!$F$15)/EDA!$G$15)</f>
        <v>0.37102735674304993</v>
      </c>
      <c r="M3060" t="str">
        <f>IF(moras[[#This Row],[Z-Score Salario]]&gt;1.96, "Sí", "No")</f>
        <v>No</v>
      </c>
      <c r="N3060" s="14">
        <f>IF(ISBLANK(moras[[#This Row],[SALARIO]]), EDA!$M$8, moras[[#This Row],[SALARIO]])</f>
        <v>278030</v>
      </c>
      <c r="O3060" s="14">
        <f xml:space="preserve"> IF(ISBLANK(moras[[#This Row],[EDAD]]), EDA!$E$8, moras[[#This Row],[EDAD]])</f>
        <v>26</v>
      </c>
      <c r="P3060" s="14" t="str">
        <f>IF(
    OR(ISBLANK(moras[[#This Row],[TIPO_ASEGURAMIENTO]]), moras[[#This Row],[TIPO_ASEGURAMIENTO]]=""),
    EDA!$A$32,
    moras[[#This Row],[TIPO_ASEGURAMIENTO]]
)</f>
        <v>CONVENIOS ESPECIALES DE TRABAJADORES INDEPENDIENTES</v>
      </c>
    </row>
    <row r="3061" spans="1:16" x14ac:dyDescent="0.3">
      <c r="A3061">
        <v>3060</v>
      </c>
      <c r="B3061" t="s">
        <v>15</v>
      </c>
      <c r="C3061">
        <v>3817836</v>
      </c>
      <c r="D3061" t="s">
        <v>10</v>
      </c>
      <c r="E3061" t="s">
        <v>16</v>
      </c>
      <c r="F3061" t="s">
        <v>12</v>
      </c>
      <c r="G3061" t="s">
        <v>13</v>
      </c>
      <c r="H3061" t="s">
        <v>13</v>
      </c>
      <c r="I3061">
        <v>31</v>
      </c>
      <c r="J3061">
        <f>ABS((I3061-EDA!$A$15)/EDA!$B$15)</f>
        <v>0.77488831798979529</v>
      </c>
      <c r="K3061" t="str">
        <f t="shared" si="47"/>
        <v>No</v>
      </c>
      <c r="L3061">
        <f>ABS((C3061-EDA!$F$15)/EDA!$G$15)</f>
        <v>0.31212248611081889</v>
      </c>
      <c r="M3061" t="str">
        <f>IF(moras[[#This Row],[Z-Score Salario]]&gt;1.96, "Sí", "No")</f>
        <v>No</v>
      </c>
      <c r="N3061" s="14">
        <f>IF(ISBLANK(moras[[#This Row],[SALARIO]]), EDA!$M$8, moras[[#This Row],[SALARIO]])</f>
        <v>3817836</v>
      </c>
      <c r="O3061" s="14">
        <f xml:space="preserve"> IF(ISBLANK(moras[[#This Row],[EDAD]]), EDA!$E$8, moras[[#This Row],[EDAD]])</f>
        <v>31</v>
      </c>
      <c r="P3061" s="14" t="str">
        <f>IF(
    OR(ISBLANK(moras[[#This Row],[TIPO_ASEGURAMIENTO]]), moras[[#This Row],[TIPO_ASEGURAMIENTO]]=""),
    EDA!$A$32,
    moras[[#This Row],[TIPO_ASEGURAMIENTO]]
)</f>
        <v>ASALARIADO</v>
      </c>
    </row>
    <row r="3062" spans="1:16" x14ac:dyDescent="0.3">
      <c r="A3062">
        <v>3061</v>
      </c>
      <c r="B3062" t="s">
        <v>15</v>
      </c>
      <c r="C3062">
        <v>485000</v>
      </c>
      <c r="D3062" t="s">
        <v>10</v>
      </c>
      <c r="E3062" t="s">
        <v>16</v>
      </c>
      <c r="F3062" t="s">
        <v>12</v>
      </c>
      <c r="G3062" t="s">
        <v>13</v>
      </c>
      <c r="H3062" t="s">
        <v>13</v>
      </c>
      <c r="I3062">
        <v>39</v>
      </c>
      <c r="J3062">
        <f>ABS((I3062-EDA!$A$15)/EDA!$B$15)</f>
        <v>0.21028567737269524</v>
      </c>
      <c r="K3062" t="str">
        <f t="shared" si="47"/>
        <v>No</v>
      </c>
      <c r="L3062">
        <f>ABS((C3062-EDA!$F$15)/EDA!$G$15)</f>
        <v>0.36758322984040248</v>
      </c>
      <c r="M3062" t="str">
        <f>IF(moras[[#This Row],[Z-Score Salario]]&gt;1.96, "Sí", "No")</f>
        <v>No</v>
      </c>
      <c r="N3062" s="14">
        <f>IF(ISBLANK(moras[[#This Row],[SALARIO]]), EDA!$M$8, moras[[#This Row],[SALARIO]])</f>
        <v>485000</v>
      </c>
      <c r="O3062" s="14">
        <f xml:space="preserve"> IF(ISBLANK(moras[[#This Row],[EDAD]]), EDA!$E$8, moras[[#This Row],[EDAD]])</f>
        <v>39</v>
      </c>
      <c r="P3062" s="14" t="str">
        <f>IF(
    OR(ISBLANK(moras[[#This Row],[TIPO_ASEGURAMIENTO]]), moras[[#This Row],[TIPO_ASEGURAMIENTO]]=""),
    EDA!$A$32,
    moras[[#This Row],[TIPO_ASEGURAMIENTO]]
)</f>
        <v>ASALARIADO</v>
      </c>
    </row>
    <row r="3063" spans="1:16" x14ac:dyDescent="0.3">
      <c r="A3063">
        <v>3062</v>
      </c>
      <c r="B3063" t="s">
        <v>9</v>
      </c>
      <c r="C3063">
        <v>301566</v>
      </c>
      <c r="D3063" t="s">
        <v>18</v>
      </c>
      <c r="E3063" t="s">
        <v>16</v>
      </c>
      <c r="F3063" t="s">
        <v>12</v>
      </c>
      <c r="G3063" t="s">
        <v>13</v>
      </c>
      <c r="H3063" t="s">
        <v>12</v>
      </c>
      <c r="I3063">
        <v>28</v>
      </c>
      <c r="J3063">
        <f>ABS((I3063-EDA!$A$15)/EDA!$B$15)</f>
        <v>0.98661430822120777</v>
      </c>
      <c r="K3063" t="str">
        <f t="shared" si="47"/>
        <v>No</v>
      </c>
      <c r="L3063">
        <f>ABS((C3063-EDA!$F$15)/EDA!$G$15)</f>
        <v>0.37063570108870048</v>
      </c>
      <c r="M3063" t="str">
        <f>IF(moras[[#This Row],[Z-Score Salario]]&gt;1.96, "Sí", "No")</f>
        <v>No</v>
      </c>
      <c r="N3063" s="14">
        <f>IF(ISBLANK(moras[[#This Row],[SALARIO]]), EDA!$M$8, moras[[#This Row],[SALARIO]])</f>
        <v>301566</v>
      </c>
      <c r="O3063" s="14">
        <f xml:space="preserve"> IF(ISBLANK(moras[[#This Row],[EDAD]]), EDA!$E$8, moras[[#This Row],[EDAD]])</f>
        <v>28</v>
      </c>
      <c r="P3063" s="14" t="str">
        <f>IF(
    OR(ISBLANK(moras[[#This Row],[TIPO_ASEGURAMIENTO]]), moras[[#This Row],[TIPO_ASEGURAMIENTO]]=""),
    EDA!$A$32,
    moras[[#This Row],[TIPO_ASEGURAMIENTO]]
)</f>
        <v>TRABAJADOR INDEPENDIENTE</v>
      </c>
    </row>
    <row r="3064" spans="1:16" x14ac:dyDescent="0.3">
      <c r="A3064">
        <v>3063</v>
      </c>
      <c r="B3064" t="s">
        <v>9</v>
      </c>
      <c r="C3064">
        <v>14928006</v>
      </c>
      <c r="D3064" t="s">
        <v>10</v>
      </c>
      <c r="E3064" t="s">
        <v>11</v>
      </c>
      <c r="F3064" t="s">
        <v>12</v>
      </c>
      <c r="G3064" t="s">
        <v>13</v>
      </c>
      <c r="H3064" t="s">
        <v>13</v>
      </c>
      <c r="I3064">
        <v>37</v>
      </c>
      <c r="J3064">
        <f>ABS((I3064-EDA!$A$15)/EDA!$B$15)</f>
        <v>0.35143633752697023</v>
      </c>
      <c r="K3064" t="str">
        <f t="shared" si="47"/>
        <v>No</v>
      </c>
      <c r="L3064">
        <f>ABS((C3064-EDA!$F$15)/EDA!$G$15)</f>
        <v>0.12724141450630316</v>
      </c>
      <c r="M3064" t="str">
        <f>IF(moras[[#This Row],[Z-Score Salario]]&gt;1.96, "Sí", "No")</f>
        <v>No</v>
      </c>
      <c r="N3064" s="14">
        <f>IF(ISBLANK(moras[[#This Row],[SALARIO]]), EDA!$M$8, moras[[#This Row],[SALARIO]])</f>
        <v>14928006</v>
      </c>
      <c r="O3064" s="14">
        <f xml:space="preserve"> IF(ISBLANK(moras[[#This Row],[EDAD]]), EDA!$E$8, moras[[#This Row],[EDAD]])</f>
        <v>37</v>
      </c>
      <c r="P3064" s="14" t="str">
        <f>IF(
    OR(ISBLANK(moras[[#This Row],[TIPO_ASEGURAMIENTO]]), moras[[#This Row],[TIPO_ASEGURAMIENTO]]=""),
    EDA!$A$32,
    moras[[#This Row],[TIPO_ASEGURAMIENTO]]
)</f>
        <v>ASALARIADO</v>
      </c>
    </row>
    <row r="3065" spans="1:16" x14ac:dyDescent="0.3">
      <c r="A3065">
        <v>3064</v>
      </c>
      <c r="B3065" t="s">
        <v>15</v>
      </c>
      <c r="C3065">
        <v>749840</v>
      </c>
      <c r="D3065" t="s">
        <v>10</v>
      </c>
      <c r="E3065" t="s">
        <v>16</v>
      </c>
      <c r="F3065" t="s">
        <v>12</v>
      </c>
      <c r="G3065" t="s">
        <v>13</v>
      </c>
      <c r="H3065" t="s">
        <v>13</v>
      </c>
      <c r="I3065">
        <v>23</v>
      </c>
      <c r="J3065">
        <f>ABS((I3065-EDA!$A$15)/EDA!$B$15)</f>
        <v>1.3394909586068953</v>
      </c>
      <c r="K3065" t="str">
        <f t="shared" si="47"/>
        <v>No</v>
      </c>
      <c r="L3065">
        <f>ABS((C3065-EDA!$F$15)/EDA!$G$15)</f>
        <v>0.3631761052866162</v>
      </c>
      <c r="M3065" t="str">
        <f>IF(moras[[#This Row],[Z-Score Salario]]&gt;1.96, "Sí", "No")</f>
        <v>No</v>
      </c>
      <c r="N3065" s="14">
        <f>IF(ISBLANK(moras[[#This Row],[SALARIO]]), EDA!$M$8, moras[[#This Row],[SALARIO]])</f>
        <v>749840</v>
      </c>
      <c r="O3065" s="14">
        <f xml:space="preserve"> IF(ISBLANK(moras[[#This Row],[EDAD]]), EDA!$E$8, moras[[#This Row],[EDAD]])</f>
        <v>23</v>
      </c>
      <c r="P3065" s="14" t="str">
        <f>IF(
    OR(ISBLANK(moras[[#This Row],[TIPO_ASEGURAMIENTO]]), moras[[#This Row],[TIPO_ASEGURAMIENTO]]=""),
    EDA!$A$32,
    moras[[#This Row],[TIPO_ASEGURAMIENTO]]
)</f>
        <v>ASALARIADO</v>
      </c>
    </row>
    <row r="3066" spans="1:16" x14ac:dyDescent="0.3">
      <c r="A3066">
        <v>3065</v>
      </c>
      <c r="B3066" t="s">
        <v>15</v>
      </c>
      <c r="C3066">
        <v>371527</v>
      </c>
      <c r="D3066" t="s">
        <v>10</v>
      </c>
      <c r="E3066" t="s">
        <v>16</v>
      </c>
      <c r="F3066" t="s">
        <v>12</v>
      </c>
      <c r="G3066" t="s">
        <v>13</v>
      </c>
      <c r="H3066" t="s">
        <v>13</v>
      </c>
      <c r="I3066">
        <v>35</v>
      </c>
      <c r="J3066">
        <f>ABS((I3066-EDA!$A$15)/EDA!$B$15)</f>
        <v>0.49258699768124525</v>
      </c>
      <c r="K3066" t="str">
        <f t="shared" si="47"/>
        <v>No</v>
      </c>
      <c r="L3066">
        <f>ABS((C3066-EDA!$F$15)/EDA!$G$15)</f>
        <v>0.36947150066237722</v>
      </c>
      <c r="M3066" t="str">
        <f>IF(moras[[#This Row],[Z-Score Salario]]&gt;1.96, "Sí", "No")</f>
        <v>No</v>
      </c>
      <c r="N3066" s="14">
        <f>IF(ISBLANK(moras[[#This Row],[SALARIO]]), EDA!$M$8, moras[[#This Row],[SALARIO]])</f>
        <v>371527</v>
      </c>
      <c r="O3066" s="14">
        <f xml:space="preserve"> IF(ISBLANK(moras[[#This Row],[EDAD]]), EDA!$E$8, moras[[#This Row],[EDAD]])</f>
        <v>35</v>
      </c>
      <c r="P3066" s="14" t="str">
        <f>IF(
    OR(ISBLANK(moras[[#This Row],[TIPO_ASEGURAMIENTO]]), moras[[#This Row],[TIPO_ASEGURAMIENTO]]=""),
    EDA!$A$32,
    moras[[#This Row],[TIPO_ASEGURAMIENTO]]
)</f>
        <v>ASALARIADO</v>
      </c>
    </row>
    <row r="3067" spans="1:16" x14ac:dyDescent="0.3">
      <c r="A3067">
        <v>3066</v>
      </c>
      <c r="B3067" t="s">
        <v>15</v>
      </c>
      <c r="C3067">
        <v>297044</v>
      </c>
      <c r="D3067" t="s">
        <v>17</v>
      </c>
      <c r="E3067" t="s">
        <v>16</v>
      </c>
      <c r="F3067" t="s">
        <v>12</v>
      </c>
      <c r="G3067" t="s">
        <v>12</v>
      </c>
      <c r="H3067" t="s">
        <v>12</v>
      </c>
      <c r="I3067">
        <v>33</v>
      </c>
      <c r="J3067">
        <f>ABS((I3067-EDA!$A$15)/EDA!$B$15)</f>
        <v>0.63373765783552027</v>
      </c>
      <c r="K3067" t="str">
        <f t="shared" si="47"/>
        <v>No</v>
      </c>
      <c r="L3067">
        <f>ABS((C3067-EDA!$F$15)/EDA!$G$15)</f>
        <v>0.3707109503608354</v>
      </c>
      <c r="M3067" t="str">
        <f>IF(moras[[#This Row],[Z-Score Salario]]&gt;1.96, "Sí", "No")</f>
        <v>No</v>
      </c>
      <c r="N3067" s="14">
        <f>IF(ISBLANK(moras[[#This Row],[SALARIO]]), EDA!$M$8, moras[[#This Row],[SALARIO]])</f>
        <v>297044</v>
      </c>
      <c r="O3067" s="14">
        <f xml:space="preserve"> IF(ISBLANK(moras[[#This Row],[EDAD]]), EDA!$E$8, moras[[#This Row],[EDAD]])</f>
        <v>33</v>
      </c>
      <c r="P3067" s="14" t="str">
        <f>IF(
    OR(ISBLANK(moras[[#This Row],[TIPO_ASEGURAMIENTO]]), moras[[#This Row],[TIPO_ASEGURAMIENTO]]=""),
    EDA!$A$32,
    moras[[#This Row],[TIPO_ASEGURAMIENTO]]
)</f>
        <v>ASEGURADO VOLUNTARIO</v>
      </c>
    </row>
    <row r="3068" spans="1:16" x14ac:dyDescent="0.3">
      <c r="A3068">
        <v>3067</v>
      </c>
      <c r="B3068" t="s">
        <v>15</v>
      </c>
      <c r="C3068">
        <v>1498971</v>
      </c>
      <c r="D3068" t="s">
        <v>10</v>
      </c>
      <c r="E3068" t="s">
        <v>11</v>
      </c>
      <c r="F3068" t="s">
        <v>12</v>
      </c>
      <c r="G3068" t="s">
        <v>13</v>
      </c>
      <c r="H3068" t="s">
        <v>12</v>
      </c>
      <c r="I3068">
        <v>42</v>
      </c>
      <c r="J3068">
        <f>ABS((I3068-EDA!$A$15)/EDA!$B$15)</f>
        <v>1.4403128587172659E-3</v>
      </c>
      <c r="K3068" t="str">
        <f t="shared" si="47"/>
        <v>No</v>
      </c>
      <c r="L3068">
        <f>ABS((C3068-EDA!$F$15)/EDA!$G$15)</f>
        <v>0.350710036625906</v>
      </c>
      <c r="M3068" t="str">
        <f>IF(moras[[#This Row],[Z-Score Salario]]&gt;1.96, "Sí", "No")</f>
        <v>No</v>
      </c>
      <c r="N3068" s="14">
        <f>IF(ISBLANK(moras[[#This Row],[SALARIO]]), EDA!$M$8, moras[[#This Row],[SALARIO]])</f>
        <v>1498971</v>
      </c>
      <c r="O3068" s="14">
        <f xml:space="preserve"> IF(ISBLANK(moras[[#This Row],[EDAD]]), EDA!$E$8, moras[[#This Row],[EDAD]])</f>
        <v>42</v>
      </c>
      <c r="P3068" s="14" t="str">
        <f>IF(
    OR(ISBLANK(moras[[#This Row],[TIPO_ASEGURAMIENTO]]), moras[[#This Row],[TIPO_ASEGURAMIENTO]]=""),
    EDA!$A$32,
    moras[[#This Row],[TIPO_ASEGURAMIENTO]]
)</f>
        <v>ASALARIADO</v>
      </c>
    </row>
    <row r="3069" spans="1:16" x14ac:dyDescent="0.3">
      <c r="A3069">
        <v>3068</v>
      </c>
      <c r="B3069" t="s">
        <v>9</v>
      </c>
      <c r="C3069">
        <v>611409</v>
      </c>
      <c r="D3069" t="s">
        <v>18</v>
      </c>
      <c r="E3069" t="s">
        <v>16</v>
      </c>
      <c r="F3069" t="s">
        <v>12</v>
      </c>
      <c r="G3069" t="s">
        <v>13</v>
      </c>
      <c r="H3069" t="s">
        <v>13</v>
      </c>
      <c r="I3069">
        <v>45</v>
      </c>
      <c r="J3069">
        <f>ABS((I3069-EDA!$A$15)/EDA!$B$15)</f>
        <v>0.21316630309012977</v>
      </c>
      <c r="K3069" t="str">
        <f t="shared" si="47"/>
        <v>No</v>
      </c>
      <c r="L3069">
        <f>ABS((C3069-EDA!$F$15)/EDA!$G$15)</f>
        <v>0.36547969484674753</v>
      </c>
      <c r="M3069" t="str">
        <f>IF(moras[[#This Row],[Z-Score Salario]]&gt;1.96, "Sí", "No")</f>
        <v>No</v>
      </c>
      <c r="N3069" s="14">
        <f>IF(ISBLANK(moras[[#This Row],[SALARIO]]), EDA!$M$8, moras[[#This Row],[SALARIO]])</f>
        <v>611409</v>
      </c>
      <c r="O3069" s="14">
        <f xml:space="preserve"> IF(ISBLANK(moras[[#This Row],[EDAD]]), EDA!$E$8, moras[[#This Row],[EDAD]])</f>
        <v>45</v>
      </c>
      <c r="P3069" s="14" t="str">
        <f>IF(
    OR(ISBLANK(moras[[#This Row],[TIPO_ASEGURAMIENTO]]), moras[[#This Row],[TIPO_ASEGURAMIENTO]]=""),
    EDA!$A$32,
    moras[[#This Row],[TIPO_ASEGURAMIENTO]]
)</f>
        <v>TRABAJADOR INDEPENDIENTE</v>
      </c>
    </row>
    <row r="3070" spans="1:16" x14ac:dyDescent="0.3">
      <c r="A3070">
        <v>3069</v>
      </c>
      <c r="B3070" t="s">
        <v>15</v>
      </c>
      <c r="C3070">
        <v>390655</v>
      </c>
      <c r="D3070" t="s">
        <v>14</v>
      </c>
      <c r="E3070" t="s">
        <v>11</v>
      </c>
      <c r="F3070" t="s">
        <v>12</v>
      </c>
      <c r="G3070" t="s">
        <v>13</v>
      </c>
      <c r="H3070" t="s">
        <v>13</v>
      </c>
      <c r="I3070">
        <v>57</v>
      </c>
      <c r="J3070">
        <f>ABS((I3070-EDA!$A$15)/EDA!$B$15)</f>
        <v>1.0600702640157798</v>
      </c>
      <c r="K3070" t="str">
        <f t="shared" si="47"/>
        <v>No</v>
      </c>
      <c r="L3070">
        <f>ABS((C3070-EDA!$F$15)/EDA!$G$15)</f>
        <v>0.3691531972396887</v>
      </c>
      <c r="M3070" t="str">
        <f>IF(moras[[#This Row],[Z-Score Salario]]&gt;1.96, "Sí", "No")</f>
        <v>No</v>
      </c>
      <c r="N3070" s="14">
        <f>IF(ISBLANK(moras[[#This Row],[SALARIO]]), EDA!$M$8, moras[[#This Row],[SALARIO]])</f>
        <v>390655</v>
      </c>
      <c r="O3070" s="14">
        <f xml:space="preserve"> IF(ISBLANK(moras[[#This Row],[EDAD]]), EDA!$E$8, moras[[#This Row],[EDAD]])</f>
        <v>57</v>
      </c>
      <c r="P3070" s="14" t="str">
        <f>IF(
    OR(ISBLANK(moras[[#This Row],[TIPO_ASEGURAMIENTO]]), moras[[#This Row],[TIPO_ASEGURAMIENTO]]=""),
    EDA!$A$32,
    moras[[#This Row],[TIPO_ASEGURAMIENTO]]
)</f>
        <v>PENSIONADOS EN SU PROPIO SISTEMA</v>
      </c>
    </row>
    <row r="3071" spans="1:16" x14ac:dyDescent="0.3">
      <c r="A3071">
        <v>3070</v>
      </c>
      <c r="B3071" t="s">
        <v>9</v>
      </c>
      <c r="C3071">
        <v>406358</v>
      </c>
      <c r="D3071" t="s">
        <v>18</v>
      </c>
      <c r="E3071" t="s">
        <v>16</v>
      </c>
      <c r="F3071" t="s">
        <v>12</v>
      </c>
      <c r="G3071" t="s">
        <v>12</v>
      </c>
      <c r="H3071" t="s">
        <v>12</v>
      </c>
      <c r="I3071">
        <v>71</v>
      </c>
      <c r="J3071">
        <f>ABS((I3071-EDA!$A$15)/EDA!$B$15)</f>
        <v>2.0481248850957048</v>
      </c>
      <c r="K3071" t="str">
        <f t="shared" si="47"/>
        <v>Sí</v>
      </c>
      <c r="L3071">
        <f>ABS((C3071-EDA!$F$15)/EDA!$G$15)</f>
        <v>0.3688918882347495</v>
      </c>
      <c r="M3071" t="str">
        <f>IF(moras[[#This Row],[Z-Score Salario]]&gt;1.96, "Sí", "No")</f>
        <v>No</v>
      </c>
      <c r="N3071" s="14">
        <f>IF(ISBLANK(moras[[#This Row],[SALARIO]]), EDA!$M$8, moras[[#This Row],[SALARIO]])</f>
        <v>406358</v>
      </c>
      <c r="O3071" s="14">
        <f xml:space="preserve"> IF(ISBLANK(moras[[#This Row],[EDAD]]), EDA!$E$8, moras[[#This Row],[EDAD]])</f>
        <v>71</v>
      </c>
      <c r="P3071" s="14" t="str">
        <f>IF(
    OR(ISBLANK(moras[[#This Row],[TIPO_ASEGURAMIENTO]]), moras[[#This Row],[TIPO_ASEGURAMIENTO]]=""),
    EDA!$A$32,
    moras[[#This Row],[TIPO_ASEGURAMIENTO]]
)</f>
        <v>TRABAJADOR INDEPENDIENTE</v>
      </c>
    </row>
    <row r="3072" spans="1:16" x14ac:dyDescent="0.3">
      <c r="A3072">
        <v>3071</v>
      </c>
      <c r="B3072" t="s">
        <v>15</v>
      </c>
      <c r="C3072">
        <v>1489869</v>
      </c>
      <c r="D3072" t="s">
        <v>10</v>
      </c>
      <c r="E3072" t="s">
        <v>11</v>
      </c>
      <c r="F3072" t="s">
        <v>12</v>
      </c>
      <c r="G3072" t="s">
        <v>13</v>
      </c>
      <c r="H3072" t="s">
        <v>13</v>
      </c>
      <c r="I3072">
        <v>28</v>
      </c>
      <c r="J3072">
        <f>ABS((I3072-EDA!$A$15)/EDA!$B$15)</f>
        <v>0.98661430822120777</v>
      </c>
      <c r="K3072" t="str">
        <f t="shared" si="47"/>
        <v>No</v>
      </c>
      <c r="L3072">
        <f>ABS((C3072-EDA!$F$15)/EDA!$G$15)</f>
        <v>0.35086150033111879</v>
      </c>
      <c r="M3072" t="str">
        <f>IF(moras[[#This Row],[Z-Score Salario]]&gt;1.96, "Sí", "No")</f>
        <v>No</v>
      </c>
      <c r="N3072" s="14">
        <f>IF(ISBLANK(moras[[#This Row],[SALARIO]]), EDA!$M$8, moras[[#This Row],[SALARIO]])</f>
        <v>1489869</v>
      </c>
      <c r="O3072" s="14">
        <f xml:space="preserve"> IF(ISBLANK(moras[[#This Row],[EDAD]]), EDA!$E$8, moras[[#This Row],[EDAD]])</f>
        <v>28</v>
      </c>
      <c r="P3072" s="14" t="str">
        <f>IF(
    OR(ISBLANK(moras[[#This Row],[TIPO_ASEGURAMIENTO]]), moras[[#This Row],[TIPO_ASEGURAMIENTO]]=""),
    EDA!$A$32,
    moras[[#This Row],[TIPO_ASEGURAMIENTO]]
)</f>
        <v>ASALARIADO</v>
      </c>
    </row>
    <row r="3073" spans="1:16" x14ac:dyDescent="0.3">
      <c r="A3073">
        <v>3072</v>
      </c>
      <c r="B3073" t="s">
        <v>15</v>
      </c>
      <c r="C3073">
        <v>10446345</v>
      </c>
      <c r="D3073" t="s">
        <v>10</v>
      </c>
      <c r="E3073" t="s">
        <v>11</v>
      </c>
      <c r="F3073" t="s">
        <v>12</v>
      </c>
      <c r="G3073" t="s">
        <v>13</v>
      </c>
      <c r="H3073" t="s">
        <v>13</v>
      </c>
      <c r="I3073">
        <v>37</v>
      </c>
      <c r="J3073">
        <f>ABS((I3073-EDA!$A$15)/EDA!$B$15)</f>
        <v>0.35143633752697023</v>
      </c>
      <c r="K3073" t="str">
        <f t="shared" si="47"/>
        <v>No</v>
      </c>
      <c r="L3073">
        <f>ABS((C3073-EDA!$F$15)/EDA!$G$15)</f>
        <v>0.20181941720546667</v>
      </c>
      <c r="M3073" t="str">
        <f>IF(moras[[#This Row],[Z-Score Salario]]&gt;1.96, "Sí", "No")</f>
        <v>No</v>
      </c>
      <c r="N3073" s="14">
        <f>IF(ISBLANK(moras[[#This Row],[SALARIO]]), EDA!$M$8, moras[[#This Row],[SALARIO]])</f>
        <v>10446345</v>
      </c>
      <c r="O3073" s="14">
        <f xml:space="preserve"> IF(ISBLANK(moras[[#This Row],[EDAD]]), EDA!$E$8, moras[[#This Row],[EDAD]])</f>
        <v>37</v>
      </c>
      <c r="P3073" s="14" t="str">
        <f>IF(
    OR(ISBLANK(moras[[#This Row],[TIPO_ASEGURAMIENTO]]), moras[[#This Row],[TIPO_ASEGURAMIENTO]]=""),
    EDA!$A$32,
    moras[[#This Row],[TIPO_ASEGURAMIENTO]]
)</f>
        <v>ASALARIADO</v>
      </c>
    </row>
    <row r="3074" spans="1:16" x14ac:dyDescent="0.3">
      <c r="A3074">
        <v>3073</v>
      </c>
      <c r="B3074" t="s">
        <v>15</v>
      </c>
      <c r="C3074">
        <v>37772994</v>
      </c>
      <c r="D3074" t="s">
        <v>10</v>
      </c>
      <c r="E3074" t="s">
        <v>16</v>
      </c>
      <c r="F3074" t="s">
        <v>12</v>
      </c>
      <c r="G3074" t="s">
        <v>13</v>
      </c>
      <c r="H3074" t="s">
        <v>13</v>
      </c>
      <c r="I3074">
        <v>40</v>
      </c>
      <c r="J3074">
        <f>ABS((I3074-EDA!$A$15)/EDA!$B$15)</f>
        <v>0.13971034729555773</v>
      </c>
      <c r="K3074" t="str">
        <f t="shared" ref="K3074:K3137" si="48">IF(J3074 &gt;  1.96, "Sí","No")</f>
        <v>No</v>
      </c>
      <c r="L3074">
        <f>ABS((C3074-EDA!$F$15)/EDA!$G$15)</f>
        <v>0.25291531236937037</v>
      </c>
      <c r="M3074" t="str">
        <f>IF(moras[[#This Row],[Z-Score Salario]]&gt;1.96, "Sí", "No")</f>
        <v>No</v>
      </c>
      <c r="N3074" s="14">
        <f>IF(ISBLANK(moras[[#This Row],[SALARIO]]), EDA!$M$8, moras[[#This Row],[SALARIO]])</f>
        <v>37772994</v>
      </c>
      <c r="O3074" s="14">
        <f xml:space="preserve"> IF(ISBLANK(moras[[#This Row],[EDAD]]), EDA!$E$8, moras[[#This Row],[EDAD]])</f>
        <v>40</v>
      </c>
      <c r="P3074" s="14" t="str">
        <f>IF(
    OR(ISBLANK(moras[[#This Row],[TIPO_ASEGURAMIENTO]]), moras[[#This Row],[TIPO_ASEGURAMIENTO]]=""),
    EDA!$A$32,
    moras[[#This Row],[TIPO_ASEGURAMIENTO]]
)</f>
        <v>ASALARIADO</v>
      </c>
    </row>
    <row r="3075" spans="1:16" x14ac:dyDescent="0.3">
      <c r="A3075">
        <v>3074</v>
      </c>
      <c r="B3075" t="s">
        <v>9</v>
      </c>
      <c r="C3075">
        <v>75000</v>
      </c>
      <c r="D3075" t="s">
        <v>10</v>
      </c>
      <c r="E3075" t="s">
        <v>16</v>
      </c>
      <c r="F3075" t="s">
        <v>12</v>
      </c>
      <c r="G3075" t="s">
        <v>13</v>
      </c>
      <c r="H3075" t="s">
        <v>13</v>
      </c>
      <c r="I3075">
        <v>29</v>
      </c>
      <c r="J3075">
        <f>ABS((I3075-EDA!$A$15)/EDA!$B$15)</f>
        <v>0.91603897814407031</v>
      </c>
      <c r="K3075" t="str">
        <f t="shared" si="48"/>
        <v>No</v>
      </c>
      <c r="L3075">
        <f>ABS((C3075-EDA!$F$15)/EDA!$G$15)</f>
        <v>0.37440591926440331</v>
      </c>
      <c r="M3075" t="str">
        <f>IF(moras[[#This Row],[Z-Score Salario]]&gt;1.96, "Sí", "No")</f>
        <v>No</v>
      </c>
      <c r="N3075" s="14">
        <f>IF(ISBLANK(moras[[#This Row],[SALARIO]]), EDA!$M$8, moras[[#This Row],[SALARIO]])</f>
        <v>75000</v>
      </c>
      <c r="O3075" s="14">
        <f xml:space="preserve"> IF(ISBLANK(moras[[#This Row],[EDAD]]), EDA!$E$8, moras[[#This Row],[EDAD]])</f>
        <v>29</v>
      </c>
      <c r="P3075" s="14" t="str">
        <f>IF(
    OR(ISBLANK(moras[[#This Row],[TIPO_ASEGURAMIENTO]]), moras[[#This Row],[TIPO_ASEGURAMIENTO]]=""),
    EDA!$A$32,
    moras[[#This Row],[TIPO_ASEGURAMIENTO]]
)</f>
        <v>ASALARIADO</v>
      </c>
    </row>
    <row r="3076" spans="1:16" x14ac:dyDescent="0.3">
      <c r="A3076">
        <v>3075</v>
      </c>
      <c r="B3076" t="s">
        <v>15</v>
      </c>
      <c r="C3076">
        <v>341091</v>
      </c>
      <c r="D3076" t="s">
        <v>10</v>
      </c>
      <c r="E3076" t="s">
        <v>16</v>
      </c>
      <c r="F3076" t="s">
        <v>12</v>
      </c>
      <c r="G3076" t="s">
        <v>13</v>
      </c>
      <c r="H3076" t="s">
        <v>13</v>
      </c>
      <c r="I3076">
        <v>43</v>
      </c>
      <c r="J3076">
        <f>ABS((I3076-EDA!$A$15)/EDA!$B$15)</f>
        <v>7.2015642935854773E-2</v>
      </c>
      <c r="K3076" t="str">
        <f t="shared" si="48"/>
        <v>No</v>
      </c>
      <c r="L3076">
        <f>ABS((C3076-EDA!$F$15)/EDA!$G$15)</f>
        <v>0.36997797718752085</v>
      </c>
      <c r="M3076" t="str">
        <f>IF(moras[[#This Row],[Z-Score Salario]]&gt;1.96, "Sí", "No")</f>
        <v>No</v>
      </c>
      <c r="N3076" s="14">
        <f>IF(ISBLANK(moras[[#This Row],[SALARIO]]), EDA!$M$8, moras[[#This Row],[SALARIO]])</f>
        <v>341091</v>
      </c>
      <c r="O3076" s="14">
        <f xml:space="preserve"> IF(ISBLANK(moras[[#This Row],[EDAD]]), EDA!$E$8, moras[[#This Row],[EDAD]])</f>
        <v>43</v>
      </c>
      <c r="P3076" s="14" t="str">
        <f>IF(
    OR(ISBLANK(moras[[#This Row],[TIPO_ASEGURAMIENTO]]), moras[[#This Row],[TIPO_ASEGURAMIENTO]]=""),
    EDA!$A$32,
    moras[[#This Row],[TIPO_ASEGURAMIENTO]]
)</f>
        <v>ASALARIADO</v>
      </c>
    </row>
    <row r="3077" spans="1:16" x14ac:dyDescent="0.3">
      <c r="A3077">
        <v>3076</v>
      </c>
      <c r="B3077" t="s">
        <v>15</v>
      </c>
      <c r="C3077">
        <v>297045</v>
      </c>
      <c r="D3077" t="s">
        <v>17</v>
      </c>
      <c r="E3077" t="s">
        <v>16</v>
      </c>
      <c r="F3077" t="s">
        <v>12</v>
      </c>
      <c r="G3077" t="s">
        <v>13</v>
      </c>
      <c r="H3077" t="s">
        <v>13</v>
      </c>
      <c r="I3077">
        <v>54</v>
      </c>
      <c r="J3077">
        <f>ABS((I3077-EDA!$A$15)/EDA!$B$15)</f>
        <v>0.84834427378436728</v>
      </c>
      <c r="K3077" t="str">
        <f t="shared" si="48"/>
        <v>No</v>
      </c>
      <c r="L3077">
        <f>ABS((C3077-EDA!$F$15)/EDA!$G$15)</f>
        <v>0.37071093372012948</v>
      </c>
      <c r="M3077" t="str">
        <f>IF(moras[[#This Row],[Z-Score Salario]]&gt;1.96, "Sí", "No")</f>
        <v>No</v>
      </c>
      <c r="N3077" s="14">
        <f>IF(ISBLANK(moras[[#This Row],[SALARIO]]), EDA!$M$8, moras[[#This Row],[SALARIO]])</f>
        <v>297045</v>
      </c>
      <c r="O3077" s="14">
        <f xml:space="preserve"> IF(ISBLANK(moras[[#This Row],[EDAD]]), EDA!$E$8, moras[[#This Row],[EDAD]])</f>
        <v>54</v>
      </c>
      <c r="P3077" s="14" t="str">
        <f>IF(
    OR(ISBLANK(moras[[#This Row],[TIPO_ASEGURAMIENTO]]), moras[[#This Row],[TIPO_ASEGURAMIENTO]]=""),
    EDA!$A$32,
    moras[[#This Row],[TIPO_ASEGURAMIENTO]]
)</f>
        <v>ASEGURADO VOLUNTARIO</v>
      </c>
    </row>
    <row r="3078" spans="1:16" x14ac:dyDescent="0.3">
      <c r="A3078">
        <v>3077</v>
      </c>
      <c r="B3078" t="s">
        <v>9</v>
      </c>
      <c r="C3078">
        <v>300000</v>
      </c>
      <c r="D3078" t="s">
        <v>10</v>
      </c>
      <c r="E3078" t="s">
        <v>16</v>
      </c>
      <c r="F3078" t="s">
        <v>12</v>
      </c>
      <c r="G3078" t="s">
        <v>12</v>
      </c>
      <c r="H3078" t="s">
        <v>13</v>
      </c>
      <c r="I3078">
        <v>33</v>
      </c>
      <c r="J3078">
        <f>ABS((I3078-EDA!$A$15)/EDA!$B$15)</f>
        <v>0.63373765783552027</v>
      </c>
      <c r="K3078" t="str">
        <f t="shared" si="48"/>
        <v>No</v>
      </c>
      <c r="L3078">
        <f>ABS((C3078-EDA!$F$15)/EDA!$G$15)</f>
        <v>0.37066176043415894</v>
      </c>
      <c r="M3078" t="str">
        <f>IF(moras[[#This Row],[Z-Score Salario]]&gt;1.96, "Sí", "No")</f>
        <v>No</v>
      </c>
      <c r="N3078" s="14">
        <f>IF(ISBLANK(moras[[#This Row],[SALARIO]]), EDA!$M$8, moras[[#This Row],[SALARIO]])</f>
        <v>300000</v>
      </c>
      <c r="O3078" s="14">
        <f xml:space="preserve"> IF(ISBLANK(moras[[#This Row],[EDAD]]), EDA!$E$8, moras[[#This Row],[EDAD]])</f>
        <v>33</v>
      </c>
      <c r="P3078" s="14" t="str">
        <f>IF(
    OR(ISBLANK(moras[[#This Row],[TIPO_ASEGURAMIENTO]]), moras[[#This Row],[TIPO_ASEGURAMIENTO]]=""),
    EDA!$A$32,
    moras[[#This Row],[TIPO_ASEGURAMIENTO]]
)</f>
        <v>ASALARIADO</v>
      </c>
    </row>
    <row r="3079" spans="1:16" x14ac:dyDescent="0.3">
      <c r="A3079">
        <v>3078</v>
      </c>
      <c r="B3079" t="s">
        <v>9</v>
      </c>
      <c r="C3079">
        <v>48826633</v>
      </c>
      <c r="D3079" t="s">
        <v>10</v>
      </c>
      <c r="E3079" t="s">
        <v>16</v>
      </c>
      <c r="F3079" t="s">
        <v>12</v>
      </c>
      <c r="G3079" t="s">
        <v>13</v>
      </c>
      <c r="H3079" t="s">
        <v>13</v>
      </c>
      <c r="I3079">
        <v>31</v>
      </c>
      <c r="J3079">
        <f>ABS((I3079-EDA!$A$15)/EDA!$B$15)</f>
        <v>0.77488831798979529</v>
      </c>
      <c r="K3079" t="str">
        <f t="shared" si="48"/>
        <v>No</v>
      </c>
      <c r="L3079">
        <f>ABS((C3079-EDA!$F$15)/EDA!$G$15)</f>
        <v>0.43685566822796368</v>
      </c>
      <c r="M3079" t="str">
        <f>IF(moras[[#This Row],[Z-Score Salario]]&gt;1.96, "Sí", "No")</f>
        <v>No</v>
      </c>
      <c r="N3079" s="14">
        <f>IF(ISBLANK(moras[[#This Row],[SALARIO]]), EDA!$M$8, moras[[#This Row],[SALARIO]])</f>
        <v>48826633</v>
      </c>
      <c r="O3079" s="14">
        <f xml:space="preserve"> IF(ISBLANK(moras[[#This Row],[EDAD]]), EDA!$E$8, moras[[#This Row],[EDAD]])</f>
        <v>31</v>
      </c>
      <c r="P3079" s="14" t="str">
        <f>IF(
    OR(ISBLANK(moras[[#This Row],[TIPO_ASEGURAMIENTO]]), moras[[#This Row],[TIPO_ASEGURAMIENTO]]=""),
    EDA!$A$32,
    moras[[#This Row],[TIPO_ASEGURAMIENTO]]
)</f>
        <v>ASALARIADO</v>
      </c>
    </row>
    <row r="3080" spans="1:16" x14ac:dyDescent="0.3">
      <c r="A3080">
        <v>3079</v>
      </c>
      <c r="B3080" t="s">
        <v>9</v>
      </c>
      <c r="C3080">
        <v>278031</v>
      </c>
      <c r="D3080" t="s">
        <v>17</v>
      </c>
      <c r="E3080" t="s">
        <v>16</v>
      </c>
      <c r="F3080" t="s">
        <v>13</v>
      </c>
      <c r="G3080" t="s">
        <v>13</v>
      </c>
      <c r="H3080" t="s">
        <v>12</v>
      </c>
      <c r="I3080">
        <v>47</v>
      </c>
      <c r="J3080">
        <f>ABS((I3080-EDA!$A$15)/EDA!$B$15)</f>
        <v>0.35431696324440481</v>
      </c>
      <c r="K3080" t="str">
        <f t="shared" si="48"/>
        <v>No</v>
      </c>
      <c r="L3080">
        <f>ABS((C3080-EDA!$F$15)/EDA!$G$15)</f>
        <v>0.37102734010234401</v>
      </c>
      <c r="M3080" t="str">
        <f>IF(moras[[#This Row],[Z-Score Salario]]&gt;1.96, "Sí", "No")</f>
        <v>No</v>
      </c>
      <c r="N3080" s="14">
        <f>IF(ISBLANK(moras[[#This Row],[SALARIO]]), EDA!$M$8, moras[[#This Row],[SALARIO]])</f>
        <v>278031</v>
      </c>
      <c r="O3080" s="14">
        <f xml:space="preserve"> IF(ISBLANK(moras[[#This Row],[EDAD]]), EDA!$E$8, moras[[#This Row],[EDAD]])</f>
        <v>47</v>
      </c>
      <c r="P3080" s="14" t="str">
        <f>IF(
    OR(ISBLANK(moras[[#This Row],[TIPO_ASEGURAMIENTO]]), moras[[#This Row],[TIPO_ASEGURAMIENTO]]=""),
    EDA!$A$32,
    moras[[#This Row],[TIPO_ASEGURAMIENTO]]
)</f>
        <v>ASEGURADO VOLUNTARIO</v>
      </c>
    </row>
    <row r="3081" spans="1:16" x14ac:dyDescent="0.3">
      <c r="A3081">
        <v>3080</v>
      </c>
      <c r="B3081" t="s">
        <v>9</v>
      </c>
      <c r="C3081">
        <v>7055775</v>
      </c>
      <c r="D3081" t="s">
        <v>10</v>
      </c>
      <c r="E3081" t="s">
        <v>16</v>
      </c>
      <c r="F3081" t="s">
        <v>12</v>
      </c>
      <c r="G3081" t="s">
        <v>13</v>
      </c>
      <c r="H3081" t="s">
        <v>13</v>
      </c>
      <c r="I3081">
        <v>53</v>
      </c>
      <c r="J3081">
        <f>ABS((I3081-EDA!$A$15)/EDA!$B$15)</f>
        <v>0.77776894370722982</v>
      </c>
      <c r="K3081" t="str">
        <f t="shared" si="48"/>
        <v>No</v>
      </c>
      <c r="L3081">
        <f>ABS((C3081-EDA!$F$15)/EDA!$G$15)</f>
        <v>0.25824089545018508</v>
      </c>
      <c r="M3081" t="str">
        <f>IF(moras[[#This Row],[Z-Score Salario]]&gt;1.96, "Sí", "No")</f>
        <v>No</v>
      </c>
      <c r="N3081" s="14">
        <f>IF(ISBLANK(moras[[#This Row],[SALARIO]]), EDA!$M$8, moras[[#This Row],[SALARIO]])</f>
        <v>7055775</v>
      </c>
      <c r="O3081" s="14">
        <f xml:space="preserve"> IF(ISBLANK(moras[[#This Row],[EDAD]]), EDA!$E$8, moras[[#This Row],[EDAD]])</f>
        <v>53</v>
      </c>
      <c r="P3081" s="14" t="str">
        <f>IF(
    OR(ISBLANK(moras[[#This Row],[TIPO_ASEGURAMIENTO]]), moras[[#This Row],[TIPO_ASEGURAMIENTO]]=""),
    EDA!$A$32,
    moras[[#This Row],[TIPO_ASEGURAMIENTO]]
)</f>
        <v>ASALARIADO</v>
      </c>
    </row>
    <row r="3082" spans="1:16" x14ac:dyDescent="0.3">
      <c r="A3082">
        <v>3081</v>
      </c>
      <c r="B3082" t="s">
        <v>9</v>
      </c>
      <c r="C3082">
        <v>1291732</v>
      </c>
      <c r="D3082" t="s">
        <v>10</v>
      </c>
      <c r="E3082" t="s">
        <v>11</v>
      </c>
      <c r="F3082" t="s">
        <v>12</v>
      </c>
      <c r="G3082" t="s">
        <v>13</v>
      </c>
      <c r="H3082" t="s">
        <v>13</v>
      </c>
      <c r="I3082">
        <v>49</v>
      </c>
      <c r="J3082">
        <f>ABS((I3082-EDA!$A$15)/EDA!$B$15)</f>
        <v>0.49546762339867978</v>
      </c>
      <c r="K3082" t="str">
        <f t="shared" si="48"/>
        <v>No</v>
      </c>
      <c r="L3082">
        <f>ABS((C3082-EDA!$F$15)/EDA!$G$15)</f>
        <v>0.35415863987844381</v>
      </c>
      <c r="M3082" t="str">
        <f>IF(moras[[#This Row],[Z-Score Salario]]&gt;1.96, "Sí", "No")</f>
        <v>No</v>
      </c>
      <c r="N3082" s="14">
        <f>IF(ISBLANK(moras[[#This Row],[SALARIO]]), EDA!$M$8, moras[[#This Row],[SALARIO]])</f>
        <v>1291732</v>
      </c>
      <c r="O3082" s="14">
        <f xml:space="preserve"> IF(ISBLANK(moras[[#This Row],[EDAD]]), EDA!$E$8, moras[[#This Row],[EDAD]])</f>
        <v>49</v>
      </c>
      <c r="P3082" s="14" t="str">
        <f>IF(
    OR(ISBLANK(moras[[#This Row],[TIPO_ASEGURAMIENTO]]), moras[[#This Row],[TIPO_ASEGURAMIENTO]]=""),
    EDA!$A$32,
    moras[[#This Row],[TIPO_ASEGURAMIENTO]]
)</f>
        <v>ASALARIADO</v>
      </c>
    </row>
    <row r="3083" spans="1:16" x14ac:dyDescent="0.3">
      <c r="A3083">
        <v>3082</v>
      </c>
      <c r="B3083" t="s">
        <v>9</v>
      </c>
      <c r="C3083">
        <v>78625675</v>
      </c>
      <c r="D3083" t="s">
        <v>10</v>
      </c>
      <c r="E3083" t="s">
        <v>11</v>
      </c>
      <c r="F3083" t="s">
        <v>12</v>
      </c>
      <c r="G3083" t="s">
        <v>13</v>
      </c>
      <c r="H3083" t="s">
        <v>13</v>
      </c>
      <c r="I3083">
        <v>26</v>
      </c>
      <c r="J3083">
        <f>ABS((I3083-EDA!$A$15)/EDA!$B$15)</f>
        <v>1.1277649683754829</v>
      </c>
      <c r="K3083" t="str">
        <f t="shared" si="48"/>
        <v>No</v>
      </c>
      <c r="L3083">
        <f>ABS((C3083-EDA!$F$15)/EDA!$G$15)</f>
        <v>0.93273276261517568</v>
      </c>
      <c r="M3083" t="str">
        <f>IF(moras[[#This Row],[Z-Score Salario]]&gt;1.96, "Sí", "No")</f>
        <v>No</v>
      </c>
      <c r="N3083" s="14">
        <f>IF(ISBLANK(moras[[#This Row],[SALARIO]]), EDA!$M$8, moras[[#This Row],[SALARIO]])</f>
        <v>78625675</v>
      </c>
      <c r="O3083" s="14">
        <f xml:space="preserve"> IF(ISBLANK(moras[[#This Row],[EDAD]]), EDA!$E$8, moras[[#This Row],[EDAD]])</f>
        <v>26</v>
      </c>
      <c r="P3083" s="14" t="str">
        <f>IF(
    OR(ISBLANK(moras[[#This Row],[TIPO_ASEGURAMIENTO]]), moras[[#This Row],[TIPO_ASEGURAMIENTO]]=""),
    EDA!$A$32,
    moras[[#This Row],[TIPO_ASEGURAMIENTO]]
)</f>
        <v>ASALARIADO</v>
      </c>
    </row>
    <row r="3084" spans="1:16" x14ac:dyDescent="0.3">
      <c r="A3084">
        <v>3083</v>
      </c>
      <c r="B3084" t="s">
        <v>15</v>
      </c>
      <c r="C3084">
        <v>385548</v>
      </c>
      <c r="D3084" t="s">
        <v>18</v>
      </c>
      <c r="E3084" t="s">
        <v>16</v>
      </c>
      <c r="F3084" t="s">
        <v>12</v>
      </c>
      <c r="G3084" t="s">
        <v>13</v>
      </c>
      <c r="H3084" t="s">
        <v>12</v>
      </c>
      <c r="I3084">
        <v>37</v>
      </c>
      <c r="J3084">
        <f>ABS((I3084-EDA!$A$15)/EDA!$B$15)</f>
        <v>0.35143633752697023</v>
      </c>
      <c r="K3084" t="str">
        <f t="shared" si="48"/>
        <v>No</v>
      </c>
      <c r="L3084">
        <f>ABS((C3084-EDA!$F$15)/EDA!$G$15)</f>
        <v>0.36923818132478231</v>
      </c>
      <c r="M3084" t="str">
        <f>IF(moras[[#This Row],[Z-Score Salario]]&gt;1.96, "Sí", "No")</f>
        <v>No</v>
      </c>
      <c r="N3084" s="14">
        <f>IF(ISBLANK(moras[[#This Row],[SALARIO]]), EDA!$M$8, moras[[#This Row],[SALARIO]])</f>
        <v>385548</v>
      </c>
      <c r="O3084" s="14">
        <f xml:space="preserve"> IF(ISBLANK(moras[[#This Row],[EDAD]]), EDA!$E$8, moras[[#This Row],[EDAD]])</f>
        <v>37</v>
      </c>
      <c r="P3084" s="14" t="str">
        <f>IF(
    OR(ISBLANK(moras[[#This Row],[TIPO_ASEGURAMIENTO]]), moras[[#This Row],[TIPO_ASEGURAMIENTO]]=""),
    EDA!$A$32,
    moras[[#This Row],[TIPO_ASEGURAMIENTO]]
)</f>
        <v>TRABAJADOR INDEPENDIENTE</v>
      </c>
    </row>
    <row r="3085" spans="1:16" x14ac:dyDescent="0.3">
      <c r="A3085">
        <v>3084</v>
      </c>
      <c r="B3085" t="s">
        <v>9</v>
      </c>
      <c r="C3085">
        <v>79319096</v>
      </c>
      <c r="D3085" t="s">
        <v>10</v>
      </c>
      <c r="E3085" t="s">
        <v>16</v>
      </c>
      <c r="F3085" t="s">
        <v>12</v>
      </c>
      <c r="G3085" t="s">
        <v>13</v>
      </c>
      <c r="H3085" t="s">
        <v>13</v>
      </c>
      <c r="I3085">
        <v>59</v>
      </c>
      <c r="J3085">
        <f>ABS((I3085-EDA!$A$15)/EDA!$B$15)</f>
        <v>1.2012209241700549</v>
      </c>
      <c r="K3085" t="str">
        <f t="shared" si="48"/>
        <v>No</v>
      </c>
      <c r="L3085">
        <f>ABS((C3085-EDA!$F$15)/EDA!$G$15)</f>
        <v>0.94427177754951741</v>
      </c>
      <c r="M3085" t="str">
        <f>IF(moras[[#This Row],[Z-Score Salario]]&gt;1.96, "Sí", "No")</f>
        <v>No</v>
      </c>
      <c r="N3085" s="14">
        <f>IF(ISBLANK(moras[[#This Row],[SALARIO]]), EDA!$M$8, moras[[#This Row],[SALARIO]])</f>
        <v>79319096</v>
      </c>
      <c r="O3085" s="14">
        <f xml:space="preserve"> IF(ISBLANK(moras[[#This Row],[EDAD]]), EDA!$E$8, moras[[#This Row],[EDAD]])</f>
        <v>59</v>
      </c>
      <c r="P3085" s="14" t="str">
        <f>IF(
    OR(ISBLANK(moras[[#This Row],[TIPO_ASEGURAMIENTO]]), moras[[#This Row],[TIPO_ASEGURAMIENTO]]=""),
    EDA!$A$32,
    moras[[#This Row],[TIPO_ASEGURAMIENTO]]
)</f>
        <v>ASALARIADO</v>
      </c>
    </row>
    <row r="3086" spans="1:16" x14ac:dyDescent="0.3">
      <c r="A3086">
        <v>3085</v>
      </c>
      <c r="B3086" t="s">
        <v>9</v>
      </c>
      <c r="C3086">
        <v>297046</v>
      </c>
      <c r="D3086" t="s">
        <v>18</v>
      </c>
      <c r="E3086" t="s">
        <v>16</v>
      </c>
      <c r="F3086" t="s">
        <v>12</v>
      </c>
      <c r="G3086" t="s">
        <v>13</v>
      </c>
      <c r="H3086" t="s">
        <v>13</v>
      </c>
      <c r="I3086">
        <v>60</v>
      </c>
      <c r="J3086">
        <f>ABS((I3086-EDA!$A$15)/EDA!$B$15)</f>
        <v>1.2717962542471923</v>
      </c>
      <c r="K3086" t="str">
        <f t="shared" si="48"/>
        <v>No</v>
      </c>
      <c r="L3086">
        <f>ABS((C3086-EDA!$F$15)/EDA!$G$15)</f>
        <v>0.37071091707942361</v>
      </c>
      <c r="M3086" t="str">
        <f>IF(moras[[#This Row],[Z-Score Salario]]&gt;1.96, "Sí", "No")</f>
        <v>No</v>
      </c>
      <c r="N3086" s="14">
        <f>IF(ISBLANK(moras[[#This Row],[SALARIO]]), EDA!$M$8, moras[[#This Row],[SALARIO]])</f>
        <v>297046</v>
      </c>
      <c r="O3086" s="14">
        <f xml:space="preserve"> IF(ISBLANK(moras[[#This Row],[EDAD]]), EDA!$E$8, moras[[#This Row],[EDAD]])</f>
        <v>60</v>
      </c>
      <c r="P3086" s="14" t="str">
        <f>IF(
    OR(ISBLANK(moras[[#This Row],[TIPO_ASEGURAMIENTO]]), moras[[#This Row],[TIPO_ASEGURAMIENTO]]=""),
    EDA!$A$32,
    moras[[#This Row],[TIPO_ASEGURAMIENTO]]
)</f>
        <v>TRABAJADOR INDEPENDIENTE</v>
      </c>
    </row>
    <row r="3087" spans="1:16" x14ac:dyDescent="0.3">
      <c r="A3087">
        <v>3086</v>
      </c>
      <c r="B3087" t="s">
        <v>15</v>
      </c>
      <c r="C3087">
        <v>17622156</v>
      </c>
      <c r="D3087" t="s">
        <v>10</v>
      </c>
      <c r="E3087" t="s">
        <v>11</v>
      </c>
      <c r="F3087" t="s">
        <v>12</v>
      </c>
      <c r="G3087" t="s">
        <v>13</v>
      </c>
      <c r="H3087" t="s">
        <v>13</v>
      </c>
      <c r="I3087">
        <v>57</v>
      </c>
      <c r="J3087">
        <f>ABS((I3087-EDA!$A$15)/EDA!$B$15)</f>
        <v>1.0600702640157798</v>
      </c>
      <c r="K3087" t="str">
        <f t="shared" si="48"/>
        <v>No</v>
      </c>
      <c r="L3087">
        <f>ABS((C3087-EDA!$F$15)/EDA!$G$15)</f>
        <v>8.2408856672957151E-2</v>
      </c>
      <c r="M3087" t="str">
        <f>IF(moras[[#This Row],[Z-Score Salario]]&gt;1.96, "Sí", "No")</f>
        <v>No</v>
      </c>
      <c r="N3087" s="14">
        <f>IF(ISBLANK(moras[[#This Row],[SALARIO]]), EDA!$M$8, moras[[#This Row],[SALARIO]])</f>
        <v>17622156</v>
      </c>
      <c r="O3087" s="14">
        <f xml:space="preserve"> IF(ISBLANK(moras[[#This Row],[EDAD]]), EDA!$E$8, moras[[#This Row],[EDAD]])</f>
        <v>57</v>
      </c>
      <c r="P3087" s="14" t="str">
        <f>IF(
    OR(ISBLANK(moras[[#This Row],[TIPO_ASEGURAMIENTO]]), moras[[#This Row],[TIPO_ASEGURAMIENTO]]=""),
    EDA!$A$32,
    moras[[#This Row],[TIPO_ASEGURAMIENTO]]
)</f>
        <v>ASALARIADO</v>
      </c>
    </row>
    <row r="3088" spans="1:16" x14ac:dyDescent="0.3">
      <c r="A3088">
        <v>3087</v>
      </c>
      <c r="B3088" t="s">
        <v>15</v>
      </c>
      <c r="C3088">
        <v>61585017</v>
      </c>
      <c r="D3088" t="s">
        <v>10</v>
      </c>
      <c r="E3088" t="s">
        <v>16</v>
      </c>
      <c r="F3088" t="s">
        <v>12</v>
      </c>
      <c r="G3088" t="s">
        <v>13</v>
      </c>
      <c r="H3088" t="s">
        <v>13</v>
      </c>
      <c r="I3088">
        <v>53</v>
      </c>
      <c r="J3088">
        <f>ABS((I3088-EDA!$A$15)/EDA!$B$15)</f>
        <v>0.77776894370722982</v>
      </c>
      <c r="K3088" t="str">
        <f t="shared" si="48"/>
        <v>No</v>
      </c>
      <c r="L3088">
        <f>ABS((C3088-EDA!$F$15)/EDA!$G$15)</f>
        <v>0.64916418428684552</v>
      </c>
      <c r="M3088" t="str">
        <f>IF(moras[[#This Row],[Z-Score Salario]]&gt;1.96, "Sí", "No")</f>
        <v>No</v>
      </c>
      <c r="N3088" s="14">
        <f>IF(ISBLANK(moras[[#This Row],[SALARIO]]), EDA!$M$8, moras[[#This Row],[SALARIO]])</f>
        <v>61585017</v>
      </c>
      <c r="O3088" s="14">
        <f xml:space="preserve"> IF(ISBLANK(moras[[#This Row],[EDAD]]), EDA!$E$8, moras[[#This Row],[EDAD]])</f>
        <v>53</v>
      </c>
      <c r="P3088" s="14" t="str">
        <f>IF(
    OR(ISBLANK(moras[[#This Row],[TIPO_ASEGURAMIENTO]]), moras[[#This Row],[TIPO_ASEGURAMIENTO]]=""),
    EDA!$A$32,
    moras[[#This Row],[TIPO_ASEGURAMIENTO]]
)</f>
        <v>ASALARIADO</v>
      </c>
    </row>
    <row r="3089" spans="1:16" x14ac:dyDescent="0.3">
      <c r="A3089">
        <v>3088</v>
      </c>
      <c r="B3089" t="s">
        <v>9</v>
      </c>
      <c r="C3089">
        <v>299647</v>
      </c>
      <c r="D3089" t="s">
        <v>17</v>
      </c>
      <c r="E3089" t="s">
        <v>16</v>
      </c>
      <c r="F3089" t="s">
        <v>12</v>
      </c>
      <c r="G3089" t="s">
        <v>13</v>
      </c>
      <c r="H3089" t="s">
        <v>12</v>
      </c>
      <c r="I3089">
        <v>46</v>
      </c>
      <c r="J3089">
        <f>ABS((I3089-EDA!$A$15)/EDA!$B$15)</f>
        <v>0.2837416331672673</v>
      </c>
      <c r="K3089" t="str">
        <f t="shared" si="48"/>
        <v>No</v>
      </c>
      <c r="L3089">
        <f>ABS((C3089-EDA!$F$15)/EDA!$G$15)</f>
        <v>0.37066763460334595</v>
      </c>
      <c r="M3089" t="str">
        <f>IF(moras[[#This Row],[Z-Score Salario]]&gt;1.96, "Sí", "No")</f>
        <v>No</v>
      </c>
      <c r="N3089" s="14">
        <f>IF(ISBLANK(moras[[#This Row],[SALARIO]]), EDA!$M$8, moras[[#This Row],[SALARIO]])</f>
        <v>299647</v>
      </c>
      <c r="O3089" s="14">
        <f xml:space="preserve"> IF(ISBLANK(moras[[#This Row],[EDAD]]), EDA!$E$8, moras[[#This Row],[EDAD]])</f>
        <v>46</v>
      </c>
      <c r="P3089" s="14" t="str">
        <f>IF(
    OR(ISBLANK(moras[[#This Row],[TIPO_ASEGURAMIENTO]]), moras[[#This Row],[TIPO_ASEGURAMIENTO]]=""),
    EDA!$A$32,
    moras[[#This Row],[TIPO_ASEGURAMIENTO]]
)</f>
        <v>ASEGURADO VOLUNTARIO</v>
      </c>
    </row>
    <row r="3090" spans="1:16" x14ac:dyDescent="0.3">
      <c r="A3090">
        <v>3089</v>
      </c>
      <c r="B3090" t="s">
        <v>9</v>
      </c>
      <c r="C3090">
        <v>1400000</v>
      </c>
      <c r="D3090" t="s">
        <v>10</v>
      </c>
      <c r="E3090" t="s">
        <v>16</v>
      </c>
      <c r="F3090" t="s">
        <v>12</v>
      </c>
      <c r="G3090" t="s">
        <v>13</v>
      </c>
      <c r="H3090" t="s">
        <v>13</v>
      </c>
      <c r="I3090">
        <v>68</v>
      </c>
      <c r="J3090">
        <f>ABS((I3090-EDA!$A$15)/EDA!$B$15)</f>
        <v>1.8363988948642924</v>
      </c>
      <c r="K3090" t="str">
        <f t="shared" si="48"/>
        <v>No</v>
      </c>
      <c r="L3090">
        <f>ABS((C3090-EDA!$F$15)/EDA!$G$15)</f>
        <v>0.35235698393074205</v>
      </c>
      <c r="M3090" t="str">
        <f>IF(moras[[#This Row],[Z-Score Salario]]&gt;1.96, "Sí", "No")</f>
        <v>No</v>
      </c>
      <c r="N3090" s="14">
        <f>IF(ISBLANK(moras[[#This Row],[SALARIO]]), EDA!$M$8, moras[[#This Row],[SALARIO]])</f>
        <v>1400000</v>
      </c>
      <c r="O3090" s="14">
        <f xml:space="preserve"> IF(ISBLANK(moras[[#This Row],[EDAD]]), EDA!$E$8, moras[[#This Row],[EDAD]])</f>
        <v>68</v>
      </c>
      <c r="P3090" s="14" t="str">
        <f>IF(
    OR(ISBLANK(moras[[#This Row],[TIPO_ASEGURAMIENTO]]), moras[[#This Row],[TIPO_ASEGURAMIENTO]]=""),
    EDA!$A$32,
    moras[[#This Row],[TIPO_ASEGURAMIENTO]]
)</f>
        <v>ASALARIADO</v>
      </c>
    </row>
    <row r="3091" spans="1:16" x14ac:dyDescent="0.3">
      <c r="A3091">
        <v>3090</v>
      </c>
      <c r="B3091" t="s">
        <v>15</v>
      </c>
      <c r="C3091">
        <v>37068266</v>
      </c>
      <c r="D3091" t="s">
        <v>10</v>
      </c>
      <c r="E3091" t="s">
        <v>16</v>
      </c>
      <c r="F3091" t="s">
        <v>12</v>
      </c>
      <c r="G3091" t="s">
        <v>13</v>
      </c>
      <c r="H3091" t="s">
        <v>12</v>
      </c>
      <c r="I3091">
        <v>50</v>
      </c>
      <c r="J3091">
        <f>ABS((I3091-EDA!$A$15)/EDA!$B$15)</f>
        <v>0.56604295347581735</v>
      </c>
      <c r="K3091" t="str">
        <f t="shared" si="48"/>
        <v>No</v>
      </c>
      <c r="L3091">
        <f>ABS((C3091-EDA!$F$15)/EDA!$G$15)</f>
        <v>0.24118814097327951</v>
      </c>
      <c r="M3091" t="str">
        <f>IF(moras[[#This Row],[Z-Score Salario]]&gt;1.96, "Sí", "No")</f>
        <v>No</v>
      </c>
      <c r="N3091" s="14">
        <f>IF(ISBLANK(moras[[#This Row],[SALARIO]]), EDA!$M$8, moras[[#This Row],[SALARIO]])</f>
        <v>37068266</v>
      </c>
      <c r="O3091" s="14">
        <f xml:space="preserve"> IF(ISBLANK(moras[[#This Row],[EDAD]]), EDA!$E$8, moras[[#This Row],[EDAD]])</f>
        <v>50</v>
      </c>
      <c r="P3091" s="14" t="str">
        <f>IF(
    OR(ISBLANK(moras[[#This Row],[TIPO_ASEGURAMIENTO]]), moras[[#This Row],[TIPO_ASEGURAMIENTO]]=""),
    EDA!$A$32,
    moras[[#This Row],[TIPO_ASEGURAMIENTO]]
)</f>
        <v>ASALARIADO</v>
      </c>
    </row>
    <row r="3092" spans="1:16" x14ac:dyDescent="0.3">
      <c r="A3092">
        <v>3091</v>
      </c>
      <c r="B3092" t="s">
        <v>9</v>
      </c>
      <c r="C3092">
        <v>299441</v>
      </c>
      <c r="D3092" t="s">
        <v>18</v>
      </c>
      <c r="E3092" t="s">
        <v>16</v>
      </c>
      <c r="F3092" t="s">
        <v>12</v>
      </c>
      <c r="G3092" t="s">
        <v>12</v>
      </c>
      <c r="H3092" t="s">
        <v>12</v>
      </c>
      <c r="I3092">
        <v>40</v>
      </c>
      <c r="J3092">
        <f>ABS((I3092-EDA!$A$15)/EDA!$B$15)</f>
        <v>0.13971034729555773</v>
      </c>
      <c r="K3092" t="str">
        <f t="shared" si="48"/>
        <v>No</v>
      </c>
      <c r="L3092">
        <f>ABS((C3092-EDA!$F$15)/EDA!$G$15)</f>
        <v>0.37067106258876387</v>
      </c>
      <c r="M3092" t="str">
        <f>IF(moras[[#This Row],[Z-Score Salario]]&gt;1.96, "Sí", "No")</f>
        <v>No</v>
      </c>
      <c r="N3092" s="14">
        <f>IF(ISBLANK(moras[[#This Row],[SALARIO]]), EDA!$M$8, moras[[#This Row],[SALARIO]])</f>
        <v>299441</v>
      </c>
      <c r="O3092" s="14">
        <f xml:space="preserve"> IF(ISBLANK(moras[[#This Row],[EDAD]]), EDA!$E$8, moras[[#This Row],[EDAD]])</f>
        <v>40</v>
      </c>
      <c r="P3092" s="14" t="str">
        <f>IF(
    OR(ISBLANK(moras[[#This Row],[TIPO_ASEGURAMIENTO]]), moras[[#This Row],[TIPO_ASEGURAMIENTO]]=""),
    EDA!$A$32,
    moras[[#This Row],[TIPO_ASEGURAMIENTO]]
)</f>
        <v>TRABAJADOR INDEPENDIENTE</v>
      </c>
    </row>
    <row r="3093" spans="1:16" x14ac:dyDescent="0.3">
      <c r="A3093">
        <v>3092</v>
      </c>
      <c r="B3093" t="s">
        <v>15</v>
      </c>
      <c r="C3093">
        <v>1095319</v>
      </c>
      <c r="D3093" t="s">
        <v>10</v>
      </c>
      <c r="E3093" t="s">
        <v>11</v>
      </c>
      <c r="F3093" t="s">
        <v>12</v>
      </c>
      <c r="G3093" t="s">
        <v>13</v>
      </c>
      <c r="H3093" t="s">
        <v>12</v>
      </c>
      <c r="I3093">
        <v>28</v>
      </c>
      <c r="J3093">
        <f>ABS((I3093-EDA!$A$15)/EDA!$B$15)</f>
        <v>0.98661430822120777</v>
      </c>
      <c r="K3093" t="str">
        <f t="shared" si="48"/>
        <v>No</v>
      </c>
      <c r="L3093">
        <f>ABS((C3093-EDA!$F$15)/EDA!$G$15)</f>
        <v>0.35742709084877622</v>
      </c>
      <c r="M3093" t="str">
        <f>IF(moras[[#This Row],[Z-Score Salario]]&gt;1.96, "Sí", "No")</f>
        <v>No</v>
      </c>
      <c r="N3093" s="14">
        <f>IF(ISBLANK(moras[[#This Row],[SALARIO]]), EDA!$M$8, moras[[#This Row],[SALARIO]])</f>
        <v>1095319</v>
      </c>
      <c r="O3093" s="14">
        <f xml:space="preserve"> IF(ISBLANK(moras[[#This Row],[EDAD]]), EDA!$E$8, moras[[#This Row],[EDAD]])</f>
        <v>28</v>
      </c>
      <c r="P3093" s="14" t="str">
        <f>IF(
    OR(ISBLANK(moras[[#This Row],[TIPO_ASEGURAMIENTO]]), moras[[#This Row],[TIPO_ASEGURAMIENTO]]=""),
    EDA!$A$32,
    moras[[#This Row],[TIPO_ASEGURAMIENTO]]
)</f>
        <v>ASALARIADO</v>
      </c>
    </row>
    <row r="3094" spans="1:16" x14ac:dyDescent="0.3">
      <c r="A3094">
        <v>3093</v>
      </c>
      <c r="B3094" t="s">
        <v>9</v>
      </c>
      <c r="C3094">
        <v>298698</v>
      </c>
      <c r="D3094" t="s">
        <v>10</v>
      </c>
      <c r="E3094" t="s">
        <v>16</v>
      </c>
      <c r="F3094" t="s">
        <v>12</v>
      </c>
      <c r="G3094" t="s">
        <v>12</v>
      </c>
      <c r="H3094" t="s">
        <v>13</v>
      </c>
      <c r="I3094">
        <v>49</v>
      </c>
      <c r="J3094">
        <f>ABS((I3094-EDA!$A$15)/EDA!$B$15)</f>
        <v>0.49546762339867978</v>
      </c>
      <c r="K3094" t="str">
        <f t="shared" si="48"/>
        <v>No</v>
      </c>
      <c r="L3094">
        <f>ABS((C3094-EDA!$F$15)/EDA!$G$15)</f>
        <v>0.37068342663325665</v>
      </c>
      <c r="M3094" t="str">
        <f>IF(moras[[#This Row],[Z-Score Salario]]&gt;1.96, "Sí", "No")</f>
        <v>No</v>
      </c>
      <c r="N3094" s="14">
        <f>IF(ISBLANK(moras[[#This Row],[SALARIO]]), EDA!$M$8, moras[[#This Row],[SALARIO]])</f>
        <v>298698</v>
      </c>
      <c r="O3094" s="14">
        <f xml:space="preserve"> IF(ISBLANK(moras[[#This Row],[EDAD]]), EDA!$E$8, moras[[#This Row],[EDAD]])</f>
        <v>49</v>
      </c>
      <c r="P3094" s="14" t="str">
        <f>IF(
    OR(ISBLANK(moras[[#This Row],[TIPO_ASEGURAMIENTO]]), moras[[#This Row],[TIPO_ASEGURAMIENTO]]=""),
    EDA!$A$32,
    moras[[#This Row],[TIPO_ASEGURAMIENTO]]
)</f>
        <v>ASALARIADO</v>
      </c>
    </row>
    <row r="3095" spans="1:16" x14ac:dyDescent="0.3">
      <c r="A3095">
        <v>3094</v>
      </c>
      <c r="B3095" t="s">
        <v>15</v>
      </c>
      <c r="C3095">
        <v>124822455</v>
      </c>
      <c r="D3095" t="s">
        <v>10</v>
      </c>
      <c r="E3095" t="s">
        <v>16</v>
      </c>
      <c r="F3095" t="s">
        <v>12</v>
      </c>
      <c r="G3095" t="s">
        <v>13</v>
      </c>
      <c r="H3095" t="s">
        <v>13</v>
      </c>
      <c r="I3095">
        <v>35</v>
      </c>
      <c r="J3095">
        <f>ABS((I3095-EDA!$A$15)/EDA!$B$15)</f>
        <v>0.49258699768124525</v>
      </c>
      <c r="K3095" t="str">
        <f t="shared" si="48"/>
        <v>No</v>
      </c>
      <c r="L3095">
        <f>ABS((C3095-EDA!$F$15)/EDA!$G$15)</f>
        <v>1.701479792685648</v>
      </c>
      <c r="M3095" t="str">
        <f>IF(moras[[#This Row],[Z-Score Salario]]&gt;1.96, "Sí", "No")</f>
        <v>No</v>
      </c>
      <c r="N3095" s="14">
        <f>IF(ISBLANK(moras[[#This Row],[SALARIO]]), EDA!$M$8, moras[[#This Row],[SALARIO]])</f>
        <v>124822455</v>
      </c>
      <c r="O3095" s="14">
        <f xml:space="preserve"> IF(ISBLANK(moras[[#This Row],[EDAD]]), EDA!$E$8, moras[[#This Row],[EDAD]])</f>
        <v>35</v>
      </c>
      <c r="P3095" s="14" t="str">
        <f>IF(
    OR(ISBLANK(moras[[#This Row],[TIPO_ASEGURAMIENTO]]), moras[[#This Row],[TIPO_ASEGURAMIENTO]]=""),
    EDA!$A$32,
    moras[[#This Row],[TIPO_ASEGURAMIENTO]]
)</f>
        <v>ASALARIADO</v>
      </c>
    </row>
    <row r="3096" spans="1:16" x14ac:dyDescent="0.3">
      <c r="A3096">
        <v>3095</v>
      </c>
      <c r="B3096" t="s">
        <v>15</v>
      </c>
      <c r="C3096">
        <v>32933344</v>
      </c>
      <c r="D3096" t="s">
        <v>10</v>
      </c>
      <c r="E3096" t="s">
        <v>16</v>
      </c>
      <c r="F3096" t="s">
        <v>12</v>
      </c>
      <c r="G3096" t="s">
        <v>13</v>
      </c>
      <c r="H3096" t="s">
        <v>13</v>
      </c>
      <c r="I3096">
        <v>43</v>
      </c>
      <c r="J3096">
        <f>ABS((I3096-EDA!$A$15)/EDA!$B$15)</f>
        <v>7.2015642935854773E-2</v>
      </c>
      <c r="K3096" t="str">
        <f t="shared" si="48"/>
        <v>No</v>
      </c>
      <c r="L3096">
        <f>ABS((C3096-EDA!$F$15)/EDA!$G$15)</f>
        <v>0.17238012000140532</v>
      </c>
      <c r="M3096" t="str">
        <f>IF(moras[[#This Row],[Z-Score Salario]]&gt;1.96, "Sí", "No")</f>
        <v>No</v>
      </c>
      <c r="N3096" s="14">
        <f>IF(ISBLANK(moras[[#This Row],[SALARIO]]), EDA!$M$8, moras[[#This Row],[SALARIO]])</f>
        <v>32933344</v>
      </c>
      <c r="O3096" s="14">
        <f xml:space="preserve"> IF(ISBLANK(moras[[#This Row],[EDAD]]), EDA!$E$8, moras[[#This Row],[EDAD]])</f>
        <v>43</v>
      </c>
      <c r="P3096" s="14" t="str">
        <f>IF(
    OR(ISBLANK(moras[[#This Row],[TIPO_ASEGURAMIENTO]]), moras[[#This Row],[TIPO_ASEGURAMIENTO]]=""),
    EDA!$A$32,
    moras[[#This Row],[TIPO_ASEGURAMIENTO]]
)</f>
        <v>ASALARIADO</v>
      </c>
    </row>
    <row r="3097" spans="1:16" x14ac:dyDescent="0.3">
      <c r="A3097">
        <v>3096</v>
      </c>
      <c r="B3097" t="s">
        <v>9</v>
      </c>
      <c r="C3097">
        <v>46508416</v>
      </c>
      <c r="D3097" t="s">
        <v>10</v>
      </c>
      <c r="E3097" t="s">
        <v>16</v>
      </c>
      <c r="F3097" t="s">
        <v>12</v>
      </c>
      <c r="G3097" t="s">
        <v>13</v>
      </c>
      <c r="H3097" t="s">
        <v>13</v>
      </c>
      <c r="I3097">
        <v>27</v>
      </c>
      <c r="J3097">
        <f>ABS((I3097-EDA!$A$15)/EDA!$B$15)</f>
        <v>1.0571896382983452</v>
      </c>
      <c r="K3097" t="str">
        <f t="shared" si="48"/>
        <v>No</v>
      </c>
      <c r="L3097">
        <f>ABS((C3097-EDA!$F$15)/EDA!$G$15)</f>
        <v>0.39827890089030771</v>
      </c>
      <c r="M3097" t="str">
        <f>IF(moras[[#This Row],[Z-Score Salario]]&gt;1.96, "Sí", "No")</f>
        <v>No</v>
      </c>
      <c r="N3097" s="14">
        <f>IF(ISBLANK(moras[[#This Row],[SALARIO]]), EDA!$M$8, moras[[#This Row],[SALARIO]])</f>
        <v>46508416</v>
      </c>
      <c r="O3097" s="14">
        <f xml:space="preserve"> IF(ISBLANK(moras[[#This Row],[EDAD]]), EDA!$E$8, moras[[#This Row],[EDAD]])</f>
        <v>27</v>
      </c>
      <c r="P3097" s="14" t="str">
        <f>IF(
    OR(ISBLANK(moras[[#This Row],[TIPO_ASEGURAMIENTO]]), moras[[#This Row],[TIPO_ASEGURAMIENTO]]=""),
    EDA!$A$32,
    moras[[#This Row],[TIPO_ASEGURAMIENTO]]
)</f>
        <v>ASALARIADO</v>
      </c>
    </row>
    <row r="3098" spans="1:16" x14ac:dyDescent="0.3">
      <c r="A3098">
        <v>3097</v>
      </c>
      <c r="B3098" t="s">
        <v>15</v>
      </c>
      <c r="C3098">
        <v>446160</v>
      </c>
      <c r="D3098" t="s">
        <v>10</v>
      </c>
      <c r="E3098" t="s">
        <v>16</v>
      </c>
      <c r="F3098" t="s">
        <v>12</v>
      </c>
      <c r="G3098" t="s">
        <v>12</v>
      </c>
      <c r="H3098" t="s">
        <v>13</v>
      </c>
      <c r="I3098">
        <v>29</v>
      </c>
      <c r="J3098">
        <f>ABS((I3098-EDA!$A$15)/EDA!$B$15)</f>
        <v>0.91603897814407031</v>
      </c>
      <c r="K3098" t="str">
        <f t="shared" si="48"/>
        <v>No</v>
      </c>
      <c r="L3098">
        <f>ABS((C3098-EDA!$F$15)/EDA!$G$15)</f>
        <v>0.36822955485803222</v>
      </c>
      <c r="M3098" t="str">
        <f>IF(moras[[#This Row],[Z-Score Salario]]&gt;1.96, "Sí", "No")</f>
        <v>No</v>
      </c>
      <c r="N3098" s="14">
        <f>IF(ISBLANK(moras[[#This Row],[SALARIO]]), EDA!$M$8, moras[[#This Row],[SALARIO]])</f>
        <v>446160</v>
      </c>
      <c r="O3098" s="14">
        <f xml:space="preserve"> IF(ISBLANK(moras[[#This Row],[EDAD]]), EDA!$E$8, moras[[#This Row],[EDAD]])</f>
        <v>29</v>
      </c>
      <c r="P3098" s="14" t="str">
        <f>IF(
    OR(ISBLANK(moras[[#This Row],[TIPO_ASEGURAMIENTO]]), moras[[#This Row],[TIPO_ASEGURAMIENTO]]=""),
    EDA!$A$32,
    moras[[#This Row],[TIPO_ASEGURAMIENTO]]
)</f>
        <v>ASALARIADO</v>
      </c>
    </row>
    <row r="3099" spans="1:16" x14ac:dyDescent="0.3">
      <c r="A3099">
        <v>3098</v>
      </c>
      <c r="B3099" t="s">
        <v>9</v>
      </c>
      <c r="C3099">
        <v>1484376</v>
      </c>
      <c r="D3099" t="s">
        <v>10</v>
      </c>
      <c r="E3099" t="s">
        <v>16</v>
      </c>
      <c r="F3099" t="s">
        <v>12</v>
      </c>
      <c r="G3099" t="s">
        <v>13</v>
      </c>
      <c r="H3099" t="s">
        <v>13</v>
      </c>
      <c r="I3099">
        <v>55</v>
      </c>
      <c r="J3099">
        <f>ABS((I3099-EDA!$A$15)/EDA!$B$15)</f>
        <v>0.91891960386150484</v>
      </c>
      <c r="K3099" t="str">
        <f t="shared" si="48"/>
        <v>No</v>
      </c>
      <c r="L3099">
        <f>ABS((C3099-EDA!$F$15)/EDA!$G$15)</f>
        <v>0.35095290772869453</v>
      </c>
      <c r="M3099" t="str">
        <f>IF(moras[[#This Row],[Z-Score Salario]]&gt;1.96, "Sí", "No")</f>
        <v>No</v>
      </c>
      <c r="N3099" s="14">
        <f>IF(ISBLANK(moras[[#This Row],[SALARIO]]), EDA!$M$8, moras[[#This Row],[SALARIO]])</f>
        <v>1484376</v>
      </c>
      <c r="O3099" s="14">
        <f xml:space="preserve"> IF(ISBLANK(moras[[#This Row],[EDAD]]), EDA!$E$8, moras[[#This Row],[EDAD]])</f>
        <v>55</v>
      </c>
      <c r="P3099" s="14" t="str">
        <f>IF(
    OR(ISBLANK(moras[[#This Row],[TIPO_ASEGURAMIENTO]]), moras[[#This Row],[TIPO_ASEGURAMIENTO]]=""),
    EDA!$A$32,
    moras[[#This Row],[TIPO_ASEGURAMIENTO]]
)</f>
        <v>ASALARIADO</v>
      </c>
    </row>
    <row r="3100" spans="1:16" x14ac:dyDescent="0.3">
      <c r="A3100">
        <v>3099</v>
      </c>
      <c r="B3100" t="s">
        <v>9</v>
      </c>
      <c r="C3100">
        <v>60489999</v>
      </c>
      <c r="D3100" t="s">
        <v>10</v>
      </c>
      <c r="E3100" t="s">
        <v>16</v>
      </c>
      <c r="F3100" t="s">
        <v>12</v>
      </c>
      <c r="G3100" t="s">
        <v>13</v>
      </c>
      <c r="H3100" t="s">
        <v>13</v>
      </c>
      <c r="I3100">
        <v>22</v>
      </c>
      <c r="J3100">
        <f>ABS((I3100-EDA!$A$15)/EDA!$B$15)</f>
        <v>1.4100662886840327</v>
      </c>
      <c r="K3100" t="str">
        <f t="shared" si="48"/>
        <v>No</v>
      </c>
      <c r="L3100">
        <f>ABS((C3100-EDA!$F$15)/EDA!$G$15)</f>
        <v>0.63094231178028326</v>
      </c>
      <c r="M3100" t="str">
        <f>IF(moras[[#This Row],[Z-Score Salario]]&gt;1.96, "Sí", "No")</f>
        <v>No</v>
      </c>
      <c r="N3100" s="14">
        <f>IF(ISBLANK(moras[[#This Row],[SALARIO]]), EDA!$M$8, moras[[#This Row],[SALARIO]])</f>
        <v>60489999</v>
      </c>
      <c r="O3100" s="14">
        <f xml:space="preserve"> IF(ISBLANK(moras[[#This Row],[EDAD]]), EDA!$E$8, moras[[#This Row],[EDAD]])</f>
        <v>22</v>
      </c>
      <c r="P3100" s="14" t="str">
        <f>IF(
    OR(ISBLANK(moras[[#This Row],[TIPO_ASEGURAMIENTO]]), moras[[#This Row],[TIPO_ASEGURAMIENTO]]=""),
    EDA!$A$32,
    moras[[#This Row],[TIPO_ASEGURAMIENTO]]
)</f>
        <v>ASALARIADO</v>
      </c>
    </row>
    <row r="3101" spans="1:16" x14ac:dyDescent="0.3">
      <c r="A3101">
        <v>3100</v>
      </c>
      <c r="B3101" t="s">
        <v>9</v>
      </c>
      <c r="C3101">
        <v>75800224</v>
      </c>
      <c r="D3101" t="s">
        <v>10</v>
      </c>
      <c r="E3101" t="s">
        <v>16</v>
      </c>
      <c r="F3101" t="s">
        <v>12</v>
      </c>
      <c r="G3101" t="s">
        <v>13</v>
      </c>
      <c r="H3101" t="s">
        <v>13</v>
      </c>
      <c r="I3101">
        <v>32</v>
      </c>
      <c r="J3101">
        <f>ABS((I3101-EDA!$A$15)/EDA!$B$15)</f>
        <v>0.70431298791265773</v>
      </c>
      <c r="K3101" t="str">
        <f t="shared" si="48"/>
        <v>No</v>
      </c>
      <c r="L3101">
        <f>ABS((C3101-EDA!$F$15)/EDA!$G$15)</f>
        <v>0.8857152634548523</v>
      </c>
      <c r="M3101" t="str">
        <f>IF(moras[[#This Row],[Z-Score Salario]]&gt;1.96, "Sí", "No")</f>
        <v>No</v>
      </c>
      <c r="N3101" s="14">
        <f>IF(ISBLANK(moras[[#This Row],[SALARIO]]), EDA!$M$8, moras[[#This Row],[SALARIO]])</f>
        <v>75800224</v>
      </c>
      <c r="O3101" s="14">
        <f xml:space="preserve"> IF(ISBLANK(moras[[#This Row],[EDAD]]), EDA!$E$8, moras[[#This Row],[EDAD]])</f>
        <v>32</v>
      </c>
      <c r="P3101" s="14" t="str">
        <f>IF(
    OR(ISBLANK(moras[[#This Row],[TIPO_ASEGURAMIENTO]]), moras[[#This Row],[TIPO_ASEGURAMIENTO]]=""),
    EDA!$A$32,
    moras[[#This Row],[TIPO_ASEGURAMIENTO]]
)</f>
        <v>ASALARIADO</v>
      </c>
    </row>
    <row r="3102" spans="1:16" x14ac:dyDescent="0.3">
      <c r="A3102">
        <v>3101</v>
      </c>
      <c r="B3102" t="s">
        <v>15</v>
      </c>
      <c r="C3102">
        <v>146988</v>
      </c>
      <c r="D3102" t="s">
        <v>10</v>
      </c>
      <c r="E3102" t="s">
        <v>16</v>
      </c>
      <c r="F3102" t="s">
        <v>12</v>
      </c>
      <c r="G3102" t="s">
        <v>13</v>
      </c>
      <c r="H3102" t="s">
        <v>13</v>
      </c>
      <c r="I3102">
        <v>36</v>
      </c>
      <c r="J3102">
        <f>ABS((I3102-EDA!$A$15)/EDA!$B$15)</f>
        <v>0.42201166760410774</v>
      </c>
      <c r="K3102" t="str">
        <f t="shared" si="48"/>
        <v>No</v>
      </c>
      <c r="L3102">
        <f>ABS((C3102-EDA!$F$15)/EDA!$G$15)</f>
        <v>0.37320798812719608</v>
      </c>
      <c r="M3102" t="str">
        <f>IF(moras[[#This Row],[Z-Score Salario]]&gt;1.96, "Sí", "No")</f>
        <v>No</v>
      </c>
      <c r="N3102" s="14">
        <f>IF(ISBLANK(moras[[#This Row],[SALARIO]]), EDA!$M$8, moras[[#This Row],[SALARIO]])</f>
        <v>146988</v>
      </c>
      <c r="O3102" s="14">
        <f xml:space="preserve"> IF(ISBLANK(moras[[#This Row],[EDAD]]), EDA!$E$8, moras[[#This Row],[EDAD]])</f>
        <v>36</v>
      </c>
      <c r="P3102" s="14" t="str">
        <f>IF(
    OR(ISBLANK(moras[[#This Row],[TIPO_ASEGURAMIENTO]]), moras[[#This Row],[TIPO_ASEGURAMIENTO]]=""),
    EDA!$A$32,
    moras[[#This Row],[TIPO_ASEGURAMIENTO]]
)</f>
        <v>ASALARIADO</v>
      </c>
    </row>
    <row r="3103" spans="1:16" x14ac:dyDescent="0.3">
      <c r="A3103">
        <v>3102</v>
      </c>
      <c r="B3103" t="s">
        <v>9</v>
      </c>
      <c r="C3103">
        <v>278031</v>
      </c>
      <c r="D3103" t="s">
        <v>17</v>
      </c>
      <c r="E3103" t="s">
        <v>16</v>
      </c>
      <c r="F3103" t="s">
        <v>13</v>
      </c>
      <c r="G3103" t="s">
        <v>13</v>
      </c>
      <c r="H3103" t="s">
        <v>13</v>
      </c>
      <c r="I3103">
        <v>34</v>
      </c>
      <c r="J3103">
        <f>ABS((I3103-EDA!$A$15)/EDA!$B$15)</f>
        <v>0.56316232775838282</v>
      </c>
      <c r="K3103" t="str">
        <f t="shared" si="48"/>
        <v>No</v>
      </c>
      <c r="L3103">
        <f>ABS((C3103-EDA!$F$15)/EDA!$G$15)</f>
        <v>0.37102734010234401</v>
      </c>
      <c r="M3103" t="str">
        <f>IF(moras[[#This Row],[Z-Score Salario]]&gt;1.96, "Sí", "No")</f>
        <v>No</v>
      </c>
      <c r="N3103" s="14">
        <f>IF(ISBLANK(moras[[#This Row],[SALARIO]]), EDA!$M$8, moras[[#This Row],[SALARIO]])</f>
        <v>278031</v>
      </c>
      <c r="O3103" s="14">
        <f xml:space="preserve"> IF(ISBLANK(moras[[#This Row],[EDAD]]), EDA!$E$8, moras[[#This Row],[EDAD]])</f>
        <v>34</v>
      </c>
      <c r="P3103" s="14" t="str">
        <f>IF(
    OR(ISBLANK(moras[[#This Row],[TIPO_ASEGURAMIENTO]]), moras[[#This Row],[TIPO_ASEGURAMIENTO]]=""),
    EDA!$A$32,
    moras[[#This Row],[TIPO_ASEGURAMIENTO]]
)</f>
        <v>ASEGURADO VOLUNTARIO</v>
      </c>
    </row>
    <row r="3104" spans="1:16" x14ac:dyDescent="0.3">
      <c r="A3104">
        <v>3103</v>
      </c>
      <c r="B3104" t="s">
        <v>15</v>
      </c>
      <c r="C3104">
        <v>477903</v>
      </c>
      <c r="D3104" t="s">
        <v>18</v>
      </c>
      <c r="E3104" t="s">
        <v>16</v>
      </c>
      <c r="F3104" t="s">
        <v>12</v>
      </c>
      <c r="G3104" t="s">
        <v>13</v>
      </c>
      <c r="H3104" t="s">
        <v>13</v>
      </c>
      <c r="I3104">
        <v>51</v>
      </c>
      <c r="J3104">
        <f>ABS((I3104-EDA!$A$15)/EDA!$B$15)</f>
        <v>0.6366182835529548</v>
      </c>
      <c r="K3104" t="str">
        <f t="shared" si="48"/>
        <v>No</v>
      </c>
      <c r="L3104">
        <f>ABS((C3104-EDA!$F$15)/EDA!$G$15)</f>
        <v>0.36770132893026136</v>
      </c>
      <c r="M3104" t="str">
        <f>IF(moras[[#This Row],[Z-Score Salario]]&gt;1.96, "Sí", "No")</f>
        <v>No</v>
      </c>
      <c r="N3104" s="14">
        <f>IF(ISBLANK(moras[[#This Row],[SALARIO]]), EDA!$M$8, moras[[#This Row],[SALARIO]])</f>
        <v>477903</v>
      </c>
      <c r="O3104" s="14">
        <f xml:space="preserve"> IF(ISBLANK(moras[[#This Row],[EDAD]]), EDA!$E$8, moras[[#This Row],[EDAD]])</f>
        <v>51</v>
      </c>
      <c r="P3104" s="14" t="str">
        <f>IF(
    OR(ISBLANK(moras[[#This Row],[TIPO_ASEGURAMIENTO]]), moras[[#This Row],[TIPO_ASEGURAMIENTO]]=""),
    EDA!$A$32,
    moras[[#This Row],[TIPO_ASEGURAMIENTO]]
)</f>
        <v>TRABAJADOR INDEPENDIENTE</v>
      </c>
    </row>
    <row r="3105" spans="1:16" x14ac:dyDescent="0.3">
      <c r="A3105">
        <v>3104</v>
      </c>
      <c r="B3105" t="s">
        <v>9</v>
      </c>
      <c r="C3105">
        <v>744238</v>
      </c>
      <c r="D3105" t="s">
        <v>14</v>
      </c>
      <c r="E3105" t="s">
        <v>11</v>
      </c>
      <c r="F3105" t="s">
        <v>12</v>
      </c>
      <c r="G3105" t="s">
        <v>13</v>
      </c>
      <c r="H3105" t="s">
        <v>13</v>
      </c>
      <c r="I3105">
        <v>56</v>
      </c>
      <c r="J3105">
        <f>ABS((I3105-EDA!$A$15)/EDA!$B$15)</f>
        <v>0.9894949339386423</v>
      </c>
      <c r="K3105" t="str">
        <f t="shared" si="48"/>
        <v>No</v>
      </c>
      <c r="L3105">
        <f>ABS((C3105-EDA!$F$15)/EDA!$G$15)</f>
        <v>0.3632693265211363</v>
      </c>
      <c r="M3105" t="str">
        <f>IF(moras[[#This Row],[Z-Score Salario]]&gt;1.96, "Sí", "No")</f>
        <v>No</v>
      </c>
      <c r="N3105" s="14">
        <f>IF(ISBLANK(moras[[#This Row],[SALARIO]]), EDA!$M$8, moras[[#This Row],[SALARIO]])</f>
        <v>744238</v>
      </c>
      <c r="O3105" s="14">
        <f xml:space="preserve"> IF(ISBLANK(moras[[#This Row],[EDAD]]), EDA!$E$8, moras[[#This Row],[EDAD]])</f>
        <v>56</v>
      </c>
      <c r="P3105" s="14" t="str">
        <f>IF(
    OR(ISBLANK(moras[[#This Row],[TIPO_ASEGURAMIENTO]]), moras[[#This Row],[TIPO_ASEGURAMIENTO]]=""),
    EDA!$A$32,
    moras[[#This Row],[TIPO_ASEGURAMIENTO]]
)</f>
        <v>PENSIONADOS EN SU PROPIO SISTEMA</v>
      </c>
    </row>
    <row r="3106" spans="1:16" x14ac:dyDescent="0.3">
      <c r="A3106">
        <v>3105</v>
      </c>
      <c r="B3106" t="s">
        <v>15</v>
      </c>
      <c r="C3106">
        <v>297046</v>
      </c>
      <c r="D3106" t="s">
        <v>17</v>
      </c>
      <c r="E3106" t="s">
        <v>16</v>
      </c>
      <c r="F3106" t="s">
        <v>12</v>
      </c>
      <c r="G3106" t="s">
        <v>13</v>
      </c>
      <c r="H3106" t="s">
        <v>13</v>
      </c>
      <c r="I3106">
        <v>60</v>
      </c>
      <c r="J3106">
        <f>ABS((I3106-EDA!$A$15)/EDA!$B$15)</f>
        <v>1.2717962542471923</v>
      </c>
      <c r="K3106" t="str">
        <f t="shared" si="48"/>
        <v>No</v>
      </c>
      <c r="L3106">
        <f>ABS((C3106-EDA!$F$15)/EDA!$G$15)</f>
        <v>0.37071091707942361</v>
      </c>
      <c r="M3106" t="str">
        <f>IF(moras[[#This Row],[Z-Score Salario]]&gt;1.96, "Sí", "No")</f>
        <v>No</v>
      </c>
      <c r="N3106" s="14">
        <f>IF(ISBLANK(moras[[#This Row],[SALARIO]]), EDA!$M$8, moras[[#This Row],[SALARIO]])</f>
        <v>297046</v>
      </c>
      <c r="O3106" s="14">
        <f xml:space="preserve"> IF(ISBLANK(moras[[#This Row],[EDAD]]), EDA!$E$8, moras[[#This Row],[EDAD]])</f>
        <v>60</v>
      </c>
      <c r="P3106" s="14" t="str">
        <f>IF(
    OR(ISBLANK(moras[[#This Row],[TIPO_ASEGURAMIENTO]]), moras[[#This Row],[TIPO_ASEGURAMIENTO]]=""),
    EDA!$A$32,
    moras[[#This Row],[TIPO_ASEGURAMIENTO]]
)</f>
        <v>ASEGURADO VOLUNTARIO</v>
      </c>
    </row>
    <row r="3107" spans="1:16" x14ac:dyDescent="0.3">
      <c r="A3107">
        <v>3106</v>
      </c>
      <c r="B3107" t="s">
        <v>9</v>
      </c>
      <c r="C3107">
        <v>1353797</v>
      </c>
      <c r="D3107" t="s">
        <v>10</v>
      </c>
      <c r="E3107" t="s">
        <v>11</v>
      </c>
      <c r="F3107" t="s">
        <v>12</v>
      </c>
      <c r="G3107" t="s">
        <v>13</v>
      </c>
      <c r="H3107" t="s">
        <v>12</v>
      </c>
      <c r="I3107">
        <v>44</v>
      </c>
      <c r="J3107">
        <f>ABS((I3107-EDA!$A$15)/EDA!$B$15)</f>
        <v>0.14259097301299228</v>
      </c>
      <c r="K3107" t="str">
        <f t="shared" si="48"/>
        <v>No</v>
      </c>
      <c r="L3107">
        <f>ABS((C3107-EDA!$F$15)/EDA!$G$15)</f>
        <v>0.35312583446600332</v>
      </c>
      <c r="M3107" t="str">
        <f>IF(moras[[#This Row],[Z-Score Salario]]&gt;1.96, "Sí", "No")</f>
        <v>No</v>
      </c>
      <c r="N3107" s="14">
        <f>IF(ISBLANK(moras[[#This Row],[SALARIO]]), EDA!$M$8, moras[[#This Row],[SALARIO]])</f>
        <v>1353797</v>
      </c>
      <c r="O3107" s="14">
        <f xml:space="preserve"> IF(ISBLANK(moras[[#This Row],[EDAD]]), EDA!$E$8, moras[[#This Row],[EDAD]])</f>
        <v>44</v>
      </c>
      <c r="P3107" s="14" t="str">
        <f>IF(
    OR(ISBLANK(moras[[#This Row],[TIPO_ASEGURAMIENTO]]), moras[[#This Row],[TIPO_ASEGURAMIENTO]]=""),
    EDA!$A$32,
    moras[[#This Row],[TIPO_ASEGURAMIENTO]]
)</f>
        <v>ASALARIADO</v>
      </c>
    </row>
    <row r="3108" spans="1:16" x14ac:dyDescent="0.3">
      <c r="A3108">
        <v>3107</v>
      </c>
      <c r="B3108" t="s">
        <v>15</v>
      </c>
      <c r="C3108">
        <v>486013</v>
      </c>
      <c r="D3108" t="s">
        <v>18</v>
      </c>
      <c r="E3108" t="s">
        <v>16</v>
      </c>
      <c r="F3108" t="s">
        <v>12</v>
      </c>
      <c r="G3108" t="s">
        <v>13</v>
      </c>
      <c r="H3108" t="s">
        <v>13</v>
      </c>
      <c r="I3108">
        <v>63</v>
      </c>
      <c r="J3108">
        <f>ABS((I3108-EDA!$A$15)/EDA!$B$15)</f>
        <v>1.4835222444786049</v>
      </c>
      <c r="K3108" t="str">
        <f t="shared" si="48"/>
        <v>No</v>
      </c>
      <c r="L3108">
        <f>ABS((C3108-EDA!$F$15)/EDA!$G$15)</f>
        <v>0.3675663728053134</v>
      </c>
      <c r="M3108" t="str">
        <f>IF(moras[[#This Row],[Z-Score Salario]]&gt;1.96, "Sí", "No")</f>
        <v>No</v>
      </c>
      <c r="N3108" s="14">
        <f>IF(ISBLANK(moras[[#This Row],[SALARIO]]), EDA!$M$8, moras[[#This Row],[SALARIO]])</f>
        <v>486013</v>
      </c>
      <c r="O3108" s="14">
        <f xml:space="preserve"> IF(ISBLANK(moras[[#This Row],[EDAD]]), EDA!$E$8, moras[[#This Row],[EDAD]])</f>
        <v>63</v>
      </c>
      <c r="P3108" s="14" t="str">
        <f>IF(
    OR(ISBLANK(moras[[#This Row],[TIPO_ASEGURAMIENTO]]), moras[[#This Row],[TIPO_ASEGURAMIENTO]]=""),
    EDA!$A$32,
    moras[[#This Row],[TIPO_ASEGURAMIENTO]]
)</f>
        <v>TRABAJADOR INDEPENDIENTE</v>
      </c>
    </row>
    <row r="3109" spans="1:16" x14ac:dyDescent="0.3">
      <c r="A3109">
        <v>3108</v>
      </c>
      <c r="B3109" t="s">
        <v>9</v>
      </c>
      <c r="C3109">
        <v>278030</v>
      </c>
      <c r="D3109" t="s">
        <v>19</v>
      </c>
      <c r="E3109" t="s">
        <v>16</v>
      </c>
      <c r="F3109" t="s">
        <v>12</v>
      </c>
      <c r="G3109" t="s">
        <v>13</v>
      </c>
      <c r="H3109" t="s">
        <v>13</v>
      </c>
      <c r="I3109">
        <v>33</v>
      </c>
      <c r="J3109">
        <f>ABS((I3109-EDA!$A$15)/EDA!$B$15)</f>
        <v>0.63373765783552027</v>
      </c>
      <c r="K3109" t="str">
        <f t="shared" si="48"/>
        <v>No</v>
      </c>
      <c r="L3109">
        <f>ABS((C3109-EDA!$F$15)/EDA!$G$15)</f>
        <v>0.37102735674304993</v>
      </c>
      <c r="M3109" t="str">
        <f>IF(moras[[#This Row],[Z-Score Salario]]&gt;1.96, "Sí", "No")</f>
        <v>No</v>
      </c>
      <c r="N3109" s="14">
        <f>IF(ISBLANK(moras[[#This Row],[SALARIO]]), EDA!$M$8, moras[[#This Row],[SALARIO]])</f>
        <v>278030</v>
      </c>
      <c r="O3109" s="14">
        <f xml:space="preserve"> IF(ISBLANK(moras[[#This Row],[EDAD]]), EDA!$E$8, moras[[#This Row],[EDAD]])</f>
        <v>33</v>
      </c>
      <c r="P3109" s="14" t="str">
        <f>IF(
    OR(ISBLANK(moras[[#This Row],[TIPO_ASEGURAMIENTO]]), moras[[#This Row],[TIPO_ASEGURAMIENTO]]=""),
    EDA!$A$32,
    moras[[#This Row],[TIPO_ASEGURAMIENTO]]
)</f>
        <v>CONVENIOS ESPECIALES DE TRABAJADORES INDEPENDIENTES</v>
      </c>
    </row>
    <row r="3110" spans="1:16" x14ac:dyDescent="0.3">
      <c r="A3110">
        <v>3109</v>
      </c>
      <c r="B3110" t="s">
        <v>15</v>
      </c>
      <c r="C3110">
        <v>278030</v>
      </c>
      <c r="D3110" t="s">
        <v>19</v>
      </c>
      <c r="E3110" t="s">
        <v>16</v>
      </c>
      <c r="F3110" t="s">
        <v>12</v>
      </c>
      <c r="G3110" t="s">
        <v>13</v>
      </c>
      <c r="H3110" t="s">
        <v>13</v>
      </c>
      <c r="I3110">
        <v>40</v>
      </c>
      <c r="J3110">
        <f>ABS((I3110-EDA!$A$15)/EDA!$B$15)</f>
        <v>0.13971034729555773</v>
      </c>
      <c r="K3110" t="str">
        <f t="shared" si="48"/>
        <v>No</v>
      </c>
      <c r="L3110">
        <f>ABS((C3110-EDA!$F$15)/EDA!$G$15)</f>
        <v>0.37102735674304993</v>
      </c>
      <c r="M3110" t="str">
        <f>IF(moras[[#This Row],[Z-Score Salario]]&gt;1.96, "Sí", "No")</f>
        <v>No</v>
      </c>
      <c r="N3110" s="14">
        <f>IF(ISBLANK(moras[[#This Row],[SALARIO]]), EDA!$M$8, moras[[#This Row],[SALARIO]])</f>
        <v>278030</v>
      </c>
      <c r="O3110" s="14">
        <f xml:space="preserve"> IF(ISBLANK(moras[[#This Row],[EDAD]]), EDA!$E$8, moras[[#This Row],[EDAD]])</f>
        <v>40</v>
      </c>
      <c r="P3110" s="14" t="str">
        <f>IF(
    OR(ISBLANK(moras[[#This Row],[TIPO_ASEGURAMIENTO]]), moras[[#This Row],[TIPO_ASEGURAMIENTO]]=""),
    EDA!$A$32,
    moras[[#This Row],[TIPO_ASEGURAMIENTO]]
)</f>
        <v>CONVENIOS ESPECIALES DE TRABAJADORES INDEPENDIENTES</v>
      </c>
    </row>
    <row r="3111" spans="1:16" x14ac:dyDescent="0.3">
      <c r="A3111">
        <v>3110</v>
      </c>
      <c r="B3111" t="s">
        <v>9</v>
      </c>
      <c r="C3111">
        <v>255744</v>
      </c>
      <c r="D3111" t="s">
        <v>10</v>
      </c>
      <c r="E3111" t="s">
        <v>16</v>
      </c>
      <c r="F3111" t="s">
        <v>12</v>
      </c>
      <c r="G3111" t="s">
        <v>13</v>
      </c>
      <c r="H3111" t="s">
        <v>12</v>
      </c>
      <c r="I3111">
        <v>26</v>
      </c>
      <c r="J3111">
        <f>ABS((I3111-EDA!$A$15)/EDA!$B$15)</f>
        <v>1.1277649683754829</v>
      </c>
      <c r="K3111" t="str">
        <f t="shared" si="48"/>
        <v>No</v>
      </c>
      <c r="L3111">
        <f>ABS((C3111-EDA!$F$15)/EDA!$G$15)</f>
        <v>0.37139821151500912</v>
      </c>
      <c r="M3111" t="str">
        <f>IF(moras[[#This Row],[Z-Score Salario]]&gt;1.96, "Sí", "No")</f>
        <v>No</v>
      </c>
      <c r="N3111" s="14">
        <f>IF(ISBLANK(moras[[#This Row],[SALARIO]]), EDA!$M$8, moras[[#This Row],[SALARIO]])</f>
        <v>255744</v>
      </c>
      <c r="O3111" s="14">
        <f xml:space="preserve"> IF(ISBLANK(moras[[#This Row],[EDAD]]), EDA!$E$8, moras[[#This Row],[EDAD]])</f>
        <v>26</v>
      </c>
      <c r="P3111" s="14" t="str">
        <f>IF(
    OR(ISBLANK(moras[[#This Row],[TIPO_ASEGURAMIENTO]]), moras[[#This Row],[TIPO_ASEGURAMIENTO]]=""),
    EDA!$A$32,
    moras[[#This Row],[TIPO_ASEGURAMIENTO]]
)</f>
        <v>ASALARIADO</v>
      </c>
    </row>
    <row r="3112" spans="1:16" x14ac:dyDescent="0.3">
      <c r="A3112">
        <v>3111</v>
      </c>
      <c r="B3112" t="s">
        <v>9</v>
      </c>
      <c r="C3112">
        <v>16023263</v>
      </c>
      <c r="D3112" t="s">
        <v>10</v>
      </c>
      <c r="E3112" t="s">
        <v>11</v>
      </c>
      <c r="F3112" t="s">
        <v>12</v>
      </c>
      <c r="G3112" t="s">
        <v>13</v>
      </c>
      <c r="H3112" t="s">
        <v>13</v>
      </c>
      <c r="I3112">
        <v>62</v>
      </c>
      <c r="J3112">
        <f>ABS((I3112-EDA!$A$15)/EDA!$B$15)</f>
        <v>1.4129469144014672</v>
      </c>
      <c r="K3112" t="str">
        <f t="shared" si="48"/>
        <v>No</v>
      </c>
      <c r="L3112">
        <f>ABS((C3112-EDA!$F$15)/EDA!$G$15)</f>
        <v>0.10901556487102783</v>
      </c>
      <c r="M3112" t="str">
        <f>IF(moras[[#This Row],[Z-Score Salario]]&gt;1.96, "Sí", "No")</f>
        <v>No</v>
      </c>
      <c r="N3112" s="14">
        <f>IF(ISBLANK(moras[[#This Row],[SALARIO]]), EDA!$M$8, moras[[#This Row],[SALARIO]])</f>
        <v>16023263</v>
      </c>
      <c r="O3112" s="14">
        <f xml:space="preserve"> IF(ISBLANK(moras[[#This Row],[EDAD]]), EDA!$E$8, moras[[#This Row],[EDAD]])</f>
        <v>62</v>
      </c>
      <c r="P3112" s="14" t="str">
        <f>IF(
    OR(ISBLANK(moras[[#This Row],[TIPO_ASEGURAMIENTO]]), moras[[#This Row],[TIPO_ASEGURAMIENTO]]=""),
    EDA!$A$32,
    moras[[#This Row],[TIPO_ASEGURAMIENTO]]
)</f>
        <v>ASALARIADO</v>
      </c>
    </row>
    <row r="3113" spans="1:16" x14ac:dyDescent="0.3">
      <c r="A3113">
        <v>3112</v>
      </c>
      <c r="B3113" t="s">
        <v>9</v>
      </c>
      <c r="C3113">
        <v>356455</v>
      </c>
      <c r="D3113" t="s">
        <v>18</v>
      </c>
      <c r="E3113" t="s">
        <v>16</v>
      </c>
      <c r="F3113" t="s">
        <v>12</v>
      </c>
      <c r="G3113" t="s">
        <v>13</v>
      </c>
      <c r="H3113" t="s">
        <v>12</v>
      </c>
      <c r="I3113">
        <v>41</v>
      </c>
      <c r="J3113">
        <f>ABS((I3113-EDA!$A$15)/EDA!$B$15)</f>
        <v>6.9135017218420233E-2</v>
      </c>
      <c r="K3113" t="str">
        <f t="shared" si="48"/>
        <v>No</v>
      </c>
      <c r="L3113">
        <f>ABS((C3113-EDA!$F$15)/EDA!$G$15)</f>
        <v>0.36972230938188588</v>
      </c>
      <c r="M3113" t="str">
        <f>IF(moras[[#This Row],[Z-Score Salario]]&gt;1.96, "Sí", "No")</f>
        <v>No</v>
      </c>
      <c r="N3113" s="14">
        <f>IF(ISBLANK(moras[[#This Row],[SALARIO]]), EDA!$M$8, moras[[#This Row],[SALARIO]])</f>
        <v>356455</v>
      </c>
      <c r="O3113" s="14">
        <f xml:space="preserve"> IF(ISBLANK(moras[[#This Row],[EDAD]]), EDA!$E$8, moras[[#This Row],[EDAD]])</f>
        <v>41</v>
      </c>
      <c r="P3113" s="14" t="str">
        <f>IF(
    OR(ISBLANK(moras[[#This Row],[TIPO_ASEGURAMIENTO]]), moras[[#This Row],[TIPO_ASEGURAMIENTO]]=""),
    EDA!$A$32,
    moras[[#This Row],[TIPO_ASEGURAMIENTO]]
)</f>
        <v>TRABAJADOR INDEPENDIENTE</v>
      </c>
    </row>
    <row r="3114" spans="1:16" x14ac:dyDescent="0.3">
      <c r="A3114">
        <v>3113</v>
      </c>
      <c r="B3114" t="s">
        <v>9</v>
      </c>
      <c r="C3114">
        <v>389940</v>
      </c>
      <c r="D3114" t="s">
        <v>18</v>
      </c>
      <c r="E3114" t="s">
        <v>16</v>
      </c>
      <c r="F3114" t="s">
        <v>12</v>
      </c>
      <c r="G3114" t="s">
        <v>13</v>
      </c>
      <c r="H3114" t="s">
        <v>12</v>
      </c>
      <c r="I3114">
        <v>47</v>
      </c>
      <c r="J3114">
        <f>ABS((I3114-EDA!$A$15)/EDA!$B$15)</f>
        <v>0.35431696324440481</v>
      </c>
      <c r="K3114" t="str">
        <f t="shared" si="48"/>
        <v>No</v>
      </c>
      <c r="L3114">
        <f>ABS((C3114-EDA!$F$15)/EDA!$G$15)</f>
        <v>0.36916509534441594</v>
      </c>
      <c r="M3114" t="str">
        <f>IF(moras[[#This Row],[Z-Score Salario]]&gt;1.96, "Sí", "No")</f>
        <v>No</v>
      </c>
      <c r="N3114" s="14">
        <f>IF(ISBLANK(moras[[#This Row],[SALARIO]]), EDA!$M$8, moras[[#This Row],[SALARIO]])</f>
        <v>389940</v>
      </c>
      <c r="O3114" s="14">
        <f xml:space="preserve"> IF(ISBLANK(moras[[#This Row],[EDAD]]), EDA!$E$8, moras[[#This Row],[EDAD]])</f>
        <v>47</v>
      </c>
      <c r="P3114" s="14" t="str">
        <f>IF(
    OR(ISBLANK(moras[[#This Row],[TIPO_ASEGURAMIENTO]]), moras[[#This Row],[TIPO_ASEGURAMIENTO]]=""),
    EDA!$A$32,
    moras[[#This Row],[TIPO_ASEGURAMIENTO]]
)</f>
        <v>TRABAJADOR INDEPENDIENTE</v>
      </c>
    </row>
    <row r="3115" spans="1:16" x14ac:dyDescent="0.3">
      <c r="A3115">
        <v>3114</v>
      </c>
      <c r="B3115" t="s">
        <v>15</v>
      </c>
      <c r="C3115">
        <v>300018</v>
      </c>
      <c r="D3115" t="s">
        <v>17</v>
      </c>
      <c r="E3115" t="s">
        <v>16</v>
      </c>
      <c r="F3115" t="s">
        <v>12</v>
      </c>
      <c r="G3115" t="s">
        <v>13</v>
      </c>
      <c r="H3115" t="s">
        <v>13</v>
      </c>
      <c r="I3115">
        <v>43</v>
      </c>
      <c r="J3115">
        <f>ABS((I3115-EDA!$A$15)/EDA!$B$15)</f>
        <v>7.2015642935854773E-2</v>
      </c>
      <c r="K3115" t="str">
        <f t="shared" si="48"/>
        <v>No</v>
      </c>
      <c r="L3115">
        <f>ABS((C3115-EDA!$F$15)/EDA!$G$15)</f>
        <v>0.37066146090145252</v>
      </c>
      <c r="M3115" t="str">
        <f>IF(moras[[#This Row],[Z-Score Salario]]&gt;1.96, "Sí", "No")</f>
        <v>No</v>
      </c>
      <c r="N3115" s="14">
        <f>IF(ISBLANK(moras[[#This Row],[SALARIO]]), EDA!$M$8, moras[[#This Row],[SALARIO]])</f>
        <v>300018</v>
      </c>
      <c r="O3115" s="14">
        <f xml:space="preserve"> IF(ISBLANK(moras[[#This Row],[EDAD]]), EDA!$E$8, moras[[#This Row],[EDAD]])</f>
        <v>43</v>
      </c>
      <c r="P3115" s="14" t="str">
        <f>IF(
    OR(ISBLANK(moras[[#This Row],[TIPO_ASEGURAMIENTO]]), moras[[#This Row],[TIPO_ASEGURAMIENTO]]=""),
    EDA!$A$32,
    moras[[#This Row],[TIPO_ASEGURAMIENTO]]
)</f>
        <v>ASEGURADO VOLUNTARIO</v>
      </c>
    </row>
    <row r="3116" spans="1:16" x14ac:dyDescent="0.3">
      <c r="A3116">
        <v>3115</v>
      </c>
      <c r="B3116" t="s">
        <v>15</v>
      </c>
      <c r="C3116">
        <v>110300</v>
      </c>
      <c r="D3116" t="s">
        <v>10</v>
      </c>
      <c r="E3116" t="s">
        <v>16</v>
      </c>
      <c r="F3116" t="s">
        <v>12</v>
      </c>
      <c r="G3116" t="s">
        <v>13</v>
      </c>
      <c r="H3116" t="s">
        <v>13</v>
      </c>
      <c r="I3116">
        <v>53</v>
      </c>
      <c r="J3116">
        <f>ABS((I3116-EDA!$A$15)/EDA!$B$15)</f>
        <v>0.77776894370722982</v>
      </c>
      <c r="K3116" t="str">
        <f t="shared" si="48"/>
        <v>No</v>
      </c>
      <c r="L3116">
        <f>ABS((C3116-EDA!$F$15)/EDA!$G$15)</f>
        <v>0.37381850234570274</v>
      </c>
      <c r="M3116" t="str">
        <f>IF(moras[[#This Row],[Z-Score Salario]]&gt;1.96, "Sí", "No")</f>
        <v>No</v>
      </c>
      <c r="N3116" s="14">
        <f>IF(ISBLANK(moras[[#This Row],[SALARIO]]), EDA!$M$8, moras[[#This Row],[SALARIO]])</f>
        <v>110300</v>
      </c>
      <c r="O3116" s="14">
        <f xml:space="preserve"> IF(ISBLANK(moras[[#This Row],[EDAD]]), EDA!$E$8, moras[[#This Row],[EDAD]])</f>
        <v>53</v>
      </c>
      <c r="P3116" s="14" t="str">
        <f>IF(
    OR(ISBLANK(moras[[#This Row],[TIPO_ASEGURAMIENTO]]), moras[[#This Row],[TIPO_ASEGURAMIENTO]]=""),
    EDA!$A$32,
    moras[[#This Row],[TIPO_ASEGURAMIENTO]]
)</f>
        <v>ASALARIADO</v>
      </c>
    </row>
    <row r="3117" spans="1:16" x14ac:dyDescent="0.3">
      <c r="A3117">
        <v>3116</v>
      </c>
      <c r="B3117" t="s">
        <v>9</v>
      </c>
      <c r="C3117">
        <v>24740629</v>
      </c>
      <c r="D3117" t="s">
        <v>10</v>
      </c>
      <c r="E3117" t="s">
        <v>16</v>
      </c>
      <c r="F3117" t="s">
        <v>12</v>
      </c>
      <c r="G3117" t="s">
        <v>13</v>
      </c>
      <c r="H3117" t="s">
        <v>13</v>
      </c>
      <c r="I3117">
        <v>33</v>
      </c>
      <c r="J3117">
        <f>ABS((I3117-EDA!$A$15)/EDA!$B$15)</f>
        <v>0.63373765783552027</v>
      </c>
      <c r="K3117" t="str">
        <f t="shared" si="48"/>
        <v>No</v>
      </c>
      <c r="L3117">
        <f>ABS((C3117-EDA!$F$15)/EDA!$G$15)</f>
        <v>3.6047559063958831E-2</v>
      </c>
      <c r="M3117" t="str">
        <f>IF(moras[[#This Row],[Z-Score Salario]]&gt;1.96, "Sí", "No")</f>
        <v>No</v>
      </c>
      <c r="N3117" s="14">
        <f>IF(ISBLANK(moras[[#This Row],[SALARIO]]), EDA!$M$8, moras[[#This Row],[SALARIO]])</f>
        <v>24740629</v>
      </c>
      <c r="O3117" s="14">
        <f xml:space="preserve"> IF(ISBLANK(moras[[#This Row],[EDAD]]), EDA!$E$8, moras[[#This Row],[EDAD]])</f>
        <v>33</v>
      </c>
      <c r="P3117" s="14" t="str">
        <f>IF(
    OR(ISBLANK(moras[[#This Row],[TIPO_ASEGURAMIENTO]]), moras[[#This Row],[TIPO_ASEGURAMIENTO]]=""),
    EDA!$A$32,
    moras[[#This Row],[TIPO_ASEGURAMIENTO]]
)</f>
        <v>ASALARIADO</v>
      </c>
    </row>
    <row r="3118" spans="1:16" x14ac:dyDescent="0.3">
      <c r="A3118">
        <v>3117</v>
      </c>
      <c r="B3118" t="s">
        <v>9</v>
      </c>
      <c r="C3118">
        <v>594092</v>
      </c>
      <c r="D3118" t="s">
        <v>18</v>
      </c>
      <c r="E3118" t="s">
        <v>16</v>
      </c>
      <c r="F3118" t="s">
        <v>12</v>
      </c>
      <c r="G3118" t="s">
        <v>13</v>
      </c>
      <c r="H3118" t="s">
        <v>12</v>
      </c>
      <c r="I3118">
        <v>62</v>
      </c>
      <c r="J3118">
        <f>ABS((I3118-EDA!$A$15)/EDA!$B$15)</f>
        <v>1.4129469144014672</v>
      </c>
      <c r="K3118" t="str">
        <f t="shared" si="48"/>
        <v>No</v>
      </c>
      <c r="L3118">
        <f>ABS((C3118-EDA!$F$15)/EDA!$G$15)</f>
        <v>0.36576786195102906</v>
      </c>
      <c r="M3118" t="str">
        <f>IF(moras[[#This Row],[Z-Score Salario]]&gt;1.96, "Sí", "No")</f>
        <v>No</v>
      </c>
      <c r="N3118" s="14">
        <f>IF(ISBLANK(moras[[#This Row],[SALARIO]]), EDA!$M$8, moras[[#This Row],[SALARIO]])</f>
        <v>594092</v>
      </c>
      <c r="O3118" s="14">
        <f xml:space="preserve"> IF(ISBLANK(moras[[#This Row],[EDAD]]), EDA!$E$8, moras[[#This Row],[EDAD]])</f>
        <v>62</v>
      </c>
      <c r="P3118" s="14" t="str">
        <f>IF(
    OR(ISBLANK(moras[[#This Row],[TIPO_ASEGURAMIENTO]]), moras[[#This Row],[TIPO_ASEGURAMIENTO]]=""),
    EDA!$A$32,
    moras[[#This Row],[TIPO_ASEGURAMIENTO]]
)</f>
        <v>TRABAJADOR INDEPENDIENTE</v>
      </c>
    </row>
    <row r="3119" spans="1:16" x14ac:dyDescent="0.3">
      <c r="A3119">
        <v>3118</v>
      </c>
      <c r="B3119" t="s">
        <v>15</v>
      </c>
      <c r="C3119">
        <v>297046</v>
      </c>
      <c r="D3119" t="s">
        <v>18</v>
      </c>
      <c r="E3119" t="s">
        <v>16</v>
      </c>
      <c r="F3119" t="s">
        <v>12</v>
      </c>
      <c r="G3119" t="s">
        <v>13</v>
      </c>
      <c r="H3119" t="s">
        <v>12</v>
      </c>
      <c r="I3119">
        <v>40</v>
      </c>
      <c r="J3119">
        <f>ABS((I3119-EDA!$A$15)/EDA!$B$15)</f>
        <v>0.13971034729555773</v>
      </c>
      <c r="K3119" t="str">
        <f t="shared" si="48"/>
        <v>No</v>
      </c>
      <c r="L3119">
        <f>ABS((C3119-EDA!$F$15)/EDA!$G$15)</f>
        <v>0.37071091707942361</v>
      </c>
      <c r="M3119" t="str">
        <f>IF(moras[[#This Row],[Z-Score Salario]]&gt;1.96, "Sí", "No")</f>
        <v>No</v>
      </c>
      <c r="N3119" s="14">
        <f>IF(ISBLANK(moras[[#This Row],[SALARIO]]), EDA!$M$8, moras[[#This Row],[SALARIO]])</f>
        <v>297046</v>
      </c>
      <c r="O3119" s="14">
        <f xml:space="preserve"> IF(ISBLANK(moras[[#This Row],[EDAD]]), EDA!$E$8, moras[[#This Row],[EDAD]])</f>
        <v>40</v>
      </c>
      <c r="P3119" s="14" t="str">
        <f>IF(
    OR(ISBLANK(moras[[#This Row],[TIPO_ASEGURAMIENTO]]), moras[[#This Row],[TIPO_ASEGURAMIENTO]]=""),
    EDA!$A$32,
    moras[[#This Row],[TIPO_ASEGURAMIENTO]]
)</f>
        <v>TRABAJADOR INDEPENDIENTE</v>
      </c>
    </row>
    <row r="3120" spans="1:16" x14ac:dyDescent="0.3">
      <c r="A3120">
        <v>3119</v>
      </c>
      <c r="B3120" t="s">
        <v>9</v>
      </c>
      <c r="C3120">
        <v>546000</v>
      </c>
      <c r="D3120" t="s">
        <v>10</v>
      </c>
      <c r="E3120" t="s">
        <v>16</v>
      </c>
      <c r="F3120" t="s">
        <v>12</v>
      </c>
      <c r="G3120" t="s">
        <v>13</v>
      </c>
      <c r="H3120" t="s">
        <v>13</v>
      </c>
      <c r="I3120">
        <v>54</v>
      </c>
      <c r="J3120">
        <f>ABS((I3120-EDA!$A$15)/EDA!$B$15)</f>
        <v>0.84834427378436728</v>
      </c>
      <c r="K3120" t="str">
        <f t="shared" si="48"/>
        <v>No</v>
      </c>
      <c r="L3120">
        <f>ABS((C3120-EDA!$F$15)/EDA!$G$15)</f>
        <v>0.36656814677975846</v>
      </c>
      <c r="M3120" t="str">
        <f>IF(moras[[#This Row],[Z-Score Salario]]&gt;1.96, "Sí", "No")</f>
        <v>No</v>
      </c>
      <c r="N3120" s="14">
        <f>IF(ISBLANK(moras[[#This Row],[SALARIO]]), EDA!$M$8, moras[[#This Row],[SALARIO]])</f>
        <v>546000</v>
      </c>
      <c r="O3120" s="14">
        <f xml:space="preserve"> IF(ISBLANK(moras[[#This Row],[EDAD]]), EDA!$E$8, moras[[#This Row],[EDAD]])</f>
        <v>54</v>
      </c>
      <c r="P3120" s="14" t="str">
        <f>IF(
    OR(ISBLANK(moras[[#This Row],[TIPO_ASEGURAMIENTO]]), moras[[#This Row],[TIPO_ASEGURAMIENTO]]=""),
    EDA!$A$32,
    moras[[#This Row],[TIPO_ASEGURAMIENTO]]
)</f>
        <v>ASALARIADO</v>
      </c>
    </row>
    <row r="3121" spans="1:16" x14ac:dyDescent="0.3">
      <c r="A3121">
        <v>3120</v>
      </c>
      <c r="B3121" t="s">
        <v>9</v>
      </c>
      <c r="C3121">
        <v>3446699</v>
      </c>
      <c r="D3121" t="s">
        <v>10</v>
      </c>
      <c r="E3121" t="s">
        <v>11</v>
      </c>
      <c r="F3121" t="s">
        <v>12</v>
      </c>
      <c r="G3121" t="s">
        <v>13</v>
      </c>
      <c r="H3121" t="s">
        <v>13</v>
      </c>
      <c r="I3121">
        <v>57</v>
      </c>
      <c r="J3121">
        <f>ABS((I3121-EDA!$A$15)/EDA!$B$15)</f>
        <v>1.0600702640157798</v>
      </c>
      <c r="K3121" t="str">
        <f t="shared" si="48"/>
        <v>No</v>
      </c>
      <c r="L3121">
        <f>ABS((C3121-EDA!$F$15)/EDA!$G$15)</f>
        <v>0.318298467780954</v>
      </c>
      <c r="M3121" t="str">
        <f>IF(moras[[#This Row],[Z-Score Salario]]&gt;1.96, "Sí", "No")</f>
        <v>No</v>
      </c>
      <c r="N3121" s="14">
        <f>IF(ISBLANK(moras[[#This Row],[SALARIO]]), EDA!$M$8, moras[[#This Row],[SALARIO]])</f>
        <v>3446699</v>
      </c>
      <c r="O3121" s="14">
        <f xml:space="preserve"> IF(ISBLANK(moras[[#This Row],[EDAD]]), EDA!$E$8, moras[[#This Row],[EDAD]])</f>
        <v>57</v>
      </c>
      <c r="P3121" s="14" t="str">
        <f>IF(
    OR(ISBLANK(moras[[#This Row],[TIPO_ASEGURAMIENTO]]), moras[[#This Row],[TIPO_ASEGURAMIENTO]]=""),
    EDA!$A$32,
    moras[[#This Row],[TIPO_ASEGURAMIENTO]]
)</f>
        <v>ASALARIADO</v>
      </c>
    </row>
    <row r="3122" spans="1:16" x14ac:dyDescent="0.3">
      <c r="A3122">
        <v>3121</v>
      </c>
      <c r="B3122" t="s">
        <v>9</v>
      </c>
      <c r="C3122">
        <v>44260585</v>
      </c>
      <c r="D3122" t="s">
        <v>10</v>
      </c>
      <c r="E3122" t="s">
        <v>16</v>
      </c>
      <c r="F3122" t="s">
        <v>12</v>
      </c>
      <c r="G3122" t="s">
        <v>13</v>
      </c>
      <c r="H3122" t="s">
        <v>13</v>
      </c>
      <c r="I3122">
        <v>22</v>
      </c>
      <c r="J3122">
        <f>ABS((I3122-EDA!$A$15)/EDA!$B$15)</f>
        <v>1.4100662886840327</v>
      </c>
      <c r="K3122" t="str">
        <f t="shared" si="48"/>
        <v>No</v>
      </c>
      <c r="L3122">
        <f>ABS((C3122-EDA!$F$15)/EDA!$G$15)</f>
        <v>0.36087340627898762</v>
      </c>
      <c r="M3122" t="str">
        <f>IF(moras[[#This Row],[Z-Score Salario]]&gt;1.96, "Sí", "No")</f>
        <v>No</v>
      </c>
      <c r="N3122" s="14">
        <f>IF(ISBLANK(moras[[#This Row],[SALARIO]]), EDA!$M$8, moras[[#This Row],[SALARIO]])</f>
        <v>44260585</v>
      </c>
      <c r="O3122" s="14">
        <f xml:space="preserve"> IF(ISBLANK(moras[[#This Row],[EDAD]]), EDA!$E$8, moras[[#This Row],[EDAD]])</f>
        <v>22</v>
      </c>
      <c r="P3122" s="14" t="str">
        <f>IF(
    OR(ISBLANK(moras[[#This Row],[TIPO_ASEGURAMIENTO]]), moras[[#This Row],[TIPO_ASEGURAMIENTO]]=""),
    EDA!$A$32,
    moras[[#This Row],[TIPO_ASEGURAMIENTO]]
)</f>
        <v>ASALARIADO</v>
      </c>
    </row>
    <row r="3123" spans="1:16" x14ac:dyDescent="0.3">
      <c r="A3123">
        <v>3122</v>
      </c>
      <c r="B3123" t="s">
        <v>9</v>
      </c>
      <c r="C3123">
        <v>1326601</v>
      </c>
      <c r="D3123" t="s">
        <v>14</v>
      </c>
      <c r="E3123" t="s">
        <v>11</v>
      </c>
      <c r="F3123" t="s">
        <v>12</v>
      </c>
      <c r="G3123" t="s">
        <v>13</v>
      </c>
      <c r="H3123" t="s">
        <v>13</v>
      </c>
      <c r="I3123">
        <v>72</v>
      </c>
      <c r="J3123">
        <f>ABS((I3123-EDA!$A$15)/EDA!$B$15)</f>
        <v>2.1187002151728422</v>
      </c>
      <c r="K3123" t="str">
        <f t="shared" si="48"/>
        <v>Sí</v>
      </c>
      <c r="L3123">
        <f>ABS((C3123-EDA!$F$15)/EDA!$G$15)</f>
        <v>0.35357839510399142</v>
      </c>
      <c r="M3123" t="str">
        <f>IF(moras[[#This Row],[Z-Score Salario]]&gt;1.96, "Sí", "No")</f>
        <v>No</v>
      </c>
      <c r="N3123" s="14">
        <f>IF(ISBLANK(moras[[#This Row],[SALARIO]]), EDA!$M$8, moras[[#This Row],[SALARIO]])</f>
        <v>1326601</v>
      </c>
      <c r="O3123" s="14">
        <f xml:space="preserve"> IF(ISBLANK(moras[[#This Row],[EDAD]]), EDA!$E$8, moras[[#This Row],[EDAD]])</f>
        <v>72</v>
      </c>
      <c r="P3123" s="14" t="str">
        <f>IF(
    OR(ISBLANK(moras[[#This Row],[TIPO_ASEGURAMIENTO]]), moras[[#This Row],[TIPO_ASEGURAMIENTO]]=""),
    EDA!$A$32,
    moras[[#This Row],[TIPO_ASEGURAMIENTO]]
)</f>
        <v>PENSIONADOS EN SU PROPIO SISTEMA</v>
      </c>
    </row>
    <row r="3124" spans="1:16" x14ac:dyDescent="0.3">
      <c r="A3124">
        <v>3123</v>
      </c>
      <c r="B3124" t="s">
        <v>9</v>
      </c>
      <c r="C3124">
        <v>300018</v>
      </c>
      <c r="D3124" t="s">
        <v>18</v>
      </c>
      <c r="E3124" t="s">
        <v>16</v>
      </c>
      <c r="F3124" t="s">
        <v>12</v>
      </c>
      <c r="G3124" t="s">
        <v>12</v>
      </c>
      <c r="H3124" t="s">
        <v>12</v>
      </c>
      <c r="I3124">
        <v>45</v>
      </c>
      <c r="J3124">
        <f>ABS((I3124-EDA!$A$15)/EDA!$B$15)</f>
        <v>0.21316630309012977</v>
      </c>
      <c r="K3124" t="str">
        <f t="shared" si="48"/>
        <v>No</v>
      </c>
      <c r="L3124">
        <f>ABS((C3124-EDA!$F$15)/EDA!$G$15)</f>
        <v>0.37066146090145252</v>
      </c>
      <c r="M3124" t="str">
        <f>IF(moras[[#This Row],[Z-Score Salario]]&gt;1.96, "Sí", "No")</f>
        <v>No</v>
      </c>
      <c r="N3124" s="14">
        <f>IF(ISBLANK(moras[[#This Row],[SALARIO]]), EDA!$M$8, moras[[#This Row],[SALARIO]])</f>
        <v>300018</v>
      </c>
      <c r="O3124" s="14">
        <f xml:space="preserve"> IF(ISBLANK(moras[[#This Row],[EDAD]]), EDA!$E$8, moras[[#This Row],[EDAD]])</f>
        <v>45</v>
      </c>
      <c r="P3124" s="14" t="str">
        <f>IF(
    OR(ISBLANK(moras[[#This Row],[TIPO_ASEGURAMIENTO]]), moras[[#This Row],[TIPO_ASEGURAMIENTO]]=""),
    EDA!$A$32,
    moras[[#This Row],[TIPO_ASEGURAMIENTO]]
)</f>
        <v>TRABAJADOR INDEPENDIENTE</v>
      </c>
    </row>
    <row r="3125" spans="1:16" x14ac:dyDescent="0.3">
      <c r="A3125">
        <v>3124</v>
      </c>
      <c r="B3125" t="s">
        <v>15</v>
      </c>
      <c r="C3125">
        <v>299000</v>
      </c>
      <c r="D3125" t="s">
        <v>18</v>
      </c>
      <c r="E3125" t="s">
        <v>16</v>
      </c>
      <c r="F3125" t="s">
        <v>12</v>
      </c>
      <c r="G3125" t="s">
        <v>13</v>
      </c>
      <c r="H3125" t="s">
        <v>13</v>
      </c>
      <c r="I3125">
        <v>28</v>
      </c>
      <c r="J3125">
        <f>ABS((I3125-EDA!$A$15)/EDA!$B$15)</f>
        <v>0.98661430822120777</v>
      </c>
      <c r="K3125" t="str">
        <f t="shared" si="48"/>
        <v>No</v>
      </c>
      <c r="L3125">
        <f>ABS((C3125-EDA!$F$15)/EDA!$G$15)</f>
        <v>0.37067840114007117</v>
      </c>
      <c r="M3125" t="str">
        <f>IF(moras[[#This Row],[Z-Score Salario]]&gt;1.96, "Sí", "No")</f>
        <v>No</v>
      </c>
      <c r="N3125" s="14">
        <f>IF(ISBLANK(moras[[#This Row],[SALARIO]]), EDA!$M$8, moras[[#This Row],[SALARIO]])</f>
        <v>299000</v>
      </c>
      <c r="O3125" s="14">
        <f xml:space="preserve"> IF(ISBLANK(moras[[#This Row],[EDAD]]), EDA!$E$8, moras[[#This Row],[EDAD]])</f>
        <v>28</v>
      </c>
      <c r="P3125" s="14" t="str">
        <f>IF(
    OR(ISBLANK(moras[[#This Row],[TIPO_ASEGURAMIENTO]]), moras[[#This Row],[TIPO_ASEGURAMIENTO]]=""),
    EDA!$A$32,
    moras[[#This Row],[TIPO_ASEGURAMIENTO]]
)</f>
        <v>TRABAJADOR INDEPENDIENTE</v>
      </c>
    </row>
    <row r="3126" spans="1:16" x14ac:dyDescent="0.3">
      <c r="A3126">
        <v>3125</v>
      </c>
      <c r="B3126" t="s">
        <v>9</v>
      </c>
      <c r="C3126">
        <v>296540</v>
      </c>
      <c r="D3126" t="s">
        <v>18</v>
      </c>
      <c r="E3126" t="s">
        <v>16</v>
      </c>
      <c r="F3126" t="s">
        <v>12</v>
      </c>
      <c r="G3126" t="s">
        <v>13</v>
      </c>
      <c r="H3126" t="s">
        <v>12</v>
      </c>
      <c r="I3126">
        <v>44</v>
      </c>
      <c r="J3126">
        <f>ABS((I3126-EDA!$A$15)/EDA!$B$15)</f>
        <v>0.14259097301299228</v>
      </c>
      <c r="K3126" t="str">
        <f t="shared" si="48"/>
        <v>No</v>
      </c>
      <c r="L3126">
        <f>ABS((C3126-EDA!$F$15)/EDA!$G$15)</f>
        <v>0.37071933727661516</v>
      </c>
      <c r="M3126" t="str">
        <f>IF(moras[[#This Row],[Z-Score Salario]]&gt;1.96, "Sí", "No")</f>
        <v>No</v>
      </c>
      <c r="N3126" s="14">
        <f>IF(ISBLANK(moras[[#This Row],[SALARIO]]), EDA!$M$8, moras[[#This Row],[SALARIO]])</f>
        <v>296540</v>
      </c>
      <c r="O3126" s="14">
        <f xml:space="preserve"> IF(ISBLANK(moras[[#This Row],[EDAD]]), EDA!$E$8, moras[[#This Row],[EDAD]])</f>
        <v>44</v>
      </c>
      <c r="P3126" s="14" t="str">
        <f>IF(
    OR(ISBLANK(moras[[#This Row],[TIPO_ASEGURAMIENTO]]), moras[[#This Row],[TIPO_ASEGURAMIENTO]]=""),
    EDA!$A$32,
    moras[[#This Row],[TIPO_ASEGURAMIENTO]]
)</f>
        <v>TRABAJADOR INDEPENDIENTE</v>
      </c>
    </row>
    <row r="3127" spans="1:16" x14ac:dyDescent="0.3">
      <c r="A3127">
        <v>3126</v>
      </c>
      <c r="B3127" t="s">
        <v>9</v>
      </c>
      <c r="C3127">
        <v>639148</v>
      </c>
      <c r="D3127" t="s">
        <v>17</v>
      </c>
      <c r="E3127" t="s">
        <v>16</v>
      </c>
      <c r="F3127" t="s">
        <v>12</v>
      </c>
      <c r="G3127" t="s">
        <v>12</v>
      </c>
      <c r="H3127" t="s">
        <v>13</v>
      </c>
      <c r="I3127">
        <v>76</v>
      </c>
      <c r="J3127">
        <f>ABS((I3127-EDA!$A$15)/EDA!$B$15)</f>
        <v>2.4010015354813925</v>
      </c>
      <c r="K3127" t="str">
        <f t="shared" si="48"/>
        <v>Sí</v>
      </c>
      <c r="L3127">
        <f>ABS((C3127-EDA!$F$15)/EDA!$G$15)</f>
        <v>0.36501809830544912</v>
      </c>
      <c r="M3127" t="str">
        <f>IF(moras[[#This Row],[Z-Score Salario]]&gt;1.96, "Sí", "No")</f>
        <v>No</v>
      </c>
      <c r="N3127" s="14">
        <f>IF(ISBLANK(moras[[#This Row],[SALARIO]]), EDA!$M$8, moras[[#This Row],[SALARIO]])</f>
        <v>639148</v>
      </c>
      <c r="O3127" s="14">
        <f xml:space="preserve"> IF(ISBLANK(moras[[#This Row],[EDAD]]), EDA!$E$8, moras[[#This Row],[EDAD]])</f>
        <v>76</v>
      </c>
      <c r="P3127" s="14" t="str">
        <f>IF(
    OR(ISBLANK(moras[[#This Row],[TIPO_ASEGURAMIENTO]]), moras[[#This Row],[TIPO_ASEGURAMIENTO]]=""),
    EDA!$A$32,
    moras[[#This Row],[TIPO_ASEGURAMIENTO]]
)</f>
        <v>ASEGURADO VOLUNTARIO</v>
      </c>
    </row>
    <row r="3128" spans="1:16" x14ac:dyDescent="0.3">
      <c r="A3128">
        <v>3127</v>
      </c>
      <c r="B3128" t="s">
        <v>9</v>
      </c>
      <c r="C3128">
        <v>616500</v>
      </c>
      <c r="D3128" t="s">
        <v>10</v>
      </c>
      <c r="E3128" t="s">
        <v>16</v>
      </c>
      <c r="F3128" t="s">
        <v>12</v>
      </c>
      <c r="G3128" t="s">
        <v>13</v>
      </c>
      <c r="H3128" t="s">
        <v>13</v>
      </c>
      <c r="I3128">
        <v>21</v>
      </c>
      <c r="J3128">
        <f>ABS((I3128-EDA!$A$15)/EDA!$B$15)</f>
        <v>1.4806416187611704</v>
      </c>
      <c r="K3128" t="str">
        <f t="shared" si="48"/>
        <v>No</v>
      </c>
      <c r="L3128">
        <f>ABS((C3128-EDA!$F$15)/EDA!$G$15)</f>
        <v>0.36539497701294854</v>
      </c>
      <c r="M3128" t="str">
        <f>IF(moras[[#This Row],[Z-Score Salario]]&gt;1.96, "Sí", "No")</f>
        <v>No</v>
      </c>
      <c r="N3128" s="14">
        <f>IF(ISBLANK(moras[[#This Row],[SALARIO]]), EDA!$M$8, moras[[#This Row],[SALARIO]])</f>
        <v>616500</v>
      </c>
      <c r="O3128" s="14">
        <f xml:space="preserve"> IF(ISBLANK(moras[[#This Row],[EDAD]]), EDA!$E$8, moras[[#This Row],[EDAD]])</f>
        <v>21</v>
      </c>
      <c r="P3128" s="14" t="str">
        <f>IF(
    OR(ISBLANK(moras[[#This Row],[TIPO_ASEGURAMIENTO]]), moras[[#This Row],[TIPO_ASEGURAMIENTO]]=""),
    EDA!$A$32,
    moras[[#This Row],[TIPO_ASEGURAMIENTO]]
)</f>
        <v>ASALARIADO</v>
      </c>
    </row>
    <row r="3129" spans="1:16" x14ac:dyDescent="0.3">
      <c r="A3129">
        <v>3128</v>
      </c>
      <c r="B3129" t="s">
        <v>15</v>
      </c>
      <c r="C3129">
        <v>55795978</v>
      </c>
      <c r="D3129" t="s">
        <v>10</v>
      </c>
      <c r="E3129" t="s">
        <v>11</v>
      </c>
      <c r="F3129" t="s">
        <v>12</v>
      </c>
      <c r="G3129" t="s">
        <v>13</v>
      </c>
      <c r="H3129" t="s">
        <v>13</v>
      </c>
      <c r="I3129">
        <v>30</v>
      </c>
      <c r="J3129">
        <f>ABS((I3129-EDA!$A$15)/EDA!$B$15)</f>
        <v>0.84546364806693275</v>
      </c>
      <c r="K3129" t="str">
        <f t="shared" si="48"/>
        <v>No</v>
      </c>
      <c r="L3129">
        <f>ABS((C3129-EDA!$F$15)/EDA!$G$15)</f>
        <v>0.55283048877360552</v>
      </c>
      <c r="M3129" t="str">
        <f>IF(moras[[#This Row],[Z-Score Salario]]&gt;1.96, "Sí", "No")</f>
        <v>No</v>
      </c>
      <c r="N3129" s="14">
        <f>IF(ISBLANK(moras[[#This Row],[SALARIO]]), EDA!$M$8, moras[[#This Row],[SALARIO]])</f>
        <v>55795978</v>
      </c>
      <c r="O3129" s="14">
        <f xml:space="preserve"> IF(ISBLANK(moras[[#This Row],[EDAD]]), EDA!$E$8, moras[[#This Row],[EDAD]])</f>
        <v>30</v>
      </c>
      <c r="P3129" s="14" t="str">
        <f>IF(
    OR(ISBLANK(moras[[#This Row],[TIPO_ASEGURAMIENTO]]), moras[[#This Row],[TIPO_ASEGURAMIENTO]]=""),
    EDA!$A$32,
    moras[[#This Row],[TIPO_ASEGURAMIENTO]]
)</f>
        <v>ASALARIADO</v>
      </c>
    </row>
    <row r="3130" spans="1:16" x14ac:dyDescent="0.3">
      <c r="A3130">
        <v>3129</v>
      </c>
      <c r="B3130" t="s">
        <v>9</v>
      </c>
      <c r="C3130">
        <v>59426732</v>
      </c>
      <c r="D3130" t="s">
        <v>10</v>
      </c>
      <c r="E3130" t="s">
        <v>16</v>
      </c>
      <c r="F3130" t="s">
        <v>12</v>
      </c>
      <c r="G3130" t="s">
        <v>13</v>
      </c>
      <c r="H3130" t="s">
        <v>13</v>
      </c>
      <c r="I3130">
        <v>34</v>
      </c>
      <c r="J3130">
        <f>ABS((I3130-EDA!$A$15)/EDA!$B$15)</f>
        <v>0.56316232775838282</v>
      </c>
      <c r="K3130" t="str">
        <f t="shared" si="48"/>
        <v>No</v>
      </c>
      <c r="L3130">
        <f>ABS((C3130-EDA!$F$15)/EDA!$G$15)</f>
        <v>0.61324879832713908</v>
      </c>
      <c r="M3130" t="str">
        <f>IF(moras[[#This Row],[Z-Score Salario]]&gt;1.96, "Sí", "No")</f>
        <v>No</v>
      </c>
      <c r="N3130" s="14">
        <f>IF(ISBLANK(moras[[#This Row],[SALARIO]]), EDA!$M$8, moras[[#This Row],[SALARIO]])</f>
        <v>59426732</v>
      </c>
      <c r="O3130" s="14">
        <f xml:space="preserve"> IF(ISBLANK(moras[[#This Row],[EDAD]]), EDA!$E$8, moras[[#This Row],[EDAD]])</f>
        <v>34</v>
      </c>
      <c r="P3130" s="14" t="str">
        <f>IF(
    OR(ISBLANK(moras[[#This Row],[TIPO_ASEGURAMIENTO]]), moras[[#This Row],[TIPO_ASEGURAMIENTO]]=""),
    EDA!$A$32,
    moras[[#This Row],[TIPO_ASEGURAMIENTO]]
)</f>
        <v>ASALARIADO</v>
      </c>
    </row>
    <row r="3131" spans="1:16" x14ac:dyDescent="0.3">
      <c r="A3131">
        <v>3130</v>
      </c>
      <c r="B3131" t="s">
        <v>9</v>
      </c>
      <c r="C3131">
        <v>375277</v>
      </c>
      <c r="D3131" t="s">
        <v>10</v>
      </c>
      <c r="E3131" t="s">
        <v>11</v>
      </c>
      <c r="F3131" t="s">
        <v>12</v>
      </c>
      <c r="G3131" t="s">
        <v>13</v>
      </c>
      <c r="H3131" t="s">
        <v>13</v>
      </c>
      <c r="I3131">
        <v>63</v>
      </c>
      <c r="J3131">
        <f>ABS((I3131-EDA!$A$15)/EDA!$B$15)</f>
        <v>1.4835222444786049</v>
      </c>
      <c r="K3131" t="str">
        <f t="shared" si="48"/>
        <v>No</v>
      </c>
      <c r="L3131">
        <f>ABS((C3131-EDA!$F$15)/EDA!$G$15)</f>
        <v>0.36940909801520649</v>
      </c>
      <c r="M3131" t="str">
        <f>IF(moras[[#This Row],[Z-Score Salario]]&gt;1.96, "Sí", "No")</f>
        <v>No</v>
      </c>
      <c r="N3131" s="14">
        <f>IF(ISBLANK(moras[[#This Row],[SALARIO]]), EDA!$M$8, moras[[#This Row],[SALARIO]])</f>
        <v>375277</v>
      </c>
      <c r="O3131" s="14">
        <f xml:space="preserve"> IF(ISBLANK(moras[[#This Row],[EDAD]]), EDA!$E$8, moras[[#This Row],[EDAD]])</f>
        <v>63</v>
      </c>
      <c r="P3131" s="14" t="str">
        <f>IF(
    OR(ISBLANK(moras[[#This Row],[TIPO_ASEGURAMIENTO]]), moras[[#This Row],[TIPO_ASEGURAMIENTO]]=""),
    EDA!$A$32,
    moras[[#This Row],[TIPO_ASEGURAMIENTO]]
)</f>
        <v>ASALARIADO</v>
      </c>
    </row>
    <row r="3132" spans="1:16" x14ac:dyDescent="0.3">
      <c r="A3132">
        <v>3131</v>
      </c>
      <c r="B3132" t="s">
        <v>9</v>
      </c>
      <c r="C3132">
        <v>153968</v>
      </c>
      <c r="D3132" t="s">
        <v>10</v>
      </c>
      <c r="E3132" t="s">
        <v>16</v>
      </c>
      <c r="F3132" t="s">
        <v>12</v>
      </c>
      <c r="G3132" t="s">
        <v>13</v>
      </c>
      <c r="H3132" t="s">
        <v>13</v>
      </c>
      <c r="I3132">
        <v>42</v>
      </c>
      <c r="J3132">
        <f>ABS((I3132-EDA!$A$15)/EDA!$B$15)</f>
        <v>1.4403128587172659E-3</v>
      </c>
      <c r="K3132" t="str">
        <f t="shared" si="48"/>
        <v>No</v>
      </c>
      <c r="L3132">
        <f>ABS((C3132-EDA!$F$15)/EDA!$G$15)</f>
        <v>0.37309183599992896</v>
      </c>
      <c r="M3132" t="str">
        <f>IF(moras[[#This Row],[Z-Score Salario]]&gt;1.96, "Sí", "No")</f>
        <v>No</v>
      </c>
      <c r="N3132" s="14">
        <f>IF(ISBLANK(moras[[#This Row],[SALARIO]]), EDA!$M$8, moras[[#This Row],[SALARIO]])</f>
        <v>153968</v>
      </c>
      <c r="O3132" s="14">
        <f xml:space="preserve"> IF(ISBLANK(moras[[#This Row],[EDAD]]), EDA!$E$8, moras[[#This Row],[EDAD]])</f>
        <v>42</v>
      </c>
      <c r="P3132" s="14" t="str">
        <f>IF(
    OR(ISBLANK(moras[[#This Row],[TIPO_ASEGURAMIENTO]]), moras[[#This Row],[TIPO_ASEGURAMIENTO]]=""),
    EDA!$A$32,
    moras[[#This Row],[TIPO_ASEGURAMIENTO]]
)</f>
        <v>ASALARIADO</v>
      </c>
    </row>
    <row r="3133" spans="1:16" x14ac:dyDescent="0.3">
      <c r="A3133">
        <v>3132</v>
      </c>
      <c r="B3133" t="s">
        <v>9</v>
      </c>
      <c r="C3133">
        <v>352314</v>
      </c>
      <c r="D3133" t="s">
        <v>18</v>
      </c>
      <c r="E3133" t="s">
        <v>16</v>
      </c>
      <c r="F3133" t="s">
        <v>12</v>
      </c>
      <c r="G3133" t="s">
        <v>13</v>
      </c>
      <c r="H3133" t="s">
        <v>12</v>
      </c>
      <c r="I3133">
        <v>37</v>
      </c>
      <c r="J3133">
        <f>ABS((I3133-EDA!$A$15)/EDA!$B$15)</f>
        <v>0.35143633752697023</v>
      </c>
      <c r="K3133" t="str">
        <f t="shared" si="48"/>
        <v>No</v>
      </c>
      <c r="L3133">
        <f>ABS((C3133-EDA!$F$15)/EDA!$G$15)</f>
        <v>0.36979121854506825</v>
      </c>
      <c r="M3133" t="str">
        <f>IF(moras[[#This Row],[Z-Score Salario]]&gt;1.96, "Sí", "No")</f>
        <v>No</v>
      </c>
      <c r="N3133" s="14">
        <f>IF(ISBLANK(moras[[#This Row],[SALARIO]]), EDA!$M$8, moras[[#This Row],[SALARIO]])</f>
        <v>352314</v>
      </c>
      <c r="O3133" s="14">
        <f xml:space="preserve"> IF(ISBLANK(moras[[#This Row],[EDAD]]), EDA!$E$8, moras[[#This Row],[EDAD]])</f>
        <v>37</v>
      </c>
      <c r="P3133" s="14" t="str">
        <f>IF(
    OR(ISBLANK(moras[[#This Row],[TIPO_ASEGURAMIENTO]]), moras[[#This Row],[TIPO_ASEGURAMIENTO]]=""),
    EDA!$A$32,
    moras[[#This Row],[TIPO_ASEGURAMIENTO]]
)</f>
        <v>TRABAJADOR INDEPENDIENTE</v>
      </c>
    </row>
    <row r="3134" spans="1:16" x14ac:dyDescent="0.3">
      <c r="A3134">
        <v>3133</v>
      </c>
      <c r="B3134" t="s">
        <v>9</v>
      </c>
      <c r="C3134">
        <v>138924241</v>
      </c>
      <c r="D3134" t="s">
        <v>10</v>
      </c>
      <c r="E3134" t="s">
        <v>16</v>
      </c>
      <c r="F3134" t="s">
        <v>12</v>
      </c>
      <c r="G3134" t="s">
        <v>13</v>
      </c>
      <c r="H3134" t="s">
        <v>13</v>
      </c>
      <c r="I3134">
        <v>45</v>
      </c>
      <c r="J3134">
        <f>ABS((I3134-EDA!$A$15)/EDA!$B$15)</f>
        <v>0.21316630309012977</v>
      </c>
      <c r="K3134" t="str">
        <f t="shared" si="48"/>
        <v>No</v>
      </c>
      <c r="L3134">
        <f>ABS((C3134-EDA!$F$15)/EDA!$G$15)</f>
        <v>1.9361434663483872</v>
      </c>
      <c r="M3134" t="str">
        <f>IF(moras[[#This Row],[Z-Score Salario]]&gt;1.96, "Sí", "No")</f>
        <v>No</v>
      </c>
      <c r="N3134" s="14">
        <f>IF(ISBLANK(moras[[#This Row],[SALARIO]]), EDA!$M$8, moras[[#This Row],[SALARIO]])</f>
        <v>138924241</v>
      </c>
      <c r="O3134" s="14">
        <f xml:space="preserve"> IF(ISBLANK(moras[[#This Row],[EDAD]]), EDA!$E$8, moras[[#This Row],[EDAD]])</f>
        <v>45</v>
      </c>
      <c r="P3134" s="14" t="str">
        <f>IF(
    OR(ISBLANK(moras[[#This Row],[TIPO_ASEGURAMIENTO]]), moras[[#This Row],[TIPO_ASEGURAMIENTO]]=""),
    EDA!$A$32,
    moras[[#This Row],[TIPO_ASEGURAMIENTO]]
)</f>
        <v>ASALARIADO</v>
      </c>
    </row>
    <row r="3135" spans="1:16" x14ac:dyDescent="0.3">
      <c r="A3135">
        <v>3134</v>
      </c>
      <c r="B3135" t="s">
        <v>9</v>
      </c>
      <c r="C3135">
        <v>3769772</v>
      </c>
      <c r="D3135" t="s">
        <v>10</v>
      </c>
      <c r="E3135" t="s">
        <v>11</v>
      </c>
      <c r="F3135" t="s">
        <v>12</v>
      </c>
      <c r="G3135" t="s">
        <v>13</v>
      </c>
      <c r="H3135" t="s">
        <v>13</v>
      </c>
      <c r="I3135">
        <v>47</v>
      </c>
      <c r="J3135">
        <f>ABS((I3135-EDA!$A$15)/EDA!$B$15)</f>
        <v>0.35431696324440481</v>
      </c>
      <c r="K3135" t="str">
        <f t="shared" si="48"/>
        <v>No</v>
      </c>
      <c r="L3135">
        <f>ABS((C3135-EDA!$F$15)/EDA!$G$15)</f>
        <v>0.31292230499978274</v>
      </c>
      <c r="M3135" t="str">
        <f>IF(moras[[#This Row],[Z-Score Salario]]&gt;1.96, "Sí", "No")</f>
        <v>No</v>
      </c>
      <c r="N3135" s="14">
        <f>IF(ISBLANK(moras[[#This Row],[SALARIO]]), EDA!$M$8, moras[[#This Row],[SALARIO]])</f>
        <v>3769772</v>
      </c>
      <c r="O3135" s="14">
        <f xml:space="preserve"> IF(ISBLANK(moras[[#This Row],[EDAD]]), EDA!$E$8, moras[[#This Row],[EDAD]])</f>
        <v>47</v>
      </c>
      <c r="P3135" s="14" t="str">
        <f>IF(
    OR(ISBLANK(moras[[#This Row],[TIPO_ASEGURAMIENTO]]), moras[[#This Row],[TIPO_ASEGURAMIENTO]]=""),
    EDA!$A$32,
    moras[[#This Row],[TIPO_ASEGURAMIENTO]]
)</f>
        <v>ASALARIADO</v>
      </c>
    </row>
    <row r="3136" spans="1:16" x14ac:dyDescent="0.3">
      <c r="A3136">
        <v>3135</v>
      </c>
      <c r="B3136" t="s">
        <v>9</v>
      </c>
      <c r="C3136">
        <v>350955</v>
      </c>
      <c r="D3136" t="s">
        <v>10</v>
      </c>
      <c r="E3136" t="s">
        <v>16</v>
      </c>
      <c r="F3136" t="s">
        <v>12</v>
      </c>
      <c r="G3136" t="s">
        <v>13</v>
      </c>
      <c r="H3136" t="s">
        <v>13</v>
      </c>
      <c r="I3136">
        <v>41</v>
      </c>
      <c r="J3136">
        <f>ABS((I3136-EDA!$A$15)/EDA!$B$15)</f>
        <v>6.9135017218420233E-2</v>
      </c>
      <c r="K3136" t="str">
        <f t="shared" si="48"/>
        <v>No</v>
      </c>
      <c r="L3136">
        <f>ABS((C3136-EDA!$F$15)/EDA!$G$15)</f>
        <v>0.36981383326440292</v>
      </c>
      <c r="M3136" t="str">
        <f>IF(moras[[#This Row],[Z-Score Salario]]&gt;1.96, "Sí", "No")</f>
        <v>No</v>
      </c>
      <c r="N3136" s="14">
        <f>IF(ISBLANK(moras[[#This Row],[SALARIO]]), EDA!$M$8, moras[[#This Row],[SALARIO]])</f>
        <v>350955</v>
      </c>
      <c r="O3136" s="14">
        <f xml:space="preserve"> IF(ISBLANK(moras[[#This Row],[EDAD]]), EDA!$E$8, moras[[#This Row],[EDAD]])</f>
        <v>41</v>
      </c>
      <c r="P3136" s="14" t="str">
        <f>IF(
    OR(ISBLANK(moras[[#This Row],[TIPO_ASEGURAMIENTO]]), moras[[#This Row],[TIPO_ASEGURAMIENTO]]=""),
    EDA!$A$32,
    moras[[#This Row],[TIPO_ASEGURAMIENTO]]
)</f>
        <v>ASALARIADO</v>
      </c>
    </row>
    <row r="3137" spans="1:16" x14ac:dyDescent="0.3">
      <c r="A3137">
        <v>3136</v>
      </c>
      <c r="B3137" t="s">
        <v>15</v>
      </c>
      <c r="C3137">
        <v>1275143</v>
      </c>
      <c r="D3137" t="s">
        <v>10</v>
      </c>
      <c r="E3137" t="s">
        <v>16</v>
      </c>
      <c r="F3137" t="s">
        <v>12</v>
      </c>
      <c r="G3137" t="s">
        <v>13</v>
      </c>
      <c r="H3137" t="s">
        <v>13</v>
      </c>
      <c r="I3137">
        <v>53</v>
      </c>
      <c r="J3137">
        <f>ABS((I3137-EDA!$A$15)/EDA!$B$15)</f>
        <v>0.77776894370722982</v>
      </c>
      <c r="K3137" t="str">
        <f t="shared" si="48"/>
        <v>No</v>
      </c>
      <c r="L3137">
        <f>ABS((C3137-EDA!$F$15)/EDA!$G$15)</f>
        <v>0.35443469254882126</v>
      </c>
      <c r="M3137" t="str">
        <f>IF(moras[[#This Row],[Z-Score Salario]]&gt;1.96, "Sí", "No")</f>
        <v>No</v>
      </c>
      <c r="N3137" s="14">
        <f>IF(ISBLANK(moras[[#This Row],[SALARIO]]), EDA!$M$8, moras[[#This Row],[SALARIO]])</f>
        <v>1275143</v>
      </c>
      <c r="O3137" s="14">
        <f xml:space="preserve"> IF(ISBLANK(moras[[#This Row],[EDAD]]), EDA!$E$8, moras[[#This Row],[EDAD]])</f>
        <v>53</v>
      </c>
      <c r="P3137" s="14" t="str">
        <f>IF(
    OR(ISBLANK(moras[[#This Row],[TIPO_ASEGURAMIENTO]]), moras[[#This Row],[TIPO_ASEGURAMIENTO]]=""),
    EDA!$A$32,
    moras[[#This Row],[TIPO_ASEGURAMIENTO]]
)</f>
        <v>ASALARIADO</v>
      </c>
    </row>
    <row r="3138" spans="1:16" x14ac:dyDescent="0.3">
      <c r="A3138">
        <v>3137</v>
      </c>
      <c r="B3138" t="s">
        <v>15</v>
      </c>
      <c r="C3138">
        <v>6664375</v>
      </c>
      <c r="D3138" t="s">
        <v>10</v>
      </c>
      <c r="E3138" t="s">
        <v>11</v>
      </c>
      <c r="F3138" t="s">
        <v>12</v>
      </c>
      <c r="G3138" t="s">
        <v>13</v>
      </c>
      <c r="H3138" t="s">
        <v>13</v>
      </c>
      <c r="I3138">
        <v>26</v>
      </c>
      <c r="J3138">
        <f>ABS((I3138-EDA!$A$15)/EDA!$B$15)</f>
        <v>1.1277649683754829</v>
      </c>
      <c r="K3138" t="str">
        <f t="shared" ref="K3138:K3201" si="49">IF(J3138 &gt;  1.96, "Sí","No")</f>
        <v>No</v>
      </c>
      <c r="L3138">
        <f>ABS((C3138-EDA!$F$15)/EDA!$G$15)</f>
        <v>0.26475406774421906</v>
      </c>
      <c r="M3138" t="str">
        <f>IF(moras[[#This Row],[Z-Score Salario]]&gt;1.96, "Sí", "No")</f>
        <v>No</v>
      </c>
      <c r="N3138" s="14">
        <f>IF(ISBLANK(moras[[#This Row],[SALARIO]]), EDA!$M$8, moras[[#This Row],[SALARIO]])</f>
        <v>6664375</v>
      </c>
      <c r="O3138" s="14">
        <f xml:space="preserve"> IF(ISBLANK(moras[[#This Row],[EDAD]]), EDA!$E$8, moras[[#This Row],[EDAD]])</f>
        <v>26</v>
      </c>
      <c r="P3138" s="14" t="str">
        <f>IF(
    OR(ISBLANK(moras[[#This Row],[TIPO_ASEGURAMIENTO]]), moras[[#This Row],[TIPO_ASEGURAMIENTO]]=""),
    EDA!$A$32,
    moras[[#This Row],[TIPO_ASEGURAMIENTO]]
)</f>
        <v>ASALARIADO</v>
      </c>
    </row>
    <row r="3139" spans="1:16" x14ac:dyDescent="0.3">
      <c r="A3139">
        <v>3138</v>
      </c>
      <c r="B3139" t="s">
        <v>9</v>
      </c>
      <c r="C3139">
        <v>10652</v>
      </c>
      <c r="D3139" t="s">
        <v>10</v>
      </c>
      <c r="E3139" t="s">
        <v>16</v>
      </c>
      <c r="F3139" t="s">
        <v>12</v>
      </c>
      <c r="G3139" t="s">
        <v>12</v>
      </c>
      <c r="H3139" t="s">
        <v>13</v>
      </c>
      <c r="I3139">
        <v>23</v>
      </c>
      <c r="J3139">
        <f>ABS((I3139-EDA!$A$15)/EDA!$B$15)</f>
        <v>1.3394909586068953</v>
      </c>
      <c r="K3139" t="str">
        <f t="shared" si="49"/>
        <v>No</v>
      </c>
      <c r="L3139">
        <f>ABS((C3139-EDA!$F$15)/EDA!$G$15)</f>
        <v>0.37547671540844141</v>
      </c>
      <c r="M3139" t="str">
        <f>IF(moras[[#This Row],[Z-Score Salario]]&gt;1.96, "Sí", "No")</f>
        <v>No</v>
      </c>
      <c r="N3139" s="14">
        <f>IF(ISBLANK(moras[[#This Row],[SALARIO]]), EDA!$M$8, moras[[#This Row],[SALARIO]])</f>
        <v>10652</v>
      </c>
      <c r="O3139" s="14">
        <f xml:space="preserve"> IF(ISBLANK(moras[[#This Row],[EDAD]]), EDA!$E$8, moras[[#This Row],[EDAD]])</f>
        <v>23</v>
      </c>
      <c r="P3139" s="14" t="str">
        <f>IF(
    OR(ISBLANK(moras[[#This Row],[TIPO_ASEGURAMIENTO]]), moras[[#This Row],[TIPO_ASEGURAMIENTO]]=""),
    EDA!$A$32,
    moras[[#This Row],[TIPO_ASEGURAMIENTO]]
)</f>
        <v>ASALARIADO</v>
      </c>
    </row>
    <row r="3140" spans="1:16" x14ac:dyDescent="0.3">
      <c r="A3140">
        <v>3139</v>
      </c>
      <c r="B3140" t="s">
        <v>9</v>
      </c>
      <c r="C3140">
        <v>6985595</v>
      </c>
      <c r="D3140" t="s">
        <v>10</v>
      </c>
      <c r="E3140" t="s">
        <v>11</v>
      </c>
      <c r="F3140" t="s">
        <v>12</v>
      </c>
      <c r="G3140" t="s">
        <v>13</v>
      </c>
      <c r="H3140" t="s">
        <v>13</v>
      </c>
      <c r="I3140">
        <v>31</v>
      </c>
      <c r="J3140">
        <f>ABS((I3140-EDA!$A$15)/EDA!$B$15)</f>
        <v>0.77488831798979529</v>
      </c>
      <c r="K3140" t="str">
        <f t="shared" si="49"/>
        <v>No</v>
      </c>
      <c r="L3140">
        <f>ABS((C3140-EDA!$F$15)/EDA!$G$15)</f>
        <v>0.25940874019110305</v>
      </c>
      <c r="M3140" t="str">
        <f>IF(moras[[#This Row],[Z-Score Salario]]&gt;1.96, "Sí", "No")</f>
        <v>No</v>
      </c>
      <c r="N3140" s="14">
        <f>IF(ISBLANK(moras[[#This Row],[SALARIO]]), EDA!$M$8, moras[[#This Row],[SALARIO]])</f>
        <v>6985595</v>
      </c>
      <c r="O3140" s="14">
        <f xml:space="preserve"> IF(ISBLANK(moras[[#This Row],[EDAD]]), EDA!$E$8, moras[[#This Row],[EDAD]])</f>
        <v>31</v>
      </c>
      <c r="P3140" s="14" t="str">
        <f>IF(
    OR(ISBLANK(moras[[#This Row],[TIPO_ASEGURAMIENTO]]), moras[[#This Row],[TIPO_ASEGURAMIENTO]]=""),
    EDA!$A$32,
    moras[[#This Row],[TIPO_ASEGURAMIENTO]]
)</f>
        <v>ASALARIADO</v>
      </c>
    </row>
    <row r="3141" spans="1:16" x14ac:dyDescent="0.3">
      <c r="A3141">
        <v>3140</v>
      </c>
      <c r="B3141" t="s">
        <v>15</v>
      </c>
      <c r="C3141">
        <v>150000</v>
      </c>
      <c r="D3141" t="s">
        <v>10</v>
      </c>
      <c r="E3141" t="s">
        <v>16</v>
      </c>
      <c r="F3141" t="s">
        <v>12</v>
      </c>
      <c r="G3141" t="s">
        <v>13</v>
      </c>
      <c r="H3141" t="s">
        <v>13</v>
      </c>
      <c r="I3141">
        <v>21</v>
      </c>
      <c r="J3141">
        <f>ABS((I3141-EDA!$A$15)/EDA!$B$15)</f>
        <v>1.4806416187611704</v>
      </c>
      <c r="K3141" t="str">
        <f t="shared" si="49"/>
        <v>No</v>
      </c>
      <c r="L3141">
        <f>ABS((C3141-EDA!$F$15)/EDA!$G$15)</f>
        <v>0.37315786632098852</v>
      </c>
      <c r="M3141" t="str">
        <f>IF(moras[[#This Row],[Z-Score Salario]]&gt;1.96, "Sí", "No")</f>
        <v>No</v>
      </c>
      <c r="N3141" s="14">
        <f>IF(ISBLANK(moras[[#This Row],[SALARIO]]), EDA!$M$8, moras[[#This Row],[SALARIO]])</f>
        <v>150000</v>
      </c>
      <c r="O3141" s="14">
        <f xml:space="preserve"> IF(ISBLANK(moras[[#This Row],[EDAD]]), EDA!$E$8, moras[[#This Row],[EDAD]])</f>
        <v>21</v>
      </c>
      <c r="P3141" s="14" t="str">
        <f>IF(
    OR(ISBLANK(moras[[#This Row],[TIPO_ASEGURAMIENTO]]), moras[[#This Row],[TIPO_ASEGURAMIENTO]]=""),
    EDA!$A$32,
    moras[[#This Row],[TIPO_ASEGURAMIENTO]]
)</f>
        <v>ASALARIADO</v>
      </c>
    </row>
    <row r="3142" spans="1:16" x14ac:dyDescent="0.3">
      <c r="A3142">
        <v>3141</v>
      </c>
      <c r="B3142" t="s">
        <v>15</v>
      </c>
      <c r="C3142">
        <v>40615928</v>
      </c>
      <c r="D3142" t="s">
        <v>10</v>
      </c>
      <c r="E3142" t="s">
        <v>16</v>
      </c>
      <c r="F3142" t="s">
        <v>12</v>
      </c>
      <c r="G3142" t="s">
        <v>13</v>
      </c>
      <c r="H3142" t="s">
        <v>13</v>
      </c>
      <c r="I3142">
        <v>25</v>
      </c>
      <c r="J3142">
        <f>ABS((I3142-EDA!$A$15)/EDA!$B$15)</f>
        <v>1.1983402984526204</v>
      </c>
      <c r="K3142" t="str">
        <f t="shared" si="49"/>
        <v>No</v>
      </c>
      <c r="L3142">
        <f>ABS((C3142-EDA!$F$15)/EDA!$G$15)</f>
        <v>0.30022374099115678</v>
      </c>
      <c r="M3142" t="str">
        <f>IF(moras[[#This Row],[Z-Score Salario]]&gt;1.96, "Sí", "No")</f>
        <v>No</v>
      </c>
      <c r="N3142" s="14">
        <f>IF(ISBLANK(moras[[#This Row],[SALARIO]]), EDA!$M$8, moras[[#This Row],[SALARIO]])</f>
        <v>40615928</v>
      </c>
      <c r="O3142" s="14">
        <f xml:space="preserve"> IF(ISBLANK(moras[[#This Row],[EDAD]]), EDA!$E$8, moras[[#This Row],[EDAD]])</f>
        <v>25</v>
      </c>
      <c r="P3142" s="14" t="str">
        <f>IF(
    OR(ISBLANK(moras[[#This Row],[TIPO_ASEGURAMIENTO]]), moras[[#This Row],[TIPO_ASEGURAMIENTO]]=""),
    EDA!$A$32,
    moras[[#This Row],[TIPO_ASEGURAMIENTO]]
)</f>
        <v>ASALARIADO</v>
      </c>
    </row>
    <row r="3143" spans="1:16" x14ac:dyDescent="0.3">
      <c r="A3143">
        <v>3142</v>
      </c>
      <c r="B3143" t="s">
        <v>15</v>
      </c>
      <c r="C3143">
        <v>8011902</v>
      </c>
      <c r="D3143" t="s">
        <v>10</v>
      </c>
      <c r="E3143" t="s">
        <v>16</v>
      </c>
      <c r="F3143" t="s">
        <v>12</v>
      </c>
      <c r="G3143" t="s">
        <v>13</v>
      </c>
      <c r="H3143" t="s">
        <v>13</v>
      </c>
      <c r="I3143">
        <v>43</v>
      </c>
      <c r="J3143">
        <f>ABS((I3143-EDA!$A$15)/EDA!$B$15)</f>
        <v>7.2015642935854773E-2</v>
      </c>
      <c r="K3143" t="str">
        <f t="shared" si="49"/>
        <v>No</v>
      </c>
      <c r="L3143">
        <f>ABS((C3143-EDA!$F$15)/EDA!$G$15)</f>
        <v>0.24233026722847373</v>
      </c>
      <c r="M3143" t="str">
        <f>IF(moras[[#This Row],[Z-Score Salario]]&gt;1.96, "Sí", "No")</f>
        <v>No</v>
      </c>
      <c r="N3143" s="14">
        <f>IF(ISBLANK(moras[[#This Row],[SALARIO]]), EDA!$M$8, moras[[#This Row],[SALARIO]])</f>
        <v>8011902</v>
      </c>
      <c r="O3143" s="14">
        <f xml:space="preserve"> IF(ISBLANK(moras[[#This Row],[EDAD]]), EDA!$E$8, moras[[#This Row],[EDAD]])</f>
        <v>43</v>
      </c>
      <c r="P3143" s="14" t="str">
        <f>IF(
    OR(ISBLANK(moras[[#This Row],[TIPO_ASEGURAMIENTO]]), moras[[#This Row],[TIPO_ASEGURAMIENTO]]=""),
    EDA!$A$32,
    moras[[#This Row],[TIPO_ASEGURAMIENTO]]
)</f>
        <v>ASALARIADO</v>
      </c>
    </row>
    <row r="3144" spans="1:16" x14ac:dyDescent="0.3">
      <c r="A3144">
        <v>3143</v>
      </c>
      <c r="B3144" t="s">
        <v>9</v>
      </c>
      <c r="C3144">
        <v>9803535</v>
      </c>
      <c r="D3144" t="s">
        <v>10</v>
      </c>
      <c r="E3144" t="s">
        <v>11</v>
      </c>
      <c r="F3144" t="s">
        <v>12</v>
      </c>
      <c r="G3144" t="s">
        <v>13</v>
      </c>
      <c r="H3144" t="s">
        <v>13</v>
      </c>
      <c r="I3144">
        <v>34</v>
      </c>
      <c r="J3144">
        <f>ABS((I3144-EDA!$A$15)/EDA!$B$15)</f>
        <v>0.56316232775838282</v>
      </c>
      <c r="K3144" t="str">
        <f t="shared" si="49"/>
        <v>No</v>
      </c>
      <c r="L3144">
        <f>ABS((C3144-EDA!$F$15)/EDA!$G$15)</f>
        <v>0.21251622937288614</v>
      </c>
      <c r="M3144" t="str">
        <f>IF(moras[[#This Row],[Z-Score Salario]]&gt;1.96, "Sí", "No")</f>
        <v>No</v>
      </c>
      <c r="N3144" s="14">
        <f>IF(ISBLANK(moras[[#This Row],[SALARIO]]), EDA!$M$8, moras[[#This Row],[SALARIO]])</f>
        <v>9803535</v>
      </c>
      <c r="O3144" s="14">
        <f xml:space="preserve"> IF(ISBLANK(moras[[#This Row],[EDAD]]), EDA!$E$8, moras[[#This Row],[EDAD]])</f>
        <v>34</v>
      </c>
      <c r="P3144" s="14" t="str">
        <f>IF(
    OR(ISBLANK(moras[[#This Row],[TIPO_ASEGURAMIENTO]]), moras[[#This Row],[TIPO_ASEGURAMIENTO]]=""),
    EDA!$A$32,
    moras[[#This Row],[TIPO_ASEGURAMIENTO]]
)</f>
        <v>ASALARIADO</v>
      </c>
    </row>
    <row r="3145" spans="1:16" x14ac:dyDescent="0.3">
      <c r="A3145">
        <v>3144</v>
      </c>
      <c r="B3145" t="s">
        <v>9</v>
      </c>
      <c r="C3145">
        <v>84740334</v>
      </c>
      <c r="D3145" t="s">
        <v>10</v>
      </c>
      <c r="E3145" t="s">
        <v>16</v>
      </c>
      <c r="F3145" t="s">
        <v>12</v>
      </c>
      <c r="G3145" t="s">
        <v>13</v>
      </c>
      <c r="H3145" t="s">
        <v>13</v>
      </c>
      <c r="I3145">
        <v>45</v>
      </c>
      <c r="J3145">
        <f>ABS((I3145-EDA!$A$15)/EDA!$B$15)</f>
        <v>0.21316630309012977</v>
      </c>
      <c r="K3145" t="str">
        <f t="shared" si="49"/>
        <v>No</v>
      </c>
      <c r="L3145">
        <f>ABS((C3145-EDA!$F$15)/EDA!$G$15)</f>
        <v>1.0344850047875453</v>
      </c>
      <c r="M3145" t="str">
        <f>IF(moras[[#This Row],[Z-Score Salario]]&gt;1.96, "Sí", "No")</f>
        <v>No</v>
      </c>
      <c r="N3145" s="14">
        <f>IF(ISBLANK(moras[[#This Row],[SALARIO]]), EDA!$M$8, moras[[#This Row],[SALARIO]])</f>
        <v>84740334</v>
      </c>
      <c r="O3145" s="14">
        <f xml:space="preserve"> IF(ISBLANK(moras[[#This Row],[EDAD]]), EDA!$E$8, moras[[#This Row],[EDAD]])</f>
        <v>45</v>
      </c>
      <c r="P3145" s="14" t="str">
        <f>IF(
    OR(ISBLANK(moras[[#This Row],[TIPO_ASEGURAMIENTO]]), moras[[#This Row],[TIPO_ASEGURAMIENTO]]=""),
    EDA!$A$32,
    moras[[#This Row],[TIPO_ASEGURAMIENTO]]
)</f>
        <v>ASALARIADO</v>
      </c>
    </row>
    <row r="3146" spans="1:16" x14ac:dyDescent="0.3">
      <c r="A3146">
        <v>3145</v>
      </c>
      <c r="B3146" t="s">
        <v>9</v>
      </c>
      <c r="C3146">
        <v>295505</v>
      </c>
      <c r="D3146" t="s">
        <v>10</v>
      </c>
      <c r="E3146" t="s">
        <v>16</v>
      </c>
      <c r="F3146" t="s">
        <v>12</v>
      </c>
      <c r="G3146" t="s">
        <v>13</v>
      </c>
      <c r="H3146" t="s">
        <v>13</v>
      </c>
      <c r="I3146">
        <v>36</v>
      </c>
      <c r="J3146">
        <f>ABS((I3146-EDA!$A$15)/EDA!$B$15)</f>
        <v>0.42201166760410774</v>
      </c>
      <c r="K3146" t="str">
        <f t="shared" si="49"/>
        <v>No</v>
      </c>
      <c r="L3146">
        <f>ABS((C3146-EDA!$F$15)/EDA!$G$15)</f>
        <v>0.37073656040723429</v>
      </c>
      <c r="M3146" t="str">
        <f>IF(moras[[#This Row],[Z-Score Salario]]&gt;1.96, "Sí", "No")</f>
        <v>No</v>
      </c>
      <c r="N3146" s="14">
        <f>IF(ISBLANK(moras[[#This Row],[SALARIO]]), EDA!$M$8, moras[[#This Row],[SALARIO]])</f>
        <v>295505</v>
      </c>
      <c r="O3146" s="14">
        <f xml:space="preserve"> IF(ISBLANK(moras[[#This Row],[EDAD]]), EDA!$E$8, moras[[#This Row],[EDAD]])</f>
        <v>36</v>
      </c>
      <c r="P3146" s="14" t="str">
        <f>IF(
    OR(ISBLANK(moras[[#This Row],[TIPO_ASEGURAMIENTO]]), moras[[#This Row],[TIPO_ASEGURAMIENTO]]=""),
    EDA!$A$32,
    moras[[#This Row],[TIPO_ASEGURAMIENTO]]
)</f>
        <v>ASALARIADO</v>
      </c>
    </row>
    <row r="3147" spans="1:16" x14ac:dyDescent="0.3">
      <c r="A3147">
        <v>3146</v>
      </c>
      <c r="B3147" t="s">
        <v>9</v>
      </c>
      <c r="C3147">
        <v>297046</v>
      </c>
      <c r="D3147" t="s">
        <v>17</v>
      </c>
      <c r="E3147" t="s">
        <v>16</v>
      </c>
      <c r="F3147" t="s">
        <v>12</v>
      </c>
      <c r="G3147" t="s">
        <v>13</v>
      </c>
      <c r="H3147" t="s">
        <v>13</v>
      </c>
      <c r="I3147">
        <v>25</v>
      </c>
      <c r="J3147">
        <f>ABS((I3147-EDA!$A$15)/EDA!$B$15)</f>
        <v>1.1983402984526204</v>
      </c>
      <c r="K3147" t="str">
        <f t="shared" si="49"/>
        <v>No</v>
      </c>
      <c r="L3147">
        <f>ABS((C3147-EDA!$F$15)/EDA!$G$15)</f>
        <v>0.37071091707942361</v>
      </c>
      <c r="M3147" t="str">
        <f>IF(moras[[#This Row],[Z-Score Salario]]&gt;1.96, "Sí", "No")</f>
        <v>No</v>
      </c>
      <c r="N3147" s="14">
        <f>IF(ISBLANK(moras[[#This Row],[SALARIO]]), EDA!$M$8, moras[[#This Row],[SALARIO]])</f>
        <v>297046</v>
      </c>
      <c r="O3147" s="14">
        <f xml:space="preserve"> IF(ISBLANK(moras[[#This Row],[EDAD]]), EDA!$E$8, moras[[#This Row],[EDAD]])</f>
        <v>25</v>
      </c>
      <c r="P3147" s="14" t="str">
        <f>IF(
    OR(ISBLANK(moras[[#This Row],[TIPO_ASEGURAMIENTO]]), moras[[#This Row],[TIPO_ASEGURAMIENTO]]=""),
    EDA!$A$32,
    moras[[#This Row],[TIPO_ASEGURAMIENTO]]
)</f>
        <v>ASEGURADO VOLUNTARIO</v>
      </c>
    </row>
    <row r="3148" spans="1:16" x14ac:dyDescent="0.3">
      <c r="A3148">
        <v>3147</v>
      </c>
      <c r="B3148" t="s">
        <v>15</v>
      </c>
      <c r="C3148">
        <v>457220</v>
      </c>
      <c r="D3148" t="s">
        <v>10</v>
      </c>
      <c r="E3148" t="s">
        <v>11</v>
      </c>
      <c r="F3148" t="s">
        <v>12</v>
      </c>
      <c r="G3148" t="s">
        <v>13</v>
      </c>
      <c r="H3148" t="s">
        <v>13</v>
      </c>
      <c r="I3148">
        <v>25</v>
      </c>
      <c r="J3148">
        <f>ABS((I3148-EDA!$A$15)/EDA!$B$15)</f>
        <v>1.1983402984526204</v>
      </c>
      <c r="K3148" t="str">
        <f t="shared" si="49"/>
        <v>No</v>
      </c>
      <c r="L3148">
        <f>ABS((C3148-EDA!$F$15)/EDA!$G$15)</f>
        <v>0.36804550865064334</v>
      </c>
      <c r="M3148" t="str">
        <f>IF(moras[[#This Row],[Z-Score Salario]]&gt;1.96, "Sí", "No")</f>
        <v>No</v>
      </c>
      <c r="N3148" s="14">
        <f>IF(ISBLANK(moras[[#This Row],[SALARIO]]), EDA!$M$8, moras[[#This Row],[SALARIO]])</f>
        <v>457220</v>
      </c>
      <c r="O3148" s="14">
        <f xml:space="preserve"> IF(ISBLANK(moras[[#This Row],[EDAD]]), EDA!$E$8, moras[[#This Row],[EDAD]])</f>
        <v>25</v>
      </c>
      <c r="P3148" s="14" t="str">
        <f>IF(
    OR(ISBLANK(moras[[#This Row],[TIPO_ASEGURAMIENTO]]), moras[[#This Row],[TIPO_ASEGURAMIENTO]]=""),
    EDA!$A$32,
    moras[[#This Row],[TIPO_ASEGURAMIENTO]]
)</f>
        <v>ASALARIADO</v>
      </c>
    </row>
    <row r="3149" spans="1:16" x14ac:dyDescent="0.3">
      <c r="A3149">
        <v>3148</v>
      </c>
      <c r="B3149" t="s">
        <v>9</v>
      </c>
      <c r="C3149">
        <v>458557</v>
      </c>
      <c r="D3149" t="s">
        <v>18</v>
      </c>
      <c r="E3149" t="s">
        <v>16</v>
      </c>
      <c r="F3149" t="s">
        <v>12</v>
      </c>
      <c r="G3149" t="s">
        <v>13</v>
      </c>
      <c r="H3149" t="s">
        <v>12</v>
      </c>
      <c r="I3149">
        <v>33</v>
      </c>
      <c r="J3149">
        <f>ABS((I3149-EDA!$A$15)/EDA!$B$15)</f>
        <v>0.63373765783552027</v>
      </c>
      <c r="K3149" t="str">
        <f t="shared" si="49"/>
        <v>No</v>
      </c>
      <c r="L3149">
        <f>ABS((C3149-EDA!$F$15)/EDA!$G$15)</f>
        <v>0.36802326002683872</v>
      </c>
      <c r="M3149" t="str">
        <f>IF(moras[[#This Row],[Z-Score Salario]]&gt;1.96, "Sí", "No")</f>
        <v>No</v>
      </c>
      <c r="N3149" s="14">
        <f>IF(ISBLANK(moras[[#This Row],[SALARIO]]), EDA!$M$8, moras[[#This Row],[SALARIO]])</f>
        <v>458557</v>
      </c>
      <c r="O3149" s="14">
        <f xml:space="preserve"> IF(ISBLANK(moras[[#This Row],[EDAD]]), EDA!$E$8, moras[[#This Row],[EDAD]])</f>
        <v>33</v>
      </c>
      <c r="P3149" s="14" t="str">
        <f>IF(
    OR(ISBLANK(moras[[#This Row],[TIPO_ASEGURAMIENTO]]), moras[[#This Row],[TIPO_ASEGURAMIENTO]]=""),
    EDA!$A$32,
    moras[[#This Row],[TIPO_ASEGURAMIENTO]]
)</f>
        <v>TRABAJADOR INDEPENDIENTE</v>
      </c>
    </row>
    <row r="3150" spans="1:16" x14ac:dyDescent="0.3">
      <c r="A3150">
        <v>3149</v>
      </c>
      <c r="B3150" t="s">
        <v>15</v>
      </c>
      <c r="C3150">
        <v>308439</v>
      </c>
      <c r="D3150" t="s">
        <v>18</v>
      </c>
      <c r="E3150" t="s">
        <v>16</v>
      </c>
      <c r="F3150" t="s">
        <v>12</v>
      </c>
      <c r="G3150" t="s">
        <v>13</v>
      </c>
      <c r="H3150" t="s">
        <v>12</v>
      </c>
      <c r="I3150">
        <v>31</v>
      </c>
      <c r="J3150">
        <f>ABS((I3150-EDA!$A$15)/EDA!$B$15)</f>
        <v>0.77488831798979529</v>
      </c>
      <c r="K3150" t="str">
        <f t="shared" si="49"/>
        <v>No</v>
      </c>
      <c r="L3150">
        <f>ABS((C3150-EDA!$F$15)/EDA!$G$15)</f>
        <v>0.37052132951696592</v>
      </c>
      <c r="M3150" t="str">
        <f>IF(moras[[#This Row],[Z-Score Salario]]&gt;1.96, "Sí", "No")</f>
        <v>No</v>
      </c>
      <c r="N3150" s="14">
        <f>IF(ISBLANK(moras[[#This Row],[SALARIO]]), EDA!$M$8, moras[[#This Row],[SALARIO]])</f>
        <v>308439</v>
      </c>
      <c r="O3150" s="14">
        <f xml:space="preserve"> IF(ISBLANK(moras[[#This Row],[EDAD]]), EDA!$E$8, moras[[#This Row],[EDAD]])</f>
        <v>31</v>
      </c>
      <c r="P3150" s="14" t="str">
        <f>IF(
    OR(ISBLANK(moras[[#This Row],[TIPO_ASEGURAMIENTO]]), moras[[#This Row],[TIPO_ASEGURAMIENTO]]=""),
    EDA!$A$32,
    moras[[#This Row],[TIPO_ASEGURAMIENTO]]
)</f>
        <v>TRABAJADOR INDEPENDIENTE</v>
      </c>
    </row>
    <row r="3151" spans="1:16" x14ac:dyDescent="0.3">
      <c r="A3151">
        <v>3150</v>
      </c>
      <c r="B3151" t="s">
        <v>15</v>
      </c>
      <c r="C3151">
        <v>456605</v>
      </c>
      <c r="D3151" t="s">
        <v>14</v>
      </c>
      <c r="E3151" t="s">
        <v>11</v>
      </c>
      <c r="F3151" t="s">
        <v>12</v>
      </c>
      <c r="G3151" t="s">
        <v>13</v>
      </c>
      <c r="H3151" t="s">
        <v>13</v>
      </c>
      <c r="I3151">
        <v>67</v>
      </c>
      <c r="J3151">
        <f>ABS((I3151-EDA!$A$15)/EDA!$B$15)</f>
        <v>1.765823564787155</v>
      </c>
      <c r="K3151" t="str">
        <f t="shared" si="49"/>
        <v>No</v>
      </c>
      <c r="L3151">
        <f>ABS((C3151-EDA!$F$15)/EDA!$G$15)</f>
        <v>0.36805574268477931</v>
      </c>
      <c r="M3151" t="str">
        <f>IF(moras[[#This Row],[Z-Score Salario]]&gt;1.96, "Sí", "No")</f>
        <v>No</v>
      </c>
      <c r="N3151" s="14">
        <f>IF(ISBLANK(moras[[#This Row],[SALARIO]]), EDA!$M$8, moras[[#This Row],[SALARIO]])</f>
        <v>456605</v>
      </c>
      <c r="O3151" s="14">
        <f xml:space="preserve"> IF(ISBLANK(moras[[#This Row],[EDAD]]), EDA!$E$8, moras[[#This Row],[EDAD]])</f>
        <v>67</v>
      </c>
      <c r="P3151" s="14" t="str">
        <f>IF(
    OR(ISBLANK(moras[[#This Row],[TIPO_ASEGURAMIENTO]]), moras[[#This Row],[TIPO_ASEGURAMIENTO]]=""),
    EDA!$A$32,
    moras[[#This Row],[TIPO_ASEGURAMIENTO]]
)</f>
        <v>PENSIONADOS EN SU PROPIO SISTEMA</v>
      </c>
    </row>
    <row r="3152" spans="1:16" x14ac:dyDescent="0.3">
      <c r="A3152">
        <v>3151</v>
      </c>
      <c r="B3152" t="s">
        <v>15</v>
      </c>
      <c r="C3152">
        <v>154295958</v>
      </c>
      <c r="D3152" t="s">
        <v>10</v>
      </c>
      <c r="E3152" t="s">
        <v>16</v>
      </c>
      <c r="F3152" t="s">
        <v>12</v>
      </c>
      <c r="G3152" t="s">
        <v>13</v>
      </c>
      <c r="H3152" t="s">
        <v>13</v>
      </c>
      <c r="I3152">
        <v>58</v>
      </c>
      <c r="J3152">
        <f>ABS((I3152-EDA!$A$15)/EDA!$B$15)</f>
        <v>1.1306455940929174</v>
      </c>
      <c r="K3152" t="str">
        <f t="shared" si="49"/>
        <v>No</v>
      </c>
      <c r="L3152">
        <f>ABS((C3152-EDA!$F$15)/EDA!$G$15)</f>
        <v>2.1919396883109092</v>
      </c>
      <c r="M3152" t="str">
        <f>IF(moras[[#This Row],[Z-Score Salario]]&gt;1.96, "Sí", "No")</f>
        <v>Sí</v>
      </c>
      <c r="N3152" s="14">
        <f>IF(ISBLANK(moras[[#This Row],[SALARIO]]), EDA!$M$8, moras[[#This Row],[SALARIO]])</f>
        <v>154295958</v>
      </c>
      <c r="O3152" s="14">
        <f xml:space="preserve"> IF(ISBLANK(moras[[#This Row],[EDAD]]), EDA!$E$8, moras[[#This Row],[EDAD]])</f>
        <v>58</v>
      </c>
      <c r="P3152" s="14" t="str">
        <f>IF(
    OR(ISBLANK(moras[[#This Row],[TIPO_ASEGURAMIENTO]]), moras[[#This Row],[TIPO_ASEGURAMIENTO]]=""),
    EDA!$A$32,
    moras[[#This Row],[TIPO_ASEGURAMIENTO]]
)</f>
        <v>ASALARIADO</v>
      </c>
    </row>
    <row r="3153" spans="1:16" x14ac:dyDescent="0.3">
      <c r="A3153">
        <v>3152</v>
      </c>
      <c r="B3153" t="s">
        <v>9</v>
      </c>
      <c r="C3153">
        <v>297046</v>
      </c>
      <c r="D3153" t="s">
        <v>18</v>
      </c>
      <c r="E3153" t="s">
        <v>16</v>
      </c>
      <c r="F3153" t="s">
        <v>12</v>
      </c>
      <c r="G3153" t="s">
        <v>13</v>
      </c>
      <c r="H3153" t="s">
        <v>13</v>
      </c>
      <c r="I3153">
        <v>52</v>
      </c>
      <c r="J3153">
        <f>ABS((I3153-EDA!$A$15)/EDA!$B$15)</f>
        <v>0.70719361363009237</v>
      </c>
      <c r="K3153" t="str">
        <f t="shared" si="49"/>
        <v>No</v>
      </c>
      <c r="L3153">
        <f>ABS((C3153-EDA!$F$15)/EDA!$G$15)</f>
        <v>0.37071091707942361</v>
      </c>
      <c r="M3153" t="str">
        <f>IF(moras[[#This Row],[Z-Score Salario]]&gt;1.96, "Sí", "No")</f>
        <v>No</v>
      </c>
      <c r="N3153" s="14">
        <f>IF(ISBLANK(moras[[#This Row],[SALARIO]]), EDA!$M$8, moras[[#This Row],[SALARIO]])</f>
        <v>297046</v>
      </c>
      <c r="O3153" s="14">
        <f xml:space="preserve"> IF(ISBLANK(moras[[#This Row],[EDAD]]), EDA!$E$8, moras[[#This Row],[EDAD]])</f>
        <v>52</v>
      </c>
      <c r="P3153" s="14" t="str">
        <f>IF(
    OR(ISBLANK(moras[[#This Row],[TIPO_ASEGURAMIENTO]]), moras[[#This Row],[TIPO_ASEGURAMIENTO]]=""),
    EDA!$A$32,
    moras[[#This Row],[TIPO_ASEGURAMIENTO]]
)</f>
        <v>TRABAJADOR INDEPENDIENTE</v>
      </c>
    </row>
    <row r="3154" spans="1:16" x14ac:dyDescent="0.3">
      <c r="A3154">
        <v>3153</v>
      </c>
      <c r="B3154" t="s">
        <v>9</v>
      </c>
      <c r="C3154">
        <v>433254</v>
      </c>
      <c r="D3154" t="s">
        <v>18</v>
      </c>
      <c r="E3154" t="s">
        <v>16</v>
      </c>
      <c r="F3154" t="s">
        <v>12</v>
      </c>
      <c r="G3154" t="s">
        <v>13</v>
      </c>
      <c r="H3154" t="s">
        <v>12</v>
      </c>
      <c r="I3154">
        <v>59</v>
      </c>
      <c r="J3154">
        <f>ABS((I3154-EDA!$A$15)/EDA!$B$15)</f>
        <v>1.2012209241700549</v>
      </c>
      <c r="K3154" t="str">
        <f t="shared" si="49"/>
        <v>No</v>
      </c>
      <c r="L3154">
        <f>ABS((C3154-EDA!$F$15)/EDA!$G$15)</f>
        <v>0.36844431980853504</v>
      </c>
      <c r="M3154" t="str">
        <f>IF(moras[[#This Row],[Z-Score Salario]]&gt;1.96, "Sí", "No")</f>
        <v>No</v>
      </c>
      <c r="N3154" s="14">
        <f>IF(ISBLANK(moras[[#This Row],[SALARIO]]), EDA!$M$8, moras[[#This Row],[SALARIO]])</f>
        <v>433254</v>
      </c>
      <c r="O3154" s="14">
        <f xml:space="preserve"> IF(ISBLANK(moras[[#This Row],[EDAD]]), EDA!$E$8, moras[[#This Row],[EDAD]])</f>
        <v>59</v>
      </c>
      <c r="P3154" s="14" t="str">
        <f>IF(
    OR(ISBLANK(moras[[#This Row],[TIPO_ASEGURAMIENTO]]), moras[[#This Row],[TIPO_ASEGURAMIENTO]]=""),
    EDA!$A$32,
    moras[[#This Row],[TIPO_ASEGURAMIENTO]]
)</f>
        <v>TRABAJADOR INDEPENDIENTE</v>
      </c>
    </row>
    <row r="3155" spans="1:16" x14ac:dyDescent="0.3">
      <c r="A3155">
        <v>3154</v>
      </c>
      <c r="B3155" t="s">
        <v>9</v>
      </c>
      <c r="C3155">
        <v>4712231</v>
      </c>
      <c r="D3155" t="s">
        <v>10</v>
      </c>
      <c r="E3155" t="s">
        <v>16</v>
      </c>
      <c r="F3155" t="s">
        <v>12</v>
      </c>
      <c r="G3155" t="s">
        <v>13</v>
      </c>
      <c r="H3155" t="s">
        <v>13</v>
      </c>
      <c r="I3155">
        <v>23</v>
      </c>
      <c r="J3155">
        <f>ABS((I3155-EDA!$A$15)/EDA!$B$15)</f>
        <v>1.3394909586068953</v>
      </c>
      <c r="K3155" t="str">
        <f t="shared" si="49"/>
        <v>No</v>
      </c>
      <c r="L3155">
        <f>ABS((C3155-EDA!$F$15)/EDA!$G$15)</f>
        <v>0.29723912194647928</v>
      </c>
      <c r="M3155" t="str">
        <f>IF(moras[[#This Row],[Z-Score Salario]]&gt;1.96, "Sí", "No")</f>
        <v>No</v>
      </c>
      <c r="N3155" s="14">
        <f>IF(ISBLANK(moras[[#This Row],[SALARIO]]), EDA!$M$8, moras[[#This Row],[SALARIO]])</f>
        <v>4712231</v>
      </c>
      <c r="O3155" s="14">
        <f xml:space="preserve"> IF(ISBLANK(moras[[#This Row],[EDAD]]), EDA!$E$8, moras[[#This Row],[EDAD]])</f>
        <v>23</v>
      </c>
      <c r="P3155" s="14" t="str">
        <f>IF(
    OR(ISBLANK(moras[[#This Row],[TIPO_ASEGURAMIENTO]]), moras[[#This Row],[TIPO_ASEGURAMIENTO]]=""),
    EDA!$A$32,
    moras[[#This Row],[TIPO_ASEGURAMIENTO]]
)</f>
        <v>ASALARIADO</v>
      </c>
    </row>
    <row r="3156" spans="1:16" x14ac:dyDescent="0.3">
      <c r="A3156">
        <v>3155</v>
      </c>
      <c r="B3156" t="s">
        <v>15</v>
      </c>
      <c r="C3156">
        <v>53271084</v>
      </c>
      <c r="D3156" t="s">
        <v>10</v>
      </c>
      <c r="E3156" t="s">
        <v>11</v>
      </c>
      <c r="F3156" t="s">
        <v>12</v>
      </c>
      <c r="G3156" t="s">
        <v>13</v>
      </c>
      <c r="H3156" t="s">
        <v>13</v>
      </c>
      <c r="I3156">
        <v>44</v>
      </c>
      <c r="J3156">
        <f>ABS((I3156-EDA!$A$15)/EDA!$B$15)</f>
        <v>0.14259097301299228</v>
      </c>
      <c r="K3156" t="str">
        <f t="shared" si="49"/>
        <v>No</v>
      </c>
      <c r="L3156">
        <f>ABS((C3156-EDA!$F$15)/EDA!$G$15)</f>
        <v>0.51081447026013438</v>
      </c>
      <c r="M3156" t="str">
        <f>IF(moras[[#This Row],[Z-Score Salario]]&gt;1.96, "Sí", "No")</f>
        <v>No</v>
      </c>
      <c r="N3156" s="14">
        <f>IF(ISBLANK(moras[[#This Row],[SALARIO]]), EDA!$M$8, moras[[#This Row],[SALARIO]])</f>
        <v>53271084</v>
      </c>
      <c r="O3156" s="14">
        <f xml:space="preserve"> IF(ISBLANK(moras[[#This Row],[EDAD]]), EDA!$E$8, moras[[#This Row],[EDAD]])</f>
        <v>44</v>
      </c>
      <c r="P3156" s="14" t="str">
        <f>IF(
    OR(ISBLANK(moras[[#This Row],[TIPO_ASEGURAMIENTO]]), moras[[#This Row],[TIPO_ASEGURAMIENTO]]=""),
    EDA!$A$32,
    moras[[#This Row],[TIPO_ASEGURAMIENTO]]
)</f>
        <v>ASALARIADO</v>
      </c>
    </row>
    <row r="3157" spans="1:16" x14ac:dyDescent="0.3">
      <c r="A3157">
        <v>3156</v>
      </c>
      <c r="B3157" t="s">
        <v>9</v>
      </c>
      <c r="C3157">
        <v>800000</v>
      </c>
      <c r="D3157" t="s">
        <v>10</v>
      </c>
      <c r="E3157" t="s">
        <v>16</v>
      </c>
      <c r="F3157" t="s">
        <v>12</v>
      </c>
      <c r="G3157" t="s">
        <v>13</v>
      </c>
      <c r="H3157" t="s">
        <v>13</v>
      </c>
      <c r="I3157">
        <v>35</v>
      </c>
      <c r="J3157">
        <f>ABS((I3157-EDA!$A$15)/EDA!$B$15)</f>
        <v>0.49258699768124525</v>
      </c>
      <c r="K3157" t="str">
        <f t="shared" si="49"/>
        <v>No</v>
      </c>
      <c r="L3157">
        <f>ABS((C3157-EDA!$F$15)/EDA!$G$15)</f>
        <v>0.36234140747806037</v>
      </c>
      <c r="M3157" t="str">
        <f>IF(moras[[#This Row],[Z-Score Salario]]&gt;1.96, "Sí", "No")</f>
        <v>No</v>
      </c>
      <c r="N3157" s="14">
        <f>IF(ISBLANK(moras[[#This Row],[SALARIO]]), EDA!$M$8, moras[[#This Row],[SALARIO]])</f>
        <v>800000</v>
      </c>
      <c r="O3157" s="14">
        <f xml:space="preserve"> IF(ISBLANK(moras[[#This Row],[EDAD]]), EDA!$E$8, moras[[#This Row],[EDAD]])</f>
        <v>35</v>
      </c>
      <c r="P3157" s="14" t="str">
        <f>IF(
    OR(ISBLANK(moras[[#This Row],[TIPO_ASEGURAMIENTO]]), moras[[#This Row],[TIPO_ASEGURAMIENTO]]=""),
    EDA!$A$32,
    moras[[#This Row],[TIPO_ASEGURAMIENTO]]
)</f>
        <v>ASALARIADO</v>
      </c>
    </row>
    <row r="3158" spans="1:16" x14ac:dyDescent="0.3">
      <c r="A3158">
        <v>3157</v>
      </c>
      <c r="B3158" t="s">
        <v>15</v>
      </c>
      <c r="C3158">
        <v>246787573</v>
      </c>
      <c r="D3158" t="s">
        <v>10</v>
      </c>
      <c r="E3158" t="s">
        <v>11</v>
      </c>
      <c r="F3158" t="s">
        <v>12</v>
      </c>
      <c r="G3158" t="s">
        <v>13</v>
      </c>
      <c r="H3158" t="s">
        <v>13</v>
      </c>
      <c r="I3158">
        <v>31</v>
      </c>
      <c r="J3158">
        <f>ABS((I3158-EDA!$A$15)/EDA!$B$15)</f>
        <v>0.77488831798979529</v>
      </c>
      <c r="K3158" t="str">
        <f t="shared" si="49"/>
        <v>No</v>
      </c>
      <c r="L3158">
        <f>ABS((C3158-EDA!$F$15)/EDA!$G$15)</f>
        <v>3.7310654528700744</v>
      </c>
      <c r="M3158" t="str">
        <f>IF(moras[[#This Row],[Z-Score Salario]]&gt;1.96, "Sí", "No")</f>
        <v>Sí</v>
      </c>
      <c r="N3158" s="14">
        <f>IF(ISBLANK(moras[[#This Row],[SALARIO]]), EDA!$M$8, moras[[#This Row],[SALARIO]])</f>
        <v>246787573</v>
      </c>
      <c r="O3158" s="14">
        <f xml:space="preserve"> IF(ISBLANK(moras[[#This Row],[EDAD]]), EDA!$E$8, moras[[#This Row],[EDAD]])</f>
        <v>31</v>
      </c>
      <c r="P3158" s="14" t="str">
        <f>IF(
    OR(ISBLANK(moras[[#This Row],[TIPO_ASEGURAMIENTO]]), moras[[#This Row],[TIPO_ASEGURAMIENTO]]=""),
    EDA!$A$32,
    moras[[#This Row],[TIPO_ASEGURAMIENTO]]
)</f>
        <v>ASALARIADO</v>
      </c>
    </row>
    <row r="3159" spans="1:16" x14ac:dyDescent="0.3">
      <c r="A3159">
        <v>3158</v>
      </c>
      <c r="B3159" t="s">
        <v>15</v>
      </c>
      <c r="C3159">
        <v>38451519</v>
      </c>
      <c r="D3159" t="s">
        <v>10</v>
      </c>
      <c r="E3159" t="s">
        <v>16</v>
      </c>
      <c r="F3159" t="s">
        <v>12</v>
      </c>
      <c r="G3159" t="s">
        <v>13</v>
      </c>
      <c r="H3159" t="s">
        <v>13</v>
      </c>
      <c r="I3159">
        <v>26</v>
      </c>
      <c r="J3159">
        <f>ABS((I3159-EDA!$A$15)/EDA!$B$15)</f>
        <v>1.1277649683754829</v>
      </c>
      <c r="K3159" t="str">
        <f t="shared" si="49"/>
        <v>No</v>
      </c>
      <c r="L3159">
        <f>ABS((C3159-EDA!$F$15)/EDA!$G$15)</f>
        <v>0.26420644734844401</v>
      </c>
      <c r="M3159" t="str">
        <f>IF(moras[[#This Row],[Z-Score Salario]]&gt;1.96, "Sí", "No")</f>
        <v>No</v>
      </c>
      <c r="N3159" s="14">
        <f>IF(ISBLANK(moras[[#This Row],[SALARIO]]), EDA!$M$8, moras[[#This Row],[SALARIO]])</f>
        <v>38451519</v>
      </c>
      <c r="O3159" s="14">
        <f xml:space="preserve"> IF(ISBLANK(moras[[#This Row],[EDAD]]), EDA!$E$8, moras[[#This Row],[EDAD]])</f>
        <v>26</v>
      </c>
      <c r="P3159" s="14" t="str">
        <f>IF(
    OR(ISBLANK(moras[[#This Row],[TIPO_ASEGURAMIENTO]]), moras[[#This Row],[TIPO_ASEGURAMIENTO]]=""),
    EDA!$A$32,
    moras[[#This Row],[TIPO_ASEGURAMIENTO]]
)</f>
        <v>ASALARIADO</v>
      </c>
    </row>
    <row r="3160" spans="1:16" x14ac:dyDescent="0.3">
      <c r="A3160">
        <v>3159</v>
      </c>
      <c r="B3160" t="s">
        <v>9</v>
      </c>
      <c r="C3160">
        <v>78481069</v>
      </c>
      <c r="D3160" t="s">
        <v>10</v>
      </c>
      <c r="E3160" t="s">
        <v>11</v>
      </c>
      <c r="F3160" t="s">
        <v>12</v>
      </c>
      <c r="G3160" t="s">
        <v>13</v>
      </c>
      <c r="H3160" t="s">
        <v>13</v>
      </c>
      <c r="I3160">
        <v>35</v>
      </c>
      <c r="J3160">
        <f>ABS((I3160-EDA!$A$15)/EDA!$B$15)</f>
        <v>0.49258699768124525</v>
      </c>
      <c r="K3160" t="str">
        <f t="shared" si="49"/>
        <v>No</v>
      </c>
      <c r="L3160">
        <f>ABS((C3160-EDA!$F$15)/EDA!$G$15)</f>
        <v>0.93032641669603655</v>
      </c>
      <c r="M3160" t="str">
        <f>IF(moras[[#This Row],[Z-Score Salario]]&gt;1.96, "Sí", "No")</f>
        <v>No</v>
      </c>
      <c r="N3160" s="14">
        <f>IF(ISBLANK(moras[[#This Row],[SALARIO]]), EDA!$M$8, moras[[#This Row],[SALARIO]])</f>
        <v>78481069</v>
      </c>
      <c r="O3160" s="14">
        <f xml:space="preserve"> IF(ISBLANK(moras[[#This Row],[EDAD]]), EDA!$E$8, moras[[#This Row],[EDAD]])</f>
        <v>35</v>
      </c>
      <c r="P3160" s="14" t="str">
        <f>IF(
    OR(ISBLANK(moras[[#This Row],[TIPO_ASEGURAMIENTO]]), moras[[#This Row],[TIPO_ASEGURAMIENTO]]=""),
    EDA!$A$32,
    moras[[#This Row],[TIPO_ASEGURAMIENTO]]
)</f>
        <v>ASALARIADO</v>
      </c>
    </row>
    <row r="3161" spans="1:16" x14ac:dyDescent="0.3">
      <c r="A3161">
        <v>3160</v>
      </c>
      <c r="B3161" t="s">
        <v>15</v>
      </c>
      <c r="C3161">
        <v>532793</v>
      </c>
      <c r="D3161" t="s">
        <v>10</v>
      </c>
      <c r="E3161" t="s">
        <v>16</v>
      </c>
      <c r="F3161" t="s">
        <v>12</v>
      </c>
      <c r="G3161" t="s">
        <v>13</v>
      </c>
      <c r="H3161" t="s">
        <v>13</v>
      </c>
      <c r="I3161">
        <v>47</v>
      </c>
      <c r="J3161">
        <f>ABS((I3161-EDA!$A$15)/EDA!$B$15)</f>
        <v>0.35431696324440481</v>
      </c>
      <c r="K3161" t="str">
        <f t="shared" si="49"/>
        <v>No</v>
      </c>
      <c r="L3161">
        <f>ABS((C3161-EDA!$F$15)/EDA!$G$15)</f>
        <v>0.36678792058274085</v>
      </c>
      <c r="M3161" t="str">
        <f>IF(moras[[#This Row],[Z-Score Salario]]&gt;1.96, "Sí", "No")</f>
        <v>No</v>
      </c>
      <c r="N3161" s="14">
        <f>IF(ISBLANK(moras[[#This Row],[SALARIO]]), EDA!$M$8, moras[[#This Row],[SALARIO]])</f>
        <v>532793</v>
      </c>
      <c r="O3161" s="14">
        <f xml:space="preserve"> IF(ISBLANK(moras[[#This Row],[EDAD]]), EDA!$E$8, moras[[#This Row],[EDAD]])</f>
        <v>47</v>
      </c>
      <c r="P3161" s="14" t="str">
        <f>IF(
    OR(ISBLANK(moras[[#This Row],[TIPO_ASEGURAMIENTO]]), moras[[#This Row],[TIPO_ASEGURAMIENTO]]=""),
    EDA!$A$32,
    moras[[#This Row],[TIPO_ASEGURAMIENTO]]
)</f>
        <v>ASALARIADO</v>
      </c>
    </row>
    <row r="3162" spans="1:16" x14ac:dyDescent="0.3">
      <c r="A3162">
        <v>3161</v>
      </c>
      <c r="B3162" t="s">
        <v>9</v>
      </c>
      <c r="C3162">
        <v>388390</v>
      </c>
      <c r="D3162" t="s">
        <v>10</v>
      </c>
      <c r="E3162" t="s">
        <v>16</v>
      </c>
      <c r="F3162" t="s">
        <v>12</v>
      </c>
      <c r="G3162" t="s">
        <v>13</v>
      </c>
      <c r="H3162" t="s">
        <v>13</v>
      </c>
      <c r="I3162">
        <v>55</v>
      </c>
      <c r="J3162">
        <f>ABS((I3162-EDA!$A$15)/EDA!$B$15)</f>
        <v>0.91891960386150484</v>
      </c>
      <c r="K3162" t="str">
        <f t="shared" si="49"/>
        <v>No</v>
      </c>
      <c r="L3162">
        <f>ABS((C3162-EDA!$F$15)/EDA!$G$15)</f>
        <v>0.36919088843857983</v>
      </c>
      <c r="M3162" t="str">
        <f>IF(moras[[#This Row],[Z-Score Salario]]&gt;1.96, "Sí", "No")</f>
        <v>No</v>
      </c>
      <c r="N3162" s="14">
        <f>IF(ISBLANK(moras[[#This Row],[SALARIO]]), EDA!$M$8, moras[[#This Row],[SALARIO]])</f>
        <v>388390</v>
      </c>
      <c r="O3162" s="14">
        <f xml:space="preserve"> IF(ISBLANK(moras[[#This Row],[EDAD]]), EDA!$E$8, moras[[#This Row],[EDAD]])</f>
        <v>55</v>
      </c>
      <c r="P3162" s="14" t="str">
        <f>IF(
    OR(ISBLANK(moras[[#This Row],[TIPO_ASEGURAMIENTO]]), moras[[#This Row],[TIPO_ASEGURAMIENTO]]=""),
    EDA!$A$32,
    moras[[#This Row],[TIPO_ASEGURAMIENTO]]
)</f>
        <v>ASALARIADO</v>
      </c>
    </row>
    <row r="3163" spans="1:16" x14ac:dyDescent="0.3">
      <c r="A3163">
        <v>3162</v>
      </c>
      <c r="B3163" t="s">
        <v>15</v>
      </c>
      <c r="C3163">
        <v>410367</v>
      </c>
      <c r="D3163" t="s">
        <v>10</v>
      </c>
      <c r="E3163" t="s">
        <v>16</v>
      </c>
      <c r="F3163" t="s">
        <v>12</v>
      </c>
      <c r="G3163" t="s">
        <v>13</v>
      </c>
      <c r="H3163" t="s">
        <v>13</v>
      </c>
      <c r="I3163">
        <v>38</v>
      </c>
      <c r="J3163">
        <f>ABS((I3163-EDA!$A$15)/EDA!$B$15)</f>
        <v>0.28086100744983278</v>
      </c>
      <c r="K3163" t="str">
        <f t="shared" si="49"/>
        <v>No</v>
      </c>
      <c r="L3163">
        <f>ABS((C3163-EDA!$F$15)/EDA!$G$15)</f>
        <v>0.36882517564474748</v>
      </c>
      <c r="M3163" t="str">
        <f>IF(moras[[#This Row],[Z-Score Salario]]&gt;1.96, "Sí", "No")</f>
        <v>No</v>
      </c>
      <c r="N3163" s="14">
        <f>IF(ISBLANK(moras[[#This Row],[SALARIO]]), EDA!$M$8, moras[[#This Row],[SALARIO]])</f>
        <v>410367</v>
      </c>
      <c r="O3163" s="14">
        <f xml:space="preserve"> IF(ISBLANK(moras[[#This Row],[EDAD]]), EDA!$E$8, moras[[#This Row],[EDAD]])</f>
        <v>38</v>
      </c>
      <c r="P3163" s="14" t="str">
        <f>IF(
    OR(ISBLANK(moras[[#This Row],[TIPO_ASEGURAMIENTO]]), moras[[#This Row],[TIPO_ASEGURAMIENTO]]=""),
    EDA!$A$32,
    moras[[#This Row],[TIPO_ASEGURAMIENTO]]
)</f>
        <v>ASALARIADO</v>
      </c>
    </row>
    <row r="3164" spans="1:16" x14ac:dyDescent="0.3">
      <c r="A3164">
        <v>3163</v>
      </c>
      <c r="B3164" t="s">
        <v>9</v>
      </c>
      <c r="C3164">
        <v>1583534</v>
      </c>
      <c r="D3164" t="s">
        <v>10</v>
      </c>
      <c r="E3164" t="s">
        <v>11</v>
      </c>
      <c r="F3164" t="s">
        <v>12</v>
      </c>
      <c r="G3164" t="s">
        <v>13</v>
      </c>
      <c r="H3164" t="s">
        <v>13</v>
      </c>
      <c r="I3164">
        <v>59</v>
      </c>
      <c r="J3164">
        <f>ABS((I3164-EDA!$A$15)/EDA!$B$15)</f>
        <v>1.2012209241700549</v>
      </c>
      <c r="K3164" t="str">
        <f t="shared" si="49"/>
        <v>No</v>
      </c>
      <c r="L3164">
        <f>ABS((C3164-EDA!$F$15)/EDA!$G$15)</f>
        <v>0.34930284861185285</v>
      </c>
      <c r="M3164" t="str">
        <f>IF(moras[[#This Row],[Z-Score Salario]]&gt;1.96, "Sí", "No")</f>
        <v>No</v>
      </c>
      <c r="N3164" s="14">
        <f>IF(ISBLANK(moras[[#This Row],[SALARIO]]), EDA!$M$8, moras[[#This Row],[SALARIO]])</f>
        <v>1583534</v>
      </c>
      <c r="O3164" s="14">
        <f xml:space="preserve"> IF(ISBLANK(moras[[#This Row],[EDAD]]), EDA!$E$8, moras[[#This Row],[EDAD]])</f>
        <v>59</v>
      </c>
      <c r="P3164" s="14" t="str">
        <f>IF(
    OR(ISBLANK(moras[[#This Row],[TIPO_ASEGURAMIENTO]]), moras[[#This Row],[TIPO_ASEGURAMIENTO]]=""),
    EDA!$A$32,
    moras[[#This Row],[TIPO_ASEGURAMIENTO]]
)</f>
        <v>ASALARIADO</v>
      </c>
    </row>
    <row r="3165" spans="1:16" x14ac:dyDescent="0.3">
      <c r="A3165">
        <v>3164</v>
      </c>
      <c r="B3165" t="s">
        <v>9</v>
      </c>
      <c r="C3165">
        <v>356455</v>
      </c>
      <c r="D3165" t="s">
        <v>18</v>
      </c>
      <c r="E3165" t="s">
        <v>16</v>
      </c>
      <c r="F3165" t="s">
        <v>12</v>
      </c>
      <c r="G3165" t="s">
        <v>13</v>
      </c>
      <c r="H3165" t="s">
        <v>12</v>
      </c>
      <c r="I3165">
        <v>36</v>
      </c>
      <c r="J3165">
        <f>ABS((I3165-EDA!$A$15)/EDA!$B$15)</f>
        <v>0.42201166760410774</v>
      </c>
      <c r="K3165" t="str">
        <f t="shared" si="49"/>
        <v>No</v>
      </c>
      <c r="L3165">
        <f>ABS((C3165-EDA!$F$15)/EDA!$G$15)</f>
        <v>0.36972230938188588</v>
      </c>
      <c r="M3165" t="str">
        <f>IF(moras[[#This Row],[Z-Score Salario]]&gt;1.96, "Sí", "No")</f>
        <v>No</v>
      </c>
      <c r="N3165" s="14">
        <f>IF(ISBLANK(moras[[#This Row],[SALARIO]]), EDA!$M$8, moras[[#This Row],[SALARIO]])</f>
        <v>356455</v>
      </c>
      <c r="O3165" s="14">
        <f xml:space="preserve"> IF(ISBLANK(moras[[#This Row],[EDAD]]), EDA!$E$8, moras[[#This Row],[EDAD]])</f>
        <v>36</v>
      </c>
      <c r="P3165" s="14" t="str">
        <f>IF(
    OR(ISBLANK(moras[[#This Row],[TIPO_ASEGURAMIENTO]]), moras[[#This Row],[TIPO_ASEGURAMIENTO]]=""),
    EDA!$A$32,
    moras[[#This Row],[TIPO_ASEGURAMIENTO]]
)</f>
        <v>TRABAJADOR INDEPENDIENTE</v>
      </c>
    </row>
    <row r="3166" spans="1:16" x14ac:dyDescent="0.3">
      <c r="A3166">
        <v>3165</v>
      </c>
      <c r="B3166" t="s">
        <v>15</v>
      </c>
      <c r="C3166">
        <v>12572704</v>
      </c>
      <c r="D3166" t="s">
        <v>14</v>
      </c>
      <c r="E3166" t="s">
        <v>11</v>
      </c>
      <c r="F3166" t="s">
        <v>12</v>
      </c>
      <c r="G3166" t="s">
        <v>13</v>
      </c>
      <c r="H3166" t="s">
        <v>13</v>
      </c>
      <c r="I3166">
        <v>73</v>
      </c>
      <c r="J3166">
        <f>ABS((I3166-EDA!$A$15)/EDA!$B$15)</f>
        <v>2.1892755452499797</v>
      </c>
      <c r="K3166" t="str">
        <f t="shared" si="49"/>
        <v>Sí</v>
      </c>
      <c r="L3166">
        <f>ABS((C3166-EDA!$F$15)/EDA!$G$15)</f>
        <v>0.16643530242271301</v>
      </c>
      <c r="M3166" t="str">
        <f>IF(moras[[#This Row],[Z-Score Salario]]&gt;1.96, "Sí", "No")</f>
        <v>No</v>
      </c>
      <c r="N3166" s="14">
        <f>IF(ISBLANK(moras[[#This Row],[SALARIO]]), EDA!$M$8, moras[[#This Row],[SALARIO]])</f>
        <v>12572704</v>
      </c>
      <c r="O3166" s="14">
        <f xml:space="preserve"> IF(ISBLANK(moras[[#This Row],[EDAD]]), EDA!$E$8, moras[[#This Row],[EDAD]])</f>
        <v>73</v>
      </c>
      <c r="P3166" s="14" t="str">
        <f>IF(
    OR(ISBLANK(moras[[#This Row],[TIPO_ASEGURAMIENTO]]), moras[[#This Row],[TIPO_ASEGURAMIENTO]]=""),
    EDA!$A$32,
    moras[[#This Row],[TIPO_ASEGURAMIENTO]]
)</f>
        <v>PENSIONADOS EN SU PROPIO SISTEMA</v>
      </c>
    </row>
    <row r="3167" spans="1:16" x14ac:dyDescent="0.3">
      <c r="A3167">
        <v>3166</v>
      </c>
      <c r="B3167" t="s">
        <v>9</v>
      </c>
      <c r="C3167">
        <v>26881175</v>
      </c>
      <c r="D3167" t="s">
        <v>10</v>
      </c>
      <c r="E3167" t="s">
        <v>11</v>
      </c>
      <c r="F3167" t="s">
        <v>12</v>
      </c>
      <c r="G3167" t="s">
        <v>13</v>
      </c>
      <c r="H3167" t="s">
        <v>13</v>
      </c>
      <c r="I3167">
        <v>33</v>
      </c>
      <c r="J3167">
        <f>ABS((I3167-EDA!$A$15)/EDA!$B$15)</f>
        <v>0.63373765783552027</v>
      </c>
      <c r="K3167" t="str">
        <f t="shared" si="49"/>
        <v>No</v>
      </c>
      <c r="L3167">
        <f>ABS((C3167-EDA!$F$15)/EDA!$G$15)</f>
        <v>7.1667755541488853E-2</v>
      </c>
      <c r="M3167" t="str">
        <f>IF(moras[[#This Row],[Z-Score Salario]]&gt;1.96, "Sí", "No")</f>
        <v>No</v>
      </c>
      <c r="N3167" s="14">
        <f>IF(ISBLANK(moras[[#This Row],[SALARIO]]), EDA!$M$8, moras[[#This Row],[SALARIO]])</f>
        <v>26881175</v>
      </c>
      <c r="O3167" s="14">
        <f xml:space="preserve"> IF(ISBLANK(moras[[#This Row],[EDAD]]), EDA!$E$8, moras[[#This Row],[EDAD]])</f>
        <v>33</v>
      </c>
      <c r="P3167" s="14" t="str">
        <f>IF(
    OR(ISBLANK(moras[[#This Row],[TIPO_ASEGURAMIENTO]]), moras[[#This Row],[TIPO_ASEGURAMIENTO]]=""),
    EDA!$A$32,
    moras[[#This Row],[TIPO_ASEGURAMIENTO]]
)</f>
        <v>ASALARIADO</v>
      </c>
    </row>
    <row r="3168" spans="1:16" x14ac:dyDescent="0.3">
      <c r="A3168">
        <v>3167</v>
      </c>
      <c r="B3168" t="s">
        <v>9</v>
      </c>
      <c r="C3168">
        <v>406824</v>
      </c>
      <c r="D3168" t="s">
        <v>10</v>
      </c>
      <c r="E3168" t="s">
        <v>16</v>
      </c>
      <c r="F3168" t="s">
        <v>12</v>
      </c>
      <c r="G3168" t="s">
        <v>13</v>
      </c>
      <c r="H3168" t="s">
        <v>13</v>
      </c>
      <c r="I3168">
        <v>25</v>
      </c>
      <c r="J3168">
        <f>ABS((I3168-EDA!$A$15)/EDA!$B$15)</f>
        <v>1.1983402984526204</v>
      </c>
      <c r="K3168" t="str">
        <f t="shared" si="49"/>
        <v>No</v>
      </c>
      <c r="L3168">
        <f>ABS((C3168-EDA!$F$15)/EDA!$G$15)</f>
        <v>0.36888413366579442</v>
      </c>
      <c r="M3168" t="str">
        <f>IF(moras[[#This Row],[Z-Score Salario]]&gt;1.96, "Sí", "No")</f>
        <v>No</v>
      </c>
      <c r="N3168" s="14">
        <f>IF(ISBLANK(moras[[#This Row],[SALARIO]]), EDA!$M$8, moras[[#This Row],[SALARIO]])</f>
        <v>406824</v>
      </c>
      <c r="O3168" s="14">
        <f xml:space="preserve"> IF(ISBLANK(moras[[#This Row],[EDAD]]), EDA!$E$8, moras[[#This Row],[EDAD]])</f>
        <v>25</v>
      </c>
      <c r="P3168" s="14" t="str">
        <f>IF(
    OR(ISBLANK(moras[[#This Row],[TIPO_ASEGURAMIENTO]]), moras[[#This Row],[TIPO_ASEGURAMIENTO]]=""),
    EDA!$A$32,
    moras[[#This Row],[TIPO_ASEGURAMIENTO]]
)</f>
        <v>ASALARIADO</v>
      </c>
    </row>
    <row r="3169" spans="1:16" x14ac:dyDescent="0.3">
      <c r="A3169">
        <v>3168</v>
      </c>
      <c r="B3169" t="s">
        <v>9</v>
      </c>
      <c r="C3169">
        <v>1872119</v>
      </c>
      <c r="D3169" t="s">
        <v>10</v>
      </c>
      <c r="E3169" t="s">
        <v>11</v>
      </c>
      <c r="F3169" t="s">
        <v>12</v>
      </c>
      <c r="G3169" t="s">
        <v>13</v>
      </c>
      <c r="H3169" t="s">
        <v>13</v>
      </c>
      <c r="I3169">
        <v>37</v>
      </c>
      <c r="J3169">
        <f>ABS((I3169-EDA!$A$15)/EDA!$B$15)</f>
        <v>0.35143633752697023</v>
      </c>
      <c r="K3169" t="str">
        <f t="shared" si="49"/>
        <v>No</v>
      </c>
      <c r="L3169">
        <f>ABS((C3169-EDA!$F$15)/EDA!$G$15)</f>
        <v>0.34450059049618142</v>
      </c>
      <c r="M3169" t="str">
        <f>IF(moras[[#This Row],[Z-Score Salario]]&gt;1.96, "Sí", "No")</f>
        <v>No</v>
      </c>
      <c r="N3169" s="14">
        <f>IF(ISBLANK(moras[[#This Row],[SALARIO]]), EDA!$M$8, moras[[#This Row],[SALARIO]])</f>
        <v>1872119</v>
      </c>
      <c r="O3169" s="14">
        <f xml:space="preserve"> IF(ISBLANK(moras[[#This Row],[EDAD]]), EDA!$E$8, moras[[#This Row],[EDAD]])</f>
        <v>37</v>
      </c>
      <c r="P3169" s="14" t="str">
        <f>IF(
    OR(ISBLANK(moras[[#This Row],[TIPO_ASEGURAMIENTO]]), moras[[#This Row],[TIPO_ASEGURAMIENTO]]=""),
    EDA!$A$32,
    moras[[#This Row],[TIPO_ASEGURAMIENTO]]
)</f>
        <v>ASALARIADO</v>
      </c>
    </row>
    <row r="3170" spans="1:16" x14ac:dyDescent="0.3">
      <c r="A3170">
        <v>3169</v>
      </c>
      <c r="B3170" t="s">
        <v>9</v>
      </c>
      <c r="C3170">
        <v>1562879</v>
      </c>
      <c r="D3170" t="s">
        <v>10</v>
      </c>
      <c r="E3170" t="s">
        <v>11</v>
      </c>
      <c r="F3170" t="s">
        <v>12</v>
      </c>
      <c r="G3170" t="s">
        <v>13</v>
      </c>
      <c r="H3170" t="s">
        <v>12</v>
      </c>
      <c r="I3170">
        <v>42</v>
      </c>
      <c r="J3170">
        <f>ABS((I3170-EDA!$A$15)/EDA!$B$15)</f>
        <v>1.4403128587172659E-3</v>
      </c>
      <c r="K3170" t="str">
        <f t="shared" si="49"/>
        <v>No</v>
      </c>
      <c r="L3170">
        <f>ABS((C3170-EDA!$F$15)/EDA!$G$15)</f>
        <v>0.34964656239246927</v>
      </c>
      <c r="M3170" t="str">
        <f>IF(moras[[#This Row],[Z-Score Salario]]&gt;1.96, "Sí", "No")</f>
        <v>No</v>
      </c>
      <c r="N3170" s="14">
        <f>IF(ISBLANK(moras[[#This Row],[SALARIO]]), EDA!$M$8, moras[[#This Row],[SALARIO]])</f>
        <v>1562879</v>
      </c>
      <c r="O3170" s="14">
        <f xml:space="preserve"> IF(ISBLANK(moras[[#This Row],[EDAD]]), EDA!$E$8, moras[[#This Row],[EDAD]])</f>
        <v>42</v>
      </c>
      <c r="P3170" s="14" t="str">
        <f>IF(
    OR(ISBLANK(moras[[#This Row],[TIPO_ASEGURAMIENTO]]), moras[[#This Row],[TIPO_ASEGURAMIENTO]]=""),
    EDA!$A$32,
    moras[[#This Row],[TIPO_ASEGURAMIENTO]]
)</f>
        <v>ASALARIADO</v>
      </c>
    </row>
    <row r="3171" spans="1:16" x14ac:dyDescent="0.3">
      <c r="A3171">
        <v>3170</v>
      </c>
      <c r="B3171" t="s">
        <v>15</v>
      </c>
      <c r="C3171">
        <v>501500</v>
      </c>
      <c r="D3171" t="s">
        <v>10</v>
      </c>
      <c r="E3171" t="s">
        <v>16</v>
      </c>
      <c r="F3171" t="s">
        <v>12</v>
      </c>
      <c r="G3171" t="s">
        <v>13</v>
      </c>
      <c r="H3171" t="s">
        <v>12</v>
      </c>
      <c r="I3171">
        <v>55</v>
      </c>
      <c r="J3171">
        <f>ABS((I3171-EDA!$A$15)/EDA!$B$15)</f>
        <v>0.91891960386150484</v>
      </c>
      <c r="K3171" t="str">
        <f t="shared" si="49"/>
        <v>No</v>
      </c>
      <c r="L3171">
        <f>ABS((C3171-EDA!$F$15)/EDA!$G$15)</f>
        <v>0.36730865819285125</v>
      </c>
      <c r="M3171" t="str">
        <f>IF(moras[[#This Row],[Z-Score Salario]]&gt;1.96, "Sí", "No")</f>
        <v>No</v>
      </c>
      <c r="N3171" s="14">
        <f>IF(ISBLANK(moras[[#This Row],[SALARIO]]), EDA!$M$8, moras[[#This Row],[SALARIO]])</f>
        <v>501500</v>
      </c>
      <c r="O3171" s="14">
        <f xml:space="preserve"> IF(ISBLANK(moras[[#This Row],[EDAD]]), EDA!$E$8, moras[[#This Row],[EDAD]])</f>
        <v>55</v>
      </c>
      <c r="P3171" s="14" t="str">
        <f>IF(
    OR(ISBLANK(moras[[#This Row],[TIPO_ASEGURAMIENTO]]), moras[[#This Row],[TIPO_ASEGURAMIENTO]]=""),
    EDA!$A$32,
    moras[[#This Row],[TIPO_ASEGURAMIENTO]]
)</f>
        <v>ASALARIADO</v>
      </c>
    </row>
    <row r="3172" spans="1:16" x14ac:dyDescent="0.3">
      <c r="A3172">
        <v>3171</v>
      </c>
      <c r="B3172" t="s">
        <v>15</v>
      </c>
      <c r="C3172">
        <v>458371</v>
      </c>
      <c r="D3172" t="s">
        <v>10</v>
      </c>
      <c r="E3172" t="s">
        <v>11</v>
      </c>
      <c r="F3172" t="s">
        <v>12</v>
      </c>
      <c r="G3172" t="s">
        <v>13</v>
      </c>
      <c r="H3172" t="s">
        <v>12</v>
      </c>
      <c r="I3172">
        <v>43</v>
      </c>
      <c r="J3172">
        <f>ABS((I3172-EDA!$A$15)/EDA!$B$15)</f>
        <v>7.2015642935854773E-2</v>
      </c>
      <c r="K3172" t="str">
        <f t="shared" si="49"/>
        <v>No</v>
      </c>
      <c r="L3172">
        <f>ABS((C3172-EDA!$F$15)/EDA!$G$15)</f>
        <v>0.36802635519813837</v>
      </c>
      <c r="M3172" t="str">
        <f>IF(moras[[#This Row],[Z-Score Salario]]&gt;1.96, "Sí", "No")</f>
        <v>No</v>
      </c>
      <c r="N3172" s="14">
        <f>IF(ISBLANK(moras[[#This Row],[SALARIO]]), EDA!$M$8, moras[[#This Row],[SALARIO]])</f>
        <v>458371</v>
      </c>
      <c r="O3172" s="14">
        <f xml:space="preserve"> IF(ISBLANK(moras[[#This Row],[EDAD]]), EDA!$E$8, moras[[#This Row],[EDAD]])</f>
        <v>43</v>
      </c>
      <c r="P3172" s="14" t="str">
        <f>IF(
    OR(ISBLANK(moras[[#This Row],[TIPO_ASEGURAMIENTO]]), moras[[#This Row],[TIPO_ASEGURAMIENTO]]=""),
    EDA!$A$32,
    moras[[#This Row],[TIPO_ASEGURAMIENTO]]
)</f>
        <v>ASALARIADO</v>
      </c>
    </row>
    <row r="3173" spans="1:16" x14ac:dyDescent="0.3">
      <c r="A3173">
        <v>3172</v>
      </c>
      <c r="B3173" t="s">
        <v>15</v>
      </c>
      <c r="C3173">
        <v>466740</v>
      </c>
      <c r="D3173" t="s">
        <v>10</v>
      </c>
      <c r="E3173" t="s">
        <v>11</v>
      </c>
      <c r="F3173" t="s">
        <v>12</v>
      </c>
      <c r="G3173" t="s">
        <v>13</v>
      </c>
      <c r="H3173" t="s">
        <v>12</v>
      </c>
      <c r="I3173">
        <v>30</v>
      </c>
      <c r="J3173">
        <f>ABS((I3173-EDA!$A$15)/EDA!$B$15)</f>
        <v>0.84546364806693275</v>
      </c>
      <c r="K3173" t="str">
        <f t="shared" si="49"/>
        <v>No</v>
      </c>
      <c r="L3173">
        <f>ABS((C3173-EDA!$F$15)/EDA!$G$15)</f>
        <v>0.36788708913035917</v>
      </c>
      <c r="M3173" t="str">
        <f>IF(moras[[#This Row],[Z-Score Salario]]&gt;1.96, "Sí", "No")</f>
        <v>No</v>
      </c>
      <c r="N3173" s="14">
        <f>IF(ISBLANK(moras[[#This Row],[SALARIO]]), EDA!$M$8, moras[[#This Row],[SALARIO]])</f>
        <v>466740</v>
      </c>
      <c r="O3173" s="14">
        <f xml:space="preserve"> IF(ISBLANK(moras[[#This Row],[EDAD]]), EDA!$E$8, moras[[#This Row],[EDAD]])</f>
        <v>30</v>
      </c>
      <c r="P3173" s="14" t="str">
        <f>IF(
    OR(ISBLANK(moras[[#This Row],[TIPO_ASEGURAMIENTO]]), moras[[#This Row],[TIPO_ASEGURAMIENTO]]=""),
    EDA!$A$32,
    moras[[#This Row],[TIPO_ASEGURAMIENTO]]
)</f>
        <v>ASALARIADO</v>
      </c>
    </row>
    <row r="3174" spans="1:16" x14ac:dyDescent="0.3">
      <c r="A3174">
        <v>3173</v>
      </c>
      <c r="B3174" t="s">
        <v>9</v>
      </c>
      <c r="C3174">
        <v>41672188</v>
      </c>
      <c r="D3174" t="s">
        <v>10</v>
      </c>
      <c r="E3174" t="s">
        <v>16</v>
      </c>
      <c r="F3174" t="s">
        <v>12</v>
      </c>
      <c r="G3174" t="s">
        <v>13</v>
      </c>
      <c r="H3174" t="s">
        <v>13</v>
      </c>
      <c r="I3174">
        <v>29</v>
      </c>
      <c r="J3174">
        <f>ABS((I3174-EDA!$A$15)/EDA!$B$15)</f>
        <v>0.91603897814407031</v>
      </c>
      <c r="K3174" t="str">
        <f t="shared" si="49"/>
        <v>No</v>
      </c>
      <c r="L3174">
        <f>ABS((C3174-EDA!$F$15)/EDA!$G$15)</f>
        <v>0.31780065301797417</v>
      </c>
      <c r="M3174" t="str">
        <f>IF(moras[[#This Row],[Z-Score Salario]]&gt;1.96, "Sí", "No")</f>
        <v>No</v>
      </c>
      <c r="N3174" s="14">
        <f>IF(ISBLANK(moras[[#This Row],[SALARIO]]), EDA!$M$8, moras[[#This Row],[SALARIO]])</f>
        <v>41672188</v>
      </c>
      <c r="O3174" s="14">
        <f xml:space="preserve"> IF(ISBLANK(moras[[#This Row],[EDAD]]), EDA!$E$8, moras[[#This Row],[EDAD]])</f>
        <v>29</v>
      </c>
      <c r="P3174" s="14" t="str">
        <f>IF(
    OR(ISBLANK(moras[[#This Row],[TIPO_ASEGURAMIENTO]]), moras[[#This Row],[TIPO_ASEGURAMIENTO]]=""),
    EDA!$A$32,
    moras[[#This Row],[TIPO_ASEGURAMIENTO]]
)</f>
        <v>ASALARIADO</v>
      </c>
    </row>
    <row r="3175" spans="1:16" x14ac:dyDescent="0.3">
      <c r="A3175">
        <v>3174</v>
      </c>
      <c r="B3175" t="s">
        <v>9</v>
      </c>
      <c r="C3175">
        <v>51864273</v>
      </c>
      <c r="D3175" t="s">
        <v>10</v>
      </c>
      <c r="E3175" t="s">
        <v>16</v>
      </c>
      <c r="F3175" t="s">
        <v>12</v>
      </c>
      <c r="G3175" t="s">
        <v>12</v>
      </c>
      <c r="H3175" t="s">
        <v>13</v>
      </c>
      <c r="I3175">
        <v>40</v>
      </c>
      <c r="J3175">
        <f>ABS((I3175-EDA!$A$15)/EDA!$B$15)</f>
        <v>0.13971034729555773</v>
      </c>
      <c r="K3175" t="str">
        <f t="shared" si="49"/>
        <v>No</v>
      </c>
      <c r="L3175">
        <f>ABS((C3175-EDA!$F$15)/EDA!$G$15)</f>
        <v>0.48740414213509031</v>
      </c>
      <c r="M3175" t="str">
        <f>IF(moras[[#This Row],[Z-Score Salario]]&gt;1.96, "Sí", "No")</f>
        <v>No</v>
      </c>
      <c r="N3175" s="14">
        <f>IF(ISBLANK(moras[[#This Row],[SALARIO]]), EDA!$M$8, moras[[#This Row],[SALARIO]])</f>
        <v>51864273</v>
      </c>
      <c r="O3175" s="14">
        <f xml:space="preserve"> IF(ISBLANK(moras[[#This Row],[EDAD]]), EDA!$E$8, moras[[#This Row],[EDAD]])</f>
        <v>40</v>
      </c>
      <c r="P3175" s="14" t="str">
        <f>IF(
    OR(ISBLANK(moras[[#This Row],[TIPO_ASEGURAMIENTO]]), moras[[#This Row],[TIPO_ASEGURAMIENTO]]=""),
    EDA!$A$32,
    moras[[#This Row],[TIPO_ASEGURAMIENTO]]
)</f>
        <v>ASALARIADO</v>
      </c>
    </row>
    <row r="3176" spans="1:16" x14ac:dyDescent="0.3">
      <c r="A3176">
        <v>3175</v>
      </c>
      <c r="B3176" t="s">
        <v>9</v>
      </c>
      <c r="C3176">
        <v>297046</v>
      </c>
      <c r="D3176" t="s">
        <v>18</v>
      </c>
      <c r="E3176" t="s">
        <v>16</v>
      </c>
      <c r="F3176" t="s">
        <v>12</v>
      </c>
      <c r="G3176" t="s">
        <v>12</v>
      </c>
      <c r="H3176" t="s">
        <v>12</v>
      </c>
      <c r="I3176">
        <v>36</v>
      </c>
      <c r="J3176">
        <f>ABS((I3176-EDA!$A$15)/EDA!$B$15)</f>
        <v>0.42201166760410774</v>
      </c>
      <c r="K3176" t="str">
        <f t="shared" si="49"/>
        <v>No</v>
      </c>
      <c r="L3176">
        <f>ABS((C3176-EDA!$F$15)/EDA!$G$15)</f>
        <v>0.37071091707942361</v>
      </c>
      <c r="M3176" t="str">
        <f>IF(moras[[#This Row],[Z-Score Salario]]&gt;1.96, "Sí", "No")</f>
        <v>No</v>
      </c>
      <c r="N3176" s="14">
        <f>IF(ISBLANK(moras[[#This Row],[SALARIO]]), EDA!$M$8, moras[[#This Row],[SALARIO]])</f>
        <v>297046</v>
      </c>
      <c r="O3176" s="14">
        <f xml:space="preserve"> IF(ISBLANK(moras[[#This Row],[EDAD]]), EDA!$E$8, moras[[#This Row],[EDAD]])</f>
        <v>36</v>
      </c>
      <c r="P3176" s="14" t="str">
        <f>IF(
    OR(ISBLANK(moras[[#This Row],[TIPO_ASEGURAMIENTO]]), moras[[#This Row],[TIPO_ASEGURAMIENTO]]=""),
    EDA!$A$32,
    moras[[#This Row],[TIPO_ASEGURAMIENTO]]
)</f>
        <v>TRABAJADOR INDEPENDIENTE</v>
      </c>
    </row>
    <row r="3177" spans="1:16" x14ac:dyDescent="0.3">
      <c r="A3177">
        <v>3176</v>
      </c>
      <c r="B3177" t="s">
        <v>9</v>
      </c>
      <c r="C3177">
        <v>326749</v>
      </c>
      <c r="D3177" t="s">
        <v>18</v>
      </c>
      <c r="E3177" t="s">
        <v>16</v>
      </c>
      <c r="F3177" t="s">
        <v>12</v>
      </c>
      <c r="G3177" t="s">
        <v>13</v>
      </c>
      <c r="H3177" t="s">
        <v>12</v>
      </c>
      <c r="I3177">
        <v>50</v>
      </c>
      <c r="J3177">
        <f>ABS((I3177-EDA!$A$15)/EDA!$B$15)</f>
        <v>0.56604295347581735</v>
      </c>
      <c r="K3177" t="str">
        <f t="shared" si="49"/>
        <v>No</v>
      </c>
      <c r="L3177">
        <f>ABS((C3177-EDA!$F$15)/EDA!$G$15)</f>
        <v>0.37021663819171358</v>
      </c>
      <c r="M3177" t="str">
        <f>IF(moras[[#This Row],[Z-Score Salario]]&gt;1.96, "Sí", "No")</f>
        <v>No</v>
      </c>
      <c r="N3177" s="14">
        <f>IF(ISBLANK(moras[[#This Row],[SALARIO]]), EDA!$M$8, moras[[#This Row],[SALARIO]])</f>
        <v>326749</v>
      </c>
      <c r="O3177" s="14">
        <f xml:space="preserve"> IF(ISBLANK(moras[[#This Row],[EDAD]]), EDA!$E$8, moras[[#This Row],[EDAD]])</f>
        <v>50</v>
      </c>
      <c r="P3177" s="14" t="str">
        <f>IF(
    OR(ISBLANK(moras[[#This Row],[TIPO_ASEGURAMIENTO]]), moras[[#This Row],[TIPO_ASEGURAMIENTO]]=""),
    EDA!$A$32,
    moras[[#This Row],[TIPO_ASEGURAMIENTO]]
)</f>
        <v>TRABAJADOR INDEPENDIENTE</v>
      </c>
    </row>
    <row r="3178" spans="1:16" x14ac:dyDescent="0.3">
      <c r="A3178">
        <v>3177</v>
      </c>
      <c r="B3178" t="s">
        <v>15</v>
      </c>
      <c r="C3178">
        <v>70352079</v>
      </c>
      <c r="D3178" t="s">
        <v>10</v>
      </c>
      <c r="E3178" t="s">
        <v>16</v>
      </c>
      <c r="F3178" t="s">
        <v>12</v>
      </c>
      <c r="G3178" t="s">
        <v>13</v>
      </c>
      <c r="H3178" t="s">
        <v>13</v>
      </c>
      <c r="I3178">
        <v>36</v>
      </c>
      <c r="J3178">
        <f>ABS((I3178-EDA!$A$15)/EDA!$B$15)</f>
        <v>0.42201166760410774</v>
      </c>
      <c r="K3178" t="str">
        <f t="shared" si="49"/>
        <v>No</v>
      </c>
      <c r="L3178">
        <f>ABS((C3178-EDA!$F$15)/EDA!$G$15)</f>
        <v>0.79505428474284479</v>
      </c>
      <c r="M3178" t="str">
        <f>IF(moras[[#This Row],[Z-Score Salario]]&gt;1.96, "Sí", "No")</f>
        <v>No</v>
      </c>
      <c r="N3178" s="14">
        <f>IF(ISBLANK(moras[[#This Row],[SALARIO]]), EDA!$M$8, moras[[#This Row],[SALARIO]])</f>
        <v>70352079</v>
      </c>
      <c r="O3178" s="14">
        <f xml:space="preserve"> IF(ISBLANK(moras[[#This Row],[EDAD]]), EDA!$E$8, moras[[#This Row],[EDAD]])</f>
        <v>36</v>
      </c>
      <c r="P3178" s="14" t="str">
        <f>IF(
    OR(ISBLANK(moras[[#This Row],[TIPO_ASEGURAMIENTO]]), moras[[#This Row],[TIPO_ASEGURAMIENTO]]=""),
    EDA!$A$32,
    moras[[#This Row],[TIPO_ASEGURAMIENTO]]
)</f>
        <v>ASALARIADO</v>
      </c>
    </row>
    <row r="3179" spans="1:16" x14ac:dyDescent="0.3">
      <c r="A3179">
        <v>3178</v>
      </c>
      <c r="B3179" t="s">
        <v>9</v>
      </c>
      <c r="C3179">
        <v>360000</v>
      </c>
      <c r="D3179" t="s">
        <v>10</v>
      </c>
      <c r="E3179" t="s">
        <v>16</v>
      </c>
      <c r="F3179" t="s">
        <v>12</v>
      </c>
      <c r="G3179" t="s">
        <v>13</v>
      </c>
      <c r="H3179" t="s">
        <v>13</v>
      </c>
      <c r="I3179">
        <v>23</v>
      </c>
      <c r="J3179">
        <f>ABS((I3179-EDA!$A$15)/EDA!$B$15)</f>
        <v>1.3394909586068953</v>
      </c>
      <c r="K3179" t="str">
        <f t="shared" si="49"/>
        <v>No</v>
      </c>
      <c r="L3179">
        <f>ABS((C3179-EDA!$F$15)/EDA!$G$15)</f>
        <v>0.36966331807942709</v>
      </c>
      <c r="M3179" t="str">
        <f>IF(moras[[#This Row],[Z-Score Salario]]&gt;1.96, "Sí", "No")</f>
        <v>No</v>
      </c>
      <c r="N3179" s="14">
        <f>IF(ISBLANK(moras[[#This Row],[SALARIO]]), EDA!$M$8, moras[[#This Row],[SALARIO]])</f>
        <v>360000</v>
      </c>
      <c r="O3179" s="14">
        <f xml:space="preserve"> IF(ISBLANK(moras[[#This Row],[EDAD]]), EDA!$E$8, moras[[#This Row],[EDAD]])</f>
        <v>23</v>
      </c>
      <c r="P3179" s="14" t="str">
        <f>IF(
    OR(ISBLANK(moras[[#This Row],[TIPO_ASEGURAMIENTO]]), moras[[#This Row],[TIPO_ASEGURAMIENTO]]=""),
    EDA!$A$32,
    moras[[#This Row],[TIPO_ASEGURAMIENTO]]
)</f>
        <v>ASALARIADO</v>
      </c>
    </row>
    <row r="3180" spans="1:16" x14ac:dyDescent="0.3">
      <c r="A3180">
        <v>3179</v>
      </c>
      <c r="B3180" t="s">
        <v>15</v>
      </c>
      <c r="C3180">
        <v>1251585</v>
      </c>
      <c r="D3180" t="s">
        <v>10</v>
      </c>
      <c r="E3180" t="s">
        <v>11</v>
      </c>
      <c r="F3180" t="s">
        <v>12</v>
      </c>
      <c r="G3180" t="s">
        <v>13</v>
      </c>
      <c r="H3180" t="s">
        <v>12</v>
      </c>
      <c r="I3180">
        <v>50</v>
      </c>
      <c r="J3180">
        <f>ABS((I3180-EDA!$A$15)/EDA!$B$15)</f>
        <v>0.56604295347581735</v>
      </c>
      <c r="K3180" t="str">
        <f t="shared" si="49"/>
        <v>No</v>
      </c>
      <c r="L3180">
        <f>ABS((C3180-EDA!$F$15)/EDA!$G$15)</f>
        <v>0.35482671429870083</v>
      </c>
      <c r="M3180" t="str">
        <f>IF(moras[[#This Row],[Z-Score Salario]]&gt;1.96, "Sí", "No")</f>
        <v>No</v>
      </c>
      <c r="N3180" s="14">
        <f>IF(ISBLANK(moras[[#This Row],[SALARIO]]), EDA!$M$8, moras[[#This Row],[SALARIO]])</f>
        <v>1251585</v>
      </c>
      <c r="O3180" s="14">
        <f xml:space="preserve"> IF(ISBLANK(moras[[#This Row],[EDAD]]), EDA!$E$8, moras[[#This Row],[EDAD]])</f>
        <v>50</v>
      </c>
      <c r="P3180" s="14" t="str">
        <f>IF(
    OR(ISBLANK(moras[[#This Row],[TIPO_ASEGURAMIENTO]]), moras[[#This Row],[TIPO_ASEGURAMIENTO]]=""),
    EDA!$A$32,
    moras[[#This Row],[TIPO_ASEGURAMIENTO]]
)</f>
        <v>ASALARIADO</v>
      </c>
    </row>
    <row r="3181" spans="1:16" x14ac:dyDescent="0.3">
      <c r="A3181">
        <v>3180</v>
      </c>
      <c r="B3181" t="s">
        <v>15</v>
      </c>
      <c r="C3181">
        <v>278030</v>
      </c>
      <c r="D3181" t="s">
        <v>19</v>
      </c>
      <c r="E3181" t="s">
        <v>16</v>
      </c>
      <c r="F3181" t="s">
        <v>12</v>
      </c>
      <c r="G3181" t="s">
        <v>13</v>
      </c>
      <c r="H3181" t="s">
        <v>13</v>
      </c>
      <c r="I3181">
        <v>35</v>
      </c>
      <c r="J3181">
        <f>ABS((I3181-EDA!$A$15)/EDA!$B$15)</f>
        <v>0.49258699768124525</v>
      </c>
      <c r="K3181" t="str">
        <f t="shared" si="49"/>
        <v>No</v>
      </c>
      <c r="L3181">
        <f>ABS((C3181-EDA!$F$15)/EDA!$G$15)</f>
        <v>0.37102735674304993</v>
      </c>
      <c r="M3181" t="str">
        <f>IF(moras[[#This Row],[Z-Score Salario]]&gt;1.96, "Sí", "No")</f>
        <v>No</v>
      </c>
      <c r="N3181" s="14">
        <f>IF(ISBLANK(moras[[#This Row],[SALARIO]]), EDA!$M$8, moras[[#This Row],[SALARIO]])</f>
        <v>278030</v>
      </c>
      <c r="O3181" s="14">
        <f xml:space="preserve"> IF(ISBLANK(moras[[#This Row],[EDAD]]), EDA!$E$8, moras[[#This Row],[EDAD]])</f>
        <v>35</v>
      </c>
      <c r="P3181" s="14" t="str">
        <f>IF(
    OR(ISBLANK(moras[[#This Row],[TIPO_ASEGURAMIENTO]]), moras[[#This Row],[TIPO_ASEGURAMIENTO]]=""),
    EDA!$A$32,
    moras[[#This Row],[TIPO_ASEGURAMIENTO]]
)</f>
        <v>CONVENIOS ESPECIALES DE TRABAJADORES INDEPENDIENTES</v>
      </c>
    </row>
    <row r="3182" spans="1:16" x14ac:dyDescent="0.3">
      <c r="A3182">
        <v>3181</v>
      </c>
      <c r="B3182" t="s">
        <v>15</v>
      </c>
      <c r="C3182">
        <v>473621</v>
      </c>
      <c r="D3182" t="s">
        <v>10</v>
      </c>
      <c r="E3182" t="s">
        <v>11</v>
      </c>
      <c r="F3182" t="s">
        <v>12</v>
      </c>
      <c r="G3182" t="s">
        <v>13</v>
      </c>
      <c r="H3182" t="s">
        <v>12</v>
      </c>
      <c r="I3182">
        <v>48</v>
      </c>
      <c r="J3182">
        <f>ABS((I3182-EDA!$A$15)/EDA!$B$15)</f>
        <v>0.42489229332154227</v>
      </c>
      <c r="K3182" t="str">
        <f t="shared" si="49"/>
        <v>No</v>
      </c>
      <c r="L3182">
        <f>ABS((C3182-EDA!$F$15)/EDA!$G$15)</f>
        <v>0.36777258443297739</v>
      </c>
      <c r="M3182" t="str">
        <f>IF(moras[[#This Row],[Z-Score Salario]]&gt;1.96, "Sí", "No")</f>
        <v>No</v>
      </c>
      <c r="N3182" s="14">
        <f>IF(ISBLANK(moras[[#This Row],[SALARIO]]), EDA!$M$8, moras[[#This Row],[SALARIO]])</f>
        <v>473621</v>
      </c>
      <c r="O3182" s="14">
        <f xml:space="preserve"> IF(ISBLANK(moras[[#This Row],[EDAD]]), EDA!$E$8, moras[[#This Row],[EDAD]])</f>
        <v>48</v>
      </c>
      <c r="P3182" s="14" t="str">
        <f>IF(
    OR(ISBLANK(moras[[#This Row],[TIPO_ASEGURAMIENTO]]), moras[[#This Row],[TIPO_ASEGURAMIENTO]]=""),
    EDA!$A$32,
    moras[[#This Row],[TIPO_ASEGURAMIENTO]]
)</f>
        <v>ASALARIADO</v>
      </c>
    </row>
    <row r="3183" spans="1:16" x14ac:dyDescent="0.3">
      <c r="A3183">
        <v>3182</v>
      </c>
      <c r="B3183" t="s">
        <v>9</v>
      </c>
      <c r="C3183">
        <v>559000</v>
      </c>
      <c r="D3183" t="s">
        <v>10</v>
      </c>
      <c r="E3183" t="s">
        <v>16</v>
      </c>
      <c r="F3183" t="s">
        <v>12</v>
      </c>
      <c r="G3183" t="s">
        <v>13</v>
      </c>
      <c r="H3183" t="s">
        <v>13</v>
      </c>
      <c r="I3183">
        <v>33</v>
      </c>
      <c r="J3183">
        <f>ABS((I3183-EDA!$A$15)/EDA!$B$15)</f>
        <v>0.63373765783552027</v>
      </c>
      <c r="K3183" t="str">
        <f t="shared" si="49"/>
        <v>No</v>
      </c>
      <c r="L3183">
        <f>ABS((C3183-EDA!$F$15)/EDA!$G$15)</f>
        <v>0.36635181760289987</v>
      </c>
      <c r="M3183" t="str">
        <f>IF(moras[[#This Row],[Z-Score Salario]]&gt;1.96, "Sí", "No")</f>
        <v>No</v>
      </c>
      <c r="N3183" s="14">
        <f>IF(ISBLANK(moras[[#This Row],[SALARIO]]), EDA!$M$8, moras[[#This Row],[SALARIO]])</f>
        <v>559000</v>
      </c>
      <c r="O3183" s="14">
        <f xml:space="preserve"> IF(ISBLANK(moras[[#This Row],[EDAD]]), EDA!$E$8, moras[[#This Row],[EDAD]])</f>
        <v>33</v>
      </c>
      <c r="P3183" s="14" t="str">
        <f>IF(
    OR(ISBLANK(moras[[#This Row],[TIPO_ASEGURAMIENTO]]), moras[[#This Row],[TIPO_ASEGURAMIENTO]]=""),
    EDA!$A$32,
    moras[[#This Row],[TIPO_ASEGURAMIENTO]]
)</f>
        <v>ASALARIADO</v>
      </c>
    </row>
    <row r="3184" spans="1:16" x14ac:dyDescent="0.3">
      <c r="A3184">
        <v>3183</v>
      </c>
      <c r="B3184" t="s">
        <v>9</v>
      </c>
      <c r="C3184">
        <v>484144</v>
      </c>
      <c r="D3184" t="s">
        <v>10</v>
      </c>
      <c r="E3184" t="s">
        <v>16</v>
      </c>
      <c r="F3184" t="s">
        <v>12</v>
      </c>
      <c r="G3184" t="s">
        <v>13</v>
      </c>
      <c r="H3184" t="s">
        <v>13</v>
      </c>
      <c r="I3184">
        <v>46</v>
      </c>
      <c r="J3184">
        <f>ABS((I3184-EDA!$A$15)/EDA!$B$15)</f>
        <v>0.2837416331672673</v>
      </c>
      <c r="K3184" t="str">
        <f t="shared" si="49"/>
        <v>No</v>
      </c>
      <c r="L3184">
        <f>ABS((C3184-EDA!$F$15)/EDA!$G$15)</f>
        <v>0.36759747428466333</v>
      </c>
      <c r="M3184" t="str">
        <f>IF(moras[[#This Row],[Z-Score Salario]]&gt;1.96, "Sí", "No")</f>
        <v>No</v>
      </c>
      <c r="N3184" s="14">
        <f>IF(ISBLANK(moras[[#This Row],[SALARIO]]), EDA!$M$8, moras[[#This Row],[SALARIO]])</f>
        <v>484144</v>
      </c>
      <c r="O3184" s="14">
        <f xml:space="preserve"> IF(ISBLANK(moras[[#This Row],[EDAD]]), EDA!$E$8, moras[[#This Row],[EDAD]])</f>
        <v>46</v>
      </c>
      <c r="P3184" s="14" t="str">
        <f>IF(
    OR(ISBLANK(moras[[#This Row],[TIPO_ASEGURAMIENTO]]), moras[[#This Row],[TIPO_ASEGURAMIENTO]]=""),
    EDA!$A$32,
    moras[[#This Row],[TIPO_ASEGURAMIENTO]]
)</f>
        <v>ASALARIADO</v>
      </c>
    </row>
    <row r="3185" spans="1:16" x14ac:dyDescent="0.3">
      <c r="A3185">
        <v>3184</v>
      </c>
      <c r="B3185" t="s">
        <v>15</v>
      </c>
      <c r="C3185">
        <v>278030</v>
      </c>
      <c r="D3185" t="s">
        <v>17</v>
      </c>
      <c r="E3185" t="s">
        <v>16</v>
      </c>
      <c r="F3185" t="s">
        <v>12</v>
      </c>
      <c r="G3185" t="s">
        <v>13</v>
      </c>
      <c r="H3185" t="s">
        <v>13</v>
      </c>
      <c r="I3185">
        <v>26</v>
      </c>
      <c r="J3185">
        <f>ABS((I3185-EDA!$A$15)/EDA!$B$15)</f>
        <v>1.1277649683754829</v>
      </c>
      <c r="K3185" t="str">
        <f t="shared" si="49"/>
        <v>No</v>
      </c>
      <c r="L3185">
        <f>ABS((C3185-EDA!$F$15)/EDA!$G$15)</f>
        <v>0.37102735674304993</v>
      </c>
      <c r="M3185" t="str">
        <f>IF(moras[[#This Row],[Z-Score Salario]]&gt;1.96, "Sí", "No")</f>
        <v>No</v>
      </c>
      <c r="N3185" s="14">
        <f>IF(ISBLANK(moras[[#This Row],[SALARIO]]), EDA!$M$8, moras[[#This Row],[SALARIO]])</f>
        <v>278030</v>
      </c>
      <c r="O3185" s="14">
        <f xml:space="preserve"> IF(ISBLANK(moras[[#This Row],[EDAD]]), EDA!$E$8, moras[[#This Row],[EDAD]])</f>
        <v>26</v>
      </c>
      <c r="P3185" s="14" t="str">
        <f>IF(
    OR(ISBLANK(moras[[#This Row],[TIPO_ASEGURAMIENTO]]), moras[[#This Row],[TIPO_ASEGURAMIENTO]]=""),
    EDA!$A$32,
    moras[[#This Row],[TIPO_ASEGURAMIENTO]]
)</f>
        <v>ASEGURADO VOLUNTARIO</v>
      </c>
    </row>
    <row r="3186" spans="1:16" x14ac:dyDescent="0.3">
      <c r="A3186">
        <v>3185</v>
      </c>
      <c r="B3186" t="s">
        <v>9</v>
      </c>
      <c r="C3186">
        <v>1000000</v>
      </c>
      <c r="D3186" t="s">
        <v>10</v>
      </c>
      <c r="E3186" t="s">
        <v>16</v>
      </c>
      <c r="F3186" t="s">
        <v>12</v>
      </c>
      <c r="G3186" t="s">
        <v>13</v>
      </c>
      <c r="H3186" t="s">
        <v>13</v>
      </c>
      <c r="I3186">
        <v>24</v>
      </c>
      <c r="J3186">
        <f>ABS((I3186-EDA!$A$15)/EDA!$B$15)</f>
        <v>1.2689156285297578</v>
      </c>
      <c r="K3186" t="str">
        <f t="shared" si="49"/>
        <v>No</v>
      </c>
      <c r="L3186">
        <f>ABS((C3186-EDA!$F$15)/EDA!$G$15)</f>
        <v>0.35901326629562091</v>
      </c>
      <c r="M3186" t="str">
        <f>IF(moras[[#This Row],[Z-Score Salario]]&gt;1.96, "Sí", "No")</f>
        <v>No</v>
      </c>
      <c r="N3186" s="14">
        <f>IF(ISBLANK(moras[[#This Row],[SALARIO]]), EDA!$M$8, moras[[#This Row],[SALARIO]])</f>
        <v>1000000</v>
      </c>
      <c r="O3186" s="14">
        <f xml:space="preserve"> IF(ISBLANK(moras[[#This Row],[EDAD]]), EDA!$E$8, moras[[#This Row],[EDAD]])</f>
        <v>24</v>
      </c>
      <c r="P3186" s="14" t="str">
        <f>IF(
    OR(ISBLANK(moras[[#This Row],[TIPO_ASEGURAMIENTO]]), moras[[#This Row],[TIPO_ASEGURAMIENTO]]=""),
    EDA!$A$32,
    moras[[#This Row],[TIPO_ASEGURAMIENTO]]
)</f>
        <v>ASALARIADO</v>
      </c>
    </row>
    <row r="3187" spans="1:16" x14ac:dyDescent="0.3">
      <c r="A3187">
        <v>3186</v>
      </c>
      <c r="B3187" t="s">
        <v>9</v>
      </c>
      <c r="C3187">
        <v>5328969</v>
      </c>
      <c r="D3187" t="s">
        <v>10</v>
      </c>
      <c r="E3187" t="s">
        <v>11</v>
      </c>
      <c r="F3187" t="s">
        <v>12</v>
      </c>
      <c r="G3187" t="s">
        <v>13</v>
      </c>
      <c r="H3187" t="s">
        <v>13</v>
      </c>
      <c r="I3187">
        <v>35</v>
      </c>
      <c r="J3187">
        <f>ABS((I3187-EDA!$A$15)/EDA!$B$15)</f>
        <v>0.49258699768124525</v>
      </c>
      <c r="K3187" t="str">
        <f t="shared" si="49"/>
        <v>No</v>
      </c>
      <c r="L3187">
        <f>ABS((C3187-EDA!$F$15)/EDA!$G$15)</f>
        <v>0.28697616626360262</v>
      </c>
      <c r="M3187" t="str">
        <f>IF(moras[[#This Row],[Z-Score Salario]]&gt;1.96, "Sí", "No")</f>
        <v>No</v>
      </c>
      <c r="N3187" s="14">
        <f>IF(ISBLANK(moras[[#This Row],[SALARIO]]), EDA!$M$8, moras[[#This Row],[SALARIO]])</f>
        <v>5328969</v>
      </c>
      <c r="O3187" s="14">
        <f xml:space="preserve"> IF(ISBLANK(moras[[#This Row],[EDAD]]), EDA!$E$8, moras[[#This Row],[EDAD]])</f>
        <v>35</v>
      </c>
      <c r="P3187" s="14" t="str">
        <f>IF(
    OR(ISBLANK(moras[[#This Row],[TIPO_ASEGURAMIENTO]]), moras[[#This Row],[TIPO_ASEGURAMIENTO]]=""),
    EDA!$A$32,
    moras[[#This Row],[TIPO_ASEGURAMIENTO]]
)</f>
        <v>ASALARIADO</v>
      </c>
    </row>
    <row r="3188" spans="1:16" x14ac:dyDescent="0.3">
      <c r="A3188">
        <v>3187</v>
      </c>
      <c r="B3188" t="s">
        <v>9</v>
      </c>
      <c r="C3188">
        <v>9144043</v>
      </c>
      <c r="D3188" t="s">
        <v>10</v>
      </c>
      <c r="E3188" t="s">
        <v>16</v>
      </c>
      <c r="F3188" t="s">
        <v>12</v>
      </c>
      <c r="G3188" t="s">
        <v>13</v>
      </c>
      <c r="H3188" t="s">
        <v>13</v>
      </c>
      <c r="I3188">
        <v>29</v>
      </c>
      <c r="J3188">
        <f>ABS((I3188-EDA!$A$15)/EDA!$B$15)</f>
        <v>0.91603897814407031</v>
      </c>
      <c r="K3188" t="str">
        <f t="shared" si="49"/>
        <v>No</v>
      </c>
      <c r="L3188">
        <f>ABS((C3188-EDA!$F$15)/EDA!$G$15)</f>
        <v>0.22349064179633291</v>
      </c>
      <c r="M3188" t="str">
        <f>IF(moras[[#This Row],[Z-Score Salario]]&gt;1.96, "Sí", "No")</f>
        <v>No</v>
      </c>
      <c r="N3188" s="14">
        <f>IF(ISBLANK(moras[[#This Row],[SALARIO]]), EDA!$M$8, moras[[#This Row],[SALARIO]])</f>
        <v>9144043</v>
      </c>
      <c r="O3188" s="14">
        <f xml:space="preserve"> IF(ISBLANK(moras[[#This Row],[EDAD]]), EDA!$E$8, moras[[#This Row],[EDAD]])</f>
        <v>29</v>
      </c>
      <c r="P3188" s="14" t="str">
        <f>IF(
    OR(ISBLANK(moras[[#This Row],[TIPO_ASEGURAMIENTO]]), moras[[#This Row],[TIPO_ASEGURAMIENTO]]=""),
    EDA!$A$32,
    moras[[#This Row],[TIPO_ASEGURAMIENTO]]
)</f>
        <v>ASALARIADO</v>
      </c>
    </row>
    <row r="3189" spans="1:16" x14ac:dyDescent="0.3">
      <c r="A3189">
        <v>3188</v>
      </c>
      <c r="B3189" t="s">
        <v>9</v>
      </c>
      <c r="C3189">
        <v>680960</v>
      </c>
      <c r="D3189" t="s">
        <v>10</v>
      </c>
      <c r="E3189" t="s">
        <v>11</v>
      </c>
      <c r="F3189" t="s">
        <v>12</v>
      </c>
      <c r="G3189" t="s">
        <v>13</v>
      </c>
      <c r="H3189" t="s">
        <v>13</v>
      </c>
      <c r="I3189">
        <v>32</v>
      </c>
      <c r="J3189">
        <f>ABS((I3189-EDA!$A$15)/EDA!$B$15)</f>
        <v>0.70431298791265773</v>
      </c>
      <c r="K3189" t="str">
        <f t="shared" si="49"/>
        <v>No</v>
      </c>
      <c r="L3189">
        <f>ABS((C3189-EDA!$F$15)/EDA!$G$15)</f>
        <v>0.3643223171098483</v>
      </c>
      <c r="M3189" t="str">
        <f>IF(moras[[#This Row],[Z-Score Salario]]&gt;1.96, "Sí", "No")</f>
        <v>No</v>
      </c>
      <c r="N3189" s="14">
        <f>IF(ISBLANK(moras[[#This Row],[SALARIO]]), EDA!$M$8, moras[[#This Row],[SALARIO]])</f>
        <v>680960</v>
      </c>
      <c r="O3189" s="14">
        <f xml:space="preserve"> IF(ISBLANK(moras[[#This Row],[EDAD]]), EDA!$E$8, moras[[#This Row],[EDAD]])</f>
        <v>32</v>
      </c>
      <c r="P3189" s="14" t="str">
        <f>IF(
    OR(ISBLANK(moras[[#This Row],[TIPO_ASEGURAMIENTO]]), moras[[#This Row],[TIPO_ASEGURAMIENTO]]=""),
    EDA!$A$32,
    moras[[#This Row],[TIPO_ASEGURAMIENTO]]
)</f>
        <v>ASALARIADO</v>
      </c>
    </row>
    <row r="3190" spans="1:16" x14ac:dyDescent="0.3">
      <c r="A3190">
        <v>3189</v>
      </c>
      <c r="B3190" t="s">
        <v>9</v>
      </c>
      <c r="C3190">
        <v>40925603</v>
      </c>
      <c r="D3190" t="s">
        <v>10</v>
      </c>
      <c r="E3190" t="s">
        <v>16</v>
      </c>
      <c r="F3190" t="s">
        <v>12</v>
      </c>
      <c r="G3190" t="s">
        <v>13</v>
      </c>
      <c r="H3190" t="s">
        <v>13</v>
      </c>
      <c r="I3190">
        <v>34</v>
      </c>
      <c r="J3190">
        <f>ABS((I3190-EDA!$A$15)/EDA!$B$15)</f>
        <v>0.56316232775838282</v>
      </c>
      <c r="K3190" t="str">
        <f t="shared" si="49"/>
        <v>No</v>
      </c>
      <c r="L3190">
        <f>ABS((C3190-EDA!$F$15)/EDA!$G$15)</f>
        <v>0.30537695159451644</v>
      </c>
      <c r="M3190" t="str">
        <f>IF(moras[[#This Row],[Z-Score Salario]]&gt;1.96, "Sí", "No")</f>
        <v>No</v>
      </c>
      <c r="N3190" s="14">
        <f>IF(ISBLANK(moras[[#This Row],[SALARIO]]), EDA!$M$8, moras[[#This Row],[SALARIO]])</f>
        <v>40925603</v>
      </c>
      <c r="O3190" s="14">
        <f xml:space="preserve"> IF(ISBLANK(moras[[#This Row],[EDAD]]), EDA!$E$8, moras[[#This Row],[EDAD]])</f>
        <v>34</v>
      </c>
      <c r="P3190" s="14" t="str">
        <f>IF(
    OR(ISBLANK(moras[[#This Row],[TIPO_ASEGURAMIENTO]]), moras[[#This Row],[TIPO_ASEGURAMIENTO]]=""),
    EDA!$A$32,
    moras[[#This Row],[TIPO_ASEGURAMIENTO]]
)</f>
        <v>ASALARIADO</v>
      </c>
    </row>
    <row r="3191" spans="1:16" x14ac:dyDescent="0.3">
      <c r="A3191">
        <v>3190</v>
      </c>
      <c r="B3191" t="s">
        <v>15</v>
      </c>
      <c r="C3191">
        <v>297045</v>
      </c>
      <c r="D3191" t="s">
        <v>18</v>
      </c>
      <c r="E3191" t="s">
        <v>16</v>
      </c>
      <c r="F3191" t="s">
        <v>12</v>
      </c>
      <c r="G3191" t="s">
        <v>13</v>
      </c>
      <c r="H3191" t="s">
        <v>13</v>
      </c>
      <c r="I3191">
        <v>39</v>
      </c>
      <c r="J3191">
        <f>ABS((I3191-EDA!$A$15)/EDA!$B$15)</f>
        <v>0.21028567737269524</v>
      </c>
      <c r="K3191" t="str">
        <f t="shared" si="49"/>
        <v>No</v>
      </c>
      <c r="L3191">
        <f>ABS((C3191-EDA!$F$15)/EDA!$G$15)</f>
        <v>0.37071093372012948</v>
      </c>
      <c r="M3191" t="str">
        <f>IF(moras[[#This Row],[Z-Score Salario]]&gt;1.96, "Sí", "No")</f>
        <v>No</v>
      </c>
      <c r="N3191" s="14">
        <f>IF(ISBLANK(moras[[#This Row],[SALARIO]]), EDA!$M$8, moras[[#This Row],[SALARIO]])</f>
        <v>297045</v>
      </c>
      <c r="O3191" s="14">
        <f xml:space="preserve"> IF(ISBLANK(moras[[#This Row],[EDAD]]), EDA!$E$8, moras[[#This Row],[EDAD]])</f>
        <v>39</v>
      </c>
      <c r="P3191" s="14" t="str">
        <f>IF(
    OR(ISBLANK(moras[[#This Row],[TIPO_ASEGURAMIENTO]]), moras[[#This Row],[TIPO_ASEGURAMIENTO]]=""),
    EDA!$A$32,
    moras[[#This Row],[TIPO_ASEGURAMIENTO]]
)</f>
        <v>TRABAJADOR INDEPENDIENTE</v>
      </c>
    </row>
    <row r="3192" spans="1:16" x14ac:dyDescent="0.3">
      <c r="A3192">
        <v>3191</v>
      </c>
      <c r="B3192" t="s">
        <v>9</v>
      </c>
      <c r="C3192">
        <v>278030</v>
      </c>
      <c r="D3192" t="s">
        <v>19</v>
      </c>
      <c r="E3192" t="s">
        <v>16</v>
      </c>
      <c r="F3192" t="s">
        <v>12</v>
      </c>
      <c r="G3192" t="s">
        <v>13</v>
      </c>
      <c r="H3192" t="s">
        <v>13</v>
      </c>
      <c r="I3192">
        <v>45</v>
      </c>
      <c r="J3192">
        <f>ABS((I3192-EDA!$A$15)/EDA!$B$15)</f>
        <v>0.21316630309012977</v>
      </c>
      <c r="K3192" t="str">
        <f t="shared" si="49"/>
        <v>No</v>
      </c>
      <c r="L3192">
        <f>ABS((C3192-EDA!$F$15)/EDA!$G$15)</f>
        <v>0.37102735674304993</v>
      </c>
      <c r="M3192" t="str">
        <f>IF(moras[[#This Row],[Z-Score Salario]]&gt;1.96, "Sí", "No")</f>
        <v>No</v>
      </c>
      <c r="N3192" s="14">
        <f>IF(ISBLANK(moras[[#This Row],[SALARIO]]), EDA!$M$8, moras[[#This Row],[SALARIO]])</f>
        <v>278030</v>
      </c>
      <c r="O3192" s="14">
        <f xml:space="preserve"> IF(ISBLANK(moras[[#This Row],[EDAD]]), EDA!$E$8, moras[[#This Row],[EDAD]])</f>
        <v>45</v>
      </c>
      <c r="P3192" s="14" t="str">
        <f>IF(
    OR(ISBLANK(moras[[#This Row],[TIPO_ASEGURAMIENTO]]), moras[[#This Row],[TIPO_ASEGURAMIENTO]]=""),
    EDA!$A$32,
    moras[[#This Row],[TIPO_ASEGURAMIENTO]]
)</f>
        <v>CONVENIOS ESPECIALES DE TRABAJADORES INDEPENDIENTES</v>
      </c>
    </row>
    <row r="3193" spans="1:16" x14ac:dyDescent="0.3">
      <c r="A3193">
        <v>3192</v>
      </c>
      <c r="B3193" t="s">
        <v>9</v>
      </c>
      <c r="C3193">
        <v>7623596</v>
      </c>
      <c r="D3193" t="s">
        <v>10</v>
      </c>
      <c r="E3193" t="s">
        <v>16</v>
      </c>
      <c r="F3193" t="s">
        <v>12</v>
      </c>
      <c r="G3193" t="s">
        <v>13</v>
      </c>
      <c r="H3193" t="s">
        <v>13</v>
      </c>
      <c r="I3193">
        <v>34</v>
      </c>
      <c r="J3193">
        <f>ABS((I3193-EDA!$A$15)/EDA!$B$15)</f>
        <v>0.56316232775838282</v>
      </c>
      <c r="K3193" t="str">
        <f t="shared" si="49"/>
        <v>No</v>
      </c>
      <c r="L3193">
        <f>ABS((C3193-EDA!$F$15)/EDA!$G$15)</f>
        <v>0.24879195317841535</v>
      </c>
      <c r="M3193" t="str">
        <f>IF(moras[[#This Row],[Z-Score Salario]]&gt;1.96, "Sí", "No")</f>
        <v>No</v>
      </c>
      <c r="N3193" s="14">
        <f>IF(ISBLANK(moras[[#This Row],[SALARIO]]), EDA!$M$8, moras[[#This Row],[SALARIO]])</f>
        <v>7623596</v>
      </c>
      <c r="O3193" s="14">
        <f xml:space="preserve"> IF(ISBLANK(moras[[#This Row],[EDAD]]), EDA!$E$8, moras[[#This Row],[EDAD]])</f>
        <v>34</v>
      </c>
      <c r="P3193" s="14" t="str">
        <f>IF(
    OR(ISBLANK(moras[[#This Row],[TIPO_ASEGURAMIENTO]]), moras[[#This Row],[TIPO_ASEGURAMIENTO]]=""),
    EDA!$A$32,
    moras[[#This Row],[TIPO_ASEGURAMIENTO]]
)</f>
        <v>ASALARIADO</v>
      </c>
    </row>
    <row r="3194" spans="1:16" x14ac:dyDescent="0.3">
      <c r="A3194">
        <v>3193</v>
      </c>
      <c r="B3194" t="s">
        <v>15</v>
      </c>
      <c r="C3194">
        <v>639148</v>
      </c>
      <c r="D3194" t="s">
        <v>18</v>
      </c>
      <c r="E3194" t="s">
        <v>16</v>
      </c>
      <c r="F3194" t="s">
        <v>12</v>
      </c>
      <c r="G3194" t="s">
        <v>13</v>
      </c>
      <c r="H3194" t="s">
        <v>12</v>
      </c>
      <c r="I3194">
        <v>74</v>
      </c>
      <c r="J3194">
        <f>ABS((I3194-EDA!$A$15)/EDA!$B$15)</f>
        <v>2.2598508753271176</v>
      </c>
      <c r="K3194" t="str">
        <f t="shared" si="49"/>
        <v>Sí</v>
      </c>
      <c r="L3194">
        <f>ABS((C3194-EDA!$F$15)/EDA!$G$15)</f>
        <v>0.36501809830544912</v>
      </c>
      <c r="M3194" t="str">
        <f>IF(moras[[#This Row],[Z-Score Salario]]&gt;1.96, "Sí", "No")</f>
        <v>No</v>
      </c>
      <c r="N3194" s="14">
        <f>IF(ISBLANK(moras[[#This Row],[SALARIO]]), EDA!$M$8, moras[[#This Row],[SALARIO]])</f>
        <v>639148</v>
      </c>
      <c r="O3194" s="14">
        <f xml:space="preserve"> IF(ISBLANK(moras[[#This Row],[EDAD]]), EDA!$E$8, moras[[#This Row],[EDAD]])</f>
        <v>74</v>
      </c>
      <c r="P3194" s="14" t="str">
        <f>IF(
    OR(ISBLANK(moras[[#This Row],[TIPO_ASEGURAMIENTO]]), moras[[#This Row],[TIPO_ASEGURAMIENTO]]=""),
    EDA!$A$32,
    moras[[#This Row],[TIPO_ASEGURAMIENTO]]
)</f>
        <v>TRABAJADOR INDEPENDIENTE</v>
      </c>
    </row>
    <row r="3195" spans="1:16" x14ac:dyDescent="0.3">
      <c r="A3195">
        <v>3194</v>
      </c>
      <c r="B3195" t="s">
        <v>9</v>
      </c>
      <c r="C3195">
        <v>4104952</v>
      </c>
      <c r="D3195" t="s">
        <v>10</v>
      </c>
      <c r="E3195" t="s">
        <v>16</v>
      </c>
      <c r="F3195" t="s">
        <v>12</v>
      </c>
      <c r="G3195" t="s">
        <v>12</v>
      </c>
      <c r="H3195" t="s">
        <v>12</v>
      </c>
      <c r="I3195">
        <v>29</v>
      </c>
      <c r="J3195">
        <f>ABS((I3195-EDA!$A$15)/EDA!$B$15)</f>
        <v>0.91603897814407031</v>
      </c>
      <c r="K3195" t="str">
        <f t="shared" si="49"/>
        <v>No</v>
      </c>
      <c r="L3195">
        <f>ABS((C3195-EDA!$F$15)/EDA!$G$15)</f>
        <v>0.30734467319213249</v>
      </c>
      <c r="M3195" t="str">
        <f>IF(moras[[#This Row],[Z-Score Salario]]&gt;1.96, "Sí", "No")</f>
        <v>No</v>
      </c>
      <c r="N3195" s="14">
        <f>IF(ISBLANK(moras[[#This Row],[SALARIO]]), EDA!$M$8, moras[[#This Row],[SALARIO]])</f>
        <v>4104952</v>
      </c>
      <c r="O3195" s="14">
        <f xml:space="preserve"> IF(ISBLANK(moras[[#This Row],[EDAD]]), EDA!$E$8, moras[[#This Row],[EDAD]])</f>
        <v>29</v>
      </c>
      <c r="P3195" s="14" t="str">
        <f>IF(
    OR(ISBLANK(moras[[#This Row],[TIPO_ASEGURAMIENTO]]), moras[[#This Row],[TIPO_ASEGURAMIENTO]]=""),
    EDA!$A$32,
    moras[[#This Row],[TIPO_ASEGURAMIENTO]]
)</f>
        <v>ASALARIADO</v>
      </c>
    </row>
    <row r="3196" spans="1:16" x14ac:dyDescent="0.3">
      <c r="A3196">
        <v>3195</v>
      </c>
      <c r="B3196" t="s">
        <v>15</v>
      </c>
      <c r="C3196">
        <v>50421848</v>
      </c>
      <c r="D3196" t="s">
        <v>10</v>
      </c>
      <c r="E3196" t="s">
        <v>16</v>
      </c>
      <c r="F3196" t="s">
        <v>12</v>
      </c>
      <c r="G3196" t="s">
        <v>12</v>
      </c>
      <c r="H3196" t="s">
        <v>13</v>
      </c>
      <c r="I3196">
        <v>49</v>
      </c>
      <c r="J3196">
        <f>ABS((I3196-EDA!$A$15)/EDA!$B$15)</f>
        <v>0.49546762339867978</v>
      </c>
      <c r="K3196" t="str">
        <f t="shared" si="49"/>
        <v>No</v>
      </c>
      <c r="L3196">
        <f>ABS((C3196-EDA!$F$15)/EDA!$G$15)</f>
        <v>0.46340117190968932</v>
      </c>
      <c r="M3196" t="str">
        <f>IF(moras[[#This Row],[Z-Score Salario]]&gt;1.96, "Sí", "No")</f>
        <v>No</v>
      </c>
      <c r="N3196" s="14">
        <f>IF(ISBLANK(moras[[#This Row],[SALARIO]]), EDA!$M$8, moras[[#This Row],[SALARIO]])</f>
        <v>50421848</v>
      </c>
      <c r="O3196" s="14">
        <f xml:space="preserve"> IF(ISBLANK(moras[[#This Row],[EDAD]]), EDA!$E$8, moras[[#This Row],[EDAD]])</f>
        <v>49</v>
      </c>
      <c r="P3196" s="14" t="str">
        <f>IF(
    OR(ISBLANK(moras[[#This Row],[TIPO_ASEGURAMIENTO]]), moras[[#This Row],[TIPO_ASEGURAMIENTO]]=""),
    EDA!$A$32,
    moras[[#This Row],[TIPO_ASEGURAMIENTO]]
)</f>
        <v>ASALARIADO</v>
      </c>
    </row>
    <row r="3197" spans="1:16" x14ac:dyDescent="0.3">
      <c r="A3197">
        <v>3196</v>
      </c>
      <c r="B3197" t="s">
        <v>9</v>
      </c>
      <c r="C3197">
        <v>660746</v>
      </c>
      <c r="D3197" t="s">
        <v>10</v>
      </c>
      <c r="E3197" t="s">
        <v>11</v>
      </c>
      <c r="F3197" t="s">
        <v>12</v>
      </c>
      <c r="G3197" t="s">
        <v>13</v>
      </c>
      <c r="H3197" t="s">
        <v>13</v>
      </c>
      <c r="I3197">
        <v>35</v>
      </c>
      <c r="J3197">
        <f>ABS((I3197-EDA!$A$15)/EDA!$B$15)</f>
        <v>0.49258699768124525</v>
      </c>
      <c r="K3197" t="str">
        <f t="shared" si="49"/>
        <v>No</v>
      </c>
      <c r="L3197">
        <f>ABS((C3197-EDA!$F$15)/EDA!$G$15)</f>
        <v>0.36465869233915749</v>
      </c>
      <c r="M3197" t="str">
        <f>IF(moras[[#This Row],[Z-Score Salario]]&gt;1.96, "Sí", "No")</f>
        <v>No</v>
      </c>
      <c r="N3197" s="14">
        <f>IF(ISBLANK(moras[[#This Row],[SALARIO]]), EDA!$M$8, moras[[#This Row],[SALARIO]])</f>
        <v>660746</v>
      </c>
      <c r="O3197" s="14">
        <f xml:space="preserve"> IF(ISBLANK(moras[[#This Row],[EDAD]]), EDA!$E$8, moras[[#This Row],[EDAD]])</f>
        <v>35</v>
      </c>
      <c r="P3197" s="14" t="str">
        <f>IF(
    OR(ISBLANK(moras[[#This Row],[TIPO_ASEGURAMIENTO]]), moras[[#This Row],[TIPO_ASEGURAMIENTO]]=""),
    EDA!$A$32,
    moras[[#This Row],[TIPO_ASEGURAMIENTO]]
)</f>
        <v>ASALARIADO</v>
      </c>
    </row>
    <row r="3198" spans="1:16" x14ac:dyDescent="0.3">
      <c r="A3198">
        <v>3197</v>
      </c>
      <c r="B3198" t="s">
        <v>15</v>
      </c>
      <c r="C3198">
        <v>87453866</v>
      </c>
      <c r="D3198" t="s">
        <v>10</v>
      </c>
      <c r="E3198" t="s">
        <v>16</v>
      </c>
      <c r="F3198" t="s">
        <v>12</v>
      </c>
      <c r="G3198" t="s">
        <v>13</v>
      </c>
      <c r="H3198" t="s">
        <v>13</v>
      </c>
      <c r="I3198">
        <v>40</v>
      </c>
      <c r="J3198">
        <f>ABS((I3198-EDA!$A$15)/EDA!$B$15)</f>
        <v>0.13971034729555773</v>
      </c>
      <c r="K3198" t="str">
        <f t="shared" si="49"/>
        <v>No</v>
      </c>
      <c r="L3198">
        <f>ABS((C3198-EDA!$F$15)/EDA!$G$15)</f>
        <v>1.0796400927828815</v>
      </c>
      <c r="M3198" t="str">
        <f>IF(moras[[#This Row],[Z-Score Salario]]&gt;1.96, "Sí", "No")</f>
        <v>No</v>
      </c>
      <c r="N3198" s="14">
        <f>IF(ISBLANK(moras[[#This Row],[SALARIO]]), EDA!$M$8, moras[[#This Row],[SALARIO]])</f>
        <v>87453866</v>
      </c>
      <c r="O3198" s="14">
        <f xml:space="preserve"> IF(ISBLANK(moras[[#This Row],[EDAD]]), EDA!$E$8, moras[[#This Row],[EDAD]])</f>
        <v>40</v>
      </c>
      <c r="P3198" s="14" t="str">
        <f>IF(
    OR(ISBLANK(moras[[#This Row],[TIPO_ASEGURAMIENTO]]), moras[[#This Row],[TIPO_ASEGURAMIENTO]]=""),
    EDA!$A$32,
    moras[[#This Row],[TIPO_ASEGURAMIENTO]]
)</f>
        <v>ASALARIADO</v>
      </c>
    </row>
    <row r="3199" spans="1:16" x14ac:dyDescent="0.3">
      <c r="A3199">
        <v>3198</v>
      </c>
      <c r="B3199" t="s">
        <v>15</v>
      </c>
      <c r="C3199">
        <v>346062</v>
      </c>
      <c r="D3199" t="s">
        <v>17</v>
      </c>
      <c r="E3199" t="s">
        <v>16</v>
      </c>
      <c r="F3199" t="s">
        <v>12</v>
      </c>
      <c r="G3199" t="s">
        <v>13</v>
      </c>
      <c r="H3199" t="s">
        <v>13</v>
      </c>
      <c r="I3199">
        <v>43</v>
      </c>
      <c r="J3199">
        <f>ABS((I3199-EDA!$A$15)/EDA!$B$15)</f>
        <v>7.2015642935854773E-2</v>
      </c>
      <c r="K3199" t="str">
        <f t="shared" si="49"/>
        <v>No</v>
      </c>
      <c r="L3199">
        <f>ABS((C3199-EDA!$F$15)/EDA!$G$15)</f>
        <v>0.36989525623843134</v>
      </c>
      <c r="M3199" t="str">
        <f>IF(moras[[#This Row],[Z-Score Salario]]&gt;1.96, "Sí", "No")</f>
        <v>No</v>
      </c>
      <c r="N3199" s="14">
        <f>IF(ISBLANK(moras[[#This Row],[SALARIO]]), EDA!$M$8, moras[[#This Row],[SALARIO]])</f>
        <v>346062</v>
      </c>
      <c r="O3199" s="14">
        <f xml:space="preserve"> IF(ISBLANK(moras[[#This Row],[EDAD]]), EDA!$E$8, moras[[#This Row],[EDAD]])</f>
        <v>43</v>
      </c>
      <c r="P3199" s="14" t="str">
        <f>IF(
    OR(ISBLANK(moras[[#This Row],[TIPO_ASEGURAMIENTO]]), moras[[#This Row],[TIPO_ASEGURAMIENTO]]=""),
    EDA!$A$32,
    moras[[#This Row],[TIPO_ASEGURAMIENTO]]
)</f>
        <v>ASEGURADO VOLUNTARIO</v>
      </c>
    </row>
    <row r="3200" spans="1:16" x14ac:dyDescent="0.3">
      <c r="A3200">
        <v>3199</v>
      </c>
      <c r="B3200" t="s">
        <v>15</v>
      </c>
      <c r="C3200">
        <v>6417829</v>
      </c>
      <c r="D3200" t="s">
        <v>10</v>
      </c>
      <c r="E3200" t="s">
        <v>11</v>
      </c>
      <c r="F3200" t="s">
        <v>12</v>
      </c>
      <c r="G3200" t="s">
        <v>12</v>
      </c>
      <c r="H3200" t="s">
        <v>13</v>
      </c>
      <c r="I3200">
        <v>55</v>
      </c>
      <c r="J3200">
        <f>ABS((I3200-EDA!$A$15)/EDA!$B$15)</f>
        <v>0.91891960386150484</v>
      </c>
      <c r="K3200" t="str">
        <f t="shared" si="49"/>
        <v>No</v>
      </c>
      <c r="L3200">
        <f>ABS((C3200-EDA!$F$15)/EDA!$G$15)</f>
        <v>0.26885676722404761</v>
      </c>
      <c r="M3200" t="str">
        <f>IF(moras[[#This Row],[Z-Score Salario]]&gt;1.96, "Sí", "No")</f>
        <v>No</v>
      </c>
      <c r="N3200" s="14">
        <f>IF(ISBLANK(moras[[#This Row],[SALARIO]]), EDA!$M$8, moras[[#This Row],[SALARIO]])</f>
        <v>6417829</v>
      </c>
      <c r="O3200" s="14">
        <f xml:space="preserve"> IF(ISBLANK(moras[[#This Row],[EDAD]]), EDA!$E$8, moras[[#This Row],[EDAD]])</f>
        <v>55</v>
      </c>
      <c r="P3200" s="14" t="str">
        <f>IF(
    OR(ISBLANK(moras[[#This Row],[TIPO_ASEGURAMIENTO]]), moras[[#This Row],[TIPO_ASEGURAMIENTO]]=""),
    EDA!$A$32,
    moras[[#This Row],[TIPO_ASEGURAMIENTO]]
)</f>
        <v>ASALARIADO</v>
      </c>
    </row>
    <row r="3201" spans="1:16" x14ac:dyDescent="0.3">
      <c r="A3201">
        <v>3200</v>
      </c>
      <c r="B3201" t="s">
        <v>15</v>
      </c>
      <c r="C3201">
        <v>35954427</v>
      </c>
      <c r="D3201" t="s">
        <v>21</v>
      </c>
      <c r="E3201" t="s">
        <v>16</v>
      </c>
      <c r="F3201" t="s">
        <v>12</v>
      </c>
      <c r="G3201" t="s">
        <v>12</v>
      </c>
      <c r="H3201" t="s">
        <v>13</v>
      </c>
      <c r="I3201">
        <v>32</v>
      </c>
      <c r="J3201">
        <f>ABS((I3201-EDA!$A$15)/EDA!$B$15)</f>
        <v>0.70431298791265773</v>
      </c>
      <c r="K3201" t="str">
        <f t="shared" si="49"/>
        <v>No</v>
      </c>
      <c r="L3201">
        <f>ABS((C3201-EDA!$F$15)/EDA!$G$15)</f>
        <v>0.22265307374074372</v>
      </c>
      <c r="M3201" t="str">
        <f>IF(moras[[#This Row],[Z-Score Salario]]&gt;1.96, "Sí", "No")</f>
        <v>No</v>
      </c>
      <c r="N3201" s="14">
        <f>IF(ISBLANK(moras[[#This Row],[SALARIO]]), EDA!$M$8, moras[[#This Row],[SALARIO]])</f>
        <v>35954427</v>
      </c>
      <c r="O3201" s="14">
        <f xml:space="preserve"> IF(ISBLANK(moras[[#This Row],[EDAD]]), EDA!$E$8, moras[[#This Row],[EDAD]])</f>
        <v>32</v>
      </c>
      <c r="P3201" s="14" t="str">
        <f>IF(
    OR(ISBLANK(moras[[#This Row],[TIPO_ASEGURAMIENTO]]), moras[[#This Row],[TIPO_ASEGURAMIENTO]]=""),
    EDA!$A$32,
    moras[[#This Row],[TIPO_ASEGURAMIENTO]]
)</f>
        <v>CONVENIOS ESPECIALES DE ASEGURADOS VOLUNTARIOS</v>
      </c>
    </row>
    <row r="3202" spans="1:16" x14ac:dyDescent="0.3">
      <c r="A3202">
        <v>3201</v>
      </c>
      <c r="B3202" t="s">
        <v>9</v>
      </c>
      <c r="C3202">
        <v>32670405</v>
      </c>
      <c r="D3202" t="s">
        <v>10</v>
      </c>
      <c r="E3202" t="s">
        <v>11</v>
      </c>
      <c r="F3202" t="s">
        <v>12</v>
      </c>
      <c r="G3202" t="s">
        <v>13</v>
      </c>
      <c r="H3202" t="s">
        <v>13</v>
      </c>
      <c r="I3202">
        <v>33</v>
      </c>
      <c r="J3202">
        <f>ABS((I3202-EDA!$A$15)/EDA!$B$15)</f>
        <v>0.63373765783552027</v>
      </c>
      <c r="K3202" t="str">
        <f t="shared" ref="K3202:K3265" si="50">IF(J3202 &gt;  1.96, "Sí","No")</f>
        <v>No</v>
      </c>
      <c r="L3202">
        <f>ABS((C3202-EDA!$F$15)/EDA!$G$15)</f>
        <v>0.1680046294295581</v>
      </c>
      <c r="M3202" t="str">
        <f>IF(moras[[#This Row],[Z-Score Salario]]&gt;1.96, "Sí", "No")</f>
        <v>No</v>
      </c>
      <c r="N3202" s="14">
        <f>IF(ISBLANK(moras[[#This Row],[SALARIO]]), EDA!$M$8, moras[[#This Row],[SALARIO]])</f>
        <v>32670405</v>
      </c>
      <c r="O3202" s="14">
        <f xml:space="preserve"> IF(ISBLANK(moras[[#This Row],[EDAD]]), EDA!$E$8, moras[[#This Row],[EDAD]])</f>
        <v>33</v>
      </c>
      <c r="P3202" s="14" t="str">
        <f>IF(
    OR(ISBLANK(moras[[#This Row],[TIPO_ASEGURAMIENTO]]), moras[[#This Row],[TIPO_ASEGURAMIENTO]]=""),
    EDA!$A$32,
    moras[[#This Row],[TIPO_ASEGURAMIENTO]]
)</f>
        <v>ASALARIADO</v>
      </c>
    </row>
    <row r="3203" spans="1:16" x14ac:dyDescent="0.3">
      <c r="A3203">
        <v>3202</v>
      </c>
      <c r="B3203" t="s">
        <v>9</v>
      </c>
      <c r="C3203">
        <v>300018</v>
      </c>
      <c r="D3203" t="s">
        <v>17</v>
      </c>
      <c r="E3203" t="s">
        <v>16</v>
      </c>
      <c r="F3203" t="s">
        <v>12</v>
      </c>
      <c r="G3203" t="s">
        <v>13</v>
      </c>
      <c r="H3203" t="s">
        <v>13</v>
      </c>
      <c r="I3203">
        <v>85</v>
      </c>
      <c r="J3203">
        <f>ABS((I3203-EDA!$A$15)/EDA!$B$15)</f>
        <v>3.03617950617563</v>
      </c>
      <c r="K3203" t="str">
        <f t="shared" si="50"/>
        <v>Sí</v>
      </c>
      <c r="L3203">
        <f>ABS((C3203-EDA!$F$15)/EDA!$G$15)</f>
        <v>0.37066146090145252</v>
      </c>
      <c r="M3203" t="str">
        <f>IF(moras[[#This Row],[Z-Score Salario]]&gt;1.96, "Sí", "No")</f>
        <v>No</v>
      </c>
      <c r="N3203" s="14">
        <f>IF(ISBLANK(moras[[#This Row],[SALARIO]]), EDA!$M$8, moras[[#This Row],[SALARIO]])</f>
        <v>300018</v>
      </c>
      <c r="O3203" s="14">
        <f xml:space="preserve"> IF(ISBLANK(moras[[#This Row],[EDAD]]), EDA!$E$8, moras[[#This Row],[EDAD]])</f>
        <v>85</v>
      </c>
      <c r="P3203" s="14" t="str">
        <f>IF(
    OR(ISBLANK(moras[[#This Row],[TIPO_ASEGURAMIENTO]]), moras[[#This Row],[TIPO_ASEGURAMIENTO]]=""),
    EDA!$A$32,
    moras[[#This Row],[TIPO_ASEGURAMIENTO]]
)</f>
        <v>ASEGURADO VOLUNTARIO</v>
      </c>
    </row>
    <row r="3204" spans="1:16" x14ac:dyDescent="0.3">
      <c r="A3204">
        <v>3203</v>
      </c>
      <c r="B3204" t="s">
        <v>9</v>
      </c>
      <c r="C3204">
        <v>116063707</v>
      </c>
      <c r="D3204" t="s">
        <v>10</v>
      </c>
      <c r="E3204" t="s">
        <v>16</v>
      </c>
      <c r="F3204" t="s">
        <v>12</v>
      </c>
      <c r="G3204" t="s">
        <v>13</v>
      </c>
      <c r="H3204" t="s">
        <v>12</v>
      </c>
      <c r="I3204">
        <v>29</v>
      </c>
      <c r="J3204">
        <f>ABS((I3204-EDA!$A$15)/EDA!$B$15)</f>
        <v>0.91603897814407031</v>
      </c>
      <c r="K3204" t="str">
        <f t="shared" si="50"/>
        <v>No</v>
      </c>
      <c r="L3204">
        <f>ABS((C3204-EDA!$F$15)/EDA!$G$15)</f>
        <v>1.5557280430586027</v>
      </c>
      <c r="M3204" t="str">
        <f>IF(moras[[#This Row],[Z-Score Salario]]&gt;1.96, "Sí", "No")</f>
        <v>No</v>
      </c>
      <c r="N3204" s="14">
        <f>IF(ISBLANK(moras[[#This Row],[SALARIO]]), EDA!$M$8, moras[[#This Row],[SALARIO]])</f>
        <v>116063707</v>
      </c>
      <c r="O3204" s="14">
        <f xml:space="preserve"> IF(ISBLANK(moras[[#This Row],[EDAD]]), EDA!$E$8, moras[[#This Row],[EDAD]])</f>
        <v>29</v>
      </c>
      <c r="P3204" s="14" t="str">
        <f>IF(
    OR(ISBLANK(moras[[#This Row],[TIPO_ASEGURAMIENTO]]), moras[[#This Row],[TIPO_ASEGURAMIENTO]]=""),
    EDA!$A$32,
    moras[[#This Row],[TIPO_ASEGURAMIENTO]]
)</f>
        <v>ASALARIADO</v>
      </c>
    </row>
    <row r="3205" spans="1:16" x14ac:dyDescent="0.3">
      <c r="A3205">
        <v>3204</v>
      </c>
      <c r="B3205" t="s">
        <v>9</v>
      </c>
      <c r="C3205">
        <v>367220</v>
      </c>
      <c r="D3205" t="s">
        <v>10</v>
      </c>
      <c r="E3205" t="s">
        <v>16</v>
      </c>
      <c r="F3205" t="s">
        <v>12</v>
      </c>
      <c r="G3205" t="s">
        <v>12</v>
      </c>
      <c r="H3205" t="s">
        <v>13</v>
      </c>
      <c r="I3205">
        <v>25</v>
      </c>
      <c r="J3205">
        <f>ABS((I3205-EDA!$A$15)/EDA!$B$15)</f>
        <v>1.1983402984526204</v>
      </c>
      <c r="K3205" t="str">
        <f t="shared" si="50"/>
        <v>No</v>
      </c>
      <c r="L3205">
        <f>ABS((C3205-EDA!$F$15)/EDA!$G$15)</f>
        <v>0.36954317218274108</v>
      </c>
      <c r="M3205" t="str">
        <f>IF(moras[[#This Row],[Z-Score Salario]]&gt;1.96, "Sí", "No")</f>
        <v>No</v>
      </c>
      <c r="N3205" s="14">
        <f>IF(ISBLANK(moras[[#This Row],[SALARIO]]), EDA!$M$8, moras[[#This Row],[SALARIO]])</f>
        <v>367220</v>
      </c>
      <c r="O3205" s="14">
        <f xml:space="preserve"> IF(ISBLANK(moras[[#This Row],[EDAD]]), EDA!$E$8, moras[[#This Row],[EDAD]])</f>
        <v>25</v>
      </c>
      <c r="P3205" s="14" t="str">
        <f>IF(
    OR(ISBLANK(moras[[#This Row],[TIPO_ASEGURAMIENTO]]), moras[[#This Row],[TIPO_ASEGURAMIENTO]]=""),
    EDA!$A$32,
    moras[[#This Row],[TIPO_ASEGURAMIENTO]]
)</f>
        <v>ASALARIADO</v>
      </c>
    </row>
    <row r="3206" spans="1:16" x14ac:dyDescent="0.3">
      <c r="A3206">
        <v>3205</v>
      </c>
      <c r="B3206" t="s">
        <v>9</v>
      </c>
      <c r="C3206">
        <v>450886</v>
      </c>
      <c r="D3206" t="s">
        <v>18</v>
      </c>
      <c r="E3206" t="s">
        <v>16</v>
      </c>
      <c r="F3206" t="s">
        <v>12</v>
      </c>
      <c r="G3206" t="s">
        <v>12</v>
      </c>
      <c r="H3206" t="s">
        <v>12</v>
      </c>
      <c r="I3206">
        <v>45</v>
      </c>
      <c r="J3206">
        <f>ABS((I3206-EDA!$A$15)/EDA!$B$15)</f>
        <v>0.21316630309012977</v>
      </c>
      <c r="K3206" t="str">
        <f t="shared" si="50"/>
        <v>No</v>
      </c>
      <c r="L3206">
        <f>ABS((C3206-EDA!$F$15)/EDA!$G$15)</f>
        <v>0.36815091088189117</v>
      </c>
      <c r="M3206" t="str">
        <f>IF(moras[[#This Row],[Z-Score Salario]]&gt;1.96, "Sí", "No")</f>
        <v>No</v>
      </c>
      <c r="N3206" s="14">
        <f>IF(ISBLANK(moras[[#This Row],[SALARIO]]), EDA!$M$8, moras[[#This Row],[SALARIO]])</f>
        <v>450886</v>
      </c>
      <c r="O3206" s="14">
        <f xml:space="preserve"> IF(ISBLANK(moras[[#This Row],[EDAD]]), EDA!$E$8, moras[[#This Row],[EDAD]])</f>
        <v>45</v>
      </c>
      <c r="P3206" s="14" t="str">
        <f>IF(
    OR(ISBLANK(moras[[#This Row],[TIPO_ASEGURAMIENTO]]), moras[[#This Row],[TIPO_ASEGURAMIENTO]]=""),
    EDA!$A$32,
    moras[[#This Row],[TIPO_ASEGURAMIENTO]]
)</f>
        <v>TRABAJADOR INDEPENDIENTE</v>
      </c>
    </row>
    <row r="3207" spans="1:16" x14ac:dyDescent="0.3">
      <c r="A3207">
        <v>3206</v>
      </c>
      <c r="B3207" t="s">
        <v>15</v>
      </c>
      <c r="C3207">
        <v>80000</v>
      </c>
      <c r="D3207" t="s">
        <v>10</v>
      </c>
      <c r="E3207" t="s">
        <v>16</v>
      </c>
      <c r="F3207" t="s">
        <v>12</v>
      </c>
      <c r="G3207" t="s">
        <v>13</v>
      </c>
      <c r="H3207" t="s">
        <v>13</v>
      </c>
      <c r="I3207">
        <v>44</v>
      </c>
      <c r="J3207">
        <f>ABS((I3207-EDA!$A$15)/EDA!$B$15)</f>
        <v>0.14259097301299228</v>
      </c>
      <c r="K3207" t="str">
        <f t="shared" si="50"/>
        <v>No</v>
      </c>
      <c r="L3207">
        <f>ABS((C3207-EDA!$F$15)/EDA!$G$15)</f>
        <v>0.37432271573484233</v>
      </c>
      <c r="M3207" t="str">
        <f>IF(moras[[#This Row],[Z-Score Salario]]&gt;1.96, "Sí", "No")</f>
        <v>No</v>
      </c>
      <c r="N3207" s="14">
        <f>IF(ISBLANK(moras[[#This Row],[SALARIO]]), EDA!$M$8, moras[[#This Row],[SALARIO]])</f>
        <v>80000</v>
      </c>
      <c r="O3207" s="14">
        <f xml:space="preserve"> IF(ISBLANK(moras[[#This Row],[EDAD]]), EDA!$E$8, moras[[#This Row],[EDAD]])</f>
        <v>44</v>
      </c>
      <c r="P3207" s="14" t="str">
        <f>IF(
    OR(ISBLANK(moras[[#This Row],[TIPO_ASEGURAMIENTO]]), moras[[#This Row],[TIPO_ASEGURAMIENTO]]=""),
    EDA!$A$32,
    moras[[#This Row],[TIPO_ASEGURAMIENTO]]
)</f>
        <v>ASALARIADO</v>
      </c>
    </row>
    <row r="3208" spans="1:16" x14ac:dyDescent="0.3">
      <c r="A3208">
        <v>3207</v>
      </c>
      <c r="B3208" t="s">
        <v>9</v>
      </c>
      <c r="C3208">
        <v>297046</v>
      </c>
      <c r="D3208" t="s">
        <v>18</v>
      </c>
      <c r="E3208" t="s">
        <v>16</v>
      </c>
      <c r="F3208" t="s">
        <v>12</v>
      </c>
      <c r="G3208" t="s">
        <v>12</v>
      </c>
      <c r="H3208" t="s">
        <v>12</v>
      </c>
      <c r="I3208">
        <v>50</v>
      </c>
      <c r="J3208">
        <f>ABS((I3208-EDA!$A$15)/EDA!$B$15)</f>
        <v>0.56604295347581735</v>
      </c>
      <c r="K3208" t="str">
        <f t="shared" si="50"/>
        <v>No</v>
      </c>
      <c r="L3208">
        <f>ABS((C3208-EDA!$F$15)/EDA!$G$15)</f>
        <v>0.37071091707942361</v>
      </c>
      <c r="M3208" t="str">
        <f>IF(moras[[#This Row],[Z-Score Salario]]&gt;1.96, "Sí", "No")</f>
        <v>No</v>
      </c>
      <c r="N3208" s="14">
        <f>IF(ISBLANK(moras[[#This Row],[SALARIO]]), EDA!$M$8, moras[[#This Row],[SALARIO]])</f>
        <v>297046</v>
      </c>
      <c r="O3208" s="14">
        <f xml:space="preserve"> IF(ISBLANK(moras[[#This Row],[EDAD]]), EDA!$E$8, moras[[#This Row],[EDAD]])</f>
        <v>50</v>
      </c>
      <c r="P3208" s="14" t="str">
        <f>IF(
    OR(ISBLANK(moras[[#This Row],[TIPO_ASEGURAMIENTO]]), moras[[#This Row],[TIPO_ASEGURAMIENTO]]=""),
    EDA!$A$32,
    moras[[#This Row],[TIPO_ASEGURAMIENTO]]
)</f>
        <v>TRABAJADOR INDEPENDIENTE</v>
      </c>
    </row>
    <row r="3209" spans="1:16" x14ac:dyDescent="0.3">
      <c r="A3209">
        <v>3208</v>
      </c>
      <c r="B3209" t="s">
        <v>15</v>
      </c>
      <c r="C3209">
        <v>280000</v>
      </c>
      <c r="D3209" t="s">
        <v>10</v>
      </c>
      <c r="E3209" t="s">
        <v>16</v>
      </c>
      <c r="F3209" t="s">
        <v>12</v>
      </c>
      <c r="G3209" t="s">
        <v>12</v>
      </c>
      <c r="H3209" t="s">
        <v>12</v>
      </c>
      <c r="I3209">
        <v>44</v>
      </c>
      <c r="J3209">
        <f>ABS((I3209-EDA!$A$15)/EDA!$B$15)</f>
        <v>0.14259097301299228</v>
      </c>
      <c r="K3209" t="str">
        <f t="shared" si="50"/>
        <v>No</v>
      </c>
      <c r="L3209">
        <f>ABS((C3209-EDA!$F$15)/EDA!$G$15)</f>
        <v>0.37099457455240292</v>
      </c>
      <c r="M3209" t="str">
        <f>IF(moras[[#This Row],[Z-Score Salario]]&gt;1.96, "Sí", "No")</f>
        <v>No</v>
      </c>
      <c r="N3209" s="14">
        <f>IF(ISBLANK(moras[[#This Row],[SALARIO]]), EDA!$M$8, moras[[#This Row],[SALARIO]])</f>
        <v>280000</v>
      </c>
      <c r="O3209" s="14">
        <f xml:space="preserve"> IF(ISBLANK(moras[[#This Row],[EDAD]]), EDA!$E$8, moras[[#This Row],[EDAD]])</f>
        <v>44</v>
      </c>
      <c r="P3209" s="14" t="str">
        <f>IF(
    OR(ISBLANK(moras[[#This Row],[TIPO_ASEGURAMIENTO]]), moras[[#This Row],[TIPO_ASEGURAMIENTO]]=""),
    EDA!$A$32,
    moras[[#This Row],[TIPO_ASEGURAMIENTO]]
)</f>
        <v>ASALARIADO</v>
      </c>
    </row>
    <row r="3210" spans="1:16" x14ac:dyDescent="0.3">
      <c r="A3210">
        <v>3209</v>
      </c>
      <c r="B3210" t="s">
        <v>15</v>
      </c>
      <c r="C3210">
        <v>575000</v>
      </c>
      <c r="D3210" t="s">
        <v>10</v>
      </c>
      <c r="E3210" t="s">
        <v>16</v>
      </c>
      <c r="F3210" t="s">
        <v>12</v>
      </c>
      <c r="G3210" t="s">
        <v>13</v>
      </c>
      <c r="H3210" t="s">
        <v>12</v>
      </c>
      <c r="I3210">
        <v>21</v>
      </c>
      <c r="J3210">
        <f>ABS((I3210-EDA!$A$15)/EDA!$B$15)</f>
        <v>1.4806416187611704</v>
      </c>
      <c r="K3210" t="str">
        <f t="shared" si="50"/>
        <v>No</v>
      </c>
      <c r="L3210">
        <f>ABS((C3210-EDA!$F$15)/EDA!$G$15)</f>
        <v>0.36608556630830474</v>
      </c>
      <c r="M3210" t="str">
        <f>IF(moras[[#This Row],[Z-Score Salario]]&gt;1.96, "Sí", "No")</f>
        <v>No</v>
      </c>
      <c r="N3210" s="14">
        <f>IF(ISBLANK(moras[[#This Row],[SALARIO]]), EDA!$M$8, moras[[#This Row],[SALARIO]])</f>
        <v>575000</v>
      </c>
      <c r="O3210" s="14">
        <f xml:space="preserve"> IF(ISBLANK(moras[[#This Row],[EDAD]]), EDA!$E$8, moras[[#This Row],[EDAD]])</f>
        <v>21</v>
      </c>
      <c r="P3210" s="14" t="str">
        <f>IF(
    OR(ISBLANK(moras[[#This Row],[TIPO_ASEGURAMIENTO]]), moras[[#This Row],[TIPO_ASEGURAMIENTO]]=""),
    EDA!$A$32,
    moras[[#This Row],[TIPO_ASEGURAMIENTO]]
)</f>
        <v>ASALARIADO</v>
      </c>
    </row>
    <row r="3211" spans="1:16" x14ac:dyDescent="0.3">
      <c r="A3211">
        <v>3210</v>
      </c>
      <c r="B3211" t="s">
        <v>9</v>
      </c>
      <c r="C3211">
        <v>356455</v>
      </c>
      <c r="D3211" t="s">
        <v>18</v>
      </c>
      <c r="E3211" t="s">
        <v>16</v>
      </c>
      <c r="F3211" t="s">
        <v>12</v>
      </c>
      <c r="G3211" t="s">
        <v>13</v>
      </c>
      <c r="H3211" t="s">
        <v>12</v>
      </c>
      <c r="I3211">
        <v>50</v>
      </c>
      <c r="J3211">
        <f>ABS((I3211-EDA!$A$15)/EDA!$B$15)</f>
        <v>0.56604295347581735</v>
      </c>
      <c r="K3211" t="str">
        <f t="shared" si="50"/>
        <v>No</v>
      </c>
      <c r="L3211">
        <f>ABS((C3211-EDA!$F$15)/EDA!$G$15)</f>
        <v>0.36972230938188588</v>
      </c>
      <c r="M3211" t="str">
        <f>IF(moras[[#This Row],[Z-Score Salario]]&gt;1.96, "Sí", "No")</f>
        <v>No</v>
      </c>
      <c r="N3211" s="14">
        <f>IF(ISBLANK(moras[[#This Row],[SALARIO]]), EDA!$M$8, moras[[#This Row],[SALARIO]])</f>
        <v>356455</v>
      </c>
      <c r="O3211" s="14">
        <f xml:space="preserve"> IF(ISBLANK(moras[[#This Row],[EDAD]]), EDA!$E$8, moras[[#This Row],[EDAD]])</f>
        <v>50</v>
      </c>
      <c r="P3211" s="14" t="str">
        <f>IF(
    OR(ISBLANK(moras[[#This Row],[TIPO_ASEGURAMIENTO]]), moras[[#This Row],[TIPO_ASEGURAMIENTO]]=""),
    EDA!$A$32,
    moras[[#This Row],[TIPO_ASEGURAMIENTO]]
)</f>
        <v>TRABAJADOR INDEPENDIENTE</v>
      </c>
    </row>
    <row r="3212" spans="1:16" x14ac:dyDescent="0.3">
      <c r="A3212">
        <v>3211</v>
      </c>
      <c r="B3212" t="s">
        <v>9</v>
      </c>
      <c r="C3212">
        <v>125088235</v>
      </c>
      <c r="D3212" t="s">
        <v>10</v>
      </c>
      <c r="E3212" t="s">
        <v>11</v>
      </c>
      <c r="F3212" t="s">
        <v>12</v>
      </c>
      <c r="G3212" t="s">
        <v>13</v>
      </c>
      <c r="H3212" t="s">
        <v>13</v>
      </c>
      <c r="I3212">
        <v>30</v>
      </c>
      <c r="J3212">
        <f>ABS((I3212-EDA!$A$15)/EDA!$B$15)</f>
        <v>0.84546364806693275</v>
      </c>
      <c r="K3212" t="str">
        <f t="shared" si="50"/>
        <v>No</v>
      </c>
      <c r="L3212">
        <f>ABS((C3212-EDA!$F$15)/EDA!$G$15)</f>
        <v>1.7059025595029917</v>
      </c>
      <c r="M3212" t="str">
        <f>IF(moras[[#This Row],[Z-Score Salario]]&gt;1.96, "Sí", "No")</f>
        <v>No</v>
      </c>
      <c r="N3212" s="14">
        <f>IF(ISBLANK(moras[[#This Row],[SALARIO]]), EDA!$M$8, moras[[#This Row],[SALARIO]])</f>
        <v>125088235</v>
      </c>
      <c r="O3212" s="14">
        <f xml:space="preserve"> IF(ISBLANK(moras[[#This Row],[EDAD]]), EDA!$E$8, moras[[#This Row],[EDAD]])</f>
        <v>30</v>
      </c>
      <c r="P3212" s="14" t="str">
        <f>IF(
    OR(ISBLANK(moras[[#This Row],[TIPO_ASEGURAMIENTO]]), moras[[#This Row],[TIPO_ASEGURAMIENTO]]=""),
    EDA!$A$32,
    moras[[#This Row],[TIPO_ASEGURAMIENTO]]
)</f>
        <v>ASALARIADO</v>
      </c>
    </row>
    <row r="3213" spans="1:16" x14ac:dyDescent="0.3">
      <c r="A3213">
        <v>3212</v>
      </c>
      <c r="B3213" t="s">
        <v>9</v>
      </c>
      <c r="C3213">
        <v>1065177</v>
      </c>
      <c r="D3213" t="s">
        <v>17</v>
      </c>
      <c r="E3213" t="s">
        <v>16</v>
      </c>
      <c r="F3213" t="s">
        <v>12</v>
      </c>
      <c r="G3213" t="s">
        <v>13</v>
      </c>
      <c r="H3213" t="s">
        <v>13</v>
      </c>
      <c r="I3213">
        <v>59</v>
      </c>
      <c r="J3213">
        <f>ABS((I3213-EDA!$A$15)/EDA!$B$15)</f>
        <v>1.2012209241700549</v>
      </c>
      <c r="K3213" t="str">
        <f t="shared" si="50"/>
        <v>No</v>
      </c>
      <c r="L3213">
        <f>ABS((C3213-EDA!$F$15)/EDA!$G$15)</f>
        <v>0.35792867500638165</v>
      </c>
      <c r="M3213" t="str">
        <f>IF(moras[[#This Row],[Z-Score Salario]]&gt;1.96, "Sí", "No")</f>
        <v>No</v>
      </c>
      <c r="N3213" s="14">
        <f>IF(ISBLANK(moras[[#This Row],[SALARIO]]), EDA!$M$8, moras[[#This Row],[SALARIO]])</f>
        <v>1065177</v>
      </c>
      <c r="O3213" s="14">
        <f xml:space="preserve"> IF(ISBLANK(moras[[#This Row],[EDAD]]), EDA!$E$8, moras[[#This Row],[EDAD]])</f>
        <v>59</v>
      </c>
      <c r="P3213" s="14" t="str">
        <f>IF(
    OR(ISBLANK(moras[[#This Row],[TIPO_ASEGURAMIENTO]]), moras[[#This Row],[TIPO_ASEGURAMIENTO]]=""),
    EDA!$A$32,
    moras[[#This Row],[TIPO_ASEGURAMIENTO]]
)</f>
        <v>ASEGURADO VOLUNTARIO</v>
      </c>
    </row>
    <row r="3214" spans="1:16" x14ac:dyDescent="0.3">
      <c r="A3214">
        <v>3213</v>
      </c>
      <c r="B3214" t="s">
        <v>9</v>
      </c>
      <c r="C3214">
        <v>285000</v>
      </c>
      <c r="D3214" t="s">
        <v>10</v>
      </c>
      <c r="E3214" t="s">
        <v>16</v>
      </c>
      <c r="F3214" t="s">
        <v>12</v>
      </c>
      <c r="G3214" t="s">
        <v>13</v>
      </c>
      <c r="H3214" t="s">
        <v>12</v>
      </c>
      <c r="I3214">
        <v>51</v>
      </c>
      <c r="J3214">
        <f>ABS((I3214-EDA!$A$15)/EDA!$B$15)</f>
        <v>0.6366182835529548</v>
      </c>
      <c r="K3214" t="str">
        <f t="shared" si="50"/>
        <v>No</v>
      </c>
      <c r="L3214">
        <f>ABS((C3214-EDA!$F$15)/EDA!$G$15)</f>
        <v>0.37091137102284188</v>
      </c>
      <c r="M3214" t="str">
        <f>IF(moras[[#This Row],[Z-Score Salario]]&gt;1.96, "Sí", "No")</f>
        <v>No</v>
      </c>
      <c r="N3214" s="14">
        <f>IF(ISBLANK(moras[[#This Row],[SALARIO]]), EDA!$M$8, moras[[#This Row],[SALARIO]])</f>
        <v>285000</v>
      </c>
      <c r="O3214" s="14">
        <f xml:space="preserve"> IF(ISBLANK(moras[[#This Row],[EDAD]]), EDA!$E$8, moras[[#This Row],[EDAD]])</f>
        <v>51</v>
      </c>
      <c r="P3214" s="14" t="str">
        <f>IF(
    OR(ISBLANK(moras[[#This Row],[TIPO_ASEGURAMIENTO]]), moras[[#This Row],[TIPO_ASEGURAMIENTO]]=""),
    EDA!$A$32,
    moras[[#This Row],[TIPO_ASEGURAMIENTO]]
)</f>
        <v>ASALARIADO</v>
      </c>
    </row>
    <row r="3215" spans="1:16" x14ac:dyDescent="0.3">
      <c r="A3215">
        <v>3214</v>
      </c>
      <c r="B3215" t="s">
        <v>15</v>
      </c>
      <c r="C3215">
        <v>1279275</v>
      </c>
      <c r="D3215" t="s">
        <v>10</v>
      </c>
      <c r="E3215" t="s">
        <v>11</v>
      </c>
      <c r="F3215" t="s">
        <v>12</v>
      </c>
      <c r="G3215" t="s">
        <v>13</v>
      </c>
      <c r="H3215" t="s">
        <v>13</v>
      </c>
      <c r="I3215">
        <v>31</v>
      </c>
      <c r="J3215">
        <f>ABS((I3215-EDA!$A$15)/EDA!$B$15)</f>
        <v>0.77488831798979529</v>
      </c>
      <c r="K3215" t="str">
        <f t="shared" si="50"/>
        <v>No</v>
      </c>
      <c r="L3215">
        <f>ABS((C3215-EDA!$F$15)/EDA!$G$15)</f>
        <v>0.35436593315199205</v>
      </c>
      <c r="M3215" t="str">
        <f>IF(moras[[#This Row],[Z-Score Salario]]&gt;1.96, "Sí", "No")</f>
        <v>No</v>
      </c>
      <c r="N3215" s="14">
        <f>IF(ISBLANK(moras[[#This Row],[SALARIO]]), EDA!$M$8, moras[[#This Row],[SALARIO]])</f>
        <v>1279275</v>
      </c>
      <c r="O3215" s="14">
        <f xml:space="preserve"> IF(ISBLANK(moras[[#This Row],[EDAD]]), EDA!$E$8, moras[[#This Row],[EDAD]])</f>
        <v>31</v>
      </c>
      <c r="P3215" s="14" t="str">
        <f>IF(
    OR(ISBLANK(moras[[#This Row],[TIPO_ASEGURAMIENTO]]), moras[[#This Row],[TIPO_ASEGURAMIENTO]]=""),
    EDA!$A$32,
    moras[[#This Row],[TIPO_ASEGURAMIENTO]]
)</f>
        <v>ASALARIADO</v>
      </c>
    </row>
    <row r="3216" spans="1:16" x14ac:dyDescent="0.3">
      <c r="A3216">
        <v>3215</v>
      </c>
      <c r="B3216" t="s">
        <v>15</v>
      </c>
      <c r="C3216">
        <v>563332</v>
      </c>
      <c r="D3216" t="s">
        <v>10</v>
      </c>
      <c r="E3216" t="s">
        <v>16</v>
      </c>
      <c r="F3216" t="s">
        <v>12</v>
      </c>
      <c r="G3216" t="s">
        <v>13</v>
      </c>
      <c r="H3216" t="s">
        <v>13</v>
      </c>
      <c r="I3216">
        <v>34</v>
      </c>
      <c r="J3216">
        <f>ABS((I3216-EDA!$A$15)/EDA!$B$15)</f>
        <v>0.56316232775838282</v>
      </c>
      <c r="K3216" t="str">
        <f t="shared" si="50"/>
        <v>No</v>
      </c>
      <c r="L3216">
        <f>ABS((C3216-EDA!$F$15)/EDA!$G$15)</f>
        <v>0.36627973006488823</v>
      </c>
      <c r="M3216" t="str">
        <f>IF(moras[[#This Row],[Z-Score Salario]]&gt;1.96, "Sí", "No")</f>
        <v>No</v>
      </c>
      <c r="N3216" s="14">
        <f>IF(ISBLANK(moras[[#This Row],[SALARIO]]), EDA!$M$8, moras[[#This Row],[SALARIO]])</f>
        <v>563332</v>
      </c>
      <c r="O3216" s="14">
        <f xml:space="preserve"> IF(ISBLANK(moras[[#This Row],[EDAD]]), EDA!$E$8, moras[[#This Row],[EDAD]])</f>
        <v>34</v>
      </c>
      <c r="P3216" s="14" t="str">
        <f>IF(
    OR(ISBLANK(moras[[#This Row],[TIPO_ASEGURAMIENTO]]), moras[[#This Row],[TIPO_ASEGURAMIENTO]]=""),
    EDA!$A$32,
    moras[[#This Row],[TIPO_ASEGURAMIENTO]]
)</f>
        <v>ASALARIADO</v>
      </c>
    </row>
    <row r="3217" spans="1:16" x14ac:dyDescent="0.3">
      <c r="A3217">
        <v>3216</v>
      </c>
      <c r="B3217" t="s">
        <v>15</v>
      </c>
      <c r="C3217">
        <v>450886</v>
      </c>
      <c r="D3217" t="s">
        <v>17</v>
      </c>
      <c r="E3217" t="s">
        <v>16</v>
      </c>
      <c r="F3217" t="s">
        <v>12</v>
      </c>
      <c r="G3217" t="s">
        <v>12</v>
      </c>
      <c r="H3217" t="s">
        <v>13</v>
      </c>
      <c r="I3217">
        <v>95</v>
      </c>
      <c r="J3217">
        <f>ABS((I3217-EDA!$A$15)/EDA!$B$15)</f>
        <v>3.741932806947005</v>
      </c>
      <c r="K3217" t="str">
        <f t="shared" si="50"/>
        <v>Sí</v>
      </c>
      <c r="L3217">
        <f>ABS((C3217-EDA!$F$15)/EDA!$G$15)</f>
        <v>0.36815091088189117</v>
      </c>
      <c r="M3217" t="str">
        <f>IF(moras[[#This Row],[Z-Score Salario]]&gt;1.96, "Sí", "No")</f>
        <v>No</v>
      </c>
      <c r="N3217" s="14">
        <f>IF(ISBLANK(moras[[#This Row],[SALARIO]]), EDA!$M$8, moras[[#This Row],[SALARIO]])</f>
        <v>450886</v>
      </c>
      <c r="O3217" s="14">
        <f xml:space="preserve"> IF(ISBLANK(moras[[#This Row],[EDAD]]), EDA!$E$8, moras[[#This Row],[EDAD]])</f>
        <v>95</v>
      </c>
      <c r="P3217" s="14" t="str">
        <f>IF(
    OR(ISBLANK(moras[[#This Row],[TIPO_ASEGURAMIENTO]]), moras[[#This Row],[TIPO_ASEGURAMIENTO]]=""),
    EDA!$A$32,
    moras[[#This Row],[TIPO_ASEGURAMIENTO]]
)</f>
        <v>ASEGURADO VOLUNTARIO</v>
      </c>
    </row>
    <row r="3218" spans="1:16" x14ac:dyDescent="0.3">
      <c r="A3218">
        <v>3217</v>
      </c>
      <c r="B3218" t="s">
        <v>9</v>
      </c>
      <c r="C3218">
        <v>58985</v>
      </c>
      <c r="D3218" t="s">
        <v>10</v>
      </c>
      <c r="E3218" t="s">
        <v>16</v>
      </c>
      <c r="F3218" t="s">
        <v>12</v>
      </c>
      <c r="G3218" t="s">
        <v>13</v>
      </c>
      <c r="H3218" t="s">
        <v>12</v>
      </c>
      <c r="I3218">
        <v>45</v>
      </c>
      <c r="J3218">
        <f>ABS((I3218-EDA!$A$15)/EDA!$B$15)</f>
        <v>0.21316630309012977</v>
      </c>
      <c r="K3218" t="str">
        <f t="shared" si="50"/>
        <v>No</v>
      </c>
      <c r="L3218">
        <f>ABS((C3218-EDA!$F$15)/EDA!$G$15)</f>
        <v>0.37467242016958713</v>
      </c>
      <c r="M3218" t="str">
        <f>IF(moras[[#This Row],[Z-Score Salario]]&gt;1.96, "Sí", "No")</f>
        <v>No</v>
      </c>
      <c r="N3218" s="14">
        <f>IF(ISBLANK(moras[[#This Row],[SALARIO]]), EDA!$M$8, moras[[#This Row],[SALARIO]])</f>
        <v>58985</v>
      </c>
      <c r="O3218" s="14">
        <f xml:space="preserve"> IF(ISBLANK(moras[[#This Row],[EDAD]]), EDA!$E$8, moras[[#This Row],[EDAD]])</f>
        <v>45</v>
      </c>
      <c r="P3218" s="14" t="str">
        <f>IF(
    OR(ISBLANK(moras[[#This Row],[TIPO_ASEGURAMIENTO]]), moras[[#This Row],[TIPO_ASEGURAMIENTO]]=""),
    EDA!$A$32,
    moras[[#This Row],[TIPO_ASEGURAMIENTO]]
)</f>
        <v>ASALARIADO</v>
      </c>
    </row>
    <row r="3219" spans="1:16" x14ac:dyDescent="0.3">
      <c r="A3219">
        <v>3218</v>
      </c>
      <c r="B3219" t="s">
        <v>9</v>
      </c>
      <c r="C3219">
        <v>278030</v>
      </c>
      <c r="D3219" t="s">
        <v>19</v>
      </c>
      <c r="E3219" t="s">
        <v>16</v>
      </c>
      <c r="F3219" t="s">
        <v>12</v>
      </c>
      <c r="G3219" t="s">
        <v>13</v>
      </c>
      <c r="H3219" t="s">
        <v>13</v>
      </c>
      <c r="I3219">
        <v>35</v>
      </c>
      <c r="J3219">
        <f>ABS((I3219-EDA!$A$15)/EDA!$B$15)</f>
        <v>0.49258699768124525</v>
      </c>
      <c r="K3219" t="str">
        <f t="shared" si="50"/>
        <v>No</v>
      </c>
      <c r="L3219">
        <f>ABS((C3219-EDA!$F$15)/EDA!$G$15)</f>
        <v>0.37102735674304993</v>
      </c>
      <c r="M3219" t="str">
        <f>IF(moras[[#This Row],[Z-Score Salario]]&gt;1.96, "Sí", "No")</f>
        <v>No</v>
      </c>
      <c r="N3219" s="14">
        <f>IF(ISBLANK(moras[[#This Row],[SALARIO]]), EDA!$M$8, moras[[#This Row],[SALARIO]])</f>
        <v>278030</v>
      </c>
      <c r="O3219" s="14">
        <f xml:space="preserve"> IF(ISBLANK(moras[[#This Row],[EDAD]]), EDA!$E$8, moras[[#This Row],[EDAD]])</f>
        <v>35</v>
      </c>
      <c r="P3219" s="14" t="str">
        <f>IF(
    OR(ISBLANK(moras[[#This Row],[TIPO_ASEGURAMIENTO]]), moras[[#This Row],[TIPO_ASEGURAMIENTO]]=""),
    EDA!$A$32,
    moras[[#This Row],[TIPO_ASEGURAMIENTO]]
)</f>
        <v>CONVENIOS ESPECIALES DE TRABAJADORES INDEPENDIENTES</v>
      </c>
    </row>
    <row r="3220" spans="1:16" x14ac:dyDescent="0.3">
      <c r="A3220">
        <v>3219</v>
      </c>
      <c r="B3220" t="s">
        <v>9</v>
      </c>
      <c r="C3220">
        <v>3477375</v>
      </c>
      <c r="D3220" t="s">
        <v>10</v>
      </c>
      <c r="E3220" t="s">
        <v>16</v>
      </c>
      <c r="F3220" t="s">
        <v>12</v>
      </c>
      <c r="G3220" t="s">
        <v>13</v>
      </c>
      <c r="H3220" t="s">
        <v>13</v>
      </c>
      <c r="I3220">
        <v>27</v>
      </c>
      <c r="J3220">
        <f>ABS((I3220-EDA!$A$15)/EDA!$B$15)</f>
        <v>1.0571896382983452</v>
      </c>
      <c r="K3220" t="str">
        <f t="shared" si="50"/>
        <v>No</v>
      </c>
      <c r="L3220">
        <f>ABS((C3220-EDA!$F$15)/EDA!$G$15)</f>
        <v>0.31778799748639147</v>
      </c>
      <c r="M3220" t="str">
        <f>IF(moras[[#This Row],[Z-Score Salario]]&gt;1.96, "Sí", "No")</f>
        <v>No</v>
      </c>
      <c r="N3220" s="14">
        <f>IF(ISBLANK(moras[[#This Row],[SALARIO]]), EDA!$M$8, moras[[#This Row],[SALARIO]])</f>
        <v>3477375</v>
      </c>
      <c r="O3220" s="14">
        <f xml:space="preserve"> IF(ISBLANK(moras[[#This Row],[EDAD]]), EDA!$E$8, moras[[#This Row],[EDAD]])</f>
        <v>27</v>
      </c>
      <c r="P3220" s="14" t="str">
        <f>IF(
    OR(ISBLANK(moras[[#This Row],[TIPO_ASEGURAMIENTO]]), moras[[#This Row],[TIPO_ASEGURAMIENTO]]=""),
    EDA!$A$32,
    moras[[#This Row],[TIPO_ASEGURAMIENTO]]
)</f>
        <v>ASALARIADO</v>
      </c>
    </row>
    <row r="3221" spans="1:16" x14ac:dyDescent="0.3">
      <c r="A3221">
        <v>3220</v>
      </c>
      <c r="B3221" t="s">
        <v>15</v>
      </c>
      <c r="C3221">
        <v>45520604</v>
      </c>
      <c r="D3221" t="s">
        <v>10</v>
      </c>
      <c r="E3221" t="s">
        <v>16</v>
      </c>
      <c r="F3221" t="s">
        <v>12</v>
      </c>
      <c r="G3221" t="s">
        <v>13</v>
      </c>
      <c r="H3221" t="s">
        <v>13</v>
      </c>
      <c r="I3221">
        <v>32</v>
      </c>
      <c r="J3221">
        <f>ABS((I3221-EDA!$A$15)/EDA!$B$15)</f>
        <v>0.70431298791265773</v>
      </c>
      <c r="K3221" t="str">
        <f t="shared" si="50"/>
        <v>No</v>
      </c>
      <c r="L3221">
        <f>ABS((C3221-EDA!$F$15)/EDA!$G$15)</f>
        <v>0.38184101190176839</v>
      </c>
      <c r="M3221" t="str">
        <f>IF(moras[[#This Row],[Z-Score Salario]]&gt;1.96, "Sí", "No")</f>
        <v>No</v>
      </c>
      <c r="N3221" s="14">
        <f>IF(ISBLANK(moras[[#This Row],[SALARIO]]), EDA!$M$8, moras[[#This Row],[SALARIO]])</f>
        <v>45520604</v>
      </c>
      <c r="O3221" s="14">
        <f xml:space="preserve"> IF(ISBLANK(moras[[#This Row],[EDAD]]), EDA!$E$8, moras[[#This Row],[EDAD]])</f>
        <v>32</v>
      </c>
      <c r="P3221" s="14" t="str">
        <f>IF(
    OR(ISBLANK(moras[[#This Row],[TIPO_ASEGURAMIENTO]]), moras[[#This Row],[TIPO_ASEGURAMIENTO]]=""),
    EDA!$A$32,
    moras[[#This Row],[TIPO_ASEGURAMIENTO]]
)</f>
        <v>ASALARIADO</v>
      </c>
    </row>
    <row r="3222" spans="1:16" x14ac:dyDescent="0.3">
      <c r="A3222">
        <v>3221</v>
      </c>
      <c r="B3222" t="s">
        <v>15</v>
      </c>
      <c r="C3222">
        <v>3397944</v>
      </c>
      <c r="D3222" t="s">
        <v>10</v>
      </c>
      <c r="E3222" t="s">
        <v>11</v>
      </c>
      <c r="F3222" t="s">
        <v>12</v>
      </c>
      <c r="G3222" t="s">
        <v>13</v>
      </c>
      <c r="H3222" t="s">
        <v>13</v>
      </c>
      <c r="I3222">
        <v>46</v>
      </c>
      <c r="J3222">
        <f>ABS((I3222-EDA!$A$15)/EDA!$B$15)</f>
        <v>0.2837416331672673</v>
      </c>
      <c r="K3222" t="str">
        <f t="shared" si="50"/>
        <v>No</v>
      </c>
      <c r="L3222">
        <f>ABS((C3222-EDA!$F$15)/EDA!$G$15)</f>
        <v>0.31910978539770318</v>
      </c>
      <c r="M3222" t="str">
        <f>IF(moras[[#This Row],[Z-Score Salario]]&gt;1.96, "Sí", "No")</f>
        <v>No</v>
      </c>
      <c r="N3222" s="14">
        <f>IF(ISBLANK(moras[[#This Row],[SALARIO]]), EDA!$M$8, moras[[#This Row],[SALARIO]])</f>
        <v>3397944</v>
      </c>
      <c r="O3222" s="14">
        <f xml:space="preserve"> IF(ISBLANK(moras[[#This Row],[EDAD]]), EDA!$E$8, moras[[#This Row],[EDAD]])</f>
        <v>46</v>
      </c>
      <c r="P3222" s="14" t="str">
        <f>IF(
    OR(ISBLANK(moras[[#This Row],[TIPO_ASEGURAMIENTO]]), moras[[#This Row],[TIPO_ASEGURAMIENTO]]=""),
    EDA!$A$32,
    moras[[#This Row],[TIPO_ASEGURAMIENTO]]
)</f>
        <v>ASALARIADO</v>
      </c>
    </row>
    <row r="3223" spans="1:16" x14ac:dyDescent="0.3">
      <c r="A3223">
        <v>3222</v>
      </c>
      <c r="B3223" t="s">
        <v>15</v>
      </c>
      <c r="C3223">
        <v>445821</v>
      </c>
      <c r="D3223" t="s">
        <v>18</v>
      </c>
      <c r="E3223" t="s">
        <v>16</v>
      </c>
      <c r="F3223" t="s">
        <v>12</v>
      </c>
      <c r="G3223" t="s">
        <v>13</v>
      </c>
      <c r="H3223" t="s">
        <v>13</v>
      </c>
      <c r="I3223">
        <v>63</v>
      </c>
      <c r="J3223">
        <f>ABS((I3223-EDA!$A$15)/EDA!$B$15)</f>
        <v>1.4835222444786049</v>
      </c>
      <c r="K3223" t="str">
        <f t="shared" si="50"/>
        <v>No</v>
      </c>
      <c r="L3223">
        <f>ABS((C3223-EDA!$F$15)/EDA!$G$15)</f>
        <v>0.36823519605733646</v>
      </c>
      <c r="M3223" t="str">
        <f>IF(moras[[#This Row],[Z-Score Salario]]&gt;1.96, "Sí", "No")</f>
        <v>No</v>
      </c>
      <c r="N3223" s="14">
        <f>IF(ISBLANK(moras[[#This Row],[SALARIO]]), EDA!$M$8, moras[[#This Row],[SALARIO]])</f>
        <v>445821</v>
      </c>
      <c r="O3223" s="14">
        <f xml:space="preserve"> IF(ISBLANK(moras[[#This Row],[EDAD]]), EDA!$E$8, moras[[#This Row],[EDAD]])</f>
        <v>63</v>
      </c>
      <c r="P3223" s="14" t="str">
        <f>IF(
    OR(ISBLANK(moras[[#This Row],[TIPO_ASEGURAMIENTO]]), moras[[#This Row],[TIPO_ASEGURAMIENTO]]=""),
    EDA!$A$32,
    moras[[#This Row],[TIPO_ASEGURAMIENTO]]
)</f>
        <v>TRABAJADOR INDEPENDIENTE</v>
      </c>
    </row>
    <row r="3224" spans="1:16" x14ac:dyDescent="0.3">
      <c r="A3224">
        <v>3223</v>
      </c>
      <c r="B3224" t="s">
        <v>9</v>
      </c>
      <c r="C3224">
        <v>326322</v>
      </c>
      <c r="D3224" t="s">
        <v>10</v>
      </c>
      <c r="E3224" t="s">
        <v>16</v>
      </c>
      <c r="F3224" t="s">
        <v>12</v>
      </c>
      <c r="G3224" t="s">
        <v>13</v>
      </c>
      <c r="H3224" t="s">
        <v>13</v>
      </c>
      <c r="I3224">
        <v>57</v>
      </c>
      <c r="J3224">
        <f>ABS((I3224-EDA!$A$15)/EDA!$B$15)</f>
        <v>1.0600702640157798</v>
      </c>
      <c r="K3224" t="str">
        <f t="shared" si="50"/>
        <v>No</v>
      </c>
      <c r="L3224">
        <f>ABS((C3224-EDA!$F$15)/EDA!$G$15)</f>
        <v>0.3702237437731381</v>
      </c>
      <c r="M3224" t="str">
        <f>IF(moras[[#This Row],[Z-Score Salario]]&gt;1.96, "Sí", "No")</f>
        <v>No</v>
      </c>
      <c r="N3224" s="14">
        <f>IF(ISBLANK(moras[[#This Row],[SALARIO]]), EDA!$M$8, moras[[#This Row],[SALARIO]])</f>
        <v>326322</v>
      </c>
      <c r="O3224" s="14">
        <f xml:space="preserve"> IF(ISBLANK(moras[[#This Row],[EDAD]]), EDA!$E$8, moras[[#This Row],[EDAD]])</f>
        <v>57</v>
      </c>
      <c r="P3224" s="14" t="str">
        <f>IF(
    OR(ISBLANK(moras[[#This Row],[TIPO_ASEGURAMIENTO]]), moras[[#This Row],[TIPO_ASEGURAMIENTO]]=""),
    EDA!$A$32,
    moras[[#This Row],[TIPO_ASEGURAMIENTO]]
)</f>
        <v>ASALARIADO</v>
      </c>
    </row>
    <row r="3225" spans="1:16" x14ac:dyDescent="0.3">
      <c r="A3225">
        <v>3224</v>
      </c>
      <c r="B3225" t="s">
        <v>9</v>
      </c>
      <c r="C3225">
        <v>278030</v>
      </c>
      <c r="D3225" t="s">
        <v>19</v>
      </c>
      <c r="E3225" t="s">
        <v>16</v>
      </c>
      <c r="F3225" t="s">
        <v>12</v>
      </c>
      <c r="G3225" t="s">
        <v>13</v>
      </c>
      <c r="H3225" t="s">
        <v>13</v>
      </c>
      <c r="I3225">
        <v>57</v>
      </c>
      <c r="J3225">
        <f>ABS((I3225-EDA!$A$15)/EDA!$B$15)</f>
        <v>1.0600702640157798</v>
      </c>
      <c r="K3225" t="str">
        <f t="shared" si="50"/>
        <v>No</v>
      </c>
      <c r="L3225">
        <f>ABS((C3225-EDA!$F$15)/EDA!$G$15)</f>
        <v>0.37102735674304993</v>
      </c>
      <c r="M3225" t="str">
        <f>IF(moras[[#This Row],[Z-Score Salario]]&gt;1.96, "Sí", "No")</f>
        <v>No</v>
      </c>
      <c r="N3225" s="14">
        <f>IF(ISBLANK(moras[[#This Row],[SALARIO]]), EDA!$M$8, moras[[#This Row],[SALARIO]])</f>
        <v>278030</v>
      </c>
      <c r="O3225" s="14">
        <f xml:space="preserve"> IF(ISBLANK(moras[[#This Row],[EDAD]]), EDA!$E$8, moras[[#This Row],[EDAD]])</f>
        <v>57</v>
      </c>
      <c r="P3225" s="14" t="str">
        <f>IF(
    OR(ISBLANK(moras[[#This Row],[TIPO_ASEGURAMIENTO]]), moras[[#This Row],[TIPO_ASEGURAMIENTO]]=""),
    EDA!$A$32,
    moras[[#This Row],[TIPO_ASEGURAMIENTO]]
)</f>
        <v>CONVENIOS ESPECIALES DE TRABAJADORES INDEPENDIENTES</v>
      </c>
    </row>
    <row r="3226" spans="1:16" x14ac:dyDescent="0.3">
      <c r="A3226">
        <v>3225</v>
      </c>
      <c r="B3226" t="s">
        <v>9</v>
      </c>
      <c r="C3226">
        <v>300018</v>
      </c>
      <c r="D3226" t="s">
        <v>17</v>
      </c>
      <c r="E3226" t="s">
        <v>16</v>
      </c>
      <c r="F3226" t="s">
        <v>12</v>
      </c>
      <c r="G3226" t="s">
        <v>13</v>
      </c>
      <c r="H3226" t="s">
        <v>13</v>
      </c>
      <c r="I3226">
        <v>60</v>
      </c>
      <c r="J3226">
        <f>ABS((I3226-EDA!$A$15)/EDA!$B$15)</f>
        <v>1.2717962542471923</v>
      </c>
      <c r="K3226" t="str">
        <f t="shared" si="50"/>
        <v>No</v>
      </c>
      <c r="L3226">
        <f>ABS((C3226-EDA!$F$15)/EDA!$G$15)</f>
        <v>0.37066146090145252</v>
      </c>
      <c r="M3226" t="str">
        <f>IF(moras[[#This Row],[Z-Score Salario]]&gt;1.96, "Sí", "No")</f>
        <v>No</v>
      </c>
      <c r="N3226" s="14">
        <f>IF(ISBLANK(moras[[#This Row],[SALARIO]]), EDA!$M$8, moras[[#This Row],[SALARIO]])</f>
        <v>300018</v>
      </c>
      <c r="O3226" s="14">
        <f xml:space="preserve"> IF(ISBLANK(moras[[#This Row],[EDAD]]), EDA!$E$8, moras[[#This Row],[EDAD]])</f>
        <v>60</v>
      </c>
      <c r="P3226" s="14" t="str">
        <f>IF(
    OR(ISBLANK(moras[[#This Row],[TIPO_ASEGURAMIENTO]]), moras[[#This Row],[TIPO_ASEGURAMIENTO]]=""),
    EDA!$A$32,
    moras[[#This Row],[TIPO_ASEGURAMIENTO]]
)</f>
        <v>ASEGURADO VOLUNTARIO</v>
      </c>
    </row>
    <row r="3227" spans="1:16" x14ac:dyDescent="0.3">
      <c r="A3227">
        <v>3226</v>
      </c>
      <c r="B3227" t="s">
        <v>15</v>
      </c>
      <c r="C3227">
        <v>42021494</v>
      </c>
      <c r="D3227" t="s">
        <v>10</v>
      </c>
      <c r="E3227" t="s">
        <v>16</v>
      </c>
      <c r="F3227" t="s">
        <v>12</v>
      </c>
      <c r="G3227" t="s">
        <v>13</v>
      </c>
      <c r="H3227" t="s">
        <v>13</v>
      </c>
      <c r="I3227">
        <v>34</v>
      </c>
      <c r="J3227">
        <f>ABS((I3227-EDA!$A$15)/EDA!$B$15)</f>
        <v>0.56316232775838282</v>
      </c>
      <c r="K3227" t="str">
        <f t="shared" si="50"/>
        <v>No</v>
      </c>
      <c r="L3227">
        <f>ABS((C3227-EDA!$F$15)/EDA!$G$15)</f>
        <v>0.3236133514373401</v>
      </c>
      <c r="M3227" t="str">
        <f>IF(moras[[#This Row],[Z-Score Salario]]&gt;1.96, "Sí", "No")</f>
        <v>No</v>
      </c>
      <c r="N3227" s="14">
        <f>IF(ISBLANK(moras[[#This Row],[SALARIO]]), EDA!$M$8, moras[[#This Row],[SALARIO]])</f>
        <v>42021494</v>
      </c>
      <c r="O3227" s="14">
        <f xml:space="preserve"> IF(ISBLANK(moras[[#This Row],[EDAD]]), EDA!$E$8, moras[[#This Row],[EDAD]])</f>
        <v>34</v>
      </c>
      <c r="P3227" s="14" t="str">
        <f>IF(
    OR(ISBLANK(moras[[#This Row],[TIPO_ASEGURAMIENTO]]), moras[[#This Row],[TIPO_ASEGURAMIENTO]]=""),
    EDA!$A$32,
    moras[[#This Row],[TIPO_ASEGURAMIENTO]]
)</f>
        <v>ASALARIADO</v>
      </c>
    </row>
    <row r="3228" spans="1:16" x14ac:dyDescent="0.3">
      <c r="A3228">
        <v>3227</v>
      </c>
      <c r="B3228" t="s">
        <v>9</v>
      </c>
      <c r="C3228">
        <v>20239655</v>
      </c>
      <c r="D3228" t="s">
        <v>10</v>
      </c>
      <c r="E3228" t="s">
        <v>16</v>
      </c>
      <c r="F3228" t="s">
        <v>12</v>
      </c>
      <c r="G3228" t="s">
        <v>13</v>
      </c>
      <c r="H3228" t="s">
        <v>13</v>
      </c>
      <c r="I3228">
        <v>22</v>
      </c>
      <c r="J3228">
        <f>ABS((I3228-EDA!$A$15)/EDA!$B$15)</f>
        <v>1.4100662886840327</v>
      </c>
      <c r="K3228" t="str">
        <f t="shared" si="50"/>
        <v>No</v>
      </c>
      <c r="L3228">
        <f>ABS((C3228-EDA!$F$15)/EDA!$G$15)</f>
        <v>3.8851825588486946E-2</v>
      </c>
      <c r="M3228" t="str">
        <f>IF(moras[[#This Row],[Z-Score Salario]]&gt;1.96, "Sí", "No")</f>
        <v>No</v>
      </c>
      <c r="N3228" s="14">
        <f>IF(ISBLANK(moras[[#This Row],[SALARIO]]), EDA!$M$8, moras[[#This Row],[SALARIO]])</f>
        <v>20239655</v>
      </c>
      <c r="O3228" s="14">
        <f xml:space="preserve"> IF(ISBLANK(moras[[#This Row],[EDAD]]), EDA!$E$8, moras[[#This Row],[EDAD]])</f>
        <v>22</v>
      </c>
      <c r="P3228" s="14" t="str">
        <f>IF(
    OR(ISBLANK(moras[[#This Row],[TIPO_ASEGURAMIENTO]]), moras[[#This Row],[TIPO_ASEGURAMIENTO]]=""),
    EDA!$A$32,
    moras[[#This Row],[TIPO_ASEGURAMIENTO]]
)</f>
        <v>ASALARIADO</v>
      </c>
    </row>
    <row r="3229" spans="1:16" x14ac:dyDescent="0.3">
      <c r="A3229">
        <v>3228</v>
      </c>
      <c r="B3229" t="s">
        <v>9</v>
      </c>
      <c r="C3229">
        <v>100002521</v>
      </c>
      <c r="D3229" t="s">
        <v>14</v>
      </c>
      <c r="E3229" t="s">
        <v>11</v>
      </c>
      <c r="F3229" t="s">
        <v>12</v>
      </c>
      <c r="G3229" t="s">
        <v>13</v>
      </c>
      <c r="H3229" t="s">
        <v>13</v>
      </c>
      <c r="I3229">
        <v>67</v>
      </c>
      <c r="J3229">
        <f>ABS((I3229-EDA!$A$15)/EDA!$B$15)</f>
        <v>1.765823564787155</v>
      </c>
      <c r="K3229" t="str">
        <f t="shared" si="50"/>
        <v>No</v>
      </c>
      <c r="L3229">
        <f>ABS((C3229-EDA!$F$15)/EDA!$G$15)</f>
        <v>1.2884585702315041</v>
      </c>
      <c r="M3229" t="str">
        <f>IF(moras[[#This Row],[Z-Score Salario]]&gt;1.96, "Sí", "No")</f>
        <v>No</v>
      </c>
      <c r="N3229" s="14">
        <f>IF(ISBLANK(moras[[#This Row],[SALARIO]]), EDA!$M$8, moras[[#This Row],[SALARIO]])</f>
        <v>100002521</v>
      </c>
      <c r="O3229" s="14">
        <f xml:space="preserve"> IF(ISBLANK(moras[[#This Row],[EDAD]]), EDA!$E$8, moras[[#This Row],[EDAD]])</f>
        <v>67</v>
      </c>
      <c r="P3229" s="14" t="str">
        <f>IF(
    OR(ISBLANK(moras[[#This Row],[TIPO_ASEGURAMIENTO]]), moras[[#This Row],[TIPO_ASEGURAMIENTO]]=""),
    EDA!$A$32,
    moras[[#This Row],[TIPO_ASEGURAMIENTO]]
)</f>
        <v>PENSIONADOS EN SU PROPIO SISTEMA</v>
      </c>
    </row>
    <row r="3230" spans="1:16" x14ac:dyDescent="0.3">
      <c r="A3230">
        <v>3229</v>
      </c>
      <c r="B3230" t="s">
        <v>9</v>
      </c>
      <c r="C3230">
        <v>924499</v>
      </c>
      <c r="D3230" t="s">
        <v>10</v>
      </c>
      <c r="E3230" t="s">
        <v>11</v>
      </c>
      <c r="F3230" t="s">
        <v>12</v>
      </c>
      <c r="G3230" t="s">
        <v>13</v>
      </c>
      <c r="H3230" t="s">
        <v>13</v>
      </c>
      <c r="I3230">
        <v>42</v>
      </c>
      <c r="J3230">
        <f>ABS((I3230-EDA!$A$15)/EDA!$B$15)</f>
        <v>1.4403128587172659E-3</v>
      </c>
      <c r="K3230" t="str">
        <f t="shared" si="50"/>
        <v>No</v>
      </c>
      <c r="L3230">
        <f>ABS((C3230-EDA!$F$15)/EDA!$G$15)</f>
        <v>0.36026965623269774</v>
      </c>
      <c r="M3230" t="str">
        <f>IF(moras[[#This Row],[Z-Score Salario]]&gt;1.96, "Sí", "No")</f>
        <v>No</v>
      </c>
      <c r="N3230" s="14">
        <f>IF(ISBLANK(moras[[#This Row],[SALARIO]]), EDA!$M$8, moras[[#This Row],[SALARIO]])</f>
        <v>924499</v>
      </c>
      <c r="O3230" s="14">
        <f xml:space="preserve"> IF(ISBLANK(moras[[#This Row],[EDAD]]), EDA!$E$8, moras[[#This Row],[EDAD]])</f>
        <v>42</v>
      </c>
      <c r="P3230" s="14" t="str">
        <f>IF(
    OR(ISBLANK(moras[[#This Row],[TIPO_ASEGURAMIENTO]]), moras[[#This Row],[TIPO_ASEGURAMIENTO]]=""),
    EDA!$A$32,
    moras[[#This Row],[TIPO_ASEGURAMIENTO]]
)</f>
        <v>ASALARIADO</v>
      </c>
    </row>
    <row r="3231" spans="1:16" x14ac:dyDescent="0.3">
      <c r="A3231">
        <v>3230</v>
      </c>
      <c r="B3231" t="s">
        <v>9</v>
      </c>
      <c r="C3231">
        <v>336000</v>
      </c>
      <c r="D3231" t="s">
        <v>10</v>
      </c>
      <c r="E3231" t="s">
        <v>16</v>
      </c>
      <c r="F3231" t="s">
        <v>12</v>
      </c>
      <c r="G3231" t="s">
        <v>13</v>
      </c>
      <c r="H3231" t="s">
        <v>12</v>
      </c>
      <c r="I3231">
        <v>39</v>
      </c>
      <c r="J3231">
        <f>ABS((I3231-EDA!$A$15)/EDA!$B$15)</f>
        <v>0.21028567737269524</v>
      </c>
      <c r="K3231" t="str">
        <f t="shared" si="50"/>
        <v>No</v>
      </c>
      <c r="L3231">
        <f>ABS((C3231-EDA!$F$15)/EDA!$G$15)</f>
        <v>0.37006269502131983</v>
      </c>
      <c r="M3231" t="str">
        <f>IF(moras[[#This Row],[Z-Score Salario]]&gt;1.96, "Sí", "No")</f>
        <v>No</v>
      </c>
      <c r="N3231" s="14">
        <f>IF(ISBLANK(moras[[#This Row],[SALARIO]]), EDA!$M$8, moras[[#This Row],[SALARIO]])</f>
        <v>336000</v>
      </c>
      <c r="O3231" s="14">
        <f xml:space="preserve"> IF(ISBLANK(moras[[#This Row],[EDAD]]), EDA!$E$8, moras[[#This Row],[EDAD]])</f>
        <v>39</v>
      </c>
      <c r="P3231" s="14" t="str">
        <f>IF(
    OR(ISBLANK(moras[[#This Row],[TIPO_ASEGURAMIENTO]]), moras[[#This Row],[TIPO_ASEGURAMIENTO]]=""),
    EDA!$A$32,
    moras[[#This Row],[TIPO_ASEGURAMIENTO]]
)</f>
        <v>ASALARIADO</v>
      </c>
    </row>
    <row r="3232" spans="1:16" x14ac:dyDescent="0.3">
      <c r="A3232">
        <v>3231</v>
      </c>
      <c r="B3232" t="s">
        <v>9</v>
      </c>
      <c r="C3232">
        <v>278030</v>
      </c>
      <c r="D3232" t="s">
        <v>19</v>
      </c>
      <c r="E3232" t="s">
        <v>16</v>
      </c>
      <c r="F3232" t="s">
        <v>12</v>
      </c>
      <c r="G3232" t="s">
        <v>13</v>
      </c>
      <c r="H3232" t="s">
        <v>13</v>
      </c>
      <c r="I3232">
        <v>89</v>
      </c>
      <c r="J3232">
        <f>ABS((I3232-EDA!$A$15)/EDA!$B$15)</f>
        <v>3.3184808264841799</v>
      </c>
      <c r="K3232" t="str">
        <f t="shared" si="50"/>
        <v>Sí</v>
      </c>
      <c r="L3232">
        <f>ABS((C3232-EDA!$F$15)/EDA!$G$15)</f>
        <v>0.37102735674304993</v>
      </c>
      <c r="M3232" t="str">
        <f>IF(moras[[#This Row],[Z-Score Salario]]&gt;1.96, "Sí", "No")</f>
        <v>No</v>
      </c>
      <c r="N3232" s="14">
        <f>IF(ISBLANK(moras[[#This Row],[SALARIO]]), EDA!$M$8, moras[[#This Row],[SALARIO]])</f>
        <v>278030</v>
      </c>
      <c r="O3232" s="14">
        <f xml:space="preserve"> IF(ISBLANK(moras[[#This Row],[EDAD]]), EDA!$E$8, moras[[#This Row],[EDAD]])</f>
        <v>89</v>
      </c>
      <c r="P3232" s="14" t="str">
        <f>IF(
    OR(ISBLANK(moras[[#This Row],[TIPO_ASEGURAMIENTO]]), moras[[#This Row],[TIPO_ASEGURAMIENTO]]=""),
    EDA!$A$32,
    moras[[#This Row],[TIPO_ASEGURAMIENTO]]
)</f>
        <v>CONVENIOS ESPECIALES DE TRABAJADORES INDEPENDIENTES</v>
      </c>
    </row>
    <row r="3233" spans="1:16" x14ac:dyDescent="0.3">
      <c r="A3233">
        <v>3232</v>
      </c>
      <c r="B3233" t="s">
        <v>9</v>
      </c>
      <c r="C3233">
        <v>152945714</v>
      </c>
      <c r="D3233" t="s">
        <v>10</v>
      </c>
      <c r="E3233" t="s">
        <v>16</v>
      </c>
      <c r="F3233" t="s">
        <v>12</v>
      </c>
      <c r="G3233" t="s">
        <v>13</v>
      </c>
      <c r="H3233" t="s">
        <v>13</v>
      </c>
      <c r="I3233">
        <v>32</v>
      </c>
      <c r="J3233">
        <f>ABS((I3233-EDA!$A$15)/EDA!$B$15)</f>
        <v>0.70431298791265773</v>
      </c>
      <c r="K3233" t="str">
        <f t="shared" si="50"/>
        <v>No</v>
      </c>
      <c r="L3233">
        <f>ABS((C3233-EDA!$F$15)/EDA!$G$15)</f>
        <v>2.1694706749972004</v>
      </c>
      <c r="M3233" t="str">
        <f>IF(moras[[#This Row],[Z-Score Salario]]&gt;1.96, "Sí", "No")</f>
        <v>Sí</v>
      </c>
      <c r="N3233" s="14">
        <f>IF(ISBLANK(moras[[#This Row],[SALARIO]]), EDA!$M$8, moras[[#This Row],[SALARIO]])</f>
        <v>152945714</v>
      </c>
      <c r="O3233" s="14">
        <f xml:space="preserve"> IF(ISBLANK(moras[[#This Row],[EDAD]]), EDA!$E$8, moras[[#This Row],[EDAD]])</f>
        <v>32</v>
      </c>
      <c r="P3233" s="14" t="str">
        <f>IF(
    OR(ISBLANK(moras[[#This Row],[TIPO_ASEGURAMIENTO]]), moras[[#This Row],[TIPO_ASEGURAMIENTO]]=""),
    EDA!$A$32,
    moras[[#This Row],[TIPO_ASEGURAMIENTO]]
)</f>
        <v>ASALARIADO</v>
      </c>
    </row>
    <row r="3234" spans="1:16" x14ac:dyDescent="0.3">
      <c r="A3234">
        <v>3233</v>
      </c>
      <c r="B3234" t="s">
        <v>9</v>
      </c>
      <c r="C3234">
        <v>297046</v>
      </c>
      <c r="D3234" t="s">
        <v>18</v>
      </c>
      <c r="E3234" t="s">
        <v>16</v>
      </c>
      <c r="F3234" t="s">
        <v>12</v>
      </c>
      <c r="G3234" t="s">
        <v>13</v>
      </c>
      <c r="H3234" t="s">
        <v>12</v>
      </c>
      <c r="I3234">
        <v>59</v>
      </c>
      <c r="J3234">
        <f>ABS((I3234-EDA!$A$15)/EDA!$B$15)</f>
        <v>1.2012209241700549</v>
      </c>
      <c r="K3234" t="str">
        <f t="shared" si="50"/>
        <v>No</v>
      </c>
      <c r="L3234">
        <f>ABS((C3234-EDA!$F$15)/EDA!$G$15)</f>
        <v>0.37071091707942361</v>
      </c>
      <c r="M3234" t="str">
        <f>IF(moras[[#This Row],[Z-Score Salario]]&gt;1.96, "Sí", "No")</f>
        <v>No</v>
      </c>
      <c r="N3234" s="14">
        <f>IF(ISBLANK(moras[[#This Row],[SALARIO]]), EDA!$M$8, moras[[#This Row],[SALARIO]])</f>
        <v>297046</v>
      </c>
      <c r="O3234" s="14">
        <f xml:space="preserve"> IF(ISBLANK(moras[[#This Row],[EDAD]]), EDA!$E$8, moras[[#This Row],[EDAD]])</f>
        <v>59</v>
      </c>
      <c r="P3234" s="14" t="str">
        <f>IF(
    OR(ISBLANK(moras[[#This Row],[TIPO_ASEGURAMIENTO]]), moras[[#This Row],[TIPO_ASEGURAMIENTO]]=""),
    EDA!$A$32,
    moras[[#This Row],[TIPO_ASEGURAMIENTO]]
)</f>
        <v>TRABAJADOR INDEPENDIENTE</v>
      </c>
    </row>
    <row r="3235" spans="1:16" x14ac:dyDescent="0.3">
      <c r="A3235">
        <v>3234</v>
      </c>
      <c r="B3235" t="s">
        <v>9</v>
      </c>
      <c r="C3235">
        <v>358640</v>
      </c>
      <c r="D3235" t="s">
        <v>18</v>
      </c>
      <c r="E3235" t="s">
        <v>16</v>
      </c>
      <c r="F3235" t="s">
        <v>12</v>
      </c>
      <c r="G3235" t="s">
        <v>13</v>
      </c>
      <c r="H3235" t="s">
        <v>12</v>
      </c>
      <c r="I3235">
        <v>63</v>
      </c>
      <c r="J3235">
        <f>ABS((I3235-EDA!$A$15)/EDA!$B$15)</f>
        <v>1.4835222444786049</v>
      </c>
      <c r="K3235" t="str">
        <f t="shared" si="50"/>
        <v>No</v>
      </c>
      <c r="L3235">
        <f>ABS((C3235-EDA!$F$15)/EDA!$G$15)</f>
        <v>0.3696859494394677</v>
      </c>
      <c r="M3235" t="str">
        <f>IF(moras[[#This Row],[Z-Score Salario]]&gt;1.96, "Sí", "No")</f>
        <v>No</v>
      </c>
      <c r="N3235" s="14">
        <f>IF(ISBLANK(moras[[#This Row],[SALARIO]]), EDA!$M$8, moras[[#This Row],[SALARIO]])</f>
        <v>358640</v>
      </c>
      <c r="O3235" s="14">
        <f xml:space="preserve"> IF(ISBLANK(moras[[#This Row],[EDAD]]), EDA!$E$8, moras[[#This Row],[EDAD]])</f>
        <v>63</v>
      </c>
      <c r="P3235" s="14" t="str">
        <f>IF(
    OR(ISBLANK(moras[[#This Row],[TIPO_ASEGURAMIENTO]]), moras[[#This Row],[TIPO_ASEGURAMIENTO]]=""),
    EDA!$A$32,
    moras[[#This Row],[TIPO_ASEGURAMIENTO]]
)</f>
        <v>TRABAJADOR INDEPENDIENTE</v>
      </c>
    </row>
    <row r="3236" spans="1:16" x14ac:dyDescent="0.3">
      <c r="A3236">
        <v>3235</v>
      </c>
      <c r="B3236" t="s">
        <v>9</v>
      </c>
      <c r="C3236">
        <v>414416</v>
      </c>
      <c r="D3236" t="s">
        <v>10</v>
      </c>
      <c r="E3236" t="s">
        <v>16</v>
      </c>
      <c r="F3236" t="s">
        <v>12</v>
      </c>
      <c r="G3236" t="s">
        <v>13</v>
      </c>
      <c r="H3236" t="s">
        <v>13</v>
      </c>
      <c r="I3236">
        <v>61</v>
      </c>
      <c r="J3236">
        <f>ABS((I3236-EDA!$A$15)/EDA!$B$15)</f>
        <v>1.3423715843243298</v>
      </c>
      <c r="K3236" t="str">
        <f t="shared" si="50"/>
        <v>No</v>
      </c>
      <c r="L3236">
        <f>ABS((C3236-EDA!$F$15)/EDA!$G$15)</f>
        <v>0.36875779742650899</v>
      </c>
      <c r="M3236" t="str">
        <f>IF(moras[[#This Row],[Z-Score Salario]]&gt;1.96, "Sí", "No")</f>
        <v>No</v>
      </c>
      <c r="N3236" s="14">
        <f>IF(ISBLANK(moras[[#This Row],[SALARIO]]), EDA!$M$8, moras[[#This Row],[SALARIO]])</f>
        <v>414416</v>
      </c>
      <c r="O3236" s="14">
        <f xml:space="preserve"> IF(ISBLANK(moras[[#This Row],[EDAD]]), EDA!$E$8, moras[[#This Row],[EDAD]])</f>
        <v>61</v>
      </c>
      <c r="P3236" s="14" t="str">
        <f>IF(
    OR(ISBLANK(moras[[#This Row],[TIPO_ASEGURAMIENTO]]), moras[[#This Row],[TIPO_ASEGURAMIENTO]]=""),
    EDA!$A$32,
    moras[[#This Row],[TIPO_ASEGURAMIENTO]]
)</f>
        <v>ASALARIADO</v>
      </c>
    </row>
    <row r="3237" spans="1:16" x14ac:dyDescent="0.3">
      <c r="A3237">
        <v>3236</v>
      </c>
      <c r="B3237" t="s">
        <v>15</v>
      </c>
      <c r="C3237">
        <v>347256</v>
      </c>
      <c r="D3237" t="s">
        <v>10</v>
      </c>
      <c r="E3237" t="s">
        <v>11</v>
      </c>
      <c r="F3237" t="s">
        <v>12</v>
      </c>
      <c r="G3237" t="s">
        <v>13</v>
      </c>
      <c r="H3237" t="s">
        <v>12</v>
      </c>
      <c r="I3237">
        <v>47</v>
      </c>
      <c r="J3237">
        <f>ABS((I3237-EDA!$A$15)/EDA!$B$15)</f>
        <v>0.35431696324440481</v>
      </c>
      <c r="K3237" t="str">
        <f t="shared" si="50"/>
        <v>No</v>
      </c>
      <c r="L3237">
        <f>ABS((C3237-EDA!$F$15)/EDA!$G$15)</f>
        <v>0.36987538723557217</v>
      </c>
      <c r="M3237" t="str">
        <f>IF(moras[[#This Row],[Z-Score Salario]]&gt;1.96, "Sí", "No")</f>
        <v>No</v>
      </c>
      <c r="N3237" s="14">
        <f>IF(ISBLANK(moras[[#This Row],[SALARIO]]), EDA!$M$8, moras[[#This Row],[SALARIO]])</f>
        <v>347256</v>
      </c>
      <c r="O3237" s="14">
        <f xml:space="preserve"> IF(ISBLANK(moras[[#This Row],[EDAD]]), EDA!$E$8, moras[[#This Row],[EDAD]])</f>
        <v>47</v>
      </c>
      <c r="P3237" s="14" t="str">
        <f>IF(
    OR(ISBLANK(moras[[#This Row],[TIPO_ASEGURAMIENTO]]), moras[[#This Row],[TIPO_ASEGURAMIENTO]]=""),
    EDA!$A$32,
    moras[[#This Row],[TIPO_ASEGURAMIENTO]]
)</f>
        <v>ASALARIADO</v>
      </c>
    </row>
    <row r="3238" spans="1:16" x14ac:dyDescent="0.3">
      <c r="A3238">
        <v>3237</v>
      </c>
      <c r="B3238" t="s">
        <v>9</v>
      </c>
      <c r="C3238">
        <v>1119534</v>
      </c>
      <c r="D3238" t="s">
        <v>18</v>
      </c>
      <c r="E3238" t="s">
        <v>16</v>
      </c>
      <c r="F3238" t="s">
        <v>12</v>
      </c>
      <c r="G3238" t="s">
        <v>13</v>
      </c>
      <c r="H3238" t="s">
        <v>13</v>
      </c>
      <c r="I3238">
        <v>71</v>
      </c>
      <c r="J3238">
        <f>ABS((I3238-EDA!$A$15)/EDA!$B$15)</f>
        <v>2.0481248850957048</v>
      </c>
      <c r="K3238" t="str">
        <f t="shared" si="50"/>
        <v>Sí</v>
      </c>
      <c r="L3238">
        <f>ABS((C3238-EDA!$F$15)/EDA!$G$15)</f>
        <v>0.35702413615511236</v>
      </c>
      <c r="M3238" t="str">
        <f>IF(moras[[#This Row],[Z-Score Salario]]&gt;1.96, "Sí", "No")</f>
        <v>No</v>
      </c>
      <c r="N3238" s="14">
        <f>IF(ISBLANK(moras[[#This Row],[SALARIO]]), EDA!$M$8, moras[[#This Row],[SALARIO]])</f>
        <v>1119534</v>
      </c>
      <c r="O3238" s="14">
        <f xml:space="preserve"> IF(ISBLANK(moras[[#This Row],[EDAD]]), EDA!$E$8, moras[[#This Row],[EDAD]])</f>
        <v>71</v>
      </c>
      <c r="P3238" s="14" t="str">
        <f>IF(
    OR(ISBLANK(moras[[#This Row],[TIPO_ASEGURAMIENTO]]), moras[[#This Row],[TIPO_ASEGURAMIENTO]]=""),
    EDA!$A$32,
    moras[[#This Row],[TIPO_ASEGURAMIENTO]]
)</f>
        <v>TRABAJADOR INDEPENDIENTE</v>
      </c>
    </row>
    <row r="3239" spans="1:16" x14ac:dyDescent="0.3">
      <c r="A3239">
        <v>3238</v>
      </c>
      <c r="B3239" t="s">
        <v>15</v>
      </c>
      <c r="C3239">
        <v>34666667</v>
      </c>
      <c r="D3239" t="s">
        <v>10</v>
      </c>
      <c r="E3239" t="s">
        <v>16</v>
      </c>
      <c r="F3239" t="s">
        <v>12</v>
      </c>
      <c r="G3239" t="s">
        <v>13</v>
      </c>
      <c r="H3239" t="s">
        <v>13</v>
      </c>
      <c r="I3239">
        <v>38</v>
      </c>
      <c r="J3239">
        <f>ABS((I3239-EDA!$A$15)/EDA!$B$15)</f>
        <v>0.28086100744983278</v>
      </c>
      <c r="K3239" t="str">
        <f t="shared" si="50"/>
        <v>No</v>
      </c>
      <c r="L3239">
        <f>ABS((C3239-EDA!$F$15)/EDA!$G$15)</f>
        <v>0.20122383829525267</v>
      </c>
      <c r="M3239" t="str">
        <f>IF(moras[[#This Row],[Z-Score Salario]]&gt;1.96, "Sí", "No")</f>
        <v>No</v>
      </c>
      <c r="N3239" s="14">
        <f>IF(ISBLANK(moras[[#This Row],[SALARIO]]), EDA!$M$8, moras[[#This Row],[SALARIO]])</f>
        <v>34666667</v>
      </c>
      <c r="O3239" s="14">
        <f xml:space="preserve"> IF(ISBLANK(moras[[#This Row],[EDAD]]), EDA!$E$8, moras[[#This Row],[EDAD]])</f>
        <v>38</v>
      </c>
      <c r="P3239" s="14" t="str">
        <f>IF(
    OR(ISBLANK(moras[[#This Row],[TIPO_ASEGURAMIENTO]]), moras[[#This Row],[TIPO_ASEGURAMIENTO]]=""),
    EDA!$A$32,
    moras[[#This Row],[TIPO_ASEGURAMIENTO]]
)</f>
        <v>ASALARIADO</v>
      </c>
    </row>
    <row r="3240" spans="1:16" x14ac:dyDescent="0.3">
      <c r="A3240">
        <v>3239</v>
      </c>
      <c r="B3240" t="s">
        <v>9</v>
      </c>
      <c r="C3240">
        <v>594092</v>
      </c>
      <c r="D3240" t="s">
        <v>18</v>
      </c>
      <c r="E3240" t="s">
        <v>16</v>
      </c>
      <c r="F3240" t="s">
        <v>12</v>
      </c>
      <c r="G3240" t="s">
        <v>13</v>
      </c>
      <c r="H3240" t="s">
        <v>12</v>
      </c>
      <c r="I3240">
        <v>39</v>
      </c>
      <c r="J3240">
        <f>ABS((I3240-EDA!$A$15)/EDA!$B$15)</f>
        <v>0.21028567737269524</v>
      </c>
      <c r="K3240" t="str">
        <f t="shared" si="50"/>
        <v>No</v>
      </c>
      <c r="L3240">
        <f>ABS((C3240-EDA!$F$15)/EDA!$G$15)</f>
        <v>0.36576786195102906</v>
      </c>
      <c r="M3240" t="str">
        <f>IF(moras[[#This Row],[Z-Score Salario]]&gt;1.96, "Sí", "No")</f>
        <v>No</v>
      </c>
      <c r="N3240" s="14">
        <f>IF(ISBLANK(moras[[#This Row],[SALARIO]]), EDA!$M$8, moras[[#This Row],[SALARIO]])</f>
        <v>594092</v>
      </c>
      <c r="O3240" s="14">
        <f xml:space="preserve"> IF(ISBLANK(moras[[#This Row],[EDAD]]), EDA!$E$8, moras[[#This Row],[EDAD]])</f>
        <v>39</v>
      </c>
      <c r="P3240" s="14" t="str">
        <f>IF(
    OR(ISBLANK(moras[[#This Row],[TIPO_ASEGURAMIENTO]]), moras[[#This Row],[TIPO_ASEGURAMIENTO]]=""),
    EDA!$A$32,
    moras[[#This Row],[TIPO_ASEGURAMIENTO]]
)</f>
        <v>TRABAJADOR INDEPENDIENTE</v>
      </c>
    </row>
    <row r="3241" spans="1:16" x14ac:dyDescent="0.3">
      <c r="A3241">
        <v>3240</v>
      </c>
      <c r="B3241" t="s">
        <v>15</v>
      </c>
      <c r="C3241">
        <v>175000</v>
      </c>
      <c r="D3241" t="s">
        <v>10</v>
      </c>
      <c r="E3241" t="s">
        <v>16</v>
      </c>
      <c r="F3241" t="s">
        <v>12</v>
      </c>
      <c r="G3241" t="s">
        <v>13</v>
      </c>
      <c r="H3241" t="s">
        <v>13</v>
      </c>
      <c r="I3241">
        <v>31</v>
      </c>
      <c r="J3241">
        <f>ABS((I3241-EDA!$A$15)/EDA!$B$15)</f>
        <v>0.77488831798979529</v>
      </c>
      <c r="K3241" t="str">
        <f t="shared" si="50"/>
        <v>No</v>
      </c>
      <c r="L3241">
        <f>ABS((C3241-EDA!$F$15)/EDA!$G$15)</f>
        <v>0.37274184867318361</v>
      </c>
      <c r="M3241" t="str">
        <f>IF(moras[[#This Row],[Z-Score Salario]]&gt;1.96, "Sí", "No")</f>
        <v>No</v>
      </c>
      <c r="N3241" s="14">
        <f>IF(ISBLANK(moras[[#This Row],[SALARIO]]), EDA!$M$8, moras[[#This Row],[SALARIO]])</f>
        <v>175000</v>
      </c>
      <c r="O3241" s="14">
        <f xml:space="preserve"> IF(ISBLANK(moras[[#This Row],[EDAD]]), EDA!$E$8, moras[[#This Row],[EDAD]])</f>
        <v>31</v>
      </c>
      <c r="P3241" s="14" t="str">
        <f>IF(
    OR(ISBLANK(moras[[#This Row],[TIPO_ASEGURAMIENTO]]), moras[[#This Row],[TIPO_ASEGURAMIENTO]]=""),
    EDA!$A$32,
    moras[[#This Row],[TIPO_ASEGURAMIENTO]]
)</f>
        <v>ASALARIADO</v>
      </c>
    </row>
    <row r="3242" spans="1:16" x14ac:dyDescent="0.3">
      <c r="A3242">
        <v>3241</v>
      </c>
      <c r="B3242" t="s">
        <v>15</v>
      </c>
      <c r="C3242">
        <v>22147343</v>
      </c>
      <c r="D3242" t="s">
        <v>10</v>
      </c>
      <c r="E3242" t="s">
        <v>11</v>
      </c>
      <c r="F3242" t="s">
        <v>12</v>
      </c>
      <c r="G3242" t="s">
        <v>13</v>
      </c>
      <c r="H3242" t="s">
        <v>13</v>
      </c>
      <c r="I3242">
        <v>54</v>
      </c>
      <c r="J3242">
        <f>ABS((I3242-EDA!$A$15)/EDA!$B$15)</f>
        <v>0.84834427378436728</v>
      </c>
      <c r="K3242" t="str">
        <f t="shared" si="50"/>
        <v>No</v>
      </c>
      <c r="L3242">
        <f>ABS((C3242-EDA!$F$15)/EDA!$G$15)</f>
        <v>7.1065506082593393E-3</v>
      </c>
      <c r="M3242" t="str">
        <f>IF(moras[[#This Row],[Z-Score Salario]]&gt;1.96, "Sí", "No")</f>
        <v>No</v>
      </c>
      <c r="N3242" s="14">
        <f>IF(ISBLANK(moras[[#This Row],[SALARIO]]), EDA!$M$8, moras[[#This Row],[SALARIO]])</f>
        <v>22147343</v>
      </c>
      <c r="O3242" s="14">
        <f xml:space="preserve"> IF(ISBLANK(moras[[#This Row],[EDAD]]), EDA!$E$8, moras[[#This Row],[EDAD]])</f>
        <v>54</v>
      </c>
      <c r="P3242" s="14" t="str">
        <f>IF(
    OR(ISBLANK(moras[[#This Row],[TIPO_ASEGURAMIENTO]]), moras[[#This Row],[TIPO_ASEGURAMIENTO]]=""),
    EDA!$A$32,
    moras[[#This Row],[TIPO_ASEGURAMIENTO]]
)</f>
        <v>ASALARIADO</v>
      </c>
    </row>
    <row r="3243" spans="1:16" x14ac:dyDescent="0.3">
      <c r="A3243">
        <v>3242</v>
      </c>
      <c r="B3243" t="s">
        <v>15</v>
      </c>
      <c r="C3243">
        <v>6575625</v>
      </c>
      <c r="D3243" t="s">
        <v>10</v>
      </c>
      <c r="E3243" t="s">
        <v>11</v>
      </c>
      <c r="F3243" t="s">
        <v>12</v>
      </c>
      <c r="G3243" t="s">
        <v>13</v>
      </c>
      <c r="H3243" t="s">
        <v>13</v>
      </c>
      <c r="I3243">
        <v>27</v>
      </c>
      <c r="J3243">
        <f>ABS((I3243-EDA!$A$15)/EDA!$B$15)</f>
        <v>1.0571896382983452</v>
      </c>
      <c r="K3243" t="str">
        <f t="shared" si="50"/>
        <v>No</v>
      </c>
      <c r="L3243">
        <f>ABS((C3243-EDA!$F$15)/EDA!$G$15)</f>
        <v>0.26623093039392653</v>
      </c>
      <c r="M3243" t="str">
        <f>IF(moras[[#This Row],[Z-Score Salario]]&gt;1.96, "Sí", "No")</f>
        <v>No</v>
      </c>
      <c r="N3243" s="14">
        <f>IF(ISBLANK(moras[[#This Row],[SALARIO]]), EDA!$M$8, moras[[#This Row],[SALARIO]])</f>
        <v>6575625</v>
      </c>
      <c r="O3243" s="14">
        <f xml:space="preserve"> IF(ISBLANK(moras[[#This Row],[EDAD]]), EDA!$E$8, moras[[#This Row],[EDAD]])</f>
        <v>27</v>
      </c>
      <c r="P3243" s="14" t="str">
        <f>IF(
    OR(ISBLANK(moras[[#This Row],[TIPO_ASEGURAMIENTO]]), moras[[#This Row],[TIPO_ASEGURAMIENTO]]=""),
    EDA!$A$32,
    moras[[#This Row],[TIPO_ASEGURAMIENTO]]
)</f>
        <v>ASALARIADO</v>
      </c>
    </row>
    <row r="3244" spans="1:16" x14ac:dyDescent="0.3">
      <c r="A3244">
        <v>3243</v>
      </c>
      <c r="B3244" t="s">
        <v>9</v>
      </c>
      <c r="C3244">
        <v>297502</v>
      </c>
      <c r="D3244" t="s">
        <v>17</v>
      </c>
      <c r="E3244" t="s">
        <v>16</v>
      </c>
      <c r="F3244" t="s">
        <v>12</v>
      </c>
      <c r="G3244" t="s">
        <v>13</v>
      </c>
      <c r="H3244" t="s">
        <v>13</v>
      </c>
      <c r="I3244">
        <v>67</v>
      </c>
      <c r="J3244">
        <f>ABS((I3244-EDA!$A$15)/EDA!$B$15)</f>
        <v>1.765823564787155</v>
      </c>
      <c r="K3244" t="str">
        <f t="shared" si="50"/>
        <v>No</v>
      </c>
      <c r="L3244">
        <f>ABS((C3244-EDA!$F$15)/EDA!$G$15)</f>
        <v>0.37070332891752761</v>
      </c>
      <c r="M3244" t="str">
        <f>IF(moras[[#This Row],[Z-Score Salario]]&gt;1.96, "Sí", "No")</f>
        <v>No</v>
      </c>
      <c r="N3244" s="14">
        <f>IF(ISBLANK(moras[[#This Row],[SALARIO]]), EDA!$M$8, moras[[#This Row],[SALARIO]])</f>
        <v>297502</v>
      </c>
      <c r="O3244" s="14">
        <f xml:space="preserve"> IF(ISBLANK(moras[[#This Row],[EDAD]]), EDA!$E$8, moras[[#This Row],[EDAD]])</f>
        <v>67</v>
      </c>
      <c r="P3244" s="14" t="str">
        <f>IF(
    OR(ISBLANK(moras[[#This Row],[TIPO_ASEGURAMIENTO]]), moras[[#This Row],[TIPO_ASEGURAMIENTO]]=""),
    EDA!$A$32,
    moras[[#This Row],[TIPO_ASEGURAMIENTO]]
)</f>
        <v>ASEGURADO VOLUNTARIO</v>
      </c>
    </row>
    <row r="3245" spans="1:16" x14ac:dyDescent="0.3">
      <c r="A3245">
        <v>3244</v>
      </c>
      <c r="B3245" t="s">
        <v>9</v>
      </c>
      <c r="C3245">
        <v>422231</v>
      </c>
      <c r="D3245" t="s">
        <v>10</v>
      </c>
      <c r="E3245" t="s">
        <v>11</v>
      </c>
      <c r="F3245" t="s">
        <v>12</v>
      </c>
      <c r="G3245" t="s">
        <v>13</v>
      </c>
      <c r="H3245" t="s">
        <v>13</v>
      </c>
      <c r="I3245">
        <v>49</v>
      </c>
      <c r="J3245">
        <f>ABS((I3245-EDA!$A$15)/EDA!$B$15)</f>
        <v>0.49546762339867978</v>
      </c>
      <c r="K3245" t="str">
        <f t="shared" si="50"/>
        <v>No</v>
      </c>
      <c r="L3245">
        <f>ABS((C3245-EDA!$F$15)/EDA!$G$15)</f>
        <v>0.36862775030980516</v>
      </c>
      <c r="M3245" t="str">
        <f>IF(moras[[#This Row],[Z-Score Salario]]&gt;1.96, "Sí", "No")</f>
        <v>No</v>
      </c>
      <c r="N3245" s="14">
        <f>IF(ISBLANK(moras[[#This Row],[SALARIO]]), EDA!$M$8, moras[[#This Row],[SALARIO]])</f>
        <v>422231</v>
      </c>
      <c r="O3245" s="14">
        <f xml:space="preserve"> IF(ISBLANK(moras[[#This Row],[EDAD]]), EDA!$E$8, moras[[#This Row],[EDAD]])</f>
        <v>49</v>
      </c>
      <c r="P3245" s="14" t="str">
        <f>IF(
    OR(ISBLANK(moras[[#This Row],[TIPO_ASEGURAMIENTO]]), moras[[#This Row],[TIPO_ASEGURAMIENTO]]=""),
    EDA!$A$32,
    moras[[#This Row],[TIPO_ASEGURAMIENTO]]
)</f>
        <v>ASALARIADO</v>
      </c>
    </row>
    <row r="3246" spans="1:16" x14ac:dyDescent="0.3">
      <c r="A3246">
        <v>3245</v>
      </c>
      <c r="B3246" t="s">
        <v>15</v>
      </c>
      <c r="C3246">
        <v>5009378</v>
      </c>
      <c r="D3246" t="s">
        <v>10</v>
      </c>
      <c r="E3246" t="s">
        <v>16</v>
      </c>
      <c r="F3246" t="s">
        <v>12</v>
      </c>
      <c r="G3246" t="s">
        <v>13</v>
      </c>
      <c r="H3246" t="s">
        <v>13</v>
      </c>
      <c r="I3246">
        <v>50</v>
      </c>
      <c r="J3246">
        <f>ABS((I3246-EDA!$A$15)/EDA!$B$15)</f>
        <v>0.56604295347581735</v>
      </c>
      <c r="K3246" t="str">
        <f t="shared" si="50"/>
        <v>No</v>
      </c>
      <c r="L3246">
        <f>ABS((C3246-EDA!$F$15)/EDA!$G$15)</f>
        <v>0.29229438610678765</v>
      </c>
      <c r="M3246" t="str">
        <f>IF(moras[[#This Row],[Z-Score Salario]]&gt;1.96, "Sí", "No")</f>
        <v>No</v>
      </c>
      <c r="N3246" s="14">
        <f>IF(ISBLANK(moras[[#This Row],[SALARIO]]), EDA!$M$8, moras[[#This Row],[SALARIO]])</f>
        <v>5009378</v>
      </c>
      <c r="O3246" s="14">
        <f xml:space="preserve"> IF(ISBLANK(moras[[#This Row],[EDAD]]), EDA!$E$8, moras[[#This Row],[EDAD]])</f>
        <v>50</v>
      </c>
      <c r="P3246" s="14" t="str">
        <f>IF(
    OR(ISBLANK(moras[[#This Row],[TIPO_ASEGURAMIENTO]]), moras[[#This Row],[TIPO_ASEGURAMIENTO]]=""),
    EDA!$A$32,
    moras[[#This Row],[TIPO_ASEGURAMIENTO]]
)</f>
        <v>ASALARIADO</v>
      </c>
    </row>
    <row r="3247" spans="1:16" x14ac:dyDescent="0.3">
      <c r="A3247">
        <v>3246</v>
      </c>
      <c r="B3247" t="s">
        <v>9</v>
      </c>
      <c r="C3247">
        <v>278031</v>
      </c>
      <c r="D3247" t="s">
        <v>18</v>
      </c>
      <c r="E3247" t="s">
        <v>16</v>
      </c>
      <c r="F3247" t="s">
        <v>12</v>
      </c>
      <c r="G3247" t="s">
        <v>13</v>
      </c>
      <c r="H3247" t="s">
        <v>13</v>
      </c>
      <c r="I3247">
        <v>42</v>
      </c>
      <c r="J3247">
        <f>ABS((I3247-EDA!$A$15)/EDA!$B$15)</f>
        <v>1.4403128587172659E-3</v>
      </c>
      <c r="K3247" t="str">
        <f t="shared" si="50"/>
        <v>No</v>
      </c>
      <c r="L3247">
        <f>ABS((C3247-EDA!$F$15)/EDA!$G$15)</f>
        <v>0.37102734010234401</v>
      </c>
      <c r="M3247" t="str">
        <f>IF(moras[[#This Row],[Z-Score Salario]]&gt;1.96, "Sí", "No")</f>
        <v>No</v>
      </c>
      <c r="N3247" s="14">
        <f>IF(ISBLANK(moras[[#This Row],[SALARIO]]), EDA!$M$8, moras[[#This Row],[SALARIO]])</f>
        <v>278031</v>
      </c>
      <c r="O3247" s="14">
        <f xml:space="preserve"> IF(ISBLANK(moras[[#This Row],[EDAD]]), EDA!$E$8, moras[[#This Row],[EDAD]])</f>
        <v>42</v>
      </c>
      <c r="P3247" s="14" t="str">
        <f>IF(
    OR(ISBLANK(moras[[#This Row],[TIPO_ASEGURAMIENTO]]), moras[[#This Row],[TIPO_ASEGURAMIENTO]]=""),
    EDA!$A$32,
    moras[[#This Row],[TIPO_ASEGURAMIENTO]]
)</f>
        <v>TRABAJADOR INDEPENDIENTE</v>
      </c>
    </row>
    <row r="3248" spans="1:16" x14ac:dyDescent="0.3">
      <c r="A3248">
        <v>3247</v>
      </c>
      <c r="B3248" t="s">
        <v>9</v>
      </c>
      <c r="C3248">
        <v>180000</v>
      </c>
      <c r="D3248" t="s">
        <v>10</v>
      </c>
      <c r="E3248" t="s">
        <v>16</v>
      </c>
      <c r="F3248" t="s">
        <v>12</v>
      </c>
      <c r="G3248" t="s">
        <v>13</v>
      </c>
      <c r="H3248" t="s">
        <v>12</v>
      </c>
      <c r="I3248">
        <v>41</v>
      </c>
      <c r="J3248">
        <f>ABS((I3248-EDA!$A$15)/EDA!$B$15)</f>
        <v>6.9135017218420233E-2</v>
      </c>
      <c r="K3248" t="str">
        <f t="shared" si="50"/>
        <v>No</v>
      </c>
      <c r="L3248">
        <f>ABS((C3248-EDA!$F$15)/EDA!$G$15)</f>
        <v>0.37265864514362262</v>
      </c>
      <c r="M3248" t="str">
        <f>IF(moras[[#This Row],[Z-Score Salario]]&gt;1.96, "Sí", "No")</f>
        <v>No</v>
      </c>
      <c r="N3248" s="14">
        <f>IF(ISBLANK(moras[[#This Row],[SALARIO]]), EDA!$M$8, moras[[#This Row],[SALARIO]])</f>
        <v>180000</v>
      </c>
      <c r="O3248" s="14">
        <f xml:space="preserve"> IF(ISBLANK(moras[[#This Row],[EDAD]]), EDA!$E$8, moras[[#This Row],[EDAD]])</f>
        <v>41</v>
      </c>
      <c r="P3248" s="14" t="str">
        <f>IF(
    OR(ISBLANK(moras[[#This Row],[TIPO_ASEGURAMIENTO]]), moras[[#This Row],[TIPO_ASEGURAMIENTO]]=""),
    EDA!$A$32,
    moras[[#This Row],[TIPO_ASEGURAMIENTO]]
)</f>
        <v>ASALARIADO</v>
      </c>
    </row>
    <row r="3249" spans="1:16" x14ac:dyDescent="0.3">
      <c r="A3249">
        <v>3248</v>
      </c>
      <c r="B3249" t="s">
        <v>9</v>
      </c>
      <c r="C3249">
        <v>194000</v>
      </c>
      <c r="D3249" t="s">
        <v>10</v>
      </c>
      <c r="E3249" t="s">
        <v>16</v>
      </c>
      <c r="F3249" t="s">
        <v>12</v>
      </c>
      <c r="G3249" t="s">
        <v>13</v>
      </c>
      <c r="H3249" t="s">
        <v>13</v>
      </c>
      <c r="I3249">
        <v>57</v>
      </c>
      <c r="J3249">
        <f>ABS((I3249-EDA!$A$15)/EDA!$B$15)</f>
        <v>1.0600702640157798</v>
      </c>
      <c r="K3249" t="str">
        <f t="shared" si="50"/>
        <v>No</v>
      </c>
      <c r="L3249">
        <f>ABS((C3249-EDA!$F$15)/EDA!$G$15)</f>
        <v>0.37242567526085185</v>
      </c>
      <c r="M3249" t="str">
        <f>IF(moras[[#This Row],[Z-Score Salario]]&gt;1.96, "Sí", "No")</f>
        <v>No</v>
      </c>
      <c r="N3249" s="14">
        <f>IF(ISBLANK(moras[[#This Row],[SALARIO]]), EDA!$M$8, moras[[#This Row],[SALARIO]])</f>
        <v>194000</v>
      </c>
      <c r="O3249" s="14">
        <f xml:space="preserve"> IF(ISBLANK(moras[[#This Row],[EDAD]]), EDA!$E$8, moras[[#This Row],[EDAD]])</f>
        <v>57</v>
      </c>
      <c r="P3249" s="14" t="str">
        <f>IF(
    OR(ISBLANK(moras[[#This Row],[TIPO_ASEGURAMIENTO]]), moras[[#This Row],[TIPO_ASEGURAMIENTO]]=""),
    EDA!$A$32,
    moras[[#This Row],[TIPO_ASEGURAMIENTO]]
)</f>
        <v>ASALARIADO</v>
      </c>
    </row>
    <row r="3250" spans="1:16" x14ac:dyDescent="0.3">
      <c r="A3250">
        <v>3249</v>
      </c>
      <c r="B3250" t="s">
        <v>9</v>
      </c>
      <c r="C3250">
        <v>60631331</v>
      </c>
      <c r="D3250" t="s">
        <v>14</v>
      </c>
      <c r="E3250" t="s">
        <v>11</v>
      </c>
      <c r="F3250" t="s">
        <v>12</v>
      </c>
      <c r="G3250" t="s">
        <v>13</v>
      </c>
      <c r="H3250" t="s">
        <v>13</v>
      </c>
      <c r="I3250">
        <v>62</v>
      </c>
      <c r="J3250">
        <f>ABS((I3250-EDA!$A$15)/EDA!$B$15)</f>
        <v>1.4129469144014672</v>
      </c>
      <c r="K3250" t="str">
        <f t="shared" si="50"/>
        <v>No</v>
      </c>
      <c r="L3250">
        <f>ABS((C3250-EDA!$F$15)/EDA!$G$15)</f>
        <v>0.63329417602826588</v>
      </c>
      <c r="M3250" t="str">
        <f>IF(moras[[#This Row],[Z-Score Salario]]&gt;1.96, "Sí", "No")</f>
        <v>No</v>
      </c>
      <c r="N3250" s="14">
        <f>IF(ISBLANK(moras[[#This Row],[SALARIO]]), EDA!$M$8, moras[[#This Row],[SALARIO]])</f>
        <v>60631331</v>
      </c>
      <c r="O3250" s="14">
        <f xml:space="preserve"> IF(ISBLANK(moras[[#This Row],[EDAD]]), EDA!$E$8, moras[[#This Row],[EDAD]])</f>
        <v>62</v>
      </c>
      <c r="P3250" s="14" t="str">
        <f>IF(
    OR(ISBLANK(moras[[#This Row],[TIPO_ASEGURAMIENTO]]), moras[[#This Row],[TIPO_ASEGURAMIENTO]]=""),
    EDA!$A$32,
    moras[[#This Row],[TIPO_ASEGURAMIENTO]]
)</f>
        <v>PENSIONADOS EN SU PROPIO SISTEMA</v>
      </c>
    </row>
    <row r="3251" spans="1:16" x14ac:dyDescent="0.3">
      <c r="A3251">
        <v>3250</v>
      </c>
      <c r="B3251" t="s">
        <v>9</v>
      </c>
      <c r="C3251">
        <v>55611675</v>
      </c>
      <c r="D3251" t="s">
        <v>10</v>
      </c>
      <c r="E3251" t="s">
        <v>16</v>
      </c>
      <c r="F3251" t="s">
        <v>12</v>
      </c>
      <c r="G3251" t="s">
        <v>13</v>
      </c>
      <c r="H3251" t="s">
        <v>13</v>
      </c>
      <c r="I3251">
        <v>52</v>
      </c>
      <c r="J3251">
        <f>ABS((I3251-EDA!$A$15)/EDA!$B$15)</f>
        <v>0.70719361363009237</v>
      </c>
      <c r="K3251" t="str">
        <f t="shared" si="50"/>
        <v>No</v>
      </c>
      <c r="L3251">
        <f>ABS((C3251-EDA!$F$15)/EDA!$G$15)</f>
        <v>0.54976355675186983</v>
      </c>
      <c r="M3251" t="str">
        <f>IF(moras[[#This Row],[Z-Score Salario]]&gt;1.96, "Sí", "No")</f>
        <v>No</v>
      </c>
      <c r="N3251" s="14">
        <f>IF(ISBLANK(moras[[#This Row],[SALARIO]]), EDA!$M$8, moras[[#This Row],[SALARIO]])</f>
        <v>55611675</v>
      </c>
      <c r="O3251" s="14">
        <f xml:space="preserve"> IF(ISBLANK(moras[[#This Row],[EDAD]]), EDA!$E$8, moras[[#This Row],[EDAD]])</f>
        <v>52</v>
      </c>
      <c r="P3251" s="14" t="str">
        <f>IF(
    OR(ISBLANK(moras[[#This Row],[TIPO_ASEGURAMIENTO]]), moras[[#This Row],[TIPO_ASEGURAMIENTO]]=""),
    EDA!$A$32,
    moras[[#This Row],[TIPO_ASEGURAMIENTO]]
)</f>
        <v>ASALARIADO</v>
      </c>
    </row>
    <row r="3252" spans="1:16" x14ac:dyDescent="0.3">
      <c r="A3252">
        <v>3251</v>
      </c>
      <c r="B3252" t="s">
        <v>9</v>
      </c>
      <c r="C3252">
        <v>110696642</v>
      </c>
      <c r="D3252" t="s">
        <v>10</v>
      </c>
      <c r="E3252" t="s">
        <v>11</v>
      </c>
      <c r="F3252" t="s">
        <v>12</v>
      </c>
      <c r="G3252" t="s">
        <v>13</v>
      </c>
      <c r="H3252" t="s">
        <v>13</v>
      </c>
      <c r="I3252">
        <v>36</v>
      </c>
      <c r="J3252">
        <f>ABS((I3252-EDA!$A$15)/EDA!$B$15)</f>
        <v>0.42201166760410774</v>
      </c>
      <c r="K3252" t="str">
        <f t="shared" si="50"/>
        <v>No</v>
      </c>
      <c r="L3252">
        <f>ABS((C3252-EDA!$F$15)/EDA!$G$15)</f>
        <v>1.4664162927819562</v>
      </c>
      <c r="M3252" t="str">
        <f>IF(moras[[#This Row],[Z-Score Salario]]&gt;1.96, "Sí", "No")</f>
        <v>No</v>
      </c>
      <c r="N3252" s="14">
        <f>IF(ISBLANK(moras[[#This Row],[SALARIO]]), EDA!$M$8, moras[[#This Row],[SALARIO]])</f>
        <v>110696642</v>
      </c>
      <c r="O3252" s="14">
        <f xml:space="preserve"> IF(ISBLANK(moras[[#This Row],[EDAD]]), EDA!$E$8, moras[[#This Row],[EDAD]])</f>
        <v>36</v>
      </c>
      <c r="P3252" s="14" t="str">
        <f>IF(
    OR(ISBLANK(moras[[#This Row],[TIPO_ASEGURAMIENTO]]), moras[[#This Row],[TIPO_ASEGURAMIENTO]]=""),
    EDA!$A$32,
    moras[[#This Row],[TIPO_ASEGURAMIENTO]]
)</f>
        <v>ASALARIADO</v>
      </c>
    </row>
    <row r="3253" spans="1:16" x14ac:dyDescent="0.3">
      <c r="A3253">
        <v>3252</v>
      </c>
      <c r="B3253" t="s">
        <v>9</v>
      </c>
      <c r="C3253">
        <v>41506404</v>
      </c>
      <c r="D3253" t="s">
        <v>10</v>
      </c>
      <c r="E3253" t="s">
        <v>16</v>
      </c>
      <c r="F3253" t="s">
        <v>12</v>
      </c>
      <c r="G3253" t="s">
        <v>13</v>
      </c>
      <c r="H3253" t="s">
        <v>13</v>
      </c>
      <c r="I3253">
        <v>24</v>
      </c>
      <c r="J3253">
        <f>ABS((I3253-EDA!$A$15)/EDA!$B$15)</f>
        <v>1.2689156285297578</v>
      </c>
      <c r="K3253" t="str">
        <f t="shared" si="50"/>
        <v>No</v>
      </c>
      <c r="L3253">
        <f>ABS((C3253-EDA!$F$15)/EDA!$G$15)</f>
        <v>0.31504189022902646</v>
      </c>
      <c r="M3253" t="str">
        <f>IF(moras[[#This Row],[Z-Score Salario]]&gt;1.96, "Sí", "No")</f>
        <v>No</v>
      </c>
      <c r="N3253" s="14">
        <f>IF(ISBLANK(moras[[#This Row],[SALARIO]]), EDA!$M$8, moras[[#This Row],[SALARIO]])</f>
        <v>41506404</v>
      </c>
      <c r="O3253" s="14">
        <f xml:space="preserve"> IF(ISBLANK(moras[[#This Row],[EDAD]]), EDA!$E$8, moras[[#This Row],[EDAD]])</f>
        <v>24</v>
      </c>
      <c r="P3253" s="14" t="str">
        <f>IF(
    OR(ISBLANK(moras[[#This Row],[TIPO_ASEGURAMIENTO]]), moras[[#This Row],[TIPO_ASEGURAMIENTO]]=""),
    EDA!$A$32,
    moras[[#This Row],[TIPO_ASEGURAMIENTO]]
)</f>
        <v>ASALARIADO</v>
      </c>
    </row>
    <row r="3254" spans="1:16" x14ac:dyDescent="0.3">
      <c r="A3254">
        <v>3253</v>
      </c>
      <c r="B3254" t="s">
        <v>9</v>
      </c>
      <c r="C3254">
        <v>500700</v>
      </c>
      <c r="D3254" t="s">
        <v>10</v>
      </c>
      <c r="E3254" t="s">
        <v>16</v>
      </c>
      <c r="F3254" t="s">
        <v>12</v>
      </c>
      <c r="G3254" t="s">
        <v>13</v>
      </c>
      <c r="H3254" t="s">
        <v>13</v>
      </c>
      <c r="I3254">
        <v>50</v>
      </c>
      <c r="J3254">
        <f>ABS((I3254-EDA!$A$15)/EDA!$B$15)</f>
        <v>0.56604295347581735</v>
      </c>
      <c r="K3254" t="str">
        <f t="shared" si="50"/>
        <v>No</v>
      </c>
      <c r="L3254">
        <f>ABS((C3254-EDA!$F$15)/EDA!$G$15)</f>
        <v>0.367321970757581</v>
      </c>
      <c r="M3254" t="str">
        <f>IF(moras[[#This Row],[Z-Score Salario]]&gt;1.96, "Sí", "No")</f>
        <v>No</v>
      </c>
      <c r="N3254" s="14">
        <f>IF(ISBLANK(moras[[#This Row],[SALARIO]]), EDA!$M$8, moras[[#This Row],[SALARIO]])</f>
        <v>500700</v>
      </c>
      <c r="O3254" s="14">
        <f xml:space="preserve"> IF(ISBLANK(moras[[#This Row],[EDAD]]), EDA!$E$8, moras[[#This Row],[EDAD]])</f>
        <v>50</v>
      </c>
      <c r="P3254" s="14" t="str">
        <f>IF(
    OR(ISBLANK(moras[[#This Row],[TIPO_ASEGURAMIENTO]]), moras[[#This Row],[TIPO_ASEGURAMIENTO]]=""),
    EDA!$A$32,
    moras[[#This Row],[TIPO_ASEGURAMIENTO]]
)</f>
        <v>ASALARIADO</v>
      </c>
    </row>
    <row r="3255" spans="1:16" x14ac:dyDescent="0.3">
      <c r="A3255">
        <v>3254</v>
      </c>
      <c r="B3255" t="s">
        <v>15</v>
      </c>
      <c r="C3255">
        <v>1585515</v>
      </c>
      <c r="D3255" t="s">
        <v>10</v>
      </c>
      <c r="E3255" t="s">
        <v>11</v>
      </c>
      <c r="F3255" t="s">
        <v>12</v>
      </c>
      <c r="G3255" t="s">
        <v>13</v>
      </c>
      <c r="H3255" t="s">
        <v>13</v>
      </c>
      <c r="I3255">
        <v>61</v>
      </c>
      <c r="J3255">
        <f>ABS((I3255-EDA!$A$15)/EDA!$B$15)</f>
        <v>1.3423715843243298</v>
      </c>
      <c r="K3255" t="str">
        <f t="shared" si="50"/>
        <v>No</v>
      </c>
      <c r="L3255">
        <f>ABS((C3255-EDA!$F$15)/EDA!$G$15)</f>
        <v>0.34926988337344078</v>
      </c>
      <c r="M3255" t="str">
        <f>IF(moras[[#This Row],[Z-Score Salario]]&gt;1.96, "Sí", "No")</f>
        <v>No</v>
      </c>
      <c r="N3255" s="14">
        <f>IF(ISBLANK(moras[[#This Row],[SALARIO]]), EDA!$M$8, moras[[#This Row],[SALARIO]])</f>
        <v>1585515</v>
      </c>
      <c r="O3255" s="14">
        <f xml:space="preserve"> IF(ISBLANK(moras[[#This Row],[EDAD]]), EDA!$E$8, moras[[#This Row],[EDAD]])</f>
        <v>61</v>
      </c>
      <c r="P3255" s="14" t="str">
        <f>IF(
    OR(ISBLANK(moras[[#This Row],[TIPO_ASEGURAMIENTO]]), moras[[#This Row],[TIPO_ASEGURAMIENTO]]=""),
    EDA!$A$32,
    moras[[#This Row],[TIPO_ASEGURAMIENTO]]
)</f>
        <v>ASALARIADO</v>
      </c>
    </row>
    <row r="3256" spans="1:16" x14ac:dyDescent="0.3">
      <c r="A3256">
        <v>3255</v>
      </c>
      <c r="B3256" t="s">
        <v>9</v>
      </c>
      <c r="C3256">
        <v>567425</v>
      </c>
      <c r="D3256" t="s">
        <v>10</v>
      </c>
      <c r="E3256" t="s">
        <v>11</v>
      </c>
      <c r="F3256" t="s">
        <v>12</v>
      </c>
      <c r="G3256" t="s">
        <v>13</v>
      </c>
      <c r="H3256" t="s">
        <v>13</v>
      </c>
      <c r="I3256">
        <v>35</v>
      </c>
      <c r="J3256">
        <f>ABS((I3256-EDA!$A$15)/EDA!$B$15)</f>
        <v>0.49258699768124525</v>
      </c>
      <c r="K3256" t="str">
        <f t="shared" si="50"/>
        <v>No</v>
      </c>
      <c r="L3256">
        <f>ABS((C3256-EDA!$F$15)/EDA!$G$15)</f>
        <v>0.36621161965558963</v>
      </c>
      <c r="M3256" t="str">
        <f>IF(moras[[#This Row],[Z-Score Salario]]&gt;1.96, "Sí", "No")</f>
        <v>No</v>
      </c>
      <c r="N3256" s="14">
        <f>IF(ISBLANK(moras[[#This Row],[SALARIO]]), EDA!$M$8, moras[[#This Row],[SALARIO]])</f>
        <v>567425</v>
      </c>
      <c r="O3256" s="14">
        <f xml:space="preserve"> IF(ISBLANK(moras[[#This Row],[EDAD]]), EDA!$E$8, moras[[#This Row],[EDAD]])</f>
        <v>35</v>
      </c>
      <c r="P3256" s="14" t="str">
        <f>IF(
    OR(ISBLANK(moras[[#This Row],[TIPO_ASEGURAMIENTO]]), moras[[#This Row],[TIPO_ASEGURAMIENTO]]=""),
    EDA!$A$32,
    moras[[#This Row],[TIPO_ASEGURAMIENTO]]
)</f>
        <v>ASALARIADO</v>
      </c>
    </row>
    <row r="3257" spans="1:16" x14ac:dyDescent="0.3">
      <c r="A3257">
        <v>3256</v>
      </c>
      <c r="B3257" t="s">
        <v>9</v>
      </c>
      <c r="C3257">
        <v>3623771</v>
      </c>
      <c r="D3257" t="s">
        <v>10</v>
      </c>
      <c r="E3257" t="s">
        <v>11</v>
      </c>
      <c r="F3257" t="s">
        <v>12</v>
      </c>
      <c r="G3257" t="s">
        <v>13</v>
      </c>
      <c r="H3257" t="s">
        <v>13</v>
      </c>
      <c r="I3257">
        <v>60</v>
      </c>
      <c r="J3257">
        <f>ABS((I3257-EDA!$A$15)/EDA!$B$15)</f>
        <v>1.2717962542471923</v>
      </c>
      <c r="K3257" t="str">
        <f t="shared" si="50"/>
        <v>No</v>
      </c>
      <c r="L3257">
        <f>ABS((C3257-EDA!$F$15)/EDA!$G$15)</f>
        <v>0.31535186470366944</v>
      </c>
      <c r="M3257" t="str">
        <f>IF(moras[[#This Row],[Z-Score Salario]]&gt;1.96, "Sí", "No")</f>
        <v>No</v>
      </c>
      <c r="N3257" s="14">
        <f>IF(ISBLANK(moras[[#This Row],[SALARIO]]), EDA!$M$8, moras[[#This Row],[SALARIO]])</f>
        <v>3623771</v>
      </c>
      <c r="O3257" s="14">
        <f xml:space="preserve"> IF(ISBLANK(moras[[#This Row],[EDAD]]), EDA!$E$8, moras[[#This Row],[EDAD]])</f>
        <v>60</v>
      </c>
      <c r="P3257" s="14" t="str">
        <f>IF(
    OR(ISBLANK(moras[[#This Row],[TIPO_ASEGURAMIENTO]]), moras[[#This Row],[TIPO_ASEGURAMIENTO]]=""),
    EDA!$A$32,
    moras[[#This Row],[TIPO_ASEGURAMIENTO]]
)</f>
        <v>ASALARIADO</v>
      </c>
    </row>
    <row r="3258" spans="1:16" x14ac:dyDescent="0.3">
      <c r="A3258">
        <v>3257</v>
      </c>
      <c r="B3258" t="s">
        <v>15</v>
      </c>
      <c r="C3258">
        <v>310124</v>
      </c>
      <c r="D3258" t="s">
        <v>18</v>
      </c>
      <c r="E3258" t="s">
        <v>16</v>
      </c>
      <c r="F3258" t="s">
        <v>12</v>
      </c>
      <c r="G3258" t="s">
        <v>13</v>
      </c>
      <c r="H3258" t="s">
        <v>13</v>
      </c>
      <c r="I3258">
        <v>48</v>
      </c>
      <c r="J3258">
        <f>ABS((I3258-EDA!$A$15)/EDA!$B$15)</f>
        <v>0.42489229332154227</v>
      </c>
      <c r="K3258" t="str">
        <f t="shared" si="50"/>
        <v>No</v>
      </c>
      <c r="L3258">
        <f>ABS((C3258-EDA!$F$15)/EDA!$G$15)</f>
        <v>0.37049328992750385</v>
      </c>
      <c r="M3258" t="str">
        <f>IF(moras[[#This Row],[Z-Score Salario]]&gt;1.96, "Sí", "No")</f>
        <v>No</v>
      </c>
      <c r="N3258" s="14">
        <f>IF(ISBLANK(moras[[#This Row],[SALARIO]]), EDA!$M$8, moras[[#This Row],[SALARIO]])</f>
        <v>310124</v>
      </c>
      <c r="O3258" s="14">
        <f xml:space="preserve"> IF(ISBLANK(moras[[#This Row],[EDAD]]), EDA!$E$8, moras[[#This Row],[EDAD]])</f>
        <v>48</v>
      </c>
      <c r="P3258" s="14" t="str">
        <f>IF(
    OR(ISBLANK(moras[[#This Row],[TIPO_ASEGURAMIENTO]]), moras[[#This Row],[TIPO_ASEGURAMIENTO]]=""),
    EDA!$A$32,
    moras[[#This Row],[TIPO_ASEGURAMIENTO]]
)</f>
        <v>TRABAJADOR INDEPENDIENTE</v>
      </c>
    </row>
    <row r="3259" spans="1:16" x14ac:dyDescent="0.3">
      <c r="A3259">
        <v>3258</v>
      </c>
      <c r="B3259" t="s">
        <v>9</v>
      </c>
      <c r="C3259">
        <v>55901466</v>
      </c>
      <c r="D3259" t="s">
        <v>10</v>
      </c>
      <c r="E3259" t="s">
        <v>16</v>
      </c>
      <c r="F3259" t="s">
        <v>12</v>
      </c>
      <c r="G3259" t="s">
        <v>13</v>
      </c>
      <c r="H3259" t="s">
        <v>12</v>
      </c>
      <c r="I3259">
        <v>44</v>
      </c>
      <c r="J3259">
        <f>ABS((I3259-EDA!$A$15)/EDA!$B$15)</f>
        <v>0.14259097301299228</v>
      </c>
      <c r="K3259" t="str">
        <f t="shared" si="50"/>
        <v>No</v>
      </c>
      <c r="L3259">
        <f>ABS((C3259-EDA!$F$15)/EDA!$G$15)</f>
        <v>0.5545858835588714</v>
      </c>
      <c r="M3259" t="str">
        <f>IF(moras[[#This Row],[Z-Score Salario]]&gt;1.96, "Sí", "No")</f>
        <v>No</v>
      </c>
      <c r="N3259" s="14">
        <f>IF(ISBLANK(moras[[#This Row],[SALARIO]]), EDA!$M$8, moras[[#This Row],[SALARIO]])</f>
        <v>55901466</v>
      </c>
      <c r="O3259" s="14">
        <f xml:space="preserve"> IF(ISBLANK(moras[[#This Row],[EDAD]]), EDA!$E$8, moras[[#This Row],[EDAD]])</f>
        <v>44</v>
      </c>
      <c r="P3259" s="14" t="str">
        <f>IF(
    OR(ISBLANK(moras[[#This Row],[TIPO_ASEGURAMIENTO]]), moras[[#This Row],[TIPO_ASEGURAMIENTO]]=""),
    EDA!$A$32,
    moras[[#This Row],[TIPO_ASEGURAMIENTO]]
)</f>
        <v>ASALARIADO</v>
      </c>
    </row>
    <row r="3260" spans="1:16" x14ac:dyDescent="0.3">
      <c r="A3260">
        <v>3259</v>
      </c>
      <c r="B3260" t="s">
        <v>9</v>
      </c>
      <c r="C3260">
        <v>150000</v>
      </c>
      <c r="D3260" t="s">
        <v>10</v>
      </c>
      <c r="E3260" t="s">
        <v>16</v>
      </c>
      <c r="F3260" t="s">
        <v>12</v>
      </c>
      <c r="G3260" t="s">
        <v>13</v>
      </c>
      <c r="H3260" t="s">
        <v>13</v>
      </c>
      <c r="I3260">
        <v>24</v>
      </c>
      <c r="J3260">
        <f>ABS((I3260-EDA!$A$15)/EDA!$B$15)</f>
        <v>1.2689156285297578</v>
      </c>
      <c r="K3260" t="str">
        <f t="shared" si="50"/>
        <v>No</v>
      </c>
      <c r="L3260">
        <f>ABS((C3260-EDA!$F$15)/EDA!$G$15)</f>
        <v>0.37315786632098852</v>
      </c>
      <c r="M3260" t="str">
        <f>IF(moras[[#This Row],[Z-Score Salario]]&gt;1.96, "Sí", "No")</f>
        <v>No</v>
      </c>
      <c r="N3260" s="14">
        <f>IF(ISBLANK(moras[[#This Row],[SALARIO]]), EDA!$M$8, moras[[#This Row],[SALARIO]])</f>
        <v>150000</v>
      </c>
      <c r="O3260" s="14">
        <f xml:space="preserve"> IF(ISBLANK(moras[[#This Row],[EDAD]]), EDA!$E$8, moras[[#This Row],[EDAD]])</f>
        <v>24</v>
      </c>
      <c r="P3260" s="14" t="str">
        <f>IF(
    OR(ISBLANK(moras[[#This Row],[TIPO_ASEGURAMIENTO]]), moras[[#This Row],[TIPO_ASEGURAMIENTO]]=""),
    EDA!$A$32,
    moras[[#This Row],[TIPO_ASEGURAMIENTO]]
)</f>
        <v>ASALARIADO</v>
      </c>
    </row>
    <row r="3261" spans="1:16" x14ac:dyDescent="0.3">
      <c r="A3261">
        <v>3260</v>
      </c>
      <c r="B3261" t="s">
        <v>9</v>
      </c>
      <c r="C3261">
        <v>280000</v>
      </c>
      <c r="D3261" t="s">
        <v>10</v>
      </c>
      <c r="E3261" t="s">
        <v>16</v>
      </c>
      <c r="F3261" t="s">
        <v>12</v>
      </c>
      <c r="G3261" t="s">
        <v>13</v>
      </c>
      <c r="H3261" t="s">
        <v>13</v>
      </c>
      <c r="I3261">
        <v>40</v>
      </c>
      <c r="J3261">
        <f>ABS((I3261-EDA!$A$15)/EDA!$B$15)</f>
        <v>0.13971034729555773</v>
      </c>
      <c r="K3261" t="str">
        <f t="shared" si="50"/>
        <v>No</v>
      </c>
      <c r="L3261">
        <f>ABS((C3261-EDA!$F$15)/EDA!$G$15)</f>
        <v>0.37099457455240292</v>
      </c>
      <c r="M3261" t="str">
        <f>IF(moras[[#This Row],[Z-Score Salario]]&gt;1.96, "Sí", "No")</f>
        <v>No</v>
      </c>
      <c r="N3261" s="14">
        <f>IF(ISBLANK(moras[[#This Row],[SALARIO]]), EDA!$M$8, moras[[#This Row],[SALARIO]])</f>
        <v>280000</v>
      </c>
      <c r="O3261" s="14">
        <f xml:space="preserve"> IF(ISBLANK(moras[[#This Row],[EDAD]]), EDA!$E$8, moras[[#This Row],[EDAD]])</f>
        <v>40</v>
      </c>
      <c r="P3261" s="14" t="str">
        <f>IF(
    OR(ISBLANK(moras[[#This Row],[TIPO_ASEGURAMIENTO]]), moras[[#This Row],[TIPO_ASEGURAMIENTO]]=""),
    EDA!$A$32,
    moras[[#This Row],[TIPO_ASEGURAMIENTO]]
)</f>
        <v>ASALARIADO</v>
      </c>
    </row>
    <row r="3262" spans="1:16" x14ac:dyDescent="0.3">
      <c r="A3262">
        <v>3261</v>
      </c>
      <c r="B3262" t="s">
        <v>9</v>
      </c>
      <c r="C3262">
        <v>266716988</v>
      </c>
      <c r="D3262" t="s">
        <v>10</v>
      </c>
      <c r="E3262" t="s">
        <v>11</v>
      </c>
      <c r="F3262" t="s">
        <v>12</v>
      </c>
      <c r="G3262" t="s">
        <v>13</v>
      </c>
      <c r="H3262" t="s">
        <v>13</v>
      </c>
      <c r="I3262">
        <v>31</v>
      </c>
      <c r="J3262">
        <f>ABS((I3262-EDA!$A$15)/EDA!$B$15)</f>
        <v>0.77488831798979529</v>
      </c>
      <c r="K3262" t="str">
        <f t="shared" si="50"/>
        <v>No</v>
      </c>
      <c r="L3262">
        <f>ABS((C3262-EDA!$F$15)/EDA!$G$15)</f>
        <v>4.0627049868872049</v>
      </c>
      <c r="M3262" t="str">
        <f>IF(moras[[#This Row],[Z-Score Salario]]&gt;1.96, "Sí", "No")</f>
        <v>Sí</v>
      </c>
      <c r="N3262" s="14">
        <f>IF(ISBLANK(moras[[#This Row],[SALARIO]]), EDA!$M$8, moras[[#This Row],[SALARIO]])</f>
        <v>266716988</v>
      </c>
      <c r="O3262" s="14">
        <f xml:space="preserve"> IF(ISBLANK(moras[[#This Row],[EDAD]]), EDA!$E$8, moras[[#This Row],[EDAD]])</f>
        <v>31</v>
      </c>
      <c r="P3262" s="14" t="str">
        <f>IF(
    OR(ISBLANK(moras[[#This Row],[TIPO_ASEGURAMIENTO]]), moras[[#This Row],[TIPO_ASEGURAMIENTO]]=""),
    EDA!$A$32,
    moras[[#This Row],[TIPO_ASEGURAMIENTO]]
)</f>
        <v>ASALARIADO</v>
      </c>
    </row>
    <row r="3263" spans="1:16" x14ac:dyDescent="0.3">
      <c r="A3263">
        <v>3262</v>
      </c>
      <c r="B3263" t="s">
        <v>9</v>
      </c>
      <c r="C3263">
        <v>315617</v>
      </c>
      <c r="D3263" t="s">
        <v>17</v>
      </c>
      <c r="E3263" t="s">
        <v>16</v>
      </c>
      <c r="F3263" t="s">
        <v>12</v>
      </c>
      <c r="G3263" t="s">
        <v>13</v>
      </c>
      <c r="H3263" t="s">
        <v>13</v>
      </c>
      <c r="I3263">
        <v>44</v>
      </c>
      <c r="J3263">
        <f>ABS((I3263-EDA!$A$15)/EDA!$B$15)</f>
        <v>0.14259097301299228</v>
      </c>
      <c r="K3263" t="str">
        <f t="shared" si="50"/>
        <v>No</v>
      </c>
      <c r="L3263">
        <f>ABS((C3263-EDA!$F$15)/EDA!$G$15)</f>
        <v>0.37040188252992817</v>
      </c>
      <c r="M3263" t="str">
        <f>IF(moras[[#This Row],[Z-Score Salario]]&gt;1.96, "Sí", "No")</f>
        <v>No</v>
      </c>
      <c r="N3263" s="14">
        <f>IF(ISBLANK(moras[[#This Row],[SALARIO]]), EDA!$M$8, moras[[#This Row],[SALARIO]])</f>
        <v>315617</v>
      </c>
      <c r="O3263" s="14">
        <f xml:space="preserve"> IF(ISBLANK(moras[[#This Row],[EDAD]]), EDA!$E$8, moras[[#This Row],[EDAD]])</f>
        <v>44</v>
      </c>
      <c r="P3263" s="14" t="str">
        <f>IF(
    OR(ISBLANK(moras[[#This Row],[TIPO_ASEGURAMIENTO]]), moras[[#This Row],[TIPO_ASEGURAMIENTO]]=""),
    EDA!$A$32,
    moras[[#This Row],[TIPO_ASEGURAMIENTO]]
)</f>
        <v>ASEGURADO VOLUNTARIO</v>
      </c>
    </row>
    <row r="3264" spans="1:16" x14ac:dyDescent="0.3">
      <c r="A3264">
        <v>3263</v>
      </c>
      <c r="B3264" t="s">
        <v>15</v>
      </c>
      <c r="C3264">
        <v>44661091</v>
      </c>
      <c r="D3264" t="s">
        <v>10</v>
      </c>
      <c r="E3264" t="s">
        <v>16</v>
      </c>
      <c r="F3264" t="s">
        <v>12</v>
      </c>
      <c r="G3264" t="s">
        <v>13</v>
      </c>
      <c r="H3264" t="s">
        <v>13</v>
      </c>
      <c r="I3264">
        <v>23</v>
      </c>
      <c r="J3264">
        <f>ABS((I3264-EDA!$A$15)/EDA!$B$15)</f>
        <v>1.3394909586068953</v>
      </c>
      <c r="K3264" t="str">
        <f t="shared" si="50"/>
        <v>No</v>
      </c>
      <c r="L3264">
        <f>ABS((C3264-EDA!$F$15)/EDA!$G$15)</f>
        <v>0.36753810884105803</v>
      </c>
      <c r="M3264" t="str">
        <f>IF(moras[[#This Row],[Z-Score Salario]]&gt;1.96, "Sí", "No")</f>
        <v>No</v>
      </c>
      <c r="N3264" s="14">
        <f>IF(ISBLANK(moras[[#This Row],[SALARIO]]), EDA!$M$8, moras[[#This Row],[SALARIO]])</f>
        <v>44661091</v>
      </c>
      <c r="O3264" s="14">
        <f xml:space="preserve"> IF(ISBLANK(moras[[#This Row],[EDAD]]), EDA!$E$8, moras[[#This Row],[EDAD]])</f>
        <v>23</v>
      </c>
      <c r="P3264" s="14" t="str">
        <f>IF(
    OR(ISBLANK(moras[[#This Row],[TIPO_ASEGURAMIENTO]]), moras[[#This Row],[TIPO_ASEGURAMIENTO]]=""),
    EDA!$A$32,
    moras[[#This Row],[TIPO_ASEGURAMIENTO]]
)</f>
        <v>ASALARIADO</v>
      </c>
    </row>
    <row r="3265" spans="1:16" x14ac:dyDescent="0.3">
      <c r="A3265">
        <v>3264</v>
      </c>
      <c r="B3265" t="s">
        <v>9</v>
      </c>
      <c r="C3265">
        <v>549000</v>
      </c>
      <c r="D3265" t="s">
        <v>10</v>
      </c>
      <c r="E3265" t="s">
        <v>16</v>
      </c>
      <c r="F3265" t="s">
        <v>12</v>
      </c>
      <c r="G3265" t="s">
        <v>13</v>
      </c>
      <c r="H3265" t="s">
        <v>13</v>
      </c>
      <c r="I3265">
        <v>35</v>
      </c>
      <c r="J3265">
        <f>ABS((I3265-EDA!$A$15)/EDA!$B$15)</f>
        <v>0.49258699768124525</v>
      </c>
      <c r="K3265" t="str">
        <f t="shared" si="50"/>
        <v>No</v>
      </c>
      <c r="L3265">
        <f>ABS((C3265-EDA!$F$15)/EDA!$G$15)</f>
        <v>0.36651822466202183</v>
      </c>
      <c r="M3265" t="str">
        <f>IF(moras[[#This Row],[Z-Score Salario]]&gt;1.96, "Sí", "No")</f>
        <v>No</v>
      </c>
      <c r="N3265" s="14">
        <f>IF(ISBLANK(moras[[#This Row],[SALARIO]]), EDA!$M$8, moras[[#This Row],[SALARIO]])</f>
        <v>549000</v>
      </c>
      <c r="O3265" s="14">
        <f xml:space="preserve"> IF(ISBLANK(moras[[#This Row],[EDAD]]), EDA!$E$8, moras[[#This Row],[EDAD]])</f>
        <v>35</v>
      </c>
      <c r="P3265" s="14" t="str">
        <f>IF(
    OR(ISBLANK(moras[[#This Row],[TIPO_ASEGURAMIENTO]]), moras[[#This Row],[TIPO_ASEGURAMIENTO]]=""),
    EDA!$A$32,
    moras[[#This Row],[TIPO_ASEGURAMIENTO]]
)</f>
        <v>ASALARIADO</v>
      </c>
    </row>
    <row r="3266" spans="1:16" x14ac:dyDescent="0.3">
      <c r="A3266">
        <v>3265</v>
      </c>
      <c r="B3266" t="s">
        <v>15</v>
      </c>
      <c r="C3266">
        <v>370123</v>
      </c>
      <c r="D3266" t="s">
        <v>17</v>
      </c>
      <c r="E3266" t="s">
        <v>16</v>
      </c>
      <c r="F3266" t="s">
        <v>12</v>
      </c>
      <c r="G3266" t="s">
        <v>13</v>
      </c>
      <c r="H3266" t="s">
        <v>13</v>
      </c>
      <c r="I3266">
        <v>53</v>
      </c>
      <c r="J3266">
        <f>ABS((I3266-EDA!$A$15)/EDA!$B$15)</f>
        <v>0.77776894370722982</v>
      </c>
      <c r="K3266" t="str">
        <f t="shared" ref="K3266:K3329" si="51">IF(J3266 &gt;  1.96, "Sí","No")</f>
        <v>No</v>
      </c>
      <c r="L3266">
        <f>ABS((C3266-EDA!$F$15)/EDA!$G$15)</f>
        <v>0.36949486421347794</v>
      </c>
      <c r="M3266" t="str">
        <f>IF(moras[[#This Row],[Z-Score Salario]]&gt;1.96, "Sí", "No")</f>
        <v>No</v>
      </c>
      <c r="N3266" s="14">
        <f>IF(ISBLANK(moras[[#This Row],[SALARIO]]), EDA!$M$8, moras[[#This Row],[SALARIO]])</f>
        <v>370123</v>
      </c>
      <c r="O3266" s="14">
        <f xml:space="preserve"> IF(ISBLANK(moras[[#This Row],[EDAD]]), EDA!$E$8, moras[[#This Row],[EDAD]])</f>
        <v>53</v>
      </c>
      <c r="P3266" s="14" t="str">
        <f>IF(
    OR(ISBLANK(moras[[#This Row],[TIPO_ASEGURAMIENTO]]), moras[[#This Row],[TIPO_ASEGURAMIENTO]]=""),
    EDA!$A$32,
    moras[[#This Row],[TIPO_ASEGURAMIENTO]]
)</f>
        <v>ASEGURADO VOLUNTARIO</v>
      </c>
    </row>
    <row r="3267" spans="1:16" x14ac:dyDescent="0.3">
      <c r="A3267">
        <v>3266</v>
      </c>
      <c r="B3267" t="s">
        <v>9</v>
      </c>
      <c r="C3267">
        <v>541275549</v>
      </c>
      <c r="D3267" t="s">
        <v>10</v>
      </c>
      <c r="E3267" t="s">
        <v>16</v>
      </c>
      <c r="F3267" t="s">
        <v>12</v>
      </c>
      <c r="G3267" t="s">
        <v>13</v>
      </c>
      <c r="H3267" t="s">
        <v>13</v>
      </c>
      <c r="I3267">
        <v>34</v>
      </c>
      <c r="J3267">
        <f>ABS((I3267-EDA!$A$15)/EDA!$B$15)</f>
        <v>0.56316232775838282</v>
      </c>
      <c r="K3267" t="str">
        <f t="shared" si="51"/>
        <v>No</v>
      </c>
      <c r="L3267">
        <f>ABS((C3267-EDA!$F$15)/EDA!$G$15)</f>
        <v>8.6315532561642545</v>
      </c>
      <c r="M3267" t="str">
        <f>IF(moras[[#This Row],[Z-Score Salario]]&gt;1.96, "Sí", "No")</f>
        <v>Sí</v>
      </c>
      <c r="N3267" s="14">
        <f>IF(ISBLANK(moras[[#This Row],[SALARIO]]), EDA!$M$8, moras[[#This Row],[SALARIO]])</f>
        <v>541275549</v>
      </c>
      <c r="O3267" s="14">
        <f xml:space="preserve"> IF(ISBLANK(moras[[#This Row],[EDAD]]), EDA!$E$8, moras[[#This Row],[EDAD]])</f>
        <v>34</v>
      </c>
      <c r="P3267" s="14" t="str">
        <f>IF(
    OR(ISBLANK(moras[[#This Row],[TIPO_ASEGURAMIENTO]]), moras[[#This Row],[TIPO_ASEGURAMIENTO]]=""),
    EDA!$A$32,
    moras[[#This Row],[TIPO_ASEGURAMIENTO]]
)</f>
        <v>ASALARIADO</v>
      </c>
    </row>
    <row r="3268" spans="1:16" x14ac:dyDescent="0.3">
      <c r="A3268">
        <v>3267</v>
      </c>
      <c r="B3268" t="s">
        <v>9</v>
      </c>
      <c r="C3268">
        <v>271250</v>
      </c>
      <c r="D3268" t="s">
        <v>10</v>
      </c>
      <c r="E3268" t="s">
        <v>16</v>
      </c>
      <c r="F3268" t="s">
        <v>12</v>
      </c>
      <c r="G3268" t="s">
        <v>13</v>
      </c>
      <c r="H3268" t="s">
        <v>12</v>
      </c>
      <c r="I3268">
        <v>19</v>
      </c>
      <c r="J3268">
        <f>ABS((I3268-EDA!$A$15)/EDA!$B$15)</f>
        <v>1.6217922789154453</v>
      </c>
      <c r="K3268" t="str">
        <f t="shared" si="51"/>
        <v>No</v>
      </c>
      <c r="L3268">
        <f>ABS((C3268-EDA!$F$15)/EDA!$G$15)</f>
        <v>0.37114018072913463</v>
      </c>
      <c r="M3268" t="str">
        <f>IF(moras[[#This Row],[Z-Score Salario]]&gt;1.96, "Sí", "No")</f>
        <v>No</v>
      </c>
      <c r="N3268" s="14">
        <f>IF(ISBLANK(moras[[#This Row],[SALARIO]]), EDA!$M$8, moras[[#This Row],[SALARIO]])</f>
        <v>271250</v>
      </c>
      <c r="O3268" s="14">
        <f xml:space="preserve"> IF(ISBLANK(moras[[#This Row],[EDAD]]), EDA!$E$8, moras[[#This Row],[EDAD]])</f>
        <v>19</v>
      </c>
      <c r="P3268" s="14" t="str">
        <f>IF(
    OR(ISBLANK(moras[[#This Row],[TIPO_ASEGURAMIENTO]]), moras[[#This Row],[TIPO_ASEGURAMIENTO]]=""),
    EDA!$A$32,
    moras[[#This Row],[TIPO_ASEGURAMIENTO]]
)</f>
        <v>ASALARIADO</v>
      </c>
    </row>
    <row r="3269" spans="1:16" x14ac:dyDescent="0.3">
      <c r="A3269">
        <v>3268</v>
      </c>
      <c r="B3269" t="s">
        <v>15</v>
      </c>
      <c r="C3269">
        <v>300018</v>
      </c>
      <c r="D3269" t="s">
        <v>17</v>
      </c>
      <c r="E3269" t="s">
        <v>16</v>
      </c>
      <c r="F3269" t="s">
        <v>12</v>
      </c>
      <c r="G3269" t="s">
        <v>13</v>
      </c>
      <c r="H3269" t="s">
        <v>13</v>
      </c>
      <c r="I3269">
        <v>57</v>
      </c>
      <c r="J3269">
        <f>ABS((I3269-EDA!$A$15)/EDA!$B$15)</f>
        <v>1.0600702640157798</v>
      </c>
      <c r="K3269" t="str">
        <f t="shared" si="51"/>
        <v>No</v>
      </c>
      <c r="L3269">
        <f>ABS((C3269-EDA!$F$15)/EDA!$G$15)</f>
        <v>0.37066146090145252</v>
      </c>
      <c r="M3269" t="str">
        <f>IF(moras[[#This Row],[Z-Score Salario]]&gt;1.96, "Sí", "No")</f>
        <v>No</v>
      </c>
      <c r="N3269" s="14">
        <f>IF(ISBLANK(moras[[#This Row],[SALARIO]]), EDA!$M$8, moras[[#This Row],[SALARIO]])</f>
        <v>300018</v>
      </c>
      <c r="O3269" s="14">
        <f xml:space="preserve"> IF(ISBLANK(moras[[#This Row],[EDAD]]), EDA!$E$8, moras[[#This Row],[EDAD]])</f>
        <v>57</v>
      </c>
      <c r="P3269" s="14" t="str">
        <f>IF(
    OR(ISBLANK(moras[[#This Row],[TIPO_ASEGURAMIENTO]]), moras[[#This Row],[TIPO_ASEGURAMIENTO]]=""),
    EDA!$A$32,
    moras[[#This Row],[TIPO_ASEGURAMIENTO]]
)</f>
        <v>ASEGURADO VOLUNTARIO</v>
      </c>
    </row>
    <row r="3270" spans="1:16" x14ac:dyDescent="0.3">
      <c r="A3270">
        <v>3269</v>
      </c>
      <c r="B3270" t="s">
        <v>9</v>
      </c>
      <c r="C3270">
        <v>516873</v>
      </c>
      <c r="D3270" t="s">
        <v>18</v>
      </c>
      <c r="E3270" t="s">
        <v>16</v>
      </c>
      <c r="F3270" t="s">
        <v>12</v>
      </c>
      <c r="G3270" t="s">
        <v>13</v>
      </c>
      <c r="H3270" t="s">
        <v>13</v>
      </c>
      <c r="I3270">
        <v>38</v>
      </c>
      <c r="J3270">
        <f>ABS((I3270-EDA!$A$15)/EDA!$B$15)</f>
        <v>0.28086100744983278</v>
      </c>
      <c r="K3270" t="str">
        <f t="shared" si="51"/>
        <v>No</v>
      </c>
      <c r="L3270">
        <f>ABS((C3270-EDA!$F$15)/EDA!$G$15)</f>
        <v>0.36705284062086302</v>
      </c>
      <c r="M3270" t="str">
        <f>IF(moras[[#This Row],[Z-Score Salario]]&gt;1.96, "Sí", "No")</f>
        <v>No</v>
      </c>
      <c r="N3270" s="14">
        <f>IF(ISBLANK(moras[[#This Row],[SALARIO]]), EDA!$M$8, moras[[#This Row],[SALARIO]])</f>
        <v>516873</v>
      </c>
      <c r="O3270" s="14">
        <f xml:space="preserve"> IF(ISBLANK(moras[[#This Row],[EDAD]]), EDA!$E$8, moras[[#This Row],[EDAD]])</f>
        <v>38</v>
      </c>
      <c r="P3270" s="14" t="str">
        <f>IF(
    OR(ISBLANK(moras[[#This Row],[TIPO_ASEGURAMIENTO]]), moras[[#This Row],[TIPO_ASEGURAMIENTO]]=""),
    EDA!$A$32,
    moras[[#This Row],[TIPO_ASEGURAMIENTO]]
)</f>
        <v>TRABAJADOR INDEPENDIENTE</v>
      </c>
    </row>
    <row r="3271" spans="1:16" x14ac:dyDescent="0.3">
      <c r="A3271">
        <v>3270</v>
      </c>
      <c r="B3271" t="s">
        <v>9</v>
      </c>
      <c r="C3271">
        <v>678863</v>
      </c>
      <c r="D3271" t="s">
        <v>14</v>
      </c>
      <c r="E3271" t="s">
        <v>11</v>
      </c>
      <c r="F3271" t="s">
        <v>12</v>
      </c>
      <c r="G3271" t="s">
        <v>13</v>
      </c>
      <c r="H3271" t="s">
        <v>13</v>
      </c>
      <c r="I3271">
        <v>79</v>
      </c>
      <c r="J3271">
        <f>ABS((I3271-EDA!$A$15)/EDA!$B$15)</f>
        <v>2.6127275257128049</v>
      </c>
      <c r="K3271" t="str">
        <f t="shared" si="51"/>
        <v>Sí</v>
      </c>
      <c r="L3271">
        <f>ABS((C3271-EDA!$F$15)/EDA!$G$15)</f>
        <v>0.3643572126701462</v>
      </c>
      <c r="M3271" t="str">
        <f>IF(moras[[#This Row],[Z-Score Salario]]&gt;1.96, "Sí", "No")</f>
        <v>No</v>
      </c>
      <c r="N3271" s="14">
        <f>IF(ISBLANK(moras[[#This Row],[SALARIO]]), EDA!$M$8, moras[[#This Row],[SALARIO]])</f>
        <v>678863</v>
      </c>
      <c r="O3271" s="14">
        <f xml:space="preserve"> IF(ISBLANK(moras[[#This Row],[EDAD]]), EDA!$E$8, moras[[#This Row],[EDAD]])</f>
        <v>79</v>
      </c>
      <c r="P3271" s="14" t="str">
        <f>IF(
    OR(ISBLANK(moras[[#This Row],[TIPO_ASEGURAMIENTO]]), moras[[#This Row],[TIPO_ASEGURAMIENTO]]=""),
    EDA!$A$32,
    moras[[#This Row],[TIPO_ASEGURAMIENTO]]
)</f>
        <v>PENSIONADOS EN SU PROPIO SISTEMA</v>
      </c>
    </row>
    <row r="3272" spans="1:16" x14ac:dyDescent="0.3">
      <c r="A3272">
        <v>3271</v>
      </c>
      <c r="B3272" t="s">
        <v>9</v>
      </c>
      <c r="C3272">
        <v>362964</v>
      </c>
      <c r="D3272" t="s">
        <v>18</v>
      </c>
      <c r="E3272" t="s">
        <v>16</v>
      </c>
      <c r="F3272" t="s">
        <v>12</v>
      </c>
      <c r="G3272" t="s">
        <v>13</v>
      </c>
      <c r="H3272" t="s">
        <v>12</v>
      </c>
      <c r="I3272">
        <v>52</v>
      </c>
      <c r="J3272">
        <f>ABS((I3272-EDA!$A$15)/EDA!$B$15)</f>
        <v>0.70719361363009237</v>
      </c>
      <c r="K3272" t="str">
        <f t="shared" si="51"/>
        <v>No</v>
      </c>
      <c r="L3272">
        <f>ABS((C3272-EDA!$F$15)/EDA!$G$15)</f>
        <v>0.36961399502710335</v>
      </c>
      <c r="M3272" t="str">
        <f>IF(moras[[#This Row],[Z-Score Salario]]&gt;1.96, "Sí", "No")</f>
        <v>No</v>
      </c>
      <c r="N3272" s="14">
        <f>IF(ISBLANK(moras[[#This Row],[SALARIO]]), EDA!$M$8, moras[[#This Row],[SALARIO]])</f>
        <v>362964</v>
      </c>
      <c r="O3272" s="14">
        <f xml:space="preserve"> IF(ISBLANK(moras[[#This Row],[EDAD]]), EDA!$E$8, moras[[#This Row],[EDAD]])</f>
        <v>52</v>
      </c>
      <c r="P3272" s="14" t="str">
        <f>IF(
    OR(ISBLANK(moras[[#This Row],[TIPO_ASEGURAMIENTO]]), moras[[#This Row],[TIPO_ASEGURAMIENTO]]=""),
    EDA!$A$32,
    moras[[#This Row],[TIPO_ASEGURAMIENTO]]
)</f>
        <v>TRABAJADOR INDEPENDIENTE</v>
      </c>
    </row>
    <row r="3273" spans="1:16" x14ac:dyDescent="0.3">
      <c r="A3273">
        <v>3272</v>
      </c>
      <c r="B3273" t="s">
        <v>9</v>
      </c>
      <c r="C3273">
        <v>639148</v>
      </c>
      <c r="D3273" t="s">
        <v>18</v>
      </c>
      <c r="E3273" t="s">
        <v>16</v>
      </c>
      <c r="F3273" t="s">
        <v>12</v>
      </c>
      <c r="G3273" t="s">
        <v>13</v>
      </c>
      <c r="H3273" t="s">
        <v>12</v>
      </c>
      <c r="I3273">
        <v>43</v>
      </c>
      <c r="J3273">
        <f>ABS((I3273-EDA!$A$15)/EDA!$B$15)</f>
        <v>7.2015642935854773E-2</v>
      </c>
      <c r="K3273" t="str">
        <f t="shared" si="51"/>
        <v>No</v>
      </c>
      <c r="L3273">
        <f>ABS((C3273-EDA!$F$15)/EDA!$G$15)</f>
        <v>0.36501809830544912</v>
      </c>
      <c r="M3273" t="str">
        <f>IF(moras[[#This Row],[Z-Score Salario]]&gt;1.96, "Sí", "No")</f>
        <v>No</v>
      </c>
      <c r="N3273" s="14">
        <f>IF(ISBLANK(moras[[#This Row],[SALARIO]]), EDA!$M$8, moras[[#This Row],[SALARIO]])</f>
        <v>639148</v>
      </c>
      <c r="O3273" s="14">
        <f xml:space="preserve"> IF(ISBLANK(moras[[#This Row],[EDAD]]), EDA!$E$8, moras[[#This Row],[EDAD]])</f>
        <v>43</v>
      </c>
      <c r="P3273" s="14" t="str">
        <f>IF(
    OR(ISBLANK(moras[[#This Row],[TIPO_ASEGURAMIENTO]]), moras[[#This Row],[TIPO_ASEGURAMIENTO]]=""),
    EDA!$A$32,
    moras[[#This Row],[TIPO_ASEGURAMIENTO]]
)</f>
        <v>TRABAJADOR INDEPENDIENTE</v>
      </c>
    </row>
    <row r="3274" spans="1:16" x14ac:dyDescent="0.3">
      <c r="A3274">
        <v>3273</v>
      </c>
      <c r="B3274" t="s">
        <v>15</v>
      </c>
      <c r="C3274">
        <v>100000</v>
      </c>
      <c r="D3274" t="s">
        <v>10</v>
      </c>
      <c r="E3274" t="s">
        <v>16</v>
      </c>
      <c r="F3274" t="s">
        <v>12</v>
      </c>
      <c r="G3274" t="s">
        <v>12</v>
      </c>
      <c r="H3274" t="s">
        <v>13</v>
      </c>
      <c r="I3274">
        <v>30</v>
      </c>
      <c r="J3274">
        <f>ABS((I3274-EDA!$A$15)/EDA!$B$15)</f>
        <v>0.84546364806693275</v>
      </c>
      <c r="K3274" t="str">
        <f t="shared" si="51"/>
        <v>No</v>
      </c>
      <c r="L3274">
        <f>ABS((C3274-EDA!$F$15)/EDA!$G$15)</f>
        <v>0.3739899016165984</v>
      </c>
      <c r="M3274" t="str">
        <f>IF(moras[[#This Row],[Z-Score Salario]]&gt;1.96, "Sí", "No")</f>
        <v>No</v>
      </c>
      <c r="N3274" s="14">
        <f>IF(ISBLANK(moras[[#This Row],[SALARIO]]), EDA!$M$8, moras[[#This Row],[SALARIO]])</f>
        <v>100000</v>
      </c>
      <c r="O3274" s="14">
        <f xml:space="preserve"> IF(ISBLANK(moras[[#This Row],[EDAD]]), EDA!$E$8, moras[[#This Row],[EDAD]])</f>
        <v>30</v>
      </c>
      <c r="P3274" s="14" t="str">
        <f>IF(
    OR(ISBLANK(moras[[#This Row],[TIPO_ASEGURAMIENTO]]), moras[[#This Row],[TIPO_ASEGURAMIENTO]]=""),
    EDA!$A$32,
    moras[[#This Row],[TIPO_ASEGURAMIENTO]]
)</f>
        <v>ASALARIADO</v>
      </c>
    </row>
    <row r="3275" spans="1:16" x14ac:dyDescent="0.3">
      <c r="A3275">
        <v>3274</v>
      </c>
      <c r="B3275" t="s">
        <v>15</v>
      </c>
      <c r="C3275">
        <v>1160614</v>
      </c>
      <c r="D3275" t="s">
        <v>14</v>
      </c>
      <c r="E3275" t="s">
        <v>11</v>
      </c>
      <c r="F3275" t="s">
        <v>12</v>
      </c>
      <c r="G3275" t="s">
        <v>13</v>
      </c>
      <c r="H3275" t="s">
        <v>13</v>
      </c>
      <c r="I3275">
        <v>65</v>
      </c>
      <c r="J3275">
        <f>ABS((I3275-EDA!$A$15)/EDA!$B$15)</f>
        <v>1.6246729046328798</v>
      </c>
      <c r="K3275" t="str">
        <f t="shared" si="51"/>
        <v>No</v>
      </c>
      <c r="L3275">
        <f>ABS((C3275-EDA!$F$15)/EDA!$G$15)</f>
        <v>0.35634053595623927</v>
      </c>
      <c r="M3275" t="str">
        <f>IF(moras[[#This Row],[Z-Score Salario]]&gt;1.96, "Sí", "No")</f>
        <v>No</v>
      </c>
      <c r="N3275" s="14">
        <f>IF(ISBLANK(moras[[#This Row],[SALARIO]]), EDA!$M$8, moras[[#This Row],[SALARIO]])</f>
        <v>1160614</v>
      </c>
      <c r="O3275" s="14">
        <f xml:space="preserve"> IF(ISBLANK(moras[[#This Row],[EDAD]]), EDA!$E$8, moras[[#This Row],[EDAD]])</f>
        <v>65</v>
      </c>
      <c r="P3275" s="14" t="str">
        <f>IF(
    OR(ISBLANK(moras[[#This Row],[TIPO_ASEGURAMIENTO]]), moras[[#This Row],[TIPO_ASEGURAMIENTO]]=""),
    EDA!$A$32,
    moras[[#This Row],[TIPO_ASEGURAMIENTO]]
)</f>
        <v>PENSIONADOS EN SU PROPIO SISTEMA</v>
      </c>
    </row>
    <row r="3276" spans="1:16" x14ac:dyDescent="0.3">
      <c r="A3276">
        <v>3275</v>
      </c>
      <c r="B3276" t="s">
        <v>9</v>
      </c>
      <c r="C3276">
        <v>298018</v>
      </c>
      <c r="D3276" t="s">
        <v>18</v>
      </c>
      <c r="E3276" t="s">
        <v>16</v>
      </c>
      <c r="F3276" t="s">
        <v>12</v>
      </c>
      <c r="G3276" t="s">
        <v>12</v>
      </c>
      <c r="H3276" t="s">
        <v>12</v>
      </c>
      <c r="I3276">
        <v>43</v>
      </c>
      <c r="J3276">
        <f>ABS((I3276-EDA!$A$15)/EDA!$B$15)</f>
        <v>7.2015642935854773E-2</v>
      </c>
      <c r="K3276" t="str">
        <f t="shared" si="51"/>
        <v>No</v>
      </c>
      <c r="L3276">
        <f>ABS((C3276-EDA!$F$15)/EDA!$G$15)</f>
        <v>0.37069474231327693</v>
      </c>
      <c r="M3276" t="str">
        <f>IF(moras[[#This Row],[Z-Score Salario]]&gt;1.96, "Sí", "No")</f>
        <v>No</v>
      </c>
      <c r="N3276" s="14">
        <f>IF(ISBLANK(moras[[#This Row],[SALARIO]]), EDA!$M$8, moras[[#This Row],[SALARIO]])</f>
        <v>298018</v>
      </c>
      <c r="O3276" s="14">
        <f xml:space="preserve"> IF(ISBLANK(moras[[#This Row],[EDAD]]), EDA!$E$8, moras[[#This Row],[EDAD]])</f>
        <v>43</v>
      </c>
      <c r="P3276" s="14" t="str">
        <f>IF(
    OR(ISBLANK(moras[[#This Row],[TIPO_ASEGURAMIENTO]]), moras[[#This Row],[TIPO_ASEGURAMIENTO]]=""),
    EDA!$A$32,
    moras[[#This Row],[TIPO_ASEGURAMIENTO]]
)</f>
        <v>TRABAJADOR INDEPENDIENTE</v>
      </c>
    </row>
    <row r="3277" spans="1:16" x14ac:dyDescent="0.3">
      <c r="A3277">
        <v>3276</v>
      </c>
      <c r="B3277" t="s">
        <v>9</v>
      </c>
      <c r="C3277">
        <v>27803099</v>
      </c>
      <c r="D3277" t="s">
        <v>19</v>
      </c>
      <c r="E3277" t="s">
        <v>16</v>
      </c>
      <c r="F3277" t="s">
        <v>12</v>
      </c>
      <c r="G3277" t="s">
        <v>13</v>
      </c>
      <c r="H3277" t="s">
        <v>13</v>
      </c>
      <c r="I3277">
        <v>25</v>
      </c>
      <c r="J3277">
        <f>ABS((I3277-EDA!$A$15)/EDA!$B$15)</f>
        <v>1.1983402984526204</v>
      </c>
      <c r="K3277" t="str">
        <f t="shared" si="51"/>
        <v>No</v>
      </c>
      <c r="L3277">
        <f>ABS((C3277-EDA!$F$15)/EDA!$G$15)</f>
        <v>8.7009221698885322E-2</v>
      </c>
      <c r="M3277" t="str">
        <f>IF(moras[[#This Row],[Z-Score Salario]]&gt;1.96, "Sí", "No")</f>
        <v>No</v>
      </c>
      <c r="N3277" s="14">
        <f>IF(ISBLANK(moras[[#This Row],[SALARIO]]), EDA!$M$8, moras[[#This Row],[SALARIO]])</f>
        <v>27803099</v>
      </c>
      <c r="O3277" s="14">
        <f xml:space="preserve"> IF(ISBLANK(moras[[#This Row],[EDAD]]), EDA!$E$8, moras[[#This Row],[EDAD]])</f>
        <v>25</v>
      </c>
      <c r="P3277" s="14" t="str">
        <f>IF(
    OR(ISBLANK(moras[[#This Row],[TIPO_ASEGURAMIENTO]]), moras[[#This Row],[TIPO_ASEGURAMIENTO]]=""),
    EDA!$A$32,
    moras[[#This Row],[TIPO_ASEGURAMIENTO]]
)</f>
        <v>CONVENIOS ESPECIALES DE TRABAJADORES INDEPENDIENTES</v>
      </c>
    </row>
    <row r="3278" spans="1:16" x14ac:dyDescent="0.3">
      <c r="A3278">
        <v>3277</v>
      </c>
      <c r="B3278" t="s">
        <v>9</v>
      </c>
      <c r="C3278">
        <v>171899967</v>
      </c>
      <c r="D3278" t="s">
        <v>10</v>
      </c>
      <c r="E3278" t="s">
        <v>16</v>
      </c>
      <c r="F3278" t="s">
        <v>12</v>
      </c>
      <c r="G3278" t="s">
        <v>12</v>
      </c>
      <c r="H3278" t="s">
        <v>13</v>
      </c>
      <c r="I3278">
        <v>32</v>
      </c>
      <c r="J3278">
        <f>ABS((I3278-EDA!$A$15)/EDA!$B$15)</f>
        <v>0.70431298791265773</v>
      </c>
      <c r="K3278" t="str">
        <f t="shared" si="51"/>
        <v>No</v>
      </c>
      <c r="L3278">
        <f>ABS((C3278-EDA!$F$15)/EDA!$G$15)</f>
        <v>2.4848828249555814</v>
      </c>
      <c r="M3278" t="str">
        <f>IF(moras[[#This Row],[Z-Score Salario]]&gt;1.96, "Sí", "No")</f>
        <v>Sí</v>
      </c>
      <c r="N3278" s="14">
        <f>IF(ISBLANK(moras[[#This Row],[SALARIO]]), EDA!$M$8, moras[[#This Row],[SALARIO]])</f>
        <v>171899967</v>
      </c>
      <c r="O3278" s="14">
        <f xml:space="preserve"> IF(ISBLANK(moras[[#This Row],[EDAD]]), EDA!$E$8, moras[[#This Row],[EDAD]])</f>
        <v>32</v>
      </c>
      <c r="P3278" s="14" t="str">
        <f>IF(
    OR(ISBLANK(moras[[#This Row],[TIPO_ASEGURAMIENTO]]), moras[[#This Row],[TIPO_ASEGURAMIENTO]]=""),
    EDA!$A$32,
    moras[[#This Row],[TIPO_ASEGURAMIENTO]]
)</f>
        <v>ASALARIADO</v>
      </c>
    </row>
    <row r="3279" spans="1:16" x14ac:dyDescent="0.3">
      <c r="A3279">
        <v>3278</v>
      </c>
      <c r="B3279" t="s">
        <v>9</v>
      </c>
      <c r="C3279">
        <v>35846886</v>
      </c>
      <c r="D3279" t="s">
        <v>10</v>
      </c>
      <c r="E3279" t="s">
        <v>16</v>
      </c>
      <c r="F3279" t="s">
        <v>12</v>
      </c>
      <c r="G3279" t="s">
        <v>13</v>
      </c>
      <c r="H3279" t="s">
        <v>13</v>
      </c>
      <c r="I3279">
        <v>52</v>
      </c>
      <c r="J3279">
        <f>ABS((I3279-EDA!$A$15)/EDA!$B$15)</f>
        <v>0.70719361363009237</v>
      </c>
      <c r="K3279" t="str">
        <f t="shared" si="51"/>
        <v>No</v>
      </c>
      <c r="L3279">
        <f>ABS((C3279-EDA!$F$15)/EDA!$G$15)</f>
        <v>0.22086351558624012</v>
      </c>
      <c r="M3279" t="str">
        <f>IF(moras[[#This Row],[Z-Score Salario]]&gt;1.96, "Sí", "No")</f>
        <v>No</v>
      </c>
      <c r="N3279" s="14">
        <f>IF(ISBLANK(moras[[#This Row],[SALARIO]]), EDA!$M$8, moras[[#This Row],[SALARIO]])</f>
        <v>35846886</v>
      </c>
      <c r="O3279" s="14">
        <f xml:space="preserve"> IF(ISBLANK(moras[[#This Row],[EDAD]]), EDA!$E$8, moras[[#This Row],[EDAD]])</f>
        <v>52</v>
      </c>
      <c r="P3279" s="14" t="str">
        <f>IF(
    OR(ISBLANK(moras[[#This Row],[TIPO_ASEGURAMIENTO]]), moras[[#This Row],[TIPO_ASEGURAMIENTO]]=""),
    EDA!$A$32,
    moras[[#This Row],[TIPO_ASEGURAMIENTO]]
)</f>
        <v>ASALARIADO</v>
      </c>
    </row>
    <row r="3280" spans="1:16" x14ac:dyDescent="0.3">
      <c r="A3280">
        <v>3279</v>
      </c>
      <c r="B3280" t="s">
        <v>9</v>
      </c>
      <c r="C3280">
        <v>439167</v>
      </c>
      <c r="D3280" t="s">
        <v>10</v>
      </c>
      <c r="E3280" t="s">
        <v>16</v>
      </c>
      <c r="F3280" t="s">
        <v>12</v>
      </c>
      <c r="G3280" t="s">
        <v>13</v>
      </c>
      <c r="H3280" t="s">
        <v>13</v>
      </c>
      <c r="I3280">
        <v>44</v>
      </c>
      <c r="J3280">
        <f>ABS((I3280-EDA!$A$15)/EDA!$B$15)</f>
        <v>0.14259097301299228</v>
      </c>
      <c r="K3280" t="str">
        <f t="shared" si="51"/>
        <v>No</v>
      </c>
      <c r="L3280">
        <f>ABS((C3280-EDA!$F$15)/EDA!$G$15)</f>
        <v>0.36834592331447619</v>
      </c>
      <c r="M3280" t="str">
        <f>IF(moras[[#This Row],[Z-Score Salario]]&gt;1.96, "Sí", "No")</f>
        <v>No</v>
      </c>
      <c r="N3280" s="14">
        <f>IF(ISBLANK(moras[[#This Row],[SALARIO]]), EDA!$M$8, moras[[#This Row],[SALARIO]])</f>
        <v>439167</v>
      </c>
      <c r="O3280" s="14">
        <f xml:space="preserve"> IF(ISBLANK(moras[[#This Row],[EDAD]]), EDA!$E$8, moras[[#This Row],[EDAD]])</f>
        <v>44</v>
      </c>
      <c r="P3280" s="14" t="str">
        <f>IF(
    OR(ISBLANK(moras[[#This Row],[TIPO_ASEGURAMIENTO]]), moras[[#This Row],[TIPO_ASEGURAMIENTO]]=""),
    EDA!$A$32,
    moras[[#This Row],[TIPO_ASEGURAMIENTO]]
)</f>
        <v>ASALARIADO</v>
      </c>
    </row>
    <row r="3281" spans="1:16" x14ac:dyDescent="0.3">
      <c r="A3281">
        <v>3280</v>
      </c>
      <c r="B3281" t="s">
        <v>9</v>
      </c>
      <c r="C3281">
        <v>639148</v>
      </c>
      <c r="D3281" t="s">
        <v>18</v>
      </c>
      <c r="E3281" t="s">
        <v>16</v>
      </c>
      <c r="F3281" t="s">
        <v>12</v>
      </c>
      <c r="G3281" t="s">
        <v>13</v>
      </c>
      <c r="H3281" t="s">
        <v>13</v>
      </c>
      <c r="I3281">
        <v>54</v>
      </c>
      <c r="J3281">
        <f>ABS((I3281-EDA!$A$15)/EDA!$B$15)</f>
        <v>0.84834427378436728</v>
      </c>
      <c r="K3281" t="str">
        <f t="shared" si="51"/>
        <v>No</v>
      </c>
      <c r="L3281">
        <f>ABS((C3281-EDA!$F$15)/EDA!$G$15)</f>
        <v>0.36501809830544912</v>
      </c>
      <c r="M3281" t="str">
        <f>IF(moras[[#This Row],[Z-Score Salario]]&gt;1.96, "Sí", "No")</f>
        <v>No</v>
      </c>
      <c r="N3281" s="14">
        <f>IF(ISBLANK(moras[[#This Row],[SALARIO]]), EDA!$M$8, moras[[#This Row],[SALARIO]])</f>
        <v>639148</v>
      </c>
      <c r="O3281" s="14">
        <f xml:space="preserve"> IF(ISBLANK(moras[[#This Row],[EDAD]]), EDA!$E$8, moras[[#This Row],[EDAD]])</f>
        <v>54</v>
      </c>
      <c r="P3281" s="14" t="str">
        <f>IF(
    OR(ISBLANK(moras[[#This Row],[TIPO_ASEGURAMIENTO]]), moras[[#This Row],[TIPO_ASEGURAMIENTO]]=""),
    EDA!$A$32,
    moras[[#This Row],[TIPO_ASEGURAMIENTO]]
)</f>
        <v>TRABAJADOR INDEPENDIENTE</v>
      </c>
    </row>
    <row r="3282" spans="1:16" x14ac:dyDescent="0.3">
      <c r="A3282">
        <v>3281</v>
      </c>
      <c r="B3282" t="s">
        <v>9</v>
      </c>
      <c r="C3282">
        <v>5898246</v>
      </c>
      <c r="D3282" t="s">
        <v>10</v>
      </c>
      <c r="E3282" t="s">
        <v>16</v>
      </c>
      <c r="F3282" t="s">
        <v>12</v>
      </c>
      <c r="G3282" t="s">
        <v>13</v>
      </c>
      <c r="H3282" t="s">
        <v>13</v>
      </c>
      <c r="I3282">
        <v>33</v>
      </c>
      <c r="J3282">
        <f>ABS((I3282-EDA!$A$15)/EDA!$B$15)</f>
        <v>0.63373765783552027</v>
      </c>
      <c r="K3282" t="str">
        <f t="shared" si="51"/>
        <v>No</v>
      </c>
      <c r="L3282">
        <f>ABS((C3282-EDA!$F$15)/EDA!$G$15)</f>
        <v>0.27750299512402476</v>
      </c>
      <c r="M3282" t="str">
        <f>IF(moras[[#This Row],[Z-Score Salario]]&gt;1.96, "Sí", "No")</f>
        <v>No</v>
      </c>
      <c r="N3282" s="14">
        <f>IF(ISBLANK(moras[[#This Row],[SALARIO]]), EDA!$M$8, moras[[#This Row],[SALARIO]])</f>
        <v>5898246</v>
      </c>
      <c r="O3282" s="14">
        <f xml:space="preserve"> IF(ISBLANK(moras[[#This Row],[EDAD]]), EDA!$E$8, moras[[#This Row],[EDAD]])</f>
        <v>33</v>
      </c>
      <c r="P3282" s="14" t="str">
        <f>IF(
    OR(ISBLANK(moras[[#This Row],[TIPO_ASEGURAMIENTO]]), moras[[#This Row],[TIPO_ASEGURAMIENTO]]=""),
    EDA!$A$32,
    moras[[#This Row],[TIPO_ASEGURAMIENTO]]
)</f>
        <v>ASALARIADO</v>
      </c>
    </row>
    <row r="3283" spans="1:16" x14ac:dyDescent="0.3">
      <c r="A3283">
        <v>3282</v>
      </c>
      <c r="B3283" t="s">
        <v>15</v>
      </c>
      <c r="C3283">
        <v>2643151</v>
      </c>
      <c r="D3283" t="s">
        <v>10</v>
      </c>
      <c r="E3283" t="s">
        <v>16</v>
      </c>
      <c r="F3283" t="s">
        <v>12</v>
      </c>
      <c r="G3283" t="s">
        <v>13</v>
      </c>
      <c r="H3283" t="s">
        <v>13</v>
      </c>
      <c r="I3283">
        <v>23</v>
      </c>
      <c r="J3283">
        <f>ABS((I3283-EDA!$A$15)/EDA!$B$15)</f>
        <v>1.3394909586068953</v>
      </c>
      <c r="K3283" t="str">
        <f t="shared" si="51"/>
        <v>No</v>
      </c>
      <c r="L3283">
        <f>ABS((C3283-EDA!$F$15)/EDA!$G$15)</f>
        <v>0.33167007373528823</v>
      </c>
      <c r="M3283" t="str">
        <f>IF(moras[[#This Row],[Z-Score Salario]]&gt;1.96, "Sí", "No")</f>
        <v>No</v>
      </c>
      <c r="N3283" s="14">
        <f>IF(ISBLANK(moras[[#This Row],[SALARIO]]), EDA!$M$8, moras[[#This Row],[SALARIO]])</f>
        <v>2643151</v>
      </c>
      <c r="O3283" s="14">
        <f xml:space="preserve"> IF(ISBLANK(moras[[#This Row],[EDAD]]), EDA!$E$8, moras[[#This Row],[EDAD]])</f>
        <v>23</v>
      </c>
      <c r="P3283" s="14" t="str">
        <f>IF(
    OR(ISBLANK(moras[[#This Row],[TIPO_ASEGURAMIENTO]]), moras[[#This Row],[TIPO_ASEGURAMIENTO]]=""),
    EDA!$A$32,
    moras[[#This Row],[TIPO_ASEGURAMIENTO]]
)</f>
        <v>ASALARIADO</v>
      </c>
    </row>
    <row r="3284" spans="1:16" x14ac:dyDescent="0.3">
      <c r="A3284">
        <v>3283</v>
      </c>
      <c r="B3284" t="s">
        <v>9</v>
      </c>
      <c r="C3284">
        <v>93980174</v>
      </c>
      <c r="D3284" t="s">
        <v>10</v>
      </c>
      <c r="E3284" t="s">
        <v>11</v>
      </c>
      <c r="F3284" t="s">
        <v>12</v>
      </c>
      <c r="G3284" t="s">
        <v>13</v>
      </c>
      <c r="H3284" t="s">
        <v>13</v>
      </c>
      <c r="I3284">
        <v>34</v>
      </c>
      <c r="J3284">
        <f>ABS((I3284-EDA!$A$15)/EDA!$B$15)</f>
        <v>0.56316232775838282</v>
      </c>
      <c r="K3284" t="str">
        <f t="shared" si="51"/>
        <v>No</v>
      </c>
      <c r="L3284">
        <f>ABS((C3284-EDA!$F$15)/EDA!$G$15)</f>
        <v>1.1882424649033012</v>
      </c>
      <c r="M3284" t="str">
        <f>IF(moras[[#This Row],[Z-Score Salario]]&gt;1.96, "Sí", "No")</f>
        <v>No</v>
      </c>
      <c r="N3284" s="14">
        <f>IF(ISBLANK(moras[[#This Row],[SALARIO]]), EDA!$M$8, moras[[#This Row],[SALARIO]])</f>
        <v>93980174</v>
      </c>
      <c r="O3284" s="14">
        <f xml:space="preserve"> IF(ISBLANK(moras[[#This Row],[EDAD]]), EDA!$E$8, moras[[#This Row],[EDAD]])</f>
        <v>34</v>
      </c>
      <c r="P3284" s="14" t="str">
        <f>IF(
    OR(ISBLANK(moras[[#This Row],[TIPO_ASEGURAMIENTO]]), moras[[#This Row],[TIPO_ASEGURAMIENTO]]=""),
    EDA!$A$32,
    moras[[#This Row],[TIPO_ASEGURAMIENTO]]
)</f>
        <v>ASALARIADO</v>
      </c>
    </row>
    <row r="3285" spans="1:16" x14ac:dyDescent="0.3">
      <c r="A3285">
        <v>3284</v>
      </c>
      <c r="B3285" t="s">
        <v>9</v>
      </c>
      <c r="C3285">
        <v>297045</v>
      </c>
      <c r="D3285" t="s">
        <v>17</v>
      </c>
      <c r="E3285" t="s">
        <v>16</v>
      </c>
      <c r="F3285" t="s">
        <v>12</v>
      </c>
      <c r="G3285" t="s">
        <v>12</v>
      </c>
      <c r="H3285" t="s">
        <v>13</v>
      </c>
      <c r="I3285">
        <v>61</v>
      </c>
      <c r="J3285">
        <f>ABS((I3285-EDA!$A$15)/EDA!$B$15)</f>
        <v>1.3423715843243298</v>
      </c>
      <c r="K3285" t="str">
        <f t="shared" si="51"/>
        <v>No</v>
      </c>
      <c r="L3285">
        <f>ABS((C3285-EDA!$F$15)/EDA!$G$15)</f>
        <v>0.37071093372012948</v>
      </c>
      <c r="M3285" t="str">
        <f>IF(moras[[#This Row],[Z-Score Salario]]&gt;1.96, "Sí", "No")</f>
        <v>No</v>
      </c>
      <c r="N3285" s="14">
        <f>IF(ISBLANK(moras[[#This Row],[SALARIO]]), EDA!$M$8, moras[[#This Row],[SALARIO]])</f>
        <v>297045</v>
      </c>
      <c r="O3285" s="14">
        <f xml:space="preserve"> IF(ISBLANK(moras[[#This Row],[EDAD]]), EDA!$E$8, moras[[#This Row],[EDAD]])</f>
        <v>61</v>
      </c>
      <c r="P3285" s="14" t="str">
        <f>IF(
    OR(ISBLANK(moras[[#This Row],[TIPO_ASEGURAMIENTO]]), moras[[#This Row],[TIPO_ASEGURAMIENTO]]=""),
    EDA!$A$32,
    moras[[#This Row],[TIPO_ASEGURAMIENTO]]
)</f>
        <v>ASEGURADO VOLUNTARIO</v>
      </c>
    </row>
    <row r="3286" spans="1:16" x14ac:dyDescent="0.3">
      <c r="A3286">
        <v>3285</v>
      </c>
      <c r="B3286" t="s">
        <v>15</v>
      </c>
      <c r="C3286">
        <v>99662896</v>
      </c>
      <c r="D3286" t="s">
        <v>10</v>
      </c>
      <c r="E3286" t="s">
        <v>11</v>
      </c>
      <c r="F3286" t="s">
        <v>12</v>
      </c>
      <c r="G3286" t="s">
        <v>13</v>
      </c>
      <c r="H3286" t="s">
        <v>13</v>
      </c>
      <c r="I3286">
        <v>34</v>
      </c>
      <c r="J3286">
        <f>ABS((I3286-EDA!$A$15)/EDA!$B$15)</f>
        <v>0.56316232775838282</v>
      </c>
      <c r="K3286" t="str">
        <f t="shared" si="51"/>
        <v>No</v>
      </c>
      <c r="L3286">
        <f>ABS((C3286-EDA!$F$15)/EDA!$G$15)</f>
        <v>1.2828069704860741</v>
      </c>
      <c r="M3286" t="str">
        <f>IF(moras[[#This Row],[Z-Score Salario]]&gt;1.96, "Sí", "No")</f>
        <v>No</v>
      </c>
      <c r="N3286" s="14">
        <f>IF(ISBLANK(moras[[#This Row],[SALARIO]]), EDA!$M$8, moras[[#This Row],[SALARIO]])</f>
        <v>99662896</v>
      </c>
      <c r="O3286" s="14">
        <f xml:space="preserve"> IF(ISBLANK(moras[[#This Row],[EDAD]]), EDA!$E$8, moras[[#This Row],[EDAD]])</f>
        <v>34</v>
      </c>
      <c r="P3286" s="14" t="str">
        <f>IF(
    OR(ISBLANK(moras[[#This Row],[TIPO_ASEGURAMIENTO]]), moras[[#This Row],[TIPO_ASEGURAMIENTO]]=""),
    EDA!$A$32,
    moras[[#This Row],[TIPO_ASEGURAMIENTO]]
)</f>
        <v>ASALARIADO</v>
      </c>
    </row>
    <row r="3287" spans="1:16" x14ac:dyDescent="0.3">
      <c r="A3287">
        <v>3286</v>
      </c>
      <c r="B3287" t="s">
        <v>9</v>
      </c>
      <c r="C3287">
        <v>600000</v>
      </c>
      <c r="D3287" t="s">
        <v>10</v>
      </c>
      <c r="E3287" t="s">
        <v>16</v>
      </c>
      <c r="F3287" t="s">
        <v>12</v>
      </c>
      <c r="G3287" t="s">
        <v>13</v>
      </c>
      <c r="H3287" t="s">
        <v>13</v>
      </c>
      <c r="I3287">
        <v>48</v>
      </c>
      <c r="J3287">
        <f>ABS((I3287-EDA!$A$15)/EDA!$B$15)</f>
        <v>0.42489229332154227</v>
      </c>
      <c r="K3287" t="str">
        <f t="shared" si="51"/>
        <v>No</v>
      </c>
      <c r="L3287">
        <f>ABS((C3287-EDA!$F$15)/EDA!$G$15)</f>
        <v>0.36566954866049978</v>
      </c>
      <c r="M3287" t="str">
        <f>IF(moras[[#This Row],[Z-Score Salario]]&gt;1.96, "Sí", "No")</f>
        <v>No</v>
      </c>
      <c r="N3287" s="14">
        <f>IF(ISBLANK(moras[[#This Row],[SALARIO]]), EDA!$M$8, moras[[#This Row],[SALARIO]])</f>
        <v>600000</v>
      </c>
      <c r="O3287" s="14">
        <f xml:space="preserve"> IF(ISBLANK(moras[[#This Row],[EDAD]]), EDA!$E$8, moras[[#This Row],[EDAD]])</f>
        <v>48</v>
      </c>
      <c r="P3287" s="14" t="str">
        <f>IF(
    OR(ISBLANK(moras[[#This Row],[TIPO_ASEGURAMIENTO]]), moras[[#This Row],[TIPO_ASEGURAMIENTO]]=""),
    EDA!$A$32,
    moras[[#This Row],[TIPO_ASEGURAMIENTO]]
)</f>
        <v>ASALARIADO</v>
      </c>
    </row>
    <row r="3288" spans="1:16" x14ac:dyDescent="0.3">
      <c r="A3288">
        <v>3287</v>
      </c>
      <c r="B3288" t="s">
        <v>9</v>
      </c>
      <c r="C3288">
        <v>193800</v>
      </c>
      <c r="D3288" t="s">
        <v>10</v>
      </c>
      <c r="E3288" t="s">
        <v>16</v>
      </c>
      <c r="F3288" t="s">
        <v>12</v>
      </c>
      <c r="G3288" t="s">
        <v>13</v>
      </c>
      <c r="H3288" t="s">
        <v>13</v>
      </c>
      <c r="I3288">
        <v>28</v>
      </c>
      <c r="J3288">
        <f>ABS((I3288-EDA!$A$15)/EDA!$B$15)</f>
        <v>0.98661430822120777</v>
      </c>
      <c r="K3288" t="str">
        <f t="shared" si="51"/>
        <v>No</v>
      </c>
      <c r="L3288">
        <f>ABS((C3288-EDA!$F$15)/EDA!$G$15)</f>
        <v>0.37242900340203428</v>
      </c>
      <c r="M3288" t="str">
        <f>IF(moras[[#This Row],[Z-Score Salario]]&gt;1.96, "Sí", "No")</f>
        <v>No</v>
      </c>
      <c r="N3288" s="14">
        <f>IF(ISBLANK(moras[[#This Row],[SALARIO]]), EDA!$M$8, moras[[#This Row],[SALARIO]])</f>
        <v>193800</v>
      </c>
      <c r="O3288" s="14">
        <f xml:space="preserve"> IF(ISBLANK(moras[[#This Row],[EDAD]]), EDA!$E$8, moras[[#This Row],[EDAD]])</f>
        <v>28</v>
      </c>
      <c r="P3288" s="14" t="str">
        <f>IF(
    OR(ISBLANK(moras[[#This Row],[TIPO_ASEGURAMIENTO]]), moras[[#This Row],[TIPO_ASEGURAMIENTO]]=""),
    EDA!$A$32,
    moras[[#This Row],[TIPO_ASEGURAMIENTO]]
)</f>
        <v>ASALARIADO</v>
      </c>
    </row>
    <row r="3289" spans="1:16" x14ac:dyDescent="0.3">
      <c r="A3289">
        <v>3288</v>
      </c>
      <c r="B3289" t="s">
        <v>9</v>
      </c>
      <c r="C3289">
        <v>278030</v>
      </c>
      <c r="D3289" t="s">
        <v>19</v>
      </c>
      <c r="E3289" t="s">
        <v>16</v>
      </c>
      <c r="F3289" t="s">
        <v>12</v>
      </c>
      <c r="G3289" t="s">
        <v>13</v>
      </c>
      <c r="H3289" t="s">
        <v>13</v>
      </c>
      <c r="I3289">
        <v>30</v>
      </c>
      <c r="J3289">
        <f>ABS((I3289-EDA!$A$15)/EDA!$B$15)</f>
        <v>0.84546364806693275</v>
      </c>
      <c r="K3289" t="str">
        <f t="shared" si="51"/>
        <v>No</v>
      </c>
      <c r="L3289">
        <f>ABS((C3289-EDA!$F$15)/EDA!$G$15)</f>
        <v>0.37102735674304993</v>
      </c>
      <c r="M3289" t="str">
        <f>IF(moras[[#This Row],[Z-Score Salario]]&gt;1.96, "Sí", "No")</f>
        <v>No</v>
      </c>
      <c r="N3289" s="14">
        <f>IF(ISBLANK(moras[[#This Row],[SALARIO]]), EDA!$M$8, moras[[#This Row],[SALARIO]])</f>
        <v>278030</v>
      </c>
      <c r="O3289" s="14">
        <f xml:space="preserve"> IF(ISBLANK(moras[[#This Row],[EDAD]]), EDA!$E$8, moras[[#This Row],[EDAD]])</f>
        <v>30</v>
      </c>
      <c r="P3289" s="14" t="str">
        <f>IF(
    OR(ISBLANK(moras[[#This Row],[TIPO_ASEGURAMIENTO]]), moras[[#This Row],[TIPO_ASEGURAMIENTO]]=""),
    EDA!$A$32,
    moras[[#This Row],[TIPO_ASEGURAMIENTO]]
)</f>
        <v>CONVENIOS ESPECIALES DE TRABAJADORES INDEPENDIENTES</v>
      </c>
    </row>
    <row r="3290" spans="1:16" x14ac:dyDescent="0.3">
      <c r="A3290">
        <v>3289</v>
      </c>
      <c r="B3290" t="s">
        <v>9</v>
      </c>
      <c r="C3290">
        <v>53804308</v>
      </c>
      <c r="D3290" t="s">
        <v>10</v>
      </c>
      <c r="E3290" t="s">
        <v>16</v>
      </c>
      <c r="F3290" t="s">
        <v>12</v>
      </c>
      <c r="G3290" t="s">
        <v>13</v>
      </c>
      <c r="H3290" t="s">
        <v>13</v>
      </c>
      <c r="I3290">
        <v>45</v>
      </c>
      <c r="J3290">
        <f>ABS((I3290-EDA!$A$15)/EDA!$B$15)</f>
        <v>0.21316630309012977</v>
      </c>
      <c r="K3290" t="str">
        <f t="shared" si="51"/>
        <v>No</v>
      </c>
      <c r="L3290">
        <f>ABS((C3290-EDA!$F$15)/EDA!$G$15)</f>
        <v>0.5196876940294598</v>
      </c>
      <c r="M3290" t="str">
        <f>IF(moras[[#This Row],[Z-Score Salario]]&gt;1.96, "Sí", "No")</f>
        <v>No</v>
      </c>
      <c r="N3290" s="14">
        <f>IF(ISBLANK(moras[[#This Row],[SALARIO]]), EDA!$M$8, moras[[#This Row],[SALARIO]])</f>
        <v>53804308</v>
      </c>
      <c r="O3290" s="14">
        <f xml:space="preserve"> IF(ISBLANK(moras[[#This Row],[EDAD]]), EDA!$E$8, moras[[#This Row],[EDAD]])</f>
        <v>45</v>
      </c>
      <c r="P3290" s="14" t="str">
        <f>IF(
    OR(ISBLANK(moras[[#This Row],[TIPO_ASEGURAMIENTO]]), moras[[#This Row],[TIPO_ASEGURAMIENTO]]=""),
    EDA!$A$32,
    moras[[#This Row],[TIPO_ASEGURAMIENTO]]
)</f>
        <v>ASALARIADO</v>
      </c>
    </row>
    <row r="3291" spans="1:16" x14ac:dyDescent="0.3">
      <c r="A3291">
        <v>3290</v>
      </c>
      <c r="B3291" t="s">
        <v>15</v>
      </c>
      <c r="C3291">
        <v>465000</v>
      </c>
      <c r="D3291" t="s">
        <v>10</v>
      </c>
      <c r="E3291" t="s">
        <v>16</v>
      </c>
      <c r="F3291" t="s">
        <v>12</v>
      </c>
      <c r="G3291" t="s">
        <v>13</v>
      </c>
      <c r="H3291" t="s">
        <v>12</v>
      </c>
      <c r="I3291">
        <v>28</v>
      </c>
      <c r="J3291">
        <f>ABS((I3291-EDA!$A$15)/EDA!$B$15)</f>
        <v>0.98661430822120777</v>
      </c>
      <c r="K3291" t="str">
        <f t="shared" si="51"/>
        <v>No</v>
      </c>
      <c r="L3291">
        <f>ABS((C3291-EDA!$F$15)/EDA!$G$15)</f>
        <v>0.36791604395864641</v>
      </c>
      <c r="M3291" t="str">
        <f>IF(moras[[#This Row],[Z-Score Salario]]&gt;1.96, "Sí", "No")</f>
        <v>No</v>
      </c>
      <c r="N3291" s="14">
        <f>IF(ISBLANK(moras[[#This Row],[SALARIO]]), EDA!$M$8, moras[[#This Row],[SALARIO]])</f>
        <v>465000</v>
      </c>
      <c r="O3291" s="14">
        <f xml:space="preserve"> IF(ISBLANK(moras[[#This Row],[EDAD]]), EDA!$E$8, moras[[#This Row],[EDAD]])</f>
        <v>28</v>
      </c>
      <c r="P3291" s="14" t="str">
        <f>IF(
    OR(ISBLANK(moras[[#This Row],[TIPO_ASEGURAMIENTO]]), moras[[#This Row],[TIPO_ASEGURAMIENTO]]=""),
    EDA!$A$32,
    moras[[#This Row],[TIPO_ASEGURAMIENTO]]
)</f>
        <v>ASALARIADO</v>
      </c>
    </row>
    <row r="3292" spans="1:16" x14ac:dyDescent="0.3">
      <c r="A3292">
        <v>3291</v>
      </c>
      <c r="B3292" t="s">
        <v>9</v>
      </c>
      <c r="C3292">
        <v>318610</v>
      </c>
      <c r="D3292" t="s">
        <v>18</v>
      </c>
      <c r="E3292" t="s">
        <v>16</v>
      </c>
      <c r="F3292" t="s">
        <v>12</v>
      </c>
      <c r="G3292" t="s">
        <v>13</v>
      </c>
      <c r="H3292" t="s">
        <v>13</v>
      </c>
      <c r="I3292">
        <v>44</v>
      </c>
      <c r="J3292">
        <f>ABS((I3292-EDA!$A$15)/EDA!$B$15)</f>
        <v>0.14259097301299228</v>
      </c>
      <c r="K3292" t="str">
        <f t="shared" si="51"/>
        <v>No</v>
      </c>
      <c r="L3292">
        <f>ABS((C3292-EDA!$F$15)/EDA!$G$15)</f>
        <v>0.37035207689713295</v>
      </c>
      <c r="M3292" t="str">
        <f>IF(moras[[#This Row],[Z-Score Salario]]&gt;1.96, "Sí", "No")</f>
        <v>No</v>
      </c>
      <c r="N3292" s="14">
        <f>IF(ISBLANK(moras[[#This Row],[SALARIO]]), EDA!$M$8, moras[[#This Row],[SALARIO]])</f>
        <v>318610</v>
      </c>
      <c r="O3292" s="14">
        <f xml:space="preserve"> IF(ISBLANK(moras[[#This Row],[EDAD]]), EDA!$E$8, moras[[#This Row],[EDAD]])</f>
        <v>44</v>
      </c>
      <c r="P3292" s="14" t="str">
        <f>IF(
    OR(ISBLANK(moras[[#This Row],[TIPO_ASEGURAMIENTO]]), moras[[#This Row],[TIPO_ASEGURAMIENTO]]=""),
    EDA!$A$32,
    moras[[#This Row],[TIPO_ASEGURAMIENTO]]
)</f>
        <v>TRABAJADOR INDEPENDIENTE</v>
      </c>
    </row>
    <row r="3293" spans="1:16" x14ac:dyDescent="0.3">
      <c r="A3293">
        <v>3292</v>
      </c>
      <c r="B3293" t="s">
        <v>15</v>
      </c>
      <c r="C3293">
        <v>272000</v>
      </c>
      <c r="D3293" t="s">
        <v>10</v>
      </c>
      <c r="E3293" t="s">
        <v>16</v>
      </c>
      <c r="F3293" t="s">
        <v>12</v>
      </c>
      <c r="G3293" t="s">
        <v>13</v>
      </c>
      <c r="H3293" t="s">
        <v>13</v>
      </c>
      <c r="I3293">
        <v>60</v>
      </c>
      <c r="J3293">
        <f>ABS((I3293-EDA!$A$15)/EDA!$B$15)</f>
        <v>1.2717962542471923</v>
      </c>
      <c r="K3293" t="str">
        <f t="shared" si="51"/>
        <v>No</v>
      </c>
      <c r="L3293">
        <f>ABS((C3293-EDA!$F$15)/EDA!$G$15)</f>
        <v>0.37112770019970048</v>
      </c>
      <c r="M3293" t="str">
        <f>IF(moras[[#This Row],[Z-Score Salario]]&gt;1.96, "Sí", "No")</f>
        <v>No</v>
      </c>
      <c r="N3293" s="14">
        <f>IF(ISBLANK(moras[[#This Row],[SALARIO]]), EDA!$M$8, moras[[#This Row],[SALARIO]])</f>
        <v>272000</v>
      </c>
      <c r="O3293" s="14">
        <f xml:space="preserve"> IF(ISBLANK(moras[[#This Row],[EDAD]]), EDA!$E$8, moras[[#This Row],[EDAD]])</f>
        <v>60</v>
      </c>
      <c r="P3293" s="14" t="str">
        <f>IF(
    OR(ISBLANK(moras[[#This Row],[TIPO_ASEGURAMIENTO]]), moras[[#This Row],[TIPO_ASEGURAMIENTO]]=""),
    EDA!$A$32,
    moras[[#This Row],[TIPO_ASEGURAMIENTO]]
)</f>
        <v>ASALARIADO</v>
      </c>
    </row>
    <row r="3294" spans="1:16" x14ac:dyDescent="0.3">
      <c r="A3294">
        <v>3293</v>
      </c>
      <c r="B3294" t="s">
        <v>15</v>
      </c>
      <c r="C3294">
        <v>25882422</v>
      </c>
      <c r="D3294" t="s">
        <v>10</v>
      </c>
      <c r="E3294" t="s">
        <v>11</v>
      </c>
      <c r="F3294" t="s">
        <v>12</v>
      </c>
      <c r="G3294" t="s">
        <v>13</v>
      </c>
      <c r="H3294" t="s">
        <v>13</v>
      </c>
      <c r="I3294">
        <v>32</v>
      </c>
      <c r="J3294">
        <f>ABS((I3294-EDA!$A$15)/EDA!$B$15)</f>
        <v>0.70431298791265773</v>
      </c>
      <c r="K3294" t="str">
        <f t="shared" si="51"/>
        <v>No</v>
      </c>
      <c r="L3294">
        <f>ABS((C3294-EDA!$F$15)/EDA!$G$15)</f>
        <v>5.5047800589564183E-2</v>
      </c>
      <c r="M3294" t="str">
        <f>IF(moras[[#This Row],[Z-Score Salario]]&gt;1.96, "Sí", "No")</f>
        <v>No</v>
      </c>
      <c r="N3294" s="14">
        <f>IF(ISBLANK(moras[[#This Row],[SALARIO]]), EDA!$M$8, moras[[#This Row],[SALARIO]])</f>
        <v>25882422</v>
      </c>
      <c r="O3294" s="14">
        <f xml:space="preserve"> IF(ISBLANK(moras[[#This Row],[EDAD]]), EDA!$E$8, moras[[#This Row],[EDAD]])</f>
        <v>32</v>
      </c>
      <c r="P3294" s="14" t="str">
        <f>IF(
    OR(ISBLANK(moras[[#This Row],[TIPO_ASEGURAMIENTO]]), moras[[#This Row],[TIPO_ASEGURAMIENTO]]=""),
    EDA!$A$32,
    moras[[#This Row],[TIPO_ASEGURAMIENTO]]
)</f>
        <v>ASALARIADO</v>
      </c>
    </row>
    <row r="3295" spans="1:16" x14ac:dyDescent="0.3">
      <c r="A3295">
        <v>3294</v>
      </c>
      <c r="B3295" t="s">
        <v>15</v>
      </c>
      <c r="C3295">
        <v>302470</v>
      </c>
      <c r="D3295" t="s">
        <v>18</v>
      </c>
      <c r="E3295" t="s">
        <v>16</v>
      </c>
      <c r="F3295" t="s">
        <v>12</v>
      </c>
      <c r="G3295" t="s">
        <v>13</v>
      </c>
      <c r="H3295" t="s">
        <v>13</v>
      </c>
      <c r="I3295">
        <v>28</v>
      </c>
      <c r="J3295">
        <f>ABS((I3295-EDA!$A$15)/EDA!$B$15)</f>
        <v>0.98661430822120777</v>
      </c>
      <c r="K3295" t="str">
        <f t="shared" si="51"/>
        <v>No</v>
      </c>
      <c r="L3295">
        <f>ABS((C3295-EDA!$F$15)/EDA!$G$15)</f>
        <v>0.37062065789055582</v>
      </c>
      <c r="M3295" t="str">
        <f>IF(moras[[#This Row],[Z-Score Salario]]&gt;1.96, "Sí", "No")</f>
        <v>No</v>
      </c>
      <c r="N3295" s="14">
        <f>IF(ISBLANK(moras[[#This Row],[SALARIO]]), EDA!$M$8, moras[[#This Row],[SALARIO]])</f>
        <v>302470</v>
      </c>
      <c r="O3295" s="14">
        <f xml:space="preserve"> IF(ISBLANK(moras[[#This Row],[EDAD]]), EDA!$E$8, moras[[#This Row],[EDAD]])</f>
        <v>28</v>
      </c>
      <c r="P3295" s="14" t="str">
        <f>IF(
    OR(ISBLANK(moras[[#This Row],[TIPO_ASEGURAMIENTO]]), moras[[#This Row],[TIPO_ASEGURAMIENTO]]=""),
    EDA!$A$32,
    moras[[#This Row],[TIPO_ASEGURAMIENTO]]
)</f>
        <v>TRABAJADOR INDEPENDIENTE</v>
      </c>
    </row>
    <row r="3296" spans="1:16" x14ac:dyDescent="0.3">
      <c r="A3296">
        <v>3295</v>
      </c>
      <c r="B3296" t="s">
        <v>9</v>
      </c>
      <c r="C3296">
        <v>300018</v>
      </c>
      <c r="D3296" t="s">
        <v>17</v>
      </c>
      <c r="E3296" t="s">
        <v>16</v>
      </c>
      <c r="F3296" t="s">
        <v>13</v>
      </c>
      <c r="G3296" t="s">
        <v>13</v>
      </c>
      <c r="H3296" t="s">
        <v>13</v>
      </c>
      <c r="I3296">
        <v>85</v>
      </c>
      <c r="J3296">
        <f>ABS((I3296-EDA!$A$15)/EDA!$B$15)</f>
        <v>3.03617950617563</v>
      </c>
      <c r="K3296" t="str">
        <f t="shared" si="51"/>
        <v>Sí</v>
      </c>
      <c r="L3296">
        <f>ABS((C3296-EDA!$F$15)/EDA!$G$15)</f>
        <v>0.37066146090145252</v>
      </c>
      <c r="M3296" t="str">
        <f>IF(moras[[#This Row],[Z-Score Salario]]&gt;1.96, "Sí", "No")</f>
        <v>No</v>
      </c>
      <c r="N3296" s="14">
        <f>IF(ISBLANK(moras[[#This Row],[SALARIO]]), EDA!$M$8, moras[[#This Row],[SALARIO]])</f>
        <v>300018</v>
      </c>
      <c r="O3296" s="14">
        <f xml:space="preserve"> IF(ISBLANK(moras[[#This Row],[EDAD]]), EDA!$E$8, moras[[#This Row],[EDAD]])</f>
        <v>85</v>
      </c>
      <c r="P3296" s="14" t="str">
        <f>IF(
    OR(ISBLANK(moras[[#This Row],[TIPO_ASEGURAMIENTO]]), moras[[#This Row],[TIPO_ASEGURAMIENTO]]=""),
    EDA!$A$32,
    moras[[#This Row],[TIPO_ASEGURAMIENTO]]
)</f>
        <v>ASEGURADO VOLUNTARIO</v>
      </c>
    </row>
    <row r="3297" spans="1:16" x14ac:dyDescent="0.3">
      <c r="A3297">
        <v>3296</v>
      </c>
      <c r="B3297" t="s">
        <v>15</v>
      </c>
      <c r="C3297">
        <v>509509</v>
      </c>
      <c r="D3297" t="s">
        <v>18</v>
      </c>
      <c r="E3297" t="s">
        <v>16</v>
      </c>
      <c r="F3297" t="s">
        <v>12</v>
      </c>
      <c r="G3297" t="s">
        <v>13</v>
      </c>
      <c r="H3297" t="s">
        <v>12</v>
      </c>
      <c r="I3297">
        <v>36</v>
      </c>
      <c r="J3297">
        <f>ABS((I3297-EDA!$A$15)/EDA!$B$15)</f>
        <v>0.42201166760410774</v>
      </c>
      <c r="K3297" t="str">
        <f t="shared" si="51"/>
        <v>No</v>
      </c>
      <c r="L3297">
        <f>ABS((C3297-EDA!$F$15)/EDA!$G$15)</f>
        <v>0.36717538277920042</v>
      </c>
      <c r="M3297" t="str">
        <f>IF(moras[[#This Row],[Z-Score Salario]]&gt;1.96, "Sí", "No")</f>
        <v>No</v>
      </c>
      <c r="N3297" s="14">
        <f>IF(ISBLANK(moras[[#This Row],[SALARIO]]), EDA!$M$8, moras[[#This Row],[SALARIO]])</f>
        <v>509509</v>
      </c>
      <c r="O3297" s="14">
        <f xml:space="preserve"> IF(ISBLANK(moras[[#This Row],[EDAD]]), EDA!$E$8, moras[[#This Row],[EDAD]])</f>
        <v>36</v>
      </c>
      <c r="P3297" s="14" t="str">
        <f>IF(
    OR(ISBLANK(moras[[#This Row],[TIPO_ASEGURAMIENTO]]), moras[[#This Row],[TIPO_ASEGURAMIENTO]]=""),
    EDA!$A$32,
    moras[[#This Row],[TIPO_ASEGURAMIENTO]]
)</f>
        <v>TRABAJADOR INDEPENDIENTE</v>
      </c>
    </row>
    <row r="3298" spans="1:16" x14ac:dyDescent="0.3">
      <c r="A3298">
        <v>3297</v>
      </c>
      <c r="B3298" t="s">
        <v>9</v>
      </c>
      <c r="C3298">
        <v>25000</v>
      </c>
      <c r="D3298" t="s">
        <v>10</v>
      </c>
      <c r="E3298" t="s">
        <v>16</v>
      </c>
      <c r="F3298" t="s">
        <v>12</v>
      </c>
      <c r="G3298" t="s">
        <v>13</v>
      </c>
      <c r="H3298" t="s">
        <v>13</v>
      </c>
      <c r="I3298">
        <v>27</v>
      </c>
      <c r="J3298">
        <f>ABS((I3298-EDA!$A$15)/EDA!$B$15)</f>
        <v>1.0571896382983452</v>
      </c>
      <c r="K3298" t="str">
        <f t="shared" si="51"/>
        <v>No</v>
      </c>
      <c r="L3298">
        <f>ABS((C3298-EDA!$F$15)/EDA!$G$15)</f>
        <v>0.37523795456001319</v>
      </c>
      <c r="M3298" t="str">
        <f>IF(moras[[#This Row],[Z-Score Salario]]&gt;1.96, "Sí", "No")</f>
        <v>No</v>
      </c>
      <c r="N3298" s="14">
        <f>IF(ISBLANK(moras[[#This Row],[SALARIO]]), EDA!$M$8, moras[[#This Row],[SALARIO]])</f>
        <v>25000</v>
      </c>
      <c r="O3298" s="14">
        <f xml:space="preserve"> IF(ISBLANK(moras[[#This Row],[EDAD]]), EDA!$E$8, moras[[#This Row],[EDAD]])</f>
        <v>27</v>
      </c>
      <c r="P3298" s="14" t="str">
        <f>IF(
    OR(ISBLANK(moras[[#This Row],[TIPO_ASEGURAMIENTO]]), moras[[#This Row],[TIPO_ASEGURAMIENTO]]=""),
    EDA!$A$32,
    moras[[#This Row],[TIPO_ASEGURAMIENTO]]
)</f>
        <v>ASALARIADO</v>
      </c>
    </row>
    <row r="3299" spans="1:16" x14ac:dyDescent="0.3">
      <c r="A3299">
        <v>3298</v>
      </c>
      <c r="B3299" t="s">
        <v>15</v>
      </c>
      <c r="C3299">
        <v>35502246</v>
      </c>
      <c r="D3299" t="s">
        <v>10</v>
      </c>
      <c r="E3299" t="s">
        <v>16</v>
      </c>
      <c r="F3299" t="s">
        <v>12</v>
      </c>
      <c r="G3299" t="s">
        <v>13</v>
      </c>
      <c r="H3299" t="s">
        <v>13</v>
      </c>
      <c r="I3299">
        <v>37</v>
      </c>
      <c r="J3299">
        <f>ABS((I3299-EDA!$A$15)/EDA!$B$15)</f>
        <v>0.35143633752697023</v>
      </c>
      <c r="K3299" t="str">
        <f t="shared" si="51"/>
        <v>No</v>
      </c>
      <c r="L3299">
        <f>ABS((C3299-EDA!$F$15)/EDA!$G$15)</f>
        <v>0.21512846270066047</v>
      </c>
      <c r="M3299" t="str">
        <f>IF(moras[[#This Row],[Z-Score Salario]]&gt;1.96, "Sí", "No")</f>
        <v>No</v>
      </c>
      <c r="N3299" s="14">
        <f>IF(ISBLANK(moras[[#This Row],[SALARIO]]), EDA!$M$8, moras[[#This Row],[SALARIO]])</f>
        <v>35502246</v>
      </c>
      <c r="O3299" s="14">
        <f xml:space="preserve"> IF(ISBLANK(moras[[#This Row],[EDAD]]), EDA!$E$8, moras[[#This Row],[EDAD]])</f>
        <v>37</v>
      </c>
      <c r="P3299" s="14" t="str">
        <f>IF(
    OR(ISBLANK(moras[[#This Row],[TIPO_ASEGURAMIENTO]]), moras[[#This Row],[TIPO_ASEGURAMIENTO]]=""),
    EDA!$A$32,
    moras[[#This Row],[TIPO_ASEGURAMIENTO]]
)</f>
        <v>ASALARIADO</v>
      </c>
    </row>
    <row r="3300" spans="1:16" x14ac:dyDescent="0.3">
      <c r="A3300">
        <v>3299</v>
      </c>
      <c r="B3300" t="s">
        <v>15</v>
      </c>
      <c r="C3300">
        <v>72789634</v>
      </c>
      <c r="D3300" t="s">
        <v>10</v>
      </c>
      <c r="E3300" t="s">
        <v>11</v>
      </c>
      <c r="F3300" t="s">
        <v>12</v>
      </c>
      <c r="G3300" t="s">
        <v>13</v>
      </c>
      <c r="H3300" t="s">
        <v>13</v>
      </c>
      <c r="I3300">
        <v>28</v>
      </c>
      <c r="J3300">
        <f>ABS((I3300-EDA!$A$15)/EDA!$B$15)</f>
        <v>0.98661430822120777</v>
      </c>
      <c r="K3300" t="str">
        <f t="shared" si="51"/>
        <v>No</v>
      </c>
      <c r="L3300">
        <f>ABS((C3300-EDA!$F$15)/EDA!$G$15)</f>
        <v>0.83561692064265058</v>
      </c>
      <c r="M3300" t="str">
        <f>IF(moras[[#This Row],[Z-Score Salario]]&gt;1.96, "Sí", "No")</f>
        <v>No</v>
      </c>
      <c r="N3300" s="14">
        <f>IF(ISBLANK(moras[[#This Row],[SALARIO]]), EDA!$M$8, moras[[#This Row],[SALARIO]])</f>
        <v>72789634</v>
      </c>
      <c r="O3300" s="14">
        <f xml:space="preserve"> IF(ISBLANK(moras[[#This Row],[EDAD]]), EDA!$E$8, moras[[#This Row],[EDAD]])</f>
        <v>28</v>
      </c>
      <c r="P3300" s="14" t="str">
        <f>IF(
    OR(ISBLANK(moras[[#This Row],[TIPO_ASEGURAMIENTO]]), moras[[#This Row],[TIPO_ASEGURAMIENTO]]=""),
    EDA!$A$32,
    moras[[#This Row],[TIPO_ASEGURAMIENTO]]
)</f>
        <v>ASALARIADO</v>
      </c>
    </row>
    <row r="3301" spans="1:16" x14ac:dyDescent="0.3">
      <c r="A3301">
        <v>3300</v>
      </c>
      <c r="B3301" t="s">
        <v>9</v>
      </c>
      <c r="C3301">
        <v>343393</v>
      </c>
      <c r="D3301" t="s">
        <v>10</v>
      </c>
      <c r="E3301" t="s">
        <v>16</v>
      </c>
      <c r="F3301" t="s">
        <v>12</v>
      </c>
      <c r="G3301" t="s">
        <v>13</v>
      </c>
      <c r="H3301" t="s">
        <v>13</v>
      </c>
      <c r="I3301">
        <v>37</v>
      </c>
      <c r="J3301">
        <f>ABS((I3301-EDA!$A$15)/EDA!$B$15)</f>
        <v>0.35143633752697023</v>
      </c>
      <c r="K3301" t="str">
        <f t="shared" si="51"/>
        <v>No</v>
      </c>
      <c r="L3301">
        <f>ABS((C3301-EDA!$F$15)/EDA!$G$15)</f>
        <v>0.36993967028251096</v>
      </c>
      <c r="M3301" t="str">
        <f>IF(moras[[#This Row],[Z-Score Salario]]&gt;1.96, "Sí", "No")</f>
        <v>No</v>
      </c>
      <c r="N3301" s="14">
        <f>IF(ISBLANK(moras[[#This Row],[SALARIO]]), EDA!$M$8, moras[[#This Row],[SALARIO]])</f>
        <v>343393</v>
      </c>
      <c r="O3301" s="14">
        <f xml:space="preserve"> IF(ISBLANK(moras[[#This Row],[EDAD]]), EDA!$E$8, moras[[#This Row],[EDAD]])</f>
        <v>37</v>
      </c>
      <c r="P3301" s="14" t="str">
        <f>IF(
    OR(ISBLANK(moras[[#This Row],[TIPO_ASEGURAMIENTO]]), moras[[#This Row],[TIPO_ASEGURAMIENTO]]=""),
    EDA!$A$32,
    moras[[#This Row],[TIPO_ASEGURAMIENTO]]
)</f>
        <v>ASALARIADO</v>
      </c>
    </row>
    <row r="3302" spans="1:16" x14ac:dyDescent="0.3">
      <c r="A3302">
        <v>3301</v>
      </c>
      <c r="B3302" t="s">
        <v>15</v>
      </c>
      <c r="C3302">
        <v>296610</v>
      </c>
      <c r="D3302" t="s">
        <v>17</v>
      </c>
      <c r="E3302" t="s">
        <v>16</v>
      </c>
      <c r="F3302" t="s">
        <v>12</v>
      </c>
      <c r="G3302" t="s">
        <v>13</v>
      </c>
      <c r="H3302" t="s">
        <v>13</v>
      </c>
      <c r="I3302">
        <v>22</v>
      </c>
      <c r="J3302">
        <f>ABS((I3302-EDA!$A$15)/EDA!$B$15)</f>
        <v>1.4100662886840327</v>
      </c>
      <c r="K3302" t="str">
        <f t="shared" si="51"/>
        <v>No</v>
      </c>
      <c r="L3302">
        <f>ABS((C3302-EDA!$F$15)/EDA!$G$15)</f>
        <v>0.37071817242720129</v>
      </c>
      <c r="M3302" t="str">
        <f>IF(moras[[#This Row],[Z-Score Salario]]&gt;1.96, "Sí", "No")</f>
        <v>No</v>
      </c>
      <c r="N3302" s="14">
        <f>IF(ISBLANK(moras[[#This Row],[SALARIO]]), EDA!$M$8, moras[[#This Row],[SALARIO]])</f>
        <v>296610</v>
      </c>
      <c r="O3302" s="14">
        <f xml:space="preserve"> IF(ISBLANK(moras[[#This Row],[EDAD]]), EDA!$E$8, moras[[#This Row],[EDAD]])</f>
        <v>22</v>
      </c>
      <c r="P3302" s="14" t="str">
        <f>IF(
    OR(ISBLANK(moras[[#This Row],[TIPO_ASEGURAMIENTO]]), moras[[#This Row],[TIPO_ASEGURAMIENTO]]=""),
    EDA!$A$32,
    moras[[#This Row],[TIPO_ASEGURAMIENTO]]
)</f>
        <v>ASEGURADO VOLUNTARIO</v>
      </c>
    </row>
    <row r="3303" spans="1:16" x14ac:dyDescent="0.3">
      <c r="A3303">
        <v>3302</v>
      </c>
      <c r="B3303" t="s">
        <v>9</v>
      </c>
      <c r="C3303">
        <v>1309556</v>
      </c>
      <c r="D3303" t="s">
        <v>14</v>
      </c>
      <c r="E3303" t="s">
        <v>11</v>
      </c>
      <c r="F3303" t="s">
        <v>12</v>
      </c>
      <c r="G3303" t="s">
        <v>13</v>
      </c>
      <c r="H3303" t="s">
        <v>13</v>
      </c>
      <c r="I3303">
        <v>55</v>
      </c>
      <c r="J3303">
        <f>ABS((I3303-EDA!$A$15)/EDA!$B$15)</f>
        <v>0.91891960386150484</v>
      </c>
      <c r="K3303" t="str">
        <f t="shared" si="51"/>
        <v>No</v>
      </c>
      <c r="L3303">
        <f>ABS((C3303-EDA!$F$15)/EDA!$G$15)</f>
        <v>0.35386203593626481</v>
      </c>
      <c r="M3303" t="str">
        <f>IF(moras[[#This Row],[Z-Score Salario]]&gt;1.96, "Sí", "No")</f>
        <v>No</v>
      </c>
      <c r="N3303" s="14">
        <f>IF(ISBLANK(moras[[#This Row],[SALARIO]]), EDA!$M$8, moras[[#This Row],[SALARIO]])</f>
        <v>1309556</v>
      </c>
      <c r="O3303" s="14">
        <f xml:space="preserve"> IF(ISBLANK(moras[[#This Row],[EDAD]]), EDA!$E$8, moras[[#This Row],[EDAD]])</f>
        <v>55</v>
      </c>
      <c r="P3303" s="14" t="str">
        <f>IF(
    OR(ISBLANK(moras[[#This Row],[TIPO_ASEGURAMIENTO]]), moras[[#This Row],[TIPO_ASEGURAMIENTO]]=""),
    EDA!$A$32,
    moras[[#This Row],[TIPO_ASEGURAMIENTO]]
)</f>
        <v>PENSIONADOS EN SU PROPIO SISTEMA</v>
      </c>
    </row>
    <row r="3304" spans="1:16" x14ac:dyDescent="0.3">
      <c r="A3304">
        <v>3303</v>
      </c>
      <c r="B3304" t="s">
        <v>9</v>
      </c>
      <c r="C3304">
        <v>27803099</v>
      </c>
      <c r="D3304" t="s">
        <v>19</v>
      </c>
      <c r="E3304" t="s">
        <v>16</v>
      </c>
      <c r="F3304" t="s">
        <v>12</v>
      </c>
      <c r="G3304" t="s">
        <v>13</v>
      </c>
      <c r="H3304" t="s">
        <v>13</v>
      </c>
      <c r="I3304">
        <v>64</v>
      </c>
      <c r="J3304">
        <f>ABS((I3304-EDA!$A$15)/EDA!$B$15)</f>
        <v>1.5540975745557424</v>
      </c>
      <c r="K3304" t="str">
        <f t="shared" si="51"/>
        <v>No</v>
      </c>
      <c r="L3304">
        <f>ABS((C3304-EDA!$F$15)/EDA!$G$15)</f>
        <v>8.7009221698885322E-2</v>
      </c>
      <c r="M3304" t="str">
        <f>IF(moras[[#This Row],[Z-Score Salario]]&gt;1.96, "Sí", "No")</f>
        <v>No</v>
      </c>
      <c r="N3304" s="14">
        <f>IF(ISBLANK(moras[[#This Row],[SALARIO]]), EDA!$M$8, moras[[#This Row],[SALARIO]])</f>
        <v>27803099</v>
      </c>
      <c r="O3304" s="14">
        <f xml:space="preserve"> IF(ISBLANK(moras[[#This Row],[EDAD]]), EDA!$E$8, moras[[#This Row],[EDAD]])</f>
        <v>64</v>
      </c>
      <c r="P3304" s="14" t="str">
        <f>IF(
    OR(ISBLANK(moras[[#This Row],[TIPO_ASEGURAMIENTO]]), moras[[#This Row],[TIPO_ASEGURAMIENTO]]=""),
    EDA!$A$32,
    moras[[#This Row],[TIPO_ASEGURAMIENTO]]
)</f>
        <v>CONVENIOS ESPECIALES DE TRABAJADORES INDEPENDIENTES</v>
      </c>
    </row>
    <row r="3305" spans="1:16" x14ac:dyDescent="0.3">
      <c r="A3305">
        <v>3304</v>
      </c>
      <c r="B3305" t="s">
        <v>9</v>
      </c>
      <c r="C3305">
        <v>184600</v>
      </c>
      <c r="D3305" t="s">
        <v>10</v>
      </c>
      <c r="E3305" t="s">
        <v>16</v>
      </c>
      <c r="F3305" t="s">
        <v>12</v>
      </c>
      <c r="G3305" t="s">
        <v>13</v>
      </c>
      <c r="H3305" t="s">
        <v>13</v>
      </c>
      <c r="I3305">
        <v>35</v>
      </c>
      <c r="J3305">
        <f>ABS((I3305-EDA!$A$15)/EDA!$B$15)</f>
        <v>0.49258699768124525</v>
      </c>
      <c r="K3305" t="str">
        <f t="shared" si="51"/>
        <v>No</v>
      </c>
      <c r="L3305">
        <f>ABS((C3305-EDA!$F$15)/EDA!$G$15)</f>
        <v>0.37258209789642649</v>
      </c>
      <c r="M3305" t="str">
        <f>IF(moras[[#This Row],[Z-Score Salario]]&gt;1.96, "Sí", "No")</f>
        <v>No</v>
      </c>
      <c r="N3305" s="14">
        <f>IF(ISBLANK(moras[[#This Row],[SALARIO]]), EDA!$M$8, moras[[#This Row],[SALARIO]])</f>
        <v>184600</v>
      </c>
      <c r="O3305" s="14">
        <f xml:space="preserve"> IF(ISBLANK(moras[[#This Row],[EDAD]]), EDA!$E$8, moras[[#This Row],[EDAD]])</f>
        <v>35</v>
      </c>
      <c r="P3305" s="14" t="str">
        <f>IF(
    OR(ISBLANK(moras[[#This Row],[TIPO_ASEGURAMIENTO]]), moras[[#This Row],[TIPO_ASEGURAMIENTO]]=""),
    EDA!$A$32,
    moras[[#This Row],[TIPO_ASEGURAMIENTO]]
)</f>
        <v>ASALARIADO</v>
      </c>
    </row>
    <row r="3306" spans="1:16" x14ac:dyDescent="0.3">
      <c r="A3306">
        <v>3305</v>
      </c>
      <c r="B3306" t="s">
        <v>15</v>
      </c>
      <c r="C3306">
        <v>1437897</v>
      </c>
      <c r="D3306" t="s">
        <v>10</v>
      </c>
      <c r="E3306" t="s">
        <v>11</v>
      </c>
      <c r="F3306" t="s">
        <v>12</v>
      </c>
      <c r="G3306" t="s">
        <v>13</v>
      </c>
      <c r="H3306" t="s">
        <v>13</v>
      </c>
      <c r="I3306">
        <v>59</v>
      </c>
      <c r="J3306">
        <f>ABS((I3306-EDA!$A$15)/EDA!$B$15)</f>
        <v>1.2012209241700549</v>
      </c>
      <c r="K3306" t="str">
        <f t="shared" si="51"/>
        <v>No</v>
      </c>
      <c r="L3306">
        <f>ABS((C3306-EDA!$F$15)/EDA!$G$15)</f>
        <v>0.35172635109878753</v>
      </c>
      <c r="M3306" t="str">
        <f>IF(moras[[#This Row],[Z-Score Salario]]&gt;1.96, "Sí", "No")</f>
        <v>No</v>
      </c>
      <c r="N3306" s="14">
        <f>IF(ISBLANK(moras[[#This Row],[SALARIO]]), EDA!$M$8, moras[[#This Row],[SALARIO]])</f>
        <v>1437897</v>
      </c>
      <c r="O3306" s="14">
        <f xml:space="preserve"> IF(ISBLANK(moras[[#This Row],[EDAD]]), EDA!$E$8, moras[[#This Row],[EDAD]])</f>
        <v>59</v>
      </c>
      <c r="P3306" s="14" t="str">
        <f>IF(
    OR(ISBLANK(moras[[#This Row],[TIPO_ASEGURAMIENTO]]), moras[[#This Row],[TIPO_ASEGURAMIENTO]]=""),
    EDA!$A$32,
    moras[[#This Row],[TIPO_ASEGURAMIENTO]]
)</f>
        <v>ASALARIADO</v>
      </c>
    </row>
    <row r="3307" spans="1:16" x14ac:dyDescent="0.3">
      <c r="A3307">
        <v>3306</v>
      </c>
      <c r="B3307" t="s">
        <v>9</v>
      </c>
      <c r="C3307">
        <v>298000</v>
      </c>
      <c r="D3307" t="s">
        <v>10</v>
      </c>
      <c r="E3307" t="s">
        <v>16</v>
      </c>
      <c r="F3307" t="s">
        <v>12</v>
      </c>
      <c r="G3307" t="s">
        <v>13</v>
      </c>
      <c r="H3307" t="s">
        <v>13</v>
      </c>
      <c r="I3307">
        <v>31</v>
      </c>
      <c r="J3307">
        <f>ABS((I3307-EDA!$A$15)/EDA!$B$15)</f>
        <v>0.77488831798979529</v>
      </c>
      <c r="K3307" t="str">
        <f t="shared" si="51"/>
        <v>No</v>
      </c>
      <c r="L3307">
        <f>ABS((C3307-EDA!$F$15)/EDA!$G$15)</f>
        <v>0.37069504184598334</v>
      </c>
      <c r="M3307" t="str">
        <f>IF(moras[[#This Row],[Z-Score Salario]]&gt;1.96, "Sí", "No")</f>
        <v>No</v>
      </c>
      <c r="N3307" s="14">
        <f>IF(ISBLANK(moras[[#This Row],[SALARIO]]), EDA!$M$8, moras[[#This Row],[SALARIO]])</f>
        <v>298000</v>
      </c>
      <c r="O3307" s="14">
        <f xml:space="preserve"> IF(ISBLANK(moras[[#This Row],[EDAD]]), EDA!$E$8, moras[[#This Row],[EDAD]])</f>
        <v>31</v>
      </c>
      <c r="P3307" s="14" t="str">
        <f>IF(
    OR(ISBLANK(moras[[#This Row],[TIPO_ASEGURAMIENTO]]), moras[[#This Row],[TIPO_ASEGURAMIENTO]]=""),
    EDA!$A$32,
    moras[[#This Row],[TIPO_ASEGURAMIENTO]]
)</f>
        <v>ASALARIADO</v>
      </c>
    </row>
    <row r="3308" spans="1:16" x14ac:dyDescent="0.3">
      <c r="A3308">
        <v>3307</v>
      </c>
      <c r="B3308" t="s">
        <v>9</v>
      </c>
      <c r="C3308">
        <v>324750</v>
      </c>
      <c r="D3308" t="s">
        <v>10</v>
      </c>
      <c r="E3308" t="s">
        <v>16</v>
      </c>
      <c r="F3308" t="s">
        <v>12</v>
      </c>
      <c r="G3308" t="s">
        <v>13</v>
      </c>
      <c r="H3308" t="s">
        <v>13</v>
      </c>
      <c r="I3308">
        <v>33</v>
      </c>
      <c r="J3308">
        <f>ABS((I3308-EDA!$A$15)/EDA!$B$15)</f>
        <v>0.63373765783552027</v>
      </c>
      <c r="K3308" t="str">
        <f t="shared" si="51"/>
        <v>No</v>
      </c>
      <c r="L3308">
        <f>ABS((C3308-EDA!$F$15)/EDA!$G$15)</f>
        <v>0.37024990296283206</v>
      </c>
      <c r="M3308" t="str">
        <f>IF(moras[[#This Row],[Z-Score Salario]]&gt;1.96, "Sí", "No")</f>
        <v>No</v>
      </c>
      <c r="N3308" s="14">
        <f>IF(ISBLANK(moras[[#This Row],[SALARIO]]), EDA!$M$8, moras[[#This Row],[SALARIO]])</f>
        <v>324750</v>
      </c>
      <c r="O3308" s="14">
        <f xml:space="preserve"> IF(ISBLANK(moras[[#This Row],[EDAD]]), EDA!$E$8, moras[[#This Row],[EDAD]])</f>
        <v>33</v>
      </c>
      <c r="P3308" s="14" t="str">
        <f>IF(
    OR(ISBLANK(moras[[#This Row],[TIPO_ASEGURAMIENTO]]), moras[[#This Row],[TIPO_ASEGURAMIENTO]]=""),
    EDA!$A$32,
    moras[[#This Row],[TIPO_ASEGURAMIENTO]]
)</f>
        <v>ASALARIADO</v>
      </c>
    </row>
    <row r="3309" spans="1:16" x14ac:dyDescent="0.3">
      <c r="A3309">
        <v>3308</v>
      </c>
      <c r="B3309" t="s">
        <v>15</v>
      </c>
      <c r="C3309">
        <v>112041672</v>
      </c>
      <c r="D3309" t="s">
        <v>10</v>
      </c>
      <c r="E3309" t="s">
        <v>16</v>
      </c>
      <c r="F3309" t="s">
        <v>12</v>
      </c>
      <c r="G3309" t="s">
        <v>13</v>
      </c>
      <c r="H3309" t="s">
        <v>13</v>
      </c>
      <c r="I3309">
        <v>33</v>
      </c>
      <c r="J3309">
        <f>ABS((I3309-EDA!$A$15)/EDA!$B$15)</f>
        <v>0.63373765783552027</v>
      </c>
      <c r="K3309" t="str">
        <f t="shared" si="51"/>
        <v>No</v>
      </c>
      <c r="L3309">
        <f>ABS((C3309-EDA!$F$15)/EDA!$G$15)</f>
        <v>1.4887985414550386</v>
      </c>
      <c r="M3309" t="str">
        <f>IF(moras[[#This Row],[Z-Score Salario]]&gt;1.96, "Sí", "No")</f>
        <v>No</v>
      </c>
      <c r="N3309" s="14">
        <f>IF(ISBLANK(moras[[#This Row],[SALARIO]]), EDA!$M$8, moras[[#This Row],[SALARIO]])</f>
        <v>112041672</v>
      </c>
      <c r="O3309" s="14">
        <f xml:space="preserve"> IF(ISBLANK(moras[[#This Row],[EDAD]]), EDA!$E$8, moras[[#This Row],[EDAD]])</f>
        <v>33</v>
      </c>
      <c r="P3309" s="14" t="str">
        <f>IF(
    OR(ISBLANK(moras[[#This Row],[TIPO_ASEGURAMIENTO]]), moras[[#This Row],[TIPO_ASEGURAMIENTO]]=""),
    EDA!$A$32,
    moras[[#This Row],[TIPO_ASEGURAMIENTO]]
)</f>
        <v>ASALARIADO</v>
      </c>
    </row>
    <row r="3310" spans="1:16" x14ac:dyDescent="0.3">
      <c r="A3310">
        <v>3309</v>
      </c>
      <c r="B3310" t="s">
        <v>9</v>
      </c>
      <c r="C3310">
        <v>484940</v>
      </c>
      <c r="D3310" t="s">
        <v>18</v>
      </c>
      <c r="E3310" t="s">
        <v>16</v>
      </c>
      <c r="F3310" t="s">
        <v>12</v>
      </c>
      <c r="G3310" t="s">
        <v>13</v>
      </c>
      <c r="H3310" t="s">
        <v>12</v>
      </c>
      <c r="I3310">
        <v>33</v>
      </c>
      <c r="J3310">
        <f>ABS((I3310-EDA!$A$15)/EDA!$B$15)</f>
        <v>0.63373765783552027</v>
      </c>
      <c r="K3310" t="str">
        <f t="shared" si="51"/>
        <v>No</v>
      </c>
      <c r="L3310">
        <f>ABS((C3310-EDA!$F$15)/EDA!$G$15)</f>
        <v>0.36758422828275722</v>
      </c>
      <c r="M3310" t="str">
        <f>IF(moras[[#This Row],[Z-Score Salario]]&gt;1.96, "Sí", "No")</f>
        <v>No</v>
      </c>
      <c r="N3310" s="14">
        <f>IF(ISBLANK(moras[[#This Row],[SALARIO]]), EDA!$M$8, moras[[#This Row],[SALARIO]])</f>
        <v>484940</v>
      </c>
      <c r="O3310" s="14">
        <f xml:space="preserve"> IF(ISBLANK(moras[[#This Row],[EDAD]]), EDA!$E$8, moras[[#This Row],[EDAD]])</f>
        <v>33</v>
      </c>
      <c r="P3310" s="14" t="str">
        <f>IF(
    OR(ISBLANK(moras[[#This Row],[TIPO_ASEGURAMIENTO]]), moras[[#This Row],[TIPO_ASEGURAMIENTO]]=""),
    EDA!$A$32,
    moras[[#This Row],[TIPO_ASEGURAMIENTO]]
)</f>
        <v>TRABAJADOR INDEPENDIENTE</v>
      </c>
    </row>
    <row r="3311" spans="1:16" x14ac:dyDescent="0.3">
      <c r="A3311">
        <v>3310</v>
      </c>
      <c r="B3311" t="s">
        <v>15</v>
      </c>
      <c r="C3311">
        <v>46717525</v>
      </c>
      <c r="D3311" t="s">
        <v>10</v>
      </c>
      <c r="E3311" t="s">
        <v>16</v>
      </c>
      <c r="F3311" t="s">
        <v>12</v>
      </c>
      <c r="G3311" t="s">
        <v>13</v>
      </c>
      <c r="H3311" t="s">
        <v>13</v>
      </c>
      <c r="I3311">
        <v>28</v>
      </c>
      <c r="J3311">
        <f>ABS((I3311-EDA!$A$15)/EDA!$B$15)</f>
        <v>0.98661430822120777</v>
      </c>
      <c r="K3311" t="str">
        <f t="shared" si="51"/>
        <v>No</v>
      </c>
      <c r="L3311">
        <f>ABS((C3311-EDA!$F$15)/EDA!$G$15)</f>
        <v>0.40175862226290132</v>
      </c>
      <c r="M3311" t="str">
        <f>IF(moras[[#This Row],[Z-Score Salario]]&gt;1.96, "Sí", "No")</f>
        <v>No</v>
      </c>
      <c r="N3311" s="14">
        <f>IF(ISBLANK(moras[[#This Row],[SALARIO]]), EDA!$M$8, moras[[#This Row],[SALARIO]])</f>
        <v>46717525</v>
      </c>
      <c r="O3311" s="14">
        <f xml:space="preserve"> IF(ISBLANK(moras[[#This Row],[EDAD]]), EDA!$E$8, moras[[#This Row],[EDAD]])</f>
        <v>28</v>
      </c>
      <c r="P3311" s="14" t="str">
        <f>IF(
    OR(ISBLANK(moras[[#This Row],[TIPO_ASEGURAMIENTO]]), moras[[#This Row],[TIPO_ASEGURAMIENTO]]=""),
    EDA!$A$32,
    moras[[#This Row],[TIPO_ASEGURAMIENTO]]
)</f>
        <v>ASALARIADO</v>
      </c>
    </row>
    <row r="3312" spans="1:16" x14ac:dyDescent="0.3">
      <c r="A3312">
        <v>3311</v>
      </c>
      <c r="B3312" t="s">
        <v>15</v>
      </c>
      <c r="C3312">
        <v>405000</v>
      </c>
      <c r="D3312" t="s">
        <v>10</v>
      </c>
      <c r="E3312" t="s">
        <v>16</v>
      </c>
      <c r="F3312" t="s">
        <v>12</v>
      </c>
      <c r="G3312" t="s">
        <v>13</v>
      </c>
      <c r="H3312" t="s">
        <v>13</v>
      </c>
      <c r="I3312">
        <v>41</v>
      </c>
      <c r="J3312">
        <f>ABS((I3312-EDA!$A$15)/EDA!$B$15)</f>
        <v>6.9135017218420233E-2</v>
      </c>
      <c r="K3312" t="str">
        <f t="shared" si="51"/>
        <v>No</v>
      </c>
      <c r="L3312">
        <f>ABS((C3312-EDA!$F$15)/EDA!$G$15)</f>
        <v>0.36891448631337825</v>
      </c>
      <c r="M3312" t="str">
        <f>IF(moras[[#This Row],[Z-Score Salario]]&gt;1.96, "Sí", "No")</f>
        <v>No</v>
      </c>
      <c r="N3312" s="14">
        <f>IF(ISBLANK(moras[[#This Row],[SALARIO]]), EDA!$M$8, moras[[#This Row],[SALARIO]])</f>
        <v>405000</v>
      </c>
      <c r="O3312" s="14">
        <f xml:space="preserve"> IF(ISBLANK(moras[[#This Row],[EDAD]]), EDA!$E$8, moras[[#This Row],[EDAD]])</f>
        <v>41</v>
      </c>
      <c r="P3312" s="14" t="str">
        <f>IF(
    OR(ISBLANK(moras[[#This Row],[TIPO_ASEGURAMIENTO]]), moras[[#This Row],[TIPO_ASEGURAMIENTO]]=""),
    EDA!$A$32,
    moras[[#This Row],[TIPO_ASEGURAMIENTO]]
)</f>
        <v>ASALARIADO</v>
      </c>
    </row>
    <row r="3313" spans="1:16" x14ac:dyDescent="0.3">
      <c r="A3313">
        <v>3312</v>
      </c>
      <c r="B3313" t="s">
        <v>9</v>
      </c>
      <c r="C3313">
        <v>59754997</v>
      </c>
      <c r="D3313" t="s">
        <v>10</v>
      </c>
      <c r="E3313" t="s">
        <v>16</v>
      </c>
      <c r="F3313" t="s">
        <v>12</v>
      </c>
      <c r="G3313" t="s">
        <v>13</v>
      </c>
      <c r="H3313" t="s">
        <v>13</v>
      </c>
      <c r="I3313">
        <v>25</v>
      </c>
      <c r="J3313">
        <f>ABS((I3313-EDA!$A$15)/EDA!$B$15)</f>
        <v>1.1983402984526204</v>
      </c>
      <c r="K3313" t="str">
        <f t="shared" si="51"/>
        <v>No</v>
      </c>
      <c r="L3313">
        <f>ABS((C3313-EDA!$F$15)/EDA!$G$15)</f>
        <v>0.61871135965340651</v>
      </c>
      <c r="M3313" t="str">
        <f>IF(moras[[#This Row],[Z-Score Salario]]&gt;1.96, "Sí", "No")</f>
        <v>No</v>
      </c>
      <c r="N3313" s="14">
        <f>IF(ISBLANK(moras[[#This Row],[SALARIO]]), EDA!$M$8, moras[[#This Row],[SALARIO]])</f>
        <v>59754997</v>
      </c>
      <c r="O3313" s="14">
        <f xml:space="preserve"> IF(ISBLANK(moras[[#This Row],[EDAD]]), EDA!$E$8, moras[[#This Row],[EDAD]])</f>
        <v>25</v>
      </c>
      <c r="P3313" s="14" t="str">
        <f>IF(
    OR(ISBLANK(moras[[#This Row],[TIPO_ASEGURAMIENTO]]), moras[[#This Row],[TIPO_ASEGURAMIENTO]]=""),
    EDA!$A$32,
    moras[[#This Row],[TIPO_ASEGURAMIENTO]]
)</f>
        <v>ASALARIADO</v>
      </c>
    </row>
    <row r="3314" spans="1:16" x14ac:dyDescent="0.3">
      <c r="A3314">
        <v>3313</v>
      </c>
      <c r="B3314" t="s">
        <v>15</v>
      </c>
      <c r="C3314">
        <v>643308</v>
      </c>
      <c r="D3314" t="s">
        <v>14</v>
      </c>
      <c r="E3314" t="s">
        <v>11</v>
      </c>
      <c r="F3314" t="s">
        <v>12</v>
      </c>
      <c r="G3314" t="s">
        <v>13</v>
      </c>
      <c r="H3314" t="s">
        <v>13</v>
      </c>
      <c r="I3314">
        <v>74</v>
      </c>
      <c r="J3314">
        <f>ABS((I3314-EDA!$A$15)/EDA!$B$15)</f>
        <v>2.2598508753271176</v>
      </c>
      <c r="K3314" t="str">
        <f t="shared" si="51"/>
        <v>Sí</v>
      </c>
      <c r="L3314">
        <f>ABS((C3314-EDA!$F$15)/EDA!$G$15)</f>
        <v>0.36494887296885437</v>
      </c>
      <c r="M3314" t="str">
        <f>IF(moras[[#This Row],[Z-Score Salario]]&gt;1.96, "Sí", "No")</f>
        <v>No</v>
      </c>
      <c r="N3314" s="14">
        <f>IF(ISBLANK(moras[[#This Row],[SALARIO]]), EDA!$M$8, moras[[#This Row],[SALARIO]])</f>
        <v>643308</v>
      </c>
      <c r="O3314" s="14">
        <f xml:space="preserve"> IF(ISBLANK(moras[[#This Row],[EDAD]]), EDA!$E$8, moras[[#This Row],[EDAD]])</f>
        <v>74</v>
      </c>
      <c r="P3314" s="14" t="str">
        <f>IF(
    OR(ISBLANK(moras[[#This Row],[TIPO_ASEGURAMIENTO]]), moras[[#This Row],[TIPO_ASEGURAMIENTO]]=""),
    EDA!$A$32,
    moras[[#This Row],[TIPO_ASEGURAMIENTO]]
)</f>
        <v>PENSIONADOS EN SU PROPIO SISTEMA</v>
      </c>
    </row>
    <row r="3315" spans="1:16" x14ac:dyDescent="0.3">
      <c r="A3315">
        <v>3314</v>
      </c>
      <c r="B3315" t="s">
        <v>15</v>
      </c>
      <c r="C3315">
        <v>510866</v>
      </c>
      <c r="D3315" t="s">
        <v>10</v>
      </c>
      <c r="E3315" t="s">
        <v>16</v>
      </c>
      <c r="F3315" t="s">
        <v>12</v>
      </c>
      <c r="G3315" t="s">
        <v>13</v>
      </c>
      <c r="H3315" t="s">
        <v>13</v>
      </c>
      <c r="I3315">
        <v>26</v>
      </c>
      <c r="J3315">
        <f>ABS((I3315-EDA!$A$15)/EDA!$B$15)</f>
        <v>1.1277649683754829</v>
      </c>
      <c r="K3315" t="str">
        <f t="shared" si="51"/>
        <v>No</v>
      </c>
      <c r="L3315">
        <f>ABS((C3315-EDA!$F$15)/EDA!$G$15)</f>
        <v>0.36715280134127759</v>
      </c>
      <c r="M3315" t="str">
        <f>IF(moras[[#This Row],[Z-Score Salario]]&gt;1.96, "Sí", "No")</f>
        <v>No</v>
      </c>
      <c r="N3315" s="14">
        <f>IF(ISBLANK(moras[[#This Row],[SALARIO]]), EDA!$M$8, moras[[#This Row],[SALARIO]])</f>
        <v>510866</v>
      </c>
      <c r="O3315" s="14">
        <f xml:space="preserve"> IF(ISBLANK(moras[[#This Row],[EDAD]]), EDA!$E$8, moras[[#This Row],[EDAD]])</f>
        <v>26</v>
      </c>
      <c r="P3315" s="14" t="str">
        <f>IF(
    OR(ISBLANK(moras[[#This Row],[TIPO_ASEGURAMIENTO]]), moras[[#This Row],[TIPO_ASEGURAMIENTO]]=""),
    EDA!$A$32,
    moras[[#This Row],[TIPO_ASEGURAMIENTO]]
)</f>
        <v>ASALARIADO</v>
      </c>
    </row>
    <row r="3316" spans="1:16" x14ac:dyDescent="0.3">
      <c r="A3316">
        <v>3315</v>
      </c>
      <c r="B3316" t="s">
        <v>9</v>
      </c>
      <c r="C3316">
        <v>297046</v>
      </c>
      <c r="D3316" t="s">
        <v>17</v>
      </c>
      <c r="E3316" t="s">
        <v>16</v>
      </c>
      <c r="F3316" t="s">
        <v>12</v>
      </c>
      <c r="G3316" t="s">
        <v>13</v>
      </c>
      <c r="H3316" t="s">
        <v>13</v>
      </c>
      <c r="I3316">
        <v>36</v>
      </c>
      <c r="J3316">
        <f>ABS((I3316-EDA!$A$15)/EDA!$B$15)</f>
        <v>0.42201166760410774</v>
      </c>
      <c r="K3316" t="str">
        <f t="shared" si="51"/>
        <v>No</v>
      </c>
      <c r="L3316">
        <f>ABS((C3316-EDA!$F$15)/EDA!$G$15)</f>
        <v>0.37071091707942361</v>
      </c>
      <c r="M3316" t="str">
        <f>IF(moras[[#This Row],[Z-Score Salario]]&gt;1.96, "Sí", "No")</f>
        <v>No</v>
      </c>
      <c r="N3316" s="14">
        <f>IF(ISBLANK(moras[[#This Row],[SALARIO]]), EDA!$M$8, moras[[#This Row],[SALARIO]])</f>
        <v>297046</v>
      </c>
      <c r="O3316" s="14">
        <f xml:space="preserve"> IF(ISBLANK(moras[[#This Row],[EDAD]]), EDA!$E$8, moras[[#This Row],[EDAD]])</f>
        <v>36</v>
      </c>
      <c r="P3316" s="14" t="str">
        <f>IF(
    OR(ISBLANK(moras[[#This Row],[TIPO_ASEGURAMIENTO]]), moras[[#This Row],[TIPO_ASEGURAMIENTO]]=""),
    EDA!$A$32,
    moras[[#This Row],[TIPO_ASEGURAMIENTO]]
)</f>
        <v>ASEGURADO VOLUNTARIO</v>
      </c>
    </row>
    <row r="3317" spans="1:16" x14ac:dyDescent="0.3">
      <c r="A3317">
        <v>3316</v>
      </c>
      <c r="B3317" t="s">
        <v>15</v>
      </c>
      <c r="C3317">
        <v>688499</v>
      </c>
      <c r="D3317" t="s">
        <v>10</v>
      </c>
      <c r="E3317" t="s">
        <v>16</v>
      </c>
      <c r="F3317" t="s">
        <v>12</v>
      </c>
      <c r="G3317" t="s">
        <v>13</v>
      </c>
      <c r="H3317" t="s">
        <v>13</v>
      </c>
      <c r="I3317">
        <v>32</v>
      </c>
      <c r="J3317">
        <f>ABS((I3317-EDA!$A$15)/EDA!$B$15)</f>
        <v>0.70431298791265773</v>
      </c>
      <c r="K3317" t="str">
        <f t="shared" si="51"/>
        <v>No</v>
      </c>
      <c r="L3317">
        <f>ABS((C3317-EDA!$F$15)/EDA!$G$15)</f>
        <v>0.36419686282797625</v>
      </c>
      <c r="M3317" t="str">
        <f>IF(moras[[#This Row],[Z-Score Salario]]&gt;1.96, "Sí", "No")</f>
        <v>No</v>
      </c>
      <c r="N3317" s="14">
        <f>IF(ISBLANK(moras[[#This Row],[SALARIO]]), EDA!$M$8, moras[[#This Row],[SALARIO]])</f>
        <v>688499</v>
      </c>
      <c r="O3317" s="14">
        <f xml:space="preserve"> IF(ISBLANK(moras[[#This Row],[EDAD]]), EDA!$E$8, moras[[#This Row],[EDAD]])</f>
        <v>32</v>
      </c>
      <c r="P3317" s="14" t="str">
        <f>IF(
    OR(ISBLANK(moras[[#This Row],[TIPO_ASEGURAMIENTO]]), moras[[#This Row],[TIPO_ASEGURAMIENTO]]=""),
    EDA!$A$32,
    moras[[#This Row],[TIPO_ASEGURAMIENTO]]
)</f>
        <v>ASALARIADO</v>
      </c>
    </row>
    <row r="3318" spans="1:16" x14ac:dyDescent="0.3">
      <c r="A3318">
        <v>3317</v>
      </c>
      <c r="B3318" t="s">
        <v>9</v>
      </c>
      <c r="C3318">
        <v>31025348</v>
      </c>
      <c r="D3318" t="s">
        <v>10</v>
      </c>
      <c r="E3318" t="s">
        <v>16</v>
      </c>
      <c r="F3318" t="s">
        <v>12</v>
      </c>
      <c r="G3318" t="s">
        <v>13</v>
      </c>
      <c r="H3318" t="s">
        <v>13</v>
      </c>
      <c r="I3318">
        <v>59</v>
      </c>
      <c r="J3318">
        <f>ABS((I3318-EDA!$A$15)/EDA!$B$15)</f>
        <v>1.2012209241700549</v>
      </c>
      <c r="K3318" t="str">
        <f t="shared" si="51"/>
        <v>No</v>
      </c>
      <c r="L3318">
        <f>ABS((C3318-EDA!$F$15)/EDA!$G$15)</f>
        <v>0.14062971968375676</v>
      </c>
      <c r="M3318" t="str">
        <f>IF(moras[[#This Row],[Z-Score Salario]]&gt;1.96, "Sí", "No")</f>
        <v>No</v>
      </c>
      <c r="N3318" s="14">
        <f>IF(ISBLANK(moras[[#This Row],[SALARIO]]), EDA!$M$8, moras[[#This Row],[SALARIO]])</f>
        <v>31025348</v>
      </c>
      <c r="O3318" s="14">
        <f xml:space="preserve"> IF(ISBLANK(moras[[#This Row],[EDAD]]), EDA!$E$8, moras[[#This Row],[EDAD]])</f>
        <v>59</v>
      </c>
      <c r="P3318" s="14" t="str">
        <f>IF(
    OR(ISBLANK(moras[[#This Row],[TIPO_ASEGURAMIENTO]]), moras[[#This Row],[TIPO_ASEGURAMIENTO]]=""),
    EDA!$A$32,
    moras[[#This Row],[TIPO_ASEGURAMIENTO]]
)</f>
        <v>ASALARIADO</v>
      </c>
    </row>
    <row r="3319" spans="1:16" x14ac:dyDescent="0.3">
      <c r="A3319">
        <v>3318</v>
      </c>
      <c r="B3319" t="s">
        <v>15</v>
      </c>
      <c r="C3319">
        <v>297046</v>
      </c>
      <c r="D3319" t="s">
        <v>17</v>
      </c>
      <c r="E3319" t="s">
        <v>16</v>
      </c>
      <c r="F3319" t="s">
        <v>12</v>
      </c>
      <c r="G3319" t="s">
        <v>13</v>
      </c>
      <c r="H3319" t="s">
        <v>13</v>
      </c>
      <c r="I3319">
        <v>57</v>
      </c>
      <c r="J3319">
        <f>ABS((I3319-EDA!$A$15)/EDA!$B$15)</f>
        <v>1.0600702640157798</v>
      </c>
      <c r="K3319" t="str">
        <f t="shared" si="51"/>
        <v>No</v>
      </c>
      <c r="L3319">
        <f>ABS((C3319-EDA!$F$15)/EDA!$G$15)</f>
        <v>0.37071091707942361</v>
      </c>
      <c r="M3319" t="str">
        <f>IF(moras[[#This Row],[Z-Score Salario]]&gt;1.96, "Sí", "No")</f>
        <v>No</v>
      </c>
      <c r="N3319" s="14">
        <f>IF(ISBLANK(moras[[#This Row],[SALARIO]]), EDA!$M$8, moras[[#This Row],[SALARIO]])</f>
        <v>297046</v>
      </c>
      <c r="O3319" s="14">
        <f xml:space="preserve"> IF(ISBLANK(moras[[#This Row],[EDAD]]), EDA!$E$8, moras[[#This Row],[EDAD]])</f>
        <v>57</v>
      </c>
      <c r="P3319" s="14" t="str">
        <f>IF(
    OR(ISBLANK(moras[[#This Row],[TIPO_ASEGURAMIENTO]]), moras[[#This Row],[TIPO_ASEGURAMIENTO]]=""),
    EDA!$A$32,
    moras[[#This Row],[TIPO_ASEGURAMIENTO]]
)</f>
        <v>ASEGURADO VOLUNTARIO</v>
      </c>
    </row>
    <row r="3320" spans="1:16" x14ac:dyDescent="0.3">
      <c r="A3320">
        <v>3319</v>
      </c>
      <c r="B3320" t="s">
        <v>9</v>
      </c>
      <c r="C3320">
        <v>87709521</v>
      </c>
      <c r="D3320" t="s">
        <v>10</v>
      </c>
      <c r="E3320" t="s">
        <v>16</v>
      </c>
      <c r="F3320" t="s">
        <v>12</v>
      </c>
      <c r="G3320" t="s">
        <v>13</v>
      </c>
      <c r="H3320" t="s">
        <v>13</v>
      </c>
      <c r="I3320">
        <v>43</v>
      </c>
      <c r="J3320">
        <f>ABS((I3320-EDA!$A$15)/EDA!$B$15)</f>
        <v>7.2015642935854773E-2</v>
      </c>
      <c r="K3320" t="str">
        <f t="shared" si="51"/>
        <v>No</v>
      </c>
      <c r="L3320">
        <f>ABS((C3320-EDA!$F$15)/EDA!$G$15)</f>
        <v>1.0838943724528645</v>
      </c>
      <c r="M3320" t="str">
        <f>IF(moras[[#This Row],[Z-Score Salario]]&gt;1.96, "Sí", "No")</f>
        <v>No</v>
      </c>
      <c r="N3320" s="14">
        <f>IF(ISBLANK(moras[[#This Row],[SALARIO]]), EDA!$M$8, moras[[#This Row],[SALARIO]])</f>
        <v>87709521</v>
      </c>
      <c r="O3320" s="14">
        <f xml:space="preserve"> IF(ISBLANK(moras[[#This Row],[EDAD]]), EDA!$E$8, moras[[#This Row],[EDAD]])</f>
        <v>43</v>
      </c>
      <c r="P3320" s="14" t="str">
        <f>IF(
    OR(ISBLANK(moras[[#This Row],[TIPO_ASEGURAMIENTO]]), moras[[#This Row],[TIPO_ASEGURAMIENTO]]=""),
    EDA!$A$32,
    moras[[#This Row],[TIPO_ASEGURAMIENTO]]
)</f>
        <v>ASALARIADO</v>
      </c>
    </row>
    <row r="3321" spans="1:16" x14ac:dyDescent="0.3">
      <c r="A3321">
        <v>3320</v>
      </c>
      <c r="B3321" t="s">
        <v>9</v>
      </c>
      <c r="C3321">
        <v>68924569</v>
      </c>
      <c r="D3321" t="s">
        <v>10</v>
      </c>
      <c r="E3321" t="s">
        <v>16</v>
      </c>
      <c r="F3321" t="s">
        <v>12</v>
      </c>
      <c r="G3321" t="s">
        <v>13</v>
      </c>
      <c r="H3321" t="s">
        <v>13</v>
      </c>
      <c r="I3321">
        <v>38</v>
      </c>
      <c r="J3321">
        <f>ABS((I3321-EDA!$A$15)/EDA!$B$15)</f>
        <v>0.28086100744983278</v>
      </c>
      <c r="K3321" t="str">
        <f t="shared" si="51"/>
        <v>No</v>
      </c>
      <c r="L3321">
        <f>ABS((C3321-EDA!$F$15)/EDA!$G$15)</f>
        <v>0.77129951064612412</v>
      </c>
      <c r="M3321" t="str">
        <f>IF(moras[[#This Row],[Z-Score Salario]]&gt;1.96, "Sí", "No")</f>
        <v>No</v>
      </c>
      <c r="N3321" s="14">
        <f>IF(ISBLANK(moras[[#This Row],[SALARIO]]), EDA!$M$8, moras[[#This Row],[SALARIO]])</f>
        <v>68924569</v>
      </c>
      <c r="O3321" s="14">
        <f xml:space="preserve"> IF(ISBLANK(moras[[#This Row],[EDAD]]), EDA!$E$8, moras[[#This Row],[EDAD]])</f>
        <v>38</v>
      </c>
      <c r="P3321" s="14" t="str">
        <f>IF(
    OR(ISBLANK(moras[[#This Row],[TIPO_ASEGURAMIENTO]]), moras[[#This Row],[TIPO_ASEGURAMIENTO]]=""),
    EDA!$A$32,
    moras[[#This Row],[TIPO_ASEGURAMIENTO]]
)</f>
        <v>ASALARIADO</v>
      </c>
    </row>
    <row r="3322" spans="1:16" x14ac:dyDescent="0.3">
      <c r="A3322">
        <v>3321</v>
      </c>
      <c r="B3322" t="s">
        <v>15</v>
      </c>
      <c r="C3322">
        <v>1314275</v>
      </c>
      <c r="D3322" t="s">
        <v>10</v>
      </c>
      <c r="E3322" t="s">
        <v>11</v>
      </c>
      <c r="F3322" t="s">
        <v>12</v>
      </c>
      <c r="G3322" t="s">
        <v>13</v>
      </c>
      <c r="H3322" t="s">
        <v>13</v>
      </c>
      <c r="I3322">
        <v>46</v>
      </c>
      <c r="J3322">
        <f>ABS((I3322-EDA!$A$15)/EDA!$B$15)</f>
        <v>0.2837416331672673</v>
      </c>
      <c r="K3322" t="str">
        <f t="shared" si="51"/>
        <v>No</v>
      </c>
      <c r="L3322">
        <f>ABS((C3322-EDA!$F$15)/EDA!$G$15)</f>
        <v>0.35378350844506518</v>
      </c>
      <c r="M3322" t="str">
        <f>IF(moras[[#This Row],[Z-Score Salario]]&gt;1.96, "Sí", "No")</f>
        <v>No</v>
      </c>
      <c r="N3322" s="14">
        <f>IF(ISBLANK(moras[[#This Row],[SALARIO]]), EDA!$M$8, moras[[#This Row],[SALARIO]])</f>
        <v>1314275</v>
      </c>
      <c r="O3322" s="14">
        <f xml:space="preserve"> IF(ISBLANK(moras[[#This Row],[EDAD]]), EDA!$E$8, moras[[#This Row],[EDAD]])</f>
        <v>46</v>
      </c>
      <c r="P3322" s="14" t="str">
        <f>IF(
    OR(ISBLANK(moras[[#This Row],[TIPO_ASEGURAMIENTO]]), moras[[#This Row],[TIPO_ASEGURAMIENTO]]=""),
    EDA!$A$32,
    moras[[#This Row],[TIPO_ASEGURAMIENTO]]
)</f>
        <v>ASALARIADO</v>
      </c>
    </row>
    <row r="3323" spans="1:16" x14ac:dyDescent="0.3">
      <c r="A3323">
        <v>3322</v>
      </c>
      <c r="B3323" t="s">
        <v>15</v>
      </c>
      <c r="C3323">
        <v>540083</v>
      </c>
      <c r="D3323" t="s">
        <v>17</v>
      </c>
      <c r="E3323" t="s">
        <v>16</v>
      </c>
      <c r="F3323" t="s">
        <v>13</v>
      </c>
      <c r="G3323" t="s">
        <v>12</v>
      </c>
      <c r="H3323" t="s">
        <v>12</v>
      </c>
      <c r="I3323">
        <v>73</v>
      </c>
      <c r="J3323">
        <f>ABS((I3323-EDA!$A$15)/EDA!$B$15)</f>
        <v>2.1892755452499797</v>
      </c>
      <c r="K3323" t="str">
        <f t="shared" si="51"/>
        <v>Sí</v>
      </c>
      <c r="L3323">
        <f>ABS((C3323-EDA!$F$15)/EDA!$G$15)</f>
        <v>0.3666666098366409</v>
      </c>
      <c r="M3323" t="str">
        <f>IF(moras[[#This Row],[Z-Score Salario]]&gt;1.96, "Sí", "No")</f>
        <v>No</v>
      </c>
      <c r="N3323" s="14">
        <f>IF(ISBLANK(moras[[#This Row],[SALARIO]]), EDA!$M$8, moras[[#This Row],[SALARIO]])</f>
        <v>540083</v>
      </c>
      <c r="O3323" s="14">
        <f xml:space="preserve"> IF(ISBLANK(moras[[#This Row],[EDAD]]), EDA!$E$8, moras[[#This Row],[EDAD]])</f>
        <v>73</v>
      </c>
      <c r="P3323" s="14" t="str">
        <f>IF(
    OR(ISBLANK(moras[[#This Row],[TIPO_ASEGURAMIENTO]]), moras[[#This Row],[TIPO_ASEGURAMIENTO]]=""),
    EDA!$A$32,
    moras[[#This Row],[TIPO_ASEGURAMIENTO]]
)</f>
        <v>ASEGURADO VOLUNTARIO</v>
      </c>
    </row>
    <row r="3324" spans="1:16" x14ac:dyDescent="0.3">
      <c r="A3324">
        <v>3323</v>
      </c>
      <c r="B3324" t="s">
        <v>9</v>
      </c>
      <c r="C3324">
        <v>609663</v>
      </c>
      <c r="D3324" t="s">
        <v>10</v>
      </c>
      <c r="E3324" t="s">
        <v>16</v>
      </c>
      <c r="F3324" t="s">
        <v>12</v>
      </c>
      <c r="G3324" t="s">
        <v>13</v>
      </c>
      <c r="H3324" t="s">
        <v>12</v>
      </c>
      <c r="I3324">
        <v>41</v>
      </c>
      <c r="J3324">
        <f>ABS((I3324-EDA!$A$15)/EDA!$B$15)</f>
        <v>6.9135017218420233E-2</v>
      </c>
      <c r="K3324" t="str">
        <f t="shared" si="51"/>
        <v>No</v>
      </c>
      <c r="L3324">
        <f>ABS((C3324-EDA!$F$15)/EDA!$G$15)</f>
        <v>0.36550874951927026</v>
      </c>
      <c r="M3324" t="str">
        <f>IF(moras[[#This Row],[Z-Score Salario]]&gt;1.96, "Sí", "No")</f>
        <v>No</v>
      </c>
      <c r="N3324" s="14">
        <f>IF(ISBLANK(moras[[#This Row],[SALARIO]]), EDA!$M$8, moras[[#This Row],[SALARIO]])</f>
        <v>609663</v>
      </c>
      <c r="O3324" s="14">
        <f xml:space="preserve"> IF(ISBLANK(moras[[#This Row],[EDAD]]), EDA!$E$8, moras[[#This Row],[EDAD]])</f>
        <v>41</v>
      </c>
      <c r="P3324" s="14" t="str">
        <f>IF(
    OR(ISBLANK(moras[[#This Row],[TIPO_ASEGURAMIENTO]]), moras[[#This Row],[TIPO_ASEGURAMIENTO]]=""),
    EDA!$A$32,
    moras[[#This Row],[TIPO_ASEGURAMIENTO]]
)</f>
        <v>ASALARIADO</v>
      </c>
    </row>
    <row r="3325" spans="1:16" x14ac:dyDescent="0.3">
      <c r="A3325">
        <v>3324</v>
      </c>
      <c r="B3325" t="s">
        <v>9</v>
      </c>
      <c r="C3325">
        <v>72792626</v>
      </c>
      <c r="D3325" t="s">
        <v>10</v>
      </c>
      <c r="E3325" t="s">
        <v>16</v>
      </c>
      <c r="F3325" t="s">
        <v>12</v>
      </c>
      <c r="G3325" t="s">
        <v>13</v>
      </c>
      <c r="H3325" t="s">
        <v>13</v>
      </c>
      <c r="I3325">
        <v>48</v>
      </c>
      <c r="J3325">
        <f>ABS((I3325-EDA!$A$15)/EDA!$B$15)</f>
        <v>0.42489229332154227</v>
      </c>
      <c r="K3325" t="str">
        <f t="shared" si="51"/>
        <v>No</v>
      </c>
      <c r="L3325">
        <f>ABS((C3325-EDA!$F$15)/EDA!$G$15)</f>
        <v>0.83566670963473988</v>
      </c>
      <c r="M3325" t="str">
        <f>IF(moras[[#This Row],[Z-Score Salario]]&gt;1.96, "Sí", "No")</f>
        <v>No</v>
      </c>
      <c r="N3325" s="14">
        <f>IF(ISBLANK(moras[[#This Row],[SALARIO]]), EDA!$M$8, moras[[#This Row],[SALARIO]])</f>
        <v>72792626</v>
      </c>
      <c r="O3325" s="14">
        <f xml:space="preserve"> IF(ISBLANK(moras[[#This Row],[EDAD]]), EDA!$E$8, moras[[#This Row],[EDAD]])</f>
        <v>48</v>
      </c>
      <c r="P3325" s="14" t="str">
        <f>IF(
    OR(ISBLANK(moras[[#This Row],[TIPO_ASEGURAMIENTO]]), moras[[#This Row],[TIPO_ASEGURAMIENTO]]=""),
    EDA!$A$32,
    moras[[#This Row],[TIPO_ASEGURAMIENTO]]
)</f>
        <v>ASALARIADO</v>
      </c>
    </row>
    <row r="3326" spans="1:16" x14ac:dyDescent="0.3">
      <c r="A3326">
        <v>3325</v>
      </c>
      <c r="B3326" t="s">
        <v>15</v>
      </c>
      <c r="C3326">
        <v>1632331</v>
      </c>
      <c r="D3326" t="s">
        <v>10</v>
      </c>
      <c r="E3326" t="s">
        <v>11</v>
      </c>
      <c r="F3326" t="s">
        <v>12</v>
      </c>
      <c r="G3326" t="s">
        <v>13</v>
      </c>
      <c r="H3326" t="s">
        <v>13</v>
      </c>
      <c r="I3326">
        <v>44</v>
      </c>
      <c r="J3326">
        <f>ABS((I3326-EDA!$A$15)/EDA!$B$15)</f>
        <v>0.14259097301299228</v>
      </c>
      <c r="K3326" t="str">
        <f t="shared" si="51"/>
        <v>No</v>
      </c>
      <c r="L3326">
        <f>ABS((C3326-EDA!$F$15)/EDA!$G$15)</f>
        <v>0.34849083208545539</v>
      </c>
      <c r="M3326" t="str">
        <f>IF(moras[[#This Row],[Z-Score Salario]]&gt;1.96, "Sí", "No")</f>
        <v>No</v>
      </c>
      <c r="N3326" s="14">
        <f>IF(ISBLANK(moras[[#This Row],[SALARIO]]), EDA!$M$8, moras[[#This Row],[SALARIO]])</f>
        <v>1632331</v>
      </c>
      <c r="O3326" s="14">
        <f xml:space="preserve"> IF(ISBLANK(moras[[#This Row],[EDAD]]), EDA!$E$8, moras[[#This Row],[EDAD]])</f>
        <v>44</v>
      </c>
      <c r="P3326" s="14" t="str">
        <f>IF(
    OR(ISBLANK(moras[[#This Row],[TIPO_ASEGURAMIENTO]]), moras[[#This Row],[TIPO_ASEGURAMIENTO]]=""),
    EDA!$A$32,
    moras[[#This Row],[TIPO_ASEGURAMIENTO]]
)</f>
        <v>ASALARIADO</v>
      </c>
    </row>
    <row r="3327" spans="1:16" x14ac:dyDescent="0.3">
      <c r="A3327">
        <v>3326</v>
      </c>
      <c r="B3327" t="s">
        <v>9</v>
      </c>
      <c r="C3327">
        <v>44493763</v>
      </c>
      <c r="D3327" t="s">
        <v>10</v>
      </c>
      <c r="E3327" t="s">
        <v>16</v>
      </c>
      <c r="F3327" t="s">
        <v>12</v>
      </c>
      <c r="G3327" t="s">
        <v>12</v>
      </c>
      <c r="H3327" t="s">
        <v>13</v>
      </c>
      <c r="I3327">
        <v>48</v>
      </c>
      <c r="J3327">
        <f>ABS((I3327-EDA!$A$15)/EDA!$B$15)</f>
        <v>0.42489229332154227</v>
      </c>
      <c r="K3327" t="str">
        <f t="shared" si="51"/>
        <v>No</v>
      </c>
      <c r="L3327">
        <f>ABS((C3327-EDA!$F$15)/EDA!$G$15)</f>
        <v>0.36475365280218192</v>
      </c>
      <c r="M3327" t="str">
        <f>IF(moras[[#This Row],[Z-Score Salario]]&gt;1.96, "Sí", "No")</f>
        <v>No</v>
      </c>
      <c r="N3327" s="14">
        <f>IF(ISBLANK(moras[[#This Row],[SALARIO]]), EDA!$M$8, moras[[#This Row],[SALARIO]])</f>
        <v>44493763</v>
      </c>
      <c r="O3327" s="14">
        <f xml:space="preserve"> IF(ISBLANK(moras[[#This Row],[EDAD]]), EDA!$E$8, moras[[#This Row],[EDAD]])</f>
        <v>48</v>
      </c>
      <c r="P3327" s="14" t="str">
        <f>IF(
    OR(ISBLANK(moras[[#This Row],[TIPO_ASEGURAMIENTO]]), moras[[#This Row],[TIPO_ASEGURAMIENTO]]=""),
    EDA!$A$32,
    moras[[#This Row],[TIPO_ASEGURAMIENTO]]
)</f>
        <v>ASALARIADO</v>
      </c>
    </row>
    <row r="3328" spans="1:16" x14ac:dyDescent="0.3">
      <c r="A3328">
        <v>3327</v>
      </c>
      <c r="B3328" t="s">
        <v>9</v>
      </c>
      <c r="C3328">
        <v>185956</v>
      </c>
      <c r="D3328" t="s">
        <v>10</v>
      </c>
      <c r="E3328" t="s">
        <v>16</v>
      </c>
      <c r="F3328" t="s">
        <v>12</v>
      </c>
      <c r="G3328" t="s">
        <v>13</v>
      </c>
      <c r="H3328" t="s">
        <v>13</v>
      </c>
      <c r="I3328">
        <v>64</v>
      </c>
      <c r="J3328">
        <f>ABS((I3328-EDA!$A$15)/EDA!$B$15)</f>
        <v>1.5540975745557424</v>
      </c>
      <c r="K3328" t="str">
        <f t="shared" si="51"/>
        <v>No</v>
      </c>
      <c r="L3328">
        <f>ABS((C3328-EDA!$F$15)/EDA!$G$15)</f>
        <v>0.37255953309920958</v>
      </c>
      <c r="M3328" t="str">
        <f>IF(moras[[#This Row],[Z-Score Salario]]&gt;1.96, "Sí", "No")</f>
        <v>No</v>
      </c>
      <c r="N3328" s="14">
        <f>IF(ISBLANK(moras[[#This Row],[SALARIO]]), EDA!$M$8, moras[[#This Row],[SALARIO]])</f>
        <v>185956</v>
      </c>
      <c r="O3328" s="14">
        <f xml:space="preserve"> IF(ISBLANK(moras[[#This Row],[EDAD]]), EDA!$E$8, moras[[#This Row],[EDAD]])</f>
        <v>64</v>
      </c>
      <c r="P3328" s="14" t="str">
        <f>IF(
    OR(ISBLANK(moras[[#This Row],[TIPO_ASEGURAMIENTO]]), moras[[#This Row],[TIPO_ASEGURAMIENTO]]=""),
    EDA!$A$32,
    moras[[#This Row],[TIPO_ASEGURAMIENTO]]
)</f>
        <v>ASALARIADO</v>
      </c>
    </row>
    <row r="3329" spans="1:16" x14ac:dyDescent="0.3">
      <c r="A3329">
        <v>3328</v>
      </c>
      <c r="B3329" t="s">
        <v>9</v>
      </c>
      <c r="C3329">
        <v>12136802</v>
      </c>
      <c r="D3329" t="s">
        <v>10</v>
      </c>
      <c r="E3329" t="s">
        <v>16</v>
      </c>
      <c r="F3329" t="s">
        <v>12</v>
      </c>
      <c r="G3329" t="s">
        <v>13</v>
      </c>
      <c r="H3329" t="s">
        <v>13</v>
      </c>
      <c r="I3329">
        <v>26</v>
      </c>
      <c r="J3329">
        <f>ABS((I3329-EDA!$A$15)/EDA!$B$15)</f>
        <v>1.1277649683754829</v>
      </c>
      <c r="K3329" t="str">
        <f t="shared" si="51"/>
        <v>No</v>
      </c>
      <c r="L3329">
        <f>ABS((C3329-EDA!$F$15)/EDA!$G$15)</f>
        <v>0.17368901941125159</v>
      </c>
      <c r="M3329" t="str">
        <f>IF(moras[[#This Row],[Z-Score Salario]]&gt;1.96, "Sí", "No")</f>
        <v>No</v>
      </c>
      <c r="N3329" s="14">
        <f>IF(ISBLANK(moras[[#This Row],[SALARIO]]), EDA!$M$8, moras[[#This Row],[SALARIO]])</f>
        <v>12136802</v>
      </c>
      <c r="O3329" s="14">
        <f xml:space="preserve"> IF(ISBLANK(moras[[#This Row],[EDAD]]), EDA!$E$8, moras[[#This Row],[EDAD]])</f>
        <v>26</v>
      </c>
      <c r="P3329" s="14" t="str">
        <f>IF(
    OR(ISBLANK(moras[[#This Row],[TIPO_ASEGURAMIENTO]]), moras[[#This Row],[TIPO_ASEGURAMIENTO]]=""),
    EDA!$A$32,
    moras[[#This Row],[TIPO_ASEGURAMIENTO]]
)</f>
        <v>ASALARIADO</v>
      </c>
    </row>
    <row r="3330" spans="1:16" x14ac:dyDescent="0.3">
      <c r="A3330">
        <v>3329</v>
      </c>
      <c r="B3330" t="s">
        <v>9</v>
      </c>
      <c r="C3330">
        <v>532800</v>
      </c>
      <c r="D3330" t="s">
        <v>10</v>
      </c>
      <c r="E3330" t="s">
        <v>16</v>
      </c>
      <c r="F3330" t="s">
        <v>12</v>
      </c>
      <c r="G3330" t="s">
        <v>13</v>
      </c>
      <c r="H3330" t="s">
        <v>13</v>
      </c>
      <c r="I3330">
        <v>31</v>
      </c>
      <c r="J3330">
        <f>ABS((I3330-EDA!$A$15)/EDA!$B$15)</f>
        <v>0.77488831798979529</v>
      </c>
      <c r="K3330" t="str">
        <f t="shared" ref="K3330:K3393" si="52">IF(J3330 &gt;  1.96, "Sí","No")</f>
        <v>No</v>
      </c>
      <c r="L3330">
        <f>ABS((C3330-EDA!$F$15)/EDA!$G$15)</f>
        <v>0.36678780409779943</v>
      </c>
      <c r="M3330" t="str">
        <f>IF(moras[[#This Row],[Z-Score Salario]]&gt;1.96, "Sí", "No")</f>
        <v>No</v>
      </c>
      <c r="N3330" s="14">
        <f>IF(ISBLANK(moras[[#This Row],[SALARIO]]), EDA!$M$8, moras[[#This Row],[SALARIO]])</f>
        <v>532800</v>
      </c>
      <c r="O3330" s="14">
        <f xml:space="preserve"> IF(ISBLANK(moras[[#This Row],[EDAD]]), EDA!$E$8, moras[[#This Row],[EDAD]])</f>
        <v>31</v>
      </c>
      <c r="P3330" s="14" t="str">
        <f>IF(
    OR(ISBLANK(moras[[#This Row],[TIPO_ASEGURAMIENTO]]), moras[[#This Row],[TIPO_ASEGURAMIENTO]]=""),
    EDA!$A$32,
    moras[[#This Row],[TIPO_ASEGURAMIENTO]]
)</f>
        <v>ASALARIADO</v>
      </c>
    </row>
    <row r="3331" spans="1:16" x14ac:dyDescent="0.3">
      <c r="A3331">
        <v>3330</v>
      </c>
      <c r="B3331" t="s">
        <v>9</v>
      </c>
      <c r="C3331">
        <v>106638108</v>
      </c>
      <c r="D3331" t="s">
        <v>10</v>
      </c>
      <c r="E3331" t="s">
        <v>16</v>
      </c>
      <c r="F3331" t="s">
        <v>12</v>
      </c>
      <c r="G3331" t="s">
        <v>13</v>
      </c>
      <c r="H3331" t="s">
        <v>13</v>
      </c>
      <c r="I3331">
        <v>29</v>
      </c>
      <c r="J3331">
        <f>ABS((I3331-EDA!$A$15)/EDA!$B$15)</f>
        <v>0.91603897814407031</v>
      </c>
      <c r="K3331" t="str">
        <f t="shared" si="52"/>
        <v>No</v>
      </c>
      <c r="L3331">
        <f>ABS((C3331-EDA!$F$15)/EDA!$G$15)</f>
        <v>1.398879422053303</v>
      </c>
      <c r="M3331" t="str">
        <f>IF(moras[[#This Row],[Z-Score Salario]]&gt;1.96, "Sí", "No")</f>
        <v>No</v>
      </c>
      <c r="N3331" s="14">
        <f>IF(ISBLANK(moras[[#This Row],[SALARIO]]), EDA!$M$8, moras[[#This Row],[SALARIO]])</f>
        <v>106638108</v>
      </c>
      <c r="O3331" s="14">
        <f xml:space="preserve"> IF(ISBLANK(moras[[#This Row],[EDAD]]), EDA!$E$8, moras[[#This Row],[EDAD]])</f>
        <v>29</v>
      </c>
      <c r="P3331" s="14" t="str">
        <f>IF(
    OR(ISBLANK(moras[[#This Row],[TIPO_ASEGURAMIENTO]]), moras[[#This Row],[TIPO_ASEGURAMIENTO]]=""),
    EDA!$A$32,
    moras[[#This Row],[TIPO_ASEGURAMIENTO]]
)</f>
        <v>ASALARIADO</v>
      </c>
    </row>
    <row r="3332" spans="1:16" x14ac:dyDescent="0.3">
      <c r="A3332">
        <v>3331</v>
      </c>
      <c r="B3332" t="s">
        <v>9</v>
      </c>
      <c r="C3332">
        <v>280000</v>
      </c>
      <c r="D3332" t="s">
        <v>18</v>
      </c>
      <c r="E3332" t="s">
        <v>16</v>
      </c>
      <c r="F3332" t="s">
        <v>12</v>
      </c>
      <c r="G3332" t="s">
        <v>13</v>
      </c>
      <c r="H3332" t="s">
        <v>13</v>
      </c>
      <c r="I3332">
        <v>40</v>
      </c>
      <c r="J3332">
        <f>ABS((I3332-EDA!$A$15)/EDA!$B$15)</f>
        <v>0.13971034729555773</v>
      </c>
      <c r="K3332" t="str">
        <f t="shared" si="52"/>
        <v>No</v>
      </c>
      <c r="L3332">
        <f>ABS((C3332-EDA!$F$15)/EDA!$G$15)</f>
        <v>0.37099457455240292</v>
      </c>
      <c r="M3332" t="str">
        <f>IF(moras[[#This Row],[Z-Score Salario]]&gt;1.96, "Sí", "No")</f>
        <v>No</v>
      </c>
      <c r="N3332" s="14">
        <f>IF(ISBLANK(moras[[#This Row],[SALARIO]]), EDA!$M$8, moras[[#This Row],[SALARIO]])</f>
        <v>280000</v>
      </c>
      <c r="O3332" s="14">
        <f xml:space="preserve"> IF(ISBLANK(moras[[#This Row],[EDAD]]), EDA!$E$8, moras[[#This Row],[EDAD]])</f>
        <v>40</v>
      </c>
      <c r="P3332" s="14" t="str">
        <f>IF(
    OR(ISBLANK(moras[[#This Row],[TIPO_ASEGURAMIENTO]]), moras[[#This Row],[TIPO_ASEGURAMIENTO]]=""),
    EDA!$A$32,
    moras[[#This Row],[TIPO_ASEGURAMIENTO]]
)</f>
        <v>TRABAJADOR INDEPENDIENTE</v>
      </c>
    </row>
    <row r="3333" spans="1:16" x14ac:dyDescent="0.3">
      <c r="A3333">
        <v>3332</v>
      </c>
      <c r="B3333" t="s">
        <v>9</v>
      </c>
      <c r="C3333">
        <v>34222526</v>
      </c>
      <c r="D3333" t="s">
        <v>10</v>
      </c>
      <c r="E3333" t="s">
        <v>16</v>
      </c>
      <c r="F3333" t="s">
        <v>12</v>
      </c>
      <c r="G3333" t="s">
        <v>13</v>
      </c>
      <c r="H3333" t="s">
        <v>13</v>
      </c>
      <c r="I3333">
        <v>44</v>
      </c>
      <c r="J3333">
        <f>ABS((I3333-EDA!$A$15)/EDA!$B$15)</f>
        <v>0.14259097301299228</v>
      </c>
      <c r="K3333" t="str">
        <f t="shared" si="52"/>
        <v>No</v>
      </c>
      <c r="L3333">
        <f>ABS((C3333-EDA!$F$15)/EDA!$G$15)</f>
        <v>0.1938330185307035</v>
      </c>
      <c r="M3333" t="str">
        <f>IF(moras[[#This Row],[Z-Score Salario]]&gt;1.96, "Sí", "No")</f>
        <v>No</v>
      </c>
      <c r="N3333" s="14">
        <f>IF(ISBLANK(moras[[#This Row],[SALARIO]]), EDA!$M$8, moras[[#This Row],[SALARIO]])</f>
        <v>34222526</v>
      </c>
      <c r="O3333" s="14">
        <f xml:space="preserve"> IF(ISBLANK(moras[[#This Row],[EDAD]]), EDA!$E$8, moras[[#This Row],[EDAD]])</f>
        <v>44</v>
      </c>
      <c r="P3333" s="14" t="str">
        <f>IF(
    OR(ISBLANK(moras[[#This Row],[TIPO_ASEGURAMIENTO]]), moras[[#This Row],[TIPO_ASEGURAMIENTO]]=""),
    EDA!$A$32,
    moras[[#This Row],[TIPO_ASEGURAMIENTO]]
)</f>
        <v>ASALARIADO</v>
      </c>
    </row>
    <row r="3334" spans="1:16" x14ac:dyDescent="0.3">
      <c r="A3334">
        <v>3333</v>
      </c>
      <c r="B3334" t="s">
        <v>15</v>
      </c>
      <c r="C3334">
        <v>53573647</v>
      </c>
      <c r="D3334" t="s">
        <v>10</v>
      </c>
      <c r="E3334" t="s">
        <v>16</v>
      </c>
      <c r="F3334" t="s">
        <v>12</v>
      </c>
      <c r="G3334" t="s">
        <v>13</v>
      </c>
      <c r="H3334" t="s">
        <v>13</v>
      </c>
      <c r="I3334">
        <v>35</v>
      </c>
      <c r="J3334">
        <f>ABS((I3334-EDA!$A$15)/EDA!$B$15)</f>
        <v>0.49258699768124525</v>
      </c>
      <c r="K3334" t="str">
        <f t="shared" si="52"/>
        <v>No</v>
      </c>
      <c r="L3334">
        <f>ABS((C3334-EDA!$F$15)/EDA!$G$15)</f>
        <v>0.5158493321630464</v>
      </c>
      <c r="M3334" t="str">
        <f>IF(moras[[#This Row],[Z-Score Salario]]&gt;1.96, "Sí", "No")</f>
        <v>No</v>
      </c>
      <c r="N3334" s="14">
        <f>IF(ISBLANK(moras[[#This Row],[SALARIO]]), EDA!$M$8, moras[[#This Row],[SALARIO]])</f>
        <v>53573647</v>
      </c>
      <c r="O3334" s="14">
        <f xml:space="preserve"> IF(ISBLANK(moras[[#This Row],[EDAD]]), EDA!$E$8, moras[[#This Row],[EDAD]])</f>
        <v>35</v>
      </c>
      <c r="P3334" s="14" t="str">
        <f>IF(
    OR(ISBLANK(moras[[#This Row],[TIPO_ASEGURAMIENTO]]), moras[[#This Row],[TIPO_ASEGURAMIENTO]]=""),
    EDA!$A$32,
    moras[[#This Row],[TIPO_ASEGURAMIENTO]]
)</f>
        <v>ASALARIADO</v>
      </c>
    </row>
    <row r="3335" spans="1:16" x14ac:dyDescent="0.3">
      <c r="A3335">
        <v>3334</v>
      </c>
      <c r="B3335" t="s">
        <v>9</v>
      </c>
      <c r="C3335">
        <v>28831338</v>
      </c>
      <c r="D3335" t="s">
        <v>10</v>
      </c>
      <c r="E3335" t="s">
        <v>16</v>
      </c>
      <c r="F3335" t="s">
        <v>12</v>
      </c>
      <c r="G3335" t="s">
        <v>13</v>
      </c>
      <c r="H3335" t="s">
        <v>13</v>
      </c>
      <c r="I3335">
        <v>57</v>
      </c>
      <c r="J3335">
        <f>ABS((I3335-EDA!$A$15)/EDA!$B$15)</f>
        <v>1.0600702640157798</v>
      </c>
      <c r="K3335" t="str">
        <f t="shared" si="52"/>
        <v>No</v>
      </c>
      <c r="L3335">
        <f>ABS((C3335-EDA!$F$15)/EDA!$G$15)</f>
        <v>0.10411984450533703</v>
      </c>
      <c r="M3335" t="str">
        <f>IF(moras[[#This Row],[Z-Score Salario]]&gt;1.96, "Sí", "No")</f>
        <v>No</v>
      </c>
      <c r="N3335" s="14">
        <f>IF(ISBLANK(moras[[#This Row],[SALARIO]]), EDA!$M$8, moras[[#This Row],[SALARIO]])</f>
        <v>28831338</v>
      </c>
      <c r="O3335" s="14">
        <f xml:space="preserve"> IF(ISBLANK(moras[[#This Row],[EDAD]]), EDA!$E$8, moras[[#This Row],[EDAD]])</f>
        <v>57</v>
      </c>
      <c r="P3335" s="14" t="str">
        <f>IF(
    OR(ISBLANK(moras[[#This Row],[TIPO_ASEGURAMIENTO]]), moras[[#This Row],[TIPO_ASEGURAMIENTO]]=""),
    EDA!$A$32,
    moras[[#This Row],[TIPO_ASEGURAMIENTO]]
)</f>
        <v>ASALARIADO</v>
      </c>
    </row>
    <row r="3336" spans="1:16" x14ac:dyDescent="0.3">
      <c r="A3336">
        <v>3335</v>
      </c>
      <c r="B3336" t="s">
        <v>9</v>
      </c>
      <c r="C3336">
        <v>137499999</v>
      </c>
      <c r="D3336" t="s">
        <v>10</v>
      </c>
      <c r="E3336" t="s">
        <v>16</v>
      </c>
      <c r="F3336" t="s">
        <v>12</v>
      </c>
      <c r="G3336" t="s">
        <v>12</v>
      </c>
      <c r="H3336" t="s">
        <v>13</v>
      </c>
      <c r="I3336">
        <v>37</v>
      </c>
      <c r="J3336">
        <f>ABS((I3336-EDA!$A$15)/EDA!$B$15)</f>
        <v>0.35143633752697023</v>
      </c>
      <c r="K3336" t="str">
        <f t="shared" si="52"/>
        <v>No</v>
      </c>
      <c r="L3336">
        <f>ABS((C3336-EDA!$F$15)/EDA!$G$15)</f>
        <v>1.9124430740785878</v>
      </c>
      <c r="M3336" t="str">
        <f>IF(moras[[#This Row],[Z-Score Salario]]&gt;1.96, "Sí", "No")</f>
        <v>No</v>
      </c>
      <c r="N3336" s="14">
        <f>IF(ISBLANK(moras[[#This Row],[SALARIO]]), EDA!$M$8, moras[[#This Row],[SALARIO]])</f>
        <v>137499999</v>
      </c>
      <c r="O3336" s="14">
        <f xml:space="preserve"> IF(ISBLANK(moras[[#This Row],[EDAD]]), EDA!$E$8, moras[[#This Row],[EDAD]])</f>
        <v>37</v>
      </c>
      <c r="P3336" s="14" t="str">
        <f>IF(
    OR(ISBLANK(moras[[#This Row],[TIPO_ASEGURAMIENTO]]), moras[[#This Row],[TIPO_ASEGURAMIENTO]]=""),
    EDA!$A$32,
    moras[[#This Row],[TIPO_ASEGURAMIENTO]]
)</f>
        <v>ASALARIADO</v>
      </c>
    </row>
    <row r="3337" spans="1:16" x14ac:dyDescent="0.3">
      <c r="A3337">
        <v>3336</v>
      </c>
      <c r="B3337" t="s">
        <v>15</v>
      </c>
      <c r="C3337">
        <v>748465</v>
      </c>
      <c r="D3337" t="s">
        <v>10</v>
      </c>
      <c r="E3337" t="s">
        <v>11</v>
      </c>
      <c r="F3337" t="s">
        <v>12</v>
      </c>
      <c r="G3337" t="s">
        <v>13</v>
      </c>
      <c r="H3337" t="s">
        <v>13</v>
      </c>
      <c r="I3337">
        <v>40</v>
      </c>
      <c r="J3337">
        <f>ABS((I3337-EDA!$A$15)/EDA!$B$15)</f>
        <v>0.13971034729555773</v>
      </c>
      <c r="K3337" t="str">
        <f t="shared" si="52"/>
        <v>No</v>
      </c>
      <c r="L3337">
        <f>ABS((C3337-EDA!$F$15)/EDA!$G$15)</f>
        <v>0.36319898625724545</v>
      </c>
      <c r="M3337" t="str">
        <f>IF(moras[[#This Row],[Z-Score Salario]]&gt;1.96, "Sí", "No")</f>
        <v>No</v>
      </c>
      <c r="N3337" s="14">
        <f>IF(ISBLANK(moras[[#This Row],[SALARIO]]), EDA!$M$8, moras[[#This Row],[SALARIO]])</f>
        <v>748465</v>
      </c>
      <c r="O3337" s="14">
        <f xml:space="preserve"> IF(ISBLANK(moras[[#This Row],[EDAD]]), EDA!$E$8, moras[[#This Row],[EDAD]])</f>
        <v>40</v>
      </c>
      <c r="P3337" s="14" t="str">
        <f>IF(
    OR(ISBLANK(moras[[#This Row],[TIPO_ASEGURAMIENTO]]), moras[[#This Row],[TIPO_ASEGURAMIENTO]]=""),
    EDA!$A$32,
    moras[[#This Row],[TIPO_ASEGURAMIENTO]]
)</f>
        <v>ASALARIADO</v>
      </c>
    </row>
    <row r="3338" spans="1:16" x14ac:dyDescent="0.3">
      <c r="A3338">
        <v>3337</v>
      </c>
      <c r="B3338" t="s">
        <v>15</v>
      </c>
      <c r="C3338">
        <v>2357682</v>
      </c>
      <c r="D3338" t="s">
        <v>10</v>
      </c>
      <c r="E3338" t="s">
        <v>11</v>
      </c>
      <c r="F3338" t="s">
        <v>12</v>
      </c>
      <c r="G3338" t="s">
        <v>13</v>
      </c>
      <c r="H3338" t="s">
        <v>13</v>
      </c>
      <c r="I3338">
        <v>47</v>
      </c>
      <c r="J3338">
        <f>ABS((I3338-EDA!$A$15)/EDA!$B$15)</f>
        <v>0.35431696324440481</v>
      </c>
      <c r="K3338" t="str">
        <f t="shared" si="52"/>
        <v>No</v>
      </c>
      <c r="L3338">
        <f>ABS((C3338-EDA!$F$15)/EDA!$G$15)</f>
        <v>0.33642047941133724</v>
      </c>
      <c r="M3338" t="str">
        <f>IF(moras[[#This Row],[Z-Score Salario]]&gt;1.96, "Sí", "No")</f>
        <v>No</v>
      </c>
      <c r="N3338" s="14">
        <f>IF(ISBLANK(moras[[#This Row],[SALARIO]]), EDA!$M$8, moras[[#This Row],[SALARIO]])</f>
        <v>2357682</v>
      </c>
      <c r="O3338" s="14">
        <f xml:space="preserve"> IF(ISBLANK(moras[[#This Row],[EDAD]]), EDA!$E$8, moras[[#This Row],[EDAD]])</f>
        <v>47</v>
      </c>
      <c r="P3338" s="14" t="str">
        <f>IF(
    OR(ISBLANK(moras[[#This Row],[TIPO_ASEGURAMIENTO]]), moras[[#This Row],[TIPO_ASEGURAMIENTO]]=""),
    EDA!$A$32,
    moras[[#This Row],[TIPO_ASEGURAMIENTO]]
)</f>
        <v>ASALARIADO</v>
      </c>
    </row>
    <row r="3339" spans="1:16" x14ac:dyDescent="0.3">
      <c r="A3339">
        <v>3338</v>
      </c>
      <c r="B3339" t="s">
        <v>9</v>
      </c>
      <c r="C3339">
        <v>11200</v>
      </c>
      <c r="D3339" t="s">
        <v>10</v>
      </c>
      <c r="E3339" t="s">
        <v>16</v>
      </c>
      <c r="F3339" t="s">
        <v>12</v>
      </c>
      <c r="G3339" t="s">
        <v>12</v>
      </c>
      <c r="H3339" t="s">
        <v>12</v>
      </c>
      <c r="I3339">
        <v>24</v>
      </c>
      <c r="J3339">
        <f>ABS((I3339-EDA!$A$15)/EDA!$B$15)</f>
        <v>1.2689156285297578</v>
      </c>
      <c r="K3339" t="str">
        <f t="shared" si="52"/>
        <v>No</v>
      </c>
      <c r="L3339">
        <f>ABS((C3339-EDA!$F$15)/EDA!$G$15)</f>
        <v>0.37546759630160148</v>
      </c>
      <c r="M3339" t="str">
        <f>IF(moras[[#This Row],[Z-Score Salario]]&gt;1.96, "Sí", "No")</f>
        <v>No</v>
      </c>
      <c r="N3339" s="14">
        <f>IF(ISBLANK(moras[[#This Row],[SALARIO]]), EDA!$M$8, moras[[#This Row],[SALARIO]])</f>
        <v>11200</v>
      </c>
      <c r="O3339" s="14">
        <f xml:space="preserve"> IF(ISBLANK(moras[[#This Row],[EDAD]]), EDA!$E$8, moras[[#This Row],[EDAD]])</f>
        <v>24</v>
      </c>
      <c r="P3339" s="14" t="str">
        <f>IF(
    OR(ISBLANK(moras[[#This Row],[TIPO_ASEGURAMIENTO]]), moras[[#This Row],[TIPO_ASEGURAMIENTO]]=""),
    EDA!$A$32,
    moras[[#This Row],[TIPO_ASEGURAMIENTO]]
)</f>
        <v>ASALARIADO</v>
      </c>
    </row>
    <row r="3340" spans="1:16" x14ac:dyDescent="0.3">
      <c r="A3340">
        <v>3339</v>
      </c>
      <c r="B3340" t="s">
        <v>9</v>
      </c>
      <c r="C3340">
        <v>37742593</v>
      </c>
      <c r="D3340" t="s">
        <v>10</v>
      </c>
      <c r="E3340" t="s">
        <v>16</v>
      </c>
      <c r="F3340" t="s">
        <v>12</v>
      </c>
      <c r="G3340" t="s">
        <v>13</v>
      </c>
      <c r="H3340" t="s">
        <v>13</v>
      </c>
      <c r="I3340">
        <v>54</v>
      </c>
      <c r="J3340">
        <f>ABS((I3340-EDA!$A$15)/EDA!$B$15)</f>
        <v>0.84834427378436728</v>
      </c>
      <c r="K3340" t="str">
        <f t="shared" si="52"/>
        <v>No</v>
      </c>
      <c r="L3340">
        <f>ABS((C3340-EDA!$F$15)/EDA!$G$15)</f>
        <v>0.25240941826893371</v>
      </c>
      <c r="M3340" t="str">
        <f>IF(moras[[#This Row],[Z-Score Salario]]&gt;1.96, "Sí", "No")</f>
        <v>No</v>
      </c>
      <c r="N3340" s="14">
        <f>IF(ISBLANK(moras[[#This Row],[SALARIO]]), EDA!$M$8, moras[[#This Row],[SALARIO]])</f>
        <v>37742593</v>
      </c>
      <c r="O3340" s="14">
        <f xml:space="preserve"> IF(ISBLANK(moras[[#This Row],[EDAD]]), EDA!$E$8, moras[[#This Row],[EDAD]])</f>
        <v>54</v>
      </c>
      <c r="P3340" s="14" t="str">
        <f>IF(
    OR(ISBLANK(moras[[#This Row],[TIPO_ASEGURAMIENTO]]), moras[[#This Row],[TIPO_ASEGURAMIENTO]]=""),
    EDA!$A$32,
    moras[[#This Row],[TIPO_ASEGURAMIENTO]]
)</f>
        <v>ASALARIADO</v>
      </c>
    </row>
    <row r="3341" spans="1:16" x14ac:dyDescent="0.3">
      <c r="A3341">
        <v>3340</v>
      </c>
      <c r="B3341" t="s">
        <v>9</v>
      </c>
      <c r="C3341">
        <v>297044</v>
      </c>
      <c r="D3341" t="s">
        <v>17</v>
      </c>
      <c r="E3341" t="s">
        <v>16</v>
      </c>
      <c r="F3341" t="s">
        <v>12</v>
      </c>
      <c r="G3341" t="s">
        <v>12</v>
      </c>
      <c r="H3341" t="s">
        <v>13</v>
      </c>
      <c r="I3341">
        <v>55</v>
      </c>
      <c r="J3341">
        <f>ABS((I3341-EDA!$A$15)/EDA!$B$15)</f>
        <v>0.91891960386150484</v>
      </c>
      <c r="K3341" t="str">
        <f t="shared" si="52"/>
        <v>No</v>
      </c>
      <c r="L3341">
        <f>ABS((C3341-EDA!$F$15)/EDA!$G$15)</f>
        <v>0.3707109503608354</v>
      </c>
      <c r="M3341" t="str">
        <f>IF(moras[[#This Row],[Z-Score Salario]]&gt;1.96, "Sí", "No")</f>
        <v>No</v>
      </c>
      <c r="N3341" s="14">
        <f>IF(ISBLANK(moras[[#This Row],[SALARIO]]), EDA!$M$8, moras[[#This Row],[SALARIO]])</f>
        <v>297044</v>
      </c>
      <c r="O3341" s="14">
        <f xml:space="preserve"> IF(ISBLANK(moras[[#This Row],[EDAD]]), EDA!$E$8, moras[[#This Row],[EDAD]])</f>
        <v>55</v>
      </c>
      <c r="P3341" s="14" t="str">
        <f>IF(
    OR(ISBLANK(moras[[#This Row],[TIPO_ASEGURAMIENTO]]), moras[[#This Row],[TIPO_ASEGURAMIENTO]]=""),
    EDA!$A$32,
    moras[[#This Row],[TIPO_ASEGURAMIENTO]]
)</f>
        <v>ASEGURADO VOLUNTARIO</v>
      </c>
    </row>
    <row r="3342" spans="1:16" x14ac:dyDescent="0.3">
      <c r="A3342">
        <v>3341</v>
      </c>
      <c r="B3342" t="s">
        <v>9</v>
      </c>
      <c r="C3342">
        <v>8522133</v>
      </c>
      <c r="D3342" t="s">
        <v>10</v>
      </c>
      <c r="E3342" t="s">
        <v>16</v>
      </c>
      <c r="F3342" t="s">
        <v>12</v>
      </c>
      <c r="G3342" t="s">
        <v>13</v>
      </c>
      <c r="H3342" t="s">
        <v>13</v>
      </c>
      <c r="I3342">
        <v>52</v>
      </c>
      <c r="J3342">
        <f>ABS((I3342-EDA!$A$15)/EDA!$B$15)</f>
        <v>0.70719361363009237</v>
      </c>
      <c r="K3342" t="str">
        <f t="shared" si="52"/>
        <v>No</v>
      </c>
      <c r="L3342">
        <f>ABS((C3342-EDA!$F$15)/EDA!$G$15)</f>
        <v>0.23383966321018743</v>
      </c>
      <c r="M3342" t="str">
        <f>IF(moras[[#This Row],[Z-Score Salario]]&gt;1.96, "Sí", "No")</f>
        <v>No</v>
      </c>
      <c r="N3342" s="14">
        <f>IF(ISBLANK(moras[[#This Row],[SALARIO]]), EDA!$M$8, moras[[#This Row],[SALARIO]])</f>
        <v>8522133</v>
      </c>
      <c r="O3342" s="14">
        <f xml:space="preserve"> IF(ISBLANK(moras[[#This Row],[EDAD]]), EDA!$E$8, moras[[#This Row],[EDAD]])</f>
        <v>52</v>
      </c>
      <c r="P3342" s="14" t="str">
        <f>IF(
    OR(ISBLANK(moras[[#This Row],[TIPO_ASEGURAMIENTO]]), moras[[#This Row],[TIPO_ASEGURAMIENTO]]=""),
    EDA!$A$32,
    moras[[#This Row],[TIPO_ASEGURAMIENTO]]
)</f>
        <v>ASALARIADO</v>
      </c>
    </row>
    <row r="3343" spans="1:16" x14ac:dyDescent="0.3">
      <c r="A3343">
        <v>3342</v>
      </c>
      <c r="B3343" t="s">
        <v>9</v>
      </c>
      <c r="C3343">
        <v>297046</v>
      </c>
      <c r="D3343" t="s">
        <v>18</v>
      </c>
      <c r="E3343" t="s">
        <v>16</v>
      </c>
      <c r="F3343" t="s">
        <v>12</v>
      </c>
      <c r="G3343" t="s">
        <v>13</v>
      </c>
      <c r="H3343" t="s">
        <v>13</v>
      </c>
      <c r="I3343">
        <v>59</v>
      </c>
      <c r="J3343">
        <f>ABS((I3343-EDA!$A$15)/EDA!$B$15)</f>
        <v>1.2012209241700549</v>
      </c>
      <c r="K3343" t="str">
        <f t="shared" si="52"/>
        <v>No</v>
      </c>
      <c r="L3343">
        <f>ABS((C3343-EDA!$F$15)/EDA!$G$15)</f>
        <v>0.37071091707942361</v>
      </c>
      <c r="M3343" t="str">
        <f>IF(moras[[#This Row],[Z-Score Salario]]&gt;1.96, "Sí", "No")</f>
        <v>No</v>
      </c>
      <c r="N3343" s="14">
        <f>IF(ISBLANK(moras[[#This Row],[SALARIO]]), EDA!$M$8, moras[[#This Row],[SALARIO]])</f>
        <v>297046</v>
      </c>
      <c r="O3343" s="14">
        <f xml:space="preserve"> IF(ISBLANK(moras[[#This Row],[EDAD]]), EDA!$E$8, moras[[#This Row],[EDAD]])</f>
        <v>59</v>
      </c>
      <c r="P3343" s="14" t="str">
        <f>IF(
    OR(ISBLANK(moras[[#This Row],[TIPO_ASEGURAMIENTO]]), moras[[#This Row],[TIPO_ASEGURAMIENTO]]=""),
    EDA!$A$32,
    moras[[#This Row],[TIPO_ASEGURAMIENTO]]
)</f>
        <v>TRABAJADOR INDEPENDIENTE</v>
      </c>
    </row>
    <row r="3344" spans="1:16" x14ac:dyDescent="0.3">
      <c r="A3344">
        <v>3343</v>
      </c>
      <c r="B3344" t="s">
        <v>9</v>
      </c>
      <c r="C3344">
        <v>280000</v>
      </c>
      <c r="D3344" t="s">
        <v>10</v>
      </c>
      <c r="E3344" t="s">
        <v>16</v>
      </c>
      <c r="F3344" t="s">
        <v>12</v>
      </c>
      <c r="G3344" t="s">
        <v>13</v>
      </c>
      <c r="H3344" t="s">
        <v>13</v>
      </c>
      <c r="I3344">
        <v>70</v>
      </c>
      <c r="J3344">
        <f>ABS((I3344-EDA!$A$15)/EDA!$B$15)</f>
        <v>1.9775495550185673</v>
      </c>
      <c r="K3344" t="str">
        <f t="shared" si="52"/>
        <v>Sí</v>
      </c>
      <c r="L3344">
        <f>ABS((C3344-EDA!$F$15)/EDA!$G$15)</f>
        <v>0.37099457455240292</v>
      </c>
      <c r="M3344" t="str">
        <f>IF(moras[[#This Row],[Z-Score Salario]]&gt;1.96, "Sí", "No")</f>
        <v>No</v>
      </c>
      <c r="N3344" s="14">
        <f>IF(ISBLANK(moras[[#This Row],[SALARIO]]), EDA!$M$8, moras[[#This Row],[SALARIO]])</f>
        <v>280000</v>
      </c>
      <c r="O3344" s="14">
        <f xml:space="preserve"> IF(ISBLANK(moras[[#This Row],[EDAD]]), EDA!$E$8, moras[[#This Row],[EDAD]])</f>
        <v>70</v>
      </c>
      <c r="P3344" s="14" t="str">
        <f>IF(
    OR(ISBLANK(moras[[#This Row],[TIPO_ASEGURAMIENTO]]), moras[[#This Row],[TIPO_ASEGURAMIENTO]]=""),
    EDA!$A$32,
    moras[[#This Row],[TIPO_ASEGURAMIENTO]]
)</f>
        <v>ASALARIADO</v>
      </c>
    </row>
    <row r="3345" spans="1:16" x14ac:dyDescent="0.3">
      <c r="A3345">
        <v>3344</v>
      </c>
      <c r="B3345" t="s">
        <v>9</v>
      </c>
      <c r="C3345">
        <v>400000</v>
      </c>
      <c r="D3345" t="s">
        <v>10</v>
      </c>
      <c r="E3345" t="s">
        <v>16</v>
      </c>
      <c r="F3345" t="s">
        <v>12</v>
      </c>
      <c r="G3345" t="s">
        <v>13</v>
      </c>
      <c r="H3345" t="s">
        <v>13</v>
      </c>
      <c r="I3345">
        <v>47</v>
      </c>
      <c r="J3345">
        <f>ABS((I3345-EDA!$A$15)/EDA!$B$15)</f>
        <v>0.35431696324440481</v>
      </c>
      <c r="K3345" t="str">
        <f t="shared" si="52"/>
        <v>No</v>
      </c>
      <c r="L3345">
        <f>ABS((C3345-EDA!$F$15)/EDA!$G$15)</f>
        <v>0.36899768984293924</v>
      </c>
      <c r="M3345" t="str">
        <f>IF(moras[[#This Row],[Z-Score Salario]]&gt;1.96, "Sí", "No")</f>
        <v>No</v>
      </c>
      <c r="N3345" s="14">
        <f>IF(ISBLANK(moras[[#This Row],[SALARIO]]), EDA!$M$8, moras[[#This Row],[SALARIO]])</f>
        <v>400000</v>
      </c>
      <c r="O3345" s="14">
        <f xml:space="preserve"> IF(ISBLANK(moras[[#This Row],[EDAD]]), EDA!$E$8, moras[[#This Row],[EDAD]])</f>
        <v>47</v>
      </c>
      <c r="P3345" s="14" t="str">
        <f>IF(
    OR(ISBLANK(moras[[#This Row],[TIPO_ASEGURAMIENTO]]), moras[[#This Row],[TIPO_ASEGURAMIENTO]]=""),
    EDA!$A$32,
    moras[[#This Row],[TIPO_ASEGURAMIENTO]]
)</f>
        <v>ASALARIADO</v>
      </c>
    </row>
    <row r="3346" spans="1:16" x14ac:dyDescent="0.3">
      <c r="A3346">
        <v>3345</v>
      </c>
      <c r="B3346" t="s">
        <v>9</v>
      </c>
      <c r="C3346">
        <v>66495056</v>
      </c>
      <c r="D3346" t="s">
        <v>10</v>
      </c>
      <c r="E3346" t="s">
        <v>16</v>
      </c>
      <c r="F3346" t="s">
        <v>12</v>
      </c>
      <c r="G3346" t="s">
        <v>12</v>
      </c>
      <c r="H3346" t="s">
        <v>13</v>
      </c>
      <c r="I3346">
        <v>38</v>
      </c>
      <c r="J3346">
        <f>ABS((I3346-EDA!$A$15)/EDA!$B$15)</f>
        <v>0.28086100744983278</v>
      </c>
      <c r="K3346" t="str">
        <f t="shared" si="52"/>
        <v>No</v>
      </c>
      <c r="L3346">
        <f>ABS((C3346-EDA!$F$15)/EDA!$G$15)</f>
        <v>0.73087069930326432</v>
      </c>
      <c r="M3346" t="str">
        <f>IF(moras[[#This Row],[Z-Score Salario]]&gt;1.96, "Sí", "No")</f>
        <v>No</v>
      </c>
      <c r="N3346" s="14">
        <f>IF(ISBLANK(moras[[#This Row],[SALARIO]]), EDA!$M$8, moras[[#This Row],[SALARIO]])</f>
        <v>66495056</v>
      </c>
      <c r="O3346" s="14">
        <f xml:space="preserve"> IF(ISBLANK(moras[[#This Row],[EDAD]]), EDA!$E$8, moras[[#This Row],[EDAD]])</f>
        <v>38</v>
      </c>
      <c r="P3346" s="14" t="str">
        <f>IF(
    OR(ISBLANK(moras[[#This Row],[TIPO_ASEGURAMIENTO]]), moras[[#This Row],[TIPO_ASEGURAMIENTO]]=""),
    EDA!$A$32,
    moras[[#This Row],[TIPO_ASEGURAMIENTO]]
)</f>
        <v>ASALARIADO</v>
      </c>
    </row>
    <row r="3347" spans="1:16" x14ac:dyDescent="0.3">
      <c r="A3347">
        <v>3346</v>
      </c>
      <c r="B3347" t="s">
        <v>15</v>
      </c>
      <c r="C3347">
        <v>580000</v>
      </c>
      <c r="D3347" t="s">
        <v>10</v>
      </c>
      <c r="E3347" t="s">
        <v>16</v>
      </c>
      <c r="F3347" t="s">
        <v>12</v>
      </c>
      <c r="G3347" t="s">
        <v>13</v>
      </c>
      <c r="H3347" t="s">
        <v>13</v>
      </c>
      <c r="I3347">
        <v>25</v>
      </c>
      <c r="J3347">
        <f>ABS((I3347-EDA!$A$15)/EDA!$B$15)</f>
        <v>1.1983402984526204</v>
      </c>
      <c r="K3347" t="str">
        <f t="shared" si="52"/>
        <v>No</v>
      </c>
      <c r="L3347">
        <f>ABS((C3347-EDA!$F$15)/EDA!$G$15)</f>
        <v>0.36600236277874376</v>
      </c>
      <c r="M3347" t="str">
        <f>IF(moras[[#This Row],[Z-Score Salario]]&gt;1.96, "Sí", "No")</f>
        <v>No</v>
      </c>
      <c r="N3347" s="14">
        <f>IF(ISBLANK(moras[[#This Row],[SALARIO]]), EDA!$M$8, moras[[#This Row],[SALARIO]])</f>
        <v>580000</v>
      </c>
      <c r="O3347" s="14">
        <f xml:space="preserve"> IF(ISBLANK(moras[[#This Row],[EDAD]]), EDA!$E$8, moras[[#This Row],[EDAD]])</f>
        <v>25</v>
      </c>
      <c r="P3347" s="14" t="str">
        <f>IF(
    OR(ISBLANK(moras[[#This Row],[TIPO_ASEGURAMIENTO]]), moras[[#This Row],[TIPO_ASEGURAMIENTO]]=""),
    EDA!$A$32,
    moras[[#This Row],[TIPO_ASEGURAMIENTO]]
)</f>
        <v>ASALARIADO</v>
      </c>
    </row>
    <row r="3348" spans="1:16" x14ac:dyDescent="0.3">
      <c r="A3348">
        <v>3347</v>
      </c>
      <c r="B3348" t="s">
        <v>15</v>
      </c>
      <c r="C3348">
        <v>183760</v>
      </c>
      <c r="D3348" t="s">
        <v>10</v>
      </c>
      <c r="E3348" t="s">
        <v>16</v>
      </c>
      <c r="F3348" t="s">
        <v>12</v>
      </c>
      <c r="G3348" t="s">
        <v>12</v>
      </c>
      <c r="H3348" t="s">
        <v>13</v>
      </c>
      <c r="I3348">
        <v>53</v>
      </c>
      <c r="J3348">
        <f>ABS((I3348-EDA!$A$15)/EDA!$B$15)</f>
        <v>0.77776894370722982</v>
      </c>
      <c r="K3348" t="str">
        <f t="shared" si="52"/>
        <v>No</v>
      </c>
      <c r="L3348">
        <f>ABS((C3348-EDA!$F$15)/EDA!$G$15)</f>
        <v>0.37259607608939277</v>
      </c>
      <c r="M3348" t="str">
        <f>IF(moras[[#This Row],[Z-Score Salario]]&gt;1.96, "Sí", "No")</f>
        <v>No</v>
      </c>
      <c r="N3348" s="14">
        <f>IF(ISBLANK(moras[[#This Row],[SALARIO]]), EDA!$M$8, moras[[#This Row],[SALARIO]])</f>
        <v>183760</v>
      </c>
      <c r="O3348" s="14">
        <f xml:space="preserve"> IF(ISBLANK(moras[[#This Row],[EDAD]]), EDA!$E$8, moras[[#This Row],[EDAD]])</f>
        <v>53</v>
      </c>
      <c r="P3348" s="14" t="str">
        <f>IF(
    OR(ISBLANK(moras[[#This Row],[TIPO_ASEGURAMIENTO]]), moras[[#This Row],[TIPO_ASEGURAMIENTO]]=""),
    EDA!$A$32,
    moras[[#This Row],[TIPO_ASEGURAMIENTO]]
)</f>
        <v>ASALARIADO</v>
      </c>
    </row>
    <row r="3349" spans="1:16" x14ac:dyDescent="0.3">
      <c r="A3349">
        <v>3348</v>
      </c>
      <c r="B3349" t="s">
        <v>15</v>
      </c>
      <c r="C3349">
        <v>591000</v>
      </c>
      <c r="D3349" t="s">
        <v>10</v>
      </c>
      <c r="E3349" t="s">
        <v>16</v>
      </c>
      <c r="F3349" t="s">
        <v>12</v>
      </c>
      <c r="G3349" t="s">
        <v>13</v>
      </c>
      <c r="H3349" t="s">
        <v>13</v>
      </c>
      <c r="I3349">
        <v>45</v>
      </c>
      <c r="J3349">
        <f>ABS((I3349-EDA!$A$15)/EDA!$B$15)</f>
        <v>0.21316630309012977</v>
      </c>
      <c r="K3349" t="str">
        <f t="shared" si="52"/>
        <v>No</v>
      </c>
      <c r="L3349">
        <f>ABS((C3349-EDA!$F$15)/EDA!$G$15)</f>
        <v>0.36581931501370957</v>
      </c>
      <c r="M3349" t="str">
        <f>IF(moras[[#This Row],[Z-Score Salario]]&gt;1.96, "Sí", "No")</f>
        <v>No</v>
      </c>
      <c r="N3349" s="14">
        <f>IF(ISBLANK(moras[[#This Row],[SALARIO]]), EDA!$M$8, moras[[#This Row],[SALARIO]])</f>
        <v>591000</v>
      </c>
      <c r="O3349" s="14">
        <f xml:space="preserve"> IF(ISBLANK(moras[[#This Row],[EDAD]]), EDA!$E$8, moras[[#This Row],[EDAD]])</f>
        <v>45</v>
      </c>
      <c r="P3349" s="14" t="str">
        <f>IF(
    OR(ISBLANK(moras[[#This Row],[TIPO_ASEGURAMIENTO]]), moras[[#This Row],[TIPO_ASEGURAMIENTO]]=""),
    EDA!$A$32,
    moras[[#This Row],[TIPO_ASEGURAMIENTO]]
)</f>
        <v>ASALARIADO</v>
      </c>
    </row>
    <row r="3350" spans="1:16" x14ac:dyDescent="0.3">
      <c r="A3350">
        <v>3349</v>
      </c>
      <c r="B3350" t="s">
        <v>9</v>
      </c>
      <c r="C3350">
        <v>146102323</v>
      </c>
      <c r="D3350" t="s">
        <v>10</v>
      </c>
      <c r="E3350" t="s">
        <v>16</v>
      </c>
      <c r="F3350" t="s">
        <v>12</v>
      </c>
      <c r="G3350" t="s">
        <v>13</v>
      </c>
      <c r="H3350" t="s">
        <v>13</v>
      </c>
      <c r="I3350">
        <v>30</v>
      </c>
      <c r="J3350">
        <f>ABS((I3350-EDA!$A$15)/EDA!$B$15)</f>
        <v>0.84546364806693275</v>
      </c>
      <c r="K3350" t="str">
        <f t="shared" si="52"/>
        <v>No</v>
      </c>
      <c r="L3350">
        <f>ABS((C3350-EDA!$F$15)/EDA!$G$15)</f>
        <v>2.0555918179240233</v>
      </c>
      <c r="M3350" t="str">
        <f>IF(moras[[#This Row],[Z-Score Salario]]&gt;1.96, "Sí", "No")</f>
        <v>Sí</v>
      </c>
      <c r="N3350" s="14">
        <f>IF(ISBLANK(moras[[#This Row],[SALARIO]]), EDA!$M$8, moras[[#This Row],[SALARIO]])</f>
        <v>146102323</v>
      </c>
      <c r="O3350" s="14">
        <f xml:space="preserve"> IF(ISBLANK(moras[[#This Row],[EDAD]]), EDA!$E$8, moras[[#This Row],[EDAD]])</f>
        <v>30</v>
      </c>
      <c r="P3350" s="14" t="str">
        <f>IF(
    OR(ISBLANK(moras[[#This Row],[TIPO_ASEGURAMIENTO]]), moras[[#This Row],[TIPO_ASEGURAMIENTO]]=""),
    EDA!$A$32,
    moras[[#This Row],[TIPO_ASEGURAMIENTO]]
)</f>
        <v>ASALARIADO</v>
      </c>
    </row>
    <row r="3351" spans="1:16" x14ac:dyDescent="0.3">
      <c r="A3351">
        <v>3350</v>
      </c>
      <c r="B3351" t="s">
        <v>15</v>
      </c>
      <c r="C3351">
        <v>1167041</v>
      </c>
      <c r="D3351" t="s">
        <v>10</v>
      </c>
      <c r="E3351" t="s">
        <v>11</v>
      </c>
      <c r="F3351" t="s">
        <v>12</v>
      </c>
      <c r="G3351" t="s">
        <v>13</v>
      </c>
      <c r="H3351" t="s">
        <v>12</v>
      </c>
      <c r="I3351">
        <v>32</v>
      </c>
      <c r="J3351">
        <f>ABS((I3351-EDA!$A$15)/EDA!$B$15)</f>
        <v>0.70431298791265773</v>
      </c>
      <c r="K3351" t="str">
        <f t="shared" si="52"/>
        <v>No</v>
      </c>
      <c r="L3351">
        <f>ABS((C3351-EDA!$F$15)/EDA!$G$15)</f>
        <v>0.35623358613934158</v>
      </c>
      <c r="M3351" t="str">
        <f>IF(moras[[#This Row],[Z-Score Salario]]&gt;1.96, "Sí", "No")</f>
        <v>No</v>
      </c>
      <c r="N3351" s="14">
        <f>IF(ISBLANK(moras[[#This Row],[SALARIO]]), EDA!$M$8, moras[[#This Row],[SALARIO]])</f>
        <v>1167041</v>
      </c>
      <c r="O3351" s="14">
        <f xml:space="preserve"> IF(ISBLANK(moras[[#This Row],[EDAD]]), EDA!$E$8, moras[[#This Row],[EDAD]])</f>
        <v>32</v>
      </c>
      <c r="P3351" s="14" t="str">
        <f>IF(
    OR(ISBLANK(moras[[#This Row],[TIPO_ASEGURAMIENTO]]), moras[[#This Row],[TIPO_ASEGURAMIENTO]]=""),
    EDA!$A$32,
    moras[[#This Row],[TIPO_ASEGURAMIENTO]]
)</f>
        <v>ASALARIADO</v>
      </c>
    </row>
    <row r="3352" spans="1:16" x14ac:dyDescent="0.3">
      <c r="A3352">
        <v>3351</v>
      </c>
      <c r="B3352" t="s">
        <v>15</v>
      </c>
      <c r="C3352">
        <v>240000</v>
      </c>
      <c r="D3352" t="s">
        <v>10</v>
      </c>
      <c r="E3352" t="s">
        <v>16</v>
      </c>
      <c r="F3352" t="s">
        <v>12</v>
      </c>
      <c r="G3352" t="s">
        <v>12</v>
      </c>
      <c r="H3352" t="s">
        <v>12</v>
      </c>
      <c r="I3352">
        <v>42</v>
      </c>
      <c r="J3352">
        <f>ABS((I3352-EDA!$A$15)/EDA!$B$15)</f>
        <v>1.4403128587172659E-3</v>
      </c>
      <c r="K3352" t="str">
        <f t="shared" si="52"/>
        <v>No</v>
      </c>
      <c r="L3352">
        <f>ABS((C3352-EDA!$F$15)/EDA!$G$15)</f>
        <v>0.37166020278889078</v>
      </c>
      <c r="M3352" t="str">
        <f>IF(moras[[#This Row],[Z-Score Salario]]&gt;1.96, "Sí", "No")</f>
        <v>No</v>
      </c>
      <c r="N3352" s="14">
        <f>IF(ISBLANK(moras[[#This Row],[SALARIO]]), EDA!$M$8, moras[[#This Row],[SALARIO]])</f>
        <v>240000</v>
      </c>
      <c r="O3352" s="14">
        <f xml:space="preserve"> IF(ISBLANK(moras[[#This Row],[EDAD]]), EDA!$E$8, moras[[#This Row],[EDAD]])</f>
        <v>42</v>
      </c>
      <c r="P3352" s="14" t="str">
        <f>IF(
    OR(ISBLANK(moras[[#This Row],[TIPO_ASEGURAMIENTO]]), moras[[#This Row],[TIPO_ASEGURAMIENTO]]=""),
    EDA!$A$32,
    moras[[#This Row],[TIPO_ASEGURAMIENTO]]
)</f>
        <v>ASALARIADO</v>
      </c>
    </row>
    <row r="3353" spans="1:16" x14ac:dyDescent="0.3">
      <c r="A3353">
        <v>3352</v>
      </c>
      <c r="B3353" t="s">
        <v>15</v>
      </c>
      <c r="C3353">
        <v>22719758</v>
      </c>
      <c r="D3353" t="s">
        <v>10</v>
      </c>
      <c r="E3353" t="s">
        <v>16</v>
      </c>
      <c r="F3353" t="s">
        <v>12</v>
      </c>
      <c r="G3353" t="s">
        <v>13</v>
      </c>
      <c r="H3353" t="s">
        <v>13</v>
      </c>
      <c r="I3353">
        <v>36</v>
      </c>
      <c r="J3353">
        <f>ABS((I3353-EDA!$A$15)/EDA!$B$15)</f>
        <v>0.42201166760410774</v>
      </c>
      <c r="K3353" t="str">
        <f t="shared" si="52"/>
        <v>No</v>
      </c>
      <c r="L3353">
        <f>ABS((C3353-EDA!$F$15)/EDA!$G$15)</f>
        <v>2.4188390664710078E-3</v>
      </c>
      <c r="M3353" t="str">
        <f>IF(moras[[#This Row],[Z-Score Salario]]&gt;1.96, "Sí", "No")</f>
        <v>No</v>
      </c>
      <c r="N3353" s="14">
        <f>IF(ISBLANK(moras[[#This Row],[SALARIO]]), EDA!$M$8, moras[[#This Row],[SALARIO]])</f>
        <v>22719758</v>
      </c>
      <c r="O3353" s="14">
        <f xml:space="preserve"> IF(ISBLANK(moras[[#This Row],[EDAD]]), EDA!$E$8, moras[[#This Row],[EDAD]])</f>
        <v>36</v>
      </c>
      <c r="P3353" s="14" t="str">
        <f>IF(
    OR(ISBLANK(moras[[#This Row],[TIPO_ASEGURAMIENTO]]), moras[[#This Row],[TIPO_ASEGURAMIENTO]]=""),
    EDA!$A$32,
    moras[[#This Row],[TIPO_ASEGURAMIENTO]]
)</f>
        <v>ASALARIADO</v>
      </c>
    </row>
    <row r="3354" spans="1:16" x14ac:dyDescent="0.3">
      <c r="A3354">
        <v>3353</v>
      </c>
      <c r="B3354" t="s">
        <v>15</v>
      </c>
      <c r="C3354">
        <v>346384</v>
      </c>
      <c r="D3354" t="s">
        <v>10</v>
      </c>
      <c r="E3354" t="s">
        <v>11</v>
      </c>
      <c r="F3354" t="s">
        <v>12</v>
      </c>
      <c r="G3354" t="s">
        <v>13</v>
      </c>
      <c r="H3354" t="s">
        <v>13</v>
      </c>
      <c r="I3354">
        <v>43</v>
      </c>
      <c r="J3354">
        <f>ABS((I3354-EDA!$A$15)/EDA!$B$15)</f>
        <v>7.2015642935854773E-2</v>
      </c>
      <c r="K3354" t="str">
        <f t="shared" si="52"/>
        <v>No</v>
      </c>
      <c r="L3354">
        <f>ABS((C3354-EDA!$F$15)/EDA!$G$15)</f>
        <v>0.36988989793112759</v>
      </c>
      <c r="M3354" t="str">
        <f>IF(moras[[#This Row],[Z-Score Salario]]&gt;1.96, "Sí", "No")</f>
        <v>No</v>
      </c>
      <c r="N3354" s="14">
        <f>IF(ISBLANK(moras[[#This Row],[SALARIO]]), EDA!$M$8, moras[[#This Row],[SALARIO]])</f>
        <v>346384</v>
      </c>
      <c r="O3354" s="14">
        <f xml:space="preserve"> IF(ISBLANK(moras[[#This Row],[EDAD]]), EDA!$E$8, moras[[#This Row],[EDAD]])</f>
        <v>43</v>
      </c>
      <c r="P3354" s="14" t="str">
        <f>IF(
    OR(ISBLANK(moras[[#This Row],[TIPO_ASEGURAMIENTO]]), moras[[#This Row],[TIPO_ASEGURAMIENTO]]=""),
    EDA!$A$32,
    moras[[#This Row],[TIPO_ASEGURAMIENTO]]
)</f>
        <v>ASALARIADO</v>
      </c>
    </row>
    <row r="3355" spans="1:16" x14ac:dyDescent="0.3">
      <c r="A3355">
        <v>3354</v>
      </c>
      <c r="B3355" t="s">
        <v>9</v>
      </c>
      <c r="C3355">
        <v>82132728</v>
      </c>
      <c r="D3355" t="s">
        <v>10</v>
      </c>
      <c r="E3355" t="s">
        <v>16</v>
      </c>
      <c r="F3355" t="s">
        <v>12</v>
      </c>
      <c r="G3355" t="s">
        <v>13</v>
      </c>
      <c r="H3355" t="s">
        <v>13</v>
      </c>
      <c r="I3355">
        <v>60</v>
      </c>
      <c r="J3355">
        <f>ABS((I3355-EDA!$A$15)/EDA!$B$15)</f>
        <v>1.2717962542471923</v>
      </c>
      <c r="K3355" t="str">
        <f t="shared" si="52"/>
        <v>No</v>
      </c>
      <c r="L3355">
        <f>ABS((C3355-EDA!$F$15)/EDA!$G$15)</f>
        <v>0.99109260020666456</v>
      </c>
      <c r="M3355" t="str">
        <f>IF(moras[[#This Row],[Z-Score Salario]]&gt;1.96, "Sí", "No")</f>
        <v>No</v>
      </c>
      <c r="N3355" s="14">
        <f>IF(ISBLANK(moras[[#This Row],[SALARIO]]), EDA!$M$8, moras[[#This Row],[SALARIO]])</f>
        <v>82132728</v>
      </c>
      <c r="O3355" s="14">
        <f xml:space="preserve"> IF(ISBLANK(moras[[#This Row],[EDAD]]), EDA!$E$8, moras[[#This Row],[EDAD]])</f>
        <v>60</v>
      </c>
      <c r="P3355" s="14" t="str">
        <f>IF(
    OR(ISBLANK(moras[[#This Row],[TIPO_ASEGURAMIENTO]]), moras[[#This Row],[TIPO_ASEGURAMIENTO]]=""),
    EDA!$A$32,
    moras[[#This Row],[TIPO_ASEGURAMIENTO]]
)</f>
        <v>ASALARIADO</v>
      </c>
    </row>
    <row r="3356" spans="1:16" x14ac:dyDescent="0.3">
      <c r="A3356">
        <v>3355</v>
      </c>
      <c r="B3356" t="s">
        <v>9</v>
      </c>
      <c r="C3356">
        <v>350000</v>
      </c>
      <c r="D3356" t="s">
        <v>10</v>
      </c>
      <c r="E3356" t="s">
        <v>16</v>
      </c>
      <c r="F3356" t="s">
        <v>12</v>
      </c>
      <c r="G3356" t="s">
        <v>13</v>
      </c>
      <c r="H3356" t="s">
        <v>13</v>
      </c>
      <c r="I3356">
        <v>36</v>
      </c>
      <c r="J3356">
        <f>ABS((I3356-EDA!$A$15)/EDA!$B$15)</f>
        <v>0.42201166760410774</v>
      </c>
      <c r="K3356" t="str">
        <f t="shared" si="52"/>
        <v>No</v>
      </c>
      <c r="L3356">
        <f>ABS((C3356-EDA!$F$15)/EDA!$G$15)</f>
        <v>0.36982972513854911</v>
      </c>
      <c r="M3356" t="str">
        <f>IF(moras[[#This Row],[Z-Score Salario]]&gt;1.96, "Sí", "No")</f>
        <v>No</v>
      </c>
      <c r="N3356" s="14">
        <f>IF(ISBLANK(moras[[#This Row],[SALARIO]]), EDA!$M$8, moras[[#This Row],[SALARIO]])</f>
        <v>350000</v>
      </c>
      <c r="O3356" s="14">
        <f xml:space="preserve"> IF(ISBLANK(moras[[#This Row],[EDAD]]), EDA!$E$8, moras[[#This Row],[EDAD]])</f>
        <v>36</v>
      </c>
      <c r="P3356" s="14" t="str">
        <f>IF(
    OR(ISBLANK(moras[[#This Row],[TIPO_ASEGURAMIENTO]]), moras[[#This Row],[TIPO_ASEGURAMIENTO]]=""),
    EDA!$A$32,
    moras[[#This Row],[TIPO_ASEGURAMIENTO]]
)</f>
        <v>ASALARIADO</v>
      </c>
    </row>
    <row r="3357" spans="1:16" x14ac:dyDescent="0.3">
      <c r="A3357">
        <v>3356</v>
      </c>
      <c r="B3357" t="s">
        <v>9</v>
      </c>
      <c r="C3357">
        <v>35153679</v>
      </c>
      <c r="D3357" t="s">
        <v>10</v>
      </c>
      <c r="E3357" t="s">
        <v>16</v>
      </c>
      <c r="F3357" t="s">
        <v>12</v>
      </c>
      <c r="G3357" t="s">
        <v>13</v>
      </c>
      <c r="H3357" t="s">
        <v>13</v>
      </c>
      <c r="I3357">
        <v>46</v>
      </c>
      <c r="J3357">
        <f>ABS((I3357-EDA!$A$15)/EDA!$B$15)</f>
        <v>0.2837416331672673</v>
      </c>
      <c r="K3357" t="str">
        <f t="shared" si="52"/>
        <v>No</v>
      </c>
      <c r="L3357">
        <f>ABS((C3357-EDA!$F$15)/EDA!$G$15)</f>
        <v>0.20932806176296365</v>
      </c>
      <c r="M3357" t="str">
        <f>IF(moras[[#This Row],[Z-Score Salario]]&gt;1.96, "Sí", "No")</f>
        <v>No</v>
      </c>
      <c r="N3357" s="14">
        <f>IF(ISBLANK(moras[[#This Row],[SALARIO]]), EDA!$M$8, moras[[#This Row],[SALARIO]])</f>
        <v>35153679</v>
      </c>
      <c r="O3357" s="14">
        <f xml:space="preserve"> IF(ISBLANK(moras[[#This Row],[EDAD]]), EDA!$E$8, moras[[#This Row],[EDAD]])</f>
        <v>46</v>
      </c>
      <c r="P3357" s="14" t="str">
        <f>IF(
    OR(ISBLANK(moras[[#This Row],[TIPO_ASEGURAMIENTO]]), moras[[#This Row],[TIPO_ASEGURAMIENTO]]=""),
    EDA!$A$32,
    moras[[#This Row],[TIPO_ASEGURAMIENTO]]
)</f>
        <v>ASALARIADO</v>
      </c>
    </row>
    <row r="3358" spans="1:16" x14ac:dyDescent="0.3">
      <c r="A3358">
        <v>3357</v>
      </c>
      <c r="B3358" t="s">
        <v>15</v>
      </c>
      <c r="C3358">
        <v>2585425</v>
      </c>
      <c r="D3358" t="s">
        <v>10</v>
      </c>
      <c r="E3358" t="s">
        <v>16</v>
      </c>
      <c r="F3358" t="s">
        <v>12</v>
      </c>
      <c r="G3358" t="s">
        <v>13</v>
      </c>
      <c r="H3358" t="s">
        <v>13</v>
      </c>
      <c r="I3358">
        <v>53</v>
      </c>
      <c r="J3358">
        <f>ABS((I3358-EDA!$A$15)/EDA!$B$15)</f>
        <v>0.77776894370722982</v>
      </c>
      <c r="K3358" t="str">
        <f t="shared" si="52"/>
        <v>No</v>
      </c>
      <c r="L3358">
        <f>ABS((C3358-EDA!$F$15)/EDA!$G$15)</f>
        <v>0.33263067512477573</v>
      </c>
      <c r="M3358" t="str">
        <f>IF(moras[[#This Row],[Z-Score Salario]]&gt;1.96, "Sí", "No")</f>
        <v>No</v>
      </c>
      <c r="N3358" s="14">
        <f>IF(ISBLANK(moras[[#This Row],[SALARIO]]), EDA!$M$8, moras[[#This Row],[SALARIO]])</f>
        <v>2585425</v>
      </c>
      <c r="O3358" s="14">
        <f xml:space="preserve"> IF(ISBLANK(moras[[#This Row],[EDAD]]), EDA!$E$8, moras[[#This Row],[EDAD]])</f>
        <v>53</v>
      </c>
      <c r="P3358" s="14" t="str">
        <f>IF(
    OR(ISBLANK(moras[[#This Row],[TIPO_ASEGURAMIENTO]]), moras[[#This Row],[TIPO_ASEGURAMIENTO]]=""),
    EDA!$A$32,
    moras[[#This Row],[TIPO_ASEGURAMIENTO]]
)</f>
        <v>ASALARIADO</v>
      </c>
    </row>
    <row r="3359" spans="1:16" x14ac:dyDescent="0.3">
      <c r="A3359">
        <v>3358</v>
      </c>
      <c r="B3359" t="s">
        <v>15</v>
      </c>
      <c r="C3359">
        <v>297045</v>
      </c>
      <c r="D3359" t="s">
        <v>17</v>
      </c>
      <c r="E3359" t="s">
        <v>16</v>
      </c>
      <c r="F3359" t="s">
        <v>12</v>
      </c>
      <c r="G3359" t="s">
        <v>12</v>
      </c>
      <c r="H3359" t="s">
        <v>13</v>
      </c>
      <c r="I3359">
        <v>40</v>
      </c>
      <c r="J3359">
        <f>ABS((I3359-EDA!$A$15)/EDA!$B$15)</f>
        <v>0.13971034729555773</v>
      </c>
      <c r="K3359" t="str">
        <f t="shared" si="52"/>
        <v>No</v>
      </c>
      <c r="L3359">
        <f>ABS((C3359-EDA!$F$15)/EDA!$G$15)</f>
        <v>0.37071093372012948</v>
      </c>
      <c r="M3359" t="str">
        <f>IF(moras[[#This Row],[Z-Score Salario]]&gt;1.96, "Sí", "No")</f>
        <v>No</v>
      </c>
      <c r="N3359" s="14">
        <f>IF(ISBLANK(moras[[#This Row],[SALARIO]]), EDA!$M$8, moras[[#This Row],[SALARIO]])</f>
        <v>297045</v>
      </c>
      <c r="O3359" s="14">
        <f xml:space="preserve"> IF(ISBLANK(moras[[#This Row],[EDAD]]), EDA!$E$8, moras[[#This Row],[EDAD]])</f>
        <v>40</v>
      </c>
      <c r="P3359" s="14" t="str">
        <f>IF(
    OR(ISBLANK(moras[[#This Row],[TIPO_ASEGURAMIENTO]]), moras[[#This Row],[TIPO_ASEGURAMIENTO]]=""),
    EDA!$A$32,
    moras[[#This Row],[TIPO_ASEGURAMIENTO]]
)</f>
        <v>ASEGURADO VOLUNTARIO</v>
      </c>
    </row>
    <row r="3360" spans="1:16" x14ac:dyDescent="0.3">
      <c r="A3360">
        <v>3359</v>
      </c>
      <c r="B3360" t="s">
        <v>15</v>
      </c>
      <c r="C3360">
        <v>289729</v>
      </c>
      <c r="D3360" t="s">
        <v>10</v>
      </c>
      <c r="E3360" t="s">
        <v>11</v>
      </c>
      <c r="F3360" t="s">
        <v>12</v>
      </c>
      <c r="G3360" t="s">
        <v>13</v>
      </c>
      <c r="H3360" t="s">
        <v>12</v>
      </c>
      <c r="I3360">
        <v>41</v>
      </c>
      <c r="J3360">
        <f>ABS((I3360-EDA!$A$15)/EDA!$B$15)</f>
        <v>6.9135017218420233E-2</v>
      </c>
      <c r="K3360" t="str">
        <f t="shared" si="52"/>
        <v>No</v>
      </c>
      <c r="L3360">
        <f>ABS((C3360-EDA!$F$15)/EDA!$G$15)</f>
        <v>0.37083267712458312</v>
      </c>
      <c r="M3360" t="str">
        <f>IF(moras[[#This Row],[Z-Score Salario]]&gt;1.96, "Sí", "No")</f>
        <v>No</v>
      </c>
      <c r="N3360" s="14">
        <f>IF(ISBLANK(moras[[#This Row],[SALARIO]]), EDA!$M$8, moras[[#This Row],[SALARIO]])</f>
        <v>289729</v>
      </c>
      <c r="O3360" s="14">
        <f xml:space="preserve"> IF(ISBLANK(moras[[#This Row],[EDAD]]), EDA!$E$8, moras[[#This Row],[EDAD]])</f>
        <v>41</v>
      </c>
      <c r="P3360" s="14" t="str">
        <f>IF(
    OR(ISBLANK(moras[[#This Row],[TIPO_ASEGURAMIENTO]]), moras[[#This Row],[TIPO_ASEGURAMIENTO]]=""),
    EDA!$A$32,
    moras[[#This Row],[TIPO_ASEGURAMIENTO]]
)</f>
        <v>ASALARIADO</v>
      </c>
    </row>
    <row r="3361" spans="1:16" x14ac:dyDescent="0.3">
      <c r="A3361">
        <v>3360</v>
      </c>
      <c r="B3361" t="s">
        <v>15</v>
      </c>
      <c r="C3361">
        <v>550000</v>
      </c>
      <c r="D3361" t="s">
        <v>10</v>
      </c>
      <c r="E3361" t="s">
        <v>16</v>
      </c>
      <c r="F3361" t="s">
        <v>12</v>
      </c>
      <c r="G3361" t="s">
        <v>13</v>
      </c>
      <c r="H3361" t="s">
        <v>13</v>
      </c>
      <c r="I3361">
        <v>22</v>
      </c>
      <c r="J3361">
        <f>ABS((I3361-EDA!$A$15)/EDA!$B$15)</f>
        <v>1.4100662886840327</v>
      </c>
      <c r="K3361" t="str">
        <f t="shared" si="52"/>
        <v>No</v>
      </c>
      <c r="L3361">
        <f>ABS((C3361-EDA!$F$15)/EDA!$G$15)</f>
        <v>0.36650158395610966</v>
      </c>
      <c r="M3361" t="str">
        <f>IF(moras[[#This Row],[Z-Score Salario]]&gt;1.96, "Sí", "No")</f>
        <v>No</v>
      </c>
      <c r="N3361" s="14">
        <f>IF(ISBLANK(moras[[#This Row],[SALARIO]]), EDA!$M$8, moras[[#This Row],[SALARIO]])</f>
        <v>550000</v>
      </c>
      <c r="O3361" s="14">
        <f xml:space="preserve"> IF(ISBLANK(moras[[#This Row],[EDAD]]), EDA!$E$8, moras[[#This Row],[EDAD]])</f>
        <v>22</v>
      </c>
      <c r="P3361" s="14" t="str">
        <f>IF(
    OR(ISBLANK(moras[[#This Row],[TIPO_ASEGURAMIENTO]]), moras[[#This Row],[TIPO_ASEGURAMIENTO]]=""),
    EDA!$A$32,
    moras[[#This Row],[TIPO_ASEGURAMIENTO]]
)</f>
        <v>ASALARIADO</v>
      </c>
    </row>
    <row r="3362" spans="1:16" x14ac:dyDescent="0.3">
      <c r="A3362">
        <v>3361</v>
      </c>
      <c r="B3362" t="s">
        <v>15</v>
      </c>
      <c r="C3362">
        <v>141849889</v>
      </c>
      <c r="D3362" t="s">
        <v>10</v>
      </c>
      <c r="E3362" t="s">
        <v>16</v>
      </c>
      <c r="F3362" t="s">
        <v>12</v>
      </c>
      <c r="G3362" t="s">
        <v>13</v>
      </c>
      <c r="H3362" t="s">
        <v>13</v>
      </c>
      <c r="I3362">
        <v>48</v>
      </c>
      <c r="J3362">
        <f>ABS((I3362-EDA!$A$15)/EDA!$B$15)</f>
        <v>0.42489229332154227</v>
      </c>
      <c r="K3362" t="str">
        <f t="shared" si="52"/>
        <v>No</v>
      </c>
      <c r="L3362">
        <f>ABS((C3362-EDA!$F$15)/EDA!$G$15)</f>
        <v>1.9848283143189951</v>
      </c>
      <c r="M3362" t="str">
        <f>IF(moras[[#This Row],[Z-Score Salario]]&gt;1.96, "Sí", "No")</f>
        <v>Sí</v>
      </c>
      <c r="N3362" s="14">
        <f>IF(ISBLANK(moras[[#This Row],[SALARIO]]), EDA!$M$8, moras[[#This Row],[SALARIO]])</f>
        <v>141849889</v>
      </c>
      <c r="O3362" s="14">
        <f xml:space="preserve"> IF(ISBLANK(moras[[#This Row],[EDAD]]), EDA!$E$8, moras[[#This Row],[EDAD]])</f>
        <v>48</v>
      </c>
      <c r="P3362" s="14" t="str">
        <f>IF(
    OR(ISBLANK(moras[[#This Row],[TIPO_ASEGURAMIENTO]]), moras[[#This Row],[TIPO_ASEGURAMIENTO]]=""),
    EDA!$A$32,
    moras[[#This Row],[TIPO_ASEGURAMIENTO]]
)</f>
        <v>ASALARIADO</v>
      </c>
    </row>
    <row r="3363" spans="1:16" x14ac:dyDescent="0.3">
      <c r="A3363">
        <v>3362</v>
      </c>
      <c r="B3363" t="s">
        <v>9</v>
      </c>
      <c r="C3363">
        <v>24096206</v>
      </c>
      <c r="D3363" t="s">
        <v>10</v>
      </c>
      <c r="E3363" t="s">
        <v>11</v>
      </c>
      <c r="F3363" t="s">
        <v>12</v>
      </c>
      <c r="G3363" t="s">
        <v>13</v>
      </c>
      <c r="H3363" t="s">
        <v>13</v>
      </c>
      <c r="I3363">
        <v>52</v>
      </c>
      <c r="J3363">
        <f>ABS((I3363-EDA!$A$15)/EDA!$B$15)</f>
        <v>0.70719361363009237</v>
      </c>
      <c r="K3363" t="str">
        <f t="shared" si="52"/>
        <v>No</v>
      </c>
      <c r="L3363">
        <f>ABS((C3363-EDA!$F$15)/EDA!$G$15)</f>
        <v>2.5323905437902989E-2</v>
      </c>
      <c r="M3363" t="str">
        <f>IF(moras[[#This Row],[Z-Score Salario]]&gt;1.96, "Sí", "No")</f>
        <v>No</v>
      </c>
      <c r="N3363" s="14">
        <f>IF(ISBLANK(moras[[#This Row],[SALARIO]]), EDA!$M$8, moras[[#This Row],[SALARIO]])</f>
        <v>24096206</v>
      </c>
      <c r="O3363" s="14">
        <f xml:space="preserve"> IF(ISBLANK(moras[[#This Row],[EDAD]]), EDA!$E$8, moras[[#This Row],[EDAD]])</f>
        <v>52</v>
      </c>
      <c r="P3363" s="14" t="str">
        <f>IF(
    OR(ISBLANK(moras[[#This Row],[TIPO_ASEGURAMIENTO]]), moras[[#This Row],[TIPO_ASEGURAMIENTO]]=""),
    EDA!$A$32,
    moras[[#This Row],[TIPO_ASEGURAMIENTO]]
)</f>
        <v>ASALARIADO</v>
      </c>
    </row>
    <row r="3364" spans="1:16" x14ac:dyDescent="0.3">
      <c r="A3364">
        <v>3363</v>
      </c>
      <c r="B3364" t="s">
        <v>15</v>
      </c>
      <c r="C3364">
        <v>225000</v>
      </c>
      <c r="D3364" t="s">
        <v>10</v>
      </c>
      <c r="E3364" t="s">
        <v>16</v>
      </c>
      <c r="F3364" t="s">
        <v>12</v>
      </c>
      <c r="G3364" t="s">
        <v>13</v>
      </c>
      <c r="H3364" t="s">
        <v>13</v>
      </c>
      <c r="I3364">
        <v>36</v>
      </c>
      <c r="J3364">
        <f>ABS((I3364-EDA!$A$15)/EDA!$B$15)</f>
        <v>0.42201166760410774</v>
      </c>
      <c r="K3364" t="str">
        <f t="shared" si="52"/>
        <v>No</v>
      </c>
      <c r="L3364">
        <f>ABS((C3364-EDA!$F$15)/EDA!$G$15)</f>
        <v>0.37190981337757373</v>
      </c>
      <c r="M3364" t="str">
        <f>IF(moras[[#This Row],[Z-Score Salario]]&gt;1.96, "Sí", "No")</f>
        <v>No</v>
      </c>
      <c r="N3364" s="14">
        <f>IF(ISBLANK(moras[[#This Row],[SALARIO]]), EDA!$M$8, moras[[#This Row],[SALARIO]])</f>
        <v>225000</v>
      </c>
      <c r="O3364" s="14">
        <f xml:space="preserve"> IF(ISBLANK(moras[[#This Row],[EDAD]]), EDA!$E$8, moras[[#This Row],[EDAD]])</f>
        <v>36</v>
      </c>
      <c r="P3364" s="14" t="str">
        <f>IF(
    OR(ISBLANK(moras[[#This Row],[TIPO_ASEGURAMIENTO]]), moras[[#This Row],[TIPO_ASEGURAMIENTO]]=""),
    EDA!$A$32,
    moras[[#This Row],[TIPO_ASEGURAMIENTO]]
)</f>
        <v>ASALARIADO</v>
      </c>
    </row>
    <row r="3365" spans="1:16" x14ac:dyDescent="0.3">
      <c r="A3365">
        <v>3364</v>
      </c>
      <c r="B3365" t="s">
        <v>15</v>
      </c>
      <c r="C3365">
        <v>5781674</v>
      </c>
      <c r="D3365" t="s">
        <v>10</v>
      </c>
      <c r="E3365" t="s">
        <v>11</v>
      </c>
      <c r="F3365" t="s">
        <v>12</v>
      </c>
      <c r="G3365" t="s">
        <v>13</v>
      </c>
      <c r="H3365" t="s">
        <v>13</v>
      </c>
      <c r="I3365">
        <v>40</v>
      </c>
      <c r="J3365">
        <f>ABS((I3365-EDA!$A$15)/EDA!$B$15)</f>
        <v>0.13971034729555773</v>
      </c>
      <c r="K3365" t="str">
        <f t="shared" si="52"/>
        <v>No</v>
      </c>
      <c r="L3365">
        <f>ABS((C3365-EDA!$F$15)/EDA!$G$15)</f>
        <v>0.27944283549362142</v>
      </c>
      <c r="M3365" t="str">
        <f>IF(moras[[#This Row],[Z-Score Salario]]&gt;1.96, "Sí", "No")</f>
        <v>No</v>
      </c>
      <c r="N3365" s="14">
        <f>IF(ISBLANK(moras[[#This Row],[SALARIO]]), EDA!$M$8, moras[[#This Row],[SALARIO]])</f>
        <v>5781674</v>
      </c>
      <c r="O3365" s="14">
        <f xml:space="preserve"> IF(ISBLANK(moras[[#This Row],[EDAD]]), EDA!$E$8, moras[[#This Row],[EDAD]])</f>
        <v>40</v>
      </c>
      <c r="P3365" s="14" t="str">
        <f>IF(
    OR(ISBLANK(moras[[#This Row],[TIPO_ASEGURAMIENTO]]), moras[[#This Row],[TIPO_ASEGURAMIENTO]]=""),
    EDA!$A$32,
    moras[[#This Row],[TIPO_ASEGURAMIENTO]]
)</f>
        <v>ASALARIADO</v>
      </c>
    </row>
    <row r="3366" spans="1:16" x14ac:dyDescent="0.3">
      <c r="A3366">
        <v>3365</v>
      </c>
      <c r="B3366" t="s">
        <v>15</v>
      </c>
      <c r="C3366">
        <v>282305</v>
      </c>
      <c r="D3366" t="s">
        <v>17</v>
      </c>
      <c r="E3366" t="s">
        <v>16</v>
      </c>
      <c r="F3366" t="s">
        <v>13</v>
      </c>
      <c r="G3366" t="s">
        <v>13</v>
      </c>
      <c r="H3366" t="s">
        <v>13</v>
      </c>
      <c r="I3366">
        <v>65</v>
      </c>
      <c r="J3366">
        <f>ABS((I3366-EDA!$A$15)/EDA!$B$15)</f>
        <v>1.6246729046328798</v>
      </c>
      <c r="K3366" t="str">
        <f t="shared" si="52"/>
        <v>No</v>
      </c>
      <c r="L3366">
        <f>ABS((C3366-EDA!$F$15)/EDA!$G$15)</f>
        <v>0.37095621772527526</v>
      </c>
      <c r="M3366" t="str">
        <f>IF(moras[[#This Row],[Z-Score Salario]]&gt;1.96, "Sí", "No")</f>
        <v>No</v>
      </c>
      <c r="N3366" s="14">
        <f>IF(ISBLANK(moras[[#This Row],[SALARIO]]), EDA!$M$8, moras[[#This Row],[SALARIO]])</f>
        <v>282305</v>
      </c>
      <c r="O3366" s="14">
        <f xml:space="preserve"> IF(ISBLANK(moras[[#This Row],[EDAD]]), EDA!$E$8, moras[[#This Row],[EDAD]])</f>
        <v>65</v>
      </c>
      <c r="P3366" s="14" t="str">
        <f>IF(
    OR(ISBLANK(moras[[#This Row],[TIPO_ASEGURAMIENTO]]), moras[[#This Row],[TIPO_ASEGURAMIENTO]]=""),
    EDA!$A$32,
    moras[[#This Row],[TIPO_ASEGURAMIENTO]]
)</f>
        <v>ASEGURADO VOLUNTARIO</v>
      </c>
    </row>
    <row r="3367" spans="1:16" x14ac:dyDescent="0.3">
      <c r="A3367">
        <v>3366</v>
      </c>
      <c r="B3367" t="s">
        <v>15</v>
      </c>
      <c r="C3367">
        <v>58551947</v>
      </c>
      <c r="D3367" t="s">
        <v>10</v>
      </c>
      <c r="E3367" t="s">
        <v>11</v>
      </c>
      <c r="F3367" t="s">
        <v>12</v>
      </c>
      <c r="G3367" t="s">
        <v>13</v>
      </c>
      <c r="H3367" t="s">
        <v>13</v>
      </c>
      <c r="I3367">
        <v>54</v>
      </c>
      <c r="J3367">
        <f>ABS((I3367-EDA!$A$15)/EDA!$B$15)</f>
        <v>0.84834427378436728</v>
      </c>
      <c r="K3367" t="str">
        <f t="shared" si="52"/>
        <v>No</v>
      </c>
      <c r="L3367">
        <f>ABS((C3367-EDA!$F$15)/EDA!$G$15)</f>
        <v>0.59869175840573763</v>
      </c>
      <c r="M3367" t="str">
        <f>IF(moras[[#This Row],[Z-Score Salario]]&gt;1.96, "Sí", "No")</f>
        <v>No</v>
      </c>
      <c r="N3367" s="14">
        <f>IF(ISBLANK(moras[[#This Row],[SALARIO]]), EDA!$M$8, moras[[#This Row],[SALARIO]])</f>
        <v>58551947</v>
      </c>
      <c r="O3367" s="14">
        <f xml:space="preserve"> IF(ISBLANK(moras[[#This Row],[EDAD]]), EDA!$E$8, moras[[#This Row],[EDAD]])</f>
        <v>54</v>
      </c>
      <c r="P3367" s="14" t="str">
        <f>IF(
    OR(ISBLANK(moras[[#This Row],[TIPO_ASEGURAMIENTO]]), moras[[#This Row],[TIPO_ASEGURAMIENTO]]=""),
    EDA!$A$32,
    moras[[#This Row],[TIPO_ASEGURAMIENTO]]
)</f>
        <v>ASALARIADO</v>
      </c>
    </row>
    <row r="3368" spans="1:16" x14ac:dyDescent="0.3">
      <c r="A3368">
        <v>3367</v>
      </c>
      <c r="B3368" t="s">
        <v>9</v>
      </c>
      <c r="C3368">
        <v>47720699</v>
      </c>
      <c r="D3368" t="s">
        <v>10</v>
      </c>
      <c r="E3368" t="s">
        <v>16</v>
      </c>
      <c r="F3368" t="s">
        <v>12</v>
      </c>
      <c r="G3368" t="s">
        <v>13</v>
      </c>
      <c r="H3368" t="s">
        <v>13</v>
      </c>
      <c r="I3368">
        <v>27</v>
      </c>
      <c r="J3368">
        <f>ABS((I3368-EDA!$A$15)/EDA!$B$15)</f>
        <v>1.0571896382983452</v>
      </c>
      <c r="K3368" t="str">
        <f t="shared" si="52"/>
        <v>No</v>
      </c>
      <c r="L3368">
        <f>ABS((C3368-EDA!$F$15)/EDA!$G$15)</f>
        <v>0.41845214577566381</v>
      </c>
      <c r="M3368" t="str">
        <f>IF(moras[[#This Row],[Z-Score Salario]]&gt;1.96, "Sí", "No")</f>
        <v>No</v>
      </c>
      <c r="N3368" s="14">
        <f>IF(ISBLANK(moras[[#This Row],[SALARIO]]), EDA!$M$8, moras[[#This Row],[SALARIO]])</f>
        <v>47720699</v>
      </c>
      <c r="O3368" s="14">
        <f xml:space="preserve"> IF(ISBLANK(moras[[#This Row],[EDAD]]), EDA!$E$8, moras[[#This Row],[EDAD]])</f>
        <v>27</v>
      </c>
      <c r="P3368" s="14" t="str">
        <f>IF(
    OR(ISBLANK(moras[[#This Row],[TIPO_ASEGURAMIENTO]]), moras[[#This Row],[TIPO_ASEGURAMIENTO]]=""),
    EDA!$A$32,
    moras[[#This Row],[TIPO_ASEGURAMIENTO]]
)</f>
        <v>ASALARIADO</v>
      </c>
    </row>
    <row r="3369" spans="1:16" x14ac:dyDescent="0.3">
      <c r="A3369">
        <v>3368</v>
      </c>
      <c r="B3369" t="s">
        <v>15</v>
      </c>
      <c r="C3369">
        <v>36674015</v>
      </c>
      <c r="D3369" t="s">
        <v>10</v>
      </c>
      <c r="E3369" t="s">
        <v>16</v>
      </c>
      <c r="F3369" t="s">
        <v>12</v>
      </c>
      <c r="G3369" t="s">
        <v>13</v>
      </c>
      <c r="H3369" t="s">
        <v>13</v>
      </c>
      <c r="I3369">
        <v>37</v>
      </c>
      <c r="J3369">
        <f>ABS((I3369-EDA!$A$15)/EDA!$B$15)</f>
        <v>0.35143633752697023</v>
      </c>
      <c r="K3369" t="str">
        <f t="shared" si="52"/>
        <v>No</v>
      </c>
      <c r="L3369">
        <f>ABS((C3369-EDA!$F$15)/EDA!$G$15)</f>
        <v>0.23462752602668985</v>
      </c>
      <c r="M3369" t="str">
        <f>IF(moras[[#This Row],[Z-Score Salario]]&gt;1.96, "Sí", "No")</f>
        <v>No</v>
      </c>
      <c r="N3369" s="14">
        <f>IF(ISBLANK(moras[[#This Row],[SALARIO]]), EDA!$M$8, moras[[#This Row],[SALARIO]])</f>
        <v>36674015</v>
      </c>
      <c r="O3369" s="14">
        <f xml:space="preserve"> IF(ISBLANK(moras[[#This Row],[EDAD]]), EDA!$E$8, moras[[#This Row],[EDAD]])</f>
        <v>37</v>
      </c>
      <c r="P3369" s="14" t="str">
        <f>IF(
    OR(ISBLANK(moras[[#This Row],[TIPO_ASEGURAMIENTO]]), moras[[#This Row],[TIPO_ASEGURAMIENTO]]=""),
    EDA!$A$32,
    moras[[#This Row],[TIPO_ASEGURAMIENTO]]
)</f>
        <v>ASALARIADO</v>
      </c>
    </row>
    <row r="3370" spans="1:16" x14ac:dyDescent="0.3">
      <c r="A3370">
        <v>3369</v>
      </c>
      <c r="B3370" t="s">
        <v>15</v>
      </c>
      <c r="C3370">
        <v>297045</v>
      </c>
      <c r="D3370" t="s">
        <v>17</v>
      </c>
      <c r="E3370" t="s">
        <v>16</v>
      </c>
      <c r="F3370" t="s">
        <v>12</v>
      </c>
      <c r="G3370" t="s">
        <v>13</v>
      </c>
      <c r="H3370" t="s">
        <v>13</v>
      </c>
      <c r="I3370">
        <v>29</v>
      </c>
      <c r="J3370">
        <f>ABS((I3370-EDA!$A$15)/EDA!$B$15)</f>
        <v>0.91603897814407031</v>
      </c>
      <c r="K3370" t="str">
        <f t="shared" si="52"/>
        <v>No</v>
      </c>
      <c r="L3370">
        <f>ABS((C3370-EDA!$F$15)/EDA!$G$15)</f>
        <v>0.37071093372012948</v>
      </c>
      <c r="M3370" t="str">
        <f>IF(moras[[#This Row],[Z-Score Salario]]&gt;1.96, "Sí", "No")</f>
        <v>No</v>
      </c>
      <c r="N3370" s="14">
        <f>IF(ISBLANK(moras[[#This Row],[SALARIO]]), EDA!$M$8, moras[[#This Row],[SALARIO]])</f>
        <v>297045</v>
      </c>
      <c r="O3370" s="14">
        <f xml:space="preserve"> IF(ISBLANK(moras[[#This Row],[EDAD]]), EDA!$E$8, moras[[#This Row],[EDAD]])</f>
        <v>29</v>
      </c>
      <c r="P3370" s="14" t="str">
        <f>IF(
    OR(ISBLANK(moras[[#This Row],[TIPO_ASEGURAMIENTO]]), moras[[#This Row],[TIPO_ASEGURAMIENTO]]=""),
    EDA!$A$32,
    moras[[#This Row],[TIPO_ASEGURAMIENTO]]
)</f>
        <v>ASEGURADO VOLUNTARIO</v>
      </c>
    </row>
    <row r="3371" spans="1:16" x14ac:dyDescent="0.3">
      <c r="A3371">
        <v>3370</v>
      </c>
      <c r="B3371" t="s">
        <v>15</v>
      </c>
      <c r="C3371">
        <v>375728</v>
      </c>
      <c r="D3371" t="s">
        <v>10</v>
      </c>
      <c r="E3371" t="s">
        <v>16</v>
      </c>
      <c r="F3371" t="s">
        <v>12</v>
      </c>
      <c r="G3371" t="s">
        <v>12</v>
      </c>
      <c r="H3371" t="s">
        <v>13</v>
      </c>
      <c r="I3371">
        <v>41</v>
      </c>
      <c r="J3371">
        <f>ABS((I3371-EDA!$A$15)/EDA!$B$15)</f>
        <v>6.9135017218420233E-2</v>
      </c>
      <c r="K3371" t="str">
        <f t="shared" si="52"/>
        <v>No</v>
      </c>
      <c r="L3371">
        <f>ABS((C3371-EDA!$F$15)/EDA!$G$15)</f>
        <v>0.36940159305684006</v>
      </c>
      <c r="M3371" t="str">
        <f>IF(moras[[#This Row],[Z-Score Salario]]&gt;1.96, "Sí", "No")</f>
        <v>No</v>
      </c>
      <c r="N3371" s="14">
        <f>IF(ISBLANK(moras[[#This Row],[SALARIO]]), EDA!$M$8, moras[[#This Row],[SALARIO]])</f>
        <v>375728</v>
      </c>
      <c r="O3371" s="14">
        <f xml:space="preserve"> IF(ISBLANK(moras[[#This Row],[EDAD]]), EDA!$E$8, moras[[#This Row],[EDAD]])</f>
        <v>41</v>
      </c>
      <c r="P3371" s="14" t="str">
        <f>IF(
    OR(ISBLANK(moras[[#This Row],[TIPO_ASEGURAMIENTO]]), moras[[#This Row],[TIPO_ASEGURAMIENTO]]=""),
    EDA!$A$32,
    moras[[#This Row],[TIPO_ASEGURAMIENTO]]
)</f>
        <v>ASALARIADO</v>
      </c>
    </row>
    <row r="3372" spans="1:16" x14ac:dyDescent="0.3">
      <c r="A3372">
        <v>3371</v>
      </c>
      <c r="B3372" t="s">
        <v>9</v>
      </c>
      <c r="C3372">
        <v>54128699</v>
      </c>
      <c r="D3372" t="s">
        <v>10</v>
      </c>
      <c r="E3372" t="s">
        <v>16</v>
      </c>
      <c r="F3372" t="s">
        <v>12</v>
      </c>
      <c r="G3372" t="s">
        <v>13</v>
      </c>
      <c r="H3372" t="s">
        <v>13</v>
      </c>
      <c r="I3372">
        <v>38</v>
      </c>
      <c r="J3372">
        <f>ABS((I3372-EDA!$A$15)/EDA!$B$15)</f>
        <v>0.28086100744983278</v>
      </c>
      <c r="K3372" t="str">
        <f t="shared" si="52"/>
        <v>No</v>
      </c>
      <c r="L3372">
        <f>ABS((C3372-EDA!$F$15)/EDA!$G$15)</f>
        <v>0.52508578926102334</v>
      </c>
      <c r="M3372" t="str">
        <f>IF(moras[[#This Row],[Z-Score Salario]]&gt;1.96, "Sí", "No")</f>
        <v>No</v>
      </c>
      <c r="N3372" s="14">
        <f>IF(ISBLANK(moras[[#This Row],[SALARIO]]), EDA!$M$8, moras[[#This Row],[SALARIO]])</f>
        <v>54128699</v>
      </c>
      <c r="O3372" s="14">
        <f xml:space="preserve"> IF(ISBLANK(moras[[#This Row],[EDAD]]), EDA!$E$8, moras[[#This Row],[EDAD]])</f>
        <v>38</v>
      </c>
      <c r="P3372" s="14" t="str">
        <f>IF(
    OR(ISBLANK(moras[[#This Row],[TIPO_ASEGURAMIENTO]]), moras[[#This Row],[TIPO_ASEGURAMIENTO]]=""),
    EDA!$A$32,
    moras[[#This Row],[TIPO_ASEGURAMIENTO]]
)</f>
        <v>ASALARIADO</v>
      </c>
    </row>
    <row r="3373" spans="1:16" x14ac:dyDescent="0.3">
      <c r="A3373">
        <v>3372</v>
      </c>
      <c r="B3373" t="s">
        <v>9</v>
      </c>
      <c r="C3373">
        <v>1486779</v>
      </c>
      <c r="D3373" t="s">
        <v>14</v>
      </c>
      <c r="E3373" t="s">
        <v>11</v>
      </c>
      <c r="F3373" t="s">
        <v>12</v>
      </c>
      <c r="G3373" t="s">
        <v>13</v>
      </c>
      <c r="H3373" t="s">
        <v>13</v>
      </c>
      <c r="I3373">
        <v>60</v>
      </c>
      <c r="J3373">
        <f>ABS((I3373-EDA!$A$15)/EDA!$B$15)</f>
        <v>1.2717962542471923</v>
      </c>
      <c r="K3373" t="str">
        <f t="shared" si="52"/>
        <v>No</v>
      </c>
      <c r="L3373">
        <f>ABS((C3373-EDA!$F$15)/EDA!$G$15)</f>
        <v>0.35091292011238751</v>
      </c>
      <c r="M3373" t="str">
        <f>IF(moras[[#This Row],[Z-Score Salario]]&gt;1.96, "Sí", "No")</f>
        <v>No</v>
      </c>
      <c r="N3373" s="14">
        <f>IF(ISBLANK(moras[[#This Row],[SALARIO]]), EDA!$M$8, moras[[#This Row],[SALARIO]])</f>
        <v>1486779</v>
      </c>
      <c r="O3373" s="14">
        <f xml:space="preserve"> IF(ISBLANK(moras[[#This Row],[EDAD]]), EDA!$E$8, moras[[#This Row],[EDAD]])</f>
        <v>60</v>
      </c>
      <c r="P3373" s="14" t="str">
        <f>IF(
    OR(ISBLANK(moras[[#This Row],[TIPO_ASEGURAMIENTO]]), moras[[#This Row],[TIPO_ASEGURAMIENTO]]=""),
    EDA!$A$32,
    moras[[#This Row],[TIPO_ASEGURAMIENTO]]
)</f>
        <v>PENSIONADOS EN SU PROPIO SISTEMA</v>
      </c>
    </row>
    <row r="3374" spans="1:16" x14ac:dyDescent="0.3">
      <c r="A3374">
        <v>3373</v>
      </c>
      <c r="B3374" t="s">
        <v>15</v>
      </c>
      <c r="C3374">
        <v>297045</v>
      </c>
      <c r="D3374" t="s">
        <v>17</v>
      </c>
      <c r="E3374" t="s">
        <v>16</v>
      </c>
      <c r="F3374" t="s">
        <v>12</v>
      </c>
      <c r="G3374" t="s">
        <v>13</v>
      </c>
      <c r="H3374" t="s">
        <v>13</v>
      </c>
      <c r="I3374">
        <v>62</v>
      </c>
      <c r="J3374">
        <f>ABS((I3374-EDA!$A$15)/EDA!$B$15)</f>
        <v>1.4129469144014672</v>
      </c>
      <c r="K3374" t="str">
        <f t="shared" si="52"/>
        <v>No</v>
      </c>
      <c r="L3374">
        <f>ABS((C3374-EDA!$F$15)/EDA!$G$15)</f>
        <v>0.37071093372012948</v>
      </c>
      <c r="M3374" t="str">
        <f>IF(moras[[#This Row],[Z-Score Salario]]&gt;1.96, "Sí", "No")</f>
        <v>No</v>
      </c>
      <c r="N3374" s="14">
        <f>IF(ISBLANK(moras[[#This Row],[SALARIO]]), EDA!$M$8, moras[[#This Row],[SALARIO]])</f>
        <v>297045</v>
      </c>
      <c r="O3374" s="14">
        <f xml:space="preserve"> IF(ISBLANK(moras[[#This Row],[EDAD]]), EDA!$E$8, moras[[#This Row],[EDAD]])</f>
        <v>62</v>
      </c>
      <c r="P3374" s="14" t="str">
        <f>IF(
    OR(ISBLANK(moras[[#This Row],[TIPO_ASEGURAMIENTO]]), moras[[#This Row],[TIPO_ASEGURAMIENTO]]=""),
    EDA!$A$32,
    moras[[#This Row],[TIPO_ASEGURAMIENTO]]
)</f>
        <v>ASEGURADO VOLUNTARIO</v>
      </c>
    </row>
    <row r="3375" spans="1:16" x14ac:dyDescent="0.3">
      <c r="A3375">
        <v>3374</v>
      </c>
      <c r="B3375" t="s">
        <v>9</v>
      </c>
      <c r="C3375">
        <v>297046</v>
      </c>
      <c r="D3375" t="s">
        <v>17</v>
      </c>
      <c r="E3375" t="s">
        <v>16</v>
      </c>
      <c r="F3375" t="s">
        <v>12</v>
      </c>
      <c r="G3375" t="s">
        <v>12</v>
      </c>
      <c r="H3375" t="s">
        <v>13</v>
      </c>
      <c r="I3375">
        <v>38</v>
      </c>
      <c r="J3375">
        <f>ABS((I3375-EDA!$A$15)/EDA!$B$15)</f>
        <v>0.28086100744983278</v>
      </c>
      <c r="K3375" t="str">
        <f t="shared" si="52"/>
        <v>No</v>
      </c>
      <c r="L3375">
        <f>ABS((C3375-EDA!$F$15)/EDA!$G$15)</f>
        <v>0.37071091707942361</v>
      </c>
      <c r="M3375" t="str">
        <f>IF(moras[[#This Row],[Z-Score Salario]]&gt;1.96, "Sí", "No")</f>
        <v>No</v>
      </c>
      <c r="N3375" s="14">
        <f>IF(ISBLANK(moras[[#This Row],[SALARIO]]), EDA!$M$8, moras[[#This Row],[SALARIO]])</f>
        <v>297046</v>
      </c>
      <c r="O3375" s="14">
        <f xml:space="preserve"> IF(ISBLANK(moras[[#This Row],[EDAD]]), EDA!$E$8, moras[[#This Row],[EDAD]])</f>
        <v>38</v>
      </c>
      <c r="P3375" s="14" t="str">
        <f>IF(
    OR(ISBLANK(moras[[#This Row],[TIPO_ASEGURAMIENTO]]), moras[[#This Row],[TIPO_ASEGURAMIENTO]]=""),
    EDA!$A$32,
    moras[[#This Row],[TIPO_ASEGURAMIENTO]]
)</f>
        <v>ASEGURADO VOLUNTARIO</v>
      </c>
    </row>
    <row r="3376" spans="1:16" x14ac:dyDescent="0.3">
      <c r="A3376">
        <v>3375</v>
      </c>
      <c r="B3376" t="s">
        <v>15</v>
      </c>
      <c r="C3376">
        <v>557319</v>
      </c>
      <c r="D3376" t="s">
        <v>18</v>
      </c>
      <c r="E3376" t="s">
        <v>16</v>
      </c>
      <c r="F3376" t="s">
        <v>12</v>
      </c>
      <c r="G3376" t="s">
        <v>13</v>
      </c>
      <c r="H3376" t="s">
        <v>13</v>
      </c>
      <c r="I3376">
        <v>57</v>
      </c>
      <c r="J3376">
        <f>ABS((I3376-EDA!$A$15)/EDA!$B$15)</f>
        <v>1.0600702640157798</v>
      </c>
      <c r="K3376" t="str">
        <f t="shared" si="52"/>
        <v>No</v>
      </c>
      <c r="L3376">
        <f>ABS((C3376-EDA!$F$15)/EDA!$G$15)</f>
        <v>0.36637979062953829</v>
      </c>
      <c r="M3376" t="str">
        <f>IF(moras[[#This Row],[Z-Score Salario]]&gt;1.96, "Sí", "No")</f>
        <v>No</v>
      </c>
      <c r="N3376" s="14">
        <f>IF(ISBLANK(moras[[#This Row],[SALARIO]]), EDA!$M$8, moras[[#This Row],[SALARIO]])</f>
        <v>557319</v>
      </c>
      <c r="O3376" s="14">
        <f xml:space="preserve"> IF(ISBLANK(moras[[#This Row],[EDAD]]), EDA!$E$8, moras[[#This Row],[EDAD]])</f>
        <v>57</v>
      </c>
      <c r="P3376" s="14" t="str">
        <f>IF(
    OR(ISBLANK(moras[[#This Row],[TIPO_ASEGURAMIENTO]]), moras[[#This Row],[TIPO_ASEGURAMIENTO]]=""),
    EDA!$A$32,
    moras[[#This Row],[TIPO_ASEGURAMIENTO]]
)</f>
        <v>TRABAJADOR INDEPENDIENTE</v>
      </c>
    </row>
    <row r="3377" spans="1:16" x14ac:dyDescent="0.3">
      <c r="A3377">
        <v>3376</v>
      </c>
      <c r="B3377" t="s">
        <v>9</v>
      </c>
      <c r="C3377">
        <v>8335921</v>
      </c>
      <c r="D3377" t="s">
        <v>10</v>
      </c>
      <c r="E3377" t="s">
        <v>11</v>
      </c>
      <c r="F3377" t="s">
        <v>12</v>
      </c>
      <c r="G3377" t="s">
        <v>13</v>
      </c>
      <c r="H3377" t="s">
        <v>13</v>
      </c>
      <c r="I3377">
        <v>31</v>
      </c>
      <c r="J3377">
        <f>ABS((I3377-EDA!$A$15)/EDA!$B$15)</f>
        <v>0.77488831798979529</v>
      </c>
      <c r="K3377" t="str">
        <f t="shared" si="52"/>
        <v>No</v>
      </c>
      <c r="L3377">
        <f>ABS((C3377-EDA!$F$15)/EDA!$G$15)</f>
        <v>0.23693836233950949</v>
      </c>
      <c r="M3377" t="str">
        <f>IF(moras[[#This Row],[Z-Score Salario]]&gt;1.96, "Sí", "No")</f>
        <v>No</v>
      </c>
      <c r="N3377" s="14">
        <f>IF(ISBLANK(moras[[#This Row],[SALARIO]]), EDA!$M$8, moras[[#This Row],[SALARIO]])</f>
        <v>8335921</v>
      </c>
      <c r="O3377" s="14">
        <f xml:space="preserve"> IF(ISBLANK(moras[[#This Row],[EDAD]]), EDA!$E$8, moras[[#This Row],[EDAD]])</f>
        <v>31</v>
      </c>
      <c r="P3377" s="14" t="str">
        <f>IF(
    OR(ISBLANK(moras[[#This Row],[TIPO_ASEGURAMIENTO]]), moras[[#This Row],[TIPO_ASEGURAMIENTO]]=""),
    EDA!$A$32,
    moras[[#This Row],[TIPO_ASEGURAMIENTO]]
)</f>
        <v>ASALARIADO</v>
      </c>
    </row>
    <row r="3378" spans="1:16" x14ac:dyDescent="0.3">
      <c r="A3378">
        <v>3377</v>
      </c>
      <c r="B3378" t="s">
        <v>9</v>
      </c>
      <c r="C3378">
        <v>297950</v>
      </c>
      <c r="D3378" t="s">
        <v>19</v>
      </c>
      <c r="E3378" t="s">
        <v>16</v>
      </c>
      <c r="F3378" t="s">
        <v>12</v>
      </c>
      <c r="G3378" t="s">
        <v>13</v>
      </c>
      <c r="H3378" t="s">
        <v>13</v>
      </c>
      <c r="I3378">
        <v>44</v>
      </c>
      <c r="J3378">
        <f>ABS((I3378-EDA!$A$15)/EDA!$B$15)</f>
        <v>0.14259097301299228</v>
      </c>
      <c r="K3378" t="str">
        <f t="shared" si="52"/>
        <v>No</v>
      </c>
      <c r="L3378">
        <f>ABS((C3378-EDA!$F$15)/EDA!$G$15)</f>
        <v>0.37069587388127895</v>
      </c>
      <c r="M3378" t="str">
        <f>IF(moras[[#This Row],[Z-Score Salario]]&gt;1.96, "Sí", "No")</f>
        <v>No</v>
      </c>
      <c r="N3378" s="14">
        <f>IF(ISBLANK(moras[[#This Row],[SALARIO]]), EDA!$M$8, moras[[#This Row],[SALARIO]])</f>
        <v>297950</v>
      </c>
      <c r="O3378" s="14">
        <f xml:space="preserve"> IF(ISBLANK(moras[[#This Row],[EDAD]]), EDA!$E$8, moras[[#This Row],[EDAD]])</f>
        <v>44</v>
      </c>
      <c r="P3378" s="14" t="str">
        <f>IF(
    OR(ISBLANK(moras[[#This Row],[TIPO_ASEGURAMIENTO]]), moras[[#This Row],[TIPO_ASEGURAMIENTO]]=""),
    EDA!$A$32,
    moras[[#This Row],[TIPO_ASEGURAMIENTO]]
)</f>
        <v>CONVENIOS ESPECIALES DE TRABAJADORES INDEPENDIENTES</v>
      </c>
    </row>
    <row r="3379" spans="1:16" x14ac:dyDescent="0.3">
      <c r="A3379">
        <v>3378</v>
      </c>
      <c r="B3379" t="s">
        <v>9</v>
      </c>
      <c r="C3379">
        <v>356455</v>
      </c>
      <c r="D3379" t="s">
        <v>18</v>
      </c>
      <c r="E3379" t="s">
        <v>16</v>
      </c>
      <c r="F3379" t="s">
        <v>12</v>
      </c>
      <c r="G3379" t="s">
        <v>13</v>
      </c>
      <c r="H3379" t="s">
        <v>12</v>
      </c>
      <c r="I3379">
        <v>40</v>
      </c>
      <c r="J3379">
        <f>ABS((I3379-EDA!$A$15)/EDA!$B$15)</f>
        <v>0.13971034729555773</v>
      </c>
      <c r="K3379" t="str">
        <f t="shared" si="52"/>
        <v>No</v>
      </c>
      <c r="L3379">
        <f>ABS((C3379-EDA!$F$15)/EDA!$G$15)</f>
        <v>0.36972230938188588</v>
      </c>
      <c r="M3379" t="str">
        <f>IF(moras[[#This Row],[Z-Score Salario]]&gt;1.96, "Sí", "No")</f>
        <v>No</v>
      </c>
      <c r="N3379" s="14">
        <f>IF(ISBLANK(moras[[#This Row],[SALARIO]]), EDA!$M$8, moras[[#This Row],[SALARIO]])</f>
        <v>356455</v>
      </c>
      <c r="O3379" s="14">
        <f xml:space="preserve"> IF(ISBLANK(moras[[#This Row],[EDAD]]), EDA!$E$8, moras[[#This Row],[EDAD]])</f>
        <v>40</v>
      </c>
      <c r="P3379" s="14" t="str">
        <f>IF(
    OR(ISBLANK(moras[[#This Row],[TIPO_ASEGURAMIENTO]]), moras[[#This Row],[TIPO_ASEGURAMIENTO]]=""),
    EDA!$A$32,
    moras[[#This Row],[TIPO_ASEGURAMIENTO]]
)</f>
        <v>TRABAJADOR INDEPENDIENTE</v>
      </c>
    </row>
    <row r="3380" spans="1:16" x14ac:dyDescent="0.3">
      <c r="A3380">
        <v>3379</v>
      </c>
      <c r="B3380" t="s">
        <v>9</v>
      </c>
      <c r="C3380">
        <v>30043855</v>
      </c>
      <c r="D3380" t="s">
        <v>10</v>
      </c>
      <c r="E3380" t="s">
        <v>16</v>
      </c>
      <c r="F3380" t="s">
        <v>12</v>
      </c>
      <c r="G3380" t="s">
        <v>13</v>
      </c>
      <c r="H3380" t="s">
        <v>13</v>
      </c>
      <c r="I3380">
        <v>19</v>
      </c>
      <c r="J3380">
        <f>ABS((I3380-EDA!$A$15)/EDA!$B$15)</f>
        <v>1.6217922789154453</v>
      </c>
      <c r="K3380" t="str">
        <f t="shared" si="52"/>
        <v>No</v>
      </c>
      <c r="L3380">
        <f>ABS((C3380-EDA!$F$15)/EDA!$G$15)</f>
        <v>0.12429698331587662</v>
      </c>
      <c r="M3380" t="str">
        <f>IF(moras[[#This Row],[Z-Score Salario]]&gt;1.96, "Sí", "No")</f>
        <v>No</v>
      </c>
      <c r="N3380" s="14">
        <f>IF(ISBLANK(moras[[#This Row],[SALARIO]]), EDA!$M$8, moras[[#This Row],[SALARIO]])</f>
        <v>30043855</v>
      </c>
      <c r="O3380" s="14">
        <f xml:space="preserve"> IF(ISBLANK(moras[[#This Row],[EDAD]]), EDA!$E$8, moras[[#This Row],[EDAD]])</f>
        <v>19</v>
      </c>
      <c r="P3380" s="14" t="str">
        <f>IF(
    OR(ISBLANK(moras[[#This Row],[TIPO_ASEGURAMIENTO]]), moras[[#This Row],[TIPO_ASEGURAMIENTO]]=""),
    EDA!$A$32,
    moras[[#This Row],[TIPO_ASEGURAMIENTO]]
)</f>
        <v>ASALARIADO</v>
      </c>
    </row>
    <row r="3381" spans="1:16" x14ac:dyDescent="0.3">
      <c r="A3381">
        <v>3380</v>
      </c>
      <c r="B3381" t="s">
        <v>15</v>
      </c>
      <c r="C3381">
        <v>278030</v>
      </c>
      <c r="D3381" t="s">
        <v>21</v>
      </c>
      <c r="E3381" t="s">
        <v>16</v>
      </c>
      <c r="F3381" t="s">
        <v>12</v>
      </c>
      <c r="G3381" t="s">
        <v>13</v>
      </c>
      <c r="H3381" t="s">
        <v>13</v>
      </c>
      <c r="I3381">
        <v>27</v>
      </c>
      <c r="J3381">
        <f>ABS((I3381-EDA!$A$15)/EDA!$B$15)</f>
        <v>1.0571896382983452</v>
      </c>
      <c r="K3381" t="str">
        <f t="shared" si="52"/>
        <v>No</v>
      </c>
      <c r="L3381">
        <f>ABS((C3381-EDA!$F$15)/EDA!$G$15)</f>
        <v>0.37102735674304993</v>
      </c>
      <c r="M3381" t="str">
        <f>IF(moras[[#This Row],[Z-Score Salario]]&gt;1.96, "Sí", "No")</f>
        <v>No</v>
      </c>
      <c r="N3381" s="14">
        <f>IF(ISBLANK(moras[[#This Row],[SALARIO]]), EDA!$M$8, moras[[#This Row],[SALARIO]])</f>
        <v>278030</v>
      </c>
      <c r="O3381" s="14">
        <f xml:space="preserve"> IF(ISBLANK(moras[[#This Row],[EDAD]]), EDA!$E$8, moras[[#This Row],[EDAD]])</f>
        <v>27</v>
      </c>
      <c r="P3381" s="14" t="str">
        <f>IF(
    OR(ISBLANK(moras[[#This Row],[TIPO_ASEGURAMIENTO]]), moras[[#This Row],[TIPO_ASEGURAMIENTO]]=""),
    EDA!$A$32,
    moras[[#This Row],[TIPO_ASEGURAMIENTO]]
)</f>
        <v>CONVENIOS ESPECIALES DE ASEGURADOS VOLUNTARIOS</v>
      </c>
    </row>
    <row r="3382" spans="1:16" x14ac:dyDescent="0.3">
      <c r="A3382">
        <v>3381</v>
      </c>
      <c r="B3382" t="s">
        <v>9</v>
      </c>
      <c r="C3382">
        <v>354166</v>
      </c>
      <c r="D3382" t="s">
        <v>10</v>
      </c>
      <c r="E3382" t="s">
        <v>16</v>
      </c>
      <c r="F3382" t="s">
        <v>12</v>
      </c>
      <c r="G3382" t="s">
        <v>13</v>
      </c>
      <c r="H3382" t="s">
        <v>13</v>
      </c>
      <c r="I3382">
        <v>25</v>
      </c>
      <c r="J3382">
        <f>ABS((I3382-EDA!$A$15)/EDA!$B$15)</f>
        <v>1.1983402984526204</v>
      </c>
      <c r="K3382" t="str">
        <f t="shared" si="52"/>
        <v>No</v>
      </c>
      <c r="L3382">
        <f>ABS((C3382-EDA!$F$15)/EDA!$G$15)</f>
        <v>0.36976039995771887</v>
      </c>
      <c r="M3382" t="str">
        <f>IF(moras[[#This Row],[Z-Score Salario]]&gt;1.96, "Sí", "No")</f>
        <v>No</v>
      </c>
      <c r="N3382" s="14">
        <f>IF(ISBLANK(moras[[#This Row],[SALARIO]]), EDA!$M$8, moras[[#This Row],[SALARIO]])</f>
        <v>354166</v>
      </c>
      <c r="O3382" s="14">
        <f xml:space="preserve"> IF(ISBLANK(moras[[#This Row],[EDAD]]), EDA!$E$8, moras[[#This Row],[EDAD]])</f>
        <v>25</v>
      </c>
      <c r="P3382" s="14" t="str">
        <f>IF(
    OR(ISBLANK(moras[[#This Row],[TIPO_ASEGURAMIENTO]]), moras[[#This Row],[TIPO_ASEGURAMIENTO]]=""),
    EDA!$A$32,
    moras[[#This Row],[TIPO_ASEGURAMIENTO]]
)</f>
        <v>ASALARIADO</v>
      </c>
    </row>
    <row r="3383" spans="1:16" x14ac:dyDescent="0.3">
      <c r="A3383">
        <v>3382</v>
      </c>
      <c r="B3383" t="s">
        <v>9</v>
      </c>
      <c r="C3383">
        <v>96385952</v>
      </c>
      <c r="D3383" t="s">
        <v>10</v>
      </c>
      <c r="E3383" t="s">
        <v>11</v>
      </c>
      <c r="F3383" t="s">
        <v>12</v>
      </c>
      <c r="G3383" t="s">
        <v>13</v>
      </c>
      <c r="H3383" t="s">
        <v>13</v>
      </c>
      <c r="I3383">
        <v>55</v>
      </c>
      <c r="J3383">
        <f>ABS((I3383-EDA!$A$15)/EDA!$B$15)</f>
        <v>0.91891960386150484</v>
      </c>
      <c r="K3383" t="str">
        <f t="shared" si="52"/>
        <v>No</v>
      </c>
      <c r="L3383">
        <f>ABS((C3383-EDA!$F$15)/EDA!$G$15)</f>
        <v>1.2282763090913351</v>
      </c>
      <c r="M3383" t="str">
        <f>IF(moras[[#This Row],[Z-Score Salario]]&gt;1.96, "Sí", "No")</f>
        <v>No</v>
      </c>
      <c r="N3383" s="14">
        <f>IF(ISBLANK(moras[[#This Row],[SALARIO]]), EDA!$M$8, moras[[#This Row],[SALARIO]])</f>
        <v>96385952</v>
      </c>
      <c r="O3383" s="14">
        <f xml:space="preserve"> IF(ISBLANK(moras[[#This Row],[EDAD]]), EDA!$E$8, moras[[#This Row],[EDAD]])</f>
        <v>55</v>
      </c>
      <c r="P3383" s="14" t="str">
        <f>IF(
    OR(ISBLANK(moras[[#This Row],[TIPO_ASEGURAMIENTO]]), moras[[#This Row],[TIPO_ASEGURAMIENTO]]=""),
    EDA!$A$32,
    moras[[#This Row],[TIPO_ASEGURAMIENTO]]
)</f>
        <v>ASALARIADO</v>
      </c>
    </row>
    <row r="3384" spans="1:16" x14ac:dyDescent="0.3">
      <c r="A3384">
        <v>3383</v>
      </c>
      <c r="B3384" t="s">
        <v>9</v>
      </c>
      <c r="C3384">
        <v>105796708</v>
      </c>
      <c r="D3384" t="s">
        <v>10</v>
      </c>
      <c r="E3384" t="s">
        <v>16</v>
      </c>
      <c r="F3384" t="s">
        <v>12</v>
      </c>
      <c r="G3384" t="s">
        <v>13</v>
      </c>
      <c r="H3384" t="s">
        <v>13</v>
      </c>
      <c r="I3384">
        <v>31</v>
      </c>
      <c r="J3384">
        <f>ABS((I3384-EDA!$A$15)/EDA!$B$15)</f>
        <v>0.77488831798979529</v>
      </c>
      <c r="K3384" t="str">
        <f t="shared" si="52"/>
        <v>No</v>
      </c>
      <c r="L3384">
        <f>ABS((C3384-EDA!$F$15)/EDA!$G$15)</f>
        <v>1.3848779320987801</v>
      </c>
      <c r="M3384" t="str">
        <f>IF(moras[[#This Row],[Z-Score Salario]]&gt;1.96, "Sí", "No")</f>
        <v>No</v>
      </c>
      <c r="N3384" s="14">
        <f>IF(ISBLANK(moras[[#This Row],[SALARIO]]), EDA!$M$8, moras[[#This Row],[SALARIO]])</f>
        <v>105796708</v>
      </c>
      <c r="O3384" s="14">
        <f xml:space="preserve"> IF(ISBLANK(moras[[#This Row],[EDAD]]), EDA!$E$8, moras[[#This Row],[EDAD]])</f>
        <v>31</v>
      </c>
      <c r="P3384" s="14" t="str">
        <f>IF(
    OR(ISBLANK(moras[[#This Row],[TIPO_ASEGURAMIENTO]]), moras[[#This Row],[TIPO_ASEGURAMIENTO]]=""),
    EDA!$A$32,
    moras[[#This Row],[TIPO_ASEGURAMIENTO]]
)</f>
        <v>ASALARIADO</v>
      </c>
    </row>
    <row r="3385" spans="1:16" x14ac:dyDescent="0.3">
      <c r="A3385">
        <v>3384</v>
      </c>
      <c r="B3385" t="s">
        <v>9</v>
      </c>
      <c r="C3385">
        <v>58623497</v>
      </c>
      <c r="D3385" t="s">
        <v>10</v>
      </c>
      <c r="E3385" t="s">
        <v>16</v>
      </c>
      <c r="F3385" t="s">
        <v>12</v>
      </c>
      <c r="G3385" t="s">
        <v>13</v>
      </c>
      <c r="H3385" t="s">
        <v>13</v>
      </c>
      <c r="I3385">
        <v>57</v>
      </c>
      <c r="J3385">
        <f>ABS((I3385-EDA!$A$15)/EDA!$B$15)</f>
        <v>1.0600702640157798</v>
      </c>
      <c r="K3385" t="str">
        <f t="shared" si="52"/>
        <v>No</v>
      </c>
      <c r="L3385">
        <f>ABS((C3385-EDA!$F$15)/EDA!$G$15)</f>
        <v>0.59988240091375533</v>
      </c>
      <c r="M3385" t="str">
        <f>IF(moras[[#This Row],[Z-Score Salario]]&gt;1.96, "Sí", "No")</f>
        <v>No</v>
      </c>
      <c r="N3385" s="14">
        <f>IF(ISBLANK(moras[[#This Row],[SALARIO]]), EDA!$M$8, moras[[#This Row],[SALARIO]])</f>
        <v>58623497</v>
      </c>
      <c r="O3385" s="14">
        <f xml:space="preserve"> IF(ISBLANK(moras[[#This Row],[EDAD]]), EDA!$E$8, moras[[#This Row],[EDAD]])</f>
        <v>57</v>
      </c>
      <c r="P3385" s="14" t="str">
        <f>IF(
    OR(ISBLANK(moras[[#This Row],[TIPO_ASEGURAMIENTO]]), moras[[#This Row],[TIPO_ASEGURAMIENTO]]=""),
    EDA!$A$32,
    moras[[#This Row],[TIPO_ASEGURAMIENTO]]
)</f>
        <v>ASALARIADO</v>
      </c>
    </row>
    <row r="3386" spans="1:16" x14ac:dyDescent="0.3">
      <c r="A3386">
        <v>3385</v>
      </c>
      <c r="B3386" t="s">
        <v>9</v>
      </c>
      <c r="C3386">
        <v>278030</v>
      </c>
      <c r="D3386" t="s">
        <v>19</v>
      </c>
      <c r="E3386" t="s">
        <v>16</v>
      </c>
      <c r="F3386" t="s">
        <v>12</v>
      </c>
      <c r="G3386" t="s">
        <v>13</v>
      </c>
      <c r="H3386" t="s">
        <v>13</v>
      </c>
      <c r="I3386">
        <v>29</v>
      </c>
      <c r="J3386">
        <f>ABS((I3386-EDA!$A$15)/EDA!$B$15)</f>
        <v>0.91603897814407031</v>
      </c>
      <c r="K3386" t="str">
        <f t="shared" si="52"/>
        <v>No</v>
      </c>
      <c r="L3386">
        <f>ABS((C3386-EDA!$F$15)/EDA!$G$15)</f>
        <v>0.37102735674304993</v>
      </c>
      <c r="M3386" t="str">
        <f>IF(moras[[#This Row],[Z-Score Salario]]&gt;1.96, "Sí", "No")</f>
        <v>No</v>
      </c>
      <c r="N3386" s="14">
        <f>IF(ISBLANK(moras[[#This Row],[SALARIO]]), EDA!$M$8, moras[[#This Row],[SALARIO]])</f>
        <v>278030</v>
      </c>
      <c r="O3386" s="14">
        <f xml:space="preserve"> IF(ISBLANK(moras[[#This Row],[EDAD]]), EDA!$E$8, moras[[#This Row],[EDAD]])</f>
        <v>29</v>
      </c>
      <c r="P3386" s="14" t="str">
        <f>IF(
    OR(ISBLANK(moras[[#This Row],[TIPO_ASEGURAMIENTO]]), moras[[#This Row],[TIPO_ASEGURAMIENTO]]=""),
    EDA!$A$32,
    moras[[#This Row],[TIPO_ASEGURAMIENTO]]
)</f>
        <v>CONVENIOS ESPECIALES DE TRABAJADORES INDEPENDIENTES</v>
      </c>
    </row>
    <row r="3387" spans="1:16" x14ac:dyDescent="0.3">
      <c r="A3387">
        <v>3386</v>
      </c>
      <c r="B3387" t="s">
        <v>9</v>
      </c>
      <c r="C3387">
        <v>399148</v>
      </c>
      <c r="D3387" t="s">
        <v>18</v>
      </c>
      <c r="E3387" t="s">
        <v>16</v>
      </c>
      <c r="F3387" t="s">
        <v>12</v>
      </c>
      <c r="G3387" t="s">
        <v>13</v>
      </c>
      <c r="H3387" t="s">
        <v>12</v>
      </c>
      <c r="I3387">
        <v>59</v>
      </c>
      <c r="J3387">
        <f>ABS((I3387-EDA!$A$15)/EDA!$B$15)</f>
        <v>1.2012209241700549</v>
      </c>
      <c r="K3387" t="str">
        <f t="shared" si="52"/>
        <v>No</v>
      </c>
      <c r="L3387">
        <f>ABS((C3387-EDA!$F$15)/EDA!$G$15)</f>
        <v>0.36901186772437644</v>
      </c>
      <c r="M3387" t="str">
        <f>IF(moras[[#This Row],[Z-Score Salario]]&gt;1.96, "Sí", "No")</f>
        <v>No</v>
      </c>
      <c r="N3387" s="14">
        <f>IF(ISBLANK(moras[[#This Row],[SALARIO]]), EDA!$M$8, moras[[#This Row],[SALARIO]])</f>
        <v>399148</v>
      </c>
      <c r="O3387" s="14">
        <f xml:space="preserve"> IF(ISBLANK(moras[[#This Row],[EDAD]]), EDA!$E$8, moras[[#This Row],[EDAD]])</f>
        <v>59</v>
      </c>
      <c r="P3387" s="14" t="str">
        <f>IF(
    OR(ISBLANK(moras[[#This Row],[TIPO_ASEGURAMIENTO]]), moras[[#This Row],[TIPO_ASEGURAMIENTO]]=""),
    EDA!$A$32,
    moras[[#This Row],[TIPO_ASEGURAMIENTO]]
)</f>
        <v>TRABAJADOR INDEPENDIENTE</v>
      </c>
    </row>
    <row r="3388" spans="1:16" x14ac:dyDescent="0.3">
      <c r="A3388">
        <v>3387</v>
      </c>
      <c r="B3388" t="s">
        <v>15</v>
      </c>
      <c r="C3388">
        <v>137792386</v>
      </c>
      <c r="D3388" t="s">
        <v>10</v>
      </c>
      <c r="E3388" t="s">
        <v>16</v>
      </c>
      <c r="F3388" t="s">
        <v>12</v>
      </c>
      <c r="G3388" t="s">
        <v>13</v>
      </c>
      <c r="H3388" t="s">
        <v>13</v>
      </c>
      <c r="I3388">
        <v>56</v>
      </c>
      <c r="J3388">
        <f>ABS((I3388-EDA!$A$15)/EDA!$B$15)</f>
        <v>0.9894949339386423</v>
      </c>
      <c r="K3388" t="str">
        <f t="shared" si="52"/>
        <v>No</v>
      </c>
      <c r="L3388">
        <f>ABS((C3388-EDA!$F$15)/EDA!$G$15)</f>
        <v>1.9173086001581374</v>
      </c>
      <c r="M3388" t="str">
        <f>IF(moras[[#This Row],[Z-Score Salario]]&gt;1.96, "Sí", "No")</f>
        <v>No</v>
      </c>
      <c r="N3388" s="14">
        <f>IF(ISBLANK(moras[[#This Row],[SALARIO]]), EDA!$M$8, moras[[#This Row],[SALARIO]])</f>
        <v>137792386</v>
      </c>
      <c r="O3388" s="14">
        <f xml:space="preserve"> IF(ISBLANK(moras[[#This Row],[EDAD]]), EDA!$E$8, moras[[#This Row],[EDAD]])</f>
        <v>56</v>
      </c>
      <c r="P3388" s="14" t="str">
        <f>IF(
    OR(ISBLANK(moras[[#This Row],[TIPO_ASEGURAMIENTO]]), moras[[#This Row],[TIPO_ASEGURAMIENTO]]=""),
    EDA!$A$32,
    moras[[#This Row],[TIPO_ASEGURAMIENTO]]
)</f>
        <v>ASALARIADO</v>
      </c>
    </row>
    <row r="3389" spans="1:16" x14ac:dyDescent="0.3">
      <c r="A3389">
        <v>3388</v>
      </c>
      <c r="B3389" t="s">
        <v>9</v>
      </c>
      <c r="C3389">
        <v>384000</v>
      </c>
      <c r="D3389" t="s">
        <v>10</v>
      </c>
      <c r="E3389" t="s">
        <v>16</v>
      </c>
      <c r="F3389" t="s">
        <v>12</v>
      </c>
      <c r="G3389" t="s">
        <v>13</v>
      </c>
      <c r="H3389" t="s">
        <v>12</v>
      </c>
      <c r="I3389">
        <v>43</v>
      </c>
      <c r="J3389">
        <f>ABS((I3389-EDA!$A$15)/EDA!$B$15)</f>
        <v>7.2015642935854773E-2</v>
      </c>
      <c r="K3389" t="str">
        <f t="shared" si="52"/>
        <v>No</v>
      </c>
      <c r="L3389">
        <f>ABS((C3389-EDA!$F$15)/EDA!$G$15)</f>
        <v>0.36926394113753441</v>
      </c>
      <c r="M3389" t="str">
        <f>IF(moras[[#This Row],[Z-Score Salario]]&gt;1.96, "Sí", "No")</f>
        <v>No</v>
      </c>
      <c r="N3389" s="14">
        <f>IF(ISBLANK(moras[[#This Row],[SALARIO]]), EDA!$M$8, moras[[#This Row],[SALARIO]])</f>
        <v>384000</v>
      </c>
      <c r="O3389" s="14">
        <f xml:space="preserve"> IF(ISBLANK(moras[[#This Row],[EDAD]]), EDA!$E$8, moras[[#This Row],[EDAD]])</f>
        <v>43</v>
      </c>
      <c r="P3389" s="14" t="str">
        <f>IF(
    OR(ISBLANK(moras[[#This Row],[TIPO_ASEGURAMIENTO]]), moras[[#This Row],[TIPO_ASEGURAMIENTO]]=""),
    EDA!$A$32,
    moras[[#This Row],[TIPO_ASEGURAMIENTO]]
)</f>
        <v>ASALARIADO</v>
      </c>
    </row>
    <row r="3390" spans="1:16" x14ac:dyDescent="0.3">
      <c r="A3390">
        <v>3389</v>
      </c>
      <c r="B3390" t="s">
        <v>9</v>
      </c>
      <c r="C3390">
        <v>641830</v>
      </c>
      <c r="D3390" t="s">
        <v>10</v>
      </c>
      <c r="E3390" t="s">
        <v>16</v>
      </c>
      <c r="F3390" t="s">
        <v>12</v>
      </c>
      <c r="G3390" t="s">
        <v>13</v>
      </c>
      <c r="H3390" t="s">
        <v>13</v>
      </c>
      <c r="I3390">
        <v>50</v>
      </c>
      <c r="J3390">
        <f>ABS((I3390-EDA!$A$15)/EDA!$B$15)</f>
        <v>0.56604295347581735</v>
      </c>
      <c r="K3390" t="str">
        <f t="shared" si="52"/>
        <v>No</v>
      </c>
      <c r="L3390">
        <f>ABS((C3390-EDA!$F$15)/EDA!$G$15)</f>
        <v>0.3649734679321926</v>
      </c>
      <c r="M3390" t="str">
        <f>IF(moras[[#This Row],[Z-Score Salario]]&gt;1.96, "Sí", "No")</f>
        <v>No</v>
      </c>
      <c r="N3390" s="14">
        <f>IF(ISBLANK(moras[[#This Row],[SALARIO]]), EDA!$M$8, moras[[#This Row],[SALARIO]])</f>
        <v>641830</v>
      </c>
      <c r="O3390" s="14">
        <f xml:space="preserve"> IF(ISBLANK(moras[[#This Row],[EDAD]]), EDA!$E$8, moras[[#This Row],[EDAD]])</f>
        <v>50</v>
      </c>
      <c r="P3390" s="14" t="str">
        <f>IF(
    OR(ISBLANK(moras[[#This Row],[TIPO_ASEGURAMIENTO]]), moras[[#This Row],[TIPO_ASEGURAMIENTO]]=""),
    EDA!$A$32,
    moras[[#This Row],[TIPO_ASEGURAMIENTO]]
)</f>
        <v>ASALARIADO</v>
      </c>
    </row>
    <row r="3391" spans="1:16" x14ac:dyDescent="0.3">
      <c r="A3391">
        <v>3390</v>
      </c>
      <c r="B3391" t="s">
        <v>9</v>
      </c>
      <c r="C3391">
        <v>46768051</v>
      </c>
      <c r="D3391" t="s">
        <v>10</v>
      </c>
      <c r="E3391" t="s">
        <v>16</v>
      </c>
      <c r="F3391" t="s">
        <v>12</v>
      </c>
      <c r="G3391" t="s">
        <v>12</v>
      </c>
      <c r="H3391" t="s">
        <v>13</v>
      </c>
      <c r="I3391">
        <v>31</v>
      </c>
      <c r="J3391">
        <f>ABS((I3391-EDA!$A$15)/EDA!$B$15)</f>
        <v>0.77488831798979529</v>
      </c>
      <c r="K3391" t="str">
        <f t="shared" si="52"/>
        <v>No</v>
      </c>
      <c r="L3391">
        <f>ABS((C3391-EDA!$F$15)/EDA!$G$15)</f>
        <v>0.40259941056982101</v>
      </c>
      <c r="M3391" t="str">
        <f>IF(moras[[#This Row],[Z-Score Salario]]&gt;1.96, "Sí", "No")</f>
        <v>No</v>
      </c>
      <c r="N3391" s="14">
        <f>IF(ISBLANK(moras[[#This Row],[SALARIO]]), EDA!$M$8, moras[[#This Row],[SALARIO]])</f>
        <v>46768051</v>
      </c>
      <c r="O3391" s="14">
        <f xml:space="preserve"> IF(ISBLANK(moras[[#This Row],[EDAD]]), EDA!$E$8, moras[[#This Row],[EDAD]])</f>
        <v>31</v>
      </c>
      <c r="P3391" s="14" t="str">
        <f>IF(
    OR(ISBLANK(moras[[#This Row],[TIPO_ASEGURAMIENTO]]), moras[[#This Row],[TIPO_ASEGURAMIENTO]]=""),
    EDA!$A$32,
    moras[[#This Row],[TIPO_ASEGURAMIENTO]]
)</f>
        <v>ASALARIADO</v>
      </c>
    </row>
    <row r="3392" spans="1:16" x14ac:dyDescent="0.3">
      <c r="A3392">
        <v>3391</v>
      </c>
      <c r="B3392" t="s">
        <v>9</v>
      </c>
      <c r="C3392">
        <v>572881</v>
      </c>
      <c r="D3392" t="s">
        <v>10</v>
      </c>
      <c r="E3392" t="s">
        <v>16</v>
      </c>
      <c r="F3392" t="s">
        <v>12</v>
      </c>
      <c r="G3392" t="s">
        <v>13</v>
      </c>
      <c r="H3392" t="s">
        <v>13</v>
      </c>
      <c r="I3392">
        <v>27</v>
      </c>
      <c r="J3392">
        <f>ABS((I3392-EDA!$A$15)/EDA!$B$15)</f>
        <v>1.0571896382983452</v>
      </c>
      <c r="K3392" t="str">
        <f t="shared" si="52"/>
        <v>No</v>
      </c>
      <c r="L3392">
        <f>ABS((C3392-EDA!$F$15)/EDA!$G$15)</f>
        <v>0.3661208279641327</v>
      </c>
      <c r="M3392" t="str">
        <f>IF(moras[[#This Row],[Z-Score Salario]]&gt;1.96, "Sí", "No")</f>
        <v>No</v>
      </c>
      <c r="N3392" s="14">
        <f>IF(ISBLANK(moras[[#This Row],[SALARIO]]), EDA!$M$8, moras[[#This Row],[SALARIO]])</f>
        <v>572881</v>
      </c>
      <c r="O3392" s="14">
        <f xml:space="preserve"> IF(ISBLANK(moras[[#This Row],[EDAD]]), EDA!$E$8, moras[[#This Row],[EDAD]])</f>
        <v>27</v>
      </c>
      <c r="P3392" s="14" t="str">
        <f>IF(
    OR(ISBLANK(moras[[#This Row],[TIPO_ASEGURAMIENTO]]), moras[[#This Row],[TIPO_ASEGURAMIENTO]]=""),
    EDA!$A$32,
    moras[[#This Row],[TIPO_ASEGURAMIENTO]]
)</f>
        <v>ASALARIADO</v>
      </c>
    </row>
    <row r="3393" spans="1:16" x14ac:dyDescent="0.3">
      <c r="A3393">
        <v>3392</v>
      </c>
      <c r="B3393" t="s">
        <v>9</v>
      </c>
      <c r="C3393">
        <v>45024243</v>
      </c>
      <c r="D3393" t="s">
        <v>10</v>
      </c>
      <c r="E3393" t="s">
        <v>16</v>
      </c>
      <c r="F3393" t="s">
        <v>12</v>
      </c>
      <c r="G3393" t="s">
        <v>13</v>
      </c>
      <c r="H3393" t="s">
        <v>13</v>
      </c>
      <c r="I3393">
        <v>24</v>
      </c>
      <c r="J3393">
        <f>ABS((I3393-EDA!$A$15)/EDA!$B$15)</f>
        <v>1.2689156285297578</v>
      </c>
      <c r="K3393" t="str">
        <f t="shared" si="52"/>
        <v>No</v>
      </c>
      <c r="L3393">
        <f>ABS((C3393-EDA!$F$15)/EDA!$G$15)</f>
        <v>0.37358121447448428</v>
      </c>
      <c r="M3393" t="str">
        <f>IF(moras[[#This Row],[Z-Score Salario]]&gt;1.96, "Sí", "No")</f>
        <v>No</v>
      </c>
      <c r="N3393" s="14">
        <f>IF(ISBLANK(moras[[#This Row],[SALARIO]]), EDA!$M$8, moras[[#This Row],[SALARIO]])</f>
        <v>45024243</v>
      </c>
      <c r="O3393" s="14">
        <f xml:space="preserve"> IF(ISBLANK(moras[[#This Row],[EDAD]]), EDA!$E$8, moras[[#This Row],[EDAD]])</f>
        <v>24</v>
      </c>
      <c r="P3393" s="14" t="str">
        <f>IF(
    OR(ISBLANK(moras[[#This Row],[TIPO_ASEGURAMIENTO]]), moras[[#This Row],[TIPO_ASEGURAMIENTO]]=""),
    EDA!$A$32,
    moras[[#This Row],[TIPO_ASEGURAMIENTO]]
)</f>
        <v>ASALARIADO</v>
      </c>
    </row>
    <row r="3394" spans="1:16" x14ac:dyDescent="0.3">
      <c r="A3394">
        <v>3393</v>
      </c>
      <c r="B3394" t="s">
        <v>9</v>
      </c>
      <c r="C3394">
        <v>6189629</v>
      </c>
      <c r="D3394" t="s">
        <v>10</v>
      </c>
      <c r="E3394" t="s">
        <v>16</v>
      </c>
      <c r="F3394" t="s">
        <v>12</v>
      </c>
      <c r="G3394" t="s">
        <v>13</v>
      </c>
      <c r="H3394" t="s">
        <v>13</v>
      </c>
      <c r="I3394">
        <v>51</v>
      </c>
      <c r="J3394">
        <f>ABS((I3394-EDA!$A$15)/EDA!$B$15)</f>
        <v>0.6366182835529548</v>
      </c>
      <c r="K3394" t="str">
        <f t="shared" ref="K3394:K3457" si="53">IF(J3394 &gt;  1.96, "Sí","No")</f>
        <v>No</v>
      </c>
      <c r="L3394">
        <f>ABS((C3394-EDA!$F$15)/EDA!$G$15)</f>
        <v>0.27265417631321098</v>
      </c>
      <c r="M3394" t="str">
        <f>IF(moras[[#This Row],[Z-Score Salario]]&gt;1.96, "Sí", "No")</f>
        <v>No</v>
      </c>
      <c r="N3394" s="14">
        <f>IF(ISBLANK(moras[[#This Row],[SALARIO]]), EDA!$M$8, moras[[#This Row],[SALARIO]])</f>
        <v>6189629</v>
      </c>
      <c r="O3394" s="14">
        <f xml:space="preserve"> IF(ISBLANK(moras[[#This Row],[EDAD]]), EDA!$E$8, moras[[#This Row],[EDAD]])</f>
        <v>51</v>
      </c>
      <c r="P3394" s="14" t="str">
        <f>IF(
    OR(ISBLANK(moras[[#This Row],[TIPO_ASEGURAMIENTO]]), moras[[#This Row],[TIPO_ASEGURAMIENTO]]=""),
    EDA!$A$32,
    moras[[#This Row],[TIPO_ASEGURAMIENTO]]
)</f>
        <v>ASALARIADO</v>
      </c>
    </row>
    <row r="3395" spans="1:16" x14ac:dyDescent="0.3">
      <c r="A3395">
        <v>3394</v>
      </c>
      <c r="B3395" t="s">
        <v>15</v>
      </c>
      <c r="C3395">
        <v>319591</v>
      </c>
      <c r="D3395" t="s">
        <v>10</v>
      </c>
      <c r="E3395" t="s">
        <v>16</v>
      </c>
      <c r="F3395" t="s">
        <v>12</v>
      </c>
      <c r="G3395" t="s">
        <v>12</v>
      </c>
      <c r="H3395" t="s">
        <v>13</v>
      </c>
      <c r="I3395">
        <v>34</v>
      </c>
      <c r="J3395">
        <f>ABS((I3395-EDA!$A$15)/EDA!$B$15)</f>
        <v>0.56316232775838282</v>
      </c>
      <c r="K3395" t="str">
        <f t="shared" si="53"/>
        <v>No</v>
      </c>
      <c r="L3395">
        <f>ABS((C3395-EDA!$F$15)/EDA!$G$15)</f>
        <v>0.37033575236463312</v>
      </c>
      <c r="M3395" t="str">
        <f>IF(moras[[#This Row],[Z-Score Salario]]&gt;1.96, "Sí", "No")</f>
        <v>No</v>
      </c>
      <c r="N3395" s="14">
        <f>IF(ISBLANK(moras[[#This Row],[SALARIO]]), EDA!$M$8, moras[[#This Row],[SALARIO]])</f>
        <v>319591</v>
      </c>
      <c r="O3395" s="14">
        <f xml:space="preserve"> IF(ISBLANK(moras[[#This Row],[EDAD]]), EDA!$E$8, moras[[#This Row],[EDAD]])</f>
        <v>34</v>
      </c>
      <c r="P3395" s="14" t="str">
        <f>IF(
    OR(ISBLANK(moras[[#This Row],[TIPO_ASEGURAMIENTO]]), moras[[#This Row],[TIPO_ASEGURAMIENTO]]=""),
    EDA!$A$32,
    moras[[#This Row],[TIPO_ASEGURAMIENTO]]
)</f>
        <v>ASALARIADO</v>
      </c>
    </row>
    <row r="3396" spans="1:16" x14ac:dyDescent="0.3">
      <c r="A3396">
        <v>3395</v>
      </c>
      <c r="B3396" t="s">
        <v>9</v>
      </c>
      <c r="C3396">
        <v>316412</v>
      </c>
      <c r="D3396" t="s">
        <v>18</v>
      </c>
      <c r="E3396" t="s">
        <v>16</v>
      </c>
      <c r="F3396" t="s">
        <v>12</v>
      </c>
      <c r="G3396" t="s">
        <v>13</v>
      </c>
      <c r="H3396" t="s">
        <v>12</v>
      </c>
      <c r="I3396">
        <v>55</v>
      </c>
      <c r="J3396">
        <f>ABS((I3396-EDA!$A$15)/EDA!$B$15)</f>
        <v>0.91891960386150484</v>
      </c>
      <c r="K3396" t="str">
        <f t="shared" si="53"/>
        <v>No</v>
      </c>
      <c r="L3396">
        <f>ABS((C3396-EDA!$F$15)/EDA!$G$15)</f>
        <v>0.37038865316872799</v>
      </c>
      <c r="M3396" t="str">
        <f>IF(moras[[#This Row],[Z-Score Salario]]&gt;1.96, "Sí", "No")</f>
        <v>No</v>
      </c>
      <c r="N3396" s="14">
        <f>IF(ISBLANK(moras[[#This Row],[SALARIO]]), EDA!$M$8, moras[[#This Row],[SALARIO]])</f>
        <v>316412</v>
      </c>
      <c r="O3396" s="14">
        <f xml:space="preserve"> IF(ISBLANK(moras[[#This Row],[EDAD]]), EDA!$E$8, moras[[#This Row],[EDAD]])</f>
        <v>55</v>
      </c>
      <c r="P3396" s="14" t="str">
        <f>IF(
    OR(ISBLANK(moras[[#This Row],[TIPO_ASEGURAMIENTO]]), moras[[#This Row],[TIPO_ASEGURAMIENTO]]=""),
    EDA!$A$32,
    moras[[#This Row],[TIPO_ASEGURAMIENTO]]
)</f>
        <v>TRABAJADOR INDEPENDIENTE</v>
      </c>
    </row>
    <row r="3397" spans="1:16" x14ac:dyDescent="0.3">
      <c r="A3397">
        <v>3396</v>
      </c>
      <c r="B3397" t="s">
        <v>15</v>
      </c>
      <c r="C3397">
        <v>356455</v>
      </c>
      <c r="D3397" t="s">
        <v>18</v>
      </c>
      <c r="E3397" t="s">
        <v>16</v>
      </c>
      <c r="F3397" t="s">
        <v>12</v>
      </c>
      <c r="G3397" t="s">
        <v>13</v>
      </c>
      <c r="H3397" t="s">
        <v>13</v>
      </c>
      <c r="I3397">
        <v>43</v>
      </c>
      <c r="J3397">
        <f>ABS((I3397-EDA!$A$15)/EDA!$B$15)</f>
        <v>7.2015642935854773E-2</v>
      </c>
      <c r="K3397" t="str">
        <f t="shared" si="53"/>
        <v>No</v>
      </c>
      <c r="L3397">
        <f>ABS((C3397-EDA!$F$15)/EDA!$G$15)</f>
        <v>0.36972230938188588</v>
      </c>
      <c r="M3397" t="str">
        <f>IF(moras[[#This Row],[Z-Score Salario]]&gt;1.96, "Sí", "No")</f>
        <v>No</v>
      </c>
      <c r="N3397" s="14">
        <f>IF(ISBLANK(moras[[#This Row],[SALARIO]]), EDA!$M$8, moras[[#This Row],[SALARIO]])</f>
        <v>356455</v>
      </c>
      <c r="O3397" s="14">
        <f xml:space="preserve"> IF(ISBLANK(moras[[#This Row],[EDAD]]), EDA!$E$8, moras[[#This Row],[EDAD]])</f>
        <v>43</v>
      </c>
      <c r="P3397" s="14" t="str">
        <f>IF(
    OR(ISBLANK(moras[[#This Row],[TIPO_ASEGURAMIENTO]]), moras[[#This Row],[TIPO_ASEGURAMIENTO]]=""),
    EDA!$A$32,
    moras[[#This Row],[TIPO_ASEGURAMIENTO]]
)</f>
        <v>TRABAJADOR INDEPENDIENTE</v>
      </c>
    </row>
    <row r="3398" spans="1:16" x14ac:dyDescent="0.3">
      <c r="A3398">
        <v>3397</v>
      </c>
      <c r="B3398" t="s">
        <v>9</v>
      </c>
      <c r="C3398">
        <v>78585582</v>
      </c>
      <c r="D3398" t="s">
        <v>10</v>
      </c>
      <c r="E3398" t="s">
        <v>16</v>
      </c>
      <c r="F3398" t="s">
        <v>12</v>
      </c>
      <c r="G3398" t="s">
        <v>13</v>
      </c>
      <c r="H3398" t="s">
        <v>13</v>
      </c>
      <c r="I3398">
        <v>55</v>
      </c>
      <c r="J3398">
        <f>ABS((I3398-EDA!$A$15)/EDA!$B$15)</f>
        <v>0.91891960386150484</v>
      </c>
      <c r="K3398" t="str">
        <f t="shared" si="53"/>
        <v>No</v>
      </c>
      <c r="L3398">
        <f>ABS((C3398-EDA!$F$15)/EDA!$G$15)</f>
        <v>0.93206558679303797</v>
      </c>
      <c r="M3398" t="str">
        <f>IF(moras[[#This Row],[Z-Score Salario]]&gt;1.96, "Sí", "No")</f>
        <v>No</v>
      </c>
      <c r="N3398" s="14">
        <f>IF(ISBLANK(moras[[#This Row],[SALARIO]]), EDA!$M$8, moras[[#This Row],[SALARIO]])</f>
        <v>78585582</v>
      </c>
      <c r="O3398" s="14">
        <f xml:space="preserve"> IF(ISBLANK(moras[[#This Row],[EDAD]]), EDA!$E$8, moras[[#This Row],[EDAD]])</f>
        <v>55</v>
      </c>
      <c r="P3398" s="14" t="str">
        <f>IF(
    OR(ISBLANK(moras[[#This Row],[TIPO_ASEGURAMIENTO]]), moras[[#This Row],[TIPO_ASEGURAMIENTO]]=""),
    EDA!$A$32,
    moras[[#This Row],[TIPO_ASEGURAMIENTO]]
)</f>
        <v>ASALARIADO</v>
      </c>
    </row>
    <row r="3399" spans="1:16" x14ac:dyDescent="0.3">
      <c r="A3399">
        <v>3398</v>
      </c>
      <c r="B3399" t="s">
        <v>9</v>
      </c>
      <c r="C3399">
        <v>420000</v>
      </c>
      <c r="D3399" t="s">
        <v>10</v>
      </c>
      <c r="E3399" t="s">
        <v>16</v>
      </c>
      <c r="F3399" t="s">
        <v>12</v>
      </c>
      <c r="G3399" t="s">
        <v>13</v>
      </c>
      <c r="H3399" t="s">
        <v>13</v>
      </c>
      <c r="I3399">
        <v>52</v>
      </c>
      <c r="J3399">
        <f>ABS((I3399-EDA!$A$15)/EDA!$B$15)</f>
        <v>0.70719361363009237</v>
      </c>
      <c r="K3399" t="str">
        <f t="shared" si="53"/>
        <v>No</v>
      </c>
      <c r="L3399">
        <f>ABS((C3399-EDA!$F$15)/EDA!$G$15)</f>
        <v>0.36866487572469531</v>
      </c>
      <c r="M3399" t="str">
        <f>IF(moras[[#This Row],[Z-Score Salario]]&gt;1.96, "Sí", "No")</f>
        <v>No</v>
      </c>
      <c r="N3399" s="14">
        <f>IF(ISBLANK(moras[[#This Row],[SALARIO]]), EDA!$M$8, moras[[#This Row],[SALARIO]])</f>
        <v>420000</v>
      </c>
      <c r="O3399" s="14">
        <f xml:space="preserve"> IF(ISBLANK(moras[[#This Row],[EDAD]]), EDA!$E$8, moras[[#This Row],[EDAD]])</f>
        <v>52</v>
      </c>
      <c r="P3399" s="14" t="str">
        <f>IF(
    OR(ISBLANK(moras[[#This Row],[TIPO_ASEGURAMIENTO]]), moras[[#This Row],[TIPO_ASEGURAMIENTO]]=""),
    EDA!$A$32,
    moras[[#This Row],[TIPO_ASEGURAMIENTO]]
)</f>
        <v>ASALARIADO</v>
      </c>
    </row>
    <row r="3400" spans="1:16" x14ac:dyDescent="0.3">
      <c r="A3400">
        <v>3399</v>
      </c>
      <c r="B3400" t="s">
        <v>9</v>
      </c>
      <c r="C3400">
        <v>405063</v>
      </c>
      <c r="D3400" t="s">
        <v>18</v>
      </c>
      <c r="E3400" t="s">
        <v>16</v>
      </c>
      <c r="F3400" t="s">
        <v>12</v>
      </c>
      <c r="G3400" t="s">
        <v>13</v>
      </c>
      <c r="H3400" t="s">
        <v>12</v>
      </c>
      <c r="I3400">
        <v>53</v>
      </c>
      <c r="J3400">
        <f>ABS((I3400-EDA!$A$15)/EDA!$B$15)</f>
        <v>0.77776894370722982</v>
      </c>
      <c r="K3400" t="str">
        <f t="shared" si="53"/>
        <v>No</v>
      </c>
      <c r="L3400">
        <f>ABS((C3400-EDA!$F$15)/EDA!$G$15)</f>
        <v>0.3689134379489058</v>
      </c>
      <c r="M3400" t="str">
        <f>IF(moras[[#This Row],[Z-Score Salario]]&gt;1.96, "Sí", "No")</f>
        <v>No</v>
      </c>
      <c r="N3400" s="14">
        <f>IF(ISBLANK(moras[[#This Row],[SALARIO]]), EDA!$M$8, moras[[#This Row],[SALARIO]])</f>
        <v>405063</v>
      </c>
      <c r="O3400" s="14">
        <f xml:space="preserve"> IF(ISBLANK(moras[[#This Row],[EDAD]]), EDA!$E$8, moras[[#This Row],[EDAD]])</f>
        <v>53</v>
      </c>
      <c r="P3400" s="14" t="str">
        <f>IF(
    OR(ISBLANK(moras[[#This Row],[TIPO_ASEGURAMIENTO]]), moras[[#This Row],[TIPO_ASEGURAMIENTO]]=""),
    EDA!$A$32,
    moras[[#This Row],[TIPO_ASEGURAMIENTO]]
)</f>
        <v>TRABAJADOR INDEPENDIENTE</v>
      </c>
    </row>
    <row r="3401" spans="1:16" x14ac:dyDescent="0.3">
      <c r="A3401">
        <v>3400</v>
      </c>
      <c r="B3401" t="s">
        <v>15</v>
      </c>
      <c r="C3401">
        <v>297139</v>
      </c>
      <c r="D3401" t="s">
        <v>17</v>
      </c>
      <c r="E3401" t="s">
        <v>16</v>
      </c>
      <c r="F3401" t="s">
        <v>12</v>
      </c>
      <c r="G3401" t="s">
        <v>12</v>
      </c>
      <c r="H3401" t="s">
        <v>13</v>
      </c>
      <c r="I3401">
        <v>36</v>
      </c>
      <c r="J3401">
        <f>ABS((I3401-EDA!$A$15)/EDA!$B$15)</f>
        <v>0.42201166760410774</v>
      </c>
      <c r="K3401" t="str">
        <f t="shared" si="53"/>
        <v>No</v>
      </c>
      <c r="L3401">
        <f>ABS((C3401-EDA!$F$15)/EDA!$G$15)</f>
        <v>0.37070936949377375</v>
      </c>
      <c r="M3401" t="str">
        <f>IF(moras[[#This Row],[Z-Score Salario]]&gt;1.96, "Sí", "No")</f>
        <v>No</v>
      </c>
      <c r="N3401" s="14">
        <f>IF(ISBLANK(moras[[#This Row],[SALARIO]]), EDA!$M$8, moras[[#This Row],[SALARIO]])</f>
        <v>297139</v>
      </c>
      <c r="O3401" s="14">
        <f xml:space="preserve"> IF(ISBLANK(moras[[#This Row],[EDAD]]), EDA!$E$8, moras[[#This Row],[EDAD]])</f>
        <v>36</v>
      </c>
      <c r="P3401" s="14" t="str">
        <f>IF(
    OR(ISBLANK(moras[[#This Row],[TIPO_ASEGURAMIENTO]]), moras[[#This Row],[TIPO_ASEGURAMIENTO]]=""),
    EDA!$A$32,
    moras[[#This Row],[TIPO_ASEGURAMIENTO]]
)</f>
        <v>ASEGURADO VOLUNTARIO</v>
      </c>
    </row>
    <row r="3402" spans="1:16" x14ac:dyDescent="0.3">
      <c r="A3402">
        <v>3401</v>
      </c>
      <c r="B3402" t="s">
        <v>9</v>
      </c>
      <c r="C3402">
        <v>175000</v>
      </c>
      <c r="D3402" t="s">
        <v>10</v>
      </c>
      <c r="E3402" t="s">
        <v>16</v>
      </c>
      <c r="F3402" t="s">
        <v>12</v>
      </c>
      <c r="G3402" t="s">
        <v>13</v>
      </c>
      <c r="H3402" t="s">
        <v>13</v>
      </c>
      <c r="I3402">
        <v>32</v>
      </c>
      <c r="J3402">
        <f>ABS((I3402-EDA!$A$15)/EDA!$B$15)</f>
        <v>0.70431298791265773</v>
      </c>
      <c r="K3402" t="str">
        <f t="shared" si="53"/>
        <v>No</v>
      </c>
      <c r="L3402">
        <f>ABS((C3402-EDA!$F$15)/EDA!$G$15)</f>
        <v>0.37274184867318361</v>
      </c>
      <c r="M3402" t="str">
        <f>IF(moras[[#This Row],[Z-Score Salario]]&gt;1.96, "Sí", "No")</f>
        <v>No</v>
      </c>
      <c r="N3402" s="14">
        <f>IF(ISBLANK(moras[[#This Row],[SALARIO]]), EDA!$M$8, moras[[#This Row],[SALARIO]])</f>
        <v>175000</v>
      </c>
      <c r="O3402" s="14">
        <f xml:space="preserve"> IF(ISBLANK(moras[[#This Row],[EDAD]]), EDA!$E$8, moras[[#This Row],[EDAD]])</f>
        <v>32</v>
      </c>
      <c r="P3402" s="14" t="str">
        <f>IF(
    OR(ISBLANK(moras[[#This Row],[TIPO_ASEGURAMIENTO]]), moras[[#This Row],[TIPO_ASEGURAMIENTO]]=""),
    EDA!$A$32,
    moras[[#This Row],[TIPO_ASEGURAMIENTO]]
)</f>
        <v>ASALARIADO</v>
      </c>
    </row>
    <row r="3403" spans="1:16" x14ac:dyDescent="0.3">
      <c r="A3403">
        <v>3402</v>
      </c>
      <c r="B3403" t="s">
        <v>9</v>
      </c>
      <c r="C3403">
        <v>299647</v>
      </c>
      <c r="D3403" t="s">
        <v>17</v>
      </c>
      <c r="E3403" t="s">
        <v>16</v>
      </c>
      <c r="F3403" t="s">
        <v>13</v>
      </c>
      <c r="G3403" t="s">
        <v>13</v>
      </c>
      <c r="H3403" t="s">
        <v>13</v>
      </c>
      <c r="I3403">
        <v>52</v>
      </c>
      <c r="J3403">
        <f>ABS((I3403-EDA!$A$15)/EDA!$B$15)</f>
        <v>0.70719361363009237</v>
      </c>
      <c r="K3403" t="str">
        <f t="shared" si="53"/>
        <v>No</v>
      </c>
      <c r="L3403">
        <f>ABS((C3403-EDA!$F$15)/EDA!$G$15)</f>
        <v>0.37066763460334595</v>
      </c>
      <c r="M3403" t="str">
        <f>IF(moras[[#This Row],[Z-Score Salario]]&gt;1.96, "Sí", "No")</f>
        <v>No</v>
      </c>
      <c r="N3403" s="14">
        <f>IF(ISBLANK(moras[[#This Row],[SALARIO]]), EDA!$M$8, moras[[#This Row],[SALARIO]])</f>
        <v>299647</v>
      </c>
      <c r="O3403" s="14">
        <f xml:space="preserve"> IF(ISBLANK(moras[[#This Row],[EDAD]]), EDA!$E$8, moras[[#This Row],[EDAD]])</f>
        <v>52</v>
      </c>
      <c r="P3403" s="14" t="str">
        <f>IF(
    OR(ISBLANK(moras[[#This Row],[TIPO_ASEGURAMIENTO]]), moras[[#This Row],[TIPO_ASEGURAMIENTO]]=""),
    EDA!$A$32,
    moras[[#This Row],[TIPO_ASEGURAMIENTO]]
)</f>
        <v>ASEGURADO VOLUNTARIO</v>
      </c>
    </row>
    <row r="3404" spans="1:16" x14ac:dyDescent="0.3">
      <c r="A3404">
        <v>3403</v>
      </c>
      <c r="B3404" t="s">
        <v>9</v>
      </c>
      <c r="C3404">
        <v>120240274</v>
      </c>
      <c r="D3404" t="s">
        <v>10</v>
      </c>
      <c r="E3404" t="s">
        <v>11</v>
      </c>
      <c r="F3404" t="s">
        <v>12</v>
      </c>
      <c r="G3404" t="s">
        <v>13</v>
      </c>
      <c r="H3404" t="s">
        <v>13</v>
      </c>
      <c r="I3404">
        <v>53</v>
      </c>
      <c r="J3404">
        <f>ABS((I3404-EDA!$A$15)/EDA!$B$15)</f>
        <v>0.77776894370722982</v>
      </c>
      <c r="K3404" t="str">
        <f t="shared" si="53"/>
        <v>No</v>
      </c>
      <c r="L3404">
        <f>ABS((C3404-EDA!$F$15)/EDA!$G$15)</f>
        <v>1.6252290662281903</v>
      </c>
      <c r="M3404" t="str">
        <f>IF(moras[[#This Row],[Z-Score Salario]]&gt;1.96, "Sí", "No")</f>
        <v>No</v>
      </c>
      <c r="N3404" s="14">
        <f>IF(ISBLANK(moras[[#This Row],[SALARIO]]), EDA!$M$8, moras[[#This Row],[SALARIO]])</f>
        <v>120240274</v>
      </c>
      <c r="O3404" s="14">
        <f xml:space="preserve"> IF(ISBLANK(moras[[#This Row],[EDAD]]), EDA!$E$8, moras[[#This Row],[EDAD]])</f>
        <v>53</v>
      </c>
      <c r="P3404" s="14" t="str">
        <f>IF(
    OR(ISBLANK(moras[[#This Row],[TIPO_ASEGURAMIENTO]]), moras[[#This Row],[TIPO_ASEGURAMIENTO]]=""),
    EDA!$A$32,
    moras[[#This Row],[TIPO_ASEGURAMIENTO]]
)</f>
        <v>ASALARIADO</v>
      </c>
    </row>
    <row r="3405" spans="1:16" x14ac:dyDescent="0.3">
      <c r="A3405">
        <v>3404</v>
      </c>
      <c r="B3405" t="s">
        <v>9</v>
      </c>
      <c r="C3405">
        <v>26492966</v>
      </c>
      <c r="D3405" t="s">
        <v>10</v>
      </c>
      <c r="E3405" t="s">
        <v>16</v>
      </c>
      <c r="F3405" t="s">
        <v>12</v>
      </c>
      <c r="G3405" t="s">
        <v>13</v>
      </c>
      <c r="H3405" t="s">
        <v>13</v>
      </c>
      <c r="I3405">
        <v>48</v>
      </c>
      <c r="J3405">
        <f>ABS((I3405-EDA!$A$15)/EDA!$B$15)</f>
        <v>0.42489229332154227</v>
      </c>
      <c r="K3405" t="str">
        <f t="shared" si="53"/>
        <v>No</v>
      </c>
      <c r="L3405">
        <f>ABS((C3405-EDA!$F$15)/EDA!$G$15)</f>
        <v>6.52076837400207E-2</v>
      </c>
      <c r="M3405" t="str">
        <f>IF(moras[[#This Row],[Z-Score Salario]]&gt;1.96, "Sí", "No")</f>
        <v>No</v>
      </c>
      <c r="N3405" s="14">
        <f>IF(ISBLANK(moras[[#This Row],[SALARIO]]), EDA!$M$8, moras[[#This Row],[SALARIO]])</f>
        <v>26492966</v>
      </c>
      <c r="O3405" s="14">
        <f xml:space="preserve"> IF(ISBLANK(moras[[#This Row],[EDAD]]), EDA!$E$8, moras[[#This Row],[EDAD]])</f>
        <v>48</v>
      </c>
      <c r="P3405" s="14" t="str">
        <f>IF(
    OR(ISBLANK(moras[[#This Row],[TIPO_ASEGURAMIENTO]]), moras[[#This Row],[TIPO_ASEGURAMIENTO]]=""),
    EDA!$A$32,
    moras[[#This Row],[TIPO_ASEGURAMIENTO]]
)</f>
        <v>ASALARIADO</v>
      </c>
    </row>
    <row r="3406" spans="1:16" x14ac:dyDescent="0.3">
      <c r="A3406">
        <v>3405</v>
      </c>
      <c r="B3406" t="s">
        <v>9</v>
      </c>
      <c r="C3406">
        <v>62390214</v>
      </c>
      <c r="D3406" t="s">
        <v>10</v>
      </c>
      <c r="E3406" t="s">
        <v>16</v>
      </c>
      <c r="F3406" t="s">
        <v>12</v>
      </c>
      <c r="G3406" t="s">
        <v>13</v>
      </c>
      <c r="H3406" t="s">
        <v>13</v>
      </c>
      <c r="I3406">
        <v>44</v>
      </c>
      <c r="J3406">
        <f>ABS((I3406-EDA!$A$15)/EDA!$B$15)</f>
        <v>0.14259097301299228</v>
      </c>
      <c r="K3406" t="str">
        <f t="shared" si="53"/>
        <v>No</v>
      </c>
      <c r="L3406">
        <f>ABS((C3406-EDA!$F$15)/EDA!$G$15)</f>
        <v>0.66256323076522894</v>
      </c>
      <c r="M3406" t="str">
        <f>IF(moras[[#This Row],[Z-Score Salario]]&gt;1.96, "Sí", "No")</f>
        <v>No</v>
      </c>
      <c r="N3406" s="14">
        <f>IF(ISBLANK(moras[[#This Row],[SALARIO]]), EDA!$M$8, moras[[#This Row],[SALARIO]])</f>
        <v>62390214</v>
      </c>
      <c r="O3406" s="14">
        <f xml:space="preserve"> IF(ISBLANK(moras[[#This Row],[EDAD]]), EDA!$E$8, moras[[#This Row],[EDAD]])</f>
        <v>44</v>
      </c>
      <c r="P3406" s="14" t="str">
        <f>IF(
    OR(ISBLANK(moras[[#This Row],[TIPO_ASEGURAMIENTO]]), moras[[#This Row],[TIPO_ASEGURAMIENTO]]=""),
    EDA!$A$32,
    moras[[#This Row],[TIPO_ASEGURAMIENTO]]
)</f>
        <v>ASALARIADO</v>
      </c>
    </row>
    <row r="3407" spans="1:16" x14ac:dyDescent="0.3">
      <c r="A3407">
        <v>3406</v>
      </c>
      <c r="B3407" t="s">
        <v>15</v>
      </c>
      <c r="C3407">
        <v>425046</v>
      </c>
      <c r="D3407" t="s">
        <v>10</v>
      </c>
      <c r="E3407" t="s">
        <v>11</v>
      </c>
      <c r="F3407" t="s">
        <v>12</v>
      </c>
      <c r="G3407" t="s">
        <v>13</v>
      </c>
      <c r="H3407" t="s">
        <v>13</v>
      </c>
      <c r="I3407">
        <v>42</v>
      </c>
      <c r="J3407">
        <f>ABS((I3407-EDA!$A$15)/EDA!$B$15)</f>
        <v>1.4403128587172659E-3</v>
      </c>
      <c r="K3407" t="str">
        <f t="shared" si="53"/>
        <v>No</v>
      </c>
      <c r="L3407">
        <f>ABS((C3407-EDA!$F$15)/EDA!$G$15)</f>
        <v>0.36858090672266236</v>
      </c>
      <c r="M3407" t="str">
        <f>IF(moras[[#This Row],[Z-Score Salario]]&gt;1.96, "Sí", "No")</f>
        <v>No</v>
      </c>
      <c r="N3407" s="14">
        <f>IF(ISBLANK(moras[[#This Row],[SALARIO]]), EDA!$M$8, moras[[#This Row],[SALARIO]])</f>
        <v>425046</v>
      </c>
      <c r="O3407" s="14">
        <f xml:space="preserve"> IF(ISBLANK(moras[[#This Row],[EDAD]]), EDA!$E$8, moras[[#This Row],[EDAD]])</f>
        <v>42</v>
      </c>
      <c r="P3407" s="14" t="str">
        <f>IF(
    OR(ISBLANK(moras[[#This Row],[TIPO_ASEGURAMIENTO]]), moras[[#This Row],[TIPO_ASEGURAMIENTO]]=""),
    EDA!$A$32,
    moras[[#This Row],[TIPO_ASEGURAMIENTO]]
)</f>
        <v>ASALARIADO</v>
      </c>
    </row>
    <row r="3408" spans="1:16" x14ac:dyDescent="0.3">
      <c r="A3408">
        <v>3407</v>
      </c>
      <c r="B3408" t="s">
        <v>9</v>
      </c>
      <c r="C3408">
        <v>420375</v>
      </c>
      <c r="D3408" t="s">
        <v>10</v>
      </c>
      <c r="E3408" t="s">
        <v>16</v>
      </c>
      <c r="F3408" t="s">
        <v>12</v>
      </c>
      <c r="G3408" t="s">
        <v>13</v>
      </c>
      <c r="H3408" t="s">
        <v>13</v>
      </c>
      <c r="I3408">
        <v>30</v>
      </c>
      <c r="J3408">
        <f>ABS((I3408-EDA!$A$15)/EDA!$B$15)</f>
        <v>0.84546364806693275</v>
      </c>
      <c r="K3408" t="str">
        <f t="shared" si="53"/>
        <v>No</v>
      </c>
      <c r="L3408">
        <f>ABS((C3408-EDA!$F$15)/EDA!$G$15)</f>
        <v>0.36865863545997823</v>
      </c>
      <c r="M3408" t="str">
        <f>IF(moras[[#This Row],[Z-Score Salario]]&gt;1.96, "Sí", "No")</f>
        <v>No</v>
      </c>
      <c r="N3408" s="14">
        <f>IF(ISBLANK(moras[[#This Row],[SALARIO]]), EDA!$M$8, moras[[#This Row],[SALARIO]])</f>
        <v>420375</v>
      </c>
      <c r="O3408" s="14">
        <f xml:space="preserve"> IF(ISBLANK(moras[[#This Row],[EDAD]]), EDA!$E$8, moras[[#This Row],[EDAD]])</f>
        <v>30</v>
      </c>
      <c r="P3408" s="14" t="str">
        <f>IF(
    OR(ISBLANK(moras[[#This Row],[TIPO_ASEGURAMIENTO]]), moras[[#This Row],[TIPO_ASEGURAMIENTO]]=""),
    EDA!$A$32,
    moras[[#This Row],[TIPO_ASEGURAMIENTO]]
)</f>
        <v>ASALARIADO</v>
      </c>
    </row>
    <row r="3409" spans="1:16" x14ac:dyDescent="0.3">
      <c r="A3409">
        <v>3408</v>
      </c>
      <c r="B3409" t="s">
        <v>9</v>
      </c>
      <c r="C3409">
        <v>142939925</v>
      </c>
      <c r="D3409" t="s">
        <v>10</v>
      </c>
      <c r="E3409" t="s">
        <v>16</v>
      </c>
      <c r="F3409" t="s">
        <v>12</v>
      </c>
      <c r="G3409" t="s">
        <v>13</v>
      </c>
      <c r="H3409" t="s">
        <v>13</v>
      </c>
      <c r="I3409">
        <v>51</v>
      </c>
      <c r="J3409">
        <f>ABS((I3409-EDA!$A$15)/EDA!$B$15)</f>
        <v>0.6366182835529548</v>
      </c>
      <c r="K3409" t="str">
        <f t="shared" si="53"/>
        <v>No</v>
      </c>
      <c r="L3409">
        <f>ABS((C3409-EDA!$F$15)/EDA!$G$15)</f>
        <v>2.0029672828287031</v>
      </c>
      <c r="M3409" t="str">
        <f>IF(moras[[#This Row],[Z-Score Salario]]&gt;1.96, "Sí", "No")</f>
        <v>Sí</v>
      </c>
      <c r="N3409" s="14">
        <f>IF(ISBLANK(moras[[#This Row],[SALARIO]]), EDA!$M$8, moras[[#This Row],[SALARIO]])</f>
        <v>142939925</v>
      </c>
      <c r="O3409" s="14">
        <f xml:space="preserve"> IF(ISBLANK(moras[[#This Row],[EDAD]]), EDA!$E$8, moras[[#This Row],[EDAD]])</f>
        <v>51</v>
      </c>
      <c r="P3409" s="14" t="str">
        <f>IF(
    OR(ISBLANK(moras[[#This Row],[TIPO_ASEGURAMIENTO]]), moras[[#This Row],[TIPO_ASEGURAMIENTO]]=""),
    EDA!$A$32,
    moras[[#This Row],[TIPO_ASEGURAMIENTO]]
)</f>
        <v>ASALARIADO</v>
      </c>
    </row>
    <row r="3410" spans="1:16" x14ac:dyDescent="0.3">
      <c r="A3410">
        <v>3409</v>
      </c>
      <c r="B3410" t="s">
        <v>9</v>
      </c>
      <c r="C3410">
        <v>64078944</v>
      </c>
      <c r="D3410" t="s">
        <v>10</v>
      </c>
      <c r="E3410" t="s">
        <v>16</v>
      </c>
      <c r="F3410" t="s">
        <v>12</v>
      </c>
      <c r="G3410" t="s">
        <v>13</v>
      </c>
      <c r="H3410" t="s">
        <v>13</v>
      </c>
      <c r="I3410">
        <v>23</v>
      </c>
      <c r="J3410">
        <f>ABS((I3410-EDA!$A$15)/EDA!$B$15)</f>
        <v>1.3394909586068953</v>
      </c>
      <c r="K3410" t="str">
        <f t="shared" si="53"/>
        <v>No</v>
      </c>
      <c r="L3410">
        <f>ABS((C3410-EDA!$F$15)/EDA!$G$15)</f>
        <v>0.69066489006033371</v>
      </c>
      <c r="M3410" t="str">
        <f>IF(moras[[#This Row],[Z-Score Salario]]&gt;1.96, "Sí", "No")</f>
        <v>No</v>
      </c>
      <c r="N3410" s="14">
        <f>IF(ISBLANK(moras[[#This Row],[SALARIO]]), EDA!$M$8, moras[[#This Row],[SALARIO]])</f>
        <v>64078944</v>
      </c>
      <c r="O3410" s="14">
        <f xml:space="preserve"> IF(ISBLANK(moras[[#This Row],[EDAD]]), EDA!$E$8, moras[[#This Row],[EDAD]])</f>
        <v>23</v>
      </c>
      <c r="P3410" s="14" t="str">
        <f>IF(
    OR(ISBLANK(moras[[#This Row],[TIPO_ASEGURAMIENTO]]), moras[[#This Row],[TIPO_ASEGURAMIENTO]]=""),
    EDA!$A$32,
    moras[[#This Row],[TIPO_ASEGURAMIENTO]]
)</f>
        <v>ASALARIADO</v>
      </c>
    </row>
    <row r="3411" spans="1:16" x14ac:dyDescent="0.3">
      <c r="A3411">
        <v>3410</v>
      </c>
      <c r="B3411" t="s">
        <v>9</v>
      </c>
      <c r="C3411">
        <v>394800</v>
      </c>
      <c r="D3411" t="s">
        <v>10</v>
      </c>
      <c r="E3411" t="s">
        <v>16</v>
      </c>
      <c r="F3411" t="s">
        <v>12</v>
      </c>
      <c r="G3411" t="s">
        <v>13</v>
      </c>
      <c r="H3411" t="s">
        <v>13</v>
      </c>
      <c r="I3411">
        <v>51</v>
      </c>
      <c r="J3411">
        <f>ABS((I3411-EDA!$A$15)/EDA!$B$15)</f>
        <v>0.6366182835529548</v>
      </c>
      <c r="K3411" t="str">
        <f t="shared" si="53"/>
        <v>No</v>
      </c>
      <c r="L3411">
        <f>ABS((C3411-EDA!$F$15)/EDA!$G$15)</f>
        <v>0.36908422151368264</v>
      </c>
      <c r="M3411" t="str">
        <f>IF(moras[[#This Row],[Z-Score Salario]]&gt;1.96, "Sí", "No")</f>
        <v>No</v>
      </c>
      <c r="N3411" s="14">
        <f>IF(ISBLANK(moras[[#This Row],[SALARIO]]), EDA!$M$8, moras[[#This Row],[SALARIO]])</f>
        <v>394800</v>
      </c>
      <c r="O3411" s="14">
        <f xml:space="preserve"> IF(ISBLANK(moras[[#This Row],[EDAD]]), EDA!$E$8, moras[[#This Row],[EDAD]])</f>
        <v>51</v>
      </c>
      <c r="P3411" s="14" t="str">
        <f>IF(
    OR(ISBLANK(moras[[#This Row],[TIPO_ASEGURAMIENTO]]), moras[[#This Row],[TIPO_ASEGURAMIENTO]]=""),
    EDA!$A$32,
    moras[[#This Row],[TIPO_ASEGURAMIENTO]]
)</f>
        <v>ASALARIADO</v>
      </c>
    </row>
    <row r="3412" spans="1:16" x14ac:dyDescent="0.3">
      <c r="A3412">
        <v>3411</v>
      </c>
      <c r="B3412" t="s">
        <v>9</v>
      </c>
      <c r="C3412">
        <v>16858742</v>
      </c>
      <c r="D3412" t="s">
        <v>18</v>
      </c>
      <c r="E3412" t="s">
        <v>16</v>
      </c>
      <c r="F3412" t="s">
        <v>12</v>
      </c>
      <c r="G3412" t="s">
        <v>13</v>
      </c>
      <c r="H3412" t="s">
        <v>13</v>
      </c>
      <c r="I3412">
        <v>75</v>
      </c>
      <c r="J3412">
        <f>ABS((I3412-EDA!$A$15)/EDA!$B$15)</f>
        <v>2.330426205404255</v>
      </c>
      <c r="K3412" t="str">
        <f t="shared" si="53"/>
        <v>Sí</v>
      </c>
      <c r="L3412">
        <f>ABS((C3412-EDA!$F$15)/EDA!$G$15)</f>
        <v>9.5112604536211245E-2</v>
      </c>
      <c r="M3412" t="str">
        <f>IF(moras[[#This Row],[Z-Score Salario]]&gt;1.96, "Sí", "No")</f>
        <v>No</v>
      </c>
      <c r="N3412" s="14">
        <f>IF(ISBLANK(moras[[#This Row],[SALARIO]]), EDA!$M$8, moras[[#This Row],[SALARIO]])</f>
        <v>16858742</v>
      </c>
      <c r="O3412" s="14">
        <f xml:space="preserve"> IF(ISBLANK(moras[[#This Row],[EDAD]]), EDA!$E$8, moras[[#This Row],[EDAD]])</f>
        <v>75</v>
      </c>
      <c r="P3412" s="14" t="str">
        <f>IF(
    OR(ISBLANK(moras[[#This Row],[TIPO_ASEGURAMIENTO]]), moras[[#This Row],[TIPO_ASEGURAMIENTO]]=""),
    EDA!$A$32,
    moras[[#This Row],[TIPO_ASEGURAMIENTO]]
)</f>
        <v>TRABAJADOR INDEPENDIENTE</v>
      </c>
    </row>
    <row r="3413" spans="1:16" x14ac:dyDescent="0.3">
      <c r="A3413">
        <v>3412</v>
      </c>
      <c r="B3413" t="s">
        <v>9</v>
      </c>
      <c r="C3413">
        <v>48502535</v>
      </c>
      <c r="D3413" t="s">
        <v>10</v>
      </c>
      <c r="E3413" t="s">
        <v>11</v>
      </c>
      <c r="F3413" t="s">
        <v>12</v>
      </c>
      <c r="G3413" t="s">
        <v>13</v>
      </c>
      <c r="H3413" t="s">
        <v>13</v>
      </c>
      <c r="I3413">
        <v>30</v>
      </c>
      <c r="J3413">
        <f>ABS((I3413-EDA!$A$15)/EDA!$B$15)</f>
        <v>0.84546364806693275</v>
      </c>
      <c r="K3413" t="str">
        <f t="shared" si="53"/>
        <v>No</v>
      </c>
      <c r="L3413">
        <f>ABS((C3413-EDA!$F$15)/EDA!$G$15)</f>
        <v>0.43146244872323242</v>
      </c>
      <c r="M3413" t="str">
        <f>IF(moras[[#This Row],[Z-Score Salario]]&gt;1.96, "Sí", "No")</f>
        <v>No</v>
      </c>
      <c r="N3413" s="14">
        <f>IF(ISBLANK(moras[[#This Row],[SALARIO]]), EDA!$M$8, moras[[#This Row],[SALARIO]])</f>
        <v>48502535</v>
      </c>
      <c r="O3413" s="14">
        <f xml:space="preserve"> IF(ISBLANK(moras[[#This Row],[EDAD]]), EDA!$E$8, moras[[#This Row],[EDAD]])</f>
        <v>30</v>
      </c>
      <c r="P3413" s="14" t="str">
        <f>IF(
    OR(ISBLANK(moras[[#This Row],[TIPO_ASEGURAMIENTO]]), moras[[#This Row],[TIPO_ASEGURAMIENTO]]=""),
    EDA!$A$32,
    moras[[#This Row],[TIPO_ASEGURAMIENTO]]
)</f>
        <v>ASALARIADO</v>
      </c>
    </row>
    <row r="3414" spans="1:16" x14ac:dyDescent="0.3">
      <c r="A3414">
        <v>3413</v>
      </c>
      <c r="B3414" t="s">
        <v>9</v>
      </c>
      <c r="C3414">
        <v>263696</v>
      </c>
      <c r="D3414" t="s">
        <v>10</v>
      </c>
      <c r="E3414" t="s">
        <v>16</v>
      </c>
      <c r="F3414" t="s">
        <v>12</v>
      </c>
      <c r="G3414" t="s">
        <v>13</v>
      </c>
      <c r="H3414" t="s">
        <v>12</v>
      </c>
      <c r="I3414">
        <v>60</v>
      </c>
      <c r="J3414">
        <f>ABS((I3414-EDA!$A$15)/EDA!$B$15)</f>
        <v>1.2717962542471923</v>
      </c>
      <c r="K3414" t="str">
        <f t="shared" si="53"/>
        <v>No</v>
      </c>
      <c r="L3414">
        <f>ABS((C3414-EDA!$F$15)/EDA!$G$15)</f>
        <v>0.37126588462159538</v>
      </c>
      <c r="M3414" t="str">
        <f>IF(moras[[#This Row],[Z-Score Salario]]&gt;1.96, "Sí", "No")</f>
        <v>No</v>
      </c>
      <c r="N3414" s="14">
        <f>IF(ISBLANK(moras[[#This Row],[SALARIO]]), EDA!$M$8, moras[[#This Row],[SALARIO]])</f>
        <v>263696</v>
      </c>
      <c r="O3414" s="14">
        <f xml:space="preserve"> IF(ISBLANK(moras[[#This Row],[EDAD]]), EDA!$E$8, moras[[#This Row],[EDAD]])</f>
        <v>60</v>
      </c>
      <c r="P3414" s="14" t="str">
        <f>IF(
    OR(ISBLANK(moras[[#This Row],[TIPO_ASEGURAMIENTO]]), moras[[#This Row],[TIPO_ASEGURAMIENTO]]=""),
    EDA!$A$32,
    moras[[#This Row],[TIPO_ASEGURAMIENTO]]
)</f>
        <v>ASALARIADO</v>
      </c>
    </row>
    <row r="3415" spans="1:16" x14ac:dyDescent="0.3">
      <c r="A3415">
        <v>3414</v>
      </c>
      <c r="B3415" t="s">
        <v>9</v>
      </c>
      <c r="C3415">
        <v>362773</v>
      </c>
      <c r="D3415" t="s">
        <v>10</v>
      </c>
      <c r="E3415" t="s">
        <v>11</v>
      </c>
      <c r="F3415" t="s">
        <v>12</v>
      </c>
      <c r="G3415" t="s">
        <v>13</v>
      </c>
      <c r="H3415" t="s">
        <v>13</v>
      </c>
      <c r="I3415">
        <v>27</v>
      </c>
      <c r="J3415">
        <f>ABS((I3415-EDA!$A$15)/EDA!$B$15)</f>
        <v>1.0571896382983452</v>
      </c>
      <c r="K3415" t="str">
        <f t="shared" si="53"/>
        <v>No</v>
      </c>
      <c r="L3415">
        <f>ABS((C3415-EDA!$F$15)/EDA!$G$15)</f>
        <v>0.36961717340193262</v>
      </c>
      <c r="M3415" t="str">
        <f>IF(moras[[#This Row],[Z-Score Salario]]&gt;1.96, "Sí", "No")</f>
        <v>No</v>
      </c>
      <c r="N3415" s="14">
        <f>IF(ISBLANK(moras[[#This Row],[SALARIO]]), EDA!$M$8, moras[[#This Row],[SALARIO]])</f>
        <v>362773</v>
      </c>
      <c r="O3415" s="14">
        <f xml:space="preserve"> IF(ISBLANK(moras[[#This Row],[EDAD]]), EDA!$E$8, moras[[#This Row],[EDAD]])</f>
        <v>27</v>
      </c>
      <c r="P3415" s="14" t="str">
        <f>IF(
    OR(ISBLANK(moras[[#This Row],[TIPO_ASEGURAMIENTO]]), moras[[#This Row],[TIPO_ASEGURAMIENTO]]=""),
    EDA!$A$32,
    moras[[#This Row],[TIPO_ASEGURAMIENTO]]
)</f>
        <v>ASALARIADO</v>
      </c>
    </row>
    <row r="3416" spans="1:16" x14ac:dyDescent="0.3">
      <c r="A3416">
        <v>3415</v>
      </c>
      <c r="B3416" t="s">
        <v>9</v>
      </c>
      <c r="C3416">
        <v>400621455</v>
      </c>
      <c r="D3416" t="s">
        <v>10</v>
      </c>
      <c r="E3416" t="s">
        <v>11</v>
      </c>
      <c r="F3416" t="s">
        <v>12</v>
      </c>
      <c r="G3416" t="s">
        <v>13</v>
      </c>
      <c r="H3416" t="s">
        <v>13</v>
      </c>
      <c r="I3416">
        <v>51</v>
      </c>
      <c r="J3416">
        <f>ABS((I3416-EDA!$A$15)/EDA!$B$15)</f>
        <v>0.6366182835529548</v>
      </c>
      <c r="K3416" t="str">
        <f t="shared" si="53"/>
        <v>No</v>
      </c>
      <c r="L3416">
        <f>ABS((C3416-EDA!$F$15)/EDA!$G$15)</f>
        <v>6.2909698425637171</v>
      </c>
      <c r="M3416" t="str">
        <f>IF(moras[[#This Row],[Z-Score Salario]]&gt;1.96, "Sí", "No")</f>
        <v>Sí</v>
      </c>
      <c r="N3416" s="14">
        <f>IF(ISBLANK(moras[[#This Row],[SALARIO]]), EDA!$M$8, moras[[#This Row],[SALARIO]])</f>
        <v>400621455</v>
      </c>
      <c r="O3416" s="14">
        <f xml:space="preserve"> IF(ISBLANK(moras[[#This Row],[EDAD]]), EDA!$E$8, moras[[#This Row],[EDAD]])</f>
        <v>51</v>
      </c>
      <c r="P3416" s="14" t="str">
        <f>IF(
    OR(ISBLANK(moras[[#This Row],[TIPO_ASEGURAMIENTO]]), moras[[#This Row],[TIPO_ASEGURAMIENTO]]=""),
    EDA!$A$32,
    moras[[#This Row],[TIPO_ASEGURAMIENTO]]
)</f>
        <v>ASALARIADO</v>
      </c>
    </row>
    <row r="3417" spans="1:16" x14ac:dyDescent="0.3">
      <c r="A3417">
        <v>3416</v>
      </c>
      <c r="B3417" t="s">
        <v>9</v>
      </c>
      <c r="C3417">
        <v>47655635</v>
      </c>
      <c r="D3417" t="s">
        <v>10</v>
      </c>
      <c r="E3417" t="s">
        <v>16</v>
      </c>
      <c r="F3417" t="s">
        <v>12</v>
      </c>
      <c r="G3417" t="s">
        <v>13</v>
      </c>
      <c r="H3417" t="s">
        <v>13</v>
      </c>
      <c r="I3417">
        <v>26</v>
      </c>
      <c r="J3417">
        <f>ABS((I3417-EDA!$A$15)/EDA!$B$15)</f>
        <v>1.1277649683754829</v>
      </c>
      <c r="K3417" t="str">
        <f t="shared" si="53"/>
        <v>No</v>
      </c>
      <c r="L3417">
        <f>ABS((C3417-EDA!$F$15)/EDA!$G$15)</f>
        <v>0.4173694348861926</v>
      </c>
      <c r="M3417" t="str">
        <f>IF(moras[[#This Row],[Z-Score Salario]]&gt;1.96, "Sí", "No")</f>
        <v>No</v>
      </c>
      <c r="N3417" s="14">
        <f>IF(ISBLANK(moras[[#This Row],[SALARIO]]), EDA!$M$8, moras[[#This Row],[SALARIO]])</f>
        <v>47655635</v>
      </c>
      <c r="O3417" s="14">
        <f xml:space="preserve"> IF(ISBLANK(moras[[#This Row],[EDAD]]), EDA!$E$8, moras[[#This Row],[EDAD]])</f>
        <v>26</v>
      </c>
      <c r="P3417" s="14" t="str">
        <f>IF(
    OR(ISBLANK(moras[[#This Row],[TIPO_ASEGURAMIENTO]]), moras[[#This Row],[TIPO_ASEGURAMIENTO]]=""),
    EDA!$A$32,
    moras[[#This Row],[TIPO_ASEGURAMIENTO]]
)</f>
        <v>ASALARIADO</v>
      </c>
    </row>
    <row r="3418" spans="1:16" x14ac:dyDescent="0.3">
      <c r="A3418">
        <v>3417</v>
      </c>
      <c r="B3418" t="s">
        <v>9</v>
      </c>
      <c r="C3418">
        <v>67228572</v>
      </c>
      <c r="D3418" t="s">
        <v>10</v>
      </c>
      <c r="E3418" t="s">
        <v>16</v>
      </c>
      <c r="F3418" t="s">
        <v>12</v>
      </c>
      <c r="G3418" t="s">
        <v>13</v>
      </c>
      <c r="H3418" t="s">
        <v>13</v>
      </c>
      <c r="I3418">
        <v>40</v>
      </c>
      <c r="J3418">
        <f>ABS((I3418-EDA!$A$15)/EDA!$B$15)</f>
        <v>0.13971034729555773</v>
      </c>
      <c r="K3418" t="str">
        <f t="shared" si="53"/>
        <v>No</v>
      </c>
      <c r="L3418">
        <f>ABS((C3418-EDA!$F$15)/EDA!$G$15)</f>
        <v>0.74307692334115549</v>
      </c>
      <c r="M3418" t="str">
        <f>IF(moras[[#This Row],[Z-Score Salario]]&gt;1.96, "Sí", "No")</f>
        <v>No</v>
      </c>
      <c r="N3418" s="14">
        <f>IF(ISBLANK(moras[[#This Row],[SALARIO]]), EDA!$M$8, moras[[#This Row],[SALARIO]])</f>
        <v>67228572</v>
      </c>
      <c r="O3418" s="14">
        <f xml:space="preserve"> IF(ISBLANK(moras[[#This Row],[EDAD]]), EDA!$E$8, moras[[#This Row],[EDAD]])</f>
        <v>40</v>
      </c>
      <c r="P3418" s="14" t="str">
        <f>IF(
    OR(ISBLANK(moras[[#This Row],[TIPO_ASEGURAMIENTO]]), moras[[#This Row],[TIPO_ASEGURAMIENTO]]=""),
    EDA!$A$32,
    moras[[#This Row],[TIPO_ASEGURAMIENTO]]
)</f>
        <v>ASALARIADO</v>
      </c>
    </row>
    <row r="3419" spans="1:16" x14ac:dyDescent="0.3">
      <c r="A3419">
        <v>3418</v>
      </c>
      <c r="B3419" t="s">
        <v>9</v>
      </c>
      <c r="C3419">
        <v>50133333</v>
      </c>
      <c r="D3419" t="s">
        <v>10</v>
      </c>
      <c r="E3419" t="s">
        <v>16</v>
      </c>
      <c r="F3419" t="s">
        <v>12</v>
      </c>
      <c r="G3419" t="s">
        <v>13</v>
      </c>
      <c r="H3419" t="s">
        <v>13</v>
      </c>
      <c r="I3419">
        <v>41</v>
      </c>
      <c r="J3419">
        <f>ABS((I3419-EDA!$A$15)/EDA!$B$15)</f>
        <v>6.9135017218420233E-2</v>
      </c>
      <c r="K3419" t="str">
        <f t="shared" si="53"/>
        <v>No</v>
      </c>
      <c r="L3419">
        <f>ABS((C3419-EDA!$F$15)/EDA!$G$15)</f>
        <v>0.45860007864343172</v>
      </c>
      <c r="M3419" t="str">
        <f>IF(moras[[#This Row],[Z-Score Salario]]&gt;1.96, "Sí", "No")</f>
        <v>No</v>
      </c>
      <c r="N3419" s="14">
        <f>IF(ISBLANK(moras[[#This Row],[SALARIO]]), EDA!$M$8, moras[[#This Row],[SALARIO]])</f>
        <v>50133333</v>
      </c>
      <c r="O3419" s="14">
        <f xml:space="preserve"> IF(ISBLANK(moras[[#This Row],[EDAD]]), EDA!$E$8, moras[[#This Row],[EDAD]])</f>
        <v>41</v>
      </c>
      <c r="P3419" s="14" t="str">
        <f>IF(
    OR(ISBLANK(moras[[#This Row],[TIPO_ASEGURAMIENTO]]), moras[[#This Row],[TIPO_ASEGURAMIENTO]]=""),
    EDA!$A$32,
    moras[[#This Row],[TIPO_ASEGURAMIENTO]]
)</f>
        <v>ASALARIADO</v>
      </c>
    </row>
    <row r="3420" spans="1:16" x14ac:dyDescent="0.3">
      <c r="A3420">
        <v>3419</v>
      </c>
      <c r="B3420" t="s">
        <v>15</v>
      </c>
      <c r="C3420">
        <v>1038075</v>
      </c>
      <c r="D3420" t="s">
        <v>14</v>
      </c>
      <c r="E3420" t="s">
        <v>11</v>
      </c>
      <c r="F3420" t="s">
        <v>12</v>
      </c>
      <c r="G3420" t="s">
        <v>13</v>
      </c>
      <c r="H3420" t="s">
        <v>13</v>
      </c>
      <c r="I3420">
        <v>62</v>
      </c>
      <c r="J3420">
        <f>ABS((I3420-EDA!$A$15)/EDA!$B$15)</f>
        <v>1.4129469144014672</v>
      </c>
      <c r="K3420" t="str">
        <f t="shared" si="53"/>
        <v>No</v>
      </c>
      <c r="L3420">
        <f>ABS((C3420-EDA!$F$15)/EDA!$G$15)</f>
        <v>0.35837967141801402</v>
      </c>
      <c r="M3420" t="str">
        <f>IF(moras[[#This Row],[Z-Score Salario]]&gt;1.96, "Sí", "No")</f>
        <v>No</v>
      </c>
      <c r="N3420" s="14">
        <f>IF(ISBLANK(moras[[#This Row],[SALARIO]]), EDA!$M$8, moras[[#This Row],[SALARIO]])</f>
        <v>1038075</v>
      </c>
      <c r="O3420" s="14">
        <f xml:space="preserve"> IF(ISBLANK(moras[[#This Row],[EDAD]]), EDA!$E$8, moras[[#This Row],[EDAD]])</f>
        <v>62</v>
      </c>
      <c r="P3420" s="14" t="str">
        <f>IF(
    OR(ISBLANK(moras[[#This Row],[TIPO_ASEGURAMIENTO]]), moras[[#This Row],[TIPO_ASEGURAMIENTO]]=""),
    EDA!$A$32,
    moras[[#This Row],[TIPO_ASEGURAMIENTO]]
)</f>
        <v>PENSIONADOS EN SU PROPIO SISTEMA</v>
      </c>
    </row>
    <row r="3421" spans="1:16" x14ac:dyDescent="0.3">
      <c r="A3421">
        <v>3420</v>
      </c>
      <c r="B3421" t="s">
        <v>9</v>
      </c>
      <c r="C3421">
        <v>68550253</v>
      </c>
      <c r="D3421" t="s">
        <v>10</v>
      </c>
      <c r="E3421" t="s">
        <v>16</v>
      </c>
      <c r="F3421" t="s">
        <v>12</v>
      </c>
      <c r="G3421" t="s">
        <v>13</v>
      </c>
      <c r="H3421" t="s">
        <v>12</v>
      </c>
      <c r="I3421">
        <v>58</v>
      </c>
      <c r="J3421">
        <f>ABS((I3421-EDA!$A$15)/EDA!$B$15)</f>
        <v>1.1306455940929174</v>
      </c>
      <c r="K3421" t="str">
        <f t="shared" si="53"/>
        <v>No</v>
      </c>
      <c r="L3421">
        <f>ABS((C3421-EDA!$F$15)/EDA!$G$15)</f>
        <v>0.7650706281718942</v>
      </c>
      <c r="M3421" t="str">
        <f>IF(moras[[#This Row],[Z-Score Salario]]&gt;1.96, "Sí", "No")</f>
        <v>No</v>
      </c>
      <c r="N3421" s="14">
        <f>IF(ISBLANK(moras[[#This Row],[SALARIO]]), EDA!$M$8, moras[[#This Row],[SALARIO]])</f>
        <v>68550253</v>
      </c>
      <c r="O3421" s="14">
        <f xml:space="preserve"> IF(ISBLANK(moras[[#This Row],[EDAD]]), EDA!$E$8, moras[[#This Row],[EDAD]])</f>
        <v>58</v>
      </c>
      <c r="P3421" s="14" t="str">
        <f>IF(
    OR(ISBLANK(moras[[#This Row],[TIPO_ASEGURAMIENTO]]), moras[[#This Row],[TIPO_ASEGURAMIENTO]]=""),
    EDA!$A$32,
    moras[[#This Row],[TIPO_ASEGURAMIENTO]]
)</f>
        <v>ASALARIADO</v>
      </c>
    </row>
    <row r="3422" spans="1:16" x14ac:dyDescent="0.3">
      <c r="A3422">
        <v>3421</v>
      </c>
      <c r="B3422" t="s">
        <v>9</v>
      </c>
      <c r="C3422">
        <v>389050</v>
      </c>
      <c r="D3422" t="s">
        <v>10</v>
      </c>
      <c r="E3422" t="s">
        <v>16</v>
      </c>
      <c r="F3422" t="s">
        <v>12</v>
      </c>
      <c r="G3422" t="s">
        <v>12</v>
      </c>
      <c r="H3422" t="s">
        <v>12</v>
      </c>
      <c r="I3422">
        <v>36</v>
      </c>
      <c r="J3422">
        <f>ABS((I3422-EDA!$A$15)/EDA!$B$15)</f>
        <v>0.42201166760410774</v>
      </c>
      <c r="K3422" t="str">
        <f t="shared" si="53"/>
        <v>No</v>
      </c>
      <c r="L3422">
        <f>ABS((C3422-EDA!$F$15)/EDA!$G$15)</f>
        <v>0.36917990557267777</v>
      </c>
      <c r="M3422" t="str">
        <f>IF(moras[[#This Row],[Z-Score Salario]]&gt;1.96, "Sí", "No")</f>
        <v>No</v>
      </c>
      <c r="N3422" s="14">
        <f>IF(ISBLANK(moras[[#This Row],[SALARIO]]), EDA!$M$8, moras[[#This Row],[SALARIO]])</f>
        <v>389050</v>
      </c>
      <c r="O3422" s="14">
        <f xml:space="preserve"> IF(ISBLANK(moras[[#This Row],[EDAD]]), EDA!$E$8, moras[[#This Row],[EDAD]])</f>
        <v>36</v>
      </c>
      <c r="P3422" s="14" t="str">
        <f>IF(
    OR(ISBLANK(moras[[#This Row],[TIPO_ASEGURAMIENTO]]), moras[[#This Row],[TIPO_ASEGURAMIENTO]]=""),
    EDA!$A$32,
    moras[[#This Row],[TIPO_ASEGURAMIENTO]]
)</f>
        <v>ASALARIADO</v>
      </c>
    </row>
    <row r="3423" spans="1:16" x14ac:dyDescent="0.3">
      <c r="A3423">
        <v>3422</v>
      </c>
      <c r="B3423" t="s">
        <v>9</v>
      </c>
      <c r="C3423">
        <v>959035</v>
      </c>
      <c r="D3423" t="s">
        <v>18</v>
      </c>
      <c r="E3423" t="s">
        <v>16</v>
      </c>
      <c r="F3423" t="s">
        <v>12</v>
      </c>
      <c r="G3423" t="s">
        <v>13</v>
      </c>
      <c r="H3423" t="s">
        <v>12</v>
      </c>
      <c r="I3423">
        <v>68</v>
      </c>
      <c r="J3423">
        <f>ABS((I3423-EDA!$A$15)/EDA!$B$15)</f>
        <v>1.8363988948642924</v>
      </c>
      <c r="K3423" t="str">
        <f t="shared" si="53"/>
        <v>No</v>
      </c>
      <c r="L3423">
        <f>ABS((C3423-EDA!$F$15)/EDA!$G$15)</f>
        <v>0.35969495281331409</v>
      </c>
      <c r="M3423" t="str">
        <f>IF(moras[[#This Row],[Z-Score Salario]]&gt;1.96, "Sí", "No")</f>
        <v>No</v>
      </c>
      <c r="N3423" s="14">
        <f>IF(ISBLANK(moras[[#This Row],[SALARIO]]), EDA!$M$8, moras[[#This Row],[SALARIO]])</f>
        <v>959035</v>
      </c>
      <c r="O3423" s="14">
        <f xml:space="preserve"> IF(ISBLANK(moras[[#This Row],[EDAD]]), EDA!$E$8, moras[[#This Row],[EDAD]])</f>
        <v>68</v>
      </c>
      <c r="P3423" s="14" t="str">
        <f>IF(
    OR(ISBLANK(moras[[#This Row],[TIPO_ASEGURAMIENTO]]), moras[[#This Row],[TIPO_ASEGURAMIENTO]]=""),
    EDA!$A$32,
    moras[[#This Row],[TIPO_ASEGURAMIENTO]]
)</f>
        <v>TRABAJADOR INDEPENDIENTE</v>
      </c>
    </row>
    <row r="3424" spans="1:16" x14ac:dyDescent="0.3">
      <c r="A3424">
        <v>3423</v>
      </c>
      <c r="B3424" t="s">
        <v>9</v>
      </c>
      <c r="C3424">
        <v>400000</v>
      </c>
      <c r="D3424" t="s">
        <v>10</v>
      </c>
      <c r="E3424" t="s">
        <v>16</v>
      </c>
      <c r="F3424" t="s">
        <v>12</v>
      </c>
      <c r="G3424" t="s">
        <v>13</v>
      </c>
      <c r="H3424" t="s">
        <v>13</v>
      </c>
      <c r="I3424">
        <v>26</v>
      </c>
      <c r="J3424">
        <f>ABS((I3424-EDA!$A$15)/EDA!$B$15)</f>
        <v>1.1277649683754829</v>
      </c>
      <c r="K3424" t="str">
        <f t="shared" si="53"/>
        <v>No</v>
      </c>
      <c r="L3424">
        <f>ABS((C3424-EDA!$F$15)/EDA!$G$15)</f>
        <v>0.36899768984293924</v>
      </c>
      <c r="M3424" t="str">
        <f>IF(moras[[#This Row],[Z-Score Salario]]&gt;1.96, "Sí", "No")</f>
        <v>No</v>
      </c>
      <c r="N3424" s="14">
        <f>IF(ISBLANK(moras[[#This Row],[SALARIO]]), EDA!$M$8, moras[[#This Row],[SALARIO]])</f>
        <v>400000</v>
      </c>
      <c r="O3424" s="14">
        <f xml:space="preserve"> IF(ISBLANK(moras[[#This Row],[EDAD]]), EDA!$E$8, moras[[#This Row],[EDAD]])</f>
        <v>26</v>
      </c>
      <c r="P3424" s="14" t="str">
        <f>IF(
    OR(ISBLANK(moras[[#This Row],[TIPO_ASEGURAMIENTO]]), moras[[#This Row],[TIPO_ASEGURAMIENTO]]=""),
    EDA!$A$32,
    moras[[#This Row],[TIPO_ASEGURAMIENTO]]
)</f>
        <v>ASALARIADO</v>
      </c>
    </row>
    <row r="3425" spans="1:16" x14ac:dyDescent="0.3">
      <c r="A3425">
        <v>3424</v>
      </c>
      <c r="B3425" t="s">
        <v>15</v>
      </c>
      <c r="C3425">
        <v>675000</v>
      </c>
      <c r="D3425" t="s">
        <v>10</v>
      </c>
      <c r="E3425" t="s">
        <v>16</v>
      </c>
      <c r="F3425" t="s">
        <v>12</v>
      </c>
      <c r="G3425" t="s">
        <v>13</v>
      </c>
      <c r="H3425" t="s">
        <v>13</v>
      </c>
      <c r="I3425">
        <v>27</v>
      </c>
      <c r="J3425">
        <f>ABS((I3425-EDA!$A$15)/EDA!$B$15)</f>
        <v>1.0571896382983452</v>
      </c>
      <c r="K3425" t="str">
        <f t="shared" si="53"/>
        <v>No</v>
      </c>
      <c r="L3425">
        <f>ABS((C3425-EDA!$F$15)/EDA!$G$15)</f>
        <v>0.36442149571708499</v>
      </c>
      <c r="M3425" t="str">
        <f>IF(moras[[#This Row],[Z-Score Salario]]&gt;1.96, "Sí", "No")</f>
        <v>No</v>
      </c>
      <c r="N3425" s="14">
        <f>IF(ISBLANK(moras[[#This Row],[SALARIO]]), EDA!$M$8, moras[[#This Row],[SALARIO]])</f>
        <v>675000</v>
      </c>
      <c r="O3425" s="14">
        <f xml:space="preserve"> IF(ISBLANK(moras[[#This Row],[EDAD]]), EDA!$E$8, moras[[#This Row],[EDAD]])</f>
        <v>27</v>
      </c>
      <c r="P3425" s="14" t="str">
        <f>IF(
    OR(ISBLANK(moras[[#This Row],[TIPO_ASEGURAMIENTO]]), moras[[#This Row],[TIPO_ASEGURAMIENTO]]=""),
    EDA!$A$32,
    moras[[#This Row],[TIPO_ASEGURAMIENTO]]
)</f>
        <v>ASALARIADO</v>
      </c>
    </row>
    <row r="3426" spans="1:16" x14ac:dyDescent="0.3">
      <c r="A3426">
        <v>3425</v>
      </c>
      <c r="B3426" t="s">
        <v>9</v>
      </c>
      <c r="C3426">
        <v>27782807</v>
      </c>
      <c r="D3426" t="s">
        <v>10</v>
      </c>
      <c r="E3426" t="s">
        <v>16</v>
      </c>
      <c r="F3426" t="s">
        <v>12</v>
      </c>
      <c r="G3426" t="s">
        <v>13</v>
      </c>
      <c r="H3426" t="s">
        <v>13</v>
      </c>
      <c r="I3426">
        <v>22</v>
      </c>
      <c r="J3426">
        <f>ABS((I3426-EDA!$A$15)/EDA!$B$15)</f>
        <v>1.4100662886840327</v>
      </c>
      <c r="K3426" t="str">
        <f t="shared" si="53"/>
        <v>No</v>
      </c>
      <c r="L3426">
        <f>ABS((C3426-EDA!$F$15)/EDA!$G$15)</f>
        <v>8.6671548494515013E-2</v>
      </c>
      <c r="M3426" t="str">
        <f>IF(moras[[#This Row],[Z-Score Salario]]&gt;1.96, "Sí", "No")</f>
        <v>No</v>
      </c>
      <c r="N3426" s="14">
        <f>IF(ISBLANK(moras[[#This Row],[SALARIO]]), EDA!$M$8, moras[[#This Row],[SALARIO]])</f>
        <v>27782807</v>
      </c>
      <c r="O3426" s="14">
        <f xml:space="preserve"> IF(ISBLANK(moras[[#This Row],[EDAD]]), EDA!$E$8, moras[[#This Row],[EDAD]])</f>
        <v>22</v>
      </c>
      <c r="P3426" s="14" t="str">
        <f>IF(
    OR(ISBLANK(moras[[#This Row],[TIPO_ASEGURAMIENTO]]), moras[[#This Row],[TIPO_ASEGURAMIENTO]]=""),
    EDA!$A$32,
    moras[[#This Row],[TIPO_ASEGURAMIENTO]]
)</f>
        <v>ASALARIADO</v>
      </c>
    </row>
    <row r="3427" spans="1:16" x14ac:dyDescent="0.3">
      <c r="A3427">
        <v>3426</v>
      </c>
      <c r="B3427" t="s">
        <v>9</v>
      </c>
      <c r="C3427">
        <v>270000</v>
      </c>
      <c r="D3427" t="s">
        <v>10</v>
      </c>
      <c r="E3427" t="s">
        <v>16</v>
      </c>
      <c r="F3427" t="s">
        <v>12</v>
      </c>
      <c r="G3427" t="s">
        <v>13</v>
      </c>
      <c r="H3427" t="s">
        <v>13</v>
      </c>
      <c r="I3427">
        <v>58</v>
      </c>
      <c r="J3427">
        <f>ABS((I3427-EDA!$A$15)/EDA!$B$15)</f>
        <v>1.1306455940929174</v>
      </c>
      <c r="K3427" t="str">
        <f t="shared" si="53"/>
        <v>No</v>
      </c>
      <c r="L3427">
        <f>ABS((C3427-EDA!$F$15)/EDA!$G$15)</f>
        <v>0.37116098161152489</v>
      </c>
      <c r="M3427" t="str">
        <f>IF(moras[[#This Row],[Z-Score Salario]]&gt;1.96, "Sí", "No")</f>
        <v>No</v>
      </c>
      <c r="N3427" s="14">
        <f>IF(ISBLANK(moras[[#This Row],[SALARIO]]), EDA!$M$8, moras[[#This Row],[SALARIO]])</f>
        <v>270000</v>
      </c>
      <c r="O3427" s="14">
        <f xml:space="preserve"> IF(ISBLANK(moras[[#This Row],[EDAD]]), EDA!$E$8, moras[[#This Row],[EDAD]])</f>
        <v>58</v>
      </c>
      <c r="P3427" s="14" t="str">
        <f>IF(
    OR(ISBLANK(moras[[#This Row],[TIPO_ASEGURAMIENTO]]), moras[[#This Row],[TIPO_ASEGURAMIENTO]]=""),
    EDA!$A$32,
    moras[[#This Row],[TIPO_ASEGURAMIENTO]]
)</f>
        <v>ASALARIADO</v>
      </c>
    </row>
    <row r="3428" spans="1:16" x14ac:dyDescent="0.3">
      <c r="A3428">
        <v>3427</v>
      </c>
      <c r="B3428" t="s">
        <v>15</v>
      </c>
      <c r="C3428">
        <v>514380</v>
      </c>
      <c r="D3428" t="s">
        <v>10</v>
      </c>
      <c r="E3428" t="s">
        <v>11</v>
      </c>
      <c r="F3428" t="s">
        <v>12</v>
      </c>
      <c r="G3428" t="s">
        <v>13</v>
      </c>
      <c r="H3428" t="s">
        <v>13</v>
      </c>
      <c r="I3428">
        <v>57</v>
      </c>
      <c r="J3428">
        <f>ABS((I3428-EDA!$A$15)/EDA!$B$15)</f>
        <v>1.0600702640157798</v>
      </c>
      <c r="K3428" t="str">
        <f t="shared" si="53"/>
        <v>No</v>
      </c>
      <c r="L3428">
        <f>ABS((C3428-EDA!$F$15)/EDA!$G$15)</f>
        <v>0.36709432590070212</v>
      </c>
      <c r="M3428" t="str">
        <f>IF(moras[[#This Row],[Z-Score Salario]]&gt;1.96, "Sí", "No")</f>
        <v>No</v>
      </c>
      <c r="N3428" s="14">
        <f>IF(ISBLANK(moras[[#This Row],[SALARIO]]), EDA!$M$8, moras[[#This Row],[SALARIO]])</f>
        <v>514380</v>
      </c>
      <c r="O3428" s="14">
        <f xml:space="preserve"> IF(ISBLANK(moras[[#This Row],[EDAD]]), EDA!$E$8, moras[[#This Row],[EDAD]])</f>
        <v>57</v>
      </c>
      <c r="P3428" s="14" t="str">
        <f>IF(
    OR(ISBLANK(moras[[#This Row],[TIPO_ASEGURAMIENTO]]), moras[[#This Row],[TIPO_ASEGURAMIENTO]]=""),
    EDA!$A$32,
    moras[[#This Row],[TIPO_ASEGURAMIENTO]]
)</f>
        <v>ASALARIADO</v>
      </c>
    </row>
    <row r="3429" spans="1:16" x14ac:dyDescent="0.3">
      <c r="A3429">
        <v>3428</v>
      </c>
      <c r="B3429" t="s">
        <v>9</v>
      </c>
      <c r="C3429">
        <v>99506979</v>
      </c>
      <c r="D3429" t="s">
        <v>10</v>
      </c>
      <c r="E3429" t="s">
        <v>16</v>
      </c>
      <c r="F3429" t="s">
        <v>12</v>
      </c>
      <c r="G3429" t="s">
        <v>13</v>
      </c>
      <c r="H3429" t="s">
        <v>13</v>
      </c>
      <c r="I3429">
        <v>37</v>
      </c>
      <c r="J3429">
        <f>ABS((I3429-EDA!$A$15)/EDA!$B$15)</f>
        <v>0.35143633752697023</v>
      </c>
      <c r="K3429" t="str">
        <f t="shared" si="53"/>
        <v>No</v>
      </c>
      <c r="L3429">
        <f>ABS((C3429-EDA!$F$15)/EDA!$G$15)</f>
        <v>1.2802124015423622</v>
      </c>
      <c r="M3429" t="str">
        <f>IF(moras[[#This Row],[Z-Score Salario]]&gt;1.96, "Sí", "No")</f>
        <v>No</v>
      </c>
      <c r="N3429" s="14">
        <f>IF(ISBLANK(moras[[#This Row],[SALARIO]]), EDA!$M$8, moras[[#This Row],[SALARIO]])</f>
        <v>99506979</v>
      </c>
      <c r="O3429" s="14">
        <f xml:space="preserve"> IF(ISBLANK(moras[[#This Row],[EDAD]]), EDA!$E$8, moras[[#This Row],[EDAD]])</f>
        <v>37</v>
      </c>
      <c r="P3429" s="14" t="str">
        <f>IF(
    OR(ISBLANK(moras[[#This Row],[TIPO_ASEGURAMIENTO]]), moras[[#This Row],[TIPO_ASEGURAMIENTO]]=""),
    EDA!$A$32,
    moras[[#This Row],[TIPO_ASEGURAMIENTO]]
)</f>
        <v>ASALARIADO</v>
      </c>
    </row>
    <row r="3430" spans="1:16" x14ac:dyDescent="0.3">
      <c r="A3430">
        <v>3429</v>
      </c>
      <c r="B3430" t="s">
        <v>9</v>
      </c>
      <c r="C3430">
        <v>278500</v>
      </c>
      <c r="D3430" t="s">
        <v>10</v>
      </c>
      <c r="E3430" t="s">
        <v>16</v>
      </c>
      <c r="F3430" t="s">
        <v>12</v>
      </c>
      <c r="G3430" t="s">
        <v>13</v>
      </c>
      <c r="H3430" t="s">
        <v>13</v>
      </c>
      <c r="I3430">
        <v>43</v>
      </c>
      <c r="J3430">
        <f>ABS((I3430-EDA!$A$15)/EDA!$B$15)</f>
        <v>7.2015642935854773E-2</v>
      </c>
      <c r="K3430" t="str">
        <f t="shared" si="53"/>
        <v>No</v>
      </c>
      <c r="L3430">
        <f>ABS((C3430-EDA!$F$15)/EDA!$G$15)</f>
        <v>0.37101953561127121</v>
      </c>
      <c r="M3430" t="str">
        <f>IF(moras[[#This Row],[Z-Score Salario]]&gt;1.96, "Sí", "No")</f>
        <v>No</v>
      </c>
      <c r="N3430" s="14">
        <f>IF(ISBLANK(moras[[#This Row],[SALARIO]]), EDA!$M$8, moras[[#This Row],[SALARIO]])</f>
        <v>278500</v>
      </c>
      <c r="O3430" s="14">
        <f xml:space="preserve"> IF(ISBLANK(moras[[#This Row],[EDAD]]), EDA!$E$8, moras[[#This Row],[EDAD]])</f>
        <v>43</v>
      </c>
      <c r="P3430" s="14" t="str">
        <f>IF(
    OR(ISBLANK(moras[[#This Row],[TIPO_ASEGURAMIENTO]]), moras[[#This Row],[TIPO_ASEGURAMIENTO]]=""),
    EDA!$A$32,
    moras[[#This Row],[TIPO_ASEGURAMIENTO]]
)</f>
        <v>ASALARIADO</v>
      </c>
    </row>
    <row r="3431" spans="1:16" x14ac:dyDescent="0.3">
      <c r="A3431">
        <v>3430</v>
      </c>
      <c r="B3431" t="s">
        <v>15</v>
      </c>
      <c r="C3431">
        <v>368282</v>
      </c>
      <c r="D3431" t="s">
        <v>10</v>
      </c>
      <c r="E3431" t="s">
        <v>16</v>
      </c>
      <c r="F3431" t="s">
        <v>12</v>
      </c>
      <c r="G3431" t="s">
        <v>13</v>
      </c>
      <c r="H3431" t="s">
        <v>13</v>
      </c>
      <c r="I3431">
        <v>54</v>
      </c>
      <c r="J3431">
        <f>ABS((I3431-EDA!$A$15)/EDA!$B$15)</f>
        <v>0.84834427378436728</v>
      </c>
      <c r="K3431" t="str">
        <f t="shared" si="53"/>
        <v>No</v>
      </c>
      <c r="L3431">
        <f>ABS((C3431-EDA!$F$15)/EDA!$G$15)</f>
        <v>0.36952549975306231</v>
      </c>
      <c r="M3431" t="str">
        <f>IF(moras[[#This Row],[Z-Score Salario]]&gt;1.96, "Sí", "No")</f>
        <v>No</v>
      </c>
      <c r="N3431" s="14">
        <f>IF(ISBLANK(moras[[#This Row],[SALARIO]]), EDA!$M$8, moras[[#This Row],[SALARIO]])</f>
        <v>368282</v>
      </c>
      <c r="O3431" s="14">
        <f xml:space="preserve"> IF(ISBLANK(moras[[#This Row],[EDAD]]), EDA!$E$8, moras[[#This Row],[EDAD]])</f>
        <v>54</v>
      </c>
      <c r="P3431" s="14" t="str">
        <f>IF(
    OR(ISBLANK(moras[[#This Row],[TIPO_ASEGURAMIENTO]]), moras[[#This Row],[TIPO_ASEGURAMIENTO]]=""),
    EDA!$A$32,
    moras[[#This Row],[TIPO_ASEGURAMIENTO]]
)</f>
        <v>ASALARIADO</v>
      </c>
    </row>
    <row r="3432" spans="1:16" x14ac:dyDescent="0.3">
      <c r="A3432">
        <v>3431</v>
      </c>
      <c r="B3432" t="s">
        <v>15</v>
      </c>
      <c r="C3432">
        <v>509509</v>
      </c>
      <c r="D3432" t="s">
        <v>18</v>
      </c>
      <c r="E3432" t="s">
        <v>16</v>
      </c>
      <c r="F3432" t="s">
        <v>12</v>
      </c>
      <c r="G3432" t="s">
        <v>13</v>
      </c>
      <c r="H3432" t="s">
        <v>12</v>
      </c>
      <c r="I3432">
        <v>45</v>
      </c>
      <c r="J3432">
        <f>ABS((I3432-EDA!$A$15)/EDA!$B$15)</f>
        <v>0.21316630309012977</v>
      </c>
      <c r="K3432" t="str">
        <f t="shared" si="53"/>
        <v>No</v>
      </c>
      <c r="L3432">
        <f>ABS((C3432-EDA!$F$15)/EDA!$G$15)</f>
        <v>0.36717538277920042</v>
      </c>
      <c r="M3432" t="str">
        <f>IF(moras[[#This Row],[Z-Score Salario]]&gt;1.96, "Sí", "No")</f>
        <v>No</v>
      </c>
      <c r="N3432" s="14">
        <f>IF(ISBLANK(moras[[#This Row],[SALARIO]]), EDA!$M$8, moras[[#This Row],[SALARIO]])</f>
        <v>509509</v>
      </c>
      <c r="O3432" s="14">
        <f xml:space="preserve"> IF(ISBLANK(moras[[#This Row],[EDAD]]), EDA!$E$8, moras[[#This Row],[EDAD]])</f>
        <v>45</v>
      </c>
      <c r="P3432" s="14" t="str">
        <f>IF(
    OR(ISBLANK(moras[[#This Row],[TIPO_ASEGURAMIENTO]]), moras[[#This Row],[TIPO_ASEGURAMIENTO]]=""),
    EDA!$A$32,
    moras[[#This Row],[TIPO_ASEGURAMIENTO]]
)</f>
        <v>TRABAJADOR INDEPENDIENTE</v>
      </c>
    </row>
    <row r="3433" spans="1:16" x14ac:dyDescent="0.3">
      <c r="A3433">
        <v>3432</v>
      </c>
      <c r="B3433" t="s">
        <v>15</v>
      </c>
      <c r="C3433">
        <v>690000</v>
      </c>
      <c r="D3433" t="s">
        <v>10</v>
      </c>
      <c r="E3433" t="s">
        <v>16</v>
      </c>
      <c r="F3433" t="s">
        <v>12</v>
      </c>
      <c r="G3433" t="s">
        <v>13</v>
      </c>
      <c r="H3433" t="s">
        <v>13</v>
      </c>
      <c r="I3433">
        <v>40</v>
      </c>
      <c r="J3433">
        <f>ABS((I3433-EDA!$A$15)/EDA!$B$15)</f>
        <v>0.13971034729555773</v>
      </c>
      <c r="K3433" t="str">
        <f t="shared" si="53"/>
        <v>No</v>
      </c>
      <c r="L3433">
        <f>ABS((C3433-EDA!$F$15)/EDA!$G$15)</f>
        <v>0.36417188512840204</v>
      </c>
      <c r="M3433" t="str">
        <f>IF(moras[[#This Row],[Z-Score Salario]]&gt;1.96, "Sí", "No")</f>
        <v>No</v>
      </c>
      <c r="N3433" s="14">
        <f>IF(ISBLANK(moras[[#This Row],[SALARIO]]), EDA!$M$8, moras[[#This Row],[SALARIO]])</f>
        <v>690000</v>
      </c>
      <c r="O3433" s="14">
        <f xml:space="preserve"> IF(ISBLANK(moras[[#This Row],[EDAD]]), EDA!$E$8, moras[[#This Row],[EDAD]])</f>
        <v>40</v>
      </c>
      <c r="P3433" s="14" t="str">
        <f>IF(
    OR(ISBLANK(moras[[#This Row],[TIPO_ASEGURAMIENTO]]), moras[[#This Row],[TIPO_ASEGURAMIENTO]]=""),
    EDA!$A$32,
    moras[[#This Row],[TIPO_ASEGURAMIENTO]]
)</f>
        <v>ASALARIADO</v>
      </c>
    </row>
    <row r="3434" spans="1:16" x14ac:dyDescent="0.3">
      <c r="A3434">
        <v>3433</v>
      </c>
      <c r="B3434" t="s">
        <v>9</v>
      </c>
      <c r="C3434">
        <v>404463</v>
      </c>
      <c r="D3434" t="s">
        <v>18</v>
      </c>
      <c r="E3434" t="s">
        <v>16</v>
      </c>
      <c r="F3434" t="s">
        <v>12</v>
      </c>
      <c r="G3434" t="s">
        <v>13</v>
      </c>
      <c r="H3434" t="s">
        <v>13</v>
      </c>
      <c r="I3434">
        <v>50</v>
      </c>
      <c r="J3434">
        <f>ABS((I3434-EDA!$A$15)/EDA!$B$15)</f>
        <v>0.56604295347581735</v>
      </c>
      <c r="K3434" t="str">
        <f t="shared" si="53"/>
        <v>No</v>
      </c>
      <c r="L3434">
        <f>ABS((C3434-EDA!$F$15)/EDA!$G$15)</f>
        <v>0.36892342237245312</v>
      </c>
      <c r="M3434" t="str">
        <f>IF(moras[[#This Row],[Z-Score Salario]]&gt;1.96, "Sí", "No")</f>
        <v>No</v>
      </c>
      <c r="N3434" s="14">
        <f>IF(ISBLANK(moras[[#This Row],[SALARIO]]), EDA!$M$8, moras[[#This Row],[SALARIO]])</f>
        <v>404463</v>
      </c>
      <c r="O3434" s="14">
        <f xml:space="preserve"> IF(ISBLANK(moras[[#This Row],[EDAD]]), EDA!$E$8, moras[[#This Row],[EDAD]])</f>
        <v>50</v>
      </c>
      <c r="P3434" s="14" t="str">
        <f>IF(
    OR(ISBLANK(moras[[#This Row],[TIPO_ASEGURAMIENTO]]), moras[[#This Row],[TIPO_ASEGURAMIENTO]]=""),
    EDA!$A$32,
    moras[[#This Row],[TIPO_ASEGURAMIENTO]]
)</f>
        <v>TRABAJADOR INDEPENDIENTE</v>
      </c>
    </row>
    <row r="3435" spans="1:16" x14ac:dyDescent="0.3">
      <c r="A3435">
        <v>3434</v>
      </c>
      <c r="B3435" t="s">
        <v>9</v>
      </c>
      <c r="C3435">
        <v>873081</v>
      </c>
      <c r="D3435" t="s">
        <v>10</v>
      </c>
      <c r="E3435" t="s">
        <v>11</v>
      </c>
      <c r="F3435" t="s">
        <v>12</v>
      </c>
      <c r="G3435" t="s">
        <v>13</v>
      </c>
      <c r="H3435" t="s">
        <v>13</v>
      </c>
      <c r="I3435">
        <v>36</v>
      </c>
      <c r="J3435">
        <f>ABS((I3435-EDA!$A$15)/EDA!$B$15)</f>
        <v>0.42201166760410774</v>
      </c>
      <c r="K3435" t="str">
        <f t="shared" si="53"/>
        <v>No</v>
      </c>
      <c r="L3435">
        <f>ABS((C3435-EDA!$F$15)/EDA!$G$15)</f>
        <v>0.36112528804929106</v>
      </c>
      <c r="M3435" t="str">
        <f>IF(moras[[#This Row],[Z-Score Salario]]&gt;1.96, "Sí", "No")</f>
        <v>No</v>
      </c>
      <c r="N3435" s="14">
        <f>IF(ISBLANK(moras[[#This Row],[SALARIO]]), EDA!$M$8, moras[[#This Row],[SALARIO]])</f>
        <v>873081</v>
      </c>
      <c r="O3435" s="14">
        <f xml:space="preserve"> IF(ISBLANK(moras[[#This Row],[EDAD]]), EDA!$E$8, moras[[#This Row],[EDAD]])</f>
        <v>36</v>
      </c>
      <c r="P3435" s="14" t="str">
        <f>IF(
    OR(ISBLANK(moras[[#This Row],[TIPO_ASEGURAMIENTO]]), moras[[#This Row],[TIPO_ASEGURAMIENTO]]=""),
    EDA!$A$32,
    moras[[#This Row],[TIPO_ASEGURAMIENTO]]
)</f>
        <v>ASALARIADO</v>
      </c>
    </row>
    <row r="3436" spans="1:16" x14ac:dyDescent="0.3">
      <c r="A3436">
        <v>3435</v>
      </c>
      <c r="B3436" t="s">
        <v>15</v>
      </c>
      <c r="C3436">
        <v>298186</v>
      </c>
      <c r="D3436" t="s">
        <v>17</v>
      </c>
      <c r="E3436" t="s">
        <v>16</v>
      </c>
      <c r="F3436" t="s">
        <v>12</v>
      </c>
      <c r="G3436" t="s">
        <v>13</v>
      </c>
      <c r="H3436" t="s">
        <v>13</v>
      </c>
      <c r="I3436">
        <v>54</v>
      </c>
      <c r="J3436">
        <f>ABS((I3436-EDA!$A$15)/EDA!$B$15)</f>
        <v>0.84834427378436728</v>
      </c>
      <c r="K3436" t="str">
        <f t="shared" si="53"/>
        <v>No</v>
      </c>
      <c r="L3436">
        <f>ABS((C3436-EDA!$F$15)/EDA!$G$15)</f>
        <v>0.37069194667468369</v>
      </c>
      <c r="M3436" t="str">
        <f>IF(moras[[#This Row],[Z-Score Salario]]&gt;1.96, "Sí", "No")</f>
        <v>No</v>
      </c>
      <c r="N3436" s="14">
        <f>IF(ISBLANK(moras[[#This Row],[SALARIO]]), EDA!$M$8, moras[[#This Row],[SALARIO]])</f>
        <v>298186</v>
      </c>
      <c r="O3436" s="14">
        <f xml:space="preserve"> IF(ISBLANK(moras[[#This Row],[EDAD]]), EDA!$E$8, moras[[#This Row],[EDAD]])</f>
        <v>54</v>
      </c>
      <c r="P3436" s="14" t="str">
        <f>IF(
    OR(ISBLANK(moras[[#This Row],[TIPO_ASEGURAMIENTO]]), moras[[#This Row],[TIPO_ASEGURAMIENTO]]=""),
    EDA!$A$32,
    moras[[#This Row],[TIPO_ASEGURAMIENTO]]
)</f>
        <v>ASEGURADO VOLUNTARIO</v>
      </c>
    </row>
    <row r="3437" spans="1:16" x14ac:dyDescent="0.3">
      <c r="A3437">
        <v>3436</v>
      </c>
      <c r="B3437" t="s">
        <v>15</v>
      </c>
      <c r="C3437">
        <v>108876367</v>
      </c>
      <c r="D3437" t="s">
        <v>10</v>
      </c>
      <c r="E3437" t="s">
        <v>16</v>
      </c>
      <c r="F3437" t="s">
        <v>12</v>
      </c>
      <c r="G3437" t="s">
        <v>13</v>
      </c>
      <c r="H3437" t="s">
        <v>13</v>
      </c>
      <c r="I3437">
        <v>36</v>
      </c>
      <c r="J3437">
        <f>ABS((I3437-EDA!$A$15)/EDA!$B$15)</f>
        <v>0.42201166760410774</v>
      </c>
      <c r="K3437" t="str">
        <f t="shared" si="53"/>
        <v>No</v>
      </c>
      <c r="L3437">
        <f>ABS((C3437-EDA!$F$15)/EDA!$G$15)</f>
        <v>1.4361256318276314</v>
      </c>
      <c r="M3437" t="str">
        <f>IF(moras[[#This Row],[Z-Score Salario]]&gt;1.96, "Sí", "No")</f>
        <v>No</v>
      </c>
      <c r="N3437" s="14">
        <f>IF(ISBLANK(moras[[#This Row],[SALARIO]]), EDA!$M$8, moras[[#This Row],[SALARIO]])</f>
        <v>108876367</v>
      </c>
      <c r="O3437" s="14">
        <f xml:space="preserve"> IF(ISBLANK(moras[[#This Row],[EDAD]]), EDA!$E$8, moras[[#This Row],[EDAD]])</f>
        <v>36</v>
      </c>
      <c r="P3437" s="14" t="str">
        <f>IF(
    OR(ISBLANK(moras[[#This Row],[TIPO_ASEGURAMIENTO]]), moras[[#This Row],[TIPO_ASEGURAMIENTO]]=""),
    EDA!$A$32,
    moras[[#This Row],[TIPO_ASEGURAMIENTO]]
)</f>
        <v>ASALARIADO</v>
      </c>
    </row>
    <row r="3438" spans="1:16" x14ac:dyDescent="0.3">
      <c r="A3438">
        <v>3437</v>
      </c>
      <c r="B3438" t="s">
        <v>9</v>
      </c>
      <c r="C3438">
        <v>300000</v>
      </c>
      <c r="D3438" t="s">
        <v>17</v>
      </c>
      <c r="E3438" t="s">
        <v>16</v>
      </c>
      <c r="F3438" t="s">
        <v>12</v>
      </c>
      <c r="G3438" t="s">
        <v>12</v>
      </c>
      <c r="H3438" t="s">
        <v>13</v>
      </c>
      <c r="I3438">
        <v>32</v>
      </c>
      <c r="J3438">
        <f>ABS((I3438-EDA!$A$15)/EDA!$B$15)</f>
        <v>0.70431298791265773</v>
      </c>
      <c r="K3438" t="str">
        <f t="shared" si="53"/>
        <v>No</v>
      </c>
      <c r="L3438">
        <f>ABS((C3438-EDA!$F$15)/EDA!$G$15)</f>
        <v>0.37066176043415894</v>
      </c>
      <c r="M3438" t="str">
        <f>IF(moras[[#This Row],[Z-Score Salario]]&gt;1.96, "Sí", "No")</f>
        <v>No</v>
      </c>
      <c r="N3438" s="14">
        <f>IF(ISBLANK(moras[[#This Row],[SALARIO]]), EDA!$M$8, moras[[#This Row],[SALARIO]])</f>
        <v>300000</v>
      </c>
      <c r="O3438" s="14">
        <f xml:space="preserve"> IF(ISBLANK(moras[[#This Row],[EDAD]]), EDA!$E$8, moras[[#This Row],[EDAD]])</f>
        <v>32</v>
      </c>
      <c r="P3438" s="14" t="str">
        <f>IF(
    OR(ISBLANK(moras[[#This Row],[TIPO_ASEGURAMIENTO]]), moras[[#This Row],[TIPO_ASEGURAMIENTO]]=""),
    EDA!$A$32,
    moras[[#This Row],[TIPO_ASEGURAMIENTO]]
)</f>
        <v>ASEGURADO VOLUNTARIO</v>
      </c>
    </row>
    <row r="3439" spans="1:16" x14ac:dyDescent="0.3">
      <c r="A3439">
        <v>3438</v>
      </c>
      <c r="B3439" t="s">
        <v>9</v>
      </c>
      <c r="C3439">
        <v>93481014</v>
      </c>
      <c r="D3439" t="s">
        <v>10</v>
      </c>
      <c r="E3439" t="s">
        <v>11</v>
      </c>
      <c r="F3439" t="s">
        <v>12</v>
      </c>
      <c r="G3439" t="s">
        <v>13</v>
      </c>
      <c r="H3439" t="s">
        <v>13</v>
      </c>
      <c r="I3439">
        <v>34</v>
      </c>
      <c r="J3439">
        <f>ABS((I3439-EDA!$A$15)/EDA!$B$15)</f>
        <v>0.56316232775838282</v>
      </c>
      <c r="K3439" t="str">
        <f t="shared" si="53"/>
        <v>No</v>
      </c>
      <c r="L3439">
        <f>ABS((C3439-EDA!$F$15)/EDA!$G$15)</f>
        <v>1.1799360901401688</v>
      </c>
      <c r="M3439" t="str">
        <f>IF(moras[[#This Row],[Z-Score Salario]]&gt;1.96, "Sí", "No")</f>
        <v>No</v>
      </c>
      <c r="N3439" s="14">
        <f>IF(ISBLANK(moras[[#This Row],[SALARIO]]), EDA!$M$8, moras[[#This Row],[SALARIO]])</f>
        <v>93481014</v>
      </c>
      <c r="O3439" s="14">
        <f xml:space="preserve"> IF(ISBLANK(moras[[#This Row],[EDAD]]), EDA!$E$8, moras[[#This Row],[EDAD]])</f>
        <v>34</v>
      </c>
      <c r="P3439" s="14" t="str">
        <f>IF(
    OR(ISBLANK(moras[[#This Row],[TIPO_ASEGURAMIENTO]]), moras[[#This Row],[TIPO_ASEGURAMIENTO]]=""),
    EDA!$A$32,
    moras[[#This Row],[TIPO_ASEGURAMIENTO]]
)</f>
        <v>ASALARIADO</v>
      </c>
    </row>
    <row r="3440" spans="1:16" x14ac:dyDescent="0.3">
      <c r="A3440">
        <v>3439</v>
      </c>
      <c r="B3440" t="s">
        <v>15</v>
      </c>
      <c r="C3440">
        <v>278030</v>
      </c>
      <c r="D3440" t="s">
        <v>19</v>
      </c>
      <c r="E3440" t="s">
        <v>16</v>
      </c>
      <c r="F3440" t="s">
        <v>12</v>
      </c>
      <c r="G3440" t="s">
        <v>12</v>
      </c>
      <c r="H3440" t="s">
        <v>13</v>
      </c>
      <c r="I3440">
        <v>29</v>
      </c>
      <c r="J3440">
        <f>ABS((I3440-EDA!$A$15)/EDA!$B$15)</f>
        <v>0.91603897814407031</v>
      </c>
      <c r="K3440" t="str">
        <f t="shared" si="53"/>
        <v>No</v>
      </c>
      <c r="L3440">
        <f>ABS((C3440-EDA!$F$15)/EDA!$G$15)</f>
        <v>0.37102735674304993</v>
      </c>
      <c r="M3440" t="str">
        <f>IF(moras[[#This Row],[Z-Score Salario]]&gt;1.96, "Sí", "No")</f>
        <v>No</v>
      </c>
      <c r="N3440" s="14">
        <f>IF(ISBLANK(moras[[#This Row],[SALARIO]]), EDA!$M$8, moras[[#This Row],[SALARIO]])</f>
        <v>278030</v>
      </c>
      <c r="O3440" s="14">
        <f xml:space="preserve"> IF(ISBLANK(moras[[#This Row],[EDAD]]), EDA!$E$8, moras[[#This Row],[EDAD]])</f>
        <v>29</v>
      </c>
      <c r="P3440" s="14" t="str">
        <f>IF(
    OR(ISBLANK(moras[[#This Row],[TIPO_ASEGURAMIENTO]]), moras[[#This Row],[TIPO_ASEGURAMIENTO]]=""),
    EDA!$A$32,
    moras[[#This Row],[TIPO_ASEGURAMIENTO]]
)</f>
        <v>CONVENIOS ESPECIALES DE TRABAJADORES INDEPENDIENTES</v>
      </c>
    </row>
    <row r="3441" spans="1:16" x14ac:dyDescent="0.3">
      <c r="A3441">
        <v>3440</v>
      </c>
      <c r="B3441" t="s">
        <v>15</v>
      </c>
      <c r="C3441">
        <v>76589337</v>
      </c>
      <c r="D3441" t="s">
        <v>10</v>
      </c>
      <c r="E3441" t="s">
        <v>16</v>
      </c>
      <c r="F3441" t="s">
        <v>12</v>
      </c>
      <c r="G3441" t="s">
        <v>13</v>
      </c>
      <c r="H3441" t="s">
        <v>13</v>
      </c>
      <c r="I3441">
        <v>24</v>
      </c>
      <c r="J3441">
        <f>ABS((I3441-EDA!$A$15)/EDA!$B$15)</f>
        <v>1.2689156285297578</v>
      </c>
      <c r="K3441" t="str">
        <f t="shared" si="53"/>
        <v>No</v>
      </c>
      <c r="L3441">
        <f>ABS((C3441-EDA!$F$15)/EDA!$G$15)</f>
        <v>0.89884666081934395</v>
      </c>
      <c r="M3441" t="str">
        <f>IF(moras[[#This Row],[Z-Score Salario]]&gt;1.96, "Sí", "No")</f>
        <v>No</v>
      </c>
      <c r="N3441" s="14">
        <f>IF(ISBLANK(moras[[#This Row],[SALARIO]]), EDA!$M$8, moras[[#This Row],[SALARIO]])</f>
        <v>76589337</v>
      </c>
      <c r="O3441" s="14">
        <f xml:space="preserve"> IF(ISBLANK(moras[[#This Row],[EDAD]]), EDA!$E$8, moras[[#This Row],[EDAD]])</f>
        <v>24</v>
      </c>
      <c r="P3441" s="14" t="str">
        <f>IF(
    OR(ISBLANK(moras[[#This Row],[TIPO_ASEGURAMIENTO]]), moras[[#This Row],[TIPO_ASEGURAMIENTO]]=""),
    EDA!$A$32,
    moras[[#This Row],[TIPO_ASEGURAMIENTO]]
)</f>
        <v>ASALARIADO</v>
      </c>
    </row>
    <row r="3442" spans="1:16" x14ac:dyDescent="0.3">
      <c r="A3442">
        <v>3441</v>
      </c>
      <c r="B3442" t="s">
        <v>9</v>
      </c>
      <c r="C3442">
        <v>42542615</v>
      </c>
      <c r="D3442" t="s">
        <v>10</v>
      </c>
      <c r="E3442" t="s">
        <v>16</v>
      </c>
      <c r="F3442" t="s">
        <v>12</v>
      </c>
      <c r="G3442" t="s">
        <v>13</v>
      </c>
      <c r="H3442" t="s">
        <v>13</v>
      </c>
      <c r="I3442">
        <v>21</v>
      </c>
      <c r="J3442">
        <f>ABS((I3442-EDA!$A$15)/EDA!$B$15)</f>
        <v>1.4806416187611704</v>
      </c>
      <c r="K3442" t="str">
        <f t="shared" si="53"/>
        <v>No</v>
      </c>
      <c r="L3442">
        <f>ABS((C3442-EDA!$F$15)/EDA!$G$15)</f>
        <v>0.33228517274301023</v>
      </c>
      <c r="M3442" t="str">
        <f>IF(moras[[#This Row],[Z-Score Salario]]&gt;1.96, "Sí", "No")</f>
        <v>No</v>
      </c>
      <c r="N3442" s="14">
        <f>IF(ISBLANK(moras[[#This Row],[SALARIO]]), EDA!$M$8, moras[[#This Row],[SALARIO]])</f>
        <v>42542615</v>
      </c>
      <c r="O3442" s="14">
        <f xml:space="preserve"> IF(ISBLANK(moras[[#This Row],[EDAD]]), EDA!$E$8, moras[[#This Row],[EDAD]])</f>
        <v>21</v>
      </c>
      <c r="P3442" s="14" t="str">
        <f>IF(
    OR(ISBLANK(moras[[#This Row],[TIPO_ASEGURAMIENTO]]), moras[[#This Row],[TIPO_ASEGURAMIENTO]]=""),
    EDA!$A$32,
    moras[[#This Row],[TIPO_ASEGURAMIENTO]]
)</f>
        <v>ASALARIADO</v>
      </c>
    </row>
    <row r="3443" spans="1:16" x14ac:dyDescent="0.3">
      <c r="A3443">
        <v>3442</v>
      </c>
      <c r="B3443" t="s">
        <v>15</v>
      </c>
      <c r="C3443">
        <v>655560</v>
      </c>
      <c r="D3443" t="s">
        <v>10</v>
      </c>
      <c r="E3443" t="s">
        <v>11</v>
      </c>
      <c r="F3443" t="s">
        <v>12</v>
      </c>
      <c r="G3443" t="s">
        <v>13</v>
      </c>
      <c r="H3443" t="s">
        <v>13</v>
      </c>
      <c r="I3443">
        <v>39</v>
      </c>
      <c r="J3443">
        <f>ABS((I3443-EDA!$A$15)/EDA!$B$15)</f>
        <v>0.21028567737269524</v>
      </c>
      <c r="K3443" t="str">
        <f t="shared" si="53"/>
        <v>No</v>
      </c>
      <c r="L3443">
        <f>ABS((C3443-EDA!$F$15)/EDA!$G$15)</f>
        <v>0.36474499104001812</v>
      </c>
      <c r="M3443" t="str">
        <f>IF(moras[[#This Row],[Z-Score Salario]]&gt;1.96, "Sí", "No")</f>
        <v>No</v>
      </c>
      <c r="N3443" s="14">
        <f>IF(ISBLANK(moras[[#This Row],[SALARIO]]), EDA!$M$8, moras[[#This Row],[SALARIO]])</f>
        <v>655560</v>
      </c>
      <c r="O3443" s="14">
        <f xml:space="preserve"> IF(ISBLANK(moras[[#This Row],[EDAD]]), EDA!$E$8, moras[[#This Row],[EDAD]])</f>
        <v>39</v>
      </c>
      <c r="P3443" s="14" t="str">
        <f>IF(
    OR(ISBLANK(moras[[#This Row],[TIPO_ASEGURAMIENTO]]), moras[[#This Row],[TIPO_ASEGURAMIENTO]]=""),
    EDA!$A$32,
    moras[[#This Row],[TIPO_ASEGURAMIENTO]]
)</f>
        <v>ASALARIADO</v>
      </c>
    </row>
    <row r="3444" spans="1:16" x14ac:dyDescent="0.3">
      <c r="A3444">
        <v>3443</v>
      </c>
      <c r="B3444" t="s">
        <v>9</v>
      </c>
      <c r="C3444">
        <v>106848</v>
      </c>
      <c r="D3444" t="s">
        <v>10</v>
      </c>
      <c r="E3444" t="s">
        <v>16</v>
      </c>
      <c r="F3444" t="s">
        <v>12</v>
      </c>
      <c r="G3444" t="s">
        <v>12</v>
      </c>
      <c r="H3444" t="s">
        <v>13</v>
      </c>
      <c r="I3444">
        <v>36</v>
      </c>
      <c r="J3444">
        <f>ABS((I3444-EDA!$A$15)/EDA!$B$15)</f>
        <v>0.42201166760410774</v>
      </c>
      <c r="K3444" t="str">
        <f t="shared" si="53"/>
        <v>No</v>
      </c>
      <c r="L3444">
        <f>ABS((C3444-EDA!$F$15)/EDA!$G$15)</f>
        <v>0.37387594606251168</v>
      </c>
      <c r="M3444" t="str">
        <f>IF(moras[[#This Row],[Z-Score Salario]]&gt;1.96, "Sí", "No")</f>
        <v>No</v>
      </c>
      <c r="N3444" s="14">
        <f>IF(ISBLANK(moras[[#This Row],[SALARIO]]), EDA!$M$8, moras[[#This Row],[SALARIO]])</f>
        <v>106848</v>
      </c>
      <c r="O3444" s="14">
        <f xml:space="preserve"> IF(ISBLANK(moras[[#This Row],[EDAD]]), EDA!$E$8, moras[[#This Row],[EDAD]])</f>
        <v>36</v>
      </c>
      <c r="P3444" s="14" t="str">
        <f>IF(
    OR(ISBLANK(moras[[#This Row],[TIPO_ASEGURAMIENTO]]), moras[[#This Row],[TIPO_ASEGURAMIENTO]]=""),
    EDA!$A$32,
    moras[[#This Row],[TIPO_ASEGURAMIENTO]]
)</f>
        <v>ASALARIADO</v>
      </c>
    </row>
    <row r="3445" spans="1:16" x14ac:dyDescent="0.3">
      <c r="A3445">
        <v>3444</v>
      </c>
      <c r="B3445" t="s">
        <v>9</v>
      </c>
      <c r="C3445">
        <v>149213065</v>
      </c>
      <c r="D3445" t="s">
        <v>10</v>
      </c>
      <c r="E3445" t="s">
        <v>11</v>
      </c>
      <c r="F3445" t="s">
        <v>12</v>
      </c>
      <c r="G3445" t="s">
        <v>13</v>
      </c>
      <c r="H3445" t="s">
        <v>13</v>
      </c>
      <c r="I3445">
        <v>58</v>
      </c>
      <c r="J3445">
        <f>ABS((I3445-EDA!$A$15)/EDA!$B$15)</f>
        <v>1.1306455940929174</v>
      </c>
      <c r="K3445" t="str">
        <f t="shared" si="53"/>
        <v>No</v>
      </c>
      <c r="L3445">
        <f>ABS((C3445-EDA!$F$15)/EDA!$G$15)</f>
        <v>2.1073567607147434</v>
      </c>
      <c r="M3445" t="str">
        <f>IF(moras[[#This Row],[Z-Score Salario]]&gt;1.96, "Sí", "No")</f>
        <v>Sí</v>
      </c>
      <c r="N3445" s="14">
        <f>IF(ISBLANK(moras[[#This Row],[SALARIO]]), EDA!$M$8, moras[[#This Row],[SALARIO]])</f>
        <v>149213065</v>
      </c>
      <c r="O3445" s="14">
        <f xml:space="preserve"> IF(ISBLANK(moras[[#This Row],[EDAD]]), EDA!$E$8, moras[[#This Row],[EDAD]])</f>
        <v>58</v>
      </c>
      <c r="P3445" s="14" t="str">
        <f>IF(
    OR(ISBLANK(moras[[#This Row],[TIPO_ASEGURAMIENTO]]), moras[[#This Row],[TIPO_ASEGURAMIENTO]]=""),
    EDA!$A$32,
    moras[[#This Row],[TIPO_ASEGURAMIENTO]]
)</f>
        <v>ASALARIADO</v>
      </c>
    </row>
    <row r="3446" spans="1:16" x14ac:dyDescent="0.3">
      <c r="A3446">
        <v>3445</v>
      </c>
      <c r="B3446" t="s">
        <v>9</v>
      </c>
      <c r="C3446">
        <v>175130</v>
      </c>
      <c r="D3446" t="s">
        <v>10</v>
      </c>
      <c r="E3446" t="s">
        <v>11</v>
      </c>
      <c r="F3446" t="s">
        <v>12</v>
      </c>
      <c r="G3446" t="s">
        <v>13</v>
      </c>
      <c r="H3446" t="s">
        <v>13</v>
      </c>
      <c r="I3446">
        <v>36</v>
      </c>
      <c r="J3446">
        <f>ABS((I3446-EDA!$A$15)/EDA!$B$15)</f>
        <v>0.42201166760410774</v>
      </c>
      <c r="K3446" t="str">
        <f t="shared" si="53"/>
        <v>No</v>
      </c>
      <c r="L3446">
        <f>ABS((C3446-EDA!$F$15)/EDA!$G$15)</f>
        <v>0.372739685381415</v>
      </c>
      <c r="M3446" t="str">
        <f>IF(moras[[#This Row],[Z-Score Salario]]&gt;1.96, "Sí", "No")</f>
        <v>No</v>
      </c>
      <c r="N3446" s="14">
        <f>IF(ISBLANK(moras[[#This Row],[SALARIO]]), EDA!$M$8, moras[[#This Row],[SALARIO]])</f>
        <v>175130</v>
      </c>
      <c r="O3446" s="14">
        <f xml:space="preserve"> IF(ISBLANK(moras[[#This Row],[EDAD]]), EDA!$E$8, moras[[#This Row],[EDAD]])</f>
        <v>36</v>
      </c>
      <c r="P3446" s="14" t="str">
        <f>IF(
    OR(ISBLANK(moras[[#This Row],[TIPO_ASEGURAMIENTO]]), moras[[#This Row],[TIPO_ASEGURAMIENTO]]=""),
    EDA!$A$32,
    moras[[#This Row],[TIPO_ASEGURAMIENTO]]
)</f>
        <v>ASALARIADO</v>
      </c>
    </row>
    <row r="3447" spans="1:16" x14ac:dyDescent="0.3">
      <c r="A3447">
        <v>3446</v>
      </c>
      <c r="B3447" t="s">
        <v>15</v>
      </c>
      <c r="C3447">
        <v>5164528</v>
      </c>
      <c r="D3447" t="s">
        <v>10</v>
      </c>
      <c r="E3447" t="s">
        <v>11</v>
      </c>
      <c r="F3447" t="s">
        <v>12</v>
      </c>
      <c r="G3447" t="s">
        <v>13</v>
      </c>
      <c r="H3447" t="s">
        <v>13</v>
      </c>
      <c r="I3447">
        <v>30</v>
      </c>
      <c r="J3447">
        <f>ABS((I3447-EDA!$A$15)/EDA!$B$15)</f>
        <v>0.84546364806693275</v>
      </c>
      <c r="K3447" t="str">
        <f t="shared" si="53"/>
        <v>No</v>
      </c>
      <c r="L3447">
        <f>ABS((C3447-EDA!$F$15)/EDA!$G$15)</f>
        <v>0.28971258058451022</v>
      </c>
      <c r="M3447" t="str">
        <f>IF(moras[[#This Row],[Z-Score Salario]]&gt;1.96, "Sí", "No")</f>
        <v>No</v>
      </c>
      <c r="N3447" s="14">
        <f>IF(ISBLANK(moras[[#This Row],[SALARIO]]), EDA!$M$8, moras[[#This Row],[SALARIO]])</f>
        <v>5164528</v>
      </c>
      <c r="O3447" s="14">
        <f xml:space="preserve"> IF(ISBLANK(moras[[#This Row],[EDAD]]), EDA!$E$8, moras[[#This Row],[EDAD]])</f>
        <v>30</v>
      </c>
      <c r="P3447" s="14" t="str">
        <f>IF(
    OR(ISBLANK(moras[[#This Row],[TIPO_ASEGURAMIENTO]]), moras[[#This Row],[TIPO_ASEGURAMIENTO]]=""),
    EDA!$A$32,
    moras[[#This Row],[TIPO_ASEGURAMIENTO]]
)</f>
        <v>ASALARIADO</v>
      </c>
    </row>
    <row r="3448" spans="1:16" x14ac:dyDescent="0.3">
      <c r="A3448">
        <v>3447</v>
      </c>
      <c r="B3448" t="s">
        <v>9</v>
      </c>
      <c r="C3448">
        <v>1129232383</v>
      </c>
      <c r="D3448" t="s">
        <v>10</v>
      </c>
      <c r="E3448" t="s">
        <v>16</v>
      </c>
      <c r="F3448" t="s">
        <v>12</v>
      </c>
      <c r="G3448" t="s">
        <v>12</v>
      </c>
      <c r="H3448" t="s">
        <v>13</v>
      </c>
      <c r="I3448">
        <v>55</v>
      </c>
      <c r="J3448">
        <f>ABS((I3448-EDA!$A$15)/EDA!$B$15)</f>
        <v>0.91891960386150484</v>
      </c>
      <c r="K3448" t="str">
        <f t="shared" si="53"/>
        <v>No</v>
      </c>
      <c r="L3448">
        <f>ABS((C3448-EDA!$F$15)/EDA!$G$15)</f>
        <v>18.415570019824791</v>
      </c>
      <c r="M3448" t="str">
        <f>IF(moras[[#This Row],[Z-Score Salario]]&gt;1.96, "Sí", "No")</f>
        <v>Sí</v>
      </c>
      <c r="N3448" s="14">
        <f>IF(ISBLANK(moras[[#This Row],[SALARIO]]), EDA!$M$8, moras[[#This Row],[SALARIO]])</f>
        <v>1129232383</v>
      </c>
      <c r="O3448" s="14">
        <f xml:space="preserve"> IF(ISBLANK(moras[[#This Row],[EDAD]]), EDA!$E$8, moras[[#This Row],[EDAD]])</f>
        <v>55</v>
      </c>
      <c r="P3448" s="14" t="str">
        <f>IF(
    OR(ISBLANK(moras[[#This Row],[TIPO_ASEGURAMIENTO]]), moras[[#This Row],[TIPO_ASEGURAMIENTO]]=""),
    EDA!$A$32,
    moras[[#This Row],[TIPO_ASEGURAMIENTO]]
)</f>
        <v>ASALARIADO</v>
      </c>
    </row>
    <row r="3449" spans="1:16" x14ac:dyDescent="0.3">
      <c r="A3449">
        <v>3448</v>
      </c>
      <c r="B3449" t="s">
        <v>15</v>
      </c>
      <c r="C3449">
        <v>815000</v>
      </c>
      <c r="D3449" t="s">
        <v>10</v>
      </c>
      <c r="E3449" t="s">
        <v>11</v>
      </c>
      <c r="F3449" t="s">
        <v>12</v>
      </c>
      <c r="G3449" t="s">
        <v>13</v>
      </c>
      <c r="H3449" t="s">
        <v>13</v>
      </c>
      <c r="I3449">
        <v>29</v>
      </c>
      <c r="J3449">
        <f>ABS((I3449-EDA!$A$15)/EDA!$B$15)</f>
        <v>0.91603897814407031</v>
      </c>
      <c r="K3449" t="str">
        <f t="shared" si="53"/>
        <v>No</v>
      </c>
      <c r="L3449">
        <f>ABS((C3449-EDA!$F$15)/EDA!$G$15)</f>
        <v>0.36209179688937743</v>
      </c>
      <c r="M3449" t="str">
        <f>IF(moras[[#This Row],[Z-Score Salario]]&gt;1.96, "Sí", "No")</f>
        <v>No</v>
      </c>
      <c r="N3449" s="14">
        <f>IF(ISBLANK(moras[[#This Row],[SALARIO]]), EDA!$M$8, moras[[#This Row],[SALARIO]])</f>
        <v>815000</v>
      </c>
      <c r="O3449" s="14">
        <f xml:space="preserve"> IF(ISBLANK(moras[[#This Row],[EDAD]]), EDA!$E$8, moras[[#This Row],[EDAD]])</f>
        <v>29</v>
      </c>
      <c r="P3449" s="14" t="str">
        <f>IF(
    OR(ISBLANK(moras[[#This Row],[TIPO_ASEGURAMIENTO]]), moras[[#This Row],[TIPO_ASEGURAMIENTO]]=""),
    EDA!$A$32,
    moras[[#This Row],[TIPO_ASEGURAMIENTO]]
)</f>
        <v>ASALARIADO</v>
      </c>
    </row>
    <row r="3450" spans="1:16" x14ac:dyDescent="0.3">
      <c r="A3450">
        <v>3449</v>
      </c>
      <c r="B3450" t="s">
        <v>15</v>
      </c>
      <c r="C3450">
        <v>14500333</v>
      </c>
      <c r="D3450" t="s">
        <v>10</v>
      </c>
      <c r="E3450" t="s">
        <v>11</v>
      </c>
      <c r="F3450" t="s">
        <v>12</v>
      </c>
      <c r="G3450" t="s">
        <v>13</v>
      </c>
      <c r="H3450" t="s">
        <v>13</v>
      </c>
      <c r="I3450">
        <v>32</v>
      </c>
      <c r="J3450">
        <f>ABS((I3450-EDA!$A$15)/EDA!$B$15)</f>
        <v>0.70431298791265773</v>
      </c>
      <c r="K3450" t="str">
        <f t="shared" si="53"/>
        <v>No</v>
      </c>
      <c r="L3450">
        <f>ABS((C3450-EDA!$F$15)/EDA!$G$15)</f>
        <v>0.13435819512589028</v>
      </c>
      <c r="M3450" t="str">
        <f>IF(moras[[#This Row],[Z-Score Salario]]&gt;1.96, "Sí", "No")</f>
        <v>No</v>
      </c>
      <c r="N3450" s="14">
        <f>IF(ISBLANK(moras[[#This Row],[SALARIO]]), EDA!$M$8, moras[[#This Row],[SALARIO]])</f>
        <v>14500333</v>
      </c>
      <c r="O3450" s="14">
        <f xml:space="preserve"> IF(ISBLANK(moras[[#This Row],[EDAD]]), EDA!$E$8, moras[[#This Row],[EDAD]])</f>
        <v>32</v>
      </c>
      <c r="P3450" s="14" t="str">
        <f>IF(
    OR(ISBLANK(moras[[#This Row],[TIPO_ASEGURAMIENTO]]), moras[[#This Row],[TIPO_ASEGURAMIENTO]]=""),
    EDA!$A$32,
    moras[[#This Row],[TIPO_ASEGURAMIENTO]]
)</f>
        <v>ASALARIADO</v>
      </c>
    </row>
    <row r="3451" spans="1:16" x14ac:dyDescent="0.3">
      <c r="A3451">
        <v>3450</v>
      </c>
      <c r="B3451" t="s">
        <v>9</v>
      </c>
      <c r="C3451">
        <v>4394151</v>
      </c>
      <c r="D3451" t="s">
        <v>10</v>
      </c>
      <c r="E3451" t="s">
        <v>16</v>
      </c>
      <c r="F3451" t="s">
        <v>12</v>
      </c>
      <c r="G3451" t="s">
        <v>13</v>
      </c>
      <c r="H3451" t="s">
        <v>13</v>
      </c>
      <c r="I3451">
        <v>52</v>
      </c>
      <c r="J3451">
        <f>ABS((I3451-EDA!$A$15)/EDA!$B$15)</f>
        <v>0.70719361363009237</v>
      </c>
      <c r="K3451" t="str">
        <f t="shared" si="53"/>
        <v>No</v>
      </c>
      <c r="L3451">
        <f>ABS((C3451-EDA!$F$15)/EDA!$G$15)</f>
        <v>0.30253219768303097</v>
      </c>
      <c r="M3451" t="str">
        <f>IF(moras[[#This Row],[Z-Score Salario]]&gt;1.96, "Sí", "No")</f>
        <v>No</v>
      </c>
      <c r="N3451" s="14">
        <f>IF(ISBLANK(moras[[#This Row],[SALARIO]]), EDA!$M$8, moras[[#This Row],[SALARIO]])</f>
        <v>4394151</v>
      </c>
      <c r="O3451" s="14">
        <f xml:space="preserve"> IF(ISBLANK(moras[[#This Row],[EDAD]]), EDA!$E$8, moras[[#This Row],[EDAD]])</f>
        <v>52</v>
      </c>
      <c r="P3451" s="14" t="str">
        <f>IF(
    OR(ISBLANK(moras[[#This Row],[TIPO_ASEGURAMIENTO]]), moras[[#This Row],[TIPO_ASEGURAMIENTO]]=""),
    EDA!$A$32,
    moras[[#This Row],[TIPO_ASEGURAMIENTO]]
)</f>
        <v>ASALARIADO</v>
      </c>
    </row>
    <row r="3452" spans="1:16" x14ac:dyDescent="0.3">
      <c r="A3452">
        <v>3451</v>
      </c>
      <c r="B3452" t="s">
        <v>9</v>
      </c>
      <c r="C3452">
        <v>405063</v>
      </c>
      <c r="D3452" t="s">
        <v>17</v>
      </c>
      <c r="E3452" t="s">
        <v>16</v>
      </c>
      <c r="F3452" t="s">
        <v>12</v>
      </c>
      <c r="G3452" t="s">
        <v>13</v>
      </c>
      <c r="H3452" t="s">
        <v>12</v>
      </c>
      <c r="I3452">
        <v>63</v>
      </c>
      <c r="J3452">
        <f>ABS((I3452-EDA!$A$15)/EDA!$B$15)</f>
        <v>1.4835222444786049</v>
      </c>
      <c r="K3452" t="str">
        <f t="shared" si="53"/>
        <v>No</v>
      </c>
      <c r="L3452">
        <f>ABS((C3452-EDA!$F$15)/EDA!$G$15)</f>
        <v>0.3689134379489058</v>
      </c>
      <c r="M3452" t="str">
        <f>IF(moras[[#This Row],[Z-Score Salario]]&gt;1.96, "Sí", "No")</f>
        <v>No</v>
      </c>
      <c r="N3452" s="14">
        <f>IF(ISBLANK(moras[[#This Row],[SALARIO]]), EDA!$M$8, moras[[#This Row],[SALARIO]])</f>
        <v>405063</v>
      </c>
      <c r="O3452" s="14">
        <f xml:space="preserve"> IF(ISBLANK(moras[[#This Row],[EDAD]]), EDA!$E$8, moras[[#This Row],[EDAD]])</f>
        <v>63</v>
      </c>
      <c r="P3452" s="14" t="str">
        <f>IF(
    OR(ISBLANK(moras[[#This Row],[TIPO_ASEGURAMIENTO]]), moras[[#This Row],[TIPO_ASEGURAMIENTO]]=""),
    EDA!$A$32,
    moras[[#This Row],[TIPO_ASEGURAMIENTO]]
)</f>
        <v>ASEGURADO VOLUNTARIO</v>
      </c>
    </row>
    <row r="3453" spans="1:16" x14ac:dyDescent="0.3">
      <c r="A3453">
        <v>3452</v>
      </c>
      <c r="B3453" t="s">
        <v>9</v>
      </c>
      <c r="C3453">
        <v>91428571</v>
      </c>
      <c r="D3453" t="s">
        <v>10</v>
      </c>
      <c r="E3453" t="s">
        <v>16</v>
      </c>
      <c r="F3453" t="s">
        <v>12</v>
      </c>
      <c r="G3453" t="s">
        <v>13</v>
      </c>
      <c r="H3453" t="s">
        <v>13</v>
      </c>
      <c r="I3453">
        <v>43</v>
      </c>
      <c r="J3453">
        <f>ABS((I3453-EDA!$A$15)/EDA!$B$15)</f>
        <v>7.2015642935854773E-2</v>
      </c>
      <c r="K3453" t="str">
        <f t="shared" si="53"/>
        <v>No</v>
      </c>
      <c r="L3453">
        <f>ABS((C3453-EDA!$F$15)/EDA!$G$15)</f>
        <v>1.1457819897756212</v>
      </c>
      <c r="M3453" t="str">
        <f>IF(moras[[#This Row],[Z-Score Salario]]&gt;1.96, "Sí", "No")</f>
        <v>No</v>
      </c>
      <c r="N3453" s="14">
        <f>IF(ISBLANK(moras[[#This Row],[SALARIO]]), EDA!$M$8, moras[[#This Row],[SALARIO]])</f>
        <v>91428571</v>
      </c>
      <c r="O3453" s="14">
        <f xml:space="preserve"> IF(ISBLANK(moras[[#This Row],[EDAD]]), EDA!$E$8, moras[[#This Row],[EDAD]])</f>
        <v>43</v>
      </c>
      <c r="P3453" s="14" t="str">
        <f>IF(
    OR(ISBLANK(moras[[#This Row],[TIPO_ASEGURAMIENTO]]), moras[[#This Row],[TIPO_ASEGURAMIENTO]]=""),
    EDA!$A$32,
    moras[[#This Row],[TIPO_ASEGURAMIENTO]]
)</f>
        <v>ASALARIADO</v>
      </c>
    </row>
    <row r="3454" spans="1:16" x14ac:dyDescent="0.3">
      <c r="A3454">
        <v>3453</v>
      </c>
      <c r="B3454" t="s">
        <v>9</v>
      </c>
      <c r="C3454">
        <v>598673</v>
      </c>
      <c r="D3454" t="s">
        <v>18</v>
      </c>
      <c r="E3454" t="s">
        <v>16</v>
      </c>
      <c r="F3454" t="s">
        <v>13</v>
      </c>
      <c r="G3454" t="s">
        <v>13</v>
      </c>
      <c r="H3454" t="s">
        <v>12</v>
      </c>
      <c r="I3454">
        <v>45</v>
      </c>
      <c r="J3454">
        <f>ABS((I3454-EDA!$A$15)/EDA!$B$15)</f>
        <v>0.21316630309012977</v>
      </c>
      <c r="K3454" t="str">
        <f t="shared" si="53"/>
        <v>No</v>
      </c>
      <c r="L3454">
        <f>ABS((C3454-EDA!$F$15)/EDA!$G$15)</f>
        <v>0.36569163087724527</v>
      </c>
      <c r="M3454" t="str">
        <f>IF(moras[[#This Row],[Z-Score Salario]]&gt;1.96, "Sí", "No")</f>
        <v>No</v>
      </c>
      <c r="N3454" s="14">
        <f>IF(ISBLANK(moras[[#This Row],[SALARIO]]), EDA!$M$8, moras[[#This Row],[SALARIO]])</f>
        <v>598673</v>
      </c>
      <c r="O3454" s="14">
        <f xml:space="preserve"> IF(ISBLANK(moras[[#This Row],[EDAD]]), EDA!$E$8, moras[[#This Row],[EDAD]])</f>
        <v>45</v>
      </c>
      <c r="P3454" s="14" t="str">
        <f>IF(
    OR(ISBLANK(moras[[#This Row],[TIPO_ASEGURAMIENTO]]), moras[[#This Row],[TIPO_ASEGURAMIENTO]]=""),
    EDA!$A$32,
    moras[[#This Row],[TIPO_ASEGURAMIENTO]]
)</f>
        <v>TRABAJADOR INDEPENDIENTE</v>
      </c>
    </row>
    <row r="3455" spans="1:16" x14ac:dyDescent="0.3">
      <c r="A3455">
        <v>3454</v>
      </c>
      <c r="B3455" t="s">
        <v>15</v>
      </c>
      <c r="C3455">
        <v>62203584</v>
      </c>
      <c r="D3455" t="s">
        <v>10</v>
      </c>
      <c r="E3455" t="s">
        <v>11</v>
      </c>
      <c r="F3455" t="s">
        <v>12</v>
      </c>
      <c r="G3455" t="s">
        <v>13</v>
      </c>
      <c r="H3455" t="s">
        <v>13</v>
      </c>
      <c r="I3455">
        <v>27</v>
      </c>
      <c r="J3455">
        <f>ABS((I3455-EDA!$A$15)/EDA!$B$15)</f>
        <v>1.0571896382983452</v>
      </c>
      <c r="K3455" t="str">
        <f t="shared" si="53"/>
        <v>No</v>
      </c>
      <c r="L3455">
        <f>ABS((C3455-EDA!$F$15)/EDA!$G$15)</f>
        <v>0.65945757582083564</v>
      </c>
      <c r="M3455" t="str">
        <f>IF(moras[[#This Row],[Z-Score Salario]]&gt;1.96, "Sí", "No")</f>
        <v>No</v>
      </c>
      <c r="N3455" s="14">
        <f>IF(ISBLANK(moras[[#This Row],[SALARIO]]), EDA!$M$8, moras[[#This Row],[SALARIO]])</f>
        <v>62203584</v>
      </c>
      <c r="O3455" s="14">
        <f xml:space="preserve"> IF(ISBLANK(moras[[#This Row],[EDAD]]), EDA!$E$8, moras[[#This Row],[EDAD]])</f>
        <v>27</v>
      </c>
      <c r="P3455" s="14" t="str">
        <f>IF(
    OR(ISBLANK(moras[[#This Row],[TIPO_ASEGURAMIENTO]]), moras[[#This Row],[TIPO_ASEGURAMIENTO]]=""),
    EDA!$A$32,
    moras[[#This Row],[TIPO_ASEGURAMIENTO]]
)</f>
        <v>ASALARIADO</v>
      </c>
    </row>
    <row r="3456" spans="1:16" x14ac:dyDescent="0.3">
      <c r="A3456">
        <v>3455</v>
      </c>
      <c r="B3456" t="s">
        <v>9</v>
      </c>
      <c r="C3456">
        <v>450000</v>
      </c>
      <c r="D3456" t="s">
        <v>10</v>
      </c>
      <c r="E3456" t="s">
        <v>11</v>
      </c>
      <c r="F3456" t="s">
        <v>12</v>
      </c>
      <c r="G3456" t="s">
        <v>13</v>
      </c>
      <c r="H3456" t="s">
        <v>13</v>
      </c>
      <c r="I3456">
        <v>25</v>
      </c>
      <c r="J3456">
        <f>ABS((I3456-EDA!$A$15)/EDA!$B$15)</f>
        <v>1.1983402984526204</v>
      </c>
      <c r="K3456" t="str">
        <f t="shared" si="53"/>
        <v>No</v>
      </c>
      <c r="L3456">
        <f>ABS((C3456-EDA!$F$15)/EDA!$G$15)</f>
        <v>0.36816565454732936</v>
      </c>
      <c r="M3456" t="str">
        <f>IF(moras[[#This Row],[Z-Score Salario]]&gt;1.96, "Sí", "No")</f>
        <v>No</v>
      </c>
      <c r="N3456" s="14">
        <f>IF(ISBLANK(moras[[#This Row],[SALARIO]]), EDA!$M$8, moras[[#This Row],[SALARIO]])</f>
        <v>450000</v>
      </c>
      <c r="O3456" s="14">
        <f xml:space="preserve"> IF(ISBLANK(moras[[#This Row],[EDAD]]), EDA!$E$8, moras[[#This Row],[EDAD]])</f>
        <v>25</v>
      </c>
      <c r="P3456" s="14" t="str">
        <f>IF(
    OR(ISBLANK(moras[[#This Row],[TIPO_ASEGURAMIENTO]]), moras[[#This Row],[TIPO_ASEGURAMIENTO]]=""),
    EDA!$A$32,
    moras[[#This Row],[TIPO_ASEGURAMIENTO]]
)</f>
        <v>ASALARIADO</v>
      </c>
    </row>
    <row r="3457" spans="1:16" x14ac:dyDescent="0.3">
      <c r="A3457">
        <v>3456</v>
      </c>
      <c r="B3457" t="s">
        <v>9</v>
      </c>
      <c r="C3457">
        <v>40000</v>
      </c>
      <c r="D3457" t="s">
        <v>10</v>
      </c>
      <c r="E3457" t="s">
        <v>16</v>
      </c>
      <c r="F3457" t="s">
        <v>12</v>
      </c>
      <c r="G3457" t="s">
        <v>13</v>
      </c>
      <c r="H3457" t="s">
        <v>13</v>
      </c>
      <c r="I3457">
        <v>22</v>
      </c>
      <c r="J3457">
        <f>ABS((I3457-EDA!$A$15)/EDA!$B$15)</f>
        <v>1.4100662886840327</v>
      </c>
      <c r="K3457" t="str">
        <f t="shared" si="53"/>
        <v>No</v>
      </c>
      <c r="L3457">
        <f>ABS((C3457-EDA!$F$15)/EDA!$G$15)</f>
        <v>0.37498834397133024</v>
      </c>
      <c r="M3457" t="str">
        <f>IF(moras[[#This Row],[Z-Score Salario]]&gt;1.96, "Sí", "No")</f>
        <v>No</v>
      </c>
      <c r="N3457" s="14">
        <f>IF(ISBLANK(moras[[#This Row],[SALARIO]]), EDA!$M$8, moras[[#This Row],[SALARIO]])</f>
        <v>40000</v>
      </c>
      <c r="O3457" s="14">
        <f xml:space="preserve"> IF(ISBLANK(moras[[#This Row],[EDAD]]), EDA!$E$8, moras[[#This Row],[EDAD]])</f>
        <v>22</v>
      </c>
      <c r="P3457" s="14" t="str">
        <f>IF(
    OR(ISBLANK(moras[[#This Row],[TIPO_ASEGURAMIENTO]]), moras[[#This Row],[TIPO_ASEGURAMIENTO]]=""),
    EDA!$A$32,
    moras[[#This Row],[TIPO_ASEGURAMIENTO]]
)</f>
        <v>ASALARIADO</v>
      </c>
    </row>
    <row r="3458" spans="1:16" x14ac:dyDescent="0.3">
      <c r="A3458">
        <v>3457</v>
      </c>
      <c r="B3458" t="s">
        <v>15</v>
      </c>
      <c r="C3458">
        <v>92532723</v>
      </c>
      <c r="D3458" t="s">
        <v>14</v>
      </c>
      <c r="E3458" t="s">
        <v>11</v>
      </c>
      <c r="F3458" t="s">
        <v>12</v>
      </c>
      <c r="G3458" t="s">
        <v>13</v>
      </c>
      <c r="H3458" t="s">
        <v>13</v>
      </c>
      <c r="I3458">
        <v>86</v>
      </c>
      <c r="J3458">
        <f>ABS((I3458-EDA!$A$15)/EDA!$B$15)</f>
        <v>3.1067548362527675</v>
      </c>
      <c r="K3458" t="str">
        <f t="shared" ref="K3458:K3521" si="54">IF(J3458 &gt;  1.96, "Sí","No")</f>
        <v>Sí</v>
      </c>
      <c r="L3458">
        <f>ABS((C3458-EDA!$F$15)/EDA!$G$15)</f>
        <v>1.1641558584899856</v>
      </c>
      <c r="M3458" t="str">
        <f>IF(moras[[#This Row],[Z-Score Salario]]&gt;1.96, "Sí", "No")</f>
        <v>No</v>
      </c>
      <c r="N3458" s="14">
        <f>IF(ISBLANK(moras[[#This Row],[SALARIO]]), EDA!$M$8, moras[[#This Row],[SALARIO]])</f>
        <v>92532723</v>
      </c>
      <c r="O3458" s="14">
        <f xml:space="preserve"> IF(ISBLANK(moras[[#This Row],[EDAD]]), EDA!$E$8, moras[[#This Row],[EDAD]])</f>
        <v>86</v>
      </c>
      <c r="P3458" s="14" t="str">
        <f>IF(
    OR(ISBLANK(moras[[#This Row],[TIPO_ASEGURAMIENTO]]), moras[[#This Row],[TIPO_ASEGURAMIENTO]]=""),
    EDA!$A$32,
    moras[[#This Row],[TIPO_ASEGURAMIENTO]]
)</f>
        <v>PENSIONADOS EN SU PROPIO SISTEMA</v>
      </c>
    </row>
    <row r="3459" spans="1:16" x14ac:dyDescent="0.3">
      <c r="A3459">
        <v>3458</v>
      </c>
      <c r="B3459" t="s">
        <v>15</v>
      </c>
      <c r="C3459">
        <v>647099</v>
      </c>
      <c r="D3459" t="s">
        <v>10</v>
      </c>
      <c r="E3459" t="s">
        <v>11</v>
      </c>
      <c r="F3459" t="s">
        <v>12</v>
      </c>
      <c r="G3459" t="s">
        <v>13</v>
      </c>
      <c r="H3459" t="s">
        <v>13</v>
      </c>
      <c r="I3459">
        <v>35</v>
      </c>
      <c r="J3459">
        <f>ABS((I3459-EDA!$A$15)/EDA!$B$15)</f>
        <v>0.49258699768124525</v>
      </c>
      <c r="K3459" t="str">
        <f t="shared" si="54"/>
        <v>No</v>
      </c>
      <c r="L3459">
        <f>ABS((C3459-EDA!$F$15)/EDA!$G$15)</f>
        <v>0.36488578805274124</v>
      </c>
      <c r="M3459" t="str">
        <f>IF(moras[[#This Row],[Z-Score Salario]]&gt;1.96, "Sí", "No")</f>
        <v>No</v>
      </c>
      <c r="N3459" s="14">
        <f>IF(ISBLANK(moras[[#This Row],[SALARIO]]), EDA!$M$8, moras[[#This Row],[SALARIO]])</f>
        <v>647099</v>
      </c>
      <c r="O3459" s="14">
        <f xml:space="preserve"> IF(ISBLANK(moras[[#This Row],[EDAD]]), EDA!$E$8, moras[[#This Row],[EDAD]])</f>
        <v>35</v>
      </c>
      <c r="P3459" s="14" t="str">
        <f>IF(
    OR(ISBLANK(moras[[#This Row],[TIPO_ASEGURAMIENTO]]), moras[[#This Row],[TIPO_ASEGURAMIENTO]]=""),
    EDA!$A$32,
    moras[[#This Row],[TIPO_ASEGURAMIENTO]]
)</f>
        <v>ASALARIADO</v>
      </c>
    </row>
    <row r="3460" spans="1:16" x14ac:dyDescent="0.3">
      <c r="A3460">
        <v>3459</v>
      </c>
      <c r="B3460" t="s">
        <v>9</v>
      </c>
      <c r="C3460">
        <v>762280</v>
      </c>
      <c r="D3460" t="s">
        <v>10</v>
      </c>
      <c r="E3460" t="s">
        <v>16</v>
      </c>
      <c r="F3460" t="s">
        <v>12</v>
      </c>
      <c r="G3460" t="s">
        <v>13</v>
      </c>
      <c r="H3460" t="s">
        <v>13</v>
      </c>
      <c r="I3460">
        <v>39</v>
      </c>
      <c r="J3460">
        <f>ABS((I3460-EDA!$A$15)/EDA!$B$15)</f>
        <v>0.21028567737269524</v>
      </c>
      <c r="K3460" t="str">
        <f t="shared" si="54"/>
        <v>No</v>
      </c>
      <c r="L3460">
        <f>ABS((C3460-EDA!$F$15)/EDA!$G$15)</f>
        <v>0.36296909490506846</v>
      </c>
      <c r="M3460" t="str">
        <f>IF(moras[[#This Row],[Z-Score Salario]]&gt;1.96, "Sí", "No")</f>
        <v>No</v>
      </c>
      <c r="N3460" s="14">
        <f>IF(ISBLANK(moras[[#This Row],[SALARIO]]), EDA!$M$8, moras[[#This Row],[SALARIO]])</f>
        <v>762280</v>
      </c>
      <c r="O3460" s="14">
        <f xml:space="preserve"> IF(ISBLANK(moras[[#This Row],[EDAD]]), EDA!$E$8, moras[[#This Row],[EDAD]])</f>
        <v>39</v>
      </c>
      <c r="P3460" s="14" t="str">
        <f>IF(
    OR(ISBLANK(moras[[#This Row],[TIPO_ASEGURAMIENTO]]), moras[[#This Row],[TIPO_ASEGURAMIENTO]]=""),
    EDA!$A$32,
    moras[[#This Row],[TIPO_ASEGURAMIENTO]]
)</f>
        <v>ASALARIADO</v>
      </c>
    </row>
    <row r="3461" spans="1:16" x14ac:dyDescent="0.3">
      <c r="A3461">
        <v>3460</v>
      </c>
      <c r="B3461" t="s">
        <v>9</v>
      </c>
      <c r="C3461">
        <v>2000000</v>
      </c>
      <c r="D3461" t="s">
        <v>10</v>
      </c>
      <c r="E3461" t="s">
        <v>16</v>
      </c>
      <c r="F3461" t="s">
        <v>12</v>
      </c>
      <c r="G3461" t="s">
        <v>13</v>
      </c>
      <c r="H3461" t="s">
        <v>13</v>
      </c>
      <c r="I3461">
        <v>32</v>
      </c>
      <c r="J3461">
        <f>ABS((I3461-EDA!$A$15)/EDA!$B$15)</f>
        <v>0.70431298791265773</v>
      </c>
      <c r="K3461" t="str">
        <f t="shared" si="54"/>
        <v>No</v>
      </c>
      <c r="L3461">
        <f>ABS((C3461-EDA!$F$15)/EDA!$G$15)</f>
        <v>0.34237256038342373</v>
      </c>
      <c r="M3461" t="str">
        <f>IF(moras[[#This Row],[Z-Score Salario]]&gt;1.96, "Sí", "No")</f>
        <v>No</v>
      </c>
      <c r="N3461" s="14">
        <f>IF(ISBLANK(moras[[#This Row],[SALARIO]]), EDA!$M$8, moras[[#This Row],[SALARIO]])</f>
        <v>2000000</v>
      </c>
      <c r="O3461" s="14">
        <f xml:space="preserve"> IF(ISBLANK(moras[[#This Row],[EDAD]]), EDA!$E$8, moras[[#This Row],[EDAD]])</f>
        <v>32</v>
      </c>
      <c r="P3461" s="14" t="str">
        <f>IF(
    OR(ISBLANK(moras[[#This Row],[TIPO_ASEGURAMIENTO]]), moras[[#This Row],[TIPO_ASEGURAMIENTO]]=""),
    EDA!$A$32,
    moras[[#This Row],[TIPO_ASEGURAMIENTO]]
)</f>
        <v>ASALARIADO</v>
      </c>
    </row>
    <row r="3462" spans="1:16" x14ac:dyDescent="0.3">
      <c r="A3462">
        <v>3461</v>
      </c>
      <c r="B3462" t="s">
        <v>9</v>
      </c>
      <c r="C3462">
        <v>1200000</v>
      </c>
      <c r="D3462" t="s">
        <v>10</v>
      </c>
      <c r="E3462" t="s">
        <v>16</v>
      </c>
      <c r="F3462" t="s">
        <v>12</v>
      </c>
      <c r="G3462" t="s">
        <v>13</v>
      </c>
      <c r="H3462" t="s">
        <v>13</v>
      </c>
      <c r="I3462">
        <v>30</v>
      </c>
      <c r="J3462">
        <f>ABS((I3462-EDA!$A$15)/EDA!$B$15)</f>
        <v>0.84546364806693275</v>
      </c>
      <c r="K3462" t="str">
        <f t="shared" si="54"/>
        <v>No</v>
      </c>
      <c r="L3462">
        <f>ABS((C3462-EDA!$F$15)/EDA!$G$15)</f>
        <v>0.35568512511318151</v>
      </c>
      <c r="M3462" t="str">
        <f>IF(moras[[#This Row],[Z-Score Salario]]&gt;1.96, "Sí", "No")</f>
        <v>No</v>
      </c>
      <c r="N3462" s="14">
        <f>IF(ISBLANK(moras[[#This Row],[SALARIO]]), EDA!$M$8, moras[[#This Row],[SALARIO]])</f>
        <v>1200000</v>
      </c>
      <c r="O3462" s="14">
        <f xml:space="preserve"> IF(ISBLANK(moras[[#This Row],[EDAD]]), EDA!$E$8, moras[[#This Row],[EDAD]])</f>
        <v>30</v>
      </c>
      <c r="P3462" s="14" t="str">
        <f>IF(
    OR(ISBLANK(moras[[#This Row],[TIPO_ASEGURAMIENTO]]), moras[[#This Row],[TIPO_ASEGURAMIENTO]]=""),
    EDA!$A$32,
    moras[[#This Row],[TIPO_ASEGURAMIENTO]]
)</f>
        <v>ASALARIADO</v>
      </c>
    </row>
    <row r="3463" spans="1:16" x14ac:dyDescent="0.3">
      <c r="A3463">
        <v>3462</v>
      </c>
      <c r="B3463" t="s">
        <v>15</v>
      </c>
      <c r="C3463">
        <v>299647</v>
      </c>
      <c r="D3463" t="s">
        <v>17</v>
      </c>
      <c r="E3463" t="s">
        <v>16</v>
      </c>
      <c r="F3463" t="s">
        <v>12</v>
      </c>
      <c r="G3463" t="s">
        <v>13</v>
      </c>
      <c r="H3463" t="s">
        <v>13</v>
      </c>
      <c r="I3463">
        <v>55</v>
      </c>
      <c r="J3463">
        <f>ABS((I3463-EDA!$A$15)/EDA!$B$15)</f>
        <v>0.91891960386150484</v>
      </c>
      <c r="K3463" t="str">
        <f t="shared" si="54"/>
        <v>No</v>
      </c>
      <c r="L3463">
        <f>ABS((C3463-EDA!$F$15)/EDA!$G$15)</f>
        <v>0.37066763460334595</v>
      </c>
      <c r="M3463" t="str">
        <f>IF(moras[[#This Row],[Z-Score Salario]]&gt;1.96, "Sí", "No")</f>
        <v>No</v>
      </c>
      <c r="N3463" s="14">
        <f>IF(ISBLANK(moras[[#This Row],[SALARIO]]), EDA!$M$8, moras[[#This Row],[SALARIO]])</f>
        <v>299647</v>
      </c>
      <c r="O3463" s="14">
        <f xml:space="preserve"> IF(ISBLANK(moras[[#This Row],[EDAD]]), EDA!$E$8, moras[[#This Row],[EDAD]])</f>
        <v>55</v>
      </c>
      <c r="P3463" s="14" t="str">
        <f>IF(
    OR(ISBLANK(moras[[#This Row],[TIPO_ASEGURAMIENTO]]), moras[[#This Row],[TIPO_ASEGURAMIENTO]]=""),
    EDA!$A$32,
    moras[[#This Row],[TIPO_ASEGURAMIENTO]]
)</f>
        <v>ASEGURADO VOLUNTARIO</v>
      </c>
    </row>
    <row r="3464" spans="1:16" x14ac:dyDescent="0.3">
      <c r="A3464">
        <v>3463</v>
      </c>
      <c r="B3464" t="s">
        <v>9</v>
      </c>
      <c r="C3464">
        <v>1195224</v>
      </c>
      <c r="D3464" t="s">
        <v>10</v>
      </c>
      <c r="E3464" t="s">
        <v>16</v>
      </c>
      <c r="F3464" t="s">
        <v>12</v>
      </c>
      <c r="G3464" t="s">
        <v>13</v>
      </c>
      <c r="H3464" t="s">
        <v>13</v>
      </c>
      <c r="I3464">
        <v>28</v>
      </c>
      <c r="J3464">
        <f>ABS((I3464-EDA!$A$15)/EDA!$B$15)</f>
        <v>0.98661430822120777</v>
      </c>
      <c r="K3464" t="str">
        <f t="shared" si="54"/>
        <v>No</v>
      </c>
      <c r="L3464">
        <f>ABS((C3464-EDA!$F$15)/EDA!$G$15)</f>
        <v>0.35576460112461816</v>
      </c>
      <c r="M3464" t="str">
        <f>IF(moras[[#This Row],[Z-Score Salario]]&gt;1.96, "Sí", "No")</f>
        <v>No</v>
      </c>
      <c r="N3464" s="14">
        <f>IF(ISBLANK(moras[[#This Row],[SALARIO]]), EDA!$M$8, moras[[#This Row],[SALARIO]])</f>
        <v>1195224</v>
      </c>
      <c r="O3464" s="14">
        <f xml:space="preserve"> IF(ISBLANK(moras[[#This Row],[EDAD]]), EDA!$E$8, moras[[#This Row],[EDAD]])</f>
        <v>28</v>
      </c>
      <c r="P3464" s="14" t="str">
        <f>IF(
    OR(ISBLANK(moras[[#This Row],[TIPO_ASEGURAMIENTO]]), moras[[#This Row],[TIPO_ASEGURAMIENTO]]=""),
    EDA!$A$32,
    moras[[#This Row],[TIPO_ASEGURAMIENTO]]
)</f>
        <v>ASALARIADO</v>
      </c>
    </row>
    <row r="3465" spans="1:16" x14ac:dyDescent="0.3">
      <c r="A3465">
        <v>3464</v>
      </c>
      <c r="B3465" t="s">
        <v>9</v>
      </c>
      <c r="C3465">
        <v>426890523</v>
      </c>
      <c r="D3465" t="s">
        <v>10</v>
      </c>
      <c r="E3465" t="s">
        <v>16</v>
      </c>
      <c r="F3465" t="s">
        <v>12</v>
      </c>
      <c r="G3465" t="s">
        <v>13</v>
      </c>
      <c r="H3465" t="s">
        <v>13</v>
      </c>
      <c r="I3465">
        <v>61</v>
      </c>
      <c r="J3465">
        <f>ABS((I3465-EDA!$A$15)/EDA!$B$15)</f>
        <v>1.3423715843243298</v>
      </c>
      <c r="K3465" t="str">
        <f t="shared" si="54"/>
        <v>No</v>
      </c>
      <c r="L3465">
        <f>ABS((C3465-EDA!$F$15)/EDA!$G$15)</f>
        <v>6.7281056777392267</v>
      </c>
      <c r="M3465" t="str">
        <f>IF(moras[[#This Row],[Z-Score Salario]]&gt;1.96, "Sí", "No")</f>
        <v>Sí</v>
      </c>
      <c r="N3465" s="14">
        <f>IF(ISBLANK(moras[[#This Row],[SALARIO]]), EDA!$M$8, moras[[#This Row],[SALARIO]])</f>
        <v>426890523</v>
      </c>
      <c r="O3465" s="14">
        <f xml:space="preserve"> IF(ISBLANK(moras[[#This Row],[EDAD]]), EDA!$E$8, moras[[#This Row],[EDAD]])</f>
        <v>61</v>
      </c>
      <c r="P3465" s="14" t="str">
        <f>IF(
    OR(ISBLANK(moras[[#This Row],[TIPO_ASEGURAMIENTO]]), moras[[#This Row],[TIPO_ASEGURAMIENTO]]=""),
    EDA!$A$32,
    moras[[#This Row],[TIPO_ASEGURAMIENTO]]
)</f>
        <v>ASALARIADO</v>
      </c>
    </row>
    <row r="3466" spans="1:16" x14ac:dyDescent="0.3">
      <c r="A3466">
        <v>3465</v>
      </c>
      <c r="B3466" t="s">
        <v>9</v>
      </c>
      <c r="C3466">
        <v>6779454</v>
      </c>
      <c r="D3466" t="s">
        <v>10</v>
      </c>
      <c r="E3466" t="s">
        <v>16</v>
      </c>
      <c r="F3466" t="s">
        <v>12</v>
      </c>
      <c r="G3466" t="s">
        <v>13</v>
      </c>
      <c r="H3466" t="s">
        <v>13</v>
      </c>
      <c r="I3466">
        <v>61</v>
      </c>
      <c r="J3466">
        <f>ABS((I3466-EDA!$A$15)/EDA!$B$15)</f>
        <v>1.3423715843243298</v>
      </c>
      <c r="K3466" t="str">
        <f t="shared" si="54"/>
        <v>No</v>
      </c>
      <c r="L3466">
        <f>ABS((C3466-EDA!$F$15)/EDA!$G$15)</f>
        <v>0.26283907194854933</v>
      </c>
      <c r="M3466" t="str">
        <f>IF(moras[[#This Row],[Z-Score Salario]]&gt;1.96, "Sí", "No")</f>
        <v>No</v>
      </c>
      <c r="N3466" s="14">
        <f>IF(ISBLANK(moras[[#This Row],[SALARIO]]), EDA!$M$8, moras[[#This Row],[SALARIO]])</f>
        <v>6779454</v>
      </c>
      <c r="O3466" s="14">
        <f xml:space="preserve"> IF(ISBLANK(moras[[#This Row],[EDAD]]), EDA!$E$8, moras[[#This Row],[EDAD]])</f>
        <v>61</v>
      </c>
      <c r="P3466" s="14" t="str">
        <f>IF(
    OR(ISBLANK(moras[[#This Row],[TIPO_ASEGURAMIENTO]]), moras[[#This Row],[TIPO_ASEGURAMIENTO]]=""),
    EDA!$A$32,
    moras[[#This Row],[TIPO_ASEGURAMIENTO]]
)</f>
        <v>ASALARIADO</v>
      </c>
    </row>
    <row r="3467" spans="1:16" x14ac:dyDescent="0.3">
      <c r="A3467">
        <v>3466</v>
      </c>
      <c r="B3467" t="s">
        <v>9</v>
      </c>
      <c r="C3467">
        <v>434729</v>
      </c>
      <c r="D3467" t="s">
        <v>10</v>
      </c>
      <c r="E3467" t="s">
        <v>16</v>
      </c>
      <c r="F3467" t="s">
        <v>12</v>
      </c>
      <c r="G3467" t="s">
        <v>13</v>
      </c>
      <c r="H3467" t="s">
        <v>13</v>
      </c>
      <c r="I3467">
        <v>40</v>
      </c>
      <c r="J3467">
        <f>ABS((I3467-EDA!$A$15)/EDA!$B$15)</f>
        <v>0.13971034729555773</v>
      </c>
      <c r="K3467" t="str">
        <f t="shared" si="54"/>
        <v>No</v>
      </c>
      <c r="L3467">
        <f>ABS((C3467-EDA!$F$15)/EDA!$G$15)</f>
        <v>0.36841977476731452</v>
      </c>
      <c r="M3467" t="str">
        <f>IF(moras[[#This Row],[Z-Score Salario]]&gt;1.96, "Sí", "No")</f>
        <v>No</v>
      </c>
      <c r="N3467" s="14">
        <f>IF(ISBLANK(moras[[#This Row],[SALARIO]]), EDA!$M$8, moras[[#This Row],[SALARIO]])</f>
        <v>434729</v>
      </c>
      <c r="O3467" s="14">
        <f xml:space="preserve"> IF(ISBLANK(moras[[#This Row],[EDAD]]), EDA!$E$8, moras[[#This Row],[EDAD]])</f>
        <v>40</v>
      </c>
      <c r="P3467" s="14" t="str">
        <f>IF(
    OR(ISBLANK(moras[[#This Row],[TIPO_ASEGURAMIENTO]]), moras[[#This Row],[TIPO_ASEGURAMIENTO]]=""),
    EDA!$A$32,
    moras[[#This Row],[TIPO_ASEGURAMIENTO]]
)</f>
        <v>ASALARIADO</v>
      </c>
    </row>
    <row r="3468" spans="1:16" x14ac:dyDescent="0.3">
      <c r="A3468">
        <v>3467</v>
      </c>
      <c r="B3468" t="s">
        <v>15</v>
      </c>
      <c r="C3468">
        <v>81796342</v>
      </c>
      <c r="D3468" t="s">
        <v>10</v>
      </c>
      <c r="E3468" t="s">
        <v>11</v>
      </c>
      <c r="F3468" t="s">
        <v>12</v>
      </c>
      <c r="G3468" t="s">
        <v>13</v>
      </c>
      <c r="H3468" t="s">
        <v>13</v>
      </c>
      <c r="I3468">
        <v>52</v>
      </c>
      <c r="J3468">
        <f>ABS((I3468-EDA!$A$15)/EDA!$B$15)</f>
        <v>0.70719361363009237</v>
      </c>
      <c r="K3468" t="str">
        <f t="shared" si="54"/>
        <v>No</v>
      </c>
      <c r="L3468">
        <f>ABS((C3468-EDA!$F$15)/EDA!$G$15)</f>
        <v>0.98549489970768422</v>
      </c>
      <c r="M3468" t="str">
        <f>IF(moras[[#This Row],[Z-Score Salario]]&gt;1.96, "Sí", "No")</f>
        <v>No</v>
      </c>
      <c r="N3468" s="14">
        <f>IF(ISBLANK(moras[[#This Row],[SALARIO]]), EDA!$M$8, moras[[#This Row],[SALARIO]])</f>
        <v>81796342</v>
      </c>
      <c r="O3468" s="14">
        <f xml:space="preserve"> IF(ISBLANK(moras[[#This Row],[EDAD]]), EDA!$E$8, moras[[#This Row],[EDAD]])</f>
        <v>52</v>
      </c>
      <c r="P3468" s="14" t="str">
        <f>IF(
    OR(ISBLANK(moras[[#This Row],[TIPO_ASEGURAMIENTO]]), moras[[#This Row],[TIPO_ASEGURAMIENTO]]=""),
    EDA!$A$32,
    moras[[#This Row],[TIPO_ASEGURAMIENTO]]
)</f>
        <v>ASALARIADO</v>
      </c>
    </row>
    <row r="3469" spans="1:16" x14ac:dyDescent="0.3">
      <c r="A3469">
        <v>3468</v>
      </c>
      <c r="B3469" t="s">
        <v>15</v>
      </c>
      <c r="C3469">
        <v>278030</v>
      </c>
      <c r="D3469" t="s">
        <v>17</v>
      </c>
      <c r="E3469" t="s">
        <v>16</v>
      </c>
      <c r="F3469" t="s">
        <v>12</v>
      </c>
      <c r="G3469" t="s">
        <v>13</v>
      </c>
      <c r="H3469" t="s">
        <v>13</v>
      </c>
      <c r="I3469">
        <v>55</v>
      </c>
      <c r="J3469">
        <f>ABS((I3469-EDA!$A$15)/EDA!$B$15)</f>
        <v>0.91891960386150484</v>
      </c>
      <c r="K3469" t="str">
        <f t="shared" si="54"/>
        <v>No</v>
      </c>
      <c r="L3469">
        <f>ABS((C3469-EDA!$F$15)/EDA!$G$15)</f>
        <v>0.37102735674304993</v>
      </c>
      <c r="M3469" t="str">
        <f>IF(moras[[#This Row],[Z-Score Salario]]&gt;1.96, "Sí", "No")</f>
        <v>No</v>
      </c>
      <c r="N3469" s="14">
        <f>IF(ISBLANK(moras[[#This Row],[SALARIO]]), EDA!$M$8, moras[[#This Row],[SALARIO]])</f>
        <v>278030</v>
      </c>
      <c r="O3469" s="14">
        <f xml:space="preserve"> IF(ISBLANK(moras[[#This Row],[EDAD]]), EDA!$E$8, moras[[#This Row],[EDAD]])</f>
        <v>55</v>
      </c>
      <c r="P3469" s="14" t="str">
        <f>IF(
    OR(ISBLANK(moras[[#This Row],[TIPO_ASEGURAMIENTO]]), moras[[#This Row],[TIPO_ASEGURAMIENTO]]=""),
    EDA!$A$32,
    moras[[#This Row],[TIPO_ASEGURAMIENTO]]
)</f>
        <v>ASEGURADO VOLUNTARIO</v>
      </c>
    </row>
    <row r="3470" spans="1:16" x14ac:dyDescent="0.3">
      <c r="A3470">
        <v>3469</v>
      </c>
      <c r="B3470" t="s">
        <v>15</v>
      </c>
      <c r="C3470">
        <v>400000</v>
      </c>
      <c r="D3470" t="s">
        <v>10</v>
      </c>
      <c r="E3470" t="s">
        <v>16</v>
      </c>
      <c r="F3470" t="s">
        <v>12</v>
      </c>
      <c r="G3470" t="s">
        <v>13</v>
      </c>
      <c r="H3470" t="s">
        <v>13</v>
      </c>
      <c r="I3470">
        <v>40</v>
      </c>
      <c r="J3470">
        <f>ABS((I3470-EDA!$A$15)/EDA!$B$15)</f>
        <v>0.13971034729555773</v>
      </c>
      <c r="K3470" t="str">
        <f t="shared" si="54"/>
        <v>No</v>
      </c>
      <c r="L3470">
        <f>ABS((C3470-EDA!$F$15)/EDA!$G$15)</f>
        <v>0.36899768984293924</v>
      </c>
      <c r="M3470" t="str">
        <f>IF(moras[[#This Row],[Z-Score Salario]]&gt;1.96, "Sí", "No")</f>
        <v>No</v>
      </c>
      <c r="N3470" s="14">
        <f>IF(ISBLANK(moras[[#This Row],[SALARIO]]), EDA!$M$8, moras[[#This Row],[SALARIO]])</f>
        <v>400000</v>
      </c>
      <c r="O3470" s="14">
        <f xml:space="preserve"> IF(ISBLANK(moras[[#This Row],[EDAD]]), EDA!$E$8, moras[[#This Row],[EDAD]])</f>
        <v>40</v>
      </c>
      <c r="P3470" s="14" t="str">
        <f>IF(
    OR(ISBLANK(moras[[#This Row],[TIPO_ASEGURAMIENTO]]), moras[[#This Row],[TIPO_ASEGURAMIENTO]]=""),
    EDA!$A$32,
    moras[[#This Row],[TIPO_ASEGURAMIENTO]]
)</f>
        <v>ASALARIADO</v>
      </c>
    </row>
    <row r="3471" spans="1:16" x14ac:dyDescent="0.3">
      <c r="A3471">
        <v>3470</v>
      </c>
      <c r="B3471" t="s">
        <v>9</v>
      </c>
      <c r="C3471">
        <v>324880</v>
      </c>
      <c r="D3471" t="s">
        <v>10</v>
      </c>
      <c r="E3471" t="s">
        <v>16</v>
      </c>
      <c r="F3471" t="s">
        <v>12</v>
      </c>
      <c r="G3471" t="s">
        <v>13</v>
      </c>
      <c r="H3471" t="s">
        <v>13</v>
      </c>
      <c r="I3471">
        <v>37</v>
      </c>
      <c r="J3471">
        <f>ABS((I3471-EDA!$A$15)/EDA!$B$15)</f>
        <v>0.35143633752697023</v>
      </c>
      <c r="K3471" t="str">
        <f t="shared" si="54"/>
        <v>No</v>
      </c>
      <c r="L3471">
        <f>ABS((C3471-EDA!$F$15)/EDA!$G$15)</f>
        <v>0.3702477396710635</v>
      </c>
      <c r="M3471" t="str">
        <f>IF(moras[[#This Row],[Z-Score Salario]]&gt;1.96, "Sí", "No")</f>
        <v>No</v>
      </c>
      <c r="N3471" s="14">
        <f>IF(ISBLANK(moras[[#This Row],[SALARIO]]), EDA!$M$8, moras[[#This Row],[SALARIO]])</f>
        <v>324880</v>
      </c>
      <c r="O3471" s="14">
        <f xml:space="preserve"> IF(ISBLANK(moras[[#This Row],[EDAD]]), EDA!$E$8, moras[[#This Row],[EDAD]])</f>
        <v>37</v>
      </c>
      <c r="P3471" s="14" t="str">
        <f>IF(
    OR(ISBLANK(moras[[#This Row],[TIPO_ASEGURAMIENTO]]), moras[[#This Row],[TIPO_ASEGURAMIENTO]]=""),
    EDA!$A$32,
    moras[[#This Row],[TIPO_ASEGURAMIENTO]]
)</f>
        <v>ASALARIADO</v>
      </c>
    </row>
    <row r="3472" spans="1:16" x14ac:dyDescent="0.3">
      <c r="A3472">
        <v>3471</v>
      </c>
      <c r="B3472" t="s">
        <v>9</v>
      </c>
      <c r="C3472">
        <v>42707054</v>
      </c>
      <c r="D3472" t="s">
        <v>10</v>
      </c>
      <c r="E3472" t="s">
        <v>16</v>
      </c>
      <c r="F3472" t="s">
        <v>12</v>
      </c>
      <c r="G3472" t="s">
        <v>12</v>
      </c>
      <c r="H3472" t="s">
        <v>13</v>
      </c>
      <c r="I3472">
        <v>61</v>
      </c>
      <c r="J3472">
        <f>ABS((I3472-EDA!$A$15)/EDA!$B$15)</f>
        <v>1.3423715843243298</v>
      </c>
      <c r="K3472" t="str">
        <f t="shared" si="54"/>
        <v>No</v>
      </c>
      <c r="L3472">
        <f>ABS((C3472-EDA!$F$15)/EDA!$G$15)</f>
        <v>0.33502155378250598</v>
      </c>
      <c r="M3472" t="str">
        <f>IF(moras[[#This Row],[Z-Score Salario]]&gt;1.96, "Sí", "No")</f>
        <v>No</v>
      </c>
      <c r="N3472" s="14">
        <f>IF(ISBLANK(moras[[#This Row],[SALARIO]]), EDA!$M$8, moras[[#This Row],[SALARIO]])</f>
        <v>42707054</v>
      </c>
      <c r="O3472" s="14">
        <f xml:space="preserve"> IF(ISBLANK(moras[[#This Row],[EDAD]]), EDA!$E$8, moras[[#This Row],[EDAD]])</f>
        <v>61</v>
      </c>
      <c r="P3472" s="14" t="str">
        <f>IF(
    OR(ISBLANK(moras[[#This Row],[TIPO_ASEGURAMIENTO]]), moras[[#This Row],[TIPO_ASEGURAMIENTO]]=""),
    EDA!$A$32,
    moras[[#This Row],[TIPO_ASEGURAMIENTO]]
)</f>
        <v>ASALARIADO</v>
      </c>
    </row>
    <row r="3473" spans="1:16" x14ac:dyDescent="0.3">
      <c r="A3473">
        <v>3472</v>
      </c>
      <c r="B3473" t="s">
        <v>9</v>
      </c>
      <c r="C3473">
        <v>300018</v>
      </c>
      <c r="D3473" t="s">
        <v>18</v>
      </c>
      <c r="E3473" t="s">
        <v>16</v>
      </c>
      <c r="F3473" t="s">
        <v>12</v>
      </c>
      <c r="G3473" t="s">
        <v>13</v>
      </c>
      <c r="H3473" t="s">
        <v>12</v>
      </c>
      <c r="I3473">
        <v>47</v>
      </c>
      <c r="J3473">
        <f>ABS((I3473-EDA!$A$15)/EDA!$B$15)</f>
        <v>0.35431696324440481</v>
      </c>
      <c r="K3473" t="str">
        <f t="shared" si="54"/>
        <v>No</v>
      </c>
      <c r="L3473">
        <f>ABS((C3473-EDA!$F$15)/EDA!$G$15)</f>
        <v>0.37066146090145252</v>
      </c>
      <c r="M3473" t="str">
        <f>IF(moras[[#This Row],[Z-Score Salario]]&gt;1.96, "Sí", "No")</f>
        <v>No</v>
      </c>
      <c r="N3473" s="14">
        <f>IF(ISBLANK(moras[[#This Row],[SALARIO]]), EDA!$M$8, moras[[#This Row],[SALARIO]])</f>
        <v>300018</v>
      </c>
      <c r="O3473" s="14">
        <f xml:space="preserve"> IF(ISBLANK(moras[[#This Row],[EDAD]]), EDA!$E$8, moras[[#This Row],[EDAD]])</f>
        <v>47</v>
      </c>
      <c r="P3473" s="14" t="str">
        <f>IF(
    OR(ISBLANK(moras[[#This Row],[TIPO_ASEGURAMIENTO]]), moras[[#This Row],[TIPO_ASEGURAMIENTO]]=""),
    EDA!$A$32,
    moras[[#This Row],[TIPO_ASEGURAMIENTO]]
)</f>
        <v>TRABAJADOR INDEPENDIENTE</v>
      </c>
    </row>
    <row r="3474" spans="1:16" x14ac:dyDescent="0.3">
      <c r="A3474">
        <v>3473</v>
      </c>
      <c r="B3474" t="s">
        <v>9</v>
      </c>
      <c r="C3474">
        <v>285000</v>
      </c>
      <c r="D3474" t="s">
        <v>10</v>
      </c>
      <c r="E3474" t="s">
        <v>16</v>
      </c>
      <c r="F3474" t="s">
        <v>12</v>
      </c>
      <c r="G3474" t="s">
        <v>12</v>
      </c>
      <c r="H3474" t="s">
        <v>13</v>
      </c>
      <c r="I3474">
        <v>29</v>
      </c>
      <c r="J3474">
        <f>ABS((I3474-EDA!$A$15)/EDA!$B$15)</f>
        <v>0.91603897814407031</v>
      </c>
      <c r="K3474" t="str">
        <f t="shared" si="54"/>
        <v>No</v>
      </c>
      <c r="L3474">
        <f>ABS((C3474-EDA!$F$15)/EDA!$G$15)</f>
        <v>0.37091137102284188</v>
      </c>
      <c r="M3474" t="str">
        <f>IF(moras[[#This Row],[Z-Score Salario]]&gt;1.96, "Sí", "No")</f>
        <v>No</v>
      </c>
      <c r="N3474" s="14">
        <f>IF(ISBLANK(moras[[#This Row],[SALARIO]]), EDA!$M$8, moras[[#This Row],[SALARIO]])</f>
        <v>285000</v>
      </c>
      <c r="O3474" s="14">
        <f xml:space="preserve"> IF(ISBLANK(moras[[#This Row],[EDAD]]), EDA!$E$8, moras[[#This Row],[EDAD]])</f>
        <v>29</v>
      </c>
      <c r="P3474" s="14" t="str">
        <f>IF(
    OR(ISBLANK(moras[[#This Row],[TIPO_ASEGURAMIENTO]]), moras[[#This Row],[TIPO_ASEGURAMIENTO]]=""),
    EDA!$A$32,
    moras[[#This Row],[TIPO_ASEGURAMIENTO]]
)</f>
        <v>ASALARIADO</v>
      </c>
    </row>
    <row r="3475" spans="1:16" x14ac:dyDescent="0.3">
      <c r="A3475">
        <v>3474</v>
      </c>
      <c r="B3475" t="s">
        <v>9</v>
      </c>
      <c r="C3475">
        <v>383254</v>
      </c>
      <c r="D3475" t="s">
        <v>18</v>
      </c>
      <c r="E3475" t="s">
        <v>16</v>
      </c>
      <c r="F3475" t="s">
        <v>12</v>
      </c>
      <c r="G3475" t="s">
        <v>13</v>
      </c>
      <c r="H3475" t="s">
        <v>13</v>
      </c>
      <c r="I3475">
        <v>45</v>
      </c>
      <c r="J3475">
        <f>ABS((I3475-EDA!$A$15)/EDA!$B$15)</f>
        <v>0.21316630309012977</v>
      </c>
      <c r="K3475" t="str">
        <f t="shared" si="54"/>
        <v>No</v>
      </c>
      <c r="L3475">
        <f>ABS((C3475-EDA!$F$15)/EDA!$G$15)</f>
        <v>0.36927635510414492</v>
      </c>
      <c r="M3475" t="str">
        <f>IF(moras[[#This Row],[Z-Score Salario]]&gt;1.96, "Sí", "No")</f>
        <v>No</v>
      </c>
      <c r="N3475" s="14">
        <f>IF(ISBLANK(moras[[#This Row],[SALARIO]]), EDA!$M$8, moras[[#This Row],[SALARIO]])</f>
        <v>383254</v>
      </c>
      <c r="O3475" s="14">
        <f xml:space="preserve"> IF(ISBLANK(moras[[#This Row],[EDAD]]), EDA!$E$8, moras[[#This Row],[EDAD]])</f>
        <v>45</v>
      </c>
      <c r="P3475" s="14" t="str">
        <f>IF(
    OR(ISBLANK(moras[[#This Row],[TIPO_ASEGURAMIENTO]]), moras[[#This Row],[TIPO_ASEGURAMIENTO]]=""),
    EDA!$A$32,
    moras[[#This Row],[TIPO_ASEGURAMIENTO]]
)</f>
        <v>TRABAJADOR INDEPENDIENTE</v>
      </c>
    </row>
    <row r="3476" spans="1:16" x14ac:dyDescent="0.3">
      <c r="A3476">
        <v>3475</v>
      </c>
      <c r="B3476" t="s">
        <v>9</v>
      </c>
      <c r="C3476">
        <v>299647</v>
      </c>
      <c r="D3476" t="s">
        <v>17</v>
      </c>
      <c r="E3476" t="s">
        <v>16</v>
      </c>
      <c r="F3476" t="s">
        <v>12</v>
      </c>
      <c r="G3476" t="s">
        <v>13</v>
      </c>
      <c r="H3476" t="s">
        <v>13</v>
      </c>
      <c r="I3476">
        <v>82</v>
      </c>
      <c r="J3476">
        <f>ABS((I3476-EDA!$A$15)/EDA!$B$15)</f>
        <v>2.8244535159442172</v>
      </c>
      <c r="K3476" t="str">
        <f t="shared" si="54"/>
        <v>Sí</v>
      </c>
      <c r="L3476">
        <f>ABS((C3476-EDA!$F$15)/EDA!$G$15)</f>
        <v>0.37066763460334595</v>
      </c>
      <c r="M3476" t="str">
        <f>IF(moras[[#This Row],[Z-Score Salario]]&gt;1.96, "Sí", "No")</f>
        <v>No</v>
      </c>
      <c r="N3476" s="14">
        <f>IF(ISBLANK(moras[[#This Row],[SALARIO]]), EDA!$M$8, moras[[#This Row],[SALARIO]])</f>
        <v>299647</v>
      </c>
      <c r="O3476" s="14">
        <f xml:space="preserve"> IF(ISBLANK(moras[[#This Row],[EDAD]]), EDA!$E$8, moras[[#This Row],[EDAD]])</f>
        <v>82</v>
      </c>
      <c r="P3476" s="14" t="str">
        <f>IF(
    OR(ISBLANK(moras[[#This Row],[TIPO_ASEGURAMIENTO]]), moras[[#This Row],[TIPO_ASEGURAMIENTO]]=""),
    EDA!$A$32,
    moras[[#This Row],[TIPO_ASEGURAMIENTO]]
)</f>
        <v>ASEGURADO VOLUNTARIO</v>
      </c>
    </row>
    <row r="3477" spans="1:16" x14ac:dyDescent="0.3">
      <c r="A3477">
        <v>3476</v>
      </c>
      <c r="B3477" t="s">
        <v>15</v>
      </c>
      <c r="C3477">
        <v>38824395</v>
      </c>
      <c r="D3477" t="s">
        <v>10</v>
      </c>
      <c r="E3477" t="s">
        <v>16</v>
      </c>
      <c r="F3477" t="s">
        <v>12</v>
      </c>
      <c r="G3477" t="s">
        <v>13</v>
      </c>
      <c r="H3477" t="s">
        <v>13</v>
      </c>
      <c r="I3477">
        <v>27</v>
      </c>
      <c r="J3477">
        <f>ABS((I3477-EDA!$A$15)/EDA!$B$15)</f>
        <v>1.0571896382983452</v>
      </c>
      <c r="K3477" t="str">
        <f t="shared" si="54"/>
        <v>No</v>
      </c>
      <c r="L3477">
        <f>ABS((C3477-EDA!$F$15)/EDA!$G$15)</f>
        <v>0.27041136720616044</v>
      </c>
      <c r="M3477" t="str">
        <f>IF(moras[[#This Row],[Z-Score Salario]]&gt;1.96, "Sí", "No")</f>
        <v>No</v>
      </c>
      <c r="N3477" s="14">
        <f>IF(ISBLANK(moras[[#This Row],[SALARIO]]), EDA!$M$8, moras[[#This Row],[SALARIO]])</f>
        <v>38824395</v>
      </c>
      <c r="O3477" s="14">
        <f xml:space="preserve"> IF(ISBLANK(moras[[#This Row],[EDAD]]), EDA!$E$8, moras[[#This Row],[EDAD]])</f>
        <v>27</v>
      </c>
      <c r="P3477" s="14" t="str">
        <f>IF(
    OR(ISBLANK(moras[[#This Row],[TIPO_ASEGURAMIENTO]]), moras[[#This Row],[TIPO_ASEGURAMIENTO]]=""),
    EDA!$A$32,
    moras[[#This Row],[TIPO_ASEGURAMIENTO]]
)</f>
        <v>ASALARIADO</v>
      </c>
    </row>
    <row r="3478" spans="1:16" x14ac:dyDescent="0.3">
      <c r="A3478">
        <v>3477</v>
      </c>
      <c r="B3478" t="s">
        <v>9</v>
      </c>
      <c r="C3478">
        <v>40316444</v>
      </c>
      <c r="D3478" t="s">
        <v>10</v>
      </c>
      <c r="E3478" t="s">
        <v>16</v>
      </c>
      <c r="F3478" t="s">
        <v>12</v>
      </c>
      <c r="G3478" t="s">
        <v>13</v>
      </c>
      <c r="H3478" t="s">
        <v>13</v>
      </c>
      <c r="I3478">
        <v>62</v>
      </c>
      <c r="J3478">
        <f>ABS((I3478-EDA!$A$15)/EDA!$B$15)</f>
        <v>1.4129469144014672</v>
      </c>
      <c r="K3478" t="str">
        <f t="shared" si="54"/>
        <v>No</v>
      </c>
      <c r="L3478">
        <f>ABS((C3478-EDA!$F$15)/EDA!$G$15)</f>
        <v>0.29524011582174831</v>
      </c>
      <c r="M3478" t="str">
        <f>IF(moras[[#This Row],[Z-Score Salario]]&gt;1.96, "Sí", "No")</f>
        <v>No</v>
      </c>
      <c r="N3478" s="14">
        <f>IF(ISBLANK(moras[[#This Row],[SALARIO]]), EDA!$M$8, moras[[#This Row],[SALARIO]])</f>
        <v>40316444</v>
      </c>
      <c r="O3478" s="14">
        <f xml:space="preserve"> IF(ISBLANK(moras[[#This Row],[EDAD]]), EDA!$E$8, moras[[#This Row],[EDAD]])</f>
        <v>62</v>
      </c>
      <c r="P3478" s="14" t="str">
        <f>IF(
    OR(ISBLANK(moras[[#This Row],[TIPO_ASEGURAMIENTO]]), moras[[#This Row],[TIPO_ASEGURAMIENTO]]=""),
    EDA!$A$32,
    moras[[#This Row],[TIPO_ASEGURAMIENTO]]
)</f>
        <v>ASALARIADO</v>
      </c>
    </row>
    <row r="3479" spans="1:16" x14ac:dyDescent="0.3">
      <c r="A3479">
        <v>3478</v>
      </c>
      <c r="B3479" t="s">
        <v>9</v>
      </c>
      <c r="C3479">
        <v>14173194</v>
      </c>
      <c r="D3479" t="s">
        <v>14</v>
      </c>
      <c r="E3479" t="s">
        <v>11</v>
      </c>
      <c r="F3479" t="s">
        <v>12</v>
      </c>
      <c r="G3479" t="s">
        <v>13</v>
      </c>
      <c r="H3479" t="s">
        <v>13</v>
      </c>
      <c r="I3479">
        <v>73</v>
      </c>
      <c r="J3479">
        <f>ABS((I3479-EDA!$A$15)/EDA!$B$15)</f>
        <v>2.1892755452499797</v>
      </c>
      <c r="K3479" t="str">
        <f t="shared" si="54"/>
        <v>Sí</v>
      </c>
      <c r="L3479">
        <f>ABS((C3479-EDA!$F$15)/EDA!$G$15)</f>
        <v>0.13980201901730055</v>
      </c>
      <c r="M3479" t="str">
        <f>IF(moras[[#This Row],[Z-Score Salario]]&gt;1.96, "Sí", "No")</f>
        <v>No</v>
      </c>
      <c r="N3479" s="14">
        <f>IF(ISBLANK(moras[[#This Row],[SALARIO]]), EDA!$M$8, moras[[#This Row],[SALARIO]])</f>
        <v>14173194</v>
      </c>
      <c r="O3479" s="14">
        <f xml:space="preserve"> IF(ISBLANK(moras[[#This Row],[EDAD]]), EDA!$E$8, moras[[#This Row],[EDAD]])</f>
        <v>73</v>
      </c>
      <c r="P3479" s="14" t="str">
        <f>IF(
    OR(ISBLANK(moras[[#This Row],[TIPO_ASEGURAMIENTO]]), moras[[#This Row],[TIPO_ASEGURAMIENTO]]=""),
    EDA!$A$32,
    moras[[#This Row],[TIPO_ASEGURAMIENTO]]
)</f>
        <v>PENSIONADOS EN SU PROPIO SISTEMA</v>
      </c>
    </row>
    <row r="3480" spans="1:16" x14ac:dyDescent="0.3">
      <c r="A3480">
        <v>3479</v>
      </c>
      <c r="B3480" t="s">
        <v>9</v>
      </c>
      <c r="C3480">
        <v>29520685</v>
      </c>
      <c r="D3480" t="s">
        <v>10</v>
      </c>
      <c r="E3480" t="s">
        <v>16</v>
      </c>
      <c r="F3480" t="s">
        <v>12</v>
      </c>
      <c r="G3480" t="s">
        <v>13</v>
      </c>
      <c r="H3480" t="s">
        <v>13</v>
      </c>
      <c r="I3480">
        <v>22</v>
      </c>
      <c r="J3480">
        <f>ABS((I3480-EDA!$A$15)/EDA!$B$15)</f>
        <v>1.4100662886840327</v>
      </c>
      <c r="K3480" t="str">
        <f t="shared" si="54"/>
        <v>No</v>
      </c>
      <c r="L3480">
        <f>ABS((C3480-EDA!$F$15)/EDA!$G$15)</f>
        <v>0.11559106520379242</v>
      </c>
      <c r="M3480" t="str">
        <f>IF(moras[[#This Row],[Z-Score Salario]]&gt;1.96, "Sí", "No")</f>
        <v>No</v>
      </c>
      <c r="N3480" s="14">
        <f>IF(ISBLANK(moras[[#This Row],[SALARIO]]), EDA!$M$8, moras[[#This Row],[SALARIO]])</f>
        <v>29520685</v>
      </c>
      <c r="O3480" s="14">
        <f xml:space="preserve"> IF(ISBLANK(moras[[#This Row],[EDAD]]), EDA!$E$8, moras[[#This Row],[EDAD]])</f>
        <v>22</v>
      </c>
      <c r="P3480" s="14" t="str">
        <f>IF(
    OR(ISBLANK(moras[[#This Row],[TIPO_ASEGURAMIENTO]]), moras[[#This Row],[TIPO_ASEGURAMIENTO]]=""),
    EDA!$A$32,
    moras[[#This Row],[TIPO_ASEGURAMIENTO]]
)</f>
        <v>ASALARIADO</v>
      </c>
    </row>
    <row r="3481" spans="1:16" x14ac:dyDescent="0.3">
      <c r="A3481">
        <v>3480</v>
      </c>
      <c r="B3481" t="s">
        <v>9</v>
      </c>
      <c r="C3481">
        <v>1006500</v>
      </c>
      <c r="D3481" t="s">
        <v>10</v>
      </c>
      <c r="E3481" t="s">
        <v>16</v>
      </c>
      <c r="F3481" t="s">
        <v>12</v>
      </c>
      <c r="G3481" t="s">
        <v>13</v>
      </c>
      <c r="H3481" t="s">
        <v>13</v>
      </c>
      <c r="I3481">
        <v>25</v>
      </c>
      <c r="J3481">
        <f>ABS((I3481-EDA!$A$15)/EDA!$B$15)</f>
        <v>1.1983402984526204</v>
      </c>
      <c r="K3481" t="str">
        <f t="shared" si="54"/>
        <v>No</v>
      </c>
      <c r="L3481">
        <f>ABS((C3481-EDA!$F$15)/EDA!$G$15)</f>
        <v>0.35890510170719164</v>
      </c>
      <c r="M3481" t="str">
        <f>IF(moras[[#This Row],[Z-Score Salario]]&gt;1.96, "Sí", "No")</f>
        <v>No</v>
      </c>
      <c r="N3481" s="14">
        <f>IF(ISBLANK(moras[[#This Row],[SALARIO]]), EDA!$M$8, moras[[#This Row],[SALARIO]])</f>
        <v>1006500</v>
      </c>
      <c r="O3481" s="14">
        <f xml:space="preserve"> IF(ISBLANK(moras[[#This Row],[EDAD]]), EDA!$E$8, moras[[#This Row],[EDAD]])</f>
        <v>25</v>
      </c>
      <c r="P3481" s="14" t="str">
        <f>IF(
    OR(ISBLANK(moras[[#This Row],[TIPO_ASEGURAMIENTO]]), moras[[#This Row],[TIPO_ASEGURAMIENTO]]=""),
    EDA!$A$32,
    moras[[#This Row],[TIPO_ASEGURAMIENTO]]
)</f>
        <v>ASALARIADO</v>
      </c>
    </row>
    <row r="3482" spans="1:16" x14ac:dyDescent="0.3">
      <c r="A3482">
        <v>3481</v>
      </c>
      <c r="B3482" t="s">
        <v>15</v>
      </c>
      <c r="C3482">
        <v>1314729</v>
      </c>
      <c r="D3482" t="s">
        <v>10</v>
      </c>
      <c r="E3482" t="s">
        <v>11</v>
      </c>
      <c r="F3482" t="s">
        <v>12</v>
      </c>
      <c r="G3482" t="s">
        <v>13</v>
      </c>
      <c r="H3482" t="s">
        <v>13</v>
      </c>
      <c r="I3482">
        <v>35</v>
      </c>
      <c r="J3482">
        <f>ABS((I3482-EDA!$A$15)/EDA!$B$15)</f>
        <v>0.49258699768124525</v>
      </c>
      <c r="K3482" t="str">
        <f t="shared" si="54"/>
        <v>No</v>
      </c>
      <c r="L3482">
        <f>ABS((C3482-EDA!$F$15)/EDA!$G$15)</f>
        <v>0.35377595356458102</v>
      </c>
      <c r="M3482" t="str">
        <f>IF(moras[[#This Row],[Z-Score Salario]]&gt;1.96, "Sí", "No")</f>
        <v>No</v>
      </c>
      <c r="N3482" s="14">
        <f>IF(ISBLANK(moras[[#This Row],[SALARIO]]), EDA!$M$8, moras[[#This Row],[SALARIO]])</f>
        <v>1314729</v>
      </c>
      <c r="O3482" s="14">
        <f xml:space="preserve"> IF(ISBLANK(moras[[#This Row],[EDAD]]), EDA!$E$8, moras[[#This Row],[EDAD]])</f>
        <v>35</v>
      </c>
      <c r="P3482" s="14" t="str">
        <f>IF(
    OR(ISBLANK(moras[[#This Row],[TIPO_ASEGURAMIENTO]]), moras[[#This Row],[TIPO_ASEGURAMIENTO]]=""),
    EDA!$A$32,
    moras[[#This Row],[TIPO_ASEGURAMIENTO]]
)</f>
        <v>ASALARIADO</v>
      </c>
    </row>
    <row r="3483" spans="1:16" x14ac:dyDescent="0.3">
      <c r="A3483">
        <v>3482</v>
      </c>
      <c r="B3483" t="s">
        <v>15</v>
      </c>
      <c r="C3483">
        <v>568820</v>
      </c>
      <c r="D3483" t="s">
        <v>10</v>
      </c>
      <c r="E3483" t="s">
        <v>16</v>
      </c>
      <c r="F3483" t="s">
        <v>12</v>
      </c>
      <c r="G3483" t="s">
        <v>13</v>
      </c>
      <c r="H3483" t="s">
        <v>13</v>
      </c>
      <c r="I3483">
        <v>28</v>
      </c>
      <c r="J3483">
        <f>ABS((I3483-EDA!$A$15)/EDA!$B$15)</f>
        <v>0.98661430822120777</v>
      </c>
      <c r="K3483" t="str">
        <f t="shared" si="54"/>
        <v>No</v>
      </c>
      <c r="L3483">
        <f>ABS((C3483-EDA!$F$15)/EDA!$G$15)</f>
        <v>0.36618840587084212</v>
      </c>
      <c r="M3483" t="str">
        <f>IF(moras[[#This Row],[Z-Score Salario]]&gt;1.96, "Sí", "No")</f>
        <v>No</v>
      </c>
      <c r="N3483" s="14">
        <f>IF(ISBLANK(moras[[#This Row],[SALARIO]]), EDA!$M$8, moras[[#This Row],[SALARIO]])</f>
        <v>568820</v>
      </c>
      <c r="O3483" s="14">
        <f xml:space="preserve"> IF(ISBLANK(moras[[#This Row],[EDAD]]), EDA!$E$8, moras[[#This Row],[EDAD]])</f>
        <v>28</v>
      </c>
      <c r="P3483" s="14" t="str">
        <f>IF(
    OR(ISBLANK(moras[[#This Row],[TIPO_ASEGURAMIENTO]]), moras[[#This Row],[TIPO_ASEGURAMIENTO]]=""),
    EDA!$A$32,
    moras[[#This Row],[TIPO_ASEGURAMIENTO]]
)</f>
        <v>ASALARIADO</v>
      </c>
    </row>
    <row r="3484" spans="1:16" x14ac:dyDescent="0.3">
      <c r="A3484">
        <v>3483</v>
      </c>
      <c r="B3484" t="s">
        <v>9</v>
      </c>
      <c r="C3484">
        <v>63720</v>
      </c>
      <c r="D3484" t="s">
        <v>10</v>
      </c>
      <c r="E3484" t="s">
        <v>16</v>
      </c>
      <c r="F3484" t="s">
        <v>12</v>
      </c>
      <c r="G3484" t="s">
        <v>12</v>
      </c>
      <c r="H3484" t="s">
        <v>12</v>
      </c>
      <c r="I3484">
        <v>22</v>
      </c>
      <c r="J3484">
        <f>ABS((I3484-EDA!$A$15)/EDA!$B$15)</f>
        <v>1.4100662886840327</v>
      </c>
      <c r="K3484" t="str">
        <f t="shared" si="54"/>
        <v>No</v>
      </c>
      <c r="L3484">
        <f>ABS((C3484-EDA!$F$15)/EDA!$G$15)</f>
        <v>0.37459362642709287</v>
      </c>
      <c r="M3484" t="str">
        <f>IF(moras[[#This Row],[Z-Score Salario]]&gt;1.96, "Sí", "No")</f>
        <v>No</v>
      </c>
      <c r="N3484" s="14">
        <f>IF(ISBLANK(moras[[#This Row],[SALARIO]]), EDA!$M$8, moras[[#This Row],[SALARIO]])</f>
        <v>63720</v>
      </c>
      <c r="O3484" s="14">
        <f xml:space="preserve"> IF(ISBLANK(moras[[#This Row],[EDAD]]), EDA!$E$8, moras[[#This Row],[EDAD]])</f>
        <v>22</v>
      </c>
      <c r="P3484" s="14" t="str">
        <f>IF(
    OR(ISBLANK(moras[[#This Row],[TIPO_ASEGURAMIENTO]]), moras[[#This Row],[TIPO_ASEGURAMIENTO]]=""),
    EDA!$A$32,
    moras[[#This Row],[TIPO_ASEGURAMIENTO]]
)</f>
        <v>ASALARIADO</v>
      </c>
    </row>
    <row r="3485" spans="1:16" x14ac:dyDescent="0.3">
      <c r="A3485">
        <v>3484</v>
      </c>
      <c r="B3485" t="s">
        <v>9</v>
      </c>
      <c r="C3485">
        <v>684986</v>
      </c>
      <c r="D3485" t="s">
        <v>10</v>
      </c>
      <c r="E3485" t="s">
        <v>16</v>
      </c>
      <c r="F3485" t="s">
        <v>12</v>
      </c>
      <c r="G3485" t="s">
        <v>13</v>
      </c>
      <c r="H3485" t="s">
        <v>13</v>
      </c>
      <c r="I3485">
        <v>44</v>
      </c>
      <c r="J3485">
        <f>ABS((I3485-EDA!$A$15)/EDA!$B$15)</f>
        <v>0.14259097301299228</v>
      </c>
      <c r="K3485" t="str">
        <f t="shared" si="54"/>
        <v>No</v>
      </c>
      <c r="L3485">
        <f>ABS((C3485-EDA!$F$15)/EDA!$G$15)</f>
        <v>0.3642553216278458</v>
      </c>
      <c r="M3485" t="str">
        <f>IF(moras[[#This Row],[Z-Score Salario]]&gt;1.96, "Sí", "No")</f>
        <v>No</v>
      </c>
      <c r="N3485" s="14">
        <f>IF(ISBLANK(moras[[#This Row],[SALARIO]]), EDA!$M$8, moras[[#This Row],[SALARIO]])</f>
        <v>684986</v>
      </c>
      <c r="O3485" s="14">
        <f xml:space="preserve"> IF(ISBLANK(moras[[#This Row],[EDAD]]), EDA!$E$8, moras[[#This Row],[EDAD]])</f>
        <v>44</v>
      </c>
      <c r="P3485" s="14" t="str">
        <f>IF(
    OR(ISBLANK(moras[[#This Row],[TIPO_ASEGURAMIENTO]]), moras[[#This Row],[TIPO_ASEGURAMIENTO]]=""),
    EDA!$A$32,
    moras[[#This Row],[TIPO_ASEGURAMIENTO]]
)</f>
        <v>ASALARIADO</v>
      </c>
    </row>
    <row r="3486" spans="1:16" x14ac:dyDescent="0.3">
      <c r="A3486">
        <v>3485</v>
      </c>
      <c r="B3486" t="s">
        <v>9</v>
      </c>
      <c r="C3486">
        <v>246000</v>
      </c>
      <c r="D3486" t="s">
        <v>10</v>
      </c>
      <c r="E3486" t="s">
        <v>16</v>
      </c>
      <c r="F3486" t="s">
        <v>12</v>
      </c>
      <c r="G3486" t="s">
        <v>13</v>
      </c>
      <c r="H3486" t="s">
        <v>13</v>
      </c>
      <c r="I3486">
        <v>38</v>
      </c>
      <c r="J3486">
        <f>ABS((I3486-EDA!$A$15)/EDA!$B$15)</f>
        <v>0.28086100744983278</v>
      </c>
      <c r="K3486" t="str">
        <f t="shared" si="54"/>
        <v>No</v>
      </c>
      <c r="L3486">
        <f>ABS((C3486-EDA!$F$15)/EDA!$G$15)</f>
        <v>0.37156035855341762</v>
      </c>
      <c r="M3486" t="str">
        <f>IF(moras[[#This Row],[Z-Score Salario]]&gt;1.96, "Sí", "No")</f>
        <v>No</v>
      </c>
      <c r="N3486" s="14">
        <f>IF(ISBLANK(moras[[#This Row],[SALARIO]]), EDA!$M$8, moras[[#This Row],[SALARIO]])</f>
        <v>246000</v>
      </c>
      <c r="O3486" s="14">
        <f xml:space="preserve"> IF(ISBLANK(moras[[#This Row],[EDAD]]), EDA!$E$8, moras[[#This Row],[EDAD]])</f>
        <v>38</v>
      </c>
      <c r="P3486" s="14" t="str">
        <f>IF(
    OR(ISBLANK(moras[[#This Row],[TIPO_ASEGURAMIENTO]]), moras[[#This Row],[TIPO_ASEGURAMIENTO]]=""),
    EDA!$A$32,
    moras[[#This Row],[TIPO_ASEGURAMIENTO]]
)</f>
        <v>ASALARIADO</v>
      </c>
    </row>
    <row r="3487" spans="1:16" x14ac:dyDescent="0.3">
      <c r="A3487">
        <v>3486</v>
      </c>
      <c r="B3487" t="s">
        <v>9</v>
      </c>
      <c r="C3487">
        <v>337480</v>
      </c>
      <c r="D3487" t="s">
        <v>18</v>
      </c>
      <c r="E3487" t="s">
        <v>16</v>
      </c>
      <c r="F3487" t="s">
        <v>12</v>
      </c>
      <c r="G3487" t="s">
        <v>13</v>
      </c>
      <c r="H3487" t="s">
        <v>13</v>
      </c>
      <c r="I3487">
        <v>29</v>
      </c>
      <c r="J3487">
        <f>ABS((I3487-EDA!$A$15)/EDA!$B$15)</f>
        <v>0.91603897814407031</v>
      </c>
      <c r="K3487" t="str">
        <f t="shared" si="54"/>
        <v>No</v>
      </c>
      <c r="L3487">
        <f>ABS((C3487-EDA!$F$15)/EDA!$G$15)</f>
        <v>0.37003806677656981</v>
      </c>
      <c r="M3487" t="str">
        <f>IF(moras[[#This Row],[Z-Score Salario]]&gt;1.96, "Sí", "No")</f>
        <v>No</v>
      </c>
      <c r="N3487" s="14">
        <f>IF(ISBLANK(moras[[#This Row],[SALARIO]]), EDA!$M$8, moras[[#This Row],[SALARIO]])</f>
        <v>337480</v>
      </c>
      <c r="O3487" s="14">
        <f xml:space="preserve"> IF(ISBLANK(moras[[#This Row],[EDAD]]), EDA!$E$8, moras[[#This Row],[EDAD]])</f>
        <v>29</v>
      </c>
      <c r="P3487" s="14" t="str">
        <f>IF(
    OR(ISBLANK(moras[[#This Row],[TIPO_ASEGURAMIENTO]]), moras[[#This Row],[TIPO_ASEGURAMIENTO]]=""),
    EDA!$A$32,
    moras[[#This Row],[TIPO_ASEGURAMIENTO]]
)</f>
        <v>TRABAJADOR INDEPENDIENTE</v>
      </c>
    </row>
    <row r="3488" spans="1:16" x14ac:dyDescent="0.3">
      <c r="A3488">
        <v>3487</v>
      </c>
      <c r="B3488" t="s">
        <v>9</v>
      </c>
      <c r="C3488">
        <v>485860</v>
      </c>
      <c r="D3488" t="s">
        <v>18</v>
      </c>
      <c r="E3488" t="s">
        <v>16</v>
      </c>
      <c r="F3488" t="s">
        <v>12</v>
      </c>
      <c r="G3488" t="s">
        <v>13</v>
      </c>
      <c r="H3488" t="s">
        <v>13</v>
      </c>
      <c r="I3488">
        <v>42</v>
      </c>
      <c r="J3488">
        <f>ABS((I3488-EDA!$A$15)/EDA!$B$15)</f>
        <v>1.4403128587172659E-3</v>
      </c>
      <c r="K3488" t="str">
        <f t="shared" si="54"/>
        <v>No</v>
      </c>
      <c r="L3488">
        <f>ABS((C3488-EDA!$F$15)/EDA!$G$15)</f>
        <v>0.36756891883331799</v>
      </c>
      <c r="M3488" t="str">
        <f>IF(moras[[#This Row],[Z-Score Salario]]&gt;1.96, "Sí", "No")</f>
        <v>No</v>
      </c>
      <c r="N3488" s="14">
        <f>IF(ISBLANK(moras[[#This Row],[SALARIO]]), EDA!$M$8, moras[[#This Row],[SALARIO]])</f>
        <v>485860</v>
      </c>
      <c r="O3488" s="14">
        <f xml:space="preserve"> IF(ISBLANK(moras[[#This Row],[EDAD]]), EDA!$E$8, moras[[#This Row],[EDAD]])</f>
        <v>42</v>
      </c>
      <c r="P3488" s="14" t="str">
        <f>IF(
    OR(ISBLANK(moras[[#This Row],[TIPO_ASEGURAMIENTO]]), moras[[#This Row],[TIPO_ASEGURAMIENTO]]=""),
    EDA!$A$32,
    moras[[#This Row],[TIPO_ASEGURAMIENTO]]
)</f>
        <v>TRABAJADOR INDEPENDIENTE</v>
      </c>
    </row>
    <row r="3489" spans="1:16" x14ac:dyDescent="0.3">
      <c r="A3489">
        <v>3488</v>
      </c>
      <c r="B3489" t="s">
        <v>15</v>
      </c>
      <c r="C3489">
        <v>889137</v>
      </c>
      <c r="D3489" t="s">
        <v>10</v>
      </c>
      <c r="E3489" t="s">
        <v>11</v>
      </c>
      <c r="F3489" t="s">
        <v>12</v>
      </c>
      <c r="G3489" t="s">
        <v>13</v>
      </c>
      <c r="H3489" t="s">
        <v>12</v>
      </c>
      <c r="I3489">
        <v>40</v>
      </c>
      <c r="J3489">
        <f>ABS((I3489-EDA!$A$15)/EDA!$B$15)</f>
        <v>0.13971034729555773</v>
      </c>
      <c r="K3489" t="str">
        <f t="shared" si="54"/>
        <v>No</v>
      </c>
      <c r="L3489">
        <f>ABS((C3489-EDA!$F$15)/EDA!$G$15)</f>
        <v>0.36085810487516484</v>
      </c>
      <c r="M3489" t="str">
        <f>IF(moras[[#This Row],[Z-Score Salario]]&gt;1.96, "Sí", "No")</f>
        <v>No</v>
      </c>
      <c r="N3489" s="14">
        <f>IF(ISBLANK(moras[[#This Row],[SALARIO]]), EDA!$M$8, moras[[#This Row],[SALARIO]])</f>
        <v>889137</v>
      </c>
      <c r="O3489" s="14">
        <f xml:space="preserve"> IF(ISBLANK(moras[[#This Row],[EDAD]]), EDA!$E$8, moras[[#This Row],[EDAD]])</f>
        <v>40</v>
      </c>
      <c r="P3489" s="14" t="str">
        <f>IF(
    OR(ISBLANK(moras[[#This Row],[TIPO_ASEGURAMIENTO]]), moras[[#This Row],[TIPO_ASEGURAMIENTO]]=""),
    EDA!$A$32,
    moras[[#This Row],[TIPO_ASEGURAMIENTO]]
)</f>
        <v>ASALARIADO</v>
      </c>
    </row>
    <row r="3490" spans="1:16" x14ac:dyDescent="0.3">
      <c r="A3490">
        <v>3489</v>
      </c>
      <c r="B3490" t="s">
        <v>9</v>
      </c>
      <c r="C3490">
        <v>324000</v>
      </c>
      <c r="D3490" t="s">
        <v>10</v>
      </c>
      <c r="E3490" t="s">
        <v>16</v>
      </c>
      <c r="F3490" t="s">
        <v>12</v>
      </c>
      <c r="G3490" t="s">
        <v>13</v>
      </c>
      <c r="H3490" t="s">
        <v>12</v>
      </c>
      <c r="I3490">
        <v>55</v>
      </c>
      <c r="J3490">
        <f>ABS((I3490-EDA!$A$15)/EDA!$B$15)</f>
        <v>0.91891960386150484</v>
      </c>
      <c r="K3490" t="str">
        <f t="shared" si="54"/>
        <v>No</v>
      </c>
      <c r="L3490">
        <f>ABS((C3490-EDA!$F$15)/EDA!$G$15)</f>
        <v>0.3702623834922662</v>
      </c>
      <c r="M3490" t="str">
        <f>IF(moras[[#This Row],[Z-Score Salario]]&gt;1.96, "Sí", "No")</f>
        <v>No</v>
      </c>
      <c r="N3490" s="14">
        <f>IF(ISBLANK(moras[[#This Row],[SALARIO]]), EDA!$M$8, moras[[#This Row],[SALARIO]])</f>
        <v>324000</v>
      </c>
      <c r="O3490" s="14">
        <f xml:space="preserve"> IF(ISBLANK(moras[[#This Row],[EDAD]]), EDA!$E$8, moras[[#This Row],[EDAD]])</f>
        <v>55</v>
      </c>
      <c r="P3490" s="14" t="str">
        <f>IF(
    OR(ISBLANK(moras[[#This Row],[TIPO_ASEGURAMIENTO]]), moras[[#This Row],[TIPO_ASEGURAMIENTO]]=""),
    EDA!$A$32,
    moras[[#This Row],[TIPO_ASEGURAMIENTO]]
)</f>
        <v>ASALARIADO</v>
      </c>
    </row>
    <row r="3491" spans="1:16" x14ac:dyDescent="0.3">
      <c r="A3491">
        <v>3490</v>
      </c>
      <c r="B3491" t="s">
        <v>15</v>
      </c>
      <c r="C3491">
        <v>716100</v>
      </c>
      <c r="D3491" t="s">
        <v>10</v>
      </c>
      <c r="E3491" t="s">
        <v>11</v>
      </c>
      <c r="F3491" t="s">
        <v>12</v>
      </c>
      <c r="G3491" t="s">
        <v>13</v>
      </c>
      <c r="H3491" t="s">
        <v>12</v>
      </c>
      <c r="I3491">
        <v>29</v>
      </c>
      <c r="J3491">
        <f>ABS((I3491-EDA!$A$15)/EDA!$B$15)</f>
        <v>0.91603897814407031</v>
      </c>
      <c r="K3491" t="str">
        <f t="shared" si="54"/>
        <v>No</v>
      </c>
      <c r="L3491">
        <f>ABS((C3491-EDA!$F$15)/EDA!$G$15)</f>
        <v>0.36373756270409369</v>
      </c>
      <c r="M3491" t="str">
        <f>IF(moras[[#This Row],[Z-Score Salario]]&gt;1.96, "Sí", "No")</f>
        <v>No</v>
      </c>
      <c r="N3491" s="14">
        <f>IF(ISBLANK(moras[[#This Row],[SALARIO]]), EDA!$M$8, moras[[#This Row],[SALARIO]])</f>
        <v>716100</v>
      </c>
      <c r="O3491" s="14">
        <f xml:space="preserve"> IF(ISBLANK(moras[[#This Row],[EDAD]]), EDA!$E$8, moras[[#This Row],[EDAD]])</f>
        <v>29</v>
      </c>
      <c r="P3491" s="14" t="str">
        <f>IF(
    OR(ISBLANK(moras[[#This Row],[TIPO_ASEGURAMIENTO]]), moras[[#This Row],[TIPO_ASEGURAMIENTO]]=""),
    EDA!$A$32,
    moras[[#This Row],[TIPO_ASEGURAMIENTO]]
)</f>
        <v>ASALARIADO</v>
      </c>
    </row>
    <row r="3492" spans="1:16" x14ac:dyDescent="0.3">
      <c r="A3492">
        <v>3491</v>
      </c>
      <c r="B3492" t="s">
        <v>9</v>
      </c>
      <c r="C3492">
        <v>100000</v>
      </c>
      <c r="D3492" t="s">
        <v>10</v>
      </c>
      <c r="E3492" t="s">
        <v>16</v>
      </c>
      <c r="F3492" t="s">
        <v>12</v>
      </c>
      <c r="G3492" t="s">
        <v>13</v>
      </c>
      <c r="H3492" t="s">
        <v>12</v>
      </c>
      <c r="I3492">
        <v>52</v>
      </c>
      <c r="J3492">
        <f>ABS((I3492-EDA!$A$15)/EDA!$B$15)</f>
        <v>0.70719361363009237</v>
      </c>
      <c r="K3492" t="str">
        <f t="shared" si="54"/>
        <v>No</v>
      </c>
      <c r="L3492">
        <f>ABS((C3492-EDA!$F$15)/EDA!$G$15)</f>
        <v>0.3739899016165984</v>
      </c>
      <c r="M3492" t="str">
        <f>IF(moras[[#This Row],[Z-Score Salario]]&gt;1.96, "Sí", "No")</f>
        <v>No</v>
      </c>
      <c r="N3492" s="14">
        <f>IF(ISBLANK(moras[[#This Row],[SALARIO]]), EDA!$M$8, moras[[#This Row],[SALARIO]])</f>
        <v>100000</v>
      </c>
      <c r="O3492" s="14">
        <f xml:space="preserve"> IF(ISBLANK(moras[[#This Row],[EDAD]]), EDA!$E$8, moras[[#This Row],[EDAD]])</f>
        <v>52</v>
      </c>
      <c r="P3492" s="14" t="str">
        <f>IF(
    OR(ISBLANK(moras[[#This Row],[TIPO_ASEGURAMIENTO]]), moras[[#This Row],[TIPO_ASEGURAMIENTO]]=""),
    EDA!$A$32,
    moras[[#This Row],[TIPO_ASEGURAMIENTO]]
)</f>
        <v>ASALARIADO</v>
      </c>
    </row>
    <row r="3493" spans="1:16" x14ac:dyDescent="0.3">
      <c r="A3493">
        <v>3492</v>
      </c>
      <c r="B3493" t="s">
        <v>15</v>
      </c>
      <c r="C3493">
        <v>55023451</v>
      </c>
      <c r="D3493" t="s">
        <v>10</v>
      </c>
      <c r="E3493" t="s">
        <v>16</v>
      </c>
      <c r="F3493" t="s">
        <v>12</v>
      </c>
      <c r="G3493" t="s">
        <v>13</v>
      </c>
      <c r="H3493" t="s">
        <v>13</v>
      </c>
      <c r="I3493">
        <v>41</v>
      </c>
      <c r="J3493">
        <f>ABS((I3493-EDA!$A$15)/EDA!$B$15)</f>
        <v>6.9135017218420233E-2</v>
      </c>
      <c r="K3493" t="str">
        <f t="shared" si="54"/>
        <v>No</v>
      </c>
      <c r="L3493">
        <f>ABS((C3493-EDA!$F$15)/EDA!$G$15)</f>
        <v>0.53997509415737355</v>
      </c>
      <c r="M3493" t="str">
        <f>IF(moras[[#This Row],[Z-Score Salario]]&gt;1.96, "Sí", "No")</f>
        <v>No</v>
      </c>
      <c r="N3493" s="14">
        <f>IF(ISBLANK(moras[[#This Row],[SALARIO]]), EDA!$M$8, moras[[#This Row],[SALARIO]])</f>
        <v>55023451</v>
      </c>
      <c r="O3493" s="14">
        <f xml:space="preserve"> IF(ISBLANK(moras[[#This Row],[EDAD]]), EDA!$E$8, moras[[#This Row],[EDAD]])</f>
        <v>41</v>
      </c>
      <c r="P3493" s="14" t="str">
        <f>IF(
    OR(ISBLANK(moras[[#This Row],[TIPO_ASEGURAMIENTO]]), moras[[#This Row],[TIPO_ASEGURAMIENTO]]=""),
    EDA!$A$32,
    moras[[#This Row],[TIPO_ASEGURAMIENTO]]
)</f>
        <v>ASALARIADO</v>
      </c>
    </row>
    <row r="3494" spans="1:16" x14ac:dyDescent="0.3">
      <c r="A3494">
        <v>3493</v>
      </c>
      <c r="B3494" t="s">
        <v>9</v>
      </c>
      <c r="C3494">
        <v>297046</v>
      </c>
      <c r="D3494" t="s">
        <v>17</v>
      </c>
      <c r="E3494" t="s">
        <v>16</v>
      </c>
      <c r="F3494" t="s">
        <v>12</v>
      </c>
      <c r="G3494" t="s">
        <v>13</v>
      </c>
      <c r="H3494" t="s">
        <v>13</v>
      </c>
      <c r="I3494">
        <v>61</v>
      </c>
      <c r="J3494">
        <f>ABS((I3494-EDA!$A$15)/EDA!$B$15)</f>
        <v>1.3423715843243298</v>
      </c>
      <c r="K3494" t="str">
        <f t="shared" si="54"/>
        <v>No</v>
      </c>
      <c r="L3494">
        <f>ABS((C3494-EDA!$F$15)/EDA!$G$15)</f>
        <v>0.37071091707942361</v>
      </c>
      <c r="M3494" t="str">
        <f>IF(moras[[#This Row],[Z-Score Salario]]&gt;1.96, "Sí", "No")</f>
        <v>No</v>
      </c>
      <c r="N3494" s="14">
        <f>IF(ISBLANK(moras[[#This Row],[SALARIO]]), EDA!$M$8, moras[[#This Row],[SALARIO]])</f>
        <v>297046</v>
      </c>
      <c r="O3494" s="14">
        <f xml:space="preserve"> IF(ISBLANK(moras[[#This Row],[EDAD]]), EDA!$E$8, moras[[#This Row],[EDAD]])</f>
        <v>61</v>
      </c>
      <c r="P3494" s="14" t="str">
        <f>IF(
    OR(ISBLANK(moras[[#This Row],[TIPO_ASEGURAMIENTO]]), moras[[#This Row],[TIPO_ASEGURAMIENTO]]=""),
    EDA!$A$32,
    moras[[#This Row],[TIPO_ASEGURAMIENTO]]
)</f>
        <v>ASEGURADO VOLUNTARIO</v>
      </c>
    </row>
    <row r="3495" spans="1:16" x14ac:dyDescent="0.3">
      <c r="A3495">
        <v>3494</v>
      </c>
      <c r="B3495" t="s">
        <v>15</v>
      </c>
      <c r="C3495">
        <v>600000</v>
      </c>
      <c r="D3495" t="s">
        <v>10</v>
      </c>
      <c r="E3495" t="s">
        <v>16</v>
      </c>
      <c r="F3495" t="s">
        <v>12</v>
      </c>
      <c r="G3495" t="s">
        <v>13</v>
      </c>
      <c r="H3495" t="s">
        <v>13</v>
      </c>
      <c r="I3495">
        <v>36</v>
      </c>
      <c r="J3495">
        <f>ABS((I3495-EDA!$A$15)/EDA!$B$15)</f>
        <v>0.42201166760410774</v>
      </c>
      <c r="K3495" t="str">
        <f t="shared" si="54"/>
        <v>No</v>
      </c>
      <c r="L3495">
        <f>ABS((C3495-EDA!$F$15)/EDA!$G$15)</f>
        <v>0.36566954866049978</v>
      </c>
      <c r="M3495" t="str">
        <f>IF(moras[[#This Row],[Z-Score Salario]]&gt;1.96, "Sí", "No")</f>
        <v>No</v>
      </c>
      <c r="N3495" s="14">
        <f>IF(ISBLANK(moras[[#This Row],[SALARIO]]), EDA!$M$8, moras[[#This Row],[SALARIO]])</f>
        <v>600000</v>
      </c>
      <c r="O3495" s="14">
        <f xml:space="preserve"> IF(ISBLANK(moras[[#This Row],[EDAD]]), EDA!$E$8, moras[[#This Row],[EDAD]])</f>
        <v>36</v>
      </c>
      <c r="P3495" s="14" t="str">
        <f>IF(
    OR(ISBLANK(moras[[#This Row],[TIPO_ASEGURAMIENTO]]), moras[[#This Row],[TIPO_ASEGURAMIENTO]]=""),
    EDA!$A$32,
    moras[[#This Row],[TIPO_ASEGURAMIENTO]]
)</f>
        <v>ASALARIADO</v>
      </c>
    </row>
    <row r="3496" spans="1:16" x14ac:dyDescent="0.3">
      <c r="A3496">
        <v>3495</v>
      </c>
      <c r="B3496" t="s">
        <v>15</v>
      </c>
      <c r="C3496">
        <v>51278328</v>
      </c>
      <c r="D3496" t="s">
        <v>10</v>
      </c>
      <c r="E3496" t="s">
        <v>16</v>
      </c>
      <c r="F3496" t="s">
        <v>12</v>
      </c>
      <c r="G3496" t="s">
        <v>13</v>
      </c>
      <c r="H3496" t="s">
        <v>13</v>
      </c>
      <c r="I3496">
        <v>26</v>
      </c>
      <c r="J3496">
        <f>ABS((I3496-EDA!$A$15)/EDA!$B$15)</f>
        <v>1.1277649683754829</v>
      </c>
      <c r="K3496" t="str">
        <f t="shared" si="54"/>
        <v>No</v>
      </c>
      <c r="L3496">
        <f>ABS((C3496-EDA!$F$15)/EDA!$G$15)</f>
        <v>0.47765360370936794</v>
      </c>
      <c r="M3496" t="str">
        <f>IF(moras[[#This Row],[Z-Score Salario]]&gt;1.96, "Sí", "No")</f>
        <v>No</v>
      </c>
      <c r="N3496" s="14">
        <f>IF(ISBLANK(moras[[#This Row],[SALARIO]]), EDA!$M$8, moras[[#This Row],[SALARIO]])</f>
        <v>51278328</v>
      </c>
      <c r="O3496" s="14">
        <f xml:space="preserve"> IF(ISBLANK(moras[[#This Row],[EDAD]]), EDA!$E$8, moras[[#This Row],[EDAD]])</f>
        <v>26</v>
      </c>
      <c r="P3496" s="14" t="str">
        <f>IF(
    OR(ISBLANK(moras[[#This Row],[TIPO_ASEGURAMIENTO]]), moras[[#This Row],[TIPO_ASEGURAMIENTO]]=""),
    EDA!$A$32,
    moras[[#This Row],[TIPO_ASEGURAMIENTO]]
)</f>
        <v>ASALARIADO</v>
      </c>
    </row>
    <row r="3497" spans="1:16" x14ac:dyDescent="0.3">
      <c r="A3497">
        <v>3496</v>
      </c>
      <c r="B3497" t="s">
        <v>9</v>
      </c>
      <c r="C3497">
        <v>84000</v>
      </c>
      <c r="D3497" t="s">
        <v>10</v>
      </c>
      <c r="E3497" t="s">
        <v>16</v>
      </c>
      <c r="F3497" t="s">
        <v>12</v>
      </c>
      <c r="G3497" t="s">
        <v>13</v>
      </c>
      <c r="H3497" t="s">
        <v>13</v>
      </c>
      <c r="I3497">
        <v>56</v>
      </c>
      <c r="J3497">
        <f>ABS((I3497-EDA!$A$15)/EDA!$B$15)</f>
        <v>0.9894949339386423</v>
      </c>
      <c r="K3497" t="str">
        <f t="shared" si="54"/>
        <v>No</v>
      </c>
      <c r="L3497">
        <f>ABS((C3497-EDA!$F$15)/EDA!$G$15)</f>
        <v>0.37425615291119352</v>
      </c>
      <c r="M3497" t="str">
        <f>IF(moras[[#This Row],[Z-Score Salario]]&gt;1.96, "Sí", "No")</f>
        <v>No</v>
      </c>
      <c r="N3497" s="14">
        <f>IF(ISBLANK(moras[[#This Row],[SALARIO]]), EDA!$M$8, moras[[#This Row],[SALARIO]])</f>
        <v>84000</v>
      </c>
      <c r="O3497" s="14">
        <f xml:space="preserve"> IF(ISBLANK(moras[[#This Row],[EDAD]]), EDA!$E$8, moras[[#This Row],[EDAD]])</f>
        <v>56</v>
      </c>
      <c r="P3497" s="14" t="str">
        <f>IF(
    OR(ISBLANK(moras[[#This Row],[TIPO_ASEGURAMIENTO]]), moras[[#This Row],[TIPO_ASEGURAMIENTO]]=""),
    EDA!$A$32,
    moras[[#This Row],[TIPO_ASEGURAMIENTO]]
)</f>
        <v>ASALARIADO</v>
      </c>
    </row>
    <row r="3498" spans="1:16" x14ac:dyDescent="0.3">
      <c r="A3498">
        <v>3497</v>
      </c>
      <c r="B3498" t="s">
        <v>15</v>
      </c>
      <c r="C3498">
        <v>6892185</v>
      </c>
      <c r="D3498" t="s">
        <v>10</v>
      </c>
      <c r="E3498" t="s">
        <v>11</v>
      </c>
      <c r="F3498" t="s">
        <v>12</v>
      </c>
      <c r="G3498" t="s">
        <v>13</v>
      </c>
      <c r="H3498" t="s">
        <v>13</v>
      </c>
      <c r="I3498">
        <v>37</v>
      </c>
      <c r="J3498">
        <f>ABS((I3498-EDA!$A$15)/EDA!$B$15)</f>
        <v>0.35143633752697023</v>
      </c>
      <c r="K3498" t="str">
        <f t="shared" si="54"/>
        <v>No</v>
      </c>
      <c r="L3498">
        <f>ABS((C3498-EDA!$F$15)/EDA!$G$15)</f>
        <v>0.2609631485303614</v>
      </c>
      <c r="M3498" t="str">
        <f>IF(moras[[#This Row],[Z-Score Salario]]&gt;1.96, "Sí", "No")</f>
        <v>No</v>
      </c>
      <c r="N3498" s="14">
        <f>IF(ISBLANK(moras[[#This Row],[SALARIO]]), EDA!$M$8, moras[[#This Row],[SALARIO]])</f>
        <v>6892185</v>
      </c>
      <c r="O3498" s="14">
        <f xml:space="preserve"> IF(ISBLANK(moras[[#This Row],[EDAD]]), EDA!$E$8, moras[[#This Row],[EDAD]])</f>
        <v>37</v>
      </c>
      <c r="P3498" s="14" t="str">
        <f>IF(
    OR(ISBLANK(moras[[#This Row],[TIPO_ASEGURAMIENTO]]), moras[[#This Row],[TIPO_ASEGURAMIENTO]]=""),
    EDA!$A$32,
    moras[[#This Row],[TIPO_ASEGURAMIENTO]]
)</f>
        <v>ASALARIADO</v>
      </c>
    </row>
    <row r="3499" spans="1:16" x14ac:dyDescent="0.3">
      <c r="A3499">
        <v>3498</v>
      </c>
      <c r="B3499" t="s">
        <v>15</v>
      </c>
      <c r="C3499">
        <v>3846584</v>
      </c>
      <c r="D3499" t="s">
        <v>10</v>
      </c>
      <c r="E3499" t="s">
        <v>16</v>
      </c>
      <c r="F3499" t="s">
        <v>12</v>
      </c>
      <c r="G3499" t="s">
        <v>13</v>
      </c>
      <c r="H3499" t="s">
        <v>13</v>
      </c>
      <c r="I3499">
        <v>43</v>
      </c>
      <c r="J3499">
        <f>ABS((I3499-EDA!$A$15)/EDA!$B$15)</f>
        <v>7.2015642935854773E-2</v>
      </c>
      <c r="K3499" t="str">
        <f t="shared" si="54"/>
        <v>No</v>
      </c>
      <c r="L3499">
        <f>ABS((C3499-EDA!$F$15)/EDA!$G$15)</f>
        <v>0.31164409909725505</v>
      </c>
      <c r="M3499" t="str">
        <f>IF(moras[[#This Row],[Z-Score Salario]]&gt;1.96, "Sí", "No")</f>
        <v>No</v>
      </c>
      <c r="N3499" s="14">
        <f>IF(ISBLANK(moras[[#This Row],[SALARIO]]), EDA!$M$8, moras[[#This Row],[SALARIO]])</f>
        <v>3846584</v>
      </c>
      <c r="O3499" s="14">
        <f xml:space="preserve"> IF(ISBLANK(moras[[#This Row],[EDAD]]), EDA!$E$8, moras[[#This Row],[EDAD]])</f>
        <v>43</v>
      </c>
      <c r="P3499" s="14" t="str">
        <f>IF(
    OR(ISBLANK(moras[[#This Row],[TIPO_ASEGURAMIENTO]]), moras[[#This Row],[TIPO_ASEGURAMIENTO]]=""),
    EDA!$A$32,
    moras[[#This Row],[TIPO_ASEGURAMIENTO]]
)</f>
        <v>ASALARIADO</v>
      </c>
    </row>
    <row r="3500" spans="1:16" x14ac:dyDescent="0.3">
      <c r="A3500">
        <v>3499</v>
      </c>
      <c r="B3500" t="s">
        <v>9</v>
      </c>
      <c r="C3500">
        <v>140000</v>
      </c>
      <c r="D3500" t="s">
        <v>10</v>
      </c>
      <c r="E3500" t="s">
        <v>16</v>
      </c>
      <c r="F3500" t="s">
        <v>12</v>
      </c>
      <c r="G3500" t="s">
        <v>12</v>
      </c>
      <c r="H3500" t="s">
        <v>13</v>
      </c>
      <c r="I3500">
        <v>57</v>
      </c>
      <c r="J3500">
        <f>ABS((I3500-EDA!$A$15)/EDA!$B$15)</f>
        <v>1.0600702640157798</v>
      </c>
      <c r="K3500" t="str">
        <f t="shared" si="54"/>
        <v>No</v>
      </c>
      <c r="L3500">
        <f>ABS((C3500-EDA!$F$15)/EDA!$G$15)</f>
        <v>0.37332427338011048</v>
      </c>
      <c r="M3500" t="str">
        <f>IF(moras[[#This Row],[Z-Score Salario]]&gt;1.96, "Sí", "No")</f>
        <v>No</v>
      </c>
      <c r="N3500" s="14">
        <f>IF(ISBLANK(moras[[#This Row],[SALARIO]]), EDA!$M$8, moras[[#This Row],[SALARIO]])</f>
        <v>140000</v>
      </c>
      <c r="O3500" s="14">
        <f xml:space="preserve"> IF(ISBLANK(moras[[#This Row],[EDAD]]), EDA!$E$8, moras[[#This Row],[EDAD]])</f>
        <v>57</v>
      </c>
      <c r="P3500" s="14" t="str">
        <f>IF(
    OR(ISBLANK(moras[[#This Row],[TIPO_ASEGURAMIENTO]]), moras[[#This Row],[TIPO_ASEGURAMIENTO]]=""),
    EDA!$A$32,
    moras[[#This Row],[TIPO_ASEGURAMIENTO]]
)</f>
        <v>ASALARIADO</v>
      </c>
    </row>
    <row r="3501" spans="1:16" x14ac:dyDescent="0.3">
      <c r="A3501">
        <v>3500</v>
      </c>
      <c r="B3501" t="s">
        <v>9</v>
      </c>
      <c r="C3501">
        <v>297046</v>
      </c>
      <c r="D3501" t="s">
        <v>18</v>
      </c>
      <c r="E3501" t="s">
        <v>16</v>
      </c>
      <c r="F3501" t="s">
        <v>12</v>
      </c>
      <c r="G3501" t="s">
        <v>13</v>
      </c>
      <c r="H3501" t="s">
        <v>12</v>
      </c>
      <c r="I3501">
        <v>61</v>
      </c>
      <c r="J3501">
        <f>ABS((I3501-EDA!$A$15)/EDA!$B$15)</f>
        <v>1.3423715843243298</v>
      </c>
      <c r="K3501" t="str">
        <f t="shared" si="54"/>
        <v>No</v>
      </c>
      <c r="L3501">
        <f>ABS((C3501-EDA!$F$15)/EDA!$G$15)</f>
        <v>0.37071091707942361</v>
      </c>
      <c r="M3501" t="str">
        <f>IF(moras[[#This Row],[Z-Score Salario]]&gt;1.96, "Sí", "No")</f>
        <v>No</v>
      </c>
      <c r="N3501" s="14">
        <f>IF(ISBLANK(moras[[#This Row],[SALARIO]]), EDA!$M$8, moras[[#This Row],[SALARIO]])</f>
        <v>297046</v>
      </c>
      <c r="O3501" s="14">
        <f xml:space="preserve"> IF(ISBLANK(moras[[#This Row],[EDAD]]), EDA!$E$8, moras[[#This Row],[EDAD]])</f>
        <v>61</v>
      </c>
      <c r="P3501" s="14" t="str">
        <f>IF(
    OR(ISBLANK(moras[[#This Row],[TIPO_ASEGURAMIENTO]]), moras[[#This Row],[TIPO_ASEGURAMIENTO]]=""),
    EDA!$A$32,
    moras[[#This Row],[TIPO_ASEGURAMIENTO]]
)</f>
        <v>TRABAJADOR INDEPENDIENTE</v>
      </c>
    </row>
    <row r="3502" spans="1:16" x14ac:dyDescent="0.3">
      <c r="A3502">
        <v>3501</v>
      </c>
      <c r="B3502" t="s">
        <v>15</v>
      </c>
      <c r="C3502">
        <v>27775392</v>
      </c>
      <c r="D3502" t="s">
        <v>10</v>
      </c>
      <c r="E3502" t="s">
        <v>16</v>
      </c>
      <c r="F3502" t="s">
        <v>12</v>
      </c>
      <c r="G3502" t="s">
        <v>13</v>
      </c>
      <c r="H3502" t="s">
        <v>13</v>
      </c>
      <c r="I3502">
        <v>20</v>
      </c>
      <c r="J3502">
        <f>ABS((I3502-EDA!$A$15)/EDA!$B$15)</f>
        <v>1.5512169488383079</v>
      </c>
      <c r="K3502" t="str">
        <f t="shared" si="54"/>
        <v>No</v>
      </c>
      <c r="L3502">
        <f>ABS((C3502-EDA!$F$15)/EDA!$G$15)</f>
        <v>8.6548157660176067E-2</v>
      </c>
      <c r="M3502" t="str">
        <f>IF(moras[[#This Row],[Z-Score Salario]]&gt;1.96, "Sí", "No")</f>
        <v>No</v>
      </c>
      <c r="N3502" s="14">
        <f>IF(ISBLANK(moras[[#This Row],[SALARIO]]), EDA!$M$8, moras[[#This Row],[SALARIO]])</f>
        <v>27775392</v>
      </c>
      <c r="O3502" s="14">
        <f xml:space="preserve"> IF(ISBLANK(moras[[#This Row],[EDAD]]), EDA!$E$8, moras[[#This Row],[EDAD]])</f>
        <v>20</v>
      </c>
      <c r="P3502" s="14" t="str">
        <f>IF(
    OR(ISBLANK(moras[[#This Row],[TIPO_ASEGURAMIENTO]]), moras[[#This Row],[TIPO_ASEGURAMIENTO]]=""),
    EDA!$A$32,
    moras[[#This Row],[TIPO_ASEGURAMIENTO]]
)</f>
        <v>ASALARIADO</v>
      </c>
    </row>
    <row r="3503" spans="1:16" x14ac:dyDescent="0.3">
      <c r="A3503">
        <v>3502</v>
      </c>
      <c r="B3503" t="s">
        <v>15</v>
      </c>
      <c r="C3503">
        <v>278030</v>
      </c>
      <c r="D3503" t="s">
        <v>19</v>
      </c>
      <c r="E3503" t="s">
        <v>16</v>
      </c>
      <c r="F3503" t="s">
        <v>12</v>
      </c>
      <c r="G3503" t="s">
        <v>13</v>
      </c>
      <c r="H3503" t="s">
        <v>13</v>
      </c>
      <c r="I3503">
        <v>54</v>
      </c>
      <c r="J3503">
        <f>ABS((I3503-EDA!$A$15)/EDA!$B$15)</f>
        <v>0.84834427378436728</v>
      </c>
      <c r="K3503" t="str">
        <f t="shared" si="54"/>
        <v>No</v>
      </c>
      <c r="L3503">
        <f>ABS((C3503-EDA!$F$15)/EDA!$G$15)</f>
        <v>0.37102735674304993</v>
      </c>
      <c r="M3503" t="str">
        <f>IF(moras[[#This Row],[Z-Score Salario]]&gt;1.96, "Sí", "No")</f>
        <v>No</v>
      </c>
      <c r="N3503" s="14">
        <f>IF(ISBLANK(moras[[#This Row],[SALARIO]]), EDA!$M$8, moras[[#This Row],[SALARIO]])</f>
        <v>278030</v>
      </c>
      <c r="O3503" s="14">
        <f xml:space="preserve"> IF(ISBLANK(moras[[#This Row],[EDAD]]), EDA!$E$8, moras[[#This Row],[EDAD]])</f>
        <v>54</v>
      </c>
      <c r="P3503" s="14" t="str">
        <f>IF(
    OR(ISBLANK(moras[[#This Row],[TIPO_ASEGURAMIENTO]]), moras[[#This Row],[TIPO_ASEGURAMIENTO]]=""),
    EDA!$A$32,
    moras[[#This Row],[TIPO_ASEGURAMIENTO]]
)</f>
        <v>CONVENIOS ESPECIALES DE TRABAJADORES INDEPENDIENTES</v>
      </c>
    </row>
    <row r="3504" spans="1:16" x14ac:dyDescent="0.3">
      <c r="A3504">
        <v>3503</v>
      </c>
      <c r="B3504" t="s">
        <v>9</v>
      </c>
      <c r="C3504">
        <v>742483</v>
      </c>
      <c r="D3504" t="s">
        <v>18</v>
      </c>
      <c r="E3504" t="s">
        <v>16</v>
      </c>
      <c r="F3504" t="s">
        <v>12</v>
      </c>
      <c r="G3504" t="s">
        <v>13</v>
      </c>
      <c r="H3504" t="s">
        <v>12</v>
      </c>
      <c r="I3504">
        <v>70</v>
      </c>
      <c r="J3504">
        <f>ABS((I3504-EDA!$A$15)/EDA!$B$15)</f>
        <v>1.9775495550185673</v>
      </c>
      <c r="K3504" t="str">
        <f t="shared" si="54"/>
        <v>Sí</v>
      </c>
      <c r="L3504">
        <f>ABS((C3504-EDA!$F$15)/EDA!$G$15)</f>
        <v>0.36329853096001219</v>
      </c>
      <c r="M3504" t="str">
        <f>IF(moras[[#This Row],[Z-Score Salario]]&gt;1.96, "Sí", "No")</f>
        <v>No</v>
      </c>
      <c r="N3504" s="14">
        <f>IF(ISBLANK(moras[[#This Row],[SALARIO]]), EDA!$M$8, moras[[#This Row],[SALARIO]])</f>
        <v>742483</v>
      </c>
      <c r="O3504" s="14">
        <f xml:space="preserve"> IF(ISBLANK(moras[[#This Row],[EDAD]]), EDA!$E$8, moras[[#This Row],[EDAD]])</f>
        <v>70</v>
      </c>
      <c r="P3504" s="14" t="str">
        <f>IF(
    OR(ISBLANK(moras[[#This Row],[TIPO_ASEGURAMIENTO]]), moras[[#This Row],[TIPO_ASEGURAMIENTO]]=""),
    EDA!$A$32,
    moras[[#This Row],[TIPO_ASEGURAMIENTO]]
)</f>
        <v>TRABAJADOR INDEPENDIENTE</v>
      </c>
    </row>
    <row r="3505" spans="1:16" x14ac:dyDescent="0.3">
      <c r="A3505">
        <v>3504</v>
      </c>
      <c r="B3505" t="s">
        <v>9</v>
      </c>
      <c r="C3505">
        <v>460800</v>
      </c>
      <c r="D3505" t="s">
        <v>10</v>
      </c>
      <c r="E3505" t="s">
        <v>11</v>
      </c>
      <c r="F3505" t="s">
        <v>12</v>
      </c>
      <c r="G3505" t="s">
        <v>13</v>
      </c>
      <c r="H3505" t="s">
        <v>13</v>
      </c>
      <c r="I3505">
        <v>60</v>
      </c>
      <c r="J3505">
        <f>ABS((I3505-EDA!$A$15)/EDA!$B$15)</f>
        <v>1.2717962542471923</v>
      </c>
      <c r="K3505" t="str">
        <f t="shared" si="54"/>
        <v>No</v>
      </c>
      <c r="L3505">
        <f>ABS((C3505-EDA!$F$15)/EDA!$G$15)</f>
        <v>0.36798593492347764</v>
      </c>
      <c r="M3505" t="str">
        <f>IF(moras[[#This Row],[Z-Score Salario]]&gt;1.96, "Sí", "No")</f>
        <v>No</v>
      </c>
      <c r="N3505" s="14">
        <f>IF(ISBLANK(moras[[#This Row],[SALARIO]]), EDA!$M$8, moras[[#This Row],[SALARIO]])</f>
        <v>460800</v>
      </c>
      <c r="O3505" s="14">
        <f xml:space="preserve"> IF(ISBLANK(moras[[#This Row],[EDAD]]), EDA!$E$8, moras[[#This Row],[EDAD]])</f>
        <v>60</v>
      </c>
      <c r="P3505" s="14" t="str">
        <f>IF(
    OR(ISBLANK(moras[[#This Row],[TIPO_ASEGURAMIENTO]]), moras[[#This Row],[TIPO_ASEGURAMIENTO]]=""),
    EDA!$A$32,
    moras[[#This Row],[TIPO_ASEGURAMIENTO]]
)</f>
        <v>ASALARIADO</v>
      </c>
    </row>
    <row r="3506" spans="1:16" x14ac:dyDescent="0.3">
      <c r="A3506">
        <v>3505</v>
      </c>
      <c r="B3506" t="s">
        <v>9</v>
      </c>
      <c r="C3506">
        <v>35040266</v>
      </c>
      <c r="D3506" t="s">
        <v>10</v>
      </c>
      <c r="E3506" t="s">
        <v>16</v>
      </c>
      <c r="F3506" t="s">
        <v>12</v>
      </c>
      <c r="G3506" t="s">
        <v>13</v>
      </c>
      <c r="H3506" t="s">
        <v>13</v>
      </c>
      <c r="I3506">
        <v>22</v>
      </c>
      <c r="J3506">
        <f>ABS((I3506-EDA!$A$15)/EDA!$B$15)</f>
        <v>1.4100662886840327</v>
      </c>
      <c r="K3506" t="str">
        <f t="shared" si="54"/>
        <v>No</v>
      </c>
      <c r="L3506">
        <f>ABS((C3506-EDA!$F$15)/EDA!$G$15)</f>
        <v>0.20744078938334362</v>
      </c>
      <c r="M3506" t="str">
        <f>IF(moras[[#This Row],[Z-Score Salario]]&gt;1.96, "Sí", "No")</f>
        <v>No</v>
      </c>
      <c r="N3506" s="14">
        <f>IF(ISBLANK(moras[[#This Row],[SALARIO]]), EDA!$M$8, moras[[#This Row],[SALARIO]])</f>
        <v>35040266</v>
      </c>
      <c r="O3506" s="14">
        <f xml:space="preserve"> IF(ISBLANK(moras[[#This Row],[EDAD]]), EDA!$E$8, moras[[#This Row],[EDAD]])</f>
        <v>22</v>
      </c>
      <c r="P3506" s="14" t="str">
        <f>IF(
    OR(ISBLANK(moras[[#This Row],[TIPO_ASEGURAMIENTO]]), moras[[#This Row],[TIPO_ASEGURAMIENTO]]=""),
    EDA!$A$32,
    moras[[#This Row],[TIPO_ASEGURAMIENTO]]
)</f>
        <v>ASALARIADO</v>
      </c>
    </row>
    <row r="3507" spans="1:16" x14ac:dyDescent="0.3">
      <c r="A3507">
        <v>3506</v>
      </c>
      <c r="B3507" t="s">
        <v>9</v>
      </c>
      <c r="C3507">
        <v>91511976</v>
      </c>
      <c r="D3507" t="s">
        <v>10</v>
      </c>
      <c r="E3507" t="s">
        <v>16</v>
      </c>
      <c r="F3507" t="s">
        <v>12</v>
      </c>
      <c r="G3507" t="s">
        <v>13</v>
      </c>
      <c r="H3507" t="s">
        <v>13</v>
      </c>
      <c r="I3507">
        <v>37</v>
      </c>
      <c r="J3507">
        <f>ABS((I3507-EDA!$A$15)/EDA!$B$15)</f>
        <v>0.35143633752697023</v>
      </c>
      <c r="K3507" t="str">
        <f t="shared" si="54"/>
        <v>No</v>
      </c>
      <c r="L3507">
        <f>ABS((C3507-EDA!$F$15)/EDA!$G$15)</f>
        <v>1.1471699078522279</v>
      </c>
      <c r="M3507" t="str">
        <f>IF(moras[[#This Row],[Z-Score Salario]]&gt;1.96, "Sí", "No")</f>
        <v>No</v>
      </c>
      <c r="N3507" s="14">
        <f>IF(ISBLANK(moras[[#This Row],[SALARIO]]), EDA!$M$8, moras[[#This Row],[SALARIO]])</f>
        <v>91511976</v>
      </c>
      <c r="O3507" s="14">
        <f xml:space="preserve"> IF(ISBLANK(moras[[#This Row],[EDAD]]), EDA!$E$8, moras[[#This Row],[EDAD]])</f>
        <v>37</v>
      </c>
      <c r="P3507" s="14" t="str">
        <f>IF(
    OR(ISBLANK(moras[[#This Row],[TIPO_ASEGURAMIENTO]]), moras[[#This Row],[TIPO_ASEGURAMIENTO]]=""),
    EDA!$A$32,
    moras[[#This Row],[TIPO_ASEGURAMIENTO]]
)</f>
        <v>ASALARIADO</v>
      </c>
    </row>
    <row r="3508" spans="1:16" x14ac:dyDescent="0.3">
      <c r="A3508">
        <v>3507</v>
      </c>
      <c r="B3508" t="s">
        <v>15</v>
      </c>
      <c r="C3508">
        <v>15524292</v>
      </c>
      <c r="D3508" t="s">
        <v>10</v>
      </c>
      <c r="E3508" t="s">
        <v>16</v>
      </c>
      <c r="F3508" t="s">
        <v>12</v>
      </c>
      <c r="G3508" t="s">
        <v>13</v>
      </c>
      <c r="H3508" t="s">
        <v>13</v>
      </c>
      <c r="I3508">
        <v>24</v>
      </c>
      <c r="J3508">
        <f>ABS((I3508-EDA!$A$15)/EDA!$B$15)</f>
        <v>1.2689156285297578</v>
      </c>
      <c r="K3508" t="str">
        <f t="shared" si="54"/>
        <v>No</v>
      </c>
      <c r="L3508">
        <f>ABS((C3508-EDA!$F$15)/EDA!$G$15)</f>
        <v>0.11731879454074276</v>
      </c>
      <c r="M3508" t="str">
        <f>IF(moras[[#This Row],[Z-Score Salario]]&gt;1.96, "Sí", "No")</f>
        <v>No</v>
      </c>
      <c r="N3508" s="14">
        <f>IF(ISBLANK(moras[[#This Row],[SALARIO]]), EDA!$M$8, moras[[#This Row],[SALARIO]])</f>
        <v>15524292</v>
      </c>
      <c r="O3508" s="14">
        <f xml:space="preserve"> IF(ISBLANK(moras[[#This Row],[EDAD]]), EDA!$E$8, moras[[#This Row],[EDAD]])</f>
        <v>24</v>
      </c>
      <c r="P3508" s="14" t="str">
        <f>IF(
    OR(ISBLANK(moras[[#This Row],[TIPO_ASEGURAMIENTO]]), moras[[#This Row],[TIPO_ASEGURAMIENTO]]=""),
    EDA!$A$32,
    moras[[#This Row],[TIPO_ASEGURAMIENTO]]
)</f>
        <v>ASALARIADO</v>
      </c>
    </row>
    <row r="3509" spans="1:16" x14ac:dyDescent="0.3">
      <c r="A3509">
        <v>3508</v>
      </c>
      <c r="B3509" t="s">
        <v>15</v>
      </c>
      <c r="C3509">
        <v>358973</v>
      </c>
      <c r="D3509" t="s">
        <v>10</v>
      </c>
      <c r="E3509" t="s">
        <v>16</v>
      </c>
      <c r="F3509" t="s">
        <v>12</v>
      </c>
      <c r="G3509" t="s">
        <v>13</v>
      </c>
      <c r="H3509" t="s">
        <v>13</v>
      </c>
      <c r="I3509">
        <v>24</v>
      </c>
      <c r="J3509">
        <f>ABS((I3509-EDA!$A$15)/EDA!$B$15)</f>
        <v>1.2689156285297578</v>
      </c>
      <c r="K3509" t="str">
        <f t="shared" si="54"/>
        <v>No</v>
      </c>
      <c r="L3509">
        <f>ABS((C3509-EDA!$F$15)/EDA!$G$15)</f>
        <v>0.36968040808439895</v>
      </c>
      <c r="M3509" t="str">
        <f>IF(moras[[#This Row],[Z-Score Salario]]&gt;1.96, "Sí", "No")</f>
        <v>No</v>
      </c>
      <c r="N3509" s="14">
        <f>IF(ISBLANK(moras[[#This Row],[SALARIO]]), EDA!$M$8, moras[[#This Row],[SALARIO]])</f>
        <v>358973</v>
      </c>
      <c r="O3509" s="14">
        <f xml:space="preserve"> IF(ISBLANK(moras[[#This Row],[EDAD]]), EDA!$E$8, moras[[#This Row],[EDAD]])</f>
        <v>24</v>
      </c>
      <c r="P3509" s="14" t="str">
        <f>IF(
    OR(ISBLANK(moras[[#This Row],[TIPO_ASEGURAMIENTO]]), moras[[#This Row],[TIPO_ASEGURAMIENTO]]=""),
    EDA!$A$32,
    moras[[#This Row],[TIPO_ASEGURAMIENTO]]
)</f>
        <v>ASALARIADO</v>
      </c>
    </row>
    <row r="3510" spans="1:16" x14ac:dyDescent="0.3">
      <c r="A3510">
        <v>3509</v>
      </c>
      <c r="B3510" t="s">
        <v>9</v>
      </c>
      <c r="C3510">
        <v>15000</v>
      </c>
      <c r="D3510" t="s">
        <v>10</v>
      </c>
      <c r="E3510" t="s">
        <v>16</v>
      </c>
      <c r="F3510" t="s">
        <v>12</v>
      </c>
      <c r="G3510" t="s">
        <v>13</v>
      </c>
      <c r="H3510" t="s">
        <v>13</v>
      </c>
      <c r="I3510">
        <v>42</v>
      </c>
      <c r="J3510">
        <f>ABS((I3510-EDA!$A$15)/EDA!$B$15)</f>
        <v>1.4403128587172659E-3</v>
      </c>
      <c r="K3510" t="str">
        <f t="shared" si="54"/>
        <v>No</v>
      </c>
      <c r="L3510">
        <f>ABS((C3510-EDA!$F$15)/EDA!$G$15)</f>
        <v>0.37540436161913515</v>
      </c>
      <c r="M3510" t="str">
        <f>IF(moras[[#This Row],[Z-Score Salario]]&gt;1.96, "Sí", "No")</f>
        <v>No</v>
      </c>
      <c r="N3510" s="14">
        <f>IF(ISBLANK(moras[[#This Row],[SALARIO]]), EDA!$M$8, moras[[#This Row],[SALARIO]])</f>
        <v>15000</v>
      </c>
      <c r="O3510" s="14">
        <f xml:space="preserve"> IF(ISBLANK(moras[[#This Row],[EDAD]]), EDA!$E$8, moras[[#This Row],[EDAD]])</f>
        <v>42</v>
      </c>
      <c r="P3510" s="14" t="str">
        <f>IF(
    OR(ISBLANK(moras[[#This Row],[TIPO_ASEGURAMIENTO]]), moras[[#This Row],[TIPO_ASEGURAMIENTO]]=""),
    EDA!$A$32,
    moras[[#This Row],[TIPO_ASEGURAMIENTO]]
)</f>
        <v>ASALARIADO</v>
      </c>
    </row>
    <row r="3511" spans="1:16" x14ac:dyDescent="0.3">
      <c r="A3511">
        <v>3510</v>
      </c>
      <c r="B3511" t="s">
        <v>9</v>
      </c>
      <c r="C3511">
        <v>40361234</v>
      </c>
      <c r="D3511" t="s">
        <v>10</v>
      </c>
      <c r="E3511" t="s">
        <v>16</v>
      </c>
      <c r="F3511" t="s">
        <v>12</v>
      </c>
      <c r="G3511" t="s">
        <v>13</v>
      </c>
      <c r="H3511" t="s">
        <v>13</v>
      </c>
      <c r="I3511">
        <v>37</v>
      </c>
      <c r="J3511">
        <f>ABS((I3511-EDA!$A$15)/EDA!$B$15)</f>
        <v>0.35143633752697023</v>
      </c>
      <c r="K3511" t="str">
        <f t="shared" si="54"/>
        <v>No</v>
      </c>
      <c r="L3511">
        <f>ABS((C3511-EDA!$F$15)/EDA!$G$15)</f>
        <v>0.29598545303955559</v>
      </c>
      <c r="M3511" t="str">
        <f>IF(moras[[#This Row],[Z-Score Salario]]&gt;1.96, "Sí", "No")</f>
        <v>No</v>
      </c>
      <c r="N3511" s="14">
        <f>IF(ISBLANK(moras[[#This Row],[SALARIO]]), EDA!$M$8, moras[[#This Row],[SALARIO]])</f>
        <v>40361234</v>
      </c>
      <c r="O3511" s="14">
        <f xml:space="preserve"> IF(ISBLANK(moras[[#This Row],[EDAD]]), EDA!$E$8, moras[[#This Row],[EDAD]])</f>
        <v>37</v>
      </c>
      <c r="P3511" s="14" t="str">
        <f>IF(
    OR(ISBLANK(moras[[#This Row],[TIPO_ASEGURAMIENTO]]), moras[[#This Row],[TIPO_ASEGURAMIENTO]]=""),
    EDA!$A$32,
    moras[[#This Row],[TIPO_ASEGURAMIENTO]]
)</f>
        <v>ASALARIADO</v>
      </c>
    </row>
    <row r="3512" spans="1:16" x14ac:dyDescent="0.3">
      <c r="A3512">
        <v>3511</v>
      </c>
      <c r="B3512" t="s">
        <v>15</v>
      </c>
      <c r="C3512">
        <v>7021456</v>
      </c>
      <c r="D3512" t="s">
        <v>10</v>
      </c>
      <c r="E3512" t="s">
        <v>11</v>
      </c>
      <c r="F3512" t="s">
        <v>12</v>
      </c>
      <c r="G3512" t="s">
        <v>13</v>
      </c>
      <c r="H3512" t="s">
        <v>13</v>
      </c>
      <c r="I3512">
        <v>35</v>
      </c>
      <c r="J3512">
        <f>ABS((I3512-EDA!$A$15)/EDA!$B$15)</f>
        <v>0.49258699768124525</v>
      </c>
      <c r="K3512" t="str">
        <f t="shared" si="54"/>
        <v>No</v>
      </c>
      <c r="L3512">
        <f>ABS((C3512-EDA!$F$15)/EDA!$G$15)</f>
        <v>0.25881198783638576</v>
      </c>
      <c r="M3512" t="str">
        <f>IF(moras[[#This Row],[Z-Score Salario]]&gt;1.96, "Sí", "No")</f>
        <v>No</v>
      </c>
      <c r="N3512" s="14">
        <f>IF(ISBLANK(moras[[#This Row],[SALARIO]]), EDA!$M$8, moras[[#This Row],[SALARIO]])</f>
        <v>7021456</v>
      </c>
      <c r="O3512" s="14">
        <f xml:space="preserve"> IF(ISBLANK(moras[[#This Row],[EDAD]]), EDA!$E$8, moras[[#This Row],[EDAD]])</f>
        <v>35</v>
      </c>
      <c r="P3512" s="14" t="str">
        <f>IF(
    OR(ISBLANK(moras[[#This Row],[TIPO_ASEGURAMIENTO]]), moras[[#This Row],[TIPO_ASEGURAMIENTO]]=""),
    EDA!$A$32,
    moras[[#This Row],[TIPO_ASEGURAMIENTO]]
)</f>
        <v>ASALARIADO</v>
      </c>
    </row>
    <row r="3513" spans="1:16" x14ac:dyDescent="0.3">
      <c r="A3513">
        <v>3512</v>
      </c>
      <c r="B3513" t="s">
        <v>9</v>
      </c>
      <c r="C3513">
        <v>54098297</v>
      </c>
      <c r="D3513" t="s">
        <v>10</v>
      </c>
      <c r="E3513" t="s">
        <v>11</v>
      </c>
      <c r="F3513" t="s">
        <v>12</v>
      </c>
      <c r="G3513" t="s">
        <v>13</v>
      </c>
      <c r="H3513" t="s">
        <v>13</v>
      </c>
      <c r="I3513">
        <v>29</v>
      </c>
      <c r="J3513">
        <f>ABS((I3513-EDA!$A$15)/EDA!$B$15)</f>
        <v>0.91603897814407031</v>
      </c>
      <c r="K3513" t="str">
        <f t="shared" si="54"/>
        <v>No</v>
      </c>
      <c r="L3513">
        <f>ABS((C3513-EDA!$F$15)/EDA!$G$15)</f>
        <v>0.52457987851988075</v>
      </c>
      <c r="M3513" t="str">
        <f>IF(moras[[#This Row],[Z-Score Salario]]&gt;1.96, "Sí", "No")</f>
        <v>No</v>
      </c>
      <c r="N3513" s="14">
        <f>IF(ISBLANK(moras[[#This Row],[SALARIO]]), EDA!$M$8, moras[[#This Row],[SALARIO]])</f>
        <v>54098297</v>
      </c>
      <c r="O3513" s="14">
        <f xml:space="preserve"> IF(ISBLANK(moras[[#This Row],[EDAD]]), EDA!$E$8, moras[[#This Row],[EDAD]])</f>
        <v>29</v>
      </c>
      <c r="P3513" s="14" t="str">
        <f>IF(
    OR(ISBLANK(moras[[#This Row],[TIPO_ASEGURAMIENTO]]), moras[[#This Row],[TIPO_ASEGURAMIENTO]]=""),
    EDA!$A$32,
    moras[[#This Row],[TIPO_ASEGURAMIENTO]]
)</f>
        <v>ASALARIADO</v>
      </c>
    </row>
    <row r="3514" spans="1:16" x14ac:dyDescent="0.3">
      <c r="A3514">
        <v>3513</v>
      </c>
      <c r="B3514" t="s">
        <v>9</v>
      </c>
      <c r="C3514">
        <v>39994597</v>
      </c>
      <c r="D3514" t="s">
        <v>14</v>
      </c>
      <c r="E3514" t="s">
        <v>11</v>
      </c>
      <c r="F3514" t="s">
        <v>12</v>
      </c>
      <c r="G3514" t="s">
        <v>13</v>
      </c>
      <c r="H3514" t="s">
        <v>13</v>
      </c>
      <c r="I3514">
        <v>92</v>
      </c>
      <c r="J3514">
        <f>ABS((I3514-EDA!$A$15)/EDA!$B$15)</f>
        <v>3.5302068167155927</v>
      </c>
      <c r="K3514" t="str">
        <f t="shared" si="54"/>
        <v>Sí</v>
      </c>
      <c r="L3514">
        <f>ABS((C3514-EDA!$F$15)/EDA!$G$15)</f>
        <v>0.2898843545460254</v>
      </c>
      <c r="M3514" t="str">
        <f>IF(moras[[#This Row],[Z-Score Salario]]&gt;1.96, "Sí", "No")</f>
        <v>No</v>
      </c>
      <c r="N3514" s="14">
        <f>IF(ISBLANK(moras[[#This Row],[SALARIO]]), EDA!$M$8, moras[[#This Row],[SALARIO]])</f>
        <v>39994597</v>
      </c>
      <c r="O3514" s="14">
        <f xml:space="preserve"> IF(ISBLANK(moras[[#This Row],[EDAD]]), EDA!$E$8, moras[[#This Row],[EDAD]])</f>
        <v>92</v>
      </c>
      <c r="P3514" s="14" t="str">
        <f>IF(
    OR(ISBLANK(moras[[#This Row],[TIPO_ASEGURAMIENTO]]), moras[[#This Row],[TIPO_ASEGURAMIENTO]]=""),
    EDA!$A$32,
    moras[[#This Row],[TIPO_ASEGURAMIENTO]]
)</f>
        <v>PENSIONADOS EN SU PROPIO SISTEMA</v>
      </c>
    </row>
    <row r="3515" spans="1:16" x14ac:dyDescent="0.3">
      <c r="A3515">
        <v>3514</v>
      </c>
      <c r="B3515" t="s">
        <v>9</v>
      </c>
      <c r="C3515">
        <v>470000</v>
      </c>
      <c r="D3515" t="s">
        <v>10</v>
      </c>
      <c r="E3515" t="s">
        <v>16</v>
      </c>
      <c r="F3515" t="s">
        <v>12</v>
      </c>
      <c r="G3515" t="s">
        <v>13</v>
      </c>
      <c r="H3515" t="s">
        <v>13</v>
      </c>
      <c r="I3515">
        <v>39</v>
      </c>
      <c r="J3515">
        <f>ABS((I3515-EDA!$A$15)/EDA!$B$15)</f>
        <v>0.21028567737269524</v>
      </c>
      <c r="K3515" t="str">
        <f t="shared" si="54"/>
        <v>No</v>
      </c>
      <c r="L3515">
        <f>ABS((C3515-EDA!$F$15)/EDA!$G$15)</f>
        <v>0.36783284042908543</v>
      </c>
      <c r="M3515" t="str">
        <f>IF(moras[[#This Row],[Z-Score Salario]]&gt;1.96, "Sí", "No")</f>
        <v>No</v>
      </c>
      <c r="N3515" s="14">
        <f>IF(ISBLANK(moras[[#This Row],[SALARIO]]), EDA!$M$8, moras[[#This Row],[SALARIO]])</f>
        <v>470000</v>
      </c>
      <c r="O3515" s="14">
        <f xml:space="preserve"> IF(ISBLANK(moras[[#This Row],[EDAD]]), EDA!$E$8, moras[[#This Row],[EDAD]])</f>
        <v>39</v>
      </c>
      <c r="P3515" s="14" t="str">
        <f>IF(
    OR(ISBLANK(moras[[#This Row],[TIPO_ASEGURAMIENTO]]), moras[[#This Row],[TIPO_ASEGURAMIENTO]]=""),
    EDA!$A$32,
    moras[[#This Row],[TIPO_ASEGURAMIENTO]]
)</f>
        <v>ASALARIADO</v>
      </c>
    </row>
    <row r="3516" spans="1:16" x14ac:dyDescent="0.3">
      <c r="A3516">
        <v>3515</v>
      </c>
      <c r="B3516" t="s">
        <v>9</v>
      </c>
      <c r="C3516">
        <v>514062</v>
      </c>
      <c r="D3516" t="s">
        <v>18</v>
      </c>
      <c r="E3516" t="s">
        <v>16</v>
      </c>
      <c r="F3516" t="s">
        <v>12</v>
      </c>
      <c r="G3516" t="s">
        <v>13</v>
      </c>
      <c r="H3516" t="s">
        <v>12</v>
      </c>
      <c r="I3516">
        <v>62</v>
      </c>
      <c r="J3516">
        <f>ABS((I3516-EDA!$A$15)/EDA!$B$15)</f>
        <v>1.4129469144014672</v>
      </c>
      <c r="K3516" t="str">
        <f t="shared" si="54"/>
        <v>No</v>
      </c>
      <c r="L3516">
        <f>ABS((C3516-EDA!$F$15)/EDA!$G$15)</f>
        <v>0.36709961764518217</v>
      </c>
      <c r="M3516" t="str">
        <f>IF(moras[[#This Row],[Z-Score Salario]]&gt;1.96, "Sí", "No")</f>
        <v>No</v>
      </c>
      <c r="N3516" s="14">
        <f>IF(ISBLANK(moras[[#This Row],[SALARIO]]), EDA!$M$8, moras[[#This Row],[SALARIO]])</f>
        <v>514062</v>
      </c>
      <c r="O3516" s="14">
        <f xml:space="preserve"> IF(ISBLANK(moras[[#This Row],[EDAD]]), EDA!$E$8, moras[[#This Row],[EDAD]])</f>
        <v>62</v>
      </c>
      <c r="P3516" s="14" t="str">
        <f>IF(
    OR(ISBLANK(moras[[#This Row],[TIPO_ASEGURAMIENTO]]), moras[[#This Row],[TIPO_ASEGURAMIENTO]]=""),
    EDA!$A$32,
    moras[[#This Row],[TIPO_ASEGURAMIENTO]]
)</f>
        <v>TRABAJADOR INDEPENDIENTE</v>
      </c>
    </row>
    <row r="3517" spans="1:16" x14ac:dyDescent="0.3">
      <c r="A3517">
        <v>3516</v>
      </c>
      <c r="B3517" t="s">
        <v>15</v>
      </c>
      <c r="C3517">
        <v>278030</v>
      </c>
      <c r="D3517" t="s">
        <v>19</v>
      </c>
      <c r="E3517" t="s">
        <v>16</v>
      </c>
      <c r="F3517" t="s">
        <v>12</v>
      </c>
      <c r="G3517" t="s">
        <v>13</v>
      </c>
      <c r="H3517" t="s">
        <v>13</v>
      </c>
      <c r="I3517">
        <v>69</v>
      </c>
      <c r="J3517">
        <f>ABS((I3517-EDA!$A$15)/EDA!$B$15)</f>
        <v>1.9069742249414299</v>
      </c>
      <c r="K3517" t="str">
        <f t="shared" si="54"/>
        <v>No</v>
      </c>
      <c r="L3517">
        <f>ABS((C3517-EDA!$F$15)/EDA!$G$15)</f>
        <v>0.37102735674304993</v>
      </c>
      <c r="M3517" t="str">
        <f>IF(moras[[#This Row],[Z-Score Salario]]&gt;1.96, "Sí", "No")</f>
        <v>No</v>
      </c>
      <c r="N3517" s="14">
        <f>IF(ISBLANK(moras[[#This Row],[SALARIO]]), EDA!$M$8, moras[[#This Row],[SALARIO]])</f>
        <v>278030</v>
      </c>
      <c r="O3517" s="14">
        <f xml:space="preserve"> IF(ISBLANK(moras[[#This Row],[EDAD]]), EDA!$E$8, moras[[#This Row],[EDAD]])</f>
        <v>69</v>
      </c>
      <c r="P3517" s="14" t="str">
        <f>IF(
    OR(ISBLANK(moras[[#This Row],[TIPO_ASEGURAMIENTO]]), moras[[#This Row],[TIPO_ASEGURAMIENTO]]=""),
    EDA!$A$32,
    moras[[#This Row],[TIPO_ASEGURAMIENTO]]
)</f>
        <v>CONVENIOS ESPECIALES DE TRABAJADORES INDEPENDIENTES</v>
      </c>
    </row>
    <row r="3518" spans="1:16" x14ac:dyDescent="0.3">
      <c r="A3518">
        <v>3517</v>
      </c>
      <c r="B3518" t="s">
        <v>15</v>
      </c>
      <c r="C3518">
        <v>331181</v>
      </c>
      <c r="D3518" t="s">
        <v>18</v>
      </c>
      <c r="E3518" t="s">
        <v>16</v>
      </c>
      <c r="F3518" t="s">
        <v>12</v>
      </c>
      <c r="G3518" t="s">
        <v>13</v>
      </c>
      <c r="H3518" t="s">
        <v>13</v>
      </c>
      <c r="I3518">
        <v>59</v>
      </c>
      <c r="J3518">
        <f>ABS((I3518-EDA!$A$15)/EDA!$B$15)</f>
        <v>1.2012209241700549</v>
      </c>
      <c r="K3518" t="str">
        <f t="shared" si="54"/>
        <v>No</v>
      </c>
      <c r="L3518">
        <f>ABS((C3518-EDA!$F$15)/EDA!$G$15)</f>
        <v>0.37014288658311073</v>
      </c>
      <c r="M3518" t="str">
        <f>IF(moras[[#This Row],[Z-Score Salario]]&gt;1.96, "Sí", "No")</f>
        <v>No</v>
      </c>
      <c r="N3518" s="14">
        <f>IF(ISBLANK(moras[[#This Row],[SALARIO]]), EDA!$M$8, moras[[#This Row],[SALARIO]])</f>
        <v>331181</v>
      </c>
      <c r="O3518" s="14">
        <f xml:space="preserve"> IF(ISBLANK(moras[[#This Row],[EDAD]]), EDA!$E$8, moras[[#This Row],[EDAD]])</f>
        <v>59</v>
      </c>
      <c r="P3518" s="14" t="str">
        <f>IF(
    OR(ISBLANK(moras[[#This Row],[TIPO_ASEGURAMIENTO]]), moras[[#This Row],[TIPO_ASEGURAMIENTO]]=""),
    EDA!$A$32,
    moras[[#This Row],[TIPO_ASEGURAMIENTO]]
)</f>
        <v>TRABAJADOR INDEPENDIENTE</v>
      </c>
    </row>
    <row r="3519" spans="1:16" x14ac:dyDescent="0.3">
      <c r="A3519">
        <v>3518</v>
      </c>
      <c r="B3519" t="s">
        <v>9</v>
      </c>
      <c r="C3519">
        <v>1516000</v>
      </c>
      <c r="D3519" t="s">
        <v>10</v>
      </c>
      <c r="E3519" t="s">
        <v>16</v>
      </c>
      <c r="F3519" t="s">
        <v>12</v>
      </c>
      <c r="G3519" t="s">
        <v>13</v>
      </c>
      <c r="H3519" t="s">
        <v>13</v>
      </c>
      <c r="I3519">
        <v>32</v>
      </c>
      <c r="J3519">
        <f>ABS((I3519-EDA!$A$15)/EDA!$B$15)</f>
        <v>0.70431298791265773</v>
      </c>
      <c r="K3519" t="str">
        <f t="shared" si="54"/>
        <v>No</v>
      </c>
      <c r="L3519">
        <f>ABS((C3519-EDA!$F$15)/EDA!$G$15)</f>
        <v>0.35042666204492717</v>
      </c>
      <c r="M3519" t="str">
        <f>IF(moras[[#This Row],[Z-Score Salario]]&gt;1.96, "Sí", "No")</f>
        <v>No</v>
      </c>
      <c r="N3519" s="14">
        <f>IF(ISBLANK(moras[[#This Row],[SALARIO]]), EDA!$M$8, moras[[#This Row],[SALARIO]])</f>
        <v>1516000</v>
      </c>
      <c r="O3519" s="14">
        <f xml:space="preserve"> IF(ISBLANK(moras[[#This Row],[EDAD]]), EDA!$E$8, moras[[#This Row],[EDAD]])</f>
        <v>32</v>
      </c>
      <c r="P3519" s="14" t="str">
        <f>IF(
    OR(ISBLANK(moras[[#This Row],[TIPO_ASEGURAMIENTO]]), moras[[#This Row],[TIPO_ASEGURAMIENTO]]=""),
    EDA!$A$32,
    moras[[#This Row],[TIPO_ASEGURAMIENTO]]
)</f>
        <v>ASALARIADO</v>
      </c>
    </row>
    <row r="3520" spans="1:16" x14ac:dyDescent="0.3">
      <c r="A3520">
        <v>3519</v>
      </c>
      <c r="B3520" t="s">
        <v>15</v>
      </c>
      <c r="C3520">
        <v>298821</v>
      </c>
      <c r="D3520" t="s">
        <v>17</v>
      </c>
      <c r="E3520" t="s">
        <v>16</v>
      </c>
      <c r="F3520" t="s">
        <v>12</v>
      </c>
      <c r="G3520" t="s">
        <v>13</v>
      </c>
      <c r="H3520" t="s">
        <v>13</v>
      </c>
      <c r="I3520">
        <v>47</v>
      </c>
      <c r="J3520">
        <f>ABS((I3520-EDA!$A$15)/EDA!$B$15)</f>
        <v>0.35431696324440481</v>
      </c>
      <c r="K3520" t="str">
        <f t="shared" si="54"/>
        <v>No</v>
      </c>
      <c r="L3520">
        <f>ABS((C3520-EDA!$F$15)/EDA!$G$15)</f>
        <v>0.37068137982642946</v>
      </c>
      <c r="M3520" t="str">
        <f>IF(moras[[#This Row],[Z-Score Salario]]&gt;1.96, "Sí", "No")</f>
        <v>No</v>
      </c>
      <c r="N3520" s="14">
        <f>IF(ISBLANK(moras[[#This Row],[SALARIO]]), EDA!$M$8, moras[[#This Row],[SALARIO]])</f>
        <v>298821</v>
      </c>
      <c r="O3520" s="14">
        <f xml:space="preserve"> IF(ISBLANK(moras[[#This Row],[EDAD]]), EDA!$E$8, moras[[#This Row],[EDAD]])</f>
        <v>47</v>
      </c>
      <c r="P3520" s="14" t="str">
        <f>IF(
    OR(ISBLANK(moras[[#This Row],[TIPO_ASEGURAMIENTO]]), moras[[#This Row],[TIPO_ASEGURAMIENTO]]=""),
    EDA!$A$32,
    moras[[#This Row],[TIPO_ASEGURAMIENTO]]
)</f>
        <v>ASEGURADO VOLUNTARIO</v>
      </c>
    </row>
    <row r="3521" spans="1:16" x14ac:dyDescent="0.3">
      <c r="A3521">
        <v>3520</v>
      </c>
      <c r="B3521" t="s">
        <v>9</v>
      </c>
      <c r="C3521">
        <v>550000</v>
      </c>
      <c r="D3521" t="s">
        <v>10</v>
      </c>
      <c r="E3521" t="s">
        <v>16</v>
      </c>
      <c r="F3521" t="s">
        <v>12</v>
      </c>
      <c r="G3521" t="s">
        <v>12</v>
      </c>
      <c r="H3521" t="s">
        <v>13</v>
      </c>
      <c r="I3521">
        <v>31</v>
      </c>
      <c r="J3521">
        <f>ABS((I3521-EDA!$A$15)/EDA!$B$15)</f>
        <v>0.77488831798979529</v>
      </c>
      <c r="K3521" t="str">
        <f t="shared" si="54"/>
        <v>No</v>
      </c>
      <c r="L3521">
        <f>ABS((C3521-EDA!$F$15)/EDA!$G$15)</f>
        <v>0.36650158395610966</v>
      </c>
      <c r="M3521" t="str">
        <f>IF(moras[[#This Row],[Z-Score Salario]]&gt;1.96, "Sí", "No")</f>
        <v>No</v>
      </c>
      <c r="N3521" s="14">
        <f>IF(ISBLANK(moras[[#This Row],[SALARIO]]), EDA!$M$8, moras[[#This Row],[SALARIO]])</f>
        <v>550000</v>
      </c>
      <c r="O3521" s="14">
        <f xml:space="preserve"> IF(ISBLANK(moras[[#This Row],[EDAD]]), EDA!$E$8, moras[[#This Row],[EDAD]])</f>
        <v>31</v>
      </c>
      <c r="P3521" s="14" t="str">
        <f>IF(
    OR(ISBLANK(moras[[#This Row],[TIPO_ASEGURAMIENTO]]), moras[[#This Row],[TIPO_ASEGURAMIENTO]]=""),
    EDA!$A$32,
    moras[[#This Row],[TIPO_ASEGURAMIENTO]]
)</f>
        <v>ASALARIADO</v>
      </c>
    </row>
    <row r="3522" spans="1:16" x14ac:dyDescent="0.3">
      <c r="A3522">
        <v>3521</v>
      </c>
      <c r="B3522" t="s">
        <v>15</v>
      </c>
      <c r="C3522">
        <v>1941122</v>
      </c>
      <c r="D3522" t="s">
        <v>10</v>
      </c>
      <c r="E3522" t="s">
        <v>16</v>
      </c>
      <c r="F3522" t="s">
        <v>12</v>
      </c>
      <c r="G3522" t="s">
        <v>13</v>
      </c>
      <c r="H3522" t="s">
        <v>13</v>
      </c>
      <c r="I3522">
        <v>35</v>
      </c>
      <c r="J3522">
        <f>ABS((I3522-EDA!$A$15)/EDA!$B$15)</f>
        <v>0.49258699768124525</v>
      </c>
      <c r="K3522" t="str">
        <f t="shared" ref="K3522:K3585" si="55">IF(J3522 &gt;  1.96, "Sí","No")</f>
        <v>No</v>
      </c>
      <c r="L3522">
        <f>ABS((C3522-EDA!$F$15)/EDA!$G$15)</f>
        <v>0.34335233186612207</v>
      </c>
      <c r="M3522" t="str">
        <f>IF(moras[[#This Row],[Z-Score Salario]]&gt;1.96, "Sí", "No")</f>
        <v>No</v>
      </c>
      <c r="N3522" s="14">
        <f>IF(ISBLANK(moras[[#This Row],[SALARIO]]), EDA!$M$8, moras[[#This Row],[SALARIO]])</f>
        <v>1941122</v>
      </c>
      <c r="O3522" s="14">
        <f xml:space="preserve"> IF(ISBLANK(moras[[#This Row],[EDAD]]), EDA!$E$8, moras[[#This Row],[EDAD]])</f>
        <v>35</v>
      </c>
      <c r="P3522" s="14" t="str">
        <f>IF(
    OR(ISBLANK(moras[[#This Row],[TIPO_ASEGURAMIENTO]]), moras[[#This Row],[TIPO_ASEGURAMIENTO]]=""),
    EDA!$A$32,
    moras[[#This Row],[TIPO_ASEGURAMIENTO]]
)</f>
        <v>ASALARIADO</v>
      </c>
    </row>
    <row r="3523" spans="1:16" x14ac:dyDescent="0.3">
      <c r="A3523">
        <v>3522</v>
      </c>
      <c r="B3523" t="s">
        <v>9</v>
      </c>
      <c r="C3523">
        <v>520421</v>
      </c>
      <c r="D3523" t="s">
        <v>18</v>
      </c>
      <c r="E3523" t="s">
        <v>16</v>
      </c>
      <c r="F3523" t="s">
        <v>12</v>
      </c>
      <c r="G3523" t="s">
        <v>13</v>
      </c>
      <c r="H3523" t="s">
        <v>12</v>
      </c>
      <c r="I3523">
        <v>58</v>
      </c>
      <c r="J3523">
        <f>ABS((I3523-EDA!$A$15)/EDA!$B$15)</f>
        <v>1.1306455940929174</v>
      </c>
      <c r="K3523" t="str">
        <f t="shared" si="55"/>
        <v>No</v>
      </c>
      <c r="L3523">
        <f>ABS((C3523-EDA!$F$15)/EDA!$G$15)</f>
        <v>0.36699379939628651</v>
      </c>
      <c r="M3523" t="str">
        <f>IF(moras[[#This Row],[Z-Score Salario]]&gt;1.96, "Sí", "No")</f>
        <v>No</v>
      </c>
      <c r="N3523" s="14">
        <f>IF(ISBLANK(moras[[#This Row],[SALARIO]]), EDA!$M$8, moras[[#This Row],[SALARIO]])</f>
        <v>520421</v>
      </c>
      <c r="O3523" s="14">
        <f xml:space="preserve"> IF(ISBLANK(moras[[#This Row],[EDAD]]), EDA!$E$8, moras[[#This Row],[EDAD]])</f>
        <v>58</v>
      </c>
      <c r="P3523" s="14" t="str">
        <f>IF(
    OR(ISBLANK(moras[[#This Row],[TIPO_ASEGURAMIENTO]]), moras[[#This Row],[TIPO_ASEGURAMIENTO]]=""),
    EDA!$A$32,
    moras[[#This Row],[TIPO_ASEGURAMIENTO]]
)</f>
        <v>TRABAJADOR INDEPENDIENTE</v>
      </c>
    </row>
    <row r="3524" spans="1:16" x14ac:dyDescent="0.3">
      <c r="A3524">
        <v>3523</v>
      </c>
      <c r="B3524" t="s">
        <v>15</v>
      </c>
      <c r="C3524">
        <v>26631205</v>
      </c>
      <c r="D3524" t="s">
        <v>10</v>
      </c>
      <c r="E3524" t="s">
        <v>16</v>
      </c>
      <c r="F3524" t="s">
        <v>12</v>
      </c>
      <c r="G3524" t="s">
        <v>13</v>
      </c>
      <c r="H3524" t="s">
        <v>13</v>
      </c>
      <c r="I3524">
        <v>21</v>
      </c>
      <c r="J3524">
        <f>ABS((I3524-EDA!$A$15)/EDA!$B$15)</f>
        <v>1.4806416187611704</v>
      </c>
      <c r="K3524" t="str">
        <f t="shared" si="55"/>
        <v>No</v>
      </c>
      <c r="L3524">
        <f>ABS((C3524-EDA!$F$15)/EDA!$G$15)</f>
        <v>6.7508078284616926E-2</v>
      </c>
      <c r="M3524" t="str">
        <f>IF(moras[[#This Row],[Z-Score Salario]]&gt;1.96, "Sí", "No")</f>
        <v>No</v>
      </c>
      <c r="N3524" s="14">
        <f>IF(ISBLANK(moras[[#This Row],[SALARIO]]), EDA!$M$8, moras[[#This Row],[SALARIO]])</f>
        <v>26631205</v>
      </c>
      <c r="O3524" s="14">
        <f xml:space="preserve"> IF(ISBLANK(moras[[#This Row],[EDAD]]), EDA!$E$8, moras[[#This Row],[EDAD]])</f>
        <v>21</v>
      </c>
      <c r="P3524" s="14" t="str">
        <f>IF(
    OR(ISBLANK(moras[[#This Row],[TIPO_ASEGURAMIENTO]]), moras[[#This Row],[TIPO_ASEGURAMIENTO]]=""),
    EDA!$A$32,
    moras[[#This Row],[TIPO_ASEGURAMIENTO]]
)</f>
        <v>ASALARIADO</v>
      </c>
    </row>
    <row r="3525" spans="1:16" x14ac:dyDescent="0.3">
      <c r="A3525">
        <v>3524</v>
      </c>
      <c r="B3525" t="s">
        <v>9</v>
      </c>
      <c r="C3525">
        <v>2743997</v>
      </c>
      <c r="D3525" t="s">
        <v>10</v>
      </c>
      <c r="E3525" t="s">
        <v>16</v>
      </c>
      <c r="F3525" t="s">
        <v>12</v>
      </c>
      <c r="G3525" t="s">
        <v>13</v>
      </c>
      <c r="H3525" t="s">
        <v>13</v>
      </c>
      <c r="I3525">
        <v>45</v>
      </c>
      <c r="J3525">
        <f>ABS((I3525-EDA!$A$15)/EDA!$B$15)</f>
        <v>0.21316630309012977</v>
      </c>
      <c r="K3525" t="str">
        <f t="shared" si="55"/>
        <v>No</v>
      </c>
      <c r="L3525">
        <f>ABS((C3525-EDA!$F$15)/EDA!$G$15)</f>
        <v>0.32999192510686681</v>
      </c>
      <c r="M3525" t="str">
        <f>IF(moras[[#This Row],[Z-Score Salario]]&gt;1.96, "Sí", "No")</f>
        <v>No</v>
      </c>
      <c r="N3525" s="14">
        <f>IF(ISBLANK(moras[[#This Row],[SALARIO]]), EDA!$M$8, moras[[#This Row],[SALARIO]])</f>
        <v>2743997</v>
      </c>
      <c r="O3525" s="14">
        <f xml:space="preserve"> IF(ISBLANK(moras[[#This Row],[EDAD]]), EDA!$E$8, moras[[#This Row],[EDAD]])</f>
        <v>45</v>
      </c>
      <c r="P3525" s="14" t="str">
        <f>IF(
    OR(ISBLANK(moras[[#This Row],[TIPO_ASEGURAMIENTO]]), moras[[#This Row],[TIPO_ASEGURAMIENTO]]=""),
    EDA!$A$32,
    moras[[#This Row],[TIPO_ASEGURAMIENTO]]
)</f>
        <v>ASALARIADO</v>
      </c>
    </row>
    <row r="3526" spans="1:16" x14ac:dyDescent="0.3">
      <c r="A3526">
        <v>3525</v>
      </c>
      <c r="B3526" t="s">
        <v>15</v>
      </c>
      <c r="C3526">
        <v>112573483</v>
      </c>
      <c r="D3526" t="s">
        <v>10</v>
      </c>
      <c r="E3526" t="s">
        <v>11</v>
      </c>
      <c r="F3526" t="s">
        <v>12</v>
      </c>
      <c r="G3526" t="s">
        <v>13</v>
      </c>
      <c r="H3526" t="s">
        <v>13</v>
      </c>
      <c r="I3526">
        <v>47</v>
      </c>
      <c r="J3526">
        <f>ABS((I3526-EDA!$A$15)/EDA!$B$15)</f>
        <v>0.35431696324440481</v>
      </c>
      <c r="K3526" t="str">
        <f t="shared" si="55"/>
        <v>No</v>
      </c>
      <c r="L3526">
        <f>ABS((C3526-EDA!$F$15)/EDA!$G$15)</f>
        <v>1.4976482519069101</v>
      </c>
      <c r="M3526" t="str">
        <f>IF(moras[[#This Row],[Z-Score Salario]]&gt;1.96, "Sí", "No")</f>
        <v>No</v>
      </c>
      <c r="N3526" s="14">
        <f>IF(ISBLANK(moras[[#This Row],[SALARIO]]), EDA!$M$8, moras[[#This Row],[SALARIO]])</f>
        <v>112573483</v>
      </c>
      <c r="O3526" s="14">
        <f xml:space="preserve"> IF(ISBLANK(moras[[#This Row],[EDAD]]), EDA!$E$8, moras[[#This Row],[EDAD]])</f>
        <v>47</v>
      </c>
      <c r="P3526" s="14" t="str">
        <f>IF(
    OR(ISBLANK(moras[[#This Row],[TIPO_ASEGURAMIENTO]]), moras[[#This Row],[TIPO_ASEGURAMIENTO]]=""),
    EDA!$A$32,
    moras[[#This Row],[TIPO_ASEGURAMIENTO]]
)</f>
        <v>ASALARIADO</v>
      </c>
    </row>
    <row r="3527" spans="1:16" x14ac:dyDescent="0.3">
      <c r="A3527">
        <v>3526</v>
      </c>
      <c r="B3527" t="s">
        <v>9</v>
      </c>
      <c r="C3527">
        <v>298270</v>
      </c>
      <c r="D3527" t="s">
        <v>10</v>
      </c>
      <c r="E3527" t="s">
        <v>16</v>
      </c>
      <c r="F3527" t="s">
        <v>12</v>
      </c>
      <c r="G3527" t="s">
        <v>13</v>
      </c>
      <c r="H3527" t="s">
        <v>13</v>
      </c>
      <c r="I3527">
        <v>25</v>
      </c>
      <c r="J3527">
        <f>ABS((I3527-EDA!$A$15)/EDA!$B$15)</f>
        <v>1.1983402984526204</v>
      </c>
      <c r="K3527" t="str">
        <f t="shared" si="55"/>
        <v>No</v>
      </c>
      <c r="L3527">
        <f>ABS((C3527-EDA!$F$15)/EDA!$G$15)</f>
        <v>0.37069054885538705</v>
      </c>
      <c r="M3527" t="str">
        <f>IF(moras[[#This Row],[Z-Score Salario]]&gt;1.96, "Sí", "No")</f>
        <v>No</v>
      </c>
      <c r="N3527" s="14">
        <f>IF(ISBLANK(moras[[#This Row],[SALARIO]]), EDA!$M$8, moras[[#This Row],[SALARIO]])</f>
        <v>298270</v>
      </c>
      <c r="O3527" s="14">
        <f xml:space="preserve"> IF(ISBLANK(moras[[#This Row],[EDAD]]), EDA!$E$8, moras[[#This Row],[EDAD]])</f>
        <v>25</v>
      </c>
      <c r="P3527" s="14" t="str">
        <f>IF(
    OR(ISBLANK(moras[[#This Row],[TIPO_ASEGURAMIENTO]]), moras[[#This Row],[TIPO_ASEGURAMIENTO]]=""),
    EDA!$A$32,
    moras[[#This Row],[TIPO_ASEGURAMIENTO]]
)</f>
        <v>ASALARIADO</v>
      </c>
    </row>
    <row r="3528" spans="1:16" x14ac:dyDescent="0.3">
      <c r="A3528">
        <v>3527</v>
      </c>
      <c r="B3528" t="s">
        <v>9</v>
      </c>
      <c r="C3528">
        <v>266400</v>
      </c>
      <c r="D3528" t="s">
        <v>10</v>
      </c>
      <c r="E3528" t="s">
        <v>16</v>
      </c>
      <c r="F3528" t="s">
        <v>12</v>
      </c>
      <c r="G3528" t="s">
        <v>13</v>
      </c>
      <c r="H3528" t="s">
        <v>12</v>
      </c>
      <c r="I3528">
        <v>36</v>
      </c>
      <c r="J3528">
        <f>ABS((I3528-EDA!$A$15)/EDA!$B$15)</f>
        <v>0.42201166760410774</v>
      </c>
      <c r="K3528" t="str">
        <f t="shared" si="55"/>
        <v>No</v>
      </c>
      <c r="L3528">
        <f>ABS((C3528-EDA!$F$15)/EDA!$G$15)</f>
        <v>0.37122088815280879</v>
      </c>
      <c r="M3528" t="str">
        <f>IF(moras[[#This Row],[Z-Score Salario]]&gt;1.96, "Sí", "No")</f>
        <v>No</v>
      </c>
      <c r="N3528" s="14">
        <f>IF(ISBLANK(moras[[#This Row],[SALARIO]]), EDA!$M$8, moras[[#This Row],[SALARIO]])</f>
        <v>266400</v>
      </c>
      <c r="O3528" s="14">
        <f xml:space="preserve"> IF(ISBLANK(moras[[#This Row],[EDAD]]), EDA!$E$8, moras[[#This Row],[EDAD]])</f>
        <v>36</v>
      </c>
      <c r="P3528" s="14" t="str">
        <f>IF(
    OR(ISBLANK(moras[[#This Row],[TIPO_ASEGURAMIENTO]]), moras[[#This Row],[TIPO_ASEGURAMIENTO]]=""),
    EDA!$A$32,
    moras[[#This Row],[TIPO_ASEGURAMIENTO]]
)</f>
        <v>ASALARIADO</v>
      </c>
    </row>
    <row r="3529" spans="1:16" x14ac:dyDescent="0.3">
      <c r="A3529">
        <v>3528</v>
      </c>
      <c r="B3529" t="s">
        <v>9</v>
      </c>
      <c r="C3529">
        <v>297046</v>
      </c>
      <c r="D3529" t="s">
        <v>18</v>
      </c>
      <c r="E3529" t="s">
        <v>16</v>
      </c>
      <c r="F3529" t="s">
        <v>12</v>
      </c>
      <c r="G3529" t="s">
        <v>13</v>
      </c>
      <c r="H3529" t="s">
        <v>13</v>
      </c>
      <c r="I3529">
        <v>57</v>
      </c>
      <c r="J3529">
        <f>ABS((I3529-EDA!$A$15)/EDA!$B$15)</f>
        <v>1.0600702640157798</v>
      </c>
      <c r="K3529" t="str">
        <f t="shared" si="55"/>
        <v>No</v>
      </c>
      <c r="L3529">
        <f>ABS((C3529-EDA!$F$15)/EDA!$G$15)</f>
        <v>0.37071091707942361</v>
      </c>
      <c r="M3529" t="str">
        <f>IF(moras[[#This Row],[Z-Score Salario]]&gt;1.96, "Sí", "No")</f>
        <v>No</v>
      </c>
      <c r="N3529" s="14">
        <f>IF(ISBLANK(moras[[#This Row],[SALARIO]]), EDA!$M$8, moras[[#This Row],[SALARIO]])</f>
        <v>297046</v>
      </c>
      <c r="O3529" s="14">
        <f xml:space="preserve"> IF(ISBLANK(moras[[#This Row],[EDAD]]), EDA!$E$8, moras[[#This Row],[EDAD]])</f>
        <v>57</v>
      </c>
      <c r="P3529" s="14" t="str">
        <f>IF(
    OR(ISBLANK(moras[[#This Row],[TIPO_ASEGURAMIENTO]]), moras[[#This Row],[TIPO_ASEGURAMIENTO]]=""),
    EDA!$A$32,
    moras[[#This Row],[TIPO_ASEGURAMIENTO]]
)</f>
        <v>TRABAJADOR INDEPENDIENTE</v>
      </c>
    </row>
    <row r="3530" spans="1:16" x14ac:dyDescent="0.3">
      <c r="A3530">
        <v>3529</v>
      </c>
      <c r="B3530" t="s">
        <v>9</v>
      </c>
      <c r="C3530">
        <v>103000</v>
      </c>
      <c r="D3530" t="s">
        <v>10</v>
      </c>
      <c r="E3530" t="s">
        <v>16</v>
      </c>
      <c r="F3530" t="s">
        <v>12</v>
      </c>
      <c r="G3530" t="s">
        <v>12</v>
      </c>
      <c r="H3530" t="s">
        <v>12</v>
      </c>
      <c r="I3530">
        <v>37</v>
      </c>
      <c r="J3530">
        <f>ABS((I3530-EDA!$A$15)/EDA!$B$15)</f>
        <v>0.35143633752697023</v>
      </c>
      <c r="K3530" t="str">
        <f t="shared" si="55"/>
        <v>No</v>
      </c>
      <c r="L3530">
        <f>ABS((C3530-EDA!$F$15)/EDA!$G$15)</f>
        <v>0.37393997949886182</v>
      </c>
      <c r="M3530" t="str">
        <f>IF(moras[[#This Row],[Z-Score Salario]]&gt;1.96, "Sí", "No")</f>
        <v>No</v>
      </c>
      <c r="N3530" s="14">
        <f>IF(ISBLANK(moras[[#This Row],[SALARIO]]), EDA!$M$8, moras[[#This Row],[SALARIO]])</f>
        <v>103000</v>
      </c>
      <c r="O3530" s="14">
        <f xml:space="preserve"> IF(ISBLANK(moras[[#This Row],[EDAD]]), EDA!$E$8, moras[[#This Row],[EDAD]])</f>
        <v>37</v>
      </c>
      <c r="P3530" s="14" t="str">
        <f>IF(
    OR(ISBLANK(moras[[#This Row],[TIPO_ASEGURAMIENTO]]), moras[[#This Row],[TIPO_ASEGURAMIENTO]]=""),
    EDA!$A$32,
    moras[[#This Row],[TIPO_ASEGURAMIENTO]]
)</f>
        <v>ASALARIADO</v>
      </c>
    </row>
    <row r="3531" spans="1:16" x14ac:dyDescent="0.3">
      <c r="A3531">
        <v>3530</v>
      </c>
      <c r="B3531" t="s">
        <v>9</v>
      </c>
      <c r="C3531">
        <v>746762</v>
      </c>
      <c r="D3531" t="s">
        <v>10</v>
      </c>
      <c r="E3531" t="s">
        <v>11</v>
      </c>
      <c r="F3531" t="s">
        <v>12</v>
      </c>
      <c r="G3531" t="s">
        <v>13</v>
      </c>
      <c r="H3531" t="s">
        <v>13</v>
      </c>
      <c r="I3531">
        <v>33</v>
      </c>
      <c r="J3531">
        <f>ABS((I3531-EDA!$A$15)/EDA!$B$15)</f>
        <v>0.63373765783552027</v>
      </c>
      <c r="K3531" t="str">
        <f t="shared" si="55"/>
        <v>No</v>
      </c>
      <c r="L3531">
        <f>ABS((C3531-EDA!$F$15)/EDA!$G$15)</f>
        <v>0.36322732537941393</v>
      </c>
      <c r="M3531" t="str">
        <f>IF(moras[[#This Row],[Z-Score Salario]]&gt;1.96, "Sí", "No")</f>
        <v>No</v>
      </c>
      <c r="N3531" s="14">
        <f>IF(ISBLANK(moras[[#This Row],[SALARIO]]), EDA!$M$8, moras[[#This Row],[SALARIO]])</f>
        <v>746762</v>
      </c>
      <c r="O3531" s="14">
        <f xml:space="preserve"> IF(ISBLANK(moras[[#This Row],[EDAD]]), EDA!$E$8, moras[[#This Row],[EDAD]])</f>
        <v>33</v>
      </c>
      <c r="P3531" s="14" t="str">
        <f>IF(
    OR(ISBLANK(moras[[#This Row],[TIPO_ASEGURAMIENTO]]), moras[[#This Row],[TIPO_ASEGURAMIENTO]]=""),
    EDA!$A$32,
    moras[[#This Row],[TIPO_ASEGURAMIENTO]]
)</f>
        <v>ASALARIADO</v>
      </c>
    </row>
    <row r="3532" spans="1:16" x14ac:dyDescent="0.3">
      <c r="A3532">
        <v>3531</v>
      </c>
      <c r="B3532" t="s">
        <v>9</v>
      </c>
      <c r="C3532">
        <v>312000</v>
      </c>
      <c r="D3532" t="s">
        <v>10</v>
      </c>
      <c r="E3532" t="s">
        <v>16</v>
      </c>
      <c r="F3532" t="s">
        <v>12</v>
      </c>
      <c r="G3532" t="s">
        <v>13</v>
      </c>
      <c r="H3532" t="s">
        <v>12</v>
      </c>
      <c r="I3532">
        <v>39</v>
      </c>
      <c r="J3532">
        <f>ABS((I3532-EDA!$A$15)/EDA!$B$15)</f>
        <v>0.21028567737269524</v>
      </c>
      <c r="K3532" t="str">
        <f t="shared" si="55"/>
        <v>No</v>
      </c>
      <c r="L3532">
        <f>ABS((C3532-EDA!$F$15)/EDA!$G$15)</f>
        <v>0.37046207196321257</v>
      </c>
      <c r="M3532" t="str">
        <f>IF(moras[[#This Row],[Z-Score Salario]]&gt;1.96, "Sí", "No")</f>
        <v>No</v>
      </c>
      <c r="N3532" s="14">
        <f>IF(ISBLANK(moras[[#This Row],[SALARIO]]), EDA!$M$8, moras[[#This Row],[SALARIO]])</f>
        <v>312000</v>
      </c>
      <c r="O3532" s="14">
        <f xml:space="preserve"> IF(ISBLANK(moras[[#This Row],[EDAD]]), EDA!$E$8, moras[[#This Row],[EDAD]])</f>
        <v>39</v>
      </c>
      <c r="P3532" s="14" t="str">
        <f>IF(
    OR(ISBLANK(moras[[#This Row],[TIPO_ASEGURAMIENTO]]), moras[[#This Row],[TIPO_ASEGURAMIENTO]]=""),
    EDA!$A$32,
    moras[[#This Row],[TIPO_ASEGURAMIENTO]]
)</f>
        <v>ASALARIADO</v>
      </c>
    </row>
    <row r="3533" spans="1:16" x14ac:dyDescent="0.3">
      <c r="A3533">
        <v>3532</v>
      </c>
      <c r="B3533" t="s">
        <v>15</v>
      </c>
      <c r="C3533">
        <v>302470</v>
      </c>
      <c r="D3533" t="s">
        <v>17</v>
      </c>
      <c r="E3533" t="s">
        <v>16</v>
      </c>
      <c r="F3533" t="s">
        <v>12</v>
      </c>
      <c r="G3533" t="s">
        <v>12</v>
      </c>
      <c r="H3533" t="s">
        <v>13</v>
      </c>
      <c r="I3533">
        <v>28</v>
      </c>
      <c r="J3533">
        <f>ABS((I3533-EDA!$A$15)/EDA!$B$15)</f>
        <v>0.98661430822120777</v>
      </c>
      <c r="K3533" t="str">
        <f t="shared" si="55"/>
        <v>No</v>
      </c>
      <c r="L3533">
        <f>ABS((C3533-EDA!$F$15)/EDA!$G$15)</f>
        <v>0.37062065789055582</v>
      </c>
      <c r="M3533" t="str">
        <f>IF(moras[[#This Row],[Z-Score Salario]]&gt;1.96, "Sí", "No")</f>
        <v>No</v>
      </c>
      <c r="N3533" s="14">
        <f>IF(ISBLANK(moras[[#This Row],[SALARIO]]), EDA!$M$8, moras[[#This Row],[SALARIO]])</f>
        <v>302470</v>
      </c>
      <c r="O3533" s="14">
        <f xml:space="preserve"> IF(ISBLANK(moras[[#This Row],[EDAD]]), EDA!$E$8, moras[[#This Row],[EDAD]])</f>
        <v>28</v>
      </c>
      <c r="P3533" s="14" t="str">
        <f>IF(
    OR(ISBLANK(moras[[#This Row],[TIPO_ASEGURAMIENTO]]), moras[[#This Row],[TIPO_ASEGURAMIENTO]]=""),
    EDA!$A$32,
    moras[[#This Row],[TIPO_ASEGURAMIENTO]]
)</f>
        <v>ASEGURADO VOLUNTARIO</v>
      </c>
    </row>
    <row r="3534" spans="1:16" x14ac:dyDescent="0.3">
      <c r="A3534">
        <v>3533</v>
      </c>
      <c r="B3534" t="s">
        <v>9</v>
      </c>
      <c r="C3534">
        <v>24281162</v>
      </c>
      <c r="D3534" t="s">
        <v>14</v>
      </c>
      <c r="E3534" t="s">
        <v>11</v>
      </c>
      <c r="F3534" t="s">
        <v>12</v>
      </c>
      <c r="G3534" t="s">
        <v>13</v>
      </c>
      <c r="H3534" t="s">
        <v>13</v>
      </c>
      <c r="I3534">
        <v>67</v>
      </c>
      <c r="J3534">
        <f>ABS((I3534-EDA!$A$15)/EDA!$B$15)</f>
        <v>1.765823564787155</v>
      </c>
      <c r="K3534" t="str">
        <f t="shared" si="55"/>
        <v>No</v>
      </c>
      <c r="L3534">
        <f>ABS((C3534-EDA!$F$15)/EDA!$G$15)</f>
        <v>2.840170384059933E-2</v>
      </c>
      <c r="M3534" t="str">
        <f>IF(moras[[#This Row],[Z-Score Salario]]&gt;1.96, "Sí", "No")</f>
        <v>No</v>
      </c>
      <c r="N3534" s="14">
        <f>IF(ISBLANK(moras[[#This Row],[SALARIO]]), EDA!$M$8, moras[[#This Row],[SALARIO]])</f>
        <v>24281162</v>
      </c>
      <c r="O3534" s="14">
        <f xml:space="preserve"> IF(ISBLANK(moras[[#This Row],[EDAD]]), EDA!$E$8, moras[[#This Row],[EDAD]])</f>
        <v>67</v>
      </c>
      <c r="P3534" s="14" t="str">
        <f>IF(
    OR(ISBLANK(moras[[#This Row],[TIPO_ASEGURAMIENTO]]), moras[[#This Row],[TIPO_ASEGURAMIENTO]]=""),
    EDA!$A$32,
    moras[[#This Row],[TIPO_ASEGURAMIENTO]]
)</f>
        <v>PENSIONADOS EN SU PROPIO SISTEMA</v>
      </c>
    </row>
    <row r="3535" spans="1:16" x14ac:dyDescent="0.3">
      <c r="A3535">
        <v>3534</v>
      </c>
      <c r="B3535" t="s">
        <v>15</v>
      </c>
      <c r="C3535">
        <v>510544</v>
      </c>
      <c r="D3535" t="s">
        <v>10</v>
      </c>
      <c r="E3535" t="s">
        <v>16</v>
      </c>
      <c r="F3535" t="s">
        <v>12</v>
      </c>
      <c r="G3535" t="s">
        <v>13</v>
      </c>
      <c r="H3535" t="s">
        <v>13</v>
      </c>
      <c r="I3535">
        <v>39</v>
      </c>
      <c r="J3535">
        <f>ABS((I3535-EDA!$A$15)/EDA!$B$15)</f>
        <v>0.21028567737269524</v>
      </c>
      <c r="K3535" t="str">
        <f t="shared" si="55"/>
        <v>No</v>
      </c>
      <c r="L3535">
        <f>ABS((C3535-EDA!$F$15)/EDA!$G$15)</f>
        <v>0.36715815964858128</v>
      </c>
      <c r="M3535" t="str">
        <f>IF(moras[[#This Row],[Z-Score Salario]]&gt;1.96, "Sí", "No")</f>
        <v>No</v>
      </c>
      <c r="N3535" s="14">
        <f>IF(ISBLANK(moras[[#This Row],[SALARIO]]), EDA!$M$8, moras[[#This Row],[SALARIO]])</f>
        <v>510544</v>
      </c>
      <c r="O3535" s="14">
        <f xml:space="preserve"> IF(ISBLANK(moras[[#This Row],[EDAD]]), EDA!$E$8, moras[[#This Row],[EDAD]])</f>
        <v>39</v>
      </c>
      <c r="P3535" s="14" t="str">
        <f>IF(
    OR(ISBLANK(moras[[#This Row],[TIPO_ASEGURAMIENTO]]), moras[[#This Row],[TIPO_ASEGURAMIENTO]]=""),
    EDA!$A$32,
    moras[[#This Row],[TIPO_ASEGURAMIENTO]]
)</f>
        <v>ASALARIADO</v>
      </c>
    </row>
    <row r="3536" spans="1:16" x14ac:dyDescent="0.3">
      <c r="A3536">
        <v>3535</v>
      </c>
      <c r="B3536" t="s">
        <v>9</v>
      </c>
      <c r="C3536">
        <v>639148</v>
      </c>
      <c r="D3536" t="s">
        <v>18</v>
      </c>
      <c r="E3536" t="s">
        <v>16</v>
      </c>
      <c r="F3536" t="s">
        <v>12</v>
      </c>
      <c r="G3536" t="s">
        <v>13</v>
      </c>
      <c r="H3536" t="s">
        <v>13</v>
      </c>
      <c r="I3536">
        <v>73</v>
      </c>
      <c r="J3536">
        <f>ABS((I3536-EDA!$A$15)/EDA!$B$15)</f>
        <v>2.1892755452499797</v>
      </c>
      <c r="K3536" t="str">
        <f t="shared" si="55"/>
        <v>Sí</v>
      </c>
      <c r="L3536">
        <f>ABS((C3536-EDA!$F$15)/EDA!$G$15)</f>
        <v>0.36501809830544912</v>
      </c>
      <c r="M3536" t="str">
        <f>IF(moras[[#This Row],[Z-Score Salario]]&gt;1.96, "Sí", "No")</f>
        <v>No</v>
      </c>
      <c r="N3536" s="14">
        <f>IF(ISBLANK(moras[[#This Row],[SALARIO]]), EDA!$M$8, moras[[#This Row],[SALARIO]])</f>
        <v>639148</v>
      </c>
      <c r="O3536" s="14">
        <f xml:space="preserve"> IF(ISBLANK(moras[[#This Row],[EDAD]]), EDA!$E$8, moras[[#This Row],[EDAD]])</f>
        <v>73</v>
      </c>
      <c r="P3536" s="14" t="str">
        <f>IF(
    OR(ISBLANK(moras[[#This Row],[TIPO_ASEGURAMIENTO]]), moras[[#This Row],[TIPO_ASEGURAMIENTO]]=""),
    EDA!$A$32,
    moras[[#This Row],[TIPO_ASEGURAMIENTO]]
)</f>
        <v>TRABAJADOR INDEPENDIENTE</v>
      </c>
    </row>
    <row r="3537" spans="1:16" x14ac:dyDescent="0.3">
      <c r="A3537">
        <v>3536</v>
      </c>
      <c r="B3537" t="s">
        <v>9</v>
      </c>
      <c r="C3537">
        <v>417679</v>
      </c>
      <c r="D3537" t="s">
        <v>18</v>
      </c>
      <c r="E3537" t="s">
        <v>16</v>
      </c>
      <c r="F3537" t="s">
        <v>12</v>
      </c>
      <c r="G3537" t="s">
        <v>13</v>
      </c>
      <c r="H3537" t="s">
        <v>12</v>
      </c>
      <c r="I3537">
        <v>47</v>
      </c>
      <c r="J3537">
        <f>ABS((I3537-EDA!$A$15)/EDA!$B$15)</f>
        <v>0.35431696324440481</v>
      </c>
      <c r="K3537" t="str">
        <f t="shared" si="55"/>
        <v>No</v>
      </c>
      <c r="L3537">
        <f>ABS((C3537-EDA!$F$15)/EDA!$G$15)</f>
        <v>0.36870349880311748</v>
      </c>
      <c r="M3537" t="str">
        <f>IF(moras[[#This Row],[Z-Score Salario]]&gt;1.96, "Sí", "No")</f>
        <v>No</v>
      </c>
      <c r="N3537" s="14">
        <f>IF(ISBLANK(moras[[#This Row],[SALARIO]]), EDA!$M$8, moras[[#This Row],[SALARIO]])</f>
        <v>417679</v>
      </c>
      <c r="O3537" s="14">
        <f xml:space="preserve"> IF(ISBLANK(moras[[#This Row],[EDAD]]), EDA!$E$8, moras[[#This Row],[EDAD]])</f>
        <v>47</v>
      </c>
      <c r="P3537" s="14" t="str">
        <f>IF(
    OR(ISBLANK(moras[[#This Row],[TIPO_ASEGURAMIENTO]]), moras[[#This Row],[TIPO_ASEGURAMIENTO]]=""),
    EDA!$A$32,
    moras[[#This Row],[TIPO_ASEGURAMIENTO]]
)</f>
        <v>TRABAJADOR INDEPENDIENTE</v>
      </c>
    </row>
    <row r="3538" spans="1:16" x14ac:dyDescent="0.3">
      <c r="A3538">
        <v>3537</v>
      </c>
      <c r="B3538" t="s">
        <v>15</v>
      </c>
      <c r="C3538">
        <v>283144</v>
      </c>
      <c r="D3538" t="s">
        <v>10</v>
      </c>
      <c r="E3538" t="s">
        <v>16</v>
      </c>
      <c r="F3538" t="s">
        <v>12</v>
      </c>
      <c r="G3538" t="s">
        <v>13</v>
      </c>
      <c r="H3538" t="s">
        <v>13</v>
      </c>
      <c r="I3538">
        <v>38</v>
      </c>
      <c r="J3538">
        <f>ABS((I3538-EDA!$A$15)/EDA!$B$15)</f>
        <v>0.28086100744983278</v>
      </c>
      <c r="K3538" t="str">
        <f t="shared" si="55"/>
        <v>No</v>
      </c>
      <c r="L3538">
        <f>ABS((C3538-EDA!$F$15)/EDA!$G$15)</f>
        <v>0.37094225617301496</v>
      </c>
      <c r="M3538" t="str">
        <f>IF(moras[[#This Row],[Z-Score Salario]]&gt;1.96, "Sí", "No")</f>
        <v>No</v>
      </c>
      <c r="N3538" s="14">
        <f>IF(ISBLANK(moras[[#This Row],[SALARIO]]), EDA!$M$8, moras[[#This Row],[SALARIO]])</f>
        <v>283144</v>
      </c>
      <c r="O3538" s="14">
        <f xml:space="preserve"> IF(ISBLANK(moras[[#This Row],[EDAD]]), EDA!$E$8, moras[[#This Row],[EDAD]])</f>
        <v>38</v>
      </c>
      <c r="P3538" s="14" t="str">
        <f>IF(
    OR(ISBLANK(moras[[#This Row],[TIPO_ASEGURAMIENTO]]), moras[[#This Row],[TIPO_ASEGURAMIENTO]]=""),
    EDA!$A$32,
    moras[[#This Row],[TIPO_ASEGURAMIENTO]]
)</f>
        <v>ASALARIADO</v>
      </c>
    </row>
    <row r="3539" spans="1:16" x14ac:dyDescent="0.3">
      <c r="A3539">
        <v>3538</v>
      </c>
      <c r="B3539" t="s">
        <v>9</v>
      </c>
      <c r="C3539">
        <v>468729</v>
      </c>
      <c r="D3539" t="s">
        <v>10</v>
      </c>
      <c r="E3539" t="s">
        <v>11</v>
      </c>
      <c r="F3539" t="s">
        <v>12</v>
      </c>
      <c r="G3539" t="s">
        <v>13</v>
      </c>
      <c r="H3539" t="s">
        <v>13</v>
      </c>
      <c r="I3539">
        <v>39</v>
      </c>
      <c r="J3539">
        <f>ABS((I3539-EDA!$A$15)/EDA!$B$15)</f>
        <v>0.21028567737269524</v>
      </c>
      <c r="K3539" t="str">
        <f t="shared" si="55"/>
        <v>No</v>
      </c>
      <c r="L3539">
        <f>ABS((C3539-EDA!$F$15)/EDA!$G$15)</f>
        <v>0.36785399076629982</v>
      </c>
      <c r="M3539" t="str">
        <f>IF(moras[[#This Row],[Z-Score Salario]]&gt;1.96, "Sí", "No")</f>
        <v>No</v>
      </c>
      <c r="N3539" s="14">
        <f>IF(ISBLANK(moras[[#This Row],[SALARIO]]), EDA!$M$8, moras[[#This Row],[SALARIO]])</f>
        <v>468729</v>
      </c>
      <c r="O3539" s="14">
        <f xml:space="preserve"> IF(ISBLANK(moras[[#This Row],[EDAD]]), EDA!$E$8, moras[[#This Row],[EDAD]])</f>
        <v>39</v>
      </c>
      <c r="P3539" s="14" t="str">
        <f>IF(
    OR(ISBLANK(moras[[#This Row],[TIPO_ASEGURAMIENTO]]), moras[[#This Row],[TIPO_ASEGURAMIENTO]]=""),
    EDA!$A$32,
    moras[[#This Row],[TIPO_ASEGURAMIENTO]]
)</f>
        <v>ASALARIADO</v>
      </c>
    </row>
    <row r="3540" spans="1:16" x14ac:dyDescent="0.3">
      <c r="A3540">
        <v>3539</v>
      </c>
      <c r="B3540" t="s">
        <v>9</v>
      </c>
      <c r="C3540">
        <v>41385899</v>
      </c>
      <c r="D3540" t="s">
        <v>10</v>
      </c>
      <c r="E3540" t="s">
        <v>16</v>
      </c>
      <c r="F3540" t="s">
        <v>12</v>
      </c>
      <c r="G3540" t="s">
        <v>13</v>
      </c>
      <c r="H3540" t="s">
        <v>12</v>
      </c>
      <c r="I3540">
        <v>60</v>
      </c>
      <c r="J3540">
        <f>ABS((I3540-EDA!$A$15)/EDA!$B$15)</f>
        <v>1.2717962542471923</v>
      </c>
      <c r="K3540" t="str">
        <f t="shared" si="55"/>
        <v>No</v>
      </c>
      <c r="L3540">
        <f>ABS((C3540-EDA!$F$15)/EDA!$G$15)</f>
        <v>0.31303660196307714</v>
      </c>
      <c r="M3540" t="str">
        <f>IF(moras[[#This Row],[Z-Score Salario]]&gt;1.96, "Sí", "No")</f>
        <v>No</v>
      </c>
      <c r="N3540" s="14">
        <f>IF(ISBLANK(moras[[#This Row],[SALARIO]]), EDA!$M$8, moras[[#This Row],[SALARIO]])</f>
        <v>41385899</v>
      </c>
      <c r="O3540" s="14">
        <f xml:space="preserve"> IF(ISBLANK(moras[[#This Row],[EDAD]]), EDA!$E$8, moras[[#This Row],[EDAD]])</f>
        <v>60</v>
      </c>
      <c r="P3540" s="14" t="str">
        <f>IF(
    OR(ISBLANK(moras[[#This Row],[TIPO_ASEGURAMIENTO]]), moras[[#This Row],[TIPO_ASEGURAMIENTO]]=""),
    EDA!$A$32,
    moras[[#This Row],[TIPO_ASEGURAMIENTO]]
)</f>
        <v>ASALARIADO</v>
      </c>
    </row>
    <row r="3541" spans="1:16" x14ac:dyDescent="0.3">
      <c r="A3541">
        <v>3540</v>
      </c>
      <c r="B3541" t="s">
        <v>9</v>
      </c>
      <c r="C3541">
        <v>5851365</v>
      </c>
      <c r="D3541" t="s">
        <v>10</v>
      </c>
      <c r="E3541" t="s">
        <v>11</v>
      </c>
      <c r="F3541" t="s">
        <v>12</v>
      </c>
      <c r="G3541" t="s">
        <v>13</v>
      </c>
      <c r="H3541" t="s">
        <v>13</v>
      </c>
      <c r="I3541">
        <v>30</v>
      </c>
      <c r="J3541">
        <f>ABS((I3541-EDA!$A$15)/EDA!$B$15)</f>
        <v>0.84546364806693275</v>
      </c>
      <c r="K3541" t="str">
        <f t="shared" si="55"/>
        <v>No</v>
      </c>
      <c r="L3541">
        <f>ABS((C3541-EDA!$F$15)/EDA!$G$15)</f>
        <v>0.27828312805789446</v>
      </c>
      <c r="M3541" t="str">
        <f>IF(moras[[#This Row],[Z-Score Salario]]&gt;1.96, "Sí", "No")</f>
        <v>No</v>
      </c>
      <c r="N3541" s="14">
        <f>IF(ISBLANK(moras[[#This Row],[SALARIO]]), EDA!$M$8, moras[[#This Row],[SALARIO]])</f>
        <v>5851365</v>
      </c>
      <c r="O3541" s="14">
        <f xml:space="preserve"> IF(ISBLANK(moras[[#This Row],[EDAD]]), EDA!$E$8, moras[[#This Row],[EDAD]])</f>
        <v>30</v>
      </c>
      <c r="P3541" s="14" t="str">
        <f>IF(
    OR(ISBLANK(moras[[#This Row],[TIPO_ASEGURAMIENTO]]), moras[[#This Row],[TIPO_ASEGURAMIENTO]]=""),
    EDA!$A$32,
    moras[[#This Row],[TIPO_ASEGURAMIENTO]]
)</f>
        <v>ASALARIADO</v>
      </c>
    </row>
    <row r="3542" spans="1:16" x14ac:dyDescent="0.3">
      <c r="A3542">
        <v>3541</v>
      </c>
      <c r="B3542" t="s">
        <v>15</v>
      </c>
      <c r="C3542">
        <v>11900</v>
      </c>
      <c r="D3542" t="s">
        <v>10</v>
      </c>
      <c r="E3542" t="s">
        <v>16</v>
      </c>
      <c r="F3542" t="s">
        <v>12</v>
      </c>
      <c r="G3542" t="s">
        <v>13</v>
      </c>
      <c r="H3542" t="s">
        <v>13</v>
      </c>
      <c r="I3542">
        <v>45</v>
      </c>
      <c r="J3542">
        <f>ABS((I3542-EDA!$A$15)/EDA!$B$15)</f>
        <v>0.21316630309012977</v>
      </c>
      <c r="K3542" t="str">
        <f t="shared" si="55"/>
        <v>No</v>
      </c>
      <c r="L3542">
        <f>ABS((C3542-EDA!$F$15)/EDA!$G$15)</f>
        <v>0.37545594780746294</v>
      </c>
      <c r="M3542" t="str">
        <f>IF(moras[[#This Row],[Z-Score Salario]]&gt;1.96, "Sí", "No")</f>
        <v>No</v>
      </c>
      <c r="N3542" s="14">
        <f>IF(ISBLANK(moras[[#This Row],[SALARIO]]), EDA!$M$8, moras[[#This Row],[SALARIO]])</f>
        <v>11900</v>
      </c>
      <c r="O3542" s="14">
        <f xml:space="preserve"> IF(ISBLANK(moras[[#This Row],[EDAD]]), EDA!$E$8, moras[[#This Row],[EDAD]])</f>
        <v>45</v>
      </c>
      <c r="P3542" s="14" t="str">
        <f>IF(
    OR(ISBLANK(moras[[#This Row],[TIPO_ASEGURAMIENTO]]), moras[[#This Row],[TIPO_ASEGURAMIENTO]]=""),
    EDA!$A$32,
    moras[[#This Row],[TIPO_ASEGURAMIENTO]]
)</f>
        <v>ASALARIADO</v>
      </c>
    </row>
    <row r="3543" spans="1:16" x14ac:dyDescent="0.3">
      <c r="A3543">
        <v>3542</v>
      </c>
      <c r="B3543" t="s">
        <v>9</v>
      </c>
      <c r="C3543">
        <v>371501</v>
      </c>
      <c r="D3543" t="s">
        <v>10</v>
      </c>
      <c r="E3543" t="s">
        <v>16</v>
      </c>
      <c r="F3543" t="s">
        <v>12</v>
      </c>
      <c r="G3543" t="s">
        <v>12</v>
      </c>
      <c r="H3543" t="s">
        <v>13</v>
      </c>
      <c r="I3543">
        <v>59</v>
      </c>
      <c r="J3543">
        <f>ABS((I3543-EDA!$A$15)/EDA!$B$15)</f>
        <v>1.2012209241700549</v>
      </c>
      <c r="K3543" t="str">
        <f t="shared" si="55"/>
        <v>No</v>
      </c>
      <c r="L3543">
        <f>ABS((C3543-EDA!$F$15)/EDA!$G$15)</f>
        <v>0.36947193332073092</v>
      </c>
      <c r="M3543" t="str">
        <f>IF(moras[[#This Row],[Z-Score Salario]]&gt;1.96, "Sí", "No")</f>
        <v>No</v>
      </c>
      <c r="N3543" s="14">
        <f>IF(ISBLANK(moras[[#This Row],[SALARIO]]), EDA!$M$8, moras[[#This Row],[SALARIO]])</f>
        <v>371501</v>
      </c>
      <c r="O3543" s="14">
        <f xml:space="preserve"> IF(ISBLANK(moras[[#This Row],[EDAD]]), EDA!$E$8, moras[[#This Row],[EDAD]])</f>
        <v>59</v>
      </c>
      <c r="P3543" s="14" t="str">
        <f>IF(
    OR(ISBLANK(moras[[#This Row],[TIPO_ASEGURAMIENTO]]), moras[[#This Row],[TIPO_ASEGURAMIENTO]]=""),
    EDA!$A$32,
    moras[[#This Row],[TIPO_ASEGURAMIENTO]]
)</f>
        <v>ASALARIADO</v>
      </c>
    </row>
    <row r="3544" spans="1:16" x14ac:dyDescent="0.3">
      <c r="A3544">
        <v>3543</v>
      </c>
      <c r="B3544" t="s">
        <v>9</v>
      </c>
      <c r="C3544">
        <v>639148</v>
      </c>
      <c r="D3544" t="s">
        <v>18</v>
      </c>
      <c r="E3544" t="s">
        <v>16</v>
      </c>
      <c r="F3544" t="s">
        <v>12</v>
      </c>
      <c r="G3544" t="s">
        <v>13</v>
      </c>
      <c r="H3544" t="s">
        <v>12</v>
      </c>
      <c r="I3544">
        <v>66</v>
      </c>
      <c r="J3544">
        <f>ABS((I3544-EDA!$A$15)/EDA!$B$15)</f>
        <v>1.6952482347100173</v>
      </c>
      <c r="K3544" t="str">
        <f t="shared" si="55"/>
        <v>No</v>
      </c>
      <c r="L3544">
        <f>ABS((C3544-EDA!$F$15)/EDA!$G$15)</f>
        <v>0.36501809830544912</v>
      </c>
      <c r="M3544" t="str">
        <f>IF(moras[[#This Row],[Z-Score Salario]]&gt;1.96, "Sí", "No")</f>
        <v>No</v>
      </c>
      <c r="N3544" s="14">
        <f>IF(ISBLANK(moras[[#This Row],[SALARIO]]), EDA!$M$8, moras[[#This Row],[SALARIO]])</f>
        <v>639148</v>
      </c>
      <c r="O3544" s="14">
        <f xml:space="preserve"> IF(ISBLANK(moras[[#This Row],[EDAD]]), EDA!$E$8, moras[[#This Row],[EDAD]])</f>
        <v>66</v>
      </c>
      <c r="P3544" s="14" t="str">
        <f>IF(
    OR(ISBLANK(moras[[#This Row],[TIPO_ASEGURAMIENTO]]), moras[[#This Row],[TIPO_ASEGURAMIENTO]]=""),
    EDA!$A$32,
    moras[[#This Row],[TIPO_ASEGURAMIENTO]]
)</f>
        <v>TRABAJADOR INDEPENDIENTE</v>
      </c>
    </row>
    <row r="3545" spans="1:16" x14ac:dyDescent="0.3">
      <c r="A3545">
        <v>3544</v>
      </c>
      <c r="B3545" t="s">
        <v>15</v>
      </c>
      <c r="C3545">
        <v>7073086</v>
      </c>
      <c r="D3545" t="s">
        <v>10</v>
      </c>
      <c r="E3545" t="s">
        <v>16</v>
      </c>
      <c r="F3545" t="s">
        <v>12</v>
      </c>
      <c r="G3545" t="s">
        <v>13</v>
      </c>
      <c r="H3545" t="s">
        <v>13</v>
      </c>
      <c r="I3545">
        <v>36</v>
      </c>
      <c r="J3545">
        <f>ABS((I3545-EDA!$A$15)/EDA!$B$15)</f>
        <v>0.42201166760410774</v>
      </c>
      <c r="K3545" t="str">
        <f t="shared" si="55"/>
        <v>No</v>
      </c>
      <c r="L3545">
        <f>ABS((C3545-EDA!$F$15)/EDA!$G$15)</f>
        <v>0.25795282819013904</v>
      </c>
      <c r="M3545" t="str">
        <f>IF(moras[[#This Row],[Z-Score Salario]]&gt;1.96, "Sí", "No")</f>
        <v>No</v>
      </c>
      <c r="N3545" s="14">
        <f>IF(ISBLANK(moras[[#This Row],[SALARIO]]), EDA!$M$8, moras[[#This Row],[SALARIO]])</f>
        <v>7073086</v>
      </c>
      <c r="O3545" s="14">
        <f xml:space="preserve"> IF(ISBLANK(moras[[#This Row],[EDAD]]), EDA!$E$8, moras[[#This Row],[EDAD]])</f>
        <v>36</v>
      </c>
      <c r="P3545" s="14" t="str">
        <f>IF(
    OR(ISBLANK(moras[[#This Row],[TIPO_ASEGURAMIENTO]]), moras[[#This Row],[TIPO_ASEGURAMIENTO]]=""),
    EDA!$A$32,
    moras[[#This Row],[TIPO_ASEGURAMIENTO]]
)</f>
        <v>ASALARIADO</v>
      </c>
    </row>
    <row r="3546" spans="1:16" x14ac:dyDescent="0.3">
      <c r="A3546">
        <v>3545</v>
      </c>
      <c r="B3546" t="s">
        <v>9</v>
      </c>
      <c r="C3546">
        <v>573826</v>
      </c>
      <c r="D3546" t="s">
        <v>17</v>
      </c>
      <c r="E3546" t="s">
        <v>16</v>
      </c>
      <c r="F3546" t="s">
        <v>12</v>
      </c>
      <c r="G3546" t="s">
        <v>12</v>
      </c>
      <c r="H3546" t="s">
        <v>13</v>
      </c>
      <c r="I3546">
        <v>38</v>
      </c>
      <c r="J3546">
        <f>ABS((I3546-EDA!$A$15)/EDA!$B$15)</f>
        <v>0.28086100744983278</v>
      </c>
      <c r="K3546" t="str">
        <f t="shared" si="55"/>
        <v>No</v>
      </c>
      <c r="L3546">
        <f>ABS((C3546-EDA!$F$15)/EDA!$G$15)</f>
        <v>0.36610510249704564</v>
      </c>
      <c r="M3546" t="str">
        <f>IF(moras[[#This Row],[Z-Score Salario]]&gt;1.96, "Sí", "No")</f>
        <v>No</v>
      </c>
      <c r="N3546" s="14">
        <f>IF(ISBLANK(moras[[#This Row],[SALARIO]]), EDA!$M$8, moras[[#This Row],[SALARIO]])</f>
        <v>573826</v>
      </c>
      <c r="O3546" s="14">
        <f xml:space="preserve"> IF(ISBLANK(moras[[#This Row],[EDAD]]), EDA!$E$8, moras[[#This Row],[EDAD]])</f>
        <v>38</v>
      </c>
      <c r="P3546" s="14" t="str">
        <f>IF(
    OR(ISBLANK(moras[[#This Row],[TIPO_ASEGURAMIENTO]]), moras[[#This Row],[TIPO_ASEGURAMIENTO]]=""),
    EDA!$A$32,
    moras[[#This Row],[TIPO_ASEGURAMIENTO]]
)</f>
        <v>ASEGURADO VOLUNTARIO</v>
      </c>
    </row>
    <row r="3547" spans="1:16" x14ac:dyDescent="0.3">
      <c r="A3547">
        <v>3546</v>
      </c>
      <c r="B3547" t="s">
        <v>15</v>
      </c>
      <c r="C3547">
        <v>1355000</v>
      </c>
      <c r="D3547" t="s">
        <v>10</v>
      </c>
      <c r="E3547" t="s">
        <v>16</v>
      </c>
      <c r="F3547" t="s">
        <v>12</v>
      </c>
      <c r="G3547" t="s">
        <v>13</v>
      </c>
      <c r="H3547" t="s">
        <v>13</v>
      </c>
      <c r="I3547">
        <v>43</v>
      </c>
      <c r="J3547">
        <f>ABS((I3547-EDA!$A$15)/EDA!$B$15)</f>
        <v>7.2015642935854773E-2</v>
      </c>
      <c r="K3547" t="str">
        <f t="shared" si="55"/>
        <v>No</v>
      </c>
      <c r="L3547">
        <f>ABS((C3547-EDA!$F$15)/EDA!$G$15)</f>
        <v>0.35310581569679095</v>
      </c>
      <c r="M3547" t="str">
        <f>IF(moras[[#This Row],[Z-Score Salario]]&gt;1.96, "Sí", "No")</f>
        <v>No</v>
      </c>
      <c r="N3547" s="14">
        <f>IF(ISBLANK(moras[[#This Row],[SALARIO]]), EDA!$M$8, moras[[#This Row],[SALARIO]])</f>
        <v>1355000</v>
      </c>
      <c r="O3547" s="14">
        <f xml:space="preserve"> IF(ISBLANK(moras[[#This Row],[EDAD]]), EDA!$E$8, moras[[#This Row],[EDAD]])</f>
        <v>43</v>
      </c>
      <c r="P3547" s="14" t="str">
        <f>IF(
    OR(ISBLANK(moras[[#This Row],[TIPO_ASEGURAMIENTO]]), moras[[#This Row],[TIPO_ASEGURAMIENTO]]=""),
    EDA!$A$32,
    moras[[#This Row],[TIPO_ASEGURAMIENTO]]
)</f>
        <v>ASALARIADO</v>
      </c>
    </row>
    <row r="3548" spans="1:16" x14ac:dyDescent="0.3">
      <c r="A3548">
        <v>3547</v>
      </c>
      <c r="B3548" t="s">
        <v>15</v>
      </c>
      <c r="C3548">
        <v>1414474</v>
      </c>
      <c r="D3548" t="s">
        <v>14</v>
      </c>
      <c r="E3548" t="s">
        <v>11</v>
      </c>
      <c r="F3548" t="s">
        <v>12</v>
      </c>
      <c r="G3548" t="s">
        <v>13</v>
      </c>
      <c r="H3548" t="s">
        <v>13</v>
      </c>
      <c r="I3548">
        <v>56</v>
      </c>
      <c r="J3548">
        <f>ABS((I3548-EDA!$A$15)/EDA!$B$15)</f>
        <v>0.9894949339386423</v>
      </c>
      <c r="K3548" t="str">
        <f t="shared" si="55"/>
        <v>No</v>
      </c>
      <c r="L3548">
        <f>ABS((C3548-EDA!$F$15)/EDA!$G$15)</f>
        <v>0.35211612635336892</v>
      </c>
      <c r="M3548" t="str">
        <f>IF(moras[[#This Row],[Z-Score Salario]]&gt;1.96, "Sí", "No")</f>
        <v>No</v>
      </c>
      <c r="N3548" s="14">
        <f>IF(ISBLANK(moras[[#This Row],[SALARIO]]), EDA!$M$8, moras[[#This Row],[SALARIO]])</f>
        <v>1414474</v>
      </c>
      <c r="O3548" s="14">
        <f xml:space="preserve"> IF(ISBLANK(moras[[#This Row],[EDAD]]), EDA!$E$8, moras[[#This Row],[EDAD]])</f>
        <v>56</v>
      </c>
      <c r="P3548" s="14" t="str">
        <f>IF(
    OR(ISBLANK(moras[[#This Row],[TIPO_ASEGURAMIENTO]]), moras[[#This Row],[TIPO_ASEGURAMIENTO]]=""),
    EDA!$A$32,
    moras[[#This Row],[TIPO_ASEGURAMIENTO]]
)</f>
        <v>PENSIONADOS EN SU PROPIO SISTEMA</v>
      </c>
    </row>
    <row r="3549" spans="1:16" x14ac:dyDescent="0.3">
      <c r="A3549">
        <v>3548</v>
      </c>
      <c r="B3549" t="s">
        <v>9</v>
      </c>
      <c r="C3549">
        <v>297280</v>
      </c>
      <c r="D3549" t="s">
        <v>17</v>
      </c>
      <c r="E3549" t="s">
        <v>16</v>
      </c>
      <c r="F3549" t="s">
        <v>12</v>
      </c>
      <c r="G3549" t="s">
        <v>13</v>
      </c>
      <c r="H3549" t="s">
        <v>13</v>
      </c>
      <c r="I3549">
        <v>64</v>
      </c>
      <c r="J3549">
        <f>ABS((I3549-EDA!$A$15)/EDA!$B$15)</f>
        <v>1.5540975745557424</v>
      </c>
      <c r="K3549" t="str">
        <f t="shared" si="55"/>
        <v>No</v>
      </c>
      <c r="L3549">
        <f>ABS((C3549-EDA!$F$15)/EDA!$G$15)</f>
        <v>0.37070702315424015</v>
      </c>
      <c r="M3549" t="str">
        <f>IF(moras[[#This Row],[Z-Score Salario]]&gt;1.96, "Sí", "No")</f>
        <v>No</v>
      </c>
      <c r="N3549" s="14">
        <f>IF(ISBLANK(moras[[#This Row],[SALARIO]]), EDA!$M$8, moras[[#This Row],[SALARIO]])</f>
        <v>297280</v>
      </c>
      <c r="O3549" s="14">
        <f xml:space="preserve"> IF(ISBLANK(moras[[#This Row],[EDAD]]), EDA!$E$8, moras[[#This Row],[EDAD]])</f>
        <v>64</v>
      </c>
      <c r="P3549" s="14" t="str">
        <f>IF(
    OR(ISBLANK(moras[[#This Row],[TIPO_ASEGURAMIENTO]]), moras[[#This Row],[TIPO_ASEGURAMIENTO]]=""),
    EDA!$A$32,
    moras[[#This Row],[TIPO_ASEGURAMIENTO]]
)</f>
        <v>ASEGURADO VOLUNTARIO</v>
      </c>
    </row>
    <row r="3550" spans="1:16" x14ac:dyDescent="0.3">
      <c r="A3550">
        <v>3549</v>
      </c>
      <c r="B3550" t="s">
        <v>15</v>
      </c>
      <c r="C3550">
        <v>542430</v>
      </c>
      <c r="D3550" t="s">
        <v>10</v>
      </c>
      <c r="E3550" t="s">
        <v>16</v>
      </c>
      <c r="F3550" t="s">
        <v>12</v>
      </c>
      <c r="G3550" t="s">
        <v>13</v>
      </c>
      <c r="H3550" t="s">
        <v>13</v>
      </c>
      <c r="I3550">
        <v>29</v>
      </c>
      <c r="J3550">
        <f>ABS((I3550-EDA!$A$15)/EDA!$B$15)</f>
        <v>0.91603897814407031</v>
      </c>
      <c r="K3550" t="str">
        <f t="shared" si="55"/>
        <v>No</v>
      </c>
      <c r="L3550">
        <f>ABS((C3550-EDA!$F$15)/EDA!$G$15)</f>
        <v>0.36662755409986497</v>
      </c>
      <c r="M3550" t="str">
        <f>IF(moras[[#This Row],[Z-Score Salario]]&gt;1.96, "Sí", "No")</f>
        <v>No</v>
      </c>
      <c r="N3550" s="14">
        <f>IF(ISBLANK(moras[[#This Row],[SALARIO]]), EDA!$M$8, moras[[#This Row],[SALARIO]])</f>
        <v>542430</v>
      </c>
      <c r="O3550" s="14">
        <f xml:space="preserve"> IF(ISBLANK(moras[[#This Row],[EDAD]]), EDA!$E$8, moras[[#This Row],[EDAD]])</f>
        <v>29</v>
      </c>
      <c r="P3550" s="14" t="str">
        <f>IF(
    OR(ISBLANK(moras[[#This Row],[TIPO_ASEGURAMIENTO]]), moras[[#This Row],[TIPO_ASEGURAMIENTO]]=""),
    EDA!$A$32,
    moras[[#This Row],[TIPO_ASEGURAMIENTO]]
)</f>
        <v>ASALARIADO</v>
      </c>
    </row>
    <row r="3551" spans="1:16" x14ac:dyDescent="0.3">
      <c r="A3551">
        <v>3550</v>
      </c>
      <c r="B3551" t="s">
        <v>9</v>
      </c>
      <c r="C3551">
        <v>118624724</v>
      </c>
      <c r="D3551" t="s">
        <v>10</v>
      </c>
      <c r="E3551" t="s">
        <v>16</v>
      </c>
      <c r="F3551" t="s">
        <v>12</v>
      </c>
      <c r="G3551" t="s">
        <v>13</v>
      </c>
      <c r="H3551" t="s">
        <v>13</v>
      </c>
      <c r="I3551">
        <v>58</v>
      </c>
      <c r="J3551">
        <f>ABS((I3551-EDA!$A$15)/EDA!$B$15)</f>
        <v>1.1306455940929174</v>
      </c>
      <c r="K3551" t="str">
        <f t="shared" si="55"/>
        <v>No</v>
      </c>
      <c r="L3551">
        <f>ABS((C3551-EDA!$F$15)/EDA!$G$15)</f>
        <v>1.5983451737917402</v>
      </c>
      <c r="M3551" t="str">
        <f>IF(moras[[#This Row],[Z-Score Salario]]&gt;1.96, "Sí", "No")</f>
        <v>No</v>
      </c>
      <c r="N3551" s="14">
        <f>IF(ISBLANK(moras[[#This Row],[SALARIO]]), EDA!$M$8, moras[[#This Row],[SALARIO]])</f>
        <v>118624724</v>
      </c>
      <c r="O3551" s="14">
        <f xml:space="preserve"> IF(ISBLANK(moras[[#This Row],[EDAD]]), EDA!$E$8, moras[[#This Row],[EDAD]])</f>
        <v>58</v>
      </c>
      <c r="P3551" s="14" t="str">
        <f>IF(
    OR(ISBLANK(moras[[#This Row],[TIPO_ASEGURAMIENTO]]), moras[[#This Row],[TIPO_ASEGURAMIENTO]]=""),
    EDA!$A$32,
    moras[[#This Row],[TIPO_ASEGURAMIENTO]]
)</f>
        <v>ASALARIADO</v>
      </c>
    </row>
    <row r="3552" spans="1:16" x14ac:dyDescent="0.3">
      <c r="A3552">
        <v>3551</v>
      </c>
      <c r="B3552" t="s">
        <v>15</v>
      </c>
      <c r="C3552">
        <v>495975</v>
      </c>
      <c r="D3552" t="s">
        <v>18</v>
      </c>
      <c r="E3552" t="s">
        <v>16</v>
      </c>
      <c r="F3552" t="s">
        <v>12</v>
      </c>
      <c r="G3552" t="s">
        <v>13</v>
      </c>
      <c r="H3552" t="s">
        <v>12</v>
      </c>
      <c r="I3552">
        <v>56</v>
      </c>
      <c r="J3552">
        <f>ABS((I3552-EDA!$A$15)/EDA!$B$15)</f>
        <v>0.9894949339386423</v>
      </c>
      <c r="K3552" t="str">
        <f t="shared" si="55"/>
        <v>No</v>
      </c>
      <c r="L3552">
        <f>ABS((C3552-EDA!$F$15)/EDA!$G$15)</f>
        <v>0.36740059809301612</v>
      </c>
      <c r="M3552" t="str">
        <f>IF(moras[[#This Row],[Z-Score Salario]]&gt;1.96, "Sí", "No")</f>
        <v>No</v>
      </c>
      <c r="N3552" s="14">
        <f>IF(ISBLANK(moras[[#This Row],[SALARIO]]), EDA!$M$8, moras[[#This Row],[SALARIO]])</f>
        <v>495975</v>
      </c>
      <c r="O3552" s="14">
        <f xml:space="preserve"> IF(ISBLANK(moras[[#This Row],[EDAD]]), EDA!$E$8, moras[[#This Row],[EDAD]])</f>
        <v>56</v>
      </c>
      <c r="P3552" s="14" t="str">
        <f>IF(
    OR(ISBLANK(moras[[#This Row],[TIPO_ASEGURAMIENTO]]), moras[[#This Row],[TIPO_ASEGURAMIENTO]]=""),
    EDA!$A$32,
    moras[[#This Row],[TIPO_ASEGURAMIENTO]]
)</f>
        <v>TRABAJADOR INDEPENDIENTE</v>
      </c>
    </row>
    <row r="3553" spans="1:16" x14ac:dyDescent="0.3">
      <c r="A3553">
        <v>3552</v>
      </c>
      <c r="B3553" t="s">
        <v>9</v>
      </c>
      <c r="C3553">
        <v>490122</v>
      </c>
      <c r="D3553" t="s">
        <v>18</v>
      </c>
      <c r="E3553" t="s">
        <v>16</v>
      </c>
      <c r="F3553" t="s">
        <v>12</v>
      </c>
      <c r="G3553" t="s">
        <v>12</v>
      </c>
      <c r="H3553" t="s">
        <v>12</v>
      </c>
      <c r="I3553">
        <v>45</v>
      </c>
      <c r="J3553">
        <f>ABS((I3553-EDA!$A$15)/EDA!$B$15)</f>
        <v>0.21316630309012977</v>
      </c>
      <c r="K3553" t="str">
        <f t="shared" si="55"/>
        <v>No</v>
      </c>
      <c r="L3553">
        <f>ABS((C3553-EDA!$F$15)/EDA!$G$15)</f>
        <v>0.36749799614472017</v>
      </c>
      <c r="M3553" t="str">
        <f>IF(moras[[#This Row],[Z-Score Salario]]&gt;1.96, "Sí", "No")</f>
        <v>No</v>
      </c>
      <c r="N3553" s="14">
        <f>IF(ISBLANK(moras[[#This Row],[SALARIO]]), EDA!$M$8, moras[[#This Row],[SALARIO]])</f>
        <v>490122</v>
      </c>
      <c r="O3553" s="14">
        <f xml:space="preserve"> IF(ISBLANK(moras[[#This Row],[EDAD]]), EDA!$E$8, moras[[#This Row],[EDAD]])</f>
        <v>45</v>
      </c>
      <c r="P3553" s="14" t="str">
        <f>IF(
    OR(ISBLANK(moras[[#This Row],[TIPO_ASEGURAMIENTO]]), moras[[#This Row],[TIPO_ASEGURAMIENTO]]=""),
    EDA!$A$32,
    moras[[#This Row],[TIPO_ASEGURAMIENTO]]
)</f>
        <v>TRABAJADOR INDEPENDIENTE</v>
      </c>
    </row>
    <row r="3554" spans="1:16" x14ac:dyDescent="0.3">
      <c r="A3554">
        <v>3553</v>
      </c>
      <c r="B3554" t="s">
        <v>15</v>
      </c>
      <c r="C3554">
        <v>358000</v>
      </c>
      <c r="D3554" t="s">
        <v>10</v>
      </c>
      <c r="E3554" t="s">
        <v>16</v>
      </c>
      <c r="F3554" t="s">
        <v>12</v>
      </c>
      <c r="G3554" t="s">
        <v>13</v>
      </c>
      <c r="H3554" t="s">
        <v>12</v>
      </c>
      <c r="I3554">
        <v>35</v>
      </c>
      <c r="J3554">
        <f>ABS((I3554-EDA!$A$15)/EDA!$B$15)</f>
        <v>0.49258699768124525</v>
      </c>
      <c r="K3554" t="str">
        <f t="shared" si="55"/>
        <v>No</v>
      </c>
      <c r="L3554">
        <f>ABS((C3554-EDA!$F$15)/EDA!$G$15)</f>
        <v>0.3696965994912515</v>
      </c>
      <c r="M3554" t="str">
        <f>IF(moras[[#This Row],[Z-Score Salario]]&gt;1.96, "Sí", "No")</f>
        <v>No</v>
      </c>
      <c r="N3554" s="14">
        <f>IF(ISBLANK(moras[[#This Row],[SALARIO]]), EDA!$M$8, moras[[#This Row],[SALARIO]])</f>
        <v>358000</v>
      </c>
      <c r="O3554" s="14">
        <f xml:space="preserve"> IF(ISBLANK(moras[[#This Row],[EDAD]]), EDA!$E$8, moras[[#This Row],[EDAD]])</f>
        <v>35</v>
      </c>
      <c r="P3554" s="14" t="str">
        <f>IF(
    OR(ISBLANK(moras[[#This Row],[TIPO_ASEGURAMIENTO]]), moras[[#This Row],[TIPO_ASEGURAMIENTO]]=""),
    EDA!$A$32,
    moras[[#This Row],[TIPO_ASEGURAMIENTO]]
)</f>
        <v>ASALARIADO</v>
      </c>
    </row>
    <row r="3555" spans="1:16" x14ac:dyDescent="0.3">
      <c r="A3555">
        <v>3554</v>
      </c>
      <c r="B3555" t="s">
        <v>15</v>
      </c>
      <c r="C3555">
        <v>233615</v>
      </c>
      <c r="D3555" t="s">
        <v>10</v>
      </c>
      <c r="E3555" t="s">
        <v>16</v>
      </c>
      <c r="F3555" t="s">
        <v>12</v>
      </c>
      <c r="G3555" t="s">
        <v>13</v>
      </c>
      <c r="H3555" t="s">
        <v>13</v>
      </c>
      <c r="I3555">
        <v>20</v>
      </c>
      <c r="J3555">
        <f>ABS((I3555-EDA!$A$15)/EDA!$B$15)</f>
        <v>1.5512169488383079</v>
      </c>
      <c r="K3555" t="str">
        <f t="shared" si="55"/>
        <v>No</v>
      </c>
      <c r="L3555">
        <f>ABS((C3555-EDA!$F$15)/EDA!$G$15)</f>
        <v>0.37176645369614014</v>
      </c>
      <c r="M3555" t="str">
        <f>IF(moras[[#This Row],[Z-Score Salario]]&gt;1.96, "Sí", "No")</f>
        <v>No</v>
      </c>
      <c r="N3555" s="14">
        <f>IF(ISBLANK(moras[[#This Row],[SALARIO]]), EDA!$M$8, moras[[#This Row],[SALARIO]])</f>
        <v>233615</v>
      </c>
      <c r="O3555" s="14">
        <f xml:space="preserve"> IF(ISBLANK(moras[[#This Row],[EDAD]]), EDA!$E$8, moras[[#This Row],[EDAD]])</f>
        <v>20</v>
      </c>
      <c r="P3555" s="14" t="str">
        <f>IF(
    OR(ISBLANK(moras[[#This Row],[TIPO_ASEGURAMIENTO]]), moras[[#This Row],[TIPO_ASEGURAMIENTO]]=""),
    EDA!$A$32,
    moras[[#This Row],[TIPO_ASEGURAMIENTO]]
)</f>
        <v>ASALARIADO</v>
      </c>
    </row>
    <row r="3556" spans="1:16" x14ac:dyDescent="0.3">
      <c r="A3556">
        <v>3555</v>
      </c>
      <c r="B3556" t="s">
        <v>9</v>
      </c>
      <c r="C3556">
        <v>54028705</v>
      </c>
      <c r="D3556" t="s">
        <v>10</v>
      </c>
      <c r="E3556" t="s">
        <v>16</v>
      </c>
      <c r="F3556" t="s">
        <v>12</v>
      </c>
      <c r="G3556" t="s">
        <v>13</v>
      </c>
      <c r="H3556" t="s">
        <v>13</v>
      </c>
      <c r="I3556">
        <v>40</v>
      </c>
      <c r="J3556">
        <f>ABS((I3556-EDA!$A$15)/EDA!$B$15)</f>
        <v>0.13971034729555773</v>
      </c>
      <c r="K3556" t="str">
        <f t="shared" si="55"/>
        <v>No</v>
      </c>
      <c r="L3556">
        <f>ABS((C3556-EDA!$F$15)/EDA!$G$15)</f>
        <v>0.52342181851403913</v>
      </c>
      <c r="M3556" t="str">
        <f>IF(moras[[#This Row],[Z-Score Salario]]&gt;1.96, "Sí", "No")</f>
        <v>No</v>
      </c>
      <c r="N3556" s="14">
        <f>IF(ISBLANK(moras[[#This Row],[SALARIO]]), EDA!$M$8, moras[[#This Row],[SALARIO]])</f>
        <v>54028705</v>
      </c>
      <c r="O3556" s="14">
        <f xml:space="preserve"> IF(ISBLANK(moras[[#This Row],[EDAD]]), EDA!$E$8, moras[[#This Row],[EDAD]])</f>
        <v>40</v>
      </c>
      <c r="P3556" s="14" t="str">
        <f>IF(
    OR(ISBLANK(moras[[#This Row],[TIPO_ASEGURAMIENTO]]), moras[[#This Row],[TIPO_ASEGURAMIENTO]]=""),
    EDA!$A$32,
    moras[[#This Row],[TIPO_ASEGURAMIENTO]]
)</f>
        <v>ASALARIADO</v>
      </c>
    </row>
    <row r="3557" spans="1:16" x14ac:dyDescent="0.3">
      <c r="A3557">
        <v>3556</v>
      </c>
      <c r="B3557" t="s">
        <v>15</v>
      </c>
      <c r="C3557">
        <v>86254382</v>
      </c>
      <c r="D3557" t="s">
        <v>10</v>
      </c>
      <c r="E3557" t="s">
        <v>11</v>
      </c>
      <c r="F3557" t="s">
        <v>12</v>
      </c>
      <c r="G3557" t="s">
        <v>13</v>
      </c>
      <c r="H3557" t="s">
        <v>13</v>
      </c>
      <c r="I3557">
        <v>37</v>
      </c>
      <c r="J3557">
        <f>ABS((I3557-EDA!$A$15)/EDA!$B$15)</f>
        <v>0.35143633752697023</v>
      </c>
      <c r="K3557" t="str">
        <f t="shared" si="55"/>
        <v>No</v>
      </c>
      <c r="L3557">
        <f>ABS((C3557-EDA!$F$15)/EDA!$G$15)</f>
        <v>1.0596798322924956</v>
      </c>
      <c r="M3557" t="str">
        <f>IF(moras[[#This Row],[Z-Score Salario]]&gt;1.96, "Sí", "No")</f>
        <v>No</v>
      </c>
      <c r="N3557" s="14">
        <f>IF(ISBLANK(moras[[#This Row],[SALARIO]]), EDA!$M$8, moras[[#This Row],[SALARIO]])</f>
        <v>86254382</v>
      </c>
      <c r="O3557" s="14">
        <f xml:space="preserve"> IF(ISBLANK(moras[[#This Row],[EDAD]]), EDA!$E$8, moras[[#This Row],[EDAD]])</f>
        <v>37</v>
      </c>
      <c r="P3557" s="14" t="str">
        <f>IF(
    OR(ISBLANK(moras[[#This Row],[TIPO_ASEGURAMIENTO]]), moras[[#This Row],[TIPO_ASEGURAMIENTO]]=""),
    EDA!$A$32,
    moras[[#This Row],[TIPO_ASEGURAMIENTO]]
)</f>
        <v>ASALARIADO</v>
      </c>
    </row>
    <row r="3558" spans="1:16" x14ac:dyDescent="0.3">
      <c r="A3558">
        <v>3557</v>
      </c>
      <c r="B3558" t="s">
        <v>9</v>
      </c>
      <c r="C3558">
        <v>331181</v>
      </c>
      <c r="D3558" t="s">
        <v>18</v>
      </c>
      <c r="E3558" t="s">
        <v>16</v>
      </c>
      <c r="F3558" t="s">
        <v>12</v>
      </c>
      <c r="G3558" t="s">
        <v>13</v>
      </c>
      <c r="H3558" t="s">
        <v>12</v>
      </c>
      <c r="I3558">
        <v>51</v>
      </c>
      <c r="J3558">
        <f>ABS((I3558-EDA!$A$15)/EDA!$B$15)</f>
        <v>0.6366182835529548</v>
      </c>
      <c r="K3558" t="str">
        <f t="shared" si="55"/>
        <v>No</v>
      </c>
      <c r="L3558">
        <f>ABS((C3558-EDA!$F$15)/EDA!$G$15)</f>
        <v>0.37014288658311073</v>
      </c>
      <c r="M3558" t="str">
        <f>IF(moras[[#This Row],[Z-Score Salario]]&gt;1.96, "Sí", "No")</f>
        <v>No</v>
      </c>
      <c r="N3558" s="14">
        <f>IF(ISBLANK(moras[[#This Row],[SALARIO]]), EDA!$M$8, moras[[#This Row],[SALARIO]])</f>
        <v>331181</v>
      </c>
      <c r="O3558" s="14">
        <f xml:space="preserve"> IF(ISBLANK(moras[[#This Row],[EDAD]]), EDA!$E$8, moras[[#This Row],[EDAD]])</f>
        <v>51</v>
      </c>
      <c r="P3558" s="14" t="str">
        <f>IF(
    OR(ISBLANK(moras[[#This Row],[TIPO_ASEGURAMIENTO]]), moras[[#This Row],[TIPO_ASEGURAMIENTO]]=""),
    EDA!$A$32,
    moras[[#This Row],[TIPO_ASEGURAMIENTO]]
)</f>
        <v>TRABAJADOR INDEPENDIENTE</v>
      </c>
    </row>
    <row r="3559" spans="1:16" x14ac:dyDescent="0.3">
      <c r="A3559">
        <v>3558</v>
      </c>
      <c r="B3559" t="s">
        <v>15</v>
      </c>
      <c r="C3559">
        <v>480541675</v>
      </c>
      <c r="D3559" t="s">
        <v>10</v>
      </c>
      <c r="E3559" t="s">
        <v>11</v>
      </c>
      <c r="F3559" t="s">
        <v>12</v>
      </c>
      <c r="G3559" t="s">
        <v>13</v>
      </c>
      <c r="H3559" t="s">
        <v>13</v>
      </c>
      <c r="I3559">
        <v>60</v>
      </c>
      <c r="J3559">
        <f>ABS((I3559-EDA!$A$15)/EDA!$B$15)</f>
        <v>1.2717962542471923</v>
      </c>
      <c r="K3559" t="str">
        <f t="shared" si="55"/>
        <v>No</v>
      </c>
      <c r="L3559">
        <f>ABS((C3559-EDA!$F$15)/EDA!$G$15)</f>
        <v>7.6208987200218159</v>
      </c>
      <c r="M3559" t="str">
        <f>IF(moras[[#This Row],[Z-Score Salario]]&gt;1.96, "Sí", "No")</f>
        <v>Sí</v>
      </c>
      <c r="N3559" s="14">
        <f>IF(ISBLANK(moras[[#This Row],[SALARIO]]), EDA!$M$8, moras[[#This Row],[SALARIO]])</f>
        <v>480541675</v>
      </c>
      <c r="O3559" s="14">
        <f xml:space="preserve"> IF(ISBLANK(moras[[#This Row],[EDAD]]), EDA!$E$8, moras[[#This Row],[EDAD]])</f>
        <v>60</v>
      </c>
      <c r="P3559" s="14" t="str">
        <f>IF(
    OR(ISBLANK(moras[[#This Row],[TIPO_ASEGURAMIENTO]]), moras[[#This Row],[TIPO_ASEGURAMIENTO]]=""),
    EDA!$A$32,
    moras[[#This Row],[TIPO_ASEGURAMIENTO]]
)</f>
        <v>ASALARIADO</v>
      </c>
    </row>
    <row r="3560" spans="1:16" x14ac:dyDescent="0.3">
      <c r="A3560">
        <v>3559</v>
      </c>
      <c r="B3560" t="s">
        <v>9</v>
      </c>
      <c r="C3560">
        <v>857231</v>
      </c>
      <c r="D3560" t="s">
        <v>10</v>
      </c>
      <c r="E3560" t="s">
        <v>16</v>
      </c>
      <c r="F3560" t="s">
        <v>12</v>
      </c>
      <c r="G3560" t="s">
        <v>13</v>
      </c>
      <c r="H3560" t="s">
        <v>13</v>
      </c>
      <c r="I3560">
        <v>35</v>
      </c>
      <c r="J3560">
        <f>ABS((I3560-EDA!$A$15)/EDA!$B$15)</f>
        <v>0.49258699768124525</v>
      </c>
      <c r="K3560" t="str">
        <f t="shared" si="55"/>
        <v>No</v>
      </c>
      <c r="L3560">
        <f>ABS((C3560-EDA!$F$15)/EDA!$G$15)</f>
        <v>0.36138904323799942</v>
      </c>
      <c r="M3560" t="str">
        <f>IF(moras[[#This Row],[Z-Score Salario]]&gt;1.96, "Sí", "No")</f>
        <v>No</v>
      </c>
      <c r="N3560" s="14">
        <f>IF(ISBLANK(moras[[#This Row],[SALARIO]]), EDA!$M$8, moras[[#This Row],[SALARIO]])</f>
        <v>857231</v>
      </c>
      <c r="O3560" s="14">
        <f xml:space="preserve"> IF(ISBLANK(moras[[#This Row],[EDAD]]), EDA!$E$8, moras[[#This Row],[EDAD]])</f>
        <v>35</v>
      </c>
      <c r="P3560" s="14" t="str">
        <f>IF(
    OR(ISBLANK(moras[[#This Row],[TIPO_ASEGURAMIENTO]]), moras[[#This Row],[TIPO_ASEGURAMIENTO]]=""),
    EDA!$A$32,
    moras[[#This Row],[TIPO_ASEGURAMIENTO]]
)</f>
        <v>ASALARIADO</v>
      </c>
    </row>
    <row r="3561" spans="1:16" x14ac:dyDescent="0.3">
      <c r="A3561">
        <v>3560</v>
      </c>
      <c r="B3561" t="s">
        <v>15</v>
      </c>
      <c r="C3561">
        <v>297050</v>
      </c>
      <c r="D3561" t="s">
        <v>17</v>
      </c>
      <c r="E3561" t="s">
        <v>16</v>
      </c>
      <c r="F3561" t="s">
        <v>13</v>
      </c>
      <c r="G3561" t="s">
        <v>13</v>
      </c>
      <c r="H3561" t="s">
        <v>12</v>
      </c>
      <c r="I3561">
        <v>27</v>
      </c>
      <c r="J3561">
        <f>ABS((I3561-EDA!$A$15)/EDA!$B$15)</f>
        <v>1.0571896382983452</v>
      </c>
      <c r="K3561" t="str">
        <f t="shared" si="55"/>
        <v>No</v>
      </c>
      <c r="L3561">
        <f>ABS((C3561-EDA!$F$15)/EDA!$G$15)</f>
        <v>0.37071085051659991</v>
      </c>
      <c r="M3561" t="str">
        <f>IF(moras[[#This Row],[Z-Score Salario]]&gt;1.96, "Sí", "No")</f>
        <v>No</v>
      </c>
      <c r="N3561" s="14">
        <f>IF(ISBLANK(moras[[#This Row],[SALARIO]]), EDA!$M$8, moras[[#This Row],[SALARIO]])</f>
        <v>297050</v>
      </c>
      <c r="O3561" s="14">
        <f xml:space="preserve"> IF(ISBLANK(moras[[#This Row],[EDAD]]), EDA!$E$8, moras[[#This Row],[EDAD]])</f>
        <v>27</v>
      </c>
      <c r="P3561" s="14" t="str">
        <f>IF(
    OR(ISBLANK(moras[[#This Row],[TIPO_ASEGURAMIENTO]]), moras[[#This Row],[TIPO_ASEGURAMIENTO]]=""),
    EDA!$A$32,
    moras[[#This Row],[TIPO_ASEGURAMIENTO]]
)</f>
        <v>ASEGURADO VOLUNTARIO</v>
      </c>
    </row>
    <row r="3562" spans="1:16" x14ac:dyDescent="0.3">
      <c r="A3562">
        <v>3561</v>
      </c>
      <c r="B3562" t="s">
        <v>15</v>
      </c>
      <c r="C3562">
        <v>541045</v>
      </c>
      <c r="D3562" t="s">
        <v>10</v>
      </c>
      <c r="E3562" t="s">
        <v>16</v>
      </c>
      <c r="F3562" t="s">
        <v>12</v>
      </c>
      <c r="G3562" t="s">
        <v>13</v>
      </c>
      <c r="H3562" t="s">
        <v>13</v>
      </c>
      <c r="I3562">
        <v>28</v>
      </c>
      <c r="J3562">
        <f>ABS((I3562-EDA!$A$15)/EDA!$B$15)</f>
        <v>0.98661430822120777</v>
      </c>
      <c r="K3562" t="str">
        <f t="shared" si="55"/>
        <v>No</v>
      </c>
      <c r="L3562">
        <f>ABS((C3562-EDA!$F$15)/EDA!$G$15)</f>
        <v>0.36665060147755341</v>
      </c>
      <c r="M3562" t="str">
        <f>IF(moras[[#This Row],[Z-Score Salario]]&gt;1.96, "Sí", "No")</f>
        <v>No</v>
      </c>
      <c r="N3562" s="14">
        <f>IF(ISBLANK(moras[[#This Row],[SALARIO]]), EDA!$M$8, moras[[#This Row],[SALARIO]])</f>
        <v>541045</v>
      </c>
      <c r="O3562" s="14">
        <f xml:space="preserve"> IF(ISBLANK(moras[[#This Row],[EDAD]]), EDA!$E$8, moras[[#This Row],[EDAD]])</f>
        <v>28</v>
      </c>
      <c r="P3562" s="14" t="str">
        <f>IF(
    OR(ISBLANK(moras[[#This Row],[TIPO_ASEGURAMIENTO]]), moras[[#This Row],[TIPO_ASEGURAMIENTO]]=""),
    EDA!$A$32,
    moras[[#This Row],[TIPO_ASEGURAMIENTO]]
)</f>
        <v>ASALARIADO</v>
      </c>
    </row>
    <row r="3563" spans="1:16" x14ac:dyDescent="0.3">
      <c r="A3563">
        <v>3562</v>
      </c>
      <c r="B3563" t="s">
        <v>9</v>
      </c>
      <c r="C3563">
        <v>623822</v>
      </c>
      <c r="D3563" t="s">
        <v>10</v>
      </c>
      <c r="E3563" t="s">
        <v>16</v>
      </c>
      <c r="F3563" t="s">
        <v>12</v>
      </c>
      <c r="G3563" t="s">
        <v>13</v>
      </c>
      <c r="H3563" t="s">
        <v>13</v>
      </c>
      <c r="I3563">
        <v>27</v>
      </c>
      <c r="J3563">
        <f>ABS((I3563-EDA!$A$15)/EDA!$B$15)</f>
        <v>1.0571896382983452</v>
      </c>
      <c r="K3563" t="str">
        <f t="shared" si="55"/>
        <v>No</v>
      </c>
      <c r="L3563">
        <f>ABS((C3563-EDA!$F$15)/EDA!$G$15)</f>
        <v>0.36527313376425946</v>
      </c>
      <c r="M3563" t="str">
        <f>IF(moras[[#This Row],[Z-Score Salario]]&gt;1.96, "Sí", "No")</f>
        <v>No</v>
      </c>
      <c r="N3563" s="14">
        <f>IF(ISBLANK(moras[[#This Row],[SALARIO]]), EDA!$M$8, moras[[#This Row],[SALARIO]])</f>
        <v>623822</v>
      </c>
      <c r="O3563" s="14">
        <f xml:space="preserve"> IF(ISBLANK(moras[[#This Row],[EDAD]]), EDA!$E$8, moras[[#This Row],[EDAD]])</f>
        <v>27</v>
      </c>
      <c r="P3563" s="14" t="str">
        <f>IF(
    OR(ISBLANK(moras[[#This Row],[TIPO_ASEGURAMIENTO]]), moras[[#This Row],[TIPO_ASEGURAMIENTO]]=""),
    EDA!$A$32,
    moras[[#This Row],[TIPO_ASEGURAMIENTO]]
)</f>
        <v>ASALARIADO</v>
      </c>
    </row>
    <row r="3564" spans="1:16" x14ac:dyDescent="0.3">
      <c r="A3564">
        <v>3563</v>
      </c>
      <c r="B3564" t="s">
        <v>9</v>
      </c>
      <c r="C3564">
        <v>476987</v>
      </c>
      <c r="D3564" t="s">
        <v>18</v>
      </c>
      <c r="E3564" t="s">
        <v>16</v>
      </c>
      <c r="F3564" t="s">
        <v>12</v>
      </c>
      <c r="G3564" t="s">
        <v>13</v>
      </c>
      <c r="H3564" t="s">
        <v>13</v>
      </c>
      <c r="I3564">
        <v>52</v>
      </c>
      <c r="J3564">
        <f>ABS((I3564-EDA!$A$15)/EDA!$B$15)</f>
        <v>0.70719361363009237</v>
      </c>
      <c r="K3564" t="str">
        <f t="shared" si="55"/>
        <v>No</v>
      </c>
      <c r="L3564">
        <f>ABS((C3564-EDA!$F$15)/EDA!$G$15)</f>
        <v>0.36771657181687689</v>
      </c>
      <c r="M3564" t="str">
        <f>IF(moras[[#This Row],[Z-Score Salario]]&gt;1.96, "Sí", "No")</f>
        <v>No</v>
      </c>
      <c r="N3564" s="14">
        <f>IF(ISBLANK(moras[[#This Row],[SALARIO]]), EDA!$M$8, moras[[#This Row],[SALARIO]])</f>
        <v>476987</v>
      </c>
      <c r="O3564" s="14">
        <f xml:space="preserve"> IF(ISBLANK(moras[[#This Row],[EDAD]]), EDA!$E$8, moras[[#This Row],[EDAD]])</f>
        <v>52</v>
      </c>
      <c r="P3564" s="14" t="str">
        <f>IF(
    OR(ISBLANK(moras[[#This Row],[TIPO_ASEGURAMIENTO]]), moras[[#This Row],[TIPO_ASEGURAMIENTO]]=""),
    EDA!$A$32,
    moras[[#This Row],[TIPO_ASEGURAMIENTO]]
)</f>
        <v>TRABAJADOR INDEPENDIENTE</v>
      </c>
    </row>
    <row r="3565" spans="1:16" x14ac:dyDescent="0.3">
      <c r="A3565">
        <v>3564</v>
      </c>
      <c r="B3565" t="s">
        <v>9</v>
      </c>
      <c r="C3565">
        <v>1976257</v>
      </c>
      <c r="D3565" t="s">
        <v>10</v>
      </c>
      <c r="E3565" t="s">
        <v>11</v>
      </c>
      <c r="F3565" t="s">
        <v>12</v>
      </c>
      <c r="G3565" t="s">
        <v>13</v>
      </c>
      <c r="H3565" t="s">
        <v>13</v>
      </c>
      <c r="I3565">
        <v>56</v>
      </c>
      <c r="J3565">
        <f>ABS((I3565-EDA!$A$15)/EDA!$B$15)</f>
        <v>0.9894949339386423</v>
      </c>
      <c r="K3565" t="str">
        <f t="shared" si="55"/>
        <v>No</v>
      </c>
      <c r="L3565">
        <f>ABS((C3565-EDA!$F$15)/EDA!$G$15)</f>
        <v>0.34276766066389702</v>
      </c>
      <c r="M3565" t="str">
        <f>IF(moras[[#This Row],[Z-Score Salario]]&gt;1.96, "Sí", "No")</f>
        <v>No</v>
      </c>
      <c r="N3565" s="14">
        <f>IF(ISBLANK(moras[[#This Row],[SALARIO]]), EDA!$M$8, moras[[#This Row],[SALARIO]])</f>
        <v>1976257</v>
      </c>
      <c r="O3565" s="14">
        <f xml:space="preserve"> IF(ISBLANK(moras[[#This Row],[EDAD]]), EDA!$E$8, moras[[#This Row],[EDAD]])</f>
        <v>56</v>
      </c>
      <c r="P3565" s="14" t="str">
        <f>IF(
    OR(ISBLANK(moras[[#This Row],[TIPO_ASEGURAMIENTO]]), moras[[#This Row],[TIPO_ASEGURAMIENTO]]=""),
    EDA!$A$32,
    moras[[#This Row],[TIPO_ASEGURAMIENTO]]
)</f>
        <v>ASALARIADO</v>
      </c>
    </row>
    <row r="3566" spans="1:16" x14ac:dyDescent="0.3">
      <c r="A3566">
        <v>3565</v>
      </c>
      <c r="B3566" t="s">
        <v>15</v>
      </c>
      <c r="C3566">
        <v>361783</v>
      </c>
      <c r="D3566" t="s">
        <v>17</v>
      </c>
      <c r="E3566" t="s">
        <v>16</v>
      </c>
      <c r="F3566" t="s">
        <v>12</v>
      </c>
      <c r="G3566" t="s">
        <v>13</v>
      </c>
      <c r="H3566" t="s">
        <v>12</v>
      </c>
      <c r="I3566">
        <v>52</v>
      </c>
      <c r="J3566">
        <f>ABS((I3566-EDA!$A$15)/EDA!$B$15)</f>
        <v>0.70719361363009237</v>
      </c>
      <c r="K3566" t="str">
        <f t="shared" si="55"/>
        <v>No</v>
      </c>
      <c r="L3566">
        <f>ABS((C3566-EDA!$F$15)/EDA!$G$15)</f>
        <v>0.36963364770078566</v>
      </c>
      <c r="M3566" t="str">
        <f>IF(moras[[#This Row],[Z-Score Salario]]&gt;1.96, "Sí", "No")</f>
        <v>No</v>
      </c>
      <c r="N3566" s="14">
        <f>IF(ISBLANK(moras[[#This Row],[SALARIO]]), EDA!$M$8, moras[[#This Row],[SALARIO]])</f>
        <v>361783</v>
      </c>
      <c r="O3566" s="14">
        <f xml:space="preserve"> IF(ISBLANK(moras[[#This Row],[EDAD]]), EDA!$E$8, moras[[#This Row],[EDAD]])</f>
        <v>52</v>
      </c>
      <c r="P3566" s="14" t="str">
        <f>IF(
    OR(ISBLANK(moras[[#This Row],[TIPO_ASEGURAMIENTO]]), moras[[#This Row],[TIPO_ASEGURAMIENTO]]=""),
    EDA!$A$32,
    moras[[#This Row],[TIPO_ASEGURAMIENTO]]
)</f>
        <v>ASEGURADO VOLUNTARIO</v>
      </c>
    </row>
    <row r="3567" spans="1:16" x14ac:dyDescent="0.3">
      <c r="A3567">
        <v>3566</v>
      </c>
      <c r="B3567" t="s">
        <v>9</v>
      </c>
      <c r="C3567">
        <v>27998518</v>
      </c>
      <c r="D3567" t="s">
        <v>10</v>
      </c>
      <c r="E3567" t="s">
        <v>16</v>
      </c>
      <c r="F3567" t="s">
        <v>12</v>
      </c>
      <c r="G3567" t="s">
        <v>13</v>
      </c>
      <c r="H3567" t="s">
        <v>13</v>
      </c>
      <c r="I3567">
        <v>37</v>
      </c>
      <c r="J3567">
        <f>ABS((I3567-EDA!$A$15)/EDA!$B$15)</f>
        <v>0.35143633752697023</v>
      </c>
      <c r="K3567" t="str">
        <f t="shared" si="55"/>
        <v>No</v>
      </c>
      <c r="L3567">
        <f>ABS((C3567-EDA!$F$15)/EDA!$G$15)</f>
        <v>9.0261131807540973E-2</v>
      </c>
      <c r="M3567" t="str">
        <f>IF(moras[[#This Row],[Z-Score Salario]]&gt;1.96, "Sí", "No")</f>
        <v>No</v>
      </c>
      <c r="N3567" s="14">
        <f>IF(ISBLANK(moras[[#This Row],[SALARIO]]), EDA!$M$8, moras[[#This Row],[SALARIO]])</f>
        <v>27998518</v>
      </c>
      <c r="O3567" s="14">
        <f xml:space="preserve"> IF(ISBLANK(moras[[#This Row],[EDAD]]), EDA!$E$8, moras[[#This Row],[EDAD]])</f>
        <v>37</v>
      </c>
      <c r="P3567" s="14" t="str">
        <f>IF(
    OR(ISBLANK(moras[[#This Row],[TIPO_ASEGURAMIENTO]]), moras[[#This Row],[TIPO_ASEGURAMIENTO]]=""),
    EDA!$A$32,
    moras[[#This Row],[TIPO_ASEGURAMIENTO]]
)</f>
        <v>ASALARIADO</v>
      </c>
    </row>
    <row r="3568" spans="1:16" x14ac:dyDescent="0.3">
      <c r="A3568">
        <v>3567</v>
      </c>
      <c r="B3568" t="s">
        <v>9</v>
      </c>
      <c r="C3568">
        <v>380000</v>
      </c>
      <c r="D3568" t="s">
        <v>10</v>
      </c>
      <c r="E3568" t="s">
        <v>16</v>
      </c>
      <c r="F3568" t="s">
        <v>12</v>
      </c>
      <c r="G3568" t="s">
        <v>13</v>
      </c>
      <c r="H3568" t="s">
        <v>13</v>
      </c>
      <c r="I3568">
        <v>32</v>
      </c>
      <c r="J3568">
        <f>ABS((I3568-EDA!$A$15)/EDA!$B$15)</f>
        <v>0.70431298791265773</v>
      </c>
      <c r="K3568" t="str">
        <f t="shared" si="55"/>
        <v>No</v>
      </c>
      <c r="L3568">
        <f>ABS((C3568-EDA!$F$15)/EDA!$G$15)</f>
        <v>0.36933050396118317</v>
      </c>
      <c r="M3568" t="str">
        <f>IF(moras[[#This Row],[Z-Score Salario]]&gt;1.96, "Sí", "No")</f>
        <v>No</v>
      </c>
      <c r="N3568" s="14">
        <f>IF(ISBLANK(moras[[#This Row],[SALARIO]]), EDA!$M$8, moras[[#This Row],[SALARIO]])</f>
        <v>380000</v>
      </c>
      <c r="O3568" s="14">
        <f xml:space="preserve"> IF(ISBLANK(moras[[#This Row],[EDAD]]), EDA!$E$8, moras[[#This Row],[EDAD]])</f>
        <v>32</v>
      </c>
      <c r="P3568" s="14" t="str">
        <f>IF(
    OR(ISBLANK(moras[[#This Row],[TIPO_ASEGURAMIENTO]]), moras[[#This Row],[TIPO_ASEGURAMIENTO]]=""),
    EDA!$A$32,
    moras[[#This Row],[TIPO_ASEGURAMIENTO]]
)</f>
        <v>ASALARIADO</v>
      </c>
    </row>
    <row r="3569" spans="1:16" x14ac:dyDescent="0.3">
      <c r="A3569">
        <v>3568</v>
      </c>
      <c r="B3569" t="s">
        <v>9</v>
      </c>
      <c r="C3569">
        <v>410264712</v>
      </c>
      <c r="D3569" t="s">
        <v>10</v>
      </c>
      <c r="E3569" t="s">
        <v>16</v>
      </c>
      <c r="F3569" t="s">
        <v>12</v>
      </c>
      <c r="G3569" t="s">
        <v>13</v>
      </c>
      <c r="H3569" t="s">
        <v>13</v>
      </c>
      <c r="I3569">
        <v>34</v>
      </c>
      <c r="J3569">
        <f>ABS((I3569-EDA!$A$15)/EDA!$B$15)</f>
        <v>0.56316232775838282</v>
      </c>
      <c r="K3569" t="str">
        <f t="shared" si="55"/>
        <v>No</v>
      </c>
      <c r="L3569">
        <f>ABS((C3569-EDA!$F$15)/EDA!$G$15)</f>
        <v>6.4514404463364539</v>
      </c>
      <c r="M3569" t="str">
        <f>IF(moras[[#This Row],[Z-Score Salario]]&gt;1.96, "Sí", "No")</f>
        <v>Sí</v>
      </c>
      <c r="N3569" s="14">
        <f>IF(ISBLANK(moras[[#This Row],[SALARIO]]), EDA!$M$8, moras[[#This Row],[SALARIO]])</f>
        <v>410264712</v>
      </c>
      <c r="O3569" s="14">
        <f xml:space="preserve"> IF(ISBLANK(moras[[#This Row],[EDAD]]), EDA!$E$8, moras[[#This Row],[EDAD]])</f>
        <v>34</v>
      </c>
      <c r="P3569" s="14" t="str">
        <f>IF(
    OR(ISBLANK(moras[[#This Row],[TIPO_ASEGURAMIENTO]]), moras[[#This Row],[TIPO_ASEGURAMIENTO]]=""),
    EDA!$A$32,
    moras[[#This Row],[TIPO_ASEGURAMIENTO]]
)</f>
        <v>ASALARIADO</v>
      </c>
    </row>
    <row r="3570" spans="1:16" x14ac:dyDescent="0.3">
      <c r="A3570">
        <v>3569</v>
      </c>
      <c r="B3570" t="s">
        <v>15</v>
      </c>
      <c r="C3570">
        <v>4136188</v>
      </c>
      <c r="D3570" t="s">
        <v>10</v>
      </c>
      <c r="E3570" t="s">
        <v>16</v>
      </c>
      <c r="F3570" t="s">
        <v>12</v>
      </c>
      <c r="G3570" t="s">
        <v>13</v>
      </c>
      <c r="H3570" t="s">
        <v>13</v>
      </c>
      <c r="I3570">
        <v>35</v>
      </c>
      <c r="J3570">
        <f>ABS((I3570-EDA!$A$15)/EDA!$B$15)</f>
        <v>0.49258699768124525</v>
      </c>
      <c r="K3570" t="str">
        <f t="shared" si="55"/>
        <v>No</v>
      </c>
      <c r="L3570">
        <f>ABS((C3570-EDA!$F$15)/EDA!$G$15)</f>
        <v>0.30682488410225911</v>
      </c>
      <c r="M3570" t="str">
        <f>IF(moras[[#This Row],[Z-Score Salario]]&gt;1.96, "Sí", "No")</f>
        <v>No</v>
      </c>
      <c r="N3570" s="14">
        <f>IF(ISBLANK(moras[[#This Row],[SALARIO]]), EDA!$M$8, moras[[#This Row],[SALARIO]])</f>
        <v>4136188</v>
      </c>
      <c r="O3570" s="14">
        <f xml:space="preserve"> IF(ISBLANK(moras[[#This Row],[EDAD]]), EDA!$E$8, moras[[#This Row],[EDAD]])</f>
        <v>35</v>
      </c>
      <c r="P3570" s="14" t="str">
        <f>IF(
    OR(ISBLANK(moras[[#This Row],[TIPO_ASEGURAMIENTO]]), moras[[#This Row],[TIPO_ASEGURAMIENTO]]=""),
    EDA!$A$32,
    moras[[#This Row],[TIPO_ASEGURAMIENTO]]
)</f>
        <v>ASALARIADO</v>
      </c>
    </row>
    <row r="3571" spans="1:16" x14ac:dyDescent="0.3">
      <c r="A3571">
        <v>3570</v>
      </c>
      <c r="B3571" t="s">
        <v>9</v>
      </c>
      <c r="C3571">
        <v>295477</v>
      </c>
      <c r="D3571" t="s">
        <v>10</v>
      </c>
      <c r="E3571" t="s">
        <v>11</v>
      </c>
      <c r="F3571" t="s">
        <v>12</v>
      </c>
      <c r="G3571" t="s">
        <v>13</v>
      </c>
      <c r="H3571" t="s">
        <v>13</v>
      </c>
      <c r="I3571">
        <v>28</v>
      </c>
      <c r="J3571">
        <f>ABS((I3571-EDA!$A$15)/EDA!$B$15)</f>
        <v>0.98661430822120777</v>
      </c>
      <c r="K3571" t="str">
        <f t="shared" si="55"/>
        <v>No</v>
      </c>
      <c r="L3571">
        <f>ABS((C3571-EDA!$F$15)/EDA!$G$15)</f>
        <v>0.37073702634699984</v>
      </c>
      <c r="M3571" t="str">
        <f>IF(moras[[#This Row],[Z-Score Salario]]&gt;1.96, "Sí", "No")</f>
        <v>No</v>
      </c>
      <c r="N3571" s="14">
        <f>IF(ISBLANK(moras[[#This Row],[SALARIO]]), EDA!$M$8, moras[[#This Row],[SALARIO]])</f>
        <v>295477</v>
      </c>
      <c r="O3571" s="14">
        <f xml:space="preserve"> IF(ISBLANK(moras[[#This Row],[EDAD]]), EDA!$E$8, moras[[#This Row],[EDAD]])</f>
        <v>28</v>
      </c>
      <c r="P3571" s="14" t="str">
        <f>IF(
    OR(ISBLANK(moras[[#This Row],[TIPO_ASEGURAMIENTO]]), moras[[#This Row],[TIPO_ASEGURAMIENTO]]=""),
    EDA!$A$32,
    moras[[#This Row],[TIPO_ASEGURAMIENTO]]
)</f>
        <v>ASALARIADO</v>
      </c>
    </row>
    <row r="3572" spans="1:16" x14ac:dyDescent="0.3">
      <c r="A3572">
        <v>3571</v>
      </c>
      <c r="B3572" t="s">
        <v>9</v>
      </c>
      <c r="C3572">
        <v>300018</v>
      </c>
      <c r="D3572" t="s">
        <v>18</v>
      </c>
      <c r="E3572" t="s">
        <v>16</v>
      </c>
      <c r="F3572" t="s">
        <v>12</v>
      </c>
      <c r="G3572" t="s">
        <v>13</v>
      </c>
      <c r="H3572" t="s">
        <v>13</v>
      </c>
      <c r="I3572">
        <v>61</v>
      </c>
      <c r="J3572">
        <f>ABS((I3572-EDA!$A$15)/EDA!$B$15)</f>
        <v>1.3423715843243298</v>
      </c>
      <c r="K3572" t="str">
        <f t="shared" si="55"/>
        <v>No</v>
      </c>
      <c r="L3572">
        <f>ABS((C3572-EDA!$F$15)/EDA!$G$15)</f>
        <v>0.37066146090145252</v>
      </c>
      <c r="M3572" t="str">
        <f>IF(moras[[#This Row],[Z-Score Salario]]&gt;1.96, "Sí", "No")</f>
        <v>No</v>
      </c>
      <c r="N3572" s="14">
        <f>IF(ISBLANK(moras[[#This Row],[SALARIO]]), EDA!$M$8, moras[[#This Row],[SALARIO]])</f>
        <v>300018</v>
      </c>
      <c r="O3572" s="14">
        <f xml:space="preserve"> IF(ISBLANK(moras[[#This Row],[EDAD]]), EDA!$E$8, moras[[#This Row],[EDAD]])</f>
        <v>61</v>
      </c>
      <c r="P3572" s="14" t="str">
        <f>IF(
    OR(ISBLANK(moras[[#This Row],[TIPO_ASEGURAMIENTO]]), moras[[#This Row],[TIPO_ASEGURAMIENTO]]=""),
    EDA!$A$32,
    moras[[#This Row],[TIPO_ASEGURAMIENTO]]
)</f>
        <v>TRABAJADOR INDEPENDIENTE</v>
      </c>
    </row>
    <row r="3573" spans="1:16" x14ac:dyDescent="0.3">
      <c r="A3573">
        <v>3572</v>
      </c>
      <c r="B3573" t="s">
        <v>9</v>
      </c>
      <c r="C3573">
        <v>1700000</v>
      </c>
      <c r="D3573" t="s">
        <v>10</v>
      </c>
      <c r="E3573" t="s">
        <v>16</v>
      </c>
      <c r="F3573" t="s">
        <v>12</v>
      </c>
      <c r="G3573" t="s">
        <v>13</v>
      </c>
      <c r="H3573" t="s">
        <v>13</v>
      </c>
      <c r="I3573">
        <v>45</v>
      </c>
      <c r="J3573">
        <f>ABS((I3573-EDA!$A$15)/EDA!$B$15)</f>
        <v>0.21316630309012977</v>
      </c>
      <c r="K3573" t="str">
        <f t="shared" si="55"/>
        <v>No</v>
      </c>
      <c r="L3573">
        <f>ABS((C3573-EDA!$F$15)/EDA!$G$15)</f>
        <v>0.34736477215708289</v>
      </c>
      <c r="M3573" t="str">
        <f>IF(moras[[#This Row],[Z-Score Salario]]&gt;1.96, "Sí", "No")</f>
        <v>No</v>
      </c>
      <c r="N3573" s="14">
        <f>IF(ISBLANK(moras[[#This Row],[SALARIO]]), EDA!$M$8, moras[[#This Row],[SALARIO]])</f>
        <v>1700000</v>
      </c>
      <c r="O3573" s="14">
        <f xml:space="preserve"> IF(ISBLANK(moras[[#This Row],[EDAD]]), EDA!$E$8, moras[[#This Row],[EDAD]])</f>
        <v>45</v>
      </c>
      <c r="P3573" s="14" t="str">
        <f>IF(
    OR(ISBLANK(moras[[#This Row],[TIPO_ASEGURAMIENTO]]), moras[[#This Row],[TIPO_ASEGURAMIENTO]]=""),
    EDA!$A$32,
    moras[[#This Row],[TIPO_ASEGURAMIENTO]]
)</f>
        <v>ASALARIADO</v>
      </c>
    </row>
    <row r="3574" spans="1:16" x14ac:dyDescent="0.3">
      <c r="A3574">
        <v>3573</v>
      </c>
      <c r="B3574" t="s">
        <v>15</v>
      </c>
      <c r="C3574">
        <v>126097705</v>
      </c>
      <c r="D3574" t="s">
        <v>10</v>
      </c>
      <c r="E3574" t="s">
        <v>11</v>
      </c>
      <c r="F3574" t="s">
        <v>12</v>
      </c>
      <c r="G3574" t="s">
        <v>13</v>
      </c>
      <c r="H3574" t="s">
        <v>13</v>
      </c>
      <c r="I3574">
        <v>38</v>
      </c>
      <c r="J3574">
        <f>ABS((I3574-EDA!$A$15)/EDA!$B$15)</f>
        <v>0.28086100744983278</v>
      </c>
      <c r="K3574" t="str">
        <f t="shared" si="55"/>
        <v>No</v>
      </c>
      <c r="L3574">
        <f>ABS((C3574-EDA!$F$15)/EDA!$G$15)</f>
        <v>1.7227008529001773</v>
      </c>
      <c r="M3574" t="str">
        <f>IF(moras[[#This Row],[Z-Score Salario]]&gt;1.96, "Sí", "No")</f>
        <v>No</v>
      </c>
      <c r="N3574" s="14">
        <f>IF(ISBLANK(moras[[#This Row],[SALARIO]]), EDA!$M$8, moras[[#This Row],[SALARIO]])</f>
        <v>126097705</v>
      </c>
      <c r="O3574" s="14">
        <f xml:space="preserve"> IF(ISBLANK(moras[[#This Row],[EDAD]]), EDA!$E$8, moras[[#This Row],[EDAD]])</f>
        <v>38</v>
      </c>
      <c r="P3574" s="14" t="str">
        <f>IF(
    OR(ISBLANK(moras[[#This Row],[TIPO_ASEGURAMIENTO]]), moras[[#This Row],[TIPO_ASEGURAMIENTO]]=""),
    EDA!$A$32,
    moras[[#This Row],[TIPO_ASEGURAMIENTO]]
)</f>
        <v>ASALARIADO</v>
      </c>
    </row>
    <row r="3575" spans="1:16" x14ac:dyDescent="0.3">
      <c r="A3575">
        <v>3574</v>
      </c>
      <c r="B3575" t="s">
        <v>9</v>
      </c>
      <c r="C3575">
        <v>88505325</v>
      </c>
      <c r="D3575" t="s">
        <v>10</v>
      </c>
      <c r="E3575" t="s">
        <v>11</v>
      </c>
      <c r="F3575" t="s">
        <v>12</v>
      </c>
      <c r="G3575" t="s">
        <v>13</v>
      </c>
      <c r="H3575" t="s">
        <v>13</v>
      </c>
      <c r="I3575">
        <v>35</v>
      </c>
      <c r="J3575">
        <f>ABS((I3575-EDA!$A$15)/EDA!$B$15)</f>
        <v>0.49258699768124525</v>
      </c>
      <c r="K3575" t="str">
        <f t="shared" si="55"/>
        <v>No</v>
      </c>
      <c r="L3575">
        <f>ABS((C3575-EDA!$F$15)/EDA!$G$15)</f>
        <v>1.0971371127806144</v>
      </c>
      <c r="M3575" t="str">
        <f>IF(moras[[#This Row],[Z-Score Salario]]&gt;1.96, "Sí", "No")</f>
        <v>No</v>
      </c>
      <c r="N3575" s="14">
        <f>IF(ISBLANK(moras[[#This Row],[SALARIO]]), EDA!$M$8, moras[[#This Row],[SALARIO]])</f>
        <v>88505325</v>
      </c>
      <c r="O3575" s="14">
        <f xml:space="preserve"> IF(ISBLANK(moras[[#This Row],[EDAD]]), EDA!$E$8, moras[[#This Row],[EDAD]])</f>
        <v>35</v>
      </c>
      <c r="P3575" s="14" t="str">
        <f>IF(
    OR(ISBLANK(moras[[#This Row],[TIPO_ASEGURAMIENTO]]), moras[[#This Row],[TIPO_ASEGURAMIENTO]]=""),
    EDA!$A$32,
    moras[[#This Row],[TIPO_ASEGURAMIENTO]]
)</f>
        <v>ASALARIADO</v>
      </c>
    </row>
    <row r="3576" spans="1:16" x14ac:dyDescent="0.3">
      <c r="A3576">
        <v>3575</v>
      </c>
      <c r="B3576" t="s">
        <v>15</v>
      </c>
      <c r="C3576">
        <v>7220107</v>
      </c>
      <c r="D3576" t="s">
        <v>10</v>
      </c>
      <c r="E3576" t="s">
        <v>11</v>
      </c>
      <c r="F3576" t="s">
        <v>12</v>
      </c>
      <c r="G3576" t="s">
        <v>13</v>
      </c>
      <c r="H3576" t="s">
        <v>13</v>
      </c>
      <c r="I3576">
        <v>36</v>
      </c>
      <c r="J3576">
        <f>ABS((I3576-EDA!$A$15)/EDA!$B$15)</f>
        <v>0.42201166760410774</v>
      </c>
      <c r="K3576" t="str">
        <f t="shared" si="55"/>
        <v>No</v>
      </c>
      <c r="L3576">
        <f>ABS((C3576-EDA!$F$15)/EDA!$G$15)</f>
        <v>0.2555062949662219</v>
      </c>
      <c r="M3576" t="str">
        <f>IF(moras[[#This Row],[Z-Score Salario]]&gt;1.96, "Sí", "No")</f>
        <v>No</v>
      </c>
      <c r="N3576" s="14">
        <f>IF(ISBLANK(moras[[#This Row],[SALARIO]]), EDA!$M$8, moras[[#This Row],[SALARIO]])</f>
        <v>7220107</v>
      </c>
      <c r="O3576" s="14">
        <f xml:space="preserve"> IF(ISBLANK(moras[[#This Row],[EDAD]]), EDA!$E$8, moras[[#This Row],[EDAD]])</f>
        <v>36</v>
      </c>
      <c r="P3576" s="14" t="str">
        <f>IF(
    OR(ISBLANK(moras[[#This Row],[TIPO_ASEGURAMIENTO]]), moras[[#This Row],[TIPO_ASEGURAMIENTO]]=""),
    EDA!$A$32,
    moras[[#This Row],[TIPO_ASEGURAMIENTO]]
)</f>
        <v>ASALARIADO</v>
      </c>
    </row>
    <row r="3577" spans="1:16" x14ac:dyDescent="0.3">
      <c r="A3577">
        <v>3576</v>
      </c>
      <c r="B3577" t="s">
        <v>9</v>
      </c>
      <c r="C3577">
        <v>413166</v>
      </c>
      <c r="D3577" t="s">
        <v>10</v>
      </c>
      <c r="E3577" t="s">
        <v>16</v>
      </c>
      <c r="F3577" t="s">
        <v>12</v>
      </c>
      <c r="G3577" t="s">
        <v>13</v>
      </c>
      <c r="H3577" t="s">
        <v>13</v>
      </c>
      <c r="I3577">
        <v>49</v>
      </c>
      <c r="J3577">
        <f>ABS((I3577-EDA!$A$15)/EDA!$B$15)</f>
        <v>0.49546762339867978</v>
      </c>
      <c r="K3577" t="str">
        <f t="shared" si="55"/>
        <v>No</v>
      </c>
      <c r="L3577">
        <f>ABS((C3577-EDA!$F$15)/EDA!$G$15)</f>
        <v>0.36877859830889925</v>
      </c>
      <c r="M3577" t="str">
        <f>IF(moras[[#This Row],[Z-Score Salario]]&gt;1.96, "Sí", "No")</f>
        <v>No</v>
      </c>
      <c r="N3577" s="14">
        <f>IF(ISBLANK(moras[[#This Row],[SALARIO]]), EDA!$M$8, moras[[#This Row],[SALARIO]])</f>
        <v>413166</v>
      </c>
      <c r="O3577" s="14">
        <f xml:space="preserve"> IF(ISBLANK(moras[[#This Row],[EDAD]]), EDA!$E$8, moras[[#This Row],[EDAD]])</f>
        <v>49</v>
      </c>
      <c r="P3577" s="14" t="str">
        <f>IF(
    OR(ISBLANK(moras[[#This Row],[TIPO_ASEGURAMIENTO]]), moras[[#This Row],[TIPO_ASEGURAMIENTO]]=""),
    EDA!$A$32,
    moras[[#This Row],[TIPO_ASEGURAMIENTO]]
)</f>
        <v>ASALARIADO</v>
      </c>
    </row>
    <row r="3578" spans="1:16" x14ac:dyDescent="0.3">
      <c r="A3578">
        <v>3577</v>
      </c>
      <c r="B3578" t="s">
        <v>15</v>
      </c>
      <c r="C3578">
        <v>356455</v>
      </c>
      <c r="D3578" t="s">
        <v>18</v>
      </c>
      <c r="E3578" t="s">
        <v>16</v>
      </c>
      <c r="F3578" t="s">
        <v>12</v>
      </c>
      <c r="G3578" t="s">
        <v>12</v>
      </c>
      <c r="H3578" t="s">
        <v>12</v>
      </c>
      <c r="I3578">
        <v>52</v>
      </c>
      <c r="J3578">
        <f>ABS((I3578-EDA!$A$15)/EDA!$B$15)</f>
        <v>0.70719361363009237</v>
      </c>
      <c r="K3578" t="str">
        <f t="shared" si="55"/>
        <v>No</v>
      </c>
      <c r="L3578">
        <f>ABS((C3578-EDA!$F$15)/EDA!$G$15)</f>
        <v>0.36972230938188588</v>
      </c>
      <c r="M3578" t="str">
        <f>IF(moras[[#This Row],[Z-Score Salario]]&gt;1.96, "Sí", "No")</f>
        <v>No</v>
      </c>
      <c r="N3578" s="14">
        <f>IF(ISBLANK(moras[[#This Row],[SALARIO]]), EDA!$M$8, moras[[#This Row],[SALARIO]])</f>
        <v>356455</v>
      </c>
      <c r="O3578" s="14">
        <f xml:space="preserve"> IF(ISBLANK(moras[[#This Row],[EDAD]]), EDA!$E$8, moras[[#This Row],[EDAD]])</f>
        <v>52</v>
      </c>
      <c r="P3578" s="14" t="str">
        <f>IF(
    OR(ISBLANK(moras[[#This Row],[TIPO_ASEGURAMIENTO]]), moras[[#This Row],[TIPO_ASEGURAMIENTO]]=""),
    EDA!$A$32,
    moras[[#This Row],[TIPO_ASEGURAMIENTO]]
)</f>
        <v>TRABAJADOR INDEPENDIENTE</v>
      </c>
    </row>
    <row r="3579" spans="1:16" x14ac:dyDescent="0.3">
      <c r="A3579">
        <v>3578</v>
      </c>
      <c r="B3579" t="s">
        <v>15</v>
      </c>
      <c r="C3579">
        <v>300000</v>
      </c>
      <c r="D3579" t="s">
        <v>10</v>
      </c>
      <c r="E3579" t="s">
        <v>16</v>
      </c>
      <c r="F3579" t="s">
        <v>12</v>
      </c>
      <c r="G3579" t="s">
        <v>12</v>
      </c>
      <c r="H3579" t="s">
        <v>13</v>
      </c>
      <c r="I3579">
        <v>41</v>
      </c>
      <c r="J3579">
        <f>ABS((I3579-EDA!$A$15)/EDA!$B$15)</f>
        <v>6.9135017218420233E-2</v>
      </c>
      <c r="K3579" t="str">
        <f t="shared" si="55"/>
        <v>No</v>
      </c>
      <c r="L3579">
        <f>ABS((C3579-EDA!$F$15)/EDA!$G$15)</f>
        <v>0.37066176043415894</v>
      </c>
      <c r="M3579" t="str">
        <f>IF(moras[[#This Row],[Z-Score Salario]]&gt;1.96, "Sí", "No")</f>
        <v>No</v>
      </c>
      <c r="N3579" s="14">
        <f>IF(ISBLANK(moras[[#This Row],[SALARIO]]), EDA!$M$8, moras[[#This Row],[SALARIO]])</f>
        <v>300000</v>
      </c>
      <c r="O3579" s="14">
        <f xml:space="preserve"> IF(ISBLANK(moras[[#This Row],[EDAD]]), EDA!$E$8, moras[[#This Row],[EDAD]])</f>
        <v>41</v>
      </c>
      <c r="P3579" s="14" t="str">
        <f>IF(
    OR(ISBLANK(moras[[#This Row],[TIPO_ASEGURAMIENTO]]), moras[[#This Row],[TIPO_ASEGURAMIENTO]]=""),
    EDA!$A$32,
    moras[[#This Row],[TIPO_ASEGURAMIENTO]]
)</f>
        <v>ASALARIADO</v>
      </c>
    </row>
    <row r="3580" spans="1:16" x14ac:dyDescent="0.3">
      <c r="A3580">
        <v>3579</v>
      </c>
      <c r="B3580" t="s">
        <v>15</v>
      </c>
      <c r="C3580">
        <v>1642647</v>
      </c>
      <c r="D3580" t="s">
        <v>14</v>
      </c>
      <c r="E3580" t="s">
        <v>11</v>
      </c>
      <c r="F3580" t="s">
        <v>12</v>
      </c>
      <c r="G3580" t="s">
        <v>13</v>
      </c>
      <c r="H3580" t="s">
        <v>13</v>
      </c>
      <c r="I3580">
        <v>59</v>
      </c>
      <c r="J3580">
        <f>ABS((I3580-EDA!$A$15)/EDA!$B$15)</f>
        <v>1.2012209241700549</v>
      </c>
      <c r="K3580" t="str">
        <f t="shared" si="55"/>
        <v>No</v>
      </c>
      <c r="L3580">
        <f>ABS((C3580-EDA!$F$15)/EDA!$G$15)</f>
        <v>0.34831916656326517</v>
      </c>
      <c r="M3580" t="str">
        <f>IF(moras[[#This Row],[Z-Score Salario]]&gt;1.96, "Sí", "No")</f>
        <v>No</v>
      </c>
      <c r="N3580" s="14">
        <f>IF(ISBLANK(moras[[#This Row],[SALARIO]]), EDA!$M$8, moras[[#This Row],[SALARIO]])</f>
        <v>1642647</v>
      </c>
      <c r="O3580" s="14">
        <f xml:space="preserve"> IF(ISBLANK(moras[[#This Row],[EDAD]]), EDA!$E$8, moras[[#This Row],[EDAD]])</f>
        <v>59</v>
      </c>
      <c r="P3580" s="14" t="str">
        <f>IF(
    OR(ISBLANK(moras[[#This Row],[TIPO_ASEGURAMIENTO]]), moras[[#This Row],[TIPO_ASEGURAMIENTO]]=""),
    EDA!$A$32,
    moras[[#This Row],[TIPO_ASEGURAMIENTO]]
)</f>
        <v>PENSIONADOS EN SU PROPIO SISTEMA</v>
      </c>
    </row>
    <row r="3581" spans="1:16" x14ac:dyDescent="0.3">
      <c r="A3581">
        <v>3580</v>
      </c>
      <c r="B3581" t="s">
        <v>9</v>
      </c>
      <c r="C3581">
        <v>200000</v>
      </c>
      <c r="D3581" t="s">
        <v>10</v>
      </c>
      <c r="E3581" t="s">
        <v>16</v>
      </c>
      <c r="F3581" t="s">
        <v>12</v>
      </c>
      <c r="G3581" t="s">
        <v>13</v>
      </c>
      <c r="H3581" t="s">
        <v>12</v>
      </c>
      <c r="I3581">
        <v>30</v>
      </c>
      <c r="J3581">
        <f>ABS((I3581-EDA!$A$15)/EDA!$B$15)</f>
        <v>0.84546364806693275</v>
      </c>
      <c r="K3581" t="str">
        <f t="shared" si="55"/>
        <v>No</v>
      </c>
      <c r="L3581">
        <f>ABS((C3581-EDA!$F$15)/EDA!$G$15)</f>
        <v>0.3723258310253787</v>
      </c>
      <c r="M3581" t="str">
        <f>IF(moras[[#This Row],[Z-Score Salario]]&gt;1.96, "Sí", "No")</f>
        <v>No</v>
      </c>
      <c r="N3581" s="14">
        <f>IF(ISBLANK(moras[[#This Row],[SALARIO]]), EDA!$M$8, moras[[#This Row],[SALARIO]])</f>
        <v>200000</v>
      </c>
      <c r="O3581" s="14">
        <f xml:space="preserve"> IF(ISBLANK(moras[[#This Row],[EDAD]]), EDA!$E$8, moras[[#This Row],[EDAD]])</f>
        <v>30</v>
      </c>
      <c r="P3581" s="14" t="str">
        <f>IF(
    OR(ISBLANK(moras[[#This Row],[TIPO_ASEGURAMIENTO]]), moras[[#This Row],[TIPO_ASEGURAMIENTO]]=""),
    EDA!$A$32,
    moras[[#This Row],[TIPO_ASEGURAMIENTO]]
)</f>
        <v>ASALARIADO</v>
      </c>
    </row>
    <row r="3582" spans="1:16" x14ac:dyDescent="0.3">
      <c r="A3582">
        <v>3581</v>
      </c>
      <c r="B3582" t="s">
        <v>9</v>
      </c>
      <c r="C3582">
        <v>278030</v>
      </c>
      <c r="D3582" t="s">
        <v>19</v>
      </c>
      <c r="E3582" t="s">
        <v>16</v>
      </c>
      <c r="F3582" t="s">
        <v>12</v>
      </c>
      <c r="G3582" t="s">
        <v>13</v>
      </c>
      <c r="H3582" t="s">
        <v>13</v>
      </c>
      <c r="I3582">
        <v>35</v>
      </c>
      <c r="J3582">
        <f>ABS((I3582-EDA!$A$15)/EDA!$B$15)</f>
        <v>0.49258699768124525</v>
      </c>
      <c r="K3582" t="str">
        <f t="shared" si="55"/>
        <v>No</v>
      </c>
      <c r="L3582">
        <f>ABS((C3582-EDA!$F$15)/EDA!$G$15)</f>
        <v>0.37102735674304993</v>
      </c>
      <c r="M3582" t="str">
        <f>IF(moras[[#This Row],[Z-Score Salario]]&gt;1.96, "Sí", "No")</f>
        <v>No</v>
      </c>
      <c r="N3582" s="14">
        <f>IF(ISBLANK(moras[[#This Row],[SALARIO]]), EDA!$M$8, moras[[#This Row],[SALARIO]])</f>
        <v>278030</v>
      </c>
      <c r="O3582" s="14">
        <f xml:space="preserve"> IF(ISBLANK(moras[[#This Row],[EDAD]]), EDA!$E$8, moras[[#This Row],[EDAD]])</f>
        <v>35</v>
      </c>
      <c r="P3582" s="14" t="str">
        <f>IF(
    OR(ISBLANK(moras[[#This Row],[TIPO_ASEGURAMIENTO]]), moras[[#This Row],[TIPO_ASEGURAMIENTO]]=""),
    EDA!$A$32,
    moras[[#This Row],[TIPO_ASEGURAMIENTO]]
)</f>
        <v>CONVENIOS ESPECIALES DE TRABAJADORES INDEPENDIENTES</v>
      </c>
    </row>
    <row r="3583" spans="1:16" x14ac:dyDescent="0.3">
      <c r="A3583">
        <v>3582</v>
      </c>
      <c r="B3583" t="s">
        <v>9</v>
      </c>
      <c r="C3583">
        <v>1184243</v>
      </c>
      <c r="D3583" t="s">
        <v>10</v>
      </c>
      <c r="E3583" t="s">
        <v>11</v>
      </c>
      <c r="F3583" t="s">
        <v>12</v>
      </c>
      <c r="G3583" t="s">
        <v>13</v>
      </c>
      <c r="H3583" t="s">
        <v>12</v>
      </c>
      <c r="I3583">
        <v>37</v>
      </c>
      <c r="J3583">
        <f>ABS((I3583-EDA!$A$15)/EDA!$B$15)</f>
        <v>0.35143633752697023</v>
      </c>
      <c r="K3583" t="str">
        <f t="shared" si="55"/>
        <v>No</v>
      </c>
      <c r="L3583">
        <f>ABS((C3583-EDA!$F$15)/EDA!$G$15)</f>
        <v>0.35594733271623996</v>
      </c>
      <c r="M3583" t="str">
        <f>IF(moras[[#This Row],[Z-Score Salario]]&gt;1.96, "Sí", "No")</f>
        <v>No</v>
      </c>
      <c r="N3583" s="14">
        <f>IF(ISBLANK(moras[[#This Row],[SALARIO]]), EDA!$M$8, moras[[#This Row],[SALARIO]])</f>
        <v>1184243</v>
      </c>
      <c r="O3583" s="14">
        <f xml:space="preserve"> IF(ISBLANK(moras[[#This Row],[EDAD]]), EDA!$E$8, moras[[#This Row],[EDAD]])</f>
        <v>37</v>
      </c>
      <c r="P3583" s="14" t="str">
        <f>IF(
    OR(ISBLANK(moras[[#This Row],[TIPO_ASEGURAMIENTO]]), moras[[#This Row],[TIPO_ASEGURAMIENTO]]=""),
    EDA!$A$32,
    moras[[#This Row],[TIPO_ASEGURAMIENTO]]
)</f>
        <v>ASALARIADO</v>
      </c>
    </row>
    <row r="3584" spans="1:16" x14ac:dyDescent="0.3">
      <c r="A3584">
        <v>3583</v>
      </c>
      <c r="B3584" t="s">
        <v>15</v>
      </c>
      <c r="C3584">
        <v>158673218</v>
      </c>
      <c r="D3584" t="s">
        <v>10</v>
      </c>
      <c r="E3584" t="s">
        <v>11</v>
      </c>
      <c r="F3584" t="s">
        <v>12</v>
      </c>
      <c r="G3584" t="s">
        <v>13</v>
      </c>
      <c r="H3584" t="s">
        <v>13</v>
      </c>
      <c r="I3584">
        <v>70</v>
      </c>
      <c r="J3584">
        <f>ABS((I3584-EDA!$A$15)/EDA!$B$15)</f>
        <v>1.9775495550185673</v>
      </c>
      <c r="K3584" t="str">
        <f t="shared" si="55"/>
        <v>Sí</v>
      </c>
      <c r="L3584">
        <f>ABS((C3584-EDA!$F$15)/EDA!$G$15)</f>
        <v>2.2647803846721333</v>
      </c>
      <c r="M3584" t="str">
        <f>IF(moras[[#This Row],[Z-Score Salario]]&gt;1.96, "Sí", "No")</f>
        <v>Sí</v>
      </c>
      <c r="N3584" s="14">
        <f>IF(ISBLANK(moras[[#This Row],[SALARIO]]), EDA!$M$8, moras[[#This Row],[SALARIO]])</f>
        <v>158673218</v>
      </c>
      <c r="O3584" s="14">
        <f xml:space="preserve"> IF(ISBLANK(moras[[#This Row],[EDAD]]), EDA!$E$8, moras[[#This Row],[EDAD]])</f>
        <v>70</v>
      </c>
      <c r="P3584" s="14" t="str">
        <f>IF(
    OR(ISBLANK(moras[[#This Row],[TIPO_ASEGURAMIENTO]]), moras[[#This Row],[TIPO_ASEGURAMIENTO]]=""),
    EDA!$A$32,
    moras[[#This Row],[TIPO_ASEGURAMIENTO]]
)</f>
        <v>ASALARIADO</v>
      </c>
    </row>
    <row r="3585" spans="1:16" x14ac:dyDescent="0.3">
      <c r="A3585">
        <v>3584</v>
      </c>
      <c r="B3585" t="s">
        <v>9</v>
      </c>
      <c r="C3585">
        <v>100000</v>
      </c>
      <c r="D3585" t="s">
        <v>10</v>
      </c>
      <c r="E3585" t="s">
        <v>16</v>
      </c>
      <c r="F3585" t="s">
        <v>12</v>
      </c>
      <c r="G3585" t="s">
        <v>13</v>
      </c>
      <c r="H3585" t="s">
        <v>12</v>
      </c>
      <c r="I3585">
        <v>41</v>
      </c>
      <c r="J3585">
        <f>ABS((I3585-EDA!$A$15)/EDA!$B$15)</f>
        <v>6.9135017218420233E-2</v>
      </c>
      <c r="K3585" t="str">
        <f t="shared" si="55"/>
        <v>No</v>
      </c>
      <c r="L3585">
        <f>ABS((C3585-EDA!$F$15)/EDA!$G$15)</f>
        <v>0.3739899016165984</v>
      </c>
      <c r="M3585" t="str">
        <f>IF(moras[[#This Row],[Z-Score Salario]]&gt;1.96, "Sí", "No")</f>
        <v>No</v>
      </c>
      <c r="N3585" s="14">
        <f>IF(ISBLANK(moras[[#This Row],[SALARIO]]), EDA!$M$8, moras[[#This Row],[SALARIO]])</f>
        <v>100000</v>
      </c>
      <c r="O3585" s="14">
        <f xml:space="preserve"> IF(ISBLANK(moras[[#This Row],[EDAD]]), EDA!$E$8, moras[[#This Row],[EDAD]])</f>
        <v>41</v>
      </c>
      <c r="P3585" s="14" t="str">
        <f>IF(
    OR(ISBLANK(moras[[#This Row],[TIPO_ASEGURAMIENTO]]), moras[[#This Row],[TIPO_ASEGURAMIENTO]]=""),
    EDA!$A$32,
    moras[[#This Row],[TIPO_ASEGURAMIENTO]]
)</f>
        <v>ASALARIADO</v>
      </c>
    </row>
    <row r="3586" spans="1:16" x14ac:dyDescent="0.3">
      <c r="A3586">
        <v>3585</v>
      </c>
      <c r="B3586" t="s">
        <v>9</v>
      </c>
      <c r="C3586">
        <v>119824216</v>
      </c>
      <c r="D3586" t="s">
        <v>10</v>
      </c>
      <c r="E3586" t="s">
        <v>16</v>
      </c>
      <c r="F3586" t="s">
        <v>12</v>
      </c>
      <c r="G3586" t="s">
        <v>13</v>
      </c>
      <c r="H3586" t="s">
        <v>13</v>
      </c>
      <c r="I3586">
        <v>28</v>
      </c>
      <c r="J3586">
        <f>ABS((I3586-EDA!$A$15)/EDA!$B$15)</f>
        <v>0.98661430822120777</v>
      </c>
      <c r="K3586" t="str">
        <f t="shared" ref="K3586:K3649" si="56">IF(J3586 &gt;  1.96, "Sí","No")</f>
        <v>No</v>
      </c>
      <c r="L3586">
        <f>ABS((C3586-EDA!$F$15)/EDA!$G$15)</f>
        <v>1.6183055674077733</v>
      </c>
      <c r="M3586" t="str">
        <f>IF(moras[[#This Row],[Z-Score Salario]]&gt;1.96, "Sí", "No")</f>
        <v>No</v>
      </c>
      <c r="N3586" s="14">
        <f>IF(ISBLANK(moras[[#This Row],[SALARIO]]), EDA!$M$8, moras[[#This Row],[SALARIO]])</f>
        <v>119824216</v>
      </c>
      <c r="O3586" s="14">
        <f xml:space="preserve"> IF(ISBLANK(moras[[#This Row],[EDAD]]), EDA!$E$8, moras[[#This Row],[EDAD]])</f>
        <v>28</v>
      </c>
      <c r="P3586" s="14" t="str">
        <f>IF(
    OR(ISBLANK(moras[[#This Row],[TIPO_ASEGURAMIENTO]]), moras[[#This Row],[TIPO_ASEGURAMIENTO]]=""),
    EDA!$A$32,
    moras[[#This Row],[TIPO_ASEGURAMIENTO]]
)</f>
        <v>ASALARIADO</v>
      </c>
    </row>
    <row r="3587" spans="1:16" x14ac:dyDescent="0.3">
      <c r="A3587">
        <v>3586</v>
      </c>
      <c r="B3587" t="s">
        <v>9</v>
      </c>
      <c r="C3587">
        <v>4701625</v>
      </c>
      <c r="D3587" t="s">
        <v>10</v>
      </c>
      <c r="E3587" t="s">
        <v>16</v>
      </c>
      <c r="F3587" t="s">
        <v>12</v>
      </c>
      <c r="G3587" t="s">
        <v>13</v>
      </c>
      <c r="H3587" t="s">
        <v>13</v>
      </c>
      <c r="I3587">
        <v>43</v>
      </c>
      <c r="J3587">
        <f>ABS((I3587-EDA!$A$15)/EDA!$B$15)</f>
        <v>7.2015642935854773E-2</v>
      </c>
      <c r="K3587" t="str">
        <f t="shared" si="56"/>
        <v>No</v>
      </c>
      <c r="L3587">
        <f>ABS((C3587-EDA!$F$15)/EDA!$G$15)</f>
        <v>0.29741561327338406</v>
      </c>
      <c r="M3587" t="str">
        <f>IF(moras[[#This Row],[Z-Score Salario]]&gt;1.96, "Sí", "No")</f>
        <v>No</v>
      </c>
      <c r="N3587" s="14">
        <f>IF(ISBLANK(moras[[#This Row],[SALARIO]]), EDA!$M$8, moras[[#This Row],[SALARIO]])</f>
        <v>4701625</v>
      </c>
      <c r="O3587" s="14">
        <f xml:space="preserve"> IF(ISBLANK(moras[[#This Row],[EDAD]]), EDA!$E$8, moras[[#This Row],[EDAD]])</f>
        <v>43</v>
      </c>
      <c r="P3587" s="14" t="str">
        <f>IF(
    OR(ISBLANK(moras[[#This Row],[TIPO_ASEGURAMIENTO]]), moras[[#This Row],[TIPO_ASEGURAMIENTO]]=""),
    EDA!$A$32,
    moras[[#This Row],[TIPO_ASEGURAMIENTO]]
)</f>
        <v>ASALARIADO</v>
      </c>
    </row>
    <row r="3588" spans="1:16" x14ac:dyDescent="0.3">
      <c r="A3588">
        <v>3587</v>
      </c>
      <c r="B3588" t="s">
        <v>9</v>
      </c>
      <c r="C3588">
        <v>300018</v>
      </c>
      <c r="D3588" t="s">
        <v>18</v>
      </c>
      <c r="E3588" t="s">
        <v>16</v>
      </c>
      <c r="F3588" t="s">
        <v>12</v>
      </c>
      <c r="G3588" t="s">
        <v>13</v>
      </c>
      <c r="H3588" t="s">
        <v>12</v>
      </c>
      <c r="I3588">
        <v>51</v>
      </c>
      <c r="J3588">
        <f>ABS((I3588-EDA!$A$15)/EDA!$B$15)</f>
        <v>0.6366182835529548</v>
      </c>
      <c r="K3588" t="str">
        <f t="shared" si="56"/>
        <v>No</v>
      </c>
      <c r="L3588">
        <f>ABS((C3588-EDA!$F$15)/EDA!$G$15)</f>
        <v>0.37066146090145252</v>
      </c>
      <c r="M3588" t="str">
        <f>IF(moras[[#This Row],[Z-Score Salario]]&gt;1.96, "Sí", "No")</f>
        <v>No</v>
      </c>
      <c r="N3588" s="14">
        <f>IF(ISBLANK(moras[[#This Row],[SALARIO]]), EDA!$M$8, moras[[#This Row],[SALARIO]])</f>
        <v>300018</v>
      </c>
      <c r="O3588" s="14">
        <f xml:space="preserve"> IF(ISBLANK(moras[[#This Row],[EDAD]]), EDA!$E$8, moras[[#This Row],[EDAD]])</f>
        <v>51</v>
      </c>
      <c r="P3588" s="14" t="str">
        <f>IF(
    OR(ISBLANK(moras[[#This Row],[TIPO_ASEGURAMIENTO]]), moras[[#This Row],[TIPO_ASEGURAMIENTO]]=""),
    EDA!$A$32,
    moras[[#This Row],[TIPO_ASEGURAMIENTO]]
)</f>
        <v>TRABAJADOR INDEPENDIENTE</v>
      </c>
    </row>
    <row r="3589" spans="1:16" x14ac:dyDescent="0.3">
      <c r="A3589">
        <v>3588</v>
      </c>
      <c r="B3589" t="s">
        <v>15</v>
      </c>
      <c r="C3589">
        <v>671005</v>
      </c>
      <c r="D3589" t="s">
        <v>10</v>
      </c>
      <c r="E3589" t="s">
        <v>16</v>
      </c>
      <c r="F3589" t="s">
        <v>12</v>
      </c>
      <c r="G3589" t="s">
        <v>13</v>
      </c>
      <c r="H3589" t="s">
        <v>12</v>
      </c>
      <c r="I3589">
        <v>30</v>
      </c>
      <c r="J3589">
        <f>ABS((I3589-EDA!$A$15)/EDA!$B$15)</f>
        <v>0.84546364806693275</v>
      </c>
      <c r="K3589" t="str">
        <f t="shared" si="56"/>
        <v>No</v>
      </c>
      <c r="L3589">
        <f>ABS((C3589-EDA!$F$15)/EDA!$G$15)</f>
        <v>0.36448797533720423</v>
      </c>
      <c r="M3589" t="str">
        <f>IF(moras[[#This Row],[Z-Score Salario]]&gt;1.96, "Sí", "No")</f>
        <v>No</v>
      </c>
      <c r="N3589" s="14">
        <f>IF(ISBLANK(moras[[#This Row],[SALARIO]]), EDA!$M$8, moras[[#This Row],[SALARIO]])</f>
        <v>671005</v>
      </c>
      <c r="O3589" s="14">
        <f xml:space="preserve"> IF(ISBLANK(moras[[#This Row],[EDAD]]), EDA!$E$8, moras[[#This Row],[EDAD]])</f>
        <v>30</v>
      </c>
      <c r="P3589" s="14" t="str">
        <f>IF(
    OR(ISBLANK(moras[[#This Row],[TIPO_ASEGURAMIENTO]]), moras[[#This Row],[TIPO_ASEGURAMIENTO]]=""),
    EDA!$A$32,
    moras[[#This Row],[TIPO_ASEGURAMIENTO]]
)</f>
        <v>ASALARIADO</v>
      </c>
    </row>
    <row r="3590" spans="1:16" x14ac:dyDescent="0.3">
      <c r="A3590">
        <v>3589</v>
      </c>
      <c r="B3590" t="s">
        <v>9</v>
      </c>
      <c r="C3590">
        <v>278030</v>
      </c>
      <c r="D3590" t="s">
        <v>19</v>
      </c>
      <c r="E3590" t="s">
        <v>16</v>
      </c>
      <c r="F3590" t="s">
        <v>12</v>
      </c>
      <c r="G3590" t="s">
        <v>13</v>
      </c>
      <c r="H3590" t="s">
        <v>13</v>
      </c>
      <c r="I3590">
        <v>50</v>
      </c>
      <c r="J3590">
        <f>ABS((I3590-EDA!$A$15)/EDA!$B$15)</f>
        <v>0.56604295347581735</v>
      </c>
      <c r="K3590" t="str">
        <f t="shared" si="56"/>
        <v>No</v>
      </c>
      <c r="L3590">
        <f>ABS((C3590-EDA!$F$15)/EDA!$G$15)</f>
        <v>0.37102735674304993</v>
      </c>
      <c r="M3590" t="str">
        <f>IF(moras[[#This Row],[Z-Score Salario]]&gt;1.96, "Sí", "No")</f>
        <v>No</v>
      </c>
      <c r="N3590" s="14">
        <f>IF(ISBLANK(moras[[#This Row],[SALARIO]]), EDA!$M$8, moras[[#This Row],[SALARIO]])</f>
        <v>278030</v>
      </c>
      <c r="O3590" s="14">
        <f xml:space="preserve"> IF(ISBLANK(moras[[#This Row],[EDAD]]), EDA!$E$8, moras[[#This Row],[EDAD]])</f>
        <v>50</v>
      </c>
      <c r="P3590" s="14" t="str">
        <f>IF(
    OR(ISBLANK(moras[[#This Row],[TIPO_ASEGURAMIENTO]]), moras[[#This Row],[TIPO_ASEGURAMIENTO]]=""),
    EDA!$A$32,
    moras[[#This Row],[TIPO_ASEGURAMIENTO]]
)</f>
        <v>CONVENIOS ESPECIALES DE TRABAJADORES INDEPENDIENTES</v>
      </c>
    </row>
    <row r="3591" spans="1:16" x14ac:dyDescent="0.3">
      <c r="A3591">
        <v>3590</v>
      </c>
      <c r="B3591" t="s">
        <v>9</v>
      </c>
      <c r="C3591">
        <v>403911956</v>
      </c>
      <c r="D3591" t="s">
        <v>10</v>
      </c>
      <c r="E3591" t="s">
        <v>11</v>
      </c>
      <c r="F3591" t="s">
        <v>12</v>
      </c>
      <c r="G3591" t="s">
        <v>13</v>
      </c>
      <c r="H3591" t="s">
        <v>13</v>
      </c>
      <c r="I3591">
        <v>59</v>
      </c>
      <c r="J3591">
        <f>ABS((I3591-EDA!$A$15)/EDA!$B$15)</f>
        <v>1.2012209241700549</v>
      </c>
      <c r="K3591" t="str">
        <f t="shared" si="56"/>
        <v>No</v>
      </c>
      <c r="L3591">
        <f>ABS((C3591-EDA!$F$15)/EDA!$G$15)</f>
        <v>6.3457261020085083</v>
      </c>
      <c r="M3591" t="str">
        <f>IF(moras[[#This Row],[Z-Score Salario]]&gt;1.96, "Sí", "No")</f>
        <v>Sí</v>
      </c>
      <c r="N3591" s="14">
        <f>IF(ISBLANK(moras[[#This Row],[SALARIO]]), EDA!$M$8, moras[[#This Row],[SALARIO]])</f>
        <v>403911956</v>
      </c>
      <c r="O3591" s="14">
        <f xml:space="preserve"> IF(ISBLANK(moras[[#This Row],[EDAD]]), EDA!$E$8, moras[[#This Row],[EDAD]])</f>
        <v>59</v>
      </c>
      <c r="P3591" s="14" t="str">
        <f>IF(
    OR(ISBLANK(moras[[#This Row],[TIPO_ASEGURAMIENTO]]), moras[[#This Row],[TIPO_ASEGURAMIENTO]]=""),
    EDA!$A$32,
    moras[[#This Row],[TIPO_ASEGURAMIENTO]]
)</f>
        <v>ASALARIADO</v>
      </c>
    </row>
    <row r="3592" spans="1:16" x14ac:dyDescent="0.3">
      <c r="A3592">
        <v>3591</v>
      </c>
      <c r="B3592" t="s">
        <v>15</v>
      </c>
      <c r="C3592">
        <v>297046</v>
      </c>
      <c r="D3592" t="s">
        <v>17</v>
      </c>
      <c r="E3592" t="s">
        <v>16</v>
      </c>
      <c r="F3592" t="s">
        <v>12</v>
      </c>
      <c r="G3592" t="s">
        <v>13</v>
      </c>
      <c r="H3592" t="s">
        <v>13</v>
      </c>
      <c r="I3592">
        <v>25</v>
      </c>
      <c r="J3592">
        <f>ABS((I3592-EDA!$A$15)/EDA!$B$15)</f>
        <v>1.1983402984526204</v>
      </c>
      <c r="K3592" t="str">
        <f t="shared" si="56"/>
        <v>No</v>
      </c>
      <c r="L3592">
        <f>ABS((C3592-EDA!$F$15)/EDA!$G$15)</f>
        <v>0.37071091707942361</v>
      </c>
      <c r="M3592" t="str">
        <f>IF(moras[[#This Row],[Z-Score Salario]]&gt;1.96, "Sí", "No")</f>
        <v>No</v>
      </c>
      <c r="N3592" s="14">
        <f>IF(ISBLANK(moras[[#This Row],[SALARIO]]), EDA!$M$8, moras[[#This Row],[SALARIO]])</f>
        <v>297046</v>
      </c>
      <c r="O3592" s="14">
        <f xml:space="preserve"> IF(ISBLANK(moras[[#This Row],[EDAD]]), EDA!$E$8, moras[[#This Row],[EDAD]])</f>
        <v>25</v>
      </c>
      <c r="P3592" s="14" t="str">
        <f>IF(
    OR(ISBLANK(moras[[#This Row],[TIPO_ASEGURAMIENTO]]), moras[[#This Row],[TIPO_ASEGURAMIENTO]]=""),
    EDA!$A$32,
    moras[[#This Row],[TIPO_ASEGURAMIENTO]]
)</f>
        <v>ASEGURADO VOLUNTARIO</v>
      </c>
    </row>
    <row r="3593" spans="1:16" x14ac:dyDescent="0.3">
      <c r="A3593">
        <v>3592</v>
      </c>
      <c r="B3593" t="s">
        <v>9</v>
      </c>
      <c r="C3593">
        <v>9720000</v>
      </c>
      <c r="D3593" t="s">
        <v>10</v>
      </c>
      <c r="E3593" t="s">
        <v>16</v>
      </c>
      <c r="F3593" t="s">
        <v>12</v>
      </c>
      <c r="G3593" t="s">
        <v>12</v>
      </c>
      <c r="H3593" t="s">
        <v>13</v>
      </c>
      <c r="I3593">
        <v>38</v>
      </c>
      <c r="J3593">
        <f>ABS((I3593-EDA!$A$15)/EDA!$B$15)</f>
        <v>0.28086100744983278</v>
      </c>
      <c r="K3593" t="str">
        <f t="shared" si="56"/>
        <v>No</v>
      </c>
      <c r="L3593">
        <f>ABS((C3593-EDA!$F$15)/EDA!$G$15)</f>
        <v>0.21390631074126154</v>
      </c>
      <c r="M3593" t="str">
        <f>IF(moras[[#This Row],[Z-Score Salario]]&gt;1.96, "Sí", "No")</f>
        <v>No</v>
      </c>
      <c r="N3593" s="14">
        <f>IF(ISBLANK(moras[[#This Row],[SALARIO]]), EDA!$M$8, moras[[#This Row],[SALARIO]])</f>
        <v>9720000</v>
      </c>
      <c r="O3593" s="14">
        <f xml:space="preserve"> IF(ISBLANK(moras[[#This Row],[EDAD]]), EDA!$E$8, moras[[#This Row],[EDAD]])</f>
        <v>38</v>
      </c>
      <c r="P3593" s="14" t="str">
        <f>IF(
    OR(ISBLANK(moras[[#This Row],[TIPO_ASEGURAMIENTO]]), moras[[#This Row],[TIPO_ASEGURAMIENTO]]=""),
    EDA!$A$32,
    moras[[#This Row],[TIPO_ASEGURAMIENTO]]
)</f>
        <v>ASALARIADO</v>
      </c>
    </row>
    <row r="3594" spans="1:16" x14ac:dyDescent="0.3">
      <c r="A3594">
        <v>3593</v>
      </c>
      <c r="B3594" t="s">
        <v>9</v>
      </c>
      <c r="C3594">
        <v>38534722</v>
      </c>
      <c r="D3594" t="s">
        <v>10</v>
      </c>
      <c r="E3594" t="s">
        <v>16</v>
      </c>
      <c r="F3594" t="s">
        <v>12</v>
      </c>
      <c r="G3594" t="s">
        <v>13</v>
      </c>
      <c r="H3594" t="s">
        <v>13</v>
      </c>
      <c r="I3594">
        <v>35</v>
      </c>
      <c r="J3594">
        <f>ABS((I3594-EDA!$A$15)/EDA!$B$15)</f>
        <v>0.49258699768124525</v>
      </c>
      <c r="K3594" t="str">
        <f t="shared" si="56"/>
        <v>No</v>
      </c>
      <c r="L3594">
        <f>ABS((C3594-EDA!$F$15)/EDA!$G$15)</f>
        <v>0.2655910040024565</v>
      </c>
      <c r="M3594" t="str">
        <f>IF(moras[[#This Row],[Z-Score Salario]]&gt;1.96, "Sí", "No")</f>
        <v>No</v>
      </c>
      <c r="N3594" s="14">
        <f>IF(ISBLANK(moras[[#This Row],[SALARIO]]), EDA!$M$8, moras[[#This Row],[SALARIO]])</f>
        <v>38534722</v>
      </c>
      <c r="O3594" s="14">
        <f xml:space="preserve"> IF(ISBLANK(moras[[#This Row],[EDAD]]), EDA!$E$8, moras[[#This Row],[EDAD]])</f>
        <v>35</v>
      </c>
      <c r="P3594" s="14" t="str">
        <f>IF(
    OR(ISBLANK(moras[[#This Row],[TIPO_ASEGURAMIENTO]]), moras[[#This Row],[TIPO_ASEGURAMIENTO]]=""),
    EDA!$A$32,
    moras[[#This Row],[TIPO_ASEGURAMIENTO]]
)</f>
        <v>ASALARIADO</v>
      </c>
    </row>
    <row r="3595" spans="1:16" x14ac:dyDescent="0.3">
      <c r="A3595">
        <v>3594</v>
      </c>
      <c r="B3595" t="s">
        <v>9</v>
      </c>
      <c r="C3595">
        <v>515000</v>
      </c>
      <c r="D3595" t="s">
        <v>10</v>
      </c>
      <c r="E3595" t="s">
        <v>16</v>
      </c>
      <c r="F3595" t="s">
        <v>12</v>
      </c>
      <c r="G3595" t="s">
        <v>13</v>
      </c>
      <c r="H3595" t="s">
        <v>13</v>
      </c>
      <c r="I3595">
        <v>36</v>
      </c>
      <c r="J3595">
        <f>ABS((I3595-EDA!$A$15)/EDA!$B$15)</f>
        <v>0.42201166760410774</v>
      </c>
      <c r="K3595" t="str">
        <f t="shared" si="56"/>
        <v>No</v>
      </c>
      <c r="L3595">
        <f>ABS((C3595-EDA!$F$15)/EDA!$G$15)</f>
        <v>0.36708400866303653</v>
      </c>
      <c r="M3595" t="str">
        <f>IF(moras[[#This Row],[Z-Score Salario]]&gt;1.96, "Sí", "No")</f>
        <v>No</v>
      </c>
      <c r="N3595" s="14">
        <f>IF(ISBLANK(moras[[#This Row],[SALARIO]]), EDA!$M$8, moras[[#This Row],[SALARIO]])</f>
        <v>515000</v>
      </c>
      <c r="O3595" s="14">
        <f xml:space="preserve"> IF(ISBLANK(moras[[#This Row],[EDAD]]), EDA!$E$8, moras[[#This Row],[EDAD]])</f>
        <v>36</v>
      </c>
      <c r="P3595" s="14" t="str">
        <f>IF(
    OR(ISBLANK(moras[[#This Row],[TIPO_ASEGURAMIENTO]]), moras[[#This Row],[TIPO_ASEGURAMIENTO]]=""),
    EDA!$A$32,
    moras[[#This Row],[TIPO_ASEGURAMIENTO]]
)</f>
        <v>ASALARIADO</v>
      </c>
    </row>
    <row r="3596" spans="1:16" x14ac:dyDescent="0.3">
      <c r="A3596">
        <v>3595</v>
      </c>
      <c r="B3596" t="s">
        <v>9</v>
      </c>
      <c r="C3596">
        <v>952625</v>
      </c>
      <c r="D3596" t="s">
        <v>10</v>
      </c>
      <c r="E3596" t="s">
        <v>16</v>
      </c>
      <c r="F3596" t="s">
        <v>12</v>
      </c>
      <c r="G3596" t="s">
        <v>13</v>
      </c>
      <c r="H3596" t="s">
        <v>13</v>
      </c>
      <c r="I3596">
        <v>53</v>
      </c>
      <c r="J3596">
        <f>ABS((I3596-EDA!$A$15)/EDA!$B$15)</f>
        <v>0.77776894370722982</v>
      </c>
      <c r="K3596" t="str">
        <f t="shared" si="56"/>
        <v>No</v>
      </c>
      <c r="L3596">
        <f>ABS((C3596-EDA!$F$15)/EDA!$G$15)</f>
        <v>0.35980161973821129</v>
      </c>
      <c r="M3596" t="str">
        <f>IF(moras[[#This Row],[Z-Score Salario]]&gt;1.96, "Sí", "No")</f>
        <v>No</v>
      </c>
      <c r="N3596" s="14">
        <f>IF(ISBLANK(moras[[#This Row],[SALARIO]]), EDA!$M$8, moras[[#This Row],[SALARIO]])</f>
        <v>952625</v>
      </c>
      <c r="O3596" s="14">
        <f xml:space="preserve"> IF(ISBLANK(moras[[#This Row],[EDAD]]), EDA!$E$8, moras[[#This Row],[EDAD]])</f>
        <v>53</v>
      </c>
      <c r="P3596" s="14" t="str">
        <f>IF(
    OR(ISBLANK(moras[[#This Row],[TIPO_ASEGURAMIENTO]]), moras[[#This Row],[TIPO_ASEGURAMIENTO]]=""),
    EDA!$A$32,
    moras[[#This Row],[TIPO_ASEGURAMIENTO]]
)</f>
        <v>ASALARIADO</v>
      </c>
    </row>
    <row r="3597" spans="1:16" x14ac:dyDescent="0.3">
      <c r="A3597">
        <v>3596</v>
      </c>
      <c r="B3597" t="s">
        <v>9</v>
      </c>
      <c r="C3597">
        <v>39504425</v>
      </c>
      <c r="D3597" t="s">
        <v>10</v>
      </c>
      <c r="E3597" t="s">
        <v>11</v>
      </c>
      <c r="F3597" t="s">
        <v>12</v>
      </c>
      <c r="G3597" t="s">
        <v>13</v>
      </c>
      <c r="H3597" t="s">
        <v>13</v>
      </c>
      <c r="I3597">
        <v>56</v>
      </c>
      <c r="J3597">
        <f>ABS((I3597-EDA!$A$15)/EDA!$B$15)</f>
        <v>0.9894949339386423</v>
      </c>
      <c r="K3597" t="str">
        <f t="shared" si="56"/>
        <v>No</v>
      </c>
      <c r="L3597">
        <f>ABS((C3597-EDA!$F$15)/EDA!$G$15)</f>
        <v>0.28172754644763187</v>
      </c>
      <c r="M3597" t="str">
        <f>IF(moras[[#This Row],[Z-Score Salario]]&gt;1.96, "Sí", "No")</f>
        <v>No</v>
      </c>
      <c r="N3597" s="14">
        <f>IF(ISBLANK(moras[[#This Row],[SALARIO]]), EDA!$M$8, moras[[#This Row],[SALARIO]])</f>
        <v>39504425</v>
      </c>
      <c r="O3597" s="14">
        <f xml:space="preserve"> IF(ISBLANK(moras[[#This Row],[EDAD]]), EDA!$E$8, moras[[#This Row],[EDAD]])</f>
        <v>56</v>
      </c>
      <c r="P3597" s="14" t="str">
        <f>IF(
    OR(ISBLANK(moras[[#This Row],[TIPO_ASEGURAMIENTO]]), moras[[#This Row],[TIPO_ASEGURAMIENTO]]=""),
    EDA!$A$32,
    moras[[#This Row],[TIPO_ASEGURAMIENTO]]
)</f>
        <v>ASALARIADO</v>
      </c>
    </row>
    <row r="3598" spans="1:16" x14ac:dyDescent="0.3">
      <c r="A3598">
        <v>3597</v>
      </c>
      <c r="B3598" t="s">
        <v>9</v>
      </c>
      <c r="C3598">
        <v>270000</v>
      </c>
      <c r="D3598" t="s">
        <v>10</v>
      </c>
      <c r="E3598" t="s">
        <v>16</v>
      </c>
      <c r="F3598" t="s">
        <v>12</v>
      </c>
      <c r="G3598" t="s">
        <v>13</v>
      </c>
      <c r="H3598" t="s">
        <v>13</v>
      </c>
      <c r="I3598">
        <v>40</v>
      </c>
      <c r="J3598">
        <f>ABS((I3598-EDA!$A$15)/EDA!$B$15)</f>
        <v>0.13971034729555773</v>
      </c>
      <c r="K3598" t="str">
        <f t="shared" si="56"/>
        <v>No</v>
      </c>
      <c r="L3598">
        <f>ABS((C3598-EDA!$F$15)/EDA!$G$15)</f>
        <v>0.37116098161152489</v>
      </c>
      <c r="M3598" t="str">
        <f>IF(moras[[#This Row],[Z-Score Salario]]&gt;1.96, "Sí", "No")</f>
        <v>No</v>
      </c>
      <c r="N3598" s="14">
        <f>IF(ISBLANK(moras[[#This Row],[SALARIO]]), EDA!$M$8, moras[[#This Row],[SALARIO]])</f>
        <v>270000</v>
      </c>
      <c r="O3598" s="14">
        <f xml:space="preserve"> IF(ISBLANK(moras[[#This Row],[EDAD]]), EDA!$E$8, moras[[#This Row],[EDAD]])</f>
        <v>40</v>
      </c>
      <c r="P3598" s="14" t="str">
        <f>IF(
    OR(ISBLANK(moras[[#This Row],[TIPO_ASEGURAMIENTO]]), moras[[#This Row],[TIPO_ASEGURAMIENTO]]=""),
    EDA!$A$32,
    moras[[#This Row],[TIPO_ASEGURAMIENTO]]
)</f>
        <v>ASALARIADO</v>
      </c>
    </row>
    <row r="3599" spans="1:16" x14ac:dyDescent="0.3">
      <c r="A3599">
        <v>3598</v>
      </c>
      <c r="B3599" t="s">
        <v>15</v>
      </c>
      <c r="C3599">
        <v>25863945</v>
      </c>
      <c r="D3599" t="s">
        <v>10</v>
      </c>
      <c r="E3599" t="s">
        <v>11</v>
      </c>
      <c r="F3599" t="s">
        <v>12</v>
      </c>
      <c r="G3599" t="s">
        <v>13</v>
      </c>
      <c r="H3599" t="s">
        <v>13</v>
      </c>
      <c r="I3599">
        <v>32</v>
      </c>
      <c r="J3599">
        <f>ABS((I3599-EDA!$A$15)/EDA!$B$15)</f>
        <v>0.70431298791265773</v>
      </c>
      <c r="K3599" t="str">
        <f t="shared" si="56"/>
        <v>No</v>
      </c>
      <c r="L3599">
        <f>ABS((C3599-EDA!$F$15)/EDA!$G$15)</f>
        <v>5.4740330266424511E-2</v>
      </c>
      <c r="M3599" t="str">
        <f>IF(moras[[#This Row],[Z-Score Salario]]&gt;1.96, "Sí", "No")</f>
        <v>No</v>
      </c>
      <c r="N3599" s="14">
        <f>IF(ISBLANK(moras[[#This Row],[SALARIO]]), EDA!$M$8, moras[[#This Row],[SALARIO]])</f>
        <v>25863945</v>
      </c>
      <c r="O3599" s="14">
        <f xml:space="preserve"> IF(ISBLANK(moras[[#This Row],[EDAD]]), EDA!$E$8, moras[[#This Row],[EDAD]])</f>
        <v>32</v>
      </c>
      <c r="P3599" s="14" t="str">
        <f>IF(
    OR(ISBLANK(moras[[#This Row],[TIPO_ASEGURAMIENTO]]), moras[[#This Row],[TIPO_ASEGURAMIENTO]]=""),
    EDA!$A$32,
    moras[[#This Row],[TIPO_ASEGURAMIENTO]]
)</f>
        <v>ASALARIADO</v>
      </c>
    </row>
    <row r="3600" spans="1:16" x14ac:dyDescent="0.3">
      <c r="A3600">
        <v>3599</v>
      </c>
      <c r="B3600" t="s">
        <v>9</v>
      </c>
      <c r="C3600">
        <v>302470</v>
      </c>
      <c r="D3600" t="s">
        <v>18</v>
      </c>
      <c r="E3600" t="s">
        <v>16</v>
      </c>
      <c r="F3600" t="s">
        <v>12</v>
      </c>
      <c r="G3600" t="s">
        <v>13</v>
      </c>
      <c r="H3600" t="s">
        <v>13</v>
      </c>
      <c r="I3600">
        <v>53</v>
      </c>
      <c r="J3600">
        <f>ABS((I3600-EDA!$A$15)/EDA!$B$15)</f>
        <v>0.77776894370722982</v>
      </c>
      <c r="K3600" t="str">
        <f t="shared" si="56"/>
        <v>No</v>
      </c>
      <c r="L3600">
        <f>ABS((C3600-EDA!$F$15)/EDA!$G$15)</f>
        <v>0.37062065789055582</v>
      </c>
      <c r="M3600" t="str">
        <f>IF(moras[[#This Row],[Z-Score Salario]]&gt;1.96, "Sí", "No")</f>
        <v>No</v>
      </c>
      <c r="N3600" s="14">
        <f>IF(ISBLANK(moras[[#This Row],[SALARIO]]), EDA!$M$8, moras[[#This Row],[SALARIO]])</f>
        <v>302470</v>
      </c>
      <c r="O3600" s="14">
        <f xml:space="preserve"> IF(ISBLANK(moras[[#This Row],[EDAD]]), EDA!$E$8, moras[[#This Row],[EDAD]])</f>
        <v>53</v>
      </c>
      <c r="P3600" s="14" t="str">
        <f>IF(
    OR(ISBLANK(moras[[#This Row],[TIPO_ASEGURAMIENTO]]), moras[[#This Row],[TIPO_ASEGURAMIENTO]]=""),
    EDA!$A$32,
    moras[[#This Row],[TIPO_ASEGURAMIENTO]]
)</f>
        <v>TRABAJADOR INDEPENDIENTE</v>
      </c>
    </row>
    <row r="3601" spans="1:16" x14ac:dyDescent="0.3">
      <c r="A3601">
        <v>3600</v>
      </c>
      <c r="B3601" t="s">
        <v>15</v>
      </c>
      <c r="C3601">
        <v>731424</v>
      </c>
      <c r="D3601" t="s">
        <v>10</v>
      </c>
      <c r="E3601" t="s">
        <v>11</v>
      </c>
      <c r="F3601" t="s">
        <v>12</v>
      </c>
      <c r="G3601" t="s">
        <v>13</v>
      </c>
      <c r="H3601" t="s">
        <v>12</v>
      </c>
      <c r="I3601">
        <v>28</v>
      </c>
      <c r="J3601">
        <f>ABS((I3601-EDA!$A$15)/EDA!$B$15)</f>
        <v>0.98661430822120777</v>
      </c>
      <c r="K3601" t="str">
        <f t="shared" si="56"/>
        <v>No</v>
      </c>
      <c r="L3601">
        <f>ABS((C3601-EDA!$F$15)/EDA!$G$15)</f>
        <v>0.3634825605266952</v>
      </c>
      <c r="M3601" t="str">
        <f>IF(moras[[#This Row],[Z-Score Salario]]&gt;1.96, "Sí", "No")</f>
        <v>No</v>
      </c>
      <c r="N3601" s="14">
        <f>IF(ISBLANK(moras[[#This Row],[SALARIO]]), EDA!$M$8, moras[[#This Row],[SALARIO]])</f>
        <v>731424</v>
      </c>
      <c r="O3601" s="14">
        <f xml:space="preserve"> IF(ISBLANK(moras[[#This Row],[EDAD]]), EDA!$E$8, moras[[#This Row],[EDAD]])</f>
        <v>28</v>
      </c>
      <c r="P3601" s="14" t="str">
        <f>IF(
    OR(ISBLANK(moras[[#This Row],[TIPO_ASEGURAMIENTO]]), moras[[#This Row],[TIPO_ASEGURAMIENTO]]=""),
    EDA!$A$32,
    moras[[#This Row],[TIPO_ASEGURAMIENTO]]
)</f>
        <v>ASALARIADO</v>
      </c>
    </row>
    <row r="3602" spans="1:16" x14ac:dyDescent="0.3">
      <c r="A3602">
        <v>3601</v>
      </c>
      <c r="B3602" t="s">
        <v>15</v>
      </c>
      <c r="C3602">
        <v>23968308</v>
      </c>
      <c r="D3602" t="s">
        <v>10</v>
      </c>
      <c r="E3602" t="s">
        <v>16</v>
      </c>
      <c r="F3602" t="s">
        <v>12</v>
      </c>
      <c r="G3602" t="s">
        <v>13</v>
      </c>
      <c r="H3602" t="s">
        <v>13</v>
      </c>
      <c r="I3602">
        <v>38</v>
      </c>
      <c r="J3602">
        <f>ABS((I3602-EDA!$A$15)/EDA!$B$15)</f>
        <v>0.28086100744983278</v>
      </c>
      <c r="K3602" t="str">
        <f t="shared" si="56"/>
        <v>No</v>
      </c>
      <c r="L3602">
        <f>ABS((C3602-EDA!$F$15)/EDA!$G$15)</f>
        <v>2.3195592433144792E-2</v>
      </c>
      <c r="M3602" t="str">
        <f>IF(moras[[#This Row],[Z-Score Salario]]&gt;1.96, "Sí", "No")</f>
        <v>No</v>
      </c>
      <c r="N3602" s="14">
        <f>IF(ISBLANK(moras[[#This Row],[SALARIO]]), EDA!$M$8, moras[[#This Row],[SALARIO]])</f>
        <v>23968308</v>
      </c>
      <c r="O3602" s="14">
        <f xml:space="preserve"> IF(ISBLANK(moras[[#This Row],[EDAD]]), EDA!$E$8, moras[[#This Row],[EDAD]])</f>
        <v>38</v>
      </c>
      <c r="P3602" s="14" t="str">
        <f>IF(
    OR(ISBLANK(moras[[#This Row],[TIPO_ASEGURAMIENTO]]), moras[[#This Row],[TIPO_ASEGURAMIENTO]]=""),
    EDA!$A$32,
    moras[[#This Row],[TIPO_ASEGURAMIENTO]]
)</f>
        <v>ASALARIADO</v>
      </c>
    </row>
    <row r="3603" spans="1:16" x14ac:dyDescent="0.3">
      <c r="A3603">
        <v>3602</v>
      </c>
      <c r="B3603" t="s">
        <v>9</v>
      </c>
      <c r="C3603">
        <v>278030</v>
      </c>
      <c r="D3603" t="s">
        <v>19</v>
      </c>
      <c r="E3603" t="s">
        <v>16</v>
      </c>
      <c r="F3603" t="s">
        <v>12</v>
      </c>
      <c r="G3603" t="s">
        <v>13</v>
      </c>
      <c r="H3603" t="s">
        <v>13</v>
      </c>
      <c r="I3603">
        <v>56</v>
      </c>
      <c r="J3603">
        <f>ABS((I3603-EDA!$A$15)/EDA!$B$15)</f>
        <v>0.9894949339386423</v>
      </c>
      <c r="K3603" t="str">
        <f t="shared" si="56"/>
        <v>No</v>
      </c>
      <c r="L3603">
        <f>ABS((C3603-EDA!$F$15)/EDA!$G$15)</f>
        <v>0.37102735674304993</v>
      </c>
      <c r="M3603" t="str">
        <f>IF(moras[[#This Row],[Z-Score Salario]]&gt;1.96, "Sí", "No")</f>
        <v>No</v>
      </c>
      <c r="N3603" s="14">
        <f>IF(ISBLANK(moras[[#This Row],[SALARIO]]), EDA!$M$8, moras[[#This Row],[SALARIO]])</f>
        <v>278030</v>
      </c>
      <c r="O3603" s="14">
        <f xml:space="preserve"> IF(ISBLANK(moras[[#This Row],[EDAD]]), EDA!$E$8, moras[[#This Row],[EDAD]])</f>
        <v>56</v>
      </c>
      <c r="P3603" s="14" t="str">
        <f>IF(
    OR(ISBLANK(moras[[#This Row],[TIPO_ASEGURAMIENTO]]), moras[[#This Row],[TIPO_ASEGURAMIENTO]]=""),
    EDA!$A$32,
    moras[[#This Row],[TIPO_ASEGURAMIENTO]]
)</f>
        <v>CONVENIOS ESPECIALES DE TRABAJADORES INDEPENDIENTES</v>
      </c>
    </row>
    <row r="3604" spans="1:16" x14ac:dyDescent="0.3">
      <c r="A3604">
        <v>3603</v>
      </c>
      <c r="B3604" t="s">
        <v>9</v>
      </c>
      <c r="C3604">
        <v>37735076</v>
      </c>
      <c r="D3604" t="s">
        <v>10</v>
      </c>
      <c r="E3604" t="s">
        <v>16</v>
      </c>
      <c r="F3604" t="s">
        <v>12</v>
      </c>
      <c r="G3604" t="s">
        <v>13</v>
      </c>
      <c r="H3604" t="s">
        <v>13</v>
      </c>
      <c r="I3604">
        <v>35</v>
      </c>
      <c r="J3604">
        <f>ABS((I3604-EDA!$A$15)/EDA!$B$15)</f>
        <v>0.49258699768124525</v>
      </c>
      <c r="K3604" t="str">
        <f t="shared" si="56"/>
        <v>No</v>
      </c>
      <c r="L3604">
        <f>ABS((C3604-EDA!$F$15)/EDA!$G$15)</f>
        <v>0.25228433008259171</v>
      </c>
      <c r="M3604" t="str">
        <f>IF(moras[[#This Row],[Z-Score Salario]]&gt;1.96, "Sí", "No")</f>
        <v>No</v>
      </c>
      <c r="N3604" s="14">
        <f>IF(ISBLANK(moras[[#This Row],[SALARIO]]), EDA!$M$8, moras[[#This Row],[SALARIO]])</f>
        <v>37735076</v>
      </c>
      <c r="O3604" s="14">
        <f xml:space="preserve"> IF(ISBLANK(moras[[#This Row],[EDAD]]), EDA!$E$8, moras[[#This Row],[EDAD]])</f>
        <v>35</v>
      </c>
      <c r="P3604" s="14" t="str">
        <f>IF(
    OR(ISBLANK(moras[[#This Row],[TIPO_ASEGURAMIENTO]]), moras[[#This Row],[TIPO_ASEGURAMIENTO]]=""),
    EDA!$A$32,
    moras[[#This Row],[TIPO_ASEGURAMIENTO]]
)</f>
        <v>ASALARIADO</v>
      </c>
    </row>
    <row r="3605" spans="1:16" x14ac:dyDescent="0.3">
      <c r="A3605">
        <v>3604</v>
      </c>
      <c r="B3605" t="s">
        <v>15</v>
      </c>
      <c r="C3605">
        <v>297046</v>
      </c>
      <c r="D3605" t="s">
        <v>18</v>
      </c>
      <c r="E3605" t="s">
        <v>16</v>
      </c>
      <c r="F3605" t="s">
        <v>12</v>
      </c>
      <c r="G3605" t="s">
        <v>13</v>
      </c>
      <c r="H3605" t="s">
        <v>12</v>
      </c>
      <c r="I3605">
        <v>38</v>
      </c>
      <c r="J3605">
        <f>ABS((I3605-EDA!$A$15)/EDA!$B$15)</f>
        <v>0.28086100744983278</v>
      </c>
      <c r="K3605" t="str">
        <f t="shared" si="56"/>
        <v>No</v>
      </c>
      <c r="L3605">
        <f>ABS((C3605-EDA!$F$15)/EDA!$G$15)</f>
        <v>0.37071091707942361</v>
      </c>
      <c r="M3605" t="str">
        <f>IF(moras[[#This Row],[Z-Score Salario]]&gt;1.96, "Sí", "No")</f>
        <v>No</v>
      </c>
      <c r="N3605" s="14">
        <f>IF(ISBLANK(moras[[#This Row],[SALARIO]]), EDA!$M$8, moras[[#This Row],[SALARIO]])</f>
        <v>297046</v>
      </c>
      <c r="O3605" s="14">
        <f xml:space="preserve"> IF(ISBLANK(moras[[#This Row],[EDAD]]), EDA!$E$8, moras[[#This Row],[EDAD]])</f>
        <v>38</v>
      </c>
      <c r="P3605" s="14" t="str">
        <f>IF(
    OR(ISBLANK(moras[[#This Row],[TIPO_ASEGURAMIENTO]]), moras[[#This Row],[TIPO_ASEGURAMIENTO]]=""),
    EDA!$A$32,
    moras[[#This Row],[TIPO_ASEGURAMIENTO]]
)</f>
        <v>TRABAJADOR INDEPENDIENTE</v>
      </c>
    </row>
    <row r="3606" spans="1:16" x14ac:dyDescent="0.3">
      <c r="A3606">
        <v>3605</v>
      </c>
      <c r="B3606" t="s">
        <v>9</v>
      </c>
      <c r="C3606">
        <v>297046</v>
      </c>
      <c r="D3606" t="s">
        <v>17</v>
      </c>
      <c r="E3606" t="s">
        <v>16</v>
      </c>
      <c r="F3606" t="s">
        <v>12</v>
      </c>
      <c r="G3606" t="s">
        <v>13</v>
      </c>
      <c r="H3606" t="s">
        <v>13</v>
      </c>
      <c r="I3606">
        <v>43</v>
      </c>
      <c r="J3606">
        <f>ABS((I3606-EDA!$A$15)/EDA!$B$15)</f>
        <v>7.2015642935854773E-2</v>
      </c>
      <c r="K3606" t="str">
        <f t="shared" si="56"/>
        <v>No</v>
      </c>
      <c r="L3606">
        <f>ABS((C3606-EDA!$F$15)/EDA!$G$15)</f>
        <v>0.37071091707942361</v>
      </c>
      <c r="M3606" t="str">
        <f>IF(moras[[#This Row],[Z-Score Salario]]&gt;1.96, "Sí", "No")</f>
        <v>No</v>
      </c>
      <c r="N3606" s="14">
        <f>IF(ISBLANK(moras[[#This Row],[SALARIO]]), EDA!$M$8, moras[[#This Row],[SALARIO]])</f>
        <v>297046</v>
      </c>
      <c r="O3606" s="14">
        <f xml:space="preserve"> IF(ISBLANK(moras[[#This Row],[EDAD]]), EDA!$E$8, moras[[#This Row],[EDAD]])</f>
        <v>43</v>
      </c>
      <c r="P3606" s="14" t="str">
        <f>IF(
    OR(ISBLANK(moras[[#This Row],[TIPO_ASEGURAMIENTO]]), moras[[#This Row],[TIPO_ASEGURAMIENTO]]=""),
    EDA!$A$32,
    moras[[#This Row],[TIPO_ASEGURAMIENTO]]
)</f>
        <v>ASEGURADO VOLUNTARIO</v>
      </c>
    </row>
    <row r="3607" spans="1:16" x14ac:dyDescent="0.3">
      <c r="A3607">
        <v>3606</v>
      </c>
      <c r="B3607" t="s">
        <v>9</v>
      </c>
      <c r="C3607">
        <v>299441</v>
      </c>
      <c r="D3607" t="s">
        <v>18</v>
      </c>
      <c r="E3607" t="s">
        <v>16</v>
      </c>
      <c r="F3607" t="s">
        <v>12</v>
      </c>
      <c r="G3607" t="s">
        <v>13</v>
      </c>
      <c r="H3607" t="s">
        <v>13</v>
      </c>
      <c r="I3607">
        <v>34</v>
      </c>
      <c r="J3607">
        <f>ABS((I3607-EDA!$A$15)/EDA!$B$15)</f>
        <v>0.56316232775838282</v>
      </c>
      <c r="K3607" t="str">
        <f t="shared" si="56"/>
        <v>No</v>
      </c>
      <c r="L3607">
        <f>ABS((C3607-EDA!$F$15)/EDA!$G$15)</f>
        <v>0.37067106258876387</v>
      </c>
      <c r="M3607" t="str">
        <f>IF(moras[[#This Row],[Z-Score Salario]]&gt;1.96, "Sí", "No")</f>
        <v>No</v>
      </c>
      <c r="N3607" s="14">
        <f>IF(ISBLANK(moras[[#This Row],[SALARIO]]), EDA!$M$8, moras[[#This Row],[SALARIO]])</f>
        <v>299441</v>
      </c>
      <c r="O3607" s="14">
        <f xml:space="preserve"> IF(ISBLANK(moras[[#This Row],[EDAD]]), EDA!$E$8, moras[[#This Row],[EDAD]])</f>
        <v>34</v>
      </c>
      <c r="P3607" s="14" t="str">
        <f>IF(
    OR(ISBLANK(moras[[#This Row],[TIPO_ASEGURAMIENTO]]), moras[[#This Row],[TIPO_ASEGURAMIENTO]]=""),
    EDA!$A$32,
    moras[[#This Row],[TIPO_ASEGURAMIENTO]]
)</f>
        <v>TRABAJADOR INDEPENDIENTE</v>
      </c>
    </row>
    <row r="3608" spans="1:16" x14ac:dyDescent="0.3">
      <c r="A3608">
        <v>3607</v>
      </c>
      <c r="B3608" t="s">
        <v>15</v>
      </c>
      <c r="C3608">
        <v>298390</v>
      </c>
      <c r="D3608" t="s">
        <v>17</v>
      </c>
      <c r="E3608" t="s">
        <v>16</v>
      </c>
      <c r="F3608" t="s">
        <v>12</v>
      </c>
      <c r="G3608" t="s">
        <v>13</v>
      </c>
      <c r="H3608" t="s">
        <v>13</v>
      </c>
      <c r="I3608">
        <v>35</v>
      </c>
      <c r="J3608">
        <f>ABS((I3608-EDA!$A$15)/EDA!$B$15)</f>
        <v>0.49258699768124525</v>
      </c>
      <c r="K3608" t="str">
        <f t="shared" si="56"/>
        <v>No</v>
      </c>
      <c r="L3608">
        <f>ABS((C3608-EDA!$F$15)/EDA!$G$15)</f>
        <v>0.37068855197067757</v>
      </c>
      <c r="M3608" t="str">
        <f>IF(moras[[#This Row],[Z-Score Salario]]&gt;1.96, "Sí", "No")</f>
        <v>No</v>
      </c>
      <c r="N3608" s="14">
        <f>IF(ISBLANK(moras[[#This Row],[SALARIO]]), EDA!$M$8, moras[[#This Row],[SALARIO]])</f>
        <v>298390</v>
      </c>
      <c r="O3608" s="14">
        <f xml:space="preserve"> IF(ISBLANK(moras[[#This Row],[EDAD]]), EDA!$E$8, moras[[#This Row],[EDAD]])</f>
        <v>35</v>
      </c>
      <c r="P3608" s="14" t="str">
        <f>IF(
    OR(ISBLANK(moras[[#This Row],[TIPO_ASEGURAMIENTO]]), moras[[#This Row],[TIPO_ASEGURAMIENTO]]=""),
    EDA!$A$32,
    moras[[#This Row],[TIPO_ASEGURAMIENTO]]
)</f>
        <v>ASEGURADO VOLUNTARIO</v>
      </c>
    </row>
    <row r="3609" spans="1:16" x14ac:dyDescent="0.3">
      <c r="A3609">
        <v>3608</v>
      </c>
      <c r="B3609" t="s">
        <v>15</v>
      </c>
      <c r="C3609">
        <v>774085</v>
      </c>
      <c r="D3609" t="s">
        <v>10</v>
      </c>
      <c r="E3609" t="s">
        <v>16</v>
      </c>
      <c r="F3609" t="s">
        <v>12</v>
      </c>
      <c r="G3609" t="s">
        <v>13</v>
      </c>
      <c r="H3609" t="s">
        <v>13</v>
      </c>
      <c r="I3609">
        <v>48</v>
      </c>
      <c r="J3609">
        <f>ABS((I3609-EDA!$A$15)/EDA!$B$15)</f>
        <v>0.42489229332154227</v>
      </c>
      <c r="K3609" t="str">
        <f t="shared" si="56"/>
        <v>No</v>
      </c>
      <c r="L3609">
        <f>ABS((C3609-EDA!$F$15)/EDA!$G$15)</f>
        <v>0.36277265137177495</v>
      </c>
      <c r="M3609" t="str">
        <f>IF(moras[[#This Row],[Z-Score Salario]]&gt;1.96, "Sí", "No")</f>
        <v>No</v>
      </c>
      <c r="N3609" s="14">
        <f>IF(ISBLANK(moras[[#This Row],[SALARIO]]), EDA!$M$8, moras[[#This Row],[SALARIO]])</f>
        <v>774085</v>
      </c>
      <c r="O3609" s="14">
        <f xml:space="preserve"> IF(ISBLANK(moras[[#This Row],[EDAD]]), EDA!$E$8, moras[[#This Row],[EDAD]])</f>
        <v>48</v>
      </c>
      <c r="P3609" s="14" t="str">
        <f>IF(
    OR(ISBLANK(moras[[#This Row],[TIPO_ASEGURAMIENTO]]), moras[[#This Row],[TIPO_ASEGURAMIENTO]]=""),
    EDA!$A$32,
    moras[[#This Row],[TIPO_ASEGURAMIENTO]]
)</f>
        <v>ASALARIADO</v>
      </c>
    </row>
    <row r="3610" spans="1:16" x14ac:dyDescent="0.3">
      <c r="A3610">
        <v>3609</v>
      </c>
      <c r="B3610" t="s">
        <v>15</v>
      </c>
      <c r="C3610">
        <v>297502</v>
      </c>
      <c r="D3610" t="s">
        <v>17</v>
      </c>
      <c r="E3610" t="s">
        <v>16</v>
      </c>
      <c r="F3610" t="s">
        <v>12</v>
      </c>
      <c r="G3610" t="s">
        <v>13</v>
      </c>
      <c r="H3610" t="s">
        <v>13</v>
      </c>
      <c r="I3610">
        <v>26</v>
      </c>
      <c r="J3610">
        <f>ABS((I3610-EDA!$A$15)/EDA!$B$15)</f>
        <v>1.1277649683754829</v>
      </c>
      <c r="K3610" t="str">
        <f t="shared" si="56"/>
        <v>No</v>
      </c>
      <c r="L3610">
        <f>ABS((C3610-EDA!$F$15)/EDA!$G$15)</f>
        <v>0.37070332891752761</v>
      </c>
      <c r="M3610" t="str">
        <f>IF(moras[[#This Row],[Z-Score Salario]]&gt;1.96, "Sí", "No")</f>
        <v>No</v>
      </c>
      <c r="N3610" s="14">
        <f>IF(ISBLANK(moras[[#This Row],[SALARIO]]), EDA!$M$8, moras[[#This Row],[SALARIO]])</f>
        <v>297502</v>
      </c>
      <c r="O3610" s="14">
        <f xml:space="preserve"> IF(ISBLANK(moras[[#This Row],[EDAD]]), EDA!$E$8, moras[[#This Row],[EDAD]])</f>
        <v>26</v>
      </c>
      <c r="P3610" s="14" t="str">
        <f>IF(
    OR(ISBLANK(moras[[#This Row],[TIPO_ASEGURAMIENTO]]), moras[[#This Row],[TIPO_ASEGURAMIENTO]]=""),
    EDA!$A$32,
    moras[[#This Row],[TIPO_ASEGURAMIENTO]]
)</f>
        <v>ASEGURADO VOLUNTARIO</v>
      </c>
    </row>
    <row r="3611" spans="1:16" x14ac:dyDescent="0.3">
      <c r="A3611">
        <v>3610</v>
      </c>
      <c r="B3611" t="s">
        <v>15</v>
      </c>
      <c r="C3611">
        <v>2240025</v>
      </c>
      <c r="D3611" t="s">
        <v>10</v>
      </c>
      <c r="E3611" t="s">
        <v>11</v>
      </c>
      <c r="F3611" t="s">
        <v>12</v>
      </c>
      <c r="G3611" t="s">
        <v>13</v>
      </c>
      <c r="H3611" t="s">
        <v>13</v>
      </c>
      <c r="I3611">
        <v>60</v>
      </c>
      <c r="J3611">
        <f>ABS((I3611-EDA!$A$15)/EDA!$B$15)</f>
        <v>1.2717962542471923</v>
      </c>
      <c r="K3611" t="str">
        <f t="shared" si="56"/>
        <v>No</v>
      </c>
      <c r="L3611">
        <f>ABS((C3611-EDA!$F$15)/EDA!$G$15)</f>
        <v>0.33837837494684864</v>
      </c>
      <c r="M3611" t="str">
        <f>IF(moras[[#This Row],[Z-Score Salario]]&gt;1.96, "Sí", "No")</f>
        <v>No</v>
      </c>
      <c r="N3611" s="14">
        <f>IF(ISBLANK(moras[[#This Row],[SALARIO]]), EDA!$M$8, moras[[#This Row],[SALARIO]])</f>
        <v>2240025</v>
      </c>
      <c r="O3611" s="14">
        <f xml:space="preserve"> IF(ISBLANK(moras[[#This Row],[EDAD]]), EDA!$E$8, moras[[#This Row],[EDAD]])</f>
        <v>60</v>
      </c>
      <c r="P3611" s="14" t="str">
        <f>IF(
    OR(ISBLANK(moras[[#This Row],[TIPO_ASEGURAMIENTO]]), moras[[#This Row],[TIPO_ASEGURAMIENTO]]=""),
    EDA!$A$32,
    moras[[#This Row],[TIPO_ASEGURAMIENTO]]
)</f>
        <v>ASALARIADO</v>
      </c>
    </row>
    <row r="3612" spans="1:16" x14ac:dyDescent="0.3">
      <c r="A3612">
        <v>3611</v>
      </c>
      <c r="B3612" t="s">
        <v>9</v>
      </c>
      <c r="C3612">
        <v>445567</v>
      </c>
      <c r="D3612" t="s">
        <v>18</v>
      </c>
      <c r="E3612" t="s">
        <v>16</v>
      </c>
      <c r="F3612" t="s">
        <v>12</v>
      </c>
      <c r="G3612" t="s">
        <v>13</v>
      </c>
      <c r="H3612" t="s">
        <v>13</v>
      </c>
      <c r="I3612">
        <v>47</v>
      </c>
      <c r="J3612">
        <f>ABS((I3612-EDA!$A$15)/EDA!$B$15)</f>
        <v>0.35431696324440481</v>
      </c>
      <c r="K3612" t="str">
        <f t="shared" si="56"/>
        <v>No</v>
      </c>
      <c r="L3612">
        <f>ABS((C3612-EDA!$F$15)/EDA!$G$15)</f>
        <v>0.36823942279663813</v>
      </c>
      <c r="M3612" t="str">
        <f>IF(moras[[#This Row],[Z-Score Salario]]&gt;1.96, "Sí", "No")</f>
        <v>No</v>
      </c>
      <c r="N3612" s="14">
        <f>IF(ISBLANK(moras[[#This Row],[SALARIO]]), EDA!$M$8, moras[[#This Row],[SALARIO]])</f>
        <v>445567</v>
      </c>
      <c r="O3612" s="14">
        <f xml:space="preserve"> IF(ISBLANK(moras[[#This Row],[EDAD]]), EDA!$E$8, moras[[#This Row],[EDAD]])</f>
        <v>47</v>
      </c>
      <c r="P3612" s="14" t="str">
        <f>IF(
    OR(ISBLANK(moras[[#This Row],[TIPO_ASEGURAMIENTO]]), moras[[#This Row],[TIPO_ASEGURAMIENTO]]=""),
    EDA!$A$32,
    moras[[#This Row],[TIPO_ASEGURAMIENTO]]
)</f>
        <v>TRABAJADOR INDEPENDIENTE</v>
      </c>
    </row>
    <row r="3613" spans="1:16" x14ac:dyDescent="0.3">
      <c r="A3613">
        <v>3612</v>
      </c>
      <c r="B3613" t="s">
        <v>9</v>
      </c>
      <c r="C3613">
        <v>297058</v>
      </c>
      <c r="D3613" t="s">
        <v>18</v>
      </c>
      <c r="E3613" t="s">
        <v>16</v>
      </c>
      <c r="F3613" t="s">
        <v>12</v>
      </c>
      <c r="G3613" t="s">
        <v>13</v>
      </c>
      <c r="H3613" t="s">
        <v>13</v>
      </c>
      <c r="I3613">
        <v>53</v>
      </c>
      <c r="J3613">
        <f>ABS((I3613-EDA!$A$15)/EDA!$B$15)</f>
        <v>0.77776894370722982</v>
      </c>
      <c r="K3613" t="str">
        <f t="shared" si="56"/>
        <v>No</v>
      </c>
      <c r="L3613">
        <f>ABS((C3613-EDA!$F$15)/EDA!$G$15)</f>
        <v>0.37071071739095263</v>
      </c>
      <c r="M3613" t="str">
        <f>IF(moras[[#This Row],[Z-Score Salario]]&gt;1.96, "Sí", "No")</f>
        <v>No</v>
      </c>
      <c r="N3613" s="14">
        <f>IF(ISBLANK(moras[[#This Row],[SALARIO]]), EDA!$M$8, moras[[#This Row],[SALARIO]])</f>
        <v>297058</v>
      </c>
      <c r="O3613" s="14">
        <f xml:space="preserve"> IF(ISBLANK(moras[[#This Row],[EDAD]]), EDA!$E$8, moras[[#This Row],[EDAD]])</f>
        <v>53</v>
      </c>
      <c r="P3613" s="14" t="str">
        <f>IF(
    OR(ISBLANK(moras[[#This Row],[TIPO_ASEGURAMIENTO]]), moras[[#This Row],[TIPO_ASEGURAMIENTO]]=""),
    EDA!$A$32,
    moras[[#This Row],[TIPO_ASEGURAMIENTO]]
)</f>
        <v>TRABAJADOR INDEPENDIENTE</v>
      </c>
    </row>
    <row r="3614" spans="1:16" x14ac:dyDescent="0.3">
      <c r="A3614">
        <v>3613</v>
      </c>
      <c r="B3614" t="s">
        <v>9</v>
      </c>
      <c r="C3614">
        <v>200000</v>
      </c>
      <c r="D3614" t="s">
        <v>10</v>
      </c>
      <c r="E3614" t="s">
        <v>16</v>
      </c>
      <c r="F3614" t="s">
        <v>12</v>
      </c>
      <c r="G3614" t="s">
        <v>13</v>
      </c>
      <c r="H3614" t="s">
        <v>13</v>
      </c>
      <c r="I3614">
        <v>30</v>
      </c>
      <c r="J3614">
        <f>ABS((I3614-EDA!$A$15)/EDA!$B$15)</f>
        <v>0.84546364806693275</v>
      </c>
      <c r="K3614" t="str">
        <f t="shared" si="56"/>
        <v>No</v>
      </c>
      <c r="L3614">
        <f>ABS((C3614-EDA!$F$15)/EDA!$G$15)</f>
        <v>0.3723258310253787</v>
      </c>
      <c r="M3614" t="str">
        <f>IF(moras[[#This Row],[Z-Score Salario]]&gt;1.96, "Sí", "No")</f>
        <v>No</v>
      </c>
      <c r="N3614" s="14">
        <f>IF(ISBLANK(moras[[#This Row],[SALARIO]]), EDA!$M$8, moras[[#This Row],[SALARIO]])</f>
        <v>200000</v>
      </c>
      <c r="O3614" s="14">
        <f xml:space="preserve"> IF(ISBLANK(moras[[#This Row],[EDAD]]), EDA!$E$8, moras[[#This Row],[EDAD]])</f>
        <v>30</v>
      </c>
      <c r="P3614" s="14" t="str">
        <f>IF(
    OR(ISBLANK(moras[[#This Row],[TIPO_ASEGURAMIENTO]]), moras[[#This Row],[TIPO_ASEGURAMIENTO]]=""),
    EDA!$A$32,
    moras[[#This Row],[TIPO_ASEGURAMIENTO]]
)</f>
        <v>ASALARIADO</v>
      </c>
    </row>
    <row r="3615" spans="1:16" x14ac:dyDescent="0.3">
      <c r="A3615">
        <v>3614</v>
      </c>
      <c r="B3615" t="s">
        <v>9</v>
      </c>
      <c r="C3615">
        <v>28380305</v>
      </c>
      <c r="D3615" t="s">
        <v>10</v>
      </c>
      <c r="E3615" t="s">
        <v>16</v>
      </c>
      <c r="F3615" t="s">
        <v>12</v>
      </c>
      <c r="G3615" t="s">
        <v>13</v>
      </c>
      <c r="H3615" t="s">
        <v>13</v>
      </c>
      <c r="I3615">
        <v>19</v>
      </c>
      <c r="J3615">
        <f>ABS((I3615-EDA!$A$15)/EDA!$B$15)</f>
        <v>1.6217922789154453</v>
      </c>
      <c r="K3615" t="str">
        <f t="shared" si="56"/>
        <v>No</v>
      </c>
      <c r="L3615">
        <f>ABS((C3615-EDA!$F$15)/EDA!$G$15)</f>
        <v>9.6614336995641009E-2</v>
      </c>
      <c r="M3615" t="str">
        <f>IF(moras[[#This Row],[Z-Score Salario]]&gt;1.96, "Sí", "No")</f>
        <v>No</v>
      </c>
      <c r="N3615" s="14">
        <f>IF(ISBLANK(moras[[#This Row],[SALARIO]]), EDA!$M$8, moras[[#This Row],[SALARIO]])</f>
        <v>28380305</v>
      </c>
      <c r="O3615" s="14">
        <f xml:space="preserve"> IF(ISBLANK(moras[[#This Row],[EDAD]]), EDA!$E$8, moras[[#This Row],[EDAD]])</f>
        <v>19</v>
      </c>
      <c r="P3615" s="14" t="str">
        <f>IF(
    OR(ISBLANK(moras[[#This Row],[TIPO_ASEGURAMIENTO]]), moras[[#This Row],[TIPO_ASEGURAMIENTO]]=""),
    EDA!$A$32,
    moras[[#This Row],[TIPO_ASEGURAMIENTO]]
)</f>
        <v>ASALARIADO</v>
      </c>
    </row>
    <row r="3616" spans="1:16" x14ac:dyDescent="0.3">
      <c r="A3616">
        <v>3615</v>
      </c>
      <c r="B3616" t="s">
        <v>9</v>
      </c>
      <c r="C3616">
        <v>36159025</v>
      </c>
      <c r="D3616" t="s">
        <v>10</v>
      </c>
      <c r="E3616" t="s">
        <v>16</v>
      </c>
      <c r="F3616" t="s">
        <v>12</v>
      </c>
      <c r="G3616" t="s">
        <v>13</v>
      </c>
      <c r="H3616" t="s">
        <v>13</v>
      </c>
      <c r="I3616">
        <v>32</v>
      </c>
      <c r="J3616">
        <f>ABS((I3616-EDA!$A$15)/EDA!$B$15)</f>
        <v>0.70431298791265773</v>
      </c>
      <c r="K3616" t="str">
        <f t="shared" si="56"/>
        <v>No</v>
      </c>
      <c r="L3616">
        <f>ABS((C3616-EDA!$F$15)/EDA!$G$15)</f>
        <v>0.22605772888896744</v>
      </c>
      <c r="M3616" t="str">
        <f>IF(moras[[#This Row],[Z-Score Salario]]&gt;1.96, "Sí", "No")</f>
        <v>No</v>
      </c>
      <c r="N3616" s="14">
        <f>IF(ISBLANK(moras[[#This Row],[SALARIO]]), EDA!$M$8, moras[[#This Row],[SALARIO]])</f>
        <v>36159025</v>
      </c>
      <c r="O3616" s="14">
        <f xml:space="preserve"> IF(ISBLANK(moras[[#This Row],[EDAD]]), EDA!$E$8, moras[[#This Row],[EDAD]])</f>
        <v>32</v>
      </c>
      <c r="P3616" s="14" t="str">
        <f>IF(
    OR(ISBLANK(moras[[#This Row],[TIPO_ASEGURAMIENTO]]), moras[[#This Row],[TIPO_ASEGURAMIENTO]]=""),
    EDA!$A$32,
    moras[[#This Row],[TIPO_ASEGURAMIENTO]]
)</f>
        <v>ASALARIADO</v>
      </c>
    </row>
    <row r="3617" spans="1:16" x14ac:dyDescent="0.3">
      <c r="A3617">
        <v>3616</v>
      </c>
      <c r="B3617" t="s">
        <v>9</v>
      </c>
      <c r="C3617">
        <v>6204123</v>
      </c>
      <c r="D3617" t="s">
        <v>10</v>
      </c>
      <c r="E3617" t="s">
        <v>11</v>
      </c>
      <c r="F3617" t="s">
        <v>12</v>
      </c>
      <c r="G3617" t="s">
        <v>13</v>
      </c>
      <c r="H3617" t="s">
        <v>13</v>
      </c>
      <c r="I3617">
        <v>54</v>
      </c>
      <c r="J3617">
        <f>ABS((I3617-EDA!$A$15)/EDA!$B$15)</f>
        <v>0.84834427378436728</v>
      </c>
      <c r="K3617" t="str">
        <f t="shared" si="56"/>
        <v>No</v>
      </c>
      <c r="L3617">
        <f>ABS((C3617-EDA!$F$15)/EDA!$G$15)</f>
        <v>0.27241298592171964</v>
      </c>
      <c r="M3617" t="str">
        <f>IF(moras[[#This Row],[Z-Score Salario]]&gt;1.96, "Sí", "No")</f>
        <v>No</v>
      </c>
      <c r="N3617" s="14">
        <f>IF(ISBLANK(moras[[#This Row],[SALARIO]]), EDA!$M$8, moras[[#This Row],[SALARIO]])</f>
        <v>6204123</v>
      </c>
      <c r="O3617" s="14">
        <f xml:space="preserve"> IF(ISBLANK(moras[[#This Row],[EDAD]]), EDA!$E$8, moras[[#This Row],[EDAD]])</f>
        <v>54</v>
      </c>
      <c r="P3617" s="14" t="str">
        <f>IF(
    OR(ISBLANK(moras[[#This Row],[TIPO_ASEGURAMIENTO]]), moras[[#This Row],[TIPO_ASEGURAMIENTO]]=""),
    EDA!$A$32,
    moras[[#This Row],[TIPO_ASEGURAMIENTO]]
)</f>
        <v>ASALARIADO</v>
      </c>
    </row>
    <row r="3618" spans="1:16" x14ac:dyDescent="0.3">
      <c r="A3618">
        <v>3617</v>
      </c>
      <c r="B3618" t="s">
        <v>9</v>
      </c>
      <c r="C3618">
        <v>278000</v>
      </c>
      <c r="D3618" t="s">
        <v>10</v>
      </c>
      <c r="E3618" t="s">
        <v>16</v>
      </c>
      <c r="F3618" t="s">
        <v>12</v>
      </c>
      <c r="G3618" t="s">
        <v>12</v>
      </c>
      <c r="H3618" t="s">
        <v>12</v>
      </c>
      <c r="I3618">
        <v>37</v>
      </c>
      <c r="J3618">
        <f>ABS((I3618-EDA!$A$15)/EDA!$B$15)</f>
        <v>0.35143633752697023</v>
      </c>
      <c r="K3618" t="str">
        <f t="shared" si="56"/>
        <v>No</v>
      </c>
      <c r="L3618">
        <f>ABS((C3618-EDA!$F$15)/EDA!$G$15)</f>
        <v>0.37102785596422727</v>
      </c>
      <c r="M3618" t="str">
        <f>IF(moras[[#This Row],[Z-Score Salario]]&gt;1.96, "Sí", "No")</f>
        <v>No</v>
      </c>
      <c r="N3618" s="14">
        <f>IF(ISBLANK(moras[[#This Row],[SALARIO]]), EDA!$M$8, moras[[#This Row],[SALARIO]])</f>
        <v>278000</v>
      </c>
      <c r="O3618" s="14">
        <f xml:space="preserve"> IF(ISBLANK(moras[[#This Row],[EDAD]]), EDA!$E$8, moras[[#This Row],[EDAD]])</f>
        <v>37</v>
      </c>
      <c r="P3618" s="14" t="str">
        <f>IF(
    OR(ISBLANK(moras[[#This Row],[TIPO_ASEGURAMIENTO]]), moras[[#This Row],[TIPO_ASEGURAMIENTO]]=""),
    EDA!$A$32,
    moras[[#This Row],[TIPO_ASEGURAMIENTO]]
)</f>
        <v>ASALARIADO</v>
      </c>
    </row>
    <row r="3619" spans="1:16" x14ac:dyDescent="0.3">
      <c r="A3619">
        <v>3618</v>
      </c>
      <c r="B3619" t="s">
        <v>9</v>
      </c>
      <c r="C3619">
        <v>49225024</v>
      </c>
      <c r="D3619" t="s">
        <v>10</v>
      </c>
      <c r="E3619" t="s">
        <v>16</v>
      </c>
      <c r="F3619" t="s">
        <v>12</v>
      </c>
      <c r="G3619" t="s">
        <v>13</v>
      </c>
      <c r="H3619" t="s">
        <v>13</v>
      </c>
      <c r="I3619">
        <v>39</v>
      </c>
      <c r="J3619">
        <f>ABS((I3619-EDA!$A$15)/EDA!$B$15)</f>
        <v>0.21028567737269524</v>
      </c>
      <c r="K3619" t="str">
        <f t="shared" si="56"/>
        <v>No</v>
      </c>
      <c r="L3619">
        <f>ABS((C3619-EDA!$F$15)/EDA!$G$15)</f>
        <v>0.44348517569702983</v>
      </c>
      <c r="M3619" t="str">
        <f>IF(moras[[#This Row],[Z-Score Salario]]&gt;1.96, "Sí", "No")</f>
        <v>No</v>
      </c>
      <c r="N3619" s="14">
        <f>IF(ISBLANK(moras[[#This Row],[SALARIO]]), EDA!$M$8, moras[[#This Row],[SALARIO]])</f>
        <v>49225024</v>
      </c>
      <c r="O3619" s="14">
        <f xml:space="preserve"> IF(ISBLANK(moras[[#This Row],[EDAD]]), EDA!$E$8, moras[[#This Row],[EDAD]])</f>
        <v>39</v>
      </c>
      <c r="P3619" s="14" t="str">
        <f>IF(
    OR(ISBLANK(moras[[#This Row],[TIPO_ASEGURAMIENTO]]), moras[[#This Row],[TIPO_ASEGURAMIENTO]]=""),
    EDA!$A$32,
    moras[[#This Row],[TIPO_ASEGURAMIENTO]]
)</f>
        <v>ASALARIADO</v>
      </c>
    </row>
    <row r="3620" spans="1:16" x14ac:dyDescent="0.3">
      <c r="A3620">
        <v>3619</v>
      </c>
      <c r="B3620" t="s">
        <v>15</v>
      </c>
      <c r="C3620">
        <v>297046</v>
      </c>
      <c r="D3620" t="s">
        <v>18</v>
      </c>
      <c r="E3620" t="s">
        <v>16</v>
      </c>
      <c r="F3620" t="s">
        <v>12</v>
      </c>
      <c r="G3620" t="s">
        <v>13</v>
      </c>
      <c r="H3620" t="s">
        <v>12</v>
      </c>
      <c r="I3620">
        <v>53</v>
      </c>
      <c r="J3620">
        <f>ABS((I3620-EDA!$A$15)/EDA!$B$15)</f>
        <v>0.77776894370722982</v>
      </c>
      <c r="K3620" t="str">
        <f t="shared" si="56"/>
        <v>No</v>
      </c>
      <c r="L3620">
        <f>ABS((C3620-EDA!$F$15)/EDA!$G$15)</f>
        <v>0.37071091707942361</v>
      </c>
      <c r="M3620" t="str">
        <f>IF(moras[[#This Row],[Z-Score Salario]]&gt;1.96, "Sí", "No")</f>
        <v>No</v>
      </c>
      <c r="N3620" s="14">
        <f>IF(ISBLANK(moras[[#This Row],[SALARIO]]), EDA!$M$8, moras[[#This Row],[SALARIO]])</f>
        <v>297046</v>
      </c>
      <c r="O3620" s="14">
        <f xml:space="preserve"> IF(ISBLANK(moras[[#This Row],[EDAD]]), EDA!$E$8, moras[[#This Row],[EDAD]])</f>
        <v>53</v>
      </c>
      <c r="P3620" s="14" t="str">
        <f>IF(
    OR(ISBLANK(moras[[#This Row],[TIPO_ASEGURAMIENTO]]), moras[[#This Row],[TIPO_ASEGURAMIENTO]]=""),
    EDA!$A$32,
    moras[[#This Row],[TIPO_ASEGURAMIENTO]]
)</f>
        <v>TRABAJADOR INDEPENDIENTE</v>
      </c>
    </row>
    <row r="3621" spans="1:16" x14ac:dyDescent="0.3">
      <c r="A3621">
        <v>3620</v>
      </c>
      <c r="B3621" t="s">
        <v>9</v>
      </c>
      <c r="C3621">
        <v>13960545</v>
      </c>
      <c r="D3621" t="s">
        <v>10</v>
      </c>
      <c r="E3621" t="s">
        <v>11</v>
      </c>
      <c r="F3621" t="s">
        <v>12</v>
      </c>
      <c r="G3621" t="s">
        <v>13</v>
      </c>
      <c r="H3621" t="s">
        <v>13</v>
      </c>
      <c r="I3621">
        <v>40</v>
      </c>
      <c r="J3621">
        <f>ABS((I3621-EDA!$A$15)/EDA!$B$15)</f>
        <v>0.13971034729555773</v>
      </c>
      <c r="K3621" t="str">
        <f t="shared" si="56"/>
        <v>No</v>
      </c>
      <c r="L3621">
        <f>ABS((C3621-EDA!$F$15)/EDA!$G$15)</f>
        <v>0.14334064848882336</v>
      </c>
      <c r="M3621" t="str">
        <f>IF(moras[[#This Row],[Z-Score Salario]]&gt;1.96, "Sí", "No")</f>
        <v>No</v>
      </c>
      <c r="N3621" s="14">
        <f>IF(ISBLANK(moras[[#This Row],[SALARIO]]), EDA!$M$8, moras[[#This Row],[SALARIO]])</f>
        <v>13960545</v>
      </c>
      <c r="O3621" s="14">
        <f xml:space="preserve"> IF(ISBLANK(moras[[#This Row],[EDAD]]), EDA!$E$8, moras[[#This Row],[EDAD]])</f>
        <v>40</v>
      </c>
      <c r="P3621" s="14" t="str">
        <f>IF(
    OR(ISBLANK(moras[[#This Row],[TIPO_ASEGURAMIENTO]]), moras[[#This Row],[TIPO_ASEGURAMIENTO]]=""),
    EDA!$A$32,
    moras[[#This Row],[TIPO_ASEGURAMIENTO]]
)</f>
        <v>ASALARIADO</v>
      </c>
    </row>
    <row r="3622" spans="1:16" x14ac:dyDescent="0.3">
      <c r="A3622">
        <v>3621</v>
      </c>
      <c r="B3622" t="s">
        <v>15</v>
      </c>
      <c r="C3622">
        <v>604940</v>
      </c>
      <c r="D3622" t="s">
        <v>18</v>
      </c>
      <c r="E3622" t="s">
        <v>16</v>
      </c>
      <c r="F3622" t="s">
        <v>12</v>
      </c>
      <c r="G3622" t="s">
        <v>13</v>
      </c>
      <c r="H3622" t="s">
        <v>13</v>
      </c>
      <c r="I3622">
        <v>30</v>
      </c>
      <c r="J3622">
        <f>ABS((I3622-EDA!$A$15)/EDA!$B$15)</f>
        <v>0.84546364806693275</v>
      </c>
      <c r="K3622" t="str">
        <f t="shared" si="56"/>
        <v>No</v>
      </c>
      <c r="L3622">
        <f>ABS((C3622-EDA!$F$15)/EDA!$G$15)</f>
        <v>0.36558734357329353</v>
      </c>
      <c r="M3622" t="str">
        <f>IF(moras[[#This Row],[Z-Score Salario]]&gt;1.96, "Sí", "No")</f>
        <v>No</v>
      </c>
      <c r="N3622" s="14">
        <f>IF(ISBLANK(moras[[#This Row],[SALARIO]]), EDA!$M$8, moras[[#This Row],[SALARIO]])</f>
        <v>604940</v>
      </c>
      <c r="O3622" s="14">
        <f xml:space="preserve"> IF(ISBLANK(moras[[#This Row],[EDAD]]), EDA!$E$8, moras[[#This Row],[EDAD]])</f>
        <v>30</v>
      </c>
      <c r="P3622" s="14" t="str">
        <f>IF(
    OR(ISBLANK(moras[[#This Row],[TIPO_ASEGURAMIENTO]]), moras[[#This Row],[TIPO_ASEGURAMIENTO]]=""),
    EDA!$A$32,
    moras[[#This Row],[TIPO_ASEGURAMIENTO]]
)</f>
        <v>TRABAJADOR INDEPENDIENTE</v>
      </c>
    </row>
    <row r="3623" spans="1:16" x14ac:dyDescent="0.3">
      <c r="A3623">
        <v>3622</v>
      </c>
      <c r="B3623" t="s">
        <v>9</v>
      </c>
      <c r="C3623">
        <v>200000</v>
      </c>
      <c r="D3623" t="s">
        <v>10</v>
      </c>
      <c r="E3623" t="s">
        <v>16</v>
      </c>
      <c r="F3623" t="s">
        <v>12</v>
      </c>
      <c r="G3623" t="s">
        <v>13</v>
      </c>
      <c r="H3623" t="s">
        <v>13</v>
      </c>
      <c r="I3623">
        <v>61</v>
      </c>
      <c r="J3623">
        <f>ABS((I3623-EDA!$A$15)/EDA!$B$15)</f>
        <v>1.3423715843243298</v>
      </c>
      <c r="K3623" t="str">
        <f t="shared" si="56"/>
        <v>No</v>
      </c>
      <c r="L3623">
        <f>ABS((C3623-EDA!$F$15)/EDA!$G$15)</f>
        <v>0.3723258310253787</v>
      </c>
      <c r="M3623" t="str">
        <f>IF(moras[[#This Row],[Z-Score Salario]]&gt;1.96, "Sí", "No")</f>
        <v>No</v>
      </c>
      <c r="N3623" s="14">
        <f>IF(ISBLANK(moras[[#This Row],[SALARIO]]), EDA!$M$8, moras[[#This Row],[SALARIO]])</f>
        <v>200000</v>
      </c>
      <c r="O3623" s="14">
        <f xml:space="preserve"> IF(ISBLANK(moras[[#This Row],[EDAD]]), EDA!$E$8, moras[[#This Row],[EDAD]])</f>
        <v>61</v>
      </c>
      <c r="P3623" s="14" t="str">
        <f>IF(
    OR(ISBLANK(moras[[#This Row],[TIPO_ASEGURAMIENTO]]), moras[[#This Row],[TIPO_ASEGURAMIENTO]]=""),
    EDA!$A$32,
    moras[[#This Row],[TIPO_ASEGURAMIENTO]]
)</f>
        <v>ASALARIADO</v>
      </c>
    </row>
    <row r="3624" spans="1:16" x14ac:dyDescent="0.3">
      <c r="A3624">
        <v>3623</v>
      </c>
      <c r="B3624" t="s">
        <v>15</v>
      </c>
      <c r="C3624">
        <v>59242167</v>
      </c>
      <c r="D3624" t="s">
        <v>10</v>
      </c>
      <c r="E3624" t="s">
        <v>16</v>
      </c>
      <c r="F3624" t="s">
        <v>12</v>
      </c>
      <c r="G3624" t="s">
        <v>13</v>
      </c>
      <c r="H3624" t="s">
        <v>13</v>
      </c>
      <c r="I3624">
        <v>29</v>
      </c>
      <c r="J3624">
        <f>ABS((I3624-EDA!$A$15)/EDA!$B$15)</f>
        <v>0.91603897814407031</v>
      </c>
      <c r="K3624" t="str">
        <f t="shared" si="56"/>
        <v>No</v>
      </c>
      <c r="L3624">
        <f>ABS((C3624-EDA!$F$15)/EDA!$G$15)</f>
        <v>0.61017750644045443</v>
      </c>
      <c r="M3624" t="str">
        <f>IF(moras[[#This Row],[Z-Score Salario]]&gt;1.96, "Sí", "No")</f>
        <v>No</v>
      </c>
      <c r="N3624" s="14">
        <f>IF(ISBLANK(moras[[#This Row],[SALARIO]]), EDA!$M$8, moras[[#This Row],[SALARIO]])</f>
        <v>59242167</v>
      </c>
      <c r="O3624" s="14">
        <f xml:space="preserve"> IF(ISBLANK(moras[[#This Row],[EDAD]]), EDA!$E$8, moras[[#This Row],[EDAD]])</f>
        <v>29</v>
      </c>
      <c r="P3624" s="14" t="str">
        <f>IF(
    OR(ISBLANK(moras[[#This Row],[TIPO_ASEGURAMIENTO]]), moras[[#This Row],[TIPO_ASEGURAMIENTO]]=""),
    EDA!$A$32,
    moras[[#This Row],[TIPO_ASEGURAMIENTO]]
)</f>
        <v>ASALARIADO</v>
      </c>
    </row>
    <row r="3625" spans="1:16" x14ac:dyDescent="0.3">
      <c r="A3625">
        <v>3624</v>
      </c>
      <c r="B3625" t="s">
        <v>9</v>
      </c>
      <c r="C3625">
        <v>419680</v>
      </c>
      <c r="D3625" t="s">
        <v>10</v>
      </c>
      <c r="E3625" t="s">
        <v>16</v>
      </c>
      <c r="F3625" t="s">
        <v>12</v>
      </c>
      <c r="G3625" t="s">
        <v>13</v>
      </c>
      <c r="H3625" t="s">
        <v>13</v>
      </c>
      <c r="I3625">
        <v>51</v>
      </c>
      <c r="J3625">
        <f>ABS((I3625-EDA!$A$15)/EDA!$B$15)</f>
        <v>0.6366182835529548</v>
      </c>
      <c r="K3625" t="str">
        <f t="shared" si="56"/>
        <v>No</v>
      </c>
      <c r="L3625">
        <f>ABS((C3625-EDA!$F$15)/EDA!$G$15)</f>
        <v>0.36867020075058721</v>
      </c>
      <c r="M3625" t="str">
        <f>IF(moras[[#This Row],[Z-Score Salario]]&gt;1.96, "Sí", "No")</f>
        <v>No</v>
      </c>
      <c r="N3625" s="14">
        <f>IF(ISBLANK(moras[[#This Row],[SALARIO]]), EDA!$M$8, moras[[#This Row],[SALARIO]])</f>
        <v>419680</v>
      </c>
      <c r="O3625" s="14">
        <f xml:space="preserve"> IF(ISBLANK(moras[[#This Row],[EDAD]]), EDA!$E$8, moras[[#This Row],[EDAD]])</f>
        <v>51</v>
      </c>
      <c r="P3625" s="14" t="str">
        <f>IF(
    OR(ISBLANK(moras[[#This Row],[TIPO_ASEGURAMIENTO]]), moras[[#This Row],[TIPO_ASEGURAMIENTO]]=""),
    EDA!$A$32,
    moras[[#This Row],[TIPO_ASEGURAMIENTO]]
)</f>
        <v>ASALARIADO</v>
      </c>
    </row>
    <row r="3626" spans="1:16" x14ac:dyDescent="0.3">
      <c r="A3626">
        <v>3625</v>
      </c>
      <c r="B3626" t="s">
        <v>9</v>
      </c>
      <c r="C3626">
        <v>2054741</v>
      </c>
      <c r="D3626" t="s">
        <v>10</v>
      </c>
      <c r="E3626" t="s">
        <v>11</v>
      </c>
      <c r="F3626" t="s">
        <v>12</v>
      </c>
      <c r="G3626" t="s">
        <v>13</v>
      </c>
      <c r="H3626" t="s">
        <v>12</v>
      </c>
      <c r="I3626">
        <v>60</v>
      </c>
      <c r="J3626">
        <f>ABS((I3626-EDA!$A$15)/EDA!$B$15)</f>
        <v>1.2717962542471923</v>
      </c>
      <c r="K3626" t="str">
        <f t="shared" si="56"/>
        <v>No</v>
      </c>
      <c r="L3626">
        <f>ABS((C3626-EDA!$F$15)/EDA!$G$15)</f>
        <v>0.34146163150108416</v>
      </c>
      <c r="M3626" t="str">
        <f>IF(moras[[#This Row],[Z-Score Salario]]&gt;1.96, "Sí", "No")</f>
        <v>No</v>
      </c>
      <c r="N3626" s="14">
        <f>IF(ISBLANK(moras[[#This Row],[SALARIO]]), EDA!$M$8, moras[[#This Row],[SALARIO]])</f>
        <v>2054741</v>
      </c>
      <c r="O3626" s="14">
        <f xml:space="preserve"> IF(ISBLANK(moras[[#This Row],[EDAD]]), EDA!$E$8, moras[[#This Row],[EDAD]])</f>
        <v>60</v>
      </c>
      <c r="P3626" s="14" t="str">
        <f>IF(
    OR(ISBLANK(moras[[#This Row],[TIPO_ASEGURAMIENTO]]), moras[[#This Row],[TIPO_ASEGURAMIENTO]]=""),
    EDA!$A$32,
    moras[[#This Row],[TIPO_ASEGURAMIENTO]]
)</f>
        <v>ASALARIADO</v>
      </c>
    </row>
    <row r="3627" spans="1:16" x14ac:dyDescent="0.3">
      <c r="A3627">
        <v>3626</v>
      </c>
      <c r="B3627" t="s">
        <v>9</v>
      </c>
      <c r="C3627">
        <v>24199384</v>
      </c>
      <c r="D3627" t="s">
        <v>10</v>
      </c>
      <c r="E3627" t="s">
        <v>11</v>
      </c>
      <c r="F3627" t="s">
        <v>12</v>
      </c>
      <c r="G3627" t="s">
        <v>13</v>
      </c>
      <c r="H3627" t="s">
        <v>13</v>
      </c>
      <c r="I3627">
        <v>36</v>
      </c>
      <c r="J3627">
        <f>ABS((I3627-EDA!$A$15)/EDA!$B$15)</f>
        <v>0.42201166760410774</v>
      </c>
      <c r="K3627" t="str">
        <f t="shared" si="56"/>
        <v>No</v>
      </c>
      <c r="L3627">
        <f>ABS((C3627-EDA!$F$15)/EDA!$G$15)</f>
        <v>2.704086019251167E-2</v>
      </c>
      <c r="M3627" t="str">
        <f>IF(moras[[#This Row],[Z-Score Salario]]&gt;1.96, "Sí", "No")</f>
        <v>No</v>
      </c>
      <c r="N3627" s="14">
        <f>IF(ISBLANK(moras[[#This Row],[SALARIO]]), EDA!$M$8, moras[[#This Row],[SALARIO]])</f>
        <v>24199384</v>
      </c>
      <c r="O3627" s="14">
        <f xml:space="preserve"> IF(ISBLANK(moras[[#This Row],[EDAD]]), EDA!$E$8, moras[[#This Row],[EDAD]])</f>
        <v>36</v>
      </c>
      <c r="P3627" s="14" t="str">
        <f>IF(
    OR(ISBLANK(moras[[#This Row],[TIPO_ASEGURAMIENTO]]), moras[[#This Row],[TIPO_ASEGURAMIENTO]]=""),
    EDA!$A$32,
    moras[[#This Row],[TIPO_ASEGURAMIENTO]]
)</f>
        <v>ASALARIADO</v>
      </c>
    </row>
    <row r="3628" spans="1:16" x14ac:dyDescent="0.3">
      <c r="A3628">
        <v>3627</v>
      </c>
      <c r="B3628" t="s">
        <v>9</v>
      </c>
      <c r="C3628">
        <v>671573</v>
      </c>
      <c r="D3628" t="s">
        <v>10</v>
      </c>
      <c r="E3628" t="s">
        <v>11</v>
      </c>
      <c r="F3628" t="s">
        <v>12</v>
      </c>
      <c r="G3628" t="s">
        <v>13</v>
      </c>
      <c r="H3628" t="s">
        <v>13</v>
      </c>
      <c r="I3628">
        <v>41</v>
      </c>
      <c r="J3628">
        <f>ABS((I3628-EDA!$A$15)/EDA!$B$15)</f>
        <v>6.9135017218420233E-2</v>
      </c>
      <c r="K3628" t="str">
        <f t="shared" si="56"/>
        <v>No</v>
      </c>
      <c r="L3628">
        <f>ABS((C3628-EDA!$F$15)/EDA!$G$15)</f>
        <v>0.36447852341624609</v>
      </c>
      <c r="M3628" t="str">
        <f>IF(moras[[#This Row],[Z-Score Salario]]&gt;1.96, "Sí", "No")</f>
        <v>No</v>
      </c>
      <c r="N3628" s="14">
        <f>IF(ISBLANK(moras[[#This Row],[SALARIO]]), EDA!$M$8, moras[[#This Row],[SALARIO]])</f>
        <v>671573</v>
      </c>
      <c r="O3628" s="14">
        <f xml:space="preserve"> IF(ISBLANK(moras[[#This Row],[EDAD]]), EDA!$E$8, moras[[#This Row],[EDAD]])</f>
        <v>41</v>
      </c>
      <c r="P3628" s="14" t="str">
        <f>IF(
    OR(ISBLANK(moras[[#This Row],[TIPO_ASEGURAMIENTO]]), moras[[#This Row],[TIPO_ASEGURAMIENTO]]=""),
    EDA!$A$32,
    moras[[#This Row],[TIPO_ASEGURAMIENTO]]
)</f>
        <v>ASALARIADO</v>
      </c>
    </row>
    <row r="3629" spans="1:16" x14ac:dyDescent="0.3">
      <c r="A3629">
        <v>3628</v>
      </c>
      <c r="B3629" t="s">
        <v>15</v>
      </c>
      <c r="C3629">
        <v>27803099</v>
      </c>
      <c r="D3629" t="s">
        <v>18</v>
      </c>
      <c r="E3629" t="s">
        <v>16</v>
      </c>
      <c r="F3629" t="s">
        <v>12</v>
      </c>
      <c r="G3629" t="s">
        <v>12</v>
      </c>
      <c r="H3629" t="s">
        <v>13</v>
      </c>
      <c r="I3629">
        <v>30</v>
      </c>
      <c r="J3629">
        <f>ABS((I3629-EDA!$A$15)/EDA!$B$15)</f>
        <v>0.84546364806693275</v>
      </c>
      <c r="K3629" t="str">
        <f t="shared" si="56"/>
        <v>No</v>
      </c>
      <c r="L3629">
        <f>ABS((C3629-EDA!$F$15)/EDA!$G$15)</f>
        <v>8.7009221698885322E-2</v>
      </c>
      <c r="M3629" t="str">
        <f>IF(moras[[#This Row],[Z-Score Salario]]&gt;1.96, "Sí", "No")</f>
        <v>No</v>
      </c>
      <c r="N3629" s="14">
        <f>IF(ISBLANK(moras[[#This Row],[SALARIO]]), EDA!$M$8, moras[[#This Row],[SALARIO]])</f>
        <v>27803099</v>
      </c>
      <c r="O3629" s="14">
        <f xml:space="preserve"> IF(ISBLANK(moras[[#This Row],[EDAD]]), EDA!$E$8, moras[[#This Row],[EDAD]])</f>
        <v>30</v>
      </c>
      <c r="P3629" s="14" t="str">
        <f>IF(
    OR(ISBLANK(moras[[#This Row],[TIPO_ASEGURAMIENTO]]), moras[[#This Row],[TIPO_ASEGURAMIENTO]]=""),
    EDA!$A$32,
    moras[[#This Row],[TIPO_ASEGURAMIENTO]]
)</f>
        <v>TRABAJADOR INDEPENDIENTE</v>
      </c>
    </row>
    <row r="3630" spans="1:16" x14ac:dyDescent="0.3">
      <c r="A3630">
        <v>3629</v>
      </c>
      <c r="B3630" t="s">
        <v>9</v>
      </c>
      <c r="C3630">
        <v>1557874</v>
      </c>
      <c r="D3630" t="s">
        <v>10</v>
      </c>
      <c r="E3630" t="s">
        <v>11</v>
      </c>
      <c r="F3630" t="s">
        <v>12</v>
      </c>
      <c r="G3630" t="s">
        <v>13</v>
      </c>
      <c r="H3630" t="s">
        <v>12</v>
      </c>
      <c r="I3630">
        <v>32</v>
      </c>
      <c r="J3630">
        <f>ABS((I3630-EDA!$A$15)/EDA!$B$15)</f>
        <v>0.70431298791265773</v>
      </c>
      <c r="K3630" t="str">
        <f t="shared" si="56"/>
        <v>No</v>
      </c>
      <c r="L3630">
        <f>ABS((C3630-EDA!$F$15)/EDA!$G$15)</f>
        <v>0.34972984912555982</v>
      </c>
      <c r="M3630" t="str">
        <f>IF(moras[[#This Row],[Z-Score Salario]]&gt;1.96, "Sí", "No")</f>
        <v>No</v>
      </c>
      <c r="N3630" s="14">
        <f>IF(ISBLANK(moras[[#This Row],[SALARIO]]), EDA!$M$8, moras[[#This Row],[SALARIO]])</f>
        <v>1557874</v>
      </c>
      <c r="O3630" s="14">
        <f xml:space="preserve"> IF(ISBLANK(moras[[#This Row],[EDAD]]), EDA!$E$8, moras[[#This Row],[EDAD]])</f>
        <v>32</v>
      </c>
      <c r="P3630" s="14" t="str">
        <f>IF(
    OR(ISBLANK(moras[[#This Row],[TIPO_ASEGURAMIENTO]]), moras[[#This Row],[TIPO_ASEGURAMIENTO]]=""),
    EDA!$A$32,
    moras[[#This Row],[TIPO_ASEGURAMIENTO]]
)</f>
        <v>ASALARIADO</v>
      </c>
    </row>
    <row r="3631" spans="1:16" x14ac:dyDescent="0.3">
      <c r="A3631">
        <v>3630</v>
      </c>
      <c r="B3631" t="s">
        <v>15</v>
      </c>
      <c r="C3631">
        <v>32097997</v>
      </c>
      <c r="D3631" t="s">
        <v>10</v>
      </c>
      <c r="E3631" t="s">
        <v>16</v>
      </c>
      <c r="F3631" t="s">
        <v>12</v>
      </c>
      <c r="G3631" t="s">
        <v>13</v>
      </c>
      <c r="H3631" t="s">
        <v>13</v>
      </c>
      <c r="I3631">
        <v>29</v>
      </c>
      <c r="J3631">
        <f>ABS((I3631-EDA!$A$15)/EDA!$B$15)</f>
        <v>0.91603897814407031</v>
      </c>
      <c r="K3631" t="str">
        <f t="shared" si="56"/>
        <v>No</v>
      </c>
      <c r="L3631">
        <f>ABS((C3631-EDA!$F$15)/EDA!$G$15)</f>
        <v>0.15847935623976914</v>
      </c>
      <c r="M3631" t="str">
        <f>IF(moras[[#This Row],[Z-Score Salario]]&gt;1.96, "Sí", "No")</f>
        <v>No</v>
      </c>
      <c r="N3631" s="14">
        <f>IF(ISBLANK(moras[[#This Row],[SALARIO]]), EDA!$M$8, moras[[#This Row],[SALARIO]])</f>
        <v>32097997</v>
      </c>
      <c r="O3631" s="14">
        <f xml:space="preserve"> IF(ISBLANK(moras[[#This Row],[EDAD]]), EDA!$E$8, moras[[#This Row],[EDAD]])</f>
        <v>29</v>
      </c>
      <c r="P3631" s="14" t="str">
        <f>IF(
    OR(ISBLANK(moras[[#This Row],[TIPO_ASEGURAMIENTO]]), moras[[#This Row],[TIPO_ASEGURAMIENTO]]=""),
    EDA!$A$32,
    moras[[#This Row],[TIPO_ASEGURAMIENTO]]
)</f>
        <v>ASALARIADO</v>
      </c>
    </row>
    <row r="3632" spans="1:16" x14ac:dyDescent="0.3">
      <c r="A3632">
        <v>3631</v>
      </c>
      <c r="B3632" t="s">
        <v>15</v>
      </c>
      <c r="C3632">
        <v>119964</v>
      </c>
      <c r="D3632" t="s">
        <v>10</v>
      </c>
      <c r="E3632" t="s">
        <v>11</v>
      </c>
      <c r="F3632" t="s">
        <v>12</v>
      </c>
      <c r="G3632" t="s">
        <v>13</v>
      </c>
      <c r="H3632" t="s">
        <v>12</v>
      </c>
      <c r="I3632">
        <v>25</v>
      </c>
      <c r="J3632">
        <f>ABS((I3632-EDA!$A$15)/EDA!$B$15)</f>
        <v>1.1983402984526204</v>
      </c>
      <c r="K3632" t="str">
        <f t="shared" si="56"/>
        <v>No</v>
      </c>
      <c r="L3632">
        <f>ABS((C3632-EDA!$F$15)/EDA!$G$15)</f>
        <v>0.3736576865637673</v>
      </c>
      <c r="M3632" t="str">
        <f>IF(moras[[#This Row],[Z-Score Salario]]&gt;1.96, "Sí", "No")</f>
        <v>No</v>
      </c>
      <c r="N3632" s="14">
        <f>IF(ISBLANK(moras[[#This Row],[SALARIO]]), EDA!$M$8, moras[[#This Row],[SALARIO]])</f>
        <v>119964</v>
      </c>
      <c r="O3632" s="14">
        <f xml:space="preserve"> IF(ISBLANK(moras[[#This Row],[EDAD]]), EDA!$E$8, moras[[#This Row],[EDAD]])</f>
        <v>25</v>
      </c>
      <c r="P3632" s="14" t="str">
        <f>IF(
    OR(ISBLANK(moras[[#This Row],[TIPO_ASEGURAMIENTO]]), moras[[#This Row],[TIPO_ASEGURAMIENTO]]=""),
    EDA!$A$32,
    moras[[#This Row],[TIPO_ASEGURAMIENTO]]
)</f>
        <v>ASALARIADO</v>
      </c>
    </row>
    <row r="3633" spans="1:16" x14ac:dyDescent="0.3">
      <c r="A3633">
        <v>3632</v>
      </c>
      <c r="B3633" t="s">
        <v>9</v>
      </c>
      <c r="C3633">
        <v>44401107</v>
      </c>
      <c r="D3633" t="s">
        <v>10</v>
      </c>
      <c r="E3633" t="s">
        <v>16</v>
      </c>
      <c r="F3633" t="s">
        <v>12</v>
      </c>
      <c r="G3633" t="s">
        <v>13</v>
      </c>
      <c r="H3633" t="s">
        <v>13</v>
      </c>
      <c r="I3633">
        <v>23</v>
      </c>
      <c r="J3633">
        <f>ABS((I3633-EDA!$A$15)/EDA!$B$15)</f>
        <v>1.3394909586068953</v>
      </c>
      <c r="K3633" t="str">
        <f t="shared" si="56"/>
        <v>No</v>
      </c>
      <c r="L3633">
        <f>ABS((C3633-EDA!$F$15)/EDA!$G$15)</f>
        <v>0.36321179155518135</v>
      </c>
      <c r="M3633" t="str">
        <f>IF(moras[[#This Row],[Z-Score Salario]]&gt;1.96, "Sí", "No")</f>
        <v>No</v>
      </c>
      <c r="N3633" s="14">
        <f>IF(ISBLANK(moras[[#This Row],[SALARIO]]), EDA!$M$8, moras[[#This Row],[SALARIO]])</f>
        <v>44401107</v>
      </c>
      <c r="O3633" s="14">
        <f xml:space="preserve"> IF(ISBLANK(moras[[#This Row],[EDAD]]), EDA!$E$8, moras[[#This Row],[EDAD]])</f>
        <v>23</v>
      </c>
      <c r="P3633" s="14" t="str">
        <f>IF(
    OR(ISBLANK(moras[[#This Row],[TIPO_ASEGURAMIENTO]]), moras[[#This Row],[TIPO_ASEGURAMIENTO]]=""),
    EDA!$A$32,
    moras[[#This Row],[TIPO_ASEGURAMIENTO]]
)</f>
        <v>ASALARIADO</v>
      </c>
    </row>
    <row r="3634" spans="1:16" x14ac:dyDescent="0.3">
      <c r="A3634">
        <v>3633</v>
      </c>
      <c r="B3634" t="s">
        <v>9</v>
      </c>
      <c r="C3634">
        <v>391531</v>
      </c>
      <c r="D3634" t="s">
        <v>10</v>
      </c>
      <c r="E3634" t="s">
        <v>16</v>
      </c>
      <c r="F3634" t="s">
        <v>12</v>
      </c>
      <c r="G3634" t="s">
        <v>12</v>
      </c>
      <c r="H3634" t="s">
        <v>13</v>
      </c>
      <c r="I3634">
        <v>41</v>
      </c>
      <c r="J3634">
        <f>ABS((I3634-EDA!$A$15)/EDA!$B$15)</f>
        <v>6.9135017218420233E-2</v>
      </c>
      <c r="K3634" t="str">
        <f t="shared" si="56"/>
        <v>No</v>
      </c>
      <c r="L3634">
        <f>ABS((C3634-EDA!$F$15)/EDA!$G$15)</f>
        <v>0.36913861998130965</v>
      </c>
      <c r="M3634" t="str">
        <f>IF(moras[[#This Row],[Z-Score Salario]]&gt;1.96, "Sí", "No")</f>
        <v>No</v>
      </c>
      <c r="N3634" s="14">
        <f>IF(ISBLANK(moras[[#This Row],[SALARIO]]), EDA!$M$8, moras[[#This Row],[SALARIO]])</f>
        <v>391531</v>
      </c>
      <c r="O3634" s="14">
        <f xml:space="preserve"> IF(ISBLANK(moras[[#This Row],[EDAD]]), EDA!$E$8, moras[[#This Row],[EDAD]])</f>
        <v>41</v>
      </c>
      <c r="P3634" s="14" t="str">
        <f>IF(
    OR(ISBLANK(moras[[#This Row],[TIPO_ASEGURAMIENTO]]), moras[[#This Row],[TIPO_ASEGURAMIENTO]]=""),
    EDA!$A$32,
    moras[[#This Row],[TIPO_ASEGURAMIENTO]]
)</f>
        <v>ASALARIADO</v>
      </c>
    </row>
    <row r="3635" spans="1:16" x14ac:dyDescent="0.3">
      <c r="A3635">
        <v>3634</v>
      </c>
      <c r="B3635" t="s">
        <v>15</v>
      </c>
      <c r="C3635">
        <v>18455775</v>
      </c>
      <c r="D3635" t="s">
        <v>10</v>
      </c>
      <c r="E3635" t="s">
        <v>16</v>
      </c>
      <c r="F3635" t="s">
        <v>12</v>
      </c>
      <c r="G3635" t="s">
        <v>12</v>
      </c>
      <c r="H3635" t="s">
        <v>13</v>
      </c>
      <c r="I3635">
        <v>33</v>
      </c>
      <c r="J3635">
        <f>ABS((I3635-EDA!$A$15)/EDA!$B$15)</f>
        <v>0.63373765783552027</v>
      </c>
      <c r="K3635" t="str">
        <f t="shared" si="56"/>
        <v>No</v>
      </c>
      <c r="L3635">
        <f>ABS((C3635-EDA!$F$15)/EDA!$G$15)</f>
        <v>6.8536848051137245E-2</v>
      </c>
      <c r="M3635" t="str">
        <f>IF(moras[[#This Row],[Z-Score Salario]]&gt;1.96, "Sí", "No")</f>
        <v>No</v>
      </c>
      <c r="N3635" s="14">
        <f>IF(ISBLANK(moras[[#This Row],[SALARIO]]), EDA!$M$8, moras[[#This Row],[SALARIO]])</f>
        <v>18455775</v>
      </c>
      <c r="O3635" s="14">
        <f xml:space="preserve"> IF(ISBLANK(moras[[#This Row],[EDAD]]), EDA!$E$8, moras[[#This Row],[EDAD]])</f>
        <v>33</v>
      </c>
      <c r="P3635" s="14" t="str">
        <f>IF(
    OR(ISBLANK(moras[[#This Row],[TIPO_ASEGURAMIENTO]]), moras[[#This Row],[TIPO_ASEGURAMIENTO]]=""),
    EDA!$A$32,
    moras[[#This Row],[TIPO_ASEGURAMIENTO]]
)</f>
        <v>ASALARIADO</v>
      </c>
    </row>
    <row r="3636" spans="1:16" x14ac:dyDescent="0.3">
      <c r="A3636">
        <v>3635</v>
      </c>
      <c r="B3636" t="s">
        <v>9</v>
      </c>
      <c r="C3636">
        <v>297046</v>
      </c>
      <c r="D3636" t="s">
        <v>18</v>
      </c>
      <c r="E3636" t="s">
        <v>16</v>
      </c>
      <c r="F3636" t="s">
        <v>12</v>
      </c>
      <c r="G3636" t="s">
        <v>13</v>
      </c>
      <c r="H3636" t="s">
        <v>13</v>
      </c>
      <c r="I3636">
        <v>41</v>
      </c>
      <c r="J3636">
        <f>ABS((I3636-EDA!$A$15)/EDA!$B$15)</f>
        <v>6.9135017218420233E-2</v>
      </c>
      <c r="K3636" t="str">
        <f t="shared" si="56"/>
        <v>No</v>
      </c>
      <c r="L3636">
        <f>ABS((C3636-EDA!$F$15)/EDA!$G$15)</f>
        <v>0.37071091707942361</v>
      </c>
      <c r="M3636" t="str">
        <f>IF(moras[[#This Row],[Z-Score Salario]]&gt;1.96, "Sí", "No")</f>
        <v>No</v>
      </c>
      <c r="N3636" s="14">
        <f>IF(ISBLANK(moras[[#This Row],[SALARIO]]), EDA!$M$8, moras[[#This Row],[SALARIO]])</f>
        <v>297046</v>
      </c>
      <c r="O3636" s="14">
        <f xml:space="preserve"> IF(ISBLANK(moras[[#This Row],[EDAD]]), EDA!$E$8, moras[[#This Row],[EDAD]])</f>
        <v>41</v>
      </c>
      <c r="P3636" s="14" t="str">
        <f>IF(
    OR(ISBLANK(moras[[#This Row],[TIPO_ASEGURAMIENTO]]), moras[[#This Row],[TIPO_ASEGURAMIENTO]]=""),
    EDA!$A$32,
    moras[[#This Row],[TIPO_ASEGURAMIENTO]]
)</f>
        <v>TRABAJADOR INDEPENDIENTE</v>
      </c>
    </row>
    <row r="3637" spans="1:16" x14ac:dyDescent="0.3">
      <c r="A3637">
        <v>3636</v>
      </c>
      <c r="B3637" t="s">
        <v>9</v>
      </c>
      <c r="C3637">
        <v>299784</v>
      </c>
      <c r="D3637" t="s">
        <v>18</v>
      </c>
      <c r="E3637" t="s">
        <v>16</v>
      </c>
      <c r="F3637" t="s">
        <v>12</v>
      </c>
      <c r="G3637" t="s">
        <v>13</v>
      </c>
      <c r="H3637" t="s">
        <v>13</v>
      </c>
      <c r="I3637">
        <v>33</v>
      </c>
      <c r="J3637">
        <f>ABS((I3637-EDA!$A$15)/EDA!$B$15)</f>
        <v>0.63373765783552027</v>
      </c>
      <c r="K3637" t="str">
        <f t="shared" si="56"/>
        <v>No</v>
      </c>
      <c r="L3637">
        <f>ABS((C3637-EDA!$F$15)/EDA!$G$15)</f>
        <v>0.37066535482663598</v>
      </c>
      <c r="M3637" t="str">
        <f>IF(moras[[#This Row],[Z-Score Salario]]&gt;1.96, "Sí", "No")</f>
        <v>No</v>
      </c>
      <c r="N3637" s="14">
        <f>IF(ISBLANK(moras[[#This Row],[SALARIO]]), EDA!$M$8, moras[[#This Row],[SALARIO]])</f>
        <v>299784</v>
      </c>
      <c r="O3637" s="14">
        <f xml:space="preserve"> IF(ISBLANK(moras[[#This Row],[EDAD]]), EDA!$E$8, moras[[#This Row],[EDAD]])</f>
        <v>33</v>
      </c>
      <c r="P3637" s="14" t="str">
        <f>IF(
    OR(ISBLANK(moras[[#This Row],[TIPO_ASEGURAMIENTO]]), moras[[#This Row],[TIPO_ASEGURAMIENTO]]=""),
    EDA!$A$32,
    moras[[#This Row],[TIPO_ASEGURAMIENTO]]
)</f>
        <v>TRABAJADOR INDEPENDIENTE</v>
      </c>
    </row>
    <row r="3638" spans="1:16" x14ac:dyDescent="0.3">
      <c r="A3638">
        <v>3637</v>
      </c>
      <c r="B3638" t="s">
        <v>9</v>
      </c>
      <c r="C3638">
        <v>668500</v>
      </c>
      <c r="D3638" t="s">
        <v>10</v>
      </c>
      <c r="E3638" t="s">
        <v>16</v>
      </c>
      <c r="F3638" t="s">
        <v>12</v>
      </c>
      <c r="G3638" t="s">
        <v>13</v>
      </c>
      <c r="H3638" t="s">
        <v>13</v>
      </c>
      <c r="I3638">
        <v>34</v>
      </c>
      <c r="J3638">
        <f>ABS((I3638-EDA!$A$15)/EDA!$B$15)</f>
        <v>0.56316232775838282</v>
      </c>
      <c r="K3638" t="str">
        <f t="shared" si="56"/>
        <v>No</v>
      </c>
      <c r="L3638">
        <f>ABS((C3638-EDA!$F$15)/EDA!$G$15)</f>
        <v>0.36452966030551431</v>
      </c>
      <c r="M3638" t="str">
        <f>IF(moras[[#This Row],[Z-Score Salario]]&gt;1.96, "Sí", "No")</f>
        <v>No</v>
      </c>
      <c r="N3638" s="14">
        <f>IF(ISBLANK(moras[[#This Row],[SALARIO]]), EDA!$M$8, moras[[#This Row],[SALARIO]])</f>
        <v>668500</v>
      </c>
      <c r="O3638" s="14">
        <f xml:space="preserve"> IF(ISBLANK(moras[[#This Row],[EDAD]]), EDA!$E$8, moras[[#This Row],[EDAD]])</f>
        <v>34</v>
      </c>
      <c r="P3638" s="14" t="str">
        <f>IF(
    OR(ISBLANK(moras[[#This Row],[TIPO_ASEGURAMIENTO]]), moras[[#This Row],[TIPO_ASEGURAMIENTO]]=""),
    EDA!$A$32,
    moras[[#This Row],[TIPO_ASEGURAMIENTO]]
)</f>
        <v>ASALARIADO</v>
      </c>
    </row>
    <row r="3639" spans="1:16" x14ac:dyDescent="0.3">
      <c r="A3639">
        <v>3638</v>
      </c>
      <c r="B3639" t="s">
        <v>15</v>
      </c>
      <c r="C3639">
        <v>278030</v>
      </c>
      <c r="D3639" t="s">
        <v>19</v>
      </c>
      <c r="E3639" t="s">
        <v>16</v>
      </c>
      <c r="F3639" t="s">
        <v>12</v>
      </c>
      <c r="G3639" t="s">
        <v>13</v>
      </c>
      <c r="H3639" t="s">
        <v>13</v>
      </c>
      <c r="I3639">
        <v>32</v>
      </c>
      <c r="J3639">
        <f>ABS((I3639-EDA!$A$15)/EDA!$B$15)</f>
        <v>0.70431298791265773</v>
      </c>
      <c r="K3639" t="str">
        <f t="shared" si="56"/>
        <v>No</v>
      </c>
      <c r="L3639">
        <f>ABS((C3639-EDA!$F$15)/EDA!$G$15)</f>
        <v>0.37102735674304993</v>
      </c>
      <c r="M3639" t="str">
        <f>IF(moras[[#This Row],[Z-Score Salario]]&gt;1.96, "Sí", "No")</f>
        <v>No</v>
      </c>
      <c r="N3639" s="14">
        <f>IF(ISBLANK(moras[[#This Row],[SALARIO]]), EDA!$M$8, moras[[#This Row],[SALARIO]])</f>
        <v>278030</v>
      </c>
      <c r="O3639" s="14">
        <f xml:space="preserve"> IF(ISBLANK(moras[[#This Row],[EDAD]]), EDA!$E$8, moras[[#This Row],[EDAD]])</f>
        <v>32</v>
      </c>
      <c r="P3639" s="14" t="str">
        <f>IF(
    OR(ISBLANK(moras[[#This Row],[TIPO_ASEGURAMIENTO]]), moras[[#This Row],[TIPO_ASEGURAMIENTO]]=""),
    EDA!$A$32,
    moras[[#This Row],[TIPO_ASEGURAMIENTO]]
)</f>
        <v>CONVENIOS ESPECIALES DE TRABAJADORES INDEPENDIENTES</v>
      </c>
    </row>
    <row r="3640" spans="1:16" x14ac:dyDescent="0.3">
      <c r="A3640">
        <v>3639</v>
      </c>
      <c r="B3640" t="s">
        <v>15</v>
      </c>
      <c r="C3640">
        <v>507944</v>
      </c>
      <c r="D3640" t="s">
        <v>18</v>
      </c>
      <c r="E3640" t="s">
        <v>16</v>
      </c>
      <c r="F3640" t="s">
        <v>12</v>
      </c>
      <c r="G3640" t="s">
        <v>13</v>
      </c>
      <c r="H3640" t="s">
        <v>12</v>
      </c>
      <c r="I3640">
        <v>77</v>
      </c>
      <c r="J3640">
        <f>ABS((I3640-EDA!$A$15)/EDA!$B$15)</f>
        <v>2.47157686555853</v>
      </c>
      <c r="K3640" t="str">
        <f t="shared" si="56"/>
        <v>Sí</v>
      </c>
      <c r="L3640">
        <f>ABS((C3640-EDA!$F$15)/EDA!$G$15)</f>
        <v>0.36720142548395301</v>
      </c>
      <c r="M3640" t="str">
        <f>IF(moras[[#This Row],[Z-Score Salario]]&gt;1.96, "Sí", "No")</f>
        <v>No</v>
      </c>
      <c r="N3640" s="14">
        <f>IF(ISBLANK(moras[[#This Row],[SALARIO]]), EDA!$M$8, moras[[#This Row],[SALARIO]])</f>
        <v>507944</v>
      </c>
      <c r="O3640" s="14">
        <f xml:space="preserve"> IF(ISBLANK(moras[[#This Row],[EDAD]]), EDA!$E$8, moras[[#This Row],[EDAD]])</f>
        <v>77</v>
      </c>
      <c r="P3640" s="14" t="str">
        <f>IF(
    OR(ISBLANK(moras[[#This Row],[TIPO_ASEGURAMIENTO]]), moras[[#This Row],[TIPO_ASEGURAMIENTO]]=""),
    EDA!$A$32,
    moras[[#This Row],[TIPO_ASEGURAMIENTO]]
)</f>
        <v>TRABAJADOR INDEPENDIENTE</v>
      </c>
    </row>
    <row r="3641" spans="1:16" x14ac:dyDescent="0.3">
      <c r="A3641">
        <v>3640</v>
      </c>
      <c r="B3641" t="s">
        <v>15</v>
      </c>
      <c r="C3641">
        <v>300018</v>
      </c>
      <c r="D3641" t="s">
        <v>17</v>
      </c>
      <c r="E3641" t="s">
        <v>16</v>
      </c>
      <c r="F3641" t="s">
        <v>12</v>
      </c>
      <c r="G3641" t="s">
        <v>13</v>
      </c>
      <c r="H3641" t="s">
        <v>13</v>
      </c>
      <c r="I3641">
        <v>57</v>
      </c>
      <c r="J3641">
        <f>ABS((I3641-EDA!$A$15)/EDA!$B$15)</f>
        <v>1.0600702640157798</v>
      </c>
      <c r="K3641" t="str">
        <f t="shared" si="56"/>
        <v>No</v>
      </c>
      <c r="L3641">
        <f>ABS((C3641-EDA!$F$15)/EDA!$G$15)</f>
        <v>0.37066146090145252</v>
      </c>
      <c r="M3641" t="str">
        <f>IF(moras[[#This Row],[Z-Score Salario]]&gt;1.96, "Sí", "No")</f>
        <v>No</v>
      </c>
      <c r="N3641" s="14">
        <f>IF(ISBLANK(moras[[#This Row],[SALARIO]]), EDA!$M$8, moras[[#This Row],[SALARIO]])</f>
        <v>300018</v>
      </c>
      <c r="O3641" s="14">
        <f xml:space="preserve"> IF(ISBLANK(moras[[#This Row],[EDAD]]), EDA!$E$8, moras[[#This Row],[EDAD]])</f>
        <v>57</v>
      </c>
      <c r="P3641" s="14" t="str">
        <f>IF(
    OR(ISBLANK(moras[[#This Row],[TIPO_ASEGURAMIENTO]]), moras[[#This Row],[TIPO_ASEGURAMIENTO]]=""),
    EDA!$A$32,
    moras[[#This Row],[TIPO_ASEGURAMIENTO]]
)</f>
        <v>ASEGURADO VOLUNTARIO</v>
      </c>
    </row>
    <row r="3642" spans="1:16" x14ac:dyDescent="0.3">
      <c r="A3642">
        <v>3641</v>
      </c>
      <c r="B3642" t="s">
        <v>15</v>
      </c>
      <c r="C3642">
        <v>367500</v>
      </c>
      <c r="D3642" t="s">
        <v>10</v>
      </c>
      <c r="E3642" t="s">
        <v>16</v>
      </c>
      <c r="F3642" t="s">
        <v>12</v>
      </c>
      <c r="G3642" t="s">
        <v>13</v>
      </c>
      <c r="H3642" t="s">
        <v>13</v>
      </c>
      <c r="I3642">
        <v>54</v>
      </c>
      <c r="J3642">
        <f>ABS((I3642-EDA!$A$15)/EDA!$B$15)</f>
        <v>0.84834427378436728</v>
      </c>
      <c r="K3642" t="str">
        <f t="shared" si="56"/>
        <v>No</v>
      </c>
      <c r="L3642">
        <f>ABS((C3642-EDA!$F$15)/EDA!$G$15)</f>
        <v>0.36953851278508565</v>
      </c>
      <c r="M3642" t="str">
        <f>IF(moras[[#This Row],[Z-Score Salario]]&gt;1.96, "Sí", "No")</f>
        <v>No</v>
      </c>
      <c r="N3642" s="14">
        <f>IF(ISBLANK(moras[[#This Row],[SALARIO]]), EDA!$M$8, moras[[#This Row],[SALARIO]])</f>
        <v>367500</v>
      </c>
      <c r="O3642" s="14">
        <f xml:space="preserve"> IF(ISBLANK(moras[[#This Row],[EDAD]]), EDA!$E$8, moras[[#This Row],[EDAD]])</f>
        <v>54</v>
      </c>
      <c r="P3642" s="14" t="str">
        <f>IF(
    OR(ISBLANK(moras[[#This Row],[TIPO_ASEGURAMIENTO]]), moras[[#This Row],[TIPO_ASEGURAMIENTO]]=""),
    EDA!$A$32,
    moras[[#This Row],[TIPO_ASEGURAMIENTO]]
)</f>
        <v>ASALARIADO</v>
      </c>
    </row>
    <row r="3643" spans="1:16" x14ac:dyDescent="0.3">
      <c r="A3643">
        <v>3642</v>
      </c>
      <c r="B3643" t="s">
        <v>15</v>
      </c>
      <c r="C3643">
        <v>1576048</v>
      </c>
      <c r="D3643" t="s">
        <v>18</v>
      </c>
      <c r="E3643" t="s">
        <v>16</v>
      </c>
      <c r="F3643" t="s">
        <v>12</v>
      </c>
      <c r="G3643" t="s">
        <v>13</v>
      </c>
      <c r="H3643" t="s">
        <v>12</v>
      </c>
      <c r="I3643">
        <v>56</v>
      </c>
      <c r="J3643">
        <f>ABS((I3643-EDA!$A$15)/EDA!$B$15)</f>
        <v>0.9894949339386423</v>
      </c>
      <c r="K3643" t="str">
        <f t="shared" si="56"/>
        <v>No</v>
      </c>
      <c r="L3643">
        <f>ABS((C3643-EDA!$F$15)/EDA!$G$15)</f>
        <v>0.34942742093631157</v>
      </c>
      <c r="M3643" t="str">
        <f>IF(moras[[#This Row],[Z-Score Salario]]&gt;1.96, "Sí", "No")</f>
        <v>No</v>
      </c>
      <c r="N3643" s="14">
        <f>IF(ISBLANK(moras[[#This Row],[SALARIO]]), EDA!$M$8, moras[[#This Row],[SALARIO]])</f>
        <v>1576048</v>
      </c>
      <c r="O3643" s="14">
        <f xml:space="preserve"> IF(ISBLANK(moras[[#This Row],[EDAD]]), EDA!$E$8, moras[[#This Row],[EDAD]])</f>
        <v>56</v>
      </c>
      <c r="P3643" s="14" t="str">
        <f>IF(
    OR(ISBLANK(moras[[#This Row],[TIPO_ASEGURAMIENTO]]), moras[[#This Row],[TIPO_ASEGURAMIENTO]]=""),
    EDA!$A$32,
    moras[[#This Row],[TIPO_ASEGURAMIENTO]]
)</f>
        <v>TRABAJADOR INDEPENDIENTE</v>
      </c>
    </row>
    <row r="3644" spans="1:16" x14ac:dyDescent="0.3">
      <c r="A3644">
        <v>3643</v>
      </c>
      <c r="B3644" t="s">
        <v>15</v>
      </c>
      <c r="C3644">
        <v>392276</v>
      </c>
      <c r="D3644" t="s">
        <v>10</v>
      </c>
      <c r="E3644" t="s">
        <v>11</v>
      </c>
      <c r="F3644" t="s">
        <v>12</v>
      </c>
      <c r="G3644" t="s">
        <v>13</v>
      </c>
      <c r="H3644" t="s">
        <v>12</v>
      </c>
      <c r="I3644">
        <v>61</v>
      </c>
      <c r="J3644">
        <f>ABS((I3644-EDA!$A$15)/EDA!$B$15)</f>
        <v>1.3423715843243298</v>
      </c>
      <c r="K3644" t="str">
        <f t="shared" si="56"/>
        <v>No</v>
      </c>
      <c r="L3644">
        <f>ABS((C3644-EDA!$F$15)/EDA!$G$15)</f>
        <v>0.36912622265540507</v>
      </c>
      <c r="M3644" t="str">
        <f>IF(moras[[#This Row],[Z-Score Salario]]&gt;1.96, "Sí", "No")</f>
        <v>No</v>
      </c>
      <c r="N3644" s="14">
        <f>IF(ISBLANK(moras[[#This Row],[SALARIO]]), EDA!$M$8, moras[[#This Row],[SALARIO]])</f>
        <v>392276</v>
      </c>
      <c r="O3644" s="14">
        <f xml:space="preserve"> IF(ISBLANK(moras[[#This Row],[EDAD]]), EDA!$E$8, moras[[#This Row],[EDAD]])</f>
        <v>61</v>
      </c>
      <c r="P3644" s="14" t="str">
        <f>IF(
    OR(ISBLANK(moras[[#This Row],[TIPO_ASEGURAMIENTO]]), moras[[#This Row],[TIPO_ASEGURAMIENTO]]=""),
    EDA!$A$32,
    moras[[#This Row],[TIPO_ASEGURAMIENTO]]
)</f>
        <v>ASALARIADO</v>
      </c>
    </row>
    <row r="3645" spans="1:16" x14ac:dyDescent="0.3">
      <c r="A3645">
        <v>3644</v>
      </c>
      <c r="B3645" t="s">
        <v>9</v>
      </c>
      <c r="C3645">
        <v>474037</v>
      </c>
      <c r="D3645" t="s">
        <v>10</v>
      </c>
      <c r="E3645" t="s">
        <v>16</v>
      </c>
      <c r="F3645" t="s">
        <v>12</v>
      </c>
      <c r="G3645" t="s">
        <v>13</v>
      </c>
      <c r="H3645" t="s">
        <v>13</v>
      </c>
      <c r="I3645">
        <v>30</v>
      </c>
      <c r="J3645">
        <f>ABS((I3645-EDA!$A$15)/EDA!$B$15)</f>
        <v>0.84546364806693275</v>
      </c>
      <c r="K3645" t="str">
        <f t="shared" si="56"/>
        <v>No</v>
      </c>
      <c r="L3645">
        <f>ABS((C3645-EDA!$F$15)/EDA!$G$15)</f>
        <v>0.36776566189931792</v>
      </c>
      <c r="M3645" t="str">
        <f>IF(moras[[#This Row],[Z-Score Salario]]&gt;1.96, "Sí", "No")</f>
        <v>No</v>
      </c>
      <c r="N3645" s="14">
        <f>IF(ISBLANK(moras[[#This Row],[SALARIO]]), EDA!$M$8, moras[[#This Row],[SALARIO]])</f>
        <v>474037</v>
      </c>
      <c r="O3645" s="14">
        <f xml:space="preserve"> IF(ISBLANK(moras[[#This Row],[EDAD]]), EDA!$E$8, moras[[#This Row],[EDAD]])</f>
        <v>30</v>
      </c>
      <c r="P3645" s="14" t="str">
        <f>IF(
    OR(ISBLANK(moras[[#This Row],[TIPO_ASEGURAMIENTO]]), moras[[#This Row],[TIPO_ASEGURAMIENTO]]=""),
    EDA!$A$32,
    moras[[#This Row],[TIPO_ASEGURAMIENTO]]
)</f>
        <v>ASALARIADO</v>
      </c>
    </row>
    <row r="3646" spans="1:16" x14ac:dyDescent="0.3">
      <c r="A3646">
        <v>3645</v>
      </c>
      <c r="B3646" t="s">
        <v>15</v>
      </c>
      <c r="C3646">
        <v>14942401</v>
      </c>
      <c r="D3646" t="s">
        <v>10</v>
      </c>
      <c r="E3646" t="s">
        <v>16</v>
      </c>
      <c r="F3646" t="s">
        <v>12</v>
      </c>
      <c r="G3646" t="s">
        <v>13</v>
      </c>
      <c r="H3646" t="s">
        <v>13</v>
      </c>
      <c r="I3646">
        <v>32</v>
      </c>
      <c r="J3646">
        <f>ABS((I3646-EDA!$A$15)/EDA!$B$15)</f>
        <v>0.70431298791265773</v>
      </c>
      <c r="K3646" t="str">
        <f t="shared" si="56"/>
        <v>No</v>
      </c>
      <c r="L3646">
        <f>ABS((C3646-EDA!$F$15)/EDA!$G$15)</f>
        <v>0.12700187154469708</v>
      </c>
      <c r="M3646" t="str">
        <f>IF(moras[[#This Row],[Z-Score Salario]]&gt;1.96, "Sí", "No")</f>
        <v>No</v>
      </c>
      <c r="N3646" s="14">
        <f>IF(ISBLANK(moras[[#This Row],[SALARIO]]), EDA!$M$8, moras[[#This Row],[SALARIO]])</f>
        <v>14942401</v>
      </c>
      <c r="O3646" s="14">
        <f xml:space="preserve"> IF(ISBLANK(moras[[#This Row],[EDAD]]), EDA!$E$8, moras[[#This Row],[EDAD]])</f>
        <v>32</v>
      </c>
      <c r="P3646" s="14" t="str">
        <f>IF(
    OR(ISBLANK(moras[[#This Row],[TIPO_ASEGURAMIENTO]]), moras[[#This Row],[TIPO_ASEGURAMIENTO]]=""),
    EDA!$A$32,
    moras[[#This Row],[TIPO_ASEGURAMIENTO]]
)</f>
        <v>ASALARIADO</v>
      </c>
    </row>
    <row r="3647" spans="1:16" x14ac:dyDescent="0.3">
      <c r="A3647">
        <v>3646</v>
      </c>
      <c r="B3647" t="s">
        <v>15</v>
      </c>
      <c r="C3647">
        <v>386136</v>
      </c>
      <c r="D3647" t="s">
        <v>10</v>
      </c>
      <c r="E3647" t="s">
        <v>16</v>
      </c>
      <c r="F3647" t="s">
        <v>12</v>
      </c>
      <c r="G3647" t="s">
        <v>13</v>
      </c>
      <c r="H3647" t="s">
        <v>13</v>
      </c>
      <c r="I3647">
        <v>21</v>
      </c>
      <c r="J3647">
        <f>ABS((I3647-EDA!$A$15)/EDA!$B$15)</f>
        <v>1.4806416187611704</v>
      </c>
      <c r="K3647" t="str">
        <f t="shared" si="56"/>
        <v>No</v>
      </c>
      <c r="L3647">
        <f>ABS((C3647-EDA!$F$15)/EDA!$G$15)</f>
        <v>0.36922839658970591</v>
      </c>
      <c r="M3647" t="str">
        <f>IF(moras[[#This Row],[Z-Score Salario]]&gt;1.96, "Sí", "No")</f>
        <v>No</v>
      </c>
      <c r="N3647" s="14">
        <f>IF(ISBLANK(moras[[#This Row],[SALARIO]]), EDA!$M$8, moras[[#This Row],[SALARIO]])</f>
        <v>386136</v>
      </c>
      <c r="O3647" s="14">
        <f xml:space="preserve"> IF(ISBLANK(moras[[#This Row],[EDAD]]), EDA!$E$8, moras[[#This Row],[EDAD]])</f>
        <v>21</v>
      </c>
      <c r="P3647" s="14" t="str">
        <f>IF(
    OR(ISBLANK(moras[[#This Row],[TIPO_ASEGURAMIENTO]]), moras[[#This Row],[TIPO_ASEGURAMIENTO]]=""),
    EDA!$A$32,
    moras[[#This Row],[TIPO_ASEGURAMIENTO]]
)</f>
        <v>ASALARIADO</v>
      </c>
    </row>
    <row r="3648" spans="1:16" x14ac:dyDescent="0.3">
      <c r="A3648">
        <v>3647</v>
      </c>
      <c r="B3648" t="s">
        <v>9</v>
      </c>
      <c r="C3648">
        <v>39058132</v>
      </c>
      <c r="D3648" t="s">
        <v>10</v>
      </c>
      <c r="E3648" t="s">
        <v>16</v>
      </c>
      <c r="F3648" t="s">
        <v>12</v>
      </c>
      <c r="G3648" t="s">
        <v>13</v>
      </c>
      <c r="H3648" t="s">
        <v>13</v>
      </c>
      <c r="I3648">
        <v>22</v>
      </c>
      <c r="J3648">
        <f>ABS((I3648-EDA!$A$15)/EDA!$B$15)</f>
        <v>1.4100662886840327</v>
      </c>
      <c r="K3648" t="str">
        <f t="shared" si="56"/>
        <v>No</v>
      </c>
      <c r="L3648">
        <f>ABS((C3648-EDA!$F$15)/EDA!$G$15)</f>
        <v>0.27430091588395966</v>
      </c>
      <c r="M3648" t="str">
        <f>IF(moras[[#This Row],[Z-Score Salario]]&gt;1.96, "Sí", "No")</f>
        <v>No</v>
      </c>
      <c r="N3648" s="14">
        <f>IF(ISBLANK(moras[[#This Row],[SALARIO]]), EDA!$M$8, moras[[#This Row],[SALARIO]])</f>
        <v>39058132</v>
      </c>
      <c r="O3648" s="14">
        <f xml:space="preserve"> IF(ISBLANK(moras[[#This Row],[EDAD]]), EDA!$E$8, moras[[#This Row],[EDAD]])</f>
        <v>22</v>
      </c>
      <c r="P3648" s="14" t="str">
        <f>IF(
    OR(ISBLANK(moras[[#This Row],[TIPO_ASEGURAMIENTO]]), moras[[#This Row],[TIPO_ASEGURAMIENTO]]=""),
    EDA!$A$32,
    moras[[#This Row],[TIPO_ASEGURAMIENTO]]
)</f>
        <v>ASALARIADO</v>
      </c>
    </row>
    <row r="3649" spans="1:16" x14ac:dyDescent="0.3">
      <c r="A3649">
        <v>3648</v>
      </c>
      <c r="B3649" t="s">
        <v>15</v>
      </c>
      <c r="C3649">
        <v>43390287</v>
      </c>
      <c r="D3649" t="s">
        <v>10</v>
      </c>
      <c r="E3649" t="s">
        <v>16</v>
      </c>
      <c r="F3649" t="s">
        <v>12</v>
      </c>
      <c r="G3649" t="s">
        <v>13</v>
      </c>
      <c r="H3649" t="s">
        <v>13</v>
      </c>
      <c r="I3649">
        <v>31</v>
      </c>
      <c r="J3649">
        <f>ABS((I3649-EDA!$A$15)/EDA!$B$15)</f>
        <v>0.77488831798979529</v>
      </c>
      <c r="K3649" t="str">
        <f t="shared" si="56"/>
        <v>No</v>
      </c>
      <c r="L3649">
        <f>ABS((C3649-EDA!$F$15)/EDA!$G$15)</f>
        <v>0.34639103320501419</v>
      </c>
      <c r="M3649" t="str">
        <f>IF(moras[[#This Row],[Z-Score Salario]]&gt;1.96, "Sí", "No")</f>
        <v>No</v>
      </c>
      <c r="N3649" s="14">
        <f>IF(ISBLANK(moras[[#This Row],[SALARIO]]), EDA!$M$8, moras[[#This Row],[SALARIO]])</f>
        <v>43390287</v>
      </c>
      <c r="O3649" s="14">
        <f xml:space="preserve"> IF(ISBLANK(moras[[#This Row],[EDAD]]), EDA!$E$8, moras[[#This Row],[EDAD]])</f>
        <v>31</v>
      </c>
      <c r="P3649" s="14" t="str">
        <f>IF(
    OR(ISBLANK(moras[[#This Row],[TIPO_ASEGURAMIENTO]]), moras[[#This Row],[TIPO_ASEGURAMIENTO]]=""),
    EDA!$A$32,
    moras[[#This Row],[TIPO_ASEGURAMIENTO]]
)</f>
        <v>ASALARIADO</v>
      </c>
    </row>
    <row r="3650" spans="1:16" x14ac:dyDescent="0.3">
      <c r="A3650">
        <v>3649</v>
      </c>
      <c r="B3650" t="s">
        <v>9</v>
      </c>
      <c r="C3650">
        <v>295000</v>
      </c>
      <c r="D3650" t="s">
        <v>10</v>
      </c>
      <c r="E3650" t="s">
        <v>16</v>
      </c>
      <c r="F3650" t="s">
        <v>12</v>
      </c>
      <c r="G3650" t="s">
        <v>13</v>
      </c>
      <c r="H3650" t="s">
        <v>13</v>
      </c>
      <c r="I3650">
        <v>26</v>
      </c>
      <c r="J3650">
        <f>ABS((I3650-EDA!$A$15)/EDA!$B$15)</f>
        <v>1.1277649683754829</v>
      </c>
      <c r="K3650" t="str">
        <f t="shared" ref="K3650:K3713" si="57">IF(J3650 &gt;  1.96, "Sí","No")</f>
        <v>No</v>
      </c>
      <c r="L3650">
        <f>ABS((C3650-EDA!$F$15)/EDA!$G$15)</f>
        <v>0.37074496396371992</v>
      </c>
      <c r="M3650" t="str">
        <f>IF(moras[[#This Row],[Z-Score Salario]]&gt;1.96, "Sí", "No")</f>
        <v>No</v>
      </c>
      <c r="N3650" s="14">
        <f>IF(ISBLANK(moras[[#This Row],[SALARIO]]), EDA!$M$8, moras[[#This Row],[SALARIO]])</f>
        <v>295000</v>
      </c>
      <c r="O3650" s="14">
        <f xml:space="preserve"> IF(ISBLANK(moras[[#This Row],[EDAD]]), EDA!$E$8, moras[[#This Row],[EDAD]])</f>
        <v>26</v>
      </c>
      <c r="P3650" s="14" t="str">
        <f>IF(
    OR(ISBLANK(moras[[#This Row],[TIPO_ASEGURAMIENTO]]), moras[[#This Row],[TIPO_ASEGURAMIENTO]]=""),
    EDA!$A$32,
    moras[[#This Row],[TIPO_ASEGURAMIENTO]]
)</f>
        <v>ASALARIADO</v>
      </c>
    </row>
    <row r="3651" spans="1:16" x14ac:dyDescent="0.3">
      <c r="A3651">
        <v>3650</v>
      </c>
      <c r="B3651" t="s">
        <v>9</v>
      </c>
      <c r="C3651">
        <v>300018</v>
      </c>
      <c r="D3651" t="s">
        <v>18</v>
      </c>
      <c r="E3651" t="s">
        <v>16</v>
      </c>
      <c r="F3651" t="s">
        <v>12</v>
      </c>
      <c r="G3651" t="s">
        <v>13</v>
      </c>
      <c r="H3651" t="s">
        <v>12</v>
      </c>
      <c r="I3651">
        <v>42</v>
      </c>
      <c r="J3651">
        <f>ABS((I3651-EDA!$A$15)/EDA!$B$15)</f>
        <v>1.4403128587172659E-3</v>
      </c>
      <c r="K3651" t="str">
        <f t="shared" si="57"/>
        <v>No</v>
      </c>
      <c r="L3651">
        <f>ABS((C3651-EDA!$F$15)/EDA!$G$15)</f>
        <v>0.37066146090145252</v>
      </c>
      <c r="M3651" t="str">
        <f>IF(moras[[#This Row],[Z-Score Salario]]&gt;1.96, "Sí", "No")</f>
        <v>No</v>
      </c>
      <c r="N3651" s="14">
        <f>IF(ISBLANK(moras[[#This Row],[SALARIO]]), EDA!$M$8, moras[[#This Row],[SALARIO]])</f>
        <v>300018</v>
      </c>
      <c r="O3651" s="14">
        <f xml:space="preserve"> IF(ISBLANK(moras[[#This Row],[EDAD]]), EDA!$E$8, moras[[#This Row],[EDAD]])</f>
        <v>42</v>
      </c>
      <c r="P3651" s="14" t="str">
        <f>IF(
    OR(ISBLANK(moras[[#This Row],[TIPO_ASEGURAMIENTO]]), moras[[#This Row],[TIPO_ASEGURAMIENTO]]=""),
    EDA!$A$32,
    moras[[#This Row],[TIPO_ASEGURAMIENTO]]
)</f>
        <v>TRABAJADOR INDEPENDIENTE</v>
      </c>
    </row>
    <row r="3652" spans="1:16" x14ac:dyDescent="0.3">
      <c r="A3652">
        <v>3651</v>
      </c>
      <c r="B3652" t="s">
        <v>9</v>
      </c>
      <c r="C3652">
        <v>61704687</v>
      </c>
      <c r="D3652" t="s">
        <v>10</v>
      </c>
      <c r="E3652" t="s">
        <v>16</v>
      </c>
      <c r="F3652" t="s">
        <v>12</v>
      </c>
      <c r="G3652" t="s">
        <v>12</v>
      </c>
      <c r="H3652" t="s">
        <v>13</v>
      </c>
      <c r="I3652">
        <v>23</v>
      </c>
      <c r="J3652">
        <f>ABS((I3652-EDA!$A$15)/EDA!$B$15)</f>
        <v>1.3394909586068953</v>
      </c>
      <c r="K3652" t="str">
        <f t="shared" si="57"/>
        <v>No</v>
      </c>
      <c r="L3652">
        <f>ABS((C3652-EDA!$F$15)/EDA!$G$15)</f>
        <v>0.65115557756335818</v>
      </c>
      <c r="M3652" t="str">
        <f>IF(moras[[#This Row],[Z-Score Salario]]&gt;1.96, "Sí", "No")</f>
        <v>No</v>
      </c>
      <c r="N3652" s="14">
        <f>IF(ISBLANK(moras[[#This Row],[SALARIO]]), EDA!$M$8, moras[[#This Row],[SALARIO]])</f>
        <v>61704687</v>
      </c>
      <c r="O3652" s="14">
        <f xml:space="preserve"> IF(ISBLANK(moras[[#This Row],[EDAD]]), EDA!$E$8, moras[[#This Row],[EDAD]])</f>
        <v>23</v>
      </c>
      <c r="P3652" s="14" t="str">
        <f>IF(
    OR(ISBLANK(moras[[#This Row],[TIPO_ASEGURAMIENTO]]), moras[[#This Row],[TIPO_ASEGURAMIENTO]]=""),
    EDA!$A$32,
    moras[[#This Row],[TIPO_ASEGURAMIENTO]]
)</f>
        <v>ASALARIADO</v>
      </c>
    </row>
    <row r="3653" spans="1:16" x14ac:dyDescent="0.3">
      <c r="A3653">
        <v>3652</v>
      </c>
      <c r="B3653" t="s">
        <v>15</v>
      </c>
      <c r="C3653">
        <v>650000</v>
      </c>
      <c r="D3653" t="s">
        <v>10</v>
      </c>
      <c r="E3653" t="s">
        <v>16</v>
      </c>
      <c r="F3653" t="s">
        <v>12</v>
      </c>
      <c r="G3653" t="s">
        <v>13</v>
      </c>
      <c r="H3653" t="s">
        <v>13</v>
      </c>
      <c r="I3653">
        <v>27</v>
      </c>
      <c r="J3653">
        <f>ABS((I3653-EDA!$A$15)/EDA!$B$15)</f>
        <v>1.0571896382983452</v>
      </c>
      <c r="K3653" t="str">
        <f t="shared" si="57"/>
        <v>No</v>
      </c>
      <c r="L3653">
        <f>ABS((C3653-EDA!$F$15)/EDA!$G$15)</f>
        <v>0.36483751336488995</v>
      </c>
      <c r="M3653" t="str">
        <f>IF(moras[[#This Row],[Z-Score Salario]]&gt;1.96, "Sí", "No")</f>
        <v>No</v>
      </c>
      <c r="N3653" s="14">
        <f>IF(ISBLANK(moras[[#This Row],[SALARIO]]), EDA!$M$8, moras[[#This Row],[SALARIO]])</f>
        <v>650000</v>
      </c>
      <c r="O3653" s="14">
        <f xml:space="preserve"> IF(ISBLANK(moras[[#This Row],[EDAD]]), EDA!$E$8, moras[[#This Row],[EDAD]])</f>
        <v>27</v>
      </c>
      <c r="P3653" s="14" t="str">
        <f>IF(
    OR(ISBLANK(moras[[#This Row],[TIPO_ASEGURAMIENTO]]), moras[[#This Row],[TIPO_ASEGURAMIENTO]]=""),
    EDA!$A$32,
    moras[[#This Row],[TIPO_ASEGURAMIENTO]]
)</f>
        <v>ASALARIADO</v>
      </c>
    </row>
    <row r="3654" spans="1:16" x14ac:dyDescent="0.3">
      <c r="A3654">
        <v>3653</v>
      </c>
      <c r="B3654" t="s">
        <v>9</v>
      </c>
      <c r="C3654">
        <v>339497065</v>
      </c>
      <c r="D3654" t="s">
        <v>10</v>
      </c>
      <c r="E3654" t="s">
        <v>16</v>
      </c>
      <c r="F3654" t="s">
        <v>12</v>
      </c>
      <c r="G3654" t="s">
        <v>13</v>
      </c>
      <c r="H3654" t="s">
        <v>13</v>
      </c>
      <c r="I3654">
        <v>38</v>
      </c>
      <c r="J3654">
        <f>ABS((I3654-EDA!$A$15)/EDA!$B$15)</f>
        <v>0.28086100744983278</v>
      </c>
      <c r="K3654" t="str">
        <f t="shared" si="57"/>
        <v>No</v>
      </c>
      <c r="L3654">
        <f>ABS((C3654-EDA!$F$15)/EDA!$G$15)</f>
        <v>5.2738168445112708</v>
      </c>
      <c r="M3654" t="str">
        <f>IF(moras[[#This Row],[Z-Score Salario]]&gt;1.96, "Sí", "No")</f>
        <v>Sí</v>
      </c>
      <c r="N3654" s="14">
        <f>IF(ISBLANK(moras[[#This Row],[SALARIO]]), EDA!$M$8, moras[[#This Row],[SALARIO]])</f>
        <v>339497065</v>
      </c>
      <c r="O3654" s="14">
        <f xml:space="preserve"> IF(ISBLANK(moras[[#This Row],[EDAD]]), EDA!$E$8, moras[[#This Row],[EDAD]])</f>
        <v>38</v>
      </c>
      <c r="P3654" s="14" t="str">
        <f>IF(
    OR(ISBLANK(moras[[#This Row],[TIPO_ASEGURAMIENTO]]), moras[[#This Row],[TIPO_ASEGURAMIENTO]]=""),
    EDA!$A$32,
    moras[[#This Row],[TIPO_ASEGURAMIENTO]]
)</f>
        <v>ASALARIADO</v>
      </c>
    </row>
    <row r="3655" spans="1:16" x14ac:dyDescent="0.3">
      <c r="A3655">
        <v>3654</v>
      </c>
      <c r="B3655" t="s">
        <v>15</v>
      </c>
      <c r="C3655">
        <v>30995</v>
      </c>
      <c r="D3655" t="s">
        <v>10</v>
      </c>
      <c r="E3655" t="s">
        <v>16</v>
      </c>
      <c r="F3655" t="s">
        <v>12</v>
      </c>
      <c r="G3655" t="s">
        <v>13</v>
      </c>
      <c r="H3655" t="s">
        <v>13</v>
      </c>
      <c r="I3655">
        <v>31</v>
      </c>
      <c r="J3655">
        <f>ABS((I3655-EDA!$A$15)/EDA!$B$15)</f>
        <v>0.77488831798979529</v>
      </c>
      <c r="K3655" t="str">
        <f t="shared" si="57"/>
        <v>No</v>
      </c>
      <c r="L3655">
        <f>ABS((C3655-EDA!$F$15)/EDA!$G$15)</f>
        <v>0.37513819352806954</v>
      </c>
      <c r="M3655" t="str">
        <f>IF(moras[[#This Row],[Z-Score Salario]]&gt;1.96, "Sí", "No")</f>
        <v>No</v>
      </c>
      <c r="N3655" s="14">
        <f>IF(ISBLANK(moras[[#This Row],[SALARIO]]), EDA!$M$8, moras[[#This Row],[SALARIO]])</f>
        <v>30995</v>
      </c>
      <c r="O3655" s="14">
        <f xml:space="preserve"> IF(ISBLANK(moras[[#This Row],[EDAD]]), EDA!$E$8, moras[[#This Row],[EDAD]])</f>
        <v>31</v>
      </c>
      <c r="P3655" s="14" t="str">
        <f>IF(
    OR(ISBLANK(moras[[#This Row],[TIPO_ASEGURAMIENTO]]), moras[[#This Row],[TIPO_ASEGURAMIENTO]]=""),
    EDA!$A$32,
    moras[[#This Row],[TIPO_ASEGURAMIENTO]]
)</f>
        <v>ASALARIADO</v>
      </c>
    </row>
    <row r="3656" spans="1:16" x14ac:dyDescent="0.3">
      <c r="A3656">
        <v>3655</v>
      </c>
      <c r="B3656" t="s">
        <v>15</v>
      </c>
      <c r="C3656">
        <v>35195066</v>
      </c>
      <c r="D3656" t="s">
        <v>10</v>
      </c>
      <c r="E3656" t="s">
        <v>16</v>
      </c>
      <c r="F3656" t="s">
        <v>12</v>
      </c>
      <c r="G3656" t="s">
        <v>12</v>
      </c>
      <c r="H3656" t="s">
        <v>13</v>
      </c>
      <c r="I3656">
        <v>46</v>
      </c>
      <c r="J3656">
        <f>ABS((I3656-EDA!$A$15)/EDA!$B$15)</f>
        <v>0.2837416331672673</v>
      </c>
      <c r="K3656" t="str">
        <f t="shared" si="57"/>
        <v>No</v>
      </c>
      <c r="L3656">
        <f>ABS((C3656-EDA!$F$15)/EDA!$G$15)</f>
        <v>0.21001677065855176</v>
      </c>
      <c r="M3656" t="str">
        <f>IF(moras[[#This Row],[Z-Score Salario]]&gt;1.96, "Sí", "No")</f>
        <v>No</v>
      </c>
      <c r="N3656" s="14">
        <f>IF(ISBLANK(moras[[#This Row],[SALARIO]]), EDA!$M$8, moras[[#This Row],[SALARIO]])</f>
        <v>35195066</v>
      </c>
      <c r="O3656" s="14">
        <f xml:space="preserve"> IF(ISBLANK(moras[[#This Row],[EDAD]]), EDA!$E$8, moras[[#This Row],[EDAD]])</f>
        <v>46</v>
      </c>
      <c r="P3656" s="14" t="str">
        <f>IF(
    OR(ISBLANK(moras[[#This Row],[TIPO_ASEGURAMIENTO]]), moras[[#This Row],[TIPO_ASEGURAMIENTO]]=""),
    EDA!$A$32,
    moras[[#This Row],[TIPO_ASEGURAMIENTO]]
)</f>
        <v>ASALARIADO</v>
      </c>
    </row>
    <row r="3657" spans="1:16" x14ac:dyDescent="0.3">
      <c r="A3657">
        <v>3656</v>
      </c>
      <c r="B3657" t="s">
        <v>15</v>
      </c>
      <c r="C3657">
        <v>590320</v>
      </c>
      <c r="D3657" t="s">
        <v>10</v>
      </c>
      <c r="E3657" t="s">
        <v>16</v>
      </c>
      <c r="F3657" t="s">
        <v>12</v>
      </c>
      <c r="G3657" t="s">
        <v>13</v>
      </c>
      <c r="H3657" t="s">
        <v>13</v>
      </c>
      <c r="I3657">
        <v>30</v>
      </c>
      <c r="J3657">
        <f>ABS((I3657-EDA!$A$15)/EDA!$B$15)</f>
        <v>0.84546364806693275</v>
      </c>
      <c r="K3657" t="str">
        <f t="shared" si="57"/>
        <v>No</v>
      </c>
      <c r="L3657">
        <f>ABS((C3657-EDA!$F$15)/EDA!$G$15)</f>
        <v>0.36583063069372984</v>
      </c>
      <c r="M3657" t="str">
        <f>IF(moras[[#This Row],[Z-Score Salario]]&gt;1.96, "Sí", "No")</f>
        <v>No</v>
      </c>
      <c r="N3657" s="14">
        <f>IF(ISBLANK(moras[[#This Row],[SALARIO]]), EDA!$M$8, moras[[#This Row],[SALARIO]])</f>
        <v>590320</v>
      </c>
      <c r="O3657" s="14">
        <f xml:space="preserve"> IF(ISBLANK(moras[[#This Row],[EDAD]]), EDA!$E$8, moras[[#This Row],[EDAD]])</f>
        <v>30</v>
      </c>
      <c r="P3657" s="14" t="str">
        <f>IF(
    OR(ISBLANK(moras[[#This Row],[TIPO_ASEGURAMIENTO]]), moras[[#This Row],[TIPO_ASEGURAMIENTO]]=""),
    EDA!$A$32,
    moras[[#This Row],[TIPO_ASEGURAMIENTO]]
)</f>
        <v>ASALARIADO</v>
      </c>
    </row>
    <row r="3658" spans="1:16" x14ac:dyDescent="0.3">
      <c r="A3658">
        <v>3657</v>
      </c>
      <c r="B3658" t="s">
        <v>9</v>
      </c>
      <c r="C3658">
        <v>32105498</v>
      </c>
      <c r="D3658" t="s">
        <v>10</v>
      </c>
      <c r="E3658" t="s">
        <v>16</v>
      </c>
      <c r="F3658" t="s">
        <v>12</v>
      </c>
      <c r="G3658" t="s">
        <v>13</v>
      </c>
      <c r="H3658" t="s">
        <v>13</v>
      </c>
      <c r="I3658">
        <v>51</v>
      </c>
      <c r="J3658">
        <f>ABS((I3658-EDA!$A$15)/EDA!$B$15)</f>
        <v>0.6366182835529548</v>
      </c>
      <c r="K3658" t="str">
        <f t="shared" si="57"/>
        <v>No</v>
      </c>
      <c r="L3658">
        <f>ABS((C3658-EDA!$F$15)/EDA!$G$15)</f>
        <v>0.15860417817481653</v>
      </c>
      <c r="M3658" t="str">
        <f>IF(moras[[#This Row],[Z-Score Salario]]&gt;1.96, "Sí", "No")</f>
        <v>No</v>
      </c>
      <c r="N3658" s="14">
        <f>IF(ISBLANK(moras[[#This Row],[SALARIO]]), EDA!$M$8, moras[[#This Row],[SALARIO]])</f>
        <v>32105498</v>
      </c>
      <c r="O3658" s="14">
        <f xml:space="preserve"> IF(ISBLANK(moras[[#This Row],[EDAD]]), EDA!$E$8, moras[[#This Row],[EDAD]])</f>
        <v>51</v>
      </c>
      <c r="P3658" s="14" t="str">
        <f>IF(
    OR(ISBLANK(moras[[#This Row],[TIPO_ASEGURAMIENTO]]), moras[[#This Row],[TIPO_ASEGURAMIENTO]]=""),
    EDA!$A$32,
    moras[[#This Row],[TIPO_ASEGURAMIENTO]]
)</f>
        <v>ASALARIADO</v>
      </c>
    </row>
    <row r="3659" spans="1:16" x14ac:dyDescent="0.3">
      <c r="A3659">
        <v>3658</v>
      </c>
      <c r="B3659" t="s">
        <v>15</v>
      </c>
      <c r="C3659">
        <v>40343303</v>
      </c>
      <c r="D3659" t="s">
        <v>10</v>
      </c>
      <c r="E3659" t="s">
        <v>16</v>
      </c>
      <c r="F3659" t="s">
        <v>12</v>
      </c>
      <c r="G3659" t="s">
        <v>13</v>
      </c>
      <c r="H3659" t="s">
        <v>12</v>
      </c>
      <c r="I3659">
        <v>26</v>
      </c>
      <c r="J3659">
        <f>ABS((I3659-EDA!$A$15)/EDA!$B$15)</f>
        <v>1.1277649683754829</v>
      </c>
      <c r="K3659" t="str">
        <f t="shared" si="57"/>
        <v>No</v>
      </c>
      <c r="L3659">
        <f>ABS((C3659-EDA!$F$15)/EDA!$G$15)</f>
        <v>0.29568706854184401</v>
      </c>
      <c r="M3659" t="str">
        <f>IF(moras[[#This Row],[Z-Score Salario]]&gt;1.96, "Sí", "No")</f>
        <v>No</v>
      </c>
      <c r="N3659" s="14">
        <f>IF(ISBLANK(moras[[#This Row],[SALARIO]]), EDA!$M$8, moras[[#This Row],[SALARIO]])</f>
        <v>40343303</v>
      </c>
      <c r="O3659" s="14">
        <f xml:space="preserve"> IF(ISBLANK(moras[[#This Row],[EDAD]]), EDA!$E$8, moras[[#This Row],[EDAD]])</f>
        <v>26</v>
      </c>
      <c r="P3659" s="14" t="str">
        <f>IF(
    OR(ISBLANK(moras[[#This Row],[TIPO_ASEGURAMIENTO]]), moras[[#This Row],[TIPO_ASEGURAMIENTO]]=""),
    EDA!$A$32,
    moras[[#This Row],[TIPO_ASEGURAMIENTO]]
)</f>
        <v>ASALARIADO</v>
      </c>
    </row>
    <row r="3660" spans="1:16" x14ac:dyDescent="0.3">
      <c r="A3660">
        <v>3659</v>
      </c>
      <c r="B3660" t="s">
        <v>9</v>
      </c>
      <c r="C3660">
        <v>400000</v>
      </c>
      <c r="D3660" t="s">
        <v>10</v>
      </c>
      <c r="E3660" t="s">
        <v>16</v>
      </c>
      <c r="F3660" t="s">
        <v>12</v>
      </c>
      <c r="G3660" t="s">
        <v>12</v>
      </c>
      <c r="H3660" t="s">
        <v>13</v>
      </c>
      <c r="I3660">
        <v>30</v>
      </c>
      <c r="J3660">
        <f>ABS((I3660-EDA!$A$15)/EDA!$B$15)</f>
        <v>0.84546364806693275</v>
      </c>
      <c r="K3660" t="str">
        <f t="shared" si="57"/>
        <v>No</v>
      </c>
      <c r="L3660">
        <f>ABS((C3660-EDA!$F$15)/EDA!$G$15)</f>
        <v>0.36899768984293924</v>
      </c>
      <c r="M3660" t="str">
        <f>IF(moras[[#This Row],[Z-Score Salario]]&gt;1.96, "Sí", "No")</f>
        <v>No</v>
      </c>
      <c r="N3660" s="14">
        <f>IF(ISBLANK(moras[[#This Row],[SALARIO]]), EDA!$M$8, moras[[#This Row],[SALARIO]])</f>
        <v>400000</v>
      </c>
      <c r="O3660" s="14">
        <f xml:space="preserve"> IF(ISBLANK(moras[[#This Row],[EDAD]]), EDA!$E$8, moras[[#This Row],[EDAD]])</f>
        <v>30</v>
      </c>
      <c r="P3660" s="14" t="str">
        <f>IF(
    OR(ISBLANK(moras[[#This Row],[TIPO_ASEGURAMIENTO]]), moras[[#This Row],[TIPO_ASEGURAMIENTO]]=""),
    EDA!$A$32,
    moras[[#This Row],[TIPO_ASEGURAMIENTO]]
)</f>
        <v>ASALARIADO</v>
      </c>
    </row>
    <row r="3661" spans="1:16" x14ac:dyDescent="0.3">
      <c r="A3661">
        <v>3660</v>
      </c>
      <c r="B3661" t="s">
        <v>9</v>
      </c>
      <c r="C3661">
        <v>23455225</v>
      </c>
      <c r="D3661" t="s">
        <v>10</v>
      </c>
      <c r="E3661" t="s">
        <v>11</v>
      </c>
      <c r="F3661" t="s">
        <v>12</v>
      </c>
      <c r="G3661" t="s">
        <v>13</v>
      </c>
      <c r="H3661" t="s">
        <v>13</v>
      </c>
      <c r="I3661">
        <v>48</v>
      </c>
      <c r="J3661">
        <f>ABS((I3661-EDA!$A$15)/EDA!$B$15)</f>
        <v>0.42489229332154227</v>
      </c>
      <c r="K3661" t="str">
        <f t="shared" si="57"/>
        <v>No</v>
      </c>
      <c r="L3661">
        <f>ABS((C3661-EDA!$F$15)/EDA!$G$15)</f>
        <v>1.4657529121596929E-2</v>
      </c>
      <c r="M3661" t="str">
        <f>IF(moras[[#This Row],[Z-Score Salario]]&gt;1.96, "Sí", "No")</f>
        <v>No</v>
      </c>
      <c r="N3661" s="14">
        <f>IF(ISBLANK(moras[[#This Row],[SALARIO]]), EDA!$M$8, moras[[#This Row],[SALARIO]])</f>
        <v>23455225</v>
      </c>
      <c r="O3661" s="14">
        <f xml:space="preserve"> IF(ISBLANK(moras[[#This Row],[EDAD]]), EDA!$E$8, moras[[#This Row],[EDAD]])</f>
        <v>48</v>
      </c>
      <c r="P3661" s="14" t="str">
        <f>IF(
    OR(ISBLANK(moras[[#This Row],[TIPO_ASEGURAMIENTO]]), moras[[#This Row],[TIPO_ASEGURAMIENTO]]=""),
    EDA!$A$32,
    moras[[#This Row],[TIPO_ASEGURAMIENTO]]
)</f>
        <v>ASALARIADO</v>
      </c>
    </row>
    <row r="3662" spans="1:16" x14ac:dyDescent="0.3">
      <c r="A3662">
        <v>3661</v>
      </c>
      <c r="B3662" t="s">
        <v>9</v>
      </c>
      <c r="C3662">
        <v>480577</v>
      </c>
      <c r="D3662" t="s">
        <v>18</v>
      </c>
      <c r="E3662" t="s">
        <v>16</v>
      </c>
      <c r="F3662" t="s">
        <v>12</v>
      </c>
      <c r="G3662" t="s">
        <v>13</v>
      </c>
      <c r="H3662" t="s">
        <v>13</v>
      </c>
      <c r="I3662">
        <v>49</v>
      </c>
      <c r="J3662">
        <f>ABS((I3662-EDA!$A$15)/EDA!$B$15)</f>
        <v>0.49546762339867978</v>
      </c>
      <c r="K3662" t="str">
        <f t="shared" si="57"/>
        <v>No</v>
      </c>
      <c r="L3662">
        <f>ABS((C3662-EDA!$F$15)/EDA!$G$15)</f>
        <v>0.36765683168265212</v>
      </c>
      <c r="M3662" t="str">
        <f>IF(moras[[#This Row],[Z-Score Salario]]&gt;1.96, "Sí", "No")</f>
        <v>No</v>
      </c>
      <c r="N3662" s="14">
        <f>IF(ISBLANK(moras[[#This Row],[SALARIO]]), EDA!$M$8, moras[[#This Row],[SALARIO]])</f>
        <v>480577</v>
      </c>
      <c r="O3662" s="14">
        <f xml:space="preserve"> IF(ISBLANK(moras[[#This Row],[EDAD]]), EDA!$E$8, moras[[#This Row],[EDAD]])</f>
        <v>49</v>
      </c>
      <c r="P3662" s="14" t="str">
        <f>IF(
    OR(ISBLANK(moras[[#This Row],[TIPO_ASEGURAMIENTO]]), moras[[#This Row],[TIPO_ASEGURAMIENTO]]=""),
    EDA!$A$32,
    moras[[#This Row],[TIPO_ASEGURAMIENTO]]
)</f>
        <v>TRABAJADOR INDEPENDIENTE</v>
      </c>
    </row>
    <row r="3663" spans="1:16" x14ac:dyDescent="0.3">
      <c r="A3663">
        <v>3662</v>
      </c>
      <c r="B3663" t="s">
        <v>9</v>
      </c>
      <c r="C3663">
        <v>458437</v>
      </c>
      <c r="D3663" t="s">
        <v>10</v>
      </c>
      <c r="E3663" t="s">
        <v>16</v>
      </c>
      <c r="F3663" t="s">
        <v>12</v>
      </c>
      <c r="G3663" t="s">
        <v>13</v>
      </c>
      <c r="H3663" t="s">
        <v>13</v>
      </c>
      <c r="I3663">
        <v>27</v>
      </c>
      <c r="J3663">
        <f>ABS((I3663-EDA!$A$15)/EDA!$B$15)</f>
        <v>1.0571896382983452</v>
      </c>
      <c r="K3663" t="str">
        <f t="shared" si="57"/>
        <v>No</v>
      </c>
      <c r="L3663">
        <f>ABS((C3663-EDA!$F$15)/EDA!$G$15)</f>
        <v>0.36802525691154819</v>
      </c>
      <c r="M3663" t="str">
        <f>IF(moras[[#This Row],[Z-Score Salario]]&gt;1.96, "Sí", "No")</f>
        <v>No</v>
      </c>
      <c r="N3663" s="14">
        <f>IF(ISBLANK(moras[[#This Row],[SALARIO]]), EDA!$M$8, moras[[#This Row],[SALARIO]])</f>
        <v>458437</v>
      </c>
      <c r="O3663" s="14">
        <f xml:space="preserve"> IF(ISBLANK(moras[[#This Row],[EDAD]]), EDA!$E$8, moras[[#This Row],[EDAD]])</f>
        <v>27</v>
      </c>
      <c r="P3663" s="14" t="str">
        <f>IF(
    OR(ISBLANK(moras[[#This Row],[TIPO_ASEGURAMIENTO]]), moras[[#This Row],[TIPO_ASEGURAMIENTO]]=""),
    EDA!$A$32,
    moras[[#This Row],[TIPO_ASEGURAMIENTO]]
)</f>
        <v>ASALARIADO</v>
      </c>
    </row>
    <row r="3664" spans="1:16" x14ac:dyDescent="0.3">
      <c r="A3664">
        <v>3663</v>
      </c>
      <c r="B3664" t="s">
        <v>15</v>
      </c>
      <c r="C3664">
        <v>314569</v>
      </c>
      <c r="D3664" t="s">
        <v>17</v>
      </c>
      <c r="E3664" t="s">
        <v>16</v>
      </c>
      <c r="F3664" t="s">
        <v>12</v>
      </c>
      <c r="G3664" t="s">
        <v>13</v>
      </c>
      <c r="H3664" t="s">
        <v>13</v>
      </c>
      <c r="I3664">
        <v>61</v>
      </c>
      <c r="J3664">
        <f>ABS((I3664-EDA!$A$15)/EDA!$B$15)</f>
        <v>1.3423715843243298</v>
      </c>
      <c r="K3664" t="str">
        <f t="shared" si="57"/>
        <v>No</v>
      </c>
      <c r="L3664">
        <f>ABS((C3664-EDA!$F$15)/EDA!$G$15)</f>
        <v>0.37041932198972416</v>
      </c>
      <c r="M3664" t="str">
        <f>IF(moras[[#This Row],[Z-Score Salario]]&gt;1.96, "Sí", "No")</f>
        <v>No</v>
      </c>
      <c r="N3664" s="14">
        <f>IF(ISBLANK(moras[[#This Row],[SALARIO]]), EDA!$M$8, moras[[#This Row],[SALARIO]])</f>
        <v>314569</v>
      </c>
      <c r="O3664" s="14">
        <f xml:space="preserve"> IF(ISBLANK(moras[[#This Row],[EDAD]]), EDA!$E$8, moras[[#This Row],[EDAD]])</f>
        <v>61</v>
      </c>
      <c r="P3664" s="14" t="str">
        <f>IF(
    OR(ISBLANK(moras[[#This Row],[TIPO_ASEGURAMIENTO]]), moras[[#This Row],[TIPO_ASEGURAMIENTO]]=""),
    EDA!$A$32,
    moras[[#This Row],[TIPO_ASEGURAMIENTO]]
)</f>
        <v>ASEGURADO VOLUNTARIO</v>
      </c>
    </row>
    <row r="3665" spans="1:16" x14ac:dyDescent="0.3">
      <c r="A3665">
        <v>3664</v>
      </c>
      <c r="B3665" t="s">
        <v>9</v>
      </c>
      <c r="C3665">
        <v>84000</v>
      </c>
      <c r="D3665" t="s">
        <v>10</v>
      </c>
      <c r="E3665" t="s">
        <v>16</v>
      </c>
      <c r="F3665" t="s">
        <v>12</v>
      </c>
      <c r="G3665" t="s">
        <v>13</v>
      </c>
      <c r="H3665" t="s">
        <v>12</v>
      </c>
      <c r="I3665">
        <v>32</v>
      </c>
      <c r="J3665">
        <f>ABS((I3665-EDA!$A$15)/EDA!$B$15)</f>
        <v>0.70431298791265773</v>
      </c>
      <c r="K3665" t="str">
        <f t="shared" si="57"/>
        <v>No</v>
      </c>
      <c r="L3665">
        <f>ABS((C3665-EDA!$F$15)/EDA!$G$15)</f>
        <v>0.37425615291119352</v>
      </c>
      <c r="M3665" t="str">
        <f>IF(moras[[#This Row],[Z-Score Salario]]&gt;1.96, "Sí", "No")</f>
        <v>No</v>
      </c>
      <c r="N3665" s="14">
        <f>IF(ISBLANK(moras[[#This Row],[SALARIO]]), EDA!$M$8, moras[[#This Row],[SALARIO]])</f>
        <v>84000</v>
      </c>
      <c r="O3665" s="14">
        <f xml:space="preserve"> IF(ISBLANK(moras[[#This Row],[EDAD]]), EDA!$E$8, moras[[#This Row],[EDAD]])</f>
        <v>32</v>
      </c>
      <c r="P3665" s="14" t="str">
        <f>IF(
    OR(ISBLANK(moras[[#This Row],[TIPO_ASEGURAMIENTO]]), moras[[#This Row],[TIPO_ASEGURAMIENTO]]=""),
    EDA!$A$32,
    moras[[#This Row],[TIPO_ASEGURAMIENTO]]
)</f>
        <v>ASALARIADO</v>
      </c>
    </row>
    <row r="3666" spans="1:16" x14ac:dyDescent="0.3">
      <c r="A3666">
        <v>3665</v>
      </c>
      <c r="B3666" t="s">
        <v>15</v>
      </c>
      <c r="C3666">
        <v>297046</v>
      </c>
      <c r="D3666" t="s">
        <v>17</v>
      </c>
      <c r="E3666" t="s">
        <v>16</v>
      </c>
      <c r="F3666" t="s">
        <v>13</v>
      </c>
      <c r="G3666" t="s">
        <v>12</v>
      </c>
      <c r="H3666" t="s">
        <v>12</v>
      </c>
      <c r="I3666">
        <v>20</v>
      </c>
      <c r="J3666">
        <f>ABS((I3666-EDA!$A$15)/EDA!$B$15)</f>
        <v>1.5512169488383079</v>
      </c>
      <c r="K3666" t="str">
        <f t="shared" si="57"/>
        <v>No</v>
      </c>
      <c r="L3666">
        <f>ABS((C3666-EDA!$F$15)/EDA!$G$15)</f>
        <v>0.37071091707942361</v>
      </c>
      <c r="M3666" t="str">
        <f>IF(moras[[#This Row],[Z-Score Salario]]&gt;1.96, "Sí", "No")</f>
        <v>No</v>
      </c>
      <c r="N3666" s="14">
        <f>IF(ISBLANK(moras[[#This Row],[SALARIO]]), EDA!$M$8, moras[[#This Row],[SALARIO]])</f>
        <v>297046</v>
      </c>
      <c r="O3666" s="14">
        <f xml:space="preserve"> IF(ISBLANK(moras[[#This Row],[EDAD]]), EDA!$E$8, moras[[#This Row],[EDAD]])</f>
        <v>20</v>
      </c>
      <c r="P3666" s="14" t="str">
        <f>IF(
    OR(ISBLANK(moras[[#This Row],[TIPO_ASEGURAMIENTO]]), moras[[#This Row],[TIPO_ASEGURAMIENTO]]=""),
    EDA!$A$32,
    moras[[#This Row],[TIPO_ASEGURAMIENTO]]
)</f>
        <v>ASEGURADO VOLUNTARIO</v>
      </c>
    </row>
    <row r="3667" spans="1:16" x14ac:dyDescent="0.3">
      <c r="A3667">
        <v>3666</v>
      </c>
      <c r="B3667" t="s">
        <v>15</v>
      </c>
      <c r="C3667">
        <v>4640766</v>
      </c>
      <c r="D3667" t="s">
        <v>10</v>
      </c>
      <c r="E3667" t="s">
        <v>16</v>
      </c>
      <c r="F3667" t="s">
        <v>12</v>
      </c>
      <c r="G3667" t="s">
        <v>13</v>
      </c>
      <c r="H3667" t="s">
        <v>13</v>
      </c>
      <c r="I3667">
        <v>30</v>
      </c>
      <c r="J3667">
        <f>ABS((I3667-EDA!$A$15)/EDA!$B$15)</f>
        <v>0.84546364806693275</v>
      </c>
      <c r="K3667" t="str">
        <f t="shared" si="57"/>
        <v>No</v>
      </c>
      <c r="L3667">
        <f>ABS((C3667-EDA!$F$15)/EDA!$G$15)</f>
        <v>0.29842834999449447</v>
      </c>
      <c r="M3667" t="str">
        <f>IF(moras[[#This Row],[Z-Score Salario]]&gt;1.96, "Sí", "No")</f>
        <v>No</v>
      </c>
      <c r="N3667" s="14">
        <f>IF(ISBLANK(moras[[#This Row],[SALARIO]]), EDA!$M$8, moras[[#This Row],[SALARIO]])</f>
        <v>4640766</v>
      </c>
      <c r="O3667" s="14">
        <f xml:space="preserve"> IF(ISBLANK(moras[[#This Row],[EDAD]]), EDA!$E$8, moras[[#This Row],[EDAD]])</f>
        <v>30</v>
      </c>
      <c r="P3667" s="14" t="str">
        <f>IF(
    OR(ISBLANK(moras[[#This Row],[TIPO_ASEGURAMIENTO]]), moras[[#This Row],[TIPO_ASEGURAMIENTO]]=""),
    EDA!$A$32,
    moras[[#This Row],[TIPO_ASEGURAMIENTO]]
)</f>
        <v>ASALARIADO</v>
      </c>
    </row>
    <row r="3668" spans="1:16" x14ac:dyDescent="0.3">
      <c r="A3668">
        <v>3667</v>
      </c>
      <c r="B3668" t="s">
        <v>15</v>
      </c>
      <c r="C3668">
        <v>35897625</v>
      </c>
      <c r="D3668" t="s">
        <v>10</v>
      </c>
      <c r="E3668" t="s">
        <v>16</v>
      </c>
      <c r="F3668" t="s">
        <v>12</v>
      </c>
      <c r="G3668" t="s">
        <v>13</v>
      </c>
      <c r="H3668" t="s">
        <v>13</v>
      </c>
      <c r="I3668">
        <v>19</v>
      </c>
      <c r="J3668">
        <f>ABS((I3668-EDA!$A$15)/EDA!$B$15)</f>
        <v>1.6217922789154453</v>
      </c>
      <c r="K3668" t="str">
        <f t="shared" si="57"/>
        <v>No</v>
      </c>
      <c r="L3668">
        <f>ABS((C3668-EDA!$F$15)/EDA!$G$15)</f>
        <v>0.22170784836351909</v>
      </c>
      <c r="M3668" t="str">
        <f>IF(moras[[#This Row],[Z-Score Salario]]&gt;1.96, "Sí", "No")</f>
        <v>No</v>
      </c>
      <c r="N3668" s="14">
        <f>IF(ISBLANK(moras[[#This Row],[SALARIO]]), EDA!$M$8, moras[[#This Row],[SALARIO]])</f>
        <v>35897625</v>
      </c>
      <c r="O3668" s="14">
        <f xml:space="preserve"> IF(ISBLANK(moras[[#This Row],[EDAD]]), EDA!$E$8, moras[[#This Row],[EDAD]])</f>
        <v>19</v>
      </c>
      <c r="P3668" s="14" t="str">
        <f>IF(
    OR(ISBLANK(moras[[#This Row],[TIPO_ASEGURAMIENTO]]), moras[[#This Row],[TIPO_ASEGURAMIENTO]]=""),
    EDA!$A$32,
    moras[[#This Row],[TIPO_ASEGURAMIENTO]]
)</f>
        <v>ASALARIADO</v>
      </c>
    </row>
    <row r="3669" spans="1:16" x14ac:dyDescent="0.3">
      <c r="A3669">
        <v>3668</v>
      </c>
      <c r="B3669" t="s">
        <v>15</v>
      </c>
      <c r="C3669">
        <v>35954427</v>
      </c>
      <c r="D3669" t="s">
        <v>21</v>
      </c>
      <c r="E3669" t="s">
        <v>16</v>
      </c>
      <c r="F3669" t="s">
        <v>12</v>
      </c>
      <c r="G3669" t="s">
        <v>12</v>
      </c>
      <c r="H3669" t="s">
        <v>13</v>
      </c>
      <c r="I3669">
        <v>29</v>
      </c>
      <c r="J3669">
        <f>ABS((I3669-EDA!$A$15)/EDA!$B$15)</f>
        <v>0.91603897814407031</v>
      </c>
      <c r="K3669" t="str">
        <f t="shared" si="57"/>
        <v>No</v>
      </c>
      <c r="L3669">
        <f>ABS((C3669-EDA!$F$15)/EDA!$G$15)</f>
        <v>0.22265307374074372</v>
      </c>
      <c r="M3669" t="str">
        <f>IF(moras[[#This Row],[Z-Score Salario]]&gt;1.96, "Sí", "No")</f>
        <v>No</v>
      </c>
      <c r="N3669" s="14">
        <f>IF(ISBLANK(moras[[#This Row],[SALARIO]]), EDA!$M$8, moras[[#This Row],[SALARIO]])</f>
        <v>35954427</v>
      </c>
      <c r="O3669" s="14">
        <f xml:space="preserve"> IF(ISBLANK(moras[[#This Row],[EDAD]]), EDA!$E$8, moras[[#This Row],[EDAD]])</f>
        <v>29</v>
      </c>
      <c r="P3669" s="14" t="str">
        <f>IF(
    OR(ISBLANK(moras[[#This Row],[TIPO_ASEGURAMIENTO]]), moras[[#This Row],[TIPO_ASEGURAMIENTO]]=""),
    EDA!$A$32,
    moras[[#This Row],[TIPO_ASEGURAMIENTO]]
)</f>
        <v>CONVENIOS ESPECIALES DE ASEGURADOS VOLUNTARIOS</v>
      </c>
    </row>
    <row r="3670" spans="1:16" x14ac:dyDescent="0.3">
      <c r="A3670">
        <v>3669</v>
      </c>
      <c r="B3670" t="s">
        <v>9</v>
      </c>
      <c r="C3670">
        <v>278030</v>
      </c>
      <c r="D3670" t="s">
        <v>19</v>
      </c>
      <c r="E3670" t="s">
        <v>16</v>
      </c>
      <c r="F3670" t="s">
        <v>12</v>
      </c>
      <c r="G3670" t="s">
        <v>13</v>
      </c>
      <c r="H3670" t="s">
        <v>13</v>
      </c>
      <c r="I3670">
        <v>43</v>
      </c>
      <c r="J3670">
        <f>ABS((I3670-EDA!$A$15)/EDA!$B$15)</f>
        <v>7.2015642935854773E-2</v>
      </c>
      <c r="K3670" t="str">
        <f t="shared" si="57"/>
        <v>No</v>
      </c>
      <c r="L3670">
        <f>ABS((C3670-EDA!$F$15)/EDA!$G$15)</f>
        <v>0.37102735674304993</v>
      </c>
      <c r="M3670" t="str">
        <f>IF(moras[[#This Row],[Z-Score Salario]]&gt;1.96, "Sí", "No")</f>
        <v>No</v>
      </c>
      <c r="N3670" s="14">
        <f>IF(ISBLANK(moras[[#This Row],[SALARIO]]), EDA!$M$8, moras[[#This Row],[SALARIO]])</f>
        <v>278030</v>
      </c>
      <c r="O3670" s="14">
        <f xml:space="preserve"> IF(ISBLANK(moras[[#This Row],[EDAD]]), EDA!$E$8, moras[[#This Row],[EDAD]])</f>
        <v>43</v>
      </c>
      <c r="P3670" s="14" t="str">
        <f>IF(
    OR(ISBLANK(moras[[#This Row],[TIPO_ASEGURAMIENTO]]), moras[[#This Row],[TIPO_ASEGURAMIENTO]]=""),
    EDA!$A$32,
    moras[[#This Row],[TIPO_ASEGURAMIENTO]]
)</f>
        <v>CONVENIOS ESPECIALES DE TRABAJADORES INDEPENDIENTES</v>
      </c>
    </row>
    <row r="3671" spans="1:16" x14ac:dyDescent="0.3">
      <c r="A3671">
        <v>3670</v>
      </c>
      <c r="B3671" t="s">
        <v>9</v>
      </c>
      <c r="C3671">
        <v>212337</v>
      </c>
      <c r="D3671" t="s">
        <v>10</v>
      </c>
      <c r="E3671" t="s">
        <v>16</v>
      </c>
      <c r="F3671" t="s">
        <v>12</v>
      </c>
      <c r="G3671" t="s">
        <v>13</v>
      </c>
      <c r="H3671" t="s">
        <v>12</v>
      </c>
      <c r="I3671">
        <v>31</v>
      </c>
      <c r="J3671">
        <f>ABS((I3671-EDA!$A$15)/EDA!$B$15)</f>
        <v>0.77488831798979529</v>
      </c>
      <c r="K3671" t="str">
        <f t="shared" si="57"/>
        <v>No</v>
      </c>
      <c r="L3671">
        <f>ABS((C3671-EDA!$F$15)/EDA!$G$15)</f>
        <v>0.37212053463653988</v>
      </c>
      <c r="M3671" t="str">
        <f>IF(moras[[#This Row],[Z-Score Salario]]&gt;1.96, "Sí", "No")</f>
        <v>No</v>
      </c>
      <c r="N3671" s="14">
        <f>IF(ISBLANK(moras[[#This Row],[SALARIO]]), EDA!$M$8, moras[[#This Row],[SALARIO]])</f>
        <v>212337</v>
      </c>
      <c r="O3671" s="14">
        <f xml:space="preserve"> IF(ISBLANK(moras[[#This Row],[EDAD]]), EDA!$E$8, moras[[#This Row],[EDAD]])</f>
        <v>31</v>
      </c>
      <c r="P3671" s="14" t="str">
        <f>IF(
    OR(ISBLANK(moras[[#This Row],[TIPO_ASEGURAMIENTO]]), moras[[#This Row],[TIPO_ASEGURAMIENTO]]=""),
    EDA!$A$32,
    moras[[#This Row],[TIPO_ASEGURAMIENTO]]
)</f>
        <v>ASALARIADO</v>
      </c>
    </row>
    <row r="3672" spans="1:16" x14ac:dyDescent="0.3">
      <c r="A3672">
        <v>3671</v>
      </c>
      <c r="B3672" t="s">
        <v>9</v>
      </c>
      <c r="C3672">
        <v>79890</v>
      </c>
      <c r="D3672" t="s">
        <v>10</v>
      </c>
      <c r="E3672" t="s">
        <v>16</v>
      </c>
      <c r="F3672" t="s">
        <v>12</v>
      </c>
      <c r="G3672" t="s">
        <v>12</v>
      </c>
      <c r="H3672" t="s">
        <v>13</v>
      </c>
      <c r="I3672">
        <v>53</v>
      </c>
      <c r="J3672">
        <f>ABS((I3672-EDA!$A$15)/EDA!$B$15)</f>
        <v>0.77776894370722982</v>
      </c>
      <c r="K3672" t="str">
        <f t="shared" si="57"/>
        <v>No</v>
      </c>
      <c r="L3672">
        <f>ABS((C3672-EDA!$F$15)/EDA!$G$15)</f>
        <v>0.37432454621249267</v>
      </c>
      <c r="M3672" t="str">
        <f>IF(moras[[#This Row],[Z-Score Salario]]&gt;1.96, "Sí", "No")</f>
        <v>No</v>
      </c>
      <c r="N3672" s="14">
        <f>IF(ISBLANK(moras[[#This Row],[SALARIO]]), EDA!$M$8, moras[[#This Row],[SALARIO]])</f>
        <v>79890</v>
      </c>
      <c r="O3672" s="14">
        <f xml:space="preserve"> IF(ISBLANK(moras[[#This Row],[EDAD]]), EDA!$E$8, moras[[#This Row],[EDAD]])</f>
        <v>53</v>
      </c>
      <c r="P3672" s="14" t="str">
        <f>IF(
    OR(ISBLANK(moras[[#This Row],[TIPO_ASEGURAMIENTO]]), moras[[#This Row],[TIPO_ASEGURAMIENTO]]=""),
    EDA!$A$32,
    moras[[#This Row],[TIPO_ASEGURAMIENTO]]
)</f>
        <v>ASALARIADO</v>
      </c>
    </row>
    <row r="3673" spans="1:16" x14ac:dyDescent="0.3">
      <c r="A3673">
        <v>3672</v>
      </c>
      <c r="B3673" t="s">
        <v>9</v>
      </c>
      <c r="C3673">
        <v>278030</v>
      </c>
      <c r="D3673" t="s">
        <v>19</v>
      </c>
      <c r="E3673" t="s">
        <v>16</v>
      </c>
      <c r="F3673" t="s">
        <v>12</v>
      </c>
      <c r="G3673" t="s">
        <v>13</v>
      </c>
      <c r="H3673" t="s">
        <v>13</v>
      </c>
      <c r="I3673">
        <v>44</v>
      </c>
      <c r="J3673">
        <f>ABS((I3673-EDA!$A$15)/EDA!$B$15)</f>
        <v>0.14259097301299228</v>
      </c>
      <c r="K3673" t="str">
        <f t="shared" si="57"/>
        <v>No</v>
      </c>
      <c r="L3673">
        <f>ABS((C3673-EDA!$F$15)/EDA!$G$15)</f>
        <v>0.37102735674304993</v>
      </c>
      <c r="M3673" t="str">
        <f>IF(moras[[#This Row],[Z-Score Salario]]&gt;1.96, "Sí", "No")</f>
        <v>No</v>
      </c>
      <c r="N3673" s="14">
        <f>IF(ISBLANK(moras[[#This Row],[SALARIO]]), EDA!$M$8, moras[[#This Row],[SALARIO]])</f>
        <v>278030</v>
      </c>
      <c r="O3673" s="14">
        <f xml:space="preserve"> IF(ISBLANK(moras[[#This Row],[EDAD]]), EDA!$E$8, moras[[#This Row],[EDAD]])</f>
        <v>44</v>
      </c>
      <c r="P3673" s="14" t="str">
        <f>IF(
    OR(ISBLANK(moras[[#This Row],[TIPO_ASEGURAMIENTO]]), moras[[#This Row],[TIPO_ASEGURAMIENTO]]=""),
    EDA!$A$32,
    moras[[#This Row],[TIPO_ASEGURAMIENTO]]
)</f>
        <v>CONVENIOS ESPECIALES DE TRABAJADORES INDEPENDIENTES</v>
      </c>
    </row>
    <row r="3674" spans="1:16" x14ac:dyDescent="0.3">
      <c r="A3674">
        <v>3673</v>
      </c>
      <c r="B3674" t="s">
        <v>15</v>
      </c>
      <c r="C3674">
        <v>630173</v>
      </c>
      <c r="D3674" t="s">
        <v>14</v>
      </c>
      <c r="E3674" t="s">
        <v>11</v>
      </c>
      <c r="F3674" t="s">
        <v>12</v>
      </c>
      <c r="G3674" t="s">
        <v>13</v>
      </c>
      <c r="H3674" t="s">
        <v>13</v>
      </c>
      <c r="I3674">
        <v>75</v>
      </c>
      <c r="J3674">
        <f>ABS((I3674-EDA!$A$15)/EDA!$B$15)</f>
        <v>2.330426205404255</v>
      </c>
      <c r="K3674" t="str">
        <f t="shared" si="57"/>
        <v>Sí</v>
      </c>
      <c r="L3674">
        <f>ABS((C3674-EDA!$F$15)/EDA!$G$15)</f>
        <v>0.36516744864101108</v>
      </c>
      <c r="M3674" t="str">
        <f>IF(moras[[#This Row],[Z-Score Salario]]&gt;1.96, "Sí", "No")</f>
        <v>No</v>
      </c>
      <c r="N3674" s="14">
        <f>IF(ISBLANK(moras[[#This Row],[SALARIO]]), EDA!$M$8, moras[[#This Row],[SALARIO]])</f>
        <v>630173</v>
      </c>
      <c r="O3674" s="14">
        <f xml:space="preserve"> IF(ISBLANK(moras[[#This Row],[EDAD]]), EDA!$E$8, moras[[#This Row],[EDAD]])</f>
        <v>75</v>
      </c>
      <c r="P3674" s="14" t="str">
        <f>IF(
    OR(ISBLANK(moras[[#This Row],[TIPO_ASEGURAMIENTO]]), moras[[#This Row],[TIPO_ASEGURAMIENTO]]=""),
    EDA!$A$32,
    moras[[#This Row],[TIPO_ASEGURAMIENTO]]
)</f>
        <v>PENSIONADOS EN SU PROPIO SISTEMA</v>
      </c>
    </row>
    <row r="3675" spans="1:16" x14ac:dyDescent="0.3">
      <c r="A3675">
        <v>3674</v>
      </c>
      <c r="B3675" t="s">
        <v>15</v>
      </c>
      <c r="C3675">
        <v>1041733</v>
      </c>
      <c r="D3675" t="s">
        <v>10</v>
      </c>
      <c r="E3675" t="s">
        <v>11</v>
      </c>
      <c r="F3675" t="s">
        <v>12</v>
      </c>
      <c r="G3675" t="s">
        <v>13</v>
      </c>
      <c r="H3675" t="s">
        <v>12</v>
      </c>
      <c r="I3675">
        <v>37</v>
      </c>
      <c r="J3675">
        <f>ABS((I3675-EDA!$A$15)/EDA!$B$15)</f>
        <v>0.35143633752697023</v>
      </c>
      <c r="K3675" t="str">
        <f t="shared" si="57"/>
        <v>No</v>
      </c>
      <c r="L3675">
        <f>ABS((C3675-EDA!$F$15)/EDA!$G$15)</f>
        <v>0.35831879971578723</v>
      </c>
      <c r="M3675" t="str">
        <f>IF(moras[[#This Row],[Z-Score Salario]]&gt;1.96, "Sí", "No")</f>
        <v>No</v>
      </c>
      <c r="N3675" s="14">
        <f>IF(ISBLANK(moras[[#This Row],[SALARIO]]), EDA!$M$8, moras[[#This Row],[SALARIO]])</f>
        <v>1041733</v>
      </c>
      <c r="O3675" s="14">
        <f xml:space="preserve"> IF(ISBLANK(moras[[#This Row],[EDAD]]), EDA!$E$8, moras[[#This Row],[EDAD]])</f>
        <v>37</v>
      </c>
      <c r="P3675" s="14" t="str">
        <f>IF(
    OR(ISBLANK(moras[[#This Row],[TIPO_ASEGURAMIENTO]]), moras[[#This Row],[TIPO_ASEGURAMIENTO]]=""),
    EDA!$A$32,
    moras[[#This Row],[TIPO_ASEGURAMIENTO]]
)</f>
        <v>ASALARIADO</v>
      </c>
    </row>
    <row r="3676" spans="1:16" x14ac:dyDescent="0.3">
      <c r="A3676">
        <v>3675</v>
      </c>
      <c r="B3676" t="s">
        <v>15</v>
      </c>
      <c r="C3676">
        <v>440000</v>
      </c>
      <c r="D3676" t="s">
        <v>10</v>
      </c>
      <c r="E3676" t="s">
        <v>16</v>
      </c>
      <c r="F3676" t="s">
        <v>12</v>
      </c>
      <c r="G3676" t="s">
        <v>13</v>
      </c>
      <c r="H3676" t="s">
        <v>13</v>
      </c>
      <c r="I3676">
        <v>32</v>
      </c>
      <c r="J3676">
        <f>ABS((I3676-EDA!$A$15)/EDA!$B$15)</f>
        <v>0.70431298791265773</v>
      </c>
      <c r="K3676" t="str">
        <f t="shared" si="57"/>
        <v>No</v>
      </c>
      <c r="L3676">
        <f>ABS((C3676-EDA!$F$15)/EDA!$G$15)</f>
        <v>0.36833206160645132</v>
      </c>
      <c r="M3676" t="str">
        <f>IF(moras[[#This Row],[Z-Score Salario]]&gt;1.96, "Sí", "No")</f>
        <v>No</v>
      </c>
      <c r="N3676" s="14">
        <f>IF(ISBLANK(moras[[#This Row],[SALARIO]]), EDA!$M$8, moras[[#This Row],[SALARIO]])</f>
        <v>440000</v>
      </c>
      <c r="O3676" s="14">
        <f xml:space="preserve"> IF(ISBLANK(moras[[#This Row],[EDAD]]), EDA!$E$8, moras[[#This Row],[EDAD]])</f>
        <v>32</v>
      </c>
      <c r="P3676" s="14" t="str">
        <f>IF(
    OR(ISBLANK(moras[[#This Row],[TIPO_ASEGURAMIENTO]]), moras[[#This Row],[TIPO_ASEGURAMIENTO]]=""),
    EDA!$A$32,
    moras[[#This Row],[TIPO_ASEGURAMIENTO]]
)</f>
        <v>ASALARIADO</v>
      </c>
    </row>
    <row r="3677" spans="1:16" x14ac:dyDescent="0.3">
      <c r="A3677">
        <v>3676</v>
      </c>
      <c r="B3677" t="s">
        <v>9</v>
      </c>
      <c r="C3677">
        <v>278030</v>
      </c>
      <c r="D3677" t="s">
        <v>17</v>
      </c>
      <c r="E3677" t="s">
        <v>16</v>
      </c>
      <c r="F3677" t="s">
        <v>12</v>
      </c>
      <c r="G3677" t="s">
        <v>13</v>
      </c>
      <c r="H3677" t="s">
        <v>13</v>
      </c>
      <c r="I3677">
        <v>26</v>
      </c>
      <c r="J3677">
        <f>ABS((I3677-EDA!$A$15)/EDA!$B$15)</f>
        <v>1.1277649683754829</v>
      </c>
      <c r="K3677" t="str">
        <f t="shared" si="57"/>
        <v>No</v>
      </c>
      <c r="L3677">
        <f>ABS((C3677-EDA!$F$15)/EDA!$G$15)</f>
        <v>0.37102735674304993</v>
      </c>
      <c r="M3677" t="str">
        <f>IF(moras[[#This Row],[Z-Score Salario]]&gt;1.96, "Sí", "No")</f>
        <v>No</v>
      </c>
      <c r="N3677" s="14">
        <f>IF(ISBLANK(moras[[#This Row],[SALARIO]]), EDA!$M$8, moras[[#This Row],[SALARIO]])</f>
        <v>278030</v>
      </c>
      <c r="O3677" s="14">
        <f xml:space="preserve"> IF(ISBLANK(moras[[#This Row],[EDAD]]), EDA!$E$8, moras[[#This Row],[EDAD]])</f>
        <v>26</v>
      </c>
      <c r="P3677" s="14" t="str">
        <f>IF(
    OR(ISBLANK(moras[[#This Row],[TIPO_ASEGURAMIENTO]]), moras[[#This Row],[TIPO_ASEGURAMIENTO]]=""),
    EDA!$A$32,
    moras[[#This Row],[TIPO_ASEGURAMIENTO]]
)</f>
        <v>ASEGURADO VOLUNTARIO</v>
      </c>
    </row>
    <row r="3678" spans="1:16" x14ac:dyDescent="0.3">
      <c r="A3678">
        <v>3677</v>
      </c>
      <c r="B3678" t="s">
        <v>9</v>
      </c>
      <c r="C3678">
        <v>450886</v>
      </c>
      <c r="D3678" t="s">
        <v>18</v>
      </c>
      <c r="E3678" t="s">
        <v>16</v>
      </c>
      <c r="F3678" t="s">
        <v>12</v>
      </c>
      <c r="G3678" t="s">
        <v>13</v>
      </c>
      <c r="H3678" t="s">
        <v>12</v>
      </c>
      <c r="I3678">
        <v>53</v>
      </c>
      <c r="J3678">
        <f>ABS((I3678-EDA!$A$15)/EDA!$B$15)</f>
        <v>0.77776894370722982</v>
      </c>
      <c r="K3678" t="str">
        <f t="shared" si="57"/>
        <v>No</v>
      </c>
      <c r="L3678">
        <f>ABS((C3678-EDA!$F$15)/EDA!$G$15)</f>
        <v>0.36815091088189117</v>
      </c>
      <c r="M3678" t="str">
        <f>IF(moras[[#This Row],[Z-Score Salario]]&gt;1.96, "Sí", "No")</f>
        <v>No</v>
      </c>
      <c r="N3678" s="14">
        <f>IF(ISBLANK(moras[[#This Row],[SALARIO]]), EDA!$M$8, moras[[#This Row],[SALARIO]])</f>
        <v>450886</v>
      </c>
      <c r="O3678" s="14">
        <f xml:space="preserve"> IF(ISBLANK(moras[[#This Row],[EDAD]]), EDA!$E$8, moras[[#This Row],[EDAD]])</f>
        <v>53</v>
      </c>
      <c r="P3678" s="14" t="str">
        <f>IF(
    OR(ISBLANK(moras[[#This Row],[TIPO_ASEGURAMIENTO]]), moras[[#This Row],[TIPO_ASEGURAMIENTO]]=""),
    EDA!$A$32,
    moras[[#This Row],[TIPO_ASEGURAMIENTO]]
)</f>
        <v>TRABAJADOR INDEPENDIENTE</v>
      </c>
    </row>
    <row r="3679" spans="1:16" x14ac:dyDescent="0.3">
      <c r="A3679">
        <v>3678</v>
      </c>
      <c r="B3679" t="s">
        <v>15</v>
      </c>
      <c r="C3679">
        <v>55275104</v>
      </c>
      <c r="D3679" t="s">
        <v>10</v>
      </c>
      <c r="E3679" t="s">
        <v>16</v>
      </c>
      <c r="F3679" t="s">
        <v>12</v>
      </c>
      <c r="G3679" t="s">
        <v>13</v>
      </c>
      <c r="H3679" t="s">
        <v>13</v>
      </c>
      <c r="I3679">
        <v>27</v>
      </c>
      <c r="J3679">
        <f>ABS((I3679-EDA!$A$15)/EDA!$B$15)</f>
        <v>1.0571896382983452</v>
      </c>
      <c r="K3679" t="str">
        <f t="shared" si="57"/>
        <v>No</v>
      </c>
      <c r="L3679">
        <f>ABS((C3679-EDA!$F$15)/EDA!$G$15)</f>
        <v>0.54416277772229571</v>
      </c>
      <c r="M3679" t="str">
        <f>IF(moras[[#This Row],[Z-Score Salario]]&gt;1.96, "Sí", "No")</f>
        <v>No</v>
      </c>
      <c r="N3679" s="14">
        <f>IF(ISBLANK(moras[[#This Row],[SALARIO]]), EDA!$M$8, moras[[#This Row],[SALARIO]])</f>
        <v>55275104</v>
      </c>
      <c r="O3679" s="14">
        <f xml:space="preserve"> IF(ISBLANK(moras[[#This Row],[EDAD]]), EDA!$E$8, moras[[#This Row],[EDAD]])</f>
        <v>27</v>
      </c>
      <c r="P3679" s="14" t="str">
        <f>IF(
    OR(ISBLANK(moras[[#This Row],[TIPO_ASEGURAMIENTO]]), moras[[#This Row],[TIPO_ASEGURAMIENTO]]=""),
    EDA!$A$32,
    moras[[#This Row],[TIPO_ASEGURAMIENTO]]
)</f>
        <v>ASALARIADO</v>
      </c>
    </row>
    <row r="3680" spans="1:16" x14ac:dyDescent="0.3">
      <c r="A3680">
        <v>3679</v>
      </c>
      <c r="B3680" t="s">
        <v>9</v>
      </c>
      <c r="C3680">
        <v>34664779</v>
      </c>
      <c r="D3680" t="s">
        <v>10</v>
      </c>
      <c r="E3680" t="s">
        <v>16</v>
      </c>
      <c r="F3680" t="s">
        <v>12</v>
      </c>
      <c r="G3680" t="s">
        <v>13</v>
      </c>
      <c r="H3680" t="s">
        <v>13</v>
      </c>
      <c r="I3680">
        <v>20</v>
      </c>
      <c r="J3680">
        <f>ABS((I3680-EDA!$A$15)/EDA!$B$15)</f>
        <v>1.5512169488383079</v>
      </c>
      <c r="K3680" t="str">
        <f t="shared" si="57"/>
        <v>No</v>
      </c>
      <c r="L3680">
        <f>ABS((C3680-EDA!$F$15)/EDA!$G$15)</f>
        <v>0.20119242064249043</v>
      </c>
      <c r="M3680" t="str">
        <f>IF(moras[[#This Row],[Z-Score Salario]]&gt;1.96, "Sí", "No")</f>
        <v>No</v>
      </c>
      <c r="N3680" s="14">
        <f>IF(ISBLANK(moras[[#This Row],[SALARIO]]), EDA!$M$8, moras[[#This Row],[SALARIO]])</f>
        <v>34664779</v>
      </c>
      <c r="O3680" s="14">
        <f xml:space="preserve"> IF(ISBLANK(moras[[#This Row],[EDAD]]), EDA!$E$8, moras[[#This Row],[EDAD]])</f>
        <v>20</v>
      </c>
      <c r="P3680" s="14" t="str">
        <f>IF(
    OR(ISBLANK(moras[[#This Row],[TIPO_ASEGURAMIENTO]]), moras[[#This Row],[TIPO_ASEGURAMIENTO]]=""),
    EDA!$A$32,
    moras[[#This Row],[TIPO_ASEGURAMIENTO]]
)</f>
        <v>ASALARIADO</v>
      </c>
    </row>
    <row r="3681" spans="1:16" x14ac:dyDescent="0.3">
      <c r="A3681">
        <v>3680</v>
      </c>
      <c r="B3681" t="s">
        <v>9</v>
      </c>
      <c r="C3681">
        <v>278030</v>
      </c>
      <c r="D3681" t="s">
        <v>19</v>
      </c>
      <c r="E3681" t="s">
        <v>16</v>
      </c>
      <c r="F3681" t="s">
        <v>12</v>
      </c>
      <c r="G3681" t="s">
        <v>13</v>
      </c>
      <c r="H3681" t="s">
        <v>13</v>
      </c>
      <c r="I3681">
        <v>53</v>
      </c>
      <c r="J3681">
        <f>ABS((I3681-EDA!$A$15)/EDA!$B$15)</f>
        <v>0.77776894370722982</v>
      </c>
      <c r="K3681" t="str">
        <f t="shared" si="57"/>
        <v>No</v>
      </c>
      <c r="L3681">
        <f>ABS((C3681-EDA!$F$15)/EDA!$G$15)</f>
        <v>0.37102735674304993</v>
      </c>
      <c r="M3681" t="str">
        <f>IF(moras[[#This Row],[Z-Score Salario]]&gt;1.96, "Sí", "No")</f>
        <v>No</v>
      </c>
      <c r="N3681" s="14">
        <f>IF(ISBLANK(moras[[#This Row],[SALARIO]]), EDA!$M$8, moras[[#This Row],[SALARIO]])</f>
        <v>278030</v>
      </c>
      <c r="O3681" s="14">
        <f xml:space="preserve"> IF(ISBLANK(moras[[#This Row],[EDAD]]), EDA!$E$8, moras[[#This Row],[EDAD]])</f>
        <v>53</v>
      </c>
      <c r="P3681" s="14" t="str">
        <f>IF(
    OR(ISBLANK(moras[[#This Row],[TIPO_ASEGURAMIENTO]]), moras[[#This Row],[TIPO_ASEGURAMIENTO]]=""),
    EDA!$A$32,
    moras[[#This Row],[TIPO_ASEGURAMIENTO]]
)</f>
        <v>CONVENIOS ESPECIALES DE TRABAJADORES INDEPENDIENTES</v>
      </c>
    </row>
    <row r="3682" spans="1:16" x14ac:dyDescent="0.3">
      <c r="A3682">
        <v>3681</v>
      </c>
      <c r="B3682" t="s">
        <v>9</v>
      </c>
      <c r="C3682">
        <v>342027</v>
      </c>
      <c r="D3682" t="s">
        <v>10</v>
      </c>
      <c r="E3682" t="s">
        <v>16</v>
      </c>
      <c r="F3682" t="s">
        <v>12</v>
      </c>
      <c r="G3682" t="s">
        <v>13</v>
      </c>
      <c r="H3682" t="s">
        <v>13</v>
      </c>
      <c r="I3682">
        <v>24</v>
      </c>
      <c r="J3682">
        <f>ABS((I3682-EDA!$A$15)/EDA!$B$15)</f>
        <v>1.2689156285297578</v>
      </c>
      <c r="K3682" t="str">
        <f t="shared" si="57"/>
        <v>No</v>
      </c>
      <c r="L3682">
        <f>ABS((C3682-EDA!$F$15)/EDA!$G$15)</f>
        <v>0.36996240148678705</v>
      </c>
      <c r="M3682" t="str">
        <f>IF(moras[[#This Row],[Z-Score Salario]]&gt;1.96, "Sí", "No")</f>
        <v>No</v>
      </c>
      <c r="N3682" s="14">
        <f>IF(ISBLANK(moras[[#This Row],[SALARIO]]), EDA!$M$8, moras[[#This Row],[SALARIO]])</f>
        <v>342027</v>
      </c>
      <c r="O3682" s="14">
        <f xml:space="preserve"> IF(ISBLANK(moras[[#This Row],[EDAD]]), EDA!$E$8, moras[[#This Row],[EDAD]])</f>
        <v>24</v>
      </c>
      <c r="P3682" s="14" t="str">
        <f>IF(
    OR(ISBLANK(moras[[#This Row],[TIPO_ASEGURAMIENTO]]), moras[[#This Row],[TIPO_ASEGURAMIENTO]]=""),
    EDA!$A$32,
    moras[[#This Row],[TIPO_ASEGURAMIENTO]]
)</f>
        <v>ASALARIADO</v>
      </c>
    </row>
    <row r="3683" spans="1:16" x14ac:dyDescent="0.3">
      <c r="A3683">
        <v>3682</v>
      </c>
      <c r="B3683" t="s">
        <v>9</v>
      </c>
      <c r="C3683">
        <v>4055865</v>
      </c>
      <c r="D3683" t="s">
        <v>10</v>
      </c>
      <c r="E3683" t="s">
        <v>16</v>
      </c>
      <c r="F3683" t="s">
        <v>12</v>
      </c>
      <c r="G3683" t="s">
        <v>13</v>
      </c>
      <c r="H3683" t="s">
        <v>13</v>
      </c>
      <c r="I3683">
        <v>48</v>
      </c>
      <c r="J3683">
        <f>ABS((I3683-EDA!$A$15)/EDA!$B$15)</f>
        <v>0.42489229332154227</v>
      </c>
      <c r="K3683" t="str">
        <f t="shared" si="57"/>
        <v>No</v>
      </c>
      <c r="L3683">
        <f>ABS((C3683-EDA!$F$15)/EDA!$G$15)</f>
        <v>0.3081615155232445</v>
      </c>
      <c r="M3683" t="str">
        <f>IF(moras[[#This Row],[Z-Score Salario]]&gt;1.96, "Sí", "No")</f>
        <v>No</v>
      </c>
      <c r="N3683" s="14">
        <f>IF(ISBLANK(moras[[#This Row],[SALARIO]]), EDA!$M$8, moras[[#This Row],[SALARIO]])</f>
        <v>4055865</v>
      </c>
      <c r="O3683" s="14">
        <f xml:space="preserve"> IF(ISBLANK(moras[[#This Row],[EDAD]]), EDA!$E$8, moras[[#This Row],[EDAD]])</f>
        <v>48</v>
      </c>
      <c r="P3683" s="14" t="str">
        <f>IF(
    OR(ISBLANK(moras[[#This Row],[TIPO_ASEGURAMIENTO]]), moras[[#This Row],[TIPO_ASEGURAMIENTO]]=""),
    EDA!$A$32,
    moras[[#This Row],[TIPO_ASEGURAMIENTO]]
)</f>
        <v>ASALARIADO</v>
      </c>
    </row>
    <row r="3684" spans="1:16" x14ac:dyDescent="0.3">
      <c r="A3684">
        <v>3683</v>
      </c>
      <c r="B3684" t="s">
        <v>9</v>
      </c>
      <c r="C3684">
        <v>299647</v>
      </c>
      <c r="D3684" t="s">
        <v>17</v>
      </c>
      <c r="E3684" t="s">
        <v>16</v>
      </c>
      <c r="F3684" t="s">
        <v>12</v>
      </c>
      <c r="G3684" t="s">
        <v>13</v>
      </c>
      <c r="H3684" t="s">
        <v>13</v>
      </c>
      <c r="I3684">
        <v>68</v>
      </c>
      <c r="J3684">
        <f>ABS((I3684-EDA!$A$15)/EDA!$B$15)</f>
        <v>1.8363988948642924</v>
      </c>
      <c r="K3684" t="str">
        <f t="shared" si="57"/>
        <v>No</v>
      </c>
      <c r="L3684">
        <f>ABS((C3684-EDA!$F$15)/EDA!$G$15)</f>
        <v>0.37066763460334595</v>
      </c>
      <c r="M3684" t="str">
        <f>IF(moras[[#This Row],[Z-Score Salario]]&gt;1.96, "Sí", "No")</f>
        <v>No</v>
      </c>
      <c r="N3684" s="14">
        <f>IF(ISBLANK(moras[[#This Row],[SALARIO]]), EDA!$M$8, moras[[#This Row],[SALARIO]])</f>
        <v>299647</v>
      </c>
      <c r="O3684" s="14">
        <f xml:space="preserve"> IF(ISBLANK(moras[[#This Row],[EDAD]]), EDA!$E$8, moras[[#This Row],[EDAD]])</f>
        <v>68</v>
      </c>
      <c r="P3684" s="14" t="str">
        <f>IF(
    OR(ISBLANK(moras[[#This Row],[TIPO_ASEGURAMIENTO]]), moras[[#This Row],[TIPO_ASEGURAMIENTO]]=""),
    EDA!$A$32,
    moras[[#This Row],[TIPO_ASEGURAMIENTO]]
)</f>
        <v>ASEGURADO VOLUNTARIO</v>
      </c>
    </row>
    <row r="3685" spans="1:16" x14ac:dyDescent="0.3">
      <c r="A3685">
        <v>3684</v>
      </c>
      <c r="B3685" t="s">
        <v>9</v>
      </c>
      <c r="C3685">
        <v>2445742</v>
      </c>
      <c r="D3685" t="s">
        <v>10</v>
      </c>
      <c r="E3685" t="s">
        <v>16</v>
      </c>
      <c r="F3685" t="s">
        <v>12</v>
      </c>
      <c r="G3685" t="s">
        <v>13</v>
      </c>
      <c r="H3685" t="s">
        <v>13</v>
      </c>
      <c r="I3685">
        <v>42</v>
      </c>
      <c r="J3685">
        <f>ABS((I3685-EDA!$A$15)/EDA!$B$15)</f>
        <v>1.4403128587172659E-3</v>
      </c>
      <c r="K3685" t="str">
        <f t="shared" si="57"/>
        <v>No</v>
      </c>
      <c r="L3685">
        <f>ABS((C3685-EDA!$F$15)/EDA!$G$15)</f>
        <v>0.33495509884870917</v>
      </c>
      <c r="M3685" t="str">
        <f>IF(moras[[#This Row],[Z-Score Salario]]&gt;1.96, "Sí", "No")</f>
        <v>No</v>
      </c>
      <c r="N3685" s="14">
        <f>IF(ISBLANK(moras[[#This Row],[SALARIO]]), EDA!$M$8, moras[[#This Row],[SALARIO]])</f>
        <v>2445742</v>
      </c>
      <c r="O3685" s="14">
        <f xml:space="preserve"> IF(ISBLANK(moras[[#This Row],[EDAD]]), EDA!$E$8, moras[[#This Row],[EDAD]])</f>
        <v>42</v>
      </c>
      <c r="P3685" s="14" t="str">
        <f>IF(
    OR(ISBLANK(moras[[#This Row],[TIPO_ASEGURAMIENTO]]), moras[[#This Row],[TIPO_ASEGURAMIENTO]]=""),
    EDA!$A$32,
    moras[[#This Row],[TIPO_ASEGURAMIENTO]]
)</f>
        <v>ASALARIADO</v>
      </c>
    </row>
    <row r="3686" spans="1:16" x14ac:dyDescent="0.3">
      <c r="A3686">
        <v>3685</v>
      </c>
      <c r="B3686" t="s">
        <v>15</v>
      </c>
      <c r="C3686">
        <v>297050</v>
      </c>
      <c r="D3686" t="s">
        <v>17</v>
      </c>
      <c r="E3686" t="s">
        <v>16</v>
      </c>
      <c r="F3686" t="s">
        <v>12</v>
      </c>
      <c r="G3686" t="s">
        <v>13</v>
      </c>
      <c r="H3686" t="s">
        <v>13</v>
      </c>
      <c r="I3686">
        <v>56</v>
      </c>
      <c r="J3686">
        <f>ABS((I3686-EDA!$A$15)/EDA!$B$15)</f>
        <v>0.9894949339386423</v>
      </c>
      <c r="K3686" t="str">
        <f t="shared" si="57"/>
        <v>No</v>
      </c>
      <c r="L3686">
        <f>ABS((C3686-EDA!$F$15)/EDA!$G$15)</f>
        <v>0.37071085051659991</v>
      </c>
      <c r="M3686" t="str">
        <f>IF(moras[[#This Row],[Z-Score Salario]]&gt;1.96, "Sí", "No")</f>
        <v>No</v>
      </c>
      <c r="N3686" s="14">
        <f>IF(ISBLANK(moras[[#This Row],[SALARIO]]), EDA!$M$8, moras[[#This Row],[SALARIO]])</f>
        <v>297050</v>
      </c>
      <c r="O3686" s="14">
        <f xml:space="preserve"> IF(ISBLANK(moras[[#This Row],[EDAD]]), EDA!$E$8, moras[[#This Row],[EDAD]])</f>
        <v>56</v>
      </c>
      <c r="P3686" s="14" t="str">
        <f>IF(
    OR(ISBLANK(moras[[#This Row],[TIPO_ASEGURAMIENTO]]), moras[[#This Row],[TIPO_ASEGURAMIENTO]]=""),
    EDA!$A$32,
    moras[[#This Row],[TIPO_ASEGURAMIENTO]]
)</f>
        <v>ASEGURADO VOLUNTARIO</v>
      </c>
    </row>
    <row r="3687" spans="1:16" x14ac:dyDescent="0.3">
      <c r="A3687">
        <v>3686</v>
      </c>
      <c r="B3687" t="s">
        <v>9</v>
      </c>
      <c r="C3687">
        <v>1529247</v>
      </c>
      <c r="D3687" t="s">
        <v>10</v>
      </c>
      <c r="E3687" t="s">
        <v>16</v>
      </c>
      <c r="F3687" t="s">
        <v>12</v>
      </c>
      <c r="G3687" t="s">
        <v>13</v>
      </c>
      <c r="H3687" t="s">
        <v>13</v>
      </c>
      <c r="I3687">
        <v>28</v>
      </c>
      <c r="J3687">
        <f>ABS((I3687-EDA!$A$15)/EDA!$B$15)</f>
        <v>0.98661430822120777</v>
      </c>
      <c r="K3687" t="str">
        <f t="shared" si="57"/>
        <v>No</v>
      </c>
      <c r="L3687">
        <f>ABS((C3687-EDA!$F$15)/EDA!$G$15)</f>
        <v>0.35020622261370832</v>
      </c>
      <c r="M3687" t="str">
        <f>IF(moras[[#This Row],[Z-Score Salario]]&gt;1.96, "Sí", "No")</f>
        <v>No</v>
      </c>
      <c r="N3687" s="14">
        <f>IF(ISBLANK(moras[[#This Row],[SALARIO]]), EDA!$M$8, moras[[#This Row],[SALARIO]])</f>
        <v>1529247</v>
      </c>
      <c r="O3687" s="14">
        <f xml:space="preserve"> IF(ISBLANK(moras[[#This Row],[EDAD]]), EDA!$E$8, moras[[#This Row],[EDAD]])</f>
        <v>28</v>
      </c>
      <c r="P3687" s="14" t="str">
        <f>IF(
    OR(ISBLANK(moras[[#This Row],[TIPO_ASEGURAMIENTO]]), moras[[#This Row],[TIPO_ASEGURAMIENTO]]=""),
    EDA!$A$32,
    moras[[#This Row],[TIPO_ASEGURAMIENTO]]
)</f>
        <v>ASALARIADO</v>
      </c>
    </row>
    <row r="3688" spans="1:16" x14ac:dyDescent="0.3">
      <c r="A3688">
        <v>3687</v>
      </c>
      <c r="B3688" t="s">
        <v>9</v>
      </c>
      <c r="C3688">
        <v>200000</v>
      </c>
      <c r="D3688" t="s">
        <v>10</v>
      </c>
      <c r="E3688" t="s">
        <v>16</v>
      </c>
      <c r="F3688" t="s">
        <v>12</v>
      </c>
      <c r="G3688" t="s">
        <v>13</v>
      </c>
      <c r="H3688" t="s">
        <v>12</v>
      </c>
      <c r="I3688">
        <v>34</v>
      </c>
      <c r="J3688">
        <f>ABS((I3688-EDA!$A$15)/EDA!$B$15)</f>
        <v>0.56316232775838282</v>
      </c>
      <c r="K3688" t="str">
        <f t="shared" si="57"/>
        <v>No</v>
      </c>
      <c r="L3688">
        <f>ABS((C3688-EDA!$F$15)/EDA!$G$15)</f>
        <v>0.3723258310253787</v>
      </c>
      <c r="M3688" t="str">
        <f>IF(moras[[#This Row],[Z-Score Salario]]&gt;1.96, "Sí", "No")</f>
        <v>No</v>
      </c>
      <c r="N3688" s="14">
        <f>IF(ISBLANK(moras[[#This Row],[SALARIO]]), EDA!$M$8, moras[[#This Row],[SALARIO]])</f>
        <v>200000</v>
      </c>
      <c r="O3688" s="14">
        <f xml:space="preserve"> IF(ISBLANK(moras[[#This Row],[EDAD]]), EDA!$E$8, moras[[#This Row],[EDAD]])</f>
        <v>34</v>
      </c>
      <c r="P3688" s="14" t="str">
        <f>IF(
    OR(ISBLANK(moras[[#This Row],[TIPO_ASEGURAMIENTO]]), moras[[#This Row],[TIPO_ASEGURAMIENTO]]=""),
    EDA!$A$32,
    moras[[#This Row],[TIPO_ASEGURAMIENTO]]
)</f>
        <v>ASALARIADO</v>
      </c>
    </row>
    <row r="3689" spans="1:16" x14ac:dyDescent="0.3">
      <c r="A3689">
        <v>3688</v>
      </c>
      <c r="B3689" t="s">
        <v>15</v>
      </c>
      <c r="C3689">
        <v>1203138</v>
      </c>
      <c r="D3689" t="s">
        <v>10</v>
      </c>
      <c r="E3689" t="s">
        <v>11</v>
      </c>
      <c r="F3689" t="s">
        <v>12</v>
      </c>
      <c r="G3689" t="s">
        <v>13</v>
      </c>
      <c r="H3689" t="s">
        <v>12</v>
      </c>
      <c r="I3689">
        <v>37</v>
      </c>
      <c r="J3689">
        <f>ABS((I3689-EDA!$A$15)/EDA!$B$15)</f>
        <v>0.35143633752697023</v>
      </c>
      <c r="K3689" t="str">
        <f t="shared" si="57"/>
        <v>No</v>
      </c>
      <c r="L3689">
        <f>ABS((C3689-EDA!$F$15)/EDA!$G$15)</f>
        <v>0.35563290657802904</v>
      </c>
      <c r="M3689" t="str">
        <f>IF(moras[[#This Row],[Z-Score Salario]]&gt;1.96, "Sí", "No")</f>
        <v>No</v>
      </c>
      <c r="N3689" s="14">
        <f>IF(ISBLANK(moras[[#This Row],[SALARIO]]), EDA!$M$8, moras[[#This Row],[SALARIO]])</f>
        <v>1203138</v>
      </c>
      <c r="O3689" s="14">
        <f xml:space="preserve"> IF(ISBLANK(moras[[#This Row],[EDAD]]), EDA!$E$8, moras[[#This Row],[EDAD]])</f>
        <v>37</v>
      </c>
      <c r="P3689" s="14" t="str">
        <f>IF(
    OR(ISBLANK(moras[[#This Row],[TIPO_ASEGURAMIENTO]]), moras[[#This Row],[TIPO_ASEGURAMIENTO]]=""),
    EDA!$A$32,
    moras[[#This Row],[TIPO_ASEGURAMIENTO]]
)</f>
        <v>ASALARIADO</v>
      </c>
    </row>
    <row r="3690" spans="1:16" x14ac:dyDescent="0.3">
      <c r="A3690">
        <v>3689</v>
      </c>
      <c r="B3690" t="s">
        <v>15</v>
      </c>
      <c r="C3690">
        <v>179772</v>
      </c>
      <c r="D3690" t="s">
        <v>10</v>
      </c>
      <c r="E3690" t="s">
        <v>16</v>
      </c>
      <c r="F3690" t="s">
        <v>12</v>
      </c>
      <c r="G3690" t="s">
        <v>13</v>
      </c>
      <c r="H3690" t="s">
        <v>13</v>
      </c>
      <c r="I3690">
        <v>36</v>
      </c>
      <c r="J3690">
        <f>ABS((I3690-EDA!$A$15)/EDA!$B$15)</f>
        <v>0.42201166760410774</v>
      </c>
      <c r="K3690" t="str">
        <f t="shared" si="57"/>
        <v>No</v>
      </c>
      <c r="L3690">
        <f>ABS((C3690-EDA!$F$15)/EDA!$G$15)</f>
        <v>0.3726624392245706</v>
      </c>
      <c r="M3690" t="str">
        <f>IF(moras[[#This Row],[Z-Score Salario]]&gt;1.96, "Sí", "No")</f>
        <v>No</v>
      </c>
      <c r="N3690" s="14">
        <f>IF(ISBLANK(moras[[#This Row],[SALARIO]]), EDA!$M$8, moras[[#This Row],[SALARIO]])</f>
        <v>179772</v>
      </c>
      <c r="O3690" s="14">
        <f xml:space="preserve"> IF(ISBLANK(moras[[#This Row],[EDAD]]), EDA!$E$8, moras[[#This Row],[EDAD]])</f>
        <v>36</v>
      </c>
      <c r="P3690" s="14" t="str">
        <f>IF(
    OR(ISBLANK(moras[[#This Row],[TIPO_ASEGURAMIENTO]]), moras[[#This Row],[TIPO_ASEGURAMIENTO]]=""),
    EDA!$A$32,
    moras[[#This Row],[TIPO_ASEGURAMIENTO]]
)</f>
        <v>ASALARIADO</v>
      </c>
    </row>
    <row r="3691" spans="1:16" x14ac:dyDescent="0.3">
      <c r="A3691">
        <v>3690</v>
      </c>
      <c r="B3691" t="s">
        <v>9</v>
      </c>
      <c r="C3691">
        <v>11592222</v>
      </c>
      <c r="D3691" t="s">
        <v>10</v>
      </c>
      <c r="E3691" t="s">
        <v>11</v>
      </c>
      <c r="F3691" t="s">
        <v>12</v>
      </c>
      <c r="G3691" t="s">
        <v>13</v>
      </c>
      <c r="H3691" t="s">
        <v>13</v>
      </c>
      <c r="I3691">
        <v>58</v>
      </c>
      <c r="J3691">
        <f>ABS((I3691-EDA!$A$15)/EDA!$B$15)</f>
        <v>1.1306455940929174</v>
      </c>
      <c r="K3691" t="str">
        <f t="shared" si="57"/>
        <v>No</v>
      </c>
      <c r="L3691">
        <f>ABS((C3691-EDA!$F$15)/EDA!$G$15)</f>
        <v>0.18275121503691591</v>
      </c>
      <c r="M3691" t="str">
        <f>IF(moras[[#This Row],[Z-Score Salario]]&gt;1.96, "Sí", "No")</f>
        <v>No</v>
      </c>
      <c r="N3691" s="14">
        <f>IF(ISBLANK(moras[[#This Row],[SALARIO]]), EDA!$M$8, moras[[#This Row],[SALARIO]])</f>
        <v>11592222</v>
      </c>
      <c r="O3691" s="14">
        <f xml:space="preserve"> IF(ISBLANK(moras[[#This Row],[EDAD]]), EDA!$E$8, moras[[#This Row],[EDAD]])</f>
        <v>58</v>
      </c>
      <c r="P3691" s="14" t="str">
        <f>IF(
    OR(ISBLANK(moras[[#This Row],[TIPO_ASEGURAMIENTO]]), moras[[#This Row],[TIPO_ASEGURAMIENTO]]=""),
    EDA!$A$32,
    moras[[#This Row],[TIPO_ASEGURAMIENTO]]
)</f>
        <v>ASALARIADO</v>
      </c>
    </row>
    <row r="3692" spans="1:16" x14ac:dyDescent="0.3">
      <c r="A3692">
        <v>3691</v>
      </c>
      <c r="B3692" t="s">
        <v>9</v>
      </c>
      <c r="C3692">
        <v>9604055</v>
      </c>
      <c r="D3692" t="s">
        <v>10</v>
      </c>
      <c r="E3692" t="s">
        <v>16</v>
      </c>
      <c r="F3692" t="s">
        <v>12</v>
      </c>
      <c r="G3692" t="s">
        <v>13</v>
      </c>
      <c r="H3692" t="s">
        <v>13</v>
      </c>
      <c r="I3692">
        <v>50</v>
      </c>
      <c r="J3692">
        <f>ABS((I3692-EDA!$A$15)/EDA!$B$15)</f>
        <v>0.56604295347581735</v>
      </c>
      <c r="K3692" t="str">
        <f t="shared" si="57"/>
        <v>No</v>
      </c>
      <c r="L3692">
        <f>ABS((C3692-EDA!$F$15)/EDA!$G$15)</f>
        <v>0.21583571738825125</v>
      </c>
      <c r="M3692" t="str">
        <f>IF(moras[[#This Row],[Z-Score Salario]]&gt;1.96, "Sí", "No")</f>
        <v>No</v>
      </c>
      <c r="N3692" s="14">
        <f>IF(ISBLANK(moras[[#This Row],[SALARIO]]), EDA!$M$8, moras[[#This Row],[SALARIO]])</f>
        <v>9604055</v>
      </c>
      <c r="O3692" s="14">
        <f xml:space="preserve"> IF(ISBLANK(moras[[#This Row],[EDAD]]), EDA!$E$8, moras[[#This Row],[EDAD]])</f>
        <v>50</v>
      </c>
      <c r="P3692" s="14" t="str">
        <f>IF(
    OR(ISBLANK(moras[[#This Row],[TIPO_ASEGURAMIENTO]]), moras[[#This Row],[TIPO_ASEGURAMIENTO]]=""),
    EDA!$A$32,
    moras[[#This Row],[TIPO_ASEGURAMIENTO]]
)</f>
        <v>ASALARIADO</v>
      </c>
    </row>
    <row r="3693" spans="1:16" x14ac:dyDescent="0.3">
      <c r="A3693">
        <v>3692</v>
      </c>
      <c r="B3693" t="s">
        <v>15</v>
      </c>
      <c r="C3693">
        <v>297046</v>
      </c>
      <c r="D3693" t="s">
        <v>17</v>
      </c>
      <c r="E3693" t="s">
        <v>16</v>
      </c>
      <c r="F3693" t="s">
        <v>12</v>
      </c>
      <c r="G3693" t="s">
        <v>13</v>
      </c>
      <c r="H3693" t="s">
        <v>13</v>
      </c>
      <c r="I3693">
        <v>52</v>
      </c>
      <c r="J3693">
        <f>ABS((I3693-EDA!$A$15)/EDA!$B$15)</f>
        <v>0.70719361363009237</v>
      </c>
      <c r="K3693" t="str">
        <f t="shared" si="57"/>
        <v>No</v>
      </c>
      <c r="L3693">
        <f>ABS((C3693-EDA!$F$15)/EDA!$G$15)</f>
        <v>0.37071091707942361</v>
      </c>
      <c r="M3693" t="str">
        <f>IF(moras[[#This Row],[Z-Score Salario]]&gt;1.96, "Sí", "No")</f>
        <v>No</v>
      </c>
      <c r="N3693" s="14">
        <f>IF(ISBLANK(moras[[#This Row],[SALARIO]]), EDA!$M$8, moras[[#This Row],[SALARIO]])</f>
        <v>297046</v>
      </c>
      <c r="O3693" s="14">
        <f xml:space="preserve"> IF(ISBLANK(moras[[#This Row],[EDAD]]), EDA!$E$8, moras[[#This Row],[EDAD]])</f>
        <v>52</v>
      </c>
      <c r="P3693" s="14" t="str">
        <f>IF(
    OR(ISBLANK(moras[[#This Row],[TIPO_ASEGURAMIENTO]]), moras[[#This Row],[TIPO_ASEGURAMIENTO]]=""),
    EDA!$A$32,
    moras[[#This Row],[TIPO_ASEGURAMIENTO]]
)</f>
        <v>ASEGURADO VOLUNTARIO</v>
      </c>
    </row>
    <row r="3694" spans="1:16" x14ac:dyDescent="0.3">
      <c r="A3694">
        <v>3693</v>
      </c>
      <c r="B3694" t="s">
        <v>9</v>
      </c>
      <c r="C3694">
        <v>297046</v>
      </c>
      <c r="D3694" t="s">
        <v>18</v>
      </c>
      <c r="E3694" t="s">
        <v>16</v>
      </c>
      <c r="F3694" t="s">
        <v>12</v>
      </c>
      <c r="G3694" t="s">
        <v>13</v>
      </c>
      <c r="H3694" t="s">
        <v>12</v>
      </c>
      <c r="I3694">
        <v>33</v>
      </c>
      <c r="J3694">
        <f>ABS((I3694-EDA!$A$15)/EDA!$B$15)</f>
        <v>0.63373765783552027</v>
      </c>
      <c r="K3694" t="str">
        <f t="shared" si="57"/>
        <v>No</v>
      </c>
      <c r="L3694">
        <f>ABS((C3694-EDA!$F$15)/EDA!$G$15)</f>
        <v>0.37071091707942361</v>
      </c>
      <c r="M3694" t="str">
        <f>IF(moras[[#This Row],[Z-Score Salario]]&gt;1.96, "Sí", "No")</f>
        <v>No</v>
      </c>
      <c r="N3694" s="14">
        <f>IF(ISBLANK(moras[[#This Row],[SALARIO]]), EDA!$M$8, moras[[#This Row],[SALARIO]])</f>
        <v>297046</v>
      </c>
      <c r="O3694" s="14">
        <f xml:space="preserve"> IF(ISBLANK(moras[[#This Row],[EDAD]]), EDA!$E$8, moras[[#This Row],[EDAD]])</f>
        <v>33</v>
      </c>
      <c r="P3694" s="14" t="str">
        <f>IF(
    OR(ISBLANK(moras[[#This Row],[TIPO_ASEGURAMIENTO]]), moras[[#This Row],[TIPO_ASEGURAMIENTO]]=""),
    EDA!$A$32,
    moras[[#This Row],[TIPO_ASEGURAMIENTO]]
)</f>
        <v>TRABAJADOR INDEPENDIENTE</v>
      </c>
    </row>
    <row r="3695" spans="1:16" x14ac:dyDescent="0.3">
      <c r="A3695">
        <v>3694</v>
      </c>
      <c r="B3695" t="s">
        <v>9</v>
      </c>
      <c r="C3695">
        <v>65377843</v>
      </c>
      <c r="D3695" t="s">
        <v>10</v>
      </c>
      <c r="E3695" t="s">
        <v>16</v>
      </c>
      <c r="F3695" t="s">
        <v>12</v>
      </c>
      <c r="G3695" t="s">
        <v>13</v>
      </c>
      <c r="H3695" t="s">
        <v>13</v>
      </c>
      <c r="I3695">
        <v>40</v>
      </c>
      <c r="J3695">
        <f>ABS((I3695-EDA!$A$15)/EDA!$B$15)</f>
        <v>0.13971034729555773</v>
      </c>
      <c r="K3695" t="str">
        <f t="shared" si="57"/>
        <v>No</v>
      </c>
      <c r="L3695">
        <f>ABS((C3695-EDA!$F$15)/EDA!$G$15)</f>
        <v>0.71227948632898075</v>
      </c>
      <c r="M3695" t="str">
        <f>IF(moras[[#This Row],[Z-Score Salario]]&gt;1.96, "Sí", "No")</f>
        <v>No</v>
      </c>
      <c r="N3695" s="14">
        <f>IF(ISBLANK(moras[[#This Row],[SALARIO]]), EDA!$M$8, moras[[#This Row],[SALARIO]])</f>
        <v>65377843</v>
      </c>
      <c r="O3695" s="14">
        <f xml:space="preserve"> IF(ISBLANK(moras[[#This Row],[EDAD]]), EDA!$E$8, moras[[#This Row],[EDAD]])</f>
        <v>40</v>
      </c>
      <c r="P3695" s="14" t="str">
        <f>IF(
    OR(ISBLANK(moras[[#This Row],[TIPO_ASEGURAMIENTO]]), moras[[#This Row],[TIPO_ASEGURAMIENTO]]=""),
    EDA!$A$32,
    moras[[#This Row],[TIPO_ASEGURAMIENTO]]
)</f>
        <v>ASALARIADO</v>
      </c>
    </row>
    <row r="3696" spans="1:16" x14ac:dyDescent="0.3">
      <c r="A3696">
        <v>3695</v>
      </c>
      <c r="B3696" t="s">
        <v>9</v>
      </c>
      <c r="C3696">
        <v>53886351</v>
      </c>
      <c r="D3696" t="s">
        <v>10</v>
      </c>
      <c r="E3696" t="s">
        <v>16</v>
      </c>
      <c r="F3696" t="s">
        <v>12</v>
      </c>
      <c r="G3696" t="s">
        <v>13</v>
      </c>
      <c r="H3696" t="s">
        <v>13</v>
      </c>
      <c r="I3696">
        <v>21</v>
      </c>
      <c r="J3696">
        <f>ABS((I3696-EDA!$A$15)/EDA!$B$15)</f>
        <v>1.4806416187611704</v>
      </c>
      <c r="K3696" t="str">
        <f t="shared" si="57"/>
        <v>No</v>
      </c>
      <c r="L3696">
        <f>ABS((C3696-EDA!$F$15)/EDA!$G$15)</f>
        <v>0.52105294746461417</v>
      </c>
      <c r="M3696" t="str">
        <f>IF(moras[[#This Row],[Z-Score Salario]]&gt;1.96, "Sí", "No")</f>
        <v>No</v>
      </c>
      <c r="N3696" s="14">
        <f>IF(ISBLANK(moras[[#This Row],[SALARIO]]), EDA!$M$8, moras[[#This Row],[SALARIO]])</f>
        <v>53886351</v>
      </c>
      <c r="O3696" s="14">
        <f xml:space="preserve"> IF(ISBLANK(moras[[#This Row],[EDAD]]), EDA!$E$8, moras[[#This Row],[EDAD]])</f>
        <v>21</v>
      </c>
      <c r="P3696" s="14" t="str">
        <f>IF(
    OR(ISBLANK(moras[[#This Row],[TIPO_ASEGURAMIENTO]]), moras[[#This Row],[TIPO_ASEGURAMIENTO]]=""),
    EDA!$A$32,
    moras[[#This Row],[TIPO_ASEGURAMIENTO]]
)</f>
        <v>ASALARIADO</v>
      </c>
    </row>
    <row r="3697" spans="1:16" x14ac:dyDescent="0.3">
      <c r="A3697">
        <v>3696</v>
      </c>
      <c r="B3697" t="s">
        <v>9</v>
      </c>
      <c r="C3697">
        <v>499125</v>
      </c>
      <c r="D3697" t="s">
        <v>10</v>
      </c>
      <c r="E3697" t="s">
        <v>16</v>
      </c>
      <c r="F3697" t="s">
        <v>12</v>
      </c>
      <c r="G3697" t="s">
        <v>13</v>
      </c>
      <c r="H3697" t="s">
        <v>12</v>
      </c>
      <c r="I3697">
        <v>47</v>
      </c>
      <c r="J3697">
        <f>ABS((I3697-EDA!$A$15)/EDA!$B$15)</f>
        <v>0.35431696324440481</v>
      </c>
      <c r="K3697" t="str">
        <f t="shared" si="57"/>
        <v>No</v>
      </c>
      <c r="L3697">
        <f>ABS((C3697-EDA!$F$15)/EDA!$G$15)</f>
        <v>0.36734817986939267</v>
      </c>
      <c r="M3697" t="str">
        <f>IF(moras[[#This Row],[Z-Score Salario]]&gt;1.96, "Sí", "No")</f>
        <v>No</v>
      </c>
      <c r="N3697" s="14">
        <f>IF(ISBLANK(moras[[#This Row],[SALARIO]]), EDA!$M$8, moras[[#This Row],[SALARIO]])</f>
        <v>499125</v>
      </c>
      <c r="O3697" s="14">
        <f xml:space="preserve"> IF(ISBLANK(moras[[#This Row],[EDAD]]), EDA!$E$8, moras[[#This Row],[EDAD]])</f>
        <v>47</v>
      </c>
      <c r="P3697" s="14" t="str">
        <f>IF(
    OR(ISBLANK(moras[[#This Row],[TIPO_ASEGURAMIENTO]]), moras[[#This Row],[TIPO_ASEGURAMIENTO]]=""),
    EDA!$A$32,
    moras[[#This Row],[TIPO_ASEGURAMIENTO]]
)</f>
        <v>ASALARIADO</v>
      </c>
    </row>
    <row r="3698" spans="1:16" x14ac:dyDescent="0.3">
      <c r="A3698">
        <v>3697</v>
      </c>
      <c r="B3698" t="s">
        <v>15</v>
      </c>
      <c r="C3698">
        <v>35954427</v>
      </c>
      <c r="D3698" t="s">
        <v>21</v>
      </c>
      <c r="E3698" t="s">
        <v>16</v>
      </c>
      <c r="F3698" t="s">
        <v>12</v>
      </c>
      <c r="G3698" t="s">
        <v>12</v>
      </c>
      <c r="H3698" t="s">
        <v>13</v>
      </c>
      <c r="I3698">
        <v>47</v>
      </c>
      <c r="J3698">
        <f>ABS((I3698-EDA!$A$15)/EDA!$B$15)</f>
        <v>0.35431696324440481</v>
      </c>
      <c r="K3698" t="str">
        <f t="shared" si="57"/>
        <v>No</v>
      </c>
      <c r="L3698">
        <f>ABS((C3698-EDA!$F$15)/EDA!$G$15)</f>
        <v>0.22265307374074372</v>
      </c>
      <c r="M3698" t="str">
        <f>IF(moras[[#This Row],[Z-Score Salario]]&gt;1.96, "Sí", "No")</f>
        <v>No</v>
      </c>
      <c r="N3698" s="14">
        <f>IF(ISBLANK(moras[[#This Row],[SALARIO]]), EDA!$M$8, moras[[#This Row],[SALARIO]])</f>
        <v>35954427</v>
      </c>
      <c r="O3698" s="14">
        <f xml:space="preserve"> IF(ISBLANK(moras[[#This Row],[EDAD]]), EDA!$E$8, moras[[#This Row],[EDAD]])</f>
        <v>47</v>
      </c>
      <c r="P3698" s="14" t="str">
        <f>IF(
    OR(ISBLANK(moras[[#This Row],[TIPO_ASEGURAMIENTO]]), moras[[#This Row],[TIPO_ASEGURAMIENTO]]=""),
    EDA!$A$32,
    moras[[#This Row],[TIPO_ASEGURAMIENTO]]
)</f>
        <v>CONVENIOS ESPECIALES DE ASEGURADOS VOLUNTARIOS</v>
      </c>
    </row>
    <row r="3699" spans="1:16" x14ac:dyDescent="0.3">
      <c r="A3699">
        <v>3698</v>
      </c>
      <c r="B3699" t="s">
        <v>15</v>
      </c>
      <c r="C3699">
        <v>9608158</v>
      </c>
      <c r="D3699" t="s">
        <v>10</v>
      </c>
      <c r="E3699" t="s">
        <v>11</v>
      </c>
      <c r="F3699" t="s">
        <v>12</v>
      </c>
      <c r="G3699" t="s">
        <v>13</v>
      </c>
      <c r="H3699" t="s">
        <v>13</v>
      </c>
      <c r="I3699">
        <v>54</v>
      </c>
      <c r="J3699">
        <f>ABS((I3699-EDA!$A$15)/EDA!$B$15)</f>
        <v>0.84834427378436728</v>
      </c>
      <c r="K3699" t="str">
        <f t="shared" si="57"/>
        <v>No</v>
      </c>
      <c r="L3699">
        <f>ABS((C3699-EDA!$F$15)/EDA!$G$15)</f>
        <v>0.21576744057189351</v>
      </c>
      <c r="M3699" t="str">
        <f>IF(moras[[#This Row],[Z-Score Salario]]&gt;1.96, "Sí", "No")</f>
        <v>No</v>
      </c>
      <c r="N3699" s="14">
        <f>IF(ISBLANK(moras[[#This Row],[SALARIO]]), EDA!$M$8, moras[[#This Row],[SALARIO]])</f>
        <v>9608158</v>
      </c>
      <c r="O3699" s="14">
        <f xml:space="preserve"> IF(ISBLANK(moras[[#This Row],[EDAD]]), EDA!$E$8, moras[[#This Row],[EDAD]])</f>
        <v>54</v>
      </c>
      <c r="P3699" s="14" t="str">
        <f>IF(
    OR(ISBLANK(moras[[#This Row],[TIPO_ASEGURAMIENTO]]), moras[[#This Row],[TIPO_ASEGURAMIENTO]]=""),
    EDA!$A$32,
    moras[[#This Row],[TIPO_ASEGURAMIENTO]]
)</f>
        <v>ASALARIADO</v>
      </c>
    </row>
    <row r="3700" spans="1:16" x14ac:dyDescent="0.3">
      <c r="A3700">
        <v>3699</v>
      </c>
      <c r="B3700" t="s">
        <v>15</v>
      </c>
      <c r="C3700">
        <v>445641</v>
      </c>
      <c r="D3700" t="s">
        <v>10</v>
      </c>
      <c r="E3700" t="s">
        <v>11</v>
      </c>
      <c r="F3700" t="s">
        <v>12</v>
      </c>
      <c r="G3700" t="s">
        <v>13</v>
      </c>
      <c r="H3700" t="s">
        <v>12</v>
      </c>
      <c r="I3700">
        <v>41</v>
      </c>
      <c r="J3700">
        <f>ABS((I3700-EDA!$A$15)/EDA!$B$15)</f>
        <v>6.9135017218420233E-2</v>
      </c>
      <c r="K3700" t="str">
        <f t="shared" si="57"/>
        <v>No</v>
      </c>
      <c r="L3700">
        <f>ABS((C3700-EDA!$F$15)/EDA!$G$15)</f>
        <v>0.36823819138440067</v>
      </c>
      <c r="M3700" t="str">
        <f>IF(moras[[#This Row],[Z-Score Salario]]&gt;1.96, "Sí", "No")</f>
        <v>No</v>
      </c>
      <c r="N3700" s="14">
        <f>IF(ISBLANK(moras[[#This Row],[SALARIO]]), EDA!$M$8, moras[[#This Row],[SALARIO]])</f>
        <v>445641</v>
      </c>
      <c r="O3700" s="14">
        <f xml:space="preserve"> IF(ISBLANK(moras[[#This Row],[EDAD]]), EDA!$E$8, moras[[#This Row],[EDAD]])</f>
        <v>41</v>
      </c>
      <c r="P3700" s="14" t="str">
        <f>IF(
    OR(ISBLANK(moras[[#This Row],[TIPO_ASEGURAMIENTO]]), moras[[#This Row],[TIPO_ASEGURAMIENTO]]=""),
    EDA!$A$32,
    moras[[#This Row],[TIPO_ASEGURAMIENTO]]
)</f>
        <v>ASALARIADO</v>
      </c>
    </row>
    <row r="3701" spans="1:16" x14ac:dyDescent="0.3">
      <c r="A3701">
        <v>3700</v>
      </c>
      <c r="B3701" t="s">
        <v>9</v>
      </c>
      <c r="C3701">
        <v>255659</v>
      </c>
      <c r="D3701" t="s">
        <v>10</v>
      </c>
      <c r="E3701" t="s">
        <v>16</v>
      </c>
      <c r="F3701" t="s">
        <v>12</v>
      </c>
      <c r="G3701" t="s">
        <v>12</v>
      </c>
      <c r="H3701" t="s">
        <v>13</v>
      </c>
      <c r="I3701">
        <v>23</v>
      </c>
      <c r="J3701">
        <f>ABS((I3701-EDA!$A$15)/EDA!$B$15)</f>
        <v>1.3394909586068953</v>
      </c>
      <c r="K3701" t="str">
        <f t="shared" si="57"/>
        <v>No</v>
      </c>
      <c r="L3701">
        <f>ABS((C3701-EDA!$F$15)/EDA!$G$15)</f>
        <v>0.37139962597501169</v>
      </c>
      <c r="M3701" t="str">
        <f>IF(moras[[#This Row],[Z-Score Salario]]&gt;1.96, "Sí", "No")</f>
        <v>No</v>
      </c>
      <c r="N3701" s="14">
        <f>IF(ISBLANK(moras[[#This Row],[SALARIO]]), EDA!$M$8, moras[[#This Row],[SALARIO]])</f>
        <v>255659</v>
      </c>
      <c r="O3701" s="14">
        <f xml:space="preserve"> IF(ISBLANK(moras[[#This Row],[EDAD]]), EDA!$E$8, moras[[#This Row],[EDAD]])</f>
        <v>23</v>
      </c>
      <c r="P3701" s="14" t="str">
        <f>IF(
    OR(ISBLANK(moras[[#This Row],[TIPO_ASEGURAMIENTO]]), moras[[#This Row],[TIPO_ASEGURAMIENTO]]=""),
    EDA!$A$32,
    moras[[#This Row],[TIPO_ASEGURAMIENTO]]
)</f>
        <v>ASALARIADO</v>
      </c>
    </row>
    <row r="3702" spans="1:16" x14ac:dyDescent="0.3">
      <c r="A3702">
        <v>3701</v>
      </c>
      <c r="B3702" t="s">
        <v>9</v>
      </c>
      <c r="C3702">
        <v>261512175</v>
      </c>
      <c r="D3702" t="s">
        <v>10</v>
      </c>
      <c r="E3702" t="s">
        <v>11</v>
      </c>
      <c r="F3702" t="s">
        <v>12</v>
      </c>
      <c r="G3702" t="s">
        <v>13</v>
      </c>
      <c r="H3702" t="s">
        <v>13</v>
      </c>
      <c r="I3702">
        <v>56</v>
      </c>
      <c r="J3702">
        <f>ABS((I3702-EDA!$A$15)/EDA!$B$15)</f>
        <v>0.9894949339386423</v>
      </c>
      <c r="K3702" t="str">
        <f t="shared" si="57"/>
        <v>No</v>
      </c>
      <c r="L3702">
        <f>ABS((C3702-EDA!$F$15)/EDA!$G$15)</f>
        <v>3.9760932244262248</v>
      </c>
      <c r="M3702" t="str">
        <f>IF(moras[[#This Row],[Z-Score Salario]]&gt;1.96, "Sí", "No")</f>
        <v>Sí</v>
      </c>
      <c r="N3702" s="14">
        <f>IF(ISBLANK(moras[[#This Row],[SALARIO]]), EDA!$M$8, moras[[#This Row],[SALARIO]])</f>
        <v>261512175</v>
      </c>
      <c r="O3702" s="14">
        <f xml:space="preserve"> IF(ISBLANK(moras[[#This Row],[EDAD]]), EDA!$E$8, moras[[#This Row],[EDAD]])</f>
        <v>56</v>
      </c>
      <c r="P3702" s="14" t="str">
        <f>IF(
    OR(ISBLANK(moras[[#This Row],[TIPO_ASEGURAMIENTO]]), moras[[#This Row],[TIPO_ASEGURAMIENTO]]=""),
    EDA!$A$32,
    moras[[#This Row],[TIPO_ASEGURAMIENTO]]
)</f>
        <v>ASALARIADO</v>
      </c>
    </row>
    <row r="3703" spans="1:16" x14ac:dyDescent="0.3">
      <c r="A3703">
        <v>3702</v>
      </c>
      <c r="B3703" t="s">
        <v>9</v>
      </c>
      <c r="C3703">
        <v>94480</v>
      </c>
      <c r="D3703" t="s">
        <v>10</v>
      </c>
      <c r="E3703" t="s">
        <v>16</v>
      </c>
      <c r="F3703" t="s">
        <v>12</v>
      </c>
      <c r="G3703" t="s">
        <v>13</v>
      </c>
      <c r="H3703" t="s">
        <v>13</v>
      </c>
      <c r="I3703">
        <v>54</v>
      </c>
      <c r="J3703">
        <f>ABS((I3703-EDA!$A$15)/EDA!$B$15)</f>
        <v>0.84834427378436728</v>
      </c>
      <c r="K3703" t="str">
        <f t="shared" si="57"/>
        <v>No</v>
      </c>
      <c r="L3703">
        <f>ABS((C3703-EDA!$F$15)/EDA!$G$15)</f>
        <v>0.3740817583132337</v>
      </c>
      <c r="M3703" t="str">
        <f>IF(moras[[#This Row],[Z-Score Salario]]&gt;1.96, "Sí", "No")</f>
        <v>No</v>
      </c>
      <c r="N3703" s="14">
        <f>IF(ISBLANK(moras[[#This Row],[SALARIO]]), EDA!$M$8, moras[[#This Row],[SALARIO]])</f>
        <v>94480</v>
      </c>
      <c r="O3703" s="14">
        <f xml:space="preserve"> IF(ISBLANK(moras[[#This Row],[EDAD]]), EDA!$E$8, moras[[#This Row],[EDAD]])</f>
        <v>54</v>
      </c>
      <c r="P3703" s="14" t="str">
        <f>IF(
    OR(ISBLANK(moras[[#This Row],[TIPO_ASEGURAMIENTO]]), moras[[#This Row],[TIPO_ASEGURAMIENTO]]=""),
    EDA!$A$32,
    moras[[#This Row],[TIPO_ASEGURAMIENTO]]
)</f>
        <v>ASALARIADO</v>
      </c>
    </row>
    <row r="3704" spans="1:16" x14ac:dyDescent="0.3">
      <c r="A3704">
        <v>3703</v>
      </c>
      <c r="B3704" t="s">
        <v>9</v>
      </c>
      <c r="C3704">
        <v>411667</v>
      </c>
      <c r="D3704" t="s">
        <v>10</v>
      </c>
      <c r="E3704" t="s">
        <v>16</v>
      </c>
      <c r="F3704" t="s">
        <v>12</v>
      </c>
      <c r="G3704" t="s">
        <v>13</v>
      </c>
      <c r="H3704" t="s">
        <v>13</v>
      </c>
      <c r="I3704">
        <v>21</v>
      </c>
      <c r="J3704">
        <f>ABS((I3704-EDA!$A$15)/EDA!$B$15)</f>
        <v>1.4806416187611704</v>
      </c>
      <c r="K3704" t="str">
        <f t="shared" si="57"/>
        <v>No</v>
      </c>
      <c r="L3704">
        <f>ABS((C3704-EDA!$F$15)/EDA!$G$15)</f>
        <v>0.36880354272706162</v>
      </c>
      <c r="M3704" t="str">
        <f>IF(moras[[#This Row],[Z-Score Salario]]&gt;1.96, "Sí", "No")</f>
        <v>No</v>
      </c>
      <c r="N3704" s="14">
        <f>IF(ISBLANK(moras[[#This Row],[SALARIO]]), EDA!$M$8, moras[[#This Row],[SALARIO]])</f>
        <v>411667</v>
      </c>
      <c r="O3704" s="14">
        <f xml:space="preserve"> IF(ISBLANK(moras[[#This Row],[EDAD]]), EDA!$E$8, moras[[#This Row],[EDAD]])</f>
        <v>21</v>
      </c>
      <c r="P3704" s="14" t="str">
        <f>IF(
    OR(ISBLANK(moras[[#This Row],[TIPO_ASEGURAMIENTO]]), moras[[#This Row],[TIPO_ASEGURAMIENTO]]=""),
    EDA!$A$32,
    moras[[#This Row],[TIPO_ASEGURAMIENTO]]
)</f>
        <v>ASALARIADO</v>
      </c>
    </row>
    <row r="3705" spans="1:16" x14ac:dyDescent="0.3">
      <c r="A3705">
        <v>3704</v>
      </c>
      <c r="B3705" t="s">
        <v>9</v>
      </c>
      <c r="C3705">
        <v>101489</v>
      </c>
      <c r="D3705" t="s">
        <v>10</v>
      </c>
      <c r="E3705" t="s">
        <v>16</v>
      </c>
      <c r="F3705" t="s">
        <v>12</v>
      </c>
      <c r="G3705" t="s">
        <v>13</v>
      </c>
      <c r="H3705" t="s">
        <v>13</v>
      </c>
      <c r="I3705">
        <v>37</v>
      </c>
      <c r="J3705">
        <f>ABS((I3705-EDA!$A$15)/EDA!$B$15)</f>
        <v>0.35143633752697023</v>
      </c>
      <c r="K3705" t="str">
        <f t="shared" si="57"/>
        <v>No</v>
      </c>
      <c r="L3705">
        <f>ABS((C3705-EDA!$F$15)/EDA!$G$15)</f>
        <v>0.37396512360549511</v>
      </c>
      <c r="M3705" t="str">
        <f>IF(moras[[#This Row],[Z-Score Salario]]&gt;1.96, "Sí", "No")</f>
        <v>No</v>
      </c>
      <c r="N3705" s="14">
        <f>IF(ISBLANK(moras[[#This Row],[SALARIO]]), EDA!$M$8, moras[[#This Row],[SALARIO]])</f>
        <v>101489</v>
      </c>
      <c r="O3705" s="14">
        <f xml:space="preserve"> IF(ISBLANK(moras[[#This Row],[EDAD]]), EDA!$E$8, moras[[#This Row],[EDAD]])</f>
        <v>37</v>
      </c>
      <c r="P3705" s="14" t="str">
        <f>IF(
    OR(ISBLANK(moras[[#This Row],[TIPO_ASEGURAMIENTO]]), moras[[#This Row],[TIPO_ASEGURAMIENTO]]=""),
    EDA!$A$32,
    moras[[#This Row],[TIPO_ASEGURAMIENTO]]
)</f>
        <v>ASALARIADO</v>
      </c>
    </row>
    <row r="3706" spans="1:16" x14ac:dyDescent="0.3">
      <c r="A3706">
        <v>3705</v>
      </c>
      <c r="B3706" t="s">
        <v>9</v>
      </c>
      <c r="C3706">
        <v>10175605</v>
      </c>
      <c r="D3706" t="s">
        <v>10</v>
      </c>
      <c r="E3706" t="s">
        <v>11</v>
      </c>
      <c r="F3706" t="s">
        <v>12</v>
      </c>
      <c r="G3706" t="s">
        <v>13</v>
      </c>
      <c r="H3706" t="s">
        <v>13</v>
      </c>
      <c r="I3706">
        <v>60</v>
      </c>
      <c r="J3706">
        <f>ABS((I3706-EDA!$A$15)/EDA!$B$15)</f>
        <v>1.2717962542471923</v>
      </c>
      <c r="K3706" t="str">
        <f t="shared" si="57"/>
        <v>No</v>
      </c>
      <c r="L3706">
        <f>ABS((C3706-EDA!$F$15)/EDA!$G$15)</f>
        <v>0.20632472192413495</v>
      </c>
      <c r="M3706" t="str">
        <f>IF(moras[[#This Row],[Z-Score Salario]]&gt;1.96, "Sí", "No")</f>
        <v>No</v>
      </c>
      <c r="N3706" s="14">
        <f>IF(ISBLANK(moras[[#This Row],[SALARIO]]), EDA!$M$8, moras[[#This Row],[SALARIO]])</f>
        <v>10175605</v>
      </c>
      <c r="O3706" s="14">
        <f xml:space="preserve"> IF(ISBLANK(moras[[#This Row],[EDAD]]), EDA!$E$8, moras[[#This Row],[EDAD]])</f>
        <v>60</v>
      </c>
      <c r="P3706" s="14" t="str">
        <f>IF(
    OR(ISBLANK(moras[[#This Row],[TIPO_ASEGURAMIENTO]]), moras[[#This Row],[TIPO_ASEGURAMIENTO]]=""),
    EDA!$A$32,
    moras[[#This Row],[TIPO_ASEGURAMIENTO]]
)</f>
        <v>ASALARIADO</v>
      </c>
    </row>
    <row r="3707" spans="1:16" x14ac:dyDescent="0.3">
      <c r="A3707">
        <v>3706</v>
      </c>
      <c r="B3707" t="s">
        <v>9</v>
      </c>
      <c r="C3707">
        <v>753064</v>
      </c>
      <c r="D3707" t="s">
        <v>10</v>
      </c>
      <c r="E3707" t="s">
        <v>11</v>
      </c>
      <c r="F3707" t="s">
        <v>12</v>
      </c>
      <c r="G3707" t="s">
        <v>13</v>
      </c>
      <c r="H3707" t="s">
        <v>12</v>
      </c>
      <c r="I3707">
        <v>53</v>
      </c>
      <c r="J3707">
        <f>ABS((I3707-EDA!$A$15)/EDA!$B$15)</f>
        <v>0.77776894370722982</v>
      </c>
      <c r="K3707" t="str">
        <f t="shared" si="57"/>
        <v>No</v>
      </c>
      <c r="L3707">
        <f>ABS((C3707-EDA!$F$15)/EDA!$G$15)</f>
        <v>0.36312245565075524</v>
      </c>
      <c r="M3707" t="str">
        <f>IF(moras[[#This Row],[Z-Score Salario]]&gt;1.96, "Sí", "No")</f>
        <v>No</v>
      </c>
      <c r="N3707" s="14">
        <f>IF(ISBLANK(moras[[#This Row],[SALARIO]]), EDA!$M$8, moras[[#This Row],[SALARIO]])</f>
        <v>753064</v>
      </c>
      <c r="O3707" s="14">
        <f xml:space="preserve"> IF(ISBLANK(moras[[#This Row],[EDAD]]), EDA!$E$8, moras[[#This Row],[EDAD]])</f>
        <v>53</v>
      </c>
      <c r="P3707" s="14" t="str">
        <f>IF(
    OR(ISBLANK(moras[[#This Row],[TIPO_ASEGURAMIENTO]]), moras[[#This Row],[TIPO_ASEGURAMIENTO]]=""),
    EDA!$A$32,
    moras[[#This Row],[TIPO_ASEGURAMIENTO]]
)</f>
        <v>ASALARIADO</v>
      </c>
    </row>
    <row r="3708" spans="1:16" x14ac:dyDescent="0.3">
      <c r="A3708">
        <v>3707</v>
      </c>
      <c r="B3708" t="s">
        <v>9</v>
      </c>
      <c r="C3708">
        <v>495975</v>
      </c>
      <c r="D3708" t="s">
        <v>18</v>
      </c>
      <c r="E3708" t="s">
        <v>16</v>
      </c>
      <c r="F3708" t="s">
        <v>12</v>
      </c>
      <c r="G3708" t="s">
        <v>13</v>
      </c>
      <c r="H3708" t="s">
        <v>12</v>
      </c>
      <c r="I3708">
        <v>33</v>
      </c>
      <c r="J3708">
        <f>ABS((I3708-EDA!$A$15)/EDA!$B$15)</f>
        <v>0.63373765783552027</v>
      </c>
      <c r="K3708" t="str">
        <f t="shared" si="57"/>
        <v>No</v>
      </c>
      <c r="L3708">
        <f>ABS((C3708-EDA!$F$15)/EDA!$G$15)</f>
        <v>0.36740059809301612</v>
      </c>
      <c r="M3708" t="str">
        <f>IF(moras[[#This Row],[Z-Score Salario]]&gt;1.96, "Sí", "No")</f>
        <v>No</v>
      </c>
      <c r="N3708" s="14">
        <f>IF(ISBLANK(moras[[#This Row],[SALARIO]]), EDA!$M$8, moras[[#This Row],[SALARIO]])</f>
        <v>495975</v>
      </c>
      <c r="O3708" s="14">
        <f xml:space="preserve"> IF(ISBLANK(moras[[#This Row],[EDAD]]), EDA!$E$8, moras[[#This Row],[EDAD]])</f>
        <v>33</v>
      </c>
      <c r="P3708" s="14" t="str">
        <f>IF(
    OR(ISBLANK(moras[[#This Row],[TIPO_ASEGURAMIENTO]]), moras[[#This Row],[TIPO_ASEGURAMIENTO]]=""),
    EDA!$A$32,
    moras[[#This Row],[TIPO_ASEGURAMIENTO]]
)</f>
        <v>TRABAJADOR INDEPENDIENTE</v>
      </c>
    </row>
    <row r="3709" spans="1:16" x14ac:dyDescent="0.3">
      <c r="A3709">
        <v>3708</v>
      </c>
      <c r="B3709" t="s">
        <v>15</v>
      </c>
      <c r="C3709">
        <v>639148</v>
      </c>
      <c r="D3709" t="s">
        <v>18</v>
      </c>
      <c r="E3709" t="s">
        <v>16</v>
      </c>
      <c r="F3709" t="s">
        <v>12</v>
      </c>
      <c r="G3709" t="s">
        <v>13</v>
      </c>
      <c r="H3709" t="s">
        <v>12</v>
      </c>
      <c r="I3709">
        <v>84</v>
      </c>
      <c r="J3709">
        <f>ABS((I3709-EDA!$A$15)/EDA!$B$15)</f>
        <v>2.9656041760984926</v>
      </c>
      <c r="K3709" t="str">
        <f t="shared" si="57"/>
        <v>Sí</v>
      </c>
      <c r="L3709">
        <f>ABS((C3709-EDA!$F$15)/EDA!$G$15)</f>
        <v>0.36501809830544912</v>
      </c>
      <c r="M3709" t="str">
        <f>IF(moras[[#This Row],[Z-Score Salario]]&gt;1.96, "Sí", "No")</f>
        <v>No</v>
      </c>
      <c r="N3709" s="14">
        <f>IF(ISBLANK(moras[[#This Row],[SALARIO]]), EDA!$M$8, moras[[#This Row],[SALARIO]])</f>
        <v>639148</v>
      </c>
      <c r="O3709" s="14">
        <f xml:space="preserve"> IF(ISBLANK(moras[[#This Row],[EDAD]]), EDA!$E$8, moras[[#This Row],[EDAD]])</f>
        <v>84</v>
      </c>
      <c r="P3709" s="14" t="str">
        <f>IF(
    OR(ISBLANK(moras[[#This Row],[TIPO_ASEGURAMIENTO]]), moras[[#This Row],[TIPO_ASEGURAMIENTO]]=""),
    EDA!$A$32,
    moras[[#This Row],[TIPO_ASEGURAMIENTO]]
)</f>
        <v>TRABAJADOR INDEPENDIENTE</v>
      </c>
    </row>
    <row r="3710" spans="1:16" x14ac:dyDescent="0.3">
      <c r="A3710">
        <v>3709</v>
      </c>
      <c r="B3710" t="s">
        <v>15</v>
      </c>
      <c r="C3710">
        <v>1821145</v>
      </c>
      <c r="D3710" t="s">
        <v>10</v>
      </c>
      <c r="E3710" t="s">
        <v>11</v>
      </c>
      <c r="F3710" t="s">
        <v>12</v>
      </c>
      <c r="G3710" t="s">
        <v>13</v>
      </c>
      <c r="H3710" t="s">
        <v>12</v>
      </c>
      <c r="I3710">
        <v>59</v>
      </c>
      <c r="J3710">
        <f>ABS((I3710-EDA!$A$15)/EDA!$B$15)</f>
        <v>1.2012209241700549</v>
      </c>
      <c r="K3710" t="str">
        <f t="shared" si="57"/>
        <v>No</v>
      </c>
      <c r="L3710">
        <f>ABS((C3710-EDA!$F$15)/EDA!$G$15)</f>
        <v>0.34534883383934978</v>
      </c>
      <c r="M3710" t="str">
        <f>IF(moras[[#This Row],[Z-Score Salario]]&gt;1.96, "Sí", "No")</f>
        <v>No</v>
      </c>
      <c r="N3710" s="14">
        <f>IF(ISBLANK(moras[[#This Row],[SALARIO]]), EDA!$M$8, moras[[#This Row],[SALARIO]])</f>
        <v>1821145</v>
      </c>
      <c r="O3710" s="14">
        <f xml:space="preserve"> IF(ISBLANK(moras[[#This Row],[EDAD]]), EDA!$E$8, moras[[#This Row],[EDAD]])</f>
        <v>59</v>
      </c>
      <c r="P3710" s="14" t="str">
        <f>IF(
    OR(ISBLANK(moras[[#This Row],[TIPO_ASEGURAMIENTO]]), moras[[#This Row],[TIPO_ASEGURAMIENTO]]=""),
    EDA!$A$32,
    moras[[#This Row],[TIPO_ASEGURAMIENTO]]
)</f>
        <v>ASALARIADO</v>
      </c>
    </row>
    <row r="3711" spans="1:16" x14ac:dyDescent="0.3">
      <c r="A3711">
        <v>3710</v>
      </c>
      <c r="B3711" t="s">
        <v>9</v>
      </c>
      <c r="C3711">
        <v>325000</v>
      </c>
      <c r="D3711" t="s">
        <v>10</v>
      </c>
      <c r="E3711" t="s">
        <v>16</v>
      </c>
      <c r="F3711" t="s">
        <v>12</v>
      </c>
      <c r="G3711" t="s">
        <v>13</v>
      </c>
      <c r="H3711" t="s">
        <v>13</v>
      </c>
      <c r="I3711">
        <v>38</v>
      </c>
      <c r="J3711">
        <f>ABS((I3711-EDA!$A$15)/EDA!$B$15)</f>
        <v>0.28086100744983278</v>
      </c>
      <c r="K3711" t="str">
        <f t="shared" si="57"/>
        <v>No</v>
      </c>
      <c r="L3711">
        <f>ABS((C3711-EDA!$F$15)/EDA!$G$15)</f>
        <v>0.37024574278635403</v>
      </c>
      <c r="M3711" t="str">
        <f>IF(moras[[#This Row],[Z-Score Salario]]&gt;1.96, "Sí", "No")</f>
        <v>No</v>
      </c>
      <c r="N3711" s="14">
        <f>IF(ISBLANK(moras[[#This Row],[SALARIO]]), EDA!$M$8, moras[[#This Row],[SALARIO]])</f>
        <v>325000</v>
      </c>
      <c r="O3711" s="14">
        <f xml:space="preserve"> IF(ISBLANK(moras[[#This Row],[EDAD]]), EDA!$E$8, moras[[#This Row],[EDAD]])</f>
        <v>38</v>
      </c>
      <c r="P3711" s="14" t="str">
        <f>IF(
    OR(ISBLANK(moras[[#This Row],[TIPO_ASEGURAMIENTO]]), moras[[#This Row],[TIPO_ASEGURAMIENTO]]=""),
    EDA!$A$32,
    moras[[#This Row],[TIPO_ASEGURAMIENTO]]
)</f>
        <v>ASALARIADO</v>
      </c>
    </row>
    <row r="3712" spans="1:16" x14ac:dyDescent="0.3">
      <c r="A3712">
        <v>3711</v>
      </c>
      <c r="B3712" t="s">
        <v>9</v>
      </c>
      <c r="C3712">
        <v>278030</v>
      </c>
      <c r="D3712" t="s">
        <v>19</v>
      </c>
      <c r="E3712" t="s">
        <v>16</v>
      </c>
      <c r="F3712" t="s">
        <v>12</v>
      </c>
      <c r="G3712" t="s">
        <v>13</v>
      </c>
      <c r="H3712" t="s">
        <v>13</v>
      </c>
      <c r="I3712">
        <v>49</v>
      </c>
      <c r="J3712">
        <f>ABS((I3712-EDA!$A$15)/EDA!$B$15)</f>
        <v>0.49546762339867978</v>
      </c>
      <c r="K3712" t="str">
        <f t="shared" si="57"/>
        <v>No</v>
      </c>
      <c r="L3712">
        <f>ABS((C3712-EDA!$F$15)/EDA!$G$15)</f>
        <v>0.37102735674304993</v>
      </c>
      <c r="M3712" t="str">
        <f>IF(moras[[#This Row],[Z-Score Salario]]&gt;1.96, "Sí", "No")</f>
        <v>No</v>
      </c>
      <c r="N3712" s="14">
        <f>IF(ISBLANK(moras[[#This Row],[SALARIO]]), EDA!$M$8, moras[[#This Row],[SALARIO]])</f>
        <v>278030</v>
      </c>
      <c r="O3712" s="14">
        <f xml:space="preserve"> IF(ISBLANK(moras[[#This Row],[EDAD]]), EDA!$E$8, moras[[#This Row],[EDAD]])</f>
        <v>49</v>
      </c>
      <c r="P3712" s="14" t="str">
        <f>IF(
    OR(ISBLANK(moras[[#This Row],[TIPO_ASEGURAMIENTO]]), moras[[#This Row],[TIPO_ASEGURAMIENTO]]=""),
    EDA!$A$32,
    moras[[#This Row],[TIPO_ASEGURAMIENTO]]
)</f>
        <v>CONVENIOS ESPECIALES DE TRABAJADORES INDEPENDIENTES</v>
      </c>
    </row>
    <row r="3713" spans="1:16" x14ac:dyDescent="0.3">
      <c r="A3713">
        <v>3712</v>
      </c>
      <c r="B3713" t="s">
        <v>9</v>
      </c>
      <c r="C3713">
        <v>97910734</v>
      </c>
      <c r="D3713" t="s">
        <v>10</v>
      </c>
      <c r="E3713" t="s">
        <v>16</v>
      </c>
      <c r="F3713" t="s">
        <v>12</v>
      </c>
      <c r="G3713" t="s">
        <v>13</v>
      </c>
      <c r="H3713" t="s">
        <v>13</v>
      </c>
      <c r="I3713">
        <v>53</v>
      </c>
      <c r="J3713">
        <f>ABS((I3713-EDA!$A$15)/EDA!$B$15)</f>
        <v>0.77776894370722982</v>
      </c>
      <c r="K3713" t="str">
        <f t="shared" si="57"/>
        <v>No</v>
      </c>
      <c r="L3713">
        <f>ABS((C3713-EDA!$F$15)/EDA!$G$15)</f>
        <v>1.253649757933547</v>
      </c>
      <c r="M3713" t="str">
        <f>IF(moras[[#This Row],[Z-Score Salario]]&gt;1.96, "Sí", "No")</f>
        <v>No</v>
      </c>
      <c r="N3713" s="14">
        <f>IF(ISBLANK(moras[[#This Row],[SALARIO]]), EDA!$M$8, moras[[#This Row],[SALARIO]])</f>
        <v>97910734</v>
      </c>
      <c r="O3713" s="14">
        <f xml:space="preserve"> IF(ISBLANK(moras[[#This Row],[EDAD]]), EDA!$E$8, moras[[#This Row],[EDAD]])</f>
        <v>53</v>
      </c>
      <c r="P3713" s="14" t="str">
        <f>IF(
    OR(ISBLANK(moras[[#This Row],[TIPO_ASEGURAMIENTO]]), moras[[#This Row],[TIPO_ASEGURAMIENTO]]=""),
    EDA!$A$32,
    moras[[#This Row],[TIPO_ASEGURAMIENTO]]
)</f>
        <v>ASALARIADO</v>
      </c>
    </row>
    <row r="3714" spans="1:16" x14ac:dyDescent="0.3">
      <c r="A3714">
        <v>3713</v>
      </c>
      <c r="B3714" t="s">
        <v>9</v>
      </c>
      <c r="C3714">
        <v>297046</v>
      </c>
      <c r="D3714" t="s">
        <v>18</v>
      </c>
      <c r="E3714" t="s">
        <v>16</v>
      </c>
      <c r="F3714" t="s">
        <v>12</v>
      </c>
      <c r="G3714" t="s">
        <v>13</v>
      </c>
      <c r="H3714" t="s">
        <v>13</v>
      </c>
      <c r="I3714">
        <v>39</v>
      </c>
      <c r="J3714">
        <f>ABS((I3714-EDA!$A$15)/EDA!$B$15)</f>
        <v>0.21028567737269524</v>
      </c>
      <c r="K3714" t="str">
        <f t="shared" ref="K3714:K3777" si="58">IF(J3714 &gt;  1.96, "Sí","No")</f>
        <v>No</v>
      </c>
      <c r="L3714">
        <f>ABS((C3714-EDA!$F$15)/EDA!$G$15)</f>
        <v>0.37071091707942361</v>
      </c>
      <c r="M3714" t="str">
        <f>IF(moras[[#This Row],[Z-Score Salario]]&gt;1.96, "Sí", "No")</f>
        <v>No</v>
      </c>
      <c r="N3714" s="14">
        <f>IF(ISBLANK(moras[[#This Row],[SALARIO]]), EDA!$M$8, moras[[#This Row],[SALARIO]])</f>
        <v>297046</v>
      </c>
      <c r="O3714" s="14">
        <f xml:space="preserve"> IF(ISBLANK(moras[[#This Row],[EDAD]]), EDA!$E$8, moras[[#This Row],[EDAD]])</f>
        <v>39</v>
      </c>
      <c r="P3714" s="14" t="str">
        <f>IF(
    OR(ISBLANK(moras[[#This Row],[TIPO_ASEGURAMIENTO]]), moras[[#This Row],[TIPO_ASEGURAMIENTO]]=""),
    EDA!$A$32,
    moras[[#This Row],[TIPO_ASEGURAMIENTO]]
)</f>
        <v>TRABAJADOR INDEPENDIENTE</v>
      </c>
    </row>
    <row r="3715" spans="1:16" x14ac:dyDescent="0.3">
      <c r="A3715">
        <v>3714</v>
      </c>
      <c r="B3715" t="s">
        <v>15</v>
      </c>
      <c r="C3715">
        <v>330278</v>
      </c>
      <c r="D3715" t="s">
        <v>10</v>
      </c>
      <c r="E3715" t="s">
        <v>16</v>
      </c>
      <c r="F3715" t="s">
        <v>12</v>
      </c>
      <c r="G3715" t="s">
        <v>13</v>
      </c>
      <c r="H3715" t="s">
        <v>13</v>
      </c>
      <c r="I3715">
        <v>40</v>
      </c>
      <c r="J3715">
        <f>ABS((I3715-EDA!$A$15)/EDA!$B$15)</f>
        <v>0.13971034729555773</v>
      </c>
      <c r="K3715" t="str">
        <f t="shared" si="58"/>
        <v>No</v>
      </c>
      <c r="L3715">
        <f>ABS((C3715-EDA!$F$15)/EDA!$G$15)</f>
        <v>0.37015791314054947</v>
      </c>
      <c r="M3715" t="str">
        <f>IF(moras[[#This Row],[Z-Score Salario]]&gt;1.96, "Sí", "No")</f>
        <v>No</v>
      </c>
      <c r="N3715" s="14">
        <f>IF(ISBLANK(moras[[#This Row],[SALARIO]]), EDA!$M$8, moras[[#This Row],[SALARIO]])</f>
        <v>330278</v>
      </c>
      <c r="O3715" s="14">
        <f xml:space="preserve"> IF(ISBLANK(moras[[#This Row],[EDAD]]), EDA!$E$8, moras[[#This Row],[EDAD]])</f>
        <v>40</v>
      </c>
      <c r="P3715" s="14" t="str">
        <f>IF(
    OR(ISBLANK(moras[[#This Row],[TIPO_ASEGURAMIENTO]]), moras[[#This Row],[TIPO_ASEGURAMIENTO]]=""),
    EDA!$A$32,
    moras[[#This Row],[TIPO_ASEGURAMIENTO]]
)</f>
        <v>ASALARIADO</v>
      </c>
    </row>
    <row r="3716" spans="1:16" x14ac:dyDescent="0.3">
      <c r="A3716">
        <v>3715</v>
      </c>
      <c r="B3716" t="s">
        <v>9</v>
      </c>
      <c r="C3716">
        <v>476355</v>
      </c>
      <c r="D3716" t="s">
        <v>10</v>
      </c>
      <c r="E3716" t="s">
        <v>16</v>
      </c>
      <c r="F3716" t="s">
        <v>12</v>
      </c>
      <c r="G3716" t="s">
        <v>13</v>
      </c>
      <c r="H3716" t="s">
        <v>13</v>
      </c>
      <c r="I3716">
        <v>48</v>
      </c>
      <c r="J3716">
        <f>ABS((I3716-EDA!$A$15)/EDA!$B$15)</f>
        <v>0.42489229332154227</v>
      </c>
      <c r="K3716" t="str">
        <f t="shared" si="58"/>
        <v>No</v>
      </c>
      <c r="L3716">
        <f>ABS((C3716-EDA!$F$15)/EDA!$G$15)</f>
        <v>0.36772708874301341</v>
      </c>
      <c r="M3716" t="str">
        <f>IF(moras[[#This Row],[Z-Score Salario]]&gt;1.96, "Sí", "No")</f>
        <v>No</v>
      </c>
      <c r="N3716" s="14">
        <f>IF(ISBLANK(moras[[#This Row],[SALARIO]]), EDA!$M$8, moras[[#This Row],[SALARIO]])</f>
        <v>476355</v>
      </c>
      <c r="O3716" s="14">
        <f xml:space="preserve"> IF(ISBLANK(moras[[#This Row],[EDAD]]), EDA!$E$8, moras[[#This Row],[EDAD]])</f>
        <v>48</v>
      </c>
      <c r="P3716" s="14" t="str">
        <f>IF(
    OR(ISBLANK(moras[[#This Row],[TIPO_ASEGURAMIENTO]]), moras[[#This Row],[TIPO_ASEGURAMIENTO]]=""),
    EDA!$A$32,
    moras[[#This Row],[TIPO_ASEGURAMIENTO]]
)</f>
        <v>ASALARIADO</v>
      </c>
    </row>
    <row r="3717" spans="1:16" x14ac:dyDescent="0.3">
      <c r="A3717">
        <v>3716</v>
      </c>
      <c r="B3717" t="s">
        <v>9</v>
      </c>
      <c r="C3717">
        <v>420000</v>
      </c>
      <c r="D3717" t="s">
        <v>10</v>
      </c>
      <c r="E3717" t="s">
        <v>16</v>
      </c>
      <c r="F3717" t="s">
        <v>12</v>
      </c>
      <c r="G3717" t="s">
        <v>13</v>
      </c>
      <c r="H3717" t="s">
        <v>13</v>
      </c>
      <c r="I3717">
        <v>29</v>
      </c>
      <c r="J3717">
        <f>ABS((I3717-EDA!$A$15)/EDA!$B$15)</f>
        <v>0.91603897814407031</v>
      </c>
      <c r="K3717" t="str">
        <f t="shared" si="58"/>
        <v>No</v>
      </c>
      <c r="L3717">
        <f>ABS((C3717-EDA!$F$15)/EDA!$G$15)</f>
        <v>0.36866487572469531</v>
      </c>
      <c r="M3717" t="str">
        <f>IF(moras[[#This Row],[Z-Score Salario]]&gt;1.96, "Sí", "No")</f>
        <v>No</v>
      </c>
      <c r="N3717" s="14">
        <f>IF(ISBLANK(moras[[#This Row],[SALARIO]]), EDA!$M$8, moras[[#This Row],[SALARIO]])</f>
        <v>420000</v>
      </c>
      <c r="O3717" s="14">
        <f xml:space="preserve"> IF(ISBLANK(moras[[#This Row],[EDAD]]), EDA!$E$8, moras[[#This Row],[EDAD]])</f>
        <v>29</v>
      </c>
      <c r="P3717" s="14" t="str">
        <f>IF(
    OR(ISBLANK(moras[[#This Row],[TIPO_ASEGURAMIENTO]]), moras[[#This Row],[TIPO_ASEGURAMIENTO]]=""),
    EDA!$A$32,
    moras[[#This Row],[TIPO_ASEGURAMIENTO]]
)</f>
        <v>ASALARIADO</v>
      </c>
    </row>
    <row r="3718" spans="1:16" x14ac:dyDescent="0.3">
      <c r="A3718">
        <v>3717</v>
      </c>
      <c r="B3718" t="s">
        <v>15</v>
      </c>
      <c r="C3718">
        <v>1333402</v>
      </c>
      <c r="D3718" t="s">
        <v>10</v>
      </c>
      <c r="E3718" t="s">
        <v>11</v>
      </c>
      <c r="F3718" t="s">
        <v>12</v>
      </c>
      <c r="G3718" t="s">
        <v>13</v>
      </c>
      <c r="H3718" t="s">
        <v>13</v>
      </c>
      <c r="I3718">
        <v>39</v>
      </c>
      <c r="J3718">
        <f>ABS((I3718-EDA!$A$15)/EDA!$B$15)</f>
        <v>0.21028567737269524</v>
      </c>
      <c r="K3718" t="str">
        <f t="shared" si="58"/>
        <v>No</v>
      </c>
      <c r="L3718">
        <f>ABS((C3718-EDA!$F$15)/EDA!$G$15)</f>
        <v>0.35346522166308258</v>
      </c>
      <c r="M3718" t="str">
        <f>IF(moras[[#This Row],[Z-Score Salario]]&gt;1.96, "Sí", "No")</f>
        <v>No</v>
      </c>
      <c r="N3718" s="14">
        <f>IF(ISBLANK(moras[[#This Row],[SALARIO]]), EDA!$M$8, moras[[#This Row],[SALARIO]])</f>
        <v>1333402</v>
      </c>
      <c r="O3718" s="14">
        <f xml:space="preserve"> IF(ISBLANK(moras[[#This Row],[EDAD]]), EDA!$E$8, moras[[#This Row],[EDAD]])</f>
        <v>39</v>
      </c>
      <c r="P3718" s="14" t="str">
        <f>IF(
    OR(ISBLANK(moras[[#This Row],[TIPO_ASEGURAMIENTO]]), moras[[#This Row],[TIPO_ASEGURAMIENTO]]=""),
    EDA!$A$32,
    moras[[#This Row],[TIPO_ASEGURAMIENTO]]
)</f>
        <v>ASALARIADO</v>
      </c>
    </row>
    <row r="3719" spans="1:16" x14ac:dyDescent="0.3">
      <c r="A3719">
        <v>3718</v>
      </c>
      <c r="B3719" t="s">
        <v>9</v>
      </c>
      <c r="C3719">
        <v>356657</v>
      </c>
      <c r="D3719" t="s">
        <v>17</v>
      </c>
      <c r="E3719" t="s">
        <v>16</v>
      </c>
      <c r="F3719" t="s">
        <v>12</v>
      </c>
      <c r="G3719" t="s">
        <v>13</v>
      </c>
      <c r="H3719" t="s">
        <v>12</v>
      </c>
      <c r="I3719">
        <v>61</v>
      </c>
      <c r="J3719">
        <f>ABS((I3719-EDA!$A$15)/EDA!$B$15)</f>
        <v>1.3423715843243298</v>
      </c>
      <c r="K3719" t="str">
        <f t="shared" si="58"/>
        <v>No</v>
      </c>
      <c r="L3719">
        <f>ABS((C3719-EDA!$F$15)/EDA!$G$15)</f>
        <v>0.36971894795929161</v>
      </c>
      <c r="M3719" t="str">
        <f>IF(moras[[#This Row],[Z-Score Salario]]&gt;1.96, "Sí", "No")</f>
        <v>No</v>
      </c>
      <c r="N3719" s="14">
        <f>IF(ISBLANK(moras[[#This Row],[SALARIO]]), EDA!$M$8, moras[[#This Row],[SALARIO]])</f>
        <v>356657</v>
      </c>
      <c r="O3719" s="14">
        <f xml:space="preserve"> IF(ISBLANK(moras[[#This Row],[EDAD]]), EDA!$E$8, moras[[#This Row],[EDAD]])</f>
        <v>61</v>
      </c>
      <c r="P3719" s="14" t="str">
        <f>IF(
    OR(ISBLANK(moras[[#This Row],[TIPO_ASEGURAMIENTO]]), moras[[#This Row],[TIPO_ASEGURAMIENTO]]=""),
    EDA!$A$32,
    moras[[#This Row],[TIPO_ASEGURAMIENTO]]
)</f>
        <v>ASEGURADO VOLUNTARIO</v>
      </c>
    </row>
    <row r="3720" spans="1:16" x14ac:dyDescent="0.3">
      <c r="A3720">
        <v>3719</v>
      </c>
      <c r="B3720" t="s">
        <v>15</v>
      </c>
      <c r="C3720">
        <v>297046</v>
      </c>
      <c r="D3720" t="s">
        <v>17</v>
      </c>
      <c r="E3720" t="s">
        <v>16</v>
      </c>
      <c r="F3720" t="s">
        <v>12</v>
      </c>
      <c r="G3720" t="s">
        <v>12</v>
      </c>
      <c r="H3720" t="s">
        <v>13</v>
      </c>
      <c r="I3720">
        <v>31</v>
      </c>
      <c r="J3720">
        <f>ABS((I3720-EDA!$A$15)/EDA!$B$15)</f>
        <v>0.77488831798979529</v>
      </c>
      <c r="K3720" t="str">
        <f t="shared" si="58"/>
        <v>No</v>
      </c>
      <c r="L3720">
        <f>ABS((C3720-EDA!$F$15)/EDA!$G$15)</f>
        <v>0.37071091707942361</v>
      </c>
      <c r="M3720" t="str">
        <f>IF(moras[[#This Row],[Z-Score Salario]]&gt;1.96, "Sí", "No")</f>
        <v>No</v>
      </c>
      <c r="N3720" s="14">
        <f>IF(ISBLANK(moras[[#This Row],[SALARIO]]), EDA!$M$8, moras[[#This Row],[SALARIO]])</f>
        <v>297046</v>
      </c>
      <c r="O3720" s="14">
        <f xml:space="preserve"> IF(ISBLANK(moras[[#This Row],[EDAD]]), EDA!$E$8, moras[[#This Row],[EDAD]])</f>
        <v>31</v>
      </c>
      <c r="P3720" s="14" t="str">
        <f>IF(
    OR(ISBLANK(moras[[#This Row],[TIPO_ASEGURAMIENTO]]), moras[[#This Row],[TIPO_ASEGURAMIENTO]]=""),
    EDA!$A$32,
    moras[[#This Row],[TIPO_ASEGURAMIENTO]]
)</f>
        <v>ASEGURADO VOLUNTARIO</v>
      </c>
    </row>
    <row r="3721" spans="1:16" x14ac:dyDescent="0.3">
      <c r="A3721">
        <v>3720</v>
      </c>
      <c r="B3721" t="s">
        <v>9</v>
      </c>
      <c r="C3721">
        <v>239421</v>
      </c>
      <c r="D3721" t="s">
        <v>10</v>
      </c>
      <c r="E3721" t="s">
        <v>16</v>
      </c>
      <c r="F3721" t="s">
        <v>12</v>
      </c>
      <c r="G3721" t="s">
        <v>12</v>
      </c>
      <c r="H3721" t="s">
        <v>13</v>
      </c>
      <c r="I3721">
        <v>22</v>
      </c>
      <c r="J3721">
        <f>ABS((I3721-EDA!$A$15)/EDA!$B$15)</f>
        <v>1.4100662886840327</v>
      </c>
      <c r="K3721" t="str">
        <f t="shared" si="58"/>
        <v>No</v>
      </c>
      <c r="L3721">
        <f>ABS((C3721-EDA!$F$15)/EDA!$G$15)</f>
        <v>0.37166983775761392</v>
      </c>
      <c r="M3721" t="str">
        <f>IF(moras[[#This Row],[Z-Score Salario]]&gt;1.96, "Sí", "No")</f>
        <v>No</v>
      </c>
      <c r="N3721" s="14">
        <f>IF(ISBLANK(moras[[#This Row],[SALARIO]]), EDA!$M$8, moras[[#This Row],[SALARIO]])</f>
        <v>239421</v>
      </c>
      <c r="O3721" s="14">
        <f xml:space="preserve"> IF(ISBLANK(moras[[#This Row],[EDAD]]), EDA!$E$8, moras[[#This Row],[EDAD]])</f>
        <v>22</v>
      </c>
      <c r="P3721" s="14" t="str">
        <f>IF(
    OR(ISBLANK(moras[[#This Row],[TIPO_ASEGURAMIENTO]]), moras[[#This Row],[TIPO_ASEGURAMIENTO]]=""),
    EDA!$A$32,
    moras[[#This Row],[TIPO_ASEGURAMIENTO]]
)</f>
        <v>ASALARIADO</v>
      </c>
    </row>
    <row r="3722" spans="1:16" x14ac:dyDescent="0.3">
      <c r="A3722">
        <v>3721</v>
      </c>
      <c r="B3722" t="s">
        <v>9</v>
      </c>
      <c r="C3722">
        <v>20239655</v>
      </c>
      <c r="D3722" t="s">
        <v>10</v>
      </c>
      <c r="E3722" t="s">
        <v>16</v>
      </c>
      <c r="F3722" t="s">
        <v>12</v>
      </c>
      <c r="G3722" t="s">
        <v>13</v>
      </c>
      <c r="H3722" t="s">
        <v>13</v>
      </c>
      <c r="I3722">
        <v>36</v>
      </c>
      <c r="J3722">
        <f>ABS((I3722-EDA!$A$15)/EDA!$B$15)</f>
        <v>0.42201166760410774</v>
      </c>
      <c r="K3722" t="str">
        <f t="shared" si="58"/>
        <v>No</v>
      </c>
      <c r="L3722">
        <f>ABS((C3722-EDA!$F$15)/EDA!$G$15)</f>
        <v>3.8851825588486946E-2</v>
      </c>
      <c r="M3722" t="str">
        <f>IF(moras[[#This Row],[Z-Score Salario]]&gt;1.96, "Sí", "No")</f>
        <v>No</v>
      </c>
      <c r="N3722" s="14">
        <f>IF(ISBLANK(moras[[#This Row],[SALARIO]]), EDA!$M$8, moras[[#This Row],[SALARIO]])</f>
        <v>20239655</v>
      </c>
      <c r="O3722" s="14">
        <f xml:space="preserve"> IF(ISBLANK(moras[[#This Row],[EDAD]]), EDA!$E$8, moras[[#This Row],[EDAD]])</f>
        <v>36</v>
      </c>
      <c r="P3722" s="14" t="str">
        <f>IF(
    OR(ISBLANK(moras[[#This Row],[TIPO_ASEGURAMIENTO]]), moras[[#This Row],[TIPO_ASEGURAMIENTO]]=""),
    EDA!$A$32,
    moras[[#This Row],[TIPO_ASEGURAMIENTO]]
)</f>
        <v>ASALARIADO</v>
      </c>
    </row>
    <row r="3723" spans="1:16" x14ac:dyDescent="0.3">
      <c r="A3723">
        <v>3722</v>
      </c>
      <c r="B3723" t="s">
        <v>9</v>
      </c>
      <c r="C3723">
        <v>260000</v>
      </c>
      <c r="D3723" t="s">
        <v>10</v>
      </c>
      <c r="E3723" t="s">
        <v>16</v>
      </c>
      <c r="F3723" t="s">
        <v>12</v>
      </c>
      <c r="G3723" t="s">
        <v>13</v>
      </c>
      <c r="H3723" t="s">
        <v>12</v>
      </c>
      <c r="I3723">
        <v>37</v>
      </c>
      <c r="J3723">
        <f>ABS((I3723-EDA!$A$15)/EDA!$B$15)</f>
        <v>0.35143633752697023</v>
      </c>
      <c r="K3723" t="str">
        <f t="shared" si="58"/>
        <v>No</v>
      </c>
      <c r="L3723">
        <f>ABS((C3723-EDA!$F$15)/EDA!$G$15)</f>
        <v>0.37132738867064685</v>
      </c>
      <c r="M3723" t="str">
        <f>IF(moras[[#This Row],[Z-Score Salario]]&gt;1.96, "Sí", "No")</f>
        <v>No</v>
      </c>
      <c r="N3723" s="14">
        <f>IF(ISBLANK(moras[[#This Row],[SALARIO]]), EDA!$M$8, moras[[#This Row],[SALARIO]])</f>
        <v>260000</v>
      </c>
      <c r="O3723" s="14">
        <f xml:space="preserve"> IF(ISBLANK(moras[[#This Row],[EDAD]]), EDA!$E$8, moras[[#This Row],[EDAD]])</f>
        <v>37</v>
      </c>
      <c r="P3723" s="14" t="str">
        <f>IF(
    OR(ISBLANK(moras[[#This Row],[TIPO_ASEGURAMIENTO]]), moras[[#This Row],[TIPO_ASEGURAMIENTO]]=""),
    EDA!$A$32,
    moras[[#This Row],[TIPO_ASEGURAMIENTO]]
)</f>
        <v>ASALARIADO</v>
      </c>
    </row>
    <row r="3724" spans="1:16" x14ac:dyDescent="0.3">
      <c r="A3724">
        <v>3723</v>
      </c>
      <c r="B3724" t="s">
        <v>15</v>
      </c>
      <c r="C3724">
        <v>85803205</v>
      </c>
      <c r="D3724" t="s">
        <v>10</v>
      </c>
      <c r="E3724" t="s">
        <v>11</v>
      </c>
      <c r="F3724" t="s">
        <v>12</v>
      </c>
      <c r="G3724" t="s">
        <v>13</v>
      </c>
      <c r="H3724" t="s">
        <v>13</v>
      </c>
      <c r="I3724">
        <v>53</v>
      </c>
      <c r="J3724">
        <f>ABS((I3724-EDA!$A$15)/EDA!$B$15)</f>
        <v>0.77776894370722982</v>
      </c>
      <c r="K3724" t="str">
        <f t="shared" si="58"/>
        <v>No</v>
      </c>
      <c r="L3724">
        <f>ABS((C3724-EDA!$F$15)/EDA!$G$15)</f>
        <v>1.0521719285211484</v>
      </c>
      <c r="M3724" t="str">
        <f>IF(moras[[#This Row],[Z-Score Salario]]&gt;1.96, "Sí", "No")</f>
        <v>No</v>
      </c>
      <c r="N3724" s="14">
        <f>IF(ISBLANK(moras[[#This Row],[SALARIO]]), EDA!$M$8, moras[[#This Row],[SALARIO]])</f>
        <v>85803205</v>
      </c>
      <c r="O3724" s="14">
        <f xml:space="preserve"> IF(ISBLANK(moras[[#This Row],[EDAD]]), EDA!$E$8, moras[[#This Row],[EDAD]])</f>
        <v>53</v>
      </c>
      <c r="P3724" s="14" t="str">
        <f>IF(
    OR(ISBLANK(moras[[#This Row],[TIPO_ASEGURAMIENTO]]), moras[[#This Row],[TIPO_ASEGURAMIENTO]]=""),
    EDA!$A$32,
    moras[[#This Row],[TIPO_ASEGURAMIENTO]]
)</f>
        <v>ASALARIADO</v>
      </c>
    </row>
    <row r="3725" spans="1:16" x14ac:dyDescent="0.3">
      <c r="A3725">
        <v>3724</v>
      </c>
      <c r="B3725" t="s">
        <v>15</v>
      </c>
      <c r="C3725">
        <v>203655625</v>
      </c>
      <c r="D3725" t="s">
        <v>10</v>
      </c>
      <c r="E3725" t="s">
        <v>16</v>
      </c>
      <c r="F3725" t="s">
        <v>12</v>
      </c>
      <c r="G3725" t="s">
        <v>13</v>
      </c>
      <c r="H3725" t="s">
        <v>13</v>
      </c>
      <c r="I3725">
        <v>37</v>
      </c>
      <c r="J3725">
        <f>ABS((I3725-EDA!$A$15)/EDA!$B$15)</f>
        <v>0.35143633752697023</v>
      </c>
      <c r="K3725" t="str">
        <f t="shared" si="58"/>
        <v>No</v>
      </c>
      <c r="L3725">
        <f>ABS((C3725-EDA!$F$15)/EDA!$G$15)</f>
        <v>3.0133193907818931</v>
      </c>
      <c r="M3725" t="str">
        <f>IF(moras[[#This Row],[Z-Score Salario]]&gt;1.96, "Sí", "No")</f>
        <v>Sí</v>
      </c>
      <c r="N3725" s="14">
        <f>IF(ISBLANK(moras[[#This Row],[SALARIO]]), EDA!$M$8, moras[[#This Row],[SALARIO]])</f>
        <v>203655625</v>
      </c>
      <c r="O3725" s="14">
        <f xml:space="preserve"> IF(ISBLANK(moras[[#This Row],[EDAD]]), EDA!$E$8, moras[[#This Row],[EDAD]])</f>
        <v>37</v>
      </c>
      <c r="P3725" s="14" t="str">
        <f>IF(
    OR(ISBLANK(moras[[#This Row],[TIPO_ASEGURAMIENTO]]), moras[[#This Row],[TIPO_ASEGURAMIENTO]]=""),
    EDA!$A$32,
    moras[[#This Row],[TIPO_ASEGURAMIENTO]]
)</f>
        <v>ASALARIADO</v>
      </c>
    </row>
    <row r="3726" spans="1:16" x14ac:dyDescent="0.3">
      <c r="A3726">
        <v>3725</v>
      </c>
      <c r="B3726" t="s">
        <v>9</v>
      </c>
      <c r="C3726">
        <v>454518</v>
      </c>
      <c r="D3726" t="s">
        <v>10</v>
      </c>
      <c r="E3726" t="s">
        <v>16</v>
      </c>
      <c r="F3726" t="s">
        <v>12</v>
      </c>
      <c r="G3726" t="s">
        <v>13</v>
      </c>
      <c r="H3726" t="s">
        <v>13</v>
      </c>
      <c r="I3726">
        <v>35</v>
      </c>
      <c r="J3726">
        <f>ABS((I3726-EDA!$A$15)/EDA!$B$15)</f>
        <v>0.49258699768124525</v>
      </c>
      <c r="K3726" t="str">
        <f t="shared" si="58"/>
        <v>No</v>
      </c>
      <c r="L3726">
        <f>ABS((C3726-EDA!$F$15)/EDA!$G$15)</f>
        <v>0.36809047183801807</v>
      </c>
      <c r="M3726" t="str">
        <f>IF(moras[[#This Row],[Z-Score Salario]]&gt;1.96, "Sí", "No")</f>
        <v>No</v>
      </c>
      <c r="N3726" s="14">
        <f>IF(ISBLANK(moras[[#This Row],[SALARIO]]), EDA!$M$8, moras[[#This Row],[SALARIO]])</f>
        <v>454518</v>
      </c>
      <c r="O3726" s="14">
        <f xml:space="preserve"> IF(ISBLANK(moras[[#This Row],[EDAD]]), EDA!$E$8, moras[[#This Row],[EDAD]])</f>
        <v>35</v>
      </c>
      <c r="P3726" s="14" t="str">
        <f>IF(
    OR(ISBLANK(moras[[#This Row],[TIPO_ASEGURAMIENTO]]), moras[[#This Row],[TIPO_ASEGURAMIENTO]]=""),
    EDA!$A$32,
    moras[[#This Row],[TIPO_ASEGURAMIENTO]]
)</f>
        <v>ASALARIADO</v>
      </c>
    </row>
    <row r="3727" spans="1:16" x14ac:dyDescent="0.3">
      <c r="A3727">
        <v>3726</v>
      </c>
      <c r="B3727" t="s">
        <v>9</v>
      </c>
      <c r="C3727">
        <v>45961628</v>
      </c>
      <c r="D3727" t="s">
        <v>10</v>
      </c>
      <c r="E3727" t="s">
        <v>16</v>
      </c>
      <c r="F3727" t="s">
        <v>12</v>
      </c>
      <c r="G3727" t="s">
        <v>13</v>
      </c>
      <c r="H3727" t="s">
        <v>13</v>
      </c>
      <c r="I3727">
        <v>28</v>
      </c>
      <c r="J3727">
        <f>ABS((I3727-EDA!$A$15)/EDA!$B$15)</f>
        <v>0.98661430822120777</v>
      </c>
      <c r="K3727" t="str">
        <f t="shared" si="58"/>
        <v>No</v>
      </c>
      <c r="L3727">
        <f>ABS((C3727-EDA!$F$15)/EDA!$G$15)</f>
        <v>0.38917996258598919</v>
      </c>
      <c r="M3727" t="str">
        <f>IF(moras[[#This Row],[Z-Score Salario]]&gt;1.96, "Sí", "No")</f>
        <v>No</v>
      </c>
      <c r="N3727" s="14">
        <f>IF(ISBLANK(moras[[#This Row],[SALARIO]]), EDA!$M$8, moras[[#This Row],[SALARIO]])</f>
        <v>45961628</v>
      </c>
      <c r="O3727" s="14">
        <f xml:space="preserve"> IF(ISBLANK(moras[[#This Row],[EDAD]]), EDA!$E$8, moras[[#This Row],[EDAD]])</f>
        <v>28</v>
      </c>
      <c r="P3727" s="14" t="str">
        <f>IF(
    OR(ISBLANK(moras[[#This Row],[TIPO_ASEGURAMIENTO]]), moras[[#This Row],[TIPO_ASEGURAMIENTO]]=""),
    EDA!$A$32,
    moras[[#This Row],[TIPO_ASEGURAMIENTO]]
)</f>
        <v>ASALARIADO</v>
      </c>
    </row>
    <row r="3728" spans="1:16" x14ac:dyDescent="0.3">
      <c r="A3728">
        <v>3727</v>
      </c>
      <c r="B3728" t="s">
        <v>9</v>
      </c>
      <c r="C3728">
        <v>299744</v>
      </c>
      <c r="D3728" t="s">
        <v>18</v>
      </c>
      <c r="E3728" t="s">
        <v>16</v>
      </c>
      <c r="F3728" t="s">
        <v>12</v>
      </c>
      <c r="G3728" t="s">
        <v>13</v>
      </c>
      <c r="H3728" t="s">
        <v>13</v>
      </c>
      <c r="I3728">
        <v>40</v>
      </c>
      <c r="J3728">
        <f>ABS((I3728-EDA!$A$15)/EDA!$B$15)</f>
        <v>0.13971034729555773</v>
      </c>
      <c r="K3728" t="str">
        <f t="shared" si="58"/>
        <v>No</v>
      </c>
      <c r="L3728">
        <f>ABS((C3728-EDA!$F$15)/EDA!$G$15)</f>
        <v>0.37066602045487246</v>
      </c>
      <c r="M3728" t="str">
        <f>IF(moras[[#This Row],[Z-Score Salario]]&gt;1.96, "Sí", "No")</f>
        <v>No</v>
      </c>
      <c r="N3728" s="14">
        <f>IF(ISBLANK(moras[[#This Row],[SALARIO]]), EDA!$M$8, moras[[#This Row],[SALARIO]])</f>
        <v>299744</v>
      </c>
      <c r="O3728" s="14">
        <f xml:space="preserve"> IF(ISBLANK(moras[[#This Row],[EDAD]]), EDA!$E$8, moras[[#This Row],[EDAD]])</f>
        <v>40</v>
      </c>
      <c r="P3728" s="14" t="str">
        <f>IF(
    OR(ISBLANK(moras[[#This Row],[TIPO_ASEGURAMIENTO]]), moras[[#This Row],[TIPO_ASEGURAMIENTO]]=""),
    EDA!$A$32,
    moras[[#This Row],[TIPO_ASEGURAMIENTO]]
)</f>
        <v>TRABAJADOR INDEPENDIENTE</v>
      </c>
    </row>
    <row r="3729" spans="1:16" x14ac:dyDescent="0.3">
      <c r="A3729">
        <v>3728</v>
      </c>
      <c r="B3729" t="s">
        <v>9</v>
      </c>
      <c r="C3729">
        <v>259037315</v>
      </c>
      <c r="D3729" t="s">
        <v>10</v>
      </c>
      <c r="E3729" t="s">
        <v>11</v>
      </c>
      <c r="F3729" t="s">
        <v>12</v>
      </c>
      <c r="G3729" t="s">
        <v>13</v>
      </c>
      <c r="H3729" t="s">
        <v>13</v>
      </c>
      <c r="I3729">
        <v>56</v>
      </c>
      <c r="J3729">
        <f>ABS((I3729-EDA!$A$15)/EDA!$B$15)</f>
        <v>0.9894949339386423</v>
      </c>
      <c r="K3729" t="str">
        <f t="shared" si="58"/>
        <v>No</v>
      </c>
      <c r="L3729">
        <f>ABS((C3729-EDA!$F$15)/EDA!$G$15)</f>
        <v>3.9349098069923643</v>
      </c>
      <c r="M3729" t="str">
        <f>IF(moras[[#This Row],[Z-Score Salario]]&gt;1.96, "Sí", "No")</f>
        <v>Sí</v>
      </c>
      <c r="N3729" s="14">
        <f>IF(ISBLANK(moras[[#This Row],[SALARIO]]), EDA!$M$8, moras[[#This Row],[SALARIO]])</f>
        <v>259037315</v>
      </c>
      <c r="O3729" s="14">
        <f xml:space="preserve"> IF(ISBLANK(moras[[#This Row],[EDAD]]), EDA!$E$8, moras[[#This Row],[EDAD]])</f>
        <v>56</v>
      </c>
      <c r="P3729" s="14" t="str">
        <f>IF(
    OR(ISBLANK(moras[[#This Row],[TIPO_ASEGURAMIENTO]]), moras[[#This Row],[TIPO_ASEGURAMIENTO]]=""),
    EDA!$A$32,
    moras[[#This Row],[TIPO_ASEGURAMIENTO]]
)</f>
        <v>ASALARIADO</v>
      </c>
    </row>
    <row r="3730" spans="1:16" x14ac:dyDescent="0.3">
      <c r="A3730">
        <v>3729</v>
      </c>
      <c r="B3730" t="s">
        <v>9</v>
      </c>
      <c r="C3730">
        <v>5514689</v>
      </c>
      <c r="D3730" t="s">
        <v>10</v>
      </c>
      <c r="E3730" t="s">
        <v>16</v>
      </c>
      <c r="F3730" t="s">
        <v>12</v>
      </c>
      <c r="G3730" t="s">
        <v>13</v>
      </c>
      <c r="H3730" t="s">
        <v>13</v>
      </c>
      <c r="I3730">
        <v>38</v>
      </c>
      <c r="J3730">
        <f>ABS((I3730-EDA!$A$15)/EDA!$B$15)</f>
        <v>0.28086100744983278</v>
      </c>
      <c r="K3730" t="str">
        <f t="shared" si="58"/>
        <v>No</v>
      </c>
      <c r="L3730">
        <f>ABS((C3730-EDA!$F$15)/EDA!$G$15)</f>
        <v>0.28388565436158936</v>
      </c>
      <c r="M3730" t="str">
        <f>IF(moras[[#This Row],[Z-Score Salario]]&gt;1.96, "Sí", "No")</f>
        <v>No</v>
      </c>
      <c r="N3730" s="14">
        <f>IF(ISBLANK(moras[[#This Row],[SALARIO]]), EDA!$M$8, moras[[#This Row],[SALARIO]])</f>
        <v>5514689</v>
      </c>
      <c r="O3730" s="14">
        <f xml:space="preserve"> IF(ISBLANK(moras[[#This Row],[EDAD]]), EDA!$E$8, moras[[#This Row],[EDAD]])</f>
        <v>38</v>
      </c>
      <c r="P3730" s="14" t="str">
        <f>IF(
    OR(ISBLANK(moras[[#This Row],[TIPO_ASEGURAMIENTO]]), moras[[#This Row],[TIPO_ASEGURAMIENTO]]=""),
    EDA!$A$32,
    moras[[#This Row],[TIPO_ASEGURAMIENTO]]
)</f>
        <v>ASALARIADO</v>
      </c>
    </row>
    <row r="3731" spans="1:16" x14ac:dyDescent="0.3">
      <c r="A3731">
        <v>3730</v>
      </c>
      <c r="B3731" t="s">
        <v>9</v>
      </c>
      <c r="C3731">
        <v>550000</v>
      </c>
      <c r="D3731" t="s">
        <v>10</v>
      </c>
      <c r="E3731" t="s">
        <v>16</v>
      </c>
      <c r="F3731" t="s">
        <v>12</v>
      </c>
      <c r="G3731" t="s">
        <v>13</v>
      </c>
      <c r="H3731" t="s">
        <v>13</v>
      </c>
      <c r="I3731">
        <v>58</v>
      </c>
      <c r="J3731">
        <f>ABS((I3731-EDA!$A$15)/EDA!$B$15)</f>
        <v>1.1306455940929174</v>
      </c>
      <c r="K3731" t="str">
        <f t="shared" si="58"/>
        <v>No</v>
      </c>
      <c r="L3731">
        <f>ABS((C3731-EDA!$F$15)/EDA!$G$15)</f>
        <v>0.36650158395610966</v>
      </c>
      <c r="M3731" t="str">
        <f>IF(moras[[#This Row],[Z-Score Salario]]&gt;1.96, "Sí", "No")</f>
        <v>No</v>
      </c>
      <c r="N3731" s="14">
        <f>IF(ISBLANK(moras[[#This Row],[SALARIO]]), EDA!$M$8, moras[[#This Row],[SALARIO]])</f>
        <v>550000</v>
      </c>
      <c r="O3731" s="14">
        <f xml:space="preserve"> IF(ISBLANK(moras[[#This Row],[EDAD]]), EDA!$E$8, moras[[#This Row],[EDAD]])</f>
        <v>58</v>
      </c>
      <c r="P3731" s="14" t="str">
        <f>IF(
    OR(ISBLANK(moras[[#This Row],[TIPO_ASEGURAMIENTO]]), moras[[#This Row],[TIPO_ASEGURAMIENTO]]=""),
    EDA!$A$32,
    moras[[#This Row],[TIPO_ASEGURAMIENTO]]
)</f>
        <v>ASALARIADO</v>
      </c>
    </row>
    <row r="3732" spans="1:16" x14ac:dyDescent="0.3">
      <c r="A3732">
        <v>3731</v>
      </c>
      <c r="B3732" t="s">
        <v>9</v>
      </c>
      <c r="C3732">
        <v>118292987</v>
      </c>
      <c r="D3732" t="s">
        <v>10</v>
      </c>
      <c r="E3732" t="s">
        <v>16</v>
      </c>
      <c r="F3732" t="s">
        <v>12</v>
      </c>
      <c r="G3732" t="s">
        <v>13</v>
      </c>
      <c r="H3732" t="s">
        <v>13</v>
      </c>
      <c r="I3732">
        <v>32</v>
      </c>
      <c r="J3732">
        <f>ABS((I3732-EDA!$A$15)/EDA!$B$15)</f>
        <v>0.70431298791265773</v>
      </c>
      <c r="K3732" t="str">
        <f t="shared" si="58"/>
        <v>No</v>
      </c>
      <c r="L3732">
        <f>ABS((C3732-EDA!$F$15)/EDA!$G$15)</f>
        <v>1.5928248359345456</v>
      </c>
      <c r="M3732" t="str">
        <f>IF(moras[[#This Row],[Z-Score Salario]]&gt;1.96, "Sí", "No")</f>
        <v>No</v>
      </c>
      <c r="N3732" s="14">
        <f>IF(ISBLANK(moras[[#This Row],[SALARIO]]), EDA!$M$8, moras[[#This Row],[SALARIO]])</f>
        <v>118292987</v>
      </c>
      <c r="O3732" s="14">
        <f xml:space="preserve"> IF(ISBLANK(moras[[#This Row],[EDAD]]), EDA!$E$8, moras[[#This Row],[EDAD]])</f>
        <v>32</v>
      </c>
      <c r="P3732" s="14" t="str">
        <f>IF(
    OR(ISBLANK(moras[[#This Row],[TIPO_ASEGURAMIENTO]]), moras[[#This Row],[TIPO_ASEGURAMIENTO]]=""),
    EDA!$A$32,
    moras[[#This Row],[TIPO_ASEGURAMIENTO]]
)</f>
        <v>ASALARIADO</v>
      </c>
    </row>
    <row r="3733" spans="1:16" x14ac:dyDescent="0.3">
      <c r="A3733">
        <v>3732</v>
      </c>
      <c r="B3733" t="s">
        <v>9</v>
      </c>
      <c r="C3733">
        <v>72845402</v>
      </c>
      <c r="D3733" t="s">
        <v>10</v>
      </c>
      <c r="E3733" t="s">
        <v>16</v>
      </c>
      <c r="F3733" t="s">
        <v>12</v>
      </c>
      <c r="G3733" t="s">
        <v>13</v>
      </c>
      <c r="H3733" t="s">
        <v>13</v>
      </c>
      <c r="I3733">
        <v>35</v>
      </c>
      <c r="J3733">
        <f>ABS((I3733-EDA!$A$15)/EDA!$B$15)</f>
        <v>0.49258699768124525</v>
      </c>
      <c r="K3733" t="str">
        <f t="shared" si="58"/>
        <v>No</v>
      </c>
      <c r="L3733">
        <f>ABS((C3733-EDA!$F$15)/EDA!$G$15)</f>
        <v>0.83654493952996201</v>
      </c>
      <c r="M3733" t="str">
        <f>IF(moras[[#This Row],[Z-Score Salario]]&gt;1.96, "Sí", "No")</f>
        <v>No</v>
      </c>
      <c r="N3733" s="14">
        <f>IF(ISBLANK(moras[[#This Row],[SALARIO]]), EDA!$M$8, moras[[#This Row],[SALARIO]])</f>
        <v>72845402</v>
      </c>
      <c r="O3733" s="14">
        <f xml:space="preserve"> IF(ISBLANK(moras[[#This Row],[EDAD]]), EDA!$E$8, moras[[#This Row],[EDAD]])</f>
        <v>35</v>
      </c>
      <c r="P3733" s="14" t="str">
        <f>IF(
    OR(ISBLANK(moras[[#This Row],[TIPO_ASEGURAMIENTO]]), moras[[#This Row],[TIPO_ASEGURAMIENTO]]=""),
    EDA!$A$32,
    moras[[#This Row],[TIPO_ASEGURAMIENTO]]
)</f>
        <v>ASALARIADO</v>
      </c>
    </row>
    <row r="3734" spans="1:16" x14ac:dyDescent="0.3">
      <c r="A3734">
        <v>3733</v>
      </c>
      <c r="B3734" t="s">
        <v>9</v>
      </c>
      <c r="C3734">
        <v>53333333</v>
      </c>
      <c r="D3734" t="s">
        <v>10</v>
      </c>
      <c r="E3734" t="s">
        <v>16</v>
      </c>
      <c r="F3734" t="s">
        <v>12</v>
      </c>
      <c r="G3734" t="s">
        <v>13</v>
      </c>
      <c r="H3734" t="s">
        <v>13</v>
      </c>
      <c r="I3734">
        <v>27</v>
      </c>
      <c r="J3734">
        <f>ABS((I3734-EDA!$A$15)/EDA!$B$15)</f>
        <v>1.0571896382983452</v>
      </c>
      <c r="K3734" t="str">
        <f t="shared" si="58"/>
        <v>No</v>
      </c>
      <c r="L3734">
        <f>ABS((C3734-EDA!$F$15)/EDA!$G$15)</f>
        <v>0.51185033756246268</v>
      </c>
      <c r="M3734" t="str">
        <f>IF(moras[[#This Row],[Z-Score Salario]]&gt;1.96, "Sí", "No")</f>
        <v>No</v>
      </c>
      <c r="N3734" s="14">
        <f>IF(ISBLANK(moras[[#This Row],[SALARIO]]), EDA!$M$8, moras[[#This Row],[SALARIO]])</f>
        <v>53333333</v>
      </c>
      <c r="O3734" s="14">
        <f xml:space="preserve"> IF(ISBLANK(moras[[#This Row],[EDAD]]), EDA!$E$8, moras[[#This Row],[EDAD]])</f>
        <v>27</v>
      </c>
      <c r="P3734" s="14" t="str">
        <f>IF(
    OR(ISBLANK(moras[[#This Row],[TIPO_ASEGURAMIENTO]]), moras[[#This Row],[TIPO_ASEGURAMIENTO]]=""),
    EDA!$A$32,
    moras[[#This Row],[TIPO_ASEGURAMIENTO]]
)</f>
        <v>ASALARIADO</v>
      </c>
    </row>
    <row r="3735" spans="1:16" x14ac:dyDescent="0.3">
      <c r="A3735">
        <v>3734</v>
      </c>
      <c r="B3735" t="s">
        <v>15</v>
      </c>
      <c r="C3735">
        <v>319879</v>
      </c>
      <c r="D3735" t="s">
        <v>10</v>
      </c>
      <c r="E3735" t="s">
        <v>11</v>
      </c>
      <c r="F3735" t="s">
        <v>12</v>
      </c>
      <c r="G3735" t="s">
        <v>13</v>
      </c>
      <c r="H3735" t="s">
        <v>12</v>
      </c>
      <c r="I3735">
        <v>54</v>
      </c>
      <c r="J3735">
        <f>ABS((I3735-EDA!$A$15)/EDA!$B$15)</f>
        <v>0.84834427378436728</v>
      </c>
      <c r="K3735" t="str">
        <f t="shared" si="58"/>
        <v>No</v>
      </c>
      <c r="L3735">
        <f>ABS((C3735-EDA!$F$15)/EDA!$G$15)</f>
        <v>0.37033095984133041</v>
      </c>
      <c r="M3735" t="str">
        <f>IF(moras[[#This Row],[Z-Score Salario]]&gt;1.96, "Sí", "No")</f>
        <v>No</v>
      </c>
      <c r="N3735" s="14">
        <f>IF(ISBLANK(moras[[#This Row],[SALARIO]]), EDA!$M$8, moras[[#This Row],[SALARIO]])</f>
        <v>319879</v>
      </c>
      <c r="O3735" s="14">
        <f xml:space="preserve"> IF(ISBLANK(moras[[#This Row],[EDAD]]), EDA!$E$8, moras[[#This Row],[EDAD]])</f>
        <v>54</v>
      </c>
      <c r="P3735" s="14" t="str">
        <f>IF(
    OR(ISBLANK(moras[[#This Row],[TIPO_ASEGURAMIENTO]]), moras[[#This Row],[TIPO_ASEGURAMIENTO]]=""),
    EDA!$A$32,
    moras[[#This Row],[TIPO_ASEGURAMIENTO]]
)</f>
        <v>ASALARIADO</v>
      </c>
    </row>
    <row r="3736" spans="1:16" x14ac:dyDescent="0.3">
      <c r="A3736">
        <v>3735</v>
      </c>
      <c r="B3736" t="s">
        <v>9</v>
      </c>
      <c r="C3736">
        <v>32956</v>
      </c>
      <c r="D3736" t="s">
        <v>10</v>
      </c>
      <c r="E3736" t="s">
        <v>16</v>
      </c>
      <c r="F3736" t="s">
        <v>12</v>
      </c>
      <c r="G3736" t="s">
        <v>13</v>
      </c>
      <c r="H3736" t="s">
        <v>13</v>
      </c>
      <c r="I3736">
        <v>22</v>
      </c>
      <c r="J3736">
        <f>ABS((I3736-EDA!$A$15)/EDA!$B$15)</f>
        <v>1.4100662886840327</v>
      </c>
      <c r="K3736" t="str">
        <f t="shared" si="58"/>
        <v>No</v>
      </c>
      <c r="L3736">
        <f>ABS((C3736-EDA!$F$15)/EDA!$G$15)</f>
        <v>0.37510556110377574</v>
      </c>
      <c r="M3736" t="str">
        <f>IF(moras[[#This Row],[Z-Score Salario]]&gt;1.96, "Sí", "No")</f>
        <v>No</v>
      </c>
      <c r="N3736" s="14">
        <f>IF(ISBLANK(moras[[#This Row],[SALARIO]]), EDA!$M$8, moras[[#This Row],[SALARIO]])</f>
        <v>32956</v>
      </c>
      <c r="O3736" s="14">
        <f xml:space="preserve"> IF(ISBLANK(moras[[#This Row],[EDAD]]), EDA!$E$8, moras[[#This Row],[EDAD]])</f>
        <v>22</v>
      </c>
      <c r="P3736" s="14" t="str">
        <f>IF(
    OR(ISBLANK(moras[[#This Row],[TIPO_ASEGURAMIENTO]]), moras[[#This Row],[TIPO_ASEGURAMIENTO]]=""),
    EDA!$A$32,
    moras[[#This Row],[TIPO_ASEGURAMIENTO]]
)</f>
        <v>ASALARIADO</v>
      </c>
    </row>
    <row r="3737" spans="1:16" x14ac:dyDescent="0.3">
      <c r="A3737">
        <v>3736</v>
      </c>
      <c r="B3737" t="s">
        <v>9</v>
      </c>
      <c r="C3737">
        <v>450000</v>
      </c>
      <c r="D3737" t="s">
        <v>10</v>
      </c>
      <c r="E3737" t="s">
        <v>16</v>
      </c>
      <c r="F3737" t="s">
        <v>12</v>
      </c>
      <c r="G3737" t="s">
        <v>13</v>
      </c>
      <c r="H3737" t="s">
        <v>13</v>
      </c>
      <c r="I3737">
        <v>24</v>
      </c>
      <c r="J3737">
        <f>ABS((I3737-EDA!$A$15)/EDA!$B$15)</f>
        <v>1.2689156285297578</v>
      </c>
      <c r="K3737" t="str">
        <f t="shared" si="58"/>
        <v>No</v>
      </c>
      <c r="L3737">
        <f>ABS((C3737-EDA!$F$15)/EDA!$G$15)</f>
        <v>0.36816565454732936</v>
      </c>
      <c r="M3737" t="str">
        <f>IF(moras[[#This Row],[Z-Score Salario]]&gt;1.96, "Sí", "No")</f>
        <v>No</v>
      </c>
      <c r="N3737" s="14">
        <f>IF(ISBLANK(moras[[#This Row],[SALARIO]]), EDA!$M$8, moras[[#This Row],[SALARIO]])</f>
        <v>450000</v>
      </c>
      <c r="O3737" s="14">
        <f xml:space="preserve"> IF(ISBLANK(moras[[#This Row],[EDAD]]), EDA!$E$8, moras[[#This Row],[EDAD]])</f>
        <v>24</v>
      </c>
      <c r="P3737" s="14" t="str">
        <f>IF(
    OR(ISBLANK(moras[[#This Row],[TIPO_ASEGURAMIENTO]]), moras[[#This Row],[TIPO_ASEGURAMIENTO]]=""),
    EDA!$A$32,
    moras[[#This Row],[TIPO_ASEGURAMIENTO]]
)</f>
        <v>ASALARIADO</v>
      </c>
    </row>
    <row r="3738" spans="1:16" x14ac:dyDescent="0.3">
      <c r="A3738">
        <v>3737</v>
      </c>
      <c r="B3738" t="s">
        <v>15</v>
      </c>
      <c r="C3738">
        <v>68260723</v>
      </c>
      <c r="D3738" t="s">
        <v>10</v>
      </c>
      <c r="E3738" t="s">
        <v>16</v>
      </c>
      <c r="F3738" t="s">
        <v>12</v>
      </c>
      <c r="G3738" t="s">
        <v>13</v>
      </c>
      <c r="H3738" t="s">
        <v>12</v>
      </c>
      <c r="I3738">
        <v>28</v>
      </c>
      <c r="J3738">
        <f>ABS((I3738-EDA!$A$15)/EDA!$B$15)</f>
        <v>0.98661430822120777</v>
      </c>
      <c r="K3738" t="str">
        <f t="shared" si="58"/>
        <v>No</v>
      </c>
      <c r="L3738">
        <f>ABS((C3738-EDA!$F$15)/EDA!$G$15)</f>
        <v>0.76025264458913577</v>
      </c>
      <c r="M3738" t="str">
        <f>IF(moras[[#This Row],[Z-Score Salario]]&gt;1.96, "Sí", "No")</f>
        <v>No</v>
      </c>
      <c r="N3738" s="14">
        <f>IF(ISBLANK(moras[[#This Row],[SALARIO]]), EDA!$M$8, moras[[#This Row],[SALARIO]])</f>
        <v>68260723</v>
      </c>
      <c r="O3738" s="14">
        <f xml:space="preserve"> IF(ISBLANK(moras[[#This Row],[EDAD]]), EDA!$E$8, moras[[#This Row],[EDAD]])</f>
        <v>28</v>
      </c>
      <c r="P3738" s="14" t="str">
        <f>IF(
    OR(ISBLANK(moras[[#This Row],[TIPO_ASEGURAMIENTO]]), moras[[#This Row],[TIPO_ASEGURAMIENTO]]=""),
    EDA!$A$32,
    moras[[#This Row],[TIPO_ASEGURAMIENTO]]
)</f>
        <v>ASALARIADO</v>
      </c>
    </row>
    <row r="3739" spans="1:16" x14ac:dyDescent="0.3">
      <c r="A3739">
        <v>3738</v>
      </c>
      <c r="B3739" t="s">
        <v>15</v>
      </c>
      <c r="C3739">
        <v>1326562</v>
      </c>
      <c r="D3739" t="s">
        <v>14</v>
      </c>
      <c r="E3739" t="s">
        <v>11</v>
      </c>
      <c r="F3739" t="s">
        <v>12</v>
      </c>
      <c r="G3739" t="s">
        <v>13</v>
      </c>
      <c r="H3739" t="s">
        <v>13</v>
      </c>
      <c r="I3739">
        <v>59</v>
      </c>
      <c r="J3739">
        <f>ABS((I3739-EDA!$A$15)/EDA!$B$15)</f>
        <v>1.2012209241700549</v>
      </c>
      <c r="K3739" t="str">
        <f t="shared" si="58"/>
        <v>No</v>
      </c>
      <c r="L3739">
        <f>ABS((C3739-EDA!$F$15)/EDA!$G$15)</f>
        <v>0.35357904409152202</v>
      </c>
      <c r="M3739" t="str">
        <f>IF(moras[[#This Row],[Z-Score Salario]]&gt;1.96, "Sí", "No")</f>
        <v>No</v>
      </c>
      <c r="N3739" s="14">
        <f>IF(ISBLANK(moras[[#This Row],[SALARIO]]), EDA!$M$8, moras[[#This Row],[SALARIO]])</f>
        <v>1326562</v>
      </c>
      <c r="O3739" s="14">
        <f xml:space="preserve"> IF(ISBLANK(moras[[#This Row],[EDAD]]), EDA!$E$8, moras[[#This Row],[EDAD]])</f>
        <v>59</v>
      </c>
      <c r="P3739" s="14" t="str">
        <f>IF(
    OR(ISBLANK(moras[[#This Row],[TIPO_ASEGURAMIENTO]]), moras[[#This Row],[TIPO_ASEGURAMIENTO]]=""),
    EDA!$A$32,
    moras[[#This Row],[TIPO_ASEGURAMIENTO]]
)</f>
        <v>PENSIONADOS EN SU PROPIO SISTEMA</v>
      </c>
    </row>
    <row r="3740" spans="1:16" x14ac:dyDescent="0.3">
      <c r="A3740">
        <v>3739</v>
      </c>
      <c r="B3740" t="s">
        <v>9</v>
      </c>
      <c r="C3740">
        <v>195000</v>
      </c>
      <c r="D3740" t="s">
        <v>10</v>
      </c>
      <c r="E3740" t="s">
        <v>16</v>
      </c>
      <c r="F3740" t="s">
        <v>12</v>
      </c>
      <c r="G3740" t="s">
        <v>13</v>
      </c>
      <c r="H3740" t="s">
        <v>13</v>
      </c>
      <c r="I3740">
        <v>28</v>
      </c>
      <c r="J3740">
        <f>ABS((I3740-EDA!$A$15)/EDA!$B$15)</f>
        <v>0.98661430822120777</v>
      </c>
      <c r="K3740" t="str">
        <f t="shared" si="58"/>
        <v>No</v>
      </c>
      <c r="L3740">
        <f>ABS((C3740-EDA!$F$15)/EDA!$G$15)</f>
        <v>0.37240903455493968</v>
      </c>
      <c r="M3740" t="str">
        <f>IF(moras[[#This Row],[Z-Score Salario]]&gt;1.96, "Sí", "No")</f>
        <v>No</v>
      </c>
      <c r="N3740" s="14">
        <f>IF(ISBLANK(moras[[#This Row],[SALARIO]]), EDA!$M$8, moras[[#This Row],[SALARIO]])</f>
        <v>195000</v>
      </c>
      <c r="O3740" s="14">
        <f xml:space="preserve"> IF(ISBLANK(moras[[#This Row],[EDAD]]), EDA!$E$8, moras[[#This Row],[EDAD]])</f>
        <v>28</v>
      </c>
      <c r="P3740" s="14" t="str">
        <f>IF(
    OR(ISBLANK(moras[[#This Row],[TIPO_ASEGURAMIENTO]]), moras[[#This Row],[TIPO_ASEGURAMIENTO]]=""),
    EDA!$A$32,
    moras[[#This Row],[TIPO_ASEGURAMIENTO]]
)</f>
        <v>ASALARIADO</v>
      </c>
    </row>
    <row r="3741" spans="1:16" x14ac:dyDescent="0.3">
      <c r="A3741">
        <v>3740</v>
      </c>
      <c r="B3741" t="s">
        <v>15</v>
      </c>
      <c r="C3741">
        <v>297046</v>
      </c>
      <c r="D3741" t="s">
        <v>18</v>
      </c>
      <c r="E3741" t="s">
        <v>16</v>
      </c>
      <c r="F3741" t="s">
        <v>12</v>
      </c>
      <c r="G3741" t="s">
        <v>13</v>
      </c>
      <c r="H3741" t="s">
        <v>13</v>
      </c>
      <c r="I3741">
        <v>47</v>
      </c>
      <c r="J3741">
        <f>ABS((I3741-EDA!$A$15)/EDA!$B$15)</f>
        <v>0.35431696324440481</v>
      </c>
      <c r="K3741" t="str">
        <f t="shared" si="58"/>
        <v>No</v>
      </c>
      <c r="L3741">
        <f>ABS((C3741-EDA!$F$15)/EDA!$G$15)</f>
        <v>0.37071091707942361</v>
      </c>
      <c r="M3741" t="str">
        <f>IF(moras[[#This Row],[Z-Score Salario]]&gt;1.96, "Sí", "No")</f>
        <v>No</v>
      </c>
      <c r="N3741" s="14">
        <f>IF(ISBLANK(moras[[#This Row],[SALARIO]]), EDA!$M$8, moras[[#This Row],[SALARIO]])</f>
        <v>297046</v>
      </c>
      <c r="O3741" s="14">
        <f xml:space="preserve"> IF(ISBLANK(moras[[#This Row],[EDAD]]), EDA!$E$8, moras[[#This Row],[EDAD]])</f>
        <v>47</v>
      </c>
      <c r="P3741" s="14" t="str">
        <f>IF(
    OR(ISBLANK(moras[[#This Row],[TIPO_ASEGURAMIENTO]]), moras[[#This Row],[TIPO_ASEGURAMIENTO]]=""),
    EDA!$A$32,
    moras[[#This Row],[TIPO_ASEGURAMIENTO]]
)</f>
        <v>TRABAJADOR INDEPENDIENTE</v>
      </c>
    </row>
    <row r="3742" spans="1:16" x14ac:dyDescent="0.3">
      <c r="A3742">
        <v>3741</v>
      </c>
      <c r="B3742" t="s">
        <v>9</v>
      </c>
      <c r="C3742">
        <v>840549</v>
      </c>
      <c r="D3742" t="s">
        <v>10</v>
      </c>
      <c r="E3742" t="s">
        <v>11</v>
      </c>
      <c r="F3742" t="s">
        <v>12</v>
      </c>
      <c r="G3742" t="s">
        <v>13</v>
      </c>
      <c r="H3742" t="s">
        <v>13</v>
      </c>
      <c r="I3742">
        <v>54</v>
      </c>
      <c r="J3742">
        <f>ABS((I3742-EDA!$A$15)/EDA!$B$15)</f>
        <v>0.84834427378436728</v>
      </c>
      <c r="K3742" t="str">
        <f t="shared" si="58"/>
        <v>No</v>
      </c>
      <c r="L3742">
        <f>ABS((C3742-EDA!$F$15)/EDA!$G$15)</f>
        <v>0.36166664349402666</v>
      </c>
      <c r="M3742" t="str">
        <f>IF(moras[[#This Row],[Z-Score Salario]]&gt;1.96, "Sí", "No")</f>
        <v>No</v>
      </c>
      <c r="N3742" s="14">
        <f>IF(ISBLANK(moras[[#This Row],[SALARIO]]), EDA!$M$8, moras[[#This Row],[SALARIO]])</f>
        <v>840549</v>
      </c>
      <c r="O3742" s="14">
        <f xml:space="preserve"> IF(ISBLANK(moras[[#This Row],[EDAD]]), EDA!$E$8, moras[[#This Row],[EDAD]])</f>
        <v>54</v>
      </c>
      <c r="P3742" s="14" t="str">
        <f>IF(
    OR(ISBLANK(moras[[#This Row],[TIPO_ASEGURAMIENTO]]), moras[[#This Row],[TIPO_ASEGURAMIENTO]]=""),
    EDA!$A$32,
    moras[[#This Row],[TIPO_ASEGURAMIENTO]]
)</f>
        <v>ASALARIADO</v>
      </c>
    </row>
    <row r="3743" spans="1:16" x14ac:dyDescent="0.3">
      <c r="A3743">
        <v>3742</v>
      </c>
      <c r="B3743" t="s">
        <v>15</v>
      </c>
      <c r="C3743">
        <v>13432655</v>
      </c>
      <c r="D3743" t="s">
        <v>10</v>
      </c>
      <c r="E3743" t="s">
        <v>11</v>
      </c>
      <c r="F3743" t="s">
        <v>12</v>
      </c>
      <c r="G3743" t="s">
        <v>13</v>
      </c>
      <c r="H3743" t="s">
        <v>13</v>
      </c>
      <c r="I3743">
        <v>40</v>
      </c>
      <c r="J3743">
        <f>ABS((I3743-EDA!$A$15)/EDA!$B$15)</f>
        <v>0.13971034729555773</v>
      </c>
      <c r="K3743" t="str">
        <f t="shared" si="58"/>
        <v>No</v>
      </c>
      <c r="L3743">
        <f>ABS((C3743-EDA!$F$15)/EDA!$G$15)</f>
        <v>0.15212511073281312</v>
      </c>
      <c r="M3743" t="str">
        <f>IF(moras[[#This Row],[Z-Score Salario]]&gt;1.96, "Sí", "No")</f>
        <v>No</v>
      </c>
      <c r="N3743" s="14">
        <f>IF(ISBLANK(moras[[#This Row],[SALARIO]]), EDA!$M$8, moras[[#This Row],[SALARIO]])</f>
        <v>13432655</v>
      </c>
      <c r="O3743" s="14">
        <f xml:space="preserve"> IF(ISBLANK(moras[[#This Row],[EDAD]]), EDA!$E$8, moras[[#This Row],[EDAD]])</f>
        <v>40</v>
      </c>
      <c r="P3743" s="14" t="str">
        <f>IF(
    OR(ISBLANK(moras[[#This Row],[TIPO_ASEGURAMIENTO]]), moras[[#This Row],[TIPO_ASEGURAMIENTO]]=""),
    EDA!$A$32,
    moras[[#This Row],[TIPO_ASEGURAMIENTO]]
)</f>
        <v>ASALARIADO</v>
      </c>
    </row>
    <row r="3744" spans="1:16" x14ac:dyDescent="0.3">
      <c r="A3744">
        <v>3743</v>
      </c>
      <c r="B3744" t="s">
        <v>9</v>
      </c>
      <c r="C3744">
        <v>600000</v>
      </c>
      <c r="D3744" t="s">
        <v>10</v>
      </c>
      <c r="E3744" t="s">
        <v>16</v>
      </c>
      <c r="F3744" t="s">
        <v>12</v>
      </c>
      <c r="G3744" t="s">
        <v>13</v>
      </c>
      <c r="H3744" t="s">
        <v>13</v>
      </c>
      <c r="I3744">
        <v>53</v>
      </c>
      <c r="J3744">
        <f>ABS((I3744-EDA!$A$15)/EDA!$B$15)</f>
        <v>0.77776894370722982</v>
      </c>
      <c r="K3744" t="str">
        <f t="shared" si="58"/>
        <v>No</v>
      </c>
      <c r="L3744">
        <f>ABS((C3744-EDA!$F$15)/EDA!$G$15)</f>
        <v>0.36566954866049978</v>
      </c>
      <c r="M3744" t="str">
        <f>IF(moras[[#This Row],[Z-Score Salario]]&gt;1.96, "Sí", "No")</f>
        <v>No</v>
      </c>
      <c r="N3744" s="14">
        <f>IF(ISBLANK(moras[[#This Row],[SALARIO]]), EDA!$M$8, moras[[#This Row],[SALARIO]])</f>
        <v>600000</v>
      </c>
      <c r="O3744" s="14">
        <f xml:space="preserve"> IF(ISBLANK(moras[[#This Row],[EDAD]]), EDA!$E$8, moras[[#This Row],[EDAD]])</f>
        <v>53</v>
      </c>
      <c r="P3744" s="14" t="str">
        <f>IF(
    OR(ISBLANK(moras[[#This Row],[TIPO_ASEGURAMIENTO]]), moras[[#This Row],[TIPO_ASEGURAMIENTO]]=""),
    EDA!$A$32,
    moras[[#This Row],[TIPO_ASEGURAMIENTO]]
)</f>
        <v>ASALARIADO</v>
      </c>
    </row>
    <row r="3745" spans="1:16" x14ac:dyDescent="0.3">
      <c r="A3745">
        <v>3744</v>
      </c>
      <c r="B3745" t="s">
        <v>9</v>
      </c>
      <c r="C3745">
        <v>795414</v>
      </c>
      <c r="D3745" t="s">
        <v>10</v>
      </c>
      <c r="E3745" t="s">
        <v>16</v>
      </c>
      <c r="F3745" t="s">
        <v>12</v>
      </c>
      <c r="G3745" t="s">
        <v>13</v>
      </c>
      <c r="H3745" t="s">
        <v>13</v>
      </c>
      <c r="I3745">
        <v>22</v>
      </c>
      <c r="J3745">
        <f>ABS((I3745-EDA!$A$15)/EDA!$B$15)</f>
        <v>1.4100662886840327</v>
      </c>
      <c r="K3745" t="str">
        <f t="shared" si="58"/>
        <v>No</v>
      </c>
      <c r="L3745">
        <f>ABS((C3745-EDA!$F$15)/EDA!$G$15)</f>
        <v>0.36241772175537368</v>
      </c>
      <c r="M3745" t="str">
        <f>IF(moras[[#This Row],[Z-Score Salario]]&gt;1.96, "Sí", "No")</f>
        <v>No</v>
      </c>
      <c r="N3745" s="14">
        <f>IF(ISBLANK(moras[[#This Row],[SALARIO]]), EDA!$M$8, moras[[#This Row],[SALARIO]])</f>
        <v>795414</v>
      </c>
      <c r="O3745" s="14">
        <f xml:space="preserve"> IF(ISBLANK(moras[[#This Row],[EDAD]]), EDA!$E$8, moras[[#This Row],[EDAD]])</f>
        <v>22</v>
      </c>
      <c r="P3745" s="14" t="str">
        <f>IF(
    OR(ISBLANK(moras[[#This Row],[TIPO_ASEGURAMIENTO]]), moras[[#This Row],[TIPO_ASEGURAMIENTO]]=""),
    EDA!$A$32,
    moras[[#This Row],[TIPO_ASEGURAMIENTO]]
)</f>
        <v>ASALARIADO</v>
      </c>
    </row>
    <row r="3746" spans="1:16" x14ac:dyDescent="0.3">
      <c r="A3746">
        <v>3745</v>
      </c>
      <c r="B3746" t="s">
        <v>15</v>
      </c>
      <c r="C3746">
        <v>359545</v>
      </c>
      <c r="D3746" t="s">
        <v>10</v>
      </c>
      <c r="E3746" t="s">
        <v>16</v>
      </c>
      <c r="F3746" t="s">
        <v>12</v>
      </c>
      <c r="G3746" t="s">
        <v>13</v>
      </c>
      <c r="H3746" t="s">
        <v>13</v>
      </c>
      <c r="I3746">
        <v>30</v>
      </c>
      <c r="J3746">
        <f>ABS((I3746-EDA!$A$15)/EDA!$B$15)</f>
        <v>0.84546364806693275</v>
      </c>
      <c r="K3746" t="str">
        <f t="shared" si="58"/>
        <v>No</v>
      </c>
      <c r="L3746">
        <f>ABS((C3746-EDA!$F$15)/EDA!$G$15)</f>
        <v>0.36967088960061717</v>
      </c>
      <c r="M3746" t="str">
        <f>IF(moras[[#This Row],[Z-Score Salario]]&gt;1.96, "Sí", "No")</f>
        <v>No</v>
      </c>
      <c r="N3746" s="14">
        <f>IF(ISBLANK(moras[[#This Row],[SALARIO]]), EDA!$M$8, moras[[#This Row],[SALARIO]])</f>
        <v>359545</v>
      </c>
      <c r="O3746" s="14">
        <f xml:space="preserve"> IF(ISBLANK(moras[[#This Row],[EDAD]]), EDA!$E$8, moras[[#This Row],[EDAD]])</f>
        <v>30</v>
      </c>
      <c r="P3746" s="14" t="str">
        <f>IF(
    OR(ISBLANK(moras[[#This Row],[TIPO_ASEGURAMIENTO]]), moras[[#This Row],[TIPO_ASEGURAMIENTO]]=""),
    EDA!$A$32,
    moras[[#This Row],[TIPO_ASEGURAMIENTO]]
)</f>
        <v>ASALARIADO</v>
      </c>
    </row>
    <row r="3747" spans="1:16" x14ac:dyDescent="0.3">
      <c r="A3747">
        <v>3746</v>
      </c>
      <c r="B3747" t="s">
        <v>15</v>
      </c>
      <c r="C3747">
        <v>351185</v>
      </c>
      <c r="D3747" t="s">
        <v>10</v>
      </c>
      <c r="E3747" t="s">
        <v>16</v>
      </c>
      <c r="F3747" t="s">
        <v>12</v>
      </c>
      <c r="G3747" t="s">
        <v>13</v>
      </c>
      <c r="H3747" t="s">
        <v>13</v>
      </c>
      <c r="I3747">
        <v>50</v>
      </c>
      <c r="J3747">
        <f>ABS((I3747-EDA!$A$15)/EDA!$B$15)</f>
        <v>0.56604295347581735</v>
      </c>
      <c r="K3747" t="str">
        <f t="shared" si="58"/>
        <v>No</v>
      </c>
      <c r="L3747">
        <f>ABS((C3747-EDA!$F$15)/EDA!$G$15)</f>
        <v>0.36981000590204316</v>
      </c>
      <c r="M3747" t="str">
        <f>IF(moras[[#This Row],[Z-Score Salario]]&gt;1.96, "Sí", "No")</f>
        <v>No</v>
      </c>
      <c r="N3747" s="14">
        <f>IF(ISBLANK(moras[[#This Row],[SALARIO]]), EDA!$M$8, moras[[#This Row],[SALARIO]])</f>
        <v>351185</v>
      </c>
      <c r="O3747" s="14">
        <f xml:space="preserve"> IF(ISBLANK(moras[[#This Row],[EDAD]]), EDA!$E$8, moras[[#This Row],[EDAD]])</f>
        <v>50</v>
      </c>
      <c r="P3747" s="14" t="str">
        <f>IF(
    OR(ISBLANK(moras[[#This Row],[TIPO_ASEGURAMIENTO]]), moras[[#This Row],[TIPO_ASEGURAMIENTO]]=""),
    EDA!$A$32,
    moras[[#This Row],[TIPO_ASEGURAMIENTO]]
)</f>
        <v>ASALARIADO</v>
      </c>
    </row>
    <row r="3748" spans="1:16" x14ac:dyDescent="0.3">
      <c r="A3748">
        <v>3747</v>
      </c>
      <c r="B3748" t="s">
        <v>9</v>
      </c>
      <c r="C3748">
        <v>39521886</v>
      </c>
      <c r="D3748" t="s">
        <v>10</v>
      </c>
      <c r="E3748" t="s">
        <v>16</v>
      </c>
      <c r="F3748" t="s">
        <v>12</v>
      </c>
      <c r="G3748" t="s">
        <v>13</v>
      </c>
      <c r="H3748" t="s">
        <v>13</v>
      </c>
      <c r="I3748">
        <v>20</v>
      </c>
      <c r="J3748">
        <f>ABS((I3748-EDA!$A$15)/EDA!$B$15)</f>
        <v>1.5512169488383079</v>
      </c>
      <c r="K3748" t="str">
        <f t="shared" si="58"/>
        <v>No</v>
      </c>
      <c r="L3748">
        <f>ABS((C3748-EDA!$F$15)/EDA!$G$15)</f>
        <v>0.28201810981356473</v>
      </c>
      <c r="M3748" t="str">
        <f>IF(moras[[#This Row],[Z-Score Salario]]&gt;1.96, "Sí", "No")</f>
        <v>No</v>
      </c>
      <c r="N3748" s="14">
        <f>IF(ISBLANK(moras[[#This Row],[SALARIO]]), EDA!$M$8, moras[[#This Row],[SALARIO]])</f>
        <v>39521886</v>
      </c>
      <c r="O3748" s="14">
        <f xml:space="preserve"> IF(ISBLANK(moras[[#This Row],[EDAD]]), EDA!$E$8, moras[[#This Row],[EDAD]])</f>
        <v>20</v>
      </c>
      <c r="P3748" s="14" t="str">
        <f>IF(
    OR(ISBLANK(moras[[#This Row],[TIPO_ASEGURAMIENTO]]), moras[[#This Row],[TIPO_ASEGURAMIENTO]]=""),
    EDA!$A$32,
    moras[[#This Row],[TIPO_ASEGURAMIENTO]]
)</f>
        <v>ASALARIADO</v>
      </c>
    </row>
    <row r="3749" spans="1:16" x14ac:dyDescent="0.3">
      <c r="A3749">
        <v>3748</v>
      </c>
      <c r="B3749" t="s">
        <v>9</v>
      </c>
      <c r="C3749">
        <v>241119</v>
      </c>
      <c r="D3749" t="s">
        <v>10</v>
      </c>
      <c r="E3749" t="s">
        <v>16</v>
      </c>
      <c r="F3749" t="s">
        <v>12</v>
      </c>
      <c r="G3749" t="s">
        <v>13</v>
      </c>
      <c r="H3749" t="s">
        <v>13</v>
      </c>
      <c r="I3749">
        <v>47</v>
      </c>
      <c r="J3749">
        <f>ABS((I3749-EDA!$A$15)/EDA!$B$15)</f>
        <v>0.35431696324440481</v>
      </c>
      <c r="K3749" t="str">
        <f t="shared" si="58"/>
        <v>No</v>
      </c>
      <c r="L3749">
        <f>ABS((C3749-EDA!$F$15)/EDA!$G$15)</f>
        <v>0.37164158183897505</v>
      </c>
      <c r="M3749" t="str">
        <f>IF(moras[[#This Row],[Z-Score Salario]]&gt;1.96, "Sí", "No")</f>
        <v>No</v>
      </c>
      <c r="N3749" s="14">
        <f>IF(ISBLANK(moras[[#This Row],[SALARIO]]), EDA!$M$8, moras[[#This Row],[SALARIO]])</f>
        <v>241119</v>
      </c>
      <c r="O3749" s="14">
        <f xml:space="preserve"> IF(ISBLANK(moras[[#This Row],[EDAD]]), EDA!$E$8, moras[[#This Row],[EDAD]])</f>
        <v>47</v>
      </c>
      <c r="P3749" s="14" t="str">
        <f>IF(
    OR(ISBLANK(moras[[#This Row],[TIPO_ASEGURAMIENTO]]), moras[[#This Row],[TIPO_ASEGURAMIENTO]]=""),
    EDA!$A$32,
    moras[[#This Row],[TIPO_ASEGURAMIENTO]]
)</f>
        <v>ASALARIADO</v>
      </c>
    </row>
    <row r="3750" spans="1:16" x14ac:dyDescent="0.3">
      <c r="A3750">
        <v>3749</v>
      </c>
      <c r="B3750" t="s">
        <v>9</v>
      </c>
      <c r="C3750">
        <v>445567</v>
      </c>
      <c r="D3750" t="s">
        <v>18</v>
      </c>
      <c r="E3750" t="s">
        <v>16</v>
      </c>
      <c r="F3750" t="s">
        <v>12</v>
      </c>
      <c r="G3750" t="s">
        <v>13</v>
      </c>
      <c r="H3750" t="s">
        <v>12</v>
      </c>
      <c r="I3750">
        <v>50</v>
      </c>
      <c r="J3750">
        <f>ABS((I3750-EDA!$A$15)/EDA!$B$15)</f>
        <v>0.56604295347581735</v>
      </c>
      <c r="K3750" t="str">
        <f t="shared" si="58"/>
        <v>No</v>
      </c>
      <c r="L3750">
        <f>ABS((C3750-EDA!$F$15)/EDA!$G$15)</f>
        <v>0.36823942279663813</v>
      </c>
      <c r="M3750" t="str">
        <f>IF(moras[[#This Row],[Z-Score Salario]]&gt;1.96, "Sí", "No")</f>
        <v>No</v>
      </c>
      <c r="N3750" s="14">
        <f>IF(ISBLANK(moras[[#This Row],[SALARIO]]), EDA!$M$8, moras[[#This Row],[SALARIO]])</f>
        <v>445567</v>
      </c>
      <c r="O3750" s="14">
        <f xml:space="preserve"> IF(ISBLANK(moras[[#This Row],[EDAD]]), EDA!$E$8, moras[[#This Row],[EDAD]])</f>
        <v>50</v>
      </c>
      <c r="P3750" s="14" t="str">
        <f>IF(
    OR(ISBLANK(moras[[#This Row],[TIPO_ASEGURAMIENTO]]), moras[[#This Row],[TIPO_ASEGURAMIENTO]]=""),
    EDA!$A$32,
    moras[[#This Row],[TIPO_ASEGURAMIENTO]]
)</f>
        <v>TRABAJADOR INDEPENDIENTE</v>
      </c>
    </row>
    <row r="3751" spans="1:16" x14ac:dyDescent="0.3">
      <c r="A3751">
        <v>3750</v>
      </c>
      <c r="B3751" t="s">
        <v>9</v>
      </c>
      <c r="C3751">
        <v>111677984</v>
      </c>
      <c r="D3751" t="s">
        <v>10</v>
      </c>
      <c r="E3751" t="s">
        <v>16</v>
      </c>
      <c r="F3751" t="s">
        <v>12</v>
      </c>
      <c r="G3751" t="s">
        <v>13</v>
      </c>
      <c r="H3751" t="s">
        <v>13</v>
      </c>
      <c r="I3751">
        <v>42</v>
      </c>
      <c r="J3751">
        <f>ABS((I3751-EDA!$A$15)/EDA!$B$15)</f>
        <v>1.4403128587172659E-3</v>
      </c>
      <c r="K3751" t="str">
        <f t="shared" si="58"/>
        <v>No</v>
      </c>
      <c r="L3751">
        <f>ABS((C3751-EDA!$F$15)/EDA!$G$15)</f>
        <v>1.4827465164032436</v>
      </c>
      <c r="M3751" t="str">
        <f>IF(moras[[#This Row],[Z-Score Salario]]&gt;1.96, "Sí", "No")</f>
        <v>No</v>
      </c>
      <c r="N3751" s="14">
        <f>IF(ISBLANK(moras[[#This Row],[SALARIO]]), EDA!$M$8, moras[[#This Row],[SALARIO]])</f>
        <v>111677984</v>
      </c>
      <c r="O3751" s="14">
        <f xml:space="preserve"> IF(ISBLANK(moras[[#This Row],[EDAD]]), EDA!$E$8, moras[[#This Row],[EDAD]])</f>
        <v>42</v>
      </c>
      <c r="P3751" s="14" t="str">
        <f>IF(
    OR(ISBLANK(moras[[#This Row],[TIPO_ASEGURAMIENTO]]), moras[[#This Row],[TIPO_ASEGURAMIENTO]]=""),
    EDA!$A$32,
    moras[[#This Row],[TIPO_ASEGURAMIENTO]]
)</f>
        <v>ASALARIADO</v>
      </c>
    </row>
    <row r="3752" spans="1:16" x14ac:dyDescent="0.3">
      <c r="A3752">
        <v>3751</v>
      </c>
      <c r="B3752" t="s">
        <v>9</v>
      </c>
      <c r="C3752">
        <v>49995833</v>
      </c>
      <c r="D3752" t="s">
        <v>10</v>
      </c>
      <c r="E3752" t="s">
        <v>16</v>
      </c>
      <c r="F3752" t="s">
        <v>12</v>
      </c>
      <c r="G3752" t="s">
        <v>13</v>
      </c>
      <c r="H3752" t="s">
        <v>13</v>
      </c>
      <c r="I3752">
        <v>27</v>
      </c>
      <c r="J3752">
        <f>ABS((I3752-EDA!$A$15)/EDA!$B$15)</f>
        <v>1.0571896382983452</v>
      </c>
      <c r="K3752" t="str">
        <f t="shared" si="58"/>
        <v>No</v>
      </c>
      <c r="L3752">
        <f>ABS((C3752-EDA!$F$15)/EDA!$G$15)</f>
        <v>0.45631198158050462</v>
      </c>
      <c r="M3752" t="str">
        <f>IF(moras[[#This Row],[Z-Score Salario]]&gt;1.96, "Sí", "No")</f>
        <v>No</v>
      </c>
      <c r="N3752" s="14">
        <f>IF(ISBLANK(moras[[#This Row],[SALARIO]]), EDA!$M$8, moras[[#This Row],[SALARIO]])</f>
        <v>49995833</v>
      </c>
      <c r="O3752" s="14">
        <f xml:space="preserve"> IF(ISBLANK(moras[[#This Row],[EDAD]]), EDA!$E$8, moras[[#This Row],[EDAD]])</f>
        <v>27</v>
      </c>
      <c r="P3752" s="14" t="str">
        <f>IF(
    OR(ISBLANK(moras[[#This Row],[TIPO_ASEGURAMIENTO]]), moras[[#This Row],[TIPO_ASEGURAMIENTO]]=""),
    EDA!$A$32,
    moras[[#This Row],[TIPO_ASEGURAMIENTO]]
)</f>
        <v>ASALARIADO</v>
      </c>
    </row>
    <row r="3753" spans="1:16" x14ac:dyDescent="0.3">
      <c r="A3753">
        <v>3752</v>
      </c>
      <c r="B3753" t="s">
        <v>15</v>
      </c>
      <c r="C3753">
        <v>250000</v>
      </c>
      <c r="D3753" t="s">
        <v>10</v>
      </c>
      <c r="E3753" t="s">
        <v>16</v>
      </c>
      <c r="F3753" t="s">
        <v>12</v>
      </c>
      <c r="G3753" t="s">
        <v>13</v>
      </c>
      <c r="H3753" t="s">
        <v>13</v>
      </c>
      <c r="I3753">
        <v>29</v>
      </c>
      <c r="J3753">
        <f>ABS((I3753-EDA!$A$15)/EDA!$B$15)</f>
        <v>0.91603897814407031</v>
      </c>
      <c r="K3753" t="str">
        <f t="shared" si="58"/>
        <v>No</v>
      </c>
      <c r="L3753">
        <f>ABS((C3753-EDA!$F$15)/EDA!$G$15)</f>
        <v>0.37149379572976882</v>
      </c>
      <c r="M3753" t="str">
        <f>IF(moras[[#This Row],[Z-Score Salario]]&gt;1.96, "Sí", "No")</f>
        <v>No</v>
      </c>
      <c r="N3753" s="14">
        <f>IF(ISBLANK(moras[[#This Row],[SALARIO]]), EDA!$M$8, moras[[#This Row],[SALARIO]])</f>
        <v>250000</v>
      </c>
      <c r="O3753" s="14">
        <f xml:space="preserve"> IF(ISBLANK(moras[[#This Row],[EDAD]]), EDA!$E$8, moras[[#This Row],[EDAD]])</f>
        <v>29</v>
      </c>
      <c r="P3753" s="14" t="str">
        <f>IF(
    OR(ISBLANK(moras[[#This Row],[TIPO_ASEGURAMIENTO]]), moras[[#This Row],[TIPO_ASEGURAMIENTO]]=""),
    EDA!$A$32,
    moras[[#This Row],[TIPO_ASEGURAMIENTO]]
)</f>
        <v>ASALARIADO</v>
      </c>
    </row>
    <row r="3754" spans="1:16" x14ac:dyDescent="0.3">
      <c r="A3754">
        <v>3753</v>
      </c>
      <c r="B3754" t="s">
        <v>9</v>
      </c>
      <c r="C3754">
        <v>314424</v>
      </c>
      <c r="D3754" t="s">
        <v>10</v>
      </c>
      <c r="E3754" t="s">
        <v>16</v>
      </c>
      <c r="F3754" t="s">
        <v>12</v>
      </c>
      <c r="G3754" t="s">
        <v>13</v>
      </c>
      <c r="H3754" t="s">
        <v>13</v>
      </c>
      <c r="I3754">
        <v>24</v>
      </c>
      <c r="J3754">
        <f>ABS((I3754-EDA!$A$15)/EDA!$B$15)</f>
        <v>1.2689156285297578</v>
      </c>
      <c r="K3754" t="str">
        <f t="shared" si="58"/>
        <v>No</v>
      </c>
      <c r="L3754">
        <f>ABS((C3754-EDA!$F$15)/EDA!$G$15)</f>
        <v>0.37042173489208141</v>
      </c>
      <c r="M3754" t="str">
        <f>IF(moras[[#This Row],[Z-Score Salario]]&gt;1.96, "Sí", "No")</f>
        <v>No</v>
      </c>
      <c r="N3754" s="14">
        <f>IF(ISBLANK(moras[[#This Row],[SALARIO]]), EDA!$M$8, moras[[#This Row],[SALARIO]])</f>
        <v>314424</v>
      </c>
      <c r="O3754" s="14">
        <f xml:space="preserve"> IF(ISBLANK(moras[[#This Row],[EDAD]]), EDA!$E$8, moras[[#This Row],[EDAD]])</f>
        <v>24</v>
      </c>
      <c r="P3754" s="14" t="str">
        <f>IF(
    OR(ISBLANK(moras[[#This Row],[TIPO_ASEGURAMIENTO]]), moras[[#This Row],[TIPO_ASEGURAMIENTO]]=""),
    EDA!$A$32,
    moras[[#This Row],[TIPO_ASEGURAMIENTO]]
)</f>
        <v>ASALARIADO</v>
      </c>
    </row>
    <row r="3755" spans="1:16" x14ac:dyDescent="0.3">
      <c r="A3755">
        <v>3754</v>
      </c>
      <c r="B3755" t="s">
        <v>15</v>
      </c>
      <c r="C3755">
        <v>367892</v>
      </c>
      <c r="D3755" t="s">
        <v>10</v>
      </c>
      <c r="E3755" t="s">
        <v>11</v>
      </c>
      <c r="F3755" t="s">
        <v>12</v>
      </c>
      <c r="G3755" t="s">
        <v>13</v>
      </c>
      <c r="H3755" t="s">
        <v>12</v>
      </c>
      <c r="I3755">
        <v>43</v>
      </c>
      <c r="J3755">
        <f>ABS((I3755-EDA!$A$15)/EDA!$B$15)</f>
        <v>7.2015642935854773E-2</v>
      </c>
      <c r="K3755" t="str">
        <f t="shared" si="58"/>
        <v>No</v>
      </c>
      <c r="L3755">
        <f>ABS((C3755-EDA!$F$15)/EDA!$G$15)</f>
        <v>0.36953198962836808</v>
      </c>
      <c r="M3755" t="str">
        <f>IF(moras[[#This Row],[Z-Score Salario]]&gt;1.96, "Sí", "No")</f>
        <v>No</v>
      </c>
      <c r="N3755" s="14">
        <f>IF(ISBLANK(moras[[#This Row],[SALARIO]]), EDA!$M$8, moras[[#This Row],[SALARIO]])</f>
        <v>367892</v>
      </c>
      <c r="O3755" s="14">
        <f xml:space="preserve"> IF(ISBLANK(moras[[#This Row],[EDAD]]), EDA!$E$8, moras[[#This Row],[EDAD]])</f>
        <v>43</v>
      </c>
      <c r="P3755" s="14" t="str">
        <f>IF(
    OR(ISBLANK(moras[[#This Row],[TIPO_ASEGURAMIENTO]]), moras[[#This Row],[TIPO_ASEGURAMIENTO]]=""),
    EDA!$A$32,
    moras[[#This Row],[TIPO_ASEGURAMIENTO]]
)</f>
        <v>ASALARIADO</v>
      </c>
    </row>
    <row r="3756" spans="1:16" x14ac:dyDescent="0.3">
      <c r="A3756">
        <v>3755</v>
      </c>
      <c r="B3756" t="s">
        <v>9</v>
      </c>
      <c r="C3756">
        <v>36118029</v>
      </c>
      <c r="D3756" t="s">
        <v>10</v>
      </c>
      <c r="E3756" t="s">
        <v>11</v>
      </c>
      <c r="F3756" t="s">
        <v>12</v>
      </c>
      <c r="G3756" t="s">
        <v>13</v>
      </c>
      <c r="H3756" t="s">
        <v>13</v>
      </c>
      <c r="I3756">
        <v>28</v>
      </c>
      <c r="J3756">
        <f>ABS((I3756-EDA!$A$15)/EDA!$B$15)</f>
        <v>0.98661430822120777</v>
      </c>
      <c r="K3756" t="str">
        <f t="shared" si="58"/>
        <v>No</v>
      </c>
      <c r="L3756">
        <f>ABS((C3756-EDA!$F$15)/EDA!$G$15)</f>
        <v>0.22537552650939099</v>
      </c>
      <c r="M3756" t="str">
        <f>IF(moras[[#This Row],[Z-Score Salario]]&gt;1.96, "Sí", "No")</f>
        <v>No</v>
      </c>
      <c r="N3756" s="14">
        <f>IF(ISBLANK(moras[[#This Row],[SALARIO]]), EDA!$M$8, moras[[#This Row],[SALARIO]])</f>
        <v>36118029</v>
      </c>
      <c r="O3756" s="14">
        <f xml:space="preserve"> IF(ISBLANK(moras[[#This Row],[EDAD]]), EDA!$E$8, moras[[#This Row],[EDAD]])</f>
        <v>28</v>
      </c>
      <c r="P3756" s="14" t="str">
        <f>IF(
    OR(ISBLANK(moras[[#This Row],[TIPO_ASEGURAMIENTO]]), moras[[#This Row],[TIPO_ASEGURAMIENTO]]=""),
    EDA!$A$32,
    moras[[#This Row],[TIPO_ASEGURAMIENTO]]
)</f>
        <v>ASALARIADO</v>
      </c>
    </row>
    <row r="3757" spans="1:16" x14ac:dyDescent="0.3">
      <c r="A3757">
        <v>3756</v>
      </c>
      <c r="B3757" t="s">
        <v>9</v>
      </c>
      <c r="C3757">
        <v>330000</v>
      </c>
      <c r="D3757" t="s">
        <v>10</v>
      </c>
      <c r="E3757" t="s">
        <v>16</v>
      </c>
      <c r="F3757" t="s">
        <v>12</v>
      </c>
      <c r="G3757" t="s">
        <v>13</v>
      </c>
      <c r="H3757" t="s">
        <v>13</v>
      </c>
      <c r="I3757">
        <v>33</v>
      </c>
      <c r="J3757">
        <f>ABS((I3757-EDA!$A$15)/EDA!$B$15)</f>
        <v>0.63373765783552027</v>
      </c>
      <c r="K3757" t="str">
        <f t="shared" si="58"/>
        <v>No</v>
      </c>
      <c r="L3757">
        <f>ABS((C3757-EDA!$F$15)/EDA!$G$15)</f>
        <v>0.37016253925679304</v>
      </c>
      <c r="M3757" t="str">
        <f>IF(moras[[#This Row],[Z-Score Salario]]&gt;1.96, "Sí", "No")</f>
        <v>No</v>
      </c>
      <c r="N3757" s="14">
        <f>IF(ISBLANK(moras[[#This Row],[SALARIO]]), EDA!$M$8, moras[[#This Row],[SALARIO]])</f>
        <v>330000</v>
      </c>
      <c r="O3757" s="14">
        <f xml:space="preserve"> IF(ISBLANK(moras[[#This Row],[EDAD]]), EDA!$E$8, moras[[#This Row],[EDAD]])</f>
        <v>33</v>
      </c>
      <c r="P3757" s="14" t="str">
        <f>IF(
    OR(ISBLANK(moras[[#This Row],[TIPO_ASEGURAMIENTO]]), moras[[#This Row],[TIPO_ASEGURAMIENTO]]=""),
    EDA!$A$32,
    moras[[#This Row],[TIPO_ASEGURAMIENTO]]
)</f>
        <v>ASALARIADO</v>
      </c>
    </row>
    <row r="3758" spans="1:16" x14ac:dyDescent="0.3">
      <c r="A3758">
        <v>3757</v>
      </c>
      <c r="B3758" t="s">
        <v>15</v>
      </c>
      <c r="C3758">
        <v>35954427</v>
      </c>
      <c r="D3758" t="s">
        <v>21</v>
      </c>
      <c r="E3758" t="s">
        <v>16</v>
      </c>
      <c r="F3758" t="s">
        <v>12</v>
      </c>
      <c r="G3758" t="s">
        <v>12</v>
      </c>
      <c r="H3758" t="s">
        <v>13</v>
      </c>
      <c r="I3758">
        <v>40</v>
      </c>
      <c r="J3758">
        <f>ABS((I3758-EDA!$A$15)/EDA!$B$15)</f>
        <v>0.13971034729555773</v>
      </c>
      <c r="K3758" t="str">
        <f t="shared" si="58"/>
        <v>No</v>
      </c>
      <c r="L3758">
        <f>ABS((C3758-EDA!$F$15)/EDA!$G$15)</f>
        <v>0.22265307374074372</v>
      </c>
      <c r="M3758" t="str">
        <f>IF(moras[[#This Row],[Z-Score Salario]]&gt;1.96, "Sí", "No")</f>
        <v>No</v>
      </c>
      <c r="N3758" s="14">
        <f>IF(ISBLANK(moras[[#This Row],[SALARIO]]), EDA!$M$8, moras[[#This Row],[SALARIO]])</f>
        <v>35954427</v>
      </c>
      <c r="O3758" s="14">
        <f xml:space="preserve"> IF(ISBLANK(moras[[#This Row],[EDAD]]), EDA!$E$8, moras[[#This Row],[EDAD]])</f>
        <v>40</v>
      </c>
      <c r="P3758" s="14" t="str">
        <f>IF(
    OR(ISBLANK(moras[[#This Row],[TIPO_ASEGURAMIENTO]]), moras[[#This Row],[TIPO_ASEGURAMIENTO]]=""),
    EDA!$A$32,
    moras[[#This Row],[TIPO_ASEGURAMIENTO]]
)</f>
        <v>CONVENIOS ESPECIALES DE ASEGURADOS VOLUNTARIOS</v>
      </c>
    </row>
    <row r="3759" spans="1:16" x14ac:dyDescent="0.3">
      <c r="A3759">
        <v>3758</v>
      </c>
      <c r="B3759" t="s">
        <v>15</v>
      </c>
      <c r="C3759">
        <v>204800</v>
      </c>
      <c r="D3759" t="s">
        <v>10</v>
      </c>
      <c r="E3759" t="s">
        <v>16</v>
      </c>
      <c r="F3759" t="s">
        <v>12</v>
      </c>
      <c r="G3759" t="s">
        <v>13</v>
      </c>
      <c r="H3759" t="s">
        <v>12</v>
      </c>
      <c r="I3759">
        <v>31</v>
      </c>
      <c r="J3759">
        <f>ABS((I3759-EDA!$A$15)/EDA!$B$15)</f>
        <v>0.77488831798979529</v>
      </c>
      <c r="K3759" t="str">
        <f t="shared" si="58"/>
        <v>No</v>
      </c>
      <c r="L3759">
        <f>ABS((C3759-EDA!$F$15)/EDA!$G$15)</f>
        <v>0.37224595563700014</v>
      </c>
      <c r="M3759" t="str">
        <f>IF(moras[[#This Row],[Z-Score Salario]]&gt;1.96, "Sí", "No")</f>
        <v>No</v>
      </c>
      <c r="N3759" s="14">
        <f>IF(ISBLANK(moras[[#This Row],[SALARIO]]), EDA!$M$8, moras[[#This Row],[SALARIO]])</f>
        <v>204800</v>
      </c>
      <c r="O3759" s="14">
        <f xml:space="preserve"> IF(ISBLANK(moras[[#This Row],[EDAD]]), EDA!$E$8, moras[[#This Row],[EDAD]])</f>
        <v>31</v>
      </c>
      <c r="P3759" s="14" t="str">
        <f>IF(
    OR(ISBLANK(moras[[#This Row],[TIPO_ASEGURAMIENTO]]), moras[[#This Row],[TIPO_ASEGURAMIENTO]]=""),
    EDA!$A$32,
    moras[[#This Row],[TIPO_ASEGURAMIENTO]]
)</f>
        <v>ASALARIADO</v>
      </c>
    </row>
    <row r="3760" spans="1:16" x14ac:dyDescent="0.3">
      <c r="A3760">
        <v>3759</v>
      </c>
      <c r="B3760" t="s">
        <v>9</v>
      </c>
      <c r="C3760">
        <v>55315981</v>
      </c>
      <c r="D3760" t="s">
        <v>10</v>
      </c>
      <c r="E3760" t="s">
        <v>16</v>
      </c>
      <c r="F3760" t="s">
        <v>12</v>
      </c>
      <c r="G3760" t="s">
        <v>13</v>
      </c>
      <c r="H3760" t="s">
        <v>13</v>
      </c>
      <c r="I3760">
        <v>21</v>
      </c>
      <c r="J3760">
        <f>ABS((I3760-EDA!$A$15)/EDA!$B$15)</f>
        <v>1.4806416187611704</v>
      </c>
      <c r="K3760" t="str">
        <f t="shared" si="58"/>
        <v>No</v>
      </c>
      <c r="L3760">
        <f>ABS((C3760-EDA!$F$15)/EDA!$G$15)</f>
        <v>0.54484299985786866</v>
      </c>
      <c r="M3760" t="str">
        <f>IF(moras[[#This Row],[Z-Score Salario]]&gt;1.96, "Sí", "No")</f>
        <v>No</v>
      </c>
      <c r="N3760" s="14">
        <f>IF(ISBLANK(moras[[#This Row],[SALARIO]]), EDA!$M$8, moras[[#This Row],[SALARIO]])</f>
        <v>55315981</v>
      </c>
      <c r="O3760" s="14">
        <f xml:space="preserve"> IF(ISBLANK(moras[[#This Row],[EDAD]]), EDA!$E$8, moras[[#This Row],[EDAD]])</f>
        <v>21</v>
      </c>
      <c r="P3760" s="14" t="str">
        <f>IF(
    OR(ISBLANK(moras[[#This Row],[TIPO_ASEGURAMIENTO]]), moras[[#This Row],[TIPO_ASEGURAMIENTO]]=""),
    EDA!$A$32,
    moras[[#This Row],[TIPO_ASEGURAMIENTO]]
)</f>
        <v>ASALARIADO</v>
      </c>
    </row>
    <row r="3761" spans="1:16" x14ac:dyDescent="0.3">
      <c r="A3761">
        <v>3760</v>
      </c>
      <c r="B3761" t="s">
        <v>9</v>
      </c>
      <c r="C3761">
        <v>370000</v>
      </c>
      <c r="D3761" t="s">
        <v>10</v>
      </c>
      <c r="E3761" t="s">
        <v>16</v>
      </c>
      <c r="F3761" t="s">
        <v>12</v>
      </c>
      <c r="G3761" t="s">
        <v>13</v>
      </c>
      <c r="H3761" t="s">
        <v>13</v>
      </c>
      <c r="I3761">
        <v>21</v>
      </c>
      <c r="J3761">
        <f>ABS((I3761-EDA!$A$15)/EDA!$B$15)</f>
        <v>1.4806416187611704</v>
      </c>
      <c r="K3761" t="str">
        <f t="shared" si="58"/>
        <v>No</v>
      </c>
      <c r="L3761">
        <f>ABS((C3761-EDA!$F$15)/EDA!$G$15)</f>
        <v>0.36949691102030513</v>
      </c>
      <c r="M3761" t="str">
        <f>IF(moras[[#This Row],[Z-Score Salario]]&gt;1.96, "Sí", "No")</f>
        <v>No</v>
      </c>
      <c r="N3761" s="14">
        <f>IF(ISBLANK(moras[[#This Row],[SALARIO]]), EDA!$M$8, moras[[#This Row],[SALARIO]])</f>
        <v>370000</v>
      </c>
      <c r="O3761" s="14">
        <f xml:space="preserve"> IF(ISBLANK(moras[[#This Row],[EDAD]]), EDA!$E$8, moras[[#This Row],[EDAD]])</f>
        <v>21</v>
      </c>
      <c r="P3761" s="14" t="str">
        <f>IF(
    OR(ISBLANK(moras[[#This Row],[TIPO_ASEGURAMIENTO]]), moras[[#This Row],[TIPO_ASEGURAMIENTO]]=""),
    EDA!$A$32,
    moras[[#This Row],[TIPO_ASEGURAMIENTO]]
)</f>
        <v>ASALARIADO</v>
      </c>
    </row>
    <row r="3762" spans="1:16" x14ac:dyDescent="0.3">
      <c r="A3762">
        <v>3761</v>
      </c>
      <c r="B3762" t="s">
        <v>15</v>
      </c>
      <c r="C3762">
        <v>64074544</v>
      </c>
      <c r="D3762" t="s">
        <v>10</v>
      </c>
      <c r="E3762" t="s">
        <v>16</v>
      </c>
      <c r="F3762" t="s">
        <v>12</v>
      </c>
      <c r="G3762" t="s">
        <v>13</v>
      </c>
      <c r="H3762" t="s">
        <v>13</v>
      </c>
      <c r="I3762">
        <v>43</v>
      </c>
      <c r="J3762">
        <f>ABS((I3762-EDA!$A$15)/EDA!$B$15)</f>
        <v>7.2015642935854773E-2</v>
      </c>
      <c r="K3762" t="str">
        <f t="shared" si="58"/>
        <v>No</v>
      </c>
      <c r="L3762">
        <f>ABS((C3762-EDA!$F$15)/EDA!$G$15)</f>
        <v>0.69059167095432006</v>
      </c>
      <c r="M3762" t="str">
        <f>IF(moras[[#This Row],[Z-Score Salario]]&gt;1.96, "Sí", "No")</f>
        <v>No</v>
      </c>
      <c r="N3762" s="14">
        <f>IF(ISBLANK(moras[[#This Row],[SALARIO]]), EDA!$M$8, moras[[#This Row],[SALARIO]])</f>
        <v>64074544</v>
      </c>
      <c r="O3762" s="14">
        <f xml:space="preserve"> IF(ISBLANK(moras[[#This Row],[EDAD]]), EDA!$E$8, moras[[#This Row],[EDAD]])</f>
        <v>43</v>
      </c>
      <c r="P3762" s="14" t="str">
        <f>IF(
    OR(ISBLANK(moras[[#This Row],[TIPO_ASEGURAMIENTO]]), moras[[#This Row],[TIPO_ASEGURAMIENTO]]=""),
    EDA!$A$32,
    moras[[#This Row],[TIPO_ASEGURAMIENTO]]
)</f>
        <v>ASALARIADO</v>
      </c>
    </row>
    <row r="3763" spans="1:16" x14ac:dyDescent="0.3">
      <c r="A3763">
        <v>3762</v>
      </c>
      <c r="B3763" t="s">
        <v>9</v>
      </c>
      <c r="C3763">
        <v>3081665</v>
      </c>
      <c r="D3763" t="s">
        <v>10</v>
      </c>
      <c r="E3763" t="s">
        <v>11</v>
      </c>
      <c r="F3763" t="s">
        <v>12</v>
      </c>
      <c r="G3763" t="s">
        <v>13</v>
      </c>
      <c r="H3763" t="s">
        <v>13</v>
      </c>
      <c r="I3763">
        <v>52</v>
      </c>
      <c r="J3763">
        <f>ABS((I3763-EDA!$A$15)/EDA!$B$15)</f>
        <v>0.70719361363009237</v>
      </c>
      <c r="K3763" t="str">
        <f t="shared" si="58"/>
        <v>No</v>
      </c>
      <c r="L3763">
        <f>ABS((C3763-EDA!$F$15)/EDA!$G$15)</f>
        <v>0.32437289122290697</v>
      </c>
      <c r="M3763" t="str">
        <f>IF(moras[[#This Row],[Z-Score Salario]]&gt;1.96, "Sí", "No")</f>
        <v>No</v>
      </c>
      <c r="N3763" s="14">
        <f>IF(ISBLANK(moras[[#This Row],[SALARIO]]), EDA!$M$8, moras[[#This Row],[SALARIO]])</f>
        <v>3081665</v>
      </c>
      <c r="O3763" s="14">
        <f xml:space="preserve"> IF(ISBLANK(moras[[#This Row],[EDAD]]), EDA!$E$8, moras[[#This Row],[EDAD]])</f>
        <v>52</v>
      </c>
      <c r="P3763" s="14" t="str">
        <f>IF(
    OR(ISBLANK(moras[[#This Row],[TIPO_ASEGURAMIENTO]]), moras[[#This Row],[TIPO_ASEGURAMIENTO]]=""),
    EDA!$A$32,
    moras[[#This Row],[TIPO_ASEGURAMIENTO]]
)</f>
        <v>ASALARIADO</v>
      </c>
    </row>
    <row r="3764" spans="1:16" x14ac:dyDescent="0.3">
      <c r="A3764">
        <v>3763</v>
      </c>
      <c r="B3764" t="s">
        <v>9</v>
      </c>
      <c r="C3764">
        <v>486069</v>
      </c>
      <c r="D3764" t="s">
        <v>18</v>
      </c>
      <c r="E3764" t="s">
        <v>16</v>
      </c>
      <c r="F3764" t="s">
        <v>12</v>
      </c>
      <c r="G3764" t="s">
        <v>13</v>
      </c>
      <c r="H3764" t="s">
        <v>12</v>
      </c>
      <c r="I3764">
        <v>48</v>
      </c>
      <c r="J3764">
        <f>ABS((I3764-EDA!$A$15)/EDA!$B$15)</f>
        <v>0.42489229332154227</v>
      </c>
      <c r="K3764" t="str">
        <f t="shared" si="58"/>
        <v>No</v>
      </c>
      <c r="L3764">
        <f>ABS((C3764-EDA!$F$15)/EDA!$G$15)</f>
        <v>0.36756544092578236</v>
      </c>
      <c r="M3764" t="str">
        <f>IF(moras[[#This Row],[Z-Score Salario]]&gt;1.96, "Sí", "No")</f>
        <v>No</v>
      </c>
      <c r="N3764" s="14">
        <f>IF(ISBLANK(moras[[#This Row],[SALARIO]]), EDA!$M$8, moras[[#This Row],[SALARIO]])</f>
        <v>486069</v>
      </c>
      <c r="O3764" s="14">
        <f xml:space="preserve"> IF(ISBLANK(moras[[#This Row],[EDAD]]), EDA!$E$8, moras[[#This Row],[EDAD]])</f>
        <v>48</v>
      </c>
      <c r="P3764" s="14" t="str">
        <f>IF(
    OR(ISBLANK(moras[[#This Row],[TIPO_ASEGURAMIENTO]]), moras[[#This Row],[TIPO_ASEGURAMIENTO]]=""),
    EDA!$A$32,
    moras[[#This Row],[TIPO_ASEGURAMIENTO]]
)</f>
        <v>TRABAJADOR INDEPENDIENTE</v>
      </c>
    </row>
    <row r="3765" spans="1:16" x14ac:dyDescent="0.3">
      <c r="A3765">
        <v>3764</v>
      </c>
      <c r="B3765" t="s">
        <v>15</v>
      </c>
      <c r="C3765">
        <v>100900</v>
      </c>
      <c r="D3765" t="s">
        <v>10</v>
      </c>
      <c r="E3765" t="s">
        <v>16</v>
      </c>
      <c r="F3765" t="s">
        <v>12</v>
      </c>
      <c r="G3765" t="s">
        <v>12</v>
      </c>
      <c r="H3765" t="s">
        <v>13</v>
      </c>
      <c r="I3765">
        <v>62</v>
      </c>
      <c r="J3765">
        <f>ABS((I3765-EDA!$A$15)/EDA!$B$15)</f>
        <v>1.4129469144014672</v>
      </c>
      <c r="K3765" t="str">
        <f t="shared" si="58"/>
        <v>No</v>
      </c>
      <c r="L3765">
        <f>ABS((C3765-EDA!$F$15)/EDA!$G$15)</f>
        <v>0.37397492498127743</v>
      </c>
      <c r="M3765" t="str">
        <f>IF(moras[[#This Row],[Z-Score Salario]]&gt;1.96, "Sí", "No")</f>
        <v>No</v>
      </c>
      <c r="N3765" s="14">
        <f>IF(ISBLANK(moras[[#This Row],[SALARIO]]), EDA!$M$8, moras[[#This Row],[SALARIO]])</f>
        <v>100900</v>
      </c>
      <c r="O3765" s="14">
        <f xml:space="preserve"> IF(ISBLANK(moras[[#This Row],[EDAD]]), EDA!$E$8, moras[[#This Row],[EDAD]])</f>
        <v>62</v>
      </c>
      <c r="P3765" s="14" t="str">
        <f>IF(
    OR(ISBLANK(moras[[#This Row],[TIPO_ASEGURAMIENTO]]), moras[[#This Row],[TIPO_ASEGURAMIENTO]]=""),
    EDA!$A$32,
    moras[[#This Row],[TIPO_ASEGURAMIENTO]]
)</f>
        <v>ASALARIADO</v>
      </c>
    </row>
    <row r="3766" spans="1:16" x14ac:dyDescent="0.3">
      <c r="A3766">
        <v>3765</v>
      </c>
      <c r="B3766" t="s">
        <v>15</v>
      </c>
      <c r="C3766">
        <v>158920</v>
      </c>
      <c r="D3766" t="s">
        <v>10</v>
      </c>
      <c r="E3766" t="s">
        <v>16</v>
      </c>
      <c r="F3766" t="s">
        <v>12</v>
      </c>
      <c r="G3766" t="s">
        <v>13</v>
      </c>
      <c r="H3766" t="s">
        <v>13</v>
      </c>
      <c r="I3766">
        <v>39</v>
      </c>
      <c r="J3766">
        <f>ABS((I3766-EDA!$A$15)/EDA!$B$15)</f>
        <v>0.21028567737269524</v>
      </c>
      <c r="K3766" t="str">
        <f t="shared" si="58"/>
        <v>No</v>
      </c>
      <c r="L3766">
        <f>ABS((C3766-EDA!$F$15)/EDA!$G$15)</f>
        <v>0.37300943122425173</v>
      </c>
      <c r="M3766" t="str">
        <f>IF(moras[[#This Row],[Z-Score Salario]]&gt;1.96, "Sí", "No")</f>
        <v>No</v>
      </c>
      <c r="N3766" s="14">
        <f>IF(ISBLANK(moras[[#This Row],[SALARIO]]), EDA!$M$8, moras[[#This Row],[SALARIO]])</f>
        <v>158920</v>
      </c>
      <c r="O3766" s="14">
        <f xml:space="preserve"> IF(ISBLANK(moras[[#This Row],[EDAD]]), EDA!$E$8, moras[[#This Row],[EDAD]])</f>
        <v>39</v>
      </c>
      <c r="P3766" s="14" t="str">
        <f>IF(
    OR(ISBLANK(moras[[#This Row],[TIPO_ASEGURAMIENTO]]), moras[[#This Row],[TIPO_ASEGURAMIENTO]]=""),
    EDA!$A$32,
    moras[[#This Row],[TIPO_ASEGURAMIENTO]]
)</f>
        <v>ASALARIADO</v>
      </c>
    </row>
    <row r="3767" spans="1:16" x14ac:dyDescent="0.3">
      <c r="A3767">
        <v>3766</v>
      </c>
      <c r="B3767" t="s">
        <v>9</v>
      </c>
      <c r="C3767">
        <v>297046</v>
      </c>
      <c r="D3767" t="s">
        <v>17</v>
      </c>
      <c r="E3767" t="s">
        <v>16</v>
      </c>
      <c r="F3767" t="s">
        <v>12</v>
      </c>
      <c r="G3767" t="s">
        <v>12</v>
      </c>
      <c r="H3767" t="s">
        <v>13</v>
      </c>
      <c r="I3767">
        <v>50</v>
      </c>
      <c r="J3767">
        <f>ABS((I3767-EDA!$A$15)/EDA!$B$15)</f>
        <v>0.56604295347581735</v>
      </c>
      <c r="K3767" t="str">
        <f t="shared" si="58"/>
        <v>No</v>
      </c>
      <c r="L3767">
        <f>ABS((C3767-EDA!$F$15)/EDA!$G$15)</f>
        <v>0.37071091707942361</v>
      </c>
      <c r="M3767" t="str">
        <f>IF(moras[[#This Row],[Z-Score Salario]]&gt;1.96, "Sí", "No")</f>
        <v>No</v>
      </c>
      <c r="N3767" s="14">
        <f>IF(ISBLANK(moras[[#This Row],[SALARIO]]), EDA!$M$8, moras[[#This Row],[SALARIO]])</f>
        <v>297046</v>
      </c>
      <c r="O3767" s="14">
        <f xml:space="preserve"> IF(ISBLANK(moras[[#This Row],[EDAD]]), EDA!$E$8, moras[[#This Row],[EDAD]])</f>
        <v>50</v>
      </c>
      <c r="P3767" s="14" t="str">
        <f>IF(
    OR(ISBLANK(moras[[#This Row],[TIPO_ASEGURAMIENTO]]), moras[[#This Row],[TIPO_ASEGURAMIENTO]]=""),
    EDA!$A$32,
    moras[[#This Row],[TIPO_ASEGURAMIENTO]]
)</f>
        <v>ASEGURADO VOLUNTARIO</v>
      </c>
    </row>
    <row r="3768" spans="1:16" x14ac:dyDescent="0.3">
      <c r="A3768">
        <v>3767</v>
      </c>
      <c r="B3768" t="s">
        <v>15</v>
      </c>
      <c r="C3768">
        <v>297046</v>
      </c>
      <c r="D3768" t="s">
        <v>18</v>
      </c>
      <c r="E3768" t="s">
        <v>16</v>
      </c>
      <c r="F3768" t="s">
        <v>12</v>
      </c>
      <c r="G3768" t="s">
        <v>13</v>
      </c>
      <c r="H3768" t="s">
        <v>12</v>
      </c>
      <c r="I3768">
        <v>39</v>
      </c>
      <c r="J3768">
        <f>ABS((I3768-EDA!$A$15)/EDA!$B$15)</f>
        <v>0.21028567737269524</v>
      </c>
      <c r="K3768" t="str">
        <f t="shared" si="58"/>
        <v>No</v>
      </c>
      <c r="L3768">
        <f>ABS((C3768-EDA!$F$15)/EDA!$G$15)</f>
        <v>0.37071091707942361</v>
      </c>
      <c r="M3768" t="str">
        <f>IF(moras[[#This Row],[Z-Score Salario]]&gt;1.96, "Sí", "No")</f>
        <v>No</v>
      </c>
      <c r="N3768" s="14">
        <f>IF(ISBLANK(moras[[#This Row],[SALARIO]]), EDA!$M$8, moras[[#This Row],[SALARIO]])</f>
        <v>297046</v>
      </c>
      <c r="O3768" s="14">
        <f xml:space="preserve"> IF(ISBLANK(moras[[#This Row],[EDAD]]), EDA!$E$8, moras[[#This Row],[EDAD]])</f>
        <v>39</v>
      </c>
      <c r="P3768" s="14" t="str">
        <f>IF(
    OR(ISBLANK(moras[[#This Row],[TIPO_ASEGURAMIENTO]]), moras[[#This Row],[TIPO_ASEGURAMIENTO]]=""),
    EDA!$A$32,
    moras[[#This Row],[TIPO_ASEGURAMIENTO]]
)</f>
        <v>TRABAJADOR INDEPENDIENTE</v>
      </c>
    </row>
    <row r="3769" spans="1:16" x14ac:dyDescent="0.3">
      <c r="A3769">
        <v>3768</v>
      </c>
      <c r="B3769" t="s">
        <v>15</v>
      </c>
      <c r="C3769">
        <v>2485588</v>
      </c>
      <c r="D3769" t="s">
        <v>10</v>
      </c>
      <c r="E3769" t="s">
        <v>16</v>
      </c>
      <c r="F3769" t="s">
        <v>12</v>
      </c>
      <c r="G3769" t="s">
        <v>13</v>
      </c>
      <c r="H3769" t="s">
        <v>13</v>
      </c>
      <c r="I3769">
        <v>23</v>
      </c>
      <c r="J3769">
        <f>ABS((I3769-EDA!$A$15)/EDA!$B$15)</f>
        <v>1.3394909586068953</v>
      </c>
      <c r="K3769" t="str">
        <f t="shared" si="58"/>
        <v>No</v>
      </c>
      <c r="L3769">
        <f>ABS((C3769-EDA!$F$15)/EDA!$G$15)</f>
        <v>0.33429203328093177</v>
      </c>
      <c r="M3769" t="str">
        <f>IF(moras[[#This Row],[Z-Score Salario]]&gt;1.96, "Sí", "No")</f>
        <v>No</v>
      </c>
      <c r="N3769" s="14">
        <f>IF(ISBLANK(moras[[#This Row],[SALARIO]]), EDA!$M$8, moras[[#This Row],[SALARIO]])</f>
        <v>2485588</v>
      </c>
      <c r="O3769" s="14">
        <f xml:space="preserve"> IF(ISBLANK(moras[[#This Row],[EDAD]]), EDA!$E$8, moras[[#This Row],[EDAD]])</f>
        <v>23</v>
      </c>
      <c r="P3769" s="14" t="str">
        <f>IF(
    OR(ISBLANK(moras[[#This Row],[TIPO_ASEGURAMIENTO]]), moras[[#This Row],[TIPO_ASEGURAMIENTO]]=""),
    EDA!$A$32,
    moras[[#This Row],[TIPO_ASEGURAMIENTO]]
)</f>
        <v>ASALARIADO</v>
      </c>
    </row>
    <row r="3770" spans="1:16" x14ac:dyDescent="0.3">
      <c r="A3770">
        <v>3769</v>
      </c>
      <c r="B3770" t="s">
        <v>9</v>
      </c>
      <c r="C3770">
        <v>300000</v>
      </c>
      <c r="D3770" t="s">
        <v>10</v>
      </c>
      <c r="E3770" t="s">
        <v>16</v>
      </c>
      <c r="F3770" t="s">
        <v>12</v>
      </c>
      <c r="G3770" t="s">
        <v>13</v>
      </c>
      <c r="H3770" t="s">
        <v>13</v>
      </c>
      <c r="I3770">
        <v>22</v>
      </c>
      <c r="J3770">
        <f>ABS((I3770-EDA!$A$15)/EDA!$B$15)</f>
        <v>1.4100662886840327</v>
      </c>
      <c r="K3770" t="str">
        <f t="shared" si="58"/>
        <v>No</v>
      </c>
      <c r="L3770">
        <f>ABS((C3770-EDA!$F$15)/EDA!$G$15)</f>
        <v>0.37066176043415894</v>
      </c>
      <c r="M3770" t="str">
        <f>IF(moras[[#This Row],[Z-Score Salario]]&gt;1.96, "Sí", "No")</f>
        <v>No</v>
      </c>
      <c r="N3770" s="14">
        <f>IF(ISBLANK(moras[[#This Row],[SALARIO]]), EDA!$M$8, moras[[#This Row],[SALARIO]])</f>
        <v>300000</v>
      </c>
      <c r="O3770" s="14">
        <f xml:space="preserve"> IF(ISBLANK(moras[[#This Row],[EDAD]]), EDA!$E$8, moras[[#This Row],[EDAD]])</f>
        <v>22</v>
      </c>
      <c r="P3770" s="14" t="str">
        <f>IF(
    OR(ISBLANK(moras[[#This Row],[TIPO_ASEGURAMIENTO]]), moras[[#This Row],[TIPO_ASEGURAMIENTO]]=""),
    EDA!$A$32,
    moras[[#This Row],[TIPO_ASEGURAMIENTO]]
)</f>
        <v>ASALARIADO</v>
      </c>
    </row>
    <row r="3771" spans="1:16" x14ac:dyDescent="0.3">
      <c r="A3771">
        <v>3770</v>
      </c>
      <c r="B3771" t="s">
        <v>9</v>
      </c>
      <c r="C3771">
        <v>7190424</v>
      </c>
      <c r="D3771" t="s">
        <v>10</v>
      </c>
      <c r="E3771" t="s">
        <v>16</v>
      </c>
      <c r="F3771" t="s">
        <v>12</v>
      </c>
      <c r="G3771" t="s">
        <v>13</v>
      </c>
      <c r="H3771" t="s">
        <v>13</v>
      </c>
      <c r="I3771">
        <v>47</v>
      </c>
      <c r="J3771">
        <f>ABS((I3771-EDA!$A$15)/EDA!$B$15)</f>
        <v>0.35431696324440481</v>
      </c>
      <c r="K3771" t="str">
        <f t="shared" si="58"/>
        <v>No</v>
      </c>
      <c r="L3771">
        <f>ABS((C3771-EDA!$F$15)/EDA!$G$15)</f>
        <v>0.25600024103981361</v>
      </c>
      <c r="M3771" t="str">
        <f>IF(moras[[#This Row],[Z-Score Salario]]&gt;1.96, "Sí", "No")</f>
        <v>No</v>
      </c>
      <c r="N3771" s="14">
        <f>IF(ISBLANK(moras[[#This Row],[SALARIO]]), EDA!$M$8, moras[[#This Row],[SALARIO]])</f>
        <v>7190424</v>
      </c>
      <c r="O3771" s="14">
        <f xml:space="preserve"> IF(ISBLANK(moras[[#This Row],[EDAD]]), EDA!$E$8, moras[[#This Row],[EDAD]])</f>
        <v>47</v>
      </c>
      <c r="P3771" s="14" t="str">
        <f>IF(
    OR(ISBLANK(moras[[#This Row],[TIPO_ASEGURAMIENTO]]), moras[[#This Row],[TIPO_ASEGURAMIENTO]]=""),
    EDA!$A$32,
    moras[[#This Row],[TIPO_ASEGURAMIENTO]]
)</f>
        <v>ASALARIADO</v>
      </c>
    </row>
    <row r="3772" spans="1:16" x14ac:dyDescent="0.3">
      <c r="A3772">
        <v>3771</v>
      </c>
      <c r="B3772" t="s">
        <v>9</v>
      </c>
      <c r="C3772">
        <v>1450000</v>
      </c>
      <c r="D3772" t="s">
        <v>10</v>
      </c>
      <c r="E3772" t="s">
        <v>16</v>
      </c>
      <c r="F3772" t="s">
        <v>12</v>
      </c>
      <c r="G3772" t="s">
        <v>13</v>
      </c>
      <c r="H3772" t="s">
        <v>13</v>
      </c>
      <c r="I3772">
        <v>40</v>
      </c>
      <c r="J3772">
        <f>ABS((I3772-EDA!$A$15)/EDA!$B$15)</f>
        <v>0.13971034729555773</v>
      </c>
      <c r="K3772" t="str">
        <f t="shared" si="58"/>
        <v>No</v>
      </c>
      <c r="L3772">
        <f>ABS((C3772-EDA!$F$15)/EDA!$G$15)</f>
        <v>0.35152494863513217</v>
      </c>
      <c r="M3772" t="str">
        <f>IF(moras[[#This Row],[Z-Score Salario]]&gt;1.96, "Sí", "No")</f>
        <v>No</v>
      </c>
      <c r="N3772" s="14">
        <f>IF(ISBLANK(moras[[#This Row],[SALARIO]]), EDA!$M$8, moras[[#This Row],[SALARIO]])</f>
        <v>1450000</v>
      </c>
      <c r="O3772" s="14">
        <f xml:space="preserve"> IF(ISBLANK(moras[[#This Row],[EDAD]]), EDA!$E$8, moras[[#This Row],[EDAD]])</f>
        <v>40</v>
      </c>
      <c r="P3772" s="14" t="str">
        <f>IF(
    OR(ISBLANK(moras[[#This Row],[TIPO_ASEGURAMIENTO]]), moras[[#This Row],[TIPO_ASEGURAMIENTO]]=""),
    EDA!$A$32,
    moras[[#This Row],[TIPO_ASEGURAMIENTO]]
)</f>
        <v>ASALARIADO</v>
      </c>
    </row>
    <row r="3773" spans="1:16" x14ac:dyDescent="0.3">
      <c r="A3773">
        <v>3772</v>
      </c>
      <c r="B3773" t="s">
        <v>15</v>
      </c>
      <c r="C3773">
        <v>297046</v>
      </c>
      <c r="D3773" t="s">
        <v>18</v>
      </c>
      <c r="E3773" t="s">
        <v>16</v>
      </c>
      <c r="F3773" t="s">
        <v>12</v>
      </c>
      <c r="G3773" t="s">
        <v>12</v>
      </c>
      <c r="H3773" t="s">
        <v>13</v>
      </c>
      <c r="I3773">
        <v>48</v>
      </c>
      <c r="J3773">
        <f>ABS((I3773-EDA!$A$15)/EDA!$B$15)</f>
        <v>0.42489229332154227</v>
      </c>
      <c r="K3773" t="str">
        <f t="shared" si="58"/>
        <v>No</v>
      </c>
      <c r="L3773">
        <f>ABS((C3773-EDA!$F$15)/EDA!$G$15)</f>
        <v>0.37071091707942361</v>
      </c>
      <c r="M3773" t="str">
        <f>IF(moras[[#This Row],[Z-Score Salario]]&gt;1.96, "Sí", "No")</f>
        <v>No</v>
      </c>
      <c r="N3773" s="14">
        <f>IF(ISBLANK(moras[[#This Row],[SALARIO]]), EDA!$M$8, moras[[#This Row],[SALARIO]])</f>
        <v>297046</v>
      </c>
      <c r="O3773" s="14">
        <f xml:space="preserve"> IF(ISBLANK(moras[[#This Row],[EDAD]]), EDA!$E$8, moras[[#This Row],[EDAD]])</f>
        <v>48</v>
      </c>
      <c r="P3773" s="14" t="str">
        <f>IF(
    OR(ISBLANK(moras[[#This Row],[TIPO_ASEGURAMIENTO]]), moras[[#This Row],[TIPO_ASEGURAMIENTO]]=""),
    EDA!$A$32,
    moras[[#This Row],[TIPO_ASEGURAMIENTO]]
)</f>
        <v>TRABAJADOR INDEPENDIENTE</v>
      </c>
    </row>
    <row r="3774" spans="1:16" x14ac:dyDescent="0.3">
      <c r="A3774">
        <v>3773</v>
      </c>
      <c r="B3774" t="s">
        <v>9</v>
      </c>
      <c r="C3774">
        <v>343798</v>
      </c>
      <c r="D3774" t="s">
        <v>10</v>
      </c>
      <c r="E3774" t="s">
        <v>16</v>
      </c>
      <c r="F3774" t="s">
        <v>12</v>
      </c>
      <c r="G3774" t="s">
        <v>13</v>
      </c>
      <c r="H3774" t="s">
        <v>13</v>
      </c>
      <c r="I3774">
        <v>62</v>
      </c>
      <c r="J3774">
        <f>ABS((I3774-EDA!$A$15)/EDA!$B$15)</f>
        <v>1.4129469144014672</v>
      </c>
      <c r="K3774" t="str">
        <f t="shared" si="58"/>
        <v>No</v>
      </c>
      <c r="L3774">
        <f>ABS((C3774-EDA!$F$15)/EDA!$G$15)</f>
        <v>0.36993293079661654</v>
      </c>
      <c r="M3774" t="str">
        <f>IF(moras[[#This Row],[Z-Score Salario]]&gt;1.96, "Sí", "No")</f>
        <v>No</v>
      </c>
      <c r="N3774" s="14">
        <f>IF(ISBLANK(moras[[#This Row],[SALARIO]]), EDA!$M$8, moras[[#This Row],[SALARIO]])</f>
        <v>343798</v>
      </c>
      <c r="O3774" s="14">
        <f xml:space="preserve"> IF(ISBLANK(moras[[#This Row],[EDAD]]), EDA!$E$8, moras[[#This Row],[EDAD]])</f>
        <v>62</v>
      </c>
      <c r="P3774" s="14" t="str">
        <f>IF(
    OR(ISBLANK(moras[[#This Row],[TIPO_ASEGURAMIENTO]]), moras[[#This Row],[TIPO_ASEGURAMIENTO]]=""),
    EDA!$A$32,
    moras[[#This Row],[TIPO_ASEGURAMIENTO]]
)</f>
        <v>ASALARIADO</v>
      </c>
    </row>
    <row r="3775" spans="1:16" x14ac:dyDescent="0.3">
      <c r="A3775">
        <v>3774</v>
      </c>
      <c r="B3775" t="s">
        <v>9</v>
      </c>
      <c r="C3775">
        <v>92730189</v>
      </c>
      <c r="D3775" t="s">
        <v>10</v>
      </c>
      <c r="E3775" t="s">
        <v>11</v>
      </c>
      <c r="F3775" t="s">
        <v>12</v>
      </c>
      <c r="G3775" t="s">
        <v>13</v>
      </c>
      <c r="H3775" t="s">
        <v>13</v>
      </c>
      <c r="I3775">
        <v>37</v>
      </c>
      <c r="J3775">
        <f>ABS((I3775-EDA!$A$15)/EDA!$B$15)</f>
        <v>0.35143633752697023</v>
      </c>
      <c r="K3775" t="str">
        <f t="shared" si="58"/>
        <v>No</v>
      </c>
      <c r="L3775">
        <f>ABS((C3775-EDA!$F$15)/EDA!$G$15)</f>
        <v>1.1674418321236435</v>
      </c>
      <c r="M3775" t="str">
        <f>IF(moras[[#This Row],[Z-Score Salario]]&gt;1.96, "Sí", "No")</f>
        <v>No</v>
      </c>
      <c r="N3775" s="14">
        <f>IF(ISBLANK(moras[[#This Row],[SALARIO]]), EDA!$M$8, moras[[#This Row],[SALARIO]])</f>
        <v>92730189</v>
      </c>
      <c r="O3775" s="14">
        <f xml:space="preserve"> IF(ISBLANK(moras[[#This Row],[EDAD]]), EDA!$E$8, moras[[#This Row],[EDAD]])</f>
        <v>37</v>
      </c>
      <c r="P3775" s="14" t="str">
        <f>IF(
    OR(ISBLANK(moras[[#This Row],[TIPO_ASEGURAMIENTO]]), moras[[#This Row],[TIPO_ASEGURAMIENTO]]=""),
    EDA!$A$32,
    moras[[#This Row],[TIPO_ASEGURAMIENTO]]
)</f>
        <v>ASALARIADO</v>
      </c>
    </row>
    <row r="3776" spans="1:16" x14ac:dyDescent="0.3">
      <c r="A3776">
        <v>3775</v>
      </c>
      <c r="B3776" t="s">
        <v>9</v>
      </c>
      <c r="C3776">
        <v>67045576</v>
      </c>
      <c r="D3776" t="s">
        <v>10</v>
      </c>
      <c r="E3776" t="s">
        <v>16</v>
      </c>
      <c r="F3776" t="s">
        <v>12</v>
      </c>
      <c r="G3776" t="s">
        <v>13</v>
      </c>
      <c r="H3776" t="s">
        <v>13</v>
      </c>
      <c r="I3776">
        <v>33</v>
      </c>
      <c r="J3776">
        <f>ABS((I3776-EDA!$A$15)/EDA!$B$15)</f>
        <v>0.63373765783552027</v>
      </c>
      <c r="K3776" t="str">
        <f t="shared" si="58"/>
        <v>No</v>
      </c>
      <c r="L3776">
        <f>ABS((C3776-EDA!$F$15)/EDA!$G$15)</f>
        <v>0.74003174072204703</v>
      </c>
      <c r="M3776" t="str">
        <f>IF(moras[[#This Row],[Z-Score Salario]]&gt;1.96, "Sí", "No")</f>
        <v>No</v>
      </c>
      <c r="N3776" s="14">
        <f>IF(ISBLANK(moras[[#This Row],[SALARIO]]), EDA!$M$8, moras[[#This Row],[SALARIO]])</f>
        <v>67045576</v>
      </c>
      <c r="O3776" s="14">
        <f xml:space="preserve"> IF(ISBLANK(moras[[#This Row],[EDAD]]), EDA!$E$8, moras[[#This Row],[EDAD]])</f>
        <v>33</v>
      </c>
      <c r="P3776" s="14" t="str">
        <f>IF(
    OR(ISBLANK(moras[[#This Row],[TIPO_ASEGURAMIENTO]]), moras[[#This Row],[TIPO_ASEGURAMIENTO]]=""),
    EDA!$A$32,
    moras[[#This Row],[TIPO_ASEGURAMIENTO]]
)</f>
        <v>ASALARIADO</v>
      </c>
    </row>
    <row r="3777" spans="1:16" x14ac:dyDescent="0.3">
      <c r="A3777">
        <v>3776</v>
      </c>
      <c r="B3777" t="s">
        <v>9</v>
      </c>
      <c r="C3777">
        <v>55902246</v>
      </c>
      <c r="D3777" t="s">
        <v>10</v>
      </c>
      <c r="E3777" t="s">
        <v>16</v>
      </c>
      <c r="F3777" t="s">
        <v>12</v>
      </c>
      <c r="G3777" t="s">
        <v>13</v>
      </c>
      <c r="H3777" t="s">
        <v>13</v>
      </c>
      <c r="I3777">
        <v>38</v>
      </c>
      <c r="J3777">
        <f>ABS((I3777-EDA!$A$15)/EDA!$B$15)</f>
        <v>0.28086100744983278</v>
      </c>
      <c r="K3777" t="str">
        <f t="shared" si="58"/>
        <v>No</v>
      </c>
      <c r="L3777">
        <f>ABS((C3777-EDA!$F$15)/EDA!$G$15)</f>
        <v>0.55459886330948294</v>
      </c>
      <c r="M3777" t="str">
        <f>IF(moras[[#This Row],[Z-Score Salario]]&gt;1.96, "Sí", "No")</f>
        <v>No</v>
      </c>
      <c r="N3777" s="14">
        <f>IF(ISBLANK(moras[[#This Row],[SALARIO]]), EDA!$M$8, moras[[#This Row],[SALARIO]])</f>
        <v>55902246</v>
      </c>
      <c r="O3777" s="14">
        <f xml:space="preserve"> IF(ISBLANK(moras[[#This Row],[EDAD]]), EDA!$E$8, moras[[#This Row],[EDAD]])</f>
        <v>38</v>
      </c>
      <c r="P3777" s="14" t="str">
        <f>IF(
    OR(ISBLANK(moras[[#This Row],[TIPO_ASEGURAMIENTO]]), moras[[#This Row],[TIPO_ASEGURAMIENTO]]=""),
    EDA!$A$32,
    moras[[#This Row],[TIPO_ASEGURAMIENTO]]
)</f>
        <v>ASALARIADO</v>
      </c>
    </row>
    <row r="3778" spans="1:16" x14ac:dyDescent="0.3">
      <c r="A3778">
        <v>3777</v>
      </c>
      <c r="B3778" t="s">
        <v>9</v>
      </c>
      <c r="C3778">
        <v>581009</v>
      </c>
      <c r="D3778" t="s">
        <v>10</v>
      </c>
      <c r="E3778" t="s">
        <v>16</v>
      </c>
      <c r="F3778" t="s">
        <v>12</v>
      </c>
      <c r="G3778" t="s">
        <v>13</v>
      </c>
      <c r="H3778" t="s">
        <v>13</v>
      </c>
      <c r="I3778">
        <v>49</v>
      </c>
      <c r="J3778">
        <f>ABS((I3778-EDA!$A$15)/EDA!$B$15)</f>
        <v>0.49546762339867978</v>
      </c>
      <c r="K3778" t="str">
        <f t="shared" ref="K3778:K3841" si="59">IF(J3778 &gt;  1.96, "Sí","No")</f>
        <v>No</v>
      </c>
      <c r="L3778">
        <f>ABS((C3778-EDA!$F$15)/EDA!$G$15)</f>
        <v>0.36598557230647832</v>
      </c>
      <c r="M3778" t="str">
        <f>IF(moras[[#This Row],[Z-Score Salario]]&gt;1.96, "Sí", "No")</f>
        <v>No</v>
      </c>
      <c r="N3778" s="14">
        <f>IF(ISBLANK(moras[[#This Row],[SALARIO]]), EDA!$M$8, moras[[#This Row],[SALARIO]])</f>
        <v>581009</v>
      </c>
      <c r="O3778" s="14">
        <f xml:space="preserve"> IF(ISBLANK(moras[[#This Row],[EDAD]]), EDA!$E$8, moras[[#This Row],[EDAD]])</f>
        <v>49</v>
      </c>
      <c r="P3778" s="14" t="str">
        <f>IF(
    OR(ISBLANK(moras[[#This Row],[TIPO_ASEGURAMIENTO]]), moras[[#This Row],[TIPO_ASEGURAMIENTO]]=""),
    EDA!$A$32,
    moras[[#This Row],[TIPO_ASEGURAMIENTO]]
)</f>
        <v>ASALARIADO</v>
      </c>
    </row>
    <row r="3779" spans="1:16" x14ac:dyDescent="0.3">
      <c r="A3779">
        <v>3778</v>
      </c>
      <c r="B3779" t="s">
        <v>15</v>
      </c>
      <c r="C3779">
        <v>1608290</v>
      </c>
      <c r="D3779" t="s">
        <v>10</v>
      </c>
      <c r="E3779" t="s">
        <v>11</v>
      </c>
      <c r="F3779" t="s">
        <v>12</v>
      </c>
      <c r="G3779" t="s">
        <v>13</v>
      </c>
      <c r="H3779" t="s">
        <v>13</v>
      </c>
      <c r="I3779">
        <v>36</v>
      </c>
      <c r="J3779">
        <f>ABS((I3779-EDA!$A$15)/EDA!$B$15)</f>
        <v>0.42201166760410774</v>
      </c>
      <c r="K3779" t="str">
        <f t="shared" si="59"/>
        <v>No</v>
      </c>
      <c r="L3779">
        <f>ABS((C3779-EDA!$F$15)/EDA!$G$15)</f>
        <v>0.34889089129629053</v>
      </c>
      <c r="M3779" t="str">
        <f>IF(moras[[#This Row],[Z-Score Salario]]&gt;1.96, "Sí", "No")</f>
        <v>No</v>
      </c>
      <c r="N3779" s="14">
        <f>IF(ISBLANK(moras[[#This Row],[SALARIO]]), EDA!$M$8, moras[[#This Row],[SALARIO]])</f>
        <v>1608290</v>
      </c>
      <c r="O3779" s="14">
        <f xml:space="preserve"> IF(ISBLANK(moras[[#This Row],[EDAD]]), EDA!$E$8, moras[[#This Row],[EDAD]])</f>
        <v>36</v>
      </c>
      <c r="P3779" s="14" t="str">
        <f>IF(
    OR(ISBLANK(moras[[#This Row],[TIPO_ASEGURAMIENTO]]), moras[[#This Row],[TIPO_ASEGURAMIENTO]]=""),
    EDA!$A$32,
    moras[[#This Row],[TIPO_ASEGURAMIENTO]]
)</f>
        <v>ASALARIADO</v>
      </c>
    </row>
    <row r="3780" spans="1:16" x14ac:dyDescent="0.3">
      <c r="A3780">
        <v>3779</v>
      </c>
      <c r="B3780" t="s">
        <v>15</v>
      </c>
      <c r="C3780">
        <v>1168690</v>
      </c>
      <c r="D3780" t="s">
        <v>10</v>
      </c>
      <c r="E3780" t="s">
        <v>16</v>
      </c>
      <c r="F3780" t="s">
        <v>12</v>
      </c>
      <c r="G3780" t="s">
        <v>12</v>
      </c>
      <c r="H3780" t="s">
        <v>13</v>
      </c>
      <c r="I3780">
        <v>54</v>
      </c>
      <c r="J3780">
        <f>ABS((I3780-EDA!$A$15)/EDA!$B$15)</f>
        <v>0.84834427378436728</v>
      </c>
      <c r="K3780" t="str">
        <f t="shared" si="59"/>
        <v>No</v>
      </c>
      <c r="L3780">
        <f>ABS((C3780-EDA!$F$15)/EDA!$G$15)</f>
        <v>0.3562061456152924</v>
      </c>
      <c r="M3780" t="str">
        <f>IF(moras[[#This Row],[Z-Score Salario]]&gt;1.96, "Sí", "No")</f>
        <v>No</v>
      </c>
      <c r="N3780" s="14">
        <f>IF(ISBLANK(moras[[#This Row],[SALARIO]]), EDA!$M$8, moras[[#This Row],[SALARIO]])</f>
        <v>1168690</v>
      </c>
      <c r="O3780" s="14">
        <f xml:space="preserve"> IF(ISBLANK(moras[[#This Row],[EDAD]]), EDA!$E$8, moras[[#This Row],[EDAD]])</f>
        <v>54</v>
      </c>
      <c r="P3780" s="14" t="str">
        <f>IF(
    OR(ISBLANK(moras[[#This Row],[TIPO_ASEGURAMIENTO]]), moras[[#This Row],[TIPO_ASEGURAMIENTO]]=""),
    EDA!$A$32,
    moras[[#This Row],[TIPO_ASEGURAMIENTO]]
)</f>
        <v>ASALARIADO</v>
      </c>
    </row>
    <row r="3781" spans="1:16" x14ac:dyDescent="0.3">
      <c r="A3781">
        <v>3780</v>
      </c>
      <c r="B3781" t="s">
        <v>15</v>
      </c>
      <c r="C3781">
        <v>110900129</v>
      </c>
      <c r="D3781" t="s">
        <v>10</v>
      </c>
      <c r="E3781" t="s">
        <v>16</v>
      </c>
      <c r="F3781" t="s">
        <v>12</v>
      </c>
      <c r="G3781" t="s">
        <v>13</v>
      </c>
      <c r="H3781" t="s">
        <v>13</v>
      </c>
      <c r="I3781">
        <v>49</v>
      </c>
      <c r="J3781">
        <f>ABS((I3781-EDA!$A$15)/EDA!$B$15)</f>
        <v>0.49546762339867978</v>
      </c>
      <c r="K3781" t="str">
        <f t="shared" si="59"/>
        <v>No</v>
      </c>
      <c r="L3781">
        <f>ABS((C3781-EDA!$F$15)/EDA!$G$15)</f>
        <v>1.4698024601059114</v>
      </c>
      <c r="M3781" t="str">
        <f>IF(moras[[#This Row],[Z-Score Salario]]&gt;1.96, "Sí", "No")</f>
        <v>No</v>
      </c>
      <c r="N3781" s="14">
        <f>IF(ISBLANK(moras[[#This Row],[SALARIO]]), EDA!$M$8, moras[[#This Row],[SALARIO]])</f>
        <v>110900129</v>
      </c>
      <c r="O3781" s="14">
        <f xml:space="preserve"> IF(ISBLANK(moras[[#This Row],[EDAD]]), EDA!$E$8, moras[[#This Row],[EDAD]])</f>
        <v>49</v>
      </c>
      <c r="P3781" s="14" t="str">
        <f>IF(
    OR(ISBLANK(moras[[#This Row],[TIPO_ASEGURAMIENTO]]), moras[[#This Row],[TIPO_ASEGURAMIENTO]]=""),
    EDA!$A$32,
    moras[[#This Row],[TIPO_ASEGURAMIENTO]]
)</f>
        <v>ASALARIADO</v>
      </c>
    </row>
    <row r="3782" spans="1:16" x14ac:dyDescent="0.3">
      <c r="A3782">
        <v>3781</v>
      </c>
      <c r="B3782" t="s">
        <v>9</v>
      </c>
      <c r="C3782">
        <v>40961624</v>
      </c>
      <c r="D3782" t="s">
        <v>10</v>
      </c>
      <c r="E3782" t="s">
        <v>16</v>
      </c>
      <c r="F3782" t="s">
        <v>12</v>
      </c>
      <c r="G3782" t="s">
        <v>13</v>
      </c>
      <c r="H3782" t="s">
        <v>13</v>
      </c>
      <c r="I3782">
        <v>57</v>
      </c>
      <c r="J3782">
        <f>ABS((I3782-EDA!$A$15)/EDA!$B$15)</f>
        <v>1.0600702640157798</v>
      </c>
      <c r="K3782" t="str">
        <f t="shared" si="59"/>
        <v>No</v>
      </c>
      <c r="L3782">
        <f>ABS((C3782-EDA!$F$15)/EDA!$G$15)</f>
        <v>0.30597636646217968</v>
      </c>
      <c r="M3782" t="str">
        <f>IF(moras[[#This Row],[Z-Score Salario]]&gt;1.96, "Sí", "No")</f>
        <v>No</v>
      </c>
      <c r="N3782" s="14">
        <f>IF(ISBLANK(moras[[#This Row],[SALARIO]]), EDA!$M$8, moras[[#This Row],[SALARIO]])</f>
        <v>40961624</v>
      </c>
      <c r="O3782" s="14">
        <f xml:space="preserve"> IF(ISBLANK(moras[[#This Row],[EDAD]]), EDA!$E$8, moras[[#This Row],[EDAD]])</f>
        <v>57</v>
      </c>
      <c r="P3782" s="14" t="str">
        <f>IF(
    OR(ISBLANK(moras[[#This Row],[TIPO_ASEGURAMIENTO]]), moras[[#This Row],[TIPO_ASEGURAMIENTO]]=""),
    EDA!$A$32,
    moras[[#This Row],[TIPO_ASEGURAMIENTO]]
)</f>
        <v>ASALARIADO</v>
      </c>
    </row>
    <row r="3783" spans="1:16" x14ac:dyDescent="0.3">
      <c r="A3783">
        <v>3782</v>
      </c>
      <c r="B3783" t="s">
        <v>15</v>
      </c>
      <c r="C3783">
        <v>184000</v>
      </c>
      <c r="D3783" t="s">
        <v>10</v>
      </c>
      <c r="E3783" t="s">
        <v>16</v>
      </c>
      <c r="F3783" t="s">
        <v>12</v>
      </c>
      <c r="G3783" t="s">
        <v>13</v>
      </c>
      <c r="H3783" t="s">
        <v>13</v>
      </c>
      <c r="I3783">
        <v>53</v>
      </c>
      <c r="J3783">
        <f>ABS((I3783-EDA!$A$15)/EDA!$B$15)</f>
        <v>0.77776894370722982</v>
      </c>
      <c r="K3783" t="str">
        <f t="shared" si="59"/>
        <v>No</v>
      </c>
      <c r="L3783">
        <f>ABS((C3783-EDA!$F$15)/EDA!$G$15)</f>
        <v>0.37259208231997382</v>
      </c>
      <c r="M3783" t="str">
        <f>IF(moras[[#This Row],[Z-Score Salario]]&gt;1.96, "Sí", "No")</f>
        <v>No</v>
      </c>
      <c r="N3783" s="14">
        <f>IF(ISBLANK(moras[[#This Row],[SALARIO]]), EDA!$M$8, moras[[#This Row],[SALARIO]])</f>
        <v>184000</v>
      </c>
      <c r="O3783" s="14">
        <f xml:space="preserve"> IF(ISBLANK(moras[[#This Row],[EDAD]]), EDA!$E$8, moras[[#This Row],[EDAD]])</f>
        <v>53</v>
      </c>
      <c r="P3783" s="14" t="str">
        <f>IF(
    OR(ISBLANK(moras[[#This Row],[TIPO_ASEGURAMIENTO]]), moras[[#This Row],[TIPO_ASEGURAMIENTO]]=""),
    EDA!$A$32,
    moras[[#This Row],[TIPO_ASEGURAMIENTO]]
)</f>
        <v>ASALARIADO</v>
      </c>
    </row>
    <row r="3784" spans="1:16" x14ac:dyDescent="0.3">
      <c r="A3784">
        <v>3783</v>
      </c>
      <c r="B3784" t="s">
        <v>9</v>
      </c>
      <c r="C3784">
        <v>113333</v>
      </c>
      <c r="D3784" t="s">
        <v>10</v>
      </c>
      <c r="E3784" t="s">
        <v>16</v>
      </c>
      <c r="F3784" t="s">
        <v>12</v>
      </c>
      <c r="G3784" t="s">
        <v>13</v>
      </c>
      <c r="H3784" t="s">
        <v>13</v>
      </c>
      <c r="I3784">
        <v>38</v>
      </c>
      <c r="J3784">
        <f>ABS((I3784-EDA!$A$15)/EDA!$B$15)</f>
        <v>0.28086100744983278</v>
      </c>
      <c r="K3784" t="str">
        <f t="shared" si="59"/>
        <v>No</v>
      </c>
      <c r="L3784">
        <f>ABS((C3784-EDA!$F$15)/EDA!$G$15)</f>
        <v>0.37376803108467105</v>
      </c>
      <c r="M3784" t="str">
        <f>IF(moras[[#This Row],[Z-Score Salario]]&gt;1.96, "Sí", "No")</f>
        <v>No</v>
      </c>
      <c r="N3784" s="14">
        <f>IF(ISBLANK(moras[[#This Row],[SALARIO]]), EDA!$M$8, moras[[#This Row],[SALARIO]])</f>
        <v>113333</v>
      </c>
      <c r="O3784" s="14">
        <f xml:space="preserve"> IF(ISBLANK(moras[[#This Row],[EDAD]]), EDA!$E$8, moras[[#This Row],[EDAD]])</f>
        <v>38</v>
      </c>
      <c r="P3784" s="14" t="str">
        <f>IF(
    OR(ISBLANK(moras[[#This Row],[TIPO_ASEGURAMIENTO]]), moras[[#This Row],[TIPO_ASEGURAMIENTO]]=""),
    EDA!$A$32,
    moras[[#This Row],[TIPO_ASEGURAMIENTO]]
)</f>
        <v>ASALARIADO</v>
      </c>
    </row>
    <row r="3785" spans="1:16" x14ac:dyDescent="0.3">
      <c r="A3785">
        <v>3784</v>
      </c>
      <c r="B3785" t="s">
        <v>9</v>
      </c>
      <c r="C3785">
        <v>278030</v>
      </c>
      <c r="D3785" t="s">
        <v>18</v>
      </c>
      <c r="E3785" t="s">
        <v>16</v>
      </c>
      <c r="F3785" t="s">
        <v>12</v>
      </c>
      <c r="G3785" t="s">
        <v>13</v>
      </c>
      <c r="H3785" t="s">
        <v>13</v>
      </c>
      <c r="I3785">
        <v>24</v>
      </c>
      <c r="J3785">
        <f>ABS((I3785-EDA!$A$15)/EDA!$B$15)</f>
        <v>1.2689156285297578</v>
      </c>
      <c r="K3785" t="str">
        <f t="shared" si="59"/>
        <v>No</v>
      </c>
      <c r="L3785">
        <f>ABS((C3785-EDA!$F$15)/EDA!$G$15)</f>
        <v>0.37102735674304993</v>
      </c>
      <c r="M3785" t="str">
        <f>IF(moras[[#This Row],[Z-Score Salario]]&gt;1.96, "Sí", "No")</f>
        <v>No</v>
      </c>
      <c r="N3785" s="14">
        <f>IF(ISBLANK(moras[[#This Row],[SALARIO]]), EDA!$M$8, moras[[#This Row],[SALARIO]])</f>
        <v>278030</v>
      </c>
      <c r="O3785" s="14">
        <f xml:space="preserve"> IF(ISBLANK(moras[[#This Row],[EDAD]]), EDA!$E$8, moras[[#This Row],[EDAD]])</f>
        <v>24</v>
      </c>
      <c r="P3785" s="14" t="str">
        <f>IF(
    OR(ISBLANK(moras[[#This Row],[TIPO_ASEGURAMIENTO]]), moras[[#This Row],[TIPO_ASEGURAMIENTO]]=""),
    EDA!$A$32,
    moras[[#This Row],[TIPO_ASEGURAMIENTO]]
)</f>
        <v>TRABAJADOR INDEPENDIENTE</v>
      </c>
    </row>
    <row r="3786" spans="1:16" x14ac:dyDescent="0.3">
      <c r="A3786">
        <v>3785</v>
      </c>
      <c r="B3786" t="s">
        <v>9</v>
      </c>
      <c r="C3786">
        <v>297046</v>
      </c>
      <c r="D3786" t="s">
        <v>18</v>
      </c>
      <c r="E3786" t="s">
        <v>16</v>
      </c>
      <c r="F3786" t="s">
        <v>12</v>
      </c>
      <c r="G3786" t="s">
        <v>13</v>
      </c>
      <c r="H3786" t="s">
        <v>13</v>
      </c>
      <c r="I3786">
        <v>60</v>
      </c>
      <c r="J3786">
        <f>ABS((I3786-EDA!$A$15)/EDA!$B$15)</f>
        <v>1.2717962542471923</v>
      </c>
      <c r="K3786" t="str">
        <f t="shared" si="59"/>
        <v>No</v>
      </c>
      <c r="L3786">
        <f>ABS((C3786-EDA!$F$15)/EDA!$G$15)</f>
        <v>0.37071091707942361</v>
      </c>
      <c r="M3786" t="str">
        <f>IF(moras[[#This Row],[Z-Score Salario]]&gt;1.96, "Sí", "No")</f>
        <v>No</v>
      </c>
      <c r="N3786" s="14">
        <f>IF(ISBLANK(moras[[#This Row],[SALARIO]]), EDA!$M$8, moras[[#This Row],[SALARIO]])</f>
        <v>297046</v>
      </c>
      <c r="O3786" s="14">
        <f xml:space="preserve"> IF(ISBLANK(moras[[#This Row],[EDAD]]), EDA!$E$8, moras[[#This Row],[EDAD]])</f>
        <v>60</v>
      </c>
      <c r="P3786" s="14" t="str">
        <f>IF(
    OR(ISBLANK(moras[[#This Row],[TIPO_ASEGURAMIENTO]]), moras[[#This Row],[TIPO_ASEGURAMIENTO]]=""),
    EDA!$A$32,
    moras[[#This Row],[TIPO_ASEGURAMIENTO]]
)</f>
        <v>TRABAJADOR INDEPENDIENTE</v>
      </c>
    </row>
    <row r="3787" spans="1:16" x14ac:dyDescent="0.3">
      <c r="A3787">
        <v>3786</v>
      </c>
      <c r="B3787" t="s">
        <v>15</v>
      </c>
      <c r="C3787">
        <v>70768019</v>
      </c>
      <c r="D3787" t="s">
        <v>10</v>
      </c>
      <c r="E3787" t="s">
        <v>16</v>
      </c>
      <c r="F3787" t="s">
        <v>12</v>
      </c>
      <c r="G3787" t="s">
        <v>13</v>
      </c>
      <c r="H3787" t="s">
        <v>13</v>
      </c>
      <c r="I3787">
        <v>19</v>
      </c>
      <c r="J3787">
        <f>ABS((I3787-EDA!$A$15)/EDA!$B$15)</f>
        <v>1.6217922789154453</v>
      </c>
      <c r="K3787" t="str">
        <f t="shared" si="59"/>
        <v>No</v>
      </c>
      <c r="L3787">
        <f>ABS((C3787-EDA!$F$15)/EDA!$G$15)</f>
        <v>0.80197581995996403</v>
      </c>
      <c r="M3787" t="str">
        <f>IF(moras[[#This Row],[Z-Score Salario]]&gt;1.96, "Sí", "No")</f>
        <v>No</v>
      </c>
      <c r="N3787" s="14">
        <f>IF(ISBLANK(moras[[#This Row],[SALARIO]]), EDA!$M$8, moras[[#This Row],[SALARIO]])</f>
        <v>70768019</v>
      </c>
      <c r="O3787" s="14">
        <f xml:space="preserve"> IF(ISBLANK(moras[[#This Row],[EDAD]]), EDA!$E$8, moras[[#This Row],[EDAD]])</f>
        <v>19</v>
      </c>
      <c r="P3787" s="14" t="str">
        <f>IF(
    OR(ISBLANK(moras[[#This Row],[TIPO_ASEGURAMIENTO]]), moras[[#This Row],[TIPO_ASEGURAMIENTO]]=""),
    EDA!$A$32,
    moras[[#This Row],[TIPO_ASEGURAMIENTO]]
)</f>
        <v>ASALARIADO</v>
      </c>
    </row>
    <row r="3788" spans="1:16" x14ac:dyDescent="0.3">
      <c r="A3788">
        <v>3787</v>
      </c>
      <c r="B3788" t="s">
        <v>15</v>
      </c>
      <c r="C3788">
        <v>361811</v>
      </c>
      <c r="D3788" t="s">
        <v>18</v>
      </c>
      <c r="E3788" t="s">
        <v>16</v>
      </c>
      <c r="F3788" t="s">
        <v>12</v>
      </c>
      <c r="G3788" t="s">
        <v>13</v>
      </c>
      <c r="H3788" t="s">
        <v>13</v>
      </c>
      <c r="I3788">
        <v>48</v>
      </c>
      <c r="J3788">
        <f>ABS((I3788-EDA!$A$15)/EDA!$B$15)</f>
        <v>0.42489229332154227</v>
      </c>
      <c r="K3788" t="str">
        <f t="shared" si="59"/>
        <v>No</v>
      </c>
      <c r="L3788">
        <f>ABS((C3788-EDA!$F$15)/EDA!$G$15)</f>
        <v>0.36963318176102011</v>
      </c>
      <c r="M3788" t="str">
        <f>IF(moras[[#This Row],[Z-Score Salario]]&gt;1.96, "Sí", "No")</f>
        <v>No</v>
      </c>
      <c r="N3788" s="14">
        <f>IF(ISBLANK(moras[[#This Row],[SALARIO]]), EDA!$M$8, moras[[#This Row],[SALARIO]])</f>
        <v>361811</v>
      </c>
      <c r="O3788" s="14">
        <f xml:space="preserve"> IF(ISBLANK(moras[[#This Row],[EDAD]]), EDA!$E$8, moras[[#This Row],[EDAD]])</f>
        <v>48</v>
      </c>
      <c r="P3788" s="14" t="str">
        <f>IF(
    OR(ISBLANK(moras[[#This Row],[TIPO_ASEGURAMIENTO]]), moras[[#This Row],[TIPO_ASEGURAMIENTO]]=""),
    EDA!$A$32,
    moras[[#This Row],[TIPO_ASEGURAMIENTO]]
)</f>
        <v>TRABAJADOR INDEPENDIENTE</v>
      </c>
    </row>
    <row r="3789" spans="1:16" x14ac:dyDescent="0.3">
      <c r="A3789">
        <v>3788</v>
      </c>
      <c r="B3789" t="s">
        <v>15</v>
      </c>
      <c r="C3789">
        <v>35015837</v>
      </c>
      <c r="D3789" t="s">
        <v>10</v>
      </c>
      <c r="E3789" t="s">
        <v>16</v>
      </c>
      <c r="F3789" t="s">
        <v>12</v>
      </c>
      <c r="G3789" t="s">
        <v>13</v>
      </c>
      <c r="H3789" t="s">
        <v>13</v>
      </c>
      <c r="I3789">
        <v>36</v>
      </c>
      <c r="J3789">
        <f>ABS((I3789-EDA!$A$15)/EDA!$B$15)</f>
        <v>0.42201166760410774</v>
      </c>
      <c r="K3789" t="str">
        <f t="shared" si="59"/>
        <v>No</v>
      </c>
      <c r="L3789">
        <f>ABS((C3789-EDA!$F$15)/EDA!$G$15)</f>
        <v>0.20703427357861456</v>
      </c>
      <c r="M3789" t="str">
        <f>IF(moras[[#This Row],[Z-Score Salario]]&gt;1.96, "Sí", "No")</f>
        <v>No</v>
      </c>
      <c r="N3789" s="14">
        <f>IF(ISBLANK(moras[[#This Row],[SALARIO]]), EDA!$M$8, moras[[#This Row],[SALARIO]])</f>
        <v>35015837</v>
      </c>
      <c r="O3789" s="14">
        <f xml:space="preserve"> IF(ISBLANK(moras[[#This Row],[EDAD]]), EDA!$E$8, moras[[#This Row],[EDAD]])</f>
        <v>36</v>
      </c>
      <c r="P3789" s="14" t="str">
        <f>IF(
    OR(ISBLANK(moras[[#This Row],[TIPO_ASEGURAMIENTO]]), moras[[#This Row],[TIPO_ASEGURAMIENTO]]=""),
    EDA!$A$32,
    moras[[#This Row],[TIPO_ASEGURAMIENTO]]
)</f>
        <v>ASALARIADO</v>
      </c>
    </row>
    <row r="3790" spans="1:16" x14ac:dyDescent="0.3">
      <c r="A3790">
        <v>3789</v>
      </c>
      <c r="B3790" t="s">
        <v>9</v>
      </c>
      <c r="C3790">
        <v>4591017</v>
      </c>
      <c r="D3790" t="s">
        <v>14</v>
      </c>
      <c r="E3790" t="s">
        <v>11</v>
      </c>
      <c r="F3790" t="s">
        <v>12</v>
      </c>
      <c r="G3790" t="s">
        <v>13</v>
      </c>
      <c r="H3790" t="s">
        <v>13</v>
      </c>
      <c r="I3790">
        <v>65</v>
      </c>
      <c r="J3790">
        <f>ABS((I3790-EDA!$A$15)/EDA!$B$15)</f>
        <v>1.6246729046328798</v>
      </c>
      <c r="K3790" t="str">
        <f t="shared" si="59"/>
        <v>No</v>
      </c>
      <c r="L3790">
        <f>ABS((C3790-EDA!$F$15)/EDA!$G$15)</f>
        <v>0.29925620847292034</v>
      </c>
      <c r="M3790" t="str">
        <f>IF(moras[[#This Row],[Z-Score Salario]]&gt;1.96, "Sí", "No")</f>
        <v>No</v>
      </c>
      <c r="N3790" s="14">
        <f>IF(ISBLANK(moras[[#This Row],[SALARIO]]), EDA!$M$8, moras[[#This Row],[SALARIO]])</f>
        <v>4591017</v>
      </c>
      <c r="O3790" s="14">
        <f xml:space="preserve"> IF(ISBLANK(moras[[#This Row],[EDAD]]), EDA!$E$8, moras[[#This Row],[EDAD]])</f>
        <v>65</v>
      </c>
      <c r="P3790" s="14" t="str">
        <f>IF(
    OR(ISBLANK(moras[[#This Row],[TIPO_ASEGURAMIENTO]]), moras[[#This Row],[TIPO_ASEGURAMIENTO]]=""),
    EDA!$A$32,
    moras[[#This Row],[TIPO_ASEGURAMIENTO]]
)</f>
        <v>PENSIONADOS EN SU PROPIO SISTEMA</v>
      </c>
    </row>
    <row r="3791" spans="1:16" x14ac:dyDescent="0.3">
      <c r="A3791">
        <v>3790</v>
      </c>
      <c r="B3791" t="s">
        <v>9</v>
      </c>
      <c r="C3791">
        <v>2369994</v>
      </c>
      <c r="D3791" t="s">
        <v>10</v>
      </c>
      <c r="E3791" t="s">
        <v>11</v>
      </c>
      <c r="F3791" t="s">
        <v>12</v>
      </c>
      <c r="G3791" t="s">
        <v>13</v>
      </c>
      <c r="H3791" t="s">
        <v>13</v>
      </c>
      <c r="I3791">
        <v>59</v>
      </c>
      <c r="J3791">
        <f>ABS((I3791-EDA!$A$15)/EDA!$B$15)</f>
        <v>1.2012209241700549</v>
      </c>
      <c r="K3791" t="str">
        <f t="shared" si="59"/>
        <v>No</v>
      </c>
      <c r="L3791">
        <f>ABS((C3791-EDA!$F$15)/EDA!$G$15)</f>
        <v>0.33621559904014625</v>
      </c>
      <c r="M3791" t="str">
        <f>IF(moras[[#This Row],[Z-Score Salario]]&gt;1.96, "Sí", "No")</f>
        <v>No</v>
      </c>
      <c r="N3791" s="14">
        <f>IF(ISBLANK(moras[[#This Row],[SALARIO]]), EDA!$M$8, moras[[#This Row],[SALARIO]])</f>
        <v>2369994</v>
      </c>
      <c r="O3791" s="14">
        <f xml:space="preserve"> IF(ISBLANK(moras[[#This Row],[EDAD]]), EDA!$E$8, moras[[#This Row],[EDAD]])</f>
        <v>59</v>
      </c>
      <c r="P3791" s="14" t="str">
        <f>IF(
    OR(ISBLANK(moras[[#This Row],[TIPO_ASEGURAMIENTO]]), moras[[#This Row],[TIPO_ASEGURAMIENTO]]=""),
    EDA!$A$32,
    moras[[#This Row],[TIPO_ASEGURAMIENTO]]
)</f>
        <v>ASALARIADO</v>
      </c>
    </row>
    <row r="3792" spans="1:16" x14ac:dyDescent="0.3">
      <c r="A3792">
        <v>3791</v>
      </c>
      <c r="B3792" t="s">
        <v>9</v>
      </c>
      <c r="C3792">
        <v>340000</v>
      </c>
      <c r="D3792" t="s">
        <v>10</v>
      </c>
      <c r="E3792" t="s">
        <v>16</v>
      </c>
      <c r="F3792" t="s">
        <v>12</v>
      </c>
      <c r="G3792" t="s">
        <v>12</v>
      </c>
      <c r="H3792" t="s">
        <v>12</v>
      </c>
      <c r="I3792">
        <v>43</v>
      </c>
      <c r="J3792">
        <f>ABS((I3792-EDA!$A$15)/EDA!$B$15)</f>
        <v>7.2015642935854773E-2</v>
      </c>
      <c r="K3792" t="str">
        <f t="shared" si="59"/>
        <v>No</v>
      </c>
      <c r="L3792">
        <f>ABS((C3792-EDA!$F$15)/EDA!$G$15)</f>
        <v>0.36999613219767108</v>
      </c>
      <c r="M3792" t="str">
        <f>IF(moras[[#This Row],[Z-Score Salario]]&gt;1.96, "Sí", "No")</f>
        <v>No</v>
      </c>
      <c r="N3792" s="14">
        <f>IF(ISBLANK(moras[[#This Row],[SALARIO]]), EDA!$M$8, moras[[#This Row],[SALARIO]])</f>
        <v>340000</v>
      </c>
      <c r="O3792" s="14">
        <f xml:space="preserve"> IF(ISBLANK(moras[[#This Row],[EDAD]]), EDA!$E$8, moras[[#This Row],[EDAD]])</f>
        <v>43</v>
      </c>
      <c r="P3792" s="14" t="str">
        <f>IF(
    OR(ISBLANK(moras[[#This Row],[TIPO_ASEGURAMIENTO]]), moras[[#This Row],[TIPO_ASEGURAMIENTO]]=""),
    EDA!$A$32,
    moras[[#This Row],[TIPO_ASEGURAMIENTO]]
)</f>
        <v>ASALARIADO</v>
      </c>
    </row>
    <row r="3793" spans="1:16" x14ac:dyDescent="0.3">
      <c r="A3793">
        <v>3792</v>
      </c>
      <c r="B3793" t="s">
        <v>15</v>
      </c>
      <c r="C3793">
        <v>284340</v>
      </c>
      <c r="D3793" t="s">
        <v>10</v>
      </c>
      <c r="E3793" t="s">
        <v>16</v>
      </c>
      <c r="F3793" t="s">
        <v>12</v>
      </c>
      <c r="G3793" t="s">
        <v>13</v>
      </c>
      <c r="H3793" t="s">
        <v>13</v>
      </c>
      <c r="I3793">
        <v>20</v>
      </c>
      <c r="J3793">
        <f>ABS((I3793-EDA!$A$15)/EDA!$B$15)</f>
        <v>1.5512169488383079</v>
      </c>
      <c r="K3793" t="str">
        <f t="shared" si="59"/>
        <v>No</v>
      </c>
      <c r="L3793">
        <f>ABS((C3793-EDA!$F$15)/EDA!$G$15)</f>
        <v>0.37092235388874395</v>
      </c>
      <c r="M3793" t="str">
        <f>IF(moras[[#This Row],[Z-Score Salario]]&gt;1.96, "Sí", "No")</f>
        <v>No</v>
      </c>
      <c r="N3793" s="14">
        <f>IF(ISBLANK(moras[[#This Row],[SALARIO]]), EDA!$M$8, moras[[#This Row],[SALARIO]])</f>
        <v>284340</v>
      </c>
      <c r="O3793" s="14">
        <f xml:space="preserve"> IF(ISBLANK(moras[[#This Row],[EDAD]]), EDA!$E$8, moras[[#This Row],[EDAD]])</f>
        <v>20</v>
      </c>
      <c r="P3793" s="14" t="str">
        <f>IF(
    OR(ISBLANK(moras[[#This Row],[TIPO_ASEGURAMIENTO]]), moras[[#This Row],[TIPO_ASEGURAMIENTO]]=""),
    EDA!$A$32,
    moras[[#This Row],[TIPO_ASEGURAMIENTO]]
)</f>
        <v>ASALARIADO</v>
      </c>
    </row>
    <row r="3794" spans="1:16" x14ac:dyDescent="0.3">
      <c r="A3794">
        <v>3793</v>
      </c>
      <c r="B3794" t="s">
        <v>15</v>
      </c>
      <c r="C3794">
        <v>1927866</v>
      </c>
      <c r="D3794" t="s">
        <v>14</v>
      </c>
      <c r="E3794" t="s">
        <v>11</v>
      </c>
      <c r="F3794" t="s">
        <v>12</v>
      </c>
      <c r="G3794" t="s">
        <v>13</v>
      </c>
      <c r="H3794" t="s">
        <v>13</v>
      </c>
      <c r="I3794">
        <v>70</v>
      </c>
      <c r="J3794">
        <f>ABS((I3794-EDA!$A$15)/EDA!$B$15)</f>
        <v>1.9775495550185673</v>
      </c>
      <c r="K3794" t="str">
        <f t="shared" si="59"/>
        <v>Sí</v>
      </c>
      <c r="L3794">
        <f>ABS((C3794-EDA!$F$15)/EDA!$G$15)</f>
        <v>0.34357292106369419</v>
      </c>
      <c r="M3794" t="str">
        <f>IF(moras[[#This Row],[Z-Score Salario]]&gt;1.96, "Sí", "No")</f>
        <v>No</v>
      </c>
      <c r="N3794" s="14">
        <f>IF(ISBLANK(moras[[#This Row],[SALARIO]]), EDA!$M$8, moras[[#This Row],[SALARIO]])</f>
        <v>1927866</v>
      </c>
      <c r="O3794" s="14">
        <f xml:space="preserve"> IF(ISBLANK(moras[[#This Row],[EDAD]]), EDA!$E$8, moras[[#This Row],[EDAD]])</f>
        <v>70</v>
      </c>
      <c r="P3794" s="14" t="str">
        <f>IF(
    OR(ISBLANK(moras[[#This Row],[TIPO_ASEGURAMIENTO]]), moras[[#This Row],[TIPO_ASEGURAMIENTO]]=""),
    EDA!$A$32,
    moras[[#This Row],[TIPO_ASEGURAMIENTO]]
)</f>
        <v>PENSIONADOS EN SU PROPIO SISTEMA</v>
      </c>
    </row>
    <row r="3795" spans="1:16" x14ac:dyDescent="0.3">
      <c r="A3795">
        <v>3794</v>
      </c>
      <c r="B3795" t="s">
        <v>9</v>
      </c>
      <c r="C3795">
        <v>4659064</v>
      </c>
      <c r="D3795" t="s">
        <v>10</v>
      </c>
      <c r="E3795" t="s">
        <v>16</v>
      </c>
      <c r="F3795" t="s">
        <v>12</v>
      </c>
      <c r="G3795" t="s">
        <v>13</v>
      </c>
      <c r="H3795" t="s">
        <v>13</v>
      </c>
      <c r="I3795">
        <v>27</v>
      </c>
      <c r="J3795">
        <f>ABS((I3795-EDA!$A$15)/EDA!$B$15)</f>
        <v>1.0571896382983452</v>
      </c>
      <c r="K3795" t="str">
        <f t="shared" si="59"/>
        <v>No</v>
      </c>
      <c r="L3795">
        <f>ABS((C3795-EDA!$F$15)/EDA!$G$15)</f>
        <v>0.2981238583577131</v>
      </c>
      <c r="M3795" t="str">
        <f>IF(moras[[#This Row],[Z-Score Salario]]&gt;1.96, "Sí", "No")</f>
        <v>No</v>
      </c>
      <c r="N3795" s="14">
        <f>IF(ISBLANK(moras[[#This Row],[SALARIO]]), EDA!$M$8, moras[[#This Row],[SALARIO]])</f>
        <v>4659064</v>
      </c>
      <c r="O3795" s="14">
        <f xml:space="preserve"> IF(ISBLANK(moras[[#This Row],[EDAD]]), EDA!$E$8, moras[[#This Row],[EDAD]])</f>
        <v>27</v>
      </c>
      <c r="P3795" s="14" t="str">
        <f>IF(
    OR(ISBLANK(moras[[#This Row],[TIPO_ASEGURAMIENTO]]), moras[[#This Row],[TIPO_ASEGURAMIENTO]]=""),
    EDA!$A$32,
    moras[[#This Row],[TIPO_ASEGURAMIENTO]]
)</f>
        <v>ASALARIADO</v>
      </c>
    </row>
    <row r="3796" spans="1:16" x14ac:dyDescent="0.3">
      <c r="A3796">
        <v>3795</v>
      </c>
      <c r="B3796" t="s">
        <v>15</v>
      </c>
      <c r="C3796">
        <v>29704499</v>
      </c>
      <c r="D3796" t="s">
        <v>19</v>
      </c>
      <c r="E3796" t="s">
        <v>16</v>
      </c>
      <c r="F3796" t="s">
        <v>12</v>
      </c>
      <c r="G3796" t="s">
        <v>12</v>
      </c>
      <c r="H3796" t="s">
        <v>13</v>
      </c>
      <c r="I3796">
        <v>56</v>
      </c>
      <c r="J3796">
        <f>ABS((I3796-EDA!$A$15)/EDA!$B$15)</f>
        <v>0.9894949339386423</v>
      </c>
      <c r="K3796" t="str">
        <f t="shared" si="59"/>
        <v>No</v>
      </c>
      <c r="L3796">
        <f>ABS((C3796-EDA!$F$15)/EDA!$G$15)</f>
        <v>0.11864985992033703</v>
      </c>
      <c r="M3796" t="str">
        <f>IF(moras[[#This Row],[Z-Score Salario]]&gt;1.96, "Sí", "No")</f>
        <v>No</v>
      </c>
      <c r="N3796" s="14">
        <f>IF(ISBLANK(moras[[#This Row],[SALARIO]]), EDA!$M$8, moras[[#This Row],[SALARIO]])</f>
        <v>29704499</v>
      </c>
      <c r="O3796" s="14">
        <f xml:space="preserve"> IF(ISBLANK(moras[[#This Row],[EDAD]]), EDA!$E$8, moras[[#This Row],[EDAD]])</f>
        <v>56</v>
      </c>
      <c r="P3796" s="14" t="str">
        <f>IF(
    OR(ISBLANK(moras[[#This Row],[TIPO_ASEGURAMIENTO]]), moras[[#This Row],[TIPO_ASEGURAMIENTO]]=""),
    EDA!$A$32,
    moras[[#This Row],[TIPO_ASEGURAMIENTO]]
)</f>
        <v>CONVENIOS ESPECIALES DE TRABAJADORES INDEPENDIENTES</v>
      </c>
    </row>
    <row r="3797" spans="1:16" x14ac:dyDescent="0.3">
      <c r="A3797">
        <v>3796</v>
      </c>
      <c r="B3797" t="s">
        <v>9</v>
      </c>
      <c r="C3797">
        <v>400000</v>
      </c>
      <c r="D3797" t="s">
        <v>10</v>
      </c>
      <c r="E3797" t="s">
        <v>16</v>
      </c>
      <c r="F3797" t="s">
        <v>12</v>
      </c>
      <c r="G3797" t="s">
        <v>13</v>
      </c>
      <c r="H3797" t="s">
        <v>13</v>
      </c>
      <c r="I3797">
        <v>43</v>
      </c>
      <c r="J3797">
        <f>ABS((I3797-EDA!$A$15)/EDA!$B$15)</f>
        <v>7.2015642935854773E-2</v>
      </c>
      <c r="K3797" t="str">
        <f t="shared" si="59"/>
        <v>No</v>
      </c>
      <c r="L3797">
        <f>ABS((C3797-EDA!$F$15)/EDA!$G$15)</f>
        <v>0.36899768984293924</v>
      </c>
      <c r="M3797" t="str">
        <f>IF(moras[[#This Row],[Z-Score Salario]]&gt;1.96, "Sí", "No")</f>
        <v>No</v>
      </c>
      <c r="N3797" s="14">
        <f>IF(ISBLANK(moras[[#This Row],[SALARIO]]), EDA!$M$8, moras[[#This Row],[SALARIO]])</f>
        <v>400000</v>
      </c>
      <c r="O3797" s="14">
        <f xml:space="preserve"> IF(ISBLANK(moras[[#This Row],[EDAD]]), EDA!$E$8, moras[[#This Row],[EDAD]])</f>
        <v>43</v>
      </c>
      <c r="P3797" s="14" t="str">
        <f>IF(
    OR(ISBLANK(moras[[#This Row],[TIPO_ASEGURAMIENTO]]), moras[[#This Row],[TIPO_ASEGURAMIENTO]]=""),
    EDA!$A$32,
    moras[[#This Row],[TIPO_ASEGURAMIENTO]]
)</f>
        <v>ASALARIADO</v>
      </c>
    </row>
    <row r="3798" spans="1:16" x14ac:dyDescent="0.3">
      <c r="A3798">
        <v>3797</v>
      </c>
      <c r="B3798" t="s">
        <v>9</v>
      </c>
      <c r="C3798">
        <v>297046</v>
      </c>
      <c r="D3798" t="s">
        <v>17</v>
      </c>
      <c r="E3798" t="s">
        <v>16</v>
      </c>
      <c r="F3798" t="s">
        <v>12</v>
      </c>
      <c r="G3798" t="s">
        <v>13</v>
      </c>
      <c r="H3798" t="s">
        <v>13</v>
      </c>
      <c r="I3798">
        <v>26</v>
      </c>
      <c r="J3798">
        <f>ABS((I3798-EDA!$A$15)/EDA!$B$15)</f>
        <v>1.1277649683754829</v>
      </c>
      <c r="K3798" t="str">
        <f t="shared" si="59"/>
        <v>No</v>
      </c>
      <c r="L3798">
        <f>ABS((C3798-EDA!$F$15)/EDA!$G$15)</f>
        <v>0.37071091707942361</v>
      </c>
      <c r="M3798" t="str">
        <f>IF(moras[[#This Row],[Z-Score Salario]]&gt;1.96, "Sí", "No")</f>
        <v>No</v>
      </c>
      <c r="N3798" s="14">
        <f>IF(ISBLANK(moras[[#This Row],[SALARIO]]), EDA!$M$8, moras[[#This Row],[SALARIO]])</f>
        <v>297046</v>
      </c>
      <c r="O3798" s="14">
        <f xml:space="preserve"> IF(ISBLANK(moras[[#This Row],[EDAD]]), EDA!$E$8, moras[[#This Row],[EDAD]])</f>
        <v>26</v>
      </c>
      <c r="P3798" s="14" t="str">
        <f>IF(
    OR(ISBLANK(moras[[#This Row],[TIPO_ASEGURAMIENTO]]), moras[[#This Row],[TIPO_ASEGURAMIENTO]]=""),
    EDA!$A$32,
    moras[[#This Row],[TIPO_ASEGURAMIENTO]]
)</f>
        <v>ASEGURADO VOLUNTARIO</v>
      </c>
    </row>
    <row r="3799" spans="1:16" x14ac:dyDescent="0.3">
      <c r="A3799">
        <v>3798</v>
      </c>
      <c r="B3799" t="s">
        <v>9</v>
      </c>
      <c r="C3799">
        <v>278030</v>
      </c>
      <c r="D3799" t="s">
        <v>17</v>
      </c>
      <c r="E3799" t="s">
        <v>16</v>
      </c>
      <c r="F3799" t="s">
        <v>12</v>
      </c>
      <c r="G3799" t="s">
        <v>13</v>
      </c>
      <c r="H3799" t="s">
        <v>12</v>
      </c>
      <c r="I3799">
        <v>29</v>
      </c>
      <c r="J3799">
        <f>ABS((I3799-EDA!$A$15)/EDA!$B$15)</f>
        <v>0.91603897814407031</v>
      </c>
      <c r="K3799" t="str">
        <f t="shared" si="59"/>
        <v>No</v>
      </c>
      <c r="L3799">
        <f>ABS((C3799-EDA!$F$15)/EDA!$G$15)</f>
        <v>0.37102735674304993</v>
      </c>
      <c r="M3799" t="str">
        <f>IF(moras[[#This Row],[Z-Score Salario]]&gt;1.96, "Sí", "No")</f>
        <v>No</v>
      </c>
      <c r="N3799" s="14">
        <f>IF(ISBLANK(moras[[#This Row],[SALARIO]]), EDA!$M$8, moras[[#This Row],[SALARIO]])</f>
        <v>278030</v>
      </c>
      <c r="O3799" s="14">
        <f xml:space="preserve"> IF(ISBLANK(moras[[#This Row],[EDAD]]), EDA!$E$8, moras[[#This Row],[EDAD]])</f>
        <v>29</v>
      </c>
      <c r="P3799" s="14" t="str">
        <f>IF(
    OR(ISBLANK(moras[[#This Row],[TIPO_ASEGURAMIENTO]]), moras[[#This Row],[TIPO_ASEGURAMIENTO]]=""),
    EDA!$A$32,
    moras[[#This Row],[TIPO_ASEGURAMIENTO]]
)</f>
        <v>ASEGURADO VOLUNTARIO</v>
      </c>
    </row>
    <row r="3800" spans="1:16" x14ac:dyDescent="0.3">
      <c r="A3800">
        <v>3799</v>
      </c>
      <c r="B3800" t="s">
        <v>15</v>
      </c>
      <c r="C3800">
        <v>404467</v>
      </c>
      <c r="D3800" t="s">
        <v>17</v>
      </c>
      <c r="E3800" t="s">
        <v>16</v>
      </c>
      <c r="F3800" t="s">
        <v>12</v>
      </c>
      <c r="G3800" t="s">
        <v>12</v>
      </c>
      <c r="H3800" t="s">
        <v>13</v>
      </c>
      <c r="I3800">
        <v>63</v>
      </c>
      <c r="J3800">
        <f>ABS((I3800-EDA!$A$15)/EDA!$B$15)</f>
        <v>1.4835222444786049</v>
      </c>
      <c r="K3800" t="str">
        <f t="shared" si="59"/>
        <v>No</v>
      </c>
      <c r="L3800">
        <f>ABS((C3800-EDA!$F$15)/EDA!$G$15)</f>
        <v>0.36892335580962943</v>
      </c>
      <c r="M3800" t="str">
        <f>IF(moras[[#This Row],[Z-Score Salario]]&gt;1.96, "Sí", "No")</f>
        <v>No</v>
      </c>
      <c r="N3800" s="14">
        <f>IF(ISBLANK(moras[[#This Row],[SALARIO]]), EDA!$M$8, moras[[#This Row],[SALARIO]])</f>
        <v>404467</v>
      </c>
      <c r="O3800" s="14">
        <f xml:space="preserve"> IF(ISBLANK(moras[[#This Row],[EDAD]]), EDA!$E$8, moras[[#This Row],[EDAD]])</f>
        <v>63</v>
      </c>
      <c r="P3800" s="14" t="str">
        <f>IF(
    OR(ISBLANK(moras[[#This Row],[TIPO_ASEGURAMIENTO]]), moras[[#This Row],[TIPO_ASEGURAMIENTO]]=""),
    EDA!$A$32,
    moras[[#This Row],[TIPO_ASEGURAMIENTO]]
)</f>
        <v>ASEGURADO VOLUNTARIO</v>
      </c>
    </row>
    <row r="3801" spans="1:16" x14ac:dyDescent="0.3">
      <c r="A3801">
        <v>3800</v>
      </c>
      <c r="B3801" t="s">
        <v>15</v>
      </c>
      <c r="C3801">
        <v>95441534</v>
      </c>
      <c r="D3801" t="s">
        <v>10</v>
      </c>
      <c r="E3801" t="s">
        <v>16</v>
      </c>
      <c r="F3801" t="s">
        <v>12</v>
      </c>
      <c r="G3801" t="s">
        <v>13</v>
      </c>
      <c r="H3801" t="s">
        <v>13</v>
      </c>
      <c r="I3801">
        <v>29</v>
      </c>
      <c r="J3801">
        <f>ABS((I3801-EDA!$A$15)/EDA!$B$15)</f>
        <v>0.91603897814407031</v>
      </c>
      <c r="K3801" t="str">
        <f t="shared" si="59"/>
        <v>No</v>
      </c>
      <c r="L3801">
        <f>ABS((C3801-EDA!$F$15)/EDA!$G$15)</f>
        <v>1.2125605268951496</v>
      </c>
      <c r="M3801" t="str">
        <f>IF(moras[[#This Row],[Z-Score Salario]]&gt;1.96, "Sí", "No")</f>
        <v>No</v>
      </c>
      <c r="N3801" s="14">
        <f>IF(ISBLANK(moras[[#This Row],[SALARIO]]), EDA!$M$8, moras[[#This Row],[SALARIO]])</f>
        <v>95441534</v>
      </c>
      <c r="O3801" s="14">
        <f xml:space="preserve"> IF(ISBLANK(moras[[#This Row],[EDAD]]), EDA!$E$8, moras[[#This Row],[EDAD]])</f>
        <v>29</v>
      </c>
      <c r="P3801" s="14" t="str">
        <f>IF(
    OR(ISBLANK(moras[[#This Row],[TIPO_ASEGURAMIENTO]]), moras[[#This Row],[TIPO_ASEGURAMIENTO]]=""),
    EDA!$A$32,
    moras[[#This Row],[TIPO_ASEGURAMIENTO]]
)</f>
        <v>ASALARIADO</v>
      </c>
    </row>
    <row r="3802" spans="1:16" x14ac:dyDescent="0.3">
      <c r="A3802">
        <v>3801</v>
      </c>
      <c r="B3802" t="s">
        <v>9</v>
      </c>
      <c r="C3802">
        <v>494792</v>
      </c>
      <c r="D3802" t="s">
        <v>10</v>
      </c>
      <c r="E3802" t="s">
        <v>16</v>
      </c>
      <c r="F3802" t="s">
        <v>12</v>
      </c>
      <c r="G3802" t="s">
        <v>13</v>
      </c>
      <c r="H3802" t="s">
        <v>13</v>
      </c>
      <c r="I3802">
        <v>28</v>
      </c>
      <c r="J3802">
        <f>ABS((I3802-EDA!$A$15)/EDA!$B$15)</f>
        <v>0.98661430822120777</v>
      </c>
      <c r="K3802" t="str">
        <f t="shared" si="59"/>
        <v>No</v>
      </c>
      <c r="L3802">
        <f>ABS((C3802-EDA!$F$15)/EDA!$G$15)</f>
        <v>0.36742028404811022</v>
      </c>
      <c r="M3802" t="str">
        <f>IF(moras[[#This Row],[Z-Score Salario]]&gt;1.96, "Sí", "No")</f>
        <v>No</v>
      </c>
      <c r="N3802" s="14">
        <f>IF(ISBLANK(moras[[#This Row],[SALARIO]]), EDA!$M$8, moras[[#This Row],[SALARIO]])</f>
        <v>494792</v>
      </c>
      <c r="O3802" s="14">
        <f xml:space="preserve"> IF(ISBLANK(moras[[#This Row],[EDAD]]), EDA!$E$8, moras[[#This Row],[EDAD]])</f>
        <v>28</v>
      </c>
      <c r="P3802" s="14" t="str">
        <f>IF(
    OR(ISBLANK(moras[[#This Row],[TIPO_ASEGURAMIENTO]]), moras[[#This Row],[TIPO_ASEGURAMIENTO]]=""),
    EDA!$A$32,
    moras[[#This Row],[TIPO_ASEGURAMIENTO]]
)</f>
        <v>ASALARIADO</v>
      </c>
    </row>
    <row r="3803" spans="1:16" x14ac:dyDescent="0.3">
      <c r="A3803">
        <v>3802</v>
      </c>
      <c r="B3803" t="s">
        <v>9</v>
      </c>
      <c r="C3803">
        <v>405798</v>
      </c>
      <c r="D3803" t="s">
        <v>17</v>
      </c>
      <c r="E3803" t="s">
        <v>16</v>
      </c>
      <c r="F3803" t="s">
        <v>12</v>
      </c>
      <c r="G3803" t="s">
        <v>13</v>
      </c>
      <c r="H3803" t="s">
        <v>13</v>
      </c>
      <c r="I3803">
        <v>35</v>
      </c>
      <c r="J3803">
        <f>ABS((I3803-EDA!$A$15)/EDA!$B$15)</f>
        <v>0.49258699768124525</v>
      </c>
      <c r="K3803" t="str">
        <f t="shared" si="59"/>
        <v>No</v>
      </c>
      <c r="L3803">
        <f>ABS((C3803-EDA!$F$15)/EDA!$G$15)</f>
        <v>0.3689012070300603</v>
      </c>
      <c r="M3803" t="str">
        <f>IF(moras[[#This Row],[Z-Score Salario]]&gt;1.96, "Sí", "No")</f>
        <v>No</v>
      </c>
      <c r="N3803" s="14">
        <f>IF(ISBLANK(moras[[#This Row],[SALARIO]]), EDA!$M$8, moras[[#This Row],[SALARIO]])</f>
        <v>405798</v>
      </c>
      <c r="O3803" s="14">
        <f xml:space="preserve"> IF(ISBLANK(moras[[#This Row],[EDAD]]), EDA!$E$8, moras[[#This Row],[EDAD]])</f>
        <v>35</v>
      </c>
      <c r="P3803" s="14" t="str">
        <f>IF(
    OR(ISBLANK(moras[[#This Row],[TIPO_ASEGURAMIENTO]]), moras[[#This Row],[TIPO_ASEGURAMIENTO]]=""),
    EDA!$A$32,
    moras[[#This Row],[TIPO_ASEGURAMIENTO]]
)</f>
        <v>ASEGURADO VOLUNTARIO</v>
      </c>
    </row>
    <row r="3804" spans="1:16" x14ac:dyDescent="0.3">
      <c r="A3804">
        <v>3803</v>
      </c>
      <c r="B3804" t="s">
        <v>15</v>
      </c>
      <c r="C3804">
        <v>27445313</v>
      </c>
      <c r="D3804" t="s">
        <v>10</v>
      </c>
      <c r="E3804" t="s">
        <v>16</v>
      </c>
      <c r="F3804" t="s">
        <v>12</v>
      </c>
      <c r="G3804" t="s">
        <v>13</v>
      </c>
      <c r="H3804" t="s">
        <v>13</v>
      </c>
      <c r="I3804">
        <v>31</v>
      </c>
      <c r="J3804">
        <f>ABS((I3804-EDA!$A$15)/EDA!$B$15)</f>
        <v>0.77488831798979529</v>
      </c>
      <c r="K3804" t="str">
        <f t="shared" si="59"/>
        <v>No</v>
      </c>
      <c r="L3804">
        <f>ABS((C3804-EDA!$F$15)/EDA!$G$15)</f>
        <v>8.1055410093383934E-2</v>
      </c>
      <c r="M3804" t="str">
        <f>IF(moras[[#This Row],[Z-Score Salario]]&gt;1.96, "Sí", "No")</f>
        <v>No</v>
      </c>
      <c r="N3804" s="14">
        <f>IF(ISBLANK(moras[[#This Row],[SALARIO]]), EDA!$M$8, moras[[#This Row],[SALARIO]])</f>
        <v>27445313</v>
      </c>
      <c r="O3804" s="14">
        <f xml:space="preserve"> IF(ISBLANK(moras[[#This Row],[EDAD]]), EDA!$E$8, moras[[#This Row],[EDAD]])</f>
        <v>31</v>
      </c>
      <c r="P3804" s="14" t="str">
        <f>IF(
    OR(ISBLANK(moras[[#This Row],[TIPO_ASEGURAMIENTO]]), moras[[#This Row],[TIPO_ASEGURAMIENTO]]=""),
    EDA!$A$32,
    moras[[#This Row],[TIPO_ASEGURAMIENTO]]
)</f>
        <v>ASALARIADO</v>
      </c>
    </row>
    <row r="3805" spans="1:16" x14ac:dyDescent="0.3">
      <c r="A3805">
        <v>3804</v>
      </c>
      <c r="B3805" t="s">
        <v>9</v>
      </c>
      <c r="C3805">
        <v>411350</v>
      </c>
      <c r="D3805" t="s">
        <v>10</v>
      </c>
      <c r="E3805" t="s">
        <v>16</v>
      </c>
      <c r="F3805" t="s">
        <v>12</v>
      </c>
      <c r="G3805" t="s">
        <v>13</v>
      </c>
      <c r="H3805" t="s">
        <v>13</v>
      </c>
      <c r="I3805">
        <v>24</v>
      </c>
      <c r="J3805">
        <f>ABS((I3805-EDA!$A$15)/EDA!$B$15)</f>
        <v>1.2689156285297578</v>
      </c>
      <c r="K3805" t="str">
        <f t="shared" si="59"/>
        <v>No</v>
      </c>
      <c r="L3805">
        <f>ABS((C3805-EDA!$F$15)/EDA!$G$15)</f>
        <v>0.3688088178308358</v>
      </c>
      <c r="M3805" t="str">
        <f>IF(moras[[#This Row],[Z-Score Salario]]&gt;1.96, "Sí", "No")</f>
        <v>No</v>
      </c>
      <c r="N3805" s="14">
        <f>IF(ISBLANK(moras[[#This Row],[SALARIO]]), EDA!$M$8, moras[[#This Row],[SALARIO]])</f>
        <v>411350</v>
      </c>
      <c r="O3805" s="14">
        <f xml:space="preserve"> IF(ISBLANK(moras[[#This Row],[EDAD]]), EDA!$E$8, moras[[#This Row],[EDAD]])</f>
        <v>24</v>
      </c>
      <c r="P3805" s="14" t="str">
        <f>IF(
    OR(ISBLANK(moras[[#This Row],[TIPO_ASEGURAMIENTO]]), moras[[#This Row],[TIPO_ASEGURAMIENTO]]=""),
    EDA!$A$32,
    moras[[#This Row],[TIPO_ASEGURAMIENTO]]
)</f>
        <v>ASALARIADO</v>
      </c>
    </row>
    <row r="3806" spans="1:16" x14ac:dyDescent="0.3">
      <c r="A3806">
        <v>3805</v>
      </c>
      <c r="B3806" t="s">
        <v>15</v>
      </c>
      <c r="C3806">
        <v>1586316</v>
      </c>
      <c r="D3806" t="s">
        <v>10</v>
      </c>
      <c r="E3806" t="s">
        <v>11</v>
      </c>
      <c r="F3806" t="s">
        <v>12</v>
      </c>
      <c r="G3806" t="s">
        <v>13</v>
      </c>
      <c r="H3806" t="s">
        <v>12</v>
      </c>
      <c r="I3806">
        <v>39</v>
      </c>
      <c r="J3806">
        <f>ABS((I3806-EDA!$A$15)/EDA!$B$15)</f>
        <v>0.21028567737269524</v>
      </c>
      <c r="K3806" t="str">
        <f t="shared" si="59"/>
        <v>No</v>
      </c>
      <c r="L3806">
        <f>ABS((C3806-EDA!$F$15)/EDA!$G$15)</f>
        <v>0.34925655416800511</v>
      </c>
      <c r="M3806" t="str">
        <f>IF(moras[[#This Row],[Z-Score Salario]]&gt;1.96, "Sí", "No")</f>
        <v>No</v>
      </c>
      <c r="N3806" s="14">
        <f>IF(ISBLANK(moras[[#This Row],[SALARIO]]), EDA!$M$8, moras[[#This Row],[SALARIO]])</f>
        <v>1586316</v>
      </c>
      <c r="O3806" s="14">
        <f xml:space="preserve"> IF(ISBLANK(moras[[#This Row],[EDAD]]), EDA!$E$8, moras[[#This Row],[EDAD]])</f>
        <v>39</v>
      </c>
      <c r="P3806" s="14" t="str">
        <f>IF(
    OR(ISBLANK(moras[[#This Row],[TIPO_ASEGURAMIENTO]]), moras[[#This Row],[TIPO_ASEGURAMIENTO]]=""),
    EDA!$A$32,
    moras[[#This Row],[TIPO_ASEGURAMIENTO]]
)</f>
        <v>ASALARIADO</v>
      </c>
    </row>
    <row r="3807" spans="1:16" x14ac:dyDescent="0.3">
      <c r="A3807">
        <v>3806</v>
      </c>
      <c r="B3807" t="s">
        <v>15</v>
      </c>
      <c r="C3807">
        <v>22148333</v>
      </c>
      <c r="D3807" t="s">
        <v>10</v>
      </c>
      <c r="E3807" t="s">
        <v>16</v>
      </c>
      <c r="F3807" t="s">
        <v>12</v>
      </c>
      <c r="G3807" t="s">
        <v>13</v>
      </c>
      <c r="H3807" t="s">
        <v>13</v>
      </c>
      <c r="I3807">
        <v>25</v>
      </c>
      <c r="J3807">
        <f>ABS((I3807-EDA!$A$15)/EDA!$B$15)</f>
        <v>1.1983402984526204</v>
      </c>
      <c r="K3807" t="str">
        <f t="shared" si="59"/>
        <v>No</v>
      </c>
      <c r="L3807">
        <f>ABS((C3807-EDA!$F$15)/EDA!$G$15)</f>
        <v>7.0900763094062643E-3</v>
      </c>
      <c r="M3807" t="str">
        <f>IF(moras[[#This Row],[Z-Score Salario]]&gt;1.96, "Sí", "No")</f>
        <v>No</v>
      </c>
      <c r="N3807" s="14">
        <f>IF(ISBLANK(moras[[#This Row],[SALARIO]]), EDA!$M$8, moras[[#This Row],[SALARIO]])</f>
        <v>22148333</v>
      </c>
      <c r="O3807" s="14">
        <f xml:space="preserve"> IF(ISBLANK(moras[[#This Row],[EDAD]]), EDA!$E$8, moras[[#This Row],[EDAD]])</f>
        <v>25</v>
      </c>
      <c r="P3807" s="14" t="str">
        <f>IF(
    OR(ISBLANK(moras[[#This Row],[TIPO_ASEGURAMIENTO]]), moras[[#This Row],[TIPO_ASEGURAMIENTO]]=""),
    EDA!$A$32,
    moras[[#This Row],[TIPO_ASEGURAMIENTO]]
)</f>
        <v>ASALARIADO</v>
      </c>
    </row>
    <row r="3808" spans="1:16" x14ac:dyDescent="0.3">
      <c r="A3808">
        <v>3807</v>
      </c>
      <c r="B3808" t="s">
        <v>15</v>
      </c>
      <c r="C3808">
        <v>297046</v>
      </c>
      <c r="D3808" t="s">
        <v>17</v>
      </c>
      <c r="E3808" t="s">
        <v>16</v>
      </c>
      <c r="F3808" t="s">
        <v>12</v>
      </c>
      <c r="G3808" t="s">
        <v>12</v>
      </c>
      <c r="H3808" t="s">
        <v>13</v>
      </c>
      <c r="I3808">
        <v>32</v>
      </c>
      <c r="J3808">
        <f>ABS((I3808-EDA!$A$15)/EDA!$B$15)</f>
        <v>0.70431298791265773</v>
      </c>
      <c r="K3808" t="str">
        <f t="shared" si="59"/>
        <v>No</v>
      </c>
      <c r="L3808">
        <f>ABS((C3808-EDA!$F$15)/EDA!$G$15)</f>
        <v>0.37071091707942361</v>
      </c>
      <c r="M3808" t="str">
        <f>IF(moras[[#This Row],[Z-Score Salario]]&gt;1.96, "Sí", "No")</f>
        <v>No</v>
      </c>
      <c r="N3808" s="14">
        <f>IF(ISBLANK(moras[[#This Row],[SALARIO]]), EDA!$M$8, moras[[#This Row],[SALARIO]])</f>
        <v>297046</v>
      </c>
      <c r="O3808" s="14">
        <f xml:space="preserve"> IF(ISBLANK(moras[[#This Row],[EDAD]]), EDA!$E$8, moras[[#This Row],[EDAD]])</f>
        <v>32</v>
      </c>
      <c r="P3808" s="14" t="str">
        <f>IF(
    OR(ISBLANK(moras[[#This Row],[TIPO_ASEGURAMIENTO]]), moras[[#This Row],[TIPO_ASEGURAMIENTO]]=""),
    EDA!$A$32,
    moras[[#This Row],[TIPO_ASEGURAMIENTO]]
)</f>
        <v>ASEGURADO VOLUNTARIO</v>
      </c>
    </row>
    <row r="3809" spans="1:16" x14ac:dyDescent="0.3">
      <c r="A3809">
        <v>3808</v>
      </c>
      <c r="B3809" t="s">
        <v>15</v>
      </c>
      <c r="C3809">
        <v>35531173</v>
      </c>
      <c r="D3809" t="s">
        <v>10</v>
      </c>
      <c r="E3809" t="s">
        <v>11</v>
      </c>
      <c r="F3809" t="s">
        <v>12</v>
      </c>
      <c r="G3809" t="s">
        <v>13</v>
      </c>
      <c r="H3809" t="s">
        <v>13</v>
      </c>
      <c r="I3809">
        <v>51</v>
      </c>
      <c r="J3809">
        <f>ABS((I3809-EDA!$A$15)/EDA!$B$15)</f>
        <v>0.6366182835529548</v>
      </c>
      <c r="K3809" t="str">
        <f t="shared" si="59"/>
        <v>No</v>
      </c>
      <c r="L3809">
        <f>ABS((C3809-EDA!$F$15)/EDA!$G$15)</f>
        <v>0.2156098284005826</v>
      </c>
      <c r="M3809" t="str">
        <f>IF(moras[[#This Row],[Z-Score Salario]]&gt;1.96, "Sí", "No")</f>
        <v>No</v>
      </c>
      <c r="N3809" s="14">
        <f>IF(ISBLANK(moras[[#This Row],[SALARIO]]), EDA!$M$8, moras[[#This Row],[SALARIO]])</f>
        <v>35531173</v>
      </c>
      <c r="O3809" s="14">
        <f xml:space="preserve"> IF(ISBLANK(moras[[#This Row],[EDAD]]), EDA!$E$8, moras[[#This Row],[EDAD]])</f>
        <v>51</v>
      </c>
      <c r="P3809" s="14" t="str">
        <f>IF(
    OR(ISBLANK(moras[[#This Row],[TIPO_ASEGURAMIENTO]]), moras[[#This Row],[TIPO_ASEGURAMIENTO]]=""),
    EDA!$A$32,
    moras[[#This Row],[TIPO_ASEGURAMIENTO]]
)</f>
        <v>ASALARIADO</v>
      </c>
    </row>
    <row r="3810" spans="1:16" x14ac:dyDescent="0.3">
      <c r="A3810">
        <v>3809</v>
      </c>
      <c r="B3810" t="s">
        <v>9</v>
      </c>
      <c r="C3810">
        <v>63270964</v>
      </c>
      <c r="D3810" t="s">
        <v>10</v>
      </c>
      <c r="E3810" t="s">
        <v>16</v>
      </c>
      <c r="F3810" t="s">
        <v>12</v>
      </c>
      <c r="G3810" t="s">
        <v>13</v>
      </c>
      <c r="H3810" t="s">
        <v>13</v>
      </c>
      <c r="I3810">
        <v>20</v>
      </c>
      <c r="J3810">
        <f>ABS((I3810-EDA!$A$15)/EDA!$B$15)</f>
        <v>1.5512169488383079</v>
      </c>
      <c r="K3810" t="str">
        <f t="shared" si="59"/>
        <v>No</v>
      </c>
      <c r="L3810">
        <f>ABS((C3810-EDA!$F$15)/EDA!$G$15)</f>
        <v>0.67721953249739664</v>
      </c>
      <c r="M3810" t="str">
        <f>IF(moras[[#This Row],[Z-Score Salario]]&gt;1.96, "Sí", "No")</f>
        <v>No</v>
      </c>
      <c r="N3810" s="14">
        <f>IF(ISBLANK(moras[[#This Row],[SALARIO]]), EDA!$M$8, moras[[#This Row],[SALARIO]])</f>
        <v>63270964</v>
      </c>
      <c r="O3810" s="14">
        <f xml:space="preserve"> IF(ISBLANK(moras[[#This Row],[EDAD]]), EDA!$E$8, moras[[#This Row],[EDAD]])</f>
        <v>20</v>
      </c>
      <c r="P3810" s="14" t="str">
        <f>IF(
    OR(ISBLANK(moras[[#This Row],[TIPO_ASEGURAMIENTO]]), moras[[#This Row],[TIPO_ASEGURAMIENTO]]=""),
    EDA!$A$32,
    moras[[#This Row],[TIPO_ASEGURAMIENTO]]
)</f>
        <v>ASALARIADO</v>
      </c>
    </row>
    <row r="3811" spans="1:16" x14ac:dyDescent="0.3">
      <c r="A3811">
        <v>3810</v>
      </c>
      <c r="B3811" t="s">
        <v>9</v>
      </c>
      <c r="C3811">
        <v>305152</v>
      </c>
      <c r="D3811" t="s">
        <v>18</v>
      </c>
      <c r="E3811" t="s">
        <v>16</v>
      </c>
      <c r="F3811" t="s">
        <v>12</v>
      </c>
      <c r="G3811" t="s">
        <v>13</v>
      </c>
      <c r="H3811" t="s">
        <v>12</v>
      </c>
      <c r="I3811">
        <v>41</v>
      </c>
      <c r="J3811">
        <f>ABS((I3811-EDA!$A$15)/EDA!$B$15)</f>
        <v>6.9135017218420233E-2</v>
      </c>
      <c r="K3811" t="str">
        <f t="shared" si="59"/>
        <v>No</v>
      </c>
      <c r="L3811">
        <f>ABS((C3811-EDA!$F$15)/EDA!$G$15)</f>
        <v>0.37057602751729929</v>
      </c>
      <c r="M3811" t="str">
        <f>IF(moras[[#This Row],[Z-Score Salario]]&gt;1.96, "Sí", "No")</f>
        <v>No</v>
      </c>
      <c r="N3811" s="14">
        <f>IF(ISBLANK(moras[[#This Row],[SALARIO]]), EDA!$M$8, moras[[#This Row],[SALARIO]])</f>
        <v>305152</v>
      </c>
      <c r="O3811" s="14">
        <f xml:space="preserve"> IF(ISBLANK(moras[[#This Row],[EDAD]]), EDA!$E$8, moras[[#This Row],[EDAD]])</f>
        <v>41</v>
      </c>
      <c r="P3811" s="14" t="str">
        <f>IF(
    OR(ISBLANK(moras[[#This Row],[TIPO_ASEGURAMIENTO]]), moras[[#This Row],[TIPO_ASEGURAMIENTO]]=""),
    EDA!$A$32,
    moras[[#This Row],[TIPO_ASEGURAMIENTO]]
)</f>
        <v>TRABAJADOR INDEPENDIENTE</v>
      </c>
    </row>
    <row r="3812" spans="1:16" x14ac:dyDescent="0.3">
      <c r="A3812">
        <v>3811</v>
      </c>
      <c r="B3812" t="s">
        <v>9</v>
      </c>
      <c r="C3812">
        <v>347514</v>
      </c>
      <c r="D3812" t="s">
        <v>10</v>
      </c>
      <c r="E3812" t="s">
        <v>16</v>
      </c>
      <c r="F3812" t="s">
        <v>12</v>
      </c>
      <c r="G3812" t="s">
        <v>13</v>
      </c>
      <c r="H3812" t="s">
        <v>12</v>
      </c>
      <c r="I3812">
        <v>32</v>
      </c>
      <c r="J3812">
        <f>ABS((I3812-EDA!$A$15)/EDA!$B$15)</f>
        <v>0.70431298791265773</v>
      </c>
      <c r="K3812" t="str">
        <f t="shared" si="59"/>
        <v>No</v>
      </c>
      <c r="L3812">
        <f>ABS((C3812-EDA!$F$15)/EDA!$G$15)</f>
        <v>0.3698710939334468</v>
      </c>
      <c r="M3812" t="str">
        <f>IF(moras[[#This Row],[Z-Score Salario]]&gt;1.96, "Sí", "No")</f>
        <v>No</v>
      </c>
      <c r="N3812" s="14">
        <f>IF(ISBLANK(moras[[#This Row],[SALARIO]]), EDA!$M$8, moras[[#This Row],[SALARIO]])</f>
        <v>347514</v>
      </c>
      <c r="O3812" s="14">
        <f xml:space="preserve"> IF(ISBLANK(moras[[#This Row],[EDAD]]), EDA!$E$8, moras[[#This Row],[EDAD]])</f>
        <v>32</v>
      </c>
      <c r="P3812" s="14" t="str">
        <f>IF(
    OR(ISBLANK(moras[[#This Row],[TIPO_ASEGURAMIENTO]]), moras[[#This Row],[TIPO_ASEGURAMIENTO]]=""),
    EDA!$A$32,
    moras[[#This Row],[TIPO_ASEGURAMIENTO]]
)</f>
        <v>ASALARIADO</v>
      </c>
    </row>
    <row r="3813" spans="1:16" x14ac:dyDescent="0.3">
      <c r="A3813">
        <v>3812</v>
      </c>
      <c r="B3813" t="s">
        <v>15</v>
      </c>
      <c r="C3813">
        <v>461827</v>
      </c>
      <c r="D3813" t="s">
        <v>18</v>
      </c>
      <c r="E3813" t="s">
        <v>16</v>
      </c>
      <c r="F3813" t="s">
        <v>12</v>
      </c>
      <c r="G3813" t="s">
        <v>13</v>
      </c>
      <c r="H3813" t="s">
        <v>13</v>
      </c>
      <c r="I3813">
        <v>52</v>
      </c>
      <c r="J3813">
        <f>ABS((I3813-EDA!$A$15)/EDA!$B$15)</f>
        <v>0.70719361363009237</v>
      </c>
      <c r="K3813" t="str">
        <f t="shared" si="59"/>
        <v>No</v>
      </c>
      <c r="L3813">
        <f>ABS((C3813-EDA!$F$15)/EDA!$G$15)</f>
        <v>0.36796884491850584</v>
      </c>
      <c r="M3813" t="str">
        <f>IF(moras[[#This Row],[Z-Score Salario]]&gt;1.96, "Sí", "No")</f>
        <v>No</v>
      </c>
      <c r="N3813" s="14">
        <f>IF(ISBLANK(moras[[#This Row],[SALARIO]]), EDA!$M$8, moras[[#This Row],[SALARIO]])</f>
        <v>461827</v>
      </c>
      <c r="O3813" s="14">
        <f xml:space="preserve"> IF(ISBLANK(moras[[#This Row],[EDAD]]), EDA!$E$8, moras[[#This Row],[EDAD]])</f>
        <v>52</v>
      </c>
      <c r="P3813" s="14" t="str">
        <f>IF(
    OR(ISBLANK(moras[[#This Row],[TIPO_ASEGURAMIENTO]]), moras[[#This Row],[TIPO_ASEGURAMIENTO]]=""),
    EDA!$A$32,
    moras[[#This Row],[TIPO_ASEGURAMIENTO]]
)</f>
        <v>TRABAJADOR INDEPENDIENTE</v>
      </c>
    </row>
    <row r="3814" spans="1:16" x14ac:dyDescent="0.3">
      <c r="A3814">
        <v>3813</v>
      </c>
      <c r="B3814" t="s">
        <v>9</v>
      </c>
      <c r="C3814">
        <v>297050</v>
      </c>
      <c r="D3814" t="s">
        <v>18</v>
      </c>
      <c r="E3814" t="s">
        <v>16</v>
      </c>
      <c r="F3814" t="s">
        <v>12</v>
      </c>
      <c r="G3814" t="s">
        <v>13</v>
      </c>
      <c r="H3814" t="s">
        <v>12</v>
      </c>
      <c r="I3814">
        <v>29</v>
      </c>
      <c r="J3814">
        <f>ABS((I3814-EDA!$A$15)/EDA!$B$15)</f>
        <v>0.91603897814407031</v>
      </c>
      <c r="K3814" t="str">
        <f t="shared" si="59"/>
        <v>No</v>
      </c>
      <c r="L3814">
        <f>ABS((C3814-EDA!$F$15)/EDA!$G$15)</f>
        <v>0.37071085051659991</v>
      </c>
      <c r="M3814" t="str">
        <f>IF(moras[[#This Row],[Z-Score Salario]]&gt;1.96, "Sí", "No")</f>
        <v>No</v>
      </c>
      <c r="N3814" s="14">
        <f>IF(ISBLANK(moras[[#This Row],[SALARIO]]), EDA!$M$8, moras[[#This Row],[SALARIO]])</f>
        <v>297050</v>
      </c>
      <c r="O3814" s="14">
        <f xml:space="preserve"> IF(ISBLANK(moras[[#This Row],[EDAD]]), EDA!$E$8, moras[[#This Row],[EDAD]])</f>
        <v>29</v>
      </c>
      <c r="P3814" s="14" t="str">
        <f>IF(
    OR(ISBLANK(moras[[#This Row],[TIPO_ASEGURAMIENTO]]), moras[[#This Row],[TIPO_ASEGURAMIENTO]]=""),
    EDA!$A$32,
    moras[[#This Row],[TIPO_ASEGURAMIENTO]]
)</f>
        <v>TRABAJADOR INDEPENDIENTE</v>
      </c>
    </row>
    <row r="3815" spans="1:16" x14ac:dyDescent="0.3">
      <c r="A3815">
        <v>3814</v>
      </c>
      <c r="B3815" t="s">
        <v>15</v>
      </c>
      <c r="C3815">
        <v>740950</v>
      </c>
      <c r="D3815" t="s">
        <v>10</v>
      </c>
      <c r="E3815" t="s">
        <v>16</v>
      </c>
      <c r="F3815" t="s">
        <v>12</v>
      </c>
      <c r="G3815" t="s">
        <v>13</v>
      </c>
      <c r="H3815" t="s">
        <v>12</v>
      </c>
      <c r="I3815">
        <v>27</v>
      </c>
      <c r="J3815">
        <f>ABS((I3815-EDA!$A$15)/EDA!$B$15)</f>
        <v>1.0571896382983452</v>
      </c>
      <c r="K3815" t="str">
        <f t="shared" si="59"/>
        <v>No</v>
      </c>
      <c r="L3815">
        <f>ABS((C3815-EDA!$F$15)/EDA!$G$15)</f>
        <v>0.36332404116217559</v>
      </c>
      <c r="M3815" t="str">
        <f>IF(moras[[#This Row],[Z-Score Salario]]&gt;1.96, "Sí", "No")</f>
        <v>No</v>
      </c>
      <c r="N3815" s="14">
        <f>IF(ISBLANK(moras[[#This Row],[SALARIO]]), EDA!$M$8, moras[[#This Row],[SALARIO]])</f>
        <v>740950</v>
      </c>
      <c r="O3815" s="14">
        <f xml:space="preserve"> IF(ISBLANK(moras[[#This Row],[EDAD]]), EDA!$E$8, moras[[#This Row],[EDAD]])</f>
        <v>27</v>
      </c>
      <c r="P3815" s="14" t="str">
        <f>IF(
    OR(ISBLANK(moras[[#This Row],[TIPO_ASEGURAMIENTO]]), moras[[#This Row],[TIPO_ASEGURAMIENTO]]=""),
    EDA!$A$32,
    moras[[#This Row],[TIPO_ASEGURAMIENTO]]
)</f>
        <v>ASALARIADO</v>
      </c>
    </row>
    <row r="3816" spans="1:16" x14ac:dyDescent="0.3">
      <c r="A3816">
        <v>3815</v>
      </c>
      <c r="B3816" t="s">
        <v>15</v>
      </c>
      <c r="C3816">
        <v>457581</v>
      </c>
      <c r="D3816" t="s">
        <v>10</v>
      </c>
      <c r="E3816" t="s">
        <v>11</v>
      </c>
      <c r="F3816" t="s">
        <v>12</v>
      </c>
      <c r="G3816" t="s">
        <v>13</v>
      </c>
      <c r="H3816" t="s">
        <v>12</v>
      </c>
      <c r="I3816">
        <v>26</v>
      </c>
      <c r="J3816">
        <f>ABS((I3816-EDA!$A$15)/EDA!$B$15)</f>
        <v>1.1277649683754829</v>
      </c>
      <c r="K3816" t="str">
        <f t="shared" si="59"/>
        <v>No</v>
      </c>
      <c r="L3816">
        <f>ABS((C3816-EDA!$F$15)/EDA!$G$15)</f>
        <v>0.36803950135580898</v>
      </c>
      <c r="M3816" t="str">
        <f>IF(moras[[#This Row],[Z-Score Salario]]&gt;1.96, "Sí", "No")</f>
        <v>No</v>
      </c>
      <c r="N3816" s="14">
        <f>IF(ISBLANK(moras[[#This Row],[SALARIO]]), EDA!$M$8, moras[[#This Row],[SALARIO]])</f>
        <v>457581</v>
      </c>
      <c r="O3816" s="14">
        <f xml:space="preserve"> IF(ISBLANK(moras[[#This Row],[EDAD]]), EDA!$E$8, moras[[#This Row],[EDAD]])</f>
        <v>26</v>
      </c>
      <c r="P3816" s="14" t="str">
        <f>IF(
    OR(ISBLANK(moras[[#This Row],[TIPO_ASEGURAMIENTO]]), moras[[#This Row],[TIPO_ASEGURAMIENTO]]=""),
    EDA!$A$32,
    moras[[#This Row],[TIPO_ASEGURAMIENTO]]
)</f>
        <v>ASALARIADO</v>
      </c>
    </row>
    <row r="3817" spans="1:16" x14ac:dyDescent="0.3">
      <c r="A3817">
        <v>3816</v>
      </c>
      <c r="B3817" t="s">
        <v>15</v>
      </c>
      <c r="C3817">
        <v>800000</v>
      </c>
      <c r="D3817" t="s">
        <v>10</v>
      </c>
      <c r="E3817" t="s">
        <v>16</v>
      </c>
      <c r="F3817" t="s">
        <v>12</v>
      </c>
      <c r="G3817" t="s">
        <v>13</v>
      </c>
      <c r="H3817" t="s">
        <v>13</v>
      </c>
      <c r="I3817">
        <v>31</v>
      </c>
      <c r="J3817">
        <f>ABS((I3817-EDA!$A$15)/EDA!$B$15)</f>
        <v>0.77488831798979529</v>
      </c>
      <c r="K3817" t="str">
        <f t="shared" si="59"/>
        <v>No</v>
      </c>
      <c r="L3817">
        <f>ABS((C3817-EDA!$F$15)/EDA!$G$15)</f>
        <v>0.36234140747806037</v>
      </c>
      <c r="M3817" t="str">
        <f>IF(moras[[#This Row],[Z-Score Salario]]&gt;1.96, "Sí", "No")</f>
        <v>No</v>
      </c>
      <c r="N3817" s="14">
        <f>IF(ISBLANK(moras[[#This Row],[SALARIO]]), EDA!$M$8, moras[[#This Row],[SALARIO]])</f>
        <v>800000</v>
      </c>
      <c r="O3817" s="14">
        <f xml:space="preserve"> IF(ISBLANK(moras[[#This Row],[EDAD]]), EDA!$E$8, moras[[#This Row],[EDAD]])</f>
        <v>31</v>
      </c>
      <c r="P3817" s="14" t="str">
        <f>IF(
    OR(ISBLANK(moras[[#This Row],[TIPO_ASEGURAMIENTO]]), moras[[#This Row],[TIPO_ASEGURAMIENTO]]=""),
    EDA!$A$32,
    moras[[#This Row],[TIPO_ASEGURAMIENTO]]
)</f>
        <v>ASALARIADO</v>
      </c>
    </row>
    <row r="3818" spans="1:16" x14ac:dyDescent="0.3">
      <c r="A3818">
        <v>3817</v>
      </c>
      <c r="B3818" t="s">
        <v>9</v>
      </c>
      <c r="C3818">
        <v>1725596</v>
      </c>
      <c r="D3818" t="s">
        <v>14</v>
      </c>
      <c r="E3818" t="s">
        <v>11</v>
      </c>
      <c r="F3818" t="s">
        <v>12</v>
      </c>
      <c r="G3818" t="s">
        <v>13</v>
      </c>
      <c r="H3818" t="s">
        <v>13</v>
      </c>
      <c r="I3818">
        <v>59</v>
      </c>
      <c r="J3818">
        <f>ABS((I3818-EDA!$A$15)/EDA!$B$15)</f>
        <v>1.2012209241700549</v>
      </c>
      <c r="K3818" t="str">
        <f t="shared" si="59"/>
        <v>No</v>
      </c>
      <c r="L3818">
        <f>ABS((C3818-EDA!$F$15)/EDA!$G$15)</f>
        <v>0.34693883664855429</v>
      </c>
      <c r="M3818" t="str">
        <f>IF(moras[[#This Row],[Z-Score Salario]]&gt;1.96, "Sí", "No")</f>
        <v>No</v>
      </c>
      <c r="N3818" s="14">
        <f>IF(ISBLANK(moras[[#This Row],[SALARIO]]), EDA!$M$8, moras[[#This Row],[SALARIO]])</f>
        <v>1725596</v>
      </c>
      <c r="O3818" s="14">
        <f xml:space="preserve"> IF(ISBLANK(moras[[#This Row],[EDAD]]), EDA!$E$8, moras[[#This Row],[EDAD]])</f>
        <v>59</v>
      </c>
      <c r="P3818" s="14" t="str">
        <f>IF(
    OR(ISBLANK(moras[[#This Row],[TIPO_ASEGURAMIENTO]]), moras[[#This Row],[TIPO_ASEGURAMIENTO]]=""),
    EDA!$A$32,
    moras[[#This Row],[TIPO_ASEGURAMIENTO]]
)</f>
        <v>PENSIONADOS EN SU PROPIO SISTEMA</v>
      </c>
    </row>
    <row r="3819" spans="1:16" x14ac:dyDescent="0.3">
      <c r="A3819">
        <v>3818</v>
      </c>
      <c r="B3819" t="s">
        <v>15</v>
      </c>
      <c r="C3819">
        <v>322000</v>
      </c>
      <c r="D3819" t="s">
        <v>10</v>
      </c>
      <c r="E3819" t="s">
        <v>16</v>
      </c>
      <c r="F3819" t="s">
        <v>12</v>
      </c>
      <c r="G3819" t="s">
        <v>12</v>
      </c>
      <c r="H3819" t="s">
        <v>12</v>
      </c>
      <c r="I3819">
        <v>57</v>
      </c>
      <c r="J3819">
        <f>ABS((I3819-EDA!$A$15)/EDA!$B$15)</f>
        <v>1.0600702640157798</v>
      </c>
      <c r="K3819" t="str">
        <f t="shared" si="59"/>
        <v>No</v>
      </c>
      <c r="L3819">
        <f>ABS((C3819-EDA!$F$15)/EDA!$G$15)</f>
        <v>0.3702956649040906</v>
      </c>
      <c r="M3819" t="str">
        <f>IF(moras[[#This Row],[Z-Score Salario]]&gt;1.96, "Sí", "No")</f>
        <v>No</v>
      </c>
      <c r="N3819" s="14">
        <f>IF(ISBLANK(moras[[#This Row],[SALARIO]]), EDA!$M$8, moras[[#This Row],[SALARIO]])</f>
        <v>322000</v>
      </c>
      <c r="O3819" s="14">
        <f xml:space="preserve"> IF(ISBLANK(moras[[#This Row],[EDAD]]), EDA!$E$8, moras[[#This Row],[EDAD]])</f>
        <v>57</v>
      </c>
      <c r="P3819" s="14" t="str">
        <f>IF(
    OR(ISBLANK(moras[[#This Row],[TIPO_ASEGURAMIENTO]]), moras[[#This Row],[TIPO_ASEGURAMIENTO]]=""),
    EDA!$A$32,
    moras[[#This Row],[TIPO_ASEGURAMIENTO]]
)</f>
        <v>ASALARIADO</v>
      </c>
    </row>
    <row r="3820" spans="1:16" x14ac:dyDescent="0.3">
      <c r="A3820">
        <v>3819</v>
      </c>
      <c r="B3820" t="s">
        <v>15</v>
      </c>
      <c r="C3820">
        <v>10996845</v>
      </c>
      <c r="D3820" t="s">
        <v>10</v>
      </c>
      <c r="E3820" t="s">
        <v>11</v>
      </c>
      <c r="F3820" t="s">
        <v>12</v>
      </c>
      <c r="G3820" t="s">
        <v>13</v>
      </c>
      <c r="H3820" t="s">
        <v>13</v>
      </c>
      <c r="I3820">
        <v>27</v>
      </c>
      <c r="J3820">
        <f>ABS((I3820-EDA!$A$15)/EDA!$B$15)</f>
        <v>1.0571896382983452</v>
      </c>
      <c r="K3820" t="str">
        <f t="shared" si="59"/>
        <v>No</v>
      </c>
      <c r="L3820">
        <f>ABS((C3820-EDA!$F$15)/EDA!$G$15)</f>
        <v>0.19265870860080214</v>
      </c>
      <c r="M3820" t="str">
        <f>IF(moras[[#This Row],[Z-Score Salario]]&gt;1.96, "Sí", "No")</f>
        <v>No</v>
      </c>
      <c r="N3820" s="14">
        <f>IF(ISBLANK(moras[[#This Row],[SALARIO]]), EDA!$M$8, moras[[#This Row],[SALARIO]])</f>
        <v>10996845</v>
      </c>
      <c r="O3820" s="14">
        <f xml:space="preserve"> IF(ISBLANK(moras[[#This Row],[EDAD]]), EDA!$E$8, moras[[#This Row],[EDAD]])</f>
        <v>27</v>
      </c>
      <c r="P3820" s="14" t="str">
        <f>IF(
    OR(ISBLANK(moras[[#This Row],[TIPO_ASEGURAMIENTO]]), moras[[#This Row],[TIPO_ASEGURAMIENTO]]=""),
    EDA!$A$32,
    moras[[#This Row],[TIPO_ASEGURAMIENTO]]
)</f>
        <v>ASALARIADO</v>
      </c>
    </row>
    <row r="3821" spans="1:16" x14ac:dyDescent="0.3">
      <c r="A3821">
        <v>3820</v>
      </c>
      <c r="B3821" t="s">
        <v>9</v>
      </c>
      <c r="C3821">
        <v>278030</v>
      </c>
      <c r="D3821" t="s">
        <v>19</v>
      </c>
      <c r="E3821" t="s">
        <v>16</v>
      </c>
      <c r="F3821" t="s">
        <v>12</v>
      </c>
      <c r="G3821" t="s">
        <v>13</v>
      </c>
      <c r="H3821" t="s">
        <v>13</v>
      </c>
      <c r="I3821">
        <v>57</v>
      </c>
      <c r="J3821">
        <f>ABS((I3821-EDA!$A$15)/EDA!$B$15)</f>
        <v>1.0600702640157798</v>
      </c>
      <c r="K3821" t="str">
        <f t="shared" si="59"/>
        <v>No</v>
      </c>
      <c r="L3821">
        <f>ABS((C3821-EDA!$F$15)/EDA!$G$15)</f>
        <v>0.37102735674304993</v>
      </c>
      <c r="M3821" t="str">
        <f>IF(moras[[#This Row],[Z-Score Salario]]&gt;1.96, "Sí", "No")</f>
        <v>No</v>
      </c>
      <c r="N3821" s="14">
        <f>IF(ISBLANK(moras[[#This Row],[SALARIO]]), EDA!$M$8, moras[[#This Row],[SALARIO]])</f>
        <v>278030</v>
      </c>
      <c r="O3821" s="14">
        <f xml:space="preserve"> IF(ISBLANK(moras[[#This Row],[EDAD]]), EDA!$E$8, moras[[#This Row],[EDAD]])</f>
        <v>57</v>
      </c>
      <c r="P3821" s="14" t="str">
        <f>IF(
    OR(ISBLANK(moras[[#This Row],[TIPO_ASEGURAMIENTO]]), moras[[#This Row],[TIPO_ASEGURAMIENTO]]=""),
    EDA!$A$32,
    moras[[#This Row],[TIPO_ASEGURAMIENTO]]
)</f>
        <v>CONVENIOS ESPECIALES DE TRABAJADORES INDEPENDIENTES</v>
      </c>
    </row>
    <row r="3822" spans="1:16" x14ac:dyDescent="0.3">
      <c r="A3822">
        <v>3821</v>
      </c>
      <c r="B3822" t="s">
        <v>15</v>
      </c>
      <c r="C3822">
        <v>427677</v>
      </c>
      <c r="D3822" t="s">
        <v>14</v>
      </c>
      <c r="E3822" t="s">
        <v>11</v>
      </c>
      <c r="F3822" t="s">
        <v>12</v>
      </c>
      <c r="G3822" t="s">
        <v>13</v>
      </c>
      <c r="H3822" t="s">
        <v>13</v>
      </c>
      <c r="I3822">
        <v>78</v>
      </c>
      <c r="J3822">
        <f>ABS((I3822-EDA!$A$15)/EDA!$B$15)</f>
        <v>2.5421521956356674</v>
      </c>
      <c r="K3822" t="str">
        <f t="shared" si="59"/>
        <v>Sí</v>
      </c>
      <c r="L3822">
        <f>ABS((C3822-EDA!$F$15)/EDA!$G$15)</f>
        <v>0.36853712502540736</v>
      </c>
      <c r="M3822" t="str">
        <f>IF(moras[[#This Row],[Z-Score Salario]]&gt;1.96, "Sí", "No")</f>
        <v>No</v>
      </c>
      <c r="N3822" s="14">
        <f>IF(ISBLANK(moras[[#This Row],[SALARIO]]), EDA!$M$8, moras[[#This Row],[SALARIO]])</f>
        <v>427677</v>
      </c>
      <c r="O3822" s="14">
        <f xml:space="preserve"> IF(ISBLANK(moras[[#This Row],[EDAD]]), EDA!$E$8, moras[[#This Row],[EDAD]])</f>
        <v>78</v>
      </c>
      <c r="P3822" s="14" t="str">
        <f>IF(
    OR(ISBLANK(moras[[#This Row],[TIPO_ASEGURAMIENTO]]), moras[[#This Row],[TIPO_ASEGURAMIENTO]]=""),
    EDA!$A$32,
    moras[[#This Row],[TIPO_ASEGURAMIENTO]]
)</f>
        <v>PENSIONADOS EN SU PROPIO SISTEMA</v>
      </c>
    </row>
    <row r="3823" spans="1:16" x14ac:dyDescent="0.3">
      <c r="A3823">
        <v>3822</v>
      </c>
      <c r="B3823" t="s">
        <v>9</v>
      </c>
      <c r="C3823">
        <v>408034</v>
      </c>
      <c r="D3823" t="s">
        <v>10</v>
      </c>
      <c r="E3823" t="s">
        <v>16</v>
      </c>
      <c r="F3823" t="s">
        <v>12</v>
      </c>
      <c r="G3823" t="s">
        <v>12</v>
      </c>
      <c r="H3823" t="s">
        <v>13</v>
      </c>
      <c r="I3823">
        <v>57</v>
      </c>
      <c r="J3823">
        <f>ABS((I3823-EDA!$A$15)/EDA!$B$15)</f>
        <v>1.0600702640157798</v>
      </c>
      <c r="K3823" t="str">
        <f t="shared" si="59"/>
        <v>No</v>
      </c>
      <c r="L3823">
        <f>ABS((C3823-EDA!$F$15)/EDA!$G$15)</f>
        <v>0.36886399841164064</v>
      </c>
      <c r="M3823" t="str">
        <f>IF(moras[[#This Row],[Z-Score Salario]]&gt;1.96, "Sí", "No")</f>
        <v>No</v>
      </c>
      <c r="N3823" s="14">
        <f>IF(ISBLANK(moras[[#This Row],[SALARIO]]), EDA!$M$8, moras[[#This Row],[SALARIO]])</f>
        <v>408034</v>
      </c>
      <c r="O3823" s="14">
        <f xml:space="preserve"> IF(ISBLANK(moras[[#This Row],[EDAD]]), EDA!$E$8, moras[[#This Row],[EDAD]])</f>
        <v>57</v>
      </c>
      <c r="P3823" s="14" t="str">
        <f>IF(
    OR(ISBLANK(moras[[#This Row],[TIPO_ASEGURAMIENTO]]), moras[[#This Row],[TIPO_ASEGURAMIENTO]]=""),
    EDA!$A$32,
    moras[[#This Row],[TIPO_ASEGURAMIENTO]]
)</f>
        <v>ASALARIADO</v>
      </c>
    </row>
    <row r="3824" spans="1:16" x14ac:dyDescent="0.3">
      <c r="A3824">
        <v>3823</v>
      </c>
      <c r="B3824" t="s">
        <v>15</v>
      </c>
      <c r="C3824">
        <v>1120000</v>
      </c>
      <c r="D3824" t="s">
        <v>10</v>
      </c>
      <c r="E3824" t="s">
        <v>16</v>
      </c>
      <c r="F3824" t="s">
        <v>12</v>
      </c>
      <c r="G3824" t="s">
        <v>13</v>
      </c>
      <c r="H3824" t="s">
        <v>13</v>
      </c>
      <c r="I3824">
        <v>52</v>
      </c>
      <c r="J3824">
        <f>ABS((I3824-EDA!$A$15)/EDA!$B$15)</f>
        <v>0.70719361363009237</v>
      </c>
      <c r="K3824" t="str">
        <f t="shared" si="59"/>
        <v>No</v>
      </c>
      <c r="L3824">
        <f>ABS((C3824-EDA!$F$15)/EDA!$G$15)</f>
        <v>0.35701638158615728</v>
      </c>
      <c r="M3824" t="str">
        <f>IF(moras[[#This Row],[Z-Score Salario]]&gt;1.96, "Sí", "No")</f>
        <v>No</v>
      </c>
      <c r="N3824" s="14">
        <f>IF(ISBLANK(moras[[#This Row],[SALARIO]]), EDA!$M$8, moras[[#This Row],[SALARIO]])</f>
        <v>1120000</v>
      </c>
      <c r="O3824" s="14">
        <f xml:space="preserve"> IF(ISBLANK(moras[[#This Row],[EDAD]]), EDA!$E$8, moras[[#This Row],[EDAD]])</f>
        <v>52</v>
      </c>
      <c r="P3824" s="14" t="str">
        <f>IF(
    OR(ISBLANK(moras[[#This Row],[TIPO_ASEGURAMIENTO]]), moras[[#This Row],[TIPO_ASEGURAMIENTO]]=""),
    EDA!$A$32,
    moras[[#This Row],[TIPO_ASEGURAMIENTO]]
)</f>
        <v>ASALARIADO</v>
      </c>
    </row>
    <row r="3825" spans="1:16" x14ac:dyDescent="0.3">
      <c r="A3825">
        <v>3824</v>
      </c>
      <c r="B3825" t="s">
        <v>15</v>
      </c>
      <c r="C3825">
        <v>639148</v>
      </c>
      <c r="D3825" t="s">
        <v>18</v>
      </c>
      <c r="E3825" t="s">
        <v>16</v>
      </c>
      <c r="F3825" t="s">
        <v>12</v>
      </c>
      <c r="G3825" t="s">
        <v>12</v>
      </c>
      <c r="H3825" t="s">
        <v>12</v>
      </c>
      <c r="I3825">
        <v>56</v>
      </c>
      <c r="J3825">
        <f>ABS((I3825-EDA!$A$15)/EDA!$B$15)</f>
        <v>0.9894949339386423</v>
      </c>
      <c r="K3825" t="str">
        <f t="shared" si="59"/>
        <v>No</v>
      </c>
      <c r="L3825">
        <f>ABS((C3825-EDA!$F$15)/EDA!$G$15)</f>
        <v>0.36501809830544912</v>
      </c>
      <c r="M3825" t="str">
        <f>IF(moras[[#This Row],[Z-Score Salario]]&gt;1.96, "Sí", "No")</f>
        <v>No</v>
      </c>
      <c r="N3825" s="14">
        <f>IF(ISBLANK(moras[[#This Row],[SALARIO]]), EDA!$M$8, moras[[#This Row],[SALARIO]])</f>
        <v>639148</v>
      </c>
      <c r="O3825" s="14">
        <f xml:space="preserve"> IF(ISBLANK(moras[[#This Row],[EDAD]]), EDA!$E$8, moras[[#This Row],[EDAD]])</f>
        <v>56</v>
      </c>
      <c r="P3825" s="14" t="str">
        <f>IF(
    OR(ISBLANK(moras[[#This Row],[TIPO_ASEGURAMIENTO]]), moras[[#This Row],[TIPO_ASEGURAMIENTO]]=""),
    EDA!$A$32,
    moras[[#This Row],[TIPO_ASEGURAMIENTO]]
)</f>
        <v>TRABAJADOR INDEPENDIENTE</v>
      </c>
    </row>
    <row r="3826" spans="1:16" x14ac:dyDescent="0.3">
      <c r="A3826">
        <v>3825</v>
      </c>
      <c r="B3826" t="s">
        <v>9</v>
      </c>
      <c r="C3826">
        <v>83875029</v>
      </c>
      <c r="D3826" t="s">
        <v>10</v>
      </c>
      <c r="E3826" t="s">
        <v>16</v>
      </c>
      <c r="F3826" t="s">
        <v>12</v>
      </c>
      <c r="G3826" t="s">
        <v>13</v>
      </c>
      <c r="H3826" t="s">
        <v>13</v>
      </c>
      <c r="I3826">
        <v>26</v>
      </c>
      <c r="J3826">
        <f>ABS((I3826-EDA!$A$15)/EDA!$B$15)</f>
        <v>1.1277649683754829</v>
      </c>
      <c r="K3826" t="str">
        <f t="shared" si="59"/>
        <v>No</v>
      </c>
      <c r="L3826">
        <f>ABS((C3826-EDA!$F$15)/EDA!$G$15)</f>
        <v>1.0200857187581915</v>
      </c>
      <c r="M3826" t="str">
        <f>IF(moras[[#This Row],[Z-Score Salario]]&gt;1.96, "Sí", "No")</f>
        <v>No</v>
      </c>
      <c r="N3826" s="14">
        <f>IF(ISBLANK(moras[[#This Row],[SALARIO]]), EDA!$M$8, moras[[#This Row],[SALARIO]])</f>
        <v>83875029</v>
      </c>
      <c r="O3826" s="14">
        <f xml:space="preserve"> IF(ISBLANK(moras[[#This Row],[EDAD]]), EDA!$E$8, moras[[#This Row],[EDAD]])</f>
        <v>26</v>
      </c>
      <c r="P3826" s="14" t="str">
        <f>IF(
    OR(ISBLANK(moras[[#This Row],[TIPO_ASEGURAMIENTO]]), moras[[#This Row],[TIPO_ASEGURAMIENTO]]=""),
    EDA!$A$32,
    moras[[#This Row],[TIPO_ASEGURAMIENTO]]
)</f>
        <v>ASALARIADO</v>
      </c>
    </row>
    <row r="3827" spans="1:16" x14ac:dyDescent="0.3">
      <c r="A3827">
        <v>3826</v>
      </c>
      <c r="B3827" t="s">
        <v>15</v>
      </c>
      <c r="C3827">
        <v>56482148</v>
      </c>
      <c r="D3827" t="s">
        <v>14</v>
      </c>
      <c r="E3827" t="s">
        <v>11</v>
      </c>
      <c r="F3827" t="s">
        <v>12</v>
      </c>
      <c r="G3827" t="s">
        <v>13</v>
      </c>
      <c r="H3827" t="s">
        <v>13</v>
      </c>
      <c r="I3827">
        <v>58</v>
      </c>
      <c r="J3827">
        <f>ABS((I3827-EDA!$A$15)/EDA!$B$15)</f>
        <v>1.1306455940929174</v>
      </c>
      <c r="K3827" t="str">
        <f t="shared" si="59"/>
        <v>No</v>
      </c>
      <c r="L3827">
        <f>ABS((C3827-EDA!$F$15)/EDA!$G$15)</f>
        <v>0.56424884194937786</v>
      </c>
      <c r="M3827" t="str">
        <f>IF(moras[[#This Row],[Z-Score Salario]]&gt;1.96, "Sí", "No")</f>
        <v>No</v>
      </c>
      <c r="N3827" s="14">
        <f>IF(ISBLANK(moras[[#This Row],[SALARIO]]), EDA!$M$8, moras[[#This Row],[SALARIO]])</f>
        <v>56482148</v>
      </c>
      <c r="O3827" s="14">
        <f xml:space="preserve"> IF(ISBLANK(moras[[#This Row],[EDAD]]), EDA!$E$8, moras[[#This Row],[EDAD]])</f>
        <v>58</v>
      </c>
      <c r="P3827" s="14" t="str">
        <f>IF(
    OR(ISBLANK(moras[[#This Row],[TIPO_ASEGURAMIENTO]]), moras[[#This Row],[TIPO_ASEGURAMIENTO]]=""),
    EDA!$A$32,
    moras[[#This Row],[TIPO_ASEGURAMIENTO]]
)</f>
        <v>PENSIONADOS EN SU PROPIO SISTEMA</v>
      </c>
    </row>
    <row r="3828" spans="1:16" x14ac:dyDescent="0.3">
      <c r="A3828">
        <v>3827</v>
      </c>
      <c r="B3828" t="s">
        <v>9</v>
      </c>
      <c r="C3828">
        <v>78817472</v>
      </c>
      <c r="D3828" t="s">
        <v>10</v>
      </c>
      <c r="E3828" t="s">
        <v>16</v>
      </c>
      <c r="F3828" t="s">
        <v>12</v>
      </c>
      <c r="G3828" t="s">
        <v>13</v>
      </c>
      <c r="H3828" t="s">
        <v>13</v>
      </c>
      <c r="I3828">
        <v>20</v>
      </c>
      <c r="J3828">
        <f>ABS((I3828-EDA!$A$15)/EDA!$B$15)</f>
        <v>1.5512169488383079</v>
      </c>
      <c r="K3828" t="str">
        <f t="shared" si="59"/>
        <v>No</v>
      </c>
      <c r="L3828">
        <f>ABS((C3828-EDA!$F$15)/EDA!$G$15)</f>
        <v>0.93592440008701738</v>
      </c>
      <c r="M3828" t="str">
        <f>IF(moras[[#This Row],[Z-Score Salario]]&gt;1.96, "Sí", "No")</f>
        <v>No</v>
      </c>
      <c r="N3828" s="14">
        <f>IF(ISBLANK(moras[[#This Row],[SALARIO]]), EDA!$M$8, moras[[#This Row],[SALARIO]])</f>
        <v>78817472</v>
      </c>
      <c r="O3828" s="14">
        <f xml:space="preserve"> IF(ISBLANK(moras[[#This Row],[EDAD]]), EDA!$E$8, moras[[#This Row],[EDAD]])</f>
        <v>20</v>
      </c>
      <c r="P3828" s="14" t="str">
        <f>IF(
    OR(ISBLANK(moras[[#This Row],[TIPO_ASEGURAMIENTO]]), moras[[#This Row],[TIPO_ASEGURAMIENTO]]=""),
    EDA!$A$32,
    moras[[#This Row],[TIPO_ASEGURAMIENTO]]
)</f>
        <v>ASALARIADO</v>
      </c>
    </row>
    <row r="3829" spans="1:16" x14ac:dyDescent="0.3">
      <c r="A3829">
        <v>3828</v>
      </c>
      <c r="B3829" t="s">
        <v>15</v>
      </c>
      <c r="C3829">
        <v>420405</v>
      </c>
      <c r="D3829" t="s">
        <v>10</v>
      </c>
      <c r="E3829" t="s">
        <v>11</v>
      </c>
      <c r="F3829" t="s">
        <v>12</v>
      </c>
      <c r="G3829" t="s">
        <v>13</v>
      </c>
      <c r="H3829" t="s">
        <v>13</v>
      </c>
      <c r="I3829">
        <v>21</v>
      </c>
      <c r="J3829">
        <f>ABS((I3829-EDA!$A$15)/EDA!$B$15)</f>
        <v>1.4806416187611704</v>
      </c>
      <c r="K3829" t="str">
        <f t="shared" si="59"/>
        <v>No</v>
      </c>
      <c r="L3829">
        <f>ABS((C3829-EDA!$F$15)/EDA!$G$15)</f>
        <v>0.36865813623880084</v>
      </c>
      <c r="M3829" t="str">
        <f>IF(moras[[#This Row],[Z-Score Salario]]&gt;1.96, "Sí", "No")</f>
        <v>No</v>
      </c>
      <c r="N3829" s="14">
        <f>IF(ISBLANK(moras[[#This Row],[SALARIO]]), EDA!$M$8, moras[[#This Row],[SALARIO]])</f>
        <v>420405</v>
      </c>
      <c r="O3829" s="14">
        <f xml:space="preserve"> IF(ISBLANK(moras[[#This Row],[EDAD]]), EDA!$E$8, moras[[#This Row],[EDAD]])</f>
        <v>21</v>
      </c>
      <c r="P3829" s="14" t="str">
        <f>IF(
    OR(ISBLANK(moras[[#This Row],[TIPO_ASEGURAMIENTO]]), moras[[#This Row],[TIPO_ASEGURAMIENTO]]=""),
    EDA!$A$32,
    moras[[#This Row],[TIPO_ASEGURAMIENTO]]
)</f>
        <v>ASALARIADO</v>
      </c>
    </row>
    <row r="3830" spans="1:16" x14ac:dyDescent="0.3">
      <c r="A3830">
        <v>3829</v>
      </c>
      <c r="B3830" t="s">
        <v>15</v>
      </c>
      <c r="C3830">
        <v>933264</v>
      </c>
      <c r="D3830" t="s">
        <v>18</v>
      </c>
      <c r="E3830" t="s">
        <v>16</v>
      </c>
      <c r="F3830" t="s">
        <v>12</v>
      </c>
      <c r="G3830" t="s">
        <v>13</v>
      </c>
      <c r="H3830" t="s">
        <v>12</v>
      </c>
      <c r="I3830">
        <v>40</v>
      </c>
      <c r="J3830">
        <f>ABS((I3830-EDA!$A$15)/EDA!$B$15)</f>
        <v>0.13971034729555773</v>
      </c>
      <c r="K3830" t="str">
        <f t="shared" si="59"/>
        <v>No</v>
      </c>
      <c r="L3830">
        <f>ABS((C3830-EDA!$F$15)/EDA!$G$15)</f>
        <v>0.36012380044537734</v>
      </c>
      <c r="M3830" t="str">
        <f>IF(moras[[#This Row],[Z-Score Salario]]&gt;1.96, "Sí", "No")</f>
        <v>No</v>
      </c>
      <c r="N3830" s="14">
        <f>IF(ISBLANK(moras[[#This Row],[SALARIO]]), EDA!$M$8, moras[[#This Row],[SALARIO]])</f>
        <v>933264</v>
      </c>
      <c r="O3830" s="14">
        <f xml:space="preserve"> IF(ISBLANK(moras[[#This Row],[EDAD]]), EDA!$E$8, moras[[#This Row],[EDAD]])</f>
        <v>40</v>
      </c>
      <c r="P3830" s="14" t="str">
        <f>IF(
    OR(ISBLANK(moras[[#This Row],[TIPO_ASEGURAMIENTO]]), moras[[#This Row],[TIPO_ASEGURAMIENTO]]=""),
    EDA!$A$32,
    moras[[#This Row],[TIPO_ASEGURAMIENTO]]
)</f>
        <v>TRABAJADOR INDEPENDIENTE</v>
      </c>
    </row>
    <row r="3831" spans="1:16" x14ac:dyDescent="0.3">
      <c r="A3831">
        <v>3830</v>
      </c>
      <c r="B3831" t="s">
        <v>15</v>
      </c>
      <c r="C3831">
        <v>1454350</v>
      </c>
      <c r="D3831" t="s">
        <v>10</v>
      </c>
      <c r="E3831" t="s">
        <v>16</v>
      </c>
      <c r="F3831" t="s">
        <v>12</v>
      </c>
      <c r="G3831" t="s">
        <v>13</v>
      </c>
      <c r="H3831" t="s">
        <v>13</v>
      </c>
      <c r="I3831">
        <v>36</v>
      </c>
      <c r="J3831">
        <f>ABS((I3831-EDA!$A$15)/EDA!$B$15)</f>
        <v>0.42201166760410774</v>
      </c>
      <c r="K3831" t="str">
        <f t="shared" si="59"/>
        <v>No</v>
      </c>
      <c r="L3831">
        <f>ABS((C3831-EDA!$F$15)/EDA!$G$15)</f>
        <v>0.35145256156441412</v>
      </c>
      <c r="M3831" t="str">
        <f>IF(moras[[#This Row],[Z-Score Salario]]&gt;1.96, "Sí", "No")</f>
        <v>No</v>
      </c>
      <c r="N3831" s="14">
        <f>IF(ISBLANK(moras[[#This Row],[SALARIO]]), EDA!$M$8, moras[[#This Row],[SALARIO]])</f>
        <v>1454350</v>
      </c>
      <c r="O3831" s="14">
        <f xml:space="preserve"> IF(ISBLANK(moras[[#This Row],[EDAD]]), EDA!$E$8, moras[[#This Row],[EDAD]])</f>
        <v>36</v>
      </c>
      <c r="P3831" s="14" t="str">
        <f>IF(
    OR(ISBLANK(moras[[#This Row],[TIPO_ASEGURAMIENTO]]), moras[[#This Row],[TIPO_ASEGURAMIENTO]]=""),
    EDA!$A$32,
    moras[[#This Row],[TIPO_ASEGURAMIENTO]]
)</f>
        <v>ASALARIADO</v>
      </c>
    </row>
    <row r="3832" spans="1:16" x14ac:dyDescent="0.3">
      <c r="A3832">
        <v>3831</v>
      </c>
      <c r="B3832" t="s">
        <v>15</v>
      </c>
      <c r="C3832">
        <v>280000</v>
      </c>
      <c r="D3832" t="s">
        <v>17</v>
      </c>
      <c r="E3832" t="s">
        <v>16</v>
      </c>
      <c r="F3832" t="s">
        <v>12</v>
      </c>
      <c r="G3832" t="s">
        <v>13</v>
      </c>
      <c r="H3832" t="s">
        <v>13</v>
      </c>
      <c r="I3832">
        <v>33</v>
      </c>
      <c r="J3832">
        <f>ABS((I3832-EDA!$A$15)/EDA!$B$15)</f>
        <v>0.63373765783552027</v>
      </c>
      <c r="K3832" t="str">
        <f t="shared" si="59"/>
        <v>No</v>
      </c>
      <c r="L3832">
        <f>ABS((C3832-EDA!$F$15)/EDA!$G$15)</f>
        <v>0.37099457455240292</v>
      </c>
      <c r="M3832" t="str">
        <f>IF(moras[[#This Row],[Z-Score Salario]]&gt;1.96, "Sí", "No")</f>
        <v>No</v>
      </c>
      <c r="N3832" s="14">
        <f>IF(ISBLANK(moras[[#This Row],[SALARIO]]), EDA!$M$8, moras[[#This Row],[SALARIO]])</f>
        <v>280000</v>
      </c>
      <c r="O3832" s="14">
        <f xml:space="preserve"> IF(ISBLANK(moras[[#This Row],[EDAD]]), EDA!$E$8, moras[[#This Row],[EDAD]])</f>
        <v>33</v>
      </c>
      <c r="P3832" s="14" t="str">
        <f>IF(
    OR(ISBLANK(moras[[#This Row],[TIPO_ASEGURAMIENTO]]), moras[[#This Row],[TIPO_ASEGURAMIENTO]]=""),
    EDA!$A$32,
    moras[[#This Row],[TIPO_ASEGURAMIENTO]]
)</f>
        <v>ASEGURADO VOLUNTARIO</v>
      </c>
    </row>
    <row r="3833" spans="1:16" x14ac:dyDescent="0.3">
      <c r="A3833">
        <v>3832</v>
      </c>
      <c r="B3833" t="s">
        <v>15</v>
      </c>
      <c r="C3833">
        <v>3988497</v>
      </c>
      <c r="D3833" t="s">
        <v>10</v>
      </c>
      <c r="E3833" t="s">
        <v>11</v>
      </c>
      <c r="F3833" t="s">
        <v>12</v>
      </c>
      <c r="G3833" t="s">
        <v>13</v>
      </c>
      <c r="H3833" t="s">
        <v>13</v>
      </c>
      <c r="I3833">
        <v>28</v>
      </c>
      <c r="J3833">
        <f>ABS((I3833-EDA!$A$15)/EDA!$B$15)</f>
        <v>0.98661430822120777</v>
      </c>
      <c r="K3833" t="str">
        <f t="shared" si="59"/>
        <v>No</v>
      </c>
      <c r="L3833">
        <f>ABS((C3833-EDA!$F$15)/EDA!$G$15)</f>
        <v>0.30928256659913739</v>
      </c>
      <c r="M3833" t="str">
        <f>IF(moras[[#This Row],[Z-Score Salario]]&gt;1.96, "Sí", "No")</f>
        <v>No</v>
      </c>
      <c r="N3833" s="14">
        <f>IF(ISBLANK(moras[[#This Row],[SALARIO]]), EDA!$M$8, moras[[#This Row],[SALARIO]])</f>
        <v>3988497</v>
      </c>
      <c r="O3833" s="14">
        <f xml:space="preserve"> IF(ISBLANK(moras[[#This Row],[EDAD]]), EDA!$E$8, moras[[#This Row],[EDAD]])</f>
        <v>28</v>
      </c>
      <c r="P3833" s="14" t="str">
        <f>IF(
    OR(ISBLANK(moras[[#This Row],[TIPO_ASEGURAMIENTO]]), moras[[#This Row],[TIPO_ASEGURAMIENTO]]=""),
    EDA!$A$32,
    moras[[#This Row],[TIPO_ASEGURAMIENTO]]
)</f>
        <v>ASALARIADO</v>
      </c>
    </row>
    <row r="3834" spans="1:16" x14ac:dyDescent="0.3">
      <c r="A3834">
        <v>3833</v>
      </c>
      <c r="B3834" t="s">
        <v>9</v>
      </c>
      <c r="C3834">
        <v>80951338</v>
      </c>
      <c r="D3834" t="s">
        <v>10</v>
      </c>
      <c r="E3834" t="s">
        <v>16</v>
      </c>
      <c r="F3834" t="s">
        <v>12</v>
      </c>
      <c r="G3834" t="s">
        <v>13</v>
      </c>
      <c r="H3834" t="s">
        <v>13</v>
      </c>
      <c r="I3834">
        <v>36</v>
      </c>
      <c r="J3834">
        <f>ABS((I3834-EDA!$A$15)/EDA!$B$15)</f>
        <v>0.42201166760410774</v>
      </c>
      <c r="K3834" t="str">
        <f t="shared" si="59"/>
        <v>No</v>
      </c>
      <c r="L3834">
        <f>ABS((C3834-EDA!$F$15)/EDA!$G$15)</f>
        <v>0.97143343664905391</v>
      </c>
      <c r="M3834" t="str">
        <f>IF(moras[[#This Row],[Z-Score Salario]]&gt;1.96, "Sí", "No")</f>
        <v>No</v>
      </c>
      <c r="N3834" s="14">
        <f>IF(ISBLANK(moras[[#This Row],[SALARIO]]), EDA!$M$8, moras[[#This Row],[SALARIO]])</f>
        <v>80951338</v>
      </c>
      <c r="O3834" s="14">
        <f xml:space="preserve"> IF(ISBLANK(moras[[#This Row],[EDAD]]), EDA!$E$8, moras[[#This Row],[EDAD]])</f>
        <v>36</v>
      </c>
      <c r="P3834" s="14" t="str">
        <f>IF(
    OR(ISBLANK(moras[[#This Row],[TIPO_ASEGURAMIENTO]]), moras[[#This Row],[TIPO_ASEGURAMIENTO]]=""),
    EDA!$A$32,
    moras[[#This Row],[TIPO_ASEGURAMIENTO]]
)</f>
        <v>ASALARIADO</v>
      </c>
    </row>
    <row r="3835" spans="1:16" x14ac:dyDescent="0.3">
      <c r="A3835">
        <v>3834</v>
      </c>
      <c r="B3835" t="s">
        <v>9</v>
      </c>
      <c r="C3835">
        <v>190140</v>
      </c>
      <c r="D3835" t="s">
        <v>10</v>
      </c>
      <c r="E3835" t="s">
        <v>16</v>
      </c>
      <c r="F3835" t="s">
        <v>12</v>
      </c>
      <c r="G3835" t="s">
        <v>12</v>
      </c>
      <c r="H3835" t="s">
        <v>13</v>
      </c>
      <c r="I3835">
        <v>31</v>
      </c>
      <c r="J3835">
        <f>ABS((I3835-EDA!$A$15)/EDA!$B$15)</f>
        <v>0.77488831798979529</v>
      </c>
      <c r="K3835" t="str">
        <f t="shared" si="59"/>
        <v>No</v>
      </c>
      <c r="L3835">
        <f>ABS((C3835-EDA!$F$15)/EDA!$G$15)</f>
        <v>0.37248990838567292</v>
      </c>
      <c r="M3835" t="str">
        <f>IF(moras[[#This Row],[Z-Score Salario]]&gt;1.96, "Sí", "No")</f>
        <v>No</v>
      </c>
      <c r="N3835" s="14">
        <f>IF(ISBLANK(moras[[#This Row],[SALARIO]]), EDA!$M$8, moras[[#This Row],[SALARIO]])</f>
        <v>190140</v>
      </c>
      <c r="O3835" s="14">
        <f xml:space="preserve"> IF(ISBLANK(moras[[#This Row],[EDAD]]), EDA!$E$8, moras[[#This Row],[EDAD]])</f>
        <v>31</v>
      </c>
      <c r="P3835" s="14" t="str">
        <f>IF(
    OR(ISBLANK(moras[[#This Row],[TIPO_ASEGURAMIENTO]]), moras[[#This Row],[TIPO_ASEGURAMIENTO]]=""),
    EDA!$A$32,
    moras[[#This Row],[TIPO_ASEGURAMIENTO]]
)</f>
        <v>ASALARIADO</v>
      </c>
    </row>
    <row r="3836" spans="1:16" x14ac:dyDescent="0.3">
      <c r="A3836">
        <v>3835</v>
      </c>
      <c r="B3836" t="s">
        <v>9</v>
      </c>
      <c r="C3836">
        <v>297045</v>
      </c>
      <c r="D3836" t="s">
        <v>17</v>
      </c>
      <c r="E3836" t="s">
        <v>16</v>
      </c>
      <c r="F3836" t="s">
        <v>12</v>
      </c>
      <c r="G3836" t="s">
        <v>13</v>
      </c>
      <c r="H3836" t="s">
        <v>13</v>
      </c>
      <c r="I3836">
        <v>52</v>
      </c>
      <c r="J3836">
        <f>ABS((I3836-EDA!$A$15)/EDA!$B$15)</f>
        <v>0.70719361363009237</v>
      </c>
      <c r="K3836" t="str">
        <f t="shared" si="59"/>
        <v>No</v>
      </c>
      <c r="L3836">
        <f>ABS((C3836-EDA!$F$15)/EDA!$G$15)</f>
        <v>0.37071093372012948</v>
      </c>
      <c r="M3836" t="str">
        <f>IF(moras[[#This Row],[Z-Score Salario]]&gt;1.96, "Sí", "No")</f>
        <v>No</v>
      </c>
      <c r="N3836" s="14">
        <f>IF(ISBLANK(moras[[#This Row],[SALARIO]]), EDA!$M$8, moras[[#This Row],[SALARIO]])</f>
        <v>297045</v>
      </c>
      <c r="O3836" s="14">
        <f xml:space="preserve"> IF(ISBLANK(moras[[#This Row],[EDAD]]), EDA!$E$8, moras[[#This Row],[EDAD]])</f>
        <v>52</v>
      </c>
      <c r="P3836" s="14" t="str">
        <f>IF(
    OR(ISBLANK(moras[[#This Row],[TIPO_ASEGURAMIENTO]]), moras[[#This Row],[TIPO_ASEGURAMIENTO]]=""),
    EDA!$A$32,
    moras[[#This Row],[TIPO_ASEGURAMIENTO]]
)</f>
        <v>ASEGURADO VOLUNTARIO</v>
      </c>
    </row>
    <row r="3837" spans="1:16" x14ac:dyDescent="0.3">
      <c r="A3837">
        <v>3836</v>
      </c>
      <c r="B3837" t="s">
        <v>9</v>
      </c>
      <c r="C3837">
        <v>46838006</v>
      </c>
      <c r="D3837" t="s">
        <v>10</v>
      </c>
      <c r="E3837" t="s">
        <v>16</v>
      </c>
      <c r="F3837" t="s">
        <v>12</v>
      </c>
      <c r="G3837" t="s">
        <v>13</v>
      </c>
      <c r="H3837" t="s">
        <v>13</v>
      </c>
      <c r="I3837">
        <v>61</v>
      </c>
      <c r="J3837">
        <f>ABS((I3837-EDA!$A$15)/EDA!$B$15)</f>
        <v>1.3423715843243298</v>
      </c>
      <c r="K3837" t="str">
        <f t="shared" si="59"/>
        <v>No</v>
      </c>
      <c r="L3837">
        <f>ABS((C3837-EDA!$F$15)/EDA!$G$15)</f>
        <v>0.40376351115190873</v>
      </c>
      <c r="M3837" t="str">
        <f>IF(moras[[#This Row],[Z-Score Salario]]&gt;1.96, "Sí", "No")</f>
        <v>No</v>
      </c>
      <c r="N3837" s="14">
        <f>IF(ISBLANK(moras[[#This Row],[SALARIO]]), EDA!$M$8, moras[[#This Row],[SALARIO]])</f>
        <v>46838006</v>
      </c>
      <c r="O3837" s="14">
        <f xml:space="preserve"> IF(ISBLANK(moras[[#This Row],[EDAD]]), EDA!$E$8, moras[[#This Row],[EDAD]])</f>
        <v>61</v>
      </c>
      <c r="P3837" s="14" t="str">
        <f>IF(
    OR(ISBLANK(moras[[#This Row],[TIPO_ASEGURAMIENTO]]), moras[[#This Row],[TIPO_ASEGURAMIENTO]]=""),
    EDA!$A$32,
    moras[[#This Row],[TIPO_ASEGURAMIENTO]]
)</f>
        <v>ASALARIADO</v>
      </c>
    </row>
    <row r="3838" spans="1:16" x14ac:dyDescent="0.3">
      <c r="A3838">
        <v>3837</v>
      </c>
      <c r="B3838" t="s">
        <v>9</v>
      </c>
      <c r="C3838">
        <v>62875238</v>
      </c>
      <c r="D3838" t="s">
        <v>10</v>
      </c>
      <c r="E3838" t="s">
        <v>16</v>
      </c>
      <c r="F3838" t="s">
        <v>12</v>
      </c>
      <c r="G3838" t="s">
        <v>13</v>
      </c>
      <c r="H3838" t="s">
        <v>13</v>
      </c>
      <c r="I3838">
        <v>29</v>
      </c>
      <c r="J3838">
        <f>ABS((I3838-EDA!$A$15)/EDA!$B$15)</f>
        <v>0.91603897814407031</v>
      </c>
      <c r="K3838" t="str">
        <f t="shared" si="59"/>
        <v>No</v>
      </c>
      <c r="L3838">
        <f>ABS((C3838-EDA!$F$15)/EDA!$G$15)</f>
        <v>0.67063437250958646</v>
      </c>
      <c r="M3838" t="str">
        <f>IF(moras[[#This Row],[Z-Score Salario]]&gt;1.96, "Sí", "No")</f>
        <v>No</v>
      </c>
      <c r="N3838" s="14">
        <f>IF(ISBLANK(moras[[#This Row],[SALARIO]]), EDA!$M$8, moras[[#This Row],[SALARIO]])</f>
        <v>62875238</v>
      </c>
      <c r="O3838" s="14">
        <f xml:space="preserve"> IF(ISBLANK(moras[[#This Row],[EDAD]]), EDA!$E$8, moras[[#This Row],[EDAD]])</f>
        <v>29</v>
      </c>
      <c r="P3838" s="14" t="str">
        <f>IF(
    OR(ISBLANK(moras[[#This Row],[TIPO_ASEGURAMIENTO]]), moras[[#This Row],[TIPO_ASEGURAMIENTO]]=""),
    EDA!$A$32,
    moras[[#This Row],[TIPO_ASEGURAMIENTO]]
)</f>
        <v>ASALARIADO</v>
      </c>
    </row>
    <row r="3839" spans="1:16" x14ac:dyDescent="0.3">
      <c r="A3839">
        <v>3838</v>
      </c>
      <c r="B3839" t="s">
        <v>15</v>
      </c>
      <c r="C3839">
        <v>78128324</v>
      </c>
      <c r="D3839" t="s">
        <v>10</v>
      </c>
      <c r="E3839" t="s">
        <v>11</v>
      </c>
      <c r="F3839" t="s">
        <v>12</v>
      </c>
      <c r="G3839" t="s">
        <v>13</v>
      </c>
      <c r="H3839" t="s">
        <v>13</v>
      </c>
      <c r="I3839">
        <v>30</v>
      </c>
      <c r="J3839">
        <f>ABS((I3839-EDA!$A$15)/EDA!$B$15)</f>
        <v>0.84546364806693275</v>
      </c>
      <c r="K3839" t="str">
        <f t="shared" si="59"/>
        <v>No</v>
      </c>
      <c r="L3839">
        <f>ABS((C3839-EDA!$F$15)/EDA!$G$15)</f>
        <v>0.92445649088903847</v>
      </c>
      <c r="M3839" t="str">
        <f>IF(moras[[#This Row],[Z-Score Salario]]&gt;1.96, "Sí", "No")</f>
        <v>No</v>
      </c>
      <c r="N3839" s="14">
        <f>IF(ISBLANK(moras[[#This Row],[SALARIO]]), EDA!$M$8, moras[[#This Row],[SALARIO]])</f>
        <v>78128324</v>
      </c>
      <c r="O3839" s="14">
        <f xml:space="preserve"> IF(ISBLANK(moras[[#This Row],[EDAD]]), EDA!$E$8, moras[[#This Row],[EDAD]])</f>
        <v>30</v>
      </c>
      <c r="P3839" s="14" t="str">
        <f>IF(
    OR(ISBLANK(moras[[#This Row],[TIPO_ASEGURAMIENTO]]), moras[[#This Row],[TIPO_ASEGURAMIENTO]]=""),
    EDA!$A$32,
    moras[[#This Row],[TIPO_ASEGURAMIENTO]]
)</f>
        <v>ASALARIADO</v>
      </c>
    </row>
    <row r="3840" spans="1:16" x14ac:dyDescent="0.3">
      <c r="A3840">
        <v>3839</v>
      </c>
      <c r="B3840" t="s">
        <v>15</v>
      </c>
      <c r="C3840">
        <v>436446475</v>
      </c>
      <c r="D3840" t="s">
        <v>10</v>
      </c>
      <c r="E3840" t="s">
        <v>11</v>
      </c>
      <c r="F3840" t="s">
        <v>12</v>
      </c>
      <c r="G3840" t="s">
        <v>13</v>
      </c>
      <c r="H3840" t="s">
        <v>13</v>
      </c>
      <c r="I3840">
        <v>39</v>
      </c>
      <c r="J3840">
        <f>ABS((I3840-EDA!$A$15)/EDA!$B$15)</f>
        <v>0.21028567737269524</v>
      </c>
      <c r="K3840" t="str">
        <f t="shared" si="59"/>
        <v>No</v>
      </c>
      <c r="L3840">
        <f>ABS((C3840-EDA!$F$15)/EDA!$G$15)</f>
        <v>6.8871234646822996</v>
      </c>
      <c r="M3840" t="str">
        <f>IF(moras[[#This Row],[Z-Score Salario]]&gt;1.96, "Sí", "No")</f>
        <v>Sí</v>
      </c>
      <c r="N3840" s="14">
        <f>IF(ISBLANK(moras[[#This Row],[SALARIO]]), EDA!$M$8, moras[[#This Row],[SALARIO]])</f>
        <v>436446475</v>
      </c>
      <c r="O3840" s="14">
        <f xml:space="preserve"> IF(ISBLANK(moras[[#This Row],[EDAD]]), EDA!$E$8, moras[[#This Row],[EDAD]])</f>
        <v>39</v>
      </c>
      <c r="P3840" s="14" t="str">
        <f>IF(
    OR(ISBLANK(moras[[#This Row],[TIPO_ASEGURAMIENTO]]), moras[[#This Row],[TIPO_ASEGURAMIENTO]]=""),
    EDA!$A$32,
    moras[[#This Row],[TIPO_ASEGURAMIENTO]]
)</f>
        <v>ASALARIADO</v>
      </c>
    </row>
    <row r="3841" spans="1:16" x14ac:dyDescent="0.3">
      <c r="A3841">
        <v>3840</v>
      </c>
      <c r="B3841" t="s">
        <v>9</v>
      </c>
      <c r="C3841">
        <v>49373609</v>
      </c>
      <c r="D3841" t="s">
        <v>10</v>
      </c>
      <c r="E3841" t="s">
        <v>16</v>
      </c>
      <c r="F3841" t="s">
        <v>12</v>
      </c>
      <c r="G3841" t="s">
        <v>12</v>
      </c>
      <c r="H3841" t="s">
        <v>13</v>
      </c>
      <c r="I3841">
        <v>31</v>
      </c>
      <c r="J3841">
        <f>ABS((I3841-EDA!$A$15)/EDA!$B$15)</f>
        <v>0.77488831798979529</v>
      </c>
      <c r="K3841" t="str">
        <f t="shared" si="59"/>
        <v>No</v>
      </c>
      <c r="L3841">
        <f>ABS((C3841-EDA!$F$15)/EDA!$G$15)</f>
        <v>0.44595773498499364</v>
      </c>
      <c r="M3841" t="str">
        <f>IF(moras[[#This Row],[Z-Score Salario]]&gt;1.96, "Sí", "No")</f>
        <v>No</v>
      </c>
      <c r="N3841" s="14">
        <f>IF(ISBLANK(moras[[#This Row],[SALARIO]]), EDA!$M$8, moras[[#This Row],[SALARIO]])</f>
        <v>49373609</v>
      </c>
      <c r="O3841" s="14">
        <f xml:space="preserve"> IF(ISBLANK(moras[[#This Row],[EDAD]]), EDA!$E$8, moras[[#This Row],[EDAD]])</f>
        <v>31</v>
      </c>
      <c r="P3841" s="14" t="str">
        <f>IF(
    OR(ISBLANK(moras[[#This Row],[TIPO_ASEGURAMIENTO]]), moras[[#This Row],[TIPO_ASEGURAMIENTO]]=""),
    EDA!$A$32,
    moras[[#This Row],[TIPO_ASEGURAMIENTO]]
)</f>
        <v>ASALARIADO</v>
      </c>
    </row>
    <row r="3842" spans="1:16" x14ac:dyDescent="0.3">
      <c r="A3842">
        <v>3841</v>
      </c>
      <c r="B3842" t="s">
        <v>9</v>
      </c>
      <c r="C3842">
        <v>914000</v>
      </c>
      <c r="D3842" t="s">
        <v>10</v>
      </c>
      <c r="E3842" t="s">
        <v>16</v>
      </c>
      <c r="F3842" t="s">
        <v>12</v>
      </c>
      <c r="G3842" t="s">
        <v>13</v>
      </c>
      <c r="H3842" t="s">
        <v>13</v>
      </c>
      <c r="I3842">
        <v>27</v>
      </c>
      <c r="J3842">
        <f>ABS((I3842-EDA!$A$15)/EDA!$B$15)</f>
        <v>1.0571896382983452</v>
      </c>
      <c r="K3842" t="str">
        <f t="shared" ref="K3842:K3905" si="60">IF(J3842 &gt;  1.96, "Sí","No")</f>
        <v>No</v>
      </c>
      <c r="L3842">
        <f>ABS((C3842-EDA!$F$15)/EDA!$G$15)</f>
        <v>0.3604443670040699</v>
      </c>
      <c r="M3842" t="str">
        <f>IF(moras[[#This Row],[Z-Score Salario]]&gt;1.96, "Sí", "No")</f>
        <v>No</v>
      </c>
      <c r="N3842" s="14">
        <f>IF(ISBLANK(moras[[#This Row],[SALARIO]]), EDA!$M$8, moras[[#This Row],[SALARIO]])</f>
        <v>914000</v>
      </c>
      <c r="O3842" s="14">
        <f xml:space="preserve"> IF(ISBLANK(moras[[#This Row],[EDAD]]), EDA!$E$8, moras[[#This Row],[EDAD]])</f>
        <v>27</v>
      </c>
      <c r="P3842" s="14" t="str">
        <f>IF(
    OR(ISBLANK(moras[[#This Row],[TIPO_ASEGURAMIENTO]]), moras[[#This Row],[TIPO_ASEGURAMIENTO]]=""),
    EDA!$A$32,
    moras[[#This Row],[TIPO_ASEGURAMIENTO]]
)</f>
        <v>ASALARIADO</v>
      </c>
    </row>
    <row r="3843" spans="1:16" x14ac:dyDescent="0.3">
      <c r="A3843">
        <v>3842</v>
      </c>
      <c r="B3843" t="s">
        <v>9</v>
      </c>
      <c r="C3843">
        <v>278030</v>
      </c>
      <c r="D3843" t="s">
        <v>19</v>
      </c>
      <c r="E3843" t="s">
        <v>16</v>
      </c>
      <c r="F3843" t="s">
        <v>12</v>
      </c>
      <c r="G3843" t="s">
        <v>13</v>
      </c>
      <c r="H3843" t="s">
        <v>13</v>
      </c>
      <c r="I3843">
        <v>34</v>
      </c>
      <c r="J3843">
        <f>ABS((I3843-EDA!$A$15)/EDA!$B$15)</f>
        <v>0.56316232775838282</v>
      </c>
      <c r="K3843" t="str">
        <f t="shared" si="60"/>
        <v>No</v>
      </c>
      <c r="L3843">
        <f>ABS((C3843-EDA!$F$15)/EDA!$G$15)</f>
        <v>0.37102735674304993</v>
      </c>
      <c r="M3843" t="str">
        <f>IF(moras[[#This Row],[Z-Score Salario]]&gt;1.96, "Sí", "No")</f>
        <v>No</v>
      </c>
      <c r="N3843" s="14">
        <f>IF(ISBLANK(moras[[#This Row],[SALARIO]]), EDA!$M$8, moras[[#This Row],[SALARIO]])</f>
        <v>278030</v>
      </c>
      <c r="O3843" s="14">
        <f xml:space="preserve"> IF(ISBLANK(moras[[#This Row],[EDAD]]), EDA!$E$8, moras[[#This Row],[EDAD]])</f>
        <v>34</v>
      </c>
      <c r="P3843" s="14" t="str">
        <f>IF(
    OR(ISBLANK(moras[[#This Row],[TIPO_ASEGURAMIENTO]]), moras[[#This Row],[TIPO_ASEGURAMIENTO]]=""),
    EDA!$A$32,
    moras[[#This Row],[TIPO_ASEGURAMIENTO]]
)</f>
        <v>CONVENIOS ESPECIALES DE TRABAJADORES INDEPENDIENTES</v>
      </c>
    </row>
    <row r="3844" spans="1:16" x14ac:dyDescent="0.3">
      <c r="A3844">
        <v>3843</v>
      </c>
      <c r="B3844" t="s">
        <v>15</v>
      </c>
      <c r="C3844">
        <v>1192788</v>
      </c>
      <c r="D3844" t="s">
        <v>14</v>
      </c>
      <c r="E3844" t="s">
        <v>11</v>
      </c>
      <c r="F3844" t="s">
        <v>12</v>
      </c>
      <c r="G3844" t="s">
        <v>13</v>
      </c>
      <c r="H3844" t="s">
        <v>13</v>
      </c>
      <c r="I3844">
        <v>71</v>
      </c>
      <c r="J3844">
        <f>ABS((I3844-EDA!$A$15)/EDA!$B$15)</f>
        <v>2.0481248850957048</v>
      </c>
      <c r="K3844" t="str">
        <f t="shared" si="60"/>
        <v>Sí</v>
      </c>
      <c r="L3844">
        <f>ABS((C3844-EDA!$F$15)/EDA!$G$15)</f>
        <v>0.35580513788422025</v>
      </c>
      <c r="M3844" t="str">
        <f>IF(moras[[#This Row],[Z-Score Salario]]&gt;1.96, "Sí", "No")</f>
        <v>No</v>
      </c>
      <c r="N3844" s="14">
        <f>IF(ISBLANK(moras[[#This Row],[SALARIO]]), EDA!$M$8, moras[[#This Row],[SALARIO]])</f>
        <v>1192788</v>
      </c>
      <c r="O3844" s="14">
        <f xml:space="preserve"> IF(ISBLANK(moras[[#This Row],[EDAD]]), EDA!$E$8, moras[[#This Row],[EDAD]])</f>
        <v>71</v>
      </c>
      <c r="P3844" s="14" t="str">
        <f>IF(
    OR(ISBLANK(moras[[#This Row],[TIPO_ASEGURAMIENTO]]), moras[[#This Row],[TIPO_ASEGURAMIENTO]]=""),
    EDA!$A$32,
    moras[[#This Row],[TIPO_ASEGURAMIENTO]]
)</f>
        <v>PENSIONADOS EN SU PROPIO SISTEMA</v>
      </c>
    </row>
    <row r="3845" spans="1:16" x14ac:dyDescent="0.3">
      <c r="A3845">
        <v>3844</v>
      </c>
      <c r="B3845" t="s">
        <v>15</v>
      </c>
      <c r="C3845">
        <v>1203125</v>
      </c>
      <c r="D3845" t="s">
        <v>10</v>
      </c>
      <c r="E3845" t="s">
        <v>16</v>
      </c>
      <c r="F3845" t="s">
        <v>12</v>
      </c>
      <c r="G3845" t="s">
        <v>13</v>
      </c>
      <c r="H3845" t="s">
        <v>13</v>
      </c>
      <c r="I3845">
        <v>35</v>
      </c>
      <c r="J3845">
        <f>ABS((I3845-EDA!$A$15)/EDA!$B$15)</f>
        <v>0.49258699768124525</v>
      </c>
      <c r="K3845" t="str">
        <f t="shared" si="60"/>
        <v>No</v>
      </c>
      <c r="L3845">
        <f>ABS((C3845-EDA!$F$15)/EDA!$G$15)</f>
        <v>0.35563312290720589</v>
      </c>
      <c r="M3845" t="str">
        <f>IF(moras[[#This Row],[Z-Score Salario]]&gt;1.96, "Sí", "No")</f>
        <v>No</v>
      </c>
      <c r="N3845" s="14">
        <f>IF(ISBLANK(moras[[#This Row],[SALARIO]]), EDA!$M$8, moras[[#This Row],[SALARIO]])</f>
        <v>1203125</v>
      </c>
      <c r="O3845" s="14">
        <f xml:space="preserve"> IF(ISBLANK(moras[[#This Row],[EDAD]]), EDA!$E$8, moras[[#This Row],[EDAD]])</f>
        <v>35</v>
      </c>
      <c r="P3845" s="14" t="str">
        <f>IF(
    OR(ISBLANK(moras[[#This Row],[TIPO_ASEGURAMIENTO]]), moras[[#This Row],[TIPO_ASEGURAMIENTO]]=""),
    EDA!$A$32,
    moras[[#This Row],[TIPO_ASEGURAMIENTO]]
)</f>
        <v>ASALARIADO</v>
      </c>
    </row>
    <row r="3846" spans="1:16" x14ac:dyDescent="0.3">
      <c r="A3846">
        <v>3845</v>
      </c>
      <c r="B3846" t="s">
        <v>15</v>
      </c>
      <c r="C3846">
        <v>405871</v>
      </c>
      <c r="D3846" t="s">
        <v>18</v>
      </c>
      <c r="E3846" t="s">
        <v>16</v>
      </c>
      <c r="F3846" t="s">
        <v>12</v>
      </c>
      <c r="G3846" t="s">
        <v>13</v>
      </c>
      <c r="H3846" t="s">
        <v>13</v>
      </c>
      <c r="I3846">
        <v>67</v>
      </c>
      <c r="J3846">
        <f>ABS((I3846-EDA!$A$15)/EDA!$B$15)</f>
        <v>1.765823564787155</v>
      </c>
      <c r="K3846" t="str">
        <f t="shared" si="60"/>
        <v>No</v>
      </c>
      <c r="L3846">
        <f>ABS((C3846-EDA!$F$15)/EDA!$G$15)</f>
        <v>0.36889999225852871</v>
      </c>
      <c r="M3846" t="str">
        <f>IF(moras[[#This Row],[Z-Score Salario]]&gt;1.96, "Sí", "No")</f>
        <v>No</v>
      </c>
      <c r="N3846" s="14">
        <f>IF(ISBLANK(moras[[#This Row],[SALARIO]]), EDA!$M$8, moras[[#This Row],[SALARIO]])</f>
        <v>405871</v>
      </c>
      <c r="O3846" s="14">
        <f xml:space="preserve"> IF(ISBLANK(moras[[#This Row],[EDAD]]), EDA!$E$8, moras[[#This Row],[EDAD]])</f>
        <v>67</v>
      </c>
      <c r="P3846" s="14" t="str">
        <f>IF(
    OR(ISBLANK(moras[[#This Row],[TIPO_ASEGURAMIENTO]]), moras[[#This Row],[TIPO_ASEGURAMIENTO]]=""),
    EDA!$A$32,
    moras[[#This Row],[TIPO_ASEGURAMIENTO]]
)</f>
        <v>TRABAJADOR INDEPENDIENTE</v>
      </c>
    </row>
    <row r="3847" spans="1:16" x14ac:dyDescent="0.3">
      <c r="A3847">
        <v>3846</v>
      </c>
      <c r="B3847" t="s">
        <v>9</v>
      </c>
      <c r="C3847">
        <v>6412165</v>
      </c>
      <c r="D3847" t="s">
        <v>10</v>
      </c>
      <c r="E3847" t="s">
        <v>16</v>
      </c>
      <c r="F3847" t="s">
        <v>12</v>
      </c>
      <c r="G3847" t="s">
        <v>13</v>
      </c>
      <c r="H3847" t="s">
        <v>13</v>
      </c>
      <c r="I3847">
        <v>28</v>
      </c>
      <c r="J3847">
        <f>ABS((I3847-EDA!$A$15)/EDA!$B$15)</f>
        <v>0.98661430822120777</v>
      </c>
      <c r="K3847" t="str">
        <f t="shared" si="60"/>
        <v>No</v>
      </c>
      <c r="L3847">
        <f>ABS((C3847-EDA!$F$15)/EDA!$G$15)</f>
        <v>0.2689510201823343</v>
      </c>
      <c r="M3847" t="str">
        <f>IF(moras[[#This Row],[Z-Score Salario]]&gt;1.96, "Sí", "No")</f>
        <v>No</v>
      </c>
      <c r="N3847" s="14">
        <f>IF(ISBLANK(moras[[#This Row],[SALARIO]]), EDA!$M$8, moras[[#This Row],[SALARIO]])</f>
        <v>6412165</v>
      </c>
      <c r="O3847" s="14">
        <f xml:space="preserve"> IF(ISBLANK(moras[[#This Row],[EDAD]]), EDA!$E$8, moras[[#This Row],[EDAD]])</f>
        <v>28</v>
      </c>
      <c r="P3847" s="14" t="str">
        <f>IF(
    OR(ISBLANK(moras[[#This Row],[TIPO_ASEGURAMIENTO]]), moras[[#This Row],[TIPO_ASEGURAMIENTO]]=""),
    EDA!$A$32,
    moras[[#This Row],[TIPO_ASEGURAMIENTO]]
)</f>
        <v>ASALARIADO</v>
      </c>
    </row>
    <row r="3848" spans="1:16" x14ac:dyDescent="0.3">
      <c r="A3848">
        <v>3847</v>
      </c>
      <c r="B3848" t="s">
        <v>9</v>
      </c>
      <c r="C3848">
        <v>310000</v>
      </c>
      <c r="D3848" t="s">
        <v>10</v>
      </c>
      <c r="E3848" t="s">
        <v>16</v>
      </c>
      <c r="F3848" t="s">
        <v>12</v>
      </c>
      <c r="G3848" t="s">
        <v>13</v>
      </c>
      <c r="H3848" t="s">
        <v>13</v>
      </c>
      <c r="I3848">
        <v>28</v>
      </c>
      <c r="J3848">
        <f>ABS((I3848-EDA!$A$15)/EDA!$B$15)</f>
        <v>0.98661430822120777</v>
      </c>
      <c r="K3848" t="str">
        <f t="shared" si="60"/>
        <v>No</v>
      </c>
      <c r="L3848">
        <f>ABS((C3848-EDA!$F$15)/EDA!$G$15)</f>
        <v>0.37049535337503697</v>
      </c>
      <c r="M3848" t="str">
        <f>IF(moras[[#This Row],[Z-Score Salario]]&gt;1.96, "Sí", "No")</f>
        <v>No</v>
      </c>
      <c r="N3848" s="14">
        <f>IF(ISBLANK(moras[[#This Row],[SALARIO]]), EDA!$M$8, moras[[#This Row],[SALARIO]])</f>
        <v>310000</v>
      </c>
      <c r="O3848" s="14">
        <f xml:space="preserve"> IF(ISBLANK(moras[[#This Row],[EDAD]]), EDA!$E$8, moras[[#This Row],[EDAD]])</f>
        <v>28</v>
      </c>
      <c r="P3848" s="14" t="str">
        <f>IF(
    OR(ISBLANK(moras[[#This Row],[TIPO_ASEGURAMIENTO]]), moras[[#This Row],[TIPO_ASEGURAMIENTO]]=""),
    EDA!$A$32,
    moras[[#This Row],[TIPO_ASEGURAMIENTO]]
)</f>
        <v>ASALARIADO</v>
      </c>
    </row>
    <row r="3849" spans="1:16" x14ac:dyDescent="0.3">
      <c r="A3849">
        <v>3848</v>
      </c>
      <c r="B3849" t="s">
        <v>9</v>
      </c>
      <c r="C3849">
        <v>613320</v>
      </c>
      <c r="D3849" t="s">
        <v>21</v>
      </c>
      <c r="E3849" t="s">
        <v>16</v>
      </c>
      <c r="F3849" t="s">
        <v>12</v>
      </c>
      <c r="G3849" t="s">
        <v>12</v>
      </c>
      <c r="H3849" t="s">
        <v>13</v>
      </c>
      <c r="I3849">
        <v>72</v>
      </c>
      <c r="J3849">
        <f>ABS((I3849-EDA!$A$15)/EDA!$B$15)</f>
        <v>2.1187002151728422</v>
      </c>
      <c r="K3849" t="str">
        <f t="shared" si="60"/>
        <v>Sí</v>
      </c>
      <c r="L3849">
        <f>ABS((C3849-EDA!$F$15)/EDA!$G$15)</f>
        <v>0.36544789445774933</v>
      </c>
      <c r="M3849" t="str">
        <f>IF(moras[[#This Row],[Z-Score Salario]]&gt;1.96, "Sí", "No")</f>
        <v>No</v>
      </c>
      <c r="N3849" s="14">
        <f>IF(ISBLANK(moras[[#This Row],[SALARIO]]), EDA!$M$8, moras[[#This Row],[SALARIO]])</f>
        <v>613320</v>
      </c>
      <c r="O3849" s="14">
        <f xml:space="preserve"> IF(ISBLANK(moras[[#This Row],[EDAD]]), EDA!$E$8, moras[[#This Row],[EDAD]])</f>
        <v>72</v>
      </c>
      <c r="P3849" s="14" t="str">
        <f>IF(
    OR(ISBLANK(moras[[#This Row],[TIPO_ASEGURAMIENTO]]), moras[[#This Row],[TIPO_ASEGURAMIENTO]]=""),
    EDA!$A$32,
    moras[[#This Row],[TIPO_ASEGURAMIENTO]]
)</f>
        <v>CONVENIOS ESPECIALES DE ASEGURADOS VOLUNTARIOS</v>
      </c>
    </row>
    <row r="3850" spans="1:16" x14ac:dyDescent="0.3">
      <c r="A3850">
        <v>3849</v>
      </c>
      <c r="B3850" t="s">
        <v>9</v>
      </c>
      <c r="C3850">
        <v>27696448</v>
      </c>
      <c r="D3850" t="s">
        <v>10</v>
      </c>
      <c r="E3850" t="s">
        <v>16</v>
      </c>
      <c r="F3850" t="s">
        <v>12</v>
      </c>
      <c r="G3850" t="s">
        <v>12</v>
      </c>
      <c r="H3850" t="s">
        <v>12</v>
      </c>
      <c r="I3850">
        <v>28</v>
      </c>
      <c r="J3850">
        <f>ABS((I3850-EDA!$A$15)/EDA!$B$15)</f>
        <v>0.98661430822120777</v>
      </c>
      <c r="K3850" t="str">
        <f t="shared" si="60"/>
        <v>No</v>
      </c>
      <c r="L3850">
        <f>ABS((C3850-EDA!$F$15)/EDA!$G$15)</f>
        <v>8.5234473772643579E-2</v>
      </c>
      <c r="M3850" t="str">
        <f>IF(moras[[#This Row],[Z-Score Salario]]&gt;1.96, "Sí", "No")</f>
        <v>No</v>
      </c>
      <c r="N3850" s="14">
        <f>IF(ISBLANK(moras[[#This Row],[SALARIO]]), EDA!$M$8, moras[[#This Row],[SALARIO]])</f>
        <v>27696448</v>
      </c>
      <c r="O3850" s="14">
        <f xml:space="preserve"> IF(ISBLANK(moras[[#This Row],[EDAD]]), EDA!$E$8, moras[[#This Row],[EDAD]])</f>
        <v>28</v>
      </c>
      <c r="P3850" s="14" t="str">
        <f>IF(
    OR(ISBLANK(moras[[#This Row],[TIPO_ASEGURAMIENTO]]), moras[[#This Row],[TIPO_ASEGURAMIENTO]]=""),
    EDA!$A$32,
    moras[[#This Row],[TIPO_ASEGURAMIENTO]]
)</f>
        <v>ASALARIADO</v>
      </c>
    </row>
    <row r="3851" spans="1:16" x14ac:dyDescent="0.3">
      <c r="A3851">
        <v>3850</v>
      </c>
      <c r="B3851" t="s">
        <v>9</v>
      </c>
      <c r="C3851">
        <v>449750</v>
      </c>
      <c r="D3851" t="s">
        <v>10</v>
      </c>
      <c r="E3851" t="s">
        <v>16</v>
      </c>
      <c r="F3851" t="s">
        <v>12</v>
      </c>
      <c r="G3851" t="s">
        <v>13</v>
      </c>
      <c r="H3851" t="s">
        <v>13</v>
      </c>
      <c r="I3851">
        <v>28</v>
      </c>
      <c r="J3851">
        <f>ABS((I3851-EDA!$A$15)/EDA!$B$15)</f>
        <v>0.98661430822120777</v>
      </c>
      <c r="K3851" t="str">
        <f t="shared" si="60"/>
        <v>No</v>
      </c>
      <c r="L3851">
        <f>ABS((C3851-EDA!$F$15)/EDA!$G$15)</f>
        <v>0.36816981472380744</v>
      </c>
      <c r="M3851" t="str">
        <f>IF(moras[[#This Row],[Z-Score Salario]]&gt;1.96, "Sí", "No")</f>
        <v>No</v>
      </c>
      <c r="N3851" s="14">
        <f>IF(ISBLANK(moras[[#This Row],[SALARIO]]), EDA!$M$8, moras[[#This Row],[SALARIO]])</f>
        <v>449750</v>
      </c>
      <c r="O3851" s="14">
        <f xml:space="preserve"> IF(ISBLANK(moras[[#This Row],[EDAD]]), EDA!$E$8, moras[[#This Row],[EDAD]])</f>
        <v>28</v>
      </c>
      <c r="P3851" s="14" t="str">
        <f>IF(
    OR(ISBLANK(moras[[#This Row],[TIPO_ASEGURAMIENTO]]), moras[[#This Row],[TIPO_ASEGURAMIENTO]]=""),
    EDA!$A$32,
    moras[[#This Row],[TIPO_ASEGURAMIENTO]]
)</f>
        <v>ASALARIADO</v>
      </c>
    </row>
    <row r="3852" spans="1:16" x14ac:dyDescent="0.3">
      <c r="A3852">
        <v>3851</v>
      </c>
      <c r="B3852" t="s">
        <v>9</v>
      </c>
      <c r="C3852">
        <v>88768945</v>
      </c>
      <c r="D3852" t="s">
        <v>10</v>
      </c>
      <c r="E3852" t="s">
        <v>11</v>
      </c>
      <c r="F3852" t="s">
        <v>12</v>
      </c>
      <c r="G3852" t="s">
        <v>13</v>
      </c>
      <c r="H3852" t="s">
        <v>13</v>
      </c>
      <c r="I3852">
        <v>29</v>
      </c>
      <c r="J3852">
        <f>ABS((I3852-EDA!$A$15)/EDA!$B$15)</f>
        <v>0.91603897814407031</v>
      </c>
      <c r="K3852" t="str">
        <f t="shared" si="60"/>
        <v>No</v>
      </c>
      <c r="L3852">
        <f>ABS((C3852-EDA!$F$15)/EDA!$G$15)</f>
        <v>1.1015239356731878</v>
      </c>
      <c r="M3852" t="str">
        <f>IF(moras[[#This Row],[Z-Score Salario]]&gt;1.96, "Sí", "No")</f>
        <v>No</v>
      </c>
      <c r="N3852" s="14">
        <f>IF(ISBLANK(moras[[#This Row],[SALARIO]]), EDA!$M$8, moras[[#This Row],[SALARIO]])</f>
        <v>88768945</v>
      </c>
      <c r="O3852" s="14">
        <f xml:space="preserve"> IF(ISBLANK(moras[[#This Row],[EDAD]]), EDA!$E$8, moras[[#This Row],[EDAD]])</f>
        <v>29</v>
      </c>
      <c r="P3852" s="14" t="str">
        <f>IF(
    OR(ISBLANK(moras[[#This Row],[TIPO_ASEGURAMIENTO]]), moras[[#This Row],[TIPO_ASEGURAMIENTO]]=""),
    EDA!$A$32,
    moras[[#This Row],[TIPO_ASEGURAMIENTO]]
)</f>
        <v>ASALARIADO</v>
      </c>
    </row>
    <row r="3853" spans="1:16" x14ac:dyDescent="0.3">
      <c r="A3853">
        <v>3852</v>
      </c>
      <c r="B3853" t="s">
        <v>15</v>
      </c>
      <c r="C3853">
        <v>7292307</v>
      </c>
      <c r="D3853" t="s">
        <v>10</v>
      </c>
      <c r="E3853" t="s">
        <v>11</v>
      </c>
      <c r="F3853" t="s">
        <v>12</v>
      </c>
      <c r="G3853" t="s">
        <v>13</v>
      </c>
      <c r="H3853" t="s">
        <v>13</v>
      </c>
      <c r="I3853">
        <v>27</v>
      </c>
      <c r="J3853">
        <f>ABS((I3853-EDA!$A$15)/EDA!$B$15)</f>
        <v>1.0571896382983452</v>
      </c>
      <c r="K3853" t="str">
        <f t="shared" si="60"/>
        <v>No</v>
      </c>
      <c r="L3853">
        <f>ABS((C3853-EDA!$F$15)/EDA!$G$15)</f>
        <v>0.25430483599936127</v>
      </c>
      <c r="M3853" t="str">
        <f>IF(moras[[#This Row],[Z-Score Salario]]&gt;1.96, "Sí", "No")</f>
        <v>No</v>
      </c>
      <c r="N3853" s="14">
        <f>IF(ISBLANK(moras[[#This Row],[SALARIO]]), EDA!$M$8, moras[[#This Row],[SALARIO]])</f>
        <v>7292307</v>
      </c>
      <c r="O3853" s="14">
        <f xml:space="preserve"> IF(ISBLANK(moras[[#This Row],[EDAD]]), EDA!$E$8, moras[[#This Row],[EDAD]])</f>
        <v>27</v>
      </c>
      <c r="P3853" s="14" t="str">
        <f>IF(
    OR(ISBLANK(moras[[#This Row],[TIPO_ASEGURAMIENTO]]), moras[[#This Row],[TIPO_ASEGURAMIENTO]]=""),
    EDA!$A$32,
    moras[[#This Row],[TIPO_ASEGURAMIENTO]]
)</f>
        <v>ASALARIADO</v>
      </c>
    </row>
    <row r="3854" spans="1:16" x14ac:dyDescent="0.3">
      <c r="A3854">
        <v>3853</v>
      </c>
      <c r="B3854" t="s">
        <v>9</v>
      </c>
      <c r="C3854">
        <v>388492</v>
      </c>
      <c r="D3854" t="s">
        <v>10</v>
      </c>
      <c r="E3854" t="s">
        <v>16</v>
      </c>
      <c r="F3854" t="s">
        <v>12</v>
      </c>
      <c r="G3854" t="s">
        <v>13</v>
      </c>
      <c r="H3854" t="s">
        <v>13</v>
      </c>
      <c r="I3854">
        <v>21</v>
      </c>
      <c r="J3854">
        <f>ABS((I3854-EDA!$A$15)/EDA!$B$15)</f>
        <v>1.4806416187611704</v>
      </c>
      <c r="K3854" t="str">
        <f t="shared" si="60"/>
        <v>No</v>
      </c>
      <c r="L3854">
        <f>ABS((C3854-EDA!$F$15)/EDA!$G$15)</f>
        <v>0.36918919108657677</v>
      </c>
      <c r="M3854" t="str">
        <f>IF(moras[[#This Row],[Z-Score Salario]]&gt;1.96, "Sí", "No")</f>
        <v>No</v>
      </c>
      <c r="N3854" s="14">
        <f>IF(ISBLANK(moras[[#This Row],[SALARIO]]), EDA!$M$8, moras[[#This Row],[SALARIO]])</f>
        <v>388492</v>
      </c>
      <c r="O3854" s="14">
        <f xml:space="preserve"> IF(ISBLANK(moras[[#This Row],[EDAD]]), EDA!$E$8, moras[[#This Row],[EDAD]])</f>
        <v>21</v>
      </c>
      <c r="P3854" s="14" t="str">
        <f>IF(
    OR(ISBLANK(moras[[#This Row],[TIPO_ASEGURAMIENTO]]), moras[[#This Row],[TIPO_ASEGURAMIENTO]]=""),
    EDA!$A$32,
    moras[[#This Row],[TIPO_ASEGURAMIENTO]]
)</f>
        <v>ASALARIADO</v>
      </c>
    </row>
    <row r="3855" spans="1:16" x14ac:dyDescent="0.3">
      <c r="A3855">
        <v>3854</v>
      </c>
      <c r="B3855" t="s">
        <v>9</v>
      </c>
      <c r="C3855">
        <v>396286</v>
      </c>
      <c r="D3855" t="s">
        <v>10</v>
      </c>
      <c r="E3855" t="s">
        <v>16</v>
      </c>
      <c r="F3855" t="s">
        <v>12</v>
      </c>
      <c r="G3855" t="s">
        <v>13</v>
      </c>
      <c r="H3855" t="s">
        <v>13</v>
      </c>
      <c r="I3855">
        <v>37</v>
      </c>
      <c r="J3855">
        <f>ABS((I3855-EDA!$A$15)/EDA!$B$15)</f>
        <v>0.35143633752697023</v>
      </c>
      <c r="K3855" t="str">
        <f t="shared" si="60"/>
        <v>No</v>
      </c>
      <c r="L3855">
        <f>ABS((C3855-EDA!$F$15)/EDA!$G$15)</f>
        <v>0.36905949342469713</v>
      </c>
      <c r="M3855" t="str">
        <f>IF(moras[[#This Row],[Z-Score Salario]]&gt;1.96, "Sí", "No")</f>
        <v>No</v>
      </c>
      <c r="N3855" s="14">
        <f>IF(ISBLANK(moras[[#This Row],[SALARIO]]), EDA!$M$8, moras[[#This Row],[SALARIO]])</f>
        <v>396286</v>
      </c>
      <c r="O3855" s="14">
        <f xml:space="preserve"> IF(ISBLANK(moras[[#This Row],[EDAD]]), EDA!$E$8, moras[[#This Row],[EDAD]])</f>
        <v>37</v>
      </c>
      <c r="P3855" s="14" t="str">
        <f>IF(
    OR(ISBLANK(moras[[#This Row],[TIPO_ASEGURAMIENTO]]), moras[[#This Row],[TIPO_ASEGURAMIENTO]]=""),
    EDA!$A$32,
    moras[[#This Row],[TIPO_ASEGURAMIENTO]]
)</f>
        <v>ASALARIADO</v>
      </c>
    </row>
    <row r="3856" spans="1:16" x14ac:dyDescent="0.3">
      <c r="A3856">
        <v>3855</v>
      </c>
      <c r="B3856" t="s">
        <v>15</v>
      </c>
      <c r="C3856">
        <v>1386388</v>
      </c>
      <c r="D3856" t="s">
        <v>14</v>
      </c>
      <c r="E3856" t="s">
        <v>11</v>
      </c>
      <c r="F3856" t="s">
        <v>12</v>
      </c>
      <c r="G3856" t="s">
        <v>13</v>
      </c>
      <c r="H3856" t="s">
        <v>13</v>
      </c>
      <c r="I3856">
        <v>75</v>
      </c>
      <c r="J3856">
        <f>ABS((I3856-EDA!$A$15)/EDA!$B$15)</f>
        <v>2.330426205404255</v>
      </c>
      <c r="K3856" t="str">
        <f t="shared" si="60"/>
        <v>Sí</v>
      </c>
      <c r="L3856">
        <f>ABS((C3856-EDA!$F$15)/EDA!$G$15)</f>
        <v>0.3525834972196189</v>
      </c>
      <c r="M3856" t="str">
        <f>IF(moras[[#This Row],[Z-Score Salario]]&gt;1.96, "Sí", "No")</f>
        <v>No</v>
      </c>
      <c r="N3856" s="14">
        <f>IF(ISBLANK(moras[[#This Row],[SALARIO]]), EDA!$M$8, moras[[#This Row],[SALARIO]])</f>
        <v>1386388</v>
      </c>
      <c r="O3856" s="14">
        <f xml:space="preserve"> IF(ISBLANK(moras[[#This Row],[EDAD]]), EDA!$E$8, moras[[#This Row],[EDAD]])</f>
        <v>75</v>
      </c>
      <c r="P3856" s="14" t="str">
        <f>IF(
    OR(ISBLANK(moras[[#This Row],[TIPO_ASEGURAMIENTO]]), moras[[#This Row],[TIPO_ASEGURAMIENTO]]=""),
    EDA!$A$32,
    moras[[#This Row],[TIPO_ASEGURAMIENTO]]
)</f>
        <v>PENSIONADOS EN SU PROPIO SISTEMA</v>
      </c>
    </row>
    <row r="3857" spans="1:16" x14ac:dyDescent="0.3">
      <c r="A3857">
        <v>3856</v>
      </c>
      <c r="B3857" t="s">
        <v>15</v>
      </c>
      <c r="C3857">
        <v>983308</v>
      </c>
      <c r="D3857" t="s">
        <v>10</v>
      </c>
      <c r="E3857" t="s">
        <v>16</v>
      </c>
      <c r="F3857" t="s">
        <v>12</v>
      </c>
      <c r="G3857" t="s">
        <v>13</v>
      </c>
      <c r="H3857" t="s">
        <v>13</v>
      </c>
      <c r="I3857">
        <v>27</v>
      </c>
      <c r="J3857">
        <f>ABS((I3857-EDA!$A$15)/EDA!$B$15)</f>
        <v>1.0571896382983452</v>
      </c>
      <c r="K3857" t="str">
        <f t="shared" si="60"/>
        <v>No</v>
      </c>
      <c r="L3857">
        <f>ABS((C3857-EDA!$F$15)/EDA!$G$15)</f>
        <v>0.35929103295870735</v>
      </c>
      <c r="M3857" t="str">
        <f>IF(moras[[#This Row],[Z-Score Salario]]&gt;1.96, "Sí", "No")</f>
        <v>No</v>
      </c>
      <c r="N3857" s="14">
        <f>IF(ISBLANK(moras[[#This Row],[SALARIO]]), EDA!$M$8, moras[[#This Row],[SALARIO]])</f>
        <v>983308</v>
      </c>
      <c r="O3857" s="14">
        <f xml:space="preserve"> IF(ISBLANK(moras[[#This Row],[EDAD]]), EDA!$E$8, moras[[#This Row],[EDAD]])</f>
        <v>27</v>
      </c>
      <c r="P3857" s="14" t="str">
        <f>IF(
    OR(ISBLANK(moras[[#This Row],[TIPO_ASEGURAMIENTO]]), moras[[#This Row],[TIPO_ASEGURAMIENTO]]=""),
    EDA!$A$32,
    moras[[#This Row],[TIPO_ASEGURAMIENTO]]
)</f>
        <v>ASALARIADO</v>
      </c>
    </row>
    <row r="3858" spans="1:16" x14ac:dyDescent="0.3">
      <c r="A3858">
        <v>3857</v>
      </c>
      <c r="B3858" t="s">
        <v>9</v>
      </c>
      <c r="C3858">
        <v>1007583</v>
      </c>
      <c r="D3858" t="s">
        <v>18</v>
      </c>
      <c r="E3858" t="s">
        <v>16</v>
      </c>
      <c r="F3858" t="s">
        <v>12</v>
      </c>
      <c r="G3858" t="s">
        <v>13</v>
      </c>
      <c r="H3858" t="s">
        <v>13</v>
      </c>
      <c r="I3858">
        <v>76</v>
      </c>
      <c r="J3858">
        <f>ABS((I3858-EDA!$A$15)/EDA!$B$15)</f>
        <v>2.4010015354813925</v>
      </c>
      <c r="K3858" t="str">
        <f t="shared" si="60"/>
        <v>Sí</v>
      </c>
      <c r="L3858">
        <f>ABS((C3858-EDA!$F$15)/EDA!$G$15)</f>
        <v>0.35888707982268875</v>
      </c>
      <c r="M3858" t="str">
        <f>IF(moras[[#This Row],[Z-Score Salario]]&gt;1.96, "Sí", "No")</f>
        <v>No</v>
      </c>
      <c r="N3858" s="14">
        <f>IF(ISBLANK(moras[[#This Row],[SALARIO]]), EDA!$M$8, moras[[#This Row],[SALARIO]])</f>
        <v>1007583</v>
      </c>
      <c r="O3858" s="14">
        <f xml:space="preserve"> IF(ISBLANK(moras[[#This Row],[EDAD]]), EDA!$E$8, moras[[#This Row],[EDAD]])</f>
        <v>76</v>
      </c>
      <c r="P3858" s="14" t="str">
        <f>IF(
    OR(ISBLANK(moras[[#This Row],[TIPO_ASEGURAMIENTO]]), moras[[#This Row],[TIPO_ASEGURAMIENTO]]=""),
    EDA!$A$32,
    moras[[#This Row],[TIPO_ASEGURAMIENTO]]
)</f>
        <v>TRABAJADOR INDEPENDIENTE</v>
      </c>
    </row>
    <row r="3859" spans="1:16" x14ac:dyDescent="0.3">
      <c r="A3859">
        <v>3858</v>
      </c>
      <c r="B3859" t="s">
        <v>15</v>
      </c>
      <c r="C3859">
        <v>1104599</v>
      </c>
      <c r="D3859" t="s">
        <v>10</v>
      </c>
      <c r="E3859" t="s">
        <v>11</v>
      </c>
      <c r="F3859" t="s">
        <v>12</v>
      </c>
      <c r="G3859" t="s">
        <v>13</v>
      </c>
      <c r="H3859" t="s">
        <v>13</v>
      </c>
      <c r="I3859">
        <v>50</v>
      </c>
      <c r="J3859">
        <f>ABS((I3859-EDA!$A$15)/EDA!$B$15)</f>
        <v>0.56604295347581735</v>
      </c>
      <c r="K3859" t="str">
        <f t="shared" si="60"/>
        <v>No</v>
      </c>
      <c r="L3859">
        <f>ABS((C3859-EDA!$F$15)/EDA!$G$15)</f>
        <v>0.357272665097911</v>
      </c>
      <c r="M3859" t="str">
        <f>IF(moras[[#This Row],[Z-Score Salario]]&gt;1.96, "Sí", "No")</f>
        <v>No</v>
      </c>
      <c r="N3859" s="14">
        <f>IF(ISBLANK(moras[[#This Row],[SALARIO]]), EDA!$M$8, moras[[#This Row],[SALARIO]])</f>
        <v>1104599</v>
      </c>
      <c r="O3859" s="14">
        <f xml:space="preserve"> IF(ISBLANK(moras[[#This Row],[EDAD]]), EDA!$E$8, moras[[#This Row],[EDAD]])</f>
        <v>50</v>
      </c>
      <c r="P3859" s="14" t="str">
        <f>IF(
    OR(ISBLANK(moras[[#This Row],[TIPO_ASEGURAMIENTO]]), moras[[#This Row],[TIPO_ASEGURAMIENTO]]=""),
    EDA!$A$32,
    moras[[#This Row],[TIPO_ASEGURAMIENTO]]
)</f>
        <v>ASALARIADO</v>
      </c>
    </row>
    <row r="3860" spans="1:16" x14ac:dyDescent="0.3">
      <c r="A3860">
        <v>3859</v>
      </c>
      <c r="B3860" t="s">
        <v>9</v>
      </c>
      <c r="C3860">
        <v>35060515</v>
      </c>
      <c r="D3860" t="s">
        <v>10</v>
      </c>
      <c r="E3860" t="s">
        <v>16</v>
      </c>
      <c r="F3860" t="s">
        <v>12</v>
      </c>
      <c r="G3860" t="s">
        <v>13</v>
      </c>
      <c r="H3860" t="s">
        <v>13</v>
      </c>
      <c r="I3860">
        <v>31</v>
      </c>
      <c r="J3860">
        <f>ABS((I3860-EDA!$A$15)/EDA!$B$15)</f>
        <v>0.77488831798979529</v>
      </c>
      <c r="K3860" t="str">
        <f t="shared" si="60"/>
        <v>No</v>
      </c>
      <c r="L3860">
        <f>ABS((C3860-EDA!$F$15)/EDA!$G$15)</f>
        <v>0.20777774703735971</v>
      </c>
      <c r="M3860" t="str">
        <f>IF(moras[[#This Row],[Z-Score Salario]]&gt;1.96, "Sí", "No")</f>
        <v>No</v>
      </c>
      <c r="N3860" s="14">
        <f>IF(ISBLANK(moras[[#This Row],[SALARIO]]), EDA!$M$8, moras[[#This Row],[SALARIO]])</f>
        <v>35060515</v>
      </c>
      <c r="O3860" s="14">
        <f xml:space="preserve"> IF(ISBLANK(moras[[#This Row],[EDAD]]), EDA!$E$8, moras[[#This Row],[EDAD]])</f>
        <v>31</v>
      </c>
      <c r="P3860" s="14" t="str">
        <f>IF(
    OR(ISBLANK(moras[[#This Row],[TIPO_ASEGURAMIENTO]]), moras[[#This Row],[TIPO_ASEGURAMIENTO]]=""),
    EDA!$A$32,
    moras[[#This Row],[TIPO_ASEGURAMIENTO]]
)</f>
        <v>ASALARIADO</v>
      </c>
    </row>
    <row r="3861" spans="1:16" x14ac:dyDescent="0.3">
      <c r="A3861">
        <v>3860</v>
      </c>
      <c r="B3861" t="s">
        <v>9</v>
      </c>
      <c r="C3861">
        <v>3487494</v>
      </c>
      <c r="D3861" t="s">
        <v>10</v>
      </c>
      <c r="E3861" t="s">
        <v>16</v>
      </c>
      <c r="F3861" t="s">
        <v>12</v>
      </c>
      <c r="G3861" t="s">
        <v>13</v>
      </c>
      <c r="H3861" t="s">
        <v>13</v>
      </c>
      <c r="I3861">
        <v>55</v>
      </c>
      <c r="J3861">
        <f>ABS((I3861-EDA!$A$15)/EDA!$B$15)</f>
        <v>0.91891960386150484</v>
      </c>
      <c r="K3861" t="str">
        <f t="shared" si="60"/>
        <v>No</v>
      </c>
      <c r="L3861">
        <f>ABS((C3861-EDA!$F$15)/EDA!$G$15)</f>
        <v>0.3176196101832659</v>
      </c>
      <c r="M3861" t="str">
        <f>IF(moras[[#This Row],[Z-Score Salario]]&gt;1.96, "Sí", "No")</f>
        <v>No</v>
      </c>
      <c r="N3861" s="14">
        <f>IF(ISBLANK(moras[[#This Row],[SALARIO]]), EDA!$M$8, moras[[#This Row],[SALARIO]])</f>
        <v>3487494</v>
      </c>
      <c r="O3861" s="14">
        <f xml:space="preserve"> IF(ISBLANK(moras[[#This Row],[EDAD]]), EDA!$E$8, moras[[#This Row],[EDAD]])</f>
        <v>55</v>
      </c>
      <c r="P3861" s="14" t="str">
        <f>IF(
    OR(ISBLANK(moras[[#This Row],[TIPO_ASEGURAMIENTO]]), moras[[#This Row],[TIPO_ASEGURAMIENTO]]=""),
    EDA!$A$32,
    moras[[#This Row],[TIPO_ASEGURAMIENTO]]
)</f>
        <v>ASALARIADO</v>
      </c>
    </row>
    <row r="3862" spans="1:16" x14ac:dyDescent="0.3">
      <c r="A3862">
        <v>3861</v>
      </c>
      <c r="B3862" t="s">
        <v>9</v>
      </c>
      <c r="C3862">
        <v>299784</v>
      </c>
      <c r="D3862" t="s">
        <v>18</v>
      </c>
      <c r="E3862" t="s">
        <v>16</v>
      </c>
      <c r="F3862" t="s">
        <v>12</v>
      </c>
      <c r="G3862" t="s">
        <v>13</v>
      </c>
      <c r="H3862" t="s">
        <v>13</v>
      </c>
      <c r="I3862">
        <v>56</v>
      </c>
      <c r="J3862">
        <f>ABS((I3862-EDA!$A$15)/EDA!$B$15)</f>
        <v>0.9894949339386423</v>
      </c>
      <c r="K3862" t="str">
        <f t="shared" si="60"/>
        <v>No</v>
      </c>
      <c r="L3862">
        <f>ABS((C3862-EDA!$F$15)/EDA!$G$15)</f>
        <v>0.37066535482663598</v>
      </c>
      <c r="M3862" t="str">
        <f>IF(moras[[#This Row],[Z-Score Salario]]&gt;1.96, "Sí", "No")</f>
        <v>No</v>
      </c>
      <c r="N3862" s="14">
        <f>IF(ISBLANK(moras[[#This Row],[SALARIO]]), EDA!$M$8, moras[[#This Row],[SALARIO]])</f>
        <v>299784</v>
      </c>
      <c r="O3862" s="14">
        <f xml:space="preserve"> IF(ISBLANK(moras[[#This Row],[EDAD]]), EDA!$E$8, moras[[#This Row],[EDAD]])</f>
        <v>56</v>
      </c>
      <c r="P3862" s="14" t="str">
        <f>IF(
    OR(ISBLANK(moras[[#This Row],[TIPO_ASEGURAMIENTO]]), moras[[#This Row],[TIPO_ASEGURAMIENTO]]=""),
    EDA!$A$32,
    moras[[#This Row],[TIPO_ASEGURAMIENTO]]
)</f>
        <v>TRABAJADOR INDEPENDIENTE</v>
      </c>
    </row>
    <row r="3863" spans="1:16" x14ac:dyDescent="0.3">
      <c r="A3863">
        <v>3862</v>
      </c>
      <c r="B3863" t="s">
        <v>15</v>
      </c>
      <c r="C3863">
        <v>540083</v>
      </c>
      <c r="D3863" t="s">
        <v>18</v>
      </c>
      <c r="E3863" t="s">
        <v>16</v>
      </c>
      <c r="F3863" t="s">
        <v>12</v>
      </c>
      <c r="G3863" t="s">
        <v>12</v>
      </c>
      <c r="H3863" t="s">
        <v>12</v>
      </c>
      <c r="I3863">
        <v>55</v>
      </c>
      <c r="J3863">
        <f>ABS((I3863-EDA!$A$15)/EDA!$B$15)</f>
        <v>0.91891960386150484</v>
      </c>
      <c r="K3863" t="str">
        <f t="shared" si="60"/>
        <v>No</v>
      </c>
      <c r="L3863">
        <f>ABS((C3863-EDA!$F$15)/EDA!$G$15)</f>
        <v>0.3666666098366409</v>
      </c>
      <c r="M3863" t="str">
        <f>IF(moras[[#This Row],[Z-Score Salario]]&gt;1.96, "Sí", "No")</f>
        <v>No</v>
      </c>
      <c r="N3863" s="14">
        <f>IF(ISBLANK(moras[[#This Row],[SALARIO]]), EDA!$M$8, moras[[#This Row],[SALARIO]])</f>
        <v>540083</v>
      </c>
      <c r="O3863" s="14">
        <f xml:space="preserve"> IF(ISBLANK(moras[[#This Row],[EDAD]]), EDA!$E$8, moras[[#This Row],[EDAD]])</f>
        <v>55</v>
      </c>
      <c r="P3863" s="14" t="str">
        <f>IF(
    OR(ISBLANK(moras[[#This Row],[TIPO_ASEGURAMIENTO]]), moras[[#This Row],[TIPO_ASEGURAMIENTO]]=""),
    EDA!$A$32,
    moras[[#This Row],[TIPO_ASEGURAMIENTO]]
)</f>
        <v>TRABAJADOR INDEPENDIENTE</v>
      </c>
    </row>
    <row r="3864" spans="1:16" x14ac:dyDescent="0.3">
      <c r="A3864">
        <v>3863</v>
      </c>
      <c r="B3864" t="s">
        <v>9</v>
      </c>
      <c r="C3864">
        <v>9912287</v>
      </c>
      <c r="D3864" t="s">
        <v>10</v>
      </c>
      <c r="E3864" t="s">
        <v>16</v>
      </c>
      <c r="F3864" t="s">
        <v>12</v>
      </c>
      <c r="G3864" t="s">
        <v>13</v>
      </c>
      <c r="H3864" t="s">
        <v>13</v>
      </c>
      <c r="I3864">
        <v>44</v>
      </c>
      <c r="J3864">
        <f>ABS((I3864-EDA!$A$15)/EDA!$B$15)</f>
        <v>0.14259097301299228</v>
      </c>
      <c r="K3864" t="str">
        <f t="shared" si="60"/>
        <v>No</v>
      </c>
      <c r="L3864">
        <f>ABS((C3864-EDA!$F$15)/EDA!$G$15)</f>
        <v>0.21070651932352288</v>
      </c>
      <c r="M3864" t="str">
        <f>IF(moras[[#This Row],[Z-Score Salario]]&gt;1.96, "Sí", "No")</f>
        <v>No</v>
      </c>
      <c r="N3864" s="14">
        <f>IF(ISBLANK(moras[[#This Row],[SALARIO]]), EDA!$M$8, moras[[#This Row],[SALARIO]])</f>
        <v>9912287</v>
      </c>
      <c r="O3864" s="14">
        <f xml:space="preserve"> IF(ISBLANK(moras[[#This Row],[EDAD]]), EDA!$E$8, moras[[#This Row],[EDAD]])</f>
        <v>44</v>
      </c>
      <c r="P3864" s="14" t="str">
        <f>IF(
    OR(ISBLANK(moras[[#This Row],[TIPO_ASEGURAMIENTO]]), moras[[#This Row],[TIPO_ASEGURAMIENTO]]=""),
    EDA!$A$32,
    moras[[#This Row],[TIPO_ASEGURAMIENTO]]
)</f>
        <v>ASALARIADO</v>
      </c>
    </row>
    <row r="3865" spans="1:16" x14ac:dyDescent="0.3">
      <c r="A3865">
        <v>3864</v>
      </c>
      <c r="B3865" t="s">
        <v>9</v>
      </c>
      <c r="C3865">
        <v>278030</v>
      </c>
      <c r="D3865" t="s">
        <v>19</v>
      </c>
      <c r="E3865" t="s">
        <v>16</v>
      </c>
      <c r="F3865" t="s">
        <v>12</v>
      </c>
      <c r="G3865" t="s">
        <v>13</v>
      </c>
      <c r="H3865" t="s">
        <v>13</v>
      </c>
      <c r="I3865">
        <v>49</v>
      </c>
      <c r="J3865">
        <f>ABS((I3865-EDA!$A$15)/EDA!$B$15)</f>
        <v>0.49546762339867978</v>
      </c>
      <c r="K3865" t="str">
        <f t="shared" si="60"/>
        <v>No</v>
      </c>
      <c r="L3865">
        <f>ABS((C3865-EDA!$F$15)/EDA!$G$15)</f>
        <v>0.37102735674304993</v>
      </c>
      <c r="M3865" t="str">
        <f>IF(moras[[#This Row],[Z-Score Salario]]&gt;1.96, "Sí", "No")</f>
        <v>No</v>
      </c>
      <c r="N3865" s="14">
        <f>IF(ISBLANK(moras[[#This Row],[SALARIO]]), EDA!$M$8, moras[[#This Row],[SALARIO]])</f>
        <v>278030</v>
      </c>
      <c r="O3865" s="14">
        <f xml:space="preserve"> IF(ISBLANK(moras[[#This Row],[EDAD]]), EDA!$E$8, moras[[#This Row],[EDAD]])</f>
        <v>49</v>
      </c>
      <c r="P3865" s="14" t="str">
        <f>IF(
    OR(ISBLANK(moras[[#This Row],[TIPO_ASEGURAMIENTO]]), moras[[#This Row],[TIPO_ASEGURAMIENTO]]=""),
    EDA!$A$32,
    moras[[#This Row],[TIPO_ASEGURAMIENTO]]
)</f>
        <v>CONVENIOS ESPECIALES DE TRABAJADORES INDEPENDIENTES</v>
      </c>
    </row>
    <row r="3866" spans="1:16" x14ac:dyDescent="0.3">
      <c r="A3866">
        <v>3865</v>
      </c>
      <c r="B3866" t="s">
        <v>15</v>
      </c>
      <c r="C3866">
        <v>306545</v>
      </c>
      <c r="D3866" t="s">
        <v>10</v>
      </c>
      <c r="E3866" t="s">
        <v>11</v>
      </c>
      <c r="F3866" t="s">
        <v>12</v>
      </c>
      <c r="G3866" t="s">
        <v>13</v>
      </c>
      <c r="H3866" t="s">
        <v>12</v>
      </c>
      <c r="I3866">
        <v>39</v>
      </c>
      <c r="J3866">
        <f>ABS((I3866-EDA!$A$15)/EDA!$B$15)</f>
        <v>0.21028567737269524</v>
      </c>
      <c r="K3866" t="str">
        <f t="shared" si="60"/>
        <v>No</v>
      </c>
      <c r="L3866">
        <f>ABS((C3866-EDA!$F$15)/EDA!$G$15)</f>
        <v>0.37055284701396363</v>
      </c>
      <c r="M3866" t="str">
        <f>IF(moras[[#This Row],[Z-Score Salario]]&gt;1.96, "Sí", "No")</f>
        <v>No</v>
      </c>
      <c r="N3866" s="14">
        <f>IF(ISBLANK(moras[[#This Row],[SALARIO]]), EDA!$M$8, moras[[#This Row],[SALARIO]])</f>
        <v>306545</v>
      </c>
      <c r="O3866" s="14">
        <f xml:space="preserve"> IF(ISBLANK(moras[[#This Row],[EDAD]]), EDA!$E$8, moras[[#This Row],[EDAD]])</f>
        <v>39</v>
      </c>
      <c r="P3866" s="14" t="str">
        <f>IF(
    OR(ISBLANK(moras[[#This Row],[TIPO_ASEGURAMIENTO]]), moras[[#This Row],[TIPO_ASEGURAMIENTO]]=""),
    EDA!$A$32,
    moras[[#This Row],[TIPO_ASEGURAMIENTO]]
)</f>
        <v>ASALARIADO</v>
      </c>
    </row>
    <row r="3867" spans="1:16" x14ac:dyDescent="0.3">
      <c r="A3867">
        <v>3866</v>
      </c>
      <c r="B3867" t="s">
        <v>9</v>
      </c>
      <c r="C3867">
        <v>63912135</v>
      </c>
      <c r="D3867" t="s">
        <v>10</v>
      </c>
      <c r="E3867" t="s">
        <v>16</v>
      </c>
      <c r="F3867" t="s">
        <v>12</v>
      </c>
      <c r="G3867" t="s">
        <v>13</v>
      </c>
      <c r="H3867" t="s">
        <v>13</v>
      </c>
      <c r="I3867">
        <v>36</v>
      </c>
      <c r="J3867">
        <f>ABS((I3867-EDA!$A$15)/EDA!$B$15)</f>
        <v>0.42201166760410774</v>
      </c>
      <c r="K3867" t="str">
        <f t="shared" si="60"/>
        <v>No</v>
      </c>
      <c r="L3867">
        <f>ABS((C3867-EDA!$F$15)/EDA!$G$15)</f>
        <v>0.687889070547826</v>
      </c>
      <c r="M3867" t="str">
        <f>IF(moras[[#This Row],[Z-Score Salario]]&gt;1.96, "Sí", "No")</f>
        <v>No</v>
      </c>
      <c r="N3867" s="14">
        <f>IF(ISBLANK(moras[[#This Row],[SALARIO]]), EDA!$M$8, moras[[#This Row],[SALARIO]])</f>
        <v>63912135</v>
      </c>
      <c r="O3867" s="14">
        <f xml:space="preserve"> IF(ISBLANK(moras[[#This Row],[EDAD]]), EDA!$E$8, moras[[#This Row],[EDAD]])</f>
        <v>36</v>
      </c>
      <c r="P3867" s="14" t="str">
        <f>IF(
    OR(ISBLANK(moras[[#This Row],[TIPO_ASEGURAMIENTO]]), moras[[#This Row],[TIPO_ASEGURAMIENTO]]=""),
    EDA!$A$32,
    moras[[#This Row],[TIPO_ASEGURAMIENTO]]
)</f>
        <v>ASALARIADO</v>
      </c>
    </row>
    <row r="3868" spans="1:16" x14ac:dyDescent="0.3">
      <c r="A3868">
        <v>3867</v>
      </c>
      <c r="B3868" t="s">
        <v>9</v>
      </c>
      <c r="C3868">
        <v>42251414</v>
      </c>
      <c r="D3868" t="s">
        <v>10</v>
      </c>
      <c r="E3868" t="s">
        <v>16</v>
      </c>
      <c r="F3868" t="s">
        <v>12</v>
      </c>
      <c r="G3868" t="s">
        <v>13</v>
      </c>
      <c r="H3868" t="s">
        <v>13</v>
      </c>
      <c r="I3868">
        <v>33</v>
      </c>
      <c r="J3868">
        <f>ABS((I3868-EDA!$A$15)/EDA!$B$15)</f>
        <v>0.63373765783552027</v>
      </c>
      <c r="K3868" t="str">
        <f t="shared" si="60"/>
        <v>No</v>
      </c>
      <c r="L3868">
        <f>ABS((C3868-EDA!$F$15)/EDA!$G$15)</f>
        <v>0.32743938254067245</v>
      </c>
      <c r="M3868" t="str">
        <f>IF(moras[[#This Row],[Z-Score Salario]]&gt;1.96, "Sí", "No")</f>
        <v>No</v>
      </c>
      <c r="N3868" s="14">
        <f>IF(ISBLANK(moras[[#This Row],[SALARIO]]), EDA!$M$8, moras[[#This Row],[SALARIO]])</f>
        <v>42251414</v>
      </c>
      <c r="O3868" s="14">
        <f xml:space="preserve"> IF(ISBLANK(moras[[#This Row],[EDAD]]), EDA!$E$8, moras[[#This Row],[EDAD]])</f>
        <v>33</v>
      </c>
      <c r="P3868" s="14" t="str">
        <f>IF(
    OR(ISBLANK(moras[[#This Row],[TIPO_ASEGURAMIENTO]]), moras[[#This Row],[TIPO_ASEGURAMIENTO]]=""),
    EDA!$A$32,
    moras[[#This Row],[TIPO_ASEGURAMIENTO]]
)</f>
        <v>ASALARIADO</v>
      </c>
    </row>
    <row r="3869" spans="1:16" x14ac:dyDescent="0.3">
      <c r="A3869">
        <v>3868</v>
      </c>
      <c r="B3869" t="s">
        <v>9</v>
      </c>
      <c r="C3869">
        <v>639148</v>
      </c>
      <c r="D3869" t="s">
        <v>18</v>
      </c>
      <c r="E3869" t="s">
        <v>16</v>
      </c>
      <c r="F3869" t="s">
        <v>12</v>
      </c>
      <c r="G3869" t="s">
        <v>13</v>
      </c>
      <c r="H3869" t="s">
        <v>13</v>
      </c>
      <c r="I3869">
        <v>61</v>
      </c>
      <c r="J3869">
        <f>ABS((I3869-EDA!$A$15)/EDA!$B$15)</f>
        <v>1.3423715843243298</v>
      </c>
      <c r="K3869" t="str">
        <f t="shared" si="60"/>
        <v>No</v>
      </c>
      <c r="L3869">
        <f>ABS((C3869-EDA!$F$15)/EDA!$G$15)</f>
        <v>0.36501809830544912</v>
      </c>
      <c r="M3869" t="str">
        <f>IF(moras[[#This Row],[Z-Score Salario]]&gt;1.96, "Sí", "No")</f>
        <v>No</v>
      </c>
      <c r="N3869" s="14">
        <f>IF(ISBLANK(moras[[#This Row],[SALARIO]]), EDA!$M$8, moras[[#This Row],[SALARIO]])</f>
        <v>639148</v>
      </c>
      <c r="O3869" s="14">
        <f xml:space="preserve"> IF(ISBLANK(moras[[#This Row],[EDAD]]), EDA!$E$8, moras[[#This Row],[EDAD]])</f>
        <v>61</v>
      </c>
      <c r="P3869" s="14" t="str">
        <f>IF(
    OR(ISBLANK(moras[[#This Row],[TIPO_ASEGURAMIENTO]]), moras[[#This Row],[TIPO_ASEGURAMIENTO]]=""),
    EDA!$A$32,
    moras[[#This Row],[TIPO_ASEGURAMIENTO]]
)</f>
        <v>TRABAJADOR INDEPENDIENTE</v>
      </c>
    </row>
    <row r="3870" spans="1:16" x14ac:dyDescent="0.3">
      <c r="A3870">
        <v>3869</v>
      </c>
      <c r="B3870" t="s">
        <v>15</v>
      </c>
      <c r="C3870">
        <v>43876265</v>
      </c>
      <c r="D3870" t="s">
        <v>10</v>
      </c>
      <c r="E3870" t="s">
        <v>16</v>
      </c>
      <c r="F3870" t="s">
        <v>12</v>
      </c>
      <c r="G3870" t="s">
        <v>13</v>
      </c>
      <c r="H3870" t="s">
        <v>12</v>
      </c>
      <c r="I3870">
        <v>24</v>
      </c>
      <c r="J3870">
        <f>ABS((I3870-EDA!$A$15)/EDA!$B$15)</f>
        <v>1.2689156285297578</v>
      </c>
      <c r="K3870" t="str">
        <f t="shared" si="60"/>
        <v>No</v>
      </c>
      <c r="L3870">
        <f>ABS((C3870-EDA!$F$15)/EDA!$G$15)</f>
        <v>0.35447805018281198</v>
      </c>
      <c r="M3870" t="str">
        <f>IF(moras[[#This Row],[Z-Score Salario]]&gt;1.96, "Sí", "No")</f>
        <v>No</v>
      </c>
      <c r="N3870" s="14">
        <f>IF(ISBLANK(moras[[#This Row],[SALARIO]]), EDA!$M$8, moras[[#This Row],[SALARIO]])</f>
        <v>43876265</v>
      </c>
      <c r="O3870" s="14">
        <f xml:space="preserve"> IF(ISBLANK(moras[[#This Row],[EDAD]]), EDA!$E$8, moras[[#This Row],[EDAD]])</f>
        <v>24</v>
      </c>
      <c r="P3870" s="14" t="str">
        <f>IF(
    OR(ISBLANK(moras[[#This Row],[TIPO_ASEGURAMIENTO]]), moras[[#This Row],[TIPO_ASEGURAMIENTO]]=""),
    EDA!$A$32,
    moras[[#This Row],[TIPO_ASEGURAMIENTO]]
)</f>
        <v>ASALARIADO</v>
      </c>
    </row>
    <row r="3871" spans="1:16" x14ac:dyDescent="0.3">
      <c r="A3871">
        <v>3870</v>
      </c>
      <c r="B3871" t="s">
        <v>9</v>
      </c>
      <c r="C3871">
        <v>94064655</v>
      </c>
      <c r="D3871" t="s">
        <v>10</v>
      </c>
      <c r="E3871" t="s">
        <v>16</v>
      </c>
      <c r="F3871" t="s">
        <v>12</v>
      </c>
      <c r="G3871" t="s">
        <v>13</v>
      </c>
      <c r="H3871" t="s">
        <v>13</v>
      </c>
      <c r="I3871">
        <v>55</v>
      </c>
      <c r="J3871">
        <f>ABS((I3871-EDA!$A$15)/EDA!$B$15)</f>
        <v>0.91891960386150484</v>
      </c>
      <c r="K3871" t="str">
        <f t="shared" si="60"/>
        <v>No</v>
      </c>
      <c r="L3871">
        <f>ABS((C3871-EDA!$F$15)/EDA!$G$15)</f>
        <v>1.1896482883794695</v>
      </c>
      <c r="M3871" t="str">
        <f>IF(moras[[#This Row],[Z-Score Salario]]&gt;1.96, "Sí", "No")</f>
        <v>No</v>
      </c>
      <c r="N3871" s="14">
        <f>IF(ISBLANK(moras[[#This Row],[SALARIO]]), EDA!$M$8, moras[[#This Row],[SALARIO]])</f>
        <v>94064655</v>
      </c>
      <c r="O3871" s="14">
        <f xml:space="preserve"> IF(ISBLANK(moras[[#This Row],[EDAD]]), EDA!$E$8, moras[[#This Row],[EDAD]])</f>
        <v>55</v>
      </c>
      <c r="P3871" s="14" t="str">
        <f>IF(
    OR(ISBLANK(moras[[#This Row],[TIPO_ASEGURAMIENTO]]), moras[[#This Row],[TIPO_ASEGURAMIENTO]]=""),
    EDA!$A$32,
    moras[[#This Row],[TIPO_ASEGURAMIENTO]]
)</f>
        <v>ASALARIADO</v>
      </c>
    </row>
    <row r="3872" spans="1:16" x14ac:dyDescent="0.3">
      <c r="A3872">
        <v>3871</v>
      </c>
      <c r="B3872" t="s">
        <v>9</v>
      </c>
      <c r="C3872">
        <v>29824825</v>
      </c>
      <c r="D3872" t="s">
        <v>10</v>
      </c>
      <c r="E3872" t="s">
        <v>16</v>
      </c>
      <c r="F3872" t="s">
        <v>12</v>
      </c>
      <c r="G3872" t="s">
        <v>13</v>
      </c>
      <c r="H3872" t="s">
        <v>13</v>
      </c>
      <c r="I3872">
        <v>26</v>
      </c>
      <c r="J3872">
        <f>ABS((I3872-EDA!$A$15)/EDA!$B$15)</f>
        <v>1.1277649683754829</v>
      </c>
      <c r="K3872" t="str">
        <f t="shared" si="60"/>
        <v>No</v>
      </c>
      <c r="L3872">
        <f>ABS((C3872-EDA!$F$15)/EDA!$G$15)</f>
        <v>0.12065216949992807</v>
      </c>
      <c r="M3872" t="str">
        <f>IF(moras[[#This Row],[Z-Score Salario]]&gt;1.96, "Sí", "No")</f>
        <v>No</v>
      </c>
      <c r="N3872" s="14">
        <f>IF(ISBLANK(moras[[#This Row],[SALARIO]]), EDA!$M$8, moras[[#This Row],[SALARIO]])</f>
        <v>29824825</v>
      </c>
      <c r="O3872" s="14">
        <f xml:space="preserve"> IF(ISBLANK(moras[[#This Row],[EDAD]]), EDA!$E$8, moras[[#This Row],[EDAD]])</f>
        <v>26</v>
      </c>
      <c r="P3872" s="14" t="str">
        <f>IF(
    OR(ISBLANK(moras[[#This Row],[TIPO_ASEGURAMIENTO]]), moras[[#This Row],[TIPO_ASEGURAMIENTO]]=""),
    EDA!$A$32,
    moras[[#This Row],[TIPO_ASEGURAMIENTO]]
)</f>
        <v>ASALARIADO</v>
      </c>
    </row>
    <row r="3873" spans="1:16" x14ac:dyDescent="0.3">
      <c r="A3873">
        <v>3872</v>
      </c>
      <c r="B3873" t="s">
        <v>9</v>
      </c>
      <c r="C3873">
        <v>45051301</v>
      </c>
      <c r="D3873" t="s">
        <v>10</v>
      </c>
      <c r="E3873" t="s">
        <v>11</v>
      </c>
      <c r="F3873" t="s">
        <v>12</v>
      </c>
      <c r="G3873" t="s">
        <v>13</v>
      </c>
      <c r="H3873" t="s">
        <v>13</v>
      </c>
      <c r="I3873">
        <v>39</v>
      </c>
      <c r="J3873">
        <f>ABS((I3873-EDA!$A$15)/EDA!$B$15)</f>
        <v>0.21028567737269524</v>
      </c>
      <c r="K3873" t="str">
        <f t="shared" si="60"/>
        <v>No</v>
      </c>
      <c r="L3873">
        <f>ABS((C3873-EDA!$F$15)/EDA!$G$15)</f>
        <v>0.37403147869505649</v>
      </c>
      <c r="M3873" t="str">
        <f>IF(moras[[#This Row],[Z-Score Salario]]&gt;1.96, "Sí", "No")</f>
        <v>No</v>
      </c>
      <c r="N3873" s="14">
        <f>IF(ISBLANK(moras[[#This Row],[SALARIO]]), EDA!$M$8, moras[[#This Row],[SALARIO]])</f>
        <v>45051301</v>
      </c>
      <c r="O3873" s="14">
        <f xml:space="preserve"> IF(ISBLANK(moras[[#This Row],[EDAD]]), EDA!$E$8, moras[[#This Row],[EDAD]])</f>
        <v>39</v>
      </c>
      <c r="P3873" s="14" t="str">
        <f>IF(
    OR(ISBLANK(moras[[#This Row],[TIPO_ASEGURAMIENTO]]), moras[[#This Row],[TIPO_ASEGURAMIENTO]]=""),
    EDA!$A$32,
    moras[[#This Row],[TIPO_ASEGURAMIENTO]]
)</f>
        <v>ASALARIADO</v>
      </c>
    </row>
    <row r="3874" spans="1:16" x14ac:dyDescent="0.3">
      <c r="A3874">
        <v>3873</v>
      </c>
      <c r="B3874" t="s">
        <v>9</v>
      </c>
      <c r="C3874">
        <v>1213949</v>
      </c>
      <c r="D3874" t="s">
        <v>10</v>
      </c>
      <c r="E3874" t="s">
        <v>11</v>
      </c>
      <c r="F3874" t="s">
        <v>12</v>
      </c>
      <c r="G3874" t="s">
        <v>13</v>
      </c>
      <c r="H3874" t="s">
        <v>13</v>
      </c>
      <c r="I3874">
        <v>41</v>
      </c>
      <c r="J3874">
        <f>ABS((I3874-EDA!$A$15)/EDA!$B$15)</f>
        <v>6.9135017218420233E-2</v>
      </c>
      <c r="K3874" t="str">
        <f t="shared" si="60"/>
        <v>No</v>
      </c>
      <c r="L3874">
        <f>ABS((C3874-EDA!$F$15)/EDA!$G$15)</f>
        <v>0.35545300390641227</v>
      </c>
      <c r="M3874" t="str">
        <f>IF(moras[[#This Row],[Z-Score Salario]]&gt;1.96, "Sí", "No")</f>
        <v>No</v>
      </c>
      <c r="N3874" s="14">
        <f>IF(ISBLANK(moras[[#This Row],[SALARIO]]), EDA!$M$8, moras[[#This Row],[SALARIO]])</f>
        <v>1213949</v>
      </c>
      <c r="O3874" s="14">
        <f xml:space="preserve"> IF(ISBLANK(moras[[#This Row],[EDAD]]), EDA!$E$8, moras[[#This Row],[EDAD]])</f>
        <v>41</v>
      </c>
      <c r="P3874" s="14" t="str">
        <f>IF(
    OR(ISBLANK(moras[[#This Row],[TIPO_ASEGURAMIENTO]]), moras[[#This Row],[TIPO_ASEGURAMIENTO]]=""),
    EDA!$A$32,
    moras[[#This Row],[TIPO_ASEGURAMIENTO]]
)</f>
        <v>ASALARIADO</v>
      </c>
    </row>
    <row r="3875" spans="1:16" x14ac:dyDescent="0.3">
      <c r="A3875">
        <v>3874</v>
      </c>
      <c r="B3875" t="s">
        <v>9</v>
      </c>
      <c r="C3875">
        <v>37772994</v>
      </c>
      <c r="D3875" t="s">
        <v>10</v>
      </c>
      <c r="E3875" t="s">
        <v>16</v>
      </c>
      <c r="F3875" t="s">
        <v>12</v>
      </c>
      <c r="G3875" t="s">
        <v>13</v>
      </c>
      <c r="H3875" t="s">
        <v>13</v>
      </c>
      <c r="I3875">
        <v>36</v>
      </c>
      <c r="J3875">
        <f>ABS((I3875-EDA!$A$15)/EDA!$B$15)</f>
        <v>0.42201166760410774</v>
      </c>
      <c r="K3875" t="str">
        <f t="shared" si="60"/>
        <v>No</v>
      </c>
      <c r="L3875">
        <f>ABS((C3875-EDA!$F$15)/EDA!$G$15)</f>
        <v>0.25291531236937037</v>
      </c>
      <c r="M3875" t="str">
        <f>IF(moras[[#This Row],[Z-Score Salario]]&gt;1.96, "Sí", "No")</f>
        <v>No</v>
      </c>
      <c r="N3875" s="14">
        <f>IF(ISBLANK(moras[[#This Row],[SALARIO]]), EDA!$M$8, moras[[#This Row],[SALARIO]])</f>
        <v>37772994</v>
      </c>
      <c r="O3875" s="14">
        <f xml:space="preserve"> IF(ISBLANK(moras[[#This Row],[EDAD]]), EDA!$E$8, moras[[#This Row],[EDAD]])</f>
        <v>36</v>
      </c>
      <c r="P3875" s="14" t="str">
        <f>IF(
    OR(ISBLANK(moras[[#This Row],[TIPO_ASEGURAMIENTO]]), moras[[#This Row],[TIPO_ASEGURAMIENTO]]=""),
    EDA!$A$32,
    moras[[#This Row],[TIPO_ASEGURAMIENTO]]
)</f>
        <v>ASALARIADO</v>
      </c>
    </row>
    <row r="3876" spans="1:16" x14ac:dyDescent="0.3">
      <c r="A3876">
        <v>3875</v>
      </c>
      <c r="B3876" t="s">
        <v>15</v>
      </c>
      <c r="C3876">
        <v>1605450</v>
      </c>
      <c r="D3876" t="s">
        <v>10</v>
      </c>
      <c r="E3876" t="s">
        <v>16</v>
      </c>
      <c r="F3876" t="s">
        <v>12</v>
      </c>
      <c r="G3876" t="s">
        <v>13</v>
      </c>
      <c r="H3876" t="s">
        <v>13</v>
      </c>
      <c r="I3876">
        <v>38</v>
      </c>
      <c r="J3876">
        <f>ABS((I3876-EDA!$A$15)/EDA!$B$15)</f>
        <v>0.28086100744983278</v>
      </c>
      <c r="K3876" t="str">
        <f t="shared" si="60"/>
        <v>No</v>
      </c>
      <c r="L3876">
        <f>ABS((C3876-EDA!$F$15)/EDA!$G$15)</f>
        <v>0.34893815090108116</v>
      </c>
      <c r="M3876" t="str">
        <f>IF(moras[[#This Row],[Z-Score Salario]]&gt;1.96, "Sí", "No")</f>
        <v>No</v>
      </c>
      <c r="N3876" s="14">
        <f>IF(ISBLANK(moras[[#This Row],[SALARIO]]), EDA!$M$8, moras[[#This Row],[SALARIO]])</f>
        <v>1605450</v>
      </c>
      <c r="O3876" s="14">
        <f xml:space="preserve"> IF(ISBLANK(moras[[#This Row],[EDAD]]), EDA!$E$8, moras[[#This Row],[EDAD]])</f>
        <v>38</v>
      </c>
      <c r="P3876" s="14" t="str">
        <f>IF(
    OR(ISBLANK(moras[[#This Row],[TIPO_ASEGURAMIENTO]]), moras[[#This Row],[TIPO_ASEGURAMIENTO]]=""),
    EDA!$A$32,
    moras[[#This Row],[TIPO_ASEGURAMIENTO]]
)</f>
        <v>ASALARIADO</v>
      </c>
    </row>
    <row r="3877" spans="1:16" x14ac:dyDescent="0.3">
      <c r="A3877">
        <v>3876</v>
      </c>
      <c r="B3877" t="s">
        <v>9</v>
      </c>
      <c r="C3877">
        <v>297102</v>
      </c>
      <c r="D3877" t="s">
        <v>18</v>
      </c>
      <c r="E3877" t="s">
        <v>16</v>
      </c>
      <c r="F3877" t="s">
        <v>12</v>
      </c>
      <c r="G3877" t="s">
        <v>13</v>
      </c>
      <c r="H3877" t="s">
        <v>12</v>
      </c>
      <c r="I3877">
        <v>64</v>
      </c>
      <c r="J3877">
        <f>ABS((I3877-EDA!$A$15)/EDA!$B$15)</f>
        <v>1.5540975745557424</v>
      </c>
      <c r="K3877" t="str">
        <f t="shared" si="60"/>
        <v>No</v>
      </c>
      <c r="L3877">
        <f>ABS((C3877-EDA!$F$15)/EDA!$G$15)</f>
        <v>0.37070998519989251</v>
      </c>
      <c r="M3877" t="str">
        <f>IF(moras[[#This Row],[Z-Score Salario]]&gt;1.96, "Sí", "No")</f>
        <v>No</v>
      </c>
      <c r="N3877" s="14">
        <f>IF(ISBLANK(moras[[#This Row],[SALARIO]]), EDA!$M$8, moras[[#This Row],[SALARIO]])</f>
        <v>297102</v>
      </c>
      <c r="O3877" s="14">
        <f xml:space="preserve"> IF(ISBLANK(moras[[#This Row],[EDAD]]), EDA!$E$8, moras[[#This Row],[EDAD]])</f>
        <v>64</v>
      </c>
      <c r="P3877" s="14" t="str">
        <f>IF(
    OR(ISBLANK(moras[[#This Row],[TIPO_ASEGURAMIENTO]]), moras[[#This Row],[TIPO_ASEGURAMIENTO]]=""),
    EDA!$A$32,
    moras[[#This Row],[TIPO_ASEGURAMIENTO]]
)</f>
        <v>TRABAJADOR INDEPENDIENTE</v>
      </c>
    </row>
    <row r="3878" spans="1:16" x14ac:dyDescent="0.3">
      <c r="A3878">
        <v>3877</v>
      </c>
      <c r="B3878" t="s">
        <v>9</v>
      </c>
      <c r="C3878">
        <v>3916375</v>
      </c>
      <c r="D3878" t="s">
        <v>10</v>
      </c>
      <c r="E3878" t="s">
        <v>16</v>
      </c>
      <c r="F3878" t="s">
        <v>12</v>
      </c>
      <c r="G3878" t="s">
        <v>13</v>
      </c>
      <c r="H3878" t="s">
        <v>13</v>
      </c>
      <c r="I3878">
        <v>49</v>
      </c>
      <c r="J3878">
        <f>ABS((I3878-EDA!$A$15)/EDA!$B$15)</f>
        <v>0.49546762339867978</v>
      </c>
      <c r="K3878" t="str">
        <f t="shared" si="60"/>
        <v>No</v>
      </c>
      <c r="L3878">
        <f>ABS((C3878-EDA!$F$15)/EDA!$G$15)</f>
        <v>0.31048272759093687</v>
      </c>
      <c r="M3878" t="str">
        <f>IF(moras[[#This Row],[Z-Score Salario]]&gt;1.96, "Sí", "No")</f>
        <v>No</v>
      </c>
      <c r="N3878" s="14">
        <f>IF(ISBLANK(moras[[#This Row],[SALARIO]]), EDA!$M$8, moras[[#This Row],[SALARIO]])</f>
        <v>3916375</v>
      </c>
      <c r="O3878" s="14">
        <f xml:space="preserve"> IF(ISBLANK(moras[[#This Row],[EDAD]]), EDA!$E$8, moras[[#This Row],[EDAD]])</f>
        <v>49</v>
      </c>
      <c r="P3878" s="14" t="str">
        <f>IF(
    OR(ISBLANK(moras[[#This Row],[TIPO_ASEGURAMIENTO]]), moras[[#This Row],[TIPO_ASEGURAMIENTO]]=""),
    EDA!$A$32,
    moras[[#This Row],[TIPO_ASEGURAMIENTO]]
)</f>
        <v>ASALARIADO</v>
      </c>
    </row>
    <row r="3879" spans="1:16" x14ac:dyDescent="0.3">
      <c r="A3879">
        <v>3878</v>
      </c>
      <c r="B3879" t="s">
        <v>9</v>
      </c>
      <c r="C3879">
        <v>317719</v>
      </c>
      <c r="D3879" t="s">
        <v>17</v>
      </c>
      <c r="E3879" t="s">
        <v>16</v>
      </c>
      <c r="F3879" t="s">
        <v>12</v>
      </c>
      <c r="G3879" t="s">
        <v>12</v>
      </c>
      <c r="H3879" t="s">
        <v>13</v>
      </c>
      <c r="I3879">
        <v>34</v>
      </c>
      <c r="J3879">
        <f>ABS((I3879-EDA!$A$15)/EDA!$B$15)</f>
        <v>0.56316232775838282</v>
      </c>
      <c r="K3879" t="str">
        <f t="shared" si="60"/>
        <v>No</v>
      </c>
      <c r="L3879">
        <f>ABS((C3879-EDA!$F$15)/EDA!$G$15)</f>
        <v>0.37036690376610071</v>
      </c>
      <c r="M3879" t="str">
        <f>IF(moras[[#This Row],[Z-Score Salario]]&gt;1.96, "Sí", "No")</f>
        <v>No</v>
      </c>
      <c r="N3879" s="14">
        <f>IF(ISBLANK(moras[[#This Row],[SALARIO]]), EDA!$M$8, moras[[#This Row],[SALARIO]])</f>
        <v>317719</v>
      </c>
      <c r="O3879" s="14">
        <f xml:space="preserve"> IF(ISBLANK(moras[[#This Row],[EDAD]]), EDA!$E$8, moras[[#This Row],[EDAD]])</f>
        <v>34</v>
      </c>
      <c r="P3879" s="14" t="str">
        <f>IF(
    OR(ISBLANK(moras[[#This Row],[TIPO_ASEGURAMIENTO]]), moras[[#This Row],[TIPO_ASEGURAMIENTO]]=""),
    EDA!$A$32,
    moras[[#This Row],[TIPO_ASEGURAMIENTO]]
)</f>
        <v>ASEGURADO VOLUNTARIO</v>
      </c>
    </row>
    <row r="3880" spans="1:16" x14ac:dyDescent="0.3">
      <c r="A3880">
        <v>3879</v>
      </c>
      <c r="B3880" t="s">
        <v>15</v>
      </c>
      <c r="C3880">
        <v>11618295</v>
      </c>
      <c r="D3880" t="s">
        <v>10</v>
      </c>
      <c r="E3880" t="s">
        <v>11</v>
      </c>
      <c r="F3880" t="s">
        <v>12</v>
      </c>
      <c r="G3880" t="s">
        <v>13</v>
      </c>
      <c r="H3880" t="s">
        <v>13</v>
      </c>
      <c r="I3880">
        <v>32</v>
      </c>
      <c r="J3880">
        <f>ABS((I3880-EDA!$A$15)/EDA!$B$15)</f>
        <v>0.70431298791265773</v>
      </c>
      <c r="K3880" t="str">
        <f t="shared" si="60"/>
        <v>No</v>
      </c>
      <c r="L3880">
        <f>ABS((C3880-EDA!$F$15)/EDA!$G$15)</f>
        <v>0.18231734191166721</v>
      </c>
      <c r="M3880" t="str">
        <f>IF(moras[[#This Row],[Z-Score Salario]]&gt;1.96, "Sí", "No")</f>
        <v>No</v>
      </c>
      <c r="N3880" s="14">
        <f>IF(ISBLANK(moras[[#This Row],[SALARIO]]), EDA!$M$8, moras[[#This Row],[SALARIO]])</f>
        <v>11618295</v>
      </c>
      <c r="O3880" s="14">
        <f xml:space="preserve"> IF(ISBLANK(moras[[#This Row],[EDAD]]), EDA!$E$8, moras[[#This Row],[EDAD]])</f>
        <v>32</v>
      </c>
      <c r="P3880" s="14" t="str">
        <f>IF(
    OR(ISBLANK(moras[[#This Row],[TIPO_ASEGURAMIENTO]]), moras[[#This Row],[TIPO_ASEGURAMIENTO]]=""),
    EDA!$A$32,
    moras[[#This Row],[TIPO_ASEGURAMIENTO]]
)</f>
        <v>ASALARIADO</v>
      </c>
    </row>
    <row r="3881" spans="1:16" x14ac:dyDescent="0.3">
      <c r="A3881">
        <v>3880</v>
      </c>
      <c r="B3881" t="s">
        <v>15</v>
      </c>
      <c r="C3881">
        <v>297050</v>
      </c>
      <c r="D3881" t="s">
        <v>17</v>
      </c>
      <c r="E3881" t="s">
        <v>16</v>
      </c>
      <c r="F3881" t="s">
        <v>12</v>
      </c>
      <c r="G3881" t="s">
        <v>13</v>
      </c>
      <c r="H3881" t="s">
        <v>13</v>
      </c>
      <c r="I3881">
        <v>55</v>
      </c>
      <c r="J3881">
        <f>ABS((I3881-EDA!$A$15)/EDA!$B$15)</f>
        <v>0.91891960386150484</v>
      </c>
      <c r="K3881" t="str">
        <f t="shared" si="60"/>
        <v>No</v>
      </c>
      <c r="L3881">
        <f>ABS((C3881-EDA!$F$15)/EDA!$G$15)</f>
        <v>0.37071085051659991</v>
      </c>
      <c r="M3881" t="str">
        <f>IF(moras[[#This Row],[Z-Score Salario]]&gt;1.96, "Sí", "No")</f>
        <v>No</v>
      </c>
      <c r="N3881" s="14">
        <f>IF(ISBLANK(moras[[#This Row],[SALARIO]]), EDA!$M$8, moras[[#This Row],[SALARIO]])</f>
        <v>297050</v>
      </c>
      <c r="O3881" s="14">
        <f xml:space="preserve"> IF(ISBLANK(moras[[#This Row],[EDAD]]), EDA!$E$8, moras[[#This Row],[EDAD]])</f>
        <v>55</v>
      </c>
      <c r="P3881" s="14" t="str">
        <f>IF(
    OR(ISBLANK(moras[[#This Row],[TIPO_ASEGURAMIENTO]]), moras[[#This Row],[TIPO_ASEGURAMIENTO]]=""),
    EDA!$A$32,
    moras[[#This Row],[TIPO_ASEGURAMIENTO]]
)</f>
        <v>ASEGURADO VOLUNTARIO</v>
      </c>
    </row>
    <row r="3882" spans="1:16" x14ac:dyDescent="0.3">
      <c r="A3882">
        <v>3881</v>
      </c>
      <c r="B3882" t="s">
        <v>9</v>
      </c>
      <c r="C3882">
        <v>11174203</v>
      </c>
      <c r="D3882" t="s">
        <v>10</v>
      </c>
      <c r="E3882" t="s">
        <v>16</v>
      </c>
      <c r="F3882" t="s">
        <v>12</v>
      </c>
      <c r="G3882" t="s">
        <v>13</v>
      </c>
      <c r="H3882" t="s">
        <v>13</v>
      </c>
      <c r="I3882">
        <v>52</v>
      </c>
      <c r="J3882">
        <f>ABS((I3882-EDA!$A$15)/EDA!$B$15)</f>
        <v>0.70719361363009237</v>
      </c>
      <c r="K3882" t="str">
        <f t="shared" si="60"/>
        <v>No</v>
      </c>
      <c r="L3882">
        <f>ABS((C3882-EDA!$F$15)/EDA!$G$15)</f>
        <v>0.18970734628162667</v>
      </c>
      <c r="M3882" t="str">
        <f>IF(moras[[#This Row],[Z-Score Salario]]&gt;1.96, "Sí", "No")</f>
        <v>No</v>
      </c>
      <c r="N3882" s="14">
        <f>IF(ISBLANK(moras[[#This Row],[SALARIO]]), EDA!$M$8, moras[[#This Row],[SALARIO]])</f>
        <v>11174203</v>
      </c>
      <c r="O3882" s="14">
        <f xml:space="preserve"> IF(ISBLANK(moras[[#This Row],[EDAD]]), EDA!$E$8, moras[[#This Row],[EDAD]])</f>
        <v>52</v>
      </c>
      <c r="P3882" s="14" t="str">
        <f>IF(
    OR(ISBLANK(moras[[#This Row],[TIPO_ASEGURAMIENTO]]), moras[[#This Row],[TIPO_ASEGURAMIENTO]]=""),
    EDA!$A$32,
    moras[[#This Row],[TIPO_ASEGURAMIENTO]]
)</f>
        <v>ASALARIADO</v>
      </c>
    </row>
    <row r="3883" spans="1:16" x14ac:dyDescent="0.3">
      <c r="A3883">
        <v>3882</v>
      </c>
      <c r="B3883" t="s">
        <v>9</v>
      </c>
      <c r="C3883">
        <v>47272192</v>
      </c>
      <c r="D3883" t="s">
        <v>10</v>
      </c>
      <c r="E3883" t="s">
        <v>16</v>
      </c>
      <c r="F3883" t="s">
        <v>12</v>
      </c>
      <c r="G3883" t="s">
        <v>13</v>
      </c>
      <c r="H3883" t="s">
        <v>13</v>
      </c>
      <c r="I3883">
        <v>60</v>
      </c>
      <c r="J3883">
        <f>ABS((I3883-EDA!$A$15)/EDA!$B$15)</f>
        <v>1.2717962542471923</v>
      </c>
      <c r="K3883" t="str">
        <f t="shared" si="60"/>
        <v>No</v>
      </c>
      <c r="L3883">
        <f>ABS((C3883-EDA!$F$15)/EDA!$G$15)</f>
        <v>0.410988672689102</v>
      </c>
      <c r="M3883" t="str">
        <f>IF(moras[[#This Row],[Z-Score Salario]]&gt;1.96, "Sí", "No")</f>
        <v>No</v>
      </c>
      <c r="N3883" s="14">
        <f>IF(ISBLANK(moras[[#This Row],[SALARIO]]), EDA!$M$8, moras[[#This Row],[SALARIO]])</f>
        <v>47272192</v>
      </c>
      <c r="O3883" s="14">
        <f xml:space="preserve"> IF(ISBLANK(moras[[#This Row],[EDAD]]), EDA!$E$8, moras[[#This Row],[EDAD]])</f>
        <v>60</v>
      </c>
      <c r="P3883" s="14" t="str">
        <f>IF(
    OR(ISBLANK(moras[[#This Row],[TIPO_ASEGURAMIENTO]]), moras[[#This Row],[TIPO_ASEGURAMIENTO]]=""),
    EDA!$A$32,
    moras[[#This Row],[TIPO_ASEGURAMIENTO]]
)</f>
        <v>ASALARIADO</v>
      </c>
    </row>
    <row r="3884" spans="1:16" x14ac:dyDescent="0.3">
      <c r="A3884">
        <v>3883</v>
      </c>
      <c r="B3884" t="s">
        <v>15</v>
      </c>
      <c r="C3884">
        <v>300018</v>
      </c>
      <c r="D3884" t="s">
        <v>17</v>
      </c>
      <c r="E3884" t="s">
        <v>16</v>
      </c>
      <c r="F3884" t="s">
        <v>12</v>
      </c>
      <c r="G3884" t="s">
        <v>13</v>
      </c>
      <c r="H3884" t="s">
        <v>13</v>
      </c>
      <c r="I3884">
        <v>55</v>
      </c>
      <c r="J3884">
        <f>ABS((I3884-EDA!$A$15)/EDA!$B$15)</f>
        <v>0.91891960386150484</v>
      </c>
      <c r="K3884" t="str">
        <f t="shared" si="60"/>
        <v>No</v>
      </c>
      <c r="L3884">
        <f>ABS((C3884-EDA!$F$15)/EDA!$G$15)</f>
        <v>0.37066146090145252</v>
      </c>
      <c r="M3884" t="str">
        <f>IF(moras[[#This Row],[Z-Score Salario]]&gt;1.96, "Sí", "No")</f>
        <v>No</v>
      </c>
      <c r="N3884" s="14">
        <f>IF(ISBLANK(moras[[#This Row],[SALARIO]]), EDA!$M$8, moras[[#This Row],[SALARIO]])</f>
        <v>300018</v>
      </c>
      <c r="O3884" s="14">
        <f xml:space="preserve"> IF(ISBLANK(moras[[#This Row],[EDAD]]), EDA!$E$8, moras[[#This Row],[EDAD]])</f>
        <v>55</v>
      </c>
      <c r="P3884" s="14" t="str">
        <f>IF(
    OR(ISBLANK(moras[[#This Row],[TIPO_ASEGURAMIENTO]]), moras[[#This Row],[TIPO_ASEGURAMIENTO]]=""),
    EDA!$A$32,
    moras[[#This Row],[TIPO_ASEGURAMIENTO]]
)</f>
        <v>ASEGURADO VOLUNTARIO</v>
      </c>
    </row>
    <row r="3885" spans="1:16" x14ac:dyDescent="0.3">
      <c r="A3885">
        <v>3884</v>
      </c>
      <c r="B3885" t="s">
        <v>9</v>
      </c>
      <c r="C3885">
        <v>235200</v>
      </c>
      <c r="D3885" t="s">
        <v>10</v>
      </c>
      <c r="E3885" t="s">
        <v>16</v>
      </c>
      <c r="F3885" t="s">
        <v>12</v>
      </c>
      <c r="G3885" t="s">
        <v>13</v>
      </c>
      <c r="H3885" t="s">
        <v>12</v>
      </c>
      <c r="I3885">
        <v>24</v>
      </c>
      <c r="J3885">
        <f>ABS((I3885-EDA!$A$15)/EDA!$B$15)</f>
        <v>1.2689156285297578</v>
      </c>
      <c r="K3885" t="str">
        <f t="shared" si="60"/>
        <v>No</v>
      </c>
      <c r="L3885">
        <f>ABS((C3885-EDA!$F$15)/EDA!$G$15)</f>
        <v>0.37174007817726934</v>
      </c>
      <c r="M3885" t="str">
        <f>IF(moras[[#This Row],[Z-Score Salario]]&gt;1.96, "Sí", "No")</f>
        <v>No</v>
      </c>
      <c r="N3885" s="14">
        <f>IF(ISBLANK(moras[[#This Row],[SALARIO]]), EDA!$M$8, moras[[#This Row],[SALARIO]])</f>
        <v>235200</v>
      </c>
      <c r="O3885" s="14">
        <f xml:space="preserve"> IF(ISBLANK(moras[[#This Row],[EDAD]]), EDA!$E$8, moras[[#This Row],[EDAD]])</f>
        <v>24</v>
      </c>
      <c r="P3885" s="14" t="str">
        <f>IF(
    OR(ISBLANK(moras[[#This Row],[TIPO_ASEGURAMIENTO]]), moras[[#This Row],[TIPO_ASEGURAMIENTO]]=""),
    EDA!$A$32,
    moras[[#This Row],[TIPO_ASEGURAMIENTO]]
)</f>
        <v>ASALARIADO</v>
      </c>
    </row>
    <row r="3886" spans="1:16" x14ac:dyDescent="0.3">
      <c r="A3886">
        <v>3885</v>
      </c>
      <c r="B3886" t="s">
        <v>15</v>
      </c>
      <c r="C3886">
        <v>180000</v>
      </c>
      <c r="D3886" t="s">
        <v>10</v>
      </c>
      <c r="E3886" t="s">
        <v>16</v>
      </c>
      <c r="F3886" t="s">
        <v>12</v>
      </c>
      <c r="G3886" t="s">
        <v>12</v>
      </c>
      <c r="H3886" t="s">
        <v>13</v>
      </c>
      <c r="I3886">
        <v>30</v>
      </c>
      <c r="J3886">
        <f>ABS((I3886-EDA!$A$15)/EDA!$B$15)</f>
        <v>0.84546364806693275</v>
      </c>
      <c r="K3886" t="str">
        <f t="shared" si="60"/>
        <v>No</v>
      </c>
      <c r="L3886">
        <f>ABS((C3886-EDA!$F$15)/EDA!$G$15)</f>
        <v>0.37265864514362262</v>
      </c>
      <c r="M3886" t="str">
        <f>IF(moras[[#This Row],[Z-Score Salario]]&gt;1.96, "Sí", "No")</f>
        <v>No</v>
      </c>
      <c r="N3886" s="14">
        <f>IF(ISBLANK(moras[[#This Row],[SALARIO]]), EDA!$M$8, moras[[#This Row],[SALARIO]])</f>
        <v>180000</v>
      </c>
      <c r="O3886" s="14">
        <f xml:space="preserve"> IF(ISBLANK(moras[[#This Row],[EDAD]]), EDA!$E$8, moras[[#This Row],[EDAD]])</f>
        <v>30</v>
      </c>
      <c r="P3886" s="14" t="str">
        <f>IF(
    OR(ISBLANK(moras[[#This Row],[TIPO_ASEGURAMIENTO]]), moras[[#This Row],[TIPO_ASEGURAMIENTO]]=""),
    EDA!$A$32,
    moras[[#This Row],[TIPO_ASEGURAMIENTO]]
)</f>
        <v>ASALARIADO</v>
      </c>
    </row>
    <row r="3887" spans="1:16" x14ac:dyDescent="0.3">
      <c r="A3887">
        <v>3886</v>
      </c>
      <c r="B3887" t="s">
        <v>9</v>
      </c>
      <c r="C3887">
        <v>639148</v>
      </c>
      <c r="D3887" t="s">
        <v>18</v>
      </c>
      <c r="E3887" t="s">
        <v>16</v>
      </c>
      <c r="F3887" t="s">
        <v>12</v>
      </c>
      <c r="G3887" t="s">
        <v>13</v>
      </c>
      <c r="H3887" t="s">
        <v>13</v>
      </c>
      <c r="I3887">
        <v>58</v>
      </c>
      <c r="J3887">
        <f>ABS((I3887-EDA!$A$15)/EDA!$B$15)</f>
        <v>1.1306455940929174</v>
      </c>
      <c r="K3887" t="str">
        <f t="shared" si="60"/>
        <v>No</v>
      </c>
      <c r="L3887">
        <f>ABS((C3887-EDA!$F$15)/EDA!$G$15)</f>
        <v>0.36501809830544912</v>
      </c>
      <c r="M3887" t="str">
        <f>IF(moras[[#This Row],[Z-Score Salario]]&gt;1.96, "Sí", "No")</f>
        <v>No</v>
      </c>
      <c r="N3887" s="14">
        <f>IF(ISBLANK(moras[[#This Row],[SALARIO]]), EDA!$M$8, moras[[#This Row],[SALARIO]])</f>
        <v>639148</v>
      </c>
      <c r="O3887" s="14">
        <f xml:space="preserve"> IF(ISBLANK(moras[[#This Row],[EDAD]]), EDA!$E$8, moras[[#This Row],[EDAD]])</f>
        <v>58</v>
      </c>
      <c r="P3887" s="14" t="str">
        <f>IF(
    OR(ISBLANK(moras[[#This Row],[TIPO_ASEGURAMIENTO]]), moras[[#This Row],[TIPO_ASEGURAMIENTO]]=""),
    EDA!$A$32,
    moras[[#This Row],[TIPO_ASEGURAMIENTO]]
)</f>
        <v>TRABAJADOR INDEPENDIENTE</v>
      </c>
    </row>
    <row r="3888" spans="1:16" x14ac:dyDescent="0.3">
      <c r="A3888">
        <v>3887</v>
      </c>
      <c r="B3888" t="s">
        <v>15</v>
      </c>
      <c r="C3888">
        <v>1461535</v>
      </c>
      <c r="D3888" t="s">
        <v>14</v>
      </c>
      <c r="E3888" t="s">
        <v>11</v>
      </c>
      <c r="F3888" t="s">
        <v>12</v>
      </c>
      <c r="G3888" t="s">
        <v>13</v>
      </c>
      <c r="H3888" t="s">
        <v>13</v>
      </c>
      <c r="I3888">
        <v>55</v>
      </c>
      <c r="J3888">
        <f>ABS((I3888-EDA!$A$15)/EDA!$B$15)</f>
        <v>0.91891960386150484</v>
      </c>
      <c r="K3888" t="str">
        <f t="shared" si="60"/>
        <v>No</v>
      </c>
      <c r="L3888">
        <f>ABS((C3888-EDA!$F$15)/EDA!$G$15)</f>
        <v>0.35133299809243501</v>
      </c>
      <c r="M3888" t="str">
        <f>IF(moras[[#This Row],[Z-Score Salario]]&gt;1.96, "Sí", "No")</f>
        <v>No</v>
      </c>
      <c r="N3888" s="14">
        <f>IF(ISBLANK(moras[[#This Row],[SALARIO]]), EDA!$M$8, moras[[#This Row],[SALARIO]])</f>
        <v>1461535</v>
      </c>
      <c r="O3888" s="14">
        <f xml:space="preserve"> IF(ISBLANK(moras[[#This Row],[EDAD]]), EDA!$E$8, moras[[#This Row],[EDAD]])</f>
        <v>55</v>
      </c>
      <c r="P3888" s="14" t="str">
        <f>IF(
    OR(ISBLANK(moras[[#This Row],[TIPO_ASEGURAMIENTO]]), moras[[#This Row],[TIPO_ASEGURAMIENTO]]=""),
    EDA!$A$32,
    moras[[#This Row],[TIPO_ASEGURAMIENTO]]
)</f>
        <v>PENSIONADOS EN SU PROPIO SISTEMA</v>
      </c>
    </row>
    <row r="3889" spans="1:16" x14ac:dyDescent="0.3">
      <c r="A3889">
        <v>3888</v>
      </c>
      <c r="B3889" t="s">
        <v>15</v>
      </c>
      <c r="C3889">
        <v>297046</v>
      </c>
      <c r="D3889" t="s">
        <v>17</v>
      </c>
      <c r="E3889" t="s">
        <v>16</v>
      </c>
      <c r="F3889" t="s">
        <v>12</v>
      </c>
      <c r="G3889" t="s">
        <v>13</v>
      </c>
      <c r="H3889" t="s">
        <v>13</v>
      </c>
      <c r="I3889">
        <v>60</v>
      </c>
      <c r="J3889">
        <f>ABS((I3889-EDA!$A$15)/EDA!$B$15)</f>
        <v>1.2717962542471923</v>
      </c>
      <c r="K3889" t="str">
        <f t="shared" si="60"/>
        <v>No</v>
      </c>
      <c r="L3889">
        <f>ABS((C3889-EDA!$F$15)/EDA!$G$15)</f>
        <v>0.37071091707942361</v>
      </c>
      <c r="M3889" t="str">
        <f>IF(moras[[#This Row],[Z-Score Salario]]&gt;1.96, "Sí", "No")</f>
        <v>No</v>
      </c>
      <c r="N3889" s="14">
        <f>IF(ISBLANK(moras[[#This Row],[SALARIO]]), EDA!$M$8, moras[[#This Row],[SALARIO]])</f>
        <v>297046</v>
      </c>
      <c r="O3889" s="14">
        <f xml:space="preserve"> IF(ISBLANK(moras[[#This Row],[EDAD]]), EDA!$E$8, moras[[#This Row],[EDAD]])</f>
        <v>60</v>
      </c>
      <c r="P3889" s="14" t="str">
        <f>IF(
    OR(ISBLANK(moras[[#This Row],[TIPO_ASEGURAMIENTO]]), moras[[#This Row],[TIPO_ASEGURAMIENTO]]=""),
    EDA!$A$32,
    moras[[#This Row],[TIPO_ASEGURAMIENTO]]
)</f>
        <v>ASEGURADO VOLUNTARIO</v>
      </c>
    </row>
    <row r="3890" spans="1:16" x14ac:dyDescent="0.3">
      <c r="A3890">
        <v>3889</v>
      </c>
      <c r="B3890" t="s">
        <v>9</v>
      </c>
      <c r="C3890">
        <v>20806725</v>
      </c>
      <c r="D3890" t="s">
        <v>10</v>
      </c>
      <c r="E3890" t="s">
        <v>11</v>
      </c>
      <c r="F3890" t="s">
        <v>12</v>
      </c>
      <c r="G3890" t="s">
        <v>13</v>
      </c>
      <c r="H3890" t="s">
        <v>13</v>
      </c>
      <c r="I3890">
        <v>46</v>
      </c>
      <c r="J3890">
        <f>ABS((I3890-EDA!$A$15)/EDA!$B$15)</f>
        <v>0.2837416331672673</v>
      </c>
      <c r="K3890" t="str">
        <f t="shared" si="60"/>
        <v>No</v>
      </c>
      <c r="L3890">
        <f>ABS((C3890-EDA!$F$15)/EDA!$G$15)</f>
        <v>2.9415380486857295E-2</v>
      </c>
      <c r="M3890" t="str">
        <f>IF(moras[[#This Row],[Z-Score Salario]]&gt;1.96, "Sí", "No")</f>
        <v>No</v>
      </c>
      <c r="N3890" s="14">
        <f>IF(ISBLANK(moras[[#This Row],[SALARIO]]), EDA!$M$8, moras[[#This Row],[SALARIO]])</f>
        <v>20806725</v>
      </c>
      <c r="O3890" s="14">
        <f xml:space="preserve"> IF(ISBLANK(moras[[#This Row],[EDAD]]), EDA!$E$8, moras[[#This Row],[EDAD]])</f>
        <v>46</v>
      </c>
      <c r="P3890" s="14" t="str">
        <f>IF(
    OR(ISBLANK(moras[[#This Row],[TIPO_ASEGURAMIENTO]]), moras[[#This Row],[TIPO_ASEGURAMIENTO]]=""),
    EDA!$A$32,
    moras[[#This Row],[TIPO_ASEGURAMIENTO]]
)</f>
        <v>ASALARIADO</v>
      </c>
    </row>
    <row r="3891" spans="1:16" x14ac:dyDescent="0.3">
      <c r="A3891">
        <v>3890</v>
      </c>
      <c r="B3891" t="s">
        <v>15</v>
      </c>
      <c r="C3891">
        <v>260000</v>
      </c>
      <c r="D3891" t="s">
        <v>10</v>
      </c>
      <c r="E3891" t="s">
        <v>16</v>
      </c>
      <c r="F3891" t="s">
        <v>12</v>
      </c>
      <c r="G3891" t="s">
        <v>13</v>
      </c>
      <c r="H3891" t="s">
        <v>13</v>
      </c>
      <c r="I3891">
        <v>29</v>
      </c>
      <c r="J3891">
        <f>ABS((I3891-EDA!$A$15)/EDA!$B$15)</f>
        <v>0.91603897814407031</v>
      </c>
      <c r="K3891" t="str">
        <f t="shared" si="60"/>
        <v>No</v>
      </c>
      <c r="L3891">
        <f>ABS((C3891-EDA!$F$15)/EDA!$G$15)</f>
        <v>0.37132738867064685</v>
      </c>
      <c r="M3891" t="str">
        <f>IF(moras[[#This Row],[Z-Score Salario]]&gt;1.96, "Sí", "No")</f>
        <v>No</v>
      </c>
      <c r="N3891" s="14">
        <f>IF(ISBLANK(moras[[#This Row],[SALARIO]]), EDA!$M$8, moras[[#This Row],[SALARIO]])</f>
        <v>260000</v>
      </c>
      <c r="O3891" s="14">
        <f xml:space="preserve"> IF(ISBLANK(moras[[#This Row],[EDAD]]), EDA!$E$8, moras[[#This Row],[EDAD]])</f>
        <v>29</v>
      </c>
      <c r="P3891" s="14" t="str">
        <f>IF(
    OR(ISBLANK(moras[[#This Row],[TIPO_ASEGURAMIENTO]]), moras[[#This Row],[TIPO_ASEGURAMIENTO]]=""),
    EDA!$A$32,
    moras[[#This Row],[TIPO_ASEGURAMIENTO]]
)</f>
        <v>ASALARIADO</v>
      </c>
    </row>
    <row r="3892" spans="1:16" x14ac:dyDescent="0.3">
      <c r="A3892">
        <v>3891</v>
      </c>
      <c r="B3892" t="s">
        <v>9</v>
      </c>
      <c r="C3892">
        <v>27496943</v>
      </c>
      <c r="D3892" t="s">
        <v>10</v>
      </c>
      <c r="E3892" t="s">
        <v>16</v>
      </c>
      <c r="F3892" t="s">
        <v>12</v>
      </c>
      <c r="G3892" t="s">
        <v>13</v>
      </c>
      <c r="H3892" t="s">
        <v>13</v>
      </c>
      <c r="I3892">
        <v>31</v>
      </c>
      <c r="J3892">
        <f>ABS((I3892-EDA!$A$15)/EDA!$B$15)</f>
        <v>0.77488831798979529</v>
      </c>
      <c r="K3892" t="str">
        <f t="shared" si="60"/>
        <v>No</v>
      </c>
      <c r="L3892">
        <f>ABS((C3892-EDA!$F$15)/EDA!$G$15)</f>
        <v>8.1914569739630683E-2</v>
      </c>
      <c r="M3892" t="str">
        <f>IF(moras[[#This Row],[Z-Score Salario]]&gt;1.96, "Sí", "No")</f>
        <v>No</v>
      </c>
      <c r="N3892" s="14">
        <f>IF(ISBLANK(moras[[#This Row],[SALARIO]]), EDA!$M$8, moras[[#This Row],[SALARIO]])</f>
        <v>27496943</v>
      </c>
      <c r="O3892" s="14">
        <f xml:space="preserve"> IF(ISBLANK(moras[[#This Row],[EDAD]]), EDA!$E$8, moras[[#This Row],[EDAD]])</f>
        <v>31</v>
      </c>
      <c r="P3892" s="14" t="str">
        <f>IF(
    OR(ISBLANK(moras[[#This Row],[TIPO_ASEGURAMIENTO]]), moras[[#This Row],[TIPO_ASEGURAMIENTO]]=""),
    EDA!$A$32,
    moras[[#This Row],[TIPO_ASEGURAMIENTO]]
)</f>
        <v>ASALARIADO</v>
      </c>
    </row>
    <row r="3893" spans="1:16" x14ac:dyDescent="0.3">
      <c r="A3893">
        <v>3892</v>
      </c>
      <c r="B3893" t="s">
        <v>9</v>
      </c>
      <c r="C3893">
        <v>139268783</v>
      </c>
      <c r="D3893" t="s">
        <v>10</v>
      </c>
      <c r="E3893" t="s">
        <v>16</v>
      </c>
      <c r="F3893" t="s">
        <v>12</v>
      </c>
      <c r="G3893" t="s">
        <v>13</v>
      </c>
      <c r="H3893" t="s">
        <v>13</v>
      </c>
      <c r="I3893">
        <v>55</v>
      </c>
      <c r="J3893">
        <f>ABS((I3893-EDA!$A$15)/EDA!$B$15)</f>
        <v>0.91891960386150484</v>
      </c>
      <c r="K3893" t="str">
        <f t="shared" si="60"/>
        <v>No</v>
      </c>
      <c r="L3893">
        <f>ABS((C3893-EDA!$F$15)/EDA!$G$15)</f>
        <v>1.9418768884447875</v>
      </c>
      <c r="M3893" t="str">
        <f>IF(moras[[#This Row],[Z-Score Salario]]&gt;1.96, "Sí", "No")</f>
        <v>No</v>
      </c>
      <c r="N3893" s="14">
        <f>IF(ISBLANK(moras[[#This Row],[SALARIO]]), EDA!$M$8, moras[[#This Row],[SALARIO]])</f>
        <v>139268783</v>
      </c>
      <c r="O3893" s="14">
        <f xml:space="preserve"> IF(ISBLANK(moras[[#This Row],[EDAD]]), EDA!$E$8, moras[[#This Row],[EDAD]])</f>
        <v>55</v>
      </c>
      <c r="P3893" s="14" t="str">
        <f>IF(
    OR(ISBLANK(moras[[#This Row],[TIPO_ASEGURAMIENTO]]), moras[[#This Row],[TIPO_ASEGURAMIENTO]]=""),
    EDA!$A$32,
    moras[[#This Row],[TIPO_ASEGURAMIENTO]]
)</f>
        <v>ASALARIADO</v>
      </c>
    </row>
    <row r="3894" spans="1:16" x14ac:dyDescent="0.3">
      <c r="A3894">
        <v>3893</v>
      </c>
      <c r="B3894" t="s">
        <v>9</v>
      </c>
      <c r="C3894">
        <v>546354</v>
      </c>
      <c r="D3894" t="s">
        <v>18</v>
      </c>
      <c r="E3894" t="s">
        <v>16</v>
      </c>
      <c r="F3894" t="s">
        <v>12</v>
      </c>
      <c r="G3894" t="s">
        <v>12</v>
      </c>
      <c r="H3894" t="s">
        <v>12</v>
      </c>
      <c r="I3894">
        <v>81</v>
      </c>
      <c r="J3894">
        <f>ABS((I3894-EDA!$A$15)/EDA!$B$15)</f>
        <v>2.7538781858670798</v>
      </c>
      <c r="K3894" t="str">
        <f t="shared" si="60"/>
        <v>Sí</v>
      </c>
      <c r="L3894">
        <f>ABS((C3894-EDA!$F$15)/EDA!$G$15)</f>
        <v>0.36656225596986552</v>
      </c>
      <c r="M3894" t="str">
        <f>IF(moras[[#This Row],[Z-Score Salario]]&gt;1.96, "Sí", "No")</f>
        <v>No</v>
      </c>
      <c r="N3894" s="14">
        <f>IF(ISBLANK(moras[[#This Row],[SALARIO]]), EDA!$M$8, moras[[#This Row],[SALARIO]])</f>
        <v>546354</v>
      </c>
      <c r="O3894" s="14">
        <f xml:space="preserve"> IF(ISBLANK(moras[[#This Row],[EDAD]]), EDA!$E$8, moras[[#This Row],[EDAD]])</f>
        <v>81</v>
      </c>
      <c r="P3894" s="14" t="str">
        <f>IF(
    OR(ISBLANK(moras[[#This Row],[TIPO_ASEGURAMIENTO]]), moras[[#This Row],[TIPO_ASEGURAMIENTO]]=""),
    EDA!$A$32,
    moras[[#This Row],[TIPO_ASEGURAMIENTO]]
)</f>
        <v>TRABAJADOR INDEPENDIENTE</v>
      </c>
    </row>
    <row r="3895" spans="1:16" x14ac:dyDescent="0.3">
      <c r="A3895">
        <v>3894</v>
      </c>
      <c r="B3895" t="s">
        <v>15</v>
      </c>
      <c r="C3895">
        <v>297046</v>
      </c>
      <c r="D3895" t="s">
        <v>17</v>
      </c>
      <c r="E3895" t="s">
        <v>16</v>
      </c>
      <c r="F3895" t="s">
        <v>13</v>
      </c>
      <c r="G3895" t="s">
        <v>13</v>
      </c>
      <c r="H3895" t="s">
        <v>13</v>
      </c>
      <c r="I3895">
        <v>52</v>
      </c>
      <c r="J3895">
        <f>ABS((I3895-EDA!$A$15)/EDA!$B$15)</f>
        <v>0.70719361363009237</v>
      </c>
      <c r="K3895" t="str">
        <f t="shared" si="60"/>
        <v>No</v>
      </c>
      <c r="L3895">
        <f>ABS((C3895-EDA!$F$15)/EDA!$G$15)</f>
        <v>0.37071091707942361</v>
      </c>
      <c r="M3895" t="str">
        <f>IF(moras[[#This Row],[Z-Score Salario]]&gt;1.96, "Sí", "No")</f>
        <v>No</v>
      </c>
      <c r="N3895" s="14">
        <f>IF(ISBLANK(moras[[#This Row],[SALARIO]]), EDA!$M$8, moras[[#This Row],[SALARIO]])</f>
        <v>297046</v>
      </c>
      <c r="O3895" s="14">
        <f xml:space="preserve"> IF(ISBLANK(moras[[#This Row],[EDAD]]), EDA!$E$8, moras[[#This Row],[EDAD]])</f>
        <v>52</v>
      </c>
      <c r="P3895" s="14" t="str">
        <f>IF(
    OR(ISBLANK(moras[[#This Row],[TIPO_ASEGURAMIENTO]]), moras[[#This Row],[TIPO_ASEGURAMIENTO]]=""),
    EDA!$A$32,
    moras[[#This Row],[TIPO_ASEGURAMIENTO]]
)</f>
        <v>ASEGURADO VOLUNTARIO</v>
      </c>
    </row>
    <row r="3896" spans="1:16" x14ac:dyDescent="0.3">
      <c r="A3896">
        <v>3895</v>
      </c>
      <c r="B3896" t="s">
        <v>9</v>
      </c>
      <c r="C3896">
        <v>459260</v>
      </c>
      <c r="D3896" t="s">
        <v>10</v>
      </c>
      <c r="E3896" t="s">
        <v>16</v>
      </c>
      <c r="F3896" t="s">
        <v>12</v>
      </c>
      <c r="G3896" t="s">
        <v>13</v>
      </c>
      <c r="H3896" t="s">
        <v>13</v>
      </c>
      <c r="I3896">
        <v>37</v>
      </c>
      <c r="J3896">
        <f>ABS((I3896-EDA!$A$15)/EDA!$B$15)</f>
        <v>0.35143633752697023</v>
      </c>
      <c r="K3896" t="str">
        <f t="shared" si="60"/>
        <v>No</v>
      </c>
      <c r="L3896">
        <f>ABS((C3896-EDA!$F$15)/EDA!$G$15)</f>
        <v>0.36801156161058241</v>
      </c>
      <c r="M3896" t="str">
        <f>IF(moras[[#This Row],[Z-Score Salario]]&gt;1.96, "Sí", "No")</f>
        <v>No</v>
      </c>
      <c r="N3896" s="14">
        <f>IF(ISBLANK(moras[[#This Row],[SALARIO]]), EDA!$M$8, moras[[#This Row],[SALARIO]])</f>
        <v>459260</v>
      </c>
      <c r="O3896" s="14">
        <f xml:space="preserve"> IF(ISBLANK(moras[[#This Row],[EDAD]]), EDA!$E$8, moras[[#This Row],[EDAD]])</f>
        <v>37</v>
      </c>
      <c r="P3896" s="14" t="str">
        <f>IF(
    OR(ISBLANK(moras[[#This Row],[TIPO_ASEGURAMIENTO]]), moras[[#This Row],[TIPO_ASEGURAMIENTO]]=""),
    EDA!$A$32,
    moras[[#This Row],[TIPO_ASEGURAMIENTO]]
)</f>
        <v>ASALARIADO</v>
      </c>
    </row>
    <row r="3897" spans="1:16" x14ac:dyDescent="0.3">
      <c r="A3897">
        <v>3896</v>
      </c>
      <c r="B3897" t="s">
        <v>9</v>
      </c>
      <c r="C3897">
        <v>7217093</v>
      </c>
      <c r="D3897" t="s">
        <v>10</v>
      </c>
      <c r="E3897" t="s">
        <v>11</v>
      </c>
      <c r="F3897" t="s">
        <v>12</v>
      </c>
      <c r="G3897" t="s">
        <v>13</v>
      </c>
      <c r="H3897" t="s">
        <v>13</v>
      </c>
      <c r="I3897">
        <v>45</v>
      </c>
      <c r="J3897">
        <f>ABS((I3897-EDA!$A$15)/EDA!$B$15)</f>
        <v>0.21316630309012977</v>
      </c>
      <c r="K3897" t="str">
        <f t="shared" si="60"/>
        <v>No</v>
      </c>
      <c r="L3897">
        <f>ABS((C3897-EDA!$F$15)/EDA!$G$15)</f>
        <v>0.25555645005384126</v>
      </c>
      <c r="M3897" t="str">
        <f>IF(moras[[#This Row],[Z-Score Salario]]&gt;1.96, "Sí", "No")</f>
        <v>No</v>
      </c>
      <c r="N3897" s="14">
        <f>IF(ISBLANK(moras[[#This Row],[SALARIO]]), EDA!$M$8, moras[[#This Row],[SALARIO]])</f>
        <v>7217093</v>
      </c>
      <c r="O3897" s="14">
        <f xml:space="preserve"> IF(ISBLANK(moras[[#This Row],[EDAD]]), EDA!$E$8, moras[[#This Row],[EDAD]])</f>
        <v>45</v>
      </c>
      <c r="P3897" s="14" t="str">
        <f>IF(
    OR(ISBLANK(moras[[#This Row],[TIPO_ASEGURAMIENTO]]), moras[[#This Row],[TIPO_ASEGURAMIENTO]]=""),
    EDA!$A$32,
    moras[[#This Row],[TIPO_ASEGURAMIENTO]]
)</f>
        <v>ASALARIADO</v>
      </c>
    </row>
    <row r="3898" spans="1:16" x14ac:dyDescent="0.3">
      <c r="A3898">
        <v>3897</v>
      </c>
      <c r="B3898" t="s">
        <v>15</v>
      </c>
      <c r="C3898">
        <v>465877</v>
      </c>
      <c r="D3898" t="s">
        <v>10</v>
      </c>
      <c r="E3898" t="s">
        <v>16</v>
      </c>
      <c r="F3898" t="s">
        <v>12</v>
      </c>
      <c r="G3898" t="s">
        <v>13</v>
      </c>
      <c r="H3898" t="s">
        <v>12</v>
      </c>
      <c r="I3898">
        <v>36</v>
      </c>
      <c r="J3898">
        <f>ABS((I3898-EDA!$A$15)/EDA!$B$15)</f>
        <v>0.42201166760410774</v>
      </c>
      <c r="K3898" t="str">
        <f t="shared" si="60"/>
        <v>No</v>
      </c>
      <c r="L3898">
        <f>ABS((C3898-EDA!$F$15)/EDA!$G$15)</f>
        <v>0.36790145005956143</v>
      </c>
      <c r="M3898" t="str">
        <f>IF(moras[[#This Row],[Z-Score Salario]]&gt;1.96, "Sí", "No")</f>
        <v>No</v>
      </c>
      <c r="N3898" s="14">
        <f>IF(ISBLANK(moras[[#This Row],[SALARIO]]), EDA!$M$8, moras[[#This Row],[SALARIO]])</f>
        <v>465877</v>
      </c>
      <c r="O3898" s="14">
        <f xml:space="preserve"> IF(ISBLANK(moras[[#This Row],[EDAD]]), EDA!$E$8, moras[[#This Row],[EDAD]])</f>
        <v>36</v>
      </c>
      <c r="P3898" s="14" t="str">
        <f>IF(
    OR(ISBLANK(moras[[#This Row],[TIPO_ASEGURAMIENTO]]), moras[[#This Row],[TIPO_ASEGURAMIENTO]]=""),
    EDA!$A$32,
    moras[[#This Row],[TIPO_ASEGURAMIENTO]]
)</f>
        <v>ASALARIADO</v>
      </c>
    </row>
    <row r="3899" spans="1:16" x14ac:dyDescent="0.3">
      <c r="A3899">
        <v>3898</v>
      </c>
      <c r="B3899" t="s">
        <v>15</v>
      </c>
      <c r="C3899">
        <v>658917</v>
      </c>
      <c r="D3899" t="s">
        <v>10</v>
      </c>
      <c r="E3899" t="s">
        <v>11</v>
      </c>
      <c r="F3899" t="s">
        <v>12</v>
      </c>
      <c r="G3899" t="s">
        <v>13</v>
      </c>
      <c r="H3899" t="s">
        <v>12</v>
      </c>
      <c r="I3899">
        <v>36</v>
      </c>
      <c r="J3899">
        <f>ABS((I3899-EDA!$A$15)/EDA!$B$15)</f>
        <v>0.42201166760410774</v>
      </c>
      <c r="K3899" t="str">
        <f t="shared" si="60"/>
        <v>No</v>
      </c>
      <c r="L3899">
        <f>ABS((C3899-EDA!$F$15)/EDA!$G$15)</f>
        <v>0.36468912819027088</v>
      </c>
      <c r="M3899" t="str">
        <f>IF(moras[[#This Row],[Z-Score Salario]]&gt;1.96, "Sí", "No")</f>
        <v>No</v>
      </c>
      <c r="N3899" s="14">
        <f>IF(ISBLANK(moras[[#This Row],[SALARIO]]), EDA!$M$8, moras[[#This Row],[SALARIO]])</f>
        <v>658917</v>
      </c>
      <c r="O3899" s="14">
        <f xml:space="preserve"> IF(ISBLANK(moras[[#This Row],[EDAD]]), EDA!$E$8, moras[[#This Row],[EDAD]])</f>
        <v>36</v>
      </c>
      <c r="P3899" s="14" t="str">
        <f>IF(
    OR(ISBLANK(moras[[#This Row],[TIPO_ASEGURAMIENTO]]), moras[[#This Row],[TIPO_ASEGURAMIENTO]]=""),
    EDA!$A$32,
    moras[[#This Row],[TIPO_ASEGURAMIENTO]]
)</f>
        <v>ASALARIADO</v>
      </c>
    </row>
    <row r="3900" spans="1:16" x14ac:dyDescent="0.3">
      <c r="A3900">
        <v>3899</v>
      </c>
      <c r="B3900" t="s">
        <v>9</v>
      </c>
      <c r="C3900">
        <v>265829543</v>
      </c>
      <c r="D3900" t="s">
        <v>10</v>
      </c>
      <c r="E3900" t="s">
        <v>16</v>
      </c>
      <c r="F3900" t="s">
        <v>12</v>
      </c>
      <c r="G3900" t="s">
        <v>12</v>
      </c>
      <c r="H3900" t="s">
        <v>13</v>
      </c>
      <c r="I3900">
        <v>30</v>
      </c>
      <c r="J3900">
        <f>ABS((I3900-EDA!$A$15)/EDA!$B$15)</f>
        <v>0.84546364806693275</v>
      </c>
      <c r="K3900" t="str">
        <f t="shared" si="60"/>
        <v>No</v>
      </c>
      <c r="L3900">
        <f>ABS((C3900-EDA!$F$15)/EDA!$G$15)</f>
        <v>4.0479372756289553</v>
      </c>
      <c r="M3900" t="str">
        <f>IF(moras[[#This Row],[Z-Score Salario]]&gt;1.96, "Sí", "No")</f>
        <v>Sí</v>
      </c>
      <c r="N3900" s="14">
        <f>IF(ISBLANK(moras[[#This Row],[SALARIO]]), EDA!$M$8, moras[[#This Row],[SALARIO]])</f>
        <v>265829543</v>
      </c>
      <c r="O3900" s="14">
        <f xml:space="preserve"> IF(ISBLANK(moras[[#This Row],[EDAD]]), EDA!$E$8, moras[[#This Row],[EDAD]])</f>
        <v>30</v>
      </c>
      <c r="P3900" s="14" t="str">
        <f>IF(
    OR(ISBLANK(moras[[#This Row],[TIPO_ASEGURAMIENTO]]), moras[[#This Row],[TIPO_ASEGURAMIENTO]]=""),
    EDA!$A$32,
    moras[[#This Row],[TIPO_ASEGURAMIENTO]]
)</f>
        <v>ASALARIADO</v>
      </c>
    </row>
    <row r="3901" spans="1:16" x14ac:dyDescent="0.3">
      <c r="A3901">
        <v>3900</v>
      </c>
      <c r="B3901" t="s">
        <v>9</v>
      </c>
      <c r="C3901">
        <v>58322182</v>
      </c>
      <c r="D3901" t="s">
        <v>10</v>
      </c>
      <c r="E3901" t="s">
        <v>16</v>
      </c>
      <c r="F3901" t="s">
        <v>12</v>
      </c>
      <c r="G3901" t="s">
        <v>12</v>
      </c>
      <c r="H3901" t="s">
        <v>13</v>
      </c>
      <c r="I3901">
        <v>53</v>
      </c>
      <c r="J3901">
        <f>ABS((I3901-EDA!$A$15)/EDA!$B$15)</f>
        <v>0.77776894370722982</v>
      </c>
      <c r="K3901" t="str">
        <f t="shared" si="60"/>
        <v>No</v>
      </c>
      <c r="L3901">
        <f>ABS((C3901-EDA!$F$15)/EDA!$G$15)</f>
        <v>0.59486830661182166</v>
      </c>
      <c r="M3901" t="str">
        <f>IF(moras[[#This Row],[Z-Score Salario]]&gt;1.96, "Sí", "No")</f>
        <v>No</v>
      </c>
      <c r="N3901" s="14">
        <f>IF(ISBLANK(moras[[#This Row],[SALARIO]]), EDA!$M$8, moras[[#This Row],[SALARIO]])</f>
        <v>58322182</v>
      </c>
      <c r="O3901" s="14">
        <f xml:space="preserve"> IF(ISBLANK(moras[[#This Row],[EDAD]]), EDA!$E$8, moras[[#This Row],[EDAD]])</f>
        <v>53</v>
      </c>
      <c r="P3901" s="14" t="str">
        <f>IF(
    OR(ISBLANK(moras[[#This Row],[TIPO_ASEGURAMIENTO]]), moras[[#This Row],[TIPO_ASEGURAMIENTO]]=""),
    EDA!$A$32,
    moras[[#This Row],[TIPO_ASEGURAMIENTO]]
)</f>
        <v>ASALARIADO</v>
      </c>
    </row>
    <row r="3902" spans="1:16" x14ac:dyDescent="0.3">
      <c r="A3902">
        <v>3901</v>
      </c>
      <c r="B3902" t="s">
        <v>9</v>
      </c>
      <c r="C3902">
        <v>297046</v>
      </c>
      <c r="D3902" t="s">
        <v>18</v>
      </c>
      <c r="E3902" t="s">
        <v>16</v>
      </c>
      <c r="F3902" t="s">
        <v>12</v>
      </c>
      <c r="G3902" t="s">
        <v>13</v>
      </c>
      <c r="H3902" t="s">
        <v>13</v>
      </c>
      <c r="I3902">
        <v>32</v>
      </c>
      <c r="J3902">
        <f>ABS((I3902-EDA!$A$15)/EDA!$B$15)</f>
        <v>0.70431298791265773</v>
      </c>
      <c r="K3902" t="str">
        <f t="shared" si="60"/>
        <v>No</v>
      </c>
      <c r="L3902">
        <f>ABS((C3902-EDA!$F$15)/EDA!$G$15)</f>
        <v>0.37071091707942361</v>
      </c>
      <c r="M3902" t="str">
        <f>IF(moras[[#This Row],[Z-Score Salario]]&gt;1.96, "Sí", "No")</f>
        <v>No</v>
      </c>
      <c r="N3902" s="14">
        <f>IF(ISBLANK(moras[[#This Row],[SALARIO]]), EDA!$M$8, moras[[#This Row],[SALARIO]])</f>
        <v>297046</v>
      </c>
      <c r="O3902" s="14">
        <f xml:space="preserve"> IF(ISBLANK(moras[[#This Row],[EDAD]]), EDA!$E$8, moras[[#This Row],[EDAD]])</f>
        <v>32</v>
      </c>
      <c r="P3902" s="14" t="str">
        <f>IF(
    OR(ISBLANK(moras[[#This Row],[TIPO_ASEGURAMIENTO]]), moras[[#This Row],[TIPO_ASEGURAMIENTO]]=""),
    EDA!$A$32,
    moras[[#This Row],[TIPO_ASEGURAMIENTO]]
)</f>
        <v>TRABAJADOR INDEPENDIENTE</v>
      </c>
    </row>
    <row r="3903" spans="1:16" x14ac:dyDescent="0.3">
      <c r="A3903">
        <v>3902</v>
      </c>
      <c r="B3903" t="s">
        <v>15</v>
      </c>
      <c r="C3903">
        <v>572000</v>
      </c>
      <c r="D3903" t="s">
        <v>10</v>
      </c>
      <c r="E3903" t="s">
        <v>16</v>
      </c>
      <c r="F3903" t="s">
        <v>12</v>
      </c>
      <c r="G3903" t="s">
        <v>13</v>
      </c>
      <c r="H3903" t="s">
        <v>13</v>
      </c>
      <c r="I3903">
        <v>50</v>
      </c>
      <c r="J3903">
        <f>ABS((I3903-EDA!$A$15)/EDA!$B$15)</f>
        <v>0.56604295347581735</v>
      </c>
      <c r="K3903" t="str">
        <f t="shared" si="60"/>
        <v>No</v>
      </c>
      <c r="L3903">
        <f>ABS((C3903-EDA!$F$15)/EDA!$G$15)</f>
        <v>0.36613548842604132</v>
      </c>
      <c r="M3903" t="str">
        <f>IF(moras[[#This Row],[Z-Score Salario]]&gt;1.96, "Sí", "No")</f>
        <v>No</v>
      </c>
      <c r="N3903" s="14">
        <f>IF(ISBLANK(moras[[#This Row],[SALARIO]]), EDA!$M$8, moras[[#This Row],[SALARIO]])</f>
        <v>572000</v>
      </c>
      <c r="O3903" s="14">
        <f xml:space="preserve"> IF(ISBLANK(moras[[#This Row],[EDAD]]), EDA!$E$8, moras[[#This Row],[EDAD]])</f>
        <v>50</v>
      </c>
      <c r="P3903" s="14" t="str">
        <f>IF(
    OR(ISBLANK(moras[[#This Row],[TIPO_ASEGURAMIENTO]]), moras[[#This Row],[TIPO_ASEGURAMIENTO]]=""),
    EDA!$A$32,
    moras[[#This Row],[TIPO_ASEGURAMIENTO]]
)</f>
        <v>ASALARIADO</v>
      </c>
    </row>
    <row r="3904" spans="1:16" x14ac:dyDescent="0.3">
      <c r="A3904">
        <v>3903</v>
      </c>
      <c r="B3904" t="s">
        <v>9</v>
      </c>
      <c r="C3904">
        <v>705100</v>
      </c>
      <c r="D3904" t="s">
        <v>10</v>
      </c>
      <c r="E3904" t="s">
        <v>16</v>
      </c>
      <c r="F3904" t="s">
        <v>12</v>
      </c>
      <c r="G3904" t="s">
        <v>13</v>
      </c>
      <c r="H3904" t="s">
        <v>13</v>
      </c>
      <c r="I3904">
        <v>64</v>
      </c>
      <c r="J3904">
        <f>ABS((I3904-EDA!$A$15)/EDA!$B$15)</f>
        <v>1.5540975745557424</v>
      </c>
      <c r="K3904" t="str">
        <f t="shared" si="60"/>
        <v>No</v>
      </c>
      <c r="L3904">
        <f>ABS((C3904-EDA!$F$15)/EDA!$G$15)</f>
        <v>0.36392061046912788</v>
      </c>
      <c r="M3904" t="str">
        <f>IF(moras[[#This Row],[Z-Score Salario]]&gt;1.96, "Sí", "No")</f>
        <v>No</v>
      </c>
      <c r="N3904" s="14">
        <f>IF(ISBLANK(moras[[#This Row],[SALARIO]]), EDA!$M$8, moras[[#This Row],[SALARIO]])</f>
        <v>705100</v>
      </c>
      <c r="O3904" s="14">
        <f xml:space="preserve"> IF(ISBLANK(moras[[#This Row],[EDAD]]), EDA!$E$8, moras[[#This Row],[EDAD]])</f>
        <v>64</v>
      </c>
      <c r="P3904" s="14" t="str">
        <f>IF(
    OR(ISBLANK(moras[[#This Row],[TIPO_ASEGURAMIENTO]]), moras[[#This Row],[TIPO_ASEGURAMIENTO]]=""),
    EDA!$A$32,
    moras[[#This Row],[TIPO_ASEGURAMIENTO]]
)</f>
        <v>ASALARIADO</v>
      </c>
    </row>
    <row r="3905" spans="1:16" x14ac:dyDescent="0.3">
      <c r="A3905">
        <v>3904</v>
      </c>
      <c r="B3905" t="s">
        <v>9</v>
      </c>
      <c r="C3905">
        <v>3661815</v>
      </c>
      <c r="D3905" t="s">
        <v>10</v>
      </c>
      <c r="E3905" t="s">
        <v>16</v>
      </c>
      <c r="F3905" t="s">
        <v>12</v>
      </c>
      <c r="G3905" t="s">
        <v>13</v>
      </c>
      <c r="H3905" t="s">
        <v>13</v>
      </c>
      <c r="I3905">
        <v>33</v>
      </c>
      <c r="J3905">
        <f>ABS((I3905-EDA!$A$15)/EDA!$B$15)</f>
        <v>0.63373765783552027</v>
      </c>
      <c r="K3905" t="str">
        <f t="shared" si="60"/>
        <v>No</v>
      </c>
      <c r="L3905">
        <f>ABS((C3905-EDA!$F$15)/EDA!$G$15)</f>
        <v>0.31471878568794581</v>
      </c>
      <c r="M3905" t="str">
        <f>IF(moras[[#This Row],[Z-Score Salario]]&gt;1.96, "Sí", "No")</f>
        <v>No</v>
      </c>
      <c r="N3905" s="14">
        <f>IF(ISBLANK(moras[[#This Row],[SALARIO]]), EDA!$M$8, moras[[#This Row],[SALARIO]])</f>
        <v>3661815</v>
      </c>
      <c r="O3905" s="14">
        <f xml:space="preserve"> IF(ISBLANK(moras[[#This Row],[EDAD]]), EDA!$E$8, moras[[#This Row],[EDAD]])</f>
        <v>33</v>
      </c>
      <c r="P3905" s="14" t="str">
        <f>IF(
    OR(ISBLANK(moras[[#This Row],[TIPO_ASEGURAMIENTO]]), moras[[#This Row],[TIPO_ASEGURAMIENTO]]=""),
    EDA!$A$32,
    moras[[#This Row],[TIPO_ASEGURAMIENTO]]
)</f>
        <v>ASALARIADO</v>
      </c>
    </row>
    <row r="3906" spans="1:16" x14ac:dyDescent="0.3">
      <c r="A3906">
        <v>3905</v>
      </c>
      <c r="B3906" t="s">
        <v>9</v>
      </c>
      <c r="C3906">
        <v>639148</v>
      </c>
      <c r="D3906" t="s">
        <v>18</v>
      </c>
      <c r="E3906" t="s">
        <v>16</v>
      </c>
      <c r="F3906" t="s">
        <v>12</v>
      </c>
      <c r="G3906" t="s">
        <v>13</v>
      </c>
      <c r="H3906" t="s">
        <v>12</v>
      </c>
      <c r="I3906">
        <v>41</v>
      </c>
      <c r="J3906">
        <f>ABS((I3906-EDA!$A$15)/EDA!$B$15)</f>
        <v>6.9135017218420233E-2</v>
      </c>
      <c r="K3906" t="str">
        <f t="shared" ref="K3906:K3969" si="61">IF(J3906 &gt;  1.96, "Sí","No")</f>
        <v>No</v>
      </c>
      <c r="L3906">
        <f>ABS((C3906-EDA!$F$15)/EDA!$G$15)</f>
        <v>0.36501809830544912</v>
      </c>
      <c r="M3906" t="str">
        <f>IF(moras[[#This Row],[Z-Score Salario]]&gt;1.96, "Sí", "No")</f>
        <v>No</v>
      </c>
      <c r="N3906" s="14">
        <f>IF(ISBLANK(moras[[#This Row],[SALARIO]]), EDA!$M$8, moras[[#This Row],[SALARIO]])</f>
        <v>639148</v>
      </c>
      <c r="O3906" s="14">
        <f xml:space="preserve"> IF(ISBLANK(moras[[#This Row],[EDAD]]), EDA!$E$8, moras[[#This Row],[EDAD]])</f>
        <v>41</v>
      </c>
      <c r="P3906" s="14" t="str">
        <f>IF(
    OR(ISBLANK(moras[[#This Row],[TIPO_ASEGURAMIENTO]]), moras[[#This Row],[TIPO_ASEGURAMIENTO]]=""),
    EDA!$A$32,
    moras[[#This Row],[TIPO_ASEGURAMIENTO]]
)</f>
        <v>TRABAJADOR INDEPENDIENTE</v>
      </c>
    </row>
    <row r="3907" spans="1:16" x14ac:dyDescent="0.3">
      <c r="A3907">
        <v>3906</v>
      </c>
      <c r="B3907" t="s">
        <v>9</v>
      </c>
      <c r="C3907">
        <v>883100</v>
      </c>
      <c r="D3907" t="s">
        <v>10</v>
      </c>
      <c r="E3907" t="s">
        <v>11</v>
      </c>
      <c r="F3907" t="s">
        <v>12</v>
      </c>
      <c r="G3907" t="s">
        <v>13</v>
      </c>
      <c r="H3907" t="s">
        <v>13</v>
      </c>
      <c r="I3907">
        <v>48</v>
      </c>
      <c r="J3907">
        <f>ABS((I3907-EDA!$A$15)/EDA!$B$15)</f>
        <v>0.42489229332154227</v>
      </c>
      <c r="K3907" t="str">
        <f t="shared" si="61"/>
        <v>No</v>
      </c>
      <c r="L3907">
        <f>ABS((C3907-EDA!$F$15)/EDA!$G$15)</f>
        <v>0.36095856481675676</v>
      </c>
      <c r="M3907" t="str">
        <f>IF(moras[[#This Row],[Z-Score Salario]]&gt;1.96, "Sí", "No")</f>
        <v>No</v>
      </c>
      <c r="N3907" s="14">
        <f>IF(ISBLANK(moras[[#This Row],[SALARIO]]), EDA!$M$8, moras[[#This Row],[SALARIO]])</f>
        <v>883100</v>
      </c>
      <c r="O3907" s="14">
        <f xml:space="preserve"> IF(ISBLANK(moras[[#This Row],[EDAD]]), EDA!$E$8, moras[[#This Row],[EDAD]])</f>
        <v>48</v>
      </c>
      <c r="P3907" s="14" t="str">
        <f>IF(
    OR(ISBLANK(moras[[#This Row],[TIPO_ASEGURAMIENTO]]), moras[[#This Row],[TIPO_ASEGURAMIENTO]]=""),
    EDA!$A$32,
    moras[[#This Row],[TIPO_ASEGURAMIENTO]]
)</f>
        <v>ASALARIADO</v>
      </c>
    </row>
    <row r="3908" spans="1:16" x14ac:dyDescent="0.3">
      <c r="A3908">
        <v>3907</v>
      </c>
      <c r="B3908" t="s">
        <v>15</v>
      </c>
      <c r="C3908">
        <v>63445885</v>
      </c>
      <c r="D3908" t="s">
        <v>10</v>
      </c>
      <c r="E3908" t="s">
        <v>11</v>
      </c>
      <c r="F3908" t="s">
        <v>12</v>
      </c>
      <c r="G3908" t="s">
        <v>13</v>
      </c>
      <c r="H3908" t="s">
        <v>13</v>
      </c>
      <c r="I3908">
        <v>37</v>
      </c>
      <c r="J3908">
        <f>ABS((I3908-EDA!$A$15)/EDA!$B$15)</f>
        <v>0.35143633752697023</v>
      </c>
      <c r="K3908" t="str">
        <f t="shared" si="61"/>
        <v>No</v>
      </c>
      <c r="L3908">
        <f>ABS((C3908-EDA!$F$15)/EDA!$G$15)</f>
        <v>0.68013034141626405</v>
      </c>
      <c r="M3908" t="str">
        <f>IF(moras[[#This Row],[Z-Score Salario]]&gt;1.96, "Sí", "No")</f>
        <v>No</v>
      </c>
      <c r="N3908" s="14">
        <f>IF(ISBLANK(moras[[#This Row],[SALARIO]]), EDA!$M$8, moras[[#This Row],[SALARIO]])</f>
        <v>63445885</v>
      </c>
      <c r="O3908" s="14">
        <f xml:space="preserve"> IF(ISBLANK(moras[[#This Row],[EDAD]]), EDA!$E$8, moras[[#This Row],[EDAD]])</f>
        <v>37</v>
      </c>
      <c r="P3908" s="14" t="str">
        <f>IF(
    OR(ISBLANK(moras[[#This Row],[TIPO_ASEGURAMIENTO]]), moras[[#This Row],[TIPO_ASEGURAMIENTO]]=""),
    EDA!$A$32,
    moras[[#This Row],[TIPO_ASEGURAMIENTO]]
)</f>
        <v>ASALARIADO</v>
      </c>
    </row>
    <row r="3909" spans="1:16" x14ac:dyDescent="0.3">
      <c r="A3909">
        <v>3908</v>
      </c>
      <c r="B3909" t="s">
        <v>9</v>
      </c>
      <c r="C3909">
        <v>700000</v>
      </c>
      <c r="D3909" t="s">
        <v>10</v>
      </c>
      <c r="E3909" t="s">
        <v>16</v>
      </c>
      <c r="F3909" t="s">
        <v>12</v>
      </c>
      <c r="G3909" t="s">
        <v>13</v>
      </c>
      <c r="H3909" t="s">
        <v>13</v>
      </c>
      <c r="I3909">
        <v>46</v>
      </c>
      <c r="J3909">
        <f>ABS((I3909-EDA!$A$15)/EDA!$B$15)</f>
        <v>0.2837416331672673</v>
      </c>
      <c r="K3909" t="str">
        <f t="shared" si="61"/>
        <v>No</v>
      </c>
      <c r="L3909">
        <f>ABS((C3909-EDA!$F$15)/EDA!$G$15)</f>
        <v>0.36400547806928008</v>
      </c>
      <c r="M3909" t="str">
        <f>IF(moras[[#This Row],[Z-Score Salario]]&gt;1.96, "Sí", "No")</f>
        <v>No</v>
      </c>
      <c r="N3909" s="14">
        <f>IF(ISBLANK(moras[[#This Row],[SALARIO]]), EDA!$M$8, moras[[#This Row],[SALARIO]])</f>
        <v>700000</v>
      </c>
      <c r="O3909" s="14">
        <f xml:space="preserve"> IF(ISBLANK(moras[[#This Row],[EDAD]]), EDA!$E$8, moras[[#This Row],[EDAD]])</f>
        <v>46</v>
      </c>
      <c r="P3909" s="14" t="str">
        <f>IF(
    OR(ISBLANK(moras[[#This Row],[TIPO_ASEGURAMIENTO]]), moras[[#This Row],[TIPO_ASEGURAMIENTO]]=""),
    EDA!$A$32,
    moras[[#This Row],[TIPO_ASEGURAMIENTO]]
)</f>
        <v>ASALARIADO</v>
      </c>
    </row>
    <row r="3910" spans="1:16" x14ac:dyDescent="0.3">
      <c r="A3910">
        <v>3909</v>
      </c>
      <c r="B3910" t="s">
        <v>9</v>
      </c>
      <c r="C3910">
        <v>58385975</v>
      </c>
      <c r="D3910" t="s">
        <v>10</v>
      </c>
      <c r="E3910" t="s">
        <v>16</v>
      </c>
      <c r="F3910" t="s">
        <v>12</v>
      </c>
      <c r="G3910" t="s">
        <v>13</v>
      </c>
      <c r="H3910" t="s">
        <v>13</v>
      </c>
      <c r="I3910">
        <v>62</v>
      </c>
      <c r="J3910">
        <f>ABS((I3910-EDA!$A$15)/EDA!$B$15)</f>
        <v>1.4129469144014672</v>
      </c>
      <c r="K3910" t="str">
        <f t="shared" si="61"/>
        <v>No</v>
      </c>
      <c r="L3910">
        <f>ABS((C3910-EDA!$F$15)/EDA!$G$15)</f>
        <v>0.59592986716407848</v>
      </c>
      <c r="M3910" t="str">
        <f>IF(moras[[#This Row],[Z-Score Salario]]&gt;1.96, "Sí", "No")</f>
        <v>No</v>
      </c>
      <c r="N3910" s="14">
        <f>IF(ISBLANK(moras[[#This Row],[SALARIO]]), EDA!$M$8, moras[[#This Row],[SALARIO]])</f>
        <v>58385975</v>
      </c>
      <c r="O3910" s="14">
        <f xml:space="preserve"> IF(ISBLANK(moras[[#This Row],[EDAD]]), EDA!$E$8, moras[[#This Row],[EDAD]])</f>
        <v>62</v>
      </c>
      <c r="P3910" s="14" t="str">
        <f>IF(
    OR(ISBLANK(moras[[#This Row],[TIPO_ASEGURAMIENTO]]), moras[[#This Row],[TIPO_ASEGURAMIENTO]]=""),
    EDA!$A$32,
    moras[[#This Row],[TIPO_ASEGURAMIENTO]]
)</f>
        <v>ASALARIADO</v>
      </c>
    </row>
    <row r="3911" spans="1:16" x14ac:dyDescent="0.3">
      <c r="A3911">
        <v>3910</v>
      </c>
      <c r="B3911" t="s">
        <v>15</v>
      </c>
      <c r="C3911">
        <v>64923817</v>
      </c>
      <c r="D3911" t="s">
        <v>10</v>
      </c>
      <c r="E3911" t="s">
        <v>16</v>
      </c>
      <c r="F3911" t="s">
        <v>12</v>
      </c>
      <c r="G3911" t="s">
        <v>13</v>
      </c>
      <c r="H3911" t="s">
        <v>13</v>
      </c>
      <c r="I3911">
        <v>27</v>
      </c>
      <c r="J3911">
        <f>ABS((I3911-EDA!$A$15)/EDA!$B$15)</f>
        <v>1.0571896382983452</v>
      </c>
      <c r="K3911" t="str">
        <f t="shared" si="61"/>
        <v>No</v>
      </c>
      <c r="L3911">
        <f>ABS((C3911-EDA!$F$15)/EDA!$G$15)</f>
        <v>0.7047241731864895</v>
      </c>
      <c r="M3911" t="str">
        <f>IF(moras[[#This Row],[Z-Score Salario]]&gt;1.96, "Sí", "No")</f>
        <v>No</v>
      </c>
      <c r="N3911" s="14">
        <f>IF(ISBLANK(moras[[#This Row],[SALARIO]]), EDA!$M$8, moras[[#This Row],[SALARIO]])</f>
        <v>64923817</v>
      </c>
      <c r="O3911" s="14">
        <f xml:space="preserve"> IF(ISBLANK(moras[[#This Row],[EDAD]]), EDA!$E$8, moras[[#This Row],[EDAD]])</f>
        <v>27</v>
      </c>
      <c r="P3911" s="14" t="str">
        <f>IF(
    OR(ISBLANK(moras[[#This Row],[TIPO_ASEGURAMIENTO]]), moras[[#This Row],[TIPO_ASEGURAMIENTO]]=""),
    EDA!$A$32,
    moras[[#This Row],[TIPO_ASEGURAMIENTO]]
)</f>
        <v>ASALARIADO</v>
      </c>
    </row>
    <row r="3912" spans="1:16" x14ac:dyDescent="0.3">
      <c r="A3912">
        <v>3911</v>
      </c>
      <c r="B3912" t="s">
        <v>15</v>
      </c>
      <c r="C3912">
        <v>1341939</v>
      </c>
      <c r="D3912" t="s">
        <v>14</v>
      </c>
      <c r="E3912" t="s">
        <v>11</v>
      </c>
      <c r="F3912" t="s">
        <v>12</v>
      </c>
      <c r="G3912" t="s">
        <v>13</v>
      </c>
      <c r="H3912" t="s">
        <v>13</v>
      </c>
      <c r="I3912">
        <v>76</v>
      </c>
      <c r="J3912">
        <f>ABS((I3912-EDA!$A$15)/EDA!$B$15)</f>
        <v>2.4010015354813925</v>
      </c>
      <c r="K3912" t="str">
        <f t="shared" si="61"/>
        <v>Sí</v>
      </c>
      <c r="L3912">
        <f>ABS((C3912-EDA!$F$15)/EDA!$G$15)</f>
        <v>0.35332315995671015</v>
      </c>
      <c r="M3912" t="str">
        <f>IF(moras[[#This Row],[Z-Score Salario]]&gt;1.96, "Sí", "No")</f>
        <v>No</v>
      </c>
      <c r="N3912" s="14">
        <f>IF(ISBLANK(moras[[#This Row],[SALARIO]]), EDA!$M$8, moras[[#This Row],[SALARIO]])</f>
        <v>1341939</v>
      </c>
      <c r="O3912" s="14">
        <f xml:space="preserve"> IF(ISBLANK(moras[[#This Row],[EDAD]]), EDA!$E$8, moras[[#This Row],[EDAD]])</f>
        <v>76</v>
      </c>
      <c r="P3912" s="14" t="str">
        <f>IF(
    OR(ISBLANK(moras[[#This Row],[TIPO_ASEGURAMIENTO]]), moras[[#This Row],[TIPO_ASEGURAMIENTO]]=""),
    EDA!$A$32,
    moras[[#This Row],[TIPO_ASEGURAMIENTO]]
)</f>
        <v>PENSIONADOS EN SU PROPIO SISTEMA</v>
      </c>
    </row>
    <row r="3913" spans="1:16" x14ac:dyDescent="0.3">
      <c r="A3913">
        <v>3912</v>
      </c>
      <c r="B3913" t="s">
        <v>15</v>
      </c>
      <c r="C3913">
        <v>170248</v>
      </c>
      <c r="D3913" t="s">
        <v>10</v>
      </c>
      <c r="E3913" t="s">
        <v>16</v>
      </c>
      <c r="F3913" t="s">
        <v>12</v>
      </c>
      <c r="G3913" t="s">
        <v>13</v>
      </c>
      <c r="H3913" t="s">
        <v>13</v>
      </c>
      <c r="I3913">
        <v>20</v>
      </c>
      <c r="J3913">
        <f>ABS((I3913-EDA!$A$15)/EDA!$B$15)</f>
        <v>1.5512169488383079</v>
      </c>
      <c r="K3913" t="str">
        <f t="shared" si="61"/>
        <v>No</v>
      </c>
      <c r="L3913">
        <f>ABS((C3913-EDA!$F$15)/EDA!$G$15)</f>
        <v>0.37282092530767835</v>
      </c>
      <c r="M3913" t="str">
        <f>IF(moras[[#This Row],[Z-Score Salario]]&gt;1.96, "Sí", "No")</f>
        <v>No</v>
      </c>
      <c r="N3913" s="14">
        <f>IF(ISBLANK(moras[[#This Row],[SALARIO]]), EDA!$M$8, moras[[#This Row],[SALARIO]])</f>
        <v>170248</v>
      </c>
      <c r="O3913" s="14">
        <f xml:space="preserve"> IF(ISBLANK(moras[[#This Row],[EDAD]]), EDA!$E$8, moras[[#This Row],[EDAD]])</f>
        <v>20</v>
      </c>
      <c r="P3913" s="14" t="str">
        <f>IF(
    OR(ISBLANK(moras[[#This Row],[TIPO_ASEGURAMIENTO]]), moras[[#This Row],[TIPO_ASEGURAMIENTO]]=""),
    EDA!$A$32,
    moras[[#This Row],[TIPO_ASEGURAMIENTO]]
)</f>
        <v>ASALARIADO</v>
      </c>
    </row>
    <row r="3914" spans="1:16" x14ac:dyDescent="0.3">
      <c r="A3914">
        <v>3913</v>
      </c>
      <c r="B3914" t="s">
        <v>9</v>
      </c>
      <c r="C3914">
        <v>301566</v>
      </c>
      <c r="D3914" t="s">
        <v>17</v>
      </c>
      <c r="E3914" t="s">
        <v>16</v>
      </c>
      <c r="F3914" t="s">
        <v>12</v>
      </c>
      <c r="G3914" t="s">
        <v>13</v>
      </c>
      <c r="H3914" t="s">
        <v>12</v>
      </c>
      <c r="I3914">
        <v>26</v>
      </c>
      <c r="J3914">
        <f>ABS((I3914-EDA!$A$15)/EDA!$B$15)</f>
        <v>1.1277649683754829</v>
      </c>
      <c r="K3914" t="str">
        <f t="shared" si="61"/>
        <v>No</v>
      </c>
      <c r="L3914">
        <f>ABS((C3914-EDA!$F$15)/EDA!$G$15)</f>
        <v>0.37063570108870048</v>
      </c>
      <c r="M3914" t="str">
        <f>IF(moras[[#This Row],[Z-Score Salario]]&gt;1.96, "Sí", "No")</f>
        <v>No</v>
      </c>
      <c r="N3914" s="14">
        <f>IF(ISBLANK(moras[[#This Row],[SALARIO]]), EDA!$M$8, moras[[#This Row],[SALARIO]])</f>
        <v>301566</v>
      </c>
      <c r="O3914" s="14">
        <f xml:space="preserve"> IF(ISBLANK(moras[[#This Row],[EDAD]]), EDA!$E$8, moras[[#This Row],[EDAD]])</f>
        <v>26</v>
      </c>
      <c r="P3914" s="14" t="str">
        <f>IF(
    OR(ISBLANK(moras[[#This Row],[TIPO_ASEGURAMIENTO]]), moras[[#This Row],[TIPO_ASEGURAMIENTO]]=""),
    EDA!$A$32,
    moras[[#This Row],[TIPO_ASEGURAMIENTO]]
)</f>
        <v>ASEGURADO VOLUNTARIO</v>
      </c>
    </row>
    <row r="3915" spans="1:16" x14ac:dyDescent="0.3">
      <c r="A3915">
        <v>3914</v>
      </c>
      <c r="B3915" t="s">
        <v>9</v>
      </c>
      <c r="C3915">
        <v>326841</v>
      </c>
      <c r="D3915" t="s">
        <v>18</v>
      </c>
      <c r="E3915" t="s">
        <v>16</v>
      </c>
      <c r="F3915" t="s">
        <v>12</v>
      </c>
      <c r="G3915" t="s">
        <v>13</v>
      </c>
      <c r="H3915" t="s">
        <v>12</v>
      </c>
      <c r="I3915">
        <v>51</v>
      </c>
      <c r="J3915">
        <f>ABS((I3915-EDA!$A$15)/EDA!$B$15)</f>
        <v>0.6366182835529548</v>
      </c>
      <c r="K3915" t="str">
        <f t="shared" si="61"/>
        <v>No</v>
      </c>
      <c r="L3915">
        <f>ABS((C3915-EDA!$F$15)/EDA!$G$15)</f>
        <v>0.37021510724676965</v>
      </c>
      <c r="M3915" t="str">
        <f>IF(moras[[#This Row],[Z-Score Salario]]&gt;1.96, "Sí", "No")</f>
        <v>No</v>
      </c>
      <c r="N3915" s="14">
        <f>IF(ISBLANK(moras[[#This Row],[SALARIO]]), EDA!$M$8, moras[[#This Row],[SALARIO]])</f>
        <v>326841</v>
      </c>
      <c r="O3915" s="14">
        <f xml:space="preserve"> IF(ISBLANK(moras[[#This Row],[EDAD]]), EDA!$E$8, moras[[#This Row],[EDAD]])</f>
        <v>51</v>
      </c>
      <c r="P3915" s="14" t="str">
        <f>IF(
    OR(ISBLANK(moras[[#This Row],[TIPO_ASEGURAMIENTO]]), moras[[#This Row],[TIPO_ASEGURAMIENTO]]=""),
    EDA!$A$32,
    moras[[#This Row],[TIPO_ASEGURAMIENTO]]
)</f>
        <v>TRABAJADOR INDEPENDIENTE</v>
      </c>
    </row>
    <row r="3916" spans="1:16" x14ac:dyDescent="0.3">
      <c r="A3916">
        <v>3915</v>
      </c>
      <c r="B3916" t="s">
        <v>9</v>
      </c>
      <c r="C3916">
        <v>260561</v>
      </c>
      <c r="D3916" t="s">
        <v>10</v>
      </c>
      <c r="E3916" t="s">
        <v>16</v>
      </c>
      <c r="F3916" t="s">
        <v>12</v>
      </c>
      <c r="G3916" t="s">
        <v>13</v>
      </c>
      <c r="H3916" t="s">
        <v>13</v>
      </c>
      <c r="I3916">
        <v>52</v>
      </c>
      <c r="J3916">
        <f>ABS((I3916-EDA!$A$15)/EDA!$B$15)</f>
        <v>0.70719361363009237</v>
      </c>
      <c r="K3916" t="str">
        <f t="shared" si="61"/>
        <v>No</v>
      </c>
      <c r="L3916">
        <f>ABS((C3916-EDA!$F$15)/EDA!$G$15)</f>
        <v>0.37131805323463007</v>
      </c>
      <c r="M3916" t="str">
        <f>IF(moras[[#This Row],[Z-Score Salario]]&gt;1.96, "Sí", "No")</f>
        <v>No</v>
      </c>
      <c r="N3916" s="14">
        <f>IF(ISBLANK(moras[[#This Row],[SALARIO]]), EDA!$M$8, moras[[#This Row],[SALARIO]])</f>
        <v>260561</v>
      </c>
      <c r="O3916" s="14">
        <f xml:space="preserve"> IF(ISBLANK(moras[[#This Row],[EDAD]]), EDA!$E$8, moras[[#This Row],[EDAD]])</f>
        <v>52</v>
      </c>
      <c r="P3916" s="14" t="str">
        <f>IF(
    OR(ISBLANK(moras[[#This Row],[TIPO_ASEGURAMIENTO]]), moras[[#This Row],[TIPO_ASEGURAMIENTO]]=""),
    EDA!$A$32,
    moras[[#This Row],[TIPO_ASEGURAMIENTO]]
)</f>
        <v>ASALARIADO</v>
      </c>
    </row>
    <row r="3917" spans="1:16" x14ac:dyDescent="0.3">
      <c r="A3917">
        <v>3916</v>
      </c>
      <c r="B3917" t="s">
        <v>9</v>
      </c>
      <c r="C3917">
        <v>478496</v>
      </c>
      <c r="D3917" t="s">
        <v>18</v>
      </c>
      <c r="E3917" t="s">
        <v>16</v>
      </c>
      <c r="F3917" t="s">
        <v>12</v>
      </c>
      <c r="G3917" t="s">
        <v>13</v>
      </c>
      <c r="H3917" t="s">
        <v>13</v>
      </c>
      <c r="I3917">
        <v>31</v>
      </c>
      <c r="J3917">
        <f>ABS((I3917-EDA!$A$15)/EDA!$B$15)</f>
        <v>0.77488831798979529</v>
      </c>
      <c r="K3917" t="str">
        <f t="shared" si="61"/>
        <v>No</v>
      </c>
      <c r="L3917">
        <f>ABS((C3917-EDA!$F$15)/EDA!$G$15)</f>
        <v>0.36769146099165539</v>
      </c>
      <c r="M3917" t="str">
        <f>IF(moras[[#This Row],[Z-Score Salario]]&gt;1.96, "Sí", "No")</f>
        <v>No</v>
      </c>
      <c r="N3917" s="14">
        <f>IF(ISBLANK(moras[[#This Row],[SALARIO]]), EDA!$M$8, moras[[#This Row],[SALARIO]])</f>
        <v>478496</v>
      </c>
      <c r="O3917" s="14">
        <f xml:space="preserve"> IF(ISBLANK(moras[[#This Row],[EDAD]]), EDA!$E$8, moras[[#This Row],[EDAD]])</f>
        <v>31</v>
      </c>
      <c r="P3917" s="14" t="str">
        <f>IF(
    OR(ISBLANK(moras[[#This Row],[TIPO_ASEGURAMIENTO]]), moras[[#This Row],[TIPO_ASEGURAMIENTO]]=""),
    EDA!$A$32,
    moras[[#This Row],[TIPO_ASEGURAMIENTO]]
)</f>
        <v>TRABAJADOR INDEPENDIENTE</v>
      </c>
    </row>
    <row r="3918" spans="1:16" x14ac:dyDescent="0.3">
      <c r="A3918">
        <v>3917</v>
      </c>
      <c r="B3918" t="s">
        <v>9</v>
      </c>
      <c r="C3918">
        <v>297046</v>
      </c>
      <c r="D3918" t="s">
        <v>17</v>
      </c>
      <c r="E3918" t="s">
        <v>16</v>
      </c>
      <c r="F3918" t="s">
        <v>12</v>
      </c>
      <c r="G3918" t="s">
        <v>13</v>
      </c>
      <c r="H3918" t="s">
        <v>13</v>
      </c>
      <c r="I3918">
        <v>59</v>
      </c>
      <c r="J3918">
        <f>ABS((I3918-EDA!$A$15)/EDA!$B$15)</f>
        <v>1.2012209241700549</v>
      </c>
      <c r="K3918" t="str">
        <f t="shared" si="61"/>
        <v>No</v>
      </c>
      <c r="L3918">
        <f>ABS((C3918-EDA!$F$15)/EDA!$G$15)</f>
        <v>0.37071091707942361</v>
      </c>
      <c r="M3918" t="str">
        <f>IF(moras[[#This Row],[Z-Score Salario]]&gt;1.96, "Sí", "No")</f>
        <v>No</v>
      </c>
      <c r="N3918" s="14">
        <f>IF(ISBLANK(moras[[#This Row],[SALARIO]]), EDA!$M$8, moras[[#This Row],[SALARIO]])</f>
        <v>297046</v>
      </c>
      <c r="O3918" s="14">
        <f xml:space="preserve"> IF(ISBLANK(moras[[#This Row],[EDAD]]), EDA!$E$8, moras[[#This Row],[EDAD]])</f>
        <v>59</v>
      </c>
      <c r="P3918" s="14" t="str">
        <f>IF(
    OR(ISBLANK(moras[[#This Row],[TIPO_ASEGURAMIENTO]]), moras[[#This Row],[TIPO_ASEGURAMIENTO]]=""),
    EDA!$A$32,
    moras[[#This Row],[TIPO_ASEGURAMIENTO]]
)</f>
        <v>ASEGURADO VOLUNTARIO</v>
      </c>
    </row>
    <row r="3919" spans="1:16" x14ac:dyDescent="0.3">
      <c r="A3919">
        <v>3918</v>
      </c>
      <c r="B3919" t="s">
        <v>15</v>
      </c>
      <c r="C3919">
        <v>360000</v>
      </c>
      <c r="D3919" t="s">
        <v>10</v>
      </c>
      <c r="E3919" t="s">
        <v>16</v>
      </c>
      <c r="F3919" t="s">
        <v>12</v>
      </c>
      <c r="G3919" t="s">
        <v>13</v>
      </c>
      <c r="H3919" t="s">
        <v>13</v>
      </c>
      <c r="I3919">
        <v>23</v>
      </c>
      <c r="J3919">
        <f>ABS((I3919-EDA!$A$15)/EDA!$B$15)</f>
        <v>1.3394909586068953</v>
      </c>
      <c r="K3919" t="str">
        <f t="shared" si="61"/>
        <v>No</v>
      </c>
      <c r="L3919">
        <f>ABS((C3919-EDA!$F$15)/EDA!$G$15)</f>
        <v>0.36966331807942709</v>
      </c>
      <c r="M3919" t="str">
        <f>IF(moras[[#This Row],[Z-Score Salario]]&gt;1.96, "Sí", "No")</f>
        <v>No</v>
      </c>
      <c r="N3919" s="14">
        <f>IF(ISBLANK(moras[[#This Row],[SALARIO]]), EDA!$M$8, moras[[#This Row],[SALARIO]])</f>
        <v>360000</v>
      </c>
      <c r="O3919" s="14">
        <f xml:space="preserve"> IF(ISBLANK(moras[[#This Row],[EDAD]]), EDA!$E$8, moras[[#This Row],[EDAD]])</f>
        <v>23</v>
      </c>
      <c r="P3919" s="14" t="str">
        <f>IF(
    OR(ISBLANK(moras[[#This Row],[TIPO_ASEGURAMIENTO]]), moras[[#This Row],[TIPO_ASEGURAMIENTO]]=""),
    EDA!$A$32,
    moras[[#This Row],[TIPO_ASEGURAMIENTO]]
)</f>
        <v>ASALARIADO</v>
      </c>
    </row>
    <row r="3920" spans="1:16" x14ac:dyDescent="0.3">
      <c r="A3920">
        <v>3919</v>
      </c>
      <c r="B3920" t="s">
        <v>15</v>
      </c>
      <c r="C3920">
        <v>297046</v>
      </c>
      <c r="D3920" t="s">
        <v>17</v>
      </c>
      <c r="E3920" t="s">
        <v>16</v>
      </c>
      <c r="F3920" t="s">
        <v>12</v>
      </c>
      <c r="G3920" t="s">
        <v>13</v>
      </c>
      <c r="H3920" t="s">
        <v>13</v>
      </c>
      <c r="I3920">
        <v>43</v>
      </c>
      <c r="J3920">
        <f>ABS((I3920-EDA!$A$15)/EDA!$B$15)</f>
        <v>7.2015642935854773E-2</v>
      </c>
      <c r="K3920" t="str">
        <f t="shared" si="61"/>
        <v>No</v>
      </c>
      <c r="L3920">
        <f>ABS((C3920-EDA!$F$15)/EDA!$G$15)</f>
        <v>0.37071091707942361</v>
      </c>
      <c r="M3920" t="str">
        <f>IF(moras[[#This Row],[Z-Score Salario]]&gt;1.96, "Sí", "No")</f>
        <v>No</v>
      </c>
      <c r="N3920" s="14">
        <f>IF(ISBLANK(moras[[#This Row],[SALARIO]]), EDA!$M$8, moras[[#This Row],[SALARIO]])</f>
        <v>297046</v>
      </c>
      <c r="O3920" s="14">
        <f xml:space="preserve"> IF(ISBLANK(moras[[#This Row],[EDAD]]), EDA!$E$8, moras[[#This Row],[EDAD]])</f>
        <v>43</v>
      </c>
      <c r="P3920" s="14" t="str">
        <f>IF(
    OR(ISBLANK(moras[[#This Row],[TIPO_ASEGURAMIENTO]]), moras[[#This Row],[TIPO_ASEGURAMIENTO]]=""),
    EDA!$A$32,
    moras[[#This Row],[TIPO_ASEGURAMIENTO]]
)</f>
        <v>ASEGURADO VOLUNTARIO</v>
      </c>
    </row>
    <row r="3921" spans="1:16" x14ac:dyDescent="0.3">
      <c r="A3921">
        <v>3920</v>
      </c>
      <c r="B3921" t="s">
        <v>9</v>
      </c>
      <c r="C3921">
        <v>10</v>
      </c>
      <c r="D3921" t="s">
        <v>10</v>
      </c>
      <c r="E3921" t="s">
        <v>16</v>
      </c>
      <c r="F3921" t="s">
        <v>12</v>
      </c>
      <c r="G3921" t="s">
        <v>13</v>
      </c>
      <c r="H3921" t="s">
        <v>13</v>
      </c>
      <c r="I3921">
        <v>42</v>
      </c>
      <c r="J3921">
        <f>ABS((I3921-EDA!$A$15)/EDA!$B$15)</f>
        <v>1.4403128587172659E-3</v>
      </c>
      <c r="K3921" t="str">
        <f t="shared" si="61"/>
        <v>No</v>
      </c>
      <c r="L3921">
        <f>ABS((C3921-EDA!$F$15)/EDA!$G$15)</f>
        <v>0.37565380580075897</v>
      </c>
      <c r="M3921" t="str">
        <f>IF(moras[[#This Row],[Z-Score Salario]]&gt;1.96, "Sí", "No")</f>
        <v>No</v>
      </c>
      <c r="N3921" s="14">
        <f>IF(ISBLANK(moras[[#This Row],[SALARIO]]), EDA!$M$8, moras[[#This Row],[SALARIO]])</f>
        <v>10</v>
      </c>
      <c r="O3921" s="14">
        <f xml:space="preserve"> IF(ISBLANK(moras[[#This Row],[EDAD]]), EDA!$E$8, moras[[#This Row],[EDAD]])</f>
        <v>42</v>
      </c>
      <c r="P3921" s="14" t="str">
        <f>IF(
    OR(ISBLANK(moras[[#This Row],[TIPO_ASEGURAMIENTO]]), moras[[#This Row],[TIPO_ASEGURAMIENTO]]=""),
    EDA!$A$32,
    moras[[#This Row],[TIPO_ASEGURAMIENTO]]
)</f>
        <v>ASALARIADO</v>
      </c>
    </row>
    <row r="3922" spans="1:16" x14ac:dyDescent="0.3">
      <c r="A3922">
        <v>3921</v>
      </c>
      <c r="B3922" t="s">
        <v>9</v>
      </c>
      <c r="C3922">
        <v>310124</v>
      </c>
      <c r="D3922" t="s">
        <v>18</v>
      </c>
      <c r="E3922" t="s">
        <v>16</v>
      </c>
      <c r="F3922" t="s">
        <v>12</v>
      </c>
      <c r="G3922" t="s">
        <v>12</v>
      </c>
      <c r="H3922" t="s">
        <v>12</v>
      </c>
      <c r="I3922">
        <v>48</v>
      </c>
      <c r="J3922">
        <f>ABS((I3922-EDA!$A$15)/EDA!$B$15)</f>
        <v>0.42489229332154227</v>
      </c>
      <c r="K3922" t="str">
        <f t="shared" si="61"/>
        <v>No</v>
      </c>
      <c r="L3922">
        <f>ABS((C3922-EDA!$F$15)/EDA!$G$15)</f>
        <v>0.37049328992750385</v>
      </c>
      <c r="M3922" t="str">
        <f>IF(moras[[#This Row],[Z-Score Salario]]&gt;1.96, "Sí", "No")</f>
        <v>No</v>
      </c>
      <c r="N3922" s="14">
        <f>IF(ISBLANK(moras[[#This Row],[SALARIO]]), EDA!$M$8, moras[[#This Row],[SALARIO]])</f>
        <v>310124</v>
      </c>
      <c r="O3922" s="14">
        <f xml:space="preserve"> IF(ISBLANK(moras[[#This Row],[EDAD]]), EDA!$E$8, moras[[#This Row],[EDAD]])</f>
        <v>48</v>
      </c>
      <c r="P3922" s="14" t="str">
        <f>IF(
    OR(ISBLANK(moras[[#This Row],[TIPO_ASEGURAMIENTO]]), moras[[#This Row],[TIPO_ASEGURAMIENTO]]=""),
    EDA!$A$32,
    moras[[#This Row],[TIPO_ASEGURAMIENTO]]
)</f>
        <v>TRABAJADOR INDEPENDIENTE</v>
      </c>
    </row>
    <row r="3923" spans="1:16" x14ac:dyDescent="0.3">
      <c r="A3923">
        <v>3922</v>
      </c>
      <c r="B3923" t="s">
        <v>9</v>
      </c>
      <c r="C3923">
        <v>148800</v>
      </c>
      <c r="D3923" t="s">
        <v>10</v>
      </c>
      <c r="E3923" t="s">
        <v>16</v>
      </c>
      <c r="F3923" t="s">
        <v>12</v>
      </c>
      <c r="G3923" t="s">
        <v>13</v>
      </c>
      <c r="H3923" t="s">
        <v>13</v>
      </c>
      <c r="I3923">
        <v>54</v>
      </c>
      <c r="J3923">
        <f>ABS((I3923-EDA!$A$15)/EDA!$B$15)</f>
        <v>0.84834427378436728</v>
      </c>
      <c r="K3923" t="str">
        <f t="shared" si="61"/>
        <v>No</v>
      </c>
      <c r="L3923">
        <f>ABS((C3923-EDA!$F$15)/EDA!$G$15)</f>
        <v>0.37317783516808317</v>
      </c>
      <c r="M3923" t="str">
        <f>IF(moras[[#This Row],[Z-Score Salario]]&gt;1.96, "Sí", "No")</f>
        <v>No</v>
      </c>
      <c r="N3923" s="14">
        <f>IF(ISBLANK(moras[[#This Row],[SALARIO]]), EDA!$M$8, moras[[#This Row],[SALARIO]])</f>
        <v>148800</v>
      </c>
      <c r="O3923" s="14">
        <f xml:space="preserve"> IF(ISBLANK(moras[[#This Row],[EDAD]]), EDA!$E$8, moras[[#This Row],[EDAD]])</f>
        <v>54</v>
      </c>
      <c r="P3923" s="14" t="str">
        <f>IF(
    OR(ISBLANK(moras[[#This Row],[TIPO_ASEGURAMIENTO]]), moras[[#This Row],[TIPO_ASEGURAMIENTO]]=""),
    EDA!$A$32,
    moras[[#This Row],[TIPO_ASEGURAMIENTO]]
)</f>
        <v>ASALARIADO</v>
      </c>
    </row>
    <row r="3924" spans="1:16" x14ac:dyDescent="0.3">
      <c r="A3924">
        <v>3923</v>
      </c>
      <c r="B3924" t="s">
        <v>9</v>
      </c>
      <c r="C3924">
        <v>192600</v>
      </c>
      <c r="D3924" t="s">
        <v>10</v>
      </c>
      <c r="E3924" t="s">
        <v>16</v>
      </c>
      <c r="F3924" t="s">
        <v>12</v>
      </c>
      <c r="G3924" t="s">
        <v>12</v>
      </c>
      <c r="H3924" t="s">
        <v>12</v>
      </c>
      <c r="I3924">
        <v>48</v>
      </c>
      <c r="J3924">
        <f>ABS((I3924-EDA!$A$15)/EDA!$B$15)</f>
        <v>0.42489229332154227</v>
      </c>
      <c r="K3924" t="str">
        <f t="shared" si="61"/>
        <v>No</v>
      </c>
      <c r="L3924">
        <f>ABS((C3924-EDA!$F$15)/EDA!$G$15)</f>
        <v>0.37244897224912893</v>
      </c>
      <c r="M3924" t="str">
        <f>IF(moras[[#This Row],[Z-Score Salario]]&gt;1.96, "Sí", "No")</f>
        <v>No</v>
      </c>
      <c r="N3924" s="14">
        <f>IF(ISBLANK(moras[[#This Row],[SALARIO]]), EDA!$M$8, moras[[#This Row],[SALARIO]])</f>
        <v>192600</v>
      </c>
      <c r="O3924" s="14">
        <f xml:space="preserve"> IF(ISBLANK(moras[[#This Row],[EDAD]]), EDA!$E$8, moras[[#This Row],[EDAD]])</f>
        <v>48</v>
      </c>
      <c r="P3924" s="14" t="str">
        <f>IF(
    OR(ISBLANK(moras[[#This Row],[TIPO_ASEGURAMIENTO]]), moras[[#This Row],[TIPO_ASEGURAMIENTO]]=""),
    EDA!$A$32,
    moras[[#This Row],[TIPO_ASEGURAMIENTO]]
)</f>
        <v>ASALARIADO</v>
      </c>
    </row>
    <row r="3925" spans="1:16" x14ac:dyDescent="0.3">
      <c r="A3925">
        <v>3924</v>
      </c>
      <c r="B3925" t="s">
        <v>9</v>
      </c>
      <c r="C3925">
        <v>305704</v>
      </c>
      <c r="D3925" t="s">
        <v>18</v>
      </c>
      <c r="E3925" t="s">
        <v>16</v>
      </c>
      <c r="F3925" t="s">
        <v>12</v>
      </c>
      <c r="G3925" t="s">
        <v>13</v>
      </c>
      <c r="H3925" t="s">
        <v>12</v>
      </c>
      <c r="I3925">
        <v>42</v>
      </c>
      <c r="J3925">
        <f>ABS((I3925-EDA!$A$15)/EDA!$B$15)</f>
        <v>1.4403128587172659E-3</v>
      </c>
      <c r="K3925" t="str">
        <f t="shared" si="61"/>
        <v>No</v>
      </c>
      <c r="L3925">
        <f>ABS((C3925-EDA!$F$15)/EDA!$G$15)</f>
        <v>0.37056684184763578</v>
      </c>
      <c r="M3925" t="str">
        <f>IF(moras[[#This Row],[Z-Score Salario]]&gt;1.96, "Sí", "No")</f>
        <v>No</v>
      </c>
      <c r="N3925" s="14">
        <f>IF(ISBLANK(moras[[#This Row],[SALARIO]]), EDA!$M$8, moras[[#This Row],[SALARIO]])</f>
        <v>305704</v>
      </c>
      <c r="O3925" s="14">
        <f xml:space="preserve"> IF(ISBLANK(moras[[#This Row],[EDAD]]), EDA!$E$8, moras[[#This Row],[EDAD]])</f>
        <v>42</v>
      </c>
      <c r="P3925" s="14" t="str">
        <f>IF(
    OR(ISBLANK(moras[[#This Row],[TIPO_ASEGURAMIENTO]]), moras[[#This Row],[TIPO_ASEGURAMIENTO]]=""),
    EDA!$A$32,
    moras[[#This Row],[TIPO_ASEGURAMIENTO]]
)</f>
        <v>TRABAJADOR INDEPENDIENTE</v>
      </c>
    </row>
    <row r="3926" spans="1:16" x14ac:dyDescent="0.3">
      <c r="A3926">
        <v>3925</v>
      </c>
      <c r="B3926" t="s">
        <v>9</v>
      </c>
      <c r="C3926">
        <v>297046</v>
      </c>
      <c r="D3926" t="s">
        <v>17</v>
      </c>
      <c r="E3926" t="s">
        <v>16</v>
      </c>
      <c r="F3926" t="s">
        <v>12</v>
      </c>
      <c r="G3926" t="s">
        <v>13</v>
      </c>
      <c r="H3926" t="s">
        <v>13</v>
      </c>
      <c r="I3926">
        <v>48</v>
      </c>
      <c r="J3926">
        <f>ABS((I3926-EDA!$A$15)/EDA!$B$15)</f>
        <v>0.42489229332154227</v>
      </c>
      <c r="K3926" t="str">
        <f t="shared" si="61"/>
        <v>No</v>
      </c>
      <c r="L3926">
        <f>ABS((C3926-EDA!$F$15)/EDA!$G$15)</f>
        <v>0.37071091707942361</v>
      </c>
      <c r="M3926" t="str">
        <f>IF(moras[[#This Row],[Z-Score Salario]]&gt;1.96, "Sí", "No")</f>
        <v>No</v>
      </c>
      <c r="N3926" s="14">
        <f>IF(ISBLANK(moras[[#This Row],[SALARIO]]), EDA!$M$8, moras[[#This Row],[SALARIO]])</f>
        <v>297046</v>
      </c>
      <c r="O3926" s="14">
        <f xml:space="preserve"> IF(ISBLANK(moras[[#This Row],[EDAD]]), EDA!$E$8, moras[[#This Row],[EDAD]])</f>
        <v>48</v>
      </c>
      <c r="P3926" s="14" t="str">
        <f>IF(
    OR(ISBLANK(moras[[#This Row],[TIPO_ASEGURAMIENTO]]), moras[[#This Row],[TIPO_ASEGURAMIENTO]]=""),
    EDA!$A$32,
    moras[[#This Row],[TIPO_ASEGURAMIENTO]]
)</f>
        <v>ASEGURADO VOLUNTARIO</v>
      </c>
    </row>
    <row r="3927" spans="1:16" x14ac:dyDescent="0.3">
      <c r="A3927">
        <v>3926</v>
      </c>
      <c r="B3927" t="s">
        <v>9</v>
      </c>
      <c r="C3927">
        <v>148111918</v>
      </c>
      <c r="D3927" t="s">
        <v>10</v>
      </c>
      <c r="E3927" t="s">
        <v>16</v>
      </c>
      <c r="F3927" t="s">
        <v>12</v>
      </c>
      <c r="G3927" t="s">
        <v>13</v>
      </c>
      <c r="H3927" t="s">
        <v>13</v>
      </c>
      <c r="I3927">
        <v>29</v>
      </c>
      <c r="J3927">
        <f>ABS((I3927-EDA!$A$15)/EDA!$B$15)</f>
        <v>0.91603897814407031</v>
      </c>
      <c r="K3927" t="str">
        <f t="shared" si="61"/>
        <v>No</v>
      </c>
      <c r="L3927">
        <f>ABS((C3927-EDA!$F$15)/EDA!$G$15)</f>
        <v>2.0890328973216454</v>
      </c>
      <c r="M3927" t="str">
        <f>IF(moras[[#This Row],[Z-Score Salario]]&gt;1.96, "Sí", "No")</f>
        <v>Sí</v>
      </c>
      <c r="N3927" s="14">
        <f>IF(ISBLANK(moras[[#This Row],[SALARIO]]), EDA!$M$8, moras[[#This Row],[SALARIO]])</f>
        <v>148111918</v>
      </c>
      <c r="O3927" s="14">
        <f xml:space="preserve"> IF(ISBLANK(moras[[#This Row],[EDAD]]), EDA!$E$8, moras[[#This Row],[EDAD]])</f>
        <v>29</v>
      </c>
      <c r="P3927" s="14" t="str">
        <f>IF(
    OR(ISBLANK(moras[[#This Row],[TIPO_ASEGURAMIENTO]]), moras[[#This Row],[TIPO_ASEGURAMIENTO]]=""),
    EDA!$A$32,
    moras[[#This Row],[TIPO_ASEGURAMIENTO]]
)</f>
        <v>ASALARIADO</v>
      </c>
    </row>
    <row r="3928" spans="1:16" x14ac:dyDescent="0.3">
      <c r="A3928">
        <v>3927</v>
      </c>
      <c r="B3928" t="s">
        <v>15</v>
      </c>
      <c r="C3928">
        <v>220000</v>
      </c>
      <c r="D3928" t="s">
        <v>10</v>
      </c>
      <c r="E3928" t="s">
        <v>16</v>
      </c>
      <c r="F3928" t="s">
        <v>12</v>
      </c>
      <c r="G3928" t="s">
        <v>13</v>
      </c>
      <c r="H3928" t="s">
        <v>13</v>
      </c>
      <c r="I3928">
        <v>58</v>
      </c>
      <c r="J3928">
        <f>ABS((I3928-EDA!$A$15)/EDA!$B$15)</f>
        <v>1.1306455940929174</v>
      </c>
      <c r="K3928" t="str">
        <f t="shared" si="61"/>
        <v>No</v>
      </c>
      <c r="L3928">
        <f>ABS((C3928-EDA!$F$15)/EDA!$G$15)</f>
        <v>0.37199301690713471</v>
      </c>
      <c r="M3928" t="str">
        <f>IF(moras[[#This Row],[Z-Score Salario]]&gt;1.96, "Sí", "No")</f>
        <v>No</v>
      </c>
      <c r="N3928" s="14">
        <f>IF(ISBLANK(moras[[#This Row],[SALARIO]]), EDA!$M$8, moras[[#This Row],[SALARIO]])</f>
        <v>220000</v>
      </c>
      <c r="O3928" s="14">
        <f xml:space="preserve"> IF(ISBLANK(moras[[#This Row],[EDAD]]), EDA!$E$8, moras[[#This Row],[EDAD]])</f>
        <v>58</v>
      </c>
      <c r="P3928" s="14" t="str">
        <f>IF(
    OR(ISBLANK(moras[[#This Row],[TIPO_ASEGURAMIENTO]]), moras[[#This Row],[TIPO_ASEGURAMIENTO]]=""),
    EDA!$A$32,
    moras[[#This Row],[TIPO_ASEGURAMIENTO]]
)</f>
        <v>ASALARIADO</v>
      </c>
    </row>
    <row r="3929" spans="1:16" x14ac:dyDescent="0.3">
      <c r="A3929">
        <v>3928</v>
      </c>
      <c r="B3929" t="s">
        <v>15</v>
      </c>
      <c r="C3929">
        <v>856546</v>
      </c>
      <c r="D3929" t="s">
        <v>10</v>
      </c>
      <c r="E3929" t="s">
        <v>11</v>
      </c>
      <c r="F3929" t="s">
        <v>12</v>
      </c>
      <c r="G3929" t="s">
        <v>13</v>
      </c>
      <c r="H3929" t="s">
        <v>13</v>
      </c>
      <c r="I3929">
        <v>36</v>
      </c>
      <c r="J3929">
        <f>ABS((I3929-EDA!$A$15)/EDA!$B$15)</f>
        <v>0.42201166760410774</v>
      </c>
      <c r="K3929" t="str">
        <f t="shared" si="61"/>
        <v>No</v>
      </c>
      <c r="L3929">
        <f>ABS((C3929-EDA!$F$15)/EDA!$G$15)</f>
        <v>0.36140044212154926</v>
      </c>
      <c r="M3929" t="str">
        <f>IF(moras[[#This Row],[Z-Score Salario]]&gt;1.96, "Sí", "No")</f>
        <v>No</v>
      </c>
      <c r="N3929" s="14">
        <f>IF(ISBLANK(moras[[#This Row],[SALARIO]]), EDA!$M$8, moras[[#This Row],[SALARIO]])</f>
        <v>856546</v>
      </c>
      <c r="O3929" s="14">
        <f xml:space="preserve"> IF(ISBLANK(moras[[#This Row],[EDAD]]), EDA!$E$8, moras[[#This Row],[EDAD]])</f>
        <v>36</v>
      </c>
      <c r="P3929" s="14" t="str">
        <f>IF(
    OR(ISBLANK(moras[[#This Row],[TIPO_ASEGURAMIENTO]]), moras[[#This Row],[TIPO_ASEGURAMIENTO]]=""),
    EDA!$A$32,
    moras[[#This Row],[TIPO_ASEGURAMIENTO]]
)</f>
        <v>ASALARIADO</v>
      </c>
    </row>
    <row r="3930" spans="1:16" x14ac:dyDescent="0.3">
      <c r="A3930">
        <v>3929</v>
      </c>
      <c r="B3930" t="s">
        <v>15</v>
      </c>
      <c r="C3930">
        <v>358640</v>
      </c>
      <c r="D3930" t="s">
        <v>18</v>
      </c>
      <c r="E3930" t="s">
        <v>16</v>
      </c>
      <c r="F3930" t="s">
        <v>12</v>
      </c>
      <c r="G3930" t="s">
        <v>13</v>
      </c>
      <c r="H3930" t="s">
        <v>12</v>
      </c>
      <c r="I3930">
        <v>24</v>
      </c>
      <c r="J3930">
        <f>ABS((I3930-EDA!$A$15)/EDA!$B$15)</f>
        <v>1.2689156285297578</v>
      </c>
      <c r="K3930" t="str">
        <f t="shared" si="61"/>
        <v>No</v>
      </c>
      <c r="L3930">
        <f>ABS((C3930-EDA!$F$15)/EDA!$G$15)</f>
        <v>0.3696859494394677</v>
      </c>
      <c r="M3930" t="str">
        <f>IF(moras[[#This Row],[Z-Score Salario]]&gt;1.96, "Sí", "No")</f>
        <v>No</v>
      </c>
      <c r="N3930" s="14">
        <f>IF(ISBLANK(moras[[#This Row],[SALARIO]]), EDA!$M$8, moras[[#This Row],[SALARIO]])</f>
        <v>358640</v>
      </c>
      <c r="O3930" s="14">
        <f xml:space="preserve"> IF(ISBLANK(moras[[#This Row],[EDAD]]), EDA!$E$8, moras[[#This Row],[EDAD]])</f>
        <v>24</v>
      </c>
      <c r="P3930" s="14" t="str">
        <f>IF(
    OR(ISBLANK(moras[[#This Row],[TIPO_ASEGURAMIENTO]]), moras[[#This Row],[TIPO_ASEGURAMIENTO]]=""),
    EDA!$A$32,
    moras[[#This Row],[TIPO_ASEGURAMIENTO]]
)</f>
        <v>TRABAJADOR INDEPENDIENTE</v>
      </c>
    </row>
    <row r="3931" spans="1:16" x14ac:dyDescent="0.3">
      <c r="A3931">
        <v>3930</v>
      </c>
      <c r="B3931" t="s">
        <v>9</v>
      </c>
      <c r="C3931">
        <v>345000</v>
      </c>
      <c r="D3931" t="s">
        <v>10</v>
      </c>
      <c r="E3931" t="s">
        <v>16</v>
      </c>
      <c r="F3931" t="s">
        <v>12</v>
      </c>
      <c r="G3931" t="s">
        <v>13</v>
      </c>
      <c r="H3931" t="s">
        <v>13</v>
      </c>
      <c r="I3931">
        <v>62</v>
      </c>
      <c r="J3931">
        <f>ABS((I3931-EDA!$A$15)/EDA!$B$15)</f>
        <v>1.4129469144014672</v>
      </c>
      <c r="K3931" t="str">
        <f t="shared" si="61"/>
        <v>No</v>
      </c>
      <c r="L3931">
        <f>ABS((C3931-EDA!$F$15)/EDA!$G$15)</f>
        <v>0.3699129286681101</v>
      </c>
      <c r="M3931" t="str">
        <f>IF(moras[[#This Row],[Z-Score Salario]]&gt;1.96, "Sí", "No")</f>
        <v>No</v>
      </c>
      <c r="N3931" s="14">
        <f>IF(ISBLANK(moras[[#This Row],[SALARIO]]), EDA!$M$8, moras[[#This Row],[SALARIO]])</f>
        <v>345000</v>
      </c>
      <c r="O3931" s="14">
        <f xml:space="preserve"> IF(ISBLANK(moras[[#This Row],[EDAD]]), EDA!$E$8, moras[[#This Row],[EDAD]])</f>
        <v>62</v>
      </c>
      <c r="P3931" s="14" t="str">
        <f>IF(
    OR(ISBLANK(moras[[#This Row],[TIPO_ASEGURAMIENTO]]), moras[[#This Row],[TIPO_ASEGURAMIENTO]]=""),
    EDA!$A$32,
    moras[[#This Row],[TIPO_ASEGURAMIENTO]]
)</f>
        <v>ASALARIADO</v>
      </c>
    </row>
    <row r="3932" spans="1:16" x14ac:dyDescent="0.3">
      <c r="A3932">
        <v>3931</v>
      </c>
      <c r="B3932" t="s">
        <v>9</v>
      </c>
      <c r="C3932">
        <v>292400</v>
      </c>
      <c r="D3932" t="s">
        <v>10</v>
      </c>
      <c r="E3932" t="s">
        <v>16</v>
      </c>
      <c r="F3932" t="s">
        <v>12</v>
      </c>
      <c r="G3932" t="s">
        <v>13</v>
      </c>
      <c r="H3932" t="s">
        <v>13</v>
      </c>
      <c r="I3932">
        <v>34</v>
      </c>
      <c r="J3932">
        <f>ABS((I3932-EDA!$A$15)/EDA!$B$15)</f>
        <v>0.56316232775838282</v>
      </c>
      <c r="K3932" t="str">
        <f t="shared" si="61"/>
        <v>No</v>
      </c>
      <c r="L3932">
        <f>ABS((C3932-EDA!$F$15)/EDA!$G$15)</f>
        <v>0.37078822979909165</v>
      </c>
      <c r="M3932" t="str">
        <f>IF(moras[[#This Row],[Z-Score Salario]]&gt;1.96, "Sí", "No")</f>
        <v>No</v>
      </c>
      <c r="N3932" s="14">
        <f>IF(ISBLANK(moras[[#This Row],[SALARIO]]), EDA!$M$8, moras[[#This Row],[SALARIO]])</f>
        <v>292400</v>
      </c>
      <c r="O3932" s="14">
        <f xml:space="preserve"> IF(ISBLANK(moras[[#This Row],[EDAD]]), EDA!$E$8, moras[[#This Row],[EDAD]])</f>
        <v>34</v>
      </c>
      <c r="P3932" s="14" t="str">
        <f>IF(
    OR(ISBLANK(moras[[#This Row],[TIPO_ASEGURAMIENTO]]), moras[[#This Row],[TIPO_ASEGURAMIENTO]]=""),
    EDA!$A$32,
    moras[[#This Row],[TIPO_ASEGURAMIENTO]]
)</f>
        <v>ASALARIADO</v>
      </c>
    </row>
    <row r="3933" spans="1:16" x14ac:dyDescent="0.3">
      <c r="A3933">
        <v>3932</v>
      </c>
      <c r="B3933" t="s">
        <v>15</v>
      </c>
      <c r="C3933">
        <v>445400</v>
      </c>
      <c r="D3933" t="s">
        <v>10</v>
      </c>
      <c r="E3933" t="s">
        <v>11</v>
      </c>
      <c r="F3933" t="s">
        <v>12</v>
      </c>
      <c r="G3933" t="s">
        <v>13</v>
      </c>
      <c r="H3933" t="s">
        <v>12</v>
      </c>
      <c r="I3933">
        <v>52</v>
      </c>
      <c r="J3933">
        <f>ABS((I3933-EDA!$A$15)/EDA!$B$15)</f>
        <v>0.70719361363009237</v>
      </c>
      <c r="K3933" t="str">
        <f t="shared" si="61"/>
        <v>No</v>
      </c>
      <c r="L3933">
        <f>ABS((C3933-EDA!$F$15)/EDA!$G$15)</f>
        <v>0.36824220179452549</v>
      </c>
      <c r="M3933" t="str">
        <f>IF(moras[[#This Row],[Z-Score Salario]]&gt;1.96, "Sí", "No")</f>
        <v>No</v>
      </c>
      <c r="N3933" s="14">
        <f>IF(ISBLANK(moras[[#This Row],[SALARIO]]), EDA!$M$8, moras[[#This Row],[SALARIO]])</f>
        <v>445400</v>
      </c>
      <c r="O3933" s="14">
        <f xml:space="preserve"> IF(ISBLANK(moras[[#This Row],[EDAD]]), EDA!$E$8, moras[[#This Row],[EDAD]])</f>
        <v>52</v>
      </c>
      <c r="P3933" s="14" t="str">
        <f>IF(
    OR(ISBLANK(moras[[#This Row],[TIPO_ASEGURAMIENTO]]), moras[[#This Row],[TIPO_ASEGURAMIENTO]]=""),
    EDA!$A$32,
    moras[[#This Row],[TIPO_ASEGURAMIENTO]]
)</f>
        <v>ASALARIADO</v>
      </c>
    </row>
    <row r="3934" spans="1:16" x14ac:dyDescent="0.3">
      <c r="A3934">
        <v>3933</v>
      </c>
      <c r="B3934" t="s">
        <v>9</v>
      </c>
      <c r="C3934">
        <v>300000</v>
      </c>
      <c r="D3934" t="s">
        <v>10</v>
      </c>
      <c r="E3934" t="s">
        <v>16</v>
      </c>
      <c r="F3934" t="s">
        <v>12</v>
      </c>
      <c r="G3934" t="s">
        <v>13</v>
      </c>
      <c r="H3934" t="s">
        <v>13</v>
      </c>
      <c r="I3934">
        <v>50</v>
      </c>
      <c r="J3934">
        <f>ABS((I3934-EDA!$A$15)/EDA!$B$15)</f>
        <v>0.56604295347581735</v>
      </c>
      <c r="K3934" t="str">
        <f t="shared" si="61"/>
        <v>No</v>
      </c>
      <c r="L3934">
        <f>ABS((C3934-EDA!$F$15)/EDA!$G$15)</f>
        <v>0.37066176043415894</v>
      </c>
      <c r="M3934" t="str">
        <f>IF(moras[[#This Row],[Z-Score Salario]]&gt;1.96, "Sí", "No")</f>
        <v>No</v>
      </c>
      <c r="N3934" s="14">
        <f>IF(ISBLANK(moras[[#This Row],[SALARIO]]), EDA!$M$8, moras[[#This Row],[SALARIO]])</f>
        <v>300000</v>
      </c>
      <c r="O3934" s="14">
        <f xml:space="preserve"> IF(ISBLANK(moras[[#This Row],[EDAD]]), EDA!$E$8, moras[[#This Row],[EDAD]])</f>
        <v>50</v>
      </c>
      <c r="P3934" s="14" t="str">
        <f>IF(
    OR(ISBLANK(moras[[#This Row],[TIPO_ASEGURAMIENTO]]), moras[[#This Row],[TIPO_ASEGURAMIENTO]]=""),
    EDA!$A$32,
    moras[[#This Row],[TIPO_ASEGURAMIENTO]]
)</f>
        <v>ASALARIADO</v>
      </c>
    </row>
    <row r="3935" spans="1:16" x14ac:dyDescent="0.3">
      <c r="A3935">
        <v>3934</v>
      </c>
      <c r="B3935" t="s">
        <v>15</v>
      </c>
      <c r="C3935">
        <v>343391</v>
      </c>
      <c r="D3935" t="s">
        <v>10</v>
      </c>
      <c r="E3935" t="s">
        <v>16</v>
      </c>
      <c r="F3935" t="s">
        <v>12</v>
      </c>
      <c r="G3935" t="s">
        <v>13</v>
      </c>
      <c r="H3935" t="s">
        <v>13</v>
      </c>
      <c r="I3935">
        <v>40</v>
      </c>
      <c r="J3935">
        <f>ABS((I3935-EDA!$A$15)/EDA!$B$15)</f>
        <v>0.13971034729555773</v>
      </c>
      <c r="K3935" t="str">
        <f t="shared" si="61"/>
        <v>No</v>
      </c>
      <c r="L3935">
        <f>ABS((C3935-EDA!$F$15)/EDA!$G$15)</f>
        <v>0.36993970356392281</v>
      </c>
      <c r="M3935" t="str">
        <f>IF(moras[[#This Row],[Z-Score Salario]]&gt;1.96, "Sí", "No")</f>
        <v>No</v>
      </c>
      <c r="N3935" s="14">
        <f>IF(ISBLANK(moras[[#This Row],[SALARIO]]), EDA!$M$8, moras[[#This Row],[SALARIO]])</f>
        <v>343391</v>
      </c>
      <c r="O3935" s="14">
        <f xml:space="preserve"> IF(ISBLANK(moras[[#This Row],[EDAD]]), EDA!$E$8, moras[[#This Row],[EDAD]])</f>
        <v>40</v>
      </c>
      <c r="P3935" s="14" t="str">
        <f>IF(
    OR(ISBLANK(moras[[#This Row],[TIPO_ASEGURAMIENTO]]), moras[[#This Row],[TIPO_ASEGURAMIENTO]]=""),
    EDA!$A$32,
    moras[[#This Row],[TIPO_ASEGURAMIENTO]]
)</f>
        <v>ASALARIADO</v>
      </c>
    </row>
    <row r="3936" spans="1:16" x14ac:dyDescent="0.3">
      <c r="A3936">
        <v>3935</v>
      </c>
      <c r="B3936" t="s">
        <v>9</v>
      </c>
      <c r="C3936">
        <v>6427512</v>
      </c>
      <c r="D3936" t="s">
        <v>10</v>
      </c>
      <c r="E3936" t="s">
        <v>16</v>
      </c>
      <c r="F3936" t="s">
        <v>12</v>
      </c>
      <c r="G3936" t="s">
        <v>13</v>
      </c>
      <c r="H3936" t="s">
        <v>13</v>
      </c>
      <c r="I3936">
        <v>31</v>
      </c>
      <c r="J3936">
        <f>ABS((I3936-EDA!$A$15)/EDA!$B$15)</f>
        <v>0.77488831798979529</v>
      </c>
      <c r="K3936" t="str">
        <f t="shared" si="61"/>
        <v>No</v>
      </c>
      <c r="L3936">
        <f>ABS((C3936-EDA!$F$15)/EDA!$G$15)</f>
        <v>0.26869563526869983</v>
      </c>
      <c r="M3936" t="str">
        <f>IF(moras[[#This Row],[Z-Score Salario]]&gt;1.96, "Sí", "No")</f>
        <v>No</v>
      </c>
      <c r="N3936" s="14">
        <f>IF(ISBLANK(moras[[#This Row],[SALARIO]]), EDA!$M$8, moras[[#This Row],[SALARIO]])</f>
        <v>6427512</v>
      </c>
      <c r="O3936" s="14">
        <f xml:space="preserve"> IF(ISBLANK(moras[[#This Row],[EDAD]]), EDA!$E$8, moras[[#This Row],[EDAD]])</f>
        <v>31</v>
      </c>
      <c r="P3936" s="14" t="str">
        <f>IF(
    OR(ISBLANK(moras[[#This Row],[TIPO_ASEGURAMIENTO]]), moras[[#This Row],[TIPO_ASEGURAMIENTO]]=""),
    EDA!$A$32,
    moras[[#This Row],[TIPO_ASEGURAMIENTO]]
)</f>
        <v>ASALARIADO</v>
      </c>
    </row>
    <row r="3937" spans="1:16" x14ac:dyDescent="0.3">
      <c r="A3937">
        <v>3936</v>
      </c>
      <c r="B3937" t="s">
        <v>9</v>
      </c>
      <c r="C3937">
        <v>278030</v>
      </c>
      <c r="D3937" t="s">
        <v>19</v>
      </c>
      <c r="E3937" t="s">
        <v>16</v>
      </c>
      <c r="F3937" t="s">
        <v>12</v>
      </c>
      <c r="G3937" t="s">
        <v>13</v>
      </c>
      <c r="H3937" t="s">
        <v>13</v>
      </c>
      <c r="I3937">
        <v>42</v>
      </c>
      <c r="J3937">
        <f>ABS((I3937-EDA!$A$15)/EDA!$B$15)</f>
        <v>1.4403128587172659E-3</v>
      </c>
      <c r="K3937" t="str">
        <f t="shared" si="61"/>
        <v>No</v>
      </c>
      <c r="L3937">
        <f>ABS((C3937-EDA!$F$15)/EDA!$G$15)</f>
        <v>0.37102735674304993</v>
      </c>
      <c r="M3937" t="str">
        <f>IF(moras[[#This Row],[Z-Score Salario]]&gt;1.96, "Sí", "No")</f>
        <v>No</v>
      </c>
      <c r="N3937" s="14">
        <f>IF(ISBLANK(moras[[#This Row],[SALARIO]]), EDA!$M$8, moras[[#This Row],[SALARIO]])</f>
        <v>278030</v>
      </c>
      <c r="O3937" s="14">
        <f xml:space="preserve"> IF(ISBLANK(moras[[#This Row],[EDAD]]), EDA!$E$8, moras[[#This Row],[EDAD]])</f>
        <v>42</v>
      </c>
      <c r="P3937" s="14" t="str">
        <f>IF(
    OR(ISBLANK(moras[[#This Row],[TIPO_ASEGURAMIENTO]]), moras[[#This Row],[TIPO_ASEGURAMIENTO]]=""),
    EDA!$A$32,
    moras[[#This Row],[TIPO_ASEGURAMIENTO]]
)</f>
        <v>CONVENIOS ESPECIALES DE TRABAJADORES INDEPENDIENTES</v>
      </c>
    </row>
    <row r="3938" spans="1:16" x14ac:dyDescent="0.3">
      <c r="A3938">
        <v>3937</v>
      </c>
      <c r="B3938" t="s">
        <v>9</v>
      </c>
      <c r="C3938">
        <v>36715408</v>
      </c>
      <c r="D3938" t="s">
        <v>10</v>
      </c>
      <c r="E3938" t="s">
        <v>16</v>
      </c>
      <c r="F3938" t="s">
        <v>12</v>
      </c>
      <c r="G3938" t="s">
        <v>13</v>
      </c>
      <c r="H3938" t="s">
        <v>12</v>
      </c>
      <c r="I3938">
        <v>58</v>
      </c>
      <c r="J3938">
        <f>ABS((I3938-EDA!$A$15)/EDA!$B$15)</f>
        <v>1.1306455940929174</v>
      </c>
      <c r="K3938" t="str">
        <f t="shared" si="61"/>
        <v>No</v>
      </c>
      <c r="L3938">
        <f>ABS((C3938-EDA!$F$15)/EDA!$G$15)</f>
        <v>0.23531633476651342</v>
      </c>
      <c r="M3938" t="str">
        <f>IF(moras[[#This Row],[Z-Score Salario]]&gt;1.96, "Sí", "No")</f>
        <v>No</v>
      </c>
      <c r="N3938" s="14">
        <f>IF(ISBLANK(moras[[#This Row],[SALARIO]]), EDA!$M$8, moras[[#This Row],[SALARIO]])</f>
        <v>36715408</v>
      </c>
      <c r="O3938" s="14">
        <f xml:space="preserve"> IF(ISBLANK(moras[[#This Row],[EDAD]]), EDA!$E$8, moras[[#This Row],[EDAD]])</f>
        <v>58</v>
      </c>
      <c r="P3938" s="14" t="str">
        <f>IF(
    OR(ISBLANK(moras[[#This Row],[TIPO_ASEGURAMIENTO]]), moras[[#This Row],[TIPO_ASEGURAMIENTO]]=""),
    EDA!$A$32,
    moras[[#This Row],[TIPO_ASEGURAMIENTO]]
)</f>
        <v>ASALARIADO</v>
      </c>
    </row>
    <row r="3939" spans="1:16" x14ac:dyDescent="0.3">
      <c r="A3939">
        <v>3938</v>
      </c>
      <c r="B3939" t="s">
        <v>15</v>
      </c>
      <c r="C3939">
        <v>5081585</v>
      </c>
      <c r="D3939" t="s">
        <v>10</v>
      </c>
      <c r="E3939" t="s">
        <v>11</v>
      </c>
      <c r="F3939" t="s">
        <v>12</v>
      </c>
      <c r="G3939" t="s">
        <v>13</v>
      </c>
      <c r="H3939" t="s">
        <v>13</v>
      </c>
      <c r="I3939">
        <v>27</v>
      </c>
      <c r="J3939">
        <f>ABS((I3939-EDA!$A$15)/EDA!$B$15)</f>
        <v>1.0571896382983452</v>
      </c>
      <c r="K3939" t="str">
        <f t="shared" si="61"/>
        <v>No</v>
      </c>
      <c r="L3939">
        <f>ABS((C3939-EDA!$F$15)/EDA!$G$15)</f>
        <v>0.2910928106549856</v>
      </c>
      <c r="M3939" t="str">
        <f>IF(moras[[#This Row],[Z-Score Salario]]&gt;1.96, "Sí", "No")</f>
        <v>No</v>
      </c>
      <c r="N3939" s="14">
        <f>IF(ISBLANK(moras[[#This Row],[SALARIO]]), EDA!$M$8, moras[[#This Row],[SALARIO]])</f>
        <v>5081585</v>
      </c>
      <c r="O3939" s="14">
        <f xml:space="preserve"> IF(ISBLANK(moras[[#This Row],[EDAD]]), EDA!$E$8, moras[[#This Row],[EDAD]])</f>
        <v>27</v>
      </c>
      <c r="P3939" s="14" t="str">
        <f>IF(
    OR(ISBLANK(moras[[#This Row],[TIPO_ASEGURAMIENTO]]), moras[[#This Row],[TIPO_ASEGURAMIENTO]]=""),
    EDA!$A$32,
    moras[[#This Row],[TIPO_ASEGURAMIENTO]]
)</f>
        <v>ASALARIADO</v>
      </c>
    </row>
    <row r="3940" spans="1:16" x14ac:dyDescent="0.3">
      <c r="A3940">
        <v>3939</v>
      </c>
      <c r="B3940" t="s">
        <v>15</v>
      </c>
      <c r="C3940">
        <v>138000</v>
      </c>
      <c r="D3940" t="s">
        <v>10</v>
      </c>
      <c r="E3940" t="s">
        <v>16</v>
      </c>
      <c r="F3940" t="s">
        <v>12</v>
      </c>
      <c r="G3940" t="s">
        <v>12</v>
      </c>
      <c r="H3940" t="s">
        <v>12</v>
      </c>
      <c r="I3940">
        <v>59</v>
      </c>
      <c r="J3940">
        <f>ABS((I3940-EDA!$A$15)/EDA!$B$15)</f>
        <v>1.2012209241700549</v>
      </c>
      <c r="K3940" t="str">
        <f t="shared" si="61"/>
        <v>No</v>
      </c>
      <c r="L3940">
        <f>ABS((C3940-EDA!$F$15)/EDA!$G$15)</f>
        <v>0.37335755479193489</v>
      </c>
      <c r="M3940" t="str">
        <f>IF(moras[[#This Row],[Z-Score Salario]]&gt;1.96, "Sí", "No")</f>
        <v>No</v>
      </c>
      <c r="N3940" s="14">
        <f>IF(ISBLANK(moras[[#This Row],[SALARIO]]), EDA!$M$8, moras[[#This Row],[SALARIO]])</f>
        <v>138000</v>
      </c>
      <c r="O3940" s="14">
        <f xml:space="preserve"> IF(ISBLANK(moras[[#This Row],[EDAD]]), EDA!$E$8, moras[[#This Row],[EDAD]])</f>
        <v>59</v>
      </c>
      <c r="P3940" s="14" t="str">
        <f>IF(
    OR(ISBLANK(moras[[#This Row],[TIPO_ASEGURAMIENTO]]), moras[[#This Row],[TIPO_ASEGURAMIENTO]]=""),
    EDA!$A$32,
    moras[[#This Row],[TIPO_ASEGURAMIENTO]]
)</f>
        <v>ASALARIADO</v>
      </c>
    </row>
    <row r="3941" spans="1:16" x14ac:dyDescent="0.3">
      <c r="A3941">
        <v>3940</v>
      </c>
      <c r="B3941" t="s">
        <v>9</v>
      </c>
      <c r="C3941">
        <v>5326199</v>
      </c>
      <c r="D3941" t="s">
        <v>10</v>
      </c>
      <c r="E3941" t="s">
        <v>16</v>
      </c>
      <c r="F3941" t="s">
        <v>12</v>
      </c>
      <c r="G3941" t="s">
        <v>13</v>
      </c>
      <c r="H3941" t="s">
        <v>13</v>
      </c>
      <c r="I3941">
        <v>26</v>
      </c>
      <c r="J3941">
        <f>ABS((I3941-EDA!$A$15)/EDA!$B$15)</f>
        <v>1.1277649683754829</v>
      </c>
      <c r="K3941" t="str">
        <f t="shared" si="61"/>
        <v>No</v>
      </c>
      <c r="L3941">
        <f>ABS((C3941-EDA!$F$15)/EDA!$G$15)</f>
        <v>0.28702226101897943</v>
      </c>
      <c r="M3941" t="str">
        <f>IF(moras[[#This Row],[Z-Score Salario]]&gt;1.96, "Sí", "No")</f>
        <v>No</v>
      </c>
      <c r="N3941" s="14">
        <f>IF(ISBLANK(moras[[#This Row],[SALARIO]]), EDA!$M$8, moras[[#This Row],[SALARIO]])</f>
        <v>5326199</v>
      </c>
      <c r="O3941" s="14">
        <f xml:space="preserve"> IF(ISBLANK(moras[[#This Row],[EDAD]]), EDA!$E$8, moras[[#This Row],[EDAD]])</f>
        <v>26</v>
      </c>
      <c r="P3941" s="14" t="str">
        <f>IF(
    OR(ISBLANK(moras[[#This Row],[TIPO_ASEGURAMIENTO]]), moras[[#This Row],[TIPO_ASEGURAMIENTO]]=""),
    EDA!$A$32,
    moras[[#This Row],[TIPO_ASEGURAMIENTO]]
)</f>
        <v>ASALARIADO</v>
      </c>
    </row>
    <row r="3942" spans="1:16" x14ac:dyDescent="0.3">
      <c r="A3942">
        <v>3941</v>
      </c>
      <c r="B3942" t="s">
        <v>15</v>
      </c>
      <c r="C3942">
        <v>1787275</v>
      </c>
      <c r="D3942" t="s">
        <v>14</v>
      </c>
      <c r="E3942" t="s">
        <v>11</v>
      </c>
      <c r="F3942" t="s">
        <v>12</v>
      </c>
      <c r="G3942" t="s">
        <v>13</v>
      </c>
      <c r="H3942" t="s">
        <v>13</v>
      </c>
      <c r="I3942">
        <v>67</v>
      </c>
      <c r="J3942">
        <f>ABS((I3942-EDA!$A$15)/EDA!$B$15)</f>
        <v>1.765823564787155</v>
      </c>
      <c r="K3942" t="str">
        <f t="shared" si="61"/>
        <v>No</v>
      </c>
      <c r="L3942">
        <f>ABS((C3942-EDA!$F$15)/EDA!$G$15)</f>
        <v>0.34591245454859587</v>
      </c>
      <c r="M3942" t="str">
        <f>IF(moras[[#This Row],[Z-Score Salario]]&gt;1.96, "Sí", "No")</f>
        <v>No</v>
      </c>
      <c r="N3942" s="14">
        <f>IF(ISBLANK(moras[[#This Row],[SALARIO]]), EDA!$M$8, moras[[#This Row],[SALARIO]])</f>
        <v>1787275</v>
      </c>
      <c r="O3942" s="14">
        <f xml:space="preserve"> IF(ISBLANK(moras[[#This Row],[EDAD]]), EDA!$E$8, moras[[#This Row],[EDAD]])</f>
        <v>67</v>
      </c>
      <c r="P3942" s="14" t="str">
        <f>IF(
    OR(ISBLANK(moras[[#This Row],[TIPO_ASEGURAMIENTO]]), moras[[#This Row],[TIPO_ASEGURAMIENTO]]=""),
    EDA!$A$32,
    moras[[#This Row],[TIPO_ASEGURAMIENTO]]
)</f>
        <v>PENSIONADOS EN SU PROPIO SISTEMA</v>
      </c>
    </row>
    <row r="3943" spans="1:16" x14ac:dyDescent="0.3">
      <c r="A3943">
        <v>3942</v>
      </c>
      <c r="B3943" t="s">
        <v>15</v>
      </c>
      <c r="C3943">
        <v>475269</v>
      </c>
      <c r="D3943" t="s">
        <v>18</v>
      </c>
      <c r="E3943" t="s">
        <v>16</v>
      </c>
      <c r="F3943" t="s">
        <v>12</v>
      </c>
      <c r="G3943" t="s">
        <v>13</v>
      </c>
      <c r="H3943" t="s">
        <v>12</v>
      </c>
      <c r="I3943">
        <v>64</v>
      </c>
      <c r="J3943">
        <f>ABS((I3943-EDA!$A$15)/EDA!$B$15)</f>
        <v>1.5540975745557424</v>
      </c>
      <c r="K3943" t="str">
        <f t="shared" si="61"/>
        <v>No</v>
      </c>
      <c r="L3943">
        <f>ABS((C3943-EDA!$F$15)/EDA!$G$15)</f>
        <v>0.36774516054963408</v>
      </c>
      <c r="M3943" t="str">
        <f>IF(moras[[#This Row],[Z-Score Salario]]&gt;1.96, "Sí", "No")</f>
        <v>No</v>
      </c>
      <c r="N3943" s="14">
        <f>IF(ISBLANK(moras[[#This Row],[SALARIO]]), EDA!$M$8, moras[[#This Row],[SALARIO]])</f>
        <v>475269</v>
      </c>
      <c r="O3943" s="14">
        <f xml:space="preserve"> IF(ISBLANK(moras[[#This Row],[EDAD]]), EDA!$E$8, moras[[#This Row],[EDAD]])</f>
        <v>64</v>
      </c>
      <c r="P3943" s="14" t="str">
        <f>IF(
    OR(ISBLANK(moras[[#This Row],[TIPO_ASEGURAMIENTO]]), moras[[#This Row],[TIPO_ASEGURAMIENTO]]=""),
    EDA!$A$32,
    moras[[#This Row],[TIPO_ASEGURAMIENTO]]
)</f>
        <v>TRABAJADOR INDEPENDIENTE</v>
      </c>
    </row>
    <row r="3944" spans="1:16" x14ac:dyDescent="0.3">
      <c r="A3944">
        <v>3943</v>
      </c>
      <c r="B3944" t="s">
        <v>15</v>
      </c>
      <c r="C3944">
        <v>1955324</v>
      </c>
      <c r="D3944" t="s">
        <v>10</v>
      </c>
      <c r="E3944" t="s">
        <v>11</v>
      </c>
      <c r="F3944" t="s">
        <v>12</v>
      </c>
      <c r="G3944" t="s">
        <v>13</v>
      </c>
      <c r="H3944" t="s">
        <v>12</v>
      </c>
      <c r="I3944">
        <v>37</v>
      </c>
      <c r="J3944">
        <f>ABS((I3944-EDA!$A$15)/EDA!$B$15)</f>
        <v>0.35143633752697023</v>
      </c>
      <c r="K3944" t="str">
        <f t="shared" si="61"/>
        <v>No</v>
      </c>
      <c r="L3944">
        <f>ABS((C3944-EDA!$F$15)/EDA!$G$15)</f>
        <v>0.34311600056075708</v>
      </c>
      <c r="M3944" t="str">
        <f>IF(moras[[#This Row],[Z-Score Salario]]&gt;1.96, "Sí", "No")</f>
        <v>No</v>
      </c>
      <c r="N3944" s="14">
        <f>IF(ISBLANK(moras[[#This Row],[SALARIO]]), EDA!$M$8, moras[[#This Row],[SALARIO]])</f>
        <v>1955324</v>
      </c>
      <c r="O3944" s="14">
        <f xml:space="preserve"> IF(ISBLANK(moras[[#This Row],[EDAD]]), EDA!$E$8, moras[[#This Row],[EDAD]])</f>
        <v>37</v>
      </c>
      <c r="P3944" s="14" t="str">
        <f>IF(
    OR(ISBLANK(moras[[#This Row],[TIPO_ASEGURAMIENTO]]), moras[[#This Row],[TIPO_ASEGURAMIENTO]]=""),
    EDA!$A$32,
    moras[[#This Row],[TIPO_ASEGURAMIENTO]]
)</f>
        <v>ASALARIADO</v>
      </c>
    </row>
    <row r="3945" spans="1:16" x14ac:dyDescent="0.3">
      <c r="A3945">
        <v>3944</v>
      </c>
      <c r="B3945" t="s">
        <v>9</v>
      </c>
      <c r="C3945">
        <v>4348062</v>
      </c>
      <c r="D3945" t="s">
        <v>10</v>
      </c>
      <c r="E3945" t="s">
        <v>16</v>
      </c>
      <c r="F3945" t="s">
        <v>12</v>
      </c>
      <c r="G3945" t="s">
        <v>13</v>
      </c>
      <c r="H3945" t="s">
        <v>13</v>
      </c>
      <c r="I3945">
        <v>43</v>
      </c>
      <c r="J3945">
        <f>ABS((I3945-EDA!$A$15)/EDA!$B$15)</f>
        <v>7.2015642935854773E-2</v>
      </c>
      <c r="K3945" t="str">
        <f t="shared" si="61"/>
        <v>No</v>
      </c>
      <c r="L3945">
        <f>ABS((C3945-EDA!$F$15)/EDA!$G$15)</f>
        <v>0.30329915117781825</v>
      </c>
      <c r="M3945" t="str">
        <f>IF(moras[[#This Row],[Z-Score Salario]]&gt;1.96, "Sí", "No")</f>
        <v>No</v>
      </c>
      <c r="N3945" s="14">
        <f>IF(ISBLANK(moras[[#This Row],[SALARIO]]), EDA!$M$8, moras[[#This Row],[SALARIO]])</f>
        <v>4348062</v>
      </c>
      <c r="O3945" s="14">
        <f xml:space="preserve"> IF(ISBLANK(moras[[#This Row],[EDAD]]), EDA!$E$8, moras[[#This Row],[EDAD]])</f>
        <v>43</v>
      </c>
      <c r="P3945" s="14" t="str">
        <f>IF(
    OR(ISBLANK(moras[[#This Row],[TIPO_ASEGURAMIENTO]]), moras[[#This Row],[TIPO_ASEGURAMIENTO]]=""),
    EDA!$A$32,
    moras[[#This Row],[TIPO_ASEGURAMIENTO]]
)</f>
        <v>ASALARIADO</v>
      </c>
    </row>
    <row r="3946" spans="1:16" x14ac:dyDescent="0.3">
      <c r="A3946">
        <v>3945</v>
      </c>
      <c r="B3946" t="s">
        <v>15</v>
      </c>
      <c r="C3946">
        <v>278030</v>
      </c>
      <c r="D3946" t="s">
        <v>19</v>
      </c>
      <c r="E3946" t="s">
        <v>16</v>
      </c>
      <c r="F3946" t="s">
        <v>12</v>
      </c>
      <c r="G3946" t="s">
        <v>13</v>
      </c>
      <c r="H3946" t="s">
        <v>13</v>
      </c>
      <c r="I3946">
        <v>24</v>
      </c>
      <c r="J3946">
        <f>ABS((I3946-EDA!$A$15)/EDA!$B$15)</f>
        <v>1.2689156285297578</v>
      </c>
      <c r="K3946" t="str">
        <f t="shared" si="61"/>
        <v>No</v>
      </c>
      <c r="L3946">
        <f>ABS((C3946-EDA!$F$15)/EDA!$G$15)</f>
        <v>0.37102735674304993</v>
      </c>
      <c r="M3946" t="str">
        <f>IF(moras[[#This Row],[Z-Score Salario]]&gt;1.96, "Sí", "No")</f>
        <v>No</v>
      </c>
      <c r="N3946" s="14">
        <f>IF(ISBLANK(moras[[#This Row],[SALARIO]]), EDA!$M$8, moras[[#This Row],[SALARIO]])</f>
        <v>278030</v>
      </c>
      <c r="O3946" s="14">
        <f xml:space="preserve"> IF(ISBLANK(moras[[#This Row],[EDAD]]), EDA!$E$8, moras[[#This Row],[EDAD]])</f>
        <v>24</v>
      </c>
      <c r="P3946" s="14" t="str">
        <f>IF(
    OR(ISBLANK(moras[[#This Row],[TIPO_ASEGURAMIENTO]]), moras[[#This Row],[TIPO_ASEGURAMIENTO]]=""),
    EDA!$A$32,
    moras[[#This Row],[TIPO_ASEGURAMIENTO]]
)</f>
        <v>CONVENIOS ESPECIALES DE TRABAJADORES INDEPENDIENTES</v>
      </c>
    </row>
    <row r="3947" spans="1:16" x14ac:dyDescent="0.3">
      <c r="A3947">
        <v>3946</v>
      </c>
      <c r="B3947" t="s">
        <v>9</v>
      </c>
      <c r="C3947">
        <v>278030</v>
      </c>
      <c r="D3947" t="s">
        <v>19</v>
      </c>
      <c r="E3947" t="s">
        <v>16</v>
      </c>
      <c r="F3947" t="s">
        <v>12</v>
      </c>
      <c r="G3947" t="s">
        <v>13</v>
      </c>
      <c r="H3947" t="s">
        <v>13</v>
      </c>
      <c r="I3947">
        <v>28</v>
      </c>
      <c r="J3947">
        <f>ABS((I3947-EDA!$A$15)/EDA!$B$15)</f>
        <v>0.98661430822120777</v>
      </c>
      <c r="K3947" t="str">
        <f t="shared" si="61"/>
        <v>No</v>
      </c>
      <c r="L3947">
        <f>ABS((C3947-EDA!$F$15)/EDA!$G$15)</f>
        <v>0.37102735674304993</v>
      </c>
      <c r="M3947" t="str">
        <f>IF(moras[[#This Row],[Z-Score Salario]]&gt;1.96, "Sí", "No")</f>
        <v>No</v>
      </c>
      <c r="N3947" s="14">
        <f>IF(ISBLANK(moras[[#This Row],[SALARIO]]), EDA!$M$8, moras[[#This Row],[SALARIO]])</f>
        <v>278030</v>
      </c>
      <c r="O3947" s="14">
        <f xml:space="preserve"> IF(ISBLANK(moras[[#This Row],[EDAD]]), EDA!$E$8, moras[[#This Row],[EDAD]])</f>
        <v>28</v>
      </c>
      <c r="P3947" s="14" t="str">
        <f>IF(
    OR(ISBLANK(moras[[#This Row],[TIPO_ASEGURAMIENTO]]), moras[[#This Row],[TIPO_ASEGURAMIENTO]]=""),
    EDA!$A$32,
    moras[[#This Row],[TIPO_ASEGURAMIENTO]]
)</f>
        <v>CONVENIOS ESPECIALES DE TRABAJADORES INDEPENDIENTES</v>
      </c>
    </row>
    <row r="3948" spans="1:16" x14ac:dyDescent="0.3">
      <c r="A3948">
        <v>3947</v>
      </c>
      <c r="B3948" t="s">
        <v>9</v>
      </c>
      <c r="C3948">
        <v>297062</v>
      </c>
      <c r="D3948" t="s">
        <v>18</v>
      </c>
      <c r="E3948" t="s">
        <v>16</v>
      </c>
      <c r="F3948" t="s">
        <v>12</v>
      </c>
      <c r="G3948" t="s">
        <v>12</v>
      </c>
      <c r="H3948" t="s">
        <v>12</v>
      </c>
      <c r="I3948">
        <v>46</v>
      </c>
      <c r="J3948">
        <f>ABS((I3948-EDA!$A$15)/EDA!$B$15)</f>
        <v>0.2837416331672673</v>
      </c>
      <c r="K3948" t="str">
        <f t="shared" si="61"/>
        <v>No</v>
      </c>
      <c r="L3948">
        <f>ABS((C3948-EDA!$F$15)/EDA!$G$15)</f>
        <v>0.37071065082812898</v>
      </c>
      <c r="M3948" t="str">
        <f>IF(moras[[#This Row],[Z-Score Salario]]&gt;1.96, "Sí", "No")</f>
        <v>No</v>
      </c>
      <c r="N3948" s="14">
        <f>IF(ISBLANK(moras[[#This Row],[SALARIO]]), EDA!$M$8, moras[[#This Row],[SALARIO]])</f>
        <v>297062</v>
      </c>
      <c r="O3948" s="14">
        <f xml:space="preserve"> IF(ISBLANK(moras[[#This Row],[EDAD]]), EDA!$E$8, moras[[#This Row],[EDAD]])</f>
        <v>46</v>
      </c>
      <c r="P3948" s="14" t="str">
        <f>IF(
    OR(ISBLANK(moras[[#This Row],[TIPO_ASEGURAMIENTO]]), moras[[#This Row],[TIPO_ASEGURAMIENTO]]=""),
    EDA!$A$32,
    moras[[#This Row],[TIPO_ASEGURAMIENTO]]
)</f>
        <v>TRABAJADOR INDEPENDIENTE</v>
      </c>
    </row>
    <row r="3949" spans="1:16" x14ac:dyDescent="0.3">
      <c r="A3949">
        <v>3948</v>
      </c>
      <c r="B3949" t="s">
        <v>15</v>
      </c>
      <c r="C3949">
        <v>433430</v>
      </c>
      <c r="D3949" t="s">
        <v>10</v>
      </c>
      <c r="E3949" t="s">
        <v>11</v>
      </c>
      <c r="F3949" t="s">
        <v>12</v>
      </c>
      <c r="G3949" t="s">
        <v>13</v>
      </c>
      <c r="H3949" t="s">
        <v>12</v>
      </c>
      <c r="I3949">
        <v>48</v>
      </c>
      <c r="J3949">
        <f>ABS((I3949-EDA!$A$15)/EDA!$B$15)</f>
        <v>0.42489229332154227</v>
      </c>
      <c r="K3949" t="str">
        <f t="shared" si="61"/>
        <v>No</v>
      </c>
      <c r="L3949">
        <f>ABS((C3949-EDA!$F$15)/EDA!$G$15)</f>
        <v>0.36844139104429446</v>
      </c>
      <c r="M3949" t="str">
        <f>IF(moras[[#This Row],[Z-Score Salario]]&gt;1.96, "Sí", "No")</f>
        <v>No</v>
      </c>
      <c r="N3949" s="14">
        <f>IF(ISBLANK(moras[[#This Row],[SALARIO]]), EDA!$M$8, moras[[#This Row],[SALARIO]])</f>
        <v>433430</v>
      </c>
      <c r="O3949" s="14">
        <f xml:space="preserve"> IF(ISBLANK(moras[[#This Row],[EDAD]]), EDA!$E$8, moras[[#This Row],[EDAD]])</f>
        <v>48</v>
      </c>
      <c r="P3949" s="14" t="str">
        <f>IF(
    OR(ISBLANK(moras[[#This Row],[TIPO_ASEGURAMIENTO]]), moras[[#This Row],[TIPO_ASEGURAMIENTO]]=""),
    EDA!$A$32,
    moras[[#This Row],[TIPO_ASEGURAMIENTO]]
)</f>
        <v>ASALARIADO</v>
      </c>
    </row>
    <row r="3950" spans="1:16" x14ac:dyDescent="0.3">
      <c r="A3950">
        <v>3949</v>
      </c>
      <c r="B3950" t="s">
        <v>15</v>
      </c>
      <c r="C3950">
        <v>220000</v>
      </c>
      <c r="D3950" t="s">
        <v>10</v>
      </c>
      <c r="E3950" t="s">
        <v>16</v>
      </c>
      <c r="F3950" t="s">
        <v>12</v>
      </c>
      <c r="G3950" t="s">
        <v>13</v>
      </c>
      <c r="H3950" t="s">
        <v>13</v>
      </c>
      <c r="I3950">
        <v>20</v>
      </c>
      <c r="J3950">
        <f>ABS((I3950-EDA!$A$15)/EDA!$B$15)</f>
        <v>1.5512169488383079</v>
      </c>
      <c r="K3950" t="str">
        <f t="shared" si="61"/>
        <v>No</v>
      </c>
      <c r="L3950">
        <f>ABS((C3950-EDA!$F$15)/EDA!$G$15)</f>
        <v>0.37199301690713471</v>
      </c>
      <c r="M3950" t="str">
        <f>IF(moras[[#This Row],[Z-Score Salario]]&gt;1.96, "Sí", "No")</f>
        <v>No</v>
      </c>
      <c r="N3950" s="14">
        <f>IF(ISBLANK(moras[[#This Row],[SALARIO]]), EDA!$M$8, moras[[#This Row],[SALARIO]])</f>
        <v>220000</v>
      </c>
      <c r="O3950" s="14">
        <f xml:space="preserve"> IF(ISBLANK(moras[[#This Row],[EDAD]]), EDA!$E$8, moras[[#This Row],[EDAD]])</f>
        <v>20</v>
      </c>
      <c r="P3950" s="14" t="str">
        <f>IF(
    OR(ISBLANK(moras[[#This Row],[TIPO_ASEGURAMIENTO]]), moras[[#This Row],[TIPO_ASEGURAMIENTO]]=""),
    EDA!$A$32,
    moras[[#This Row],[TIPO_ASEGURAMIENTO]]
)</f>
        <v>ASALARIADO</v>
      </c>
    </row>
    <row r="3951" spans="1:16" x14ac:dyDescent="0.3">
      <c r="A3951">
        <v>3950</v>
      </c>
      <c r="B3951" t="s">
        <v>9</v>
      </c>
      <c r="C3951">
        <v>202390</v>
      </c>
      <c r="D3951" t="s">
        <v>10</v>
      </c>
      <c r="E3951" t="s">
        <v>16</v>
      </c>
      <c r="F3951" t="s">
        <v>12</v>
      </c>
      <c r="G3951" t="s">
        <v>12</v>
      </c>
      <c r="H3951" t="s">
        <v>12</v>
      </c>
      <c r="I3951">
        <v>19</v>
      </c>
      <c r="J3951">
        <f>ABS((I3951-EDA!$A$15)/EDA!$B$15)</f>
        <v>1.6217922789154453</v>
      </c>
      <c r="K3951" t="str">
        <f t="shared" si="61"/>
        <v>No</v>
      </c>
      <c r="L3951">
        <f>ABS((C3951-EDA!$F$15)/EDA!$G$15)</f>
        <v>0.37228605973824852</v>
      </c>
      <c r="M3951" t="str">
        <f>IF(moras[[#This Row],[Z-Score Salario]]&gt;1.96, "Sí", "No")</f>
        <v>No</v>
      </c>
      <c r="N3951" s="14">
        <f>IF(ISBLANK(moras[[#This Row],[SALARIO]]), EDA!$M$8, moras[[#This Row],[SALARIO]])</f>
        <v>202390</v>
      </c>
      <c r="O3951" s="14">
        <f xml:space="preserve"> IF(ISBLANK(moras[[#This Row],[EDAD]]), EDA!$E$8, moras[[#This Row],[EDAD]])</f>
        <v>19</v>
      </c>
      <c r="P3951" s="14" t="str">
        <f>IF(
    OR(ISBLANK(moras[[#This Row],[TIPO_ASEGURAMIENTO]]), moras[[#This Row],[TIPO_ASEGURAMIENTO]]=""),
    EDA!$A$32,
    moras[[#This Row],[TIPO_ASEGURAMIENTO]]
)</f>
        <v>ASALARIADO</v>
      </c>
    </row>
    <row r="3952" spans="1:16" x14ac:dyDescent="0.3">
      <c r="A3952">
        <v>3951</v>
      </c>
      <c r="B3952" t="s">
        <v>9</v>
      </c>
      <c r="C3952">
        <v>72123392</v>
      </c>
      <c r="D3952" t="s">
        <v>10</v>
      </c>
      <c r="E3952" t="s">
        <v>16</v>
      </c>
      <c r="F3952" t="s">
        <v>12</v>
      </c>
      <c r="G3952" t="s">
        <v>13</v>
      </c>
      <c r="H3952" t="s">
        <v>13</v>
      </c>
      <c r="I3952">
        <v>27</v>
      </c>
      <c r="J3952">
        <f>ABS((I3952-EDA!$A$15)/EDA!$B$15)</f>
        <v>1.0571896382983452</v>
      </c>
      <c r="K3952" t="str">
        <f t="shared" si="61"/>
        <v>No</v>
      </c>
      <c r="L3952">
        <f>ABS((C3952-EDA!$F$15)/EDA!$G$15)</f>
        <v>0.82453018345429652</v>
      </c>
      <c r="M3952" t="str">
        <f>IF(moras[[#This Row],[Z-Score Salario]]&gt;1.96, "Sí", "No")</f>
        <v>No</v>
      </c>
      <c r="N3952" s="14">
        <f>IF(ISBLANK(moras[[#This Row],[SALARIO]]), EDA!$M$8, moras[[#This Row],[SALARIO]])</f>
        <v>72123392</v>
      </c>
      <c r="O3952" s="14">
        <f xml:space="preserve"> IF(ISBLANK(moras[[#This Row],[EDAD]]), EDA!$E$8, moras[[#This Row],[EDAD]])</f>
        <v>27</v>
      </c>
      <c r="P3952" s="14" t="str">
        <f>IF(
    OR(ISBLANK(moras[[#This Row],[TIPO_ASEGURAMIENTO]]), moras[[#This Row],[TIPO_ASEGURAMIENTO]]=""),
    EDA!$A$32,
    moras[[#This Row],[TIPO_ASEGURAMIENTO]]
)</f>
        <v>ASALARIADO</v>
      </c>
    </row>
    <row r="3953" spans="1:16" x14ac:dyDescent="0.3">
      <c r="A3953">
        <v>3952</v>
      </c>
      <c r="B3953" t="s">
        <v>9</v>
      </c>
      <c r="C3953">
        <v>255000</v>
      </c>
      <c r="D3953" t="s">
        <v>10</v>
      </c>
      <c r="E3953" t="s">
        <v>16</v>
      </c>
      <c r="F3953" t="s">
        <v>12</v>
      </c>
      <c r="G3953" t="s">
        <v>12</v>
      </c>
      <c r="H3953" t="s">
        <v>13</v>
      </c>
      <c r="I3953">
        <v>34</v>
      </c>
      <c r="J3953">
        <f>ABS((I3953-EDA!$A$15)/EDA!$B$15)</f>
        <v>0.56316232775838282</v>
      </c>
      <c r="K3953" t="str">
        <f t="shared" si="61"/>
        <v>No</v>
      </c>
      <c r="L3953">
        <f>ABS((C3953-EDA!$F$15)/EDA!$G$15)</f>
        <v>0.37141059220020783</v>
      </c>
      <c r="M3953" t="str">
        <f>IF(moras[[#This Row],[Z-Score Salario]]&gt;1.96, "Sí", "No")</f>
        <v>No</v>
      </c>
      <c r="N3953" s="14">
        <f>IF(ISBLANK(moras[[#This Row],[SALARIO]]), EDA!$M$8, moras[[#This Row],[SALARIO]])</f>
        <v>255000</v>
      </c>
      <c r="O3953" s="14">
        <f xml:space="preserve"> IF(ISBLANK(moras[[#This Row],[EDAD]]), EDA!$E$8, moras[[#This Row],[EDAD]])</f>
        <v>34</v>
      </c>
      <c r="P3953" s="14" t="str">
        <f>IF(
    OR(ISBLANK(moras[[#This Row],[TIPO_ASEGURAMIENTO]]), moras[[#This Row],[TIPO_ASEGURAMIENTO]]=""),
    EDA!$A$32,
    moras[[#This Row],[TIPO_ASEGURAMIENTO]]
)</f>
        <v>ASALARIADO</v>
      </c>
    </row>
    <row r="3954" spans="1:16" x14ac:dyDescent="0.3">
      <c r="A3954">
        <v>3953</v>
      </c>
      <c r="B3954" t="s">
        <v>9</v>
      </c>
      <c r="C3954">
        <v>7285718</v>
      </c>
      <c r="D3954" t="s">
        <v>10</v>
      </c>
      <c r="E3954" t="s">
        <v>11</v>
      </c>
      <c r="F3954" t="s">
        <v>12</v>
      </c>
      <c r="G3954" t="s">
        <v>13</v>
      </c>
      <c r="H3954" t="s">
        <v>13</v>
      </c>
      <c r="I3954">
        <v>38</v>
      </c>
      <c r="J3954">
        <f>ABS((I3954-EDA!$A$15)/EDA!$B$15)</f>
        <v>0.28086100744983278</v>
      </c>
      <c r="K3954" t="str">
        <f t="shared" si="61"/>
        <v>No</v>
      </c>
      <c r="L3954">
        <f>ABS((C3954-EDA!$F$15)/EDA!$G$15)</f>
        <v>0.25441448161061669</v>
      </c>
      <c r="M3954" t="str">
        <f>IF(moras[[#This Row],[Z-Score Salario]]&gt;1.96, "Sí", "No")</f>
        <v>No</v>
      </c>
      <c r="N3954" s="14">
        <f>IF(ISBLANK(moras[[#This Row],[SALARIO]]), EDA!$M$8, moras[[#This Row],[SALARIO]])</f>
        <v>7285718</v>
      </c>
      <c r="O3954" s="14">
        <f xml:space="preserve"> IF(ISBLANK(moras[[#This Row],[EDAD]]), EDA!$E$8, moras[[#This Row],[EDAD]])</f>
        <v>38</v>
      </c>
      <c r="P3954" s="14" t="str">
        <f>IF(
    OR(ISBLANK(moras[[#This Row],[TIPO_ASEGURAMIENTO]]), moras[[#This Row],[TIPO_ASEGURAMIENTO]]=""),
    EDA!$A$32,
    moras[[#This Row],[TIPO_ASEGURAMIENTO]]
)</f>
        <v>ASALARIADO</v>
      </c>
    </row>
    <row r="3955" spans="1:16" x14ac:dyDescent="0.3">
      <c r="A3955">
        <v>3954</v>
      </c>
      <c r="B3955" t="s">
        <v>9</v>
      </c>
      <c r="C3955">
        <v>950000</v>
      </c>
      <c r="D3955" t="s">
        <v>10</v>
      </c>
      <c r="E3955" t="s">
        <v>16</v>
      </c>
      <c r="F3955" t="s">
        <v>12</v>
      </c>
      <c r="G3955" t="s">
        <v>13</v>
      </c>
      <c r="H3955" t="s">
        <v>13</v>
      </c>
      <c r="I3955">
        <v>41</v>
      </c>
      <c r="J3955">
        <f>ABS((I3955-EDA!$A$15)/EDA!$B$15)</f>
        <v>6.9135017218420233E-2</v>
      </c>
      <c r="K3955" t="str">
        <f t="shared" si="61"/>
        <v>No</v>
      </c>
      <c r="L3955">
        <f>ABS((C3955-EDA!$F$15)/EDA!$G$15)</f>
        <v>0.35984530159123079</v>
      </c>
      <c r="M3955" t="str">
        <f>IF(moras[[#This Row],[Z-Score Salario]]&gt;1.96, "Sí", "No")</f>
        <v>No</v>
      </c>
      <c r="N3955" s="14">
        <f>IF(ISBLANK(moras[[#This Row],[SALARIO]]), EDA!$M$8, moras[[#This Row],[SALARIO]])</f>
        <v>950000</v>
      </c>
      <c r="O3955" s="14">
        <f xml:space="preserve"> IF(ISBLANK(moras[[#This Row],[EDAD]]), EDA!$E$8, moras[[#This Row],[EDAD]])</f>
        <v>41</v>
      </c>
      <c r="P3955" s="14" t="str">
        <f>IF(
    OR(ISBLANK(moras[[#This Row],[TIPO_ASEGURAMIENTO]]), moras[[#This Row],[TIPO_ASEGURAMIENTO]]=""),
    EDA!$A$32,
    moras[[#This Row],[TIPO_ASEGURAMIENTO]]
)</f>
        <v>ASALARIADO</v>
      </c>
    </row>
    <row r="3956" spans="1:16" x14ac:dyDescent="0.3">
      <c r="A3956">
        <v>3955</v>
      </c>
      <c r="B3956" t="s">
        <v>15</v>
      </c>
      <c r="C3956">
        <v>96473822</v>
      </c>
      <c r="D3956" t="s">
        <v>10</v>
      </c>
      <c r="E3956" t="s">
        <v>16</v>
      </c>
      <c r="F3956" t="s">
        <v>12</v>
      </c>
      <c r="G3956" t="s">
        <v>13</v>
      </c>
      <c r="H3956" t="s">
        <v>13</v>
      </c>
      <c r="I3956">
        <v>35</v>
      </c>
      <c r="J3956">
        <f>ABS((I3956-EDA!$A$15)/EDA!$B$15)</f>
        <v>0.49258699768124525</v>
      </c>
      <c r="K3956" t="str">
        <f t="shared" si="61"/>
        <v>No</v>
      </c>
      <c r="L3956">
        <f>ABS((C3956-EDA!$F$15)/EDA!$G$15)</f>
        <v>1.2297385279198398</v>
      </c>
      <c r="M3956" t="str">
        <f>IF(moras[[#This Row],[Z-Score Salario]]&gt;1.96, "Sí", "No")</f>
        <v>No</v>
      </c>
      <c r="N3956" s="14">
        <f>IF(ISBLANK(moras[[#This Row],[SALARIO]]), EDA!$M$8, moras[[#This Row],[SALARIO]])</f>
        <v>96473822</v>
      </c>
      <c r="O3956" s="14">
        <f xml:space="preserve"> IF(ISBLANK(moras[[#This Row],[EDAD]]), EDA!$E$8, moras[[#This Row],[EDAD]])</f>
        <v>35</v>
      </c>
      <c r="P3956" s="14" t="str">
        <f>IF(
    OR(ISBLANK(moras[[#This Row],[TIPO_ASEGURAMIENTO]]), moras[[#This Row],[TIPO_ASEGURAMIENTO]]=""),
    EDA!$A$32,
    moras[[#This Row],[TIPO_ASEGURAMIENTO]]
)</f>
        <v>ASALARIADO</v>
      </c>
    </row>
    <row r="3957" spans="1:16" x14ac:dyDescent="0.3">
      <c r="A3957">
        <v>3956</v>
      </c>
      <c r="B3957" t="s">
        <v>9</v>
      </c>
      <c r="C3957">
        <v>51041515</v>
      </c>
      <c r="D3957" t="s">
        <v>10</v>
      </c>
      <c r="E3957" t="s">
        <v>16</v>
      </c>
      <c r="F3957" t="s">
        <v>12</v>
      </c>
      <c r="G3957" t="s">
        <v>13</v>
      </c>
      <c r="H3957" t="s">
        <v>13</v>
      </c>
      <c r="I3957">
        <v>34</v>
      </c>
      <c r="J3957">
        <f>ABS((I3957-EDA!$A$15)/EDA!$B$15)</f>
        <v>0.56316232775838282</v>
      </c>
      <c r="K3957" t="str">
        <f t="shared" si="61"/>
        <v>No</v>
      </c>
      <c r="L3957">
        <f>ABS((C3957-EDA!$F$15)/EDA!$G$15)</f>
        <v>0.47371286822018277</v>
      </c>
      <c r="M3957" t="str">
        <f>IF(moras[[#This Row],[Z-Score Salario]]&gt;1.96, "Sí", "No")</f>
        <v>No</v>
      </c>
      <c r="N3957" s="14">
        <f>IF(ISBLANK(moras[[#This Row],[SALARIO]]), EDA!$M$8, moras[[#This Row],[SALARIO]])</f>
        <v>51041515</v>
      </c>
      <c r="O3957" s="14">
        <f xml:space="preserve"> IF(ISBLANK(moras[[#This Row],[EDAD]]), EDA!$E$8, moras[[#This Row],[EDAD]])</f>
        <v>34</v>
      </c>
      <c r="P3957" s="14" t="str">
        <f>IF(
    OR(ISBLANK(moras[[#This Row],[TIPO_ASEGURAMIENTO]]), moras[[#This Row],[TIPO_ASEGURAMIENTO]]=""),
    EDA!$A$32,
    moras[[#This Row],[TIPO_ASEGURAMIENTO]]
)</f>
        <v>ASALARIADO</v>
      </c>
    </row>
    <row r="3958" spans="1:16" x14ac:dyDescent="0.3">
      <c r="A3958">
        <v>3957</v>
      </c>
      <c r="B3958" t="s">
        <v>9</v>
      </c>
      <c r="C3958">
        <v>183865</v>
      </c>
      <c r="D3958" t="s">
        <v>10</v>
      </c>
      <c r="E3958" t="s">
        <v>16</v>
      </c>
      <c r="F3958" t="s">
        <v>12</v>
      </c>
      <c r="G3958" t="s">
        <v>13</v>
      </c>
      <c r="H3958" t="s">
        <v>13</v>
      </c>
      <c r="I3958">
        <v>21</v>
      </c>
      <c r="J3958">
        <f>ABS((I3958-EDA!$A$15)/EDA!$B$15)</f>
        <v>1.4806416187611704</v>
      </c>
      <c r="K3958" t="str">
        <f t="shared" si="61"/>
        <v>No</v>
      </c>
      <c r="L3958">
        <f>ABS((C3958-EDA!$F$15)/EDA!$G$15)</f>
        <v>0.37259432881527199</v>
      </c>
      <c r="M3958" t="str">
        <f>IF(moras[[#This Row],[Z-Score Salario]]&gt;1.96, "Sí", "No")</f>
        <v>No</v>
      </c>
      <c r="N3958" s="14">
        <f>IF(ISBLANK(moras[[#This Row],[SALARIO]]), EDA!$M$8, moras[[#This Row],[SALARIO]])</f>
        <v>183865</v>
      </c>
      <c r="O3958" s="14">
        <f xml:space="preserve"> IF(ISBLANK(moras[[#This Row],[EDAD]]), EDA!$E$8, moras[[#This Row],[EDAD]])</f>
        <v>21</v>
      </c>
      <c r="P3958" s="14" t="str">
        <f>IF(
    OR(ISBLANK(moras[[#This Row],[TIPO_ASEGURAMIENTO]]), moras[[#This Row],[TIPO_ASEGURAMIENTO]]=""),
    EDA!$A$32,
    moras[[#This Row],[TIPO_ASEGURAMIENTO]]
)</f>
        <v>ASALARIADO</v>
      </c>
    </row>
    <row r="3959" spans="1:16" x14ac:dyDescent="0.3">
      <c r="A3959">
        <v>3958</v>
      </c>
      <c r="B3959" t="s">
        <v>9</v>
      </c>
      <c r="C3959">
        <v>1470000</v>
      </c>
      <c r="D3959" t="s">
        <v>10</v>
      </c>
      <c r="E3959" t="s">
        <v>16</v>
      </c>
      <c r="F3959" t="s">
        <v>12</v>
      </c>
      <c r="G3959" t="s">
        <v>12</v>
      </c>
      <c r="H3959" t="s">
        <v>12</v>
      </c>
      <c r="I3959">
        <v>55</v>
      </c>
      <c r="J3959">
        <f>ABS((I3959-EDA!$A$15)/EDA!$B$15)</f>
        <v>0.91891960386150484</v>
      </c>
      <c r="K3959" t="str">
        <f t="shared" si="61"/>
        <v>No</v>
      </c>
      <c r="L3959">
        <f>ABS((C3959-EDA!$F$15)/EDA!$G$15)</f>
        <v>0.35119213451688824</v>
      </c>
      <c r="M3959" t="str">
        <f>IF(moras[[#This Row],[Z-Score Salario]]&gt;1.96, "Sí", "No")</f>
        <v>No</v>
      </c>
      <c r="N3959" s="14">
        <f>IF(ISBLANK(moras[[#This Row],[SALARIO]]), EDA!$M$8, moras[[#This Row],[SALARIO]])</f>
        <v>1470000</v>
      </c>
      <c r="O3959" s="14">
        <f xml:space="preserve"> IF(ISBLANK(moras[[#This Row],[EDAD]]), EDA!$E$8, moras[[#This Row],[EDAD]])</f>
        <v>55</v>
      </c>
      <c r="P3959" s="14" t="str">
        <f>IF(
    OR(ISBLANK(moras[[#This Row],[TIPO_ASEGURAMIENTO]]), moras[[#This Row],[TIPO_ASEGURAMIENTO]]=""),
    EDA!$A$32,
    moras[[#This Row],[TIPO_ASEGURAMIENTO]]
)</f>
        <v>ASALARIADO</v>
      </c>
    </row>
    <row r="3960" spans="1:16" x14ac:dyDescent="0.3">
      <c r="A3960">
        <v>3959</v>
      </c>
      <c r="B3960" t="s">
        <v>15</v>
      </c>
      <c r="C3960">
        <v>200000</v>
      </c>
      <c r="D3960" t="s">
        <v>10</v>
      </c>
      <c r="E3960" t="s">
        <v>16</v>
      </c>
      <c r="F3960" t="s">
        <v>12</v>
      </c>
      <c r="G3960" t="s">
        <v>13</v>
      </c>
      <c r="H3960" t="s">
        <v>13</v>
      </c>
      <c r="I3960">
        <v>27</v>
      </c>
      <c r="J3960">
        <f>ABS((I3960-EDA!$A$15)/EDA!$B$15)</f>
        <v>1.0571896382983452</v>
      </c>
      <c r="K3960" t="str">
        <f t="shared" si="61"/>
        <v>No</v>
      </c>
      <c r="L3960">
        <f>ABS((C3960-EDA!$F$15)/EDA!$G$15)</f>
        <v>0.3723258310253787</v>
      </c>
      <c r="M3960" t="str">
        <f>IF(moras[[#This Row],[Z-Score Salario]]&gt;1.96, "Sí", "No")</f>
        <v>No</v>
      </c>
      <c r="N3960" s="14">
        <f>IF(ISBLANK(moras[[#This Row],[SALARIO]]), EDA!$M$8, moras[[#This Row],[SALARIO]])</f>
        <v>200000</v>
      </c>
      <c r="O3960" s="14">
        <f xml:space="preserve"> IF(ISBLANK(moras[[#This Row],[EDAD]]), EDA!$E$8, moras[[#This Row],[EDAD]])</f>
        <v>27</v>
      </c>
      <c r="P3960" s="14" t="str">
        <f>IF(
    OR(ISBLANK(moras[[#This Row],[TIPO_ASEGURAMIENTO]]), moras[[#This Row],[TIPO_ASEGURAMIENTO]]=""),
    EDA!$A$32,
    moras[[#This Row],[TIPO_ASEGURAMIENTO]]
)</f>
        <v>ASALARIADO</v>
      </c>
    </row>
    <row r="3961" spans="1:16" x14ac:dyDescent="0.3">
      <c r="A3961">
        <v>3960</v>
      </c>
      <c r="B3961" t="s">
        <v>15</v>
      </c>
      <c r="C3961">
        <v>344981</v>
      </c>
      <c r="D3961" t="s">
        <v>10</v>
      </c>
      <c r="E3961" t="s">
        <v>16</v>
      </c>
      <c r="F3961" t="s">
        <v>12</v>
      </c>
      <c r="G3961" t="s">
        <v>13</v>
      </c>
      <c r="H3961" t="s">
        <v>13</v>
      </c>
      <c r="I3961">
        <v>35</v>
      </c>
      <c r="J3961">
        <f>ABS((I3961-EDA!$A$15)/EDA!$B$15)</f>
        <v>0.49258699768124525</v>
      </c>
      <c r="K3961" t="str">
        <f t="shared" si="61"/>
        <v>No</v>
      </c>
      <c r="L3961">
        <f>ABS((C3961-EDA!$F$15)/EDA!$G$15)</f>
        <v>0.36991324484152244</v>
      </c>
      <c r="M3961" t="str">
        <f>IF(moras[[#This Row],[Z-Score Salario]]&gt;1.96, "Sí", "No")</f>
        <v>No</v>
      </c>
      <c r="N3961" s="14">
        <f>IF(ISBLANK(moras[[#This Row],[SALARIO]]), EDA!$M$8, moras[[#This Row],[SALARIO]])</f>
        <v>344981</v>
      </c>
      <c r="O3961" s="14">
        <f xml:space="preserve"> IF(ISBLANK(moras[[#This Row],[EDAD]]), EDA!$E$8, moras[[#This Row],[EDAD]])</f>
        <v>35</v>
      </c>
      <c r="P3961" s="14" t="str">
        <f>IF(
    OR(ISBLANK(moras[[#This Row],[TIPO_ASEGURAMIENTO]]), moras[[#This Row],[TIPO_ASEGURAMIENTO]]=""),
    EDA!$A$32,
    moras[[#This Row],[TIPO_ASEGURAMIENTO]]
)</f>
        <v>ASALARIADO</v>
      </c>
    </row>
    <row r="3962" spans="1:16" x14ac:dyDescent="0.3">
      <c r="A3962">
        <v>3961</v>
      </c>
      <c r="B3962" t="s">
        <v>15</v>
      </c>
      <c r="C3962">
        <v>1332630</v>
      </c>
      <c r="D3962" t="s">
        <v>10</v>
      </c>
      <c r="E3962" t="s">
        <v>11</v>
      </c>
      <c r="F3962" t="s">
        <v>12</v>
      </c>
      <c r="G3962" t="s">
        <v>13</v>
      </c>
      <c r="H3962" t="s">
        <v>12</v>
      </c>
      <c r="I3962">
        <v>42</v>
      </c>
      <c r="J3962">
        <f>ABS((I3962-EDA!$A$15)/EDA!$B$15)</f>
        <v>1.4403128587172659E-3</v>
      </c>
      <c r="K3962" t="str">
        <f t="shared" si="61"/>
        <v>No</v>
      </c>
      <c r="L3962">
        <f>ABS((C3962-EDA!$F$15)/EDA!$G$15)</f>
        <v>0.35347806828804679</v>
      </c>
      <c r="M3962" t="str">
        <f>IF(moras[[#This Row],[Z-Score Salario]]&gt;1.96, "Sí", "No")</f>
        <v>No</v>
      </c>
      <c r="N3962" s="14">
        <f>IF(ISBLANK(moras[[#This Row],[SALARIO]]), EDA!$M$8, moras[[#This Row],[SALARIO]])</f>
        <v>1332630</v>
      </c>
      <c r="O3962" s="14">
        <f xml:space="preserve"> IF(ISBLANK(moras[[#This Row],[EDAD]]), EDA!$E$8, moras[[#This Row],[EDAD]])</f>
        <v>42</v>
      </c>
      <c r="P3962" s="14" t="str">
        <f>IF(
    OR(ISBLANK(moras[[#This Row],[TIPO_ASEGURAMIENTO]]), moras[[#This Row],[TIPO_ASEGURAMIENTO]]=""),
    EDA!$A$32,
    moras[[#This Row],[TIPO_ASEGURAMIENTO]]
)</f>
        <v>ASALARIADO</v>
      </c>
    </row>
    <row r="3963" spans="1:16" x14ac:dyDescent="0.3">
      <c r="A3963">
        <v>3962</v>
      </c>
      <c r="B3963" t="s">
        <v>9</v>
      </c>
      <c r="C3963">
        <v>61253244</v>
      </c>
      <c r="D3963" t="s">
        <v>14</v>
      </c>
      <c r="E3963" t="s">
        <v>11</v>
      </c>
      <c r="F3963" t="s">
        <v>12</v>
      </c>
      <c r="G3963" t="s">
        <v>13</v>
      </c>
      <c r="H3963" t="s">
        <v>13</v>
      </c>
      <c r="I3963">
        <v>67</v>
      </c>
      <c r="J3963">
        <f>ABS((I3963-EDA!$A$15)/EDA!$B$15)</f>
        <v>1.765823564787155</v>
      </c>
      <c r="K3963" t="str">
        <f t="shared" si="61"/>
        <v>No</v>
      </c>
      <c r="L3963">
        <f>ABS((C3963-EDA!$F$15)/EDA!$G$15)</f>
        <v>0.64364324736423817</v>
      </c>
      <c r="M3963" t="str">
        <f>IF(moras[[#This Row],[Z-Score Salario]]&gt;1.96, "Sí", "No")</f>
        <v>No</v>
      </c>
      <c r="N3963" s="14">
        <f>IF(ISBLANK(moras[[#This Row],[SALARIO]]), EDA!$M$8, moras[[#This Row],[SALARIO]])</f>
        <v>61253244</v>
      </c>
      <c r="O3963" s="14">
        <f xml:space="preserve"> IF(ISBLANK(moras[[#This Row],[EDAD]]), EDA!$E$8, moras[[#This Row],[EDAD]])</f>
        <v>67</v>
      </c>
      <c r="P3963" s="14" t="str">
        <f>IF(
    OR(ISBLANK(moras[[#This Row],[TIPO_ASEGURAMIENTO]]), moras[[#This Row],[TIPO_ASEGURAMIENTO]]=""),
    EDA!$A$32,
    moras[[#This Row],[TIPO_ASEGURAMIENTO]]
)</f>
        <v>PENSIONADOS EN SU PROPIO SISTEMA</v>
      </c>
    </row>
    <row r="3964" spans="1:16" x14ac:dyDescent="0.3">
      <c r="A3964">
        <v>3963</v>
      </c>
      <c r="B3964" t="s">
        <v>15</v>
      </c>
      <c r="C3964">
        <v>355145</v>
      </c>
      <c r="D3964" t="s">
        <v>10</v>
      </c>
      <c r="E3964" t="s">
        <v>11</v>
      </c>
      <c r="F3964" t="s">
        <v>12</v>
      </c>
      <c r="G3964" t="s">
        <v>13</v>
      </c>
      <c r="H3964" t="s">
        <v>13</v>
      </c>
      <c r="I3964">
        <v>42</v>
      </c>
      <c r="J3964">
        <f>ABS((I3964-EDA!$A$15)/EDA!$B$15)</f>
        <v>1.4403128587172659E-3</v>
      </c>
      <c r="K3964" t="str">
        <f t="shared" si="61"/>
        <v>No</v>
      </c>
      <c r="L3964">
        <f>ABS((C3964-EDA!$F$15)/EDA!$G$15)</f>
        <v>0.36974410870663083</v>
      </c>
      <c r="M3964" t="str">
        <f>IF(moras[[#This Row],[Z-Score Salario]]&gt;1.96, "Sí", "No")</f>
        <v>No</v>
      </c>
      <c r="N3964" s="14">
        <f>IF(ISBLANK(moras[[#This Row],[SALARIO]]), EDA!$M$8, moras[[#This Row],[SALARIO]])</f>
        <v>355145</v>
      </c>
      <c r="O3964" s="14">
        <f xml:space="preserve"> IF(ISBLANK(moras[[#This Row],[EDAD]]), EDA!$E$8, moras[[#This Row],[EDAD]])</f>
        <v>42</v>
      </c>
      <c r="P3964" s="14" t="str">
        <f>IF(
    OR(ISBLANK(moras[[#This Row],[TIPO_ASEGURAMIENTO]]), moras[[#This Row],[TIPO_ASEGURAMIENTO]]=""),
    EDA!$A$32,
    moras[[#This Row],[TIPO_ASEGURAMIENTO]]
)</f>
        <v>ASALARIADO</v>
      </c>
    </row>
    <row r="3965" spans="1:16" x14ac:dyDescent="0.3">
      <c r="A3965">
        <v>3964</v>
      </c>
      <c r="B3965" t="s">
        <v>15</v>
      </c>
      <c r="C3965">
        <v>3464745</v>
      </c>
      <c r="D3965" t="s">
        <v>10</v>
      </c>
      <c r="E3965" t="s">
        <v>16</v>
      </c>
      <c r="F3965" t="s">
        <v>12</v>
      </c>
      <c r="G3965" t="s">
        <v>13</v>
      </c>
      <c r="H3965" t="s">
        <v>12</v>
      </c>
      <c r="I3965">
        <v>30</v>
      </c>
      <c r="J3965">
        <f>ABS((I3965-EDA!$A$15)/EDA!$B$15)</f>
        <v>0.84546364806693275</v>
      </c>
      <c r="K3965" t="str">
        <f t="shared" si="61"/>
        <v>No</v>
      </c>
      <c r="L3965">
        <f>ABS((C3965-EDA!$F$15)/EDA!$G$15)</f>
        <v>0.31799816960206251</v>
      </c>
      <c r="M3965" t="str">
        <f>IF(moras[[#This Row],[Z-Score Salario]]&gt;1.96, "Sí", "No")</f>
        <v>No</v>
      </c>
      <c r="N3965" s="14">
        <f>IF(ISBLANK(moras[[#This Row],[SALARIO]]), EDA!$M$8, moras[[#This Row],[SALARIO]])</f>
        <v>3464745</v>
      </c>
      <c r="O3965" s="14">
        <f xml:space="preserve"> IF(ISBLANK(moras[[#This Row],[EDAD]]), EDA!$E$8, moras[[#This Row],[EDAD]])</f>
        <v>30</v>
      </c>
      <c r="P3965" s="14" t="str">
        <f>IF(
    OR(ISBLANK(moras[[#This Row],[TIPO_ASEGURAMIENTO]]), moras[[#This Row],[TIPO_ASEGURAMIENTO]]=""),
    EDA!$A$32,
    moras[[#This Row],[TIPO_ASEGURAMIENTO]]
)</f>
        <v>ASALARIADO</v>
      </c>
    </row>
    <row r="3966" spans="1:16" x14ac:dyDescent="0.3">
      <c r="A3966">
        <v>3965</v>
      </c>
      <c r="B3966" t="s">
        <v>9</v>
      </c>
      <c r="C3966">
        <v>2380634</v>
      </c>
      <c r="D3966" t="s">
        <v>10</v>
      </c>
      <c r="E3966" t="s">
        <v>16</v>
      </c>
      <c r="F3966" t="s">
        <v>12</v>
      </c>
      <c r="G3966" t="s">
        <v>13</v>
      </c>
      <c r="H3966" t="s">
        <v>13</v>
      </c>
      <c r="I3966">
        <v>36</v>
      </c>
      <c r="J3966">
        <f>ABS((I3966-EDA!$A$15)/EDA!$B$15)</f>
        <v>0.42201166760410774</v>
      </c>
      <c r="K3966" t="str">
        <f t="shared" si="61"/>
        <v>No</v>
      </c>
      <c r="L3966">
        <f>ABS((C3966-EDA!$F$15)/EDA!$G$15)</f>
        <v>0.33603854192924049</v>
      </c>
      <c r="M3966" t="str">
        <f>IF(moras[[#This Row],[Z-Score Salario]]&gt;1.96, "Sí", "No")</f>
        <v>No</v>
      </c>
      <c r="N3966" s="14">
        <f>IF(ISBLANK(moras[[#This Row],[SALARIO]]), EDA!$M$8, moras[[#This Row],[SALARIO]])</f>
        <v>2380634</v>
      </c>
      <c r="O3966" s="14">
        <f xml:space="preserve"> IF(ISBLANK(moras[[#This Row],[EDAD]]), EDA!$E$8, moras[[#This Row],[EDAD]])</f>
        <v>36</v>
      </c>
      <c r="P3966" s="14" t="str">
        <f>IF(
    OR(ISBLANK(moras[[#This Row],[TIPO_ASEGURAMIENTO]]), moras[[#This Row],[TIPO_ASEGURAMIENTO]]=""),
    EDA!$A$32,
    moras[[#This Row],[TIPO_ASEGURAMIENTO]]
)</f>
        <v>ASALARIADO</v>
      </c>
    </row>
    <row r="3967" spans="1:16" x14ac:dyDescent="0.3">
      <c r="A3967">
        <v>3966</v>
      </c>
      <c r="B3967" t="s">
        <v>9</v>
      </c>
      <c r="C3967">
        <v>366350</v>
      </c>
      <c r="D3967" t="s">
        <v>10</v>
      </c>
      <c r="E3967" t="s">
        <v>16</v>
      </c>
      <c r="F3967" t="s">
        <v>12</v>
      </c>
      <c r="G3967" t="s">
        <v>12</v>
      </c>
      <c r="H3967" t="s">
        <v>13</v>
      </c>
      <c r="I3967">
        <v>35</v>
      </c>
      <c r="J3967">
        <f>ABS((I3967-EDA!$A$15)/EDA!$B$15)</f>
        <v>0.49258699768124525</v>
      </c>
      <c r="K3967" t="str">
        <f t="shared" si="61"/>
        <v>No</v>
      </c>
      <c r="L3967">
        <f>ABS((C3967-EDA!$F$15)/EDA!$G$15)</f>
        <v>0.3695576495968847</v>
      </c>
      <c r="M3967" t="str">
        <f>IF(moras[[#This Row],[Z-Score Salario]]&gt;1.96, "Sí", "No")</f>
        <v>No</v>
      </c>
      <c r="N3967" s="14">
        <f>IF(ISBLANK(moras[[#This Row],[SALARIO]]), EDA!$M$8, moras[[#This Row],[SALARIO]])</f>
        <v>366350</v>
      </c>
      <c r="O3967" s="14">
        <f xml:space="preserve"> IF(ISBLANK(moras[[#This Row],[EDAD]]), EDA!$E$8, moras[[#This Row],[EDAD]])</f>
        <v>35</v>
      </c>
      <c r="P3967" s="14" t="str">
        <f>IF(
    OR(ISBLANK(moras[[#This Row],[TIPO_ASEGURAMIENTO]]), moras[[#This Row],[TIPO_ASEGURAMIENTO]]=""),
    EDA!$A$32,
    moras[[#This Row],[TIPO_ASEGURAMIENTO]]
)</f>
        <v>ASALARIADO</v>
      </c>
    </row>
    <row r="3968" spans="1:16" x14ac:dyDescent="0.3">
      <c r="A3968">
        <v>3967</v>
      </c>
      <c r="B3968" t="s">
        <v>9</v>
      </c>
      <c r="C3968">
        <v>42071674</v>
      </c>
      <c r="D3968" t="s">
        <v>10</v>
      </c>
      <c r="E3968" t="s">
        <v>16</v>
      </c>
      <c r="F3968" t="s">
        <v>12</v>
      </c>
      <c r="G3968" t="s">
        <v>13</v>
      </c>
      <c r="H3968" t="s">
        <v>13</v>
      </c>
      <c r="I3968">
        <v>34</v>
      </c>
      <c r="J3968">
        <f>ABS((I3968-EDA!$A$15)/EDA!$B$15)</f>
        <v>0.56316232775838282</v>
      </c>
      <c r="K3968" t="str">
        <f t="shared" si="61"/>
        <v>No</v>
      </c>
      <c r="L3968">
        <f>ABS((C3968-EDA!$F$15)/EDA!$G$15)</f>
        <v>0.32444838206001414</v>
      </c>
      <c r="M3968" t="str">
        <f>IF(moras[[#This Row],[Z-Score Salario]]&gt;1.96, "Sí", "No")</f>
        <v>No</v>
      </c>
      <c r="N3968" s="14">
        <f>IF(ISBLANK(moras[[#This Row],[SALARIO]]), EDA!$M$8, moras[[#This Row],[SALARIO]])</f>
        <v>42071674</v>
      </c>
      <c r="O3968" s="14">
        <f xml:space="preserve"> IF(ISBLANK(moras[[#This Row],[EDAD]]), EDA!$E$8, moras[[#This Row],[EDAD]])</f>
        <v>34</v>
      </c>
      <c r="P3968" s="14" t="str">
        <f>IF(
    OR(ISBLANK(moras[[#This Row],[TIPO_ASEGURAMIENTO]]), moras[[#This Row],[TIPO_ASEGURAMIENTO]]=""),
    EDA!$A$32,
    moras[[#This Row],[TIPO_ASEGURAMIENTO]]
)</f>
        <v>ASALARIADO</v>
      </c>
    </row>
    <row r="3969" spans="1:16" x14ac:dyDescent="0.3">
      <c r="A3969">
        <v>3968</v>
      </c>
      <c r="B3969" t="s">
        <v>15</v>
      </c>
      <c r="C3969">
        <v>175000</v>
      </c>
      <c r="D3969" t="s">
        <v>10</v>
      </c>
      <c r="E3969" t="s">
        <v>16</v>
      </c>
      <c r="F3969" t="s">
        <v>12</v>
      </c>
      <c r="G3969" t="s">
        <v>13</v>
      </c>
      <c r="H3969" t="s">
        <v>12</v>
      </c>
      <c r="I3969">
        <v>40</v>
      </c>
      <c r="J3969">
        <f>ABS((I3969-EDA!$A$15)/EDA!$B$15)</f>
        <v>0.13971034729555773</v>
      </c>
      <c r="K3969" t="str">
        <f t="shared" si="61"/>
        <v>No</v>
      </c>
      <c r="L3969">
        <f>ABS((C3969-EDA!$F$15)/EDA!$G$15)</f>
        <v>0.37274184867318361</v>
      </c>
      <c r="M3969" t="str">
        <f>IF(moras[[#This Row],[Z-Score Salario]]&gt;1.96, "Sí", "No")</f>
        <v>No</v>
      </c>
      <c r="N3969" s="14">
        <f>IF(ISBLANK(moras[[#This Row],[SALARIO]]), EDA!$M$8, moras[[#This Row],[SALARIO]])</f>
        <v>175000</v>
      </c>
      <c r="O3969" s="14">
        <f xml:space="preserve"> IF(ISBLANK(moras[[#This Row],[EDAD]]), EDA!$E$8, moras[[#This Row],[EDAD]])</f>
        <v>40</v>
      </c>
      <c r="P3969" s="14" t="str">
        <f>IF(
    OR(ISBLANK(moras[[#This Row],[TIPO_ASEGURAMIENTO]]), moras[[#This Row],[TIPO_ASEGURAMIENTO]]=""),
    EDA!$A$32,
    moras[[#This Row],[TIPO_ASEGURAMIENTO]]
)</f>
        <v>ASALARIADO</v>
      </c>
    </row>
    <row r="3970" spans="1:16" x14ac:dyDescent="0.3">
      <c r="A3970">
        <v>3969</v>
      </c>
      <c r="B3970" t="s">
        <v>9</v>
      </c>
      <c r="C3970">
        <v>27803099</v>
      </c>
      <c r="D3970" t="s">
        <v>19</v>
      </c>
      <c r="E3970" t="s">
        <v>16</v>
      </c>
      <c r="F3970" t="s">
        <v>12</v>
      </c>
      <c r="G3970" t="s">
        <v>13</v>
      </c>
      <c r="H3970" t="s">
        <v>13</v>
      </c>
      <c r="I3970">
        <v>44</v>
      </c>
      <c r="J3970">
        <f>ABS((I3970-EDA!$A$15)/EDA!$B$15)</f>
        <v>0.14259097301299228</v>
      </c>
      <c r="K3970" t="str">
        <f t="shared" ref="K3970:K4033" si="62">IF(J3970 &gt;  1.96, "Sí","No")</f>
        <v>No</v>
      </c>
      <c r="L3970">
        <f>ABS((C3970-EDA!$F$15)/EDA!$G$15)</f>
        <v>8.7009221698885322E-2</v>
      </c>
      <c r="M3970" t="str">
        <f>IF(moras[[#This Row],[Z-Score Salario]]&gt;1.96, "Sí", "No")</f>
        <v>No</v>
      </c>
      <c r="N3970" s="14">
        <f>IF(ISBLANK(moras[[#This Row],[SALARIO]]), EDA!$M$8, moras[[#This Row],[SALARIO]])</f>
        <v>27803099</v>
      </c>
      <c r="O3970" s="14">
        <f xml:space="preserve"> IF(ISBLANK(moras[[#This Row],[EDAD]]), EDA!$E$8, moras[[#This Row],[EDAD]])</f>
        <v>44</v>
      </c>
      <c r="P3970" s="14" t="str">
        <f>IF(
    OR(ISBLANK(moras[[#This Row],[TIPO_ASEGURAMIENTO]]), moras[[#This Row],[TIPO_ASEGURAMIENTO]]=""),
    EDA!$A$32,
    moras[[#This Row],[TIPO_ASEGURAMIENTO]]
)</f>
        <v>CONVENIOS ESPECIALES DE TRABAJADORES INDEPENDIENTES</v>
      </c>
    </row>
    <row r="3971" spans="1:16" x14ac:dyDescent="0.3">
      <c r="A3971">
        <v>3970</v>
      </c>
      <c r="B3971" t="s">
        <v>9</v>
      </c>
      <c r="C3971">
        <v>971125</v>
      </c>
      <c r="D3971" t="s">
        <v>10</v>
      </c>
      <c r="E3971" t="s">
        <v>16</v>
      </c>
      <c r="F3971" t="s">
        <v>12</v>
      </c>
      <c r="G3971" t="s">
        <v>13</v>
      </c>
      <c r="H3971" t="s">
        <v>13</v>
      </c>
      <c r="I3971">
        <v>30</v>
      </c>
      <c r="J3971">
        <f>ABS((I3971-EDA!$A$15)/EDA!$B$15)</f>
        <v>0.84546364806693275</v>
      </c>
      <c r="K3971" t="str">
        <f t="shared" si="62"/>
        <v>No</v>
      </c>
      <c r="L3971">
        <f>ABS((C3971-EDA!$F$15)/EDA!$G$15)</f>
        <v>0.35949376667883565</v>
      </c>
      <c r="M3971" t="str">
        <f>IF(moras[[#This Row],[Z-Score Salario]]&gt;1.96, "Sí", "No")</f>
        <v>No</v>
      </c>
      <c r="N3971" s="14">
        <f>IF(ISBLANK(moras[[#This Row],[SALARIO]]), EDA!$M$8, moras[[#This Row],[SALARIO]])</f>
        <v>971125</v>
      </c>
      <c r="O3971" s="14">
        <f xml:space="preserve"> IF(ISBLANK(moras[[#This Row],[EDAD]]), EDA!$E$8, moras[[#This Row],[EDAD]])</f>
        <v>30</v>
      </c>
      <c r="P3971" s="14" t="str">
        <f>IF(
    OR(ISBLANK(moras[[#This Row],[TIPO_ASEGURAMIENTO]]), moras[[#This Row],[TIPO_ASEGURAMIENTO]]=""),
    EDA!$A$32,
    moras[[#This Row],[TIPO_ASEGURAMIENTO]]
)</f>
        <v>ASALARIADO</v>
      </c>
    </row>
    <row r="3972" spans="1:16" x14ac:dyDescent="0.3">
      <c r="A3972">
        <v>3971</v>
      </c>
      <c r="B3972" t="s">
        <v>15</v>
      </c>
      <c r="C3972">
        <v>19041308</v>
      </c>
      <c r="D3972" t="s">
        <v>10</v>
      </c>
      <c r="E3972" t="s">
        <v>16</v>
      </c>
      <c r="F3972" t="s">
        <v>12</v>
      </c>
      <c r="G3972" t="s">
        <v>13</v>
      </c>
      <c r="H3972" t="s">
        <v>13</v>
      </c>
      <c r="I3972">
        <v>20</v>
      </c>
      <c r="J3972">
        <f>ABS((I3972-EDA!$A$15)/EDA!$B$15)</f>
        <v>1.5512169488383079</v>
      </c>
      <c r="K3972" t="str">
        <f t="shared" si="62"/>
        <v>No</v>
      </c>
      <c r="L3972">
        <f>ABS((C3972-EDA!$F$15)/EDA!$G$15)</f>
        <v>5.8793165596250696E-2</v>
      </c>
      <c r="M3972" t="str">
        <f>IF(moras[[#This Row],[Z-Score Salario]]&gt;1.96, "Sí", "No")</f>
        <v>No</v>
      </c>
      <c r="N3972" s="14">
        <f>IF(ISBLANK(moras[[#This Row],[SALARIO]]), EDA!$M$8, moras[[#This Row],[SALARIO]])</f>
        <v>19041308</v>
      </c>
      <c r="O3972" s="14">
        <f xml:space="preserve"> IF(ISBLANK(moras[[#This Row],[EDAD]]), EDA!$E$8, moras[[#This Row],[EDAD]])</f>
        <v>20</v>
      </c>
      <c r="P3972" s="14" t="str">
        <f>IF(
    OR(ISBLANK(moras[[#This Row],[TIPO_ASEGURAMIENTO]]), moras[[#This Row],[TIPO_ASEGURAMIENTO]]=""),
    EDA!$A$32,
    moras[[#This Row],[TIPO_ASEGURAMIENTO]]
)</f>
        <v>ASALARIADO</v>
      </c>
    </row>
    <row r="3973" spans="1:16" x14ac:dyDescent="0.3">
      <c r="A3973">
        <v>3972</v>
      </c>
      <c r="B3973" t="s">
        <v>9</v>
      </c>
      <c r="C3973">
        <v>1682812</v>
      </c>
      <c r="D3973" t="s">
        <v>10</v>
      </c>
      <c r="E3973" t="s">
        <v>11</v>
      </c>
      <c r="F3973" t="s">
        <v>12</v>
      </c>
      <c r="G3973" t="s">
        <v>13</v>
      </c>
      <c r="H3973" t="s">
        <v>12</v>
      </c>
      <c r="I3973">
        <v>46</v>
      </c>
      <c r="J3973">
        <f>ABS((I3973-EDA!$A$15)/EDA!$B$15)</f>
        <v>0.2837416331672673</v>
      </c>
      <c r="K3973" t="str">
        <f t="shared" si="62"/>
        <v>No</v>
      </c>
      <c r="L3973">
        <f>ABS((C3973-EDA!$F$15)/EDA!$G$15)</f>
        <v>0.34765079261030174</v>
      </c>
      <c r="M3973" t="str">
        <f>IF(moras[[#This Row],[Z-Score Salario]]&gt;1.96, "Sí", "No")</f>
        <v>No</v>
      </c>
      <c r="N3973" s="14">
        <f>IF(ISBLANK(moras[[#This Row],[SALARIO]]), EDA!$M$8, moras[[#This Row],[SALARIO]])</f>
        <v>1682812</v>
      </c>
      <c r="O3973" s="14">
        <f xml:space="preserve"> IF(ISBLANK(moras[[#This Row],[EDAD]]), EDA!$E$8, moras[[#This Row],[EDAD]])</f>
        <v>46</v>
      </c>
      <c r="P3973" s="14" t="str">
        <f>IF(
    OR(ISBLANK(moras[[#This Row],[TIPO_ASEGURAMIENTO]]), moras[[#This Row],[TIPO_ASEGURAMIENTO]]=""),
    EDA!$A$32,
    moras[[#This Row],[TIPO_ASEGURAMIENTO]]
)</f>
        <v>ASALARIADO</v>
      </c>
    </row>
    <row r="3974" spans="1:16" x14ac:dyDescent="0.3">
      <c r="A3974">
        <v>3973</v>
      </c>
      <c r="B3974" t="s">
        <v>15</v>
      </c>
      <c r="C3974">
        <v>48315654</v>
      </c>
      <c r="D3974" t="s">
        <v>10</v>
      </c>
      <c r="E3974" t="s">
        <v>16</v>
      </c>
      <c r="F3974" t="s">
        <v>12</v>
      </c>
      <c r="G3974" t="s">
        <v>13</v>
      </c>
      <c r="H3974" t="s">
        <v>13</v>
      </c>
      <c r="I3974">
        <v>41</v>
      </c>
      <c r="J3974">
        <f>ABS((I3974-EDA!$A$15)/EDA!$B$15)</f>
        <v>6.9135017218420233E-2</v>
      </c>
      <c r="K3974" t="str">
        <f t="shared" si="62"/>
        <v>No</v>
      </c>
      <c r="L3974">
        <f>ABS((C3974-EDA!$F$15)/EDA!$G$15)</f>
        <v>0.42835261696165511</v>
      </c>
      <c r="M3974" t="str">
        <f>IF(moras[[#This Row],[Z-Score Salario]]&gt;1.96, "Sí", "No")</f>
        <v>No</v>
      </c>
      <c r="N3974" s="14">
        <f>IF(ISBLANK(moras[[#This Row],[SALARIO]]), EDA!$M$8, moras[[#This Row],[SALARIO]])</f>
        <v>48315654</v>
      </c>
      <c r="O3974" s="14">
        <f xml:space="preserve"> IF(ISBLANK(moras[[#This Row],[EDAD]]), EDA!$E$8, moras[[#This Row],[EDAD]])</f>
        <v>41</v>
      </c>
      <c r="P3974" s="14" t="str">
        <f>IF(
    OR(ISBLANK(moras[[#This Row],[TIPO_ASEGURAMIENTO]]), moras[[#This Row],[TIPO_ASEGURAMIENTO]]=""),
    EDA!$A$32,
    moras[[#This Row],[TIPO_ASEGURAMIENTO]]
)</f>
        <v>ASALARIADO</v>
      </c>
    </row>
    <row r="3975" spans="1:16" x14ac:dyDescent="0.3">
      <c r="A3975">
        <v>3974</v>
      </c>
      <c r="B3975" t="s">
        <v>15</v>
      </c>
      <c r="C3975">
        <v>567792</v>
      </c>
      <c r="D3975" t="s">
        <v>10</v>
      </c>
      <c r="E3975" t="s">
        <v>11</v>
      </c>
      <c r="F3975" t="s">
        <v>12</v>
      </c>
      <c r="G3975" t="s">
        <v>13</v>
      </c>
      <c r="H3975" t="s">
        <v>12</v>
      </c>
      <c r="I3975">
        <v>51</v>
      </c>
      <c r="J3975">
        <f>ABS((I3975-EDA!$A$15)/EDA!$B$15)</f>
        <v>0.6366182835529548</v>
      </c>
      <c r="K3975" t="str">
        <f t="shared" si="62"/>
        <v>No</v>
      </c>
      <c r="L3975">
        <f>ABS((C3975-EDA!$F$15)/EDA!$G$15)</f>
        <v>0.36620551251651984</v>
      </c>
      <c r="M3975" t="str">
        <f>IF(moras[[#This Row],[Z-Score Salario]]&gt;1.96, "Sí", "No")</f>
        <v>No</v>
      </c>
      <c r="N3975" s="14">
        <f>IF(ISBLANK(moras[[#This Row],[SALARIO]]), EDA!$M$8, moras[[#This Row],[SALARIO]])</f>
        <v>567792</v>
      </c>
      <c r="O3975" s="14">
        <f xml:space="preserve"> IF(ISBLANK(moras[[#This Row],[EDAD]]), EDA!$E$8, moras[[#This Row],[EDAD]])</f>
        <v>51</v>
      </c>
      <c r="P3975" s="14" t="str">
        <f>IF(
    OR(ISBLANK(moras[[#This Row],[TIPO_ASEGURAMIENTO]]), moras[[#This Row],[TIPO_ASEGURAMIENTO]]=""),
    EDA!$A$32,
    moras[[#This Row],[TIPO_ASEGURAMIENTO]]
)</f>
        <v>ASALARIADO</v>
      </c>
    </row>
    <row r="3976" spans="1:16" x14ac:dyDescent="0.3">
      <c r="A3976">
        <v>3975</v>
      </c>
      <c r="B3976" t="s">
        <v>15</v>
      </c>
      <c r="C3976">
        <v>216627</v>
      </c>
      <c r="D3976" t="s">
        <v>10</v>
      </c>
      <c r="E3976" t="s">
        <v>16</v>
      </c>
      <c r="F3976" t="s">
        <v>12</v>
      </c>
      <c r="G3976" t="s">
        <v>13</v>
      </c>
      <c r="H3976" t="s">
        <v>13</v>
      </c>
      <c r="I3976">
        <v>42</v>
      </c>
      <c r="J3976">
        <f>ABS((I3976-EDA!$A$15)/EDA!$B$15)</f>
        <v>1.4403128587172659E-3</v>
      </c>
      <c r="K3976" t="str">
        <f t="shared" si="62"/>
        <v>No</v>
      </c>
      <c r="L3976">
        <f>ABS((C3976-EDA!$F$15)/EDA!$G$15)</f>
        <v>0.37204914600817657</v>
      </c>
      <c r="M3976" t="str">
        <f>IF(moras[[#This Row],[Z-Score Salario]]&gt;1.96, "Sí", "No")</f>
        <v>No</v>
      </c>
      <c r="N3976" s="14">
        <f>IF(ISBLANK(moras[[#This Row],[SALARIO]]), EDA!$M$8, moras[[#This Row],[SALARIO]])</f>
        <v>216627</v>
      </c>
      <c r="O3976" s="14">
        <f xml:space="preserve"> IF(ISBLANK(moras[[#This Row],[EDAD]]), EDA!$E$8, moras[[#This Row],[EDAD]])</f>
        <v>42</v>
      </c>
      <c r="P3976" s="14" t="str">
        <f>IF(
    OR(ISBLANK(moras[[#This Row],[TIPO_ASEGURAMIENTO]]), moras[[#This Row],[TIPO_ASEGURAMIENTO]]=""),
    EDA!$A$32,
    moras[[#This Row],[TIPO_ASEGURAMIENTO]]
)</f>
        <v>ASALARIADO</v>
      </c>
    </row>
    <row r="3977" spans="1:16" x14ac:dyDescent="0.3">
      <c r="A3977">
        <v>3976</v>
      </c>
      <c r="B3977" t="s">
        <v>15</v>
      </c>
      <c r="C3977">
        <v>297045</v>
      </c>
      <c r="D3977" t="s">
        <v>17</v>
      </c>
      <c r="E3977" t="s">
        <v>16</v>
      </c>
      <c r="F3977" t="s">
        <v>12</v>
      </c>
      <c r="G3977" t="s">
        <v>12</v>
      </c>
      <c r="H3977" t="s">
        <v>13</v>
      </c>
      <c r="I3977">
        <v>27</v>
      </c>
      <c r="J3977">
        <f>ABS((I3977-EDA!$A$15)/EDA!$B$15)</f>
        <v>1.0571896382983452</v>
      </c>
      <c r="K3977" t="str">
        <f t="shared" si="62"/>
        <v>No</v>
      </c>
      <c r="L3977">
        <f>ABS((C3977-EDA!$F$15)/EDA!$G$15)</f>
        <v>0.37071093372012948</v>
      </c>
      <c r="M3977" t="str">
        <f>IF(moras[[#This Row],[Z-Score Salario]]&gt;1.96, "Sí", "No")</f>
        <v>No</v>
      </c>
      <c r="N3977" s="14">
        <f>IF(ISBLANK(moras[[#This Row],[SALARIO]]), EDA!$M$8, moras[[#This Row],[SALARIO]])</f>
        <v>297045</v>
      </c>
      <c r="O3977" s="14">
        <f xml:space="preserve"> IF(ISBLANK(moras[[#This Row],[EDAD]]), EDA!$E$8, moras[[#This Row],[EDAD]])</f>
        <v>27</v>
      </c>
      <c r="P3977" s="14" t="str">
        <f>IF(
    OR(ISBLANK(moras[[#This Row],[TIPO_ASEGURAMIENTO]]), moras[[#This Row],[TIPO_ASEGURAMIENTO]]=""),
    EDA!$A$32,
    moras[[#This Row],[TIPO_ASEGURAMIENTO]]
)</f>
        <v>ASEGURADO VOLUNTARIO</v>
      </c>
    </row>
    <row r="3978" spans="1:16" x14ac:dyDescent="0.3">
      <c r="A3978">
        <v>3977</v>
      </c>
      <c r="B3978" t="s">
        <v>15</v>
      </c>
      <c r="C3978">
        <v>83313024</v>
      </c>
      <c r="D3978" t="s">
        <v>10</v>
      </c>
      <c r="E3978" t="s">
        <v>16</v>
      </c>
      <c r="F3978" t="s">
        <v>12</v>
      </c>
      <c r="G3978" t="s">
        <v>13</v>
      </c>
      <c r="H3978" t="s">
        <v>13</v>
      </c>
      <c r="I3978">
        <v>26</v>
      </c>
      <c r="J3978">
        <f>ABS((I3978-EDA!$A$15)/EDA!$B$15)</f>
        <v>1.1277649683754829</v>
      </c>
      <c r="K3978" t="str">
        <f t="shared" si="62"/>
        <v>No</v>
      </c>
      <c r="L3978">
        <f>ABS((C3978-EDA!$F$15)/EDA!$G$15)</f>
        <v>1.0107335588320072</v>
      </c>
      <c r="M3978" t="str">
        <f>IF(moras[[#This Row],[Z-Score Salario]]&gt;1.96, "Sí", "No")</f>
        <v>No</v>
      </c>
      <c r="N3978" s="14">
        <f>IF(ISBLANK(moras[[#This Row],[SALARIO]]), EDA!$M$8, moras[[#This Row],[SALARIO]])</f>
        <v>83313024</v>
      </c>
      <c r="O3978" s="14">
        <f xml:space="preserve"> IF(ISBLANK(moras[[#This Row],[EDAD]]), EDA!$E$8, moras[[#This Row],[EDAD]])</f>
        <v>26</v>
      </c>
      <c r="P3978" s="14" t="str">
        <f>IF(
    OR(ISBLANK(moras[[#This Row],[TIPO_ASEGURAMIENTO]]), moras[[#This Row],[TIPO_ASEGURAMIENTO]]=""),
    EDA!$A$32,
    moras[[#This Row],[TIPO_ASEGURAMIENTO]]
)</f>
        <v>ASALARIADO</v>
      </c>
    </row>
    <row r="3979" spans="1:16" x14ac:dyDescent="0.3">
      <c r="A3979">
        <v>3978</v>
      </c>
      <c r="B3979" t="s">
        <v>15</v>
      </c>
      <c r="C3979">
        <v>278030</v>
      </c>
      <c r="D3979" t="s">
        <v>17</v>
      </c>
      <c r="E3979" t="s">
        <v>16</v>
      </c>
      <c r="F3979" t="s">
        <v>12</v>
      </c>
      <c r="G3979" t="s">
        <v>13</v>
      </c>
      <c r="H3979" t="s">
        <v>13</v>
      </c>
      <c r="I3979">
        <v>33</v>
      </c>
      <c r="J3979">
        <f>ABS((I3979-EDA!$A$15)/EDA!$B$15)</f>
        <v>0.63373765783552027</v>
      </c>
      <c r="K3979" t="str">
        <f t="shared" si="62"/>
        <v>No</v>
      </c>
      <c r="L3979">
        <f>ABS((C3979-EDA!$F$15)/EDA!$G$15)</f>
        <v>0.37102735674304993</v>
      </c>
      <c r="M3979" t="str">
        <f>IF(moras[[#This Row],[Z-Score Salario]]&gt;1.96, "Sí", "No")</f>
        <v>No</v>
      </c>
      <c r="N3979" s="14">
        <f>IF(ISBLANK(moras[[#This Row],[SALARIO]]), EDA!$M$8, moras[[#This Row],[SALARIO]])</f>
        <v>278030</v>
      </c>
      <c r="O3979" s="14">
        <f xml:space="preserve"> IF(ISBLANK(moras[[#This Row],[EDAD]]), EDA!$E$8, moras[[#This Row],[EDAD]])</f>
        <v>33</v>
      </c>
      <c r="P3979" s="14" t="str">
        <f>IF(
    OR(ISBLANK(moras[[#This Row],[TIPO_ASEGURAMIENTO]]), moras[[#This Row],[TIPO_ASEGURAMIENTO]]=""),
    EDA!$A$32,
    moras[[#This Row],[TIPO_ASEGURAMIENTO]]
)</f>
        <v>ASEGURADO VOLUNTARIO</v>
      </c>
    </row>
    <row r="3980" spans="1:16" x14ac:dyDescent="0.3">
      <c r="A3980">
        <v>3979</v>
      </c>
      <c r="B3980" t="s">
        <v>9</v>
      </c>
      <c r="C3980">
        <v>326749</v>
      </c>
      <c r="D3980" t="s">
        <v>18</v>
      </c>
      <c r="E3980" t="s">
        <v>16</v>
      </c>
      <c r="F3980" t="s">
        <v>12</v>
      </c>
      <c r="G3980" t="s">
        <v>13</v>
      </c>
      <c r="H3980" t="s">
        <v>13</v>
      </c>
      <c r="I3980">
        <v>51</v>
      </c>
      <c r="J3980">
        <f>ABS((I3980-EDA!$A$15)/EDA!$B$15)</f>
        <v>0.6366182835529548</v>
      </c>
      <c r="K3980" t="str">
        <f t="shared" si="62"/>
        <v>No</v>
      </c>
      <c r="L3980">
        <f>ABS((C3980-EDA!$F$15)/EDA!$G$15)</f>
        <v>0.37021663819171358</v>
      </c>
      <c r="M3980" t="str">
        <f>IF(moras[[#This Row],[Z-Score Salario]]&gt;1.96, "Sí", "No")</f>
        <v>No</v>
      </c>
      <c r="N3980" s="14">
        <f>IF(ISBLANK(moras[[#This Row],[SALARIO]]), EDA!$M$8, moras[[#This Row],[SALARIO]])</f>
        <v>326749</v>
      </c>
      <c r="O3980" s="14">
        <f xml:space="preserve"> IF(ISBLANK(moras[[#This Row],[EDAD]]), EDA!$E$8, moras[[#This Row],[EDAD]])</f>
        <v>51</v>
      </c>
      <c r="P3980" s="14" t="str">
        <f>IF(
    OR(ISBLANK(moras[[#This Row],[TIPO_ASEGURAMIENTO]]), moras[[#This Row],[TIPO_ASEGURAMIENTO]]=""),
    EDA!$A$32,
    moras[[#This Row],[TIPO_ASEGURAMIENTO]]
)</f>
        <v>TRABAJADOR INDEPENDIENTE</v>
      </c>
    </row>
    <row r="3981" spans="1:16" x14ac:dyDescent="0.3">
      <c r="A3981">
        <v>3980</v>
      </c>
      <c r="B3981" t="s">
        <v>9</v>
      </c>
      <c r="C3981">
        <v>367410</v>
      </c>
      <c r="D3981" t="s">
        <v>10</v>
      </c>
      <c r="E3981" t="s">
        <v>11</v>
      </c>
      <c r="F3981" t="s">
        <v>12</v>
      </c>
      <c r="G3981" t="s">
        <v>13</v>
      </c>
      <c r="H3981" t="s">
        <v>12</v>
      </c>
      <c r="I3981">
        <v>57</v>
      </c>
      <c r="J3981">
        <f>ABS((I3981-EDA!$A$15)/EDA!$B$15)</f>
        <v>1.0600702640157798</v>
      </c>
      <c r="K3981" t="str">
        <f t="shared" si="62"/>
        <v>No</v>
      </c>
      <c r="L3981">
        <f>ABS((C3981-EDA!$F$15)/EDA!$G$15)</f>
        <v>0.36954001044861773</v>
      </c>
      <c r="M3981" t="str">
        <f>IF(moras[[#This Row],[Z-Score Salario]]&gt;1.96, "Sí", "No")</f>
        <v>No</v>
      </c>
      <c r="N3981" s="14">
        <f>IF(ISBLANK(moras[[#This Row],[SALARIO]]), EDA!$M$8, moras[[#This Row],[SALARIO]])</f>
        <v>367410</v>
      </c>
      <c r="O3981" s="14">
        <f xml:space="preserve"> IF(ISBLANK(moras[[#This Row],[EDAD]]), EDA!$E$8, moras[[#This Row],[EDAD]])</f>
        <v>57</v>
      </c>
      <c r="P3981" s="14" t="str">
        <f>IF(
    OR(ISBLANK(moras[[#This Row],[TIPO_ASEGURAMIENTO]]), moras[[#This Row],[TIPO_ASEGURAMIENTO]]=""),
    EDA!$A$32,
    moras[[#This Row],[TIPO_ASEGURAMIENTO]]
)</f>
        <v>ASALARIADO</v>
      </c>
    </row>
    <row r="3982" spans="1:16" x14ac:dyDescent="0.3">
      <c r="A3982">
        <v>3981</v>
      </c>
      <c r="B3982" t="s">
        <v>9</v>
      </c>
      <c r="C3982">
        <v>1011737</v>
      </c>
      <c r="D3982" t="s">
        <v>10</v>
      </c>
      <c r="E3982" t="s">
        <v>11</v>
      </c>
      <c r="F3982" t="s">
        <v>12</v>
      </c>
      <c r="G3982" t="s">
        <v>13</v>
      </c>
      <c r="H3982" t="s">
        <v>13</v>
      </c>
      <c r="I3982">
        <v>48</v>
      </c>
      <c r="J3982">
        <f>ABS((I3982-EDA!$A$15)/EDA!$B$15)</f>
        <v>0.42489229332154227</v>
      </c>
      <c r="K3982" t="str">
        <f t="shared" si="62"/>
        <v>No</v>
      </c>
      <c r="L3982">
        <f>ABS((C3982-EDA!$F$15)/EDA!$G$15)</f>
        <v>0.35881795433032948</v>
      </c>
      <c r="M3982" t="str">
        <f>IF(moras[[#This Row],[Z-Score Salario]]&gt;1.96, "Sí", "No")</f>
        <v>No</v>
      </c>
      <c r="N3982" s="14">
        <f>IF(ISBLANK(moras[[#This Row],[SALARIO]]), EDA!$M$8, moras[[#This Row],[SALARIO]])</f>
        <v>1011737</v>
      </c>
      <c r="O3982" s="14">
        <f xml:space="preserve"> IF(ISBLANK(moras[[#This Row],[EDAD]]), EDA!$E$8, moras[[#This Row],[EDAD]])</f>
        <v>48</v>
      </c>
      <c r="P3982" s="14" t="str">
        <f>IF(
    OR(ISBLANK(moras[[#This Row],[TIPO_ASEGURAMIENTO]]), moras[[#This Row],[TIPO_ASEGURAMIENTO]]=""),
    EDA!$A$32,
    moras[[#This Row],[TIPO_ASEGURAMIENTO]]
)</f>
        <v>ASALARIADO</v>
      </c>
    </row>
    <row r="3983" spans="1:16" x14ac:dyDescent="0.3">
      <c r="A3983">
        <v>3982</v>
      </c>
      <c r="B3983" t="s">
        <v>15</v>
      </c>
      <c r="C3983">
        <v>59561409</v>
      </c>
      <c r="D3983" t="s">
        <v>10</v>
      </c>
      <c r="E3983" t="s">
        <v>16</v>
      </c>
      <c r="F3983" t="s">
        <v>12</v>
      </c>
      <c r="G3983" t="s">
        <v>13</v>
      </c>
      <c r="H3983" t="s">
        <v>13</v>
      </c>
      <c r="I3983">
        <v>21</v>
      </c>
      <c r="J3983">
        <f>ABS((I3983-EDA!$A$15)/EDA!$B$15)</f>
        <v>1.4806416187611704</v>
      </c>
      <c r="K3983" t="str">
        <f t="shared" si="62"/>
        <v>No</v>
      </c>
      <c r="L3983">
        <f>ABS((C3983-EDA!$F$15)/EDA!$G$15)</f>
        <v>0.61548991867727609</v>
      </c>
      <c r="M3983" t="str">
        <f>IF(moras[[#This Row],[Z-Score Salario]]&gt;1.96, "Sí", "No")</f>
        <v>No</v>
      </c>
      <c r="N3983" s="14">
        <f>IF(ISBLANK(moras[[#This Row],[SALARIO]]), EDA!$M$8, moras[[#This Row],[SALARIO]])</f>
        <v>59561409</v>
      </c>
      <c r="O3983" s="14">
        <f xml:space="preserve"> IF(ISBLANK(moras[[#This Row],[EDAD]]), EDA!$E$8, moras[[#This Row],[EDAD]])</f>
        <v>21</v>
      </c>
      <c r="P3983" s="14" t="str">
        <f>IF(
    OR(ISBLANK(moras[[#This Row],[TIPO_ASEGURAMIENTO]]), moras[[#This Row],[TIPO_ASEGURAMIENTO]]=""),
    EDA!$A$32,
    moras[[#This Row],[TIPO_ASEGURAMIENTO]]
)</f>
        <v>ASALARIADO</v>
      </c>
    </row>
    <row r="3984" spans="1:16" x14ac:dyDescent="0.3">
      <c r="A3984">
        <v>3983</v>
      </c>
      <c r="B3984" t="s">
        <v>9</v>
      </c>
      <c r="C3984">
        <v>73658585</v>
      </c>
      <c r="D3984" t="s">
        <v>10</v>
      </c>
      <c r="E3984" t="s">
        <v>16</v>
      </c>
      <c r="F3984" t="s">
        <v>12</v>
      </c>
      <c r="G3984" t="s">
        <v>13</v>
      </c>
      <c r="H3984" t="s">
        <v>13</v>
      </c>
      <c r="I3984">
        <v>36</v>
      </c>
      <c r="J3984">
        <f>ABS((I3984-EDA!$A$15)/EDA!$B$15)</f>
        <v>0.42201166760410774</v>
      </c>
      <c r="K3984" t="str">
        <f t="shared" si="62"/>
        <v>No</v>
      </c>
      <c r="L3984">
        <f>ABS((C3984-EDA!$F$15)/EDA!$G$15)</f>
        <v>0.85007687868576021</v>
      </c>
      <c r="M3984" t="str">
        <f>IF(moras[[#This Row],[Z-Score Salario]]&gt;1.96, "Sí", "No")</f>
        <v>No</v>
      </c>
      <c r="N3984" s="14">
        <f>IF(ISBLANK(moras[[#This Row],[SALARIO]]), EDA!$M$8, moras[[#This Row],[SALARIO]])</f>
        <v>73658585</v>
      </c>
      <c r="O3984" s="14">
        <f xml:space="preserve"> IF(ISBLANK(moras[[#This Row],[EDAD]]), EDA!$E$8, moras[[#This Row],[EDAD]])</f>
        <v>36</v>
      </c>
      <c r="P3984" s="14" t="str">
        <f>IF(
    OR(ISBLANK(moras[[#This Row],[TIPO_ASEGURAMIENTO]]), moras[[#This Row],[TIPO_ASEGURAMIENTO]]=""),
    EDA!$A$32,
    moras[[#This Row],[TIPO_ASEGURAMIENTO]]
)</f>
        <v>ASALARIADO</v>
      </c>
    </row>
    <row r="3985" spans="1:16" x14ac:dyDescent="0.3">
      <c r="A3985">
        <v>3984</v>
      </c>
      <c r="B3985" t="s">
        <v>9</v>
      </c>
      <c r="C3985">
        <v>47779663</v>
      </c>
      <c r="D3985" t="s">
        <v>10</v>
      </c>
      <c r="E3985" t="s">
        <v>11</v>
      </c>
      <c r="F3985" t="s">
        <v>12</v>
      </c>
      <c r="G3985" t="s">
        <v>13</v>
      </c>
      <c r="H3985" t="s">
        <v>13</v>
      </c>
      <c r="I3985">
        <v>36</v>
      </c>
      <c r="J3985">
        <f>ABS((I3985-EDA!$A$15)/EDA!$B$15)</f>
        <v>0.42201166760410774</v>
      </c>
      <c r="K3985" t="str">
        <f t="shared" si="62"/>
        <v>No</v>
      </c>
      <c r="L3985">
        <f>ABS((C3985-EDA!$F$15)/EDA!$G$15)</f>
        <v>0.41943334835907059</v>
      </c>
      <c r="M3985" t="str">
        <f>IF(moras[[#This Row],[Z-Score Salario]]&gt;1.96, "Sí", "No")</f>
        <v>No</v>
      </c>
      <c r="N3985" s="14">
        <f>IF(ISBLANK(moras[[#This Row],[SALARIO]]), EDA!$M$8, moras[[#This Row],[SALARIO]])</f>
        <v>47779663</v>
      </c>
      <c r="O3985" s="14">
        <f xml:space="preserve"> IF(ISBLANK(moras[[#This Row],[EDAD]]), EDA!$E$8, moras[[#This Row],[EDAD]])</f>
        <v>36</v>
      </c>
      <c r="P3985" s="14" t="str">
        <f>IF(
    OR(ISBLANK(moras[[#This Row],[TIPO_ASEGURAMIENTO]]), moras[[#This Row],[TIPO_ASEGURAMIENTO]]=""),
    EDA!$A$32,
    moras[[#This Row],[TIPO_ASEGURAMIENTO]]
)</f>
        <v>ASALARIADO</v>
      </c>
    </row>
    <row r="3986" spans="1:16" x14ac:dyDescent="0.3">
      <c r="A3986">
        <v>3985</v>
      </c>
      <c r="B3986" t="s">
        <v>15</v>
      </c>
      <c r="C3986">
        <v>445567</v>
      </c>
      <c r="D3986" t="s">
        <v>18</v>
      </c>
      <c r="E3986" t="s">
        <v>16</v>
      </c>
      <c r="F3986" t="s">
        <v>12</v>
      </c>
      <c r="G3986" t="s">
        <v>13</v>
      </c>
      <c r="H3986" t="s">
        <v>12</v>
      </c>
      <c r="I3986">
        <v>51</v>
      </c>
      <c r="J3986">
        <f>ABS((I3986-EDA!$A$15)/EDA!$B$15)</f>
        <v>0.6366182835529548</v>
      </c>
      <c r="K3986" t="str">
        <f t="shared" si="62"/>
        <v>No</v>
      </c>
      <c r="L3986">
        <f>ABS((C3986-EDA!$F$15)/EDA!$G$15)</f>
        <v>0.36823942279663813</v>
      </c>
      <c r="M3986" t="str">
        <f>IF(moras[[#This Row],[Z-Score Salario]]&gt;1.96, "Sí", "No")</f>
        <v>No</v>
      </c>
      <c r="N3986" s="14">
        <f>IF(ISBLANK(moras[[#This Row],[SALARIO]]), EDA!$M$8, moras[[#This Row],[SALARIO]])</f>
        <v>445567</v>
      </c>
      <c r="O3986" s="14">
        <f xml:space="preserve"> IF(ISBLANK(moras[[#This Row],[EDAD]]), EDA!$E$8, moras[[#This Row],[EDAD]])</f>
        <v>51</v>
      </c>
      <c r="P3986" s="14" t="str">
        <f>IF(
    OR(ISBLANK(moras[[#This Row],[TIPO_ASEGURAMIENTO]]), moras[[#This Row],[TIPO_ASEGURAMIENTO]]=""),
    EDA!$A$32,
    moras[[#This Row],[TIPO_ASEGURAMIENTO]]
)</f>
        <v>TRABAJADOR INDEPENDIENTE</v>
      </c>
    </row>
    <row r="3987" spans="1:16" x14ac:dyDescent="0.3">
      <c r="A3987">
        <v>3986</v>
      </c>
      <c r="B3987" t="s">
        <v>9</v>
      </c>
      <c r="C3987">
        <v>284281</v>
      </c>
      <c r="D3987" t="s">
        <v>17</v>
      </c>
      <c r="E3987" t="s">
        <v>16</v>
      </c>
      <c r="F3987" t="s">
        <v>13</v>
      </c>
      <c r="G3987" t="s">
        <v>13</v>
      </c>
      <c r="H3987" t="s">
        <v>13</v>
      </c>
      <c r="I3987">
        <v>30</v>
      </c>
      <c r="J3987">
        <f>ABS((I3987-EDA!$A$15)/EDA!$B$15)</f>
        <v>0.84546364806693275</v>
      </c>
      <c r="K3987" t="str">
        <f t="shared" si="62"/>
        <v>No</v>
      </c>
      <c r="L3987">
        <f>ABS((C3987-EDA!$F$15)/EDA!$G$15)</f>
        <v>0.37092333569039276</v>
      </c>
      <c r="M3987" t="str">
        <f>IF(moras[[#This Row],[Z-Score Salario]]&gt;1.96, "Sí", "No")</f>
        <v>No</v>
      </c>
      <c r="N3987" s="14">
        <f>IF(ISBLANK(moras[[#This Row],[SALARIO]]), EDA!$M$8, moras[[#This Row],[SALARIO]])</f>
        <v>284281</v>
      </c>
      <c r="O3987" s="14">
        <f xml:space="preserve"> IF(ISBLANK(moras[[#This Row],[EDAD]]), EDA!$E$8, moras[[#This Row],[EDAD]])</f>
        <v>30</v>
      </c>
      <c r="P3987" s="14" t="str">
        <f>IF(
    OR(ISBLANK(moras[[#This Row],[TIPO_ASEGURAMIENTO]]), moras[[#This Row],[TIPO_ASEGURAMIENTO]]=""),
    EDA!$A$32,
    moras[[#This Row],[TIPO_ASEGURAMIENTO]]
)</f>
        <v>ASEGURADO VOLUNTARIO</v>
      </c>
    </row>
    <row r="3988" spans="1:16" x14ac:dyDescent="0.3">
      <c r="A3988">
        <v>3987</v>
      </c>
      <c r="B3988" t="s">
        <v>9</v>
      </c>
      <c r="C3988">
        <v>359170508</v>
      </c>
      <c r="D3988" t="s">
        <v>10</v>
      </c>
      <c r="E3988" t="s">
        <v>16</v>
      </c>
      <c r="F3988" t="s">
        <v>12</v>
      </c>
      <c r="G3988" t="s">
        <v>13</v>
      </c>
      <c r="H3988" t="s">
        <v>13</v>
      </c>
      <c r="I3988">
        <v>36</v>
      </c>
      <c r="J3988">
        <f>ABS((I3988-EDA!$A$15)/EDA!$B$15)</f>
        <v>0.42201166760410774</v>
      </c>
      <c r="K3988" t="str">
        <f t="shared" si="62"/>
        <v>No</v>
      </c>
      <c r="L3988">
        <f>ABS((C3988-EDA!$F$15)/EDA!$G$15)</f>
        <v>5.6011968237546457</v>
      </c>
      <c r="M3988" t="str">
        <f>IF(moras[[#This Row],[Z-Score Salario]]&gt;1.96, "Sí", "No")</f>
        <v>Sí</v>
      </c>
      <c r="N3988" s="14">
        <f>IF(ISBLANK(moras[[#This Row],[SALARIO]]), EDA!$M$8, moras[[#This Row],[SALARIO]])</f>
        <v>359170508</v>
      </c>
      <c r="O3988" s="14">
        <f xml:space="preserve"> IF(ISBLANK(moras[[#This Row],[EDAD]]), EDA!$E$8, moras[[#This Row],[EDAD]])</f>
        <v>36</v>
      </c>
      <c r="P3988" s="14" t="str">
        <f>IF(
    OR(ISBLANK(moras[[#This Row],[TIPO_ASEGURAMIENTO]]), moras[[#This Row],[TIPO_ASEGURAMIENTO]]=""),
    EDA!$A$32,
    moras[[#This Row],[TIPO_ASEGURAMIENTO]]
)</f>
        <v>ASALARIADO</v>
      </c>
    </row>
    <row r="3989" spans="1:16" x14ac:dyDescent="0.3">
      <c r="A3989">
        <v>3988</v>
      </c>
      <c r="B3989" t="s">
        <v>15</v>
      </c>
      <c r="C3989">
        <v>35824666</v>
      </c>
      <c r="D3989" t="s">
        <v>10</v>
      </c>
      <c r="E3989" t="s">
        <v>16</v>
      </c>
      <c r="F3989" t="s">
        <v>12</v>
      </c>
      <c r="G3989" t="s">
        <v>13</v>
      </c>
      <c r="H3989" t="s">
        <v>13</v>
      </c>
      <c r="I3989">
        <v>28</v>
      </c>
      <c r="J3989">
        <f>ABS((I3989-EDA!$A$15)/EDA!$B$15)</f>
        <v>0.98661430822120777</v>
      </c>
      <c r="K3989" t="str">
        <f t="shared" si="62"/>
        <v>No</v>
      </c>
      <c r="L3989">
        <f>ABS((C3989-EDA!$F$15)/EDA!$G$15)</f>
        <v>0.2204937591008711</v>
      </c>
      <c r="M3989" t="str">
        <f>IF(moras[[#This Row],[Z-Score Salario]]&gt;1.96, "Sí", "No")</f>
        <v>No</v>
      </c>
      <c r="N3989" s="14">
        <f>IF(ISBLANK(moras[[#This Row],[SALARIO]]), EDA!$M$8, moras[[#This Row],[SALARIO]])</f>
        <v>35824666</v>
      </c>
      <c r="O3989" s="14">
        <f xml:space="preserve"> IF(ISBLANK(moras[[#This Row],[EDAD]]), EDA!$E$8, moras[[#This Row],[EDAD]])</f>
        <v>28</v>
      </c>
      <c r="P3989" s="14" t="str">
        <f>IF(
    OR(ISBLANK(moras[[#This Row],[TIPO_ASEGURAMIENTO]]), moras[[#This Row],[TIPO_ASEGURAMIENTO]]=""),
    EDA!$A$32,
    moras[[#This Row],[TIPO_ASEGURAMIENTO]]
)</f>
        <v>ASALARIADO</v>
      </c>
    </row>
    <row r="3990" spans="1:16" x14ac:dyDescent="0.3">
      <c r="A3990">
        <v>3989</v>
      </c>
      <c r="B3990" t="s">
        <v>9</v>
      </c>
      <c r="C3990">
        <v>297163</v>
      </c>
      <c r="D3990" t="s">
        <v>17</v>
      </c>
      <c r="E3990" t="s">
        <v>16</v>
      </c>
      <c r="F3990" t="s">
        <v>12</v>
      </c>
      <c r="G3990" t="s">
        <v>13</v>
      </c>
      <c r="H3990" t="s">
        <v>13</v>
      </c>
      <c r="I3990">
        <v>37</v>
      </c>
      <c r="J3990">
        <f>ABS((I3990-EDA!$A$15)/EDA!$B$15)</f>
        <v>0.35143633752697023</v>
      </c>
      <c r="K3990" t="str">
        <f t="shared" si="62"/>
        <v>No</v>
      </c>
      <c r="L3990">
        <f>ABS((C3990-EDA!$F$15)/EDA!$G$15)</f>
        <v>0.37070897011683185</v>
      </c>
      <c r="M3990" t="str">
        <f>IF(moras[[#This Row],[Z-Score Salario]]&gt;1.96, "Sí", "No")</f>
        <v>No</v>
      </c>
      <c r="N3990" s="14">
        <f>IF(ISBLANK(moras[[#This Row],[SALARIO]]), EDA!$M$8, moras[[#This Row],[SALARIO]])</f>
        <v>297163</v>
      </c>
      <c r="O3990" s="14">
        <f xml:space="preserve"> IF(ISBLANK(moras[[#This Row],[EDAD]]), EDA!$E$8, moras[[#This Row],[EDAD]])</f>
        <v>37</v>
      </c>
      <c r="P3990" s="14" t="str">
        <f>IF(
    OR(ISBLANK(moras[[#This Row],[TIPO_ASEGURAMIENTO]]), moras[[#This Row],[TIPO_ASEGURAMIENTO]]=""),
    EDA!$A$32,
    moras[[#This Row],[TIPO_ASEGURAMIENTO]]
)</f>
        <v>ASEGURADO VOLUNTARIO</v>
      </c>
    </row>
    <row r="3991" spans="1:16" x14ac:dyDescent="0.3">
      <c r="A3991">
        <v>3990</v>
      </c>
      <c r="B3991" t="s">
        <v>9</v>
      </c>
      <c r="C3991">
        <v>360000</v>
      </c>
      <c r="D3991" t="s">
        <v>10</v>
      </c>
      <c r="E3991" t="s">
        <v>16</v>
      </c>
      <c r="F3991" t="s">
        <v>12</v>
      </c>
      <c r="G3991" t="s">
        <v>13</v>
      </c>
      <c r="H3991" t="s">
        <v>13</v>
      </c>
      <c r="I3991">
        <v>54</v>
      </c>
      <c r="J3991">
        <f>ABS((I3991-EDA!$A$15)/EDA!$B$15)</f>
        <v>0.84834427378436728</v>
      </c>
      <c r="K3991" t="str">
        <f t="shared" si="62"/>
        <v>No</v>
      </c>
      <c r="L3991">
        <f>ABS((C3991-EDA!$F$15)/EDA!$G$15)</f>
        <v>0.36966331807942709</v>
      </c>
      <c r="M3991" t="str">
        <f>IF(moras[[#This Row],[Z-Score Salario]]&gt;1.96, "Sí", "No")</f>
        <v>No</v>
      </c>
      <c r="N3991" s="14">
        <f>IF(ISBLANK(moras[[#This Row],[SALARIO]]), EDA!$M$8, moras[[#This Row],[SALARIO]])</f>
        <v>360000</v>
      </c>
      <c r="O3991" s="14">
        <f xml:space="preserve"> IF(ISBLANK(moras[[#This Row],[EDAD]]), EDA!$E$8, moras[[#This Row],[EDAD]])</f>
        <v>54</v>
      </c>
      <c r="P3991" s="14" t="str">
        <f>IF(
    OR(ISBLANK(moras[[#This Row],[TIPO_ASEGURAMIENTO]]), moras[[#This Row],[TIPO_ASEGURAMIENTO]]=""),
    EDA!$A$32,
    moras[[#This Row],[TIPO_ASEGURAMIENTO]]
)</f>
        <v>ASALARIADO</v>
      </c>
    </row>
    <row r="3992" spans="1:16" x14ac:dyDescent="0.3">
      <c r="A3992">
        <v>3991</v>
      </c>
      <c r="B3992" t="s">
        <v>15</v>
      </c>
      <c r="C3992">
        <v>30000</v>
      </c>
      <c r="D3992" t="s">
        <v>10</v>
      </c>
      <c r="E3992" t="s">
        <v>16</v>
      </c>
      <c r="F3992" t="s">
        <v>12</v>
      </c>
      <c r="G3992" t="s">
        <v>12</v>
      </c>
      <c r="H3992" t="s">
        <v>13</v>
      </c>
      <c r="I3992">
        <v>40</v>
      </c>
      <c r="J3992">
        <f>ABS((I3992-EDA!$A$15)/EDA!$B$15)</f>
        <v>0.13971034729555773</v>
      </c>
      <c r="K3992" t="str">
        <f t="shared" si="62"/>
        <v>No</v>
      </c>
      <c r="L3992">
        <f>ABS((C3992-EDA!$F$15)/EDA!$G$15)</f>
        <v>0.3751547510304522</v>
      </c>
      <c r="M3992" t="str">
        <f>IF(moras[[#This Row],[Z-Score Salario]]&gt;1.96, "Sí", "No")</f>
        <v>No</v>
      </c>
      <c r="N3992" s="14">
        <f>IF(ISBLANK(moras[[#This Row],[SALARIO]]), EDA!$M$8, moras[[#This Row],[SALARIO]])</f>
        <v>30000</v>
      </c>
      <c r="O3992" s="14">
        <f xml:space="preserve"> IF(ISBLANK(moras[[#This Row],[EDAD]]), EDA!$E$8, moras[[#This Row],[EDAD]])</f>
        <v>40</v>
      </c>
      <c r="P3992" s="14" t="str">
        <f>IF(
    OR(ISBLANK(moras[[#This Row],[TIPO_ASEGURAMIENTO]]), moras[[#This Row],[TIPO_ASEGURAMIENTO]]=""),
    EDA!$A$32,
    moras[[#This Row],[TIPO_ASEGURAMIENTO]]
)</f>
        <v>ASALARIADO</v>
      </c>
    </row>
    <row r="3993" spans="1:16" x14ac:dyDescent="0.3">
      <c r="A3993">
        <v>3992</v>
      </c>
      <c r="B3993" t="s">
        <v>15</v>
      </c>
      <c r="C3993">
        <v>16485333</v>
      </c>
      <c r="D3993" t="s">
        <v>10</v>
      </c>
      <c r="E3993" t="s">
        <v>16</v>
      </c>
      <c r="F3993" t="s">
        <v>12</v>
      </c>
      <c r="G3993" t="s">
        <v>13</v>
      </c>
      <c r="H3993" t="s">
        <v>13</v>
      </c>
      <c r="I3993">
        <v>25</v>
      </c>
      <c r="J3993">
        <f>ABS((I3993-EDA!$A$15)/EDA!$B$15)</f>
        <v>1.1983402984526204</v>
      </c>
      <c r="K3993" t="str">
        <f t="shared" si="62"/>
        <v>No</v>
      </c>
      <c r="L3993">
        <f>ABS((C3993-EDA!$F$15)/EDA!$G$15)</f>
        <v>0.10132639389017888</v>
      </c>
      <c r="M3993" t="str">
        <f>IF(moras[[#This Row],[Z-Score Salario]]&gt;1.96, "Sí", "No")</f>
        <v>No</v>
      </c>
      <c r="N3993" s="14">
        <f>IF(ISBLANK(moras[[#This Row],[SALARIO]]), EDA!$M$8, moras[[#This Row],[SALARIO]])</f>
        <v>16485333</v>
      </c>
      <c r="O3993" s="14">
        <f xml:space="preserve"> IF(ISBLANK(moras[[#This Row],[EDAD]]), EDA!$E$8, moras[[#This Row],[EDAD]])</f>
        <v>25</v>
      </c>
      <c r="P3993" s="14" t="str">
        <f>IF(
    OR(ISBLANK(moras[[#This Row],[TIPO_ASEGURAMIENTO]]), moras[[#This Row],[TIPO_ASEGURAMIENTO]]=""),
    EDA!$A$32,
    moras[[#This Row],[TIPO_ASEGURAMIENTO]]
)</f>
        <v>ASALARIADO</v>
      </c>
    </row>
    <row r="3994" spans="1:16" x14ac:dyDescent="0.3">
      <c r="A3994">
        <v>3993</v>
      </c>
      <c r="B3994" t="s">
        <v>15</v>
      </c>
      <c r="C3994">
        <v>8673735</v>
      </c>
      <c r="D3994" t="s">
        <v>10</v>
      </c>
      <c r="E3994" t="s">
        <v>11</v>
      </c>
      <c r="F3994" t="s">
        <v>12</v>
      </c>
      <c r="G3994" t="s">
        <v>13</v>
      </c>
      <c r="H3994" t="s">
        <v>13</v>
      </c>
      <c r="I3994">
        <v>32</v>
      </c>
      <c r="J3994">
        <f>ABS((I3994-EDA!$A$15)/EDA!$B$15)</f>
        <v>0.70431298791265773</v>
      </c>
      <c r="K3994" t="str">
        <f t="shared" si="62"/>
        <v>No</v>
      </c>
      <c r="L3994">
        <f>ABS((C3994-EDA!$F$15)/EDA!$G$15)</f>
        <v>0.23131689891248652</v>
      </c>
      <c r="M3994" t="str">
        <f>IF(moras[[#This Row],[Z-Score Salario]]&gt;1.96, "Sí", "No")</f>
        <v>No</v>
      </c>
      <c r="N3994" s="14">
        <f>IF(ISBLANK(moras[[#This Row],[SALARIO]]), EDA!$M$8, moras[[#This Row],[SALARIO]])</f>
        <v>8673735</v>
      </c>
      <c r="O3994" s="14">
        <f xml:space="preserve"> IF(ISBLANK(moras[[#This Row],[EDAD]]), EDA!$E$8, moras[[#This Row],[EDAD]])</f>
        <v>32</v>
      </c>
      <c r="P3994" s="14" t="str">
        <f>IF(
    OR(ISBLANK(moras[[#This Row],[TIPO_ASEGURAMIENTO]]), moras[[#This Row],[TIPO_ASEGURAMIENTO]]=""),
    EDA!$A$32,
    moras[[#This Row],[TIPO_ASEGURAMIENTO]]
)</f>
        <v>ASALARIADO</v>
      </c>
    </row>
    <row r="3995" spans="1:16" x14ac:dyDescent="0.3">
      <c r="A3995">
        <v>3994</v>
      </c>
      <c r="B3995" t="s">
        <v>15</v>
      </c>
      <c r="C3995">
        <v>130169207</v>
      </c>
      <c r="D3995" t="s">
        <v>10</v>
      </c>
      <c r="E3995" t="s">
        <v>16</v>
      </c>
      <c r="F3995" t="s">
        <v>12</v>
      </c>
      <c r="G3995" t="s">
        <v>13</v>
      </c>
      <c r="H3995" t="s">
        <v>13</v>
      </c>
      <c r="I3995">
        <v>40</v>
      </c>
      <c r="J3995">
        <f>ABS((I3995-EDA!$A$15)/EDA!$B$15)</f>
        <v>0.13971034729555773</v>
      </c>
      <c r="K3995" t="str">
        <f t="shared" si="62"/>
        <v>No</v>
      </c>
      <c r="L3995">
        <f>ABS((C3995-EDA!$F$15)/EDA!$G$15)</f>
        <v>1.7904535203031</v>
      </c>
      <c r="M3995" t="str">
        <f>IF(moras[[#This Row],[Z-Score Salario]]&gt;1.96, "Sí", "No")</f>
        <v>No</v>
      </c>
      <c r="N3995" s="14">
        <f>IF(ISBLANK(moras[[#This Row],[SALARIO]]), EDA!$M$8, moras[[#This Row],[SALARIO]])</f>
        <v>130169207</v>
      </c>
      <c r="O3995" s="14">
        <f xml:space="preserve"> IF(ISBLANK(moras[[#This Row],[EDAD]]), EDA!$E$8, moras[[#This Row],[EDAD]])</f>
        <v>40</v>
      </c>
      <c r="P3995" s="14" t="str">
        <f>IF(
    OR(ISBLANK(moras[[#This Row],[TIPO_ASEGURAMIENTO]]), moras[[#This Row],[TIPO_ASEGURAMIENTO]]=""),
    EDA!$A$32,
    moras[[#This Row],[TIPO_ASEGURAMIENTO]]
)</f>
        <v>ASALARIADO</v>
      </c>
    </row>
    <row r="3996" spans="1:16" x14ac:dyDescent="0.3">
      <c r="A3996">
        <v>3995</v>
      </c>
      <c r="B3996" t="s">
        <v>15</v>
      </c>
      <c r="C3996">
        <v>382400</v>
      </c>
      <c r="D3996" t="s">
        <v>10</v>
      </c>
      <c r="E3996" t="s">
        <v>16</v>
      </c>
      <c r="F3996" t="s">
        <v>12</v>
      </c>
      <c r="G3996" t="s">
        <v>13</v>
      </c>
      <c r="H3996" t="s">
        <v>13</v>
      </c>
      <c r="I3996">
        <v>35</v>
      </c>
      <c r="J3996">
        <f>ABS((I3996-EDA!$A$15)/EDA!$B$15)</f>
        <v>0.49258699768124525</v>
      </c>
      <c r="K3996" t="str">
        <f t="shared" si="62"/>
        <v>No</v>
      </c>
      <c r="L3996">
        <f>ABS((C3996-EDA!$F$15)/EDA!$G$15)</f>
        <v>0.36929056626699391</v>
      </c>
      <c r="M3996" t="str">
        <f>IF(moras[[#This Row],[Z-Score Salario]]&gt;1.96, "Sí", "No")</f>
        <v>No</v>
      </c>
      <c r="N3996" s="14">
        <f>IF(ISBLANK(moras[[#This Row],[SALARIO]]), EDA!$M$8, moras[[#This Row],[SALARIO]])</f>
        <v>382400</v>
      </c>
      <c r="O3996" s="14">
        <f xml:space="preserve"> IF(ISBLANK(moras[[#This Row],[EDAD]]), EDA!$E$8, moras[[#This Row],[EDAD]])</f>
        <v>35</v>
      </c>
      <c r="P3996" s="14" t="str">
        <f>IF(
    OR(ISBLANK(moras[[#This Row],[TIPO_ASEGURAMIENTO]]), moras[[#This Row],[TIPO_ASEGURAMIENTO]]=""),
    EDA!$A$32,
    moras[[#This Row],[TIPO_ASEGURAMIENTO]]
)</f>
        <v>ASALARIADO</v>
      </c>
    </row>
    <row r="3997" spans="1:16" x14ac:dyDescent="0.3">
      <c r="A3997">
        <v>3996</v>
      </c>
      <c r="B3997" t="s">
        <v>9</v>
      </c>
      <c r="C3997">
        <v>42368709</v>
      </c>
      <c r="D3997" t="s">
        <v>10</v>
      </c>
      <c r="E3997" t="s">
        <v>16</v>
      </c>
      <c r="F3997" t="s">
        <v>12</v>
      </c>
      <c r="G3997" t="s">
        <v>13</v>
      </c>
      <c r="H3997" t="s">
        <v>13</v>
      </c>
      <c r="I3997">
        <v>52</v>
      </c>
      <c r="J3997">
        <f>ABS((I3997-EDA!$A$15)/EDA!$B$15)</f>
        <v>0.70719361363009237</v>
      </c>
      <c r="K3997" t="str">
        <f t="shared" si="62"/>
        <v>No</v>
      </c>
      <c r="L3997">
        <f>ABS((C3997-EDA!$F$15)/EDA!$G$15)</f>
        <v>0.32939125414064363</v>
      </c>
      <c r="M3997" t="str">
        <f>IF(moras[[#This Row],[Z-Score Salario]]&gt;1.96, "Sí", "No")</f>
        <v>No</v>
      </c>
      <c r="N3997" s="14">
        <f>IF(ISBLANK(moras[[#This Row],[SALARIO]]), EDA!$M$8, moras[[#This Row],[SALARIO]])</f>
        <v>42368709</v>
      </c>
      <c r="O3997" s="14">
        <f xml:space="preserve"> IF(ISBLANK(moras[[#This Row],[EDAD]]), EDA!$E$8, moras[[#This Row],[EDAD]])</f>
        <v>52</v>
      </c>
      <c r="P3997" s="14" t="str">
        <f>IF(
    OR(ISBLANK(moras[[#This Row],[TIPO_ASEGURAMIENTO]]), moras[[#This Row],[TIPO_ASEGURAMIENTO]]=""),
    EDA!$A$32,
    moras[[#This Row],[TIPO_ASEGURAMIENTO]]
)</f>
        <v>ASALARIADO</v>
      </c>
    </row>
    <row r="3998" spans="1:16" x14ac:dyDescent="0.3">
      <c r="A3998">
        <v>3997</v>
      </c>
      <c r="B3998" t="s">
        <v>9</v>
      </c>
      <c r="C3998">
        <v>342028</v>
      </c>
      <c r="D3998" t="s">
        <v>10</v>
      </c>
      <c r="E3998" t="s">
        <v>16</v>
      </c>
      <c r="F3998" t="s">
        <v>12</v>
      </c>
      <c r="G3998" t="s">
        <v>13</v>
      </c>
      <c r="H3998" t="s">
        <v>13</v>
      </c>
      <c r="I3998">
        <v>24</v>
      </c>
      <c r="J3998">
        <f>ABS((I3998-EDA!$A$15)/EDA!$B$15)</f>
        <v>1.2689156285297578</v>
      </c>
      <c r="K3998" t="str">
        <f t="shared" si="62"/>
        <v>No</v>
      </c>
      <c r="L3998">
        <f>ABS((C3998-EDA!$F$15)/EDA!$G$15)</f>
        <v>0.36996238484608113</v>
      </c>
      <c r="M3998" t="str">
        <f>IF(moras[[#This Row],[Z-Score Salario]]&gt;1.96, "Sí", "No")</f>
        <v>No</v>
      </c>
      <c r="N3998" s="14">
        <f>IF(ISBLANK(moras[[#This Row],[SALARIO]]), EDA!$M$8, moras[[#This Row],[SALARIO]])</f>
        <v>342028</v>
      </c>
      <c r="O3998" s="14">
        <f xml:space="preserve"> IF(ISBLANK(moras[[#This Row],[EDAD]]), EDA!$E$8, moras[[#This Row],[EDAD]])</f>
        <v>24</v>
      </c>
      <c r="P3998" s="14" t="str">
        <f>IF(
    OR(ISBLANK(moras[[#This Row],[TIPO_ASEGURAMIENTO]]), moras[[#This Row],[TIPO_ASEGURAMIENTO]]=""),
    EDA!$A$32,
    moras[[#This Row],[TIPO_ASEGURAMIENTO]]
)</f>
        <v>ASALARIADO</v>
      </c>
    </row>
    <row r="3999" spans="1:16" x14ac:dyDescent="0.3">
      <c r="A3999">
        <v>3998</v>
      </c>
      <c r="B3999" t="s">
        <v>9</v>
      </c>
      <c r="C3999">
        <v>300018</v>
      </c>
      <c r="D3999" t="s">
        <v>18</v>
      </c>
      <c r="E3999" t="s">
        <v>16</v>
      </c>
      <c r="F3999" t="s">
        <v>12</v>
      </c>
      <c r="G3999" t="s">
        <v>13</v>
      </c>
      <c r="H3999" t="s">
        <v>12</v>
      </c>
      <c r="I3999">
        <v>46</v>
      </c>
      <c r="J3999">
        <f>ABS((I3999-EDA!$A$15)/EDA!$B$15)</f>
        <v>0.2837416331672673</v>
      </c>
      <c r="K3999" t="str">
        <f t="shared" si="62"/>
        <v>No</v>
      </c>
      <c r="L3999">
        <f>ABS((C3999-EDA!$F$15)/EDA!$G$15)</f>
        <v>0.37066146090145252</v>
      </c>
      <c r="M3999" t="str">
        <f>IF(moras[[#This Row],[Z-Score Salario]]&gt;1.96, "Sí", "No")</f>
        <v>No</v>
      </c>
      <c r="N3999" s="14">
        <f>IF(ISBLANK(moras[[#This Row],[SALARIO]]), EDA!$M$8, moras[[#This Row],[SALARIO]])</f>
        <v>300018</v>
      </c>
      <c r="O3999" s="14">
        <f xml:space="preserve"> IF(ISBLANK(moras[[#This Row],[EDAD]]), EDA!$E$8, moras[[#This Row],[EDAD]])</f>
        <v>46</v>
      </c>
      <c r="P3999" s="14" t="str">
        <f>IF(
    OR(ISBLANK(moras[[#This Row],[TIPO_ASEGURAMIENTO]]), moras[[#This Row],[TIPO_ASEGURAMIENTO]]=""),
    EDA!$A$32,
    moras[[#This Row],[TIPO_ASEGURAMIENTO]]
)</f>
        <v>TRABAJADOR INDEPENDIENTE</v>
      </c>
    </row>
    <row r="4000" spans="1:16" x14ac:dyDescent="0.3">
      <c r="A4000">
        <v>3999</v>
      </c>
      <c r="B4000" t="s">
        <v>15</v>
      </c>
      <c r="C4000">
        <v>9818475</v>
      </c>
      <c r="D4000" t="s">
        <v>10</v>
      </c>
      <c r="E4000" t="s">
        <v>16</v>
      </c>
      <c r="F4000" t="s">
        <v>12</v>
      </c>
      <c r="G4000" t="s">
        <v>13</v>
      </c>
      <c r="H4000" t="s">
        <v>13</v>
      </c>
      <c r="I4000">
        <v>34</v>
      </c>
      <c r="J4000">
        <f>ABS((I4000-EDA!$A$15)/EDA!$B$15)</f>
        <v>0.56316232775838282</v>
      </c>
      <c r="K4000" t="str">
        <f t="shared" si="62"/>
        <v>No</v>
      </c>
      <c r="L4000">
        <f>ABS((C4000-EDA!$F$15)/EDA!$G$15)</f>
        <v>0.21226761722655793</v>
      </c>
      <c r="M4000" t="str">
        <f>IF(moras[[#This Row],[Z-Score Salario]]&gt;1.96, "Sí", "No")</f>
        <v>No</v>
      </c>
      <c r="N4000" s="14">
        <f>IF(ISBLANK(moras[[#This Row],[SALARIO]]), EDA!$M$8, moras[[#This Row],[SALARIO]])</f>
        <v>9818475</v>
      </c>
      <c r="O4000" s="14">
        <f xml:space="preserve"> IF(ISBLANK(moras[[#This Row],[EDAD]]), EDA!$E$8, moras[[#This Row],[EDAD]])</f>
        <v>34</v>
      </c>
      <c r="P4000" s="14" t="str">
        <f>IF(
    OR(ISBLANK(moras[[#This Row],[TIPO_ASEGURAMIENTO]]), moras[[#This Row],[TIPO_ASEGURAMIENTO]]=""),
    EDA!$A$32,
    moras[[#This Row],[TIPO_ASEGURAMIENTO]]
)</f>
        <v>ASALARIADO</v>
      </c>
    </row>
    <row r="4001" spans="1:16" x14ac:dyDescent="0.3">
      <c r="A4001">
        <v>4000</v>
      </c>
      <c r="B4001" t="s">
        <v>15</v>
      </c>
      <c r="C4001">
        <v>60213281</v>
      </c>
      <c r="D4001" t="s">
        <v>10</v>
      </c>
      <c r="E4001" t="s">
        <v>16</v>
      </c>
      <c r="F4001" t="s">
        <v>12</v>
      </c>
      <c r="G4001" t="s">
        <v>13</v>
      </c>
      <c r="H4001" t="s">
        <v>13</v>
      </c>
      <c r="I4001">
        <v>23</v>
      </c>
      <c r="J4001">
        <f>ABS((I4001-EDA!$A$15)/EDA!$B$15)</f>
        <v>1.3394909586068953</v>
      </c>
      <c r="K4001" t="str">
        <f t="shared" si="62"/>
        <v>No</v>
      </c>
      <c r="L4001">
        <f>ABS((C4001-EDA!$F$15)/EDA!$G$15)</f>
        <v>0.62633752892167183</v>
      </c>
      <c r="M4001" t="str">
        <f>IF(moras[[#This Row],[Z-Score Salario]]&gt;1.96, "Sí", "No")</f>
        <v>No</v>
      </c>
      <c r="N4001" s="14">
        <f>IF(ISBLANK(moras[[#This Row],[SALARIO]]), EDA!$M$8, moras[[#This Row],[SALARIO]])</f>
        <v>60213281</v>
      </c>
      <c r="O4001" s="14">
        <f xml:space="preserve"> IF(ISBLANK(moras[[#This Row],[EDAD]]), EDA!$E$8, moras[[#This Row],[EDAD]])</f>
        <v>23</v>
      </c>
      <c r="P4001" s="14" t="str">
        <f>IF(
    OR(ISBLANK(moras[[#This Row],[TIPO_ASEGURAMIENTO]]), moras[[#This Row],[TIPO_ASEGURAMIENTO]]=""),
    EDA!$A$32,
    moras[[#This Row],[TIPO_ASEGURAMIENTO]]
)</f>
        <v>ASALARIADO</v>
      </c>
    </row>
    <row r="4002" spans="1:16" x14ac:dyDescent="0.3">
      <c r="A4002">
        <v>4001</v>
      </c>
      <c r="B4002" t="s">
        <v>9</v>
      </c>
      <c r="C4002">
        <v>35750147</v>
      </c>
      <c r="D4002" t="s">
        <v>10</v>
      </c>
      <c r="E4002" t="s">
        <v>16</v>
      </c>
      <c r="F4002" t="s">
        <v>12</v>
      </c>
      <c r="G4002" t="s">
        <v>12</v>
      </c>
      <c r="H4002" t="s">
        <v>13</v>
      </c>
      <c r="I4002">
        <v>31</v>
      </c>
      <c r="J4002">
        <f>ABS((I4002-EDA!$A$15)/EDA!$B$15)</f>
        <v>0.77488831798979529</v>
      </c>
      <c r="K4002" t="str">
        <f t="shared" si="62"/>
        <v>No</v>
      </c>
      <c r="L4002">
        <f>ABS((C4002-EDA!$F$15)/EDA!$G$15)</f>
        <v>0.21925371033700006</v>
      </c>
      <c r="M4002" t="str">
        <f>IF(moras[[#This Row],[Z-Score Salario]]&gt;1.96, "Sí", "No")</f>
        <v>No</v>
      </c>
      <c r="N4002" s="14">
        <f>IF(ISBLANK(moras[[#This Row],[SALARIO]]), EDA!$M$8, moras[[#This Row],[SALARIO]])</f>
        <v>35750147</v>
      </c>
      <c r="O4002" s="14">
        <f xml:space="preserve"> IF(ISBLANK(moras[[#This Row],[EDAD]]), EDA!$E$8, moras[[#This Row],[EDAD]])</f>
        <v>31</v>
      </c>
      <c r="P4002" s="14" t="str">
        <f>IF(
    OR(ISBLANK(moras[[#This Row],[TIPO_ASEGURAMIENTO]]), moras[[#This Row],[TIPO_ASEGURAMIENTO]]=""),
    EDA!$A$32,
    moras[[#This Row],[TIPO_ASEGURAMIENTO]]
)</f>
        <v>ASALARIADO</v>
      </c>
    </row>
    <row r="4003" spans="1:16" x14ac:dyDescent="0.3">
      <c r="A4003">
        <v>4002</v>
      </c>
      <c r="B4003" t="s">
        <v>9</v>
      </c>
      <c r="C4003">
        <v>278030</v>
      </c>
      <c r="D4003" t="s">
        <v>18</v>
      </c>
      <c r="E4003" t="s">
        <v>16</v>
      </c>
      <c r="F4003" t="s">
        <v>12</v>
      </c>
      <c r="G4003" t="s">
        <v>13</v>
      </c>
      <c r="H4003" t="s">
        <v>13</v>
      </c>
      <c r="I4003">
        <v>30</v>
      </c>
      <c r="J4003">
        <f>ABS((I4003-EDA!$A$15)/EDA!$B$15)</f>
        <v>0.84546364806693275</v>
      </c>
      <c r="K4003" t="str">
        <f t="shared" si="62"/>
        <v>No</v>
      </c>
      <c r="L4003">
        <f>ABS((C4003-EDA!$F$15)/EDA!$G$15)</f>
        <v>0.37102735674304993</v>
      </c>
      <c r="M4003" t="str">
        <f>IF(moras[[#This Row],[Z-Score Salario]]&gt;1.96, "Sí", "No")</f>
        <v>No</v>
      </c>
      <c r="N4003" s="14">
        <f>IF(ISBLANK(moras[[#This Row],[SALARIO]]), EDA!$M$8, moras[[#This Row],[SALARIO]])</f>
        <v>278030</v>
      </c>
      <c r="O4003" s="14">
        <f xml:space="preserve"> IF(ISBLANK(moras[[#This Row],[EDAD]]), EDA!$E$8, moras[[#This Row],[EDAD]])</f>
        <v>30</v>
      </c>
      <c r="P4003" s="14" t="str">
        <f>IF(
    OR(ISBLANK(moras[[#This Row],[TIPO_ASEGURAMIENTO]]), moras[[#This Row],[TIPO_ASEGURAMIENTO]]=""),
    EDA!$A$32,
    moras[[#This Row],[TIPO_ASEGURAMIENTO]]
)</f>
        <v>TRABAJADOR INDEPENDIENTE</v>
      </c>
    </row>
    <row r="4004" spans="1:16" x14ac:dyDescent="0.3">
      <c r="A4004">
        <v>4003</v>
      </c>
      <c r="B4004" t="s">
        <v>9</v>
      </c>
      <c r="C4004">
        <v>3969463</v>
      </c>
      <c r="D4004" t="s">
        <v>10</v>
      </c>
      <c r="E4004" t="s">
        <v>11</v>
      </c>
      <c r="F4004" t="s">
        <v>12</v>
      </c>
      <c r="G4004" t="s">
        <v>13</v>
      </c>
      <c r="H4004" t="s">
        <v>13</v>
      </c>
      <c r="I4004">
        <v>58</v>
      </c>
      <c r="J4004">
        <f>ABS((I4004-EDA!$A$15)/EDA!$B$15)</f>
        <v>1.1306455940929174</v>
      </c>
      <c r="K4004" t="str">
        <f t="shared" si="62"/>
        <v>No</v>
      </c>
      <c r="L4004">
        <f>ABS((C4004-EDA!$F$15)/EDA!$G$15)</f>
        <v>0.30959930579547018</v>
      </c>
      <c r="M4004" t="str">
        <f>IF(moras[[#This Row],[Z-Score Salario]]&gt;1.96, "Sí", "No")</f>
        <v>No</v>
      </c>
      <c r="N4004" s="14">
        <f>IF(ISBLANK(moras[[#This Row],[SALARIO]]), EDA!$M$8, moras[[#This Row],[SALARIO]])</f>
        <v>3969463</v>
      </c>
      <c r="O4004" s="14">
        <f xml:space="preserve"> IF(ISBLANK(moras[[#This Row],[EDAD]]), EDA!$E$8, moras[[#This Row],[EDAD]])</f>
        <v>58</v>
      </c>
      <c r="P4004" s="14" t="str">
        <f>IF(
    OR(ISBLANK(moras[[#This Row],[TIPO_ASEGURAMIENTO]]), moras[[#This Row],[TIPO_ASEGURAMIENTO]]=""),
    EDA!$A$32,
    moras[[#This Row],[TIPO_ASEGURAMIENTO]]
)</f>
        <v>ASALARIADO</v>
      </c>
    </row>
    <row r="4005" spans="1:16" x14ac:dyDescent="0.3">
      <c r="A4005">
        <v>4004</v>
      </c>
      <c r="B4005" t="s">
        <v>15</v>
      </c>
      <c r="C4005">
        <v>55066884</v>
      </c>
      <c r="D4005" t="s">
        <v>10</v>
      </c>
      <c r="E4005" t="s">
        <v>16</v>
      </c>
      <c r="F4005" t="s">
        <v>12</v>
      </c>
      <c r="G4005" t="s">
        <v>13</v>
      </c>
      <c r="H4005" t="s">
        <v>13</v>
      </c>
      <c r="I4005">
        <v>23</v>
      </c>
      <c r="J4005">
        <f>ABS((I4005-EDA!$A$15)/EDA!$B$15)</f>
        <v>1.3394909586068953</v>
      </c>
      <c r="K4005" t="str">
        <f t="shared" si="62"/>
        <v>No</v>
      </c>
      <c r="L4005">
        <f>ABS((C4005-EDA!$F$15)/EDA!$G$15)</f>
        <v>0.540697849937258</v>
      </c>
      <c r="M4005" t="str">
        <f>IF(moras[[#This Row],[Z-Score Salario]]&gt;1.96, "Sí", "No")</f>
        <v>No</v>
      </c>
      <c r="N4005" s="14">
        <f>IF(ISBLANK(moras[[#This Row],[SALARIO]]), EDA!$M$8, moras[[#This Row],[SALARIO]])</f>
        <v>55066884</v>
      </c>
      <c r="O4005" s="14">
        <f xml:space="preserve"> IF(ISBLANK(moras[[#This Row],[EDAD]]), EDA!$E$8, moras[[#This Row],[EDAD]])</f>
        <v>23</v>
      </c>
      <c r="P4005" s="14" t="str">
        <f>IF(
    OR(ISBLANK(moras[[#This Row],[TIPO_ASEGURAMIENTO]]), moras[[#This Row],[TIPO_ASEGURAMIENTO]]=""),
    EDA!$A$32,
    moras[[#This Row],[TIPO_ASEGURAMIENTO]]
)</f>
        <v>ASALARIADO</v>
      </c>
    </row>
    <row r="4006" spans="1:16" x14ac:dyDescent="0.3">
      <c r="A4006">
        <v>4005</v>
      </c>
      <c r="B4006" t="s">
        <v>9</v>
      </c>
      <c r="C4006">
        <v>403983</v>
      </c>
      <c r="D4006" t="s">
        <v>18</v>
      </c>
      <c r="E4006" t="s">
        <v>16</v>
      </c>
      <c r="F4006" t="s">
        <v>12</v>
      </c>
      <c r="G4006" t="s">
        <v>12</v>
      </c>
      <c r="H4006" t="s">
        <v>12</v>
      </c>
      <c r="I4006">
        <v>54</v>
      </c>
      <c r="J4006">
        <f>ABS((I4006-EDA!$A$15)/EDA!$B$15)</f>
        <v>0.84834427378436728</v>
      </c>
      <c r="K4006" t="str">
        <f t="shared" si="62"/>
        <v>No</v>
      </c>
      <c r="L4006">
        <f>ABS((C4006-EDA!$F$15)/EDA!$G$15)</f>
        <v>0.36893140991129098</v>
      </c>
      <c r="M4006" t="str">
        <f>IF(moras[[#This Row],[Z-Score Salario]]&gt;1.96, "Sí", "No")</f>
        <v>No</v>
      </c>
      <c r="N4006" s="14">
        <f>IF(ISBLANK(moras[[#This Row],[SALARIO]]), EDA!$M$8, moras[[#This Row],[SALARIO]])</f>
        <v>403983</v>
      </c>
      <c r="O4006" s="14">
        <f xml:space="preserve"> IF(ISBLANK(moras[[#This Row],[EDAD]]), EDA!$E$8, moras[[#This Row],[EDAD]])</f>
        <v>54</v>
      </c>
      <c r="P4006" s="14" t="str">
        <f>IF(
    OR(ISBLANK(moras[[#This Row],[TIPO_ASEGURAMIENTO]]), moras[[#This Row],[TIPO_ASEGURAMIENTO]]=""),
    EDA!$A$32,
    moras[[#This Row],[TIPO_ASEGURAMIENTO]]
)</f>
        <v>TRABAJADOR INDEPENDIENTE</v>
      </c>
    </row>
    <row r="4007" spans="1:16" x14ac:dyDescent="0.3">
      <c r="A4007">
        <v>4006</v>
      </c>
      <c r="B4007" t="s">
        <v>9</v>
      </c>
      <c r="C4007">
        <v>35980991</v>
      </c>
      <c r="D4007" t="s">
        <v>10</v>
      </c>
      <c r="E4007" t="s">
        <v>16</v>
      </c>
      <c r="F4007" t="s">
        <v>12</v>
      </c>
      <c r="G4007" t="s">
        <v>13</v>
      </c>
      <c r="H4007" t="s">
        <v>13</v>
      </c>
      <c r="I4007">
        <v>24</v>
      </c>
      <c r="J4007">
        <f>ABS((I4007-EDA!$A$15)/EDA!$B$15)</f>
        <v>1.2689156285297578</v>
      </c>
      <c r="K4007" t="str">
        <f t="shared" si="62"/>
        <v>No</v>
      </c>
      <c r="L4007">
        <f>ABS((C4007-EDA!$F$15)/EDA!$G$15)</f>
        <v>0.2230951174525953</v>
      </c>
      <c r="M4007" t="str">
        <f>IF(moras[[#This Row],[Z-Score Salario]]&gt;1.96, "Sí", "No")</f>
        <v>No</v>
      </c>
      <c r="N4007" s="14">
        <f>IF(ISBLANK(moras[[#This Row],[SALARIO]]), EDA!$M$8, moras[[#This Row],[SALARIO]])</f>
        <v>35980991</v>
      </c>
      <c r="O4007" s="14">
        <f xml:space="preserve"> IF(ISBLANK(moras[[#This Row],[EDAD]]), EDA!$E$8, moras[[#This Row],[EDAD]])</f>
        <v>24</v>
      </c>
      <c r="P4007" s="14" t="str">
        <f>IF(
    OR(ISBLANK(moras[[#This Row],[TIPO_ASEGURAMIENTO]]), moras[[#This Row],[TIPO_ASEGURAMIENTO]]=""),
    EDA!$A$32,
    moras[[#This Row],[TIPO_ASEGURAMIENTO]]
)</f>
        <v>ASALARIADO</v>
      </c>
    </row>
    <row r="4008" spans="1:16" x14ac:dyDescent="0.3">
      <c r="A4008">
        <v>4007</v>
      </c>
      <c r="B4008" t="s">
        <v>15</v>
      </c>
      <c r="C4008">
        <v>297045</v>
      </c>
      <c r="D4008" t="s">
        <v>17</v>
      </c>
      <c r="E4008" t="s">
        <v>16</v>
      </c>
      <c r="F4008" t="s">
        <v>12</v>
      </c>
      <c r="G4008" t="s">
        <v>12</v>
      </c>
      <c r="H4008" t="s">
        <v>12</v>
      </c>
      <c r="I4008">
        <v>58</v>
      </c>
      <c r="J4008">
        <f>ABS((I4008-EDA!$A$15)/EDA!$B$15)</f>
        <v>1.1306455940929174</v>
      </c>
      <c r="K4008" t="str">
        <f t="shared" si="62"/>
        <v>No</v>
      </c>
      <c r="L4008">
        <f>ABS((C4008-EDA!$F$15)/EDA!$G$15)</f>
        <v>0.37071093372012948</v>
      </c>
      <c r="M4008" t="str">
        <f>IF(moras[[#This Row],[Z-Score Salario]]&gt;1.96, "Sí", "No")</f>
        <v>No</v>
      </c>
      <c r="N4008" s="14">
        <f>IF(ISBLANK(moras[[#This Row],[SALARIO]]), EDA!$M$8, moras[[#This Row],[SALARIO]])</f>
        <v>297045</v>
      </c>
      <c r="O4008" s="14">
        <f xml:space="preserve"> IF(ISBLANK(moras[[#This Row],[EDAD]]), EDA!$E$8, moras[[#This Row],[EDAD]])</f>
        <v>58</v>
      </c>
      <c r="P4008" s="14" t="str">
        <f>IF(
    OR(ISBLANK(moras[[#This Row],[TIPO_ASEGURAMIENTO]]), moras[[#This Row],[TIPO_ASEGURAMIENTO]]=""),
    EDA!$A$32,
    moras[[#This Row],[TIPO_ASEGURAMIENTO]]
)</f>
        <v>ASEGURADO VOLUNTARIO</v>
      </c>
    </row>
    <row r="4009" spans="1:16" x14ac:dyDescent="0.3">
      <c r="A4009">
        <v>4008</v>
      </c>
      <c r="B4009" t="s">
        <v>15</v>
      </c>
      <c r="C4009">
        <v>300018</v>
      </c>
      <c r="D4009" t="s">
        <v>17</v>
      </c>
      <c r="E4009" t="s">
        <v>16</v>
      </c>
      <c r="F4009" t="s">
        <v>12</v>
      </c>
      <c r="G4009" t="s">
        <v>13</v>
      </c>
      <c r="H4009" t="s">
        <v>13</v>
      </c>
      <c r="I4009">
        <v>58</v>
      </c>
      <c r="J4009">
        <f>ABS((I4009-EDA!$A$15)/EDA!$B$15)</f>
        <v>1.1306455940929174</v>
      </c>
      <c r="K4009" t="str">
        <f t="shared" si="62"/>
        <v>No</v>
      </c>
      <c r="L4009">
        <f>ABS((C4009-EDA!$F$15)/EDA!$G$15)</f>
        <v>0.37066146090145252</v>
      </c>
      <c r="M4009" t="str">
        <f>IF(moras[[#This Row],[Z-Score Salario]]&gt;1.96, "Sí", "No")</f>
        <v>No</v>
      </c>
      <c r="N4009" s="14">
        <f>IF(ISBLANK(moras[[#This Row],[SALARIO]]), EDA!$M$8, moras[[#This Row],[SALARIO]])</f>
        <v>300018</v>
      </c>
      <c r="O4009" s="14">
        <f xml:space="preserve"> IF(ISBLANK(moras[[#This Row],[EDAD]]), EDA!$E$8, moras[[#This Row],[EDAD]])</f>
        <v>58</v>
      </c>
      <c r="P4009" s="14" t="str">
        <f>IF(
    OR(ISBLANK(moras[[#This Row],[TIPO_ASEGURAMIENTO]]), moras[[#This Row],[TIPO_ASEGURAMIENTO]]=""),
    EDA!$A$32,
    moras[[#This Row],[TIPO_ASEGURAMIENTO]]
)</f>
        <v>ASEGURADO VOLUNTARIO</v>
      </c>
    </row>
    <row r="4010" spans="1:16" x14ac:dyDescent="0.3">
      <c r="A4010">
        <v>4009</v>
      </c>
      <c r="B4010" t="s">
        <v>9</v>
      </c>
      <c r="C4010">
        <v>2005186</v>
      </c>
      <c r="D4010" t="s">
        <v>14</v>
      </c>
      <c r="E4010" t="s">
        <v>11</v>
      </c>
      <c r="F4010" t="s">
        <v>12</v>
      </c>
      <c r="G4010" t="s">
        <v>13</v>
      </c>
      <c r="H4010" t="s">
        <v>13</v>
      </c>
      <c r="I4010">
        <v>40</v>
      </c>
      <c r="J4010">
        <f>ABS((I4010-EDA!$A$15)/EDA!$B$15)</f>
        <v>0.13971034729555773</v>
      </c>
      <c r="K4010" t="str">
        <f t="shared" si="62"/>
        <v>No</v>
      </c>
      <c r="L4010">
        <f>ABS((C4010-EDA!$F$15)/EDA!$G$15)</f>
        <v>0.3422862616825631</v>
      </c>
      <c r="M4010" t="str">
        <f>IF(moras[[#This Row],[Z-Score Salario]]&gt;1.96, "Sí", "No")</f>
        <v>No</v>
      </c>
      <c r="N4010" s="14">
        <f>IF(ISBLANK(moras[[#This Row],[SALARIO]]), EDA!$M$8, moras[[#This Row],[SALARIO]])</f>
        <v>2005186</v>
      </c>
      <c r="O4010" s="14">
        <f xml:space="preserve"> IF(ISBLANK(moras[[#This Row],[EDAD]]), EDA!$E$8, moras[[#This Row],[EDAD]])</f>
        <v>40</v>
      </c>
      <c r="P4010" s="14" t="str">
        <f>IF(
    OR(ISBLANK(moras[[#This Row],[TIPO_ASEGURAMIENTO]]), moras[[#This Row],[TIPO_ASEGURAMIENTO]]=""),
    EDA!$A$32,
    moras[[#This Row],[TIPO_ASEGURAMIENTO]]
)</f>
        <v>PENSIONADOS EN SU PROPIO SISTEMA</v>
      </c>
    </row>
    <row r="4011" spans="1:16" x14ac:dyDescent="0.3">
      <c r="A4011">
        <v>4010</v>
      </c>
      <c r="B4011" t="s">
        <v>15</v>
      </c>
      <c r="C4011">
        <v>169000694</v>
      </c>
      <c r="D4011" t="s">
        <v>10</v>
      </c>
      <c r="E4011" t="s">
        <v>16</v>
      </c>
      <c r="F4011" t="s">
        <v>12</v>
      </c>
      <c r="G4011" t="s">
        <v>13</v>
      </c>
      <c r="H4011" t="s">
        <v>13</v>
      </c>
      <c r="I4011">
        <v>45</v>
      </c>
      <c r="J4011">
        <f>ABS((I4011-EDA!$A$15)/EDA!$B$15)</f>
        <v>0.21316630309012977</v>
      </c>
      <c r="K4011" t="str">
        <f t="shared" si="62"/>
        <v>No</v>
      </c>
      <c r="L4011">
        <f>ABS((C4011-EDA!$F$15)/EDA!$G$15)</f>
        <v>2.4366368756034076</v>
      </c>
      <c r="M4011" t="str">
        <f>IF(moras[[#This Row],[Z-Score Salario]]&gt;1.96, "Sí", "No")</f>
        <v>Sí</v>
      </c>
      <c r="N4011" s="14">
        <f>IF(ISBLANK(moras[[#This Row],[SALARIO]]), EDA!$M$8, moras[[#This Row],[SALARIO]])</f>
        <v>169000694</v>
      </c>
      <c r="O4011" s="14">
        <f xml:space="preserve"> IF(ISBLANK(moras[[#This Row],[EDAD]]), EDA!$E$8, moras[[#This Row],[EDAD]])</f>
        <v>45</v>
      </c>
      <c r="P4011" s="14" t="str">
        <f>IF(
    OR(ISBLANK(moras[[#This Row],[TIPO_ASEGURAMIENTO]]), moras[[#This Row],[TIPO_ASEGURAMIENTO]]=""),
    EDA!$A$32,
    moras[[#This Row],[TIPO_ASEGURAMIENTO]]
)</f>
        <v>ASALARIADO</v>
      </c>
    </row>
    <row r="4012" spans="1:16" x14ac:dyDescent="0.3">
      <c r="A4012">
        <v>4011</v>
      </c>
      <c r="B4012" t="s">
        <v>9</v>
      </c>
      <c r="C4012">
        <v>297046</v>
      </c>
      <c r="D4012" t="s">
        <v>17</v>
      </c>
      <c r="E4012" t="s">
        <v>16</v>
      </c>
      <c r="F4012" t="s">
        <v>12</v>
      </c>
      <c r="G4012" t="s">
        <v>13</v>
      </c>
      <c r="H4012" t="s">
        <v>13</v>
      </c>
      <c r="I4012">
        <v>35</v>
      </c>
      <c r="J4012">
        <f>ABS((I4012-EDA!$A$15)/EDA!$B$15)</f>
        <v>0.49258699768124525</v>
      </c>
      <c r="K4012" t="str">
        <f t="shared" si="62"/>
        <v>No</v>
      </c>
      <c r="L4012">
        <f>ABS((C4012-EDA!$F$15)/EDA!$G$15)</f>
        <v>0.37071091707942361</v>
      </c>
      <c r="M4012" t="str">
        <f>IF(moras[[#This Row],[Z-Score Salario]]&gt;1.96, "Sí", "No")</f>
        <v>No</v>
      </c>
      <c r="N4012" s="14">
        <f>IF(ISBLANK(moras[[#This Row],[SALARIO]]), EDA!$M$8, moras[[#This Row],[SALARIO]])</f>
        <v>297046</v>
      </c>
      <c r="O4012" s="14">
        <f xml:space="preserve"> IF(ISBLANK(moras[[#This Row],[EDAD]]), EDA!$E$8, moras[[#This Row],[EDAD]])</f>
        <v>35</v>
      </c>
      <c r="P4012" s="14" t="str">
        <f>IF(
    OR(ISBLANK(moras[[#This Row],[TIPO_ASEGURAMIENTO]]), moras[[#This Row],[TIPO_ASEGURAMIENTO]]=""),
    EDA!$A$32,
    moras[[#This Row],[TIPO_ASEGURAMIENTO]]
)</f>
        <v>ASEGURADO VOLUNTARIO</v>
      </c>
    </row>
    <row r="4013" spans="1:16" x14ac:dyDescent="0.3">
      <c r="A4013">
        <v>4012</v>
      </c>
      <c r="B4013" t="s">
        <v>15</v>
      </c>
      <c r="C4013">
        <v>1739958</v>
      </c>
      <c r="D4013" t="s">
        <v>10</v>
      </c>
      <c r="E4013" t="s">
        <v>11</v>
      </c>
      <c r="F4013" t="s">
        <v>12</v>
      </c>
      <c r="G4013" t="s">
        <v>13</v>
      </c>
      <c r="H4013" t="s">
        <v>13</v>
      </c>
      <c r="I4013">
        <v>43</v>
      </c>
      <c r="J4013">
        <f>ABS((I4013-EDA!$A$15)/EDA!$B$15)</f>
        <v>7.2015642935854773E-2</v>
      </c>
      <c r="K4013" t="str">
        <f t="shared" si="62"/>
        <v>No</v>
      </c>
      <c r="L4013">
        <f>ABS((C4013-EDA!$F$15)/EDA!$G$15)</f>
        <v>0.34669984283024335</v>
      </c>
      <c r="M4013" t="str">
        <f>IF(moras[[#This Row],[Z-Score Salario]]&gt;1.96, "Sí", "No")</f>
        <v>No</v>
      </c>
      <c r="N4013" s="14">
        <f>IF(ISBLANK(moras[[#This Row],[SALARIO]]), EDA!$M$8, moras[[#This Row],[SALARIO]])</f>
        <v>1739958</v>
      </c>
      <c r="O4013" s="14">
        <f xml:space="preserve"> IF(ISBLANK(moras[[#This Row],[EDAD]]), EDA!$E$8, moras[[#This Row],[EDAD]])</f>
        <v>43</v>
      </c>
      <c r="P4013" s="14" t="str">
        <f>IF(
    OR(ISBLANK(moras[[#This Row],[TIPO_ASEGURAMIENTO]]), moras[[#This Row],[TIPO_ASEGURAMIENTO]]=""),
    EDA!$A$32,
    moras[[#This Row],[TIPO_ASEGURAMIENTO]]
)</f>
        <v>ASALARIADO</v>
      </c>
    </row>
    <row r="4014" spans="1:16" x14ac:dyDescent="0.3">
      <c r="A4014">
        <v>4013</v>
      </c>
      <c r="B4014" t="s">
        <v>9</v>
      </c>
      <c r="C4014">
        <v>42035927</v>
      </c>
      <c r="D4014" t="s">
        <v>10</v>
      </c>
      <c r="E4014" t="s">
        <v>16</v>
      </c>
      <c r="F4014" t="s">
        <v>12</v>
      </c>
      <c r="G4014" t="s">
        <v>13</v>
      </c>
      <c r="H4014" t="s">
        <v>13</v>
      </c>
      <c r="I4014">
        <v>48</v>
      </c>
      <c r="J4014">
        <f>ABS((I4014-EDA!$A$15)/EDA!$B$15)</f>
        <v>0.42489229332154227</v>
      </c>
      <c r="K4014" t="str">
        <f t="shared" si="62"/>
        <v>No</v>
      </c>
      <c r="L4014">
        <f>ABS((C4014-EDA!$F$15)/EDA!$G$15)</f>
        <v>0.32385352674577084</v>
      </c>
      <c r="M4014" t="str">
        <f>IF(moras[[#This Row],[Z-Score Salario]]&gt;1.96, "Sí", "No")</f>
        <v>No</v>
      </c>
      <c r="N4014" s="14">
        <f>IF(ISBLANK(moras[[#This Row],[SALARIO]]), EDA!$M$8, moras[[#This Row],[SALARIO]])</f>
        <v>42035927</v>
      </c>
      <c r="O4014" s="14">
        <f xml:space="preserve"> IF(ISBLANK(moras[[#This Row],[EDAD]]), EDA!$E$8, moras[[#This Row],[EDAD]])</f>
        <v>48</v>
      </c>
      <c r="P4014" s="14" t="str">
        <f>IF(
    OR(ISBLANK(moras[[#This Row],[TIPO_ASEGURAMIENTO]]), moras[[#This Row],[TIPO_ASEGURAMIENTO]]=""),
    EDA!$A$32,
    moras[[#This Row],[TIPO_ASEGURAMIENTO]]
)</f>
        <v>ASALARIADO</v>
      </c>
    </row>
    <row r="4015" spans="1:16" x14ac:dyDescent="0.3">
      <c r="A4015">
        <v>4014</v>
      </c>
      <c r="B4015" t="s">
        <v>9</v>
      </c>
      <c r="C4015">
        <v>841178</v>
      </c>
      <c r="D4015" t="s">
        <v>10</v>
      </c>
      <c r="E4015" t="s">
        <v>11</v>
      </c>
      <c r="F4015" t="s">
        <v>12</v>
      </c>
      <c r="G4015" t="s">
        <v>13</v>
      </c>
      <c r="H4015" t="s">
        <v>13</v>
      </c>
      <c r="I4015">
        <v>46</v>
      </c>
      <c r="J4015">
        <f>ABS((I4015-EDA!$A$15)/EDA!$B$15)</f>
        <v>0.2837416331672673</v>
      </c>
      <c r="K4015" t="str">
        <f t="shared" si="62"/>
        <v>No</v>
      </c>
      <c r="L4015">
        <f>ABS((C4015-EDA!$F$15)/EDA!$G$15)</f>
        <v>0.36165617649000792</v>
      </c>
      <c r="M4015" t="str">
        <f>IF(moras[[#This Row],[Z-Score Salario]]&gt;1.96, "Sí", "No")</f>
        <v>No</v>
      </c>
      <c r="N4015" s="14">
        <f>IF(ISBLANK(moras[[#This Row],[SALARIO]]), EDA!$M$8, moras[[#This Row],[SALARIO]])</f>
        <v>841178</v>
      </c>
      <c r="O4015" s="14">
        <f xml:space="preserve"> IF(ISBLANK(moras[[#This Row],[EDAD]]), EDA!$E$8, moras[[#This Row],[EDAD]])</f>
        <v>46</v>
      </c>
      <c r="P4015" s="14" t="str">
        <f>IF(
    OR(ISBLANK(moras[[#This Row],[TIPO_ASEGURAMIENTO]]), moras[[#This Row],[TIPO_ASEGURAMIENTO]]=""),
    EDA!$A$32,
    moras[[#This Row],[TIPO_ASEGURAMIENTO]]
)</f>
        <v>ASALARIADO</v>
      </c>
    </row>
    <row r="4016" spans="1:16" x14ac:dyDescent="0.3">
      <c r="A4016">
        <v>4015</v>
      </c>
      <c r="B4016" t="s">
        <v>9</v>
      </c>
      <c r="C4016">
        <v>1778646</v>
      </c>
      <c r="D4016" t="s">
        <v>10</v>
      </c>
      <c r="E4016" t="s">
        <v>16</v>
      </c>
      <c r="F4016" t="s">
        <v>12</v>
      </c>
      <c r="G4016" t="s">
        <v>13</v>
      </c>
      <c r="H4016" t="s">
        <v>13</v>
      </c>
      <c r="I4016">
        <v>33</v>
      </c>
      <c r="J4016">
        <f>ABS((I4016-EDA!$A$15)/EDA!$B$15)</f>
        <v>0.63373765783552027</v>
      </c>
      <c r="K4016" t="str">
        <f t="shared" si="62"/>
        <v>No</v>
      </c>
      <c r="L4016">
        <f>ABS((C4016-EDA!$F$15)/EDA!$G$15)</f>
        <v>0.34605604719991223</v>
      </c>
      <c r="M4016" t="str">
        <f>IF(moras[[#This Row],[Z-Score Salario]]&gt;1.96, "Sí", "No")</f>
        <v>No</v>
      </c>
      <c r="N4016" s="14">
        <f>IF(ISBLANK(moras[[#This Row],[SALARIO]]), EDA!$M$8, moras[[#This Row],[SALARIO]])</f>
        <v>1778646</v>
      </c>
      <c r="O4016" s="14">
        <f xml:space="preserve"> IF(ISBLANK(moras[[#This Row],[EDAD]]), EDA!$E$8, moras[[#This Row],[EDAD]])</f>
        <v>33</v>
      </c>
      <c r="P4016" s="14" t="str">
        <f>IF(
    OR(ISBLANK(moras[[#This Row],[TIPO_ASEGURAMIENTO]]), moras[[#This Row],[TIPO_ASEGURAMIENTO]]=""),
    EDA!$A$32,
    moras[[#This Row],[TIPO_ASEGURAMIENTO]]
)</f>
        <v>ASALARIADO</v>
      </c>
    </row>
    <row r="4017" spans="1:16" x14ac:dyDescent="0.3">
      <c r="A4017">
        <v>4016</v>
      </c>
      <c r="B4017" t="s">
        <v>15</v>
      </c>
      <c r="C4017">
        <v>979284</v>
      </c>
      <c r="D4017" t="s">
        <v>14</v>
      </c>
      <c r="E4017" t="s">
        <v>11</v>
      </c>
      <c r="F4017" t="s">
        <v>12</v>
      </c>
      <c r="G4017" t="s">
        <v>13</v>
      </c>
      <c r="H4017" t="s">
        <v>13</v>
      </c>
      <c r="I4017">
        <v>63</v>
      </c>
      <c r="J4017">
        <f>ABS((I4017-EDA!$A$15)/EDA!$B$15)</f>
        <v>1.4835222444786049</v>
      </c>
      <c r="K4017" t="str">
        <f t="shared" si="62"/>
        <v>No</v>
      </c>
      <c r="L4017">
        <f>ABS((C4017-EDA!$F$15)/EDA!$G$15)</f>
        <v>0.359357995159298</v>
      </c>
      <c r="M4017" t="str">
        <f>IF(moras[[#This Row],[Z-Score Salario]]&gt;1.96, "Sí", "No")</f>
        <v>No</v>
      </c>
      <c r="N4017" s="14">
        <f>IF(ISBLANK(moras[[#This Row],[SALARIO]]), EDA!$M$8, moras[[#This Row],[SALARIO]])</f>
        <v>979284</v>
      </c>
      <c r="O4017" s="14">
        <f xml:space="preserve"> IF(ISBLANK(moras[[#This Row],[EDAD]]), EDA!$E$8, moras[[#This Row],[EDAD]])</f>
        <v>63</v>
      </c>
      <c r="P4017" s="14" t="str">
        <f>IF(
    OR(ISBLANK(moras[[#This Row],[TIPO_ASEGURAMIENTO]]), moras[[#This Row],[TIPO_ASEGURAMIENTO]]=""),
    EDA!$A$32,
    moras[[#This Row],[TIPO_ASEGURAMIENTO]]
)</f>
        <v>PENSIONADOS EN SU PROPIO SISTEMA</v>
      </c>
    </row>
    <row r="4018" spans="1:16" x14ac:dyDescent="0.3">
      <c r="A4018">
        <v>4017</v>
      </c>
      <c r="B4018" t="s">
        <v>15</v>
      </c>
      <c r="C4018">
        <v>206000</v>
      </c>
      <c r="D4018" t="s">
        <v>10</v>
      </c>
      <c r="E4018" t="s">
        <v>16</v>
      </c>
      <c r="F4018" t="s">
        <v>12</v>
      </c>
      <c r="G4018" t="s">
        <v>12</v>
      </c>
      <c r="H4018" t="s">
        <v>13</v>
      </c>
      <c r="I4018">
        <v>34</v>
      </c>
      <c r="J4018">
        <f>ABS((I4018-EDA!$A$15)/EDA!$B$15)</f>
        <v>0.56316232775838282</v>
      </c>
      <c r="K4018" t="str">
        <f t="shared" si="62"/>
        <v>No</v>
      </c>
      <c r="L4018">
        <f>ABS((C4018-EDA!$F$15)/EDA!$G$15)</f>
        <v>0.37222598678990548</v>
      </c>
      <c r="M4018" t="str">
        <f>IF(moras[[#This Row],[Z-Score Salario]]&gt;1.96, "Sí", "No")</f>
        <v>No</v>
      </c>
      <c r="N4018" s="14">
        <f>IF(ISBLANK(moras[[#This Row],[SALARIO]]), EDA!$M$8, moras[[#This Row],[SALARIO]])</f>
        <v>206000</v>
      </c>
      <c r="O4018" s="14">
        <f xml:space="preserve"> IF(ISBLANK(moras[[#This Row],[EDAD]]), EDA!$E$8, moras[[#This Row],[EDAD]])</f>
        <v>34</v>
      </c>
      <c r="P4018" s="14" t="str">
        <f>IF(
    OR(ISBLANK(moras[[#This Row],[TIPO_ASEGURAMIENTO]]), moras[[#This Row],[TIPO_ASEGURAMIENTO]]=""),
    EDA!$A$32,
    moras[[#This Row],[TIPO_ASEGURAMIENTO]]
)</f>
        <v>ASALARIADO</v>
      </c>
    </row>
    <row r="4019" spans="1:16" x14ac:dyDescent="0.3">
      <c r="A4019">
        <v>4018</v>
      </c>
      <c r="B4019" t="s">
        <v>9</v>
      </c>
      <c r="C4019">
        <v>10925963</v>
      </c>
      <c r="D4019" t="s">
        <v>10</v>
      </c>
      <c r="E4019" t="s">
        <v>16</v>
      </c>
      <c r="F4019" t="s">
        <v>12</v>
      </c>
      <c r="G4019" t="s">
        <v>13</v>
      </c>
      <c r="H4019" t="s">
        <v>12</v>
      </c>
      <c r="I4019">
        <v>23</v>
      </c>
      <c r="J4019">
        <f>ABS((I4019-EDA!$A$15)/EDA!$B$15)</f>
        <v>1.3394909586068953</v>
      </c>
      <c r="K4019" t="str">
        <f t="shared" si="62"/>
        <v>No</v>
      </c>
      <c r="L4019">
        <f>ABS((C4019-EDA!$F$15)/EDA!$G$15)</f>
        <v>0.1938382351172705</v>
      </c>
      <c r="M4019" t="str">
        <f>IF(moras[[#This Row],[Z-Score Salario]]&gt;1.96, "Sí", "No")</f>
        <v>No</v>
      </c>
      <c r="N4019" s="14">
        <f>IF(ISBLANK(moras[[#This Row],[SALARIO]]), EDA!$M$8, moras[[#This Row],[SALARIO]])</f>
        <v>10925963</v>
      </c>
      <c r="O4019" s="14">
        <f xml:space="preserve"> IF(ISBLANK(moras[[#This Row],[EDAD]]), EDA!$E$8, moras[[#This Row],[EDAD]])</f>
        <v>23</v>
      </c>
      <c r="P4019" s="14" t="str">
        <f>IF(
    OR(ISBLANK(moras[[#This Row],[TIPO_ASEGURAMIENTO]]), moras[[#This Row],[TIPO_ASEGURAMIENTO]]=""),
    EDA!$A$32,
    moras[[#This Row],[TIPO_ASEGURAMIENTO]]
)</f>
        <v>ASALARIADO</v>
      </c>
    </row>
    <row r="4020" spans="1:16" x14ac:dyDescent="0.3">
      <c r="A4020">
        <v>4019</v>
      </c>
      <c r="B4020" t="s">
        <v>9</v>
      </c>
      <c r="C4020">
        <v>378297</v>
      </c>
      <c r="D4020" t="s">
        <v>14</v>
      </c>
      <c r="E4020" t="s">
        <v>11</v>
      </c>
      <c r="F4020" t="s">
        <v>12</v>
      </c>
      <c r="G4020" t="s">
        <v>13</v>
      </c>
      <c r="H4020" t="s">
        <v>13</v>
      </c>
      <c r="I4020">
        <v>71</v>
      </c>
      <c r="J4020">
        <f>ABS((I4020-EDA!$A$15)/EDA!$B$15)</f>
        <v>2.0481248850957048</v>
      </c>
      <c r="K4020" t="str">
        <f t="shared" si="62"/>
        <v>Sí</v>
      </c>
      <c r="L4020">
        <f>ABS((C4020-EDA!$F$15)/EDA!$G$15)</f>
        <v>0.36935884308335165</v>
      </c>
      <c r="M4020" t="str">
        <f>IF(moras[[#This Row],[Z-Score Salario]]&gt;1.96, "Sí", "No")</f>
        <v>No</v>
      </c>
      <c r="N4020" s="14">
        <f>IF(ISBLANK(moras[[#This Row],[SALARIO]]), EDA!$M$8, moras[[#This Row],[SALARIO]])</f>
        <v>378297</v>
      </c>
      <c r="O4020" s="14">
        <f xml:space="preserve"> IF(ISBLANK(moras[[#This Row],[EDAD]]), EDA!$E$8, moras[[#This Row],[EDAD]])</f>
        <v>71</v>
      </c>
      <c r="P4020" s="14" t="str">
        <f>IF(
    OR(ISBLANK(moras[[#This Row],[TIPO_ASEGURAMIENTO]]), moras[[#This Row],[TIPO_ASEGURAMIENTO]]=""),
    EDA!$A$32,
    moras[[#This Row],[TIPO_ASEGURAMIENTO]]
)</f>
        <v>PENSIONADOS EN SU PROPIO SISTEMA</v>
      </c>
    </row>
    <row r="4021" spans="1:16" x14ac:dyDescent="0.3">
      <c r="A4021">
        <v>4020</v>
      </c>
      <c r="B4021" t="s">
        <v>9</v>
      </c>
      <c r="C4021">
        <v>3364452</v>
      </c>
      <c r="D4021" t="s">
        <v>10</v>
      </c>
      <c r="E4021" t="s">
        <v>16</v>
      </c>
      <c r="F4021" t="s">
        <v>12</v>
      </c>
      <c r="G4021" t="s">
        <v>13</v>
      </c>
      <c r="H4021" t="s">
        <v>12</v>
      </c>
      <c r="I4021">
        <v>31</v>
      </c>
      <c r="J4021">
        <f>ABS((I4021-EDA!$A$15)/EDA!$B$15)</f>
        <v>0.77488831798979529</v>
      </c>
      <c r="K4021" t="str">
        <f t="shared" si="62"/>
        <v>No</v>
      </c>
      <c r="L4021">
        <f>ABS((C4021-EDA!$F$15)/EDA!$G$15)</f>
        <v>0.31966711592011449</v>
      </c>
      <c r="M4021" t="str">
        <f>IF(moras[[#This Row],[Z-Score Salario]]&gt;1.96, "Sí", "No")</f>
        <v>No</v>
      </c>
      <c r="N4021" s="14">
        <f>IF(ISBLANK(moras[[#This Row],[SALARIO]]), EDA!$M$8, moras[[#This Row],[SALARIO]])</f>
        <v>3364452</v>
      </c>
      <c r="O4021" s="14">
        <f xml:space="preserve"> IF(ISBLANK(moras[[#This Row],[EDAD]]), EDA!$E$8, moras[[#This Row],[EDAD]])</f>
        <v>31</v>
      </c>
      <c r="P4021" s="14" t="str">
        <f>IF(
    OR(ISBLANK(moras[[#This Row],[TIPO_ASEGURAMIENTO]]), moras[[#This Row],[TIPO_ASEGURAMIENTO]]=""),
    EDA!$A$32,
    moras[[#This Row],[TIPO_ASEGURAMIENTO]]
)</f>
        <v>ASALARIADO</v>
      </c>
    </row>
    <row r="4022" spans="1:16" x14ac:dyDescent="0.3">
      <c r="A4022">
        <v>4021</v>
      </c>
      <c r="B4022" t="s">
        <v>9</v>
      </c>
      <c r="C4022">
        <v>278030</v>
      </c>
      <c r="D4022" t="s">
        <v>19</v>
      </c>
      <c r="E4022" t="s">
        <v>16</v>
      </c>
      <c r="F4022" t="s">
        <v>12</v>
      </c>
      <c r="G4022" t="s">
        <v>13</v>
      </c>
      <c r="H4022" t="s">
        <v>13</v>
      </c>
      <c r="I4022">
        <v>65</v>
      </c>
      <c r="J4022">
        <f>ABS((I4022-EDA!$A$15)/EDA!$B$15)</f>
        <v>1.6246729046328798</v>
      </c>
      <c r="K4022" t="str">
        <f t="shared" si="62"/>
        <v>No</v>
      </c>
      <c r="L4022">
        <f>ABS((C4022-EDA!$F$15)/EDA!$G$15)</f>
        <v>0.37102735674304993</v>
      </c>
      <c r="M4022" t="str">
        <f>IF(moras[[#This Row],[Z-Score Salario]]&gt;1.96, "Sí", "No")</f>
        <v>No</v>
      </c>
      <c r="N4022" s="14">
        <f>IF(ISBLANK(moras[[#This Row],[SALARIO]]), EDA!$M$8, moras[[#This Row],[SALARIO]])</f>
        <v>278030</v>
      </c>
      <c r="O4022" s="14">
        <f xml:space="preserve"> IF(ISBLANK(moras[[#This Row],[EDAD]]), EDA!$E$8, moras[[#This Row],[EDAD]])</f>
        <v>65</v>
      </c>
      <c r="P4022" s="14" t="str">
        <f>IF(
    OR(ISBLANK(moras[[#This Row],[TIPO_ASEGURAMIENTO]]), moras[[#This Row],[TIPO_ASEGURAMIENTO]]=""),
    EDA!$A$32,
    moras[[#This Row],[TIPO_ASEGURAMIENTO]]
)</f>
        <v>CONVENIOS ESPECIALES DE TRABAJADORES INDEPENDIENTES</v>
      </c>
    </row>
    <row r="4023" spans="1:16" x14ac:dyDescent="0.3">
      <c r="A4023">
        <v>4022</v>
      </c>
      <c r="B4023" t="s">
        <v>9</v>
      </c>
      <c r="C4023">
        <v>500000</v>
      </c>
      <c r="D4023" t="s">
        <v>10</v>
      </c>
      <c r="E4023" t="s">
        <v>16</v>
      </c>
      <c r="F4023" t="s">
        <v>12</v>
      </c>
      <c r="G4023" t="s">
        <v>12</v>
      </c>
      <c r="H4023" t="s">
        <v>13</v>
      </c>
      <c r="I4023">
        <v>38</v>
      </c>
      <c r="J4023">
        <f>ABS((I4023-EDA!$A$15)/EDA!$B$15)</f>
        <v>0.28086100744983278</v>
      </c>
      <c r="K4023" t="str">
        <f t="shared" si="62"/>
        <v>No</v>
      </c>
      <c r="L4023">
        <f>ABS((C4023-EDA!$F$15)/EDA!$G$15)</f>
        <v>0.36733361925171953</v>
      </c>
      <c r="M4023" t="str">
        <f>IF(moras[[#This Row],[Z-Score Salario]]&gt;1.96, "Sí", "No")</f>
        <v>No</v>
      </c>
      <c r="N4023" s="14">
        <f>IF(ISBLANK(moras[[#This Row],[SALARIO]]), EDA!$M$8, moras[[#This Row],[SALARIO]])</f>
        <v>500000</v>
      </c>
      <c r="O4023" s="14">
        <f xml:space="preserve"> IF(ISBLANK(moras[[#This Row],[EDAD]]), EDA!$E$8, moras[[#This Row],[EDAD]])</f>
        <v>38</v>
      </c>
      <c r="P4023" s="14" t="str">
        <f>IF(
    OR(ISBLANK(moras[[#This Row],[TIPO_ASEGURAMIENTO]]), moras[[#This Row],[TIPO_ASEGURAMIENTO]]=""),
    EDA!$A$32,
    moras[[#This Row],[TIPO_ASEGURAMIENTO]]
)</f>
        <v>ASALARIADO</v>
      </c>
    </row>
    <row r="4024" spans="1:16" x14ac:dyDescent="0.3">
      <c r="A4024">
        <v>4023</v>
      </c>
      <c r="B4024" t="s">
        <v>9</v>
      </c>
      <c r="C4024">
        <v>516550</v>
      </c>
      <c r="D4024" t="s">
        <v>10</v>
      </c>
      <c r="E4024" t="s">
        <v>16</v>
      </c>
      <c r="F4024" t="s">
        <v>12</v>
      </c>
      <c r="G4024" t="s">
        <v>12</v>
      </c>
      <c r="H4024" t="s">
        <v>13</v>
      </c>
      <c r="I4024">
        <v>31</v>
      </c>
      <c r="J4024">
        <f>ABS((I4024-EDA!$A$15)/EDA!$B$15)</f>
        <v>0.77488831798979529</v>
      </c>
      <c r="K4024" t="str">
        <f t="shared" si="62"/>
        <v>No</v>
      </c>
      <c r="L4024">
        <f>ABS((C4024-EDA!$F$15)/EDA!$G$15)</f>
        <v>0.36705821556887264</v>
      </c>
      <c r="M4024" t="str">
        <f>IF(moras[[#This Row],[Z-Score Salario]]&gt;1.96, "Sí", "No")</f>
        <v>No</v>
      </c>
      <c r="N4024" s="14">
        <f>IF(ISBLANK(moras[[#This Row],[SALARIO]]), EDA!$M$8, moras[[#This Row],[SALARIO]])</f>
        <v>516550</v>
      </c>
      <c r="O4024" s="14">
        <f xml:space="preserve"> IF(ISBLANK(moras[[#This Row],[EDAD]]), EDA!$E$8, moras[[#This Row],[EDAD]])</f>
        <v>31</v>
      </c>
      <c r="P4024" s="14" t="str">
        <f>IF(
    OR(ISBLANK(moras[[#This Row],[TIPO_ASEGURAMIENTO]]), moras[[#This Row],[TIPO_ASEGURAMIENTO]]=""),
    EDA!$A$32,
    moras[[#This Row],[TIPO_ASEGURAMIENTO]]
)</f>
        <v>ASALARIADO</v>
      </c>
    </row>
    <row r="4025" spans="1:16" x14ac:dyDescent="0.3">
      <c r="A4025">
        <v>4024</v>
      </c>
      <c r="B4025" t="s">
        <v>9</v>
      </c>
      <c r="C4025">
        <v>40604576</v>
      </c>
      <c r="D4025" t="s">
        <v>10</v>
      </c>
      <c r="E4025" t="s">
        <v>16</v>
      </c>
      <c r="F4025" t="s">
        <v>12</v>
      </c>
      <c r="G4025" t="s">
        <v>12</v>
      </c>
      <c r="H4025" t="s">
        <v>13</v>
      </c>
      <c r="I4025">
        <v>49</v>
      </c>
      <c r="J4025">
        <f>ABS((I4025-EDA!$A$15)/EDA!$B$15)</f>
        <v>0.49546762339867978</v>
      </c>
      <c r="K4025" t="str">
        <f t="shared" si="62"/>
        <v>No</v>
      </c>
      <c r="L4025">
        <f>ABS((C4025-EDA!$F$15)/EDA!$G$15)</f>
        <v>0.3000348356976415</v>
      </c>
      <c r="M4025" t="str">
        <f>IF(moras[[#This Row],[Z-Score Salario]]&gt;1.96, "Sí", "No")</f>
        <v>No</v>
      </c>
      <c r="N4025" s="14">
        <f>IF(ISBLANK(moras[[#This Row],[SALARIO]]), EDA!$M$8, moras[[#This Row],[SALARIO]])</f>
        <v>40604576</v>
      </c>
      <c r="O4025" s="14">
        <f xml:space="preserve"> IF(ISBLANK(moras[[#This Row],[EDAD]]), EDA!$E$8, moras[[#This Row],[EDAD]])</f>
        <v>49</v>
      </c>
      <c r="P4025" s="14" t="str">
        <f>IF(
    OR(ISBLANK(moras[[#This Row],[TIPO_ASEGURAMIENTO]]), moras[[#This Row],[TIPO_ASEGURAMIENTO]]=""),
    EDA!$A$32,
    moras[[#This Row],[TIPO_ASEGURAMIENTO]]
)</f>
        <v>ASALARIADO</v>
      </c>
    </row>
    <row r="4026" spans="1:16" x14ac:dyDescent="0.3">
      <c r="A4026">
        <v>4025</v>
      </c>
      <c r="B4026" t="s">
        <v>9</v>
      </c>
      <c r="C4026">
        <v>72143522</v>
      </c>
      <c r="D4026" t="s">
        <v>10</v>
      </c>
      <c r="E4026" t="s">
        <v>11</v>
      </c>
      <c r="F4026" t="s">
        <v>12</v>
      </c>
      <c r="G4026" t="s">
        <v>13</v>
      </c>
      <c r="H4026" t="s">
        <v>13</v>
      </c>
      <c r="I4026">
        <v>55</v>
      </c>
      <c r="J4026">
        <f>ABS((I4026-EDA!$A$15)/EDA!$B$15)</f>
        <v>0.91891960386150484</v>
      </c>
      <c r="K4026" t="str">
        <f t="shared" si="62"/>
        <v>No</v>
      </c>
      <c r="L4026">
        <f>ABS((C4026-EDA!$F$15)/EDA!$G$15)</f>
        <v>0.82486516086430905</v>
      </c>
      <c r="M4026" t="str">
        <f>IF(moras[[#This Row],[Z-Score Salario]]&gt;1.96, "Sí", "No")</f>
        <v>No</v>
      </c>
      <c r="N4026" s="14">
        <f>IF(ISBLANK(moras[[#This Row],[SALARIO]]), EDA!$M$8, moras[[#This Row],[SALARIO]])</f>
        <v>72143522</v>
      </c>
      <c r="O4026" s="14">
        <f xml:space="preserve"> IF(ISBLANK(moras[[#This Row],[EDAD]]), EDA!$E$8, moras[[#This Row],[EDAD]])</f>
        <v>55</v>
      </c>
      <c r="P4026" s="14" t="str">
        <f>IF(
    OR(ISBLANK(moras[[#This Row],[TIPO_ASEGURAMIENTO]]), moras[[#This Row],[TIPO_ASEGURAMIENTO]]=""),
    EDA!$A$32,
    moras[[#This Row],[TIPO_ASEGURAMIENTO]]
)</f>
        <v>ASALARIADO</v>
      </c>
    </row>
    <row r="4027" spans="1:16" x14ac:dyDescent="0.3">
      <c r="A4027">
        <v>4026</v>
      </c>
      <c r="B4027" t="s">
        <v>9</v>
      </c>
      <c r="C4027">
        <v>423168</v>
      </c>
      <c r="D4027" t="s">
        <v>10</v>
      </c>
      <c r="E4027" t="s">
        <v>16</v>
      </c>
      <c r="F4027" t="s">
        <v>12</v>
      </c>
      <c r="G4027" t="s">
        <v>13</v>
      </c>
      <c r="H4027" t="s">
        <v>13</v>
      </c>
      <c r="I4027">
        <v>21</v>
      </c>
      <c r="J4027">
        <f>ABS((I4027-EDA!$A$15)/EDA!$B$15)</f>
        <v>1.4806416187611704</v>
      </c>
      <c r="K4027" t="str">
        <f t="shared" si="62"/>
        <v>No</v>
      </c>
      <c r="L4027">
        <f>ABS((C4027-EDA!$F$15)/EDA!$G$15)</f>
        <v>0.36861215796836544</v>
      </c>
      <c r="M4027" t="str">
        <f>IF(moras[[#This Row],[Z-Score Salario]]&gt;1.96, "Sí", "No")</f>
        <v>No</v>
      </c>
      <c r="N4027" s="14">
        <f>IF(ISBLANK(moras[[#This Row],[SALARIO]]), EDA!$M$8, moras[[#This Row],[SALARIO]])</f>
        <v>423168</v>
      </c>
      <c r="O4027" s="14">
        <f xml:space="preserve"> IF(ISBLANK(moras[[#This Row],[EDAD]]), EDA!$E$8, moras[[#This Row],[EDAD]])</f>
        <v>21</v>
      </c>
      <c r="P4027" s="14" t="str">
        <f>IF(
    OR(ISBLANK(moras[[#This Row],[TIPO_ASEGURAMIENTO]]), moras[[#This Row],[TIPO_ASEGURAMIENTO]]=""),
    EDA!$A$32,
    moras[[#This Row],[TIPO_ASEGURAMIENTO]]
)</f>
        <v>ASALARIADO</v>
      </c>
    </row>
    <row r="4028" spans="1:16" x14ac:dyDescent="0.3">
      <c r="A4028">
        <v>4027</v>
      </c>
      <c r="B4028" t="s">
        <v>15</v>
      </c>
      <c r="C4028">
        <v>27803099</v>
      </c>
      <c r="D4028" t="s">
        <v>17</v>
      </c>
      <c r="E4028" t="s">
        <v>16</v>
      </c>
      <c r="F4028" t="s">
        <v>12</v>
      </c>
      <c r="G4028" t="s">
        <v>13</v>
      </c>
      <c r="H4028" t="s">
        <v>13</v>
      </c>
      <c r="I4028">
        <v>42</v>
      </c>
      <c r="J4028">
        <f>ABS((I4028-EDA!$A$15)/EDA!$B$15)</f>
        <v>1.4403128587172659E-3</v>
      </c>
      <c r="K4028" t="str">
        <f t="shared" si="62"/>
        <v>No</v>
      </c>
      <c r="L4028">
        <f>ABS((C4028-EDA!$F$15)/EDA!$G$15)</f>
        <v>8.7009221698885322E-2</v>
      </c>
      <c r="M4028" t="str">
        <f>IF(moras[[#This Row],[Z-Score Salario]]&gt;1.96, "Sí", "No")</f>
        <v>No</v>
      </c>
      <c r="N4028" s="14">
        <f>IF(ISBLANK(moras[[#This Row],[SALARIO]]), EDA!$M$8, moras[[#This Row],[SALARIO]])</f>
        <v>27803099</v>
      </c>
      <c r="O4028" s="14">
        <f xml:space="preserve"> IF(ISBLANK(moras[[#This Row],[EDAD]]), EDA!$E$8, moras[[#This Row],[EDAD]])</f>
        <v>42</v>
      </c>
      <c r="P4028" s="14" t="str">
        <f>IF(
    OR(ISBLANK(moras[[#This Row],[TIPO_ASEGURAMIENTO]]), moras[[#This Row],[TIPO_ASEGURAMIENTO]]=""),
    EDA!$A$32,
    moras[[#This Row],[TIPO_ASEGURAMIENTO]]
)</f>
        <v>ASEGURADO VOLUNTARIO</v>
      </c>
    </row>
    <row r="4029" spans="1:16" x14ac:dyDescent="0.3">
      <c r="A4029">
        <v>4028</v>
      </c>
      <c r="B4029" t="s">
        <v>15</v>
      </c>
      <c r="C4029">
        <v>28446038</v>
      </c>
      <c r="D4029" t="s">
        <v>10</v>
      </c>
      <c r="E4029" t="s">
        <v>16</v>
      </c>
      <c r="F4029" t="s">
        <v>12</v>
      </c>
      <c r="G4029" t="s">
        <v>13</v>
      </c>
      <c r="H4029" t="s">
        <v>13</v>
      </c>
      <c r="I4029">
        <v>34</v>
      </c>
      <c r="J4029">
        <f>ABS((I4029-EDA!$A$15)/EDA!$B$15)</f>
        <v>0.56316232775838282</v>
      </c>
      <c r="K4029" t="str">
        <f t="shared" si="62"/>
        <v>No</v>
      </c>
      <c r="L4029">
        <f>ABS((C4029-EDA!$F$15)/EDA!$G$15)</f>
        <v>9.770818051736746E-2</v>
      </c>
      <c r="M4029" t="str">
        <f>IF(moras[[#This Row],[Z-Score Salario]]&gt;1.96, "Sí", "No")</f>
        <v>No</v>
      </c>
      <c r="N4029" s="14">
        <f>IF(ISBLANK(moras[[#This Row],[SALARIO]]), EDA!$M$8, moras[[#This Row],[SALARIO]])</f>
        <v>28446038</v>
      </c>
      <c r="O4029" s="14">
        <f xml:space="preserve"> IF(ISBLANK(moras[[#This Row],[EDAD]]), EDA!$E$8, moras[[#This Row],[EDAD]])</f>
        <v>34</v>
      </c>
      <c r="P4029" s="14" t="str">
        <f>IF(
    OR(ISBLANK(moras[[#This Row],[TIPO_ASEGURAMIENTO]]), moras[[#This Row],[TIPO_ASEGURAMIENTO]]=""),
    EDA!$A$32,
    moras[[#This Row],[TIPO_ASEGURAMIENTO]]
)</f>
        <v>ASALARIADO</v>
      </c>
    </row>
    <row r="4030" spans="1:16" x14ac:dyDescent="0.3">
      <c r="A4030">
        <v>4029</v>
      </c>
      <c r="B4030" t="s">
        <v>9</v>
      </c>
      <c r="C4030">
        <v>51094944</v>
      </c>
      <c r="D4030" t="s">
        <v>10</v>
      </c>
      <c r="E4030" t="s">
        <v>16</v>
      </c>
      <c r="F4030" t="s">
        <v>12</v>
      </c>
      <c r="G4030" t="s">
        <v>13</v>
      </c>
      <c r="H4030" t="s">
        <v>13</v>
      </c>
      <c r="I4030">
        <v>38</v>
      </c>
      <c r="J4030">
        <f>ABS((I4030-EDA!$A$15)/EDA!$B$15)</f>
        <v>0.28086100744983278</v>
      </c>
      <c r="K4030" t="str">
        <f t="shared" si="62"/>
        <v>No</v>
      </c>
      <c r="L4030">
        <f>ABS((C4030-EDA!$F$15)/EDA!$G$15)</f>
        <v>0.4746019644963656</v>
      </c>
      <c r="M4030" t="str">
        <f>IF(moras[[#This Row],[Z-Score Salario]]&gt;1.96, "Sí", "No")</f>
        <v>No</v>
      </c>
      <c r="N4030" s="14">
        <f>IF(ISBLANK(moras[[#This Row],[SALARIO]]), EDA!$M$8, moras[[#This Row],[SALARIO]])</f>
        <v>51094944</v>
      </c>
      <c r="O4030" s="14">
        <f xml:space="preserve"> IF(ISBLANK(moras[[#This Row],[EDAD]]), EDA!$E$8, moras[[#This Row],[EDAD]])</f>
        <v>38</v>
      </c>
      <c r="P4030" s="14" t="str">
        <f>IF(
    OR(ISBLANK(moras[[#This Row],[TIPO_ASEGURAMIENTO]]), moras[[#This Row],[TIPO_ASEGURAMIENTO]]=""),
    EDA!$A$32,
    moras[[#This Row],[TIPO_ASEGURAMIENTO]]
)</f>
        <v>ASALARIADO</v>
      </c>
    </row>
    <row r="4031" spans="1:16" x14ac:dyDescent="0.3">
      <c r="A4031">
        <v>4030</v>
      </c>
      <c r="B4031" t="s">
        <v>15</v>
      </c>
      <c r="C4031">
        <v>62267726</v>
      </c>
      <c r="D4031" t="s">
        <v>10</v>
      </c>
      <c r="E4031" t="s">
        <v>11</v>
      </c>
      <c r="F4031" t="s">
        <v>12</v>
      </c>
      <c r="G4031" t="s">
        <v>13</v>
      </c>
      <c r="H4031" t="s">
        <v>13</v>
      </c>
      <c r="I4031">
        <v>31</v>
      </c>
      <c r="J4031">
        <f>ABS((I4031-EDA!$A$15)/EDA!$B$15)</f>
        <v>0.77488831798979529</v>
      </c>
      <c r="K4031" t="str">
        <f t="shared" si="62"/>
        <v>No</v>
      </c>
      <c r="L4031">
        <f>ABS((C4031-EDA!$F$15)/EDA!$G$15)</f>
        <v>0.66052494397945583</v>
      </c>
      <c r="M4031" t="str">
        <f>IF(moras[[#This Row],[Z-Score Salario]]&gt;1.96, "Sí", "No")</f>
        <v>No</v>
      </c>
      <c r="N4031" s="14">
        <f>IF(ISBLANK(moras[[#This Row],[SALARIO]]), EDA!$M$8, moras[[#This Row],[SALARIO]])</f>
        <v>62267726</v>
      </c>
      <c r="O4031" s="14">
        <f xml:space="preserve"> IF(ISBLANK(moras[[#This Row],[EDAD]]), EDA!$E$8, moras[[#This Row],[EDAD]])</f>
        <v>31</v>
      </c>
      <c r="P4031" s="14" t="str">
        <f>IF(
    OR(ISBLANK(moras[[#This Row],[TIPO_ASEGURAMIENTO]]), moras[[#This Row],[TIPO_ASEGURAMIENTO]]=""),
    EDA!$A$32,
    moras[[#This Row],[TIPO_ASEGURAMIENTO]]
)</f>
        <v>ASALARIADO</v>
      </c>
    </row>
    <row r="4032" spans="1:16" x14ac:dyDescent="0.3">
      <c r="A4032">
        <v>4031</v>
      </c>
      <c r="B4032" t="s">
        <v>9</v>
      </c>
      <c r="C4032">
        <v>57840636</v>
      </c>
      <c r="D4032" t="s">
        <v>10</v>
      </c>
      <c r="E4032" t="s">
        <v>11</v>
      </c>
      <c r="F4032" t="s">
        <v>12</v>
      </c>
      <c r="G4032" t="s">
        <v>13</v>
      </c>
      <c r="H4032" t="s">
        <v>13</v>
      </c>
      <c r="I4032">
        <v>28</v>
      </c>
      <c r="J4032">
        <f>ABS((I4032-EDA!$A$15)/EDA!$B$15)</f>
        <v>0.98661430822120777</v>
      </c>
      <c r="K4032" t="str">
        <f t="shared" si="62"/>
        <v>No</v>
      </c>
      <c r="L4032">
        <f>ABS((C4032-EDA!$F$15)/EDA!$G$15)</f>
        <v>0.58685504124262677</v>
      </c>
      <c r="M4032" t="str">
        <f>IF(moras[[#This Row],[Z-Score Salario]]&gt;1.96, "Sí", "No")</f>
        <v>No</v>
      </c>
      <c r="N4032" s="14">
        <f>IF(ISBLANK(moras[[#This Row],[SALARIO]]), EDA!$M$8, moras[[#This Row],[SALARIO]])</f>
        <v>57840636</v>
      </c>
      <c r="O4032" s="14">
        <f xml:space="preserve"> IF(ISBLANK(moras[[#This Row],[EDAD]]), EDA!$E$8, moras[[#This Row],[EDAD]])</f>
        <v>28</v>
      </c>
      <c r="P4032" s="14" t="str">
        <f>IF(
    OR(ISBLANK(moras[[#This Row],[TIPO_ASEGURAMIENTO]]), moras[[#This Row],[TIPO_ASEGURAMIENTO]]=""),
    EDA!$A$32,
    moras[[#This Row],[TIPO_ASEGURAMIENTO]]
)</f>
        <v>ASALARIADO</v>
      </c>
    </row>
    <row r="4033" spans="1:16" x14ac:dyDescent="0.3">
      <c r="A4033">
        <v>4032</v>
      </c>
      <c r="B4033" t="s">
        <v>9</v>
      </c>
      <c r="C4033">
        <v>383231</v>
      </c>
      <c r="D4033" t="s">
        <v>10</v>
      </c>
      <c r="E4033" t="s">
        <v>11</v>
      </c>
      <c r="F4033" t="s">
        <v>12</v>
      </c>
      <c r="G4033" t="s">
        <v>13</v>
      </c>
      <c r="H4033" t="s">
        <v>13</v>
      </c>
      <c r="I4033">
        <v>23</v>
      </c>
      <c r="J4033">
        <f>ABS((I4033-EDA!$A$15)/EDA!$B$15)</f>
        <v>1.3394909586068953</v>
      </c>
      <c r="K4033" t="str">
        <f t="shared" si="62"/>
        <v>No</v>
      </c>
      <c r="L4033">
        <f>ABS((C4033-EDA!$F$15)/EDA!$G$15)</f>
        <v>0.36927673784038084</v>
      </c>
      <c r="M4033" t="str">
        <f>IF(moras[[#This Row],[Z-Score Salario]]&gt;1.96, "Sí", "No")</f>
        <v>No</v>
      </c>
      <c r="N4033" s="14">
        <f>IF(ISBLANK(moras[[#This Row],[SALARIO]]), EDA!$M$8, moras[[#This Row],[SALARIO]])</f>
        <v>383231</v>
      </c>
      <c r="O4033" s="14">
        <f xml:space="preserve"> IF(ISBLANK(moras[[#This Row],[EDAD]]), EDA!$E$8, moras[[#This Row],[EDAD]])</f>
        <v>23</v>
      </c>
      <c r="P4033" s="14" t="str">
        <f>IF(
    OR(ISBLANK(moras[[#This Row],[TIPO_ASEGURAMIENTO]]), moras[[#This Row],[TIPO_ASEGURAMIENTO]]=""),
    EDA!$A$32,
    moras[[#This Row],[TIPO_ASEGURAMIENTO]]
)</f>
        <v>ASALARIADO</v>
      </c>
    </row>
    <row r="4034" spans="1:16" x14ac:dyDescent="0.3">
      <c r="A4034">
        <v>4033</v>
      </c>
      <c r="B4034" t="s">
        <v>9</v>
      </c>
      <c r="C4034">
        <v>41566865</v>
      </c>
      <c r="D4034" t="s">
        <v>10</v>
      </c>
      <c r="E4034" t="s">
        <v>16</v>
      </c>
      <c r="F4034" t="s">
        <v>12</v>
      </c>
      <c r="G4034" t="s">
        <v>12</v>
      </c>
      <c r="H4034" t="s">
        <v>13</v>
      </c>
      <c r="I4034">
        <v>58</v>
      </c>
      <c r="J4034">
        <f>ABS((I4034-EDA!$A$15)/EDA!$B$15)</f>
        <v>1.1306455940929174</v>
      </c>
      <c r="K4034" t="str">
        <f t="shared" ref="K4034:K4097" si="63">IF(J4034 &gt;  1.96, "Sí","No")</f>
        <v>No</v>
      </c>
      <c r="L4034">
        <f>ABS((C4034-EDA!$F$15)/EDA!$G$15)</f>
        <v>0.31604800394918381</v>
      </c>
      <c r="M4034" t="str">
        <f>IF(moras[[#This Row],[Z-Score Salario]]&gt;1.96, "Sí", "No")</f>
        <v>No</v>
      </c>
      <c r="N4034" s="14">
        <f>IF(ISBLANK(moras[[#This Row],[SALARIO]]), EDA!$M$8, moras[[#This Row],[SALARIO]])</f>
        <v>41566865</v>
      </c>
      <c r="O4034" s="14">
        <f xml:space="preserve"> IF(ISBLANK(moras[[#This Row],[EDAD]]), EDA!$E$8, moras[[#This Row],[EDAD]])</f>
        <v>58</v>
      </c>
      <c r="P4034" s="14" t="str">
        <f>IF(
    OR(ISBLANK(moras[[#This Row],[TIPO_ASEGURAMIENTO]]), moras[[#This Row],[TIPO_ASEGURAMIENTO]]=""),
    EDA!$A$32,
    moras[[#This Row],[TIPO_ASEGURAMIENTO]]
)</f>
        <v>ASALARIADO</v>
      </c>
    </row>
    <row r="4035" spans="1:16" x14ac:dyDescent="0.3">
      <c r="A4035">
        <v>4034</v>
      </c>
      <c r="B4035" t="s">
        <v>15</v>
      </c>
      <c r="C4035">
        <v>948047</v>
      </c>
      <c r="D4035" t="s">
        <v>10</v>
      </c>
      <c r="E4035" t="s">
        <v>11</v>
      </c>
      <c r="F4035" t="s">
        <v>12</v>
      </c>
      <c r="G4035" t="s">
        <v>13</v>
      </c>
      <c r="H4035" t="s">
        <v>12</v>
      </c>
      <c r="I4035">
        <v>32</v>
      </c>
      <c r="J4035">
        <f>ABS((I4035-EDA!$A$15)/EDA!$B$15)</f>
        <v>0.70431298791265773</v>
      </c>
      <c r="K4035" t="str">
        <f t="shared" si="63"/>
        <v>No</v>
      </c>
      <c r="L4035">
        <f>ABS((C4035-EDA!$F$15)/EDA!$G$15)</f>
        <v>0.35987780088987731</v>
      </c>
      <c r="M4035" t="str">
        <f>IF(moras[[#This Row],[Z-Score Salario]]&gt;1.96, "Sí", "No")</f>
        <v>No</v>
      </c>
      <c r="N4035" s="14">
        <f>IF(ISBLANK(moras[[#This Row],[SALARIO]]), EDA!$M$8, moras[[#This Row],[SALARIO]])</f>
        <v>948047</v>
      </c>
      <c r="O4035" s="14">
        <f xml:space="preserve"> IF(ISBLANK(moras[[#This Row],[EDAD]]), EDA!$E$8, moras[[#This Row],[EDAD]])</f>
        <v>32</v>
      </c>
      <c r="P4035" s="14" t="str">
        <f>IF(
    OR(ISBLANK(moras[[#This Row],[TIPO_ASEGURAMIENTO]]), moras[[#This Row],[TIPO_ASEGURAMIENTO]]=""),
    EDA!$A$32,
    moras[[#This Row],[TIPO_ASEGURAMIENTO]]
)</f>
        <v>ASALARIADO</v>
      </c>
    </row>
    <row r="4036" spans="1:16" x14ac:dyDescent="0.3">
      <c r="A4036">
        <v>4035</v>
      </c>
      <c r="B4036" t="s">
        <v>9</v>
      </c>
      <c r="C4036">
        <v>343391</v>
      </c>
      <c r="D4036" t="s">
        <v>10</v>
      </c>
      <c r="E4036" t="s">
        <v>16</v>
      </c>
      <c r="F4036" t="s">
        <v>12</v>
      </c>
      <c r="G4036" t="s">
        <v>13</v>
      </c>
      <c r="H4036" t="s">
        <v>13</v>
      </c>
      <c r="I4036">
        <v>48</v>
      </c>
      <c r="J4036">
        <f>ABS((I4036-EDA!$A$15)/EDA!$B$15)</f>
        <v>0.42489229332154227</v>
      </c>
      <c r="K4036" t="str">
        <f t="shared" si="63"/>
        <v>No</v>
      </c>
      <c r="L4036">
        <f>ABS((C4036-EDA!$F$15)/EDA!$G$15)</f>
        <v>0.36993970356392281</v>
      </c>
      <c r="M4036" t="str">
        <f>IF(moras[[#This Row],[Z-Score Salario]]&gt;1.96, "Sí", "No")</f>
        <v>No</v>
      </c>
      <c r="N4036" s="14">
        <f>IF(ISBLANK(moras[[#This Row],[SALARIO]]), EDA!$M$8, moras[[#This Row],[SALARIO]])</f>
        <v>343391</v>
      </c>
      <c r="O4036" s="14">
        <f xml:space="preserve"> IF(ISBLANK(moras[[#This Row],[EDAD]]), EDA!$E$8, moras[[#This Row],[EDAD]])</f>
        <v>48</v>
      </c>
      <c r="P4036" s="14" t="str">
        <f>IF(
    OR(ISBLANK(moras[[#This Row],[TIPO_ASEGURAMIENTO]]), moras[[#This Row],[TIPO_ASEGURAMIENTO]]=""),
    EDA!$A$32,
    moras[[#This Row],[TIPO_ASEGURAMIENTO]]
)</f>
        <v>ASALARIADO</v>
      </c>
    </row>
    <row r="4037" spans="1:16" x14ac:dyDescent="0.3">
      <c r="A4037">
        <v>4036</v>
      </c>
      <c r="B4037" t="s">
        <v>15</v>
      </c>
      <c r="C4037">
        <v>320000</v>
      </c>
      <c r="D4037" t="s">
        <v>10</v>
      </c>
      <c r="E4037" t="s">
        <v>16</v>
      </c>
      <c r="F4037" t="s">
        <v>12</v>
      </c>
      <c r="G4037" t="s">
        <v>13</v>
      </c>
      <c r="H4037" t="s">
        <v>13</v>
      </c>
      <c r="I4037">
        <v>69</v>
      </c>
      <c r="J4037">
        <f>ABS((I4037-EDA!$A$15)/EDA!$B$15)</f>
        <v>1.9069742249414299</v>
      </c>
      <c r="K4037" t="str">
        <f t="shared" si="63"/>
        <v>No</v>
      </c>
      <c r="L4037">
        <f>ABS((C4037-EDA!$F$15)/EDA!$G$15)</f>
        <v>0.37032894631591501</v>
      </c>
      <c r="M4037" t="str">
        <f>IF(moras[[#This Row],[Z-Score Salario]]&gt;1.96, "Sí", "No")</f>
        <v>No</v>
      </c>
      <c r="N4037" s="14">
        <f>IF(ISBLANK(moras[[#This Row],[SALARIO]]), EDA!$M$8, moras[[#This Row],[SALARIO]])</f>
        <v>320000</v>
      </c>
      <c r="O4037" s="14">
        <f xml:space="preserve"> IF(ISBLANK(moras[[#This Row],[EDAD]]), EDA!$E$8, moras[[#This Row],[EDAD]])</f>
        <v>69</v>
      </c>
      <c r="P4037" s="14" t="str">
        <f>IF(
    OR(ISBLANK(moras[[#This Row],[TIPO_ASEGURAMIENTO]]), moras[[#This Row],[TIPO_ASEGURAMIENTO]]=""),
    EDA!$A$32,
    moras[[#This Row],[TIPO_ASEGURAMIENTO]]
)</f>
        <v>ASALARIADO</v>
      </c>
    </row>
    <row r="4038" spans="1:16" x14ac:dyDescent="0.3">
      <c r="A4038">
        <v>4037</v>
      </c>
      <c r="B4038" t="s">
        <v>15</v>
      </c>
      <c r="C4038">
        <v>840000</v>
      </c>
      <c r="D4038" t="s">
        <v>10</v>
      </c>
      <c r="E4038" t="s">
        <v>16</v>
      </c>
      <c r="F4038" t="s">
        <v>12</v>
      </c>
      <c r="G4038" t="s">
        <v>13</v>
      </c>
      <c r="H4038" t="s">
        <v>13</v>
      </c>
      <c r="I4038">
        <v>29</v>
      </c>
      <c r="J4038">
        <f>ABS((I4038-EDA!$A$15)/EDA!$B$15)</f>
        <v>0.91603897814407031</v>
      </c>
      <c r="K4038" t="str">
        <f t="shared" si="63"/>
        <v>No</v>
      </c>
      <c r="L4038">
        <f>ABS((C4038-EDA!$F$15)/EDA!$G$15)</f>
        <v>0.36167577924157246</v>
      </c>
      <c r="M4038" t="str">
        <f>IF(moras[[#This Row],[Z-Score Salario]]&gt;1.96, "Sí", "No")</f>
        <v>No</v>
      </c>
      <c r="N4038" s="14">
        <f>IF(ISBLANK(moras[[#This Row],[SALARIO]]), EDA!$M$8, moras[[#This Row],[SALARIO]])</f>
        <v>840000</v>
      </c>
      <c r="O4038" s="14">
        <f xml:space="preserve"> IF(ISBLANK(moras[[#This Row],[EDAD]]), EDA!$E$8, moras[[#This Row],[EDAD]])</f>
        <v>29</v>
      </c>
      <c r="P4038" s="14" t="str">
        <f>IF(
    OR(ISBLANK(moras[[#This Row],[TIPO_ASEGURAMIENTO]]), moras[[#This Row],[TIPO_ASEGURAMIENTO]]=""),
    EDA!$A$32,
    moras[[#This Row],[TIPO_ASEGURAMIENTO]]
)</f>
        <v>ASALARIADO</v>
      </c>
    </row>
    <row r="4039" spans="1:16" x14ac:dyDescent="0.3">
      <c r="A4039">
        <v>4038</v>
      </c>
      <c r="B4039" t="s">
        <v>9</v>
      </c>
      <c r="C4039">
        <v>37117326</v>
      </c>
      <c r="D4039" t="s">
        <v>10</v>
      </c>
      <c r="E4039" t="s">
        <v>16</v>
      </c>
      <c r="F4039" t="s">
        <v>12</v>
      </c>
      <c r="G4039" t="s">
        <v>13</v>
      </c>
      <c r="H4039" t="s">
        <v>13</v>
      </c>
      <c r="I4039">
        <v>31</v>
      </c>
      <c r="J4039">
        <f>ABS((I4039-EDA!$A$15)/EDA!$B$15)</f>
        <v>0.77488831798979529</v>
      </c>
      <c r="K4039" t="str">
        <f t="shared" si="63"/>
        <v>No</v>
      </c>
      <c r="L4039">
        <f>ABS((C4039-EDA!$F$15)/EDA!$G$15)</f>
        <v>0.24200453400533189</v>
      </c>
      <c r="M4039" t="str">
        <f>IF(moras[[#This Row],[Z-Score Salario]]&gt;1.96, "Sí", "No")</f>
        <v>No</v>
      </c>
      <c r="N4039" s="14">
        <f>IF(ISBLANK(moras[[#This Row],[SALARIO]]), EDA!$M$8, moras[[#This Row],[SALARIO]])</f>
        <v>37117326</v>
      </c>
      <c r="O4039" s="14">
        <f xml:space="preserve"> IF(ISBLANK(moras[[#This Row],[EDAD]]), EDA!$E$8, moras[[#This Row],[EDAD]])</f>
        <v>31</v>
      </c>
      <c r="P4039" s="14" t="str">
        <f>IF(
    OR(ISBLANK(moras[[#This Row],[TIPO_ASEGURAMIENTO]]), moras[[#This Row],[TIPO_ASEGURAMIENTO]]=""),
    EDA!$A$32,
    moras[[#This Row],[TIPO_ASEGURAMIENTO]]
)</f>
        <v>ASALARIADO</v>
      </c>
    </row>
    <row r="4040" spans="1:16" x14ac:dyDescent="0.3">
      <c r="A4040">
        <v>4039</v>
      </c>
      <c r="B4040" t="s">
        <v>9</v>
      </c>
      <c r="C4040">
        <v>570368</v>
      </c>
      <c r="D4040" t="s">
        <v>10</v>
      </c>
      <c r="E4040" t="s">
        <v>16</v>
      </c>
      <c r="F4040" t="s">
        <v>12</v>
      </c>
      <c r="G4040" t="s">
        <v>13</v>
      </c>
      <c r="H4040" t="s">
        <v>13</v>
      </c>
      <c r="I4040">
        <v>33</v>
      </c>
      <c r="J4040">
        <f>ABS((I4040-EDA!$A$15)/EDA!$B$15)</f>
        <v>0.63373765783552027</v>
      </c>
      <c r="K4040" t="str">
        <f t="shared" si="63"/>
        <v>No</v>
      </c>
      <c r="L4040">
        <f>ABS((C4040-EDA!$F$15)/EDA!$G$15)</f>
        <v>0.36616264605809001</v>
      </c>
      <c r="M4040" t="str">
        <f>IF(moras[[#This Row],[Z-Score Salario]]&gt;1.96, "Sí", "No")</f>
        <v>No</v>
      </c>
      <c r="N4040" s="14">
        <f>IF(ISBLANK(moras[[#This Row],[SALARIO]]), EDA!$M$8, moras[[#This Row],[SALARIO]])</f>
        <v>570368</v>
      </c>
      <c r="O4040" s="14">
        <f xml:space="preserve"> IF(ISBLANK(moras[[#This Row],[EDAD]]), EDA!$E$8, moras[[#This Row],[EDAD]])</f>
        <v>33</v>
      </c>
      <c r="P4040" s="14" t="str">
        <f>IF(
    OR(ISBLANK(moras[[#This Row],[TIPO_ASEGURAMIENTO]]), moras[[#This Row],[TIPO_ASEGURAMIENTO]]=""),
    EDA!$A$32,
    moras[[#This Row],[TIPO_ASEGURAMIENTO]]
)</f>
        <v>ASALARIADO</v>
      </c>
    </row>
    <row r="4041" spans="1:16" x14ac:dyDescent="0.3">
      <c r="A4041">
        <v>4040</v>
      </c>
      <c r="B4041" t="s">
        <v>15</v>
      </c>
      <c r="C4041">
        <v>120648907</v>
      </c>
      <c r="D4041" t="s">
        <v>10</v>
      </c>
      <c r="E4041" t="s">
        <v>16</v>
      </c>
      <c r="F4041" t="s">
        <v>12</v>
      </c>
      <c r="G4041" t="s">
        <v>13</v>
      </c>
      <c r="H4041" t="s">
        <v>13</v>
      </c>
      <c r="I4041">
        <v>29</v>
      </c>
      <c r="J4041">
        <f>ABS((I4041-EDA!$A$15)/EDA!$B$15)</f>
        <v>0.91603897814407031</v>
      </c>
      <c r="K4041" t="str">
        <f t="shared" si="63"/>
        <v>No</v>
      </c>
      <c r="L4041">
        <f>ABS((C4041-EDA!$F$15)/EDA!$G$15)</f>
        <v>1.6320290078072091</v>
      </c>
      <c r="M4041" t="str">
        <f>IF(moras[[#This Row],[Z-Score Salario]]&gt;1.96, "Sí", "No")</f>
        <v>No</v>
      </c>
      <c r="N4041" s="14">
        <f>IF(ISBLANK(moras[[#This Row],[SALARIO]]), EDA!$M$8, moras[[#This Row],[SALARIO]])</f>
        <v>120648907</v>
      </c>
      <c r="O4041" s="14">
        <f xml:space="preserve"> IF(ISBLANK(moras[[#This Row],[EDAD]]), EDA!$E$8, moras[[#This Row],[EDAD]])</f>
        <v>29</v>
      </c>
      <c r="P4041" s="14" t="str">
        <f>IF(
    OR(ISBLANK(moras[[#This Row],[TIPO_ASEGURAMIENTO]]), moras[[#This Row],[TIPO_ASEGURAMIENTO]]=""),
    EDA!$A$32,
    moras[[#This Row],[TIPO_ASEGURAMIENTO]]
)</f>
        <v>ASALARIADO</v>
      </c>
    </row>
    <row r="4042" spans="1:16" x14ac:dyDescent="0.3">
      <c r="A4042">
        <v>4041</v>
      </c>
      <c r="B4042" t="s">
        <v>9</v>
      </c>
      <c r="C4042">
        <v>1435375</v>
      </c>
      <c r="D4042" t="s">
        <v>10</v>
      </c>
      <c r="E4042" t="s">
        <v>16</v>
      </c>
      <c r="F4042" t="s">
        <v>12</v>
      </c>
      <c r="G4042" t="s">
        <v>13</v>
      </c>
      <c r="H4042" t="s">
        <v>13</v>
      </c>
      <c r="I4042">
        <v>31</v>
      </c>
      <c r="J4042">
        <f>ABS((I4042-EDA!$A$15)/EDA!$B$15)</f>
        <v>0.77488831798979529</v>
      </c>
      <c r="K4042" t="str">
        <f t="shared" si="63"/>
        <v>No</v>
      </c>
      <c r="L4042">
        <f>ABS((C4042-EDA!$F$15)/EDA!$G$15)</f>
        <v>0.3517683189590981</v>
      </c>
      <c r="M4042" t="str">
        <f>IF(moras[[#This Row],[Z-Score Salario]]&gt;1.96, "Sí", "No")</f>
        <v>No</v>
      </c>
      <c r="N4042" s="14">
        <f>IF(ISBLANK(moras[[#This Row],[SALARIO]]), EDA!$M$8, moras[[#This Row],[SALARIO]])</f>
        <v>1435375</v>
      </c>
      <c r="O4042" s="14">
        <f xml:space="preserve"> IF(ISBLANK(moras[[#This Row],[EDAD]]), EDA!$E$8, moras[[#This Row],[EDAD]])</f>
        <v>31</v>
      </c>
      <c r="P4042" s="14" t="str">
        <f>IF(
    OR(ISBLANK(moras[[#This Row],[TIPO_ASEGURAMIENTO]]), moras[[#This Row],[TIPO_ASEGURAMIENTO]]=""),
    EDA!$A$32,
    moras[[#This Row],[TIPO_ASEGURAMIENTO]]
)</f>
        <v>ASALARIADO</v>
      </c>
    </row>
    <row r="4043" spans="1:16" x14ac:dyDescent="0.3">
      <c r="A4043">
        <v>4042</v>
      </c>
      <c r="B4043" t="s">
        <v>9</v>
      </c>
      <c r="C4043">
        <v>450000</v>
      </c>
      <c r="D4043" t="s">
        <v>10</v>
      </c>
      <c r="E4043" t="s">
        <v>16</v>
      </c>
      <c r="F4043" t="s">
        <v>12</v>
      </c>
      <c r="G4043" t="s">
        <v>12</v>
      </c>
      <c r="H4043" t="s">
        <v>13</v>
      </c>
      <c r="I4043">
        <v>39</v>
      </c>
      <c r="J4043">
        <f>ABS((I4043-EDA!$A$15)/EDA!$B$15)</f>
        <v>0.21028567737269524</v>
      </c>
      <c r="K4043" t="str">
        <f t="shared" si="63"/>
        <v>No</v>
      </c>
      <c r="L4043">
        <f>ABS((C4043-EDA!$F$15)/EDA!$G$15)</f>
        <v>0.36816565454732936</v>
      </c>
      <c r="M4043" t="str">
        <f>IF(moras[[#This Row],[Z-Score Salario]]&gt;1.96, "Sí", "No")</f>
        <v>No</v>
      </c>
      <c r="N4043" s="14">
        <f>IF(ISBLANK(moras[[#This Row],[SALARIO]]), EDA!$M$8, moras[[#This Row],[SALARIO]])</f>
        <v>450000</v>
      </c>
      <c r="O4043" s="14">
        <f xml:space="preserve"> IF(ISBLANK(moras[[#This Row],[EDAD]]), EDA!$E$8, moras[[#This Row],[EDAD]])</f>
        <v>39</v>
      </c>
      <c r="P4043" s="14" t="str">
        <f>IF(
    OR(ISBLANK(moras[[#This Row],[TIPO_ASEGURAMIENTO]]), moras[[#This Row],[TIPO_ASEGURAMIENTO]]=""),
    EDA!$A$32,
    moras[[#This Row],[TIPO_ASEGURAMIENTO]]
)</f>
        <v>ASALARIADO</v>
      </c>
    </row>
    <row r="4044" spans="1:16" x14ac:dyDescent="0.3">
      <c r="A4044">
        <v>4043</v>
      </c>
      <c r="B4044" t="s">
        <v>9</v>
      </c>
      <c r="C4044">
        <v>297046</v>
      </c>
      <c r="D4044" t="s">
        <v>17</v>
      </c>
      <c r="E4044" t="s">
        <v>16</v>
      </c>
      <c r="F4044" t="s">
        <v>12</v>
      </c>
      <c r="G4044" t="s">
        <v>13</v>
      </c>
      <c r="H4044" t="s">
        <v>13</v>
      </c>
      <c r="I4044">
        <v>64</v>
      </c>
      <c r="J4044">
        <f>ABS((I4044-EDA!$A$15)/EDA!$B$15)</f>
        <v>1.5540975745557424</v>
      </c>
      <c r="K4044" t="str">
        <f t="shared" si="63"/>
        <v>No</v>
      </c>
      <c r="L4044">
        <f>ABS((C4044-EDA!$F$15)/EDA!$G$15)</f>
        <v>0.37071091707942361</v>
      </c>
      <c r="M4044" t="str">
        <f>IF(moras[[#This Row],[Z-Score Salario]]&gt;1.96, "Sí", "No")</f>
        <v>No</v>
      </c>
      <c r="N4044" s="14">
        <f>IF(ISBLANK(moras[[#This Row],[SALARIO]]), EDA!$M$8, moras[[#This Row],[SALARIO]])</f>
        <v>297046</v>
      </c>
      <c r="O4044" s="14">
        <f xml:space="preserve"> IF(ISBLANK(moras[[#This Row],[EDAD]]), EDA!$E$8, moras[[#This Row],[EDAD]])</f>
        <v>64</v>
      </c>
      <c r="P4044" s="14" t="str">
        <f>IF(
    OR(ISBLANK(moras[[#This Row],[TIPO_ASEGURAMIENTO]]), moras[[#This Row],[TIPO_ASEGURAMIENTO]]=""),
    EDA!$A$32,
    moras[[#This Row],[TIPO_ASEGURAMIENTO]]
)</f>
        <v>ASEGURADO VOLUNTARIO</v>
      </c>
    </row>
    <row r="4045" spans="1:16" x14ac:dyDescent="0.3">
      <c r="A4045">
        <v>4044</v>
      </c>
      <c r="B4045" t="s">
        <v>9</v>
      </c>
      <c r="C4045">
        <v>45500</v>
      </c>
      <c r="D4045" t="s">
        <v>10</v>
      </c>
      <c r="E4045" t="s">
        <v>16</v>
      </c>
      <c r="F4045" t="s">
        <v>12</v>
      </c>
      <c r="G4045" t="s">
        <v>12</v>
      </c>
      <c r="H4045" t="s">
        <v>13</v>
      </c>
      <c r="I4045">
        <v>41</v>
      </c>
      <c r="J4045">
        <f>ABS((I4045-EDA!$A$15)/EDA!$B$15)</f>
        <v>6.9135017218420233E-2</v>
      </c>
      <c r="K4045" t="str">
        <f t="shared" si="63"/>
        <v>No</v>
      </c>
      <c r="L4045">
        <f>ABS((C4045-EDA!$F$15)/EDA!$G$15)</f>
        <v>0.37489682008881314</v>
      </c>
      <c r="M4045" t="str">
        <f>IF(moras[[#This Row],[Z-Score Salario]]&gt;1.96, "Sí", "No")</f>
        <v>No</v>
      </c>
      <c r="N4045" s="14">
        <f>IF(ISBLANK(moras[[#This Row],[SALARIO]]), EDA!$M$8, moras[[#This Row],[SALARIO]])</f>
        <v>45500</v>
      </c>
      <c r="O4045" s="14">
        <f xml:space="preserve"> IF(ISBLANK(moras[[#This Row],[EDAD]]), EDA!$E$8, moras[[#This Row],[EDAD]])</f>
        <v>41</v>
      </c>
      <c r="P4045" s="14" t="str">
        <f>IF(
    OR(ISBLANK(moras[[#This Row],[TIPO_ASEGURAMIENTO]]), moras[[#This Row],[TIPO_ASEGURAMIENTO]]=""),
    EDA!$A$32,
    moras[[#This Row],[TIPO_ASEGURAMIENTO]]
)</f>
        <v>ASALARIADO</v>
      </c>
    </row>
    <row r="4046" spans="1:16" x14ac:dyDescent="0.3">
      <c r="A4046">
        <v>4045</v>
      </c>
      <c r="B4046" t="s">
        <v>9</v>
      </c>
      <c r="C4046">
        <v>310740</v>
      </c>
      <c r="D4046" t="s">
        <v>10</v>
      </c>
      <c r="E4046" t="s">
        <v>16</v>
      </c>
      <c r="F4046" t="s">
        <v>12</v>
      </c>
      <c r="G4046" t="s">
        <v>13</v>
      </c>
      <c r="H4046" t="s">
        <v>13</v>
      </c>
      <c r="I4046">
        <v>39</v>
      </c>
      <c r="J4046">
        <f>ABS((I4046-EDA!$A$15)/EDA!$B$15)</f>
        <v>0.21028567737269524</v>
      </c>
      <c r="K4046" t="str">
        <f t="shared" si="63"/>
        <v>No</v>
      </c>
      <c r="L4046">
        <f>ABS((C4046-EDA!$F$15)/EDA!$G$15)</f>
        <v>0.37048303925266196</v>
      </c>
      <c r="M4046" t="str">
        <f>IF(moras[[#This Row],[Z-Score Salario]]&gt;1.96, "Sí", "No")</f>
        <v>No</v>
      </c>
      <c r="N4046" s="14">
        <f>IF(ISBLANK(moras[[#This Row],[SALARIO]]), EDA!$M$8, moras[[#This Row],[SALARIO]])</f>
        <v>310740</v>
      </c>
      <c r="O4046" s="14">
        <f xml:space="preserve"> IF(ISBLANK(moras[[#This Row],[EDAD]]), EDA!$E$8, moras[[#This Row],[EDAD]])</f>
        <v>39</v>
      </c>
      <c r="P4046" s="14" t="str">
        <f>IF(
    OR(ISBLANK(moras[[#This Row],[TIPO_ASEGURAMIENTO]]), moras[[#This Row],[TIPO_ASEGURAMIENTO]]=""),
    EDA!$A$32,
    moras[[#This Row],[TIPO_ASEGURAMIENTO]]
)</f>
        <v>ASALARIADO</v>
      </c>
    </row>
    <row r="4047" spans="1:16" x14ac:dyDescent="0.3">
      <c r="A4047">
        <v>4046</v>
      </c>
      <c r="B4047" t="s">
        <v>15</v>
      </c>
      <c r="C4047">
        <v>173988952</v>
      </c>
      <c r="D4047" t="s">
        <v>10</v>
      </c>
      <c r="E4047" t="s">
        <v>11</v>
      </c>
      <c r="F4047" t="s">
        <v>12</v>
      </c>
      <c r="G4047" t="s">
        <v>13</v>
      </c>
      <c r="H4047" t="s">
        <v>13</v>
      </c>
      <c r="I4047">
        <v>38</v>
      </c>
      <c r="J4047">
        <f>ABS((I4047-EDA!$A$15)/EDA!$B$15)</f>
        <v>0.28086100744983278</v>
      </c>
      <c r="K4047" t="str">
        <f t="shared" si="63"/>
        <v>No</v>
      </c>
      <c r="L4047">
        <f>ABS((C4047-EDA!$F$15)/EDA!$G$15)</f>
        <v>2.5196450099955725</v>
      </c>
      <c r="M4047" t="str">
        <f>IF(moras[[#This Row],[Z-Score Salario]]&gt;1.96, "Sí", "No")</f>
        <v>Sí</v>
      </c>
      <c r="N4047" s="14">
        <f>IF(ISBLANK(moras[[#This Row],[SALARIO]]), EDA!$M$8, moras[[#This Row],[SALARIO]])</f>
        <v>173988952</v>
      </c>
      <c r="O4047" s="14">
        <f xml:space="preserve"> IF(ISBLANK(moras[[#This Row],[EDAD]]), EDA!$E$8, moras[[#This Row],[EDAD]])</f>
        <v>38</v>
      </c>
      <c r="P4047" s="14" t="str">
        <f>IF(
    OR(ISBLANK(moras[[#This Row],[TIPO_ASEGURAMIENTO]]), moras[[#This Row],[TIPO_ASEGURAMIENTO]]=""),
    EDA!$A$32,
    moras[[#This Row],[TIPO_ASEGURAMIENTO]]
)</f>
        <v>ASALARIADO</v>
      </c>
    </row>
    <row r="4048" spans="1:16" x14ac:dyDescent="0.3">
      <c r="A4048">
        <v>4047</v>
      </c>
      <c r="B4048" t="s">
        <v>15</v>
      </c>
      <c r="C4048">
        <v>445322</v>
      </c>
      <c r="D4048" t="s">
        <v>10</v>
      </c>
      <c r="E4048" t="s">
        <v>11</v>
      </c>
      <c r="F4048" t="s">
        <v>12</v>
      </c>
      <c r="G4048" t="s">
        <v>13</v>
      </c>
      <c r="H4048" t="s">
        <v>13</v>
      </c>
      <c r="I4048">
        <v>24</v>
      </c>
      <c r="J4048">
        <f>ABS((I4048-EDA!$A$15)/EDA!$B$15)</f>
        <v>1.2689156285297578</v>
      </c>
      <c r="K4048" t="str">
        <f t="shared" si="63"/>
        <v>No</v>
      </c>
      <c r="L4048">
        <f>ABS((C4048-EDA!$F$15)/EDA!$G$15)</f>
        <v>0.36824349976958665</v>
      </c>
      <c r="M4048" t="str">
        <f>IF(moras[[#This Row],[Z-Score Salario]]&gt;1.96, "Sí", "No")</f>
        <v>No</v>
      </c>
      <c r="N4048" s="14">
        <f>IF(ISBLANK(moras[[#This Row],[SALARIO]]), EDA!$M$8, moras[[#This Row],[SALARIO]])</f>
        <v>445322</v>
      </c>
      <c r="O4048" s="14">
        <f xml:space="preserve"> IF(ISBLANK(moras[[#This Row],[EDAD]]), EDA!$E$8, moras[[#This Row],[EDAD]])</f>
        <v>24</v>
      </c>
      <c r="P4048" s="14" t="str">
        <f>IF(
    OR(ISBLANK(moras[[#This Row],[TIPO_ASEGURAMIENTO]]), moras[[#This Row],[TIPO_ASEGURAMIENTO]]=""),
    EDA!$A$32,
    moras[[#This Row],[TIPO_ASEGURAMIENTO]]
)</f>
        <v>ASALARIADO</v>
      </c>
    </row>
    <row r="4049" spans="1:16" x14ac:dyDescent="0.3">
      <c r="A4049">
        <v>4048</v>
      </c>
      <c r="B4049" t="s">
        <v>9</v>
      </c>
      <c r="C4049">
        <v>845279</v>
      </c>
      <c r="D4049" t="s">
        <v>10</v>
      </c>
      <c r="E4049" t="s">
        <v>16</v>
      </c>
      <c r="F4049" t="s">
        <v>12</v>
      </c>
      <c r="G4049" t="s">
        <v>13</v>
      </c>
      <c r="H4049" t="s">
        <v>13</v>
      </c>
      <c r="I4049">
        <v>41</v>
      </c>
      <c r="J4049">
        <f>ABS((I4049-EDA!$A$15)/EDA!$B$15)</f>
        <v>6.9135017218420233E-2</v>
      </c>
      <c r="K4049" t="str">
        <f t="shared" si="63"/>
        <v>No</v>
      </c>
      <c r="L4049">
        <f>ABS((C4049-EDA!$F$15)/EDA!$G$15)</f>
        <v>0.36158793295506197</v>
      </c>
      <c r="M4049" t="str">
        <f>IF(moras[[#This Row],[Z-Score Salario]]&gt;1.96, "Sí", "No")</f>
        <v>No</v>
      </c>
      <c r="N4049" s="14">
        <f>IF(ISBLANK(moras[[#This Row],[SALARIO]]), EDA!$M$8, moras[[#This Row],[SALARIO]])</f>
        <v>845279</v>
      </c>
      <c r="O4049" s="14">
        <f xml:space="preserve"> IF(ISBLANK(moras[[#This Row],[EDAD]]), EDA!$E$8, moras[[#This Row],[EDAD]])</f>
        <v>41</v>
      </c>
      <c r="P4049" s="14" t="str">
        <f>IF(
    OR(ISBLANK(moras[[#This Row],[TIPO_ASEGURAMIENTO]]), moras[[#This Row],[TIPO_ASEGURAMIENTO]]=""),
    EDA!$A$32,
    moras[[#This Row],[TIPO_ASEGURAMIENTO]]
)</f>
        <v>ASALARIADO</v>
      </c>
    </row>
    <row r="4050" spans="1:16" x14ac:dyDescent="0.3">
      <c r="A4050">
        <v>4049</v>
      </c>
      <c r="B4050" t="s">
        <v>15</v>
      </c>
      <c r="C4050">
        <v>222000</v>
      </c>
      <c r="D4050" t="s">
        <v>10</v>
      </c>
      <c r="E4050" t="s">
        <v>16</v>
      </c>
      <c r="F4050" t="s">
        <v>12</v>
      </c>
      <c r="G4050" t="s">
        <v>13</v>
      </c>
      <c r="H4050" t="s">
        <v>13</v>
      </c>
      <c r="I4050">
        <v>61</v>
      </c>
      <c r="J4050">
        <f>ABS((I4050-EDA!$A$15)/EDA!$B$15)</f>
        <v>1.3423715843243298</v>
      </c>
      <c r="K4050" t="str">
        <f t="shared" si="63"/>
        <v>No</v>
      </c>
      <c r="L4050">
        <f>ABS((C4050-EDA!$F$15)/EDA!$G$15)</f>
        <v>0.37195973549531031</v>
      </c>
      <c r="M4050" t="str">
        <f>IF(moras[[#This Row],[Z-Score Salario]]&gt;1.96, "Sí", "No")</f>
        <v>No</v>
      </c>
      <c r="N4050" s="14">
        <f>IF(ISBLANK(moras[[#This Row],[SALARIO]]), EDA!$M$8, moras[[#This Row],[SALARIO]])</f>
        <v>222000</v>
      </c>
      <c r="O4050" s="14">
        <f xml:space="preserve"> IF(ISBLANK(moras[[#This Row],[EDAD]]), EDA!$E$8, moras[[#This Row],[EDAD]])</f>
        <v>61</v>
      </c>
      <c r="P4050" s="14" t="str">
        <f>IF(
    OR(ISBLANK(moras[[#This Row],[TIPO_ASEGURAMIENTO]]), moras[[#This Row],[TIPO_ASEGURAMIENTO]]=""),
    EDA!$A$32,
    moras[[#This Row],[TIPO_ASEGURAMIENTO]]
)</f>
        <v>ASALARIADO</v>
      </c>
    </row>
    <row r="4051" spans="1:16" x14ac:dyDescent="0.3">
      <c r="A4051">
        <v>4050</v>
      </c>
      <c r="B4051" t="s">
        <v>9</v>
      </c>
      <c r="C4051">
        <v>35067226</v>
      </c>
      <c r="D4051" t="s">
        <v>10</v>
      </c>
      <c r="E4051" t="s">
        <v>16</v>
      </c>
      <c r="F4051" t="s">
        <v>12</v>
      </c>
      <c r="G4051" t="s">
        <v>13</v>
      </c>
      <c r="H4051" t="s">
        <v>13</v>
      </c>
      <c r="I4051">
        <v>34</v>
      </c>
      <c r="J4051">
        <f>ABS((I4051-EDA!$A$15)/EDA!$B$15)</f>
        <v>0.56316232775838282</v>
      </c>
      <c r="K4051" t="str">
        <f t="shared" si="63"/>
        <v>No</v>
      </c>
      <c r="L4051">
        <f>ABS((C4051-EDA!$F$15)/EDA!$G$15)</f>
        <v>0.20788942281473646</v>
      </c>
      <c r="M4051" t="str">
        <f>IF(moras[[#This Row],[Z-Score Salario]]&gt;1.96, "Sí", "No")</f>
        <v>No</v>
      </c>
      <c r="N4051" s="14">
        <f>IF(ISBLANK(moras[[#This Row],[SALARIO]]), EDA!$M$8, moras[[#This Row],[SALARIO]])</f>
        <v>35067226</v>
      </c>
      <c r="O4051" s="14">
        <f xml:space="preserve"> IF(ISBLANK(moras[[#This Row],[EDAD]]), EDA!$E$8, moras[[#This Row],[EDAD]])</f>
        <v>34</v>
      </c>
      <c r="P4051" s="14" t="str">
        <f>IF(
    OR(ISBLANK(moras[[#This Row],[TIPO_ASEGURAMIENTO]]), moras[[#This Row],[TIPO_ASEGURAMIENTO]]=""),
    EDA!$A$32,
    moras[[#This Row],[TIPO_ASEGURAMIENTO]]
)</f>
        <v>ASALARIADO</v>
      </c>
    </row>
    <row r="4052" spans="1:16" x14ac:dyDescent="0.3">
      <c r="A4052">
        <v>4051</v>
      </c>
      <c r="B4052" t="s">
        <v>9</v>
      </c>
      <c r="C4052">
        <v>7823484</v>
      </c>
      <c r="D4052" t="s">
        <v>10</v>
      </c>
      <c r="E4052" t="s">
        <v>16</v>
      </c>
      <c r="F4052" t="s">
        <v>12</v>
      </c>
      <c r="G4052" t="s">
        <v>13</v>
      </c>
      <c r="H4052" t="s">
        <v>13</v>
      </c>
      <c r="I4052">
        <v>27</v>
      </c>
      <c r="J4052">
        <f>ABS((I4052-EDA!$A$15)/EDA!$B$15)</f>
        <v>1.0571896382983452</v>
      </c>
      <c r="K4052" t="str">
        <f t="shared" si="63"/>
        <v>No</v>
      </c>
      <c r="L4052">
        <f>ABS((C4052-EDA!$F$15)/EDA!$G$15)</f>
        <v>0.24546567575503808</v>
      </c>
      <c r="M4052" t="str">
        <f>IF(moras[[#This Row],[Z-Score Salario]]&gt;1.96, "Sí", "No")</f>
        <v>No</v>
      </c>
      <c r="N4052" s="14">
        <f>IF(ISBLANK(moras[[#This Row],[SALARIO]]), EDA!$M$8, moras[[#This Row],[SALARIO]])</f>
        <v>7823484</v>
      </c>
      <c r="O4052" s="14">
        <f xml:space="preserve"> IF(ISBLANK(moras[[#This Row],[EDAD]]), EDA!$E$8, moras[[#This Row],[EDAD]])</f>
        <v>27</v>
      </c>
      <c r="P4052" s="14" t="str">
        <f>IF(
    OR(ISBLANK(moras[[#This Row],[TIPO_ASEGURAMIENTO]]), moras[[#This Row],[TIPO_ASEGURAMIENTO]]=""),
    EDA!$A$32,
    moras[[#This Row],[TIPO_ASEGURAMIENTO]]
)</f>
        <v>ASALARIADO</v>
      </c>
    </row>
    <row r="4053" spans="1:16" x14ac:dyDescent="0.3">
      <c r="A4053">
        <v>4052</v>
      </c>
      <c r="B4053" t="s">
        <v>9</v>
      </c>
      <c r="C4053">
        <v>278030</v>
      </c>
      <c r="D4053" t="s">
        <v>19</v>
      </c>
      <c r="E4053" t="s">
        <v>16</v>
      </c>
      <c r="F4053" t="s">
        <v>12</v>
      </c>
      <c r="G4053" t="s">
        <v>13</v>
      </c>
      <c r="H4053" t="s">
        <v>13</v>
      </c>
      <c r="I4053">
        <v>57</v>
      </c>
      <c r="J4053">
        <f>ABS((I4053-EDA!$A$15)/EDA!$B$15)</f>
        <v>1.0600702640157798</v>
      </c>
      <c r="K4053" t="str">
        <f t="shared" si="63"/>
        <v>No</v>
      </c>
      <c r="L4053">
        <f>ABS((C4053-EDA!$F$15)/EDA!$G$15)</f>
        <v>0.37102735674304993</v>
      </c>
      <c r="M4053" t="str">
        <f>IF(moras[[#This Row],[Z-Score Salario]]&gt;1.96, "Sí", "No")</f>
        <v>No</v>
      </c>
      <c r="N4053" s="14">
        <f>IF(ISBLANK(moras[[#This Row],[SALARIO]]), EDA!$M$8, moras[[#This Row],[SALARIO]])</f>
        <v>278030</v>
      </c>
      <c r="O4053" s="14">
        <f xml:space="preserve"> IF(ISBLANK(moras[[#This Row],[EDAD]]), EDA!$E$8, moras[[#This Row],[EDAD]])</f>
        <v>57</v>
      </c>
      <c r="P4053" s="14" t="str">
        <f>IF(
    OR(ISBLANK(moras[[#This Row],[TIPO_ASEGURAMIENTO]]), moras[[#This Row],[TIPO_ASEGURAMIENTO]]=""),
    EDA!$A$32,
    moras[[#This Row],[TIPO_ASEGURAMIENTO]]
)</f>
        <v>CONVENIOS ESPECIALES DE TRABAJADORES INDEPENDIENTES</v>
      </c>
    </row>
    <row r="4054" spans="1:16" x14ac:dyDescent="0.3">
      <c r="A4054">
        <v>4053</v>
      </c>
      <c r="B4054" t="s">
        <v>15</v>
      </c>
      <c r="C4054">
        <v>26930907</v>
      </c>
      <c r="D4054" t="s">
        <v>10</v>
      </c>
      <c r="E4054" t="s">
        <v>11</v>
      </c>
      <c r="F4054" t="s">
        <v>12</v>
      </c>
      <c r="G4054" t="s">
        <v>13</v>
      </c>
      <c r="H4054" t="s">
        <v>13</v>
      </c>
      <c r="I4054">
        <v>28</v>
      </c>
      <c r="J4054">
        <f>ABS((I4054-EDA!$A$15)/EDA!$B$15)</f>
        <v>0.98661430822120777</v>
      </c>
      <c r="K4054" t="str">
        <f t="shared" si="63"/>
        <v>No</v>
      </c>
      <c r="L4054">
        <f>ABS((C4054-EDA!$F$15)/EDA!$G$15)</f>
        <v>7.2495331127914245E-2</v>
      </c>
      <c r="M4054" t="str">
        <f>IF(moras[[#This Row],[Z-Score Salario]]&gt;1.96, "Sí", "No")</f>
        <v>No</v>
      </c>
      <c r="N4054" s="14">
        <f>IF(ISBLANK(moras[[#This Row],[SALARIO]]), EDA!$M$8, moras[[#This Row],[SALARIO]])</f>
        <v>26930907</v>
      </c>
      <c r="O4054" s="14">
        <f xml:space="preserve"> IF(ISBLANK(moras[[#This Row],[EDAD]]), EDA!$E$8, moras[[#This Row],[EDAD]])</f>
        <v>28</v>
      </c>
      <c r="P4054" s="14" t="str">
        <f>IF(
    OR(ISBLANK(moras[[#This Row],[TIPO_ASEGURAMIENTO]]), moras[[#This Row],[TIPO_ASEGURAMIENTO]]=""),
    EDA!$A$32,
    moras[[#This Row],[TIPO_ASEGURAMIENTO]]
)</f>
        <v>ASALARIADO</v>
      </c>
    </row>
    <row r="4055" spans="1:16" x14ac:dyDescent="0.3">
      <c r="A4055">
        <v>4054</v>
      </c>
      <c r="B4055" t="s">
        <v>15</v>
      </c>
      <c r="C4055">
        <v>742483</v>
      </c>
      <c r="D4055" t="s">
        <v>18</v>
      </c>
      <c r="E4055" t="s">
        <v>16</v>
      </c>
      <c r="F4055" t="s">
        <v>12</v>
      </c>
      <c r="G4055" t="s">
        <v>13</v>
      </c>
      <c r="H4055" t="s">
        <v>13</v>
      </c>
      <c r="I4055">
        <v>50</v>
      </c>
      <c r="J4055">
        <f>ABS((I4055-EDA!$A$15)/EDA!$B$15)</f>
        <v>0.56604295347581735</v>
      </c>
      <c r="K4055" t="str">
        <f t="shared" si="63"/>
        <v>No</v>
      </c>
      <c r="L4055">
        <f>ABS((C4055-EDA!$F$15)/EDA!$G$15)</f>
        <v>0.36329853096001219</v>
      </c>
      <c r="M4055" t="str">
        <f>IF(moras[[#This Row],[Z-Score Salario]]&gt;1.96, "Sí", "No")</f>
        <v>No</v>
      </c>
      <c r="N4055" s="14">
        <f>IF(ISBLANK(moras[[#This Row],[SALARIO]]), EDA!$M$8, moras[[#This Row],[SALARIO]])</f>
        <v>742483</v>
      </c>
      <c r="O4055" s="14">
        <f xml:space="preserve"> IF(ISBLANK(moras[[#This Row],[EDAD]]), EDA!$E$8, moras[[#This Row],[EDAD]])</f>
        <v>50</v>
      </c>
      <c r="P4055" s="14" t="str">
        <f>IF(
    OR(ISBLANK(moras[[#This Row],[TIPO_ASEGURAMIENTO]]), moras[[#This Row],[TIPO_ASEGURAMIENTO]]=""),
    EDA!$A$32,
    moras[[#This Row],[TIPO_ASEGURAMIENTO]]
)</f>
        <v>TRABAJADOR INDEPENDIENTE</v>
      </c>
    </row>
    <row r="4056" spans="1:16" x14ac:dyDescent="0.3">
      <c r="A4056">
        <v>4055</v>
      </c>
      <c r="B4056" t="s">
        <v>9</v>
      </c>
      <c r="C4056">
        <v>566297</v>
      </c>
      <c r="D4056" t="s">
        <v>18</v>
      </c>
      <c r="E4056" t="s">
        <v>16</v>
      </c>
      <c r="F4056" t="s">
        <v>12</v>
      </c>
      <c r="G4056" t="s">
        <v>13</v>
      </c>
      <c r="H4056" t="s">
        <v>12</v>
      </c>
      <c r="I4056">
        <v>42</v>
      </c>
      <c r="J4056">
        <f>ABS((I4056-EDA!$A$15)/EDA!$B$15)</f>
        <v>1.4403128587172659E-3</v>
      </c>
      <c r="K4056" t="str">
        <f t="shared" si="63"/>
        <v>No</v>
      </c>
      <c r="L4056">
        <f>ABS((C4056-EDA!$F$15)/EDA!$G$15)</f>
        <v>0.36623039037185856</v>
      </c>
      <c r="M4056" t="str">
        <f>IF(moras[[#This Row],[Z-Score Salario]]&gt;1.96, "Sí", "No")</f>
        <v>No</v>
      </c>
      <c r="N4056" s="14">
        <f>IF(ISBLANK(moras[[#This Row],[SALARIO]]), EDA!$M$8, moras[[#This Row],[SALARIO]])</f>
        <v>566297</v>
      </c>
      <c r="O4056" s="14">
        <f xml:space="preserve"> IF(ISBLANK(moras[[#This Row],[EDAD]]), EDA!$E$8, moras[[#This Row],[EDAD]])</f>
        <v>42</v>
      </c>
      <c r="P4056" s="14" t="str">
        <f>IF(
    OR(ISBLANK(moras[[#This Row],[TIPO_ASEGURAMIENTO]]), moras[[#This Row],[TIPO_ASEGURAMIENTO]]=""),
    EDA!$A$32,
    moras[[#This Row],[TIPO_ASEGURAMIENTO]]
)</f>
        <v>TRABAJADOR INDEPENDIENTE</v>
      </c>
    </row>
    <row r="4057" spans="1:16" x14ac:dyDescent="0.3">
      <c r="A4057">
        <v>4056</v>
      </c>
      <c r="B4057" t="s">
        <v>9</v>
      </c>
      <c r="C4057">
        <v>816719</v>
      </c>
      <c r="D4057" t="s">
        <v>10</v>
      </c>
      <c r="E4057" t="s">
        <v>11</v>
      </c>
      <c r="F4057" t="s">
        <v>12</v>
      </c>
      <c r="G4057" t="s">
        <v>13</v>
      </c>
      <c r="H4057" t="s">
        <v>13</v>
      </c>
      <c r="I4057">
        <v>56</v>
      </c>
      <c r="J4057">
        <f>ABS((I4057-EDA!$A$15)/EDA!$B$15)</f>
        <v>0.9894949339386423</v>
      </c>
      <c r="K4057" t="str">
        <f t="shared" si="63"/>
        <v>No</v>
      </c>
      <c r="L4057">
        <f>ABS((C4057-EDA!$F$15)/EDA!$G$15)</f>
        <v>0.36206319151591432</v>
      </c>
      <c r="M4057" t="str">
        <f>IF(moras[[#This Row],[Z-Score Salario]]&gt;1.96, "Sí", "No")</f>
        <v>No</v>
      </c>
      <c r="N4057" s="14">
        <f>IF(ISBLANK(moras[[#This Row],[SALARIO]]), EDA!$M$8, moras[[#This Row],[SALARIO]])</f>
        <v>816719</v>
      </c>
      <c r="O4057" s="14">
        <f xml:space="preserve"> IF(ISBLANK(moras[[#This Row],[EDAD]]), EDA!$E$8, moras[[#This Row],[EDAD]])</f>
        <v>56</v>
      </c>
      <c r="P4057" s="14" t="str">
        <f>IF(
    OR(ISBLANK(moras[[#This Row],[TIPO_ASEGURAMIENTO]]), moras[[#This Row],[TIPO_ASEGURAMIENTO]]=""),
    EDA!$A$32,
    moras[[#This Row],[TIPO_ASEGURAMIENTO]]
)</f>
        <v>ASALARIADO</v>
      </c>
    </row>
    <row r="4058" spans="1:16" x14ac:dyDescent="0.3">
      <c r="A4058">
        <v>4057</v>
      </c>
      <c r="B4058" t="s">
        <v>9</v>
      </c>
      <c r="C4058">
        <v>81807521</v>
      </c>
      <c r="D4058" t="s">
        <v>14</v>
      </c>
      <c r="E4058" t="s">
        <v>11</v>
      </c>
      <c r="F4058" t="s">
        <v>12</v>
      </c>
      <c r="G4058" t="s">
        <v>13</v>
      </c>
      <c r="H4058" t="s">
        <v>13</v>
      </c>
      <c r="I4058">
        <v>81</v>
      </c>
      <c r="J4058">
        <f>ABS((I4058-EDA!$A$15)/EDA!$B$15)</f>
        <v>2.7538781858670798</v>
      </c>
      <c r="K4058" t="str">
        <f t="shared" si="63"/>
        <v>Sí</v>
      </c>
      <c r="L4058">
        <f>ABS((C4058-EDA!$F$15)/EDA!$G$15)</f>
        <v>0.98568092615907665</v>
      </c>
      <c r="M4058" t="str">
        <f>IF(moras[[#This Row],[Z-Score Salario]]&gt;1.96, "Sí", "No")</f>
        <v>No</v>
      </c>
      <c r="N4058" s="14">
        <f>IF(ISBLANK(moras[[#This Row],[SALARIO]]), EDA!$M$8, moras[[#This Row],[SALARIO]])</f>
        <v>81807521</v>
      </c>
      <c r="O4058" s="14">
        <f xml:space="preserve"> IF(ISBLANK(moras[[#This Row],[EDAD]]), EDA!$E$8, moras[[#This Row],[EDAD]])</f>
        <v>81</v>
      </c>
      <c r="P4058" s="14" t="str">
        <f>IF(
    OR(ISBLANK(moras[[#This Row],[TIPO_ASEGURAMIENTO]]), moras[[#This Row],[TIPO_ASEGURAMIENTO]]=""),
    EDA!$A$32,
    moras[[#This Row],[TIPO_ASEGURAMIENTO]]
)</f>
        <v>PENSIONADOS EN SU PROPIO SISTEMA</v>
      </c>
    </row>
    <row r="4059" spans="1:16" x14ac:dyDescent="0.3">
      <c r="A4059">
        <v>4058</v>
      </c>
      <c r="B4059" t="s">
        <v>15</v>
      </c>
      <c r="C4059">
        <v>312500</v>
      </c>
      <c r="D4059" t="s">
        <v>10</v>
      </c>
      <c r="E4059" t="s">
        <v>16</v>
      </c>
      <c r="F4059" t="s">
        <v>12</v>
      </c>
      <c r="G4059" t="s">
        <v>13</v>
      </c>
      <c r="H4059" t="s">
        <v>13</v>
      </c>
      <c r="I4059">
        <v>38</v>
      </c>
      <c r="J4059">
        <f>ABS((I4059-EDA!$A$15)/EDA!$B$15)</f>
        <v>0.28086100744983278</v>
      </c>
      <c r="K4059" t="str">
        <f t="shared" si="63"/>
        <v>No</v>
      </c>
      <c r="L4059">
        <f>ABS((C4059-EDA!$F$15)/EDA!$G$15)</f>
        <v>0.37045375161025651</v>
      </c>
      <c r="M4059" t="str">
        <f>IF(moras[[#This Row],[Z-Score Salario]]&gt;1.96, "Sí", "No")</f>
        <v>No</v>
      </c>
      <c r="N4059" s="14">
        <f>IF(ISBLANK(moras[[#This Row],[SALARIO]]), EDA!$M$8, moras[[#This Row],[SALARIO]])</f>
        <v>312500</v>
      </c>
      <c r="O4059" s="14">
        <f xml:space="preserve"> IF(ISBLANK(moras[[#This Row],[EDAD]]), EDA!$E$8, moras[[#This Row],[EDAD]])</f>
        <v>38</v>
      </c>
      <c r="P4059" s="14" t="str">
        <f>IF(
    OR(ISBLANK(moras[[#This Row],[TIPO_ASEGURAMIENTO]]), moras[[#This Row],[TIPO_ASEGURAMIENTO]]=""),
    EDA!$A$32,
    moras[[#This Row],[TIPO_ASEGURAMIENTO]]
)</f>
        <v>ASALARIADO</v>
      </c>
    </row>
    <row r="4060" spans="1:16" x14ac:dyDescent="0.3">
      <c r="A4060">
        <v>4059</v>
      </c>
      <c r="B4060" t="s">
        <v>9</v>
      </c>
      <c r="C4060">
        <v>278030</v>
      </c>
      <c r="D4060" t="s">
        <v>19</v>
      </c>
      <c r="E4060" t="s">
        <v>16</v>
      </c>
      <c r="F4060" t="s">
        <v>12</v>
      </c>
      <c r="G4060" t="s">
        <v>13</v>
      </c>
      <c r="H4060" t="s">
        <v>13</v>
      </c>
      <c r="I4060">
        <v>32</v>
      </c>
      <c r="J4060">
        <f>ABS((I4060-EDA!$A$15)/EDA!$B$15)</f>
        <v>0.70431298791265773</v>
      </c>
      <c r="K4060" t="str">
        <f t="shared" si="63"/>
        <v>No</v>
      </c>
      <c r="L4060">
        <f>ABS((C4060-EDA!$F$15)/EDA!$G$15)</f>
        <v>0.37102735674304993</v>
      </c>
      <c r="M4060" t="str">
        <f>IF(moras[[#This Row],[Z-Score Salario]]&gt;1.96, "Sí", "No")</f>
        <v>No</v>
      </c>
      <c r="N4060" s="14">
        <f>IF(ISBLANK(moras[[#This Row],[SALARIO]]), EDA!$M$8, moras[[#This Row],[SALARIO]])</f>
        <v>278030</v>
      </c>
      <c r="O4060" s="14">
        <f xml:space="preserve"> IF(ISBLANK(moras[[#This Row],[EDAD]]), EDA!$E$8, moras[[#This Row],[EDAD]])</f>
        <v>32</v>
      </c>
      <c r="P4060" s="14" t="str">
        <f>IF(
    OR(ISBLANK(moras[[#This Row],[TIPO_ASEGURAMIENTO]]), moras[[#This Row],[TIPO_ASEGURAMIENTO]]=""),
    EDA!$A$32,
    moras[[#This Row],[TIPO_ASEGURAMIENTO]]
)</f>
        <v>CONVENIOS ESPECIALES DE TRABAJADORES INDEPENDIENTES</v>
      </c>
    </row>
    <row r="4061" spans="1:16" x14ac:dyDescent="0.3">
      <c r="A4061">
        <v>4060</v>
      </c>
      <c r="B4061" t="s">
        <v>9</v>
      </c>
      <c r="C4061">
        <v>35406087</v>
      </c>
      <c r="D4061" t="s">
        <v>10</v>
      </c>
      <c r="E4061" t="s">
        <v>16</v>
      </c>
      <c r="F4061" t="s">
        <v>12</v>
      </c>
      <c r="G4061" t="s">
        <v>13</v>
      </c>
      <c r="H4061" t="s">
        <v>13</v>
      </c>
      <c r="I4061">
        <v>36</v>
      </c>
      <c r="J4061">
        <f>ABS((I4061-EDA!$A$15)/EDA!$B$15)</f>
        <v>0.42201166760410774</v>
      </c>
      <c r="K4061" t="str">
        <f t="shared" si="63"/>
        <v>No</v>
      </c>
      <c r="L4061">
        <f>ABS((C4061-EDA!$F$15)/EDA!$G$15)</f>
        <v>0.21352830906084952</v>
      </c>
      <c r="M4061" t="str">
        <f>IF(moras[[#This Row],[Z-Score Salario]]&gt;1.96, "Sí", "No")</f>
        <v>No</v>
      </c>
      <c r="N4061" s="14">
        <f>IF(ISBLANK(moras[[#This Row],[SALARIO]]), EDA!$M$8, moras[[#This Row],[SALARIO]])</f>
        <v>35406087</v>
      </c>
      <c r="O4061" s="14">
        <f xml:space="preserve"> IF(ISBLANK(moras[[#This Row],[EDAD]]), EDA!$E$8, moras[[#This Row],[EDAD]])</f>
        <v>36</v>
      </c>
      <c r="P4061" s="14" t="str">
        <f>IF(
    OR(ISBLANK(moras[[#This Row],[TIPO_ASEGURAMIENTO]]), moras[[#This Row],[TIPO_ASEGURAMIENTO]]=""),
    EDA!$A$32,
    moras[[#This Row],[TIPO_ASEGURAMIENTO]]
)</f>
        <v>ASALARIADO</v>
      </c>
    </row>
    <row r="4062" spans="1:16" x14ac:dyDescent="0.3">
      <c r="A4062">
        <v>4061</v>
      </c>
      <c r="B4062" t="s">
        <v>9</v>
      </c>
      <c r="C4062">
        <v>5850356</v>
      </c>
      <c r="D4062" t="s">
        <v>10</v>
      </c>
      <c r="E4062" t="s">
        <v>11</v>
      </c>
      <c r="F4062" t="s">
        <v>12</v>
      </c>
      <c r="G4062" t="s">
        <v>13</v>
      </c>
      <c r="H4062" t="s">
        <v>13</v>
      </c>
      <c r="I4062">
        <v>31</v>
      </c>
      <c r="J4062">
        <f>ABS((I4062-EDA!$A$15)/EDA!$B$15)</f>
        <v>0.77488831798979529</v>
      </c>
      <c r="K4062" t="str">
        <f t="shared" si="63"/>
        <v>No</v>
      </c>
      <c r="L4062">
        <f>ABS((C4062-EDA!$F$15)/EDA!$G$15)</f>
        <v>0.2782999185301599</v>
      </c>
      <c r="M4062" t="str">
        <f>IF(moras[[#This Row],[Z-Score Salario]]&gt;1.96, "Sí", "No")</f>
        <v>No</v>
      </c>
      <c r="N4062" s="14">
        <f>IF(ISBLANK(moras[[#This Row],[SALARIO]]), EDA!$M$8, moras[[#This Row],[SALARIO]])</f>
        <v>5850356</v>
      </c>
      <c r="O4062" s="14">
        <f xml:space="preserve"> IF(ISBLANK(moras[[#This Row],[EDAD]]), EDA!$E$8, moras[[#This Row],[EDAD]])</f>
        <v>31</v>
      </c>
      <c r="P4062" s="14" t="str">
        <f>IF(
    OR(ISBLANK(moras[[#This Row],[TIPO_ASEGURAMIENTO]]), moras[[#This Row],[TIPO_ASEGURAMIENTO]]=""),
    EDA!$A$32,
    moras[[#This Row],[TIPO_ASEGURAMIENTO]]
)</f>
        <v>ASALARIADO</v>
      </c>
    </row>
    <row r="4063" spans="1:16" x14ac:dyDescent="0.3">
      <c r="A4063">
        <v>4062</v>
      </c>
      <c r="B4063" t="s">
        <v>9</v>
      </c>
      <c r="C4063">
        <v>12049844</v>
      </c>
      <c r="D4063" t="s">
        <v>10</v>
      </c>
      <c r="E4063" t="s">
        <v>16</v>
      </c>
      <c r="F4063" t="s">
        <v>12</v>
      </c>
      <c r="G4063" t="s">
        <v>13</v>
      </c>
      <c r="H4063" t="s">
        <v>13</v>
      </c>
      <c r="I4063">
        <v>23</v>
      </c>
      <c r="J4063">
        <f>ABS((I4063-EDA!$A$15)/EDA!$B$15)</f>
        <v>1.3394909586068953</v>
      </c>
      <c r="K4063" t="str">
        <f t="shared" si="63"/>
        <v>No</v>
      </c>
      <c r="L4063">
        <f>ABS((C4063-EDA!$F$15)/EDA!$G$15)</f>
        <v>0.17513606191596442</v>
      </c>
      <c r="M4063" t="str">
        <f>IF(moras[[#This Row],[Z-Score Salario]]&gt;1.96, "Sí", "No")</f>
        <v>No</v>
      </c>
      <c r="N4063" s="14">
        <f>IF(ISBLANK(moras[[#This Row],[SALARIO]]), EDA!$M$8, moras[[#This Row],[SALARIO]])</f>
        <v>12049844</v>
      </c>
      <c r="O4063" s="14">
        <f xml:space="preserve"> IF(ISBLANK(moras[[#This Row],[EDAD]]), EDA!$E$8, moras[[#This Row],[EDAD]])</f>
        <v>23</v>
      </c>
      <c r="P4063" s="14" t="str">
        <f>IF(
    OR(ISBLANK(moras[[#This Row],[TIPO_ASEGURAMIENTO]]), moras[[#This Row],[TIPO_ASEGURAMIENTO]]=""),
    EDA!$A$32,
    moras[[#This Row],[TIPO_ASEGURAMIENTO]]
)</f>
        <v>ASALARIADO</v>
      </c>
    </row>
    <row r="4064" spans="1:16" x14ac:dyDescent="0.3">
      <c r="A4064">
        <v>4063</v>
      </c>
      <c r="B4064" t="s">
        <v>9</v>
      </c>
      <c r="C4064">
        <v>72896119</v>
      </c>
      <c r="D4064" t="s">
        <v>10</v>
      </c>
      <c r="E4064" t="s">
        <v>16</v>
      </c>
      <c r="F4064" t="s">
        <v>12</v>
      </c>
      <c r="G4064" t="s">
        <v>13</v>
      </c>
      <c r="H4064" t="s">
        <v>13</v>
      </c>
      <c r="I4064">
        <v>35</v>
      </c>
      <c r="J4064">
        <f>ABS((I4064-EDA!$A$15)/EDA!$B$15)</f>
        <v>0.49258699768124525</v>
      </c>
      <c r="K4064" t="str">
        <f t="shared" si="63"/>
        <v>No</v>
      </c>
      <c r="L4064">
        <f>ABS((C4064-EDA!$F$15)/EDA!$G$15)</f>
        <v>0.83738890621171091</v>
      </c>
      <c r="M4064" t="str">
        <f>IF(moras[[#This Row],[Z-Score Salario]]&gt;1.96, "Sí", "No")</f>
        <v>No</v>
      </c>
      <c r="N4064" s="14">
        <f>IF(ISBLANK(moras[[#This Row],[SALARIO]]), EDA!$M$8, moras[[#This Row],[SALARIO]])</f>
        <v>72896119</v>
      </c>
      <c r="O4064" s="14">
        <f xml:space="preserve"> IF(ISBLANK(moras[[#This Row],[EDAD]]), EDA!$E$8, moras[[#This Row],[EDAD]])</f>
        <v>35</v>
      </c>
      <c r="P4064" s="14" t="str">
        <f>IF(
    OR(ISBLANK(moras[[#This Row],[TIPO_ASEGURAMIENTO]]), moras[[#This Row],[TIPO_ASEGURAMIENTO]]=""),
    EDA!$A$32,
    moras[[#This Row],[TIPO_ASEGURAMIENTO]]
)</f>
        <v>ASALARIADO</v>
      </c>
    </row>
    <row r="4065" spans="1:16" x14ac:dyDescent="0.3">
      <c r="A4065">
        <v>4064</v>
      </c>
      <c r="B4065" t="s">
        <v>9</v>
      </c>
      <c r="C4065">
        <v>787001</v>
      </c>
      <c r="D4065" t="s">
        <v>10</v>
      </c>
      <c r="E4065" t="s">
        <v>16</v>
      </c>
      <c r="F4065" t="s">
        <v>12</v>
      </c>
      <c r="G4065" t="s">
        <v>13</v>
      </c>
      <c r="H4065" t="s">
        <v>13</v>
      </c>
      <c r="I4065">
        <v>39</v>
      </c>
      <c r="J4065">
        <f>ABS((I4065-EDA!$A$15)/EDA!$B$15)</f>
        <v>0.21028567737269524</v>
      </c>
      <c r="K4065" t="str">
        <f t="shared" si="63"/>
        <v>No</v>
      </c>
      <c r="L4065">
        <f>ABS((C4065-EDA!$F$15)/EDA!$G$15)</f>
        <v>0.36255772001421299</v>
      </c>
      <c r="M4065" t="str">
        <f>IF(moras[[#This Row],[Z-Score Salario]]&gt;1.96, "Sí", "No")</f>
        <v>No</v>
      </c>
      <c r="N4065" s="14">
        <f>IF(ISBLANK(moras[[#This Row],[SALARIO]]), EDA!$M$8, moras[[#This Row],[SALARIO]])</f>
        <v>787001</v>
      </c>
      <c r="O4065" s="14">
        <f xml:space="preserve"> IF(ISBLANK(moras[[#This Row],[EDAD]]), EDA!$E$8, moras[[#This Row],[EDAD]])</f>
        <v>39</v>
      </c>
      <c r="P4065" s="14" t="str">
        <f>IF(
    OR(ISBLANK(moras[[#This Row],[TIPO_ASEGURAMIENTO]]), moras[[#This Row],[TIPO_ASEGURAMIENTO]]=""),
    EDA!$A$32,
    moras[[#This Row],[TIPO_ASEGURAMIENTO]]
)</f>
        <v>ASALARIADO</v>
      </c>
    </row>
    <row r="4066" spans="1:16" x14ac:dyDescent="0.3">
      <c r="A4066">
        <v>4065</v>
      </c>
      <c r="B4066" t="s">
        <v>9</v>
      </c>
      <c r="C4066">
        <v>589997</v>
      </c>
      <c r="D4066" t="s">
        <v>10</v>
      </c>
      <c r="E4066" t="s">
        <v>11</v>
      </c>
      <c r="F4066" t="s">
        <v>12</v>
      </c>
      <c r="G4066" t="s">
        <v>13</v>
      </c>
      <c r="H4066" t="s">
        <v>13</v>
      </c>
      <c r="I4066">
        <v>48</v>
      </c>
      <c r="J4066">
        <f>ABS((I4066-EDA!$A$15)/EDA!$B$15)</f>
        <v>0.42489229332154227</v>
      </c>
      <c r="K4066" t="str">
        <f t="shared" si="63"/>
        <v>No</v>
      </c>
      <c r="L4066">
        <f>ABS((C4066-EDA!$F$15)/EDA!$G$15)</f>
        <v>0.36583600564173951</v>
      </c>
      <c r="M4066" t="str">
        <f>IF(moras[[#This Row],[Z-Score Salario]]&gt;1.96, "Sí", "No")</f>
        <v>No</v>
      </c>
      <c r="N4066" s="14">
        <f>IF(ISBLANK(moras[[#This Row],[SALARIO]]), EDA!$M$8, moras[[#This Row],[SALARIO]])</f>
        <v>589997</v>
      </c>
      <c r="O4066" s="14">
        <f xml:space="preserve"> IF(ISBLANK(moras[[#This Row],[EDAD]]), EDA!$E$8, moras[[#This Row],[EDAD]])</f>
        <v>48</v>
      </c>
      <c r="P4066" s="14" t="str">
        <f>IF(
    OR(ISBLANK(moras[[#This Row],[TIPO_ASEGURAMIENTO]]), moras[[#This Row],[TIPO_ASEGURAMIENTO]]=""),
    EDA!$A$32,
    moras[[#This Row],[TIPO_ASEGURAMIENTO]]
)</f>
        <v>ASALARIADO</v>
      </c>
    </row>
    <row r="4067" spans="1:16" x14ac:dyDescent="0.3">
      <c r="A4067">
        <v>4066</v>
      </c>
      <c r="B4067" t="s">
        <v>15</v>
      </c>
      <c r="C4067">
        <v>278031</v>
      </c>
      <c r="D4067" t="s">
        <v>18</v>
      </c>
      <c r="E4067" t="s">
        <v>16</v>
      </c>
      <c r="F4067" t="s">
        <v>12</v>
      </c>
      <c r="G4067" t="s">
        <v>13</v>
      </c>
      <c r="H4067" t="s">
        <v>13</v>
      </c>
      <c r="I4067">
        <v>51</v>
      </c>
      <c r="J4067">
        <f>ABS((I4067-EDA!$A$15)/EDA!$B$15)</f>
        <v>0.6366182835529548</v>
      </c>
      <c r="K4067" t="str">
        <f t="shared" si="63"/>
        <v>No</v>
      </c>
      <c r="L4067">
        <f>ABS((C4067-EDA!$F$15)/EDA!$G$15)</f>
        <v>0.37102734010234401</v>
      </c>
      <c r="M4067" t="str">
        <f>IF(moras[[#This Row],[Z-Score Salario]]&gt;1.96, "Sí", "No")</f>
        <v>No</v>
      </c>
      <c r="N4067" s="14">
        <f>IF(ISBLANK(moras[[#This Row],[SALARIO]]), EDA!$M$8, moras[[#This Row],[SALARIO]])</f>
        <v>278031</v>
      </c>
      <c r="O4067" s="14">
        <f xml:space="preserve"> IF(ISBLANK(moras[[#This Row],[EDAD]]), EDA!$E$8, moras[[#This Row],[EDAD]])</f>
        <v>51</v>
      </c>
      <c r="P4067" s="14" t="str">
        <f>IF(
    OR(ISBLANK(moras[[#This Row],[TIPO_ASEGURAMIENTO]]), moras[[#This Row],[TIPO_ASEGURAMIENTO]]=""),
    EDA!$A$32,
    moras[[#This Row],[TIPO_ASEGURAMIENTO]]
)</f>
        <v>TRABAJADOR INDEPENDIENTE</v>
      </c>
    </row>
    <row r="4068" spans="1:16" x14ac:dyDescent="0.3">
      <c r="A4068">
        <v>4067</v>
      </c>
      <c r="B4068" t="s">
        <v>9</v>
      </c>
      <c r="C4068">
        <v>45036888</v>
      </c>
      <c r="D4068" t="s">
        <v>10</v>
      </c>
      <c r="E4068" t="s">
        <v>16</v>
      </c>
      <c r="F4068" t="s">
        <v>12</v>
      </c>
      <c r="G4068" t="s">
        <v>13</v>
      </c>
      <c r="H4068" t="s">
        <v>13</v>
      </c>
      <c r="I4068">
        <v>26</v>
      </c>
      <c r="J4068">
        <f>ABS((I4068-EDA!$A$15)/EDA!$B$15)</f>
        <v>1.1277649683754829</v>
      </c>
      <c r="K4068" t="str">
        <f t="shared" si="63"/>
        <v>No</v>
      </c>
      <c r="L4068">
        <f>ABS((C4068-EDA!$F$15)/EDA!$G$15)</f>
        <v>0.37379163620074402</v>
      </c>
      <c r="M4068" t="str">
        <f>IF(moras[[#This Row],[Z-Score Salario]]&gt;1.96, "Sí", "No")</f>
        <v>No</v>
      </c>
      <c r="N4068" s="14">
        <f>IF(ISBLANK(moras[[#This Row],[SALARIO]]), EDA!$M$8, moras[[#This Row],[SALARIO]])</f>
        <v>45036888</v>
      </c>
      <c r="O4068" s="14">
        <f xml:space="preserve"> IF(ISBLANK(moras[[#This Row],[EDAD]]), EDA!$E$8, moras[[#This Row],[EDAD]])</f>
        <v>26</v>
      </c>
      <c r="P4068" s="14" t="str">
        <f>IF(
    OR(ISBLANK(moras[[#This Row],[TIPO_ASEGURAMIENTO]]), moras[[#This Row],[TIPO_ASEGURAMIENTO]]=""),
    EDA!$A$32,
    moras[[#This Row],[TIPO_ASEGURAMIENTO]]
)</f>
        <v>ASALARIADO</v>
      </c>
    </row>
    <row r="4069" spans="1:16" x14ac:dyDescent="0.3">
      <c r="A4069">
        <v>4068</v>
      </c>
      <c r="B4069" t="s">
        <v>9</v>
      </c>
      <c r="C4069">
        <v>800000</v>
      </c>
      <c r="D4069" t="s">
        <v>10</v>
      </c>
      <c r="E4069" t="s">
        <v>16</v>
      </c>
      <c r="F4069" t="s">
        <v>12</v>
      </c>
      <c r="G4069" t="s">
        <v>13</v>
      </c>
      <c r="H4069" t="s">
        <v>13</v>
      </c>
      <c r="I4069">
        <v>26</v>
      </c>
      <c r="J4069">
        <f>ABS((I4069-EDA!$A$15)/EDA!$B$15)</f>
        <v>1.1277649683754829</v>
      </c>
      <c r="K4069" t="str">
        <f t="shared" si="63"/>
        <v>No</v>
      </c>
      <c r="L4069">
        <f>ABS((C4069-EDA!$F$15)/EDA!$G$15)</f>
        <v>0.36234140747806037</v>
      </c>
      <c r="M4069" t="str">
        <f>IF(moras[[#This Row],[Z-Score Salario]]&gt;1.96, "Sí", "No")</f>
        <v>No</v>
      </c>
      <c r="N4069" s="14">
        <f>IF(ISBLANK(moras[[#This Row],[SALARIO]]), EDA!$M$8, moras[[#This Row],[SALARIO]])</f>
        <v>800000</v>
      </c>
      <c r="O4069" s="14">
        <f xml:space="preserve"> IF(ISBLANK(moras[[#This Row],[EDAD]]), EDA!$E$8, moras[[#This Row],[EDAD]])</f>
        <v>26</v>
      </c>
      <c r="P4069" s="14" t="str">
        <f>IF(
    OR(ISBLANK(moras[[#This Row],[TIPO_ASEGURAMIENTO]]), moras[[#This Row],[TIPO_ASEGURAMIENTO]]=""),
    EDA!$A$32,
    moras[[#This Row],[TIPO_ASEGURAMIENTO]]
)</f>
        <v>ASALARIADO</v>
      </c>
    </row>
    <row r="4070" spans="1:16" x14ac:dyDescent="0.3">
      <c r="A4070">
        <v>4069</v>
      </c>
      <c r="B4070" t="s">
        <v>9</v>
      </c>
      <c r="C4070">
        <v>394263</v>
      </c>
      <c r="D4070" t="s">
        <v>18</v>
      </c>
      <c r="E4070" t="s">
        <v>16</v>
      </c>
      <c r="F4070" t="s">
        <v>12</v>
      </c>
      <c r="G4070" t="s">
        <v>12</v>
      </c>
      <c r="H4070" t="s">
        <v>12</v>
      </c>
      <c r="I4070">
        <v>51</v>
      </c>
      <c r="J4070">
        <f>ABS((I4070-EDA!$A$15)/EDA!$B$15)</f>
        <v>0.6366182835529548</v>
      </c>
      <c r="K4070" t="str">
        <f t="shared" si="63"/>
        <v>No</v>
      </c>
      <c r="L4070">
        <f>ABS((C4070-EDA!$F$15)/EDA!$G$15)</f>
        <v>0.36909315757275751</v>
      </c>
      <c r="M4070" t="str">
        <f>IF(moras[[#This Row],[Z-Score Salario]]&gt;1.96, "Sí", "No")</f>
        <v>No</v>
      </c>
      <c r="N4070" s="14">
        <f>IF(ISBLANK(moras[[#This Row],[SALARIO]]), EDA!$M$8, moras[[#This Row],[SALARIO]])</f>
        <v>394263</v>
      </c>
      <c r="O4070" s="14">
        <f xml:space="preserve"> IF(ISBLANK(moras[[#This Row],[EDAD]]), EDA!$E$8, moras[[#This Row],[EDAD]])</f>
        <v>51</v>
      </c>
      <c r="P4070" s="14" t="str">
        <f>IF(
    OR(ISBLANK(moras[[#This Row],[TIPO_ASEGURAMIENTO]]), moras[[#This Row],[TIPO_ASEGURAMIENTO]]=""),
    EDA!$A$32,
    moras[[#This Row],[TIPO_ASEGURAMIENTO]]
)</f>
        <v>TRABAJADOR INDEPENDIENTE</v>
      </c>
    </row>
    <row r="4071" spans="1:16" x14ac:dyDescent="0.3">
      <c r="A4071">
        <v>4070</v>
      </c>
      <c r="B4071" t="s">
        <v>9</v>
      </c>
      <c r="C4071">
        <v>145210</v>
      </c>
      <c r="D4071" t="s">
        <v>10</v>
      </c>
      <c r="E4071" t="s">
        <v>16</v>
      </c>
      <c r="F4071" t="s">
        <v>12</v>
      </c>
      <c r="G4071" t="s">
        <v>13</v>
      </c>
      <c r="H4071" t="s">
        <v>12</v>
      </c>
      <c r="I4071">
        <v>23</v>
      </c>
      <c r="J4071">
        <f>ABS((I4071-EDA!$A$15)/EDA!$B$15)</f>
        <v>1.3394909586068953</v>
      </c>
      <c r="K4071" t="str">
        <f t="shared" si="63"/>
        <v>No</v>
      </c>
      <c r="L4071">
        <f>ABS((C4071-EDA!$F$15)/EDA!$G$15)</f>
        <v>0.37323757530230794</v>
      </c>
      <c r="M4071" t="str">
        <f>IF(moras[[#This Row],[Z-Score Salario]]&gt;1.96, "Sí", "No")</f>
        <v>No</v>
      </c>
      <c r="N4071" s="14">
        <f>IF(ISBLANK(moras[[#This Row],[SALARIO]]), EDA!$M$8, moras[[#This Row],[SALARIO]])</f>
        <v>145210</v>
      </c>
      <c r="O4071" s="14">
        <f xml:space="preserve"> IF(ISBLANK(moras[[#This Row],[EDAD]]), EDA!$E$8, moras[[#This Row],[EDAD]])</f>
        <v>23</v>
      </c>
      <c r="P4071" s="14" t="str">
        <f>IF(
    OR(ISBLANK(moras[[#This Row],[TIPO_ASEGURAMIENTO]]), moras[[#This Row],[TIPO_ASEGURAMIENTO]]=""),
    EDA!$A$32,
    moras[[#This Row],[TIPO_ASEGURAMIENTO]]
)</f>
        <v>ASALARIADO</v>
      </c>
    </row>
    <row r="4072" spans="1:16" x14ac:dyDescent="0.3">
      <c r="A4072">
        <v>4071</v>
      </c>
      <c r="B4072" t="s">
        <v>9</v>
      </c>
      <c r="C4072">
        <v>381127</v>
      </c>
      <c r="D4072" t="s">
        <v>10</v>
      </c>
      <c r="E4072" t="s">
        <v>16</v>
      </c>
      <c r="F4072" t="s">
        <v>12</v>
      </c>
      <c r="G4072" t="s">
        <v>13</v>
      </c>
      <c r="H4072" t="s">
        <v>13</v>
      </c>
      <c r="I4072">
        <v>21</v>
      </c>
      <c r="J4072">
        <f>ABS((I4072-EDA!$A$15)/EDA!$B$15)</f>
        <v>1.4806416187611704</v>
      </c>
      <c r="K4072" t="str">
        <f t="shared" si="63"/>
        <v>No</v>
      </c>
      <c r="L4072">
        <f>ABS((C4072-EDA!$F$15)/EDA!$G$15)</f>
        <v>0.36931174988562016</v>
      </c>
      <c r="M4072" t="str">
        <f>IF(moras[[#This Row],[Z-Score Salario]]&gt;1.96, "Sí", "No")</f>
        <v>No</v>
      </c>
      <c r="N4072" s="14">
        <f>IF(ISBLANK(moras[[#This Row],[SALARIO]]), EDA!$M$8, moras[[#This Row],[SALARIO]])</f>
        <v>381127</v>
      </c>
      <c r="O4072" s="14">
        <f xml:space="preserve"> IF(ISBLANK(moras[[#This Row],[EDAD]]), EDA!$E$8, moras[[#This Row],[EDAD]])</f>
        <v>21</v>
      </c>
      <c r="P4072" s="14" t="str">
        <f>IF(
    OR(ISBLANK(moras[[#This Row],[TIPO_ASEGURAMIENTO]]), moras[[#This Row],[TIPO_ASEGURAMIENTO]]=""),
    EDA!$A$32,
    moras[[#This Row],[TIPO_ASEGURAMIENTO]]
)</f>
        <v>ASALARIADO</v>
      </c>
    </row>
    <row r="4073" spans="1:16" x14ac:dyDescent="0.3">
      <c r="A4073">
        <v>4072</v>
      </c>
      <c r="B4073" t="s">
        <v>9</v>
      </c>
      <c r="C4073">
        <v>6746074</v>
      </c>
      <c r="D4073" t="s">
        <v>10</v>
      </c>
      <c r="E4073" t="s">
        <v>11</v>
      </c>
      <c r="F4073" t="s">
        <v>12</v>
      </c>
      <c r="G4073" t="s">
        <v>13</v>
      </c>
      <c r="H4073" t="s">
        <v>13</v>
      </c>
      <c r="I4073">
        <v>64</v>
      </c>
      <c r="J4073">
        <f>ABS((I4073-EDA!$A$15)/EDA!$B$15)</f>
        <v>1.5540975745557424</v>
      </c>
      <c r="K4073" t="str">
        <f t="shared" si="63"/>
        <v>No</v>
      </c>
      <c r="L4073">
        <f>ABS((C4073-EDA!$F$15)/EDA!$G$15)</f>
        <v>0.26339453871189844</v>
      </c>
      <c r="M4073" t="str">
        <f>IF(moras[[#This Row],[Z-Score Salario]]&gt;1.96, "Sí", "No")</f>
        <v>No</v>
      </c>
      <c r="N4073" s="14">
        <f>IF(ISBLANK(moras[[#This Row],[SALARIO]]), EDA!$M$8, moras[[#This Row],[SALARIO]])</f>
        <v>6746074</v>
      </c>
      <c r="O4073" s="14">
        <f xml:space="preserve"> IF(ISBLANK(moras[[#This Row],[EDAD]]), EDA!$E$8, moras[[#This Row],[EDAD]])</f>
        <v>64</v>
      </c>
      <c r="P4073" s="14" t="str">
        <f>IF(
    OR(ISBLANK(moras[[#This Row],[TIPO_ASEGURAMIENTO]]), moras[[#This Row],[TIPO_ASEGURAMIENTO]]=""),
    EDA!$A$32,
    moras[[#This Row],[TIPO_ASEGURAMIENTO]]
)</f>
        <v>ASALARIADO</v>
      </c>
    </row>
    <row r="4074" spans="1:16" x14ac:dyDescent="0.3">
      <c r="A4074">
        <v>4073</v>
      </c>
      <c r="B4074" t="s">
        <v>9</v>
      </c>
      <c r="C4074">
        <v>60000</v>
      </c>
      <c r="D4074" t="s">
        <v>10</v>
      </c>
      <c r="E4074" t="s">
        <v>16</v>
      </c>
      <c r="F4074" t="s">
        <v>12</v>
      </c>
      <c r="G4074" t="s">
        <v>13</v>
      </c>
      <c r="H4074" t="s">
        <v>12</v>
      </c>
      <c r="I4074">
        <v>56</v>
      </c>
      <c r="J4074">
        <f>ABS((I4074-EDA!$A$15)/EDA!$B$15)</f>
        <v>0.9894949339386423</v>
      </c>
      <c r="K4074" t="str">
        <f t="shared" si="63"/>
        <v>No</v>
      </c>
      <c r="L4074">
        <f>ABS((C4074-EDA!$F$15)/EDA!$G$15)</f>
        <v>0.37465552985308626</v>
      </c>
      <c r="M4074" t="str">
        <f>IF(moras[[#This Row],[Z-Score Salario]]&gt;1.96, "Sí", "No")</f>
        <v>No</v>
      </c>
      <c r="N4074" s="14">
        <f>IF(ISBLANK(moras[[#This Row],[SALARIO]]), EDA!$M$8, moras[[#This Row],[SALARIO]])</f>
        <v>60000</v>
      </c>
      <c r="O4074" s="14">
        <f xml:space="preserve"> IF(ISBLANK(moras[[#This Row],[EDAD]]), EDA!$E$8, moras[[#This Row],[EDAD]])</f>
        <v>56</v>
      </c>
      <c r="P4074" s="14" t="str">
        <f>IF(
    OR(ISBLANK(moras[[#This Row],[TIPO_ASEGURAMIENTO]]), moras[[#This Row],[TIPO_ASEGURAMIENTO]]=""),
    EDA!$A$32,
    moras[[#This Row],[TIPO_ASEGURAMIENTO]]
)</f>
        <v>ASALARIADO</v>
      </c>
    </row>
    <row r="4075" spans="1:16" x14ac:dyDescent="0.3">
      <c r="A4075">
        <v>4074</v>
      </c>
      <c r="B4075" t="s">
        <v>9</v>
      </c>
      <c r="C4075">
        <v>278030</v>
      </c>
      <c r="D4075" t="s">
        <v>19</v>
      </c>
      <c r="E4075" t="s">
        <v>16</v>
      </c>
      <c r="F4075" t="s">
        <v>12</v>
      </c>
      <c r="G4075" t="s">
        <v>13</v>
      </c>
      <c r="H4075" t="s">
        <v>13</v>
      </c>
      <c r="I4075">
        <v>62</v>
      </c>
      <c r="J4075">
        <f>ABS((I4075-EDA!$A$15)/EDA!$B$15)</f>
        <v>1.4129469144014672</v>
      </c>
      <c r="K4075" t="str">
        <f t="shared" si="63"/>
        <v>No</v>
      </c>
      <c r="L4075">
        <f>ABS((C4075-EDA!$F$15)/EDA!$G$15)</f>
        <v>0.37102735674304993</v>
      </c>
      <c r="M4075" t="str">
        <f>IF(moras[[#This Row],[Z-Score Salario]]&gt;1.96, "Sí", "No")</f>
        <v>No</v>
      </c>
      <c r="N4075" s="14">
        <f>IF(ISBLANK(moras[[#This Row],[SALARIO]]), EDA!$M$8, moras[[#This Row],[SALARIO]])</f>
        <v>278030</v>
      </c>
      <c r="O4075" s="14">
        <f xml:space="preserve"> IF(ISBLANK(moras[[#This Row],[EDAD]]), EDA!$E$8, moras[[#This Row],[EDAD]])</f>
        <v>62</v>
      </c>
      <c r="P4075" s="14" t="str">
        <f>IF(
    OR(ISBLANK(moras[[#This Row],[TIPO_ASEGURAMIENTO]]), moras[[#This Row],[TIPO_ASEGURAMIENTO]]=""),
    EDA!$A$32,
    moras[[#This Row],[TIPO_ASEGURAMIENTO]]
)</f>
        <v>CONVENIOS ESPECIALES DE TRABAJADORES INDEPENDIENTES</v>
      </c>
    </row>
    <row r="4076" spans="1:16" x14ac:dyDescent="0.3">
      <c r="A4076">
        <v>4075</v>
      </c>
      <c r="B4076" t="s">
        <v>9</v>
      </c>
      <c r="C4076">
        <v>594092</v>
      </c>
      <c r="D4076" t="s">
        <v>18</v>
      </c>
      <c r="E4076" t="s">
        <v>16</v>
      </c>
      <c r="F4076" t="s">
        <v>12</v>
      </c>
      <c r="G4076" t="s">
        <v>13</v>
      </c>
      <c r="H4076" t="s">
        <v>13</v>
      </c>
      <c r="I4076">
        <v>41</v>
      </c>
      <c r="J4076">
        <f>ABS((I4076-EDA!$A$15)/EDA!$B$15)</f>
        <v>6.9135017218420233E-2</v>
      </c>
      <c r="K4076" t="str">
        <f t="shared" si="63"/>
        <v>No</v>
      </c>
      <c r="L4076">
        <f>ABS((C4076-EDA!$F$15)/EDA!$G$15)</f>
        <v>0.36576786195102906</v>
      </c>
      <c r="M4076" t="str">
        <f>IF(moras[[#This Row],[Z-Score Salario]]&gt;1.96, "Sí", "No")</f>
        <v>No</v>
      </c>
      <c r="N4076" s="14">
        <f>IF(ISBLANK(moras[[#This Row],[SALARIO]]), EDA!$M$8, moras[[#This Row],[SALARIO]])</f>
        <v>594092</v>
      </c>
      <c r="O4076" s="14">
        <f xml:space="preserve"> IF(ISBLANK(moras[[#This Row],[EDAD]]), EDA!$E$8, moras[[#This Row],[EDAD]])</f>
        <v>41</v>
      </c>
      <c r="P4076" s="14" t="str">
        <f>IF(
    OR(ISBLANK(moras[[#This Row],[TIPO_ASEGURAMIENTO]]), moras[[#This Row],[TIPO_ASEGURAMIENTO]]=""),
    EDA!$A$32,
    moras[[#This Row],[TIPO_ASEGURAMIENTO]]
)</f>
        <v>TRABAJADOR INDEPENDIENTE</v>
      </c>
    </row>
    <row r="4077" spans="1:16" x14ac:dyDescent="0.3">
      <c r="A4077">
        <v>4076</v>
      </c>
      <c r="B4077" t="s">
        <v>15</v>
      </c>
      <c r="C4077">
        <v>438521</v>
      </c>
      <c r="D4077" t="s">
        <v>14</v>
      </c>
      <c r="E4077" t="s">
        <v>11</v>
      </c>
      <c r="F4077" t="s">
        <v>12</v>
      </c>
      <c r="G4077" t="s">
        <v>13</v>
      </c>
      <c r="H4077" t="s">
        <v>13</v>
      </c>
      <c r="I4077">
        <v>86</v>
      </c>
      <c r="J4077">
        <f>ABS((I4077-EDA!$A$15)/EDA!$B$15)</f>
        <v>3.1067548362527675</v>
      </c>
      <c r="K4077" t="str">
        <f t="shared" si="63"/>
        <v>Sí</v>
      </c>
      <c r="L4077">
        <f>ABS((C4077-EDA!$F$15)/EDA!$G$15)</f>
        <v>0.36835667321049548</v>
      </c>
      <c r="M4077" t="str">
        <f>IF(moras[[#This Row],[Z-Score Salario]]&gt;1.96, "Sí", "No")</f>
        <v>No</v>
      </c>
      <c r="N4077" s="14">
        <f>IF(ISBLANK(moras[[#This Row],[SALARIO]]), EDA!$M$8, moras[[#This Row],[SALARIO]])</f>
        <v>438521</v>
      </c>
      <c r="O4077" s="14">
        <f xml:space="preserve"> IF(ISBLANK(moras[[#This Row],[EDAD]]), EDA!$E$8, moras[[#This Row],[EDAD]])</f>
        <v>86</v>
      </c>
      <c r="P4077" s="14" t="str">
        <f>IF(
    OR(ISBLANK(moras[[#This Row],[TIPO_ASEGURAMIENTO]]), moras[[#This Row],[TIPO_ASEGURAMIENTO]]=""),
    EDA!$A$32,
    moras[[#This Row],[TIPO_ASEGURAMIENTO]]
)</f>
        <v>PENSIONADOS EN SU PROPIO SISTEMA</v>
      </c>
    </row>
    <row r="4078" spans="1:16" x14ac:dyDescent="0.3">
      <c r="A4078">
        <v>4077</v>
      </c>
      <c r="B4078" t="s">
        <v>9</v>
      </c>
      <c r="C4078">
        <v>52705382</v>
      </c>
      <c r="D4078" t="s">
        <v>10</v>
      </c>
      <c r="E4078" t="s">
        <v>16</v>
      </c>
      <c r="F4078" t="s">
        <v>12</v>
      </c>
      <c r="G4078" t="s">
        <v>13</v>
      </c>
      <c r="H4078" t="s">
        <v>13</v>
      </c>
      <c r="I4078">
        <v>40</v>
      </c>
      <c r="J4078">
        <f>ABS((I4078-EDA!$A$15)/EDA!$B$15)</f>
        <v>0.13971034729555773</v>
      </c>
      <c r="K4078" t="str">
        <f t="shared" si="63"/>
        <v>No</v>
      </c>
      <c r="L4078">
        <f>ABS((C4078-EDA!$F$15)/EDA!$G$15)</f>
        <v>0.50140078964419255</v>
      </c>
      <c r="M4078" t="str">
        <f>IF(moras[[#This Row],[Z-Score Salario]]&gt;1.96, "Sí", "No")</f>
        <v>No</v>
      </c>
      <c r="N4078" s="14">
        <f>IF(ISBLANK(moras[[#This Row],[SALARIO]]), EDA!$M$8, moras[[#This Row],[SALARIO]])</f>
        <v>52705382</v>
      </c>
      <c r="O4078" s="14">
        <f xml:space="preserve"> IF(ISBLANK(moras[[#This Row],[EDAD]]), EDA!$E$8, moras[[#This Row],[EDAD]])</f>
        <v>40</v>
      </c>
      <c r="P4078" s="14" t="str">
        <f>IF(
    OR(ISBLANK(moras[[#This Row],[TIPO_ASEGURAMIENTO]]), moras[[#This Row],[TIPO_ASEGURAMIENTO]]=""),
    EDA!$A$32,
    moras[[#This Row],[TIPO_ASEGURAMIENTO]]
)</f>
        <v>ASALARIADO</v>
      </c>
    </row>
    <row r="4079" spans="1:16" x14ac:dyDescent="0.3">
      <c r="A4079">
        <v>4078</v>
      </c>
      <c r="B4079" t="s">
        <v>15</v>
      </c>
      <c r="C4079">
        <v>52860052</v>
      </c>
      <c r="D4079" t="s">
        <v>10</v>
      </c>
      <c r="E4079" t="s">
        <v>16</v>
      </c>
      <c r="F4079" t="s">
        <v>12</v>
      </c>
      <c r="G4079" t="s">
        <v>13</v>
      </c>
      <c r="H4079" t="s">
        <v>13</v>
      </c>
      <c r="I4079">
        <v>59</v>
      </c>
      <c r="J4079">
        <f>ABS((I4079-EDA!$A$15)/EDA!$B$15)</f>
        <v>1.2012209241700549</v>
      </c>
      <c r="K4079" t="str">
        <f t="shared" si="63"/>
        <v>No</v>
      </c>
      <c r="L4079">
        <f>ABS((C4079-EDA!$F$15)/EDA!$G$15)</f>
        <v>0.50397460762763213</v>
      </c>
      <c r="M4079" t="str">
        <f>IF(moras[[#This Row],[Z-Score Salario]]&gt;1.96, "Sí", "No")</f>
        <v>No</v>
      </c>
      <c r="N4079" s="14">
        <f>IF(ISBLANK(moras[[#This Row],[SALARIO]]), EDA!$M$8, moras[[#This Row],[SALARIO]])</f>
        <v>52860052</v>
      </c>
      <c r="O4079" s="14">
        <f xml:space="preserve"> IF(ISBLANK(moras[[#This Row],[EDAD]]), EDA!$E$8, moras[[#This Row],[EDAD]])</f>
        <v>59</v>
      </c>
      <c r="P4079" s="14" t="str">
        <f>IF(
    OR(ISBLANK(moras[[#This Row],[TIPO_ASEGURAMIENTO]]), moras[[#This Row],[TIPO_ASEGURAMIENTO]]=""),
    EDA!$A$32,
    moras[[#This Row],[TIPO_ASEGURAMIENTO]]
)</f>
        <v>ASALARIADO</v>
      </c>
    </row>
    <row r="4080" spans="1:16" x14ac:dyDescent="0.3">
      <c r="A4080">
        <v>4079</v>
      </c>
      <c r="B4080" t="s">
        <v>15</v>
      </c>
      <c r="C4080">
        <v>4470307</v>
      </c>
      <c r="D4080" t="s">
        <v>10</v>
      </c>
      <c r="E4080" t="s">
        <v>11</v>
      </c>
      <c r="F4080" t="s">
        <v>12</v>
      </c>
      <c r="G4080" t="s">
        <v>13</v>
      </c>
      <c r="H4080" t="s">
        <v>13</v>
      </c>
      <c r="I4080">
        <v>29</v>
      </c>
      <c r="J4080">
        <f>ABS((I4080-EDA!$A$15)/EDA!$B$15)</f>
        <v>0.91603897814407031</v>
      </c>
      <c r="K4080" t="str">
        <f t="shared" si="63"/>
        <v>No</v>
      </c>
      <c r="L4080">
        <f>ABS((C4080-EDA!$F$15)/EDA!$G$15)</f>
        <v>0.3012649080835817</v>
      </c>
      <c r="M4080" t="str">
        <f>IF(moras[[#This Row],[Z-Score Salario]]&gt;1.96, "Sí", "No")</f>
        <v>No</v>
      </c>
      <c r="N4080" s="14">
        <f>IF(ISBLANK(moras[[#This Row],[SALARIO]]), EDA!$M$8, moras[[#This Row],[SALARIO]])</f>
        <v>4470307</v>
      </c>
      <c r="O4080" s="14">
        <f xml:space="preserve"> IF(ISBLANK(moras[[#This Row],[EDAD]]), EDA!$E$8, moras[[#This Row],[EDAD]])</f>
        <v>29</v>
      </c>
      <c r="P4080" s="14" t="str">
        <f>IF(
    OR(ISBLANK(moras[[#This Row],[TIPO_ASEGURAMIENTO]]), moras[[#This Row],[TIPO_ASEGURAMIENTO]]=""),
    EDA!$A$32,
    moras[[#This Row],[TIPO_ASEGURAMIENTO]]
)</f>
        <v>ASALARIADO</v>
      </c>
    </row>
    <row r="4081" spans="1:16" x14ac:dyDescent="0.3">
      <c r="A4081">
        <v>4080</v>
      </c>
      <c r="B4081" t="s">
        <v>9</v>
      </c>
      <c r="C4081">
        <v>673072</v>
      </c>
      <c r="D4081" t="s">
        <v>10</v>
      </c>
      <c r="E4081" t="s">
        <v>16</v>
      </c>
      <c r="F4081" t="s">
        <v>12</v>
      </c>
      <c r="G4081" t="s">
        <v>13</v>
      </c>
      <c r="H4081" t="s">
        <v>13</v>
      </c>
      <c r="I4081">
        <v>33</v>
      </c>
      <c r="J4081">
        <f>ABS((I4081-EDA!$A$15)/EDA!$B$15)</f>
        <v>0.63373765783552027</v>
      </c>
      <c r="K4081" t="str">
        <f t="shared" si="63"/>
        <v>No</v>
      </c>
      <c r="L4081">
        <f>ABS((C4081-EDA!$F$15)/EDA!$G$15)</f>
        <v>0.36445357899808373</v>
      </c>
      <c r="M4081" t="str">
        <f>IF(moras[[#This Row],[Z-Score Salario]]&gt;1.96, "Sí", "No")</f>
        <v>No</v>
      </c>
      <c r="N4081" s="14">
        <f>IF(ISBLANK(moras[[#This Row],[SALARIO]]), EDA!$M$8, moras[[#This Row],[SALARIO]])</f>
        <v>673072</v>
      </c>
      <c r="O4081" s="14">
        <f xml:space="preserve"> IF(ISBLANK(moras[[#This Row],[EDAD]]), EDA!$E$8, moras[[#This Row],[EDAD]])</f>
        <v>33</v>
      </c>
      <c r="P4081" s="14" t="str">
        <f>IF(
    OR(ISBLANK(moras[[#This Row],[TIPO_ASEGURAMIENTO]]), moras[[#This Row],[TIPO_ASEGURAMIENTO]]=""),
    EDA!$A$32,
    moras[[#This Row],[TIPO_ASEGURAMIENTO]]
)</f>
        <v>ASALARIADO</v>
      </c>
    </row>
    <row r="4082" spans="1:16" x14ac:dyDescent="0.3">
      <c r="A4082">
        <v>4081</v>
      </c>
      <c r="B4082" t="s">
        <v>15</v>
      </c>
      <c r="C4082">
        <v>28498581</v>
      </c>
      <c r="D4082" t="s">
        <v>10</v>
      </c>
      <c r="E4082" t="s">
        <v>11</v>
      </c>
      <c r="F4082" t="s">
        <v>12</v>
      </c>
      <c r="G4082" t="s">
        <v>13</v>
      </c>
      <c r="H4082" t="s">
        <v>13</v>
      </c>
      <c r="I4082">
        <v>58</v>
      </c>
      <c r="J4082">
        <f>ABS((I4082-EDA!$A$15)/EDA!$B$15)</f>
        <v>1.1306455940929174</v>
      </c>
      <c r="K4082" t="str">
        <f t="shared" si="63"/>
        <v>No</v>
      </c>
      <c r="L4082">
        <f>ABS((C4082-EDA!$F$15)/EDA!$G$15)</f>
        <v>9.8582533128112035E-2</v>
      </c>
      <c r="M4082" t="str">
        <f>IF(moras[[#This Row],[Z-Score Salario]]&gt;1.96, "Sí", "No")</f>
        <v>No</v>
      </c>
      <c r="N4082" s="14">
        <f>IF(ISBLANK(moras[[#This Row],[SALARIO]]), EDA!$M$8, moras[[#This Row],[SALARIO]])</f>
        <v>28498581</v>
      </c>
      <c r="O4082" s="14">
        <f xml:space="preserve"> IF(ISBLANK(moras[[#This Row],[EDAD]]), EDA!$E$8, moras[[#This Row],[EDAD]])</f>
        <v>58</v>
      </c>
      <c r="P4082" s="14" t="str">
        <f>IF(
    OR(ISBLANK(moras[[#This Row],[TIPO_ASEGURAMIENTO]]), moras[[#This Row],[TIPO_ASEGURAMIENTO]]=""),
    EDA!$A$32,
    moras[[#This Row],[TIPO_ASEGURAMIENTO]]
)</f>
        <v>ASALARIADO</v>
      </c>
    </row>
    <row r="4083" spans="1:16" x14ac:dyDescent="0.3">
      <c r="A4083">
        <v>4082</v>
      </c>
      <c r="B4083" t="s">
        <v>9</v>
      </c>
      <c r="C4083">
        <v>70151648</v>
      </c>
      <c r="D4083" t="s">
        <v>10</v>
      </c>
      <c r="E4083" t="s">
        <v>16</v>
      </c>
      <c r="F4083" t="s">
        <v>12</v>
      </c>
      <c r="G4083" t="s">
        <v>13</v>
      </c>
      <c r="H4083" t="s">
        <v>13</v>
      </c>
      <c r="I4083">
        <v>38</v>
      </c>
      <c r="J4083">
        <f>ABS((I4083-EDA!$A$15)/EDA!$B$15)</f>
        <v>0.28086100744983278</v>
      </c>
      <c r="K4083" t="str">
        <f t="shared" si="63"/>
        <v>No</v>
      </c>
      <c r="L4083">
        <f>ABS((C4083-EDA!$F$15)/EDA!$G$15)</f>
        <v>0.79171897141615721</v>
      </c>
      <c r="M4083" t="str">
        <f>IF(moras[[#This Row],[Z-Score Salario]]&gt;1.96, "Sí", "No")</f>
        <v>No</v>
      </c>
      <c r="N4083" s="14">
        <f>IF(ISBLANK(moras[[#This Row],[SALARIO]]), EDA!$M$8, moras[[#This Row],[SALARIO]])</f>
        <v>70151648</v>
      </c>
      <c r="O4083" s="14">
        <f xml:space="preserve"> IF(ISBLANK(moras[[#This Row],[EDAD]]), EDA!$E$8, moras[[#This Row],[EDAD]])</f>
        <v>38</v>
      </c>
      <c r="P4083" s="14" t="str">
        <f>IF(
    OR(ISBLANK(moras[[#This Row],[TIPO_ASEGURAMIENTO]]), moras[[#This Row],[TIPO_ASEGURAMIENTO]]=""),
    EDA!$A$32,
    moras[[#This Row],[TIPO_ASEGURAMIENTO]]
)</f>
        <v>ASALARIADO</v>
      </c>
    </row>
    <row r="4084" spans="1:16" x14ac:dyDescent="0.3">
      <c r="A4084">
        <v>4083</v>
      </c>
      <c r="B4084" t="s">
        <v>9</v>
      </c>
      <c r="C4084">
        <v>278030</v>
      </c>
      <c r="D4084" t="s">
        <v>19</v>
      </c>
      <c r="E4084" t="s">
        <v>16</v>
      </c>
      <c r="F4084" t="s">
        <v>12</v>
      </c>
      <c r="G4084" t="s">
        <v>13</v>
      </c>
      <c r="H4084" t="s">
        <v>13</v>
      </c>
      <c r="I4084">
        <v>49</v>
      </c>
      <c r="J4084">
        <f>ABS((I4084-EDA!$A$15)/EDA!$B$15)</f>
        <v>0.49546762339867978</v>
      </c>
      <c r="K4084" t="str">
        <f t="shared" si="63"/>
        <v>No</v>
      </c>
      <c r="L4084">
        <f>ABS((C4084-EDA!$F$15)/EDA!$G$15)</f>
        <v>0.37102735674304993</v>
      </c>
      <c r="M4084" t="str">
        <f>IF(moras[[#This Row],[Z-Score Salario]]&gt;1.96, "Sí", "No")</f>
        <v>No</v>
      </c>
      <c r="N4084" s="14">
        <f>IF(ISBLANK(moras[[#This Row],[SALARIO]]), EDA!$M$8, moras[[#This Row],[SALARIO]])</f>
        <v>278030</v>
      </c>
      <c r="O4084" s="14">
        <f xml:space="preserve"> IF(ISBLANK(moras[[#This Row],[EDAD]]), EDA!$E$8, moras[[#This Row],[EDAD]])</f>
        <v>49</v>
      </c>
      <c r="P4084" s="14" t="str">
        <f>IF(
    OR(ISBLANK(moras[[#This Row],[TIPO_ASEGURAMIENTO]]), moras[[#This Row],[TIPO_ASEGURAMIENTO]]=""),
    EDA!$A$32,
    moras[[#This Row],[TIPO_ASEGURAMIENTO]]
)</f>
        <v>CONVENIOS ESPECIALES DE TRABAJADORES INDEPENDIENTES</v>
      </c>
    </row>
    <row r="4085" spans="1:16" x14ac:dyDescent="0.3">
      <c r="A4085">
        <v>4084</v>
      </c>
      <c r="B4085" t="s">
        <v>9</v>
      </c>
      <c r="C4085">
        <v>114590</v>
      </c>
      <c r="D4085" t="s">
        <v>10</v>
      </c>
      <c r="E4085" t="s">
        <v>16</v>
      </c>
      <c r="F4085" t="s">
        <v>12</v>
      </c>
      <c r="G4085" t="s">
        <v>13</v>
      </c>
      <c r="H4085" t="s">
        <v>13</v>
      </c>
      <c r="I4085">
        <v>40</v>
      </c>
      <c r="J4085">
        <f>ABS((I4085-EDA!$A$15)/EDA!$B$15)</f>
        <v>0.13971034729555773</v>
      </c>
      <c r="K4085" t="str">
        <f t="shared" si="63"/>
        <v>No</v>
      </c>
      <c r="L4085">
        <f>ABS((C4085-EDA!$F$15)/EDA!$G$15)</f>
        <v>0.37374711371733943</v>
      </c>
      <c r="M4085" t="str">
        <f>IF(moras[[#This Row],[Z-Score Salario]]&gt;1.96, "Sí", "No")</f>
        <v>No</v>
      </c>
      <c r="N4085" s="14">
        <f>IF(ISBLANK(moras[[#This Row],[SALARIO]]), EDA!$M$8, moras[[#This Row],[SALARIO]])</f>
        <v>114590</v>
      </c>
      <c r="O4085" s="14">
        <f xml:space="preserve"> IF(ISBLANK(moras[[#This Row],[EDAD]]), EDA!$E$8, moras[[#This Row],[EDAD]])</f>
        <v>40</v>
      </c>
      <c r="P4085" s="14" t="str">
        <f>IF(
    OR(ISBLANK(moras[[#This Row],[TIPO_ASEGURAMIENTO]]), moras[[#This Row],[TIPO_ASEGURAMIENTO]]=""),
    EDA!$A$32,
    moras[[#This Row],[TIPO_ASEGURAMIENTO]]
)</f>
        <v>ASALARIADO</v>
      </c>
    </row>
    <row r="4086" spans="1:16" x14ac:dyDescent="0.3">
      <c r="A4086">
        <v>4085</v>
      </c>
      <c r="B4086" t="s">
        <v>15</v>
      </c>
      <c r="C4086">
        <v>586357</v>
      </c>
      <c r="D4086" t="s">
        <v>14</v>
      </c>
      <c r="E4086" t="s">
        <v>11</v>
      </c>
      <c r="F4086" t="s">
        <v>12</v>
      </c>
      <c r="G4086" t="s">
        <v>13</v>
      </c>
      <c r="H4086" t="s">
        <v>13</v>
      </c>
      <c r="I4086">
        <v>87</v>
      </c>
      <c r="J4086">
        <f>ABS((I4086-EDA!$A$15)/EDA!$B$15)</f>
        <v>3.1773301663299049</v>
      </c>
      <c r="K4086" t="str">
        <f t="shared" si="63"/>
        <v>Sí</v>
      </c>
      <c r="L4086">
        <f>ABS((C4086-EDA!$F$15)/EDA!$G$15)</f>
        <v>0.36589657781125989</v>
      </c>
      <c r="M4086" t="str">
        <f>IF(moras[[#This Row],[Z-Score Salario]]&gt;1.96, "Sí", "No")</f>
        <v>No</v>
      </c>
      <c r="N4086" s="14">
        <f>IF(ISBLANK(moras[[#This Row],[SALARIO]]), EDA!$M$8, moras[[#This Row],[SALARIO]])</f>
        <v>586357</v>
      </c>
      <c r="O4086" s="14">
        <f xml:space="preserve"> IF(ISBLANK(moras[[#This Row],[EDAD]]), EDA!$E$8, moras[[#This Row],[EDAD]])</f>
        <v>87</v>
      </c>
      <c r="P4086" s="14" t="str">
        <f>IF(
    OR(ISBLANK(moras[[#This Row],[TIPO_ASEGURAMIENTO]]), moras[[#This Row],[TIPO_ASEGURAMIENTO]]=""),
    EDA!$A$32,
    moras[[#This Row],[TIPO_ASEGURAMIENTO]]
)</f>
        <v>PENSIONADOS EN SU PROPIO SISTEMA</v>
      </c>
    </row>
    <row r="4087" spans="1:16" x14ac:dyDescent="0.3">
      <c r="A4087">
        <v>4086</v>
      </c>
      <c r="B4087" t="s">
        <v>15</v>
      </c>
      <c r="C4087">
        <v>4186055</v>
      </c>
      <c r="D4087" t="s">
        <v>10</v>
      </c>
      <c r="E4087" t="s">
        <v>16</v>
      </c>
      <c r="F4087" t="s">
        <v>12</v>
      </c>
      <c r="G4087" t="s">
        <v>12</v>
      </c>
      <c r="H4087" t="s">
        <v>13</v>
      </c>
      <c r="I4087">
        <v>39</v>
      </c>
      <c r="J4087">
        <f>ABS((I4087-EDA!$A$15)/EDA!$B$15)</f>
        <v>0.21028567737269524</v>
      </c>
      <c r="K4087" t="str">
        <f t="shared" si="63"/>
        <v>No</v>
      </c>
      <c r="L4087">
        <f>ABS((C4087-EDA!$F$15)/EDA!$G$15)</f>
        <v>0.30599506202053556</v>
      </c>
      <c r="M4087" t="str">
        <f>IF(moras[[#This Row],[Z-Score Salario]]&gt;1.96, "Sí", "No")</f>
        <v>No</v>
      </c>
      <c r="N4087" s="14">
        <f>IF(ISBLANK(moras[[#This Row],[SALARIO]]), EDA!$M$8, moras[[#This Row],[SALARIO]])</f>
        <v>4186055</v>
      </c>
      <c r="O4087" s="14">
        <f xml:space="preserve"> IF(ISBLANK(moras[[#This Row],[EDAD]]), EDA!$E$8, moras[[#This Row],[EDAD]])</f>
        <v>39</v>
      </c>
      <c r="P4087" s="14" t="str">
        <f>IF(
    OR(ISBLANK(moras[[#This Row],[TIPO_ASEGURAMIENTO]]), moras[[#This Row],[TIPO_ASEGURAMIENTO]]=""),
    EDA!$A$32,
    moras[[#This Row],[TIPO_ASEGURAMIENTO]]
)</f>
        <v>ASALARIADO</v>
      </c>
    </row>
    <row r="4088" spans="1:16" x14ac:dyDescent="0.3">
      <c r="A4088">
        <v>4087</v>
      </c>
      <c r="B4088" t="s">
        <v>9</v>
      </c>
      <c r="C4088">
        <v>385000</v>
      </c>
      <c r="D4088" t="s">
        <v>10</v>
      </c>
      <c r="E4088" t="s">
        <v>16</v>
      </c>
      <c r="F4088" t="s">
        <v>12</v>
      </c>
      <c r="G4088" t="s">
        <v>13</v>
      </c>
      <c r="H4088" t="s">
        <v>13</v>
      </c>
      <c r="I4088">
        <v>46</v>
      </c>
      <c r="J4088">
        <f>ABS((I4088-EDA!$A$15)/EDA!$B$15)</f>
        <v>0.2837416331672673</v>
      </c>
      <c r="K4088" t="str">
        <f t="shared" si="63"/>
        <v>No</v>
      </c>
      <c r="L4088">
        <f>ABS((C4088-EDA!$F$15)/EDA!$G$15)</f>
        <v>0.36924730043162218</v>
      </c>
      <c r="M4088" t="str">
        <f>IF(moras[[#This Row],[Z-Score Salario]]&gt;1.96, "Sí", "No")</f>
        <v>No</v>
      </c>
      <c r="N4088" s="14">
        <f>IF(ISBLANK(moras[[#This Row],[SALARIO]]), EDA!$M$8, moras[[#This Row],[SALARIO]])</f>
        <v>385000</v>
      </c>
      <c r="O4088" s="14">
        <f xml:space="preserve"> IF(ISBLANK(moras[[#This Row],[EDAD]]), EDA!$E$8, moras[[#This Row],[EDAD]])</f>
        <v>46</v>
      </c>
      <c r="P4088" s="14" t="str">
        <f>IF(
    OR(ISBLANK(moras[[#This Row],[TIPO_ASEGURAMIENTO]]), moras[[#This Row],[TIPO_ASEGURAMIENTO]]=""),
    EDA!$A$32,
    moras[[#This Row],[TIPO_ASEGURAMIENTO]]
)</f>
        <v>ASALARIADO</v>
      </c>
    </row>
    <row r="4089" spans="1:16" x14ac:dyDescent="0.3">
      <c r="A4089">
        <v>4088</v>
      </c>
      <c r="B4089" t="s">
        <v>9</v>
      </c>
      <c r="C4089">
        <v>373320</v>
      </c>
      <c r="D4089" t="s">
        <v>10</v>
      </c>
      <c r="E4089" t="s">
        <v>16</v>
      </c>
      <c r="F4089" t="s">
        <v>12</v>
      </c>
      <c r="G4089" t="s">
        <v>13</v>
      </c>
      <c r="H4089" t="s">
        <v>13</v>
      </c>
      <c r="I4089">
        <v>47</v>
      </c>
      <c r="J4089">
        <f>ABS((I4089-EDA!$A$15)/EDA!$B$15)</f>
        <v>0.35431696324440481</v>
      </c>
      <c r="K4089" t="str">
        <f t="shared" si="63"/>
        <v>No</v>
      </c>
      <c r="L4089">
        <f>ABS((C4089-EDA!$F$15)/EDA!$G$15)</f>
        <v>0.36944166387667665</v>
      </c>
      <c r="M4089" t="str">
        <f>IF(moras[[#This Row],[Z-Score Salario]]&gt;1.96, "Sí", "No")</f>
        <v>No</v>
      </c>
      <c r="N4089" s="14">
        <f>IF(ISBLANK(moras[[#This Row],[SALARIO]]), EDA!$M$8, moras[[#This Row],[SALARIO]])</f>
        <v>373320</v>
      </c>
      <c r="O4089" s="14">
        <f xml:space="preserve"> IF(ISBLANK(moras[[#This Row],[EDAD]]), EDA!$E$8, moras[[#This Row],[EDAD]])</f>
        <v>47</v>
      </c>
      <c r="P4089" s="14" t="str">
        <f>IF(
    OR(ISBLANK(moras[[#This Row],[TIPO_ASEGURAMIENTO]]), moras[[#This Row],[TIPO_ASEGURAMIENTO]]=""),
    EDA!$A$32,
    moras[[#This Row],[TIPO_ASEGURAMIENTO]]
)</f>
        <v>ASALARIADO</v>
      </c>
    </row>
    <row r="4090" spans="1:16" x14ac:dyDescent="0.3">
      <c r="A4090">
        <v>4089</v>
      </c>
      <c r="B4090" t="s">
        <v>9</v>
      </c>
      <c r="C4090">
        <v>356455</v>
      </c>
      <c r="D4090" t="s">
        <v>18</v>
      </c>
      <c r="E4090" t="s">
        <v>16</v>
      </c>
      <c r="F4090" t="s">
        <v>12</v>
      </c>
      <c r="G4090" t="s">
        <v>13</v>
      </c>
      <c r="H4090" t="s">
        <v>12</v>
      </c>
      <c r="I4090">
        <v>50</v>
      </c>
      <c r="J4090">
        <f>ABS((I4090-EDA!$A$15)/EDA!$B$15)</f>
        <v>0.56604295347581735</v>
      </c>
      <c r="K4090" t="str">
        <f t="shared" si="63"/>
        <v>No</v>
      </c>
      <c r="L4090">
        <f>ABS((C4090-EDA!$F$15)/EDA!$G$15)</f>
        <v>0.36972230938188588</v>
      </c>
      <c r="M4090" t="str">
        <f>IF(moras[[#This Row],[Z-Score Salario]]&gt;1.96, "Sí", "No")</f>
        <v>No</v>
      </c>
      <c r="N4090" s="14">
        <f>IF(ISBLANK(moras[[#This Row],[SALARIO]]), EDA!$M$8, moras[[#This Row],[SALARIO]])</f>
        <v>356455</v>
      </c>
      <c r="O4090" s="14">
        <f xml:space="preserve"> IF(ISBLANK(moras[[#This Row],[EDAD]]), EDA!$E$8, moras[[#This Row],[EDAD]])</f>
        <v>50</v>
      </c>
      <c r="P4090" s="14" t="str">
        <f>IF(
    OR(ISBLANK(moras[[#This Row],[TIPO_ASEGURAMIENTO]]), moras[[#This Row],[TIPO_ASEGURAMIENTO]]=""),
    EDA!$A$32,
    moras[[#This Row],[TIPO_ASEGURAMIENTO]]
)</f>
        <v>TRABAJADOR INDEPENDIENTE</v>
      </c>
    </row>
    <row r="4091" spans="1:16" x14ac:dyDescent="0.3">
      <c r="A4091">
        <v>4090</v>
      </c>
      <c r="B4091" t="s">
        <v>15</v>
      </c>
      <c r="C4091">
        <v>3839325</v>
      </c>
      <c r="D4091" t="s">
        <v>10</v>
      </c>
      <c r="E4091" t="s">
        <v>16</v>
      </c>
      <c r="F4091" t="s">
        <v>12</v>
      </c>
      <c r="G4091" t="s">
        <v>13</v>
      </c>
      <c r="H4091" t="s">
        <v>13</v>
      </c>
      <c r="I4091">
        <v>27</v>
      </c>
      <c r="J4091">
        <f>ABS((I4091-EDA!$A$15)/EDA!$B$15)</f>
        <v>1.0571896382983452</v>
      </c>
      <c r="K4091" t="str">
        <f t="shared" si="63"/>
        <v>No</v>
      </c>
      <c r="L4091">
        <f>ABS((C4091-EDA!$F$15)/EDA!$G$15)</f>
        <v>0.31176489398147167</v>
      </c>
      <c r="M4091" t="str">
        <f>IF(moras[[#This Row],[Z-Score Salario]]&gt;1.96, "Sí", "No")</f>
        <v>No</v>
      </c>
      <c r="N4091" s="14">
        <f>IF(ISBLANK(moras[[#This Row],[SALARIO]]), EDA!$M$8, moras[[#This Row],[SALARIO]])</f>
        <v>3839325</v>
      </c>
      <c r="O4091" s="14">
        <f xml:space="preserve"> IF(ISBLANK(moras[[#This Row],[EDAD]]), EDA!$E$8, moras[[#This Row],[EDAD]])</f>
        <v>27</v>
      </c>
      <c r="P4091" s="14" t="str">
        <f>IF(
    OR(ISBLANK(moras[[#This Row],[TIPO_ASEGURAMIENTO]]), moras[[#This Row],[TIPO_ASEGURAMIENTO]]=""),
    EDA!$A$32,
    moras[[#This Row],[TIPO_ASEGURAMIENTO]]
)</f>
        <v>ASALARIADO</v>
      </c>
    </row>
    <row r="4092" spans="1:16" x14ac:dyDescent="0.3">
      <c r="A4092">
        <v>4091</v>
      </c>
      <c r="B4092" t="s">
        <v>15</v>
      </c>
      <c r="C4092">
        <v>43239493</v>
      </c>
      <c r="D4092" t="s">
        <v>10</v>
      </c>
      <c r="E4092" t="s">
        <v>16</v>
      </c>
      <c r="F4092" t="s">
        <v>12</v>
      </c>
      <c r="G4092" t="s">
        <v>13</v>
      </c>
      <c r="H4092" t="s">
        <v>13</v>
      </c>
      <c r="I4092">
        <v>25</v>
      </c>
      <c r="J4092">
        <f>ABS((I4092-EDA!$A$15)/EDA!$B$15)</f>
        <v>1.1983402984526204</v>
      </c>
      <c r="K4092" t="str">
        <f t="shared" si="63"/>
        <v>No</v>
      </c>
      <c r="L4092">
        <f>ABS((C4092-EDA!$F$15)/EDA!$G$15)</f>
        <v>0.34388171459769035</v>
      </c>
      <c r="M4092" t="str">
        <f>IF(moras[[#This Row],[Z-Score Salario]]&gt;1.96, "Sí", "No")</f>
        <v>No</v>
      </c>
      <c r="N4092" s="14">
        <f>IF(ISBLANK(moras[[#This Row],[SALARIO]]), EDA!$M$8, moras[[#This Row],[SALARIO]])</f>
        <v>43239493</v>
      </c>
      <c r="O4092" s="14">
        <f xml:space="preserve"> IF(ISBLANK(moras[[#This Row],[EDAD]]), EDA!$E$8, moras[[#This Row],[EDAD]])</f>
        <v>25</v>
      </c>
      <c r="P4092" s="14" t="str">
        <f>IF(
    OR(ISBLANK(moras[[#This Row],[TIPO_ASEGURAMIENTO]]), moras[[#This Row],[TIPO_ASEGURAMIENTO]]=""),
    EDA!$A$32,
    moras[[#This Row],[TIPO_ASEGURAMIENTO]]
)</f>
        <v>ASALARIADO</v>
      </c>
    </row>
    <row r="4093" spans="1:16" x14ac:dyDescent="0.3">
      <c r="A4093">
        <v>4092</v>
      </c>
      <c r="B4093" t="s">
        <v>15</v>
      </c>
      <c r="C4093">
        <v>347675</v>
      </c>
      <c r="D4093" t="s">
        <v>10</v>
      </c>
      <c r="E4093" t="s">
        <v>16</v>
      </c>
      <c r="F4093" t="s">
        <v>12</v>
      </c>
      <c r="G4093" t="s">
        <v>13</v>
      </c>
      <c r="H4093" t="s">
        <v>13</v>
      </c>
      <c r="I4093">
        <v>36</v>
      </c>
      <c r="J4093">
        <f>ABS((I4093-EDA!$A$15)/EDA!$B$15)</f>
        <v>0.42201166760410774</v>
      </c>
      <c r="K4093" t="str">
        <f t="shared" si="63"/>
        <v>No</v>
      </c>
      <c r="L4093">
        <f>ABS((C4093-EDA!$F$15)/EDA!$G$15)</f>
        <v>0.36986841477979493</v>
      </c>
      <c r="M4093" t="str">
        <f>IF(moras[[#This Row],[Z-Score Salario]]&gt;1.96, "Sí", "No")</f>
        <v>No</v>
      </c>
      <c r="N4093" s="14">
        <f>IF(ISBLANK(moras[[#This Row],[SALARIO]]), EDA!$M$8, moras[[#This Row],[SALARIO]])</f>
        <v>347675</v>
      </c>
      <c r="O4093" s="14">
        <f xml:space="preserve"> IF(ISBLANK(moras[[#This Row],[EDAD]]), EDA!$E$8, moras[[#This Row],[EDAD]])</f>
        <v>36</v>
      </c>
      <c r="P4093" s="14" t="str">
        <f>IF(
    OR(ISBLANK(moras[[#This Row],[TIPO_ASEGURAMIENTO]]), moras[[#This Row],[TIPO_ASEGURAMIENTO]]=""),
    EDA!$A$32,
    moras[[#This Row],[TIPO_ASEGURAMIENTO]]
)</f>
        <v>ASALARIADO</v>
      </c>
    </row>
    <row r="4094" spans="1:16" x14ac:dyDescent="0.3">
      <c r="A4094">
        <v>4093</v>
      </c>
      <c r="B4094" t="s">
        <v>15</v>
      </c>
      <c r="C4094">
        <v>297045</v>
      </c>
      <c r="D4094" t="s">
        <v>17</v>
      </c>
      <c r="E4094" t="s">
        <v>16</v>
      </c>
      <c r="F4094" t="s">
        <v>12</v>
      </c>
      <c r="G4094" t="s">
        <v>12</v>
      </c>
      <c r="H4094" t="s">
        <v>13</v>
      </c>
      <c r="I4094">
        <v>39</v>
      </c>
      <c r="J4094">
        <f>ABS((I4094-EDA!$A$15)/EDA!$B$15)</f>
        <v>0.21028567737269524</v>
      </c>
      <c r="K4094" t="str">
        <f t="shared" si="63"/>
        <v>No</v>
      </c>
      <c r="L4094">
        <f>ABS((C4094-EDA!$F$15)/EDA!$G$15)</f>
        <v>0.37071093372012948</v>
      </c>
      <c r="M4094" t="str">
        <f>IF(moras[[#This Row],[Z-Score Salario]]&gt;1.96, "Sí", "No")</f>
        <v>No</v>
      </c>
      <c r="N4094" s="14">
        <f>IF(ISBLANK(moras[[#This Row],[SALARIO]]), EDA!$M$8, moras[[#This Row],[SALARIO]])</f>
        <v>297045</v>
      </c>
      <c r="O4094" s="14">
        <f xml:space="preserve"> IF(ISBLANK(moras[[#This Row],[EDAD]]), EDA!$E$8, moras[[#This Row],[EDAD]])</f>
        <v>39</v>
      </c>
      <c r="P4094" s="14" t="str">
        <f>IF(
    OR(ISBLANK(moras[[#This Row],[TIPO_ASEGURAMIENTO]]), moras[[#This Row],[TIPO_ASEGURAMIENTO]]=""),
    EDA!$A$32,
    moras[[#This Row],[TIPO_ASEGURAMIENTO]]
)</f>
        <v>ASEGURADO VOLUNTARIO</v>
      </c>
    </row>
    <row r="4095" spans="1:16" x14ac:dyDescent="0.3">
      <c r="A4095">
        <v>4094</v>
      </c>
      <c r="B4095" t="s">
        <v>9</v>
      </c>
      <c r="C4095">
        <v>305704</v>
      </c>
      <c r="D4095" t="s">
        <v>17</v>
      </c>
      <c r="E4095" t="s">
        <v>16</v>
      </c>
      <c r="F4095" t="s">
        <v>12</v>
      </c>
      <c r="G4095" t="s">
        <v>13</v>
      </c>
      <c r="H4095" t="s">
        <v>13</v>
      </c>
      <c r="I4095">
        <v>34</v>
      </c>
      <c r="J4095">
        <f>ABS((I4095-EDA!$A$15)/EDA!$B$15)</f>
        <v>0.56316232775838282</v>
      </c>
      <c r="K4095" t="str">
        <f t="shared" si="63"/>
        <v>No</v>
      </c>
      <c r="L4095">
        <f>ABS((C4095-EDA!$F$15)/EDA!$G$15)</f>
        <v>0.37056684184763578</v>
      </c>
      <c r="M4095" t="str">
        <f>IF(moras[[#This Row],[Z-Score Salario]]&gt;1.96, "Sí", "No")</f>
        <v>No</v>
      </c>
      <c r="N4095" s="14">
        <f>IF(ISBLANK(moras[[#This Row],[SALARIO]]), EDA!$M$8, moras[[#This Row],[SALARIO]])</f>
        <v>305704</v>
      </c>
      <c r="O4095" s="14">
        <f xml:space="preserve"> IF(ISBLANK(moras[[#This Row],[EDAD]]), EDA!$E$8, moras[[#This Row],[EDAD]])</f>
        <v>34</v>
      </c>
      <c r="P4095" s="14" t="str">
        <f>IF(
    OR(ISBLANK(moras[[#This Row],[TIPO_ASEGURAMIENTO]]), moras[[#This Row],[TIPO_ASEGURAMIENTO]]=""),
    EDA!$A$32,
    moras[[#This Row],[TIPO_ASEGURAMIENTO]]
)</f>
        <v>ASEGURADO VOLUNTARIO</v>
      </c>
    </row>
    <row r="4096" spans="1:16" x14ac:dyDescent="0.3">
      <c r="A4096">
        <v>4095</v>
      </c>
      <c r="B4096" t="s">
        <v>9</v>
      </c>
      <c r="C4096">
        <v>2586422</v>
      </c>
      <c r="D4096" t="s">
        <v>10</v>
      </c>
      <c r="E4096" t="s">
        <v>11</v>
      </c>
      <c r="F4096" t="s">
        <v>12</v>
      </c>
      <c r="G4096" t="s">
        <v>13</v>
      </c>
      <c r="H4096" t="s">
        <v>13</v>
      </c>
      <c r="I4096">
        <v>43</v>
      </c>
      <c r="J4096">
        <f>ABS((I4096-EDA!$A$15)/EDA!$B$15)</f>
        <v>7.2015642935854773E-2</v>
      </c>
      <c r="K4096" t="str">
        <f t="shared" si="63"/>
        <v>No</v>
      </c>
      <c r="L4096">
        <f>ABS((C4096-EDA!$F$15)/EDA!$G$15)</f>
        <v>0.33261408434098128</v>
      </c>
      <c r="M4096" t="str">
        <f>IF(moras[[#This Row],[Z-Score Salario]]&gt;1.96, "Sí", "No")</f>
        <v>No</v>
      </c>
      <c r="N4096" s="14">
        <f>IF(ISBLANK(moras[[#This Row],[SALARIO]]), EDA!$M$8, moras[[#This Row],[SALARIO]])</f>
        <v>2586422</v>
      </c>
      <c r="O4096" s="14">
        <f xml:space="preserve"> IF(ISBLANK(moras[[#This Row],[EDAD]]), EDA!$E$8, moras[[#This Row],[EDAD]])</f>
        <v>43</v>
      </c>
      <c r="P4096" s="14" t="str">
        <f>IF(
    OR(ISBLANK(moras[[#This Row],[TIPO_ASEGURAMIENTO]]), moras[[#This Row],[TIPO_ASEGURAMIENTO]]=""),
    EDA!$A$32,
    moras[[#This Row],[TIPO_ASEGURAMIENTO]]
)</f>
        <v>ASALARIADO</v>
      </c>
    </row>
    <row r="4097" spans="1:16" x14ac:dyDescent="0.3">
      <c r="A4097">
        <v>4096</v>
      </c>
      <c r="B4097" t="s">
        <v>9</v>
      </c>
      <c r="C4097">
        <v>106000</v>
      </c>
      <c r="D4097" t="s">
        <v>10</v>
      </c>
      <c r="E4097" t="s">
        <v>16</v>
      </c>
      <c r="F4097" t="s">
        <v>12</v>
      </c>
      <c r="G4097" t="s">
        <v>13</v>
      </c>
      <c r="H4097" t="s">
        <v>13</v>
      </c>
      <c r="I4097">
        <v>22</v>
      </c>
      <c r="J4097">
        <f>ABS((I4097-EDA!$A$15)/EDA!$B$15)</f>
        <v>1.4100662886840327</v>
      </c>
      <c r="K4097" t="str">
        <f t="shared" si="63"/>
        <v>No</v>
      </c>
      <c r="L4097">
        <f>ABS((C4097-EDA!$F$15)/EDA!$G$15)</f>
        <v>0.37389005738112518</v>
      </c>
      <c r="M4097" t="str">
        <f>IF(moras[[#This Row],[Z-Score Salario]]&gt;1.96, "Sí", "No")</f>
        <v>No</v>
      </c>
      <c r="N4097" s="14">
        <f>IF(ISBLANK(moras[[#This Row],[SALARIO]]), EDA!$M$8, moras[[#This Row],[SALARIO]])</f>
        <v>106000</v>
      </c>
      <c r="O4097" s="14">
        <f xml:space="preserve"> IF(ISBLANK(moras[[#This Row],[EDAD]]), EDA!$E$8, moras[[#This Row],[EDAD]])</f>
        <v>22</v>
      </c>
      <c r="P4097" s="14" t="str">
        <f>IF(
    OR(ISBLANK(moras[[#This Row],[TIPO_ASEGURAMIENTO]]), moras[[#This Row],[TIPO_ASEGURAMIENTO]]=""),
    EDA!$A$32,
    moras[[#This Row],[TIPO_ASEGURAMIENTO]]
)</f>
        <v>ASALARIADO</v>
      </c>
    </row>
    <row r="4098" spans="1:16" x14ac:dyDescent="0.3">
      <c r="A4098">
        <v>4097</v>
      </c>
      <c r="B4098" t="s">
        <v>15</v>
      </c>
      <c r="C4098">
        <v>20166667</v>
      </c>
      <c r="D4098" t="s">
        <v>10</v>
      </c>
      <c r="E4098" t="s">
        <v>16</v>
      </c>
      <c r="F4098" t="s">
        <v>12</v>
      </c>
      <c r="G4098" t="s">
        <v>12</v>
      </c>
      <c r="H4098" t="s">
        <v>13</v>
      </c>
      <c r="I4098">
        <v>49</v>
      </c>
      <c r="J4098">
        <f>ABS((I4098-EDA!$A$15)/EDA!$B$15)</f>
        <v>0.49546762339867978</v>
      </c>
      <c r="K4098" t="str">
        <f t="shared" ref="K4098:K4161" si="64">IF(J4098 &gt;  1.96, "Sí","No")</f>
        <v>No</v>
      </c>
      <c r="L4098">
        <f>ABS((C4098-EDA!$F$15)/EDA!$G$15)</f>
        <v>4.0066397431606393E-2</v>
      </c>
      <c r="M4098" t="str">
        <f>IF(moras[[#This Row],[Z-Score Salario]]&gt;1.96, "Sí", "No")</f>
        <v>No</v>
      </c>
      <c r="N4098" s="14">
        <f>IF(ISBLANK(moras[[#This Row],[SALARIO]]), EDA!$M$8, moras[[#This Row],[SALARIO]])</f>
        <v>20166667</v>
      </c>
      <c r="O4098" s="14">
        <f xml:space="preserve"> IF(ISBLANK(moras[[#This Row],[EDAD]]), EDA!$E$8, moras[[#This Row],[EDAD]])</f>
        <v>49</v>
      </c>
      <c r="P4098" s="14" t="str">
        <f>IF(
    OR(ISBLANK(moras[[#This Row],[TIPO_ASEGURAMIENTO]]), moras[[#This Row],[TIPO_ASEGURAMIENTO]]=""),
    EDA!$A$32,
    moras[[#This Row],[TIPO_ASEGURAMIENTO]]
)</f>
        <v>ASALARIADO</v>
      </c>
    </row>
    <row r="4099" spans="1:16" x14ac:dyDescent="0.3">
      <c r="A4099">
        <v>4098</v>
      </c>
      <c r="B4099" t="s">
        <v>15</v>
      </c>
      <c r="C4099">
        <v>523886</v>
      </c>
      <c r="D4099" t="s">
        <v>18</v>
      </c>
      <c r="E4099" t="s">
        <v>16</v>
      </c>
      <c r="F4099" t="s">
        <v>12</v>
      </c>
      <c r="G4099" t="s">
        <v>13</v>
      </c>
      <c r="H4099" t="s">
        <v>13</v>
      </c>
      <c r="I4099">
        <v>23</v>
      </c>
      <c r="J4099">
        <f>ABS((I4099-EDA!$A$15)/EDA!$B$15)</f>
        <v>1.3394909586068953</v>
      </c>
      <c r="K4099" t="str">
        <f t="shared" si="64"/>
        <v>No</v>
      </c>
      <c r="L4099">
        <f>ABS((C4099-EDA!$F$15)/EDA!$G$15)</f>
        <v>0.36693613935030078</v>
      </c>
      <c r="M4099" t="str">
        <f>IF(moras[[#This Row],[Z-Score Salario]]&gt;1.96, "Sí", "No")</f>
        <v>No</v>
      </c>
      <c r="N4099" s="14">
        <f>IF(ISBLANK(moras[[#This Row],[SALARIO]]), EDA!$M$8, moras[[#This Row],[SALARIO]])</f>
        <v>523886</v>
      </c>
      <c r="O4099" s="14">
        <f xml:space="preserve"> IF(ISBLANK(moras[[#This Row],[EDAD]]), EDA!$E$8, moras[[#This Row],[EDAD]])</f>
        <v>23</v>
      </c>
      <c r="P4099" s="14" t="str">
        <f>IF(
    OR(ISBLANK(moras[[#This Row],[TIPO_ASEGURAMIENTO]]), moras[[#This Row],[TIPO_ASEGURAMIENTO]]=""),
    EDA!$A$32,
    moras[[#This Row],[TIPO_ASEGURAMIENTO]]
)</f>
        <v>TRABAJADOR INDEPENDIENTE</v>
      </c>
    </row>
    <row r="4100" spans="1:16" x14ac:dyDescent="0.3">
      <c r="A4100">
        <v>4099</v>
      </c>
      <c r="B4100" t="s">
        <v>15</v>
      </c>
      <c r="C4100">
        <v>329720</v>
      </c>
      <c r="D4100" t="s">
        <v>17</v>
      </c>
      <c r="E4100" t="s">
        <v>16</v>
      </c>
      <c r="F4100" t="s">
        <v>12</v>
      </c>
      <c r="G4100" t="s">
        <v>12</v>
      </c>
      <c r="H4100" t="s">
        <v>13</v>
      </c>
      <c r="I4100">
        <v>64</v>
      </c>
      <c r="J4100">
        <f>ABS((I4100-EDA!$A$15)/EDA!$B$15)</f>
        <v>1.5540975745557424</v>
      </c>
      <c r="K4100" t="str">
        <f t="shared" si="64"/>
        <v>No</v>
      </c>
      <c r="L4100">
        <f>ABS((C4100-EDA!$F$15)/EDA!$G$15)</f>
        <v>0.37016719865444847</v>
      </c>
      <c r="M4100" t="str">
        <f>IF(moras[[#This Row],[Z-Score Salario]]&gt;1.96, "Sí", "No")</f>
        <v>No</v>
      </c>
      <c r="N4100" s="14">
        <f>IF(ISBLANK(moras[[#This Row],[SALARIO]]), EDA!$M$8, moras[[#This Row],[SALARIO]])</f>
        <v>329720</v>
      </c>
      <c r="O4100" s="14">
        <f xml:space="preserve"> IF(ISBLANK(moras[[#This Row],[EDAD]]), EDA!$E$8, moras[[#This Row],[EDAD]])</f>
        <v>64</v>
      </c>
      <c r="P4100" s="14" t="str">
        <f>IF(
    OR(ISBLANK(moras[[#This Row],[TIPO_ASEGURAMIENTO]]), moras[[#This Row],[TIPO_ASEGURAMIENTO]]=""),
    EDA!$A$32,
    moras[[#This Row],[TIPO_ASEGURAMIENTO]]
)</f>
        <v>ASEGURADO VOLUNTARIO</v>
      </c>
    </row>
    <row r="4101" spans="1:16" x14ac:dyDescent="0.3">
      <c r="A4101">
        <v>4100</v>
      </c>
      <c r="B4101" t="s">
        <v>9</v>
      </c>
      <c r="C4101">
        <v>623672</v>
      </c>
      <c r="D4101" t="s">
        <v>10</v>
      </c>
      <c r="E4101" t="s">
        <v>16</v>
      </c>
      <c r="F4101" t="s">
        <v>12</v>
      </c>
      <c r="G4101" t="s">
        <v>13</v>
      </c>
      <c r="H4101" t="s">
        <v>13</v>
      </c>
      <c r="I4101">
        <v>51</v>
      </c>
      <c r="J4101">
        <f>ABS((I4101-EDA!$A$15)/EDA!$B$15)</f>
        <v>0.6366182835529548</v>
      </c>
      <c r="K4101" t="str">
        <f t="shared" si="64"/>
        <v>No</v>
      </c>
      <c r="L4101">
        <f>ABS((C4101-EDA!$F$15)/EDA!$G$15)</f>
        <v>0.36527562987014628</v>
      </c>
      <c r="M4101" t="str">
        <f>IF(moras[[#This Row],[Z-Score Salario]]&gt;1.96, "Sí", "No")</f>
        <v>No</v>
      </c>
      <c r="N4101" s="14">
        <f>IF(ISBLANK(moras[[#This Row],[SALARIO]]), EDA!$M$8, moras[[#This Row],[SALARIO]])</f>
        <v>623672</v>
      </c>
      <c r="O4101" s="14">
        <f xml:space="preserve"> IF(ISBLANK(moras[[#This Row],[EDAD]]), EDA!$E$8, moras[[#This Row],[EDAD]])</f>
        <v>51</v>
      </c>
      <c r="P4101" s="14" t="str">
        <f>IF(
    OR(ISBLANK(moras[[#This Row],[TIPO_ASEGURAMIENTO]]), moras[[#This Row],[TIPO_ASEGURAMIENTO]]=""),
    EDA!$A$32,
    moras[[#This Row],[TIPO_ASEGURAMIENTO]]
)</f>
        <v>ASALARIADO</v>
      </c>
    </row>
    <row r="4102" spans="1:16" x14ac:dyDescent="0.3">
      <c r="A4102">
        <v>4101</v>
      </c>
      <c r="B4102" t="s">
        <v>15</v>
      </c>
      <c r="C4102">
        <v>23896429</v>
      </c>
      <c r="D4102" t="s">
        <v>14</v>
      </c>
      <c r="E4102" t="s">
        <v>11</v>
      </c>
      <c r="F4102" t="s">
        <v>12</v>
      </c>
      <c r="G4102" t="s">
        <v>13</v>
      </c>
      <c r="H4102" t="s">
        <v>13</v>
      </c>
      <c r="I4102">
        <v>85</v>
      </c>
      <c r="J4102">
        <f>ABS((I4102-EDA!$A$15)/EDA!$B$15)</f>
        <v>3.03617950617563</v>
      </c>
      <c r="K4102" t="str">
        <f t="shared" si="64"/>
        <v>Sí</v>
      </c>
      <c r="L4102">
        <f>ABS((C4102-EDA!$F$15)/EDA!$G$15)</f>
        <v>2.1999475132881974E-2</v>
      </c>
      <c r="M4102" t="str">
        <f>IF(moras[[#This Row],[Z-Score Salario]]&gt;1.96, "Sí", "No")</f>
        <v>No</v>
      </c>
      <c r="N4102" s="14">
        <f>IF(ISBLANK(moras[[#This Row],[SALARIO]]), EDA!$M$8, moras[[#This Row],[SALARIO]])</f>
        <v>23896429</v>
      </c>
      <c r="O4102" s="14">
        <f xml:space="preserve"> IF(ISBLANK(moras[[#This Row],[EDAD]]), EDA!$E$8, moras[[#This Row],[EDAD]])</f>
        <v>85</v>
      </c>
      <c r="P4102" s="14" t="str">
        <f>IF(
    OR(ISBLANK(moras[[#This Row],[TIPO_ASEGURAMIENTO]]), moras[[#This Row],[TIPO_ASEGURAMIENTO]]=""),
    EDA!$A$32,
    moras[[#This Row],[TIPO_ASEGURAMIENTO]]
)</f>
        <v>PENSIONADOS EN SU PROPIO SISTEMA</v>
      </c>
    </row>
    <row r="4103" spans="1:16" x14ac:dyDescent="0.3">
      <c r="A4103">
        <v>4102</v>
      </c>
      <c r="B4103" t="s">
        <v>9</v>
      </c>
      <c r="C4103">
        <v>3229166</v>
      </c>
      <c r="D4103" t="s">
        <v>10</v>
      </c>
      <c r="E4103" t="s">
        <v>16</v>
      </c>
      <c r="F4103" t="s">
        <v>12</v>
      </c>
      <c r="G4103" t="s">
        <v>13</v>
      </c>
      <c r="H4103" t="s">
        <v>12</v>
      </c>
      <c r="I4103">
        <v>39</v>
      </c>
      <c r="J4103">
        <f>ABS((I4103-EDA!$A$15)/EDA!$B$15)</f>
        <v>0.21028567737269524</v>
      </c>
      <c r="K4103" t="str">
        <f t="shared" si="64"/>
        <v>No</v>
      </c>
      <c r="L4103">
        <f>ABS((C4103-EDA!$F$15)/EDA!$G$15)</f>
        <v>0.32191837046015198</v>
      </c>
      <c r="M4103" t="str">
        <f>IF(moras[[#This Row],[Z-Score Salario]]&gt;1.96, "Sí", "No")</f>
        <v>No</v>
      </c>
      <c r="N4103" s="14">
        <f>IF(ISBLANK(moras[[#This Row],[SALARIO]]), EDA!$M$8, moras[[#This Row],[SALARIO]])</f>
        <v>3229166</v>
      </c>
      <c r="O4103" s="14">
        <f xml:space="preserve"> IF(ISBLANK(moras[[#This Row],[EDAD]]), EDA!$E$8, moras[[#This Row],[EDAD]])</f>
        <v>39</v>
      </c>
      <c r="P4103" s="14" t="str">
        <f>IF(
    OR(ISBLANK(moras[[#This Row],[TIPO_ASEGURAMIENTO]]), moras[[#This Row],[TIPO_ASEGURAMIENTO]]=""),
    EDA!$A$32,
    moras[[#This Row],[TIPO_ASEGURAMIENTO]]
)</f>
        <v>ASALARIADO</v>
      </c>
    </row>
    <row r="4104" spans="1:16" x14ac:dyDescent="0.3">
      <c r="A4104">
        <v>4103</v>
      </c>
      <c r="B4104" t="s">
        <v>15</v>
      </c>
      <c r="C4104">
        <v>299206</v>
      </c>
      <c r="D4104" t="s">
        <v>10</v>
      </c>
      <c r="E4104" t="s">
        <v>16</v>
      </c>
      <c r="F4104" t="s">
        <v>12</v>
      </c>
      <c r="G4104" t="s">
        <v>13</v>
      </c>
      <c r="H4104" t="s">
        <v>13</v>
      </c>
      <c r="I4104">
        <v>39</v>
      </c>
      <c r="J4104">
        <f>ABS((I4104-EDA!$A$15)/EDA!$B$15)</f>
        <v>0.21028567737269524</v>
      </c>
      <c r="K4104" t="str">
        <f t="shared" si="64"/>
        <v>No</v>
      </c>
      <c r="L4104">
        <f>ABS((C4104-EDA!$F$15)/EDA!$G$15)</f>
        <v>0.37067497315465325</v>
      </c>
      <c r="M4104" t="str">
        <f>IF(moras[[#This Row],[Z-Score Salario]]&gt;1.96, "Sí", "No")</f>
        <v>No</v>
      </c>
      <c r="N4104" s="14">
        <f>IF(ISBLANK(moras[[#This Row],[SALARIO]]), EDA!$M$8, moras[[#This Row],[SALARIO]])</f>
        <v>299206</v>
      </c>
      <c r="O4104" s="14">
        <f xml:space="preserve"> IF(ISBLANK(moras[[#This Row],[EDAD]]), EDA!$E$8, moras[[#This Row],[EDAD]])</f>
        <v>39</v>
      </c>
      <c r="P4104" s="14" t="str">
        <f>IF(
    OR(ISBLANK(moras[[#This Row],[TIPO_ASEGURAMIENTO]]), moras[[#This Row],[TIPO_ASEGURAMIENTO]]=""),
    EDA!$A$32,
    moras[[#This Row],[TIPO_ASEGURAMIENTO]]
)</f>
        <v>ASALARIADO</v>
      </c>
    </row>
    <row r="4105" spans="1:16" x14ac:dyDescent="0.3">
      <c r="A4105">
        <v>4104</v>
      </c>
      <c r="B4105" t="s">
        <v>9</v>
      </c>
      <c r="C4105">
        <v>44576176</v>
      </c>
      <c r="D4105" t="s">
        <v>10</v>
      </c>
      <c r="E4105" t="s">
        <v>16</v>
      </c>
      <c r="F4105" t="s">
        <v>12</v>
      </c>
      <c r="G4105" t="s">
        <v>13</v>
      </c>
      <c r="H4105" t="s">
        <v>13</v>
      </c>
      <c r="I4105">
        <v>30</v>
      </c>
      <c r="J4105">
        <f>ABS((I4105-EDA!$A$15)/EDA!$B$15)</f>
        <v>0.84546364806693275</v>
      </c>
      <c r="K4105" t="str">
        <f t="shared" si="64"/>
        <v>No</v>
      </c>
      <c r="L4105">
        <f>ABS((C4105-EDA!$F$15)/EDA!$G$15)</f>
        <v>0.36612506329852379</v>
      </c>
      <c r="M4105" t="str">
        <f>IF(moras[[#This Row],[Z-Score Salario]]&gt;1.96, "Sí", "No")</f>
        <v>No</v>
      </c>
      <c r="N4105" s="14">
        <f>IF(ISBLANK(moras[[#This Row],[SALARIO]]), EDA!$M$8, moras[[#This Row],[SALARIO]])</f>
        <v>44576176</v>
      </c>
      <c r="O4105" s="14">
        <f xml:space="preserve"> IF(ISBLANK(moras[[#This Row],[EDAD]]), EDA!$E$8, moras[[#This Row],[EDAD]])</f>
        <v>30</v>
      </c>
      <c r="P4105" s="14" t="str">
        <f>IF(
    OR(ISBLANK(moras[[#This Row],[TIPO_ASEGURAMIENTO]]), moras[[#This Row],[TIPO_ASEGURAMIENTO]]=""),
    EDA!$A$32,
    moras[[#This Row],[TIPO_ASEGURAMIENTO]]
)</f>
        <v>ASALARIADO</v>
      </c>
    </row>
    <row r="4106" spans="1:16" x14ac:dyDescent="0.3">
      <c r="A4106">
        <v>4105</v>
      </c>
      <c r="B4106" t="s">
        <v>9</v>
      </c>
      <c r="C4106">
        <v>297046</v>
      </c>
      <c r="D4106" t="s">
        <v>17</v>
      </c>
      <c r="E4106" t="s">
        <v>16</v>
      </c>
      <c r="F4106" t="s">
        <v>12</v>
      </c>
      <c r="G4106" t="s">
        <v>13</v>
      </c>
      <c r="H4106" t="s">
        <v>13</v>
      </c>
      <c r="I4106">
        <v>61</v>
      </c>
      <c r="J4106">
        <f>ABS((I4106-EDA!$A$15)/EDA!$B$15)</f>
        <v>1.3423715843243298</v>
      </c>
      <c r="K4106" t="str">
        <f t="shared" si="64"/>
        <v>No</v>
      </c>
      <c r="L4106">
        <f>ABS((C4106-EDA!$F$15)/EDA!$G$15)</f>
        <v>0.37071091707942361</v>
      </c>
      <c r="M4106" t="str">
        <f>IF(moras[[#This Row],[Z-Score Salario]]&gt;1.96, "Sí", "No")</f>
        <v>No</v>
      </c>
      <c r="N4106" s="14">
        <f>IF(ISBLANK(moras[[#This Row],[SALARIO]]), EDA!$M$8, moras[[#This Row],[SALARIO]])</f>
        <v>297046</v>
      </c>
      <c r="O4106" s="14">
        <f xml:space="preserve"> IF(ISBLANK(moras[[#This Row],[EDAD]]), EDA!$E$8, moras[[#This Row],[EDAD]])</f>
        <v>61</v>
      </c>
      <c r="P4106" s="14" t="str">
        <f>IF(
    OR(ISBLANK(moras[[#This Row],[TIPO_ASEGURAMIENTO]]), moras[[#This Row],[TIPO_ASEGURAMIENTO]]=""),
    EDA!$A$32,
    moras[[#This Row],[TIPO_ASEGURAMIENTO]]
)</f>
        <v>ASEGURADO VOLUNTARIO</v>
      </c>
    </row>
    <row r="4107" spans="1:16" x14ac:dyDescent="0.3">
      <c r="A4107">
        <v>4106</v>
      </c>
      <c r="B4107" t="s">
        <v>15</v>
      </c>
      <c r="C4107">
        <v>39083333</v>
      </c>
      <c r="D4107" t="s">
        <v>10</v>
      </c>
      <c r="E4107" t="s">
        <v>16</v>
      </c>
      <c r="F4107" t="s">
        <v>12</v>
      </c>
      <c r="G4107" t="s">
        <v>13</v>
      </c>
      <c r="H4107" t="s">
        <v>13</v>
      </c>
      <c r="I4107">
        <v>41</v>
      </c>
      <c r="J4107">
        <f>ABS((I4107-EDA!$A$15)/EDA!$B$15)</f>
        <v>6.9135017218420233E-2</v>
      </c>
      <c r="K4107" t="str">
        <f t="shared" si="64"/>
        <v>No</v>
      </c>
      <c r="L4107">
        <f>ABS((C4107-EDA!$F$15)/EDA!$G$15)</f>
        <v>0.27472027831365292</v>
      </c>
      <c r="M4107" t="str">
        <f>IF(moras[[#This Row],[Z-Score Salario]]&gt;1.96, "Sí", "No")</f>
        <v>No</v>
      </c>
      <c r="N4107" s="14">
        <f>IF(ISBLANK(moras[[#This Row],[SALARIO]]), EDA!$M$8, moras[[#This Row],[SALARIO]])</f>
        <v>39083333</v>
      </c>
      <c r="O4107" s="14">
        <f xml:space="preserve"> IF(ISBLANK(moras[[#This Row],[EDAD]]), EDA!$E$8, moras[[#This Row],[EDAD]])</f>
        <v>41</v>
      </c>
      <c r="P4107" s="14" t="str">
        <f>IF(
    OR(ISBLANK(moras[[#This Row],[TIPO_ASEGURAMIENTO]]), moras[[#This Row],[TIPO_ASEGURAMIENTO]]=""),
    EDA!$A$32,
    moras[[#This Row],[TIPO_ASEGURAMIENTO]]
)</f>
        <v>ASALARIADO</v>
      </c>
    </row>
    <row r="4108" spans="1:16" x14ac:dyDescent="0.3">
      <c r="A4108">
        <v>4107</v>
      </c>
      <c r="B4108" t="s">
        <v>15</v>
      </c>
      <c r="C4108">
        <v>29700</v>
      </c>
      <c r="D4108" t="s">
        <v>10</v>
      </c>
      <c r="E4108" t="s">
        <v>16</v>
      </c>
      <c r="F4108" t="s">
        <v>12</v>
      </c>
      <c r="G4108" t="s">
        <v>13</v>
      </c>
      <c r="H4108" t="s">
        <v>13</v>
      </c>
      <c r="I4108">
        <v>29</v>
      </c>
      <c r="J4108">
        <f>ABS((I4108-EDA!$A$15)/EDA!$B$15)</f>
        <v>0.91603897814407031</v>
      </c>
      <c r="K4108" t="str">
        <f t="shared" si="64"/>
        <v>No</v>
      </c>
      <c r="L4108">
        <f>ABS((C4108-EDA!$F$15)/EDA!$G$15)</f>
        <v>0.37515974324222584</v>
      </c>
      <c r="M4108" t="str">
        <f>IF(moras[[#This Row],[Z-Score Salario]]&gt;1.96, "Sí", "No")</f>
        <v>No</v>
      </c>
      <c r="N4108" s="14">
        <f>IF(ISBLANK(moras[[#This Row],[SALARIO]]), EDA!$M$8, moras[[#This Row],[SALARIO]])</f>
        <v>29700</v>
      </c>
      <c r="O4108" s="14">
        <f xml:space="preserve"> IF(ISBLANK(moras[[#This Row],[EDAD]]), EDA!$E$8, moras[[#This Row],[EDAD]])</f>
        <v>29</v>
      </c>
      <c r="P4108" s="14" t="str">
        <f>IF(
    OR(ISBLANK(moras[[#This Row],[TIPO_ASEGURAMIENTO]]), moras[[#This Row],[TIPO_ASEGURAMIENTO]]=""),
    EDA!$A$32,
    moras[[#This Row],[TIPO_ASEGURAMIENTO]]
)</f>
        <v>ASALARIADO</v>
      </c>
    </row>
    <row r="4109" spans="1:16" x14ac:dyDescent="0.3">
      <c r="A4109">
        <v>4108</v>
      </c>
      <c r="B4109" t="s">
        <v>15</v>
      </c>
      <c r="C4109">
        <v>118639816</v>
      </c>
      <c r="D4109" t="s">
        <v>10</v>
      </c>
      <c r="E4109" t="s">
        <v>16</v>
      </c>
      <c r="F4109" t="s">
        <v>12</v>
      </c>
      <c r="G4109" t="s">
        <v>13</v>
      </c>
      <c r="H4109" t="s">
        <v>13</v>
      </c>
      <c r="I4109">
        <v>41</v>
      </c>
      <c r="J4109">
        <f>ABS((I4109-EDA!$A$15)/EDA!$B$15)</f>
        <v>6.9135017218420233E-2</v>
      </c>
      <c r="K4109" t="str">
        <f t="shared" si="64"/>
        <v>No</v>
      </c>
      <c r="L4109">
        <f>ABS((C4109-EDA!$F$15)/EDA!$G$15)</f>
        <v>1.5985963153253671</v>
      </c>
      <c r="M4109" t="str">
        <f>IF(moras[[#This Row],[Z-Score Salario]]&gt;1.96, "Sí", "No")</f>
        <v>No</v>
      </c>
      <c r="N4109" s="14">
        <f>IF(ISBLANK(moras[[#This Row],[SALARIO]]), EDA!$M$8, moras[[#This Row],[SALARIO]])</f>
        <v>118639816</v>
      </c>
      <c r="O4109" s="14">
        <f xml:space="preserve"> IF(ISBLANK(moras[[#This Row],[EDAD]]), EDA!$E$8, moras[[#This Row],[EDAD]])</f>
        <v>41</v>
      </c>
      <c r="P4109" s="14" t="str">
        <f>IF(
    OR(ISBLANK(moras[[#This Row],[TIPO_ASEGURAMIENTO]]), moras[[#This Row],[TIPO_ASEGURAMIENTO]]=""),
    EDA!$A$32,
    moras[[#This Row],[TIPO_ASEGURAMIENTO]]
)</f>
        <v>ASALARIADO</v>
      </c>
    </row>
    <row r="4110" spans="1:16" x14ac:dyDescent="0.3">
      <c r="A4110">
        <v>4109</v>
      </c>
      <c r="B4110" t="s">
        <v>15</v>
      </c>
      <c r="C4110">
        <v>839613</v>
      </c>
      <c r="D4110" t="s">
        <v>10</v>
      </c>
      <c r="E4110" t="s">
        <v>16</v>
      </c>
      <c r="F4110" t="s">
        <v>12</v>
      </c>
      <c r="G4110" t="s">
        <v>12</v>
      </c>
      <c r="H4110" t="s">
        <v>13</v>
      </c>
      <c r="I4110">
        <v>29</v>
      </c>
      <c r="J4110">
        <f>ABS((I4110-EDA!$A$15)/EDA!$B$15)</f>
        <v>0.91603897814407031</v>
      </c>
      <c r="K4110" t="str">
        <f t="shared" si="64"/>
        <v>No</v>
      </c>
      <c r="L4110">
        <f>ABS((C4110-EDA!$F$15)/EDA!$G$15)</f>
        <v>0.36168221919476051</v>
      </c>
      <c r="M4110" t="str">
        <f>IF(moras[[#This Row],[Z-Score Salario]]&gt;1.96, "Sí", "No")</f>
        <v>No</v>
      </c>
      <c r="N4110" s="14">
        <f>IF(ISBLANK(moras[[#This Row],[SALARIO]]), EDA!$M$8, moras[[#This Row],[SALARIO]])</f>
        <v>839613</v>
      </c>
      <c r="O4110" s="14">
        <f xml:space="preserve"> IF(ISBLANK(moras[[#This Row],[EDAD]]), EDA!$E$8, moras[[#This Row],[EDAD]])</f>
        <v>29</v>
      </c>
      <c r="P4110" s="14" t="str">
        <f>IF(
    OR(ISBLANK(moras[[#This Row],[TIPO_ASEGURAMIENTO]]), moras[[#This Row],[TIPO_ASEGURAMIENTO]]=""),
    EDA!$A$32,
    moras[[#This Row],[TIPO_ASEGURAMIENTO]]
)</f>
        <v>ASALARIADO</v>
      </c>
    </row>
    <row r="4111" spans="1:16" x14ac:dyDescent="0.3">
      <c r="A4111">
        <v>4110</v>
      </c>
      <c r="B4111" t="s">
        <v>15</v>
      </c>
      <c r="C4111">
        <v>1125420</v>
      </c>
      <c r="D4111" t="s">
        <v>10</v>
      </c>
      <c r="E4111" t="s">
        <v>11</v>
      </c>
      <c r="F4111" t="s">
        <v>12</v>
      </c>
      <c r="G4111" t="s">
        <v>13</v>
      </c>
      <c r="H4111" t="s">
        <v>12</v>
      </c>
      <c r="I4111">
        <v>29</v>
      </c>
      <c r="J4111">
        <f>ABS((I4111-EDA!$A$15)/EDA!$B$15)</f>
        <v>0.91603897814407031</v>
      </c>
      <c r="K4111" t="str">
        <f t="shared" si="64"/>
        <v>No</v>
      </c>
      <c r="L4111">
        <f>ABS((C4111-EDA!$F$15)/EDA!$G$15)</f>
        <v>0.35692618896011313</v>
      </c>
      <c r="M4111" t="str">
        <f>IF(moras[[#This Row],[Z-Score Salario]]&gt;1.96, "Sí", "No")</f>
        <v>No</v>
      </c>
      <c r="N4111" s="14">
        <f>IF(ISBLANK(moras[[#This Row],[SALARIO]]), EDA!$M$8, moras[[#This Row],[SALARIO]])</f>
        <v>1125420</v>
      </c>
      <c r="O4111" s="14">
        <f xml:space="preserve"> IF(ISBLANK(moras[[#This Row],[EDAD]]), EDA!$E$8, moras[[#This Row],[EDAD]])</f>
        <v>29</v>
      </c>
      <c r="P4111" s="14" t="str">
        <f>IF(
    OR(ISBLANK(moras[[#This Row],[TIPO_ASEGURAMIENTO]]), moras[[#This Row],[TIPO_ASEGURAMIENTO]]=""),
    EDA!$A$32,
    moras[[#This Row],[TIPO_ASEGURAMIENTO]]
)</f>
        <v>ASALARIADO</v>
      </c>
    </row>
    <row r="4112" spans="1:16" x14ac:dyDescent="0.3">
      <c r="A4112">
        <v>4111</v>
      </c>
      <c r="B4112" t="s">
        <v>15</v>
      </c>
      <c r="C4112">
        <v>432600</v>
      </c>
      <c r="D4112" t="s">
        <v>10</v>
      </c>
      <c r="E4112" t="s">
        <v>16</v>
      </c>
      <c r="F4112" t="s">
        <v>12</v>
      </c>
      <c r="G4112" t="s">
        <v>13</v>
      </c>
      <c r="H4112" t="s">
        <v>12</v>
      </c>
      <c r="I4112">
        <v>59</v>
      </c>
      <c r="J4112">
        <f>ABS((I4112-EDA!$A$15)/EDA!$B$15)</f>
        <v>1.2012209241700549</v>
      </c>
      <c r="K4112" t="str">
        <f t="shared" si="64"/>
        <v>No</v>
      </c>
      <c r="L4112">
        <f>ABS((C4112-EDA!$F$15)/EDA!$G$15)</f>
        <v>0.36845520283020161</v>
      </c>
      <c r="M4112" t="str">
        <f>IF(moras[[#This Row],[Z-Score Salario]]&gt;1.96, "Sí", "No")</f>
        <v>No</v>
      </c>
      <c r="N4112" s="14">
        <f>IF(ISBLANK(moras[[#This Row],[SALARIO]]), EDA!$M$8, moras[[#This Row],[SALARIO]])</f>
        <v>432600</v>
      </c>
      <c r="O4112" s="14">
        <f xml:space="preserve"> IF(ISBLANK(moras[[#This Row],[EDAD]]), EDA!$E$8, moras[[#This Row],[EDAD]])</f>
        <v>59</v>
      </c>
      <c r="P4112" s="14" t="str">
        <f>IF(
    OR(ISBLANK(moras[[#This Row],[TIPO_ASEGURAMIENTO]]), moras[[#This Row],[TIPO_ASEGURAMIENTO]]=""),
    EDA!$A$32,
    moras[[#This Row],[TIPO_ASEGURAMIENTO]]
)</f>
        <v>ASALARIADO</v>
      </c>
    </row>
    <row r="4113" spans="1:16" x14ac:dyDescent="0.3">
      <c r="A4113">
        <v>4112</v>
      </c>
      <c r="B4113" t="s">
        <v>9</v>
      </c>
      <c r="C4113">
        <v>403983</v>
      </c>
      <c r="D4113" t="s">
        <v>18</v>
      </c>
      <c r="E4113" t="s">
        <v>16</v>
      </c>
      <c r="F4113" t="s">
        <v>12</v>
      </c>
      <c r="G4113" t="s">
        <v>13</v>
      </c>
      <c r="H4113" t="s">
        <v>13</v>
      </c>
      <c r="I4113">
        <v>53</v>
      </c>
      <c r="J4113">
        <f>ABS((I4113-EDA!$A$15)/EDA!$B$15)</f>
        <v>0.77776894370722982</v>
      </c>
      <c r="K4113" t="str">
        <f t="shared" si="64"/>
        <v>No</v>
      </c>
      <c r="L4113">
        <f>ABS((C4113-EDA!$F$15)/EDA!$G$15)</f>
        <v>0.36893140991129098</v>
      </c>
      <c r="M4113" t="str">
        <f>IF(moras[[#This Row],[Z-Score Salario]]&gt;1.96, "Sí", "No")</f>
        <v>No</v>
      </c>
      <c r="N4113" s="14">
        <f>IF(ISBLANK(moras[[#This Row],[SALARIO]]), EDA!$M$8, moras[[#This Row],[SALARIO]])</f>
        <v>403983</v>
      </c>
      <c r="O4113" s="14">
        <f xml:space="preserve"> IF(ISBLANK(moras[[#This Row],[EDAD]]), EDA!$E$8, moras[[#This Row],[EDAD]])</f>
        <v>53</v>
      </c>
      <c r="P4113" s="14" t="str">
        <f>IF(
    OR(ISBLANK(moras[[#This Row],[TIPO_ASEGURAMIENTO]]), moras[[#This Row],[TIPO_ASEGURAMIENTO]]=""),
    EDA!$A$32,
    moras[[#This Row],[TIPO_ASEGURAMIENTO]]
)</f>
        <v>TRABAJADOR INDEPENDIENTE</v>
      </c>
    </row>
    <row r="4114" spans="1:16" x14ac:dyDescent="0.3">
      <c r="A4114">
        <v>4113</v>
      </c>
      <c r="B4114" t="s">
        <v>15</v>
      </c>
      <c r="C4114">
        <v>340000</v>
      </c>
      <c r="D4114" t="s">
        <v>10</v>
      </c>
      <c r="E4114" t="s">
        <v>16</v>
      </c>
      <c r="F4114" t="s">
        <v>12</v>
      </c>
      <c r="G4114" t="s">
        <v>13</v>
      </c>
      <c r="H4114" t="s">
        <v>12</v>
      </c>
      <c r="I4114">
        <v>43</v>
      </c>
      <c r="J4114">
        <f>ABS((I4114-EDA!$A$15)/EDA!$B$15)</f>
        <v>7.2015642935854773E-2</v>
      </c>
      <c r="K4114" t="str">
        <f t="shared" si="64"/>
        <v>No</v>
      </c>
      <c r="L4114">
        <f>ABS((C4114-EDA!$F$15)/EDA!$G$15)</f>
        <v>0.36999613219767108</v>
      </c>
      <c r="M4114" t="str">
        <f>IF(moras[[#This Row],[Z-Score Salario]]&gt;1.96, "Sí", "No")</f>
        <v>No</v>
      </c>
      <c r="N4114" s="14">
        <f>IF(ISBLANK(moras[[#This Row],[SALARIO]]), EDA!$M$8, moras[[#This Row],[SALARIO]])</f>
        <v>340000</v>
      </c>
      <c r="O4114" s="14">
        <f xml:space="preserve"> IF(ISBLANK(moras[[#This Row],[EDAD]]), EDA!$E$8, moras[[#This Row],[EDAD]])</f>
        <v>43</v>
      </c>
      <c r="P4114" s="14" t="str">
        <f>IF(
    OR(ISBLANK(moras[[#This Row],[TIPO_ASEGURAMIENTO]]), moras[[#This Row],[TIPO_ASEGURAMIENTO]]=""),
    EDA!$A$32,
    moras[[#This Row],[TIPO_ASEGURAMIENTO]]
)</f>
        <v>ASALARIADO</v>
      </c>
    </row>
    <row r="4115" spans="1:16" x14ac:dyDescent="0.3">
      <c r="A4115">
        <v>4114</v>
      </c>
      <c r="B4115" t="s">
        <v>15</v>
      </c>
      <c r="C4115">
        <v>122196041</v>
      </c>
      <c r="D4115" t="s">
        <v>10</v>
      </c>
      <c r="E4115" t="s">
        <v>11</v>
      </c>
      <c r="F4115" t="s">
        <v>12</v>
      </c>
      <c r="G4115" t="s">
        <v>13</v>
      </c>
      <c r="H4115" t="s">
        <v>13</v>
      </c>
      <c r="I4115">
        <v>42</v>
      </c>
      <c r="J4115">
        <f>ABS((I4115-EDA!$A$15)/EDA!$B$15)</f>
        <v>1.4403128587172659E-3</v>
      </c>
      <c r="K4115" t="str">
        <f t="shared" si="64"/>
        <v>No</v>
      </c>
      <c r="L4115">
        <f>ABS((C4115-EDA!$F$15)/EDA!$G$15)</f>
        <v>1.6577744097079705</v>
      </c>
      <c r="M4115" t="str">
        <f>IF(moras[[#This Row],[Z-Score Salario]]&gt;1.96, "Sí", "No")</f>
        <v>No</v>
      </c>
      <c r="N4115" s="14">
        <f>IF(ISBLANK(moras[[#This Row],[SALARIO]]), EDA!$M$8, moras[[#This Row],[SALARIO]])</f>
        <v>122196041</v>
      </c>
      <c r="O4115" s="14">
        <f xml:space="preserve"> IF(ISBLANK(moras[[#This Row],[EDAD]]), EDA!$E$8, moras[[#This Row],[EDAD]])</f>
        <v>42</v>
      </c>
      <c r="P4115" s="14" t="str">
        <f>IF(
    OR(ISBLANK(moras[[#This Row],[TIPO_ASEGURAMIENTO]]), moras[[#This Row],[TIPO_ASEGURAMIENTO]]=""),
    EDA!$A$32,
    moras[[#This Row],[TIPO_ASEGURAMIENTO]]
)</f>
        <v>ASALARIADO</v>
      </c>
    </row>
    <row r="4116" spans="1:16" x14ac:dyDescent="0.3">
      <c r="A4116">
        <v>4115</v>
      </c>
      <c r="B4116" t="s">
        <v>15</v>
      </c>
      <c r="C4116">
        <v>399934</v>
      </c>
      <c r="D4116" t="s">
        <v>10</v>
      </c>
      <c r="E4116" t="s">
        <v>11</v>
      </c>
      <c r="F4116" t="s">
        <v>12</v>
      </c>
      <c r="G4116" t="s">
        <v>13</v>
      </c>
      <c r="H4116" t="s">
        <v>12</v>
      </c>
      <c r="I4116">
        <v>36</v>
      </c>
      <c r="J4116">
        <f>ABS((I4116-EDA!$A$15)/EDA!$B$15)</f>
        <v>0.42201166760410774</v>
      </c>
      <c r="K4116" t="str">
        <f t="shared" si="64"/>
        <v>No</v>
      </c>
      <c r="L4116">
        <f>ABS((C4116-EDA!$F$15)/EDA!$G$15)</f>
        <v>0.36899878812952946</v>
      </c>
      <c r="M4116" t="str">
        <f>IF(moras[[#This Row],[Z-Score Salario]]&gt;1.96, "Sí", "No")</f>
        <v>No</v>
      </c>
      <c r="N4116" s="14">
        <f>IF(ISBLANK(moras[[#This Row],[SALARIO]]), EDA!$M$8, moras[[#This Row],[SALARIO]])</f>
        <v>399934</v>
      </c>
      <c r="O4116" s="14">
        <f xml:space="preserve"> IF(ISBLANK(moras[[#This Row],[EDAD]]), EDA!$E$8, moras[[#This Row],[EDAD]])</f>
        <v>36</v>
      </c>
      <c r="P4116" s="14" t="str">
        <f>IF(
    OR(ISBLANK(moras[[#This Row],[TIPO_ASEGURAMIENTO]]), moras[[#This Row],[TIPO_ASEGURAMIENTO]]=""),
    EDA!$A$32,
    moras[[#This Row],[TIPO_ASEGURAMIENTO]]
)</f>
        <v>ASALARIADO</v>
      </c>
    </row>
    <row r="4117" spans="1:16" x14ac:dyDescent="0.3">
      <c r="A4117">
        <v>4116</v>
      </c>
      <c r="B4117" t="s">
        <v>9</v>
      </c>
      <c r="C4117">
        <v>205570</v>
      </c>
      <c r="D4117" t="s">
        <v>10</v>
      </c>
      <c r="E4117" t="s">
        <v>16</v>
      </c>
      <c r="F4117" t="s">
        <v>12</v>
      </c>
      <c r="G4117" t="s">
        <v>13</v>
      </c>
      <c r="H4117" t="s">
        <v>13</v>
      </c>
      <c r="I4117">
        <v>38</v>
      </c>
      <c r="J4117">
        <f>ABS((I4117-EDA!$A$15)/EDA!$B$15)</f>
        <v>0.28086100744983278</v>
      </c>
      <c r="K4117" t="str">
        <f t="shared" si="64"/>
        <v>No</v>
      </c>
      <c r="L4117">
        <f>ABS((C4117-EDA!$F$15)/EDA!$G$15)</f>
        <v>0.37223314229344773</v>
      </c>
      <c r="M4117" t="str">
        <f>IF(moras[[#This Row],[Z-Score Salario]]&gt;1.96, "Sí", "No")</f>
        <v>No</v>
      </c>
      <c r="N4117" s="14">
        <f>IF(ISBLANK(moras[[#This Row],[SALARIO]]), EDA!$M$8, moras[[#This Row],[SALARIO]])</f>
        <v>205570</v>
      </c>
      <c r="O4117" s="14">
        <f xml:space="preserve"> IF(ISBLANK(moras[[#This Row],[EDAD]]), EDA!$E$8, moras[[#This Row],[EDAD]])</f>
        <v>38</v>
      </c>
      <c r="P4117" s="14" t="str">
        <f>IF(
    OR(ISBLANK(moras[[#This Row],[TIPO_ASEGURAMIENTO]]), moras[[#This Row],[TIPO_ASEGURAMIENTO]]=""),
    EDA!$A$32,
    moras[[#This Row],[TIPO_ASEGURAMIENTO]]
)</f>
        <v>ASALARIADO</v>
      </c>
    </row>
    <row r="4118" spans="1:16" x14ac:dyDescent="0.3">
      <c r="A4118">
        <v>4117</v>
      </c>
      <c r="B4118" t="s">
        <v>15</v>
      </c>
      <c r="C4118">
        <v>300018</v>
      </c>
      <c r="D4118" t="s">
        <v>17</v>
      </c>
      <c r="E4118" t="s">
        <v>16</v>
      </c>
      <c r="F4118" t="s">
        <v>12</v>
      </c>
      <c r="G4118" t="s">
        <v>13</v>
      </c>
      <c r="H4118" t="s">
        <v>13</v>
      </c>
      <c r="I4118">
        <v>34</v>
      </c>
      <c r="J4118">
        <f>ABS((I4118-EDA!$A$15)/EDA!$B$15)</f>
        <v>0.56316232775838282</v>
      </c>
      <c r="K4118" t="str">
        <f t="shared" si="64"/>
        <v>No</v>
      </c>
      <c r="L4118">
        <f>ABS((C4118-EDA!$F$15)/EDA!$G$15)</f>
        <v>0.37066146090145252</v>
      </c>
      <c r="M4118" t="str">
        <f>IF(moras[[#This Row],[Z-Score Salario]]&gt;1.96, "Sí", "No")</f>
        <v>No</v>
      </c>
      <c r="N4118" s="14">
        <f>IF(ISBLANK(moras[[#This Row],[SALARIO]]), EDA!$M$8, moras[[#This Row],[SALARIO]])</f>
        <v>300018</v>
      </c>
      <c r="O4118" s="14">
        <f xml:space="preserve"> IF(ISBLANK(moras[[#This Row],[EDAD]]), EDA!$E$8, moras[[#This Row],[EDAD]])</f>
        <v>34</v>
      </c>
      <c r="P4118" s="14" t="str">
        <f>IF(
    OR(ISBLANK(moras[[#This Row],[TIPO_ASEGURAMIENTO]]), moras[[#This Row],[TIPO_ASEGURAMIENTO]]=""),
    EDA!$A$32,
    moras[[#This Row],[TIPO_ASEGURAMIENTO]]
)</f>
        <v>ASEGURADO VOLUNTARIO</v>
      </c>
    </row>
    <row r="4119" spans="1:16" x14ac:dyDescent="0.3">
      <c r="A4119">
        <v>4118</v>
      </c>
      <c r="B4119" t="s">
        <v>15</v>
      </c>
      <c r="C4119">
        <v>386161</v>
      </c>
      <c r="D4119" t="s">
        <v>18</v>
      </c>
      <c r="E4119" t="s">
        <v>16</v>
      </c>
      <c r="F4119" t="s">
        <v>12</v>
      </c>
      <c r="G4119" t="s">
        <v>13</v>
      </c>
      <c r="H4119" t="s">
        <v>12</v>
      </c>
      <c r="I4119">
        <v>47</v>
      </c>
      <c r="J4119">
        <f>ABS((I4119-EDA!$A$15)/EDA!$B$15)</f>
        <v>0.35431696324440481</v>
      </c>
      <c r="K4119" t="str">
        <f t="shared" si="64"/>
        <v>No</v>
      </c>
      <c r="L4119">
        <f>ABS((C4119-EDA!$F$15)/EDA!$G$15)</f>
        <v>0.36922798057205813</v>
      </c>
      <c r="M4119" t="str">
        <f>IF(moras[[#This Row],[Z-Score Salario]]&gt;1.96, "Sí", "No")</f>
        <v>No</v>
      </c>
      <c r="N4119" s="14">
        <f>IF(ISBLANK(moras[[#This Row],[SALARIO]]), EDA!$M$8, moras[[#This Row],[SALARIO]])</f>
        <v>386161</v>
      </c>
      <c r="O4119" s="14">
        <f xml:space="preserve"> IF(ISBLANK(moras[[#This Row],[EDAD]]), EDA!$E$8, moras[[#This Row],[EDAD]])</f>
        <v>47</v>
      </c>
      <c r="P4119" s="14" t="str">
        <f>IF(
    OR(ISBLANK(moras[[#This Row],[TIPO_ASEGURAMIENTO]]), moras[[#This Row],[TIPO_ASEGURAMIENTO]]=""),
    EDA!$A$32,
    moras[[#This Row],[TIPO_ASEGURAMIENTO]]
)</f>
        <v>TRABAJADOR INDEPENDIENTE</v>
      </c>
    </row>
    <row r="4120" spans="1:16" x14ac:dyDescent="0.3">
      <c r="A4120">
        <v>4119</v>
      </c>
      <c r="B4120" t="s">
        <v>9</v>
      </c>
      <c r="C4120">
        <v>144000</v>
      </c>
      <c r="D4120" t="s">
        <v>10</v>
      </c>
      <c r="E4120" t="s">
        <v>16</v>
      </c>
      <c r="F4120" t="s">
        <v>12</v>
      </c>
      <c r="G4120" t="s">
        <v>13</v>
      </c>
      <c r="H4120" t="s">
        <v>13</v>
      </c>
      <c r="I4120">
        <v>35</v>
      </c>
      <c r="J4120">
        <f>ABS((I4120-EDA!$A$15)/EDA!$B$15)</f>
        <v>0.49258699768124525</v>
      </c>
      <c r="K4120" t="str">
        <f t="shared" si="64"/>
        <v>No</v>
      </c>
      <c r="L4120">
        <f>ABS((C4120-EDA!$F$15)/EDA!$G$15)</f>
        <v>0.37325771055646173</v>
      </c>
      <c r="M4120" t="str">
        <f>IF(moras[[#This Row],[Z-Score Salario]]&gt;1.96, "Sí", "No")</f>
        <v>No</v>
      </c>
      <c r="N4120" s="14">
        <f>IF(ISBLANK(moras[[#This Row],[SALARIO]]), EDA!$M$8, moras[[#This Row],[SALARIO]])</f>
        <v>144000</v>
      </c>
      <c r="O4120" s="14">
        <f xml:space="preserve"> IF(ISBLANK(moras[[#This Row],[EDAD]]), EDA!$E$8, moras[[#This Row],[EDAD]])</f>
        <v>35</v>
      </c>
      <c r="P4120" s="14" t="str">
        <f>IF(
    OR(ISBLANK(moras[[#This Row],[TIPO_ASEGURAMIENTO]]), moras[[#This Row],[TIPO_ASEGURAMIENTO]]=""),
    EDA!$A$32,
    moras[[#This Row],[TIPO_ASEGURAMIENTO]]
)</f>
        <v>ASALARIADO</v>
      </c>
    </row>
    <row r="4121" spans="1:16" x14ac:dyDescent="0.3">
      <c r="A4121">
        <v>4120</v>
      </c>
      <c r="B4121" t="s">
        <v>9</v>
      </c>
      <c r="C4121">
        <v>394526</v>
      </c>
      <c r="D4121" t="s">
        <v>18</v>
      </c>
      <c r="E4121" t="s">
        <v>16</v>
      </c>
      <c r="F4121" t="s">
        <v>12</v>
      </c>
      <c r="G4121" t="s">
        <v>13</v>
      </c>
      <c r="H4121" t="s">
        <v>12</v>
      </c>
      <c r="I4121">
        <v>48</v>
      </c>
      <c r="J4121">
        <f>ABS((I4121-EDA!$A$15)/EDA!$B$15)</f>
        <v>0.42489229332154227</v>
      </c>
      <c r="K4121" t="str">
        <f t="shared" si="64"/>
        <v>No</v>
      </c>
      <c r="L4121">
        <f>ABS((C4121-EDA!$F$15)/EDA!$G$15)</f>
        <v>0.36908878106710258</v>
      </c>
      <c r="M4121" t="str">
        <f>IF(moras[[#This Row],[Z-Score Salario]]&gt;1.96, "Sí", "No")</f>
        <v>No</v>
      </c>
      <c r="N4121" s="14">
        <f>IF(ISBLANK(moras[[#This Row],[SALARIO]]), EDA!$M$8, moras[[#This Row],[SALARIO]])</f>
        <v>394526</v>
      </c>
      <c r="O4121" s="14">
        <f xml:space="preserve"> IF(ISBLANK(moras[[#This Row],[EDAD]]), EDA!$E$8, moras[[#This Row],[EDAD]])</f>
        <v>48</v>
      </c>
      <c r="P4121" s="14" t="str">
        <f>IF(
    OR(ISBLANK(moras[[#This Row],[TIPO_ASEGURAMIENTO]]), moras[[#This Row],[TIPO_ASEGURAMIENTO]]=""),
    EDA!$A$32,
    moras[[#This Row],[TIPO_ASEGURAMIENTO]]
)</f>
        <v>TRABAJADOR INDEPENDIENTE</v>
      </c>
    </row>
    <row r="4122" spans="1:16" x14ac:dyDescent="0.3">
      <c r="A4122">
        <v>4121</v>
      </c>
      <c r="B4122" t="s">
        <v>15</v>
      </c>
      <c r="C4122">
        <v>540083</v>
      </c>
      <c r="D4122" t="s">
        <v>18</v>
      </c>
      <c r="E4122" t="s">
        <v>16</v>
      </c>
      <c r="F4122" t="s">
        <v>12</v>
      </c>
      <c r="G4122" t="s">
        <v>13</v>
      </c>
      <c r="H4122" t="s">
        <v>12</v>
      </c>
      <c r="I4122">
        <v>41</v>
      </c>
      <c r="J4122">
        <f>ABS((I4122-EDA!$A$15)/EDA!$B$15)</f>
        <v>6.9135017218420233E-2</v>
      </c>
      <c r="K4122" t="str">
        <f t="shared" si="64"/>
        <v>No</v>
      </c>
      <c r="L4122">
        <f>ABS((C4122-EDA!$F$15)/EDA!$G$15)</f>
        <v>0.3666666098366409</v>
      </c>
      <c r="M4122" t="str">
        <f>IF(moras[[#This Row],[Z-Score Salario]]&gt;1.96, "Sí", "No")</f>
        <v>No</v>
      </c>
      <c r="N4122" s="14">
        <f>IF(ISBLANK(moras[[#This Row],[SALARIO]]), EDA!$M$8, moras[[#This Row],[SALARIO]])</f>
        <v>540083</v>
      </c>
      <c r="O4122" s="14">
        <f xml:space="preserve"> IF(ISBLANK(moras[[#This Row],[EDAD]]), EDA!$E$8, moras[[#This Row],[EDAD]])</f>
        <v>41</v>
      </c>
      <c r="P4122" s="14" t="str">
        <f>IF(
    OR(ISBLANK(moras[[#This Row],[TIPO_ASEGURAMIENTO]]), moras[[#This Row],[TIPO_ASEGURAMIENTO]]=""),
    EDA!$A$32,
    moras[[#This Row],[TIPO_ASEGURAMIENTO]]
)</f>
        <v>TRABAJADOR INDEPENDIENTE</v>
      </c>
    </row>
    <row r="4123" spans="1:16" x14ac:dyDescent="0.3">
      <c r="A4123">
        <v>4122</v>
      </c>
      <c r="B4123" t="s">
        <v>9</v>
      </c>
      <c r="C4123">
        <v>280000</v>
      </c>
      <c r="D4123" t="s">
        <v>10</v>
      </c>
      <c r="E4123" t="s">
        <v>16</v>
      </c>
      <c r="F4123" t="s">
        <v>12</v>
      </c>
      <c r="G4123" t="s">
        <v>12</v>
      </c>
      <c r="H4123" t="s">
        <v>13</v>
      </c>
      <c r="I4123">
        <v>26</v>
      </c>
      <c r="J4123">
        <f>ABS((I4123-EDA!$A$15)/EDA!$B$15)</f>
        <v>1.1277649683754829</v>
      </c>
      <c r="K4123" t="str">
        <f t="shared" si="64"/>
        <v>No</v>
      </c>
      <c r="L4123">
        <f>ABS((C4123-EDA!$F$15)/EDA!$G$15)</f>
        <v>0.37099457455240292</v>
      </c>
      <c r="M4123" t="str">
        <f>IF(moras[[#This Row],[Z-Score Salario]]&gt;1.96, "Sí", "No")</f>
        <v>No</v>
      </c>
      <c r="N4123" s="14">
        <f>IF(ISBLANK(moras[[#This Row],[SALARIO]]), EDA!$M$8, moras[[#This Row],[SALARIO]])</f>
        <v>280000</v>
      </c>
      <c r="O4123" s="14">
        <f xml:space="preserve"> IF(ISBLANK(moras[[#This Row],[EDAD]]), EDA!$E$8, moras[[#This Row],[EDAD]])</f>
        <v>26</v>
      </c>
      <c r="P4123" s="14" t="str">
        <f>IF(
    OR(ISBLANK(moras[[#This Row],[TIPO_ASEGURAMIENTO]]), moras[[#This Row],[TIPO_ASEGURAMIENTO]]=""),
    EDA!$A$32,
    moras[[#This Row],[TIPO_ASEGURAMIENTO]]
)</f>
        <v>ASALARIADO</v>
      </c>
    </row>
    <row r="4124" spans="1:16" x14ac:dyDescent="0.3">
      <c r="A4124">
        <v>4123</v>
      </c>
      <c r="B4124" t="s">
        <v>9</v>
      </c>
      <c r="C4124">
        <v>350000</v>
      </c>
      <c r="D4124" t="s">
        <v>10</v>
      </c>
      <c r="E4124" t="s">
        <v>16</v>
      </c>
      <c r="F4124" t="s">
        <v>12</v>
      </c>
      <c r="G4124" t="s">
        <v>13</v>
      </c>
      <c r="H4124" t="s">
        <v>13</v>
      </c>
      <c r="I4124">
        <v>25</v>
      </c>
      <c r="J4124">
        <f>ABS((I4124-EDA!$A$15)/EDA!$B$15)</f>
        <v>1.1983402984526204</v>
      </c>
      <c r="K4124" t="str">
        <f t="shared" si="64"/>
        <v>No</v>
      </c>
      <c r="L4124">
        <f>ABS((C4124-EDA!$F$15)/EDA!$G$15)</f>
        <v>0.36982972513854911</v>
      </c>
      <c r="M4124" t="str">
        <f>IF(moras[[#This Row],[Z-Score Salario]]&gt;1.96, "Sí", "No")</f>
        <v>No</v>
      </c>
      <c r="N4124" s="14">
        <f>IF(ISBLANK(moras[[#This Row],[SALARIO]]), EDA!$M$8, moras[[#This Row],[SALARIO]])</f>
        <v>350000</v>
      </c>
      <c r="O4124" s="14">
        <f xml:space="preserve"> IF(ISBLANK(moras[[#This Row],[EDAD]]), EDA!$E$8, moras[[#This Row],[EDAD]])</f>
        <v>25</v>
      </c>
      <c r="P4124" s="14" t="str">
        <f>IF(
    OR(ISBLANK(moras[[#This Row],[TIPO_ASEGURAMIENTO]]), moras[[#This Row],[TIPO_ASEGURAMIENTO]]=""),
    EDA!$A$32,
    moras[[#This Row],[TIPO_ASEGURAMIENTO]]
)</f>
        <v>ASALARIADO</v>
      </c>
    </row>
    <row r="4125" spans="1:16" x14ac:dyDescent="0.3">
      <c r="A4125">
        <v>4124</v>
      </c>
      <c r="B4125" t="s">
        <v>15</v>
      </c>
      <c r="C4125">
        <v>382000</v>
      </c>
      <c r="D4125" t="s">
        <v>10</v>
      </c>
      <c r="E4125" t="s">
        <v>16</v>
      </c>
      <c r="F4125" t="s">
        <v>12</v>
      </c>
      <c r="G4125" t="s">
        <v>13</v>
      </c>
      <c r="H4125" t="s">
        <v>13</v>
      </c>
      <c r="I4125">
        <v>20</v>
      </c>
      <c r="J4125">
        <f>ABS((I4125-EDA!$A$15)/EDA!$B$15)</f>
        <v>1.5512169488383079</v>
      </c>
      <c r="K4125" t="str">
        <f t="shared" si="64"/>
        <v>No</v>
      </c>
      <c r="L4125">
        <f>ABS((C4125-EDA!$F$15)/EDA!$G$15)</f>
        <v>0.36929722254935876</v>
      </c>
      <c r="M4125" t="str">
        <f>IF(moras[[#This Row],[Z-Score Salario]]&gt;1.96, "Sí", "No")</f>
        <v>No</v>
      </c>
      <c r="N4125" s="14">
        <f>IF(ISBLANK(moras[[#This Row],[SALARIO]]), EDA!$M$8, moras[[#This Row],[SALARIO]])</f>
        <v>382000</v>
      </c>
      <c r="O4125" s="14">
        <f xml:space="preserve"> IF(ISBLANK(moras[[#This Row],[EDAD]]), EDA!$E$8, moras[[#This Row],[EDAD]])</f>
        <v>20</v>
      </c>
      <c r="P4125" s="14" t="str">
        <f>IF(
    OR(ISBLANK(moras[[#This Row],[TIPO_ASEGURAMIENTO]]), moras[[#This Row],[TIPO_ASEGURAMIENTO]]=""),
    EDA!$A$32,
    moras[[#This Row],[TIPO_ASEGURAMIENTO]]
)</f>
        <v>ASALARIADO</v>
      </c>
    </row>
    <row r="4126" spans="1:16" x14ac:dyDescent="0.3">
      <c r="A4126">
        <v>4125</v>
      </c>
      <c r="B4126" t="s">
        <v>9</v>
      </c>
      <c r="C4126">
        <v>933124</v>
      </c>
      <c r="D4126" t="s">
        <v>18</v>
      </c>
      <c r="E4126" t="s">
        <v>16</v>
      </c>
      <c r="F4126" t="s">
        <v>12</v>
      </c>
      <c r="G4126" t="s">
        <v>13</v>
      </c>
      <c r="H4126" t="s">
        <v>13</v>
      </c>
      <c r="I4126">
        <v>49</v>
      </c>
      <c r="J4126">
        <f>ABS((I4126-EDA!$A$15)/EDA!$B$15)</f>
        <v>0.49546762339867978</v>
      </c>
      <c r="K4126" t="str">
        <f t="shared" si="64"/>
        <v>No</v>
      </c>
      <c r="L4126">
        <f>ABS((C4126-EDA!$F$15)/EDA!$G$15)</f>
        <v>0.36012613014420503</v>
      </c>
      <c r="M4126" t="str">
        <f>IF(moras[[#This Row],[Z-Score Salario]]&gt;1.96, "Sí", "No")</f>
        <v>No</v>
      </c>
      <c r="N4126" s="14">
        <f>IF(ISBLANK(moras[[#This Row],[SALARIO]]), EDA!$M$8, moras[[#This Row],[SALARIO]])</f>
        <v>933124</v>
      </c>
      <c r="O4126" s="14">
        <f xml:space="preserve"> IF(ISBLANK(moras[[#This Row],[EDAD]]), EDA!$E$8, moras[[#This Row],[EDAD]])</f>
        <v>49</v>
      </c>
      <c r="P4126" s="14" t="str">
        <f>IF(
    OR(ISBLANK(moras[[#This Row],[TIPO_ASEGURAMIENTO]]), moras[[#This Row],[TIPO_ASEGURAMIENTO]]=""),
    EDA!$A$32,
    moras[[#This Row],[TIPO_ASEGURAMIENTO]]
)</f>
        <v>TRABAJADOR INDEPENDIENTE</v>
      </c>
    </row>
    <row r="4127" spans="1:16" x14ac:dyDescent="0.3">
      <c r="A4127">
        <v>4126</v>
      </c>
      <c r="B4127" t="s">
        <v>15</v>
      </c>
      <c r="C4127">
        <v>86545702</v>
      </c>
      <c r="D4127" t="s">
        <v>10</v>
      </c>
      <c r="E4127" t="s">
        <v>11</v>
      </c>
      <c r="F4127" t="s">
        <v>12</v>
      </c>
      <c r="G4127" t="s">
        <v>13</v>
      </c>
      <c r="H4127" t="s">
        <v>13</v>
      </c>
      <c r="I4127">
        <v>42</v>
      </c>
      <c r="J4127">
        <f>ABS((I4127-EDA!$A$15)/EDA!$B$15)</f>
        <v>1.4403128587172659E-3</v>
      </c>
      <c r="K4127" t="str">
        <f t="shared" si="64"/>
        <v>No</v>
      </c>
      <c r="L4127">
        <f>ABS((C4127-EDA!$F$15)/EDA!$G$15)</f>
        <v>1.0645276027388371</v>
      </c>
      <c r="M4127" t="str">
        <f>IF(moras[[#This Row],[Z-Score Salario]]&gt;1.96, "Sí", "No")</f>
        <v>No</v>
      </c>
      <c r="N4127" s="14">
        <f>IF(ISBLANK(moras[[#This Row],[SALARIO]]), EDA!$M$8, moras[[#This Row],[SALARIO]])</f>
        <v>86545702</v>
      </c>
      <c r="O4127" s="14">
        <f xml:space="preserve"> IF(ISBLANK(moras[[#This Row],[EDAD]]), EDA!$E$8, moras[[#This Row],[EDAD]])</f>
        <v>42</v>
      </c>
      <c r="P4127" s="14" t="str">
        <f>IF(
    OR(ISBLANK(moras[[#This Row],[TIPO_ASEGURAMIENTO]]), moras[[#This Row],[TIPO_ASEGURAMIENTO]]=""),
    EDA!$A$32,
    moras[[#This Row],[TIPO_ASEGURAMIENTO]]
)</f>
        <v>ASALARIADO</v>
      </c>
    </row>
    <row r="4128" spans="1:16" x14ac:dyDescent="0.3">
      <c r="A4128">
        <v>4127</v>
      </c>
      <c r="B4128" t="s">
        <v>15</v>
      </c>
      <c r="C4128">
        <v>399967</v>
      </c>
      <c r="D4128" t="s">
        <v>14</v>
      </c>
      <c r="E4128" t="s">
        <v>11</v>
      </c>
      <c r="F4128" t="s">
        <v>12</v>
      </c>
      <c r="G4128" t="s">
        <v>13</v>
      </c>
      <c r="H4128" t="s">
        <v>13</v>
      </c>
      <c r="I4128">
        <v>82</v>
      </c>
      <c r="J4128">
        <f>ABS((I4128-EDA!$A$15)/EDA!$B$15)</f>
        <v>2.8244535159442172</v>
      </c>
      <c r="K4128" t="str">
        <f t="shared" si="64"/>
        <v>Sí</v>
      </c>
      <c r="L4128">
        <f>ABS((C4128-EDA!$F$15)/EDA!$G$15)</f>
        <v>0.36899823898623435</v>
      </c>
      <c r="M4128" t="str">
        <f>IF(moras[[#This Row],[Z-Score Salario]]&gt;1.96, "Sí", "No")</f>
        <v>No</v>
      </c>
      <c r="N4128" s="14">
        <f>IF(ISBLANK(moras[[#This Row],[SALARIO]]), EDA!$M$8, moras[[#This Row],[SALARIO]])</f>
        <v>399967</v>
      </c>
      <c r="O4128" s="14">
        <f xml:space="preserve"> IF(ISBLANK(moras[[#This Row],[EDAD]]), EDA!$E$8, moras[[#This Row],[EDAD]])</f>
        <v>82</v>
      </c>
      <c r="P4128" s="14" t="str">
        <f>IF(
    OR(ISBLANK(moras[[#This Row],[TIPO_ASEGURAMIENTO]]), moras[[#This Row],[TIPO_ASEGURAMIENTO]]=""),
    EDA!$A$32,
    moras[[#This Row],[TIPO_ASEGURAMIENTO]]
)</f>
        <v>PENSIONADOS EN SU PROPIO SISTEMA</v>
      </c>
    </row>
    <row r="4129" spans="1:16" x14ac:dyDescent="0.3">
      <c r="A4129">
        <v>4128</v>
      </c>
      <c r="B4129" t="s">
        <v>9</v>
      </c>
      <c r="C4129">
        <v>436800</v>
      </c>
      <c r="D4129" t="s">
        <v>10</v>
      </c>
      <c r="E4129" t="s">
        <v>16</v>
      </c>
      <c r="F4129" t="s">
        <v>12</v>
      </c>
      <c r="G4129" t="s">
        <v>13</v>
      </c>
      <c r="H4129" t="s">
        <v>13</v>
      </c>
      <c r="I4129">
        <v>53</v>
      </c>
      <c r="J4129">
        <f>ABS((I4129-EDA!$A$15)/EDA!$B$15)</f>
        <v>0.77776894370722982</v>
      </c>
      <c r="K4129" t="str">
        <f t="shared" si="64"/>
        <v>No</v>
      </c>
      <c r="L4129">
        <f>ABS((C4129-EDA!$F$15)/EDA!$G$15)</f>
        <v>0.36838531186537038</v>
      </c>
      <c r="M4129" t="str">
        <f>IF(moras[[#This Row],[Z-Score Salario]]&gt;1.96, "Sí", "No")</f>
        <v>No</v>
      </c>
      <c r="N4129" s="14">
        <f>IF(ISBLANK(moras[[#This Row],[SALARIO]]), EDA!$M$8, moras[[#This Row],[SALARIO]])</f>
        <v>436800</v>
      </c>
      <c r="O4129" s="14">
        <f xml:space="preserve"> IF(ISBLANK(moras[[#This Row],[EDAD]]), EDA!$E$8, moras[[#This Row],[EDAD]])</f>
        <v>53</v>
      </c>
      <c r="P4129" s="14" t="str">
        <f>IF(
    OR(ISBLANK(moras[[#This Row],[TIPO_ASEGURAMIENTO]]), moras[[#This Row],[TIPO_ASEGURAMIENTO]]=""),
    EDA!$A$32,
    moras[[#This Row],[TIPO_ASEGURAMIENTO]]
)</f>
        <v>ASALARIADO</v>
      </c>
    </row>
    <row r="4130" spans="1:16" x14ac:dyDescent="0.3">
      <c r="A4130">
        <v>4129</v>
      </c>
      <c r="B4130" t="s">
        <v>9</v>
      </c>
      <c r="C4130">
        <v>437896</v>
      </c>
      <c r="D4130" t="s">
        <v>18</v>
      </c>
      <c r="E4130" t="s">
        <v>16</v>
      </c>
      <c r="F4130" t="s">
        <v>12</v>
      </c>
      <c r="G4130" t="s">
        <v>13</v>
      </c>
      <c r="H4130" t="s">
        <v>13</v>
      </c>
      <c r="I4130">
        <v>39</v>
      </c>
      <c r="J4130">
        <f>ABS((I4130-EDA!$A$15)/EDA!$B$15)</f>
        <v>0.21028567737269524</v>
      </c>
      <c r="K4130" t="str">
        <f t="shared" si="64"/>
        <v>No</v>
      </c>
      <c r="L4130">
        <f>ABS((C4130-EDA!$F$15)/EDA!$G$15)</f>
        <v>0.36836707365169064</v>
      </c>
      <c r="M4130" t="str">
        <f>IF(moras[[#This Row],[Z-Score Salario]]&gt;1.96, "Sí", "No")</f>
        <v>No</v>
      </c>
      <c r="N4130" s="14">
        <f>IF(ISBLANK(moras[[#This Row],[SALARIO]]), EDA!$M$8, moras[[#This Row],[SALARIO]])</f>
        <v>437896</v>
      </c>
      <c r="O4130" s="14">
        <f xml:space="preserve"> IF(ISBLANK(moras[[#This Row],[EDAD]]), EDA!$E$8, moras[[#This Row],[EDAD]])</f>
        <v>39</v>
      </c>
      <c r="P4130" s="14" t="str">
        <f>IF(
    OR(ISBLANK(moras[[#This Row],[TIPO_ASEGURAMIENTO]]), moras[[#This Row],[TIPO_ASEGURAMIENTO]]=""),
    EDA!$A$32,
    moras[[#This Row],[TIPO_ASEGURAMIENTO]]
)</f>
        <v>TRABAJADOR INDEPENDIENTE</v>
      </c>
    </row>
    <row r="4131" spans="1:16" x14ac:dyDescent="0.3">
      <c r="A4131">
        <v>4130</v>
      </c>
      <c r="B4131" t="s">
        <v>9</v>
      </c>
      <c r="C4131">
        <v>297046</v>
      </c>
      <c r="D4131" t="s">
        <v>18</v>
      </c>
      <c r="E4131" t="s">
        <v>16</v>
      </c>
      <c r="F4131" t="s">
        <v>12</v>
      </c>
      <c r="G4131" t="s">
        <v>13</v>
      </c>
      <c r="H4131" t="s">
        <v>13</v>
      </c>
      <c r="I4131">
        <v>54</v>
      </c>
      <c r="J4131">
        <f>ABS((I4131-EDA!$A$15)/EDA!$B$15)</f>
        <v>0.84834427378436728</v>
      </c>
      <c r="K4131" t="str">
        <f t="shared" si="64"/>
        <v>No</v>
      </c>
      <c r="L4131">
        <f>ABS((C4131-EDA!$F$15)/EDA!$G$15)</f>
        <v>0.37071091707942361</v>
      </c>
      <c r="M4131" t="str">
        <f>IF(moras[[#This Row],[Z-Score Salario]]&gt;1.96, "Sí", "No")</f>
        <v>No</v>
      </c>
      <c r="N4131" s="14">
        <f>IF(ISBLANK(moras[[#This Row],[SALARIO]]), EDA!$M$8, moras[[#This Row],[SALARIO]])</f>
        <v>297046</v>
      </c>
      <c r="O4131" s="14">
        <f xml:space="preserve"> IF(ISBLANK(moras[[#This Row],[EDAD]]), EDA!$E$8, moras[[#This Row],[EDAD]])</f>
        <v>54</v>
      </c>
      <c r="P4131" s="14" t="str">
        <f>IF(
    OR(ISBLANK(moras[[#This Row],[TIPO_ASEGURAMIENTO]]), moras[[#This Row],[TIPO_ASEGURAMIENTO]]=""),
    EDA!$A$32,
    moras[[#This Row],[TIPO_ASEGURAMIENTO]]
)</f>
        <v>TRABAJADOR INDEPENDIENTE</v>
      </c>
    </row>
    <row r="4132" spans="1:16" x14ac:dyDescent="0.3">
      <c r="A4132">
        <v>4131</v>
      </c>
      <c r="B4132" t="s">
        <v>15</v>
      </c>
      <c r="C4132">
        <v>7204086</v>
      </c>
      <c r="D4132" t="s">
        <v>10</v>
      </c>
      <c r="E4132" t="s">
        <v>11</v>
      </c>
      <c r="F4132" t="s">
        <v>12</v>
      </c>
      <c r="G4132" t="s">
        <v>13</v>
      </c>
      <c r="H4132" t="s">
        <v>13</v>
      </c>
      <c r="I4132">
        <v>45</v>
      </c>
      <c r="J4132">
        <f>ABS((I4132-EDA!$A$15)/EDA!$B$15)</f>
        <v>0.21316630309012977</v>
      </c>
      <c r="K4132" t="str">
        <f t="shared" si="64"/>
        <v>No</v>
      </c>
      <c r="L4132">
        <f>ABS((C4132-EDA!$F$15)/EDA!$G$15)</f>
        <v>0.25577289571564121</v>
      </c>
      <c r="M4132" t="str">
        <f>IF(moras[[#This Row],[Z-Score Salario]]&gt;1.96, "Sí", "No")</f>
        <v>No</v>
      </c>
      <c r="N4132" s="14">
        <f>IF(ISBLANK(moras[[#This Row],[SALARIO]]), EDA!$M$8, moras[[#This Row],[SALARIO]])</f>
        <v>7204086</v>
      </c>
      <c r="O4132" s="14">
        <f xml:space="preserve"> IF(ISBLANK(moras[[#This Row],[EDAD]]), EDA!$E$8, moras[[#This Row],[EDAD]])</f>
        <v>45</v>
      </c>
      <c r="P4132" s="14" t="str">
        <f>IF(
    OR(ISBLANK(moras[[#This Row],[TIPO_ASEGURAMIENTO]]), moras[[#This Row],[TIPO_ASEGURAMIENTO]]=""),
    EDA!$A$32,
    moras[[#This Row],[TIPO_ASEGURAMIENTO]]
)</f>
        <v>ASALARIADO</v>
      </c>
    </row>
    <row r="4133" spans="1:16" x14ac:dyDescent="0.3">
      <c r="A4133">
        <v>4132</v>
      </c>
      <c r="B4133" t="s">
        <v>9</v>
      </c>
      <c r="C4133">
        <v>301184</v>
      </c>
      <c r="D4133" t="s">
        <v>10</v>
      </c>
      <c r="E4133" t="s">
        <v>16</v>
      </c>
      <c r="F4133" t="s">
        <v>12</v>
      </c>
      <c r="G4133" t="s">
        <v>13</v>
      </c>
      <c r="H4133" t="s">
        <v>13</v>
      </c>
      <c r="I4133">
        <v>46</v>
      </c>
      <c r="J4133">
        <f>ABS((I4133-EDA!$A$15)/EDA!$B$15)</f>
        <v>0.2837416331672673</v>
      </c>
      <c r="K4133" t="str">
        <f t="shared" si="64"/>
        <v>No</v>
      </c>
      <c r="L4133">
        <f>ABS((C4133-EDA!$F$15)/EDA!$G$15)</f>
        <v>0.37064205783835891</v>
      </c>
      <c r="M4133" t="str">
        <f>IF(moras[[#This Row],[Z-Score Salario]]&gt;1.96, "Sí", "No")</f>
        <v>No</v>
      </c>
      <c r="N4133" s="14">
        <f>IF(ISBLANK(moras[[#This Row],[SALARIO]]), EDA!$M$8, moras[[#This Row],[SALARIO]])</f>
        <v>301184</v>
      </c>
      <c r="O4133" s="14">
        <f xml:space="preserve"> IF(ISBLANK(moras[[#This Row],[EDAD]]), EDA!$E$8, moras[[#This Row],[EDAD]])</f>
        <v>46</v>
      </c>
      <c r="P4133" s="14" t="str">
        <f>IF(
    OR(ISBLANK(moras[[#This Row],[TIPO_ASEGURAMIENTO]]), moras[[#This Row],[TIPO_ASEGURAMIENTO]]=""),
    EDA!$A$32,
    moras[[#This Row],[TIPO_ASEGURAMIENTO]]
)</f>
        <v>ASALARIADO</v>
      </c>
    </row>
    <row r="4134" spans="1:16" x14ac:dyDescent="0.3">
      <c r="A4134">
        <v>4133</v>
      </c>
      <c r="B4134" t="s">
        <v>9</v>
      </c>
      <c r="C4134">
        <v>230000</v>
      </c>
      <c r="D4134" t="s">
        <v>10</v>
      </c>
      <c r="E4134" t="s">
        <v>16</v>
      </c>
      <c r="F4134" t="s">
        <v>12</v>
      </c>
      <c r="G4134" t="s">
        <v>13</v>
      </c>
      <c r="H4134" t="s">
        <v>12</v>
      </c>
      <c r="I4134">
        <v>60</v>
      </c>
      <c r="J4134">
        <f>ABS((I4134-EDA!$A$15)/EDA!$B$15)</f>
        <v>1.2717962542471923</v>
      </c>
      <c r="K4134" t="str">
        <f t="shared" si="64"/>
        <v>No</v>
      </c>
      <c r="L4134">
        <f>ABS((C4134-EDA!$F$15)/EDA!$G$15)</f>
        <v>0.37182660984801275</v>
      </c>
      <c r="M4134" t="str">
        <f>IF(moras[[#This Row],[Z-Score Salario]]&gt;1.96, "Sí", "No")</f>
        <v>No</v>
      </c>
      <c r="N4134" s="14">
        <f>IF(ISBLANK(moras[[#This Row],[SALARIO]]), EDA!$M$8, moras[[#This Row],[SALARIO]])</f>
        <v>230000</v>
      </c>
      <c r="O4134" s="14">
        <f xml:space="preserve"> IF(ISBLANK(moras[[#This Row],[EDAD]]), EDA!$E$8, moras[[#This Row],[EDAD]])</f>
        <v>60</v>
      </c>
      <c r="P4134" s="14" t="str">
        <f>IF(
    OR(ISBLANK(moras[[#This Row],[TIPO_ASEGURAMIENTO]]), moras[[#This Row],[TIPO_ASEGURAMIENTO]]=""),
    EDA!$A$32,
    moras[[#This Row],[TIPO_ASEGURAMIENTO]]
)</f>
        <v>ASALARIADO</v>
      </c>
    </row>
    <row r="4135" spans="1:16" x14ac:dyDescent="0.3">
      <c r="A4135">
        <v>4134</v>
      </c>
      <c r="B4135" t="s">
        <v>15</v>
      </c>
      <c r="C4135">
        <v>639148</v>
      </c>
      <c r="D4135" t="s">
        <v>18</v>
      </c>
      <c r="E4135" t="s">
        <v>16</v>
      </c>
      <c r="F4135" t="s">
        <v>12</v>
      </c>
      <c r="G4135" t="s">
        <v>13</v>
      </c>
      <c r="H4135" t="s">
        <v>13</v>
      </c>
      <c r="I4135">
        <v>60</v>
      </c>
      <c r="J4135">
        <f>ABS((I4135-EDA!$A$15)/EDA!$B$15)</f>
        <v>1.2717962542471923</v>
      </c>
      <c r="K4135" t="str">
        <f t="shared" si="64"/>
        <v>No</v>
      </c>
      <c r="L4135">
        <f>ABS((C4135-EDA!$F$15)/EDA!$G$15)</f>
        <v>0.36501809830544912</v>
      </c>
      <c r="M4135" t="str">
        <f>IF(moras[[#This Row],[Z-Score Salario]]&gt;1.96, "Sí", "No")</f>
        <v>No</v>
      </c>
      <c r="N4135" s="14">
        <f>IF(ISBLANK(moras[[#This Row],[SALARIO]]), EDA!$M$8, moras[[#This Row],[SALARIO]])</f>
        <v>639148</v>
      </c>
      <c r="O4135" s="14">
        <f xml:space="preserve"> IF(ISBLANK(moras[[#This Row],[EDAD]]), EDA!$E$8, moras[[#This Row],[EDAD]])</f>
        <v>60</v>
      </c>
      <c r="P4135" s="14" t="str">
        <f>IF(
    OR(ISBLANK(moras[[#This Row],[TIPO_ASEGURAMIENTO]]), moras[[#This Row],[TIPO_ASEGURAMIENTO]]=""),
    EDA!$A$32,
    moras[[#This Row],[TIPO_ASEGURAMIENTO]]
)</f>
        <v>TRABAJADOR INDEPENDIENTE</v>
      </c>
    </row>
    <row r="4136" spans="1:16" x14ac:dyDescent="0.3">
      <c r="A4136">
        <v>4135</v>
      </c>
      <c r="B4136" t="s">
        <v>15</v>
      </c>
      <c r="C4136">
        <v>4707137</v>
      </c>
      <c r="D4136" t="s">
        <v>10</v>
      </c>
      <c r="E4136" t="s">
        <v>16</v>
      </c>
      <c r="F4136" t="s">
        <v>12</v>
      </c>
      <c r="G4136" t="s">
        <v>13</v>
      </c>
      <c r="H4136" t="s">
        <v>12</v>
      </c>
      <c r="I4136">
        <v>36</v>
      </c>
      <c r="J4136">
        <f>ABS((I4136-EDA!$A$15)/EDA!$B$15)</f>
        <v>0.42201166760410774</v>
      </c>
      <c r="K4136" t="str">
        <f t="shared" si="64"/>
        <v>No</v>
      </c>
      <c r="L4136">
        <f>ABS((C4136-EDA!$F$15)/EDA!$G$15)</f>
        <v>0.29732388970239604</v>
      </c>
      <c r="M4136" t="str">
        <f>IF(moras[[#This Row],[Z-Score Salario]]&gt;1.96, "Sí", "No")</f>
        <v>No</v>
      </c>
      <c r="N4136" s="14">
        <f>IF(ISBLANK(moras[[#This Row],[SALARIO]]), EDA!$M$8, moras[[#This Row],[SALARIO]])</f>
        <v>4707137</v>
      </c>
      <c r="O4136" s="14">
        <f xml:space="preserve"> IF(ISBLANK(moras[[#This Row],[EDAD]]), EDA!$E$8, moras[[#This Row],[EDAD]])</f>
        <v>36</v>
      </c>
      <c r="P4136" s="14" t="str">
        <f>IF(
    OR(ISBLANK(moras[[#This Row],[TIPO_ASEGURAMIENTO]]), moras[[#This Row],[TIPO_ASEGURAMIENTO]]=""),
    EDA!$A$32,
    moras[[#This Row],[TIPO_ASEGURAMIENTO]]
)</f>
        <v>ASALARIADO</v>
      </c>
    </row>
    <row r="4137" spans="1:16" x14ac:dyDescent="0.3">
      <c r="A4137">
        <v>4136</v>
      </c>
      <c r="B4137" t="s">
        <v>9</v>
      </c>
      <c r="C4137">
        <v>298482</v>
      </c>
      <c r="D4137" t="s">
        <v>18</v>
      </c>
      <c r="E4137" t="s">
        <v>16</v>
      </c>
      <c r="F4137" t="s">
        <v>12</v>
      </c>
      <c r="G4137" t="s">
        <v>13</v>
      </c>
      <c r="H4137" t="s">
        <v>13</v>
      </c>
      <c r="I4137">
        <v>28</v>
      </c>
      <c r="J4137">
        <f>ABS((I4137-EDA!$A$15)/EDA!$B$15)</f>
        <v>0.98661430822120777</v>
      </c>
      <c r="K4137" t="str">
        <f t="shared" si="64"/>
        <v>No</v>
      </c>
      <c r="L4137">
        <f>ABS((C4137-EDA!$F$15)/EDA!$G$15)</f>
        <v>0.37068702102573364</v>
      </c>
      <c r="M4137" t="str">
        <f>IF(moras[[#This Row],[Z-Score Salario]]&gt;1.96, "Sí", "No")</f>
        <v>No</v>
      </c>
      <c r="N4137" s="14">
        <f>IF(ISBLANK(moras[[#This Row],[SALARIO]]), EDA!$M$8, moras[[#This Row],[SALARIO]])</f>
        <v>298482</v>
      </c>
      <c r="O4137" s="14">
        <f xml:space="preserve"> IF(ISBLANK(moras[[#This Row],[EDAD]]), EDA!$E$8, moras[[#This Row],[EDAD]])</f>
        <v>28</v>
      </c>
      <c r="P4137" s="14" t="str">
        <f>IF(
    OR(ISBLANK(moras[[#This Row],[TIPO_ASEGURAMIENTO]]), moras[[#This Row],[TIPO_ASEGURAMIENTO]]=""),
    EDA!$A$32,
    moras[[#This Row],[TIPO_ASEGURAMIENTO]]
)</f>
        <v>TRABAJADOR INDEPENDIENTE</v>
      </c>
    </row>
    <row r="4138" spans="1:16" x14ac:dyDescent="0.3">
      <c r="A4138">
        <v>4137</v>
      </c>
      <c r="B4138" t="s">
        <v>9</v>
      </c>
      <c r="C4138">
        <v>29466186</v>
      </c>
      <c r="D4138" t="s">
        <v>10</v>
      </c>
      <c r="E4138" t="s">
        <v>16</v>
      </c>
      <c r="F4138" t="s">
        <v>12</v>
      </c>
      <c r="G4138" t="s">
        <v>13</v>
      </c>
      <c r="H4138" t="s">
        <v>13</v>
      </c>
      <c r="I4138">
        <v>25</v>
      </c>
      <c r="J4138">
        <f>ABS((I4138-EDA!$A$15)/EDA!$B$15)</f>
        <v>1.1983402984526204</v>
      </c>
      <c r="K4138" t="str">
        <f t="shared" si="64"/>
        <v>No</v>
      </c>
      <c r="L4138">
        <f>ABS((C4138-EDA!$F$15)/EDA!$G$15)</f>
        <v>0.11468416337228358</v>
      </c>
      <c r="M4138" t="str">
        <f>IF(moras[[#This Row],[Z-Score Salario]]&gt;1.96, "Sí", "No")</f>
        <v>No</v>
      </c>
      <c r="N4138" s="14">
        <f>IF(ISBLANK(moras[[#This Row],[SALARIO]]), EDA!$M$8, moras[[#This Row],[SALARIO]])</f>
        <v>29466186</v>
      </c>
      <c r="O4138" s="14">
        <f xml:space="preserve"> IF(ISBLANK(moras[[#This Row],[EDAD]]), EDA!$E$8, moras[[#This Row],[EDAD]])</f>
        <v>25</v>
      </c>
      <c r="P4138" s="14" t="str">
        <f>IF(
    OR(ISBLANK(moras[[#This Row],[TIPO_ASEGURAMIENTO]]), moras[[#This Row],[TIPO_ASEGURAMIENTO]]=""),
    EDA!$A$32,
    moras[[#This Row],[TIPO_ASEGURAMIENTO]]
)</f>
        <v>ASALARIADO</v>
      </c>
    </row>
    <row r="4139" spans="1:16" x14ac:dyDescent="0.3">
      <c r="A4139">
        <v>4138</v>
      </c>
      <c r="B4139" t="s">
        <v>9</v>
      </c>
      <c r="C4139">
        <v>431178</v>
      </c>
      <c r="D4139" t="s">
        <v>10</v>
      </c>
      <c r="E4139" t="s">
        <v>16</v>
      </c>
      <c r="F4139" t="s">
        <v>12</v>
      </c>
      <c r="G4139" t="s">
        <v>13</v>
      </c>
      <c r="H4139" t="s">
        <v>13</v>
      </c>
      <c r="I4139">
        <v>56</v>
      </c>
      <c r="J4139">
        <f>ABS((I4139-EDA!$A$15)/EDA!$B$15)</f>
        <v>0.9894949339386423</v>
      </c>
      <c r="K4139" t="str">
        <f t="shared" si="64"/>
        <v>No</v>
      </c>
      <c r="L4139">
        <f>ABS((C4139-EDA!$F$15)/EDA!$G$15)</f>
        <v>0.36847886591400875</v>
      </c>
      <c r="M4139" t="str">
        <f>IF(moras[[#This Row],[Z-Score Salario]]&gt;1.96, "Sí", "No")</f>
        <v>No</v>
      </c>
      <c r="N4139" s="14">
        <f>IF(ISBLANK(moras[[#This Row],[SALARIO]]), EDA!$M$8, moras[[#This Row],[SALARIO]])</f>
        <v>431178</v>
      </c>
      <c r="O4139" s="14">
        <f xml:space="preserve"> IF(ISBLANK(moras[[#This Row],[EDAD]]), EDA!$E$8, moras[[#This Row],[EDAD]])</f>
        <v>56</v>
      </c>
      <c r="P4139" s="14" t="str">
        <f>IF(
    OR(ISBLANK(moras[[#This Row],[TIPO_ASEGURAMIENTO]]), moras[[#This Row],[TIPO_ASEGURAMIENTO]]=""),
    EDA!$A$32,
    moras[[#This Row],[TIPO_ASEGURAMIENTO]]
)</f>
        <v>ASALARIADO</v>
      </c>
    </row>
    <row r="4140" spans="1:16" x14ac:dyDescent="0.3">
      <c r="A4140">
        <v>4139</v>
      </c>
      <c r="B4140" t="s">
        <v>15</v>
      </c>
      <c r="C4140">
        <v>278035</v>
      </c>
      <c r="D4140" t="s">
        <v>17</v>
      </c>
      <c r="E4140" t="s">
        <v>16</v>
      </c>
      <c r="F4140" t="s">
        <v>12</v>
      </c>
      <c r="G4140" t="s">
        <v>13</v>
      </c>
      <c r="H4140" t="s">
        <v>13</v>
      </c>
      <c r="I4140">
        <v>49</v>
      </c>
      <c r="J4140">
        <f>ABS((I4140-EDA!$A$15)/EDA!$B$15)</f>
        <v>0.49546762339867978</v>
      </c>
      <c r="K4140" t="str">
        <f t="shared" si="64"/>
        <v>No</v>
      </c>
      <c r="L4140">
        <f>ABS((C4140-EDA!$F$15)/EDA!$G$15)</f>
        <v>0.37102727353952036</v>
      </c>
      <c r="M4140" t="str">
        <f>IF(moras[[#This Row],[Z-Score Salario]]&gt;1.96, "Sí", "No")</f>
        <v>No</v>
      </c>
      <c r="N4140" s="14">
        <f>IF(ISBLANK(moras[[#This Row],[SALARIO]]), EDA!$M$8, moras[[#This Row],[SALARIO]])</f>
        <v>278035</v>
      </c>
      <c r="O4140" s="14">
        <f xml:space="preserve"> IF(ISBLANK(moras[[#This Row],[EDAD]]), EDA!$E$8, moras[[#This Row],[EDAD]])</f>
        <v>49</v>
      </c>
      <c r="P4140" s="14" t="str">
        <f>IF(
    OR(ISBLANK(moras[[#This Row],[TIPO_ASEGURAMIENTO]]), moras[[#This Row],[TIPO_ASEGURAMIENTO]]=""),
    EDA!$A$32,
    moras[[#This Row],[TIPO_ASEGURAMIENTO]]
)</f>
        <v>ASEGURADO VOLUNTARIO</v>
      </c>
    </row>
    <row r="4141" spans="1:16" x14ac:dyDescent="0.3">
      <c r="A4141">
        <v>4140</v>
      </c>
      <c r="B4141" t="s">
        <v>15</v>
      </c>
      <c r="C4141">
        <v>628333</v>
      </c>
      <c r="D4141" t="s">
        <v>10</v>
      </c>
      <c r="E4141" t="s">
        <v>16</v>
      </c>
      <c r="F4141" t="s">
        <v>12</v>
      </c>
      <c r="G4141" t="s">
        <v>13</v>
      </c>
      <c r="H4141" t="s">
        <v>13</v>
      </c>
      <c r="I4141">
        <v>32</v>
      </c>
      <c r="J4141">
        <f>ABS((I4141-EDA!$A$15)/EDA!$B$15)</f>
        <v>0.70431298791265773</v>
      </c>
      <c r="K4141" t="str">
        <f t="shared" si="64"/>
        <v>No</v>
      </c>
      <c r="L4141">
        <f>ABS((C4141-EDA!$F$15)/EDA!$G$15)</f>
        <v>0.36519806753988954</v>
      </c>
      <c r="M4141" t="str">
        <f>IF(moras[[#This Row],[Z-Score Salario]]&gt;1.96, "Sí", "No")</f>
        <v>No</v>
      </c>
      <c r="N4141" s="14">
        <f>IF(ISBLANK(moras[[#This Row],[SALARIO]]), EDA!$M$8, moras[[#This Row],[SALARIO]])</f>
        <v>628333</v>
      </c>
      <c r="O4141" s="14">
        <f xml:space="preserve"> IF(ISBLANK(moras[[#This Row],[EDAD]]), EDA!$E$8, moras[[#This Row],[EDAD]])</f>
        <v>32</v>
      </c>
      <c r="P4141" s="14" t="str">
        <f>IF(
    OR(ISBLANK(moras[[#This Row],[TIPO_ASEGURAMIENTO]]), moras[[#This Row],[TIPO_ASEGURAMIENTO]]=""),
    EDA!$A$32,
    moras[[#This Row],[TIPO_ASEGURAMIENTO]]
)</f>
        <v>ASALARIADO</v>
      </c>
    </row>
    <row r="4142" spans="1:16" x14ac:dyDescent="0.3">
      <c r="A4142">
        <v>4141</v>
      </c>
      <c r="B4142" t="s">
        <v>15</v>
      </c>
      <c r="C4142">
        <v>52610713</v>
      </c>
      <c r="D4142" t="s">
        <v>10</v>
      </c>
      <c r="E4142" t="s">
        <v>11</v>
      </c>
      <c r="F4142" t="s">
        <v>12</v>
      </c>
      <c r="G4142" t="s">
        <v>13</v>
      </c>
      <c r="H4142" t="s">
        <v>13</v>
      </c>
      <c r="I4142">
        <v>37</v>
      </c>
      <c r="J4142">
        <f>ABS((I4142-EDA!$A$15)/EDA!$B$15)</f>
        <v>0.35143633752697023</v>
      </c>
      <c r="K4142" t="str">
        <f t="shared" si="64"/>
        <v>No</v>
      </c>
      <c r="L4142">
        <f>ABS((C4142-EDA!$F$15)/EDA!$G$15)</f>
        <v>0.49982543065619078</v>
      </c>
      <c r="M4142" t="str">
        <f>IF(moras[[#This Row],[Z-Score Salario]]&gt;1.96, "Sí", "No")</f>
        <v>No</v>
      </c>
      <c r="N4142" s="14">
        <f>IF(ISBLANK(moras[[#This Row],[SALARIO]]), EDA!$M$8, moras[[#This Row],[SALARIO]])</f>
        <v>52610713</v>
      </c>
      <c r="O4142" s="14">
        <f xml:space="preserve"> IF(ISBLANK(moras[[#This Row],[EDAD]]), EDA!$E$8, moras[[#This Row],[EDAD]])</f>
        <v>37</v>
      </c>
      <c r="P4142" s="14" t="str">
        <f>IF(
    OR(ISBLANK(moras[[#This Row],[TIPO_ASEGURAMIENTO]]), moras[[#This Row],[TIPO_ASEGURAMIENTO]]=""),
    EDA!$A$32,
    moras[[#This Row],[TIPO_ASEGURAMIENTO]]
)</f>
        <v>ASALARIADO</v>
      </c>
    </row>
    <row r="4143" spans="1:16" x14ac:dyDescent="0.3">
      <c r="A4143">
        <v>4142</v>
      </c>
      <c r="B4143" t="s">
        <v>15</v>
      </c>
      <c r="C4143">
        <v>278030</v>
      </c>
      <c r="D4143" t="s">
        <v>19</v>
      </c>
      <c r="E4143" t="s">
        <v>16</v>
      </c>
      <c r="F4143" t="s">
        <v>12</v>
      </c>
      <c r="G4143" t="s">
        <v>13</v>
      </c>
      <c r="H4143" t="s">
        <v>13</v>
      </c>
      <c r="I4143">
        <v>47</v>
      </c>
      <c r="J4143">
        <f>ABS((I4143-EDA!$A$15)/EDA!$B$15)</f>
        <v>0.35431696324440481</v>
      </c>
      <c r="K4143" t="str">
        <f t="shared" si="64"/>
        <v>No</v>
      </c>
      <c r="L4143">
        <f>ABS((C4143-EDA!$F$15)/EDA!$G$15)</f>
        <v>0.37102735674304993</v>
      </c>
      <c r="M4143" t="str">
        <f>IF(moras[[#This Row],[Z-Score Salario]]&gt;1.96, "Sí", "No")</f>
        <v>No</v>
      </c>
      <c r="N4143" s="14">
        <f>IF(ISBLANK(moras[[#This Row],[SALARIO]]), EDA!$M$8, moras[[#This Row],[SALARIO]])</f>
        <v>278030</v>
      </c>
      <c r="O4143" s="14">
        <f xml:space="preserve"> IF(ISBLANK(moras[[#This Row],[EDAD]]), EDA!$E$8, moras[[#This Row],[EDAD]])</f>
        <v>47</v>
      </c>
      <c r="P4143" s="14" t="str">
        <f>IF(
    OR(ISBLANK(moras[[#This Row],[TIPO_ASEGURAMIENTO]]), moras[[#This Row],[TIPO_ASEGURAMIENTO]]=""),
    EDA!$A$32,
    moras[[#This Row],[TIPO_ASEGURAMIENTO]]
)</f>
        <v>CONVENIOS ESPECIALES DE TRABAJADORES INDEPENDIENTES</v>
      </c>
    </row>
    <row r="4144" spans="1:16" x14ac:dyDescent="0.3">
      <c r="A4144">
        <v>4143</v>
      </c>
      <c r="B4144" t="s">
        <v>15</v>
      </c>
      <c r="C4144">
        <v>471872</v>
      </c>
      <c r="D4144" t="s">
        <v>10</v>
      </c>
      <c r="E4144" t="s">
        <v>11</v>
      </c>
      <c r="F4144" t="s">
        <v>12</v>
      </c>
      <c r="G4144" t="s">
        <v>13</v>
      </c>
      <c r="H4144" t="s">
        <v>12</v>
      </c>
      <c r="I4144">
        <v>33</v>
      </c>
      <c r="J4144">
        <f>ABS((I4144-EDA!$A$15)/EDA!$B$15)</f>
        <v>0.63373765783552027</v>
      </c>
      <c r="K4144" t="str">
        <f t="shared" si="64"/>
        <v>No</v>
      </c>
      <c r="L4144">
        <f>ABS((C4144-EDA!$F$15)/EDA!$G$15)</f>
        <v>0.36780168902761778</v>
      </c>
      <c r="M4144" t="str">
        <f>IF(moras[[#This Row],[Z-Score Salario]]&gt;1.96, "Sí", "No")</f>
        <v>No</v>
      </c>
      <c r="N4144" s="14">
        <f>IF(ISBLANK(moras[[#This Row],[SALARIO]]), EDA!$M$8, moras[[#This Row],[SALARIO]])</f>
        <v>471872</v>
      </c>
      <c r="O4144" s="14">
        <f xml:space="preserve"> IF(ISBLANK(moras[[#This Row],[EDAD]]), EDA!$E$8, moras[[#This Row],[EDAD]])</f>
        <v>33</v>
      </c>
      <c r="P4144" s="14" t="str">
        <f>IF(
    OR(ISBLANK(moras[[#This Row],[TIPO_ASEGURAMIENTO]]), moras[[#This Row],[TIPO_ASEGURAMIENTO]]=""),
    EDA!$A$32,
    moras[[#This Row],[TIPO_ASEGURAMIENTO]]
)</f>
        <v>ASALARIADO</v>
      </c>
    </row>
    <row r="4145" spans="1:16" x14ac:dyDescent="0.3">
      <c r="A4145">
        <v>4144</v>
      </c>
      <c r="B4145" t="s">
        <v>15</v>
      </c>
      <c r="C4145">
        <v>1416053</v>
      </c>
      <c r="D4145" t="s">
        <v>14</v>
      </c>
      <c r="E4145" t="s">
        <v>11</v>
      </c>
      <c r="F4145" t="s">
        <v>12</v>
      </c>
      <c r="G4145" t="s">
        <v>13</v>
      </c>
      <c r="H4145" t="s">
        <v>13</v>
      </c>
      <c r="I4145">
        <v>50</v>
      </c>
      <c r="J4145">
        <f>ABS((I4145-EDA!$A$15)/EDA!$B$15)</f>
        <v>0.56604295347581735</v>
      </c>
      <c r="K4145" t="str">
        <f t="shared" si="64"/>
        <v>No</v>
      </c>
      <c r="L4145">
        <f>ABS((C4145-EDA!$F$15)/EDA!$G$15)</f>
        <v>0.35208985067873355</v>
      </c>
      <c r="M4145" t="str">
        <f>IF(moras[[#This Row],[Z-Score Salario]]&gt;1.96, "Sí", "No")</f>
        <v>No</v>
      </c>
      <c r="N4145" s="14">
        <f>IF(ISBLANK(moras[[#This Row],[SALARIO]]), EDA!$M$8, moras[[#This Row],[SALARIO]])</f>
        <v>1416053</v>
      </c>
      <c r="O4145" s="14">
        <f xml:space="preserve"> IF(ISBLANK(moras[[#This Row],[EDAD]]), EDA!$E$8, moras[[#This Row],[EDAD]])</f>
        <v>50</v>
      </c>
      <c r="P4145" s="14" t="str">
        <f>IF(
    OR(ISBLANK(moras[[#This Row],[TIPO_ASEGURAMIENTO]]), moras[[#This Row],[TIPO_ASEGURAMIENTO]]=""),
    EDA!$A$32,
    moras[[#This Row],[TIPO_ASEGURAMIENTO]]
)</f>
        <v>PENSIONADOS EN SU PROPIO SISTEMA</v>
      </c>
    </row>
    <row r="4146" spans="1:16" x14ac:dyDescent="0.3">
      <c r="A4146">
        <v>4145</v>
      </c>
      <c r="B4146" t="s">
        <v>9</v>
      </c>
      <c r="C4146">
        <v>101737798</v>
      </c>
      <c r="D4146" t="s">
        <v>10</v>
      </c>
      <c r="E4146" t="s">
        <v>16</v>
      </c>
      <c r="F4146" t="s">
        <v>12</v>
      </c>
      <c r="G4146" t="s">
        <v>13</v>
      </c>
      <c r="H4146" t="s">
        <v>13</v>
      </c>
      <c r="I4146">
        <v>48</v>
      </c>
      <c r="J4146">
        <f>ABS((I4146-EDA!$A$15)/EDA!$B$15)</f>
        <v>0.42489229332154227</v>
      </c>
      <c r="K4146" t="str">
        <f t="shared" si="64"/>
        <v>No</v>
      </c>
      <c r="L4146">
        <f>ABS((C4146-EDA!$F$15)/EDA!$G$15)</f>
        <v>1.317334804464704</v>
      </c>
      <c r="M4146" t="str">
        <f>IF(moras[[#This Row],[Z-Score Salario]]&gt;1.96, "Sí", "No")</f>
        <v>No</v>
      </c>
      <c r="N4146" s="14">
        <f>IF(ISBLANK(moras[[#This Row],[SALARIO]]), EDA!$M$8, moras[[#This Row],[SALARIO]])</f>
        <v>101737798</v>
      </c>
      <c r="O4146" s="14">
        <f xml:space="preserve"> IF(ISBLANK(moras[[#This Row],[EDAD]]), EDA!$E$8, moras[[#This Row],[EDAD]])</f>
        <v>48</v>
      </c>
      <c r="P4146" s="14" t="str">
        <f>IF(
    OR(ISBLANK(moras[[#This Row],[TIPO_ASEGURAMIENTO]]), moras[[#This Row],[TIPO_ASEGURAMIENTO]]=""),
    EDA!$A$32,
    moras[[#This Row],[TIPO_ASEGURAMIENTO]]
)</f>
        <v>ASALARIADO</v>
      </c>
    </row>
    <row r="4147" spans="1:16" x14ac:dyDescent="0.3">
      <c r="A4147">
        <v>4146</v>
      </c>
      <c r="B4147" t="s">
        <v>15</v>
      </c>
      <c r="C4147">
        <v>15978723</v>
      </c>
      <c r="D4147" t="s">
        <v>10</v>
      </c>
      <c r="E4147" t="s">
        <v>16</v>
      </c>
      <c r="F4147" t="s">
        <v>12</v>
      </c>
      <c r="G4147" t="s">
        <v>13</v>
      </c>
      <c r="H4147" t="s">
        <v>13</v>
      </c>
      <c r="I4147">
        <v>42</v>
      </c>
      <c r="J4147">
        <f>ABS((I4147-EDA!$A$15)/EDA!$B$15)</f>
        <v>1.4403128587172659E-3</v>
      </c>
      <c r="K4147" t="str">
        <f t="shared" si="64"/>
        <v>No</v>
      </c>
      <c r="L4147">
        <f>ABS((C4147-EDA!$F$15)/EDA!$G$15)</f>
        <v>0.10975674191235708</v>
      </c>
      <c r="M4147" t="str">
        <f>IF(moras[[#This Row],[Z-Score Salario]]&gt;1.96, "Sí", "No")</f>
        <v>No</v>
      </c>
      <c r="N4147" s="14">
        <f>IF(ISBLANK(moras[[#This Row],[SALARIO]]), EDA!$M$8, moras[[#This Row],[SALARIO]])</f>
        <v>15978723</v>
      </c>
      <c r="O4147" s="14">
        <f xml:space="preserve"> IF(ISBLANK(moras[[#This Row],[EDAD]]), EDA!$E$8, moras[[#This Row],[EDAD]])</f>
        <v>42</v>
      </c>
      <c r="P4147" s="14" t="str">
        <f>IF(
    OR(ISBLANK(moras[[#This Row],[TIPO_ASEGURAMIENTO]]), moras[[#This Row],[TIPO_ASEGURAMIENTO]]=""),
    EDA!$A$32,
    moras[[#This Row],[TIPO_ASEGURAMIENTO]]
)</f>
        <v>ASALARIADO</v>
      </c>
    </row>
    <row r="4148" spans="1:16" x14ac:dyDescent="0.3">
      <c r="A4148">
        <v>4147</v>
      </c>
      <c r="B4148" t="s">
        <v>15</v>
      </c>
      <c r="C4148">
        <v>561950</v>
      </c>
      <c r="D4148" t="s">
        <v>10</v>
      </c>
      <c r="E4148" t="s">
        <v>11</v>
      </c>
      <c r="F4148" t="s">
        <v>12</v>
      </c>
      <c r="G4148" t="s">
        <v>13</v>
      </c>
      <c r="H4148" t="s">
        <v>12</v>
      </c>
      <c r="I4148">
        <v>32</v>
      </c>
      <c r="J4148">
        <f>ABS((I4148-EDA!$A$15)/EDA!$B$15)</f>
        <v>0.70431298791265773</v>
      </c>
      <c r="K4148" t="str">
        <f t="shared" si="64"/>
        <v>No</v>
      </c>
      <c r="L4148">
        <f>ABS((C4148-EDA!$F$15)/EDA!$G$15)</f>
        <v>0.36630272752045889</v>
      </c>
      <c r="M4148" t="str">
        <f>IF(moras[[#This Row],[Z-Score Salario]]&gt;1.96, "Sí", "No")</f>
        <v>No</v>
      </c>
      <c r="N4148" s="14">
        <f>IF(ISBLANK(moras[[#This Row],[SALARIO]]), EDA!$M$8, moras[[#This Row],[SALARIO]])</f>
        <v>561950</v>
      </c>
      <c r="O4148" s="14">
        <f xml:space="preserve"> IF(ISBLANK(moras[[#This Row],[EDAD]]), EDA!$E$8, moras[[#This Row],[EDAD]])</f>
        <v>32</v>
      </c>
      <c r="P4148" s="14" t="str">
        <f>IF(
    OR(ISBLANK(moras[[#This Row],[TIPO_ASEGURAMIENTO]]), moras[[#This Row],[TIPO_ASEGURAMIENTO]]=""),
    EDA!$A$32,
    moras[[#This Row],[TIPO_ASEGURAMIENTO]]
)</f>
        <v>ASALARIADO</v>
      </c>
    </row>
    <row r="4149" spans="1:16" x14ac:dyDescent="0.3">
      <c r="A4149">
        <v>4148</v>
      </c>
      <c r="B4149" t="s">
        <v>9</v>
      </c>
      <c r="C4149">
        <v>500000</v>
      </c>
      <c r="D4149" t="s">
        <v>10</v>
      </c>
      <c r="E4149" t="s">
        <v>16</v>
      </c>
      <c r="F4149" t="s">
        <v>12</v>
      </c>
      <c r="G4149" t="s">
        <v>12</v>
      </c>
      <c r="H4149" t="s">
        <v>13</v>
      </c>
      <c r="I4149">
        <v>29</v>
      </c>
      <c r="J4149">
        <f>ABS((I4149-EDA!$A$15)/EDA!$B$15)</f>
        <v>0.91603897814407031</v>
      </c>
      <c r="K4149" t="str">
        <f t="shared" si="64"/>
        <v>No</v>
      </c>
      <c r="L4149">
        <f>ABS((C4149-EDA!$F$15)/EDA!$G$15)</f>
        <v>0.36733361925171953</v>
      </c>
      <c r="M4149" t="str">
        <f>IF(moras[[#This Row],[Z-Score Salario]]&gt;1.96, "Sí", "No")</f>
        <v>No</v>
      </c>
      <c r="N4149" s="14">
        <f>IF(ISBLANK(moras[[#This Row],[SALARIO]]), EDA!$M$8, moras[[#This Row],[SALARIO]])</f>
        <v>500000</v>
      </c>
      <c r="O4149" s="14">
        <f xml:space="preserve"> IF(ISBLANK(moras[[#This Row],[EDAD]]), EDA!$E$8, moras[[#This Row],[EDAD]])</f>
        <v>29</v>
      </c>
      <c r="P4149" s="14" t="str">
        <f>IF(
    OR(ISBLANK(moras[[#This Row],[TIPO_ASEGURAMIENTO]]), moras[[#This Row],[TIPO_ASEGURAMIENTO]]=""),
    EDA!$A$32,
    moras[[#This Row],[TIPO_ASEGURAMIENTO]]
)</f>
        <v>ASALARIADO</v>
      </c>
    </row>
    <row r="4150" spans="1:16" x14ac:dyDescent="0.3">
      <c r="A4150">
        <v>4149</v>
      </c>
      <c r="B4150" t="s">
        <v>9</v>
      </c>
      <c r="C4150">
        <v>895921</v>
      </c>
      <c r="D4150" t="s">
        <v>10</v>
      </c>
      <c r="E4150" t="s">
        <v>16</v>
      </c>
      <c r="F4150" t="s">
        <v>12</v>
      </c>
      <c r="G4150" t="s">
        <v>13</v>
      </c>
      <c r="H4150" t="s">
        <v>13</v>
      </c>
      <c r="I4150">
        <v>24</v>
      </c>
      <c r="J4150">
        <f>ABS((I4150-EDA!$A$15)/EDA!$B$15)</f>
        <v>1.2689156285297578</v>
      </c>
      <c r="K4150" t="str">
        <f t="shared" si="64"/>
        <v>No</v>
      </c>
      <c r="L4150">
        <f>ABS((C4150-EDA!$F$15)/EDA!$G$15)</f>
        <v>0.3607452143262565</v>
      </c>
      <c r="M4150" t="str">
        <f>IF(moras[[#This Row],[Z-Score Salario]]&gt;1.96, "Sí", "No")</f>
        <v>No</v>
      </c>
      <c r="N4150" s="14">
        <f>IF(ISBLANK(moras[[#This Row],[SALARIO]]), EDA!$M$8, moras[[#This Row],[SALARIO]])</f>
        <v>895921</v>
      </c>
      <c r="O4150" s="14">
        <f xml:space="preserve"> IF(ISBLANK(moras[[#This Row],[EDAD]]), EDA!$E$8, moras[[#This Row],[EDAD]])</f>
        <v>24</v>
      </c>
      <c r="P4150" s="14" t="str">
        <f>IF(
    OR(ISBLANK(moras[[#This Row],[TIPO_ASEGURAMIENTO]]), moras[[#This Row],[TIPO_ASEGURAMIENTO]]=""),
    EDA!$A$32,
    moras[[#This Row],[TIPO_ASEGURAMIENTO]]
)</f>
        <v>ASALARIADO</v>
      </c>
    </row>
    <row r="4151" spans="1:16" x14ac:dyDescent="0.3">
      <c r="A4151">
        <v>4150</v>
      </c>
      <c r="B4151" t="s">
        <v>15</v>
      </c>
      <c r="C4151">
        <v>278030</v>
      </c>
      <c r="D4151" t="s">
        <v>17</v>
      </c>
      <c r="E4151" t="s">
        <v>16</v>
      </c>
      <c r="F4151" t="s">
        <v>12</v>
      </c>
      <c r="G4151" t="s">
        <v>12</v>
      </c>
      <c r="H4151" t="s">
        <v>13</v>
      </c>
      <c r="I4151">
        <v>29</v>
      </c>
      <c r="J4151">
        <f>ABS((I4151-EDA!$A$15)/EDA!$B$15)</f>
        <v>0.91603897814407031</v>
      </c>
      <c r="K4151" t="str">
        <f t="shared" si="64"/>
        <v>No</v>
      </c>
      <c r="L4151">
        <f>ABS((C4151-EDA!$F$15)/EDA!$G$15)</f>
        <v>0.37102735674304993</v>
      </c>
      <c r="M4151" t="str">
        <f>IF(moras[[#This Row],[Z-Score Salario]]&gt;1.96, "Sí", "No")</f>
        <v>No</v>
      </c>
      <c r="N4151" s="14">
        <f>IF(ISBLANK(moras[[#This Row],[SALARIO]]), EDA!$M$8, moras[[#This Row],[SALARIO]])</f>
        <v>278030</v>
      </c>
      <c r="O4151" s="14">
        <f xml:space="preserve"> IF(ISBLANK(moras[[#This Row],[EDAD]]), EDA!$E$8, moras[[#This Row],[EDAD]])</f>
        <v>29</v>
      </c>
      <c r="P4151" s="14" t="str">
        <f>IF(
    OR(ISBLANK(moras[[#This Row],[TIPO_ASEGURAMIENTO]]), moras[[#This Row],[TIPO_ASEGURAMIENTO]]=""),
    EDA!$A$32,
    moras[[#This Row],[TIPO_ASEGURAMIENTO]]
)</f>
        <v>ASEGURADO VOLUNTARIO</v>
      </c>
    </row>
    <row r="4152" spans="1:16" x14ac:dyDescent="0.3">
      <c r="A4152">
        <v>4151</v>
      </c>
      <c r="B4152" t="s">
        <v>9</v>
      </c>
      <c r="C4152">
        <v>534683</v>
      </c>
      <c r="D4152" t="s">
        <v>18</v>
      </c>
      <c r="E4152" t="s">
        <v>16</v>
      </c>
      <c r="F4152" t="s">
        <v>12</v>
      </c>
      <c r="G4152" t="s">
        <v>12</v>
      </c>
      <c r="H4152" t="s">
        <v>12</v>
      </c>
      <c r="I4152">
        <v>37</v>
      </c>
      <c r="J4152">
        <f>ABS((I4152-EDA!$A$15)/EDA!$B$15)</f>
        <v>0.35143633752697023</v>
      </c>
      <c r="K4152" t="str">
        <f t="shared" si="64"/>
        <v>No</v>
      </c>
      <c r="L4152">
        <f>ABS((C4152-EDA!$F$15)/EDA!$G$15)</f>
        <v>0.36675646964856679</v>
      </c>
      <c r="M4152" t="str">
        <f>IF(moras[[#This Row],[Z-Score Salario]]&gt;1.96, "Sí", "No")</f>
        <v>No</v>
      </c>
      <c r="N4152" s="14">
        <f>IF(ISBLANK(moras[[#This Row],[SALARIO]]), EDA!$M$8, moras[[#This Row],[SALARIO]])</f>
        <v>534683</v>
      </c>
      <c r="O4152" s="14">
        <f xml:space="preserve"> IF(ISBLANK(moras[[#This Row],[EDAD]]), EDA!$E$8, moras[[#This Row],[EDAD]])</f>
        <v>37</v>
      </c>
      <c r="P4152" s="14" t="str">
        <f>IF(
    OR(ISBLANK(moras[[#This Row],[TIPO_ASEGURAMIENTO]]), moras[[#This Row],[TIPO_ASEGURAMIENTO]]=""),
    EDA!$A$32,
    moras[[#This Row],[TIPO_ASEGURAMIENTO]]
)</f>
        <v>TRABAJADOR INDEPENDIENTE</v>
      </c>
    </row>
    <row r="4153" spans="1:16" x14ac:dyDescent="0.3">
      <c r="A4153">
        <v>4152</v>
      </c>
      <c r="B4153" t="s">
        <v>9</v>
      </c>
      <c r="C4153">
        <v>263305</v>
      </c>
      <c r="D4153" t="s">
        <v>10</v>
      </c>
      <c r="E4153" t="s">
        <v>16</v>
      </c>
      <c r="F4153" t="s">
        <v>12</v>
      </c>
      <c r="G4153" t="s">
        <v>13</v>
      </c>
      <c r="H4153" t="s">
        <v>12</v>
      </c>
      <c r="I4153">
        <v>34</v>
      </c>
      <c r="J4153">
        <f>ABS((I4153-EDA!$A$15)/EDA!$B$15)</f>
        <v>0.56316232775838282</v>
      </c>
      <c r="K4153" t="str">
        <f t="shared" si="64"/>
        <v>No</v>
      </c>
      <c r="L4153">
        <f>ABS((C4153-EDA!$F$15)/EDA!$G$15)</f>
        <v>0.37127239113760702</v>
      </c>
      <c r="M4153" t="str">
        <f>IF(moras[[#This Row],[Z-Score Salario]]&gt;1.96, "Sí", "No")</f>
        <v>No</v>
      </c>
      <c r="N4153" s="14">
        <f>IF(ISBLANK(moras[[#This Row],[SALARIO]]), EDA!$M$8, moras[[#This Row],[SALARIO]])</f>
        <v>263305</v>
      </c>
      <c r="O4153" s="14">
        <f xml:space="preserve"> IF(ISBLANK(moras[[#This Row],[EDAD]]), EDA!$E$8, moras[[#This Row],[EDAD]])</f>
        <v>34</v>
      </c>
      <c r="P4153" s="14" t="str">
        <f>IF(
    OR(ISBLANK(moras[[#This Row],[TIPO_ASEGURAMIENTO]]), moras[[#This Row],[TIPO_ASEGURAMIENTO]]=""),
    EDA!$A$32,
    moras[[#This Row],[TIPO_ASEGURAMIENTO]]
)</f>
        <v>ASALARIADO</v>
      </c>
    </row>
    <row r="4154" spans="1:16" x14ac:dyDescent="0.3">
      <c r="A4154">
        <v>4153</v>
      </c>
      <c r="B4154" t="s">
        <v>9</v>
      </c>
      <c r="C4154">
        <v>35954427</v>
      </c>
      <c r="D4154" t="s">
        <v>21</v>
      </c>
      <c r="E4154" t="s">
        <v>16</v>
      </c>
      <c r="F4154" t="s">
        <v>12</v>
      </c>
      <c r="G4154" t="s">
        <v>12</v>
      </c>
      <c r="H4154" t="s">
        <v>13</v>
      </c>
      <c r="I4154">
        <v>20</v>
      </c>
      <c r="J4154">
        <f>ABS((I4154-EDA!$A$15)/EDA!$B$15)</f>
        <v>1.5512169488383079</v>
      </c>
      <c r="K4154" t="str">
        <f t="shared" si="64"/>
        <v>No</v>
      </c>
      <c r="L4154">
        <f>ABS((C4154-EDA!$F$15)/EDA!$G$15)</f>
        <v>0.22265307374074372</v>
      </c>
      <c r="M4154" t="str">
        <f>IF(moras[[#This Row],[Z-Score Salario]]&gt;1.96, "Sí", "No")</f>
        <v>No</v>
      </c>
      <c r="N4154" s="14">
        <f>IF(ISBLANK(moras[[#This Row],[SALARIO]]), EDA!$M$8, moras[[#This Row],[SALARIO]])</f>
        <v>35954427</v>
      </c>
      <c r="O4154" s="14">
        <f xml:space="preserve"> IF(ISBLANK(moras[[#This Row],[EDAD]]), EDA!$E$8, moras[[#This Row],[EDAD]])</f>
        <v>20</v>
      </c>
      <c r="P4154" s="14" t="str">
        <f>IF(
    OR(ISBLANK(moras[[#This Row],[TIPO_ASEGURAMIENTO]]), moras[[#This Row],[TIPO_ASEGURAMIENTO]]=""),
    EDA!$A$32,
    moras[[#This Row],[TIPO_ASEGURAMIENTO]]
)</f>
        <v>CONVENIOS ESPECIALES DE ASEGURADOS VOLUNTARIOS</v>
      </c>
    </row>
    <row r="4155" spans="1:16" x14ac:dyDescent="0.3">
      <c r="A4155">
        <v>4154</v>
      </c>
      <c r="B4155" t="s">
        <v>9</v>
      </c>
      <c r="C4155">
        <v>331059</v>
      </c>
      <c r="D4155" t="s">
        <v>18</v>
      </c>
      <c r="E4155" t="s">
        <v>16</v>
      </c>
      <c r="F4155" t="s">
        <v>12</v>
      </c>
      <c r="G4155" t="s">
        <v>13</v>
      </c>
      <c r="H4155" t="s">
        <v>12</v>
      </c>
      <c r="I4155">
        <v>45</v>
      </c>
      <c r="J4155">
        <f>ABS((I4155-EDA!$A$15)/EDA!$B$15)</f>
        <v>0.21316630309012977</v>
      </c>
      <c r="K4155" t="str">
        <f t="shared" si="64"/>
        <v>No</v>
      </c>
      <c r="L4155">
        <f>ABS((C4155-EDA!$F$15)/EDA!$G$15)</f>
        <v>0.370144916749232</v>
      </c>
      <c r="M4155" t="str">
        <f>IF(moras[[#This Row],[Z-Score Salario]]&gt;1.96, "Sí", "No")</f>
        <v>No</v>
      </c>
      <c r="N4155" s="14">
        <f>IF(ISBLANK(moras[[#This Row],[SALARIO]]), EDA!$M$8, moras[[#This Row],[SALARIO]])</f>
        <v>331059</v>
      </c>
      <c r="O4155" s="14">
        <f xml:space="preserve"> IF(ISBLANK(moras[[#This Row],[EDAD]]), EDA!$E$8, moras[[#This Row],[EDAD]])</f>
        <v>45</v>
      </c>
      <c r="P4155" s="14" t="str">
        <f>IF(
    OR(ISBLANK(moras[[#This Row],[TIPO_ASEGURAMIENTO]]), moras[[#This Row],[TIPO_ASEGURAMIENTO]]=""),
    EDA!$A$32,
    moras[[#This Row],[TIPO_ASEGURAMIENTO]]
)</f>
        <v>TRABAJADOR INDEPENDIENTE</v>
      </c>
    </row>
    <row r="4156" spans="1:16" x14ac:dyDescent="0.3">
      <c r="A4156">
        <v>4155</v>
      </c>
      <c r="B4156" t="s">
        <v>15</v>
      </c>
      <c r="C4156">
        <v>122666667</v>
      </c>
      <c r="D4156" t="s">
        <v>10</v>
      </c>
      <c r="E4156" t="s">
        <v>16</v>
      </c>
      <c r="F4156" t="s">
        <v>12</v>
      </c>
      <c r="G4156" t="s">
        <v>13</v>
      </c>
      <c r="H4156" t="s">
        <v>13</v>
      </c>
      <c r="I4156">
        <v>26</v>
      </c>
      <c r="J4156">
        <f>ABS((I4156-EDA!$A$15)/EDA!$B$15)</f>
        <v>1.1277649683754829</v>
      </c>
      <c r="K4156" t="str">
        <f t="shared" si="64"/>
        <v>No</v>
      </c>
      <c r="L4156">
        <f>ABS((C4156-EDA!$F$15)/EDA!$G$15)</f>
        <v>1.6656059585686041</v>
      </c>
      <c r="M4156" t="str">
        <f>IF(moras[[#This Row],[Z-Score Salario]]&gt;1.96, "Sí", "No")</f>
        <v>No</v>
      </c>
      <c r="N4156" s="14">
        <f>IF(ISBLANK(moras[[#This Row],[SALARIO]]), EDA!$M$8, moras[[#This Row],[SALARIO]])</f>
        <v>122666667</v>
      </c>
      <c r="O4156" s="14">
        <f xml:space="preserve"> IF(ISBLANK(moras[[#This Row],[EDAD]]), EDA!$E$8, moras[[#This Row],[EDAD]])</f>
        <v>26</v>
      </c>
      <c r="P4156" s="14" t="str">
        <f>IF(
    OR(ISBLANK(moras[[#This Row],[TIPO_ASEGURAMIENTO]]), moras[[#This Row],[TIPO_ASEGURAMIENTO]]=""),
    EDA!$A$32,
    moras[[#This Row],[TIPO_ASEGURAMIENTO]]
)</f>
        <v>ASALARIADO</v>
      </c>
    </row>
    <row r="4157" spans="1:16" x14ac:dyDescent="0.3">
      <c r="A4157">
        <v>4156</v>
      </c>
      <c r="B4157" t="s">
        <v>15</v>
      </c>
      <c r="C4157">
        <v>750000</v>
      </c>
      <c r="D4157" t="s">
        <v>10</v>
      </c>
      <c r="E4157" t="s">
        <v>16</v>
      </c>
      <c r="F4157" t="s">
        <v>12</v>
      </c>
      <c r="G4157" t="s">
        <v>13</v>
      </c>
      <c r="H4157" t="s">
        <v>13</v>
      </c>
      <c r="I4157">
        <v>35</v>
      </c>
      <c r="J4157">
        <f>ABS((I4157-EDA!$A$15)/EDA!$B$15)</f>
        <v>0.49258699768124525</v>
      </c>
      <c r="K4157" t="str">
        <f t="shared" si="64"/>
        <v>No</v>
      </c>
      <c r="L4157">
        <f>ABS((C4157-EDA!$F$15)/EDA!$G$15)</f>
        <v>0.3631734427736702</v>
      </c>
      <c r="M4157" t="str">
        <f>IF(moras[[#This Row],[Z-Score Salario]]&gt;1.96, "Sí", "No")</f>
        <v>No</v>
      </c>
      <c r="N4157" s="14">
        <f>IF(ISBLANK(moras[[#This Row],[SALARIO]]), EDA!$M$8, moras[[#This Row],[SALARIO]])</f>
        <v>750000</v>
      </c>
      <c r="O4157" s="14">
        <f xml:space="preserve"> IF(ISBLANK(moras[[#This Row],[EDAD]]), EDA!$E$8, moras[[#This Row],[EDAD]])</f>
        <v>35</v>
      </c>
      <c r="P4157" s="14" t="str">
        <f>IF(
    OR(ISBLANK(moras[[#This Row],[TIPO_ASEGURAMIENTO]]), moras[[#This Row],[TIPO_ASEGURAMIENTO]]=""),
    EDA!$A$32,
    moras[[#This Row],[TIPO_ASEGURAMIENTO]]
)</f>
        <v>ASALARIADO</v>
      </c>
    </row>
    <row r="4158" spans="1:16" x14ac:dyDescent="0.3">
      <c r="A4158">
        <v>4157</v>
      </c>
      <c r="B4158" t="s">
        <v>9</v>
      </c>
      <c r="C4158">
        <v>433710</v>
      </c>
      <c r="D4158" t="s">
        <v>10</v>
      </c>
      <c r="E4158" t="s">
        <v>16</v>
      </c>
      <c r="F4158" t="s">
        <v>12</v>
      </c>
      <c r="G4158" t="s">
        <v>13</v>
      </c>
      <c r="H4158" t="s">
        <v>13</v>
      </c>
      <c r="I4158">
        <v>60</v>
      </c>
      <c r="J4158">
        <f>ABS((I4158-EDA!$A$15)/EDA!$B$15)</f>
        <v>1.2717962542471923</v>
      </c>
      <c r="K4158" t="str">
        <f t="shared" si="64"/>
        <v>No</v>
      </c>
      <c r="L4158">
        <f>ABS((C4158-EDA!$F$15)/EDA!$G$15)</f>
        <v>0.36843673164663909</v>
      </c>
      <c r="M4158" t="str">
        <f>IF(moras[[#This Row],[Z-Score Salario]]&gt;1.96, "Sí", "No")</f>
        <v>No</v>
      </c>
      <c r="N4158" s="14">
        <f>IF(ISBLANK(moras[[#This Row],[SALARIO]]), EDA!$M$8, moras[[#This Row],[SALARIO]])</f>
        <v>433710</v>
      </c>
      <c r="O4158" s="14">
        <f xml:space="preserve"> IF(ISBLANK(moras[[#This Row],[EDAD]]), EDA!$E$8, moras[[#This Row],[EDAD]])</f>
        <v>60</v>
      </c>
      <c r="P4158" s="14" t="str">
        <f>IF(
    OR(ISBLANK(moras[[#This Row],[TIPO_ASEGURAMIENTO]]), moras[[#This Row],[TIPO_ASEGURAMIENTO]]=""),
    EDA!$A$32,
    moras[[#This Row],[TIPO_ASEGURAMIENTO]]
)</f>
        <v>ASALARIADO</v>
      </c>
    </row>
    <row r="4159" spans="1:16" x14ac:dyDescent="0.3">
      <c r="A4159">
        <v>4158</v>
      </c>
      <c r="B4159" t="s">
        <v>9</v>
      </c>
      <c r="C4159">
        <v>540083</v>
      </c>
      <c r="D4159" t="s">
        <v>18</v>
      </c>
      <c r="E4159" t="s">
        <v>16</v>
      </c>
      <c r="F4159" t="s">
        <v>12</v>
      </c>
      <c r="G4159" t="s">
        <v>13</v>
      </c>
      <c r="H4159" t="s">
        <v>12</v>
      </c>
      <c r="I4159">
        <v>54</v>
      </c>
      <c r="J4159">
        <f>ABS((I4159-EDA!$A$15)/EDA!$B$15)</f>
        <v>0.84834427378436728</v>
      </c>
      <c r="K4159" t="str">
        <f t="shared" si="64"/>
        <v>No</v>
      </c>
      <c r="L4159">
        <f>ABS((C4159-EDA!$F$15)/EDA!$G$15)</f>
        <v>0.3666666098366409</v>
      </c>
      <c r="M4159" t="str">
        <f>IF(moras[[#This Row],[Z-Score Salario]]&gt;1.96, "Sí", "No")</f>
        <v>No</v>
      </c>
      <c r="N4159" s="14">
        <f>IF(ISBLANK(moras[[#This Row],[SALARIO]]), EDA!$M$8, moras[[#This Row],[SALARIO]])</f>
        <v>540083</v>
      </c>
      <c r="O4159" s="14">
        <f xml:space="preserve"> IF(ISBLANK(moras[[#This Row],[EDAD]]), EDA!$E$8, moras[[#This Row],[EDAD]])</f>
        <v>54</v>
      </c>
      <c r="P4159" s="14" t="str">
        <f>IF(
    OR(ISBLANK(moras[[#This Row],[TIPO_ASEGURAMIENTO]]), moras[[#This Row],[TIPO_ASEGURAMIENTO]]=""),
    EDA!$A$32,
    moras[[#This Row],[TIPO_ASEGURAMIENTO]]
)</f>
        <v>TRABAJADOR INDEPENDIENTE</v>
      </c>
    </row>
    <row r="4160" spans="1:16" x14ac:dyDescent="0.3">
      <c r="A4160">
        <v>4159</v>
      </c>
      <c r="B4160" t="s">
        <v>9</v>
      </c>
      <c r="C4160">
        <v>5751957</v>
      </c>
      <c r="D4160" t="s">
        <v>10</v>
      </c>
      <c r="E4160" t="s">
        <v>16</v>
      </c>
      <c r="F4160" t="s">
        <v>12</v>
      </c>
      <c r="G4160" t="s">
        <v>13</v>
      </c>
      <c r="H4160" t="s">
        <v>13</v>
      </c>
      <c r="I4160">
        <v>26</v>
      </c>
      <c r="J4160">
        <f>ABS((I4160-EDA!$A$15)/EDA!$B$15)</f>
        <v>1.1277649683754829</v>
      </c>
      <c r="K4160" t="str">
        <f t="shared" si="64"/>
        <v>No</v>
      </c>
      <c r="L4160">
        <f>ABS((C4160-EDA!$F$15)/EDA!$G$15)</f>
        <v>0.27993734735121417</v>
      </c>
      <c r="M4160" t="str">
        <f>IF(moras[[#This Row],[Z-Score Salario]]&gt;1.96, "Sí", "No")</f>
        <v>No</v>
      </c>
      <c r="N4160" s="14">
        <f>IF(ISBLANK(moras[[#This Row],[SALARIO]]), EDA!$M$8, moras[[#This Row],[SALARIO]])</f>
        <v>5751957</v>
      </c>
      <c r="O4160" s="14">
        <f xml:space="preserve"> IF(ISBLANK(moras[[#This Row],[EDAD]]), EDA!$E$8, moras[[#This Row],[EDAD]])</f>
        <v>26</v>
      </c>
      <c r="P4160" s="14" t="str">
        <f>IF(
    OR(ISBLANK(moras[[#This Row],[TIPO_ASEGURAMIENTO]]), moras[[#This Row],[TIPO_ASEGURAMIENTO]]=""),
    EDA!$A$32,
    moras[[#This Row],[TIPO_ASEGURAMIENTO]]
)</f>
        <v>ASALARIADO</v>
      </c>
    </row>
    <row r="4161" spans="1:16" x14ac:dyDescent="0.3">
      <c r="A4161">
        <v>4160</v>
      </c>
      <c r="B4161" t="s">
        <v>9</v>
      </c>
      <c r="C4161">
        <v>660110</v>
      </c>
      <c r="D4161" t="s">
        <v>10</v>
      </c>
      <c r="E4161" t="s">
        <v>16</v>
      </c>
      <c r="F4161" t="s">
        <v>12</v>
      </c>
      <c r="G4161" t="s">
        <v>13</v>
      </c>
      <c r="H4161" t="s">
        <v>13</v>
      </c>
      <c r="I4161">
        <v>54</v>
      </c>
      <c r="J4161">
        <f>ABS((I4161-EDA!$A$15)/EDA!$B$15)</f>
        <v>0.84834427378436728</v>
      </c>
      <c r="K4161" t="str">
        <f t="shared" si="64"/>
        <v>No</v>
      </c>
      <c r="L4161">
        <f>ABS((C4161-EDA!$F$15)/EDA!$G$15)</f>
        <v>0.36466927582811764</v>
      </c>
      <c r="M4161" t="str">
        <f>IF(moras[[#This Row],[Z-Score Salario]]&gt;1.96, "Sí", "No")</f>
        <v>No</v>
      </c>
      <c r="N4161" s="14">
        <f>IF(ISBLANK(moras[[#This Row],[SALARIO]]), EDA!$M$8, moras[[#This Row],[SALARIO]])</f>
        <v>660110</v>
      </c>
      <c r="O4161" s="14">
        <f xml:space="preserve"> IF(ISBLANK(moras[[#This Row],[EDAD]]), EDA!$E$8, moras[[#This Row],[EDAD]])</f>
        <v>54</v>
      </c>
      <c r="P4161" s="14" t="str">
        <f>IF(
    OR(ISBLANK(moras[[#This Row],[TIPO_ASEGURAMIENTO]]), moras[[#This Row],[TIPO_ASEGURAMIENTO]]=""),
    EDA!$A$32,
    moras[[#This Row],[TIPO_ASEGURAMIENTO]]
)</f>
        <v>ASALARIADO</v>
      </c>
    </row>
    <row r="4162" spans="1:16" x14ac:dyDescent="0.3">
      <c r="A4162">
        <v>4161</v>
      </c>
      <c r="B4162" t="s">
        <v>9</v>
      </c>
      <c r="C4162">
        <v>344000</v>
      </c>
      <c r="D4162" t="s">
        <v>10</v>
      </c>
      <c r="E4162" t="s">
        <v>16</v>
      </c>
      <c r="F4162" t="s">
        <v>12</v>
      </c>
      <c r="G4162" t="s">
        <v>13</v>
      </c>
      <c r="H4162" t="s">
        <v>13</v>
      </c>
      <c r="I4162">
        <v>33</v>
      </c>
      <c r="J4162">
        <f>ABS((I4162-EDA!$A$15)/EDA!$B$15)</f>
        <v>0.63373765783552027</v>
      </c>
      <c r="K4162" t="str">
        <f t="shared" ref="K4162:K4225" si="65">IF(J4162 &gt;  1.96, "Sí","No")</f>
        <v>No</v>
      </c>
      <c r="L4162">
        <f>ABS((C4162-EDA!$F$15)/EDA!$G$15)</f>
        <v>0.36992956937402227</v>
      </c>
      <c r="M4162" t="str">
        <f>IF(moras[[#This Row],[Z-Score Salario]]&gt;1.96, "Sí", "No")</f>
        <v>No</v>
      </c>
      <c r="N4162" s="14">
        <f>IF(ISBLANK(moras[[#This Row],[SALARIO]]), EDA!$M$8, moras[[#This Row],[SALARIO]])</f>
        <v>344000</v>
      </c>
      <c r="O4162" s="14">
        <f xml:space="preserve"> IF(ISBLANK(moras[[#This Row],[EDAD]]), EDA!$E$8, moras[[#This Row],[EDAD]])</f>
        <v>33</v>
      </c>
      <c r="P4162" s="14" t="str">
        <f>IF(
    OR(ISBLANK(moras[[#This Row],[TIPO_ASEGURAMIENTO]]), moras[[#This Row],[TIPO_ASEGURAMIENTO]]=""),
    EDA!$A$32,
    moras[[#This Row],[TIPO_ASEGURAMIENTO]]
)</f>
        <v>ASALARIADO</v>
      </c>
    </row>
    <row r="4163" spans="1:16" x14ac:dyDescent="0.3">
      <c r="A4163">
        <v>4162</v>
      </c>
      <c r="B4163" t="s">
        <v>15</v>
      </c>
      <c r="C4163">
        <v>12015462</v>
      </c>
      <c r="D4163" t="s">
        <v>10</v>
      </c>
      <c r="E4163" t="s">
        <v>11</v>
      </c>
      <c r="F4163" t="s">
        <v>12</v>
      </c>
      <c r="G4163" t="s">
        <v>13</v>
      </c>
      <c r="H4163" t="s">
        <v>13</v>
      </c>
      <c r="I4163">
        <v>28</v>
      </c>
      <c r="J4163">
        <f>ABS((I4163-EDA!$A$15)/EDA!$B$15)</f>
        <v>0.98661430822120777</v>
      </c>
      <c r="K4163" t="str">
        <f t="shared" si="65"/>
        <v>No</v>
      </c>
      <c r="L4163">
        <f>ABS((C4163-EDA!$F$15)/EDA!$G$15)</f>
        <v>0.17570820266663759</v>
      </c>
      <c r="M4163" t="str">
        <f>IF(moras[[#This Row],[Z-Score Salario]]&gt;1.96, "Sí", "No")</f>
        <v>No</v>
      </c>
      <c r="N4163" s="14">
        <f>IF(ISBLANK(moras[[#This Row],[SALARIO]]), EDA!$M$8, moras[[#This Row],[SALARIO]])</f>
        <v>12015462</v>
      </c>
      <c r="O4163" s="14">
        <f xml:space="preserve"> IF(ISBLANK(moras[[#This Row],[EDAD]]), EDA!$E$8, moras[[#This Row],[EDAD]])</f>
        <v>28</v>
      </c>
      <c r="P4163" s="14" t="str">
        <f>IF(
    OR(ISBLANK(moras[[#This Row],[TIPO_ASEGURAMIENTO]]), moras[[#This Row],[TIPO_ASEGURAMIENTO]]=""),
    EDA!$A$32,
    moras[[#This Row],[TIPO_ASEGURAMIENTO]]
)</f>
        <v>ASALARIADO</v>
      </c>
    </row>
    <row r="4164" spans="1:16" x14ac:dyDescent="0.3">
      <c r="A4164">
        <v>4163</v>
      </c>
      <c r="B4164" t="s">
        <v>15</v>
      </c>
      <c r="C4164">
        <v>429500</v>
      </c>
      <c r="D4164" t="s">
        <v>10</v>
      </c>
      <c r="E4164" t="s">
        <v>16</v>
      </c>
      <c r="F4164" t="s">
        <v>12</v>
      </c>
      <c r="G4164" t="s">
        <v>13</v>
      </c>
      <c r="H4164" t="s">
        <v>13</v>
      </c>
      <c r="I4164">
        <v>53</v>
      </c>
      <c r="J4164">
        <f>ABS((I4164-EDA!$A$15)/EDA!$B$15)</f>
        <v>0.77776894370722982</v>
      </c>
      <c r="K4164" t="str">
        <f t="shared" si="65"/>
        <v>No</v>
      </c>
      <c r="L4164">
        <f>ABS((C4164-EDA!$F$15)/EDA!$G$15)</f>
        <v>0.3685067890185294</v>
      </c>
      <c r="M4164" t="str">
        <f>IF(moras[[#This Row],[Z-Score Salario]]&gt;1.96, "Sí", "No")</f>
        <v>No</v>
      </c>
      <c r="N4164" s="14">
        <f>IF(ISBLANK(moras[[#This Row],[SALARIO]]), EDA!$M$8, moras[[#This Row],[SALARIO]])</f>
        <v>429500</v>
      </c>
      <c r="O4164" s="14">
        <f xml:space="preserve"> IF(ISBLANK(moras[[#This Row],[EDAD]]), EDA!$E$8, moras[[#This Row],[EDAD]])</f>
        <v>53</v>
      </c>
      <c r="P4164" s="14" t="str">
        <f>IF(
    OR(ISBLANK(moras[[#This Row],[TIPO_ASEGURAMIENTO]]), moras[[#This Row],[TIPO_ASEGURAMIENTO]]=""),
    EDA!$A$32,
    moras[[#This Row],[TIPO_ASEGURAMIENTO]]
)</f>
        <v>ASALARIADO</v>
      </c>
    </row>
    <row r="4165" spans="1:16" x14ac:dyDescent="0.3">
      <c r="A4165">
        <v>4164</v>
      </c>
      <c r="B4165" t="s">
        <v>9</v>
      </c>
      <c r="C4165">
        <v>78000</v>
      </c>
      <c r="D4165" t="s">
        <v>10</v>
      </c>
      <c r="E4165" t="s">
        <v>16</v>
      </c>
      <c r="F4165" t="s">
        <v>12</v>
      </c>
      <c r="G4165" t="s">
        <v>13</v>
      </c>
      <c r="H4165" t="s">
        <v>12</v>
      </c>
      <c r="I4165">
        <v>31</v>
      </c>
      <c r="J4165">
        <f>ABS((I4165-EDA!$A$15)/EDA!$B$15)</f>
        <v>0.77488831798979529</v>
      </c>
      <c r="K4165" t="str">
        <f t="shared" si="65"/>
        <v>No</v>
      </c>
      <c r="L4165">
        <f>ABS((C4165-EDA!$F$15)/EDA!$G$15)</f>
        <v>0.37435599714666673</v>
      </c>
      <c r="M4165" t="str">
        <f>IF(moras[[#This Row],[Z-Score Salario]]&gt;1.96, "Sí", "No")</f>
        <v>No</v>
      </c>
      <c r="N4165" s="14">
        <f>IF(ISBLANK(moras[[#This Row],[SALARIO]]), EDA!$M$8, moras[[#This Row],[SALARIO]])</f>
        <v>78000</v>
      </c>
      <c r="O4165" s="14">
        <f xml:space="preserve"> IF(ISBLANK(moras[[#This Row],[EDAD]]), EDA!$E$8, moras[[#This Row],[EDAD]])</f>
        <v>31</v>
      </c>
      <c r="P4165" s="14" t="str">
        <f>IF(
    OR(ISBLANK(moras[[#This Row],[TIPO_ASEGURAMIENTO]]), moras[[#This Row],[TIPO_ASEGURAMIENTO]]=""),
    EDA!$A$32,
    moras[[#This Row],[TIPO_ASEGURAMIENTO]]
)</f>
        <v>ASALARIADO</v>
      </c>
    </row>
    <row r="4166" spans="1:16" x14ac:dyDescent="0.3">
      <c r="A4166">
        <v>4165</v>
      </c>
      <c r="B4166" t="s">
        <v>9</v>
      </c>
      <c r="C4166">
        <v>318620</v>
      </c>
      <c r="D4166" t="s">
        <v>10</v>
      </c>
      <c r="E4166" t="s">
        <v>16</v>
      </c>
      <c r="F4166" t="s">
        <v>12</v>
      </c>
      <c r="G4166" t="s">
        <v>13</v>
      </c>
      <c r="H4166" t="s">
        <v>13</v>
      </c>
      <c r="I4166">
        <v>60</v>
      </c>
      <c r="J4166">
        <f>ABS((I4166-EDA!$A$15)/EDA!$B$15)</f>
        <v>1.2717962542471923</v>
      </c>
      <c r="K4166" t="str">
        <f t="shared" si="65"/>
        <v>No</v>
      </c>
      <c r="L4166">
        <f>ABS((C4166-EDA!$F$15)/EDA!$G$15)</f>
        <v>0.37035191049007382</v>
      </c>
      <c r="M4166" t="str">
        <f>IF(moras[[#This Row],[Z-Score Salario]]&gt;1.96, "Sí", "No")</f>
        <v>No</v>
      </c>
      <c r="N4166" s="14">
        <f>IF(ISBLANK(moras[[#This Row],[SALARIO]]), EDA!$M$8, moras[[#This Row],[SALARIO]])</f>
        <v>318620</v>
      </c>
      <c r="O4166" s="14">
        <f xml:space="preserve"> IF(ISBLANK(moras[[#This Row],[EDAD]]), EDA!$E$8, moras[[#This Row],[EDAD]])</f>
        <v>60</v>
      </c>
      <c r="P4166" s="14" t="str">
        <f>IF(
    OR(ISBLANK(moras[[#This Row],[TIPO_ASEGURAMIENTO]]), moras[[#This Row],[TIPO_ASEGURAMIENTO]]=""),
    EDA!$A$32,
    moras[[#This Row],[TIPO_ASEGURAMIENTO]]
)</f>
        <v>ASALARIADO</v>
      </c>
    </row>
    <row r="4167" spans="1:16" x14ac:dyDescent="0.3">
      <c r="A4167">
        <v>4166</v>
      </c>
      <c r="B4167" t="s">
        <v>9</v>
      </c>
      <c r="C4167">
        <v>326035</v>
      </c>
      <c r="D4167" t="s">
        <v>14</v>
      </c>
      <c r="E4167" t="s">
        <v>11</v>
      </c>
      <c r="F4167" t="s">
        <v>12</v>
      </c>
      <c r="G4167" t="s">
        <v>13</v>
      </c>
      <c r="H4167" t="s">
        <v>13</v>
      </c>
      <c r="I4167">
        <v>67</v>
      </c>
      <c r="J4167">
        <f>ABS((I4167-EDA!$A$15)/EDA!$B$15)</f>
        <v>1.765823564787155</v>
      </c>
      <c r="K4167" t="str">
        <f t="shared" si="65"/>
        <v>No</v>
      </c>
      <c r="L4167">
        <f>ABS((C4167-EDA!$F$15)/EDA!$G$15)</f>
        <v>0.37022851965573489</v>
      </c>
      <c r="M4167" t="str">
        <f>IF(moras[[#This Row],[Z-Score Salario]]&gt;1.96, "Sí", "No")</f>
        <v>No</v>
      </c>
      <c r="N4167" s="14">
        <f>IF(ISBLANK(moras[[#This Row],[SALARIO]]), EDA!$M$8, moras[[#This Row],[SALARIO]])</f>
        <v>326035</v>
      </c>
      <c r="O4167" s="14">
        <f xml:space="preserve"> IF(ISBLANK(moras[[#This Row],[EDAD]]), EDA!$E$8, moras[[#This Row],[EDAD]])</f>
        <v>67</v>
      </c>
      <c r="P4167" s="14" t="str">
        <f>IF(
    OR(ISBLANK(moras[[#This Row],[TIPO_ASEGURAMIENTO]]), moras[[#This Row],[TIPO_ASEGURAMIENTO]]=""),
    EDA!$A$32,
    moras[[#This Row],[TIPO_ASEGURAMIENTO]]
)</f>
        <v>PENSIONADOS EN SU PROPIO SISTEMA</v>
      </c>
    </row>
    <row r="4168" spans="1:16" x14ac:dyDescent="0.3">
      <c r="A4168">
        <v>4167</v>
      </c>
      <c r="B4168" t="s">
        <v>9</v>
      </c>
      <c r="C4168">
        <v>7350265</v>
      </c>
      <c r="D4168" t="s">
        <v>10</v>
      </c>
      <c r="E4168" t="s">
        <v>16</v>
      </c>
      <c r="F4168" t="s">
        <v>12</v>
      </c>
      <c r="G4168" t="s">
        <v>12</v>
      </c>
      <c r="H4168" t="s">
        <v>13</v>
      </c>
      <c r="I4168">
        <v>41</v>
      </c>
      <c r="J4168">
        <f>ABS((I4168-EDA!$A$15)/EDA!$B$15)</f>
        <v>6.9135017218420233E-2</v>
      </c>
      <c r="K4168" t="str">
        <f t="shared" si="65"/>
        <v>No</v>
      </c>
      <c r="L4168">
        <f>ABS((C4168-EDA!$F$15)/EDA!$G$15)</f>
        <v>0.25334037396610209</v>
      </c>
      <c r="M4168" t="str">
        <f>IF(moras[[#This Row],[Z-Score Salario]]&gt;1.96, "Sí", "No")</f>
        <v>No</v>
      </c>
      <c r="N4168" s="14">
        <f>IF(ISBLANK(moras[[#This Row],[SALARIO]]), EDA!$M$8, moras[[#This Row],[SALARIO]])</f>
        <v>7350265</v>
      </c>
      <c r="O4168" s="14">
        <f xml:space="preserve"> IF(ISBLANK(moras[[#This Row],[EDAD]]), EDA!$E$8, moras[[#This Row],[EDAD]])</f>
        <v>41</v>
      </c>
      <c r="P4168" s="14" t="str">
        <f>IF(
    OR(ISBLANK(moras[[#This Row],[TIPO_ASEGURAMIENTO]]), moras[[#This Row],[TIPO_ASEGURAMIENTO]]=""),
    EDA!$A$32,
    moras[[#This Row],[TIPO_ASEGURAMIENTO]]
)</f>
        <v>ASALARIADO</v>
      </c>
    </row>
    <row r="4169" spans="1:16" x14ac:dyDescent="0.3">
      <c r="A4169">
        <v>4168</v>
      </c>
      <c r="B4169" t="s">
        <v>15</v>
      </c>
      <c r="C4169">
        <v>297429</v>
      </c>
      <c r="D4169" t="s">
        <v>17</v>
      </c>
      <c r="E4169" t="s">
        <v>16</v>
      </c>
      <c r="F4169" t="s">
        <v>12</v>
      </c>
      <c r="G4169" t="s">
        <v>12</v>
      </c>
      <c r="H4169" t="s">
        <v>12</v>
      </c>
      <c r="I4169">
        <v>38</v>
      </c>
      <c r="J4169">
        <f>ABS((I4169-EDA!$A$15)/EDA!$B$15)</f>
        <v>0.28086100744983278</v>
      </c>
      <c r="K4169" t="str">
        <f t="shared" si="65"/>
        <v>No</v>
      </c>
      <c r="L4169">
        <f>ABS((C4169-EDA!$F$15)/EDA!$G$15)</f>
        <v>0.3707045436890592</v>
      </c>
      <c r="M4169" t="str">
        <f>IF(moras[[#This Row],[Z-Score Salario]]&gt;1.96, "Sí", "No")</f>
        <v>No</v>
      </c>
      <c r="N4169" s="14">
        <f>IF(ISBLANK(moras[[#This Row],[SALARIO]]), EDA!$M$8, moras[[#This Row],[SALARIO]])</f>
        <v>297429</v>
      </c>
      <c r="O4169" s="14">
        <f xml:space="preserve"> IF(ISBLANK(moras[[#This Row],[EDAD]]), EDA!$E$8, moras[[#This Row],[EDAD]])</f>
        <v>38</v>
      </c>
      <c r="P4169" s="14" t="str">
        <f>IF(
    OR(ISBLANK(moras[[#This Row],[TIPO_ASEGURAMIENTO]]), moras[[#This Row],[TIPO_ASEGURAMIENTO]]=""),
    EDA!$A$32,
    moras[[#This Row],[TIPO_ASEGURAMIENTO]]
)</f>
        <v>ASEGURADO VOLUNTARIO</v>
      </c>
    </row>
    <row r="4170" spans="1:16" x14ac:dyDescent="0.3">
      <c r="A4170">
        <v>4169</v>
      </c>
      <c r="B4170" t="s">
        <v>9</v>
      </c>
      <c r="C4170">
        <v>104226</v>
      </c>
      <c r="D4170" t="s">
        <v>10</v>
      </c>
      <c r="E4170" t="s">
        <v>16</v>
      </c>
      <c r="F4170" t="s">
        <v>12</v>
      </c>
      <c r="G4170" t="s">
        <v>13</v>
      </c>
      <c r="H4170" t="s">
        <v>13</v>
      </c>
      <c r="I4170">
        <v>22</v>
      </c>
      <c r="J4170">
        <f>ABS((I4170-EDA!$A$15)/EDA!$B$15)</f>
        <v>1.4100662886840327</v>
      </c>
      <c r="K4170" t="str">
        <f t="shared" si="65"/>
        <v>No</v>
      </c>
      <c r="L4170">
        <f>ABS((C4170-EDA!$F$15)/EDA!$G$15)</f>
        <v>0.37391957799341347</v>
      </c>
      <c r="M4170" t="str">
        <f>IF(moras[[#This Row],[Z-Score Salario]]&gt;1.96, "Sí", "No")</f>
        <v>No</v>
      </c>
      <c r="N4170" s="14">
        <f>IF(ISBLANK(moras[[#This Row],[SALARIO]]), EDA!$M$8, moras[[#This Row],[SALARIO]])</f>
        <v>104226</v>
      </c>
      <c r="O4170" s="14">
        <f xml:space="preserve"> IF(ISBLANK(moras[[#This Row],[EDAD]]), EDA!$E$8, moras[[#This Row],[EDAD]])</f>
        <v>22</v>
      </c>
      <c r="P4170" s="14" t="str">
        <f>IF(
    OR(ISBLANK(moras[[#This Row],[TIPO_ASEGURAMIENTO]]), moras[[#This Row],[TIPO_ASEGURAMIENTO]]=""),
    EDA!$A$32,
    moras[[#This Row],[TIPO_ASEGURAMIENTO]]
)</f>
        <v>ASALARIADO</v>
      </c>
    </row>
    <row r="4171" spans="1:16" x14ac:dyDescent="0.3">
      <c r="A4171">
        <v>4170</v>
      </c>
      <c r="B4171" t="s">
        <v>15</v>
      </c>
      <c r="C4171">
        <v>316043</v>
      </c>
      <c r="D4171" t="s">
        <v>10</v>
      </c>
      <c r="E4171" t="s">
        <v>11</v>
      </c>
      <c r="F4171" t="s">
        <v>12</v>
      </c>
      <c r="G4171" t="s">
        <v>13</v>
      </c>
      <c r="H4171" t="s">
        <v>13</v>
      </c>
      <c r="I4171">
        <v>49</v>
      </c>
      <c r="J4171">
        <f>ABS((I4171-EDA!$A$15)/EDA!$B$15)</f>
        <v>0.49546762339867978</v>
      </c>
      <c r="K4171" t="str">
        <f t="shared" si="65"/>
        <v>No</v>
      </c>
      <c r="L4171">
        <f>ABS((C4171-EDA!$F$15)/EDA!$G$15)</f>
        <v>0.37039479358920957</v>
      </c>
      <c r="M4171" t="str">
        <f>IF(moras[[#This Row],[Z-Score Salario]]&gt;1.96, "Sí", "No")</f>
        <v>No</v>
      </c>
      <c r="N4171" s="14">
        <f>IF(ISBLANK(moras[[#This Row],[SALARIO]]), EDA!$M$8, moras[[#This Row],[SALARIO]])</f>
        <v>316043</v>
      </c>
      <c r="O4171" s="14">
        <f xml:space="preserve"> IF(ISBLANK(moras[[#This Row],[EDAD]]), EDA!$E$8, moras[[#This Row],[EDAD]])</f>
        <v>49</v>
      </c>
      <c r="P4171" s="14" t="str">
        <f>IF(
    OR(ISBLANK(moras[[#This Row],[TIPO_ASEGURAMIENTO]]), moras[[#This Row],[TIPO_ASEGURAMIENTO]]=""),
    EDA!$A$32,
    moras[[#This Row],[TIPO_ASEGURAMIENTO]]
)</f>
        <v>ASALARIADO</v>
      </c>
    </row>
    <row r="4172" spans="1:16" x14ac:dyDescent="0.3">
      <c r="A4172">
        <v>4171</v>
      </c>
      <c r="B4172" t="s">
        <v>9</v>
      </c>
      <c r="C4172">
        <v>82967714</v>
      </c>
      <c r="D4172" t="s">
        <v>10</v>
      </c>
      <c r="E4172" t="s">
        <v>11</v>
      </c>
      <c r="F4172" t="s">
        <v>12</v>
      </c>
      <c r="G4172" t="s">
        <v>13</v>
      </c>
      <c r="H4172" t="s">
        <v>13</v>
      </c>
      <c r="I4172">
        <v>47</v>
      </c>
      <c r="J4172">
        <f>ABS((I4172-EDA!$A$15)/EDA!$B$15)</f>
        <v>0.35431696324440481</v>
      </c>
      <c r="K4172" t="str">
        <f t="shared" si="65"/>
        <v>No</v>
      </c>
      <c r="L4172">
        <f>ABS((C4172-EDA!$F$15)/EDA!$G$15)</f>
        <v>1.0049873566734664</v>
      </c>
      <c r="M4172" t="str">
        <f>IF(moras[[#This Row],[Z-Score Salario]]&gt;1.96, "Sí", "No")</f>
        <v>No</v>
      </c>
      <c r="N4172" s="14">
        <f>IF(ISBLANK(moras[[#This Row],[SALARIO]]), EDA!$M$8, moras[[#This Row],[SALARIO]])</f>
        <v>82967714</v>
      </c>
      <c r="O4172" s="14">
        <f xml:space="preserve"> IF(ISBLANK(moras[[#This Row],[EDAD]]), EDA!$E$8, moras[[#This Row],[EDAD]])</f>
        <v>47</v>
      </c>
      <c r="P4172" s="14" t="str">
        <f>IF(
    OR(ISBLANK(moras[[#This Row],[TIPO_ASEGURAMIENTO]]), moras[[#This Row],[TIPO_ASEGURAMIENTO]]=""),
    EDA!$A$32,
    moras[[#This Row],[TIPO_ASEGURAMIENTO]]
)</f>
        <v>ASALARIADO</v>
      </c>
    </row>
    <row r="4173" spans="1:16" x14ac:dyDescent="0.3">
      <c r="A4173">
        <v>4172</v>
      </c>
      <c r="B4173" t="s">
        <v>15</v>
      </c>
      <c r="C4173">
        <v>5228071</v>
      </c>
      <c r="D4173" t="s">
        <v>14</v>
      </c>
      <c r="E4173" t="s">
        <v>11</v>
      </c>
      <c r="F4173" t="s">
        <v>12</v>
      </c>
      <c r="G4173" t="s">
        <v>13</v>
      </c>
      <c r="H4173" t="s">
        <v>13</v>
      </c>
      <c r="I4173">
        <v>70</v>
      </c>
      <c r="J4173">
        <f>ABS((I4173-EDA!$A$15)/EDA!$B$15)</f>
        <v>1.9775495550185673</v>
      </c>
      <c r="K4173" t="str">
        <f t="shared" si="65"/>
        <v>Sí</v>
      </c>
      <c r="L4173">
        <f>ABS((C4173-EDA!$F$15)/EDA!$G$15)</f>
        <v>0.28865518020873149</v>
      </c>
      <c r="M4173" t="str">
        <f>IF(moras[[#This Row],[Z-Score Salario]]&gt;1.96, "Sí", "No")</f>
        <v>No</v>
      </c>
      <c r="N4173" s="14">
        <f>IF(ISBLANK(moras[[#This Row],[SALARIO]]), EDA!$M$8, moras[[#This Row],[SALARIO]])</f>
        <v>5228071</v>
      </c>
      <c r="O4173" s="14">
        <f xml:space="preserve"> IF(ISBLANK(moras[[#This Row],[EDAD]]), EDA!$E$8, moras[[#This Row],[EDAD]])</f>
        <v>70</v>
      </c>
      <c r="P4173" s="14" t="str">
        <f>IF(
    OR(ISBLANK(moras[[#This Row],[TIPO_ASEGURAMIENTO]]), moras[[#This Row],[TIPO_ASEGURAMIENTO]]=""),
    EDA!$A$32,
    moras[[#This Row],[TIPO_ASEGURAMIENTO]]
)</f>
        <v>PENSIONADOS EN SU PROPIO SISTEMA</v>
      </c>
    </row>
    <row r="4174" spans="1:16" x14ac:dyDescent="0.3">
      <c r="A4174">
        <v>4173</v>
      </c>
      <c r="B4174" t="s">
        <v>9</v>
      </c>
      <c r="C4174">
        <v>299441</v>
      </c>
      <c r="D4174" t="s">
        <v>17</v>
      </c>
      <c r="E4174" t="s">
        <v>16</v>
      </c>
      <c r="F4174" t="s">
        <v>12</v>
      </c>
      <c r="G4174" t="s">
        <v>12</v>
      </c>
      <c r="H4174" t="s">
        <v>13</v>
      </c>
      <c r="I4174">
        <v>35</v>
      </c>
      <c r="J4174">
        <f>ABS((I4174-EDA!$A$15)/EDA!$B$15)</f>
        <v>0.49258699768124525</v>
      </c>
      <c r="K4174" t="str">
        <f t="shared" si="65"/>
        <v>No</v>
      </c>
      <c r="L4174">
        <f>ABS((C4174-EDA!$F$15)/EDA!$G$15)</f>
        <v>0.37067106258876387</v>
      </c>
      <c r="M4174" t="str">
        <f>IF(moras[[#This Row],[Z-Score Salario]]&gt;1.96, "Sí", "No")</f>
        <v>No</v>
      </c>
      <c r="N4174" s="14">
        <f>IF(ISBLANK(moras[[#This Row],[SALARIO]]), EDA!$M$8, moras[[#This Row],[SALARIO]])</f>
        <v>299441</v>
      </c>
      <c r="O4174" s="14">
        <f xml:space="preserve"> IF(ISBLANK(moras[[#This Row],[EDAD]]), EDA!$E$8, moras[[#This Row],[EDAD]])</f>
        <v>35</v>
      </c>
      <c r="P4174" s="14" t="str">
        <f>IF(
    OR(ISBLANK(moras[[#This Row],[TIPO_ASEGURAMIENTO]]), moras[[#This Row],[TIPO_ASEGURAMIENTO]]=""),
    EDA!$A$32,
    moras[[#This Row],[TIPO_ASEGURAMIENTO]]
)</f>
        <v>ASEGURADO VOLUNTARIO</v>
      </c>
    </row>
    <row r="4175" spans="1:16" x14ac:dyDescent="0.3">
      <c r="A4175">
        <v>4174</v>
      </c>
      <c r="B4175" t="s">
        <v>15</v>
      </c>
      <c r="C4175">
        <v>1594950</v>
      </c>
      <c r="D4175" t="s">
        <v>10</v>
      </c>
      <c r="E4175" t="s">
        <v>16</v>
      </c>
      <c r="F4175" t="s">
        <v>12</v>
      </c>
      <c r="G4175" t="s">
        <v>13</v>
      </c>
      <c r="H4175" t="s">
        <v>13</v>
      </c>
      <c r="I4175">
        <v>32</v>
      </c>
      <c r="J4175">
        <f>ABS((I4175-EDA!$A$15)/EDA!$B$15)</f>
        <v>0.70431298791265773</v>
      </c>
      <c r="K4175" t="str">
        <f t="shared" si="65"/>
        <v>No</v>
      </c>
      <c r="L4175">
        <f>ABS((C4175-EDA!$F$15)/EDA!$G$15)</f>
        <v>0.34911287831315924</v>
      </c>
      <c r="M4175" t="str">
        <f>IF(moras[[#This Row],[Z-Score Salario]]&gt;1.96, "Sí", "No")</f>
        <v>No</v>
      </c>
      <c r="N4175" s="14">
        <f>IF(ISBLANK(moras[[#This Row],[SALARIO]]), EDA!$M$8, moras[[#This Row],[SALARIO]])</f>
        <v>1594950</v>
      </c>
      <c r="O4175" s="14">
        <f xml:space="preserve"> IF(ISBLANK(moras[[#This Row],[EDAD]]), EDA!$E$8, moras[[#This Row],[EDAD]])</f>
        <v>32</v>
      </c>
      <c r="P4175" s="14" t="str">
        <f>IF(
    OR(ISBLANK(moras[[#This Row],[TIPO_ASEGURAMIENTO]]), moras[[#This Row],[TIPO_ASEGURAMIENTO]]=""),
    EDA!$A$32,
    moras[[#This Row],[TIPO_ASEGURAMIENTO]]
)</f>
        <v>ASALARIADO</v>
      </c>
    </row>
    <row r="4176" spans="1:16" x14ac:dyDescent="0.3">
      <c r="A4176">
        <v>4175</v>
      </c>
      <c r="B4176" t="s">
        <v>9</v>
      </c>
      <c r="C4176">
        <v>4173174</v>
      </c>
      <c r="D4176" t="s">
        <v>10</v>
      </c>
      <c r="E4176" t="s">
        <v>16</v>
      </c>
      <c r="F4176" t="s">
        <v>12</v>
      </c>
      <c r="G4176" t="s">
        <v>12</v>
      </c>
      <c r="H4176" t="s">
        <v>13</v>
      </c>
      <c r="I4176">
        <v>32</v>
      </c>
      <c r="J4176">
        <f>ABS((I4176-EDA!$A$15)/EDA!$B$15)</f>
        <v>0.70431298791265773</v>
      </c>
      <c r="K4176" t="str">
        <f t="shared" si="65"/>
        <v>No</v>
      </c>
      <c r="L4176">
        <f>ABS((C4176-EDA!$F$15)/EDA!$G$15)</f>
        <v>0.30620941095339055</v>
      </c>
      <c r="M4176" t="str">
        <f>IF(moras[[#This Row],[Z-Score Salario]]&gt;1.96, "Sí", "No")</f>
        <v>No</v>
      </c>
      <c r="N4176" s="14">
        <f>IF(ISBLANK(moras[[#This Row],[SALARIO]]), EDA!$M$8, moras[[#This Row],[SALARIO]])</f>
        <v>4173174</v>
      </c>
      <c r="O4176" s="14">
        <f xml:space="preserve"> IF(ISBLANK(moras[[#This Row],[EDAD]]), EDA!$E$8, moras[[#This Row],[EDAD]])</f>
        <v>32</v>
      </c>
      <c r="P4176" s="14" t="str">
        <f>IF(
    OR(ISBLANK(moras[[#This Row],[TIPO_ASEGURAMIENTO]]), moras[[#This Row],[TIPO_ASEGURAMIENTO]]=""),
    EDA!$A$32,
    moras[[#This Row],[TIPO_ASEGURAMIENTO]]
)</f>
        <v>ASALARIADO</v>
      </c>
    </row>
    <row r="4177" spans="1:16" x14ac:dyDescent="0.3">
      <c r="A4177">
        <v>4176</v>
      </c>
      <c r="B4177" t="s">
        <v>9</v>
      </c>
      <c r="C4177">
        <v>42885294</v>
      </c>
      <c r="D4177" t="s">
        <v>10</v>
      </c>
      <c r="E4177" t="s">
        <v>16</v>
      </c>
      <c r="F4177" t="s">
        <v>12</v>
      </c>
      <c r="G4177" t="s">
        <v>12</v>
      </c>
      <c r="H4177" t="s">
        <v>13</v>
      </c>
      <c r="I4177">
        <v>32</v>
      </c>
      <c r="J4177">
        <f>ABS((I4177-EDA!$A$15)/EDA!$B$15)</f>
        <v>0.70431298791265773</v>
      </c>
      <c r="K4177" t="str">
        <f t="shared" si="65"/>
        <v>No</v>
      </c>
      <c r="L4177">
        <f>ABS((C4177-EDA!$F$15)/EDA!$G$15)</f>
        <v>0.337987593204296</v>
      </c>
      <c r="M4177" t="str">
        <f>IF(moras[[#This Row],[Z-Score Salario]]&gt;1.96, "Sí", "No")</f>
        <v>No</v>
      </c>
      <c r="N4177" s="14">
        <f>IF(ISBLANK(moras[[#This Row],[SALARIO]]), EDA!$M$8, moras[[#This Row],[SALARIO]])</f>
        <v>42885294</v>
      </c>
      <c r="O4177" s="14">
        <f xml:space="preserve"> IF(ISBLANK(moras[[#This Row],[EDAD]]), EDA!$E$8, moras[[#This Row],[EDAD]])</f>
        <v>32</v>
      </c>
      <c r="P4177" s="14" t="str">
        <f>IF(
    OR(ISBLANK(moras[[#This Row],[TIPO_ASEGURAMIENTO]]), moras[[#This Row],[TIPO_ASEGURAMIENTO]]=""),
    EDA!$A$32,
    moras[[#This Row],[TIPO_ASEGURAMIENTO]]
)</f>
        <v>ASALARIADO</v>
      </c>
    </row>
    <row r="4178" spans="1:16" x14ac:dyDescent="0.3">
      <c r="A4178">
        <v>4177</v>
      </c>
      <c r="B4178" t="s">
        <v>9</v>
      </c>
      <c r="C4178">
        <v>35954427</v>
      </c>
      <c r="D4178" t="s">
        <v>21</v>
      </c>
      <c r="E4178" t="s">
        <v>16</v>
      </c>
      <c r="F4178" t="s">
        <v>12</v>
      </c>
      <c r="G4178" t="s">
        <v>12</v>
      </c>
      <c r="H4178" t="s">
        <v>13</v>
      </c>
      <c r="I4178">
        <v>61</v>
      </c>
      <c r="J4178">
        <f>ABS((I4178-EDA!$A$15)/EDA!$B$15)</f>
        <v>1.3423715843243298</v>
      </c>
      <c r="K4178" t="str">
        <f t="shared" si="65"/>
        <v>No</v>
      </c>
      <c r="L4178">
        <f>ABS((C4178-EDA!$F$15)/EDA!$G$15)</f>
        <v>0.22265307374074372</v>
      </c>
      <c r="M4178" t="str">
        <f>IF(moras[[#This Row],[Z-Score Salario]]&gt;1.96, "Sí", "No")</f>
        <v>No</v>
      </c>
      <c r="N4178" s="14">
        <f>IF(ISBLANK(moras[[#This Row],[SALARIO]]), EDA!$M$8, moras[[#This Row],[SALARIO]])</f>
        <v>35954427</v>
      </c>
      <c r="O4178" s="14">
        <f xml:space="preserve"> IF(ISBLANK(moras[[#This Row],[EDAD]]), EDA!$E$8, moras[[#This Row],[EDAD]])</f>
        <v>61</v>
      </c>
      <c r="P4178" s="14" t="str">
        <f>IF(
    OR(ISBLANK(moras[[#This Row],[TIPO_ASEGURAMIENTO]]), moras[[#This Row],[TIPO_ASEGURAMIENTO]]=""),
    EDA!$A$32,
    moras[[#This Row],[TIPO_ASEGURAMIENTO]]
)</f>
        <v>CONVENIOS ESPECIALES DE ASEGURADOS VOLUNTARIOS</v>
      </c>
    </row>
    <row r="4179" spans="1:16" x14ac:dyDescent="0.3">
      <c r="A4179">
        <v>4178</v>
      </c>
      <c r="B4179" t="s">
        <v>9</v>
      </c>
      <c r="C4179">
        <v>14150948</v>
      </c>
      <c r="D4179" t="s">
        <v>14</v>
      </c>
      <c r="E4179" t="s">
        <v>11</v>
      </c>
      <c r="F4179" t="s">
        <v>12</v>
      </c>
      <c r="G4179" t="s">
        <v>13</v>
      </c>
      <c r="H4179" t="s">
        <v>13</v>
      </c>
      <c r="I4179">
        <v>93</v>
      </c>
      <c r="J4179">
        <f>ABS((I4179-EDA!$A$15)/EDA!$B$15)</f>
        <v>3.6007821467927301</v>
      </c>
      <c r="K4179" t="str">
        <f t="shared" si="65"/>
        <v>Sí</v>
      </c>
      <c r="L4179">
        <f>ABS((C4179-EDA!$F$15)/EDA!$G$15)</f>
        <v>0.1401722081610233</v>
      </c>
      <c r="M4179" t="str">
        <f>IF(moras[[#This Row],[Z-Score Salario]]&gt;1.96, "Sí", "No")</f>
        <v>No</v>
      </c>
      <c r="N4179" s="14">
        <f>IF(ISBLANK(moras[[#This Row],[SALARIO]]), EDA!$M$8, moras[[#This Row],[SALARIO]])</f>
        <v>14150948</v>
      </c>
      <c r="O4179" s="14">
        <f xml:space="preserve"> IF(ISBLANK(moras[[#This Row],[EDAD]]), EDA!$E$8, moras[[#This Row],[EDAD]])</f>
        <v>93</v>
      </c>
      <c r="P4179" s="14" t="str">
        <f>IF(
    OR(ISBLANK(moras[[#This Row],[TIPO_ASEGURAMIENTO]]), moras[[#This Row],[TIPO_ASEGURAMIENTO]]=""),
    EDA!$A$32,
    moras[[#This Row],[TIPO_ASEGURAMIENTO]]
)</f>
        <v>PENSIONADOS EN SU PROPIO SISTEMA</v>
      </c>
    </row>
    <row r="4180" spans="1:16" x14ac:dyDescent="0.3">
      <c r="A4180">
        <v>4179</v>
      </c>
      <c r="B4180" t="s">
        <v>9</v>
      </c>
      <c r="C4180">
        <v>480445</v>
      </c>
      <c r="D4180" t="s">
        <v>10</v>
      </c>
      <c r="E4180" t="s">
        <v>11</v>
      </c>
      <c r="F4180" t="s">
        <v>12</v>
      </c>
      <c r="G4180" t="s">
        <v>13</v>
      </c>
      <c r="H4180" t="s">
        <v>13</v>
      </c>
      <c r="I4180">
        <v>44</v>
      </c>
      <c r="J4180">
        <f>ABS((I4180-EDA!$A$15)/EDA!$B$15)</f>
        <v>0.14259097301299228</v>
      </c>
      <c r="K4180" t="str">
        <f t="shared" si="65"/>
        <v>No</v>
      </c>
      <c r="L4180">
        <f>ABS((C4180-EDA!$F$15)/EDA!$G$15)</f>
        <v>0.36765902825583252</v>
      </c>
      <c r="M4180" t="str">
        <f>IF(moras[[#This Row],[Z-Score Salario]]&gt;1.96, "Sí", "No")</f>
        <v>No</v>
      </c>
      <c r="N4180" s="14">
        <f>IF(ISBLANK(moras[[#This Row],[SALARIO]]), EDA!$M$8, moras[[#This Row],[SALARIO]])</f>
        <v>480445</v>
      </c>
      <c r="O4180" s="14">
        <f xml:space="preserve"> IF(ISBLANK(moras[[#This Row],[EDAD]]), EDA!$E$8, moras[[#This Row],[EDAD]])</f>
        <v>44</v>
      </c>
      <c r="P4180" s="14" t="str">
        <f>IF(
    OR(ISBLANK(moras[[#This Row],[TIPO_ASEGURAMIENTO]]), moras[[#This Row],[TIPO_ASEGURAMIENTO]]=""),
    EDA!$A$32,
    moras[[#This Row],[TIPO_ASEGURAMIENTO]]
)</f>
        <v>ASALARIADO</v>
      </c>
    </row>
    <row r="4181" spans="1:16" x14ac:dyDescent="0.3">
      <c r="A4181">
        <v>4180</v>
      </c>
      <c r="B4181" t="s">
        <v>15</v>
      </c>
      <c r="C4181">
        <v>300000</v>
      </c>
      <c r="D4181" t="s">
        <v>10</v>
      </c>
      <c r="E4181" t="s">
        <v>16</v>
      </c>
      <c r="F4181" t="s">
        <v>12</v>
      </c>
      <c r="G4181" t="s">
        <v>13</v>
      </c>
      <c r="H4181" t="s">
        <v>12</v>
      </c>
      <c r="I4181">
        <v>43</v>
      </c>
      <c r="J4181">
        <f>ABS((I4181-EDA!$A$15)/EDA!$B$15)</f>
        <v>7.2015642935854773E-2</v>
      </c>
      <c r="K4181" t="str">
        <f t="shared" si="65"/>
        <v>No</v>
      </c>
      <c r="L4181">
        <f>ABS((C4181-EDA!$F$15)/EDA!$G$15)</f>
        <v>0.37066176043415894</v>
      </c>
      <c r="M4181" t="str">
        <f>IF(moras[[#This Row],[Z-Score Salario]]&gt;1.96, "Sí", "No")</f>
        <v>No</v>
      </c>
      <c r="N4181" s="14">
        <f>IF(ISBLANK(moras[[#This Row],[SALARIO]]), EDA!$M$8, moras[[#This Row],[SALARIO]])</f>
        <v>300000</v>
      </c>
      <c r="O4181" s="14">
        <f xml:space="preserve"> IF(ISBLANK(moras[[#This Row],[EDAD]]), EDA!$E$8, moras[[#This Row],[EDAD]])</f>
        <v>43</v>
      </c>
      <c r="P4181" s="14" t="str">
        <f>IF(
    OR(ISBLANK(moras[[#This Row],[TIPO_ASEGURAMIENTO]]), moras[[#This Row],[TIPO_ASEGURAMIENTO]]=""),
    EDA!$A$32,
    moras[[#This Row],[TIPO_ASEGURAMIENTO]]
)</f>
        <v>ASALARIADO</v>
      </c>
    </row>
    <row r="4182" spans="1:16" x14ac:dyDescent="0.3">
      <c r="A4182">
        <v>4181</v>
      </c>
      <c r="B4182" t="s">
        <v>9</v>
      </c>
      <c r="C4182">
        <v>41749372</v>
      </c>
      <c r="D4182" t="s">
        <v>10</v>
      </c>
      <c r="E4182" t="s">
        <v>16</v>
      </c>
      <c r="F4182" t="s">
        <v>12</v>
      </c>
      <c r="G4182" t="s">
        <v>12</v>
      </c>
      <c r="H4182" t="s">
        <v>13</v>
      </c>
      <c r="I4182">
        <v>57</v>
      </c>
      <c r="J4182">
        <f>ABS((I4182-EDA!$A$15)/EDA!$B$15)</f>
        <v>1.0600702640157798</v>
      </c>
      <c r="K4182" t="str">
        <f t="shared" si="65"/>
        <v>No</v>
      </c>
      <c r="L4182">
        <f>ABS((C4182-EDA!$F$15)/EDA!$G$15)</f>
        <v>0.31908504926310116</v>
      </c>
      <c r="M4182" t="str">
        <f>IF(moras[[#This Row],[Z-Score Salario]]&gt;1.96, "Sí", "No")</f>
        <v>No</v>
      </c>
      <c r="N4182" s="14">
        <f>IF(ISBLANK(moras[[#This Row],[SALARIO]]), EDA!$M$8, moras[[#This Row],[SALARIO]])</f>
        <v>41749372</v>
      </c>
      <c r="O4182" s="14">
        <f xml:space="preserve"> IF(ISBLANK(moras[[#This Row],[EDAD]]), EDA!$E$8, moras[[#This Row],[EDAD]])</f>
        <v>57</v>
      </c>
      <c r="P4182" s="14" t="str">
        <f>IF(
    OR(ISBLANK(moras[[#This Row],[TIPO_ASEGURAMIENTO]]), moras[[#This Row],[TIPO_ASEGURAMIENTO]]=""),
    EDA!$A$32,
    moras[[#This Row],[TIPO_ASEGURAMIENTO]]
)</f>
        <v>ASALARIADO</v>
      </c>
    </row>
    <row r="4183" spans="1:16" x14ac:dyDescent="0.3">
      <c r="A4183">
        <v>4182</v>
      </c>
      <c r="B4183" t="s">
        <v>9</v>
      </c>
      <c r="C4183">
        <v>1709162</v>
      </c>
      <c r="D4183" t="s">
        <v>10</v>
      </c>
      <c r="E4183" t="s">
        <v>11</v>
      </c>
      <c r="F4183" t="s">
        <v>12</v>
      </c>
      <c r="G4183" t="s">
        <v>13</v>
      </c>
      <c r="H4183" t="s">
        <v>12</v>
      </c>
      <c r="I4183">
        <v>45</v>
      </c>
      <c r="J4183">
        <f>ABS((I4183-EDA!$A$15)/EDA!$B$15)</f>
        <v>0.21316630309012977</v>
      </c>
      <c r="K4183" t="str">
        <f t="shared" si="65"/>
        <v>No</v>
      </c>
      <c r="L4183">
        <f>ABS((C4183-EDA!$F$15)/EDA!$G$15)</f>
        <v>0.34721231000951536</v>
      </c>
      <c r="M4183" t="str">
        <f>IF(moras[[#This Row],[Z-Score Salario]]&gt;1.96, "Sí", "No")</f>
        <v>No</v>
      </c>
      <c r="N4183" s="14">
        <f>IF(ISBLANK(moras[[#This Row],[SALARIO]]), EDA!$M$8, moras[[#This Row],[SALARIO]])</f>
        <v>1709162</v>
      </c>
      <c r="O4183" s="14">
        <f xml:space="preserve"> IF(ISBLANK(moras[[#This Row],[EDAD]]), EDA!$E$8, moras[[#This Row],[EDAD]])</f>
        <v>45</v>
      </c>
      <c r="P4183" s="14" t="str">
        <f>IF(
    OR(ISBLANK(moras[[#This Row],[TIPO_ASEGURAMIENTO]]), moras[[#This Row],[TIPO_ASEGURAMIENTO]]=""),
    EDA!$A$32,
    moras[[#This Row],[TIPO_ASEGURAMIENTO]]
)</f>
        <v>ASALARIADO</v>
      </c>
    </row>
    <row r="4184" spans="1:16" x14ac:dyDescent="0.3">
      <c r="A4184">
        <v>4183</v>
      </c>
      <c r="B4184" t="s">
        <v>9</v>
      </c>
      <c r="C4184">
        <v>999555</v>
      </c>
      <c r="D4184" t="s">
        <v>10</v>
      </c>
      <c r="E4184" t="s">
        <v>11</v>
      </c>
      <c r="F4184" t="s">
        <v>12</v>
      </c>
      <c r="G4184" t="s">
        <v>13</v>
      </c>
      <c r="H4184" t="s">
        <v>13</v>
      </c>
      <c r="I4184">
        <v>35</v>
      </c>
      <c r="J4184">
        <f>ABS((I4184-EDA!$A$15)/EDA!$B$15)</f>
        <v>0.49258699768124525</v>
      </c>
      <c r="K4184" t="str">
        <f t="shared" si="65"/>
        <v>No</v>
      </c>
      <c r="L4184">
        <f>ABS((C4184-EDA!$F$15)/EDA!$G$15)</f>
        <v>0.35902067140975186</v>
      </c>
      <c r="M4184" t="str">
        <f>IF(moras[[#This Row],[Z-Score Salario]]&gt;1.96, "Sí", "No")</f>
        <v>No</v>
      </c>
      <c r="N4184" s="14">
        <f>IF(ISBLANK(moras[[#This Row],[SALARIO]]), EDA!$M$8, moras[[#This Row],[SALARIO]])</f>
        <v>999555</v>
      </c>
      <c r="O4184" s="14">
        <f xml:space="preserve"> IF(ISBLANK(moras[[#This Row],[EDAD]]), EDA!$E$8, moras[[#This Row],[EDAD]])</f>
        <v>35</v>
      </c>
      <c r="P4184" s="14" t="str">
        <f>IF(
    OR(ISBLANK(moras[[#This Row],[TIPO_ASEGURAMIENTO]]), moras[[#This Row],[TIPO_ASEGURAMIENTO]]=""),
    EDA!$A$32,
    moras[[#This Row],[TIPO_ASEGURAMIENTO]]
)</f>
        <v>ASALARIADO</v>
      </c>
    </row>
    <row r="4185" spans="1:16" x14ac:dyDescent="0.3">
      <c r="A4185">
        <v>4184</v>
      </c>
      <c r="B4185" t="s">
        <v>9</v>
      </c>
      <c r="C4185">
        <v>54692674</v>
      </c>
      <c r="D4185" t="s">
        <v>10</v>
      </c>
      <c r="E4185" t="s">
        <v>16</v>
      </c>
      <c r="F4185" t="s">
        <v>12</v>
      </c>
      <c r="G4185" t="s">
        <v>13</v>
      </c>
      <c r="H4185" t="s">
        <v>13</v>
      </c>
      <c r="I4185">
        <v>28</v>
      </c>
      <c r="J4185">
        <f>ABS((I4185-EDA!$A$15)/EDA!$B$15)</f>
        <v>0.98661430822120777</v>
      </c>
      <c r="K4185" t="str">
        <f t="shared" si="65"/>
        <v>No</v>
      </c>
      <c r="L4185">
        <f>ABS((C4185-EDA!$F$15)/EDA!$G$15)</f>
        <v>0.53447073137785472</v>
      </c>
      <c r="M4185" t="str">
        <f>IF(moras[[#This Row],[Z-Score Salario]]&gt;1.96, "Sí", "No")</f>
        <v>No</v>
      </c>
      <c r="N4185" s="14">
        <f>IF(ISBLANK(moras[[#This Row],[SALARIO]]), EDA!$M$8, moras[[#This Row],[SALARIO]])</f>
        <v>54692674</v>
      </c>
      <c r="O4185" s="14">
        <f xml:space="preserve"> IF(ISBLANK(moras[[#This Row],[EDAD]]), EDA!$E$8, moras[[#This Row],[EDAD]])</f>
        <v>28</v>
      </c>
      <c r="P4185" s="14" t="str">
        <f>IF(
    OR(ISBLANK(moras[[#This Row],[TIPO_ASEGURAMIENTO]]), moras[[#This Row],[TIPO_ASEGURAMIENTO]]=""),
    EDA!$A$32,
    moras[[#This Row],[TIPO_ASEGURAMIENTO]]
)</f>
        <v>ASALARIADO</v>
      </c>
    </row>
    <row r="4186" spans="1:16" x14ac:dyDescent="0.3">
      <c r="A4186">
        <v>4185</v>
      </c>
      <c r="B4186" t="s">
        <v>9</v>
      </c>
      <c r="C4186">
        <v>2000000</v>
      </c>
      <c r="D4186" t="s">
        <v>10</v>
      </c>
      <c r="E4186" t="s">
        <v>16</v>
      </c>
      <c r="F4186" t="s">
        <v>12</v>
      </c>
      <c r="G4186" t="s">
        <v>13</v>
      </c>
      <c r="H4186" t="s">
        <v>13</v>
      </c>
      <c r="I4186">
        <v>39</v>
      </c>
      <c r="J4186">
        <f>ABS((I4186-EDA!$A$15)/EDA!$B$15)</f>
        <v>0.21028567737269524</v>
      </c>
      <c r="K4186" t="str">
        <f t="shared" si="65"/>
        <v>No</v>
      </c>
      <c r="L4186">
        <f>ABS((C4186-EDA!$F$15)/EDA!$G$15)</f>
        <v>0.34237256038342373</v>
      </c>
      <c r="M4186" t="str">
        <f>IF(moras[[#This Row],[Z-Score Salario]]&gt;1.96, "Sí", "No")</f>
        <v>No</v>
      </c>
      <c r="N4186" s="14">
        <f>IF(ISBLANK(moras[[#This Row],[SALARIO]]), EDA!$M$8, moras[[#This Row],[SALARIO]])</f>
        <v>2000000</v>
      </c>
      <c r="O4186" s="14">
        <f xml:space="preserve"> IF(ISBLANK(moras[[#This Row],[EDAD]]), EDA!$E$8, moras[[#This Row],[EDAD]])</f>
        <v>39</v>
      </c>
      <c r="P4186" s="14" t="str">
        <f>IF(
    OR(ISBLANK(moras[[#This Row],[TIPO_ASEGURAMIENTO]]), moras[[#This Row],[TIPO_ASEGURAMIENTO]]=""),
    EDA!$A$32,
    moras[[#This Row],[TIPO_ASEGURAMIENTO]]
)</f>
        <v>ASALARIADO</v>
      </c>
    </row>
    <row r="4187" spans="1:16" x14ac:dyDescent="0.3">
      <c r="A4187">
        <v>4186</v>
      </c>
      <c r="B4187" t="s">
        <v>9</v>
      </c>
      <c r="C4187">
        <v>674614</v>
      </c>
      <c r="D4187" t="s">
        <v>10</v>
      </c>
      <c r="E4187" t="s">
        <v>11</v>
      </c>
      <c r="F4187" t="s">
        <v>12</v>
      </c>
      <c r="G4187" t="s">
        <v>13</v>
      </c>
      <c r="H4187" t="s">
        <v>13</v>
      </c>
      <c r="I4187">
        <v>61</v>
      </c>
      <c r="J4187">
        <f>ABS((I4187-EDA!$A$15)/EDA!$B$15)</f>
        <v>1.3423715843243298</v>
      </c>
      <c r="K4187" t="str">
        <f t="shared" si="65"/>
        <v>No</v>
      </c>
      <c r="L4187">
        <f>ABS((C4187-EDA!$F$15)/EDA!$G$15)</f>
        <v>0.36442791902956712</v>
      </c>
      <c r="M4187" t="str">
        <f>IF(moras[[#This Row],[Z-Score Salario]]&gt;1.96, "Sí", "No")</f>
        <v>No</v>
      </c>
      <c r="N4187" s="14">
        <f>IF(ISBLANK(moras[[#This Row],[SALARIO]]), EDA!$M$8, moras[[#This Row],[SALARIO]])</f>
        <v>674614</v>
      </c>
      <c r="O4187" s="14">
        <f xml:space="preserve"> IF(ISBLANK(moras[[#This Row],[EDAD]]), EDA!$E$8, moras[[#This Row],[EDAD]])</f>
        <v>61</v>
      </c>
      <c r="P4187" s="14" t="str">
        <f>IF(
    OR(ISBLANK(moras[[#This Row],[TIPO_ASEGURAMIENTO]]), moras[[#This Row],[TIPO_ASEGURAMIENTO]]=""),
    EDA!$A$32,
    moras[[#This Row],[TIPO_ASEGURAMIENTO]]
)</f>
        <v>ASALARIADO</v>
      </c>
    </row>
    <row r="4188" spans="1:16" x14ac:dyDescent="0.3">
      <c r="A4188">
        <v>4187</v>
      </c>
      <c r="B4188" t="s">
        <v>9</v>
      </c>
      <c r="C4188">
        <v>358876</v>
      </c>
      <c r="D4188" t="s">
        <v>10</v>
      </c>
      <c r="E4188" t="s">
        <v>16</v>
      </c>
      <c r="F4188" t="s">
        <v>12</v>
      </c>
      <c r="G4188" t="s">
        <v>13</v>
      </c>
      <c r="H4188" t="s">
        <v>13</v>
      </c>
      <c r="I4188">
        <v>28</v>
      </c>
      <c r="J4188">
        <f>ABS((I4188-EDA!$A$15)/EDA!$B$15)</f>
        <v>0.98661430822120777</v>
      </c>
      <c r="K4188" t="str">
        <f t="shared" si="65"/>
        <v>No</v>
      </c>
      <c r="L4188">
        <f>ABS((C4188-EDA!$F$15)/EDA!$G$15)</f>
        <v>0.36968202223287244</v>
      </c>
      <c r="M4188" t="str">
        <f>IF(moras[[#This Row],[Z-Score Salario]]&gt;1.96, "Sí", "No")</f>
        <v>No</v>
      </c>
      <c r="N4188" s="14">
        <f>IF(ISBLANK(moras[[#This Row],[SALARIO]]), EDA!$M$8, moras[[#This Row],[SALARIO]])</f>
        <v>358876</v>
      </c>
      <c r="O4188" s="14">
        <f xml:space="preserve"> IF(ISBLANK(moras[[#This Row],[EDAD]]), EDA!$E$8, moras[[#This Row],[EDAD]])</f>
        <v>28</v>
      </c>
      <c r="P4188" s="14" t="str">
        <f>IF(
    OR(ISBLANK(moras[[#This Row],[TIPO_ASEGURAMIENTO]]), moras[[#This Row],[TIPO_ASEGURAMIENTO]]=""),
    EDA!$A$32,
    moras[[#This Row],[TIPO_ASEGURAMIENTO]]
)</f>
        <v>ASALARIADO</v>
      </c>
    </row>
    <row r="4189" spans="1:16" x14ac:dyDescent="0.3">
      <c r="A4189">
        <v>4188</v>
      </c>
      <c r="B4189" t="s">
        <v>9</v>
      </c>
      <c r="C4189">
        <v>8864782</v>
      </c>
      <c r="D4189" t="s">
        <v>10</v>
      </c>
      <c r="E4189" t="s">
        <v>11</v>
      </c>
      <c r="F4189" t="s">
        <v>12</v>
      </c>
      <c r="G4189" t="s">
        <v>13</v>
      </c>
      <c r="H4189" t="s">
        <v>13</v>
      </c>
      <c r="I4189">
        <v>35</v>
      </c>
      <c r="J4189">
        <f>ABS((I4189-EDA!$A$15)/EDA!$B$15)</f>
        <v>0.49258699768124525</v>
      </c>
      <c r="K4189" t="str">
        <f t="shared" si="65"/>
        <v>No</v>
      </c>
      <c r="L4189">
        <f>ABS((C4189-EDA!$F$15)/EDA!$G$15)</f>
        <v>0.22813774197007899</v>
      </c>
      <c r="M4189" t="str">
        <f>IF(moras[[#This Row],[Z-Score Salario]]&gt;1.96, "Sí", "No")</f>
        <v>No</v>
      </c>
      <c r="N4189" s="14">
        <f>IF(ISBLANK(moras[[#This Row],[SALARIO]]), EDA!$M$8, moras[[#This Row],[SALARIO]])</f>
        <v>8864782</v>
      </c>
      <c r="O4189" s="14">
        <f xml:space="preserve"> IF(ISBLANK(moras[[#This Row],[EDAD]]), EDA!$E$8, moras[[#This Row],[EDAD]])</f>
        <v>35</v>
      </c>
      <c r="P4189" s="14" t="str">
        <f>IF(
    OR(ISBLANK(moras[[#This Row],[TIPO_ASEGURAMIENTO]]), moras[[#This Row],[TIPO_ASEGURAMIENTO]]=""),
    EDA!$A$32,
    moras[[#This Row],[TIPO_ASEGURAMIENTO]]
)</f>
        <v>ASALARIADO</v>
      </c>
    </row>
    <row r="4190" spans="1:16" x14ac:dyDescent="0.3">
      <c r="A4190">
        <v>4189</v>
      </c>
      <c r="B4190" t="s">
        <v>9</v>
      </c>
      <c r="C4190">
        <v>540083</v>
      </c>
      <c r="D4190" t="s">
        <v>18</v>
      </c>
      <c r="E4190" t="s">
        <v>16</v>
      </c>
      <c r="F4190" t="s">
        <v>12</v>
      </c>
      <c r="G4190" t="s">
        <v>12</v>
      </c>
      <c r="H4190" t="s">
        <v>12</v>
      </c>
      <c r="I4190">
        <v>47</v>
      </c>
      <c r="J4190">
        <f>ABS((I4190-EDA!$A$15)/EDA!$B$15)</f>
        <v>0.35431696324440481</v>
      </c>
      <c r="K4190" t="str">
        <f t="shared" si="65"/>
        <v>No</v>
      </c>
      <c r="L4190">
        <f>ABS((C4190-EDA!$F$15)/EDA!$G$15)</f>
        <v>0.3666666098366409</v>
      </c>
      <c r="M4190" t="str">
        <f>IF(moras[[#This Row],[Z-Score Salario]]&gt;1.96, "Sí", "No")</f>
        <v>No</v>
      </c>
      <c r="N4190" s="14">
        <f>IF(ISBLANK(moras[[#This Row],[SALARIO]]), EDA!$M$8, moras[[#This Row],[SALARIO]])</f>
        <v>540083</v>
      </c>
      <c r="O4190" s="14">
        <f xml:space="preserve"> IF(ISBLANK(moras[[#This Row],[EDAD]]), EDA!$E$8, moras[[#This Row],[EDAD]])</f>
        <v>47</v>
      </c>
      <c r="P4190" s="14" t="str">
        <f>IF(
    OR(ISBLANK(moras[[#This Row],[TIPO_ASEGURAMIENTO]]), moras[[#This Row],[TIPO_ASEGURAMIENTO]]=""),
    EDA!$A$32,
    moras[[#This Row],[TIPO_ASEGURAMIENTO]]
)</f>
        <v>TRABAJADOR INDEPENDIENTE</v>
      </c>
    </row>
    <row r="4191" spans="1:16" x14ac:dyDescent="0.3">
      <c r="A4191">
        <v>4190</v>
      </c>
      <c r="B4191" t="s">
        <v>15</v>
      </c>
      <c r="C4191">
        <v>48303791</v>
      </c>
      <c r="D4191" t="s">
        <v>14</v>
      </c>
      <c r="E4191" t="s">
        <v>11</v>
      </c>
      <c r="F4191" t="s">
        <v>12</v>
      </c>
      <c r="G4191" t="s">
        <v>13</v>
      </c>
      <c r="H4191" t="s">
        <v>13</v>
      </c>
      <c r="I4191">
        <v>84</v>
      </c>
      <c r="J4191">
        <f>ABS((I4191-EDA!$A$15)/EDA!$B$15)</f>
        <v>2.9656041760984926</v>
      </c>
      <c r="K4191" t="str">
        <f t="shared" si="65"/>
        <v>Sí</v>
      </c>
      <c r="L4191">
        <f>ABS((C4191-EDA!$F$15)/EDA!$G$15)</f>
        <v>0.42815520826741871</v>
      </c>
      <c r="M4191" t="str">
        <f>IF(moras[[#This Row],[Z-Score Salario]]&gt;1.96, "Sí", "No")</f>
        <v>No</v>
      </c>
      <c r="N4191" s="14">
        <f>IF(ISBLANK(moras[[#This Row],[SALARIO]]), EDA!$M$8, moras[[#This Row],[SALARIO]])</f>
        <v>48303791</v>
      </c>
      <c r="O4191" s="14">
        <f xml:space="preserve"> IF(ISBLANK(moras[[#This Row],[EDAD]]), EDA!$E$8, moras[[#This Row],[EDAD]])</f>
        <v>84</v>
      </c>
      <c r="P4191" s="14" t="str">
        <f>IF(
    OR(ISBLANK(moras[[#This Row],[TIPO_ASEGURAMIENTO]]), moras[[#This Row],[TIPO_ASEGURAMIENTO]]=""),
    EDA!$A$32,
    moras[[#This Row],[TIPO_ASEGURAMIENTO]]
)</f>
        <v>PENSIONADOS EN SU PROPIO SISTEMA</v>
      </c>
    </row>
    <row r="4192" spans="1:16" x14ac:dyDescent="0.3">
      <c r="A4192">
        <v>4191</v>
      </c>
      <c r="B4192" t="s">
        <v>15</v>
      </c>
      <c r="C4192">
        <v>385548</v>
      </c>
      <c r="D4192" t="s">
        <v>18</v>
      </c>
      <c r="E4192" t="s">
        <v>16</v>
      </c>
      <c r="F4192" t="s">
        <v>12</v>
      </c>
      <c r="G4192" t="s">
        <v>13</v>
      </c>
      <c r="H4192" t="s">
        <v>13</v>
      </c>
      <c r="I4192">
        <v>62</v>
      </c>
      <c r="J4192">
        <f>ABS((I4192-EDA!$A$15)/EDA!$B$15)</f>
        <v>1.4129469144014672</v>
      </c>
      <c r="K4192" t="str">
        <f t="shared" si="65"/>
        <v>No</v>
      </c>
      <c r="L4192">
        <f>ABS((C4192-EDA!$F$15)/EDA!$G$15)</f>
        <v>0.36923818132478231</v>
      </c>
      <c r="M4192" t="str">
        <f>IF(moras[[#This Row],[Z-Score Salario]]&gt;1.96, "Sí", "No")</f>
        <v>No</v>
      </c>
      <c r="N4192" s="14">
        <f>IF(ISBLANK(moras[[#This Row],[SALARIO]]), EDA!$M$8, moras[[#This Row],[SALARIO]])</f>
        <v>385548</v>
      </c>
      <c r="O4192" s="14">
        <f xml:space="preserve"> IF(ISBLANK(moras[[#This Row],[EDAD]]), EDA!$E$8, moras[[#This Row],[EDAD]])</f>
        <v>62</v>
      </c>
      <c r="P4192" s="14" t="str">
        <f>IF(
    OR(ISBLANK(moras[[#This Row],[TIPO_ASEGURAMIENTO]]), moras[[#This Row],[TIPO_ASEGURAMIENTO]]=""),
    EDA!$A$32,
    moras[[#This Row],[TIPO_ASEGURAMIENTO]]
)</f>
        <v>TRABAJADOR INDEPENDIENTE</v>
      </c>
    </row>
    <row r="4193" spans="1:16" x14ac:dyDescent="0.3">
      <c r="A4193">
        <v>4192</v>
      </c>
      <c r="B4193" t="s">
        <v>9</v>
      </c>
      <c r="C4193">
        <v>28707151</v>
      </c>
      <c r="D4193" t="s">
        <v>10</v>
      </c>
      <c r="E4193" t="s">
        <v>11</v>
      </c>
      <c r="F4193" t="s">
        <v>12</v>
      </c>
      <c r="G4193" t="s">
        <v>13</v>
      </c>
      <c r="H4193" t="s">
        <v>13</v>
      </c>
      <c r="I4193">
        <v>57</v>
      </c>
      <c r="J4193">
        <f>ABS((I4193-EDA!$A$15)/EDA!$B$15)</f>
        <v>1.0600702640157798</v>
      </c>
      <c r="K4193" t="str">
        <f t="shared" si="65"/>
        <v>No</v>
      </c>
      <c r="L4193">
        <f>ABS((C4193-EDA!$F$15)/EDA!$G$15)</f>
        <v>0.102053285160219</v>
      </c>
      <c r="M4193" t="str">
        <f>IF(moras[[#This Row],[Z-Score Salario]]&gt;1.96, "Sí", "No")</f>
        <v>No</v>
      </c>
      <c r="N4193" s="14">
        <f>IF(ISBLANK(moras[[#This Row],[SALARIO]]), EDA!$M$8, moras[[#This Row],[SALARIO]])</f>
        <v>28707151</v>
      </c>
      <c r="O4193" s="14">
        <f xml:space="preserve"> IF(ISBLANK(moras[[#This Row],[EDAD]]), EDA!$E$8, moras[[#This Row],[EDAD]])</f>
        <v>57</v>
      </c>
      <c r="P4193" s="14" t="str">
        <f>IF(
    OR(ISBLANK(moras[[#This Row],[TIPO_ASEGURAMIENTO]]), moras[[#This Row],[TIPO_ASEGURAMIENTO]]=""),
    EDA!$A$32,
    moras[[#This Row],[TIPO_ASEGURAMIENTO]]
)</f>
        <v>ASALARIADO</v>
      </c>
    </row>
    <row r="4194" spans="1:16" x14ac:dyDescent="0.3">
      <c r="A4194">
        <v>4193</v>
      </c>
      <c r="B4194" t="s">
        <v>15</v>
      </c>
      <c r="C4194">
        <v>297044</v>
      </c>
      <c r="D4194" t="s">
        <v>19</v>
      </c>
      <c r="E4194" t="s">
        <v>16</v>
      </c>
      <c r="F4194" t="s">
        <v>12</v>
      </c>
      <c r="G4194" t="s">
        <v>13</v>
      </c>
      <c r="H4194" t="s">
        <v>13</v>
      </c>
      <c r="I4194">
        <v>55</v>
      </c>
      <c r="J4194">
        <f>ABS((I4194-EDA!$A$15)/EDA!$B$15)</f>
        <v>0.91891960386150484</v>
      </c>
      <c r="K4194" t="str">
        <f t="shared" si="65"/>
        <v>No</v>
      </c>
      <c r="L4194">
        <f>ABS((C4194-EDA!$F$15)/EDA!$G$15)</f>
        <v>0.3707109503608354</v>
      </c>
      <c r="M4194" t="str">
        <f>IF(moras[[#This Row],[Z-Score Salario]]&gt;1.96, "Sí", "No")</f>
        <v>No</v>
      </c>
      <c r="N4194" s="14">
        <f>IF(ISBLANK(moras[[#This Row],[SALARIO]]), EDA!$M$8, moras[[#This Row],[SALARIO]])</f>
        <v>297044</v>
      </c>
      <c r="O4194" s="14">
        <f xml:space="preserve"> IF(ISBLANK(moras[[#This Row],[EDAD]]), EDA!$E$8, moras[[#This Row],[EDAD]])</f>
        <v>55</v>
      </c>
      <c r="P4194" s="14" t="str">
        <f>IF(
    OR(ISBLANK(moras[[#This Row],[TIPO_ASEGURAMIENTO]]), moras[[#This Row],[TIPO_ASEGURAMIENTO]]=""),
    EDA!$A$32,
    moras[[#This Row],[TIPO_ASEGURAMIENTO]]
)</f>
        <v>CONVENIOS ESPECIALES DE TRABAJADORES INDEPENDIENTES</v>
      </c>
    </row>
    <row r="4195" spans="1:16" x14ac:dyDescent="0.3">
      <c r="A4195">
        <v>4194</v>
      </c>
      <c r="B4195" t="s">
        <v>15</v>
      </c>
      <c r="C4195">
        <v>302470</v>
      </c>
      <c r="D4195" t="s">
        <v>18</v>
      </c>
      <c r="E4195" t="s">
        <v>16</v>
      </c>
      <c r="F4195" t="s">
        <v>12</v>
      </c>
      <c r="G4195" t="s">
        <v>13</v>
      </c>
      <c r="H4195" t="s">
        <v>13</v>
      </c>
      <c r="I4195">
        <v>24</v>
      </c>
      <c r="J4195">
        <f>ABS((I4195-EDA!$A$15)/EDA!$B$15)</f>
        <v>1.2689156285297578</v>
      </c>
      <c r="K4195" t="str">
        <f t="shared" si="65"/>
        <v>No</v>
      </c>
      <c r="L4195">
        <f>ABS((C4195-EDA!$F$15)/EDA!$G$15)</f>
        <v>0.37062065789055582</v>
      </c>
      <c r="M4195" t="str">
        <f>IF(moras[[#This Row],[Z-Score Salario]]&gt;1.96, "Sí", "No")</f>
        <v>No</v>
      </c>
      <c r="N4195" s="14">
        <f>IF(ISBLANK(moras[[#This Row],[SALARIO]]), EDA!$M$8, moras[[#This Row],[SALARIO]])</f>
        <v>302470</v>
      </c>
      <c r="O4195" s="14">
        <f xml:space="preserve"> IF(ISBLANK(moras[[#This Row],[EDAD]]), EDA!$E$8, moras[[#This Row],[EDAD]])</f>
        <v>24</v>
      </c>
      <c r="P4195" s="14" t="str">
        <f>IF(
    OR(ISBLANK(moras[[#This Row],[TIPO_ASEGURAMIENTO]]), moras[[#This Row],[TIPO_ASEGURAMIENTO]]=""),
    EDA!$A$32,
    moras[[#This Row],[TIPO_ASEGURAMIENTO]]
)</f>
        <v>TRABAJADOR INDEPENDIENTE</v>
      </c>
    </row>
    <row r="4196" spans="1:16" x14ac:dyDescent="0.3">
      <c r="A4196">
        <v>4195</v>
      </c>
      <c r="B4196" t="s">
        <v>15</v>
      </c>
      <c r="C4196">
        <v>297045</v>
      </c>
      <c r="D4196" t="s">
        <v>18</v>
      </c>
      <c r="E4196" t="s">
        <v>16</v>
      </c>
      <c r="F4196" t="s">
        <v>12</v>
      </c>
      <c r="G4196" t="s">
        <v>13</v>
      </c>
      <c r="H4196" t="s">
        <v>13</v>
      </c>
      <c r="I4196">
        <v>63</v>
      </c>
      <c r="J4196">
        <f>ABS((I4196-EDA!$A$15)/EDA!$B$15)</f>
        <v>1.4835222444786049</v>
      </c>
      <c r="K4196" t="str">
        <f t="shared" si="65"/>
        <v>No</v>
      </c>
      <c r="L4196">
        <f>ABS((C4196-EDA!$F$15)/EDA!$G$15)</f>
        <v>0.37071093372012948</v>
      </c>
      <c r="M4196" t="str">
        <f>IF(moras[[#This Row],[Z-Score Salario]]&gt;1.96, "Sí", "No")</f>
        <v>No</v>
      </c>
      <c r="N4196" s="14">
        <f>IF(ISBLANK(moras[[#This Row],[SALARIO]]), EDA!$M$8, moras[[#This Row],[SALARIO]])</f>
        <v>297045</v>
      </c>
      <c r="O4196" s="14">
        <f xml:space="preserve"> IF(ISBLANK(moras[[#This Row],[EDAD]]), EDA!$E$8, moras[[#This Row],[EDAD]])</f>
        <v>63</v>
      </c>
      <c r="P4196" s="14" t="str">
        <f>IF(
    OR(ISBLANK(moras[[#This Row],[TIPO_ASEGURAMIENTO]]), moras[[#This Row],[TIPO_ASEGURAMIENTO]]=""),
    EDA!$A$32,
    moras[[#This Row],[TIPO_ASEGURAMIENTO]]
)</f>
        <v>TRABAJADOR INDEPENDIENTE</v>
      </c>
    </row>
    <row r="4197" spans="1:16" x14ac:dyDescent="0.3">
      <c r="A4197">
        <v>4196</v>
      </c>
      <c r="B4197" t="s">
        <v>15</v>
      </c>
      <c r="C4197">
        <v>441000</v>
      </c>
      <c r="D4197" t="s">
        <v>10</v>
      </c>
      <c r="E4197" t="s">
        <v>16</v>
      </c>
      <c r="F4197" t="s">
        <v>12</v>
      </c>
      <c r="G4197" t="s">
        <v>13</v>
      </c>
      <c r="H4197" t="s">
        <v>13</v>
      </c>
      <c r="I4197">
        <v>22</v>
      </c>
      <c r="J4197">
        <f>ABS((I4197-EDA!$A$15)/EDA!$B$15)</f>
        <v>1.4100662886840327</v>
      </c>
      <c r="K4197" t="str">
        <f t="shared" si="65"/>
        <v>No</v>
      </c>
      <c r="L4197">
        <f>ABS((C4197-EDA!$F$15)/EDA!$G$15)</f>
        <v>0.36831542090053915</v>
      </c>
      <c r="M4197" t="str">
        <f>IF(moras[[#This Row],[Z-Score Salario]]&gt;1.96, "Sí", "No")</f>
        <v>No</v>
      </c>
      <c r="N4197" s="14">
        <f>IF(ISBLANK(moras[[#This Row],[SALARIO]]), EDA!$M$8, moras[[#This Row],[SALARIO]])</f>
        <v>441000</v>
      </c>
      <c r="O4197" s="14">
        <f xml:space="preserve"> IF(ISBLANK(moras[[#This Row],[EDAD]]), EDA!$E$8, moras[[#This Row],[EDAD]])</f>
        <v>22</v>
      </c>
      <c r="P4197" s="14" t="str">
        <f>IF(
    OR(ISBLANK(moras[[#This Row],[TIPO_ASEGURAMIENTO]]), moras[[#This Row],[TIPO_ASEGURAMIENTO]]=""),
    EDA!$A$32,
    moras[[#This Row],[TIPO_ASEGURAMIENTO]]
)</f>
        <v>ASALARIADO</v>
      </c>
    </row>
    <row r="4198" spans="1:16" x14ac:dyDescent="0.3">
      <c r="A4198">
        <v>4197</v>
      </c>
      <c r="B4198" t="s">
        <v>15</v>
      </c>
      <c r="C4198">
        <v>181917</v>
      </c>
      <c r="D4198" t="s">
        <v>10</v>
      </c>
      <c r="E4198" t="s">
        <v>16</v>
      </c>
      <c r="F4198" t="s">
        <v>12</v>
      </c>
      <c r="G4198" t="s">
        <v>13</v>
      </c>
      <c r="H4198" t="s">
        <v>13</v>
      </c>
      <c r="I4198">
        <v>53</v>
      </c>
      <c r="J4198">
        <f>ABS((I4198-EDA!$A$15)/EDA!$B$15)</f>
        <v>0.77776894370722982</v>
      </c>
      <c r="K4198" t="str">
        <f t="shared" si="65"/>
        <v>No</v>
      </c>
      <c r="L4198">
        <f>ABS((C4198-EDA!$F$15)/EDA!$G$15)</f>
        <v>0.37262674491038894</v>
      </c>
      <c r="M4198" t="str">
        <f>IF(moras[[#This Row],[Z-Score Salario]]&gt;1.96, "Sí", "No")</f>
        <v>No</v>
      </c>
      <c r="N4198" s="14">
        <f>IF(ISBLANK(moras[[#This Row],[SALARIO]]), EDA!$M$8, moras[[#This Row],[SALARIO]])</f>
        <v>181917</v>
      </c>
      <c r="O4198" s="14">
        <f xml:space="preserve"> IF(ISBLANK(moras[[#This Row],[EDAD]]), EDA!$E$8, moras[[#This Row],[EDAD]])</f>
        <v>53</v>
      </c>
      <c r="P4198" s="14" t="str">
        <f>IF(
    OR(ISBLANK(moras[[#This Row],[TIPO_ASEGURAMIENTO]]), moras[[#This Row],[TIPO_ASEGURAMIENTO]]=""),
    EDA!$A$32,
    moras[[#This Row],[TIPO_ASEGURAMIENTO]]
)</f>
        <v>ASALARIADO</v>
      </c>
    </row>
    <row r="4199" spans="1:16" x14ac:dyDescent="0.3">
      <c r="A4199">
        <v>4198</v>
      </c>
      <c r="B4199" t="s">
        <v>9</v>
      </c>
      <c r="C4199">
        <v>297045</v>
      </c>
      <c r="D4199" t="s">
        <v>18</v>
      </c>
      <c r="E4199" t="s">
        <v>16</v>
      </c>
      <c r="F4199" t="s">
        <v>12</v>
      </c>
      <c r="G4199" t="s">
        <v>13</v>
      </c>
      <c r="H4199" t="s">
        <v>13</v>
      </c>
      <c r="I4199">
        <v>34</v>
      </c>
      <c r="J4199">
        <f>ABS((I4199-EDA!$A$15)/EDA!$B$15)</f>
        <v>0.56316232775838282</v>
      </c>
      <c r="K4199" t="str">
        <f t="shared" si="65"/>
        <v>No</v>
      </c>
      <c r="L4199">
        <f>ABS((C4199-EDA!$F$15)/EDA!$G$15)</f>
        <v>0.37071093372012948</v>
      </c>
      <c r="M4199" t="str">
        <f>IF(moras[[#This Row],[Z-Score Salario]]&gt;1.96, "Sí", "No")</f>
        <v>No</v>
      </c>
      <c r="N4199" s="14">
        <f>IF(ISBLANK(moras[[#This Row],[SALARIO]]), EDA!$M$8, moras[[#This Row],[SALARIO]])</f>
        <v>297045</v>
      </c>
      <c r="O4199" s="14">
        <f xml:space="preserve"> IF(ISBLANK(moras[[#This Row],[EDAD]]), EDA!$E$8, moras[[#This Row],[EDAD]])</f>
        <v>34</v>
      </c>
      <c r="P4199" s="14" t="str">
        <f>IF(
    OR(ISBLANK(moras[[#This Row],[TIPO_ASEGURAMIENTO]]), moras[[#This Row],[TIPO_ASEGURAMIENTO]]=""),
    EDA!$A$32,
    moras[[#This Row],[TIPO_ASEGURAMIENTO]]
)</f>
        <v>TRABAJADOR INDEPENDIENTE</v>
      </c>
    </row>
    <row r="4200" spans="1:16" x14ac:dyDescent="0.3">
      <c r="A4200">
        <v>4199</v>
      </c>
      <c r="B4200" t="s">
        <v>9</v>
      </c>
      <c r="C4200">
        <v>48664856</v>
      </c>
      <c r="D4200" t="s">
        <v>10</v>
      </c>
      <c r="E4200" t="s">
        <v>16</v>
      </c>
      <c r="F4200" t="s">
        <v>12</v>
      </c>
      <c r="G4200" t="s">
        <v>13</v>
      </c>
      <c r="H4200" t="s">
        <v>13</v>
      </c>
      <c r="I4200">
        <v>39</v>
      </c>
      <c r="J4200">
        <f>ABS((I4200-EDA!$A$15)/EDA!$B$15)</f>
        <v>0.21028567737269524</v>
      </c>
      <c r="K4200" t="str">
        <f t="shared" si="65"/>
        <v>No</v>
      </c>
      <c r="L4200">
        <f>ABS((C4200-EDA!$F$15)/EDA!$G$15)</f>
        <v>0.43416358474760619</v>
      </c>
      <c r="M4200" t="str">
        <f>IF(moras[[#This Row],[Z-Score Salario]]&gt;1.96, "Sí", "No")</f>
        <v>No</v>
      </c>
      <c r="N4200" s="14">
        <f>IF(ISBLANK(moras[[#This Row],[SALARIO]]), EDA!$M$8, moras[[#This Row],[SALARIO]])</f>
        <v>48664856</v>
      </c>
      <c r="O4200" s="14">
        <f xml:space="preserve"> IF(ISBLANK(moras[[#This Row],[EDAD]]), EDA!$E$8, moras[[#This Row],[EDAD]])</f>
        <v>39</v>
      </c>
      <c r="P4200" s="14" t="str">
        <f>IF(
    OR(ISBLANK(moras[[#This Row],[TIPO_ASEGURAMIENTO]]), moras[[#This Row],[TIPO_ASEGURAMIENTO]]=""),
    EDA!$A$32,
    moras[[#This Row],[TIPO_ASEGURAMIENTO]]
)</f>
        <v>ASALARIADO</v>
      </c>
    </row>
    <row r="4201" spans="1:16" x14ac:dyDescent="0.3">
      <c r="A4201">
        <v>4200</v>
      </c>
      <c r="B4201" t="s">
        <v>9</v>
      </c>
      <c r="C4201">
        <v>35954427</v>
      </c>
      <c r="D4201" t="s">
        <v>21</v>
      </c>
      <c r="E4201" t="s">
        <v>16</v>
      </c>
      <c r="F4201" t="s">
        <v>12</v>
      </c>
      <c r="G4201" t="s">
        <v>12</v>
      </c>
      <c r="H4201" t="s">
        <v>13</v>
      </c>
      <c r="I4201">
        <v>38</v>
      </c>
      <c r="J4201">
        <f>ABS((I4201-EDA!$A$15)/EDA!$B$15)</f>
        <v>0.28086100744983278</v>
      </c>
      <c r="K4201" t="str">
        <f t="shared" si="65"/>
        <v>No</v>
      </c>
      <c r="L4201">
        <f>ABS((C4201-EDA!$F$15)/EDA!$G$15)</f>
        <v>0.22265307374074372</v>
      </c>
      <c r="M4201" t="str">
        <f>IF(moras[[#This Row],[Z-Score Salario]]&gt;1.96, "Sí", "No")</f>
        <v>No</v>
      </c>
      <c r="N4201" s="14">
        <f>IF(ISBLANK(moras[[#This Row],[SALARIO]]), EDA!$M$8, moras[[#This Row],[SALARIO]])</f>
        <v>35954427</v>
      </c>
      <c r="O4201" s="14">
        <f xml:space="preserve"> IF(ISBLANK(moras[[#This Row],[EDAD]]), EDA!$E$8, moras[[#This Row],[EDAD]])</f>
        <v>38</v>
      </c>
      <c r="P4201" s="14" t="str">
        <f>IF(
    OR(ISBLANK(moras[[#This Row],[TIPO_ASEGURAMIENTO]]), moras[[#This Row],[TIPO_ASEGURAMIENTO]]=""),
    EDA!$A$32,
    moras[[#This Row],[TIPO_ASEGURAMIENTO]]
)</f>
        <v>CONVENIOS ESPECIALES DE ASEGURADOS VOLUNTARIOS</v>
      </c>
    </row>
    <row r="4202" spans="1:16" x14ac:dyDescent="0.3">
      <c r="A4202">
        <v>4201</v>
      </c>
      <c r="B4202" t="s">
        <v>9</v>
      </c>
      <c r="C4202">
        <v>3468974</v>
      </c>
      <c r="D4202" t="s">
        <v>10</v>
      </c>
      <c r="E4202" t="s">
        <v>16</v>
      </c>
      <c r="F4202" t="s">
        <v>12</v>
      </c>
      <c r="G4202" t="s">
        <v>13</v>
      </c>
      <c r="H4202" t="s">
        <v>13</v>
      </c>
      <c r="I4202">
        <v>21</v>
      </c>
      <c r="J4202">
        <f>ABS((I4202-EDA!$A$15)/EDA!$B$15)</f>
        <v>1.4806416187611704</v>
      </c>
      <c r="K4202" t="str">
        <f t="shared" si="65"/>
        <v>No</v>
      </c>
      <c r="L4202">
        <f>ABS((C4202-EDA!$F$15)/EDA!$G$15)</f>
        <v>0.3179277960567598</v>
      </c>
      <c r="M4202" t="str">
        <f>IF(moras[[#This Row],[Z-Score Salario]]&gt;1.96, "Sí", "No")</f>
        <v>No</v>
      </c>
      <c r="N4202" s="14">
        <f>IF(ISBLANK(moras[[#This Row],[SALARIO]]), EDA!$M$8, moras[[#This Row],[SALARIO]])</f>
        <v>3468974</v>
      </c>
      <c r="O4202" s="14">
        <f xml:space="preserve"> IF(ISBLANK(moras[[#This Row],[EDAD]]), EDA!$E$8, moras[[#This Row],[EDAD]])</f>
        <v>21</v>
      </c>
      <c r="P4202" s="14" t="str">
        <f>IF(
    OR(ISBLANK(moras[[#This Row],[TIPO_ASEGURAMIENTO]]), moras[[#This Row],[TIPO_ASEGURAMIENTO]]=""),
    EDA!$A$32,
    moras[[#This Row],[TIPO_ASEGURAMIENTO]]
)</f>
        <v>ASALARIADO</v>
      </c>
    </row>
    <row r="4203" spans="1:16" x14ac:dyDescent="0.3">
      <c r="A4203">
        <v>4202</v>
      </c>
      <c r="B4203" t="s">
        <v>15</v>
      </c>
      <c r="C4203">
        <v>278030</v>
      </c>
      <c r="D4203" t="s">
        <v>18</v>
      </c>
      <c r="E4203" t="s">
        <v>16</v>
      </c>
      <c r="F4203" t="s">
        <v>12</v>
      </c>
      <c r="G4203" t="s">
        <v>13</v>
      </c>
      <c r="H4203" t="s">
        <v>13</v>
      </c>
      <c r="I4203">
        <v>54</v>
      </c>
      <c r="J4203">
        <f>ABS((I4203-EDA!$A$15)/EDA!$B$15)</f>
        <v>0.84834427378436728</v>
      </c>
      <c r="K4203" t="str">
        <f t="shared" si="65"/>
        <v>No</v>
      </c>
      <c r="L4203">
        <f>ABS((C4203-EDA!$F$15)/EDA!$G$15)</f>
        <v>0.37102735674304993</v>
      </c>
      <c r="M4203" t="str">
        <f>IF(moras[[#This Row],[Z-Score Salario]]&gt;1.96, "Sí", "No")</f>
        <v>No</v>
      </c>
      <c r="N4203" s="14">
        <f>IF(ISBLANK(moras[[#This Row],[SALARIO]]), EDA!$M$8, moras[[#This Row],[SALARIO]])</f>
        <v>278030</v>
      </c>
      <c r="O4203" s="14">
        <f xml:space="preserve"> IF(ISBLANK(moras[[#This Row],[EDAD]]), EDA!$E$8, moras[[#This Row],[EDAD]])</f>
        <v>54</v>
      </c>
      <c r="P4203" s="14" t="str">
        <f>IF(
    OR(ISBLANK(moras[[#This Row],[TIPO_ASEGURAMIENTO]]), moras[[#This Row],[TIPO_ASEGURAMIENTO]]=""),
    EDA!$A$32,
    moras[[#This Row],[TIPO_ASEGURAMIENTO]]
)</f>
        <v>TRABAJADOR INDEPENDIENTE</v>
      </c>
    </row>
    <row r="4204" spans="1:16" x14ac:dyDescent="0.3">
      <c r="A4204">
        <v>4203</v>
      </c>
      <c r="B4204" t="s">
        <v>9</v>
      </c>
      <c r="C4204">
        <v>84672345</v>
      </c>
      <c r="D4204" t="s">
        <v>10</v>
      </c>
      <c r="E4204" t="s">
        <v>16</v>
      </c>
      <c r="F4204" t="s">
        <v>12</v>
      </c>
      <c r="G4204" t="s">
        <v>13</v>
      </c>
      <c r="H4204" t="s">
        <v>13</v>
      </c>
      <c r="I4204">
        <v>35</v>
      </c>
      <c r="J4204">
        <f>ABS((I4204-EDA!$A$15)/EDA!$B$15)</f>
        <v>0.49258699768124525</v>
      </c>
      <c r="K4204" t="str">
        <f t="shared" si="65"/>
        <v>No</v>
      </c>
      <c r="L4204">
        <f>ABS((C4204-EDA!$F$15)/EDA!$G$15)</f>
        <v>1.0333536198332809</v>
      </c>
      <c r="M4204" t="str">
        <f>IF(moras[[#This Row],[Z-Score Salario]]&gt;1.96, "Sí", "No")</f>
        <v>No</v>
      </c>
      <c r="N4204" s="14">
        <f>IF(ISBLANK(moras[[#This Row],[SALARIO]]), EDA!$M$8, moras[[#This Row],[SALARIO]])</f>
        <v>84672345</v>
      </c>
      <c r="O4204" s="14">
        <f xml:space="preserve"> IF(ISBLANK(moras[[#This Row],[EDAD]]), EDA!$E$8, moras[[#This Row],[EDAD]])</f>
        <v>35</v>
      </c>
      <c r="P4204" s="14" t="str">
        <f>IF(
    OR(ISBLANK(moras[[#This Row],[TIPO_ASEGURAMIENTO]]), moras[[#This Row],[TIPO_ASEGURAMIENTO]]=""),
    EDA!$A$32,
    moras[[#This Row],[TIPO_ASEGURAMIENTO]]
)</f>
        <v>ASALARIADO</v>
      </c>
    </row>
    <row r="4205" spans="1:16" x14ac:dyDescent="0.3">
      <c r="A4205">
        <v>4204</v>
      </c>
      <c r="B4205" t="s">
        <v>9</v>
      </c>
      <c r="C4205">
        <v>300018</v>
      </c>
      <c r="D4205" t="s">
        <v>17</v>
      </c>
      <c r="E4205" t="s">
        <v>16</v>
      </c>
      <c r="F4205" t="s">
        <v>12</v>
      </c>
      <c r="G4205" t="s">
        <v>13</v>
      </c>
      <c r="H4205" t="s">
        <v>13</v>
      </c>
      <c r="I4205">
        <v>64</v>
      </c>
      <c r="J4205">
        <f>ABS((I4205-EDA!$A$15)/EDA!$B$15)</f>
        <v>1.5540975745557424</v>
      </c>
      <c r="K4205" t="str">
        <f t="shared" si="65"/>
        <v>No</v>
      </c>
      <c r="L4205">
        <f>ABS((C4205-EDA!$F$15)/EDA!$G$15)</f>
        <v>0.37066146090145252</v>
      </c>
      <c r="M4205" t="str">
        <f>IF(moras[[#This Row],[Z-Score Salario]]&gt;1.96, "Sí", "No")</f>
        <v>No</v>
      </c>
      <c r="N4205" s="14">
        <f>IF(ISBLANK(moras[[#This Row],[SALARIO]]), EDA!$M$8, moras[[#This Row],[SALARIO]])</f>
        <v>300018</v>
      </c>
      <c r="O4205" s="14">
        <f xml:space="preserve"> IF(ISBLANK(moras[[#This Row],[EDAD]]), EDA!$E$8, moras[[#This Row],[EDAD]])</f>
        <v>64</v>
      </c>
      <c r="P4205" s="14" t="str">
        <f>IF(
    OR(ISBLANK(moras[[#This Row],[TIPO_ASEGURAMIENTO]]), moras[[#This Row],[TIPO_ASEGURAMIENTO]]=""),
    EDA!$A$32,
    moras[[#This Row],[TIPO_ASEGURAMIENTO]]
)</f>
        <v>ASEGURADO VOLUNTARIO</v>
      </c>
    </row>
    <row r="4206" spans="1:16" x14ac:dyDescent="0.3">
      <c r="A4206">
        <v>4205</v>
      </c>
      <c r="B4206" t="s">
        <v>15</v>
      </c>
      <c r="C4206">
        <v>169507</v>
      </c>
      <c r="D4206" t="s">
        <v>10</v>
      </c>
      <c r="E4206" t="s">
        <v>16</v>
      </c>
      <c r="F4206" t="s">
        <v>12</v>
      </c>
      <c r="G4206" t="s">
        <v>12</v>
      </c>
      <c r="H4206" t="s">
        <v>13</v>
      </c>
      <c r="I4206">
        <v>53</v>
      </c>
      <c r="J4206">
        <f>ABS((I4206-EDA!$A$15)/EDA!$B$15)</f>
        <v>0.77776894370722982</v>
      </c>
      <c r="K4206" t="str">
        <f t="shared" si="65"/>
        <v>No</v>
      </c>
      <c r="L4206">
        <f>ABS((C4206-EDA!$F$15)/EDA!$G$15)</f>
        <v>0.37283325607075929</v>
      </c>
      <c r="M4206" t="str">
        <f>IF(moras[[#This Row],[Z-Score Salario]]&gt;1.96, "Sí", "No")</f>
        <v>No</v>
      </c>
      <c r="N4206" s="14">
        <f>IF(ISBLANK(moras[[#This Row],[SALARIO]]), EDA!$M$8, moras[[#This Row],[SALARIO]])</f>
        <v>169507</v>
      </c>
      <c r="O4206" s="14">
        <f xml:space="preserve"> IF(ISBLANK(moras[[#This Row],[EDAD]]), EDA!$E$8, moras[[#This Row],[EDAD]])</f>
        <v>53</v>
      </c>
      <c r="P4206" s="14" t="str">
        <f>IF(
    OR(ISBLANK(moras[[#This Row],[TIPO_ASEGURAMIENTO]]), moras[[#This Row],[TIPO_ASEGURAMIENTO]]=""),
    EDA!$A$32,
    moras[[#This Row],[TIPO_ASEGURAMIENTO]]
)</f>
        <v>ASALARIADO</v>
      </c>
    </row>
    <row r="4207" spans="1:16" x14ac:dyDescent="0.3">
      <c r="A4207">
        <v>4206</v>
      </c>
      <c r="B4207" t="s">
        <v>9</v>
      </c>
      <c r="C4207">
        <v>302982</v>
      </c>
      <c r="D4207" t="s">
        <v>18</v>
      </c>
      <c r="E4207" t="s">
        <v>16</v>
      </c>
      <c r="F4207" t="s">
        <v>12</v>
      </c>
      <c r="G4207" t="s">
        <v>13</v>
      </c>
      <c r="H4207" t="s">
        <v>13</v>
      </c>
      <c r="I4207">
        <v>63</v>
      </c>
      <c r="J4207">
        <f>ABS((I4207-EDA!$A$15)/EDA!$B$15)</f>
        <v>1.4835222444786049</v>
      </c>
      <c r="K4207" t="str">
        <f t="shared" si="65"/>
        <v>No</v>
      </c>
      <c r="L4207">
        <f>ABS((C4207-EDA!$F$15)/EDA!$G$15)</f>
        <v>0.37061213784912878</v>
      </c>
      <c r="M4207" t="str">
        <f>IF(moras[[#This Row],[Z-Score Salario]]&gt;1.96, "Sí", "No")</f>
        <v>No</v>
      </c>
      <c r="N4207" s="14">
        <f>IF(ISBLANK(moras[[#This Row],[SALARIO]]), EDA!$M$8, moras[[#This Row],[SALARIO]])</f>
        <v>302982</v>
      </c>
      <c r="O4207" s="14">
        <f xml:space="preserve"> IF(ISBLANK(moras[[#This Row],[EDAD]]), EDA!$E$8, moras[[#This Row],[EDAD]])</f>
        <v>63</v>
      </c>
      <c r="P4207" s="14" t="str">
        <f>IF(
    OR(ISBLANK(moras[[#This Row],[TIPO_ASEGURAMIENTO]]), moras[[#This Row],[TIPO_ASEGURAMIENTO]]=""),
    EDA!$A$32,
    moras[[#This Row],[TIPO_ASEGURAMIENTO]]
)</f>
        <v>TRABAJADOR INDEPENDIENTE</v>
      </c>
    </row>
    <row r="4208" spans="1:16" x14ac:dyDescent="0.3">
      <c r="A4208">
        <v>4207</v>
      </c>
      <c r="B4208" t="s">
        <v>9</v>
      </c>
      <c r="C4208">
        <v>42857143</v>
      </c>
      <c r="D4208" t="s">
        <v>10</v>
      </c>
      <c r="E4208" t="s">
        <v>16</v>
      </c>
      <c r="F4208" t="s">
        <v>12</v>
      </c>
      <c r="G4208" t="s">
        <v>13</v>
      </c>
      <c r="H4208" t="s">
        <v>13</v>
      </c>
      <c r="I4208">
        <v>34</v>
      </c>
      <c r="J4208">
        <f>ABS((I4208-EDA!$A$15)/EDA!$B$15)</f>
        <v>0.56316232775838282</v>
      </c>
      <c r="K4208" t="str">
        <f t="shared" si="65"/>
        <v>No</v>
      </c>
      <c r="L4208">
        <f>ABS((C4208-EDA!$F$15)/EDA!$G$15)</f>
        <v>0.33751914069216177</v>
      </c>
      <c r="M4208" t="str">
        <f>IF(moras[[#This Row],[Z-Score Salario]]&gt;1.96, "Sí", "No")</f>
        <v>No</v>
      </c>
      <c r="N4208" s="14">
        <f>IF(ISBLANK(moras[[#This Row],[SALARIO]]), EDA!$M$8, moras[[#This Row],[SALARIO]])</f>
        <v>42857143</v>
      </c>
      <c r="O4208" s="14">
        <f xml:space="preserve"> IF(ISBLANK(moras[[#This Row],[EDAD]]), EDA!$E$8, moras[[#This Row],[EDAD]])</f>
        <v>34</v>
      </c>
      <c r="P4208" s="14" t="str">
        <f>IF(
    OR(ISBLANK(moras[[#This Row],[TIPO_ASEGURAMIENTO]]), moras[[#This Row],[TIPO_ASEGURAMIENTO]]=""),
    EDA!$A$32,
    moras[[#This Row],[TIPO_ASEGURAMIENTO]]
)</f>
        <v>ASALARIADO</v>
      </c>
    </row>
    <row r="4209" spans="1:16" x14ac:dyDescent="0.3">
      <c r="A4209">
        <v>4208</v>
      </c>
      <c r="B4209" t="s">
        <v>9</v>
      </c>
      <c r="C4209">
        <v>418466</v>
      </c>
      <c r="D4209" t="s">
        <v>10</v>
      </c>
      <c r="E4209" t="s">
        <v>16</v>
      </c>
      <c r="F4209" t="s">
        <v>12</v>
      </c>
      <c r="G4209" t="s">
        <v>13</v>
      </c>
      <c r="H4209" t="s">
        <v>13</v>
      </c>
      <c r="I4209">
        <v>40</v>
      </c>
      <c r="J4209">
        <f>ABS((I4209-EDA!$A$15)/EDA!$B$15)</f>
        <v>0.13971034729555773</v>
      </c>
      <c r="K4209" t="str">
        <f t="shared" si="65"/>
        <v>No</v>
      </c>
      <c r="L4209">
        <f>ABS((C4209-EDA!$F$15)/EDA!$G$15)</f>
        <v>0.36869040256756458</v>
      </c>
      <c r="M4209" t="str">
        <f>IF(moras[[#This Row],[Z-Score Salario]]&gt;1.96, "Sí", "No")</f>
        <v>No</v>
      </c>
      <c r="N4209" s="14">
        <f>IF(ISBLANK(moras[[#This Row],[SALARIO]]), EDA!$M$8, moras[[#This Row],[SALARIO]])</f>
        <v>418466</v>
      </c>
      <c r="O4209" s="14">
        <f xml:space="preserve"> IF(ISBLANK(moras[[#This Row],[EDAD]]), EDA!$E$8, moras[[#This Row],[EDAD]])</f>
        <v>40</v>
      </c>
      <c r="P4209" s="14" t="str">
        <f>IF(
    OR(ISBLANK(moras[[#This Row],[TIPO_ASEGURAMIENTO]]), moras[[#This Row],[TIPO_ASEGURAMIENTO]]=""),
    EDA!$A$32,
    moras[[#This Row],[TIPO_ASEGURAMIENTO]]
)</f>
        <v>ASALARIADO</v>
      </c>
    </row>
    <row r="4210" spans="1:16" x14ac:dyDescent="0.3">
      <c r="A4210">
        <v>4209</v>
      </c>
      <c r="B4210" t="s">
        <v>9</v>
      </c>
      <c r="C4210">
        <v>407937</v>
      </c>
      <c r="D4210" t="s">
        <v>10</v>
      </c>
      <c r="E4210" t="s">
        <v>16</v>
      </c>
      <c r="F4210" t="s">
        <v>12</v>
      </c>
      <c r="G4210" t="s">
        <v>13</v>
      </c>
      <c r="H4210" t="s">
        <v>13</v>
      </c>
      <c r="I4210">
        <v>34</v>
      </c>
      <c r="J4210">
        <f>ABS((I4210-EDA!$A$15)/EDA!$B$15)</f>
        <v>0.56316232775838282</v>
      </c>
      <c r="K4210" t="str">
        <f t="shared" si="65"/>
        <v>No</v>
      </c>
      <c r="L4210">
        <f>ABS((C4210-EDA!$F$15)/EDA!$G$15)</f>
        <v>0.36886561256011413</v>
      </c>
      <c r="M4210" t="str">
        <f>IF(moras[[#This Row],[Z-Score Salario]]&gt;1.96, "Sí", "No")</f>
        <v>No</v>
      </c>
      <c r="N4210" s="14">
        <f>IF(ISBLANK(moras[[#This Row],[SALARIO]]), EDA!$M$8, moras[[#This Row],[SALARIO]])</f>
        <v>407937</v>
      </c>
      <c r="O4210" s="14">
        <f xml:space="preserve"> IF(ISBLANK(moras[[#This Row],[EDAD]]), EDA!$E$8, moras[[#This Row],[EDAD]])</f>
        <v>34</v>
      </c>
      <c r="P4210" s="14" t="str">
        <f>IF(
    OR(ISBLANK(moras[[#This Row],[TIPO_ASEGURAMIENTO]]), moras[[#This Row],[TIPO_ASEGURAMIENTO]]=""),
    EDA!$A$32,
    moras[[#This Row],[TIPO_ASEGURAMIENTO]]
)</f>
        <v>ASALARIADO</v>
      </c>
    </row>
    <row r="4211" spans="1:16" x14ac:dyDescent="0.3">
      <c r="A4211">
        <v>4210</v>
      </c>
      <c r="B4211" t="s">
        <v>9</v>
      </c>
      <c r="C4211">
        <v>461380</v>
      </c>
      <c r="D4211" t="s">
        <v>10</v>
      </c>
      <c r="E4211" t="s">
        <v>16</v>
      </c>
      <c r="F4211" t="s">
        <v>12</v>
      </c>
      <c r="G4211" t="s">
        <v>13</v>
      </c>
      <c r="H4211" t="s">
        <v>13</v>
      </c>
      <c r="I4211">
        <v>30</v>
      </c>
      <c r="J4211">
        <f>ABS((I4211-EDA!$A$15)/EDA!$B$15)</f>
        <v>0.84546364806693275</v>
      </c>
      <c r="K4211" t="str">
        <f t="shared" si="65"/>
        <v>No</v>
      </c>
      <c r="L4211">
        <f>ABS((C4211-EDA!$F$15)/EDA!$G$15)</f>
        <v>0.36797628331404858</v>
      </c>
      <c r="M4211" t="str">
        <f>IF(moras[[#This Row],[Z-Score Salario]]&gt;1.96, "Sí", "No")</f>
        <v>No</v>
      </c>
      <c r="N4211" s="14">
        <f>IF(ISBLANK(moras[[#This Row],[SALARIO]]), EDA!$M$8, moras[[#This Row],[SALARIO]])</f>
        <v>461380</v>
      </c>
      <c r="O4211" s="14">
        <f xml:space="preserve"> IF(ISBLANK(moras[[#This Row],[EDAD]]), EDA!$E$8, moras[[#This Row],[EDAD]])</f>
        <v>30</v>
      </c>
      <c r="P4211" s="14" t="str">
        <f>IF(
    OR(ISBLANK(moras[[#This Row],[TIPO_ASEGURAMIENTO]]), moras[[#This Row],[TIPO_ASEGURAMIENTO]]=""),
    EDA!$A$32,
    moras[[#This Row],[TIPO_ASEGURAMIENTO]]
)</f>
        <v>ASALARIADO</v>
      </c>
    </row>
    <row r="4212" spans="1:16" x14ac:dyDescent="0.3">
      <c r="A4212">
        <v>4211</v>
      </c>
      <c r="B4212" t="s">
        <v>9</v>
      </c>
      <c r="C4212">
        <v>746235</v>
      </c>
      <c r="D4212" t="s">
        <v>10</v>
      </c>
      <c r="E4212" t="s">
        <v>16</v>
      </c>
      <c r="F4212" t="s">
        <v>12</v>
      </c>
      <c r="G4212" t="s">
        <v>13</v>
      </c>
      <c r="H4212" t="s">
        <v>13</v>
      </c>
      <c r="I4212">
        <v>49</v>
      </c>
      <c r="J4212">
        <f>ABS((I4212-EDA!$A$15)/EDA!$B$15)</f>
        <v>0.49546762339867978</v>
      </c>
      <c r="K4212" t="str">
        <f t="shared" si="65"/>
        <v>No</v>
      </c>
      <c r="L4212">
        <f>ABS((C4212-EDA!$F$15)/EDA!$G$15)</f>
        <v>0.36323609503142962</v>
      </c>
      <c r="M4212" t="str">
        <f>IF(moras[[#This Row],[Z-Score Salario]]&gt;1.96, "Sí", "No")</f>
        <v>No</v>
      </c>
      <c r="N4212" s="14">
        <f>IF(ISBLANK(moras[[#This Row],[SALARIO]]), EDA!$M$8, moras[[#This Row],[SALARIO]])</f>
        <v>746235</v>
      </c>
      <c r="O4212" s="14">
        <f xml:space="preserve"> IF(ISBLANK(moras[[#This Row],[EDAD]]), EDA!$E$8, moras[[#This Row],[EDAD]])</f>
        <v>49</v>
      </c>
      <c r="P4212" s="14" t="str">
        <f>IF(
    OR(ISBLANK(moras[[#This Row],[TIPO_ASEGURAMIENTO]]), moras[[#This Row],[TIPO_ASEGURAMIENTO]]=""),
    EDA!$A$32,
    moras[[#This Row],[TIPO_ASEGURAMIENTO]]
)</f>
        <v>ASALARIADO</v>
      </c>
    </row>
    <row r="4213" spans="1:16" x14ac:dyDescent="0.3">
      <c r="A4213">
        <v>4212</v>
      </c>
      <c r="B4213" t="s">
        <v>9</v>
      </c>
      <c r="C4213">
        <v>104183332</v>
      </c>
      <c r="D4213" t="s">
        <v>10</v>
      </c>
      <c r="E4213" t="s">
        <v>11</v>
      </c>
      <c r="F4213" t="s">
        <v>12</v>
      </c>
      <c r="G4213" t="s">
        <v>13</v>
      </c>
      <c r="H4213" t="s">
        <v>13</v>
      </c>
      <c r="I4213">
        <v>60</v>
      </c>
      <c r="J4213">
        <f>ABS((I4213-EDA!$A$15)/EDA!$B$15)</f>
        <v>1.2717962542471923</v>
      </c>
      <c r="K4213" t="str">
        <f t="shared" si="65"/>
        <v>No</v>
      </c>
      <c r="L4213">
        <f>ABS((C4213-EDA!$F$15)/EDA!$G$15)</f>
        <v>1.3580302165569831</v>
      </c>
      <c r="M4213" t="str">
        <f>IF(moras[[#This Row],[Z-Score Salario]]&gt;1.96, "Sí", "No")</f>
        <v>No</v>
      </c>
      <c r="N4213" s="14">
        <f>IF(ISBLANK(moras[[#This Row],[SALARIO]]), EDA!$M$8, moras[[#This Row],[SALARIO]])</f>
        <v>104183332</v>
      </c>
      <c r="O4213" s="14">
        <f xml:space="preserve"> IF(ISBLANK(moras[[#This Row],[EDAD]]), EDA!$E$8, moras[[#This Row],[EDAD]])</f>
        <v>60</v>
      </c>
      <c r="P4213" s="14" t="str">
        <f>IF(
    OR(ISBLANK(moras[[#This Row],[TIPO_ASEGURAMIENTO]]), moras[[#This Row],[TIPO_ASEGURAMIENTO]]=""),
    EDA!$A$32,
    moras[[#This Row],[TIPO_ASEGURAMIENTO]]
)</f>
        <v>ASALARIADO</v>
      </c>
    </row>
    <row r="4214" spans="1:16" x14ac:dyDescent="0.3">
      <c r="A4214">
        <v>4213</v>
      </c>
      <c r="B4214" t="s">
        <v>9</v>
      </c>
      <c r="C4214">
        <v>324047</v>
      </c>
      <c r="D4214" t="s">
        <v>18</v>
      </c>
      <c r="E4214" t="s">
        <v>16</v>
      </c>
      <c r="F4214" t="s">
        <v>13</v>
      </c>
      <c r="G4214" t="s">
        <v>13</v>
      </c>
      <c r="H4214" t="s">
        <v>13</v>
      </c>
      <c r="I4214">
        <v>65</v>
      </c>
      <c r="J4214">
        <f>ABS((I4214-EDA!$A$15)/EDA!$B$15)</f>
        <v>1.6246729046328798</v>
      </c>
      <c r="K4214" t="str">
        <f t="shared" si="65"/>
        <v>No</v>
      </c>
      <c r="L4214">
        <f>ABS((C4214-EDA!$F$15)/EDA!$G$15)</f>
        <v>0.37026160137908837</v>
      </c>
      <c r="M4214" t="str">
        <f>IF(moras[[#This Row],[Z-Score Salario]]&gt;1.96, "Sí", "No")</f>
        <v>No</v>
      </c>
      <c r="N4214" s="14">
        <f>IF(ISBLANK(moras[[#This Row],[SALARIO]]), EDA!$M$8, moras[[#This Row],[SALARIO]])</f>
        <v>324047</v>
      </c>
      <c r="O4214" s="14">
        <f xml:space="preserve"> IF(ISBLANK(moras[[#This Row],[EDAD]]), EDA!$E$8, moras[[#This Row],[EDAD]])</f>
        <v>65</v>
      </c>
      <c r="P4214" s="14" t="str">
        <f>IF(
    OR(ISBLANK(moras[[#This Row],[TIPO_ASEGURAMIENTO]]), moras[[#This Row],[TIPO_ASEGURAMIENTO]]=""),
    EDA!$A$32,
    moras[[#This Row],[TIPO_ASEGURAMIENTO]]
)</f>
        <v>TRABAJADOR INDEPENDIENTE</v>
      </c>
    </row>
    <row r="4215" spans="1:16" x14ac:dyDescent="0.3">
      <c r="A4215">
        <v>4214</v>
      </c>
      <c r="B4215" t="s">
        <v>15</v>
      </c>
      <c r="C4215">
        <v>148277851</v>
      </c>
      <c r="D4215" t="s">
        <v>10</v>
      </c>
      <c r="E4215" t="s">
        <v>16</v>
      </c>
      <c r="F4215" t="s">
        <v>12</v>
      </c>
      <c r="G4215" t="s">
        <v>13</v>
      </c>
      <c r="H4215" t="s">
        <v>12</v>
      </c>
      <c r="I4215">
        <v>37</v>
      </c>
      <c r="J4215">
        <f>ABS((I4215-EDA!$A$15)/EDA!$B$15)</f>
        <v>0.35143633752697023</v>
      </c>
      <c r="K4215" t="str">
        <f t="shared" si="65"/>
        <v>No</v>
      </c>
      <c r="L4215">
        <f>ABS((C4215-EDA!$F$15)/EDA!$G$15)</f>
        <v>2.0917941395757738</v>
      </c>
      <c r="M4215" t="str">
        <f>IF(moras[[#This Row],[Z-Score Salario]]&gt;1.96, "Sí", "No")</f>
        <v>Sí</v>
      </c>
      <c r="N4215" s="14">
        <f>IF(ISBLANK(moras[[#This Row],[SALARIO]]), EDA!$M$8, moras[[#This Row],[SALARIO]])</f>
        <v>148277851</v>
      </c>
      <c r="O4215" s="14">
        <f xml:space="preserve"> IF(ISBLANK(moras[[#This Row],[EDAD]]), EDA!$E$8, moras[[#This Row],[EDAD]])</f>
        <v>37</v>
      </c>
      <c r="P4215" s="14" t="str">
        <f>IF(
    OR(ISBLANK(moras[[#This Row],[TIPO_ASEGURAMIENTO]]), moras[[#This Row],[TIPO_ASEGURAMIENTO]]=""),
    EDA!$A$32,
    moras[[#This Row],[TIPO_ASEGURAMIENTO]]
)</f>
        <v>ASALARIADO</v>
      </c>
    </row>
    <row r="4216" spans="1:16" x14ac:dyDescent="0.3">
      <c r="A4216">
        <v>4215</v>
      </c>
      <c r="B4216" t="s">
        <v>9</v>
      </c>
      <c r="C4216">
        <v>620245</v>
      </c>
      <c r="D4216" t="s">
        <v>18</v>
      </c>
      <c r="E4216" t="s">
        <v>16</v>
      </c>
      <c r="F4216" t="s">
        <v>12</v>
      </c>
      <c r="G4216" t="s">
        <v>13</v>
      </c>
      <c r="H4216" t="s">
        <v>13</v>
      </c>
      <c r="I4216">
        <v>45</v>
      </c>
      <c r="J4216">
        <f>ABS((I4216-EDA!$A$15)/EDA!$B$15)</f>
        <v>0.21316630309012977</v>
      </c>
      <c r="K4216" t="str">
        <f t="shared" si="65"/>
        <v>No</v>
      </c>
      <c r="L4216">
        <f>ABS((C4216-EDA!$F$15)/EDA!$G$15)</f>
        <v>0.36533265756930738</v>
      </c>
      <c r="M4216" t="str">
        <f>IF(moras[[#This Row],[Z-Score Salario]]&gt;1.96, "Sí", "No")</f>
        <v>No</v>
      </c>
      <c r="N4216" s="14">
        <f>IF(ISBLANK(moras[[#This Row],[SALARIO]]), EDA!$M$8, moras[[#This Row],[SALARIO]])</f>
        <v>620245</v>
      </c>
      <c r="O4216" s="14">
        <f xml:space="preserve"> IF(ISBLANK(moras[[#This Row],[EDAD]]), EDA!$E$8, moras[[#This Row],[EDAD]])</f>
        <v>45</v>
      </c>
      <c r="P4216" s="14" t="str">
        <f>IF(
    OR(ISBLANK(moras[[#This Row],[TIPO_ASEGURAMIENTO]]), moras[[#This Row],[TIPO_ASEGURAMIENTO]]=""),
    EDA!$A$32,
    moras[[#This Row],[TIPO_ASEGURAMIENTO]]
)</f>
        <v>TRABAJADOR INDEPENDIENTE</v>
      </c>
    </row>
    <row r="4217" spans="1:16" x14ac:dyDescent="0.3">
      <c r="A4217">
        <v>4216</v>
      </c>
      <c r="B4217" t="s">
        <v>9</v>
      </c>
      <c r="C4217">
        <v>37500</v>
      </c>
      <c r="D4217" t="s">
        <v>10</v>
      </c>
      <c r="E4217" t="s">
        <v>16</v>
      </c>
      <c r="F4217" t="s">
        <v>12</v>
      </c>
      <c r="G4217" t="s">
        <v>13</v>
      </c>
      <c r="H4217" t="s">
        <v>12</v>
      </c>
      <c r="I4217">
        <v>47</v>
      </c>
      <c r="J4217">
        <f>ABS((I4217-EDA!$A$15)/EDA!$B$15)</f>
        <v>0.35431696324440481</v>
      </c>
      <c r="K4217" t="str">
        <f t="shared" si="65"/>
        <v>No</v>
      </c>
      <c r="L4217">
        <f>ABS((C4217-EDA!$F$15)/EDA!$G$15)</f>
        <v>0.3750299457361107</v>
      </c>
      <c r="M4217" t="str">
        <f>IF(moras[[#This Row],[Z-Score Salario]]&gt;1.96, "Sí", "No")</f>
        <v>No</v>
      </c>
      <c r="N4217" s="14">
        <f>IF(ISBLANK(moras[[#This Row],[SALARIO]]), EDA!$M$8, moras[[#This Row],[SALARIO]])</f>
        <v>37500</v>
      </c>
      <c r="O4217" s="14">
        <f xml:space="preserve"> IF(ISBLANK(moras[[#This Row],[EDAD]]), EDA!$E$8, moras[[#This Row],[EDAD]])</f>
        <v>47</v>
      </c>
      <c r="P4217" s="14" t="str">
        <f>IF(
    OR(ISBLANK(moras[[#This Row],[TIPO_ASEGURAMIENTO]]), moras[[#This Row],[TIPO_ASEGURAMIENTO]]=""),
    EDA!$A$32,
    moras[[#This Row],[TIPO_ASEGURAMIENTO]]
)</f>
        <v>ASALARIADO</v>
      </c>
    </row>
    <row r="4218" spans="1:16" x14ac:dyDescent="0.3">
      <c r="A4218">
        <v>4217</v>
      </c>
      <c r="B4218" t="s">
        <v>15</v>
      </c>
      <c r="C4218">
        <v>297045</v>
      </c>
      <c r="D4218" t="s">
        <v>17</v>
      </c>
      <c r="E4218" t="s">
        <v>16</v>
      </c>
      <c r="F4218" t="s">
        <v>12</v>
      </c>
      <c r="G4218" t="s">
        <v>13</v>
      </c>
      <c r="H4218" t="s">
        <v>12</v>
      </c>
      <c r="I4218">
        <v>48</v>
      </c>
      <c r="J4218">
        <f>ABS((I4218-EDA!$A$15)/EDA!$B$15)</f>
        <v>0.42489229332154227</v>
      </c>
      <c r="K4218" t="str">
        <f t="shared" si="65"/>
        <v>No</v>
      </c>
      <c r="L4218">
        <f>ABS((C4218-EDA!$F$15)/EDA!$G$15)</f>
        <v>0.37071093372012948</v>
      </c>
      <c r="M4218" t="str">
        <f>IF(moras[[#This Row],[Z-Score Salario]]&gt;1.96, "Sí", "No")</f>
        <v>No</v>
      </c>
      <c r="N4218" s="14">
        <f>IF(ISBLANK(moras[[#This Row],[SALARIO]]), EDA!$M$8, moras[[#This Row],[SALARIO]])</f>
        <v>297045</v>
      </c>
      <c r="O4218" s="14">
        <f xml:space="preserve"> IF(ISBLANK(moras[[#This Row],[EDAD]]), EDA!$E$8, moras[[#This Row],[EDAD]])</f>
        <v>48</v>
      </c>
      <c r="P4218" s="14" t="str">
        <f>IF(
    OR(ISBLANK(moras[[#This Row],[TIPO_ASEGURAMIENTO]]), moras[[#This Row],[TIPO_ASEGURAMIENTO]]=""),
    EDA!$A$32,
    moras[[#This Row],[TIPO_ASEGURAMIENTO]]
)</f>
        <v>ASEGURADO VOLUNTARIO</v>
      </c>
    </row>
    <row r="4219" spans="1:16" x14ac:dyDescent="0.3">
      <c r="A4219">
        <v>4218</v>
      </c>
      <c r="B4219" t="s">
        <v>9</v>
      </c>
      <c r="C4219">
        <v>18107404</v>
      </c>
      <c r="D4219" t="s">
        <v>10</v>
      </c>
      <c r="E4219" t="s">
        <v>11</v>
      </c>
      <c r="F4219" t="s">
        <v>12</v>
      </c>
      <c r="G4219" t="s">
        <v>13</v>
      </c>
      <c r="H4219" t="s">
        <v>13</v>
      </c>
      <c r="I4219">
        <v>55</v>
      </c>
      <c r="J4219">
        <f>ABS((I4219-EDA!$A$15)/EDA!$B$15)</f>
        <v>0.91891960386150484</v>
      </c>
      <c r="K4219" t="str">
        <f t="shared" si="65"/>
        <v>No</v>
      </c>
      <c r="L4219">
        <f>ABS((C4219-EDA!$F$15)/EDA!$G$15)</f>
        <v>7.4333987410475297E-2</v>
      </c>
      <c r="M4219" t="str">
        <f>IF(moras[[#This Row],[Z-Score Salario]]&gt;1.96, "Sí", "No")</f>
        <v>No</v>
      </c>
      <c r="N4219" s="14">
        <f>IF(ISBLANK(moras[[#This Row],[SALARIO]]), EDA!$M$8, moras[[#This Row],[SALARIO]])</f>
        <v>18107404</v>
      </c>
      <c r="O4219" s="14">
        <f xml:space="preserve"> IF(ISBLANK(moras[[#This Row],[EDAD]]), EDA!$E$8, moras[[#This Row],[EDAD]])</f>
        <v>55</v>
      </c>
      <c r="P4219" s="14" t="str">
        <f>IF(
    OR(ISBLANK(moras[[#This Row],[TIPO_ASEGURAMIENTO]]), moras[[#This Row],[TIPO_ASEGURAMIENTO]]=""),
    EDA!$A$32,
    moras[[#This Row],[TIPO_ASEGURAMIENTO]]
)</f>
        <v>ASALARIADO</v>
      </c>
    </row>
    <row r="4220" spans="1:16" x14ac:dyDescent="0.3">
      <c r="A4220">
        <v>4219</v>
      </c>
      <c r="B4220" t="s">
        <v>9</v>
      </c>
      <c r="C4220">
        <v>8850000</v>
      </c>
      <c r="D4220" t="s">
        <v>10</v>
      </c>
      <c r="E4220" t="s">
        <v>16</v>
      </c>
      <c r="F4220" t="s">
        <v>12</v>
      </c>
      <c r="G4220" t="s">
        <v>13</v>
      </c>
      <c r="H4220" t="s">
        <v>13</v>
      </c>
      <c r="I4220">
        <v>41</v>
      </c>
      <c r="J4220">
        <f>ABS((I4220-EDA!$A$15)/EDA!$B$15)</f>
        <v>6.9135017218420233E-2</v>
      </c>
      <c r="K4220" t="str">
        <f t="shared" si="65"/>
        <v>No</v>
      </c>
      <c r="L4220">
        <f>ABS((C4220-EDA!$F$15)/EDA!$G$15)</f>
        <v>0.2283837248848731</v>
      </c>
      <c r="M4220" t="str">
        <f>IF(moras[[#This Row],[Z-Score Salario]]&gt;1.96, "Sí", "No")</f>
        <v>No</v>
      </c>
      <c r="N4220" s="14">
        <f>IF(ISBLANK(moras[[#This Row],[SALARIO]]), EDA!$M$8, moras[[#This Row],[SALARIO]])</f>
        <v>8850000</v>
      </c>
      <c r="O4220" s="14">
        <f xml:space="preserve"> IF(ISBLANK(moras[[#This Row],[EDAD]]), EDA!$E$8, moras[[#This Row],[EDAD]])</f>
        <v>41</v>
      </c>
      <c r="P4220" s="14" t="str">
        <f>IF(
    OR(ISBLANK(moras[[#This Row],[TIPO_ASEGURAMIENTO]]), moras[[#This Row],[TIPO_ASEGURAMIENTO]]=""),
    EDA!$A$32,
    moras[[#This Row],[TIPO_ASEGURAMIENTO]]
)</f>
        <v>ASALARIADO</v>
      </c>
    </row>
    <row r="4221" spans="1:16" x14ac:dyDescent="0.3">
      <c r="A4221">
        <v>4220</v>
      </c>
      <c r="B4221" t="s">
        <v>15</v>
      </c>
      <c r="C4221">
        <v>955676</v>
      </c>
      <c r="D4221" t="s">
        <v>18</v>
      </c>
      <c r="E4221" t="s">
        <v>16</v>
      </c>
      <c r="F4221" t="s">
        <v>12</v>
      </c>
      <c r="G4221" t="s">
        <v>13</v>
      </c>
      <c r="H4221" t="s">
        <v>13</v>
      </c>
      <c r="I4221">
        <v>38</v>
      </c>
      <c r="J4221">
        <f>ABS((I4221-EDA!$A$15)/EDA!$B$15)</f>
        <v>0.28086100744983278</v>
      </c>
      <c r="K4221" t="str">
        <f t="shared" si="65"/>
        <v>No</v>
      </c>
      <c r="L4221">
        <f>ABS((C4221-EDA!$F$15)/EDA!$G$15)</f>
        <v>0.35975084894447318</v>
      </c>
      <c r="M4221" t="str">
        <f>IF(moras[[#This Row],[Z-Score Salario]]&gt;1.96, "Sí", "No")</f>
        <v>No</v>
      </c>
      <c r="N4221" s="14">
        <f>IF(ISBLANK(moras[[#This Row],[SALARIO]]), EDA!$M$8, moras[[#This Row],[SALARIO]])</f>
        <v>955676</v>
      </c>
      <c r="O4221" s="14">
        <f xml:space="preserve"> IF(ISBLANK(moras[[#This Row],[EDAD]]), EDA!$E$8, moras[[#This Row],[EDAD]])</f>
        <v>38</v>
      </c>
      <c r="P4221" s="14" t="str">
        <f>IF(
    OR(ISBLANK(moras[[#This Row],[TIPO_ASEGURAMIENTO]]), moras[[#This Row],[TIPO_ASEGURAMIENTO]]=""),
    EDA!$A$32,
    moras[[#This Row],[TIPO_ASEGURAMIENTO]]
)</f>
        <v>TRABAJADOR INDEPENDIENTE</v>
      </c>
    </row>
    <row r="4222" spans="1:16" x14ac:dyDescent="0.3">
      <c r="A4222">
        <v>4221</v>
      </c>
      <c r="B4222" t="s">
        <v>9</v>
      </c>
      <c r="C4222">
        <v>278030</v>
      </c>
      <c r="D4222" t="s">
        <v>19</v>
      </c>
      <c r="E4222" t="s">
        <v>16</v>
      </c>
      <c r="F4222" t="s">
        <v>12</v>
      </c>
      <c r="G4222" t="s">
        <v>13</v>
      </c>
      <c r="H4222" t="s">
        <v>13</v>
      </c>
      <c r="I4222">
        <v>68</v>
      </c>
      <c r="J4222">
        <f>ABS((I4222-EDA!$A$15)/EDA!$B$15)</f>
        <v>1.8363988948642924</v>
      </c>
      <c r="K4222" t="str">
        <f t="shared" si="65"/>
        <v>No</v>
      </c>
      <c r="L4222">
        <f>ABS((C4222-EDA!$F$15)/EDA!$G$15)</f>
        <v>0.37102735674304993</v>
      </c>
      <c r="M4222" t="str">
        <f>IF(moras[[#This Row],[Z-Score Salario]]&gt;1.96, "Sí", "No")</f>
        <v>No</v>
      </c>
      <c r="N4222" s="14">
        <f>IF(ISBLANK(moras[[#This Row],[SALARIO]]), EDA!$M$8, moras[[#This Row],[SALARIO]])</f>
        <v>278030</v>
      </c>
      <c r="O4222" s="14">
        <f xml:space="preserve"> IF(ISBLANK(moras[[#This Row],[EDAD]]), EDA!$E$8, moras[[#This Row],[EDAD]])</f>
        <v>68</v>
      </c>
      <c r="P4222" s="14" t="str">
        <f>IF(
    OR(ISBLANK(moras[[#This Row],[TIPO_ASEGURAMIENTO]]), moras[[#This Row],[TIPO_ASEGURAMIENTO]]=""),
    EDA!$A$32,
    moras[[#This Row],[TIPO_ASEGURAMIENTO]]
)</f>
        <v>CONVENIOS ESPECIALES DE TRABAJADORES INDEPENDIENTES</v>
      </c>
    </row>
    <row r="4223" spans="1:16" x14ac:dyDescent="0.3">
      <c r="A4223">
        <v>4222</v>
      </c>
      <c r="B4223" t="s">
        <v>9</v>
      </c>
      <c r="C4223">
        <v>3015022</v>
      </c>
      <c r="D4223" t="s">
        <v>10</v>
      </c>
      <c r="E4223" t="s">
        <v>16</v>
      </c>
      <c r="F4223" t="s">
        <v>12</v>
      </c>
      <c r="G4223" t="s">
        <v>13</v>
      </c>
      <c r="H4223" t="s">
        <v>13</v>
      </c>
      <c r="I4223">
        <v>29</v>
      </c>
      <c r="J4223">
        <f>ABS((I4223-EDA!$A$15)/EDA!$B$15)</f>
        <v>0.91603897814407031</v>
      </c>
      <c r="K4223" t="str">
        <f t="shared" si="65"/>
        <v>No</v>
      </c>
      <c r="L4223">
        <f>ABS((C4223-EDA!$F$15)/EDA!$G$15)</f>
        <v>0.32548187778701354</v>
      </c>
      <c r="M4223" t="str">
        <f>IF(moras[[#This Row],[Z-Score Salario]]&gt;1.96, "Sí", "No")</f>
        <v>No</v>
      </c>
      <c r="N4223" s="14">
        <f>IF(ISBLANK(moras[[#This Row],[SALARIO]]), EDA!$M$8, moras[[#This Row],[SALARIO]])</f>
        <v>3015022</v>
      </c>
      <c r="O4223" s="14">
        <f xml:space="preserve"> IF(ISBLANK(moras[[#This Row],[EDAD]]), EDA!$E$8, moras[[#This Row],[EDAD]])</f>
        <v>29</v>
      </c>
      <c r="P4223" s="14" t="str">
        <f>IF(
    OR(ISBLANK(moras[[#This Row],[TIPO_ASEGURAMIENTO]]), moras[[#This Row],[TIPO_ASEGURAMIENTO]]=""),
    EDA!$A$32,
    moras[[#This Row],[TIPO_ASEGURAMIENTO]]
)</f>
        <v>ASALARIADO</v>
      </c>
    </row>
    <row r="4224" spans="1:16" x14ac:dyDescent="0.3">
      <c r="A4224">
        <v>4223</v>
      </c>
      <c r="B4224" t="s">
        <v>9</v>
      </c>
      <c r="C4224">
        <v>1331200</v>
      </c>
      <c r="D4224" t="s">
        <v>10</v>
      </c>
      <c r="E4224" t="s">
        <v>16</v>
      </c>
      <c r="F4224" t="s">
        <v>12</v>
      </c>
      <c r="G4224" t="s">
        <v>13</v>
      </c>
      <c r="H4224" t="s">
        <v>13</v>
      </c>
      <c r="I4224">
        <v>31</v>
      </c>
      <c r="J4224">
        <f>ABS((I4224-EDA!$A$15)/EDA!$B$15)</f>
        <v>0.77488831798979529</v>
      </c>
      <c r="K4224" t="str">
        <f t="shared" si="65"/>
        <v>No</v>
      </c>
      <c r="L4224">
        <f>ABS((C4224-EDA!$F$15)/EDA!$G$15)</f>
        <v>0.35350186449750121</v>
      </c>
      <c r="M4224" t="str">
        <f>IF(moras[[#This Row],[Z-Score Salario]]&gt;1.96, "Sí", "No")</f>
        <v>No</v>
      </c>
      <c r="N4224" s="14">
        <f>IF(ISBLANK(moras[[#This Row],[SALARIO]]), EDA!$M$8, moras[[#This Row],[SALARIO]])</f>
        <v>1331200</v>
      </c>
      <c r="O4224" s="14">
        <f xml:space="preserve"> IF(ISBLANK(moras[[#This Row],[EDAD]]), EDA!$E$8, moras[[#This Row],[EDAD]])</f>
        <v>31</v>
      </c>
      <c r="P4224" s="14" t="str">
        <f>IF(
    OR(ISBLANK(moras[[#This Row],[TIPO_ASEGURAMIENTO]]), moras[[#This Row],[TIPO_ASEGURAMIENTO]]=""),
    EDA!$A$32,
    moras[[#This Row],[TIPO_ASEGURAMIENTO]]
)</f>
        <v>ASALARIADO</v>
      </c>
    </row>
    <row r="4225" spans="1:16" x14ac:dyDescent="0.3">
      <c r="A4225">
        <v>4224</v>
      </c>
      <c r="B4225" t="s">
        <v>15</v>
      </c>
      <c r="C4225">
        <v>36805297</v>
      </c>
      <c r="D4225" t="s">
        <v>10</v>
      </c>
      <c r="E4225" t="s">
        <v>16</v>
      </c>
      <c r="F4225" t="s">
        <v>12</v>
      </c>
      <c r="G4225" t="s">
        <v>13</v>
      </c>
      <c r="H4225" t="s">
        <v>13</v>
      </c>
      <c r="I4225">
        <v>37</v>
      </c>
      <c r="J4225">
        <f>ABS((I4225-EDA!$A$15)/EDA!$B$15)</f>
        <v>0.35143633752697023</v>
      </c>
      <c r="K4225" t="str">
        <f t="shared" si="65"/>
        <v>No</v>
      </c>
      <c r="L4225">
        <f>ABS((C4225-EDA!$F$15)/EDA!$G$15)</f>
        <v>0.23681215118025492</v>
      </c>
      <c r="M4225" t="str">
        <f>IF(moras[[#This Row],[Z-Score Salario]]&gt;1.96, "Sí", "No")</f>
        <v>No</v>
      </c>
      <c r="N4225" s="14">
        <f>IF(ISBLANK(moras[[#This Row],[SALARIO]]), EDA!$M$8, moras[[#This Row],[SALARIO]])</f>
        <v>36805297</v>
      </c>
      <c r="O4225" s="14">
        <f xml:space="preserve"> IF(ISBLANK(moras[[#This Row],[EDAD]]), EDA!$E$8, moras[[#This Row],[EDAD]])</f>
        <v>37</v>
      </c>
      <c r="P4225" s="14" t="str">
        <f>IF(
    OR(ISBLANK(moras[[#This Row],[TIPO_ASEGURAMIENTO]]), moras[[#This Row],[TIPO_ASEGURAMIENTO]]=""),
    EDA!$A$32,
    moras[[#This Row],[TIPO_ASEGURAMIENTO]]
)</f>
        <v>ASALARIADO</v>
      </c>
    </row>
    <row r="4226" spans="1:16" x14ac:dyDescent="0.3">
      <c r="A4226">
        <v>4225</v>
      </c>
      <c r="B4226" t="s">
        <v>9</v>
      </c>
      <c r="C4226">
        <v>65000</v>
      </c>
      <c r="D4226" t="s">
        <v>10</v>
      </c>
      <c r="E4226" t="s">
        <v>16</v>
      </c>
      <c r="F4226" t="s">
        <v>12</v>
      </c>
      <c r="G4226" t="s">
        <v>12</v>
      </c>
      <c r="H4226" t="s">
        <v>13</v>
      </c>
      <c r="I4226">
        <v>33</v>
      </c>
      <c r="J4226">
        <f>ABS((I4226-EDA!$A$15)/EDA!$B$15)</f>
        <v>0.63373765783552027</v>
      </c>
      <c r="K4226" t="str">
        <f t="shared" ref="K4226:K4289" si="66">IF(J4226 &gt;  1.96, "Sí","No")</f>
        <v>No</v>
      </c>
      <c r="L4226">
        <f>ABS((C4226-EDA!$F$15)/EDA!$G$15)</f>
        <v>0.37457232632352527</v>
      </c>
      <c r="M4226" t="str">
        <f>IF(moras[[#This Row],[Z-Score Salario]]&gt;1.96, "Sí", "No")</f>
        <v>No</v>
      </c>
      <c r="N4226" s="14">
        <f>IF(ISBLANK(moras[[#This Row],[SALARIO]]), EDA!$M$8, moras[[#This Row],[SALARIO]])</f>
        <v>65000</v>
      </c>
      <c r="O4226" s="14">
        <f xml:space="preserve"> IF(ISBLANK(moras[[#This Row],[EDAD]]), EDA!$E$8, moras[[#This Row],[EDAD]])</f>
        <v>33</v>
      </c>
      <c r="P4226" s="14" t="str">
        <f>IF(
    OR(ISBLANK(moras[[#This Row],[TIPO_ASEGURAMIENTO]]), moras[[#This Row],[TIPO_ASEGURAMIENTO]]=""),
    EDA!$A$32,
    moras[[#This Row],[TIPO_ASEGURAMIENTO]]
)</f>
        <v>ASALARIADO</v>
      </c>
    </row>
    <row r="4227" spans="1:16" x14ac:dyDescent="0.3">
      <c r="A4227">
        <v>4226</v>
      </c>
      <c r="B4227" t="s">
        <v>15</v>
      </c>
      <c r="C4227">
        <v>4770580</v>
      </c>
      <c r="D4227" t="s">
        <v>14</v>
      </c>
      <c r="E4227" t="s">
        <v>11</v>
      </c>
      <c r="F4227" t="s">
        <v>12</v>
      </c>
      <c r="G4227" t="s">
        <v>13</v>
      </c>
      <c r="H4227" t="s">
        <v>13</v>
      </c>
      <c r="I4227">
        <v>82</v>
      </c>
      <c r="J4227">
        <f>ABS((I4227-EDA!$A$15)/EDA!$B$15)</f>
        <v>2.8244535159442172</v>
      </c>
      <c r="K4227" t="str">
        <f t="shared" si="66"/>
        <v>Sí</v>
      </c>
      <c r="L4227">
        <f>ABS((C4227-EDA!$F$15)/EDA!$G$15)</f>
        <v>0.29626815339720852</v>
      </c>
      <c r="M4227" t="str">
        <f>IF(moras[[#This Row],[Z-Score Salario]]&gt;1.96, "Sí", "No")</f>
        <v>No</v>
      </c>
      <c r="N4227" s="14">
        <f>IF(ISBLANK(moras[[#This Row],[SALARIO]]), EDA!$M$8, moras[[#This Row],[SALARIO]])</f>
        <v>4770580</v>
      </c>
      <c r="O4227" s="14">
        <f xml:space="preserve"> IF(ISBLANK(moras[[#This Row],[EDAD]]), EDA!$E$8, moras[[#This Row],[EDAD]])</f>
        <v>82</v>
      </c>
      <c r="P4227" s="14" t="str">
        <f>IF(
    OR(ISBLANK(moras[[#This Row],[TIPO_ASEGURAMIENTO]]), moras[[#This Row],[TIPO_ASEGURAMIENTO]]=""),
    EDA!$A$32,
    moras[[#This Row],[TIPO_ASEGURAMIENTO]]
)</f>
        <v>PENSIONADOS EN SU PROPIO SISTEMA</v>
      </c>
    </row>
    <row r="4228" spans="1:16" x14ac:dyDescent="0.3">
      <c r="A4228">
        <v>4227</v>
      </c>
      <c r="B4228" t="s">
        <v>9</v>
      </c>
      <c r="C4228">
        <v>132059441</v>
      </c>
      <c r="D4228" t="s">
        <v>10</v>
      </c>
      <c r="E4228" t="s">
        <v>16</v>
      </c>
      <c r="F4228" t="s">
        <v>12</v>
      </c>
      <c r="G4228" t="s">
        <v>13</v>
      </c>
      <c r="H4228" t="s">
        <v>13</v>
      </c>
      <c r="I4228">
        <v>26</v>
      </c>
      <c r="J4228">
        <f>ABS((I4228-EDA!$A$15)/EDA!$B$15)</f>
        <v>1.1277649683754829</v>
      </c>
      <c r="K4228" t="str">
        <f t="shared" si="66"/>
        <v>No</v>
      </c>
      <c r="L4228">
        <f>ABS((C4228-EDA!$F$15)/EDA!$G$15)</f>
        <v>1.8219083484023362</v>
      </c>
      <c r="M4228" t="str">
        <f>IF(moras[[#This Row],[Z-Score Salario]]&gt;1.96, "Sí", "No")</f>
        <v>No</v>
      </c>
      <c r="N4228" s="14">
        <f>IF(ISBLANK(moras[[#This Row],[SALARIO]]), EDA!$M$8, moras[[#This Row],[SALARIO]])</f>
        <v>132059441</v>
      </c>
      <c r="O4228" s="14">
        <f xml:space="preserve"> IF(ISBLANK(moras[[#This Row],[EDAD]]), EDA!$E$8, moras[[#This Row],[EDAD]])</f>
        <v>26</v>
      </c>
      <c r="P4228" s="14" t="str">
        <f>IF(
    OR(ISBLANK(moras[[#This Row],[TIPO_ASEGURAMIENTO]]), moras[[#This Row],[TIPO_ASEGURAMIENTO]]=""),
    EDA!$A$32,
    moras[[#This Row],[TIPO_ASEGURAMIENTO]]
)</f>
        <v>ASALARIADO</v>
      </c>
    </row>
    <row r="4229" spans="1:16" x14ac:dyDescent="0.3">
      <c r="A4229">
        <v>4228</v>
      </c>
      <c r="B4229" t="s">
        <v>9</v>
      </c>
      <c r="C4229">
        <v>349825</v>
      </c>
      <c r="D4229" t="s">
        <v>10</v>
      </c>
      <c r="E4229" t="s">
        <v>16</v>
      </c>
      <c r="F4229" t="s">
        <v>12</v>
      </c>
      <c r="G4229" t="s">
        <v>13</v>
      </c>
      <c r="H4229" t="s">
        <v>13</v>
      </c>
      <c r="I4229">
        <v>55</v>
      </c>
      <c r="J4229">
        <f>ABS((I4229-EDA!$A$15)/EDA!$B$15)</f>
        <v>0.91891960386150484</v>
      </c>
      <c r="K4229" t="str">
        <f t="shared" si="66"/>
        <v>No</v>
      </c>
      <c r="L4229">
        <f>ABS((C4229-EDA!$F$15)/EDA!$G$15)</f>
        <v>0.36983263726208371</v>
      </c>
      <c r="M4229" t="str">
        <f>IF(moras[[#This Row],[Z-Score Salario]]&gt;1.96, "Sí", "No")</f>
        <v>No</v>
      </c>
      <c r="N4229" s="14">
        <f>IF(ISBLANK(moras[[#This Row],[SALARIO]]), EDA!$M$8, moras[[#This Row],[SALARIO]])</f>
        <v>349825</v>
      </c>
      <c r="O4229" s="14">
        <f xml:space="preserve"> IF(ISBLANK(moras[[#This Row],[EDAD]]), EDA!$E$8, moras[[#This Row],[EDAD]])</f>
        <v>55</v>
      </c>
      <c r="P4229" s="14" t="str">
        <f>IF(
    OR(ISBLANK(moras[[#This Row],[TIPO_ASEGURAMIENTO]]), moras[[#This Row],[TIPO_ASEGURAMIENTO]]=""),
    EDA!$A$32,
    moras[[#This Row],[TIPO_ASEGURAMIENTO]]
)</f>
        <v>ASALARIADO</v>
      </c>
    </row>
    <row r="4230" spans="1:16" x14ac:dyDescent="0.3">
      <c r="A4230">
        <v>4229</v>
      </c>
      <c r="B4230" t="s">
        <v>15</v>
      </c>
      <c r="C4230">
        <v>41088145</v>
      </c>
      <c r="D4230" t="s">
        <v>10</v>
      </c>
      <c r="E4230" t="s">
        <v>16</v>
      </c>
      <c r="F4230" t="s">
        <v>12</v>
      </c>
      <c r="G4230" t="s">
        <v>13</v>
      </c>
      <c r="H4230" t="s">
        <v>13</v>
      </c>
      <c r="I4230">
        <v>45</v>
      </c>
      <c r="J4230">
        <f>ABS((I4230-EDA!$A$15)/EDA!$B$15)</f>
        <v>0.21316630309012977</v>
      </c>
      <c r="K4230" t="str">
        <f t="shared" si="66"/>
        <v>No</v>
      </c>
      <c r="L4230">
        <f>ABS((C4230-EDA!$F$15)/EDA!$G$15)</f>
        <v>0.30808176521489677</v>
      </c>
      <c r="M4230" t="str">
        <f>IF(moras[[#This Row],[Z-Score Salario]]&gt;1.96, "Sí", "No")</f>
        <v>No</v>
      </c>
      <c r="N4230" s="14">
        <f>IF(ISBLANK(moras[[#This Row],[SALARIO]]), EDA!$M$8, moras[[#This Row],[SALARIO]])</f>
        <v>41088145</v>
      </c>
      <c r="O4230" s="14">
        <f xml:space="preserve"> IF(ISBLANK(moras[[#This Row],[EDAD]]), EDA!$E$8, moras[[#This Row],[EDAD]])</f>
        <v>45</v>
      </c>
      <c r="P4230" s="14" t="str">
        <f>IF(
    OR(ISBLANK(moras[[#This Row],[TIPO_ASEGURAMIENTO]]), moras[[#This Row],[TIPO_ASEGURAMIENTO]]=""),
    EDA!$A$32,
    moras[[#This Row],[TIPO_ASEGURAMIENTO]]
)</f>
        <v>ASALARIADO</v>
      </c>
    </row>
    <row r="4231" spans="1:16" x14ac:dyDescent="0.3">
      <c r="A4231">
        <v>4230</v>
      </c>
      <c r="B4231" t="s">
        <v>9</v>
      </c>
      <c r="C4231">
        <v>600000</v>
      </c>
      <c r="D4231" t="s">
        <v>10</v>
      </c>
      <c r="E4231" t="s">
        <v>16</v>
      </c>
      <c r="F4231" t="s">
        <v>12</v>
      </c>
      <c r="G4231" t="s">
        <v>13</v>
      </c>
      <c r="H4231" t="s">
        <v>12</v>
      </c>
      <c r="I4231">
        <v>28</v>
      </c>
      <c r="J4231">
        <f>ABS((I4231-EDA!$A$15)/EDA!$B$15)</f>
        <v>0.98661430822120777</v>
      </c>
      <c r="K4231" t="str">
        <f t="shared" si="66"/>
        <v>No</v>
      </c>
      <c r="L4231">
        <f>ABS((C4231-EDA!$F$15)/EDA!$G$15)</f>
        <v>0.36566954866049978</v>
      </c>
      <c r="M4231" t="str">
        <f>IF(moras[[#This Row],[Z-Score Salario]]&gt;1.96, "Sí", "No")</f>
        <v>No</v>
      </c>
      <c r="N4231" s="14">
        <f>IF(ISBLANK(moras[[#This Row],[SALARIO]]), EDA!$M$8, moras[[#This Row],[SALARIO]])</f>
        <v>600000</v>
      </c>
      <c r="O4231" s="14">
        <f xml:space="preserve"> IF(ISBLANK(moras[[#This Row],[EDAD]]), EDA!$E$8, moras[[#This Row],[EDAD]])</f>
        <v>28</v>
      </c>
      <c r="P4231" s="14" t="str">
        <f>IF(
    OR(ISBLANK(moras[[#This Row],[TIPO_ASEGURAMIENTO]]), moras[[#This Row],[TIPO_ASEGURAMIENTO]]=""),
    EDA!$A$32,
    moras[[#This Row],[TIPO_ASEGURAMIENTO]]
)</f>
        <v>ASALARIADO</v>
      </c>
    </row>
    <row r="4232" spans="1:16" x14ac:dyDescent="0.3">
      <c r="A4232">
        <v>4231</v>
      </c>
      <c r="B4232" t="s">
        <v>15</v>
      </c>
      <c r="C4232">
        <v>631000</v>
      </c>
      <c r="D4232" t="s">
        <v>10</v>
      </c>
      <c r="E4232" t="s">
        <v>16</v>
      </c>
      <c r="F4232" t="s">
        <v>12</v>
      </c>
      <c r="G4232" t="s">
        <v>13</v>
      </c>
      <c r="H4232" t="s">
        <v>13</v>
      </c>
      <c r="I4232">
        <v>32</v>
      </c>
      <c r="J4232">
        <f>ABS((I4232-EDA!$A$15)/EDA!$B$15)</f>
        <v>0.70431298791265773</v>
      </c>
      <c r="K4232" t="str">
        <f t="shared" si="66"/>
        <v>No</v>
      </c>
      <c r="L4232">
        <f>ABS((C4232-EDA!$F$15)/EDA!$G$15)</f>
        <v>0.36515368677722171</v>
      </c>
      <c r="M4232" t="str">
        <f>IF(moras[[#This Row],[Z-Score Salario]]&gt;1.96, "Sí", "No")</f>
        <v>No</v>
      </c>
      <c r="N4232" s="14">
        <f>IF(ISBLANK(moras[[#This Row],[SALARIO]]), EDA!$M$8, moras[[#This Row],[SALARIO]])</f>
        <v>631000</v>
      </c>
      <c r="O4232" s="14">
        <f xml:space="preserve"> IF(ISBLANK(moras[[#This Row],[EDAD]]), EDA!$E$8, moras[[#This Row],[EDAD]])</f>
        <v>32</v>
      </c>
      <c r="P4232" s="14" t="str">
        <f>IF(
    OR(ISBLANK(moras[[#This Row],[TIPO_ASEGURAMIENTO]]), moras[[#This Row],[TIPO_ASEGURAMIENTO]]=""),
    EDA!$A$32,
    moras[[#This Row],[TIPO_ASEGURAMIENTO]]
)</f>
        <v>ASALARIADO</v>
      </c>
    </row>
    <row r="4233" spans="1:16" x14ac:dyDescent="0.3">
      <c r="A4233">
        <v>4232</v>
      </c>
      <c r="B4233" t="s">
        <v>9</v>
      </c>
      <c r="C4233">
        <v>187320189</v>
      </c>
      <c r="D4233" t="s">
        <v>10</v>
      </c>
      <c r="E4233" t="s">
        <v>16</v>
      </c>
      <c r="F4233" t="s">
        <v>12</v>
      </c>
      <c r="G4233" t="s">
        <v>13</v>
      </c>
      <c r="H4233" t="s">
        <v>13</v>
      </c>
      <c r="I4233">
        <v>49</v>
      </c>
      <c r="J4233">
        <f>ABS((I4233-EDA!$A$15)/EDA!$B$15)</f>
        <v>0.49546762339867978</v>
      </c>
      <c r="K4233" t="str">
        <f t="shared" si="66"/>
        <v>No</v>
      </c>
      <c r="L4233">
        <f>ABS((C4233-EDA!$F$15)/EDA!$G$15)</f>
        <v>2.7414862043583743</v>
      </c>
      <c r="M4233" t="str">
        <f>IF(moras[[#This Row],[Z-Score Salario]]&gt;1.96, "Sí", "No")</f>
        <v>Sí</v>
      </c>
      <c r="N4233" s="14">
        <f>IF(ISBLANK(moras[[#This Row],[SALARIO]]), EDA!$M$8, moras[[#This Row],[SALARIO]])</f>
        <v>187320189</v>
      </c>
      <c r="O4233" s="14">
        <f xml:space="preserve"> IF(ISBLANK(moras[[#This Row],[EDAD]]), EDA!$E$8, moras[[#This Row],[EDAD]])</f>
        <v>49</v>
      </c>
      <c r="P4233" s="14" t="str">
        <f>IF(
    OR(ISBLANK(moras[[#This Row],[TIPO_ASEGURAMIENTO]]), moras[[#This Row],[TIPO_ASEGURAMIENTO]]=""),
    EDA!$A$32,
    moras[[#This Row],[TIPO_ASEGURAMIENTO]]
)</f>
        <v>ASALARIADO</v>
      </c>
    </row>
    <row r="4234" spans="1:16" x14ac:dyDescent="0.3">
      <c r="A4234">
        <v>4233</v>
      </c>
      <c r="B4234" t="s">
        <v>15</v>
      </c>
      <c r="C4234">
        <v>875386</v>
      </c>
      <c r="D4234" t="s">
        <v>14</v>
      </c>
      <c r="E4234" t="s">
        <v>11</v>
      </c>
      <c r="F4234" t="s">
        <v>12</v>
      </c>
      <c r="G4234" t="s">
        <v>13</v>
      </c>
      <c r="H4234" t="s">
        <v>13</v>
      </c>
      <c r="I4234">
        <v>70</v>
      </c>
      <c r="J4234">
        <f>ABS((I4234-EDA!$A$15)/EDA!$B$15)</f>
        <v>1.9775495550185673</v>
      </c>
      <c r="K4234" t="str">
        <f t="shared" si="66"/>
        <v>Sí</v>
      </c>
      <c r="L4234">
        <f>ABS((C4234-EDA!$F$15)/EDA!$G$15)</f>
        <v>0.36108693122216345</v>
      </c>
      <c r="M4234" t="str">
        <f>IF(moras[[#This Row],[Z-Score Salario]]&gt;1.96, "Sí", "No")</f>
        <v>No</v>
      </c>
      <c r="N4234" s="14">
        <f>IF(ISBLANK(moras[[#This Row],[SALARIO]]), EDA!$M$8, moras[[#This Row],[SALARIO]])</f>
        <v>875386</v>
      </c>
      <c r="O4234" s="14">
        <f xml:space="preserve"> IF(ISBLANK(moras[[#This Row],[EDAD]]), EDA!$E$8, moras[[#This Row],[EDAD]])</f>
        <v>70</v>
      </c>
      <c r="P4234" s="14" t="str">
        <f>IF(
    OR(ISBLANK(moras[[#This Row],[TIPO_ASEGURAMIENTO]]), moras[[#This Row],[TIPO_ASEGURAMIENTO]]=""),
    EDA!$A$32,
    moras[[#This Row],[TIPO_ASEGURAMIENTO]]
)</f>
        <v>PENSIONADOS EN SU PROPIO SISTEMA</v>
      </c>
    </row>
    <row r="4235" spans="1:16" x14ac:dyDescent="0.3">
      <c r="A4235">
        <v>4234</v>
      </c>
      <c r="B4235" t="s">
        <v>9</v>
      </c>
      <c r="C4235">
        <v>325000</v>
      </c>
      <c r="D4235" t="s">
        <v>10</v>
      </c>
      <c r="E4235" t="s">
        <v>16</v>
      </c>
      <c r="F4235" t="s">
        <v>12</v>
      </c>
      <c r="G4235" t="s">
        <v>13</v>
      </c>
      <c r="H4235" t="s">
        <v>13</v>
      </c>
      <c r="I4235">
        <v>55</v>
      </c>
      <c r="J4235">
        <f>ABS((I4235-EDA!$A$15)/EDA!$B$15)</f>
        <v>0.91891960386150484</v>
      </c>
      <c r="K4235" t="str">
        <f t="shared" si="66"/>
        <v>No</v>
      </c>
      <c r="L4235">
        <f>ABS((C4235-EDA!$F$15)/EDA!$G$15)</f>
        <v>0.37024574278635403</v>
      </c>
      <c r="M4235" t="str">
        <f>IF(moras[[#This Row],[Z-Score Salario]]&gt;1.96, "Sí", "No")</f>
        <v>No</v>
      </c>
      <c r="N4235" s="14">
        <f>IF(ISBLANK(moras[[#This Row],[SALARIO]]), EDA!$M$8, moras[[#This Row],[SALARIO]])</f>
        <v>325000</v>
      </c>
      <c r="O4235" s="14">
        <f xml:space="preserve"> IF(ISBLANK(moras[[#This Row],[EDAD]]), EDA!$E$8, moras[[#This Row],[EDAD]])</f>
        <v>55</v>
      </c>
      <c r="P4235" s="14" t="str">
        <f>IF(
    OR(ISBLANK(moras[[#This Row],[TIPO_ASEGURAMIENTO]]), moras[[#This Row],[TIPO_ASEGURAMIENTO]]=""),
    EDA!$A$32,
    moras[[#This Row],[TIPO_ASEGURAMIENTO]]
)</f>
        <v>ASALARIADO</v>
      </c>
    </row>
    <row r="4236" spans="1:16" x14ac:dyDescent="0.3">
      <c r="A4236">
        <v>4235</v>
      </c>
      <c r="B4236" t="s">
        <v>9</v>
      </c>
      <c r="C4236">
        <v>300018</v>
      </c>
      <c r="D4236" t="s">
        <v>18</v>
      </c>
      <c r="E4236" t="s">
        <v>16</v>
      </c>
      <c r="F4236" t="s">
        <v>12</v>
      </c>
      <c r="G4236" t="s">
        <v>13</v>
      </c>
      <c r="H4236" t="s">
        <v>13</v>
      </c>
      <c r="I4236">
        <v>38</v>
      </c>
      <c r="J4236">
        <f>ABS((I4236-EDA!$A$15)/EDA!$B$15)</f>
        <v>0.28086100744983278</v>
      </c>
      <c r="K4236" t="str">
        <f t="shared" si="66"/>
        <v>No</v>
      </c>
      <c r="L4236">
        <f>ABS((C4236-EDA!$F$15)/EDA!$G$15)</f>
        <v>0.37066146090145252</v>
      </c>
      <c r="M4236" t="str">
        <f>IF(moras[[#This Row],[Z-Score Salario]]&gt;1.96, "Sí", "No")</f>
        <v>No</v>
      </c>
      <c r="N4236" s="14">
        <f>IF(ISBLANK(moras[[#This Row],[SALARIO]]), EDA!$M$8, moras[[#This Row],[SALARIO]])</f>
        <v>300018</v>
      </c>
      <c r="O4236" s="14">
        <f xml:space="preserve"> IF(ISBLANK(moras[[#This Row],[EDAD]]), EDA!$E$8, moras[[#This Row],[EDAD]])</f>
        <v>38</v>
      </c>
      <c r="P4236" s="14" t="str">
        <f>IF(
    OR(ISBLANK(moras[[#This Row],[TIPO_ASEGURAMIENTO]]), moras[[#This Row],[TIPO_ASEGURAMIENTO]]=""),
    EDA!$A$32,
    moras[[#This Row],[TIPO_ASEGURAMIENTO]]
)</f>
        <v>TRABAJADOR INDEPENDIENTE</v>
      </c>
    </row>
    <row r="4237" spans="1:16" x14ac:dyDescent="0.3">
      <c r="A4237">
        <v>4236</v>
      </c>
      <c r="B4237" t="s">
        <v>15</v>
      </c>
      <c r="C4237">
        <v>326749</v>
      </c>
      <c r="D4237" t="s">
        <v>18</v>
      </c>
      <c r="E4237" t="s">
        <v>16</v>
      </c>
      <c r="F4237" t="s">
        <v>12</v>
      </c>
      <c r="G4237" t="s">
        <v>13</v>
      </c>
      <c r="H4237" t="s">
        <v>12</v>
      </c>
      <c r="I4237">
        <v>34</v>
      </c>
      <c r="J4237">
        <f>ABS((I4237-EDA!$A$15)/EDA!$B$15)</f>
        <v>0.56316232775838282</v>
      </c>
      <c r="K4237" t="str">
        <f t="shared" si="66"/>
        <v>No</v>
      </c>
      <c r="L4237">
        <f>ABS((C4237-EDA!$F$15)/EDA!$G$15)</f>
        <v>0.37021663819171358</v>
      </c>
      <c r="M4237" t="str">
        <f>IF(moras[[#This Row],[Z-Score Salario]]&gt;1.96, "Sí", "No")</f>
        <v>No</v>
      </c>
      <c r="N4237" s="14">
        <f>IF(ISBLANK(moras[[#This Row],[SALARIO]]), EDA!$M$8, moras[[#This Row],[SALARIO]])</f>
        <v>326749</v>
      </c>
      <c r="O4237" s="14">
        <f xml:space="preserve"> IF(ISBLANK(moras[[#This Row],[EDAD]]), EDA!$E$8, moras[[#This Row],[EDAD]])</f>
        <v>34</v>
      </c>
      <c r="P4237" s="14" t="str">
        <f>IF(
    OR(ISBLANK(moras[[#This Row],[TIPO_ASEGURAMIENTO]]), moras[[#This Row],[TIPO_ASEGURAMIENTO]]=""),
    EDA!$A$32,
    moras[[#This Row],[TIPO_ASEGURAMIENTO]]
)</f>
        <v>TRABAJADOR INDEPENDIENTE</v>
      </c>
    </row>
    <row r="4238" spans="1:16" x14ac:dyDescent="0.3">
      <c r="A4238">
        <v>4237</v>
      </c>
      <c r="B4238" t="s">
        <v>15</v>
      </c>
      <c r="C4238">
        <v>3553104</v>
      </c>
      <c r="D4238" t="s">
        <v>10</v>
      </c>
      <c r="E4238" t="s">
        <v>16</v>
      </c>
      <c r="F4238" t="s">
        <v>12</v>
      </c>
      <c r="G4238" t="s">
        <v>13</v>
      </c>
      <c r="H4238" t="s">
        <v>13</v>
      </c>
      <c r="I4238">
        <v>22</v>
      </c>
      <c r="J4238">
        <f>ABS((I4238-EDA!$A$15)/EDA!$B$15)</f>
        <v>1.4100662886840327</v>
      </c>
      <c r="K4238" t="str">
        <f t="shared" si="66"/>
        <v>No</v>
      </c>
      <c r="L4238">
        <f>ABS((C4238-EDA!$F$15)/EDA!$G$15)</f>
        <v>0.31652781346836667</v>
      </c>
      <c r="M4238" t="str">
        <f>IF(moras[[#This Row],[Z-Score Salario]]&gt;1.96, "Sí", "No")</f>
        <v>No</v>
      </c>
      <c r="N4238" s="14">
        <f>IF(ISBLANK(moras[[#This Row],[SALARIO]]), EDA!$M$8, moras[[#This Row],[SALARIO]])</f>
        <v>3553104</v>
      </c>
      <c r="O4238" s="14">
        <f xml:space="preserve"> IF(ISBLANK(moras[[#This Row],[EDAD]]), EDA!$E$8, moras[[#This Row],[EDAD]])</f>
        <v>22</v>
      </c>
      <c r="P4238" s="14" t="str">
        <f>IF(
    OR(ISBLANK(moras[[#This Row],[TIPO_ASEGURAMIENTO]]), moras[[#This Row],[TIPO_ASEGURAMIENTO]]=""),
    EDA!$A$32,
    moras[[#This Row],[TIPO_ASEGURAMIENTO]]
)</f>
        <v>ASALARIADO</v>
      </c>
    </row>
    <row r="4239" spans="1:16" x14ac:dyDescent="0.3">
      <c r="A4239">
        <v>4238</v>
      </c>
      <c r="B4239" t="s">
        <v>9</v>
      </c>
      <c r="C4239">
        <v>278030</v>
      </c>
      <c r="D4239" t="s">
        <v>19</v>
      </c>
      <c r="E4239" t="s">
        <v>16</v>
      </c>
      <c r="F4239" t="s">
        <v>12</v>
      </c>
      <c r="G4239" t="s">
        <v>13</v>
      </c>
      <c r="H4239" t="s">
        <v>13</v>
      </c>
      <c r="I4239">
        <v>49</v>
      </c>
      <c r="J4239">
        <f>ABS((I4239-EDA!$A$15)/EDA!$B$15)</f>
        <v>0.49546762339867978</v>
      </c>
      <c r="K4239" t="str">
        <f t="shared" si="66"/>
        <v>No</v>
      </c>
      <c r="L4239">
        <f>ABS((C4239-EDA!$F$15)/EDA!$G$15)</f>
        <v>0.37102735674304993</v>
      </c>
      <c r="M4239" t="str">
        <f>IF(moras[[#This Row],[Z-Score Salario]]&gt;1.96, "Sí", "No")</f>
        <v>No</v>
      </c>
      <c r="N4239" s="14">
        <f>IF(ISBLANK(moras[[#This Row],[SALARIO]]), EDA!$M$8, moras[[#This Row],[SALARIO]])</f>
        <v>278030</v>
      </c>
      <c r="O4239" s="14">
        <f xml:space="preserve"> IF(ISBLANK(moras[[#This Row],[EDAD]]), EDA!$E$8, moras[[#This Row],[EDAD]])</f>
        <v>49</v>
      </c>
      <c r="P4239" s="14" t="str">
        <f>IF(
    OR(ISBLANK(moras[[#This Row],[TIPO_ASEGURAMIENTO]]), moras[[#This Row],[TIPO_ASEGURAMIENTO]]=""),
    EDA!$A$32,
    moras[[#This Row],[TIPO_ASEGURAMIENTO]]
)</f>
        <v>CONVENIOS ESPECIALES DE TRABAJADORES INDEPENDIENTES</v>
      </c>
    </row>
    <row r="4240" spans="1:16" x14ac:dyDescent="0.3">
      <c r="A4240">
        <v>4239</v>
      </c>
      <c r="B4240" t="s">
        <v>9</v>
      </c>
      <c r="C4240">
        <v>24715136</v>
      </c>
      <c r="D4240" t="s">
        <v>10</v>
      </c>
      <c r="E4240" t="s">
        <v>11</v>
      </c>
      <c r="F4240" t="s">
        <v>12</v>
      </c>
      <c r="G4240" t="s">
        <v>13</v>
      </c>
      <c r="H4240" t="s">
        <v>13</v>
      </c>
      <c r="I4240">
        <v>56</v>
      </c>
      <c r="J4240">
        <f>ABS((I4240-EDA!$A$15)/EDA!$B$15)</f>
        <v>0.9894949339386423</v>
      </c>
      <c r="K4240" t="str">
        <f t="shared" si="66"/>
        <v>No</v>
      </c>
      <c r="L4240">
        <f>ABS((C4240-EDA!$F$15)/EDA!$G$15)</f>
        <v>3.5623337548139185E-2</v>
      </c>
      <c r="M4240" t="str">
        <f>IF(moras[[#This Row],[Z-Score Salario]]&gt;1.96, "Sí", "No")</f>
        <v>No</v>
      </c>
      <c r="N4240" s="14">
        <f>IF(ISBLANK(moras[[#This Row],[SALARIO]]), EDA!$M$8, moras[[#This Row],[SALARIO]])</f>
        <v>24715136</v>
      </c>
      <c r="O4240" s="14">
        <f xml:space="preserve"> IF(ISBLANK(moras[[#This Row],[EDAD]]), EDA!$E$8, moras[[#This Row],[EDAD]])</f>
        <v>56</v>
      </c>
      <c r="P4240" s="14" t="str">
        <f>IF(
    OR(ISBLANK(moras[[#This Row],[TIPO_ASEGURAMIENTO]]), moras[[#This Row],[TIPO_ASEGURAMIENTO]]=""),
    EDA!$A$32,
    moras[[#This Row],[TIPO_ASEGURAMIENTO]]
)</f>
        <v>ASALARIADO</v>
      </c>
    </row>
    <row r="4241" spans="1:16" x14ac:dyDescent="0.3">
      <c r="A4241">
        <v>4240</v>
      </c>
      <c r="B4241" t="s">
        <v>9</v>
      </c>
      <c r="C4241">
        <v>297046</v>
      </c>
      <c r="D4241" t="s">
        <v>18</v>
      </c>
      <c r="E4241" t="s">
        <v>16</v>
      </c>
      <c r="F4241" t="s">
        <v>12</v>
      </c>
      <c r="G4241" t="s">
        <v>13</v>
      </c>
      <c r="H4241" t="s">
        <v>12</v>
      </c>
      <c r="I4241">
        <v>35</v>
      </c>
      <c r="J4241">
        <f>ABS((I4241-EDA!$A$15)/EDA!$B$15)</f>
        <v>0.49258699768124525</v>
      </c>
      <c r="K4241" t="str">
        <f t="shared" si="66"/>
        <v>No</v>
      </c>
      <c r="L4241">
        <f>ABS((C4241-EDA!$F$15)/EDA!$G$15)</f>
        <v>0.37071091707942361</v>
      </c>
      <c r="M4241" t="str">
        <f>IF(moras[[#This Row],[Z-Score Salario]]&gt;1.96, "Sí", "No")</f>
        <v>No</v>
      </c>
      <c r="N4241" s="14">
        <f>IF(ISBLANK(moras[[#This Row],[SALARIO]]), EDA!$M$8, moras[[#This Row],[SALARIO]])</f>
        <v>297046</v>
      </c>
      <c r="O4241" s="14">
        <f xml:space="preserve"> IF(ISBLANK(moras[[#This Row],[EDAD]]), EDA!$E$8, moras[[#This Row],[EDAD]])</f>
        <v>35</v>
      </c>
      <c r="P4241" s="14" t="str">
        <f>IF(
    OR(ISBLANK(moras[[#This Row],[TIPO_ASEGURAMIENTO]]), moras[[#This Row],[TIPO_ASEGURAMIENTO]]=""),
    EDA!$A$32,
    moras[[#This Row],[TIPO_ASEGURAMIENTO]]
)</f>
        <v>TRABAJADOR INDEPENDIENTE</v>
      </c>
    </row>
    <row r="4242" spans="1:16" x14ac:dyDescent="0.3">
      <c r="A4242">
        <v>4241</v>
      </c>
      <c r="B4242" t="s">
        <v>9</v>
      </c>
      <c r="C4242">
        <v>300018</v>
      </c>
      <c r="D4242" t="s">
        <v>17</v>
      </c>
      <c r="E4242" t="s">
        <v>16</v>
      </c>
      <c r="F4242" t="s">
        <v>12</v>
      </c>
      <c r="G4242" t="s">
        <v>13</v>
      </c>
      <c r="H4242" t="s">
        <v>13</v>
      </c>
      <c r="I4242">
        <v>68</v>
      </c>
      <c r="J4242">
        <f>ABS((I4242-EDA!$A$15)/EDA!$B$15)</f>
        <v>1.8363988948642924</v>
      </c>
      <c r="K4242" t="str">
        <f t="shared" si="66"/>
        <v>No</v>
      </c>
      <c r="L4242">
        <f>ABS((C4242-EDA!$F$15)/EDA!$G$15)</f>
        <v>0.37066146090145252</v>
      </c>
      <c r="M4242" t="str">
        <f>IF(moras[[#This Row],[Z-Score Salario]]&gt;1.96, "Sí", "No")</f>
        <v>No</v>
      </c>
      <c r="N4242" s="14">
        <f>IF(ISBLANK(moras[[#This Row],[SALARIO]]), EDA!$M$8, moras[[#This Row],[SALARIO]])</f>
        <v>300018</v>
      </c>
      <c r="O4242" s="14">
        <f xml:space="preserve"> IF(ISBLANK(moras[[#This Row],[EDAD]]), EDA!$E$8, moras[[#This Row],[EDAD]])</f>
        <v>68</v>
      </c>
      <c r="P4242" s="14" t="str">
        <f>IF(
    OR(ISBLANK(moras[[#This Row],[TIPO_ASEGURAMIENTO]]), moras[[#This Row],[TIPO_ASEGURAMIENTO]]=""),
    EDA!$A$32,
    moras[[#This Row],[TIPO_ASEGURAMIENTO]]
)</f>
        <v>ASEGURADO VOLUNTARIO</v>
      </c>
    </row>
    <row r="4243" spans="1:16" x14ac:dyDescent="0.3">
      <c r="A4243">
        <v>4242</v>
      </c>
      <c r="B4243" t="s">
        <v>15</v>
      </c>
      <c r="C4243">
        <v>72107</v>
      </c>
      <c r="D4243" t="s">
        <v>10</v>
      </c>
      <c r="E4243" t="s">
        <v>16</v>
      </c>
      <c r="F4243" t="s">
        <v>12</v>
      </c>
      <c r="G4243" t="s">
        <v>13</v>
      </c>
      <c r="H4243" t="s">
        <v>12</v>
      </c>
      <c r="I4243">
        <v>24</v>
      </c>
      <c r="J4243">
        <f>ABS((I4243-EDA!$A$15)/EDA!$B$15)</f>
        <v>1.2689156285297578</v>
      </c>
      <c r="K4243" t="str">
        <f t="shared" si="66"/>
        <v>No</v>
      </c>
      <c r="L4243">
        <f>ABS((C4243-EDA!$F$15)/EDA!$G$15)</f>
        <v>0.37445406082660732</v>
      </c>
      <c r="M4243" t="str">
        <f>IF(moras[[#This Row],[Z-Score Salario]]&gt;1.96, "Sí", "No")</f>
        <v>No</v>
      </c>
      <c r="N4243" s="14">
        <f>IF(ISBLANK(moras[[#This Row],[SALARIO]]), EDA!$M$8, moras[[#This Row],[SALARIO]])</f>
        <v>72107</v>
      </c>
      <c r="O4243" s="14">
        <f xml:space="preserve"> IF(ISBLANK(moras[[#This Row],[EDAD]]), EDA!$E$8, moras[[#This Row],[EDAD]])</f>
        <v>24</v>
      </c>
      <c r="P4243" s="14" t="str">
        <f>IF(
    OR(ISBLANK(moras[[#This Row],[TIPO_ASEGURAMIENTO]]), moras[[#This Row],[TIPO_ASEGURAMIENTO]]=""),
    EDA!$A$32,
    moras[[#This Row],[TIPO_ASEGURAMIENTO]]
)</f>
        <v>ASALARIADO</v>
      </c>
    </row>
    <row r="4244" spans="1:16" x14ac:dyDescent="0.3">
      <c r="A4244">
        <v>4243</v>
      </c>
      <c r="B4244" t="s">
        <v>15</v>
      </c>
      <c r="C4244">
        <v>348503</v>
      </c>
      <c r="D4244" t="s">
        <v>10</v>
      </c>
      <c r="E4244" t="s">
        <v>16</v>
      </c>
      <c r="F4244" t="s">
        <v>12</v>
      </c>
      <c r="G4244" t="s">
        <v>13</v>
      </c>
      <c r="H4244" t="s">
        <v>13</v>
      </c>
      <c r="I4244">
        <v>41</v>
      </c>
      <c r="J4244">
        <f>ABS((I4244-EDA!$A$15)/EDA!$B$15)</f>
        <v>6.9135017218420233E-2</v>
      </c>
      <c r="K4244" t="str">
        <f t="shared" si="66"/>
        <v>No</v>
      </c>
      <c r="L4244">
        <f>ABS((C4244-EDA!$F$15)/EDA!$G$15)</f>
        <v>0.36985463627529963</v>
      </c>
      <c r="M4244" t="str">
        <f>IF(moras[[#This Row],[Z-Score Salario]]&gt;1.96, "Sí", "No")</f>
        <v>No</v>
      </c>
      <c r="N4244" s="14">
        <f>IF(ISBLANK(moras[[#This Row],[SALARIO]]), EDA!$M$8, moras[[#This Row],[SALARIO]])</f>
        <v>348503</v>
      </c>
      <c r="O4244" s="14">
        <f xml:space="preserve"> IF(ISBLANK(moras[[#This Row],[EDAD]]), EDA!$E$8, moras[[#This Row],[EDAD]])</f>
        <v>41</v>
      </c>
      <c r="P4244" s="14" t="str">
        <f>IF(
    OR(ISBLANK(moras[[#This Row],[TIPO_ASEGURAMIENTO]]), moras[[#This Row],[TIPO_ASEGURAMIENTO]]=""),
    EDA!$A$32,
    moras[[#This Row],[TIPO_ASEGURAMIENTO]]
)</f>
        <v>ASALARIADO</v>
      </c>
    </row>
    <row r="4245" spans="1:16" x14ac:dyDescent="0.3">
      <c r="A4245">
        <v>4244</v>
      </c>
      <c r="B4245" t="s">
        <v>9</v>
      </c>
      <c r="C4245">
        <v>642383</v>
      </c>
      <c r="D4245" t="s">
        <v>10</v>
      </c>
      <c r="E4245" t="s">
        <v>11</v>
      </c>
      <c r="F4245" t="s">
        <v>12</v>
      </c>
      <c r="G4245" t="s">
        <v>13</v>
      </c>
      <c r="H4245" t="s">
        <v>13</v>
      </c>
      <c r="I4245">
        <v>27</v>
      </c>
      <c r="J4245">
        <f>ABS((I4245-EDA!$A$15)/EDA!$B$15)</f>
        <v>1.0571896382983452</v>
      </c>
      <c r="K4245" t="str">
        <f t="shared" si="66"/>
        <v>No</v>
      </c>
      <c r="L4245">
        <f>ABS((C4245-EDA!$F$15)/EDA!$G$15)</f>
        <v>0.36496426562182316</v>
      </c>
      <c r="M4245" t="str">
        <f>IF(moras[[#This Row],[Z-Score Salario]]&gt;1.96, "Sí", "No")</f>
        <v>No</v>
      </c>
      <c r="N4245" s="14">
        <f>IF(ISBLANK(moras[[#This Row],[SALARIO]]), EDA!$M$8, moras[[#This Row],[SALARIO]])</f>
        <v>642383</v>
      </c>
      <c r="O4245" s="14">
        <f xml:space="preserve"> IF(ISBLANK(moras[[#This Row],[EDAD]]), EDA!$E$8, moras[[#This Row],[EDAD]])</f>
        <v>27</v>
      </c>
      <c r="P4245" s="14" t="str">
        <f>IF(
    OR(ISBLANK(moras[[#This Row],[TIPO_ASEGURAMIENTO]]), moras[[#This Row],[TIPO_ASEGURAMIENTO]]=""),
    EDA!$A$32,
    moras[[#This Row],[TIPO_ASEGURAMIENTO]]
)</f>
        <v>ASALARIADO</v>
      </c>
    </row>
    <row r="4246" spans="1:16" x14ac:dyDescent="0.3">
      <c r="A4246">
        <v>4245</v>
      </c>
      <c r="B4246" t="s">
        <v>15</v>
      </c>
      <c r="C4246">
        <v>21850848</v>
      </c>
      <c r="D4246" t="s">
        <v>10</v>
      </c>
      <c r="E4246" t="s">
        <v>16</v>
      </c>
      <c r="F4246" t="s">
        <v>12</v>
      </c>
      <c r="G4246" t="s">
        <v>12</v>
      </c>
      <c r="H4246" t="s">
        <v>12</v>
      </c>
      <c r="I4246">
        <v>49</v>
      </c>
      <c r="J4246">
        <f>ABS((I4246-EDA!$A$15)/EDA!$B$15)</f>
        <v>0.49546762339867978</v>
      </c>
      <c r="K4246" t="str">
        <f t="shared" si="66"/>
        <v>No</v>
      </c>
      <c r="L4246">
        <f>ABS((C4246-EDA!$F$15)/EDA!$G$15)</f>
        <v>1.2040436707696242E-2</v>
      </c>
      <c r="M4246" t="str">
        <f>IF(moras[[#This Row],[Z-Score Salario]]&gt;1.96, "Sí", "No")</f>
        <v>No</v>
      </c>
      <c r="N4246" s="14">
        <f>IF(ISBLANK(moras[[#This Row],[SALARIO]]), EDA!$M$8, moras[[#This Row],[SALARIO]])</f>
        <v>21850848</v>
      </c>
      <c r="O4246" s="14">
        <f xml:space="preserve"> IF(ISBLANK(moras[[#This Row],[EDAD]]), EDA!$E$8, moras[[#This Row],[EDAD]])</f>
        <v>49</v>
      </c>
      <c r="P4246" s="14" t="str">
        <f>IF(
    OR(ISBLANK(moras[[#This Row],[TIPO_ASEGURAMIENTO]]), moras[[#This Row],[TIPO_ASEGURAMIENTO]]=""),
    EDA!$A$32,
    moras[[#This Row],[TIPO_ASEGURAMIENTO]]
)</f>
        <v>ASALARIADO</v>
      </c>
    </row>
    <row r="4247" spans="1:16" x14ac:dyDescent="0.3">
      <c r="A4247">
        <v>4246</v>
      </c>
      <c r="B4247" t="s">
        <v>9</v>
      </c>
      <c r="C4247">
        <v>65000012</v>
      </c>
      <c r="D4247" t="s">
        <v>10</v>
      </c>
      <c r="E4247" t="s">
        <v>16</v>
      </c>
      <c r="F4247" t="s">
        <v>12</v>
      </c>
      <c r="G4247" t="s">
        <v>13</v>
      </c>
      <c r="H4247" t="s">
        <v>13</v>
      </c>
      <c r="I4247">
        <v>27</v>
      </c>
      <c r="J4247">
        <f>ABS((I4247-EDA!$A$15)/EDA!$B$15)</f>
        <v>1.0571896382983452</v>
      </c>
      <c r="K4247" t="str">
        <f t="shared" si="66"/>
        <v>No</v>
      </c>
      <c r="L4247">
        <f>ABS((C4247-EDA!$F$15)/EDA!$G$15)</f>
        <v>0.70599211177346932</v>
      </c>
      <c r="M4247" t="str">
        <f>IF(moras[[#This Row],[Z-Score Salario]]&gt;1.96, "Sí", "No")</f>
        <v>No</v>
      </c>
      <c r="N4247" s="14">
        <f>IF(ISBLANK(moras[[#This Row],[SALARIO]]), EDA!$M$8, moras[[#This Row],[SALARIO]])</f>
        <v>65000012</v>
      </c>
      <c r="O4247" s="14">
        <f xml:space="preserve"> IF(ISBLANK(moras[[#This Row],[EDAD]]), EDA!$E$8, moras[[#This Row],[EDAD]])</f>
        <v>27</v>
      </c>
      <c r="P4247" s="14" t="str">
        <f>IF(
    OR(ISBLANK(moras[[#This Row],[TIPO_ASEGURAMIENTO]]), moras[[#This Row],[TIPO_ASEGURAMIENTO]]=""),
    EDA!$A$32,
    moras[[#This Row],[TIPO_ASEGURAMIENTO]]
)</f>
        <v>ASALARIADO</v>
      </c>
    </row>
    <row r="4248" spans="1:16" x14ac:dyDescent="0.3">
      <c r="A4248">
        <v>4247</v>
      </c>
      <c r="B4248" t="s">
        <v>9</v>
      </c>
      <c r="C4248">
        <v>406358</v>
      </c>
      <c r="D4248" t="s">
        <v>18</v>
      </c>
      <c r="E4248" t="s">
        <v>16</v>
      </c>
      <c r="F4248" t="s">
        <v>12</v>
      </c>
      <c r="G4248" t="s">
        <v>13</v>
      </c>
      <c r="H4248" t="s">
        <v>12</v>
      </c>
      <c r="I4248">
        <v>60</v>
      </c>
      <c r="J4248">
        <f>ABS((I4248-EDA!$A$15)/EDA!$B$15)</f>
        <v>1.2717962542471923</v>
      </c>
      <c r="K4248" t="str">
        <f t="shared" si="66"/>
        <v>No</v>
      </c>
      <c r="L4248">
        <f>ABS((C4248-EDA!$F$15)/EDA!$G$15)</f>
        <v>0.3688918882347495</v>
      </c>
      <c r="M4248" t="str">
        <f>IF(moras[[#This Row],[Z-Score Salario]]&gt;1.96, "Sí", "No")</f>
        <v>No</v>
      </c>
      <c r="N4248" s="14">
        <f>IF(ISBLANK(moras[[#This Row],[SALARIO]]), EDA!$M$8, moras[[#This Row],[SALARIO]])</f>
        <v>406358</v>
      </c>
      <c r="O4248" s="14">
        <f xml:space="preserve"> IF(ISBLANK(moras[[#This Row],[EDAD]]), EDA!$E$8, moras[[#This Row],[EDAD]])</f>
        <v>60</v>
      </c>
      <c r="P4248" s="14" t="str">
        <f>IF(
    OR(ISBLANK(moras[[#This Row],[TIPO_ASEGURAMIENTO]]), moras[[#This Row],[TIPO_ASEGURAMIENTO]]=""),
    EDA!$A$32,
    moras[[#This Row],[TIPO_ASEGURAMIENTO]]
)</f>
        <v>TRABAJADOR INDEPENDIENTE</v>
      </c>
    </row>
    <row r="4249" spans="1:16" x14ac:dyDescent="0.3">
      <c r="A4249">
        <v>4248</v>
      </c>
      <c r="B4249" t="s">
        <v>9</v>
      </c>
      <c r="C4249">
        <v>100000</v>
      </c>
      <c r="D4249" t="s">
        <v>10</v>
      </c>
      <c r="E4249" t="s">
        <v>16</v>
      </c>
      <c r="F4249" t="s">
        <v>12</v>
      </c>
      <c r="G4249" t="s">
        <v>13</v>
      </c>
      <c r="H4249" t="s">
        <v>13</v>
      </c>
      <c r="I4249">
        <v>56</v>
      </c>
      <c r="J4249">
        <f>ABS((I4249-EDA!$A$15)/EDA!$B$15)</f>
        <v>0.9894949339386423</v>
      </c>
      <c r="K4249" t="str">
        <f t="shared" si="66"/>
        <v>No</v>
      </c>
      <c r="L4249">
        <f>ABS((C4249-EDA!$F$15)/EDA!$G$15)</f>
        <v>0.3739899016165984</v>
      </c>
      <c r="M4249" t="str">
        <f>IF(moras[[#This Row],[Z-Score Salario]]&gt;1.96, "Sí", "No")</f>
        <v>No</v>
      </c>
      <c r="N4249" s="14">
        <f>IF(ISBLANK(moras[[#This Row],[SALARIO]]), EDA!$M$8, moras[[#This Row],[SALARIO]])</f>
        <v>100000</v>
      </c>
      <c r="O4249" s="14">
        <f xml:space="preserve"> IF(ISBLANK(moras[[#This Row],[EDAD]]), EDA!$E$8, moras[[#This Row],[EDAD]])</f>
        <v>56</v>
      </c>
      <c r="P4249" s="14" t="str">
        <f>IF(
    OR(ISBLANK(moras[[#This Row],[TIPO_ASEGURAMIENTO]]), moras[[#This Row],[TIPO_ASEGURAMIENTO]]=""),
    EDA!$A$32,
    moras[[#This Row],[TIPO_ASEGURAMIENTO]]
)</f>
        <v>ASALARIADO</v>
      </c>
    </row>
    <row r="4250" spans="1:16" x14ac:dyDescent="0.3">
      <c r="A4250">
        <v>4249</v>
      </c>
      <c r="B4250" t="s">
        <v>9</v>
      </c>
      <c r="C4250">
        <v>1710135</v>
      </c>
      <c r="D4250" t="s">
        <v>10</v>
      </c>
      <c r="E4250" t="s">
        <v>16</v>
      </c>
      <c r="F4250" t="s">
        <v>12</v>
      </c>
      <c r="G4250" t="s">
        <v>13</v>
      </c>
      <c r="H4250" t="s">
        <v>13</v>
      </c>
      <c r="I4250">
        <v>24</v>
      </c>
      <c r="J4250">
        <f>ABS((I4250-EDA!$A$15)/EDA!$B$15)</f>
        <v>1.2689156285297578</v>
      </c>
      <c r="K4250" t="str">
        <f t="shared" si="66"/>
        <v>No</v>
      </c>
      <c r="L4250">
        <f>ABS((C4250-EDA!$F$15)/EDA!$G$15)</f>
        <v>0.34719611860266281</v>
      </c>
      <c r="M4250" t="str">
        <f>IF(moras[[#This Row],[Z-Score Salario]]&gt;1.96, "Sí", "No")</f>
        <v>No</v>
      </c>
      <c r="N4250" s="14">
        <f>IF(ISBLANK(moras[[#This Row],[SALARIO]]), EDA!$M$8, moras[[#This Row],[SALARIO]])</f>
        <v>1710135</v>
      </c>
      <c r="O4250" s="14">
        <f xml:space="preserve"> IF(ISBLANK(moras[[#This Row],[EDAD]]), EDA!$E$8, moras[[#This Row],[EDAD]])</f>
        <v>24</v>
      </c>
      <c r="P4250" s="14" t="str">
        <f>IF(
    OR(ISBLANK(moras[[#This Row],[TIPO_ASEGURAMIENTO]]), moras[[#This Row],[TIPO_ASEGURAMIENTO]]=""),
    EDA!$A$32,
    moras[[#This Row],[TIPO_ASEGURAMIENTO]]
)</f>
        <v>ASALARIADO</v>
      </c>
    </row>
    <row r="4251" spans="1:16" x14ac:dyDescent="0.3">
      <c r="A4251">
        <v>4250</v>
      </c>
      <c r="B4251" t="s">
        <v>15</v>
      </c>
      <c r="C4251">
        <v>9996605</v>
      </c>
      <c r="D4251" t="s">
        <v>10</v>
      </c>
      <c r="E4251" t="s">
        <v>16</v>
      </c>
      <c r="F4251" t="s">
        <v>12</v>
      </c>
      <c r="G4251" t="s">
        <v>12</v>
      </c>
      <c r="H4251" t="s">
        <v>13</v>
      </c>
      <c r="I4251">
        <v>30</v>
      </c>
      <c r="J4251">
        <f>ABS((I4251-EDA!$A$15)/EDA!$B$15)</f>
        <v>0.84546364806693275</v>
      </c>
      <c r="K4251" t="str">
        <f t="shared" si="66"/>
        <v>No</v>
      </c>
      <c r="L4251">
        <f>ABS((C4251-EDA!$F$15)/EDA!$G$15)</f>
        <v>0.20930340828241825</v>
      </c>
      <c r="M4251" t="str">
        <f>IF(moras[[#This Row],[Z-Score Salario]]&gt;1.96, "Sí", "No")</f>
        <v>No</v>
      </c>
      <c r="N4251" s="14">
        <f>IF(ISBLANK(moras[[#This Row],[SALARIO]]), EDA!$M$8, moras[[#This Row],[SALARIO]])</f>
        <v>9996605</v>
      </c>
      <c r="O4251" s="14">
        <f xml:space="preserve"> IF(ISBLANK(moras[[#This Row],[EDAD]]), EDA!$E$8, moras[[#This Row],[EDAD]])</f>
        <v>30</v>
      </c>
      <c r="P4251" s="14" t="str">
        <f>IF(
    OR(ISBLANK(moras[[#This Row],[TIPO_ASEGURAMIENTO]]), moras[[#This Row],[TIPO_ASEGURAMIENTO]]=""),
    EDA!$A$32,
    moras[[#This Row],[TIPO_ASEGURAMIENTO]]
)</f>
        <v>ASALARIADO</v>
      </c>
    </row>
    <row r="4252" spans="1:16" x14ac:dyDescent="0.3">
      <c r="A4252">
        <v>4251</v>
      </c>
      <c r="B4252" t="s">
        <v>9</v>
      </c>
      <c r="C4252">
        <v>37051781</v>
      </c>
      <c r="D4252" t="s">
        <v>10</v>
      </c>
      <c r="E4252" t="s">
        <v>16</v>
      </c>
      <c r="F4252" t="s">
        <v>12</v>
      </c>
      <c r="G4252" t="s">
        <v>13</v>
      </c>
      <c r="H4252" t="s">
        <v>13</v>
      </c>
      <c r="I4252">
        <v>28</v>
      </c>
      <c r="J4252">
        <f>ABS((I4252-EDA!$A$15)/EDA!$B$15)</f>
        <v>0.98661430822120777</v>
      </c>
      <c r="K4252" t="str">
        <f t="shared" si="66"/>
        <v>No</v>
      </c>
      <c r="L4252">
        <f>ABS((C4252-EDA!$F$15)/EDA!$G$15)</f>
        <v>0.24091381893631694</v>
      </c>
      <c r="M4252" t="str">
        <f>IF(moras[[#This Row],[Z-Score Salario]]&gt;1.96, "Sí", "No")</f>
        <v>No</v>
      </c>
      <c r="N4252" s="14">
        <f>IF(ISBLANK(moras[[#This Row],[SALARIO]]), EDA!$M$8, moras[[#This Row],[SALARIO]])</f>
        <v>37051781</v>
      </c>
      <c r="O4252" s="14">
        <f xml:space="preserve"> IF(ISBLANK(moras[[#This Row],[EDAD]]), EDA!$E$8, moras[[#This Row],[EDAD]])</f>
        <v>28</v>
      </c>
      <c r="P4252" s="14" t="str">
        <f>IF(
    OR(ISBLANK(moras[[#This Row],[TIPO_ASEGURAMIENTO]]), moras[[#This Row],[TIPO_ASEGURAMIENTO]]=""),
    EDA!$A$32,
    moras[[#This Row],[TIPO_ASEGURAMIENTO]]
)</f>
        <v>ASALARIADO</v>
      </c>
    </row>
    <row r="4253" spans="1:16" x14ac:dyDescent="0.3">
      <c r="A4253">
        <v>4252</v>
      </c>
      <c r="B4253" t="s">
        <v>9</v>
      </c>
      <c r="C4253">
        <v>47847357</v>
      </c>
      <c r="D4253" t="s">
        <v>10</v>
      </c>
      <c r="E4253" t="s">
        <v>16</v>
      </c>
      <c r="F4253" t="s">
        <v>12</v>
      </c>
      <c r="G4253" t="s">
        <v>13</v>
      </c>
      <c r="H4253" t="s">
        <v>13</v>
      </c>
      <c r="I4253">
        <v>26</v>
      </c>
      <c r="J4253">
        <f>ABS((I4253-EDA!$A$15)/EDA!$B$15)</f>
        <v>1.1277649683754829</v>
      </c>
      <c r="K4253" t="str">
        <f t="shared" si="66"/>
        <v>No</v>
      </c>
      <c r="L4253">
        <f>ABS((C4253-EDA!$F$15)/EDA!$G$15)</f>
        <v>0.42055982430509087</v>
      </c>
      <c r="M4253" t="str">
        <f>IF(moras[[#This Row],[Z-Score Salario]]&gt;1.96, "Sí", "No")</f>
        <v>No</v>
      </c>
      <c r="N4253" s="14">
        <f>IF(ISBLANK(moras[[#This Row],[SALARIO]]), EDA!$M$8, moras[[#This Row],[SALARIO]])</f>
        <v>47847357</v>
      </c>
      <c r="O4253" s="14">
        <f xml:space="preserve"> IF(ISBLANK(moras[[#This Row],[EDAD]]), EDA!$E$8, moras[[#This Row],[EDAD]])</f>
        <v>26</v>
      </c>
      <c r="P4253" s="14" t="str">
        <f>IF(
    OR(ISBLANK(moras[[#This Row],[TIPO_ASEGURAMIENTO]]), moras[[#This Row],[TIPO_ASEGURAMIENTO]]=""),
    EDA!$A$32,
    moras[[#This Row],[TIPO_ASEGURAMIENTO]]
)</f>
        <v>ASALARIADO</v>
      </c>
    </row>
    <row r="4254" spans="1:16" x14ac:dyDescent="0.3">
      <c r="A4254">
        <v>4253</v>
      </c>
      <c r="B4254" t="s">
        <v>15</v>
      </c>
      <c r="C4254">
        <v>48886443</v>
      </c>
      <c r="D4254" t="s">
        <v>10</v>
      </c>
      <c r="E4254" t="s">
        <v>11</v>
      </c>
      <c r="F4254" t="s">
        <v>12</v>
      </c>
      <c r="G4254" t="s">
        <v>13</v>
      </c>
      <c r="H4254" t="s">
        <v>13</v>
      </c>
      <c r="I4254">
        <v>25</v>
      </c>
      <c r="J4254">
        <f>ABS((I4254-EDA!$A$15)/EDA!$B$15)</f>
        <v>1.1983402984526204</v>
      </c>
      <c r="K4254" t="str">
        <f t="shared" si="66"/>
        <v>No</v>
      </c>
      <c r="L4254">
        <f>ABS((C4254-EDA!$F$15)/EDA!$G$15)</f>
        <v>0.43785094884857217</v>
      </c>
      <c r="M4254" t="str">
        <f>IF(moras[[#This Row],[Z-Score Salario]]&gt;1.96, "Sí", "No")</f>
        <v>No</v>
      </c>
      <c r="N4254" s="14">
        <f>IF(ISBLANK(moras[[#This Row],[SALARIO]]), EDA!$M$8, moras[[#This Row],[SALARIO]])</f>
        <v>48886443</v>
      </c>
      <c r="O4254" s="14">
        <f xml:space="preserve"> IF(ISBLANK(moras[[#This Row],[EDAD]]), EDA!$E$8, moras[[#This Row],[EDAD]])</f>
        <v>25</v>
      </c>
      <c r="P4254" s="14" t="str">
        <f>IF(
    OR(ISBLANK(moras[[#This Row],[TIPO_ASEGURAMIENTO]]), moras[[#This Row],[TIPO_ASEGURAMIENTO]]=""),
    EDA!$A$32,
    moras[[#This Row],[TIPO_ASEGURAMIENTO]]
)</f>
        <v>ASALARIADO</v>
      </c>
    </row>
    <row r="4255" spans="1:16" x14ac:dyDescent="0.3">
      <c r="A4255">
        <v>4254</v>
      </c>
      <c r="B4255" t="s">
        <v>9</v>
      </c>
      <c r="C4255">
        <v>440625</v>
      </c>
      <c r="D4255" t="s">
        <v>10</v>
      </c>
      <c r="E4255" t="s">
        <v>16</v>
      </c>
      <c r="F4255" t="s">
        <v>12</v>
      </c>
      <c r="G4255" t="s">
        <v>13</v>
      </c>
      <c r="H4255" t="s">
        <v>13</v>
      </c>
      <c r="I4255">
        <v>26</v>
      </c>
      <c r="J4255">
        <f>ABS((I4255-EDA!$A$15)/EDA!$B$15)</f>
        <v>1.1277649683754829</v>
      </c>
      <c r="K4255" t="str">
        <f t="shared" si="66"/>
        <v>No</v>
      </c>
      <c r="L4255">
        <f>ABS((C4255-EDA!$F$15)/EDA!$G$15)</f>
        <v>0.36832166116525622</v>
      </c>
      <c r="M4255" t="str">
        <f>IF(moras[[#This Row],[Z-Score Salario]]&gt;1.96, "Sí", "No")</f>
        <v>No</v>
      </c>
      <c r="N4255" s="14">
        <f>IF(ISBLANK(moras[[#This Row],[SALARIO]]), EDA!$M$8, moras[[#This Row],[SALARIO]])</f>
        <v>440625</v>
      </c>
      <c r="O4255" s="14">
        <f xml:space="preserve"> IF(ISBLANK(moras[[#This Row],[EDAD]]), EDA!$E$8, moras[[#This Row],[EDAD]])</f>
        <v>26</v>
      </c>
      <c r="P4255" s="14" t="str">
        <f>IF(
    OR(ISBLANK(moras[[#This Row],[TIPO_ASEGURAMIENTO]]), moras[[#This Row],[TIPO_ASEGURAMIENTO]]=""),
    EDA!$A$32,
    moras[[#This Row],[TIPO_ASEGURAMIENTO]]
)</f>
        <v>ASALARIADO</v>
      </c>
    </row>
    <row r="4256" spans="1:16" x14ac:dyDescent="0.3">
      <c r="A4256">
        <v>4255</v>
      </c>
      <c r="B4256" t="s">
        <v>9</v>
      </c>
      <c r="C4256">
        <v>32326627</v>
      </c>
      <c r="D4256" t="s">
        <v>10</v>
      </c>
      <c r="E4256" t="s">
        <v>16</v>
      </c>
      <c r="F4256" t="s">
        <v>12</v>
      </c>
      <c r="G4256" t="s">
        <v>13</v>
      </c>
      <c r="H4256" t="s">
        <v>13</v>
      </c>
      <c r="I4256">
        <v>26</v>
      </c>
      <c r="J4256">
        <f>ABS((I4256-EDA!$A$15)/EDA!$B$15)</f>
        <v>1.1277649683754829</v>
      </c>
      <c r="K4256" t="str">
        <f t="shared" si="66"/>
        <v>No</v>
      </c>
      <c r="L4256">
        <f>ABS((C4256-EDA!$F$15)/EDA!$G$15)</f>
        <v>0.16228392083247478</v>
      </c>
      <c r="M4256" t="str">
        <f>IF(moras[[#This Row],[Z-Score Salario]]&gt;1.96, "Sí", "No")</f>
        <v>No</v>
      </c>
      <c r="N4256" s="14">
        <f>IF(ISBLANK(moras[[#This Row],[SALARIO]]), EDA!$M$8, moras[[#This Row],[SALARIO]])</f>
        <v>32326627</v>
      </c>
      <c r="O4256" s="14">
        <f xml:space="preserve"> IF(ISBLANK(moras[[#This Row],[EDAD]]), EDA!$E$8, moras[[#This Row],[EDAD]])</f>
        <v>26</v>
      </c>
      <c r="P4256" s="14" t="str">
        <f>IF(
    OR(ISBLANK(moras[[#This Row],[TIPO_ASEGURAMIENTO]]), moras[[#This Row],[TIPO_ASEGURAMIENTO]]=""),
    EDA!$A$32,
    moras[[#This Row],[TIPO_ASEGURAMIENTO]]
)</f>
        <v>ASALARIADO</v>
      </c>
    </row>
    <row r="4257" spans="1:16" x14ac:dyDescent="0.3">
      <c r="A4257">
        <v>4256</v>
      </c>
      <c r="B4257" t="s">
        <v>9</v>
      </c>
      <c r="C4257">
        <v>525000</v>
      </c>
      <c r="D4257" t="s">
        <v>10</v>
      </c>
      <c r="E4257" t="s">
        <v>16</v>
      </c>
      <c r="F4257" t="s">
        <v>12</v>
      </c>
      <c r="G4257" t="s">
        <v>13</v>
      </c>
      <c r="H4257" t="s">
        <v>13</v>
      </c>
      <c r="I4257">
        <v>66</v>
      </c>
      <c r="J4257">
        <f>ABS((I4257-EDA!$A$15)/EDA!$B$15)</f>
        <v>1.6952482347100173</v>
      </c>
      <c r="K4257" t="str">
        <f t="shared" si="66"/>
        <v>No</v>
      </c>
      <c r="L4257">
        <f>ABS((C4257-EDA!$F$15)/EDA!$G$15)</f>
        <v>0.36691760160391457</v>
      </c>
      <c r="M4257" t="str">
        <f>IF(moras[[#This Row],[Z-Score Salario]]&gt;1.96, "Sí", "No")</f>
        <v>No</v>
      </c>
      <c r="N4257" s="14">
        <f>IF(ISBLANK(moras[[#This Row],[SALARIO]]), EDA!$M$8, moras[[#This Row],[SALARIO]])</f>
        <v>525000</v>
      </c>
      <c r="O4257" s="14">
        <f xml:space="preserve"> IF(ISBLANK(moras[[#This Row],[EDAD]]), EDA!$E$8, moras[[#This Row],[EDAD]])</f>
        <v>66</v>
      </c>
      <c r="P4257" s="14" t="str">
        <f>IF(
    OR(ISBLANK(moras[[#This Row],[TIPO_ASEGURAMIENTO]]), moras[[#This Row],[TIPO_ASEGURAMIENTO]]=""),
    EDA!$A$32,
    moras[[#This Row],[TIPO_ASEGURAMIENTO]]
)</f>
        <v>ASALARIADO</v>
      </c>
    </row>
    <row r="4258" spans="1:16" x14ac:dyDescent="0.3">
      <c r="A4258">
        <v>4257</v>
      </c>
      <c r="B4258" t="s">
        <v>15</v>
      </c>
      <c r="C4258">
        <v>297045</v>
      </c>
      <c r="D4258" t="s">
        <v>17</v>
      </c>
      <c r="E4258" t="s">
        <v>16</v>
      </c>
      <c r="F4258" t="s">
        <v>12</v>
      </c>
      <c r="G4258" t="s">
        <v>13</v>
      </c>
      <c r="H4258" t="s">
        <v>13</v>
      </c>
      <c r="I4258">
        <v>53</v>
      </c>
      <c r="J4258">
        <f>ABS((I4258-EDA!$A$15)/EDA!$B$15)</f>
        <v>0.77776894370722982</v>
      </c>
      <c r="K4258" t="str">
        <f t="shared" si="66"/>
        <v>No</v>
      </c>
      <c r="L4258">
        <f>ABS((C4258-EDA!$F$15)/EDA!$G$15)</f>
        <v>0.37071093372012948</v>
      </c>
      <c r="M4258" t="str">
        <f>IF(moras[[#This Row],[Z-Score Salario]]&gt;1.96, "Sí", "No")</f>
        <v>No</v>
      </c>
      <c r="N4258" s="14">
        <f>IF(ISBLANK(moras[[#This Row],[SALARIO]]), EDA!$M$8, moras[[#This Row],[SALARIO]])</f>
        <v>297045</v>
      </c>
      <c r="O4258" s="14">
        <f xml:space="preserve"> IF(ISBLANK(moras[[#This Row],[EDAD]]), EDA!$E$8, moras[[#This Row],[EDAD]])</f>
        <v>53</v>
      </c>
      <c r="P4258" s="14" t="str">
        <f>IF(
    OR(ISBLANK(moras[[#This Row],[TIPO_ASEGURAMIENTO]]), moras[[#This Row],[TIPO_ASEGURAMIENTO]]=""),
    EDA!$A$32,
    moras[[#This Row],[TIPO_ASEGURAMIENTO]]
)</f>
        <v>ASEGURADO VOLUNTARIO</v>
      </c>
    </row>
    <row r="4259" spans="1:16" x14ac:dyDescent="0.3">
      <c r="A4259">
        <v>4258</v>
      </c>
      <c r="B4259" t="s">
        <v>9</v>
      </c>
      <c r="C4259">
        <v>36644556</v>
      </c>
      <c r="D4259" t="s">
        <v>10</v>
      </c>
      <c r="E4259" t="s">
        <v>16</v>
      </c>
      <c r="F4259" t="s">
        <v>12</v>
      </c>
      <c r="G4259" t="s">
        <v>13</v>
      </c>
      <c r="H4259" t="s">
        <v>13</v>
      </c>
      <c r="I4259">
        <v>40</v>
      </c>
      <c r="J4259">
        <f>ABS((I4259-EDA!$A$15)/EDA!$B$15)</f>
        <v>0.13971034729555773</v>
      </c>
      <c r="K4259" t="str">
        <f t="shared" si="66"/>
        <v>No</v>
      </c>
      <c r="L4259">
        <f>ABS((C4259-EDA!$F$15)/EDA!$G$15)</f>
        <v>0.23413730747122244</v>
      </c>
      <c r="M4259" t="str">
        <f>IF(moras[[#This Row],[Z-Score Salario]]&gt;1.96, "Sí", "No")</f>
        <v>No</v>
      </c>
      <c r="N4259" s="14">
        <f>IF(ISBLANK(moras[[#This Row],[SALARIO]]), EDA!$M$8, moras[[#This Row],[SALARIO]])</f>
        <v>36644556</v>
      </c>
      <c r="O4259" s="14">
        <f xml:space="preserve"> IF(ISBLANK(moras[[#This Row],[EDAD]]), EDA!$E$8, moras[[#This Row],[EDAD]])</f>
        <v>40</v>
      </c>
      <c r="P4259" s="14" t="str">
        <f>IF(
    OR(ISBLANK(moras[[#This Row],[TIPO_ASEGURAMIENTO]]), moras[[#This Row],[TIPO_ASEGURAMIENTO]]=""),
    EDA!$A$32,
    moras[[#This Row],[TIPO_ASEGURAMIENTO]]
)</f>
        <v>ASALARIADO</v>
      </c>
    </row>
    <row r="4260" spans="1:16" x14ac:dyDescent="0.3">
      <c r="A4260">
        <v>4259</v>
      </c>
      <c r="B4260" t="s">
        <v>9</v>
      </c>
      <c r="C4260">
        <v>297586</v>
      </c>
      <c r="D4260" t="s">
        <v>17</v>
      </c>
      <c r="E4260" t="s">
        <v>16</v>
      </c>
      <c r="F4260" t="s">
        <v>12</v>
      </c>
      <c r="G4260" t="s">
        <v>12</v>
      </c>
      <c r="H4260" t="s">
        <v>13</v>
      </c>
      <c r="I4260">
        <v>61</v>
      </c>
      <c r="J4260">
        <f>ABS((I4260-EDA!$A$15)/EDA!$B$15)</f>
        <v>1.3423715843243298</v>
      </c>
      <c r="K4260" t="str">
        <f t="shared" si="66"/>
        <v>No</v>
      </c>
      <c r="L4260">
        <f>ABS((C4260-EDA!$F$15)/EDA!$G$15)</f>
        <v>0.37070193109823102</v>
      </c>
      <c r="M4260" t="str">
        <f>IF(moras[[#This Row],[Z-Score Salario]]&gt;1.96, "Sí", "No")</f>
        <v>No</v>
      </c>
      <c r="N4260" s="14">
        <f>IF(ISBLANK(moras[[#This Row],[SALARIO]]), EDA!$M$8, moras[[#This Row],[SALARIO]])</f>
        <v>297586</v>
      </c>
      <c r="O4260" s="14">
        <f xml:space="preserve"> IF(ISBLANK(moras[[#This Row],[EDAD]]), EDA!$E$8, moras[[#This Row],[EDAD]])</f>
        <v>61</v>
      </c>
      <c r="P4260" s="14" t="str">
        <f>IF(
    OR(ISBLANK(moras[[#This Row],[TIPO_ASEGURAMIENTO]]), moras[[#This Row],[TIPO_ASEGURAMIENTO]]=""),
    EDA!$A$32,
    moras[[#This Row],[TIPO_ASEGURAMIENTO]]
)</f>
        <v>ASEGURADO VOLUNTARIO</v>
      </c>
    </row>
    <row r="4261" spans="1:16" x14ac:dyDescent="0.3">
      <c r="A4261">
        <v>4260</v>
      </c>
      <c r="B4261" t="s">
        <v>15</v>
      </c>
      <c r="C4261">
        <v>1216185</v>
      </c>
      <c r="D4261" t="s">
        <v>10</v>
      </c>
      <c r="E4261" t="s">
        <v>11</v>
      </c>
      <c r="F4261" t="s">
        <v>12</v>
      </c>
      <c r="G4261" t="s">
        <v>13</v>
      </c>
      <c r="H4261" t="s">
        <v>12</v>
      </c>
      <c r="I4261">
        <v>45</v>
      </c>
      <c r="J4261">
        <f>ABS((I4261-EDA!$A$15)/EDA!$B$15)</f>
        <v>0.21316630309012977</v>
      </c>
      <c r="K4261" t="str">
        <f t="shared" si="66"/>
        <v>No</v>
      </c>
      <c r="L4261">
        <f>ABS((C4261-EDA!$F$15)/EDA!$G$15)</f>
        <v>0.35541579528799261</v>
      </c>
      <c r="M4261" t="str">
        <f>IF(moras[[#This Row],[Z-Score Salario]]&gt;1.96, "Sí", "No")</f>
        <v>No</v>
      </c>
      <c r="N4261" s="14">
        <f>IF(ISBLANK(moras[[#This Row],[SALARIO]]), EDA!$M$8, moras[[#This Row],[SALARIO]])</f>
        <v>1216185</v>
      </c>
      <c r="O4261" s="14">
        <f xml:space="preserve"> IF(ISBLANK(moras[[#This Row],[EDAD]]), EDA!$E$8, moras[[#This Row],[EDAD]])</f>
        <v>45</v>
      </c>
      <c r="P4261" s="14" t="str">
        <f>IF(
    OR(ISBLANK(moras[[#This Row],[TIPO_ASEGURAMIENTO]]), moras[[#This Row],[TIPO_ASEGURAMIENTO]]=""),
    EDA!$A$32,
    moras[[#This Row],[TIPO_ASEGURAMIENTO]]
)</f>
        <v>ASALARIADO</v>
      </c>
    </row>
    <row r="4262" spans="1:16" x14ac:dyDescent="0.3">
      <c r="A4262">
        <v>4261</v>
      </c>
      <c r="B4262" t="s">
        <v>9</v>
      </c>
      <c r="C4262">
        <v>57520833</v>
      </c>
      <c r="D4262" t="s">
        <v>10</v>
      </c>
      <c r="E4262" t="s">
        <v>16</v>
      </c>
      <c r="F4262" t="s">
        <v>12</v>
      </c>
      <c r="G4262" t="s">
        <v>13</v>
      </c>
      <c r="H4262" t="s">
        <v>13</v>
      </c>
      <c r="I4262">
        <v>24</v>
      </c>
      <c r="J4262">
        <f>ABS((I4262-EDA!$A$15)/EDA!$B$15)</f>
        <v>1.2689156285297578</v>
      </c>
      <c r="K4262" t="str">
        <f t="shared" si="66"/>
        <v>No</v>
      </c>
      <c r="L4262">
        <f>ABS((C4262-EDA!$F$15)/EDA!$G$15)</f>
        <v>0.58153329356978833</v>
      </c>
      <c r="M4262" t="str">
        <f>IF(moras[[#This Row],[Z-Score Salario]]&gt;1.96, "Sí", "No")</f>
        <v>No</v>
      </c>
      <c r="N4262" s="14">
        <f>IF(ISBLANK(moras[[#This Row],[SALARIO]]), EDA!$M$8, moras[[#This Row],[SALARIO]])</f>
        <v>57520833</v>
      </c>
      <c r="O4262" s="14">
        <f xml:space="preserve"> IF(ISBLANK(moras[[#This Row],[EDAD]]), EDA!$E$8, moras[[#This Row],[EDAD]])</f>
        <v>24</v>
      </c>
      <c r="P4262" s="14" t="str">
        <f>IF(
    OR(ISBLANK(moras[[#This Row],[TIPO_ASEGURAMIENTO]]), moras[[#This Row],[TIPO_ASEGURAMIENTO]]=""),
    EDA!$A$32,
    moras[[#This Row],[TIPO_ASEGURAMIENTO]]
)</f>
        <v>ASALARIADO</v>
      </c>
    </row>
    <row r="4263" spans="1:16" x14ac:dyDescent="0.3">
      <c r="A4263">
        <v>4262</v>
      </c>
      <c r="B4263" t="s">
        <v>15</v>
      </c>
      <c r="C4263">
        <v>297046</v>
      </c>
      <c r="D4263" t="s">
        <v>17</v>
      </c>
      <c r="E4263" t="s">
        <v>16</v>
      </c>
      <c r="F4263" t="s">
        <v>12</v>
      </c>
      <c r="G4263" t="s">
        <v>12</v>
      </c>
      <c r="H4263" t="s">
        <v>13</v>
      </c>
      <c r="I4263">
        <v>59</v>
      </c>
      <c r="J4263">
        <f>ABS((I4263-EDA!$A$15)/EDA!$B$15)</f>
        <v>1.2012209241700549</v>
      </c>
      <c r="K4263" t="str">
        <f t="shared" si="66"/>
        <v>No</v>
      </c>
      <c r="L4263">
        <f>ABS((C4263-EDA!$F$15)/EDA!$G$15)</f>
        <v>0.37071091707942361</v>
      </c>
      <c r="M4263" t="str">
        <f>IF(moras[[#This Row],[Z-Score Salario]]&gt;1.96, "Sí", "No")</f>
        <v>No</v>
      </c>
      <c r="N4263" s="14">
        <f>IF(ISBLANK(moras[[#This Row],[SALARIO]]), EDA!$M$8, moras[[#This Row],[SALARIO]])</f>
        <v>297046</v>
      </c>
      <c r="O4263" s="14">
        <f xml:space="preserve"> IF(ISBLANK(moras[[#This Row],[EDAD]]), EDA!$E$8, moras[[#This Row],[EDAD]])</f>
        <v>59</v>
      </c>
      <c r="P4263" s="14" t="str">
        <f>IF(
    OR(ISBLANK(moras[[#This Row],[TIPO_ASEGURAMIENTO]]), moras[[#This Row],[TIPO_ASEGURAMIENTO]]=""),
    EDA!$A$32,
    moras[[#This Row],[TIPO_ASEGURAMIENTO]]
)</f>
        <v>ASEGURADO VOLUNTARIO</v>
      </c>
    </row>
    <row r="4264" spans="1:16" x14ac:dyDescent="0.3">
      <c r="A4264">
        <v>4263</v>
      </c>
      <c r="B4264" t="s">
        <v>15</v>
      </c>
      <c r="C4264">
        <v>705273</v>
      </c>
      <c r="D4264" t="s">
        <v>10</v>
      </c>
      <c r="E4264" t="s">
        <v>16</v>
      </c>
      <c r="F4264" t="s">
        <v>12</v>
      </c>
      <c r="G4264" t="s">
        <v>13</v>
      </c>
      <c r="H4264" t="s">
        <v>13</v>
      </c>
      <c r="I4264">
        <v>45</v>
      </c>
      <c r="J4264">
        <f>ABS((I4264-EDA!$A$15)/EDA!$B$15)</f>
        <v>0.21316630309012977</v>
      </c>
      <c r="K4264" t="str">
        <f t="shared" si="66"/>
        <v>No</v>
      </c>
      <c r="L4264">
        <f>ABS((C4264-EDA!$F$15)/EDA!$G$15)</f>
        <v>0.36391773162700508</v>
      </c>
      <c r="M4264" t="str">
        <f>IF(moras[[#This Row],[Z-Score Salario]]&gt;1.96, "Sí", "No")</f>
        <v>No</v>
      </c>
      <c r="N4264" s="14">
        <f>IF(ISBLANK(moras[[#This Row],[SALARIO]]), EDA!$M$8, moras[[#This Row],[SALARIO]])</f>
        <v>705273</v>
      </c>
      <c r="O4264" s="14">
        <f xml:space="preserve"> IF(ISBLANK(moras[[#This Row],[EDAD]]), EDA!$E$8, moras[[#This Row],[EDAD]])</f>
        <v>45</v>
      </c>
      <c r="P4264" s="14" t="str">
        <f>IF(
    OR(ISBLANK(moras[[#This Row],[TIPO_ASEGURAMIENTO]]), moras[[#This Row],[TIPO_ASEGURAMIENTO]]=""),
    EDA!$A$32,
    moras[[#This Row],[TIPO_ASEGURAMIENTO]]
)</f>
        <v>ASALARIADO</v>
      </c>
    </row>
    <row r="4265" spans="1:16" x14ac:dyDescent="0.3">
      <c r="A4265">
        <v>4264</v>
      </c>
      <c r="B4265" t="s">
        <v>15</v>
      </c>
      <c r="C4265">
        <v>8896875</v>
      </c>
      <c r="D4265" t="s">
        <v>10</v>
      </c>
      <c r="E4265" t="s">
        <v>16</v>
      </c>
      <c r="F4265" t="s">
        <v>12</v>
      </c>
      <c r="G4265" t="s">
        <v>13</v>
      </c>
      <c r="H4265" t="s">
        <v>13</v>
      </c>
      <c r="I4265">
        <v>31</v>
      </c>
      <c r="J4265">
        <f>ABS((I4265-EDA!$A$15)/EDA!$B$15)</f>
        <v>0.77488831798979529</v>
      </c>
      <c r="K4265" t="str">
        <f t="shared" si="66"/>
        <v>No</v>
      </c>
      <c r="L4265">
        <f>ABS((C4265-EDA!$F$15)/EDA!$G$15)</f>
        <v>0.22760369179523884</v>
      </c>
      <c r="M4265" t="str">
        <f>IF(moras[[#This Row],[Z-Score Salario]]&gt;1.96, "Sí", "No")</f>
        <v>No</v>
      </c>
      <c r="N4265" s="14">
        <f>IF(ISBLANK(moras[[#This Row],[SALARIO]]), EDA!$M$8, moras[[#This Row],[SALARIO]])</f>
        <v>8896875</v>
      </c>
      <c r="O4265" s="14">
        <f xml:space="preserve"> IF(ISBLANK(moras[[#This Row],[EDAD]]), EDA!$E$8, moras[[#This Row],[EDAD]])</f>
        <v>31</v>
      </c>
      <c r="P4265" s="14" t="str">
        <f>IF(
    OR(ISBLANK(moras[[#This Row],[TIPO_ASEGURAMIENTO]]), moras[[#This Row],[TIPO_ASEGURAMIENTO]]=""),
    EDA!$A$32,
    moras[[#This Row],[TIPO_ASEGURAMIENTO]]
)</f>
        <v>ASALARIADO</v>
      </c>
    </row>
    <row r="4266" spans="1:16" x14ac:dyDescent="0.3">
      <c r="A4266">
        <v>4265</v>
      </c>
      <c r="B4266" t="s">
        <v>9</v>
      </c>
      <c r="C4266">
        <v>452193</v>
      </c>
      <c r="D4266" t="s">
        <v>18</v>
      </c>
      <c r="E4266" t="s">
        <v>16</v>
      </c>
      <c r="F4266" t="s">
        <v>12</v>
      </c>
      <c r="G4266" t="s">
        <v>13</v>
      </c>
      <c r="H4266" t="s">
        <v>13</v>
      </c>
      <c r="I4266">
        <v>58</v>
      </c>
      <c r="J4266">
        <f>ABS((I4266-EDA!$A$15)/EDA!$B$15)</f>
        <v>1.1306455940929174</v>
      </c>
      <c r="K4266" t="str">
        <f t="shared" si="66"/>
        <v>No</v>
      </c>
      <c r="L4266">
        <f>ABS((C4266-EDA!$F$15)/EDA!$G$15)</f>
        <v>0.36812916147926394</v>
      </c>
      <c r="M4266" t="str">
        <f>IF(moras[[#This Row],[Z-Score Salario]]&gt;1.96, "Sí", "No")</f>
        <v>No</v>
      </c>
      <c r="N4266" s="14">
        <f>IF(ISBLANK(moras[[#This Row],[SALARIO]]), EDA!$M$8, moras[[#This Row],[SALARIO]])</f>
        <v>452193</v>
      </c>
      <c r="O4266" s="14">
        <f xml:space="preserve"> IF(ISBLANK(moras[[#This Row],[EDAD]]), EDA!$E$8, moras[[#This Row],[EDAD]])</f>
        <v>58</v>
      </c>
      <c r="P4266" s="14" t="str">
        <f>IF(
    OR(ISBLANK(moras[[#This Row],[TIPO_ASEGURAMIENTO]]), moras[[#This Row],[TIPO_ASEGURAMIENTO]]=""),
    EDA!$A$32,
    moras[[#This Row],[TIPO_ASEGURAMIENTO]]
)</f>
        <v>TRABAJADOR INDEPENDIENTE</v>
      </c>
    </row>
    <row r="4267" spans="1:16" x14ac:dyDescent="0.3">
      <c r="A4267">
        <v>4266</v>
      </c>
      <c r="B4267" t="s">
        <v>15</v>
      </c>
      <c r="C4267">
        <v>367748</v>
      </c>
      <c r="D4267" t="s">
        <v>18</v>
      </c>
      <c r="E4267" t="s">
        <v>16</v>
      </c>
      <c r="F4267" t="s">
        <v>12</v>
      </c>
      <c r="G4267" t="s">
        <v>13</v>
      </c>
      <c r="H4267" t="s">
        <v>13</v>
      </c>
      <c r="I4267">
        <v>34</v>
      </c>
      <c r="J4267">
        <f>ABS((I4267-EDA!$A$15)/EDA!$B$15)</f>
        <v>0.56316232775838282</v>
      </c>
      <c r="K4267" t="str">
        <f t="shared" si="66"/>
        <v>No</v>
      </c>
      <c r="L4267">
        <f>ABS((C4267-EDA!$F$15)/EDA!$G$15)</f>
        <v>0.36953438589001941</v>
      </c>
      <c r="M4267" t="str">
        <f>IF(moras[[#This Row],[Z-Score Salario]]&gt;1.96, "Sí", "No")</f>
        <v>No</v>
      </c>
      <c r="N4267" s="14">
        <f>IF(ISBLANK(moras[[#This Row],[SALARIO]]), EDA!$M$8, moras[[#This Row],[SALARIO]])</f>
        <v>367748</v>
      </c>
      <c r="O4267" s="14">
        <f xml:space="preserve"> IF(ISBLANK(moras[[#This Row],[EDAD]]), EDA!$E$8, moras[[#This Row],[EDAD]])</f>
        <v>34</v>
      </c>
      <c r="P4267" s="14" t="str">
        <f>IF(
    OR(ISBLANK(moras[[#This Row],[TIPO_ASEGURAMIENTO]]), moras[[#This Row],[TIPO_ASEGURAMIENTO]]=""),
    EDA!$A$32,
    moras[[#This Row],[TIPO_ASEGURAMIENTO]]
)</f>
        <v>TRABAJADOR INDEPENDIENTE</v>
      </c>
    </row>
    <row r="4268" spans="1:16" x14ac:dyDescent="0.3">
      <c r="A4268">
        <v>4267</v>
      </c>
      <c r="B4268" t="s">
        <v>15</v>
      </c>
      <c r="C4268">
        <v>336000</v>
      </c>
      <c r="D4268" t="s">
        <v>10</v>
      </c>
      <c r="E4268" t="s">
        <v>16</v>
      </c>
      <c r="F4268" t="s">
        <v>12</v>
      </c>
      <c r="G4268" t="s">
        <v>13</v>
      </c>
      <c r="H4268" t="s">
        <v>13</v>
      </c>
      <c r="I4268">
        <v>26</v>
      </c>
      <c r="J4268">
        <f>ABS((I4268-EDA!$A$15)/EDA!$B$15)</f>
        <v>1.1277649683754829</v>
      </c>
      <c r="K4268" t="str">
        <f t="shared" si="66"/>
        <v>No</v>
      </c>
      <c r="L4268">
        <f>ABS((C4268-EDA!$F$15)/EDA!$G$15)</f>
        <v>0.37006269502131983</v>
      </c>
      <c r="M4268" t="str">
        <f>IF(moras[[#This Row],[Z-Score Salario]]&gt;1.96, "Sí", "No")</f>
        <v>No</v>
      </c>
      <c r="N4268" s="14">
        <f>IF(ISBLANK(moras[[#This Row],[SALARIO]]), EDA!$M$8, moras[[#This Row],[SALARIO]])</f>
        <v>336000</v>
      </c>
      <c r="O4268" s="14">
        <f xml:space="preserve"> IF(ISBLANK(moras[[#This Row],[EDAD]]), EDA!$E$8, moras[[#This Row],[EDAD]])</f>
        <v>26</v>
      </c>
      <c r="P4268" s="14" t="str">
        <f>IF(
    OR(ISBLANK(moras[[#This Row],[TIPO_ASEGURAMIENTO]]), moras[[#This Row],[TIPO_ASEGURAMIENTO]]=""),
    EDA!$A$32,
    moras[[#This Row],[TIPO_ASEGURAMIENTO]]
)</f>
        <v>ASALARIADO</v>
      </c>
    </row>
    <row r="4269" spans="1:16" x14ac:dyDescent="0.3">
      <c r="A4269">
        <v>4268</v>
      </c>
      <c r="B4269" t="s">
        <v>9</v>
      </c>
      <c r="C4269">
        <v>41981769</v>
      </c>
      <c r="D4269" t="s">
        <v>10</v>
      </c>
      <c r="E4269" t="s">
        <v>16</v>
      </c>
      <c r="F4269" t="s">
        <v>12</v>
      </c>
      <c r="G4269" t="s">
        <v>12</v>
      </c>
      <c r="H4269" t="s">
        <v>13</v>
      </c>
      <c r="I4269">
        <v>26</v>
      </c>
      <c r="J4269">
        <f>ABS((I4269-EDA!$A$15)/EDA!$B$15)</f>
        <v>1.1277649683754829</v>
      </c>
      <c r="K4269" t="str">
        <f t="shared" si="66"/>
        <v>No</v>
      </c>
      <c r="L4269">
        <f>ABS((C4269-EDA!$F$15)/EDA!$G$15)</f>
        <v>0.32295229939497805</v>
      </c>
      <c r="M4269" t="str">
        <f>IF(moras[[#This Row],[Z-Score Salario]]&gt;1.96, "Sí", "No")</f>
        <v>No</v>
      </c>
      <c r="N4269" s="14">
        <f>IF(ISBLANK(moras[[#This Row],[SALARIO]]), EDA!$M$8, moras[[#This Row],[SALARIO]])</f>
        <v>41981769</v>
      </c>
      <c r="O4269" s="14">
        <f xml:space="preserve"> IF(ISBLANK(moras[[#This Row],[EDAD]]), EDA!$E$8, moras[[#This Row],[EDAD]])</f>
        <v>26</v>
      </c>
      <c r="P4269" s="14" t="str">
        <f>IF(
    OR(ISBLANK(moras[[#This Row],[TIPO_ASEGURAMIENTO]]), moras[[#This Row],[TIPO_ASEGURAMIENTO]]=""),
    EDA!$A$32,
    moras[[#This Row],[TIPO_ASEGURAMIENTO]]
)</f>
        <v>ASALARIADO</v>
      </c>
    </row>
    <row r="4270" spans="1:16" x14ac:dyDescent="0.3">
      <c r="A4270">
        <v>4269</v>
      </c>
      <c r="B4270" t="s">
        <v>9</v>
      </c>
      <c r="C4270">
        <v>40446875</v>
      </c>
      <c r="D4270" t="s">
        <v>10</v>
      </c>
      <c r="E4270" t="s">
        <v>16</v>
      </c>
      <c r="F4270" t="s">
        <v>12</v>
      </c>
      <c r="G4270" t="s">
        <v>13</v>
      </c>
      <c r="H4270" t="s">
        <v>13</v>
      </c>
      <c r="I4270">
        <v>28</v>
      </c>
      <c r="J4270">
        <f>ABS((I4270-EDA!$A$15)/EDA!$B$15)</f>
        <v>0.98661430822120777</v>
      </c>
      <c r="K4270" t="str">
        <f t="shared" si="66"/>
        <v>No</v>
      </c>
      <c r="L4270">
        <f>ABS((C4270-EDA!$F$15)/EDA!$G$15)</f>
        <v>0.29741057973458207</v>
      </c>
      <c r="M4270" t="str">
        <f>IF(moras[[#This Row],[Z-Score Salario]]&gt;1.96, "Sí", "No")</f>
        <v>No</v>
      </c>
      <c r="N4270" s="14">
        <f>IF(ISBLANK(moras[[#This Row],[SALARIO]]), EDA!$M$8, moras[[#This Row],[SALARIO]])</f>
        <v>40446875</v>
      </c>
      <c r="O4270" s="14">
        <f xml:space="preserve"> IF(ISBLANK(moras[[#This Row],[EDAD]]), EDA!$E$8, moras[[#This Row],[EDAD]])</f>
        <v>28</v>
      </c>
      <c r="P4270" s="14" t="str">
        <f>IF(
    OR(ISBLANK(moras[[#This Row],[TIPO_ASEGURAMIENTO]]), moras[[#This Row],[TIPO_ASEGURAMIENTO]]=""),
    EDA!$A$32,
    moras[[#This Row],[TIPO_ASEGURAMIENTO]]
)</f>
        <v>ASALARIADO</v>
      </c>
    </row>
    <row r="4271" spans="1:16" x14ac:dyDescent="0.3">
      <c r="A4271">
        <v>4270</v>
      </c>
      <c r="B4271" t="s">
        <v>9</v>
      </c>
      <c r="C4271">
        <v>279111</v>
      </c>
      <c r="D4271" t="s">
        <v>17</v>
      </c>
      <c r="E4271" t="s">
        <v>16</v>
      </c>
      <c r="F4271" t="s">
        <v>12</v>
      </c>
      <c r="G4271" t="s">
        <v>13</v>
      </c>
      <c r="H4271" t="s">
        <v>13</v>
      </c>
      <c r="I4271">
        <v>61</v>
      </c>
      <c r="J4271">
        <f>ABS((I4271-EDA!$A$15)/EDA!$B$15)</f>
        <v>1.3423715843243298</v>
      </c>
      <c r="K4271" t="str">
        <f t="shared" si="66"/>
        <v>No</v>
      </c>
      <c r="L4271">
        <f>ABS((C4271-EDA!$F$15)/EDA!$G$15)</f>
        <v>0.37100936813995883</v>
      </c>
      <c r="M4271" t="str">
        <f>IF(moras[[#This Row],[Z-Score Salario]]&gt;1.96, "Sí", "No")</f>
        <v>No</v>
      </c>
      <c r="N4271" s="14">
        <f>IF(ISBLANK(moras[[#This Row],[SALARIO]]), EDA!$M$8, moras[[#This Row],[SALARIO]])</f>
        <v>279111</v>
      </c>
      <c r="O4271" s="14">
        <f xml:space="preserve"> IF(ISBLANK(moras[[#This Row],[EDAD]]), EDA!$E$8, moras[[#This Row],[EDAD]])</f>
        <v>61</v>
      </c>
      <c r="P4271" s="14" t="str">
        <f>IF(
    OR(ISBLANK(moras[[#This Row],[TIPO_ASEGURAMIENTO]]), moras[[#This Row],[TIPO_ASEGURAMIENTO]]=""),
    EDA!$A$32,
    moras[[#This Row],[TIPO_ASEGURAMIENTO]]
)</f>
        <v>ASEGURADO VOLUNTARIO</v>
      </c>
    </row>
    <row r="4272" spans="1:16" x14ac:dyDescent="0.3">
      <c r="A4272">
        <v>4271</v>
      </c>
      <c r="B4272" t="s">
        <v>9</v>
      </c>
      <c r="C4272">
        <v>778719</v>
      </c>
      <c r="D4272" t="s">
        <v>17</v>
      </c>
      <c r="E4272" t="s">
        <v>16</v>
      </c>
      <c r="F4272" t="s">
        <v>12</v>
      </c>
      <c r="G4272" t="s">
        <v>12</v>
      </c>
      <c r="H4272" t="s">
        <v>13</v>
      </c>
      <c r="I4272">
        <v>79</v>
      </c>
      <c r="J4272">
        <f>ABS((I4272-EDA!$A$15)/EDA!$B$15)</f>
        <v>2.6127275257128049</v>
      </c>
      <c r="K4272" t="str">
        <f t="shared" si="66"/>
        <v>Sí</v>
      </c>
      <c r="L4272">
        <f>ABS((C4272-EDA!$F$15)/EDA!$G$15)</f>
        <v>0.36269553834057783</v>
      </c>
      <c r="M4272" t="str">
        <f>IF(moras[[#This Row],[Z-Score Salario]]&gt;1.96, "Sí", "No")</f>
        <v>No</v>
      </c>
      <c r="N4272" s="14">
        <f>IF(ISBLANK(moras[[#This Row],[SALARIO]]), EDA!$M$8, moras[[#This Row],[SALARIO]])</f>
        <v>778719</v>
      </c>
      <c r="O4272" s="14">
        <f xml:space="preserve"> IF(ISBLANK(moras[[#This Row],[EDAD]]), EDA!$E$8, moras[[#This Row],[EDAD]])</f>
        <v>79</v>
      </c>
      <c r="P4272" s="14" t="str">
        <f>IF(
    OR(ISBLANK(moras[[#This Row],[TIPO_ASEGURAMIENTO]]), moras[[#This Row],[TIPO_ASEGURAMIENTO]]=""),
    EDA!$A$32,
    moras[[#This Row],[TIPO_ASEGURAMIENTO]]
)</f>
        <v>ASEGURADO VOLUNTARIO</v>
      </c>
    </row>
    <row r="4273" spans="1:16" x14ac:dyDescent="0.3">
      <c r="A4273">
        <v>4272</v>
      </c>
      <c r="B4273" t="s">
        <v>15</v>
      </c>
      <c r="C4273">
        <v>600000</v>
      </c>
      <c r="D4273" t="s">
        <v>10</v>
      </c>
      <c r="E4273" t="s">
        <v>16</v>
      </c>
      <c r="F4273" t="s">
        <v>12</v>
      </c>
      <c r="G4273" t="s">
        <v>13</v>
      </c>
      <c r="H4273" t="s">
        <v>13</v>
      </c>
      <c r="I4273">
        <v>40</v>
      </c>
      <c r="J4273">
        <f>ABS((I4273-EDA!$A$15)/EDA!$B$15)</f>
        <v>0.13971034729555773</v>
      </c>
      <c r="K4273" t="str">
        <f t="shared" si="66"/>
        <v>No</v>
      </c>
      <c r="L4273">
        <f>ABS((C4273-EDA!$F$15)/EDA!$G$15)</f>
        <v>0.36566954866049978</v>
      </c>
      <c r="M4273" t="str">
        <f>IF(moras[[#This Row],[Z-Score Salario]]&gt;1.96, "Sí", "No")</f>
        <v>No</v>
      </c>
      <c r="N4273" s="14">
        <f>IF(ISBLANK(moras[[#This Row],[SALARIO]]), EDA!$M$8, moras[[#This Row],[SALARIO]])</f>
        <v>600000</v>
      </c>
      <c r="O4273" s="14">
        <f xml:space="preserve"> IF(ISBLANK(moras[[#This Row],[EDAD]]), EDA!$E$8, moras[[#This Row],[EDAD]])</f>
        <v>40</v>
      </c>
      <c r="P4273" s="14" t="str">
        <f>IF(
    OR(ISBLANK(moras[[#This Row],[TIPO_ASEGURAMIENTO]]), moras[[#This Row],[TIPO_ASEGURAMIENTO]]=""),
    EDA!$A$32,
    moras[[#This Row],[TIPO_ASEGURAMIENTO]]
)</f>
        <v>ASALARIADO</v>
      </c>
    </row>
    <row r="4274" spans="1:16" x14ac:dyDescent="0.3">
      <c r="A4274">
        <v>4273</v>
      </c>
      <c r="B4274" t="s">
        <v>9</v>
      </c>
      <c r="C4274">
        <v>800000</v>
      </c>
      <c r="D4274" t="s">
        <v>10</v>
      </c>
      <c r="E4274" t="s">
        <v>16</v>
      </c>
      <c r="F4274" t="s">
        <v>12</v>
      </c>
      <c r="G4274" t="s">
        <v>13</v>
      </c>
      <c r="H4274" t="s">
        <v>13</v>
      </c>
      <c r="I4274">
        <v>27</v>
      </c>
      <c r="J4274">
        <f>ABS((I4274-EDA!$A$15)/EDA!$B$15)</f>
        <v>1.0571896382983452</v>
      </c>
      <c r="K4274" t="str">
        <f t="shared" si="66"/>
        <v>No</v>
      </c>
      <c r="L4274">
        <f>ABS((C4274-EDA!$F$15)/EDA!$G$15)</f>
        <v>0.36234140747806037</v>
      </c>
      <c r="M4274" t="str">
        <f>IF(moras[[#This Row],[Z-Score Salario]]&gt;1.96, "Sí", "No")</f>
        <v>No</v>
      </c>
      <c r="N4274" s="14">
        <f>IF(ISBLANK(moras[[#This Row],[SALARIO]]), EDA!$M$8, moras[[#This Row],[SALARIO]])</f>
        <v>800000</v>
      </c>
      <c r="O4274" s="14">
        <f xml:space="preserve"> IF(ISBLANK(moras[[#This Row],[EDAD]]), EDA!$E$8, moras[[#This Row],[EDAD]])</f>
        <v>27</v>
      </c>
      <c r="P4274" s="14" t="str">
        <f>IF(
    OR(ISBLANK(moras[[#This Row],[TIPO_ASEGURAMIENTO]]), moras[[#This Row],[TIPO_ASEGURAMIENTO]]=""),
    EDA!$A$32,
    moras[[#This Row],[TIPO_ASEGURAMIENTO]]
)</f>
        <v>ASALARIADO</v>
      </c>
    </row>
    <row r="4275" spans="1:16" x14ac:dyDescent="0.3">
      <c r="A4275">
        <v>4274</v>
      </c>
      <c r="B4275" t="s">
        <v>9</v>
      </c>
      <c r="C4275">
        <v>439012</v>
      </c>
      <c r="D4275" t="s">
        <v>10</v>
      </c>
      <c r="E4275" t="s">
        <v>16</v>
      </c>
      <c r="F4275" t="s">
        <v>12</v>
      </c>
      <c r="G4275" t="s">
        <v>12</v>
      </c>
      <c r="H4275" t="s">
        <v>13</v>
      </c>
      <c r="I4275">
        <v>28</v>
      </c>
      <c r="J4275">
        <f>ABS((I4275-EDA!$A$15)/EDA!$B$15)</f>
        <v>0.98661430822120777</v>
      </c>
      <c r="K4275" t="str">
        <f t="shared" si="66"/>
        <v>No</v>
      </c>
      <c r="L4275">
        <f>ABS((C4275-EDA!$F$15)/EDA!$G$15)</f>
        <v>0.36834850262389257</v>
      </c>
      <c r="M4275" t="str">
        <f>IF(moras[[#This Row],[Z-Score Salario]]&gt;1.96, "Sí", "No")</f>
        <v>No</v>
      </c>
      <c r="N4275" s="14">
        <f>IF(ISBLANK(moras[[#This Row],[SALARIO]]), EDA!$M$8, moras[[#This Row],[SALARIO]])</f>
        <v>439012</v>
      </c>
      <c r="O4275" s="14">
        <f xml:space="preserve"> IF(ISBLANK(moras[[#This Row],[EDAD]]), EDA!$E$8, moras[[#This Row],[EDAD]])</f>
        <v>28</v>
      </c>
      <c r="P4275" s="14" t="str">
        <f>IF(
    OR(ISBLANK(moras[[#This Row],[TIPO_ASEGURAMIENTO]]), moras[[#This Row],[TIPO_ASEGURAMIENTO]]=""),
    EDA!$A$32,
    moras[[#This Row],[TIPO_ASEGURAMIENTO]]
)</f>
        <v>ASALARIADO</v>
      </c>
    </row>
    <row r="4276" spans="1:16" x14ac:dyDescent="0.3">
      <c r="A4276">
        <v>4275</v>
      </c>
      <c r="B4276" t="s">
        <v>15</v>
      </c>
      <c r="C4276">
        <v>6578148</v>
      </c>
      <c r="D4276" t="s">
        <v>10</v>
      </c>
      <c r="E4276" t="s">
        <v>16</v>
      </c>
      <c r="F4276" t="s">
        <v>12</v>
      </c>
      <c r="G4276" t="s">
        <v>13</v>
      </c>
      <c r="H4276" t="s">
        <v>13</v>
      </c>
      <c r="I4276">
        <v>38</v>
      </c>
      <c r="J4276">
        <f>ABS((I4276-EDA!$A$15)/EDA!$B$15)</f>
        <v>0.28086100744983278</v>
      </c>
      <c r="K4276" t="str">
        <f t="shared" si="66"/>
        <v>No</v>
      </c>
      <c r="L4276">
        <f>ABS((C4276-EDA!$F$15)/EDA!$G$15)</f>
        <v>0.26618894589291009</v>
      </c>
      <c r="M4276" t="str">
        <f>IF(moras[[#This Row],[Z-Score Salario]]&gt;1.96, "Sí", "No")</f>
        <v>No</v>
      </c>
      <c r="N4276" s="14">
        <f>IF(ISBLANK(moras[[#This Row],[SALARIO]]), EDA!$M$8, moras[[#This Row],[SALARIO]])</f>
        <v>6578148</v>
      </c>
      <c r="O4276" s="14">
        <f xml:space="preserve"> IF(ISBLANK(moras[[#This Row],[EDAD]]), EDA!$E$8, moras[[#This Row],[EDAD]])</f>
        <v>38</v>
      </c>
      <c r="P4276" s="14" t="str">
        <f>IF(
    OR(ISBLANK(moras[[#This Row],[TIPO_ASEGURAMIENTO]]), moras[[#This Row],[TIPO_ASEGURAMIENTO]]=""),
    EDA!$A$32,
    moras[[#This Row],[TIPO_ASEGURAMIENTO]]
)</f>
        <v>ASALARIADO</v>
      </c>
    </row>
    <row r="4277" spans="1:16" x14ac:dyDescent="0.3">
      <c r="A4277">
        <v>4276</v>
      </c>
      <c r="B4277" t="s">
        <v>9</v>
      </c>
      <c r="C4277">
        <v>36197688</v>
      </c>
      <c r="D4277" t="s">
        <v>10</v>
      </c>
      <c r="E4277" t="s">
        <v>16</v>
      </c>
      <c r="F4277" t="s">
        <v>12</v>
      </c>
      <c r="G4277" t="s">
        <v>13</v>
      </c>
      <c r="H4277" t="s">
        <v>13</v>
      </c>
      <c r="I4277">
        <v>60</v>
      </c>
      <c r="J4277">
        <f>ABS((I4277-EDA!$A$15)/EDA!$B$15)</f>
        <v>1.2717962542471923</v>
      </c>
      <c r="K4277" t="str">
        <f t="shared" si="66"/>
        <v>No</v>
      </c>
      <c r="L4277">
        <f>ABS((C4277-EDA!$F$15)/EDA!$G$15)</f>
        <v>0.22670110850165071</v>
      </c>
      <c r="M4277" t="str">
        <f>IF(moras[[#This Row],[Z-Score Salario]]&gt;1.96, "Sí", "No")</f>
        <v>No</v>
      </c>
      <c r="N4277" s="14">
        <f>IF(ISBLANK(moras[[#This Row],[SALARIO]]), EDA!$M$8, moras[[#This Row],[SALARIO]])</f>
        <v>36197688</v>
      </c>
      <c r="O4277" s="14">
        <f xml:space="preserve"> IF(ISBLANK(moras[[#This Row],[EDAD]]), EDA!$E$8, moras[[#This Row],[EDAD]])</f>
        <v>60</v>
      </c>
      <c r="P4277" s="14" t="str">
        <f>IF(
    OR(ISBLANK(moras[[#This Row],[TIPO_ASEGURAMIENTO]]), moras[[#This Row],[TIPO_ASEGURAMIENTO]]=""),
    EDA!$A$32,
    moras[[#This Row],[TIPO_ASEGURAMIENTO]]
)</f>
        <v>ASALARIADO</v>
      </c>
    </row>
    <row r="4278" spans="1:16" x14ac:dyDescent="0.3">
      <c r="A4278">
        <v>4277</v>
      </c>
      <c r="B4278" t="s">
        <v>9</v>
      </c>
      <c r="C4278">
        <v>30789119</v>
      </c>
      <c r="D4278" t="s">
        <v>10</v>
      </c>
      <c r="E4278" t="s">
        <v>16</v>
      </c>
      <c r="F4278" t="s">
        <v>12</v>
      </c>
      <c r="G4278" t="s">
        <v>13</v>
      </c>
      <c r="H4278" t="s">
        <v>13</v>
      </c>
      <c r="I4278">
        <v>30</v>
      </c>
      <c r="J4278">
        <f>ABS((I4278-EDA!$A$15)/EDA!$B$15)</f>
        <v>0.84546364806693275</v>
      </c>
      <c r="K4278" t="str">
        <f t="shared" si="66"/>
        <v>No</v>
      </c>
      <c r="L4278">
        <f>ABS((C4278-EDA!$F$15)/EDA!$G$15)</f>
        <v>0.13669870236682433</v>
      </c>
      <c r="M4278" t="str">
        <f>IF(moras[[#This Row],[Z-Score Salario]]&gt;1.96, "Sí", "No")</f>
        <v>No</v>
      </c>
      <c r="N4278" s="14">
        <f>IF(ISBLANK(moras[[#This Row],[SALARIO]]), EDA!$M$8, moras[[#This Row],[SALARIO]])</f>
        <v>30789119</v>
      </c>
      <c r="O4278" s="14">
        <f xml:space="preserve"> IF(ISBLANK(moras[[#This Row],[EDAD]]), EDA!$E$8, moras[[#This Row],[EDAD]])</f>
        <v>30</v>
      </c>
      <c r="P4278" s="14" t="str">
        <f>IF(
    OR(ISBLANK(moras[[#This Row],[TIPO_ASEGURAMIENTO]]), moras[[#This Row],[TIPO_ASEGURAMIENTO]]=""),
    EDA!$A$32,
    moras[[#This Row],[TIPO_ASEGURAMIENTO]]
)</f>
        <v>ASALARIADO</v>
      </c>
    </row>
    <row r="4279" spans="1:16" x14ac:dyDescent="0.3">
      <c r="A4279">
        <v>4278</v>
      </c>
      <c r="B4279" t="s">
        <v>9</v>
      </c>
      <c r="C4279">
        <v>403463</v>
      </c>
      <c r="D4279" t="s">
        <v>10</v>
      </c>
      <c r="E4279" t="s">
        <v>16</v>
      </c>
      <c r="F4279" t="s">
        <v>12</v>
      </c>
      <c r="G4279" t="s">
        <v>12</v>
      </c>
      <c r="H4279" t="s">
        <v>13</v>
      </c>
      <c r="I4279">
        <v>32</v>
      </c>
      <c r="J4279">
        <f>ABS((I4279-EDA!$A$15)/EDA!$B$15)</f>
        <v>0.70431298791265773</v>
      </c>
      <c r="K4279" t="str">
        <f t="shared" si="66"/>
        <v>No</v>
      </c>
      <c r="L4279">
        <f>ABS((C4279-EDA!$F$15)/EDA!$G$15)</f>
        <v>0.3689400630783653</v>
      </c>
      <c r="M4279" t="str">
        <f>IF(moras[[#This Row],[Z-Score Salario]]&gt;1.96, "Sí", "No")</f>
        <v>No</v>
      </c>
      <c r="N4279" s="14">
        <f>IF(ISBLANK(moras[[#This Row],[SALARIO]]), EDA!$M$8, moras[[#This Row],[SALARIO]])</f>
        <v>403463</v>
      </c>
      <c r="O4279" s="14">
        <f xml:space="preserve"> IF(ISBLANK(moras[[#This Row],[EDAD]]), EDA!$E$8, moras[[#This Row],[EDAD]])</f>
        <v>32</v>
      </c>
      <c r="P4279" s="14" t="str">
        <f>IF(
    OR(ISBLANK(moras[[#This Row],[TIPO_ASEGURAMIENTO]]), moras[[#This Row],[TIPO_ASEGURAMIENTO]]=""),
    EDA!$A$32,
    moras[[#This Row],[TIPO_ASEGURAMIENTO]]
)</f>
        <v>ASALARIADO</v>
      </c>
    </row>
    <row r="4280" spans="1:16" x14ac:dyDescent="0.3">
      <c r="A4280">
        <v>4279</v>
      </c>
      <c r="B4280" t="s">
        <v>9</v>
      </c>
      <c r="C4280">
        <v>1632939</v>
      </c>
      <c r="D4280" t="s">
        <v>10</v>
      </c>
      <c r="E4280" t="s">
        <v>11</v>
      </c>
      <c r="F4280" t="s">
        <v>12</v>
      </c>
      <c r="G4280" t="s">
        <v>13</v>
      </c>
      <c r="H4280" t="s">
        <v>13</v>
      </c>
      <c r="I4280">
        <v>58</v>
      </c>
      <c r="J4280">
        <f>ABS((I4280-EDA!$A$15)/EDA!$B$15)</f>
        <v>1.1306455940929174</v>
      </c>
      <c r="K4280" t="str">
        <f t="shared" si="66"/>
        <v>No</v>
      </c>
      <c r="L4280">
        <f>ABS((C4280-EDA!$F$15)/EDA!$G$15)</f>
        <v>0.34848071453626078</v>
      </c>
      <c r="M4280" t="str">
        <f>IF(moras[[#This Row],[Z-Score Salario]]&gt;1.96, "Sí", "No")</f>
        <v>No</v>
      </c>
      <c r="N4280" s="14">
        <f>IF(ISBLANK(moras[[#This Row],[SALARIO]]), EDA!$M$8, moras[[#This Row],[SALARIO]])</f>
        <v>1632939</v>
      </c>
      <c r="O4280" s="14">
        <f xml:space="preserve"> IF(ISBLANK(moras[[#This Row],[EDAD]]), EDA!$E$8, moras[[#This Row],[EDAD]])</f>
        <v>58</v>
      </c>
      <c r="P4280" s="14" t="str">
        <f>IF(
    OR(ISBLANK(moras[[#This Row],[TIPO_ASEGURAMIENTO]]), moras[[#This Row],[TIPO_ASEGURAMIENTO]]=""),
    EDA!$A$32,
    moras[[#This Row],[TIPO_ASEGURAMIENTO]]
)</f>
        <v>ASALARIADO</v>
      </c>
    </row>
    <row r="4281" spans="1:16" x14ac:dyDescent="0.3">
      <c r="A4281">
        <v>4280</v>
      </c>
      <c r="B4281" t="s">
        <v>9</v>
      </c>
      <c r="C4281">
        <v>360420</v>
      </c>
      <c r="D4281" t="s">
        <v>18</v>
      </c>
      <c r="E4281" t="s">
        <v>16</v>
      </c>
      <c r="F4281" t="s">
        <v>12</v>
      </c>
      <c r="G4281" t="s">
        <v>13</v>
      </c>
      <c r="H4281" t="s">
        <v>13</v>
      </c>
      <c r="I4281">
        <v>48</v>
      </c>
      <c r="J4281">
        <f>ABS((I4281-EDA!$A$15)/EDA!$B$15)</f>
        <v>0.42489229332154227</v>
      </c>
      <c r="K4281" t="str">
        <f t="shared" si="66"/>
        <v>No</v>
      </c>
      <c r="L4281">
        <f>ABS((C4281-EDA!$F$15)/EDA!$G$15)</f>
        <v>0.36965632898294398</v>
      </c>
      <c r="M4281" t="str">
        <f>IF(moras[[#This Row],[Z-Score Salario]]&gt;1.96, "Sí", "No")</f>
        <v>No</v>
      </c>
      <c r="N4281" s="14">
        <f>IF(ISBLANK(moras[[#This Row],[SALARIO]]), EDA!$M$8, moras[[#This Row],[SALARIO]])</f>
        <v>360420</v>
      </c>
      <c r="O4281" s="14">
        <f xml:space="preserve"> IF(ISBLANK(moras[[#This Row],[EDAD]]), EDA!$E$8, moras[[#This Row],[EDAD]])</f>
        <v>48</v>
      </c>
      <c r="P4281" s="14" t="str">
        <f>IF(
    OR(ISBLANK(moras[[#This Row],[TIPO_ASEGURAMIENTO]]), moras[[#This Row],[TIPO_ASEGURAMIENTO]]=""),
    EDA!$A$32,
    moras[[#This Row],[TIPO_ASEGURAMIENTO]]
)</f>
        <v>TRABAJADOR INDEPENDIENTE</v>
      </c>
    </row>
    <row r="4282" spans="1:16" x14ac:dyDescent="0.3">
      <c r="A4282">
        <v>4281</v>
      </c>
      <c r="B4282" t="s">
        <v>9</v>
      </c>
      <c r="C4282">
        <v>42504383</v>
      </c>
      <c r="D4282" t="s">
        <v>10</v>
      </c>
      <c r="E4282" t="s">
        <v>16</v>
      </c>
      <c r="F4282" t="s">
        <v>12</v>
      </c>
      <c r="G4282" t="s">
        <v>12</v>
      </c>
      <c r="H4282" t="s">
        <v>13</v>
      </c>
      <c r="I4282">
        <v>23</v>
      </c>
      <c r="J4282">
        <f>ABS((I4282-EDA!$A$15)/EDA!$B$15)</f>
        <v>1.3394909586068953</v>
      </c>
      <c r="K4282" t="str">
        <f t="shared" si="66"/>
        <v>No</v>
      </c>
      <c r="L4282">
        <f>ABS((C4282-EDA!$F$15)/EDA!$G$15)</f>
        <v>0.3316489652745751</v>
      </c>
      <c r="M4282" t="str">
        <f>IF(moras[[#This Row],[Z-Score Salario]]&gt;1.96, "Sí", "No")</f>
        <v>No</v>
      </c>
      <c r="N4282" s="14">
        <f>IF(ISBLANK(moras[[#This Row],[SALARIO]]), EDA!$M$8, moras[[#This Row],[SALARIO]])</f>
        <v>42504383</v>
      </c>
      <c r="O4282" s="14">
        <f xml:space="preserve"> IF(ISBLANK(moras[[#This Row],[EDAD]]), EDA!$E$8, moras[[#This Row],[EDAD]])</f>
        <v>23</v>
      </c>
      <c r="P4282" s="14" t="str">
        <f>IF(
    OR(ISBLANK(moras[[#This Row],[TIPO_ASEGURAMIENTO]]), moras[[#This Row],[TIPO_ASEGURAMIENTO]]=""),
    EDA!$A$32,
    moras[[#This Row],[TIPO_ASEGURAMIENTO]]
)</f>
        <v>ASALARIADO</v>
      </c>
    </row>
    <row r="4283" spans="1:16" x14ac:dyDescent="0.3">
      <c r="A4283">
        <v>4282</v>
      </c>
      <c r="B4283" t="s">
        <v>9</v>
      </c>
      <c r="C4283">
        <v>204000</v>
      </c>
      <c r="D4283" t="s">
        <v>10</v>
      </c>
      <c r="E4283" t="s">
        <v>16</v>
      </c>
      <c r="F4283" t="s">
        <v>12</v>
      </c>
      <c r="G4283" t="s">
        <v>13</v>
      </c>
      <c r="H4283" t="s">
        <v>13</v>
      </c>
      <c r="I4283">
        <v>27</v>
      </c>
      <c r="J4283">
        <f>ABS((I4283-EDA!$A$15)/EDA!$B$15)</f>
        <v>1.0571896382983452</v>
      </c>
      <c r="K4283" t="str">
        <f t="shared" si="66"/>
        <v>No</v>
      </c>
      <c r="L4283">
        <f>ABS((C4283-EDA!$F$15)/EDA!$G$15)</f>
        <v>0.37225926820172989</v>
      </c>
      <c r="M4283" t="str">
        <f>IF(moras[[#This Row],[Z-Score Salario]]&gt;1.96, "Sí", "No")</f>
        <v>No</v>
      </c>
      <c r="N4283" s="14">
        <f>IF(ISBLANK(moras[[#This Row],[SALARIO]]), EDA!$M$8, moras[[#This Row],[SALARIO]])</f>
        <v>204000</v>
      </c>
      <c r="O4283" s="14">
        <f xml:space="preserve"> IF(ISBLANK(moras[[#This Row],[EDAD]]), EDA!$E$8, moras[[#This Row],[EDAD]])</f>
        <v>27</v>
      </c>
      <c r="P4283" s="14" t="str">
        <f>IF(
    OR(ISBLANK(moras[[#This Row],[TIPO_ASEGURAMIENTO]]), moras[[#This Row],[TIPO_ASEGURAMIENTO]]=""),
    EDA!$A$32,
    moras[[#This Row],[TIPO_ASEGURAMIENTO]]
)</f>
        <v>ASALARIADO</v>
      </c>
    </row>
    <row r="4284" spans="1:16" x14ac:dyDescent="0.3">
      <c r="A4284">
        <v>4283</v>
      </c>
      <c r="B4284" t="s">
        <v>15</v>
      </c>
      <c r="C4284">
        <v>330000</v>
      </c>
      <c r="D4284" t="s">
        <v>10</v>
      </c>
      <c r="E4284" t="s">
        <v>11</v>
      </c>
      <c r="F4284" t="s">
        <v>12</v>
      </c>
      <c r="G4284" t="s">
        <v>13</v>
      </c>
      <c r="H4284" t="s">
        <v>13</v>
      </c>
      <c r="I4284">
        <v>35</v>
      </c>
      <c r="J4284">
        <f>ABS((I4284-EDA!$A$15)/EDA!$B$15)</f>
        <v>0.49258699768124525</v>
      </c>
      <c r="K4284" t="str">
        <f t="shared" si="66"/>
        <v>No</v>
      </c>
      <c r="L4284">
        <f>ABS((C4284-EDA!$F$15)/EDA!$G$15)</f>
        <v>0.37016253925679304</v>
      </c>
      <c r="M4284" t="str">
        <f>IF(moras[[#This Row],[Z-Score Salario]]&gt;1.96, "Sí", "No")</f>
        <v>No</v>
      </c>
      <c r="N4284" s="14">
        <f>IF(ISBLANK(moras[[#This Row],[SALARIO]]), EDA!$M$8, moras[[#This Row],[SALARIO]])</f>
        <v>330000</v>
      </c>
      <c r="O4284" s="14">
        <f xml:space="preserve"> IF(ISBLANK(moras[[#This Row],[EDAD]]), EDA!$E$8, moras[[#This Row],[EDAD]])</f>
        <v>35</v>
      </c>
      <c r="P4284" s="14" t="str">
        <f>IF(
    OR(ISBLANK(moras[[#This Row],[TIPO_ASEGURAMIENTO]]), moras[[#This Row],[TIPO_ASEGURAMIENTO]]=""),
    EDA!$A$32,
    moras[[#This Row],[TIPO_ASEGURAMIENTO]]
)</f>
        <v>ASALARIADO</v>
      </c>
    </row>
    <row r="4285" spans="1:16" x14ac:dyDescent="0.3">
      <c r="A4285">
        <v>4284</v>
      </c>
      <c r="B4285" t="s">
        <v>9</v>
      </c>
      <c r="C4285">
        <v>150000</v>
      </c>
      <c r="D4285" t="s">
        <v>10</v>
      </c>
      <c r="E4285" t="s">
        <v>16</v>
      </c>
      <c r="F4285" t="s">
        <v>12</v>
      </c>
      <c r="G4285" t="s">
        <v>13</v>
      </c>
      <c r="H4285" t="s">
        <v>13</v>
      </c>
      <c r="I4285">
        <v>36</v>
      </c>
      <c r="J4285">
        <f>ABS((I4285-EDA!$A$15)/EDA!$B$15)</f>
        <v>0.42201166760410774</v>
      </c>
      <c r="K4285" t="str">
        <f t="shared" si="66"/>
        <v>No</v>
      </c>
      <c r="L4285">
        <f>ABS((C4285-EDA!$F$15)/EDA!$G$15)</f>
        <v>0.37315786632098852</v>
      </c>
      <c r="M4285" t="str">
        <f>IF(moras[[#This Row],[Z-Score Salario]]&gt;1.96, "Sí", "No")</f>
        <v>No</v>
      </c>
      <c r="N4285" s="14">
        <f>IF(ISBLANK(moras[[#This Row],[SALARIO]]), EDA!$M$8, moras[[#This Row],[SALARIO]])</f>
        <v>150000</v>
      </c>
      <c r="O4285" s="14">
        <f xml:space="preserve"> IF(ISBLANK(moras[[#This Row],[EDAD]]), EDA!$E$8, moras[[#This Row],[EDAD]])</f>
        <v>36</v>
      </c>
      <c r="P4285" s="14" t="str">
        <f>IF(
    OR(ISBLANK(moras[[#This Row],[TIPO_ASEGURAMIENTO]]), moras[[#This Row],[TIPO_ASEGURAMIENTO]]=""),
    EDA!$A$32,
    moras[[#This Row],[TIPO_ASEGURAMIENTO]]
)</f>
        <v>ASALARIADO</v>
      </c>
    </row>
    <row r="4286" spans="1:16" x14ac:dyDescent="0.3">
      <c r="A4286">
        <v>4285</v>
      </c>
      <c r="B4286" t="s">
        <v>15</v>
      </c>
      <c r="C4286">
        <v>362274</v>
      </c>
      <c r="D4286" t="s">
        <v>10</v>
      </c>
      <c r="E4286" t="s">
        <v>11</v>
      </c>
      <c r="F4286" t="s">
        <v>12</v>
      </c>
      <c r="G4286" t="s">
        <v>13</v>
      </c>
      <c r="H4286" t="s">
        <v>13</v>
      </c>
      <c r="I4286">
        <v>36</v>
      </c>
      <c r="J4286">
        <f>ABS((I4286-EDA!$A$15)/EDA!$B$15)</f>
        <v>0.42201166760410774</v>
      </c>
      <c r="K4286" t="str">
        <f t="shared" si="66"/>
        <v>No</v>
      </c>
      <c r="L4286">
        <f>ABS((C4286-EDA!$F$15)/EDA!$G$15)</f>
        <v>0.36962547711418281</v>
      </c>
      <c r="M4286" t="str">
        <f>IF(moras[[#This Row],[Z-Score Salario]]&gt;1.96, "Sí", "No")</f>
        <v>No</v>
      </c>
      <c r="N4286" s="14">
        <f>IF(ISBLANK(moras[[#This Row],[SALARIO]]), EDA!$M$8, moras[[#This Row],[SALARIO]])</f>
        <v>362274</v>
      </c>
      <c r="O4286" s="14">
        <f xml:space="preserve"> IF(ISBLANK(moras[[#This Row],[EDAD]]), EDA!$E$8, moras[[#This Row],[EDAD]])</f>
        <v>36</v>
      </c>
      <c r="P4286" s="14" t="str">
        <f>IF(
    OR(ISBLANK(moras[[#This Row],[TIPO_ASEGURAMIENTO]]), moras[[#This Row],[TIPO_ASEGURAMIENTO]]=""),
    EDA!$A$32,
    moras[[#This Row],[TIPO_ASEGURAMIENTO]]
)</f>
        <v>ASALARIADO</v>
      </c>
    </row>
    <row r="4287" spans="1:16" x14ac:dyDescent="0.3">
      <c r="A4287">
        <v>4286</v>
      </c>
      <c r="B4287" t="s">
        <v>9</v>
      </c>
      <c r="C4287">
        <v>79749</v>
      </c>
      <c r="D4287" t="s">
        <v>10</v>
      </c>
      <c r="E4287" t="s">
        <v>16</v>
      </c>
      <c r="F4287" t="s">
        <v>12</v>
      </c>
      <c r="G4287" t="s">
        <v>13</v>
      </c>
      <c r="H4287" t="s">
        <v>13</v>
      </c>
      <c r="I4287">
        <v>42</v>
      </c>
      <c r="J4287">
        <f>ABS((I4287-EDA!$A$15)/EDA!$B$15)</f>
        <v>1.4403128587172659E-3</v>
      </c>
      <c r="K4287" t="str">
        <f t="shared" si="66"/>
        <v>No</v>
      </c>
      <c r="L4287">
        <f>ABS((C4287-EDA!$F$15)/EDA!$G$15)</f>
        <v>0.37432689255202628</v>
      </c>
      <c r="M4287" t="str">
        <f>IF(moras[[#This Row],[Z-Score Salario]]&gt;1.96, "Sí", "No")</f>
        <v>No</v>
      </c>
      <c r="N4287" s="14">
        <f>IF(ISBLANK(moras[[#This Row],[SALARIO]]), EDA!$M$8, moras[[#This Row],[SALARIO]])</f>
        <v>79749</v>
      </c>
      <c r="O4287" s="14">
        <f xml:space="preserve"> IF(ISBLANK(moras[[#This Row],[EDAD]]), EDA!$E$8, moras[[#This Row],[EDAD]])</f>
        <v>42</v>
      </c>
      <c r="P4287" s="14" t="str">
        <f>IF(
    OR(ISBLANK(moras[[#This Row],[TIPO_ASEGURAMIENTO]]), moras[[#This Row],[TIPO_ASEGURAMIENTO]]=""),
    EDA!$A$32,
    moras[[#This Row],[TIPO_ASEGURAMIENTO]]
)</f>
        <v>ASALARIADO</v>
      </c>
    </row>
    <row r="4288" spans="1:16" x14ac:dyDescent="0.3">
      <c r="A4288">
        <v>4287</v>
      </c>
      <c r="B4288" t="s">
        <v>15</v>
      </c>
      <c r="C4288">
        <v>17770967</v>
      </c>
      <c r="D4288" t="s">
        <v>10</v>
      </c>
      <c r="E4288" t="s">
        <v>11</v>
      </c>
      <c r="F4288" t="s">
        <v>12</v>
      </c>
      <c r="G4288" t="s">
        <v>13</v>
      </c>
      <c r="H4288" t="s">
        <v>13</v>
      </c>
      <c r="I4288">
        <v>39</v>
      </c>
      <c r="J4288">
        <f>ABS((I4288-EDA!$A$15)/EDA!$B$15)</f>
        <v>0.21028567737269524</v>
      </c>
      <c r="K4288" t="str">
        <f t="shared" si="66"/>
        <v>No</v>
      </c>
      <c r="L4288">
        <f>ABS((C4288-EDA!$F$15)/EDA!$G$15)</f>
        <v>7.9932536585457167E-2</v>
      </c>
      <c r="M4288" t="str">
        <f>IF(moras[[#This Row],[Z-Score Salario]]&gt;1.96, "Sí", "No")</f>
        <v>No</v>
      </c>
      <c r="N4288" s="14">
        <f>IF(ISBLANK(moras[[#This Row],[SALARIO]]), EDA!$M$8, moras[[#This Row],[SALARIO]])</f>
        <v>17770967</v>
      </c>
      <c r="O4288" s="14">
        <f xml:space="preserve"> IF(ISBLANK(moras[[#This Row],[EDAD]]), EDA!$E$8, moras[[#This Row],[EDAD]])</f>
        <v>39</v>
      </c>
      <c r="P4288" s="14" t="str">
        <f>IF(
    OR(ISBLANK(moras[[#This Row],[TIPO_ASEGURAMIENTO]]), moras[[#This Row],[TIPO_ASEGURAMIENTO]]=""),
    EDA!$A$32,
    moras[[#This Row],[TIPO_ASEGURAMIENTO]]
)</f>
        <v>ASALARIADO</v>
      </c>
    </row>
    <row r="4289" spans="1:16" x14ac:dyDescent="0.3">
      <c r="A4289">
        <v>4288</v>
      </c>
      <c r="B4289" t="s">
        <v>9</v>
      </c>
      <c r="C4289">
        <v>297045</v>
      </c>
      <c r="D4289" t="s">
        <v>17</v>
      </c>
      <c r="E4289" t="s">
        <v>16</v>
      </c>
      <c r="F4289" t="s">
        <v>12</v>
      </c>
      <c r="G4289" t="s">
        <v>13</v>
      </c>
      <c r="H4289" t="s">
        <v>13</v>
      </c>
      <c r="I4289">
        <v>49</v>
      </c>
      <c r="J4289">
        <f>ABS((I4289-EDA!$A$15)/EDA!$B$15)</f>
        <v>0.49546762339867978</v>
      </c>
      <c r="K4289" t="str">
        <f t="shared" si="66"/>
        <v>No</v>
      </c>
      <c r="L4289">
        <f>ABS((C4289-EDA!$F$15)/EDA!$G$15)</f>
        <v>0.37071093372012948</v>
      </c>
      <c r="M4289" t="str">
        <f>IF(moras[[#This Row],[Z-Score Salario]]&gt;1.96, "Sí", "No")</f>
        <v>No</v>
      </c>
      <c r="N4289" s="14">
        <f>IF(ISBLANK(moras[[#This Row],[SALARIO]]), EDA!$M$8, moras[[#This Row],[SALARIO]])</f>
        <v>297045</v>
      </c>
      <c r="O4289" s="14">
        <f xml:space="preserve"> IF(ISBLANK(moras[[#This Row],[EDAD]]), EDA!$E$8, moras[[#This Row],[EDAD]])</f>
        <v>49</v>
      </c>
      <c r="P4289" s="14" t="str">
        <f>IF(
    OR(ISBLANK(moras[[#This Row],[TIPO_ASEGURAMIENTO]]), moras[[#This Row],[TIPO_ASEGURAMIENTO]]=""),
    EDA!$A$32,
    moras[[#This Row],[TIPO_ASEGURAMIENTO]]
)</f>
        <v>ASEGURADO VOLUNTARIO</v>
      </c>
    </row>
    <row r="4290" spans="1:16" x14ac:dyDescent="0.3">
      <c r="A4290">
        <v>4289</v>
      </c>
      <c r="B4290" t="s">
        <v>15</v>
      </c>
      <c r="C4290">
        <v>17514233</v>
      </c>
      <c r="D4290" t="s">
        <v>10</v>
      </c>
      <c r="E4290" t="s">
        <v>11</v>
      </c>
      <c r="F4290" t="s">
        <v>12</v>
      </c>
      <c r="G4290" t="s">
        <v>13</v>
      </c>
      <c r="H4290" t="s">
        <v>13</v>
      </c>
      <c r="I4290">
        <v>57</v>
      </c>
      <c r="J4290">
        <f>ABS((I4290-EDA!$A$15)/EDA!$B$15)</f>
        <v>1.0600702640157798</v>
      </c>
      <c r="K4290" t="str">
        <f t="shared" ref="K4290:K4353" si="67">IF(J4290 &gt;  1.96, "Sí","No")</f>
        <v>No</v>
      </c>
      <c r="L4290">
        <f>ABS((C4290-EDA!$F$15)/EDA!$G$15)</f>
        <v>8.4204771577119197E-2</v>
      </c>
      <c r="M4290" t="str">
        <f>IF(moras[[#This Row],[Z-Score Salario]]&gt;1.96, "Sí", "No")</f>
        <v>No</v>
      </c>
      <c r="N4290" s="14">
        <f>IF(ISBLANK(moras[[#This Row],[SALARIO]]), EDA!$M$8, moras[[#This Row],[SALARIO]])</f>
        <v>17514233</v>
      </c>
      <c r="O4290" s="14">
        <f xml:space="preserve"> IF(ISBLANK(moras[[#This Row],[EDAD]]), EDA!$E$8, moras[[#This Row],[EDAD]])</f>
        <v>57</v>
      </c>
      <c r="P4290" s="14" t="str">
        <f>IF(
    OR(ISBLANK(moras[[#This Row],[TIPO_ASEGURAMIENTO]]), moras[[#This Row],[TIPO_ASEGURAMIENTO]]=""),
    EDA!$A$32,
    moras[[#This Row],[TIPO_ASEGURAMIENTO]]
)</f>
        <v>ASALARIADO</v>
      </c>
    </row>
    <row r="4291" spans="1:16" x14ac:dyDescent="0.3">
      <c r="A4291">
        <v>4290</v>
      </c>
      <c r="B4291" t="s">
        <v>9</v>
      </c>
      <c r="C4291">
        <v>634480</v>
      </c>
      <c r="D4291" t="s">
        <v>10</v>
      </c>
      <c r="E4291" t="s">
        <v>16</v>
      </c>
      <c r="F4291" t="s">
        <v>12</v>
      </c>
      <c r="G4291" t="s">
        <v>13</v>
      </c>
      <c r="H4291" t="s">
        <v>13</v>
      </c>
      <c r="I4291">
        <v>38</v>
      </c>
      <c r="J4291">
        <f>ABS((I4291-EDA!$A$15)/EDA!$B$15)</f>
        <v>0.28086100744983278</v>
      </c>
      <c r="K4291" t="str">
        <f t="shared" si="67"/>
        <v>No</v>
      </c>
      <c r="L4291">
        <f>ABS((C4291-EDA!$F$15)/EDA!$G$15)</f>
        <v>0.36509577712064722</v>
      </c>
      <c r="M4291" t="str">
        <f>IF(moras[[#This Row],[Z-Score Salario]]&gt;1.96, "Sí", "No")</f>
        <v>No</v>
      </c>
      <c r="N4291" s="14">
        <f>IF(ISBLANK(moras[[#This Row],[SALARIO]]), EDA!$M$8, moras[[#This Row],[SALARIO]])</f>
        <v>634480</v>
      </c>
      <c r="O4291" s="14">
        <f xml:space="preserve"> IF(ISBLANK(moras[[#This Row],[EDAD]]), EDA!$E$8, moras[[#This Row],[EDAD]])</f>
        <v>38</v>
      </c>
      <c r="P4291" s="14" t="str">
        <f>IF(
    OR(ISBLANK(moras[[#This Row],[TIPO_ASEGURAMIENTO]]), moras[[#This Row],[TIPO_ASEGURAMIENTO]]=""),
    EDA!$A$32,
    moras[[#This Row],[TIPO_ASEGURAMIENTO]]
)</f>
        <v>ASALARIADO</v>
      </c>
    </row>
    <row r="4292" spans="1:16" x14ac:dyDescent="0.3">
      <c r="A4292">
        <v>4291</v>
      </c>
      <c r="B4292" t="s">
        <v>9</v>
      </c>
      <c r="C4292">
        <v>445567</v>
      </c>
      <c r="D4292" t="s">
        <v>18</v>
      </c>
      <c r="E4292" t="s">
        <v>16</v>
      </c>
      <c r="F4292" t="s">
        <v>12</v>
      </c>
      <c r="G4292" t="s">
        <v>13</v>
      </c>
      <c r="H4292" t="s">
        <v>13</v>
      </c>
      <c r="I4292">
        <v>49</v>
      </c>
      <c r="J4292">
        <f>ABS((I4292-EDA!$A$15)/EDA!$B$15)</f>
        <v>0.49546762339867978</v>
      </c>
      <c r="K4292" t="str">
        <f t="shared" si="67"/>
        <v>No</v>
      </c>
      <c r="L4292">
        <f>ABS((C4292-EDA!$F$15)/EDA!$G$15)</f>
        <v>0.36823942279663813</v>
      </c>
      <c r="M4292" t="str">
        <f>IF(moras[[#This Row],[Z-Score Salario]]&gt;1.96, "Sí", "No")</f>
        <v>No</v>
      </c>
      <c r="N4292" s="14">
        <f>IF(ISBLANK(moras[[#This Row],[SALARIO]]), EDA!$M$8, moras[[#This Row],[SALARIO]])</f>
        <v>445567</v>
      </c>
      <c r="O4292" s="14">
        <f xml:space="preserve"> IF(ISBLANK(moras[[#This Row],[EDAD]]), EDA!$E$8, moras[[#This Row],[EDAD]])</f>
        <v>49</v>
      </c>
      <c r="P4292" s="14" t="str">
        <f>IF(
    OR(ISBLANK(moras[[#This Row],[TIPO_ASEGURAMIENTO]]), moras[[#This Row],[TIPO_ASEGURAMIENTO]]=""),
    EDA!$A$32,
    moras[[#This Row],[TIPO_ASEGURAMIENTO]]
)</f>
        <v>TRABAJADOR INDEPENDIENTE</v>
      </c>
    </row>
    <row r="4293" spans="1:16" x14ac:dyDescent="0.3">
      <c r="A4293">
        <v>4292</v>
      </c>
      <c r="B4293" t="s">
        <v>15</v>
      </c>
      <c r="C4293">
        <v>35954428</v>
      </c>
      <c r="D4293" t="s">
        <v>10</v>
      </c>
      <c r="E4293" t="s">
        <v>16</v>
      </c>
      <c r="F4293" t="s">
        <v>12</v>
      </c>
      <c r="G4293" t="s">
        <v>13</v>
      </c>
      <c r="H4293" t="s">
        <v>12</v>
      </c>
      <c r="I4293">
        <v>29</v>
      </c>
      <c r="J4293">
        <f>ABS((I4293-EDA!$A$15)/EDA!$B$15)</f>
        <v>0.91603897814407031</v>
      </c>
      <c r="K4293" t="str">
        <f t="shared" si="67"/>
        <v>No</v>
      </c>
      <c r="L4293">
        <f>ABS((C4293-EDA!$F$15)/EDA!$G$15)</f>
        <v>0.22265309038144962</v>
      </c>
      <c r="M4293" t="str">
        <f>IF(moras[[#This Row],[Z-Score Salario]]&gt;1.96, "Sí", "No")</f>
        <v>No</v>
      </c>
      <c r="N4293" s="14">
        <f>IF(ISBLANK(moras[[#This Row],[SALARIO]]), EDA!$M$8, moras[[#This Row],[SALARIO]])</f>
        <v>35954428</v>
      </c>
      <c r="O4293" s="14">
        <f xml:space="preserve"> IF(ISBLANK(moras[[#This Row],[EDAD]]), EDA!$E$8, moras[[#This Row],[EDAD]])</f>
        <v>29</v>
      </c>
      <c r="P4293" s="14" t="str">
        <f>IF(
    OR(ISBLANK(moras[[#This Row],[TIPO_ASEGURAMIENTO]]), moras[[#This Row],[TIPO_ASEGURAMIENTO]]=""),
    EDA!$A$32,
    moras[[#This Row],[TIPO_ASEGURAMIENTO]]
)</f>
        <v>ASALARIADO</v>
      </c>
    </row>
    <row r="4294" spans="1:16" x14ac:dyDescent="0.3">
      <c r="A4294">
        <v>4293</v>
      </c>
      <c r="B4294" t="s">
        <v>9</v>
      </c>
      <c r="C4294">
        <v>315617</v>
      </c>
      <c r="D4294" t="s">
        <v>17</v>
      </c>
      <c r="E4294" t="s">
        <v>16</v>
      </c>
      <c r="F4294" t="s">
        <v>12</v>
      </c>
      <c r="G4294" t="s">
        <v>13</v>
      </c>
      <c r="H4294" t="s">
        <v>13</v>
      </c>
      <c r="I4294">
        <v>64</v>
      </c>
      <c r="J4294">
        <f>ABS((I4294-EDA!$A$15)/EDA!$B$15)</f>
        <v>1.5540975745557424</v>
      </c>
      <c r="K4294" t="str">
        <f t="shared" si="67"/>
        <v>No</v>
      </c>
      <c r="L4294">
        <f>ABS((C4294-EDA!$F$15)/EDA!$G$15)</f>
        <v>0.37040188252992817</v>
      </c>
      <c r="M4294" t="str">
        <f>IF(moras[[#This Row],[Z-Score Salario]]&gt;1.96, "Sí", "No")</f>
        <v>No</v>
      </c>
      <c r="N4294" s="14">
        <f>IF(ISBLANK(moras[[#This Row],[SALARIO]]), EDA!$M$8, moras[[#This Row],[SALARIO]])</f>
        <v>315617</v>
      </c>
      <c r="O4294" s="14">
        <f xml:space="preserve"> IF(ISBLANK(moras[[#This Row],[EDAD]]), EDA!$E$8, moras[[#This Row],[EDAD]])</f>
        <v>64</v>
      </c>
      <c r="P4294" s="14" t="str">
        <f>IF(
    OR(ISBLANK(moras[[#This Row],[TIPO_ASEGURAMIENTO]]), moras[[#This Row],[TIPO_ASEGURAMIENTO]]=""),
    EDA!$A$32,
    moras[[#This Row],[TIPO_ASEGURAMIENTO]]
)</f>
        <v>ASEGURADO VOLUNTARIO</v>
      </c>
    </row>
    <row r="4295" spans="1:16" x14ac:dyDescent="0.3">
      <c r="A4295">
        <v>4294</v>
      </c>
      <c r="B4295" t="s">
        <v>9</v>
      </c>
      <c r="C4295">
        <v>18277743</v>
      </c>
      <c r="D4295" t="s">
        <v>10</v>
      </c>
      <c r="E4295" t="s">
        <v>16</v>
      </c>
      <c r="F4295" t="s">
        <v>12</v>
      </c>
      <c r="G4295" t="s">
        <v>13</v>
      </c>
      <c r="H4295" t="s">
        <v>13</v>
      </c>
      <c r="I4295">
        <v>42</v>
      </c>
      <c r="J4295">
        <f>ABS((I4295-EDA!$A$15)/EDA!$B$15)</f>
        <v>1.4403128587172659E-3</v>
      </c>
      <c r="K4295" t="str">
        <f t="shared" si="67"/>
        <v>No</v>
      </c>
      <c r="L4295">
        <f>ABS((C4295-EDA!$F$15)/EDA!$G$15)</f>
        <v>7.1499426206097533E-2</v>
      </c>
      <c r="M4295" t="str">
        <f>IF(moras[[#This Row],[Z-Score Salario]]&gt;1.96, "Sí", "No")</f>
        <v>No</v>
      </c>
      <c r="N4295" s="14">
        <f>IF(ISBLANK(moras[[#This Row],[SALARIO]]), EDA!$M$8, moras[[#This Row],[SALARIO]])</f>
        <v>18277743</v>
      </c>
      <c r="O4295" s="14">
        <f xml:space="preserve"> IF(ISBLANK(moras[[#This Row],[EDAD]]), EDA!$E$8, moras[[#This Row],[EDAD]])</f>
        <v>42</v>
      </c>
      <c r="P4295" s="14" t="str">
        <f>IF(
    OR(ISBLANK(moras[[#This Row],[TIPO_ASEGURAMIENTO]]), moras[[#This Row],[TIPO_ASEGURAMIENTO]]=""),
    EDA!$A$32,
    moras[[#This Row],[TIPO_ASEGURAMIENTO]]
)</f>
        <v>ASALARIADO</v>
      </c>
    </row>
    <row r="4296" spans="1:16" x14ac:dyDescent="0.3">
      <c r="A4296">
        <v>4295</v>
      </c>
      <c r="B4296" t="s">
        <v>15</v>
      </c>
      <c r="C4296">
        <v>338686</v>
      </c>
      <c r="D4296" t="s">
        <v>10</v>
      </c>
      <c r="E4296" t="s">
        <v>16</v>
      </c>
      <c r="F4296" t="s">
        <v>12</v>
      </c>
      <c r="G4296" t="s">
        <v>12</v>
      </c>
      <c r="H4296" t="s">
        <v>13</v>
      </c>
      <c r="I4296">
        <v>33</v>
      </c>
      <c r="J4296">
        <f>ABS((I4296-EDA!$A$15)/EDA!$B$15)</f>
        <v>0.63373765783552027</v>
      </c>
      <c r="K4296" t="str">
        <f t="shared" si="67"/>
        <v>No</v>
      </c>
      <c r="L4296">
        <f>ABS((C4296-EDA!$F$15)/EDA!$G$15)</f>
        <v>0.37001799808523972</v>
      </c>
      <c r="M4296" t="str">
        <f>IF(moras[[#This Row],[Z-Score Salario]]&gt;1.96, "Sí", "No")</f>
        <v>No</v>
      </c>
      <c r="N4296" s="14">
        <f>IF(ISBLANK(moras[[#This Row],[SALARIO]]), EDA!$M$8, moras[[#This Row],[SALARIO]])</f>
        <v>338686</v>
      </c>
      <c r="O4296" s="14">
        <f xml:space="preserve"> IF(ISBLANK(moras[[#This Row],[EDAD]]), EDA!$E$8, moras[[#This Row],[EDAD]])</f>
        <v>33</v>
      </c>
      <c r="P4296" s="14" t="str">
        <f>IF(
    OR(ISBLANK(moras[[#This Row],[TIPO_ASEGURAMIENTO]]), moras[[#This Row],[TIPO_ASEGURAMIENTO]]=""),
    EDA!$A$32,
    moras[[#This Row],[TIPO_ASEGURAMIENTO]]
)</f>
        <v>ASALARIADO</v>
      </c>
    </row>
    <row r="4297" spans="1:16" x14ac:dyDescent="0.3">
      <c r="A4297">
        <v>4296</v>
      </c>
      <c r="B4297" t="s">
        <v>9</v>
      </c>
      <c r="C4297">
        <v>200000</v>
      </c>
      <c r="D4297" t="s">
        <v>10</v>
      </c>
      <c r="E4297" t="s">
        <v>16</v>
      </c>
      <c r="F4297" t="s">
        <v>12</v>
      </c>
      <c r="G4297" t="s">
        <v>12</v>
      </c>
      <c r="H4297" t="s">
        <v>12</v>
      </c>
      <c r="I4297">
        <v>27</v>
      </c>
      <c r="J4297">
        <f>ABS((I4297-EDA!$A$15)/EDA!$B$15)</f>
        <v>1.0571896382983452</v>
      </c>
      <c r="K4297" t="str">
        <f t="shared" si="67"/>
        <v>No</v>
      </c>
      <c r="L4297">
        <f>ABS((C4297-EDA!$F$15)/EDA!$G$15)</f>
        <v>0.3723258310253787</v>
      </c>
      <c r="M4297" t="str">
        <f>IF(moras[[#This Row],[Z-Score Salario]]&gt;1.96, "Sí", "No")</f>
        <v>No</v>
      </c>
      <c r="N4297" s="14">
        <f>IF(ISBLANK(moras[[#This Row],[SALARIO]]), EDA!$M$8, moras[[#This Row],[SALARIO]])</f>
        <v>200000</v>
      </c>
      <c r="O4297" s="14">
        <f xml:space="preserve"> IF(ISBLANK(moras[[#This Row],[EDAD]]), EDA!$E$8, moras[[#This Row],[EDAD]])</f>
        <v>27</v>
      </c>
      <c r="P4297" s="14" t="str">
        <f>IF(
    OR(ISBLANK(moras[[#This Row],[TIPO_ASEGURAMIENTO]]), moras[[#This Row],[TIPO_ASEGURAMIENTO]]=""),
    EDA!$A$32,
    moras[[#This Row],[TIPO_ASEGURAMIENTO]]
)</f>
        <v>ASALARIADO</v>
      </c>
    </row>
    <row r="4298" spans="1:16" x14ac:dyDescent="0.3">
      <c r="A4298">
        <v>4297</v>
      </c>
      <c r="B4298" t="s">
        <v>15</v>
      </c>
      <c r="C4298">
        <v>969577</v>
      </c>
      <c r="D4298" t="s">
        <v>10</v>
      </c>
      <c r="E4298" t="s">
        <v>11</v>
      </c>
      <c r="F4298" t="s">
        <v>12</v>
      </c>
      <c r="G4298" t="s">
        <v>13</v>
      </c>
      <c r="H4298" t="s">
        <v>12</v>
      </c>
      <c r="I4298">
        <v>44</v>
      </c>
      <c r="J4298">
        <f>ABS((I4298-EDA!$A$15)/EDA!$B$15)</f>
        <v>0.14259097301299228</v>
      </c>
      <c r="K4298" t="str">
        <f t="shared" si="67"/>
        <v>No</v>
      </c>
      <c r="L4298">
        <f>ABS((C4298-EDA!$F$15)/EDA!$G$15)</f>
        <v>0.35951952649158769</v>
      </c>
      <c r="M4298" t="str">
        <f>IF(moras[[#This Row],[Z-Score Salario]]&gt;1.96, "Sí", "No")</f>
        <v>No</v>
      </c>
      <c r="N4298" s="14">
        <f>IF(ISBLANK(moras[[#This Row],[SALARIO]]), EDA!$M$8, moras[[#This Row],[SALARIO]])</f>
        <v>969577</v>
      </c>
      <c r="O4298" s="14">
        <f xml:space="preserve"> IF(ISBLANK(moras[[#This Row],[EDAD]]), EDA!$E$8, moras[[#This Row],[EDAD]])</f>
        <v>44</v>
      </c>
      <c r="P4298" s="14" t="str">
        <f>IF(
    OR(ISBLANK(moras[[#This Row],[TIPO_ASEGURAMIENTO]]), moras[[#This Row],[TIPO_ASEGURAMIENTO]]=""),
    EDA!$A$32,
    moras[[#This Row],[TIPO_ASEGURAMIENTO]]
)</f>
        <v>ASALARIADO</v>
      </c>
    </row>
    <row r="4299" spans="1:16" x14ac:dyDescent="0.3">
      <c r="A4299">
        <v>4298</v>
      </c>
      <c r="B4299" t="s">
        <v>9</v>
      </c>
      <c r="C4299">
        <v>543582</v>
      </c>
      <c r="D4299" t="s">
        <v>10</v>
      </c>
      <c r="E4299" t="s">
        <v>16</v>
      </c>
      <c r="F4299" t="s">
        <v>12</v>
      </c>
      <c r="G4299" t="s">
        <v>13</v>
      </c>
      <c r="H4299" t="s">
        <v>13</v>
      </c>
      <c r="I4299">
        <v>49</v>
      </c>
      <c r="J4299">
        <f>ABS((I4299-EDA!$A$15)/EDA!$B$15)</f>
        <v>0.49546762339867978</v>
      </c>
      <c r="K4299" t="str">
        <f t="shared" si="67"/>
        <v>No</v>
      </c>
      <c r="L4299">
        <f>ABS((C4299-EDA!$F$15)/EDA!$G$15)</f>
        <v>0.36660838400665413</v>
      </c>
      <c r="M4299" t="str">
        <f>IF(moras[[#This Row],[Z-Score Salario]]&gt;1.96, "Sí", "No")</f>
        <v>No</v>
      </c>
      <c r="N4299" s="14">
        <f>IF(ISBLANK(moras[[#This Row],[SALARIO]]), EDA!$M$8, moras[[#This Row],[SALARIO]])</f>
        <v>543582</v>
      </c>
      <c r="O4299" s="14">
        <f xml:space="preserve"> IF(ISBLANK(moras[[#This Row],[EDAD]]), EDA!$E$8, moras[[#This Row],[EDAD]])</f>
        <v>49</v>
      </c>
      <c r="P4299" s="14" t="str">
        <f>IF(
    OR(ISBLANK(moras[[#This Row],[TIPO_ASEGURAMIENTO]]), moras[[#This Row],[TIPO_ASEGURAMIENTO]]=""),
    EDA!$A$32,
    moras[[#This Row],[TIPO_ASEGURAMIENTO]]
)</f>
        <v>ASALARIADO</v>
      </c>
    </row>
    <row r="4300" spans="1:16" x14ac:dyDescent="0.3">
      <c r="A4300">
        <v>4299</v>
      </c>
      <c r="B4300" t="s">
        <v>15</v>
      </c>
      <c r="C4300">
        <v>1478656</v>
      </c>
      <c r="D4300" t="s">
        <v>14</v>
      </c>
      <c r="E4300" t="s">
        <v>11</v>
      </c>
      <c r="F4300" t="s">
        <v>12</v>
      </c>
      <c r="G4300" t="s">
        <v>13</v>
      </c>
      <c r="H4300" t="s">
        <v>13</v>
      </c>
      <c r="I4300">
        <v>64</v>
      </c>
      <c r="J4300">
        <f>ABS((I4300-EDA!$A$15)/EDA!$B$15)</f>
        <v>1.5540975745557424</v>
      </c>
      <c r="K4300" t="str">
        <f t="shared" si="67"/>
        <v>No</v>
      </c>
      <c r="L4300">
        <f>ABS((C4300-EDA!$F$15)/EDA!$G$15)</f>
        <v>0.35104809256651226</v>
      </c>
      <c r="M4300" t="str">
        <f>IF(moras[[#This Row],[Z-Score Salario]]&gt;1.96, "Sí", "No")</f>
        <v>No</v>
      </c>
      <c r="N4300" s="14">
        <f>IF(ISBLANK(moras[[#This Row],[SALARIO]]), EDA!$M$8, moras[[#This Row],[SALARIO]])</f>
        <v>1478656</v>
      </c>
      <c r="O4300" s="14">
        <f xml:space="preserve"> IF(ISBLANK(moras[[#This Row],[EDAD]]), EDA!$E$8, moras[[#This Row],[EDAD]])</f>
        <v>64</v>
      </c>
      <c r="P4300" s="14" t="str">
        <f>IF(
    OR(ISBLANK(moras[[#This Row],[TIPO_ASEGURAMIENTO]]), moras[[#This Row],[TIPO_ASEGURAMIENTO]]=""),
    EDA!$A$32,
    moras[[#This Row],[TIPO_ASEGURAMIENTO]]
)</f>
        <v>PENSIONADOS EN SU PROPIO SISTEMA</v>
      </c>
    </row>
    <row r="4301" spans="1:16" x14ac:dyDescent="0.3">
      <c r="A4301">
        <v>4300</v>
      </c>
      <c r="B4301" t="s">
        <v>9</v>
      </c>
      <c r="C4301">
        <v>278030</v>
      </c>
      <c r="D4301" t="s">
        <v>19</v>
      </c>
      <c r="E4301" t="s">
        <v>16</v>
      </c>
      <c r="F4301" t="s">
        <v>12</v>
      </c>
      <c r="G4301" t="s">
        <v>13</v>
      </c>
      <c r="H4301" t="s">
        <v>13</v>
      </c>
      <c r="I4301">
        <v>50</v>
      </c>
      <c r="J4301">
        <f>ABS((I4301-EDA!$A$15)/EDA!$B$15)</f>
        <v>0.56604295347581735</v>
      </c>
      <c r="K4301" t="str">
        <f t="shared" si="67"/>
        <v>No</v>
      </c>
      <c r="L4301">
        <f>ABS((C4301-EDA!$F$15)/EDA!$G$15)</f>
        <v>0.37102735674304993</v>
      </c>
      <c r="M4301" t="str">
        <f>IF(moras[[#This Row],[Z-Score Salario]]&gt;1.96, "Sí", "No")</f>
        <v>No</v>
      </c>
      <c r="N4301" s="14">
        <f>IF(ISBLANK(moras[[#This Row],[SALARIO]]), EDA!$M$8, moras[[#This Row],[SALARIO]])</f>
        <v>278030</v>
      </c>
      <c r="O4301" s="14">
        <f xml:space="preserve"> IF(ISBLANK(moras[[#This Row],[EDAD]]), EDA!$E$8, moras[[#This Row],[EDAD]])</f>
        <v>50</v>
      </c>
      <c r="P4301" s="14" t="str">
        <f>IF(
    OR(ISBLANK(moras[[#This Row],[TIPO_ASEGURAMIENTO]]), moras[[#This Row],[TIPO_ASEGURAMIENTO]]=""),
    EDA!$A$32,
    moras[[#This Row],[TIPO_ASEGURAMIENTO]]
)</f>
        <v>CONVENIOS ESPECIALES DE TRABAJADORES INDEPENDIENTES</v>
      </c>
    </row>
    <row r="4302" spans="1:16" x14ac:dyDescent="0.3">
      <c r="A4302">
        <v>4301</v>
      </c>
      <c r="B4302" t="s">
        <v>9</v>
      </c>
      <c r="C4302">
        <v>51246667</v>
      </c>
      <c r="D4302" t="s">
        <v>10</v>
      </c>
      <c r="E4302" t="s">
        <v>16</v>
      </c>
      <c r="F4302" t="s">
        <v>12</v>
      </c>
      <c r="G4302" t="s">
        <v>13</v>
      </c>
      <c r="H4302" t="s">
        <v>12</v>
      </c>
      <c r="I4302">
        <v>35</v>
      </c>
      <c r="J4302">
        <f>ABS((I4302-EDA!$A$15)/EDA!$B$15)</f>
        <v>0.49258699768124525</v>
      </c>
      <c r="K4302" t="str">
        <f t="shared" si="67"/>
        <v>No</v>
      </c>
      <c r="L4302">
        <f>ABS((C4302-EDA!$F$15)/EDA!$G$15)</f>
        <v>0.47712674231948188</v>
      </c>
      <c r="M4302" t="str">
        <f>IF(moras[[#This Row],[Z-Score Salario]]&gt;1.96, "Sí", "No")</f>
        <v>No</v>
      </c>
      <c r="N4302" s="14">
        <f>IF(ISBLANK(moras[[#This Row],[SALARIO]]), EDA!$M$8, moras[[#This Row],[SALARIO]])</f>
        <v>51246667</v>
      </c>
      <c r="O4302" s="14">
        <f xml:space="preserve"> IF(ISBLANK(moras[[#This Row],[EDAD]]), EDA!$E$8, moras[[#This Row],[EDAD]])</f>
        <v>35</v>
      </c>
      <c r="P4302" s="14" t="str">
        <f>IF(
    OR(ISBLANK(moras[[#This Row],[TIPO_ASEGURAMIENTO]]), moras[[#This Row],[TIPO_ASEGURAMIENTO]]=""),
    EDA!$A$32,
    moras[[#This Row],[TIPO_ASEGURAMIENTO]]
)</f>
        <v>ASALARIADO</v>
      </c>
    </row>
    <row r="4303" spans="1:16" x14ac:dyDescent="0.3">
      <c r="A4303">
        <v>4302</v>
      </c>
      <c r="B4303" t="s">
        <v>9</v>
      </c>
      <c r="C4303">
        <v>310124</v>
      </c>
      <c r="D4303" t="s">
        <v>17</v>
      </c>
      <c r="E4303" t="s">
        <v>16</v>
      </c>
      <c r="F4303" t="s">
        <v>12</v>
      </c>
      <c r="G4303" t="s">
        <v>13</v>
      </c>
      <c r="H4303" t="s">
        <v>13</v>
      </c>
      <c r="I4303">
        <v>55</v>
      </c>
      <c r="J4303">
        <f>ABS((I4303-EDA!$A$15)/EDA!$B$15)</f>
        <v>0.91891960386150484</v>
      </c>
      <c r="K4303" t="str">
        <f t="shared" si="67"/>
        <v>No</v>
      </c>
      <c r="L4303">
        <f>ABS((C4303-EDA!$F$15)/EDA!$G$15)</f>
        <v>0.37049328992750385</v>
      </c>
      <c r="M4303" t="str">
        <f>IF(moras[[#This Row],[Z-Score Salario]]&gt;1.96, "Sí", "No")</f>
        <v>No</v>
      </c>
      <c r="N4303" s="14">
        <f>IF(ISBLANK(moras[[#This Row],[SALARIO]]), EDA!$M$8, moras[[#This Row],[SALARIO]])</f>
        <v>310124</v>
      </c>
      <c r="O4303" s="14">
        <f xml:space="preserve"> IF(ISBLANK(moras[[#This Row],[EDAD]]), EDA!$E$8, moras[[#This Row],[EDAD]])</f>
        <v>55</v>
      </c>
      <c r="P4303" s="14" t="str">
        <f>IF(
    OR(ISBLANK(moras[[#This Row],[TIPO_ASEGURAMIENTO]]), moras[[#This Row],[TIPO_ASEGURAMIENTO]]=""),
    EDA!$A$32,
    moras[[#This Row],[TIPO_ASEGURAMIENTO]]
)</f>
        <v>ASEGURADO VOLUNTARIO</v>
      </c>
    </row>
    <row r="4304" spans="1:16" x14ac:dyDescent="0.3">
      <c r="A4304">
        <v>4303</v>
      </c>
      <c r="B4304" t="s">
        <v>9</v>
      </c>
      <c r="C4304">
        <v>52543696</v>
      </c>
      <c r="D4304" t="s">
        <v>10</v>
      </c>
      <c r="E4304" t="s">
        <v>16</v>
      </c>
      <c r="F4304" t="s">
        <v>12</v>
      </c>
      <c r="G4304" t="s">
        <v>13</v>
      </c>
      <c r="H4304" t="s">
        <v>13</v>
      </c>
      <c r="I4304">
        <v>33</v>
      </c>
      <c r="J4304">
        <f>ABS((I4304-EDA!$A$15)/EDA!$B$15)</f>
        <v>0.63373765783552027</v>
      </c>
      <c r="K4304" t="str">
        <f t="shared" si="67"/>
        <v>No</v>
      </c>
      <c r="L4304">
        <f>ABS((C4304-EDA!$F$15)/EDA!$G$15)</f>
        <v>0.49871022046807306</v>
      </c>
      <c r="M4304" t="str">
        <f>IF(moras[[#This Row],[Z-Score Salario]]&gt;1.96, "Sí", "No")</f>
        <v>No</v>
      </c>
      <c r="N4304" s="14">
        <f>IF(ISBLANK(moras[[#This Row],[SALARIO]]), EDA!$M$8, moras[[#This Row],[SALARIO]])</f>
        <v>52543696</v>
      </c>
      <c r="O4304" s="14">
        <f xml:space="preserve"> IF(ISBLANK(moras[[#This Row],[EDAD]]), EDA!$E$8, moras[[#This Row],[EDAD]])</f>
        <v>33</v>
      </c>
      <c r="P4304" s="14" t="str">
        <f>IF(
    OR(ISBLANK(moras[[#This Row],[TIPO_ASEGURAMIENTO]]), moras[[#This Row],[TIPO_ASEGURAMIENTO]]=""),
    EDA!$A$32,
    moras[[#This Row],[TIPO_ASEGURAMIENTO]]
)</f>
        <v>ASALARIADO</v>
      </c>
    </row>
    <row r="4305" spans="1:16" x14ac:dyDescent="0.3">
      <c r="A4305">
        <v>4304</v>
      </c>
      <c r="B4305" t="s">
        <v>9</v>
      </c>
      <c r="C4305">
        <v>406608</v>
      </c>
      <c r="D4305" t="s">
        <v>10</v>
      </c>
      <c r="E4305" t="s">
        <v>16</v>
      </c>
      <c r="F4305" t="s">
        <v>12</v>
      </c>
      <c r="G4305" t="s">
        <v>12</v>
      </c>
      <c r="H4305" t="s">
        <v>13</v>
      </c>
      <c r="I4305">
        <v>52</v>
      </c>
      <c r="J4305">
        <f>ABS((I4305-EDA!$A$15)/EDA!$B$15)</f>
        <v>0.70719361363009237</v>
      </c>
      <c r="K4305" t="str">
        <f t="shared" si="67"/>
        <v>No</v>
      </c>
      <c r="L4305">
        <f>ABS((C4305-EDA!$F$15)/EDA!$G$15)</f>
        <v>0.36888772805827141</v>
      </c>
      <c r="M4305" t="str">
        <f>IF(moras[[#This Row],[Z-Score Salario]]&gt;1.96, "Sí", "No")</f>
        <v>No</v>
      </c>
      <c r="N4305" s="14">
        <f>IF(ISBLANK(moras[[#This Row],[SALARIO]]), EDA!$M$8, moras[[#This Row],[SALARIO]])</f>
        <v>406608</v>
      </c>
      <c r="O4305" s="14">
        <f xml:space="preserve"> IF(ISBLANK(moras[[#This Row],[EDAD]]), EDA!$E$8, moras[[#This Row],[EDAD]])</f>
        <v>52</v>
      </c>
      <c r="P4305" s="14" t="str">
        <f>IF(
    OR(ISBLANK(moras[[#This Row],[TIPO_ASEGURAMIENTO]]), moras[[#This Row],[TIPO_ASEGURAMIENTO]]=""),
    EDA!$A$32,
    moras[[#This Row],[TIPO_ASEGURAMIENTO]]
)</f>
        <v>ASALARIADO</v>
      </c>
    </row>
    <row r="4306" spans="1:16" x14ac:dyDescent="0.3">
      <c r="A4306">
        <v>4305</v>
      </c>
      <c r="B4306" t="s">
        <v>9</v>
      </c>
      <c r="C4306">
        <v>400000</v>
      </c>
      <c r="D4306" t="s">
        <v>10</v>
      </c>
      <c r="E4306" t="s">
        <v>16</v>
      </c>
      <c r="F4306" t="s">
        <v>12</v>
      </c>
      <c r="G4306" t="s">
        <v>12</v>
      </c>
      <c r="H4306" t="s">
        <v>13</v>
      </c>
      <c r="I4306">
        <v>41</v>
      </c>
      <c r="J4306">
        <f>ABS((I4306-EDA!$A$15)/EDA!$B$15)</f>
        <v>6.9135017218420233E-2</v>
      </c>
      <c r="K4306" t="str">
        <f t="shared" si="67"/>
        <v>No</v>
      </c>
      <c r="L4306">
        <f>ABS((C4306-EDA!$F$15)/EDA!$G$15)</f>
        <v>0.36899768984293924</v>
      </c>
      <c r="M4306" t="str">
        <f>IF(moras[[#This Row],[Z-Score Salario]]&gt;1.96, "Sí", "No")</f>
        <v>No</v>
      </c>
      <c r="N4306" s="14">
        <f>IF(ISBLANK(moras[[#This Row],[SALARIO]]), EDA!$M$8, moras[[#This Row],[SALARIO]])</f>
        <v>400000</v>
      </c>
      <c r="O4306" s="14">
        <f xml:space="preserve"> IF(ISBLANK(moras[[#This Row],[EDAD]]), EDA!$E$8, moras[[#This Row],[EDAD]])</f>
        <v>41</v>
      </c>
      <c r="P4306" s="14" t="str">
        <f>IF(
    OR(ISBLANK(moras[[#This Row],[TIPO_ASEGURAMIENTO]]), moras[[#This Row],[TIPO_ASEGURAMIENTO]]=""),
    EDA!$A$32,
    moras[[#This Row],[TIPO_ASEGURAMIENTO]]
)</f>
        <v>ASALARIADO</v>
      </c>
    </row>
    <row r="4307" spans="1:16" x14ac:dyDescent="0.3">
      <c r="A4307">
        <v>4306</v>
      </c>
      <c r="B4307" t="s">
        <v>15</v>
      </c>
      <c r="C4307">
        <v>40039851</v>
      </c>
      <c r="D4307" t="s">
        <v>10</v>
      </c>
      <c r="E4307" t="s">
        <v>16</v>
      </c>
      <c r="F4307" t="s">
        <v>12</v>
      </c>
      <c r="G4307" t="s">
        <v>13</v>
      </c>
      <c r="H4307" t="s">
        <v>13</v>
      </c>
      <c r="I4307">
        <v>26</v>
      </c>
      <c r="J4307">
        <f>ABS((I4307-EDA!$A$15)/EDA!$B$15)</f>
        <v>1.1277649683754829</v>
      </c>
      <c r="K4307" t="str">
        <f t="shared" si="67"/>
        <v>No</v>
      </c>
      <c r="L4307">
        <f>ABS((C4307-EDA!$F$15)/EDA!$G$15)</f>
        <v>0.29063741305137597</v>
      </c>
      <c r="M4307" t="str">
        <f>IF(moras[[#This Row],[Z-Score Salario]]&gt;1.96, "Sí", "No")</f>
        <v>No</v>
      </c>
      <c r="N4307" s="14">
        <f>IF(ISBLANK(moras[[#This Row],[SALARIO]]), EDA!$M$8, moras[[#This Row],[SALARIO]])</f>
        <v>40039851</v>
      </c>
      <c r="O4307" s="14">
        <f xml:space="preserve"> IF(ISBLANK(moras[[#This Row],[EDAD]]), EDA!$E$8, moras[[#This Row],[EDAD]])</f>
        <v>26</v>
      </c>
      <c r="P4307" s="14" t="str">
        <f>IF(
    OR(ISBLANK(moras[[#This Row],[TIPO_ASEGURAMIENTO]]), moras[[#This Row],[TIPO_ASEGURAMIENTO]]=""),
    EDA!$A$32,
    moras[[#This Row],[TIPO_ASEGURAMIENTO]]
)</f>
        <v>ASALARIADO</v>
      </c>
    </row>
    <row r="4308" spans="1:16" x14ac:dyDescent="0.3">
      <c r="A4308">
        <v>4307</v>
      </c>
      <c r="B4308" t="s">
        <v>9</v>
      </c>
      <c r="C4308">
        <v>89118229</v>
      </c>
      <c r="D4308" t="s">
        <v>10</v>
      </c>
      <c r="E4308" t="s">
        <v>11</v>
      </c>
      <c r="F4308" t="s">
        <v>12</v>
      </c>
      <c r="G4308" t="s">
        <v>13</v>
      </c>
      <c r="H4308" t="s">
        <v>13</v>
      </c>
      <c r="I4308">
        <v>40</v>
      </c>
      <c r="J4308">
        <f>ABS((I4308-EDA!$A$15)/EDA!$B$15)</f>
        <v>0.13971034729555773</v>
      </c>
      <c r="K4308" t="str">
        <f t="shared" si="67"/>
        <v>No</v>
      </c>
      <c r="L4308">
        <f>ABS((C4308-EDA!$F$15)/EDA!$G$15)</f>
        <v>1.1073362679970238</v>
      </c>
      <c r="M4308" t="str">
        <f>IF(moras[[#This Row],[Z-Score Salario]]&gt;1.96, "Sí", "No")</f>
        <v>No</v>
      </c>
      <c r="N4308" s="14">
        <f>IF(ISBLANK(moras[[#This Row],[SALARIO]]), EDA!$M$8, moras[[#This Row],[SALARIO]])</f>
        <v>89118229</v>
      </c>
      <c r="O4308" s="14">
        <f xml:space="preserve"> IF(ISBLANK(moras[[#This Row],[EDAD]]), EDA!$E$8, moras[[#This Row],[EDAD]])</f>
        <v>40</v>
      </c>
      <c r="P4308" s="14" t="str">
        <f>IF(
    OR(ISBLANK(moras[[#This Row],[TIPO_ASEGURAMIENTO]]), moras[[#This Row],[TIPO_ASEGURAMIENTO]]=""),
    EDA!$A$32,
    moras[[#This Row],[TIPO_ASEGURAMIENTO]]
)</f>
        <v>ASALARIADO</v>
      </c>
    </row>
    <row r="4309" spans="1:16" x14ac:dyDescent="0.3">
      <c r="A4309">
        <v>4308</v>
      </c>
      <c r="B4309" t="s">
        <v>15</v>
      </c>
      <c r="C4309">
        <v>375988</v>
      </c>
      <c r="D4309" t="s">
        <v>19</v>
      </c>
      <c r="E4309" t="s">
        <v>16</v>
      </c>
      <c r="F4309" t="s">
        <v>12</v>
      </c>
      <c r="G4309" t="s">
        <v>13</v>
      </c>
      <c r="H4309" t="s">
        <v>13</v>
      </c>
      <c r="I4309">
        <v>58</v>
      </c>
      <c r="J4309">
        <f>ABS((I4309-EDA!$A$15)/EDA!$B$15)</f>
        <v>1.1306455940929174</v>
      </c>
      <c r="K4309" t="str">
        <f t="shared" si="67"/>
        <v>No</v>
      </c>
      <c r="L4309">
        <f>ABS((C4309-EDA!$F$15)/EDA!$G$15)</f>
        <v>0.3693972664733029</v>
      </c>
      <c r="M4309" t="str">
        <f>IF(moras[[#This Row],[Z-Score Salario]]&gt;1.96, "Sí", "No")</f>
        <v>No</v>
      </c>
      <c r="N4309" s="14">
        <f>IF(ISBLANK(moras[[#This Row],[SALARIO]]), EDA!$M$8, moras[[#This Row],[SALARIO]])</f>
        <v>375988</v>
      </c>
      <c r="O4309" s="14">
        <f xml:space="preserve"> IF(ISBLANK(moras[[#This Row],[EDAD]]), EDA!$E$8, moras[[#This Row],[EDAD]])</f>
        <v>58</v>
      </c>
      <c r="P4309" s="14" t="str">
        <f>IF(
    OR(ISBLANK(moras[[#This Row],[TIPO_ASEGURAMIENTO]]), moras[[#This Row],[TIPO_ASEGURAMIENTO]]=""),
    EDA!$A$32,
    moras[[#This Row],[TIPO_ASEGURAMIENTO]]
)</f>
        <v>CONVENIOS ESPECIALES DE TRABAJADORES INDEPENDIENTES</v>
      </c>
    </row>
    <row r="4310" spans="1:16" x14ac:dyDescent="0.3">
      <c r="A4310">
        <v>4309</v>
      </c>
      <c r="B4310" t="s">
        <v>15</v>
      </c>
      <c r="C4310">
        <v>1108329</v>
      </c>
      <c r="D4310" t="s">
        <v>10</v>
      </c>
      <c r="E4310" t="s">
        <v>11</v>
      </c>
      <c r="F4310" t="s">
        <v>12</v>
      </c>
      <c r="G4310" t="s">
        <v>13</v>
      </c>
      <c r="H4310" t="s">
        <v>12</v>
      </c>
      <c r="I4310">
        <v>34</v>
      </c>
      <c r="J4310">
        <f>ABS((I4310-EDA!$A$15)/EDA!$B$15)</f>
        <v>0.56316232775838282</v>
      </c>
      <c r="K4310" t="str">
        <f t="shared" si="67"/>
        <v>No</v>
      </c>
      <c r="L4310">
        <f>ABS((C4310-EDA!$F$15)/EDA!$G$15)</f>
        <v>0.35721059526485854</v>
      </c>
      <c r="M4310" t="str">
        <f>IF(moras[[#This Row],[Z-Score Salario]]&gt;1.96, "Sí", "No")</f>
        <v>No</v>
      </c>
      <c r="N4310" s="14">
        <f>IF(ISBLANK(moras[[#This Row],[SALARIO]]), EDA!$M$8, moras[[#This Row],[SALARIO]])</f>
        <v>1108329</v>
      </c>
      <c r="O4310" s="14">
        <f xml:space="preserve"> IF(ISBLANK(moras[[#This Row],[EDAD]]), EDA!$E$8, moras[[#This Row],[EDAD]])</f>
        <v>34</v>
      </c>
      <c r="P4310" s="14" t="str">
        <f>IF(
    OR(ISBLANK(moras[[#This Row],[TIPO_ASEGURAMIENTO]]), moras[[#This Row],[TIPO_ASEGURAMIENTO]]=""),
    EDA!$A$32,
    moras[[#This Row],[TIPO_ASEGURAMIENTO]]
)</f>
        <v>ASALARIADO</v>
      </c>
    </row>
    <row r="4311" spans="1:16" x14ac:dyDescent="0.3">
      <c r="A4311">
        <v>4310</v>
      </c>
      <c r="B4311" t="s">
        <v>15</v>
      </c>
      <c r="C4311">
        <v>14745755</v>
      </c>
      <c r="D4311" t="s">
        <v>10</v>
      </c>
      <c r="E4311" t="s">
        <v>11</v>
      </c>
      <c r="F4311" t="s">
        <v>12</v>
      </c>
      <c r="G4311" t="s">
        <v>13</v>
      </c>
      <c r="H4311" t="s">
        <v>13</v>
      </c>
      <c r="I4311">
        <v>46</v>
      </c>
      <c r="J4311">
        <f>ABS((I4311-EDA!$A$15)/EDA!$B$15)</f>
        <v>0.2837416331672673</v>
      </c>
      <c r="K4311" t="str">
        <f t="shared" si="67"/>
        <v>No</v>
      </c>
      <c r="L4311">
        <f>ABS((C4311-EDA!$F$15)/EDA!$G$15)</f>
        <v>0.13027419979950702</v>
      </c>
      <c r="M4311" t="str">
        <f>IF(moras[[#This Row],[Z-Score Salario]]&gt;1.96, "Sí", "No")</f>
        <v>No</v>
      </c>
      <c r="N4311" s="14">
        <f>IF(ISBLANK(moras[[#This Row],[SALARIO]]), EDA!$M$8, moras[[#This Row],[SALARIO]])</f>
        <v>14745755</v>
      </c>
      <c r="O4311" s="14">
        <f xml:space="preserve"> IF(ISBLANK(moras[[#This Row],[EDAD]]), EDA!$E$8, moras[[#This Row],[EDAD]])</f>
        <v>46</v>
      </c>
      <c r="P4311" s="14" t="str">
        <f>IF(
    OR(ISBLANK(moras[[#This Row],[TIPO_ASEGURAMIENTO]]), moras[[#This Row],[TIPO_ASEGURAMIENTO]]=""),
    EDA!$A$32,
    moras[[#This Row],[TIPO_ASEGURAMIENTO]]
)</f>
        <v>ASALARIADO</v>
      </c>
    </row>
    <row r="4312" spans="1:16" x14ac:dyDescent="0.3">
      <c r="A4312">
        <v>4311</v>
      </c>
      <c r="B4312" t="s">
        <v>15</v>
      </c>
      <c r="C4312">
        <v>36371195</v>
      </c>
      <c r="D4312" t="s">
        <v>10</v>
      </c>
      <c r="E4312" t="s">
        <v>16</v>
      </c>
      <c r="F4312" t="s">
        <v>12</v>
      </c>
      <c r="G4312" t="s">
        <v>13</v>
      </c>
      <c r="H4312" t="s">
        <v>13</v>
      </c>
      <c r="I4312">
        <v>30</v>
      </c>
      <c r="J4312">
        <f>ABS((I4312-EDA!$A$15)/EDA!$B$15)</f>
        <v>0.84546364806693275</v>
      </c>
      <c r="K4312" t="str">
        <f t="shared" si="67"/>
        <v>No</v>
      </c>
      <c r="L4312">
        <f>ABS((C4312-EDA!$F$15)/EDA!$G$15)</f>
        <v>0.2295883874623583</v>
      </c>
      <c r="M4312" t="str">
        <f>IF(moras[[#This Row],[Z-Score Salario]]&gt;1.96, "Sí", "No")</f>
        <v>No</v>
      </c>
      <c r="N4312" s="14">
        <f>IF(ISBLANK(moras[[#This Row],[SALARIO]]), EDA!$M$8, moras[[#This Row],[SALARIO]])</f>
        <v>36371195</v>
      </c>
      <c r="O4312" s="14">
        <f xml:space="preserve"> IF(ISBLANK(moras[[#This Row],[EDAD]]), EDA!$E$8, moras[[#This Row],[EDAD]])</f>
        <v>30</v>
      </c>
      <c r="P4312" s="14" t="str">
        <f>IF(
    OR(ISBLANK(moras[[#This Row],[TIPO_ASEGURAMIENTO]]), moras[[#This Row],[TIPO_ASEGURAMIENTO]]=""),
    EDA!$A$32,
    moras[[#This Row],[TIPO_ASEGURAMIENTO]]
)</f>
        <v>ASALARIADO</v>
      </c>
    </row>
    <row r="4313" spans="1:16" x14ac:dyDescent="0.3">
      <c r="A4313">
        <v>4312</v>
      </c>
      <c r="B4313" t="s">
        <v>15</v>
      </c>
      <c r="C4313">
        <v>490637</v>
      </c>
      <c r="D4313" t="s">
        <v>14</v>
      </c>
      <c r="E4313" t="s">
        <v>11</v>
      </c>
      <c r="F4313" t="s">
        <v>12</v>
      </c>
      <c r="G4313" t="s">
        <v>13</v>
      </c>
      <c r="H4313" t="s">
        <v>13</v>
      </c>
      <c r="I4313">
        <v>71</v>
      </c>
      <c r="J4313">
        <f>ABS((I4313-EDA!$A$15)/EDA!$B$15)</f>
        <v>2.0481248850957048</v>
      </c>
      <c r="K4313" t="str">
        <f t="shared" si="67"/>
        <v>Sí</v>
      </c>
      <c r="L4313">
        <f>ABS((C4313-EDA!$F$15)/EDA!$G$15)</f>
        <v>0.36748942618117542</v>
      </c>
      <c r="M4313" t="str">
        <f>IF(moras[[#This Row],[Z-Score Salario]]&gt;1.96, "Sí", "No")</f>
        <v>No</v>
      </c>
      <c r="N4313" s="14">
        <f>IF(ISBLANK(moras[[#This Row],[SALARIO]]), EDA!$M$8, moras[[#This Row],[SALARIO]])</f>
        <v>490637</v>
      </c>
      <c r="O4313" s="14">
        <f xml:space="preserve"> IF(ISBLANK(moras[[#This Row],[EDAD]]), EDA!$E$8, moras[[#This Row],[EDAD]])</f>
        <v>71</v>
      </c>
      <c r="P4313" s="14" t="str">
        <f>IF(
    OR(ISBLANK(moras[[#This Row],[TIPO_ASEGURAMIENTO]]), moras[[#This Row],[TIPO_ASEGURAMIENTO]]=""),
    EDA!$A$32,
    moras[[#This Row],[TIPO_ASEGURAMIENTO]]
)</f>
        <v>PENSIONADOS EN SU PROPIO SISTEMA</v>
      </c>
    </row>
    <row r="4314" spans="1:16" x14ac:dyDescent="0.3">
      <c r="A4314">
        <v>4313</v>
      </c>
      <c r="B4314" t="s">
        <v>15</v>
      </c>
      <c r="C4314">
        <v>279111</v>
      </c>
      <c r="D4314" t="s">
        <v>18</v>
      </c>
      <c r="E4314" t="s">
        <v>16</v>
      </c>
      <c r="F4314" t="s">
        <v>12</v>
      </c>
      <c r="G4314" t="s">
        <v>13</v>
      </c>
      <c r="H4314" t="s">
        <v>13</v>
      </c>
      <c r="I4314">
        <v>26</v>
      </c>
      <c r="J4314">
        <f>ABS((I4314-EDA!$A$15)/EDA!$B$15)</f>
        <v>1.1277649683754829</v>
      </c>
      <c r="K4314" t="str">
        <f t="shared" si="67"/>
        <v>No</v>
      </c>
      <c r="L4314">
        <f>ABS((C4314-EDA!$F$15)/EDA!$G$15)</f>
        <v>0.37100936813995883</v>
      </c>
      <c r="M4314" t="str">
        <f>IF(moras[[#This Row],[Z-Score Salario]]&gt;1.96, "Sí", "No")</f>
        <v>No</v>
      </c>
      <c r="N4314" s="14">
        <f>IF(ISBLANK(moras[[#This Row],[SALARIO]]), EDA!$M$8, moras[[#This Row],[SALARIO]])</f>
        <v>279111</v>
      </c>
      <c r="O4314" s="14">
        <f xml:space="preserve"> IF(ISBLANK(moras[[#This Row],[EDAD]]), EDA!$E$8, moras[[#This Row],[EDAD]])</f>
        <v>26</v>
      </c>
      <c r="P4314" s="14" t="str">
        <f>IF(
    OR(ISBLANK(moras[[#This Row],[TIPO_ASEGURAMIENTO]]), moras[[#This Row],[TIPO_ASEGURAMIENTO]]=""),
    EDA!$A$32,
    moras[[#This Row],[TIPO_ASEGURAMIENTO]]
)</f>
        <v>TRABAJADOR INDEPENDIENTE</v>
      </c>
    </row>
    <row r="4315" spans="1:16" x14ac:dyDescent="0.3">
      <c r="A4315">
        <v>4314</v>
      </c>
      <c r="B4315" t="s">
        <v>15</v>
      </c>
      <c r="C4315">
        <v>297050</v>
      </c>
      <c r="D4315" t="s">
        <v>17</v>
      </c>
      <c r="E4315" t="s">
        <v>16</v>
      </c>
      <c r="F4315" t="s">
        <v>12</v>
      </c>
      <c r="G4315" t="s">
        <v>13</v>
      </c>
      <c r="H4315" t="s">
        <v>13</v>
      </c>
      <c r="I4315">
        <v>43</v>
      </c>
      <c r="J4315">
        <f>ABS((I4315-EDA!$A$15)/EDA!$B$15)</f>
        <v>7.2015642935854773E-2</v>
      </c>
      <c r="K4315" t="str">
        <f t="shared" si="67"/>
        <v>No</v>
      </c>
      <c r="L4315">
        <f>ABS((C4315-EDA!$F$15)/EDA!$G$15)</f>
        <v>0.37071085051659991</v>
      </c>
      <c r="M4315" t="str">
        <f>IF(moras[[#This Row],[Z-Score Salario]]&gt;1.96, "Sí", "No")</f>
        <v>No</v>
      </c>
      <c r="N4315" s="14">
        <f>IF(ISBLANK(moras[[#This Row],[SALARIO]]), EDA!$M$8, moras[[#This Row],[SALARIO]])</f>
        <v>297050</v>
      </c>
      <c r="O4315" s="14">
        <f xml:space="preserve"> IF(ISBLANK(moras[[#This Row],[EDAD]]), EDA!$E$8, moras[[#This Row],[EDAD]])</f>
        <v>43</v>
      </c>
      <c r="P4315" s="14" t="str">
        <f>IF(
    OR(ISBLANK(moras[[#This Row],[TIPO_ASEGURAMIENTO]]), moras[[#This Row],[TIPO_ASEGURAMIENTO]]=""),
    EDA!$A$32,
    moras[[#This Row],[TIPO_ASEGURAMIENTO]]
)</f>
        <v>ASEGURADO VOLUNTARIO</v>
      </c>
    </row>
    <row r="4316" spans="1:16" x14ac:dyDescent="0.3">
      <c r="A4316">
        <v>4315</v>
      </c>
      <c r="B4316" t="s">
        <v>9</v>
      </c>
      <c r="C4316">
        <v>300018</v>
      </c>
      <c r="D4316" t="s">
        <v>18</v>
      </c>
      <c r="E4316" t="s">
        <v>16</v>
      </c>
      <c r="F4316" t="s">
        <v>12</v>
      </c>
      <c r="G4316" t="s">
        <v>12</v>
      </c>
      <c r="H4316" t="s">
        <v>12</v>
      </c>
      <c r="I4316">
        <v>32</v>
      </c>
      <c r="J4316">
        <f>ABS((I4316-EDA!$A$15)/EDA!$B$15)</f>
        <v>0.70431298791265773</v>
      </c>
      <c r="K4316" t="str">
        <f t="shared" si="67"/>
        <v>No</v>
      </c>
      <c r="L4316">
        <f>ABS((C4316-EDA!$F$15)/EDA!$G$15)</f>
        <v>0.37066146090145252</v>
      </c>
      <c r="M4316" t="str">
        <f>IF(moras[[#This Row],[Z-Score Salario]]&gt;1.96, "Sí", "No")</f>
        <v>No</v>
      </c>
      <c r="N4316" s="14">
        <f>IF(ISBLANK(moras[[#This Row],[SALARIO]]), EDA!$M$8, moras[[#This Row],[SALARIO]])</f>
        <v>300018</v>
      </c>
      <c r="O4316" s="14">
        <f xml:space="preserve"> IF(ISBLANK(moras[[#This Row],[EDAD]]), EDA!$E$8, moras[[#This Row],[EDAD]])</f>
        <v>32</v>
      </c>
      <c r="P4316" s="14" t="str">
        <f>IF(
    OR(ISBLANK(moras[[#This Row],[TIPO_ASEGURAMIENTO]]), moras[[#This Row],[TIPO_ASEGURAMIENTO]]=""),
    EDA!$A$32,
    moras[[#This Row],[TIPO_ASEGURAMIENTO]]
)</f>
        <v>TRABAJADOR INDEPENDIENTE</v>
      </c>
    </row>
    <row r="4317" spans="1:16" x14ac:dyDescent="0.3">
      <c r="A4317">
        <v>4316</v>
      </c>
      <c r="B4317" t="s">
        <v>15</v>
      </c>
      <c r="C4317">
        <v>297046</v>
      </c>
      <c r="D4317" t="s">
        <v>18</v>
      </c>
      <c r="E4317" t="s">
        <v>16</v>
      </c>
      <c r="F4317" t="s">
        <v>12</v>
      </c>
      <c r="G4317" t="s">
        <v>12</v>
      </c>
      <c r="H4317" t="s">
        <v>12</v>
      </c>
      <c r="I4317">
        <v>45</v>
      </c>
      <c r="J4317">
        <f>ABS((I4317-EDA!$A$15)/EDA!$B$15)</f>
        <v>0.21316630309012977</v>
      </c>
      <c r="K4317" t="str">
        <f t="shared" si="67"/>
        <v>No</v>
      </c>
      <c r="L4317">
        <f>ABS((C4317-EDA!$F$15)/EDA!$G$15)</f>
        <v>0.37071091707942361</v>
      </c>
      <c r="M4317" t="str">
        <f>IF(moras[[#This Row],[Z-Score Salario]]&gt;1.96, "Sí", "No")</f>
        <v>No</v>
      </c>
      <c r="N4317" s="14">
        <f>IF(ISBLANK(moras[[#This Row],[SALARIO]]), EDA!$M$8, moras[[#This Row],[SALARIO]])</f>
        <v>297046</v>
      </c>
      <c r="O4317" s="14">
        <f xml:space="preserve"> IF(ISBLANK(moras[[#This Row],[EDAD]]), EDA!$E$8, moras[[#This Row],[EDAD]])</f>
        <v>45</v>
      </c>
      <c r="P4317" s="14" t="str">
        <f>IF(
    OR(ISBLANK(moras[[#This Row],[TIPO_ASEGURAMIENTO]]), moras[[#This Row],[TIPO_ASEGURAMIENTO]]=""),
    EDA!$A$32,
    moras[[#This Row],[TIPO_ASEGURAMIENTO]]
)</f>
        <v>TRABAJADOR INDEPENDIENTE</v>
      </c>
    </row>
    <row r="4318" spans="1:16" x14ac:dyDescent="0.3">
      <c r="A4318">
        <v>4317</v>
      </c>
      <c r="B4318" t="s">
        <v>15</v>
      </c>
      <c r="C4318">
        <v>672276</v>
      </c>
      <c r="D4318" t="s">
        <v>10</v>
      </c>
      <c r="E4318" t="s">
        <v>16</v>
      </c>
      <c r="F4318" t="s">
        <v>12</v>
      </c>
      <c r="G4318" t="s">
        <v>13</v>
      </c>
      <c r="H4318" t="s">
        <v>13</v>
      </c>
      <c r="I4318">
        <v>25</v>
      </c>
      <c r="J4318">
        <f>ABS((I4318-EDA!$A$15)/EDA!$B$15)</f>
        <v>1.1983402984526204</v>
      </c>
      <c r="K4318" t="str">
        <f t="shared" si="67"/>
        <v>No</v>
      </c>
      <c r="L4318">
        <f>ABS((C4318-EDA!$F$15)/EDA!$G$15)</f>
        <v>0.36446682499998984</v>
      </c>
      <c r="M4318" t="str">
        <f>IF(moras[[#This Row],[Z-Score Salario]]&gt;1.96, "Sí", "No")</f>
        <v>No</v>
      </c>
      <c r="N4318" s="14">
        <f>IF(ISBLANK(moras[[#This Row],[SALARIO]]), EDA!$M$8, moras[[#This Row],[SALARIO]])</f>
        <v>672276</v>
      </c>
      <c r="O4318" s="14">
        <f xml:space="preserve"> IF(ISBLANK(moras[[#This Row],[EDAD]]), EDA!$E$8, moras[[#This Row],[EDAD]])</f>
        <v>25</v>
      </c>
      <c r="P4318" s="14" t="str">
        <f>IF(
    OR(ISBLANK(moras[[#This Row],[TIPO_ASEGURAMIENTO]]), moras[[#This Row],[TIPO_ASEGURAMIENTO]]=""),
    EDA!$A$32,
    moras[[#This Row],[TIPO_ASEGURAMIENTO]]
)</f>
        <v>ASALARIADO</v>
      </c>
    </row>
    <row r="4319" spans="1:16" x14ac:dyDescent="0.3">
      <c r="A4319">
        <v>4318</v>
      </c>
      <c r="B4319" t="s">
        <v>9</v>
      </c>
      <c r="C4319">
        <v>34973717</v>
      </c>
      <c r="D4319" t="s">
        <v>10</v>
      </c>
      <c r="E4319" t="s">
        <v>16</v>
      </c>
      <c r="F4319" t="s">
        <v>12</v>
      </c>
      <c r="G4319" t="s">
        <v>13</v>
      </c>
      <c r="H4319" t="s">
        <v>12</v>
      </c>
      <c r="I4319">
        <v>26</v>
      </c>
      <c r="J4319">
        <f>ABS((I4319-EDA!$A$15)/EDA!$B$15)</f>
        <v>1.1277649683754829</v>
      </c>
      <c r="K4319" t="str">
        <f t="shared" si="67"/>
        <v>No</v>
      </c>
      <c r="L4319">
        <f>ABS((C4319-EDA!$F$15)/EDA!$G$15)</f>
        <v>0.20633336704559282</v>
      </c>
      <c r="M4319" t="str">
        <f>IF(moras[[#This Row],[Z-Score Salario]]&gt;1.96, "Sí", "No")</f>
        <v>No</v>
      </c>
      <c r="N4319" s="14">
        <f>IF(ISBLANK(moras[[#This Row],[SALARIO]]), EDA!$M$8, moras[[#This Row],[SALARIO]])</f>
        <v>34973717</v>
      </c>
      <c r="O4319" s="14">
        <f xml:space="preserve"> IF(ISBLANK(moras[[#This Row],[EDAD]]), EDA!$E$8, moras[[#This Row],[EDAD]])</f>
        <v>26</v>
      </c>
      <c r="P4319" s="14" t="str">
        <f>IF(
    OR(ISBLANK(moras[[#This Row],[TIPO_ASEGURAMIENTO]]), moras[[#This Row],[TIPO_ASEGURAMIENTO]]=""),
    EDA!$A$32,
    moras[[#This Row],[TIPO_ASEGURAMIENTO]]
)</f>
        <v>ASALARIADO</v>
      </c>
    </row>
    <row r="4320" spans="1:16" x14ac:dyDescent="0.3">
      <c r="A4320">
        <v>4319</v>
      </c>
      <c r="B4320" t="s">
        <v>15</v>
      </c>
      <c r="C4320">
        <v>1584055</v>
      </c>
      <c r="D4320" t="s">
        <v>10</v>
      </c>
      <c r="E4320" t="s">
        <v>11</v>
      </c>
      <c r="F4320" t="s">
        <v>12</v>
      </c>
      <c r="G4320" t="s">
        <v>13</v>
      </c>
      <c r="H4320" t="s">
        <v>13</v>
      </c>
      <c r="I4320">
        <v>39</v>
      </c>
      <c r="J4320">
        <f>ABS((I4320-EDA!$A$15)/EDA!$B$15)</f>
        <v>0.21028567737269524</v>
      </c>
      <c r="K4320" t="str">
        <f t="shared" si="67"/>
        <v>No</v>
      </c>
      <c r="L4320">
        <f>ABS((C4320-EDA!$F$15)/EDA!$G$15)</f>
        <v>0.3492941788040726</v>
      </c>
      <c r="M4320" t="str">
        <f>IF(moras[[#This Row],[Z-Score Salario]]&gt;1.96, "Sí", "No")</f>
        <v>No</v>
      </c>
      <c r="N4320" s="14">
        <f>IF(ISBLANK(moras[[#This Row],[SALARIO]]), EDA!$M$8, moras[[#This Row],[SALARIO]])</f>
        <v>1584055</v>
      </c>
      <c r="O4320" s="14">
        <f xml:space="preserve"> IF(ISBLANK(moras[[#This Row],[EDAD]]), EDA!$E$8, moras[[#This Row],[EDAD]])</f>
        <v>39</v>
      </c>
      <c r="P4320" s="14" t="str">
        <f>IF(
    OR(ISBLANK(moras[[#This Row],[TIPO_ASEGURAMIENTO]]), moras[[#This Row],[TIPO_ASEGURAMIENTO]]=""),
    EDA!$A$32,
    moras[[#This Row],[TIPO_ASEGURAMIENTO]]
)</f>
        <v>ASALARIADO</v>
      </c>
    </row>
    <row r="4321" spans="1:16" x14ac:dyDescent="0.3">
      <c r="A4321">
        <v>4320</v>
      </c>
      <c r="B4321" t="s">
        <v>15</v>
      </c>
      <c r="C4321">
        <v>323296</v>
      </c>
      <c r="D4321" t="s">
        <v>17</v>
      </c>
      <c r="E4321" t="s">
        <v>16</v>
      </c>
      <c r="F4321" t="s">
        <v>12</v>
      </c>
      <c r="G4321" t="s">
        <v>13</v>
      </c>
      <c r="H4321" t="s">
        <v>13</v>
      </c>
      <c r="I4321">
        <v>62</v>
      </c>
      <c r="J4321">
        <f>ABS((I4321-EDA!$A$15)/EDA!$B$15)</f>
        <v>1.4129469144014672</v>
      </c>
      <c r="K4321" t="str">
        <f t="shared" si="67"/>
        <v>No</v>
      </c>
      <c r="L4321">
        <f>ABS((C4321-EDA!$F$15)/EDA!$G$15)</f>
        <v>0.37027409854922838</v>
      </c>
      <c r="M4321" t="str">
        <f>IF(moras[[#This Row],[Z-Score Salario]]&gt;1.96, "Sí", "No")</f>
        <v>No</v>
      </c>
      <c r="N4321" s="14">
        <f>IF(ISBLANK(moras[[#This Row],[SALARIO]]), EDA!$M$8, moras[[#This Row],[SALARIO]])</f>
        <v>323296</v>
      </c>
      <c r="O4321" s="14">
        <f xml:space="preserve"> IF(ISBLANK(moras[[#This Row],[EDAD]]), EDA!$E$8, moras[[#This Row],[EDAD]])</f>
        <v>62</v>
      </c>
      <c r="P4321" s="14" t="str">
        <f>IF(
    OR(ISBLANK(moras[[#This Row],[TIPO_ASEGURAMIENTO]]), moras[[#This Row],[TIPO_ASEGURAMIENTO]]=""),
    EDA!$A$32,
    moras[[#This Row],[TIPO_ASEGURAMIENTO]]
)</f>
        <v>ASEGURADO VOLUNTARIO</v>
      </c>
    </row>
    <row r="4322" spans="1:16" x14ac:dyDescent="0.3">
      <c r="A4322">
        <v>4321</v>
      </c>
      <c r="B4322" t="s">
        <v>15</v>
      </c>
      <c r="C4322">
        <v>150000</v>
      </c>
      <c r="D4322" t="s">
        <v>10</v>
      </c>
      <c r="E4322" t="s">
        <v>16</v>
      </c>
      <c r="F4322" t="s">
        <v>12</v>
      </c>
      <c r="G4322" t="s">
        <v>12</v>
      </c>
      <c r="H4322" t="s">
        <v>13</v>
      </c>
      <c r="I4322">
        <v>62</v>
      </c>
      <c r="J4322">
        <f>ABS((I4322-EDA!$A$15)/EDA!$B$15)</f>
        <v>1.4129469144014672</v>
      </c>
      <c r="K4322" t="str">
        <f t="shared" si="67"/>
        <v>No</v>
      </c>
      <c r="L4322">
        <f>ABS((C4322-EDA!$F$15)/EDA!$G$15)</f>
        <v>0.37315786632098852</v>
      </c>
      <c r="M4322" t="str">
        <f>IF(moras[[#This Row],[Z-Score Salario]]&gt;1.96, "Sí", "No")</f>
        <v>No</v>
      </c>
      <c r="N4322" s="14">
        <f>IF(ISBLANK(moras[[#This Row],[SALARIO]]), EDA!$M$8, moras[[#This Row],[SALARIO]])</f>
        <v>150000</v>
      </c>
      <c r="O4322" s="14">
        <f xml:space="preserve"> IF(ISBLANK(moras[[#This Row],[EDAD]]), EDA!$E$8, moras[[#This Row],[EDAD]])</f>
        <v>62</v>
      </c>
      <c r="P4322" s="14" t="str">
        <f>IF(
    OR(ISBLANK(moras[[#This Row],[TIPO_ASEGURAMIENTO]]), moras[[#This Row],[TIPO_ASEGURAMIENTO]]=""),
    EDA!$A$32,
    moras[[#This Row],[TIPO_ASEGURAMIENTO]]
)</f>
        <v>ASALARIADO</v>
      </c>
    </row>
    <row r="4323" spans="1:16" x14ac:dyDescent="0.3">
      <c r="A4323">
        <v>4322</v>
      </c>
      <c r="B4323" t="s">
        <v>15</v>
      </c>
      <c r="C4323">
        <v>1155329</v>
      </c>
      <c r="D4323" t="s">
        <v>14</v>
      </c>
      <c r="E4323" t="s">
        <v>11</v>
      </c>
      <c r="F4323" t="s">
        <v>12</v>
      </c>
      <c r="G4323" t="s">
        <v>13</v>
      </c>
      <c r="H4323" t="s">
        <v>13</v>
      </c>
      <c r="I4323">
        <v>68</v>
      </c>
      <c r="J4323">
        <f>ABS((I4323-EDA!$A$15)/EDA!$B$15)</f>
        <v>1.8363988948642924</v>
      </c>
      <c r="K4323" t="str">
        <f t="shared" si="67"/>
        <v>No</v>
      </c>
      <c r="L4323">
        <f>ABS((C4323-EDA!$F$15)/EDA!$G$15)</f>
        <v>0.35642848208698524</v>
      </c>
      <c r="M4323" t="str">
        <f>IF(moras[[#This Row],[Z-Score Salario]]&gt;1.96, "Sí", "No")</f>
        <v>No</v>
      </c>
      <c r="N4323" s="14">
        <f>IF(ISBLANK(moras[[#This Row],[SALARIO]]), EDA!$M$8, moras[[#This Row],[SALARIO]])</f>
        <v>1155329</v>
      </c>
      <c r="O4323" s="14">
        <f xml:space="preserve"> IF(ISBLANK(moras[[#This Row],[EDAD]]), EDA!$E$8, moras[[#This Row],[EDAD]])</f>
        <v>68</v>
      </c>
      <c r="P4323" s="14" t="str">
        <f>IF(
    OR(ISBLANK(moras[[#This Row],[TIPO_ASEGURAMIENTO]]), moras[[#This Row],[TIPO_ASEGURAMIENTO]]=""),
    EDA!$A$32,
    moras[[#This Row],[TIPO_ASEGURAMIENTO]]
)</f>
        <v>PENSIONADOS EN SU PROPIO SISTEMA</v>
      </c>
    </row>
    <row r="4324" spans="1:16" x14ac:dyDescent="0.3">
      <c r="A4324">
        <v>4323</v>
      </c>
      <c r="B4324" t="s">
        <v>9</v>
      </c>
      <c r="C4324">
        <v>3391649</v>
      </c>
      <c r="D4324" t="s">
        <v>10</v>
      </c>
      <c r="E4324" t="s">
        <v>16</v>
      </c>
      <c r="F4324" t="s">
        <v>12</v>
      </c>
      <c r="G4324" t="s">
        <v>13</v>
      </c>
      <c r="H4324" t="s">
        <v>13</v>
      </c>
      <c r="I4324">
        <v>49</v>
      </c>
      <c r="J4324">
        <f>ABS((I4324-EDA!$A$15)/EDA!$B$15)</f>
        <v>0.49546762339867978</v>
      </c>
      <c r="K4324" t="str">
        <f t="shared" si="67"/>
        <v>No</v>
      </c>
      <c r="L4324">
        <f>ABS((C4324-EDA!$F$15)/EDA!$G$15)</f>
        <v>0.31921453864142046</v>
      </c>
      <c r="M4324" t="str">
        <f>IF(moras[[#This Row],[Z-Score Salario]]&gt;1.96, "Sí", "No")</f>
        <v>No</v>
      </c>
      <c r="N4324" s="14">
        <f>IF(ISBLANK(moras[[#This Row],[SALARIO]]), EDA!$M$8, moras[[#This Row],[SALARIO]])</f>
        <v>3391649</v>
      </c>
      <c r="O4324" s="14">
        <f xml:space="preserve"> IF(ISBLANK(moras[[#This Row],[EDAD]]), EDA!$E$8, moras[[#This Row],[EDAD]])</f>
        <v>49</v>
      </c>
      <c r="P4324" s="14" t="str">
        <f>IF(
    OR(ISBLANK(moras[[#This Row],[TIPO_ASEGURAMIENTO]]), moras[[#This Row],[TIPO_ASEGURAMIENTO]]=""),
    EDA!$A$32,
    moras[[#This Row],[TIPO_ASEGURAMIENTO]]
)</f>
        <v>ASALARIADO</v>
      </c>
    </row>
    <row r="4325" spans="1:16" x14ac:dyDescent="0.3">
      <c r="A4325">
        <v>4324</v>
      </c>
      <c r="B4325" t="s">
        <v>9</v>
      </c>
      <c r="C4325">
        <v>690000</v>
      </c>
      <c r="D4325" t="s">
        <v>10</v>
      </c>
      <c r="E4325" t="s">
        <v>16</v>
      </c>
      <c r="F4325" t="s">
        <v>12</v>
      </c>
      <c r="G4325" t="s">
        <v>13</v>
      </c>
      <c r="H4325" t="s">
        <v>13</v>
      </c>
      <c r="I4325">
        <v>24</v>
      </c>
      <c r="J4325">
        <f>ABS((I4325-EDA!$A$15)/EDA!$B$15)</f>
        <v>1.2689156285297578</v>
      </c>
      <c r="K4325" t="str">
        <f t="shared" si="67"/>
        <v>No</v>
      </c>
      <c r="L4325">
        <f>ABS((C4325-EDA!$F$15)/EDA!$G$15)</f>
        <v>0.36417188512840204</v>
      </c>
      <c r="M4325" t="str">
        <f>IF(moras[[#This Row],[Z-Score Salario]]&gt;1.96, "Sí", "No")</f>
        <v>No</v>
      </c>
      <c r="N4325" s="14">
        <f>IF(ISBLANK(moras[[#This Row],[SALARIO]]), EDA!$M$8, moras[[#This Row],[SALARIO]])</f>
        <v>690000</v>
      </c>
      <c r="O4325" s="14">
        <f xml:space="preserve"> IF(ISBLANK(moras[[#This Row],[EDAD]]), EDA!$E$8, moras[[#This Row],[EDAD]])</f>
        <v>24</v>
      </c>
      <c r="P4325" s="14" t="str">
        <f>IF(
    OR(ISBLANK(moras[[#This Row],[TIPO_ASEGURAMIENTO]]), moras[[#This Row],[TIPO_ASEGURAMIENTO]]=""),
    EDA!$A$32,
    moras[[#This Row],[TIPO_ASEGURAMIENTO]]
)</f>
        <v>ASALARIADO</v>
      </c>
    </row>
    <row r="4326" spans="1:16" x14ac:dyDescent="0.3">
      <c r="A4326">
        <v>4325</v>
      </c>
      <c r="B4326" t="s">
        <v>15</v>
      </c>
      <c r="C4326">
        <v>5066179</v>
      </c>
      <c r="D4326" t="s">
        <v>10</v>
      </c>
      <c r="E4326" t="s">
        <v>11</v>
      </c>
      <c r="F4326" t="s">
        <v>12</v>
      </c>
      <c r="G4326" t="s">
        <v>13</v>
      </c>
      <c r="H4326" t="s">
        <v>13</v>
      </c>
      <c r="I4326">
        <v>41</v>
      </c>
      <c r="J4326">
        <f>ABS((I4326-EDA!$A$15)/EDA!$B$15)</f>
        <v>6.9135017218420233E-2</v>
      </c>
      <c r="K4326" t="str">
        <f t="shared" si="67"/>
        <v>No</v>
      </c>
      <c r="L4326">
        <f>ABS((C4326-EDA!$F$15)/EDA!$G$15)</f>
        <v>0.29134917737026894</v>
      </c>
      <c r="M4326" t="str">
        <f>IF(moras[[#This Row],[Z-Score Salario]]&gt;1.96, "Sí", "No")</f>
        <v>No</v>
      </c>
      <c r="N4326" s="14">
        <f>IF(ISBLANK(moras[[#This Row],[SALARIO]]), EDA!$M$8, moras[[#This Row],[SALARIO]])</f>
        <v>5066179</v>
      </c>
      <c r="O4326" s="14">
        <f xml:space="preserve"> IF(ISBLANK(moras[[#This Row],[EDAD]]), EDA!$E$8, moras[[#This Row],[EDAD]])</f>
        <v>41</v>
      </c>
      <c r="P4326" s="14" t="str">
        <f>IF(
    OR(ISBLANK(moras[[#This Row],[TIPO_ASEGURAMIENTO]]), moras[[#This Row],[TIPO_ASEGURAMIENTO]]=""),
    EDA!$A$32,
    moras[[#This Row],[TIPO_ASEGURAMIENTO]]
)</f>
        <v>ASALARIADO</v>
      </c>
    </row>
    <row r="4327" spans="1:16" x14ac:dyDescent="0.3">
      <c r="A4327">
        <v>4326</v>
      </c>
      <c r="B4327" t="s">
        <v>15</v>
      </c>
      <c r="C4327">
        <v>443270</v>
      </c>
      <c r="D4327" t="s">
        <v>10</v>
      </c>
      <c r="E4327" t="s">
        <v>16</v>
      </c>
      <c r="F4327" t="s">
        <v>12</v>
      </c>
      <c r="G4327" t="s">
        <v>13</v>
      </c>
      <c r="H4327" t="s">
        <v>13</v>
      </c>
      <c r="I4327">
        <v>43</v>
      </c>
      <c r="J4327">
        <f>ABS((I4327-EDA!$A$15)/EDA!$B$15)</f>
        <v>7.2015642935854773E-2</v>
      </c>
      <c r="K4327" t="str">
        <f t="shared" si="67"/>
        <v>No</v>
      </c>
      <c r="L4327">
        <f>ABS((C4327-EDA!$F$15)/EDA!$G$15)</f>
        <v>0.36827764649811845</v>
      </c>
      <c r="M4327" t="str">
        <f>IF(moras[[#This Row],[Z-Score Salario]]&gt;1.96, "Sí", "No")</f>
        <v>No</v>
      </c>
      <c r="N4327" s="14">
        <f>IF(ISBLANK(moras[[#This Row],[SALARIO]]), EDA!$M$8, moras[[#This Row],[SALARIO]])</f>
        <v>443270</v>
      </c>
      <c r="O4327" s="14">
        <f xml:space="preserve"> IF(ISBLANK(moras[[#This Row],[EDAD]]), EDA!$E$8, moras[[#This Row],[EDAD]])</f>
        <v>43</v>
      </c>
      <c r="P4327" s="14" t="str">
        <f>IF(
    OR(ISBLANK(moras[[#This Row],[TIPO_ASEGURAMIENTO]]), moras[[#This Row],[TIPO_ASEGURAMIENTO]]=""),
    EDA!$A$32,
    moras[[#This Row],[TIPO_ASEGURAMIENTO]]
)</f>
        <v>ASALARIADO</v>
      </c>
    </row>
    <row r="4328" spans="1:16" x14ac:dyDescent="0.3">
      <c r="A4328">
        <v>4327</v>
      </c>
      <c r="B4328" t="s">
        <v>9</v>
      </c>
      <c r="C4328">
        <v>963090</v>
      </c>
      <c r="D4328" t="s">
        <v>10</v>
      </c>
      <c r="E4328" t="s">
        <v>11</v>
      </c>
      <c r="F4328" t="s">
        <v>12</v>
      </c>
      <c r="G4328" t="s">
        <v>13</v>
      </c>
      <c r="H4328" t="s">
        <v>13</v>
      </c>
      <c r="I4328">
        <v>50</v>
      </c>
      <c r="J4328">
        <f>ABS((I4328-EDA!$A$15)/EDA!$B$15)</f>
        <v>0.56604295347581735</v>
      </c>
      <c r="K4328" t="str">
        <f t="shared" si="67"/>
        <v>No</v>
      </c>
      <c r="L4328">
        <f>ABS((C4328-EDA!$F$15)/EDA!$G$15)</f>
        <v>0.35962747475084011</v>
      </c>
      <c r="M4328" t="str">
        <f>IF(moras[[#This Row],[Z-Score Salario]]&gt;1.96, "Sí", "No")</f>
        <v>No</v>
      </c>
      <c r="N4328" s="14">
        <f>IF(ISBLANK(moras[[#This Row],[SALARIO]]), EDA!$M$8, moras[[#This Row],[SALARIO]])</f>
        <v>963090</v>
      </c>
      <c r="O4328" s="14">
        <f xml:space="preserve"> IF(ISBLANK(moras[[#This Row],[EDAD]]), EDA!$E$8, moras[[#This Row],[EDAD]])</f>
        <v>50</v>
      </c>
      <c r="P4328" s="14" t="str">
        <f>IF(
    OR(ISBLANK(moras[[#This Row],[TIPO_ASEGURAMIENTO]]), moras[[#This Row],[TIPO_ASEGURAMIENTO]]=""),
    EDA!$A$32,
    moras[[#This Row],[TIPO_ASEGURAMIENTO]]
)</f>
        <v>ASALARIADO</v>
      </c>
    </row>
    <row r="4329" spans="1:16" x14ac:dyDescent="0.3">
      <c r="A4329">
        <v>4328</v>
      </c>
      <c r="B4329" t="s">
        <v>15</v>
      </c>
      <c r="C4329">
        <v>512500</v>
      </c>
      <c r="D4329" t="s">
        <v>10</v>
      </c>
      <c r="E4329" t="s">
        <v>16</v>
      </c>
      <c r="F4329" t="s">
        <v>12</v>
      </c>
      <c r="G4329" t="s">
        <v>13</v>
      </c>
      <c r="H4329" t="s">
        <v>13</v>
      </c>
      <c r="I4329">
        <v>25</v>
      </c>
      <c r="J4329">
        <f>ABS((I4329-EDA!$A$15)/EDA!$B$15)</f>
        <v>1.1983402984526204</v>
      </c>
      <c r="K4329" t="str">
        <f t="shared" si="67"/>
        <v>No</v>
      </c>
      <c r="L4329">
        <f>ABS((C4329-EDA!$F$15)/EDA!$G$15)</f>
        <v>0.36712561042781705</v>
      </c>
      <c r="M4329" t="str">
        <f>IF(moras[[#This Row],[Z-Score Salario]]&gt;1.96, "Sí", "No")</f>
        <v>No</v>
      </c>
      <c r="N4329" s="14">
        <f>IF(ISBLANK(moras[[#This Row],[SALARIO]]), EDA!$M$8, moras[[#This Row],[SALARIO]])</f>
        <v>512500</v>
      </c>
      <c r="O4329" s="14">
        <f xml:space="preserve"> IF(ISBLANK(moras[[#This Row],[EDAD]]), EDA!$E$8, moras[[#This Row],[EDAD]])</f>
        <v>25</v>
      </c>
      <c r="P4329" s="14" t="str">
        <f>IF(
    OR(ISBLANK(moras[[#This Row],[TIPO_ASEGURAMIENTO]]), moras[[#This Row],[TIPO_ASEGURAMIENTO]]=""),
    EDA!$A$32,
    moras[[#This Row],[TIPO_ASEGURAMIENTO]]
)</f>
        <v>ASALARIADO</v>
      </c>
    </row>
    <row r="4330" spans="1:16" x14ac:dyDescent="0.3">
      <c r="A4330">
        <v>4329</v>
      </c>
      <c r="B4330" t="s">
        <v>9</v>
      </c>
      <c r="C4330">
        <v>2100000</v>
      </c>
      <c r="D4330" t="s">
        <v>10</v>
      </c>
      <c r="E4330" t="s">
        <v>16</v>
      </c>
      <c r="F4330" t="s">
        <v>12</v>
      </c>
      <c r="G4330" t="s">
        <v>13</v>
      </c>
      <c r="H4330" t="s">
        <v>13</v>
      </c>
      <c r="I4330">
        <v>32</v>
      </c>
      <c r="J4330">
        <f>ABS((I4330-EDA!$A$15)/EDA!$B$15)</f>
        <v>0.70431298791265773</v>
      </c>
      <c r="K4330" t="str">
        <f t="shared" si="67"/>
        <v>No</v>
      </c>
      <c r="L4330">
        <f>ABS((C4330-EDA!$F$15)/EDA!$G$15)</f>
        <v>0.34070848979220403</v>
      </c>
      <c r="M4330" t="str">
        <f>IF(moras[[#This Row],[Z-Score Salario]]&gt;1.96, "Sí", "No")</f>
        <v>No</v>
      </c>
      <c r="N4330" s="14">
        <f>IF(ISBLANK(moras[[#This Row],[SALARIO]]), EDA!$M$8, moras[[#This Row],[SALARIO]])</f>
        <v>2100000</v>
      </c>
      <c r="O4330" s="14">
        <f xml:space="preserve"> IF(ISBLANK(moras[[#This Row],[EDAD]]), EDA!$E$8, moras[[#This Row],[EDAD]])</f>
        <v>32</v>
      </c>
      <c r="P4330" s="14" t="str">
        <f>IF(
    OR(ISBLANK(moras[[#This Row],[TIPO_ASEGURAMIENTO]]), moras[[#This Row],[TIPO_ASEGURAMIENTO]]=""),
    EDA!$A$32,
    moras[[#This Row],[TIPO_ASEGURAMIENTO]]
)</f>
        <v>ASALARIADO</v>
      </c>
    </row>
    <row r="4331" spans="1:16" x14ac:dyDescent="0.3">
      <c r="A4331">
        <v>4330</v>
      </c>
      <c r="B4331" t="s">
        <v>9</v>
      </c>
      <c r="C4331">
        <v>452438</v>
      </c>
      <c r="D4331" t="s">
        <v>18</v>
      </c>
      <c r="E4331" t="s">
        <v>16</v>
      </c>
      <c r="F4331" t="s">
        <v>12</v>
      </c>
      <c r="G4331" t="s">
        <v>13</v>
      </c>
      <c r="H4331" t="s">
        <v>13</v>
      </c>
      <c r="I4331">
        <v>63</v>
      </c>
      <c r="J4331">
        <f>ABS((I4331-EDA!$A$15)/EDA!$B$15)</f>
        <v>1.4835222444786049</v>
      </c>
      <c r="K4331" t="str">
        <f t="shared" si="67"/>
        <v>No</v>
      </c>
      <c r="L4331">
        <f>ABS((C4331-EDA!$F$15)/EDA!$G$15)</f>
        <v>0.36812508450631543</v>
      </c>
      <c r="M4331" t="str">
        <f>IF(moras[[#This Row],[Z-Score Salario]]&gt;1.96, "Sí", "No")</f>
        <v>No</v>
      </c>
      <c r="N4331" s="14">
        <f>IF(ISBLANK(moras[[#This Row],[SALARIO]]), EDA!$M$8, moras[[#This Row],[SALARIO]])</f>
        <v>452438</v>
      </c>
      <c r="O4331" s="14">
        <f xml:space="preserve"> IF(ISBLANK(moras[[#This Row],[EDAD]]), EDA!$E$8, moras[[#This Row],[EDAD]])</f>
        <v>63</v>
      </c>
      <c r="P4331" s="14" t="str">
        <f>IF(
    OR(ISBLANK(moras[[#This Row],[TIPO_ASEGURAMIENTO]]), moras[[#This Row],[TIPO_ASEGURAMIENTO]]=""),
    EDA!$A$32,
    moras[[#This Row],[TIPO_ASEGURAMIENTO]]
)</f>
        <v>TRABAJADOR INDEPENDIENTE</v>
      </c>
    </row>
    <row r="4332" spans="1:16" x14ac:dyDescent="0.3">
      <c r="A4332">
        <v>4331</v>
      </c>
      <c r="B4332" t="s">
        <v>9</v>
      </c>
      <c r="C4332">
        <v>21900927</v>
      </c>
      <c r="D4332" t="s">
        <v>10</v>
      </c>
      <c r="E4332" t="s">
        <v>11</v>
      </c>
      <c r="F4332" t="s">
        <v>12</v>
      </c>
      <c r="G4332" t="s">
        <v>13</v>
      </c>
      <c r="H4332" t="s">
        <v>13</v>
      </c>
      <c r="I4332">
        <v>42</v>
      </c>
      <c r="J4332">
        <f>ABS((I4332-EDA!$A$15)/EDA!$B$15)</f>
        <v>1.4403128587172659E-3</v>
      </c>
      <c r="K4332" t="str">
        <f t="shared" si="67"/>
        <v>No</v>
      </c>
      <c r="L4332">
        <f>ABS((C4332-EDA!$F$15)/EDA!$G$15)</f>
        <v>1.1207086796319319E-2</v>
      </c>
      <c r="M4332" t="str">
        <f>IF(moras[[#This Row],[Z-Score Salario]]&gt;1.96, "Sí", "No")</f>
        <v>No</v>
      </c>
      <c r="N4332" s="14">
        <f>IF(ISBLANK(moras[[#This Row],[SALARIO]]), EDA!$M$8, moras[[#This Row],[SALARIO]])</f>
        <v>21900927</v>
      </c>
      <c r="O4332" s="14">
        <f xml:space="preserve"> IF(ISBLANK(moras[[#This Row],[EDAD]]), EDA!$E$8, moras[[#This Row],[EDAD]])</f>
        <v>42</v>
      </c>
      <c r="P4332" s="14" t="str">
        <f>IF(
    OR(ISBLANK(moras[[#This Row],[TIPO_ASEGURAMIENTO]]), moras[[#This Row],[TIPO_ASEGURAMIENTO]]=""),
    EDA!$A$32,
    moras[[#This Row],[TIPO_ASEGURAMIENTO]]
)</f>
        <v>ASALARIADO</v>
      </c>
    </row>
    <row r="4333" spans="1:16" x14ac:dyDescent="0.3">
      <c r="A4333">
        <v>4332</v>
      </c>
      <c r="B4333" t="s">
        <v>9</v>
      </c>
      <c r="C4333">
        <v>77253323</v>
      </c>
      <c r="D4333" t="s">
        <v>10</v>
      </c>
      <c r="E4333" t="s">
        <v>16</v>
      </c>
      <c r="F4333" t="s">
        <v>12</v>
      </c>
      <c r="G4333" t="s">
        <v>13</v>
      </c>
      <c r="H4333" t="s">
        <v>13</v>
      </c>
      <c r="I4333">
        <v>48</v>
      </c>
      <c r="J4333">
        <f>ABS((I4333-EDA!$A$15)/EDA!$B$15)</f>
        <v>0.42489229332154227</v>
      </c>
      <c r="K4333" t="str">
        <f t="shared" si="67"/>
        <v>No</v>
      </c>
      <c r="L4333">
        <f>ABS((C4333-EDA!$F$15)/EDA!$G$15)</f>
        <v>0.90989585657516003</v>
      </c>
      <c r="M4333" t="str">
        <f>IF(moras[[#This Row],[Z-Score Salario]]&gt;1.96, "Sí", "No")</f>
        <v>No</v>
      </c>
      <c r="N4333" s="14">
        <f>IF(ISBLANK(moras[[#This Row],[SALARIO]]), EDA!$M$8, moras[[#This Row],[SALARIO]])</f>
        <v>77253323</v>
      </c>
      <c r="O4333" s="14">
        <f xml:space="preserve"> IF(ISBLANK(moras[[#This Row],[EDAD]]), EDA!$E$8, moras[[#This Row],[EDAD]])</f>
        <v>48</v>
      </c>
      <c r="P4333" s="14" t="str">
        <f>IF(
    OR(ISBLANK(moras[[#This Row],[TIPO_ASEGURAMIENTO]]), moras[[#This Row],[TIPO_ASEGURAMIENTO]]=""),
    EDA!$A$32,
    moras[[#This Row],[TIPO_ASEGURAMIENTO]]
)</f>
        <v>ASALARIADO</v>
      </c>
    </row>
    <row r="4334" spans="1:16" x14ac:dyDescent="0.3">
      <c r="A4334">
        <v>4333</v>
      </c>
      <c r="B4334" t="s">
        <v>9</v>
      </c>
      <c r="C4334">
        <v>378261</v>
      </c>
      <c r="D4334" t="s">
        <v>14</v>
      </c>
      <c r="E4334" t="s">
        <v>11</v>
      </c>
      <c r="F4334" t="s">
        <v>12</v>
      </c>
      <c r="G4334" t="s">
        <v>13</v>
      </c>
      <c r="H4334" t="s">
        <v>13</v>
      </c>
      <c r="I4334">
        <v>21</v>
      </c>
      <c r="J4334">
        <f>ABS((I4334-EDA!$A$15)/EDA!$B$15)</f>
        <v>1.4806416187611704</v>
      </c>
      <c r="K4334" t="str">
        <f t="shared" si="67"/>
        <v>No</v>
      </c>
      <c r="L4334">
        <f>ABS((C4334-EDA!$F$15)/EDA!$G$15)</f>
        <v>0.36935944214876448</v>
      </c>
      <c r="M4334" t="str">
        <f>IF(moras[[#This Row],[Z-Score Salario]]&gt;1.96, "Sí", "No")</f>
        <v>No</v>
      </c>
      <c r="N4334" s="14">
        <f>IF(ISBLANK(moras[[#This Row],[SALARIO]]), EDA!$M$8, moras[[#This Row],[SALARIO]])</f>
        <v>378261</v>
      </c>
      <c r="O4334" s="14">
        <f xml:space="preserve"> IF(ISBLANK(moras[[#This Row],[EDAD]]), EDA!$E$8, moras[[#This Row],[EDAD]])</f>
        <v>21</v>
      </c>
      <c r="P4334" s="14" t="str">
        <f>IF(
    OR(ISBLANK(moras[[#This Row],[TIPO_ASEGURAMIENTO]]), moras[[#This Row],[TIPO_ASEGURAMIENTO]]=""),
    EDA!$A$32,
    moras[[#This Row],[TIPO_ASEGURAMIENTO]]
)</f>
        <v>PENSIONADOS EN SU PROPIO SISTEMA</v>
      </c>
    </row>
    <row r="4335" spans="1:16" x14ac:dyDescent="0.3">
      <c r="A4335">
        <v>4334</v>
      </c>
      <c r="B4335" t="s">
        <v>15</v>
      </c>
      <c r="C4335">
        <v>943761846</v>
      </c>
      <c r="D4335" t="s">
        <v>10</v>
      </c>
      <c r="E4335" t="s">
        <v>16</v>
      </c>
      <c r="F4335" t="s">
        <v>12</v>
      </c>
      <c r="G4335" t="s">
        <v>13</v>
      </c>
      <c r="H4335" t="s">
        <v>13</v>
      </c>
      <c r="I4335">
        <v>37</v>
      </c>
      <c r="J4335">
        <f>ABS((I4335-EDA!$A$15)/EDA!$B$15)</f>
        <v>0.35143633752697023</v>
      </c>
      <c r="K4335" t="str">
        <f t="shared" si="67"/>
        <v>No</v>
      </c>
      <c r="L4335">
        <f>ABS((C4335-EDA!$F$15)/EDA!$G$15)</f>
        <v>15.329209358230505</v>
      </c>
      <c r="M4335" t="str">
        <f>IF(moras[[#This Row],[Z-Score Salario]]&gt;1.96, "Sí", "No")</f>
        <v>Sí</v>
      </c>
      <c r="N4335" s="14">
        <f>IF(ISBLANK(moras[[#This Row],[SALARIO]]), EDA!$M$8, moras[[#This Row],[SALARIO]])</f>
        <v>943761846</v>
      </c>
      <c r="O4335" s="14">
        <f xml:space="preserve"> IF(ISBLANK(moras[[#This Row],[EDAD]]), EDA!$E$8, moras[[#This Row],[EDAD]])</f>
        <v>37</v>
      </c>
      <c r="P4335" s="14" t="str">
        <f>IF(
    OR(ISBLANK(moras[[#This Row],[TIPO_ASEGURAMIENTO]]), moras[[#This Row],[TIPO_ASEGURAMIENTO]]=""),
    EDA!$A$32,
    moras[[#This Row],[TIPO_ASEGURAMIENTO]]
)</f>
        <v>ASALARIADO</v>
      </c>
    </row>
    <row r="4336" spans="1:16" x14ac:dyDescent="0.3">
      <c r="A4336">
        <v>4335</v>
      </c>
      <c r="B4336" t="s">
        <v>9</v>
      </c>
      <c r="C4336">
        <v>20822083</v>
      </c>
      <c r="D4336" t="s">
        <v>10</v>
      </c>
      <c r="E4336" t="s">
        <v>16</v>
      </c>
      <c r="F4336" t="s">
        <v>12</v>
      </c>
      <c r="G4336" t="s">
        <v>12</v>
      </c>
      <c r="H4336" t="s">
        <v>13</v>
      </c>
      <c r="I4336">
        <v>54</v>
      </c>
      <c r="J4336">
        <f>ABS((I4336-EDA!$A$15)/EDA!$B$15)</f>
        <v>0.84834427378436728</v>
      </c>
      <c r="K4336" t="str">
        <f t="shared" si="67"/>
        <v>No</v>
      </c>
      <c r="L4336">
        <f>ABS((C4336-EDA!$F$15)/EDA!$G$15)</f>
        <v>2.9159812525457771E-2</v>
      </c>
      <c r="M4336" t="str">
        <f>IF(moras[[#This Row],[Z-Score Salario]]&gt;1.96, "Sí", "No")</f>
        <v>No</v>
      </c>
      <c r="N4336" s="14">
        <f>IF(ISBLANK(moras[[#This Row],[SALARIO]]), EDA!$M$8, moras[[#This Row],[SALARIO]])</f>
        <v>20822083</v>
      </c>
      <c r="O4336" s="14">
        <f xml:space="preserve"> IF(ISBLANK(moras[[#This Row],[EDAD]]), EDA!$E$8, moras[[#This Row],[EDAD]])</f>
        <v>54</v>
      </c>
      <c r="P4336" s="14" t="str">
        <f>IF(
    OR(ISBLANK(moras[[#This Row],[TIPO_ASEGURAMIENTO]]), moras[[#This Row],[TIPO_ASEGURAMIENTO]]=""),
    EDA!$A$32,
    moras[[#This Row],[TIPO_ASEGURAMIENTO]]
)</f>
        <v>ASALARIADO</v>
      </c>
    </row>
    <row r="4337" spans="1:16" x14ac:dyDescent="0.3">
      <c r="A4337">
        <v>4336</v>
      </c>
      <c r="B4337" t="s">
        <v>15</v>
      </c>
      <c r="C4337">
        <v>42327621</v>
      </c>
      <c r="D4337" t="s">
        <v>10</v>
      </c>
      <c r="E4337" t="s">
        <v>16</v>
      </c>
      <c r="F4337" t="s">
        <v>12</v>
      </c>
      <c r="G4337" t="s">
        <v>13</v>
      </c>
      <c r="H4337" t="s">
        <v>13</v>
      </c>
      <c r="I4337">
        <v>18</v>
      </c>
      <c r="J4337">
        <f>ABS((I4337-EDA!$A$15)/EDA!$B$15)</f>
        <v>1.6923676089925828</v>
      </c>
      <c r="K4337" t="str">
        <f t="shared" si="67"/>
        <v>No</v>
      </c>
      <c r="L4337">
        <f>ABS((C4337-EDA!$F$15)/EDA!$G$15)</f>
        <v>0.32870752081612331</v>
      </c>
      <c r="M4337" t="str">
        <f>IF(moras[[#This Row],[Z-Score Salario]]&gt;1.96, "Sí", "No")</f>
        <v>No</v>
      </c>
      <c r="N4337" s="14">
        <f>IF(ISBLANK(moras[[#This Row],[SALARIO]]), EDA!$M$8, moras[[#This Row],[SALARIO]])</f>
        <v>42327621</v>
      </c>
      <c r="O4337" s="14">
        <f xml:space="preserve"> IF(ISBLANK(moras[[#This Row],[EDAD]]), EDA!$E$8, moras[[#This Row],[EDAD]])</f>
        <v>18</v>
      </c>
      <c r="P4337" s="14" t="str">
        <f>IF(
    OR(ISBLANK(moras[[#This Row],[TIPO_ASEGURAMIENTO]]), moras[[#This Row],[TIPO_ASEGURAMIENTO]]=""),
    EDA!$A$32,
    moras[[#This Row],[TIPO_ASEGURAMIENTO]]
)</f>
        <v>ASALARIADO</v>
      </c>
    </row>
    <row r="4338" spans="1:16" x14ac:dyDescent="0.3">
      <c r="A4338">
        <v>4337</v>
      </c>
      <c r="B4338" t="s">
        <v>15</v>
      </c>
      <c r="C4338">
        <v>179230</v>
      </c>
      <c r="D4338" t="s">
        <v>10</v>
      </c>
      <c r="E4338" t="s">
        <v>16</v>
      </c>
      <c r="F4338" t="s">
        <v>12</v>
      </c>
      <c r="G4338" t="s">
        <v>13</v>
      </c>
      <c r="H4338" t="s">
        <v>13</v>
      </c>
      <c r="I4338">
        <v>43</v>
      </c>
      <c r="J4338">
        <f>ABS((I4338-EDA!$A$15)/EDA!$B$15)</f>
        <v>7.2015642935854773E-2</v>
      </c>
      <c r="K4338" t="str">
        <f t="shared" si="67"/>
        <v>No</v>
      </c>
      <c r="L4338">
        <f>ABS((C4338-EDA!$F$15)/EDA!$G$15)</f>
        <v>0.37267145848717498</v>
      </c>
      <c r="M4338" t="str">
        <f>IF(moras[[#This Row],[Z-Score Salario]]&gt;1.96, "Sí", "No")</f>
        <v>No</v>
      </c>
      <c r="N4338" s="14">
        <f>IF(ISBLANK(moras[[#This Row],[SALARIO]]), EDA!$M$8, moras[[#This Row],[SALARIO]])</f>
        <v>179230</v>
      </c>
      <c r="O4338" s="14">
        <f xml:space="preserve"> IF(ISBLANK(moras[[#This Row],[EDAD]]), EDA!$E$8, moras[[#This Row],[EDAD]])</f>
        <v>43</v>
      </c>
      <c r="P4338" s="14" t="str">
        <f>IF(
    OR(ISBLANK(moras[[#This Row],[TIPO_ASEGURAMIENTO]]), moras[[#This Row],[TIPO_ASEGURAMIENTO]]=""),
    EDA!$A$32,
    moras[[#This Row],[TIPO_ASEGURAMIENTO]]
)</f>
        <v>ASALARIADO</v>
      </c>
    </row>
    <row r="4339" spans="1:16" x14ac:dyDescent="0.3">
      <c r="A4339">
        <v>4338</v>
      </c>
      <c r="B4339" t="s">
        <v>15</v>
      </c>
      <c r="C4339">
        <v>356455</v>
      </c>
      <c r="D4339" t="s">
        <v>18</v>
      </c>
      <c r="E4339" t="s">
        <v>16</v>
      </c>
      <c r="F4339" t="s">
        <v>12</v>
      </c>
      <c r="G4339" t="s">
        <v>13</v>
      </c>
      <c r="H4339" t="s">
        <v>12</v>
      </c>
      <c r="I4339">
        <v>47</v>
      </c>
      <c r="J4339">
        <f>ABS((I4339-EDA!$A$15)/EDA!$B$15)</f>
        <v>0.35431696324440481</v>
      </c>
      <c r="K4339" t="str">
        <f t="shared" si="67"/>
        <v>No</v>
      </c>
      <c r="L4339">
        <f>ABS((C4339-EDA!$F$15)/EDA!$G$15)</f>
        <v>0.36972230938188588</v>
      </c>
      <c r="M4339" t="str">
        <f>IF(moras[[#This Row],[Z-Score Salario]]&gt;1.96, "Sí", "No")</f>
        <v>No</v>
      </c>
      <c r="N4339" s="14">
        <f>IF(ISBLANK(moras[[#This Row],[SALARIO]]), EDA!$M$8, moras[[#This Row],[SALARIO]])</f>
        <v>356455</v>
      </c>
      <c r="O4339" s="14">
        <f xml:space="preserve"> IF(ISBLANK(moras[[#This Row],[EDAD]]), EDA!$E$8, moras[[#This Row],[EDAD]])</f>
        <v>47</v>
      </c>
      <c r="P4339" s="14" t="str">
        <f>IF(
    OR(ISBLANK(moras[[#This Row],[TIPO_ASEGURAMIENTO]]), moras[[#This Row],[TIPO_ASEGURAMIENTO]]=""),
    EDA!$A$32,
    moras[[#This Row],[TIPO_ASEGURAMIENTO]]
)</f>
        <v>TRABAJADOR INDEPENDIENTE</v>
      </c>
    </row>
    <row r="4340" spans="1:16" x14ac:dyDescent="0.3">
      <c r="A4340">
        <v>4339</v>
      </c>
      <c r="B4340" t="s">
        <v>15</v>
      </c>
      <c r="C4340">
        <v>72926025</v>
      </c>
      <c r="D4340" t="s">
        <v>10</v>
      </c>
      <c r="E4340" t="s">
        <v>16</v>
      </c>
      <c r="F4340" t="s">
        <v>12</v>
      </c>
      <c r="G4340" t="s">
        <v>13</v>
      </c>
      <c r="H4340" t="s">
        <v>13</v>
      </c>
      <c r="I4340">
        <v>28</v>
      </c>
      <c r="J4340">
        <f>ABS((I4340-EDA!$A$15)/EDA!$B$15)</f>
        <v>0.98661430822120777</v>
      </c>
      <c r="K4340" t="str">
        <f t="shared" si="67"/>
        <v>No</v>
      </c>
      <c r="L4340">
        <f>ABS((C4340-EDA!$F$15)/EDA!$G$15)</f>
        <v>0.83788656316272103</v>
      </c>
      <c r="M4340" t="str">
        <f>IF(moras[[#This Row],[Z-Score Salario]]&gt;1.96, "Sí", "No")</f>
        <v>No</v>
      </c>
      <c r="N4340" s="14">
        <f>IF(ISBLANK(moras[[#This Row],[SALARIO]]), EDA!$M$8, moras[[#This Row],[SALARIO]])</f>
        <v>72926025</v>
      </c>
      <c r="O4340" s="14">
        <f xml:space="preserve"> IF(ISBLANK(moras[[#This Row],[EDAD]]), EDA!$E$8, moras[[#This Row],[EDAD]])</f>
        <v>28</v>
      </c>
      <c r="P4340" s="14" t="str">
        <f>IF(
    OR(ISBLANK(moras[[#This Row],[TIPO_ASEGURAMIENTO]]), moras[[#This Row],[TIPO_ASEGURAMIENTO]]=""),
    EDA!$A$32,
    moras[[#This Row],[TIPO_ASEGURAMIENTO]]
)</f>
        <v>ASALARIADO</v>
      </c>
    </row>
    <row r="4341" spans="1:16" x14ac:dyDescent="0.3">
      <c r="A4341">
        <v>4340</v>
      </c>
      <c r="B4341" t="s">
        <v>9</v>
      </c>
      <c r="C4341">
        <v>514804</v>
      </c>
      <c r="D4341" t="s">
        <v>18</v>
      </c>
      <c r="E4341" t="s">
        <v>16</v>
      </c>
      <c r="F4341" t="s">
        <v>12</v>
      </c>
      <c r="G4341" t="s">
        <v>12</v>
      </c>
      <c r="H4341" t="s">
        <v>12</v>
      </c>
      <c r="I4341">
        <v>34</v>
      </c>
      <c r="J4341">
        <f>ABS((I4341-EDA!$A$15)/EDA!$B$15)</f>
        <v>0.56316232775838282</v>
      </c>
      <c r="K4341" t="str">
        <f t="shared" si="67"/>
        <v>No</v>
      </c>
      <c r="L4341">
        <f>ABS((C4341-EDA!$F$15)/EDA!$G$15)</f>
        <v>0.36708727024139537</v>
      </c>
      <c r="M4341" t="str">
        <f>IF(moras[[#This Row],[Z-Score Salario]]&gt;1.96, "Sí", "No")</f>
        <v>No</v>
      </c>
      <c r="N4341" s="14">
        <f>IF(ISBLANK(moras[[#This Row],[SALARIO]]), EDA!$M$8, moras[[#This Row],[SALARIO]])</f>
        <v>514804</v>
      </c>
      <c r="O4341" s="14">
        <f xml:space="preserve"> IF(ISBLANK(moras[[#This Row],[EDAD]]), EDA!$E$8, moras[[#This Row],[EDAD]])</f>
        <v>34</v>
      </c>
      <c r="P4341" s="14" t="str">
        <f>IF(
    OR(ISBLANK(moras[[#This Row],[TIPO_ASEGURAMIENTO]]), moras[[#This Row],[TIPO_ASEGURAMIENTO]]=""),
    EDA!$A$32,
    moras[[#This Row],[TIPO_ASEGURAMIENTO]]
)</f>
        <v>TRABAJADOR INDEPENDIENTE</v>
      </c>
    </row>
    <row r="4342" spans="1:16" x14ac:dyDescent="0.3">
      <c r="A4342">
        <v>4341</v>
      </c>
      <c r="B4342" t="s">
        <v>9</v>
      </c>
      <c r="C4342">
        <v>460000</v>
      </c>
      <c r="D4342" t="s">
        <v>10</v>
      </c>
      <c r="E4342" t="s">
        <v>16</v>
      </c>
      <c r="F4342" t="s">
        <v>12</v>
      </c>
      <c r="G4342" t="s">
        <v>13</v>
      </c>
      <c r="H4342" t="s">
        <v>12</v>
      </c>
      <c r="I4342">
        <v>25</v>
      </c>
      <c r="J4342">
        <f>ABS((I4342-EDA!$A$15)/EDA!$B$15)</f>
        <v>1.1983402984526204</v>
      </c>
      <c r="K4342" t="str">
        <f t="shared" si="67"/>
        <v>No</v>
      </c>
      <c r="L4342">
        <f>ABS((C4342-EDA!$F$15)/EDA!$G$15)</f>
        <v>0.36799924748820739</v>
      </c>
      <c r="M4342" t="str">
        <f>IF(moras[[#This Row],[Z-Score Salario]]&gt;1.96, "Sí", "No")</f>
        <v>No</v>
      </c>
      <c r="N4342" s="14">
        <f>IF(ISBLANK(moras[[#This Row],[SALARIO]]), EDA!$M$8, moras[[#This Row],[SALARIO]])</f>
        <v>460000</v>
      </c>
      <c r="O4342" s="14">
        <f xml:space="preserve"> IF(ISBLANK(moras[[#This Row],[EDAD]]), EDA!$E$8, moras[[#This Row],[EDAD]])</f>
        <v>25</v>
      </c>
      <c r="P4342" s="14" t="str">
        <f>IF(
    OR(ISBLANK(moras[[#This Row],[TIPO_ASEGURAMIENTO]]), moras[[#This Row],[TIPO_ASEGURAMIENTO]]=""),
    EDA!$A$32,
    moras[[#This Row],[TIPO_ASEGURAMIENTO]]
)</f>
        <v>ASALARIADO</v>
      </c>
    </row>
    <row r="4343" spans="1:16" x14ac:dyDescent="0.3">
      <c r="A4343">
        <v>4342</v>
      </c>
      <c r="B4343" t="s">
        <v>9</v>
      </c>
      <c r="C4343">
        <v>2012772</v>
      </c>
      <c r="D4343" t="s">
        <v>10</v>
      </c>
      <c r="E4343" t="s">
        <v>11</v>
      </c>
      <c r="F4343" t="s">
        <v>12</v>
      </c>
      <c r="G4343" t="s">
        <v>13</v>
      </c>
      <c r="H4343" t="s">
        <v>13</v>
      </c>
      <c r="I4343">
        <v>43</v>
      </c>
      <c r="J4343">
        <f>ABS((I4343-EDA!$A$15)/EDA!$B$15)</f>
        <v>7.2015642935854773E-2</v>
      </c>
      <c r="K4343" t="str">
        <f t="shared" si="67"/>
        <v>No</v>
      </c>
      <c r="L4343">
        <f>ABS((C4343-EDA!$F$15)/EDA!$G$15)</f>
        <v>0.34216002528751316</v>
      </c>
      <c r="M4343" t="str">
        <f>IF(moras[[#This Row],[Z-Score Salario]]&gt;1.96, "Sí", "No")</f>
        <v>No</v>
      </c>
      <c r="N4343" s="14">
        <f>IF(ISBLANK(moras[[#This Row],[SALARIO]]), EDA!$M$8, moras[[#This Row],[SALARIO]])</f>
        <v>2012772</v>
      </c>
      <c r="O4343" s="14">
        <f xml:space="preserve"> IF(ISBLANK(moras[[#This Row],[EDAD]]), EDA!$E$8, moras[[#This Row],[EDAD]])</f>
        <v>43</v>
      </c>
      <c r="P4343" s="14" t="str">
        <f>IF(
    OR(ISBLANK(moras[[#This Row],[TIPO_ASEGURAMIENTO]]), moras[[#This Row],[TIPO_ASEGURAMIENTO]]=""),
    EDA!$A$32,
    moras[[#This Row],[TIPO_ASEGURAMIENTO]]
)</f>
        <v>ASALARIADO</v>
      </c>
    </row>
    <row r="4344" spans="1:16" x14ac:dyDescent="0.3">
      <c r="A4344">
        <v>4343</v>
      </c>
      <c r="B4344" t="s">
        <v>15</v>
      </c>
      <c r="C4344">
        <v>504535</v>
      </c>
      <c r="D4344" t="s">
        <v>10</v>
      </c>
      <c r="E4344" t="s">
        <v>16</v>
      </c>
      <c r="F4344" t="s">
        <v>12</v>
      </c>
      <c r="G4344" t="s">
        <v>13</v>
      </c>
      <c r="H4344" t="s">
        <v>13</v>
      </c>
      <c r="I4344">
        <v>59</v>
      </c>
      <c r="J4344">
        <f>ABS((I4344-EDA!$A$15)/EDA!$B$15)</f>
        <v>1.2012209241700549</v>
      </c>
      <c r="K4344" t="str">
        <f t="shared" si="67"/>
        <v>No</v>
      </c>
      <c r="L4344">
        <f>ABS((C4344-EDA!$F$15)/EDA!$G$15)</f>
        <v>0.3672581536504077</v>
      </c>
      <c r="M4344" t="str">
        <f>IF(moras[[#This Row],[Z-Score Salario]]&gt;1.96, "Sí", "No")</f>
        <v>No</v>
      </c>
      <c r="N4344" s="14">
        <f>IF(ISBLANK(moras[[#This Row],[SALARIO]]), EDA!$M$8, moras[[#This Row],[SALARIO]])</f>
        <v>504535</v>
      </c>
      <c r="O4344" s="14">
        <f xml:space="preserve"> IF(ISBLANK(moras[[#This Row],[EDAD]]), EDA!$E$8, moras[[#This Row],[EDAD]])</f>
        <v>59</v>
      </c>
      <c r="P4344" s="14" t="str">
        <f>IF(
    OR(ISBLANK(moras[[#This Row],[TIPO_ASEGURAMIENTO]]), moras[[#This Row],[TIPO_ASEGURAMIENTO]]=""),
    EDA!$A$32,
    moras[[#This Row],[TIPO_ASEGURAMIENTO]]
)</f>
        <v>ASALARIADO</v>
      </c>
    </row>
    <row r="4345" spans="1:16" x14ac:dyDescent="0.3">
      <c r="A4345">
        <v>4344</v>
      </c>
      <c r="B4345" t="s">
        <v>15</v>
      </c>
      <c r="C4345">
        <v>90008868</v>
      </c>
      <c r="D4345" t="s">
        <v>10</v>
      </c>
      <c r="E4345" t="s">
        <v>11</v>
      </c>
      <c r="F4345" t="s">
        <v>12</v>
      </c>
      <c r="G4345" t="s">
        <v>13</v>
      </c>
      <c r="H4345" t="s">
        <v>13</v>
      </c>
      <c r="I4345">
        <v>62</v>
      </c>
      <c r="J4345">
        <f>ABS((I4345-EDA!$A$15)/EDA!$B$15)</f>
        <v>1.4129469144014672</v>
      </c>
      <c r="K4345" t="str">
        <f t="shared" si="67"/>
        <v>No</v>
      </c>
      <c r="L4345">
        <f>ABS((C4345-EDA!$F$15)/EDA!$G$15)</f>
        <v>1.1221571296699571</v>
      </c>
      <c r="M4345" t="str">
        <f>IF(moras[[#This Row],[Z-Score Salario]]&gt;1.96, "Sí", "No")</f>
        <v>No</v>
      </c>
      <c r="N4345" s="14">
        <f>IF(ISBLANK(moras[[#This Row],[SALARIO]]), EDA!$M$8, moras[[#This Row],[SALARIO]])</f>
        <v>90008868</v>
      </c>
      <c r="O4345" s="14">
        <f xml:space="preserve"> IF(ISBLANK(moras[[#This Row],[EDAD]]), EDA!$E$8, moras[[#This Row],[EDAD]])</f>
        <v>62</v>
      </c>
      <c r="P4345" s="14" t="str">
        <f>IF(
    OR(ISBLANK(moras[[#This Row],[TIPO_ASEGURAMIENTO]]), moras[[#This Row],[TIPO_ASEGURAMIENTO]]=""),
    EDA!$A$32,
    moras[[#This Row],[TIPO_ASEGURAMIENTO]]
)</f>
        <v>ASALARIADO</v>
      </c>
    </row>
    <row r="4346" spans="1:16" x14ac:dyDescent="0.3">
      <c r="A4346">
        <v>4345</v>
      </c>
      <c r="B4346" t="s">
        <v>9</v>
      </c>
      <c r="C4346">
        <v>430000</v>
      </c>
      <c r="D4346" t="s">
        <v>10</v>
      </c>
      <c r="E4346" t="s">
        <v>16</v>
      </c>
      <c r="F4346" t="s">
        <v>12</v>
      </c>
      <c r="G4346" t="s">
        <v>13</v>
      </c>
      <c r="H4346" t="s">
        <v>13</v>
      </c>
      <c r="I4346">
        <v>21</v>
      </c>
      <c r="J4346">
        <f>ABS((I4346-EDA!$A$15)/EDA!$B$15)</f>
        <v>1.4806416187611704</v>
      </c>
      <c r="K4346" t="str">
        <f t="shared" si="67"/>
        <v>No</v>
      </c>
      <c r="L4346">
        <f>ABS((C4346-EDA!$F$15)/EDA!$G$15)</f>
        <v>0.36849846866557334</v>
      </c>
      <c r="M4346" t="str">
        <f>IF(moras[[#This Row],[Z-Score Salario]]&gt;1.96, "Sí", "No")</f>
        <v>No</v>
      </c>
      <c r="N4346" s="14">
        <f>IF(ISBLANK(moras[[#This Row],[SALARIO]]), EDA!$M$8, moras[[#This Row],[SALARIO]])</f>
        <v>430000</v>
      </c>
      <c r="O4346" s="14">
        <f xml:space="preserve"> IF(ISBLANK(moras[[#This Row],[EDAD]]), EDA!$E$8, moras[[#This Row],[EDAD]])</f>
        <v>21</v>
      </c>
      <c r="P4346" s="14" t="str">
        <f>IF(
    OR(ISBLANK(moras[[#This Row],[TIPO_ASEGURAMIENTO]]), moras[[#This Row],[TIPO_ASEGURAMIENTO]]=""),
    EDA!$A$32,
    moras[[#This Row],[TIPO_ASEGURAMIENTO]]
)</f>
        <v>ASALARIADO</v>
      </c>
    </row>
    <row r="4347" spans="1:16" x14ac:dyDescent="0.3">
      <c r="A4347">
        <v>4346</v>
      </c>
      <c r="B4347" t="s">
        <v>15</v>
      </c>
      <c r="C4347">
        <v>31441667</v>
      </c>
      <c r="D4347" t="s">
        <v>10</v>
      </c>
      <c r="E4347" t="s">
        <v>16</v>
      </c>
      <c r="F4347" t="s">
        <v>12</v>
      </c>
      <c r="G4347" t="s">
        <v>13</v>
      </c>
      <c r="H4347" t="s">
        <v>13</v>
      </c>
      <c r="I4347">
        <v>21</v>
      </c>
      <c r="J4347">
        <f>ABS((I4347-EDA!$A$15)/EDA!$B$15)</f>
        <v>1.4806416187611704</v>
      </c>
      <c r="K4347" t="str">
        <f t="shared" si="67"/>
        <v>No</v>
      </c>
      <c r="L4347">
        <f>ABS((C4347-EDA!$F$15)/EDA!$G$15)</f>
        <v>0.14755756172841678</v>
      </c>
      <c r="M4347" t="str">
        <f>IF(moras[[#This Row],[Z-Score Salario]]&gt;1.96, "Sí", "No")</f>
        <v>No</v>
      </c>
      <c r="N4347" s="14">
        <f>IF(ISBLANK(moras[[#This Row],[SALARIO]]), EDA!$M$8, moras[[#This Row],[SALARIO]])</f>
        <v>31441667</v>
      </c>
      <c r="O4347" s="14">
        <f xml:space="preserve"> IF(ISBLANK(moras[[#This Row],[EDAD]]), EDA!$E$8, moras[[#This Row],[EDAD]])</f>
        <v>21</v>
      </c>
      <c r="P4347" s="14" t="str">
        <f>IF(
    OR(ISBLANK(moras[[#This Row],[TIPO_ASEGURAMIENTO]]), moras[[#This Row],[TIPO_ASEGURAMIENTO]]=""),
    EDA!$A$32,
    moras[[#This Row],[TIPO_ASEGURAMIENTO]]
)</f>
        <v>ASALARIADO</v>
      </c>
    </row>
    <row r="4348" spans="1:16" x14ac:dyDescent="0.3">
      <c r="A4348">
        <v>4347</v>
      </c>
      <c r="B4348" t="s">
        <v>9</v>
      </c>
      <c r="C4348">
        <v>30570598</v>
      </c>
      <c r="D4348" t="s">
        <v>10</v>
      </c>
      <c r="E4348" t="s">
        <v>11</v>
      </c>
      <c r="F4348" t="s">
        <v>12</v>
      </c>
      <c r="G4348" t="s">
        <v>13</v>
      </c>
      <c r="H4348" t="s">
        <v>13</v>
      </c>
      <c r="I4348">
        <v>46</v>
      </c>
      <c r="J4348">
        <f>ABS((I4348-EDA!$A$15)/EDA!$B$15)</f>
        <v>0.2837416331672673</v>
      </c>
      <c r="K4348" t="str">
        <f t="shared" si="67"/>
        <v>No</v>
      </c>
      <c r="L4348">
        <f>ABS((C4348-EDA!$F$15)/EDA!$G$15)</f>
        <v>0.13306235867018509</v>
      </c>
      <c r="M4348" t="str">
        <f>IF(moras[[#This Row],[Z-Score Salario]]&gt;1.96, "Sí", "No")</f>
        <v>No</v>
      </c>
      <c r="N4348" s="14">
        <f>IF(ISBLANK(moras[[#This Row],[SALARIO]]), EDA!$M$8, moras[[#This Row],[SALARIO]])</f>
        <v>30570598</v>
      </c>
      <c r="O4348" s="14">
        <f xml:space="preserve"> IF(ISBLANK(moras[[#This Row],[EDAD]]), EDA!$E$8, moras[[#This Row],[EDAD]])</f>
        <v>46</v>
      </c>
      <c r="P4348" s="14" t="str">
        <f>IF(
    OR(ISBLANK(moras[[#This Row],[TIPO_ASEGURAMIENTO]]), moras[[#This Row],[TIPO_ASEGURAMIENTO]]=""),
    EDA!$A$32,
    moras[[#This Row],[TIPO_ASEGURAMIENTO]]
)</f>
        <v>ASALARIADO</v>
      </c>
    </row>
    <row r="4349" spans="1:16" x14ac:dyDescent="0.3">
      <c r="A4349">
        <v>4348</v>
      </c>
      <c r="B4349" t="s">
        <v>9</v>
      </c>
      <c r="C4349">
        <v>364892</v>
      </c>
      <c r="D4349" t="s">
        <v>10</v>
      </c>
      <c r="E4349" t="s">
        <v>11</v>
      </c>
      <c r="F4349" t="s">
        <v>12</v>
      </c>
      <c r="G4349" t="s">
        <v>13</v>
      </c>
      <c r="H4349" t="s">
        <v>13</v>
      </c>
      <c r="I4349">
        <v>55</v>
      </c>
      <c r="J4349">
        <f>ABS((I4349-EDA!$A$15)/EDA!$B$15)</f>
        <v>0.91891960386150484</v>
      </c>
      <c r="K4349" t="str">
        <f t="shared" si="67"/>
        <v>No</v>
      </c>
      <c r="L4349">
        <f>ABS((C4349-EDA!$F$15)/EDA!$G$15)</f>
        <v>0.36958191174610466</v>
      </c>
      <c r="M4349" t="str">
        <f>IF(moras[[#This Row],[Z-Score Salario]]&gt;1.96, "Sí", "No")</f>
        <v>No</v>
      </c>
      <c r="N4349" s="14">
        <f>IF(ISBLANK(moras[[#This Row],[SALARIO]]), EDA!$M$8, moras[[#This Row],[SALARIO]])</f>
        <v>364892</v>
      </c>
      <c r="O4349" s="14">
        <f xml:space="preserve"> IF(ISBLANK(moras[[#This Row],[EDAD]]), EDA!$E$8, moras[[#This Row],[EDAD]])</f>
        <v>55</v>
      </c>
      <c r="P4349" s="14" t="str">
        <f>IF(
    OR(ISBLANK(moras[[#This Row],[TIPO_ASEGURAMIENTO]]), moras[[#This Row],[TIPO_ASEGURAMIENTO]]=""),
    EDA!$A$32,
    moras[[#This Row],[TIPO_ASEGURAMIENTO]]
)</f>
        <v>ASALARIADO</v>
      </c>
    </row>
    <row r="4350" spans="1:16" x14ac:dyDescent="0.3">
      <c r="A4350">
        <v>4349</v>
      </c>
      <c r="B4350" t="s">
        <v>9</v>
      </c>
      <c r="C4350">
        <v>138475</v>
      </c>
      <c r="D4350" t="s">
        <v>10</v>
      </c>
      <c r="E4350" t="s">
        <v>16</v>
      </c>
      <c r="F4350" t="s">
        <v>12</v>
      </c>
      <c r="G4350" t="s">
        <v>12</v>
      </c>
      <c r="H4350" t="s">
        <v>13</v>
      </c>
      <c r="I4350">
        <v>21</v>
      </c>
      <c r="J4350">
        <f>ABS((I4350-EDA!$A$15)/EDA!$B$15)</f>
        <v>1.4806416187611704</v>
      </c>
      <c r="K4350" t="str">
        <f t="shared" si="67"/>
        <v>No</v>
      </c>
      <c r="L4350">
        <f>ABS((C4350-EDA!$F$15)/EDA!$G$15)</f>
        <v>0.3733496504566266</v>
      </c>
      <c r="M4350" t="str">
        <f>IF(moras[[#This Row],[Z-Score Salario]]&gt;1.96, "Sí", "No")</f>
        <v>No</v>
      </c>
      <c r="N4350" s="14">
        <f>IF(ISBLANK(moras[[#This Row],[SALARIO]]), EDA!$M$8, moras[[#This Row],[SALARIO]])</f>
        <v>138475</v>
      </c>
      <c r="O4350" s="14">
        <f xml:space="preserve"> IF(ISBLANK(moras[[#This Row],[EDAD]]), EDA!$E$8, moras[[#This Row],[EDAD]])</f>
        <v>21</v>
      </c>
      <c r="P4350" s="14" t="str">
        <f>IF(
    OR(ISBLANK(moras[[#This Row],[TIPO_ASEGURAMIENTO]]), moras[[#This Row],[TIPO_ASEGURAMIENTO]]=""),
    EDA!$A$32,
    moras[[#This Row],[TIPO_ASEGURAMIENTO]]
)</f>
        <v>ASALARIADO</v>
      </c>
    </row>
    <row r="4351" spans="1:16" x14ac:dyDescent="0.3">
      <c r="A4351">
        <v>4350</v>
      </c>
      <c r="B4351" t="s">
        <v>9</v>
      </c>
      <c r="C4351">
        <v>687800</v>
      </c>
      <c r="D4351" t="s">
        <v>10</v>
      </c>
      <c r="E4351" t="s">
        <v>16</v>
      </c>
      <c r="F4351" t="s">
        <v>12</v>
      </c>
      <c r="G4351" t="s">
        <v>13</v>
      </c>
      <c r="H4351" t="s">
        <v>13</v>
      </c>
      <c r="I4351">
        <v>57</v>
      </c>
      <c r="J4351">
        <f>ABS((I4351-EDA!$A$15)/EDA!$B$15)</f>
        <v>1.0600702640157798</v>
      </c>
      <c r="K4351" t="str">
        <f t="shared" si="67"/>
        <v>No</v>
      </c>
      <c r="L4351">
        <f>ABS((C4351-EDA!$F$15)/EDA!$G$15)</f>
        <v>0.36420849468140887</v>
      </c>
      <c r="M4351" t="str">
        <f>IF(moras[[#This Row],[Z-Score Salario]]&gt;1.96, "Sí", "No")</f>
        <v>No</v>
      </c>
      <c r="N4351" s="14">
        <f>IF(ISBLANK(moras[[#This Row],[SALARIO]]), EDA!$M$8, moras[[#This Row],[SALARIO]])</f>
        <v>687800</v>
      </c>
      <c r="O4351" s="14">
        <f xml:space="preserve"> IF(ISBLANK(moras[[#This Row],[EDAD]]), EDA!$E$8, moras[[#This Row],[EDAD]])</f>
        <v>57</v>
      </c>
      <c r="P4351" s="14" t="str">
        <f>IF(
    OR(ISBLANK(moras[[#This Row],[TIPO_ASEGURAMIENTO]]), moras[[#This Row],[TIPO_ASEGURAMIENTO]]=""),
    EDA!$A$32,
    moras[[#This Row],[TIPO_ASEGURAMIENTO]]
)</f>
        <v>ASALARIADO</v>
      </c>
    </row>
    <row r="4352" spans="1:16" x14ac:dyDescent="0.3">
      <c r="A4352">
        <v>4351</v>
      </c>
      <c r="B4352" t="s">
        <v>9</v>
      </c>
      <c r="C4352">
        <v>728392</v>
      </c>
      <c r="D4352" t="s">
        <v>10</v>
      </c>
      <c r="E4352" t="s">
        <v>16</v>
      </c>
      <c r="F4352" t="s">
        <v>12</v>
      </c>
      <c r="G4352" t="s">
        <v>13</v>
      </c>
      <c r="H4352" t="s">
        <v>13</v>
      </c>
      <c r="I4352">
        <v>53</v>
      </c>
      <c r="J4352">
        <f>ABS((I4352-EDA!$A$15)/EDA!$B$15)</f>
        <v>0.77776894370722982</v>
      </c>
      <c r="K4352" t="str">
        <f t="shared" si="67"/>
        <v>No</v>
      </c>
      <c r="L4352">
        <f>ABS((C4352-EDA!$F$15)/EDA!$G$15)</f>
        <v>0.36353301514702097</v>
      </c>
      <c r="M4352" t="str">
        <f>IF(moras[[#This Row],[Z-Score Salario]]&gt;1.96, "Sí", "No")</f>
        <v>No</v>
      </c>
      <c r="N4352" s="14">
        <f>IF(ISBLANK(moras[[#This Row],[SALARIO]]), EDA!$M$8, moras[[#This Row],[SALARIO]])</f>
        <v>728392</v>
      </c>
      <c r="O4352" s="14">
        <f xml:space="preserve"> IF(ISBLANK(moras[[#This Row],[EDAD]]), EDA!$E$8, moras[[#This Row],[EDAD]])</f>
        <v>53</v>
      </c>
      <c r="P4352" s="14" t="str">
        <f>IF(
    OR(ISBLANK(moras[[#This Row],[TIPO_ASEGURAMIENTO]]), moras[[#This Row],[TIPO_ASEGURAMIENTO]]=""),
    EDA!$A$32,
    moras[[#This Row],[TIPO_ASEGURAMIENTO]]
)</f>
        <v>ASALARIADO</v>
      </c>
    </row>
    <row r="4353" spans="1:16" x14ac:dyDescent="0.3">
      <c r="A4353">
        <v>4352</v>
      </c>
      <c r="B4353" t="s">
        <v>15</v>
      </c>
      <c r="C4353">
        <v>29222226</v>
      </c>
      <c r="D4353" t="s">
        <v>10</v>
      </c>
      <c r="E4353" t="s">
        <v>11</v>
      </c>
      <c r="F4353" t="s">
        <v>12</v>
      </c>
      <c r="G4353" t="s">
        <v>13</v>
      </c>
      <c r="H4353" t="s">
        <v>13</v>
      </c>
      <c r="I4353">
        <v>57</v>
      </c>
      <c r="J4353">
        <f>ABS((I4353-EDA!$A$15)/EDA!$B$15)</f>
        <v>1.0600702640157798</v>
      </c>
      <c r="K4353" t="str">
        <f t="shared" si="67"/>
        <v>No</v>
      </c>
      <c r="L4353">
        <f>ABS((C4353-EDA!$F$15)/EDA!$G$15)</f>
        <v>0.11062449675794396</v>
      </c>
      <c r="M4353" t="str">
        <f>IF(moras[[#This Row],[Z-Score Salario]]&gt;1.96, "Sí", "No")</f>
        <v>No</v>
      </c>
      <c r="N4353" s="14">
        <f>IF(ISBLANK(moras[[#This Row],[SALARIO]]), EDA!$M$8, moras[[#This Row],[SALARIO]])</f>
        <v>29222226</v>
      </c>
      <c r="O4353" s="14">
        <f xml:space="preserve"> IF(ISBLANK(moras[[#This Row],[EDAD]]), EDA!$E$8, moras[[#This Row],[EDAD]])</f>
        <v>57</v>
      </c>
      <c r="P4353" s="14" t="str">
        <f>IF(
    OR(ISBLANK(moras[[#This Row],[TIPO_ASEGURAMIENTO]]), moras[[#This Row],[TIPO_ASEGURAMIENTO]]=""),
    EDA!$A$32,
    moras[[#This Row],[TIPO_ASEGURAMIENTO]]
)</f>
        <v>ASALARIADO</v>
      </c>
    </row>
    <row r="4354" spans="1:16" x14ac:dyDescent="0.3">
      <c r="A4354">
        <v>4353</v>
      </c>
      <c r="B4354" t="s">
        <v>9</v>
      </c>
      <c r="C4354">
        <v>451422</v>
      </c>
      <c r="D4354" t="s">
        <v>10</v>
      </c>
      <c r="E4354" t="s">
        <v>16</v>
      </c>
      <c r="F4354" t="s">
        <v>12</v>
      </c>
      <c r="G4354" t="s">
        <v>13</v>
      </c>
      <c r="H4354" t="s">
        <v>13</v>
      </c>
      <c r="I4354">
        <v>48</v>
      </c>
      <c r="J4354">
        <f>ABS((I4354-EDA!$A$15)/EDA!$B$15)</f>
        <v>0.42489229332154227</v>
      </c>
      <c r="K4354" t="str">
        <f t="shared" ref="K4354:K4417" si="68">IF(J4354 &gt;  1.96, "Sí","No")</f>
        <v>No</v>
      </c>
      <c r="L4354">
        <f>ABS((C4354-EDA!$F$15)/EDA!$G$15)</f>
        <v>0.36814199146352222</v>
      </c>
      <c r="M4354" t="str">
        <f>IF(moras[[#This Row],[Z-Score Salario]]&gt;1.96, "Sí", "No")</f>
        <v>No</v>
      </c>
      <c r="N4354" s="14">
        <f>IF(ISBLANK(moras[[#This Row],[SALARIO]]), EDA!$M$8, moras[[#This Row],[SALARIO]])</f>
        <v>451422</v>
      </c>
      <c r="O4354" s="14">
        <f xml:space="preserve"> IF(ISBLANK(moras[[#This Row],[EDAD]]), EDA!$E$8, moras[[#This Row],[EDAD]])</f>
        <v>48</v>
      </c>
      <c r="P4354" s="14" t="str">
        <f>IF(
    OR(ISBLANK(moras[[#This Row],[TIPO_ASEGURAMIENTO]]), moras[[#This Row],[TIPO_ASEGURAMIENTO]]=""),
    EDA!$A$32,
    moras[[#This Row],[TIPO_ASEGURAMIENTO]]
)</f>
        <v>ASALARIADO</v>
      </c>
    </row>
    <row r="4355" spans="1:16" x14ac:dyDescent="0.3">
      <c r="A4355">
        <v>4354</v>
      </c>
      <c r="B4355" t="s">
        <v>15</v>
      </c>
      <c r="C4355">
        <v>381331</v>
      </c>
      <c r="D4355" t="s">
        <v>10</v>
      </c>
      <c r="E4355" t="s">
        <v>16</v>
      </c>
      <c r="F4355" t="s">
        <v>12</v>
      </c>
      <c r="G4355" t="s">
        <v>12</v>
      </c>
      <c r="H4355" t="s">
        <v>13</v>
      </c>
      <c r="I4355">
        <v>33</v>
      </c>
      <c r="J4355">
        <f>ABS((I4355-EDA!$A$15)/EDA!$B$15)</f>
        <v>0.63373765783552027</v>
      </c>
      <c r="K4355" t="str">
        <f t="shared" si="68"/>
        <v>No</v>
      </c>
      <c r="L4355">
        <f>ABS((C4355-EDA!$F$15)/EDA!$G$15)</f>
        <v>0.36930835518161403</v>
      </c>
      <c r="M4355" t="str">
        <f>IF(moras[[#This Row],[Z-Score Salario]]&gt;1.96, "Sí", "No")</f>
        <v>No</v>
      </c>
      <c r="N4355" s="14">
        <f>IF(ISBLANK(moras[[#This Row],[SALARIO]]), EDA!$M$8, moras[[#This Row],[SALARIO]])</f>
        <v>381331</v>
      </c>
      <c r="O4355" s="14">
        <f xml:space="preserve"> IF(ISBLANK(moras[[#This Row],[EDAD]]), EDA!$E$8, moras[[#This Row],[EDAD]])</f>
        <v>33</v>
      </c>
      <c r="P4355" s="14" t="str">
        <f>IF(
    OR(ISBLANK(moras[[#This Row],[TIPO_ASEGURAMIENTO]]), moras[[#This Row],[TIPO_ASEGURAMIENTO]]=""),
    EDA!$A$32,
    moras[[#This Row],[TIPO_ASEGURAMIENTO]]
)</f>
        <v>ASALARIADO</v>
      </c>
    </row>
    <row r="4356" spans="1:16" x14ac:dyDescent="0.3">
      <c r="A4356">
        <v>4355</v>
      </c>
      <c r="B4356" t="s">
        <v>15</v>
      </c>
      <c r="C4356">
        <v>369600</v>
      </c>
      <c r="D4356" t="s">
        <v>10</v>
      </c>
      <c r="E4356" t="s">
        <v>16</v>
      </c>
      <c r="F4356" t="s">
        <v>12</v>
      </c>
      <c r="G4356" t="s">
        <v>13</v>
      </c>
      <c r="H4356" t="s">
        <v>13</v>
      </c>
      <c r="I4356">
        <v>32</v>
      </c>
      <c r="J4356">
        <f>ABS((I4356-EDA!$A$15)/EDA!$B$15)</f>
        <v>0.70431298791265773</v>
      </c>
      <c r="K4356" t="str">
        <f t="shared" si="68"/>
        <v>No</v>
      </c>
      <c r="L4356">
        <f>ABS((C4356-EDA!$F$15)/EDA!$G$15)</f>
        <v>0.36950356730267003</v>
      </c>
      <c r="M4356" t="str">
        <f>IF(moras[[#This Row],[Z-Score Salario]]&gt;1.96, "Sí", "No")</f>
        <v>No</v>
      </c>
      <c r="N4356" s="14">
        <f>IF(ISBLANK(moras[[#This Row],[SALARIO]]), EDA!$M$8, moras[[#This Row],[SALARIO]])</f>
        <v>369600</v>
      </c>
      <c r="O4356" s="14">
        <f xml:space="preserve"> IF(ISBLANK(moras[[#This Row],[EDAD]]), EDA!$E$8, moras[[#This Row],[EDAD]])</f>
        <v>32</v>
      </c>
      <c r="P4356" s="14" t="str">
        <f>IF(
    OR(ISBLANK(moras[[#This Row],[TIPO_ASEGURAMIENTO]]), moras[[#This Row],[TIPO_ASEGURAMIENTO]]=""),
    EDA!$A$32,
    moras[[#This Row],[TIPO_ASEGURAMIENTO]]
)</f>
        <v>ASALARIADO</v>
      </c>
    </row>
    <row r="4357" spans="1:16" x14ac:dyDescent="0.3">
      <c r="A4357">
        <v>4356</v>
      </c>
      <c r="B4357" t="s">
        <v>15</v>
      </c>
      <c r="C4357">
        <v>587278</v>
      </c>
      <c r="D4357" t="s">
        <v>14</v>
      </c>
      <c r="E4357" t="s">
        <v>11</v>
      </c>
      <c r="F4357" t="s">
        <v>12</v>
      </c>
      <c r="G4357" t="s">
        <v>13</v>
      </c>
      <c r="H4357" t="s">
        <v>13</v>
      </c>
      <c r="I4357">
        <v>68</v>
      </c>
      <c r="J4357">
        <f>ABS((I4357-EDA!$A$15)/EDA!$B$15)</f>
        <v>1.8363988948642924</v>
      </c>
      <c r="K4357" t="str">
        <f t="shared" si="68"/>
        <v>No</v>
      </c>
      <c r="L4357">
        <f>ABS((C4357-EDA!$F$15)/EDA!$G$15)</f>
        <v>0.3658812517211148</v>
      </c>
      <c r="M4357" t="str">
        <f>IF(moras[[#This Row],[Z-Score Salario]]&gt;1.96, "Sí", "No")</f>
        <v>No</v>
      </c>
      <c r="N4357" s="14">
        <f>IF(ISBLANK(moras[[#This Row],[SALARIO]]), EDA!$M$8, moras[[#This Row],[SALARIO]])</f>
        <v>587278</v>
      </c>
      <c r="O4357" s="14">
        <f xml:space="preserve"> IF(ISBLANK(moras[[#This Row],[EDAD]]), EDA!$E$8, moras[[#This Row],[EDAD]])</f>
        <v>68</v>
      </c>
      <c r="P4357" s="14" t="str">
        <f>IF(
    OR(ISBLANK(moras[[#This Row],[TIPO_ASEGURAMIENTO]]), moras[[#This Row],[TIPO_ASEGURAMIENTO]]=""),
    EDA!$A$32,
    moras[[#This Row],[TIPO_ASEGURAMIENTO]]
)</f>
        <v>PENSIONADOS EN SU PROPIO SISTEMA</v>
      </c>
    </row>
    <row r="4358" spans="1:16" x14ac:dyDescent="0.3">
      <c r="A4358">
        <v>4357</v>
      </c>
      <c r="B4358" t="s">
        <v>9</v>
      </c>
      <c r="C4358">
        <v>585255</v>
      </c>
      <c r="D4358" t="s">
        <v>10</v>
      </c>
      <c r="E4358" t="s">
        <v>16</v>
      </c>
      <c r="F4358" t="s">
        <v>12</v>
      </c>
      <c r="G4358" t="s">
        <v>13</v>
      </c>
      <c r="H4358" t="s">
        <v>13</v>
      </c>
      <c r="I4358">
        <v>27</v>
      </c>
      <c r="J4358">
        <f>ABS((I4358-EDA!$A$15)/EDA!$B$15)</f>
        <v>1.0571896382983452</v>
      </c>
      <c r="K4358" t="str">
        <f t="shared" si="68"/>
        <v>No</v>
      </c>
      <c r="L4358">
        <f>ABS((C4358-EDA!$F$15)/EDA!$G$15)</f>
        <v>0.36591491586917513</v>
      </c>
      <c r="M4358" t="str">
        <f>IF(moras[[#This Row],[Z-Score Salario]]&gt;1.96, "Sí", "No")</f>
        <v>No</v>
      </c>
      <c r="N4358" s="14">
        <f>IF(ISBLANK(moras[[#This Row],[SALARIO]]), EDA!$M$8, moras[[#This Row],[SALARIO]])</f>
        <v>585255</v>
      </c>
      <c r="O4358" s="14">
        <f xml:space="preserve"> IF(ISBLANK(moras[[#This Row],[EDAD]]), EDA!$E$8, moras[[#This Row],[EDAD]])</f>
        <v>27</v>
      </c>
      <c r="P4358" s="14" t="str">
        <f>IF(
    OR(ISBLANK(moras[[#This Row],[TIPO_ASEGURAMIENTO]]), moras[[#This Row],[TIPO_ASEGURAMIENTO]]=""),
    EDA!$A$32,
    moras[[#This Row],[TIPO_ASEGURAMIENTO]]
)</f>
        <v>ASALARIADO</v>
      </c>
    </row>
    <row r="4359" spans="1:16" x14ac:dyDescent="0.3">
      <c r="A4359">
        <v>4358</v>
      </c>
      <c r="B4359" t="s">
        <v>9</v>
      </c>
      <c r="C4359">
        <v>301948</v>
      </c>
      <c r="D4359" t="s">
        <v>19</v>
      </c>
      <c r="E4359" t="s">
        <v>16</v>
      </c>
      <c r="F4359" t="s">
        <v>12</v>
      </c>
      <c r="G4359" t="s">
        <v>13</v>
      </c>
      <c r="H4359" t="s">
        <v>13</v>
      </c>
      <c r="I4359">
        <v>63</v>
      </c>
      <c r="J4359">
        <f>ABS((I4359-EDA!$A$15)/EDA!$B$15)</f>
        <v>1.4835222444786049</v>
      </c>
      <c r="K4359" t="str">
        <f t="shared" si="68"/>
        <v>No</v>
      </c>
      <c r="L4359">
        <f>ABS((C4359-EDA!$F$15)/EDA!$G$15)</f>
        <v>0.37062934433904199</v>
      </c>
      <c r="M4359" t="str">
        <f>IF(moras[[#This Row],[Z-Score Salario]]&gt;1.96, "Sí", "No")</f>
        <v>No</v>
      </c>
      <c r="N4359" s="14">
        <f>IF(ISBLANK(moras[[#This Row],[SALARIO]]), EDA!$M$8, moras[[#This Row],[SALARIO]])</f>
        <v>301948</v>
      </c>
      <c r="O4359" s="14">
        <f xml:space="preserve"> IF(ISBLANK(moras[[#This Row],[EDAD]]), EDA!$E$8, moras[[#This Row],[EDAD]])</f>
        <v>63</v>
      </c>
      <c r="P4359" s="14" t="str">
        <f>IF(
    OR(ISBLANK(moras[[#This Row],[TIPO_ASEGURAMIENTO]]), moras[[#This Row],[TIPO_ASEGURAMIENTO]]=""),
    EDA!$A$32,
    moras[[#This Row],[TIPO_ASEGURAMIENTO]]
)</f>
        <v>CONVENIOS ESPECIALES DE TRABAJADORES INDEPENDIENTES</v>
      </c>
    </row>
    <row r="4360" spans="1:16" x14ac:dyDescent="0.3">
      <c r="A4360">
        <v>4359</v>
      </c>
      <c r="B4360" t="s">
        <v>9</v>
      </c>
      <c r="C4360">
        <v>1100000</v>
      </c>
      <c r="D4360" t="s">
        <v>10</v>
      </c>
      <c r="E4360" t="s">
        <v>16</v>
      </c>
      <c r="F4360" t="s">
        <v>12</v>
      </c>
      <c r="G4360" t="s">
        <v>13</v>
      </c>
      <c r="H4360" t="s">
        <v>13</v>
      </c>
      <c r="I4360">
        <v>34</v>
      </c>
      <c r="J4360">
        <f>ABS((I4360-EDA!$A$15)/EDA!$B$15)</f>
        <v>0.56316232775838282</v>
      </c>
      <c r="K4360" t="str">
        <f t="shared" si="68"/>
        <v>No</v>
      </c>
      <c r="L4360">
        <f>ABS((C4360-EDA!$F$15)/EDA!$G$15)</f>
        <v>0.35734919570440121</v>
      </c>
      <c r="M4360" t="str">
        <f>IF(moras[[#This Row],[Z-Score Salario]]&gt;1.96, "Sí", "No")</f>
        <v>No</v>
      </c>
      <c r="N4360" s="14">
        <f>IF(ISBLANK(moras[[#This Row],[SALARIO]]), EDA!$M$8, moras[[#This Row],[SALARIO]])</f>
        <v>1100000</v>
      </c>
      <c r="O4360" s="14">
        <f xml:space="preserve"> IF(ISBLANK(moras[[#This Row],[EDAD]]), EDA!$E$8, moras[[#This Row],[EDAD]])</f>
        <v>34</v>
      </c>
      <c r="P4360" s="14" t="str">
        <f>IF(
    OR(ISBLANK(moras[[#This Row],[TIPO_ASEGURAMIENTO]]), moras[[#This Row],[TIPO_ASEGURAMIENTO]]=""),
    EDA!$A$32,
    moras[[#This Row],[TIPO_ASEGURAMIENTO]]
)</f>
        <v>ASALARIADO</v>
      </c>
    </row>
    <row r="4361" spans="1:16" x14ac:dyDescent="0.3">
      <c r="A4361">
        <v>4360</v>
      </c>
      <c r="B4361" t="s">
        <v>15</v>
      </c>
      <c r="C4361">
        <v>297046</v>
      </c>
      <c r="D4361" t="s">
        <v>17</v>
      </c>
      <c r="E4361" t="s">
        <v>16</v>
      </c>
      <c r="F4361" t="s">
        <v>12</v>
      </c>
      <c r="G4361" t="s">
        <v>13</v>
      </c>
      <c r="H4361" t="s">
        <v>12</v>
      </c>
      <c r="I4361">
        <v>24</v>
      </c>
      <c r="J4361">
        <f>ABS((I4361-EDA!$A$15)/EDA!$B$15)</f>
        <v>1.2689156285297578</v>
      </c>
      <c r="K4361" t="str">
        <f t="shared" si="68"/>
        <v>No</v>
      </c>
      <c r="L4361">
        <f>ABS((C4361-EDA!$F$15)/EDA!$G$15)</f>
        <v>0.37071091707942361</v>
      </c>
      <c r="M4361" t="str">
        <f>IF(moras[[#This Row],[Z-Score Salario]]&gt;1.96, "Sí", "No")</f>
        <v>No</v>
      </c>
      <c r="N4361" s="14">
        <f>IF(ISBLANK(moras[[#This Row],[SALARIO]]), EDA!$M$8, moras[[#This Row],[SALARIO]])</f>
        <v>297046</v>
      </c>
      <c r="O4361" s="14">
        <f xml:space="preserve"> IF(ISBLANK(moras[[#This Row],[EDAD]]), EDA!$E$8, moras[[#This Row],[EDAD]])</f>
        <v>24</v>
      </c>
      <c r="P4361" s="14" t="str">
        <f>IF(
    OR(ISBLANK(moras[[#This Row],[TIPO_ASEGURAMIENTO]]), moras[[#This Row],[TIPO_ASEGURAMIENTO]]=""),
    EDA!$A$32,
    moras[[#This Row],[TIPO_ASEGURAMIENTO]]
)</f>
        <v>ASEGURADO VOLUNTARIO</v>
      </c>
    </row>
    <row r="4362" spans="1:16" x14ac:dyDescent="0.3">
      <c r="A4362">
        <v>4361</v>
      </c>
      <c r="B4362" t="s">
        <v>15</v>
      </c>
      <c r="C4362">
        <v>380000</v>
      </c>
      <c r="D4362" t="s">
        <v>10</v>
      </c>
      <c r="E4362" t="s">
        <v>16</v>
      </c>
      <c r="F4362" t="s">
        <v>12</v>
      </c>
      <c r="G4362" t="s">
        <v>13</v>
      </c>
      <c r="H4362" t="s">
        <v>12</v>
      </c>
      <c r="I4362">
        <v>44</v>
      </c>
      <c r="J4362">
        <f>ABS((I4362-EDA!$A$15)/EDA!$B$15)</f>
        <v>0.14259097301299228</v>
      </c>
      <c r="K4362" t="str">
        <f t="shared" si="68"/>
        <v>No</v>
      </c>
      <c r="L4362">
        <f>ABS((C4362-EDA!$F$15)/EDA!$G$15)</f>
        <v>0.36933050396118317</v>
      </c>
      <c r="M4362" t="str">
        <f>IF(moras[[#This Row],[Z-Score Salario]]&gt;1.96, "Sí", "No")</f>
        <v>No</v>
      </c>
      <c r="N4362" s="14">
        <f>IF(ISBLANK(moras[[#This Row],[SALARIO]]), EDA!$M$8, moras[[#This Row],[SALARIO]])</f>
        <v>380000</v>
      </c>
      <c r="O4362" s="14">
        <f xml:space="preserve"> IF(ISBLANK(moras[[#This Row],[EDAD]]), EDA!$E$8, moras[[#This Row],[EDAD]])</f>
        <v>44</v>
      </c>
      <c r="P4362" s="14" t="str">
        <f>IF(
    OR(ISBLANK(moras[[#This Row],[TIPO_ASEGURAMIENTO]]), moras[[#This Row],[TIPO_ASEGURAMIENTO]]=""),
    EDA!$A$32,
    moras[[#This Row],[TIPO_ASEGURAMIENTO]]
)</f>
        <v>ASALARIADO</v>
      </c>
    </row>
    <row r="4363" spans="1:16" x14ac:dyDescent="0.3">
      <c r="A4363">
        <v>4362</v>
      </c>
      <c r="B4363" t="s">
        <v>9</v>
      </c>
      <c r="C4363">
        <v>297046</v>
      </c>
      <c r="D4363" t="s">
        <v>18</v>
      </c>
      <c r="E4363" t="s">
        <v>16</v>
      </c>
      <c r="F4363" t="s">
        <v>12</v>
      </c>
      <c r="G4363" t="s">
        <v>13</v>
      </c>
      <c r="H4363" t="s">
        <v>12</v>
      </c>
      <c r="I4363">
        <v>25</v>
      </c>
      <c r="J4363">
        <f>ABS((I4363-EDA!$A$15)/EDA!$B$15)</f>
        <v>1.1983402984526204</v>
      </c>
      <c r="K4363" t="str">
        <f t="shared" si="68"/>
        <v>No</v>
      </c>
      <c r="L4363">
        <f>ABS((C4363-EDA!$F$15)/EDA!$G$15)</f>
        <v>0.37071091707942361</v>
      </c>
      <c r="M4363" t="str">
        <f>IF(moras[[#This Row],[Z-Score Salario]]&gt;1.96, "Sí", "No")</f>
        <v>No</v>
      </c>
      <c r="N4363" s="14">
        <f>IF(ISBLANK(moras[[#This Row],[SALARIO]]), EDA!$M$8, moras[[#This Row],[SALARIO]])</f>
        <v>297046</v>
      </c>
      <c r="O4363" s="14">
        <f xml:space="preserve"> IF(ISBLANK(moras[[#This Row],[EDAD]]), EDA!$E$8, moras[[#This Row],[EDAD]])</f>
        <v>25</v>
      </c>
      <c r="P4363" s="14" t="str">
        <f>IF(
    OR(ISBLANK(moras[[#This Row],[TIPO_ASEGURAMIENTO]]), moras[[#This Row],[TIPO_ASEGURAMIENTO]]=""),
    EDA!$A$32,
    moras[[#This Row],[TIPO_ASEGURAMIENTO]]
)</f>
        <v>TRABAJADOR INDEPENDIENTE</v>
      </c>
    </row>
    <row r="4364" spans="1:16" x14ac:dyDescent="0.3">
      <c r="A4364">
        <v>4363</v>
      </c>
      <c r="B4364" t="s">
        <v>15</v>
      </c>
      <c r="C4364">
        <v>1277622</v>
      </c>
      <c r="D4364" t="s">
        <v>10</v>
      </c>
      <c r="E4364" t="s">
        <v>11</v>
      </c>
      <c r="F4364" t="s">
        <v>12</v>
      </c>
      <c r="G4364" t="s">
        <v>13</v>
      </c>
      <c r="H4364" t="s">
        <v>12</v>
      </c>
      <c r="I4364">
        <v>48</v>
      </c>
      <c r="J4364">
        <f>ABS((I4364-EDA!$A$15)/EDA!$B$15)</f>
        <v>0.42489229332154227</v>
      </c>
      <c r="K4364" t="str">
        <f t="shared" si="68"/>
        <v>No</v>
      </c>
      <c r="L4364">
        <f>ABS((C4364-EDA!$F$15)/EDA!$G$15)</f>
        <v>0.35439344023886493</v>
      </c>
      <c r="M4364" t="str">
        <f>IF(moras[[#This Row],[Z-Score Salario]]&gt;1.96, "Sí", "No")</f>
        <v>No</v>
      </c>
      <c r="N4364" s="14">
        <f>IF(ISBLANK(moras[[#This Row],[SALARIO]]), EDA!$M$8, moras[[#This Row],[SALARIO]])</f>
        <v>1277622</v>
      </c>
      <c r="O4364" s="14">
        <f xml:space="preserve"> IF(ISBLANK(moras[[#This Row],[EDAD]]), EDA!$E$8, moras[[#This Row],[EDAD]])</f>
        <v>48</v>
      </c>
      <c r="P4364" s="14" t="str">
        <f>IF(
    OR(ISBLANK(moras[[#This Row],[TIPO_ASEGURAMIENTO]]), moras[[#This Row],[TIPO_ASEGURAMIENTO]]=""),
    EDA!$A$32,
    moras[[#This Row],[TIPO_ASEGURAMIENTO]]
)</f>
        <v>ASALARIADO</v>
      </c>
    </row>
    <row r="4365" spans="1:16" x14ac:dyDescent="0.3">
      <c r="A4365">
        <v>4364</v>
      </c>
      <c r="B4365" t="s">
        <v>9</v>
      </c>
      <c r="C4365">
        <v>450000</v>
      </c>
      <c r="D4365" t="s">
        <v>10</v>
      </c>
      <c r="E4365" t="s">
        <v>16</v>
      </c>
      <c r="F4365" t="s">
        <v>12</v>
      </c>
      <c r="G4365" t="s">
        <v>13</v>
      </c>
      <c r="H4365" t="s">
        <v>12</v>
      </c>
      <c r="I4365">
        <v>28</v>
      </c>
      <c r="J4365">
        <f>ABS((I4365-EDA!$A$15)/EDA!$B$15)</f>
        <v>0.98661430822120777</v>
      </c>
      <c r="K4365" t="str">
        <f t="shared" si="68"/>
        <v>No</v>
      </c>
      <c r="L4365">
        <f>ABS((C4365-EDA!$F$15)/EDA!$G$15)</f>
        <v>0.36816565454732936</v>
      </c>
      <c r="M4365" t="str">
        <f>IF(moras[[#This Row],[Z-Score Salario]]&gt;1.96, "Sí", "No")</f>
        <v>No</v>
      </c>
      <c r="N4365" s="14">
        <f>IF(ISBLANK(moras[[#This Row],[SALARIO]]), EDA!$M$8, moras[[#This Row],[SALARIO]])</f>
        <v>450000</v>
      </c>
      <c r="O4365" s="14">
        <f xml:space="preserve"> IF(ISBLANK(moras[[#This Row],[EDAD]]), EDA!$E$8, moras[[#This Row],[EDAD]])</f>
        <v>28</v>
      </c>
      <c r="P4365" s="14" t="str">
        <f>IF(
    OR(ISBLANK(moras[[#This Row],[TIPO_ASEGURAMIENTO]]), moras[[#This Row],[TIPO_ASEGURAMIENTO]]=""),
    EDA!$A$32,
    moras[[#This Row],[TIPO_ASEGURAMIENTO]]
)</f>
        <v>ASALARIADO</v>
      </c>
    </row>
    <row r="4366" spans="1:16" x14ac:dyDescent="0.3">
      <c r="A4366">
        <v>4365</v>
      </c>
      <c r="B4366" t="s">
        <v>9</v>
      </c>
      <c r="C4366">
        <v>300018</v>
      </c>
      <c r="D4366" t="s">
        <v>17</v>
      </c>
      <c r="E4366" t="s">
        <v>16</v>
      </c>
      <c r="F4366" t="s">
        <v>12</v>
      </c>
      <c r="G4366" t="s">
        <v>13</v>
      </c>
      <c r="H4366" t="s">
        <v>12</v>
      </c>
      <c r="I4366">
        <v>90</v>
      </c>
      <c r="J4366">
        <f>ABS((I4366-EDA!$A$15)/EDA!$B$15)</f>
        <v>3.3890561565613173</v>
      </c>
      <c r="K4366" t="str">
        <f t="shared" si="68"/>
        <v>Sí</v>
      </c>
      <c r="L4366">
        <f>ABS((C4366-EDA!$F$15)/EDA!$G$15)</f>
        <v>0.37066146090145252</v>
      </c>
      <c r="M4366" t="str">
        <f>IF(moras[[#This Row],[Z-Score Salario]]&gt;1.96, "Sí", "No")</f>
        <v>No</v>
      </c>
      <c r="N4366" s="14">
        <f>IF(ISBLANK(moras[[#This Row],[SALARIO]]), EDA!$M$8, moras[[#This Row],[SALARIO]])</f>
        <v>300018</v>
      </c>
      <c r="O4366" s="14">
        <f xml:space="preserve"> IF(ISBLANK(moras[[#This Row],[EDAD]]), EDA!$E$8, moras[[#This Row],[EDAD]])</f>
        <v>90</v>
      </c>
      <c r="P4366" s="14" t="str">
        <f>IF(
    OR(ISBLANK(moras[[#This Row],[TIPO_ASEGURAMIENTO]]), moras[[#This Row],[TIPO_ASEGURAMIENTO]]=""),
    EDA!$A$32,
    moras[[#This Row],[TIPO_ASEGURAMIENTO]]
)</f>
        <v>ASEGURADO VOLUNTARIO</v>
      </c>
    </row>
    <row r="4367" spans="1:16" x14ac:dyDescent="0.3">
      <c r="A4367">
        <v>4366</v>
      </c>
      <c r="B4367" t="s">
        <v>9</v>
      </c>
      <c r="C4367">
        <v>969375</v>
      </c>
      <c r="D4367" t="s">
        <v>10</v>
      </c>
      <c r="E4367" t="s">
        <v>16</v>
      </c>
      <c r="F4367" t="s">
        <v>12</v>
      </c>
      <c r="G4367" t="s">
        <v>12</v>
      </c>
      <c r="H4367" t="s">
        <v>13</v>
      </c>
      <c r="I4367">
        <v>53</v>
      </c>
      <c r="J4367">
        <f>ABS((I4367-EDA!$A$15)/EDA!$B$15)</f>
        <v>0.77776894370722982</v>
      </c>
      <c r="K4367" t="str">
        <f t="shared" si="68"/>
        <v>No</v>
      </c>
      <c r="L4367">
        <f>ABS((C4367-EDA!$F$15)/EDA!$G$15)</f>
        <v>0.35952288791418197</v>
      </c>
      <c r="M4367" t="str">
        <f>IF(moras[[#This Row],[Z-Score Salario]]&gt;1.96, "Sí", "No")</f>
        <v>No</v>
      </c>
      <c r="N4367" s="14">
        <f>IF(ISBLANK(moras[[#This Row],[SALARIO]]), EDA!$M$8, moras[[#This Row],[SALARIO]])</f>
        <v>969375</v>
      </c>
      <c r="O4367" s="14">
        <f xml:space="preserve"> IF(ISBLANK(moras[[#This Row],[EDAD]]), EDA!$E$8, moras[[#This Row],[EDAD]])</f>
        <v>53</v>
      </c>
      <c r="P4367" s="14" t="str">
        <f>IF(
    OR(ISBLANK(moras[[#This Row],[TIPO_ASEGURAMIENTO]]), moras[[#This Row],[TIPO_ASEGURAMIENTO]]=""),
    EDA!$A$32,
    moras[[#This Row],[TIPO_ASEGURAMIENTO]]
)</f>
        <v>ASALARIADO</v>
      </c>
    </row>
    <row r="4368" spans="1:16" x14ac:dyDescent="0.3">
      <c r="A4368">
        <v>4367</v>
      </c>
      <c r="B4368" t="s">
        <v>15</v>
      </c>
      <c r="C4368">
        <v>1464318</v>
      </c>
      <c r="D4368" t="s">
        <v>10</v>
      </c>
      <c r="E4368" t="s">
        <v>11</v>
      </c>
      <c r="F4368" t="s">
        <v>12</v>
      </c>
      <c r="G4368" t="s">
        <v>13</v>
      </c>
      <c r="H4368" t="s">
        <v>13</v>
      </c>
      <c r="I4368">
        <v>55</v>
      </c>
      <c r="J4368">
        <f>ABS((I4368-EDA!$A$15)/EDA!$B$15)</f>
        <v>0.91891960386150484</v>
      </c>
      <c r="K4368" t="str">
        <f t="shared" si="68"/>
        <v>No</v>
      </c>
      <c r="L4368">
        <f>ABS((C4368-EDA!$F$15)/EDA!$G$15)</f>
        <v>0.35128668700788135</v>
      </c>
      <c r="M4368" t="str">
        <f>IF(moras[[#This Row],[Z-Score Salario]]&gt;1.96, "Sí", "No")</f>
        <v>No</v>
      </c>
      <c r="N4368" s="14">
        <f>IF(ISBLANK(moras[[#This Row],[SALARIO]]), EDA!$M$8, moras[[#This Row],[SALARIO]])</f>
        <v>1464318</v>
      </c>
      <c r="O4368" s="14">
        <f xml:space="preserve"> IF(ISBLANK(moras[[#This Row],[EDAD]]), EDA!$E$8, moras[[#This Row],[EDAD]])</f>
        <v>55</v>
      </c>
      <c r="P4368" s="14" t="str">
        <f>IF(
    OR(ISBLANK(moras[[#This Row],[TIPO_ASEGURAMIENTO]]), moras[[#This Row],[TIPO_ASEGURAMIENTO]]=""),
    EDA!$A$32,
    moras[[#This Row],[TIPO_ASEGURAMIENTO]]
)</f>
        <v>ASALARIADO</v>
      </c>
    </row>
    <row r="4369" spans="1:16" x14ac:dyDescent="0.3">
      <c r="A4369">
        <v>4368</v>
      </c>
      <c r="B4369" t="s">
        <v>9</v>
      </c>
      <c r="C4369">
        <v>12733561</v>
      </c>
      <c r="D4369" t="s">
        <v>14</v>
      </c>
      <c r="E4369" t="s">
        <v>11</v>
      </c>
      <c r="F4369" t="s">
        <v>12</v>
      </c>
      <c r="G4369" t="s">
        <v>13</v>
      </c>
      <c r="H4369" t="s">
        <v>13</v>
      </c>
      <c r="I4369">
        <v>70</v>
      </c>
      <c r="J4369">
        <f>ABS((I4369-EDA!$A$15)/EDA!$B$15)</f>
        <v>1.9775495550185673</v>
      </c>
      <c r="K4369" t="str">
        <f t="shared" si="68"/>
        <v>Sí</v>
      </c>
      <c r="L4369">
        <f>ABS((C4369-EDA!$F$15)/EDA!$G$15)</f>
        <v>0.16375852839179469</v>
      </c>
      <c r="M4369" t="str">
        <f>IF(moras[[#This Row],[Z-Score Salario]]&gt;1.96, "Sí", "No")</f>
        <v>No</v>
      </c>
      <c r="N4369" s="14">
        <f>IF(ISBLANK(moras[[#This Row],[SALARIO]]), EDA!$M$8, moras[[#This Row],[SALARIO]])</f>
        <v>12733561</v>
      </c>
      <c r="O4369" s="14">
        <f xml:space="preserve"> IF(ISBLANK(moras[[#This Row],[EDAD]]), EDA!$E$8, moras[[#This Row],[EDAD]])</f>
        <v>70</v>
      </c>
      <c r="P4369" s="14" t="str">
        <f>IF(
    OR(ISBLANK(moras[[#This Row],[TIPO_ASEGURAMIENTO]]), moras[[#This Row],[TIPO_ASEGURAMIENTO]]=""),
    EDA!$A$32,
    moras[[#This Row],[TIPO_ASEGURAMIENTO]]
)</f>
        <v>PENSIONADOS EN SU PROPIO SISTEMA</v>
      </c>
    </row>
    <row r="4370" spans="1:16" x14ac:dyDescent="0.3">
      <c r="A4370">
        <v>4369</v>
      </c>
      <c r="B4370" t="s">
        <v>15</v>
      </c>
      <c r="C4370">
        <v>35589918</v>
      </c>
      <c r="D4370" t="s">
        <v>14</v>
      </c>
      <c r="E4370" t="s">
        <v>11</v>
      </c>
      <c r="F4370" t="s">
        <v>12</v>
      </c>
      <c r="G4370" t="s">
        <v>13</v>
      </c>
      <c r="H4370" t="s">
        <v>13</v>
      </c>
      <c r="I4370">
        <v>17</v>
      </c>
      <c r="J4370">
        <f>ABS((I4370-EDA!$A$15)/EDA!$B$15)</f>
        <v>1.7629429390697204</v>
      </c>
      <c r="K4370" t="str">
        <f t="shared" si="68"/>
        <v>No</v>
      </c>
      <c r="L4370">
        <f>ABS((C4370-EDA!$F$15)/EDA!$G$15)</f>
        <v>0.21658738666939462</v>
      </c>
      <c r="M4370" t="str">
        <f>IF(moras[[#This Row],[Z-Score Salario]]&gt;1.96, "Sí", "No")</f>
        <v>No</v>
      </c>
      <c r="N4370" s="14">
        <f>IF(ISBLANK(moras[[#This Row],[SALARIO]]), EDA!$M$8, moras[[#This Row],[SALARIO]])</f>
        <v>35589918</v>
      </c>
      <c r="O4370" s="14">
        <f xml:space="preserve"> IF(ISBLANK(moras[[#This Row],[EDAD]]), EDA!$E$8, moras[[#This Row],[EDAD]])</f>
        <v>17</v>
      </c>
      <c r="P4370" s="14" t="str">
        <f>IF(
    OR(ISBLANK(moras[[#This Row],[TIPO_ASEGURAMIENTO]]), moras[[#This Row],[TIPO_ASEGURAMIENTO]]=""),
    EDA!$A$32,
    moras[[#This Row],[TIPO_ASEGURAMIENTO]]
)</f>
        <v>PENSIONADOS EN SU PROPIO SISTEMA</v>
      </c>
    </row>
    <row r="4371" spans="1:16" x14ac:dyDescent="0.3">
      <c r="A4371">
        <v>4370</v>
      </c>
      <c r="B4371" t="s">
        <v>9</v>
      </c>
      <c r="C4371">
        <v>76029364</v>
      </c>
      <c r="D4371" t="s">
        <v>10</v>
      </c>
      <c r="E4371" t="s">
        <v>16</v>
      </c>
      <c r="F4371" t="s">
        <v>12</v>
      </c>
      <c r="G4371" t="s">
        <v>12</v>
      </c>
      <c r="H4371" t="s">
        <v>13</v>
      </c>
      <c r="I4371">
        <v>57</v>
      </c>
      <c r="J4371">
        <f>ABS((I4371-EDA!$A$15)/EDA!$B$15)</f>
        <v>1.0600702640157798</v>
      </c>
      <c r="K4371" t="str">
        <f t="shared" si="68"/>
        <v>No</v>
      </c>
      <c r="L4371">
        <f>ABS((C4371-EDA!$F$15)/EDA!$G$15)</f>
        <v>0.88952831480757311</v>
      </c>
      <c r="M4371" t="str">
        <f>IF(moras[[#This Row],[Z-Score Salario]]&gt;1.96, "Sí", "No")</f>
        <v>No</v>
      </c>
      <c r="N4371" s="14">
        <f>IF(ISBLANK(moras[[#This Row],[SALARIO]]), EDA!$M$8, moras[[#This Row],[SALARIO]])</f>
        <v>76029364</v>
      </c>
      <c r="O4371" s="14">
        <f xml:space="preserve"> IF(ISBLANK(moras[[#This Row],[EDAD]]), EDA!$E$8, moras[[#This Row],[EDAD]])</f>
        <v>57</v>
      </c>
      <c r="P4371" s="14" t="str">
        <f>IF(
    OR(ISBLANK(moras[[#This Row],[TIPO_ASEGURAMIENTO]]), moras[[#This Row],[TIPO_ASEGURAMIENTO]]=""),
    EDA!$A$32,
    moras[[#This Row],[TIPO_ASEGURAMIENTO]]
)</f>
        <v>ASALARIADO</v>
      </c>
    </row>
    <row r="4372" spans="1:16" x14ac:dyDescent="0.3">
      <c r="A4372">
        <v>4371</v>
      </c>
      <c r="B4372" t="s">
        <v>15</v>
      </c>
      <c r="C4372">
        <v>902500</v>
      </c>
      <c r="D4372" t="s">
        <v>10</v>
      </c>
      <c r="E4372" t="s">
        <v>16</v>
      </c>
      <c r="F4372" t="s">
        <v>12</v>
      </c>
      <c r="G4372" t="s">
        <v>13</v>
      </c>
      <c r="H4372" t="s">
        <v>13</v>
      </c>
      <c r="I4372">
        <v>27</v>
      </c>
      <c r="J4372">
        <f>ABS((I4372-EDA!$A$15)/EDA!$B$15)</f>
        <v>1.0571896382983452</v>
      </c>
      <c r="K4372" t="str">
        <f t="shared" si="68"/>
        <v>No</v>
      </c>
      <c r="L4372">
        <f>ABS((C4372-EDA!$F$15)/EDA!$G$15)</f>
        <v>0.36063573512206015</v>
      </c>
      <c r="M4372" t="str">
        <f>IF(moras[[#This Row],[Z-Score Salario]]&gt;1.96, "Sí", "No")</f>
        <v>No</v>
      </c>
      <c r="N4372" s="14">
        <f>IF(ISBLANK(moras[[#This Row],[SALARIO]]), EDA!$M$8, moras[[#This Row],[SALARIO]])</f>
        <v>902500</v>
      </c>
      <c r="O4372" s="14">
        <f xml:space="preserve"> IF(ISBLANK(moras[[#This Row],[EDAD]]), EDA!$E$8, moras[[#This Row],[EDAD]])</f>
        <v>27</v>
      </c>
      <c r="P4372" s="14" t="str">
        <f>IF(
    OR(ISBLANK(moras[[#This Row],[TIPO_ASEGURAMIENTO]]), moras[[#This Row],[TIPO_ASEGURAMIENTO]]=""),
    EDA!$A$32,
    moras[[#This Row],[TIPO_ASEGURAMIENTO]]
)</f>
        <v>ASALARIADO</v>
      </c>
    </row>
    <row r="4373" spans="1:16" x14ac:dyDescent="0.3">
      <c r="A4373">
        <v>4372</v>
      </c>
      <c r="B4373" t="s">
        <v>15</v>
      </c>
      <c r="C4373">
        <v>346500</v>
      </c>
      <c r="D4373" t="s">
        <v>10</v>
      </c>
      <c r="E4373" t="s">
        <v>16</v>
      </c>
      <c r="F4373" t="s">
        <v>12</v>
      </c>
      <c r="G4373" t="s">
        <v>13</v>
      </c>
      <c r="H4373" t="s">
        <v>13</v>
      </c>
      <c r="I4373">
        <v>45</v>
      </c>
      <c r="J4373">
        <f>ABS((I4373-EDA!$A$15)/EDA!$B$15)</f>
        <v>0.21316630309012977</v>
      </c>
      <c r="K4373" t="str">
        <f t="shared" si="68"/>
        <v>No</v>
      </c>
      <c r="L4373">
        <f>ABS((C4373-EDA!$F$15)/EDA!$G$15)</f>
        <v>0.36988796760924181</v>
      </c>
      <c r="M4373" t="str">
        <f>IF(moras[[#This Row],[Z-Score Salario]]&gt;1.96, "Sí", "No")</f>
        <v>No</v>
      </c>
      <c r="N4373" s="14">
        <f>IF(ISBLANK(moras[[#This Row],[SALARIO]]), EDA!$M$8, moras[[#This Row],[SALARIO]])</f>
        <v>346500</v>
      </c>
      <c r="O4373" s="14">
        <f xml:space="preserve"> IF(ISBLANK(moras[[#This Row],[EDAD]]), EDA!$E$8, moras[[#This Row],[EDAD]])</f>
        <v>45</v>
      </c>
      <c r="P4373" s="14" t="str">
        <f>IF(
    OR(ISBLANK(moras[[#This Row],[TIPO_ASEGURAMIENTO]]), moras[[#This Row],[TIPO_ASEGURAMIENTO]]=""),
    EDA!$A$32,
    moras[[#This Row],[TIPO_ASEGURAMIENTO]]
)</f>
        <v>ASALARIADO</v>
      </c>
    </row>
    <row r="4374" spans="1:16" x14ac:dyDescent="0.3">
      <c r="A4374">
        <v>4373</v>
      </c>
      <c r="B4374" t="s">
        <v>9</v>
      </c>
      <c r="C4374">
        <v>343000</v>
      </c>
      <c r="D4374" t="s">
        <v>10</v>
      </c>
      <c r="E4374" t="s">
        <v>16</v>
      </c>
      <c r="F4374" t="s">
        <v>12</v>
      </c>
      <c r="G4374" t="s">
        <v>13</v>
      </c>
      <c r="H4374" t="s">
        <v>13</v>
      </c>
      <c r="I4374">
        <v>51</v>
      </c>
      <c r="J4374">
        <f>ABS((I4374-EDA!$A$15)/EDA!$B$15)</f>
        <v>0.6366182835529548</v>
      </c>
      <c r="K4374" t="str">
        <f t="shared" si="68"/>
        <v>No</v>
      </c>
      <c r="L4374">
        <f>ABS((C4374-EDA!$F$15)/EDA!$G$15)</f>
        <v>0.3699462100799345</v>
      </c>
      <c r="M4374" t="str">
        <f>IF(moras[[#This Row],[Z-Score Salario]]&gt;1.96, "Sí", "No")</f>
        <v>No</v>
      </c>
      <c r="N4374" s="14">
        <f>IF(ISBLANK(moras[[#This Row],[SALARIO]]), EDA!$M$8, moras[[#This Row],[SALARIO]])</f>
        <v>343000</v>
      </c>
      <c r="O4374" s="14">
        <f xml:space="preserve"> IF(ISBLANK(moras[[#This Row],[EDAD]]), EDA!$E$8, moras[[#This Row],[EDAD]])</f>
        <v>51</v>
      </c>
      <c r="P4374" s="14" t="str">
        <f>IF(
    OR(ISBLANK(moras[[#This Row],[TIPO_ASEGURAMIENTO]]), moras[[#This Row],[TIPO_ASEGURAMIENTO]]=""),
    EDA!$A$32,
    moras[[#This Row],[TIPO_ASEGURAMIENTO]]
)</f>
        <v>ASALARIADO</v>
      </c>
    </row>
    <row r="4375" spans="1:16" x14ac:dyDescent="0.3">
      <c r="A4375">
        <v>4374</v>
      </c>
      <c r="B4375" t="s">
        <v>9</v>
      </c>
      <c r="C4375">
        <v>297502</v>
      </c>
      <c r="D4375" t="s">
        <v>18</v>
      </c>
      <c r="E4375" t="s">
        <v>16</v>
      </c>
      <c r="F4375" t="s">
        <v>12</v>
      </c>
      <c r="G4375" t="s">
        <v>13</v>
      </c>
      <c r="H4375" t="s">
        <v>13</v>
      </c>
      <c r="I4375">
        <v>63</v>
      </c>
      <c r="J4375">
        <f>ABS((I4375-EDA!$A$15)/EDA!$B$15)</f>
        <v>1.4835222444786049</v>
      </c>
      <c r="K4375" t="str">
        <f t="shared" si="68"/>
        <v>No</v>
      </c>
      <c r="L4375">
        <f>ABS((C4375-EDA!$F$15)/EDA!$G$15)</f>
        <v>0.37070332891752761</v>
      </c>
      <c r="M4375" t="str">
        <f>IF(moras[[#This Row],[Z-Score Salario]]&gt;1.96, "Sí", "No")</f>
        <v>No</v>
      </c>
      <c r="N4375" s="14">
        <f>IF(ISBLANK(moras[[#This Row],[SALARIO]]), EDA!$M$8, moras[[#This Row],[SALARIO]])</f>
        <v>297502</v>
      </c>
      <c r="O4375" s="14">
        <f xml:space="preserve"> IF(ISBLANK(moras[[#This Row],[EDAD]]), EDA!$E$8, moras[[#This Row],[EDAD]])</f>
        <v>63</v>
      </c>
      <c r="P4375" s="14" t="str">
        <f>IF(
    OR(ISBLANK(moras[[#This Row],[TIPO_ASEGURAMIENTO]]), moras[[#This Row],[TIPO_ASEGURAMIENTO]]=""),
    EDA!$A$32,
    moras[[#This Row],[TIPO_ASEGURAMIENTO]]
)</f>
        <v>TRABAJADOR INDEPENDIENTE</v>
      </c>
    </row>
    <row r="4376" spans="1:16" x14ac:dyDescent="0.3">
      <c r="A4376">
        <v>4375</v>
      </c>
      <c r="B4376" t="s">
        <v>15</v>
      </c>
      <c r="C4376">
        <v>315617</v>
      </c>
      <c r="D4376" t="s">
        <v>17</v>
      </c>
      <c r="E4376" t="s">
        <v>16</v>
      </c>
      <c r="F4376" t="s">
        <v>12</v>
      </c>
      <c r="G4376" t="s">
        <v>12</v>
      </c>
      <c r="H4376" t="s">
        <v>13</v>
      </c>
      <c r="I4376">
        <v>60</v>
      </c>
      <c r="J4376">
        <f>ABS((I4376-EDA!$A$15)/EDA!$B$15)</f>
        <v>1.2717962542471923</v>
      </c>
      <c r="K4376" t="str">
        <f t="shared" si="68"/>
        <v>No</v>
      </c>
      <c r="L4376">
        <f>ABS((C4376-EDA!$F$15)/EDA!$G$15)</f>
        <v>0.37040188252992817</v>
      </c>
      <c r="M4376" t="str">
        <f>IF(moras[[#This Row],[Z-Score Salario]]&gt;1.96, "Sí", "No")</f>
        <v>No</v>
      </c>
      <c r="N4376" s="14">
        <f>IF(ISBLANK(moras[[#This Row],[SALARIO]]), EDA!$M$8, moras[[#This Row],[SALARIO]])</f>
        <v>315617</v>
      </c>
      <c r="O4376" s="14">
        <f xml:space="preserve"> IF(ISBLANK(moras[[#This Row],[EDAD]]), EDA!$E$8, moras[[#This Row],[EDAD]])</f>
        <v>60</v>
      </c>
      <c r="P4376" s="14" t="str">
        <f>IF(
    OR(ISBLANK(moras[[#This Row],[TIPO_ASEGURAMIENTO]]), moras[[#This Row],[TIPO_ASEGURAMIENTO]]=""),
    EDA!$A$32,
    moras[[#This Row],[TIPO_ASEGURAMIENTO]]
)</f>
        <v>ASEGURADO VOLUNTARIO</v>
      </c>
    </row>
    <row r="4377" spans="1:16" x14ac:dyDescent="0.3">
      <c r="A4377">
        <v>4376</v>
      </c>
      <c r="B4377" t="s">
        <v>9</v>
      </c>
      <c r="C4377">
        <v>100000</v>
      </c>
      <c r="D4377" t="s">
        <v>10</v>
      </c>
      <c r="E4377" t="s">
        <v>16</v>
      </c>
      <c r="F4377" t="s">
        <v>12</v>
      </c>
      <c r="G4377" t="s">
        <v>13</v>
      </c>
      <c r="H4377" t="s">
        <v>12</v>
      </c>
      <c r="I4377">
        <v>37</v>
      </c>
      <c r="J4377">
        <f>ABS((I4377-EDA!$A$15)/EDA!$B$15)</f>
        <v>0.35143633752697023</v>
      </c>
      <c r="K4377" t="str">
        <f t="shared" si="68"/>
        <v>No</v>
      </c>
      <c r="L4377">
        <f>ABS((C4377-EDA!$F$15)/EDA!$G$15)</f>
        <v>0.3739899016165984</v>
      </c>
      <c r="M4377" t="str">
        <f>IF(moras[[#This Row],[Z-Score Salario]]&gt;1.96, "Sí", "No")</f>
        <v>No</v>
      </c>
      <c r="N4377" s="14">
        <f>IF(ISBLANK(moras[[#This Row],[SALARIO]]), EDA!$M$8, moras[[#This Row],[SALARIO]])</f>
        <v>100000</v>
      </c>
      <c r="O4377" s="14">
        <f xml:space="preserve"> IF(ISBLANK(moras[[#This Row],[EDAD]]), EDA!$E$8, moras[[#This Row],[EDAD]])</f>
        <v>37</v>
      </c>
      <c r="P4377" s="14" t="str">
        <f>IF(
    OR(ISBLANK(moras[[#This Row],[TIPO_ASEGURAMIENTO]]), moras[[#This Row],[TIPO_ASEGURAMIENTO]]=""),
    EDA!$A$32,
    moras[[#This Row],[TIPO_ASEGURAMIENTO]]
)</f>
        <v>ASALARIADO</v>
      </c>
    </row>
    <row r="4378" spans="1:16" x14ac:dyDescent="0.3">
      <c r="A4378">
        <v>4377</v>
      </c>
      <c r="B4378" t="s">
        <v>9</v>
      </c>
      <c r="C4378">
        <v>100000</v>
      </c>
      <c r="D4378" t="s">
        <v>10</v>
      </c>
      <c r="E4378" t="s">
        <v>16</v>
      </c>
      <c r="F4378" t="s">
        <v>12</v>
      </c>
      <c r="G4378" t="s">
        <v>12</v>
      </c>
      <c r="H4378" t="s">
        <v>12</v>
      </c>
      <c r="I4378">
        <v>36</v>
      </c>
      <c r="J4378">
        <f>ABS((I4378-EDA!$A$15)/EDA!$B$15)</f>
        <v>0.42201166760410774</v>
      </c>
      <c r="K4378" t="str">
        <f t="shared" si="68"/>
        <v>No</v>
      </c>
      <c r="L4378">
        <f>ABS((C4378-EDA!$F$15)/EDA!$G$15)</f>
        <v>0.3739899016165984</v>
      </c>
      <c r="M4378" t="str">
        <f>IF(moras[[#This Row],[Z-Score Salario]]&gt;1.96, "Sí", "No")</f>
        <v>No</v>
      </c>
      <c r="N4378" s="14">
        <f>IF(ISBLANK(moras[[#This Row],[SALARIO]]), EDA!$M$8, moras[[#This Row],[SALARIO]])</f>
        <v>100000</v>
      </c>
      <c r="O4378" s="14">
        <f xml:space="preserve"> IF(ISBLANK(moras[[#This Row],[EDAD]]), EDA!$E$8, moras[[#This Row],[EDAD]])</f>
        <v>36</v>
      </c>
      <c r="P4378" s="14" t="str">
        <f>IF(
    OR(ISBLANK(moras[[#This Row],[TIPO_ASEGURAMIENTO]]), moras[[#This Row],[TIPO_ASEGURAMIENTO]]=""),
    EDA!$A$32,
    moras[[#This Row],[TIPO_ASEGURAMIENTO]]
)</f>
        <v>ASALARIADO</v>
      </c>
    </row>
    <row r="4379" spans="1:16" x14ac:dyDescent="0.3">
      <c r="A4379">
        <v>4378</v>
      </c>
      <c r="B4379" t="s">
        <v>15</v>
      </c>
      <c r="C4379">
        <v>29253304</v>
      </c>
      <c r="D4379" t="s">
        <v>10</v>
      </c>
      <c r="E4379" t="s">
        <v>11</v>
      </c>
      <c r="F4379" t="s">
        <v>12</v>
      </c>
      <c r="G4379" t="s">
        <v>13</v>
      </c>
      <c r="H4379" t="s">
        <v>13</v>
      </c>
      <c r="I4379">
        <v>25</v>
      </c>
      <c r="J4379">
        <f>ABS((I4379-EDA!$A$15)/EDA!$B$15)</f>
        <v>1.1983402984526204</v>
      </c>
      <c r="K4379" t="str">
        <f t="shared" si="68"/>
        <v>No</v>
      </c>
      <c r="L4379">
        <f>ABS((C4379-EDA!$F$15)/EDA!$G$15)</f>
        <v>0.11114165661628322</v>
      </c>
      <c r="M4379" t="str">
        <f>IF(moras[[#This Row],[Z-Score Salario]]&gt;1.96, "Sí", "No")</f>
        <v>No</v>
      </c>
      <c r="N4379" s="14">
        <f>IF(ISBLANK(moras[[#This Row],[SALARIO]]), EDA!$M$8, moras[[#This Row],[SALARIO]])</f>
        <v>29253304</v>
      </c>
      <c r="O4379" s="14">
        <f xml:space="preserve"> IF(ISBLANK(moras[[#This Row],[EDAD]]), EDA!$E$8, moras[[#This Row],[EDAD]])</f>
        <v>25</v>
      </c>
      <c r="P4379" s="14" t="str">
        <f>IF(
    OR(ISBLANK(moras[[#This Row],[TIPO_ASEGURAMIENTO]]), moras[[#This Row],[TIPO_ASEGURAMIENTO]]=""),
    EDA!$A$32,
    moras[[#This Row],[TIPO_ASEGURAMIENTO]]
)</f>
        <v>ASALARIADO</v>
      </c>
    </row>
    <row r="4380" spans="1:16" x14ac:dyDescent="0.3">
      <c r="A4380">
        <v>4379</v>
      </c>
      <c r="B4380" t="s">
        <v>15</v>
      </c>
      <c r="C4380">
        <v>297046</v>
      </c>
      <c r="D4380" t="s">
        <v>17</v>
      </c>
      <c r="E4380" t="s">
        <v>16</v>
      </c>
      <c r="F4380" t="s">
        <v>12</v>
      </c>
      <c r="G4380" t="s">
        <v>13</v>
      </c>
      <c r="H4380" t="s">
        <v>13</v>
      </c>
      <c r="I4380">
        <v>55</v>
      </c>
      <c r="J4380">
        <f>ABS((I4380-EDA!$A$15)/EDA!$B$15)</f>
        <v>0.91891960386150484</v>
      </c>
      <c r="K4380" t="str">
        <f t="shared" si="68"/>
        <v>No</v>
      </c>
      <c r="L4380">
        <f>ABS((C4380-EDA!$F$15)/EDA!$G$15)</f>
        <v>0.37071091707942361</v>
      </c>
      <c r="M4380" t="str">
        <f>IF(moras[[#This Row],[Z-Score Salario]]&gt;1.96, "Sí", "No")</f>
        <v>No</v>
      </c>
      <c r="N4380" s="14">
        <f>IF(ISBLANK(moras[[#This Row],[SALARIO]]), EDA!$M$8, moras[[#This Row],[SALARIO]])</f>
        <v>297046</v>
      </c>
      <c r="O4380" s="14">
        <f xml:space="preserve"> IF(ISBLANK(moras[[#This Row],[EDAD]]), EDA!$E$8, moras[[#This Row],[EDAD]])</f>
        <v>55</v>
      </c>
      <c r="P4380" s="14" t="str">
        <f>IF(
    OR(ISBLANK(moras[[#This Row],[TIPO_ASEGURAMIENTO]]), moras[[#This Row],[TIPO_ASEGURAMIENTO]]=""),
    EDA!$A$32,
    moras[[#This Row],[TIPO_ASEGURAMIENTO]]
)</f>
        <v>ASEGURADO VOLUNTARIO</v>
      </c>
    </row>
    <row r="4381" spans="1:16" x14ac:dyDescent="0.3">
      <c r="A4381">
        <v>4380</v>
      </c>
      <c r="B4381" t="s">
        <v>9</v>
      </c>
      <c r="C4381">
        <v>382136</v>
      </c>
      <c r="D4381" t="s">
        <v>18</v>
      </c>
      <c r="E4381" t="s">
        <v>16</v>
      </c>
      <c r="F4381" t="s">
        <v>12</v>
      </c>
      <c r="G4381" t="s">
        <v>13</v>
      </c>
      <c r="H4381" t="s">
        <v>12</v>
      </c>
      <c r="I4381">
        <v>63</v>
      </c>
      <c r="J4381">
        <f>ABS((I4381-EDA!$A$15)/EDA!$B$15)</f>
        <v>1.4835222444786049</v>
      </c>
      <c r="K4381" t="str">
        <f t="shared" si="68"/>
        <v>No</v>
      </c>
      <c r="L4381">
        <f>ABS((C4381-EDA!$F$15)/EDA!$G$15)</f>
        <v>0.36929495941335472</v>
      </c>
      <c r="M4381" t="str">
        <f>IF(moras[[#This Row],[Z-Score Salario]]&gt;1.96, "Sí", "No")</f>
        <v>No</v>
      </c>
      <c r="N4381" s="14">
        <f>IF(ISBLANK(moras[[#This Row],[SALARIO]]), EDA!$M$8, moras[[#This Row],[SALARIO]])</f>
        <v>382136</v>
      </c>
      <c r="O4381" s="14">
        <f xml:space="preserve"> IF(ISBLANK(moras[[#This Row],[EDAD]]), EDA!$E$8, moras[[#This Row],[EDAD]])</f>
        <v>63</v>
      </c>
      <c r="P4381" s="14" t="str">
        <f>IF(
    OR(ISBLANK(moras[[#This Row],[TIPO_ASEGURAMIENTO]]), moras[[#This Row],[TIPO_ASEGURAMIENTO]]=""),
    EDA!$A$32,
    moras[[#This Row],[TIPO_ASEGURAMIENTO]]
)</f>
        <v>TRABAJADOR INDEPENDIENTE</v>
      </c>
    </row>
    <row r="4382" spans="1:16" x14ac:dyDescent="0.3">
      <c r="A4382">
        <v>4381</v>
      </c>
      <c r="B4382" t="s">
        <v>9</v>
      </c>
      <c r="C4382">
        <v>4885739</v>
      </c>
      <c r="D4382" t="s">
        <v>10</v>
      </c>
      <c r="E4382" t="s">
        <v>16</v>
      </c>
      <c r="F4382" t="s">
        <v>12</v>
      </c>
      <c r="G4382" t="s">
        <v>13</v>
      </c>
      <c r="H4382" t="s">
        <v>13</v>
      </c>
      <c r="I4382">
        <v>41</v>
      </c>
      <c r="J4382">
        <f>ABS((I4382-EDA!$A$15)/EDA!$B$15)</f>
        <v>6.9135017218420233E-2</v>
      </c>
      <c r="K4382" t="str">
        <f t="shared" si="68"/>
        <v>No</v>
      </c>
      <c r="L4382">
        <f>ABS((C4382-EDA!$F$15)/EDA!$G$15)</f>
        <v>0.29435182634506579</v>
      </c>
      <c r="M4382" t="str">
        <f>IF(moras[[#This Row],[Z-Score Salario]]&gt;1.96, "Sí", "No")</f>
        <v>No</v>
      </c>
      <c r="N4382" s="14">
        <f>IF(ISBLANK(moras[[#This Row],[SALARIO]]), EDA!$M$8, moras[[#This Row],[SALARIO]])</f>
        <v>4885739</v>
      </c>
      <c r="O4382" s="14">
        <f xml:space="preserve"> IF(ISBLANK(moras[[#This Row],[EDAD]]), EDA!$E$8, moras[[#This Row],[EDAD]])</f>
        <v>41</v>
      </c>
      <c r="P4382" s="14" t="str">
        <f>IF(
    OR(ISBLANK(moras[[#This Row],[TIPO_ASEGURAMIENTO]]), moras[[#This Row],[TIPO_ASEGURAMIENTO]]=""),
    EDA!$A$32,
    moras[[#This Row],[TIPO_ASEGURAMIENTO]]
)</f>
        <v>ASALARIADO</v>
      </c>
    </row>
    <row r="4383" spans="1:16" x14ac:dyDescent="0.3">
      <c r="A4383">
        <v>4382</v>
      </c>
      <c r="B4383" t="s">
        <v>15</v>
      </c>
      <c r="C4383">
        <v>550000</v>
      </c>
      <c r="D4383" t="s">
        <v>10</v>
      </c>
      <c r="E4383" t="s">
        <v>16</v>
      </c>
      <c r="F4383" t="s">
        <v>12</v>
      </c>
      <c r="G4383" t="s">
        <v>13</v>
      </c>
      <c r="H4383" t="s">
        <v>13</v>
      </c>
      <c r="I4383">
        <v>27</v>
      </c>
      <c r="J4383">
        <f>ABS((I4383-EDA!$A$15)/EDA!$B$15)</f>
        <v>1.0571896382983452</v>
      </c>
      <c r="K4383" t="str">
        <f t="shared" si="68"/>
        <v>No</v>
      </c>
      <c r="L4383">
        <f>ABS((C4383-EDA!$F$15)/EDA!$G$15)</f>
        <v>0.36650158395610966</v>
      </c>
      <c r="M4383" t="str">
        <f>IF(moras[[#This Row],[Z-Score Salario]]&gt;1.96, "Sí", "No")</f>
        <v>No</v>
      </c>
      <c r="N4383" s="14">
        <f>IF(ISBLANK(moras[[#This Row],[SALARIO]]), EDA!$M$8, moras[[#This Row],[SALARIO]])</f>
        <v>550000</v>
      </c>
      <c r="O4383" s="14">
        <f xml:space="preserve"> IF(ISBLANK(moras[[#This Row],[EDAD]]), EDA!$E$8, moras[[#This Row],[EDAD]])</f>
        <v>27</v>
      </c>
      <c r="P4383" s="14" t="str">
        <f>IF(
    OR(ISBLANK(moras[[#This Row],[TIPO_ASEGURAMIENTO]]), moras[[#This Row],[TIPO_ASEGURAMIENTO]]=""),
    EDA!$A$32,
    moras[[#This Row],[TIPO_ASEGURAMIENTO]]
)</f>
        <v>ASALARIADO</v>
      </c>
    </row>
    <row r="4384" spans="1:16" x14ac:dyDescent="0.3">
      <c r="A4384">
        <v>4383</v>
      </c>
      <c r="B4384" t="s">
        <v>15</v>
      </c>
      <c r="C4384">
        <v>1843614</v>
      </c>
      <c r="D4384" t="s">
        <v>10</v>
      </c>
      <c r="E4384" t="s">
        <v>11</v>
      </c>
      <c r="F4384" t="s">
        <v>12</v>
      </c>
      <c r="G4384" t="s">
        <v>13</v>
      </c>
      <c r="H4384" t="s">
        <v>13</v>
      </c>
      <c r="I4384">
        <v>59</v>
      </c>
      <c r="J4384">
        <f>ABS((I4384-EDA!$A$15)/EDA!$B$15)</f>
        <v>1.2012209241700549</v>
      </c>
      <c r="K4384" t="str">
        <f t="shared" si="68"/>
        <v>No</v>
      </c>
      <c r="L4384">
        <f>ABS((C4384-EDA!$F$15)/EDA!$G$15)</f>
        <v>0.3449749338182086</v>
      </c>
      <c r="M4384" t="str">
        <f>IF(moras[[#This Row],[Z-Score Salario]]&gt;1.96, "Sí", "No")</f>
        <v>No</v>
      </c>
      <c r="N4384" s="14">
        <f>IF(ISBLANK(moras[[#This Row],[SALARIO]]), EDA!$M$8, moras[[#This Row],[SALARIO]])</f>
        <v>1843614</v>
      </c>
      <c r="O4384" s="14">
        <f xml:space="preserve"> IF(ISBLANK(moras[[#This Row],[EDAD]]), EDA!$E$8, moras[[#This Row],[EDAD]])</f>
        <v>59</v>
      </c>
      <c r="P4384" s="14" t="str">
        <f>IF(
    OR(ISBLANK(moras[[#This Row],[TIPO_ASEGURAMIENTO]]), moras[[#This Row],[TIPO_ASEGURAMIENTO]]=""),
    EDA!$A$32,
    moras[[#This Row],[TIPO_ASEGURAMIENTO]]
)</f>
        <v>ASALARIADO</v>
      </c>
    </row>
    <row r="4385" spans="1:16" x14ac:dyDescent="0.3">
      <c r="A4385">
        <v>4384</v>
      </c>
      <c r="B4385" t="s">
        <v>9</v>
      </c>
      <c r="C4385">
        <v>547158</v>
      </c>
      <c r="D4385" t="s">
        <v>10</v>
      </c>
      <c r="E4385" t="s">
        <v>11</v>
      </c>
      <c r="F4385" t="s">
        <v>12</v>
      </c>
      <c r="G4385" t="s">
        <v>13</v>
      </c>
      <c r="H4385" t="s">
        <v>12</v>
      </c>
      <c r="I4385">
        <v>22</v>
      </c>
      <c r="J4385">
        <f>ABS((I4385-EDA!$A$15)/EDA!$B$15)</f>
        <v>1.4100662886840327</v>
      </c>
      <c r="K4385" t="str">
        <f t="shared" si="68"/>
        <v>No</v>
      </c>
      <c r="L4385">
        <f>ABS((C4385-EDA!$F$15)/EDA!$G$15)</f>
        <v>0.36654887684231213</v>
      </c>
      <c r="M4385" t="str">
        <f>IF(moras[[#This Row],[Z-Score Salario]]&gt;1.96, "Sí", "No")</f>
        <v>No</v>
      </c>
      <c r="N4385" s="14">
        <f>IF(ISBLANK(moras[[#This Row],[SALARIO]]), EDA!$M$8, moras[[#This Row],[SALARIO]])</f>
        <v>547158</v>
      </c>
      <c r="O4385" s="14">
        <f xml:space="preserve"> IF(ISBLANK(moras[[#This Row],[EDAD]]), EDA!$E$8, moras[[#This Row],[EDAD]])</f>
        <v>22</v>
      </c>
      <c r="P4385" s="14" t="str">
        <f>IF(
    OR(ISBLANK(moras[[#This Row],[TIPO_ASEGURAMIENTO]]), moras[[#This Row],[TIPO_ASEGURAMIENTO]]=""),
    EDA!$A$32,
    moras[[#This Row],[TIPO_ASEGURAMIENTO]]
)</f>
        <v>ASALARIADO</v>
      </c>
    </row>
    <row r="4386" spans="1:16" x14ac:dyDescent="0.3">
      <c r="A4386">
        <v>4385</v>
      </c>
      <c r="B4386" t="s">
        <v>15</v>
      </c>
      <c r="C4386">
        <v>1482847</v>
      </c>
      <c r="D4386" t="s">
        <v>10</v>
      </c>
      <c r="E4386" t="s">
        <v>11</v>
      </c>
      <c r="F4386" t="s">
        <v>12</v>
      </c>
      <c r="G4386" t="s">
        <v>13</v>
      </c>
      <c r="H4386" t="s">
        <v>12</v>
      </c>
      <c r="I4386">
        <v>29</v>
      </c>
      <c r="J4386">
        <f>ABS((I4386-EDA!$A$15)/EDA!$B$15)</f>
        <v>0.91603897814407031</v>
      </c>
      <c r="K4386" t="str">
        <f t="shared" si="68"/>
        <v>No</v>
      </c>
      <c r="L4386">
        <f>ABS((C4386-EDA!$F$15)/EDA!$G$15)</f>
        <v>0.35097835136803424</v>
      </c>
      <c r="M4386" t="str">
        <f>IF(moras[[#This Row],[Z-Score Salario]]&gt;1.96, "Sí", "No")</f>
        <v>No</v>
      </c>
      <c r="N4386" s="14">
        <f>IF(ISBLANK(moras[[#This Row],[SALARIO]]), EDA!$M$8, moras[[#This Row],[SALARIO]])</f>
        <v>1482847</v>
      </c>
      <c r="O4386" s="14">
        <f xml:space="preserve"> IF(ISBLANK(moras[[#This Row],[EDAD]]), EDA!$E$8, moras[[#This Row],[EDAD]])</f>
        <v>29</v>
      </c>
      <c r="P4386" s="14" t="str">
        <f>IF(
    OR(ISBLANK(moras[[#This Row],[TIPO_ASEGURAMIENTO]]), moras[[#This Row],[TIPO_ASEGURAMIENTO]]=""),
    EDA!$A$32,
    moras[[#This Row],[TIPO_ASEGURAMIENTO]]
)</f>
        <v>ASALARIADO</v>
      </c>
    </row>
    <row r="4387" spans="1:16" x14ac:dyDescent="0.3">
      <c r="A4387">
        <v>4386</v>
      </c>
      <c r="B4387" t="s">
        <v>15</v>
      </c>
      <c r="C4387">
        <v>92750314</v>
      </c>
      <c r="D4387" t="s">
        <v>10</v>
      </c>
      <c r="E4387" t="s">
        <v>16</v>
      </c>
      <c r="F4387" t="s">
        <v>12</v>
      </c>
      <c r="G4387" t="s">
        <v>13</v>
      </c>
      <c r="H4387" t="s">
        <v>13</v>
      </c>
      <c r="I4387">
        <v>50</v>
      </c>
      <c r="J4387">
        <f>ABS((I4387-EDA!$A$15)/EDA!$B$15)</f>
        <v>0.56604295347581735</v>
      </c>
      <c r="K4387" t="str">
        <f t="shared" si="68"/>
        <v>No</v>
      </c>
      <c r="L4387">
        <f>ABS((C4387-EDA!$F$15)/EDA!$G$15)</f>
        <v>1.1677767263301264</v>
      </c>
      <c r="M4387" t="str">
        <f>IF(moras[[#This Row],[Z-Score Salario]]&gt;1.96, "Sí", "No")</f>
        <v>No</v>
      </c>
      <c r="N4387" s="14">
        <f>IF(ISBLANK(moras[[#This Row],[SALARIO]]), EDA!$M$8, moras[[#This Row],[SALARIO]])</f>
        <v>92750314</v>
      </c>
      <c r="O4387" s="14">
        <f xml:space="preserve"> IF(ISBLANK(moras[[#This Row],[EDAD]]), EDA!$E$8, moras[[#This Row],[EDAD]])</f>
        <v>50</v>
      </c>
      <c r="P4387" s="14" t="str">
        <f>IF(
    OR(ISBLANK(moras[[#This Row],[TIPO_ASEGURAMIENTO]]), moras[[#This Row],[TIPO_ASEGURAMIENTO]]=""),
    EDA!$A$32,
    moras[[#This Row],[TIPO_ASEGURAMIENTO]]
)</f>
        <v>ASALARIADO</v>
      </c>
    </row>
    <row r="4388" spans="1:16" x14ac:dyDescent="0.3">
      <c r="A4388">
        <v>4387</v>
      </c>
      <c r="B4388" t="s">
        <v>9</v>
      </c>
      <c r="C4388">
        <v>299647</v>
      </c>
      <c r="D4388" t="s">
        <v>18</v>
      </c>
      <c r="E4388" t="s">
        <v>16</v>
      </c>
      <c r="F4388" t="s">
        <v>12</v>
      </c>
      <c r="G4388" t="s">
        <v>13</v>
      </c>
      <c r="H4388" t="s">
        <v>12</v>
      </c>
      <c r="I4388">
        <v>36</v>
      </c>
      <c r="J4388">
        <f>ABS((I4388-EDA!$A$15)/EDA!$B$15)</f>
        <v>0.42201166760410774</v>
      </c>
      <c r="K4388" t="str">
        <f t="shared" si="68"/>
        <v>No</v>
      </c>
      <c r="L4388">
        <f>ABS((C4388-EDA!$F$15)/EDA!$G$15)</f>
        <v>0.37066763460334595</v>
      </c>
      <c r="M4388" t="str">
        <f>IF(moras[[#This Row],[Z-Score Salario]]&gt;1.96, "Sí", "No")</f>
        <v>No</v>
      </c>
      <c r="N4388" s="14">
        <f>IF(ISBLANK(moras[[#This Row],[SALARIO]]), EDA!$M$8, moras[[#This Row],[SALARIO]])</f>
        <v>299647</v>
      </c>
      <c r="O4388" s="14">
        <f xml:space="preserve"> IF(ISBLANK(moras[[#This Row],[EDAD]]), EDA!$E$8, moras[[#This Row],[EDAD]])</f>
        <v>36</v>
      </c>
      <c r="P4388" s="14" t="str">
        <f>IF(
    OR(ISBLANK(moras[[#This Row],[TIPO_ASEGURAMIENTO]]), moras[[#This Row],[TIPO_ASEGURAMIENTO]]=""),
    EDA!$A$32,
    moras[[#This Row],[TIPO_ASEGURAMIENTO]]
)</f>
        <v>TRABAJADOR INDEPENDIENTE</v>
      </c>
    </row>
    <row r="4389" spans="1:16" x14ac:dyDescent="0.3">
      <c r="A4389">
        <v>4388</v>
      </c>
      <c r="B4389" t="s">
        <v>9</v>
      </c>
      <c r="C4389">
        <v>967077</v>
      </c>
      <c r="D4389" t="s">
        <v>10</v>
      </c>
      <c r="E4389" t="s">
        <v>11</v>
      </c>
      <c r="F4389" t="s">
        <v>12</v>
      </c>
      <c r="G4389" t="s">
        <v>13</v>
      </c>
      <c r="H4389" t="s">
        <v>13</v>
      </c>
      <c r="I4389">
        <v>53</v>
      </c>
      <c r="J4389">
        <f>ABS((I4389-EDA!$A$15)/EDA!$B$15)</f>
        <v>0.77776894370722982</v>
      </c>
      <c r="K4389" t="str">
        <f t="shared" si="68"/>
        <v>No</v>
      </c>
      <c r="L4389">
        <f>ABS((C4389-EDA!$F$15)/EDA!$G$15)</f>
        <v>0.35956112825636821</v>
      </c>
      <c r="M4389" t="str">
        <f>IF(moras[[#This Row],[Z-Score Salario]]&gt;1.96, "Sí", "No")</f>
        <v>No</v>
      </c>
      <c r="N4389" s="14">
        <f>IF(ISBLANK(moras[[#This Row],[SALARIO]]), EDA!$M$8, moras[[#This Row],[SALARIO]])</f>
        <v>967077</v>
      </c>
      <c r="O4389" s="14">
        <f xml:space="preserve"> IF(ISBLANK(moras[[#This Row],[EDAD]]), EDA!$E$8, moras[[#This Row],[EDAD]])</f>
        <v>53</v>
      </c>
      <c r="P4389" s="14" t="str">
        <f>IF(
    OR(ISBLANK(moras[[#This Row],[TIPO_ASEGURAMIENTO]]), moras[[#This Row],[TIPO_ASEGURAMIENTO]]=""),
    EDA!$A$32,
    moras[[#This Row],[TIPO_ASEGURAMIENTO]]
)</f>
        <v>ASALARIADO</v>
      </c>
    </row>
    <row r="4390" spans="1:16" x14ac:dyDescent="0.3">
      <c r="A4390">
        <v>4389</v>
      </c>
      <c r="B4390" t="s">
        <v>9</v>
      </c>
      <c r="C4390">
        <v>326749</v>
      </c>
      <c r="D4390" t="s">
        <v>18</v>
      </c>
      <c r="E4390" t="s">
        <v>16</v>
      </c>
      <c r="F4390" t="s">
        <v>12</v>
      </c>
      <c r="G4390" t="s">
        <v>13</v>
      </c>
      <c r="H4390" t="s">
        <v>12</v>
      </c>
      <c r="I4390">
        <v>54</v>
      </c>
      <c r="J4390">
        <f>ABS((I4390-EDA!$A$15)/EDA!$B$15)</f>
        <v>0.84834427378436728</v>
      </c>
      <c r="K4390" t="str">
        <f t="shared" si="68"/>
        <v>No</v>
      </c>
      <c r="L4390">
        <f>ABS((C4390-EDA!$F$15)/EDA!$G$15)</f>
        <v>0.37021663819171358</v>
      </c>
      <c r="M4390" t="str">
        <f>IF(moras[[#This Row],[Z-Score Salario]]&gt;1.96, "Sí", "No")</f>
        <v>No</v>
      </c>
      <c r="N4390" s="14">
        <f>IF(ISBLANK(moras[[#This Row],[SALARIO]]), EDA!$M$8, moras[[#This Row],[SALARIO]])</f>
        <v>326749</v>
      </c>
      <c r="O4390" s="14">
        <f xml:space="preserve"> IF(ISBLANK(moras[[#This Row],[EDAD]]), EDA!$E$8, moras[[#This Row],[EDAD]])</f>
        <v>54</v>
      </c>
      <c r="P4390" s="14" t="str">
        <f>IF(
    OR(ISBLANK(moras[[#This Row],[TIPO_ASEGURAMIENTO]]), moras[[#This Row],[TIPO_ASEGURAMIENTO]]=""),
    EDA!$A$32,
    moras[[#This Row],[TIPO_ASEGURAMIENTO]]
)</f>
        <v>TRABAJADOR INDEPENDIENTE</v>
      </c>
    </row>
    <row r="4391" spans="1:16" x14ac:dyDescent="0.3">
      <c r="A4391">
        <v>4390</v>
      </c>
      <c r="B4391" t="s">
        <v>9</v>
      </c>
      <c r="C4391">
        <v>512287199</v>
      </c>
      <c r="D4391" t="s">
        <v>10</v>
      </c>
      <c r="E4391" t="s">
        <v>11</v>
      </c>
      <c r="F4391" t="s">
        <v>12</v>
      </c>
      <c r="G4391" t="s">
        <v>13</v>
      </c>
      <c r="H4391" t="s">
        <v>13</v>
      </c>
      <c r="I4391">
        <v>47</v>
      </c>
      <c r="J4391">
        <f>ABS((I4391-EDA!$A$15)/EDA!$B$15)</f>
        <v>0.35431696324440481</v>
      </c>
      <c r="K4391" t="str">
        <f t="shared" si="68"/>
        <v>No</v>
      </c>
      <c r="L4391">
        <f>ABS((C4391-EDA!$F$15)/EDA!$G$15)</f>
        <v>8.149166648934413</v>
      </c>
      <c r="M4391" t="str">
        <f>IF(moras[[#This Row],[Z-Score Salario]]&gt;1.96, "Sí", "No")</f>
        <v>Sí</v>
      </c>
      <c r="N4391" s="14">
        <f>IF(ISBLANK(moras[[#This Row],[SALARIO]]), EDA!$M$8, moras[[#This Row],[SALARIO]])</f>
        <v>512287199</v>
      </c>
      <c r="O4391" s="14">
        <f xml:space="preserve"> IF(ISBLANK(moras[[#This Row],[EDAD]]), EDA!$E$8, moras[[#This Row],[EDAD]])</f>
        <v>47</v>
      </c>
      <c r="P4391" s="14" t="str">
        <f>IF(
    OR(ISBLANK(moras[[#This Row],[TIPO_ASEGURAMIENTO]]), moras[[#This Row],[TIPO_ASEGURAMIENTO]]=""),
    EDA!$A$32,
    moras[[#This Row],[TIPO_ASEGURAMIENTO]]
)</f>
        <v>ASALARIADO</v>
      </c>
    </row>
    <row r="4392" spans="1:16" x14ac:dyDescent="0.3">
      <c r="A4392">
        <v>4391</v>
      </c>
      <c r="B4392" t="s">
        <v>15</v>
      </c>
      <c r="C4392">
        <v>53043405</v>
      </c>
      <c r="D4392" t="s">
        <v>10</v>
      </c>
      <c r="E4392" t="s">
        <v>16</v>
      </c>
      <c r="F4392" t="s">
        <v>12</v>
      </c>
      <c r="G4392" t="s">
        <v>13</v>
      </c>
      <c r="H4392" t="s">
        <v>13</v>
      </c>
      <c r="I4392">
        <v>25</v>
      </c>
      <c r="J4392">
        <f>ABS((I4392-EDA!$A$15)/EDA!$B$15)</f>
        <v>1.1983402984526204</v>
      </c>
      <c r="K4392" t="str">
        <f t="shared" si="68"/>
        <v>No</v>
      </c>
      <c r="L4392">
        <f>ABS((C4392-EDA!$F$15)/EDA!$G$15)</f>
        <v>0.50702573097875125</v>
      </c>
      <c r="M4392" t="str">
        <f>IF(moras[[#This Row],[Z-Score Salario]]&gt;1.96, "Sí", "No")</f>
        <v>No</v>
      </c>
      <c r="N4392" s="14">
        <f>IF(ISBLANK(moras[[#This Row],[SALARIO]]), EDA!$M$8, moras[[#This Row],[SALARIO]])</f>
        <v>53043405</v>
      </c>
      <c r="O4392" s="14">
        <f xml:space="preserve"> IF(ISBLANK(moras[[#This Row],[EDAD]]), EDA!$E$8, moras[[#This Row],[EDAD]])</f>
        <v>25</v>
      </c>
      <c r="P4392" s="14" t="str">
        <f>IF(
    OR(ISBLANK(moras[[#This Row],[TIPO_ASEGURAMIENTO]]), moras[[#This Row],[TIPO_ASEGURAMIENTO]]=""),
    EDA!$A$32,
    moras[[#This Row],[TIPO_ASEGURAMIENTO]]
)</f>
        <v>ASALARIADO</v>
      </c>
    </row>
    <row r="4393" spans="1:16" x14ac:dyDescent="0.3">
      <c r="A4393">
        <v>4392</v>
      </c>
      <c r="B4393" t="s">
        <v>9</v>
      </c>
      <c r="C4393">
        <v>182182</v>
      </c>
      <c r="D4393" t="s">
        <v>10</v>
      </c>
      <c r="E4393" t="s">
        <v>16</v>
      </c>
      <c r="F4393" t="s">
        <v>12</v>
      </c>
      <c r="G4393" t="s">
        <v>13</v>
      </c>
      <c r="H4393" t="s">
        <v>13</v>
      </c>
      <c r="I4393">
        <v>26</v>
      </c>
      <c r="J4393">
        <f>ABS((I4393-EDA!$A$15)/EDA!$B$15)</f>
        <v>1.1277649683754829</v>
      </c>
      <c r="K4393" t="str">
        <f t="shared" si="68"/>
        <v>No</v>
      </c>
      <c r="L4393">
        <f>ABS((C4393-EDA!$F$15)/EDA!$G$15)</f>
        <v>0.37262233512332221</v>
      </c>
      <c r="M4393" t="str">
        <f>IF(moras[[#This Row],[Z-Score Salario]]&gt;1.96, "Sí", "No")</f>
        <v>No</v>
      </c>
      <c r="N4393" s="14">
        <f>IF(ISBLANK(moras[[#This Row],[SALARIO]]), EDA!$M$8, moras[[#This Row],[SALARIO]])</f>
        <v>182182</v>
      </c>
      <c r="O4393" s="14">
        <f xml:space="preserve"> IF(ISBLANK(moras[[#This Row],[EDAD]]), EDA!$E$8, moras[[#This Row],[EDAD]])</f>
        <v>26</v>
      </c>
      <c r="P4393" s="14" t="str">
        <f>IF(
    OR(ISBLANK(moras[[#This Row],[TIPO_ASEGURAMIENTO]]), moras[[#This Row],[TIPO_ASEGURAMIENTO]]=""),
    EDA!$A$32,
    moras[[#This Row],[TIPO_ASEGURAMIENTO]]
)</f>
        <v>ASALARIADO</v>
      </c>
    </row>
    <row r="4394" spans="1:16" x14ac:dyDescent="0.3">
      <c r="A4394">
        <v>4393</v>
      </c>
      <c r="B4394" t="s">
        <v>9</v>
      </c>
      <c r="C4394">
        <v>27803099</v>
      </c>
      <c r="D4394" t="s">
        <v>19</v>
      </c>
      <c r="E4394" t="s">
        <v>16</v>
      </c>
      <c r="F4394" t="s">
        <v>12</v>
      </c>
      <c r="G4394" t="s">
        <v>13</v>
      </c>
      <c r="H4394" t="s">
        <v>13</v>
      </c>
      <c r="I4394">
        <v>27</v>
      </c>
      <c r="J4394">
        <f>ABS((I4394-EDA!$A$15)/EDA!$B$15)</f>
        <v>1.0571896382983452</v>
      </c>
      <c r="K4394" t="str">
        <f t="shared" si="68"/>
        <v>No</v>
      </c>
      <c r="L4394">
        <f>ABS((C4394-EDA!$F$15)/EDA!$G$15)</f>
        <v>8.7009221698885322E-2</v>
      </c>
      <c r="M4394" t="str">
        <f>IF(moras[[#This Row],[Z-Score Salario]]&gt;1.96, "Sí", "No")</f>
        <v>No</v>
      </c>
      <c r="N4394" s="14">
        <f>IF(ISBLANK(moras[[#This Row],[SALARIO]]), EDA!$M$8, moras[[#This Row],[SALARIO]])</f>
        <v>27803099</v>
      </c>
      <c r="O4394" s="14">
        <f xml:space="preserve"> IF(ISBLANK(moras[[#This Row],[EDAD]]), EDA!$E$8, moras[[#This Row],[EDAD]])</f>
        <v>27</v>
      </c>
      <c r="P4394" s="14" t="str">
        <f>IF(
    OR(ISBLANK(moras[[#This Row],[TIPO_ASEGURAMIENTO]]), moras[[#This Row],[TIPO_ASEGURAMIENTO]]=""),
    EDA!$A$32,
    moras[[#This Row],[TIPO_ASEGURAMIENTO]]
)</f>
        <v>CONVENIOS ESPECIALES DE TRABAJADORES INDEPENDIENTES</v>
      </c>
    </row>
    <row r="4395" spans="1:16" x14ac:dyDescent="0.3">
      <c r="A4395">
        <v>4394</v>
      </c>
      <c r="B4395" t="s">
        <v>15</v>
      </c>
      <c r="C4395">
        <v>302470</v>
      </c>
      <c r="D4395" t="s">
        <v>17</v>
      </c>
      <c r="E4395" t="s">
        <v>16</v>
      </c>
      <c r="F4395" t="s">
        <v>12</v>
      </c>
      <c r="G4395" t="s">
        <v>13</v>
      </c>
      <c r="H4395" t="s">
        <v>13</v>
      </c>
      <c r="I4395">
        <v>54</v>
      </c>
      <c r="J4395">
        <f>ABS((I4395-EDA!$A$15)/EDA!$B$15)</f>
        <v>0.84834427378436728</v>
      </c>
      <c r="K4395" t="str">
        <f t="shared" si="68"/>
        <v>No</v>
      </c>
      <c r="L4395">
        <f>ABS((C4395-EDA!$F$15)/EDA!$G$15)</f>
        <v>0.37062065789055582</v>
      </c>
      <c r="M4395" t="str">
        <f>IF(moras[[#This Row],[Z-Score Salario]]&gt;1.96, "Sí", "No")</f>
        <v>No</v>
      </c>
      <c r="N4395" s="14">
        <f>IF(ISBLANK(moras[[#This Row],[SALARIO]]), EDA!$M$8, moras[[#This Row],[SALARIO]])</f>
        <v>302470</v>
      </c>
      <c r="O4395" s="14">
        <f xml:space="preserve"> IF(ISBLANK(moras[[#This Row],[EDAD]]), EDA!$E$8, moras[[#This Row],[EDAD]])</f>
        <v>54</v>
      </c>
      <c r="P4395" s="14" t="str">
        <f>IF(
    OR(ISBLANK(moras[[#This Row],[TIPO_ASEGURAMIENTO]]), moras[[#This Row],[TIPO_ASEGURAMIENTO]]=""),
    EDA!$A$32,
    moras[[#This Row],[TIPO_ASEGURAMIENTO]]
)</f>
        <v>ASEGURADO VOLUNTARIO</v>
      </c>
    </row>
    <row r="4396" spans="1:16" x14ac:dyDescent="0.3">
      <c r="A4396">
        <v>4395</v>
      </c>
      <c r="B4396" t="s">
        <v>9</v>
      </c>
      <c r="C4396">
        <v>34771955</v>
      </c>
      <c r="D4396" t="s">
        <v>10</v>
      </c>
      <c r="E4396" t="s">
        <v>16</v>
      </c>
      <c r="F4396" t="s">
        <v>12</v>
      </c>
      <c r="G4396" t="s">
        <v>13</v>
      </c>
      <c r="H4396" t="s">
        <v>13</v>
      </c>
      <c r="I4396">
        <v>19</v>
      </c>
      <c r="J4396">
        <f>ABS((I4396-EDA!$A$15)/EDA!$B$15)</f>
        <v>1.6217922789154453</v>
      </c>
      <c r="K4396" t="str">
        <f t="shared" si="68"/>
        <v>No</v>
      </c>
      <c r="L4396">
        <f>ABS((C4396-EDA!$F$15)/EDA!$G$15)</f>
        <v>0.20297590493933609</v>
      </c>
      <c r="M4396" t="str">
        <f>IF(moras[[#This Row],[Z-Score Salario]]&gt;1.96, "Sí", "No")</f>
        <v>No</v>
      </c>
      <c r="N4396" s="14">
        <f>IF(ISBLANK(moras[[#This Row],[SALARIO]]), EDA!$M$8, moras[[#This Row],[SALARIO]])</f>
        <v>34771955</v>
      </c>
      <c r="O4396" s="14">
        <f xml:space="preserve"> IF(ISBLANK(moras[[#This Row],[EDAD]]), EDA!$E$8, moras[[#This Row],[EDAD]])</f>
        <v>19</v>
      </c>
      <c r="P4396" s="14" t="str">
        <f>IF(
    OR(ISBLANK(moras[[#This Row],[TIPO_ASEGURAMIENTO]]), moras[[#This Row],[TIPO_ASEGURAMIENTO]]=""),
    EDA!$A$32,
    moras[[#This Row],[TIPO_ASEGURAMIENTO]]
)</f>
        <v>ASALARIADO</v>
      </c>
    </row>
    <row r="4397" spans="1:16" x14ac:dyDescent="0.3">
      <c r="A4397">
        <v>4396</v>
      </c>
      <c r="B4397" t="s">
        <v>9</v>
      </c>
      <c r="C4397">
        <v>312000</v>
      </c>
      <c r="D4397" t="s">
        <v>10</v>
      </c>
      <c r="E4397" t="s">
        <v>16</v>
      </c>
      <c r="F4397" t="s">
        <v>12</v>
      </c>
      <c r="G4397" t="s">
        <v>13</v>
      </c>
      <c r="H4397" t="s">
        <v>12</v>
      </c>
      <c r="I4397">
        <v>64</v>
      </c>
      <c r="J4397">
        <f>ABS((I4397-EDA!$A$15)/EDA!$B$15)</f>
        <v>1.5540975745557424</v>
      </c>
      <c r="K4397" t="str">
        <f t="shared" si="68"/>
        <v>No</v>
      </c>
      <c r="L4397">
        <f>ABS((C4397-EDA!$F$15)/EDA!$G$15)</f>
        <v>0.37046207196321257</v>
      </c>
      <c r="M4397" t="str">
        <f>IF(moras[[#This Row],[Z-Score Salario]]&gt;1.96, "Sí", "No")</f>
        <v>No</v>
      </c>
      <c r="N4397" s="14">
        <f>IF(ISBLANK(moras[[#This Row],[SALARIO]]), EDA!$M$8, moras[[#This Row],[SALARIO]])</f>
        <v>312000</v>
      </c>
      <c r="O4397" s="14">
        <f xml:space="preserve"> IF(ISBLANK(moras[[#This Row],[EDAD]]), EDA!$E$8, moras[[#This Row],[EDAD]])</f>
        <v>64</v>
      </c>
      <c r="P4397" s="14" t="str">
        <f>IF(
    OR(ISBLANK(moras[[#This Row],[TIPO_ASEGURAMIENTO]]), moras[[#This Row],[TIPO_ASEGURAMIENTO]]=""),
    EDA!$A$32,
    moras[[#This Row],[TIPO_ASEGURAMIENTO]]
)</f>
        <v>ASALARIADO</v>
      </c>
    </row>
    <row r="4398" spans="1:16" x14ac:dyDescent="0.3">
      <c r="A4398">
        <v>4397</v>
      </c>
      <c r="B4398" t="s">
        <v>9</v>
      </c>
      <c r="C4398">
        <v>310124</v>
      </c>
      <c r="D4398" t="s">
        <v>18</v>
      </c>
      <c r="E4398" t="s">
        <v>16</v>
      </c>
      <c r="F4398" t="s">
        <v>12</v>
      </c>
      <c r="G4398" t="s">
        <v>13</v>
      </c>
      <c r="H4398" t="s">
        <v>13</v>
      </c>
      <c r="I4398">
        <v>43</v>
      </c>
      <c r="J4398">
        <f>ABS((I4398-EDA!$A$15)/EDA!$B$15)</f>
        <v>7.2015642935854773E-2</v>
      </c>
      <c r="K4398" t="str">
        <f t="shared" si="68"/>
        <v>No</v>
      </c>
      <c r="L4398">
        <f>ABS((C4398-EDA!$F$15)/EDA!$G$15)</f>
        <v>0.37049328992750385</v>
      </c>
      <c r="M4398" t="str">
        <f>IF(moras[[#This Row],[Z-Score Salario]]&gt;1.96, "Sí", "No")</f>
        <v>No</v>
      </c>
      <c r="N4398" s="14">
        <f>IF(ISBLANK(moras[[#This Row],[SALARIO]]), EDA!$M$8, moras[[#This Row],[SALARIO]])</f>
        <v>310124</v>
      </c>
      <c r="O4398" s="14">
        <f xml:space="preserve"> IF(ISBLANK(moras[[#This Row],[EDAD]]), EDA!$E$8, moras[[#This Row],[EDAD]])</f>
        <v>43</v>
      </c>
      <c r="P4398" s="14" t="str">
        <f>IF(
    OR(ISBLANK(moras[[#This Row],[TIPO_ASEGURAMIENTO]]), moras[[#This Row],[TIPO_ASEGURAMIENTO]]=""),
    EDA!$A$32,
    moras[[#This Row],[TIPO_ASEGURAMIENTO]]
)</f>
        <v>TRABAJADOR INDEPENDIENTE</v>
      </c>
    </row>
    <row r="4399" spans="1:16" x14ac:dyDescent="0.3">
      <c r="A4399">
        <v>4398</v>
      </c>
      <c r="B4399" t="s">
        <v>15</v>
      </c>
      <c r="C4399">
        <v>297046</v>
      </c>
      <c r="D4399" t="s">
        <v>18</v>
      </c>
      <c r="E4399" t="s">
        <v>16</v>
      </c>
      <c r="F4399" t="s">
        <v>12</v>
      </c>
      <c r="G4399" t="s">
        <v>13</v>
      </c>
      <c r="H4399" t="s">
        <v>13</v>
      </c>
      <c r="I4399">
        <v>27</v>
      </c>
      <c r="J4399">
        <f>ABS((I4399-EDA!$A$15)/EDA!$B$15)</f>
        <v>1.0571896382983452</v>
      </c>
      <c r="K4399" t="str">
        <f t="shared" si="68"/>
        <v>No</v>
      </c>
      <c r="L4399">
        <f>ABS((C4399-EDA!$F$15)/EDA!$G$15)</f>
        <v>0.37071091707942361</v>
      </c>
      <c r="M4399" t="str">
        <f>IF(moras[[#This Row],[Z-Score Salario]]&gt;1.96, "Sí", "No")</f>
        <v>No</v>
      </c>
      <c r="N4399" s="14">
        <f>IF(ISBLANK(moras[[#This Row],[SALARIO]]), EDA!$M$8, moras[[#This Row],[SALARIO]])</f>
        <v>297046</v>
      </c>
      <c r="O4399" s="14">
        <f xml:space="preserve"> IF(ISBLANK(moras[[#This Row],[EDAD]]), EDA!$E$8, moras[[#This Row],[EDAD]])</f>
        <v>27</v>
      </c>
      <c r="P4399" s="14" t="str">
        <f>IF(
    OR(ISBLANK(moras[[#This Row],[TIPO_ASEGURAMIENTO]]), moras[[#This Row],[TIPO_ASEGURAMIENTO]]=""),
    EDA!$A$32,
    moras[[#This Row],[TIPO_ASEGURAMIENTO]]
)</f>
        <v>TRABAJADOR INDEPENDIENTE</v>
      </c>
    </row>
    <row r="4400" spans="1:16" x14ac:dyDescent="0.3">
      <c r="A4400">
        <v>4399</v>
      </c>
      <c r="B4400" t="s">
        <v>9</v>
      </c>
      <c r="C4400">
        <v>403776</v>
      </c>
      <c r="D4400" t="s">
        <v>10</v>
      </c>
      <c r="E4400" t="s">
        <v>16</v>
      </c>
      <c r="F4400" t="s">
        <v>12</v>
      </c>
      <c r="G4400" t="s">
        <v>13</v>
      </c>
      <c r="H4400" t="s">
        <v>13</v>
      </c>
      <c r="I4400">
        <v>23</v>
      </c>
      <c r="J4400">
        <f>ABS((I4400-EDA!$A$15)/EDA!$B$15)</f>
        <v>1.3394909586068953</v>
      </c>
      <c r="K4400" t="str">
        <f t="shared" si="68"/>
        <v>No</v>
      </c>
      <c r="L4400">
        <f>ABS((C4400-EDA!$F$15)/EDA!$G$15)</f>
        <v>0.36893485453741476</v>
      </c>
      <c r="M4400" t="str">
        <f>IF(moras[[#This Row],[Z-Score Salario]]&gt;1.96, "Sí", "No")</f>
        <v>No</v>
      </c>
      <c r="N4400" s="14">
        <f>IF(ISBLANK(moras[[#This Row],[SALARIO]]), EDA!$M$8, moras[[#This Row],[SALARIO]])</f>
        <v>403776</v>
      </c>
      <c r="O4400" s="14">
        <f xml:space="preserve"> IF(ISBLANK(moras[[#This Row],[EDAD]]), EDA!$E$8, moras[[#This Row],[EDAD]])</f>
        <v>23</v>
      </c>
      <c r="P4400" s="14" t="str">
        <f>IF(
    OR(ISBLANK(moras[[#This Row],[TIPO_ASEGURAMIENTO]]), moras[[#This Row],[TIPO_ASEGURAMIENTO]]=""),
    EDA!$A$32,
    moras[[#This Row],[TIPO_ASEGURAMIENTO]]
)</f>
        <v>ASALARIADO</v>
      </c>
    </row>
    <row r="4401" spans="1:16" x14ac:dyDescent="0.3">
      <c r="A4401">
        <v>4400</v>
      </c>
      <c r="B4401" t="s">
        <v>15</v>
      </c>
      <c r="C4401">
        <v>1101203</v>
      </c>
      <c r="D4401" t="s">
        <v>10</v>
      </c>
      <c r="E4401" t="s">
        <v>11</v>
      </c>
      <c r="F4401" t="s">
        <v>12</v>
      </c>
      <c r="G4401" t="s">
        <v>13</v>
      </c>
      <c r="H4401" t="s">
        <v>13</v>
      </c>
      <c r="I4401">
        <v>28</v>
      </c>
      <c r="J4401">
        <f>ABS((I4401-EDA!$A$15)/EDA!$B$15)</f>
        <v>0.98661430822120777</v>
      </c>
      <c r="K4401" t="str">
        <f t="shared" si="68"/>
        <v>No</v>
      </c>
      <c r="L4401">
        <f>ABS((C4401-EDA!$F$15)/EDA!$G$15)</f>
        <v>0.35732917693518884</v>
      </c>
      <c r="M4401" t="str">
        <f>IF(moras[[#This Row],[Z-Score Salario]]&gt;1.96, "Sí", "No")</f>
        <v>No</v>
      </c>
      <c r="N4401" s="14">
        <f>IF(ISBLANK(moras[[#This Row],[SALARIO]]), EDA!$M$8, moras[[#This Row],[SALARIO]])</f>
        <v>1101203</v>
      </c>
      <c r="O4401" s="14">
        <f xml:space="preserve"> IF(ISBLANK(moras[[#This Row],[EDAD]]), EDA!$E$8, moras[[#This Row],[EDAD]])</f>
        <v>28</v>
      </c>
      <c r="P4401" s="14" t="str">
        <f>IF(
    OR(ISBLANK(moras[[#This Row],[TIPO_ASEGURAMIENTO]]), moras[[#This Row],[TIPO_ASEGURAMIENTO]]=""),
    EDA!$A$32,
    moras[[#This Row],[TIPO_ASEGURAMIENTO]]
)</f>
        <v>ASALARIADO</v>
      </c>
    </row>
    <row r="4402" spans="1:16" x14ac:dyDescent="0.3">
      <c r="A4402">
        <v>4401</v>
      </c>
      <c r="B4402" t="s">
        <v>9</v>
      </c>
      <c r="C4402">
        <v>6150175</v>
      </c>
      <c r="D4402" t="s">
        <v>10</v>
      </c>
      <c r="E4402" t="s">
        <v>11</v>
      </c>
      <c r="F4402" t="s">
        <v>12</v>
      </c>
      <c r="G4402" t="s">
        <v>13</v>
      </c>
      <c r="H4402" t="s">
        <v>13</v>
      </c>
      <c r="I4402">
        <v>44</v>
      </c>
      <c r="J4402">
        <f>ABS((I4402-EDA!$A$15)/EDA!$B$15)</f>
        <v>0.14259097301299228</v>
      </c>
      <c r="K4402" t="str">
        <f t="shared" si="68"/>
        <v>No</v>
      </c>
      <c r="L4402">
        <f>ABS((C4402-EDA!$F$15)/EDA!$G$15)</f>
        <v>0.27331071872427082</v>
      </c>
      <c r="M4402" t="str">
        <f>IF(moras[[#This Row],[Z-Score Salario]]&gt;1.96, "Sí", "No")</f>
        <v>No</v>
      </c>
      <c r="N4402" s="14">
        <f>IF(ISBLANK(moras[[#This Row],[SALARIO]]), EDA!$M$8, moras[[#This Row],[SALARIO]])</f>
        <v>6150175</v>
      </c>
      <c r="O4402" s="14">
        <f xml:space="preserve"> IF(ISBLANK(moras[[#This Row],[EDAD]]), EDA!$E$8, moras[[#This Row],[EDAD]])</f>
        <v>44</v>
      </c>
      <c r="P4402" s="14" t="str">
        <f>IF(
    OR(ISBLANK(moras[[#This Row],[TIPO_ASEGURAMIENTO]]), moras[[#This Row],[TIPO_ASEGURAMIENTO]]=""),
    EDA!$A$32,
    moras[[#This Row],[TIPO_ASEGURAMIENTO]]
)</f>
        <v>ASALARIADO</v>
      </c>
    </row>
    <row r="4403" spans="1:16" x14ac:dyDescent="0.3">
      <c r="A4403">
        <v>4402</v>
      </c>
      <c r="B4403" t="s">
        <v>15</v>
      </c>
      <c r="C4403">
        <v>639148</v>
      </c>
      <c r="D4403" t="s">
        <v>17</v>
      </c>
      <c r="E4403" t="s">
        <v>16</v>
      </c>
      <c r="F4403" t="s">
        <v>12</v>
      </c>
      <c r="G4403" t="s">
        <v>12</v>
      </c>
      <c r="H4403" t="s">
        <v>13</v>
      </c>
      <c r="I4403">
        <v>66</v>
      </c>
      <c r="J4403">
        <f>ABS((I4403-EDA!$A$15)/EDA!$B$15)</f>
        <v>1.6952482347100173</v>
      </c>
      <c r="K4403" t="str">
        <f t="shared" si="68"/>
        <v>No</v>
      </c>
      <c r="L4403">
        <f>ABS((C4403-EDA!$F$15)/EDA!$G$15)</f>
        <v>0.36501809830544912</v>
      </c>
      <c r="M4403" t="str">
        <f>IF(moras[[#This Row],[Z-Score Salario]]&gt;1.96, "Sí", "No")</f>
        <v>No</v>
      </c>
      <c r="N4403" s="14">
        <f>IF(ISBLANK(moras[[#This Row],[SALARIO]]), EDA!$M$8, moras[[#This Row],[SALARIO]])</f>
        <v>639148</v>
      </c>
      <c r="O4403" s="14">
        <f xml:space="preserve"> IF(ISBLANK(moras[[#This Row],[EDAD]]), EDA!$E$8, moras[[#This Row],[EDAD]])</f>
        <v>66</v>
      </c>
      <c r="P4403" s="14" t="str">
        <f>IF(
    OR(ISBLANK(moras[[#This Row],[TIPO_ASEGURAMIENTO]]), moras[[#This Row],[TIPO_ASEGURAMIENTO]]=""),
    EDA!$A$32,
    moras[[#This Row],[TIPO_ASEGURAMIENTO]]
)</f>
        <v>ASEGURADO VOLUNTARIO</v>
      </c>
    </row>
    <row r="4404" spans="1:16" x14ac:dyDescent="0.3">
      <c r="A4404">
        <v>4403</v>
      </c>
      <c r="B4404" t="s">
        <v>9</v>
      </c>
      <c r="C4404">
        <v>297046</v>
      </c>
      <c r="D4404" t="s">
        <v>17</v>
      </c>
      <c r="E4404" t="s">
        <v>16</v>
      </c>
      <c r="F4404" t="s">
        <v>12</v>
      </c>
      <c r="G4404" t="s">
        <v>12</v>
      </c>
      <c r="H4404" t="s">
        <v>13</v>
      </c>
      <c r="I4404">
        <v>50</v>
      </c>
      <c r="J4404">
        <f>ABS((I4404-EDA!$A$15)/EDA!$B$15)</f>
        <v>0.56604295347581735</v>
      </c>
      <c r="K4404" t="str">
        <f t="shared" si="68"/>
        <v>No</v>
      </c>
      <c r="L4404">
        <f>ABS((C4404-EDA!$F$15)/EDA!$G$15)</f>
        <v>0.37071091707942361</v>
      </c>
      <c r="M4404" t="str">
        <f>IF(moras[[#This Row],[Z-Score Salario]]&gt;1.96, "Sí", "No")</f>
        <v>No</v>
      </c>
      <c r="N4404" s="14">
        <f>IF(ISBLANK(moras[[#This Row],[SALARIO]]), EDA!$M$8, moras[[#This Row],[SALARIO]])</f>
        <v>297046</v>
      </c>
      <c r="O4404" s="14">
        <f xml:space="preserve"> IF(ISBLANK(moras[[#This Row],[EDAD]]), EDA!$E$8, moras[[#This Row],[EDAD]])</f>
        <v>50</v>
      </c>
      <c r="P4404" s="14" t="str">
        <f>IF(
    OR(ISBLANK(moras[[#This Row],[TIPO_ASEGURAMIENTO]]), moras[[#This Row],[TIPO_ASEGURAMIENTO]]=""),
    EDA!$A$32,
    moras[[#This Row],[TIPO_ASEGURAMIENTO]]
)</f>
        <v>ASEGURADO VOLUNTARIO</v>
      </c>
    </row>
    <row r="4405" spans="1:16" x14ac:dyDescent="0.3">
      <c r="A4405">
        <v>4404</v>
      </c>
      <c r="B4405" t="s">
        <v>15</v>
      </c>
      <c r="C4405">
        <v>150000</v>
      </c>
      <c r="D4405" t="s">
        <v>10</v>
      </c>
      <c r="E4405" t="s">
        <v>16</v>
      </c>
      <c r="F4405" t="s">
        <v>12</v>
      </c>
      <c r="G4405" t="s">
        <v>13</v>
      </c>
      <c r="H4405" t="s">
        <v>13</v>
      </c>
      <c r="I4405">
        <v>32</v>
      </c>
      <c r="J4405">
        <f>ABS((I4405-EDA!$A$15)/EDA!$B$15)</f>
        <v>0.70431298791265773</v>
      </c>
      <c r="K4405" t="str">
        <f t="shared" si="68"/>
        <v>No</v>
      </c>
      <c r="L4405">
        <f>ABS((C4405-EDA!$F$15)/EDA!$G$15)</f>
        <v>0.37315786632098852</v>
      </c>
      <c r="M4405" t="str">
        <f>IF(moras[[#This Row],[Z-Score Salario]]&gt;1.96, "Sí", "No")</f>
        <v>No</v>
      </c>
      <c r="N4405" s="14">
        <f>IF(ISBLANK(moras[[#This Row],[SALARIO]]), EDA!$M$8, moras[[#This Row],[SALARIO]])</f>
        <v>150000</v>
      </c>
      <c r="O4405" s="14">
        <f xml:space="preserve"> IF(ISBLANK(moras[[#This Row],[EDAD]]), EDA!$E$8, moras[[#This Row],[EDAD]])</f>
        <v>32</v>
      </c>
      <c r="P4405" s="14" t="str">
        <f>IF(
    OR(ISBLANK(moras[[#This Row],[TIPO_ASEGURAMIENTO]]), moras[[#This Row],[TIPO_ASEGURAMIENTO]]=""),
    EDA!$A$32,
    moras[[#This Row],[TIPO_ASEGURAMIENTO]]
)</f>
        <v>ASALARIADO</v>
      </c>
    </row>
    <row r="4406" spans="1:16" x14ac:dyDescent="0.3">
      <c r="A4406">
        <v>4405</v>
      </c>
      <c r="B4406" t="s">
        <v>9</v>
      </c>
      <c r="C4406">
        <v>360960</v>
      </c>
      <c r="D4406" t="s">
        <v>10</v>
      </c>
      <c r="E4406" t="s">
        <v>16</v>
      </c>
      <c r="F4406" t="s">
        <v>12</v>
      </c>
      <c r="G4406" t="s">
        <v>13</v>
      </c>
      <c r="H4406" t="s">
        <v>13</v>
      </c>
      <c r="I4406">
        <v>38</v>
      </c>
      <c r="J4406">
        <f>ABS((I4406-EDA!$A$15)/EDA!$B$15)</f>
        <v>0.28086100744983278</v>
      </c>
      <c r="K4406" t="str">
        <f t="shared" si="68"/>
        <v>No</v>
      </c>
      <c r="L4406">
        <f>ABS((C4406-EDA!$F$15)/EDA!$G$15)</f>
        <v>0.36964734300175139</v>
      </c>
      <c r="M4406" t="str">
        <f>IF(moras[[#This Row],[Z-Score Salario]]&gt;1.96, "Sí", "No")</f>
        <v>No</v>
      </c>
      <c r="N4406" s="14">
        <f>IF(ISBLANK(moras[[#This Row],[SALARIO]]), EDA!$M$8, moras[[#This Row],[SALARIO]])</f>
        <v>360960</v>
      </c>
      <c r="O4406" s="14">
        <f xml:space="preserve"> IF(ISBLANK(moras[[#This Row],[EDAD]]), EDA!$E$8, moras[[#This Row],[EDAD]])</f>
        <v>38</v>
      </c>
      <c r="P4406" s="14" t="str">
        <f>IF(
    OR(ISBLANK(moras[[#This Row],[TIPO_ASEGURAMIENTO]]), moras[[#This Row],[TIPO_ASEGURAMIENTO]]=""),
    EDA!$A$32,
    moras[[#This Row],[TIPO_ASEGURAMIENTO]]
)</f>
        <v>ASALARIADO</v>
      </c>
    </row>
    <row r="4407" spans="1:16" x14ac:dyDescent="0.3">
      <c r="A4407">
        <v>4406</v>
      </c>
      <c r="B4407" t="s">
        <v>15</v>
      </c>
      <c r="C4407">
        <v>338629</v>
      </c>
      <c r="D4407" t="s">
        <v>18</v>
      </c>
      <c r="E4407" t="s">
        <v>16</v>
      </c>
      <c r="F4407" t="s">
        <v>12</v>
      </c>
      <c r="G4407" t="s">
        <v>13</v>
      </c>
      <c r="H4407" t="s">
        <v>12</v>
      </c>
      <c r="I4407">
        <v>66</v>
      </c>
      <c r="J4407">
        <f>ABS((I4407-EDA!$A$15)/EDA!$B$15)</f>
        <v>1.6952482347100173</v>
      </c>
      <c r="K4407" t="str">
        <f t="shared" si="68"/>
        <v>No</v>
      </c>
      <c r="L4407">
        <f>ABS((C4407-EDA!$F$15)/EDA!$G$15)</f>
        <v>0.37001894660547668</v>
      </c>
      <c r="M4407" t="str">
        <f>IF(moras[[#This Row],[Z-Score Salario]]&gt;1.96, "Sí", "No")</f>
        <v>No</v>
      </c>
      <c r="N4407" s="14">
        <f>IF(ISBLANK(moras[[#This Row],[SALARIO]]), EDA!$M$8, moras[[#This Row],[SALARIO]])</f>
        <v>338629</v>
      </c>
      <c r="O4407" s="14">
        <f xml:space="preserve"> IF(ISBLANK(moras[[#This Row],[EDAD]]), EDA!$E$8, moras[[#This Row],[EDAD]])</f>
        <v>66</v>
      </c>
      <c r="P4407" s="14" t="str">
        <f>IF(
    OR(ISBLANK(moras[[#This Row],[TIPO_ASEGURAMIENTO]]), moras[[#This Row],[TIPO_ASEGURAMIENTO]]=""),
    EDA!$A$32,
    moras[[#This Row],[TIPO_ASEGURAMIENTO]]
)</f>
        <v>TRABAJADOR INDEPENDIENTE</v>
      </c>
    </row>
    <row r="4408" spans="1:16" x14ac:dyDescent="0.3">
      <c r="A4408">
        <v>4407</v>
      </c>
      <c r="B4408" t="s">
        <v>9</v>
      </c>
      <c r="C4408">
        <v>360000</v>
      </c>
      <c r="D4408" t="s">
        <v>10</v>
      </c>
      <c r="E4408" t="s">
        <v>16</v>
      </c>
      <c r="F4408" t="s">
        <v>12</v>
      </c>
      <c r="G4408" t="s">
        <v>12</v>
      </c>
      <c r="H4408" t="s">
        <v>13</v>
      </c>
      <c r="I4408">
        <v>32</v>
      </c>
      <c r="J4408">
        <f>ABS((I4408-EDA!$A$15)/EDA!$B$15)</f>
        <v>0.70431298791265773</v>
      </c>
      <c r="K4408" t="str">
        <f t="shared" si="68"/>
        <v>No</v>
      </c>
      <c r="L4408">
        <f>ABS((C4408-EDA!$F$15)/EDA!$G$15)</f>
        <v>0.36966331807942709</v>
      </c>
      <c r="M4408" t="str">
        <f>IF(moras[[#This Row],[Z-Score Salario]]&gt;1.96, "Sí", "No")</f>
        <v>No</v>
      </c>
      <c r="N4408" s="14">
        <f>IF(ISBLANK(moras[[#This Row],[SALARIO]]), EDA!$M$8, moras[[#This Row],[SALARIO]])</f>
        <v>360000</v>
      </c>
      <c r="O4408" s="14">
        <f xml:space="preserve"> IF(ISBLANK(moras[[#This Row],[EDAD]]), EDA!$E$8, moras[[#This Row],[EDAD]])</f>
        <v>32</v>
      </c>
      <c r="P4408" s="14" t="str">
        <f>IF(
    OR(ISBLANK(moras[[#This Row],[TIPO_ASEGURAMIENTO]]), moras[[#This Row],[TIPO_ASEGURAMIENTO]]=""),
    EDA!$A$32,
    moras[[#This Row],[TIPO_ASEGURAMIENTO]]
)</f>
        <v>ASALARIADO</v>
      </c>
    </row>
    <row r="4409" spans="1:16" x14ac:dyDescent="0.3">
      <c r="A4409">
        <v>4408</v>
      </c>
      <c r="B4409" t="s">
        <v>9</v>
      </c>
      <c r="C4409">
        <v>470000</v>
      </c>
      <c r="D4409" t="s">
        <v>10</v>
      </c>
      <c r="E4409" t="s">
        <v>16</v>
      </c>
      <c r="F4409" t="s">
        <v>12</v>
      </c>
      <c r="G4409" t="s">
        <v>13</v>
      </c>
      <c r="H4409" t="s">
        <v>13</v>
      </c>
      <c r="I4409">
        <v>52</v>
      </c>
      <c r="J4409">
        <f>ABS((I4409-EDA!$A$15)/EDA!$B$15)</f>
        <v>0.70719361363009237</v>
      </c>
      <c r="K4409" t="str">
        <f t="shared" si="68"/>
        <v>No</v>
      </c>
      <c r="L4409">
        <f>ABS((C4409-EDA!$F$15)/EDA!$G$15)</f>
        <v>0.36783284042908543</v>
      </c>
      <c r="M4409" t="str">
        <f>IF(moras[[#This Row],[Z-Score Salario]]&gt;1.96, "Sí", "No")</f>
        <v>No</v>
      </c>
      <c r="N4409" s="14">
        <f>IF(ISBLANK(moras[[#This Row],[SALARIO]]), EDA!$M$8, moras[[#This Row],[SALARIO]])</f>
        <v>470000</v>
      </c>
      <c r="O4409" s="14">
        <f xml:space="preserve"> IF(ISBLANK(moras[[#This Row],[EDAD]]), EDA!$E$8, moras[[#This Row],[EDAD]])</f>
        <v>52</v>
      </c>
      <c r="P4409" s="14" t="str">
        <f>IF(
    OR(ISBLANK(moras[[#This Row],[TIPO_ASEGURAMIENTO]]), moras[[#This Row],[TIPO_ASEGURAMIENTO]]=""),
    EDA!$A$32,
    moras[[#This Row],[TIPO_ASEGURAMIENTO]]
)</f>
        <v>ASALARIADO</v>
      </c>
    </row>
    <row r="4410" spans="1:16" x14ac:dyDescent="0.3">
      <c r="A4410">
        <v>4409</v>
      </c>
      <c r="B4410" t="s">
        <v>15</v>
      </c>
      <c r="C4410">
        <v>418415</v>
      </c>
      <c r="D4410" t="s">
        <v>10</v>
      </c>
      <c r="E4410" t="s">
        <v>16</v>
      </c>
      <c r="F4410" t="s">
        <v>12</v>
      </c>
      <c r="G4410" t="s">
        <v>13</v>
      </c>
      <c r="H4410" t="s">
        <v>13</v>
      </c>
      <c r="I4410">
        <v>30</v>
      </c>
      <c r="J4410">
        <f>ABS((I4410-EDA!$A$15)/EDA!$B$15)</f>
        <v>0.84546364806693275</v>
      </c>
      <c r="K4410" t="str">
        <f t="shared" si="68"/>
        <v>No</v>
      </c>
      <c r="L4410">
        <f>ABS((C4410-EDA!$F$15)/EDA!$G$15)</f>
        <v>0.36869125124356611</v>
      </c>
      <c r="M4410" t="str">
        <f>IF(moras[[#This Row],[Z-Score Salario]]&gt;1.96, "Sí", "No")</f>
        <v>No</v>
      </c>
      <c r="N4410" s="14">
        <f>IF(ISBLANK(moras[[#This Row],[SALARIO]]), EDA!$M$8, moras[[#This Row],[SALARIO]])</f>
        <v>418415</v>
      </c>
      <c r="O4410" s="14">
        <f xml:space="preserve"> IF(ISBLANK(moras[[#This Row],[EDAD]]), EDA!$E$8, moras[[#This Row],[EDAD]])</f>
        <v>30</v>
      </c>
      <c r="P4410" s="14" t="str">
        <f>IF(
    OR(ISBLANK(moras[[#This Row],[TIPO_ASEGURAMIENTO]]), moras[[#This Row],[TIPO_ASEGURAMIENTO]]=""),
    EDA!$A$32,
    moras[[#This Row],[TIPO_ASEGURAMIENTO]]
)</f>
        <v>ASALARIADO</v>
      </c>
    </row>
    <row r="4411" spans="1:16" x14ac:dyDescent="0.3">
      <c r="A4411">
        <v>4410</v>
      </c>
      <c r="B4411" t="s">
        <v>15</v>
      </c>
      <c r="C4411">
        <v>43062735</v>
      </c>
      <c r="D4411" t="s">
        <v>10</v>
      </c>
      <c r="E4411" t="s">
        <v>16</v>
      </c>
      <c r="F4411" t="s">
        <v>12</v>
      </c>
      <c r="G4411" t="s">
        <v>13</v>
      </c>
      <c r="H4411" t="s">
        <v>13</v>
      </c>
      <c r="I4411">
        <v>31</v>
      </c>
      <c r="J4411">
        <f>ABS((I4411-EDA!$A$15)/EDA!$B$15)</f>
        <v>0.77488831798979529</v>
      </c>
      <c r="K4411" t="str">
        <f t="shared" si="68"/>
        <v>No</v>
      </c>
      <c r="L4411">
        <f>ABS((C4411-EDA!$F$15)/EDA!$G$15)</f>
        <v>0.3409403367020622</v>
      </c>
      <c r="M4411" t="str">
        <f>IF(moras[[#This Row],[Z-Score Salario]]&gt;1.96, "Sí", "No")</f>
        <v>No</v>
      </c>
      <c r="N4411" s="14">
        <f>IF(ISBLANK(moras[[#This Row],[SALARIO]]), EDA!$M$8, moras[[#This Row],[SALARIO]])</f>
        <v>43062735</v>
      </c>
      <c r="O4411" s="14">
        <f xml:space="preserve"> IF(ISBLANK(moras[[#This Row],[EDAD]]), EDA!$E$8, moras[[#This Row],[EDAD]])</f>
        <v>31</v>
      </c>
      <c r="P4411" s="14" t="str">
        <f>IF(
    OR(ISBLANK(moras[[#This Row],[TIPO_ASEGURAMIENTO]]), moras[[#This Row],[TIPO_ASEGURAMIENTO]]=""),
    EDA!$A$32,
    moras[[#This Row],[TIPO_ASEGURAMIENTO]]
)</f>
        <v>ASALARIADO</v>
      </c>
    </row>
    <row r="4412" spans="1:16" x14ac:dyDescent="0.3">
      <c r="A4412">
        <v>4411</v>
      </c>
      <c r="B4412" t="s">
        <v>9</v>
      </c>
      <c r="C4412">
        <v>32539486</v>
      </c>
      <c r="D4412" t="s">
        <v>10</v>
      </c>
      <c r="E4412" t="s">
        <v>11</v>
      </c>
      <c r="F4412" t="s">
        <v>12</v>
      </c>
      <c r="G4412" t="s">
        <v>13</v>
      </c>
      <c r="H4412" t="s">
        <v>13</v>
      </c>
      <c r="I4412">
        <v>25</v>
      </c>
      <c r="J4412">
        <f>ABS((I4412-EDA!$A$15)/EDA!$B$15)</f>
        <v>1.1983402984526204</v>
      </c>
      <c r="K4412" t="str">
        <f t="shared" si="68"/>
        <v>No</v>
      </c>
      <c r="L4412">
        <f>ABS((C4412-EDA!$F$15)/EDA!$G$15)</f>
        <v>0.16582604485223917</v>
      </c>
      <c r="M4412" t="str">
        <f>IF(moras[[#This Row],[Z-Score Salario]]&gt;1.96, "Sí", "No")</f>
        <v>No</v>
      </c>
      <c r="N4412" s="14">
        <f>IF(ISBLANK(moras[[#This Row],[SALARIO]]), EDA!$M$8, moras[[#This Row],[SALARIO]])</f>
        <v>32539486</v>
      </c>
      <c r="O4412" s="14">
        <f xml:space="preserve"> IF(ISBLANK(moras[[#This Row],[EDAD]]), EDA!$E$8, moras[[#This Row],[EDAD]])</f>
        <v>25</v>
      </c>
      <c r="P4412" s="14" t="str">
        <f>IF(
    OR(ISBLANK(moras[[#This Row],[TIPO_ASEGURAMIENTO]]), moras[[#This Row],[TIPO_ASEGURAMIENTO]]=""),
    EDA!$A$32,
    moras[[#This Row],[TIPO_ASEGURAMIENTO]]
)</f>
        <v>ASALARIADO</v>
      </c>
    </row>
    <row r="4413" spans="1:16" x14ac:dyDescent="0.3">
      <c r="A4413">
        <v>4412</v>
      </c>
      <c r="B4413" t="s">
        <v>9</v>
      </c>
      <c r="C4413">
        <v>3322334</v>
      </c>
      <c r="D4413" t="s">
        <v>10</v>
      </c>
      <c r="E4413" t="s">
        <v>16</v>
      </c>
      <c r="F4413" t="s">
        <v>12</v>
      </c>
      <c r="G4413" t="s">
        <v>13</v>
      </c>
      <c r="H4413" t="s">
        <v>13</v>
      </c>
      <c r="I4413">
        <v>30</v>
      </c>
      <c r="J4413">
        <f>ABS((I4413-EDA!$A$15)/EDA!$B$15)</f>
        <v>0.84546364806693275</v>
      </c>
      <c r="K4413" t="str">
        <f t="shared" si="68"/>
        <v>No</v>
      </c>
      <c r="L4413">
        <f>ABS((C4413-EDA!$F$15)/EDA!$G$15)</f>
        <v>0.32036798917172443</v>
      </c>
      <c r="M4413" t="str">
        <f>IF(moras[[#This Row],[Z-Score Salario]]&gt;1.96, "Sí", "No")</f>
        <v>No</v>
      </c>
      <c r="N4413" s="14">
        <f>IF(ISBLANK(moras[[#This Row],[SALARIO]]), EDA!$M$8, moras[[#This Row],[SALARIO]])</f>
        <v>3322334</v>
      </c>
      <c r="O4413" s="14">
        <f xml:space="preserve"> IF(ISBLANK(moras[[#This Row],[EDAD]]), EDA!$E$8, moras[[#This Row],[EDAD]])</f>
        <v>30</v>
      </c>
      <c r="P4413" s="14" t="str">
        <f>IF(
    OR(ISBLANK(moras[[#This Row],[TIPO_ASEGURAMIENTO]]), moras[[#This Row],[TIPO_ASEGURAMIENTO]]=""),
    EDA!$A$32,
    moras[[#This Row],[TIPO_ASEGURAMIENTO]]
)</f>
        <v>ASALARIADO</v>
      </c>
    </row>
    <row r="4414" spans="1:16" x14ac:dyDescent="0.3">
      <c r="A4414">
        <v>4413</v>
      </c>
      <c r="B4414" t="s">
        <v>15</v>
      </c>
      <c r="C4414">
        <v>3772487</v>
      </c>
      <c r="D4414" t="s">
        <v>14</v>
      </c>
      <c r="E4414" t="s">
        <v>11</v>
      </c>
      <c r="F4414" t="s">
        <v>12</v>
      </c>
      <c r="G4414" t="s">
        <v>13</v>
      </c>
      <c r="H4414" t="s">
        <v>13</v>
      </c>
      <c r="I4414">
        <v>83</v>
      </c>
      <c r="J4414">
        <f>ABS((I4414-EDA!$A$15)/EDA!$B$15)</f>
        <v>2.8950288460213551</v>
      </c>
      <c r="K4414" t="str">
        <f t="shared" si="68"/>
        <v>Sí</v>
      </c>
      <c r="L4414">
        <f>ABS((C4414-EDA!$F$15)/EDA!$G$15)</f>
        <v>0.3128771254832311</v>
      </c>
      <c r="M4414" t="str">
        <f>IF(moras[[#This Row],[Z-Score Salario]]&gt;1.96, "Sí", "No")</f>
        <v>No</v>
      </c>
      <c r="N4414" s="14">
        <f>IF(ISBLANK(moras[[#This Row],[SALARIO]]), EDA!$M$8, moras[[#This Row],[SALARIO]])</f>
        <v>3772487</v>
      </c>
      <c r="O4414" s="14">
        <f xml:space="preserve"> IF(ISBLANK(moras[[#This Row],[EDAD]]), EDA!$E$8, moras[[#This Row],[EDAD]])</f>
        <v>83</v>
      </c>
      <c r="P4414" s="14" t="str">
        <f>IF(
    OR(ISBLANK(moras[[#This Row],[TIPO_ASEGURAMIENTO]]), moras[[#This Row],[TIPO_ASEGURAMIENTO]]=""),
    EDA!$A$32,
    moras[[#This Row],[TIPO_ASEGURAMIENTO]]
)</f>
        <v>PENSIONADOS EN SU PROPIO SISTEMA</v>
      </c>
    </row>
    <row r="4415" spans="1:16" x14ac:dyDescent="0.3">
      <c r="A4415">
        <v>4414</v>
      </c>
      <c r="B4415" t="s">
        <v>15</v>
      </c>
      <c r="C4415">
        <v>150000</v>
      </c>
      <c r="D4415" t="s">
        <v>10</v>
      </c>
      <c r="E4415" t="s">
        <v>16</v>
      </c>
      <c r="F4415" t="s">
        <v>12</v>
      </c>
      <c r="G4415" t="s">
        <v>12</v>
      </c>
      <c r="H4415" t="s">
        <v>13</v>
      </c>
      <c r="I4415">
        <v>40</v>
      </c>
      <c r="J4415">
        <f>ABS((I4415-EDA!$A$15)/EDA!$B$15)</f>
        <v>0.13971034729555773</v>
      </c>
      <c r="K4415" t="str">
        <f t="shared" si="68"/>
        <v>No</v>
      </c>
      <c r="L4415">
        <f>ABS((C4415-EDA!$F$15)/EDA!$G$15)</f>
        <v>0.37315786632098852</v>
      </c>
      <c r="M4415" t="str">
        <f>IF(moras[[#This Row],[Z-Score Salario]]&gt;1.96, "Sí", "No")</f>
        <v>No</v>
      </c>
      <c r="N4415" s="14">
        <f>IF(ISBLANK(moras[[#This Row],[SALARIO]]), EDA!$M$8, moras[[#This Row],[SALARIO]])</f>
        <v>150000</v>
      </c>
      <c r="O4415" s="14">
        <f xml:space="preserve"> IF(ISBLANK(moras[[#This Row],[EDAD]]), EDA!$E$8, moras[[#This Row],[EDAD]])</f>
        <v>40</v>
      </c>
      <c r="P4415" s="14" t="str">
        <f>IF(
    OR(ISBLANK(moras[[#This Row],[TIPO_ASEGURAMIENTO]]), moras[[#This Row],[TIPO_ASEGURAMIENTO]]=""),
    EDA!$A$32,
    moras[[#This Row],[TIPO_ASEGURAMIENTO]]
)</f>
        <v>ASALARIADO</v>
      </c>
    </row>
    <row r="4416" spans="1:16" x14ac:dyDescent="0.3">
      <c r="A4416">
        <v>4415</v>
      </c>
      <c r="B4416" t="s">
        <v>9</v>
      </c>
      <c r="C4416">
        <v>310544</v>
      </c>
      <c r="D4416" t="s">
        <v>18</v>
      </c>
      <c r="E4416" t="s">
        <v>16</v>
      </c>
      <c r="F4416" t="s">
        <v>12</v>
      </c>
      <c r="G4416" t="s">
        <v>12</v>
      </c>
      <c r="H4416" t="s">
        <v>12</v>
      </c>
      <c r="I4416">
        <v>66</v>
      </c>
      <c r="J4416">
        <f>ABS((I4416-EDA!$A$15)/EDA!$B$15)</f>
        <v>1.6952482347100173</v>
      </c>
      <c r="K4416" t="str">
        <f t="shared" si="68"/>
        <v>No</v>
      </c>
      <c r="L4416">
        <f>ABS((C4416-EDA!$F$15)/EDA!$G$15)</f>
        <v>0.37048630083102074</v>
      </c>
      <c r="M4416" t="str">
        <f>IF(moras[[#This Row],[Z-Score Salario]]&gt;1.96, "Sí", "No")</f>
        <v>No</v>
      </c>
      <c r="N4416" s="14">
        <f>IF(ISBLANK(moras[[#This Row],[SALARIO]]), EDA!$M$8, moras[[#This Row],[SALARIO]])</f>
        <v>310544</v>
      </c>
      <c r="O4416" s="14">
        <f xml:space="preserve"> IF(ISBLANK(moras[[#This Row],[EDAD]]), EDA!$E$8, moras[[#This Row],[EDAD]])</f>
        <v>66</v>
      </c>
      <c r="P4416" s="14" t="str">
        <f>IF(
    OR(ISBLANK(moras[[#This Row],[TIPO_ASEGURAMIENTO]]), moras[[#This Row],[TIPO_ASEGURAMIENTO]]=""),
    EDA!$A$32,
    moras[[#This Row],[TIPO_ASEGURAMIENTO]]
)</f>
        <v>TRABAJADOR INDEPENDIENTE</v>
      </c>
    </row>
    <row r="4417" spans="1:16" x14ac:dyDescent="0.3">
      <c r="A4417">
        <v>4416</v>
      </c>
      <c r="B4417" t="s">
        <v>9</v>
      </c>
      <c r="C4417">
        <v>391000</v>
      </c>
      <c r="D4417" t="s">
        <v>10</v>
      </c>
      <c r="E4417" t="s">
        <v>16</v>
      </c>
      <c r="F4417" t="s">
        <v>12</v>
      </c>
      <c r="G4417" t="s">
        <v>13</v>
      </c>
      <c r="H4417" t="s">
        <v>13</v>
      </c>
      <c r="I4417">
        <v>36</v>
      </c>
      <c r="J4417">
        <f>ABS((I4417-EDA!$A$15)/EDA!$B$15)</f>
        <v>0.42201166760410774</v>
      </c>
      <c r="K4417" t="str">
        <f t="shared" si="68"/>
        <v>No</v>
      </c>
      <c r="L4417">
        <f>ABS((C4417-EDA!$F$15)/EDA!$G$15)</f>
        <v>0.36914745619614903</v>
      </c>
      <c r="M4417" t="str">
        <f>IF(moras[[#This Row],[Z-Score Salario]]&gt;1.96, "Sí", "No")</f>
        <v>No</v>
      </c>
      <c r="N4417" s="14">
        <f>IF(ISBLANK(moras[[#This Row],[SALARIO]]), EDA!$M$8, moras[[#This Row],[SALARIO]])</f>
        <v>391000</v>
      </c>
      <c r="O4417" s="14">
        <f xml:space="preserve"> IF(ISBLANK(moras[[#This Row],[EDAD]]), EDA!$E$8, moras[[#This Row],[EDAD]])</f>
        <v>36</v>
      </c>
      <c r="P4417" s="14" t="str">
        <f>IF(
    OR(ISBLANK(moras[[#This Row],[TIPO_ASEGURAMIENTO]]), moras[[#This Row],[TIPO_ASEGURAMIENTO]]=""),
    EDA!$A$32,
    moras[[#This Row],[TIPO_ASEGURAMIENTO]]
)</f>
        <v>ASALARIADO</v>
      </c>
    </row>
    <row r="4418" spans="1:16" x14ac:dyDescent="0.3">
      <c r="A4418">
        <v>4417</v>
      </c>
      <c r="B4418" t="s">
        <v>9</v>
      </c>
      <c r="C4418">
        <v>356455</v>
      </c>
      <c r="D4418" t="s">
        <v>18</v>
      </c>
      <c r="E4418" t="s">
        <v>16</v>
      </c>
      <c r="F4418" t="s">
        <v>12</v>
      </c>
      <c r="G4418" t="s">
        <v>13</v>
      </c>
      <c r="H4418" t="s">
        <v>13</v>
      </c>
      <c r="I4418">
        <v>35</v>
      </c>
      <c r="J4418">
        <f>ABS((I4418-EDA!$A$15)/EDA!$B$15)</f>
        <v>0.49258699768124525</v>
      </c>
      <c r="K4418" t="str">
        <f t="shared" ref="K4418:K4481" si="69">IF(J4418 &gt;  1.96, "Sí","No")</f>
        <v>No</v>
      </c>
      <c r="L4418">
        <f>ABS((C4418-EDA!$F$15)/EDA!$G$15)</f>
        <v>0.36972230938188588</v>
      </c>
      <c r="M4418" t="str">
        <f>IF(moras[[#This Row],[Z-Score Salario]]&gt;1.96, "Sí", "No")</f>
        <v>No</v>
      </c>
      <c r="N4418" s="14">
        <f>IF(ISBLANK(moras[[#This Row],[SALARIO]]), EDA!$M$8, moras[[#This Row],[SALARIO]])</f>
        <v>356455</v>
      </c>
      <c r="O4418" s="14">
        <f xml:space="preserve"> IF(ISBLANK(moras[[#This Row],[EDAD]]), EDA!$E$8, moras[[#This Row],[EDAD]])</f>
        <v>35</v>
      </c>
      <c r="P4418" s="14" t="str">
        <f>IF(
    OR(ISBLANK(moras[[#This Row],[TIPO_ASEGURAMIENTO]]), moras[[#This Row],[TIPO_ASEGURAMIENTO]]=""),
    EDA!$A$32,
    moras[[#This Row],[TIPO_ASEGURAMIENTO]]
)</f>
        <v>TRABAJADOR INDEPENDIENTE</v>
      </c>
    </row>
    <row r="4419" spans="1:16" x14ac:dyDescent="0.3">
      <c r="A4419">
        <v>4418</v>
      </c>
      <c r="B4419" t="s">
        <v>9</v>
      </c>
      <c r="C4419">
        <v>639148</v>
      </c>
      <c r="D4419" t="s">
        <v>18</v>
      </c>
      <c r="E4419" t="s">
        <v>16</v>
      </c>
      <c r="F4419" t="s">
        <v>12</v>
      </c>
      <c r="G4419" t="s">
        <v>13</v>
      </c>
      <c r="H4419" t="s">
        <v>12</v>
      </c>
      <c r="I4419">
        <v>65</v>
      </c>
      <c r="J4419">
        <f>ABS((I4419-EDA!$A$15)/EDA!$B$15)</f>
        <v>1.6246729046328798</v>
      </c>
      <c r="K4419" t="str">
        <f t="shared" si="69"/>
        <v>No</v>
      </c>
      <c r="L4419">
        <f>ABS((C4419-EDA!$F$15)/EDA!$G$15)</f>
        <v>0.36501809830544912</v>
      </c>
      <c r="M4419" t="str">
        <f>IF(moras[[#This Row],[Z-Score Salario]]&gt;1.96, "Sí", "No")</f>
        <v>No</v>
      </c>
      <c r="N4419" s="14">
        <f>IF(ISBLANK(moras[[#This Row],[SALARIO]]), EDA!$M$8, moras[[#This Row],[SALARIO]])</f>
        <v>639148</v>
      </c>
      <c r="O4419" s="14">
        <f xml:space="preserve"> IF(ISBLANK(moras[[#This Row],[EDAD]]), EDA!$E$8, moras[[#This Row],[EDAD]])</f>
        <v>65</v>
      </c>
      <c r="P4419" s="14" t="str">
        <f>IF(
    OR(ISBLANK(moras[[#This Row],[TIPO_ASEGURAMIENTO]]), moras[[#This Row],[TIPO_ASEGURAMIENTO]]=""),
    EDA!$A$32,
    moras[[#This Row],[TIPO_ASEGURAMIENTO]]
)</f>
        <v>TRABAJADOR INDEPENDIENTE</v>
      </c>
    </row>
    <row r="4420" spans="1:16" x14ac:dyDescent="0.3">
      <c r="A4420">
        <v>4419</v>
      </c>
      <c r="B4420" t="s">
        <v>15</v>
      </c>
      <c r="C4420">
        <v>53466</v>
      </c>
      <c r="D4420" t="s">
        <v>10</v>
      </c>
      <c r="E4420" t="s">
        <v>11</v>
      </c>
      <c r="F4420" t="s">
        <v>12</v>
      </c>
      <c r="G4420" t="s">
        <v>13</v>
      </c>
      <c r="H4420" t="s">
        <v>13</v>
      </c>
      <c r="I4420">
        <v>59</v>
      </c>
      <c r="J4420">
        <f>ABS((I4420-EDA!$A$15)/EDA!$B$15)</f>
        <v>1.2012209241700549</v>
      </c>
      <c r="K4420" t="str">
        <f t="shared" si="69"/>
        <v>No</v>
      </c>
      <c r="L4420">
        <f>ABS((C4420-EDA!$F$15)/EDA!$G$15)</f>
        <v>0.37476426022551657</v>
      </c>
      <c r="M4420" t="str">
        <f>IF(moras[[#This Row],[Z-Score Salario]]&gt;1.96, "Sí", "No")</f>
        <v>No</v>
      </c>
      <c r="N4420" s="14">
        <f>IF(ISBLANK(moras[[#This Row],[SALARIO]]), EDA!$M$8, moras[[#This Row],[SALARIO]])</f>
        <v>53466</v>
      </c>
      <c r="O4420" s="14">
        <f xml:space="preserve"> IF(ISBLANK(moras[[#This Row],[EDAD]]), EDA!$E$8, moras[[#This Row],[EDAD]])</f>
        <v>59</v>
      </c>
      <c r="P4420" s="14" t="str">
        <f>IF(
    OR(ISBLANK(moras[[#This Row],[TIPO_ASEGURAMIENTO]]), moras[[#This Row],[TIPO_ASEGURAMIENTO]]=""),
    EDA!$A$32,
    moras[[#This Row],[TIPO_ASEGURAMIENTO]]
)</f>
        <v>ASALARIADO</v>
      </c>
    </row>
    <row r="4421" spans="1:16" x14ac:dyDescent="0.3">
      <c r="A4421">
        <v>4420</v>
      </c>
      <c r="B4421" t="s">
        <v>9</v>
      </c>
      <c r="C4421">
        <v>42303854</v>
      </c>
      <c r="D4421" t="s">
        <v>10</v>
      </c>
      <c r="E4421" t="s">
        <v>16</v>
      </c>
      <c r="F4421" t="s">
        <v>12</v>
      </c>
      <c r="G4421" t="s">
        <v>13</v>
      </c>
      <c r="H4421" t="s">
        <v>13</v>
      </c>
      <c r="I4421">
        <v>32</v>
      </c>
      <c r="J4421">
        <f>ABS((I4421-EDA!$A$15)/EDA!$B$15)</f>
        <v>0.70431298791265773</v>
      </c>
      <c r="K4421" t="str">
        <f t="shared" si="69"/>
        <v>No</v>
      </c>
      <c r="L4421">
        <f>ABS((C4421-EDA!$F$15)/EDA!$G$15)</f>
        <v>0.32831202115870811</v>
      </c>
      <c r="M4421" t="str">
        <f>IF(moras[[#This Row],[Z-Score Salario]]&gt;1.96, "Sí", "No")</f>
        <v>No</v>
      </c>
      <c r="N4421" s="14">
        <f>IF(ISBLANK(moras[[#This Row],[SALARIO]]), EDA!$M$8, moras[[#This Row],[SALARIO]])</f>
        <v>42303854</v>
      </c>
      <c r="O4421" s="14">
        <f xml:space="preserve"> IF(ISBLANK(moras[[#This Row],[EDAD]]), EDA!$E$8, moras[[#This Row],[EDAD]])</f>
        <v>32</v>
      </c>
      <c r="P4421" s="14" t="str">
        <f>IF(
    OR(ISBLANK(moras[[#This Row],[TIPO_ASEGURAMIENTO]]), moras[[#This Row],[TIPO_ASEGURAMIENTO]]=""),
    EDA!$A$32,
    moras[[#This Row],[TIPO_ASEGURAMIENTO]]
)</f>
        <v>ASALARIADO</v>
      </c>
    </row>
    <row r="4422" spans="1:16" x14ac:dyDescent="0.3">
      <c r="A4422">
        <v>4421</v>
      </c>
      <c r="B4422" t="s">
        <v>9</v>
      </c>
      <c r="C4422">
        <v>33206319</v>
      </c>
      <c r="D4422" t="s">
        <v>10</v>
      </c>
      <c r="E4422" t="s">
        <v>16</v>
      </c>
      <c r="F4422" t="s">
        <v>12</v>
      </c>
      <c r="G4422" t="s">
        <v>13</v>
      </c>
      <c r="H4422" t="s">
        <v>13</v>
      </c>
      <c r="I4422">
        <v>22</v>
      </c>
      <c r="J4422">
        <f>ABS((I4422-EDA!$A$15)/EDA!$B$15)</f>
        <v>1.4100662886840327</v>
      </c>
      <c r="K4422" t="str">
        <f t="shared" si="69"/>
        <v>No</v>
      </c>
      <c r="L4422">
        <f>ABS((C4422-EDA!$F$15)/EDA!$G$15)</f>
        <v>0.17692261669778736</v>
      </c>
      <c r="M4422" t="str">
        <f>IF(moras[[#This Row],[Z-Score Salario]]&gt;1.96, "Sí", "No")</f>
        <v>No</v>
      </c>
      <c r="N4422" s="14">
        <f>IF(ISBLANK(moras[[#This Row],[SALARIO]]), EDA!$M$8, moras[[#This Row],[SALARIO]])</f>
        <v>33206319</v>
      </c>
      <c r="O4422" s="14">
        <f xml:space="preserve"> IF(ISBLANK(moras[[#This Row],[EDAD]]), EDA!$E$8, moras[[#This Row],[EDAD]])</f>
        <v>22</v>
      </c>
      <c r="P4422" s="14" t="str">
        <f>IF(
    OR(ISBLANK(moras[[#This Row],[TIPO_ASEGURAMIENTO]]), moras[[#This Row],[TIPO_ASEGURAMIENTO]]=""),
    EDA!$A$32,
    moras[[#This Row],[TIPO_ASEGURAMIENTO]]
)</f>
        <v>ASALARIADO</v>
      </c>
    </row>
    <row r="4423" spans="1:16" x14ac:dyDescent="0.3">
      <c r="A4423">
        <v>4422</v>
      </c>
      <c r="B4423" t="s">
        <v>9</v>
      </c>
      <c r="C4423">
        <v>49146563</v>
      </c>
      <c r="D4423" t="s">
        <v>10</v>
      </c>
      <c r="E4423" t="s">
        <v>16</v>
      </c>
      <c r="F4423" t="s">
        <v>12</v>
      </c>
      <c r="G4423" t="s">
        <v>12</v>
      </c>
      <c r="H4423" t="s">
        <v>13</v>
      </c>
      <c r="I4423">
        <v>26</v>
      </c>
      <c r="J4423">
        <f>ABS((I4423-EDA!$A$15)/EDA!$B$15)</f>
        <v>1.1277649683754829</v>
      </c>
      <c r="K4423" t="str">
        <f t="shared" si="69"/>
        <v>No</v>
      </c>
      <c r="L4423">
        <f>ABS((C4423-EDA!$F$15)/EDA!$G$15)</f>
        <v>0.44217952927045295</v>
      </c>
      <c r="M4423" t="str">
        <f>IF(moras[[#This Row],[Z-Score Salario]]&gt;1.96, "Sí", "No")</f>
        <v>No</v>
      </c>
      <c r="N4423" s="14">
        <f>IF(ISBLANK(moras[[#This Row],[SALARIO]]), EDA!$M$8, moras[[#This Row],[SALARIO]])</f>
        <v>49146563</v>
      </c>
      <c r="O4423" s="14">
        <f xml:space="preserve"> IF(ISBLANK(moras[[#This Row],[EDAD]]), EDA!$E$8, moras[[#This Row],[EDAD]])</f>
        <v>26</v>
      </c>
      <c r="P4423" s="14" t="str">
        <f>IF(
    OR(ISBLANK(moras[[#This Row],[TIPO_ASEGURAMIENTO]]), moras[[#This Row],[TIPO_ASEGURAMIENTO]]=""),
    EDA!$A$32,
    moras[[#This Row],[TIPO_ASEGURAMIENTO]]
)</f>
        <v>ASALARIADO</v>
      </c>
    </row>
    <row r="4424" spans="1:16" x14ac:dyDescent="0.3">
      <c r="A4424">
        <v>4423</v>
      </c>
      <c r="B4424" t="s">
        <v>9</v>
      </c>
      <c r="C4424">
        <v>633433</v>
      </c>
      <c r="D4424" t="s">
        <v>18</v>
      </c>
      <c r="E4424" t="s">
        <v>16</v>
      </c>
      <c r="F4424" t="s">
        <v>12</v>
      </c>
      <c r="G4424" t="s">
        <v>13</v>
      </c>
      <c r="H4424" t="s">
        <v>13</v>
      </c>
      <c r="I4424">
        <v>27</v>
      </c>
      <c r="J4424">
        <f>ABS((I4424-EDA!$A$15)/EDA!$B$15)</f>
        <v>1.0571896382983452</v>
      </c>
      <c r="K4424" t="str">
        <f t="shared" si="69"/>
        <v>No</v>
      </c>
      <c r="L4424">
        <f>ABS((C4424-EDA!$F$15)/EDA!$G$15)</f>
        <v>0.36511319993973729</v>
      </c>
      <c r="M4424" t="str">
        <f>IF(moras[[#This Row],[Z-Score Salario]]&gt;1.96, "Sí", "No")</f>
        <v>No</v>
      </c>
      <c r="N4424" s="14">
        <f>IF(ISBLANK(moras[[#This Row],[SALARIO]]), EDA!$M$8, moras[[#This Row],[SALARIO]])</f>
        <v>633433</v>
      </c>
      <c r="O4424" s="14">
        <f xml:space="preserve"> IF(ISBLANK(moras[[#This Row],[EDAD]]), EDA!$E$8, moras[[#This Row],[EDAD]])</f>
        <v>27</v>
      </c>
      <c r="P4424" s="14" t="str">
        <f>IF(
    OR(ISBLANK(moras[[#This Row],[TIPO_ASEGURAMIENTO]]), moras[[#This Row],[TIPO_ASEGURAMIENTO]]=""),
    EDA!$A$32,
    moras[[#This Row],[TIPO_ASEGURAMIENTO]]
)</f>
        <v>TRABAJADOR INDEPENDIENTE</v>
      </c>
    </row>
    <row r="4425" spans="1:16" x14ac:dyDescent="0.3">
      <c r="A4425">
        <v>4424</v>
      </c>
      <c r="B4425" t="s">
        <v>15</v>
      </c>
      <c r="C4425">
        <v>1021562</v>
      </c>
      <c r="D4425" t="s">
        <v>10</v>
      </c>
      <c r="E4425" t="s">
        <v>11</v>
      </c>
      <c r="F4425" t="s">
        <v>12</v>
      </c>
      <c r="G4425" t="s">
        <v>13</v>
      </c>
      <c r="H4425" t="s">
        <v>13</v>
      </c>
      <c r="I4425">
        <v>36</v>
      </c>
      <c r="J4425">
        <f>ABS((I4425-EDA!$A$15)/EDA!$B$15)</f>
        <v>0.42201166760410774</v>
      </c>
      <c r="K4425" t="str">
        <f t="shared" si="69"/>
        <v>No</v>
      </c>
      <c r="L4425">
        <f>ABS((C4425-EDA!$F$15)/EDA!$G$15)</f>
        <v>0.35865445939474211</v>
      </c>
      <c r="M4425" t="str">
        <f>IF(moras[[#This Row],[Z-Score Salario]]&gt;1.96, "Sí", "No")</f>
        <v>No</v>
      </c>
      <c r="N4425" s="14">
        <f>IF(ISBLANK(moras[[#This Row],[SALARIO]]), EDA!$M$8, moras[[#This Row],[SALARIO]])</f>
        <v>1021562</v>
      </c>
      <c r="O4425" s="14">
        <f xml:space="preserve"> IF(ISBLANK(moras[[#This Row],[EDAD]]), EDA!$E$8, moras[[#This Row],[EDAD]])</f>
        <v>36</v>
      </c>
      <c r="P4425" s="14" t="str">
        <f>IF(
    OR(ISBLANK(moras[[#This Row],[TIPO_ASEGURAMIENTO]]), moras[[#This Row],[TIPO_ASEGURAMIENTO]]=""),
    EDA!$A$32,
    moras[[#This Row],[TIPO_ASEGURAMIENTO]]
)</f>
        <v>ASALARIADO</v>
      </c>
    </row>
    <row r="4426" spans="1:16" x14ac:dyDescent="0.3">
      <c r="A4426">
        <v>4425</v>
      </c>
      <c r="B4426" t="s">
        <v>9</v>
      </c>
      <c r="C4426">
        <v>307850</v>
      </c>
      <c r="D4426" t="s">
        <v>10</v>
      </c>
      <c r="E4426" t="s">
        <v>16</v>
      </c>
      <c r="F4426" t="s">
        <v>12</v>
      </c>
      <c r="G4426" t="s">
        <v>13</v>
      </c>
      <c r="H4426" t="s">
        <v>13</v>
      </c>
      <c r="I4426">
        <v>41</v>
      </c>
      <c r="J4426">
        <f>ABS((I4426-EDA!$A$15)/EDA!$B$15)</f>
        <v>6.9135017218420233E-2</v>
      </c>
      <c r="K4426" t="str">
        <f t="shared" si="69"/>
        <v>No</v>
      </c>
      <c r="L4426">
        <f>ABS((C4426-EDA!$F$15)/EDA!$G$15)</f>
        <v>0.3705311308927482</v>
      </c>
      <c r="M4426" t="str">
        <f>IF(moras[[#This Row],[Z-Score Salario]]&gt;1.96, "Sí", "No")</f>
        <v>No</v>
      </c>
      <c r="N4426" s="14">
        <f>IF(ISBLANK(moras[[#This Row],[SALARIO]]), EDA!$M$8, moras[[#This Row],[SALARIO]])</f>
        <v>307850</v>
      </c>
      <c r="O4426" s="14">
        <f xml:space="preserve"> IF(ISBLANK(moras[[#This Row],[EDAD]]), EDA!$E$8, moras[[#This Row],[EDAD]])</f>
        <v>41</v>
      </c>
      <c r="P4426" s="14" t="str">
        <f>IF(
    OR(ISBLANK(moras[[#This Row],[TIPO_ASEGURAMIENTO]]), moras[[#This Row],[TIPO_ASEGURAMIENTO]]=""),
    EDA!$A$32,
    moras[[#This Row],[TIPO_ASEGURAMIENTO]]
)</f>
        <v>ASALARIADO</v>
      </c>
    </row>
    <row r="4427" spans="1:16" x14ac:dyDescent="0.3">
      <c r="A4427">
        <v>4426</v>
      </c>
      <c r="B4427" t="s">
        <v>9</v>
      </c>
      <c r="C4427">
        <v>33792596</v>
      </c>
      <c r="D4427" t="s">
        <v>10</v>
      </c>
      <c r="E4427" t="s">
        <v>16</v>
      </c>
      <c r="F4427" t="s">
        <v>12</v>
      </c>
      <c r="G4427" t="s">
        <v>13</v>
      </c>
      <c r="H4427" t="s">
        <v>13</v>
      </c>
      <c r="I4427">
        <v>23</v>
      </c>
      <c r="J4427">
        <f>ABS((I4427-EDA!$A$15)/EDA!$B$15)</f>
        <v>1.3394909586068953</v>
      </c>
      <c r="K4427" t="str">
        <f t="shared" si="69"/>
        <v>No</v>
      </c>
      <c r="L4427">
        <f>ABS((C4427-EDA!$F$15)/EDA!$G$15)</f>
        <v>0.18667867983787256</v>
      </c>
      <c r="M4427" t="str">
        <f>IF(moras[[#This Row],[Z-Score Salario]]&gt;1.96, "Sí", "No")</f>
        <v>No</v>
      </c>
      <c r="N4427" s="14">
        <f>IF(ISBLANK(moras[[#This Row],[SALARIO]]), EDA!$M$8, moras[[#This Row],[SALARIO]])</f>
        <v>33792596</v>
      </c>
      <c r="O4427" s="14">
        <f xml:space="preserve"> IF(ISBLANK(moras[[#This Row],[EDAD]]), EDA!$E$8, moras[[#This Row],[EDAD]])</f>
        <v>23</v>
      </c>
      <c r="P4427" s="14" t="str">
        <f>IF(
    OR(ISBLANK(moras[[#This Row],[TIPO_ASEGURAMIENTO]]), moras[[#This Row],[TIPO_ASEGURAMIENTO]]=""),
    EDA!$A$32,
    moras[[#This Row],[TIPO_ASEGURAMIENTO]]
)</f>
        <v>ASALARIADO</v>
      </c>
    </row>
    <row r="4428" spans="1:16" x14ac:dyDescent="0.3">
      <c r="A4428">
        <v>4427</v>
      </c>
      <c r="B4428" t="s">
        <v>9</v>
      </c>
      <c r="C4428">
        <v>8840035</v>
      </c>
      <c r="D4428" t="s">
        <v>10</v>
      </c>
      <c r="E4428" t="s">
        <v>16</v>
      </c>
      <c r="F4428" t="s">
        <v>12</v>
      </c>
      <c r="G4428" t="s">
        <v>13</v>
      </c>
      <c r="H4428" t="s">
        <v>13</v>
      </c>
      <c r="I4428">
        <v>25</v>
      </c>
      <c r="J4428">
        <f>ABS((I4428-EDA!$A$15)/EDA!$B$15)</f>
        <v>1.1983402984526204</v>
      </c>
      <c r="K4428" t="str">
        <f t="shared" si="69"/>
        <v>No</v>
      </c>
      <c r="L4428">
        <f>ABS((C4428-EDA!$F$15)/EDA!$G$15)</f>
        <v>0.22854954951928813</v>
      </c>
      <c r="M4428" t="str">
        <f>IF(moras[[#This Row],[Z-Score Salario]]&gt;1.96, "Sí", "No")</f>
        <v>No</v>
      </c>
      <c r="N4428" s="14">
        <f>IF(ISBLANK(moras[[#This Row],[SALARIO]]), EDA!$M$8, moras[[#This Row],[SALARIO]])</f>
        <v>8840035</v>
      </c>
      <c r="O4428" s="14">
        <f xml:space="preserve"> IF(ISBLANK(moras[[#This Row],[EDAD]]), EDA!$E$8, moras[[#This Row],[EDAD]])</f>
        <v>25</v>
      </c>
      <c r="P4428" s="14" t="str">
        <f>IF(
    OR(ISBLANK(moras[[#This Row],[TIPO_ASEGURAMIENTO]]), moras[[#This Row],[TIPO_ASEGURAMIENTO]]=""),
    EDA!$A$32,
    moras[[#This Row],[TIPO_ASEGURAMIENTO]]
)</f>
        <v>ASALARIADO</v>
      </c>
    </row>
    <row r="4429" spans="1:16" x14ac:dyDescent="0.3">
      <c r="A4429">
        <v>4428</v>
      </c>
      <c r="B4429" t="s">
        <v>9</v>
      </c>
      <c r="C4429">
        <v>514062</v>
      </c>
      <c r="D4429" t="s">
        <v>18</v>
      </c>
      <c r="E4429" t="s">
        <v>16</v>
      </c>
      <c r="F4429" t="s">
        <v>12</v>
      </c>
      <c r="G4429" t="s">
        <v>13</v>
      </c>
      <c r="H4429" t="s">
        <v>13</v>
      </c>
      <c r="I4429">
        <v>60</v>
      </c>
      <c r="J4429">
        <f>ABS((I4429-EDA!$A$15)/EDA!$B$15)</f>
        <v>1.2717962542471923</v>
      </c>
      <c r="K4429" t="str">
        <f t="shared" si="69"/>
        <v>No</v>
      </c>
      <c r="L4429">
        <f>ABS((C4429-EDA!$F$15)/EDA!$G$15)</f>
        <v>0.36709961764518217</v>
      </c>
      <c r="M4429" t="str">
        <f>IF(moras[[#This Row],[Z-Score Salario]]&gt;1.96, "Sí", "No")</f>
        <v>No</v>
      </c>
      <c r="N4429" s="14">
        <f>IF(ISBLANK(moras[[#This Row],[SALARIO]]), EDA!$M$8, moras[[#This Row],[SALARIO]])</f>
        <v>514062</v>
      </c>
      <c r="O4429" s="14">
        <f xml:space="preserve"> IF(ISBLANK(moras[[#This Row],[EDAD]]), EDA!$E$8, moras[[#This Row],[EDAD]])</f>
        <v>60</v>
      </c>
      <c r="P4429" s="14" t="str">
        <f>IF(
    OR(ISBLANK(moras[[#This Row],[TIPO_ASEGURAMIENTO]]), moras[[#This Row],[TIPO_ASEGURAMIENTO]]=""),
    EDA!$A$32,
    moras[[#This Row],[TIPO_ASEGURAMIENTO]]
)</f>
        <v>TRABAJADOR INDEPENDIENTE</v>
      </c>
    </row>
    <row r="4430" spans="1:16" x14ac:dyDescent="0.3">
      <c r="A4430">
        <v>4429</v>
      </c>
      <c r="B4430" t="s">
        <v>9</v>
      </c>
      <c r="C4430">
        <v>724000</v>
      </c>
      <c r="D4430" t="s">
        <v>10</v>
      </c>
      <c r="E4430" t="s">
        <v>16</v>
      </c>
      <c r="F4430" t="s">
        <v>12</v>
      </c>
      <c r="G4430" t="s">
        <v>13</v>
      </c>
      <c r="H4430" t="s">
        <v>13</v>
      </c>
      <c r="I4430">
        <v>29</v>
      </c>
      <c r="J4430">
        <f>ABS((I4430-EDA!$A$15)/EDA!$B$15)</f>
        <v>0.91603897814407031</v>
      </c>
      <c r="K4430" t="str">
        <f t="shared" si="69"/>
        <v>No</v>
      </c>
      <c r="L4430">
        <f>ABS((C4430-EDA!$F$15)/EDA!$G$15)</f>
        <v>0.36360610112738734</v>
      </c>
      <c r="M4430" t="str">
        <f>IF(moras[[#This Row],[Z-Score Salario]]&gt;1.96, "Sí", "No")</f>
        <v>No</v>
      </c>
      <c r="N4430" s="14">
        <f>IF(ISBLANK(moras[[#This Row],[SALARIO]]), EDA!$M$8, moras[[#This Row],[SALARIO]])</f>
        <v>724000</v>
      </c>
      <c r="O4430" s="14">
        <f xml:space="preserve"> IF(ISBLANK(moras[[#This Row],[EDAD]]), EDA!$E$8, moras[[#This Row],[EDAD]])</f>
        <v>29</v>
      </c>
      <c r="P4430" s="14" t="str">
        <f>IF(
    OR(ISBLANK(moras[[#This Row],[TIPO_ASEGURAMIENTO]]), moras[[#This Row],[TIPO_ASEGURAMIENTO]]=""),
    EDA!$A$32,
    moras[[#This Row],[TIPO_ASEGURAMIENTO]]
)</f>
        <v>ASALARIADO</v>
      </c>
    </row>
    <row r="4431" spans="1:16" x14ac:dyDescent="0.3">
      <c r="A4431">
        <v>4430</v>
      </c>
      <c r="B4431" t="s">
        <v>9</v>
      </c>
      <c r="C4431">
        <v>297045</v>
      </c>
      <c r="D4431" t="s">
        <v>18</v>
      </c>
      <c r="E4431" t="s">
        <v>16</v>
      </c>
      <c r="F4431" t="s">
        <v>12</v>
      </c>
      <c r="G4431" t="s">
        <v>13</v>
      </c>
      <c r="H4431" t="s">
        <v>12</v>
      </c>
      <c r="I4431">
        <v>56</v>
      </c>
      <c r="J4431">
        <f>ABS((I4431-EDA!$A$15)/EDA!$B$15)</f>
        <v>0.9894949339386423</v>
      </c>
      <c r="K4431" t="str">
        <f t="shared" si="69"/>
        <v>No</v>
      </c>
      <c r="L4431">
        <f>ABS((C4431-EDA!$F$15)/EDA!$G$15)</f>
        <v>0.37071093372012948</v>
      </c>
      <c r="M4431" t="str">
        <f>IF(moras[[#This Row],[Z-Score Salario]]&gt;1.96, "Sí", "No")</f>
        <v>No</v>
      </c>
      <c r="N4431" s="14">
        <f>IF(ISBLANK(moras[[#This Row],[SALARIO]]), EDA!$M$8, moras[[#This Row],[SALARIO]])</f>
        <v>297045</v>
      </c>
      <c r="O4431" s="14">
        <f xml:space="preserve"> IF(ISBLANK(moras[[#This Row],[EDAD]]), EDA!$E$8, moras[[#This Row],[EDAD]])</f>
        <v>56</v>
      </c>
      <c r="P4431" s="14" t="str">
        <f>IF(
    OR(ISBLANK(moras[[#This Row],[TIPO_ASEGURAMIENTO]]), moras[[#This Row],[TIPO_ASEGURAMIENTO]]=""),
    EDA!$A$32,
    moras[[#This Row],[TIPO_ASEGURAMIENTO]]
)</f>
        <v>TRABAJADOR INDEPENDIENTE</v>
      </c>
    </row>
    <row r="4432" spans="1:16" x14ac:dyDescent="0.3">
      <c r="A4432">
        <v>4431</v>
      </c>
      <c r="B4432" t="s">
        <v>9</v>
      </c>
      <c r="C4432">
        <v>487739</v>
      </c>
      <c r="D4432" t="s">
        <v>18</v>
      </c>
      <c r="E4432" t="s">
        <v>16</v>
      </c>
      <c r="F4432" t="s">
        <v>12</v>
      </c>
      <c r="G4432" t="s">
        <v>13</v>
      </c>
      <c r="H4432" t="s">
        <v>12</v>
      </c>
      <c r="I4432">
        <v>45</v>
      </c>
      <c r="J4432">
        <f>ABS((I4432-EDA!$A$15)/EDA!$B$15)</f>
        <v>0.21316630309012977</v>
      </c>
      <c r="K4432" t="str">
        <f t="shared" si="69"/>
        <v>No</v>
      </c>
      <c r="L4432">
        <f>ABS((C4432-EDA!$F$15)/EDA!$G$15)</f>
        <v>0.36753765094690899</v>
      </c>
      <c r="M4432" t="str">
        <f>IF(moras[[#This Row],[Z-Score Salario]]&gt;1.96, "Sí", "No")</f>
        <v>No</v>
      </c>
      <c r="N4432" s="14">
        <f>IF(ISBLANK(moras[[#This Row],[SALARIO]]), EDA!$M$8, moras[[#This Row],[SALARIO]])</f>
        <v>487739</v>
      </c>
      <c r="O4432" s="14">
        <f xml:space="preserve"> IF(ISBLANK(moras[[#This Row],[EDAD]]), EDA!$E$8, moras[[#This Row],[EDAD]])</f>
        <v>45</v>
      </c>
      <c r="P4432" s="14" t="str">
        <f>IF(
    OR(ISBLANK(moras[[#This Row],[TIPO_ASEGURAMIENTO]]), moras[[#This Row],[TIPO_ASEGURAMIENTO]]=""),
    EDA!$A$32,
    moras[[#This Row],[TIPO_ASEGURAMIENTO]]
)</f>
        <v>TRABAJADOR INDEPENDIENTE</v>
      </c>
    </row>
    <row r="4433" spans="1:16" x14ac:dyDescent="0.3">
      <c r="A4433">
        <v>4432</v>
      </c>
      <c r="B4433" t="s">
        <v>9</v>
      </c>
      <c r="C4433">
        <v>3706096</v>
      </c>
      <c r="D4433" t="s">
        <v>10</v>
      </c>
      <c r="E4433" t="s">
        <v>16</v>
      </c>
      <c r="F4433" t="s">
        <v>12</v>
      </c>
      <c r="G4433" t="s">
        <v>12</v>
      </c>
      <c r="H4433" t="s">
        <v>13</v>
      </c>
      <c r="I4433">
        <v>59</v>
      </c>
      <c r="J4433">
        <f>ABS((I4433-EDA!$A$15)/EDA!$B$15)</f>
        <v>1.2012209241700549</v>
      </c>
      <c r="K4433" t="str">
        <f t="shared" si="69"/>
        <v>No</v>
      </c>
      <c r="L4433">
        <f>ABS((C4433-EDA!$F$15)/EDA!$G$15)</f>
        <v>0.31398191858944779</v>
      </c>
      <c r="M4433" t="str">
        <f>IF(moras[[#This Row],[Z-Score Salario]]&gt;1.96, "Sí", "No")</f>
        <v>No</v>
      </c>
      <c r="N4433" s="14">
        <f>IF(ISBLANK(moras[[#This Row],[SALARIO]]), EDA!$M$8, moras[[#This Row],[SALARIO]])</f>
        <v>3706096</v>
      </c>
      <c r="O4433" s="14">
        <f xml:space="preserve"> IF(ISBLANK(moras[[#This Row],[EDAD]]), EDA!$E$8, moras[[#This Row],[EDAD]])</f>
        <v>59</v>
      </c>
      <c r="P4433" s="14" t="str">
        <f>IF(
    OR(ISBLANK(moras[[#This Row],[TIPO_ASEGURAMIENTO]]), moras[[#This Row],[TIPO_ASEGURAMIENTO]]=""),
    EDA!$A$32,
    moras[[#This Row],[TIPO_ASEGURAMIENTO]]
)</f>
        <v>ASALARIADO</v>
      </c>
    </row>
    <row r="4434" spans="1:16" x14ac:dyDescent="0.3">
      <c r="A4434">
        <v>4433</v>
      </c>
      <c r="B4434" t="s">
        <v>9</v>
      </c>
      <c r="C4434">
        <v>287000</v>
      </c>
      <c r="D4434" t="s">
        <v>10</v>
      </c>
      <c r="E4434" t="s">
        <v>16</v>
      </c>
      <c r="F4434" t="s">
        <v>12</v>
      </c>
      <c r="G4434" t="s">
        <v>13</v>
      </c>
      <c r="H4434" t="s">
        <v>13</v>
      </c>
      <c r="I4434">
        <v>19</v>
      </c>
      <c r="J4434">
        <f>ABS((I4434-EDA!$A$15)/EDA!$B$15)</f>
        <v>1.6217922789154453</v>
      </c>
      <c r="K4434" t="str">
        <f t="shared" si="69"/>
        <v>No</v>
      </c>
      <c r="L4434">
        <f>ABS((C4434-EDA!$F$15)/EDA!$G$15)</f>
        <v>0.37087808961101754</v>
      </c>
      <c r="M4434" t="str">
        <f>IF(moras[[#This Row],[Z-Score Salario]]&gt;1.96, "Sí", "No")</f>
        <v>No</v>
      </c>
      <c r="N4434" s="14">
        <f>IF(ISBLANK(moras[[#This Row],[SALARIO]]), EDA!$M$8, moras[[#This Row],[SALARIO]])</f>
        <v>287000</v>
      </c>
      <c r="O4434" s="14">
        <f xml:space="preserve"> IF(ISBLANK(moras[[#This Row],[EDAD]]), EDA!$E$8, moras[[#This Row],[EDAD]])</f>
        <v>19</v>
      </c>
      <c r="P4434" s="14" t="str">
        <f>IF(
    OR(ISBLANK(moras[[#This Row],[TIPO_ASEGURAMIENTO]]), moras[[#This Row],[TIPO_ASEGURAMIENTO]]=""),
    EDA!$A$32,
    moras[[#This Row],[TIPO_ASEGURAMIENTO]]
)</f>
        <v>ASALARIADO</v>
      </c>
    </row>
    <row r="4435" spans="1:16" x14ac:dyDescent="0.3">
      <c r="A4435">
        <v>4434</v>
      </c>
      <c r="B4435" t="s">
        <v>15</v>
      </c>
      <c r="C4435">
        <v>50136789</v>
      </c>
      <c r="D4435" t="s">
        <v>10</v>
      </c>
      <c r="E4435" t="s">
        <v>16</v>
      </c>
      <c r="F4435" t="s">
        <v>12</v>
      </c>
      <c r="G4435" t="s">
        <v>13</v>
      </c>
      <c r="H4435" t="s">
        <v>13</v>
      </c>
      <c r="I4435">
        <v>27</v>
      </c>
      <c r="J4435">
        <f>ABS((I4435-EDA!$A$15)/EDA!$B$15)</f>
        <v>1.0571896382983452</v>
      </c>
      <c r="K4435" t="str">
        <f t="shared" si="69"/>
        <v>No</v>
      </c>
      <c r="L4435">
        <f>ABS((C4435-EDA!$F$15)/EDA!$G$15)</f>
        <v>0.4586575889230643</v>
      </c>
      <c r="M4435" t="str">
        <f>IF(moras[[#This Row],[Z-Score Salario]]&gt;1.96, "Sí", "No")</f>
        <v>No</v>
      </c>
      <c r="N4435" s="14">
        <f>IF(ISBLANK(moras[[#This Row],[SALARIO]]), EDA!$M$8, moras[[#This Row],[SALARIO]])</f>
        <v>50136789</v>
      </c>
      <c r="O4435" s="14">
        <f xml:space="preserve"> IF(ISBLANK(moras[[#This Row],[EDAD]]), EDA!$E$8, moras[[#This Row],[EDAD]])</f>
        <v>27</v>
      </c>
      <c r="P4435" s="14" t="str">
        <f>IF(
    OR(ISBLANK(moras[[#This Row],[TIPO_ASEGURAMIENTO]]), moras[[#This Row],[TIPO_ASEGURAMIENTO]]=""),
    EDA!$A$32,
    moras[[#This Row],[TIPO_ASEGURAMIENTO]]
)</f>
        <v>ASALARIADO</v>
      </c>
    </row>
    <row r="4436" spans="1:16" x14ac:dyDescent="0.3">
      <c r="A4436">
        <v>4435</v>
      </c>
      <c r="B4436" t="s">
        <v>9</v>
      </c>
      <c r="C4436">
        <v>6448944</v>
      </c>
      <c r="D4436" t="s">
        <v>10</v>
      </c>
      <c r="E4436" t="s">
        <v>16</v>
      </c>
      <c r="F4436" t="s">
        <v>12</v>
      </c>
      <c r="G4436" t="s">
        <v>13</v>
      </c>
      <c r="H4436" t="s">
        <v>13</v>
      </c>
      <c r="I4436">
        <v>37</v>
      </c>
      <c r="J4436">
        <f>ABS((I4436-EDA!$A$15)/EDA!$B$15)</f>
        <v>0.35143633752697023</v>
      </c>
      <c r="K4436" t="str">
        <f t="shared" si="69"/>
        <v>No</v>
      </c>
      <c r="L4436">
        <f>ABS((C4436-EDA!$F$15)/EDA!$G$15)</f>
        <v>0.26833899165958958</v>
      </c>
      <c r="M4436" t="str">
        <f>IF(moras[[#This Row],[Z-Score Salario]]&gt;1.96, "Sí", "No")</f>
        <v>No</v>
      </c>
      <c r="N4436" s="14">
        <f>IF(ISBLANK(moras[[#This Row],[SALARIO]]), EDA!$M$8, moras[[#This Row],[SALARIO]])</f>
        <v>6448944</v>
      </c>
      <c r="O4436" s="14">
        <f xml:space="preserve"> IF(ISBLANK(moras[[#This Row],[EDAD]]), EDA!$E$8, moras[[#This Row],[EDAD]])</f>
        <v>37</v>
      </c>
      <c r="P4436" s="14" t="str">
        <f>IF(
    OR(ISBLANK(moras[[#This Row],[TIPO_ASEGURAMIENTO]]), moras[[#This Row],[TIPO_ASEGURAMIENTO]]=""),
    EDA!$A$32,
    moras[[#This Row],[TIPO_ASEGURAMIENTO]]
)</f>
        <v>ASALARIADO</v>
      </c>
    </row>
    <row r="4437" spans="1:16" x14ac:dyDescent="0.3">
      <c r="A4437">
        <v>4436</v>
      </c>
      <c r="B4437" t="s">
        <v>15</v>
      </c>
      <c r="C4437">
        <v>27803099</v>
      </c>
      <c r="D4437" t="s">
        <v>19</v>
      </c>
      <c r="E4437" t="s">
        <v>16</v>
      </c>
      <c r="F4437" t="s">
        <v>12</v>
      </c>
      <c r="G4437" t="s">
        <v>13</v>
      </c>
      <c r="H4437" t="s">
        <v>13</v>
      </c>
      <c r="I4437">
        <v>20</v>
      </c>
      <c r="J4437">
        <f>ABS((I4437-EDA!$A$15)/EDA!$B$15)</f>
        <v>1.5512169488383079</v>
      </c>
      <c r="K4437" t="str">
        <f t="shared" si="69"/>
        <v>No</v>
      </c>
      <c r="L4437">
        <f>ABS((C4437-EDA!$F$15)/EDA!$G$15)</f>
        <v>8.7009221698885322E-2</v>
      </c>
      <c r="M4437" t="str">
        <f>IF(moras[[#This Row],[Z-Score Salario]]&gt;1.96, "Sí", "No")</f>
        <v>No</v>
      </c>
      <c r="N4437" s="14">
        <f>IF(ISBLANK(moras[[#This Row],[SALARIO]]), EDA!$M$8, moras[[#This Row],[SALARIO]])</f>
        <v>27803099</v>
      </c>
      <c r="O4437" s="14">
        <f xml:space="preserve"> IF(ISBLANK(moras[[#This Row],[EDAD]]), EDA!$E$8, moras[[#This Row],[EDAD]])</f>
        <v>20</v>
      </c>
      <c r="P4437" s="14" t="str">
        <f>IF(
    OR(ISBLANK(moras[[#This Row],[TIPO_ASEGURAMIENTO]]), moras[[#This Row],[TIPO_ASEGURAMIENTO]]=""),
    EDA!$A$32,
    moras[[#This Row],[TIPO_ASEGURAMIENTO]]
)</f>
        <v>CONVENIOS ESPECIALES DE TRABAJADORES INDEPENDIENTES</v>
      </c>
    </row>
    <row r="4438" spans="1:16" x14ac:dyDescent="0.3">
      <c r="A4438">
        <v>4437</v>
      </c>
      <c r="B4438" t="s">
        <v>15</v>
      </c>
      <c r="C4438">
        <v>327716</v>
      </c>
      <c r="D4438" t="s">
        <v>17</v>
      </c>
      <c r="E4438" t="s">
        <v>16</v>
      </c>
      <c r="F4438" t="s">
        <v>12</v>
      </c>
      <c r="G4438" t="s">
        <v>13</v>
      </c>
      <c r="H4438" t="s">
        <v>13</v>
      </c>
      <c r="I4438">
        <v>61</v>
      </c>
      <c r="J4438">
        <f>ABS((I4438-EDA!$A$15)/EDA!$B$15)</f>
        <v>1.3423715843243298</v>
      </c>
      <c r="K4438" t="str">
        <f t="shared" si="69"/>
        <v>No</v>
      </c>
      <c r="L4438">
        <f>ABS((C4438-EDA!$F$15)/EDA!$G$15)</f>
        <v>0.37020054662909652</v>
      </c>
      <c r="M4438" t="str">
        <f>IF(moras[[#This Row],[Z-Score Salario]]&gt;1.96, "Sí", "No")</f>
        <v>No</v>
      </c>
      <c r="N4438" s="14">
        <f>IF(ISBLANK(moras[[#This Row],[SALARIO]]), EDA!$M$8, moras[[#This Row],[SALARIO]])</f>
        <v>327716</v>
      </c>
      <c r="O4438" s="14">
        <f xml:space="preserve"> IF(ISBLANK(moras[[#This Row],[EDAD]]), EDA!$E$8, moras[[#This Row],[EDAD]])</f>
        <v>61</v>
      </c>
      <c r="P4438" s="14" t="str">
        <f>IF(
    OR(ISBLANK(moras[[#This Row],[TIPO_ASEGURAMIENTO]]), moras[[#This Row],[TIPO_ASEGURAMIENTO]]=""),
    EDA!$A$32,
    moras[[#This Row],[TIPO_ASEGURAMIENTO]]
)</f>
        <v>ASEGURADO VOLUNTARIO</v>
      </c>
    </row>
    <row r="4439" spans="1:16" x14ac:dyDescent="0.3">
      <c r="A4439">
        <v>4438</v>
      </c>
      <c r="B4439" t="s">
        <v>15</v>
      </c>
      <c r="C4439">
        <v>106407455</v>
      </c>
      <c r="D4439" t="s">
        <v>10</v>
      </c>
      <c r="E4439" t="s">
        <v>16</v>
      </c>
      <c r="F4439" t="s">
        <v>12</v>
      </c>
      <c r="G4439" t="s">
        <v>13</v>
      </c>
      <c r="H4439" t="s">
        <v>13</v>
      </c>
      <c r="I4439">
        <v>21</v>
      </c>
      <c r="J4439">
        <f>ABS((I4439-EDA!$A$15)/EDA!$B$15)</f>
        <v>1.4806416187611704</v>
      </c>
      <c r="K4439" t="str">
        <f t="shared" si="69"/>
        <v>No</v>
      </c>
      <c r="L4439">
        <f>ABS((C4439-EDA!$F$15)/EDA!$G$15)</f>
        <v>1.3950411933125368</v>
      </c>
      <c r="M4439" t="str">
        <f>IF(moras[[#This Row],[Z-Score Salario]]&gt;1.96, "Sí", "No")</f>
        <v>No</v>
      </c>
      <c r="N4439" s="14">
        <f>IF(ISBLANK(moras[[#This Row],[SALARIO]]), EDA!$M$8, moras[[#This Row],[SALARIO]])</f>
        <v>106407455</v>
      </c>
      <c r="O4439" s="14">
        <f xml:space="preserve"> IF(ISBLANK(moras[[#This Row],[EDAD]]), EDA!$E$8, moras[[#This Row],[EDAD]])</f>
        <v>21</v>
      </c>
      <c r="P4439" s="14" t="str">
        <f>IF(
    OR(ISBLANK(moras[[#This Row],[TIPO_ASEGURAMIENTO]]), moras[[#This Row],[TIPO_ASEGURAMIENTO]]=""),
    EDA!$A$32,
    moras[[#This Row],[TIPO_ASEGURAMIENTO]]
)</f>
        <v>ASALARIADO</v>
      </c>
    </row>
    <row r="4440" spans="1:16" x14ac:dyDescent="0.3">
      <c r="A4440">
        <v>4439</v>
      </c>
      <c r="B4440" t="s">
        <v>9</v>
      </c>
      <c r="C4440">
        <v>41920705</v>
      </c>
      <c r="D4440" t="s">
        <v>10</v>
      </c>
      <c r="E4440" t="s">
        <v>16</v>
      </c>
      <c r="F4440" t="s">
        <v>12</v>
      </c>
      <c r="G4440" t="s">
        <v>13</v>
      </c>
      <c r="H4440" t="s">
        <v>13</v>
      </c>
      <c r="I4440">
        <v>48</v>
      </c>
      <c r="J4440">
        <f>ABS((I4440-EDA!$A$15)/EDA!$B$15)</f>
        <v>0.42489229332154227</v>
      </c>
      <c r="K4440" t="str">
        <f t="shared" si="69"/>
        <v>No</v>
      </c>
      <c r="L4440">
        <f>ABS((C4440-EDA!$F$15)/EDA!$G$15)</f>
        <v>0.32193615132915565</v>
      </c>
      <c r="M4440" t="str">
        <f>IF(moras[[#This Row],[Z-Score Salario]]&gt;1.96, "Sí", "No")</f>
        <v>No</v>
      </c>
      <c r="N4440" s="14">
        <f>IF(ISBLANK(moras[[#This Row],[SALARIO]]), EDA!$M$8, moras[[#This Row],[SALARIO]])</f>
        <v>41920705</v>
      </c>
      <c r="O4440" s="14">
        <f xml:space="preserve"> IF(ISBLANK(moras[[#This Row],[EDAD]]), EDA!$E$8, moras[[#This Row],[EDAD]])</f>
        <v>48</v>
      </c>
      <c r="P4440" s="14" t="str">
        <f>IF(
    OR(ISBLANK(moras[[#This Row],[TIPO_ASEGURAMIENTO]]), moras[[#This Row],[TIPO_ASEGURAMIENTO]]=""),
    EDA!$A$32,
    moras[[#This Row],[TIPO_ASEGURAMIENTO]]
)</f>
        <v>ASALARIADO</v>
      </c>
    </row>
    <row r="4441" spans="1:16" x14ac:dyDescent="0.3">
      <c r="A4441">
        <v>4440</v>
      </c>
      <c r="B4441" t="s">
        <v>9</v>
      </c>
      <c r="C4441">
        <v>1277200</v>
      </c>
      <c r="D4441" t="s">
        <v>10</v>
      </c>
      <c r="E4441" t="s">
        <v>16</v>
      </c>
      <c r="F4441" t="s">
        <v>12</v>
      </c>
      <c r="G4441" t="s">
        <v>13</v>
      </c>
      <c r="H4441" t="s">
        <v>13</v>
      </c>
      <c r="I4441">
        <v>24</v>
      </c>
      <c r="J4441">
        <f>ABS((I4441-EDA!$A$15)/EDA!$B$15)</f>
        <v>1.2689156285297578</v>
      </c>
      <c r="K4441" t="str">
        <f t="shared" si="69"/>
        <v>No</v>
      </c>
      <c r="L4441">
        <f>ABS((C4441-EDA!$F$15)/EDA!$G$15)</f>
        <v>0.35440046261675989</v>
      </c>
      <c r="M4441" t="str">
        <f>IF(moras[[#This Row],[Z-Score Salario]]&gt;1.96, "Sí", "No")</f>
        <v>No</v>
      </c>
      <c r="N4441" s="14">
        <f>IF(ISBLANK(moras[[#This Row],[SALARIO]]), EDA!$M$8, moras[[#This Row],[SALARIO]])</f>
        <v>1277200</v>
      </c>
      <c r="O4441" s="14">
        <f xml:space="preserve"> IF(ISBLANK(moras[[#This Row],[EDAD]]), EDA!$E$8, moras[[#This Row],[EDAD]])</f>
        <v>24</v>
      </c>
      <c r="P4441" s="14" t="str">
        <f>IF(
    OR(ISBLANK(moras[[#This Row],[TIPO_ASEGURAMIENTO]]), moras[[#This Row],[TIPO_ASEGURAMIENTO]]=""),
    EDA!$A$32,
    moras[[#This Row],[TIPO_ASEGURAMIENTO]]
)</f>
        <v>ASALARIADO</v>
      </c>
    </row>
    <row r="4442" spans="1:16" x14ac:dyDescent="0.3">
      <c r="A4442">
        <v>4441</v>
      </c>
      <c r="B4442" t="s">
        <v>9</v>
      </c>
      <c r="C4442">
        <v>122891985</v>
      </c>
      <c r="D4442" t="s">
        <v>19</v>
      </c>
      <c r="E4442" t="s">
        <v>16</v>
      </c>
      <c r="F4442" t="s">
        <v>12</v>
      </c>
      <c r="G4442" t="s">
        <v>13</v>
      </c>
      <c r="H4442" t="s">
        <v>13</v>
      </c>
      <c r="I4442">
        <v>53</v>
      </c>
      <c r="J4442">
        <f>ABS((I4442-EDA!$A$15)/EDA!$B$15)</f>
        <v>0.77776894370722982</v>
      </c>
      <c r="K4442" t="str">
        <f t="shared" si="69"/>
        <v>No</v>
      </c>
      <c r="L4442">
        <f>ABS((C4442-EDA!$F$15)/EDA!$G$15)</f>
        <v>1.6693554091433285</v>
      </c>
      <c r="M4442" t="str">
        <f>IF(moras[[#This Row],[Z-Score Salario]]&gt;1.96, "Sí", "No")</f>
        <v>No</v>
      </c>
      <c r="N4442" s="14">
        <f>IF(ISBLANK(moras[[#This Row],[SALARIO]]), EDA!$M$8, moras[[#This Row],[SALARIO]])</f>
        <v>122891985</v>
      </c>
      <c r="O4442" s="14">
        <f xml:space="preserve"> IF(ISBLANK(moras[[#This Row],[EDAD]]), EDA!$E$8, moras[[#This Row],[EDAD]])</f>
        <v>53</v>
      </c>
      <c r="P4442" s="14" t="str">
        <f>IF(
    OR(ISBLANK(moras[[#This Row],[TIPO_ASEGURAMIENTO]]), moras[[#This Row],[TIPO_ASEGURAMIENTO]]=""),
    EDA!$A$32,
    moras[[#This Row],[TIPO_ASEGURAMIENTO]]
)</f>
        <v>CONVENIOS ESPECIALES DE TRABAJADORES INDEPENDIENTES</v>
      </c>
    </row>
    <row r="4443" spans="1:16" x14ac:dyDescent="0.3">
      <c r="A4443">
        <v>4442</v>
      </c>
      <c r="B4443" t="s">
        <v>9</v>
      </c>
      <c r="C4443">
        <v>144622181</v>
      </c>
      <c r="D4443" t="s">
        <v>10</v>
      </c>
      <c r="E4443" t="s">
        <v>11</v>
      </c>
      <c r="F4443" t="s">
        <v>12</v>
      </c>
      <c r="G4443" t="s">
        <v>13</v>
      </c>
      <c r="H4443" t="s">
        <v>13</v>
      </c>
      <c r="I4443">
        <v>60</v>
      </c>
      <c r="J4443">
        <f>ABS((I4443-EDA!$A$15)/EDA!$B$15)</f>
        <v>1.2717962542471923</v>
      </c>
      <c r="K4443" t="str">
        <f t="shared" si="69"/>
        <v>No</v>
      </c>
      <c r="L4443">
        <f>ABS((C4443-EDA!$F$15)/EDA!$G$15)</f>
        <v>2.0309612101937322</v>
      </c>
      <c r="M4443" t="str">
        <f>IF(moras[[#This Row],[Z-Score Salario]]&gt;1.96, "Sí", "No")</f>
        <v>Sí</v>
      </c>
      <c r="N4443" s="14">
        <f>IF(ISBLANK(moras[[#This Row],[SALARIO]]), EDA!$M$8, moras[[#This Row],[SALARIO]])</f>
        <v>144622181</v>
      </c>
      <c r="O4443" s="14">
        <f xml:space="preserve"> IF(ISBLANK(moras[[#This Row],[EDAD]]), EDA!$E$8, moras[[#This Row],[EDAD]])</f>
        <v>60</v>
      </c>
      <c r="P4443" s="14" t="str">
        <f>IF(
    OR(ISBLANK(moras[[#This Row],[TIPO_ASEGURAMIENTO]]), moras[[#This Row],[TIPO_ASEGURAMIENTO]]=""),
    EDA!$A$32,
    moras[[#This Row],[TIPO_ASEGURAMIENTO]]
)</f>
        <v>ASALARIADO</v>
      </c>
    </row>
    <row r="4444" spans="1:16" x14ac:dyDescent="0.3">
      <c r="A4444">
        <v>4443</v>
      </c>
      <c r="B4444" t="s">
        <v>9</v>
      </c>
      <c r="C4444">
        <v>270900</v>
      </c>
      <c r="D4444" t="s">
        <v>10</v>
      </c>
      <c r="E4444" t="s">
        <v>16</v>
      </c>
      <c r="F4444" t="s">
        <v>12</v>
      </c>
      <c r="G4444" t="s">
        <v>12</v>
      </c>
      <c r="H4444" t="s">
        <v>13</v>
      </c>
      <c r="I4444">
        <v>43</v>
      </c>
      <c r="J4444">
        <f>ABS((I4444-EDA!$A$15)/EDA!$B$15)</f>
        <v>7.2015642935854773E-2</v>
      </c>
      <c r="K4444" t="str">
        <f t="shared" si="69"/>
        <v>No</v>
      </c>
      <c r="L4444">
        <f>ABS((C4444-EDA!$F$15)/EDA!$G$15)</f>
        <v>0.37114600497620387</v>
      </c>
      <c r="M4444" t="str">
        <f>IF(moras[[#This Row],[Z-Score Salario]]&gt;1.96, "Sí", "No")</f>
        <v>No</v>
      </c>
      <c r="N4444" s="14">
        <f>IF(ISBLANK(moras[[#This Row],[SALARIO]]), EDA!$M$8, moras[[#This Row],[SALARIO]])</f>
        <v>270900</v>
      </c>
      <c r="O4444" s="14">
        <f xml:space="preserve"> IF(ISBLANK(moras[[#This Row],[EDAD]]), EDA!$E$8, moras[[#This Row],[EDAD]])</f>
        <v>43</v>
      </c>
      <c r="P4444" s="14" t="str">
        <f>IF(
    OR(ISBLANK(moras[[#This Row],[TIPO_ASEGURAMIENTO]]), moras[[#This Row],[TIPO_ASEGURAMIENTO]]=""),
    EDA!$A$32,
    moras[[#This Row],[TIPO_ASEGURAMIENTO]]
)</f>
        <v>ASALARIADO</v>
      </c>
    </row>
    <row r="4445" spans="1:16" x14ac:dyDescent="0.3">
      <c r="A4445">
        <v>4444</v>
      </c>
      <c r="B4445" t="s">
        <v>9</v>
      </c>
      <c r="C4445">
        <v>561517</v>
      </c>
      <c r="D4445" t="s">
        <v>10</v>
      </c>
      <c r="E4445" t="s">
        <v>11</v>
      </c>
      <c r="F4445" t="s">
        <v>12</v>
      </c>
      <c r="G4445" t="s">
        <v>13</v>
      </c>
      <c r="H4445" t="s">
        <v>13</v>
      </c>
      <c r="I4445">
        <v>42</v>
      </c>
      <c r="J4445">
        <f>ABS((I4445-EDA!$A$15)/EDA!$B$15)</f>
        <v>1.4403128587172659E-3</v>
      </c>
      <c r="K4445" t="str">
        <f t="shared" si="69"/>
        <v>No</v>
      </c>
      <c r="L4445">
        <f>ABS((C4445-EDA!$F$15)/EDA!$G$15)</f>
        <v>0.36630993294611891</v>
      </c>
      <c r="M4445" t="str">
        <f>IF(moras[[#This Row],[Z-Score Salario]]&gt;1.96, "Sí", "No")</f>
        <v>No</v>
      </c>
      <c r="N4445" s="14">
        <f>IF(ISBLANK(moras[[#This Row],[SALARIO]]), EDA!$M$8, moras[[#This Row],[SALARIO]])</f>
        <v>561517</v>
      </c>
      <c r="O4445" s="14">
        <f xml:space="preserve"> IF(ISBLANK(moras[[#This Row],[EDAD]]), EDA!$E$8, moras[[#This Row],[EDAD]])</f>
        <v>42</v>
      </c>
      <c r="P4445" s="14" t="str">
        <f>IF(
    OR(ISBLANK(moras[[#This Row],[TIPO_ASEGURAMIENTO]]), moras[[#This Row],[TIPO_ASEGURAMIENTO]]=""),
    EDA!$A$32,
    moras[[#This Row],[TIPO_ASEGURAMIENTO]]
)</f>
        <v>ASALARIADO</v>
      </c>
    </row>
    <row r="4446" spans="1:16" x14ac:dyDescent="0.3">
      <c r="A4446">
        <v>4445</v>
      </c>
      <c r="B4446" t="s">
        <v>9</v>
      </c>
      <c r="C4446">
        <v>297046</v>
      </c>
      <c r="D4446" t="s">
        <v>18</v>
      </c>
      <c r="E4446" t="s">
        <v>16</v>
      </c>
      <c r="F4446" t="s">
        <v>12</v>
      </c>
      <c r="G4446" t="s">
        <v>13</v>
      </c>
      <c r="H4446" t="s">
        <v>12</v>
      </c>
      <c r="I4446">
        <v>26</v>
      </c>
      <c r="J4446">
        <f>ABS((I4446-EDA!$A$15)/EDA!$B$15)</f>
        <v>1.1277649683754829</v>
      </c>
      <c r="K4446" t="str">
        <f t="shared" si="69"/>
        <v>No</v>
      </c>
      <c r="L4446">
        <f>ABS((C4446-EDA!$F$15)/EDA!$G$15)</f>
        <v>0.37071091707942361</v>
      </c>
      <c r="M4446" t="str">
        <f>IF(moras[[#This Row],[Z-Score Salario]]&gt;1.96, "Sí", "No")</f>
        <v>No</v>
      </c>
      <c r="N4446" s="14">
        <f>IF(ISBLANK(moras[[#This Row],[SALARIO]]), EDA!$M$8, moras[[#This Row],[SALARIO]])</f>
        <v>297046</v>
      </c>
      <c r="O4446" s="14">
        <f xml:space="preserve"> IF(ISBLANK(moras[[#This Row],[EDAD]]), EDA!$E$8, moras[[#This Row],[EDAD]])</f>
        <v>26</v>
      </c>
      <c r="P4446" s="14" t="str">
        <f>IF(
    OR(ISBLANK(moras[[#This Row],[TIPO_ASEGURAMIENTO]]), moras[[#This Row],[TIPO_ASEGURAMIENTO]]=""),
    EDA!$A$32,
    moras[[#This Row],[TIPO_ASEGURAMIENTO]]
)</f>
        <v>TRABAJADOR INDEPENDIENTE</v>
      </c>
    </row>
    <row r="4447" spans="1:16" x14ac:dyDescent="0.3">
      <c r="A4447">
        <v>4446</v>
      </c>
      <c r="B4447" t="s">
        <v>9</v>
      </c>
      <c r="C4447">
        <v>278030</v>
      </c>
      <c r="D4447" t="s">
        <v>18</v>
      </c>
      <c r="E4447" t="s">
        <v>16</v>
      </c>
      <c r="F4447" t="s">
        <v>12</v>
      </c>
      <c r="G4447" t="s">
        <v>13</v>
      </c>
      <c r="H4447" t="s">
        <v>13</v>
      </c>
      <c r="I4447">
        <v>29</v>
      </c>
      <c r="J4447">
        <f>ABS((I4447-EDA!$A$15)/EDA!$B$15)</f>
        <v>0.91603897814407031</v>
      </c>
      <c r="K4447" t="str">
        <f t="shared" si="69"/>
        <v>No</v>
      </c>
      <c r="L4447">
        <f>ABS((C4447-EDA!$F$15)/EDA!$G$15)</f>
        <v>0.37102735674304993</v>
      </c>
      <c r="M4447" t="str">
        <f>IF(moras[[#This Row],[Z-Score Salario]]&gt;1.96, "Sí", "No")</f>
        <v>No</v>
      </c>
      <c r="N4447" s="14">
        <f>IF(ISBLANK(moras[[#This Row],[SALARIO]]), EDA!$M$8, moras[[#This Row],[SALARIO]])</f>
        <v>278030</v>
      </c>
      <c r="O4447" s="14">
        <f xml:space="preserve"> IF(ISBLANK(moras[[#This Row],[EDAD]]), EDA!$E$8, moras[[#This Row],[EDAD]])</f>
        <v>29</v>
      </c>
      <c r="P4447" s="14" t="str">
        <f>IF(
    OR(ISBLANK(moras[[#This Row],[TIPO_ASEGURAMIENTO]]), moras[[#This Row],[TIPO_ASEGURAMIENTO]]=""),
    EDA!$A$32,
    moras[[#This Row],[TIPO_ASEGURAMIENTO]]
)</f>
        <v>TRABAJADOR INDEPENDIENTE</v>
      </c>
    </row>
    <row r="4448" spans="1:16" x14ac:dyDescent="0.3">
      <c r="A4448">
        <v>4447</v>
      </c>
      <c r="B4448" t="s">
        <v>9</v>
      </c>
      <c r="C4448">
        <v>88587744</v>
      </c>
      <c r="D4448" t="s">
        <v>10</v>
      </c>
      <c r="E4448" t="s">
        <v>16</v>
      </c>
      <c r="F4448" t="s">
        <v>12</v>
      </c>
      <c r="G4448" t="s">
        <v>13</v>
      </c>
      <c r="H4448" t="s">
        <v>13</v>
      </c>
      <c r="I4448">
        <v>31</v>
      </c>
      <c r="J4448">
        <f>ABS((I4448-EDA!$A$15)/EDA!$B$15)</f>
        <v>0.77488831798979529</v>
      </c>
      <c r="K4448" t="str">
        <f t="shared" si="69"/>
        <v>No</v>
      </c>
      <c r="L4448">
        <f>ABS((C4448-EDA!$F$15)/EDA!$G$15)</f>
        <v>1.0985086231211918</v>
      </c>
      <c r="M4448" t="str">
        <f>IF(moras[[#This Row],[Z-Score Salario]]&gt;1.96, "Sí", "No")</f>
        <v>No</v>
      </c>
      <c r="N4448" s="14">
        <f>IF(ISBLANK(moras[[#This Row],[SALARIO]]), EDA!$M$8, moras[[#This Row],[SALARIO]])</f>
        <v>88587744</v>
      </c>
      <c r="O4448" s="14">
        <f xml:space="preserve"> IF(ISBLANK(moras[[#This Row],[EDAD]]), EDA!$E$8, moras[[#This Row],[EDAD]])</f>
        <v>31</v>
      </c>
      <c r="P4448" s="14" t="str">
        <f>IF(
    OR(ISBLANK(moras[[#This Row],[TIPO_ASEGURAMIENTO]]), moras[[#This Row],[TIPO_ASEGURAMIENTO]]=""),
    EDA!$A$32,
    moras[[#This Row],[TIPO_ASEGURAMIENTO]]
)</f>
        <v>ASALARIADO</v>
      </c>
    </row>
    <row r="4449" spans="1:16" x14ac:dyDescent="0.3">
      <c r="A4449">
        <v>4448</v>
      </c>
      <c r="B4449" t="s">
        <v>9</v>
      </c>
      <c r="C4449">
        <v>597978</v>
      </c>
      <c r="D4449" t="s">
        <v>10</v>
      </c>
      <c r="E4449" t="s">
        <v>16</v>
      </c>
      <c r="F4449" t="s">
        <v>12</v>
      </c>
      <c r="G4449" t="s">
        <v>13</v>
      </c>
      <c r="H4449" t="s">
        <v>13</v>
      </c>
      <c r="I4449">
        <v>41</v>
      </c>
      <c r="J4449">
        <f>ABS((I4449-EDA!$A$15)/EDA!$B$15)</f>
        <v>6.9135017218420233E-2</v>
      </c>
      <c r="K4449" t="str">
        <f t="shared" si="69"/>
        <v>No</v>
      </c>
      <c r="L4449">
        <f>ABS((C4449-EDA!$F$15)/EDA!$G$15)</f>
        <v>0.36570319616785424</v>
      </c>
      <c r="M4449" t="str">
        <f>IF(moras[[#This Row],[Z-Score Salario]]&gt;1.96, "Sí", "No")</f>
        <v>No</v>
      </c>
      <c r="N4449" s="14">
        <f>IF(ISBLANK(moras[[#This Row],[SALARIO]]), EDA!$M$8, moras[[#This Row],[SALARIO]])</f>
        <v>597978</v>
      </c>
      <c r="O4449" s="14">
        <f xml:space="preserve"> IF(ISBLANK(moras[[#This Row],[EDAD]]), EDA!$E$8, moras[[#This Row],[EDAD]])</f>
        <v>41</v>
      </c>
      <c r="P4449" s="14" t="str">
        <f>IF(
    OR(ISBLANK(moras[[#This Row],[TIPO_ASEGURAMIENTO]]), moras[[#This Row],[TIPO_ASEGURAMIENTO]]=""),
    EDA!$A$32,
    moras[[#This Row],[TIPO_ASEGURAMIENTO]]
)</f>
        <v>ASALARIADO</v>
      </c>
    </row>
    <row r="4450" spans="1:16" x14ac:dyDescent="0.3">
      <c r="A4450">
        <v>4449</v>
      </c>
      <c r="B4450" t="s">
        <v>15</v>
      </c>
      <c r="C4450">
        <v>322634</v>
      </c>
      <c r="D4450" t="s">
        <v>17</v>
      </c>
      <c r="E4450" t="s">
        <v>16</v>
      </c>
      <c r="F4450" t="s">
        <v>12</v>
      </c>
      <c r="G4450" t="s">
        <v>13</v>
      </c>
      <c r="H4450" t="s">
        <v>13</v>
      </c>
      <c r="I4450">
        <v>79</v>
      </c>
      <c r="J4450">
        <f>ABS((I4450-EDA!$A$15)/EDA!$B$15)</f>
        <v>2.6127275257128049</v>
      </c>
      <c r="K4450" t="str">
        <f t="shared" si="69"/>
        <v>Sí</v>
      </c>
      <c r="L4450">
        <f>ABS((C4450-EDA!$F$15)/EDA!$G$15)</f>
        <v>0.37028511469654229</v>
      </c>
      <c r="M4450" t="str">
        <f>IF(moras[[#This Row],[Z-Score Salario]]&gt;1.96, "Sí", "No")</f>
        <v>No</v>
      </c>
      <c r="N4450" s="14">
        <f>IF(ISBLANK(moras[[#This Row],[SALARIO]]), EDA!$M$8, moras[[#This Row],[SALARIO]])</f>
        <v>322634</v>
      </c>
      <c r="O4450" s="14">
        <f xml:space="preserve"> IF(ISBLANK(moras[[#This Row],[EDAD]]), EDA!$E$8, moras[[#This Row],[EDAD]])</f>
        <v>79</v>
      </c>
      <c r="P4450" s="14" t="str">
        <f>IF(
    OR(ISBLANK(moras[[#This Row],[TIPO_ASEGURAMIENTO]]), moras[[#This Row],[TIPO_ASEGURAMIENTO]]=""),
    EDA!$A$32,
    moras[[#This Row],[TIPO_ASEGURAMIENTO]]
)</f>
        <v>ASEGURADO VOLUNTARIO</v>
      </c>
    </row>
    <row r="4451" spans="1:16" x14ac:dyDescent="0.3">
      <c r="A4451">
        <v>4450</v>
      </c>
      <c r="B4451" t="s">
        <v>9</v>
      </c>
      <c r="C4451">
        <v>68046353</v>
      </c>
      <c r="D4451" t="s">
        <v>10</v>
      </c>
      <c r="E4451" t="s">
        <v>16</v>
      </c>
      <c r="F4451" t="s">
        <v>12</v>
      </c>
      <c r="G4451" t="s">
        <v>13</v>
      </c>
      <c r="H4451" t="s">
        <v>13</v>
      </c>
      <c r="I4451">
        <v>21</v>
      </c>
      <c r="J4451">
        <f>ABS((I4451-EDA!$A$15)/EDA!$B$15)</f>
        <v>1.4806416187611704</v>
      </c>
      <c r="K4451" t="str">
        <f t="shared" si="69"/>
        <v>No</v>
      </c>
      <c r="L4451">
        <f>ABS((C4451-EDA!$F$15)/EDA!$G$15)</f>
        <v>0.75668537646273804</v>
      </c>
      <c r="M4451" t="str">
        <f>IF(moras[[#This Row],[Z-Score Salario]]&gt;1.96, "Sí", "No")</f>
        <v>No</v>
      </c>
      <c r="N4451" s="14">
        <f>IF(ISBLANK(moras[[#This Row],[SALARIO]]), EDA!$M$8, moras[[#This Row],[SALARIO]])</f>
        <v>68046353</v>
      </c>
      <c r="O4451" s="14">
        <f xml:space="preserve"> IF(ISBLANK(moras[[#This Row],[EDAD]]), EDA!$E$8, moras[[#This Row],[EDAD]])</f>
        <v>21</v>
      </c>
      <c r="P4451" s="14" t="str">
        <f>IF(
    OR(ISBLANK(moras[[#This Row],[TIPO_ASEGURAMIENTO]]), moras[[#This Row],[TIPO_ASEGURAMIENTO]]=""),
    EDA!$A$32,
    moras[[#This Row],[TIPO_ASEGURAMIENTO]]
)</f>
        <v>ASALARIADO</v>
      </c>
    </row>
    <row r="4452" spans="1:16" x14ac:dyDescent="0.3">
      <c r="A4452">
        <v>4451</v>
      </c>
      <c r="B4452" t="s">
        <v>9</v>
      </c>
      <c r="C4452">
        <v>35859515</v>
      </c>
      <c r="D4452" t="s">
        <v>10</v>
      </c>
      <c r="E4452" t="s">
        <v>16</v>
      </c>
      <c r="F4452" t="s">
        <v>12</v>
      </c>
      <c r="G4452" t="s">
        <v>13</v>
      </c>
      <c r="H4452" t="s">
        <v>13</v>
      </c>
      <c r="I4452">
        <v>21</v>
      </c>
      <c r="J4452">
        <f>ABS((I4452-EDA!$A$15)/EDA!$B$15)</f>
        <v>1.4806416187611704</v>
      </c>
      <c r="K4452" t="str">
        <f t="shared" si="69"/>
        <v>No</v>
      </c>
      <c r="L4452">
        <f>ABS((C4452-EDA!$F$15)/EDA!$G$15)</f>
        <v>0.22107367106120526</v>
      </c>
      <c r="M4452" t="str">
        <f>IF(moras[[#This Row],[Z-Score Salario]]&gt;1.96, "Sí", "No")</f>
        <v>No</v>
      </c>
      <c r="N4452" s="14">
        <f>IF(ISBLANK(moras[[#This Row],[SALARIO]]), EDA!$M$8, moras[[#This Row],[SALARIO]])</f>
        <v>35859515</v>
      </c>
      <c r="O4452" s="14">
        <f xml:space="preserve"> IF(ISBLANK(moras[[#This Row],[EDAD]]), EDA!$E$8, moras[[#This Row],[EDAD]])</f>
        <v>21</v>
      </c>
      <c r="P4452" s="14" t="str">
        <f>IF(
    OR(ISBLANK(moras[[#This Row],[TIPO_ASEGURAMIENTO]]), moras[[#This Row],[TIPO_ASEGURAMIENTO]]=""),
    EDA!$A$32,
    moras[[#This Row],[TIPO_ASEGURAMIENTO]]
)</f>
        <v>ASALARIADO</v>
      </c>
    </row>
    <row r="4453" spans="1:16" x14ac:dyDescent="0.3">
      <c r="A4453">
        <v>4452</v>
      </c>
      <c r="B4453" t="s">
        <v>9</v>
      </c>
      <c r="C4453">
        <v>35878406</v>
      </c>
      <c r="D4453" t="s">
        <v>10</v>
      </c>
      <c r="E4453" t="s">
        <v>16</v>
      </c>
      <c r="F4453" t="s">
        <v>12</v>
      </c>
      <c r="G4453" t="s">
        <v>12</v>
      </c>
      <c r="H4453" t="s">
        <v>13</v>
      </c>
      <c r="I4453">
        <v>40</v>
      </c>
      <c r="J4453">
        <f>ABS((I4453-EDA!$A$15)/EDA!$B$15)</f>
        <v>0.13971034729555773</v>
      </c>
      <c r="K4453" t="str">
        <f t="shared" si="69"/>
        <v>No</v>
      </c>
      <c r="L4453">
        <f>ABS((C4453-EDA!$F$15)/EDA!$G$15)</f>
        <v>0.22138803063659257</v>
      </c>
      <c r="M4453" t="str">
        <f>IF(moras[[#This Row],[Z-Score Salario]]&gt;1.96, "Sí", "No")</f>
        <v>No</v>
      </c>
      <c r="N4453" s="14">
        <f>IF(ISBLANK(moras[[#This Row],[SALARIO]]), EDA!$M$8, moras[[#This Row],[SALARIO]])</f>
        <v>35878406</v>
      </c>
      <c r="O4453" s="14">
        <f xml:space="preserve"> IF(ISBLANK(moras[[#This Row],[EDAD]]), EDA!$E$8, moras[[#This Row],[EDAD]])</f>
        <v>40</v>
      </c>
      <c r="P4453" s="14" t="str">
        <f>IF(
    OR(ISBLANK(moras[[#This Row],[TIPO_ASEGURAMIENTO]]), moras[[#This Row],[TIPO_ASEGURAMIENTO]]=""),
    EDA!$A$32,
    moras[[#This Row],[TIPO_ASEGURAMIENTO]]
)</f>
        <v>ASALARIADO</v>
      </c>
    </row>
    <row r="4454" spans="1:16" x14ac:dyDescent="0.3">
      <c r="A4454">
        <v>4453</v>
      </c>
      <c r="B4454" t="s">
        <v>9</v>
      </c>
      <c r="C4454">
        <v>639148</v>
      </c>
      <c r="D4454" t="s">
        <v>18</v>
      </c>
      <c r="E4454" t="s">
        <v>16</v>
      </c>
      <c r="F4454" t="s">
        <v>12</v>
      </c>
      <c r="G4454" t="s">
        <v>13</v>
      </c>
      <c r="H4454" t="s">
        <v>12</v>
      </c>
      <c r="I4454">
        <v>40</v>
      </c>
      <c r="J4454">
        <f>ABS((I4454-EDA!$A$15)/EDA!$B$15)</f>
        <v>0.13971034729555773</v>
      </c>
      <c r="K4454" t="str">
        <f t="shared" si="69"/>
        <v>No</v>
      </c>
      <c r="L4454">
        <f>ABS((C4454-EDA!$F$15)/EDA!$G$15)</f>
        <v>0.36501809830544912</v>
      </c>
      <c r="M4454" t="str">
        <f>IF(moras[[#This Row],[Z-Score Salario]]&gt;1.96, "Sí", "No")</f>
        <v>No</v>
      </c>
      <c r="N4454" s="14">
        <f>IF(ISBLANK(moras[[#This Row],[SALARIO]]), EDA!$M$8, moras[[#This Row],[SALARIO]])</f>
        <v>639148</v>
      </c>
      <c r="O4454" s="14">
        <f xml:space="preserve"> IF(ISBLANK(moras[[#This Row],[EDAD]]), EDA!$E$8, moras[[#This Row],[EDAD]])</f>
        <v>40</v>
      </c>
      <c r="P4454" s="14" t="str">
        <f>IF(
    OR(ISBLANK(moras[[#This Row],[TIPO_ASEGURAMIENTO]]), moras[[#This Row],[TIPO_ASEGURAMIENTO]]=""),
    EDA!$A$32,
    moras[[#This Row],[TIPO_ASEGURAMIENTO]]
)</f>
        <v>TRABAJADOR INDEPENDIENTE</v>
      </c>
    </row>
    <row r="4455" spans="1:16" x14ac:dyDescent="0.3">
      <c r="A4455">
        <v>4454</v>
      </c>
      <c r="B4455" t="s">
        <v>15</v>
      </c>
      <c r="C4455">
        <v>142800229</v>
      </c>
      <c r="D4455" t="s">
        <v>14</v>
      </c>
      <c r="E4455" t="s">
        <v>11</v>
      </c>
      <c r="F4455" t="s">
        <v>12</v>
      </c>
      <c r="G4455" t="s">
        <v>13</v>
      </c>
      <c r="H4455" t="s">
        <v>13</v>
      </c>
      <c r="I4455">
        <v>69</v>
      </c>
      <c r="J4455">
        <f>ABS((I4455-EDA!$A$15)/EDA!$B$15)</f>
        <v>1.9069742249414299</v>
      </c>
      <c r="K4455" t="str">
        <f t="shared" si="69"/>
        <v>No</v>
      </c>
      <c r="L4455">
        <f>ABS((C4455-EDA!$F$15)/EDA!$G$15)</f>
        <v>2.0006426427755928</v>
      </c>
      <c r="M4455" t="str">
        <f>IF(moras[[#This Row],[Z-Score Salario]]&gt;1.96, "Sí", "No")</f>
        <v>Sí</v>
      </c>
      <c r="N4455" s="14">
        <f>IF(ISBLANK(moras[[#This Row],[SALARIO]]), EDA!$M$8, moras[[#This Row],[SALARIO]])</f>
        <v>142800229</v>
      </c>
      <c r="O4455" s="14">
        <f xml:space="preserve"> IF(ISBLANK(moras[[#This Row],[EDAD]]), EDA!$E$8, moras[[#This Row],[EDAD]])</f>
        <v>69</v>
      </c>
      <c r="P4455" s="14" t="str">
        <f>IF(
    OR(ISBLANK(moras[[#This Row],[TIPO_ASEGURAMIENTO]]), moras[[#This Row],[TIPO_ASEGURAMIENTO]]=""),
    EDA!$A$32,
    moras[[#This Row],[TIPO_ASEGURAMIENTO]]
)</f>
        <v>PENSIONADOS EN SU PROPIO SISTEMA</v>
      </c>
    </row>
    <row r="4456" spans="1:16" x14ac:dyDescent="0.3">
      <c r="A4456">
        <v>4455</v>
      </c>
      <c r="B4456" t="s">
        <v>9</v>
      </c>
      <c r="C4456">
        <v>297719</v>
      </c>
      <c r="D4456" t="s">
        <v>17</v>
      </c>
      <c r="E4456" t="s">
        <v>16</v>
      </c>
      <c r="F4456" t="s">
        <v>12</v>
      </c>
      <c r="G4456" t="s">
        <v>13</v>
      </c>
      <c r="H4456" t="s">
        <v>13</v>
      </c>
      <c r="I4456">
        <v>37</v>
      </c>
      <c r="J4456">
        <f>ABS((I4456-EDA!$A$15)/EDA!$B$15)</f>
        <v>0.35143633752697023</v>
      </c>
      <c r="K4456" t="str">
        <f t="shared" si="69"/>
        <v>No</v>
      </c>
      <c r="L4456">
        <f>ABS((C4456-EDA!$F$15)/EDA!$G$15)</f>
        <v>0.37069971788434469</v>
      </c>
      <c r="M4456" t="str">
        <f>IF(moras[[#This Row],[Z-Score Salario]]&gt;1.96, "Sí", "No")</f>
        <v>No</v>
      </c>
      <c r="N4456" s="14">
        <f>IF(ISBLANK(moras[[#This Row],[SALARIO]]), EDA!$M$8, moras[[#This Row],[SALARIO]])</f>
        <v>297719</v>
      </c>
      <c r="O4456" s="14">
        <f xml:space="preserve"> IF(ISBLANK(moras[[#This Row],[EDAD]]), EDA!$E$8, moras[[#This Row],[EDAD]])</f>
        <v>37</v>
      </c>
      <c r="P4456" s="14" t="str">
        <f>IF(
    OR(ISBLANK(moras[[#This Row],[TIPO_ASEGURAMIENTO]]), moras[[#This Row],[TIPO_ASEGURAMIENTO]]=""),
    EDA!$A$32,
    moras[[#This Row],[TIPO_ASEGURAMIENTO]]
)</f>
        <v>ASEGURADO VOLUNTARIO</v>
      </c>
    </row>
    <row r="4457" spans="1:16" x14ac:dyDescent="0.3">
      <c r="A4457">
        <v>4456</v>
      </c>
      <c r="B4457" t="s">
        <v>15</v>
      </c>
      <c r="C4457">
        <v>1228568</v>
      </c>
      <c r="D4457" t="s">
        <v>10</v>
      </c>
      <c r="E4457" t="s">
        <v>11</v>
      </c>
      <c r="F4457" t="s">
        <v>12</v>
      </c>
      <c r="G4457" t="s">
        <v>13</v>
      </c>
      <c r="H4457" t="s">
        <v>13</v>
      </c>
      <c r="I4457">
        <v>44</v>
      </c>
      <c r="J4457">
        <f>ABS((I4457-EDA!$A$15)/EDA!$B$15)</f>
        <v>0.14259097301299228</v>
      </c>
      <c r="K4457" t="str">
        <f t="shared" si="69"/>
        <v>No</v>
      </c>
      <c r="L4457">
        <f>ABS((C4457-EDA!$F$15)/EDA!$G$15)</f>
        <v>0.35520973342668183</v>
      </c>
      <c r="M4457" t="str">
        <f>IF(moras[[#This Row],[Z-Score Salario]]&gt;1.96, "Sí", "No")</f>
        <v>No</v>
      </c>
      <c r="N4457" s="14">
        <f>IF(ISBLANK(moras[[#This Row],[SALARIO]]), EDA!$M$8, moras[[#This Row],[SALARIO]])</f>
        <v>1228568</v>
      </c>
      <c r="O4457" s="14">
        <f xml:space="preserve"> IF(ISBLANK(moras[[#This Row],[EDAD]]), EDA!$E$8, moras[[#This Row],[EDAD]])</f>
        <v>44</v>
      </c>
      <c r="P4457" s="14" t="str">
        <f>IF(
    OR(ISBLANK(moras[[#This Row],[TIPO_ASEGURAMIENTO]]), moras[[#This Row],[TIPO_ASEGURAMIENTO]]=""),
    EDA!$A$32,
    moras[[#This Row],[TIPO_ASEGURAMIENTO]]
)</f>
        <v>ASALARIADO</v>
      </c>
    </row>
    <row r="4458" spans="1:16" x14ac:dyDescent="0.3">
      <c r="A4458">
        <v>4457</v>
      </c>
      <c r="B4458" t="s">
        <v>15</v>
      </c>
      <c r="C4458">
        <v>76483791</v>
      </c>
      <c r="D4458" t="s">
        <v>14</v>
      </c>
      <c r="E4458" t="s">
        <v>11</v>
      </c>
      <c r="F4458" t="s">
        <v>12</v>
      </c>
      <c r="G4458" t="s">
        <v>13</v>
      </c>
      <c r="H4458" t="s">
        <v>13</v>
      </c>
      <c r="I4458">
        <v>82</v>
      </c>
      <c r="J4458">
        <f>ABS((I4458-EDA!$A$15)/EDA!$B$15)</f>
        <v>2.8244535159442172</v>
      </c>
      <c r="K4458" t="str">
        <f t="shared" si="69"/>
        <v>Sí</v>
      </c>
      <c r="L4458">
        <f>ABS((C4458-EDA!$F$15)/EDA!$G$15)</f>
        <v>0.89709030087313513</v>
      </c>
      <c r="M4458" t="str">
        <f>IF(moras[[#This Row],[Z-Score Salario]]&gt;1.96, "Sí", "No")</f>
        <v>No</v>
      </c>
      <c r="N4458" s="14">
        <f>IF(ISBLANK(moras[[#This Row],[SALARIO]]), EDA!$M$8, moras[[#This Row],[SALARIO]])</f>
        <v>76483791</v>
      </c>
      <c r="O4458" s="14">
        <f xml:space="preserve"> IF(ISBLANK(moras[[#This Row],[EDAD]]), EDA!$E$8, moras[[#This Row],[EDAD]])</f>
        <v>82</v>
      </c>
      <c r="P4458" s="14" t="str">
        <f>IF(
    OR(ISBLANK(moras[[#This Row],[TIPO_ASEGURAMIENTO]]), moras[[#This Row],[TIPO_ASEGURAMIENTO]]=""),
    EDA!$A$32,
    moras[[#This Row],[TIPO_ASEGURAMIENTO]]
)</f>
        <v>PENSIONADOS EN SU PROPIO SISTEMA</v>
      </c>
    </row>
    <row r="4459" spans="1:16" x14ac:dyDescent="0.3">
      <c r="A4459">
        <v>4458</v>
      </c>
      <c r="B4459" t="s">
        <v>9</v>
      </c>
      <c r="C4459">
        <v>647500</v>
      </c>
      <c r="D4459" t="s">
        <v>10</v>
      </c>
      <c r="E4459" t="s">
        <v>16</v>
      </c>
      <c r="F4459" t="s">
        <v>12</v>
      </c>
      <c r="G4459" t="s">
        <v>13</v>
      </c>
      <c r="H4459" t="s">
        <v>13</v>
      </c>
      <c r="I4459">
        <v>25</v>
      </c>
      <c r="J4459">
        <f>ABS((I4459-EDA!$A$15)/EDA!$B$15)</f>
        <v>1.1983402984526204</v>
      </c>
      <c r="K4459" t="str">
        <f t="shared" si="69"/>
        <v>No</v>
      </c>
      <c r="L4459">
        <f>ABS((C4459-EDA!$F$15)/EDA!$G$15)</f>
        <v>0.36487911512967042</v>
      </c>
      <c r="M4459" t="str">
        <f>IF(moras[[#This Row],[Z-Score Salario]]&gt;1.96, "Sí", "No")</f>
        <v>No</v>
      </c>
      <c r="N4459" s="14">
        <f>IF(ISBLANK(moras[[#This Row],[SALARIO]]), EDA!$M$8, moras[[#This Row],[SALARIO]])</f>
        <v>647500</v>
      </c>
      <c r="O4459" s="14">
        <f xml:space="preserve"> IF(ISBLANK(moras[[#This Row],[EDAD]]), EDA!$E$8, moras[[#This Row],[EDAD]])</f>
        <v>25</v>
      </c>
      <c r="P4459" s="14" t="str">
        <f>IF(
    OR(ISBLANK(moras[[#This Row],[TIPO_ASEGURAMIENTO]]), moras[[#This Row],[TIPO_ASEGURAMIENTO]]=""),
    EDA!$A$32,
    moras[[#This Row],[TIPO_ASEGURAMIENTO]]
)</f>
        <v>ASALARIADO</v>
      </c>
    </row>
    <row r="4460" spans="1:16" x14ac:dyDescent="0.3">
      <c r="A4460">
        <v>4459</v>
      </c>
      <c r="B4460" t="s">
        <v>9</v>
      </c>
      <c r="C4460">
        <v>230000</v>
      </c>
      <c r="D4460" t="s">
        <v>10</v>
      </c>
      <c r="E4460" t="s">
        <v>16</v>
      </c>
      <c r="F4460" t="s">
        <v>12</v>
      </c>
      <c r="G4460" t="s">
        <v>13</v>
      </c>
      <c r="H4460" t="s">
        <v>12</v>
      </c>
      <c r="I4460">
        <v>53</v>
      </c>
      <c r="J4460">
        <f>ABS((I4460-EDA!$A$15)/EDA!$B$15)</f>
        <v>0.77776894370722982</v>
      </c>
      <c r="K4460" t="str">
        <f t="shared" si="69"/>
        <v>No</v>
      </c>
      <c r="L4460">
        <f>ABS((C4460-EDA!$F$15)/EDA!$G$15)</f>
        <v>0.37182660984801275</v>
      </c>
      <c r="M4460" t="str">
        <f>IF(moras[[#This Row],[Z-Score Salario]]&gt;1.96, "Sí", "No")</f>
        <v>No</v>
      </c>
      <c r="N4460" s="14">
        <f>IF(ISBLANK(moras[[#This Row],[SALARIO]]), EDA!$M$8, moras[[#This Row],[SALARIO]])</f>
        <v>230000</v>
      </c>
      <c r="O4460" s="14">
        <f xml:space="preserve"> IF(ISBLANK(moras[[#This Row],[EDAD]]), EDA!$E$8, moras[[#This Row],[EDAD]])</f>
        <v>53</v>
      </c>
      <c r="P4460" s="14" t="str">
        <f>IF(
    OR(ISBLANK(moras[[#This Row],[TIPO_ASEGURAMIENTO]]), moras[[#This Row],[TIPO_ASEGURAMIENTO]]=""),
    EDA!$A$32,
    moras[[#This Row],[TIPO_ASEGURAMIENTO]]
)</f>
        <v>ASALARIADO</v>
      </c>
    </row>
    <row r="4461" spans="1:16" x14ac:dyDescent="0.3">
      <c r="A4461">
        <v>4460</v>
      </c>
      <c r="B4461" t="s">
        <v>9</v>
      </c>
      <c r="C4461">
        <v>40776925</v>
      </c>
      <c r="D4461" t="s">
        <v>10</v>
      </c>
      <c r="E4461" t="s">
        <v>16</v>
      </c>
      <c r="F4461" t="s">
        <v>12</v>
      </c>
      <c r="G4461" t="s">
        <v>13</v>
      </c>
      <c r="H4461" t="s">
        <v>13</v>
      </c>
      <c r="I4461">
        <v>29</v>
      </c>
      <c r="J4461">
        <f>ABS((I4461-EDA!$A$15)/EDA!$B$15)</f>
        <v>0.91603897814407031</v>
      </c>
      <c r="K4461" t="str">
        <f t="shared" si="69"/>
        <v>No</v>
      </c>
      <c r="L4461">
        <f>ABS((C4461-EDA!$F$15)/EDA!$G$15)</f>
        <v>0.30290284472090279</v>
      </c>
      <c r="M4461" t="str">
        <f>IF(moras[[#This Row],[Z-Score Salario]]&gt;1.96, "Sí", "No")</f>
        <v>No</v>
      </c>
      <c r="N4461" s="14">
        <f>IF(ISBLANK(moras[[#This Row],[SALARIO]]), EDA!$M$8, moras[[#This Row],[SALARIO]])</f>
        <v>40776925</v>
      </c>
      <c r="O4461" s="14">
        <f xml:space="preserve"> IF(ISBLANK(moras[[#This Row],[EDAD]]), EDA!$E$8, moras[[#This Row],[EDAD]])</f>
        <v>29</v>
      </c>
      <c r="P4461" s="14" t="str">
        <f>IF(
    OR(ISBLANK(moras[[#This Row],[TIPO_ASEGURAMIENTO]]), moras[[#This Row],[TIPO_ASEGURAMIENTO]]=""),
    EDA!$A$32,
    moras[[#This Row],[TIPO_ASEGURAMIENTO]]
)</f>
        <v>ASALARIADO</v>
      </c>
    </row>
    <row r="4462" spans="1:16" x14ac:dyDescent="0.3">
      <c r="A4462">
        <v>4461</v>
      </c>
      <c r="B4462" t="s">
        <v>9</v>
      </c>
      <c r="C4462">
        <v>372000</v>
      </c>
      <c r="D4462" t="s">
        <v>10</v>
      </c>
      <c r="E4462" t="s">
        <v>16</v>
      </c>
      <c r="F4462" t="s">
        <v>12</v>
      </c>
      <c r="G4462" t="s">
        <v>13</v>
      </c>
      <c r="H4462" t="s">
        <v>13</v>
      </c>
      <c r="I4462">
        <v>27</v>
      </c>
      <c r="J4462">
        <f>ABS((I4462-EDA!$A$15)/EDA!$B$15)</f>
        <v>1.0571896382983452</v>
      </c>
      <c r="K4462" t="str">
        <f t="shared" si="69"/>
        <v>No</v>
      </c>
      <c r="L4462">
        <f>ABS((C4462-EDA!$F$15)/EDA!$G$15)</f>
        <v>0.36946362960848078</v>
      </c>
      <c r="M4462" t="str">
        <f>IF(moras[[#This Row],[Z-Score Salario]]&gt;1.96, "Sí", "No")</f>
        <v>No</v>
      </c>
      <c r="N4462" s="14">
        <f>IF(ISBLANK(moras[[#This Row],[SALARIO]]), EDA!$M$8, moras[[#This Row],[SALARIO]])</f>
        <v>372000</v>
      </c>
      <c r="O4462" s="14">
        <f xml:space="preserve"> IF(ISBLANK(moras[[#This Row],[EDAD]]), EDA!$E$8, moras[[#This Row],[EDAD]])</f>
        <v>27</v>
      </c>
      <c r="P4462" s="14" t="str">
        <f>IF(
    OR(ISBLANK(moras[[#This Row],[TIPO_ASEGURAMIENTO]]), moras[[#This Row],[TIPO_ASEGURAMIENTO]]=""),
    EDA!$A$32,
    moras[[#This Row],[TIPO_ASEGURAMIENTO]]
)</f>
        <v>ASALARIADO</v>
      </c>
    </row>
    <row r="4463" spans="1:16" x14ac:dyDescent="0.3">
      <c r="A4463">
        <v>4462</v>
      </c>
      <c r="B4463" t="s">
        <v>9</v>
      </c>
      <c r="C4463">
        <v>36180678</v>
      </c>
      <c r="D4463" t="s">
        <v>10</v>
      </c>
      <c r="E4463" t="s">
        <v>16</v>
      </c>
      <c r="F4463" t="s">
        <v>12</v>
      </c>
      <c r="G4463" t="s">
        <v>13</v>
      </c>
      <c r="H4463" t="s">
        <v>13</v>
      </c>
      <c r="I4463">
        <v>22</v>
      </c>
      <c r="J4463">
        <f>ABS((I4463-EDA!$A$15)/EDA!$B$15)</f>
        <v>1.4100662886840327</v>
      </c>
      <c r="K4463" t="str">
        <f t="shared" si="69"/>
        <v>No</v>
      </c>
      <c r="L4463">
        <f>ABS((C4463-EDA!$F$15)/EDA!$G$15)</f>
        <v>0.22641805009408422</v>
      </c>
      <c r="M4463" t="str">
        <f>IF(moras[[#This Row],[Z-Score Salario]]&gt;1.96, "Sí", "No")</f>
        <v>No</v>
      </c>
      <c r="N4463" s="14">
        <f>IF(ISBLANK(moras[[#This Row],[SALARIO]]), EDA!$M$8, moras[[#This Row],[SALARIO]])</f>
        <v>36180678</v>
      </c>
      <c r="O4463" s="14">
        <f xml:space="preserve"> IF(ISBLANK(moras[[#This Row],[EDAD]]), EDA!$E$8, moras[[#This Row],[EDAD]])</f>
        <v>22</v>
      </c>
      <c r="P4463" s="14" t="str">
        <f>IF(
    OR(ISBLANK(moras[[#This Row],[TIPO_ASEGURAMIENTO]]), moras[[#This Row],[TIPO_ASEGURAMIENTO]]=""),
    EDA!$A$32,
    moras[[#This Row],[TIPO_ASEGURAMIENTO]]
)</f>
        <v>ASALARIADO</v>
      </c>
    </row>
    <row r="4464" spans="1:16" x14ac:dyDescent="0.3">
      <c r="A4464">
        <v>4463</v>
      </c>
      <c r="B4464" t="s">
        <v>15</v>
      </c>
      <c r="C4464">
        <v>51428571</v>
      </c>
      <c r="D4464" t="s">
        <v>10</v>
      </c>
      <c r="E4464" t="s">
        <v>16</v>
      </c>
      <c r="F4464" t="s">
        <v>12</v>
      </c>
      <c r="G4464" t="s">
        <v>13</v>
      </c>
      <c r="H4464" t="s">
        <v>13</v>
      </c>
      <c r="I4464">
        <v>39</v>
      </c>
      <c r="J4464">
        <f>ABS((I4464-EDA!$A$15)/EDA!$B$15)</f>
        <v>0.21028567737269524</v>
      </c>
      <c r="K4464" t="str">
        <f t="shared" si="69"/>
        <v>No</v>
      </c>
      <c r="L4464">
        <f>ABS((C4464-EDA!$F$15)/EDA!$G$15)</f>
        <v>0.48015375328773419</v>
      </c>
      <c r="M4464" t="str">
        <f>IF(moras[[#This Row],[Z-Score Salario]]&gt;1.96, "Sí", "No")</f>
        <v>No</v>
      </c>
      <c r="N4464" s="14">
        <f>IF(ISBLANK(moras[[#This Row],[SALARIO]]), EDA!$M$8, moras[[#This Row],[SALARIO]])</f>
        <v>51428571</v>
      </c>
      <c r="O4464" s="14">
        <f xml:space="preserve"> IF(ISBLANK(moras[[#This Row],[EDAD]]), EDA!$E$8, moras[[#This Row],[EDAD]])</f>
        <v>39</v>
      </c>
      <c r="P4464" s="14" t="str">
        <f>IF(
    OR(ISBLANK(moras[[#This Row],[TIPO_ASEGURAMIENTO]]), moras[[#This Row],[TIPO_ASEGURAMIENTO]]=""),
    EDA!$A$32,
    moras[[#This Row],[TIPO_ASEGURAMIENTO]]
)</f>
        <v>ASALARIADO</v>
      </c>
    </row>
    <row r="4465" spans="1:16" x14ac:dyDescent="0.3">
      <c r="A4465">
        <v>4464</v>
      </c>
      <c r="B4465" t="s">
        <v>9</v>
      </c>
      <c r="C4465">
        <v>356455</v>
      </c>
      <c r="D4465" t="s">
        <v>18</v>
      </c>
      <c r="E4465" t="s">
        <v>16</v>
      </c>
      <c r="F4465" t="s">
        <v>12</v>
      </c>
      <c r="G4465" t="s">
        <v>12</v>
      </c>
      <c r="H4465" t="s">
        <v>12</v>
      </c>
      <c r="I4465">
        <v>46</v>
      </c>
      <c r="J4465">
        <f>ABS((I4465-EDA!$A$15)/EDA!$B$15)</f>
        <v>0.2837416331672673</v>
      </c>
      <c r="K4465" t="str">
        <f t="shared" si="69"/>
        <v>No</v>
      </c>
      <c r="L4465">
        <f>ABS((C4465-EDA!$F$15)/EDA!$G$15)</f>
        <v>0.36972230938188588</v>
      </c>
      <c r="M4465" t="str">
        <f>IF(moras[[#This Row],[Z-Score Salario]]&gt;1.96, "Sí", "No")</f>
        <v>No</v>
      </c>
      <c r="N4465" s="14">
        <f>IF(ISBLANK(moras[[#This Row],[SALARIO]]), EDA!$M$8, moras[[#This Row],[SALARIO]])</f>
        <v>356455</v>
      </c>
      <c r="O4465" s="14">
        <f xml:space="preserve"> IF(ISBLANK(moras[[#This Row],[EDAD]]), EDA!$E$8, moras[[#This Row],[EDAD]])</f>
        <v>46</v>
      </c>
      <c r="P4465" s="14" t="str">
        <f>IF(
    OR(ISBLANK(moras[[#This Row],[TIPO_ASEGURAMIENTO]]), moras[[#This Row],[TIPO_ASEGURAMIENTO]]=""),
    EDA!$A$32,
    moras[[#This Row],[TIPO_ASEGURAMIENTO]]
)</f>
        <v>TRABAJADOR INDEPENDIENTE</v>
      </c>
    </row>
    <row r="4466" spans="1:16" x14ac:dyDescent="0.3">
      <c r="A4466">
        <v>4465</v>
      </c>
      <c r="B4466" t="s">
        <v>15</v>
      </c>
      <c r="C4466">
        <v>278030</v>
      </c>
      <c r="D4466" t="s">
        <v>17</v>
      </c>
      <c r="E4466" t="s">
        <v>16</v>
      </c>
      <c r="F4466" t="s">
        <v>12</v>
      </c>
      <c r="G4466" t="s">
        <v>12</v>
      </c>
      <c r="H4466" t="s">
        <v>12</v>
      </c>
      <c r="I4466">
        <v>35</v>
      </c>
      <c r="J4466">
        <f>ABS((I4466-EDA!$A$15)/EDA!$B$15)</f>
        <v>0.49258699768124525</v>
      </c>
      <c r="K4466" t="str">
        <f t="shared" si="69"/>
        <v>No</v>
      </c>
      <c r="L4466">
        <f>ABS((C4466-EDA!$F$15)/EDA!$G$15)</f>
        <v>0.37102735674304993</v>
      </c>
      <c r="M4466" t="str">
        <f>IF(moras[[#This Row],[Z-Score Salario]]&gt;1.96, "Sí", "No")</f>
        <v>No</v>
      </c>
      <c r="N4466" s="14">
        <f>IF(ISBLANK(moras[[#This Row],[SALARIO]]), EDA!$M$8, moras[[#This Row],[SALARIO]])</f>
        <v>278030</v>
      </c>
      <c r="O4466" s="14">
        <f xml:space="preserve"> IF(ISBLANK(moras[[#This Row],[EDAD]]), EDA!$E$8, moras[[#This Row],[EDAD]])</f>
        <v>35</v>
      </c>
      <c r="P4466" s="14" t="str">
        <f>IF(
    OR(ISBLANK(moras[[#This Row],[TIPO_ASEGURAMIENTO]]), moras[[#This Row],[TIPO_ASEGURAMIENTO]]=""),
    EDA!$A$32,
    moras[[#This Row],[TIPO_ASEGURAMIENTO]]
)</f>
        <v>ASEGURADO VOLUNTARIO</v>
      </c>
    </row>
    <row r="4467" spans="1:16" x14ac:dyDescent="0.3">
      <c r="A4467">
        <v>4466</v>
      </c>
      <c r="B4467" t="s">
        <v>9</v>
      </c>
      <c r="C4467">
        <v>94983965</v>
      </c>
      <c r="D4467" t="s">
        <v>10</v>
      </c>
      <c r="E4467" t="s">
        <v>16</v>
      </c>
      <c r="F4467" t="s">
        <v>12</v>
      </c>
      <c r="G4467" t="s">
        <v>13</v>
      </c>
      <c r="H4467" t="s">
        <v>13</v>
      </c>
      <c r="I4467">
        <v>25</v>
      </c>
      <c r="J4467">
        <f>ABS((I4467-EDA!$A$15)/EDA!$B$15)</f>
        <v>1.1983402984526204</v>
      </c>
      <c r="K4467" t="str">
        <f t="shared" si="69"/>
        <v>No</v>
      </c>
      <c r="L4467">
        <f>ABS((C4467-EDA!$F$15)/EDA!$G$15)</f>
        <v>1.2049462557316115</v>
      </c>
      <c r="M4467" t="str">
        <f>IF(moras[[#This Row],[Z-Score Salario]]&gt;1.96, "Sí", "No")</f>
        <v>No</v>
      </c>
      <c r="N4467" s="14">
        <f>IF(ISBLANK(moras[[#This Row],[SALARIO]]), EDA!$M$8, moras[[#This Row],[SALARIO]])</f>
        <v>94983965</v>
      </c>
      <c r="O4467" s="14">
        <f xml:space="preserve"> IF(ISBLANK(moras[[#This Row],[EDAD]]), EDA!$E$8, moras[[#This Row],[EDAD]])</f>
        <v>25</v>
      </c>
      <c r="P4467" s="14" t="str">
        <f>IF(
    OR(ISBLANK(moras[[#This Row],[TIPO_ASEGURAMIENTO]]), moras[[#This Row],[TIPO_ASEGURAMIENTO]]=""),
    EDA!$A$32,
    moras[[#This Row],[TIPO_ASEGURAMIENTO]]
)</f>
        <v>ASALARIADO</v>
      </c>
    </row>
    <row r="4468" spans="1:16" x14ac:dyDescent="0.3">
      <c r="A4468">
        <v>4467</v>
      </c>
      <c r="B4468" t="s">
        <v>9</v>
      </c>
      <c r="C4468">
        <v>41048022</v>
      </c>
      <c r="D4468" t="s">
        <v>10</v>
      </c>
      <c r="E4468" t="s">
        <v>16</v>
      </c>
      <c r="F4468" t="s">
        <v>12</v>
      </c>
      <c r="G4468" t="s">
        <v>13</v>
      </c>
      <c r="H4468" t="s">
        <v>13</v>
      </c>
      <c r="I4468">
        <v>38</v>
      </c>
      <c r="J4468">
        <f>ABS((I4468-EDA!$A$15)/EDA!$B$15)</f>
        <v>0.28086100744983278</v>
      </c>
      <c r="K4468" t="str">
        <f t="shared" si="69"/>
        <v>No</v>
      </c>
      <c r="L4468">
        <f>ABS((C4468-EDA!$F$15)/EDA!$G$15)</f>
        <v>0.30741409017158167</v>
      </c>
      <c r="M4468" t="str">
        <f>IF(moras[[#This Row],[Z-Score Salario]]&gt;1.96, "Sí", "No")</f>
        <v>No</v>
      </c>
      <c r="N4468" s="14">
        <f>IF(ISBLANK(moras[[#This Row],[SALARIO]]), EDA!$M$8, moras[[#This Row],[SALARIO]])</f>
        <v>41048022</v>
      </c>
      <c r="O4468" s="14">
        <f xml:space="preserve"> IF(ISBLANK(moras[[#This Row],[EDAD]]), EDA!$E$8, moras[[#This Row],[EDAD]])</f>
        <v>38</v>
      </c>
      <c r="P4468" s="14" t="str">
        <f>IF(
    OR(ISBLANK(moras[[#This Row],[TIPO_ASEGURAMIENTO]]), moras[[#This Row],[TIPO_ASEGURAMIENTO]]=""),
    EDA!$A$32,
    moras[[#This Row],[TIPO_ASEGURAMIENTO]]
)</f>
        <v>ASALARIADO</v>
      </c>
    </row>
    <row r="4469" spans="1:16" x14ac:dyDescent="0.3">
      <c r="A4469">
        <v>4468</v>
      </c>
      <c r="B4469" t="s">
        <v>9</v>
      </c>
      <c r="C4469">
        <v>467721759</v>
      </c>
      <c r="D4469" t="s">
        <v>10</v>
      </c>
      <c r="E4469" t="s">
        <v>11</v>
      </c>
      <c r="F4469" t="s">
        <v>12</v>
      </c>
      <c r="G4469" t="s">
        <v>13</v>
      </c>
      <c r="H4469" t="s">
        <v>13</v>
      </c>
      <c r="I4469">
        <v>52</v>
      </c>
      <c r="J4469">
        <f>ABS((I4469-EDA!$A$15)/EDA!$B$15)</f>
        <v>0.70719361363009237</v>
      </c>
      <c r="K4469" t="str">
        <f t="shared" si="69"/>
        <v>No</v>
      </c>
      <c r="L4469">
        <f>ABS((C4469-EDA!$F$15)/EDA!$G$15)</f>
        <v>7.4075662680467449</v>
      </c>
      <c r="M4469" t="str">
        <f>IF(moras[[#This Row],[Z-Score Salario]]&gt;1.96, "Sí", "No")</f>
        <v>Sí</v>
      </c>
      <c r="N4469" s="14">
        <f>IF(ISBLANK(moras[[#This Row],[SALARIO]]), EDA!$M$8, moras[[#This Row],[SALARIO]])</f>
        <v>467721759</v>
      </c>
      <c r="O4469" s="14">
        <f xml:space="preserve"> IF(ISBLANK(moras[[#This Row],[EDAD]]), EDA!$E$8, moras[[#This Row],[EDAD]])</f>
        <v>52</v>
      </c>
      <c r="P4469" s="14" t="str">
        <f>IF(
    OR(ISBLANK(moras[[#This Row],[TIPO_ASEGURAMIENTO]]), moras[[#This Row],[TIPO_ASEGURAMIENTO]]=""),
    EDA!$A$32,
    moras[[#This Row],[TIPO_ASEGURAMIENTO]]
)</f>
        <v>ASALARIADO</v>
      </c>
    </row>
    <row r="4470" spans="1:16" x14ac:dyDescent="0.3">
      <c r="A4470">
        <v>4469</v>
      </c>
      <c r="B4470" t="s">
        <v>9</v>
      </c>
      <c r="C4470">
        <v>46665281</v>
      </c>
      <c r="D4470" t="s">
        <v>10</v>
      </c>
      <c r="E4470" t="s">
        <v>16</v>
      </c>
      <c r="F4470" t="s">
        <v>12</v>
      </c>
      <c r="G4470" t="s">
        <v>13</v>
      </c>
      <c r="H4470" t="s">
        <v>13</v>
      </c>
      <c r="I4470">
        <v>49</v>
      </c>
      <c r="J4470">
        <f>ABS((I4470-EDA!$A$15)/EDA!$B$15)</f>
        <v>0.49546762339867978</v>
      </c>
      <c r="K4470" t="str">
        <f t="shared" si="69"/>
        <v>No</v>
      </c>
      <c r="L4470">
        <f>ABS((C4470-EDA!$F$15)/EDA!$G$15)</f>
        <v>0.4008892452232245</v>
      </c>
      <c r="M4470" t="str">
        <f>IF(moras[[#This Row],[Z-Score Salario]]&gt;1.96, "Sí", "No")</f>
        <v>No</v>
      </c>
      <c r="N4470" s="14">
        <f>IF(ISBLANK(moras[[#This Row],[SALARIO]]), EDA!$M$8, moras[[#This Row],[SALARIO]])</f>
        <v>46665281</v>
      </c>
      <c r="O4470" s="14">
        <f xml:space="preserve"> IF(ISBLANK(moras[[#This Row],[EDAD]]), EDA!$E$8, moras[[#This Row],[EDAD]])</f>
        <v>49</v>
      </c>
      <c r="P4470" s="14" t="str">
        <f>IF(
    OR(ISBLANK(moras[[#This Row],[TIPO_ASEGURAMIENTO]]), moras[[#This Row],[TIPO_ASEGURAMIENTO]]=""),
    EDA!$A$32,
    moras[[#This Row],[TIPO_ASEGURAMIENTO]]
)</f>
        <v>ASALARIADO</v>
      </c>
    </row>
    <row r="4471" spans="1:16" x14ac:dyDescent="0.3">
      <c r="A4471">
        <v>4470</v>
      </c>
      <c r="B4471" t="s">
        <v>9</v>
      </c>
      <c r="C4471">
        <v>400000</v>
      </c>
      <c r="D4471" t="s">
        <v>10</v>
      </c>
      <c r="E4471" t="s">
        <v>16</v>
      </c>
      <c r="F4471" t="s">
        <v>12</v>
      </c>
      <c r="G4471" t="s">
        <v>13</v>
      </c>
      <c r="H4471" t="s">
        <v>13</v>
      </c>
      <c r="I4471">
        <v>21</v>
      </c>
      <c r="J4471">
        <f>ABS((I4471-EDA!$A$15)/EDA!$B$15)</f>
        <v>1.4806416187611704</v>
      </c>
      <c r="K4471" t="str">
        <f t="shared" si="69"/>
        <v>No</v>
      </c>
      <c r="L4471">
        <f>ABS((C4471-EDA!$F$15)/EDA!$G$15)</f>
        <v>0.36899768984293924</v>
      </c>
      <c r="M4471" t="str">
        <f>IF(moras[[#This Row],[Z-Score Salario]]&gt;1.96, "Sí", "No")</f>
        <v>No</v>
      </c>
      <c r="N4471" s="14">
        <f>IF(ISBLANK(moras[[#This Row],[SALARIO]]), EDA!$M$8, moras[[#This Row],[SALARIO]])</f>
        <v>400000</v>
      </c>
      <c r="O4471" s="14">
        <f xml:space="preserve"> IF(ISBLANK(moras[[#This Row],[EDAD]]), EDA!$E$8, moras[[#This Row],[EDAD]])</f>
        <v>21</v>
      </c>
      <c r="P4471" s="14" t="str">
        <f>IF(
    OR(ISBLANK(moras[[#This Row],[TIPO_ASEGURAMIENTO]]), moras[[#This Row],[TIPO_ASEGURAMIENTO]]=""),
    EDA!$A$32,
    moras[[#This Row],[TIPO_ASEGURAMIENTO]]
)</f>
        <v>ASALARIADO</v>
      </c>
    </row>
    <row r="4472" spans="1:16" x14ac:dyDescent="0.3">
      <c r="A4472">
        <v>4471</v>
      </c>
      <c r="B4472" t="s">
        <v>15</v>
      </c>
      <c r="C4472">
        <v>365825</v>
      </c>
      <c r="D4472" t="s">
        <v>10</v>
      </c>
      <c r="E4472" t="s">
        <v>16</v>
      </c>
      <c r="F4472" t="s">
        <v>12</v>
      </c>
      <c r="G4472" t="s">
        <v>13</v>
      </c>
      <c r="H4472" t="s">
        <v>13</v>
      </c>
      <c r="I4472">
        <v>42</v>
      </c>
      <c r="J4472">
        <f>ABS((I4472-EDA!$A$15)/EDA!$B$15)</f>
        <v>1.4403128587172659E-3</v>
      </c>
      <c r="K4472" t="str">
        <f t="shared" si="69"/>
        <v>No</v>
      </c>
      <c r="L4472">
        <f>ABS((C4472-EDA!$F$15)/EDA!$G$15)</f>
        <v>0.36956638596748859</v>
      </c>
      <c r="M4472" t="str">
        <f>IF(moras[[#This Row],[Z-Score Salario]]&gt;1.96, "Sí", "No")</f>
        <v>No</v>
      </c>
      <c r="N4472" s="14">
        <f>IF(ISBLANK(moras[[#This Row],[SALARIO]]), EDA!$M$8, moras[[#This Row],[SALARIO]])</f>
        <v>365825</v>
      </c>
      <c r="O4472" s="14">
        <f xml:space="preserve"> IF(ISBLANK(moras[[#This Row],[EDAD]]), EDA!$E$8, moras[[#This Row],[EDAD]])</f>
        <v>42</v>
      </c>
      <c r="P4472" s="14" t="str">
        <f>IF(
    OR(ISBLANK(moras[[#This Row],[TIPO_ASEGURAMIENTO]]), moras[[#This Row],[TIPO_ASEGURAMIENTO]]=""),
    EDA!$A$32,
    moras[[#This Row],[TIPO_ASEGURAMIENTO]]
)</f>
        <v>ASALARIADO</v>
      </c>
    </row>
    <row r="4473" spans="1:16" x14ac:dyDescent="0.3">
      <c r="A4473">
        <v>4472</v>
      </c>
      <c r="B4473" t="s">
        <v>9</v>
      </c>
      <c r="C4473">
        <v>615550</v>
      </c>
      <c r="D4473" t="s">
        <v>18</v>
      </c>
      <c r="E4473" t="s">
        <v>16</v>
      </c>
      <c r="F4473" t="s">
        <v>12</v>
      </c>
      <c r="G4473" t="s">
        <v>13</v>
      </c>
      <c r="H4473" t="s">
        <v>12</v>
      </c>
      <c r="I4473">
        <v>42</v>
      </c>
      <c r="J4473">
        <f>ABS((I4473-EDA!$A$15)/EDA!$B$15)</f>
        <v>1.4403128587172659E-3</v>
      </c>
      <c r="K4473" t="str">
        <f t="shared" si="69"/>
        <v>No</v>
      </c>
      <c r="L4473">
        <f>ABS((C4473-EDA!$F$15)/EDA!$G$15)</f>
        <v>0.36541078568356511</v>
      </c>
      <c r="M4473" t="str">
        <f>IF(moras[[#This Row],[Z-Score Salario]]&gt;1.96, "Sí", "No")</f>
        <v>No</v>
      </c>
      <c r="N4473" s="14">
        <f>IF(ISBLANK(moras[[#This Row],[SALARIO]]), EDA!$M$8, moras[[#This Row],[SALARIO]])</f>
        <v>615550</v>
      </c>
      <c r="O4473" s="14">
        <f xml:space="preserve"> IF(ISBLANK(moras[[#This Row],[EDAD]]), EDA!$E$8, moras[[#This Row],[EDAD]])</f>
        <v>42</v>
      </c>
      <c r="P4473" s="14" t="str">
        <f>IF(
    OR(ISBLANK(moras[[#This Row],[TIPO_ASEGURAMIENTO]]), moras[[#This Row],[TIPO_ASEGURAMIENTO]]=""),
    EDA!$A$32,
    moras[[#This Row],[TIPO_ASEGURAMIENTO]]
)</f>
        <v>TRABAJADOR INDEPENDIENTE</v>
      </c>
    </row>
    <row r="4474" spans="1:16" x14ac:dyDescent="0.3">
      <c r="A4474">
        <v>4473</v>
      </c>
      <c r="B4474" t="s">
        <v>15</v>
      </c>
      <c r="C4474">
        <v>1124365</v>
      </c>
      <c r="D4474" t="s">
        <v>10</v>
      </c>
      <c r="E4474" t="s">
        <v>11</v>
      </c>
      <c r="F4474" t="s">
        <v>12</v>
      </c>
      <c r="G4474" t="s">
        <v>13</v>
      </c>
      <c r="H4474" t="s">
        <v>13</v>
      </c>
      <c r="I4474">
        <v>41</v>
      </c>
      <c r="J4474">
        <f>ABS((I4474-EDA!$A$15)/EDA!$B$15)</f>
        <v>6.9135017218420233E-2</v>
      </c>
      <c r="K4474" t="str">
        <f t="shared" si="69"/>
        <v>No</v>
      </c>
      <c r="L4474">
        <f>ABS((C4474-EDA!$F$15)/EDA!$G$15)</f>
        <v>0.35694374490485054</v>
      </c>
      <c r="M4474" t="str">
        <f>IF(moras[[#This Row],[Z-Score Salario]]&gt;1.96, "Sí", "No")</f>
        <v>No</v>
      </c>
      <c r="N4474" s="14">
        <f>IF(ISBLANK(moras[[#This Row],[SALARIO]]), EDA!$M$8, moras[[#This Row],[SALARIO]])</f>
        <v>1124365</v>
      </c>
      <c r="O4474" s="14">
        <f xml:space="preserve"> IF(ISBLANK(moras[[#This Row],[EDAD]]), EDA!$E$8, moras[[#This Row],[EDAD]])</f>
        <v>41</v>
      </c>
      <c r="P4474" s="14" t="str">
        <f>IF(
    OR(ISBLANK(moras[[#This Row],[TIPO_ASEGURAMIENTO]]), moras[[#This Row],[TIPO_ASEGURAMIENTO]]=""),
    EDA!$A$32,
    moras[[#This Row],[TIPO_ASEGURAMIENTO]]
)</f>
        <v>ASALARIADO</v>
      </c>
    </row>
    <row r="4475" spans="1:16" x14ac:dyDescent="0.3">
      <c r="A4475">
        <v>4474</v>
      </c>
      <c r="B4475" t="s">
        <v>9</v>
      </c>
      <c r="C4475">
        <v>45630002</v>
      </c>
      <c r="D4475" t="s">
        <v>10</v>
      </c>
      <c r="E4475" t="s">
        <v>16</v>
      </c>
      <c r="F4475" t="s">
        <v>12</v>
      </c>
      <c r="G4475" t="s">
        <v>12</v>
      </c>
      <c r="H4475" t="s">
        <v>13</v>
      </c>
      <c r="I4475">
        <v>49</v>
      </c>
      <c r="J4475">
        <f>ABS((I4475-EDA!$A$15)/EDA!$B$15)</f>
        <v>0.49546762339867978</v>
      </c>
      <c r="K4475" t="str">
        <f t="shared" si="69"/>
        <v>No</v>
      </c>
      <c r="L4475">
        <f>ABS((C4475-EDA!$F$15)/EDA!$G$15)</f>
        <v>0.38366147184715094</v>
      </c>
      <c r="M4475" t="str">
        <f>IF(moras[[#This Row],[Z-Score Salario]]&gt;1.96, "Sí", "No")</f>
        <v>No</v>
      </c>
      <c r="N4475" s="14">
        <f>IF(ISBLANK(moras[[#This Row],[SALARIO]]), EDA!$M$8, moras[[#This Row],[SALARIO]])</f>
        <v>45630002</v>
      </c>
      <c r="O4475" s="14">
        <f xml:space="preserve"> IF(ISBLANK(moras[[#This Row],[EDAD]]), EDA!$E$8, moras[[#This Row],[EDAD]])</f>
        <v>49</v>
      </c>
      <c r="P4475" s="14" t="str">
        <f>IF(
    OR(ISBLANK(moras[[#This Row],[TIPO_ASEGURAMIENTO]]), moras[[#This Row],[TIPO_ASEGURAMIENTO]]=""),
    EDA!$A$32,
    moras[[#This Row],[TIPO_ASEGURAMIENTO]]
)</f>
        <v>ASALARIADO</v>
      </c>
    </row>
    <row r="4476" spans="1:16" x14ac:dyDescent="0.3">
      <c r="A4476">
        <v>4475</v>
      </c>
      <c r="B4476" t="s">
        <v>15</v>
      </c>
      <c r="C4476">
        <v>2145843</v>
      </c>
      <c r="D4476" t="s">
        <v>10</v>
      </c>
      <c r="E4476" t="s">
        <v>11</v>
      </c>
      <c r="F4476" t="s">
        <v>12</v>
      </c>
      <c r="G4476" t="s">
        <v>13</v>
      </c>
      <c r="H4476" t="s">
        <v>13</v>
      </c>
      <c r="I4476">
        <v>51</v>
      </c>
      <c r="J4476">
        <f>ABS((I4476-EDA!$A$15)/EDA!$B$15)</f>
        <v>0.6366182835529548</v>
      </c>
      <c r="K4476" t="str">
        <f t="shared" si="69"/>
        <v>No</v>
      </c>
      <c r="L4476">
        <f>ABS((C4476-EDA!$F$15)/EDA!$G$15)</f>
        <v>0.33994562991107119</v>
      </c>
      <c r="M4476" t="str">
        <f>IF(moras[[#This Row],[Z-Score Salario]]&gt;1.96, "Sí", "No")</f>
        <v>No</v>
      </c>
      <c r="N4476" s="14">
        <f>IF(ISBLANK(moras[[#This Row],[SALARIO]]), EDA!$M$8, moras[[#This Row],[SALARIO]])</f>
        <v>2145843</v>
      </c>
      <c r="O4476" s="14">
        <f xml:space="preserve"> IF(ISBLANK(moras[[#This Row],[EDAD]]), EDA!$E$8, moras[[#This Row],[EDAD]])</f>
        <v>51</v>
      </c>
      <c r="P4476" s="14" t="str">
        <f>IF(
    OR(ISBLANK(moras[[#This Row],[TIPO_ASEGURAMIENTO]]), moras[[#This Row],[TIPO_ASEGURAMIENTO]]=""),
    EDA!$A$32,
    moras[[#This Row],[TIPO_ASEGURAMIENTO]]
)</f>
        <v>ASALARIADO</v>
      </c>
    </row>
    <row r="4477" spans="1:16" x14ac:dyDescent="0.3">
      <c r="A4477">
        <v>4476</v>
      </c>
      <c r="B4477" t="s">
        <v>9</v>
      </c>
      <c r="C4477">
        <v>361811</v>
      </c>
      <c r="D4477" t="s">
        <v>18</v>
      </c>
      <c r="E4477" t="s">
        <v>16</v>
      </c>
      <c r="F4477" t="s">
        <v>12</v>
      </c>
      <c r="G4477" t="s">
        <v>13</v>
      </c>
      <c r="H4477" t="s">
        <v>13</v>
      </c>
      <c r="I4477">
        <v>31</v>
      </c>
      <c r="J4477">
        <f>ABS((I4477-EDA!$A$15)/EDA!$B$15)</f>
        <v>0.77488831798979529</v>
      </c>
      <c r="K4477" t="str">
        <f t="shared" si="69"/>
        <v>No</v>
      </c>
      <c r="L4477">
        <f>ABS((C4477-EDA!$F$15)/EDA!$G$15)</f>
        <v>0.36963318176102011</v>
      </c>
      <c r="M4477" t="str">
        <f>IF(moras[[#This Row],[Z-Score Salario]]&gt;1.96, "Sí", "No")</f>
        <v>No</v>
      </c>
      <c r="N4477" s="14">
        <f>IF(ISBLANK(moras[[#This Row],[SALARIO]]), EDA!$M$8, moras[[#This Row],[SALARIO]])</f>
        <v>361811</v>
      </c>
      <c r="O4477" s="14">
        <f xml:space="preserve"> IF(ISBLANK(moras[[#This Row],[EDAD]]), EDA!$E$8, moras[[#This Row],[EDAD]])</f>
        <v>31</v>
      </c>
      <c r="P4477" s="14" t="str">
        <f>IF(
    OR(ISBLANK(moras[[#This Row],[TIPO_ASEGURAMIENTO]]), moras[[#This Row],[TIPO_ASEGURAMIENTO]]=""),
    EDA!$A$32,
    moras[[#This Row],[TIPO_ASEGURAMIENTO]]
)</f>
        <v>TRABAJADOR INDEPENDIENTE</v>
      </c>
    </row>
    <row r="4478" spans="1:16" x14ac:dyDescent="0.3">
      <c r="A4478">
        <v>4477</v>
      </c>
      <c r="B4478" t="s">
        <v>9</v>
      </c>
      <c r="C4478">
        <v>382136</v>
      </c>
      <c r="D4478" t="s">
        <v>18</v>
      </c>
      <c r="E4478" t="s">
        <v>16</v>
      </c>
      <c r="F4478" t="s">
        <v>12</v>
      </c>
      <c r="G4478" t="s">
        <v>12</v>
      </c>
      <c r="H4478" t="s">
        <v>12</v>
      </c>
      <c r="I4478">
        <v>40</v>
      </c>
      <c r="J4478">
        <f>ABS((I4478-EDA!$A$15)/EDA!$B$15)</f>
        <v>0.13971034729555773</v>
      </c>
      <c r="K4478" t="str">
        <f t="shared" si="69"/>
        <v>No</v>
      </c>
      <c r="L4478">
        <f>ABS((C4478-EDA!$F$15)/EDA!$G$15)</f>
        <v>0.36929495941335472</v>
      </c>
      <c r="M4478" t="str">
        <f>IF(moras[[#This Row],[Z-Score Salario]]&gt;1.96, "Sí", "No")</f>
        <v>No</v>
      </c>
      <c r="N4478" s="14">
        <f>IF(ISBLANK(moras[[#This Row],[SALARIO]]), EDA!$M$8, moras[[#This Row],[SALARIO]])</f>
        <v>382136</v>
      </c>
      <c r="O4478" s="14">
        <f xml:space="preserve"> IF(ISBLANK(moras[[#This Row],[EDAD]]), EDA!$E$8, moras[[#This Row],[EDAD]])</f>
        <v>40</v>
      </c>
      <c r="P4478" s="14" t="str">
        <f>IF(
    OR(ISBLANK(moras[[#This Row],[TIPO_ASEGURAMIENTO]]), moras[[#This Row],[TIPO_ASEGURAMIENTO]]=""),
    EDA!$A$32,
    moras[[#This Row],[TIPO_ASEGURAMIENTO]]
)</f>
        <v>TRABAJADOR INDEPENDIENTE</v>
      </c>
    </row>
    <row r="4479" spans="1:16" x14ac:dyDescent="0.3">
      <c r="A4479">
        <v>4478</v>
      </c>
      <c r="B4479" t="s">
        <v>9</v>
      </c>
      <c r="C4479">
        <v>14912835</v>
      </c>
      <c r="D4479" t="s">
        <v>10</v>
      </c>
      <c r="E4479" t="s">
        <v>11</v>
      </c>
      <c r="F4479" t="s">
        <v>12</v>
      </c>
      <c r="G4479" t="s">
        <v>13</v>
      </c>
      <c r="H4479" t="s">
        <v>13</v>
      </c>
      <c r="I4479">
        <v>43</v>
      </c>
      <c r="J4479">
        <f>ABS((I4479-EDA!$A$15)/EDA!$B$15)</f>
        <v>7.2015642935854773E-2</v>
      </c>
      <c r="K4479" t="str">
        <f t="shared" si="69"/>
        <v>No</v>
      </c>
      <c r="L4479">
        <f>ABS((C4479-EDA!$F$15)/EDA!$G$15)</f>
        <v>0.12749387065569712</v>
      </c>
      <c r="M4479" t="str">
        <f>IF(moras[[#This Row],[Z-Score Salario]]&gt;1.96, "Sí", "No")</f>
        <v>No</v>
      </c>
      <c r="N4479" s="14">
        <f>IF(ISBLANK(moras[[#This Row],[SALARIO]]), EDA!$M$8, moras[[#This Row],[SALARIO]])</f>
        <v>14912835</v>
      </c>
      <c r="O4479" s="14">
        <f xml:space="preserve"> IF(ISBLANK(moras[[#This Row],[EDAD]]), EDA!$E$8, moras[[#This Row],[EDAD]])</f>
        <v>43</v>
      </c>
      <c r="P4479" s="14" t="str">
        <f>IF(
    OR(ISBLANK(moras[[#This Row],[TIPO_ASEGURAMIENTO]]), moras[[#This Row],[TIPO_ASEGURAMIENTO]]=""),
    EDA!$A$32,
    moras[[#This Row],[TIPO_ASEGURAMIENTO]]
)</f>
        <v>ASALARIADO</v>
      </c>
    </row>
    <row r="4480" spans="1:16" x14ac:dyDescent="0.3">
      <c r="A4480">
        <v>4479</v>
      </c>
      <c r="B4480" t="s">
        <v>9</v>
      </c>
      <c r="C4480">
        <v>61876276</v>
      </c>
      <c r="D4480" t="s">
        <v>10</v>
      </c>
      <c r="E4480" t="s">
        <v>16</v>
      </c>
      <c r="F4480" t="s">
        <v>12</v>
      </c>
      <c r="G4480" t="s">
        <v>12</v>
      </c>
      <c r="H4480" t="s">
        <v>13</v>
      </c>
      <c r="I4480">
        <v>47</v>
      </c>
      <c r="J4480">
        <f>ABS((I4480-EDA!$A$15)/EDA!$B$15)</f>
        <v>0.35431696324440481</v>
      </c>
      <c r="K4480" t="str">
        <f t="shared" si="69"/>
        <v>No</v>
      </c>
      <c r="L4480">
        <f>ABS((C4480-EDA!$F$15)/EDA!$G$15)</f>
        <v>0.65401093965012624</v>
      </c>
      <c r="M4480" t="str">
        <f>IF(moras[[#This Row],[Z-Score Salario]]&gt;1.96, "Sí", "No")</f>
        <v>No</v>
      </c>
      <c r="N4480" s="14">
        <f>IF(ISBLANK(moras[[#This Row],[SALARIO]]), EDA!$M$8, moras[[#This Row],[SALARIO]])</f>
        <v>61876276</v>
      </c>
      <c r="O4480" s="14">
        <f xml:space="preserve"> IF(ISBLANK(moras[[#This Row],[EDAD]]), EDA!$E$8, moras[[#This Row],[EDAD]])</f>
        <v>47</v>
      </c>
      <c r="P4480" s="14" t="str">
        <f>IF(
    OR(ISBLANK(moras[[#This Row],[TIPO_ASEGURAMIENTO]]), moras[[#This Row],[TIPO_ASEGURAMIENTO]]=""),
    EDA!$A$32,
    moras[[#This Row],[TIPO_ASEGURAMIENTO]]
)</f>
        <v>ASALARIADO</v>
      </c>
    </row>
    <row r="4481" spans="1:16" x14ac:dyDescent="0.3">
      <c r="A4481">
        <v>4480</v>
      </c>
      <c r="B4481" t="s">
        <v>15</v>
      </c>
      <c r="C4481">
        <v>60000</v>
      </c>
      <c r="D4481" t="s">
        <v>10</v>
      </c>
      <c r="E4481" t="s">
        <v>16</v>
      </c>
      <c r="F4481" t="s">
        <v>12</v>
      </c>
      <c r="G4481" t="s">
        <v>13</v>
      </c>
      <c r="H4481" t="s">
        <v>12</v>
      </c>
      <c r="I4481">
        <v>46</v>
      </c>
      <c r="J4481">
        <f>ABS((I4481-EDA!$A$15)/EDA!$B$15)</f>
        <v>0.2837416331672673</v>
      </c>
      <c r="K4481" t="str">
        <f t="shared" si="69"/>
        <v>No</v>
      </c>
      <c r="L4481">
        <f>ABS((C4481-EDA!$F$15)/EDA!$G$15)</f>
        <v>0.37465552985308626</v>
      </c>
      <c r="M4481" t="str">
        <f>IF(moras[[#This Row],[Z-Score Salario]]&gt;1.96, "Sí", "No")</f>
        <v>No</v>
      </c>
      <c r="N4481" s="14">
        <f>IF(ISBLANK(moras[[#This Row],[SALARIO]]), EDA!$M$8, moras[[#This Row],[SALARIO]])</f>
        <v>60000</v>
      </c>
      <c r="O4481" s="14">
        <f xml:space="preserve"> IF(ISBLANK(moras[[#This Row],[EDAD]]), EDA!$E$8, moras[[#This Row],[EDAD]])</f>
        <v>46</v>
      </c>
      <c r="P4481" s="14" t="str">
        <f>IF(
    OR(ISBLANK(moras[[#This Row],[TIPO_ASEGURAMIENTO]]), moras[[#This Row],[TIPO_ASEGURAMIENTO]]=""),
    EDA!$A$32,
    moras[[#This Row],[TIPO_ASEGURAMIENTO]]
)</f>
        <v>ASALARIADO</v>
      </c>
    </row>
    <row r="4482" spans="1:16" x14ac:dyDescent="0.3">
      <c r="A4482">
        <v>4481</v>
      </c>
      <c r="B4482" t="s">
        <v>9</v>
      </c>
      <c r="C4482">
        <v>297046</v>
      </c>
      <c r="D4482" t="s">
        <v>17</v>
      </c>
      <c r="E4482" t="s">
        <v>16</v>
      </c>
      <c r="F4482" t="s">
        <v>12</v>
      </c>
      <c r="G4482" t="s">
        <v>13</v>
      </c>
      <c r="H4482" t="s">
        <v>13</v>
      </c>
      <c r="I4482">
        <v>32</v>
      </c>
      <c r="J4482">
        <f>ABS((I4482-EDA!$A$15)/EDA!$B$15)</f>
        <v>0.70431298791265773</v>
      </c>
      <c r="K4482" t="str">
        <f t="shared" ref="K4482:K4545" si="70">IF(J4482 &gt;  1.96, "Sí","No")</f>
        <v>No</v>
      </c>
      <c r="L4482">
        <f>ABS((C4482-EDA!$F$15)/EDA!$G$15)</f>
        <v>0.37071091707942361</v>
      </c>
      <c r="M4482" t="str">
        <f>IF(moras[[#This Row],[Z-Score Salario]]&gt;1.96, "Sí", "No")</f>
        <v>No</v>
      </c>
      <c r="N4482" s="14">
        <f>IF(ISBLANK(moras[[#This Row],[SALARIO]]), EDA!$M$8, moras[[#This Row],[SALARIO]])</f>
        <v>297046</v>
      </c>
      <c r="O4482" s="14">
        <f xml:space="preserve"> IF(ISBLANK(moras[[#This Row],[EDAD]]), EDA!$E$8, moras[[#This Row],[EDAD]])</f>
        <v>32</v>
      </c>
      <c r="P4482" s="14" t="str">
        <f>IF(
    OR(ISBLANK(moras[[#This Row],[TIPO_ASEGURAMIENTO]]), moras[[#This Row],[TIPO_ASEGURAMIENTO]]=""),
    EDA!$A$32,
    moras[[#This Row],[TIPO_ASEGURAMIENTO]]
)</f>
        <v>ASEGURADO VOLUNTARIO</v>
      </c>
    </row>
    <row r="4483" spans="1:16" x14ac:dyDescent="0.3">
      <c r="A4483">
        <v>4482</v>
      </c>
      <c r="B4483" t="s">
        <v>15</v>
      </c>
      <c r="C4483">
        <v>320000</v>
      </c>
      <c r="D4483" t="s">
        <v>10</v>
      </c>
      <c r="E4483" t="s">
        <v>16</v>
      </c>
      <c r="F4483" t="s">
        <v>12</v>
      </c>
      <c r="G4483" t="s">
        <v>12</v>
      </c>
      <c r="H4483" t="s">
        <v>12</v>
      </c>
      <c r="I4483">
        <v>38</v>
      </c>
      <c r="J4483">
        <f>ABS((I4483-EDA!$A$15)/EDA!$B$15)</f>
        <v>0.28086100744983278</v>
      </c>
      <c r="K4483" t="str">
        <f t="shared" si="70"/>
        <v>No</v>
      </c>
      <c r="L4483">
        <f>ABS((C4483-EDA!$F$15)/EDA!$G$15)</f>
        <v>0.37032894631591501</v>
      </c>
      <c r="M4483" t="str">
        <f>IF(moras[[#This Row],[Z-Score Salario]]&gt;1.96, "Sí", "No")</f>
        <v>No</v>
      </c>
      <c r="N4483" s="14">
        <f>IF(ISBLANK(moras[[#This Row],[SALARIO]]), EDA!$M$8, moras[[#This Row],[SALARIO]])</f>
        <v>320000</v>
      </c>
      <c r="O4483" s="14">
        <f xml:space="preserve"> IF(ISBLANK(moras[[#This Row],[EDAD]]), EDA!$E$8, moras[[#This Row],[EDAD]])</f>
        <v>38</v>
      </c>
      <c r="P4483" s="14" t="str">
        <f>IF(
    OR(ISBLANK(moras[[#This Row],[TIPO_ASEGURAMIENTO]]), moras[[#This Row],[TIPO_ASEGURAMIENTO]]=""),
    EDA!$A$32,
    moras[[#This Row],[TIPO_ASEGURAMIENTO]]
)</f>
        <v>ASALARIADO</v>
      </c>
    </row>
    <row r="4484" spans="1:16" x14ac:dyDescent="0.3">
      <c r="A4484">
        <v>4483</v>
      </c>
      <c r="B4484" t="s">
        <v>9</v>
      </c>
      <c r="C4484">
        <v>1160779</v>
      </c>
      <c r="D4484" t="s">
        <v>10</v>
      </c>
      <c r="E4484" t="s">
        <v>11</v>
      </c>
      <c r="F4484" t="s">
        <v>12</v>
      </c>
      <c r="G4484" t="s">
        <v>13</v>
      </c>
      <c r="H4484" t="s">
        <v>13</v>
      </c>
      <c r="I4484">
        <v>28</v>
      </c>
      <c r="J4484">
        <f>ABS((I4484-EDA!$A$15)/EDA!$B$15)</f>
        <v>0.98661430822120777</v>
      </c>
      <c r="K4484" t="str">
        <f t="shared" si="70"/>
        <v>No</v>
      </c>
      <c r="L4484">
        <f>ABS((C4484-EDA!$F$15)/EDA!$G$15)</f>
        <v>0.35633779023976375</v>
      </c>
      <c r="M4484" t="str">
        <f>IF(moras[[#This Row],[Z-Score Salario]]&gt;1.96, "Sí", "No")</f>
        <v>No</v>
      </c>
      <c r="N4484" s="14">
        <f>IF(ISBLANK(moras[[#This Row],[SALARIO]]), EDA!$M$8, moras[[#This Row],[SALARIO]])</f>
        <v>1160779</v>
      </c>
      <c r="O4484" s="14">
        <f xml:space="preserve"> IF(ISBLANK(moras[[#This Row],[EDAD]]), EDA!$E$8, moras[[#This Row],[EDAD]])</f>
        <v>28</v>
      </c>
      <c r="P4484" s="14" t="str">
        <f>IF(
    OR(ISBLANK(moras[[#This Row],[TIPO_ASEGURAMIENTO]]), moras[[#This Row],[TIPO_ASEGURAMIENTO]]=""),
    EDA!$A$32,
    moras[[#This Row],[TIPO_ASEGURAMIENTO]]
)</f>
        <v>ASALARIADO</v>
      </c>
    </row>
    <row r="4485" spans="1:16" x14ac:dyDescent="0.3">
      <c r="A4485">
        <v>4484</v>
      </c>
      <c r="B4485" t="s">
        <v>15</v>
      </c>
      <c r="C4485">
        <v>1034000</v>
      </c>
      <c r="D4485" t="s">
        <v>10</v>
      </c>
      <c r="E4485" t="s">
        <v>16</v>
      </c>
      <c r="F4485" t="s">
        <v>12</v>
      </c>
      <c r="G4485" t="s">
        <v>13</v>
      </c>
      <c r="H4485" t="s">
        <v>13</v>
      </c>
      <c r="I4485">
        <v>35</v>
      </c>
      <c r="J4485">
        <f>ABS((I4485-EDA!$A$15)/EDA!$B$15)</f>
        <v>0.49258699768124525</v>
      </c>
      <c r="K4485" t="str">
        <f t="shared" si="70"/>
        <v>No</v>
      </c>
      <c r="L4485">
        <f>ABS((C4485-EDA!$F$15)/EDA!$G$15)</f>
        <v>0.35844748229460621</v>
      </c>
      <c r="M4485" t="str">
        <f>IF(moras[[#This Row],[Z-Score Salario]]&gt;1.96, "Sí", "No")</f>
        <v>No</v>
      </c>
      <c r="N4485" s="14">
        <f>IF(ISBLANK(moras[[#This Row],[SALARIO]]), EDA!$M$8, moras[[#This Row],[SALARIO]])</f>
        <v>1034000</v>
      </c>
      <c r="O4485" s="14">
        <f xml:space="preserve"> IF(ISBLANK(moras[[#This Row],[EDAD]]), EDA!$E$8, moras[[#This Row],[EDAD]])</f>
        <v>35</v>
      </c>
      <c r="P4485" s="14" t="str">
        <f>IF(
    OR(ISBLANK(moras[[#This Row],[TIPO_ASEGURAMIENTO]]), moras[[#This Row],[TIPO_ASEGURAMIENTO]]=""),
    EDA!$A$32,
    moras[[#This Row],[TIPO_ASEGURAMIENTO]]
)</f>
        <v>ASALARIADO</v>
      </c>
    </row>
    <row r="4486" spans="1:16" x14ac:dyDescent="0.3">
      <c r="A4486">
        <v>4485</v>
      </c>
      <c r="B4486" t="s">
        <v>9</v>
      </c>
      <c r="C4486">
        <v>526558</v>
      </c>
      <c r="D4486" t="s">
        <v>10</v>
      </c>
      <c r="E4486" t="s">
        <v>16</v>
      </c>
      <c r="F4486" t="s">
        <v>12</v>
      </c>
      <c r="G4486" t="s">
        <v>12</v>
      </c>
      <c r="H4486" t="s">
        <v>13</v>
      </c>
      <c r="I4486">
        <v>47</v>
      </c>
      <c r="J4486">
        <f>ABS((I4486-EDA!$A$15)/EDA!$B$15)</f>
        <v>0.35431696324440481</v>
      </c>
      <c r="K4486" t="str">
        <f t="shared" si="70"/>
        <v>No</v>
      </c>
      <c r="L4486">
        <f>ABS((C4486-EDA!$F$15)/EDA!$G$15)</f>
        <v>0.36689167538410339</v>
      </c>
      <c r="M4486" t="str">
        <f>IF(moras[[#This Row],[Z-Score Salario]]&gt;1.96, "Sí", "No")</f>
        <v>No</v>
      </c>
      <c r="N4486" s="14">
        <f>IF(ISBLANK(moras[[#This Row],[SALARIO]]), EDA!$M$8, moras[[#This Row],[SALARIO]])</f>
        <v>526558</v>
      </c>
      <c r="O4486" s="14">
        <f xml:space="preserve"> IF(ISBLANK(moras[[#This Row],[EDAD]]), EDA!$E$8, moras[[#This Row],[EDAD]])</f>
        <v>47</v>
      </c>
      <c r="P4486" s="14" t="str">
        <f>IF(
    OR(ISBLANK(moras[[#This Row],[TIPO_ASEGURAMIENTO]]), moras[[#This Row],[TIPO_ASEGURAMIENTO]]=""),
    EDA!$A$32,
    moras[[#This Row],[TIPO_ASEGURAMIENTO]]
)</f>
        <v>ASALARIADO</v>
      </c>
    </row>
    <row r="4487" spans="1:16" x14ac:dyDescent="0.3">
      <c r="A4487">
        <v>4486</v>
      </c>
      <c r="B4487" t="s">
        <v>9</v>
      </c>
      <c r="C4487">
        <v>957698</v>
      </c>
      <c r="D4487" t="s">
        <v>10</v>
      </c>
      <c r="E4487" t="s">
        <v>16</v>
      </c>
      <c r="F4487" t="s">
        <v>12</v>
      </c>
      <c r="G4487" t="s">
        <v>13</v>
      </c>
      <c r="H4487" t="s">
        <v>13</v>
      </c>
      <c r="I4487">
        <v>26</v>
      </c>
      <c r="J4487">
        <f>ABS((I4487-EDA!$A$15)/EDA!$B$15)</f>
        <v>1.1277649683754829</v>
      </c>
      <c r="K4487" t="str">
        <f t="shared" si="70"/>
        <v>No</v>
      </c>
      <c r="L4487">
        <f>ABS((C4487-EDA!$F$15)/EDA!$G$15)</f>
        <v>0.35971720143711872</v>
      </c>
      <c r="M4487" t="str">
        <f>IF(moras[[#This Row],[Z-Score Salario]]&gt;1.96, "Sí", "No")</f>
        <v>No</v>
      </c>
      <c r="N4487" s="14">
        <f>IF(ISBLANK(moras[[#This Row],[SALARIO]]), EDA!$M$8, moras[[#This Row],[SALARIO]])</f>
        <v>957698</v>
      </c>
      <c r="O4487" s="14">
        <f xml:space="preserve"> IF(ISBLANK(moras[[#This Row],[EDAD]]), EDA!$E$8, moras[[#This Row],[EDAD]])</f>
        <v>26</v>
      </c>
      <c r="P4487" s="14" t="str">
        <f>IF(
    OR(ISBLANK(moras[[#This Row],[TIPO_ASEGURAMIENTO]]), moras[[#This Row],[TIPO_ASEGURAMIENTO]]=""),
    EDA!$A$32,
    moras[[#This Row],[TIPO_ASEGURAMIENTO]]
)</f>
        <v>ASALARIADO</v>
      </c>
    </row>
    <row r="4488" spans="1:16" x14ac:dyDescent="0.3">
      <c r="A4488">
        <v>4487</v>
      </c>
      <c r="B4488" t="s">
        <v>9</v>
      </c>
      <c r="C4488">
        <v>24327086</v>
      </c>
      <c r="D4488" t="s">
        <v>10</v>
      </c>
      <c r="E4488" t="s">
        <v>16</v>
      </c>
      <c r="F4488" t="s">
        <v>12</v>
      </c>
      <c r="G4488" t="s">
        <v>13</v>
      </c>
      <c r="H4488" t="s">
        <v>13</v>
      </c>
      <c r="I4488">
        <v>49</v>
      </c>
      <c r="J4488">
        <f>ABS((I4488-EDA!$A$15)/EDA!$B$15)</f>
        <v>0.49546762339867978</v>
      </c>
      <c r="K4488" t="str">
        <f t="shared" si="70"/>
        <v>No</v>
      </c>
      <c r="L4488">
        <f>ABS((C4488-EDA!$F$15)/EDA!$G$15)</f>
        <v>2.9165911618911071E-2</v>
      </c>
      <c r="M4488" t="str">
        <f>IF(moras[[#This Row],[Z-Score Salario]]&gt;1.96, "Sí", "No")</f>
        <v>No</v>
      </c>
      <c r="N4488" s="14">
        <f>IF(ISBLANK(moras[[#This Row],[SALARIO]]), EDA!$M$8, moras[[#This Row],[SALARIO]])</f>
        <v>24327086</v>
      </c>
      <c r="O4488" s="14">
        <f xml:space="preserve"> IF(ISBLANK(moras[[#This Row],[EDAD]]), EDA!$E$8, moras[[#This Row],[EDAD]])</f>
        <v>49</v>
      </c>
      <c r="P4488" s="14" t="str">
        <f>IF(
    OR(ISBLANK(moras[[#This Row],[TIPO_ASEGURAMIENTO]]), moras[[#This Row],[TIPO_ASEGURAMIENTO]]=""),
    EDA!$A$32,
    moras[[#This Row],[TIPO_ASEGURAMIENTO]]
)</f>
        <v>ASALARIADO</v>
      </c>
    </row>
    <row r="4489" spans="1:16" x14ac:dyDescent="0.3">
      <c r="A4489">
        <v>4488</v>
      </c>
      <c r="B4489" t="s">
        <v>9</v>
      </c>
      <c r="C4489">
        <v>70942379</v>
      </c>
      <c r="D4489" t="s">
        <v>10</v>
      </c>
      <c r="E4489" t="s">
        <v>16</v>
      </c>
      <c r="F4489" t="s">
        <v>12</v>
      </c>
      <c r="G4489" t="s">
        <v>13</v>
      </c>
      <c r="H4489" t="s">
        <v>13</v>
      </c>
      <c r="I4489">
        <v>34</v>
      </c>
      <c r="J4489">
        <f>ABS((I4489-EDA!$A$15)/EDA!$B$15)</f>
        <v>0.56316232775838282</v>
      </c>
      <c r="K4489" t="str">
        <f t="shared" si="70"/>
        <v>No</v>
      </c>
      <c r="L4489">
        <f>ABS((C4489-EDA!$F$15)/EDA!$G$15)</f>
        <v>0.80487729344281478</v>
      </c>
      <c r="M4489" t="str">
        <f>IF(moras[[#This Row],[Z-Score Salario]]&gt;1.96, "Sí", "No")</f>
        <v>No</v>
      </c>
      <c r="N4489" s="14">
        <f>IF(ISBLANK(moras[[#This Row],[SALARIO]]), EDA!$M$8, moras[[#This Row],[SALARIO]])</f>
        <v>70942379</v>
      </c>
      <c r="O4489" s="14">
        <f xml:space="preserve"> IF(ISBLANK(moras[[#This Row],[EDAD]]), EDA!$E$8, moras[[#This Row],[EDAD]])</f>
        <v>34</v>
      </c>
      <c r="P4489" s="14" t="str">
        <f>IF(
    OR(ISBLANK(moras[[#This Row],[TIPO_ASEGURAMIENTO]]), moras[[#This Row],[TIPO_ASEGURAMIENTO]]=""),
    EDA!$A$32,
    moras[[#This Row],[TIPO_ASEGURAMIENTO]]
)</f>
        <v>ASALARIADO</v>
      </c>
    </row>
    <row r="4490" spans="1:16" x14ac:dyDescent="0.3">
      <c r="A4490">
        <v>4489</v>
      </c>
      <c r="B4490" t="s">
        <v>9</v>
      </c>
      <c r="C4490">
        <v>297046</v>
      </c>
      <c r="D4490" t="s">
        <v>18</v>
      </c>
      <c r="E4490" t="s">
        <v>16</v>
      </c>
      <c r="F4490" t="s">
        <v>12</v>
      </c>
      <c r="G4490" t="s">
        <v>13</v>
      </c>
      <c r="H4490" t="s">
        <v>13</v>
      </c>
      <c r="I4490">
        <v>54</v>
      </c>
      <c r="J4490">
        <f>ABS((I4490-EDA!$A$15)/EDA!$B$15)</f>
        <v>0.84834427378436728</v>
      </c>
      <c r="K4490" t="str">
        <f t="shared" si="70"/>
        <v>No</v>
      </c>
      <c r="L4490">
        <f>ABS((C4490-EDA!$F$15)/EDA!$G$15)</f>
        <v>0.37071091707942361</v>
      </c>
      <c r="M4490" t="str">
        <f>IF(moras[[#This Row],[Z-Score Salario]]&gt;1.96, "Sí", "No")</f>
        <v>No</v>
      </c>
      <c r="N4490" s="14">
        <f>IF(ISBLANK(moras[[#This Row],[SALARIO]]), EDA!$M$8, moras[[#This Row],[SALARIO]])</f>
        <v>297046</v>
      </c>
      <c r="O4490" s="14">
        <f xml:space="preserve"> IF(ISBLANK(moras[[#This Row],[EDAD]]), EDA!$E$8, moras[[#This Row],[EDAD]])</f>
        <v>54</v>
      </c>
      <c r="P4490" s="14" t="str">
        <f>IF(
    OR(ISBLANK(moras[[#This Row],[TIPO_ASEGURAMIENTO]]), moras[[#This Row],[TIPO_ASEGURAMIENTO]]=""),
    EDA!$A$32,
    moras[[#This Row],[TIPO_ASEGURAMIENTO]]
)</f>
        <v>TRABAJADOR INDEPENDIENTE</v>
      </c>
    </row>
    <row r="4491" spans="1:16" x14ac:dyDescent="0.3">
      <c r="A4491">
        <v>4490</v>
      </c>
      <c r="B4491" t="s">
        <v>15</v>
      </c>
      <c r="C4491">
        <v>297050</v>
      </c>
      <c r="D4491" t="s">
        <v>17</v>
      </c>
      <c r="E4491" t="s">
        <v>16</v>
      </c>
      <c r="F4491" t="s">
        <v>12</v>
      </c>
      <c r="G4491" t="s">
        <v>13</v>
      </c>
      <c r="H4491" t="s">
        <v>13</v>
      </c>
      <c r="I4491">
        <v>52</v>
      </c>
      <c r="J4491">
        <f>ABS((I4491-EDA!$A$15)/EDA!$B$15)</f>
        <v>0.70719361363009237</v>
      </c>
      <c r="K4491" t="str">
        <f t="shared" si="70"/>
        <v>No</v>
      </c>
      <c r="L4491">
        <f>ABS((C4491-EDA!$F$15)/EDA!$G$15)</f>
        <v>0.37071085051659991</v>
      </c>
      <c r="M4491" t="str">
        <f>IF(moras[[#This Row],[Z-Score Salario]]&gt;1.96, "Sí", "No")</f>
        <v>No</v>
      </c>
      <c r="N4491" s="14">
        <f>IF(ISBLANK(moras[[#This Row],[SALARIO]]), EDA!$M$8, moras[[#This Row],[SALARIO]])</f>
        <v>297050</v>
      </c>
      <c r="O4491" s="14">
        <f xml:space="preserve"> IF(ISBLANK(moras[[#This Row],[EDAD]]), EDA!$E$8, moras[[#This Row],[EDAD]])</f>
        <v>52</v>
      </c>
      <c r="P4491" s="14" t="str">
        <f>IF(
    OR(ISBLANK(moras[[#This Row],[TIPO_ASEGURAMIENTO]]), moras[[#This Row],[TIPO_ASEGURAMIENTO]]=""),
    EDA!$A$32,
    moras[[#This Row],[TIPO_ASEGURAMIENTO]]
)</f>
        <v>ASEGURADO VOLUNTARIO</v>
      </c>
    </row>
    <row r="4492" spans="1:16" x14ac:dyDescent="0.3">
      <c r="A4492">
        <v>4491</v>
      </c>
      <c r="B4492" t="s">
        <v>9</v>
      </c>
      <c r="C4492">
        <v>299647</v>
      </c>
      <c r="D4492" t="s">
        <v>17</v>
      </c>
      <c r="E4492" t="s">
        <v>16</v>
      </c>
      <c r="F4492" t="s">
        <v>12</v>
      </c>
      <c r="G4492" t="s">
        <v>13</v>
      </c>
      <c r="H4492" t="s">
        <v>13</v>
      </c>
      <c r="I4492">
        <v>73</v>
      </c>
      <c r="J4492">
        <f>ABS((I4492-EDA!$A$15)/EDA!$B$15)</f>
        <v>2.1892755452499797</v>
      </c>
      <c r="K4492" t="str">
        <f t="shared" si="70"/>
        <v>Sí</v>
      </c>
      <c r="L4492">
        <f>ABS((C4492-EDA!$F$15)/EDA!$G$15)</f>
        <v>0.37066763460334595</v>
      </c>
      <c r="M4492" t="str">
        <f>IF(moras[[#This Row],[Z-Score Salario]]&gt;1.96, "Sí", "No")</f>
        <v>No</v>
      </c>
      <c r="N4492" s="14">
        <f>IF(ISBLANK(moras[[#This Row],[SALARIO]]), EDA!$M$8, moras[[#This Row],[SALARIO]])</f>
        <v>299647</v>
      </c>
      <c r="O4492" s="14">
        <f xml:space="preserve"> IF(ISBLANK(moras[[#This Row],[EDAD]]), EDA!$E$8, moras[[#This Row],[EDAD]])</f>
        <v>73</v>
      </c>
      <c r="P4492" s="14" t="str">
        <f>IF(
    OR(ISBLANK(moras[[#This Row],[TIPO_ASEGURAMIENTO]]), moras[[#This Row],[TIPO_ASEGURAMIENTO]]=""),
    EDA!$A$32,
    moras[[#This Row],[TIPO_ASEGURAMIENTO]]
)</f>
        <v>ASEGURADO VOLUNTARIO</v>
      </c>
    </row>
    <row r="4493" spans="1:16" x14ac:dyDescent="0.3">
      <c r="A4493">
        <v>4492</v>
      </c>
      <c r="B4493" t="s">
        <v>9</v>
      </c>
      <c r="C4493">
        <v>37265925</v>
      </c>
      <c r="D4493" t="s">
        <v>10</v>
      </c>
      <c r="E4493" t="s">
        <v>16</v>
      </c>
      <c r="F4493" t="s">
        <v>12</v>
      </c>
      <c r="G4493" t="s">
        <v>12</v>
      </c>
      <c r="H4493" t="s">
        <v>13</v>
      </c>
      <c r="I4493">
        <v>48</v>
      </c>
      <c r="J4493">
        <f>ABS((I4493-EDA!$A$15)/EDA!$B$15)</f>
        <v>0.42489229332154227</v>
      </c>
      <c r="K4493" t="str">
        <f t="shared" si="70"/>
        <v>No</v>
      </c>
      <c r="L4493">
        <f>ABS((C4493-EDA!$F$15)/EDA!$G$15)</f>
        <v>0.24447732626317847</v>
      </c>
      <c r="M4493" t="str">
        <f>IF(moras[[#This Row],[Z-Score Salario]]&gt;1.96, "Sí", "No")</f>
        <v>No</v>
      </c>
      <c r="N4493" s="14">
        <f>IF(ISBLANK(moras[[#This Row],[SALARIO]]), EDA!$M$8, moras[[#This Row],[SALARIO]])</f>
        <v>37265925</v>
      </c>
      <c r="O4493" s="14">
        <f xml:space="preserve"> IF(ISBLANK(moras[[#This Row],[EDAD]]), EDA!$E$8, moras[[#This Row],[EDAD]])</f>
        <v>48</v>
      </c>
      <c r="P4493" s="14" t="str">
        <f>IF(
    OR(ISBLANK(moras[[#This Row],[TIPO_ASEGURAMIENTO]]), moras[[#This Row],[TIPO_ASEGURAMIENTO]]=""),
    EDA!$A$32,
    moras[[#This Row],[TIPO_ASEGURAMIENTO]]
)</f>
        <v>ASALARIADO</v>
      </c>
    </row>
    <row r="4494" spans="1:16" x14ac:dyDescent="0.3">
      <c r="A4494">
        <v>4493</v>
      </c>
      <c r="B4494" t="s">
        <v>9</v>
      </c>
      <c r="C4494">
        <v>297050</v>
      </c>
      <c r="D4494" t="s">
        <v>17</v>
      </c>
      <c r="E4494" t="s">
        <v>16</v>
      </c>
      <c r="F4494" t="s">
        <v>12</v>
      </c>
      <c r="G4494" t="s">
        <v>13</v>
      </c>
      <c r="H4494" t="s">
        <v>13</v>
      </c>
      <c r="I4494">
        <v>27</v>
      </c>
      <c r="J4494">
        <f>ABS((I4494-EDA!$A$15)/EDA!$B$15)</f>
        <v>1.0571896382983452</v>
      </c>
      <c r="K4494" t="str">
        <f t="shared" si="70"/>
        <v>No</v>
      </c>
      <c r="L4494">
        <f>ABS((C4494-EDA!$F$15)/EDA!$G$15)</f>
        <v>0.37071085051659991</v>
      </c>
      <c r="M4494" t="str">
        <f>IF(moras[[#This Row],[Z-Score Salario]]&gt;1.96, "Sí", "No")</f>
        <v>No</v>
      </c>
      <c r="N4494" s="14">
        <f>IF(ISBLANK(moras[[#This Row],[SALARIO]]), EDA!$M$8, moras[[#This Row],[SALARIO]])</f>
        <v>297050</v>
      </c>
      <c r="O4494" s="14">
        <f xml:space="preserve"> IF(ISBLANK(moras[[#This Row],[EDAD]]), EDA!$E$8, moras[[#This Row],[EDAD]])</f>
        <v>27</v>
      </c>
      <c r="P4494" s="14" t="str">
        <f>IF(
    OR(ISBLANK(moras[[#This Row],[TIPO_ASEGURAMIENTO]]), moras[[#This Row],[TIPO_ASEGURAMIENTO]]=""),
    EDA!$A$32,
    moras[[#This Row],[TIPO_ASEGURAMIENTO]]
)</f>
        <v>ASEGURADO VOLUNTARIO</v>
      </c>
    </row>
    <row r="4495" spans="1:16" x14ac:dyDescent="0.3">
      <c r="A4495">
        <v>4494</v>
      </c>
      <c r="B4495" t="s">
        <v>9</v>
      </c>
      <c r="C4495">
        <v>33793318</v>
      </c>
      <c r="D4495" t="s">
        <v>10</v>
      </c>
      <c r="E4495" t="s">
        <v>11</v>
      </c>
      <c r="F4495" t="s">
        <v>12</v>
      </c>
      <c r="G4495" t="s">
        <v>13</v>
      </c>
      <c r="H4495" t="s">
        <v>13</v>
      </c>
      <c r="I4495">
        <v>24</v>
      </c>
      <c r="J4495">
        <f>ABS((I4495-EDA!$A$15)/EDA!$B$15)</f>
        <v>1.2689156285297578</v>
      </c>
      <c r="K4495" t="str">
        <f t="shared" si="70"/>
        <v>No</v>
      </c>
      <c r="L4495">
        <f>ABS((C4495-EDA!$F$15)/EDA!$G$15)</f>
        <v>0.18669069442754119</v>
      </c>
      <c r="M4495" t="str">
        <f>IF(moras[[#This Row],[Z-Score Salario]]&gt;1.96, "Sí", "No")</f>
        <v>No</v>
      </c>
      <c r="N4495" s="14">
        <f>IF(ISBLANK(moras[[#This Row],[SALARIO]]), EDA!$M$8, moras[[#This Row],[SALARIO]])</f>
        <v>33793318</v>
      </c>
      <c r="O4495" s="14">
        <f xml:space="preserve"> IF(ISBLANK(moras[[#This Row],[EDAD]]), EDA!$E$8, moras[[#This Row],[EDAD]])</f>
        <v>24</v>
      </c>
      <c r="P4495" s="14" t="str">
        <f>IF(
    OR(ISBLANK(moras[[#This Row],[TIPO_ASEGURAMIENTO]]), moras[[#This Row],[TIPO_ASEGURAMIENTO]]=""),
    EDA!$A$32,
    moras[[#This Row],[TIPO_ASEGURAMIENTO]]
)</f>
        <v>ASALARIADO</v>
      </c>
    </row>
    <row r="4496" spans="1:16" x14ac:dyDescent="0.3">
      <c r="A4496">
        <v>4495</v>
      </c>
      <c r="B4496" t="s">
        <v>9</v>
      </c>
      <c r="C4496">
        <v>557416</v>
      </c>
      <c r="D4496" t="s">
        <v>18</v>
      </c>
      <c r="E4496" t="s">
        <v>16</v>
      </c>
      <c r="F4496" t="s">
        <v>12</v>
      </c>
      <c r="G4496" t="s">
        <v>13</v>
      </c>
      <c r="H4496" t="s">
        <v>13</v>
      </c>
      <c r="I4496">
        <v>33</v>
      </c>
      <c r="J4496">
        <f>ABS((I4496-EDA!$A$15)/EDA!$B$15)</f>
        <v>0.63373765783552027</v>
      </c>
      <c r="K4496" t="str">
        <f t="shared" si="70"/>
        <v>No</v>
      </c>
      <c r="L4496">
        <f>ABS((C4496-EDA!$F$15)/EDA!$G$15)</f>
        <v>0.3663781764810648</v>
      </c>
      <c r="M4496" t="str">
        <f>IF(moras[[#This Row],[Z-Score Salario]]&gt;1.96, "Sí", "No")</f>
        <v>No</v>
      </c>
      <c r="N4496" s="14">
        <f>IF(ISBLANK(moras[[#This Row],[SALARIO]]), EDA!$M$8, moras[[#This Row],[SALARIO]])</f>
        <v>557416</v>
      </c>
      <c r="O4496" s="14">
        <f xml:space="preserve"> IF(ISBLANK(moras[[#This Row],[EDAD]]), EDA!$E$8, moras[[#This Row],[EDAD]])</f>
        <v>33</v>
      </c>
      <c r="P4496" s="14" t="str">
        <f>IF(
    OR(ISBLANK(moras[[#This Row],[TIPO_ASEGURAMIENTO]]), moras[[#This Row],[TIPO_ASEGURAMIENTO]]=""),
    EDA!$A$32,
    moras[[#This Row],[TIPO_ASEGURAMIENTO]]
)</f>
        <v>TRABAJADOR INDEPENDIENTE</v>
      </c>
    </row>
    <row r="4497" spans="1:16" x14ac:dyDescent="0.3">
      <c r="A4497">
        <v>4496</v>
      </c>
      <c r="B4497" t="s">
        <v>15</v>
      </c>
      <c r="C4497">
        <v>316663</v>
      </c>
      <c r="D4497" t="s">
        <v>18</v>
      </c>
      <c r="E4497" t="s">
        <v>16</v>
      </c>
      <c r="F4497" t="s">
        <v>12</v>
      </c>
      <c r="G4497" t="s">
        <v>13</v>
      </c>
      <c r="H4497" t="s">
        <v>12</v>
      </c>
      <c r="I4497">
        <v>32</v>
      </c>
      <c r="J4497">
        <f>ABS((I4497-EDA!$A$15)/EDA!$B$15)</f>
        <v>0.70431298791265773</v>
      </c>
      <c r="K4497" t="str">
        <f t="shared" si="70"/>
        <v>No</v>
      </c>
      <c r="L4497">
        <f>ABS((C4497-EDA!$F$15)/EDA!$G$15)</f>
        <v>0.37038447635154403</v>
      </c>
      <c r="M4497" t="str">
        <f>IF(moras[[#This Row],[Z-Score Salario]]&gt;1.96, "Sí", "No")</f>
        <v>No</v>
      </c>
      <c r="N4497" s="14">
        <f>IF(ISBLANK(moras[[#This Row],[SALARIO]]), EDA!$M$8, moras[[#This Row],[SALARIO]])</f>
        <v>316663</v>
      </c>
      <c r="O4497" s="14">
        <f xml:space="preserve"> IF(ISBLANK(moras[[#This Row],[EDAD]]), EDA!$E$8, moras[[#This Row],[EDAD]])</f>
        <v>32</v>
      </c>
      <c r="P4497" s="14" t="str">
        <f>IF(
    OR(ISBLANK(moras[[#This Row],[TIPO_ASEGURAMIENTO]]), moras[[#This Row],[TIPO_ASEGURAMIENTO]]=""),
    EDA!$A$32,
    moras[[#This Row],[TIPO_ASEGURAMIENTO]]
)</f>
        <v>TRABAJADOR INDEPENDIENTE</v>
      </c>
    </row>
    <row r="4498" spans="1:16" x14ac:dyDescent="0.3">
      <c r="A4498">
        <v>4497</v>
      </c>
      <c r="B4498" t="s">
        <v>15</v>
      </c>
      <c r="C4498">
        <v>77942425</v>
      </c>
      <c r="D4498" t="s">
        <v>10</v>
      </c>
      <c r="E4498" t="s">
        <v>11</v>
      </c>
      <c r="F4498" t="s">
        <v>12</v>
      </c>
      <c r="G4498" t="s">
        <v>13</v>
      </c>
      <c r="H4498" t="s">
        <v>13</v>
      </c>
      <c r="I4498">
        <v>28</v>
      </c>
      <c r="J4498">
        <f>ABS((I4498-EDA!$A$15)/EDA!$B$15)</f>
        <v>0.98661430822120777</v>
      </c>
      <c r="K4498" t="str">
        <f t="shared" si="70"/>
        <v>No</v>
      </c>
      <c r="L4498">
        <f>ABS((C4498-EDA!$F$15)/EDA!$G$15)</f>
        <v>0.92136300030066698</v>
      </c>
      <c r="M4498" t="str">
        <f>IF(moras[[#This Row],[Z-Score Salario]]&gt;1.96, "Sí", "No")</f>
        <v>No</v>
      </c>
      <c r="N4498" s="14">
        <f>IF(ISBLANK(moras[[#This Row],[SALARIO]]), EDA!$M$8, moras[[#This Row],[SALARIO]])</f>
        <v>77942425</v>
      </c>
      <c r="O4498" s="14">
        <f xml:space="preserve"> IF(ISBLANK(moras[[#This Row],[EDAD]]), EDA!$E$8, moras[[#This Row],[EDAD]])</f>
        <v>28</v>
      </c>
      <c r="P4498" s="14" t="str">
        <f>IF(
    OR(ISBLANK(moras[[#This Row],[TIPO_ASEGURAMIENTO]]), moras[[#This Row],[TIPO_ASEGURAMIENTO]]=""),
    EDA!$A$32,
    moras[[#This Row],[TIPO_ASEGURAMIENTO]]
)</f>
        <v>ASALARIADO</v>
      </c>
    </row>
    <row r="4499" spans="1:16" x14ac:dyDescent="0.3">
      <c r="A4499">
        <v>4498</v>
      </c>
      <c r="B4499" t="s">
        <v>9</v>
      </c>
      <c r="C4499">
        <v>53584293</v>
      </c>
      <c r="D4499" t="s">
        <v>10</v>
      </c>
      <c r="E4499" t="s">
        <v>16</v>
      </c>
      <c r="F4499" t="s">
        <v>12</v>
      </c>
      <c r="G4499" t="s">
        <v>13</v>
      </c>
      <c r="H4499" t="s">
        <v>13</v>
      </c>
      <c r="I4499">
        <v>36</v>
      </c>
      <c r="J4499">
        <f>ABS((I4499-EDA!$A$15)/EDA!$B$15)</f>
        <v>0.42201166760410774</v>
      </c>
      <c r="K4499" t="str">
        <f t="shared" si="70"/>
        <v>No</v>
      </c>
      <c r="L4499">
        <f>ABS((C4499-EDA!$F$15)/EDA!$G$15)</f>
        <v>0.51602648911818771</v>
      </c>
      <c r="M4499" t="str">
        <f>IF(moras[[#This Row],[Z-Score Salario]]&gt;1.96, "Sí", "No")</f>
        <v>No</v>
      </c>
      <c r="N4499" s="14">
        <f>IF(ISBLANK(moras[[#This Row],[SALARIO]]), EDA!$M$8, moras[[#This Row],[SALARIO]])</f>
        <v>53584293</v>
      </c>
      <c r="O4499" s="14">
        <f xml:space="preserve"> IF(ISBLANK(moras[[#This Row],[EDAD]]), EDA!$E$8, moras[[#This Row],[EDAD]])</f>
        <v>36</v>
      </c>
      <c r="P4499" s="14" t="str">
        <f>IF(
    OR(ISBLANK(moras[[#This Row],[TIPO_ASEGURAMIENTO]]), moras[[#This Row],[TIPO_ASEGURAMIENTO]]=""),
    EDA!$A$32,
    moras[[#This Row],[TIPO_ASEGURAMIENTO]]
)</f>
        <v>ASALARIADO</v>
      </c>
    </row>
    <row r="4500" spans="1:16" x14ac:dyDescent="0.3">
      <c r="A4500">
        <v>4499</v>
      </c>
      <c r="B4500" t="s">
        <v>15</v>
      </c>
      <c r="C4500">
        <v>400000</v>
      </c>
      <c r="D4500" t="s">
        <v>10</v>
      </c>
      <c r="E4500" t="s">
        <v>16</v>
      </c>
      <c r="F4500" t="s">
        <v>12</v>
      </c>
      <c r="G4500" t="s">
        <v>13</v>
      </c>
      <c r="H4500" t="s">
        <v>13</v>
      </c>
      <c r="I4500">
        <v>42</v>
      </c>
      <c r="J4500">
        <f>ABS((I4500-EDA!$A$15)/EDA!$B$15)</f>
        <v>1.4403128587172659E-3</v>
      </c>
      <c r="K4500" t="str">
        <f t="shared" si="70"/>
        <v>No</v>
      </c>
      <c r="L4500">
        <f>ABS((C4500-EDA!$F$15)/EDA!$G$15)</f>
        <v>0.36899768984293924</v>
      </c>
      <c r="M4500" t="str">
        <f>IF(moras[[#This Row],[Z-Score Salario]]&gt;1.96, "Sí", "No")</f>
        <v>No</v>
      </c>
      <c r="N4500" s="14">
        <f>IF(ISBLANK(moras[[#This Row],[SALARIO]]), EDA!$M$8, moras[[#This Row],[SALARIO]])</f>
        <v>400000</v>
      </c>
      <c r="O4500" s="14">
        <f xml:space="preserve"> IF(ISBLANK(moras[[#This Row],[EDAD]]), EDA!$E$8, moras[[#This Row],[EDAD]])</f>
        <v>42</v>
      </c>
      <c r="P4500" s="14" t="str">
        <f>IF(
    OR(ISBLANK(moras[[#This Row],[TIPO_ASEGURAMIENTO]]), moras[[#This Row],[TIPO_ASEGURAMIENTO]]=""),
    EDA!$A$32,
    moras[[#This Row],[TIPO_ASEGURAMIENTO]]
)</f>
        <v>ASALARIADO</v>
      </c>
    </row>
    <row r="4501" spans="1:16" x14ac:dyDescent="0.3">
      <c r="A4501">
        <v>4500</v>
      </c>
      <c r="B4501" t="s">
        <v>15</v>
      </c>
      <c r="C4501">
        <v>639148</v>
      </c>
      <c r="D4501" t="s">
        <v>18</v>
      </c>
      <c r="E4501" t="s">
        <v>16</v>
      </c>
      <c r="F4501" t="s">
        <v>12</v>
      </c>
      <c r="G4501" t="s">
        <v>13</v>
      </c>
      <c r="H4501" t="s">
        <v>13</v>
      </c>
      <c r="I4501">
        <v>56</v>
      </c>
      <c r="J4501">
        <f>ABS((I4501-EDA!$A$15)/EDA!$B$15)</f>
        <v>0.9894949339386423</v>
      </c>
      <c r="K4501" t="str">
        <f t="shared" si="70"/>
        <v>No</v>
      </c>
      <c r="L4501">
        <f>ABS((C4501-EDA!$F$15)/EDA!$G$15)</f>
        <v>0.36501809830544912</v>
      </c>
      <c r="M4501" t="str">
        <f>IF(moras[[#This Row],[Z-Score Salario]]&gt;1.96, "Sí", "No")</f>
        <v>No</v>
      </c>
      <c r="N4501" s="14">
        <f>IF(ISBLANK(moras[[#This Row],[SALARIO]]), EDA!$M$8, moras[[#This Row],[SALARIO]])</f>
        <v>639148</v>
      </c>
      <c r="O4501" s="14">
        <f xml:space="preserve"> IF(ISBLANK(moras[[#This Row],[EDAD]]), EDA!$E$8, moras[[#This Row],[EDAD]])</f>
        <v>56</v>
      </c>
      <c r="P4501" s="14" t="str">
        <f>IF(
    OR(ISBLANK(moras[[#This Row],[TIPO_ASEGURAMIENTO]]), moras[[#This Row],[TIPO_ASEGURAMIENTO]]=""),
    EDA!$A$32,
    moras[[#This Row],[TIPO_ASEGURAMIENTO]]
)</f>
        <v>TRABAJADOR INDEPENDIENTE</v>
      </c>
    </row>
    <row r="4502" spans="1:16" x14ac:dyDescent="0.3">
      <c r="A4502">
        <v>4501</v>
      </c>
      <c r="B4502" t="s">
        <v>15</v>
      </c>
      <c r="C4502">
        <v>404459</v>
      </c>
      <c r="D4502" t="s">
        <v>18</v>
      </c>
      <c r="E4502" t="s">
        <v>16</v>
      </c>
      <c r="F4502" t="s">
        <v>12</v>
      </c>
      <c r="G4502" t="s">
        <v>13</v>
      </c>
      <c r="H4502" t="s">
        <v>12</v>
      </c>
      <c r="I4502">
        <v>29</v>
      </c>
      <c r="J4502">
        <f>ABS((I4502-EDA!$A$15)/EDA!$B$15)</f>
        <v>0.91603897814407031</v>
      </c>
      <c r="K4502" t="str">
        <f t="shared" si="70"/>
        <v>No</v>
      </c>
      <c r="L4502">
        <f>ABS((C4502-EDA!$F$15)/EDA!$G$15)</f>
        <v>0.36892348893527677</v>
      </c>
      <c r="M4502" t="str">
        <f>IF(moras[[#This Row],[Z-Score Salario]]&gt;1.96, "Sí", "No")</f>
        <v>No</v>
      </c>
      <c r="N4502" s="14">
        <f>IF(ISBLANK(moras[[#This Row],[SALARIO]]), EDA!$M$8, moras[[#This Row],[SALARIO]])</f>
        <v>404459</v>
      </c>
      <c r="O4502" s="14">
        <f xml:space="preserve"> IF(ISBLANK(moras[[#This Row],[EDAD]]), EDA!$E$8, moras[[#This Row],[EDAD]])</f>
        <v>29</v>
      </c>
      <c r="P4502" s="14" t="str">
        <f>IF(
    OR(ISBLANK(moras[[#This Row],[TIPO_ASEGURAMIENTO]]), moras[[#This Row],[TIPO_ASEGURAMIENTO]]=""),
    EDA!$A$32,
    moras[[#This Row],[TIPO_ASEGURAMIENTO]]
)</f>
        <v>TRABAJADOR INDEPENDIENTE</v>
      </c>
    </row>
    <row r="4503" spans="1:16" x14ac:dyDescent="0.3">
      <c r="A4503">
        <v>4502</v>
      </c>
      <c r="B4503" t="s">
        <v>15</v>
      </c>
      <c r="C4503">
        <v>333320</v>
      </c>
      <c r="D4503" t="s">
        <v>10</v>
      </c>
      <c r="E4503" t="s">
        <v>16</v>
      </c>
      <c r="F4503" t="s">
        <v>12</v>
      </c>
      <c r="G4503" t="s">
        <v>13</v>
      </c>
      <c r="H4503" t="s">
        <v>13</v>
      </c>
      <c r="I4503">
        <v>20</v>
      </c>
      <c r="J4503">
        <f>ABS((I4503-EDA!$A$15)/EDA!$B$15)</f>
        <v>1.5512169488383079</v>
      </c>
      <c r="K4503" t="str">
        <f t="shared" si="70"/>
        <v>No</v>
      </c>
      <c r="L4503">
        <f>ABS((C4503-EDA!$F$15)/EDA!$G$15)</f>
        <v>0.37010729211316457</v>
      </c>
      <c r="M4503" t="str">
        <f>IF(moras[[#This Row],[Z-Score Salario]]&gt;1.96, "Sí", "No")</f>
        <v>No</v>
      </c>
      <c r="N4503" s="14">
        <f>IF(ISBLANK(moras[[#This Row],[SALARIO]]), EDA!$M$8, moras[[#This Row],[SALARIO]])</f>
        <v>333320</v>
      </c>
      <c r="O4503" s="14">
        <f xml:space="preserve"> IF(ISBLANK(moras[[#This Row],[EDAD]]), EDA!$E$8, moras[[#This Row],[EDAD]])</f>
        <v>20</v>
      </c>
      <c r="P4503" s="14" t="str">
        <f>IF(
    OR(ISBLANK(moras[[#This Row],[TIPO_ASEGURAMIENTO]]), moras[[#This Row],[TIPO_ASEGURAMIENTO]]=""),
    EDA!$A$32,
    moras[[#This Row],[TIPO_ASEGURAMIENTO]]
)</f>
        <v>ASALARIADO</v>
      </c>
    </row>
    <row r="4504" spans="1:16" x14ac:dyDescent="0.3">
      <c r="A4504">
        <v>4503</v>
      </c>
      <c r="B4504" t="s">
        <v>9</v>
      </c>
      <c r="C4504">
        <v>45219821</v>
      </c>
      <c r="D4504" t="s">
        <v>10</v>
      </c>
      <c r="E4504" t="s">
        <v>16</v>
      </c>
      <c r="F4504" t="s">
        <v>12</v>
      </c>
      <c r="G4504" t="s">
        <v>13</v>
      </c>
      <c r="H4504" t="s">
        <v>13</v>
      </c>
      <c r="I4504">
        <v>31</v>
      </c>
      <c r="J4504">
        <f>ABS((I4504-EDA!$A$15)/EDA!$B$15)</f>
        <v>0.77488831798979529</v>
      </c>
      <c r="K4504" t="str">
        <f t="shared" si="70"/>
        <v>No</v>
      </c>
      <c r="L4504">
        <f>ABS((C4504-EDA!$F$15)/EDA!$G$15)</f>
        <v>0.37683577045537997</v>
      </c>
      <c r="M4504" t="str">
        <f>IF(moras[[#This Row],[Z-Score Salario]]&gt;1.96, "Sí", "No")</f>
        <v>No</v>
      </c>
      <c r="N4504" s="14">
        <f>IF(ISBLANK(moras[[#This Row],[SALARIO]]), EDA!$M$8, moras[[#This Row],[SALARIO]])</f>
        <v>45219821</v>
      </c>
      <c r="O4504" s="14">
        <f xml:space="preserve"> IF(ISBLANK(moras[[#This Row],[EDAD]]), EDA!$E$8, moras[[#This Row],[EDAD]])</f>
        <v>31</v>
      </c>
      <c r="P4504" s="14" t="str">
        <f>IF(
    OR(ISBLANK(moras[[#This Row],[TIPO_ASEGURAMIENTO]]), moras[[#This Row],[TIPO_ASEGURAMIENTO]]=""),
    EDA!$A$32,
    moras[[#This Row],[TIPO_ASEGURAMIENTO]]
)</f>
        <v>ASALARIADO</v>
      </c>
    </row>
    <row r="4505" spans="1:16" x14ac:dyDescent="0.3">
      <c r="A4505">
        <v>4504</v>
      </c>
      <c r="B4505" t="s">
        <v>9</v>
      </c>
      <c r="C4505">
        <v>126007652</v>
      </c>
      <c r="D4505" t="s">
        <v>10</v>
      </c>
      <c r="E4505" t="s">
        <v>16</v>
      </c>
      <c r="F4505" t="s">
        <v>12</v>
      </c>
      <c r="G4505" t="s">
        <v>13</v>
      </c>
      <c r="H4505" t="s">
        <v>13</v>
      </c>
      <c r="I4505">
        <v>30</v>
      </c>
      <c r="J4505">
        <f>ABS((I4505-EDA!$A$15)/EDA!$B$15)</f>
        <v>0.84546364806693275</v>
      </c>
      <c r="K4505" t="str">
        <f t="shared" si="70"/>
        <v>No</v>
      </c>
      <c r="L4505">
        <f>ABS((C4505-EDA!$F$15)/EDA!$G$15)</f>
        <v>1.7212023074106662</v>
      </c>
      <c r="M4505" t="str">
        <f>IF(moras[[#This Row],[Z-Score Salario]]&gt;1.96, "Sí", "No")</f>
        <v>No</v>
      </c>
      <c r="N4505" s="14">
        <f>IF(ISBLANK(moras[[#This Row],[SALARIO]]), EDA!$M$8, moras[[#This Row],[SALARIO]])</f>
        <v>126007652</v>
      </c>
      <c r="O4505" s="14">
        <f xml:space="preserve"> IF(ISBLANK(moras[[#This Row],[EDAD]]), EDA!$E$8, moras[[#This Row],[EDAD]])</f>
        <v>30</v>
      </c>
      <c r="P4505" s="14" t="str">
        <f>IF(
    OR(ISBLANK(moras[[#This Row],[TIPO_ASEGURAMIENTO]]), moras[[#This Row],[TIPO_ASEGURAMIENTO]]=""),
    EDA!$A$32,
    moras[[#This Row],[TIPO_ASEGURAMIENTO]]
)</f>
        <v>ASALARIADO</v>
      </c>
    </row>
    <row r="4506" spans="1:16" x14ac:dyDescent="0.3">
      <c r="A4506">
        <v>4505</v>
      </c>
      <c r="B4506" t="s">
        <v>9</v>
      </c>
      <c r="C4506">
        <v>1045500</v>
      </c>
      <c r="D4506" t="s">
        <v>10</v>
      </c>
      <c r="E4506" t="s">
        <v>16</v>
      </c>
      <c r="F4506" t="s">
        <v>12</v>
      </c>
      <c r="G4506" t="s">
        <v>13</v>
      </c>
      <c r="H4506" t="s">
        <v>13</v>
      </c>
      <c r="I4506">
        <v>39</v>
      </c>
      <c r="J4506">
        <f>ABS((I4506-EDA!$A$15)/EDA!$B$15)</f>
        <v>0.21028567737269524</v>
      </c>
      <c r="K4506" t="str">
        <f t="shared" si="70"/>
        <v>No</v>
      </c>
      <c r="L4506">
        <f>ABS((C4506-EDA!$F$15)/EDA!$G$15)</f>
        <v>0.35825611417661596</v>
      </c>
      <c r="M4506" t="str">
        <f>IF(moras[[#This Row],[Z-Score Salario]]&gt;1.96, "Sí", "No")</f>
        <v>No</v>
      </c>
      <c r="N4506" s="14">
        <f>IF(ISBLANK(moras[[#This Row],[SALARIO]]), EDA!$M$8, moras[[#This Row],[SALARIO]])</f>
        <v>1045500</v>
      </c>
      <c r="O4506" s="14">
        <f xml:space="preserve"> IF(ISBLANK(moras[[#This Row],[EDAD]]), EDA!$E$8, moras[[#This Row],[EDAD]])</f>
        <v>39</v>
      </c>
      <c r="P4506" s="14" t="str">
        <f>IF(
    OR(ISBLANK(moras[[#This Row],[TIPO_ASEGURAMIENTO]]), moras[[#This Row],[TIPO_ASEGURAMIENTO]]=""),
    EDA!$A$32,
    moras[[#This Row],[TIPO_ASEGURAMIENTO]]
)</f>
        <v>ASALARIADO</v>
      </c>
    </row>
    <row r="4507" spans="1:16" x14ac:dyDescent="0.3">
      <c r="A4507">
        <v>4506</v>
      </c>
      <c r="B4507" t="s">
        <v>15</v>
      </c>
      <c r="C4507">
        <v>108483084</v>
      </c>
      <c r="D4507" t="s">
        <v>10</v>
      </c>
      <c r="E4507" t="s">
        <v>11</v>
      </c>
      <c r="F4507" t="s">
        <v>12</v>
      </c>
      <c r="G4507" t="s">
        <v>13</v>
      </c>
      <c r="H4507" t="s">
        <v>13</v>
      </c>
      <c r="I4507">
        <v>36</v>
      </c>
      <c r="J4507">
        <f>ABS((I4507-EDA!$A$15)/EDA!$B$15)</f>
        <v>0.42201166760410774</v>
      </c>
      <c r="K4507" t="str">
        <f t="shared" si="70"/>
        <v>No</v>
      </c>
      <c r="L4507">
        <f>ABS((C4507-EDA!$F$15)/EDA!$G$15)</f>
        <v>1.4295811250843649</v>
      </c>
      <c r="M4507" t="str">
        <f>IF(moras[[#This Row],[Z-Score Salario]]&gt;1.96, "Sí", "No")</f>
        <v>No</v>
      </c>
      <c r="N4507" s="14">
        <f>IF(ISBLANK(moras[[#This Row],[SALARIO]]), EDA!$M$8, moras[[#This Row],[SALARIO]])</f>
        <v>108483084</v>
      </c>
      <c r="O4507" s="14">
        <f xml:space="preserve"> IF(ISBLANK(moras[[#This Row],[EDAD]]), EDA!$E$8, moras[[#This Row],[EDAD]])</f>
        <v>36</v>
      </c>
      <c r="P4507" s="14" t="str">
        <f>IF(
    OR(ISBLANK(moras[[#This Row],[TIPO_ASEGURAMIENTO]]), moras[[#This Row],[TIPO_ASEGURAMIENTO]]=""),
    EDA!$A$32,
    moras[[#This Row],[TIPO_ASEGURAMIENTO]]
)</f>
        <v>ASALARIADO</v>
      </c>
    </row>
    <row r="4508" spans="1:16" x14ac:dyDescent="0.3">
      <c r="A4508">
        <v>4507</v>
      </c>
      <c r="B4508" t="s">
        <v>9</v>
      </c>
      <c r="C4508">
        <v>322474</v>
      </c>
      <c r="D4508" t="s">
        <v>17</v>
      </c>
      <c r="E4508" t="s">
        <v>16</v>
      </c>
      <c r="F4508" t="s">
        <v>12</v>
      </c>
      <c r="G4508" t="s">
        <v>13</v>
      </c>
      <c r="H4508" t="s">
        <v>13</v>
      </c>
      <c r="I4508">
        <v>64</v>
      </c>
      <c r="J4508">
        <f>ABS((I4508-EDA!$A$15)/EDA!$B$15)</f>
        <v>1.5540975745557424</v>
      </c>
      <c r="K4508" t="str">
        <f t="shared" si="70"/>
        <v>No</v>
      </c>
      <c r="L4508">
        <f>ABS((C4508-EDA!$F$15)/EDA!$G$15)</f>
        <v>0.37028777720948824</v>
      </c>
      <c r="M4508" t="str">
        <f>IF(moras[[#This Row],[Z-Score Salario]]&gt;1.96, "Sí", "No")</f>
        <v>No</v>
      </c>
      <c r="N4508" s="14">
        <f>IF(ISBLANK(moras[[#This Row],[SALARIO]]), EDA!$M$8, moras[[#This Row],[SALARIO]])</f>
        <v>322474</v>
      </c>
      <c r="O4508" s="14">
        <f xml:space="preserve"> IF(ISBLANK(moras[[#This Row],[EDAD]]), EDA!$E$8, moras[[#This Row],[EDAD]])</f>
        <v>64</v>
      </c>
      <c r="P4508" s="14" t="str">
        <f>IF(
    OR(ISBLANK(moras[[#This Row],[TIPO_ASEGURAMIENTO]]), moras[[#This Row],[TIPO_ASEGURAMIENTO]]=""),
    EDA!$A$32,
    moras[[#This Row],[TIPO_ASEGURAMIENTO]]
)</f>
        <v>ASEGURADO VOLUNTARIO</v>
      </c>
    </row>
    <row r="4509" spans="1:16" x14ac:dyDescent="0.3">
      <c r="A4509">
        <v>4508</v>
      </c>
      <c r="B4509" t="s">
        <v>9</v>
      </c>
      <c r="C4509">
        <v>400000</v>
      </c>
      <c r="D4509" t="s">
        <v>10</v>
      </c>
      <c r="E4509" t="s">
        <v>16</v>
      </c>
      <c r="F4509" t="s">
        <v>12</v>
      </c>
      <c r="G4509" t="s">
        <v>13</v>
      </c>
      <c r="H4509" t="s">
        <v>12</v>
      </c>
      <c r="I4509">
        <v>46</v>
      </c>
      <c r="J4509">
        <f>ABS((I4509-EDA!$A$15)/EDA!$B$15)</f>
        <v>0.2837416331672673</v>
      </c>
      <c r="K4509" t="str">
        <f t="shared" si="70"/>
        <v>No</v>
      </c>
      <c r="L4509">
        <f>ABS((C4509-EDA!$F$15)/EDA!$G$15)</f>
        <v>0.36899768984293924</v>
      </c>
      <c r="M4509" t="str">
        <f>IF(moras[[#This Row],[Z-Score Salario]]&gt;1.96, "Sí", "No")</f>
        <v>No</v>
      </c>
      <c r="N4509" s="14">
        <f>IF(ISBLANK(moras[[#This Row],[SALARIO]]), EDA!$M$8, moras[[#This Row],[SALARIO]])</f>
        <v>400000</v>
      </c>
      <c r="O4509" s="14">
        <f xml:space="preserve"> IF(ISBLANK(moras[[#This Row],[EDAD]]), EDA!$E$8, moras[[#This Row],[EDAD]])</f>
        <v>46</v>
      </c>
      <c r="P4509" s="14" t="str">
        <f>IF(
    OR(ISBLANK(moras[[#This Row],[TIPO_ASEGURAMIENTO]]), moras[[#This Row],[TIPO_ASEGURAMIENTO]]=""),
    EDA!$A$32,
    moras[[#This Row],[TIPO_ASEGURAMIENTO]]
)</f>
        <v>ASALARIADO</v>
      </c>
    </row>
    <row r="4510" spans="1:16" x14ac:dyDescent="0.3">
      <c r="A4510">
        <v>4509</v>
      </c>
      <c r="B4510" t="s">
        <v>9</v>
      </c>
      <c r="C4510">
        <v>549600</v>
      </c>
      <c r="D4510" t="s">
        <v>18</v>
      </c>
      <c r="E4510" t="s">
        <v>16</v>
      </c>
      <c r="F4510" t="s">
        <v>12</v>
      </c>
      <c r="G4510" t="s">
        <v>13</v>
      </c>
      <c r="H4510" t="s">
        <v>13</v>
      </c>
      <c r="I4510">
        <v>57</v>
      </c>
      <c r="J4510">
        <f>ABS((I4510-EDA!$A$15)/EDA!$B$15)</f>
        <v>1.0600702640157798</v>
      </c>
      <c r="K4510" t="str">
        <f t="shared" si="70"/>
        <v>No</v>
      </c>
      <c r="L4510">
        <f>ABS((C4510-EDA!$F$15)/EDA!$G$15)</f>
        <v>0.36650824023847456</v>
      </c>
      <c r="M4510" t="str">
        <f>IF(moras[[#This Row],[Z-Score Salario]]&gt;1.96, "Sí", "No")</f>
        <v>No</v>
      </c>
      <c r="N4510" s="14">
        <f>IF(ISBLANK(moras[[#This Row],[SALARIO]]), EDA!$M$8, moras[[#This Row],[SALARIO]])</f>
        <v>549600</v>
      </c>
      <c r="O4510" s="14">
        <f xml:space="preserve"> IF(ISBLANK(moras[[#This Row],[EDAD]]), EDA!$E$8, moras[[#This Row],[EDAD]])</f>
        <v>57</v>
      </c>
      <c r="P4510" s="14" t="str">
        <f>IF(
    OR(ISBLANK(moras[[#This Row],[TIPO_ASEGURAMIENTO]]), moras[[#This Row],[TIPO_ASEGURAMIENTO]]=""),
    EDA!$A$32,
    moras[[#This Row],[TIPO_ASEGURAMIENTO]]
)</f>
        <v>TRABAJADOR INDEPENDIENTE</v>
      </c>
    </row>
    <row r="4511" spans="1:16" x14ac:dyDescent="0.3">
      <c r="A4511">
        <v>4510</v>
      </c>
      <c r="B4511" t="s">
        <v>15</v>
      </c>
      <c r="C4511">
        <v>280000</v>
      </c>
      <c r="D4511" t="s">
        <v>10</v>
      </c>
      <c r="E4511" t="s">
        <v>16</v>
      </c>
      <c r="F4511" t="s">
        <v>12</v>
      </c>
      <c r="G4511" t="s">
        <v>13</v>
      </c>
      <c r="H4511" t="s">
        <v>12</v>
      </c>
      <c r="I4511">
        <v>48</v>
      </c>
      <c r="J4511">
        <f>ABS((I4511-EDA!$A$15)/EDA!$B$15)</f>
        <v>0.42489229332154227</v>
      </c>
      <c r="K4511" t="str">
        <f t="shared" si="70"/>
        <v>No</v>
      </c>
      <c r="L4511">
        <f>ABS((C4511-EDA!$F$15)/EDA!$G$15)</f>
        <v>0.37099457455240292</v>
      </c>
      <c r="M4511" t="str">
        <f>IF(moras[[#This Row],[Z-Score Salario]]&gt;1.96, "Sí", "No")</f>
        <v>No</v>
      </c>
      <c r="N4511" s="14">
        <f>IF(ISBLANK(moras[[#This Row],[SALARIO]]), EDA!$M$8, moras[[#This Row],[SALARIO]])</f>
        <v>280000</v>
      </c>
      <c r="O4511" s="14">
        <f xml:space="preserve"> IF(ISBLANK(moras[[#This Row],[EDAD]]), EDA!$E$8, moras[[#This Row],[EDAD]])</f>
        <v>48</v>
      </c>
      <c r="P4511" s="14" t="str">
        <f>IF(
    OR(ISBLANK(moras[[#This Row],[TIPO_ASEGURAMIENTO]]), moras[[#This Row],[TIPO_ASEGURAMIENTO]]=""),
    EDA!$A$32,
    moras[[#This Row],[TIPO_ASEGURAMIENTO]]
)</f>
        <v>ASALARIADO</v>
      </c>
    </row>
    <row r="4512" spans="1:16" x14ac:dyDescent="0.3">
      <c r="A4512">
        <v>4511</v>
      </c>
      <c r="B4512" t="s">
        <v>15</v>
      </c>
      <c r="C4512">
        <v>114474</v>
      </c>
      <c r="D4512" t="s">
        <v>10</v>
      </c>
      <c r="E4512" t="s">
        <v>16</v>
      </c>
      <c r="F4512" t="s">
        <v>12</v>
      </c>
      <c r="G4512" t="s">
        <v>13</v>
      </c>
      <c r="H4512" t="s">
        <v>13</v>
      </c>
      <c r="I4512">
        <v>55</v>
      </c>
      <c r="J4512">
        <f>ABS((I4512-EDA!$A$15)/EDA!$B$15)</f>
        <v>0.91891960386150484</v>
      </c>
      <c r="K4512" t="str">
        <f t="shared" si="70"/>
        <v>No</v>
      </c>
      <c r="L4512">
        <f>ABS((C4512-EDA!$F$15)/EDA!$G$15)</f>
        <v>0.37374904403922526</v>
      </c>
      <c r="M4512" t="str">
        <f>IF(moras[[#This Row],[Z-Score Salario]]&gt;1.96, "Sí", "No")</f>
        <v>No</v>
      </c>
      <c r="N4512" s="14">
        <f>IF(ISBLANK(moras[[#This Row],[SALARIO]]), EDA!$M$8, moras[[#This Row],[SALARIO]])</f>
        <v>114474</v>
      </c>
      <c r="O4512" s="14">
        <f xml:space="preserve"> IF(ISBLANK(moras[[#This Row],[EDAD]]), EDA!$E$8, moras[[#This Row],[EDAD]])</f>
        <v>55</v>
      </c>
      <c r="P4512" s="14" t="str">
        <f>IF(
    OR(ISBLANK(moras[[#This Row],[TIPO_ASEGURAMIENTO]]), moras[[#This Row],[TIPO_ASEGURAMIENTO]]=""),
    EDA!$A$32,
    moras[[#This Row],[TIPO_ASEGURAMIENTO]]
)</f>
        <v>ASALARIADO</v>
      </c>
    </row>
    <row r="4513" spans="1:16" x14ac:dyDescent="0.3">
      <c r="A4513">
        <v>4512</v>
      </c>
      <c r="B4513" t="s">
        <v>15</v>
      </c>
      <c r="C4513">
        <v>32150909</v>
      </c>
      <c r="D4513" t="s">
        <v>10</v>
      </c>
      <c r="E4513" t="s">
        <v>16</v>
      </c>
      <c r="F4513" t="s">
        <v>12</v>
      </c>
      <c r="G4513" t="s">
        <v>13</v>
      </c>
      <c r="H4513" t="s">
        <v>13</v>
      </c>
      <c r="I4513">
        <v>37</v>
      </c>
      <c r="J4513">
        <f>ABS((I4513-EDA!$A$15)/EDA!$B$15)</f>
        <v>0.35143633752697023</v>
      </c>
      <c r="K4513" t="str">
        <f t="shared" si="70"/>
        <v>No</v>
      </c>
      <c r="L4513">
        <f>ABS((C4513-EDA!$F$15)/EDA!$G$15)</f>
        <v>0.15935984927099534</v>
      </c>
      <c r="M4513" t="str">
        <f>IF(moras[[#This Row],[Z-Score Salario]]&gt;1.96, "Sí", "No")</f>
        <v>No</v>
      </c>
      <c r="N4513" s="14">
        <f>IF(ISBLANK(moras[[#This Row],[SALARIO]]), EDA!$M$8, moras[[#This Row],[SALARIO]])</f>
        <v>32150909</v>
      </c>
      <c r="O4513" s="14">
        <f xml:space="preserve"> IF(ISBLANK(moras[[#This Row],[EDAD]]), EDA!$E$8, moras[[#This Row],[EDAD]])</f>
        <v>37</v>
      </c>
      <c r="P4513" s="14" t="str">
        <f>IF(
    OR(ISBLANK(moras[[#This Row],[TIPO_ASEGURAMIENTO]]), moras[[#This Row],[TIPO_ASEGURAMIENTO]]=""),
    EDA!$A$32,
    moras[[#This Row],[TIPO_ASEGURAMIENTO]]
)</f>
        <v>ASALARIADO</v>
      </c>
    </row>
    <row r="4514" spans="1:16" x14ac:dyDescent="0.3">
      <c r="A4514">
        <v>4513</v>
      </c>
      <c r="B4514" t="s">
        <v>9</v>
      </c>
      <c r="C4514">
        <v>43841845</v>
      </c>
      <c r="D4514" t="s">
        <v>10</v>
      </c>
      <c r="E4514" t="s">
        <v>16</v>
      </c>
      <c r="F4514" t="s">
        <v>12</v>
      </c>
      <c r="G4514" t="s">
        <v>13</v>
      </c>
      <c r="H4514" t="s">
        <v>13</v>
      </c>
      <c r="I4514">
        <v>43</v>
      </c>
      <c r="J4514">
        <f>ABS((I4514-EDA!$A$15)/EDA!$B$15)</f>
        <v>7.2015642935854773E-2</v>
      </c>
      <c r="K4514" t="str">
        <f t="shared" si="70"/>
        <v>No</v>
      </c>
      <c r="L4514">
        <f>ABS((C4514-EDA!$F$15)/EDA!$G$15)</f>
        <v>0.35390527708531416</v>
      </c>
      <c r="M4514" t="str">
        <f>IF(moras[[#This Row],[Z-Score Salario]]&gt;1.96, "Sí", "No")</f>
        <v>No</v>
      </c>
      <c r="N4514" s="14">
        <f>IF(ISBLANK(moras[[#This Row],[SALARIO]]), EDA!$M$8, moras[[#This Row],[SALARIO]])</f>
        <v>43841845</v>
      </c>
      <c r="O4514" s="14">
        <f xml:space="preserve"> IF(ISBLANK(moras[[#This Row],[EDAD]]), EDA!$E$8, moras[[#This Row],[EDAD]])</f>
        <v>43</v>
      </c>
      <c r="P4514" s="14" t="str">
        <f>IF(
    OR(ISBLANK(moras[[#This Row],[TIPO_ASEGURAMIENTO]]), moras[[#This Row],[TIPO_ASEGURAMIENTO]]=""),
    EDA!$A$32,
    moras[[#This Row],[TIPO_ASEGURAMIENTO]]
)</f>
        <v>ASALARIADO</v>
      </c>
    </row>
    <row r="4515" spans="1:16" x14ac:dyDescent="0.3">
      <c r="A4515">
        <v>4514</v>
      </c>
      <c r="B4515" t="s">
        <v>9</v>
      </c>
      <c r="C4515">
        <v>617575</v>
      </c>
      <c r="D4515" t="s">
        <v>18</v>
      </c>
      <c r="E4515" t="s">
        <v>16</v>
      </c>
      <c r="F4515" t="s">
        <v>12</v>
      </c>
      <c r="G4515" t="s">
        <v>13</v>
      </c>
      <c r="H4515" t="s">
        <v>12</v>
      </c>
      <c r="I4515">
        <v>45</v>
      </c>
      <c r="J4515">
        <f>ABS((I4515-EDA!$A$15)/EDA!$B$15)</f>
        <v>0.21316630309012977</v>
      </c>
      <c r="K4515" t="str">
        <f t="shared" si="70"/>
        <v>No</v>
      </c>
      <c r="L4515">
        <f>ABS((C4515-EDA!$F$15)/EDA!$G$15)</f>
        <v>0.36537708825409293</v>
      </c>
      <c r="M4515" t="str">
        <f>IF(moras[[#This Row],[Z-Score Salario]]&gt;1.96, "Sí", "No")</f>
        <v>No</v>
      </c>
      <c r="N4515" s="14">
        <f>IF(ISBLANK(moras[[#This Row],[SALARIO]]), EDA!$M$8, moras[[#This Row],[SALARIO]])</f>
        <v>617575</v>
      </c>
      <c r="O4515" s="14">
        <f xml:space="preserve"> IF(ISBLANK(moras[[#This Row],[EDAD]]), EDA!$E$8, moras[[#This Row],[EDAD]])</f>
        <v>45</v>
      </c>
      <c r="P4515" s="14" t="str">
        <f>IF(
    OR(ISBLANK(moras[[#This Row],[TIPO_ASEGURAMIENTO]]), moras[[#This Row],[TIPO_ASEGURAMIENTO]]=""),
    EDA!$A$32,
    moras[[#This Row],[TIPO_ASEGURAMIENTO]]
)</f>
        <v>TRABAJADOR INDEPENDIENTE</v>
      </c>
    </row>
    <row r="4516" spans="1:16" x14ac:dyDescent="0.3">
      <c r="A4516">
        <v>4515</v>
      </c>
      <c r="B4516" t="s">
        <v>15</v>
      </c>
      <c r="C4516">
        <v>542628</v>
      </c>
      <c r="D4516" t="s">
        <v>18</v>
      </c>
      <c r="E4516" t="s">
        <v>16</v>
      </c>
      <c r="F4516" t="s">
        <v>12</v>
      </c>
      <c r="G4516" t="s">
        <v>13</v>
      </c>
      <c r="H4516" t="s">
        <v>13</v>
      </c>
      <c r="I4516">
        <v>55</v>
      </c>
      <c r="J4516">
        <f>ABS((I4516-EDA!$A$15)/EDA!$B$15)</f>
        <v>0.91891960386150484</v>
      </c>
      <c r="K4516" t="str">
        <f t="shared" si="70"/>
        <v>No</v>
      </c>
      <c r="L4516">
        <f>ABS((C4516-EDA!$F$15)/EDA!$G$15)</f>
        <v>0.3666242592400944</v>
      </c>
      <c r="M4516" t="str">
        <f>IF(moras[[#This Row],[Z-Score Salario]]&gt;1.96, "Sí", "No")</f>
        <v>No</v>
      </c>
      <c r="N4516" s="14">
        <f>IF(ISBLANK(moras[[#This Row],[SALARIO]]), EDA!$M$8, moras[[#This Row],[SALARIO]])</f>
        <v>542628</v>
      </c>
      <c r="O4516" s="14">
        <f xml:space="preserve"> IF(ISBLANK(moras[[#This Row],[EDAD]]), EDA!$E$8, moras[[#This Row],[EDAD]])</f>
        <v>55</v>
      </c>
      <c r="P4516" s="14" t="str">
        <f>IF(
    OR(ISBLANK(moras[[#This Row],[TIPO_ASEGURAMIENTO]]), moras[[#This Row],[TIPO_ASEGURAMIENTO]]=""),
    EDA!$A$32,
    moras[[#This Row],[TIPO_ASEGURAMIENTO]]
)</f>
        <v>TRABAJADOR INDEPENDIENTE</v>
      </c>
    </row>
    <row r="4517" spans="1:16" x14ac:dyDescent="0.3">
      <c r="A4517">
        <v>4516</v>
      </c>
      <c r="B4517" t="s">
        <v>9</v>
      </c>
      <c r="C4517">
        <v>31907005</v>
      </c>
      <c r="D4517" t="s">
        <v>10</v>
      </c>
      <c r="E4517" t="s">
        <v>16</v>
      </c>
      <c r="F4517" t="s">
        <v>12</v>
      </c>
      <c r="G4517" t="s">
        <v>13</v>
      </c>
      <c r="H4517" t="s">
        <v>13</v>
      </c>
      <c r="I4517">
        <v>40</v>
      </c>
      <c r="J4517">
        <f>ABS((I4517-EDA!$A$15)/EDA!$B$15)</f>
        <v>0.13971034729555773</v>
      </c>
      <c r="K4517" t="str">
        <f t="shared" si="70"/>
        <v>No</v>
      </c>
      <c r="L4517">
        <f>ABS((C4517-EDA!$F$15)/EDA!$G$15)</f>
        <v>0.15530111453618678</v>
      </c>
      <c r="M4517" t="str">
        <f>IF(moras[[#This Row],[Z-Score Salario]]&gt;1.96, "Sí", "No")</f>
        <v>No</v>
      </c>
      <c r="N4517" s="14">
        <f>IF(ISBLANK(moras[[#This Row],[SALARIO]]), EDA!$M$8, moras[[#This Row],[SALARIO]])</f>
        <v>31907005</v>
      </c>
      <c r="O4517" s="14">
        <f xml:space="preserve"> IF(ISBLANK(moras[[#This Row],[EDAD]]), EDA!$E$8, moras[[#This Row],[EDAD]])</f>
        <v>40</v>
      </c>
      <c r="P4517" s="14" t="str">
        <f>IF(
    OR(ISBLANK(moras[[#This Row],[TIPO_ASEGURAMIENTO]]), moras[[#This Row],[TIPO_ASEGURAMIENTO]]=""),
    EDA!$A$32,
    moras[[#This Row],[TIPO_ASEGURAMIENTO]]
)</f>
        <v>ASALARIADO</v>
      </c>
    </row>
    <row r="4518" spans="1:16" x14ac:dyDescent="0.3">
      <c r="A4518">
        <v>4517</v>
      </c>
      <c r="B4518" t="s">
        <v>9</v>
      </c>
      <c r="C4518">
        <v>440000</v>
      </c>
      <c r="D4518" t="s">
        <v>10</v>
      </c>
      <c r="E4518" t="s">
        <v>16</v>
      </c>
      <c r="F4518" t="s">
        <v>12</v>
      </c>
      <c r="G4518" t="s">
        <v>13</v>
      </c>
      <c r="H4518" t="s">
        <v>12</v>
      </c>
      <c r="I4518">
        <v>58</v>
      </c>
      <c r="J4518">
        <f>ABS((I4518-EDA!$A$15)/EDA!$B$15)</f>
        <v>1.1306455940929174</v>
      </c>
      <c r="K4518" t="str">
        <f t="shared" si="70"/>
        <v>No</v>
      </c>
      <c r="L4518">
        <f>ABS((C4518-EDA!$F$15)/EDA!$G$15)</f>
        <v>0.36833206160645132</v>
      </c>
      <c r="M4518" t="str">
        <f>IF(moras[[#This Row],[Z-Score Salario]]&gt;1.96, "Sí", "No")</f>
        <v>No</v>
      </c>
      <c r="N4518" s="14">
        <f>IF(ISBLANK(moras[[#This Row],[SALARIO]]), EDA!$M$8, moras[[#This Row],[SALARIO]])</f>
        <v>440000</v>
      </c>
      <c r="O4518" s="14">
        <f xml:space="preserve"> IF(ISBLANK(moras[[#This Row],[EDAD]]), EDA!$E$8, moras[[#This Row],[EDAD]])</f>
        <v>58</v>
      </c>
      <c r="P4518" s="14" t="str">
        <f>IF(
    OR(ISBLANK(moras[[#This Row],[TIPO_ASEGURAMIENTO]]), moras[[#This Row],[TIPO_ASEGURAMIENTO]]=""),
    EDA!$A$32,
    moras[[#This Row],[TIPO_ASEGURAMIENTO]]
)</f>
        <v>ASALARIADO</v>
      </c>
    </row>
    <row r="4519" spans="1:16" x14ac:dyDescent="0.3">
      <c r="A4519">
        <v>4518</v>
      </c>
      <c r="B4519" t="s">
        <v>15</v>
      </c>
      <c r="C4519">
        <v>5851365</v>
      </c>
      <c r="D4519" t="s">
        <v>10</v>
      </c>
      <c r="E4519" t="s">
        <v>11</v>
      </c>
      <c r="F4519" t="s">
        <v>12</v>
      </c>
      <c r="G4519" t="s">
        <v>13</v>
      </c>
      <c r="H4519" t="s">
        <v>13</v>
      </c>
      <c r="I4519">
        <v>43</v>
      </c>
      <c r="J4519">
        <f>ABS((I4519-EDA!$A$15)/EDA!$B$15)</f>
        <v>7.2015642935854773E-2</v>
      </c>
      <c r="K4519" t="str">
        <f t="shared" si="70"/>
        <v>No</v>
      </c>
      <c r="L4519">
        <f>ABS((C4519-EDA!$F$15)/EDA!$G$15)</f>
        <v>0.27828312805789446</v>
      </c>
      <c r="M4519" t="str">
        <f>IF(moras[[#This Row],[Z-Score Salario]]&gt;1.96, "Sí", "No")</f>
        <v>No</v>
      </c>
      <c r="N4519" s="14">
        <f>IF(ISBLANK(moras[[#This Row],[SALARIO]]), EDA!$M$8, moras[[#This Row],[SALARIO]])</f>
        <v>5851365</v>
      </c>
      <c r="O4519" s="14">
        <f xml:space="preserve"> IF(ISBLANK(moras[[#This Row],[EDAD]]), EDA!$E$8, moras[[#This Row],[EDAD]])</f>
        <v>43</v>
      </c>
      <c r="P4519" s="14" t="str">
        <f>IF(
    OR(ISBLANK(moras[[#This Row],[TIPO_ASEGURAMIENTO]]), moras[[#This Row],[TIPO_ASEGURAMIENTO]]=""),
    EDA!$A$32,
    moras[[#This Row],[TIPO_ASEGURAMIENTO]]
)</f>
        <v>ASALARIADO</v>
      </c>
    </row>
    <row r="4520" spans="1:16" x14ac:dyDescent="0.3">
      <c r="A4520">
        <v>4519</v>
      </c>
      <c r="B4520" t="s">
        <v>15</v>
      </c>
      <c r="C4520">
        <v>350000</v>
      </c>
      <c r="D4520" t="s">
        <v>10</v>
      </c>
      <c r="E4520" t="s">
        <v>16</v>
      </c>
      <c r="F4520" t="s">
        <v>12</v>
      </c>
      <c r="G4520" t="s">
        <v>13</v>
      </c>
      <c r="H4520" t="s">
        <v>12</v>
      </c>
      <c r="I4520">
        <v>36</v>
      </c>
      <c r="J4520">
        <f>ABS((I4520-EDA!$A$15)/EDA!$B$15)</f>
        <v>0.42201166760410774</v>
      </c>
      <c r="K4520" t="str">
        <f t="shared" si="70"/>
        <v>No</v>
      </c>
      <c r="L4520">
        <f>ABS((C4520-EDA!$F$15)/EDA!$G$15)</f>
        <v>0.36982972513854911</v>
      </c>
      <c r="M4520" t="str">
        <f>IF(moras[[#This Row],[Z-Score Salario]]&gt;1.96, "Sí", "No")</f>
        <v>No</v>
      </c>
      <c r="N4520" s="14">
        <f>IF(ISBLANK(moras[[#This Row],[SALARIO]]), EDA!$M$8, moras[[#This Row],[SALARIO]])</f>
        <v>350000</v>
      </c>
      <c r="O4520" s="14">
        <f xml:space="preserve"> IF(ISBLANK(moras[[#This Row],[EDAD]]), EDA!$E$8, moras[[#This Row],[EDAD]])</f>
        <v>36</v>
      </c>
      <c r="P4520" s="14" t="str">
        <f>IF(
    OR(ISBLANK(moras[[#This Row],[TIPO_ASEGURAMIENTO]]), moras[[#This Row],[TIPO_ASEGURAMIENTO]]=""),
    EDA!$A$32,
    moras[[#This Row],[TIPO_ASEGURAMIENTO]]
)</f>
        <v>ASALARIADO</v>
      </c>
    </row>
    <row r="4521" spans="1:16" x14ac:dyDescent="0.3">
      <c r="A4521">
        <v>4520</v>
      </c>
      <c r="B4521" t="s">
        <v>9</v>
      </c>
      <c r="C4521">
        <v>403293</v>
      </c>
      <c r="D4521" t="s">
        <v>18</v>
      </c>
      <c r="E4521" t="s">
        <v>16</v>
      </c>
      <c r="F4521" t="s">
        <v>12</v>
      </c>
      <c r="G4521" t="s">
        <v>13</v>
      </c>
      <c r="H4521" t="s">
        <v>12</v>
      </c>
      <c r="I4521">
        <v>62</v>
      </c>
      <c r="J4521">
        <f>ABS((I4521-EDA!$A$15)/EDA!$B$15)</f>
        <v>1.4129469144014672</v>
      </c>
      <c r="K4521" t="str">
        <f t="shared" si="70"/>
        <v>No</v>
      </c>
      <c r="L4521">
        <f>ABS((C4521-EDA!$F$15)/EDA!$G$15)</f>
        <v>0.36894289199837038</v>
      </c>
      <c r="M4521" t="str">
        <f>IF(moras[[#This Row],[Z-Score Salario]]&gt;1.96, "Sí", "No")</f>
        <v>No</v>
      </c>
      <c r="N4521" s="14">
        <f>IF(ISBLANK(moras[[#This Row],[SALARIO]]), EDA!$M$8, moras[[#This Row],[SALARIO]])</f>
        <v>403293</v>
      </c>
      <c r="O4521" s="14">
        <f xml:space="preserve"> IF(ISBLANK(moras[[#This Row],[EDAD]]), EDA!$E$8, moras[[#This Row],[EDAD]])</f>
        <v>62</v>
      </c>
      <c r="P4521" s="14" t="str">
        <f>IF(
    OR(ISBLANK(moras[[#This Row],[TIPO_ASEGURAMIENTO]]), moras[[#This Row],[TIPO_ASEGURAMIENTO]]=""),
    EDA!$A$32,
    moras[[#This Row],[TIPO_ASEGURAMIENTO]]
)</f>
        <v>TRABAJADOR INDEPENDIENTE</v>
      </c>
    </row>
    <row r="4522" spans="1:16" x14ac:dyDescent="0.3">
      <c r="A4522">
        <v>4521</v>
      </c>
      <c r="B4522" t="s">
        <v>9</v>
      </c>
      <c r="C4522">
        <v>323500</v>
      </c>
      <c r="D4522" t="s">
        <v>10</v>
      </c>
      <c r="E4522" t="s">
        <v>16</v>
      </c>
      <c r="F4522" t="s">
        <v>12</v>
      </c>
      <c r="G4522" t="s">
        <v>13</v>
      </c>
      <c r="H4522" t="s">
        <v>13</v>
      </c>
      <c r="I4522">
        <v>37</v>
      </c>
      <c r="J4522">
        <f>ABS((I4522-EDA!$A$15)/EDA!$B$15)</f>
        <v>0.35143633752697023</v>
      </c>
      <c r="K4522" t="str">
        <f t="shared" si="70"/>
        <v>No</v>
      </c>
      <c r="L4522">
        <f>ABS((C4522-EDA!$F$15)/EDA!$G$15)</f>
        <v>0.37027070384522232</v>
      </c>
      <c r="M4522" t="str">
        <f>IF(moras[[#This Row],[Z-Score Salario]]&gt;1.96, "Sí", "No")</f>
        <v>No</v>
      </c>
      <c r="N4522" s="14">
        <f>IF(ISBLANK(moras[[#This Row],[SALARIO]]), EDA!$M$8, moras[[#This Row],[SALARIO]])</f>
        <v>323500</v>
      </c>
      <c r="O4522" s="14">
        <f xml:space="preserve"> IF(ISBLANK(moras[[#This Row],[EDAD]]), EDA!$E$8, moras[[#This Row],[EDAD]])</f>
        <v>37</v>
      </c>
      <c r="P4522" s="14" t="str">
        <f>IF(
    OR(ISBLANK(moras[[#This Row],[TIPO_ASEGURAMIENTO]]), moras[[#This Row],[TIPO_ASEGURAMIENTO]]=""),
    EDA!$A$32,
    moras[[#This Row],[TIPO_ASEGURAMIENTO]]
)</f>
        <v>ASALARIADO</v>
      </c>
    </row>
    <row r="4523" spans="1:16" x14ac:dyDescent="0.3">
      <c r="A4523">
        <v>4522</v>
      </c>
      <c r="B4523" t="s">
        <v>9</v>
      </c>
      <c r="C4523">
        <v>78000</v>
      </c>
      <c r="D4523" t="s">
        <v>10</v>
      </c>
      <c r="E4523" t="s">
        <v>16</v>
      </c>
      <c r="F4523" t="s">
        <v>12</v>
      </c>
      <c r="G4523" t="s">
        <v>13</v>
      </c>
      <c r="H4523" t="s">
        <v>12</v>
      </c>
      <c r="I4523">
        <v>71</v>
      </c>
      <c r="J4523">
        <f>ABS((I4523-EDA!$A$15)/EDA!$B$15)</f>
        <v>2.0481248850957048</v>
      </c>
      <c r="K4523" t="str">
        <f t="shared" si="70"/>
        <v>Sí</v>
      </c>
      <c r="L4523">
        <f>ABS((C4523-EDA!$F$15)/EDA!$G$15)</f>
        <v>0.37435599714666673</v>
      </c>
      <c r="M4523" t="str">
        <f>IF(moras[[#This Row],[Z-Score Salario]]&gt;1.96, "Sí", "No")</f>
        <v>No</v>
      </c>
      <c r="N4523" s="14">
        <f>IF(ISBLANK(moras[[#This Row],[SALARIO]]), EDA!$M$8, moras[[#This Row],[SALARIO]])</f>
        <v>78000</v>
      </c>
      <c r="O4523" s="14">
        <f xml:space="preserve"> IF(ISBLANK(moras[[#This Row],[EDAD]]), EDA!$E$8, moras[[#This Row],[EDAD]])</f>
        <v>71</v>
      </c>
      <c r="P4523" s="14" t="str">
        <f>IF(
    OR(ISBLANK(moras[[#This Row],[TIPO_ASEGURAMIENTO]]), moras[[#This Row],[TIPO_ASEGURAMIENTO]]=""),
    EDA!$A$32,
    moras[[#This Row],[TIPO_ASEGURAMIENTO]]
)</f>
        <v>ASALARIADO</v>
      </c>
    </row>
    <row r="4524" spans="1:16" x14ac:dyDescent="0.3">
      <c r="A4524">
        <v>4523</v>
      </c>
      <c r="B4524" t="s">
        <v>15</v>
      </c>
      <c r="C4524">
        <v>85775311</v>
      </c>
      <c r="D4524" t="s">
        <v>10</v>
      </c>
      <c r="E4524" t="s">
        <v>16</v>
      </c>
      <c r="F4524" t="s">
        <v>12</v>
      </c>
      <c r="G4524" t="s">
        <v>13</v>
      </c>
      <c r="H4524" t="s">
        <v>13</v>
      </c>
      <c r="I4524">
        <v>32</v>
      </c>
      <c r="J4524">
        <f>ABS((I4524-EDA!$A$15)/EDA!$B$15)</f>
        <v>0.70431298791265773</v>
      </c>
      <c r="K4524" t="str">
        <f t="shared" si="70"/>
        <v>No</v>
      </c>
      <c r="L4524">
        <f>ABS((C4524-EDA!$F$15)/EDA!$G$15)</f>
        <v>1.0517077526704335</v>
      </c>
      <c r="M4524" t="str">
        <f>IF(moras[[#This Row],[Z-Score Salario]]&gt;1.96, "Sí", "No")</f>
        <v>No</v>
      </c>
      <c r="N4524" s="14">
        <f>IF(ISBLANK(moras[[#This Row],[SALARIO]]), EDA!$M$8, moras[[#This Row],[SALARIO]])</f>
        <v>85775311</v>
      </c>
      <c r="O4524" s="14">
        <f xml:space="preserve"> IF(ISBLANK(moras[[#This Row],[EDAD]]), EDA!$E$8, moras[[#This Row],[EDAD]])</f>
        <v>32</v>
      </c>
      <c r="P4524" s="14" t="str">
        <f>IF(
    OR(ISBLANK(moras[[#This Row],[TIPO_ASEGURAMIENTO]]), moras[[#This Row],[TIPO_ASEGURAMIENTO]]=""),
    EDA!$A$32,
    moras[[#This Row],[TIPO_ASEGURAMIENTO]]
)</f>
        <v>ASALARIADO</v>
      </c>
    </row>
    <row r="4525" spans="1:16" x14ac:dyDescent="0.3">
      <c r="A4525">
        <v>4524</v>
      </c>
      <c r="B4525" t="s">
        <v>9</v>
      </c>
      <c r="C4525">
        <v>509509</v>
      </c>
      <c r="D4525" t="s">
        <v>18</v>
      </c>
      <c r="E4525" t="s">
        <v>16</v>
      </c>
      <c r="F4525" t="s">
        <v>12</v>
      </c>
      <c r="G4525" t="s">
        <v>13</v>
      </c>
      <c r="H4525" t="s">
        <v>12</v>
      </c>
      <c r="I4525">
        <v>40</v>
      </c>
      <c r="J4525">
        <f>ABS((I4525-EDA!$A$15)/EDA!$B$15)</f>
        <v>0.13971034729555773</v>
      </c>
      <c r="K4525" t="str">
        <f t="shared" si="70"/>
        <v>No</v>
      </c>
      <c r="L4525">
        <f>ABS((C4525-EDA!$F$15)/EDA!$G$15)</f>
        <v>0.36717538277920042</v>
      </c>
      <c r="M4525" t="str">
        <f>IF(moras[[#This Row],[Z-Score Salario]]&gt;1.96, "Sí", "No")</f>
        <v>No</v>
      </c>
      <c r="N4525" s="14">
        <f>IF(ISBLANK(moras[[#This Row],[SALARIO]]), EDA!$M$8, moras[[#This Row],[SALARIO]])</f>
        <v>509509</v>
      </c>
      <c r="O4525" s="14">
        <f xml:space="preserve"> IF(ISBLANK(moras[[#This Row],[EDAD]]), EDA!$E$8, moras[[#This Row],[EDAD]])</f>
        <v>40</v>
      </c>
      <c r="P4525" s="14" t="str">
        <f>IF(
    OR(ISBLANK(moras[[#This Row],[TIPO_ASEGURAMIENTO]]), moras[[#This Row],[TIPO_ASEGURAMIENTO]]=""),
    EDA!$A$32,
    moras[[#This Row],[TIPO_ASEGURAMIENTO]]
)</f>
        <v>TRABAJADOR INDEPENDIENTE</v>
      </c>
    </row>
    <row r="4526" spans="1:16" x14ac:dyDescent="0.3">
      <c r="A4526">
        <v>4525</v>
      </c>
      <c r="B4526" t="s">
        <v>9</v>
      </c>
      <c r="C4526">
        <v>1523214</v>
      </c>
      <c r="D4526" t="s">
        <v>10</v>
      </c>
      <c r="E4526" t="s">
        <v>11</v>
      </c>
      <c r="F4526" t="s">
        <v>12</v>
      </c>
      <c r="G4526" t="s">
        <v>13</v>
      </c>
      <c r="H4526" t="s">
        <v>13</v>
      </c>
      <c r="I4526">
        <v>38</v>
      </c>
      <c r="J4526">
        <f>ABS((I4526-EDA!$A$15)/EDA!$B$15)</f>
        <v>0.28086100744983278</v>
      </c>
      <c r="K4526" t="str">
        <f t="shared" si="70"/>
        <v>No</v>
      </c>
      <c r="L4526">
        <f>ABS((C4526-EDA!$F$15)/EDA!$G$15)</f>
        <v>0.35030661599247659</v>
      </c>
      <c r="M4526" t="str">
        <f>IF(moras[[#This Row],[Z-Score Salario]]&gt;1.96, "Sí", "No")</f>
        <v>No</v>
      </c>
      <c r="N4526" s="14">
        <f>IF(ISBLANK(moras[[#This Row],[SALARIO]]), EDA!$M$8, moras[[#This Row],[SALARIO]])</f>
        <v>1523214</v>
      </c>
      <c r="O4526" s="14">
        <f xml:space="preserve"> IF(ISBLANK(moras[[#This Row],[EDAD]]), EDA!$E$8, moras[[#This Row],[EDAD]])</f>
        <v>38</v>
      </c>
      <c r="P4526" s="14" t="str">
        <f>IF(
    OR(ISBLANK(moras[[#This Row],[TIPO_ASEGURAMIENTO]]), moras[[#This Row],[TIPO_ASEGURAMIENTO]]=""),
    EDA!$A$32,
    moras[[#This Row],[TIPO_ASEGURAMIENTO]]
)</f>
        <v>ASALARIADO</v>
      </c>
    </row>
    <row r="4527" spans="1:16" x14ac:dyDescent="0.3">
      <c r="A4527">
        <v>4526</v>
      </c>
      <c r="B4527" t="s">
        <v>9</v>
      </c>
      <c r="C4527">
        <v>81079974</v>
      </c>
      <c r="D4527" t="s">
        <v>10</v>
      </c>
      <c r="E4527" t="s">
        <v>16</v>
      </c>
      <c r="F4527" t="s">
        <v>12</v>
      </c>
      <c r="G4527" t="s">
        <v>13</v>
      </c>
      <c r="H4527" t="s">
        <v>13</v>
      </c>
      <c r="I4527">
        <v>47</v>
      </c>
      <c r="J4527">
        <f>ABS((I4527-EDA!$A$15)/EDA!$B$15)</f>
        <v>0.35431696324440481</v>
      </c>
      <c r="K4527" t="str">
        <f t="shared" si="70"/>
        <v>No</v>
      </c>
      <c r="L4527">
        <f>ABS((C4527-EDA!$F$15)/EDA!$G$15)</f>
        <v>0.97357403049477531</v>
      </c>
      <c r="M4527" t="str">
        <f>IF(moras[[#This Row],[Z-Score Salario]]&gt;1.96, "Sí", "No")</f>
        <v>No</v>
      </c>
      <c r="N4527" s="14">
        <f>IF(ISBLANK(moras[[#This Row],[SALARIO]]), EDA!$M$8, moras[[#This Row],[SALARIO]])</f>
        <v>81079974</v>
      </c>
      <c r="O4527" s="14">
        <f xml:space="preserve"> IF(ISBLANK(moras[[#This Row],[EDAD]]), EDA!$E$8, moras[[#This Row],[EDAD]])</f>
        <v>47</v>
      </c>
      <c r="P4527" s="14" t="str">
        <f>IF(
    OR(ISBLANK(moras[[#This Row],[TIPO_ASEGURAMIENTO]]), moras[[#This Row],[TIPO_ASEGURAMIENTO]]=""),
    EDA!$A$32,
    moras[[#This Row],[TIPO_ASEGURAMIENTO]]
)</f>
        <v>ASALARIADO</v>
      </c>
    </row>
    <row r="4528" spans="1:16" x14ac:dyDescent="0.3">
      <c r="A4528">
        <v>4527</v>
      </c>
      <c r="B4528" t="s">
        <v>15</v>
      </c>
      <c r="C4528">
        <v>11433182</v>
      </c>
      <c r="D4528" t="s">
        <v>10</v>
      </c>
      <c r="E4528" t="s">
        <v>11</v>
      </c>
      <c r="F4528" t="s">
        <v>12</v>
      </c>
      <c r="G4528" t="s">
        <v>13</v>
      </c>
      <c r="H4528" t="s">
        <v>13</v>
      </c>
      <c r="I4528">
        <v>59</v>
      </c>
      <c r="J4528">
        <f>ABS((I4528-EDA!$A$15)/EDA!$B$15)</f>
        <v>1.2012209241700549</v>
      </c>
      <c r="K4528" t="str">
        <f t="shared" si="70"/>
        <v>No</v>
      </c>
      <c r="L4528">
        <f>ABS((C4528-EDA!$F$15)/EDA!$G$15)</f>
        <v>0.18539775290519175</v>
      </c>
      <c r="M4528" t="str">
        <f>IF(moras[[#This Row],[Z-Score Salario]]&gt;1.96, "Sí", "No")</f>
        <v>No</v>
      </c>
      <c r="N4528" s="14">
        <f>IF(ISBLANK(moras[[#This Row],[SALARIO]]), EDA!$M$8, moras[[#This Row],[SALARIO]])</f>
        <v>11433182</v>
      </c>
      <c r="O4528" s="14">
        <f xml:space="preserve"> IF(ISBLANK(moras[[#This Row],[EDAD]]), EDA!$E$8, moras[[#This Row],[EDAD]])</f>
        <v>59</v>
      </c>
      <c r="P4528" s="14" t="str">
        <f>IF(
    OR(ISBLANK(moras[[#This Row],[TIPO_ASEGURAMIENTO]]), moras[[#This Row],[TIPO_ASEGURAMIENTO]]=""),
    EDA!$A$32,
    moras[[#This Row],[TIPO_ASEGURAMIENTO]]
)</f>
        <v>ASALARIADO</v>
      </c>
    </row>
    <row r="4529" spans="1:16" x14ac:dyDescent="0.3">
      <c r="A4529">
        <v>4528</v>
      </c>
      <c r="B4529" t="s">
        <v>9</v>
      </c>
      <c r="C4529">
        <v>297045</v>
      </c>
      <c r="D4529" t="s">
        <v>17</v>
      </c>
      <c r="E4529" t="s">
        <v>16</v>
      </c>
      <c r="F4529" t="s">
        <v>12</v>
      </c>
      <c r="G4529" t="s">
        <v>12</v>
      </c>
      <c r="H4529" t="s">
        <v>13</v>
      </c>
      <c r="I4529">
        <v>76</v>
      </c>
      <c r="J4529">
        <f>ABS((I4529-EDA!$A$15)/EDA!$B$15)</f>
        <v>2.4010015354813925</v>
      </c>
      <c r="K4529" t="str">
        <f t="shared" si="70"/>
        <v>Sí</v>
      </c>
      <c r="L4529">
        <f>ABS((C4529-EDA!$F$15)/EDA!$G$15)</f>
        <v>0.37071093372012948</v>
      </c>
      <c r="M4529" t="str">
        <f>IF(moras[[#This Row],[Z-Score Salario]]&gt;1.96, "Sí", "No")</f>
        <v>No</v>
      </c>
      <c r="N4529" s="14">
        <f>IF(ISBLANK(moras[[#This Row],[SALARIO]]), EDA!$M$8, moras[[#This Row],[SALARIO]])</f>
        <v>297045</v>
      </c>
      <c r="O4529" s="14">
        <f xml:space="preserve"> IF(ISBLANK(moras[[#This Row],[EDAD]]), EDA!$E$8, moras[[#This Row],[EDAD]])</f>
        <v>76</v>
      </c>
      <c r="P4529" s="14" t="str">
        <f>IF(
    OR(ISBLANK(moras[[#This Row],[TIPO_ASEGURAMIENTO]]), moras[[#This Row],[TIPO_ASEGURAMIENTO]]=""),
    EDA!$A$32,
    moras[[#This Row],[TIPO_ASEGURAMIENTO]]
)</f>
        <v>ASEGURADO VOLUNTARIO</v>
      </c>
    </row>
    <row r="4530" spans="1:16" x14ac:dyDescent="0.3">
      <c r="A4530">
        <v>4529</v>
      </c>
      <c r="B4530" t="s">
        <v>9</v>
      </c>
      <c r="C4530">
        <v>365464</v>
      </c>
      <c r="D4530" t="s">
        <v>10</v>
      </c>
      <c r="E4530" t="s">
        <v>11</v>
      </c>
      <c r="F4530" t="s">
        <v>12</v>
      </c>
      <c r="G4530" t="s">
        <v>13</v>
      </c>
      <c r="H4530" t="s">
        <v>13</v>
      </c>
      <c r="I4530">
        <v>31</v>
      </c>
      <c r="J4530">
        <f>ABS((I4530-EDA!$A$15)/EDA!$B$15)</f>
        <v>0.77488831798979529</v>
      </c>
      <c r="K4530" t="str">
        <f t="shared" si="70"/>
        <v>No</v>
      </c>
      <c r="L4530">
        <f>ABS((C4530-EDA!$F$15)/EDA!$G$15)</f>
        <v>0.36957239326232288</v>
      </c>
      <c r="M4530" t="str">
        <f>IF(moras[[#This Row],[Z-Score Salario]]&gt;1.96, "Sí", "No")</f>
        <v>No</v>
      </c>
      <c r="N4530" s="14">
        <f>IF(ISBLANK(moras[[#This Row],[SALARIO]]), EDA!$M$8, moras[[#This Row],[SALARIO]])</f>
        <v>365464</v>
      </c>
      <c r="O4530" s="14">
        <f xml:space="preserve"> IF(ISBLANK(moras[[#This Row],[EDAD]]), EDA!$E$8, moras[[#This Row],[EDAD]])</f>
        <v>31</v>
      </c>
      <c r="P4530" s="14" t="str">
        <f>IF(
    OR(ISBLANK(moras[[#This Row],[TIPO_ASEGURAMIENTO]]), moras[[#This Row],[TIPO_ASEGURAMIENTO]]=""),
    EDA!$A$32,
    moras[[#This Row],[TIPO_ASEGURAMIENTO]]
)</f>
        <v>ASALARIADO</v>
      </c>
    </row>
    <row r="4531" spans="1:16" x14ac:dyDescent="0.3">
      <c r="A4531">
        <v>4530</v>
      </c>
      <c r="B4531" t="s">
        <v>15</v>
      </c>
      <c r="C4531">
        <v>19577086</v>
      </c>
      <c r="D4531" t="s">
        <v>10</v>
      </c>
      <c r="E4531" t="s">
        <v>11</v>
      </c>
      <c r="F4531" t="s">
        <v>12</v>
      </c>
      <c r="G4531" t="s">
        <v>13</v>
      </c>
      <c r="H4531" t="s">
        <v>13</v>
      </c>
      <c r="I4531">
        <v>52</v>
      </c>
      <c r="J4531">
        <f>ABS((I4531-EDA!$A$15)/EDA!$B$15)</f>
        <v>0.70719361363009237</v>
      </c>
      <c r="K4531" t="str">
        <f t="shared" si="70"/>
        <v>No</v>
      </c>
      <c r="L4531">
        <f>ABS((C4531-EDA!$F$15)/EDA!$G$15)</f>
        <v>4.9877441464025521E-2</v>
      </c>
      <c r="M4531" t="str">
        <f>IF(moras[[#This Row],[Z-Score Salario]]&gt;1.96, "Sí", "No")</f>
        <v>No</v>
      </c>
      <c r="N4531" s="14">
        <f>IF(ISBLANK(moras[[#This Row],[SALARIO]]), EDA!$M$8, moras[[#This Row],[SALARIO]])</f>
        <v>19577086</v>
      </c>
      <c r="O4531" s="14">
        <f xml:space="preserve"> IF(ISBLANK(moras[[#This Row],[EDAD]]), EDA!$E$8, moras[[#This Row],[EDAD]])</f>
        <v>52</v>
      </c>
      <c r="P4531" s="14" t="str">
        <f>IF(
    OR(ISBLANK(moras[[#This Row],[TIPO_ASEGURAMIENTO]]), moras[[#This Row],[TIPO_ASEGURAMIENTO]]=""),
    EDA!$A$32,
    moras[[#This Row],[TIPO_ASEGURAMIENTO]]
)</f>
        <v>ASALARIADO</v>
      </c>
    </row>
    <row r="4532" spans="1:16" x14ac:dyDescent="0.3">
      <c r="A4532">
        <v>4531</v>
      </c>
      <c r="B4532" t="s">
        <v>9</v>
      </c>
      <c r="C4532">
        <v>600000</v>
      </c>
      <c r="D4532" t="s">
        <v>10</v>
      </c>
      <c r="E4532" t="s">
        <v>16</v>
      </c>
      <c r="F4532" t="s">
        <v>12</v>
      </c>
      <c r="G4532" t="s">
        <v>13</v>
      </c>
      <c r="H4532" t="s">
        <v>13</v>
      </c>
      <c r="I4532">
        <v>32</v>
      </c>
      <c r="J4532">
        <f>ABS((I4532-EDA!$A$15)/EDA!$B$15)</f>
        <v>0.70431298791265773</v>
      </c>
      <c r="K4532" t="str">
        <f t="shared" si="70"/>
        <v>No</v>
      </c>
      <c r="L4532">
        <f>ABS((C4532-EDA!$F$15)/EDA!$G$15)</f>
        <v>0.36566954866049978</v>
      </c>
      <c r="M4532" t="str">
        <f>IF(moras[[#This Row],[Z-Score Salario]]&gt;1.96, "Sí", "No")</f>
        <v>No</v>
      </c>
      <c r="N4532" s="14">
        <f>IF(ISBLANK(moras[[#This Row],[SALARIO]]), EDA!$M$8, moras[[#This Row],[SALARIO]])</f>
        <v>600000</v>
      </c>
      <c r="O4532" s="14">
        <f xml:space="preserve"> IF(ISBLANK(moras[[#This Row],[EDAD]]), EDA!$E$8, moras[[#This Row],[EDAD]])</f>
        <v>32</v>
      </c>
      <c r="P4532" s="14" t="str">
        <f>IF(
    OR(ISBLANK(moras[[#This Row],[TIPO_ASEGURAMIENTO]]), moras[[#This Row],[TIPO_ASEGURAMIENTO]]=""),
    EDA!$A$32,
    moras[[#This Row],[TIPO_ASEGURAMIENTO]]
)</f>
        <v>ASALARIADO</v>
      </c>
    </row>
    <row r="4533" spans="1:16" x14ac:dyDescent="0.3">
      <c r="A4533">
        <v>4532</v>
      </c>
      <c r="B4533" t="s">
        <v>9</v>
      </c>
      <c r="C4533">
        <v>1610843</v>
      </c>
      <c r="D4533" t="s">
        <v>10</v>
      </c>
      <c r="E4533" t="s">
        <v>11</v>
      </c>
      <c r="F4533" t="s">
        <v>12</v>
      </c>
      <c r="G4533" t="s">
        <v>13</v>
      </c>
      <c r="H4533" t="s">
        <v>13</v>
      </c>
      <c r="I4533">
        <v>42</v>
      </c>
      <c r="J4533">
        <f>ABS((I4533-EDA!$A$15)/EDA!$B$15)</f>
        <v>1.4403128587172659E-3</v>
      </c>
      <c r="K4533" t="str">
        <f t="shared" si="70"/>
        <v>No</v>
      </c>
      <c r="L4533">
        <f>ABS((C4533-EDA!$F$15)/EDA!$G$15)</f>
        <v>0.34884840757409669</v>
      </c>
      <c r="M4533" t="str">
        <f>IF(moras[[#This Row],[Z-Score Salario]]&gt;1.96, "Sí", "No")</f>
        <v>No</v>
      </c>
      <c r="N4533" s="14">
        <f>IF(ISBLANK(moras[[#This Row],[SALARIO]]), EDA!$M$8, moras[[#This Row],[SALARIO]])</f>
        <v>1610843</v>
      </c>
      <c r="O4533" s="14">
        <f xml:space="preserve"> IF(ISBLANK(moras[[#This Row],[EDAD]]), EDA!$E$8, moras[[#This Row],[EDAD]])</f>
        <v>42</v>
      </c>
      <c r="P4533" s="14" t="str">
        <f>IF(
    OR(ISBLANK(moras[[#This Row],[TIPO_ASEGURAMIENTO]]), moras[[#This Row],[TIPO_ASEGURAMIENTO]]=""),
    EDA!$A$32,
    moras[[#This Row],[TIPO_ASEGURAMIENTO]]
)</f>
        <v>ASALARIADO</v>
      </c>
    </row>
    <row r="4534" spans="1:16" x14ac:dyDescent="0.3">
      <c r="A4534">
        <v>4533</v>
      </c>
      <c r="B4534" t="s">
        <v>9</v>
      </c>
      <c r="C4534">
        <v>3192744</v>
      </c>
      <c r="D4534" t="s">
        <v>10</v>
      </c>
      <c r="E4534" t="s">
        <v>16</v>
      </c>
      <c r="F4534" t="s">
        <v>12</v>
      </c>
      <c r="G4534" t="s">
        <v>12</v>
      </c>
      <c r="H4534" t="s">
        <v>13</v>
      </c>
      <c r="I4534">
        <v>36</v>
      </c>
      <c r="J4534">
        <f>ABS((I4534-EDA!$A$15)/EDA!$B$15)</f>
        <v>0.42201166760410774</v>
      </c>
      <c r="K4534" t="str">
        <f t="shared" si="70"/>
        <v>No</v>
      </c>
      <c r="L4534">
        <f>ABS((C4534-EDA!$F$15)/EDA!$G$15)</f>
        <v>0.32252445825088605</v>
      </c>
      <c r="M4534" t="str">
        <f>IF(moras[[#This Row],[Z-Score Salario]]&gt;1.96, "Sí", "No")</f>
        <v>No</v>
      </c>
      <c r="N4534" s="14">
        <f>IF(ISBLANK(moras[[#This Row],[SALARIO]]), EDA!$M$8, moras[[#This Row],[SALARIO]])</f>
        <v>3192744</v>
      </c>
      <c r="O4534" s="14">
        <f xml:space="preserve"> IF(ISBLANK(moras[[#This Row],[EDAD]]), EDA!$E$8, moras[[#This Row],[EDAD]])</f>
        <v>36</v>
      </c>
      <c r="P4534" s="14" t="str">
        <f>IF(
    OR(ISBLANK(moras[[#This Row],[TIPO_ASEGURAMIENTO]]), moras[[#This Row],[TIPO_ASEGURAMIENTO]]=""),
    EDA!$A$32,
    moras[[#This Row],[TIPO_ASEGURAMIENTO]]
)</f>
        <v>ASALARIADO</v>
      </c>
    </row>
    <row r="4535" spans="1:16" x14ac:dyDescent="0.3">
      <c r="A4535">
        <v>4534</v>
      </c>
      <c r="B4535" t="s">
        <v>9</v>
      </c>
      <c r="C4535">
        <v>42759098</v>
      </c>
      <c r="D4535" t="s">
        <v>10</v>
      </c>
      <c r="E4535" t="s">
        <v>16</v>
      </c>
      <c r="F4535" t="s">
        <v>12</v>
      </c>
      <c r="G4535" t="s">
        <v>13</v>
      </c>
      <c r="H4535" t="s">
        <v>12</v>
      </c>
      <c r="I4535">
        <v>61</v>
      </c>
      <c r="J4535">
        <f>ABS((I4535-EDA!$A$15)/EDA!$B$15)</f>
        <v>1.3423715843243298</v>
      </c>
      <c r="K4535" t="str">
        <f t="shared" si="70"/>
        <v>No</v>
      </c>
      <c r="L4535">
        <f>ABS((C4535-EDA!$F$15)/EDA!$G$15)</f>
        <v>0.33588760268100037</v>
      </c>
      <c r="M4535" t="str">
        <f>IF(moras[[#This Row],[Z-Score Salario]]&gt;1.96, "Sí", "No")</f>
        <v>No</v>
      </c>
      <c r="N4535" s="14">
        <f>IF(ISBLANK(moras[[#This Row],[SALARIO]]), EDA!$M$8, moras[[#This Row],[SALARIO]])</f>
        <v>42759098</v>
      </c>
      <c r="O4535" s="14">
        <f xml:space="preserve"> IF(ISBLANK(moras[[#This Row],[EDAD]]), EDA!$E$8, moras[[#This Row],[EDAD]])</f>
        <v>61</v>
      </c>
      <c r="P4535" s="14" t="str">
        <f>IF(
    OR(ISBLANK(moras[[#This Row],[TIPO_ASEGURAMIENTO]]), moras[[#This Row],[TIPO_ASEGURAMIENTO]]=""),
    EDA!$A$32,
    moras[[#This Row],[TIPO_ASEGURAMIENTO]]
)</f>
        <v>ASALARIADO</v>
      </c>
    </row>
    <row r="4536" spans="1:16" x14ac:dyDescent="0.3">
      <c r="A4536">
        <v>4535</v>
      </c>
      <c r="B4536" t="s">
        <v>9</v>
      </c>
      <c r="C4536">
        <v>54342736</v>
      </c>
      <c r="D4536" t="s">
        <v>10</v>
      </c>
      <c r="E4536" t="s">
        <v>16</v>
      </c>
      <c r="F4536" t="s">
        <v>12</v>
      </c>
      <c r="G4536" t="s">
        <v>13</v>
      </c>
      <c r="H4536" t="s">
        <v>13</v>
      </c>
      <c r="I4536">
        <v>27</v>
      </c>
      <c r="J4536">
        <f>ABS((I4536-EDA!$A$15)/EDA!$B$15)</f>
        <v>1.0571896382983452</v>
      </c>
      <c r="K4536" t="str">
        <f t="shared" si="70"/>
        <v>No</v>
      </c>
      <c r="L4536">
        <f>ABS((C4536-EDA!$F$15)/EDA!$G$15)</f>
        <v>0.52864751603235227</v>
      </c>
      <c r="M4536" t="str">
        <f>IF(moras[[#This Row],[Z-Score Salario]]&gt;1.96, "Sí", "No")</f>
        <v>No</v>
      </c>
      <c r="N4536" s="14">
        <f>IF(ISBLANK(moras[[#This Row],[SALARIO]]), EDA!$M$8, moras[[#This Row],[SALARIO]])</f>
        <v>54342736</v>
      </c>
      <c r="O4536" s="14">
        <f xml:space="preserve"> IF(ISBLANK(moras[[#This Row],[EDAD]]), EDA!$E$8, moras[[#This Row],[EDAD]])</f>
        <v>27</v>
      </c>
      <c r="P4536" s="14" t="str">
        <f>IF(
    OR(ISBLANK(moras[[#This Row],[TIPO_ASEGURAMIENTO]]), moras[[#This Row],[TIPO_ASEGURAMIENTO]]=""),
    EDA!$A$32,
    moras[[#This Row],[TIPO_ASEGURAMIENTO]]
)</f>
        <v>ASALARIADO</v>
      </c>
    </row>
    <row r="4537" spans="1:16" x14ac:dyDescent="0.3">
      <c r="A4537">
        <v>4536</v>
      </c>
      <c r="B4537" t="s">
        <v>9</v>
      </c>
      <c r="C4537">
        <v>34205963</v>
      </c>
      <c r="D4537" t="s">
        <v>10</v>
      </c>
      <c r="E4537" t="s">
        <v>16</v>
      </c>
      <c r="F4537" t="s">
        <v>12</v>
      </c>
      <c r="G4537" t="s">
        <v>13</v>
      </c>
      <c r="H4537" t="s">
        <v>13</v>
      </c>
      <c r="I4537">
        <v>49</v>
      </c>
      <c r="J4537">
        <f>ABS((I4537-EDA!$A$15)/EDA!$B$15)</f>
        <v>0.49546762339867978</v>
      </c>
      <c r="K4537" t="str">
        <f t="shared" si="70"/>
        <v>No</v>
      </c>
      <c r="L4537">
        <f>ABS((C4537-EDA!$F$15)/EDA!$G$15)</f>
        <v>0.19355739851867979</v>
      </c>
      <c r="M4537" t="str">
        <f>IF(moras[[#This Row],[Z-Score Salario]]&gt;1.96, "Sí", "No")</f>
        <v>No</v>
      </c>
      <c r="N4537" s="14">
        <f>IF(ISBLANK(moras[[#This Row],[SALARIO]]), EDA!$M$8, moras[[#This Row],[SALARIO]])</f>
        <v>34205963</v>
      </c>
      <c r="O4537" s="14">
        <f xml:space="preserve"> IF(ISBLANK(moras[[#This Row],[EDAD]]), EDA!$E$8, moras[[#This Row],[EDAD]])</f>
        <v>49</v>
      </c>
      <c r="P4537" s="14" t="str">
        <f>IF(
    OR(ISBLANK(moras[[#This Row],[TIPO_ASEGURAMIENTO]]), moras[[#This Row],[TIPO_ASEGURAMIENTO]]=""),
    EDA!$A$32,
    moras[[#This Row],[TIPO_ASEGURAMIENTO]]
)</f>
        <v>ASALARIADO</v>
      </c>
    </row>
    <row r="4538" spans="1:16" x14ac:dyDescent="0.3">
      <c r="A4538">
        <v>4537</v>
      </c>
      <c r="B4538" t="s">
        <v>15</v>
      </c>
      <c r="C4538">
        <v>187070454</v>
      </c>
      <c r="D4538" t="s">
        <v>10</v>
      </c>
      <c r="E4538" t="s">
        <v>16</v>
      </c>
      <c r="F4538" t="s">
        <v>12</v>
      </c>
      <c r="G4538" t="s">
        <v>13</v>
      </c>
      <c r="H4538" t="s">
        <v>13</v>
      </c>
      <c r="I4538">
        <v>28</v>
      </c>
      <c r="J4538">
        <f>ABS((I4538-EDA!$A$15)/EDA!$B$15)</f>
        <v>0.98661430822120777</v>
      </c>
      <c r="K4538" t="str">
        <f t="shared" si="70"/>
        <v>No</v>
      </c>
      <c r="L4538">
        <f>ABS((C4538-EDA!$F$15)/EDA!$G$15)</f>
        <v>2.7373304376673917</v>
      </c>
      <c r="M4538" t="str">
        <f>IF(moras[[#This Row],[Z-Score Salario]]&gt;1.96, "Sí", "No")</f>
        <v>Sí</v>
      </c>
      <c r="N4538" s="14">
        <f>IF(ISBLANK(moras[[#This Row],[SALARIO]]), EDA!$M$8, moras[[#This Row],[SALARIO]])</f>
        <v>187070454</v>
      </c>
      <c r="O4538" s="14">
        <f xml:space="preserve"> IF(ISBLANK(moras[[#This Row],[EDAD]]), EDA!$E$8, moras[[#This Row],[EDAD]])</f>
        <v>28</v>
      </c>
      <c r="P4538" s="14" t="str">
        <f>IF(
    OR(ISBLANK(moras[[#This Row],[TIPO_ASEGURAMIENTO]]), moras[[#This Row],[TIPO_ASEGURAMIENTO]]=""),
    EDA!$A$32,
    moras[[#This Row],[TIPO_ASEGURAMIENTO]]
)</f>
        <v>ASALARIADO</v>
      </c>
    </row>
    <row r="4539" spans="1:16" x14ac:dyDescent="0.3">
      <c r="A4539">
        <v>4538</v>
      </c>
      <c r="B4539" t="s">
        <v>9</v>
      </c>
      <c r="C4539">
        <v>317000</v>
      </c>
      <c r="D4539" t="s">
        <v>10</v>
      </c>
      <c r="E4539" t="s">
        <v>16</v>
      </c>
      <c r="F4539" t="s">
        <v>12</v>
      </c>
      <c r="G4539" t="s">
        <v>12</v>
      </c>
      <c r="H4539" t="s">
        <v>13</v>
      </c>
      <c r="I4539">
        <v>53</v>
      </c>
      <c r="J4539">
        <f>ABS((I4539-EDA!$A$15)/EDA!$B$15)</f>
        <v>0.77776894370722982</v>
      </c>
      <c r="K4539" t="str">
        <f t="shared" si="70"/>
        <v>No</v>
      </c>
      <c r="L4539">
        <f>ABS((C4539-EDA!$F$15)/EDA!$G$15)</f>
        <v>0.37037886843365159</v>
      </c>
      <c r="M4539" t="str">
        <f>IF(moras[[#This Row],[Z-Score Salario]]&gt;1.96, "Sí", "No")</f>
        <v>No</v>
      </c>
      <c r="N4539" s="14">
        <f>IF(ISBLANK(moras[[#This Row],[SALARIO]]), EDA!$M$8, moras[[#This Row],[SALARIO]])</f>
        <v>317000</v>
      </c>
      <c r="O4539" s="14">
        <f xml:space="preserve"> IF(ISBLANK(moras[[#This Row],[EDAD]]), EDA!$E$8, moras[[#This Row],[EDAD]])</f>
        <v>53</v>
      </c>
      <c r="P4539" s="14" t="str">
        <f>IF(
    OR(ISBLANK(moras[[#This Row],[TIPO_ASEGURAMIENTO]]), moras[[#This Row],[TIPO_ASEGURAMIENTO]]=""),
    EDA!$A$32,
    moras[[#This Row],[TIPO_ASEGURAMIENTO]]
)</f>
        <v>ASALARIADO</v>
      </c>
    </row>
    <row r="4540" spans="1:16" x14ac:dyDescent="0.3">
      <c r="A4540">
        <v>4539</v>
      </c>
      <c r="B4540" t="s">
        <v>15</v>
      </c>
      <c r="C4540">
        <v>40380682</v>
      </c>
      <c r="D4540" t="s">
        <v>10</v>
      </c>
      <c r="E4540" t="s">
        <v>16</v>
      </c>
      <c r="F4540" t="s">
        <v>12</v>
      </c>
      <c r="G4540" t="s">
        <v>13</v>
      </c>
      <c r="H4540" t="s">
        <v>13</v>
      </c>
      <c r="I4540">
        <v>45</v>
      </c>
      <c r="J4540">
        <f>ABS((I4540-EDA!$A$15)/EDA!$B$15)</f>
        <v>0.21316630309012977</v>
      </c>
      <c r="K4540" t="str">
        <f t="shared" si="70"/>
        <v>No</v>
      </c>
      <c r="L4540">
        <f>ABS((C4540-EDA!$F$15)/EDA!$G$15)</f>
        <v>0.29630908148813601</v>
      </c>
      <c r="M4540" t="str">
        <f>IF(moras[[#This Row],[Z-Score Salario]]&gt;1.96, "Sí", "No")</f>
        <v>No</v>
      </c>
      <c r="N4540" s="14">
        <f>IF(ISBLANK(moras[[#This Row],[SALARIO]]), EDA!$M$8, moras[[#This Row],[SALARIO]])</f>
        <v>40380682</v>
      </c>
      <c r="O4540" s="14">
        <f xml:space="preserve"> IF(ISBLANK(moras[[#This Row],[EDAD]]), EDA!$E$8, moras[[#This Row],[EDAD]])</f>
        <v>45</v>
      </c>
      <c r="P4540" s="14" t="str">
        <f>IF(
    OR(ISBLANK(moras[[#This Row],[TIPO_ASEGURAMIENTO]]), moras[[#This Row],[TIPO_ASEGURAMIENTO]]=""),
    EDA!$A$32,
    moras[[#This Row],[TIPO_ASEGURAMIENTO]]
)</f>
        <v>ASALARIADO</v>
      </c>
    </row>
    <row r="4541" spans="1:16" x14ac:dyDescent="0.3">
      <c r="A4541">
        <v>4540</v>
      </c>
      <c r="B4541" t="s">
        <v>15</v>
      </c>
      <c r="C4541">
        <v>17090891</v>
      </c>
      <c r="D4541" t="s">
        <v>10</v>
      </c>
      <c r="E4541" t="s">
        <v>11</v>
      </c>
      <c r="F4541" t="s">
        <v>12</v>
      </c>
      <c r="G4541" t="s">
        <v>13</v>
      </c>
      <c r="H4541" t="s">
        <v>13</v>
      </c>
      <c r="I4541">
        <v>49</v>
      </c>
      <c r="J4541">
        <f>ABS((I4541-EDA!$A$15)/EDA!$B$15)</f>
        <v>0.49546762339867978</v>
      </c>
      <c r="K4541" t="str">
        <f t="shared" si="70"/>
        <v>No</v>
      </c>
      <c r="L4541">
        <f>ABS((C4541-EDA!$F$15)/EDA!$G$15)</f>
        <v>9.1249481299400581E-2</v>
      </c>
      <c r="M4541" t="str">
        <f>IF(moras[[#This Row],[Z-Score Salario]]&gt;1.96, "Sí", "No")</f>
        <v>No</v>
      </c>
      <c r="N4541" s="14">
        <f>IF(ISBLANK(moras[[#This Row],[SALARIO]]), EDA!$M$8, moras[[#This Row],[SALARIO]])</f>
        <v>17090891</v>
      </c>
      <c r="O4541" s="14">
        <f xml:space="preserve"> IF(ISBLANK(moras[[#This Row],[EDAD]]), EDA!$E$8, moras[[#This Row],[EDAD]])</f>
        <v>49</v>
      </c>
      <c r="P4541" s="14" t="str">
        <f>IF(
    OR(ISBLANK(moras[[#This Row],[TIPO_ASEGURAMIENTO]]), moras[[#This Row],[TIPO_ASEGURAMIENTO]]=""),
    EDA!$A$32,
    moras[[#This Row],[TIPO_ASEGURAMIENTO]]
)</f>
        <v>ASALARIADO</v>
      </c>
    </row>
    <row r="4542" spans="1:16" x14ac:dyDescent="0.3">
      <c r="A4542">
        <v>4541</v>
      </c>
      <c r="B4542" t="s">
        <v>9</v>
      </c>
      <c r="C4542">
        <v>278030</v>
      </c>
      <c r="D4542" t="s">
        <v>19</v>
      </c>
      <c r="E4542" t="s">
        <v>16</v>
      </c>
      <c r="F4542" t="s">
        <v>12</v>
      </c>
      <c r="G4542" t="s">
        <v>13</v>
      </c>
      <c r="H4542" t="s">
        <v>13</v>
      </c>
      <c r="I4542">
        <v>43</v>
      </c>
      <c r="J4542">
        <f>ABS((I4542-EDA!$A$15)/EDA!$B$15)</f>
        <v>7.2015642935854773E-2</v>
      </c>
      <c r="K4542" t="str">
        <f t="shared" si="70"/>
        <v>No</v>
      </c>
      <c r="L4542">
        <f>ABS((C4542-EDA!$F$15)/EDA!$G$15)</f>
        <v>0.37102735674304993</v>
      </c>
      <c r="M4542" t="str">
        <f>IF(moras[[#This Row],[Z-Score Salario]]&gt;1.96, "Sí", "No")</f>
        <v>No</v>
      </c>
      <c r="N4542" s="14">
        <f>IF(ISBLANK(moras[[#This Row],[SALARIO]]), EDA!$M$8, moras[[#This Row],[SALARIO]])</f>
        <v>278030</v>
      </c>
      <c r="O4542" s="14">
        <f xml:space="preserve"> IF(ISBLANK(moras[[#This Row],[EDAD]]), EDA!$E$8, moras[[#This Row],[EDAD]])</f>
        <v>43</v>
      </c>
      <c r="P4542" s="14" t="str">
        <f>IF(
    OR(ISBLANK(moras[[#This Row],[TIPO_ASEGURAMIENTO]]), moras[[#This Row],[TIPO_ASEGURAMIENTO]]=""),
    EDA!$A$32,
    moras[[#This Row],[TIPO_ASEGURAMIENTO]]
)</f>
        <v>CONVENIOS ESPECIALES DE TRABAJADORES INDEPENDIENTES</v>
      </c>
    </row>
    <row r="4543" spans="1:16" x14ac:dyDescent="0.3">
      <c r="A4543">
        <v>4542</v>
      </c>
      <c r="B4543" t="s">
        <v>15</v>
      </c>
      <c r="C4543">
        <v>35153184</v>
      </c>
      <c r="D4543" t="s">
        <v>10</v>
      </c>
      <c r="E4543" t="s">
        <v>16</v>
      </c>
      <c r="F4543" t="s">
        <v>12</v>
      </c>
      <c r="G4543" t="s">
        <v>13</v>
      </c>
      <c r="H4543" t="s">
        <v>13</v>
      </c>
      <c r="I4543">
        <v>35</v>
      </c>
      <c r="J4543">
        <f>ABS((I4543-EDA!$A$15)/EDA!$B$15)</f>
        <v>0.49258699768124525</v>
      </c>
      <c r="K4543" t="str">
        <f t="shared" si="70"/>
        <v>No</v>
      </c>
      <c r="L4543">
        <f>ABS((C4543-EDA!$F$15)/EDA!$G$15)</f>
        <v>0.2093198246135371</v>
      </c>
      <c r="M4543" t="str">
        <f>IF(moras[[#This Row],[Z-Score Salario]]&gt;1.96, "Sí", "No")</f>
        <v>No</v>
      </c>
      <c r="N4543" s="14">
        <f>IF(ISBLANK(moras[[#This Row],[SALARIO]]), EDA!$M$8, moras[[#This Row],[SALARIO]])</f>
        <v>35153184</v>
      </c>
      <c r="O4543" s="14">
        <f xml:space="preserve"> IF(ISBLANK(moras[[#This Row],[EDAD]]), EDA!$E$8, moras[[#This Row],[EDAD]])</f>
        <v>35</v>
      </c>
      <c r="P4543" s="14" t="str">
        <f>IF(
    OR(ISBLANK(moras[[#This Row],[TIPO_ASEGURAMIENTO]]), moras[[#This Row],[TIPO_ASEGURAMIENTO]]=""),
    EDA!$A$32,
    moras[[#This Row],[TIPO_ASEGURAMIENTO]]
)</f>
        <v>ASALARIADO</v>
      </c>
    </row>
    <row r="4544" spans="1:16" x14ac:dyDescent="0.3">
      <c r="A4544">
        <v>4543</v>
      </c>
      <c r="B4544" t="s">
        <v>15</v>
      </c>
      <c r="C4544">
        <v>568492</v>
      </c>
      <c r="D4544" t="s">
        <v>10</v>
      </c>
      <c r="E4544" t="s">
        <v>11</v>
      </c>
      <c r="F4544" t="s">
        <v>12</v>
      </c>
      <c r="G4544" t="s">
        <v>13</v>
      </c>
      <c r="H4544" t="s">
        <v>13</v>
      </c>
      <c r="I4544">
        <v>28</v>
      </c>
      <c r="J4544">
        <f>ABS((I4544-EDA!$A$15)/EDA!$B$15)</f>
        <v>0.98661430822120777</v>
      </c>
      <c r="K4544" t="str">
        <f t="shared" si="70"/>
        <v>No</v>
      </c>
      <c r="L4544">
        <f>ABS((C4544-EDA!$F$15)/EDA!$G$15)</f>
        <v>0.3661938640223813</v>
      </c>
      <c r="M4544" t="str">
        <f>IF(moras[[#This Row],[Z-Score Salario]]&gt;1.96, "Sí", "No")</f>
        <v>No</v>
      </c>
      <c r="N4544" s="14">
        <f>IF(ISBLANK(moras[[#This Row],[SALARIO]]), EDA!$M$8, moras[[#This Row],[SALARIO]])</f>
        <v>568492</v>
      </c>
      <c r="O4544" s="14">
        <f xml:space="preserve"> IF(ISBLANK(moras[[#This Row],[EDAD]]), EDA!$E$8, moras[[#This Row],[EDAD]])</f>
        <v>28</v>
      </c>
      <c r="P4544" s="14" t="str">
        <f>IF(
    OR(ISBLANK(moras[[#This Row],[TIPO_ASEGURAMIENTO]]), moras[[#This Row],[TIPO_ASEGURAMIENTO]]=""),
    EDA!$A$32,
    moras[[#This Row],[TIPO_ASEGURAMIENTO]]
)</f>
        <v>ASALARIADO</v>
      </c>
    </row>
    <row r="4545" spans="1:16" x14ac:dyDescent="0.3">
      <c r="A4545">
        <v>4544</v>
      </c>
      <c r="B4545" t="s">
        <v>9</v>
      </c>
      <c r="C4545">
        <v>353607</v>
      </c>
      <c r="D4545" t="s">
        <v>10</v>
      </c>
      <c r="E4545" t="s">
        <v>16</v>
      </c>
      <c r="F4545" t="s">
        <v>12</v>
      </c>
      <c r="G4545" t="s">
        <v>13</v>
      </c>
      <c r="H4545" t="s">
        <v>13</v>
      </c>
      <c r="I4545">
        <v>51</v>
      </c>
      <c r="J4545">
        <f>ABS((I4545-EDA!$A$15)/EDA!$B$15)</f>
        <v>0.6366182835529548</v>
      </c>
      <c r="K4545" t="str">
        <f t="shared" si="70"/>
        <v>No</v>
      </c>
      <c r="L4545">
        <f>ABS((C4545-EDA!$F$15)/EDA!$G$15)</f>
        <v>0.36976970211232379</v>
      </c>
      <c r="M4545" t="str">
        <f>IF(moras[[#This Row],[Z-Score Salario]]&gt;1.96, "Sí", "No")</f>
        <v>No</v>
      </c>
      <c r="N4545" s="14">
        <f>IF(ISBLANK(moras[[#This Row],[SALARIO]]), EDA!$M$8, moras[[#This Row],[SALARIO]])</f>
        <v>353607</v>
      </c>
      <c r="O4545" s="14">
        <f xml:space="preserve"> IF(ISBLANK(moras[[#This Row],[EDAD]]), EDA!$E$8, moras[[#This Row],[EDAD]])</f>
        <v>51</v>
      </c>
      <c r="P4545" s="14" t="str">
        <f>IF(
    OR(ISBLANK(moras[[#This Row],[TIPO_ASEGURAMIENTO]]), moras[[#This Row],[TIPO_ASEGURAMIENTO]]=""),
    EDA!$A$32,
    moras[[#This Row],[TIPO_ASEGURAMIENTO]]
)</f>
        <v>ASALARIADO</v>
      </c>
    </row>
    <row r="4546" spans="1:16" x14ac:dyDescent="0.3">
      <c r="A4546">
        <v>4545</v>
      </c>
      <c r="B4546" t="s">
        <v>15</v>
      </c>
      <c r="C4546">
        <v>1932000</v>
      </c>
      <c r="D4546" t="s">
        <v>10</v>
      </c>
      <c r="E4546" t="s">
        <v>16</v>
      </c>
      <c r="F4546" t="s">
        <v>12</v>
      </c>
      <c r="G4546" t="s">
        <v>13</v>
      </c>
      <c r="H4546" t="s">
        <v>13</v>
      </c>
      <c r="I4546">
        <v>51</v>
      </c>
      <c r="J4546">
        <f>ABS((I4546-EDA!$A$15)/EDA!$B$15)</f>
        <v>0.6366182835529548</v>
      </c>
      <c r="K4546" t="str">
        <f t="shared" ref="K4546:K4609" si="71">IF(J4546 &gt;  1.96, "Sí","No")</f>
        <v>No</v>
      </c>
      <c r="L4546">
        <f>ABS((C4546-EDA!$F$15)/EDA!$G$15)</f>
        <v>0.34350412838545313</v>
      </c>
      <c r="M4546" t="str">
        <f>IF(moras[[#This Row],[Z-Score Salario]]&gt;1.96, "Sí", "No")</f>
        <v>No</v>
      </c>
      <c r="N4546" s="14">
        <f>IF(ISBLANK(moras[[#This Row],[SALARIO]]), EDA!$M$8, moras[[#This Row],[SALARIO]])</f>
        <v>1932000</v>
      </c>
      <c r="O4546" s="14">
        <f xml:space="preserve"> IF(ISBLANK(moras[[#This Row],[EDAD]]), EDA!$E$8, moras[[#This Row],[EDAD]])</f>
        <v>51</v>
      </c>
      <c r="P4546" s="14" t="str">
        <f>IF(
    OR(ISBLANK(moras[[#This Row],[TIPO_ASEGURAMIENTO]]), moras[[#This Row],[TIPO_ASEGURAMIENTO]]=""),
    EDA!$A$32,
    moras[[#This Row],[TIPO_ASEGURAMIENTO]]
)</f>
        <v>ASALARIADO</v>
      </c>
    </row>
    <row r="4547" spans="1:16" x14ac:dyDescent="0.3">
      <c r="A4547">
        <v>4546</v>
      </c>
      <c r="B4547" t="s">
        <v>15</v>
      </c>
      <c r="C4547">
        <v>560498</v>
      </c>
      <c r="D4547" t="s">
        <v>18</v>
      </c>
      <c r="E4547" t="s">
        <v>16</v>
      </c>
      <c r="F4547" t="s">
        <v>12</v>
      </c>
      <c r="G4547" t="s">
        <v>13</v>
      </c>
      <c r="H4547" t="s">
        <v>12</v>
      </c>
      <c r="I4547">
        <v>51</v>
      </c>
      <c r="J4547">
        <f>ABS((I4547-EDA!$A$15)/EDA!$B$15)</f>
        <v>0.6366182835529548</v>
      </c>
      <c r="K4547" t="str">
        <f t="shared" si="71"/>
        <v>No</v>
      </c>
      <c r="L4547">
        <f>ABS((C4547-EDA!$F$15)/EDA!$G$15)</f>
        <v>0.36632688982544342</v>
      </c>
      <c r="M4547" t="str">
        <f>IF(moras[[#This Row],[Z-Score Salario]]&gt;1.96, "Sí", "No")</f>
        <v>No</v>
      </c>
      <c r="N4547" s="14">
        <f>IF(ISBLANK(moras[[#This Row],[SALARIO]]), EDA!$M$8, moras[[#This Row],[SALARIO]])</f>
        <v>560498</v>
      </c>
      <c r="O4547" s="14">
        <f xml:space="preserve"> IF(ISBLANK(moras[[#This Row],[EDAD]]), EDA!$E$8, moras[[#This Row],[EDAD]])</f>
        <v>51</v>
      </c>
      <c r="P4547" s="14" t="str">
        <f>IF(
    OR(ISBLANK(moras[[#This Row],[TIPO_ASEGURAMIENTO]]), moras[[#This Row],[TIPO_ASEGURAMIENTO]]=""),
    EDA!$A$32,
    moras[[#This Row],[TIPO_ASEGURAMIENTO]]
)</f>
        <v>TRABAJADOR INDEPENDIENTE</v>
      </c>
    </row>
    <row r="4548" spans="1:16" x14ac:dyDescent="0.3">
      <c r="A4548">
        <v>4547</v>
      </c>
      <c r="B4548" t="s">
        <v>9</v>
      </c>
      <c r="C4548">
        <v>566297</v>
      </c>
      <c r="D4548" t="s">
        <v>17</v>
      </c>
      <c r="E4548" t="s">
        <v>16</v>
      </c>
      <c r="F4548" t="s">
        <v>12</v>
      </c>
      <c r="G4548" t="s">
        <v>13</v>
      </c>
      <c r="H4548" t="s">
        <v>13</v>
      </c>
      <c r="I4548">
        <v>55</v>
      </c>
      <c r="J4548">
        <f>ABS((I4548-EDA!$A$15)/EDA!$B$15)</f>
        <v>0.91891960386150484</v>
      </c>
      <c r="K4548" t="str">
        <f t="shared" si="71"/>
        <v>No</v>
      </c>
      <c r="L4548">
        <f>ABS((C4548-EDA!$F$15)/EDA!$G$15)</f>
        <v>0.36623039037185856</v>
      </c>
      <c r="M4548" t="str">
        <f>IF(moras[[#This Row],[Z-Score Salario]]&gt;1.96, "Sí", "No")</f>
        <v>No</v>
      </c>
      <c r="N4548" s="14">
        <f>IF(ISBLANK(moras[[#This Row],[SALARIO]]), EDA!$M$8, moras[[#This Row],[SALARIO]])</f>
        <v>566297</v>
      </c>
      <c r="O4548" s="14">
        <f xml:space="preserve"> IF(ISBLANK(moras[[#This Row],[EDAD]]), EDA!$E$8, moras[[#This Row],[EDAD]])</f>
        <v>55</v>
      </c>
      <c r="P4548" s="14" t="str">
        <f>IF(
    OR(ISBLANK(moras[[#This Row],[TIPO_ASEGURAMIENTO]]), moras[[#This Row],[TIPO_ASEGURAMIENTO]]=""),
    EDA!$A$32,
    moras[[#This Row],[TIPO_ASEGURAMIENTO]]
)</f>
        <v>ASEGURADO VOLUNTARIO</v>
      </c>
    </row>
    <row r="4549" spans="1:16" x14ac:dyDescent="0.3">
      <c r="A4549">
        <v>4548</v>
      </c>
      <c r="B4549" t="s">
        <v>15</v>
      </c>
      <c r="C4549">
        <v>1330373</v>
      </c>
      <c r="D4549" t="s">
        <v>10</v>
      </c>
      <c r="E4549" t="s">
        <v>11</v>
      </c>
      <c r="F4549" t="s">
        <v>12</v>
      </c>
      <c r="G4549" t="s">
        <v>13</v>
      </c>
      <c r="H4549" t="s">
        <v>13</v>
      </c>
      <c r="I4549">
        <v>25</v>
      </c>
      <c r="J4549">
        <f>ABS((I4549-EDA!$A$15)/EDA!$B$15)</f>
        <v>1.1983402984526204</v>
      </c>
      <c r="K4549" t="str">
        <f t="shared" si="71"/>
        <v>No</v>
      </c>
      <c r="L4549">
        <f>ABS((C4549-EDA!$F$15)/EDA!$G$15)</f>
        <v>0.35351562636129064</v>
      </c>
      <c r="M4549" t="str">
        <f>IF(moras[[#This Row],[Z-Score Salario]]&gt;1.96, "Sí", "No")</f>
        <v>No</v>
      </c>
      <c r="N4549" s="14">
        <f>IF(ISBLANK(moras[[#This Row],[SALARIO]]), EDA!$M$8, moras[[#This Row],[SALARIO]])</f>
        <v>1330373</v>
      </c>
      <c r="O4549" s="14">
        <f xml:space="preserve"> IF(ISBLANK(moras[[#This Row],[EDAD]]), EDA!$E$8, moras[[#This Row],[EDAD]])</f>
        <v>25</v>
      </c>
      <c r="P4549" s="14" t="str">
        <f>IF(
    OR(ISBLANK(moras[[#This Row],[TIPO_ASEGURAMIENTO]]), moras[[#This Row],[TIPO_ASEGURAMIENTO]]=""),
    EDA!$A$32,
    moras[[#This Row],[TIPO_ASEGURAMIENTO]]
)</f>
        <v>ASALARIADO</v>
      </c>
    </row>
    <row r="4550" spans="1:16" x14ac:dyDescent="0.3">
      <c r="A4550">
        <v>4549</v>
      </c>
      <c r="B4550" t="s">
        <v>9</v>
      </c>
      <c r="C4550">
        <v>1848072</v>
      </c>
      <c r="D4550" t="s">
        <v>10</v>
      </c>
      <c r="E4550" t="s">
        <v>11</v>
      </c>
      <c r="F4550" t="s">
        <v>12</v>
      </c>
      <c r="G4550" t="s">
        <v>13</v>
      </c>
      <c r="H4550" t="s">
        <v>12</v>
      </c>
      <c r="I4550">
        <v>63</v>
      </c>
      <c r="J4550">
        <f>ABS((I4550-EDA!$A$15)/EDA!$B$15)</f>
        <v>1.4835222444786049</v>
      </c>
      <c r="K4550" t="str">
        <f t="shared" si="71"/>
        <v>No</v>
      </c>
      <c r="L4550">
        <f>ABS((C4550-EDA!$F$15)/EDA!$G$15)</f>
        <v>0.34490074955125205</v>
      </c>
      <c r="M4550" t="str">
        <f>IF(moras[[#This Row],[Z-Score Salario]]&gt;1.96, "Sí", "No")</f>
        <v>No</v>
      </c>
      <c r="N4550" s="14">
        <f>IF(ISBLANK(moras[[#This Row],[SALARIO]]), EDA!$M$8, moras[[#This Row],[SALARIO]])</f>
        <v>1848072</v>
      </c>
      <c r="O4550" s="14">
        <f xml:space="preserve"> IF(ISBLANK(moras[[#This Row],[EDAD]]), EDA!$E$8, moras[[#This Row],[EDAD]])</f>
        <v>63</v>
      </c>
      <c r="P4550" s="14" t="str">
        <f>IF(
    OR(ISBLANK(moras[[#This Row],[TIPO_ASEGURAMIENTO]]), moras[[#This Row],[TIPO_ASEGURAMIENTO]]=""),
    EDA!$A$32,
    moras[[#This Row],[TIPO_ASEGURAMIENTO]]
)</f>
        <v>ASALARIADO</v>
      </c>
    </row>
    <row r="4551" spans="1:16" x14ac:dyDescent="0.3">
      <c r="A4551">
        <v>4550</v>
      </c>
      <c r="B4551" t="s">
        <v>9</v>
      </c>
      <c r="C4551">
        <v>162474595</v>
      </c>
      <c r="D4551" t="s">
        <v>10</v>
      </c>
      <c r="E4551" t="s">
        <v>16</v>
      </c>
      <c r="F4551" t="s">
        <v>12</v>
      </c>
      <c r="G4551" t="s">
        <v>13</v>
      </c>
      <c r="H4551" t="s">
        <v>13</v>
      </c>
      <c r="I4551">
        <v>38</v>
      </c>
      <c r="J4551">
        <f>ABS((I4551-EDA!$A$15)/EDA!$B$15)</f>
        <v>0.28086100744983278</v>
      </c>
      <c r="K4551" t="str">
        <f t="shared" si="71"/>
        <v>No</v>
      </c>
      <c r="L4551">
        <f>ABS((C4551-EDA!$F$15)/EDA!$G$15)</f>
        <v>2.3280379813905236</v>
      </c>
      <c r="M4551" t="str">
        <f>IF(moras[[#This Row],[Z-Score Salario]]&gt;1.96, "Sí", "No")</f>
        <v>Sí</v>
      </c>
      <c r="N4551" s="14">
        <f>IF(ISBLANK(moras[[#This Row],[SALARIO]]), EDA!$M$8, moras[[#This Row],[SALARIO]])</f>
        <v>162474595</v>
      </c>
      <c r="O4551" s="14">
        <f xml:space="preserve"> IF(ISBLANK(moras[[#This Row],[EDAD]]), EDA!$E$8, moras[[#This Row],[EDAD]])</f>
        <v>38</v>
      </c>
      <c r="P4551" s="14" t="str">
        <f>IF(
    OR(ISBLANK(moras[[#This Row],[TIPO_ASEGURAMIENTO]]), moras[[#This Row],[TIPO_ASEGURAMIENTO]]=""),
    EDA!$A$32,
    moras[[#This Row],[TIPO_ASEGURAMIENTO]]
)</f>
        <v>ASALARIADO</v>
      </c>
    </row>
    <row r="4552" spans="1:16" x14ac:dyDescent="0.3">
      <c r="A4552">
        <v>4551</v>
      </c>
      <c r="B4552" t="s">
        <v>9</v>
      </c>
      <c r="C4552">
        <v>69306336</v>
      </c>
      <c r="D4552" t="s">
        <v>10</v>
      </c>
      <c r="E4552" t="s">
        <v>16</v>
      </c>
      <c r="F4552" t="s">
        <v>12</v>
      </c>
      <c r="G4552" t="s">
        <v>13</v>
      </c>
      <c r="H4552" t="s">
        <v>13</v>
      </c>
      <c r="I4552">
        <v>45</v>
      </c>
      <c r="J4552">
        <f>ABS((I4552-EDA!$A$15)/EDA!$B$15)</f>
        <v>0.21316630309012977</v>
      </c>
      <c r="K4552" t="str">
        <f t="shared" si="71"/>
        <v>No</v>
      </c>
      <c r="L4552">
        <f>ABS((C4552-EDA!$F$15)/EDA!$G$15)</f>
        <v>0.77765238302010598</v>
      </c>
      <c r="M4552" t="str">
        <f>IF(moras[[#This Row],[Z-Score Salario]]&gt;1.96, "Sí", "No")</f>
        <v>No</v>
      </c>
      <c r="N4552" s="14">
        <f>IF(ISBLANK(moras[[#This Row],[SALARIO]]), EDA!$M$8, moras[[#This Row],[SALARIO]])</f>
        <v>69306336</v>
      </c>
      <c r="O4552" s="14">
        <f xml:space="preserve"> IF(ISBLANK(moras[[#This Row],[EDAD]]), EDA!$E$8, moras[[#This Row],[EDAD]])</f>
        <v>45</v>
      </c>
      <c r="P4552" s="14" t="str">
        <f>IF(
    OR(ISBLANK(moras[[#This Row],[TIPO_ASEGURAMIENTO]]), moras[[#This Row],[TIPO_ASEGURAMIENTO]]=""),
    EDA!$A$32,
    moras[[#This Row],[TIPO_ASEGURAMIENTO]]
)</f>
        <v>ASALARIADO</v>
      </c>
    </row>
    <row r="4553" spans="1:16" x14ac:dyDescent="0.3">
      <c r="A4553">
        <v>4552</v>
      </c>
      <c r="B4553" t="s">
        <v>9</v>
      </c>
      <c r="C4553">
        <v>47656667</v>
      </c>
      <c r="D4553" t="s">
        <v>10</v>
      </c>
      <c r="E4553" t="s">
        <v>16</v>
      </c>
      <c r="F4553" t="s">
        <v>12</v>
      </c>
      <c r="G4553" t="s">
        <v>13</v>
      </c>
      <c r="H4553" t="s">
        <v>13</v>
      </c>
      <c r="I4553">
        <v>33</v>
      </c>
      <c r="J4553">
        <f>ABS((I4553-EDA!$A$15)/EDA!$B$15)</f>
        <v>0.63373765783552027</v>
      </c>
      <c r="K4553" t="str">
        <f t="shared" si="71"/>
        <v>No</v>
      </c>
      <c r="L4553">
        <f>ABS((C4553-EDA!$F$15)/EDA!$G$15)</f>
        <v>0.41738660809469402</v>
      </c>
      <c r="M4553" t="str">
        <f>IF(moras[[#This Row],[Z-Score Salario]]&gt;1.96, "Sí", "No")</f>
        <v>No</v>
      </c>
      <c r="N4553" s="14">
        <f>IF(ISBLANK(moras[[#This Row],[SALARIO]]), EDA!$M$8, moras[[#This Row],[SALARIO]])</f>
        <v>47656667</v>
      </c>
      <c r="O4553" s="14">
        <f xml:space="preserve"> IF(ISBLANK(moras[[#This Row],[EDAD]]), EDA!$E$8, moras[[#This Row],[EDAD]])</f>
        <v>33</v>
      </c>
      <c r="P4553" s="14" t="str">
        <f>IF(
    OR(ISBLANK(moras[[#This Row],[TIPO_ASEGURAMIENTO]]), moras[[#This Row],[TIPO_ASEGURAMIENTO]]=""),
    EDA!$A$32,
    moras[[#This Row],[TIPO_ASEGURAMIENTO]]
)</f>
        <v>ASALARIADO</v>
      </c>
    </row>
    <row r="4554" spans="1:16" x14ac:dyDescent="0.3">
      <c r="A4554">
        <v>4553</v>
      </c>
      <c r="B4554" t="s">
        <v>15</v>
      </c>
      <c r="C4554">
        <v>297429</v>
      </c>
      <c r="D4554" t="s">
        <v>18</v>
      </c>
      <c r="E4554" t="s">
        <v>16</v>
      </c>
      <c r="F4554" t="s">
        <v>12</v>
      </c>
      <c r="G4554" t="s">
        <v>13</v>
      </c>
      <c r="H4554" t="s">
        <v>12</v>
      </c>
      <c r="I4554">
        <v>65</v>
      </c>
      <c r="J4554">
        <f>ABS((I4554-EDA!$A$15)/EDA!$B$15)</f>
        <v>1.6246729046328798</v>
      </c>
      <c r="K4554" t="str">
        <f t="shared" si="71"/>
        <v>No</v>
      </c>
      <c r="L4554">
        <f>ABS((C4554-EDA!$F$15)/EDA!$G$15)</f>
        <v>0.3707045436890592</v>
      </c>
      <c r="M4554" t="str">
        <f>IF(moras[[#This Row],[Z-Score Salario]]&gt;1.96, "Sí", "No")</f>
        <v>No</v>
      </c>
      <c r="N4554" s="14">
        <f>IF(ISBLANK(moras[[#This Row],[SALARIO]]), EDA!$M$8, moras[[#This Row],[SALARIO]])</f>
        <v>297429</v>
      </c>
      <c r="O4554" s="14">
        <f xml:space="preserve"> IF(ISBLANK(moras[[#This Row],[EDAD]]), EDA!$E$8, moras[[#This Row],[EDAD]])</f>
        <v>65</v>
      </c>
      <c r="P4554" s="14" t="str">
        <f>IF(
    OR(ISBLANK(moras[[#This Row],[TIPO_ASEGURAMIENTO]]), moras[[#This Row],[TIPO_ASEGURAMIENTO]]=""),
    EDA!$A$32,
    moras[[#This Row],[TIPO_ASEGURAMIENTO]]
)</f>
        <v>TRABAJADOR INDEPENDIENTE</v>
      </c>
    </row>
    <row r="4555" spans="1:16" x14ac:dyDescent="0.3">
      <c r="A4555">
        <v>4554</v>
      </c>
      <c r="B4555" t="s">
        <v>9</v>
      </c>
      <c r="C4555">
        <v>35530</v>
      </c>
      <c r="D4555" t="s">
        <v>10</v>
      </c>
      <c r="E4555" t="s">
        <v>16</v>
      </c>
      <c r="F4555" t="s">
        <v>12</v>
      </c>
      <c r="G4555" t="s">
        <v>12</v>
      </c>
      <c r="H4555" t="s">
        <v>13</v>
      </c>
      <c r="I4555">
        <v>37</v>
      </c>
      <c r="J4555">
        <f>ABS((I4555-EDA!$A$15)/EDA!$B$15)</f>
        <v>0.35143633752697023</v>
      </c>
      <c r="K4555" t="str">
        <f t="shared" si="71"/>
        <v>No</v>
      </c>
      <c r="L4555">
        <f>ABS((C4555-EDA!$F$15)/EDA!$G$15)</f>
        <v>0.37506272792675777</v>
      </c>
      <c r="M4555" t="str">
        <f>IF(moras[[#This Row],[Z-Score Salario]]&gt;1.96, "Sí", "No")</f>
        <v>No</v>
      </c>
      <c r="N4555" s="14">
        <f>IF(ISBLANK(moras[[#This Row],[SALARIO]]), EDA!$M$8, moras[[#This Row],[SALARIO]])</f>
        <v>35530</v>
      </c>
      <c r="O4555" s="14">
        <f xml:space="preserve"> IF(ISBLANK(moras[[#This Row],[EDAD]]), EDA!$E$8, moras[[#This Row],[EDAD]])</f>
        <v>37</v>
      </c>
      <c r="P4555" s="14" t="str">
        <f>IF(
    OR(ISBLANK(moras[[#This Row],[TIPO_ASEGURAMIENTO]]), moras[[#This Row],[TIPO_ASEGURAMIENTO]]=""),
    EDA!$A$32,
    moras[[#This Row],[TIPO_ASEGURAMIENTO]]
)</f>
        <v>ASALARIADO</v>
      </c>
    </row>
    <row r="4556" spans="1:16" x14ac:dyDescent="0.3">
      <c r="A4556">
        <v>4555</v>
      </c>
      <c r="B4556" t="s">
        <v>9</v>
      </c>
      <c r="C4556">
        <v>47656294</v>
      </c>
      <c r="D4556" t="s">
        <v>10</v>
      </c>
      <c r="E4556" t="s">
        <v>16</v>
      </c>
      <c r="F4556" t="s">
        <v>12</v>
      </c>
      <c r="G4556" t="s">
        <v>12</v>
      </c>
      <c r="H4556" t="s">
        <v>13</v>
      </c>
      <c r="I4556">
        <v>32</v>
      </c>
      <c r="J4556">
        <f>ABS((I4556-EDA!$A$15)/EDA!$B$15)</f>
        <v>0.70431298791265773</v>
      </c>
      <c r="K4556" t="str">
        <f t="shared" si="71"/>
        <v>No</v>
      </c>
      <c r="L4556">
        <f>ABS((C4556-EDA!$F$15)/EDA!$G$15)</f>
        <v>0.41738040111138874</v>
      </c>
      <c r="M4556" t="str">
        <f>IF(moras[[#This Row],[Z-Score Salario]]&gt;1.96, "Sí", "No")</f>
        <v>No</v>
      </c>
      <c r="N4556" s="14">
        <f>IF(ISBLANK(moras[[#This Row],[SALARIO]]), EDA!$M$8, moras[[#This Row],[SALARIO]])</f>
        <v>47656294</v>
      </c>
      <c r="O4556" s="14">
        <f xml:space="preserve"> IF(ISBLANK(moras[[#This Row],[EDAD]]), EDA!$E$8, moras[[#This Row],[EDAD]])</f>
        <v>32</v>
      </c>
      <c r="P4556" s="14" t="str">
        <f>IF(
    OR(ISBLANK(moras[[#This Row],[TIPO_ASEGURAMIENTO]]), moras[[#This Row],[TIPO_ASEGURAMIENTO]]=""),
    EDA!$A$32,
    moras[[#This Row],[TIPO_ASEGURAMIENTO]]
)</f>
        <v>ASALARIADO</v>
      </c>
    </row>
    <row r="4557" spans="1:16" x14ac:dyDescent="0.3">
      <c r="A4557">
        <v>4556</v>
      </c>
      <c r="B4557" t="s">
        <v>15</v>
      </c>
      <c r="C4557">
        <v>297046</v>
      </c>
      <c r="D4557" t="s">
        <v>17</v>
      </c>
      <c r="E4557" t="s">
        <v>16</v>
      </c>
      <c r="F4557" t="s">
        <v>12</v>
      </c>
      <c r="G4557" t="s">
        <v>12</v>
      </c>
      <c r="H4557" t="s">
        <v>13</v>
      </c>
      <c r="I4557">
        <v>38</v>
      </c>
      <c r="J4557">
        <f>ABS((I4557-EDA!$A$15)/EDA!$B$15)</f>
        <v>0.28086100744983278</v>
      </c>
      <c r="K4557" t="str">
        <f t="shared" si="71"/>
        <v>No</v>
      </c>
      <c r="L4557">
        <f>ABS((C4557-EDA!$F$15)/EDA!$G$15)</f>
        <v>0.37071091707942361</v>
      </c>
      <c r="M4557" t="str">
        <f>IF(moras[[#This Row],[Z-Score Salario]]&gt;1.96, "Sí", "No")</f>
        <v>No</v>
      </c>
      <c r="N4557" s="14">
        <f>IF(ISBLANK(moras[[#This Row],[SALARIO]]), EDA!$M$8, moras[[#This Row],[SALARIO]])</f>
        <v>297046</v>
      </c>
      <c r="O4557" s="14">
        <f xml:space="preserve"> IF(ISBLANK(moras[[#This Row],[EDAD]]), EDA!$E$8, moras[[#This Row],[EDAD]])</f>
        <v>38</v>
      </c>
      <c r="P4557" s="14" t="str">
        <f>IF(
    OR(ISBLANK(moras[[#This Row],[TIPO_ASEGURAMIENTO]]), moras[[#This Row],[TIPO_ASEGURAMIENTO]]=""),
    EDA!$A$32,
    moras[[#This Row],[TIPO_ASEGURAMIENTO]]
)</f>
        <v>ASEGURADO VOLUNTARIO</v>
      </c>
    </row>
    <row r="4558" spans="1:16" x14ac:dyDescent="0.3">
      <c r="A4558">
        <v>4557</v>
      </c>
      <c r="B4558" t="s">
        <v>9</v>
      </c>
      <c r="C4558">
        <v>381640</v>
      </c>
      <c r="D4558" t="s">
        <v>10</v>
      </c>
      <c r="E4558" t="s">
        <v>16</v>
      </c>
      <c r="F4558" t="s">
        <v>12</v>
      </c>
      <c r="G4558" t="s">
        <v>13</v>
      </c>
      <c r="H4558" t="s">
        <v>13</v>
      </c>
      <c r="I4558">
        <v>53</v>
      </c>
      <c r="J4558">
        <f>ABS((I4558-EDA!$A$15)/EDA!$B$15)</f>
        <v>0.77776894370722982</v>
      </c>
      <c r="K4558" t="str">
        <f t="shared" si="71"/>
        <v>No</v>
      </c>
      <c r="L4558">
        <f>ABS((C4558-EDA!$F$15)/EDA!$G$15)</f>
        <v>0.36930321320348719</v>
      </c>
      <c r="M4558" t="str">
        <f>IF(moras[[#This Row],[Z-Score Salario]]&gt;1.96, "Sí", "No")</f>
        <v>No</v>
      </c>
      <c r="N4558" s="14">
        <f>IF(ISBLANK(moras[[#This Row],[SALARIO]]), EDA!$M$8, moras[[#This Row],[SALARIO]])</f>
        <v>381640</v>
      </c>
      <c r="O4558" s="14">
        <f xml:space="preserve"> IF(ISBLANK(moras[[#This Row],[EDAD]]), EDA!$E$8, moras[[#This Row],[EDAD]])</f>
        <v>53</v>
      </c>
      <c r="P4558" s="14" t="str">
        <f>IF(
    OR(ISBLANK(moras[[#This Row],[TIPO_ASEGURAMIENTO]]), moras[[#This Row],[TIPO_ASEGURAMIENTO]]=""),
    EDA!$A$32,
    moras[[#This Row],[TIPO_ASEGURAMIENTO]]
)</f>
        <v>ASALARIADO</v>
      </c>
    </row>
    <row r="4559" spans="1:16" x14ac:dyDescent="0.3">
      <c r="A4559">
        <v>4558</v>
      </c>
      <c r="B4559" t="s">
        <v>9</v>
      </c>
      <c r="C4559">
        <v>323296</v>
      </c>
      <c r="D4559" t="s">
        <v>17</v>
      </c>
      <c r="E4559" t="s">
        <v>16</v>
      </c>
      <c r="F4559" t="s">
        <v>12</v>
      </c>
      <c r="G4559" t="s">
        <v>13</v>
      </c>
      <c r="H4559" t="s">
        <v>13</v>
      </c>
      <c r="I4559">
        <v>31</v>
      </c>
      <c r="J4559">
        <f>ABS((I4559-EDA!$A$15)/EDA!$B$15)</f>
        <v>0.77488831798979529</v>
      </c>
      <c r="K4559" t="str">
        <f t="shared" si="71"/>
        <v>No</v>
      </c>
      <c r="L4559">
        <f>ABS((C4559-EDA!$F$15)/EDA!$G$15)</f>
        <v>0.37027409854922838</v>
      </c>
      <c r="M4559" t="str">
        <f>IF(moras[[#This Row],[Z-Score Salario]]&gt;1.96, "Sí", "No")</f>
        <v>No</v>
      </c>
      <c r="N4559" s="14">
        <f>IF(ISBLANK(moras[[#This Row],[SALARIO]]), EDA!$M$8, moras[[#This Row],[SALARIO]])</f>
        <v>323296</v>
      </c>
      <c r="O4559" s="14">
        <f xml:space="preserve"> IF(ISBLANK(moras[[#This Row],[EDAD]]), EDA!$E$8, moras[[#This Row],[EDAD]])</f>
        <v>31</v>
      </c>
      <c r="P4559" s="14" t="str">
        <f>IF(
    OR(ISBLANK(moras[[#This Row],[TIPO_ASEGURAMIENTO]]), moras[[#This Row],[TIPO_ASEGURAMIENTO]]=""),
    EDA!$A$32,
    moras[[#This Row],[TIPO_ASEGURAMIENTO]]
)</f>
        <v>ASEGURADO VOLUNTARIO</v>
      </c>
    </row>
    <row r="4560" spans="1:16" x14ac:dyDescent="0.3">
      <c r="A4560">
        <v>4559</v>
      </c>
      <c r="B4560" t="s">
        <v>9</v>
      </c>
      <c r="C4560">
        <v>1730544</v>
      </c>
      <c r="D4560" t="s">
        <v>10</v>
      </c>
      <c r="E4560" t="s">
        <v>16</v>
      </c>
      <c r="F4560" t="s">
        <v>12</v>
      </c>
      <c r="G4560" t="s">
        <v>13</v>
      </c>
      <c r="H4560" t="s">
        <v>13</v>
      </c>
      <c r="I4560">
        <v>31</v>
      </c>
      <c r="J4560">
        <f>ABS((I4560-EDA!$A$15)/EDA!$B$15)</f>
        <v>0.77488831798979529</v>
      </c>
      <c r="K4560" t="str">
        <f t="shared" si="71"/>
        <v>No</v>
      </c>
      <c r="L4560">
        <f>ABS((C4560-EDA!$F$15)/EDA!$G$15)</f>
        <v>0.34685649843570077</v>
      </c>
      <c r="M4560" t="str">
        <f>IF(moras[[#This Row],[Z-Score Salario]]&gt;1.96, "Sí", "No")</f>
        <v>No</v>
      </c>
      <c r="N4560" s="14">
        <f>IF(ISBLANK(moras[[#This Row],[SALARIO]]), EDA!$M$8, moras[[#This Row],[SALARIO]])</f>
        <v>1730544</v>
      </c>
      <c r="O4560" s="14">
        <f xml:space="preserve"> IF(ISBLANK(moras[[#This Row],[EDAD]]), EDA!$E$8, moras[[#This Row],[EDAD]])</f>
        <v>31</v>
      </c>
      <c r="P4560" s="14" t="str">
        <f>IF(
    OR(ISBLANK(moras[[#This Row],[TIPO_ASEGURAMIENTO]]), moras[[#This Row],[TIPO_ASEGURAMIENTO]]=""),
    EDA!$A$32,
    moras[[#This Row],[TIPO_ASEGURAMIENTO]]
)</f>
        <v>ASALARIADO</v>
      </c>
    </row>
    <row r="4561" spans="1:16" x14ac:dyDescent="0.3">
      <c r="A4561">
        <v>4560</v>
      </c>
      <c r="B4561" t="s">
        <v>9</v>
      </c>
      <c r="C4561">
        <v>670740</v>
      </c>
      <c r="D4561" t="s">
        <v>10</v>
      </c>
      <c r="E4561" t="s">
        <v>16</v>
      </c>
      <c r="F4561" t="s">
        <v>12</v>
      </c>
      <c r="G4561" t="s">
        <v>13</v>
      </c>
      <c r="H4561" t="s">
        <v>13</v>
      </c>
      <c r="I4561">
        <v>27</v>
      </c>
      <c r="J4561">
        <f>ABS((I4561-EDA!$A$15)/EDA!$B$15)</f>
        <v>1.0571896382983452</v>
      </c>
      <c r="K4561" t="str">
        <f t="shared" si="71"/>
        <v>No</v>
      </c>
      <c r="L4561">
        <f>ABS((C4561-EDA!$F$15)/EDA!$G$15)</f>
        <v>0.36449238512427096</v>
      </c>
      <c r="M4561" t="str">
        <f>IF(moras[[#This Row],[Z-Score Salario]]&gt;1.96, "Sí", "No")</f>
        <v>No</v>
      </c>
      <c r="N4561" s="14">
        <f>IF(ISBLANK(moras[[#This Row],[SALARIO]]), EDA!$M$8, moras[[#This Row],[SALARIO]])</f>
        <v>670740</v>
      </c>
      <c r="O4561" s="14">
        <f xml:space="preserve"> IF(ISBLANK(moras[[#This Row],[EDAD]]), EDA!$E$8, moras[[#This Row],[EDAD]])</f>
        <v>27</v>
      </c>
      <c r="P4561" s="14" t="str">
        <f>IF(
    OR(ISBLANK(moras[[#This Row],[TIPO_ASEGURAMIENTO]]), moras[[#This Row],[TIPO_ASEGURAMIENTO]]=""),
    EDA!$A$32,
    moras[[#This Row],[TIPO_ASEGURAMIENTO]]
)</f>
        <v>ASALARIADO</v>
      </c>
    </row>
    <row r="4562" spans="1:16" x14ac:dyDescent="0.3">
      <c r="A4562">
        <v>4561</v>
      </c>
      <c r="B4562" t="s">
        <v>9</v>
      </c>
      <c r="C4562">
        <v>290000</v>
      </c>
      <c r="D4562" t="s">
        <v>10</v>
      </c>
      <c r="E4562" t="s">
        <v>16</v>
      </c>
      <c r="F4562" t="s">
        <v>12</v>
      </c>
      <c r="G4562" t="s">
        <v>12</v>
      </c>
      <c r="H4562" t="s">
        <v>13</v>
      </c>
      <c r="I4562">
        <v>42</v>
      </c>
      <c r="J4562">
        <f>ABS((I4562-EDA!$A$15)/EDA!$B$15)</f>
        <v>1.4403128587172659E-3</v>
      </c>
      <c r="K4562" t="str">
        <f t="shared" si="71"/>
        <v>No</v>
      </c>
      <c r="L4562">
        <f>ABS((C4562-EDA!$F$15)/EDA!$G$15)</f>
        <v>0.3708281674932809</v>
      </c>
      <c r="M4562" t="str">
        <f>IF(moras[[#This Row],[Z-Score Salario]]&gt;1.96, "Sí", "No")</f>
        <v>No</v>
      </c>
      <c r="N4562" s="14">
        <f>IF(ISBLANK(moras[[#This Row],[SALARIO]]), EDA!$M$8, moras[[#This Row],[SALARIO]])</f>
        <v>290000</v>
      </c>
      <c r="O4562" s="14">
        <f xml:space="preserve"> IF(ISBLANK(moras[[#This Row],[EDAD]]), EDA!$E$8, moras[[#This Row],[EDAD]])</f>
        <v>42</v>
      </c>
      <c r="P4562" s="14" t="str">
        <f>IF(
    OR(ISBLANK(moras[[#This Row],[TIPO_ASEGURAMIENTO]]), moras[[#This Row],[TIPO_ASEGURAMIENTO]]=""),
    EDA!$A$32,
    moras[[#This Row],[TIPO_ASEGURAMIENTO]]
)</f>
        <v>ASALARIADO</v>
      </c>
    </row>
    <row r="4563" spans="1:16" x14ac:dyDescent="0.3">
      <c r="A4563">
        <v>4562</v>
      </c>
      <c r="B4563" t="s">
        <v>9</v>
      </c>
      <c r="C4563">
        <v>54209532</v>
      </c>
      <c r="D4563" t="s">
        <v>14</v>
      </c>
      <c r="E4563" t="s">
        <v>11</v>
      </c>
      <c r="F4563" t="s">
        <v>12</v>
      </c>
      <c r="G4563" t="s">
        <v>13</v>
      </c>
      <c r="H4563" t="s">
        <v>13</v>
      </c>
      <c r="I4563">
        <v>64</v>
      </c>
      <c r="J4563">
        <f>ABS((I4563-EDA!$A$15)/EDA!$B$15)</f>
        <v>1.5540975745557424</v>
      </c>
      <c r="K4563" t="str">
        <f t="shared" si="71"/>
        <v>No</v>
      </c>
      <c r="L4563">
        <f>ABS((C4563-EDA!$F$15)/EDA!$G$15)</f>
        <v>0.52643090744202392</v>
      </c>
      <c r="M4563" t="str">
        <f>IF(moras[[#This Row],[Z-Score Salario]]&gt;1.96, "Sí", "No")</f>
        <v>No</v>
      </c>
      <c r="N4563" s="14">
        <f>IF(ISBLANK(moras[[#This Row],[SALARIO]]), EDA!$M$8, moras[[#This Row],[SALARIO]])</f>
        <v>54209532</v>
      </c>
      <c r="O4563" s="14">
        <f xml:space="preserve"> IF(ISBLANK(moras[[#This Row],[EDAD]]), EDA!$E$8, moras[[#This Row],[EDAD]])</f>
        <v>64</v>
      </c>
      <c r="P4563" s="14" t="str">
        <f>IF(
    OR(ISBLANK(moras[[#This Row],[TIPO_ASEGURAMIENTO]]), moras[[#This Row],[TIPO_ASEGURAMIENTO]]=""),
    EDA!$A$32,
    moras[[#This Row],[TIPO_ASEGURAMIENTO]]
)</f>
        <v>PENSIONADOS EN SU PROPIO SISTEMA</v>
      </c>
    </row>
    <row r="4564" spans="1:16" x14ac:dyDescent="0.3">
      <c r="A4564">
        <v>4563</v>
      </c>
      <c r="B4564" t="s">
        <v>9</v>
      </c>
      <c r="C4564">
        <v>6955747</v>
      </c>
      <c r="D4564" t="s">
        <v>10</v>
      </c>
      <c r="E4564" t="s">
        <v>16</v>
      </c>
      <c r="F4564" t="s">
        <v>12</v>
      </c>
      <c r="G4564" t="s">
        <v>13</v>
      </c>
      <c r="H4564" t="s">
        <v>13</v>
      </c>
      <c r="I4564">
        <v>55</v>
      </c>
      <c r="J4564">
        <f>ABS((I4564-EDA!$A$15)/EDA!$B$15)</f>
        <v>0.91891960386150484</v>
      </c>
      <c r="K4564" t="str">
        <f t="shared" si="71"/>
        <v>No</v>
      </c>
      <c r="L4564">
        <f>ABS((C4564-EDA!$F$15)/EDA!$G$15)</f>
        <v>0.25990543198117033</v>
      </c>
      <c r="M4564" t="str">
        <f>IF(moras[[#This Row],[Z-Score Salario]]&gt;1.96, "Sí", "No")</f>
        <v>No</v>
      </c>
      <c r="N4564" s="14">
        <f>IF(ISBLANK(moras[[#This Row],[SALARIO]]), EDA!$M$8, moras[[#This Row],[SALARIO]])</f>
        <v>6955747</v>
      </c>
      <c r="O4564" s="14">
        <f xml:space="preserve"> IF(ISBLANK(moras[[#This Row],[EDAD]]), EDA!$E$8, moras[[#This Row],[EDAD]])</f>
        <v>55</v>
      </c>
      <c r="P4564" s="14" t="str">
        <f>IF(
    OR(ISBLANK(moras[[#This Row],[TIPO_ASEGURAMIENTO]]), moras[[#This Row],[TIPO_ASEGURAMIENTO]]=""),
    EDA!$A$32,
    moras[[#This Row],[TIPO_ASEGURAMIENTO]]
)</f>
        <v>ASALARIADO</v>
      </c>
    </row>
    <row r="4565" spans="1:16" x14ac:dyDescent="0.3">
      <c r="A4565">
        <v>4564</v>
      </c>
      <c r="B4565" t="s">
        <v>9</v>
      </c>
      <c r="C4565">
        <v>299784</v>
      </c>
      <c r="D4565" t="s">
        <v>18</v>
      </c>
      <c r="E4565" t="s">
        <v>16</v>
      </c>
      <c r="F4565" t="s">
        <v>12</v>
      </c>
      <c r="G4565" t="s">
        <v>13</v>
      </c>
      <c r="H4565" t="s">
        <v>13</v>
      </c>
      <c r="I4565">
        <v>39</v>
      </c>
      <c r="J4565">
        <f>ABS((I4565-EDA!$A$15)/EDA!$B$15)</f>
        <v>0.21028567737269524</v>
      </c>
      <c r="K4565" t="str">
        <f t="shared" si="71"/>
        <v>No</v>
      </c>
      <c r="L4565">
        <f>ABS((C4565-EDA!$F$15)/EDA!$G$15)</f>
        <v>0.37066535482663598</v>
      </c>
      <c r="M4565" t="str">
        <f>IF(moras[[#This Row],[Z-Score Salario]]&gt;1.96, "Sí", "No")</f>
        <v>No</v>
      </c>
      <c r="N4565" s="14">
        <f>IF(ISBLANK(moras[[#This Row],[SALARIO]]), EDA!$M$8, moras[[#This Row],[SALARIO]])</f>
        <v>299784</v>
      </c>
      <c r="O4565" s="14">
        <f xml:space="preserve"> IF(ISBLANK(moras[[#This Row],[EDAD]]), EDA!$E$8, moras[[#This Row],[EDAD]])</f>
        <v>39</v>
      </c>
      <c r="P4565" s="14" t="str">
        <f>IF(
    OR(ISBLANK(moras[[#This Row],[TIPO_ASEGURAMIENTO]]), moras[[#This Row],[TIPO_ASEGURAMIENTO]]=""),
    EDA!$A$32,
    moras[[#This Row],[TIPO_ASEGURAMIENTO]]
)</f>
        <v>TRABAJADOR INDEPENDIENTE</v>
      </c>
    </row>
    <row r="4566" spans="1:16" x14ac:dyDescent="0.3">
      <c r="A4566">
        <v>4565</v>
      </c>
      <c r="B4566" t="s">
        <v>9</v>
      </c>
      <c r="C4566">
        <v>1166115</v>
      </c>
      <c r="D4566" t="s">
        <v>10</v>
      </c>
      <c r="E4566" t="s">
        <v>11</v>
      </c>
      <c r="F4566" t="s">
        <v>12</v>
      </c>
      <c r="G4566" t="s">
        <v>13</v>
      </c>
      <c r="H4566" t="s">
        <v>12</v>
      </c>
      <c r="I4566">
        <v>64</v>
      </c>
      <c r="J4566">
        <f>ABS((I4566-EDA!$A$15)/EDA!$B$15)</f>
        <v>1.5540975745557424</v>
      </c>
      <c r="K4566" t="str">
        <f t="shared" si="71"/>
        <v>No</v>
      </c>
      <c r="L4566">
        <f>ABS((C4566-EDA!$F$15)/EDA!$G$15)</f>
        <v>0.3562489954330163</v>
      </c>
      <c r="M4566" t="str">
        <f>IF(moras[[#This Row],[Z-Score Salario]]&gt;1.96, "Sí", "No")</f>
        <v>No</v>
      </c>
      <c r="N4566" s="14">
        <f>IF(ISBLANK(moras[[#This Row],[SALARIO]]), EDA!$M$8, moras[[#This Row],[SALARIO]])</f>
        <v>1166115</v>
      </c>
      <c r="O4566" s="14">
        <f xml:space="preserve"> IF(ISBLANK(moras[[#This Row],[EDAD]]), EDA!$E$8, moras[[#This Row],[EDAD]])</f>
        <v>64</v>
      </c>
      <c r="P4566" s="14" t="str">
        <f>IF(
    OR(ISBLANK(moras[[#This Row],[TIPO_ASEGURAMIENTO]]), moras[[#This Row],[TIPO_ASEGURAMIENTO]]=""),
    EDA!$A$32,
    moras[[#This Row],[TIPO_ASEGURAMIENTO]]
)</f>
        <v>ASALARIADO</v>
      </c>
    </row>
    <row r="4567" spans="1:16" x14ac:dyDescent="0.3">
      <c r="A4567">
        <v>4566</v>
      </c>
      <c r="B4567" t="s">
        <v>9</v>
      </c>
      <c r="C4567">
        <v>300018</v>
      </c>
      <c r="D4567" t="s">
        <v>18</v>
      </c>
      <c r="E4567" t="s">
        <v>16</v>
      </c>
      <c r="F4567" t="s">
        <v>12</v>
      </c>
      <c r="G4567" t="s">
        <v>13</v>
      </c>
      <c r="H4567" t="s">
        <v>12</v>
      </c>
      <c r="I4567">
        <v>51</v>
      </c>
      <c r="J4567">
        <f>ABS((I4567-EDA!$A$15)/EDA!$B$15)</f>
        <v>0.6366182835529548</v>
      </c>
      <c r="K4567" t="str">
        <f t="shared" si="71"/>
        <v>No</v>
      </c>
      <c r="L4567">
        <f>ABS((C4567-EDA!$F$15)/EDA!$G$15)</f>
        <v>0.37066146090145252</v>
      </c>
      <c r="M4567" t="str">
        <f>IF(moras[[#This Row],[Z-Score Salario]]&gt;1.96, "Sí", "No")</f>
        <v>No</v>
      </c>
      <c r="N4567" s="14">
        <f>IF(ISBLANK(moras[[#This Row],[SALARIO]]), EDA!$M$8, moras[[#This Row],[SALARIO]])</f>
        <v>300018</v>
      </c>
      <c r="O4567" s="14">
        <f xml:space="preserve"> IF(ISBLANK(moras[[#This Row],[EDAD]]), EDA!$E$8, moras[[#This Row],[EDAD]])</f>
        <v>51</v>
      </c>
      <c r="P4567" s="14" t="str">
        <f>IF(
    OR(ISBLANK(moras[[#This Row],[TIPO_ASEGURAMIENTO]]), moras[[#This Row],[TIPO_ASEGURAMIENTO]]=""),
    EDA!$A$32,
    moras[[#This Row],[TIPO_ASEGURAMIENTO]]
)</f>
        <v>TRABAJADOR INDEPENDIENTE</v>
      </c>
    </row>
    <row r="4568" spans="1:16" x14ac:dyDescent="0.3">
      <c r="A4568">
        <v>4567</v>
      </c>
      <c r="B4568" t="s">
        <v>9</v>
      </c>
      <c r="C4568">
        <v>52423619</v>
      </c>
      <c r="D4568" t="s">
        <v>10</v>
      </c>
      <c r="E4568" t="s">
        <v>16</v>
      </c>
      <c r="F4568" t="s">
        <v>12</v>
      </c>
      <c r="G4568" t="s">
        <v>13</v>
      </c>
      <c r="H4568" t="s">
        <v>13</v>
      </c>
      <c r="I4568">
        <v>54</v>
      </c>
      <c r="J4568">
        <f>ABS((I4568-EDA!$A$15)/EDA!$B$15)</f>
        <v>0.84834427378436728</v>
      </c>
      <c r="K4568" t="str">
        <f t="shared" si="71"/>
        <v>No</v>
      </c>
      <c r="L4568">
        <f>ABS((C4568-EDA!$F$15)/EDA!$G$15)</f>
        <v>0.49671205442425415</v>
      </c>
      <c r="M4568" t="str">
        <f>IF(moras[[#This Row],[Z-Score Salario]]&gt;1.96, "Sí", "No")</f>
        <v>No</v>
      </c>
      <c r="N4568" s="14">
        <f>IF(ISBLANK(moras[[#This Row],[SALARIO]]), EDA!$M$8, moras[[#This Row],[SALARIO]])</f>
        <v>52423619</v>
      </c>
      <c r="O4568" s="14">
        <f xml:space="preserve"> IF(ISBLANK(moras[[#This Row],[EDAD]]), EDA!$E$8, moras[[#This Row],[EDAD]])</f>
        <v>54</v>
      </c>
      <c r="P4568" s="14" t="str">
        <f>IF(
    OR(ISBLANK(moras[[#This Row],[TIPO_ASEGURAMIENTO]]), moras[[#This Row],[TIPO_ASEGURAMIENTO]]=""),
    EDA!$A$32,
    moras[[#This Row],[TIPO_ASEGURAMIENTO]]
)</f>
        <v>ASALARIADO</v>
      </c>
    </row>
    <row r="4569" spans="1:16" x14ac:dyDescent="0.3">
      <c r="A4569">
        <v>4568</v>
      </c>
      <c r="B4569" t="s">
        <v>15</v>
      </c>
      <c r="C4569">
        <v>298155</v>
      </c>
      <c r="D4569" t="s">
        <v>17</v>
      </c>
      <c r="E4569" t="s">
        <v>16</v>
      </c>
      <c r="F4569" t="s">
        <v>12</v>
      </c>
      <c r="G4569" t="s">
        <v>13</v>
      </c>
      <c r="H4569" t="s">
        <v>13</v>
      </c>
      <c r="I4569">
        <v>75</v>
      </c>
      <c r="J4569">
        <f>ABS((I4569-EDA!$A$15)/EDA!$B$15)</f>
        <v>2.330426205404255</v>
      </c>
      <c r="K4569" t="str">
        <f t="shared" si="71"/>
        <v>Sí</v>
      </c>
      <c r="L4569">
        <f>ABS((C4569-EDA!$F$15)/EDA!$G$15)</f>
        <v>0.37069246253656696</v>
      </c>
      <c r="M4569" t="str">
        <f>IF(moras[[#This Row],[Z-Score Salario]]&gt;1.96, "Sí", "No")</f>
        <v>No</v>
      </c>
      <c r="N4569" s="14">
        <f>IF(ISBLANK(moras[[#This Row],[SALARIO]]), EDA!$M$8, moras[[#This Row],[SALARIO]])</f>
        <v>298155</v>
      </c>
      <c r="O4569" s="14">
        <f xml:space="preserve"> IF(ISBLANK(moras[[#This Row],[EDAD]]), EDA!$E$8, moras[[#This Row],[EDAD]])</f>
        <v>75</v>
      </c>
      <c r="P4569" s="14" t="str">
        <f>IF(
    OR(ISBLANK(moras[[#This Row],[TIPO_ASEGURAMIENTO]]), moras[[#This Row],[TIPO_ASEGURAMIENTO]]=""),
    EDA!$A$32,
    moras[[#This Row],[TIPO_ASEGURAMIENTO]]
)</f>
        <v>ASEGURADO VOLUNTARIO</v>
      </c>
    </row>
    <row r="4570" spans="1:16" x14ac:dyDescent="0.3">
      <c r="A4570">
        <v>4569</v>
      </c>
      <c r="B4570" t="s">
        <v>9</v>
      </c>
      <c r="C4570">
        <v>34750119</v>
      </c>
      <c r="D4570" t="s">
        <v>10</v>
      </c>
      <c r="E4570" t="s">
        <v>16</v>
      </c>
      <c r="F4570" t="s">
        <v>12</v>
      </c>
      <c r="G4570" t="s">
        <v>13</v>
      </c>
      <c r="H4570" t="s">
        <v>13</v>
      </c>
      <c r="I4570">
        <v>68</v>
      </c>
      <c r="J4570">
        <f>ABS((I4570-EDA!$A$15)/EDA!$B$15)</f>
        <v>1.8363988948642924</v>
      </c>
      <c r="K4570" t="str">
        <f t="shared" si="71"/>
        <v>No</v>
      </c>
      <c r="L4570">
        <f>ABS((C4570-EDA!$F$15)/EDA!$G$15)</f>
        <v>0.20261253848503735</v>
      </c>
      <c r="M4570" t="str">
        <f>IF(moras[[#This Row],[Z-Score Salario]]&gt;1.96, "Sí", "No")</f>
        <v>No</v>
      </c>
      <c r="N4570" s="14">
        <f>IF(ISBLANK(moras[[#This Row],[SALARIO]]), EDA!$M$8, moras[[#This Row],[SALARIO]])</f>
        <v>34750119</v>
      </c>
      <c r="O4570" s="14">
        <f xml:space="preserve"> IF(ISBLANK(moras[[#This Row],[EDAD]]), EDA!$E$8, moras[[#This Row],[EDAD]])</f>
        <v>68</v>
      </c>
      <c r="P4570" s="14" t="str">
        <f>IF(
    OR(ISBLANK(moras[[#This Row],[TIPO_ASEGURAMIENTO]]), moras[[#This Row],[TIPO_ASEGURAMIENTO]]=""),
    EDA!$A$32,
    moras[[#This Row],[TIPO_ASEGURAMIENTO]]
)</f>
        <v>ASALARIADO</v>
      </c>
    </row>
    <row r="4571" spans="1:16" x14ac:dyDescent="0.3">
      <c r="A4571">
        <v>4570</v>
      </c>
      <c r="B4571" t="s">
        <v>9</v>
      </c>
      <c r="C4571">
        <v>280000</v>
      </c>
      <c r="D4571" t="s">
        <v>10</v>
      </c>
      <c r="E4571" t="s">
        <v>16</v>
      </c>
      <c r="F4571" t="s">
        <v>12</v>
      </c>
      <c r="G4571" t="s">
        <v>13</v>
      </c>
      <c r="H4571" t="s">
        <v>13</v>
      </c>
      <c r="I4571">
        <v>24</v>
      </c>
      <c r="J4571">
        <f>ABS((I4571-EDA!$A$15)/EDA!$B$15)</f>
        <v>1.2689156285297578</v>
      </c>
      <c r="K4571" t="str">
        <f t="shared" si="71"/>
        <v>No</v>
      </c>
      <c r="L4571">
        <f>ABS((C4571-EDA!$F$15)/EDA!$G$15)</f>
        <v>0.37099457455240292</v>
      </c>
      <c r="M4571" t="str">
        <f>IF(moras[[#This Row],[Z-Score Salario]]&gt;1.96, "Sí", "No")</f>
        <v>No</v>
      </c>
      <c r="N4571" s="14">
        <f>IF(ISBLANK(moras[[#This Row],[SALARIO]]), EDA!$M$8, moras[[#This Row],[SALARIO]])</f>
        <v>280000</v>
      </c>
      <c r="O4571" s="14">
        <f xml:space="preserve"> IF(ISBLANK(moras[[#This Row],[EDAD]]), EDA!$E$8, moras[[#This Row],[EDAD]])</f>
        <v>24</v>
      </c>
      <c r="P4571" s="14" t="str">
        <f>IF(
    OR(ISBLANK(moras[[#This Row],[TIPO_ASEGURAMIENTO]]), moras[[#This Row],[TIPO_ASEGURAMIENTO]]=""),
    EDA!$A$32,
    moras[[#This Row],[TIPO_ASEGURAMIENTO]]
)</f>
        <v>ASALARIADO</v>
      </c>
    </row>
    <row r="4572" spans="1:16" x14ac:dyDescent="0.3">
      <c r="A4572">
        <v>4571</v>
      </c>
      <c r="B4572" t="s">
        <v>9</v>
      </c>
      <c r="C4572">
        <v>35011218</v>
      </c>
      <c r="D4572" t="s">
        <v>10</v>
      </c>
      <c r="E4572" t="s">
        <v>16</v>
      </c>
      <c r="F4572" t="s">
        <v>12</v>
      </c>
      <c r="G4572" t="s">
        <v>13</v>
      </c>
      <c r="H4572" t="s">
        <v>13</v>
      </c>
      <c r="I4572">
        <v>29</v>
      </c>
      <c r="J4572">
        <f>ABS((I4572-EDA!$A$15)/EDA!$B$15)</f>
        <v>0.91603897814407031</v>
      </c>
      <c r="K4572" t="str">
        <f t="shared" si="71"/>
        <v>No</v>
      </c>
      <c r="L4572">
        <f>ABS((C4572-EDA!$F$15)/EDA!$G$15)</f>
        <v>0.20695741015800612</v>
      </c>
      <c r="M4572" t="str">
        <f>IF(moras[[#This Row],[Z-Score Salario]]&gt;1.96, "Sí", "No")</f>
        <v>No</v>
      </c>
      <c r="N4572" s="14">
        <f>IF(ISBLANK(moras[[#This Row],[SALARIO]]), EDA!$M$8, moras[[#This Row],[SALARIO]])</f>
        <v>35011218</v>
      </c>
      <c r="O4572" s="14">
        <f xml:space="preserve"> IF(ISBLANK(moras[[#This Row],[EDAD]]), EDA!$E$8, moras[[#This Row],[EDAD]])</f>
        <v>29</v>
      </c>
      <c r="P4572" s="14" t="str">
        <f>IF(
    OR(ISBLANK(moras[[#This Row],[TIPO_ASEGURAMIENTO]]), moras[[#This Row],[TIPO_ASEGURAMIENTO]]=""),
    EDA!$A$32,
    moras[[#This Row],[TIPO_ASEGURAMIENTO]]
)</f>
        <v>ASALARIADO</v>
      </c>
    </row>
    <row r="4573" spans="1:16" x14ac:dyDescent="0.3">
      <c r="A4573">
        <v>4572</v>
      </c>
      <c r="B4573" t="s">
        <v>15</v>
      </c>
      <c r="C4573">
        <v>815000</v>
      </c>
      <c r="D4573" t="s">
        <v>10</v>
      </c>
      <c r="E4573" t="s">
        <v>16</v>
      </c>
      <c r="F4573" t="s">
        <v>12</v>
      </c>
      <c r="G4573" t="s">
        <v>13</v>
      </c>
      <c r="H4573" t="s">
        <v>13</v>
      </c>
      <c r="I4573">
        <v>28</v>
      </c>
      <c r="J4573">
        <f>ABS((I4573-EDA!$A$15)/EDA!$B$15)</f>
        <v>0.98661430822120777</v>
      </c>
      <c r="K4573" t="str">
        <f t="shared" si="71"/>
        <v>No</v>
      </c>
      <c r="L4573">
        <f>ABS((C4573-EDA!$F$15)/EDA!$G$15)</f>
        <v>0.36209179688937743</v>
      </c>
      <c r="M4573" t="str">
        <f>IF(moras[[#This Row],[Z-Score Salario]]&gt;1.96, "Sí", "No")</f>
        <v>No</v>
      </c>
      <c r="N4573" s="14">
        <f>IF(ISBLANK(moras[[#This Row],[SALARIO]]), EDA!$M$8, moras[[#This Row],[SALARIO]])</f>
        <v>815000</v>
      </c>
      <c r="O4573" s="14">
        <f xml:space="preserve"> IF(ISBLANK(moras[[#This Row],[EDAD]]), EDA!$E$8, moras[[#This Row],[EDAD]])</f>
        <v>28</v>
      </c>
      <c r="P4573" s="14" t="str">
        <f>IF(
    OR(ISBLANK(moras[[#This Row],[TIPO_ASEGURAMIENTO]]), moras[[#This Row],[TIPO_ASEGURAMIENTO]]=""),
    EDA!$A$32,
    moras[[#This Row],[TIPO_ASEGURAMIENTO]]
)</f>
        <v>ASALARIADO</v>
      </c>
    </row>
    <row r="4574" spans="1:16" x14ac:dyDescent="0.3">
      <c r="A4574">
        <v>4573</v>
      </c>
      <c r="B4574" t="s">
        <v>9</v>
      </c>
      <c r="C4574">
        <v>1207124</v>
      </c>
      <c r="D4574" t="s">
        <v>17</v>
      </c>
      <c r="E4574" t="s">
        <v>16</v>
      </c>
      <c r="F4574" t="s">
        <v>12</v>
      </c>
      <c r="G4574" t="s">
        <v>13</v>
      </c>
      <c r="H4574" t="s">
        <v>13</v>
      </c>
      <c r="I4574">
        <v>52</v>
      </c>
      <c r="J4574">
        <f>ABS((I4574-EDA!$A$15)/EDA!$B$15)</f>
        <v>0.70719361363009237</v>
      </c>
      <c r="K4574" t="str">
        <f t="shared" si="71"/>
        <v>No</v>
      </c>
      <c r="L4574">
        <f>ABS((C4574-EDA!$F$15)/EDA!$G$15)</f>
        <v>0.35556657672426301</v>
      </c>
      <c r="M4574" t="str">
        <f>IF(moras[[#This Row],[Z-Score Salario]]&gt;1.96, "Sí", "No")</f>
        <v>No</v>
      </c>
      <c r="N4574" s="14">
        <f>IF(ISBLANK(moras[[#This Row],[SALARIO]]), EDA!$M$8, moras[[#This Row],[SALARIO]])</f>
        <v>1207124</v>
      </c>
      <c r="O4574" s="14">
        <f xml:space="preserve"> IF(ISBLANK(moras[[#This Row],[EDAD]]), EDA!$E$8, moras[[#This Row],[EDAD]])</f>
        <v>52</v>
      </c>
      <c r="P4574" s="14" t="str">
        <f>IF(
    OR(ISBLANK(moras[[#This Row],[TIPO_ASEGURAMIENTO]]), moras[[#This Row],[TIPO_ASEGURAMIENTO]]=""),
    EDA!$A$32,
    moras[[#This Row],[TIPO_ASEGURAMIENTO]]
)</f>
        <v>ASEGURADO VOLUNTARIO</v>
      </c>
    </row>
    <row r="4575" spans="1:16" x14ac:dyDescent="0.3">
      <c r="A4575">
        <v>4574</v>
      </c>
      <c r="B4575" t="s">
        <v>9</v>
      </c>
      <c r="C4575">
        <v>86075063</v>
      </c>
      <c r="D4575" t="s">
        <v>10</v>
      </c>
      <c r="E4575" t="s">
        <v>16</v>
      </c>
      <c r="F4575" t="s">
        <v>12</v>
      </c>
      <c r="G4575" t="s">
        <v>13</v>
      </c>
      <c r="H4575" t="s">
        <v>13</v>
      </c>
      <c r="I4575">
        <v>25</v>
      </c>
      <c r="J4575">
        <f>ABS((I4575-EDA!$A$15)/EDA!$B$15)</f>
        <v>1.1983402984526204</v>
      </c>
      <c r="K4575" t="str">
        <f t="shared" si="71"/>
        <v>No</v>
      </c>
      <c r="L4575">
        <f>ABS((C4575-EDA!$F$15)/EDA!$G$15)</f>
        <v>1.0566958375490263</v>
      </c>
      <c r="M4575" t="str">
        <f>IF(moras[[#This Row],[Z-Score Salario]]&gt;1.96, "Sí", "No")</f>
        <v>No</v>
      </c>
      <c r="N4575" s="14">
        <f>IF(ISBLANK(moras[[#This Row],[SALARIO]]), EDA!$M$8, moras[[#This Row],[SALARIO]])</f>
        <v>86075063</v>
      </c>
      <c r="O4575" s="14">
        <f xml:space="preserve"> IF(ISBLANK(moras[[#This Row],[EDAD]]), EDA!$E$8, moras[[#This Row],[EDAD]])</f>
        <v>25</v>
      </c>
      <c r="P4575" s="14" t="str">
        <f>IF(
    OR(ISBLANK(moras[[#This Row],[TIPO_ASEGURAMIENTO]]), moras[[#This Row],[TIPO_ASEGURAMIENTO]]=""),
    EDA!$A$32,
    moras[[#This Row],[TIPO_ASEGURAMIENTO]]
)</f>
        <v>ASALARIADO</v>
      </c>
    </row>
    <row r="4576" spans="1:16" x14ac:dyDescent="0.3">
      <c r="A4576">
        <v>4575</v>
      </c>
      <c r="B4576" t="s">
        <v>9</v>
      </c>
      <c r="C4576">
        <v>278030</v>
      </c>
      <c r="D4576" t="s">
        <v>18</v>
      </c>
      <c r="E4576" t="s">
        <v>16</v>
      </c>
      <c r="F4576" t="s">
        <v>12</v>
      </c>
      <c r="G4576" t="s">
        <v>13</v>
      </c>
      <c r="H4576" t="s">
        <v>13</v>
      </c>
      <c r="I4576">
        <v>35</v>
      </c>
      <c r="J4576">
        <f>ABS((I4576-EDA!$A$15)/EDA!$B$15)</f>
        <v>0.49258699768124525</v>
      </c>
      <c r="K4576" t="str">
        <f t="shared" si="71"/>
        <v>No</v>
      </c>
      <c r="L4576">
        <f>ABS((C4576-EDA!$F$15)/EDA!$G$15)</f>
        <v>0.37102735674304993</v>
      </c>
      <c r="M4576" t="str">
        <f>IF(moras[[#This Row],[Z-Score Salario]]&gt;1.96, "Sí", "No")</f>
        <v>No</v>
      </c>
      <c r="N4576" s="14">
        <f>IF(ISBLANK(moras[[#This Row],[SALARIO]]), EDA!$M$8, moras[[#This Row],[SALARIO]])</f>
        <v>278030</v>
      </c>
      <c r="O4576" s="14">
        <f xml:space="preserve"> IF(ISBLANK(moras[[#This Row],[EDAD]]), EDA!$E$8, moras[[#This Row],[EDAD]])</f>
        <v>35</v>
      </c>
      <c r="P4576" s="14" t="str">
        <f>IF(
    OR(ISBLANK(moras[[#This Row],[TIPO_ASEGURAMIENTO]]), moras[[#This Row],[TIPO_ASEGURAMIENTO]]=""),
    EDA!$A$32,
    moras[[#This Row],[TIPO_ASEGURAMIENTO]]
)</f>
        <v>TRABAJADOR INDEPENDIENTE</v>
      </c>
    </row>
    <row r="4577" spans="1:16" x14ac:dyDescent="0.3">
      <c r="A4577">
        <v>4576</v>
      </c>
      <c r="B4577" t="s">
        <v>9</v>
      </c>
      <c r="C4577">
        <v>297046</v>
      </c>
      <c r="D4577" t="s">
        <v>17</v>
      </c>
      <c r="E4577" t="s">
        <v>16</v>
      </c>
      <c r="F4577" t="s">
        <v>12</v>
      </c>
      <c r="G4577" t="s">
        <v>13</v>
      </c>
      <c r="H4577" t="s">
        <v>13</v>
      </c>
      <c r="I4577">
        <v>56</v>
      </c>
      <c r="J4577">
        <f>ABS((I4577-EDA!$A$15)/EDA!$B$15)</f>
        <v>0.9894949339386423</v>
      </c>
      <c r="K4577" t="str">
        <f t="shared" si="71"/>
        <v>No</v>
      </c>
      <c r="L4577">
        <f>ABS((C4577-EDA!$F$15)/EDA!$G$15)</f>
        <v>0.37071091707942361</v>
      </c>
      <c r="M4577" t="str">
        <f>IF(moras[[#This Row],[Z-Score Salario]]&gt;1.96, "Sí", "No")</f>
        <v>No</v>
      </c>
      <c r="N4577" s="14">
        <f>IF(ISBLANK(moras[[#This Row],[SALARIO]]), EDA!$M$8, moras[[#This Row],[SALARIO]])</f>
        <v>297046</v>
      </c>
      <c r="O4577" s="14">
        <f xml:space="preserve"> IF(ISBLANK(moras[[#This Row],[EDAD]]), EDA!$E$8, moras[[#This Row],[EDAD]])</f>
        <v>56</v>
      </c>
      <c r="P4577" s="14" t="str">
        <f>IF(
    OR(ISBLANK(moras[[#This Row],[TIPO_ASEGURAMIENTO]]), moras[[#This Row],[TIPO_ASEGURAMIENTO]]=""),
    EDA!$A$32,
    moras[[#This Row],[TIPO_ASEGURAMIENTO]]
)</f>
        <v>ASEGURADO VOLUNTARIO</v>
      </c>
    </row>
    <row r="4578" spans="1:16" x14ac:dyDescent="0.3">
      <c r="A4578">
        <v>4577</v>
      </c>
      <c r="B4578" t="s">
        <v>15</v>
      </c>
      <c r="C4578">
        <v>39191675</v>
      </c>
      <c r="D4578" t="s">
        <v>10</v>
      </c>
      <c r="E4578" t="s">
        <v>16</v>
      </c>
      <c r="F4578" t="s">
        <v>12</v>
      </c>
      <c r="G4578" t="s">
        <v>12</v>
      </c>
      <c r="H4578" t="s">
        <v>13</v>
      </c>
      <c r="I4578">
        <v>33</v>
      </c>
      <c r="J4578">
        <f>ABS((I4578-EDA!$A$15)/EDA!$B$15)</f>
        <v>0.63373765783552027</v>
      </c>
      <c r="K4578" t="str">
        <f t="shared" si="71"/>
        <v>No</v>
      </c>
      <c r="L4578">
        <f>ABS((C4578-EDA!$F$15)/EDA!$G$15)</f>
        <v>0.2765231656735922</v>
      </c>
      <c r="M4578" t="str">
        <f>IF(moras[[#This Row],[Z-Score Salario]]&gt;1.96, "Sí", "No")</f>
        <v>No</v>
      </c>
      <c r="N4578" s="14">
        <f>IF(ISBLANK(moras[[#This Row],[SALARIO]]), EDA!$M$8, moras[[#This Row],[SALARIO]])</f>
        <v>39191675</v>
      </c>
      <c r="O4578" s="14">
        <f xml:space="preserve"> IF(ISBLANK(moras[[#This Row],[EDAD]]), EDA!$E$8, moras[[#This Row],[EDAD]])</f>
        <v>33</v>
      </c>
      <c r="P4578" s="14" t="str">
        <f>IF(
    OR(ISBLANK(moras[[#This Row],[TIPO_ASEGURAMIENTO]]), moras[[#This Row],[TIPO_ASEGURAMIENTO]]=""),
    EDA!$A$32,
    moras[[#This Row],[TIPO_ASEGURAMIENTO]]
)</f>
        <v>ASALARIADO</v>
      </c>
    </row>
    <row r="4579" spans="1:16" x14ac:dyDescent="0.3">
      <c r="A4579">
        <v>4578</v>
      </c>
      <c r="B4579" t="s">
        <v>9</v>
      </c>
      <c r="C4579">
        <v>442458</v>
      </c>
      <c r="D4579" t="s">
        <v>10</v>
      </c>
      <c r="E4579" t="s">
        <v>16</v>
      </c>
      <c r="F4579" t="s">
        <v>12</v>
      </c>
      <c r="G4579" t="s">
        <v>12</v>
      </c>
      <c r="H4579" t="s">
        <v>13</v>
      </c>
      <c r="I4579">
        <v>27</v>
      </c>
      <c r="J4579">
        <f>ABS((I4579-EDA!$A$15)/EDA!$B$15)</f>
        <v>1.0571896382983452</v>
      </c>
      <c r="K4579" t="str">
        <f t="shared" si="71"/>
        <v>No</v>
      </c>
      <c r="L4579">
        <f>ABS((C4579-EDA!$F$15)/EDA!$G$15)</f>
        <v>0.36829115875131918</v>
      </c>
      <c r="M4579" t="str">
        <f>IF(moras[[#This Row],[Z-Score Salario]]&gt;1.96, "Sí", "No")</f>
        <v>No</v>
      </c>
      <c r="N4579" s="14">
        <f>IF(ISBLANK(moras[[#This Row],[SALARIO]]), EDA!$M$8, moras[[#This Row],[SALARIO]])</f>
        <v>442458</v>
      </c>
      <c r="O4579" s="14">
        <f xml:space="preserve"> IF(ISBLANK(moras[[#This Row],[EDAD]]), EDA!$E$8, moras[[#This Row],[EDAD]])</f>
        <v>27</v>
      </c>
      <c r="P4579" s="14" t="str">
        <f>IF(
    OR(ISBLANK(moras[[#This Row],[TIPO_ASEGURAMIENTO]]), moras[[#This Row],[TIPO_ASEGURAMIENTO]]=""),
    EDA!$A$32,
    moras[[#This Row],[TIPO_ASEGURAMIENTO]]
)</f>
        <v>ASALARIADO</v>
      </c>
    </row>
    <row r="4580" spans="1:16" x14ac:dyDescent="0.3">
      <c r="A4580">
        <v>4579</v>
      </c>
      <c r="B4580" t="s">
        <v>9</v>
      </c>
      <c r="C4580">
        <v>639148</v>
      </c>
      <c r="D4580" t="s">
        <v>18</v>
      </c>
      <c r="E4580" t="s">
        <v>16</v>
      </c>
      <c r="F4580" t="s">
        <v>12</v>
      </c>
      <c r="G4580" t="s">
        <v>13</v>
      </c>
      <c r="H4580" t="s">
        <v>12</v>
      </c>
      <c r="I4580">
        <v>42</v>
      </c>
      <c r="J4580">
        <f>ABS((I4580-EDA!$A$15)/EDA!$B$15)</f>
        <v>1.4403128587172659E-3</v>
      </c>
      <c r="K4580" t="str">
        <f t="shared" si="71"/>
        <v>No</v>
      </c>
      <c r="L4580">
        <f>ABS((C4580-EDA!$F$15)/EDA!$G$15)</f>
        <v>0.36501809830544912</v>
      </c>
      <c r="M4580" t="str">
        <f>IF(moras[[#This Row],[Z-Score Salario]]&gt;1.96, "Sí", "No")</f>
        <v>No</v>
      </c>
      <c r="N4580" s="14">
        <f>IF(ISBLANK(moras[[#This Row],[SALARIO]]), EDA!$M$8, moras[[#This Row],[SALARIO]])</f>
        <v>639148</v>
      </c>
      <c r="O4580" s="14">
        <f xml:space="preserve"> IF(ISBLANK(moras[[#This Row],[EDAD]]), EDA!$E$8, moras[[#This Row],[EDAD]])</f>
        <v>42</v>
      </c>
      <c r="P4580" s="14" t="str">
        <f>IF(
    OR(ISBLANK(moras[[#This Row],[TIPO_ASEGURAMIENTO]]), moras[[#This Row],[TIPO_ASEGURAMIENTO]]=""),
    EDA!$A$32,
    moras[[#This Row],[TIPO_ASEGURAMIENTO]]
)</f>
        <v>TRABAJADOR INDEPENDIENTE</v>
      </c>
    </row>
    <row r="4581" spans="1:16" x14ac:dyDescent="0.3">
      <c r="A4581">
        <v>4580</v>
      </c>
      <c r="B4581" t="s">
        <v>9</v>
      </c>
      <c r="C4581">
        <v>4609109</v>
      </c>
      <c r="D4581" t="s">
        <v>10</v>
      </c>
      <c r="E4581" t="s">
        <v>16</v>
      </c>
      <c r="F4581" t="s">
        <v>12</v>
      </c>
      <c r="G4581" t="s">
        <v>13</v>
      </c>
      <c r="H4581" t="s">
        <v>13</v>
      </c>
      <c r="I4581">
        <v>43</v>
      </c>
      <c r="J4581">
        <f>ABS((I4581-EDA!$A$15)/EDA!$B$15)</f>
        <v>7.2015642935854773E-2</v>
      </c>
      <c r="K4581" t="str">
        <f t="shared" si="71"/>
        <v>No</v>
      </c>
      <c r="L4581">
        <f>ABS((C4581-EDA!$F$15)/EDA!$G$15)</f>
        <v>0.29895514482155688</v>
      </c>
      <c r="M4581" t="str">
        <f>IF(moras[[#This Row],[Z-Score Salario]]&gt;1.96, "Sí", "No")</f>
        <v>No</v>
      </c>
      <c r="N4581" s="14">
        <f>IF(ISBLANK(moras[[#This Row],[SALARIO]]), EDA!$M$8, moras[[#This Row],[SALARIO]])</f>
        <v>4609109</v>
      </c>
      <c r="O4581" s="14">
        <f xml:space="preserve"> IF(ISBLANK(moras[[#This Row],[EDAD]]), EDA!$E$8, moras[[#This Row],[EDAD]])</f>
        <v>43</v>
      </c>
      <c r="P4581" s="14" t="str">
        <f>IF(
    OR(ISBLANK(moras[[#This Row],[TIPO_ASEGURAMIENTO]]), moras[[#This Row],[TIPO_ASEGURAMIENTO]]=""),
    EDA!$A$32,
    moras[[#This Row],[TIPO_ASEGURAMIENTO]]
)</f>
        <v>ASALARIADO</v>
      </c>
    </row>
    <row r="4582" spans="1:16" x14ac:dyDescent="0.3">
      <c r="A4582">
        <v>4581</v>
      </c>
      <c r="B4582" t="s">
        <v>15</v>
      </c>
      <c r="C4582">
        <v>361420</v>
      </c>
      <c r="D4582" t="s">
        <v>18</v>
      </c>
      <c r="E4582" t="s">
        <v>16</v>
      </c>
      <c r="F4582" t="s">
        <v>12</v>
      </c>
      <c r="G4582" t="s">
        <v>13</v>
      </c>
      <c r="H4582" t="s">
        <v>12</v>
      </c>
      <c r="I4582">
        <v>52</v>
      </c>
      <c r="J4582">
        <f>ABS((I4582-EDA!$A$15)/EDA!$B$15)</f>
        <v>0.70719361363009237</v>
      </c>
      <c r="K4582" t="str">
        <f t="shared" si="71"/>
        <v>No</v>
      </c>
      <c r="L4582">
        <f>ABS((C4582-EDA!$F$15)/EDA!$G$15)</f>
        <v>0.36963968827703181</v>
      </c>
      <c r="M4582" t="str">
        <f>IF(moras[[#This Row],[Z-Score Salario]]&gt;1.96, "Sí", "No")</f>
        <v>No</v>
      </c>
      <c r="N4582" s="14">
        <f>IF(ISBLANK(moras[[#This Row],[SALARIO]]), EDA!$M$8, moras[[#This Row],[SALARIO]])</f>
        <v>361420</v>
      </c>
      <c r="O4582" s="14">
        <f xml:space="preserve"> IF(ISBLANK(moras[[#This Row],[EDAD]]), EDA!$E$8, moras[[#This Row],[EDAD]])</f>
        <v>52</v>
      </c>
      <c r="P4582" s="14" t="str">
        <f>IF(
    OR(ISBLANK(moras[[#This Row],[TIPO_ASEGURAMIENTO]]), moras[[#This Row],[TIPO_ASEGURAMIENTO]]=""),
    EDA!$A$32,
    moras[[#This Row],[TIPO_ASEGURAMIENTO]]
)</f>
        <v>TRABAJADOR INDEPENDIENTE</v>
      </c>
    </row>
    <row r="4583" spans="1:16" x14ac:dyDescent="0.3">
      <c r="A4583">
        <v>4582</v>
      </c>
      <c r="B4583" t="s">
        <v>9</v>
      </c>
      <c r="C4583">
        <v>301853</v>
      </c>
      <c r="D4583" t="s">
        <v>18</v>
      </c>
      <c r="E4583" t="s">
        <v>16</v>
      </c>
      <c r="F4583" t="s">
        <v>12</v>
      </c>
      <c r="G4583" t="s">
        <v>13</v>
      </c>
      <c r="H4583" t="s">
        <v>13</v>
      </c>
      <c r="I4583">
        <v>25</v>
      </c>
      <c r="J4583">
        <f>ABS((I4583-EDA!$A$15)/EDA!$B$15)</f>
        <v>1.1983402984526204</v>
      </c>
      <c r="K4583" t="str">
        <f t="shared" si="71"/>
        <v>No</v>
      </c>
      <c r="L4583">
        <f>ABS((C4583-EDA!$F$15)/EDA!$G$15)</f>
        <v>0.37063092520610363</v>
      </c>
      <c r="M4583" t="str">
        <f>IF(moras[[#This Row],[Z-Score Salario]]&gt;1.96, "Sí", "No")</f>
        <v>No</v>
      </c>
      <c r="N4583" s="14">
        <f>IF(ISBLANK(moras[[#This Row],[SALARIO]]), EDA!$M$8, moras[[#This Row],[SALARIO]])</f>
        <v>301853</v>
      </c>
      <c r="O4583" s="14">
        <f xml:space="preserve"> IF(ISBLANK(moras[[#This Row],[EDAD]]), EDA!$E$8, moras[[#This Row],[EDAD]])</f>
        <v>25</v>
      </c>
      <c r="P4583" s="14" t="str">
        <f>IF(
    OR(ISBLANK(moras[[#This Row],[TIPO_ASEGURAMIENTO]]), moras[[#This Row],[TIPO_ASEGURAMIENTO]]=""),
    EDA!$A$32,
    moras[[#This Row],[TIPO_ASEGURAMIENTO]]
)</f>
        <v>TRABAJADOR INDEPENDIENTE</v>
      </c>
    </row>
    <row r="4584" spans="1:16" x14ac:dyDescent="0.3">
      <c r="A4584">
        <v>4583</v>
      </c>
      <c r="B4584" t="s">
        <v>9</v>
      </c>
      <c r="C4584">
        <v>26362226</v>
      </c>
      <c r="D4584" t="s">
        <v>10</v>
      </c>
      <c r="E4584" t="s">
        <v>16</v>
      </c>
      <c r="F4584" t="s">
        <v>12</v>
      </c>
      <c r="G4584" t="s">
        <v>13</v>
      </c>
      <c r="H4584" t="s">
        <v>13</v>
      </c>
      <c r="I4584">
        <v>20</v>
      </c>
      <c r="J4584">
        <f>ABS((I4584-EDA!$A$15)/EDA!$B$15)</f>
        <v>1.5512169488383079</v>
      </c>
      <c r="K4584" t="str">
        <f t="shared" si="71"/>
        <v>No</v>
      </c>
      <c r="L4584">
        <f>ABS((C4584-EDA!$F$15)/EDA!$G$15)</f>
        <v>6.3032077849060036E-2</v>
      </c>
      <c r="M4584" t="str">
        <f>IF(moras[[#This Row],[Z-Score Salario]]&gt;1.96, "Sí", "No")</f>
        <v>No</v>
      </c>
      <c r="N4584" s="14">
        <f>IF(ISBLANK(moras[[#This Row],[SALARIO]]), EDA!$M$8, moras[[#This Row],[SALARIO]])</f>
        <v>26362226</v>
      </c>
      <c r="O4584" s="14">
        <f xml:space="preserve"> IF(ISBLANK(moras[[#This Row],[EDAD]]), EDA!$E$8, moras[[#This Row],[EDAD]])</f>
        <v>20</v>
      </c>
      <c r="P4584" s="14" t="str">
        <f>IF(
    OR(ISBLANK(moras[[#This Row],[TIPO_ASEGURAMIENTO]]), moras[[#This Row],[TIPO_ASEGURAMIENTO]]=""),
    EDA!$A$32,
    moras[[#This Row],[TIPO_ASEGURAMIENTO]]
)</f>
        <v>ASALARIADO</v>
      </c>
    </row>
    <row r="4585" spans="1:16" x14ac:dyDescent="0.3">
      <c r="A4585">
        <v>4584</v>
      </c>
      <c r="B4585" t="s">
        <v>9</v>
      </c>
      <c r="C4585">
        <v>511600</v>
      </c>
      <c r="D4585" t="s">
        <v>10</v>
      </c>
      <c r="E4585" t="s">
        <v>16</v>
      </c>
      <c r="F4585" t="s">
        <v>12</v>
      </c>
      <c r="G4585" t="s">
        <v>13</v>
      </c>
      <c r="H4585" t="s">
        <v>13</v>
      </c>
      <c r="I4585">
        <v>22</v>
      </c>
      <c r="J4585">
        <f>ABS((I4585-EDA!$A$15)/EDA!$B$15)</f>
        <v>1.4100662886840327</v>
      </c>
      <c r="K4585" t="str">
        <f t="shared" si="71"/>
        <v>No</v>
      </c>
      <c r="L4585">
        <f>ABS((C4585-EDA!$F$15)/EDA!$G$15)</f>
        <v>0.36714058706313801</v>
      </c>
      <c r="M4585" t="str">
        <f>IF(moras[[#This Row],[Z-Score Salario]]&gt;1.96, "Sí", "No")</f>
        <v>No</v>
      </c>
      <c r="N4585" s="14">
        <f>IF(ISBLANK(moras[[#This Row],[SALARIO]]), EDA!$M$8, moras[[#This Row],[SALARIO]])</f>
        <v>511600</v>
      </c>
      <c r="O4585" s="14">
        <f xml:space="preserve"> IF(ISBLANK(moras[[#This Row],[EDAD]]), EDA!$E$8, moras[[#This Row],[EDAD]])</f>
        <v>22</v>
      </c>
      <c r="P4585" s="14" t="str">
        <f>IF(
    OR(ISBLANK(moras[[#This Row],[TIPO_ASEGURAMIENTO]]), moras[[#This Row],[TIPO_ASEGURAMIENTO]]=""),
    EDA!$A$32,
    moras[[#This Row],[TIPO_ASEGURAMIENTO]]
)</f>
        <v>ASALARIADO</v>
      </c>
    </row>
    <row r="4586" spans="1:16" x14ac:dyDescent="0.3">
      <c r="A4586">
        <v>4585</v>
      </c>
      <c r="B4586" t="s">
        <v>15</v>
      </c>
      <c r="C4586">
        <v>83177112</v>
      </c>
      <c r="D4586" t="s">
        <v>10</v>
      </c>
      <c r="E4586" t="s">
        <v>16</v>
      </c>
      <c r="F4586" t="s">
        <v>12</v>
      </c>
      <c r="G4586" t="s">
        <v>13</v>
      </c>
      <c r="H4586" t="s">
        <v>13</v>
      </c>
      <c r="I4586">
        <v>29</v>
      </c>
      <c r="J4586">
        <f>ABS((I4586-EDA!$A$15)/EDA!$B$15)</f>
        <v>0.91603897814407031</v>
      </c>
      <c r="K4586" t="str">
        <f t="shared" si="71"/>
        <v>No</v>
      </c>
      <c r="L4586">
        <f>ABS((C4586-EDA!$F$15)/EDA!$G$15)</f>
        <v>1.0084718872100686</v>
      </c>
      <c r="M4586" t="str">
        <f>IF(moras[[#This Row],[Z-Score Salario]]&gt;1.96, "Sí", "No")</f>
        <v>No</v>
      </c>
      <c r="N4586" s="14">
        <f>IF(ISBLANK(moras[[#This Row],[SALARIO]]), EDA!$M$8, moras[[#This Row],[SALARIO]])</f>
        <v>83177112</v>
      </c>
      <c r="O4586" s="14">
        <f xml:space="preserve"> IF(ISBLANK(moras[[#This Row],[EDAD]]), EDA!$E$8, moras[[#This Row],[EDAD]])</f>
        <v>29</v>
      </c>
      <c r="P4586" s="14" t="str">
        <f>IF(
    OR(ISBLANK(moras[[#This Row],[TIPO_ASEGURAMIENTO]]), moras[[#This Row],[TIPO_ASEGURAMIENTO]]=""),
    EDA!$A$32,
    moras[[#This Row],[TIPO_ASEGURAMIENTO]]
)</f>
        <v>ASALARIADO</v>
      </c>
    </row>
    <row r="4587" spans="1:16" x14ac:dyDescent="0.3">
      <c r="A4587">
        <v>4586</v>
      </c>
      <c r="B4587" t="s">
        <v>15</v>
      </c>
      <c r="C4587">
        <v>297045</v>
      </c>
      <c r="D4587" t="s">
        <v>17</v>
      </c>
      <c r="E4587" t="s">
        <v>16</v>
      </c>
      <c r="F4587" t="s">
        <v>12</v>
      </c>
      <c r="G4587" t="s">
        <v>13</v>
      </c>
      <c r="H4587" t="s">
        <v>13</v>
      </c>
      <c r="I4587">
        <v>20</v>
      </c>
      <c r="J4587">
        <f>ABS((I4587-EDA!$A$15)/EDA!$B$15)</f>
        <v>1.5512169488383079</v>
      </c>
      <c r="K4587" t="str">
        <f t="shared" si="71"/>
        <v>No</v>
      </c>
      <c r="L4587">
        <f>ABS((C4587-EDA!$F$15)/EDA!$G$15)</f>
        <v>0.37071093372012948</v>
      </c>
      <c r="M4587" t="str">
        <f>IF(moras[[#This Row],[Z-Score Salario]]&gt;1.96, "Sí", "No")</f>
        <v>No</v>
      </c>
      <c r="N4587" s="14">
        <f>IF(ISBLANK(moras[[#This Row],[SALARIO]]), EDA!$M$8, moras[[#This Row],[SALARIO]])</f>
        <v>297045</v>
      </c>
      <c r="O4587" s="14">
        <f xml:space="preserve"> IF(ISBLANK(moras[[#This Row],[EDAD]]), EDA!$E$8, moras[[#This Row],[EDAD]])</f>
        <v>20</v>
      </c>
      <c r="P4587" s="14" t="str">
        <f>IF(
    OR(ISBLANK(moras[[#This Row],[TIPO_ASEGURAMIENTO]]), moras[[#This Row],[TIPO_ASEGURAMIENTO]]=""),
    EDA!$A$32,
    moras[[#This Row],[TIPO_ASEGURAMIENTO]]
)</f>
        <v>ASEGURADO VOLUNTARIO</v>
      </c>
    </row>
    <row r="4588" spans="1:16" x14ac:dyDescent="0.3">
      <c r="A4588">
        <v>4587</v>
      </c>
      <c r="B4588" t="s">
        <v>9</v>
      </c>
      <c r="C4588">
        <v>518519</v>
      </c>
      <c r="D4588" t="s">
        <v>18</v>
      </c>
      <c r="E4588" t="s">
        <v>16</v>
      </c>
      <c r="F4588" t="s">
        <v>12</v>
      </c>
      <c r="G4588" t="s">
        <v>13</v>
      </c>
      <c r="H4588" t="s">
        <v>12</v>
      </c>
      <c r="I4588">
        <v>43</v>
      </c>
      <c r="J4588">
        <f>ABS((I4588-EDA!$A$15)/EDA!$B$15)</f>
        <v>7.2015642935854773E-2</v>
      </c>
      <c r="K4588" t="str">
        <f t="shared" si="71"/>
        <v>No</v>
      </c>
      <c r="L4588">
        <f>ABS((C4588-EDA!$F$15)/EDA!$G$15)</f>
        <v>0.36702545001893155</v>
      </c>
      <c r="M4588" t="str">
        <f>IF(moras[[#This Row],[Z-Score Salario]]&gt;1.96, "Sí", "No")</f>
        <v>No</v>
      </c>
      <c r="N4588" s="14">
        <f>IF(ISBLANK(moras[[#This Row],[SALARIO]]), EDA!$M$8, moras[[#This Row],[SALARIO]])</f>
        <v>518519</v>
      </c>
      <c r="O4588" s="14">
        <f xml:space="preserve"> IF(ISBLANK(moras[[#This Row],[EDAD]]), EDA!$E$8, moras[[#This Row],[EDAD]])</f>
        <v>43</v>
      </c>
      <c r="P4588" s="14" t="str">
        <f>IF(
    OR(ISBLANK(moras[[#This Row],[TIPO_ASEGURAMIENTO]]), moras[[#This Row],[TIPO_ASEGURAMIENTO]]=""),
    EDA!$A$32,
    moras[[#This Row],[TIPO_ASEGURAMIENTO]]
)</f>
        <v>TRABAJADOR INDEPENDIENTE</v>
      </c>
    </row>
    <row r="4589" spans="1:16" x14ac:dyDescent="0.3">
      <c r="A4589">
        <v>4588</v>
      </c>
      <c r="B4589" t="s">
        <v>9</v>
      </c>
      <c r="C4589">
        <v>239200</v>
      </c>
      <c r="D4589" t="s">
        <v>10</v>
      </c>
      <c r="E4589" t="s">
        <v>16</v>
      </c>
      <c r="F4589" t="s">
        <v>12</v>
      </c>
      <c r="G4589" t="s">
        <v>13</v>
      </c>
      <c r="H4589" t="s">
        <v>13</v>
      </c>
      <c r="I4589">
        <v>27</v>
      </c>
      <c r="J4589">
        <f>ABS((I4589-EDA!$A$15)/EDA!$B$15)</f>
        <v>1.0571896382983452</v>
      </c>
      <c r="K4589" t="str">
        <f t="shared" si="71"/>
        <v>No</v>
      </c>
      <c r="L4589">
        <f>ABS((C4589-EDA!$F$15)/EDA!$G$15)</f>
        <v>0.37167351535362053</v>
      </c>
      <c r="M4589" t="str">
        <f>IF(moras[[#This Row],[Z-Score Salario]]&gt;1.96, "Sí", "No")</f>
        <v>No</v>
      </c>
      <c r="N4589" s="14">
        <f>IF(ISBLANK(moras[[#This Row],[SALARIO]]), EDA!$M$8, moras[[#This Row],[SALARIO]])</f>
        <v>239200</v>
      </c>
      <c r="O4589" s="14">
        <f xml:space="preserve"> IF(ISBLANK(moras[[#This Row],[EDAD]]), EDA!$E$8, moras[[#This Row],[EDAD]])</f>
        <v>27</v>
      </c>
      <c r="P4589" s="14" t="str">
        <f>IF(
    OR(ISBLANK(moras[[#This Row],[TIPO_ASEGURAMIENTO]]), moras[[#This Row],[TIPO_ASEGURAMIENTO]]=""),
    EDA!$A$32,
    moras[[#This Row],[TIPO_ASEGURAMIENTO]]
)</f>
        <v>ASALARIADO</v>
      </c>
    </row>
    <row r="4590" spans="1:16" x14ac:dyDescent="0.3">
      <c r="A4590">
        <v>4589</v>
      </c>
      <c r="B4590" t="s">
        <v>9</v>
      </c>
      <c r="C4590">
        <v>445567</v>
      </c>
      <c r="D4590" t="s">
        <v>18</v>
      </c>
      <c r="E4590" t="s">
        <v>16</v>
      </c>
      <c r="F4590" t="s">
        <v>12</v>
      </c>
      <c r="G4590" t="s">
        <v>13</v>
      </c>
      <c r="H4590" t="s">
        <v>13</v>
      </c>
      <c r="I4590">
        <v>46</v>
      </c>
      <c r="J4590">
        <f>ABS((I4590-EDA!$A$15)/EDA!$B$15)</f>
        <v>0.2837416331672673</v>
      </c>
      <c r="K4590" t="str">
        <f t="shared" si="71"/>
        <v>No</v>
      </c>
      <c r="L4590">
        <f>ABS((C4590-EDA!$F$15)/EDA!$G$15)</f>
        <v>0.36823942279663813</v>
      </c>
      <c r="M4590" t="str">
        <f>IF(moras[[#This Row],[Z-Score Salario]]&gt;1.96, "Sí", "No")</f>
        <v>No</v>
      </c>
      <c r="N4590" s="14">
        <f>IF(ISBLANK(moras[[#This Row],[SALARIO]]), EDA!$M$8, moras[[#This Row],[SALARIO]])</f>
        <v>445567</v>
      </c>
      <c r="O4590" s="14">
        <f xml:space="preserve"> IF(ISBLANK(moras[[#This Row],[EDAD]]), EDA!$E$8, moras[[#This Row],[EDAD]])</f>
        <v>46</v>
      </c>
      <c r="P4590" s="14" t="str">
        <f>IF(
    OR(ISBLANK(moras[[#This Row],[TIPO_ASEGURAMIENTO]]), moras[[#This Row],[TIPO_ASEGURAMIENTO]]=""),
    EDA!$A$32,
    moras[[#This Row],[TIPO_ASEGURAMIENTO]]
)</f>
        <v>TRABAJADOR INDEPENDIENTE</v>
      </c>
    </row>
    <row r="4591" spans="1:16" x14ac:dyDescent="0.3">
      <c r="A4591">
        <v>4590</v>
      </c>
      <c r="B4591" t="s">
        <v>15</v>
      </c>
      <c r="C4591">
        <v>211216</v>
      </c>
      <c r="D4591" t="s">
        <v>10</v>
      </c>
      <c r="E4591" t="s">
        <v>11</v>
      </c>
      <c r="F4591" t="s">
        <v>12</v>
      </c>
      <c r="G4591" t="s">
        <v>13</v>
      </c>
      <c r="H4591" t="s">
        <v>13</v>
      </c>
      <c r="I4591">
        <v>34</v>
      </c>
      <c r="J4591">
        <f>ABS((I4591-EDA!$A$15)/EDA!$B$15)</f>
        <v>0.56316232775838282</v>
      </c>
      <c r="K4591" t="str">
        <f t="shared" si="71"/>
        <v>No</v>
      </c>
      <c r="L4591">
        <f>ABS((C4591-EDA!$F$15)/EDA!$G$15)</f>
        <v>0.37213918886786745</v>
      </c>
      <c r="M4591" t="str">
        <f>IF(moras[[#This Row],[Z-Score Salario]]&gt;1.96, "Sí", "No")</f>
        <v>No</v>
      </c>
      <c r="N4591" s="14">
        <f>IF(ISBLANK(moras[[#This Row],[SALARIO]]), EDA!$M$8, moras[[#This Row],[SALARIO]])</f>
        <v>211216</v>
      </c>
      <c r="O4591" s="14">
        <f xml:space="preserve"> IF(ISBLANK(moras[[#This Row],[EDAD]]), EDA!$E$8, moras[[#This Row],[EDAD]])</f>
        <v>34</v>
      </c>
      <c r="P4591" s="14" t="str">
        <f>IF(
    OR(ISBLANK(moras[[#This Row],[TIPO_ASEGURAMIENTO]]), moras[[#This Row],[TIPO_ASEGURAMIENTO]]=""),
    EDA!$A$32,
    moras[[#This Row],[TIPO_ASEGURAMIENTO]]
)</f>
        <v>ASALARIADO</v>
      </c>
    </row>
    <row r="4592" spans="1:16" x14ac:dyDescent="0.3">
      <c r="A4592">
        <v>4591</v>
      </c>
      <c r="B4592" t="s">
        <v>9</v>
      </c>
      <c r="C4592">
        <v>41000002</v>
      </c>
      <c r="D4592" t="s">
        <v>10</v>
      </c>
      <c r="E4592" t="s">
        <v>16</v>
      </c>
      <c r="F4592" t="s">
        <v>12</v>
      </c>
      <c r="G4592" t="s">
        <v>13</v>
      </c>
      <c r="H4592" t="s">
        <v>13</v>
      </c>
      <c r="I4592">
        <v>25</v>
      </c>
      <c r="J4592">
        <f>ABS((I4592-EDA!$A$15)/EDA!$B$15)</f>
        <v>1.1983402984526204</v>
      </c>
      <c r="K4592" t="str">
        <f t="shared" si="71"/>
        <v>No</v>
      </c>
      <c r="L4592">
        <f>ABS((C4592-EDA!$F$15)/EDA!$G$15)</f>
        <v>0.30661500347367798</v>
      </c>
      <c r="M4592" t="str">
        <f>IF(moras[[#This Row],[Z-Score Salario]]&gt;1.96, "Sí", "No")</f>
        <v>No</v>
      </c>
      <c r="N4592" s="14">
        <f>IF(ISBLANK(moras[[#This Row],[SALARIO]]), EDA!$M$8, moras[[#This Row],[SALARIO]])</f>
        <v>41000002</v>
      </c>
      <c r="O4592" s="14">
        <f xml:space="preserve"> IF(ISBLANK(moras[[#This Row],[EDAD]]), EDA!$E$8, moras[[#This Row],[EDAD]])</f>
        <v>25</v>
      </c>
      <c r="P4592" s="14" t="str">
        <f>IF(
    OR(ISBLANK(moras[[#This Row],[TIPO_ASEGURAMIENTO]]), moras[[#This Row],[TIPO_ASEGURAMIENTO]]=""),
    EDA!$A$32,
    moras[[#This Row],[TIPO_ASEGURAMIENTO]]
)</f>
        <v>ASALARIADO</v>
      </c>
    </row>
    <row r="4593" spans="1:16" x14ac:dyDescent="0.3">
      <c r="A4593">
        <v>4592</v>
      </c>
      <c r="B4593" t="s">
        <v>9</v>
      </c>
      <c r="C4593">
        <v>33257779</v>
      </c>
      <c r="D4593" t="s">
        <v>10</v>
      </c>
      <c r="E4593" t="s">
        <v>11</v>
      </c>
      <c r="F4593" t="s">
        <v>12</v>
      </c>
      <c r="G4593" t="s">
        <v>13</v>
      </c>
      <c r="H4593" t="s">
        <v>13</v>
      </c>
      <c r="I4593">
        <v>62</v>
      </c>
      <c r="J4593">
        <f>ABS((I4593-EDA!$A$15)/EDA!$B$15)</f>
        <v>1.4129469144014672</v>
      </c>
      <c r="K4593" t="str">
        <f t="shared" si="71"/>
        <v>No</v>
      </c>
      <c r="L4593">
        <f>ABS((C4593-EDA!$F$15)/EDA!$G$15)</f>
        <v>0.17777894742402903</v>
      </c>
      <c r="M4593" t="str">
        <f>IF(moras[[#This Row],[Z-Score Salario]]&gt;1.96, "Sí", "No")</f>
        <v>No</v>
      </c>
      <c r="N4593" s="14">
        <f>IF(ISBLANK(moras[[#This Row],[SALARIO]]), EDA!$M$8, moras[[#This Row],[SALARIO]])</f>
        <v>33257779</v>
      </c>
      <c r="O4593" s="14">
        <f xml:space="preserve"> IF(ISBLANK(moras[[#This Row],[EDAD]]), EDA!$E$8, moras[[#This Row],[EDAD]])</f>
        <v>62</v>
      </c>
      <c r="P4593" s="14" t="str">
        <f>IF(
    OR(ISBLANK(moras[[#This Row],[TIPO_ASEGURAMIENTO]]), moras[[#This Row],[TIPO_ASEGURAMIENTO]]=""),
    EDA!$A$32,
    moras[[#This Row],[TIPO_ASEGURAMIENTO]]
)</f>
        <v>ASALARIADO</v>
      </c>
    </row>
    <row r="4594" spans="1:16" x14ac:dyDescent="0.3">
      <c r="A4594">
        <v>4593</v>
      </c>
      <c r="B4594" t="s">
        <v>15</v>
      </c>
      <c r="C4594">
        <v>30666962</v>
      </c>
      <c r="D4594" t="s">
        <v>10</v>
      </c>
      <c r="E4594" t="s">
        <v>11</v>
      </c>
      <c r="F4594" t="s">
        <v>12</v>
      </c>
      <c r="G4594" t="s">
        <v>12</v>
      </c>
      <c r="H4594" t="s">
        <v>13</v>
      </c>
      <c r="I4594">
        <v>49</v>
      </c>
      <c r="J4594">
        <f>ABS((I4594-EDA!$A$15)/EDA!$B$15)</f>
        <v>0.49546762339867978</v>
      </c>
      <c r="K4594" t="str">
        <f t="shared" si="71"/>
        <v>No</v>
      </c>
      <c r="L4594">
        <f>ABS((C4594-EDA!$F$15)/EDA!$G$15)</f>
        <v>0.13466592365470806</v>
      </c>
      <c r="M4594" t="str">
        <f>IF(moras[[#This Row],[Z-Score Salario]]&gt;1.96, "Sí", "No")</f>
        <v>No</v>
      </c>
      <c r="N4594" s="14">
        <f>IF(ISBLANK(moras[[#This Row],[SALARIO]]), EDA!$M$8, moras[[#This Row],[SALARIO]])</f>
        <v>30666962</v>
      </c>
      <c r="O4594" s="14">
        <f xml:space="preserve"> IF(ISBLANK(moras[[#This Row],[EDAD]]), EDA!$E$8, moras[[#This Row],[EDAD]])</f>
        <v>49</v>
      </c>
      <c r="P4594" s="14" t="str">
        <f>IF(
    OR(ISBLANK(moras[[#This Row],[TIPO_ASEGURAMIENTO]]), moras[[#This Row],[TIPO_ASEGURAMIENTO]]=""),
    EDA!$A$32,
    moras[[#This Row],[TIPO_ASEGURAMIENTO]]
)</f>
        <v>ASALARIADO</v>
      </c>
    </row>
    <row r="4595" spans="1:16" x14ac:dyDescent="0.3">
      <c r="A4595">
        <v>4594</v>
      </c>
      <c r="B4595" t="s">
        <v>15</v>
      </c>
      <c r="C4595">
        <v>40546455</v>
      </c>
      <c r="D4595" t="s">
        <v>10</v>
      </c>
      <c r="E4595" t="s">
        <v>16</v>
      </c>
      <c r="F4595" t="s">
        <v>12</v>
      </c>
      <c r="G4595" t="s">
        <v>13</v>
      </c>
      <c r="H4595" t="s">
        <v>13</v>
      </c>
      <c r="I4595">
        <v>35</v>
      </c>
      <c r="J4595">
        <f>ABS((I4595-EDA!$A$15)/EDA!$B$15)</f>
        <v>0.49258699768124525</v>
      </c>
      <c r="K4595" t="str">
        <f t="shared" si="71"/>
        <v>No</v>
      </c>
      <c r="L4595">
        <f>ABS((C4595-EDA!$F$15)/EDA!$G$15)</f>
        <v>0.29906766122931872</v>
      </c>
      <c r="M4595" t="str">
        <f>IF(moras[[#This Row],[Z-Score Salario]]&gt;1.96, "Sí", "No")</f>
        <v>No</v>
      </c>
      <c r="N4595" s="14">
        <f>IF(ISBLANK(moras[[#This Row],[SALARIO]]), EDA!$M$8, moras[[#This Row],[SALARIO]])</f>
        <v>40546455</v>
      </c>
      <c r="O4595" s="14">
        <f xml:space="preserve"> IF(ISBLANK(moras[[#This Row],[EDAD]]), EDA!$E$8, moras[[#This Row],[EDAD]])</f>
        <v>35</v>
      </c>
      <c r="P4595" s="14" t="str">
        <f>IF(
    OR(ISBLANK(moras[[#This Row],[TIPO_ASEGURAMIENTO]]), moras[[#This Row],[TIPO_ASEGURAMIENTO]]=""),
    EDA!$A$32,
    moras[[#This Row],[TIPO_ASEGURAMIENTO]]
)</f>
        <v>ASALARIADO</v>
      </c>
    </row>
    <row r="4596" spans="1:16" x14ac:dyDescent="0.3">
      <c r="A4596">
        <v>4595</v>
      </c>
      <c r="B4596" t="s">
        <v>15</v>
      </c>
      <c r="C4596">
        <v>56098756</v>
      </c>
      <c r="D4596" t="s">
        <v>14</v>
      </c>
      <c r="E4596" t="s">
        <v>11</v>
      </c>
      <c r="F4596" t="s">
        <v>12</v>
      </c>
      <c r="G4596" t="s">
        <v>13</v>
      </c>
      <c r="H4596" t="s">
        <v>13</v>
      </c>
      <c r="I4596">
        <v>69</v>
      </c>
      <c r="J4596">
        <f>ABS((I4596-EDA!$A$15)/EDA!$B$15)</f>
        <v>1.9069742249414299</v>
      </c>
      <c r="K4596" t="str">
        <f t="shared" si="71"/>
        <v>No</v>
      </c>
      <c r="L4596">
        <f>ABS((C4596-EDA!$F$15)/EDA!$G$15)</f>
        <v>0.55786892842828872</v>
      </c>
      <c r="M4596" t="str">
        <f>IF(moras[[#This Row],[Z-Score Salario]]&gt;1.96, "Sí", "No")</f>
        <v>No</v>
      </c>
      <c r="N4596" s="14">
        <f>IF(ISBLANK(moras[[#This Row],[SALARIO]]), EDA!$M$8, moras[[#This Row],[SALARIO]])</f>
        <v>56098756</v>
      </c>
      <c r="O4596" s="14">
        <f xml:space="preserve"> IF(ISBLANK(moras[[#This Row],[EDAD]]), EDA!$E$8, moras[[#This Row],[EDAD]])</f>
        <v>69</v>
      </c>
      <c r="P4596" s="14" t="str">
        <f>IF(
    OR(ISBLANK(moras[[#This Row],[TIPO_ASEGURAMIENTO]]), moras[[#This Row],[TIPO_ASEGURAMIENTO]]=""),
    EDA!$A$32,
    moras[[#This Row],[TIPO_ASEGURAMIENTO]]
)</f>
        <v>PENSIONADOS EN SU PROPIO SISTEMA</v>
      </c>
    </row>
    <row r="4597" spans="1:16" x14ac:dyDescent="0.3">
      <c r="A4597">
        <v>4596</v>
      </c>
      <c r="B4597" t="s">
        <v>9</v>
      </c>
      <c r="C4597">
        <v>37473155</v>
      </c>
      <c r="D4597" t="s">
        <v>10</v>
      </c>
      <c r="E4597" t="s">
        <v>16</v>
      </c>
      <c r="F4597" t="s">
        <v>12</v>
      </c>
      <c r="G4597" t="s">
        <v>12</v>
      </c>
      <c r="H4597" t="s">
        <v>13</v>
      </c>
      <c r="I4597">
        <v>36</v>
      </c>
      <c r="J4597">
        <f>ABS((I4597-EDA!$A$15)/EDA!$B$15)</f>
        <v>0.42201166760410774</v>
      </c>
      <c r="K4597" t="str">
        <f t="shared" si="71"/>
        <v>No</v>
      </c>
      <c r="L4597">
        <f>ABS((C4597-EDA!$F$15)/EDA!$G$15)</f>
        <v>0.24792577974936311</v>
      </c>
      <c r="M4597" t="str">
        <f>IF(moras[[#This Row],[Z-Score Salario]]&gt;1.96, "Sí", "No")</f>
        <v>No</v>
      </c>
      <c r="N4597" s="14">
        <f>IF(ISBLANK(moras[[#This Row],[SALARIO]]), EDA!$M$8, moras[[#This Row],[SALARIO]])</f>
        <v>37473155</v>
      </c>
      <c r="O4597" s="14">
        <f xml:space="preserve"> IF(ISBLANK(moras[[#This Row],[EDAD]]), EDA!$E$8, moras[[#This Row],[EDAD]])</f>
        <v>36</v>
      </c>
      <c r="P4597" s="14" t="str">
        <f>IF(
    OR(ISBLANK(moras[[#This Row],[TIPO_ASEGURAMIENTO]]), moras[[#This Row],[TIPO_ASEGURAMIENTO]]=""),
    EDA!$A$32,
    moras[[#This Row],[TIPO_ASEGURAMIENTO]]
)</f>
        <v>ASALARIADO</v>
      </c>
    </row>
    <row r="4598" spans="1:16" x14ac:dyDescent="0.3">
      <c r="A4598">
        <v>4597</v>
      </c>
      <c r="B4598" t="s">
        <v>9</v>
      </c>
      <c r="C4598">
        <v>650000</v>
      </c>
      <c r="D4598" t="s">
        <v>10</v>
      </c>
      <c r="E4598" t="s">
        <v>16</v>
      </c>
      <c r="F4598" t="s">
        <v>12</v>
      </c>
      <c r="G4598" t="s">
        <v>13</v>
      </c>
      <c r="H4598" t="s">
        <v>13</v>
      </c>
      <c r="I4598">
        <v>45</v>
      </c>
      <c r="J4598">
        <f>ABS((I4598-EDA!$A$15)/EDA!$B$15)</f>
        <v>0.21316630309012977</v>
      </c>
      <c r="K4598" t="str">
        <f t="shared" si="71"/>
        <v>No</v>
      </c>
      <c r="L4598">
        <f>ABS((C4598-EDA!$F$15)/EDA!$G$15)</f>
        <v>0.36483751336488995</v>
      </c>
      <c r="M4598" t="str">
        <f>IF(moras[[#This Row],[Z-Score Salario]]&gt;1.96, "Sí", "No")</f>
        <v>No</v>
      </c>
      <c r="N4598" s="14">
        <f>IF(ISBLANK(moras[[#This Row],[SALARIO]]), EDA!$M$8, moras[[#This Row],[SALARIO]])</f>
        <v>650000</v>
      </c>
      <c r="O4598" s="14">
        <f xml:space="preserve"> IF(ISBLANK(moras[[#This Row],[EDAD]]), EDA!$E$8, moras[[#This Row],[EDAD]])</f>
        <v>45</v>
      </c>
      <c r="P4598" s="14" t="str">
        <f>IF(
    OR(ISBLANK(moras[[#This Row],[TIPO_ASEGURAMIENTO]]), moras[[#This Row],[TIPO_ASEGURAMIENTO]]=""),
    EDA!$A$32,
    moras[[#This Row],[TIPO_ASEGURAMIENTO]]
)</f>
        <v>ASALARIADO</v>
      </c>
    </row>
    <row r="4599" spans="1:16" x14ac:dyDescent="0.3">
      <c r="A4599">
        <v>4598</v>
      </c>
      <c r="B4599" t="s">
        <v>9</v>
      </c>
      <c r="C4599">
        <v>358640</v>
      </c>
      <c r="D4599" t="s">
        <v>17</v>
      </c>
      <c r="E4599" t="s">
        <v>16</v>
      </c>
      <c r="F4599" t="s">
        <v>12</v>
      </c>
      <c r="G4599" t="s">
        <v>12</v>
      </c>
      <c r="H4599" t="s">
        <v>13</v>
      </c>
      <c r="I4599">
        <v>29</v>
      </c>
      <c r="J4599">
        <f>ABS((I4599-EDA!$A$15)/EDA!$B$15)</f>
        <v>0.91603897814407031</v>
      </c>
      <c r="K4599" t="str">
        <f t="shared" si="71"/>
        <v>No</v>
      </c>
      <c r="L4599">
        <f>ABS((C4599-EDA!$F$15)/EDA!$G$15)</f>
        <v>0.3696859494394677</v>
      </c>
      <c r="M4599" t="str">
        <f>IF(moras[[#This Row],[Z-Score Salario]]&gt;1.96, "Sí", "No")</f>
        <v>No</v>
      </c>
      <c r="N4599" s="14">
        <f>IF(ISBLANK(moras[[#This Row],[SALARIO]]), EDA!$M$8, moras[[#This Row],[SALARIO]])</f>
        <v>358640</v>
      </c>
      <c r="O4599" s="14">
        <f xml:space="preserve"> IF(ISBLANK(moras[[#This Row],[EDAD]]), EDA!$E$8, moras[[#This Row],[EDAD]])</f>
        <v>29</v>
      </c>
      <c r="P4599" s="14" t="str">
        <f>IF(
    OR(ISBLANK(moras[[#This Row],[TIPO_ASEGURAMIENTO]]), moras[[#This Row],[TIPO_ASEGURAMIENTO]]=""),
    EDA!$A$32,
    moras[[#This Row],[TIPO_ASEGURAMIENTO]]
)</f>
        <v>ASEGURADO VOLUNTARIO</v>
      </c>
    </row>
    <row r="4600" spans="1:16" x14ac:dyDescent="0.3">
      <c r="A4600">
        <v>4599</v>
      </c>
      <c r="B4600" t="s">
        <v>9</v>
      </c>
      <c r="C4600">
        <v>8387863</v>
      </c>
      <c r="D4600" t="s">
        <v>10</v>
      </c>
      <c r="E4600" t="s">
        <v>16</v>
      </c>
      <c r="F4600" t="s">
        <v>12</v>
      </c>
      <c r="G4600" t="s">
        <v>13</v>
      </c>
      <c r="H4600" t="s">
        <v>13</v>
      </c>
      <c r="I4600">
        <v>79</v>
      </c>
      <c r="J4600">
        <f>ABS((I4600-EDA!$A$15)/EDA!$B$15)</f>
        <v>2.6127275257128049</v>
      </c>
      <c r="K4600" t="str">
        <f t="shared" si="71"/>
        <v>Sí</v>
      </c>
      <c r="L4600">
        <f>ABS((C4600-EDA!$F$15)/EDA!$G$15)</f>
        <v>0.23607401079301815</v>
      </c>
      <c r="M4600" t="str">
        <f>IF(moras[[#This Row],[Z-Score Salario]]&gt;1.96, "Sí", "No")</f>
        <v>No</v>
      </c>
      <c r="N4600" s="14">
        <f>IF(ISBLANK(moras[[#This Row],[SALARIO]]), EDA!$M$8, moras[[#This Row],[SALARIO]])</f>
        <v>8387863</v>
      </c>
      <c r="O4600" s="14">
        <f xml:space="preserve"> IF(ISBLANK(moras[[#This Row],[EDAD]]), EDA!$E$8, moras[[#This Row],[EDAD]])</f>
        <v>79</v>
      </c>
      <c r="P4600" s="14" t="str">
        <f>IF(
    OR(ISBLANK(moras[[#This Row],[TIPO_ASEGURAMIENTO]]), moras[[#This Row],[TIPO_ASEGURAMIENTO]]=""),
    EDA!$A$32,
    moras[[#This Row],[TIPO_ASEGURAMIENTO]]
)</f>
        <v>ASALARIADO</v>
      </c>
    </row>
    <row r="4601" spans="1:16" x14ac:dyDescent="0.3">
      <c r="A4601">
        <v>4600</v>
      </c>
      <c r="B4601" t="s">
        <v>9</v>
      </c>
      <c r="C4601">
        <v>34458</v>
      </c>
      <c r="D4601" t="s">
        <v>10</v>
      </c>
      <c r="E4601" t="s">
        <v>16</v>
      </c>
      <c r="F4601" t="s">
        <v>12</v>
      </c>
      <c r="G4601" t="s">
        <v>13</v>
      </c>
      <c r="H4601" t="s">
        <v>13</v>
      </c>
      <c r="I4601">
        <v>43</v>
      </c>
      <c r="J4601">
        <f>ABS((I4601-EDA!$A$15)/EDA!$B$15)</f>
        <v>7.2015642935854773E-2</v>
      </c>
      <c r="K4601" t="str">
        <f t="shared" si="71"/>
        <v>No</v>
      </c>
      <c r="L4601">
        <f>ABS((C4601-EDA!$F$15)/EDA!$G$15)</f>
        <v>0.3750805667634956</v>
      </c>
      <c r="M4601" t="str">
        <f>IF(moras[[#This Row],[Z-Score Salario]]&gt;1.96, "Sí", "No")</f>
        <v>No</v>
      </c>
      <c r="N4601" s="14">
        <f>IF(ISBLANK(moras[[#This Row],[SALARIO]]), EDA!$M$8, moras[[#This Row],[SALARIO]])</f>
        <v>34458</v>
      </c>
      <c r="O4601" s="14">
        <f xml:space="preserve"> IF(ISBLANK(moras[[#This Row],[EDAD]]), EDA!$E$8, moras[[#This Row],[EDAD]])</f>
        <v>43</v>
      </c>
      <c r="P4601" s="14" t="str">
        <f>IF(
    OR(ISBLANK(moras[[#This Row],[TIPO_ASEGURAMIENTO]]), moras[[#This Row],[TIPO_ASEGURAMIENTO]]=""),
    EDA!$A$32,
    moras[[#This Row],[TIPO_ASEGURAMIENTO]]
)</f>
        <v>ASALARIADO</v>
      </c>
    </row>
    <row r="4602" spans="1:16" x14ac:dyDescent="0.3">
      <c r="A4602">
        <v>4601</v>
      </c>
      <c r="B4602" t="s">
        <v>9</v>
      </c>
      <c r="C4602">
        <v>640000</v>
      </c>
      <c r="D4602" t="s">
        <v>10</v>
      </c>
      <c r="E4602" t="s">
        <v>16</v>
      </c>
      <c r="F4602" t="s">
        <v>12</v>
      </c>
      <c r="G4602" t="s">
        <v>12</v>
      </c>
      <c r="H4602" t="s">
        <v>13</v>
      </c>
      <c r="I4602">
        <v>44</v>
      </c>
      <c r="J4602">
        <f>ABS((I4602-EDA!$A$15)/EDA!$B$15)</f>
        <v>0.14259097301299228</v>
      </c>
      <c r="K4602" t="str">
        <f t="shared" si="71"/>
        <v>No</v>
      </c>
      <c r="L4602">
        <f>ABS((C4602-EDA!$F$15)/EDA!$G$15)</f>
        <v>0.36500392042401192</v>
      </c>
      <c r="M4602" t="str">
        <f>IF(moras[[#This Row],[Z-Score Salario]]&gt;1.96, "Sí", "No")</f>
        <v>No</v>
      </c>
      <c r="N4602" s="14">
        <f>IF(ISBLANK(moras[[#This Row],[SALARIO]]), EDA!$M$8, moras[[#This Row],[SALARIO]])</f>
        <v>640000</v>
      </c>
      <c r="O4602" s="14">
        <f xml:space="preserve"> IF(ISBLANK(moras[[#This Row],[EDAD]]), EDA!$E$8, moras[[#This Row],[EDAD]])</f>
        <v>44</v>
      </c>
      <c r="P4602" s="14" t="str">
        <f>IF(
    OR(ISBLANK(moras[[#This Row],[TIPO_ASEGURAMIENTO]]), moras[[#This Row],[TIPO_ASEGURAMIENTO]]=""),
    EDA!$A$32,
    moras[[#This Row],[TIPO_ASEGURAMIENTO]]
)</f>
        <v>ASALARIADO</v>
      </c>
    </row>
    <row r="4603" spans="1:16" x14ac:dyDescent="0.3">
      <c r="A4603">
        <v>4602</v>
      </c>
      <c r="B4603" t="s">
        <v>15</v>
      </c>
      <c r="C4603">
        <v>736259</v>
      </c>
      <c r="D4603" t="s">
        <v>14</v>
      </c>
      <c r="E4603" t="s">
        <v>11</v>
      </c>
      <c r="F4603" t="s">
        <v>12</v>
      </c>
      <c r="G4603" t="s">
        <v>13</v>
      </c>
      <c r="H4603" t="s">
        <v>13</v>
      </c>
      <c r="I4603">
        <v>82</v>
      </c>
      <c r="J4603">
        <f>ABS((I4603-EDA!$A$15)/EDA!$B$15)</f>
        <v>2.8244535159442172</v>
      </c>
      <c r="K4603" t="str">
        <f t="shared" si="71"/>
        <v>Sí</v>
      </c>
      <c r="L4603">
        <f>ABS((C4603-EDA!$F$15)/EDA!$G$15)</f>
        <v>0.36340210271360973</v>
      </c>
      <c r="M4603" t="str">
        <f>IF(moras[[#This Row],[Z-Score Salario]]&gt;1.96, "Sí", "No")</f>
        <v>No</v>
      </c>
      <c r="N4603" s="14">
        <f>IF(ISBLANK(moras[[#This Row],[SALARIO]]), EDA!$M$8, moras[[#This Row],[SALARIO]])</f>
        <v>736259</v>
      </c>
      <c r="O4603" s="14">
        <f xml:space="preserve"> IF(ISBLANK(moras[[#This Row],[EDAD]]), EDA!$E$8, moras[[#This Row],[EDAD]])</f>
        <v>82</v>
      </c>
      <c r="P4603" s="14" t="str">
        <f>IF(
    OR(ISBLANK(moras[[#This Row],[TIPO_ASEGURAMIENTO]]), moras[[#This Row],[TIPO_ASEGURAMIENTO]]=""),
    EDA!$A$32,
    moras[[#This Row],[TIPO_ASEGURAMIENTO]]
)</f>
        <v>PENSIONADOS EN SU PROPIO SISTEMA</v>
      </c>
    </row>
    <row r="4604" spans="1:16" x14ac:dyDescent="0.3">
      <c r="A4604">
        <v>4603</v>
      </c>
      <c r="B4604" t="s">
        <v>9</v>
      </c>
      <c r="C4604">
        <v>366300</v>
      </c>
      <c r="D4604" t="s">
        <v>10</v>
      </c>
      <c r="E4604" t="s">
        <v>16</v>
      </c>
      <c r="F4604" t="s">
        <v>12</v>
      </c>
      <c r="G4604" t="s">
        <v>12</v>
      </c>
      <c r="H4604" t="s">
        <v>13</v>
      </c>
      <c r="I4604">
        <v>27</v>
      </c>
      <c r="J4604">
        <f>ABS((I4604-EDA!$A$15)/EDA!$B$15)</f>
        <v>1.0571896382983452</v>
      </c>
      <c r="K4604" t="str">
        <f t="shared" si="71"/>
        <v>No</v>
      </c>
      <c r="L4604">
        <f>ABS((C4604-EDA!$F$15)/EDA!$G$15)</f>
        <v>0.3695584816321803</v>
      </c>
      <c r="M4604" t="str">
        <f>IF(moras[[#This Row],[Z-Score Salario]]&gt;1.96, "Sí", "No")</f>
        <v>No</v>
      </c>
      <c r="N4604" s="14">
        <f>IF(ISBLANK(moras[[#This Row],[SALARIO]]), EDA!$M$8, moras[[#This Row],[SALARIO]])</f>
        <v>366300</v>
      </c>
      <c r="O4604" s="14">
        <f xml:space="preserve"> IF(ISBLANK(moras[[#This Row],[EDAD]]), EDA!$E$8, moras[[#This Row],[EDAD]])</f>
        <v>27</v>
      </c>
      <c r="P4604" s="14" t="str">
        <f>IF(
    OR(ISBLANK(moras[[#This Row],[TIPO_ASEGURAMIENTO]]), moras[[#This Row],[TIPO_ASEGURAMIENTO]]=""),
    EDA!$A$32,
    moras[[#This Row],[TIPO_ASEGURAMIENTO]]
)</f>
        <v>ASALARIADO</v>
      </c>
    </row>
    <row r="4605" spans="1:16" x14ac:dyDescent="0.3">
      <c r="A4605">
        <v>4604</v>
      </c>
      <c r="B4605" t="s">
        <v>15</v>
      </c>
      <c r="C4605">
        <v>98947656</v>
      </c>
      <c r="D4605" t="s">
        <v>10</v>
      </c>
      <c r="E4605" t="s">
        <v>11</v>
      </c>
      <c r="F4605" t="s">
        <v>12</v>
      </c>
      <c r="G4605" t="s">
        <v>13</v>
      </c>
      <c r="H4605" t="s">
        <v>13</v>
      </c>
      <c r="I4605">
        <v>31</v>
      </c>
      <c r="J4605">
        <f>ABS((I4605-EDA!$A$15)/EDA!$B$15)</f>
        <v>0.77488831798979529</v>
      </c>
      <c r="K4605" t="str">
        <f t="shared" si="71"/>
        <v>No</v>
      </c>
      <c r="L4605">
        <f>ABS((C4605-EDA!$F$15)/EDA!$G$15)</f>
        <v>1.2709048719894342</v>
      </c>
      <c r="M4605" t="str">
        <f>IF(moras[[#This Row],[Z-Score Salario]]&gt;1.96, "Sí", "No")</f>
        <v>No</v>
      </c>
      <c r="N4605" s="14">
        <f>IF(ISBLANK(moras[[#This Row],[SALARIO]]), EDA!$M$8, moras[[#This Row],[SALARIO]])</f>
        <v>98947656</v>
      </c>
      <c r="O4605" s="14">
        <f xml:space="preserve"> IF(ISBLANK(moras[[#This Row],[EDAD]]), EDA!$E$8, moras[[#This Row],[EDAD]])</f>
        <v>31</v>
      </c>
      <c r="P4605" s="14" t="str">
        <f>IF(
    OR(ISBLANK(moras[[#This Row],[TIPO_ASEGURAMIENTO]]), moras[[#This Row],[TIPO_ASEGURAMIENTO]]=""),
    EDA!$A$32,
    moras[[#This Row],[TIPO_ASEGURAMIENTO]]
)</f>
        <v>ASALARIADO</v>
      </c>
    </row>
    <row r="4606" spans="1:16" x14ac:dyDescent="0.3">
      <c r="A4606">
        <v>4605</v>
      </c>
      <c r="B4606" t="s">
        <v>9</v>
      </c>
      <c r="C4606">
        <v>66485256</v>
      </c>
      <c r="D4606" t="s">
        <v>10</v>
      </c>
      <c r="E4606" t="s">
        <v>11</v>
      </c>
      <c r="F4606" t="s">
        <v>12</v>
      </c>
      <c r="G4606" t="s">
        <v>13</v>
      </c>
      <c r="H4606" t="s">
        <v>13</v>
      </c>
      <c r="I4606">
        <v>57</v>
      </c>
      <c r="J4606">
        <f>ABS((I4606-EDA!$A$15)/EDA!$B$15)</f>
        <v>1.0600702640157798</v>
      </c>
      <c r="K4606" t="str">
        <f t="shared" si="71"/>
        <v>No</v>
      </c>
      <c r="L4606">
        <f>ABS((C4606-EDA!$F$15)/EDA!$G$15)</f>
        <v>0.73070762038532477</v>
      </c>
      <c r="M4606" t="str">
        <f>IF(moras[[#This Row],[Z-Score Salario]]&gt;1.96, "Sí", "No")</f>
        <v>No</v>
      </c>
      <c r="N4606" s="14">
        <f>IF(ISBLANK(moras[[#This Row],[SALARIO]]), EDA!$M$8, moras[[#This Row],[SALARIO]])</f>
        <v>66485256</v>
      </c>
      <c r="O4606" s="14">
        <f xml:space="preserve"> IF(ISBLANK(moras[[#This Row],[EDAD]]), EDA!$E$8, moras[[#This Row],[EDAD]])</f>
        <v>57</v>
      </c>
      <c r="P4606" s="14" t="str">
        <f>IF(
    OR(ISBLANK(moras[[#This Row],[TIPO_ASEGURAMIENTO]]), moras[[#This Row],[TIPO_ASEGURAMIENTO]]=""),
    EDA!$A$32,
    moras[[#This Row],[TIPO_ASEGURAMIENTO]]
)</f>
        <v>ASALARIADO</v>
      </c>
    </row>
    <row r="4607" spans="1:16" x14ac:dyDescent="0.3">
      <c r="A4607">
        <v>4606</v>
      </c>
      <c r="B4607" t="s">
        <v>15</v>
      </c>
      <c r="C4607">
        <v>35557378</v>
      </c>
      <c r="D4607" t="s">
        <v>10</v>
      </c>
      <c r="E4607" t="s">
        <v>16</v>
      </c>
      <c r="F4607" t="s">
        <v>12</v>
      </c>
      <c r="G4607" t="s">
        <v>13</v>
      </c>
      <c r="H4607" t="s">
        <v>13</v>
      </c>
      <c r="I4607">
        <v>33</v>
      </c>
      <c r="J4607">
        <f>ABS((I4607-EDA!$A$15)/EDA!$B$15)</f>
        <v>0.63373765783552027</v>
      </c>
      <c r="K4607" t="str">
        <f t="shared" si="71"/>
        <v>No</v>
      </c>
      <c r="L4607">
        <f>ABS((C4607-EDA!$F$15)/EDA!$G$15)</f>
        <v>0.21604589809901173</v>
      </c>
      <c r="M4607" t="str">
        <f>IF(moras[[#This Row],[Z-Score Salario]]&gt;1.96, "Sí", "No")</f>
        <v>No</v>
      </c>
      <c r="N4607" s="14">
        <f>IF(ISBLANK(moras[[#This Row],[SALARIO]]), EDA!$M$8, moras[[#This Row],[SALARIO]])</f>
        <v>35557378</v>
      </c>
      <c r="O4607" s="14">
        <f xml:space="preserve"> IF(ISBLANK(moras[[#This Row],[EDAD]]), EDA!$E$8, moras[[#This Row],[EDAD]])</f>
        <v>33</v>
      </c>
      <c r="P4607" s="14" t="str">
        <f>IF(
    OR(ISBLANK(moras[[#This Row],[TIPO_ASEGURAMIENTO]]), moras[[#This Row],[TIPO_ASEGURAMIENTO]]=""),
    EDA!$A$32,
    moras[[#This Row],[TIPO_ASEGURAMIENTO]]
)</f>
        <v>ASALARIADO</v>
      </c>
    </row>
    <row r="4608" spans="1:16" x14ac:dyDescent="0.3">
      <c r="A4608">
        <v>4607</v>
      </c>
      <c r="B4608" t="s">
        <v>15</v>
      </c>
      <c r="C4608">
        <v>35347867</v>
      </c>
      <c r="D4608" t="s">
        <v>10</v>
      </c>
      <c r="E4608" t="s">
        <v>16</v>
      </c>
      <c r="F4608" t="s">
        <v>12</v>
      </c>
      <c r="G4608" t="s">
        <v>13</v>
      </c>
      <c r="H4608" t="s">
        <v>13</v>
      </c>
      <c r="I4608">
        <v>26</v>
      </c>
      <c r="J4608">
        <f>ABS((I4608-EDA!$A$15)/EDA!$B$15)</f>
        <v>1.1277649683754829</v>
      </c>
      <c r="K4608" t="str">
        <f t="shared" si="71"/>
        <v>No</v>
      </c>
      <c r="L4608">
        <f>ABS((C4608-EDA!$F$15)/EDA!$G$15)</f>
        <v>0.21255948716264139</v>
      </c>
      <c r="M4608" t="str">
        <f>IF(moras[[#This Row],[Z-Score Salario]]&gt;1.96, "Sí", "No")</f>
        <v>No</v>
      </c>
      <c r="N4608" s="14">
        <f>IF(ISBLANK(moras[[#This Row],[SALARIO]]), EDA!$M$8, moras[[#This Row],[SALARIO]])</f>
        <v>35347867</v>
      </c>
      <c r="O4608" s="14">
        <f xml:space="preserve"> IF(ISBLANK(moras[[#This Row],[EDAD]]), EDA!$E$8, moras[[#This Row],[EDAD]])</f>
        <v>26</v>
      </c>
      <c r="P4608" s="14" t="str">
        <f>IF(
    OR(ISBLANK(moras[[#This Row],[TIPO_ASEGURAMIENTO]]), moras[[#This Row],[TIPO_ASEGURAMIENTO]]=""),
    EDA!$A$32,
    moras[[#This Row],[TIPO_ASEGURAMIENTO]]
)</f>
        <v>ASALARIADO</v>
      </c>
    </row>
    <row r="4609" spans="1:16" x14ac:dyDescent="0.3">
      <c r="A4609">
        <v>4608</v>
      </c>
      <c r="B4609" t="s">
        <v>9</v>
      </c>
      <c r="C4609">
        <v>308439</v>
      </c>
      <c r="D4609" t="s">
        <v>17</v>
      </c>
      <c r="E4609" t="s">
        <v>16</v>
      </c>
      <c r="F4609" t="s">
        <v>12</v>
      </c>
      <c r="G4609" t="s">
        <v>12</v>
      </c>
      <c r="H4609" t="s">
        <v>13</v>
      </c>
      <c r="I4609">
        <v>88</v>
      </c>
      <c r="J4609">
        <f>ABS((I4609-EDA!$A$15)/EDA!$B$15)</f>
        <v>3.2479054964070424</v>
      </c>
      <c r="K4609" t="str">
        <f t="shared" si="71"/>
        <v>Sí</v>
      </c>
      <c r="L4609">
        <f>ABS((C4609-EDA!$F$15)/EDA!$G$15)</f>
        <v>0.37052132951696592</v>
      </c>
      <c r="M4609" t="str">
        <f>IF(moras[[#This Row],[Z-Score Salario]]&gt;1.96, "Sí", "No")</f>
        <v>No</v>
      </c>
      <c r="N4609" s="14">
        <f>IF(ISBLANK(moras[[#This Row],[SALARIO]]), EDA!$M$8, moras[[#This Row],[SALARIO]])</f>
        <v>308439</v>
      </c>
      <c r="O4609" s="14">
        <f xml:space="preserve"> IF(ISBLANK(moras[[#This Row],[EDAD]]), EDA!$E$8, moras[[#This Row],[EDAD]])</f>
        <v>88</v>
      </c>
      <c r="P4609" s="14" t="str">
        <f>IF(
    OR(ISBLANK(moras[[#This Row],[TIPO_ASEGURAMIENTO]]), moras[[#This Row],[TIPO_ASEGURAMIENTO]]=""),
    EDA!$A$32,
    moras[[#This Row],[TIPO_ASEGURAMIENTO]]
)</f>
        <v>ASEGURADO VOLUNTARIO</v>
      </c>
    </row>
    <row r="4610" spans="1:16" x14ac:dyDescent="0.3">
      <c r="A4610">
        <v>4609</v>
      </c>
      <c r="B4610" t="s">
        <v>9</v>
      </c>
      <c r="C4610">
        <v>278030</v>
      </c>
      <c r="D4610" t="s">
        <v>19</v>
      </c>
      <c r="E4610" t="s">
        <v>16</v>
      </c>
      <c r="F4610" t="s">
        <v>12</v>
      </c>
      <c r="G4610" t="s">
        <v>13</v>
      </c>
      <c r="H4610" t="s">
        <v>13</v>
      </c>
      <c r="I4610">
        <v>52</v>
      </c>
      <c r="J4610">
        <f>ABS((I4610-EDA!$A$15)/EDA!$B$15)</f>
        <v>0.70719361363009237</v>
      </c>
      <c r="K4610" t="str">
        <f t="shared" ref="K4610:K4673" si="72">IF(J4610 &gt;  1.96, "Sí","No")</f>
        <v>No</v>
      </c>
      <c r="L4610">
        <f>ABS((C4610-EDA!$F$15)/EDA!$G$15)</f>
        <v>0.37102735674304993</v>
      </c>
      <c r="M4610" t="str">
        <f>IF(moras[[#This Row],[Z-Score Salario]]&gt;1.96, "Sí", "No")</f>
        <v>No</v>
      </c>
      <c r="N4610" s="14">
        <f>IF(ISBLANK(moras[[#This Row],[SALARIO]]), EDA!$M$8, moras[[#This Row],[SALARIO]])</f>
        <v>278030</v>
      </c>
      <c r="O4610" s="14">
        <f xml:space="preserve"> IF(ISBLANK(moras[[#This Row],[EDAD]]), EDA!$E$8, moras[[#This Row],[EDAD]])</f>
        <v>52</v>
      </c>
      <c r="P4610" s="14" t="str">
        <f>IF(
    OR(ISBLANK(moras[[#This Row],[TIPO_ASEGURAMIENTO]]), moras[[#This Row],[TIPO_ASEGURAMIENTO]]=""),
    EDA!$A$32,
    moras[[#This Row],[TIPO_ASEGURAMIENTO]]
)</f>
        <v>CONVENIOS ESPECIALES DE TRABAJADORES INDEPENDIENTES</v>
      </c>
    </row>
    <row r="4611" spans="1:16" x14ac:dyDescent="0.3">
      <c r="A4611">
        <v>4610</v>
      </c>
      <c r="B4611" t="s">
        <v>15</v>
      </c>
      <c r="C4611">
        <v>445567</v>
      </c>
      <c r="D4611" t="s">
        <v>17</v>
      </c>
      <c r="E4611" t="s">
        <v>16</v>
      </c>
      <c r="F4611" t="s">
        <v>13</v>
      </c>
      <c r="G4611" t="s">
        <v>13</v>
      </c>
      <c r="H4611" t="s">
        <v>13</v>
      </c>
      <c r="I4611">
        <v>78</v>
      </c>
      <c r="J4611">
        <f>ABS((I4611-EDA!$A$15)/EDA!$B$15)</f>
        <v>2.5421521956356674</v>
      </c>
      <c r="K4611" t="str">
        <f t="shared" si="72"/>
        <v>Sí</v>
      </c>
      <c r="L4611">
        <f>ABS((C4611-EDA!$F$15)/EDA!$G$15)</f>
        <v>0.36823942279663813</v>
      </c>
      <c r="M4611" t="str">
        <f>IF(moras[[#This Row],[Z-Score Salario]]&gt;1.96, "Sí", "No")</f>
        <v>No</v>
      </c>
      <c r="N4611" s="14">
        <f>IF(ISBLANK(moras[[#This Row],[SALARIO]]), EDA!$M$8, moras[[#This Row],[SALARIO]])</f>
        <v>445567</v>
      </c>
      <c r="O4611" s="14">
        <f xml:space="preserve"> IF(ISBLANK(moras[[#This Row],[EDAD]]), EDA!$E$8, moras[[#This Row],[EDAD]])</f>
        <v>78</v>
      </c>
      <c r="P4611" s="14" t="str">
        <f>IF(
    OR(ISBLANK(moras[[#This Row],[TIPO_ASEGURAMIENTO]]), moras[[#This Row],[TIPO_ASEGURAMIENTO]]=""),
    EDA!$A$32,
    moras[[#This Row],[TIPO_ASEGURAMIENTO]]
)</f>
        <v>ASEGURADO VOLUNTARIO</v>
      </c>
    </row>
    <row r="4612" spans="1:16" x14ac:dyDescent="0.3">
      <c r="A4612">
        <v>4611</v>
      </c>
      <c r="B4612" t="s">
        <v>9</v>
      </c>
      <c r="C4612">
        <v>39066205</v>
      </c>
      <c r="D4612" t="s">
        <v>10</v>
      </c>
      <c r="E4612" t="s">
        <v>16</v>
      </c>
      <c r="F4612" t="s">
        <v>12</v>
      </c>
      <c r="G4612" t="s">
        <v>13</v>
      </c>
      <c r="H4612" t="s">
        <v>12</v>
      </c>
      <c r="I4612">
        <v>35</v>
      </c>
      <c r="J4612">
        <f>ABS((I4612-EDA!$A$15)/EDA!$B$15)</f>
        <v>0.49258699768124525</v>
      </c>
      <c r="K4612" t="str">
        <f t="shared" si="72"/>
        <v>No</v>
      </c>
      <c r="L4612">
        <f>ABS((C4612-EDA!$F$15)/EDA!$G$15)</f>
        <v>0.27443525630278881</v>
      </c>
      <c r="M4612" t="str">
        <f>IF(moras[[#This Row],[Z-Score Salario]]&gt;1.96, "Sí", "No")</f>
        <v>No</v>
      </c>
      <c r="N4612" s="14">
        <f>IF(ISBLANK(moras[[#This Row],[SALARIO]]), EDA!$M$8, moras[[#This Row],[SALARIO]])</f>
        <v>39066205</v>
      </c>
      <c r="O4612" s="14">
        <f xml:space="preserve"> IF(ISBLANK(moras[[#This Row],[EDAD]]), EDA!$E$8, moras[[#This Row],[EDAD]])</f>
        <v>35</v>
      </c>
      <c r="P4612" s="14" t="str">
        <f>IF(
    OR(ISBLANK(moras[[#This Row],[TIPO_ASEGURAMIENTO]]), moras[[#This Row],[TIPO_ASEGURAMIENTO]]=""),
    EDA!$A$32,
    moras[[#This Row],[TIPO_ASEGURAMIENTO]]
)</f>
        <v>ASALARIADO</v>
      </c>
    </row>
    <row r="4613" spans="1:16" x14ac:dyDescent="0.3">
      <c r="A4613">
        <v>4612</v>
      </c>
      <c r="B4613" t="s">
        <v>9</v>
      </c>
      <c r="C4613">
        <v>212000</v>
      </c>
      <c r="D4613" t="s">
        <v>10</v>
      </c>
      <c r="E4613" t="s">
        <v>16</v>
      </c>
      <c r="F4613" t="s">
        <v>12</v>
      </c>
      <c r="G4613" t="s">
        <v>13</v>
      </c>
      <c r="H4613" t="s">
        <v>13</v>
      </c>
      <c r="I4613">
        <v>24</v>
      </c>
      <c r="J4613">
        <f>ABS((I4613-EDA!$A$15)/EDA!$B$15)</f>
        <v>1.2689156285297578</v>
      </c>
      <c r="K4613" t="str">
        <f t="shared" si="72"/>
        <v>No</v>
      </c>
      <c r="L4613">
        <f>ABS((C4613-EDA!$F$15)/EDA!$G$15)</f>
        <v>0.37212614255443233</v>
      </c>
      <c r="M4613" t="str">
        <f>IF(moras[[#This Row],[Z-Score Salario]]&gt;1.96, "Sí", "No")</f>
        <v>No</v>
      </c>
      <c r="N4613" s="14">
        <f>IF(ISBLANK(moras[[#This Row],[SALARIO]]), EDA!$M$8, moras[[#This Row],[SALARIO]])</f>
        <v>212000</v>
      </c>
      <c r="O4613" s="14">
        <f xml:space="preserve"> IF(ISBLANK(moras[[#This Row],[EDAD]]), EDA!$E$8, moras[[#This Row],[EDAD]])</f>
        <v>24</v>
      </c>
      <c r="P4613" s="14" t="str">
        <f>IF(
    OR(ISBLANK(moras[[#This Row],[TIPO_ASEGURAMIENTO]]), moras[[#This Row],[TIPO_ASEGURAMIENTO]]=""),
    EDA!$A$32,
    moras[[#This Row],[TIPO_ASEGURAMIENTO]]
)</f>
        <v>ASALARIADO</v>
      </c>
    </row>
    <row r="4614" spans="1:16" x14ac:dyDescent="0.3">
      <c r="A4614">
        <v>4613</v>
      </c>
      <c r="B4614" t="s">
        <v>15</v>
      </c>
      <c r="C4614">
        <v>308568</v>
      </c>
      <c r="D4614" t="s">
        <v>18</v>
      </c>
      <c r="E4614" t="s">
        <v>16</v>
      </c>
      <c r="F4614" t="s">
        <v>12</v>
      </c>
      <c r="G4614" t="s">
        <v>13</v>
      </c>
      <c r="H4614" t="s">
        <v>12</v>
      </c>
      <c r="I4614">
        <v>50</v>
      </c>
      <c r="J4614">
        <f>ABS((I4614-EDA!$A$15)/EDA!$B$15)</f>
        <v>0.56604295347581735</v>
      </c>
      <c r="K4614" t="str">
        <f t="shared" si="72"/>
        <v>No</v>
      </c>
      <c r="L4614">
        <f>ABS((C4614-EDA!$F$15)/EDA!$G$15)</f>
        <v>0.37051918286590324</v>
      </c>
      <c r="M4614" t="str">
        <f>IF(moras[[#This Row],[Z-Score Salario]]&gt;1.96, "Sí", "No")</f>
        <v>No</v>
      </c>
      <c r="N4614" s="14">
        <f>IF(ISBLANK(moras[[#This Row],[SALARIO]]), EDA!$M$8, moras[[#This Row],[SALARIO]])</f>
        <v>308568</v>
      </c>
      <c r="O4614" s="14">
        <f xml:space="preserve"> IF(ISBLANK(moras[[#This Row],[EDAD]]), EDA!$E$8, moras[[#This Row],[EDAD]])</f>
        <v>50</v>
      </c>
      <c r="P4614" s="14" t="str">
        <f>IF(
    OR(ISBLANK(moras[[#This Row],[TIPO_ASEGURAMIENTO]]), moras[[#This Row],[TIPO_ASEGURAMIENTO]]=""),
    EDA!$A$32,
    moras[[#This Row],[TIPO_ASEGURAMIENTO]]
)</f>
        <v>TRABAJADOR INDEPENDIENTE</v>
      </c>
    </row>
    <row r="4615" spans="1:16" x14ac:dyDescent="0.3">
      <c r="A4615">
        <v>4614</v>
      </c>
      <c r="B4615" t="s">
        <v>9</v>
      </c>
      <c r="C4615">
        <v>560465</v>
      </c>
      <c r="D4615" t="s">
        <v>18</v>
      </c>
      <c r="E4615" t="s">
        <v>16</v>
      </c>
      <c r="F4615" t="s">
        <v>12</v>
      </c>
      <c r="G4615" t="s">
        <v>13</v>
      </c>
      <c r="H4615" t="s">
        <v>12</v>
      </c>
      <c r="I4615">
        <v>34</v>
      </c>
      <c r="J4615">
        <f>ABS((I4615-EDA!$A$15)/EDA!$B$15)</f>
        <v>0.56316232775838282</v>
      </c>
      <c r="K4615" t="str">
        <f t="shared" si="72"/>
        <v>No</v>
      </c>
      <c r="L4615">
        <f>ABS((C4615-EDA!$F$15)/EDA!$G$15)</f>
        <v>0.36632743896873854</v>
      </c>
      <c r="M4615" t="str">
        <f>IF(moras[[#This Row],[Z-Score Salario]]&gt;1.96, "Sí", "No")</f>
        <v>No</v>
      </c>
      <c r="N4615" s="14">
        <f>IF(ISBLANK(moras[[#This Row],[SALARIO]]), EDA!$M$8, moras[[#This Row],[SALARIO]])</f>
        <v>560465</v>
      </c>
      <c r="O4615" s="14">
        <f xml:space="preserve"> IF(ISBLANK(moras[[#This Row],[EDAD]]), EDA!$E$8, moras[[#This Row],[EDAD]])</f>
        <v>34</v>
      </c>
      <c r="P4615" s="14" t="str">
        <f>IF(
    OR(ISBLANK(moras[[#This Row],[TIPO_ASEGURAMIENTO]]), moras[[#This Row],[TIPO_ASEGURAMIENTO]]=""),
    EDA!$A$32,
    moras[[#This Row],[TIPO_ASEGURAMIENTO]]
)</f>
        <v>TRABAJADOR INDEPENDIENTE</v>
      </c>
    </row>
    <row r="4616" spans="1:16" x14ac:dyDescent="0.3">
      <c r="A4616">
        <v>4615</v>
      </c>
      <c r="B4616" t="s">
        <v>15</v>
      </c>
      <c r="C4616">
        <v>323296</v>
      </c>
      <c r="D4616" t="s">
        <v>18</v>
      </c>
      <c r="E4616" t="s">
        <v>16</v>
      </c>
      <c r="F4616" t="s">
        <v>12</v>
      </c>
      <c r="G4616" t="s">
        <v>13</v>
      </c>
      <c r="H4616" t="s">
        <v>12</v>
      </c>
      <c r="I4616">
        <v>48</v>
      </c>
      <c r="J4616">
        <f>ABS((I4616-EDA!$A$15)/EDA!$B$15)</f>
        <v>0.42489229332154227</v>
      </c>
      <c r="K4616" t="str">
        <f t="shared" si="72"/>
        <v>No</v>
      </c>
      <c r="L4616">
        <f>ABS((C4616-EDA!$F$15)/EDA!$G$15)</f>
        <v>0.37027409854922838</v>
      </c>
      <c r="M4616" t="str">
        <f>IF(moras[[#This Row],[Z-Score Salario]]&gt;1.96, "Sí", "No")</f>
        <v>No</v>
      </c>
      <c r="N4616" s="14">
        <f>IF(ISBLANK(moras[[#This Row],[SALARIO]]), EDA!$M$8, moras[[#This Row],[SALARIO]])</f>
        <v>323296</v>
      </c>
      <c r="O4616" s="14">
        <f xml:space="preserve"> IF(ISBLANK(moras[[#This Row],[EDAD]]), EDA!$E$8, moras[[#This Row],[EDAD]])</f>
        <v>48</v>
      </c>
      <c r="P4616" s="14" t="str">
        <f>IF(
    OR(ISBLANK(moras[[#This Row],[TIPO_ASEGURAMIENTO]]), moras[[#This Row],[TIPO_ASEGURAMIENTO]]=""),
    EDA!$A$32,
    moras[[#This Row],[TIPO_ASEGURAMIENTO]]
)</f>
        <v>TRABAJADOR INDEPENDIENTE</v>
      </c>
    </row>
    <row r="4617" spans="1:16" x14ac:dyDescent="0.3">
      <c r="A4617">
        <v>4616</v>
      </c>
      <c r="B4617" t="s">
        <v>9</v>
      </c>
      <c r="C4617">
        <v>392034</v>
      </c>
      <c r="D4617" t="s">
        <v>10</v>
      </c>
      <c r="E4617" t="s">
        <v>16</v>
      </c>
      <c r="F4617" t="s">
        <v>12</v>
      </c>
      <c r="G4617" t="s">
        <v>13</v>
      </c>
      <c r="H4617" t="s">
        <v>13</v>
      </c>
      <c r="I4617">
        <v>42</v>
      </c>
      <c r="J4617">
        <f>ABS((I4617-EDA!$A$15)/EDA!$B$15)</f>
        <v>1.4403128587172659E-3</v>
      </c>
      <c r="K4617" t="str">
        <f t="shared" si="72"/>
        <v>No</v>
      </c>
      <c r="L4617">
        <f>ABS((C4617-EDA!$F$15)/EDA!$G$15)</f>
        <v>0.36913024970623581</v>
      </c>
      <c r="M4617" t="str">
        <f>IF(moras[[#This Row],[Z-Score Salario]]&gt;1.96, "Sí", "No")</f>
        <v>No</v>
      </c>
      <c r="N4617" s="14">
        <f>IF(ISBLANK(moras[[#This Row],[SALARIO]]), EDA!$M$8, moras[[#This Row],[SALARIO]])</f>
        <v>392034</v>
      </c>
      <c r="O4617" s="14">
        <f xml:space="preserve"> IF(ISBLANK(moras[[#This Row],[EDAD]]), EDA!$E$8, moras[[#This Row],[EDAD]])</f>
        <v>42</v>
      </c>
      <c r="P4617" s="14" t="str">
        <f>IF(
    OR(ISBLANK(moras[[#This Row],[TIPO_ASEGURAMIENTO]]), moras[[#This Row],[TIPO_ASEGURAMIENTO]]=""),
    EDA!$A$32,
    moras[[#This Row],[TIPO_ASEGURAMIENTO]]
)</f>
        <v>ASALARIADO</v>
      </c>
    </row>
    <row r="4618" spans="1:16" x14ac:dyDescent="0.3">
      <c r="A4618">
        <v>4617</v>
      </c>
      <c r="B4618" t="s">
        <v>15</v>
      </c>
      <c r="C4618">
        <v>1700000</v>
      </c>
      <c r="D4618" t="s">
        <v>10</v>
      </c>
      <c r="E4618" t="s">
        <v>16</v>
      </c>
      <c r="F4618" t="s">
        <v>12</v>
      </c>
      <c r="G4618" t="s">
        <v>13</v>
      </c>
      <c r="H4618" t="s">
        <v>13</v>
      </c>
      <c r="I4618">
        <v>22</v>
      </c>
      <c r="J4618">
        <f>ABS((I4618-EDA!$A$15)/EDA!$B$15)</f>
        <v>1.4100662886840327</v>
      </c>
      <c r="K4618" t="str">
        <f t="shared" si="72"/>
        <v>No</v>
      </c>
      <c r="L4618">
        <f>ABS((C4618-EDA!$F$15)/EDA!$G$15)</f>
        <v>0.34736477215708289</v>
      </c>
      <c r="M4618" t="str">
        <f>IF(moras[[#This Row],[Z-Score Salario]]&gt;1.96, "Sí", "No")</f>
        <v>No</v>
      </c>
      <c r="N4618" s="14">
        <f>IF(ISBLANK(moras[[#This Row],[SALARIO]]), EDA!$M$8, moras[[#This Row],[SALARIO]])</f>
        <v>1700000</v>
      </c>
      <c r="O4618" s="14">
        <f xml:space="preserve"> IF(ISBLANK(moras[[#This Row],[EDAD]]), EDA!$E$8, moras[[#This Row],[EDAD]])</f>
        <v>22</v>
      </c>
      <c r="P4618" s="14" t="str">
        <f>IF(
    OR(ISBLANK(moras[[#This Row],[TIPO_ASEGURAMIENTO]]), moras[[#This Row],[TIPO_ASEGURAMIENTO]]=""),
    EDA!$A$32,
    moras[[#This Row],[TIPO_ASEGURAMIENTO]]
)</f>
        <v>ASALARIADO</v>
      </c>
    </row>
    <row r="4619" spans="1:16" x14ac:dyDescent="0.3">
      <c r="A4619">
        <v>4618</v>
      </c>
      <c r="B4619" t="s">
        <v>15</v>
      </c>
      <c r="C4619">
        <v>674375</v>
      </c>
      <c r="D4619" t="s">
        <v>10</v>
      </c>
      <c r="E4619" t="s">
        <v>16</v>
      </c>
      <c r="F4619" t="s">
        <v>12</v>
      </c>
      <c r="G4619" t="s">
        <v>13</v>
      </c>
      <c r="H4619" t="s">
        <v>13</v>
      </c>
      <c r="I4619">
        <v>37</v>
      </c>
      <c r="J4619">
        <f>ABS((I4619-EDA!$A$15)/EDA!$B$15)</f>
        <v>0.35143633752697023</v>
      </c>
      <c r="K4619" t="str">
        <f t="shared" si="72"/>
        <v>No</v>
      </c>
      <c r="L4619">
        <f>ABS((C4619-EDA!$F$15)/EDA!$G$15)</f>
        <v>0.36443189615828014</v>
      </c>
      <c r="M4619" t="str">
        <f>IF(moras[[#This Row],[Z-Score Salario]]&gt;1.96, "Sí", "No")</f>
        <v>No</v>
      </c>
      <c r="N4619" s="14">
        <f>IF(ISBLANK(moras[[#This Row],[SALARIO]]), EDA!$M$8, moras[[#This Row],[SALARIO]])</f>
        <v>674375</v>
      </c>
      <c r="O4619" s="14">
        <f xml:space="preserve"> IF(ISBLANK(moras[[#This Row],[EDAD]]), EDA!$E$8, moras[[#This Row],[EDAD]])</f>
        <v>37</v>
      </c>
      <c r="P4619" s="14" t="str">
        <f>IF(
    OR(ISBLANK(moras[[#This Row],[TIPO_ASEGURAMIENTO]]), moras[[#This Row],[TIPO_ASEGURAMIENTO]]=""),
    EDA!$A$32,
    moras[[#This Row],[TIPO_ASEGURAMIENTO]]
)</f>
        <v>ASALARIADO</v>
      </c>
    </row>
    <row r="4620" spans="1:16" x14ac:dyDescent="0.3">
      <c r="A4620">
        <v>4619</v>
      </c>
      <c r="B4620" t="s">
        <v>9</v>
      </c>
      <c r="C4620">
        <v>4022577</v>
      </c>
      <c r="D4620" t="s">
        <v>10</v>
      </c>
      <c r="E4620" t="s">
        <v>16</v>
      </c>
      <c r="F4620" t="s">
        <v>12</v>
      </c>
      <c r="G4620" t="s">
        <v>13</v>
      </c>
      <c r="H4620" t="s">
        <v>13</v>
      </c>
      <c r="I4620">
        <v>50</v>
      </c>
      <c r="J4620">
        <f>ABS((I4620-EDA!$A$15)/EDA!$B$15)</f>
        <v>0.56604295347581735</v>
      </c>
      <c r="K4620" t="str">
        <f t="shared" si="72"/>
        <v>No</v>
      </c>
      <c r="L4620">
        <f>ABS((C4620-EDA!$F$15)/EDA!$G$15)</f>
        <v>0.30871545134164974</v>
      </c>
      <c r="M4620" t="str">
        <f>IF(moras[[#This Row],[Z-Score Salario]]&gt;1.96, "Sí", "No")</f>
        <v>No</v>
      </c>
      <c r="N4620" s="14">
        <f>IF(ISBLANK(moras[[#This Row],[SALARIO]]), EDA!$M$8, moras[[#This Row],[SALARIO]])</f>
        <v>4022577</v>
      </c>
      <c r="O4620" s="14">
        <f xml:space="preserve"> IF(ISBLANK(moras[[#This Row],[EDAD]]), EDA!$E$8, moras[[#This Row],[EDAD]])</f>
        <v>50</v>
      </c>
      <c r="P4620" s="14" t="str">
        <f>IF(
    OR(ISBLANK(moras[[#This Row],[TIPO_ASEGURAMIENTO]]), moras[[#This Row],[TIPO_ASEGURAMIENTO]]=""),
    EDA!$A$32,
    moras[[#This Row],[TIPO_ASEGURAMIENTO]]
)</f>
        <v>ASALARIADO</v>
      </c>
    </row>
    <row r="4621" spans="1:16" x14ac:dyDescent="0.3">
      <c r="A4621">
        <v>4620</v>
      </c>
      <c r="B4621" t="s">
        <v>9</v>
      </c>
      <c r="C4621">
        <v>445433</v>
      </c>
      <c r="D4621" t="s">
        <v>10</v>
      </c>
      <c r="E4621" t="s">
        <v>16</v>
      </c>
      <c r="F4621" t="s">
        <v>12</v>
      </c>
      <c r="G4621" t="s">
        <v>13</v>
      </c>
      <c r="H4621" t="s">
        <v>13</v>
      </c>
      <c r="I4621">
        <v>31</v>
      </c>
      <c r="J4621">
        <f>ABS((I4621-EDA!$A$15)/EDA!$B$15)</f>
        <v>0.77488831798979529</v>
      </c>
      <c r="K4621" t="str">
        <f t="shared" si="72"/>
        <v>No</v>
      </c>
      <c r="L4621">
        <f>ABS((C4621-EDA!$F$15)/EDA!$G$15)</f>
        <v>0.36824165265123038</v>
      </c>
      <c r="M4621" t="str">
        <f>IF(moras[[#This Row],[Z-Score Salario]]&gt;1.96, "Sí", "No")</f>
        <v>No</v>
      </c>
      <c r="N4621" s="14">
        <f>IF(ISBLANK(moras[[#This Row],[SALARIO]]), EDA!$M$8, moras[[#This Row],[SALARIO]])</f>
        <v>445433</v>
      </c>
      <c r="O4621" s="14">
        <f xml:space="preserve"> IF(ISBLANK(moras[[#This Row],[EDAD]]), EDA!$E$8, moras[[#This Row],[EDAD]])</f>
        <v>31</v>
      </c>
      <c r="P4621" s="14" t="str">
        <f>IF(
    OR(ISBLANK(moras[[#This Row],[TIPO_ASEGURAMIENTO]]), moras[[#This Row],[TIPO_ASEGURAMIENTO]]=""),
    EDA!$A$32,
    moras[[#This Row],[TIPO_ASEGURAMIENTO]]
)</f>
        <v>ASALARIADO</v>
      </c>
    </row>
    <row r="4622" spans="1:16" x14ac:dyDescent="0.3">
      <c r="A4622">
        <v>4621</v>
      </c>
      <c r="B4622" t="s">
        <v>15</v>
      </c>
      <c r="C4622">
        <v>605498</v>
      </c>
      <c r="D4622" t="s">
        <v>10</v>
      </c>
      <c r="E4622" t="s">
        <v>16</v>
      </c>
      <c r="F4622" t="s">
        <v>12</v>
      </c>
      <c r="G4622" t="s">
        <v>13</v>
      </c>
      <c r="H4622" t="s">
        <v>13</v>
      </c>
      <c r="I4622">
        <v>26</v>
      </c>
      <c r="J4622">
        <f>ABS((I4622-EDA!$A$15)/EDA!$B$15)</f>
        <v>1.1277649683754829</v>
      </c>
      <c r="K4622" t="str">
        <f t="shared" si="72"/>
        <v>No</v>
      </c>
      <c r="L4622">
        <f>ABS((C4622-EDA!$F$15)/EDA!$G$15)</f>
        <v>0.36557805805939453</v>
      </c>
      <c r="M4622" t="str">
        <f>IF(moras[[#This Row],[Z-Score Salario]]&gt;1.96, "Sí", "No")</f>
        <v>No</v>
      </c>
      <c r="N4622" s="14">
        <f>IF(ISBLANK(moras[[#This Row],[SALARIO]]), EDA!$M$8, moras[[#This Row],[SALARIO]])</f>
        <v>605498</v>
      </c>
      <c r="O4622" s="14">
        <f xml:space="preserve"> IF(ISBLANK(moras[[#This Row],[EDAD]]), EDA!$E$8, moras[[#This Row],[EDAD]])</f>
        <v>26</v>
      </c>
      <c r="P4622" s="14" t="str">
        <f>IF(
    OR(ISBLANK(moras[[#This Row],[TIPO_ASEGURAMIENTO]]), moras[[#This Row],[TIPO_ASEGURAMIENTO]]=""),
    EDA!$A$32,
    moras[[#This Row],[TIPO_ASEGURAMIENTO]]
)</f>
        <v>ASALARIADO</v>
      </c>
    </row>
    <row r="4623" spans="1:16" x14ac:dyDescent="0.3">
      <c r="A4623">
        <v>4622</v>
      </c>
      <c r="B4623" t="s">
        <v>15</v>
      </c>
      <c r="C4623">
        <v>897388</v>
      </c>
      <c r="D4623" t="s">
        <v>10</v>
      </c>
      <c r="E4623" t="s">
        <v>11</v>
      </c>
      <c r="F4623" t="s">
        <v>12</v>
      </c>
      <c r="G4623" t="s">
        <v>13</v>
      </c>
      <c r="H4623" t="s">
        <v>12</v>
      </c>
      <c r="I4623">
        <v>48</v>
      </c>
      <c r="J4623">
        <f>ABS((I4623-EDA!$A$15)/EDA!$B$15)</f>
        <v>0.42489229332154227</v>
      </c>
      <c r="K4623" t="str">
        <f t="shared" si="72"/>
        <v>No</v>
      </c>
      <c r="L4623">
        <f>ABS((C4623-EDA!$F$15)/EDA!$G$15)</f>
        <v>0.36072080241068333</v>
      </c>
      <c r="M4623" t="str">
        <f>IF(moras[[#This Row],[Z-Score Salario]]&gt;1.96, "Sí", "No")</f>
        <v>No</v>
      </c>
      <c r="N4623" s="14">
        <f>IF(ISBLANK(moras[[#This Row],[SALARIO]]), EDA!$M$8, moras[[#This Row],[SALARIO]])</f>
        <v>897388</v>
      </c>
      <c r="O4623" s="14">
        <f xml:space="preserve"> IF(ISBLANK(moras[[#This Row],[EDAD]]), EDA!$E$8, moras[[#This Row],[EDAD]])</f>
        <v>48</v>
      </c>
      <c r="P4623" s="14" t="str">
        <f>IF(
    OR(ISBLANK(moras[[#This Row],[TIPO_ASEGURAMIENTO]]), moras[[#This Row],[TIPO_ASEGURAMIENTO]]=""),
    EDA!$A$32,
    moras[[#This Row],[TIPO_ASEGURAMIENTO]]
)</f>
        <v>ASALARIADO</v>
      </c>
    </row>
    <row r="4624" spans="1:16" x14ac:dyDescent="0.3">
      <c r="A4624">
        <v>4623</v>
      </c>
      <c r="B4624" t="s">
        <v>15</v>
      </c>
      <c r="C4624">
        <v>1167986</v>
      </c>
      <c r="D4624" t="s">
        <v>10</v>
      </c>
      <c r="E4624" t="s">
        <v>11</v>
      </c>
      <c r="F4624" t="s">
        <v>12</v>
      </c>
      <c r="G4624" t="s">
        <v>13</v>
      </c>
      <c r="H4624" t="s">
        <v>12</v>
      </c>
      <c r="I4624">
        <v>61</v>
      </c>
      <c r="J4624">
        <f>ABS((I4624-EDA!$A$15)/EDA!$B$15)</f>
        <v>1.3423715843243298</v>
      </c>
      <c r="K4624" t="str">
        <f t="shared" si="72"/>
        <v>No</v>
      </c>
      <c r="L4624">
        <f>ABS((C4624-EDA!$F$15)/EDA!$G$15)</f>
        <v>0.35621786067225458</v>
      </c>
      <c r="M4624" t="str">
        <f>IF(moras[[#This Row],[Z-Score Salario]]&gt;1.96, "Sí", "No")</f>
        <v>No</v>
      </c>
      <c r="N4624" s="14">
        <f>IF(ISBLANK(moras[[#This Row],[SALARIO]]), EDA!$M$8, moras[[#This Row],[SALARIO]])</f>
        <v>1167986</v>
      </c>
      <c r="O4624" s="14">
        <f xml:space="preserve"> IF(ISBLANK(moras[[#This Row],[EDAD]]), EDA!$E$8, moras[[#This Row],[EDAD]])</f>
        <v>61</v>
      </c>
      <c r="P4624" s="14" t="str">
        <f>IF(
    OR(ISBLANK(moras[[#This Row],[TIPO_ASEGURAMIENTO]]), moras[[#This Row],[TIPO_ASEGURAMIENTO]]=""),
    EDA!$A$32,
    moras[[#This Row],[TIPO_ASEGURAMIENTO]]
)</f>
        <v>ASALARIADO</v>
      </c>
    </row>
    <row r="4625" spans="1:16" x14ac:dyDescent="0.3">
      <c r="A4625">
        <v>4624</v>
      </c>
      <c r="B4625" t="s">
        <v>9</v>
      </c>
      <c r="C4625">
        <v>509509</v>
      </c>
      <c r="D4625" t="s">
        <v>18</v>
      </c>
      <c r="E4625" t="s">
        <v>16</v>
      </c>
      <c r="F4625" t="s">
        <v>12</v>
      </c>
      <c r="G4625" t="s">
        <v>12</v>
      </c>
      <c r="H4625" t="s">
        <v>13</v>
      </c>
      <c r="I4625">
        <v>30</v>
      </c>
      <c r="J4625">
        <f>ABS((I4625-EDA!$A$15)/EDA!$B$15)</f>
        <v>0.84546364806693275</v>
      </c>
      <c r="K4625" t="str">
        <f t="shared" si="72"/>
        <v>No</v>
      </c>
      <c r="L4625">
        <f>ABS((C4625-EDA!$F$15)/EDA!$G$15)</f>
        <v>0.36717538277920042</v>
      </c>
      <c r="M4625" t="str">
        <f>IF(moras[[#This Row],[Z-Score Salario]]&gt;1.96, "Sí", "No")</f>
        <v>No</v>
      </c>
      <c r="N4625" s="14">
        <f>IF(ISBLANK(moras[[#This Row],[SALARIO]]), EDA!$M$8, moras[[#This Row],[SALARIO]])</f>
        <v>509509</v>
      </c>
      <c r="O4625" s="14">
        <f xml:space="preserve"> IF(ISBLANK(moras[[#This Row],[EDAD]]), EDA!$E$8, moras[[#This Row],[EDAD]])</f>
        <v>30</v>
      </c>
      <c r="P4625" s="14" t="str">
        <f>IF(
    OR(ISBLANK(moras[[#This Row],[TIPO_ASEGURAMIENTO]]), moras[[#This Row],[TIPO_ASEGURAMIENTO]]=""),
    EDA!$A$32,
    moras[[#This Row],[TIPO_ASEGURAMIENTO]]
)</f>
        <v>TRABAJADOR INDEPENDIENTE</v>
      </c>
    </row>
    <row r="4626" spans="1:16" x14ac:dyDescent="0.3">
      <c r="A4626">
        <v>4625</v>
      </c>
      <c r="B4626" t="s">
        <v>9</v>
      </c>
      <c r="C4626">
        <v>609986</v>
      </c>
      <c r="D4626" t="s">
        <v>10</v>
      </c>
      <c r="E4626" t="s">
        <v>16</v>
      </c>
      <c r="F4626" t="s">
        <v>12</v>
      </c>
      <c r="G4626" t="s">
        <v>13</v>
      </c>
      <c r="H4626" t="s">
        <v>13</v>
      </c>
      <c r="I4626">
        <v>26</v>
      </c>
      <c r="J4626">
        <f>ABS((I4626-EDA!$A$15)/EDA!$B$15)</f>
        <v>1.1277649683754829</v>
      </c>
      <c r="K4626" t="str">
        <f t="shared" si="72"/>
        <v>No</v>
      </c>
      <c r="L4626">
        <f>ABS((C4626-EDA!$F$15)/EDA!$G$15)</f>
        <v>0.36550337457126059</v>
      </c>
      <c r="M4626" t="str">
        <f>IF(moras[[#This Row],[Z-Score Salario]]&gt;1.96, "Sí", "No")</f>
        <v>No</v>
      </c>
      <c r="N4626" s="14">
        <f>IF(ISBLANK(moras[[#This Row],[SALARIO]]), EDA!$M$8, moras[[#This Row],[SALARIO]])</f>
        <v>609986</v>
      </c>
      <c r="O4626" s="14">
        <f xml:space="preserve"> IF(ISBLANK(moras[[#This Row],[EDAD]]), EDA!$E$8, moras[[#This Row],[EDAD]])</f>
        <v>26</v>
      </c>
      <c r="P4626" s="14" t="str">
        <f>IF(
    OR(ISBLANK(moras[[#This Row],[TIPO_ASEGURAMIENTO]]), moras[[#This Row],[TIPO_ASEGURAMIENTO]]=""),
    EDA!$A$32,
    moras[[#This Row],[TIPO_ASEGURAMIENTO]]
)</f>
        <v>ASALARIADO</v>
      </c>
    </row>
    <row r="4627" spans="1:16" x14ac:dyDescent="0.3">
      <c r="A4627">
        <v>4626</v>
      </c>
      <c r="B4627" t="s">
        <v>15</v>
      </c>
      <c r="C4627">
        <v>77525833</v>
      </c>
      <c r="D4627" t="s">
        <v>10</v>
      </c>
      <c r="E4627" t="s">
        <v>16</v>
      </c>
      <c r="F4627" t="s">
        <v>12</v>
      </c>
      <c r="G4627" t="s">
        <v>13</v>
      </c>
      <c r="H4627" t="s">
        <v>13</v>
      </c>
      <c r="I4627">
        <v>23</v>
      </c>
      <c r="J4627">
        <f>ABS((I4627-EDA!$A$15)/EDA!$B$15)</f>
        <v>1.3394909586068953</v>
      </c>
      <c r="K4627" t="str">
        <f t="shared" si="72"/>
        <v>No</v>
      </c>
      <c r="L4627">
        <f>ABS((C4627-EDA!$F$15)/EDA!$G$15)</f>
        <v>0.91443061534329295</v>
      </c>
      <c r="M4627" t="str">
        <f>IF(moras[[#This Row],[Z-Score Salario]]&gt;1.96, "Sí", "No")</f>
        <v>No</v>
      </c>
      <c r="N4627" s="14">
        <f>IF(ISBLANK(moras[[#This Row],[SALARIO]]), EDA!$M$8, moras[[#This Row],[SALARIO]])</f>
        <v>77525833</v>
      </c>
      <c r="O4627" s="14">
        <f xml:space="preserve"> IF(ISBLANK(moras[[#This Row],[EDAD]]), EDA!$E$8, moras[[#This Row],[EDAD]])</f>
        <v>23</v>
      </c>
      <c r="P4627" s="14" t="str">
        <f>IF(
    OR(ISBLANK(moras[[#This Row],[TIPO_ASEGURAMIENTO]]), moras[[#This Row],[TIPO_ASEGURAMIENTO]]=""),
    EDA!$A$32,
    moras[[#This Row],[TIPO_ASEGURAMIENTO]]
)</f>
        <v>ASALARIADO</v>
      </c>
    </row>
    <row r="4628" spans="1:16" x14ac:dyDescent="0.3">
      <c r="A4628">
        <v>4627</v>
      </c>
      <c r="B4628" t="s">
        <v>9</v>
      </c>
      <c r="C4628">
        <v>54137975</v>
      </c>
      <c r="D4628" t="s">
        <v>10</v>
      </c>
      <c r="E4628" t="s">
        <v>16</v>
      </c>
      <c r="F4628" t="s">
        <v>12</v>
      </c>
      <c r="G4628" t="s">
        <v>12</v>
      </c>
      <c r="H4628" t="s">
        <v>13</v>
      </c>
      <c r="I4628">
        <v>77</v>
      </c>
      <c r="J4628">
        <f>ABS((I4628-EDA!$A$15)/EDA!$B$15)</f>
        <v>2.47157686555853</v>
      </c>
      <c r="K4628" t="str">
        <f t="shared" si="72"/>
        <v>Sí</v>
      </c>
      <c r="L4628">
        <f>ABS((C4628-EDA!$F$15)/EDA!$G$15)</f>
        <v>0.52524014844906486</v>
      </c>
      <c r="M4628" t="str">
        <f>IF(moras[[#This Row],[Z-Score Salario]]&gt;1.96, "Sí", "No")</f>
        <v>No</v>
      </c>
      <c r="N4628" s="14">
        <f>IF(ISBLANK(moras[[#This Row],[SALARIO]]), EDA!$M$8, moras[[#This Row],[SALARIO]])</f>
        <v>54137975</v>
      </c>
      <c r="O4628" s="14">
        <f xml:space="preserve"> IF(ISBLANK(moras[[#This Row],[EDAD]]), EDA!$E$8, moras[[#This Row],[EDAD]])</f>
        <v>77</v>
      </c>
      <c r="P4628" s="14" t="str">
        <f>IF(
    OR(ISBLANK(moras[[#This Row],[TIPO_ASEGURAMIENTO]]), moras[[#This Row],[TIPO_ASEGURAMIENTO]]=""),
    EDA!$A$32,
    moras[[#This Row],[TIPO_ASEGURAMIENTO]]
)</f>
        <v>ASALARIADO</v>
      </c>
    </row>
    <row r="4629" spans="1:16" x14ac:dyDescent="0.3">
      <c r="A4629">
        <v>4628</v>
      </c>
      <c r="B4629" t="s">
        <v>15</v>
      </c>
      <c r="C4629">
        <v>42693593</v>
      </c>
      <c r="D4629" t="s">
        <v>10</v>
      </c>
      <c r="E4629" t="s">
        <v>16</v>
      </c>
      <c r="F4629" t="s">
        <v>12</v>
      </c>
      <c r="G4629" t="s">
        <v>13</v>
      </c>
      <c r="H4629" t="s">
        <v>13</v>
      </c>
      <c r="I4629">
        <v>28</v>
      </c>
      <c r="J4629">
        <f>ABS((I4629-EDA!$A$15)/EDA!$B$15)</f>
        <v>0.98661430822120777</v>
      </c>
      <c r="K4629" t="str">
        <f t="shared" si="72"/>
        <v>No</v>
      </c>
      <c r="L4629">
        <f>ABS((C4629-EDA!$F$15)/EDA!$G$15)</f>
        <v>0.33479755324022192</v>
      </c>
      <c r="M4629" t="str">
        <f>IF(moras[[#This Row],[Z-Score Salario]]&gt;1.96, "Sí", "No")</f>
        <v>No</v>
      </c>
      <c r="N4629" s="14">
        <f>IF(ISBLANK(moras[[#This Row],[SALARIO]]), EDA!$M$8, moras[[#This Row],[SALARIO]])</f>
        <v>42693593</v>
      </c>
      <c r="O4629" s="14">
        <f xml:space="preserve"> IF(ISBLANK(moras[[#This Row],[EDAD]]), EDA!$E$8, moras[[#This Row],[EDAD]])</f>
        <v>28</v>
      </c>
      <c r="P4629" s="14" t="str">
        <f>IF(
    OR(ISBLANK(moras[[#This Row],[TIPO_ASEGURAMIENTO]]), moras[[#This Row],[TIPO_ASEGURAMIENTO]]=""),
    EDA!$A$32,
    moras[[#This Row],[TIPO_ASEGURAMIENTO]]
)</f>
        <v>ASALARIADO</v>
      </c>
    </row>
    <row r="4630" spans="1:16" x14ac:dyDescent="0.3">
      <c r="A4630">
        <v>4629</v>
      </c>
      <c r="B4630" t="s">
        <v>9</v>
      </c>
      <c r="C4630">
        <v>13780</v>
      </c>
      <c r="D4630" t="s">
        <v>10</v>
      </c>
      <c r="E4630" t="s">
        <v>16</v>
      </c>
      <c r="F4630" t="s">
        <v>12</v>
      </c>
      <c r="G4630" t="s">
        <v>13</v>
      </c>
      <c r="H4630" t="s">
        <v>13</v>
      </c>
      <c r="I4630">
        <v>38</v>
      </c>
      <c r="J4630">
        <f>ABS((I4630-EDA!$A$15)/EDA!$B$15)</f>
        <v>0.28086100744983278</v>
      </c>
      <c r="K4630" t="str">
        <f t="shared" si="72"/>
        <v>No</v>
      </c>
      <c r="L4630">
        <f>ABS((C4630-EDA!$F$15)/EDA!$G$15)</f>
        <v>0.37542466328034801</v>
      </c>
      <c r="M4630" t="str">
        <f>IF(moras[[#This Row],[Z-Score Salario]]&gt;1.96, "Sí", "No")</f>
        <v>No</v>
      </c>
      <c r="N4630" s="14">
        <f>IF(ISBLANK(moras[[#This Row],[SALARIO]]), EDA!$M$8, moras[[#This Row],[SALARIO]])</f>
        <v>13780</v>
      </c>
      <c r="O4630" s="14">
        <f xml:space="preserve"> IF(ISBLANK(moras[[#This Row],[EDAD]]), EDA!$E$8, moras[[#This Row],[EDAD]])</f>
        <v>38</v>
      </c>
      <c r="P4630" s="14" t="str">
        <f>IF(
    OR(ISBLANK(moras[[#This Row],[TIPO_ASEGURAMIENTO]]), moras[[#This Row],[TIPO_ASEGURAMIENTO]]=""),
    EDA!$A$32,
    moras[[#This Row],[TIPO_ASEGURAMIENTO]]
)</f>
        <v>ASALARIADO</v>
      </c>
    </row>
    <row r="4631" spans="1:16" x14ac:dyDescent="0.3">
      <c r="A4631">
        <v>4630</v>
      </c>
      <c r="B4631" t="s">
        <v>9</v>
      </c>
      <c r="C4631">
        <v>300018</v>
      </c>
      <c r="D4631" t="s">
        <v>18</v>
      </c>
      <c r="E4631" t="s">
        <v>16</v>
      </c>
      <c r="F4631" t="s">
        <v>12</v>
      </c>
      <c r="G4631" t="s">
        <v>13</v>
      </c>
      <c r="H4631" t="s">
        <v>12</v>
      </c>
      <c r="I4631">
        <v>53</v>
      </c>
      <c r="J4631">
        <f>ABS((I4631-EDA!$A$15)/EDA!$B$15)</f>
        <v>0.77776894370722982</v>
      </c>
      <c r="K4631" t="str">
        <f t="shared" si="72"/>
        <v>No</v>
      </c>
      <c r="L4631">
        <f>ABS((C4631-EDA!$F$15)/EDA!$G$15)</f>
        <v>0.37066146090145252</v>
      </c>
      <c r="M4631" t="str">
        <f>IF(moras[[#This Row],[Z-Score Salario]]&gt;1.96, "Sí", "No")</f>
        <v>No</v>
      </c>
      <c r="N4631" s="14">
        <f>IF(ISBLANK(moras[[#This Row],[SALARIO]]), EDA!$M$8, moras[[#This Row],[SALARIO]])</f>
        <v>300018</v>
      </c>
      <c r="O4631" s="14">
        <f xml:space="preserve"> IF(ISBLANK(moras[[#This Row],[EDAD]]), EDA!$E$8, moras[[#This Row],[EDAD]])</f>
        <v>53</v>
      </c>
      <c r="P4631" s="14" t="str">
        <f>IF(
    OR(ISBLANK(moras[[#This Row],[TIPO_ASEGURAMIENTO]]), moras[[#This Row],[TIPO_ASEGURAMIENTO]]=""),
    EDA!$A$32,
    moras[[#This Row],[TIPO_ASEGURAMIENTO]]
)</f>
        <v>TRABAJADOR INDEPENDIENTE</v>
      </c>
    </row>
    <row r="4632" spans="1:16" x14ac:dyDescent="0.3">
      <c r="A4632">
        <v>4631</v>
      </c>
      <c r="B4632" t="s">
        <v>9</v>
      </c>
      <c r="C4632">
        <v>11620235</v>
      </c>
      <c r="D4632" t="s">
        <v>10</v>
      </c>
      <c r="E4632" t="s">
        <v>11</v>
      </c>
      <c r="F4632" t="s">
        <v>12</v>
      </c>
      <c r="G4632" t="s">
        <v>13</v>
      </c>
      <c r="H4632" t="s">
        <v>13</v>
      </c>
      <c r="I4632">
        <v>38</v>
      </c>
      <c r="J4632">
        <f>ABS((I4632-EDA!$A$15)/EDA!$B$15)</f>
        <v>0.28086100744983278</v>
      </c>
      <c r="K4632" t="str">
        <f t="shared" si="72"/>
        <v>No</v>
      </c>
      <c r="L4632">
        <f>ABS((C4632-EDA!$F$15)/EDA!$G$15)</f>
        <v>0.18228505894219754</v>
      </c>
      <c r="M4632" t="str">
        <f>IF(moras[[#This Row],[Z-Score Salario]]&gt;1.96, "Sí", "No")</f>
        <v>No</v>
      </c>
      <c r="N4632" s="14">
        <f>IF(ISBLANK(moras[[#This Row],[SALARIO]]), EDA!$M$8, moras[[#This Row],[SALARIO]])</f>
        <v>11620235</v>
      </c>
      <c r="O4632" s="14">
        <f xml:space="preserve"> IF(ISBLANK(moras[[#This Row],[EDAD]]), EDA!$E$8, moras[[#This Row],[EDAD]])</f>
        <v>38</v>
      </c>
      <c r="P4632" s="14" t="str">
        <f>IF(
    OR(ISBLANK(moras[[#This Row],[TIPO_ASEGURAMIENTO]]), moras[[#This Row],[TIPO_ASEGURAMIENTO]]=""),
    EDA!$A$32,
    moras[[#This Row],[TIPO_ASEGURAMIENTO]]
)</f>
        <v>ASALARIADO</v>
      </c>
    </row>
    <row r="4633" spans="1:16" x14ac:dyDescent="0.3">
      <c r="A4633">
        <v>4632</v>
      </c>
      <c r="B4633" t="s">
        <v>15</v>
      </c>
      <c r="C4633">
        <v>2979735</v>
      </c>
      <c r="D4633" t="s">
        <v>10</v>
      </c>
      <c r="E4633" t="s">
        <v>11</v>
      </c>
      <c r="F4633" t="s">
        <v>12</v>
      </c>
      <c r="G4633" t="s">
        <v>13</v>
      </c>
      <c r="H4633" t="s">
        <v>13</v>
      </c>
      <c r="I4633">
        <v>25</v>
      </c>
      <c r="J4633">
        <f>ABS((I4633-EDA!$A$15)/EDA!$B$15)</f>
        <v>1.1983402984526204</v>
      </c>
      <c r="K4633" t="str">
        <f t="shared" si="72"/>
        <v>No</v>
      </c>
      <c r="L4633">
        <f>ABS((C4633-EDA!$F$15)/EDA!$G$15)</f>
        <v>0.32606907837653726</v>
      </c>
      <c r="M4633" t="str">
        <f>IF(moras[[#This Row],[Z-Score Salario]]&gt;1.96, "Sí", "No")</f>
        <v>No</v>
      </c>
      <c r="N4633" s="14">
        <f>IF(ISBLANK(moras[[#This Row],[SALARIO]]), EDA!$M$8, moras[[#This Row],[SALARIO]])</f>
        <v>2979735</v>
      </c>
      <c r="O4633" s="14">
        <f xml:space="preserve"> IF(ISBLANK(moras[[#This Row],[EDAD]]), EDA!$E$8, moras[[#This Row],[EDAD]])</f>
        <v>25</v>
      </c>
      <c r="P4633" s="14" t="str">
        <f>IF(
    OR(ISBLANK(moras[[#This Row],[TIPO_ASEGURAMIENTO]]), moras[[#This Row],[TIPO_ASEGURAMIENTO]]=""),
    EDA!$A$32,
    moras[[#This Row],[TIPO_ASEGURAMIENTO]]
)</f>
        <v>ASALARIADO</v>
      </c>
    </row>
    <row r="4634" spans="1:16" x14ac:dyDescent="0.3">
      <c r="A4634">
        <v>4633</v>
      </c>
      <c r="B4634" t="s">
        <v>9</v>
      </c>
      <c r="C4634">
        <v>31190148</v>
      </c>
      <c r="D4634" t="s">
        <v>10</v>
      </c>
      <c r="E4634" t="s">
        <v>16</v>
      </c>
      <c r="F4634" t="s">
        <v>12</v>
      </c>
      <c r="G4634" t="s">
        <v>13</v>
      </c>
      <c r="H4634" t="s">
        <v>13</v>
      </c>
      <c r="I4634">
        <v>22</v>
      </c>
      <c r="J4634">
        <f>ABS((I4634-EDA!$A$15)/EDA!$B$15)</f>
        <v>1.4100662886840327</v>
      </c>
      <c r="K4634" t="str">
        <f t="shared" si="72"/>
        <v>No</v>
      </c>
      <c r="L4634">
        <f>ABS((C4634-EDA!$F$15)/EDA!$G$15)</f>
        <v>0.14337210801808686</v>
      </c>
      <c r="M4634" t="str">
        <f>IF(moras[[#This Row],[Z-Score Salario]]&gt;1.96, "Sí", "No")</f>
        <v>No</v>
      </c>
      <c r="N4634" s="14">
        <f>IF(ISBLANK(moras[[#This Row],[SALARIO]]), EDA!$M$8, moras[[#This Row],[SALARIO]])</f>
        <v>31190148</v>
      </c>
      <c r="O4634" s="14">
        <f xml:space="preserve"> IF(ISBLANK(moras[[#This Row],[EDAD]]), EDA!$E$8, moras[[#This Row],[EDAD]])</f>
        <v>22</v>
      </c>
      <c r="P4634" s="14" t="str">
        <f>IF(
    OR(ISBLANK(moras[[#This Row],[TIPO_ASEGURAMIENTO]]), moras[[#This Row],[TIPO_ASEGURAMIENTO]]=""),
    EDA!$A$32,
    moras[[#This Row],[TIPO_ASEGURAMIENTO]]
)</f>
        <v>ASALARIADO</v>
      </c>
    </row>
    <row r="4635" spans="1:16" x14ac:dyDescent="0.3">
      <c r="A4635">
        <v>4634</v>
      </c>
      <c r="B4635" t="s">
        <v>9</v>
      </c>
      <c r="C4635">
        <v>49331235</v>
      </c>
      <c r="D4635" t="s">
        <v>10</v>
      </c>
      <c r="E4635" t="s">
        <v>16</v>
      </c>
      <c r="F4635" t="s">
        <v>12</v>
      </c>
      <c r="G4635" t="s">
        <v>13</v>
      </c>
      <c r="H4635" t="s">
        <v>13</v>
      </c>
      <c r="I4635">
        <v>51</v>
      </c>
      <c r="J4635">
        <f>ABS((I4635-EDA!$A$15)/EDA!$B$15)</f>
        <v>0.6366182835529548</v>
      </c>
      <c r="K4635" t="str">
        <f t="shared" si="72"/>
        <v>No</v>
      </c>
      <c r="L4635">
        <f>ABS((C4635-EDA!$F$15)/EDA!$G$15)</f>
        <v>0.44525260171267023</v>
      </c>
      <c r="M4635" t="str">
        <f>IF(moras[[#This Row],[Z-Score Salario]]&gt;1.96, "Sí", "No")</f>
        <v>No</v>
      </c>
      <c r="N4635" s="14">
        <f>IF(ISBLANK(moras[[#This Row],[SALARIO]]), EDA!$M$8, moras[[#This Row],[SALARIO]])</f>
        <v>49331235</v>
      </c>
      <c r="O4635" s="14">
        <f xml:space="preserve"> IF(ISBLANK(moras[[#This Row],[EDAD]]), EDA!$E$8, moras[[#This Row],[EDAD]])</f>
        <v>51</v>
      </c>
      <c r="P4635" s="14" t="str">
        <f>IF(
    OR(ISBLANK(moras[[#This Row],[TIPO_ASEGURAMIENTO]]), moras[[#This Row],[TIPO_ASEGURAMIENTO]]=""),
    EDA!$A$32,
    moras[[#This Row],[TIPO_ASEGURAMIENTO]]
)</f>
        <v>ASALARIADO</v>
      </c>
    </row>
    <row r="4636" spans="1:16" x14ac:dyDescent="0.3">
      <c r="A4636">
        <v>4635</v>
      </c>
      <c r="B4636" t="s">
        <v>15</v>
      </c>
      <c r="C4636">
        <v>1717983</v>
      </c>
      <c r="D4636" t="s">
        <v>14</v>
      </c>
      <c r="E4636" t="s">
        <v>11</v>
      </c>
      <c r="F4636" t="s">
        <v>12</v>
      </c>
      <c r="G4636" t="s">
        <v>13</v>
      </c>
      <c r="H4636" t="s">
        <v>13</v>
      </c>
      <c r="I4636">
        <v>68</v>
      </c>
      <c r="J4636">
        <f>ABS((I4636-EDA!$A$15)/EDA!$B$15)</f>
        <v>1.8363988948642924</v>
      </c>
      <c r="K4636" t="str">
        <f t="shared" si="72"/>
        <v>No</v>
      </c>
      <c r="L4636">
        <f>ABS((C4636-EDA!$F$15)/EDA!$G$15)</f>
        <v>0.34706552234266386</v>
      </c>
      <c r="M4636" t="str">
        <f>IF(moras[[#This Row],[Z-Score Salario]]&gt;1.96, "Sí", "No")</f>
        <v>No</v>
      </c>
      <c r="N4636" s="14">
        <f>IF(ISBLANK(moras[[#This Row],[SALARIO]]), EDA!$M$8, moras[[#This Row],[SALARIO]])</f>
        <v>1717983</v>
      </c>
      <c r="O4636" s="14">
        <f xml:space="preserve"> IF(ISBLANK(moras[[#This Row],[EDAD]]), EDA!$E$8, moras[[#This Row],[EDAD]])</f>
        <v>68</v>
      </c>
      <c r="P4636" s="14" t="str">
        <f>IF(
    OR(ISBLANK(moras[[#This Row],[TIPO_ASEGURAMIENTO]]), moras[[#This Row],[TIPO_ASEGURAMIENTO]]=""),
    EDA!$A$32,
    moras[[#This Row],[TIPO_ASEGURAMIENTO]]
)</f>
        <v>PENSIONADOS EN SU PROPIO SISTEMA</v>
      </c>
    </row>
    <row r="4637" spans="1:16" x14ac:dyDescent="0.3">
      <c r="A4637">
        <v>4636</v>
      </c>
      <c r="B4637" t="s">
        <v>15</v>
      </c>
      <c r="C4637">
        <v>343953</v>
      </c>
      <c r="D4637" t="s">
        <v>10</v>
      </c>
      <c r="E4637" t="s">
        <v>16</v>
      </c>
      <c r="F4637" t="s">
        <v>12</v>
      </c>
      <c r="G4637" t="s">
        <v>13</v>
      </c>
      <c r="H4637" t="s">
        <v>13</v>
      </c>
      <c r="I4637">
        <v>42</v>
      </c>
      <c r="J4637">
        <f>ABS((I4637-EDA!$A$15)/EDA!$B$15)</f>
        <v>1.4403128587172659E-3</v>
      </c>
      <c r="K4637" t="str">
        <f t="shared" si="72"/>
        <v>No</v>
      </c>
      <c r="L4637">
        <f>ABS((C4637-EDA!$F$15)/EDA!$G$15)</f>
        <v>0.36993035148720016</v>
      </c>
      <c r="M4637" t="str">
        <f>IF(moras[[#This Row],[Z-Score Salario]]&gt;1.96, "Sí", "No")</f>
        <v>No</v>
      </c>
      <c r="N4637" s="14">
        <f>IF(ISBLANK(moras[[#This Row],[SALARIO]]), EDA!$M$8, moras[[#This Row],[SALARIO]])</f>
        <v>343953</v>
      </c>
      <c r="O4637" s="14">
        <f xml:space="preserve"> IF(ISBLANK(moras[[#This Row],[EDAD]]), EDA!$E$8, moras[[#This Row],[EDAD]])</f>
        <v>42</v>
      </c>
      <c r="P4637" s="14" t="str">
        <f>IF(
    OR(ISBLANK(moras[[#This Row],[TIPO_ASEGURAMIENTO]]), moras[[#This Row],[TIPO_ASEGURAMIENTO]]=""),
    EDA!$A$32,
    moras[[#This Row],[TIPO_ASEGURAMIENTO]]
)</f>
        <v>ASALARIADO</v>
      </c>
    </row>
    <row r="4638" spans="1:16" x14ac:dyDescent="0.3">
      <c r="A4638">
        <v>4637</v>
      </c>
      <c r="B4638" t="s">
        <v>9</v>
      </c>
      <c r="C4638">
        <v>27664449</v>
      </c>
      <c r="D4638" t="s">
        <v>10</v>
      </c>
      <c r="E4638" t="s">
        <v>16</v>
      </c>
      <c r="F4638" t="s">
        <v>12</v>
      </c>
      <c r="G4638" t="s">
        <v>13</v>
      </c>
      <c r="H4638" t="s">
        <v>13</v>
      </c>
      <c r="I4638">
        <v>37</v>
      </c>
      <c r="J4638">
        <f>ABS((I4638-EDA!$A$15)/EDA!$B$15)</f>
        <v>0.35143633752697023</v>
      </c>
      <c r="K4638" t="str">
        <f t="shared" si="72"/>
        <v>No</v>
      </c>
      <c r="L4638">
        <f>ABS((C4638-EDA!$F$15)/EDA!$G$15)</f>
        <v>8.4701987824159178E-2</v>
      </c>
      <c r="M4638" t="str">
        <f>IF(moras[[#This Row],[Z-Score Salario]]&gt;1.96, "Sí", "No")</f>
        <v>No</v>
      </c>
      <c r="N4638" s="14">
        <f>IF(ISBLANK(moras[[#This Row],[SALARIO]]), EDA!$M$8, moras[[#This Row],[SALARIO]])</f>
        <v>27664449</v>
      </c>
      <c r="O4638" s="14">
        <f xml:space="preserve"> IF(ISBLANK(moras[[#This Row],[EDAD]]), EDA!$E$8, moras[[#This Row],[EDAD]])</f>
        <v>37</v>
      </c>
      <c r="P4638" s="14" t="str">
        <f>IF(
    OR(ISBLANK(moras[[#This Row],[TIPO_ASEGURAMIENTO]]), moras[[#This Row],[TIPO_ASEGURAMIENTO]]=""),
    EDA!$A$32,
    moras[[#This Row],[TIPO_ASEGURAMIENTO]]
)</f>
        <v>ASALARIADO</v>
      </c>
    </row>
    <row r="4639" spans="1:16" x14ac:dyDescent="0.3">
      <c r="A4639">
        <v>4638</v>
      </c>
      <c r="B4639" t="s">
        <v>15</v>
      </c>
      <c r="C4639">
        <v>6348864</v>
      </c>
      <c r="D4639" t="s">
        <v>10</v>
      </c>
      <c r="E4639" t="s">
        <v>11</v>
      </c>
      <c r="F4639" t="s">
        <v>12</v>
      </c>
      <c r="G4639" t="s">
        <v>13</v>
      </c>
      <c r="H4639" t="s">
        <v>13</v>
      </c>
      <c r="I4639">
        <v>39</v>
      </c>
      <c r="J4639">
        <f>ABS((I4639-EDA!$A$15)/EDA!$B$15)</f>
        <v>0.21028567737269524</v>
      </c>
      <c r="K4639" t="str">
        <f t="shared" si="72"/>
        <v>No</v>
      </c>
      <c r="L4639">
        <f>ABS((C4639-EDA!$F$15)/EDA!$G$15)</f>
        <v>0.27000439350728228</v>
      </c>
      <c r="M4639" t="str">
        <f>IF(moras[[#This Row],[Z-Score Salario]]&gt;1.96, "Sí", "No")</f>
        <v>No</v>
      </c>
      <c r="N4639" s="14">
        <f>IF(ISBLANK(moras[[#This Row],[SALARIO]]), EDA!$M$8, moras[[#This Row],[SALARIO]])</f>
        <v>6348864</v>
      </c>
      <c r="O4639" s="14">
        <f xml:space="preserve"> IF(ISBLANK(moras[[#This Row],[EDAD]]), EDA!$E$8, moras[[#This Row],[EDAD]])</f>
        <v>39</v>
      </c>
      <c r="P4639" s="14" t="str">
        <f>IF(
    OR(ISBLANK(moras[[#This Row],[TIPO_ASEGURAMIENTO]]), moras[[#This Row],[TIPO_ASEGURAMIENTO]]=""),
    EDA!$A$32,
    moras[[#This Row],[TIPO_ASEGURAMIENTO]]
)</f>
        <v>ASALARIADO</v>
      </c>
    </row>
    <row r="4640" spans="1:16" x14ac:dyDescent="0.3">
      <c r="A4640">
        <v>4639</v>
      </c>
      <c r="B4640" t="s">
        <v>9</v>
      </c>
      <c r="C4640">
        <v>297046</v>
      </c>
      <c r="D4640" t="s">
        <v>17</v>
      </c>
      <c r="E4640" t="s">
        <v>16</v>
      </c>
      <c r="F4640" t="s">
        <v>12</v>
      </c>
      <c r="G4640" t="s">
        <v>13</v>
      </c>
      <c r="H4640" t="s">
        <v>12</v>
      </c>
      <c r="I4640">
        <v>64</v>
      </c>
      <c r="J4640">
        <f>ABS((I4640-EDA!$A$15)/EDA!$B$15)</f>
        <v>1.5540975745557424</v>
      </c>
      <c r="K4640" t="str">
        <f t="shared" si="72"/>
        <v>No</v>
      </c>
      <c r="L4640">
        <f>ABS((C4640-EDA!$F$15)/EDA!$G$15)</f>
        <v>0.37071091707942361</v>
      </c>
      <c r="M4640" t="str">
        <f>IF(moras[[#This Row],[Z-Score Salario]]&gt;1.96, "Sí", "No")</f>
        <v>No</v>
      </c>
      <c r="N4640" s="14">
        <f>IF(ISBLANK(moras[[#This Row],[SALARIO]]), EDA!$M$8, moras[[#This Row],[SALARIO]])</f>
        <v>297046</v>
      </c>
      <c r="O4640" s="14">
        <f xml:space="preserve"> IF(ISBLANK(moras[[#This Row],[EDAD]]), EDA!$E$8, moras[[#This Row],[EDAD]])</f>
        <v>64</v>
      </c>
      <c r="P4640" s="14" t="str">
        <f>IF(
    OR(ISBLANK(moras[[#This Row],[TIPO_ASEGURAMIENTO]]), moras[[#This Row],[TIPO_ASEGURAMIENTO]]=""),
    EDA!$A$32,
    moras[[#This Row],[TIPO_ASEGURAMIENTO]]
)</f>
        <v>ASEGURADO VOLUNTARIO</v>
      </c>
    </row>
    <row r="4641" spans="1:16" x14ac:dyDescent="0.3">
      <c r="A4641">
        <v>4640</v>
      </c>
      <c r="B4641" t="s">
        <v>15</v>
      </c>
      <c r="C4641">
        <v>13377341</v>
      </c>
      <c r="D4641" t="s">
        <v>10</v>
      </c>
      <c r="E4641" t="s">
        <v>16</v>
      </c>
      <c r="F4641" t="s">
        <v>12</v>
      </c>
      <c r="G4641" t="s">
        <v>13</v>
      </c>
      <c r="H4641" t="s">
        <v>13</v>
      </c>
      <c r="I4641">
        <v>26</v>
      </c>
      <c r="J4641">
        <f>ABS((I4641-EDA!$A$15)/EDA!$B$15)</f>
        <v>1.1277649683754829</v>
      </c>
      <c r="K4641" t="str">
        <f t="shared" si="72"/>
        <v>No</v>
      </c>
      <c r="L4641">
        <f>ABS((C4641-EDA!$F$15)/EDA!$G$15)</f>
        <v>0.15304557473964039</v>
      </c>
      <c r="M4641" t="str">
        <f>IF(moras[[#This Row],[Z-Score Salario]]&gt;1.96, "Sí", "No")</f>
        <v>No</v>
      </c>
      <c r="N4641" s="14">
        <f>IF(ISBLANK(moras[[#This Row],[SALARIO]]), EDA!$M$8, moras[[#This Row],[SALARIO]])</f>
        <v>13377341</v>
      </c>
      <c r="O4641" s="14">
        <f xml:space="preserve"> IF(ISBLANK(moras[[#This Row],[EDAD]]), EDA!$E$8, moras[[#This Row],[EDAD]])</f>
        <v>26</v>
      </c>
      <c r="P4641" s="14" t="str">
        <f>IF(
    OR(ISBLANK(moras[[#This Row],[TIPO_ASEGURAMIENTO]]), moras[[#This Row],[TIPO_ASEGURAMIENTO]]=""),
    EDA!$A$32,
    moras[[#This Row],[TIPO_ASEGURAMIENTO]]
)</f>
        <v>ASALARIADO</v>
      </c>
    </row>
    <row r="4642" spans="1:16" x14ac:dyDescent="0.3">
      <c r="A4642">
        <v>4641</v>
      </c>
      <c r="B4642" t="s">
        <v>9</v>
      </c>
      <c r="C4642">
        <v>1939053</v>
      </c>
      <c r="D4642" t="s">
        <v>10</v>
      </c>
      <c r="E4642" t="s">
        <v>11</v>
      </c>
      <c r="F4642" t="s">
        <v>12</v>
      </c>
      <c r="G4642" t="s">
        <v>13</v>
      </c>
      <c r="H4642" t="s">
        <v>13</v>
      </c>
      <c r="I4642">
        <v>51</v>
      </c>
      <c r="J4642">
        <f>ABS((I4642-EDA!$A$15)/EDA!$B$15)</f>
        <v>0.6366182835529548</v>
      </c>
      <c r="K4642" t="str">
        <f t="shared" si="72"/>
        <v>No</v>
      </c>
      <c r="L4642">
        <f>ABS((C4642-EDA!$F$15)/EDA!$G$15)</f>
        <v>0.34338676148665442</v>
      </c>
      <c r="M4642" t="str">
        <f>IF(moras[[#This Row],[Z-Score Salario]]&gt;1.96, "Sí", "No")</f>
        <v>No</v>
      </c>
      <c r="N4642" s="14">
        <f>IF(ISBLANK(moras[[#This Row],[SALARIO]]), EDA!$M$8, moras[[#This Row],[SALARIO]])</f>
        <v>1939053</v>
      </c>
      <c r="O4642" s="14">
        <f xml:space="preserve"> IF(ISBLANK(moras[[#This Row],[EDAD]]), EDA!$E$8, moras[[#This Row],[EDAD]])</f>
        <v>51</v>
      </c>
      <c r="P4642" s="14" t="str">
        <f>IF(
    OR(ISBLANK(moras[[#This Row],[TIPO_ASEGURAMIENTO]]), moras[[#This Row],[TIPO_ASEGURAMIENTO]]=""),
    EDA!$A$32,
    moras[[#This Row],[TIPO_ASEGURAMIENTO]]
)</f>
        <v>ASALARIADO</v>
      </c>
    </row>
    <row r="4643" spans="1:16" x14ac:dyDescent="0.3">
      <c r="A4643">
        <v>4642</v>
      </c>
      <c r="B4643" t="s">
        <v>15</v>
      </c>
      <c r="C4643">
        <v>696716</v>
      </c>
      <c r="D4643" t="s">
        <v>10</v>
      </c>
      <c r="E4643" t="s">
        <v>11</v>
      </c>
      <c r="F4643" t="s">
        <v>12</v>
      </c>
      <c r="G4643" t="s">
        <v>13</v>
      </c>
      <c r="H4643" t="s">
        <v>12</v>
      </c>
      <c r="I4643">
        <v>35</v>
      </c>
      <c r="J4643">
        <f>ABS((I4643-EDA!$A$15)/EDA!$B$15)</f>
        <v>0.49258699768124525</v>
      </c>
      <c r="K4643" t="str">
        <f t="shared" si="72"/>
        <v>No</v>
      </c>
      <c r="L4643">
        <f>ABS((C4643-EDA!$F$15)/EDA!$G$15)</f>
        <v>0.36406012614749572</v>
      </c>
      <c r="M4643" t="str">
        <f>IF(moras[[#This Row],[Z-Score Salario]]&gt;1.96, "Sí", "No")</f>
        <v>No</v>
      </c>
      <c r="N4643" s="14">
        <f>IF(ISBLANK(moras[[#This Row],[SALARIO]]), EDA!$M$8, moras[[#This Row],[SALARIO]])</f>
        <v>696716</v>
      </c>
      <c r="O4643" s="14">
        <f xml:space="preserve"> IF(ISBLANK(moras[[#This Row],[EDAD]]), EDA!$E$8, moras[[#This Row],[EDAD]])</f>
        <v>35</v>
      </c>
      <c r="P4643" s="14" t="str">
        <f>IF(
    OR(ISBLANK(moras[[#This Row],[TIPO_ASEGURAMIENTO]]), moras[[#This Row],[TIPO_ASEGURAMIENTO]]=""),
    EDA!$A$32,
    moras[[#This Row],[TIPO_ASEGURAMIENTO]]
)</f>
        <v>ASALARIADO</v>
      </c>
    </row>
    <row r="4644" spans="1:16" x14ac:dyDescent="0.3">
      <c r="A4644">
        <v>4643</v>
      </c>
      <c r="B4644" t="s">
        <v>9</v>
      </c>
      <c r="C4644">
        <v>312000</v>
      </c>
      <c r="D4644" t="s">
        <v>10</v>
      </c>
      <c r="E4644" t="s">
        <v>16</v>
      </c>
      <c r="F4644" t="s">
        <v>12</v>
      </c>
      <c r="G4644" t="s">
        <v>12</v>
      </c>
      <c r="H4644" t="s">
        <v>13</v>
      </c>
      <c r="I4644">
        <v>35</v>
      </c>
      <c r="J4644">
        <f>ABS((I4644-EDA!$A$15)/EDA!$B$15)</f>
        <v>0.49258699768124525</v>
      </c>
      <c r="K4644" t="str">
        <f t="shared" si="72"/>
        <v>No</v>
      </c>
      <c r="L4644">
        <f>ABS((C4644-EDA!$F$15)/EDA!$G$15)</f>
        <v>0.37046207196321257</v>
      </c>
      <c r="M4644" t="str">
        <f>IF(moras[[#This Row],[Z-Score Salario]]&gt;1.96, "Sí", "No")</f>
        <v>No</v>
      </c>
      <c r="N4644" s="14">
        <f>IF(ISBLANK(moras[[#This Row],[SALARIO]]), EDA!$M$8, moras[[#This Row],[SALARIO]])</f>
        <v>312000</v>
      </c>
      <c r="O4644" s="14">
        <f xml:space="preserve"> IF(ISBLANK(moras[[#This Row],[EDAD]]), EDA!$E$8, moras[[#This Row],[EDAD]])</f>
        <v>35</v>
      </c>
      <c r="P4644" s="14" t="str">
        <f>IF(
    OR(ISBLANK(moras[[#This Row],[TIPO_ASEGURAMIENTO]]), moras[[#This Row],[TIPO_ASEGURAMIENTO]]=""),
    EDA!$A$32,
    moras[[#This Row],[TIPO_ASEGURAMIENTO]]
)</f>
        <v>ASALARIADO</v>
      </c>
    </row>
    <row r="4645" spans="1:16" x14ac:dyDescent="0.3">
      <c r="A4645">
        <v>4644</v>
      </c>
      <c r="B4645" t="s">
        <v>9</v>
      </c>
      <c r="C4645">
        <v>297045</v>
      </c>
      <c r="D4645" t="s">
        <v>18</v>
      </c>
      <c r="E4645" t="s">
        <v>16</v>
      </c>
      <c r="F4645" t="s">
        <v>12</v>
      </c>
      <c r="G4645" t="s">
        <v>13</v>
      </c>
      <c r="H4645" t="s">
        <v>13</v>
      </c>
      <c r="I4645">
        <v>30</v>
      </c>
      <c r="J4645">
        <f>ABS((I4645-EDA!$A$15)/EDA!$B$15)</f>
        <v>0.84546364806693275</v>
      </c>
      <c r="K4645" t="str">
        <f t="shared" si="72"/>
        <v>No</v>
      </c>
      <c r="L4645">
        <f>ABS((C4645-EDA!$F$15)/EDA!$G$15)</f>
        <v>0.37071093372012948</v>
      </c>
      <c r="M4645" t="str">
        <f>IF(moras[[#This Row],[Z-Score Salario]]&gt;1.96, "Sí", "No")</f>
        <v>No</v>
      </c>
      <c r="N4645" s="14">
        <f>IF(ISBLANK(moras[[#This Row],[SALARIO]]), EDA!$M$8, moras[[#This Row],[SALARIO]])</f>
        <v>297045</v>
      </c>
      <c r="O4645" s="14">
        <f xml:space="preserve"> IF(ISBLANK(moras[[#This Row],[EDAD]]), EDA!$E$8, moras[[#This Row],[EDAD]])</f>
        <v>30</v>
      </c>
      <c r="P4645" s="14" t="str">
        <f>IF(
    OR(ISBLANK(moras[[#This Row],[TIPO_ASEGURAMIENTO]]), moras[[#This Row],[TIPO_ASEGURAMIENTO]]=""),
    EDA!$A$32,
    moras[[#This Row],[TIPO_ASEGURAMIENTO]]
)</f>
        <v>TRABAJADOR INDEPENDIENTE</v>
      </c>
    </row>
    <row r="4646" spans="1:16" x14ac:dyDescent="0.3">
      <c r="A4646">
        <v>4645</v>
      </c>
      <c r="B4646" t="s">
        <v>15</v>
      </c>
      <c r="C4646">
        <v>295203</v>
      </c>
      <c r="D4646" t="s">
        <v>18</v>
      </c>
      <c r="E4646" t="s">
        <v>16</v>
      </c>
      <c r="F4646" t="s">
        <v>12</v>
      </c>
      <c r="G4646" t="s">
        <v>12</v>
      </c>
      <c r="H4646" t="s">
        <v>12</v>
      </c>
      <c r="I4646">
        <v>35</v>
      </c>
      <c r="J4646">
        <f>ABS((I4646-EDA!$A$15)/EDA!$B$15)</f>
        <v>0.49258699768124525</v>
      </c>
      <c r="K4646" t="str">
        <f t="shared" si="72"/>
        <v>No</v>
      </c>
      <c r="L4646">
        <f>ABS((C4646-EDA!$F$15)/EDA!$G$15)</f>
        <v>0.37074158590041978</v>
      </c>
      <c r="M4646" t="str">
        <f>IF(moras[[#This Row],[Z-Score Salario]]&gt;1.96, "Sí", "No")</f>
        <v>No</v>
      </c>
      <c r="N4646" s="14">
        <f>IF(ISBLANK(moras[[#This Row],[SALARIO]]), EDA!$M$8, moras[[#This Row],[SALARIO]])</f>
        <v>295203</v>
      </c>
      <c r="O4646" s="14">
        <f xml:space="preserve"> IF(ISBLANK(moras[[#This Row],[EDAD]]), EDA!$E$8, moras[[#This Row],[EDAD]])</f>
        <v>35</v>
      </c>
      <c r="P4646" s="14" t="str">
        <f>IF(
    OR(ISBLANK(moras[[#This Row],[TIPO_ASEGURAMIENTO]]), moras[[#This Row],[TIPO_ASEGURAMIENTO]]=""),
    EDA!$A$32,
    moras[[#This Row],[TIPO_ASEGURAMIENTO]]
)</f>
        <v>TRABAJADOR INDEPENDIENTE</v>
      </c>
    </row>
    <row r="4647" spans="1:16" x14ac:dyDescent="0.3">
      <c r="A4647">
        <v>4646</v>
      </c>
      <c r="B4647" t="s">
        <v>15</v>
      </c>
      <c r="C4647">
        <v>392686</v>
      </c>
      <c r="D4647" t="s">
        <v>10</v>
      </c>
      <c r="E4647" t="s">
        <v>11</v>
      </c>
      <c r="F4647" t="s">
        <v>12</v>
      </c>
      <c r="G4647" t="s">
        <v>13</v>
      </c>
      <c r="H4647" t="s">
        <v>13</v>
      </c>
      <c r="I4647">
        <v>56</v>
      </c>
      <c r="J4647">
        <f>ABS((I4647-EDA!$A$15)/EDA!$B$15)</f>
        <v>0.9894949339386423</v>
      </c>
      <c r="K4647" t="str">
        <f t="shared" si="72"/>
        <v>No</v>
      </c>
      <c r="L4647">
        <f>ABS((C4647-EDA!$F$15)/EDA!$G$15)</f>
        <v>0.36911939996598103</v>
      </c>
      <c r="M4647" t="str">
        <f>IF(moras[[#This Row],[Z-Score Salario]]&gt;1.96, "Sí", "No")</f>
        <v>No</v>
      </c>
      <c r="N4647" s="14">
        <f>IF(ISBLANK(moras[[#This Row],[SALARIO]]), EDA!$M$8, moras[[#This Row],[SALARIO]])</f>
        <v>392686</v>
      </c>
      <c r="O4647" s="14">
        <f xml:space="preserve"> IF(ISBLANK(moras[[#This Row],[EDAD]]), EDA!$E$8, moras[[#This Row],[EDAD]])</f>
        <v>56</v>
      </c>
      <c r="P4647" s="14" t="str">
        <f>IF(
    OR(ISBLANK(moras[[#This Row],[TIPO_ASEGURAMIENTO]]), moras[[#This Row],[TIPO_ASEGURAMIENTO]]=""),
    EDA!$A$32,
    moras[[#This Row],[TIPO_ASEGURAMIENTO]]
)</f>
        <v>ASALARIADO</v>
      </c>
    </row>
    <row r="4648" spans="1:16" x14ac:dyDescent="0.3">
      <c r="A4648">
        <v>4647</v>
      </c>
      <c r="B4648" t="s">
        <v>9</v>
      </c>
      <c r="C4648">
        <v>1544128</v>
      </c>
      <c r="D4648" t="s">
        <v>10</v>
      </c>
      <c r="E4648" t="s">
        <v>11</v>
      </c>
      <c r="F4648" t="s">
        <v>12</v>
      </c>
      <c r="G4648" t="s">
        <v>13</v>
      </c>
      <c r="H4648" t="s">
        <v>13</v>
      </c>
      <c r="I4648">
        <v>49</v>
      </c>
      <c r="J4648">
        <f>ABS((I4648-EDA!$A$15)/EDA!$B$15)</f>
        <v>0.49546762339867978</v>
      </c>
      <c r="K4648" t="str">
        <f t="shared" si="72"/>
        <v>No</v>
      </c>
      <c r="L4648">
        <f>ABS((C4648-EDA!$F$15)/EDA!$G$15)</f>
        <v>0.34995859226902892</v>
      </c>
      <c r="M4648" t="str">
        <f>IF(moras[[#This Row],[Z-Score Salario]]&gt;1.96, "Sí", "No")</f>
        <v>No</v>
      </c>
      <c r="N4648" s="14">
        <f>IF(ISBLANK(moras[[#This Row],[SALARIO]]), EDA!$M$8, moras[[#This Row],[SALARIO]])</f>
        <v>1544128</v>
      </c>
      <c r="O4648" s="14">
        <f xml:space="preserve"> IF(ISBLANK(moras[[#This Row],[EDAD]]), EDA!$E$8, moras[[#This Row],[EDAD]])</f>
        <v>49</v>
      </c>
      <c r="P4648" s="14" t="str">
        <f>IF(
    OR(ISBLANK(moras[[#This Row],[TIPO_ASEGURAMIENTO]]), moras[[#This Row],[TIPO_ASEGURAMIENTO]]=""),
    EDA!$A$32,
    moras[[#This Row],[TIPO_ASEGURAMIENTO]]
)</f>
        <v>ASALARIADO</v>
      </c>
    </row>
    <row r="4649" spans="1:16" x14ac:dyDescent="0.3">
      <c r="A4649">
        <v>4648</v>
      </c>
      <c r="B4649" t="s">
        <v>9</v>
      </c>
      <c r="C4649">
        <v>25000</v>
      </c>
      <c r="D4649" t="s">
        <v>10</v>
      </c>
      <c r="E4649" t="s">
        <v>16</v>
      </c>
      <c r="F4649" t="s">
        <v>12</v>
      </c>
      <c r="G4649" t="s">
        <v>13</v>
      </c>
      <c r="H4649" t="s">
        <v>13</v>
      </c>
      <c r="I4649">
        <v>24</v>
      </c>
      <c r="J4649">
        <f>ABS((I4649-EDA!$A$15)/EDA!$B$15)</f>
        <v>1.2689156285297578</v>
      </c>
      <c r="K4649" t="str">
        <f t="shared" si="72"/>
        <v>No</v>
      </c>
      <c r="L4649">
        <f>ABS((C4649-EDA!$F$15)/EDA!$G$15)</f>
        <v>0.37523795456001319</v>
      </c>
      <c r="M4649" t="str">
        <f>IF(moras[[#This Row],[Z-Score Salario]]&gt;1.96, "Sí", "No")</f>
        <v>No</v>
      </c>
      <c r="N4649" s="14">
        <f>IF(ISBLANK(moras[[#This Row],[SALARIO]]), EDA!$M$8, moras[[#This Row],[SALARIO]])</f>
        <v>25000</v>
      </c>
      <c r="O4649" s="14">
        <f xml:space="preserve"> IF(ISBLANK(moras[[#This Row],[EDAD]]), EDA!$E$8, moras[[#This Row],[EDAD]])</f>
        <v>24</v>
      </c>
      <c r="P4649" s="14" t="str">
        <f>IF(
    OR(ISBLANK(moras[[#This Row],[TIPO_ASEGURAMIENTO]]), moras[[#This Row],[TIPO_ASEGURAMIENTO]]=""),
    EDA!$A$32,
    moras[[#This Row],[TIPO_ASEGURAMIENTO]]
)</f>
        <v>ASALARIADO</v>
      </c>
    </row>
    <row r="4650" spans="1:16" x14ac:dyDescent="0.3">
      <c r="A4650">
        <v>4649</v>
      </c>
      <c r="B4650" t="s">
        <v>9</v>
      </c>
      <c r="C4650">
        <v>58977212</v>
      </c>
      <c r="D4650" t="s">
        <v>10</v>
      </c>
      <c r="E4650" t="s">
        <v>16</v>
      </c>
      <c r="F4650" t="s">
        <v>12</v>
      </c>
      <c r="G4650" t="s">
        <v>13</v>
      </c>
      <c r="H4650" t="s">
        <v>13</v>
      </c>
      <c r="I4650">
        <v>23</v>
      </c>
      <c r="J4650">
        <f>ABS((I4650-EDA!$A$15)/EDA!$B$15)</f>
        <v>1.3394909586068953</v>
      </c>
      <c r="K4650" t="str">
        <f t="shared" si="72"/>
        <v>No</v>
      </c>
      <c r="L4650">
        <f>ABS((C4650-EDA!$F$15)/EDA!$G$15)</f>
        <v>0.60576846820548824</v>
      </c>
      <c r="M4650" t="str">
        <f>IF(moras[[#This Row],[Z-Score Salario]]&gt;1.96, "Sí", "No")</f>
        <v>No</v>
      </c>
      <c r="N4650" s="14">
        <f>IF(ISBLANK(moras[[#This Row],[SALARIO]]), EDA!$M$8, moras[[#This Row],[SALARIO]])</f>
        <v>58977212</v>
      </c>
      <c r="O4650" s="14">
        <f xml:space="preserve"> IF(ISBLANK(moras[[#This Row],[EDAD]]), EDA!$E$8, moras[[#This Row],[EDAD]])</f>
        <v>23</v>
      </c>
      <c r="P4650" s="14" t="str">
        <f>IF(
    OR(ISBLANK(moras[[#This Row],[TIPO_ASEGURAMIENTO]]), moras[[#This Row],[TIPO_ASEGURAMIENTO]]=""),
    EDA!$A$32,
    moras[[#This Row],[TIPO_ASEGURAMIENTO]]
)</f>
        <v>ASALARIADO</v>
      </c>
    </row>
    <row r="4651" spans="1:16" x14ac:dyDescent="0.3">
      <c r="A4651">
        <v>4650</v>
      </c>
      <c r="B4651" t="s">
        <v>9</v>
      </c>
      <c r="C4651">
        <v>297045</v>
      </c>
      <c r="D4651" t="s">
        <v>17</v>
      </c>
      <c r="E4651" t="s">
        <v>16</v>
      </c>
      <c r="F4651" t="s">
        <v>12</v>
      </c>
      <c r="G4651" t="s">
        <v>12</v>
      </c>
      <c r="H4651" t="s">
        <v>13</v>
      </c>
      <c r="I4651">
        <v>62</v>
      </c>
      <c r="J4651">
        <f>ABS((I4651-EDA!$A$15)/EDA!$B$15)</f>
        <v>1.4129469144014672</v>
      </c>
      <c r="K4651" t="str">
        <f t="shared" si="72"/>
        <v>No</v>
      </c>
      <c r="L4651">
        <f>ABS((C4651-EDA!$F$15)/EDA!$G$15)</f>
        <v>0.37071093372012948</v>
      </c>
      <c r="M4651" t="str">
        <f>IF(moras[[#This Row],[Z-Score Salario]]&gt;1.96, "Sí", "No")</f>
        <v>No</v>
      </c>
      <c r="N4651" s="14">
        <f>IF(ISBLANK(moras[[#This Row],[SALARIO]]), EDA!$M$8, moras[[#This Row],[SALARIO]])</f>
        <v>297045</v>
      </c>
      <c r="O4651" s="14">
        <f xml:space="preserve"> IF(ISBLANK(moras[[#This Row],[EDAD]]), EDA!$E$8, moras[[#This Row],[EDAD]])</f>
        <v>62</v>
      </c>
      <c r="P4651" s="14" t="str">
        <f>IF(
    OR(ISBLANK(moras[[#This Row],[TIPO_ASEGURAMIENTO]]), moras[[#This Row],[TIPO_ASEGURAMIENTO]]=""),
    EDA!$A$32,
    moras[[#This Row],[TIPO_ASEGURAMIENTO]]
)</f>
        <v>ASEGURADO VOLUNTARIO</v>
      </c>
    </row>
    <row r="4652" spans="1:16" x14ac:dyDescent="0.3">
      <c r="A4652">
        <v>4651</v>
      </c>
      <c r="B4652" t="s">
        <v>9</v>
      </c>
      <c r="C4652">
        <v>64042422</v>
      </c>
      <c r="D4652" t="s">
        <v>10</v>
      </c>
      <c r="E4652" t="s">
        <v>16</v>
      </c>
      <c r="F4652" t="s">
        <v>12</v>
      </c>
      <c r="G4652" t="s">
        <v>13</v>
      </c>
      <c r="H4652" t="s">
        <v>13</v>
      </c>
      <c r="I4652">
        <v>37</v>
      </c>
      <c r="J4652">
        <f>ABS((I4652-EDA!$A$15)/EDA!$B$15)</f>
        <v>0.35143633752697023</v>
      </c>
      <c r="K4652" t="str">
        <f t="shared" si="72"/>
        <v>No</v>
      </c>
      <c r="L4652">
        <f>ABS((C4652-EDA!$F$15)/EDA!$G$15)</f>
        <v>0.69005713819900849</v>
      </c>
      <c r="M4652" t="str">
        <f>IF(moras[[#This Row],[Z-Score Salario]]&gt;1.96, "Sí", "No")</f>
        <v>No</v>
      </c>
      <c r="N4652" s="14">
        <f>IF(ISBLANK(moras[[#This Row],[SALARIO]]), EDA!$M$8, moras[[#This Row],[SALARIO]])</f>
        <v>64042422</v>
      </c>
      <c r="O4652" s="14">
        <f xml:space="preserve"> IF(ISBLANK(moras[[#This Row],[EDAD]]), EDA!$E$8, moras[[#This Row],[EDAD]])</f>
        <v>37</v>
      </c>
      <c r="P4652" s="14" t="str">
        <f>IF(
    OR(ISBLANK(moras[[#This Row],[TIPO_ASEGURAMIENTO]]), moras[[#This Row],[TIPO_ASEGURAMIENTO]]=""),
    EDA!$A$32,
    moras[[#This Row],[TIPO_ASEGURAMIENTO]]
)</f>
        <v>ASALARIADO</v>
      </c>
    </row>
    <row r="4653" spans="1:16" x14ac:dyDescent="0.3">
      <c r="A4653">
        <v>4652</v>
      </c>
      <c r="B4653" t="s">
        <v>9</v>
      </c>
      <c r="C4653">
        <v>332791</v>
      </c>
      <c r="D4653" t="s">
        <v>10</v>
      </c>
      <c r="E4653" t="s">
        <v>16</v>
      </c>
      <c r="F4653" t="s">
        <v>12</v>
      </c>
      <c r="G4653" t="s">
        <v>13</v>
      </c>
      <c r="H4653" t="s">
        <v>12</v>
      </c>
      <c r="I4653">
        <v>37</v>
      </c>
      <c r="J4653">
        <f>ABS((I4653-EDA!$A$15)/EDA!$B$15)</f>
        <v>0.35143633752697023</v>
      </c>
      <c r="K4653" t="str">
        <f t="shared" si="72"/>
        <v>No</v>
      </c>
      <c r="L4653">
        <f>ABS((C4653-EDA!$F$15)/EDA!$G$15)</f>
        <v>0.3701160950465921</v>
      </c>
      <c r="M4653" t="str">
        <f>IF(moras[[#This Row],[Z-Score Salario]]&gt;1.96, "Sí", "No")</f>
        <v>No</v>
      </c>
      <c r="N4653" s="14">
        <f>IF(ISBLANK(moras[[#This Row],[SALARIO]]), EDA!$M$8, moras[[#This Row],[SALARIO]])</f>
        <v>332791</v>
      </c>
      <c r="O4653" s="14">
        <f xml:space="preserve"> IF(ISBLANK(moras[[#This Row],[EDAD]]), EDA!$E$8, moras[[#This Row],[EDAD]])</f>
        <v>37</v>
      </c>
      <c r="P4653" s="14" t="str">
        <f>IF(
    OR(ISBLANK(moras[[#This Row],[TIPO_ASEGURAMIENTO]]), moras[[#This Row],[TIPO_ASEGURAMIENTO]]=""),
    EDA!$A$32,
    moras[[#This Row],[TIPO_ASEGURAMIENTO]]
)</f>
        <v>ASALARIADO</v>
      </c>
    </row>
    <row r="4654" spans="1:16" x14ac:dyDescent="0.3">
      <c r="A4654">
        <v>4653</v>
      </c>
      <c r="B4654" t="s">
        <v>9</v>
      </c>
      <c r="C4654">
        <v>297046</v>
      </c>
      <c r="D4654" t="s">
        <v>18</v>
      </c>
      <c r="E4654" t="s">
        <v>16</v>
      </c>
      <c r="F4654" t="s">
        <v>12</v>
      </c>
      <c r="G4654" t="s">
        <v>13</v>
      </c>
      <c r="H4654" t="s">
        <v>12</v>
      </c>
      <c r="I4654">
        <v>55</v>
      </c>
      <c r="J4654">
        <f>ABS((I4654-EDA!$A$15)/EDA!$B$15)</f>
        <v>0.91891960386150484</v>
      </c>
      <c r="K4654" t="str">
        <f t="shared" si="72"/>
        <v>No</v>
      </c>
      <c r="L4654">
        <f>ABS((C4654-EDA!$F$15)/EDA!$G$15)</f>
        <v>0.37071091707942361</v>
      </c>
      <c r="M4654" t="str">
        <f>IF(moras[[#This Row],[Z-Score Salario]]&gt;1.96, "Sí", "No")</f>
        <v>No</v>
      </c>
      <c r="N4654" s="14">
        <f>IF(ISBLANK(moras[[#This Row],[SALARIO]]), EDA!$M$8, moras[[#This Row],[SALARIO]])</f>
        <v>297046</v>
      </c>
      <c r="O4654" s="14">
        <f xml:space="preserve"> IF(ISBLANK(moras[[#This Row],[EDAD]]), EDA!$E$8, moras[[#This Row],[EDAD]])</f>
        <v>55</v>
      </c>
      <c r="P4654" s="14" t="str">
        <f>IF(
    OR(ISBLANK(moras[[#This Row],[TIPO_ASEGURAMIENTO]]), moras[[#This Row],[TIPO_ASEGURAMIENTO]]=""),
    EDA!$A$32,
    moras[[#This Row],[TIPO_ASEGURAMIENTO]]
)</f>
        <v>TRABAJADOR INDEPENDIENTE</v>
      </c>
    </row>
    <row r="4655" spans="1:16" x14ac:dyDescent="0.3">
      <c r="A4655">
        <v>4654</v>
      </c>
      <c r="B4655" t="s">
        <v>9</v>
      </c>
      <c r="C4655">
        <v>424277</v>
      </c>
      <c r="D4655" t="s">
        <v>18</v>
      </c>
      <c r="E4655" t="s">
        <v>16</v>
      </c>
      <c r="F4655" t="s">
        <v>12</v>
      </c>
      <c r="G4655" t="s">
        <v>13</v>
      </c>
      <c r="H4655" t="s">
        <v>12</v>
      </c>
      <c r="I4655">
        <v>49</v>
      </c>
      <c r="J4655">
        <f>ABS((I4655-EDA!$A$15)/EDA!$B$15)</f>
        <v>0.49546762339867978</v>
      </c>
      <c r="K4655" t="str">
        <f t="shared" si="72"/>
        <v>No</v>
      </c>
      <c r="L4655">
        <f>ABS((C4655-EDA!$F$15)/EDA!$G$15)</f>
        <v>0.36859370342550885</v>
      </c>
      <c r="M4655" t="str">
        <f>IF(moras[[#This Row],[Z-Score Salario]]&gt;1.96, "Sí", "No")</f>
        <v>No</v>
      </c>
      <c r="N4655" s="14">
        <f>IF(ISBLANK(moras[[#This Row],[SALARIO]]), EDA!$M$8, moras[[#This Row],[SALARIO]])</f>
        <v>424277</v>
      </c>
      <c r="O4655" s="14">
        <f xml:space="preserve"> IF(ISBLANK(moras[[#This Row],[EDAD]]), EDA!$E$8, moras[[#This Row],[EDAD]])</f>
        <v>49</v>
      </c>
      <c r="P4655" s="14" t="str">
        <f>IF(
    OR(ISBLANK(moras[[#This Row],[TIPO_ASEGURAMIENTO]]), moras[[#This Row],[TIPO_ASEGURAMIENTO]]=""),
    EDA!$A$32,
    moras[[#This Row],[TIPO_ASEGURAMIENTO]]
)</f>
        <v>TRABAJADOR INDEPENDIENTE</v>
      </c>
    </row>
    <row r="4656" spans="1:16" x14ac:dyDescent="0.3">
      <c r="A4656">
        <v>4655</v>
      </c>
      <c r="B4656" t="s">
        <v>15</v>
      </c>
      <c r="C4656">
        <v>462065</v>
      </c>
      <c r="D4656" t="s">
        <v>10</v>
      </c>
      <c r="E4656" t="s">
        <v>16</v>
      </c>
      <c r="F4656" t="s">
        <v>12</v>
      </c>
      <c r="G4656" t="s">
        <v>13</v>
      </c>
      <c r="H4656" t="s">
        <v>13</v>
      </c>
      <c r="I4656">
        <v>31</v>
      </c>
      <c r="J4656">
        <f>ABS((I4656-EDA!$A$15)/EDA!$B$15)</f>
        <v>0.77488831798979529</v>
      </c>
      <c r="K4656" t="str">
        <f t="shared" si="72"/>
        <v>No</v>
      </c>
      <c r="L4656">
        <f>ABS((C4656-EDA!$F$15)/EDA!$G$15)</f>
        <v>0.36796488443049874</v>
      </c>
      <c r="M4656" t="str">
        <f>IF(moras[[#This Row],[Z-Score Salario]]&gt;1.96, "Sí", "No")</f>
        <v>No</v>
      </c>
      <c r="N4656" s="14">
        <f>IF(ISBLANK(moras[[#This Row],[SALARIO]]), EDA!$M$8, moras[[#This Row],[SALARIO]])</f>
        <v>462065</v>
      </c>
      <c r="O4656" s="14">
        <f xml:space="preserve"> IF(ISBLANK(moras[[#This Row],[EDAD]]), EDA!$E$8, moras[[#This Row],[EDAD]])</f>
        <v>31</v>
      </c>
      <c r="P4656" s="14" t="str">
        <f>IF(
    OR(ISBLANK(moras[[#This Row],[TIPO_ASEGURAMIENTO]]), moras[[#This Row],[TIPO_ASEGURAMIENTO]]=""),
    EDA!$A$32,
    moras[[#This Row],[TIPO_ASEGURAMIENTO]]
)</f>
        <v>ASALARIADO</v>
      </c>
    </row>
    <row r="4657" spans="1:16" x14ac:dyDescent="0.3">
      <c r="A4657">
        <v>4656</v>
      </c>
      <c r="B4657" t="s">
        <v>9</v>
      </c>
      <c r="C4657">
        <v>91416991</v>
      </c>
      <c r="D4657" t="s">
        <v>10</v>
      </c>
      <c r="E4657" t="s">
        <v>16</v>
      </c>
      <c r="F4657" t="s">
        <v>12</v>
      </c>
      <c r="G4657" t="s">
        <v>13</v>
      </c>
      <c r="H4657" t="s">
        <v>13</v>
      </c>
      <c r="I4657">
        <v>40</v>
      </c>
      <c r="J4657">
        <f>ABS((I4657-EDA!$A$15)/EDA!$B$15)</f>
        <v>0.13971034729555773</v>
      </c>
      <c r="K4657" t="str">
        <f t="shared" si="72"/>
        <v>No</v>
      </c>
      <c r="L4657">
        <f>ABS((C4657-EDA!$F$15)/EDA!$G$15)</f>
        <v>1.145589290401158</v>
      </c>
      <c r="M4657" t="str">
        <f>IF(moras[[#This Row],[Z-Score Salario]]&gt;1.96, "Sí", "No")</f>
        <v>No</v>
      </c>
      <c r="N4657" s="14">
        <f>IF(ISBLANK(moras[[#This Row],[SALARIO]]), EDA!$M$8, moras[[#This Row],[SALARIO]])</f>
        <v>91416991</v>
      </c>
      <c r="O4657" s="14">
        <f xml:space="preserve"> IF(ISBLANK(moras[[#This Row],[EDAD]]), EDA!$E$8, moras[[#This Row],[EDAD]])</f>
        <v>40</v>
      </c>
      <c r="P4657" s="14" t="str">
        <f>IF(
    OR(ISBLANK(moras[[#This Row],[TIPO_ASEGURAMIENTO]]), moras[[#This Row],[TIPO_ASEGURAMIENTO]]=""),
    EDA!$A$32,
    moras[[#This Row],[TIPO_ASEGURAMIENTO]]
)</f>
        <v>ASALARIADO</v>
      </c>
    </row>
    <row r="4658" spans="1:16" x14ac:dyDescent="0.3">
      <c r="A4658">
        <v>4657</v>
      </c>
      <c r="B4658" t="s">
        <v>9</v>
      </c>
      <c r="C4658">
        <v>550000</v>
      </c>
      <c r="D4658" t="s">
        <v>10</v>
      </c>
      <c r="E4658" t="s">
        <v>16</v>
      </c>
      <c r="F4658" t="s">
        <v>12</v>
      </c>
      <c r="G4658" t="s">
        <v>13</v>
      </c>
      <c r="H4658" t="s">
        <v>12</v>
      </c>
      <c r="I4658">
        <v>34</v>
      </c>
      <c r="J4658">
        <f>ABS((I4658-EDA!$A$15)/EDA!$B$15)</f>
        <v>0.56316232775838282</v>
      </c>
      <c r="K4658" t="str">
        <f t="shared" si="72"/>
        <v>No</v>
      </c>
      <c r="L4658">
        <f>ABS((C4658-EDA!$F$15)/EDA!$G$15)</f>
        <v>0.36650158395610966</v>
      </c>
      <c r="M4658" t="str">
        <f>IF(moras[[#This Row],[Z-Score Salario]]&gt;1.96, "Sí", "No")</f>
        <v>No</v>
      </c>
      <c r="N4658" s="14">
        <f>IF(ISBLANK(moras[[#This Row],[SALARIO]]), EDA!$M$8, moras[[#This Row],[SALARIO]])</f>
        <v>550000</v>
      </c>
      <c r="O4658" s="14">
        <f xml:space="preserve"> IF(ISBLANK(moras[[#This Row],[EDAD]]), EDA!$E$8, moras[[#This Row],[EDAD]])</f>
        <v>34</v>
      </c>
      <c r="P4658" s="14" t="str">
        <f>IF(
    OR(ISBLANK(moras[[#This Row],[TIPO_ASEGURAMIENTO]]), moras[[#This Row],[TIPO_ASEGURAMIENTO]]=""),
    EDA!$A$32,
    moras[[#This Row],[TIPO_ASEGURAMIENTO]]
)</f>
        <v>ASALARIADO</v>
      </c>
    </row>
    <row r="4659" spans="1:16" x14ac:dyDescent="0.3">
      <c r="A4659">
        <v>4658</v>
      </c>
      <c r="B4659" t="s">
        <v>15</v>
      </c>
      <c r="C4659">
        <v>7633751</v>
      </c>
      <c r="D4659" t="s">
        <v>10</v>
      </c>
      <c r="E4659" t="s">
        <v>11</v>
      </c>
      <c r="F4659" t="s">
        <v>12</v>
      </c>
      <c r="G4659" t="s">
        <v>13</v>
      </c>
      <c r="H4659" t="s">
        <v>13</v>
      </c>
      <c r="I4659">
        <v>35</v>
      </c>
      <c r="J4659">
        <f>ABS((I4659-EDA!$A$15)/EDA!$B$15)</f>
        <v>0.49258699768124525</v>
      </c>
      <c r="K4659" t="str">
        <f t="shared" si="72"/>
        <v>No</v>
      </c>
      <c r="L4659">
        <f>ABS((C4659-EDA!$F$15)/EDA!$G$15)</f>
        <v>0.248622966809877</v>
      </c>
      <c r="M4659" t="str">
        <f>IF(moras[[#This Row],[Z-Score Salario]]&gt;1.96, "Sí", "No")</f>
        <v>No</v>
      </c>
      <c r="N4659" s="14">
        <f>IF(ISBLANK(moras[[#This Row],[SALARIO]]), EDA!$M$8, moras[[#This Row],[SALARIO]])</f>
        <v>7633751</v>
      </c>
      <c r="O4659" s="14">
        <f xml:space="preserve"> IF(ISBLANK(moras[[#This Row],[EDAD]]), EDA!$E$8, moras[[#This Row],[EDAD]])</f>
        <v>35</v>
      </c>
      <c r="P4659" s="14" t="str">
        <f>IF(
    OR(ISBLANK(moras[[#This Row],[TIPO_ASEGURAMIENTO]]), moras[[#This Row],[TIPO_ASEGURAMIENTO]]=""),
    EDA!$A$32,
    moras[[#This Row],[TIPO_ASEGURAMIENTO]]
)</f>
        <v>ASALARIADO</v>
      </c>
    </row>
    <row r="4660" spans="1:16" x14ac:dyDescent="0.3">
      <c r="A4660">
        <v>4659</v>
      </c>
      <c r="B4660" t="s">
        <v>15</v>
      </c>
      <c r="C4660">
        <v>450000</v>
      </c>
      <c r="D4660" t="s">
        <v>10</v>
      </c>
      <c r="E4660" t="s">
        <v>16</v>
      </c>
      <c r="F4660" t="s">
        <v>12</v>
      </c>
      <c r="G4660" t="s">
        <v>13</v>
      </c>
      <c r="H4660" t="s">
        <v>13</v>
      </c>
      <c r="I4660">
        <v>22</v>
      </c>
      <c r="J4660">
        <f>ABS((I4660-EDA!$A$15)/EDA!$B$15)</f>
        <v>1.4100662886840327</v>
      </c>
      <c r="K4660" t="str">
        <f t="shared" si="72"/>
        <v>No</v>
      </c>
      <c r="L4660">
        <f>ABS((C4660-EDA!$F$15)/EDA!$G$15)</f>
        <v>0.36816565454732936</v>
      </c>
      <c r="M4660" t="str">
        <f>IF(moras[[#This Row],[Z-Score Salario]]&gt;1.96, "Sí", "No")</f>
        <v>No</v>
      </c>
      <c r="N4660" s="14">
        <f>IF(ISBLANK(moras[[#This Row],[SALARIO]]), EDA!$M$8, moras[[#This Row],[SALARIO]])</f>
        <v>450000</v>
      </c>
      <c r="O4660" s="14">
        <f xml:space="preserve"> IF(ISBLANK(moras[[#This Row],[EDAD]]), EDA!$E$8, moras[[#This Row],[EDAD]])</f>
        <v>22</v>
      </c>
      <c r="P4660" s="14" t="str">
        <f>IF(
    OR(ISBLANK(moras[[#This Row],[TIPO_ASEGURAMIENTO]]), moras[[#This Row],[TIPO_ASEGURAMIENTO]]=""),
    EDA!$A$32,
    moras[[#This Row],[TIPO_ASEGURAMIENTO]]
)</f>
        <v>ASALARIADO</v>
      </c>
    </row>
    <row r="4661" spans="1:16" x14ac:dyDescent="0.3">
      <c r="A4661">
        <v>4660</v>
      </c>
      <c r="B4661" t="s">
        <v>9</v>
      </c>
      <c r="C4661">
        <v>123924</v>
      </c>
      <c r="D4661" t="s">
        <v>10</v>
      </c>
      <c r="E4661" t="s">
        <v>16</v>
      </c>
      <c r="F4661" t="s">
        <v>12</v>
      </c>
      <c r="G4661" t="s">
        <v>13</v>
      </c>
      <c r="H4661" t="s">
        <v>13</v>
      </c>
      <c r="I4661">
        <v>19</v>
      </c>
      <c r="J4661">
        <f>ABS((I4661-EDA!$A$15)/EDA!$B$15)</f>
        <v>1.6217922789154453</v>
      </c>
      <c r="K4661" t="str">
        <f t="shared" si="72"/>
        <v>No</v>
      </c>
      <c r="L4661">
        <f>ABS((C4661-EDA!$F$15)/EDA!$G$15)</f>
        <v>0.37359178936835497</v>
      </c>
      <c r="M4661" t="str">
        <f>IF(moras[[#This Row],[Z-Score Salario]]&gt;1.96, "Sí", "No")</f>
        <v>No</v>
      </c>
      <c r="N4661" s="14">
        <f>IF(ISBLANK(moras[[#This Row],[SALARIO]]), EDA!$M$8, moras[[#This Row],[SALARIO]])</f>
        <v>123924</v>
      </c>
      <c r="O4661" s="14">
        <f xml:space="preserve"> IF(ISBLANK(moras[[#This Row],[EDAD]]), EDA!$E$8, moras[[#This Row],[EDAD]])</f>
        <v>19</v>
      </c>
      <c r="P4661" s="14" t="str">
        <f>IF(
    OR(ISBLANK(moras[[#This Row],[TIPO_ASEGURAMIENTO]]), moras[[#This Row],[TIPO_ASEGURAMIENTO]]=""),
    EDA!$A$32,
    moras[[#This Row],[TIPO_ASEGURAMIENTO]]
)</f>
        <v>ASALARIADO</v>
      </c>
    </row>
    <row r="4662" spans="1:16" x14ac:dyDescent="0.3">
      <c r="A4662">
        <v>4661</v>
      </c>
      <c r="B4662" t="s">
        <v>9</v>
      </c>
      <c r="C4662">
        <v>39101295</v>
      </c>
      <c r="D4662" t="s">
        <v>10</v>
      </c>
      <c r="E4662" t="s">
        <v>16</v>
      </c>
      <c r="F4662" t="s">
        <v>12</v>
      </c>
      <c r="G4662" t="s">
        <v>13</v>
      </c>
      <c r="H4662" t="s">
        <v>13</v>
      </c>
      <c r="I4662">
        <v>21</v>
      </c>
      <c r="J4662">
        <f>ABS((I4662-EDA!$A$15)/EDA!$B$15)</f>
        <v>1.4806416187611704</v>
      </c>
      <c r="K4662" t="str">
        <f t="shared" si="72"/>
        <v>No</v>
      </c>
      <c r="L4662">
        <f>ABS((C4662-EDA!$F$15)/EDA!$G$15)</f>
        <v>0.27501917867324782</v>
      </c>
      <c r="M4662" t="str">
        <f>IF(moras[[#This Row],[Z-Score Salario]]&gt;1.96, "Sí", "No")</f>
        <v>No</v>
      </c>
      <c r="N4662" s="14">
        <f>IF(ISBLANK(moras[[#This Row],[SALARIO]]), EDA!$M$8, moras[[#This Row],[SALARIO]])</f>
        <v>39101295</v>
      </c>
      <c r="O4662" s="14">
        <f xml:space="preserve"> IF(ISBLANK(moras[[#This Row],[EDAD]]), EDA!$E$8, moras[[#This Row],[EDAD]])</f>
        <v>21</v>
      </c>
      <c r="P4662" s="14" t="str">
        <f>IF(
    OR(ISBLANK(moras[[#This Row],[TIPO_ASEGURAMIENTO]]), moras[[#This Row],[TIPO_ASEGURAMIENTO]]=""),
    EDA!$A$32,
    moras[[#This Row],[TIPO_ASEGURAMIENTO]]
)</f>
        <v>ASALARIADO</v>
      </c>
    </row>
    <row r="4663" spans="1:16" x14ac:dyDescent="0.3">
      <c r="A4663">
        <v>4662</v>
      </c>
      <c r="B4663" t="s">
        <v>9</v>
      </c>
      <c r="C4663">
        <v>364900</v>
      </c>
      <c r="D4663" t="s">
        <v>10</v>
      </c>
      <c r="E4663" t="s">
        <v>16</v>
      </c>
      <c r="F4663" t="s">
        <v>12</v>
      </c>
      <c r="G4663" t="s">
        <v>12</v>
      </c>
      <c r="H4663" t="s">
        <v>13</v>
      </c>
      <c r="I4663">
        <v>62</v>
      </c>
      <c r="J4663">
        <f>ABS((I4663-EDA!$A$15)/EDA!$B$15)</f>
        <v>1.4129469144014672</v>
      </c>
      <c r="K4663" t="str">
        <f t="shared" si="72"/>
        <v>No</v>
      </c>
      <c r="L4663">
        <f>ABS((C4663-EDA!$F$15)/EDA!$G$15)</f>
        <v>0.36958177862045738</v>
      </c>
      <c r="M4663" t="str">
        <f>IF(moras[[#This Row],[Z-Score Salario]]&gt;1.96, "Sí", "No")</f>
        <v>No</v>
      </c>
      <c r="N4663" s="14">
        <f>IF(ISBLANK(moras[[#This Row],[SALARIO]]), EDA!$M$8, moras[[#This Row],[SALARIO]])</f>
        <v>364900</v>
      </c>
      <c r="O4663" s="14">
        <f xml:space="preserve"> IF(ISBLANK(moras[[#This Row],[EDAD]]), EDA!$E$8, moras[[#This Row],[EDAD]])</f>
        <v>62</v>
      </c>
      <c r="P4663" s="14" t="str">
        <f>IF(
    OR(ISBLANK(moras[[#This Row],[TIPO_ASEGURAMIENTO]]), moras[[#This Row],[TIPO_ASEGURAMIENTO]]=""),
    EDA!$A$32,
    moras[[#This Row],[TIPO_ASEGURAMIENTO]]
)</f>
        <v>ASALARIADO</v>
      </c>
    </row>
    <row r="4664" spans="1:16" x14ac:dyDescent="0.3">
      <c r="A4664">
        <v>4663</v>
      </c>
      <c r="B4664" t="s">
        <v>9</v>
      </c>
      <c r="C4664">
        <v>796069</v>
      </c>
      <c r="D4664" t="s">
        <v>10</v>
      </c>
      <c r="E4664" t="s">
        <v>11</v>
      </c>
      <c r="F4664" t="s">
        <v>12</v>
      </c>
      <c r="G4664" t="s">
        <v>13</v>
      </c>
      <c r="H4664" t="s">
        <v>13</v>
      </c>
      <c r="I4664">
        <v>38</v>
      </c>
      <c r="J4664">
        <f>ABS((I4664-EDA!$A$15)/EDA!$B$15)</f>
        <v>0.28086100744983278</v>
      </c>
      <c r="K4664" t="str">
        <f t="shared" si="72"/>
        <v>No</v>
      </c>
      <c r="L4664">
        <f>ABS((C4664-EDA!$F$15)/EDA!$G$15)</f>
        <v>0.36240682209300124</v>
      </c>
      <c r="M4664" t="str">
        <f>IF(moras[[#This Row],[Z-Score Salario]]&gt;1.96, "Sí", "No")</f>
        <v>No</v>
      </c>
      <c r="N4664" s="14">
        <f>IF(ISBLANK(moras[[#This Row],[SALARIO]]), EDA!$M$8, moras[[#This Row],[SALARIO]])</f>
        <v>796069</v>
      </c>
      <c r="O4664" s="14">
        <f xml:space="preserve"> IF(ISBLANK(moras[[#This Row],[EDAD]]), EDA!$E$8, moras[[#This Row],[EDAD]])</f>
        <v>38</v>
      </c>
      <c r="P4664" s="14" t="str">
        <f>IF(
    OR(ISBLANK(moras[[#This Row],[TIPO_ASEGURAMIENTO]]), moras[[#This Row],[TIPO_ASEGURAMIENTO]]=""),
    EDA!$A$32,
    moras[[#This Row],[TIPO_ASEGURAMIENTO]]
)</f>
        <v>ASALARIADO</v>
      </c>
    </row>
    <row r="4665" spans="1:16" x14ac:dyDescent="0.3">
      <c r="A4665">
        <v>4664</v>
      </c>
      <c r="B4665" t="s">
        <v>9</v>
      </c>
      <c r="C4665">
        <v>9627571</v>
      </c>
      <c r="D4665" t="s">
        <v>14</v>
      </c>
      <c r="E4665" t="s">
        <v>11</v>
      </c>
      <c r="F4665" t="s">
        <v>12</v>
      </c>
      <c r="G4665" t="s">
        <v>13</v>
      </c>
      <c r="H4665" t="s">
        <v>13</v>
      </c>
      <c r="I4665">
        <v>63</v>
      </c>
      <c r="J4665">
        <f>ABS((I4665-EDA!$A$15)/EDA!$B$15)</f>
        <v>1.4835222444786049</v>
      </c>
      <c r="K4665" t="str">
        <f t="shared" si="72"/>
        <v>No</v>
      </c>
      <c r="L4665">
        <f>ABS((C4665-EDA!$F$15)/EDA!$G$15)</f>
        <v>0.21544439454802003</v>
      </c>
      <c r="M4665" t="str">
        <f>IF(moras[[#This Row],[Z-Score Salario]]&gt;1.96, "Sí", "No")</f>
        <v>No</v>
      </c>
      <c r="N4665" s="14">
        <f>IF(ISBLANK(moras[[#This Row],[SALARIO]]), EDA!$M$8, moras[[#This Row],[SALARIO]])</f>
        <v>9627571</v>
      </c>
      <c r="O4665" s="14">
        <f xml:space="preserve"> IF(ISBLANK(moras[[#This Row],[EDAD]]), EDA!$E$8, moras[[#This Row],[EDAD]])</f>
        <v>63</v>
      </c>
      <c r="P4665" s="14" t="str">
        <f>IF(
    OR(ISBLANK(moras[[#This Row],[TIPO_ASEGURAMIENTO]]), moras[[#This Row],[TIPO_ASEGURAMIENTO]]=""),
    EDA!$A$32,
    moras[[#This Row],[TIPO_ASEGURAMIENTO]]
)</f>
        <v>PENSIONADOS EN SU PROPIO SISTEMA</v>
      </c>
    </row>
    <row r="4666" spans="1:16" x14ac:dyDescent="0.3">
      <c r="A4666">
        <v>4665</v>
      </c>
      <c r="B4666" t="s">
        <v>9</v>
      </c>
      <c r="C4666">
        <v>1453308</v>
      </c>
      <c r="D4666" t="s">
        <v>14</v>
      </c>
      <c r="E4666" t="s">
        <v>11</v>
      </c>
      <c r="F4666" t="s">
        <v>12</v>
      </c>
      <c r="G4666" t="s">
        <v>13</v>
      </c>
      <c r="H4666" t="s">
        <v>13</v>
      </c>
      <c r="I4666">
        <v>70</v>
      </c>
      <c r="J4666">
        <f>ABS((I4666-EDA!$A$15)/EDA!$B$15)</f>
        <v>1.9775495550185673</v>
      </c>
      <c r="K4666" t="str">
        <f t="shared" si="72"/>
        <v>Sí</v>
      </c>
      <c r="L4666">
        <f>ABS((C4666-EDA!$F$15)/EDA!$G$15)</f>
        <v>0.35146990117997468</v>
      </c>
      <c r="M4666" t="str">
        <f>IF(moras[[#This Row],[Z-Score Salario]]&gt;1.96, "Sí", "No")</f>
        <v>No</v>
      </c>
      <c r="N4666" s="14">
        <f>IF(ISBLANK(moras[[#This Row],[SALARIO]]), EDA!$M$8, moras[[#This Row],[SALARIO]])</f>
        <v>1453308</v>
      </c>
      <c r="O4666" s="14">
        <f xml:space="preserve"> IF(ISBLANK(moras[[#This Row],[EDAD]]), EDA!$E$8, moras[[#This Row],[EDAD]])</f>
        <v>70</v>
      </c>
      <c r="P4666" s="14" t="str">
        <f>IF(
    OR(ISBLANK(moras[[#This Row],[TIPO_ASEGURAMIENTO]]), moras[[#This Row],[TIPO_ASEGURAMIENTO]]=""),
    EDA!$A$32,
    moras[[#This Row],[TIPO_ASEGURAMIENTO]]
)</f>
        <v>PENSIONADOS EN SU PROPIO SISTEMA</v>
      </c>
    </row>
    <row r="4667" spans="1:16" x14ac:dyDescent="0.3">
      <c r="A4667">
        <v>4666</v>
      </c>
      <c r="B4667" t="s">
        <v>9</v>
      </c>
      <c r="C4667">
        <v>74655641</v>
      </c>
      <c r="D4667" t="s">
        <v>10</v>
      </c>
      <c r="E4667" t="s">
        <v>11</v>
      </c>
      <c r="F4667" t="s">
        <v>12</v>
      </c>
      <c r="G4667" t="s">
        <v>13</v>
      </c>
      <c r="H4667" t="s">
        <v>13</v>
      </c>
      <c r="I4667">
        <v>30</v>
      </c>
      <c r="J4667">
        <f>ABS((I4667-EDA!$A$15)/EDA!$B$15)</f>
        <v>0.84546364806693275</v>
      </c>
      <c r="K4667" t="str">
        <f t="shared" si="72"/>
        <v>No</v>
      </c>
      <c r="L4667">
        <f>ABS((C4667-EDA!$F$15)/EDA!$G$15)</f>
        <v>0.86666859435975185</v>
      </c>
      <c r="M4667" t="str">
        <f>IF(moras[[#This Row],[Z-Score Salario]]&gt;1.96, "Sí", "No")</f>
        <v>No</v>
      </c>
      <c r="N4667" s="14">
        <f>IF(ISBLANK(moras[[#This Row],[SALARIO]]), EDA!$M$8, moras[[#This Row],[SALARIO]])</f>
        <v>74655641</v>
      </c>
      <c r="O4667" s="14">
        <f xml:space="preserve"> IF(ISBLANK(moras[[#This Row],[EDAD]]), EDA!$E$8, moras[[#This Row],[EDAD]])</f>
        <v>30</v>
      </c>
      <c r="P4667" s="14" t="str">
        <f>IF(
    OR(ISBLANK(moras[[#This Row],[TIPO_ASEGURAMIENTO]]), moras[[#This Row],[TIPO_ASEGURAMIENTO]]=""),
    EDA!$A$32,
    moras[[#This Row],[TIPO_ASEGURAMIENTO]]
)</f>
        <v>ASALARIADO</v>
      </c>
    </row>
    <row r="4668" spans="1:16" x14ac:dyDescent="0.3">
      <c r="A4668">
        <v>4667</v>
      </c>
      <c r="B4668" t="s">
        <v>9</v>
      </c>
      <c r="C4668">
        <v>14225427</v>
      </c>
      <c r="D4668" t="s">
        <v>10</v>
      </c>
      <c r="E4668" t="s">
        <v>11</v>
      </c>
      <c r="F4668" t="s">
        <v>12</v>
      </c>
      <c r="G4668" t="s">
        <v>13</v>
      </c>
      <c r="H4668" t="s">
        <v>13</v>
      </c>
      <c r="I4668">
        <v>60</v>
      </c>
      <c r="J4668">
        <f>ABS((I4668-EDA!$A$15)/EDA!$B$15)</f>
        <v>1.2717962542471923</v>
      </c>
      <c r="K4668" t="str">
        <f t="shared" si="72"/>
        <v>No</v>
      </c>
      <c r="L4668">
        <f>ABS((C4668-EDA!$F$15)/EDA!$G$15)</f>
        <v>0.13893282502538876</v>
      </c>
      <c r="M4668" t="str">
        <f>IF(moras[[#This Row],[Z-Score Salario]]&gt;1.96, "Sí", "No")</f>
        <v>No</v>
      </c>
      <c r="N4668" s="14">
        <f>IF(ISBLANK(moras[[#This Row],[SALARIO]]), EDA!$M$8, moras[[#This Row],[SALARIO]])</f>
        <v>14225427</v>
      </c>
      <c r="O4668" s="14">
        <f xml:space="preserve"> IF(ISBLANK(moras[[#This Row],[EDAD]]), EDA!$E$8, moras[[#This Row],[EDAD]])</f>
        <v>60</v>
      </c>
      <c r="P4668" s="14" t="str">
        <f>IF(
    OR(ISBLANK(moras[[#This Row],[TIPO_ASEGURAMIENTO]]), moras[[#This Row],[TIPO_ASEGURAMIENTO]]=""),
    EDA!$A$32,
    moras[[#This Row],[TIPO_ASEGURAMIENTO]]
)</f>
        <v>ASALARIADO</v>
      </c>
    </row>
    <row r="4669" spans="1:16" x14ac:dyDescent="0.3">
      <c r="A4669">
        <v>4668</v>
      </c>
      <c r="B4669" t="s">
        <v>9</v>
      </c>
      <c r="C4669">
        <v>14179965</v>
      </c>
      <c r="D4669" t="s">
        <v>10</v>
      </c>
      <c r="E4669" t="s">
        <v>11</v>
      </c>
      <c r="F4669" t="s">
        <v>12</v>
      </c>
      <c r="G4669" t="s">
        <v>13</v>
      </c>
      <c r="H4669" t="s">
        <v>13</v>
      </c>
      <c r="I4669">
        <v>32</v>
      </c>
      <c r="J4669">
        <f>ABS((I4669-EDA!$A$15)/EDA!$B$15)</f>
        <v>0.70431298791265773</v>
      </c>
      <c r="K4669" t="str">
        <f t="shared" si="72"/>
        <v>No</v>
      </c>
      <c r="L4669">
        <f>ABS((C4669-EDA!$F$15)/EDA!$G$15)</f>
        <v>0.13968934479756906</v>
      </c>
      <c r="M4669" t="str">
        <f>IF(moras[[#This Row],[Z-Score Salario]]&gt;1.96, "Sí", "No")</f>
        <v>No</v>
      </c>
      <c r="N4669" s="14">
        <f>IF(ISBLANK(moras[[#This Row],[SALARIO]]), EDA!$M$8, moras[[#This Row],[SALARIO]])</f>
        <v>14179965</v>
      </c>
      <c r="O4669" s="14">
        <f xml:space="preserve"> IF(ISBLANK(moras[[#This Row],[EDAD]]), EDA!$E$8, moras[[#This Row],[EDAD]])</f>
        <v>32</v>
      </c>
      <c r="P4669" s="14" t="str">
        <f>IF(
    OR(ISBLANK(moras[[#This Row],[TIPO_ASEGURAMIENTO]]), moras[[#This Row],[TIPO_ASEGURAMIENTO]]=""),
    EDA!$A$32,
    moras[[#This Row],[TIPO_ASEGURAMIENTO]]
)</f>
        <v>ASALARIADO</v>
      </c>
    </row>
    <row r="4670" spans="1:16" x14ac:dyDescent="0.3">
      <c r="A4670">
        <v>4669</v>
      </c>
      <c r="B4670" t="s">
        <v>15</v>
      </c>
      <c r="C4670">
        <v>37588238</v>
      </c>
      <c r="D4670" t="s">
        <v>10</v>
      </c>
      <c r="E4670" t="s">
        <v>16</v>
      </c>
      <c r="F4670" t="s">
        <v>12</v>
      </c>
      <c r="G4670" t="s">
        <v>12</v>
      </c>
      <c r="H4670" t="s">
        <v>13</v>
      </c>
      <c r="I4670">
        <v>56</v>
      </c>
      <c r="J4670">
        <f>ABS((I4670-EDA!$A$15)/EDA!$B$15)</f>
        <v>0.9894949339386423</v>
      </c>
      <c r="K4670" t="str">
        <f t="shared" si="72"/>
        <v>No</v>
      </c>
      <c r="L4670">
        <f>ABS((C4670-EDA!$F$15)/EDA!$G$15)</f>
        <v>0.24984084210785648</v>
      </c>
      <c r="M4670" t="str">
        <f>IF(moras[[#This Row],[Z-Score Salario]]&gt;1.96, "Sí", "No")</f>
        <v>No</v>
      </c>
      <c r="N4670" s="14">
        <f>IF(ISBLANK(moras[[#This Row],[SALARIO]]), EDA!$M$8, moras[[#This Row],[SALARIO]])</f>
        <v>37588238</v>
      </c>
      <c r="O4670" s="14">
        <f xml:space="preserve"> IF(ISBLANK(moras[[#This Row],[EDAD]]), EDA!$E$8, moras[[#This Row],[EDAD]])</f>
        <v>56</v>
      </c>
      <c r="P4670" s="14" t="str">
        <f>IF(
    OR(ISBLANK(moras[[#This Row],[TIPO_ASEGURAMIENTO]]), moras[[#This Row],[TIPO_ASEGURAMIENTO]]=""),
    EDA!$A$32,
    moras[[#This Row],[TIPO_ASEGURAMIENTO]]
)</f>
        <v>ASALARIADO</v>
      </c>
    </row>
    <row r="4671" spans="1:16" x14ac:dyDescent="0.3">
      <c r="A4671">
        <v>4670</v>
      </c>
      <c r="B4671" t="s">
        <v>15</v>
      </c>
      <c r="C4671">
        <v>348148</v>
      </c>
      <c r="D4671" t="s">
        <v>14</v>
      </c>
      <c r="E4671" t="s">
        <v>11</v>
      </c>
      <c r="F4671" t="s">
        <v>12</v>
      </c>
      <c r="G4671" t="s">
        <v>13</v>
      </c>
      <c r="H4671" t="s">
        <v>13</v>
      </c>
      <c r="I4671">
        <v>83</v>
      </c>
      <c r="J4671">
        <f>ABS((I4671-EDA!$A$15)/EDA!$B$15)</f>
        <v>2.8950288460213551</v>
      </c>
      <c r="K4671" t="str">
        <f t="shared" si="72"/>
        <v>Sí</v>
      </c>
      <c r="L4671">
        <f>ABS((C4671-EDA!$F$15)/EDA!$G$15)</f>
        <v>0.36986054372589849</v>
      </c>
      <c r="M4671" t="str">
        <f>IF(moras[[#This Row],[Z-Score Salario]]&gt;1.96, "Sí", "No")</f>
        <v>No</v>
      </c>
      <c r="N4671" s="14">
        <f>IF(ISBLANK(moras[[#This Row],[SALARIO]]), EDA!$M$8, moras[[#This Row],[SALARIO]])</f>
        <v>348148</v>
      </c>
      <c r="O4671" s="14">
        <f xml:space="preserve"> IF(ISBLANK(moras[[#This Row],[EDAD]]), EDA!$E$8, moras[[#This Row],[EDAD]])</f>
        <v>83</v>
      </c>
      <c r="P4671" s="14" t="str">
        <f>IF(
    OR(ISBLANK(moras[[#This Row],[TIPO_ASEGURAMIENTO]]), moras[[#This Row],[TIPO_ASEGURAMIENTO]]=""),
    EDA!$A$32,
    moras[[#This Row],[TIPO_ASEGURAMIENTO]]
)</f>
        <v>PENSIONADOS EN SU PROPIO SISTEMA</v>
      </c>
    </row>
    <row r="4672" spans="1:16" x14ac:dyDescent="0.3">
      <c r="A4672">
        <v>4671</v>
      </c>
      <c r="B4672" t="s">
        <v>15</v>
      </c>
      <c r="C4672">
        <v>1564419</v>
      </c>
      <c r="D4672" t="s">
        <v>10</v>
      </c>
      <c r="E4672" t="s">
        <v>16</v>
      </c>
      <c r="F4672" t="s">
        <v>12</v>
      </c>
      <c r="G4672" t="s">
        <v>13</v>
      </c>
      <c r="H4672" t="s">
        <v>13</v>
      </c>
      <c r="I4672">
        <v>43</v>
      </c>
      <c r="J4672">
        <f>ABS((I4672-EDA!$A$15)/EDA!$B$15)</f>
        <v>7.2015642935854773E-2</v>
      </c>
      <c r="K4672" t="str">
        <f t="shared" si="72"/>
        <v>No</v>
      </c>
      <c r="L4672">
        <f>ABS((C4672-EDA!$F$15)/EDA!$G$15)</f>
        <v>0.34962093570536451</v>
      </c>
      <c r="M4672" t="str">
        <f>IF(moras[[#This Row],[Z-Score Salario]]&gt;1.96, "Sí", "No")</f>
        <v>No</v>
      </c>
      <c r="N4672" s="14">
        <f>IF(ISBLANK(moras[[#This Row],[SALARIO]]), EDA!$M$8, moras[[#This Row],[SALARIO]])</f>
        <v>1564419</v>
      </c>
      <c r="O4672" s="14">
        <f xml:space="preserve"> IF(ISBLANK(moras[[#This Row],[EDAD]]), EDA!$E$8, moras[[#This Row],[EDAD]])</f>
        <v>43</v>
      </c>
      <c r="P4672" s="14" t="str">
        <f>IF(
    OR(ISBLANK(moras[[#This Row],[TIPO_ASEGURAMIENTO]]), moras[[#This Row],[TIPO_ASEGURAMIENTO]]=""),
    EDA!$A$32,
    moras[[#This Row],[TIPO_ASEGURAMIENTO]]
)</f>
        <v>ASALARIADO</v>
      </c>
    </row>
    <row r="4673" spans="1:16" x14ac:dyDescent="0.3">
      <c r="A4673">
        <v>4672</v>
      </c>
      <c r="B4673" t="s">
        <v>9</v>
      </c>
      <c r="C4673">
        <v>298054</v>
      </c>
      <c r="D4673" t="s">
        <v>17</v>
      </c>
      <c r="E4673" t="s">
        <v>16</v>
      </c>
      <c r="F4673" t="s">
        <v>13</v>
      </c>
      <c r="G4673" t="s">
        <v>13</v>
      </c>
      <c r="H4673" t="s">
        <v>12</v>
      </c>
      <c r="I4673">
        <v>28</v>
      </c>
      <c r="J4673">
        <f>ABS((I4673-EDA!$A$15)/EDA!$B$15)</f>
        <v>0.98661430822120777</v>
      </c>
      <c r="K4673" t="str">
        <f t="shared" si="72"/>
        <v>No</v>
      </c>
      <c r="L4673">
        <f>ABS((C4673-EDA!$F$15)/EDA!$G$15)</f>
        <v>0.37069414324786409</v>
      </c>
      <c r="M4673" t="str">
        <f>IF(moras[[#This Row],[Z-Score Salario]]&gt;1.96, "Sí", "No")</f>
        <v>No</v>
      </c>
      <c r="N4673" s="14">
        <f>IF(ISBLANK(moras[[#This Row],[SALARIO]]), EDA!$M$8, moras[[#This Row],[SALARIO]])</f>
        <v>298054</v>
      </c>
      <c r="O4673" s="14">
        <f xml:space="preserve"> IF(ISBLANK(moras[[#This Row],[EDAD]]), EDA!$E$8, moras[[#This Row],[EDAD]])</f>
        <v>28</v>
      </c>
      <c r="P4673" s="14" t="str">
        <f>IF(
    OR(ISBLANK(moras[[#This Row],[TIPO_ASEGURAMIENTO]]), moras[[#This Row],[TIPO_ASEGURAMIENTO]]=""),
    EDA!$A$32,
    moras[[#This Row],[TIPO_ASEGURAMIENTO]]
)</f>
        <v>ASEGURADO VOLUNTARIO</v>
      </c>
    </row>
    <row r="4674" spans="1:16" x14ac:dyDescent="0.3">
      <c r="A4674">
        <v>4673</v>
      </c>
      <c r="B4674" t="s">
        <v>9</v>
      </c>
      <c r="C4674">
        <v>53564315</v>
      </c>
      <c r="D4674" t="s">
        <v>10</v>
      </c>
      <c r="E4674" t="s">
        <v>16</v>
      </c>
      <c r="F4674" t="s">
        <v>12</v>
      </c>
      <c r="G4674" t="s">
        <v>13</v>
      </c>
      <c r="H4674" t="s">
        <v>13</v>
      </c>
      <c r="I4674">
        <v>31</v>
      </c>
      <c r="J4674">
        <f>ABS((I4674-EDA!$A$15)/EDA!$B$15)</f>
        <v>0.77488831798979529</v>
      </c>
      <c r="K4674" t="str">
        <f t="shared" ref="K4674:K4737" si="73">IF(J4674 &gt;  1.96, "Sí","No")</f>
        <v>No</v>
      </c>
      <c r="L4674">
        <f>ABS((C4674-EDA!$F$15)/EDA!$G$15)</f>
        <v>0.51569404109547379</v>
      </c>
      <c r="M4674" t="str">
        <f>IF(moras[[#This Row],[Z-Score Salario]]&gt;1.96, "Sí", "No")</f>
        <v>No</v>
      </c>
      <c r="N4674" s="14">
        <f>IF(ISBLANK(moras[[#This Row],[SALARIO]]), EDA!$M$8, moras[[#This Row],[SALARIO]])</f>
        <v>53564315</v>
      </c>
      <c r="O4674" s="14">
        <f xml:space="preserve"> IF(ISBLANK(moras[[#This Row],[EDAD]]), EDA!$E$8, moras[[#This Row],[EDAD]])</f>
        <v>31</v>
      </c>
      <c r="P4674" s="14" t="str">
        <f>IF(
    OR(ISBLANK(moras[[#This Row],[TIPO_ASEGURAMIENTO]]), moras[[#This Row],[TIPO_ASEGURAMIENTO]]=""),
    EDA!$A$32,
    moras[[#This Row],[TIPO_ASEGURAMIENTO]]
)</f>
        <v>ASALARIADO</v>
      </c>
    </row>
    <row r="4675" spans="1:16" x14ac:dyDescent="0.3">
      <c r="A4675">
        <v>4674</v>
      </c>
      <c r="B4675" t="s">
        <v>9</v>
      </c>
      <c r="C4675">
        <v>835000</v>
      </c>
      <c r="D4675" t="s">
        <v>10</v>
      </c>
      <c r="E4675" t="s">
        <v>16</v>
      </c>
      <c r="F4675" t="s">
        <v>12</v>
      </c>
      <c r="G4675" t="s">
        <v>13</v>
      </c>
      <c r="H4675" t="s">
        <v>13</v>
      </c>
      <c r="I4675">
        <v>32</v>
      </c>
      <c r="J4675">
        <f>ABS((I4675-EDA!$A$15)/EDA!$B$15)</f>
        <v>0.70431298791265773</v>
      </c>
      <c r="K4675" t="str">
        <f t="shared" si="73"/>
        <v>No</v>
      </c>
      <c r="L4675">
        <f>ABS((C4675-EDA!$F$15)/EDA!$G$15)</f>
        <v>0.36175898277113344</v>
      </c>
      <c r="M4675" t="str">
        <f>IF(moras[[#This Row],[Z-Score Salario]]&gt;1.96, "Sí", "No")</f>
        <v>No</v>
      </c>
      <c r="N4675" s="14">
        <f>IF(ISBLANK(moras[[#This Row],[SALARIO]]), EDA!$M$8, moras[[#This Row],[SALARIO]])</f>
        <v>835000</v>
      </c>
      <c r="O4675" s="14">
        <f xml:space="preserve"> IF(ISBLANK(moras[[#This Row],[EDAD]]), EDA!$E$8, moras[[#This Row],[EDAD]])</f>
        <v>32</v>
      </c>
      <c r="P4675" s="14" t="str">
        <f>IF(
    OR(ISBLANK(moras[[#This Row],[TIPO_ASEGURAMIENTO]]), moras[[#This Row],[TIPO_ASEGURAMIENTO]]=""),
    EDA!$A$32,
    moras[[#This Row],[TIPO_ASEGURAMIENTO]]
)</f>
        <v>ASALARIADO</v>
      </c>
    </row>
    <row r="4676" spans="1:16" x14ac:dyDescent="0.3">
      <c r="A4676">
        <v>4675</v>
      </c>
      <c r="B4676" t="s">
        <v>15</v>
      </c>
      <c r="C4676">
        <v>297046</v>
      </c>
      <c r="D4676" t="s">
        <v>17</v>
      </c>
      <c r="E4676" t="s">
        <v>16</v>
      </c>
      <c r="F4676" t="s">
        <v>12</v>
      </c>
      <c r="G4676" t="s">
        <v>13</v>
      </c>
      <c r="H4676" t="s">
        <v>13</v>
      </c>
      <c r="I4676">
        <v>25</v>
      </c>
      <c r="J4676">
        <f>ABS((I4676-EDA!$A$15)/EDA!$B$15)</f>
        <v>1.1983402984526204</v>
      </c>
      <c r="K4676" t="str">
        <f t="shared" si="73"/>
        <v>No</v>
      </c>
      <c r="L4676">
        <f>ABS((C4676-EDA!$F$15)/EDA!$G$15)</f>
        <v>0.37071091707942361</v>
      </c>
      <c r="M4676" t="str">
        <f>IF(moras[[#This Row],[Z-Score Salario]]&gt;1.96, "Sí", "No")</f>
        <v>No</v>
      </c>
      <c r="N4676" s="14">
        <f>IF(ISBLANK(moras[[#This Row],[SALARIO]]), EDA!$M$8, moras[[#This Row],[SALARIO]])</f>
        <v>297046</v>
      </c>
      <c r="O4676" s="14">
        <f xml:space="preserve"> IF(ISBLANK(moras[[#This Row],[EDAD]]), EDA!$E$8, moras[[#This Row],[EDAD]])</f>
        <v>25</v>
      </c>
      <c r="P4676" s="14" t="str">
        <f>IF(
    OR(ISBLANK(moras[[#This Row],[TIPO_ASEGURAMIENTO]]), moras[[#This Row],[TIPO_ASEGURAMIENTO]]=""),
    EDA!$A$32,
    moras[[#This Row],[TIPO_ASEGURAMIENTO]]
)</f>
        <v>ASEGURADO VOLUNTARIO</v>
      </c>
    </row>
    <row r="4677" spans="1:16" x14ac:dyDescent="0.3">
      <c r="A4677">
        <v>4676</v>
      </c>
      <c r="B4677" t="s">
        <v>9</v>
      </c>
      <c r="C4677">
        <v>185000</v>
      </c>
      <c r="D4677" t="s">
        <v>10</v>
      </c>
      <c r="E4677" t="s">
        <v>16</v>
      </c>
      <c r="F4677" t="s">
        <v>12</v>
      </c>
      <c r="G4677" t="s">
        <v>13</v>
      </c>
      <c r="H4677" t="s">
        <v>13</v>
      </c>
      <c r="I4677">
        <v>58</v>
      </c>
      <c r="J4677">
        <f>ABS((I4677-EDA!$A$15)/EDA!$B$15)</f>
        <v>1.1306455940929174</v>
      </c>
      <c r="K4677" t="str">
        <f t="shared" si="73"/>
        <v>No</v>
      </c>
      <c r="L4677">
        <f>ABS((C4677-EDA!$F$15)/EDA!$G$15)</f>
        <v>0.37257544161406164</v>
      </c>
      <c r="M4677" t="str">
        <f>IF(moras[[#This Row],[Z-Score Salario]]&gt;1.96, "Sí", "No")</f>
        <v>No</v>
      </c>
      <c r="N4677" s="14">
        <f>IF(ISBLANK(moras[[#This Row],[SALARIO]]), EDA!$M$8, moras[[#This Row],[SALARIO]])</f>
        <v>185000</v>
      </c>
      <c r="O4677" s="14">
        <f xml:space="preserve"> IF(ISBLANK(moras[[#This Row],[EDAD]]), EDA!$E$8, moras[[#This Row],[EDAD]])</f>
        <v>58</v>
      </c>
      <c r="P4677" s="14" t="str">
        <f>IF(
    OR(ISBLANK(moras[[#This Row],[TIPO_ASEGURAMIENTO]]), moras[[#This Row],[TIPO_ASEGURAMIENTO]]=""),
    EDA!$A$32,
    moras[[#This Row],[TIPO_ASEGURAMIENTO]]
)</f>
        <v>ASALARIADO</v>
      </c>
    </row>
    <row r="4678" spans="1:16" x14ac:dyDescent="0.3">
      <c r="A4678">
        <v>4677</v>
      </c>
      <c r="B4678" t="s">
        <v>9</v>
      </c>
      <c r="C4678">
        <v>1171008</v>
      </c>
      <c r="D4678" t="s">
        <v>10</v>
      </c>
      <c r="E4678" t="s">
        <v>16</v>
      </c>
      <c r="F4678" t="s">
        <v>12</v>
      </c>
      <c r="G4678" t="s">
        <v>13</v>
      </c>
      <c r="H4678" t="s">
        <v>13</v>
      </c>
      <c r="I4678">
        <v>30</v>
      </c>
      <c r="J4678">
        <f>ABS((I4678-EDA!$A$15)/EDA!$B$15)</f>
        <v>0.84546364806693275</v>
      </c>
      <c r="K4678" t="str">
        <f t="shared" si="73"/>
        <v>No</v>
      </c>
      <c r="L4678">
        <f>ABS((C4678-EDA!$F$15)/EDA!$G$15)</f>
        <v>0.35616757245898789</v>
      </c>
      <c r="M4678" t="str">
        <f>IF(moras[[#This Row],[Z-Score Salario]]&gt;1.96, "Sí", "No")</f>
        <v>No</v>
      </c>
      <c r="N4678" s="14">
        <f>IF(ISBLANK(moras[[#This Row],[SALARIO]]), EDA!$M$8, moras[[#This Row],[SALARIO]])</f>
        <v>1171008</v>
      </c>
      <c r="O4678" s="14">
        <f xml:space="preserve"> IF(ISBLANK(moras[[#This Row],[EDAD]]), EDA!$E$8, moras[[#This Row],[EDAD]])</f>
        <v>30</v>
      </c>
      <c r="P4678" s="14" t="str">
        <f>IF(
    OR(ISBLANK(moras[[#This Row],[TIPO_ASEGURAMIENTO]]), moras[[#This Row],[TIPO_ASEGURAMIENTO]]=""),
    EDA!$A$32,
    moras[[#This Row],[TIPO_ASEGURAMIENTO]]
)</f>
        <v>ASALARIADO</v>
      </c>
    </row>
    <row r="4679" spans="1:16" x14ac:dyDescent="0.3">
      <c r="A4679">
        <v>4678</v>
      </c>
      <c r="B4679" t="s">
        <v>15</v>
      </c>
      <c r="C4679">
        <v>515840</v>
      </c>
      <c r="D4679" t="s">
        <v>10</v>
      </c>
      <c r="E4679" t="s">
        <v>16</v>
      </c>
      <c r="F4679" t="s">
        <v>12</v>
      </c>
      <c r="G4679" t="s">
        <v>13</v>
      </c>
      <c r="H4679" t="s">
        <v>13</v>
      </c>
      <c r="I4679">
        <v>35</v>
      </c>
      <c r="J4679">
        <f>ABS((I4679-EDA!$A$15)/EDA!$B$15)</f>
        <v>0.49258699768124525</v>
      </c>
      <c r="K4679" t="str">
        <f t="shared" si="73"/>
        <v>No</v>
      </c>
      <c r="L4679">
        <f>ABS((C4679-EDA!$F$15)/EDA!$G$15)</f>
        <v>0.36707003047007031</v>
      </c>
      <c r="M4679" t="str">
        <f>IF(moras[[#This Row],[Z-Score Salario]]&gt;1.96, "Sí", "No")</f>
        <v>No</v>
      </c>
      <c r="N4679" s="14">
        <f>IF(ISBLANK(moras[[#This Row],[SALARIO]]), EDA!$M$8, moras[[#This Row],[SALARIO]])</f>
        <v>515840</v>
      </c>
      <c r="O4679" s="14">
        <f xml:space="preserve"> IF(ISBLANK(moras[[#This Row],[EDAD]]), EDA!$E$8, moras[[#This Row],[EDAD]])</f>
        <v>35</v>
      </c>
      <c r="P4679" s="14" t="str">
        <f>IF(
    OR(ISBLANK(moras[[#This Row],[TIPO_ASEGURAMIENTO]]), moras[[#This Row],[TIPO_ASEGURAMIENTO]]=""),
    EDA!$A$32,
    moras[[#This Row],[TIPO_ASEGURAMIENTO]]
)</f>
        <v>ASALARIADO</v>
      </c>
    </row>
    <row r="4680" spans="1:16" x14ac:dyDescent="0.3">
      <c r="A4680">
        <v>4679</v>
      </c>
      <c r="B4680" t="s">
        <v>15</v>
      </c>
      <c r="C4680">
        <v>817600</v>
      </c>
      <c r="D4680" t="s">
        <v>10</v>
      </c>
      <c r="E4680" t="s">
        <v>16</v>
      </c>
      <c r="F4680" t="s">
        <v>12</v>
      </c>
      <c r="G4680" t="s">
        <v>13</v>
      </c>
      <c r="H4680" t="s">
        <v>13</v>
      </c>
      <c r="I4680">
        <v>23</v>
      </c>
      <c r="J4680">
        <f>ABS((I4680-EDA!$A$15)/EDA!$B$15)</f>
        <v>1.3394909586068953</v>
      </c>
      <c r="K4680" t="str">
        <f t="shared" si="73"/>
        <v>No</v>
      </c>
      <c r="L4680">
        <f>ABS((C4680-EDA!$F$15)/EDA!$G$15)</f>
        <v>0.3620485310540057</v>
      </c>
      <c r="M4680" t="str">
        <f>IF(moras[[#This Row],[Z-Score Salario]]&gt;1.96, "Sí", "No")</f>
        <v>No</v>
      </c>
      <c r="N4680" s="14">
        <f>IF(ISBLANK(moras[[#This Row],[SALARIO]]), EDA!$M$8, moras[[#This Row],[SALARIO]])</f>
        <v>817600</v>
      </c>
      <c r="O4680" s="14">
        <f xml:space="preserve"> IF(ISBLANK(moras[[#This Row],[EDAD]]), EDA!$E$8, moras[[#This Row],[EDAD]])</f>
        <v>23</v>
      </c>
      <c r="P4680" s="14" t="str">
        <f>IF(
    OR(ISBLANK(moras[[#This Row],[TIPO_ASEGURAMIENTO]]), moras[[#This Row],[TIPO_ASEGURAMIENTO]]=""),
    EDA!$A$32,
    moras[[#This Row],[TIPO_ASEGURAMIENTO]]
)</f>
        <v>ASALARIADO</v>
      </c>
    </row>
    <row r="4681" spans="1:16" x14ac:dyDescent="0.3">
      <c r="A4681">
        <v>4680</v>
      </c>
      <c r="B4681" t="s">
        <v>9</v>
      </c>
      <c r="C4681">
        <v>424222</v>
      </c>
      <c r="D4681" t="s">
        <v>10</v>
      </c>
      <c r="E4681" t="s">
        <v>16</v>
      </c>
      <c r="F4681" t="s">
        <v>12</v>
      </c>
      <c r="G4681" t="s">
        <v>13</v>
      </c>
      <c r="H4681" t="s">
        <v>13</v>
      </c>
      <c r="I4681">
        <v>59</v>
      </c>
      <c r="J4681">
        <f>ABS((I4681-EDA!$A$15)/EDA!$B$15)</f>
        <v>1.2012209241700549</v>
      </c>
      <c r="K4681" t="str">
        <f t="shared" si="73"/>
        <v>No</v>
      </c>
      <c r="L4681">
        <f>ABS((C4681-EDA!$F$15)/EDA!$G$15)</f>
        <v>0.36859461866433402</v>
      </c>
      <c r="M4681" t="str">
        <f>IF(moras[[#This Row],[Z-Score Salario]]&gt;1.96, "Sí", "No")</f>
        <v>No</v>
      </c>
      <c r="N4681" s="14">
        <f>IF(ISBLANK(moras[[#This Row],[SALARIO]]), EDA!$M$8, moras[[#This Row],[SALARIO]])</f>
        <v>424222</v>
      </c>
      <c r="O4681" s="14">
        <f xml:space="preserve"> IF(ISBLANK(moras[[#This Row],[EDAD]]), EDA!$E$8, moras[[#This Row],[EDAD]])</f>
        <v>59</v>
      </c>
      <c r="P4681" s="14" t="str">
        <f>IF(
    OR(ISBLANK(moras[[#This Row],[TIPO_ASEGURAMIENTO]]), moras[[#This Row],[TIPO_ASEGURAMIENTO]]=""),
    EDA!$A$32,
    moras[[#This Row],[TIPO_ASEGURAMIENTO]]
)</f>
        <v>ASALARIADO</v>
      </c>
    </row>
    <row r="4682" spans="1:16" x14ac:dyDescent="0.3">
      <c r="A4682">
        <v>4681</v>
      </c>
      <c r="B4682" t="s">
        <v>9</v>
      </c>
      <c r="C4682">
        <v>298548</v>
      </c>
      <c r="D4682" t="s">
        <v>19</v>
      </c>
      <c r="E4682" t="s">
        <v>16</v>
      </c>
      <c r="F4682" t="s">
        <v>12</v>
      </c>
      <c r="G4682" t="s">
        <v>13</v>
      </c>
      <c r="H4682" t="s">
        <v>13</v>
      </c>
      <c r="I4682">
        <v>60</v>
      </c>
      <c r="J4682">
        <f>ABS((I4682-EDA!$A$15)/EDA!$B$15)</f>
        <v>1.2717962542471923</v>
      </c>
      <c r="K4682" t="str">
        <f t="shared" si="73"/>
        <v>No</v>
      </c>
      <c r="L4682">
        <f>ABS((C4682-EDA!$F$15)/EDA!$G$15)</f>
        <v>0.37068592273914347</v>
      </c>
      <c r="M4682" t="str">
        <f>IF(moras[[#This Row],[Z-Score Salario]]&gt;1.96, "Sí", "No")</f>
        <v>No</v>
      </c>
      <c r="N4682" s="14">
        <f>IF(ISBLANK(moras[[#This Row],[SALARIO]]), EDA!$M$8, moras[[#This Row],[SALARIO]])</f>
        <v>298548</v>
      </c>
      <c r="O4682" s="14">
        <f xml:space="preserve"> IF(ISBLANK(moras[[#This Row],[EDAD]]), EDA!$E$8, moras[[#This Row],[EDAD]])</f>
        <v>60</v>
      </c>
      <c r="P4682" s="14" t="str">
        <f>IF(
    OR(ISBLANK(moras[[#This Row],[TIPO_ASEGURAMIENTO]]), moras[[#This Row],[TIPO_ASEGURAMIENTO]]=""),
    EDA!$A$32,
    moras[[#This Row],[TIPO_ASEGURAMIENTO]]
)</f>
        <v>CONVENIOS ESPECIALES DE TRABAJADORES INDEPENDIENTES</v>
      </c>
    </row>
    <row r="4683" spans="1:16" x14ac:dyDescent="0.3">
      <c r="A4683">
        <v>4682</v>
      </c>
      <c r="B4683" t="s">
        <v>9</v>
      </c>
      <c r="C4683">
        <v>40897827</v>
      </c>
      <c r="D4683" t="s">
        <v>10</v>
      </c>
      <c r="E4683" t="s">
        <v>16</v>
      </c>
      <c r="F4683" t="s">
        <v>12</v>
      </c>
      <c r="G4683" t="s">
        <v>12</v>
      </c>
      <c r="H4683" t="s">
        <v>13</v>
      </c>
      <c r="I4683">
        <v>27</v>
      </c>
      <c r="J4683">
        <f>ABS((I4683-EDA!$A$15)/EDA!$B$15)</f>
        <v>1.0571896382983452</v>
      </c>
      <c r="K4683" t="str">
        <f t="shared" si="73"/>
        <v>No</v>
      </c>
      <c r="L4683">
        <f>ABS((C4683-EDA!$F$15)/EDA!$G$15)</f>
        <v>0.30491473934709923</v>
      </c>
      <c r="M4683" t="str">
        <f>IF(moras[[#This Row],[Z-Score Salario]]&gt;1.96, "Sí", "No")</f>
        <v>No</v>
      </c>
      <c r="N4683" s="14">
        <f>IF(ISBLANK(moras[[#This Row],[SALARIO]]), EDA!$M$8, moras[[#This Row],[SALARIO]])</f>
        <v>40897827</v>
      </c>
      <c r="O4683" s="14">
        <f xml:space="preserve"> IF(ISBLANK(moras[[#This Row],[EDAD]]), EDA!$E$8, moras[[#This Row],[EDAD]])</f>
        <v>27</v>
      </c>
      <c r="P4683" s="14" t="str">
        <f>IF(
    OR(ISBLANK(moras[[#This Row],[TIPO_ASEGURAMIENTO]]), moras[[#This Row],[TIPO_ASEGURAMIENTO]]=""),
    EDA!$A$32,
    moras[[#This Row],[TIPO_ASEGURAMIENTO]]
)</f>
        <v>ASALARIADO</v>
      </c>
    </row>
    <row r="4684" spans="1:16" x14ac:dyDescent="0.3">
      <c r="A4684">
        <v>4683</v>
      </c>
      <c r="B4684" t="s">
        <v>9</v>
      </c>
      <c r="C4684">
        <v>445000</v>
      </c>
      <c r="D4684" t="s">
        <v>10</v>
      </c>
      <c r="E4684" t="s">
        <v>16</v>
      </c>
      <c r="F4684" t="s">
        <v>12</v>
      </c>
      <c r="G4684" t="s">
        <v>12</v>
      </c>
      <c r="H4684" t="s">
        <v>13</v>
      </c>
      <c r="I4684">
        <v>34</v>
      </c>
      <c r="J4684">
        <f>ABS((I4684-EDA!$A$15)/EDA!$B$15)</f>
        <v>0.56316232775838282</v>
      </c>
      <c r="K4684" t="str">
        <f t="shared" si="73"/>
        <v>No</v>
      </c>
      <c r="L4684">
        <f>ABS((C4684-EDA!$F$15)/EDA!$G$15)</f>
        <v>0.36824885807689034</v>
      </c>
      <c r="M4684" t="str">
        <f>IF(moras[[#This Row],[Z-Score Salario]]&gt;1.96, "Sí", "No")</f>
        <v>No</v>
      </c>
      <c r="N4684" s="14">
        <f>IF(ISBLANK(moras[[#This Row],[SALARIO]]), EDA!$M$8, moras[[#This Row],[SALARIO]])</f>
        <v>445000</v>
      </c>
      <c r="O4684" s="14">
        <f xml:space="preserve"> IF(ISBLANK(moras[[#This Row],[EDAD]]), EDA!$E$8, moras[[#This Row],[EDAD]])</f>
        <v>34</v>
      </c>
      <c r="P4684" s="14" t="str">
        <f>IF(
    OR(ISBLANK(moras[[#This Row],[TIPO_ASEGURAMIENTO]]), moras[[#This Row],[TIPO_ASEGURAMIENTO]]=""),
    EDA!$A$32,
    moras[[#This Row],[TIPO_ASEGURAMIENTO]]
)</f>
        <v>ASALARIADO</v>
      </c>
    </row>
    <row r="4685" spans="1:16" x14ac:dyDescent="0.3">
      <c r="A4685">
        <v>4684</v>
      </c>
      <c r="B4685" t="s">
        <v>9</v>
      </c>
      <c r="C4685">
        <v>534683</v>
      </c>
      <c r="D4685" t="s">
        <v>18</v>
      </c>
      <c r="E4685" t="s">
        <v>16</v>
      </c>
      <c r="F4685" t="s">
        <v>12</v>
      </c>
      <c r="G4685" t="s">
        <v>13</v>
      </c>
      <c r="H4685" t="s">
        <v>12</v>
      </c>
      <c r="I4685">
        <v>62</v>
      </c>
      <c r="J4685">
        <f>ABS((I4685-EDA!$A$15)/EDA!$B$15)</f>
        <v>1.4129469144014672</v>
      </c>
      <c r="K4685" t="str">
        <f t="shared" si="73"/>
        <v>No</v>
      </c>
      <c r="L4685">
        <f>ABS((C4685-EDA!$F$15)/EDA!$G$15)</f>
        <v>0.36675646964856679</v>
      </c>
      <c r="M4685" t="str">
        <f>IF(moras[[#This Row],[Z-Score Salario]]&gt;1.96, "Sí", "No")</f>
        <v>No</v>
      </c>
      <c r="N4685" s="14">
        <f>IF(ISBLANK(moras[[#This Row],[SALARIO]]), EDA!$M$8, moras[[#This Row],[SALARIO]])</f>
        <v>534683</v>
      </c>
      <c r="O4685" s="14">
        <f xml:space="preserve"> IF(ISBLANK(moras[[#This Row],[EDAD]]), EDA!$E$8, moras[[#This Row],[EDAD]])</f>
        <v>62</v>
      </c>
      <c r="P4685" s="14" t="str">
        <f>IF(
    OR(ISBLANK(moras[[#This Row],[TIPO_ASEGURAMIENTO]]), moras[[#This Row],[TIPO_ASEGURAMIENTO]]=""),
    EDA!$A$32,
    moras[[#This Row],[TIPO_ASEGURAMIENTO]]
)</f>
        <v>TRABAJADOR INDEPENDIENTE</v>
      </c>
    </row>
    <row r="4686" spans="1:16" x14ac:dyDescent="0.3">
      <c r="A4686">
        <v>4685</v>
      </c>
      <c r="B4686" t="s">
        <v>15</v>
      </c>
      <c r="C4686">
        <v>54476114</v>
      </c>
      <c r="D4686" t="s">
        <v>10</v>
      </c>
      <c r="E4686" t="s">
        <v>16</v>
      </c>
      <c r="F4686" t="s">
        <v>12</v>
      </c>
      <c r="G4686" t="s">
        <v>13</v>
      </c>
      <c r="H4686" t="s">
        <v>13</v>
      </c>
      <c r="I4686">
        <v>35</v>
      </c>
      <c r="J4686">
        <f>ABS((I4686-EDA!$A$15)/EDA!$B$15)</f>
        <v>0.49258699768124525</v>
      </c>
      <c r="K4686" t="str">
        <f t="shared" si="73"/>
        <v>No</v>
      </c>
      <c r="L4686">
        <f>ABS((C4686-EDA!$F$15)/EDA!$G$15)</f>
        <v>0.53086702010550935</v>
      </c>
      <c r="M4686" t="str">
        <f>IF(moras[[#This Row],[Z-Score Salario]]&gt;1.96, "Sí", "No")</f>
        <v>No</v>
      </c>
      <c r="N4686" s="14">
        <f>IF(ISBLANK(moras[[#This Row],[SALARIO]]), EDA!$M$8, moras[[#This Row],[SALARIO]])</f>
        <v>54476114</v>
      </c>
      <c r="O4686" s="14">
        <f xml:space="preserve"> IF(ISBLANK(moras[[#This Row],[EDAD]]), EDA!$E$8, moras[[#This Row],[EDAD]])</f>
        <v>35</v>
      </c>
      <c r="P4686" s="14" t="str">
        <f>IF(
    OR(ISBLANK(moras[[#This Row],[TIPO_ASEGURAMIENTO]]), moras[[#This Row],[TIPO_ASEGURAMIENTO]]=""),
    EDA!$A$32,
    moras[[#This Row],[TIPO_ASEGURAMIENTO]]
)</f>
        <v>ASALARIADO</v>
      </c>
    </row>
    <row r="4687" spans="1:16" x14ac:dyDescent="0.3">
      <c r="A4687">
        <v>4686</v>
      </c>
      <c r="B4687" t="s">
        <v>15</v>
      </c>
      <c r="C4687">
        <v>360000</v>
      </c>
      <c r="D4687" t="s">
        <v>10</v>
      </c>
      <c r="E4687" t="s">
        <v>16</v>
      </c>
      <c r="F4687" t="s">
        <v>12</v>
      </c>
      <c r="G4687" t="s">
        <v>13</v>
      </c>
      <c r="H4687" t="s">
        <v>13</v>
      </c>
      <c r="I4687">
        <v>27</v>
      </c>
      <c r="J4687">
        <f>ABS((I4687-EDA!$A$15)/EDA!$B$15)</f>
        <v>1.0571896382983452</v>
      </c>
      <c r="K4687" t="str">
        <f t="shared" si="73"/>
        <v>No</v>
      </c>
      <c r="L4687">
        <f>ABS((C4687-EDA!$F$15)/EDA!$G$15)</f>
        <v>0.36966331807942709</v>
      </c>
      <c r="M4687" t="str">
        <f>IF(moras[[#This Row],[Z-Score Salario]]&gt;1.96, "Sí", "No")</f>
        <v>No</v>
      </c>
      <c r="N4687" s="14">
        <f>IF(ISBLANK(moras[[#This Row],[SALARIO]]), EDA!$M$8, moras[[#This Row],[SALARIO]])</f>
        <v>360000</v>
      </c>
      <c r="O4687" s="14">
        <f xml:space="preserve"> IF(ISBLANK(moras[[#This Row],[EDAD]]), EDA!$E$8, moras[[#This Row],[EDAD]])</f>
        <v>27</v>
      </c>
      <c r="P4687" s="14" t="str">
        <f>IF(
    OR(ISBLANK(moras[[#This Row],[TIPO_ASEGURAMIENTO]]), moras[[#This Row],[TIPO_ASEGURAMIENTO]]=""),
    EDA!$A$32,
    moras[[#This Row],[TIPO_ASEGURAMIENTO]]
)</f>
        <v>ASALARIADO</v>
      </c>
    </row>
    <row r="4688" spans="1:16" x14ac:dyDescent="0.3">
      <c r="A4688">
        <v>4687</v>
      </c>
      <c r="B4688" t="s">
        <v>9</v>
      </c>
      <c r="C4688">
        <v>339594</v>
      </c>
      <c r="D4688" t="s">
        <v>10</v>
      </c>
      <c r="E4688" t="s">
        <v>16</v>
      </c>
      <c r="F4688" t="s">
        <v>12</v>
      </c>
      <c r="G4688" t="s">
        <v>13</v>
      </c>
      <c r="H4688" t="s">
        <v>13</v>
      </c>
      <c r="I4688">
        <v>24</v>
      </c>
      <c r="J4688">
        <f>ABS((I4688-EDA!$A$15)/EDA!$B$15)</f>
        <v>1.2689156285297578</v>
      </c>
      <c r="K4688" t="str">
        <f t="shared" si="73"/>
        <v>No</v>
      </c>
      <c r="L4688">
        <f>ABS((C4688-EDA!$F$15)/EDA!$G$15)</f>
        <v>0.37000288832427142</v>
      </c>
      <c r="M4688" t="str">
        <f>IF(moras[[#This Row],[Z-Score Salario]]&gt;1.96, "Sí", "No")</f>
        <v>No</v>
      </c>
      <c r="N4688" s="14">
        <f>IF(ISBLANK(moras[[#This Row],[SALARIO]]), EDA!$M$8, moras[[#This Row],[SALARIO]])</f>
        <v>339594</v>
      </c>
      <c r="O4688" s="14">
        <f xml:space="preserve"> IF(ISBLANK(moras[[#This Row],[EDAD]]), EDA!$E$8, moras[[#This Row],[EDAD]])</f>
        <v>24</v>
      </c>
      <c r="P4688" s="14" t="str">
        <f>IF(
    OR(ISBLANK(moras[[#This Row],[TIPO_ASEGURAMIENTO]]), moras[[#This Row],[TIPO_ASEGURAMIENTO]]=""),
    EDA!$A$32,
    moras[[#This Row],[TIPO_ASEGURAMIENTO]]
)</f>
        <v>ASALARIADO</v>
      </c>
    </row>
    <row r="4689" spans="1:16" x14ac:dyDescent="0.3">
      <c r="A4689">
        <v>4688</v>
      </c>
      <c r="B4689" t="s">
        <v>15</v>
      </c>
      <c r="C4689">
        <v>608956</v>
      </c>
      <c r="D4689" t="s">
        <v>10</v>
      </c>
      <c r="E4689" t="s">
        <v>16</v>
      </c>
      <c r="F4689" t="s">
        <v>12</v>
      </c>
      <c r="G4689" t="s">
        <v>13</v>
      </c>
      <c r="H4689" t="s">
        <v>13</v>
      </c>
      <c r="I4689">
        <v>35</v>
      </c>
      <c r="J4689">
        <f>ABS((I4689-EDA!$A$15)/EDA!$B$15)</f>
        <v>0.49258699768124525</v>
      </c>
      <c r="K4689" t="str">
        <f t="shared" si="73"/>
        <v>No</v>
      </c>
      <c r="L4689">
        <f>ABS((C4689-EDA!$F$15)/EDA!$G$15)</f>
        <v>0.36552051449835016</v>
      </c>
      <c r="M4689" t="str">
        <f>IF(moras[[#This Row],[Z-Score Salario]]&gt;1.96, "Sí", "No")</f>
        <v>No</v>
      </c>
      <c r="N4689" s="14">
        <f>IF(ISBLANK(moras[[#This Row],[SALARIO]]), EDA!$M$8, moras[[#This Row],[SALARIO]])</f>
        <v>608956</v>
      </c>
      <c r="O4689" s="14">
        <f xml:space="preserve"> IF(ISBLANK(moras[[#This Row],[EDAD]]), EDA!$E$8, moras[[#This Row],[EDAD]])</f>
        <v>35</v>
      </c>
      <c r="P4689" s="14" t="str">
        <f>IF(
    OR(ISBLANK(moras[[#This Row],[TIPO_ASEGURAMIENTO]]), moras[[#This Row],[TIPO_ASEGURAMIENTO]]=""),
    EDA!$A$32,
    moras[[#This Row],[TIPO_ASEGURAMIENTO]]
)</f>
        <v>ASALARIADO</v>
      </c>
    </row>
    <row r="4690" spans="1:16" x14ac:dyDescent="0.3">
      <c r="A4690">
        <v>4689</v>
      </c>
      <c r="B4690" t="s">
        <v>15</v>
      </c>
      <c r="C4690">
        <v>14913475</v>
      </c>
      <c r="D4690" t="s">
        <v>10</v>
      </c>
      <c r="E4690" t="s">
        <v>16</v>
      </c>
      <c r="F4690" t="s">
        <v>12</v>
      </c>
      <c r="G4690" t="s">
        <v>13</v>
      </c>
      <c r="H4690" t="s">
        <v>13</v>
      </c>
      <c r="I4690">
        <v>44</v>
      </c>
      <c r="J4690">
        <f>ABS((I4690-EDA!$A$15)/EDA!$B$15)</f>
        <v>0.14259097301299228</v>
      </c>
      <c r="K4690" t="str">
        <f t="shared" si="73"/>
        <v>No</v>
      </c>
      <c r="L4690">
        <f>ABS((C4690-EDA!$F$15)/EDA!$G$15)</f>
        <v>0.12748322060391332</v>
      </c>
      <c r="M4690" t="str">
        <f>IF(moras[[#This Row],[Z-Score Salario]]&gt;1.96, "Sí", "No")</f>
        <v>No</v>
      </c>
      <c r="N4690" s="14">
        <f>IF(ISBLANK(moras[[#This Row],[SALARIO]]), EDA!$M$8, moras[[#This Row],[SALARIO]])</f>
        <v>14913475</v>
      </c>
      <c r="O4690" s="14">
        <f xml:space="preserve"> IF(ISBLANK(moras[[#This Row],[EDAD]]), EDA!$E$8, moras[[#This Row],[EDAD]])</f>
        <v>44</v>
      </c>
      <c r="P4690" s="14" t="str">
        <f>IF(
    OR(ISBLANK(moras[[#This Row],[TIPO_ASEGURAMIENTO]]), moras[[#This Row],[TIPO_ASEGURAMIENTO]]=""),
    EDA!$A$32,
    moras[[#This Row],[TIPO_ASEGURAMIENTO]]
)</f>
        <v>ASALARIADO</v>
      </c>
    </row>
    <row r="4691" spans="1:16" x14ac:dyDescent="0.3">
      <c r="A4691">
        <v>4690</v>
      </c>
      <c r="B4691" t="s">
        <v>9</v>
      </c>
      <c r="C4691">
        <v>6032835</v>
      </c>
      <c r="D4691" t="s">
        <v>10</v>
      </c>
      <c r="E4691" t="s">
        <v>11</v>
      </c>
      <c r="F4691" t="s">
        <v>12</v>
      </c>
      <c r="G4691" t="s">
        <v>13</v>
      </c>
      <c r="H4691" t="s">
        <v>13</v>
      </c>
      <c r="I4691">
        <v>30</v>
      </c>
      <c r="J4691">
        <f>ABS((I4691-EDA!$A$15)/EDA!$B$15)</f>
        <v>0.84546364806693275</v>
      </c>
      <c r="K4691" t="str">
        <f t="shared" si="73"/>
        <v>No</v>
      </c>
      <c r="L4691">
        <f>ABS((C4691-EDA!$F$15)/EDA!$G$15)</f>
        <v>0.27526333915600804</v>
      </c>
      <c r="M4691" t="str">
        <f>IF(moras[[#This Row],[Z-Score Salario]]&gt;1.96, "Sí", "No")</f>
        <v>No</v>
      </c>
      <c r="N4691" s="14">
        <f>IF(ISBLANK(moras[[#This Row],[SALARIO]]), EDA!$M$8, moras[[#This Row],[SALARIO]])</f>
        <v>6032835</v>
      </c>
      <c r="O4691" s="14">
        <f xml:space="preserve"> IF(ISBLANK(moras[[#This Row],[EDAD]]), EDA!$E$8, moras[[#This Row],[EDAD]])</f>
        <v>30</v>
      </c>
      <c r="P4691" s="14" t="str">
        <f>IF(
    OR(ISBLANK(moras[[#This Row],[TIPO_ASEGURAMIENTO]]), moras[[#This Row],[TIPO_ASEGURAMIENTO]]=""),
    EDA!$A$32,
    moras[[#This Row],[TIPO_ASEGURAMIENTO]]
)</f>
        <v>ASALARIADO</v>
      </c>
    </row>
    <row r="4692" spans="1:16" x14ac:dyDescent="0.3">
      <c r="A4692">
        <v>4691</v>
      </c>
      <c r="B4692" t="s">
        <v>9</v>
      </c>
      <c r="C4692">
        <v>89735936</v>
      </c>
      <c r="D4692" t="s">
        <v>10</v>
      </c>
      <c r="E4692" t="s">
        <v>16</v>
      </c>
      <c r="F4692" t="s">
        <v>12</v>
      </c>
      <c r="G4692" t="s">
        <v>13</v>
      </c>
      <c r="H4692" t="s">
        <v>13</v>
      </c>
      <c r="I4692">
        <v>23</v>
      </c>
      <c r="J4692">
        <f>ABS((I4692-EDA!$A$15)/EDA!$B$15)</f>
        <v>1.3394909586068953</v>
      </c>
      <c r="K4692" t="str">
        <f t="shared" si="73"/>
        <v>No</v>
      </c>
      <c r="L4692">
        <f>ABS((C4692-EDA!$F$15)/EDA!$G$15)</f>
        <v>1.1176153485239293</v>
      </c>
      <c r="M4692" t="str">
        <f>IF(moras[[#This Row],[Z-Score Salario]]&gt;1.96, "Sí", "No")</f>
        <v>No</v>
      </c>
      <c r="N4692" s="14">
        <f>IF(ISBLANK(moras[[#This Row],[SALARIO]]), EDA!$M$8, moras[[#This Row],[SALARIO]])</f>
        <v>89735936</v>
      </c>
      <c r="O4692" s="14">
        <f xml:space="preserve"> IF(ISBLANK(moras[[#This Row],[EDAD]]), EDA!$E$8, moras[[#This Row],[EDAD]])</f>
        <v>23</v>
      </c>
      <c r="P4692" s="14" t="str">
        <f>IF(
    OR(ISBLANK(moras[[#This Row],[TIPO_ASEGURAMIENTO]]), moras[[#This Row],[TIPO_ASEGURAMIENTO]]=""),
    EDA!$A$32,
    moras[[#This Row],[TIPO_ASEGURAMIENTO]]
)</f>
        <v>ASALARIADO</v>
      </c>
    </row>
    <row r="4693" spans="1:16" x14ac:dyDescent="0.3">
      <c r="A4693">
        <v>4692</v>
      </c>
      <c r="B4693" t="s">
        <v>15</v>
      </c>
      <c r="C4693">
        <v>297046</v>
      </c>
      <c r="D4693" t="s">
        <v>17</v>
      </c>
      <c r="E4693" t="s">
        <v>16</v>
      </c>
      <c r="F4693" t="s">
        <v>12</v>
      </c>
      <c r="G4693" t="s">
        <v>13</v>
      </c>
      <c r="H4693" t="s">
        <v>13</v>
      </c>
      <c r="I4693">
        <v>48</v>
      </c>
      <c r="J4693">
        <f>ABS((I4693-EDA!$A$15)/EDA!$B$15)</f>
        <v>0.42489229332154227</v>
      </c>
      <c r="K4693" t="str">
        <f t="shared" si="73"/>
        <v>No</v>
      </c>
      <c r="L4693">
        <f>ABS((C4693-EDA!$F$15)/EDA!$G$15)</f>
        <v>0.37071091707942361</v>
      </c>
      <c r="M4693" t="str">
        <f>IF(moras[[#This Row],[Z-Score Salario]]&gt;1.96, "Sí", "No")</f>
        <v>No</v>
      </c>
      <c r="N4693" s="14">
        <f>IF(ISBLANK(moras[[#This Row],[SALARIO]]), EDA!$M$8, moras[[#This Row],[SALARIO]])</f>
        <v>297046</v>
      </c>
      <c r="O4693" s="14">
        <f xml:space="preserve"> IF(ISBLANK(moras[[#This Row],[EDAD]]), EDA!$E$8, moras[[#This Row],[EDAD]])</f>
        <v>48</v>
      </c>
      <c r="P4693" s="14" t="str">
        <f>IF(
    OR(ISBLANK(moras[[#This Row],[TIPO_ASEGURAMIENTO]]), moras[[#This Row],[TIPO_ASEGURAMIENTO]]=""),
    EDA!$A$32,
    moras[[#This Row],[TIPO_ASEGURAMIENTO]]
)</f>
        <v>ASEGURADO VOLUNTARIO</v>
      </c>
    </row>
    <row r="4694" spans="1:16" x14ac:dyDescent="0.3">
      <c r="A4694">
        <v>4693</v>
      </c>
      <c r="B4694" t="s">
        <v>15</v>
      </c>
      <c r="C4694">
        <v>88383032</v>
      </c>
      <c r="D4694" t="s">
        <v>10</v>
      </c>
      <c r="E4694" t="s">
        <v>11</v>
      </c>
      <c r="F4694" t="s">
        <v>12</v>
      </c>
      <c r="G4694" t="s">
        <v>13</v>
      </c>
      <c r="H4694" t="s">
        <v>13</v>
      </c>
      <c r="I4694">
        <v>40</v>
      </c>
      <c r="J4694">
        <f>ABS((I4694-EDA!$A$15)/EDA!$B$15)</f>
        <v>0.13971034729555773</v>
      </c>
      <c r="K4694" t="str">
        <f t="shared" si="73"/>
        <v>No</v>
      </c>
      <c r="L4694">
        <f>ABS((C4694-EDA!$F$15)/EDA!$G$15)</f>
        <v>1.0951020709324941</v>
      </c>
      <c r="M4694" t="str">
        <f>IF(moras[[#This Row],[Z-Score Salario]]&gt;1.96, "Sí", "No")</f>
        <v>No</v>
      </c>
      <c r="N4694" s="14">
        <f>IF(ISBLANK(moras[[#This Row],[SALARIO]]), EDA!$M$8, moras[[#This Row],[SALARIO]])</f>
        <v>88383032</v>
      </c>
      <c r="O4694" s="14">
        <f xml:space="preserve"> IF(ISBLANK(moras[[#This Row],[EDAD]]), EDA!$E$8, moras[[#This Row],[EDAD]])</f>
        <v>40</v>
      </c>
      <c r="P4694" s="14" t="str">
        <f>IF(
    OR(ISBLANK(moras[[#This Row],[TIPO_ASEGURAMIENTO]]), moras[[#This Row],[TIPO_ASEGURAMIENTO]]=""),
    EDA!$A$32,
    moras[[#This Row],[TIPO_ASEGURAMIENTO]]
)</f>
        <v>ASALARIADO</v>
      </c>
    </row>
    <row r="4695" spans="1:16" x14ac:dyDescent="0.3">
      <c r="A4695">
        <v>4694</v>
      </c>
      <c r="B4695" t="s">
        <v>9</v>
      </c>
      <c r="C4695">
        <v>8962309</v>
      </c>
      <c r="D4695" t="s">
        <v>14</v>
      </c>
      <c r="E4695" t="s">
        <v>11</v>
      </c>
      <c r="F4695" t="s">
        <v>12</v>
      </c>
      <c r="G4695" t="s">
        <v>13</v>
      </c>
      <c r="H4695" t="s">
        <v>13</v>
      </c>
      <c r="I4695">
        <v>68</v>
      </c>
      <c r="J4695">
        <f>ABS((I4695-EDA!$A$15)/EDA!$B$15)</f>
        <v>1.8363988948642924</v>
      </c>
      <c r="K4695" t="str">
        <f t="shared" si="73"/>
        <v>No</v>
      </c>
      <c r="L4695">
        <f>ABS((C4695-EDA!$F$15)/EDA!$G$15)</f>
        <v>0.22651482384458013</v>
      </c>
      <c r="M4695" t="str">
        <f>IF(moras[[#This Row],[Z-Score Salario]]&gt;1.96, "Sí", "No")</f>
        <v>No</v>
      </c>
      <c r="N4695" s="14">
        <f>IF(ISBLANK(moras[[#This Row],[SALARIO]]), EDA!$M$8, moras[[#This Row],[SALARIO]])</f>
        <v>8962309</v>
      </c>
      <c r="O4695" s="14">
        <f xml:space="preserve"> IF(ISBLANK(moras[[#This Row],[EDAD]]), EDA!$E$8, moras[[#This Row],[EDAD]])</f>
        <v>68</v>
      </c>
      <c r="P4695" s="14" t="str">
        <f>IF(
    OR(ISBLANK(moras[[#This Row],[TIPO_ASEGURAMIENTO]]), moras[[#This Row],[TIPO_ASEGURAMIENTO]]=""),
    EDA!$A$32,
    moras[[#This Row],[TIPO_ASEGURAMIENTO]]
)</f>
        <v>PENSIONADOS EN SU PROPIO SISTEMA</v>
      </c>
    </row>
    <row r="4696" spans="1:16" x14ac:dyDescent="0.3">
      <c r="A4696">
        <v>4695</v>
      </c>
      <c r="B4696" t="s">
        <v>9</v>
      </c>
      <c r="C4696">
        <v>297046</v>
      </c>
      <c r="D4696" t="s">
        <v>17</v>
      </c>
      <c r="E4696" t="s">
        <v>16</v>
      </c>
      <c r="F4696" t="s">
        <v>12</v>
      </c>
      <c r="G4696" t="s">
        <v>13</v>
      </c>
      <c r="H4696" t="s">
        <v>12</v>
      </c>
      <c r="I4696">
        <v>54</v>
      </c>
      <c r="J4696">
        <f>ABS((I4696-EDA!$A$15)/EDA!$B$15)</f>
        <v>0.84834427378436728</v>
      </c>
      <c r="K4696" t="str">
        <f t="shared" si="73"/>
        <v>No</v>
      </c>
      <c r="L4696">
        <f>ABS((C4696-EDA!$F$15)/EDA!$G$15)</f>
        <v>0.37071091707942361</v>
      </c>
      <c r="M4696" t="str">
        <f>IF(moras[[#This Row],[Z-Score Salario]]&gt;1.96, "Sí", "No")</f>
        <v>No</v>
      </c>
      <c r="N4696" s="14">
        <f>IF(ISBLANK(moras[[#This Row],[SALARIO]]), EDA!$M$8, moras[[#This Row],[SALARIO]])</f>
        <v>297046</v>
      </c>
      <c r="O4696" s="14">
        <f xml:space="preserve"> IF(ISBLANK(moras[[#This Row],[EDAD]]), EDA!$E$8, moras[[#This Row],[EDAD]])</f>
        <v>54</v>
      </c>
      <c r="P4696" s="14" t="str">
        <f>IF(
    OR(ISBLANK(moras[[#This Row],[TIPO_ASEGURAMIENTO]]), moras[[#This Row],[TIPO_ASEGURAMIENTO]]=""),
    EDA!$A$32,
    moras[[#This Row],[TIPO_ASEGURAMIENTO]]
)</f>
        <v>ASEGURADO VOLUNTARIO</v>
      </c>
    </row>
    <row r="4697" spans="1:16" x14ac:dyDescent="0.3">
      <c r="A4697">
        <v>4696</v>
      </c>
      <c r="B4697" t="s">
        <v>9</v>
      </c>
      <c r="C4697">
        <v>43230135</v>
      </c>
      <c r="D4697" t="s">
        <v>10</v>
      </c>
      <c r="E4697" t="s">
        <v>16</v>
      </c>
      <c r="F4697" t="s">
        <v>12</v>
      </c>
      <c r="G4697" t="s">
        <v>13</v>
      </c>
      <c r="H4697" t="s">
        <v>13</v>
      </c>
      <c r="I4697">
        <v>30</v>
      </c>
      <c r="J4697">
        <f>ABS((I4697-EDA!$A$15)/EDA!$B$15)</f>
        <v>0.84546364806693275</v>
      </c>
      <c r="K4697" t="str">
        <f t="shared" si="73"/>
        <v>No</v>
      </c>
      <c r="L4697">
        <f>ABS((C4697-EDA!$F$15)/EDA!$G$15)</f>
        <v>0.34372599087176403</v>
      </c>
      <c r="M4697" t="str">
        <f>IF(moras[[#This Row],[Z-Score Salario]]&gt;1.96, "Sí", "No")</f>
        <v>No</v>
      </c>
      <c r="N4697" s="14">
        <f>IF(ISBLANK(moras[[#This Row],[SALARIO]]), EDA!$M$8, moras[[#This Row],[SALARIO]])</f>
        <v>43230135</v>
      </c>
      <c r="O4697" s="14">
        <f xml:space="preserve"> IF(ISBLANK(moras[[#This Row],[EDAD]]), EDA!$E$8, moras[[#This Row],[EDAD]])</f>
        <v>30</v>
      </c>
      <c r="P4697" s="14" t="str">
        <f>IF(
    OR(ISBLANK(moras[[#This Row],[TIPO_ASEGURAMIENTO]]), moras[[#This Row],[TIPO_ASEGURAMIENTO]]=""),
    EDA!$A$32,
    moras[[#This Row],[TIPO_ASEGURAMIENTO]]
)</f>
        <v>ASALARIADO</v>
      </c>
    </row>
    <row r="4698" spans="1:16" x14ac:dyDescent="0.3">
      <c r="A4698">
        <v>4697</v>
      </c>
      <c r="B4698" t="s">
        <v>9</v>
      </c>
      <c r="C4698">
        <v>57894145</v>
      </c>
      <c r="D4698" t="s">
        <v>10</v>
      </c>
      <c r="E4698" t="s">
        <v>16</v>
      </c>
      <c r="F4698" t="s">
        <v>12</v>
      </c>
      <c r="G4698" t="s">
        <v>13</v>
      </c>
      <c r="H4698" t="s">
        <v>13</v>
      </c>
      <c r="I4698">
        <v>23</v>
      </c>
      <c r="J4698">
        <f>ABS((I4698-EDA!$A$15)/EDA!$B$15)</f>
        <v>1.3394909586068953</v>
      </c>
      <c r="K4698" t="str">
        <f t="shared" si="73"/>
        <v>No</v>
      </c>
      <c r="L4698">
        <f>ABS((C4698-EDA!$F$15)/EDA!$G$15)</f>
        <v>0.58774546877528255</v>
      </c>
      <c r="M4698" t="str">
        <f>IF(moras[[#This Row],[Z-Score Salario]]&gt;1.96, "Sí", "No")</f>
        <v>No</v>
      </c>
      <c r="N4698" s="14">
        <f>IF(ISBLANK(moras[[#This Row],[SALARIO]]), EDA!$M$8, moras[[#This Row],[SALARIO]])</f>
        <v>57894145</v>
      </c>
      <c r="O4698" s="14">
        <f xml:space="preserve"> IF(ISBLANK(moras[[#This Row],[EDAD]]), EDA!$E$8, moras[[#This Row],[EDAD]])</f>
        <v>23</v>
      </c>
      <c r="P4698" s="14" t="str">
        <f>IF(
    OR(ISBLANK(moras[[#This Row],[TIPO_ASEGURAMIENTO]]), moras[[#This Row],[TIPO_ASEGURAMIENTO]]=""),
    EDA!$A$32,
    moras[[#This Row],[TIPO_ASEGURAMIENTO]]
)</f>
        <v>ASALARIADO</v>
      </c>
    </row>
    <row r="4699" spans="1:16" x14ac:dyDescent="0.3">
      <c r="A4699">
        <v>4698</v>
      </c>
      <c r="B4699" t="s">
        <v>15</v>
      </c>
      <c r="C4699">
        <v>29230755</v>
      </c>
      <c r="D4699" t="s">
        <v>10</v>
      </c>
      <c r="E4699" t="s">
        <v>11</v>
      </c>
      <c r="F4699" t="s">
        <v>12</v>
      </c>
      <c r="G4699" t="s">
        <v>13</v>
      </c>
      <c r="H4699" t="s">
        <v>13</v>
      </c>
      <c r="I4699">
        <v>53</v>
      </c>
      <c r="J4699">
        <f>ABS((I4699-EDA!$A$15)/EDA!$B$15)</f>
        <v>0.77776894370722982</v>
      </c>
      <c r="K4699" t="str">
        <f t="shared" si="73"/>
        <v>No</v>
      </c>
      <c r="L4699">
        <f>ABS((C4699-EDA!$F$15)/EDA!$G$15)</f>
        <v>0.11076642533866909</v>
      </c>
      <c r="M4699" t="str">
        <f>IF(moras[[#This Row],[Z-Score Salario]]&gt;1.96, "Sí", "No")</f>
        <v>No</v>
      </c>
      <c r="N4699" s="14">
        <f>IF(ISBLANK(moras[[#This Row],[SALARIO]]), EDA!$M$8, moras[[#This Row],[SALARIO]])</f>
        <v>29230755</v>
      </c>
      <c r="O4699" s="14">
        <f xml:space="preserve"> IF(ISBLANK(moras[[#This Row],[EDAD]]), EDA!$E$8, moras[[#This Row],[EDAD]])</f>
        <v>53</v>
      </c>
      <c r="P4699" s="14" t="str">
        <f>IF(
    OR(ISBLANK(moras[[#This Row],[TIPO_ASEGURAMIENTO]]), moras[[#This Row],[TIPO_ASEGURAMIENTO]]=""),
    EDA!$A$32,
    moras[[#This Row],[TIPO_ASEGURAMIENTO]]
)</f>
        <v>ASALARIADO</v>
      </c>
    </row>
    <row r="4700" spans="1:16" x14ac:dyDescent="0.3">
      <c r="A4700">
        <v>4699</v>
      </c>
      <c r="B4700" t="s">
        <v>15</v>
      </c>
      <c r="C4700">
        <v>540376</v>
      </c>
      <c r="D4700" t="s">
        <v>10</v>
      </c>
      <c r="E4700" t="s">
        <v>16</v>
      </c>
      <c r="F4700" t="s">
        <v>12</v>
      </c>
      <c r="G4700" t="s">
        <v>13</v>
      </c>
      <c r="H4700" t="s">
        <v>13</v>
      </c>
      <c r="I4700">
        <v>35</v>
      </c>
      <c r="J4700">
        <f>ABS((I4700-EDA!$A$15)/EDA!$B$15)</f>
        <v>0.49258699768124525</v>
      </c>
      <c r="K4700" t="str">
        <f t="shared" si="73"/>
        <v>No</v>
      </c>
      <c r="L4700">
        <f>ABS((C4700-EDA!$F$15)/EDA!$G$15)</f>
        <v>0.36666173410980862</v>
      </c>
      <c r="M4700" t="str">
        <f>IF(moras[[#This Row],[Z-Score Salario]]&gt;1.96, "Sí", "No")</f>
        <v>No</v>
      </c>
      <c r="N4700" s="14">
        <f>IF(ISBLANK(moras[[#This Row],[SALARIO]]), EDA!$M$8, moras[[#This Row],[SALARIO]])</f>
        <v>540376</v>
      </c>
      <c r="O4700" s="14">
        <f xml:space="preserve"> IF(ISBLANK(moras[[#This Row],[EDAD]]), EDA!$E$8, moras[[#This Row],[EDAD]])</f>
        <v>35</v>
      </c>
      <c r="P4700" s="14" t="str">
        <f>IF(
    OR(ISBLANK(moras[[#This Row],[TIPO_ASEGURAMIENTO]]), moras[[#This Row],[TIPO_ASEGURAMIENTO]]=""),
    EDA!$A$32,
    moras[[#This Row],[TIPO_ASEGURAMIENTO]]
)</f>
        <v>ASALARIADO</v>
      </c>
    </row>
    <row r="4701" spans="1:16" x14ac:dyDescent="0.3">
      <c r="A4701">
        <v>4700</v>
      </c>
      <c r="B4701" t="s">
        <v>15</v>
      </c>
      <c r="C4701">
        <v>1040470</v>
      </c>
      <c r="D4701" t="s">
        <v>10</v>
      </c>
      <c r="E4701" t="s">
        <v>11</v>
      </c>
      <c r="F4701" t="s">
        <v>12</v>
      </c>
      <c r="G4701" t="s">
        <v>13</v>
      </c>
      <c r="H4701" t="s">
        <v>12</v>
      </c>
      <c r="I4701">
        <v>53</v>
      </c>
      <c r="J4701">
        <f>ABS((I4701-EDA!$A$15)/EDA!$B$15)</f>
        <v>0.77776894370722982</v>
      </c>
      <c r="K4701" t="str">
        <f t="shared" si="73"/>
        <v>No</v>
      </c>
      <c r="L4701">
        <f>ABS((C4701-EDA!$F$15)/EDA!$G$15)</f>
        <v>0.35833981692735428</v>
      </c>
      <c r="M4701" t="str">
        <f>IF(moras[[#This Row],[Z-Score Salario]]&gt;1.96, "Sí", "No")</f>
        <v>No</v>
      </c>
      <c r="N4701" s="14">
        <f>IF(ISBLANK(moras[[#This Row],[SALARIO]]), EDA!$M$8, moras[[#This Row],[SALARIO]])</f>
        <v>1040470</v>
      </c>
      <c r="O4701" s="14">
        <f xml:space="preserve"> IF(ISBLANK(moras[[#This Row],[EDAD]]), EDA!$E$8, moras[[#This Row],[EDAD]])</f>
        <v>53</v>
      </c>
      <c r="P4701" s="14" t="str">
        <f>IF(
    OR(ISBLANK(moras[[#This Row],[TIPO_ASEGURAMIENTO]]), moras[[#This Row],[TIPO_ASEGURAMIENTO]]=""),
    EDA!$A$32,
    moras[[#This Row],[TIPO_ASEGURAMIENTO]]
)</f>
        <v>ASALARIADO</v>
      </c>
    </row>
    <row r="4702" spans="1:16" x14ac:dyDescent="0.3">
      <c r="A4702">
        <v>4701</v>
      </c>
      <c r="B4702" t="s">
        <v>9</v>
      </c>
      <c r="C4702">
        <v>297046</v>
      </c>
      <c r="D4702" t="s">
        <v>18</v>
      </c>
      <c r="E4702" t="s">
        <v>16</v>
      </c>
      <c r="F4702" t="s">
        <v>12</v>
      </c>
      <c r="G4702" t="s">
        <v>13</v>
      </c>
      <c r="H4702" t="s">
        <v>13</v>
      </c>
      <c r="I4702">
        <v>21</v>
      </c>
      <c r="J4702">
        <f>ABS((I4702-EDA!$A$15)/EDA!$B$15)</f>
        <v>1.4806416187611704</v>
      </c>
      <c r="K4702" t="str">
        <f t="shared" si="73"/>
        <v>No</v>
      </c>
      <c r="L4702">
        <f>ABS((C4702-EDA!$F$15)/EDA!$G$15)</f>
        <v>0.37071091707942361</v>
      </c>
      <c r="M4702" t="str">
        <f>IF(moras[[#This Row],[Z-Score Salario]]&gt;1.96, "Sí", "No")</f>
        <v>No</v>
      </c>
      <c r="N4702" s="14">
        <f>IF(ISBLANK(moras[[#This Row],[SALARIO]]), EDA!$M$8, moras[[#This Row],[SALARIO]])</f>
        <v>297046</v>
      </c>
      <c r="O4702" s="14">
        <f xml:space="preserve"> IF(ISBLANK(moras[[#This Row],[EDAD]]), EDA!$E$8, moras[[#This Row],[EDAD]])</f>
        <v>21</v>
      </c>
      <c r="P4702" s="14" t="str">
        <f>IF(
    OR(ISBLANK(moras[[#This Row],[TIPO_ASEGURAMIENTO]]), moras[[#This Row],[TIPO_ASEGURAMIENTO]]=""),
    EDA!$A$32,
    moras[[#This Row],[TIPO_ASEGURAMIENTO]]
)</f>
        <v>TRABAJADOR INDEPENDIENTE</v>
      </c>
    </row>
    <row r="4703" spans="1:16" x14ac:dyDescent="0.3">
      <c r="A4703">
        <v>4702</v>
      </c>
      <c r="B4703" t="s">
        <v>9</v>
      </c>
      <c r="C4703">
        <v>50013683</v>
      </c>
      <c r="D4703" t="s">
        <v>10</v>
      </c>
      <c r="E4703" t="s">
        <v>16</v>
      </c>
      <c r="F4703" t="s">
        <v>12</v>
      </c>
      <c r="G4703" t="s">
        <v>13</v>
      </c>
      <c r="H4703" t="s">
        <v>13</v>
      </c>
      <c r="I4703">
        <v>35</v>
      </c>
      <c r="J4703">
        <f>ABS((I4703-EDA!$A$15)/EDA!$B$15)</f>
        <v>0.49258699768124525</v>
      </c>
      <c r="K4703" t="str">
        <f t="shared" si="73"/>
        <v>No</v>
      </c>
      <c r="L4703">
        <f>ABS((C4703-EDA!$F$15)/EDA!$G$15)</f>
        <v>0.45660901818103733</v>
      </c>
      <c r="M4703" t="str">
        <f>IF(moras[[#This Row],[Z-Score Salario]]&gt;1.96, "Sí", "No")</f>
        <v>No</v>
      </c>
      <c r="N4703" s="14">
        <f>IF(ISBLANK(moras[[#This Row],[SALARIO]]), EDA!$M$8, moras[[#This Row],[SALARIO]])</f>
        <v>50013683</v>
      </c>
      <c r="O4703" s="14">
        <f xml:space="preserve"> IF(ISBLANK(moras[[#This Row],[EDAD]]), EDA!$E$8, moras[[#This Row],[EDAD]])</f>
        <v>35</v>
      </c>
      <c r="P4703" s="14" t="str">
        <f>IF(
    OR(ISBLANK(moras[[#This Row],[TIPO_ASEGURAMIENTO]]), moras[[#This Row],[TIPO_ASEGURAMIENTO]]=""),
    EDA!$A$32,
    moras[[#This Row],[TIPO_ASEGURAMIENTO]]
)</f>
        <v>ASALARIADO</v>
      </c>
    </row>
    <row r="4704" spans="1:16" x14ac:dyDescent="0.3">
      <c r="A4704">
        <v>4703</v>
      </c>
      <c r="B4704" t="s">
        <v>9</v>
      </c>
      <c r="C4704">
        <v>353539</v>
      </c>
      <c r="D4704" t="s">
        <v>18</v>
      </c>
      <c r="E4704" t="s">
        <v>16</v>
      </c>
      <c r="F4704" t="s">
        <v>12</v>
      </c>
      <c r="G4704" t="s">
        <v>13</v>
      </c>
      <c r="H4704" t="s">
        <v>13</v>
      </c>
      <c r="I4704">
        <v>56</v>
      </c>
      <c r="J4704">
        <f>ABS((I4704-EDA!$A$15)/EDA!$B$15)</f>
        <v>0.9894949339386423</v>
      </c>
      <c r="K4704" t="str">
        <f t="shared" si="73"/>
        <v>No</v>
      </c>
      <c r="L4704">
        <f>ABS((C4704-EDA!$F$15)/EDA!$G$15)</f>
        <v>0.36977083368032582</v>
      </c>
      <c r="M4704" t="str">
        <f>IF(moras[[#This Row],[Z-Score Salario]]&gt;1.96, "Sí", "No")</f>
        <v>No</v>
      </c>
      <c r="N4704" s="14">
        <f>IF(ISBLANK(moras[[#This Row],[SALARIO]]), EDA!$M$8, moras[[#This Row],[SALARIO]])</f>
        <v>353539</v>
      </c>
      <c r="O4704" s="14">
        <f xml:space="preserve"> IF(ISBLANK(moras[[#This Row],[EDAD]]), EDA!$E$8, moras[[#This Row],[EDAD]])</f>
        <v>56</v>
      </c>
      <c r="P4704" s="14" t="str">
        <f>IF(
    OR(ISBLANK(moras[[#This Row],[TIPO_ASEGURAMIENTO]]), moras[[#This Row],[TIPO_ASEGURAMIENTO]]=""),
    EDA!$A$32,
    moras[[#This Row],[TIPO_ASEGURAMIENTO]]
)</f>
        <v>TRABAJADOR INDEPENDIENTE</v>
      </c>
    </row>
    <row r="4705" spans="1:16" x14ac:dyDescent="0.3">
      <c r="A4705">
        <v>4704</v>
      </c>
      <c r="B4705" t="s">
        <v>9</v>
      </c>
      <c r="C4705">
        <v>45067708</v>
      </c>
      <c r="D4705" t="s">
        <v>10</v>
      </c>
      <c r="E4705" t="s">
        <v>16</v>
      </c>
      <c r="F4705" t="s">
        <v>12</v>
      </c>
      <c r="G4705" t="s">
        <v>13</v>
      </c>
      <c r="H4705" t="s">
        <v>13</v>
      </c>
      <c r="I4705">
        <v>28</v>
      </c>
      <c r="J4705">
        <f>ABS((I4705-EDA!$A$15)/EDA!$B$15)</f>
        <v>0.98661430822120777</v>
      </c>
      <c r="K4705" t="str">
        <f t="shared" si="73"/>
        <v>No</v>
      </c>
      <c r="L4705">
        <f>ABS((C4705-EDA!$F$15)/EDA!$G$15)</f>
        <v>0.37430450275695792</v>
      </c>
      <c r="M4705" t="str">
        <f>IF(moras[[#This Row],[Z-Score Salario]]&gt;1.96, "Sí", "No")</f>
        <v>No</v>
      </c>
      <c r="N4705" s="14">
        <f>IF(ISBLANK(moras[[#This Row],[SALARIO]]), EDA!$M$8, moras[[#This Row],[SALARIO]])</f>
        <v>45067708</v>
      </c>
      <c r="O4705" s="14">
        <f xml:space="preserve"> IF(ISBLANK(moras[[#This Row],[EDAD]]), EDA!$E$8, moras[[#This Row],[EDAD]])</f>
        <v>28</v>
      </c>
      <c r="P4705" s="14" t="str">
        <f>IF(
    OR(ISBLANK(moras[[#This Row],[TIPO_ASEGURAMIENTO]]), moras[[#This Row],[TIPO_ASEGURAMIENTO]]=""),
    EDA!$A$32,
    moras[[#This Row],[TIPO_ASEGURAMIENTO]]
)</f>
        <v>ASALARIADO</v>
      </c>
    </row>
    <row r="4706" spans="1:16" x14ac:dyDescent="0.3">
      <c r="A4706">
        <v>4705</v>
      </c>
      <c r="B4706" t="s">
        <v>9</v>
      </c>
      <c r="C4706">
        <v>65449</v>
      </c>
      <c r="D4706" t="s">
        <v>10</v>
      </c>
      <c r="E4706" t="s">
        <v>16</v>
      </c>
      <c r="F4706" t="s">
        <v>12</v>
      </c>
      <c r="G4706" t="s">
        <v>12</v>
      </c>
      <c r="H4706" t="s">
        <v>13</v>
      </c>
      <c r="I4706">
        <v>59</v>
      </c>
      <c r="J4706">
        <f>ABS((I4706-EDA!$A$15)/EDA!$B$15)</f>
        <v>1.2012209241700549</v>
      </c>
      <c r="K4706" t="str">
        <f t="shared" si="73"/>
        <v>No</v>
      </c>
      <c r="L4706">
        <f>ABS((C4706-EDA!$F$15)/EDA!$G$15)</f>
        <v>0.37456485464657069</v>
      </c>
      <c r="M4706" t="str">
        <f>IF(moras[[#This Row],[Z-Score Salario]]&gt;1.96, "Sí", "No")</f>
        <v>No</v>
      </c>
      <c r="N4706" s="14">
        <f>IF(ISBLANK(moras[[#This Row],[SALARIO]]), EDA!$M$8, moras[[#This Row],[SALARIO]])</f>
        <v>65449</v>
      </c>
      <c r="O4706" s="14">
        <f xml:space="preserve"> IF(ISBLANK(moras[[#This Row],[EDAD]]), EDA!$E$8, moras[[#This Row],[EDAD]])</f>
        <v>59</v>
      </c>
      <c r="P4706" s="14" t="str">
        <f>IF(
    OR(ISBLANK(moras[[#This Row],[TIPO_ASEGURAMIENTO]]), moras[[#This Row],[TIPO_ASEGURAMIENTO]]=""),
    EDA!$A$32,
    moras[[#This Row],[TIPO_ASEGURAMIENTO]]
)</f>
        <v>ASALARIADO</v>
      </c>
    </row>
    <row r="4707" spans="1:16" x14ac:dyDescent="0.3">
      <c r="A4707">
        <v>4706</v>
      </c>
      <c r="B4707" t="s">
        <v>9</v>
      </c>
      <c r="C4707">
        <v>505464</v>
      </c>
      <c r="D4707" t="s">
        <v>18</v>
      </c>
      <c r="E4707" t="s">
        <v>16</v>
      </c>
      <c r="F4707" t="s">
        <v>12</v>
      </c>
      <c r="G4707" t="s">
        <v>13</v>
      </c>
      <c r="H4707" t="s">
        <v>13</v>
      </c>
      <c r="I4707">
        <v>61</v>
      </c>
      <c r="J4707">
        <f>ABS((I4707-EDA!$A$15)/EDA!$B$15)</f>
        <v>1.3423715843243298</v>
      </c>
      <c r="K4707" t="str">
        <f t="shared" si="73"/>
        <v>No</v>
      </c>
      <c r="L4707">
        <f>ABS((C4707-EDA!$F$15)/EDA!$G$15)</f>
        <v>0.36724269443461527</v>
      </c>
      <c r="M4707" t="str">
        <f>IF(moras[[#This Row],[Z-Score Salario]]&gt;1.96, "Sí", "No")</f>
        <v>No</v>
      </c>
      <c r="N4707" s="14">
        <f>IF(ISBLANK(moras[[#This Row],[SALARIO]]), EDA!$M$8, moras[[#This Row],[SALARIO]])</f>
        <v>505464</v>
      </c>
      <c r="O4707" s="14">
        <f xml:space="preserve"> IF(ISBLANK(moras[[#This Row],[EDAD]]), EDA!$E$8, moras[[#This Row],[EDAD]])</f>
        <v>61</v>
      </c>
      <c r="P4707" s="14" t="str">
        <f>IF(
    OR(ISBLANK(moras[[#This Row],[TIPO_ASEGURAMIENTO]]), moras[[#This Row],[TIPO_ASEGURAMIENTO]]=""),
    EDA!$A$32,
    moras[[#This Row],[TIPO_ASEGURAMIENTO]]
)</f>
        <v>TRABAJADOR INDEPENDIENTE</v>
      </c>
    </row>
    <row r="4708" spans="1:16" x14ac:dyDescent="0.3">
      <c r="A4708">
        <v>4707</v>
      </c>
      <c r="B4708" t="s">
        <v>9</v>
      </c>
      <c r="C4708">
        <v>159455567</v>
      </c>
      <c r="D4708" t="s">
        <v>10</v>
      </c>
      <c r="E4708" t="s">
        <v>11</v>
      </c>
      <c r="F4708" t="s">
        <v>12</v>
      </c>
      <c r="G4708" t="s">
        <v>13</v>
      </c>
      <c r="H4708" t="s">
        <v>13</v>
      </c>
      <c r="I4708">
        <v>49</v>
      </c>
      <c r="J4708">
        <f>ABS((I4708-EDA!$A$15)/EDA!$B$15)</f>
        <v>0.49546762339867978</v>
      </c>
      <c r="K4708" t="str">
        <f t="shared" si="73"/>
        <v>No</v>
      </c>
      <c r="L4708">
        <f>ABS((C4708-EDA!$F$15)/EDA!$G$15)</f>
        <v>2.2777992243018348</v>
      </c>
      <c r="M4708" t="str">
        <f>IF(moras[[#This Row],[Z-Score Salario]]&gt;1.96, "Sí", "No")</f>
        <v>Sí</v>
      </c>
      <c r="N4708" s="14">
        <f>IF(ISBLANK(moras[[#This Row],[SALARIO]]), EDA!$M$8, moras[[#This Row],[SALARIO]])</f>
        <v>159455567</v>
      </c>
      <c r="O4708" s="14">
        <f xml:space="preserve"> IF(ISBLANK(moras[[#This Row],[EDAD]]), EDA!$E$8, moras[[#This Row],[EDAD]])</f>
        <v>49</v>
      </c>
      <c r="P4708" s="14" t="str">
        <f>IF(
    OR(ISBLANK(moras[[#This Row],[TIPO_ASEGURAMIENTO]]), moras[[#This Row],[TIPO_ASEGURAMIENTO]]=""),
    EDA!$A$32,
    moras[[#This Row],[TIPO_ASEGURAMIENTO]]
)</f>
        <v>ASALARIADO</v>
      </c>
    </row>
    <row r="4709" spans="1:16" x14ac:dyDescent="0.3">
      <c r="A4709">
        <v>4708</v>
      </c>
      <c r="B4709" t="s">
        <v>15</v>
      </c>
      <c r="C4709">
        <v>35954427</v>
      </c>
      <c r="D4709" t="s">
        <v>21</v>
      </c>
      <c r="E4709" t="s">
        <v>16</v>
      </c>
      <c r="F4709" t="s">
        <v>12</v>
      </c>
      <c r="G4709" t="s">
        <v>12</v>
      </c>
      <c r="H4709" t="s">
        <v>13</v>
      </c>
      <c r="I4709">
        <v>44</v>
      </c>
      <c r="J4709">
        <f>ABS((I4709-EDA!$A$15)/EDA!$B$15)</f>
        <v>0.14259097301299228</v>
      </c>
      <c r="K4709" t="str">
        <f t="shared" si="73"/>
        <v>No</v>
      </c>
      <c r="L4709">
        <f>ABS((C4709-EDA!$F$15)/EDA!$G$15)</f>
        <v>0.22265307374074372</v>
      </c>
      <c r="M4709" t="str">
        <f>IF(moras[[#This Row],[Z-Score Salario]]&gt;1.96, "Sí", "No")</f>
        <v>No</v>
      </c>
      <c r="N4709" s="14">
        <f>IF(ISBLANK(moras[[#This Row],[SALARIO]]), EDA!$M$8, moras[[#This Row],[SALARIO]])</f>
        <v>35954427</v>
      </c>
      <c r="O4709" s="14">
        <f xml:space="preserve"> IF(ISBLANK(moras[[#This Row],[EDAD]]), EDA!$E$8, moras[[#This Row],[EDAD]])</f>
        <v>44</v>
      </c>
      <c r="P4709" s="14" t="str">
        <f>IF(
    OR(ISBLANK(moras[[#This Row],[TIPO_ASEGURAMIENTO]]), moras[[#This Row],[TIPO_ASEGURAMIENTO]]=""),
    EDA!$A$32,
    moras[[#This Row],[TIPO_ASEGURAMIENTO]]
)</f>
        <v>CONVENIOS ESPECIALES DE ASEGURADOS VOLUNTARIOS</v>
      </c>
    </row>
    <row r="4710" spans="1:16" x14ac:dyDescent="0.3">
      <c r="A4710">
        <v>4709</v>
      </c>
      <c r="B4710" t="s">
        <v>9</v>
      </c>
      <c r="C4710">
        <v>550000</v>
      </c>
      <c r="D4710" t="s">
        <v>10</v>
      </c>
      <c r="E4710" t="s">
        <v>16</v>
      </c>
      <c r="F4710" t="s">
        <v>12</v>
      </c>
      <c r="G4710" t="s">
        <v>13</v>
      </c>
      <c r="H4710" t="s">
        <v>13</v>
      </c>
      <c r="I4710">
        <v>39</v>
      </c>
      <c r="J4710">
        <f>ABS((I4710-EDA!$A$15)/EDA!$B$15)</f>
        <v>0.21028567737269524</v>
      </c>
      <c r="K4710" t="str">
        <f t="shared" si="73"/>
        <v>No</v>
      </c>
      <c r="L4710">
        <f>ABS((C4710-EDA!$F$15)/EDA!$G$15)</f>
        <v>0.36650158395610966</v>
      </c>
      <c r="M4710" t="str">
        <f>IF(moras[[#This Row],[Z-Score Salario]]&gt;1.96, "Sí", "No")</f>
        <v>No</v>
      </c>
      <c r="N4710" s="14">
        <f>IF(ISBLANK(moras[[#This Row],[SALARIO]]), EDA!$M$8, moras[[#This Row],[SALARIO]])</f>
        <v>550000</v>
      </c>
      <c r="O4710" s="14">
        <f xml:space="preserve"> IF(ISBLANK(moras[[#This Row],[EDAD]]), EDA!$E$8, moras[[#This Row],[EDAD]])</f>
        <v>39</v>
      </c>
      <c r="P4710" s="14" t="str">
        <f>IF(
    OR(ISBLANK(moras[[#This Row],[TIPO_ASEGURAMIENTO]]), moras[[#This Row],[TIPO_ASEGURAMIENTO]]=""),
    EDA!$A$32,
    moras[[#This Row],[TIPO_ASEGURAMIENTO]]
)</f>
        <v>ASALARIADO</v>
      </c>
    </row>
    <row r="4711" spans="1:16" x14ac:dyDescent="0.3">
      <c r="A4711">
        <v>4710</v>
      </c>
      <c r="B4711" t="s">
        <v>9</v>
      </c>
      <c r="C4711">
        <v>148240413</v>
      </c>
      <c r="D4711" t="s">
        <v>10</v>
      </c>
      <c r="E4711" t="s">
        <v>16</v>
      </c>
      <c r="F4711" t="s">
        <v>12</v>
      </c>
      <c r="G4711" t="s">
        <v>13</v>
      </c>
      <c r="H4711" t="s">
        <v>13</v>
      </c>
      <c r="I4711">
        <v>56</v>
      </c>
      <c r="J4711">
        <f>ABS((I4711-EDA!$A$15)/EDA!$B$15)</f>
        <v>0.9894949339386423</v>
      </c>
      <c r="K4711" t="str">
        <f t="shared" si="73"/>
        <v>No</v>
      </c>
      <c r="L4711">
        <f>ABS((C4711-EDA!$F$15)/EDA!$G$15)</f>
        <v>2.091171144827833</v>
      </c>
      <c r="M4711" t="str">
        <f>IF(moras[[#This Row],[Z-Score Salario]]&gt;1.96, "Sí", "No")</f>
        <v>Sí</v>
      </c>
      <c r="N4711" s="14">
        <f>IF(ISBLANK(moras[[#This Row],[SALARIO]]), EDA!$M$8, moras[[#This Row],[SALARIO]])</f>
        <v>148240413</v>
      </c>
      <c r="O4711" s="14">
        <f xml:space="preserve"> IF(ISBLANK(moras[[#This Row],[EDAD]]), EDA!$E$8, moras[[#This Row],[EDAD]])</f>
        <v>56</v>
      </c>
      <c r="P4711" s="14" t="str">
        <f>IF(
    OR(ISBLANK(moras[[#This Row],[TIPO_ASEGURAMIENTO]]), moras[[#This Row],[TIPO_ASEGURAMIENTO]]=""),
    EDA!$A$32,
    moras[[#This Row],[TIPO_ASEGURAMIENTO]]
)</f>
        <v>ASALARIADO</v>
      </c>
    </row>
    <row r="4712" spans="1:16" x14ac:dyDescent="0.3">
      <c r="A4712">
        <v>4711</v>
      </c>
      <c r="B4712" t="s">
        <v>9</v>
      </c>
      <c r="C4712">
        <v>56223245</v>
      </c>
      <c r="D4712" t="s">
        <v>10</v>
      </c>
      <c r="E4712" t="s">
        <v>11</v>
      </c>
      <c r="F4712" t="s">
        <v>12</v>
      </c>
      <c r="G4712" t="s">
        <v>13</v>
      </c>
      <c r="H4712" t="s">
        <v>13</v>
      </c>
      <c r="I4712">
        <v>47</v>
      </c>
      <c r="J4712">
        <f>ABS((I4712-EDA!$A$15)/EDA!$B$15)</f>
        <v>0.35431696324440481</v>
      </c>
      <c r="K4712" t="str">
        <f t="shared" si="73"/>
        <v>No</v>
      </c>
      <c r="L4712">
        <f>ABS((C4712-EDA!$F$15)/EDA!$G$15)</f>
        <v>0.55994051326659222</v>
      </c>
      <c r="M4712" t="str">
        <f>IF(moras[[#This Row],[Z-Score Salario]]&gt;1.96, "Sí", "No")</f>
        <v>No</v>
      </c>
      <c r="N4712" s="14">
        <f>IF(ISBLANK(moras[[#This Row],[SALARIO]]), EDA!$M$8, moras[[#This Row],[SALARIO]])</f>
        <v>56223245</v>
      </c>
      <c r="O4712" s="14">
        <f xml:space="preserve"> IF(ISBLANK(moras[[#This Row],[EDAD]]), EDA!$E$8, moras[[#This Row],[EDAD]])</f>
        <v>47</v>
      </c>
      <c r="P4712" s="14" t="str">
        <f>IF(
    OR(ISBLANK(moras[[#This Row],[TIPO_ASEGURAMIENTO]]), moras[[#This Row],[TIPO_ASEGURAMIENTO]]=""),
    EDA!$A$32,
    moras[[#This Row],[TIPO_ASEGURAMIENTO]]
)</f>
        <v>ASALARIADO</v>
      </c>
    </row>
    <row r="4713" spans="1:16" x14ac:dyDescent="0.3">
      <c r="A4713">
        <v>4712</v>
      </c>
      <c r="B4713" t="s">
        <v>15</v>
      </c>
      <c r="C4713">
        <v>160481</v>
      </c>
      <c r="D4713" t="s">
        <v>10</v>
      </c>
      <c r="E4713" t="s">
        <v>11</v>
      </c>
      <c r="F4713" t="s">
        <v>12</v>
      </c>
      <c r="G4713" t="s">
        <v>13</v>
      </c>
      <c r="H4713" t="s">
        <v>13</v>
      </c>
      <c r="I4713">
        <v>26</v>
      </c>
      <c r="J4713">
        <f>ABS((I4713-EDA!$A$15)/EDA!$B$15)</f>
        <v>1.1277649683754829</v>
      </c>
      <c r="K4713" t="str">
        <f t="shared" si="73"/>
        <v>No</v>
      </c>
      <c r="L4713">
        <f>ABS((C4713-EDA!$F$15)/EDA!$G$15)</f>
        <v>0.37298345508232278</v>
      </c>
      <c r="M4713" t="str">
        <f>IF(moras[[#This Row],[Z-Score Salario]]&gt;1.96, "Sí", "No")</f>
        <v>No</v>
      </c>
      <c r="N4713" s="14">
        <f>IF(ISBLANK(moras[[#This Row],[SALARIO]]), EDA!$M$8, moras[[#This Row],[SALARIO]])</f>
        <v>160481</v>
      </c>
      <c r="O4713" s="14">
        <f xml:space="preserve"> IF(ISBLANK(moras[[#This Row],[EDAD]]), EDA!$E$8, moras[[#This Row],[EDAD]])</f>
        <v>26</v>
      </c>
      <c r="P4713" s="14" t="str">
        <f>IF(
    OR(ISBLANK(moras[[#This Row],[TIPO_ASEGURAMIENTO]]), moras[[#This Row],[TIPO_ASEGURAMIENTO]]=""),
    EDA!$A$32,
    moras[[#This Row],[TIPO_ASEGURAMIENTO]]
)</f>
        <v>ASALARIADO</v>
      </c>
    </row>
    <row r="4714" spans="1:16" x14ac:dyDescent="0.3">
      <c r="A4714">
        <v>4713</v>
      </c>
      <c r="B4714" t="s">
        <v>15</v>
      </c>
      <c r="C4714">
        <v>239681</v>
      </c>
      <c r="D4714" t="s">
        <v>10</v>
      </c>
      <c r="E4714" t="s">
        <v>16</v>
      </c>
      <c r="F4714" t="s">
        <v>12</v>
      </c>
      <c r="G4714" t="s">
        <v>13</v>
      </c>
      <c r="H4714" t="s">
        <v>13</v>
      </c>
      <c r="I4714">
        <v>34</v>
      </c>
      <c r="J4714">
        <f>ABS((I4714-EDA!$A$15)/EDA!$B$15)</f>
        <v>0.56316232775838282</v>
      </c>
      <c r="K4714" t="str">
        <f t="shared" si="73"/>
        <v>No</v>
      </c>
      <c r="L4714">
        <f>ABS((C4714-EDA!$F$15)/EDA!$G$15)</f>
        <v>0.37166551117407676</v>
      </c>
      <c r="M4714" t="str">
        <f>IF(moras[[#This Row],[Z-Score Salario]]&gt;1.96, "Sí", "No")</f>
        <v>No</v>
      </c>
      <c r="N4714" s="14">
        <f>IF(ISBLANK(moras[[#This Row],[SALARIO]]), EDA!$M$8, moras[[#This Row],[SALARIO]])</f>
        <v>239681</v>
      </c>
      <c r="O4714" s="14">
        <f xml:space="preserve"> IF(ISBLANK(moras[[#This Row],[EDAD]]), EDA!$E$8, moras[[#This Row],[EDAD]])</f>
        <v>34</v>
      </c>
      <c r="P4714" s="14" t="str">
        <f>IF(
    OR(ISBLANK(moras[[#This Row],[TIPO_ASEGURAMIENTO]]), moras[[#This Row],[TIPO_ASEGURAMIENTO]]=""),
    EDA!$A$32,
    moras[[#This Row],[TIPO_ASEGURAMIENTO]]
)</f>
        <v>ASALARIADO</v>
      </c>
    </row>
    <row r="4715" spans="1:16" x14ac:dyDescent="0.3">
      <c r="A4715">
        <v>4714</v>
      </c>
      <c r="B4715" t="s">
        <v>9</v>
      </c>
      <c r="C4715">
        <v>331398</v>
      </c>
      <c r="D4715" t="s">
        <v>10</v>
      </c>
      <c r="E4715" t="s">
        <v>16</v>
      </c>
      <c r="F4715" t="s">
        <v>12</v>
      </c>
      <c r="G4715" t="s">
        <v>13</v>
      </c>
      <c r="H4715" t="s">
        <v>13</v>
      </c>
      <c r="I4715">
        <v>30</v>
      </c>
      <c r="J4715">
        <f>ABS((I4715-EDA!$A$15)/EDA!$B$15)</f>
        <v>0.84546364806693275</v>
      </c>
      <c r="K4715" t="str">
        <f t="shared" si="73"/>
        <v>No</v>
      </c>
      <c r="L4715">
        <f>ABS((C4715-EDA!$F$15)/EDA!$G$15)</f>
        <v>0.37013927554992776</v>
      </c>
      <c r="M4715" t="str">
        <f>IF(moras[[#This Row],[Z-Score Salario]]&gt;1.96, "Sí", "No")</f>
        <v>No</v>
      </c>
      <c r="N4715" s="14">
        <f>IF(ISBLANK(moras[[#This Row],[SALARIO]]), EDA!$M$8, moras[[#This Row],[SALARIO]])</f>
        <v>331398</v>
      </c>
      <c r="O4715" s="14">
        <f xml:space="preserve"> IF(ISBLANK(moras[[#This Row],[EDAD]]), EDA!$E$8, moras[[#This Row],[EDAD]])</f>
        <v>30</v>
      </c>
      <c r="P4715" s="14" t="str">
        <f>IF(
    OR(ISBLANK(moras[[#This Row],[TIPO_ASEGURAMIENTO]]), moras[[#This Row],[TIPO_ASEGURAMIENTO]]=""),
    EDA!$A$32,
    moras[[#This Row],[TIPO_ASEGURAMIENTO]]
)</f>
        <v>ASALARIADO</v>
      </c>
    </row>
    <row r="4716" spans="1:16" x14ac:dyDescent="0.3">
      <c r="A4716">
        <v>4715</v>
      </c>
      <c r="B4716" t="s">
        <v>15</v>
      </c>
      <c r="C4716">
        <v>42639651</v>
      </c>
      <c r="D4716" t="s">
        <v>10</v>
      </c>
      <c r="E4716" t="s">
        <v>16</v>
      </c>
      <c r="F4716" t="s">
        <v>12</v>
      </c>
      <c r="G4716" t="s">
        <v>13</v>
      </c>
      <c r="H4716" t="s">
        <v>13</v>
      </c>
      <c r="I4716">
        <v>22</v>
      </c>
      <c r="J4716">
        <f>ABS((I4716-EDA!$A$15)/EDA!$B$15)</f>
        <v>1.4100662886840327</v>
      </c>
      <c r="K4716" t="str">
        <f t="shared" si="73"/>
        <v>No</v>
      </c>
      <c r="L4716">
        <f>ABS((C4716-EDA!$F$15)/EDA!$G$15)</f>
        <v>0.33389992028190618</v>
      </c>
      <c r="M4716" t="str">
        <f>IF(moras[[#This Row],[Z-Score Salario]]&gt;1.96, "Sí", "No")</f>
        <v>No</v>
      </c>
      <c r="N4716" s="14">
        <f>IF(ISBLANK(moras[[#This Row],[SALARIO]]), EDA!$M$8, moras[[#This Row],[SALARIO]])</f>
        <v>42639651</v>
      </c>
      <c r="O4716" s="14">
        <f xml:space="preserve"> IF(ISBLANK(moras[[#This Row],[EDAD]]), EDA!$E$8, moras[[#This Row],[EDAD]])</f>
        <v>22</v>
      </c>
      <c r="P4716" s="14" t="str">
        <f>IF(
    OR(ISBLANK(moras[[#This Row],[TIPO_ASEGURAMIENTO]]), moras[[#This Row],[TIPO_ASEGURAMIENTO]]=""),
    EDA!$A$32,
    moras[[#This Row],[TIPO_ASEGURAMIENTO]]
)</f>
        <v>ASALARIADO</v>
      </c>
    </row>
    <row r="4717" spans="1:16" x14ac:dyDescent="0.3">
      <c r="A4717">
        <v>4716</v>
      </c>
      <c r="B4717" t="s">
        <v>15</v>
      </c>
      <c r="C4717">
        <v>297046</v>
      </c>
      <c r="D4717" t="s">
        <v>17</v>
      </c>
      <c r="E4717" t="s">
        <v>16</v>
      </c>
      <c r="F4717" t="s">
        <v>12</v>
      </c>
      <c r="G4717" t="s">
        <v>12</v>
      </c>
      <c r="H4717" t="s">
        <v>13</v>
      </c>
      <c r="I4717">
        <v>27</v>
      </c>
      <c r="J4717">
        <f>ABS((I4717-EDA!$A$15)/EDA!$B$15)</f>
        <v>1.0571896382983452</v>
      </c>
      <c r="K4717" t="str">
        <f t="shared" si="73"/>
        <v>No</v>
      </c>
      <c r="L4717">
        <f>ABS((C4717-EDA!$F$15)/EDA!$G$15)</f>
        <v>0.37071091707942361</v>
      </c>
      <c r="M4717" t="str">
        <f>IF(moras[[#This Row],[Z-Score Salario]]&gt;1.96, "Sí", "No")</f>
        <v>No</v>
      </c>
      <c r="N4717" s="14">
        <f>IF(ISBLANK(moras[[#This Row],[SALARIO]]), EDA!$M$8, moras[[#This Row],[SALARIO]])</f>
        <v>297046</v>
      </c>
      <c r="O4717" s="14">
        <f xml:space="preserve"> IF(ISBLANK(moras[[#This Row],[EDAD]]), EDA!$E$8, moras[[#This Row],[EDAD]])</f>
        <v>27</v>
      </c>
      <c r="P4717" s="14" t="str">
        <f>IF(
    OR(ISBLANK(moras[[#This Row],[TIPO_ASEGURAMIENTO]]), moras[[#This Row],[TIPO_ASEGURAMIENTO]]=""),
    EDA!$A$32,
    moras[[#This Row],[TIPO_ASEGURAMIENTO]]
)</f>
        <v>ASEGURADO VOLUNTARIO</v>
      </c>
    </row>
    <row r="4718" spans="1:16" x14ac:dyDescent="0.3">
      <c r="A4718">
        <v>4717</v>
      </c>
      <c r="B4718" t="s">
        <v>9</v>
      </c>
      <c r="C4718">
        <v>80766097</v>
      </c>
      <c r="D4718" t="s">
        <v>10</v>
      </c>
      <c r="E4718" t="s">
        <v>16</v>
      </c>
      <c r="F4718" t="s">
        <v>12</v>
      </c>
      <c r="G4718" t="s">
        <v>13</v>
      </c>
      <c r="H4718" t="s">
        <v>13</v>
      </c>
      <c r="I4718">
        <v>28</v>
      </c>
      <c r="J4718">
        <f>ABS((I4718-EDA!$A$15)/EDA!$B$15)</f>
        <v>0.98661430822120777</v>
      </c>
      <c r="K4718" t="str">
        <f t="shared" si="73"/>
        <v>No</v>
      </c>
      <c r="L4718">
        <f>ABS((C4718-EDA!$F$15)/EDA!$G$15)</f>
        <v>0.96835089564517263</v>
      </c>
      <c r="M4718" t="str">
        <f>IF(moras[[#This Row],[Z-Score Salario]]&gt;1.96, "Sí", "No")</f>
        <v>No</v>
      </c>
      <c r="N4718" s="14">
        <f>IF(ISBLANK(moras[[#This Row],[SALARIO]]), EDA!$M$8, moras[[#This Row],[SALARIO]])</f>
        <v>80766097</v>
      </c>
      <c r="O4718" s="14">
        <f xml:space="preserve"> IF(ISBLANK(moras[[#This Row],[EDAD]]), EDA!$E$8, moras[[#This Row],[EDAD]])</f>
        <v>28</v>
      </c>
      <c r="P4718" s="14" t="str">
        <f>IF(
    OR(ISBLANK(moras[[#This Row],[TIPO_ASEGURAMIENTO]]), moras[[#This Row],[TIPO_ASEGURAMIENTO]]=""),
    EDA!$A$32,
    moras[[#This Row],[TIPO_ASEGURAMIENTO]]
)</f>
        <v>ASALARIADO</v>
      </c>
    </row>
    <row r="4719" spans="1:16" x14ac:dyDescent="0.3">
      <c r="A4719">
        <v>4718</v>
      </c>
      <c r="B4719" t="s">
        <v>15</v>
      </c>
      <c r="C4719">
        <v>34650845</v>
      </c>
      <c r="D4719" t="s">
        <v>10</v>
      </c>
      <c r="E4719" t="s">
        <v>16</v>
      </c>
      <c r="F4719" t="s">
        <v>12</v>
      </c>
      <c r="G4719" t="s">
        <v>13</v>
      </c>
      <c r="H4719" t="s">
        <v>13</v>
      </c>
      <c r="I4719">
        <v>46</v>
      </c>
      <c r="J4719">
        <f>ABS((I4719-EDA!$A$15)/EDA!$B$15)</f>
        <v>0.2837416331672673</v>
      </c>
      <c r="K4719" t="str">
        <f t="shared" si="73"/>
        <v>No</v>
      </c>
      <c r="L4719">
        <f>ABS((C4719-EDA!$F$15)/EDA!$G$15)</f>
        <v>0.20096054904630989</v>
      </c>
      <c r="M4719" t="str">
        <f>IF(moras[[#This Row],[Z-Score Salario]]&gt;1.96, "Sí", "No")</f>
        <v>No</v>
      </c>
      <c r="N4719" s="14">
        <f>IF(ISBLANK(moras[[#This Row],[SALARIO]]), EDA!$M$8, moras[[#This Row],[SALARIO]])</f>
        <v>34650845</v>
      </c>
      <c r="O4719" s="14">
        <f xml:space="preserve"> IF(ISBLANK(moras[[#This Row],[EDAD]]), EDA!$E$8, moras[[#This Row],[EDAD]])</f>
        <v>46</v>
      </c>
      <c r="P4719" s="14" t="str">
        <f>IF(
    OR(ISBLANK(moras[[#This Row],[TIPO_ASEGURAMIENTO]]), moras[[#This Row],[TIPO_ASEGURAMIENTO]]=""),
    EDA!$A$32,
    moras[[#This Row],[TIPO_ASEGURAMIENTO]]
)</f>
        <v>ASALARIADO</v>
      </c>
    </row>
    <row r="4720" spans="1:16" x14ac:dyDescent="0.3">
      <c r="A4720">
        <v>4719</v>
      </c>
      <c r="B4720" t="s">
        <v>9</v>
      </c>
      <c r="C4720">
        <v>578500</v>
      </c>
      <c r="D4720" t="s">
        <v>10</v>
      </c>
      <c r="E4720" t="s">
        <v>16</v>
      </c>
      <c r="F4720" t="s">
        <v>12</v>
      </c>
      <c r="G4720" t="s">
        <v>12</v>
      </c>
      <c r="H4720" t="s">
        <v>13</v>
      </c>
      <c r="I4720">
        <v>56</v>
      </c>
      <c r="J4720">
        <f>ABS((I4720-EDA!$A$15)/EDA!$B$15)</f>
        <v>0.9894949339386423</v>
      </c>
      <c r="K4720" t="str">
        <f t="shared" si="73"/>
        <v>No</v>
      </c>
      <c r="L4720">
        <f>ABS((C4720-EDA!$F$15)/EDA!$G$15)</f>
        <v>0.36602732383761205</v>
      </c>
      <c r="M4720" t="str">
        <f>IF(moras[[#This Row],[Z-Score Salario]]&gt;1.96, "Sí", "No")</f>
        <v>No</v>
      </c>
      <c r="N4720" s="14">
        <f>IF(ISBLANK(moras[[#This Row],[SALARIO]]), EDA!$M$8, moras[[#This Row],[SALARIO]])</f>
        <v>578500</v>
      </c>
      <c r="O4720" s="14">
        <f xml:space="preserve"> IF(ISBLANK(moras[[#This Row],[EDAD]]), EDA!$E$8, moras[[#This Row],[EDAD]])</f>
        <v>56</v>
      </c>
      <c r="P4720" s="14" t="str">
        <f>IF(
    OR(ISBLANK(moras[[#This Row],[TIPO_ASEGURAMIENTO]]), moras[[#This Row],[TIPO_ASEGURAMIENTO]]=""),
    EDA!$A$32,
    moras[[#This Row],[TIPO_ASEGURAMIENTO]]
)</f>
        <v>ASALARIADO</v>
      </c>
    </row>
    <row r="4721" spans="1:16" x14ac:dyDescent="0.3">
      <c r="A4721">
        <v>4720</v>
      </c>
      <c r="B4721" t="s">
        <v>9</v>
      </c>
      <c r="C4721">
        <v>278030</v>
      </c>
      <c r="D4721" t="s">
        <v>19</v>
      </c>
      <c r="E4721" t="s">
        <v>16</v>
      </c>
      <c r="F4721" t="s">
        <v>12</v>
      </c>
      <c r="G4721" t="s">
        <v>13</v>
      </c>
      <c r="H4721" t="s">
        <v>13</v>
      </c>
      <c r="I4721">
        <v>36</v>
      </c>
      <c r="J4721">
        <f>ABS((I4721-EDA!$A$15)/EDA!$B$15)</f>
        <v>0.42201166760410774</v>
      </c>
      <c r="K4721" t="str">
        <f t="shared" si="73"/>
        <v>No</v>
      </c>
      <c r="L4721">
        <f>ABS((C4721-EDA!$F$15)/EDA!$G$15)</f>
        <v>0.37102735674304993</v>
      </c>
      <c r="M4721" t="str">
        <f>IF(moras[[#This Row],[Z-Score Salario]]&gt;1.96, "Sí", "No")</f>
        <v>No</v>
      </c>
      <c r="N4721" s="14">
        <f>IF(ISBLANK(moras[[#This Row],[SALARIO]]), EDA!$M$8, moras[[#This Row],[SALARIO]])</f>
        <v>278030</v>
      </c>
      <c r="O4721" s="14">
        <f xml:space="preserve"> IF(ISBLANK(moras[[#This Row],[EDAD]]), EDA!$E$8, moras[[#This Row],[EDAD]])</f>
        <v>36</v>
      </c>
      <c r="P4721" s="14" t="str">
        <f>IF(
    OR(ISBLANK(moras[[#This Row],[TIPO_ASEGURAMIENTO]]), moras[[#This Row],[TIPO_ASEGURAMIENTO]]=""),
    EDA!$A$32,
    moras[[#This Row],[TIPO_ASEGURAMIENTO]]
)</f>
        <v>CONVENIOS ESPECIALES DE TRABAJADORES INDEPENDIENTES</v>
      </c>
    </row>
    <row r="4722" spans="1:16" x14ac:dyDescent="0.3">
      <c r="A4722">
        <v>4721</v>
      </c>
      <c r="B4722" t="s">
        <v>9</v>
      </c>
      <c r="C4722">
        <v>4393676</v>
      </c>
      <c r="D4722" t="s">
        <v>10</v>
      </c>
      <c r="E4722" t="s">
        <v>16</v>
      </c>
      <c r="F4722" t="s">
        <v>12</v>
      </c>
      <c r="G4722" t="s">
        <v>12</v>
      </c>
      <c r="H4722" t="s">
        <v>13</v>
      </c>
      <c r="I4722">
        <v>57</v>
      </c>
      <c r="J4722">
        <f>ABS((I4722-EDA!$A$15)/EDA!$B$15)</f>
        <v>1.0600702640157798</v>
      </c>
      <c r="K4722" t="str">
        <f t="shared" si="73"/>
        <v>No</v>
      </c>
      <c r="L4722">
        <f>ABS((C4722-EDA!$F$15)/EDA!$G$15)</f>
        <v>0.30254010201833925</v>
      </c>
      <c r="M4722" t="str">
        <f>IF(moras[[#This Row],[Z-Score Salario]]&gt;1.96, "Sí", "No")</f>
        <v>No</v>
      </c>
      <c r="N4722" s="14">
        <f>IF(ISBLANK(moras[[#This Row],[SALARIO]]), EDA!$M$8, moras[[#This Row],[SALARIO]])</f>
        <v>4393676</v>
      </c>
      <c r="O4722" s="14">
        <f xml:space="preserve"> IF(ISBLANK(moras[[#This Row],[EDAD]]), EDA!$E$8, moras[[#This Row],[EDAD]])</f>
        <v>57</v>
      </c>
      <c r="P4722" s="14" t="str">
        <f>IF(
    OR(ISBLANK(moras[[#This Row],[TIPO_ASEGURAMIENTO]]), moras[[#This Row],[TIPO_ASEGURAMIENTO]]=""),
    EDA!$A$32,
    moras[[#This Row],[TIPO_ASEGURAMIENTO]]
)</f>
        <v>ASALARIADO</v>
      </c>
    </row>
    <row r="4723" spans="1:16" x14ac:dyDescent="0.3">
      <c r="A4723">
        <v>4722</v>
      </c>
      <c r="B4723" t="s">
        <v>15</v>
      </c>
      <c r="C4723">
        <v>297046</v>
      </c>
      <c r="D4723" t="s">
        <v>17</v>
      </c>
      <c r="E4723" t="s">
        <v>16</v>
      </c>
      <c r="F4723" t="s">
        <v>12</v>
      </c>
      <c r="G4723" t="s">
        <v>13</v>
      </c>
      <c r="H4723" t="s">
        <v>13</v>
      </c>
      <c r="I4723">
        <v>41</v>
      </c>
      <c r="J4723">
        <f>ABS((I4723-EDA!$A$15)/EDA!$B$15)</f>
        <v>6.9135017218420233E-2</v>
      </c>
      <c r="K4723" t="str">
        <f t="shared" si="73"/>
        <v>No</v>
      </c>
      <c r="L4723">
        <f>ABS((C4723-EDA!$F$15)/EDA!$G$15)</f>
        <v>0.37071091707942361</v>
      </c>
      <c r="M4723" t="str">
        <f>IF(moras[[#This Row],[Z-Score Salario]]&gt;1.96, "Sí", "No")</f>
        <v>No</v>
      </c>
      <c r="N4723" s="14">
        <f>IF(ISBLANK(moras[[#This Row],[SALARIO]]), EDA!$M$8, moras[[#This Row],[SALARIO]])</f>
        <v>297046</v>
      </c>
      <c r="O4723" s="14">
        <f xml:space="preserve"> IF(ISBLANK(moras[[#This Row],[EDAD]]), EDA!$E$8, moras[[#This Row],[EDAD]])</f>
        <v>41</v>
      </c>
      <c r="P4723" s="14" t="str">
        <f>IF(
    OR(ISBLANK(moras[[#This Row],[TIPO_ASEGURAMIENTO]]), moras[[#This Row],[TIPO_ASEGURAMIENTO]]=""),
    EDA!$A$32,
    moras[[#This Row],[TIPO_ASEGURAMIENTO]]
)</f>
        <v>ASEGURADO VOLUNTARIO</v>
      </c>
    </row>
    <row r="4724" spans="1:16" x14ac:dyDescent="0.3">
      <c r="A4724">
        <v>4723</v>
      </c>
      <c r="B4724" t="s">
        <v>9</v>
      </c>
      <c r="C4724">
        <v>74448575</v>
      </c>
      <c r="D4724" t="s">
        <v>10</v>
      </c>
      <c r="E4724" t="s">
        <v>11</v>
      </c>
      <c r="F4724" t="s">
        <v>12</v>
      </c>
      <c r="G4724" t="s">
        <v>13</v>
      </c>
      <c r="H4724" t="s">
        <v>13</v>
      </c>
      <c r="I4724">
        <v>54</v>
      </c>
      <c r="J4724">
        <f>ABS((I4724-EDA!$A$15)/EDA!$B$15)</f>
        <v>0.84834427378436728</v>
      </c>
      <c r="K4724" t="str">
        <f t="shared" si="73"/>
        <v>No</v>
      </c>
      <c r="L4724">
        <f>ABS((C4724-EDA!$F$15)/EDA!$G$15)</f>
        <v>0.86322286994933684</v>
      </c>
      <c r="M4724" t="str">
        <f>IF(moras[[#This Row],[Z-Score Salario]]&gt;1.96, "Sí", "No")</f>
        <v>No</v>
      </c>
      <c r="N4724" s="14">
        <f>IF(ISBLANK(moras[[#This Row],[SALARIO]]), EDA!$M$8, moras[[#This Row],[SALARIO]])</f>
        <v>74448575</v>
      </c>
      <c r="O4724" s="14">
        <f xml:space="preserve"> IF(ISBLANK(moras[[#This Row],[EDAD]]), EDA!$E$8, moras[[#This Row],[EDAD]])</f>
        <v>54</v>
      </c>
      <c r="P4724" s="14" t="str">
        <f>IF(
    OR(ISBLANK(moras[[#This Row],[TIPO_ASEGURAMIENTO]]), moras[[#This Row],[TIPO_ASEGURAMIENTO]]=""),
    EDA!$A$32,
    moras[[#This Row],[TIPO_ASEGURAMIENTO]]
)</f>
        <v>ASALARIADO</v>
      </c>
    </row>
    <row r="4725" spans="1:16" x14ac:dyDescent="0.3">
      <c r="A4725">
        <v>4724</v>
      </c>
      <c r="B4725" t="s">
        <v>15</v>
      </c>
      <c r="C4725">
        <v>587429</v>
      </c>
      <c r="D4725" t="s">
        <v>10</v>
      </c>
      <c r="E4725" t="s">
        <v>16</v>
      </c>
      <c r="F4725" t="s">
        <v>12</v>
      </c>
      <c r="G4725" t="s">
        <v>13</v>
      </c>
      <c r="H4725" t="s">
        <v>13</v>
      </c>
      <c r="I4725">
        <v>43</v>
      </c>
      <c r="J4725">
        <f>ABS((I4725-EDA!$A$15)/EDA!$B$15)</f>
        <v>7.2015642935854773E-2</v>
      </c>
      <c r="K4725" t="str">
        <f t="shared" si="73"/>
        <v>No</v>
      </c>
      <c r="L4725">
        <f>ABS((C4725-EDA!$F$15)/EDA!$G$15)</f>
        <v>0.36587873897452206</v>
      </c>
      <c r="M4725" t="str">
        <f>IF(moras[[#This Row],[Z-Score Salario]]&gt;1.96, "Sí", "No")</f>
        <v>No</v>
      </c>
      <c r="N4725" s="14">
        <f>IF(ISBLANK(moras[[#This Row],[SALARIO]]), EDA!$M$8, moras[[#This Row],[SALARIO]])</f>
        <v>587429</v>
      </c>
      <c r="O4725" s="14">
        <f xml:space="preserve"> IF(ISBLANK(moras[[#This Row],[EDAD]]), EDA!$E$8, moras[[#This Row],[EDAD]])</f>
        <v>43</v>
      </c>
      <c r="P4725" s="14" t="str">
        <f>IF(
    OR(ISBLANK(moras[[#This Row],[TIPO_ASEGURAMIENTO]]), moras[[#This Row],[TIPO_ASEGURAMIENTO]]=""),
    EDA!$A$32,
    moras[[#This Row],[TIPO_ASEGURAMIENTO]]
)</f>
        <v>ASALARIADO</v>
      </c>
    </row>
    <row r="4726" spans="1:16" x14ac:dyDescent="0.3">
      <c r="A4726">
        <v>4725</v>
      </c>
      <c r="B4726" t="s">
        <v>9</v>
      </c>
      <c r="C4726">
        <v>297045</v>
      </c>
      <c r="D4726" t="s">
        <v>18</v>
      </c>
      <c r="E4726" t="s">
        <v>16</v>
      </c>
      <c r="F4726" t="s">
        <v>12</v>
      </c>
      <c r="G4726" t="s">
        <v>13</v>
      </c>
      <c r="H4726" t="s">
        <v>13</v>
      </c>
      <c r="I4726">
        <v>45</v>
      </c>
      <c r="J4726">
        <f>ABS((I4726-EDA!$A$15)/EDA!$B$15)</f>
        <v>0.21316630309012977</v>
      </c>
      <c r="K4726" t="str">
        <f t="shared" si="73"/>
        <v>No</v>
      </c>
      <c r="L4726">
        <f>ABS((C4726-EDA!$F$15)/EDA!$G$15)</f>
        <v>0.37071093372012948</v>
      </c>
      <c r="M4726" t="str">
        <f>IF(moras[[#This Row],[Z-Score Salario]]&gt;1.96, "Sí", "No")</f>
        <v>No</v>
      </c>
      <c r="N4726" s="14">
        <f>IF(ISBLANK(moras[[#This Row],[SALARIO]]), EDA!$M$8, moras[[#This Row],[SALARIO]])</f>
        <v>297045</v>
      </c>
      <c r="O4726" s="14">
        <f xml:space="preserve"> IF(ISBLANK(moras[[#This Row],[EDAD]]), EDA!$E$8, moras[[#This Row],[EDAD]])</f>
        <v>45</v>
      </c>
      <c r="P4726" s="14" t="str">
        <f>IF(
    OR(ISBLANK(moras[[#This Row],[TIPO_ASEGURAMIENTO]]), moras[[#This Row],[TIPO_ASEGURAMIENTO]]=""),
    EDA!$A$32,
    moras[[#This Row],[TIPO_ASEGURAMIENTO]]
)</f>
        <v>TRABAJADOR INDEPENDIENTE</v>
      </c>
    </row>
    <row r="4727" spans="1:16" x14ac:dyDescent="0.3">
      <c r="A4727">
        <v>4726</v>
      </c>
      <c r="B4727" t="s">
        <v>9</v>
      </c>
      <c r="C4727">
        <v>600000</v>
      </c>
      <c r="D4727" t="s">
        <v>10</v>
      </c>
      <c r="E4727" t="s">
        <v>16</v>
      </c>
      <c r="F4727" t="s">
        <v>12</v>
      </c>
      <c r="G4727" t="s">
        <v>12</v>
      </c>
      <c r="H4727" t="s">
        <v>13</v>
      </c>
      <c r="I4727">
        <v>46</v>
      </c>
      <c r="J4727">
        <f>ABS((I4727-EDA!$A$15)/EDA!$B$15)</f>
        <v>0.2837416331672673</v>
      </c>
      <c r="K4727" t="str">
        <f t="shared" si="73"/>
        <v>No</v>
      </c>
      <c r="L4727">
        <f>ABS((C4727-EDA!$F$15)/EDA!$G$15)</f>
        <v>0.36566954866049978</v>
      </c>
      <c r="M4727" t="str">
        <f>IF(moras[[#This Row],[Z-Score Salario]]&gt;1.96, "Sí", "No")</f>
        <v>No</v>
      </c>
      <c r="N4727" s="14">
        <f>IF(ISBLANK(moras[[#This Row],[SALARIO]]), EDA!$M$8, moras[[#This Row],[SALARIO]])</f>
        <v>600000</v>
      </c>
      <c r="O4727" s="14">
        <f xml:space="preserve"> IF(ISBLANK(moras[[#This Row],[EDAD]]), EDA!$E$8, moras[[#This Row],[EDAD]])</f>
        <v>46</v>
      </c>
      <c r="P4727" s="14" t="str">
        <f>IF(
    OR(ISBLANK(moras[[#This Row],[TIPO_ASEGURAMIENTO]]), moras[[#This Row],[TIPO_ASEGURAMIENTO]]=""),
    EDA!$A$32,
    moras[[#This Row],[TIPO_ASEGURAMIENTO]]
)</f>
        <v>ASALARIADO</v>
      </c>
    </row>
    <row r="4728" spans="1:16" x14ac:dyDescent="0.3">
      <c r="A4728">
        <v>4727</v>
      </c>
      <c r="B4728" t="s">
        <v>9</v>
      </c>
      <c r="C4728">
        <v>471303</v>
      </c>
      <c r="D4728" t="s">
        <v>10</v>
      </c>
      <c r="E4728" t="s">
        <v>11</v>
      </c>
      <c r="F4728" t="s">
        <v>12</v>
      </c>
      <c r="G4728" t="s">
        <v>13</v>
      </c>
      <c r="H4728" t="s">
        <v>12</v>
      </c>
      <c r="I4728">
        <v>56</v>
      </c>
      <c r="J4728">
        <f>ABS((I4728-EDA!$A$15)/EDA!$B$15)</f>
        <v>0.9894949339386423</v>
      </c>
      <c r="K4728" t="str">
        <f t="shared" si="73"/>
        <v>No</v>
      </c>
      <c r="L4728">
        <f>ABS((C4728-EDA!$F$15)/EDA!$G$15)</f>
        <v>0.36781115758928185</v>
      </c>
      <c r="M4728" t="str">
        <f>IF(moras[[#This Row],[Z-Score Salario]]&gt;1.96, "Sí", "No")</f>
        <v>No</v>
      </c>
      <c r="N4728" s="14">
        <f>IF(ISBLANK(moras[[#This Row],[SALARIO]]), EDA!$M$8, moras[[#This Row],[SALARIO]])</f>
        <v>471303</v>
      </c>
      <c r="O4728" s="14">
        <f xml:space="preserve"> IF(ISBLANK(moras[[#This Row],[EDAD]]), EDA!$E$8, moras[[#This Row],[EDAD]])</f>
        <v>56</v>
      </c>
      <c r="P4728" s="14" t="str">
        <f>IF(
    OR(ISBLANK(moras[[#This Row],[TIPO_ASEGURAMIENTO]]), moras[[#This Row],[TIPO_ASEGURAMIENTO]]=""),
    EDA!$A$32,
    moras[[#This Row],[TIPO_ASEGURAMIENTO]]
)</f>
        <v>ASALARIADO</v>
      </c>
    </row>
    <row r="4729" spans="1:16" x14ac:dyDescent="0.3">
      <c r="A4729">
        <v>4728</v>
      </c>
      <c r="B4729" t="s">
        <v>9</v>
      </c>
      <c r="C4729">
        <v>584267</v>
      </c>
      <c r="D4729" t="s">
        <v>10</v>
      </c>
      <c r="E4729" t="s">
        <v>16</v>
      </c>
      <c r="F4729" t="s">
        <v>12</v>
      </c>
      <c r="G4729" t="s">
        <v>13</v>
      </c>
      <c r="H4729" t="s">
        <v>13</v>
      </c>
      <c r="I4729">
        <v>34</v>
      </c>
      <c r="J4729">
        <f>ABS((I4729-EDA!$A$15)/EDA!$B$15)</f>
        <v>0.56316232775838282</v>
      </c>
      <c r="K4729" t="str">
        <f t="shared" si="73"/>
        <v>No</v>
      </c>
      <c r="L4729">
        <f>ABS((C4729-EDA!$F$15)/EDA!$G$15)</f>
        <v>0.36593135688661638</v>
      </c>
      <c r="M4729" t="str">
        <f>IF(moras[[#This Row],[Z-Score Salario]]&gt;1.96, "Sí", "No")</f>
        <v>No</v>
      </c>
      <c r="N4729" s="14">
        <f>IF(ISBLANK(moras[[#This Row],[SALARIO]]), EDA!$M$8, moras[[#This Row],[SALARIO]])</f>
        <v>584267</v>
      </c>
      <c r="O4729" s="14">
        <f xml:space="preserve"> IF(ISBLANK(moras[[#This Row],[EDAD]]), EDA!$E$8, moras[[#This Row],[EDAD]])</f>
        <v>34</v>
      </c>
      <c r="P4729" s="14" t="str">
        <f>IF(
    OR(ISBLANK(moras[[#This Row],[TIPO_ASEGURAMIENTO]]), moras[[#This Row],[TIPO_ASEGURAMIENTO]]=""),
    EDA!$A$32,
    moras[[#This Row],[TIPO_ASEGURAMIENTO]]
)</f>
        <v>ASALARIADO</v>
      </c>
    </row>
    <row r="4730" spans="1:16" x14ac:dyDescent="0.3">
      <c r="A4730">
        <v>4729</v>
      </c>
      <c r="B4730" t="s">
        <v>15</v>
      </c>
      <c r="C4730">
        <v>455696</v>
      </c>
      <c r="D4730" t="s">
        <v>10</v>
      </c>
      <c r="E4730" t="s">
        <v>11</v>
      </c>
      <c r="F4730" t="s">
        <v>12</v>
      </c>
      <c r="G4730" t="s">
        <v>13</v>
      </c>
      <c r="H4730" t="s">
        <v>13</v>
      </c>
      <c r="I4730">
        <v>35</v>
      </c>
      <c r="J4730">
        <f>ABS((I4730-EDA!$A$15)/EDA!$B$15)</f>
        <v>0.49258699768124525</v>
      </c>
      <c r="K4730" t="str">
        <f t="shared" si="73"/>
        <v>No</v>
      </c>
      <c r="L4730">
        <f>ABS((C4730-EDA!$F$15)/EDA!$G$15)</f>
        <v>0.36807086908645348</v>
      </c>
      <c r="M4730" t="str">
        <f>IF(moras[[#This Row],[Z-Score Salario]]&gt;1.96, "Sí", "No")</f>
        <v>No</v>
      </c>
      <c r="N4730" s="14">
        <f>IF(ISBLANK(moras[[#This Row],[SALARIO]]), EDA!$M$8, moras[[#This Row],[SALARIO]])</f>
        <v>455696</v>
      </c>
      <c r="O4730" s="14">
        <f xml:space="preserve"> IF(ISBLANK(moras[[#This Row],[EDAD]]), EDA!$E$8, moras[[#This Row],[EDAD]])</f>
        <v>35</v>
      </c>
      <c r="P4730" s="14" t="str">
        <f>IF(
    OR(ISBLANK(moras[[#This Row],[TIPO_ASEGURAMIENTO]]), moras[[#This Row],[TIPO_ASEGURAMIENTO]]=""),
    EDA!$A$32,
    moras[[#This Row],[TIPO_ASEGURAMIENTO]]
)</f>
        <v>ASALARIADO</v>
      </c>
    </row>
    <row r="4731" spans="1:16" x14ac:dyDescent="0.3">
      <c r="A4731">
        <v>4730</v>
      </c>
      <c r="B4731" t="s">
        <v>9</v>
      </c>
      <c r="C4731">
        <v>50856757</v>
      </c>
      <c r="D4731" t="s">
        <v>10</v>
      </c>
      <c r="E4731" t="s">
        <v>16</v>
      </c>
      <c r="F4731" t="s">
        <v>12</v>
      </c>
      <c r="G4731" t="s">
        <v>13</v>
      </c>
      <c r="H4731" t="s">
        <v>13</v>
      </c>
      <c r="I4731">
        <v>28</v>
      </c>
      <c r="J4731">
        <f>ABS((I4731-EDA!$A$15)/EDA!$B$15)</f>
        <v>0.98661430822120777</v>
      </c>
      <c r="K4731" t="str">
        <f t="shared" si="73"/>
        <v>No</v>
      </c>
      <c r="L4731">
        <f>ABS((C4731-EDA!$F$15)/EDA!$G$15)</f>
        <v>0.47063836467725706</v>
      </c>
      <c r="M4731" t="str">
        <f>IF(moras[[#This Row],[Z-Score Salario]]&gt;1.96, "Sí", "No")</f>
        <v>No</v>
      </c>
      <c r="N4731" s="14">
        <f>IF(ISBLANK(moras[[#This Row],[SALARIO]]), EDA!$M$8, moras[[#This Row],[SALARIO]])</f>
        <v>50856757</v>
      </c>
      <c r="O4731" s="14">
        <f xml:space="preserve"> IF(ISBLANK(moras[[#This Row],[EDAD]]), EDA!$E$8, moras[[#This Row],[EDAD]])</f>
        <v>28</v>
      </c>
      <c r="P4731" s="14" t="str">
        <f>IF(
    OR(ISBLANK(moras[[#This Row],[TIPO_ASEGURAMIENTO]]), moras[[#This Row],[TIPO_ASEGURAMIENTO]]=""),
    EDA!$A$32,
    moras[[#This Row],[TIPO_ASEGURAMIENTO]]
)</f>
        <v>ASALARIADO</v>
      </c>
    </row>
    <row r="4732" spans="1:16" x14ac:dyDescent="0.3">
      <c r="A4732">
        <v>4731</v>
      </c>
      <c r="B4732" t="s">
        <v>9</v>
      </c>
      <c r="C4732">
        <v>7800626</v>
      </c>
      <c r="D4732" t="s">
        <v>10</v>
      </c>
      <c r="E4732" t="s">
        <v>16</v>
      </c>
      <c r="F4732" t="s">
        <v>12</v>
      </c>
      <c r="G4732" t="s">
        <v>13</v>
      </c>
      <c r="H4732" t="s">
        <v>13</v>
      </c>
      <c r="I4732">
        <v>41</v>
      </c>
      <c r="J4732">
        <f>ABS((I4732-EDA!$A$15)/EDA!$B$15)</f>
        <v>6.9135017218420233E-2</v>
      </c>
      <c r="K4732" t="str">
        <f t="shared" si="73"/>
        <v>No</v>
      </c>
      <c r="L4732">
        <f>ABS((C4732-EDA!$F$15)/EDA!$G$15)</f>
        <v>0.24584604901077908</v>
      </c>
      <c r="M4732" t="str">
        <f>IF(moras[[#This Row],[Z-Score Salario]]&gt;1.96, "Sí", "No")</f>
        <v>No</v>
      </c>
      <c r="N4732" s="14">
        <f>IF(ISBLANK(moras[[#This Row],[SALARIO]]), EDA!$M$8, moras[[#This Row],[SALARIO]])</f>
        <v>7800626</v>
      </c>
      <c r="O4732" s="14">
        <f xml:space="preserve"> IF(ISBLANK(moras[[#This Row],[EDAD]]), EDA!$E$8, moras[[#This Row],[EDAD]])</f>
        <v>41</v>
      </c>
      <c r="P4732" s="14" t="str">
        <f>IF(
    OR(ISBLANK(moras[[#This Row],[TIPO_ASEGURAMIENTO]]), moras[[#This Row],[TIPO_ASEGURAMIENTO]]=""),
    EDA!$A$32,
    moras[[#This Row],[TIPO_ASEGURAMIENTO]]
)</f>
        <v>ASALARIADO</v>
      </c>
    </row>
    <row r="4733" spans="1:16" x14ac:dyDescent="0.3">
      <c r="A4733">
        <v>4732</v>
      </c>
      <c r="B4733" t="s">
        <v>15</v>
      </c>
      <c r="C4733">
        <v>299152</v>
      </c>
      <c r="D4733" t="s">
        <v>10</v>
      </c>
      <c r="E4733" t="s">
        <v>11</v>
      </c>
      <c r="F4733" t="s">
        <v>12</v>
      </c>
      <c r="G4733" t="s">
        <v>13</v>
      </c>
      <c r="H4733" t="s">
        <v>13</v>
      </c>
      <c r="I4733">
        <v>48</v>
      </c>
      <c r="J4733">
        <f>ABS((I4733-EDA!$A$15)/EDA!$B$15)</f>
        <v>0.42489229332154227</v>
      </c>
      <c r="K4733" t="str">
        <f t="shared" si="73"/>
        <v>No</v>
      </c>
      <c r="L4733">
        <f>ABS((C4733-EDA!$F$15)/EDA!$G$15)</f>
        <v>0.3706758717527725</v>
      </c>
      <c r="M4733" t="str">
        <f>IF(moras[[#This Row],[Z-Score Salario]]&gt;1.96, "Sí", "No")</f>
        <v>No</v>
      </c>
      <c r="N4733" s="14">
        <f>IF(ISBLANK(moras[[#This Row],[SALARIO]]), EDA!$M$8, moras[[#This Row],[SALARIO]])</f>
        <v>299152</v>
      </c>
      <c r="O4733" s="14">
        <f xml:space="preserve"> IF(ISBLANK(moras[[#This Row],[EDAD]]), EDA!$E$8, moras[[#This Row],[EDAD]])</f>
        <v>48</v>
      </c>
      <c r="P4733" s="14" t="str">
        <f>IF(
    OR(ISBLANK(moras[[#This Row],[TIPO_ASEGURAMIENTO]]), moras[[#This Row],[TIPO_ASEGURAMIENTO]]=""),
    EDA!$A$32,
    moras[[#This Row],[TIPO_ASEGURAMIENTO]]
)</f>
        <v>ASALARIADO</v>
      </c>
    </row>
    <row r="4734" spans="1:16" x14ac:dyDescent="0.3">
      <c r="A4734">
        <v>4733</v>
      </c>
      <c r="B4734" t="s">
        <v>9</v>
      </c>
      <c r="C4734">
        <v>8375268</v>
      </c>
      <c r="D4734" t="s">
        <v>10</v>
      </c>
      <c r="E4734" t="s">
        <v>16</v>
      </c>
      <c r="F4734" t="s">
        <v>12</v>
      </c>
      <c r="G4734" t="s">
        <v>12</v>
      </c>
      <c r="H4734" t="s">
        <v>13</v>
      </c>
      <c r="I4734">
        <v>33</v>
      </c>
      <c r="J4734">
        <f>ABS((I4734-EDA!$A$15)/EDA!$B$15)</f>
        <v>0.63373765783552027</v>
      </c>
      <c r="K4734" t="str">
        <f t="shared" si="73"/>
        <v>No</v>
      </c>
      <c r="L4734">
        <f>ABS((C4734-EDA!$F$15)/EDA!$G$15)</f>
        <v>0.23628360048398228</v>
      </c>
      <c r="M4734" t="str">
        <f>IF(moras[[#This Row],[Z-Score Salario]]&gt;1.96, "Sí", "No")</f>
        <v>No</v>
      </c>
      <c r="N4734" s="14">
        <f>IF(ISBLANK(moras[[#This Row],[SALARIO]]), EDA!$M$8, moras[[#This Row],[SALARIO]])</f>
        <v>8375268</v>
      </c>
      <c r="O4734" s="14">
        <f xml:space="preserve"> IF(ISBLANK(moras[[#This Row],[EDAD]]), EDA!$E$8, moras[[#This Row],[EDAD]])</f>
        <v>33</v>
      </c>
      <c r="P4734" s="14" t="str">
        <f>IF(
    OR(ISBLANK(moras[[#This Row],[TIPO_ASEGURAMIENTO]]), moras[[#This Row],[TIPO_ASEGURAMIENTO]]=""),
    EDA!$A$32,
    moras[[#This Row],[TIPO_ASEGURAMIENTO]]
)</f>
        <v>ASALARIADO</v>
      </c>
    </row>
    <row r="4735" spans="1:16" x14ac:dyDescent="0.3">
      <c r="A4735">
        <v>4734</v>
      </c>
      <c r="B4735" t="s">
        <v>15</v>
      </c>
      <c r="C4735">
        <v>566297</v>
      </c>
      <c r="D4735" t="s">
        <v>18</v>
      </c>
      <c r="E4735" t="s">
        <v>16</v>
      </c>
      <c r="F4735" t="s">
        <v>12</v>
      </c>
      <c r="G4735" t="s">
        <v>12</v>
      </c>
      <c r="H4735" t="s">
        <v>13</v>
      </c>
      <c r="I4735">
        <v>59</v>
      </c>
      <c r="J4735">
        <f>ABS((I4735-EDA!$A$15)/EDA!$B$15)</f>
        <v>1.2012209241700549</v>
      </c>
      <c r="K4735" t="str">
        <f t="shared" si="73"/>
        <v>No</v>
      </c>
      <c r="L4735">
        <f>ABS((C4735-EDA!$F$15)/EDA!$G$15)</f>
        <v>0.36623039037185856</v>
      </c>
      <c r="M4735" t="str">
        <f>IF(moras[[#This Row],[Z-Score Salario]]&gt;1.96, "Sí", "No")</f>
        <v>No</v>
      </c>
      <c r="N4735" s="14">
        <f>IF(ISBLANK(moras[[#This Row],[SALARIO]]), EDA!$M$8, moras[[#This Row],[SALARIO]])</f>
        <v>566297</v>
      </c>
      <c r="O4735" s="14">
        <f xml:space="preserve"> IF(ISBLANK(moras[[#This Row],[EDAD]]), EDA!$E$8, moras[[#This Row],[EDAD]])</f>
        <v>59</v>
      </c>
      <c r="P4735" s="14" t="str">
        <f>IF(
    OR(ISBLANK(moras[[#This Row],[TIPO_ASEGURAMIENTO]]), moras[[#This Row],[TIPO_ASEGURAMIENTO]]=""),
    EDA!$A$32,
    moras[[#This Row],[TIPO_ASEGURAMIENTO]]
)</f>
        <v>TRABAJADOR INDEPENDIENTE</v>
      </c>
    </row>
    <row r="4736" spans="1:16" x14ac:dyDescent="0.3">
      <c r="A4736">
        <v>4735</v>
      </c>
      <c r="B4736" t="s">
        <v>9</v>
      </c>
      <c r="C4736">
        <v>51570375</v>
      </c>
      <c r="D4736" t="s">
        <v>10</v>
      </c>
      <c r="E4736" t="s">
        <v>11</v>
      </c>
      <c r="F4736" t="s">
        <v>12</v>
      </c>
      <c r="G4736" t="s">
        <v>13</v>
      </c>
      <c r="H4736" t="s">
        <v>13</v>
      </c>
      <c r="I4736">
        <v>49</v>
      </c>
      <c r="J4736">
        <f>ABS((I4736-EDA!$A$15)/EDA!$B$15)</f>
        <v>0.49546762339867978</v>
      </c>
      <c r="K4736" t="str">
        <f t="shared" si="73"/>
        <v>No</v>
      </c>
      <c r="L4736">
        <f>ABS((C4736-EDA!$F$15)/EDA!$G$15)</f>
        <v>0.48251347194890737</v>
      </c>
      <c r="M4736" t="str">
        <f>IF(moras[[#This Row],[Z-Score Salario]]&gt;1.96, "Sí", "No")</f>
        <v>No</v>
      </c>
      <c r="N4736" s="14">
        <f>IF(ISBLANK(moras[[#This Row],[SALARIO]]), EDA!$M$8, moras[[#This Row],[SALARIO]])</f>
        <v>51570375</v>
      </c>
      <c r="O4736" s="14">
        <f xml:space="preserve"> IF(ISBLANK(moras[[#This Row],[EDAD]]), EDA!$E$8, moras[[#This Row],[EDAD]])</f>
        <v>49</v>
      </c>
      <c r="P4736" s="14" t="str">
        <f>IF(
    OR(ISBLANK(moras[[#This Row],[TIPO_ASEGURAMIENTO]]), moras[[#This Row],[TIPO_ASEGURAMIENTO]]=""),
    EDA!$A$32,
    moras[[#This Row],[TIPO_ASEGURAMIENTO]]
)</f>
        <v>ASALARIADO</v>
      </c>
    </row>
    <row r="4737" spans="1:16" x14ac:dyDescent="0.3">
      <c r="A4737">
        <v>4736</v>
      </c>
      <c r="B4737" t="s">
        <v>9</v>
      </c>
      <c r="C4737">
        <v>66688858</v>
      </c>
      <c r="D4737" t="s">
        <v>10</v>
      </c>
      <c r="E4737" t="s">
        <v>16</v>
      </c>
      <c r="F4737" t="s">
        <v>12</v>
      </c>
      <c r="G4737" t="s">
        <v>13</v>
      </c>
      <c r="H4737" t="s">
        <v>13</v>
      </c>
      <c r="I4737">
        <v>57</v>
      </c>
      <c r="J4737">
        <f>ABS((I4737-EDA!$A$15)/EDA!$B$15)</f>
        <v>1.0600702640157798</v>
      </c>
      <c r="K4737" t="str">
        <f t="shared" si="73"/>
        <v>No</v>
      </c>
      <c r="L4737">
        <f>ABS((C4737-EDA!$F$15)/EDA!$G$15)</f>
        <v>0.73409570139045988</v>
      </c>
      <c r="M4737" t="str">
        <f>IF(moras[[#This Row],[Z-Score Salario]]&gt;1.96, "Sí", "No")</f>
        <v>No</v>
      </c>
      <c r="N4737" s="14">
        <f>IF(ISBLANK(moras[[#This Row],[SALARIO]]), EDA!$M$8, moras[[#This Row],[SALARIO]])</f>
        <v>66688858</v>
      </c>
      <c r="O4737" s="14">
        <f xml:space="preserve"> IF(ISBLANK(moras[[#This Row],[EDAD]]), EDA!$E$8, moras[[#This Row],[EDAD]])</f>
        <v>57</v>
      </c>
      <c r="P4737" s="14" t="str">
        <f>IF(
    OR(ISBLANK(moras[[#This Row],[TIPO_ASEGURAMIENTO]]), moras[[#This Row],[TIPO_ASEGURAMIENTO]]=""),
    EDA!$A$32,
    moras[[#This Row],[TIPO_ASEGURAMIENTO]]
)</f>
        <v>ASALARIADO</v>
      </c>
    </row>
    <row r="4738" spans="1:16" x14ac:dyDescent="0.3">
      <c r="A4738">
        <v>4737</v>
      </c>
      <c r="B4738" t="s">
        <v>15</v>
      </c>
      <c r="C4738">
        <v>597692</v>
      </c>
      <c r="D4738" t="s">
        <v>10</v>
      </c>
      <c r="E4738" t="s">
        <v>16</v>
      </c>
      <c r="F4738" t="s">
        <v>12</v>
      </c>
      <c r="G4738" t="s">
        <v>13</v>
      </c>
      <c r="H4738" t="s">
        <v>13</v>
      </c>
      <c r="I4738">
        <v>40</v>
      </c>
      <c r="J4738">
        <f>ABS((I4738-EDA!$A$15)/EDA!$B$15)</f>
        <v>0.13971034729555773</v>
      </c>
      <c r="K4738" t="str">
        <f t="shared" ref="K4738:K4801" si="74">IF(J4738 &gt;  1.96, "Sí","No")</f>
        <v>No</v>
      </c>
      <c r="L4738">
        <f>ABS((C4738-EDA!$F$15)/EDA!$G$15)</f>
        <v>0.36570795540974516</v>
      </c>
      <c r="M4738" t="str">
        <f>IF(moras[[#This Row],[Z-Score Salario]]&gt;1.96, "Sí", "No")</f>
        <v>No</v>
      </c>
      <c r="N4738" s="14">
        <f>IF(ISBLANK(moras[[#This Row],[SALARIO]]), EDA!$M$8, moras[[#This Row],[SALARIO]])</f>
        <v>597692</v>
      </c>
      <c r="O4738" s="14">
        <f xml:space="preserve"> IF(ISBLANK(moras[[#This Row],[EDAD]]), EDA!$E$8, moras[[#This Row],[EDAD]])</f>
        <v>40</v>
      </c>
      <c r="P4738" s="14" t="str">
        <f>IF(
    OR(ISBLANK(moras[[#This Row],[TIPO_ASEGURAMIENTO]]), moras[[#This Row],[TIPO_ASEGURAMIENTO]]=""),
    EDA!$A$32,
    moras[[#This Row],[TIPO_ASEGURAMIENTO]]
)</f>
        <v>ASALARIADO</v>
      </c>
    </row>
    <row r="4739" spans="1:16" x14ac:dyDescent="0.3">
      <c r="A4739">
        <v>4738</v>
      </c>
      <c r="B4739" t="s">
        <v>9</v>
      </c>
      <c r="C4739">
        <v>37727453</v>
      </c>
      <c r="D4739" t="s">
        <v>10</v>
      </c>
      <c r="E4739" t="s">
        <v>16</v>
      </c>
      <c r="F4739" t="s">
        <v>12</v>
      </c>
      <c r="G4739" t="s">
        <v>12</v>
      </c>
      <c r="H4739" t="s">
        <v>13</v>
      </c>
      <c r="I4739">
        <v>21</v>
      </c>
      <c r="J4739">
        <f>ABS((I4739-EDA!$A$15)/EDA!$B$15)</f>
        <v>1.4806416187611704</v>
      </c>
      <c r="K4739" t="str">
        <f t="shared" si="74"/>
        <v>No</v>
      </c>
      <c r="L4739">
        <f>ABS((C4739-EDA!$F$15)/EDA!$G$15)</f>
        <v>0.25215747798142302</v>
      </c>
      <c r="M4739" t="str">
        <f>IF(moras[[#This Row],[Z-Score Salario]]&gt;1.96, "Sí", "No")</f>
        <v>No</v>
      </c>
      <c r="N4739" s="14">
        <f>IF(ISBLANK(moras[[#This Row],[SALARIO]]), EDA!$M$8, moras[[#This Row],[SALARIO]])</f>
        <v>37727453</v>
      </c>
      <c r="O4739" s="14">
        <f xml:space="preserve"> IF(ISBLANK(moras[[#This Row],[EDAD]]), EDA!$E$8, moras[[#This Row],[EDAD]])</f>
        <v>21</v>
      </c>
      <c r="P4739" s="14" t="str">
        <f>IF(
    OR(ISBLANK(moras[[#This Row],[TIPO_ASEGURAMIENTO]]), moras[[#This Row],[TIPO_ASEGURAMIENTO]]=""),
    EDA!$A$32,
    moras[[#This Row],[TIPO_ASEGURAMIENTO]]
)</f>
        <v>ASALARIADO</v>
      </c>
    </row>
    <row r="4740" spans="1:16" x14ac:dyDescent="0.3">
      <c r="A4740">
        <v>4739</v>
      </c>
      <c r="B4740" t="s">
        <v>9</v>
      </c>
      <c r="C4740">
        <v>426954</v>
      </c>
      <c r="D4740" t="s">
        <v>10</v>
      </c>
      <c r="E4740" t="s">
        <v>11</v>
      </c>
      <c r="F4740" t="s">
        <v>12</v>
      </c>
      <c r="G4740" t="s">
        <v>13</v>
      </c>
      <c r="H4740" t="s">
        <v>13</v>
      </c>
      <c r="I4740">
        <v>27</v>
      </c>
      <c r="J4740">
        <f>ABS((I4740-EDA!$A$15)/EDA!$B$15)</f>
        <v>1.0571896382983452</v>
      </c>
      <c r="K4740" t="str">
        <f t="shared" si="74"/>
        <v>No</v>
      </c>
      <c r="L4740">
        <f>ABS((C4740-EDA!$F$15)/EDA!$G$15)</f>
        <v>0.36854915625578188</v>
      </c>
      <c r="M4740" t="str">
        <f>IF(moras[[#This Row],[Z-Score Salario]]&gt;1.96, "Sí", "No")</f>
        <v>No</v>
      </c>
      <c r="N4740" s="14">
        <f>IF(ISBLANK(moras[[#This Row],[SALARIO]]), EDA!$M$8, moras[[#This Row],[SALARIO]])</f>
        <v>426954</v>
      </c>
      <c r="O4740" s="14">
        <f xml:space="preserve"> IF(ISBLANK(moras[[#This Row],[EDAD]]), EDA!$E$8, moras[[#This Row],[EDAD]])</f>
        <v>27</v>
      </c>
      <c r="P4740" s="14" t="str">
        <f>IF(
    OR(ISBLANK(moras[[#This Row],[TIPO_ASEGURAMIENTO]]), moras[[#This Row],[TIPO_ASEGURAMIENTO]]=""),
    EDA!$A$32,
    moras[[#This Row],[TIPO_ASEGURAMIENTO]]
)</f>
        <v>ASALARIADO</v>
      </c>
    </row>
    <row r="4741" spans="1:16" x14ac:dyDescent="0.3">
      <c r="A4741">
        <v>4740</v>
      </c>
      <c r="B4741" t="s">
        <v>9</v>
      </c>
      <c r="C4741">
        <v>40627376</v>
      </c>
      <c r="D4741" t="s">
        <v>10</v>
      </c>
      <c r="E4741" t="s">
        <v>16</v>
      </c>
      <c r="F4741" t="s">
        <v>12</v>
      </c>
      <c r="G4741" t="s">
        <v>13</v>
      </c>
      <c r="H4741" t="s">
        <v>13</v>
      </c>
      <c r="I4741">
        <v>30</v>
      </c>
      <c r="J4741">
        <f>ABS((I4741-EDA!$A$15)/EDA!$B$15)</f>
        <v>0.84546364806693275</v>
      </c>
      <c r="K4741" t="str">
        <f t="shared" si="74"/>
        <v>No</v>
      </c>
      <c r="L4741">
        <f>ABS((C4741-EDA!$F$15)/EDA!$G$15)</f>
        <v>0.30041424379243958</v>
      </c>
      <c r="M4741" t="str">
        <f>IF(moras[[#This Row],[Z-Score Salario]]&gt;1.96, "Sí", "No")</f>
        <v>No</v>
      </c>
      <c r="N4741" s="14">
        <f>IF(ISBLANK(moras[[#This Row],[SALARIO]]), EDA!$M$8, moras[[#This Row],[SALARIO]])</f>
        <v>40627376</v>
      </c>
      <c r="O4741" s="14">
        <f xml:space="preserve"> IF(ISBLANK(moras[[#This Row],[EDAD]]), EDA!$E$8, moras[[#This Row],[EDAD]])</f>
        <v>30</v>
      </c>
      <c r="P4741" s="14" t="str">
        <f>IF(
    OR(ISBLANK(moras[[#This Row],[TIPO_ASEGURAMIENTO]]), moras[[#This Row],[TIPO_ASEGURAMIENTO]]=""),
    EDA!$A$32,
    moras[[#This Row],[TIPO_ASEGURAMIENTO]]
)</f>
        <v>ASALARIADO</v>
      </c>
    </row>
    <row r="4742" spans="1:16" x14ac:dyDescent="0.3">
      <c r="A4742">
        <v>4741</v>
      </c>
      <c r="B4742" t="s">
        <v>15</v>
      </c>
      <c r="C4742">
        <v>278030</v>
      </c>
      <c r="D4742" t="s">
        <v>17</v>
      </c>
      <c r="E4742" t="s">
        <v>16</v>
      </c>
      <c r="F4742" t="s">
        <v>12</v>
      </c>
      <c r="G4742" t="s">
        <v>13</v>
      </c>
      <c r="H4742" t="s">
        <v>13</v>
      </c>
      <c r="I4742">
        <v>34</v>
      </c>
      <c r="J4742">
        <f>ABS((I4742-EDA!$A$15)/EDA!$B$15)</f>
        <v>0.56316232775838282</v>
      </c>
      <c r="K4742" t="str">
        <f t="shared" si="74"/>
        <v>No</v>
      </c>
      <c r="L4742">
        <f>ABS((C4742-EDA!$F$15)/EDA!$G$15)</f>
        <v>0.37102735674304993</v>
      </c>
      <c r="M4742" t="str">
        <f>IF(moras[[#This Row],[Z-Score Salario]]&gt;1.96, "Sí", "No")</f>
        <v>No</v>
      </c>
      <c r="N4742" s="14">
        <f>IF(ISBLANK(moras[[#This Row],[SALARIO]]), EDA!$M$8, moras[[#This Row],[SALARIO]])</f>
        <v>278030</v>
      </c>
      <c r="O4742" s="14">
        <f xml:space="preserve"> IF(ISBLANK(moras[[#This Row],[EDAD]]), EDA!$E$8, moras[[#This Row],[EDAD]])</f>
        <v>34</v>
      </c>
      <c r="P4742" s="14" t="str">
        <f>IF(
    OR(ISBLANK(moras[[#This Row],[TIPO_ASEGURAMIENTO]]), moras[[#This Row],[TIPO_ASEGURAMIENTO]]=""),
    EDA!$A$32,
    moras[[#This Row],[TIPO_ASEGURAMIENTO]]
)</f>
        <v>ASEGURADO VOLUNTARIO</v>
      </c>
    </row>
    <row r="4743" spans="1:16" x14ac:dyDescent="0.3">
      <c r="A4743">
        <v>4742</v>
      </c>
      <c r="B4743" t="s">
        <v>9</v>
      </c>
      <c r="C4743">
        <v>4789167</v>
      </c>
      <c r="D4743" t="s">
        <v>10</v>
      </c>
      <c r="E4743" t="s">
        <v>16</v>
      </c>
      <c r="F4743" t="s">
        <v>12</v>
      </c>
      <c r="G4743" t="s">
        <v>12</v>
      </c>
      <c r="H4743" t="s">
        <v>13</v>
      </c>
      <c r="I4743">
        <v>48</v>
      </c>
      <c r="J4743">
        <f>ABS((I4743-EDA!$A$15)/EDA!$B$15)</f>
        <v>0.42489229332154227</v>
      </c>
      <c r="K4743" t="str">
        <f t="shared" si="74"/>
        <v>No</v>
      </c>
      <c r="L4743">
        <f>ABS((C4743-EDA!$F$15)/EDA!$G$15)</f>
        <v>0.29595885259641846</v>
      </c>
      <c r="M4743" t="str">
        <f>IF(moras[[#This Row],[Z-Score Salario]]&gt;1.96, "Sí", "No")</f>
        <v>No</v>
      </c>
      <c r="N4743" s="14">
        <f>IF(ISBLANK(moras[[#This Row],[SALARIO]]), EDA!$M$8, moras[[#This Row],[SALARIO]])</f>
        <v>4789167</v>
      </c>
      <c r="O4743" s="14">
        <f xml:space="preserve"> IF(ISBLANK(moras[[#This Row],[EDAD]]), EDA!$E$8, moras[[#This Row],[EDAD]])</f>
        <v>48</v>
      </c>
      <c r="P4743" s="14" t="str">
        <f>IF(
    OR(ISBLANK(moras[[#This Row],[TIPO_ASEGURAMIENTO]]), moras[[#This Row],[TIPO_ASEGURAMIENTO]]=""),
    EDA!$A$32,
    moras[[#This Row],[TIPO_ASEGURAMIENTO]]
)</f>
        <v>ASALARIADO</v>
      </c>
    </row>
    <row r="4744" spans="1:16" x14ac:dyDescent="0.3">
      <c r="A4744">
        <v>4743</v>
      </c>
      <c r="B4744" t="s">
        <v>9</v>
      </c>
      <c r="C4744">
        <v>713217</v>
      </c>
      <c r="D4744" t="s">
        <v>10</v>
      </c>
      <c r="E4744" t="s">
        <v>11</v>
      </c>
      <c r="F4744" t="s">
        <v>12</v>
      </c>
      <c r="G4744" t="s">
        <v>13</v>
      </c>
      <c r="H4744" t="s">
        <v>13</v>
      </c>
      <c r="I4744">
        <v>32</v>
      </c>
      <c r="J4744">
        <f>ABS((I4744-EDA!$A$15)/EDA!$B$15)</f>
        <v>0.70431298791265773</v>
      </c>
      <c r="K4744" t="str">
        <f t="shared" si="74"/>
        <v>No</v>
      </c>
      <c r="L4744">
        <f>ABS((C4744-EDA!$F$15)/EDA!$G$15)</f>
        <v>0.36378553785923856</v>
      </c>
      <c r="M4744" t="str">
        <f>IF(moras[[#This Row],[Z-Score Salario]]&gt;1.96, "Sí", "No")</f>
        <v>No</v>
      </c>
      <c r="N4744" s="14">
        <f>IF(ISBLANK(moras[[#This Row],[SALARIO]]), EDA!$M$8, moras[[#This Row],[SALARIO]])</f>
        <v>713217</v>
      </c>
      <c r="O4744" s="14">
        <f xml:space="preserve"> IF(ISBLANK(moras[[#This Row],[EDAD]]), EDA!$E$8, moras[[#This Row],[EDAD]])</f>
        <v>32</v>
      </c>
      <c r="P4744" s="14" t="str">
        <f>IF(
    OR(ISBLANK(moras[[#This Row],[TIPO_ASEGURAMIENTO]]), moras[[#This Row],[TIPO_ASEGURAMIENTO]]=""),
    EDA!$A$32,
    moras[[#This Row],[TIPO_ASEGURAMIENTO]]
)</f>
        <v>ASALARIADO</v>
      </c>
    </row>
    <row r="4745" spans="1:16" x14ac:dyDescent="0.3">
      <c r="A4745">
        <v>4744</v>
      </c>
      <c r="B4745" t="s">
        <v>9</v>
      </c>
      <c r="C4745">
        <v>380000</v>
      </c>
      <c r="D4745" t="s">
        <v>10</v>
      </c>
      <c r="E4745" t="s">
        <v>16</v>
      </c>
      <c r="F4745" t="s">
        <v>12</v>
      </c>
      <c r="G4745" t="s">
        <v>13</v>
      </c>
      <c r="H4745" t="s">
        <v>12</v>
      </c>
      <c r="I4745">
        <v>22</v>
      </c>
      <c r="J4745">
        <f>ABS((I4745-EDA!$A$15)/EDA!$B$15)</f>
        <v>1.4100662886840327</v>
      </c>
      <c r="K4745" t="str">
        <f t="shared" si="74"/>
        <v>No</v>
      </c>
      <c r="L4745">
        <f>ABS((C4745-EDA!$F$15)/EDA!$G$15)</f>
        <v>0.36933050396118317</v>
      </c>
      <c r="M4745" t="str">
        <f>IF(moras[[#This Row],[Z-Score Salario]]&gt;1.96, "Sí", "No")</f>
        <v>No</v>
      </c>
      <c r="N4745" s="14">
        <f>IF(ISBLANK(moras[[#This Row],[SALARIO]]), EDA!$M$8, moras[[#This Row],[SALARIO]])</f>
        <v>380000</v>
      </c>
      <c r="O4745" s="14">
        <f xml:space="preserve"> IF(ISBLANK(moras[[#This Row],[EDAD]]), EDA!$E$8, moras[[#This Row],[EDAD]])</f>
        <v>22</v>
      </c>
      <c r="P4745" s="14" t="str">
        <f>IF(
    OR(ISBLANK(moras[[#This Row],[TIPO_ASEGURAMIENTO]]), moras[[#This Row],[TIPO_ASEGURAMIENTO]]=""),
    EDA!$A$32,
    moras[[#This Row],[TIPO_ASEGURAMIENTO]]
)</f>
        <v>ASALARIADO</v>
      </c>
    </row>
    <row r="4746" spans="1:16" x14ac:dyDescent="0.3">
      <c r="A4746">
        <v>4745</v>
      </c>
      <c r="B4746" t="s">
        <v>9</v>
      </c>
      <c r="C4746">
        <v>371789</v>
      </c>
      <c r="D4746" t="s">
        <v>18</v>
      </c>
      <c r="E4746" t="s">
        <v>16</v>
      </c>
      <c r="F4746" t="s">
        <v>12</v>
      </c>
      <c r="G4746" t="s">
        <v>13</v>
      </c>
      <c r="H4746" t="s">
        <v>13</v>
      </c>
      <c r="I4746">
        <v>55</v>
      </c>
      <c r="J4746">
        <f>ABS((I4746-EDA!$A$15)/EDA!$B$15)</f>
        <v>0.91891960386150484</v>
      </c>
      <c r="K4746" t="str">
        <f t="shared" si="74"/>
        <v>No</v>
      </c>
      <c r="L4746">
        <f>ABS((C4746-EDA!$F$15)/EDA!$G$15)</f>
        <v>0.36946714079742821</v>
      </c>
      <c r="M4746" t="str">
        <f>IF(moras[[#This Row],[Z-Score Salario]]&gt;1.96, "Sí", "No")</f>
        <v>No</v>
      </c>
      <c r="N4746" s="14">
        <f>IF(ISBLANK(moras[[#This Row],[SALARIO]]), EDA!$M$8, moras[[#This Row],[SALARIO]])</f>
        <v>371789</v>
      </c>
      <c r="O4746" s="14">
        <f xml:space="preserve"> IF(ISBLANK(moras[[#This Row],[EDAD]]), EDA!$E$8, moras[[#This Row],[EDAD]])</f>
        <v>55</v>
      </c>
      <c r="P4746" s="14" t="str">
        <f>IF(
    OR(ISBLANK(moras[[#This Row],[TIPO_ASEGURAMIENTO]]), moras[[#This Row],[TIPO_ASEGURAMIENTO]]=""),
    EDA!$A$32,
    moras[[#This Row],[TIPO_ASEGURAMIENTO]]
)</f>
        <v>TRABAJADOR INDEPENDIENTE</v>
      </c>
    </row>
    <row r="4747" spans="1:16" x14ac:dyDescent="0.3">
      <c r="A4747">
        <v>4746</v>
      </c>
      <c r="B4747" t="s">
        <v>9</v>
      </c>
      <c r="C4747">
        <v>40965648</v>
      </c>
      <c r="D4747" t="s">
        <v>10</v>
      </c>
      <c r="E4747" t="s">
        <v>16</v>
      </c>
      <c r="F4747" t="s">
        <v>12</v>
      </c>
      <c r="G4747" t="s">
        <v>12</v>
      </c>
      <c r="H4747" t="s">
        <v>13</v>
      </c>
      <c r="I4747">
        <v>59</v>
      </c>
      <c r="J4747">
        <f>ABS((I4747-EDA!$A$15)/EDA!$B$15)</f>
        <v>1.2012209241700549</v>
      </c>
      <c r="K4747" t="str">
        <f t="shared" si="74"/>
        <v>No</v>
      </c>
      <c r="L4747">
        <f>ABS((C4747-EDA!$F$15)/EDA!$G$15)</f>
        <v>0.30604332866277034</v>
      </c>
      <c r="M4747" t="str">
        <f>IF(moras[[#This Row],[Z-Score Salario]]&gt;1.96, "Sí", "No")</f>
        <v>No</v>
      </c>
      <c r="N4747" s="14">
        <f>IF(ISBLANK(moras[[#This Row],[SALARIO]]), EDA!$M$8, moras[[#This Row],[SALARIO]])</f>
        <v>40965648</v>
      </c>
      <c r="O4747" s="14">
        <f xml:space="preserve"> IF(ISBLANK(moras[[#This Row],[EDAD]]), EDA!$E$8, moras[[#This Row],[EDAD]])</f>
        <v>59</v>
      </c>
      <c r="P4747" s="14" t="str">
        <f>IF(
    OR(ISBLANK(moras[[#This Row],[TIPO_ASEGURAMIENTO]]), moras[[#This Row],[TIPO_ASEGURAMIENTO]]=""),
    EDA!$A$32,
    moras[[#This Row],[TIPO_ASEGURAMIENTO]]
)</f>
        <v>ASALARIADO</v>
      </c>
    </row>
    <row r="4748" spans="1:16" x14ac:dyDescent="0.3">
      <c r="A4748">
        <v>4747</v>
      </c>
      <c r="B4748" t="s">
        <v>9</v>
      </c>
      <c r="C4748">
        <v>297045</v>
      </c>
      <c r="D4748" t="s">
        <v>17</v>
      </c>
      <c r="E4748" t="s">
        <v>16</v>
      </c>
      <c r="F4748" t="s">
        <v>12</v>
      </c>
      <c r="G4748" t="s">
        <v>12</v>
      </c>
      <c r="H4748" t="s">
        <v>13</v>
      </c>
      <c r="I4748">
        <v>27</v>
      </c>
      <c r="J4748">
        <f>ABS((I4748-EDA!$A$15)/EDA!$B$15)</f>
        <v>1.0571896382983452</v>
      </c>
      <c r="K4748" t="str">
        <f t="shared" si="74"/>
        <v>No</v>
      </c>
      <c r="L4748">
        <f>ABS((C4748-EDA!$F$15)/EDA!$G$15)</f>
        <v>0.37071093372012948</v>
      </c>
      <c r="M4748" t="str">
        <f>IF(moras[[#This Row],[Z-Score Salario]]&gt;1.96, "Sí", "No")</f>
        <v>No</v>
      </c>
      <c r="N4748" s="14">
        <f>IF(ISBLANK(moras[[#This Row],[SALARIO]]), EDA!$M$8, moras[[#This Row],[SALARIO]])</f>
        <v>297045</v>
      </c>
      <c r="O4748" s="14">
        <f xml:space="preserve"> IF(ISBLANK(moras[[#This Row],[EDAD]]), EDA!$E$8, moras[[#This Row],[EDAD]])</f>
        <v>27</v>
      </c>
      <c r="P4748" s="14" t="str">
        <f>IF(
    OR(ISBLANK(moras[[#This Row],[TIPO_ASEGURAMIENTO]]), moras[[#This Row],[TIPO_ASEGURAMIENTO]]=""),
    EDA!$A$32,
    moras[[#This Row],[TIPO_ASEGURAMIENTO]]
)</f>
        <v>ASEGURADO VOLUNTARIO</v>
      </c>
    </row>
    <row r="4749" spans="1:16" x14ac:dyDescent="0.3">
      <c r="A4749">
        <v>4748</v>
      </c>
      <c r="B4749" t="s">
        <v>9</v>
      </c>
      <c r="C4749">
        <v>55487949</v>
      </c>
      <c r="D4749" t="s">
        <v>10</v>
      </c>
      <c r="E4749" t="s">
        <v>16</v>
      </c>
      <c r="F4749" t="s">
        <v>12</v>
      </c>
      <c r="G4749" t="s">
        <v>13</v>
      </c>
      <c r="H4749" t="s">
        <v>13</v>
      </c>
      <c r="I4749">
        <v>30</v>
      </c>
      <c r="J4749">
        <f>ABS((I4749-EDA!$A$15)/EDA!$B$15)</f>
        <v>0.84546364806693275</v>
      </c>
      <c r="K4749" t="str">
        <f t="shared" si="74"/>
        <v>No</v>
      </c>
      <c r="L4749">
        <f>ABS((C4749-EDA!$F$15)/EDA!$G$15)</f>
        <v>0.54770466877217738</v>
      </c>
      <c r="M4749" t="str">
        <f>IF(moras[[#This Row],[Z-Score Salario]]&gt;1.96, "Sí", "No")</f>
        <v>No</v>
      </c>
      <c r="N4749" s="14">
        <f>IF(ISBLANK(moras[[#This Row],[SALARIO]]), EDA!$M$8, moras[[#This Row],[SALARIO]])</f>
        <v>55487949</v>
      </c>
      <c r="O4749" s="14">
        <f xml:space="preserve"> IF(ISBLANK(moras[[#This Row],[EDAD]]), EDA!$E$8, moras[[#This Row],[EDAD]])</f>
        <v>30</v>
      </c>
      <c r="P4749" s="14" t="str">
        <f>IF(
    OR(ISBLANK(moras[[#This Row],[TIPO_ASEGURAMIENTO]]), moras[[#This Row],[TIPO_ASEGURAMIENTO]]=""),
    EDA!$A$32,
    moras[[#This Row],[TIPO_ASEGURAMIENTO]]
)</f>
        <v>ASALARIADO</v>
      </c>
    </row>
    <row r="4750" spans="1:16" x14ac:dyDescent="0.3">
      <c r="A4750">
        <v>4749</v>
      </c>
      <c r="B4750" t="s">
        <v>15</v>
      </c>
      <c r="C4750">
        <v>686166</v>
      </c>
      <c r="D4750" t="s">
        <v>18</v>
      </c>
      <c r="E4750" t="s">
        <v>16</v>
      </c>
      <c r="F4750" t="s">
        <v>12</v>
      </c>
      <c r="G4750" t="s">
        <v>13</v>
      </c>
      <c r="H4750" t="s">
        <v>13</v>
      </c>
      <c r="I4750">
        <v>37</v>
      </c>
      <c r="J4750">
        <f>ABS((I4750-EDA!$A$15)/EDA!$B$15)</f>
        <v>0.35143633752697023</v>
      </c>
      <c r="K4750" t="str">
        <f t="shared" si="74"/>
        <v>No</v>
      </c>
      <c r="L4750">
        <f>ABS((C4750-EDA!$F$15)/EDA!$G$15)</f>
        <v>0.36423568559486941</v>
      </c>
      <c r="M4750" t="str">
        <f>IF(moras[[#This Row],[Z-Score Salario]]&gt;1.96, "Sí", "No")</f>
        <v>No</v>
      </c>
      <c r="N4750" s="14">
        <f>IF(ISBLANK(moras[[#This Row],[SALARIO]]), EDA!$M$8, moras[[#This Row],[SALARIO]])</f>
        <v>686166</v>
      </c>
      <c r="O4750" s="14">
        <f xml:space="preserve"> IF(ISBLANK(moras[[#This Row],[EDAD]]), EDA!$E$8, moras[[#This Row],[EDAD]])</f>
        <v>37</v>
      </c>
      <c r="P4750" s="14" t="str">
        <f>IF(
    OR(ISBLANK(moras[[#This Row],[TIPO_ASEGURAMIENTO]]), moras[[#This Row],[TIPO_ASEGURAMIENTO]]=""),
    EDA!$A$32,
    moras[[#This Row],[TIPO_ASEGURAMIENTO]]
)</f>
        <v>TRABAJADOR INDEPENDIENTE</v>
      </c>
    </row>
    <row r="4751" spans="1:16" x14ac:dyDescent="0.3">
      <c r="A4751">
        <v>4750</v>
      </c>
      <c r="B4751" t="s">
        <v>15</v>
      </c>
      <c r="C4751">
        <v>91946032</v>
      </c>
      <c r="D4751" t="s">
        <v>10</v>
      </c>
      <c r="E4751" t="s">
        <v>11</v>
      </c>
      <c r="F4751" t="s">
        <v>12</v>
      </c>
      <c r="G4751" t="s">
        <v>13</v>
      </c>
      <c r="H4751" t="s">
        <v>13</v>
      </c>
      <c r="I4751">
        <v>57</v>
      </c>
      <c r="J4751">
        <f>ABS((I4751-EDA!$A$15)/EDA!$B$15)</f>
        <v>1.0600702640157798</v>
      </c>
      <c r="K4751" t="str">
        <f t="shared" si="74"/>
        <v>No</v>
      </c>
      <c r="L4751">
        <f>ABS((C4751-EDA!$F$15)/EDA!$G$15)</f>
        <v>1.1543929060976525</v>
      </c>
      <c r="M4751" t="str">
        <f>IF(moras[[#This Row],[Z-Score Salario]]&gt;1.96, "Sí", "No")</f>
        <v>No</v>
      </c>
      <c r="N4751" s="14">
        <f>IF(ISBLANK(moras[[#This Row],[SALARIO]]), EDA!$M$8, moras[[#This Row],[SALARIO]])</f>
        <v>91946032</v>
      </c>
      <c r="O4751" s="14">
        <f xml:space="preserve"> IF(ISBLANK(moras[[#This Row],[EDAD]]), EDA!$E$8, moras[[#This Row],[EDAD]])</f>
        <v>57</v>
      </c>
      <c r="P4751" s="14" t="str">
        <f>IF(
    OR(ISBLANK(moras[[#This Row],[TIPO_ASEGURAMIENTO]]), moras[[#This Row],[TIPO_ASEGURAMIENTO]]=""),
    EDA!$A$32,
    moras[[#This Row],[TIPO_ASEGURAMIENTO]]
)</f>
        <v>ASALARIADO</v>
      </c>
    </row>
    <row r="4752" spans="1:16" x14ac:dyDescent="0.3">
      <c r="A4752">
        <v>4751</v>
      </c>
      <c r="B4752" t="s">
        <v>9</v>
      </c>
      <c r="C4752">
        <v>4266149</v>
      </c>
      <c r="D4752" t="s">
        <v>10</v>
      </c>
      <c r="E4752" t="s">
        <v>16</v>
      </c>
      <c r="F4752" t="s">
        <v>12</v>
      </c>
      <c r="G4752" t="s">
        <v>13</v>
      </c>
      <c r="H4752" t="s">
        <v>13</v>
      </c>
      <c r="I4752">
        <v>33</v>
      </c>
      <c r="J4752">
        <f>ABS((I4752-EDA!$A$15)/EDA!$B$15)</f>
        <v>0.63373765783552027</v>
      </c>
      <c r="K4752" t="str">
        <f t="shared" si="74"/>
        <v>No</v>
      </c>
      <c r="L4752">
        <f>ABS((C4752-EDA!$F$15)/EDA!$G$15)</f>
        <v>0.30466224132120401</v>
      </c>
      <c r="M4752" t="str">
        <f>IF(moras[[#This Row],[Z-Score Salario]]&gt;1.96, "Sí", "No")</f>
        <v>No</v>
      </c>
      <c r="N4752" s="14">
        <f>IF(ISBLANK(moras[[#This Row],[SALARIO]]), EDA!$M$8, moras[[#This Row],[SALARIO]])</f>
        <v>4266149</v>
      </c>
      <c r="O4752" s="14">
        <f xml:space="preserve"> IF(ISBLANK(moras[[#This Row],[EDAD]]), EDA!$E$8, moras[[#This Row],[EDAD]])</f>
        <v>33</v>
      </c>
      <c r="P4752" s="14" t="str">
        <f>IF(
    OR(ISBLANK(moras[[#This Row],[TIPO_ASEGURAMIENTO]]), moras[[#This Row],[TIPO_ASEGURAMIENTO]]=""),
    EDA!$A$32,
    moras[[#This Row],[TIPO_ASEGURAMIENTO]]
)</f>
        <v>ASALARIADO</v>
      </c>
    </row>
    <row r="4753" spans="1:16" x14ac:dyDescent="0.3">
      <c r="A4753">
        <v>4752</v>
      </c>
      <c r="B4753" t="s">
        <v>15</v>
      </c>
      <c r="C4753">
        <v>297046</v>
      </c>
      <c r="D4753" t="s">
        <v>17</v>
      </c>
      <c r="E4753" t="s">
        <v>16</v>
      </c>
      <c r="F4753" t="s">
        <v>12</v>
      </c>
      <c r="G4753" t="s">
        <v>13</v>
      </c>
      <c r="H4753" t="s">
        <v>13</v>
      </c>
      <c r="I4753">
        <v>47</v>
      </c>
      <c r="J4753">
        <f>ABS((I4753-EDA!$A$15)/EDA!$B$15)</f>
        <v>0.35431696324440481</v>
      </c>
      <c r="K4753" t="str">
        <f t="shared" si="74"/>
        <v>No</v>
      </c>
      <c r="L4753">
        <f>ABS((C4753-EDA!$F$15)/EDA!$G$15)</f>
        <v>0.37071091707942361</v>
      </c>
      <c r="M4753" t="str">
        <f>IF(moras[[#This Row],[Z-Score Salario]]&gt;1.96, "Sí", "No")</f>
        <v>No</v>
      </c>
      <c r="N4753" s="14">
        <f>IF(ISBLANK(moras[[#This Row],[SALARIO]]), EDA!$M$8, moras[[#This Row],[SALARIO]])</f>
        <v>297046</v>
      </c>
      <c r="O4753" s="14">
        <f xml:space="preserve"> IF(ISBLANK(moras[[#This Row],[EDAD]]), EDA!$E$8, moras[[#This Row],[EDAD]])</f>
        <v>47</v>
      </c>
      <c r="P4753" s="14" t="str">
        <f>IF(
    OR(ISBLANK(moras[[#This Row],[TIPO_ASEGURAMIENTO]]), moras[[#This Row],[TIPO_ASEGURAMIENTO]]=""),
    EDA!$A$32,
    moras[[#This Row],[TIPO_ASEGURAMIENTO]]
)</f>
        <v>ASEGURADO VOLUNTARIO</v>
      </c>
    </row>
    <row r="4754" spans="1:16" x14ac:dyDescent="0.3">
      <c r="A4754">
        <v>4753</v>
      </c>
      <c r="B4754" t="s">
        <v>9</v>
      </c>
      <c r="C4754">
        <v>54143</v>
      </c>
      <c r="D4754" t="s">
        <v>10</v>
      </c>
      <c r="E4754" t="s">
        <v>16</v>
      </c>
      <c r="F4754" t="s">
        <v>12</v>
      </c>
      <c r="G4754" t="s">
        <v>13</v>
      </c>
      <c r="H4754" t="s">
        <v>13</v>
      </c>
      <c r="I4754">
        <v>28</v>
      </c>
      <c r="J4754">
        <f>ABS((I4754-EDA!$A$15)/EDA!$B$15)</f>
        <v>0.98661430822120777</v>
      </c>
      <c r="K4754" t="str">
        <f t="shared" si="74"/>
        <v>No</v>
      </c>
      <c r="L4754">
        <f>ABS((C4754-EDA!$F$15)/EDA!$G$15)</f>
        <v>0.37475299446761401</v>
      </c>
      <c r="M4754" t="str">
        <f>IF(moras[[#This Row],[Z-Score Salario]]&gt;1.96, "Sí", "No")</f>
        <v>No</v>
      </c>
      <c r="N4754" s="14">
        <f>IF(ISBLANK(moras[[#This Row],[SALARIO]]), EDA!$M$8, moras[[#This Row],[SALARIO]])</f>
        <v>54143</v>
      </c>
      <c r="O4754" s="14">
        <f xml:space="preserve"> IF(ISBLANK(moras[[#This Row],[EDAD]]), EDA!$E$8, moras[[#This Row],[EDAD]])</f>
        <v>28</v>
      </c>
      <c r="P4754" s="14" t="str">
        <f>IF(
    OR(ISBLANK(moras[[#This Row],[TIPO_ASEGURAMIENTO]]), moras[[#This Row],[TIPO_ASEGURAMIENTO]]=""),
    EDA!$A$32,
    moras[[#This Row],[TIPO_ASEGURAMIENTO]]
)</f>
        <v>ASALARIADO</v>
      </c>
    </row>
    <row r="4755" spans="1:16" x14ac:dyDescent="0.3">
      <c r="A4755">
        <v>4754</v>
      </c>
      <c r="B4755" t="s">
        <v>9</v>
      </c>
      <c r="C4755">
        <v>28903315</v>
      </c>
      <c r="D4755" t="s">
        <v>10</v>
      </c>
      <c r="E4755" t="s">
        <v>16</v>
      </c>
      <c r="F4755" t="s">
        <v>12</v>
      </c>
      <c r="G4755" t="s">
        <v>12</v>
      </c>
      <c r="H4755" t="s">
        <v>13</v>
      </c>
      <c r="I4755">
        <v>21</v>
      </c>
      <c r="J4755">
        <f>ABS((I4755-EDA!$A$15)/EDA!$B$15)</f>
        <v>1.4806416187611704</v>
      </c>
      <c r="K4755" t="str">
        <f t="shared" si="74"/>
        <v>No</v>
      </c>
      <c r="L4755">
        <f>ABS((C4755-EDA!$F$15)/EDA!$G$15)</f>
        <v>0.10531759259477924</v>
      </c>
      <c r="M4755" t="str">
        <f>IF(moras[[#This Row],[Z-Score Salario]]&gt;1.96, "Sí", "No")</f>
        <v>No</v>
      </c>
      <c r="N4755" s="14">
        <f>IF(ISBLANK(moras[[#This Row],[SALARIO]]), EDA!$M$8, moras[[#This Row],[SALARIO]])</f>
        <v>28903315</v>
      </c>
      <c r="O4755" s="14">
        <f xml:space="preserve"> IF(ISBLANK(moras[[#This Row],[EDAD]]), EDA!$E$8, moras[[#This Row],[EDAD]])</f>
        <v>21</v>
      </c>
      <c r="P4755" s="14" t="str">
        <f>IF(
    OR(ISBLANK(moras[[#This Row],[TIPO_ASEGURAMIENTO]]), moras[[#This Row],[TIPO_ASEGURAMIENTO]]=""),
    EDA!$A$32,
    moras[[#This Row],[TIPO_ASEGURAMIENTO]]
)</f>
        <v>ASALARIADO</v>
      </c>
    </row>
    <row r="4756" spans="1:16" x14ac:dyDescent="0.3">
      <c r="A4756">
        <v>4755</v>
      </c>
      <c r="B4756" t="s">
        <v>9</v>
      </c>
      <c r="C4756">
        <v>485785</v>
      </c>
      <c r="D4756" t="s">
        <v>10</v>
      </c>
      <c r="E4756" t="s">
        <v>16</v>
      </c>
      <c r="F4756" t="s">
        <v>12</v>
      </c>
      <c r="G4756" t="s">
        <v>13</v>
      </c>
      <c r="H4756" t="s">
        <v>12</v>
      </c>
      <c r="I4756">
        <v>28</v>
      </c>
      <c r="J4756">
        <f>ABS((I4756-EDA!$A$15)/EDA!$B$15)</f>
        <v>0.98661430822120777</v>
      </c>
      <c r="K4756" t="str">
        <f t="shared" si="74"/>
        <v>No</v>
      </c>
      <c r="L4756">
        <f>ABS((C4756-EDA!$F$15)/EDA!$G$15)</f>
        <v>0.36757016688626137</v>
      </c>
      <c r="M4756" t="str">
        <f>IF(moras[[#This Row],[Z-Score Salario]]&gt;1.96, "Sí", "No")</f>
        <v>No</v>
      </c>
      <c r="N4756" s="14">
        <f>IF(ISBLANK(moras[[#This Row],[SALARIO]]), EDA!$M$8, moras[[#This Row],[SALARIO]])</f>
        <v>485785</v>
      </c>
      <c r="O4756" s="14">
        <f xml:space="preserve"> IF(ISBLANK(moras[[#This Row],[EDAD]]), EDA!$E$8, moras[[#This Row],[EDAD]])</f>
        <v>28</v>
      </c>
      <c r="P4756" s="14" t="str">
        <f>IF(
    OR(ISBLANK(moras[[#This Row],[TIPO_ASEGURAMIENTO]]), moras[[#This Row],[TIPO_ASEGURAMIENTO]]=""),
    EDA!$A$32,
    moras[[#This Row],[TIPO_ASEGURAMIENTO]]
)</f>
        <v>ASALARIADO</v>
      </c>
    </row>
    <row r="4757" spans="1:16" x14ac:dyDescent="0.3">
      <c r="A4757">
        <v>4756</v>
      </c>
      <c r="B4757" t="s">
        <v>9</v>
      </c>
      <c r="C4757">
        <v>34962757</v>
      </c>
      <c r="D4757" t="s">
        <v>10</v>
      </c>
      <c r="E4757" t="s">
        <v>16</v>
      </c>
      <c r="F4757" t="s">
        <v>12</v>
      </c>
      <c r="G4757" t="s">
        <v>13</v>
      </c>
      <c r="H4757" t="s">
        <v>13</v>
      </c>
      <c r="I4757">
        <v>21</v>
      </c>
      <c r="J4757">
        <f>ABS((I4757-EDA!$A$15)/EDA!$B$15)</f>
        <v>1.4806416187611704</v>
      </c>
      <c r="K4757" t="str">
        <f t="shared" si="74"/>
        <v>No</v>
      </c>
      <c r="L4757">
        <f>ABS((C4757-EDA!$F$15)/EDA!$G$15)</f>
        <v>0.20615098490879513</v>
      </c>
      <c r="M4757" t="str">
        <f>IF(moras[[#This Row],[Z-Score Salario]]&gt;1.96, "Sí", "No")</f>
        <v>No</v>
      </c>
      <c r="N4757" s="14">
        <f>IF(ISBLANK(moras[[#This Row],[SALARIO]]), EDA!$M$8, moras[[#This Row],[SALARIO]])</f>
        <v>34962757</v>
      </c>
      <c r="O4757" s="14">
        <f xml:space="preserve"> IF(ISBLANK(moras[[#This Row],[EDAD]]), EDA!$E$8, moras[[#This Row],[EDAD]])</f>
        <v>21</v>
      </c>
      <c r="P4757" s="14" t="str">
        <f>IF(
    OR(ISBLANK(moras[[#This Row],[TIPO_ASEGURAMIENTO]]), moras[[#This Row],[TIPO_ASEGURAMIENTO]]=""),
    EDA!$A$32,
    moras[[#This Row],[TIPO_ASEGURAMIENTO]]
)</f>
        <v>ASALARIADO</v>
      </c>
    </row>
    <row r="4758" spans="1:16" x14ac:dyDescent="0.3">
      <c r="A4758">
        <v>4757</v>
      </c>
      <c r="B4758" t="s">
        <v>15</v>
      </c>
      <c r="C4758">
        <v>173160</v>
      </c>
      <c r="D4758" t="s">
        <v>10</v>
      </c>
      <c r="E4758" t="s">
        <v>16</v>
      </c>
      <c r="F4758" t="s">
        <v>12</v>
      </c>
      <c r="G4758" t="s">
        <v>13</v>
      </c>
      <c r="H4758" t="s">
        <v>13</v>
      </c>
      <c r="I4758">
        <v>35</v>
      </c>
      <c r="J4758">
        <f>ABS((I4758-EDA!$A$15)/EDA!$B$15)</f>
        <v>0.49258699768124525</v>
      </c>
      <c r="K4758" t="str">
        <f t="shared" si="74"/>
        <v>No</v>
      </c>
      <c r="L4758">
        <f>ABS((C4758-EDA!$F$15)/EDA!$G$15)</f>
        <v>0.37277246757206206</v>
      </c>
      <c r="M4758" t="str">
        <f>IF(moras[[#This Row],[Z-Score Salario]]&gt;1.96, "Sí", "No")</f>
        <v>No</v>
      </c>
      <c r="N4758" s="14">
        <f>IF(ISBLANK(moras[[#This Row],[SALARIO]]), EDA!$M$8, moras[[#This Row],[SALARIO]])</f>
        <v>173160</v>
      </c>
      <c r="O4758" s="14">
        <f xml:space="preserve"> IF(ISBLANK(moras[[#This Row],[EDAD]]), EDA!$E$8, moras[[#This Row],[EDAD]])</f>
        <v>35</v>
      </c>
      <c r="P4758" s="14" t="str">
        <f>IF(
    OR(ISBLANK(moras[[#This Row],[TIPO_ASEGURAMIENTO]]), moras[[#This Row],[TIPO_ASEGURAMIENTO]]=""),
    EDA!$A$32,
    moras[[#This Row],[TIPO_ASEGURAMIENTO]]
)</f>
        <v>ASALARIADO</v>
      </c>
    </row>
    <row r="4759" spans="1:16" x14ac:dyDescent="0.3">
      <c r="A4759">
        <v>4758</v>
      </c>
      <c r="B4759" t="s">
        <v>15</v>
      </c>
      <c r="C4759">
        <v>40000</v>
      </c>
      <c r="D4759" t="s">
        <v>10</v>
      </c>
      <c r="E4759" t="s">
        <v>16</v>
      </c>
      <c r="F4759" t="s">
        <v>12</v>
      </c>
      <c r="G4759" t="s">
        <v>12</v>
      </c>
      <c r="H4759" t="s">
        <v>13</v>
      </c>
      <c r="I4759">
        <v>58</v>
      </c>
      <c r="J4759">
        <f>ABS((I4759-EDA!$A$15)/EDA!$B$15)</f>
        <v>1.1306455940929174</v>
      </c>
      <c r="K4759" t="str">
        <f t="shared" si="74"/>
        <v>No</v>
      </c>
      <c r="L4759">
        <f>ABS((C4759-EDA!$F$15)/EDA!$G$15)</f>
        <v>0.37498834397133024</v>
      </c>
      <c r="M4759" t="str">
        <f>IF(moras[[#This Row],[Z-Score Salario]]&gt;1.96, "Sí", "No")</f>
        <v>No</v>
      </c>
      <c r="N4759" s="14">
        <f>IF(ISBLANK(moras[[#This Row],[SALARIO]]), EDA!$M$8, moras[[#This Row],[SALARIO]])</f>
        <v>40000</v>
      </c>
      <c r="O4759" s="14">
        <f xml:space="preserve"> IF(ISBLANK(moras[[#This Row],[EDAD]]), EDA!$E$8, moras[[#This Row],[EDAD]])</f>
        <v>58</v>
      </c>
      <c r="P4759" s="14" t="str">
        <f>IF(
    OR(ISBLANK(moras[[#This Row],[TIPO_ASEGURAMIENTO]]), moras[[#This Row],[TIPO_ASEGURAMIENTO]]=""),
    EDA!$A$32,
    moras[[#This Row],[TIPO_ASEGURAMIENTO]]
)</f>
        <v>ASALARIADO</v>
      </c>
    </row>
    <row r="4760" spans="1:16" x14ac:dyDescent="0.3">
      <c r="A4760">
        <v>4759</v>
      </c>
      <c r="B4760" t="s">
        <v>9</v>
      </c>
      <c r="C4760">
        <v>904989</v>
      </c>
      <c r="D4760" t="s">
        <v>10</v>
      </c>
      <c r="E4760" t="s">
        <v>11</v>
      </c>
      <c r="F4760" t="s">
        <v>12</v>
      </c>
      <c r="G4760" t="s">
        <v>13</v>
      </c>
      <c r="H4760" t="s">
        <v>13</v>
      </c>
      <c r="I4760">
        <v>39</v>
      </c>
      <c r="J4760">
        <f>ABS((I4760-EDA!$A$15)/EDA!$B$15)</f>
        <v>0.21028567737269524</v>
      </c>
      <c r="K4760" t="str">
        <f t="shared" si="74"/>
        <v>No</v>
      </c>
      <c r="L4760">
        <f>ABS((C4760-EDA!$F$15)/EDA!$G$15)</f>
        <v>0.36059431640504469</v>
      </c>
      <c r="M4760" t="str">
        <f>IF(moras[[#This Row],[Z-Score Salario]]&gt;1.96, "Sí", "No")</f>
        <v>No</v>
      </c>
      <c r="N4760" s="14">
        <f>IF(ISBLANK(moras[[#This Row],[SALARIO]]), EDA!$M$8, moras[[#This Row],[SALARIO]])</f>
        <v>904989</v>
      </c>
      <c r="O4760" s="14">
        <f xml:space="preserve"> IF(ISBLANK(moras[[#This Row],[EDAD]]), EDA!$E$8, moras[[#This Row],[EDAD]])</f>
        <v>39</v>
      </c>
      <c r="P4760" s="14" t="str">
        <f>IF(
    OR(ISBLANK(moras[[#This Row],[TIPO_ASEGURAMIENTO]]), moras[[#This Row],[TIPO_ASEGURAMIENTO]]=""),
    EDA!$A$32,
    moras[[#This Row],[TIPO_ASEGURAMIENTO]]
)</f>
        <v>ASALARIADO</v>
      </c>
    </row>
    <row r="4761" spans="1:16" x14ac:dyDescent="0.3">
      <c r="A4761">
        <v>4760</v>
      </c>
      <c r="B4761" t="s">
        <v>9</v>
      </c>
      <c r="C4761">
        <v>6483025</v>
      </c>
      <c r="D4761" t="s">
        <v>10</v>
      </c>
      <c r="E4761" t="s">
        <v>11</v>
      </c>
      <c r="F4761" t="s">
        <v>12</v>
      </c>
      <c r="G4761" t="s">
        <v>13</v>
      </c>
      <c r="H4761" t="s">
        <v>13</v>
      </c>
      <c r="I4761">
        <v>59</v>
      </c>
      <c r="J4761">
        <f>ABS((I4761-EDA!$A$15)/EDA!$B$15)</f>
        <v>1.2012209241700549</v>
      </c>
      <c r="K4761" t="str">
        <f t="shared" si="74"/>
        <v>No</v>
      </c>
      <c r="L4761">
        <f>ABS((C4761-EDA!$F$15)/EDA!$G$15)</f>
        <v>0.267771859761396</v>
      </c>
      <c r="M4761" t="str">
        <f>IF(moras[[#This Row],[Z-Score Salario]]&gt;1.96, "Sí", "No")</f>
        <v>No</v>
      </c>
      <c r="N4761" s="14">
        <f>IF(ISBLANK(moras[[#This Row],[SALARIO]]), EDA!$M$8, moras[[#This Row],[SALARIO]])</f>
        <v>6483025</v>
      </c>
      <c r="O4761" s="14">
        <f xml:space="preserve"> IF(ISBLANK(moras[[#This Row],[EDAD]]), EDA!$E$8, moras[[#This Row],[EDAD]])</f>
        <v>59</v>
      </c>
      <c r="P4761" s="14" t="str">
        <f>IF(
    OR(ISBLANK(moras[[#This Row],[TIPO_ASEGURAMIENTO]]), moras[[#This Row],[TIPO_ASEGURAMIENTO]]=""),
    EDA!$A$32,
    moras[[#This Row],[TIPO_ASEGURAMIENTO]]
)</f>
        <v>ASALARIADO</v>
      </c>
    </row>
    <row r="4762" spans="1:16" x14ac:dyDescent="0.3">
      <c r="A4762">
        <v>4761</v>
      </c>
      <c r="B4762" t="s">
        <v>9</v>
      </c>
      <c r="C4762">
        <v>278030</v>
      </c>
      <c r="D4762" t="s">
        <v>19</v>
      </c>
      <c r="E4762" t="s">
        <v>16</v>
      </c>
      <c r="F4762" t="s">
        <v>12</v>
      </c>
      <c r="G4762" t="s">
        <v>13</v>
      </c>
      <c r="H4762" t="s">
        <v>13</v>
      </c>
      <c r="I4762">
        <v>55</v>
      </c>
      <c r="J4762">
        <f>ABS((I4762-EDA!$A$15)/EDA!$B$15)</f>
        <v>0.91891960386150484</v>
      </c>
      <c r="K4762" t="str">
        <f t="shared" si="74"/>
        <v>No</v>
      </c>
      <c r="L4762">
        <f>ABS((C4762-EDA!$F$15)/EDA!$G$15)</f>
        <v>0.37102735674304993</v>
      </c>
      <c r="M4762" t="str">
        <f>IF(moras[[#This Row],[Z-Score Salario]]&gt;1.96, "Sí", "No")</f>
        <v>No</v>
      </c>
      <c r="N4762" s="14">
        <f>IF(ISBLANK(moras[[#This Row],[SALARIO]]), EDA!$M$8, moras[[#This Row],[SALARIO]])</f>
        <v>278030</v>
      </c>
      <c r="O4762" s="14">
        <f xml:space="preserve"> IF(ISBLANK(moras[[#This Row],[EDAD]]), EDA!$E$8, moras[[#This Row],[EDAD]])</f>
        <v>55</v>
      </c>
      <c r="P4762" s="14" t="str">
        <f>IF(
    OR(ISBLANK(moras[[#This Row],[TIPO_ASEGURAMIENTO]]), moras[[#This Row],[TIPO_ASEGURAMIENTO]]=""),
    EDA!$A$32,
    moras[[#This Row],[TIPO_ASEGURAMIENTO]]
)</f>
        <v>CONVENIOS ESPECIALES DE TRABAJADORES INDEPENDIENTES</v>
      </c>
    </row>
    <row r="4763" spans="1:16" x14ac:dyDescent="0.3">
      <c r="A4763">
        <v>4762</v>
      </c>
      <c r="B4763" t="s">
        <v>15</v>
      </c>
      <c r="C4763">
        <v>639148</v>
      </c>
      <c r="D4763" t="s">
        <v>18</v>
      </c>
      <c r="E4763" t="s">
        <v>16</v>
      </c>
      <c r="F4763" t="s">
        <v>12</v>
      </c>
      <c r="G4763" t="s">
        <v>13</v>
      </c>
      <c r="H4763" t="s">
        <v>12</v>
      </c>
      <c r="I4763">
        <v>73</v>
      </c>
      <c r="J4763">
        <f>ABS((I4763-EDA!$A$15)/EDA!$B$15)</f>
        <v>2.1892755452499797</v>
      </c>
      <c r="K4763" t="str">
        <f t="shared" si="74"/>
        <v>Sí</v>
      </c>
      <c r="L4763">
        <f>ABS((C4763-EDA!$F$15)/EDA!$G$15)</f>
        <v>0.36501809830544912</v>
      </c>
      <c r="M4763" t="str">
        <f>IF(moras[[#This Row],[Z-Score Salario]]&gt;1.96, "Sí", "No")</f>
        <v>No</v>
      </c>
      <c r="N4763" s="14">
        <f>IF(ISBLANK(moras[[#This Row],[SALARIO]]), EDA!$M$8, moras[[#This Row],[SALARIO]])</f>
        <v>639148</v>
      </c>
      <c r="O4763" s="14">
        <f xml:space="preserve"> IF(ISBLANK(moras[[#This Row],[EDAD]]), EDA!$E$8, moras[[#This Row],[EDAD]])</f>
        <v>73</v>
      </c>
      <c r="P4763" s="14" t="str">
        <f>IF(
    OR(ISBLANK(moras[[#This Row],[TIPO_ASEGURAMIENTO]]), moras[[#This Row],[TIPO_ASEGURAMIENTO]]=""),
    EDA!$A$32,
    moras[[#This Row],[TIPO_ASEGURAMIENTO]]
)</f>
        <v>TRABAJADOR INDEPENDIENTE</v>
      </c>
    </row>
    <row r="4764" spans="1:16" x14ac:dyDescent="0.3">
      <c r="A4764">
        <v>4763</v>
      </c>
      <c r="B4764" t="s">
        <v>9</v>
      </c>
      <c r="C4764">
        <v>48867253</v>
      </c>
      <c r="D4764" t="s">
        <v>10</v>
      </c>
      <c r="E4764" t="s">
        <v>16</v>
      </c>
      <c r="F4764" t="s">
        <v>12</v>
      </c>
      <c r="G4764" t="s">
        <v>13</v>
      </c>
      <c r="H4764" t="s">
        <v>13</v>
      </c>
      <c r="I4764">
        <v>34</v>
      </c>
      <c r="J4764">
        <f>ABS((I4764-EDA!$A$15)/EDA!$B$15)</f>
        <v>0.56316232775838282</v>
      </c>
      <c r="K4764" t="str">
        <f t="shared" si="74"/>
        <v>No</v>
      </c>
      <c r="L4764">
        <f>ABS((C4764-EDA!$F$15)/EDA!$G$15)</f>
        <v>0.43753161370211713</v>
      </c>
      <c r="M4764" t="str">
        <f>IF(moras[[#This Row],[Z-Score Salario]]&gt;1.96, "Sí", "No")</f>
        <v>No</v>
      </c>
      <c r="N4764" s="14">
        <f>IF(ISBLANK(moras[[#This Row],[SALARIO]]), EDA!$M$8, moras[[#This Row],[SALARIO]])</f>
        <v>48867253</v>
      </c>
      <c r="O4764" s="14">
        <f xml:space="preserve"> IF(ISBLANK(moras[[#This Row],[EDAD]]), EDA!$E$8, moras[[#This Row],[EDAD]])</f>
        <v>34</v>
      </c>
      <c r="P4764" s="14" t="str">
        <f>IF(
    OR(ISBLANK(moras[[#This Row],[TIPO_ASEGURAMIENTO]]), moras[[#This Row],[TIPO_ASEGURAMIENTO]]=""),
    EDA!$A$32,
    moras[[#This Row],[TIPO_ASEGURAMIENTO]]
)</f>
        <v>ASALARIADO</v>
      </c>
    </row>
    <row r="4765" spans="1:16" x14ac:dyDescent="0.3">
      <c r="A4765">
        <v>4764</v>
      </c>
      <c r="B4765" t="s">
        <v>9</v>
      </c>
      <c r="C4765">
        <v>278030</v>
      </c>
      <c r="D4765" t="s">
        <v>19</v>
      </c>
      <c r="E4765" t="s">
        <v>16</v>
      </c>
      <c r="F4765" t="s">
        <v>12</v>
      </c>
      <c r="G4765" t="s">
        <v>13</v>
      </c>
      <c r="H4765" t="s">
        <v>12</v>
      </c>
      <c r="I4765">
        <v>49</v>
      </c>
      <c r="J4765">
        <f>ABS((I4765-EDA!$A$15)/EDA!$B$15)</f>
        <v>0.49546762339867978</v>
      </c>
      <c r="K4765" t="str">
        <f t="shared" si="74"/>
        <v>No</v>
      </c>
      <c r="L4765">
        <f>ABS((C4765-EDA!$F$15)/EDA!$G$15)</f>
        <v>0.37102735674304993</v>
      </c>
      <c r="M4765" t="str">
        <f>IF(moras[[#This Row],[Z-Score Salario]]&gt;1.96, "Sí", "No")</f>
        <v>No</v>
      </c>
      <c r="N4765" s="14">
        <f>IF(ISBLANK(moras[[#This Row],[SALARIO]]), EDA!$M$8, moras[[#This Row],[SALARIO]])</f>
        <v>278030</v>
      </c>
      <c r="O4765" s="14">
        <f xml:space="preserve"> IF(ISBLANK(moras[[#This Row],[EDAD]]), EDA!$E$8, moras[[#This Row],[EDAD]])</f>
        <v>49</v>
      </c>
      <c r="P4765" s="14" t="str">
        <f>IF(
    OR(ISBLANK(moras[[#This Row],[TIPO_ASEGURAMIENTO]]), moras[[#This Row],[TIPO_ASEGURAMIENTO]]=""),
    EDA!$A$32,
    moras[[#This Row],[TIPO_ASEGURAMIENTO]]
)</f>
        <v>CONVENIOS ESPECIALES DE TRABAJADORES INDEPENDIENTES</v>
      </c>
    </row>
    <row r="4766" spans="1:16" x14ac:dyDescent="0.3">
      <c r="A4766">
        <v>4765</v>
      </c>
      <c r="B4766" t="s">
        <v>15</v>
      </c>
      <c r="C4766">
        <v>700000</v>
      </c>
      <c r="D4766" t="s">
        <v>10</v>
      </c>
      <c r="E4766" t="s">
        <v>16</v>
      </c>
      <c r="F4766" t="s">
        <v>12</v>
      </c>
      <c r="G4766" t="s">
        <v>13</v>
      </c>
      <c r="H4766" t="s">
        <v>13</v>
      </c>
      <c r="I4766">
        <v>32</v>
      </c>
      <c r="J4766">
        <f>ABS((I4766-EDA!$A$15)/EDA!$B$15)</f>
        <v>0.70431298791265773</v>
      </c>
      <c r="K4766" t="str">
        <f t="shared" si="74"/>
        <v>No</v>
      </c>
      <c r="L4766">
        <f>ABS((C4766-EDA!$F$15)/EDA!$G$15)</f>
        <v>0.36400547806928008</v>
      </c>
      <c r="M4766" t="str">
        <f>IF(moras[[#This Row],[Z-Score Salario]]&gt;1.96, "Sí", "No")</f>
        <v>No</v>
      </c>
      <c r="N4766" s="14">
        <f>IF(ISBLANK(moras[[#This Row],[SALARIO]]), EDA!$M$8, moras[[#This Row],[SALARIO]])</f>
        <v>700000</v>
      </c>
      <c r="O4766" s="14">
        <f xml:space="preserve"> IF(ISBLANK(moras[[#This Row],[EDAD]]), EDA!$E$8, moras[[#This Row],[EDAD]])</f>
        <v>32</v>
      </c>
      <c r="P4766" s="14" t="str">
        <f>IF(
    OR(ISBLANK(moras[[#This Row],[TIPO_ASEGURAMIENTO]]), moras[[#This Row],[TIPO_ASEGURAMIENTO]]=""),
    EDA!$A$32,
    moras[[#This Row],[TIPO_ASEGURAMIENTO]]
)</f>
        <v>ASALARIADO</v>
      </c>
    </row>
    <row r="4767" spans="1:16" x14ac:dyDescent="0.3">
      <c r="A4767">
        <v>4766</v>
      </c>
      <c r="B4767" t="s">
        <v>15</v>
      </c>
      <c r="C4767">
        <v>1214806</v>
      </c>
      <c r="D4767" t="s">
        <v>10</v>
      </c>
      <c r="E4767" t="s">
        <v>11</v>
      </c>
      <c r="F4767" t="s">
        <v>12</v>
      </c>
      <c r="G4767" t="s">
        <v>13</v>
      </c>
      <c r="H4767" t="s">
        <v>13</v>
      </c>
      <c r="I4767">
        <v>32</v>
      </c>
      <c r="J4767">
        <f>ABS((I4767-EDA!$A$15)/EDA!$B$15)</f>
        <v>0.70431298791265773</v>
      </c>
      <c r="K4767" t="str">
        <f t="shared" si="74"/>
        <v>No</v>
      </c>
      <c r="L4767">
        <f>ABS((C4767-EDA!$F$15)/EDA!$G$15)</f>
        <v>0.3554387428214455</v>
      </c>
      <c r="M4767" t="str">
        <f>IF(moras[[#This Row],[Z-Score Salario]]&gt;1.96, "Sí", "No")</f>
        <v>No</v>
      </c>
      <c r="N4767" s="14">
        <f>IF(ISBLANK(moras[[#This Row],[SALARIO]]), EDA!$M$8, moras[[#This Row],[SALARIO]])</f>
        <v>1214806</v>
      </c>
      <c r="O4767" s="14">
        <f xml:space="preserve"> IF(ISBLANK(moras[[#This Row],[EDAD]]), EDA!$E$8, moras[[#This Row],[EDAD]])</f>
        <v>32</v>
      </c>
      <c r="P4767" s="14" t="str">
        <f>IF(
    OR(ISBLANK(moras[[#This Row],[TIPO_ASEGURAMIENTO]]), moras[[#This Row],[TIPO_ASEGURAMIENTO]]=""),
    EDA!$A$32,
    moras[[#This Row],[TIPO_ASEGURAMIENTO]]
)</f>
        <v>ASALARIADO</v>
      </c>
    </row>
    <row r="4768" spans="1:16" x14ac:dyDescent="0.3">
      <c r="A4768">
        <v>4767</v>
      </c>
      <c r="B4768" t="s">
        <v>15</v>
      </c>
      <c r="C4768">
        <v>299784</v>
      </c>
      <c r="D4768" t="s">
        <v>18</v>
      </c>
      <c r="E4768" t="s">
        <v>16</v>
      </c>
      <c r="F4768" t="s">
        <v>12</v>
      </c>
      <c r="G4768" t="s">
        <v>12</v>
      </c>
      <c r="H4768" t="s">
        <v>12</v>
      </c>
      <c r="I4768">
        <v>32</v>
      </c>
      <c r="J4768">
        <f>ABS((I4768-EDA!$A$15)/EDA!$B$15)</f>
        <v>0.70431298791265773</v>
      </c>
      <c r="K4768" t="str">
        <f t="shared" si="74"/>
        <v>No</v>
      </c>
      <c r="L4768">
        <f>ABS((C4768-EDA!$F$15)/EDA!$G$15)</f>
        <v>0.37066535482663598</v>
      </c>
      <c r="M4768" t="str">
        <f>IF(moras[[#This Row],[Z-Score Salario]]&gt;1.96, "Sí", "No")</f>
        <v>No</v>
      </c>
      <c r="N4768" s="14">
        <f>IF(ISBLANK(moras[[#This Row],[SALARIO]]), EDA!$M$8, moras[[#This Row],[SALARIO]])</f>
        <v>299784</v>
      </c>
      <c r="O4768" s="14">
        <f xml:space="preserve"> IF(ISBLANK(moras[[#This Row],[EDAD]]), EDA!$E$8, moras[[#This Row],[EDAD]])</f>
        <v>32</v>
      </c>
      <c r="P4768" s="14" t="str">
        <f>IF(
    OR(ISBLANK(moras[[#This Row],[TIPO_ASEGURAMIENTO]]), moras[[#This Row],[TIPO_ASEGURAMIENTO]]=""),
    EDA!$A$32,
    moras[[#This Row],[TIPO_ASEGURAMIENTO]]
)</f>
        <v>TRABAJADOR INDEPENDIENTE</v>
      </c>
    </row>
    <row r="4769" spans="1:16" x14ac:dyDescent="0.3">
      <c r="A4769">
        <v>4768</v>
      </c>
      <c r="B4769" t="s">
        <v>15</v>
      </c>
      <c r="C4769">
        <v>15908947</v>
      </c>
      <c r="D4769" t="s">
        <v>10</v>
      </c>
      <c r="E4769" t="s">
        <v>11</v>
      </c>
      <c r="F4769" t="s">
        <v>12</v>
      </c>
      <c r="G4769" t="s">
        <v>13</v>
      </c>
      <c r="H4769" t="s">
        <v>13</v>
      </c>
      <c r="I4769">
        <v>44</v>
      </c>
      <c r="J4769">
        <f>ABS((I4769-EDA!$A$15)/EDA!$B$15)</f>
        <v>0.14259097301299228</v>
      </c>
      <c r="K4769" t="str">
        <f t="shared" si="74"/>
        <v>No</v>
      </c>
      <c r="L4769">
        <f>ABS((C4769-EDA!$F$15)/EDA!$G$15)</f>
        <v>0.11091786380808656</v>
      </c>
      <c r="M4769" t="str">
        <f>IF(moras[[#This Row],[Z-Score Salario]]&gt;1.96, "Sí", "No")</f>
        <v>No</v>
      </c>
      <c r="N4769" s="14">
        <f>IF(ISBLANK(moras[[#This Row],[SALARIO]]), EDA!$M$8, moras[[#This Row],[SALARIO]])</f>
        <v>15908947</v>
      </c>
      <c r="O4769" s="14">
        <f xml:space="preserve"> IF(ISBLANK(moras[[#This Row],[EDAD]]), EDA!$E$8, moras[[#This Row],[EDAD]])</f>
        <v>44</v>
      </c>
      <c r="P4769" s="14" t="str">
        <f>IF(
    OR(ISBLANK(moras[[#This Row],[TIPO_ASEGURAMIENTO]]), moras[[#This Row],[TIPO_ASEGURAMIENTO]]=""),
    EDA!$A$32,
    moras[[#This Row],[TIPO_ASEGURAMIENTO]]
)</f>
        <v>ASALARIADO</v>
      </c>
    </row>
    <row r="4770" spans="1:16" x14ac:dyDescent="0.3">
      <c r="A4770">
        <v>4769</v>
      </c>
      <c r="B4770" t="s">
        <v>9</v>
      </c>
      <c r="C4770">
        <v>259227</v>
      </c>
      <c r="D4770" t="s">
        <v>10</v>
      </c>
      <c r="E4770" t="s">
        <v>16</v>
      </c>
      <c r="F4770" t="s">
        <v>12</v>
      </c>
      <c r="G4770" t="s">
        <v>13</v>
      </c>
      <c r="H4770" t="s">
        <v>13</v>
      </c>
      <c r="I4770">
        <v>31</v>
      </c>
      <c r="J4770">
        <f>ABS((I4770-EDA!$A$15)/EDA!$B$15)</f>
        <v>0.77488831798979529</v>
      </c>
      <c r="K4770" t="str">
        <f t="shared" si="74"/>
        <v>No</v>
      </c>
      <c r="L4770">
        <f>ABS((C4770-EDA!$F$15)/EDA!$G$15)</f>
        <v>0.37134025193631698</v>
      </c>
      <c r="M4770" t="str">
        <f>IF(moras[[#This Row],[Z-Score Salario]]&gt;1.96, "Sí", "No")</f>
        <v>No</v>
      </c>
      <c r="N4770" s="14">
        <f>IF(ISBLANK(moras[[#This Row],[SALARIO]]), EDA!$M$8, moras[[#This Row],[SALARIO]])</f>
        <v>259227</v>
      </c>
      <c r="O4770" s="14">
        <f xml:space="preserve"> IF(ISBLANK(moras[[#This Row],[EDAD]]), EDA!$E$8, moras[[#This Row],[EDAD]])</f>
        <v>31</v>
      </c>
      <c r="P4770" s="14" t="str">
        <f>IF(
    OR(ISBLANK(moras[[#This Row],[TIPO_ASEGURAMIENTO]]), moras[[#This Row],[TIPO_ASEGURAMIENTO]]=""),
    EDA!$A$32,
    moras[[#This Row],[TIPO_ASEGURAMIENTO]]
)</f>
        <v>ASALARIADO</v>
      </c>
    </row>
    <row r="4771" spans="1:16" x14ac:dyDescent="0.3">
      <c r="A4771">
        <v>4770</v>
      </c>
      <c r="B4771" t="s">
        <v>15</v>
      </c>
      <c r="C4771">
        <v>7569366</v>
      </c>
      <c r="D4771" t="s">
        <v>10</v>
      </c>
      <c r="E4771" t="s">
        <v>11</v>
      </c>
      <c r="F4771" t="s">
        <v>12</v>
      </c>
      <c r="G4771" t="s">
        <v>13</v>
      </c>
      <c r="H4771" t="s">
        <v>13</v>
      </c>
      <c r="I4771">
        <v>48</v>
      </c>
      <c r="J4771">
        <f>ABS((I4771-EDA!$A$15)/EDA!$B$15)</f>
        <v>0.42489229332154227</v>
      </c>
      <c r="K4771" t="str">
        <f t="shared" si="74"/>
        <v>No</v>
      </c>
      <c r="L4771">
        <f>ABS((C4771-EDA!$F$15)/EDA!$G$15)</f>
        <v>0.2496943786600338</v>
      </c>
      <c r="M4771" t="str">
        <f>IF(moras[[#This Row],[Z-Score Salario]]&gt;1.96, "Sí", "No")</f>
        <v>No</v>
      </c>
      <c r="N4771" s="14">
        <f>IF(ISBLANK(moras[[#This Row],[SALARIO]]), EDA!$M$8, moras[[#This Row],[SALARIO]])</f>
        <v>7569366</v>
      </c>
      <c r="O4771" s="14">
        <f xml:space="preserve"> IF(ISBLANK(moras[[#This Row],[EDAD]]), EDA!$E$8, moras[[#This Row],[EDAD]])</f>
        <v>48</v>
      </c>
      <c r="P4771" s="14" t="str">
        <f>IF(
    OR(ISBLANK(moras[[#This Row],[TIPO_ASEGURAMIENTO]]), moras[[#This Row],[TIPO_ASEGURAMIENTO]]=""),
    EDA!$A$32,
    moras[[#This Row],[TIPO_ASEGURAMIENTO]]
)</f>
        <v>ASALARIADO</v>
      </c>
    </row>
    <row r="4772" spans="1:16" x14ac:dyDescent="0.3">
      <c r="A4772">
        <v>4771</v>
      </c>
      <c r="B4772" t="s">
        <v>9</v>
      </c>
      <c r="C4772">
        <v>174458938</v>
      </c>
      <c r="D4772" t="s">
        <v>10</v>
      </c>
      <c r="E4772" t="s">
        <v>11</v>
      </c>
      <c r="F4772" t="s">
        <v>12</v>
      </c>
      <c r="G4772" t="s">
        <v>13</v>
      </c>
      <c r="H4772" t="s">
        <v>13</v>
      </c>
      <c r="I4772">
        <v>35</v>
      </c>
      <c r="J4772">
        <f>ABS((I4772-EDA!$A$15)/EDA!$B$15)</f>
        <v>0.49258699768124525</v>
      </c>
      <c r="K4772" t="str">
        <f t="shared" si="74"/>
        <v>No</v>
      </c>
      <c r="L4772">
        <f>ABS((C4772-EDA!$F$15)/EDA!$G$15)</f>
        <v>2.5274659088044227</v>
      </c>
      <c r="M4772" t="str">
        <f>IF(moras[[#This Row],[Z-Score Salario]]&gt;1.96, "Sí", "No")</f>
        <v>Sí</v>
      </c>
      <c r="N4772" s="14">
        <f>IF(ISBLANK(moras[[#This Row],[SALARIO]]), EDA!$M$8, moras[[#This Row],[SALARIO]])</f>
        <v>174458938</v>
      </c>
      <c r="O4772" s="14">
        <f xml:space="preserve"> IF(ISBLANK(moras[[#This Row],[EDAD]]), EDA!$E$8, moras[[#This Row],[EDAD]])</f>
        <v>35</v>
      </c>
      <c r="P4772" s="14" t="str">
        <f>IF(
    OR(ISBLANK(moras[[#This Row],[TIPO_ASEGURAMIENTO]]), moras[[#This Row],[TIPO_ASEGURAMIENTO]]=""),
    EDA!$A$32,
    moras[[#This Row],[TIPO_ASEGURAMIENTO]]
)</f>
        <v>ASALARIADO</v>
      </c>
    </row>
    <row r="4773" spans="1:16" x14ac:dyDescent="0.3">
      <c r="A4773">
        <v>4772</v>
      </c>
      <c r="B4773" t="s">
        <v>9</v>
      </c>
      <c r="C4773">
        <v>288287</v>
      </c>
      <c r="D4773" t="s">
        <v>10</v>
      </c>
      <c r="E4773" t="s">
        <v>16</v>
      </c>
      <c r="F4773" t="s">
        <v>12</v>
      </c>
      <c r="G4773" t="s">
        <v>13</v>
      </c>
      <c r="H4773" t="s">
        <v>13</v>
      </c>
      <c r="I4773">
        <v>21</v>
      </c>
      <c r="J4773">
        <f>ABS((I4773-EDA!$A$15)/EDA!$B$15)</f>
        <v>1.4806416187611704</v>
      </c>
      <c r="K4773" t="str">
        <f t="shared" si="74"/>
        <v>No</v>
      </c>
      <c r="L4773">
        <f>ABS((C4773-EDA!$F$15)/EDA!$G$15)</f>
        <v>0.37085667302250852</v>
      </c>
      <c r="M4773" t="str">
        <f>IF(moras[[#This Row],[Z-Score Salario]]&gt;1.96, "Sí", "No")</f>
        <v>No</v>
      </c>
      <c r="N4773" s="14">
        <f>IF(ISBLANK(moras[[#This Row],[SALARIO]]), EDA!$M$8, moras[[#This Row],[SALARIO]])</f>
        <v>288287</v>
      </c>
      <c r="O4773" s="14">
        <f xml:space="preserve"> IF(ISBLANK(moras[[#This Row],[EDAD]]), EDA!$E$8, moras[[#This Row],[EDAD]])</f>
        <v>21</v>
      </c>
      <c r="P4773" s="14" t="str">
        <f>IF(
    OR(ISBLANK(moras[[#This Row],[TIPO_ASEGURAMIENTO]]), moras[[#This Row],[TIPO_ASEGURAMIENTO]]=""),
    EDA!$A$32,
    moras[[#This Row],[TIPO_ASEGURAMIENTO]]
)</f>
        <v>ASALARIADO</v>
      </c>
    </row>
    <row r="4774" spans="1:16" x14ac:dyDescent="0.3">
      <c r="A4774">
        <v>4773</v>
      </c>
      <c r="B4774" t="s">
        <v>9</v>
      </c>
      <c r="C4774">
        <v>278031</v>
      </c>
      <c r="D4774" t="s">
        <v>17</v>
      </c>
      <c r="E4774" t="s">
        <v>16</v>
      </c>
      <c r="F4774" t="s">
        <v>12</v>
      </c>
      <c r="G4774" t="s">
        <v>13</v>
      </c>
      <c r="H4774" t="s">
        <v>13</v>
      </c>
      <c r="I4774">
        <v>39</v>
      </c>
      <c r="J4774">
        <f>ABS((I4774-EDA!$A$15)/EDA!$B$15)</f>
        <v>0.21028567737269524</v>
      </c>
      <c r="K4774" t="str">
        <f t="shared" si="74"/>
        <v>No</v>
      </c>
      <c r="L4774">
        <f>ABS((C4774-EDA!$F$15)/EDA!$G$15)</f>
        <v>0.37102734010234401</v>
      </c>
      <c r="M4774" t="str">
        <f>IF(moras[[#This Row],[Z-Score Salario]]&gt;1.96, "Sí", "No")</f>
        <v>No</v>
      </c>
      <c r="N4774" s="14">
        <f>IF(ISBLANK(moras[[#This Row],[SALARIO]]), EDA!$M$8, moras[[#This Row],[SALARIO]])</f>
        <v>278031</v>
      </c>
      <c r="O4774" s="14">
        <f xml:space="preserve"> IF(ISBLANK(moras[[#This Row],[EDAD]]), EDA!$E$8, moras[[#This Row],[EDAD]])</f>
        <v>39</v>
      </c>
      <c r="P4774" s="14" t="str">
        <f>IF(
    OR(ISBLANK(moras[[#This Row],[TIPO_ASEGURAMIENTO]]), moras[[#This Row],[TIPO_ASEGURAMIENTO]]=""),
    EDA!$A$32,
    moras[[#This Row],[TIPO_ASEGURAMIENTO]]
)</f>
        <v>ASEGURADO VOLUNTARIO</v>
      </c>
    </row>
    <row r="4775" spans="1:16" x14ac:dyDescent="0.3">
      <c r="A4775">
        <v>4774</v>
      </c>
      <c r="B4775" t="s">
        <v>15</v>
      </c>
      <c r="C4775">
        <v>297046</v>
      </c>
      <c r="D4775" t="s">
        <v>18</v>
      </c>
      <c r="E4775" t="s">
        <v>16</v>
      </c>
      <c r="F4775" t="s">
        <v>12</v>
      </c>
      <c r="G4775" t="s">
        <v>13</v>
      </c>
      <c r="H4775" t="s">
        <v>12</v>
      </c>
      <c r="I4775">
        <v>24</v>
      </c>
      <c r="J4775">
        <f>ABS((I4775-EDA!$A$15)/EDA!$B$15)</f>
        <v>1.2689156285297578</v>
      </c>
      <c r="K4775" t="str">
        <f t="shared" si="74"/>
        <v>No</v>
      </c>
      <c r="L4775">
        <f>ABS((C4775-EDA!$F$15)/EDA!$G$15)</f>
        <v>0.37071091707942361</v>
      </c>
      <c r="M4775" t="str">
        <f>IF(moras[[#This Row],[Z-Score Salario]]&gt;1.96, "Sí", "No")</f>
        <v>No</v>
      </c>
      <c r="N4775" s="14">
        <f>IF(ISBLANK(moras[[#This Row],[SALARIO]]), EDA!$M$8, moras[[#This Row],[SALARIO]])</f>
        <v>297046</v>
      </c>
      <c r="O4775" s="14">
        <f xml:space="preserve"> IF(ISBLANK(moras[[#This Row],[EDAD]]), EDA!$E$8, moras[[#This Row],[EDAD]])</f>
        <v>24</v>
      </c>
      <c r="P4775" s="14" t="str">
        <f>IF(
    OR(ISBLANK(moras[[#This Row],[TIPO_ASEGURAMIENTO]]), moras[[#This Row],[TIPO_ASEGURAMIENTO]]=""),
    EDA!$A$32,
    moras[[#This Row],[TIPO_ASEGURAMIENTO]]
)</f>
        <v>TRABAJADOR INDEPENDIENTE</v>
      </c>
    </row>
    <row r="4776" spans="1:16" x14ac:dyDescent="0.3">
      <c r="A4776">
        <v>4775</v>
      </c>
      <c r="B4776" t="s">
        <v>15</v>
      </c>
      <c r="C4776">
        <v>334110</v>
      </c>
      <c r="D4776" t="s">
        <v>10</v>
      </c>
      <c r="E4776" t="s">
        <v>16</v>
      </c>
      <c r="F4776" t="s">
        <v>12</v>
      </c>
      <c r="G4776" t="s">
        <v>13</v>
      </c>
      <c r="H4776" t="s">
        <v>12</v>
      </c>
      <c r="I4776">
        <v>31</v>
      </c>
      <c r="J4776">
        <f>ABS((I4776-EDA!$A$15)/EDA!$B$15)</f>
        <v>0.77488831798979529</v>
      </c>
      <c r="K4776" t="str">
        <f t="shared" si="74"/>
        <v>No</v>
      </c>
      <c r="L4776">
        <f>ABS((C4776-EDA!$F$15)/EDA!$G$15)</f>
        <v>0.37009414595549389</v>
      </c>
      <c r="M4776" t="str">
        <f>IF(moras[[#This Row],[Z-Score Salario]]&gt;1.96, "Sí", "No")</f>
        <v>No</v>
      </c>
      <c r="N4776" s="14">
        <f>IF(ISBLANK(moras[[#This Row],[SALARIO]]), EDA!$M$8, moras[[#This Row],[SALARIO]])</f>
        <v>334110</v>
      </c>
      <c r="O4776" s="14">
        <f xml:space="preserve"> IF(ISBLANK(moras[[#This Row],[EDAD]]), EDA!$E$8, moras[[#This Row],[EDAD]])</f>
        <v>31</v>
      </c>
      <c r="P4776" s="14" t="str">
        <f>IF(
    OR(ISBLANK(moras[[#This Row],[TIPO_ASEGURAMIENTO]]), moras[[#This Row],[TIPO_ASEGURAMIENTO]]=""),
    EDA!$A$32,
    moras[[#This Row],[TIPO_ASEGURAMIENTO]]
)</f>
        <v>ASALARIADO</v>
      </c>
    </row>
    <row r="4777" spans="1:16" x14ac:dyDescent="0.3">
      <c r="A4777">
        <v>4776</v>
      </c>
      <c r="B4777" t="s">
        <v>9</v>
      </c>
      <c r="C4777">
        <v>1212884</v>
      </c>
      <c r="D4777" t="s">
        <v>10</v>
      </c>
      <c r="E4777" t="s">
        <v>16</v>
      </c>
      <c r="F4777" t="s">
        <v>12</v>
      </c>
      <c r="G4777" t="s">
        <v>12</v>
      </c>
      <c r="H4777" t="s">
        <v>13</v>
      </c>
      <c r="I4777">
        <v>28</v>
      </c>
      <c r="J4777">
        <f>ABS((I4777-EDA!$A$15)/EDA!$B$15)</f>
        <v>0.98661430822120777</v>
      </c>
      <c r="K4777" t="str">
        <f t="shared" si="74"/>
        <v>No</v>
      </c>
      <c r="L4777">
        <f>ABS((C4777-EDA!$F$15)/EDA!$G$15)</f>
        <v>0.35547072625820875</v>
      </c>
      <c r="M4777" t="str">
        <f>IF(moras[[#This Row],[Z-Score Salario]]&gt;1.96, "Sí", "No")</f>
        <v>No</v>
      </c>
      <c r="N4777" s="14">
        <f>IF(ISBLANK(moras[[#This Row],[SALARIO]]), EDA!$M$8, moras[[#This Row],[SALARIO]])</f>
        <v>1212884</v>
      </c>
      <c r="O4777" s="14">
        <f xml:space="preserve"> IF(ISBLANK(moras[[#This Row],[EDAD]]), EDA!$E$8, moras[[#This Row],[EDAD]])</f>
        <v>28</v>
      </c>
      <c r="P4777" s="14" t="str">
        <f>IF(
    OR(ISBLANK(moras[[#This Row],[TIPO_ASEGURAMIENTO]]), moras[[#This Row],[TIPO_ASEGURAMIENTO]]=""),
    EDA!$A$32,
    moras[[#This Row],[TIPO_ASEGURAMIENTO]]
)</f>
        <v>ASALARIADO</v>
      </c>
    </row>
    <row r="4778" spans="1:16" x14ac:dyDescent="0.3">
      <c r="A4778">
        <v>4777</v>
      </c>
      <c r="B4778" t="s">
        <v>9</v>
      </c>
      <c r="C4778">
        <v>617386</v>
      </c>
      <c r="D4778" t="s">
        <v>18</v>
      </c>
      <c r="E4778" t="s">
        <v>16</v>
      </c>
      <c r="F4778" t="s">
        <v>12</v>
      </c>
      <c r="G4778" t="s">
        <v>13</v>
      </c>
      <c r="H4778" t="s">
        <v>13</v>
      </c>
      <c r="I4778">
        <v>40</v>
      </c>
      <c r="J4778">
        <f>ABS((I4778-EDA!$A$15)/EDA!$B$15)</f>
        <v>0.13971034729555773</v>
      </c>
      <c r="K4778" t="str">
        <f t="shared" si="74"/>
        <v>No</v>
      </c>
      <c r="L4778">
        <f>ABS((C4778-EDA!$F$15)/EDA!$G$15)</f>
        <v>0.36538023334751035</v>
      </c>
      <c r="M4778" t="str">
        <f>IF(moras[[#This Row],[Z-Score Salario]]&gt;1.96, "Sí", "No")</f>
        <v>No</v>
      </c>
      <c r="N4778" s="14">
        <f>IF(ISBLANK(moras[[#This Row],[SALARIO]]), EDA!$M$8, moras[[#This Row],[SALARIO]])</f>
        <v>617386</v>
      </c>
      <c r="O4778" s="14">
        <f xml:space="preserve"> IF(ISBLANK(moras[[#This Row],[EDAD]]), EDA!$E$8, moras[[#This Row],[EDAD]])</f>
        <v>40</v>
      </c>
      <c r="P4778" s="14" t="str">
        <f>IF(
    OR(ISBLANK(moras[[#This Row],[TIPO_ASEGURAMIENTO]]), moras[[#This Row],[TIPO_ASEGURAMIENTO]]=""),
    EDA!$A$32,
    moras[[#This Row],[TIPO_ASEGURAMIENTO]]
)</f>
        <v>TRABAJADOR INDEPENDIENTE</v>
      </c>
    </row>
    <row r="4779" spans="1:16" x14ac:dyDescent="0.3">
      <c r="A4779">
        <v>4778</v>
      </c>
      <c r="B4779" t="s">
        <v>9</v>
      </c>
      <c r="C4779">
        <v>50000</v>
      </c>
      <c r="D4779" t="s">
        <v>10</v>
      </c>
      <c r="E4779" t="s">
        <v>16</v>
      </c>
      <c r="F4779" t="s">
        <v>12</v>
      </c>
      <c r="G4779" t="s">
        <v>12</v>
      </c>
      <c r="H4779" t="s">
        <v>12</v>
      </c>
      <c r="I4779">
        <v>41</v>
      </c>
      <c r="J4779">
        <f>ABS((I4779-EDA!$A$15)/EDA!$B$15)</f>
        <v>6.9135017218420233E-2</v>
      </c>
      <c r="K4779" t="str">
        <f t="shared" si="74"/>
        <v>No</v>
      </c>
      <c r="L4779">
        <f>ABS((C4779-EDA!$F$15)/EDA!$G$15)</f>
        <v>0.37482193691220822</v>
      </c>
      <c r="M4779" t="str">
        <f>IF(moras[[#This Row],[Z-Score Salario]]&gt;1.96, "Sí", "No")</f>
        <v>No</v>
      </c>
      <c r="N4779" s="14">
        <f>IF(ISBLANK(moras[[#This Row],[SALARIO]]), EDA!$M$8, moras[[#This Row],[SALARIO]])</f>
        <v>50000</v>
      </c>
      <c r="O4779" s="14">
        <f xml:space="preserve"> IF(ISBLANK(moras[[#This Row],[EDAD]]), EDA!$E$8, moras[[#This Row],[EDAD]])</f>
        <v>41</v>
      </c>
      <c r="P4779" s="14" t="str">
        <f>IF(
    OR(ISBLANK(moras[[#This Row],[TIPO_ASEGURAMIENTO]]), moras[[#This Row],[TIPO_ASEGURAMIENTO]]=""),
    EDA!$A$32,
    moras[[#This Row],[TIPO_ASEGURAMIENTO]]
)</f>
        <v>ASALARIADO</v>
      </c>
    </row>
    <row r="4780" spans="1:16" x14ac:dyDescent="0.3">
      <c r="A4780">
        <v>4779</v>
      </c>
      <c r="B4780" t="s">
        <v>15</v>
      </c>
      <c r="C4780">
        <v>17977213</v>
      </c>
      <c r="D4780" t="s">
        <v>10</v>
      </c>
      <c r="E4780" t="s">
        <v>16</v>
      </c>
      <c r="F4780" t="s">
        <v>12</v>
      </c>
      <c r="G4780" t="s">
        <v>13</v>
      </c>
      <c r="H4780" t="s">
        <v>13</v>
      </c>
      <c r="I4780">
        <v>23</v>
      </c>
      <c r="J4780">
        <f>ABS((I4780-EDA!$A$15)/EDA!$B$15)</f>
        <v>1.3394909586068953</v>
      </c>
      <c r="K4780" t="str">
        <f t="shared" si="74"/>
        <v>No</v>
      </c>
      <c r="L4780">
        <f>ABS((C4780-EDA!$F$15)/EDA!$G$15)</f>
        <v>7.650045755389015E-2</v>
      </c>
      <c r="M4780" t="str">
        <f>IF(moras[[#This Row],[Z-Score Salario]]&gt;1.96, "Sí", "No")</f>
        <v>No</v>
      </c>
      <c r="N4780" s="14">
        <f>IF(ISBLANK(moras[[#This Row],[SALARIO]]), EDA!$M$8, moras[[#This Row],[SALARIO]])</f>
        <v>17977213</v>
      </c>
      <c r="O4780" s="14">
        <f xml:space="preserve"> IF(ISBLANK(moras[[#This Row],[EDAD]]), EDA!$E$8, moras[[#This Row],[EDAD]])</f>
        <v>23</v>
      </c>
      <c r="P4780" s="14" t="str">
        <f>IF(
    OR(ISBLANK(moras[[#This Row],[TIPO_ASEGURAMIENTO]]), moras[[#This Row],[TIPO_ASEGURAMIENTO]]=""),
    EDA!$A$32,
    moras[[#This Row],[TIPO_ASEGURAMIENTO]]
)</f>
        <v>ASALARIADO</v>
      </c>
    </row>
    <row r="4781" spans="1:16" x14ac:dyDescent="0.3">
      <c r="A4781">
        <v>4780</v>
      </c>
      <c r="B4781" t="s">
        <v>15</v>
      </c>
      <c r="C4781">
        <v>1602859</v>
      </c>
      <c r="D4781" t="s">
        <v>10</v>
      </c>
      <c r="E4781" t="s">
        <v>11</v>
      </c>
      <c r="F4781" t="s">
        <v>12</v>
      </c>
      <c r="G4781" t="s">
        <v>13</v>
      </c>
      <c r="H4781" t="s">
        <v>12</v>
      </c>
      <c r="I4781">
        <v>36</v>
      </c>
      <c r="J4781">
        <f>ABS((I4781-EDA!$A$15)/EDA!$B$15)</f>
        <v>0.42201166760410774</v>
      </c>
      <c r="K4781" t="str">
        <f t="shared" si="74"/>
        <v>No</v>
      </c>
      <c r="L4781">
        <f>ABS((C4781-EDA!$F$15)/EDA!$G$15)</f>
        <v>0.34898126697009962</v>
      </c>
      <c r="M4781" t="str">
        <f>IF(moras[[#This Row],[Z-Score Salario]]&gt;1.96, "Sí", "No")</f>
        <v>No</v>
      </c>
      <c r="N4781" s="14">
        <f>IF(ISBLANK(moras[[#This Row],[SALARIO]]), EDA!$M$8, moras[[#This Row],[SALARIO]])</f>
        <v>1602859</v>
      </c>
      <c r="O4781" s="14">
        <f xml:space="preserve"> IF(ISBLANK(moras[[#This Row],[EDAD]]), EDA!$E$8, moras[[#This Row],[EDAD]])</f>
        <v>36</v>
      </c>
      <c r="P4781" s="14" t="str">
        <f>IF(
    OR(ISBLANK(moras[[#This Row],[TIPO_ASEGURAMIENTO]]), moras[[#This Row],[TIPO_ASEGURAMIENTO]]=""),
    EDA!$A$32,
    moras[[#This Row],[TIPO_ASEGURAMIENTO]]
)</f>
        <v>ASALARIADO</v>
      </c>
    </row>
    <row r="4782" spans="1:16" x14ac:dyDescent="0.3">
      <c r="A4782">
        <v>4781</v>
      </c>
      <c r="B4782" t="s">
        <v>15</v>
      </c>
      <c r="C4782">
        <v>410351</v>
      </c>
      <c r="D4782" t="s">
        <v>18</v>
      </c>
      <c r="E4782" t="s">
        <v>16</v>
      </c>
      <c r="F4782" t="s">
        <v>12</v>
      </c>
      <c r="G4782" t="s">
        <v>12</v>
      </c>
      <c r="H4782" t="s">
        <v>13</v>
      </c>
      <c r="I4782">
        <v>54</v>
      </c>
      <c r="J4782">
        <f>ABS((I4782-EDA!$A$15)/EDA!$B$15)</f>
        <v>0.84834427378436728</v>
      </c>
      <c r="K4782" t="str">
        <f t="shared" si="74"/>
        <v>No</v>
      </c>
      <c r="L4782">
        <f>ABS((C4782-EDA!$F$15)/EDA!$G$15)</f>
        <v>0.36882544189604211</v>
      </c>
      <c r="M4782" t="str">
        <f>IF(moras[[#This Row],[Z-Score Salario]]&gt;1.96, "Sí", "No")</f>
        <v>No</v>
      </c>
      <c r="N4782" s="14">
        <f>IF(ISBLANK(moras[[#This Row],[SALARIO]]), EDA!$M$8, moras[[#This Row],[SALARIO]])</f>
        <v>410351</v>
      </c>
      <c r="O4782" s="14">
        <f xml:space="preserve"> IF(ISBLANK(moras[[#This Row],[EDAD]]), EDA!$E$8, moras[[#This Row],[EDAD]])</f>
        <v>54</v>
      </c>
      <c r="P4782" s="14" t="str">
        <f>IF(
    OR(ISBLANK(moras[[#This Row],[TIPO_ASEGURAMIENTO]]), moras[[#This Row],[TIPO_ASEGURAMIENTO]]=""),
    EDA!$A$32,
    moras[[#This Row],[TIPO_ASEGURAMIENTO]]
)</f>
        <v>TRABAJADOR INDEPENDIENTE</v>
      </c>
    </row>
    <row r="4783" spans="1:16" x14ac:dyDescent="0.3">
      <c r="A4783">
        <v>4782</v>
      </c>
      <c r="B4783" t="s">
        <v>9</v>
      </c>
      <c r="C4783">
        <v>339953</v>
      </c>
      <c r="D4783" t="s">
        <v>10</v>
      </c>
      <c r="E4783" t="s">
        <v>16</v>
      </c>
      <c r="F4783" t="s">
        <v>12</v>
      </c>
      <c r="G4783" t="s">
        <v>13</v>
      </c>
      <c r="H4783" t="s">
        <v>13</v>
      </c>
      <c r="I4783">
        <v>33</v>
      </c>
      <c r="J4783">
        <f>ABS((I4783-EDA!$A$15)/EDA!$B$15)</f>
        <v>0.63373765783552027</v>
      </c>
      <c r="K4783" t="str">
        <f t="shared" si="74"/>
        <v>No</v>
      </c>
      <c r="L4783">
        <f>ABS((C4783-EDA!$F$15)/EDA!$G$15)</f>
        <v>0.36999691431084891</v>
      </c>
      <c r="M4783" t="str">
        <f>IF(moras[[#This Row],[Z-Score Salario]]&gt;1.96, "Sí", "No")</f>
        <v>No</v>
      </c>
      <c r="N4783" s="14">
        <f>IF(ISBLANK(moras[[#This Row],[SALARIO]]), EDA!$M$8, moras[[#This Row],[SALARIO]])</f>
        <v>339953</v>
      </c>
      <c r="O4783" s="14">
        <f xml:space="preserve"> IF(ISBLANK(moras[[#This Row],[EDAD]]), EDA!$E$8, moras[[#This Row],[EDAD]])</f>
        <v>33</v>
      </c>
      <c r="P4783" s="14" t="str">
        <f>IF(
    OR(ISBLANK(moras[[#This Row],[TIPO_ASEGURAMIENTO]]), moras[[#This Row],[TIPO_ASEGURAMIENTO]]=""),
    EDA!$A$32,
    moras[[#This Row],[TIPO_ASEGURAMIENTO]]
)</f>
        <v>ASALARIADO</v>
      </c>
    </row>
    <row r="4784" spans="1:16" x14ac:dyDescent="0.3">
      <c r="A4784">
        <v>4783</v>
      </c>
      <c r="B4784" t="s">
        <v>9</v>
      </c>
      <c r="C4784">
        <v>753198</v>
      </c>
      <c r="D4784" t="s">
        <v>10</v>
      </c>
      <c r="E4784" t="s">
        <v>11</v>
      </c>
      <c r="F4784" t="s">
        <v>12</v>
      </c>
      <c r="G4784" t="s">
        <v>13</v>
      </c>
      <c r="H4784" t="s">
        <v>13</v>
      </c>
      <c r="I4784">
        <v>51</v>
      </c>
      <c r="J4784">
        <f>ABS((I4784-EDA!$A$15)/EDA!$B$15)</f>
        <v>0.6366182835529548</v>
      </c>
      <c r="K4784" t="str">
        <f t="shared" si="74"/>
        <v>No</v>
      </c>
      <c r="L4784">
        <f>ABS((C4784-EDA!$F$15)/EDA!$G$15)</f>
        <v>0.36312022579616304</v>
      </c>
      <c r="M4784" t="str">
        <f>IF(moras[[#This Row],[Z-Score Salario]]&gt;1.96, "Sí", "No")</f>
        <v>No</v>
      </c>
      <c r="N4784" s="14">
        <f>IF(ISBLANK(moras[[#This Row],[SALARIO]]), EDA!$M$8, moras[[#This Row],[SALARIO]])</f>
        <v>753198</v>
      </c>
      <c r="O4784" s="14">
        <f xml:space="preserve"> IF(ISBLANK(moras[[#This Row],[EDAD]]), EDA!$E$8, moras[[#This Row],[EDAD]])</f>
        <v>51</v>
      </c>
      <c r="P4784" s="14" t="str">
        <f>IF(
    OR(ISBLANK(moras[[#This Row],[TIPO_ASEGURAMIENTO]]), moras[[#This Row],[TIPO_ASEGURAMIENTO]]=""),
    EDA!$A$32,
    moras[[#This Row],[TIPO_ASEGURAMIENTO]]
)</f>
        <v>ASALARIADO</v>
      </c>
    </row>
    <row r="4785" spans="1:16" x14ac:dyDescent="0.3">
      <c r="A4785">
        <v>4784</v>
      </c>
      <c r="B4785" t="s">
        <v>9</v>
      </c>
      <c r="C4785">
        <v>69774371</v>
      </c>
      <c r="D4785" t="s">
        <v>10</v>
      </c>
      <c r="E4785" t="s">
        <v>16</v>
      </c>
      <c r="F4785" t="s">
        <v>12</v>
      </c>
      <c r="G4785" t="s">
        <v>12</v>
      </c>
      <c r="H4785" t="s">
        <v>13</v>
      </c>
      <c r="I4785">
        <v>29</v>
      </c>
      <c r="J4785">
        <f>ABS((I4785-EDA!$A$15)/EDA!$B$15)</f>
        <v>0.91603897814407031</v>
      </c>
      <c r="K4785" t="str">
        <f t="shared" si="74"/>
        <v>No</v>
      </c>
      <c r="L4785">
        <f>ABS((C4785-EDA!$F$15)/EDA!$G$15)</f>
        <v>0.7854408158117212</v>
      </c>
      <c r="M4785" t="str">
        <f>IF(moras[[#This Row],[Z-Score Salario]]&gt;1.96, "Sí", "No")</f>
        <v>No</v>
      </c>
      <c r="N4785" s="14">
        <f>IF(ISBLANK(moras[[#This Row],[SALARIO]]), EDA!$M$8, moras[[#This Row],[SALARIO]])</f>
        <v>69774371</v>
      </c>
      <c r="O4785" s="14">
        <f xml:space="preserve"> IF(ISBLANK(moras[[#This Row],[EDAD]]), EDA!$E$8, moras[[#This Row],[EDAD]])</f>
        <v>29</v>
      </c>
      <c r="P4785" s="14" t="str">
        <f>IF(
    OR(ISBLANK(moras[[#This Row],[TIPO_ASEGURAMIENTO]]), moras[[#This Row],[TIPO_ASEGURAMIENTO]]=""),
    EDA!$A$32,
    moras[[#This Row],[TIPO_ASEGURAMIENTO]]
)</f>
        <v>ASALARIADO</v>
      </c>
    </row>
    <row r="4786" spans="1:16" x14ac:dyDescent="0.3">
      <c r="A4786">
        <v>4785</v>
      </c>
      <c r="B4786" t="s">
        <v>15</v>
      </c>
      <c r="C4786">
        <v>44573984</v>
      </c>
      <c r="D4786" t="s">
        <v>10</v>
      </c>
      <c r="E4786" t="s">
        <v>16</v>
      </c>
      <c r="F4786" t="s">
        <v>12</v>
      </c>
      <c r="G4786" t="s">
        <v>13</v>
      </c>
      <c r="H4786" t="s">
        <v>13</v>
      </c>
      <c r="I4786">
        <v>29</v>
      </c>
      <c r="J4786">
        <f>ABS((I4786-EDA!$A$15)/EDA!$B$15)</f>
        <v>0.91603897814407031</v>
      </c>
      <c r="K4786" t="str">
        <f t="shared" si="74"/>
        <v>No</v>
      </c>
      <c r="L4786">
        <f>ABS((C4786-EDA!$F$15)/EDA!$G$15)</f>
        <v>0.3660885868711643</v>
      </c>
      <c r="M4786" t="str">
        <f>IF(moras[[#This Row],[Z-Score Salario]]&gt;1.96, "Sí", "No")</f>
        <v>No</v>
      </c>
      <c r="N4786" s="14">
        <f>IF(ISBLANK(moras[[#This Row],[SALARIO]]), EDA!$M$8, moras[[#This Row],[SALARIO]])</f>
        <v>44573984</v>
      </c>
      <c r="O4786" s="14">
        <f xml:space="preserve"> IF(ISBLANK(moras[[#This Row],[EDAD]]), EDA!$E$8, moras[[#This Row],[EDAD]])</f>
        <v>29</v>
      </c>
      <c r="P4786" s="14" t="str">
        <f>IF(
    OR(ISBLANK(moras[[#This Row],[TIPO_ASEGURAMIENTO]]), moras[[#This Row],[TIPO_ASEGURAMIENTO]]=""),
    EDA!$A$32,
    moras[[#This Row],[TIPO_ASEGURAMIENTO]]
)</f>
        <v>ASALARIADO</v>
      </c>
    </row>
    <row r="4787" spans="1:16" x14ac:dyDescent="0.3">
      <c r="A4787">
        <v>4786</v>
      </c>
      <c r="B4787" t="s">
        <v>15</v>
      </c>
      <c r="C4787">
        <v>66055553</v>
      </c>
      <c r="D4787" t="s">
        <v>10</v>
      </c>
      <c r="E4787" t="s">
        <v>16</v>
      </c>
      <c r="F4787" t="s">
        <v>12</v>
      </c>
      <c r="G4787" t="s">
        <v>13</v>
      </c>
      <c r="H4787" t="s">
        <v>13</v>
      </c>
      <c r="I4787">
        <v>20</v>
      </c>
      <c r="J4787">
        <f>ABS((I4787-EDA!$A$15)/EDA!$B$15)</f>
        <v>1.5512169488383079</v>
      </c>
      <c r="K4787" t="str">
        <f t="shared" si="74"/>
        <v>No</v>
      </c>
      <c r="L4787">
        <f>ABS((C4787-EDA!$F$15)/EDA!$G$15)</f>
        <v>0.72355705913273582</v>
      </c>
      <c r="M4787" t="str">
        <f>IF(moras[[#This Row],[Z-Score Salario]]&gt;1.96, "Sí", "No")</f>
        <v>No</v>
      </c>
      <c r="N4787" s="14">
        <f>IF(ISBLANK(moras[[#This Row],[SALARIO]]), EDA!$M$8, moras[[#This Row],[SALARIO]])</f>
        <v>66055553</v>
      </c>
      <c r="O4787" s="14">
        <f xml:space="preserve"> IF(ISBLANK(moras[[#This Row],[EDAD]]), EDA!$E$8, moras[[#This Row],[EDAD]])</f>
        <v>20</v>
      </c>
      <c r="P4787" s="14" t="str">
        <f>IF(
    OR(ISBLANK(moras[[#This Row],[TIPO_ASEGURAMIENTO]]), moras[[#This Row],[TIPO_ASEGURAMIENTO]]=""),
    EDA!$A$32,
    moras[[#This Row],[TIPO_ASEGURAMIENTO]]
)</f>
        <v>ASALARIADO</v>
      </c>
    </row>
    <row r="4788" spans="1:16" x14ac:dyDescent="0.3">
      <c r="A4788">
        <v>4787</v>
      </c>
      <c r="B4788" t="s">
        <v>15</v>
      </c>
      <c r="C4788">
        <v>278030</v>
      </c>
      <c r="D4788" t="s">
        <v>19</v>
      </c>
      <c r="E4788" t="s">
        <v>16</v>
      </c>
      <c r="F4788" t="s">
        <v>12</v>
      </c>
      <c r="G4788" t="s">
        <v>13</v>
      </c>
      <c r="H4788" t="s">
        <v>13</v>
      </c>
      <c r="I4788">
        <v>60</v>
      </c>
      <c r="J4788">
        <f>ABS((I4788-EDA!$A$15)/EDA!$B$15)</f>
        <v>1.2717962542471923</v>
      </c>
      <c r="K4788" t="str">
        <f t="shared" si="74"/>
        <v>No</v>
      </c>
      <c r="L4788">
        <f>ABS((C4788-EDA!$F$15)/EDA!$G$15)</f>
        <v>0.37102735674304993</v>
      </c>
      <c r="M4788" t="str">
        <f>IF(moras[[#This Row],[Z-Score Salario]]&gt;1.96, "Sí", "No")</f>
        <v>No</v>
      </c>
      <c r="N4788" s="14">
        <f>IF(ISBLANK(moras[[#This Row],[SALARIO]]), EDA!$M$8, moras[[#This Row],[SALARIO]])</f>
        <v>278030</v>
      </c>
      <c r="O4788" s="14">
        <f xml:space="preserve"> IF(ISBLANK(moras[[#This Row],[EDAD]]), EDA!$E$8, moras[[#This Row],[EDAD]])</f>
        <v>60</v>
      </c>
      <c r="P4788" s="14" t="str">
        <f>IF(
    OR(ISBLANK(moras[[#This Row],[TIPO_ASEGURAMIENTO]]), moras[[#This Row],[TIPO_ASEGURAMIENTO]]=""),
    EDA!$A$32,
    moras[[#This Row],[TIPO_ASEGURAMIENTO]]
)</f>
        <v>CONVENIOS ESPECIALES DE TRABAJADORES INDEPENDIENTES</v>
      </c>
    </row>
    <row r="4789" spans="1:16" x14ac:dyDescent="0.3">
      <c r="A4789">
        <v>4788</v>
      </c>
      <c r="B4789" t="s">
        <v>9</v>
      </c>
      <c r="C4789">
        <v>66662548</v>
      </c>
      <c r="D4789" t="s">
        <v>10</v>
      </c>
      <c r="E4789" t="s">
        <v>11</v>
      </c>
      <c r="F4789" t="s">
        <v>12</v>
      </c>
      <c r="G4789" t="s">
        <v>13</v>
      </c>
      <c r="H4789" t="s">
        <v>13</v>
      </c>
      <c r="I4789">
        <v>37</v>
      </c>
      <c r="J4789">
        <f>ABS((I4789-EDA!$A$15)/EDA!$B$15)</f>
        <v>0.35143633752697023</v>
      </c>
      <c r="K4789" t="str">
        <f t="shared" si="74"/>
        <v>No</v>
      </c>
      <c r="L4789">
        <f>ABS((C4789-EDA!$F$15)/EDA!$G$15)</f>
        <v>0.73365788441791002</v>
      </c>
      <c r="M4789" t="str">
        <f>IF(moras[[#This Row],[Z-Score Salario]]&gt;1.96, "Sí", "No")</f>
        <v>No</v>
      </c>
      <c r="N4789" s="14">
        <f>IF(ISBLANK(moras[[#This Row],[SALARIO]]), EDA!$M$8, moras[[#This Row],[SALARIO]])</f>
        <v>66662548</v>
      </c>
      <c r="O4789" s="14">
        <f xml:space="preserve"> IF(ISBLANK(moras[[#This Row],[EDAD]]), EDA!$E$8, moras[[#This Row],[EDAD]])</f>
        <v>37</v>
      </c>
      <c r="P4789" s="14" t="str">
        <f>IF(
    OR(ISBLANK(moras[[#This Row],[TIPO_ASEGURAMIENTO]]), moras[[#This Row],[TIPO_ASEGURAMIENTO]]=""),
    EDA!$A$32,
    moras[[#This Row],[TIPO_ASEGURAMIENTO]]
)</f>
        <v>ASALARIADO</v>
      </c>
    </row>
    <row r="4790" spans="1:16" x14ac:dyDescent="0.3">
      <c r="A4790">
        <v>4789</v>
      </c>
      <c r="B4790" t="s">
        <v>9</v>
      </c>
      <c r="C4790">
        <v>10243131</v>
      </c>
      <c r="D4790" t="s">
        <v>10</v>
      </c>
      <c r="E4790" t="s">
        <v>16</v>
      </c>
      <c r="F4790" t="s">
        <v>12</v>
      </c>
      <c r="G4790" t="s">
        <v>13</v>
      </c>
      <c r="H4790" t="s">
        <v>13</v>
      </c>
      <c r="I4790">
        <v>26</v>
      </c>
      <c r="J4790">
        <f>ABS((I4790-EDA!$A$15)/EDA!$B$15)</f>
        <v>1.1277649683754829</v>
      </c>
      <c r="K4790" t="str">
        <f t="shared" si="74"/>
        <v>No</v>
      </c>
      <c r="L4790">
        <f>ABS((C4790-EDA!$F$15)/EDA!$G$15)</f>
        <v>0.20520104161670794</v>
      </c>
      <c r="M4790" t="str">
        <f>IF(moras[[#This Row],[Z-Score Salario]]&gt;1.96, "Sí", "No")</f>
        <v>No</v>
      </c>
      <c r="N4790" s="14">
        <f>IF(ISBLANK(moras[[#This Row],[SALARIO]]), EDA!$M$8, moras[[#This Row],[SALARIO]])</f>
        <v>10243131</v>
      </c>
      <c r="O4790" s="14">
        <f xml:space="preserve"> IF(ISBLANK(moras[[#This Row],[EDAD]]), EDA!$E$8, moras[[#This Row],[EDAD]])</f>
        <v>26</v>
      </c>
      <c r="P4790" s="14" t="str">
        <f>IF(
    OR(ISBLANK(moras[[#This Row],[TIPO_ASEGURAMIENTO]]), moras[[#This Row],[TIPO_ASEGURAMIENTO]]=""),
    EDA!$A$32,
    moras[[#This Row],[TIPO_ASEGURAMIENTO]]
)</f>
        <v>ASALARIADO</v>
      </c>
    </row>
    <row r="4791" spans="1:16" x14ac:dyDescent="0.3">
      <c r="A4791">
        <v>4790</v>
      </c>
      <c r="B4791" t="s">
        <v>9</v>
      </c>
      <c r="C4791">
        <v>375000</v>
      </c>
      <c r="D4791" t="s">
        <v>10</v>
      </c>
      <c r="E4791" t="s">
        <v>16</v>
      </c>
      <c r="F4791" t="s">
        <v>12</v>
      </c>
      <c r="G4791" t="s">
        <v>13</v>
      </c>
      <c r="H4791" t="s">
        <v>13</v>
      </c>
      <c r="I4791">
        <v>60</v>
      </c>
      <c r="J4791">
        <f>ABS((I4791-EDA!$A$15)/EDA!$B$15)</f>
        <v>1.2717962542471923</v>
      </c>
      <c r="K4791" t="str">
        <f t="shared" si="74"/>
        <v>No</v>
      </c>
      <c r="L4791">
        <f>ABS((C4791-EDA!$F$15)/EDA!$G$15)</f>
        <v>0.36941370749074415</v>
      </c>
      <c r="M4791" t="str">
        <f>IF(moras[[#This Row],[Z-Score Salario]]&gt;1.96, "Sí", "No")</f>
        <v>No</v>
      </c>
      <c r="N4791" s="14">
        <f>IF(ISBLANK(moras[[#This Row],[SALARIO]]), EDA!$M$8, moras[[#This Row],[SALARIO]])</f>
        <v>375000</v>
      </c>
      <c r="O4791" s="14">
        <f xml:space="preserve"> IF(ISBLANK(moras[[#This Row],[EDAD]]), EDA!$E$8, moras[[#This Row],[EDAD]])</f>
        <v>60</v>
      </c>
      <c r="P4791" s="14" t="str">
        <f>IF(
    OR(ISBLANK(moras[[#This Row],[TIPO_ASEGURAMIENTO]]), moras[[#This Row],[TIPO_ASEGURAMIENTO]]=""),
    EDA!$A$32,
    moras[[#This Row],[TIPO_ASEGURAMIENTO]]
)</f>
        <v>ASALARIADO</v>
      </c>
    </row>
    <row r="4792" spans="1:16" x14ac:dyDescent="0.3">
      <c r="A4792">
        <v>4791</v>
      </c>
      <c r="B4792" t="s">
        <v>9</v>
      </c>
      <c r="C4792">
        <v>445567</v>
      </c>
      <c r="D4792" t="s">
        <v>17</v>
      </c>
      <c r="E4792" t="s">
        <v>16</v>
      </c>
      <c r="F4792" t="s">
        <v>12</v>
      </c>
      <c r="G4792" t="s">
        <v>13</v>
      </c>
      <c r="H4792" t="s">
        <v>13</v>
      </c>
      <c r="I4792">
        <v>54</v>
      </c>
      <c r="J4792">
        <f>ABS((I4792-EDA!$A$15)/EDA!$B$15)</f>
        <v>0.84834427378436728</v>
      </c>
      <c r="K4792" t="str">
        <f t="shared" si="74"/>
        <v>No</v>
      </c>
      <c r="L4792">
        <f>ABS((C4792-EDA!$F$15)/EDA!$G$15)</f>
        <v>0.36823942279663813</v>
      </c>
      <c r="M4792" t="str">
        <f>IF(moras[[#This Row],[Z-Score Salario]]&gt;1.96, "Sí", "No")</f>
        <v>No</v>
      </c>
      <c r="N4792" s="14">
        <f>IF(ISBLANK(moras[[#This Row],[SALARIO]]), EDA!$M$8, moras[[#This Row],[SALARIO]])</f>
        <v>445567</v>
      </c>
      <c r="O4792" s="14">
        <f xml:space="preserve"> IF(ISBLANK(moras[[#This Row],[EDAD]]), EDA!$E$8, moras[[#This Row],[EDAD]])</f>
        <v>54</v>
      </c>
      <c r="P4792" s="14" t="str">
        <f>IF(
    OR(ISBLANK(moras[[#This Row],[TIPO_ASEGURAMIENTO]]), moras[[#This Row],[TIPO_ASEGURAMIENTO]]=""),
    EDA!$A$32,
    moras[[#This Row],[TIPO_ASEGURAMIENTO]]
)</f>
        <v>ASEGURADO VOLUNTARIO</v>
      </c>
    </row>
    <row r="4793" spans="1:16" x14ac:dyDescent="0.3">
      <c r="A4793">
        <v>4792</v>
      </c>
      <c r="B4793" t="s">
        <v>9</v>
      </c>
      <c r="C4793">
        <v>297139</v>
      </c>
      <c r="D4793" t="s">
        <v>17</v>
      </c>
      <c r="E4793" t="s">
        <v>16</v>
      </c>
      <c r="F4793" t="s">
        <v>12</v>
      </c>
      <c r="G4793" t="s">
        <v>13</v>
      </c>
      <c r="H4793" t="s">
        <v>13</v>
      </c>
      <c r="I4793">
        <v>56</v>
      </c>
      <c r="J4793">
        <f>ABS((I4793-EDA!$A$15)/EDA!$B$15)</f>
        <v>0.9894949339386423</v>
      </c>
      <c r="K4793" t="str">
        <f t="shared" si="74"/>
        <v>No</v>
      </c>
      <c r="L4793">
        <f>ABS((C4793-EDA!$F$15)/EDA!$G$15)</f>
        <v>0.37070936949377375</v>
      </c>
      <c r="M4793" t="str">
        <f>IF(moras[[#This Row],[Z-Score Salario]]&gt;1.96, "Sí", "No")</f>
        <v>No</v>
      </c>
      <c r="N4793" s="14">
        <f>IF(ISBLANK(moras[[#This Row],[SALARIO]]), EDA!$M$8, moras[[#This Row],[SALARIO]])</f>
        <v>297139</v>
      </c>
      <c r="O4793" s="14">
        <f xml:space="preserve"> IF(ISBLANK(moras[[#This Row],[EDAD]]), EDA!$E$8, moras[[#This Row],[EDAD]])</f>
        <v>56</v>
      </c>
      <c r="P4793" s="14" t="str">
        <f>IF(
    OR(ISBLANK(moras[[#This Row],[TIPO_ASEGURAMIENTO]]), moras[[#This Row],[TIPO_ASEGURAMIENTO]]=""),
    EDA!$A$32,
    moras[[#This Row],[TIPO_ASEGURAMIENTO]]
)</f>
        <v>ASEGURADO VOLUNTARIO</v>
      </c>
    </row>
    <row r="4794" spans="1:16" x14ac:dyDescent="0.3">
      <c r="A4794">
        <v>4793</v>
      </c>
      <c r="B4794" t="s">
        <v>9</v>
      </c>
      <c r="C4794">
        <v>2250000</v>
      </c>
      <c r="D4794" t="s">
        <v>10</v>
      </c>
      <c r="E4794" t="s">
        <v>16</v>
      </c>
      <c r="F4794" t="s">
        <v>12</v>
      </c>
      <c r="G4794" t="s">
        <v>13</v>
      </c>
      <c r="H4794" t="s">
        <v>13</v>
      </c>
      <c r="I4794">
        <v>54</v>
      </c>
      <c r="J4794">
        <f>ABS((I4794-EDA!$A$15)/EDA!$B$15)</f>
        <v>0.84834427378436728</v>
      </c>
      <c r="K4794" t="str">
        <f t="shared" si="74"/>
        <v>No</v>
      </c>
      <c r="L4794">
        <f>ABS((C4794-EDA!$F$15)/EDA!$G$15)</f>
        <v>0.33821238390537445</v>
      </c>
      <c r="M4794" t="str">
        <f>IF(moras[[#This Row],[Z-Score Salario]]&gt;1.96, "Sí", "No")</f>
        <v>No</v>
      </c>
      <c r="N4794" s="14">
        <f>IF(ISBLANK(moras[[#This Row],[SALARIO]]), EDA!$M$8, moras[[#This Row],[SALARIO]])</f>
        <v>2250000</v>
      </c>
      <c r="O4794" s="14">
        <f xml:space="preserve"> IF(ISBLANK(moras[[#This Row],[EDAD]]), EDA!$E$8, moras[[#This Row],[EDAD]])</f>
        <v>54</v>
      </c>
      <c r="P4794" s="14" t="str">
        <f>IF(
    OR(ISBLANK(moras[[#This Row],[TIPO_ASEGURAMIENTO]]), moras[[#This Row],[TIPO_ASEGURAMIENTO]]=""),
    EDA!$A$32,
    moras[[#This Row],[TIPO_ASEGURAMIENTO]]
)</f>
        <v>ASALARIADO</v>
      </c>
    </row>
    <row r="4795" spans="1:16" x14ac:dyDescent="0.3">
      <c r="A4795">
        <v>4794</v>
      </c>
      <c r="B4795" t="s">
        <v>9</v>
      </c>
      <c r="C4795">
        <v>53461965</v>
      </c>
      <c r="D4795" t="s">
        <v>10</v>
      </c>
      <c r="E4795" t="s">
        <v>16</v>
      </c>
      <c r="F4795" t="s">
        <v>12</v>
      </c>
      <c r="G4795" t="s">
        <v>13</v>
      </c>
      <c r="H4795" t="s">
        <v>13</v>
      </c>
      <c r="I4795">
        <v>25</v>
      </c>
      <c r="J4795">
        <f>ABS((I4795-EDA!$A$15)/EDA!$B$15)</f>
        <v>1.1983402984526204</v>
      </c>
      <c r="K4795" t="str">
        <f t="shared" si="74"/>
        <v>No</v>
      </c>
      <c r="L4795">
        <f>ABS((C4795-EDA!$F$15)/EDA!$G$15)</f>
        <v>0.5139908648453605</v>
      </c>
      <c r="M4795" t="str">
        <f>IF(moras[[#This Row],[Z-Score Salario]]&gt;1.96, "Sí", "No")</f>
        <v>No</v>
      </c>
      <c r="N4795" s="14">
        <f>IF(ISBLANK(moras[[#This Row],[SALARIO]]), EDA!$M$8, moras[[#This Row],[SALARIO]])</f>
        <v>53461965</v>
      </c>
      <c r="O4795" s="14">
        <f xml:space="preserve"> IF(ISBLANK(moras[[#This Row],[EDAD]]), EDA!$E$8, moras[[#This Row],[EDAD]])</f>
        <v>25</v>
      </c>
      <c r="P4795" s="14" t="str">
        <f>IF(
    OR(ISBLANK(moras[[#This Row],[TIPO_ASEGURAMIENTO]]), moras[[#This Row],[TIPO_ASEGURAMIENTO]]=""),
    EDA!$A$32,
    moras[[#This Row],[TIPO_ASEGURAMIENTO]]
)</f>
        <v>ASALARIADO</v>
      </c>
    </row>
    <row r="4796" spans="1:16" x14ac:dyDescent="0.3">
      <c r="A4796">
        <v>4795</v>
      </c>
      <c r="B4796" t="s">
        <v>9</v>
      </c>
      <c r="C4796">
        <v>408532</v>
      </c>
      <c r="D4796" t="s">
        <v>10</v>
      </c>
      <c r="E4796" t="s">
        <v>16</v>
      </c>
      <c r="F4796" t="s">
        <v>12</v>
      </c>
      <c r="G4796" t="s">
        <v>13</v>
      </c>
      <c r="H4796" t="s">
        <v>13</v>
      </c>
      <c r="I4796">
        <v>29</v>
      </c>
      <c r="J4796">
        <f>ABS((I4796-EDA!$A$15)/EDA!$B$15)</f>
        <v>0.91603897814407031</v>
      </c>
      <c r="K4796" t="str">
        <f t="shared" si="74"/>
        <v>No</v>
      </c>
      <c r="L4796">
        <f>ABS((C4796-EDA!$F$15)/EDA!$G$15)</f>
        <v>0.36885571134009637</v>
      </c>
      <c r="M4796" t="str">
        <f>IF(moras[[#This Row],[Z-Score Salario]]&gt;1.96, "Sí", "No")</f>
        <v>No</v>
      </c>
      <c r="N4796" s="14">
        <f>IF(ISBLANK(moras[[#This Row],[SALARIO]]), EDA!$M$8, moras[[#This Row],[SALARIO]])</f>
        <v>408532</v>
      </c>
      <c r="O4796" s="14">
        <f xml:space="preserve"> IF(ISBLANK(moras[[#This Row],[EDAD]]), EDA!$E$8, moras[[#This Row],[EDAD]])</f>
        <v>29</v>
      </c>
      <c r="P4796" s="14" t="str">
        <f>IF(
    OR(ISBLANK(moras[[#This Row],[TIPO_ASEGURAMIENTO]]), moras[[#This Row],[TIPO_ASEGURAMIENTO]]=""),
    EDA!$A$32,
    moras[[#This Row],[TIPO_ASEGURAMIENTO]]
)</f>
        <v>ASALARIADO</v>
      </c>
    </row>
    <row r="4797" spans="1:16" x14ac:dyDescent="0.3">
      <c r="A4797">
        <v>4796</v>
      </c>
      <c r="B4797" t="s">
        <v>15</v>
      </c>
      <c r="C4797">
        <v>308439</v>
      </c>
      <c r="D4797" t="s">
        <v>17</v>
      </c>
      <c r="E4797" t="s">
        <v>16</v>
      </c>
      <c r="F4797" t="s">
        <v>12</v>
      </c>
      <c r="G4797" t="s">
        <v>13</v>
      </c>
      <c r="H4797" t="s">
        <v>13</v>
      </c>
      <c r="I4797">
        <v>31</v>
      </c>
      <c r="J4797">
        <f>ABS((I4797-EDA!$A$15)/EDA!$B$15)</f>
        <v>0.77488831798979529</v>
      </c>
      <c r="K4797" t="str">
        <f t="shared" si="74"/>
        <v>No</v>
      </c>
      <c r="L4797">
        <f>ABS((C4797-EDA!$F$15)/EDA!$G$15)</f>
        <v>0.37052132951696592</v>
      </c>
      <c r="M4797" t="str">
        <f>IF(moras[[#This Row],[Z-Score Salario]]&gt;1.96, "Sí", "No")</f>
        <v>No</v>
      </c>
      <c r="N4797" s="14">
        <f>IF(ISBLANK(moras[[#This Row],[SALARIO]]), EDA!$M$8, moras[[#This Row],[SALARIO]])</f>
        <v>308439</v>
      </c>
      <c r="O4797" s="14">
        <f xml:space="preserve"> IF(ISBLANK(moras[[#This Row],[EDAD]]), EDA!$E$8, moras[[#This Row],[EDAD]])</f>
        <v>31</v>
      </c>
      <c r="P4797" s="14" t="str">
        <f>IF(
    OR(ISBLANK(moras[[#This Row],[TIPO_ASEGURAMIENTO]]), moras[[#This Row],[TIPO_ASEGURAMIENTO]]=""),
    EDA!$A$32,
    moras[[#This Row],[TIPO_ASEGURAMIENTO]]
)</f>
        <v>ASEGURADO VOLUNTARIO</v>
      </c>
    </row>
    <row r="4798" spans="1:16" x14ac:dyDescent="0.3">
      <c r="A4798">
        <v>4797</v>
      </c>
      <c r="B4798" t="s">
        <v>9</v>
      </c>
      <c r="C4798">
        <v>489279</v>
      </c>
      <c r="D4798" t="s">
        <v>10</v>
      </c>
      <c r="E4798" t="s">
        <v>16</v>
      </c>
      <c r="F4798" t="s">
        <v>12</v>
      </c>
      <c r="G4798" t="s">
        <v>13</v>
      </c>
      <c r="H4798" t="s">
        <v>13</v>
      </c>
      <c r="I4798">
        <v>49</v>
      </c>
      <c r="J4798">
        <f>ABS((I4798-EDA!$A$15)/EDA!$B$15)</f>
        <v>0.49546762339867978</v>
      </c>
      <c r="K4798" t="str">
        <f t="shared" si="74"/>
        <v>No</v>
      </c>
      <c r="L4798">
        <f>ABS((C4798-EDA!$F$15)/EDA!$G$15)</f>
        <v>0.36751202425980417</v>
      </c>
      <c r="M4798" t="str">
        <f>IF(moras[[#This Row],[Z-Score Salario]]&gt;1.96, "Sí", "No")</f>
        <v>No</v>
      </c>
      <c r="N4798" s="14">
        <f>IF(ISBLANK(moras[[#This Row],[SALARIO]]), EDA!$M$8, moras[[#This Row],[SALARIO]])</f>
        <v>489279</v>
      </c>
      <c r="O4798" s="14">
        <f xml:space="preserve"> IF(ISBLANK(moras[[#This Row],[EDAD]]), EDA!$E$8, moras[[#This Row],[EDAD]])</f>
        <v>49</v>
      </c>
      <c r="P4798" s="14" t="str">
        <f>IF(
    OR(ISBLANK(moras[[#This Row],[TIPO_ASEGURAMIENTO]]), moras[[#This Row],[TIPO_ASEGURAMIENTO]]=""),
    EDA!$A$32,
    moras[[#This Row],[TIPO_ASEGURAMIENTO]]
)</f>
        <v>ASALARIADO</v>
      </c>
    </row>
    <row r="4799" spans="1:16" x14ac:dyDescent="0.3">
      <c r="A4799">
        <v>4798</v>
      </c>
      <c r="B4799" t="s">
        <v>15</v>
      </c>
      <c r="C4799">
        <v>56667</v>
      </c>
      <c r="D4799" t="s">
        <v>10</v>
      </c>
      <c r="E4799" t="s">
        <v>16</v>
      </c>
      <c r="F4799" t="s">
        <v>12</v>
      </c>
      <c r="G4799" t="s">
        <v>13</v>
      </c>
      <c r="H4799" t="s">
        <v>13</v>
      </c>
      <c r="I4799">
        <v>28</v>
      </c>
      <c r="J4799">
        <f>ABS((I4799-EDA!$A$15)/EDA!$B$15)</f>
        <v>0.98661430822120777</v>
      </c>
      <c r="K4799" t="str">
        <f t="shared" si="74"/>
        <v>No</v>
      </c>
      <c r="L4799">
        <f>ABS((C4799-EDA!$F$15)/EDA!$G$15)</f>
        <v>0.37471099332589164</v>
      </c>
      <c r="M4799" t="str">
        <f>IF(moras[[#This Row],[Z-Score Salario]]&gt;1.96, "Sí", "No")</f>
        <v>No</v>
      </c>
      <c r="N4799" s="14">
        <f>IF(ISBLANK(moras[[#This Row],[SALARIO]]), EDA!$M$8, moras[[#This Row],[SALARIO]])</f>
        <v>56667</v>
      </c>
      <c r="O4799" s="14">
        <f xml:space="preserve"> IF(ISBLANK(moras[[#This Row],[EDAD]]), EDA!$E$8, moras[[#This Row],[EDAD]])</f>
        <v>28</v>
      </c>
      <c r="P4799" s="14" t="str">
        <f>IF(
    OR(ISBLANK(moras[[#This Row],[TIPO_ASEGURAMIENTO]]), moras[[#This Row],[TIPO_ASEGURAMIENTO]]=""),
    EDA!$A$32,
    moras[[#This Row],[TIPO_ASEGURAMIENTO]]
)</f>
        <v>ASALARIADO</v>
      </c>
    </row>
    <row r="4800" spans="1:16" x14ac:dyDescent="0.3">
      <c r="A4800">
        <v>4799</v>
      </c>
      <c r="B4800" t="s">
        <v>15</v>
      </c>
      <c r="C4800">
        <v>297045</v>
      </c>
      <c r="D4800" t="s">
        <v>18</v>
      </c>
      <c r="E4800" t="s">
        <v>16</v>
      </c>
      <c r="F4800" t="s">
        <v>12</v>
      </c>
      <c r="G4800" t="s">
        <v>13</v>
      </c>
      <c r="H4800" t="s">
        <v>12</v>
      </c>
      <c r="I4800">
        <v>50</v>
      </c>
      <c r="J4800">
        <f>ABS((I4800-EDA!$A$15)/EDA!$B$15)</f>
        <v>0.56604295347581735</v>
      </c>
      <c r="K4800" t="str">
        <f t="shared" si="74"/>
        <v>No</v>
      </c>
      <c r="L4800">
        <f>ABS((C4800-EDA!$F$15)/EDA!$G$15)</f>
        <v>0.37071093372012948</v>
      </c>
      <c r="M4800" t="str">
        <f>IF(moras[[#This Row],[Z-Score Salario]]&gt;1.96, "Sí", "No")</f>
        <v>No</v>
      </c>
      <c r="N4800" s="14">
        <f>IF(ISBLANK(moras[[#This Row],[SALARIO]]), EDA!$M$8, moras[[#This Row],[SALARIO]])</f>
        <v>297045</v>
      </c>
      <c r="O4800" s="14">
        <f xml:space="preserve"> IF(ISBLANK(moras[[#This Row],[EDAD]]), EDA!$E$8, moras[[#This Row],[EDAD]])</f>
        <v>50</v>
      </c>
      <c r="P4800" s="14" t="str">
        <f>IF(
    OR(ISBLANK(moras[[#This Row],[TIPO_ASEGURAMIENTO]]), moras[[#This Row],[TIPO_ASEGURAMIENTO]]=""),
    EDA!$A$32,
    moras[[#This Row],[TIPO_ASEGURAMIENTO]]
)</f>
        <v>TRABAJADOR INDEPENDIENTE</v>
      </c>
    </row>
    <row r="4801" spans="1:16" x14ac:dyDescent="0.3">
      <c r="A4801">
        <v>4800</v>
      </c>
      <c r="B4801" t="s">
        <v>15</v>
      </c>
      <c r="C4801">
        <v>278030</v>
      </c>
      <c r="D4801" t="s">
        <v>19</v>
      </c>
      <c r="E4801" t="s">
        <v>16</v>
      </c>
      <c r="F4801" t="s">
        <v>12</v>
      </c>
      <c r="G4801" t="s">
        <v>13</v>
      </c>
      <c r="H4801" t="s">
        <v>13</v>
      </c>
      <c r="I4801">
        <v>55</v>
      </c>
      <c r="J4801">
        <f>ABS((I4801-EDA!$A$15)/EDA!$B$15)</f>
        <v>0.91891960386150484</v>
      </c>
      <c r="K4801" t="str">
        <f t="shared" si="74"/>
        <v>No</v>
      </c>
      <c r="L4801">
        <f>ABS((C4801-EDA!$F$15)/EDA!$G$15)</f>
        <v>0.37102735674304993</v>
      </c>
      <c r="M4801" t="str">
        <f>IF(moras[[#This Row],[Z-Score Salario]]&gt;1.96, "Sí", "No")</f>
        <v>No</v>
      </c>
      <c r="N4801" s="14">
        <f>IF(ISBLANK(moras[[#This Row],[SALARIO]]), EDA!$M$8, moras[[#This Row],[SALARIO]])</f>
        <v>278030</v>
      </c>
      <c r="O4801" s="14">
        <f xml:space="preserve"> IF(ISBLANK(moras[[#This Row],[EDAD]]), EDA!$E$8, moras[[#This Row],[EDAD]])</f>
        <v>55</v>
      </c>
      <c r="P4801" s="14" t="str">
        <f>IF(
    OR(ISBLANK(moras[[#This Row],[TIPO_ASEGURAMIENTO]]), moras[[#This Row],[TIPO_ASEGURAMIENTO]]=""),
    EDA!$A$32,
    moras[[#This Row],[TIPO_ASEGURAMIENTO]]
)</f>
        <v>CONVENIOS ESPECIALES DE TRABAJADORES INDEPENDIENTES</v>
      </c>
    </row>
    <row r="4802" spans="1:16" x14ac:dyDescent="0.3">
      <c r="A4802">
        <v>4801</v>
      </c>
      <c r="B4802" t="s">
        <v>15</v>
      </c>
      <c r="C4802">
        <v>468369</v>
      </c>
      <c r="D4802" t="s">
        <v>10</v>
      </c>
      <c r="E4802" t="s">
        <v>16</v>
      </c>
      <c r="F4802" t="s">
        <v>12</v>
      </c>
      <c r="G4802" t="s">
        <v>13</v>
      </c>
      <c r="H4802" t="s">
        <v>13</v>
      </c>
      <c r="I4802">
        <v>30</v>
      </c>
      <c r="J4802">
        <f>ABS((I4802-EDA!$A$15)/EDA!$B$15)</f>
        <v>0.84546364806693275</v>
      </c>
      <c r="K4802" t="str">
        <f t="shared" ref="K4802:K4865" si="75">IF(J4802 &gt;  1.96, "Sí","No")</f>
        <v>No</v>
      </c>
      <c r="L4802">
        <f>ABS((C4802-EDA!$F$15)/EDA!$G$15)</f>
        <v>0.36785998142042825</v>
      </c>
      <c r="M4802" t="str">
        <f>IF(moras[[#This Row],[Z-Score Salario]]&gt;1.96, "Sí", "No")</f>
        <v>No</v>
      </c>
      <c r="N4802" s="14">
        <f>IF(ISBLANK(moras[[#This Row],[SALARIO]]), EDA!$M$8, moras[[#This Row],[SALARIO]])</f>
        <v>468369</v>
      </c>
      <c r="O4802" s="14">
        <f xml:space="preserve"> IF(ISBLANK(moras[[#This Row],[EDAD]]), EDA!$E$8, moras[[#This Row],[EDAD]])</f>
        <v>30</v>
      </c>
      <c r="P4802" s="14" t="str">
        <f>IF(
    OR(ISBLANK(moras[[#This Row],[TIPO_ASEGURAMIENTO]]), moras[[#This Row],[TIPO_ASEGURAMIENTO]]=""),
    EDA!$A$32,
    moras[[#This Row],[TIPO_ASEGURAMIENTO]]
)</f>
        <v>ASALARIADO</v>
      </c>
    </row>
    <row r="4803" spans="1:16" x14ac:dyDescent="0.3">
      <c r="A4803">
        <v>4802</v>
      </c>
      <c r="B4803" t="s">
        <v>15</v>
      </c>
      <c r="C4803">
        <v>55927095</v>
      </c>
      <c r="D4803" t="s">
        <v>10</v>
      </c>
      <c r="E4803" t="s">
        <v>16</v>
      </c>
      <c r="F4803" t="s">
        <v>12</v>
      </c>
      <c r="G4803" t="s">
        <v>13</v>
      </c>
      <c r="H4803" t="s">
        <v>13</v>
      </c>
      <c r="I4803">
        <v>30</v>
      </c>
      <c r="J4803">
        <f>ABS((I4803-EDA!$A$15)/EDA!$B$15)</f>
        <v>0.84546364806693275</v>
      </c>
      <c r="K4803" t="str">
        <f t="shared" si="75"/>
        <v>No</v>
      </c>
      <c r="L4803">
        <f>ABS((C4803-EDA!$F$15)/EDA!$G$15)</f>
        <v>0.55501236821069511</v>
      </c>
      <c r="M4803" t="str">
        <f>IF(moras[[#This Row],[Z-Score Salario]]&gt;1.96, "Sí", "No")</f>
        <v>No</v>
      </c>
      <c r="N4803" s="14">
        <f>IF(ISBLANK(moras[[#This Row],[SALARIO]]), EDA!$M$8, moras[[#This Row],[SALARIO]])</f>
        <v>55927095</v>
      </c>
      <c r="O4803" s="14">
        <f xml:space="preserve"> IF(ISBLANK(moras[[#This Row],[EDAD]]), EDA!$E$8, moras[[#This Row],[EDAD]])</f>
        <v>30</v>
      </c>
      <c r="P4803" s="14" t="str">
        <f>IF(
    OR(ISBLANK(moras[[#This Row],[TIPO_ASEGURAMIENTO]]), moras[[#This Row],[TIPO_ASEGURAMIENTO]]=""),
    EDA!$A$32,
    moras[[#This Row],[TIPO_ASEGURAMIENTO]]
)</f>
        <v>ASALARIADO</v>
      </c>
    </row>
    <row r="4804" spans="1:16" x14ac:dyDescent="0.3">
      <c r="A4804">
        <v>4803</v>
      </c>
      <c r="B4804" t="s">
        <v>9</v>
      </c>
      <c r="C4804">
        <v>352855</v>
      </c>
      <c r="D4804" t="s">
        <v>10</v>
      </c>
      <c r="E4804" t="s">
        <v>16</v>
      </c>
      <c r="F4804" t="s">
        <v>12</v>
      </c>
      <c r="G4804" t="s">
        <v>13</v>
      </c>
      <c r="H4804" t="s">
        <v>13</v>
      </c>
      <c r="I4804">
        <v>35</v>
      </c>
      <c r="J4804">
        <f>ABS((I4804-EDA!$A$15)/EDA!$B$15)</f>
        <v>0.49258699768124525</v>
      </c>
      <c r="K4804" t="str">
        <f t="shared" si="75"/>
        <v>No</v>
      </c>
      <c r="L4804">
        <f>ABS((C4804-EDA!$F$15)/EDA!$G$15)</f>
        <v>0.36978221592316979</v>
      </c>
      <c r="M4804" t="str">
        <f>IF(moras[[#This Row],[Z-Score Salario]]&gt;1.96, "Sí", "No")</f>
        <v>No</v>
      </c>
      <c r="N4804" s="14">
        <f>IF(ISBLANK(moras[[#This Row],[SALARIO]]), EDA!$M$8, moras[[#This Row],[SALARIO]])</f>
        <v>352855</v>
      </c>
      <c r="O4804" s="14">
        <f xml:space="preserve"> IF(ISBLANK(moras[[#This Row],[EDAD]]), EDA!$E$8, moras[[#This Row],[EDAD]])</f>
        <v>35</v>
      </c>
      <c r="P4804" s="14" t="str">
        <f>IF(
    OR(ISBLANK(moras[[#This Row],[TIPO_ASEGURAMIENTO]]), moras[[#This Row],[TIPO_ASEGURAMIENTO]]=""),
    EDA!$A$32,
    moras[[#This Row],[TIPO_ASEGURAMIENTO]]
)</f>
        <v>ASALARIADO</v>
      </c>
    </row>
    <row r="4805" spans="1:16" x14ac:dyDescent="0.3">
      <c r="A4805">
        <v>4804</v>
      </c>
      <c r="B4805" t="s">
        <v>9</v>
      </c>
      <c r="C4805">
        <v>68548306</v>
      </c>
      <c r="D4805" t="s">
        <v>10</v>
      </c>
      <c r="E4805" t="s">
        <v>11</v>
      </c>
      <c r="F4805" t="s">
        <v>12</v>
      </c>
      <c r="G4805" t="s">
        <v>13</v>
      </c>
      <c r="H4805" t="s">
        <v>13</v>
      </c>
      <c r="I4805">
        <v>41</v>
      </c>
      <c r="J4805">
        <f>ABS((I4805-EDA!$A$15)/EDA!$B$15)</f>
        <v>6.9135017218420233E-2</v>
      </c>
      <c r="K4805" t="str">
        <f t="shared" si="75"/>
        <v>No</v>
      </c>
      <c r="L4805">
        <f>ABS((C4805-EDA!$F$15)/EDA!$G$15)</f>
        <v>0.76503822871748317</v>
      </c>
      <c r="M4805" t="str">
        <f>IF(moras[[#This Row],[Z-Score Salario]]&gt;1.96, "Sí", "No")</f>
        <v>No</v>
      </c>
      <c r="N4805" s="14">
        <f>IF(ISBLANK(moras[[#This Row],[SALARIO]]), EDA!$M$8, moras[[#This Row],[SALARIO]])</f>
        <v>68548306</v>
      </c>
      <c r="O4805" s="14">
        <f xml:space="preserve"> IF(ISBLANK(moras[[#This Row],[EDAD]]), EDA!$E$8, moras[[#This Row],[EDAD]])</f>
        <v>41</v>
      </c>
      <c r="P4805" s="14" t="str">
        <f>IF(
    OR(ISBLANK(moras[[#This Row],[TIPO_ASEGURAMIENTO]]), moras[[#This Row],[TIPO_ASEGURAMIENTO]]=""),
    EDA!$A$32,
    moras[[#This Row],[TIPO_ASEGURAMIENTO]]
)</f>
        <v>ASALARIADO</v>
      </c>
    </row>
    <row r="4806" spans="1:16" x14ac:dyDescent="0.3">
      <c r="A4806">
        <v>4805</v>
      </c>
      <c r="B4806" t="s">
        <v>9</v>
      </c>
      <c r="C4806">
        <v>10554283</v>
      </c>
      <c r="D4806" t="s">
        <v>14</v>
      </c>
      <c r="E4806" t="s">
        <v>11</v>
      </c>
      <c r="F4806" t="s">
        <v>12</v>
      </c>
      <c r="G4806" t="s">
        <v>13</v>
      </c>
      <c r="H4806" t="s">
        <v>13</v>
      </c>
      <c r="I4806">
        <v>69</v>
      </c>
      <c r="J4806">
        <f>ABS((I4806-EDA!$A$15)/EDA!$B$15)</f>
        <v>1.9069742249414299</v>
      </c>
      <c r="K4806" t="str">
        <f t="shared" si="75"/>
        <v>No</v>
      </c>
      <c r="L4806">
        <f>ABS((C4806-EDA!$F$15)/EDA!$G$15)</f>
        <v>0.20002325269071594</v>
      </c>
      <c r="M4806" t="str">
        <f>IF(moras[[#This Row],[Z-Score Salario]]&gt;1.96, "Sí", "No")</f>
        <v>No</v>
      </c>
      <c r="N4806" s="14">
        <f>IF(ISBLANK(moras[[#This Row],[SALARIO]]), EDA!$M$8, moras[[#This Row],[SALARIO]])</f>
        <v>10554283</v>
      </c>
      <c r="O4806" s="14">
        <f xml:space="preserve"> IF(ISBLANK(moras[[#This Row],[EDAD]]), EDA!$E$8, moras[[#This Row],[EDAD]])</f>
        <v>69</v>
      </c>
      <c r="P4806" s="14" t="str">
        <f>IF(
    OR(ISBLANK(moras[[#This Row],[TIPO_ASEGURAMIENTO]]), moras[[#This Row],[TIPO_ASEGURAMIENTO]]=""),
    EDA!$A$32,
    moras[[#This Row],[TIPO_ASEGURAMIENTO]]
)</f>
        <v>PENSIONADOS EN SU PROPIO SISTEMA</v>
      </c>
    </row>
    <row r="4807" spans="1:16" x14ac:dyDescent="0.3">
      <c r="A4807">
        <v>4806</v>
      </c>
      <c r="B4807" t="s">
        <v>9</v>
      </c>
      <c r="C4807">
        <v>639148</v>
      </c>
      <c r="D4807" t="s">
        <v>18</v>
      </c>
      <c r="E4807" t="s">
        <v>16</v>
      </c>
      <c r="F4807" t="s">
        <v>12</v>
      </c>
      <c r="G4807" t="s">
        <v>13</v>
      </c>
      <c r="H4807" t="s">
        <v>13</v>
      </c>
      <c r="I4807">
        <v>64</v>
      </c>
      <c r="J4807">
        <f>ABS((I4807-EDA!$A$15)/EDA!$B$15)</f>
        <v>1.5540975745557424</v>
      </c>
      <c r="K4807" t="str">
        <f t="shared" si="75"/>
        <v>No</v>
      </c>
      <c r="L4807">
        <f>ABS((C4807-EDA!$F$15)/EDA!$G$15)</f>
        <v>0.36501809830544912</v>
      </c>
      <c r="M4807" t="str">
        <f>IF(moras[[#This Row],[Z-Score Salario]]&gt;1.96, "Sí", "No")</f>
        <v>No</v>
      </c>
      <c r="N4807" s="14">
        <f>IF(ISBLANK(moras[[#This Row],[SALARIO]]), EDA!$M$8, moras[[#This Row],[SALARIO]])</f>
        <v>639148</v>
      </c>
      <c r="O4807" s="14">
        <f xml:space="preserve"> IF(ISBLANK(moras[[#This Row],[EDAD]]), EDA!$E$8, moras[[#This Row],[EDAD]])</f>
        <v>64</v>
      </c>
      <c r="P4807" s="14" t="str">
        <f>IF(
    OR(ISBLANK(moras[[#This Row],[TIPO_ASEGURAMIENTO]]), moras[[#This Row],[TIPO_ASEGURAMIENTO]]=""),
    EDA!$A$32,
    moras[[#This Row],[TIPO_ASEGURAMIENTO]]
)</f>
        <v>TRABAJADOR INDEPENDIENTE</v>
      </c>
    </row>
    <row r="4808" spans="1:16" x14ac:dyDescent="0.3">
      <c r="A4808">
        <v>4807</v>
      </c>
      <c r="B4808" t="s">
        <v>9</v>
      </c>
      <c r="C4808">
        <v>80000</v>
      </c>
      <c r="D4808" t="s">
        <v>10</v>
      </c>
      <c r="E4808" t="s">
        <v>16</v>
      </c>
      <c r="F4808" t="s">
        <v>12</v>
      </c>
      <c r="G4808" t="s">
        <v>12</v>
      </c>
      <c r="H4808" t="s">
        <v>13</v>
      </c>
      <c r="I4808">
        <v>44</v>
      </c>
      <c r="J4808">
        <f>ABS((I4808-EDA!$A$15)/EDA!$B$15)</f>
        <v>0.14259097301299228</v>
      </c>
      <c r="K4808" t="str">
        <f t="shared" si="75"/>
        <v>No</v>
      </c>
      <c r="L4808">
        <f>ABS((C4808-EDA!$F$15)/EDA!$G$15)</f>
        <v>0.37432271573484233</v>
      </c>
      <c r="M4808" t="str">
        <f>IF(moras[[#This Row],[Z-Score Salario]]&gt;1.96, "Sí", "No")</f>
        <v>No</v>
      </c>
      <c r="N4808" s="14">
        <f>IF(ISBLANK(moras[[#This Row],[SALARIO]]), EDA!$M$8, moras[[#This Row],[SALARIO]])</f>
        <v>80000</v>
      </c>
      <c r="O4808" s="14">
        <f xml:space="preserve"> IF(ISBLANK(moras[[#This Row],[EDAD]]), EDA!$E$8, moras[[#This Row],[EDAD]])</f>
        <v>44</v>
      </c>
      <c r="P4808" s="14" t="str">
        <f>IF(
    OR(ISBLANK(moras[[#This Row],[TIPO_ASEGURAMIENTO]]), moras[[#This Row],[TIPO_ASEGURAMIENTO]]=""),
    EDA!$A$32,
    moras[[#This Row],[TIPO_ASEGURAMIENTO]]
)</f>
        <v>ASALARIADO</v>
      </c>
    </row>
    <row r="4809" spans="1:16" x14ac:dyDescent="0.3">
      <c r="A4809">
        <v>4808</v>
      </c>
      <c r="B4809" t="s">
        <v>9</v>
      </c>
      <c r="C4809">
        <v>2624502</v>
      </c>
      <c r="D4809" t="s">
        <v>10</v>
      </c>
      <c r="E4809" t="s">
        <v>16</v>
      </c>
      <c r="F4809" t="s">
        <v>12</v>
      </c>
      <c r="G4809" t="s">
        <v>13</v>
      </c>
      <c r="H4809" t="s">
        <v>13</v>
      </c>
      <c r="I4809">
        <v>49</v>
      </c>
      <c r="J4809">
        <f>ABS((I4809-EDA!$A$15)/EDA!$B$15)</f>
        <v>0.49546762339867978</v>
      </c>
      <c r="K4809" t="str">
        <f t="shared" si="75"/>
        <v>No</v>
      </c>
      <c r="L4809">
        <f>ABS((C4809-EDA!$F$15)/EDA!$G$15)</f>
        <v>0.33198040625984476</v>
      </c>
      <c r="M4809" t="str">
        <f>IF(moras[[#This Row],[Z-Score Salario]]&gt;1.96, "Sí", "No")</f>
        <v>No</v>
      </c>
      <c r="N4809" s="14">
        <f>IF(ISBLANK(moras[[#This Row],[SALARIO]]), EDA!$M$8, moras[[#This Row],[SALARIO]])</f>
        <v>2624502</v>
      </c>
      <c r="O4809" s="14">
        <f xml:space="preserve"> IF(ISBLANK(moras[[#This Row],[EDAD]]), EDA!$E$8, moras[[#This Row],[EDAD]])</f>
        <v>49</v>
      </c>
      <c r="P4809" s="14" t="str">
        <f>IF(
    OR(ISBLANK(moras[[#This Row],[TIPO_ASEGURAMIENTO]]), moras[[#This Row],[TIPO_ASEGURAMIENTO]]=""),
    EDA!$A$32,
    moras[[#This Row],[TIPO_ASEGURAMIENTO]]
)</f>
        <v>ASALARIADO</v>
      </c>
    </row>
    <row r="4810" spans="1:16" x14ac:dyDescent="0.3">
      <c r="A4810">
        <v>4809</v>
      </c>
      <c r="B4810" t="s">
        <v>9</v>
      </c>
      <c r="C4810">
        <v>53603542</v>
      </c>
      <c r="D4810" t="s">
        <v>10</v>
      </c>
      <c r="E4810" t="s">
        <v>16</v>
      </c>
      <c r="F4810" t="s">
        <v>12</v>
      </c>
      <c r="G4810" t="s">
        <v>13</v>
      </c>
      <c r="H4810" t="s">
        <v>13</v>
      </c>
      <c r="I4810">
        <v>61</v>
      </c>
      <c r="J4810">
        <f>ABS((I4810-EDA!$A$15)/EDA!$B$15)</f>
        <v>1.3423715843243298</v>
      </c>
      <c r="K4810" t="str">
        <f t="shared" si="75"/>
        <v>No</v>
      </c>
      <c r="L4810">
        <f>ABS((C4810-EDA!$F$15)/EDA!$G$15)</f>
        <v>0.51634680606629157</v>
      </c>
      <c r="M4810" t="str">
        <f>IF(moras[[#This Row],[Z-Score Salario]]&gt;1.96, "Sí", "No")</f>
        <v>No</v>
      </c>
      <c r="N4810" s="14">
        <f>IF(ISBLANK(moras[[#This Row],[SALARIO]]), EDA!$M$8, moras[[#This Row],[SALARIO]])</f>
        <v>53603542</v>
      </c>
      <c r="O4810" s="14">
        <f xml:space="preserve"> IF(ISBLANK(moras[[#This Row],[EDAD]]), EDA!$E$8, moras[[#This Row],[EDAD]])</f>
        <v>61</v>
      </c>
      <c r="P4810" s="14" t="str">
        <f>IF(
    OR(ISBLANK(moras[[#This Row],[TIPO_ASEGURAMIENTO]]), moras[[#This Row],[TIPO_ASEGURAMIENTO]]=""),
    EDA!$A$32,
    moras[[#This Row],[TIPO_ASEGURAMIENTO]]
)</f>
        <v>ASALARIADO</v>
      </c>
    </row>
    <row r="4811" spans="1:16" x14ac:dyDescent="0.3">
      <c r="A4811">
        <v>4810</v>
      </c>
      <c r="B4811" t="s">
        <v>15</v>
      </c>
      <c r="C4811">
        <v>37104165</v>
      </c>
      <c r="D4811" t="s">
        <v>10</v>
      </c>
      <c r="E4811" t="s">
        <v>16</v>
      </c>
      <c r="F4811" t="s">
        <v>12</v>
      </c>
      <c r="G4811" t="s">
        <v>13</v>
      </c>
      <c r="H4811" t="s">
        <v>13</v>
      </c>
      <c r="I4811">
        <v>32</v>
      </c>
      <c r="J4811">
        <f>ABS((I4811-EDA!$A$15)/EDA!$B$15)</f>
        <v>0.70431298791265773</v>
      </c>
      <c r="K4811" t="str">
        <f t="shared" si="75"/>
        <v>No</v>
      </c>
      <c r="L4811">
        <f>ABS((C4811-EDA!$F$15)/EDA!$G$15)</f>
        <v>0.24178552567482148</v>
      </c>
      <c r="M4811" t="str">
        <f>IF(moras[[#This Row],[Z-Score Salario]]&gt;1.96, "Sí", "No")</f>
        <v>No</v>
      </c>
      <c r="N4811" s="14">
        <f>IF(ISBLANK(moras[[#This Row],[SALARIO]]), EDA!$M$8, moras[[#This Row],[SALARIO]])</f>
        <v>37104165</v>
      </c>
      <c r="O4811" s="14">
        <f xml:space="preserve"> IF(ISBLANK(moras[[#This Row],[EDAD]]), EDA!$E$8, moras[[#This Row],[EDAD]])</f>
        <v>32</v>
      </c>
      <c r="P4811" s="14" t="str">
        <f>IF(
    OR(ISBLANK(moras[[#This Row],[TIPO_ASEGURAMIENTO]]), moras[[#This Row],[TIPO_ASEGURAMIENTO]]=""),
    EDA!$A$32,
    moras[[#This Row],[TIPO_ASEGURAMIENTO]]
)</f>
        <v>ASALARIADO</v>
      </c>
    </row>
    <row r="4812" spans="1:16" x14ac:dyDescent="0.3">
      <c r="A4812">
        <v>4811</v>
      </c>
      <c r="B4812" t="s">
        <v>15</v>
      </c>
      <c r="C4812">
        <v>696716</v>
      </c>
      <c r="D4812" t="s">
        <v>10</v>
      </c>
      <c r="E4812" t="s">
        <v>11</v>
      </c>
      <c r="F4812" t="s">
        <v>12</v>
      </c>
      <c r="G4812" t="s">
        <v>13</v>
      </c>
      <c r="H4812" t="s">
        <v>12</v>
      </c>
      <c r="I4812">
        <v>42</v>
      </c>
      <c r="J4812">
        <f>ABS((I4812-EDA!$A$15)/EDA!$B$15)</f>
        <v>1.4403128587172659E-3</v>
      </c>
      <c r="K4812" t="str">
        <f t="shared" si="75"/>
        <v>No</v>
      </c>
      <c r="L4812">
        <f>ABS((C4812-EDA!$F$15)/EDA!$G$15)</f>
        <v>0.36406012614749572</v>
      </c>
      <c r="M4812" t="str">
        <f>IF(moras[[#This Row],[Z-Score Salario]]&gt;1.96, "Sí", "No")</f>
        <v>No</v>
      </c>
      <c r="N4812" s="14">
        <f>IF(ISBLANK(moras[[#This Row],[SALARIO]]), EDA!$M$8, moras[[#This Row],[SALARIO]])</f>
        <v>696716</v>
      </c>
      <c r="O4812" s="14">
        <f xml:space="preserve"> IF(ISBLANK(moras[[#This Row],[EDAD]]), EDA!$E$8, moras[[#This Row],[EDAD]])</f>
        <v>42</v>
      </c>
      <c r="P4812" s="14" t="str">
        <f>IF(
    OR(ISBLANK(moras[[#This Row],[TIPO_ASEGURAMIENTO]]), moras[[#This Row],[TIPO_ASEGURAMIENTO]]=""),
    EDA!$A$32,
    moras[[#This Row],[TIPO_ASEGURAMIENTO]]
)</f>
        <v>ASALARIADO</v>
      </c>
    </row>
    <row r="4813" spans="1:16" x14ac:dyDescent="0.3">
      <c r="A4813">
        <v>4812</v>
      </c>
      <c r="B4813" t="s">
        <v>9</v>
      </c>
      <c r="C4813">
        <v>38434831</v>
      </c>
      <c r="D4813" t="s">
        <v>10</v>
      </c>
      <c r="E4813" t="s">
        <v>16</v>
      </c>
      <c r="F4813" t="s">
        <v>12</v>
      </c>
      <c r="G4813" t="s">
        <v>13</v>
      </c>
      <c r="H4813" t="s">
        <v>13</v>
      </c>
      <c r="I4813">
        <v>27</v>
      </c>
      <c r="J4813">
        <f>ABS((I4813-EDA!$A$15)/EDA!$B$15)</f>
        <v>1.0571896382983452</v>
      </c>
      <c r="K4813" t="str">
        <f t="shared" si="75"/>
        <v>No</v>
      </c>
      <c r="L4813">
        <f>ABS((C4813-EDA!$F$15)/EDA!$G$15)</f>
        <v>0.26392874724818122</v>
      </c>
      <c r="M4813" t="str">
        <f>IF(moras[[#This Row],[Z-Score Salario]]&gt;1.96, "Sí", "No")</f>
        <v>No</v>
      </c>
      <c r="N4813" s="14">
        <f>IF(ISBLANK(moras[[#This Row],[SALARIO]]), EDA!$M$8, moras[[#This Row],[SALARIO]])</f>
        <v>38434831</v>
      </c>
      <c r="O4813" s="14">
        <f xml:space="preserve"> IF(ISBLANK(moras[[#This Row],[EDAD]]), EDA!$E$8, moras[[#This Row],[EDAD]])</f>
        <v>27</v>
      </c>
      <c r="P4813" s="14" t="str">
        <f>IF(
    OR(ISBLANK(moras[[#This Row],[TIPO_ASEGURAMIENTO]]), moras[[#This Row],[TIPO_ASEGURAMIENTO]]=""),
    EDA!$A$32,
    moras[[#This Row],[TIPO_ASEGURAMIENTO]]
)</f>
        <v>ASALARIADO</v>
      </c>
    </row>
    <row r="4814" spans="1:16" x14ac:dyDescent="0.3">
      <c r="A4814">
        <v>4813</v>
      </c>
      <c r="B4814" t="s">
        <v>15</v>
      </c>
      <c r="C4814">
        <v>240000</v>
      </c>
      <c r="D4814" t="s">
        <v>10</v>
      </c>
      <c r="E4814" t="s">
        <v>16</v>
      </c>
      <c r="F4814" t="s">
        <v>12</v>
      </c>
      <c r="G4814" t="s">
        <v>12</v>
      </c>
      <c r="H4814" t="s">
        <v>13</v>
      </c>
      <c r="I4814">
        <v>27</v>
      </c>
      <c r="J4814">
        <f>ABS((I4814-EDA!$A$15)/EDA!$B$15)</f>
        <v>1.0571896382983452</v>
      </c>
      <c r="K4814" t="str">
        <f t="shared" si="75"/>
        <v>No</v>
      </c>
      <c r="L4814">
        <f>ABS((C4814-EDA!$F$15)/EDA!$G$15)</f>
        <v>0.37166020278889078</v>
      </c>
      <c r="M4814" t="str">
        <f>IF(moras[[#This Row],[Z-Score Salario]]&gt;1.96, "Sí", "No")</f>
        <v>No</v>
      </c>
      <c r="N4814" s="14">
        <f>IF(ISBLANK(moras[[#This Row],[SALARIO]]), EDA!$M$8, moras[[#This Row],[SALARIO]])</f>
        <v>240000</v>
      </c>
      <c r="O4814" s="14">
        <f xml:space="preserve"> IF(ISBLANK(moras[[#This Row],[EDAD]]), EDA!$E$8, moras[[#This Row],[EDAD]])</f>
        <v>27</v>
      </c>
      <c r="P4814" s="14" t="str">
        <f>IF(
    OR(ISBLANK(moras[[#This Row],[TIPO_ASEGURAMIENTO]]), moras[[#This Row],[TIPO_ASEGURAMIENTO]]=""),
    EDA!$A$32,
    moras[[#This Row],[TIPO_ASEGURAMIENTO]]
)</f>
        <v>ASALARIADO</v>
      </c>
    </row>
    <row r="4815" spans="1:16" x14ac:dyDescent="0.3">
      <c r="A4815">
        <v>4814</v>
      </c>
      <c r="B4815" t="s">
        <v>9</v>
      </c>
      <c r="C4815">
        <v>14150948</v>
      </c>
      <c r="D4815" t="s">
        <v>14</v>
      </c>
      <c r="E4815" t="s">
        <v>11</v>
      </c>
      <c r="F4815" t="s">
        <v>12</v>
      </c>
      <c r="G4815" t="s">
        <v>13</v>
      </c>
      <c r="H4815" t="s">
        <v>13</v>
      </c>
      <c r="I4815">
        <v>82</v>
      </c>
      <c r="J4815">
        <f>ABS((I4815-EDA!$A$15)/EDA!$B$15)</f>
        <v>2.8244535159442172</v>
      </c>
      <c r="K4815" t="str">
        <f t="shared" si="75"/>
        <v>Sí</v>
      </c>
      <c r="L4815">
        <f>ABS((C4815-EDA!$F$15)/EDA!$G$15)</f>
        <v>0.1401722081610233</v>
      </c>
      <c r="M4815" t="str">
        <f>IF(moras[[#This Row],[Z-Score Salario]]&gt;1.96, "Sí", "No")</f>
        <v>No</v>
      </c>
      <c r="N4815" s="14">
        <f>IF(ISBLANK(moras[[#This Row],[SALARIO]]), EDA!$M$8, moras[[#This Row],[SALARIO]])</f>
        <v>14150948</v>
      </c>
      <c r="O4815" s="14">
        <f xml:space="preserve"> IF(ISBLANK(moras[[#This Row],[EDAD]]), EDA!$E$8, moras[[#This Row],[EDAD]])</f>
        <v>82</v>
      </c>
      <c r="P4815" s="14" t="str">
        <f>IF(
    OR(ISBLANK(moras[[#This Row],[TIPO_ASEGURAMIENTO]]), moras[[#This Row],[TIPO_ASEGURAMIENTO]]=""),
    EDA!$A$32,
    moras[[#This Row],[TIPO_ASEGURAMIENTO]]
)</f>
        <v>PENSIONADOS EN SU PROPIO SISTEMA</v>
      </c>
    </row>
    <row r="4816" spans="1:16" x14ac:dyDescent="0.3">
      <c r="A4816">
        <v>4815</v>
      </c>
      <c r="B4816" t="s">
        <v>15</v>
      </c>
      <c r="C4816">
        <v>280306568</v>
      </c>
      <c r="D4816" t="s">
        <v>10</v>
      </c>
      <c r="E4816" t="s">
        <v>11</v>
      </c>
      <c r="F4816" t="s">
        <v>12</v>
      </c>
      <c r="G4816" t="s">
        <v>13</v>
      </c>
      <c r="H4816" t="s">
        <v>13</v>
      </c>
      <c r="I4816">
        <v>49</v>
      </c>
      <c r="J4816">
        <f>ABS((I4816-EDA!$A$15)/EDA!$B$15)</f>
        <v>0.49546762339867978</v>
      </c>
      <c r="K4816" t="str">
        <f t="shared" si="75"/>
        <v>No</v>
      </c>
      <c r="L4816">
        <f>ABS((C4816-EDA!$F$15)/EDA!$G$15)</f>
        <v>4.2888451911374821</v>
      </c>
      <c r="M4816" t="str">
        <f>IF(moras[[#This Row],[Z-Score Salario]]&gt;1.96, "Sí", "No")</f>
        <v>Sí</v>
      </c>
      <c r="N4816" s="14">
        <f>IF(ISBLANK(moras[[#This Row],[SALARIO]]), EDA!$M$8, moras[[#This Row],[SALARIO]])</f>
        <v>280306568</v>
      </c>
      <c r="O4816" s="14">
        <f xml:space="preserve"> IF(ISBLANK(moras[[#This Row],[EDAD]]), EDA!$E$8, moras[[#This Row],[EDAD]])</f>
        <v>49</v>
      </c>
      <c r="P4816" s="14" t="str">
        <f>IF(
    OR(ISBLANK(moras[[#This Row],[TIPO_ASEGURAMIENTO]]), moras[[#This Row],[TIPO_ASEGURAMIENTO]]=""),
    EDA!$A$32,
    moras[[#This Row],[TIPO_ASEGURAMIENTO]]
)</f>
        <v>ASALARIADO</v>
      </c>
    </row>
    <row r="4817" spans="1:16" x14ac:dyDescent="0.3">
      <c r="A4817">
        <v>4816</v>
      </c>
      <c r="B4817" t="s">
        <v>9</v>
      </c>
      <c r="C4817">
        <v>80633927</v>
      </c>
      <c r="D4817" t="s">
        <v>10</v>
      </c>
      <c r="E4817" t="s">
        <v>11</v>
      </c>
      <c r="F4817" t="s">
        <v>12</v>
      </c>
      <c r="G4817" t="s">
        <v>13</v>
      </c>
      <c r="H4817" t="s">
        <v>13</v>
      </c>
      <c r="I4817">
        <v>51</v>
      </c>
      <c r="J4817">
        <f>ABS((I4817-EDA!$A$15)/EDA!$B$15)</f>
        <v>0.6366182835529548</v>
      </c>
      <c r="K4817" t="str">
        <f t="shared" si="75"/>
        <v>No</v>
      </c>
      <c r="L4817">
        <f>ABS((C4817-EDA!$F$15)/EDA!$G$15)</f>
        <v>0.96615149354475749</v>
      </c>
      <c r="M4817" t="str">
        <f>IF(moras[[#This Row],[Z-Score Salario]]&gt;1.96, "Sí", "No")</f>
        <v>No</v>
      </c>
      <c r="N4817" s="14">
        <f>IF(ISBLANK(moras[[#This Row],[SALARIO]]), EDA!$M$8, moras[[#This Row],[SALARIO]])</f>
        <v>80633927</v>
      </c>
      <c r="O4817" s="14">
        <f xml:space="preserve"> IF(ISBLANK(moras[[#This Row],[EDAD]]), EDA!$E$8, moras[[#This Row],[EDAD]])</f>
        <v>51</v>
      </c>
      <c r="P4817" s="14" t="str">
        <f>IF(
    OR(ISBLANK(moras[[#This Row],[TIPO_ASEGURAMIENTO]]), moras[[#This Row],[TIPO_ASEGURAMIENTO]]=""),
    EDA!$A$32,
    moras[[#This Row],[TIPO_ASEGURAMIENTO]]
)</f>
        <v>ASALARIADO</v>
      </c>
    </row>
    <row r="4818" spans="1:16" x14ac:dyDescent="0.3">
      <c r="A4818">
        <v>4817</v>
      </c>
      <c r="B4818" t="s">
        <v>9</v>
      </c>
      <c r="C4818">
        <v>509509</v>
      </c>
      <c r="D4818" t="s">
        <v>18</v>
      </c>
      <c r="E4818" t="s">
        <v>16</v>
      </c>
      <c r="F4818" t="s">
        <v>12</v>
      </c>
      <c r="G4818" t="s">
        <v>13</v>
      </c>
      <c r="H4818" t="s">
        <v>12</v>
      </c>
      <c r="I4818">
        <v>58</v>
      </c>
      <c r="J4818">
        <f>ABS((I4818-EDA!$A$15)/EDA!$B$15)</f>
        <v>1.1306455940929174</v>
      </c>
      <c r="K4818" t="str">
        <f t="shared" si="75"/>
        <v>No</v>
      </c>
      <c r="L4818">
        <f>ABS((C4818-EDA!$F$15)/EDA!$G$15)</f>
        <v>0.36717538277920042</v>
      </c>
      <c r="M4818" t="str">
        <f>IF(moras[[#This Row],[Z-Score Salario]]&gt;1.96, "Sí", "No")</f>
        <v>No</v>
      </c>
      <c r="N4818" s="14">
        <f>IF(ISBLANK(moras[[#This Row],[SALARIO]]), EDA!$M$8, moras[[#This Row],[SALARIO]])</f>
        <v>509509</v>
      </c>
      <c r="O4818" s="14">
        <f xml:space="preserve"> IF(ISBLANK(moras[[#This Row],[EDAD]]), EDA!$E$8, moras[[#This Row],[EDAD]])</f>
        <v>58</v>
      </c>
      <c r="P4818" s="14" t="str">
        <f>IF(
    OR(ISBLANK(moras[[#This Row],[TIPO_ASEGURAMIENTO]]), moras[[#This Row],[TIPO_ASEGURAMIENTO]]=""),
    EDA!$A$32,
    moras[[#This Row],[TIPO_ASEGURAMIENTO]]
)</f>
        <v>TRABAJADOR INDEPENDIENTE</v>
      </c>
    </row>
    <row r="4819" spans="1:16" x14ac:dyDescent="0.3">
      <c r="A4819">
        <v>4818</v>
      </c>
      <c r="B4819" t="s">
        <v>9</v>
      </c>
      <c r="C4819">
        <v>384956</v>
      </c>
      <c r="D4819" t="s">
        <v>18</v>
      </c>
      <c r="E4819" t="s">
        <v>16</v>
      </c>
      <c r="F4819" t="s">
        <v>12</v>
      </c>
      <c r="G4819" t="s">
        <v>13</v>
      </c>
      <c r="H4819" t="s">
        <v>12</v>
      </c>
      <c r="I4819">
        <v>42</v>
      </c>
      <c r="J4819">
        <f>ABS((I4819-EDA!$A$15)/EDA!$B$15)</f>
        <v>1.4403128587172659E-3</v>
      </c>
      <c r="K4819" t="str">
        <f t="shared" si="75"/>
        <v>No</v>
      </c>
      <c r="L4819">
        <f>ABS((C4819-EDA!$F$15)/EDA!$G$15)</f>
        <v>0.36924803262268235</v>
      </c>
      <c r="M4819" t="str">
        <f>IF(moras[[#This Row],[Z-Score Salario]]&gt;1.96, "Sí", "No")</f>
        <v>No</v>
      </c>
      <c r="N4819" s="14">
        <f>IF(ISBLANK(moras[[#This Row],[SALARIO]]), EDA!$M$8, moras[[#This Row],[SALARIO]])</f>
        <v>384956</v>
      </c>
      <c r="O4819" s="14">
        <f xml:space="preserve"> IF(ISBLANK(moras[[#This Row],[EDAD]]), EDA!$E$8, moras[[#This Row],[EDAD]])</f>
        <v>42</v>
      </c>
      <c r="P4819" s="14" t="str">
        <f>IF(
    OR(ISBLANK(moras[[#This Row],[TIPO_ASEGURAMIENTO]]), moras[[#This Row],[TIPO_ASEGURAMIENTO]]=""),
    EDA!$A$32,
    moras[[#This Row],[TIPO_ASEGURAMIENTO]]
)</f>
        <v>TRABAJADOR INDEPENDIENTE</v>
      </c>
    </row>
    <row r="4820" spans="1:16" x14ac:dyDescent="0.3">
      <c r="A4820">
        <v>4819</v>
      </c>
      <c r="B4820" t="s">
        <v>15</v>
      </c>
      <c r="C4820">
        <v>1399635</v>
      </c>
      <c r="D4820" t="s">
        <v>14</v>
      </c>
      <c r="E4820" t="s">
        <v>11</v>
      </c>
      <c r="F4820" t="s">
        <v>12</v>
      </c>
      <c r="G4820" t="s">
        <v>13</v>
      </c>
      <c r="H4820" t="s">
        <v>13</v>
      </c>
      <c r="I4820">
        <v>66</v>
      </c>
      <c r="J4820">
        <f>ABS((I4820-EDA!$A$15)/EDA!$B$15)</f>
        <v>1.6952482347100173</v>
      </c>
      <c r="K4820" t="str">
        <f t="shared" si="75"/>
        <v>No</v>
      </c>
      <c r="L4820">
        <f>ABS((C4820-EDA!$F$15)/EDA!$G$15)</f>
        <v>0.35236305778839999</v>
      </c>
      <c r="M4820" t="str">
        <f>IF(moras[[#This Row],[Z-Score Salario]]&gt;1.96, "Sí", "No")</f>
        <v>No</v>
      </c>
      <c r="N4820" s="14">
        <f>IF(ISBLANK(moras[[#This Row],[SALARIO]]), EDA!$M$8, moras[[#This Row],[SALARIO]])</f>
        <v>1399635</v>
      </c>
      <c r="O4820" s="14">
        <f xml:space="preserve"> IF(ISBLANK(moras[[#This Row],[EDAD]]), EDA!$E$8, moras[[#This Row],[EDAD]])</f>
        <v>66</v>
      </c>
      <c r="P4820" s="14" t="str">
        <f>IF(
    OR(ISBLANK(moras[[#This Row],[TIPO_ASEGURAMIENTO]]), moras[[#This Row],[TIPO_ASEGURAMIENTO]]=""),
    EDA!$A$32,
    moras[[#This Row],[TIPO_ASEGURAMIENTO]]
)</f>
        <v>PENSIONADOS EN SU PROPIO SISTEMA</v>
      </c>
    </row>
    <row r="4821" spans="1:16" x14ac:dyDescent="0.3">
      <c r="A4821">
        <v>4820</v>
      </c>
      <c r="B4821" t="s">
        <v>9</v>
      </c>
      <c r="C4821">
        <v>33630854</v>
      </c>
      <c r="D4821" t="s">
        <v>10</v>
      </c>
      <c r="E4821" t="s">
        <v>16</v>
      </c>
      <c r="F4821" t="s">
        <v>12</v>
      </c>
      <c r="G4821" t="s">
        <v>12</v>
      </c>
      <c r="H4821" t="s">
        <v>13</v>
      </c>
      <c r="I4821">
        <v>21</v>
      </c>
      <c r="J4821">
        <f>ABS((I4821-EDA!$A$15)/EDA!$B$15)</f>
        <v>1.4806416187611704</v>
      </c>
      <c r="K4821" t="str">
        <f t="shared" si="75"/>
        <v>No</v>
      </c>
      <c r="L4821">
        <f>ABS((C4821-EDA!$F$15)/EDA!$G$15)</f>
        <v>0.18398717878222198</v>
      </c>
      <c r="M4821" t="str">
        <f>IF(moras[[#This Row],[Z-Score Salario]]&gt;1.96, "Sí", "No")</f>
        <v>No</v>
      </c>
      <c r="N4821" s="14">
        <f>IF(ISBLANK(moras[[#This Row],[SALARIO]]), EDA!$M$8, moras[[#This Row],[SALARIO]])</f>
        <v>33630854</v>
      </c>
      <c r="O4821" s="14">
        <f xml:space="preserve"> IF(ISBLANK(moras[[#This Row],[EDAD]]), EDA!$E$8, moras[[#This Row],[EDAD]])</f>
        <v>21</v>
      </c>
      <c r="P4821" s="14" t="str">
        <f>IF(
    OR(ISBLANK(moras[[#This Row],[TIPO_ASEGURAMIENTO]]), moras[[#This Row],[TIPO_ASEGURAMIENTO]]=""),
    EDA!$A$32,
    moras[[#This Row],[TIPO_ASEGURAMIENTO]]
)</f>
        <v>ASALARIADO</v>
      </c>
    </row>
    <row r="4822" spans="1:16" x14ac:dyDescent="0.3">
      <c r="A4822">
        <v>4821</v>
      </c>
      <c r="B4822" t="s">
        <v>9</v>
      </c>
      <c r="C4822">
        <v>38865568</v>
      </c>
      <c r="D4822" t="s">
        <v>10</v>
      </c>
      <c r="E4822" t="s">
        <v>16</v>
      </c>
      <c r="F4822" t="s">
        <v>12</v>
      </c>
      <c r="G4822" t="s">
        <v>13</v>
      </c>
      <c r="H4822" t="s">
        <v>13</v>
      </c>
      <c r="I4822">
        <v>36</v>
      </c>
      <c r="J4822">
        <f>ABS((I4822-EDA!$A$15)/EDA!$B$15)</f>
        <v>0.42201166760410774</v>
      </c>
      <c r="K4822" t="str">
        <f t="shared" si="75"/>
        <v>No</v>
      </c>
      <c r="L4822">
        <f>ABS((C4822-EDA!$F$15)/EDA!$G$15)</f>
        <v>0.27109651499068332</v>
      </c>
      <c r="M4822" t="str">
        <f>IF(moras[[#This Row],[Z-Score Salario]]&gt;1.96, "Sí", "No")</f>
        <v>No</v>
      </c>
      <c r="N4822" s="14">
        <f>IF(ISBLANK(moras[[#This Row],[SALARIO]]), EDA!$M$8, moras[[#This Row],[SALARIO]])</f>
        <v>38865568</v>
      </c>
      <c r="O4822" s="14">
        <f xml:space="preserve"> IF(ISBLANK(moras[[#This Row],[EDAD]]), EDA!$E$8, moras[[#This Row],[EDAD]])</f>
        <v>36</v>
      </c>
      <c r="P4822" s="14" t="str">
        <f>IF(
    OR(ISBLANK(moras[[#This Row],[TIPO_ASEGURAMIENTO]]), moras[[#This Row],[TIPO_ASEGURAMIENTO]]=""),
    EDA!$A$32,
    moras[[#This Row],[TIPO_ASEGURAMIENTO]]
)</f>
        <v>ASALARIADO</v>
      </c>
    </row>
    <row r="4823" spans="1:16" x14ac:dyDescent="0.3">
      <c r="A4823">
        <v>4822</v>
      </c>
      <c r="B4823" t="s">
        <v>9</v>
      </c>
      <c r="C4823">
        <v>458950</v>
      </c>
      <c r="D4823" t="s">
        <v>10</v>
      </c>
      <c r="E4823" t="s">
        <v>16</v>
      </c>
      <c r="F4823" t="s">
        <v>12</v>
      </c>
      <c r="G4823" t="s">
        <v>13</v>
      </c>
      <c r="H4823" t="s">
        <v>13</v>
      </c>
      <c r="I4823">
        <v>40</v>
      </c>
      <c r="J4823">
        <f>ABS((I4823-EDA!$A$15)/EDA!$B$15)</f>
        <v>0.13971034729555773</v>
      </c>
      <c r="K4823" t="str">
        <f t="shared" si="75"/>
        <v>No</v>
      </c>
      <c r="L4823">
        <f>ABS((C4823-EDA!$F$15)/EDA!$G$15)</f>
        <v>0.36801672022941523</v>
      </c>
      <c r="M4823" t="str">
        <f>IF(moras[[#This Row],[Z-Score Salario]]&gt;1.96, "Sí", "No")</f>
        <v>No</v>
      </c>
      <c r="N4823" s="14">
        <f>IF(ISBLANK(moras[[#This Row],[SALARIO]]), EDA!$M$8, moras[[#This Row],[SALARIO]])</f>
        <v>458950</v>
      </c>
      <c r="O4823" s="14">
        <f xml:space="preserve"> IF(ISBLANK(moras[[#This Row],[EDAD]]), EDA!$E$8, moras[[#This Row],[EDAD]])</f>
        <v>40</v>
      </c>
      <c r="P4823" s="14" t="str">
        <f>IF(
    OR(ISBLANK(moras[[#This Row],[TIPO_ASEGURAMIENTO]]), moras[[#This Row],[TIPO_ASEGURAMIENTO]]=""),
    EDA!$A$32,
    moras[[#This Row],[TIPO_ASEGURAMIENTO]]
)</f>
        <v>ASALARIADO</v>
      </c>
    </row>
    <row r="4824" spans="1:16" x14ac:dyDescent="0.3">
      <c r="A4824">
        <v>4823</v>
      </c>
      <c r="B4824" t="s">
        <v>9</v>
      </c>
      <c r="C4824">
        <v>20560433</v>
      </c>
      <c r="D4824" t="s">
        <v>10</v>
      </c>
      <c r="E4824" t="s">
        <v>16</v>
      </c>
      <c r="F4824" t="s">
        <v>12</v>
      </c>
      <c r="G4824" t="s">
        <v>13</v>
      </c>
      <c r="H4824" t="s">
        <v>13</v>
      </c>
      <c r="I4824">
        <v>31</v>
      </c>
      <c r="J4824">
        <f>ABS((I4824-EDA!$A$15)/EDA!$B$15)</f>
        <v>0.77488831798979529</v>
      </c>
      <c r="K4824" t="str">
        <f t="shared" si="75"/>
        <v>No</v>
      </c>
      <c r="L4824">
        <f>ABS((C4824-EDA!$F$15)/EDA!$G$15)</f>
        <v>3.3513853227384163E-2</v>
      </c>
      <c r="M4824" t="str">
        <f>IF(moras[[#This Row],[Z-Score Salario]]&gt;1.96, "Sí", "No")</f>
        <v>No</v>
      </c>
      <c r="N4824" s="14">
        <f>IF(ISBLANK(moras[[#This Row],[SALARIO]]), EDA!$M$8, moras[[#This Row],[SALARIO]])</f>
        <v>20560433</v>
      </c>
      <c r="O4824" s="14">
        <f xml:space="preserve"> IF(ISBLANK(moras[[#This Row],[EDAD]]), EDA!$E$8, moras[[#This Row],[EDAD]])</f>
        <v>31</v>
      </c>
      <c r="P4824" s="14" t="str">
        <f>IF(
    OR(ISBLANK(moras[[#This Row],[TIPO_ASEGURAMIENTO]]), moras[[#This Row],[TIPO_ASEGURAMIENTO]]=""),
    EDA!$A$32,
    moras[[#This Row],[TIPO_ASEGURAMIENTO]]
)</f>
        <v>ASALARIADO</v>
      </c>
    </row>
    <row r="4825" spans="1:16" x14ac:dyDescent="0.3">
      <c r="A4825">
        <v>4824</v>
      </c>
      <c r="B4825" t="s">
        <v>15</v>
      </c>
      <c r="C4825">
        <v>45953058</v>
      </c>
      <c r="D4825" t="s">
        <v>10</v>
      </c>
      <c r="E4825" t="s">
        <v>16</v>
      </c>
      <c r="F4825" t="s">
        <v>12</v>
      </c>
      <c r="G4825" t="s">
        <v>13</v>
      </c>
      <c r="H4825" t="s">
        <v>13</v>
      </c>
      <c r="I4825">
        <v>50</v>
      </c>
      <c r="J4825">
        <f>ABS((I4825-EDA!$A$15)/EDA!$B$15)</f>
        <v>0.56604295347581735</v>
      </c>
      <c r="K4825" t="str">
        <f t="shared" si="75"/>
        <v>No</v>
      </c>
      <c r="L4825">
        <f>ABS((C4825-EDA!$F$15)/EDA!$G$15)</f>
        <v>0.3890373517363217</v>
      </c>
      <c r="M4825" t="str">
        <f>IF(moras[[#This Row],[Z-Score Salario]]&gt;1.96, "Sí", "No")</f>
        <v>No</v>
      </c>
      <c r="N4825" s="14">
        <f>IF(ISBLANK(moras[[#This Row],[SALARIO]]), EDA!$M$8, moras[[#This Row],[SALARIO]])</f>
        <v>45953058</v>
      </c>
      <c r="O4825" s="14">
        <f xml:space="preserve"> IF(ISBLANK(moras[[#This Row],[EDAD]]), EDA!$E$8, moras[[#This Row],[EDAD]])</f>
        <v>50</v>
      </c>
      <c r="P4825" s="14" t="str">
        <f>IF(
    OR(ISBLANK(moras[[#This Row],[TIPO_ASEGURAMIENTO]]), moras[[#This Row],[TIPO_ASEGURAMIENTO]]=""),
    EDA!$A$32,
    moras[[#This Row],[TIPO_ASEGURAMIENTO]]
)</f>
        <v>ASALARIADO</v>
      </c>
    </row>
    <row r="4826" spans="1:16" x14ac:dyDescent="0.3">
      <c r="A4826">
        <v>4825</v>
      </c>
      <c r="B4826" t="s">
        <v>9</v>
      </c>
      <c r="C4826">
        <v>507184</v>
      </c>
      <c r="D4826" t="s">
        <v>10</v>
      </c>
      <c r="E4826" t="s">
        <v>11</v>
      </c>
      <c r="F4826" t="s">
        <v>12</v>
      </c>
      <c r="G4826" t="s">
        <v>13</v>
      </c>
      <c r="H4826" t="s">
        <v>12</v>
      </c>
      <c r="I4826">
        <v>60</v>
      </c>
      <c r="J4826">
        <f>ABS((I4826-EDA!$A$15)/EDA!$B$15)</f>
        <v>1.2717962542471923</v>
      </c>
      <c r="K4826" t="str">
        <f t="shared" si="75"/>
        <v>No</v>
      </c>
      <c r="L4826">
        <f>ABS((C4826-EDA!$F$15)/EDA!$G$15)</f>
        <v>0.36721407242044629</v>
      </c>
      <c r="M4826" t="str">
        <f>IF(moras[[#This Row],[Z-Score Salario]]&gt;1.96, "Sí", "No")</f>
        <v>No</v>
      </c>
      <c r="N4826" s="14">
        <f>IF(ISBLANK(moras[[#This Row],[SALARIO]]), EDA!$M$8, moras[[#This Row],[SALARIO]])</f>
        <v>507184</v>
      </c>
      <c r="O4826" s="14">
        <f xml:space="preserve"> IF(ISBLANK(moras[[#This Row],[EDAD]]), EDA!$E$8, moras[[#This Row],[EDAD]])</f>
        <v>60</v>
      </c>
      <c r="P4826" s="14" t="str">
        <f>IF(
    OR(ISBLANK(moras[[#This Row],[TIPO_ASEGURAMIENTO]]), moras[[#This Row],[TIPO_ASEGURAMIENTO]]=""),
    EDA!$A$32,
    moras[[#This Row],[TIPO_ASEGURAMIENTO]]
)</f>
        <v>ASALARIADO</v>
      </c>
    </row>
    <row r="4827" spans="1:16" x14ac:dyDescent="0.3">
      <c r="A4827">
        <v>4826</v>
      </c>
      <c r="B4827" t="s">
        <v>9</v>
      </c>
      <c r="C4827">
        <v>30270955</v>
      </c>
      <c r="D4827" t="s">
        <v>10</v>
      </c>
      <c r="E4827" t="s">
        <v>16</v>
      </c>
      <c r="F4827" t="s">
        <v>12</v>
      </c>
      <c r="G4827" t="s">
        <v>13</v>
      </c>
      <c r="H4827" t="s">
        <v>13</v>
      </c>
      <c r="I4827">
        <v>32</v>
      </c>
      <c r="J4827">
        <f>ABS((I4827-EDA!$A$15)/EDA!$B$15)</f>
        <v>0.70431298791265773</v>
      </c>
      <c r="K4827" t="str">
        <f t="shared" si="75"/>
        <v>No</v>
      </c>
      <c r="L4827">
        <f>ABS((C4827-EDA!$F$15)/EDA!$G$15)</f>
        <v>0.12807608762853659</v>
      </c>
      <c r="M4827" t="str">
        <f>IF(moras[[#This Row],[Z-Score Salario]]&gt;1.96, "Sí", "No")</f>
        <v>No</v>
      </c>
      <c r="N4827" s="14">
        <f>IF(ISBLANK(moras[[#This Row],[SALARIO]]), EDA!$M$8, moras[[#This Row],[SALARIO]])</f>
        <v>30270955</v>
      </c>
      <c r="O4827" s="14">
        <f xml:space="preserve"> IF(ISBLANK(moras[[#This Row],[EDAD]]), EDA!$E$8, moras[[#This Row],[EDAD]])</f>
        <v>32</v>
      </c>
      <c r="P4827" s="14" t="str">
        <f>IF(
    OR(ISBLANK(moras[[#This Row],[TIPO_ASEGURAMIENTO]]), moras[[#This Row],[TIPO_ASEGURAMIENTO]]=""),
    EDA!$A$32,
    moras[[#This Row],[TIPO_ASEGURAMIENTO]]
)</f>
        <v>ASALARIADO</v>
      </c>
    </row>
    <row r="4828" spans="1:16" x14ac:dyDescent="0.3">
      <c r="A4828">
        <v>4827</v>
      </c>
      <c r="B4828" t="s">
        <v>9</v>
      </c>
      <c r="C4828">
        <v>430371</v>
      </c>
      <c r="D4828" t="s">
        <v>18</v>
      </c>
      <c r="E4828" t="s">
        <v>16</v>
      </c>
      <c r="F4828" t="s">
        <v>12</v>
      </c>
      <c r="G4828" t="s">
        <v>13</v>
      </c>
      <c r="H4828" t="s">
        <v>13</v>
      </c>
      <c r="I4828">
        <v>35</v>
      </c>
      <c r="J4828">
        <f>ABS((I4828-EDA!$A$15)/EDA!$B$15)</f>
        <v>0.49258699768124525</v>
      </c>
      <c r="K4828" t="str">
        <f t="shared" si="75"/>
        <v>No</v>
      </c>
      <c r="L4828">
        <f>ABS((C4828-EDA!$F$15)/EDA!$G$15)</f>
        <v>0.36849229496367991</v>
      </c>
      <c r="M4828" t="str">
        <f>IF(moras[[#This Row],[Z-Score Salario]]&gt;1.96, "Sí", "No")</f>
        <v>No</v>
      </c>
      <c r="N4828" s="14">
        <f>IF(ISBLANK(moras[[#This Row],[SALARIO]]), EDA!$M$8, moras[[#This Row],[SALARIO]])</f>
        <v>430371</v>
      </c>
      <c r="O4828" s="14">
        <f xml:space="preserve"> IF(ISBLANK(moras[[#This Row],[EDAD]]), EDA!$E$8, moras[[#This Row],[EDAD]])</f>
        <v>35</v>
      </c>
      <c r="P4828" s="14" t="str">
        <f>IF(
    OR(ISBLANK(moras[[#This Row],[TIPO_ASEGURAMIENTO]]), moras[[#This Row],[TIPO_ASEGURAMIENTO]]=""),
    EDA!$A$32,
    moras[[#This Row],[TIPO_ASEGURAMIENTO]]
)</f>
        <v>TRABAJADOR INDEPENDIENTE</v>
      </c>
    </row>
    <row r="4829" spans="1:16" x14ac:dyDescent="0.3">
      <c r="A4829">
        <v>4828</v>
      </c>
      <c r="B4829" t="s">
        <v>9</v>
      </c>
      <c r="C4829">
        <v>440373</v>
      </c>
      <c r="D4829" t="s">
        <v>10</v>
      </c>
      <c r="E4829" t="s">
        <v>11</v>
      </c>
      <c r="F4829" t="s">
        <v>12</v>
      </c>
      <c r="G4829" t="s">
        <v>13</v>
      </c>
      <c r="H4829" t="s">
        <v>13</v>
      </c>
      <c r="I4829">
        <v>35</v>
      </c>
      <c r="J4829">
        <f>ABS((I4829-EDA!$A$15)/EDA!$B$15)</f>
        <v>0.49258699768124525</v>
      </c>
      <c r="K4829" t="str">
        <f t="shared" si="75"/>
        <v>No</v>
      </c>
      <c r="L4829">
        <f>ABS((C4829-EDA!$F$15)/EDA!$G$15)</f>
        <v>0.3683258546231461</v>
      </c>
      <c r="M4829" t="str">
        <f>IF(moras[[#This Row],[Z-Score Salario]]&gt;1.96, "Sí", "No")</f>
        <v>No</v>
      </c>
      <c r="N4829" s="14">
        <f>IF(ISBLANK(moras[[#This Row],[SALARIO]]), EDA!$M$8, moras[[#This Row],[SALARIO]])</f>
        <v>440373</v>
      </c>
      <c r="O4829" s="14">
        <f xml:space="preserve"> IF(ISBLANK(moras[[#This Row],[EDAD]]), EDA!$E$8, moras[[#This Row],[EDAD]])</f>
        <v>35</v>
      </c>
      <c r="P4829" s="14" t="str">
        <f>IF(
    OR(ISBLANK(moras[[#This Row],[TIPO_ASEGURAMIENTO]]), moras[[#This Row],[TIPO_ASEGURAMIENTO]]=""),
    EDA!$A$32,
    moras[[#This Row],[TIPO_ASEGURAMIENTO]]
)</f>
        <v>ASALARIADO</v>
      </c>
    </row>
    <row r="4830" spans="1:16" x14ac:dyDescent="0.3">
      <c r="A4830">
        <v>4829</v>
      </c>
      <c r="B4830" t="s">
        <v>9</v>
      </c>
      <c r="C4830">
        <v>187118058</v>
      </c>
      <c r="D4830" t="s">
        <v>10</v>
      </c>
      <c r="E4830" t="s">
        <v>16</v>
      </c>
      <c r="F4830" t="s">
        <v>12</v>
      </c>
      <c r="G4830" t="s">
        <v>13</v>
      </c>
      <c r="H4830" t="s">
        <v>13</v>
      </c>
      <c r="I4830">
        <v>39</v>
      </c>
      <c r="J4830">
        <f>ABS((I4830-EDA!$A$15)/EDA!$B$15)</f>
        <v>0.21028567737269524</v>
      </c>
      <c r="K4830" t="str">
        <f t="shared" si="75"/>
        <v>No</v>
      </c>
      <c r="L4830">
        <f>ABS((C4830-EDA!$F$15)/EDA!$G$15)</f>
        <v>2.7381226018316362</v>
      </c>
      <c r="M4830" t="str">
        <f>IF(moras[[#This Row],[Z-Score Salario]]&gt;1.96, "Sí", "No")</f>
        <v>Sí</v>
      </c>
      <c r="N4830" s="14">
        <f>IF(ISBLANK(moras[[#This Row],[SALARIO]]), EDA!$M$8, moras[[#This Row],[SALARIO]])</f>
        <v>187118058</v>
      </c>
      <c r="O4830" s="14">
        <f xml:space="preserve"> IF(ISBLANK(moras[[#This Row],[EDAD]]), EDA!$E$8, moras[[#This Row],[EDAD]])</f>
        <v>39</v>
      </c>
      <c r="P4830" s="14" t="str">
        <f>IF(
    OR(ISBLANK(moras[[#This Row],[TIPO_ASEGURAMIENTO]]), moras[[#This Row],[TIPO_ASEGURAMIENTO]]=""),
    EDA!$A$32,
    moras[[#This Row],[TIPO_ASEGURAMIENTO]]
)</f>
        <v>ASALARIADO</v>
      </c>
    </row>
    <row r="4831" spans="1:16" x14ac:dyDescent="0.3">
      <c r="A4831">
        <v>4830</v>
      </c>
      <c r="B4831" t="s">
        <v>15</v>
      </c>
      <c r="C4831">
        <v>504571</v>
      </c>
      <c r="D4831" t="s">
        <v>10</v>
      </c>
      <c r="E4831" t="s">
        <v>11</v>
      </c>
      <c r="F4831" t="s">
        <v>12</v>
      </c>
      <c r="G4831" t="s">
        <v>13</v>
      </c>
      <c r="H4831" t="s">
        <v>12</v>
      </c>
      <c r="I4831">
        <v>59</v>
      </c>
      <c r="J4831">
        <f>ABS((I4831-EDA!$A$15)/EDA!$B$15)</f>
        <v>1.2012209241700549</v>
      </c>
      <c r="K4831" t="str">
        <f t="shared" si="75"/>
        <v>No</v>
      </c>
      <c r="L4831">
        <f>ABS((C4831-EDA!$F$15)/EDA!$G$15)</f>
        <v>0.36725755458499487</v>
      </c>
      <c r="M4831" t="str">
        <f>IF(moras[[#This Row],[Z-Score Salario]]&gt;1.96, "Sí", "No")</f>
        <v>No</v>
      </c>
      <c r="N4831" s="14">
        <f>IF(ISBLANK(moras[[#This Row],[SALARIO]]), EDA!$M$8, moras[[#This Row],[SALARIO]])</f>
        <v>504571</v>
      </c>
      <c r="O4831" s="14">
        <f xml:space="preserve"> IF(ISBLANK(moras[[#This Row],[EDAD]]), EDA!$E$8, moras[[#This Row],[EDAD]])</f>
        <v>59</v>
      </c>
      <c r="P4831" s="14" t="str">
        <f>IF(
    OR(ISBLANK(moras[[#This Row],[TIPO_ASEGURAMIENTO]]), moras[[#This Row],[TIPO_ASEGURAMIENTO]]=""),
    EDA!$A$32,
    moras[[#This Row],[TIPO_ASEGURAMIENTO]]
)</f>
        <v>ASALARIADO</v>
      </c>
    </row>
    <row r="4832" spans="1:16" x14ac:dyDescent="0.3">
      <c r="A4832">
        <v>4831</v>
      </c>
      <c r="B4832" t="s">
        <v>15</v>
      </c>
      <c r="C4832">
        <v>686170</v>
      </c>
      <c r="D4832" t="s">
        <v>18</v>
      </c>
      <c r="E4832" t="s">
        <v>16</v>
      </c>
      <c r="F4832" t="s">
        <v>12</v>
      </c>
      <c r="G4832" t="s">
        <v>13</v>
      </c>
      <c r="H4832" t="s">
        <v>12</v>
      </c>
      <c r="I4832">
        <v>38</v>
      </c>
      <c r="J4832">
        <f>ABS((I4832-EDA!$A$15)/EDA!$B$15)</f>
        <v>0.28086100744983278</v>
      </c>
      <c r="K4832" t="str">
        <f t="shared" si="75"/>
        <v>No</v>
      </c>
      <c r="L4832">
        <f>ABS((C4832-EDA!$F$15)/EDA!$G$15)</f>
        <v>0.36423561903204577</v>
      </c>
      <c r="M4832" t="str">
        <f>IF(moras[[#This Row],[Z-Score Salario]]&gt;1.96, "Sí", "No")</f>
        <v>No</v>
      </c>
      <c r="N4832" s="14">
        <f>IF(ISBLANK(moras[[#This Row],[SALARIO]]), EDA!$M$8, moras[[#This Row],[SALARIO]])</f>
        <v>686170</v>
      </c>
      <c r="O4832" s="14">
        <f xml:space="preserve"> IF(ISBLANK(moras[[#This Row],[EDAD]]), EDA!$E$8, moras[[#This Row],[EDAD]])</f>
        <v>38</v>
      </c>
      <c r="P4832" s="14" t="str">
        <f>IF(
    OR(ISBLANK(moras[[#This Row],[TIPO_ASEGURAMIENTO]]), moras[[#This Row],[TIPO_ASEGURAMIENTO]]=""),
    EDA!$A$32,
    moras[[#This Row],[TIPO_ASEGURAMIENTO]]
)</f>
        <v>TRABAJADOR INDEPENDIENTE</v>
      </c>
    </row>
    <row r="4833" spans="1:16" x14ac:dyDescent="0.3">
      <c r="A4833">
        <v>4832</v>
      </c>
      <c r="B4833" t="s">
        <v>15</v>
      </c>
      <c r="C4833">
        <v>1072765</v>
      </c>
      <c r="D4833" t="s">
        <v>10</v>
      </c>
      <c r="E4833" t="s">
        <v>11</v>
      </c>
      <c r="F4833" t="s">
        <v>12</v>
      </c>
      <c r="G4833" t="s">
        <v>13</v>
      </c>
      <c r="H4833" t="s">
        <v>12</v>
      </c>
      <c r="I4833">
        <v>41</v>
      </c>
      <c r="J4833">
        <f>ABS((I4833-EDA!$A$15)/EDA!$B$15)</f>
        <v>6.9135017218420233E-2</v>
      </c>
      <c r="K4833" t="str">
        <f t="shared" si="75"/>
        <v>No</v>
      </c>
      <c r="L4833">
        <f>ABS((C4833-EDA!$F$15)/EDA!$G$15)</f>
        <v>0.35780240532991991</v>
      </c>
      <c r="M4833" t="str">
        <f>IF(moras[[#This Row],[Z-Score Salario]]&gt;1.96, "Sí", "No")</f>
        <v>No</v>
      </c>
      <c r="N4833" s="14">
        <f>IF(ISBLANK(moras[[#This Row],[SALARIO]]), EDA!$M$8, moras[[#This Row],[SALARIO]])</f>
        <v>1072765</v>
      </c>
      <c r="O4833" s="14">
        <f xml:space="preserve"> IF(ISBLANK(moras[[#This Row],[EDAD]]), EDA!$E$8, moras[[#This Row],[EDAD]])</f>
        <v>41</v>
      </c>
      <c r="P4833" s="14" t="str">
        <f>IF(
    OR(ISBLANK(moras[[#This Row],[TIPO_ASEGURAMIENTO]]), moras[[#This Row],[TIPO_ASEGURAMIENTO]]=""),
    EDA!$A$32,
    moras[[#This Row],[TIPO_ASEGURAMIENTO]]
)</f>
        <v>ASALARIADO</v>
      </c>
    </row>
    <row r="4834" spans="1:16" x14ac:dyDescent="0.3">
      <c r="A4834">
        <v>4833</v>
      </c>
      <c r="B4834" t="s">
        <v>9</v>
      </c>
      <c r="C4834">
        <v>66558697</v>
      </c>
      <c r="D4834" t="s">
        <v>10</v>
      </c>
      <c r="E4834" t="s">
        <v>16</v>
      </c>
      <c r="F4834" t="s">
        <v>12</v>
      </c>
      <c r="G4834" t="s">
        <v>13</v>
      </c>
      <c r="H4834" t="s">
        <v>13</v>
      </c>
      <c r="I4834">
        <v>27</v>
      </c>
      <c r="J4834">
        <f>ABS((I4834-EDA!$A$15)/EDA!$B$15)</f>
        <v>1.0571896382983452</v>
      </c>
      <c r="K4834" t="str">
        <f t="shared" si="75"/>
        <v>No</v>
      </c>
      <c r="L4834">
        <f>ABS((C4834-EDA!$F$15)/EDA!$G$15)</f>
        <v>0.73192973046822241</v>
      </c>
      <c r="M4834" t="str">
        <f>IF(moras[[#This Row],[Z-Score Salario]]&gt;1.96, "Sí", "No")</f>
        <v>No</v>
      </c>
      <c r="N4834" s="14">
        <f>IF(ISBLANK(moras[[#This Row],[SALARIO]]), EDA!$M$8, moras[[#This Row],[SALARIO]])</f>
        <v>66558697</v>
      </c>
      <c r="O4834" s="14">
        <f xml:space="preserve"> IF(ISBLANK(moras[[#This Row],[EDAD]]), EDA!$E$8, moras[[#This Row],[EDAD]])</f>
        <v>27</v>
      </c>
      <c r="P4834" s="14" t="str">
        <f>IF(
    OR(ISBLANK(moras[[#This Row],[TIPO_ASEGURAMIENTO]]), moras[[#This Row],[TIPO_ASEGURAMIENTO]]=""),
    EDA!$A$32,
    moras[[#This Row],[TIPO_ASEGURAMIENTO]]
)</f>
        <v>ASALARIADO</v>
      </c>
    </row>
    <row r="4835" spans="1:16" x14ac:dyDescent="0.3">
      <c r="A4835">
        <v>4834</v>
      </c>
      <c r="B4835" t="s">
        <v>15</v>
      </c>
      <c r="C4835">
        <v>317915</v>
      </c>
      <c r="D4835" t="s">
        <v>10</v>
      </c>
      <c r="E4835" t="s">
        <v>16</v>
      </c>
      <c r="F4835" t="s">
        <v>12</v>
      </c>
      <c r="G4835" t="s">
        <v>12</v>
      </c>
      <c r="H4835" t="s">
        <v>13</v>
      </c>
      <c r="I4835">
        <v>54</v>
      </c>
      <c r="J4835">
        <f>ABS((I4835-EDA!$A$15)/EDA!$B$15)</f>
        <v>0.84834427378436728</v>
      </c>
      <c r="K4835" t="str">
        <f t="shared" si="75"/>
        <v>No</v>
      </c>
      <c r="L4835">
        <f>ABS((C4835-EDA!$F$15)/EDA!$G$15)</f>
        <v>0.37036364218774193</v>
      </c>
      <c r="M4835" t="str">
        <f>IF(moras[[#This Row],[Z-Score Salario]]&gt;1.96, "Sí", "No")</f>
        <v>No</v>
      </c>
      <c r="N4835" s="14">
        <f>IF(ISBLANK(moras[[#This Row],[SALARIO]]), EDA!$M$8, moras[[#This Row],[SALARIO]])</f>
        <v>317915</v>
      </c>
      <c r="O4835" s="14">
        <f xml:space="preserve"> IF(ISBLANK(moras[[#This Row],[EDAD]]), EDA!$E$8, moras[[#This Row],[EDAD]])</f>
        <v>54</v>
      </c>
      <c r="P4835" s="14" t="str">
        <f>IF(
    OR(ISBLANK(moras[[#This Row],[TIPO_ASEGURAMIENTO]]), moras[[#This Row],[TIPO_ASEGURAMIENTO]]=""),
    EDA!$A$32,
    moras[[#This Row],[TIPO_ASEGURAMIENTO]]
)</f>
        <v>ASALARIADO</v>
      </c>
    </row>
    <row r="4836" spans="1:16" x14ac:dyDescent="0.3">
      <c r="A4836">
        <v>4835</v>
      </c>
      <c r="B4836" t="s">
        <v>9</v>
      </c>
      <c r="C4836">
        <v>297046</v>
      </c>
      <c r="D4836" t="s">
        <v>17</v>
      </c>
      <c r="E4836" t="s">
        <v>16</v>
      </c>
      <c r="F4836" t="s">
        <v>12</v>
      </c>
      <c r="G4836" t="s">
        <v>13</v>
      </c>
      <c r="H4836" t="s">
        <v>13</v>
      </c>
      <c r="I4836">
        <v>51</v>
      </c>
      <c r="J4836">
        <f>ABS((I4836-EDA!$A$15)/EDA!$B$15)</f>
        <v>0.6366182835529548</v>
      </c>
      <c r="K4836" t="str">
        <f t="shared" si="75"/>
        <v>No</v>
      </c>
      <c r="L4836">
        <f>ABS((C4836-EDA!$F$15)/EDA!$G$15)</f>
        <v>0.37071091707942361</v>
      </c>
      <c r="M4836" t="str">
        <f>IF(moras[[#This Row],[Z-Score Salario]]&gt;1.96, "Sí", "No")</f>
        <v>No</v>
      </c>
      <c r="N4836" s="14">
        <f>IF(ISBLANK(moras[[#This Row],[SALARIO]]), EDA!$M$8, moras[[#This Row],[SALARIO]])</f>
        <v>297046</v>
      </c>
      <c r="O4836" s="14">
        <f xml:space="preserve"> IF(ISBLANK(moras[[#This Row],[EDAD]]), EDA!$E$8, moras[[#This Row],[EDAD]])</f>
        <v>51</v>
      </c>
      <c r="P4836" s="14" t="str">
        <f>IF(
    OR(ISBLANK(moras[[#This Row],[TIPO_ASEGURAMIENTO]]), moras[[#This Row],[TIPO_ASEGURAMIENTO]]=""),
    EDA!$A$32,
    moras[[#This Row],[TIPO_ASEGURAMIENTO]]
)</f>
        <v>ASEGURADO VOLUNTARIO</v>
      </c>
    </row>
    <row r="4837" spans="1:16" x14ac:dyDescent="0.3">
      <c r="A4837">
        <v>4836</v>
      </c>
      <c r="B4837" t="s">
        <v>15</v>
      </c>
      <c r="C4837">
        <v>1182150</v>
      </c>
      <c r="D4837" t="s">
        <v>10</v>
      </c>
      <c r="E4837" t="s">
        <v>16</v>
      </c>
      <c r="F4837" t="s">
        <v>12</v>
      </c>
      <c r="G4837" t="s">
        <v>13</v>
      </c>
      <c r="H4837" t="s">
        <v>13</v>
      </c>
      <c r="I4837">
        <v>47</v>
      </c>
      <c r="J4837">
        <f>ABS((I4837-EDA!$A$15)/EDA!$B$15)</f>
        <v>0.35431696324440481</v>
      </c>
      <c r="K4837" t="str">
        <f t="shared" si="75"/>
        <v>No</v>
      </c>
      <c r="L4837">
        <f>ABS((C4837-EDA!$F$15)/EDA!$G$15)</f>
        <v>0.35598216171371422</v>
      </c>
      <c r="M4837" t="str">
        <f>IF(moras[[#This Row],[Z-Score Salario]]&gt;1.96, "Sí", "No")</f>
        <v>No</v>
      </c>
      <c r="N4837" s="14">
        <f>IF(ISBLANK(moras[[#This Row],[SALARIO]]), EDA!$M$8, moras[[#This Row],[SALARIO]])</f>
        <v>1182150</v>
      </c>
      <c r="O4837" s="14">
        <f xml:space="preserve"> IF(ISBLANK(moras[[#This Row],[EDAD]]), EDA!$E$8, moras[[#This Row],[EDAD]])</f>
        <v>47</v>
      </c>
      <c r="P4837" s="14" t="str">
        <f>IF(
    OR(ISBLANK(moras[[#This Row],[TIPO_ASEGURAMIENTO]]), moras[[#This Row],[TIPO_ASEGURAMIENTO]]=""),
    EDA!$A$32,
    moras[[#This Row],[TIPO_ASEGURAMIENTO]]
)</f>
        <v>ASALARIADO</v>
      </c>
    </row>
    <row r="4838" spans="1:16" x14ac:dyDescent="0.3">
      <c r="A4838">
        <v>4837</v>
      </c>
      <c r="B4838" t="s">
        <v>9</v>
      </c>
      <c r="C4838">
        <v>278030</v>
      </c>
      <c r="D4838" t="s">
        <v>19</v>
      </c>
      <c r="E4838" t="s">
        <v>16</v>
      </c>
      <c r="F4838" t="s">
        <v>12</v>
      </c>
      <c r="G4838" t="s">
        <v>13</v>
      </c>
      <c r="H4838" t="s">
        <v>13</v>
      </c>
      <c r="I4838">
        <v>67</v>
      </c>
      <c r="J4838">
        <f>ABS((I4838-EDA!$A$15)/EDA!$B$15)</f>
        <v>1.765823564787155</v>
      </c>
      <c r="K4838" t="str">
        <f t="shared" si="75"/>
        <v>No</v>
      </c>
      <c r="L4838">
        <f>ABS((C4838-EDA!$F$15)/EDA!$G$15)</f>
        <v>0.37102735674304993</v>
      </c>
      <c r="M4838" t="str">
        <f>IF(moras[[#This Row],[Z-Score Salario]]&gt;1.96, "Sí", "No")</f>
        <v>No</v>
      </c>
      <c r="N4838" s="14">
        <f>IF(ISBLANK(moras[[#This Row],[SALARIO]]), EDA!$M$8, moras[[#This Row],[SALARIO]])</f>
        <v>278030</v>
      </c>
      <c r="O4838" s="14">
        <f xml:space="preserve"> IF(ISBLANK(moras[[#This Row],[EDAD]]), EDA!$E$8, moras[[#This Row],[EDAD]])</f>
        <v>67</v>
      </c>
      <c r="P4838" s="14" t="str">
        <f>IF(
    OR(ISBLANK(moras[[#This Row],[TIPO_ASEGURAMIENTO]]), moras[[#This Row],[TIPO_ASEGURAMIENTO]]=""),
    EDA!$A$32,
    moras[[#This Row],[TIPO_ASEGURAMIENTO]]
)</f>
        <v>CONVENIOS ESPECIALES DE TRABAJADORES INDEPENDIENTES</v>
      </c>
    </row>
    <row r="4839" spans="1:16" x14ac:dyDescent="0.3">
      <c r="A4839">
        <v>4838</v>
      </c>
      <c r="B4839" t="s">
        <v>9</v>
      </c>
      <c r="C4839">
        <v>9252925</v>
      </c>
      <c r="D4839" t="s">
        <v>10</v>
      </c>
      <c r="E4839" t="s">
        <v>11</v>
      </c>
      <c r="F4839" t="s">
        <v>12</v>
      </c>
      <c r="G4839" t="s">
        <v>13</v>
      </c>
      <c r="H4839" t="s">
        <v>13</v>
      </c>
      <c r="I4839">
        <v>59</v>
      </c>
      <c r="J4839">
        <f>ABS((I4839-EDA!$A$15)/EDA!$B$15)</f>
        <v>1.2012209241700549</v>
      </c>
      <c r="K4839" t="str">
        <f t="shared" si="75"/>
        <v>No</v>
      </c>
      <c r="L4839">
        <f>ABS((C4839-EDA!$F$15)/EDA!$G$15)</f>
        <v>0.22167876845520104</v>
      </c>
      <c r="M4839" t="str">
        <f>IF(moras[[#This Row],[Z-Score Salario]]&gt;1.96, "Sí", "No")</f>
        <v>No</v>
      </c>
      <c r="N4839" s="14">
        <f>IF(ISBLANK(moras[[#This Row],[SALARIO]]), EDA!$M$8, moras[[#This Row],[SALARIO]])</f>
        <v>9252925</v>
      </c>
      <c r="O4839" s="14">
        <f xml:space="preserve"> IF(ISBLANK(moras[[#This Row],[EDAD]]), EDA!$E$8, moras[[#This Row],[EDAD]])</f>
        <v>59</v>
      </c>
      <c r="P4839" s="14" t="str">
        <f>IF(
    OR(ISBLANK(moras[[#This Row],[TIPO_ASEGURAMIENTO]]), moras[[#This Row],[TIPO_ASEGURAMIENTO]]=""),
    EDA!$A$32,
    moras[[#This Row],[TIPO_ASEGURAMIENTO]]
)</f>
        <v>ASALARIADO</v>
      </c>
    </row>
    <row r="4840" spans="1:16" x14ac:dyDescent="0.3">
      <c r="A4840">
        <v>4839</v>
      </c>
      <c r="B4840" t="s">
        <v>9</v>
      </c>
      <c r="C4840">
        <v>278030</v>
      </c>
      <c r="D4840" t="s">
        <v>18</v>
      </c>
      <c r="E4840" t="s">
        <v>16</v>
      </c>
      <c r="F4840" t="s">
        <v>12</v>
      </c>
      <c r="G4840" t="s">
        <v>13</v>
      </c>
      <c r="H4840" t="s">
        <v>13</v>
      </c>
      <c r="I4840">
        <v>46</v>
      </c>
      <c r="J4840">
        <f>ABS((I4840-EDA!$A$15)/EDA!$B$15)</f>
        <v>0.2837416331672673</v>
      </c>
      <c r="K4840" t="str">
        <f t="shared" si="75"/>
        <v>No</v>
      </c>
      <c r="L4840">
        <f>ABS((C4840-EDA!$F$15)/EDA!$G$15)</f>
        <v>0.37102735674304993</v>
      </c>
      <c r="M4840" t="str">
        <f>IF(moras[[#This Row],[Z-Score Salario]]&gt;1.96, "Sí", "No")</f>
        <v>No</v>
      </c>
      <c r="N4840" s="14">
        <f>IF(ISBLANK(moras[[#This Row],[SALARIO]]), EDA!$M$8, moras[[#This Row],[SALARIO]])</f>
        <v>278030</v>
      </c>
      <c r="O4840" s="14">
        <f xml:space="preserve"> IF(ISBLANK(moras[[#This Row],[EDAD]]), EDA!$E$8, moras[[#This Row],[EDAD]])</f>
        <v>46</v>
      </c>
      <c r="P4840" s="14" t="str">
        <f>IF(
    OR(ISBLANK(moras[[#This Row],[TIPO_ASEGURAMIENTO]]), moras[[#This Row],[TIPO_ASEGURAMIENTO]]=""),
    EDA!$A$32,
    moras[[#This Row],[TIPO_ASEGURAMIENTO]]
)</f>
        <v>TRABAJADOR INDEPENDIENTE</v>
      </c>
    </row>
    <row r="4841" spans="1:16" x14ac:dyDescent="0.3">
      <c r="A4841">
        <v>4840</v>
      </c>
      <c r="B4841" t="s">
        <v>9</v>
      </c>
      <c r="C4841">
        <v>411350</v>
      </c>
      <c r="D4841" t="s">
        <v>10</v>
      </c>
      <c r="E4841" t="s">
        <v>16</v>
      </c>
      <c r="F4841" t="s">
        <v>12</v>
      </c>
      <c r="G4841" t="s">
        <v>13</v>
      </c>
      <c r="H4841" t="s">
        <v>13</v>
      </c>
      <c r="I4841">
        <v>44</v>
      </c>
      <c r="J4841">
        <f>ABS((I4841-EDA!$A$15)/EDA!$B$15)</f>
        <v>0.14259097301299228</v>
      </c>
      <c r="K4841" t="str">
        <f t="shared" si="75"/>
        <v>No</v>
      </c>
      <c r="L4841">
        <f>ABS((C4841-EDA!$F$15)/EDA!$G$15)</f>
        <v>0.3688088178308358</v>
      </c>
      <c r="M4841" t="str">
        <f>IF(moras[[#This Row],[Z-Score Salario]]&gt;1.96, "Sí", "No")</f>
        <v>No</v>
      </c>
      <c r="N4841" s="14">
        <f>IF(ISBLANK(moras[[#This Row],[SALARIO]]), EDA!$M$8, moras[[#This Row],[SALARIO]])</f>
        <v>411350</v>
      </c>
      <c r="O4841" s="14">
        <f xml:space="preserve"> IF(ISBLANK(moras[[#This Row],[EDAD]]), EDA!$E$8, moras[[#This Row],[EDAD]])</f>
        <v>44</v>
      </c>
      <c r="P4841" s="14" t="str">
        <f>IF(
    OR(ISBLANK(moras[[#This Row],[TIPO_ASEGURAMIENTO]]), moras[[#This Row],[TIPO_ASEGURAMIENTO]]=""),
    EDA!$A$32,
    moras[[#This Row],[TIPO_ASEGURAMIENTO]]
)</f>
        <v>ASALARIADO</v>
      </c>
    </row>
    <row r="4842" spans="1:16" x14ac:dyDescent="0.3">
      <c r="A4842">
        <v>4841</v>
      </c>
      <c r="B4842" t="s">
        <v>15</v>
      </c>
      <c r="C4842">
        <v>2186234</v>
      </c>
      <c r="D4842" t="s">
        <v>10</v>
      </c>
      <c r="E4842" t="s">
        <v>16</v>
      </c>
      <c r="F4842" t="s">
        <v>12</v>
      </c>
      <c r="G4842" t="s">
        <v>13</v>
      </c>
      <c r="H4842" t="s">
        <v>13</v>
      </c>
      <c r="I4842">
        <v>39</v>
      </c>
      <c r="J4842">
        <f>ABS((I4842-EDA!$A$15)/EDA!$B$15)</f>
        <v>0.21028567737269524</v>
      </c>
      <c r="K4842" t="str">
        <f t="shared" si="75"/>
        <v>No</v>
      </c>
      <c r="L4842">
        <f>ABS((C4842-EDA!$F$15)/EDA!$G$15)</f>
        <v>0.33927349515857164</v>
      </c>
      <c r="M4842" t="str">
        <f>IF(moras[[#This Row],[Z-Score Salario]]&gt;1.96, "Sí", "No")</f>
        <v>No</v>
      </c>
      <c r="N4842" s="14">
        <f>IF(ISBLANK(moras[[#This Row],[SALARIO]]), EDA!$M$8, moras[[#This Row],[SALARIO]])</f>
        <v>2186234</v>
      </c>
      <c r="O4842" s="14">
        <f xml:space="preserve"> IF(ISBLANK(moras[[#This Row],[EDAD]]), EDA!$E$8, moras[[#This Row],[EDAD]])</f>
        <v>39</v>
      </c>
      <c r="P4842" s="14" t="str">
        <f>IF(
    OR(ISBLANK(moras[[#This Row],[TIPO_ASEGURAMIENTO]]), moras[[#This Row],[TIPO_ASEGURAMIENTO]]=""),
    EDA!$A$32,
    moras[[#This Row],[TIPO_ASEGURAMIENTO]]
)</f>
        <v>ASALARIADO</v>
      </c>
    </row>
    <row r="4843" spans="1:16" x14ac:dyDescent="0.3">
      <c r="A4843">
        <v>4842</v>
      </c>
      <c r="B4843" t="s">
        <v>9</v>
      </c>
      <c r="C4843">
        <v>215378768</v>
      </c>
      <c r="D4843" t="s">
        <v>10</v>
      </c>
      <c r="E4843" t="s">
        <v>16</v>
      </c>
      <c r="F4843" t="s">
        <v>12</v>
      </c>
      <c r="G4843" t="s">
        <v>13</v>
      </c>
      <c r="H4843" t="s">
        <v>13</v>
      </c>
      <c r="I4843">
        <v>41</v>
      </c>
      <c r="J4843">
        <f>ABS((I4843-EDA!$A$15)/EDA!$B$15)</f>
        <v>6.9135017218420233E-2</v>
      </c>
      <c r="K4843" t="str">
        <f t="shared" si="75"/>
        <v>No</v>
      </c>
      <c r="L4843">
        <f>ABS((C4843-EDA!$F$15)/EDA!$G$15)</f>
        <v>3.2084007658115259</v>
      </c>
      <c r="M4843" t="str">
        <f>IF(moras[[#This Row],[Z-Score Salario]]&gt;1.96, "Sí", "No")</f>
        <v>Sí</v>
      </c>
      <c r="N4843" s="14">
        <f>IF(ISBLANK(moras[[#This Row],[SALARIO]]), EDA!$M$8, moras[[#This Row],[SALARIO]])</f>
        <v>215378768</v>
      </c>
      <c r="O4843" s="14">
        <f xml:space="preserve"> IF(ISBLANK(moras[[#This Row],[EDAD]]), EDA!$E$8, moras[[#This Row],[EDAD]])</f>
        <v>41</v>
      </c>
      <c r="P4843" s="14" t="str">
        <f>IF(
    OR(ISBLANK(moras[[#This Row],[TIPO_ASEGURAMIENTO]]), moras[[#This Row],[TIPO_ASEGURAMIENTO]]=""),
    EDA!$A$32,
    moras[[#This Row],[TIPO_ASEGURAMIENTO]]
)</f>
        <v>ASALARIADO</v>
      </c>
    </row>
    <row r="4844" spans="1:16" x14ac:dyDescent="0.3">
      <c r="A4844">
        <v>4843</v>
      </c>
      <c r="B4844" t="s">
        <v>15</v>
      </c>
      <c r="C4844">
        <v>25811856</v>
      </c>
      <c r="D4844" t="s">
        <v>10</v>
      </c>
      <c r="E4844" t="s">
        <v>16</v>
      </c>
      <c r="F4844" t="s">
        <v>12</v>
      </c>
      <c r="G4844" t="s">
        <v>13</v>
      </c>
      <c r="H4844" t="s">
        <v>13</v>
      </c>
      <c r="I4844">
        <v>21</v>
      </c>
      <c r="J4844">
        <f>ABS((I4844-EDA!$A$15)/EDA!$B$15)</f>
        <v>1.4806416187611704</v>
      </c>
      <c r="K4844" t="str">
        <f t="shared" si="75"/>
        <v>No</v>
      </c>
      <c r="L4844">
        <f>ABS((C4844-EDA!$F$15)/EDA!$G$15)</f>
        <v>5.3873532536164073E-2</v>
      </c>
      <c r="M4844" t="str">
        <f>IF(moras[[#This Row],[Z-Score Salario]]&gt;1.96, "Sí", "No")</f>
        <v>No</v>
      </c>
      <c r="N4844" s="14">
        <f>IF(ISBLANK(moras[[#This Row],[SALARIO]]), EDA!$M$8, moras[[#This Row],[SALARIO]])</f>
        <v>25811856</v>
      </c>
      <c r="O4844" s="14">
        <f xml:space="preserve"> IF(ISBLANK(moras[[#This Row],[EDAD]]), EDA!$E$8, moras[[#This Row],[EDAD]])</f>
        <v>21</v>
      </c>
      <c r="P4844" s="14" t="str">
        <f>IF(
    OR(ISBLANK(moras[[#This Row],[TIPO_ASEGURAMIENTO]]), moras[[#This Row],[TIPO_ASEGURAMIENTO]]=""),
    EDA!$A$32,
    moras[[#This Row],[TIPO_ASEGURAMIENTO]]
)</f>
        <v>ASALARIADO</v>
      </c>
    </row>
    <row r="4845" spans="1:16" x14ac:dyDescent="0.3">
      <c r="A4845">
        <v>4844</v>
      </c>
      <c r="B4845" t="s">
        <v>9</v>
      </c>
      <c r="C4845">
        <v>420248</v>
      </c>
      <c r="D4845" t="s">
        <v>18</v>
      </c>
      <c r="E4845" t="s">
        <v>16</v>
      </c>
      <c r="F4845" t="s">
        <v>12</v>
      </c>
      <c r="G4845" t="s">
        <v>13</v>
      </c>
      <c r="H4845" t="s">
        <v>12</v>
      </c>
      <c r="I4845">
        <v>33</v>
      </c>
      <c r="J4845">
        <f>ABS((I4845-EDA!$A$15)/EDA!$B$15)</f>
        <v>0.63373765783552027</v>
      </c>
      <c r="K4845" t="str">
        <f t="shared" si="75"/>
        <v>No</v>
      </c>
      <c r="L4845">
        <f>ABS((C4845-EDA!$F$15)/EDA!$G$15)</f>
        <v>0.36866074882962907</v>
      </c>
      <c r="M4845" t="str">
        <f>IF(moras[[#This Row],[Z-Score Salario]]&gt;1.96, "Sí", "No")</f>
        <v>No</v>
      </c>
      <c r="N4845" s="14">
        <f>IF(ISBLANK(moras[[#This Row],[SALARIO]]), EDA!$M$8, moras[[#This Row],[SALARIO]])</f>
        <v>420248</v>
      </c>
      <c r="O4845" s="14">
        <f xml:space="preserve"> IF(ISBLANK(moras[[#This Row],[EDAD]]), EDA!$E$8, moras[[#This Row],[EDAD]])</f>
        <v>33</v>
      </c>
      <c r="P4845" s="14" t="str">
        <f>IF(
    OR(ISBLANK(moras[[#This Row],[TIPO_ASEGURAMIENTO]]), moras[[#This Row],[TIPO_ASEGURAMIENTO]]=""),
    EDA!$A$32,
    moras[[#This Row],[TIPO_ASEGURAMIENTO]]
)</f>
        <v>TRABAJADOR INDEPENDIENTE</v>
      </c>
    </row>
    <row r="4846" spans="1:16" x14ac:dyDescent="0.3">
      <c r="A4846">
        <v>4845</v>
      </c>
      <c r="B4846" t="s">
        <v>9</v>
      </c>
      <c r="C4846">
        <v>734210</v>
      </c>
      <c r="D4846" t="s">
        <v>10</v>
      </c>
      <c r="E4846" t="s">
        <v>16</v>
      </c>
      <c r="F4846" t="s">
        <v>12</v>
      </c>
      <c r="G4846" t="s">
        <v>13</v>
      </c>
      <c r="H4846" t="s">
        <v>13</v>
      </c>
      <c r="I4846">
        <v>54</v>
      </c>
      <c r="J4846">
        <f>ABS((I4846-EDA!$A$15)/EDA!$B$15)</f>
        <v>0.84834427378436728</v>
      </c>
      <c r="K4846" t="str">
        <f t="shared" si="75"/>
        <v>No</v>
      </c>
      <c r="L4846">
        <f>ABS((C4846-EDA!$F$15)/EDA!$G$15)</f>
        <v>0.36343619952002382</v>
      </c>
      <c r="M4846" t="str">
        <f>IF(moras[[#This Row],[Z-Score Salario]]&gt;1.96, "Sí", "No")</f>
        <v>No</v>
      </c>
      <c r="N4846" s="14">
        <f>IF(ISBLANK(moras[[#This Row],[SALARIO]]), EDA!$M$8, moras[[#This Row],[SALARIO]])</f>
        <v>734210</v>
      </c>
      <c r="O4846" s="14">
        <f xml:space="preserve"> IF(ISBLANK(moras[[#This Row],[EDAD]]), EDA!$E$8, moras[[#This Row],[EDAD]])</f>
        <v>54</v>
      </c>
      <c r="P4846" s="14" t="str">
        <f>IF(
    OR(ISBLANK(moras[[#This Row],[TIPO_ASEGURAMIENTO]]), moras[[#This Row],[TIPO_ASEGURAMIENTO]]=""),
    EDA!$A$32,
    moras[[#This Row],[TIPO_ASEGURAMIENTO]]
)</f>
        <v>ASALARIADO</v>
      </c>
    </row>
    <row r="4847" spans="1:16" x14ac:dyDescent="0.3">
      <c r="A4847">
        <v>4846</v>
      </c>
      <c r="B4847" t="s">
        <v>15</v>
      </c>
      <c r="C4847">
        <v>406011</v>
      </c>
      <c r="D4847" t="s">
        <v>10</v>
      </c>
      <c r="E4847" t="s">
        <v>16</v>
      </c>
      <c r="F4847" t="s">
        <v>12</v>
      </c>
      <c r="G4847" t="s">
        <v>13</v>
      </c>
      <c r="H4847" t="s">
        <v>13</v>
      </c>
      <c r="I4847">
        <v>33</v>
      </c>
      <c r="J4847">
        <f>ABS((I4847-EDA!$A$15)/EDA!$B$15)</f>
        <v>0.63373765783552027</v>
      </c>
      <c r="K4847" t="str">
        <f t="shared" si="75"/>
        <v>No</v>
      </c>
      <c r="L4847">
        <f>ABS((C4847-EDA!$F$15)/EDA!$G$15)</f>
        <v>0.36889766255970102</v>
      </c>
      <c r="M4847" t="str">
        <f>IF(moras[[#This Row],[Z-Score Salario]]&gt;1.96, "Sí", "No")</f>
        <v>No</v>
      </c>
      <c r="N4847" s="14">
        <f>IF(ISBLANK(moras[[#This Row],[SALARIO]]), EDA!$M$8, moras[[#This Row],[SALARIO]])</f>
        <v>406011</v>
      </c>
      <c r="O4847" s="14">
        <f xml:space="preserve"> IF(ISBLANK(moras[[#This Row],[EDAD]]), EDA!$E$8, moras[[#This Row],[EDAD]])</f>
        <v>33</v>
      </c>
      <c r="P4847" s="14" t="str">
        <f>IF(
    OR(ISBLANK(moras[[#This Row],[TIPO_ASEGURAMIENTO]]), moras[[#This Row],[TIPO_ASEGURAMIENTO]]=""),
    EDA!$A$32,
    moras[[#This Row],[TIPO_ASEGURAMIENTO]]
)</f>
        <v>ASALARIADO</v>
      </c>
    </row>
    <row r="4848" spans="1:16" x14ac:dyDescent="0.3">
      <c r="A4848">
        <v>4847</v>
      </c>
      <c r="B4848" t="s">
        <v>9</v>
      </c>
      <c r="C4848">
        <v>500000</v>
      </c>
      <c r="D4848" t="s">
        <v>10</v>
      </c>
      <c r="E4848" t="s">
        <v>16</v>
      </c>
      <c r="F4848" t="s">
        <v>12</v>
      </c>
      <c r="G4848" t="s">
        <v>13</v>
      </c>
      <c r="H4848" t="s">
        <v>13</v>
      </c>
      <c r="I4848">
        <v>40</v>
      </c>
      <c r="J4848">
        <f>ABS((I4848-EDA!$A$15)/EDA!$B$15)</f>
        <v>0.13971034729555773</v>
      </c>
      <c r="K4848" t="str">
        <f t="shared" si="75"/>
        <v>No</v>
      </c>
      <c r="L4848">
        <f>ABS((C4848-EDA!$F$15)/EDA!$G$15)</f>
        <v>0.36733361925171953</v>
      </c>
      <c r="M4848" t="str">
        <f>IF(moras[[#This Row],[Z-Score Salario]]&gt;1.96, "Sí", "No")</f>
        <v>No</v>
      </c>
      <c r="N4848" s="14">
        <f>IF(ISBLANK(moras[[#This Row],[SALARIO]]), EDA!$M$8, moras[[#This Row],[SALARIO]])</f>
        <v>500000</v>
      </c>
      <c r="O4848" s="14">
        <f xml:space="preserve"> IF(ISBLANK(moras[[#This Row],[EDAD]]), EDA!$E$8, moras[[#This Row],[EDAD]])</f>
        <v>40</v>
      </c>
      <c r="P4848" s="14" t="str">
        <f>IF(
    OR(ISBLANK(moras[[#This Row],[TIPO_ASEGURAMIENTO]]), moras[[#This Row],[TIPO_ASEGURAMIENTO]]=""),
    EDA!$A$32,
    moras[[#This Row],[TIPO_ASEGURAMIENTO]]
)</f>
        <v>ASALARIADO</v>
      </c>
    </row>
    <row r="4849" spans="1:16" x14ac:dyDescent="0.3">
      <c r="A4849">
        <v>4848</v>
      </c>
      <c r="B4849" t="s">
        <v>9</v>
      </c>
      <c r="C4849">
        <v>8193226</v>
      </c>
      <c r="D4849" t="s">
        <v>10</v>
      </c>
      <c r="E4849" t="s">
        <v>16</v>
      </c>
      <c r="F4849" t="s">
        <v>12</v>
      </c>
      <c r="G4849" t="s">
        <v>13</v>
      </c>
      <c r="H4849" t="s">
        <v>13</v>
      </c>
      <c r="I4849">
        <v>39</v>
      </c>
      <c r="J4849">
        <f>ABS((I4849-EDA!$A$15)/EDA!$B$15)</f>
        <v>0.21028567737269524</v>
      </c>
      <c r="K4849" t="str">
        <f t="shared" si="75"/>
        <v>No</v>
      </c>
      <c r="L4849">
        <f>ABS((C4849-EDA!$F$15)/EDA!$G$15)</f>
        <v>0.23931290786965048</v>
      </c>
      <c r="M4849" t="str">
        <f>IF(moras[[#This Row],[Z-Score Salario]]&gt;1.96, "Sí", "No")</f>
        <v>No</v>
      </c>
      <c r="N4849" s="14">
        <f>IF(ISBLANK(moras[[#This Row],[SALARIO]]), EDA!$M$8, moras[[#This Row],[SALARIO]])</f>
        <v>8193226</v>
      </c>
      <c r="O4849" s="14">
        <f xml:space="preserve"> IF(ISBLANK(moras[[#This Row],[EDAD]]), EDA!$E$8, moras[[#This Row],[EDAD]])</f>
        <v>39</v>
      </c>
      <c r="P4849" s="14" t="str">
        <f>IF(
    OR(ISBLANK(moras[[#This Row],[TIPO_ASEGURAMIENTO]]), moras[[#This Row],[TIPO_ASEGURAMIENTO]]=""),
    EDA!$A$32,
    moras[[#This Row],[TIPO_ASEGURAMIENTO]]
)</f>
        <v>ASALARIADO</v>
      </c>
    </row>
    <row r="4850" spans="1:16" x14ac:dyDescent="0.3">
      <c r="A4850">
        <v>4849</v>
      </c>
      <c r="B4850" t="s">
        <v>9</v>
      </c>
      <c r="C4850">
        <v>316920</v>
      </c>
      <c r="D4850" t="s">
        <v>10</v>
      </c>
      <c r="E4850" t="s">
        <v>16</v>
      </c>
      <c r="F4850" t="s">
        <v>12</v>
      </c>
      <c r="G4850" t="s">
        <v>13</v>
      </c>
      <c r="H4850" t="s">
        <v>13</v>
      </c>
      <c r="I4850">
        <v>34</v>
      </c>
      <c r="J4850">
        <f>ABS((I4850-EDA!$A$15)/EDA!$B$15)</f>
        <v>0.56316232775838282</v>
      </c>
      <c r="K4850" t="str">
        <f t="shared" si="75"/>
        <v>No</v>
      </c>
      <c r="L4850">
        <f>ABS((C4850-EDA!$F$15)/EDA!$G$15)</f>
        <v>0.37038019969012459</v>
      </c>
      <c r="M4850" t="str">
        <f>IF(moras[[#This Row],[Z-Score Salario]]&gt;1.96, "Sí", "No")</f>
        <v>No</v>
      </c>
      <c r="N4850" s="14">
        <f>IF(ISBLANK(moras[[#This Row],[SALARIO]]), EDA!$M$8, moras[[#This Row],[SALARIO]])</f>
        <v>316920</v>
      </c>
      <c r="O4850" s="14">
        <f xml:space="preserve"> IF(ISBLANK(moras[[#This Row],[EDAD]]), EDA!$E$8, moras[[#This Row],[EDAD]])</f>
        <v>34</v>
      </c>
      <c r="P4850" s="14" t="str">
        <f>IF(
    OR(ISBLANK(moras[[#This Row],[TIPO_ASEGURAMIENTO]]), moras[[#This Row],[TIPO_ASEGURAMIENTO]]=""),
    EDA!$A$32,
    moras[[#This Row],[TIPO_ASEGURAMIENTO]]
)</f>
        <v>ASALARIADO</v>
      </c>
    </row>
    <row r="4851" spans="1:16" x14ac:dyDescent="0.3">
      <c r="A4851">
        <v>4850</v>
      </c>
      <c r="B4851" t="s">
        <v>9</v>
      </c>
      <c r="C4851">
        <v>41779218</v>
      </c>
      <c r="D4851" t="s">
        <v>10</v>
      </c>
      <c r="E4851" t="s">
        <v>16</v>
      </c>
      <c r="F4851" t="s">
        <v>12</v>
      </c>
      <c r="G4851" t="s">
        <v>13</v>
      </c>
      <c r="H4851" t="s">
        <v>13</v>
      </c>
      <c r="I4851">
        <v>37</v>
      </c>
      <c r="J4851">
        <f>ABS((I4851-EDA!$A$15)/EDA!$B$15)</f>
        <v>0.35143633752697023</v>
      </c>
      <c r="K4851" t="str">
        <f t="shared" si="75"/>
        <v>No</v>
      </c>
      <c r="L4851">
        <f>ABS((C4851-EDA!$F$15)/EDA!$G$15)</f>
        <v>0.3195817077717566</v>
      </c>
      <c r="M4851" t="str">
        <f>IF(moras[[#This Row],[Z-Score Salario]]&gt;1.96, "Sí", "No")</f>
        <v>No</v>
      </c>
      <c r="N4851" s="14">
        <f>IF(ISBLANK(moras[[#This Row],[SALARIO]]), EDA!$M$8, moras[[#This Row],[SALARIO]])</f>
        <v>41779218</v>
      </c>
      <c r="O4851" s="14">
        <f xml:space="preserve"> IF(ISBLANK(moras[[#This Row],[EDAD]]), EDA!$E$8, moras[[#This Row],[EDAD]])</f>
        <v>37</v>
      </c>
      <c r="P4851" s="14" t="str">
        <f>IF(
    OR(ISBLANK(moras[[#This Row],[TIPO_ASEGURAMIENTO]]), moras[[#This Row],[TIPO_ASEGURAMIENTO]]=""),
    EDA!$A$32,
    moras[[#This Row],[TIPO_ASEGURAMIENTO]]
)</f>
        <v>ASALARIADO</v>
      </c>
    </row>
    <row r="4852" spans="1:16" x14ac:dyDescent="0.3">
      <c r="A4852">
        <v>4851</v>
      </c>
      <c r="B4852" t="s">
        <v>15</v>
      </c>
      <c r="C4852">
        <v>297046</v>
      </c>
      <c r="D4852" t="s">
        <v>17</v>
      </c>
      <c r="E4852" t="s">
        <v>16</v>
      </c>
      <c r="F4852" t="s">
        <v>12</v>
      </c>
      <c r="G4852" t="s">
        <v>13</v>
      </c>
      <c r="H4852" t="s">
        <v>13</v>
      </c>
      <c r="I4852">
        <v>55</v>
      </c>
      <c r="J4852">
        <f>ABS((I4852-EDA!$A$15)/EDA!$B$15)</f>
        <v>0.91891960386150484</v>
      </c>
      <c r="K4852" t="str">
        <f t="shared" si="75"/>
        <v>No</v>
      </c>
      <c r="L4852">
        <f>ABS((C4852-EDA!$F$15)/EDA!$G$15)</f>
        <v>0.37071091707942361</v>
      </c>
      <c r="M4852" t="str">
        <f>IF(moras[[#This Row],[Z-Score Salario]]&gt;1.96, "Sí", "No")</f>
        <v>No</v>
      </c>
      <c r="N4852" s="14">
        <f>IF(ISBLANK(moras[[#This Row],[SALARIO]]), EDA!$M$8, moras[[#This Row],[SALARIO]])</f>
        <v>297046</v>
      </c>
      <c r="O4852" s="14">
        <f xml:space="preserve"> IF(ISBLANK(moras[[#This Row],[EDAD]]), EDA!$E$8, moras[[#This Row],[EDAD]])</f>
        <v>55</v>
      </c>
      <c r="P4852" s="14" t="str">
        <f>IF(
    OR(ISBLANK(moras[[#This Row],[TIPO_ASEGURAMIENTO]]), moras[[#This Row],[TIPO_ASEGURAMIENTO]]=""),
    EDA!$A$32,
    moras[[#This Row],[TIPO_ASEGURAMIENTO]]
)</f>
        <v>ASEGURADO VOLUNTARIO</v>
      </c>
    </row>
    <row r="4853" spans="1:16" x14ac:dyDescent="0.3">
      <c r="A4853">
        <v>4852</v>
      </c>
      <c r="B4853" t="s">
        <v>9</v>
      </c>
      <c r="C4853">
        <v>37129625</v>
      </c>
      <c r="D4853" t="s">
        <v>10</v>
      </c>
      <c r="E4853" t="s">
        <v>11</v>
      </c>
      <c r="F4853" t="s">
        <v>12</v>
      </c>
      <c r="G4853" t="s">
        <v>13</v>
      </c>
      <c r="H4853" t="s">
        <v>13</v>
      </c>
      <c r="I4853">
        <v>49</v>
      </c>
      <c r="J4853">
        <f>ABS((I4853-EDA!$A$15)/EDA!$B$15)</f>
        <v>0.49546762339867978</v>
      </c>
      <c r="K4853" t="str">
        <f t="shared" si="75"/>
        <v>No</v>
      </c>
      <c r="L4853">
        <f>ABS((C4853-EDA!$F$15)/EDA!$G$15)</f>
        <v>0.242209198047346</v>
      </c>
      <c r="M4853" t="str">
        <f>IF(moras[[#This Row],[Z-Score Salario]]&gt;1.96, "Sí", "No")</f>
        <v>No</v>
      </c>
      <c r="N4853" s="14">
        <f>IF(ISBLANK(moras[[#This Row],[SALARIO]]), EDA!$M$8, moras[[#This Row],[SALARIO]])</f>
        <v>37129625</v>
      </c>
      <c r="O4853" s="14">
        <f xml:space="preserve"> IF(ISBLANK(moras[[#This Row],[EDAD]]), EDA!$E$8, moras[[#This Row],[EDAD]])</f>
        <v>49</v>
      </c>
      <c r="P4853" s="14" t="str">
        <f>IF(
    OR(ISBLANK(moras[[#This Row],[TIPO_ASEGURAMIENTO]]), moras[[#This Row],[TIPO_ASEGURAMIENTO]]=""),
    EDA!$A$32,
    moras[[#This Row],[TIPO_ASEGURAMIENTO]]
)</f>
        <v>ASALARIADO</v>
      </c>
    </row>
    <row r="4854" spans="1:16" x14ac:dyDescent="0.3">
      <c r="A4854">
        <v>4853</v>
      </c>
      <c r="B4854" t="s">
        <v>9</v>
      </c>
      <c r="C4854">
        <v>639148</v>
      </c>
      <c r="D4854" t="s">
        <v>18</v>
      </c>
      <c r="E4854" t="s">
        <v>16</v>
      </c>
      <c r="F4854" t="s">
        <v>12</v>
      </c>
      <c r="G4854" t="s">
        <v>13</v>
      </c>
      <c r="H4854" t="s">
        <v>13</v>
      </c>
      <c r="I4854">
        <v>63</v>
      </c>
      <c r="J4854">
        <f>ABS((I4854-EDA!$A$15)/EDA!$B$15)</f>
        <v>1.4835222444786049</v>
      </c>
      <c r="K4854" t="str">
        <f t="shared" si="75"/>
        <v>No</v>
      </c>
      <c r="L4854">
        <f>ABS((C4854-EDA!$F$15)/EDA!$G$15)</f>
        <v>0.36501809830544912</v>
      </c>
      <c r="M4854" t="str">
        <f>IF(moras[[#This Row],[Z-Score Salario]]&gt;1.96, "Sí", "No")</f>
        <v>No</v>
      </c>
      <c r="N4854" s="14">
        <f>IF(ISBLANK(moras[[#This Row],[SALARIO]]), EDA!$M$8, moras[[#This Row],[SALARIO]])</f>
        <v>639148</v>
      </c>
      <c r="O4854" s="14">
        <f xml:space="preserve"> IF(ISBLANK(moras[[#This Row],[EDAD]]), EDA!$E$8, moras[[#This Row],[EDAD]])</f>
        <v>63</v>
      </c>
      <c r="P4854" s="14" t="str">
        <f>IF(
    OR(ISBLANK(moras[[#This Row],[TIPO_ASEGURAMIENTO]]), moras[[#This Row],[TIPO_ASEGURAMIENTO]]=""),
    EDA!$A$32,
    moras[[#This Row],[TIPO_ASEGURAMIENTO]]
)</f>
        <v>TRABAJADOR INDEPENDIENTE</v>
      </c>
    </row>
    <row r="4855" spans="1:16" x14ac:dyDescent="0.3">
      <c r="A4855">
        <v>4854</v>
      </c>
      <c r="B4855" t="s">
        <v>15</v>
      </c>
      <c r="C4855">
        <v>453750</v>
      </c>
      <c r="D4855" t="s">
        <v>10</v>
      </c>
      <c r="E4855" t="s">
        <v>16</v>
      </c>
      <c r="F4855" t="s">
        <v>12</v>
      </c>
      <c r="G4855" t="s">
        <v>12</v>
      </c>
      <c r="H4855" t="s">
        <v>13</v>
      </c>
      <c r="I4855">
        <v>27</v>
      </c>
      <c r="J4855">
        <f>ABS((I4855-EDA!$A$15)/EDA!$B$15)</f>
        <v>1.0571896382983452</v>
      </c>
      <c r="K4855" t="str">
        <f t="shared" si="75"/>
        <v>No</v>
      </c>
      <c r="L4855">
        <f>ABS((C4855-EDA!$F$15)/EDA!$G$15)</f>
        <v>0.36810325190015863</v>
      </c>
      <c r="M4855" t="str">
        <f>IF(moras[[#This Row],[Z-Score Salario]]&gt;1.96, "Sí", "No")</f>
        <v>No</v>
      </c>
      <c r="N4855" s="14">
        <f>IF(ISBLANK(moras[[#This Row],[SALARIO]]), EDA!$M$8, moras[[#This Row],[SALARIO]])</f>
        <v>453750</v>
      </c>
      <c r="O4855" s="14">
        <f xml:space="preserve"> IF(ISBLANK(moras[[#This Row],[EDAD]]), EDA!$E$8, moras[[#This Row],[EDAD]])</f>
        <v>27</v>
      </c>
      <c r="P4855" s="14" t="str">
        <f>IF(
    OR(ISBLANK(moras[[#This Row],[TIPO_ASEGURAMIENTO]]), moras[[#This Row],[TIPO_ASEGURAMIENTO]]=""),
    EDA!$A$32,
    moras[[#This Row],[TIPO_ASEGURAMIENTO]]
)</f>
        <v>ASALARIADO</v>
      </c>
    </row>
    <row r="4856" spans="1:16" x14ac:dyDescent="0.3">
      <c r="A4856">
        <v>4855</v>
      </c>
      <c r="B4856" t="s">
        <v>9</v>
      </c>
      <c r="C4856">
        <v>88904309</v>
      </c>
      <c r="D4856" t="s">
        <v>10</v>
      </c>
      <c r="E4856" t="s">
        <v>11</v>
      </c>
      <c r="F4856" t="s">
        <v>12</v>
      </c>
      <c r="G4856" t="s">
        <v>13</v>
      </c>
      <c r="H4856" t="s">
        <v>13</v>
      </c>
      <c r="I4856">
        <v>32</v>
      </c>
      <c r="J4856">
        <f>ABS((I4856-EDA!$A$15)/EDA!$B$15)</f>
        <v>0.70431298791265773</v>
      </c>
      <c r="K4856" t="str">
        <f t="shared" si="75"/>
        <v>No</v>
      </c>
      <c r="L4856">
        <f>ABS((C4856-EDA!$F$15)/EDA!$G$15)</f>
        <v>1.1037764881882866</v>
      </c>
      <c r="M4856" t="str">
        <f>IF(moras[[#This Row],[Z-Score Salario]]&gt;1.96, "Sí", "No")</f>
        <v>No</v>
      </c>
      <c r="N4856" s="14">
        <f>IF(ISBLANK(moras[[#This Row],[SALARIO]]), EDA!$M$8, moras[[#This Row],[SALARIO]])</f>
        <v>88904309</v>
      </c>
      <c r="O4856" s="14">
        <f xml:space="preserve"> IF(ISBLANK(moras[[#This Row],[EDAD]]), EDA!$E$8, moras[[#This Row],[EDAD]])</f>
        <v>32</v>
      </c>
      <c r="P4856" s="14" t="str">
        <f>IF(
    OR(ISBLANK(moras[[#This Row],[TIPO_ASEGURAMIENTO]]), moras[[#This Row],[TIPO_ASEGURAMIENTO]]=""),
    EDA!$A$32,
    moras[[#This Row],[TIPO_ASEGURAMIENTO]]
)</f>
        <v>ASALARIADO</v>
      </c>
    </row>
    <row r="4857" spans="1:16" x14ac:dyDescent="0.3">
      <c r="A4857">
        <v>4856</v>
      </c>
      <c r="B4857" t="s">
        <v>9</v>
      </c>
      <c r="C4857">
        <v>278030</v>
      </c>
      <c r="D4857" t="s">
        <v>17</v>
      </c>
      <c r="E4857" t="s">
        <v>16</v>
      </c>
      <c r="F4857" t="s">
        <v>12</v>
      </c>
      <c r="G4857" t="s">
        <v>12</v>
      </c>
      <c r="H4857" t="s">
        <v>13</v>
      </c>
      <c r="I4857">
        <v>48</v>
      </c>
      <c r="J4857">
        <f>ABS((I4857-EDA!$A$15)/EDA!$B$15)</f>
        <v>0.42489229332154227</v>
      </c>
      <c r="K4857" t="str">
        <f t="shared" si="75"/>
        <v>No</v>
      </c>
      <c r="L4857">
        <f>ABS((C4857-EDA!$F$15)/EDA!$G$15)</f>
        <v>0.37102735674304993</v>
      </c>
      <c r="M4857" t="str">
        <f>IF(moras[[#This Row],[Z-Score Salario]]&gt;1.96, "Sí", "No")</f>
        <v>No</v>
      </c>
      <c r="N4857" s="14">
        <f>IF(ISBLANK(moras[[#This Row],[SALARIO]]), EDA!$M$8, moras[[#This Row],[SALARIO]])</f>
        <v>278030</v>
      </c>
      <c r="O4857" s="14">
        <f xml:space="preserve"> IF(ISBLANK(moras[[#This Row],[EDAD]]), EDA!$E$8, moras[[#This Row],[EDAD]])</f>
        <v>48</v>
      </c>
      <c r="P4857" s="14" t="str">
        <f>IF(
    OR(ISBLANK(moras[[#This Row],[TIPO_ASEGURAMIENTO]]), moras[[#This Row],[TIPO_ASEGURAMIENTO]]=""),
    EDA!$A$32,
    moras[[#This Row],[TIPO_ASEGURAMIENTO]]
)</f>
        <v>ASEGURADO VOLUNTARIO</v>
      </c>
    </row>
    <row r="4858" spans="1:16" x14ac:dyDescent="0.3">
      <c r="A4858">
        <v>4857</v>
      </c>
      <c r="B4858" t="s">
        <v>9</v>
      </c>
      <c r="C4858">
        <v>660392</v>
      </c>
      <c r="D4858" t="s">
        <v>17</v>
      </c>
      <c r="E4858" t="s">
        <v>16</v>
      </c>
      <c r="F4858" t="s">
        <v>12</v>
      </c>
      <c r="G4858" t="s">
        <v>12</v>
      </c>
      <c r="H4858" t="s">
        <v>13</v>
      </c>
      <c r="I4858">
        <v>53</v>
      </c>
      <c r="J4858">
        <f>ABS((I4858-EDA!$A$15)/EDA!$B$15)</f>
        <v>0.77776894370722982</v>
      </c>
      <c r="K4858" t="str">
        <f t="shared" si="75"/>
        <v>No</v>
      </c>
      <c r="L4858">
        <f>ABS((C4858-EDA!$F$15)/EDA!$G$15)</f>
        <v>0.36466458314905037</v>
      </c>
      <c r="M4858" t="str">
        <f>IF(moras[[#This Row],[Z-Score Salario]]&gt;1.96, "Sí", "No")</f>
        <v>No</v>
      </c>
      <c r="N4858" s="14">
        <f>IF(ISBLANK(moras[[#This Row],[SALARIO]]), EDA!$M$8, moras[[#This Row],[SALARIO]])</f>
        <v>660392</v>
      </c>
      <c r="O4858" s="14">
        <f xml:space="preserve"> IF(ISBLANK(moras[[#This Row],[EDAD]]), EDA!$E$8, moras[[#This Row],[EDAD]])</f>
        <v>53</v>
      </c>
      <c r="P4858" s="14" t="str">
        <f>IF(
    OR(ISBLANK(moras[[#This Row],[TIPO_ASEGURAMIENTO]]), moras[[#This Row],[TIPO_ASEGURAMIENTO]]=""),
    EDA!$A$32,
    moras[[#This Row],[TIPO_ASEGURAMIENTO]]
)</f>
        <v>ASEGURADO VOLUNTARIO</v>
      </c>
    </row>
    <row r="4859" spans="1:16" x14ac:dyDescent="0.3">
      <c r="A4859">
        <v>4858</v>
      </c>
      <c r="B4859" t="s">
        <v>9</v>
      </c>
      <c r="C4859">
        <v>491840</v>
      </c>
      <c r="D4859" t="s">
        <v>14</v>
      </c>
      <c r="E4859" t="s">
        <v>11</v>
      </c>
      <c r="F4859" t="s">
        <v>12</v>
      </c>
      <c r="G4859" t="s">
        <v>13</v>
      </c>
      <c r="H4859" t="s">
        <v>13</v>
      </c>
      <c r="I4859">
        <v>72</v>
      </c>
      <c r="J4859">
        <f>ABS((I4859-EDA!$A$15)/EDA!$B$15)</f>
        <v>2.1187002151728422</v>
      </c>
      <c r="K4859" t="str">
        <f t="shared" si="75"/>
        <v>Sí</v>
      </c>
      <c r="L4859">
        <f>ABS((C4859-EDA!$F$15)/EDA!$G$15)</f>
        <v>0.36746940741196304</v>
      </c>
      <c r="M4859" t="str">
        <f>IF(moras[[#This Row],[Z-Score Salario]]&gt;1.96, "Sí", "No")</f>
        <v>No</v>
      </c>
      <c r="N4859" s="14">
        <f>IF(ISBLANK(moras[[#This Row],[SALARIO]]), EDA!$M$8, moras[[#This Row],[SALARIO]])</f>
        <v>491840</v>
      </c>
      <c r="O4859" s="14">
        <f xml:space="preserve"> IF(ISBLANK(moras[[#This Row],[EDAD]]), EDA!$E$8, moras[[#This Row],[EDAD]])</f>
        <v>72</v>
      </c>
      <c r="P4859" s="14" t="str">
        <f>IF(
    OR(ISBLANK(moras[[#This Row],[TIPO_ASEGURAMIENTO]]), moras[[#This Row],[TIPO_ASEGURAMIENTO]]=""),
    EDA!$A$32,
    moras[[#This Row],[TIPO_ASEGURAMIENTO]]
)</f>
        <v>PENSIONADOS EN SU PROPIO SISTEMA</v>
      </c>
    </row>
    <row r="4860" spans="1:16" x14ac:dyDescent="0.3">
      <c r="A4860">
        <v>4859</v>
      </c>
      <c r="B4860" t="s">
        <v>9</v>
      </c>
      <c r="C4860">
        <v>1089300</v>
      </c>
      <c r="D4860" t="s">
        <v>10</v>
      </c>
      <c r="E4860" t="s">
        <v>16</v>
      </c>
      <c r="F4860" t="s">
        <v>12</v>
      </c>
      <c r="G4860" t="s">
        <v>13</v>
      </c>
      <c r="H4860" t="s">
        <v>13</v>
      </c>
      <c r="I4860">
        <v>49</v>
      </c>
      <c r="J4860">
        <f>ABS((I4860-EDA!$A$15)/EDA!$B$15)</f>
        <v>0.49546762339867978</v>
      </c>
      <c r="K4860" t="str">
        <f t="shared" si="75"/>
        <v>No</v>
      </c>
      <c r="L4860">
        <f>ABS((C4860-EDA!$F$15)/EDA!$G$15)</f>
        <v>0.35752725125766172</v>
      </c>
      <c r="M4860" t="str">
        <f>IF(moras[[#This Row],[Z-Score Salario]]&gt;1.96, "Sí", "No")</f>
        <v>No</v>
      </c>
      <c r="N4860" s="14">
        <f>IF(ISBLANK(moras[[#This Row],[SALARIO]]), EDA!$M$8, moras[[#This Row],[SALARIO]])</f>
        <v>1089300</v>
      </c>
      <c r="O4860" s="14">
        <f xml:space="preserve"> IF(ISBLANK(moras[[#This Row],[EDAD]]), EDA!$E$8, moras[[#This Row],[EDAD]])</f>
        <v>49</v>
      </c>
      <c r="P4860" s="14" t="str">
        <f>IF(
    OR(ISBLANK(moras[[#This Row],[TIPO_ASEGURAMIENTO]]), moras[[#This Row],[TIPO_ASEGURAMIENTO]]=""),
    EDA!$A$32,
    moras[[#This Row],[TIPO_ASEGURAMIENTO]]
)</f>
        <v>ASALARIADO</v>
      </c>
    </row>
    <row r="4861" spans="1:16" x14ac:dyDescent="0.3">
      <c r="A4861">
        <v>4860</v>
      </c>
      <c r="B4861" t="s">
        <v>15</v>
      </c>
      <c r="C4861">
        <v>352830</v>
      </c>
      <c r="D4861" t="s">
        <v>10</v>
      </c>
      <c r="E4861" t="s">
        <v>16</v>
      </c>
      <c r="F4861" t="s">
        <v>12</v>
      </c>
      <c r="G4861" t="s">
        <v>13</v>
      </c>
      <c r="H4861" t="s">
        <v>13</v>
      </c>
      <c r="I4861">
        <v>22</v>
      </c>
      <c r="J4861">
        <f>ABS((I4861-EDA!$A$15)/EDA!$B$15)</f>
        <v>1.4100662886840327</v>
      </c>
      <c r="K4861" t="str">
        <f t="shared" si="75"/>
        <v>No</v>
      </c>
      <c r="L4861">
        <f>ABS((C4861-EDA!$F$15)/EDA!$G$15)</f>
        <v>0.36978263194081756</v>
      </c>
      <c r="M4861" t="str">
        <f>IF(moras[[#This Row],[Z-Score Salario]]&gt;1.96, "Sí", "No")</f>
        <v>No</v>
      </c>
      <c r="N4861" s="14">
        <f>IF(ISBLANK(moras[[#This Row],[SALARIO]]), EDA!$M$8, moras[[#This Row],[SALARIO]])</f>
        <v>352830</v>
      </c>
      <c r="O4861" s="14">
        <f xml:space="preserve"> IF(ISBLANK(moras[[#This Row],[EDAD]]), EDA!$E$8, moras[[#This Row],[EDAD]])</f>
        <v>22</v>
      </c>
      <c r="P4861" s="14" t="str">
        <f>IF(
    OR(ISBLANK(moras[[#This Row],[TIPO_ASEGURAMIENTO]]), moras[[#This Row],[TIPO_ASEGURAMIENTO]]=""),
    EDA!$A$32,
    moras[[#This Row],[TIPO_ASEGURAMIENTO]]
)</f>
        <v>ASALARIADO</v>
      </c>
    </row>
    <row r="4862" spans="1:16" x14ac:dyDescent="0.3">
      <c r="A4862">
        <v>4861</v>
      </c>
      <c r="B4862" t="s">
        <v>9</v>
      </c>
      <c r="C4862">
        <v>14170565</v>
      </c>
      <c r="D4862" t="s">
        <v>10</v>
      </c>
      <c r="E4862" t="s">
        <v>11</v>
      </c>
      <c r="F4862" t="s">
        <v>12</v>
      </c>
      <c r="G4862" t="s">
        <v>13</v>
      </c>
      <c r="H4862" t="s">
        <v>13</v>
      </c>
      <c r="I4862">
        <v>55</v>
      </c>
      <c r="J4862">
        <f>ABS((I4862-EDA!$A$15)/EDA!$B$15)</f>
        <v>0.91891960386150484</v>
      </c>
      <c r="K4862" t="str">
        <f t="shared" si="75"/>
        <v>No</v>
      </c>
      <c r="L4862">
        <f>ABS((C4862-EDA!$F$15)/EDA!$G$15)</f>
        <v>0.13984576743314373</v>
      </c>
      <c r="M4862" t="str">
        <f>IF(moras[[#This Row],[Z-Score Salario]]&gt;1.96, "Sí", "No")</f>
        <v>No</v>
      </c>
      <c r="N4862" s="14">
        <f>IF(ISBLANK(moras[[#This Row],[SALARIO]]), EDA!$M$8, moras[[#This Row],[SALARIO]])</f>
        <v>14170565</v>
      </c>
      <c r="O4862" s="14">
        <f xml:space="preserve"> IF(ISBLANK(moras[[#This Row],[EDAD]]), EDA!$E$8, moras[[#This Row],[EDAD]])</f>
        <v>55</v>
      </c>
      <c r="P4862" s="14" t="str">
        <f>IF(
    OR(ISBLANK(moras[[#This Row],[TIPO_ASEGURAMIENTO]]), moras[[#This Row],[TIPO_ASEGURAMIENTO]]=""),
    EDA!$A$32,
    moras[[#This Row],[TIPO_ASEGURAMIENTO]]
)</f>
        <v>ASALARIADO</v>
      </c>
    </row>
    <row r="4863" spans="1:16" x14ac:dyDescent="0.3">
      <c r="A4863">
        <v>4862</v>
      </c>
      <c r="B4863" t="s">
        <v>15</v>
      </c>
      <c r="C4863">
        <v>974906</v>
      </c>
      <c r="D4863" t="s">
        <v>10</v>
      </c>
      <c r="E4863" t="s">
        <v>11</v>
      </c>
      <c r="F4863" t="s">
        <v>12</v>
      </c>
      <c r="G4863" t="s">
        <v>13</v>
      </c>
      <c r="H4863" t="s">
        <v>13</v>
      </c>
      <c r="I4863">
        <v>50</v>
      </c>
      <c r="J4863">
        <f>ABS((I4863-EDA!$A$15)/EDA!$B$15)</f>
        <v>0.56604295347581735</v>
      </c>
      <c r="K4863" t="str">
        <f t="shared" si="75"/>
        <v>No</v>
      </c>
      <c r="L4863">
        <f>ABS((C4863-EDA!$F$15)/EDA!$G$15)</f>
        <v>0.3594308481697816</v>
      </c>
      <c r="M4863" t="str">
        <f>IF(moras[[#This Row],[Z-Score Salario]]&gt;1.96, "Sí", "No")</f>
        <v>No</v>
      </c>
      <c r="N4863" s="14">
        <f>IF(ISBLANK(moras[[#This Row],[SALARIO]]), EDA!$M$8, moras[[#This Row],[SALARIO]])</f>
        <v>974906</v>
      </c>
      <c r="O4863" s="14">
        <f xml:space="preserve"> IF(ISBLANK(moras[[#This Row],[EDAD]]), EDA!$E$8, moras[[#This Row],[EDAD]])</f>
        <v>50</v>
      </c>
      <c r="P4863" s="14" t="str">
        <f>IF(
    OR(ISBLANK(moras[[#This Row],[TIPO_ASEGURAMIENTO]]), moras[[#This Row],[TIPO_ASEGURAMIENTO]]=""),
    EDA!$A$32,
    moras[[#This Row],[TIPO_ASEGURAMIENTO]]
)</f>
        <v>ASALARIADO</v>
      </c>
    </row>
    <row r="4864" spans="1:16" x14ac:dyDescent="0.3">
      <c r="A4864">
        <v>4863</v>
      </c>
      <c r="B4864" t="s">
        <v>15</v>
      </c>
      <c r="C4864">
        <v>430924</v>
      </c>
      <c r="D4864" t="s">
        <v>10</v>
      </c>
      <c r="E4864" t="s">
        <v>16</v>
      </c>
      <c r="F4864" t="s">
        <v>12</v>
      </c>
      <c r="G4864" t="s">
        <v>13</v>
      </c>
      <c r="H4864" t="s">
        <v>13</v>
      </c>
      <c r="I4864">
        <v>45</v>
      </c>
      <c r="J4864">
        <f>ABS((I4864-EDA!$A$15)/EDA!$B$15)</f>
        <v>0.21316630309012977</v>
      </c>
      <c r="K4864" t="str">
        <f t="shared" si="75"/>
        <v>No</v>
      </c>
      <c r="L4864">
        <f>ABS((C4864-EDA!$F$15)/EDA!$G$15)</f>
        <v>0.36848309265331047</v>
      </c>
      <c r="M4864" t="str">
        <f>IF(moras[[#This Row],[Z-Score Salario]]&gt;1.96, "Sí", "No")</f>
        <v>No</v>
      </c>
      <c r="N4864" s="14">
        <f>IF(ISBLANK(moras[[#This Row],[SALARIO]]), EDA!$M$8, moras[[#This Row],[SALARIO]])</f>
        <v>430924</v>
      </c>
      <c r="O4864" s="14">
        <f xml:space="preserve"> IF(ISBLANK(moras[[#This Row],[EDAD]]), EDA!$E$8, moras[[#This Row],[EDAD]])</f>
        <v>45</v>
      </c>
      <c r="P4864" s="14" t="str">
        <f>IF(
    OR(ISBLANK(moras[[#This Row],[TIPO_ASEGURAMIENTO]]), moras[[#This Row],[TIPO_ASEGURAMIENTO]]=""),
    EDA!$A$32,
    moras[[#This Row],[TIPO_ASEGURAMIENTO]]
)</f>
        <v>ASALARIADO</v>
      </c>
    </row>
    <row r="4865" spans="1:16" x14ac:dyDescent="0.3">
      <c r="A4865">
        <v>4864</v>
      </c>
      <c r="B4865" t="s">
        <v>15</v>
      </c>
      <c r="C4865">
        <v>218650</v>
      </c>
      <c r="D4865" t="s">
        <v>10</v>
      </c>
      <c r="E4865" t="s">
        <v>16</v>
      </c>
      <c r="F4865" t="s">
        <v>12</v>
      </c>
      <c r="G4865" t="s">
        <v>13</v>
      </c>
      <c r="H4865" t="s">
        <v>12</v>
      </c>
      <c r="I4865">
        <v>50</v>
      </c>
      <c r="J4865">
        <f>ABS((I4865-EDA!$A$15)/EDA!$B$15)</f>
        <v>0.56604295347581735</v>
      </c>
      <c r="K4865" t="str">
        <f t="shared" si="75"/>
        <v>No</v>
      </c>
      <c r="L4865">
        <f>ABS((C4865-EDA!$F$15)/EDA!$G$15)</f>
        <v>0.37201548186011618</v>
      </c>
      <c r="M4865" t="str">
        <f>IF(moras[[#This Row],[Z-Score Salario]]&gt;1.96, "Sí", "No")</f>
        <v>No</v>
      </c>
      <c r="N4865" s="14">
        <f>IF(ISBLANK(moras[[#This Row],[SALARIO]]), EDA!$M$8, moras[[#This Row],[SALARIO]])</f>
        <v>218650</v>
      </c>
      <c r="O4865" s="14">
        <f xml:space="preserve"> IF(ISBLANK(moras[[#This Row],[EDAD]]), EDA!$E$8, moras[[#This Row],[EDAD]])</f>
        <v>50</v>
      </c>
      <c r="P4865" s="14" t="str">
        <f>IF(
    OR(ISBLANK(moras[[#This Row],[TIPO_ASEGURAMIENTO]]), moras[[#This Row],[TIPO_ASEGURAMIENTO]]=""),
    EDA!$A$32,
    moras[[#This Row],[TIPO_ASEGURAMIENTO]]
)</f>
        <v>ASALARIADO</v>
      </c>
    </row>
    <row r="4866" spans="1:16" x14ac:dyDescent="0.3">
      <c r="A4866">
        <v>4865</v>
      </c>
      <c r="B4866" t="s">
        <v>9</v>
      </c>
      <c r="C4866">
        <v>459223</v>
      </c>
      <c r="D4866" t="s">
        <v>18</v>
      </c>
      <c r="E4866" t="s">
        <v>16</v>
      </c>
      <c r="F4866" t="s">
        <v>12</v>
      </c>
      <c r="G4866" t="s">
        <v>13</v>
      </c>
      <c r="H4866" t="s">
        <v>13</v>
      </c>
      <c r="I4866">
        <v>58</v>
      </c>
      <c r="J4866">
        <f>ABS((I4866-EDA!$A$15)/EDA!$B$15)</f>
        <v>1.1306455940929174</v>
      </c>
      <c r="K4866" t="str">
        <f t="shared" ref="K4866:K4929" si="76">IF(J4866 &gt;  1.96, "Sí","No")</f>
        <v>No</v>
      </c>
      <c r="L4866">
        <f>ABS((C4866-EDA!$F$15)/EDA!$G$15)</f>
        <v>0.36801217731670116</v>
      </c>
      <c r="M4866" t="str">
        <f>IF(moras[[#This Row],[Z-Score Salario]]&gt;1.96, "Sí", "No")</f>
        <v>No</v>
      </c>
      <c r="N4866" s="14">
        <f>IF(ISBLANK(moras[[#This Row],[SALARIO]]), EDA!$M$8, moras[[#This Row],[SALARIO]])</f>
        <v>459223</v>
      </c>
      <c r="O4866" s="14">
        <f xml:space="preserve"> IF(ISBLANK(moras[[#This Row],[EDAD]]), EDA!$E$8, moras[[#This Row],[EDAD]])</f>
        <v>58</v>
      </c>
      <c r="P4866" s="14" t="str">
        <f>IF(
    OR(ISBLANK(moras[[#This Row],[TIPO_ASEGURAMIENTO]]), moras[[#This Row],[TIPO_ASEGURAMIENTO]]=""),
    EDA!$A$32,
    moras[[#This Row],[TIPO_ASEGURAMIENTO]]
)</f>
        <v>TRABAJADOR INDEPENDIENTE</v>
      </c>
    </row>
    <row r="4867" spans="1:16" x14ac:dyDescent="0.3">
      <c r="A4867">
        <v>4866</v>
      </c>
      <c r="B4867" t="s">
        <v>9</v>
      </c>
      <c r="C4867">
        <v>105750</v>
      </c>
      <c r="D4867" t="s">
        <v>10</v>
      </c>
      <c r="E4867" t="s">
        <v>16</v>
      </c>
      <c r="F4867" t="s">
        <v>12</v>
      </c>
      <c r="G4867" t="s">
        <v>13</v>
      </c>
      <c r="H4867" t="s">
        <v>13</v>
      </c>
      <c r="I4867">
        <v>38</v>
      </c>
      <c r="J4867">
        <f>ABS((I4867-EDA!$A$15)/EDA!$B$15)</f>
        <v>0.28086100744983278</v>
      </c>
      <c r="K4867" t="str">
        <f t="shared" si="76"/>
        <v>No</v>
      </c>
      <c r="L4867">
        <f>ABS((C4867-EDA!$F$15)/EDA!$G$15)</f>
        <v>0.37389421755760327</v>
      </c>
      <c r="M4867" t="str">
        <f>IF(moras[[#This Row],[Z-Score Salario]]&gt;1.96, "Sí", "No")</f>
        <v>No</v>
      </c>
      <c r="N4867" s="14">
        <f>IF(ISBLANK(moras[[#This Row],[SALARIO]]), EDA!$M$8, moras[[#This Row],[SALARIO]])</f>
        <v>105750</v>
      </c>
      <c r="O4867" s="14">
        <f xml:space="preserve"> IF(ISBLANK(moras[[#This Row],[EDAD]]), EDA!$E$8, moras[[#This Row],[EDAD]])</f>
        <v>38</v>
      </c>
      <c r="P4867" s="14" t="str">
        <f>IF(
    OR(ISBLANK(moras[[#This Row],[TIPO_ASEGURAMIENTO]]), moras[[#This Row],[TIPO_ASEGURAMIENTO]]=""),
    EDA!$A$32,
    moras[[#This Row],[TIPO_ASEGURAMIENTO]]
)</f>
        <v>ASALARIADO</v>
      </c>
    </row>
    <row r="4868" spans="1:16" x14ac:dyDescent="0.3">
      <c r="A4868">
        <v>4867</v>
      </c>
      <c r="B4868" t="s">
        <v>9</v>
      </c>
      <c r="C4868">
        <v>341002</v>
      </c>
      <c r="D4868" t="s">
        <v>10</v>
      </c>
      <c r="E4868" t="s">
        <v>16</v>
      </c>
      <c r="F4868" t="s">
        <v>12</v>
      </c>
      <c r="G4868" t="s">
        <v>13</v>
      </c>
      <c r="H4868" t="s">
        <v>13</v>
      </c>
      <c r="I4868">
        <v>36</v>
      </c>
      <c r="J4868">
        <f>ABS((I4868-EDA!$A$15)/EDA!$B$15)</f>
        <v>0.42201166760410774</v>
      </c>
      <c r="K4868" t="str">
        <f t="shared" si="76"/>
        <v>No</v>
      </c>
      <c r="L4868">
        <f>ABS((C4868-EDA!$F$15)/EDA!$G$15)</f>
        <v>0.36997945821034706</v>
      </c>
      <c r="M4868" t="str">
        <f>IF(moras[[#This Row],[Z-Score Salario]]&gt;1.96, "Sí", "No")</f>
        <v>No</v>
      </c>
      <c r="N4868" s="14">
        <f>IF(ISBLANK(moras[[#This Row],[SALARIO]]), EDA!$M$8, moras[[#This Row],[SALARIO]])</f>
        <v>341002</v>
      </c>
      <c r="O4868" s="14">
        <f xml:space="preserve"> IF(ISBLANK(moras[[#This Row],[EDAD]]), EDA!$E$8, moras[[#This Row],[EDAD]])</f>
        <v>36</v>
      </c>
      <c r="P4868" s="14" t="str">
        <f>IF(
    OR(ISBLANK(moras[[#This Row],[TIPO_ASEGURAMIENTO]]), moras[[#This Row],[TIPO_ASEGURAMIENTO]]=""),
    EDA!$A$32,
    moras[[#This Row],[TIPO_ASEGURAMIENTO]]
)</f>
        <v>ASALARIADO</v>
      </c>
    </row>
    <row r="4869" spans="1:16" x14ac:dyDescent="0.3">
      <c r="A4869">
        <v>4868</v>
      </c>
      <c r="B4869" t="s">
        <v>9</v>
      </c>
      <c r="C4869">
        <v>49756622</v>
      </c>
      <c r="D4869" t="s">
        <v>10</v>
      </c>
      <c r="E4869" t="s">
        <v>16</v>
      </c>
      <c r="F4869" t="s">
        <v>12</v>
      </c>
      <c r="G4869" t="s">
        <v>13</v>
      </c>
      <c r="H4869" t="s">
        <v>13</v>
      </c>
      <c r="I4869">
        <v>34</v>
      </c>
      <c r="J4869">
        <f>ABS((I4869-EDA!$A$15)/EDA!$B$15)</f>
        <v>0.56316232775838282</v>
      </c>
      <c r="K4869" t="str">
        <f t="shared" si="76"/>
        <v>No</v>
      </c>
      <c r="L4869">
        <f>ABS((C4869-EDA!$F$15)/EDA!$G$15)</f>
        <v>0.45233134167854205</v>
      </c>
      <c r="M4869" t="str">
        <f>IF(moras[[#This Row],[Z-Score Salario]]&gt;1.96, "Sí", "No")</f>
        <v>No</v>
      </c>
      <c r="N4869" s="14">
        <f>IF(ISBLANK(moras[[#This Row],[SALARIO]]), EDA!$M$8, moras[[#This Row],[SALARIO]])</f>
        <v>49756622</v>
      </c>
      <c r="O4869" s="14">
        <f xml:space="preserve"> IF(ISBLANK(moras[[#This Row],[EDAD]]), EDA!$E$8, moras[[#This Row],[EDAD]])</f>
        <v>34</v>
      </c>
      <c r="P4869" s="14" t="str">
        <f>IF(
    OR(ISBLANK(moras[[#This Row],[TIPO_ASEGURAMIENTO]]), moras[[#This Row],[TIPO_ASEGURAMIENTO]]=""),
    EDA!$A$32,
    moras[[#This Row],[TIPO_ASEGURAMIENTO]]
)</f>
        <v>ASALARIADO</v>
      </c>
    </row>
    <row r="4870" spans="1:16" x14ac:dyDescent="0.3">
      <c r="A4870">
        <v>4869</v>
      </c>
      <c r="B4870" t="s">
        <v>15</v>
      </c>
      <c r="C4870">
        <v>40754736</v>
      </c>
      <c r="D4870" t="s">
        <v>10</v>
      </c>
      <c r="E4870" t="s">
        <v>11</v>
      </c>
      <c r="F4870" t="s">
        <v>12</v>
      </c>
      <c r="G4870" t="s">
        <v>13</v>
      </c>
      <c r="H4870" t="s">
        <v>13</v>
      </c>
      <c r="I4870">
        <v>61</v>
      </c>
      <c r="J4870">
        <f>ABS((I4870-EDA!$A$15)/EDA!$B$15)</f>
        <v>1.3423715843243298</v>
      </c>
      <c r="K4870" t="str">
        <f t="shared" si="76"/>
        <v>No</v>
      </c>
      <c r="L4870">
        <f>ABS((C4870-EDA!$F$15)/EDA!$G$15)</f>
        <v>0.30253360409741703</v>
      </c>
      <c r="M4870" t="str">
        <f>IF(moras[[#This Row],[Z-Score Salario]]&gt;1.96, "Sí", "No")</f>
        <v>No</v>
      </c>
      <c r="N4870" s="14">
        <f>IF(ISBLANK(moras[[#This Row],[SALARIO]]), EDA!$M$8, moras[[#This Row],[SALARIO]])</f>
        <v>40754736</v>
      </c>
      <c r="O4870" s="14">
        <f xml:space="preserve"> IF(ISBLANK(moras[[#This Row],[EDAD]]), EDA!$E$8, moras[[#This Row],[EDAD]])</f>
        <v>61</v>
      </c>
      <c r="P4870" s="14" t="str">
        <f>IF(
    OR(ISBLANK(moras[[#This Row],[TIPO_ASEGURAMIENTO]]), moras[[#This Row],[TIPO_ASEGURAMIENTO]]=""),
    EDA!$A$32,
    moras[[#This Row],[TIPO_ASEGURAMIENTO]]
)</f>
        <v>ASALARIADO</v>
      </c>
    </row>
    <row r="4871" spans="1:16" x14ac:dyDescent="0.3">
      <c r="A4871">
        <v>4870</v>
      </c>
      <c r="B4871" t="s">
        <v>9</v>
      </c>
      <c r="C4871">
        <v>11908588</v>
      </c>
      <c r="D4871" t="s">
        <v>10</v>
      </c>
      <c r="E4871" t="s">
        <v>11</v>
      </c>
      <c r="F4871" t="s">
        <v>12</v>
      </c>
      <c r="G4871" t="s">
        <v>13</v>
      </c>
      <c r="H4871" t="s">
        <v>13</v>
      </c>
      <c r="I4871">
        <v>59</v>
      </c>
      <c r="J4871">
        <f>ABS((I4871-EDA!$A$15)/EDA!$B$15)</f>
        <v>1.2012209241700549</v>
      </c>
      <c r="K4871" t="str">
        <f t="shared" si="76"/>
        <v>No</v>
      </c>
      <c r="L4871">
        <f>ABS((C4871-EDA!$F$15)/EDA!$G$15)</f>
        <v>0.17748666147029774</v>
      </c>
      <c r="M4871" t="str">
        <f>IF(moras[[#This Row],[Z-Score Salario]]&gt;1.96, "Sí", "No")</f>
        <v>No</v>
      </c>
      <c r="N4871" s="14">
        <f>IF(ISBLANK(moras[[#This Row],[SALARIO]]), EDA!$M$8, moras[[#This Row],[SALARIO]])</f>
        <v>11908588</v>
      </c>
      <c r="O4871" s="14">
        <f xml:space="preserve"> IF(ISBLANK(moras[[#This Row],[EDAD]]), EDA!$E$8, moras[[#This Row],[EDAD]])</f>
        <v>59</v>
      </c>
      <c r="P4871" s="14" t="str">
        <f>IF(
    OR(ISBLANK(moras[[#This Row],[TIPO_ASEGURAMIENTO]]), moras[[#This Row],[TIPO_ASEGURAMIENTO]]=""),
    EDA!$A$32,
    moras[[#This Row],[TIPO_ASEGURAMIENTO]]
)</f>
        <v>ASALARIADO</v>
      </c>
    </row>
    <row r="4872" spans="1:16" x14ac:dyDescent="0.3">
      <c r="A4872">
        <v>4871</v>
      </c>
      <c r="B4872" t="s">
        <v>15</v>
      </c>
      <c r="C4872">
        <v>297139</v>
      </c>
      <c r="D4872" t="s">
        <v>18</v>
      </c>
      <c r="E4872" t="s">
        <v>16</v>
      </c>
      <c r="F4872" t="s">
        <v>12</v>
      </c>
      <c r="G4872" t="s">
        <v>12</v>
      </c>
      <c r="H4872" t="s">
        <v>12</v>
      </c>
      <c r="I4872">
        <v>63</v>
      </c>
      <c r="J4872">
        <f>ABS((I4872-EDA!$A$15)/EDA!$B$15)</f>
        <v>1.4835222444786049</v>
      </c>
      <c r="K4872" t="str">
        <f t="shared" si="76"/>
        <v>No</v>
      </c>
      <c r="L4872">
        <f>ABS((C4872-EDA!$F$15)/EDA!$G$15)</f>
        <v>0.37070936949377375</v>
      </c>
      <c r="M4872" t="str">
        <f>IF(moras[[#This Row],[Z-Score Salario]]&gt;1.96, "Sí", "No")</f>
        <v>No</v>
      </c>
      <c r="N4872" s="14">
        <f>IF(ISBLANK(moras[[#This Row],[SALARIO]]), EDA!$M$8, moras[[#This Row],[SALARIO]])</f>
        <v>297139</v>
      </c>
      <c r="O4872" s="14">
        <f xml:space="preserve"> IF(ISBLANK(moras[[#This Row],[EDAD]]), EDA!$E$8, moras[[#This Row],[EDAD]])</f>
        <v>63</v>
      </c>
      <c r="P4872" s="14" t="str">
        <f>IF(
    OR(ISBLANK(moras[[#This Row],[TIPO_ASEGURAMIENTO]]), moras[[#This Row],[TIPO_ASEGURAMIENTO]]=""),
    EDA!$A$32,
    moras[[#This Row],[TIPO_ASEGURAMIENTO]]
)</f>
        <v>TRABAJADOR INDEPENDIENTE</v>
      </c>
    </row>
    <row r="4873" spans="1:16" x14ac:dyDescent="0.3">
      <c r="A4873">
        <v>4872</v>
      </c>
      <c r="B4873" t="s">
        <v>15</v>
      </c>
      <c r="C4873">
        <v>1990997</v>
      </c>
      <c r="D4873" t="s">
        <v>10</v>
      </c>
      <c r="E4873" t="s">
        <v>11</v>
      </c>
      <c r="F4873" t="s">
        <v>12</v>
      </c>
      <c r="G4873" t="s">
        <v>13</v>
      </c>
      <c r="H4873" t="s">
        <v>13</v>
      </c>
      <c r="I4873">
        <v>24</v>
      </c>
      <c r="J4873">
        <f>ABS((I4873-EDA!$A$15)/EDA!$B$15)</f>
        <v>1.2689156285297578</v>
      </c>
      <c r="K4873" t="str">
        <f t="shared" si="76"/>
        <v>No</v>
      </c>
      <c r="L4873">
        <f>ABS((C4873-EDA!$F$15)/EDA!$G$15)</f>
        <v>0.34252237665875124</v>
      </c>
      <c r="M4873" t="str">
        <f>IF(moras[[#This Row],[Z-Score Salario]]&gt;1.96, "Sí", "No")</f>
        <v>No</v>
      </c>
      <c r="N4873" s="14">
        <f>IF(ISBLANK(moras[[#This Row],[SALARIO]]), EDA!$M$8, moras[[#This Row],[SALARIO]])</f>
        <v>1990997</v>
      </c>
      <c r="O4873" s="14">
        <f xml:space="preserve"> IF(ISBLANK(moras[[#This Row],[EDAD]]), EDA!$E$8, moras[[#This Row],[EDAD]])</f>
        <v>24</v>
      </c>
      <c r="P4873" s="14" t="str">
        <f>IF(
    OR(ISBLANK(moras[[#This Row],[TIPO_ASEGURAMIENTO]]), moras[[#This Row],[TIPO_ASEGURAMIENTO]]=""),
    EDA!$A$32,
    moras[[#This Row],[TIPO_ASEGURAMIENTO]]
)</f>
        <v>ASALARIADO</v>
      </c>
    </row>
    <row r="4874" spans="1:16" x14ac:dyDescent="0.3">
      <c r="A4874">
        <v>4873</v>
      </c>
      <c r="B4874" t="s">
        <v>15</v>
      </c>
      <c r="C4874">
        <v>368050</v>
      </c>
      <c r="D4874" t="s">
        <v>10</v>
      </c>
      <c r="E4874" t="s">
        <v>16</v>
      </c>
      <c r="F4874" t="s">
        <v>12</v>
      </c>
      <c r="G4874" t="s">
        <v>13</v>
      </c>
      <c r="H4874" t="s">
        <v>13</v>
      </c>
      <c r="I4874">
        <v>42</v>
      </c>
      <c r="J4874">
        <f>ABS((I4874-EDA!$A$15)/EDA!$B$15)</f>
        <v>1.4403128587172659E-3</v>
      </c>
      <c r="K4874" t="str">
        <f t="shared" si="76"/>
        <v>No</v>
      </c>
      <c r="L4874">
        <f>ABS((C4874-EDA!$F$15)/EDA!$G$15)</f>
        <v>0.36952936039683393</v>
      </c>
      <c r="M4874" t="str">
        <f>IF(moras[[#This Row],[Z-Score Salario]]&gt;1.96, "Sí", "No")</f>
        <v>No</v>
      </c>
      <c r="N4874" s="14">
        <f>IF(ISBLANK(moras[[#This Row],[SALARIO]]), EDA!$M$8, moras[[#This Row],[SALARIO]])</f>
        <v>368050</v>
      </c>
      <c r="O4874" s="14">
        <f xml:space="preserve"> IF(ISBLANK(moras[[#This Row],[EDAD]]), EDA!$E$8, moras[[#This Row],[EDAD]])</f>
        <v>42</v>
      </c>
      <c r="P4874" s="14" t="str">
        <f>IF(
    OR(ISBLANK(moras[[#This Row],[TIPO_ASEGURAMIENTO]]), moras[[#This Row],[TIPO_ASEGURAMIENTO]]=""),
    EDA!$A$32,
    moras[[#This Row],[TIPO_ASEGURAMIENTO]]
)</f>
        <v>ASALARIADO</v>
      </c>
    </row>
    <row r="4875" spans="1:16" x14ac:dyDescent="0.3">
      <c r="A4875">
        <v>4874</v>
      </c>
      <c r="B4875" t="s">
        <v>9</v>
      </c>
      <c r="C4875">
        <v>433136</v>
      </c>
      <c r="D4875" t="s">
        <v>10</v>
      </c>
      <c r="E4875" t="s">
        <v>16</v>
      </c>
      <c r="F4875" t="s">
        <v>12</v>
      </c>
      <c r="G4875" t="s">
        <v>13</v>
      </c>
      <c r="H4875" t="s">
        <v>13</v>
      </c>
      <c r="I4875">
        <v>50</v>
      </c>
      <c r="J4875">
        <f>ABS((I4875-EDA!$A$15)/EDA!$B$15)</f>
        <v>0.56604295347581735</v>
      </c>
      <c r="K4875" t="str">
        <f t="shared" si="76"/>
        <v>No</v>
      </c>
      <c r="L4875">
        <f>ABS((C4875-EDA!$F$15)/EDA!$G$15)</f>
        <v>0.36844628341183266</v>
      </c>
      <c r="M4875" t="str">
        <f>IF(moras[[#This Row],[Z-Score Salario]]&gt;1.96, "Sí", "No")</f>
        <v>No</v>
      </c>
      <c r="N4875" s="14">
        <f>IF(ISBLANK(moras[[#This Row],[SALARIO]]), EDA!$M$8, moras[[#This Row],[SALARIO]])</f>
        <v>433136</v>
      </c>
      <c r="O4875" s="14">
        <f xml:space="preserve"> IF(ISBLANK(moras[[#This Row],[EDAD]]), EDA!$E$8, moras[[#This Row],[EDAD]])</f>
        <v>50</v>
      </c>
      <c r="P4875" s="14" t="str">
        <f>IF(
    OR(ISBLANK(moras[[#This Row],[TIPO_ASEGURAMIENTO]]), moras[[#This Row],[TIPO_ASEGURAMIENTO]]=""),
    EDA!$A$32,
    moras[[#This Row],[TIPO_ASEGURAMIENTO]]
)</f>
        <v>ASALARIADO</v>
      </c>
    </row>
    <row r="4876" spans="1:16" x14ac:dyDescent="0.3">
      <c r="A4876">
        <v>4875</v>
      </c>
      <c r="B4876" t="s">
        <v>9</v>
      </c>
      <c r="C4876">
        <v>1295895</v>
      </c>
      <c r="D4876" t="s">
        <v>10</v>
      </c>
      <c r="E4876" t="s">
        <v>16</v>
      </c>
      <c r="F4876" t="s">
        <v>12</v>
      </c>
      <c r="G4876" t="s">
        <v>13</v>
      </c>
      <c r="H4876" t="s">
        <v>13</v>
      </c>
      <c r="I4876">
        <v>32</v>
      </c>
      <c r="J4876">
        <f>ABS((I4876-EDA!$A$15)/EDA!$B$15)</f>
        <v>0.70431298791265773</v>
      </c>
      <c r="K4876" t="str">
        <f t="shared" si="76"/>
        <v>No</v>
      </c>
      <c r="L4876">
        <f>ABS((C4876-EDA!$F$15)/EDA!$G$15)</f>
        <v>0.35408936461973134</v>
      </c>
      <c r="M4876" t="str">
        <f>IF(moras[[#This Row],[Z-Score Salario]]&gt;1.96, "Sí", "No")</f>
        <v>No</v>
      </c>
      <c r="N4876" s="14">
        <f>IF(ISBLANK(moras[[#This Row],[SALARIO]]), EDA!$M$8, moras[[#This Row],[SALARIO]])</f>
        <v>1295895</v>
      </c>
      <c r="O4876" s="14">
        <f xml:space="preserve"> IF(ISBLANK(moras[[#This Row],[EDAD]]), EDA!$E$8, moras[[#This Row],[EDAD]])</f>
        <v>32</v>
      </c>
      <c r="P4876" s="14" t="str">
        <f>IF(
    OR(ISBLANK(moras[[#This Row],[TIPO_ASEGURAMIENTO]]), moras[[#This Row],[TIPO_ASEGURAMIENTO]]=""),
    EDA!$A$32,
    moras[[#This Row],[TIPO_ASEGURAMIENTO]]
)</f>
        <v>ASALARIADO</v>
      </c>
    </row>
    <row r="4877" spans="1:16" x14ac:dyDescent="0.3">
      <c r="A4877">
        <v>4876</v>
      </c>
      <c r="B4877" t="s">
        <v>9</v>
      </c>
      <c r="C4877">
        <v>898140</v>
      </c>
      <c r="D4877" t="s">
        <v>10</v>
      </c>
      <c r="E4877" t="s">
        <v>16</v>
      </c>
      <c r="F4877" t="s">
        <v>12</v>
      </c>
      <c r="G4877" t="s">
        <v>13</v>
      </c>
      <c r="H4877" t="s">
        <v>13</v>
      </c>
      <c r="I4877">
        <v>28</v>
      </c>
      <c r="J4877">
        <f>ABS((I4877-EDA!$A$15)/EDA!$B$15)</f>
        <v>0.98661430822120777</v>
      </c>
      <c r="K4877" t="str">
        <f t="shared" si="76"/>
        <v>No</v>
      </c>
      <c r="L4877">
        <f>ABS((C4877-EDA!$F$15)/EDA!$G$15)</f>
        <v>0.36070828859983733</v>
      </c>
      <c r="M4877" t="str">
        <f>IF(moras[[#This Row],[Z-Score Salario]]&gt;1.96, "Sí", "No")</f>
        <v>No</v>
      </c>
      <c r="N4877" s="14">
        <f>IF(ISBLANK(moras[[#This Row],[SALARIO]]), EDA!$M$8, moras[[#This Row],[SALARIO]])</f>
        <v>898140</v>
      </c>
      <c r="O4877" s="14">
        <f xml:space="preserve"> IF(ISBLANK(moras[[#This Row],[EDAD]]), EDA!$E$8, moras[[#This Row],[EDAD]])</f>
        <v>28</v>
      </c>
      <c r="P4877" s="14" t="str">
        <f>IF(
    OR(ISBLANK(moras[[#This Row],[TIPO_ASEGURAMIENTO]]), moras[[#This Row],[TIPO_ASEGURAMIENTO]]=""),
    EDA!$A$32,
    moras[[#This Row],[TIPO_ASEGURAMIENTO]]
)</f>
        <v>ASALARIADO</v>
      </c>
    </row>
    <row r="4878" spans="1:16" x14ac:dyDescent="0.3">
      <c r="A4878">
        <v>4877</v>
      </c>
      <c r="B4878" t="s">
        <v>9</v>
      </c>
      <c r="C4878">
        <v>53277564</v>
      </c>
      <c r="D4878" t="s">
        <v>10</v>
      </c>
      <c r="E4878" t="s">
        <v>16</v>
      </c>
      <c r="F4878" t="s">
        <v>12</v>
      </c>
      <c r="G4878" t="s">
        <v>13</v>
      </c>
      <c r="H4878" t="s">
        <v>13</v>
      </c>
      <c r="I4878">
        <v>47</v>
      </c>
      <c r="J4878">
        <f>ABS((I4878-EDA!$A$15)/EDA!$B$15)</f>
        <v>0.35431696324440481</v>
      </c>
      <c r="K4878" t="str">
        <f t="shared" si="76"/>
        <v>No</v>
      </c>
      <c r="L4878">
        <f>ABS((C4878-EDA!$F$15)/EDA!$G$15)</f>
        <v>0.51092230203444533</v>
      </c>
      <c r="M4878" t="str">
        <f>IF(moras[[#This Row],[Z-Score Salario]]&gt;1.96, "Sí", "No")</f>
        <v>No</v>
      </c>
      <c r="N4878" s="14">
        <f>IF(ISBLANK(moras[[#This Row],[SALARIO]]), EDA!$M$8, moras[[#This Row],[SALARIO]])</f>
        <v>53277564</v>
      </c>
      <c r="O4878" s="14">
        <f xml:space="preserve"> IF(ISBLANK(moras[[#This Row],[EDAD]]), EDA!$E$8, moras[[#This Row],[EDAD]])</f>
        <v>47</v>
      </c>
      <c r="P4878" s="14" t="str">
        <f>IF(
    OR(ISBLANK(moras[[#This Row],[TIPO_ASEGURAMIENTO]]), moras[[#This Row],[TIPO_ASEGURAMIENTO]]=""),
    EDA!$A$32,
    moras[[#This Row],[TIPO_ASEGURAMIENTO]]
)</f>
        <v>ASALARIADO</v>
      </c>
    </row>
    <row r="4879" spans="1:16" x14ac:dyDescent="0.3">
      <c r="A4879">
        <v>4878</v>
      </c>
      <c r="B4879" t="s">
        <v>15</v>
      </c>
      <c r="C4879">
        <v>63508035</v>
      </c>
      <c r="D4879" t="s">
        <v>14</v>
      </c>
      <c r="E4879" t="s">
        <v>11</v>
      </c>
      <c r="F4879" t="s">
        <v>12</v>
      </c>
      <c r="G4879" t="s">
        <v>13</v>
      </c>
      <c r="H4879" t="s">
        <v>13</v>
      </c>
      <c r="I4879">
        <v>65</v>
      </c>
      <c r="J4879">
        <f>ABS((I4879-EDA!$A$15)/EDA!$B$15)</f>
        <v>1.6246729046328798</v>
      </c>
      <c r="K4879" t="str">
        <f t="shared" si="76"/>
        <v>No</v>
      </c>
      <c r="L4879">
        <f>ABS((C4879-EDA!$F$15)/EDA!$G$15)</f>
        <v>0.68116456128870717</v>
      </c>
      <c r="M4879" t="str">
        <f>IF(moras[[#This Row],[Z-Score Salario]]&gt;1.96, "Sí", "No")</f>
        <v>No</v>
      </c>
      <c r="N4879" s="14">
        <f>IF(ISBLANK(moras[[#This Row],[SALARIO]]), EDA!$M$8, moras[[#This Row],[SALARIO]])</f>
        <v>63508035</v>
      </c>
      <c r="O4879" s="14">
        <f xml:space="preserve"> IF(ISBLANK(moras[[#This Row],[EDAD]]), EDA!$E$8, moras[[#This Row],[EDAD]])</f>
        <v>65</v>
      </c>
      <c r="P4879" s="14" t="str">
        <f>IF(
    OR(ISBLANK(moras[[#This Row],[TIPO_ASEGURAMIENTO]]), moras[[#This Row],[TIPO_ASEGURAMIENTO]]=""),
    EDA!$A$32,
    moras[[#This Row],[TIPO_ASEGURAMIENTO]]
)</f>
        <v>PENSIONADOS EN SU PROPIO SISTEMA</v>
      </c>
    </row>
    <row r="4880" spans="1:16" x14ac:dyDescent="0.3">
      <c r="A4880">
        <v>4879</v>
      </c>
      <c r="B4880" t="s">
        <v>15</v>
      </c>
      <c r="C4880">
        <v>278030</v>
      </c>
      <c r="D4880" t="s">
        <v>19</v>
      </c>
      <c r="E4880" t="s">
        <v>16</v>
      </c>
      <c r="F4880" t="s">
        <v>12</v>
      </c>
      <c r="G4880" t="s">
        <v>13</v>
      </c>
      <c r="H4880" t="s">
        <v>13</v>
      </c>
      <c r="I4880">
        <v>59</v>
      </c>
      <c r="J4880">
        <f>ABS((I4880-EDA!$A$15)/EDA!$B$15)</f>
        <v>1.2012209241700549</v>
      </c>
      <c r="K4880" t="str">
        <f t="shared" si="76"/>
        <v>No</v>
      </c>
      <c r="L4880">
        <f>ABS((C4880-EDA!$F$15)/EDA!$G$15)</f>
        <v>0.37102735674304993</v>
      </c>
      <c r="M4880" t="str">
        <f>IF(moras[[#This Row],[Z-Score Salario]]&gt;1.96, "Sí", "No")</f>
        <v>No</v>
      </c>
      <c r="N4880" s="14">
        <f>IF(ISBLANK(moras[[#This Row],[SALARIO]]), EDA!$M$8, moras[[#This Row],[SALARIO]])</f>
        <v>278030</v>
      </c>
      <c r="O4880" s="14">
        <f xml:space="preserve"> IF(ISBLANK(moras[[#This Row],[EDAD]]), EDA!$E$8, moras[[#This Row],[EDAD]])</f>
        <v>59</v>
      </c>
      <c r="P4880" s="14" t="str">
        <f>IF(
    OR(ISBLANK(moras[[#This Row],[TIPO_ASEGURAMIENTO]]), moras[[#This Row],[TIPO_ASEGURAMIENTO]]=""),
    EDA!$A$32,
    moras[[#This Row],[TIPO_ASEGURAMIENTO]]
)</f>
        <v>CONVENIOS ESPECIALES DE TRABAJADORES INDEPENDIENTES</v>
      </c>
    </row>
    <row r="4881" spans="1:16" x14ac:dyDescent="0.3">
      <c r="A4881">
        <v>4880</v>
      </c>
      <c r="B4881" t="s">
        <v>9</v>
      </c>
      <c r="C4881">
        <v>30825932</v>
      </c>
      <c r="D4881" t="s">
        <v>10</v>
      </c>
      <c r="E4881" t="s">
        <v>11</v>
      </c>
      <c r="F4881" t="s">
        <v>12</v>
      </c>
      <c r="G4881" t="s">
        <v>13</v>
      </c>
      <c r="H4881" t="s">
        <v>13</v>
      </c>
      <c r="I4881">
        <v>55</v>
      </c>
      <c r="J4881">
        <f>ABS((I4881-EDA!$A$15)/EDA!$B$15)</f>
        <v>0.91891960386150484</v>
      </c>
      <c r="K4881" t="str">
        <f t="shared" si="76"/>
        <v>No</v>
      </c>
      <c r="L4881">
        <f>ABS((C4881-EDA!$F$15)/EDA!$G$15)</f>
        <v>0.13731129667357006</v>
      </c>
      <c r="M4881" t="str">
        <f>IF(moras[[#This Row],[Z-Score Salario]]&gt;1.96, "Sí", "No")</f>
        <v>No</v>
      </c>
      <c r="N4881" s="14">
        <f>IF(ISBLANK(moras[[#This Row],[SALARIO]]), EDA!$M$8, moras[[#This Row],[SALARIO]])</f>
        <v>30825932</v>
      </c>
      <c r="O4881" s="14">
        <f xml:space="preserve"> IF(ISBLANK(moras[[#This Row],[EDAD]]), EDA!$E$8, moras[[#This Row],[EDAD]])</f>
        <v>55</v>
      </c>
      <c r="P4881" s="14" t="str">
        <f>IF(
    OR(ISBLANK(moras[[#This Row],[TIPO_ASEGURAMIENTO]]), moras[[#This Row],[TIPO_ASEGURAMIENTO]]=""),
    EDA!$A$32,
    moras[[#This Row],[TIPO_ASEGURAMIENTO]]
)</f>
        <v>ASALARIADO</v>
      </c>
    </row>
    <row r="4882" spans="1:16" x14ac:dyDescent="0.3">
      <c r="A4882">
        <v>4881</v>
      </c>
      <c r="B4882" t="s">
        <v>9</v>
      </c>
      <c r="C4882">
        <v>4577831</v>
      </c>
      <c r="D4882" t="s">
        <v>10</v>
      </c>
      <c r="E4882" t="s">
        <v>16</v>
      </c>
      <c r="F4882" t="s">
        <v>12</v>
      </c>
      <c r="G4882" t="s">
        <v>13</v>
      </c>
      <c r="H4882" t="s">
        <v>13</v>
      </c>
      <c r="I4882">
        <v>30</v>
      </c>
      <c r="J4882">
        <f>ABS((I4882-EDA!$A$15)/EDA!$B$15)</f>
        <v>0.84546364806693275</v>
      </c>
      <c r="K4882" t="str">
        <f t="shared" si="76"/>
        <v>No</v>
      </c>
      <c r="L4882">
        <f>ABS((C4882-EDA!$F$15)/EDA!$G$15)</f>
        <v>0.29947563282107859</v>
      </c>
      <c r="M4882" t="str">
        <f>IF(moras[[#This Row],[Z-Score Salario]]&gt;1.96, "Sí", "No")</f>
        <v>No</v>
      </c>
      <c r="N4882" s="14">
        <f>IF(ISBLANK(moras[[#This Row],[SALARIO]]), EDA!$M$8, moras[[#This Row],[SALARIO]])</f>
        <v>4577831</v>
      </c>
      <c r="O4882" s="14">
        <f xml:space="preserve"> IF(ISBLANK(moras[[#This Row],[EDAD]]), EDA!$E$8, moras[[#This Row],[EDAD]])</f>
        <v>30</v>
      </c>
      <c r="P4882" s="14" t="str">
        <f>IF(
    OR(ISBLANK(moras[[#This Row],[TIPO_ASEGURAMIENTO]]), moras[[#This Row],[TIPO_ASEGURAMIENTO]]=""),
    EDA!$A$32,
    moras[[#This Row],[TIPO_ASEGURAMIENTO]]
)</f>
        <v>ASALARIADO</v>
      </c>
    </row>
    <row r="4883" spans="1:16" x14ac:dyDescent="0.3">
      <c r="A4883">
        <v>4882</v>
      </c>
      <c r="B4883" t="s">
        <v>15</v>
      </c>
      <c r="C4883">
        <v>45228693</v>
      </c>
      <c r="D4883" t="s">
        <v>10</v>
      </c>
      <c r="E4883" t="s">
        <v>11</v>
      </c>
      <c r="F4883" t="s">
        <v>12</v>
      </c>
      <c r="G4883" t="s">
        <v>13</v>
      </c>
      <c r="H4883" t="s">
        <v>13</v>
      </c>
      <c r="I4883">
        <v>40</v>
      </c>
      <c r="J4883">
        <f>ABS((I4883-EDA!$A$15)/EDA!$B$15)</f>
        <v>0.13971034729555773</v>
      </c>
      <c r="K4883" t="str">
        <f t="shared" si="76"/>
        <v>No</v>
      </c>
      <c r="L4883">
        <f>ABS((C4883-EDA!$F$15)/EDA!$G$15)</f>
        <v>0.376983406798233</v>
      </c>
      <c r="M4883" t="str">
        <f>IF(moras[[#This Row],[Z-Score Salario]]&gt;1.96, "Sí", "No")</f>
        <v>No</v>
      </c>
      <c r="N4883" s="14">
        <f>IF(ISBLANK(moras[[#This Row],[SALARIO]]), EDA!$M$8, moras[[#This Row],[SALARIO]])</f>
        <v>45228693</v>
      </c>
      <c r="O4883" s="14">
        <f xml:space="preserve"> IF(ISBLANK(moras[[#This Row],[EDAD]]), EDA!$E$8, moras[[#This Row],[EDAD]])</f>
        <v>40</v>
      </c>
      <c r="P4883" s="14" t="str">
        <f>IF(
    OR(ISBLANK(moras[[#This Row],[TIPO_ASEGURAMIENTO]]), moras[[#This Row],[TIPO_ASEGURAMIENTO]]=""),
    EDA!$A$32,
    moras[[#This Row],[TIPO_ASEGURAMIENTO]]
)</f>
        <v>ASALARIADO</v>
      </c>
    </row>
    <row r="4884" spans="1:16" x14ac:dyDescent="0.3">
      <c r="A4884">
        <v>4883</v>
      </c>
      <c r="B4884" t="s">
        <v>9</v>
      </c>
      <c r="C4884">
        <v>38987739</v>
      </c>
      <c r="D4884" t="s">
        <v>10</v>
      </c>
      <c r="E4884" t="s">
        <v>16</v>
      </c>
      <c r="F4884" t="s">
        <v>12</v>
      </c>
      <c r="G4884" t="s">
        <v>13</v>
      </c>
      <c r="H4884" t="s">
        <v>13</v>
      </c>
      <c r="I4884">
        <v>31</v>
      </c>
      <c r="J4884">
        <f>ABS((I4884-EDA!$A$15)/EDA!$B$15)</f>
        <v>0.77488831798979529</v>
      </c>
      <c r="K4884" t="str">
        <f t="shared" si="76"/>
        <v>No</v>
      </c>
      <c r="L4884">
        <f>ABS((C4884-EDA!$F$15)/EDA!$G$15)</f>
        <v>0.27312952667268237</v>
      </c>
      <c r="M4884" t="str">
        <f>IF(moras[[#This Row],[Z-Score Salario]]&gt;1.96, "Sí", "No")</f>
        <v>No</v>
      </c>
      <c r="N4884" s="14">
        <f>IF(ISBLANK(moras[[#This Row],[SALARIO]]), EDA!$M$8, moras[[#This Row],[SALARIO]])</f>
        <v>38987739</v>
      </c>
      <c r="O4884" s="14">
        <f xml:space="preserve"> IF(ISBLANK(moras[[#This Row],[EDAD]]), EDA!$E$8, moras[[#This Row],[EDAD]])</f>
        <v>31</v>
      </c>
      <c r="P4884" s="14" t="str">
        <f>IF(
    OR(ISBLANK(moras[[#This Row],[TIPO_ASEGURAMIENTO]]), moras[[#This Row],[TIPO_ASEGURAMIENTO]]=""),
    EDA!$A$32,
    moras[[#This Row],[TIPO_ASEGURAMIENTO]]
)</f>
        <v>ASALARIADO</v>
      </c>
    </row>
    <row r="4885" spans="1:16" x14ac:dyDescent="0.3">
      <c r="A4885">
        <v>4884</v>
      </c>
      <c r="B4885" t="s">
        <v>9</v>
      </c>
      <c r="C4885">
        <v>69333248</v>
      </c>
      <c r="D4885" t="s">
        <v>10</v>
      </c>
      <c r="E4885" t="s">
        <v>16</v>
      </c>
      <c r="F4885" t="s">
        <v>12</v>
      </c>
      <c r="G4885" t="s">
        <v>13</v>
      </c>
      <c r="H4885" t="s">
        <v>13</v>
      </c>
      <c r="I4885">
        <v>20</v>
      </c>
      <c r="J4885">
        <f>ABS((I4885-EDA!$A$15)/EDA!$B$15)</f>
        <v>1.5512169488383079</v>
      </c>
      <c r="K4885" t="str">
        <f t="shared" si="76"/>
        <v>No</v>
      </c>
      <c r="L4885">
        <f>ABS((C4885-EDA!$F$15)/EDA!$G$15)</f>
        <v>0.77810021769761495</v>
      </c>
      <c r="M4885" t="str">
        <f>IF(moras[[#This Row],[Z-Score Salario]]&gt;1.96, "Sí", "No")</f>
        <v>No</v>
      </c>
      <c r="N4885" s="14">
        <f>IF(ISBLANK(moras[[#This Row],[SALARIO]]), EDA!$M$8, moras[[#This Row],[SALARIO]])</f>
        <v>69333248</v>
      </c>
      <c r="O4885" s="14">
        <f xml:space="preserve"> IF(ISBLANK(moras[[#This Row],[EDAD]]), EDA!$E$8, moras[[#This Row],[EDAD]])</f>
        <v>20</v>
      </c>
      <c r="P4885" s="14" t="str">
        <f>IF(
    OR(ISBLANK(moras[[#This Row],[TIPO_ASEGURAMIENTO]]), moras[[#This Row],[TIPO_ASEGURAMIENTO]]=""),
    EDA!$A$32,
    moras[[#This Row],[TIPO_ASEGURAMIENTO]]
)</f>
        <v>ASALARIADO</v>
      </c>
    </row>
    <row r="4886" spans="1:16" x14ac:dyDescent="0.3">
      <c r="A4886">
        <v>4885</v>
      </c>
      <c r="B4886" t="s">
        <v>9</v>
      </c>
      <c r="C4886">
        <v>278030</v>
      </c>
      <c r="D4886" t="s">
        <v>19</v>
      </c>
      <c r="E4886" t="s">
        <v>16</v>
      </c>
      <c r="F4886" t="s">
        <v>12</v>
      </c>
      <c r="G4886" t="s">
        <v>13</v>
      </c>
      <c r="H4886" t="s">
        <v>13</v>
      </c>
      <c r="I4886">
        <v>49</v>
      </c>
      <c r="J4886">
        <f>ABS((I4886-EDA!$A$15)/EDA!$B$15)</f>
        <v>0.49546762339867978</v>
      </c>
      <c r="K4886" t="str">
        <f t="shared" si="76"/>
        <v>No</v>
      </c>
      <c r="L4886">
        <f>ABS((C4886-EDA!$F$15)/EDA!$G$15)</f>
        <v>0.37102735674304993</v>
      </c>
      <c r="M4886" t="str">
        <f>IF(moras[[#This Row],[Z-Score Salario]]&gt;1.96, "Sí", "No")</f>
        <v>No</v>
      </c>
      <c r="N4886" s="14">
        <f>IF(ISBLANK(moras[[#This Row],[SALARIO]]), EDA!$M$8, moras[[#This Row],[SALARIO]])</f>
        <v>278030</v>
      </c>
      <c r="O4886" s="14">
        <f xml:space="preserve"> IF(ISBLANK(moras[[#This Row],[EDAD]]), EDA!$E$8, moras[[#This Row],[EDAD]])</f>
        <v>49</v>
      </c>
      <c r="P4886" s="14" t="str">
        <f>IF(
    OR(ISBLANK(moras[[#This Row],[TIPO_ASEGURAMIENTO]]), moras[[#This Row],[TIPO_ASEGURAMIENTO]]=""),
    EDA!$A$32,
    moras[[#This Row],[TIPO_ASEGURAMIENTO]]
)</f>
        <v>CONVENIOS ESPECIALES DE TRABAJADORES INDEPENDIENTES</v>
      </c>
    </row>
    <row r="4887" spans="1:16" x14ac:dyDescent="0.3">
      <c r="A4887">
        <v>4886</v>
      </c>
      <c r="B4887" t="s">
        <v>9</v>
      </c>
      <c r="C4887">
        <v>394319</v>
      </c>
      <c r="D4887" t="s">
        <v>10</v>
      </c>
      <c r="E4887" t="s">
        <v>16</v>
      </c>
      <c r="F4887" t="s">
        <v>12</v>
      </c>
      <c r="G4887" t="s">
        <v>13</v>
      </c>
      <c r="H4887" t="s">
        <v>13</v>
      </c>
      <c r="I4887">
        <v>34</v>
      </c>
      <c r="J4887">
        <f>ABS((I4887-EDA!$A$15)/EDA!$B$15)</f>
        <v>0.56316232775838282</v>
      </c>
      <c r="K4887" t="str">
        <f t="shared" si="76"/>
        <v>No</v>
      </c>
      <c r="L4887">
        <f>ABS((C4887-EDA!$F$15)/EDA!$G$15)</f>
        <v>0.36909222569322642</v>
      </c>
      <c r="M4887" t="str">
        <f>IF(moras[[#This Row],[Z-Score Salario]]&gt;1.96, "Sí", "No")</f>
        <v>No</v>
      </c>
      <c r="N4887" s="14">
        <f>IF(ISBLANK(moras[[#This Row],[SALARIO]]), EDA!$M$8, moras[[#This Row],[SALARIO]])</f>
        <v>394319</v>
      </c>
      <c r="O4887" s="14">
        <f xml:space="preserve"> IF(ISBLANK(moras[[#This Row],[EDAD]]), EDA!$E$8, moras[[#This Row],[EDAD]])</f>
        <v>34</v>
      </c>
      <c r="P4887" s="14" t="str">
        <f>IF(
    OR(ISBLANK(moras[[#This Row],[TIPO_ASEGURAMIENTO]]), moras[[#This Row],[TIPO_ASEGURAMIENTO]]=""),
    EDA!$A$32,
    moras[[#This Row],[TIPO_ASEGURAMIENTO]]
)</f>
        <v>ASALARIADO</v>
      </c>
    </row>
    <row r="4888" spans="1:16" x14ac:dyDescent="0.3">
      <c r="A4888">
        <v>4887</v>
      </c>
      <c r="B4888" t="s">
        <v>15</v>
      </c>
      <c r="C4888">
        <v>351823</v>
      </c>
      <c r="D4888" t="s">
        <v>10</v>
      </c>
      <c r="E4888" t="s">
        <v>11</v>
      </c>
      <c r="F4888" t="s">
        <v>12</v>
      </c>
      <c r="G4888" t="s">
        <v>13</v>
      </c>
      <c r="H4888" t="s">
        <v>13</v>
      </c>
      <c r="I4888">
        <v>27</v>
      </c>
      <c r="J4888">
        <f>ABS((I4888-EDA!$A$15)/EDA!$B$15)</f>
        <v>1.0571896382983452</v>
      </c>
      <c r="K4888" t="str">
        <f t="shared" si="76"/>
        <v>No</v>
      </c>
      <c r="L4888">
        <f>ABS((C4888-EDA!$F$15)/EDA!$G$15)</f>
        <v>0.36979938913167115</v>
      </c>
      <c r="M4888" t="str">
        <f>IF(moras[[#This Row],[Z-Score Salario]]&gt;1.96, "Sí", "No")</f>
        <v>No</v>
      </c>
      <c r="N4888" s="14">
        <f>IF(ISBLANK(moras[[#This Row],[SALARIO]]), EDA!$M$8, moras[[#This Row],[SALARIO]])</f>
        <v>351823</v>
      </c>
      <c r="O4888" s="14">
        <f xml:space="preserve"> IF(ISBLANK(moras[[#This Row],[EDAD]]), EDA!$E$8, moras[[#This Row],[EDAD]])</f>
        <v>27</v>
      </c>
      <c r="P4888" s="14" t="str">
        <f>IF(
    OR(ISBLANK(moras[[#This Row],[TIPO_ASEGURAMIENTO]]), moras[[#This Row],[TIPO_ASEGURAMIENTO]]=""),
    EDA!$A$32,
    moras[[#This Row],[TIPO_ASEGURAMIENTO]]
)</f>
        <v>ASALARIADO</v>
      </c>
    </row>
    <row r="4889" spans="1:16" x14ac:dyDescent="0.3">
      <c r="A4889">
        <v>4888</v>
      </c>
      <c r="B4889" t="s">
        <v>9</v>
      </c>
      <c r="C4889">
        <v>23260977</v>
      </c>
      <c r="D4889" t="s">
        <v>10</v>
      </c>
      <c r="E4889" t="s">
        <v>11</v>
      </c>
      <c r="F4889" t="s">
        <v>12</v>
      </c>
      <c r="G4889" t="s">
        <v>13</v>
      </c>
      <c r="H4889" t="s">
        <v>13</v>
      </c>
      <c r="I4889">
        <v>54</v>
      </c>
      <c r="J4889">
        <f>ABS((I4889-EDA!$A$15)/EDA!$B$15)</f>
        <v>0.84834427378436728</v>
      </c>
      <c r="K4889" t="str">
        <f t="shared" si="76"/>
        <v>No</v>
      </c>
      <c r="L4889">
        <f>ABS((C4889-EDA!$F$15)/EDA!$G$15)</f>
        <v>1.1425105279564451E-2</v>
      </c>
      <c r="M4889" t="str">
        <f>IF(moras[[#This Row],[Z-Score Salario]]&gt;1.96, "Sí", "No")</f>
        <v>No</v>
      </c>
      <c r="N4889" s="14">
        <f>IF(ISBLANK(moras[[#This Row],[SALARIO]]), EDA!$M$8, moras[[#This Row],[SALARIO]])</f>
        <v>23260977</v>
      </c>
      <c r="O4889" s="14">
        <f xml:space="preserve"> IF(ISBLANK(moras[[#This Row],[EDAD]]), EDA!$E$8, moras[[#This Row],[EDAD]])</f>
        <v>54</v>
      </c>
      <c r="P4889" s="14" t="str">
        <f>IF(
    OR(ISBLANK(moras[[#This Row],[TIPO_ASEGURAMIENTO]]), moras[[#This Row],[TIPO_ASEGURAMIENTO]]=""),
    EDA!$A$32,
    moras[[#This Row],[TIPO_ASEGURAMIENTO]]
)</f>
        <v>ASALARIADO</v>
      </c>
    </row>
    <row r="4890" spans="1:16" x14ac:dyDescent="0.3">
      <c r="A4890">
        <v>4889</v>
      </c>
      <c r="B4890" t="s">
        <v>9</v>
      </c>
      <c r="C4890">
        <v>267520</v>
      </c>
      <c r="D4890" t="s">
        <v>10</v>
      </c>
      <c r="E4890" t="s">
        <v>16</v>
      </c>
      <c r="F4890" t="s">
        <v>12</v>
      </c>
      <c r="G4890" t="s">
        <v>13</v>
      </c>
      <c r="H4890" t="s">
        <v>13</v>
      </c>
      <c r="I4890">
        <v>56</v>
      </c>
      <c r="J4890">
        <f>ABS((I4890-EDA!$A$15)/EDA!$B$15)</f>
        <v>0.9894949339386423</v>
      </c>
      <c r="K4890" t="str">
        <f t="shared" si="76"/>
        <v>No</v>
      </c>
      <c r="L4890">
        <f>ABS((C4890-EDA!$F$15)/EDA!$G$15)</f>
        <v>0.37120225056218714</v>
      </c>
      <c r="M4890" t="str">
        <f>IF(moras[[#This Row],[Z-Score Salario]]&gt;1.96, "Sí", "No")</f>
        <v>No</v>
      </c>
      <c r="N4890" s="14">
        <f>IF(ISBLANK(moras[[#This Row],[SALARIO]]), EDA!$M$8, moras[[#This Row],[SALARIO]])</f>
        <v>267520</v>
      </c>
      <c r="O4890" s="14">
        <f xml:space="preserve"> IF(ISBLANK(moras[[#This Row],[EDAD]]), EDA!$E$8, moras[[#This Row],[EDAD]])</f>
        <v>56</v>
      </c>
      <c r="P4890" s="14" t="str">
        <f>IF(
    OR(ISBLANK(moras[[#This Row],[TIPO_ASEGURAMIENTO]]), moras[[#This Row],[TIPO_ASEGURAMIENTO]]=""),
    EDA!$A$32,
    moras[[#This Row],[TIPO_ASEGURAMIENTO]]
)</f>
        <v>ASALARIADO</v>
      </c>
    </row>
    <row r="4891" spans="1:16" x14ac:dyDescent="0.3">
      <c r="A4891">
        <v>4890</v>
      </c>
      <c r="B4891" t="s">
        <v>9</v>
      </c>
      <c r="C4891">
        <v>1645618</v>
      </c>
      <c r="D4891" t="s">
        <v>10</v>
      </c>
      <c r="E4891" t="s">
        <v>16</v>
      </c>
      <c r="F4891" t="s">
        <v>12</v>
      </c>
      <c r="G4891" t="s">
        <v>13</v>
      </c>
      <c r="H4891" t="s">
        <v>13</v>
      </c>
      <c r="I4891">
        <v>28</v>
      </c>
      <c r="J4891">
        <f>ABS((I4891-EDA!$A$15)/EDA!$B$15)</f>
        <v>0.98661430822120777</v>
      </c>
      <c r="K4891" t="str">
        <f t="shared" si="76"/>
        <v>No</v>
      </c>
      <c r="L4891">
        <f>ABS((C4891-EDA!$F$15)/EDA!$G$15)</f>
        <v>0.34826972702600001</v>
      </c>
      <c r="M4891" t="str">
        <f>IF(moras[[#This Row],[Z-Score Salario]]&gt;1.96, "Sí", "No")</f>
        <v>No</v>
      </c>
      <c r="N4891" s="14">
        <f>IF(ISBLANK(moras[[#This Row],[SALARIO]]), EDA!$M$8, moras[[#This Row],[SALARIO]])</f>
        <v>1645618</v>
      </c>
      <c r="O4891" s="14">
        <f xml:space="preserve"> IF(ISBLANK(moras[[#This Row],[EDAD]]), EDA!$E$8, moras[[#This Row],[EDAD]])</f>
        <v>28</v>
      </c>
      <c r="P4891" s="14" t="str">
        <f>IF(
    OR(ISBLANK(moras[[#This Row],[TIPO_ASEGURAMIENTO]]), moras[[#This Row],[TIPO_ASEGURAMIENTO]]=""),
    EDA!$A$32,
    moras[[#This Row],[TIPO_ASEGURAMIENTO]]
)</f>
        <v>ASALARIADO</v>
      </c>
    </row>
    <row r="4892" spans="1:16" x14ac:dyDescent="0.3">
      <c r="A4892">
        <v>4891</v>
      </c>
      <c r="B4892" t="s">
        <v>9</v>
      </c>
      <c r="C4892">
        <v>278030</v>
      </c>
      <c r="D4892" t="s">
        <v>19</v>
      </c>
      <c r="E4892" t="s">
        <v>16</v>
      </c>
      <c r="F4892" t="s">
        <v>12</v>
      </c>
      <c r="G4892" t="s">
        <v>13</v>
      </c>
      <c r="H4892" t="s">
        <v>13</v>
      </c>
      <c r="I4892">
        <v>58</v>
      </c>
      <c r="J4892">
        <f>ABS((I4892-EDA!$A$15)/EDA!$B$15)</f>
        <v>1.1306455940929174</v>
      </c>
      <c r="K4892" t="str">
        <f t="shared" si="76"/>
        <v>No</v>
      </c>
      <c r="L4892">
        <f>ABS((C4892-EDA!$F$15)/EDA!$G$15)</f>
        <v>0.37102735674304993</v>
      </c>
      <c r="M4892" t="str">
        <f>IF(moras[[#This Row],[Z-Score Salario]]&gt;1.96, "Sí", "No")</f>
        <v>No</v>
      </c>
      <c r="N4892" s="14">
        <f>IF(ISBLANK(moras[[#This Row],[SALARIO]]), EDA!$M$8, moras[[#This Row],[SALARIO]])</f>
        <v>278030</v>
      </c>
      <c r="O4892" s="14">
        <f xml:space="preserve"> IF(ISBLANK(moras[[#This Row],[EDAD]]), EDA!$E$8, moras[[#This Row],[EDAD]])</f>
        <v>58</v>
      </c>
      <c r="P4892" s="14" t="str">
        <f>IF(
    OR(ISBLANK(moras[[#This Row],[TIPO_ASEGURAMIENTO]]), moras[[#This Row],[TIPO_ASEGURAMIENTO]]=""),
    EDA!$A$32,
    moras[[#This Row],[TIPO_ASEGURAMIENTO]]
)</f>
        <v>CONVENIOS ESPECIALES DE TRABAJADORES INDEPENDIENTES</v>
      </c>
    </row>
    <row r="4893" spans="1:16" x14ac:dyDescent="0.3">
      <c r="A4893">
        <v>4892</v>
      </c>
      <c r="B4893" t="s">
        <v>9</v>
      </c>
      <c r="C4893">
        <v>38615</v>
      </c>
      <c r="D4893" t="s">
        <v>10</v>
      </c>
      <c r="E4893" t="s">
        <v>16</v>
      </c>
      <c r="F4893" t="s">
        <v>12</v>
      </c>
      <c r="G4893" t="s">
        <v>13</v>
      </c>
      <c r="H4893" t="s">
        <v>13</v>
      </c>
      <c r="I4893">
        <v>26</v>
      </c>
      <c r="J4893">
        <f>ABS((I4893-EDA!$A$15)/EDA!$B$15)</f>
        <v>1.1277649683754829</v>
      </c>
      <c r="K4893" t="str">
        <f t="shared" si="76"/>
        <v>No</v>
      </c>
      <c r="L4893">
        <f>ABS((C4893-EDA!$F$15)/EDA!$G$15)</f>
        <v>0.37501139134901862</v>
      </c>
      <c r="M4893" t="str">
        <f>IF(moras[[#This Row],[Z-Score Salario]]&gt;1.96, "Sí", "No")</f>
        <v>No</v>
      </c>
      <c r="N4893" s="14">
        <f>IF(ISBLANK(moras[[#This Row],[SALARIO]]), EDA!$M$8, moras[[#This Row],[SALARIO]])</f>
        <v>38615</v>
      </c>
      <c r="O4893" s="14">
        <f xml:space="preserve"> IF(ISBLANK(moras[[#This Row],[EDAD]]), EDA!$E$8, moras[[#This Row],[EDAD]])</f>
        <v>26</v>
      </c>
      <c r="P4893" s="14" t="str">
        <f>IF(
    OR(ISBLANK(moras[[#This Row],[TIPO_ASEGURAMIENTO]]), moras[[#This Row],[TIPO_ASEGURAMIENTO]]=""),
    EDA!$A$32,
    moras[[#This Row],[TIPO_ASEGURAMIENTO]]
)</f>
        <v>ASALARIADO</v>
      </c>
    </row>
    <row r="4894" spans="1:16" x14ac:dyDescent="0.3">
      <c r="A4894">
        <v>4893</v>
      </c>
      <c r="B4894" t="s">
        <v>9</v>
      </c>
      <c r="C4894">
        <v>586357</v>
      </c>
      <c r="D4894" t="s">
        <v>14</v>
      </c>
      <c r="E4894" t="s">
        <v>11</v>
      </c>
      <c r="F4894" t="s">
        <v>12</v>
      </c>
      <c r="G4894" t="s">
        <v>13</v>
      </c>
      <c r="H4894" t="s">
        <v>13</v>
      </c>
      <c r="I4894">
        <v>91</v>
      </c>
      <c r="J4894">
        <f>ABS((I4894-EDA!$A$15)/EDA!$B$15)</f>
        <v>3.4596314866384548</v>
      </c>
      <c r="K4894" t="str">
        <f t="shared" si="76"/>
        <v>Sí</v>
      </c>
      <c r="L4894">
        <f>ABS((C4894-EDA!$F$15)/EDA!$G$15)</f>
        <v>0.36589657781125989</v>
      </c>
      <c r="M4894" t="str">
        <f>IF(moras[[#This Row],[Z-Score Salario]]&gt;1.96, "Sí", "No")</f>
        <v>No</v>
      </c>
      <c r="N4894" s="14">
        <f>IF(ISBLANK(moras[[#This Row],[SALARIO]]), EDA!$M$8, moras[[#This Row],[SALARIO]])</f>
        <v>586357</v>
      </c>
      <c r="O4894" s="14">
        <f xml:space="preserve"> IF(ISBLANK(moras[[#This Row],[EDAD]]), EDA!$E$8, moras[[#This Row],[EDAD]])</f>
        <v>91</v>
      </c>
      <c r="P4894" s="14" t="str">
        <f>IF(
    OR(ISBLANK(moras[[#This Row],[TIPO_ASEGURAMIENTO]]), moras[[#This Row],[TIPO_ASEGURAMIENTO]]=""),
    EDA!$A$32,
    moras[[#This Row],[TIPO_ASEGURAMIENTO]]
)</f>
        <v>PENSIONADOS EN SU PROPIO SISTEMA</v>
      </c>
    </row>
    <row r="4895" spans="1:16" x14ac:dyDescent="0.3">
      <c r="A4895">
        <v>4894</v>
      </c>
      <c r="B4895" t="s">
        <v>9</v>
      </c>
      <c r="C4895">
        <v>63354255</v>
      </c>
      <c r="D4895" t="s">
        <v>10</v>
      </c>
      <c r="E4895" t="s">
        <v>16</v>
      </c>
      <c r="F4895" t="s">
        <v>12</v>
      </c>
      <c r="G4895" t="s">
        <v>13</v>
      </c>
      <c r="H4895" t="s">
        <v>13</v>
      </c>
      <c r="I4895">
        <v>37</v>
      </c>
      <c r="J4895">
        <f>ABS((I4895-EDA!$A$15)/EDA!$B$15)</f>
        <v>0.35143633752697023</v>
      </c>
      <c r="K4895" t="str">
        <f t="shared" si="76"/>
        <v>No</v>
      </c>
      <c r="L4895">
        <f>ABS((C4895-EDA!$F$15)/EDA!$G$15)</f>
        <v>0.67860555353352947</v>
      </c>
      <c r="M4895" t="str">
        <f>IF(moras[[#This Row],[Z-Score Salario]]&gt;1.96, "Sí", "No")</f>
        <v>No</v>
      </c>
      <c r="N4895" s="14">
        <f>IF(ISBLANK(moras[[#This Row],[SALARIO]]), EDA!$M$8, moras[[#This Row],[SALARIO]])</f>
        <v>63354255</v>
      </c>
      <c r="O4895" s="14">
        <f xml:space="preserve"> IF(ISBLANK(moras[[#This Row],[EDAD]]), EDA!$E$8, moras[[#This Row],[EDAD]])</f>
        <v>37</v>
      </c>
      <c r="P4895" s="14" t="str">
        <f>IF(
    OR(ISBLANK(moras[[#This Row],[TIPO_ASEGURAMIENTO]]), moras[[#This Row],[TIPO_ASEGURAMIENTO]]=""),
    EDA!$A$32,
    moras[[#This Row],[TIPO_ASEGURAMIENTO]]
)</f>
        <v>ASALARIADO</v>
      </c>
    </row>
    <row r="4896" spans="1:16" x14ac:dyDescent="0.3">
      <c r="A4896">
        <v>4895</v>
      </c>
      <c r="B4896" t="s">
        <v>9</v>
      </c>
      <c r="C4896">
        <v>501669</v>
      </c>
      <c r="D4896" t="s">
        <v>18</v>
      </c>
      <c r="E4896" t="s">
        <v>16</v>
      </c>
      <c r="F4896" t="s">
        <v>12</v>
      </c>
      <c r="G4896" t="s">
        <v>13</v>
      </c>
      <c r="H4896" t="s">
        <v>13</v>
      </c>
      <c r="I4896">
        <v>44</v>
      </c>
      <c r="J4896">
        <f>ABS((I4896-EDA!$A$15)/EDA!$B$15)</f>
        <v>0.14259097301299228</v>
      </c>
      <c r="K4896" t="str">
        <f t="shared" si="76"/>
        <v>No</v>
      </c>
      <c r="L4896">
        <f>ABS((C4896-EDA!$F$15)/EDA!$G$15)</f>
        <v>0.36730584591355209</v>
      </c>
      <c r="M4896" t="str">
        <f>IF(moras[[#This Row],[Z-Score Salario]]&gt;1.96, "Sí", "No")</f>
        <v>No</v>
      </c>
      <c r="N4896" s="14">
        <f>IF(ISBLANK(moras[[#This Row],[SALARIO]]), EDA!$M$8, moras[[#This Row],[SALARIO]])</f>
        <v>501669</v>
      </c>
      <c r="O4896" s="14">
        <f xml:space="preserve"> IF(ISBLANK(moras[[#This Row],[EDAD]]), EDA!$E$8, moras[[#This Row],[EDAD]])</f>
        <v>44</v>
      </c>
      <c r="P4896" s="14" t="str">
        <f>IF(
    OR(ISBLANK(moras[[#This Row],[TIPO_ASEGURAMIENTO]]), moras[[#This Row],[TIPO_ASEGURAMIENTO]]=""),
    EDA!$A$32,
    moras[[#This Row],[TIPO_ASEGURAMIENTO]]
)</f>
        <v>TRABAJADOR INDEPENDIENTE</v>
      </c>
    </row>
    <row r="4897" spans="1:16" x14ac:dyDescent="0.3">
      <c r="A4897">
        <v>4896</v>
      </c>
      <c r="B4897" t="s">
        <v>15</v>
      </c>
      <c r="C4897">
        <v>787199</v>
      </c>
      <c r="D4897" t="s">
        <v>14</v>
      </c>
      <c r="E4897" t="s">
        <v>11</v>
      </c>
      <c r="F4897" t="s">
        <v>12</v>
      </c>
      <c r="G4897" t="s">
        <v>13</v>
      </c>
      <c r="H4897" t="s">
        <v>13</v>
      </c>
      <c r="I4897">
        <v>78</v>
      </c>
      <c r="J4897">
        <f>ABS((I4897-EDA!$A$15)/EDA!$B$15)</f>
        <v>2.5421521956356674</v>
      </c>
      <c r="K4897" t="str">
        <f t="shared" si="76"/>
        <v>Sí</v>
      </c>
      <c r="L4897">
        <f>ABS((C4897-EDA!$F$15)/EDA!$G$15)</f>
        <v>0.36255442515444242</v>
      </c>
      <c r="M4897" t="str">
        <f>IF(moras[[#This Row],[Z-Score Salario]]&gt;1.96, "Sí", "No")</f>
        <v>No</v>
      </c>
      <c r="N4897" s="14">
        <f>IF(ISBLANK(moras[[#This Row],[SALARIO]]), EDA!$M$8, moras[[#This Row],[SALARIO]])</f>
        <v>787199</v>
      </c>
      <c r="O4897" s="14">
        <f xml:space="preserve"> IF(ISBLANK(moras[[#This Row],[EDAD]]), EDA!$E$8, moras[[#This Row],[EDAD]])</f>
        <v>78</v>
      </c>
      <c r="P4897" s="14" t="str">
        <f>IF(
    OR(ISBLANK(moras[[#This Row],[TIPO_ASEGURAMIENTO]]), moras[[#This Row],[TIPO_ASEGURAMIENTO]]=""),
    EDA!$A$32,
    moras[[#This Row],[TIPO_ASEGURAMIENTO]]
)</f>
        <v>PENSIONADOS EN SU PROPIO SISTEMA</v>
      </c>
    </row>
    <row r="4898" spans="1:16" x14ac:dyDescent="0.3">
      <c r="A4898">
        <v>4897</v>
      </c>
      <c r="B4898" t="s">
        <v>9</v>
      </c>
      <c r="C4898">
        <v>23079207</v>
      </c>
      <c r="D4898" t="s">
        <v>10</v>
      </c>
      <c r="E4898" t="s">
        <v>11</v>
      </c>
      <c r="F4898" t="s">
        <v>12</v>
      </c>
      <c r="G4898" t="s">
        <v>13</v>
      </c>
      <c r="H4898" t="s">
        <v>13</v>
      </c>
      <c r="I4898">
        <v>48</v>
      </c>
      <c r="J4898">
        <f>ABS((I4898-EDA!$A$15)/EDA!$B$15)</f>
        <v>0.42489229332154227</v>
      </c>
      <c r="K4898" t="str">
        <f t="shared" si="76"/>
        <v>No</v>
      </c>
      <c r="L4898">
        <f>ABS((C4898-EDA!$F$15)/EDA!$G$15)</f>
        <v>8.4003241659043708E-3</v>
      </c>
      <c r="M4898" t="str">
        <f>IF(moras[[#This Row],[Z-Score Salario]]&gt;1.96, "Sí", "No")</f>
        <v>No</v>
      </c>
      <c r="N4898" s="14">
        <f>IF(ISBLANK(moras[[#This Row],[SALARIO]]), EDA!$M$8, moras[[#This Row],[SALARIO]])</f>
        <v>23079207</v>
      </c>
      <c r="O4898" s="14">
        <f xml:space="preserve"> IF(ISBLANK(moras[[#This Row],[EDAD]]), EDA!$E$8, moras[[#This Row],[EDAD]])</f>
        <v>48</v>
      </c>
      <c r="P4898" s="14" t="str">
        <f>IF(
    OR(ISBLANK(moras[[#This Row],[TIPO_ASEGURAMIENTO]]), moras[[#This Row],[TIPO_ASEGURAMIENTO]]=""),
    EDA!$A$32,
    moras[[#This Row],[TIPO_ASEGURAMIENTO]]
)</f>
        <v>ASALARIADO</v>
      </c>
    </row>
    <row r="4899" spans="1:16" x14ac:dyDescent="0.3">
      <c r="A4899">
        <v>4898</v>
      </c>
      <c r="B4899" t="s">
        <v>9</v>
      </c>
      <c r="C4899">
        <v>295503</v>
      </c>
      <c r="D4899" t="s">
        <v>10</v>
      </c>
      <c r="E4899" t="s">
        <v>16</v>
      </c>
      <c r="F4899" t="s">
        <v>12</v>
      </c>
      <c r="G4899" t="s">
        <v>13</v>
      </c>
      <c r="H4899" t="s">
        <v>13</v>
      </c>
      <c r="I4899">
        <v>34</v>
      </c>
      <c r="J4899">
        <f>ABS((I4899-EDA!$A$15)/EDA!$B$15)</f>
        <v>0.56316232775838282</v>
      </c>
      <c r="K4899" t="str">
        <f t="shared" si="76"/>
        <v>No</v>
      </c>
      <c r="L4899">
        <f>ABS((C4899-EDA!$F$15)/EDA!$G$15)</f>
        <v>0.37073659368864609</v>
      </c>
      <c r="M4899" t="str">
        <f>IF(moras[[#This Row],[Z-Score Salario]]&gt;1.96, "Sí", "No")</f>
        <v>No</v>
      </c>
      <c r="N4899" s="14">
        <f>IF(ISBLANK(moras[[#This Row],[SALARIO]]), EDA!$M$8, moras[[#This Row],[SALARIO]])</f>
        <v>295503</v>
      </c>
      <c r="O4899" s="14">
        <f xml:space="preserve"> IF(ISBLANK(moras[[#This Row],[EDAD]]), EDA!$E$8, moras[[#This Row],[EDAD]])</f>
        <v>34</v>
      </c>
      <c r="P4899" s="14" t="str">
        <f>IF(
    OR(ISBLANK(moras[[#This Row],[TIPO_ASEGURAMIENTO]]), moras[[#This Row],[TIPO_ASEGURAMIENTO]]=""),
    EDA!$A$32,
    moras[[#This Row],[TIPO_ASEGURAMIENTO]]
)</f>
        <v>ASALARIADO</v>
      </c>
    </row>
    <row r="4900" spans="1:16" x14ac:dyDescent="0.3">
      <c r="A4900">
        <v>4899</v>
      </c>
      <c r="B4900" t="s">
        <v>9</v>
      </c>
      <c r="C4900">
        <v>1220204</v>
      </c>
      <c r="D4900" t="s">
        <v>10</v>
      </c>
      <c r="E4900" t="s">
        <v>11</v>
      </c>
      <c r="F4900" t="s">
        <v>12</v>
      </c>
      <c r="G4900" t="s">
        <v>13</v>
      </c>
      <c r="H4900" t="s">
        <v>13</v>
      </c>
      <c r="I4900">
        <v>45</v>
      </c>
      <c r="J4900">
        <f>ABS((I4900-EDA!$A$15)/EDA!$B$15)</f>
        <v>0.21316630309012977</v>
      </c>
      <c r="K4900" t="str">
        <f t="shared" si="76"/>
        <v>No</v>
      </c>
      <c r="L4900">
        <f>ABS((C4900-EDA!$F$15)/EDA!$G$15)</f>
        <v>0.35534891629093146</v>
      </c>
      <c r="M4900" t="str">
        <f>IF(moras[[#This Row],[Z-Score Salario]]&gt;1.96, "Sí", "No")</f>
        <v>No</v>
      </c>
      <c r="N4900" s="14">
        <f>IF(ISBLANK(moras[[#This Row],[SALARIO]]), EDA!$M$8, moras[[#This Row],[SALARIO]])</f>
        <v>1220204</v>
      </c>
      <c r="O4900" s="14">
        <f xml:space="preserve"> IF(ISBLANK(moras[[#This Row],[EDAD]]), EDA!$E$8, moras[[#This Row],[EDAD]])</f>
        <v>45</v>
      </c>
      <c r="P4900" s="14" t="str">
        <f>IF(
    OR(ISBLANK(moras[[#This Row],[TIPO_ASEGURAMIENTO]]), moras[[#This Row],[TIPO_ASEGURAMIENTO]]=""),
    EDA!$A$32,
    moras[[#This Row],[TIPO_ASEGURAMIENTO]]
)</f>
        <v>ASALARIADO</v>
      </c>
    </row>
    <row r="4901" spans="1:16" x14ac:dyDescent="0.3">
      <c r="A4901">
        <v>4900</v>
      </c>
      <c r="B4901" t="s">
        <v>9</v>
      </c>
      <c r="C4901">
        <v>639148</v>
      </c>
      <c r="D4901" t="s">
        <v>18</v>
      </c>
      <c r="E4901" t="s">
        <v>16</v>
      </c>
      <c r="F4901" t="s">
        <v>12</v>
      </c>
      <c r="G4901" t="s">
        <v>13</v>
      </c>
      <c r="H4901" t="s">
        <v>12</v>
      </c>
      <c r="I4901">
        <v>60</v>
      </c>
      <c r="J4901">
        <f>ABS((I4901-EDA!$A$15)/EDA!$B$15)</f>
        <v>1.2717962542471923</v>
      </c>
      <c r="K4901" t="str">
        <f t="shared" si="76"/>
        <v>No</v>
      </c>
      <c r="L4901">
        <f>ABS((C4901-EDA!$F$15)/EDA!$G$15)</f>
        <v>0.36501809830544912</v>
      </c>
      <c r="M4901" t="str">
        <f>IF(moras[[#This Row],[Z-Score Salario]]&gt;1.96, "Sí", "No")</f>
        <v>No</v>
      </c>
      <c r="N4901" s="14">
        <f>IF(ISBLANK(moras[[#This Row],[SALARIO]]), EDA!$M$8, moras[[#This Row],[SALARIO]])</f>
        <v>639148</v>
      </c>
      <c r="O4901" s="14">
        <f xml:space="preserve"> IF(ISBLANK(moras[[#This Row],[EDAD]]), EDA!$E$8, moras[[#This Row],[EDAD]])</f>
        <v>60</v>
      </c>
      <c r="P4901" s="14" t="str">
        <f>IF(
    OR(ISBLANK(moras[[#This Row],[TIPO_ASEGURAMIENTO]]), moras[[#This Row],[TIPO_ASEGURAMIENTO]]=""),
    EDA!$A$32,
    moras[[#This Row],[TIPO_ASEGURAMIENTO]]
)</f>
        <v>TRABAJADOR INDEPENDIENTE</v>
      </c>
    </row>
    <row r="4902" spans="1:16" x14ac:dyDescent="0.3">
      <c r="A4902">
        <v>4901</v>
      </c>
      <c r="B4902" t="s">
        <v>15</v>
      </c>
      <c r="C4902">
        <v>89863965</v>
      </c>
      <c r="D4902" t="s">
        <v>10</v>
      </c>
      <c r="E4902" t="s">
        <v>11</v>
      </c>
      <c r="F4902" t="s">
        <v>12</v>
      </c>
      <c r="G4902" t="s">
        <v>13</v>
      </c>
      <c r="H4902" t="s">
        <v>13</v>
      </c>
      <c r="I4902">
        <v>32</v>
      </c>
      <c r="J4902">
        <f>ABS((I4902-EDA!$A$15)/EDA!$B$15)</f>
        <v>0.70431298791265773</v>
      </c>
      <c r="K4902" t="str">
        <f t="shared" si="76"/>
        <v>No</v>
      </c>
      <c r="L4902">
        <f>ABS((C4902-EDA!$F$15)/EDA!$G$15)</f>
        <v>1.1197458414611621</v>
      </c>
      <c r="M4902" t="str">
        <f>IF(moras[[#This Row],[Z-Score Salario]]&gt;1.96, "Sí", "No")</f>
        <v>No</v>
      </c>
      <c r="N4902" s="14">
        <f>IF(ISBLANK(moras[[#This Row],[SALARIO]]), EDA!$M$8, moras[[#This Row],[SALARIO]])</f>
        <v>89863965</v>
      </c>
      <c r="O4902" s="14">
        <f xml:space="preserve"> IF(ISBLANK(moras[[#This Row],[EDAD]]), EDA!$E$8, moras[[#This Row],[EDAD]])</f>
        <v>32</v>
      </c>
      <c r="P4902" s="14" t="str">
        <f>IF(
    OR(ISBLANK(moras[[#This Row],[TIPO_ASEGURAMIENTO]]), moras[[#This Row],[TIPO_ASEGURAMIENTO]]=""),
    EDA!$A$32,
    moras[[#This Row],[TIPO_ASEGURAMIENTO]]
)</f>
        <v>ASALARIADO</v>
      </c>
    </row>
    <row r="4903" spans="1:16" x14ac:dyDescent="0.3">
      <c r="A4903">
        <v>4902</v>
      </c>
      <c r="B4903" t="s">
        <v>9</v>
      </c>
      <c r="C4903">
        <v>278030</v>
      </c>
      <c r="D4903" t="s">
        <v>19</v>
      </c>
      <c r="E4903" t="s">
        <v>16</v>
      </c>
      <c r="F4903" t="s">
        <v>12</v>
      </c>
      <c r="G4903" t="s">
        <v>13</v>
      </c>
      <c r="H4903" t="s">
        <v>13</v>
      </c>
      <c r="I4903">
        <v>53</v>
      </c>
      <c r="J4903">
        <f>ABS((I4903-EDA!$A$15)/EDA!$B$15)</f>
        <v>0.77776894370722982</v>
      </c>
      <c r="K4903" t="str">
        <f t="shared" si="76"/>
        <v>No</v>
      </c>
      <c r="L4903">
        <f>ABS((C4903-EDA!$F$15)/EDA!$G$15)</f>
        <v>0.37102735674304993</v>
      </c>
      <c r="M4903" t="str">
        <f>IF(moras[[#This Row],[Z-Score Salario]]&gt;1.96, "Sí", "No")</f>
        <v>No</v>
      </c>
      <c r="N4903" s="14">
        <f>IF(ISBLANK(moras[[#This Row],[SALARIO]]), EDA!$M$8, moras[[#This Row],[SALARIO]])</f>
        <v>278030</v>
      </c>
      <c r="O4903" s="14">
        <f xml:space="preserve"> IF(ISBLANK(moras[[#This Row],[EDAD]]), EDA!$E$8, moras[[#This Row],[EDAD]])</f>
        <v>53</v>
      </c>
      <c r="P4903" s="14" t="str">
        <f>IF(
    OR(ISBLANK(moras[[#This Row],[TIPO_ASEGURAMIENTO]]), moras[[#This Row],[TIPO_ASEGURAMIENTO]]=""),
    EDA!$A$32,
    moras[[#This Row],[TIPO_ASEGURAMIENTO]]
)</f>
        <v>CONVENIOS ESPECIALES DE TRABAJADORES INDEPENDIENTES</v>
      </c>
    </row>
    <row r="4904" spans="1:16" x14ac:dyDescent="0.3">
      <c r="A4904">
        <v>4903</v>
      </c>
      <c r="B4904" t="s">
        <v>9</v>
      </c>
      <c r="C4904">
        <v>310124</v>
      </c>
      <c r="D4904" t="s">
        <v>18</v>
      </c>
      <c r="E4904" t="s">
        <v>16</v>
      </c>
      <c r="F4904" t="s">
        <v>12</v>
      </c>
      <c r="G4904" t="s">
        <v>13</v>
      </c>
      <c r="H4904" t="s">
        <v>13</v>
      </c>
      <c r="I4904">
        <v>57</v>
      </c>
      <c r="J4904">
        <f>ABS((I4904-EDA!$A$15)/EDA!$B$15)</f>
        <v>1.0600702640157798</v>
      </c>
      <c r="K4904" t="str">
        <f t="shared" si="76"/>
        <v>No</v>
      </c>
      <c r="L4904">
        <f>ABS((C4904-EDA!$F$15)/EDA!$G$15)</f>
        <v>0.37049328992750385</v>
      </c>
      <c r="M4904" t="str">
        <f>IF(moras[[#This Row],[Z-Score Salario]]&gt;1.96, "Sí", "No")</f>
        <v>No</v>
      </c>
      <c r="N4904" s="14">
        <f>IF(ISBLANK(moras[[#This Row],[SALARIO]]), EDA!$M$8, moras[[#This Row],[SALARIO]])</f>
        <v>310124</v>
      </c>
      <c r="O4904" s="14">
        <f xml:space="preserve"> IF(ISBLANK(moras[[#This Row],[EDAD]]), EDA!$E$8, moras[[#This Row],[EDAD]])</f>
        <v>57</v>
      </c>
      <c r="P4904" s="14" t="str">
        <f>IF(
    OR(ISBLANK(moras[[#This Row],[TIPO_ASEGURAMIENTO]]), moras[[#This Row],[TIPO_ASEGURAMIENTO]]=""),
    EDA!$A$32,
    moras[[#This Row],[TIPO_ASEGURAMIENTO]]
)</f>
        <v>TRABAJADOR INDEPENDIENTE</v>
      </c>
    </row>
    <row r="4905" spans="1:16" x14ac:dyDescent="0.3">
      <c r="A4905">
        <v>4904</v>
      </c>
      <c r="B4905" t="s">
        <v>9</v>
      </c>
      <c r="C4905">
        <v>99137688</v>
      </c>
      <c r="D4905" t="s">
        <v>10</v>
      </c>
      <c r="E4905" t="s">
        <v>16</v>
      </c>
      <c r="F4905" t="s">
        <v>12</v>
      </c>
      <c r="G4905" t="s">
        <v>13</v>
      </c>
      <c r="H4905" t="s">
        <v>13</v>
      </c>
      <c r="I4905">
        <v>45</v>
      </c>
      <c r="J4905">
        <f>ABS((I4905-EDA!$A$15)/EDA!$B$15)</f>
        <v>0.21316630309012977</v>
      </c>
      <c r="K4905" t="str">
        <f t="shared" si="76"/>
        <v>No</v>
      </c>
      <c r="L4905">
        <f>ABS((C4905-EDA!$F$15)/EDA!$G$15)</f>
        <v>1.2740671386153408</v>
      </c>
      <c r="M4905" t="str">
        <f>IF(moras[[#This Row],[Z-Score Salario]]&gt;1.96, "Sí", "No")</f>
        <v>No</v>
      </c>
      <c r="N4905" s="14">
        <f>IF(ISBLANK(moras[[#This Row],[SALARIO]]), EDA!$M$8, moras[[#This Row],[SALARIO]])</f>
        <v>99137688</v>
      </c>
      <c r="O4905" s="14">
        <f xml:space="preserve"> IF(ISBLANK(moras[[#This Row],[EDAD]]), EDA!$E$8, moras[[#This Row],[EDAD]])</f>
        <v>45</v>
      </c>
      <c r="P4905" s="14" t="str">
        <f>IF(
    OR(ISBLANK(moras[[#This Row],[TIPO_ASEGURAMIENTO]]), moras[[#This Row],[TIPO_ASEGURAMIENTO]]=""),
    EDA!$A$32,
    moras[[#This Row],[TIPO_ASEGURAMIENTO]]
)</f>
        <v>ASALARIADO</v>
      </c>
    </row>
    <row r="4906" spans="1:16" x14ac:dyDescent="0.3">
      <c r="A4906">
        <v>4905</v>
      </c>
      <c r="B4906" t="s">
        <v>9</v>
      </c>
      <c r="C4906">
        <v>30892196</v>
      </c>
      <c r="D4906" t="s">
        <v>10</v>
      </c>
      <c r="E4906" t="s">
        <v>16</v>
      </c>
      <c r="F4906" t="s">
        <v>12</v>
      </c>
      <c r="G4906" t="s">
        <v>13</v>
      </c>
      <c r="H4906" t="s">
        <v>13</v>
      </c>
      <c r="I4906">
        <v>24</v>
      </c>
      <c r="J4906">
        <f>ABS((I4906-EDA!$A$15)/EDA!$B$15)</f>
        <v>1.2689156285297578</v>
      </c>
      <c r="K4906" t="str">
        <f t="shared" si="76"/>
        <v>No</v>
      </c>
      <c r="L4906">
        <f>ABS((C4906-EDA!$F$15)/EDA!$G$15)</f>
        <v>0.13841397641013589</v>
      </c>
      <c r="M4906" t="str">
        <f>IF(moras[[#This Row],[Z-Score Salario]]&gt;1.96, "Sí", "No")</f>
        <v>No</v>
      </c>
      <c r="N4906" s="14">
        <f>IF(ISBLANK(moras[[#This Row],[SALARIO]]), EDA!$M$8, moras[[#This Row],[SALARIO]])</f>
        <v>30892196</v>
      </c>
      <c r="O4906" s="14">
        <f xml:space="preserve"> IF(ISBLANK(moras[[#This Row],[EDAD]]), EDA!$E$8, moras[[#This Row],[EDAD]])</f>
        <v>24</v>
      </c>
      <c r="P4906" s="14" t="str">
        <f>IF(
    OR(ISBLANK(moras[[#This Row],[TIPO_ASEGURAMIENTO]]), moras[[#This Row],[TIPO_ASEGURAMIENTO]]=""),
    EDA!$A$32,
    moras[[#This Row],[TIPO_ASEGURAMIENTO]]
)</f>
        <v>ASALARIADO</v>
      </c>
    </row>
    <row r="4907" spans="1:16" x14ac:dyDescent="0.3">
      <c r="A4907">
        <v>4906</v>
      </c>
      <c r="B4907" t="s">
        <v>15</v>
      </c>
      <c r="C4907">
        <v>297046</v>
      </c>
      <c r="D4907" t="s">
        <v>17</v>
      </c>
      <c r="E4907" t="s">
        <v>16</v>
      </c>
      <c r="F4907" t="s">
        <v>12</v>
      </c>
      <c r="G4907" t="s">
        <v>12</v>
      </c>
      <c r="H4907" t="s">
        <v>13</v>
      </c>
      <c r="I4907">
        <v>39</v>
      </c>
      <c r="J4907">
        <f>ABS((I4907-EDA!$A$15)/EDA!$B$15)</f>
        <v>0.21028567737269524</v>
      </c>
      <c r="K4907" t="str">
        <f t="shared" si="76"/>
        <v>No</v>
      </c>
      <c r="L4907">
        <f>ABS((C4907-EDA!$F$15)/EDA!$G$15)</f>
        <v>0.37071091707942361</v>
      </c>
      <c r="M4907" t="str">
        <f>IF(moras[[#This Row],[Z-Score Salario]]&gt;1.96, "Sí", "No")</f>
        <v>No</v>
      </c>
      <c r="N4907" s="14">
        <f>IF(ISBLANK(moras[[#This Row],[SALARIO]]), EDA!$M$8, moras[[#This Row],[SALARIO]])</f>
        <v>297046</v>
      </c>
      <c r="O4907" s="14">
        <f xml:space="preserve"> IF(ISBLANK(moras[[#This Row],[EDAD]]), EDA!$E$8, moras[[#This Row],[EDAD]])</f>
        <v>39</v>
      </c>
      <c r="P4907" s="14" t="str">
        <f>IF(
    OR(ISBLANK(moras[[#This Row],[TIPO_ASEGURAMIENTO]]), moras[[#This Row],[TIPO_ASEGURAMIENTO]]=""),
    EDA!$A$32,
    moras[[#This Row],[TIPO_ASEGURAMIENTO]]
)</f>
        <v>ASEGURADO VOLUNTARIO</v>
      </c>
    </row>
    <row r="4908" spans="1:16" x14ac:dyDescent="0.3">
      <c r="A4908">
        <v>4907</v>
      </c>
      <c r="B4908" t="s">
        <v>9</v>
      </c>
      <c r="C4908">
        <v>34756848</v>
      </c>
      <c r="D4908" t="s">
        <v>10</v>
      </c>
      <c r="E4908" t="s">
        <v>16</v>
      </c>
      <c r="F4908" t="s">
        <v>12</v>
      </c>
      <c r="G4908" t="s">
        <v>13</v>
      </c>
      <c r="H4908" t="s">
        <v>13</v>
      </c>
      <c r="I4908">
        <v>27</v>
      </c>
      <c r="J4908">
        <f>ABS((I4908-EDA!$A$15)/EDA!$B$15)</f>
        <v>1.0571896382983452</v>
      </c>
      <c r="K4908" t="str">
        <f t="shared" si="76"/>
        <v>No</v>
      </c>
      <c r="L4908">
        <f>ABS((C4908-EDA!$F$15)/EDA!$G$15)</f>
        <v>0.20272451379512052</v>
      </c>
      <c r="M4908" t="str">
        <f>IF(moras[[#This Row],[Z-Score Salario]]&gt;1.96, "Sí", "No")</f>
        <v>No</v>
      </c>
      <c r="N4908" s="14">
        <f>IF(ISBLANK(moras[[#This Row],[SALARIO]]), EDA!$M$8, moras[[#This Row],[SALARIO]])</f>
        <v>34756848</v>
      </c>
      <c r="O4908" s="14">
        <f xml:space="preserve"> IF(ISBLANK(moras[[#This Row],[EDAD]]), EDA!$E$8, moras[[#This Row],[EDAD]])</f>
        <v>27</v>
      </c>
      <c r="P4908" s="14" t="str">
        <f>IF(
    OR(ISBLANK(moras[[#This Row],[TIPO_ASEGURAMIENTO]]), moras[[#This Row],[TIPO_ASEGURAMIENTO]]=""),
    EDA!$A$32,
    moras[[#This Row],[TIPO_ASEGURAMIENTO]]
)</f>
        <v>ASALARIADO</v>
      </c>
    </row>
    <row r="4909" spans="1:16" x14ac:dyDescent="0.3">
      <c r="A4909">
        <v>4908</v>
      </c>
      <c r="B4909" t="s">
        <v>9</v>
      </c>
      <c r="C4909">
        <v>297045</v>
      </c>
      <c r="D4909" t="s">
        <v>18</v>
      </c>
      <c r="E4909" t="s">
        <v>16</v>
      </c>
      <c r="F4909" t="s">
        <v>12</v>
      </c>
      <c r="G4909" t="s">
        <v>13</v>
      </c>
      <c r="H4909" t="s">
        <v>12</v>
      </c>
      <c r="I4909">
        <v>57</v>
      </c>
      <c r="J4909">
        <f>ABS((I4909-EDA!$A$15)/EDA!$B$15)</f>
        <v>1.0600702640157798</v>
      </c>
      <c r="K4909" t="str">
        <f t="shared" si="76"/>
        <v>No</v>
      </c>
      <c r="L4909">
        <f>ABS((C4909-EDA!$F$15)/EDA!$G$15)</f>
        <v>0.37071093372012948</v>
      </c>
      <c r="M4909" t="str">
        <f>IF(moras[[#This Row],[Z-Score Salario]]&gt;1.96, "Sí", "No")</f>
        <v>No</v>
      </c>
      <c r="N4909" s="14">
        <f>IF(ISBLANK(moras[[#This Row],[SALARIO]]), EDA!$M$8, moras[[#This Row],[SALARIO]])</f>
        <v>297045</v>
      </c>
      <c r="O4909" s="14">
        <f xml:space="preserve"> IF(ISBLANK(moras[[#This Row],[EDAD]]), EDA!$E$8, moras[[#This Row],[EDAD]])</f>
        <v>57</v>
      </c>
      <c r="P4909" s="14" t="str">
        <f>IF(
    OR(ISBLANK(moras[[#This Row],[TIPO_ASEGURAMIENTO]]), moras[[#This Row],[TIPO_ASEGURAMIENTO]]=""),
    EDA!$A$32,
    moras[[#This Row],[TIPO_ASEGURAMIENTO]]
)</f>
        <v>TRABAJADOR INDEPENDIENTE</v>
      </c>
    </row>
    <row r="4910" spans="1:16" x14ac:dyDescent="0.3">
      <c r="A4910">
        <v>4909</v>
      </c>
      <c r="B4910" t="s">
        <v>9</v>
      </c>
      <c r="C4910">
        <v>353906</v>
      </c>
      <c r="D4910" t="s">
        <v>18</v>
      </c>
      <c r="E4910" t="s">
        <v>16</v>
      </c>
      <c r="F4910" t="s">
        <v>12</v>
      </c>
      <c r="G4910" t="s">
        <v>13</v>
      </c>
      <c r="H4910" t="s">
        <v>13</v>
      </c>
      <c r="I4910">
        <v>42</v>
      </c>
      <c r="J4910">
        <f>ABS((I4910-EDA!$A$15)/EDA!$B$15)</f>
        <v>1.4403128587172659E-3</v>
      </c>
      <c r="K4910" t="str">
        <f t="shared" si="76"/>
        <v>No</v>
      </c>
      <c r="L4910">
        <f>ABS((C4910-EDA!$F$15)/EDA!$G$15)</f>
        <v>0.36976472654125603</v>
      </c>
      <c r="M4910" t="str">
        <f>IF(moras[[#This Row],[Z-Score Salario]]&gt;1.96, "Sí", "No")</f>
        <v>No</v>
      </c>
      <c r="N4910" s="14">
        <f>IF(ISBLANK(moras[[#This Row],[SALARIO]]), EDA!$M$8, moras[[#This Row],[SALARIO]])</f>
        <v>353906</v>
      </c>
      <c r="O4910" s="14">
        <f xml:space="preserve"> IF(ISBLANK(moras[[#This Row],[EDAD]]), EDA!$E$8, moras[[#This Row],[EDAD]])</f>
        <v>42</v>
      </c>
      <c r="P4910" s="14" t="str">
        <f>IF(
    OR(ISBLANK(moras[[#This Row],[TIPO_ASEGURAMIENTO]]), moras[[#This Row],[TIPO_ASEGURAMIENTO]]=""),
    EDA!$A$32,
    moras[[#This Row],[TIPO_ASEGURAMIENTO]]
)</f>
        <v>TRABAJADOR INDEPENDIENTE</v>
      </c>
    </row>
    <row r="4911" spans="1:16" x14ac:dyDescent="0.3">
      <c r="A4911">
        <v>4910</v>
      </c>
      <c r="B4911" t="s">
        <v>9</v>
      </c>
      <c r="C4911">
        <v>77230</v>
      </c>
      <c r="D4911" t="s">
        <v>10</v>
      </c>
      <c r="E4911" t="s">
        <v>16</v>
      </c>
      <c r="F4911" t="s">
        <v>12</v>
      </c>
      <c r="G4911" t="s">
        <v>13</v>
      </c>
      <c r="H4911" t="s">
        <v>13</v>
      </c>
      <c r="I4911">
        <v>22</v>
      </c>
      <c r="J4911">
        <f>ABS((I4911-EDA!$A$15)/EDA!$B$15)</f>
        <v>1.4100662886840327</v>
      </c>
      <c r="K4911" t="str">
        <f t="shared" si="76"/>
        <v>No</v>
      </c>
      <c r="L4911">
        <f>ABS((C4911-EDA!$F$15)/EDA!$G$15)</f>
        <v>0.37436881049021914</v>
      </c>
      <c r="M4911" t="str">
        <f>IF(moras[[#This Row],[Z-Score Salario]]&gt;1.96, "Sí", "No")</f>
        <v>No</v>
      </c>
      <c r="N4911" s="14">
        <f>IF(ISBLANK(moras[[#This Row],[SALARIO]]), EDA!$M$8, moras[[#This Row],[SALARIO]])</f>
        <v>77230</v>
      </c>
      <c r="O4911" s="14">
        <f xml:space="preserve"> IF(ISBLANK(moras[[#This Row],[EDAD]]), EDA!$E$8, moras[[#This Row],[EDAD]])</f>
        <v>22</v>
      </c>
      <c r="P4911" s="14" t="str">
        <f>IF(
    OR(ISBLANK(moras[[#This Row],[TIPO_ASEGURAMIENTO]]), moras[[#This Row],[TIPO_ASEGURAMIENTO]]=""),
    EDA!$A$32,
    moras[[#This Row],[TIPO_ASEGURAMIENTO]]
)</f>
        <v>ASALARIADO</v>
      </c>
    </row>
    <row r="4912" spans="1:16" x14ac:dyDescent="0.3">
      <c r="A4912">
        <v>4911</v>
      </c>
      <c r="B4912" t="s">
        <v>9</v>
      </c>
      <c r="C4912">
        <v>335206</v>
      </c>
      <c r="D4912" t="s">
        <v>10</v>
      </c>
      <c r="E4912" t="s">
        <v>16</v>
      </c>
      <c r="F4912" t="s">
        <v>12</v>
      </c>
      <c r="G4912" t="s">
        <v>13</v>
      </c>
      <c r="H4912" t="s">
        <v>13</v>
      </c>
      <c r="I4912">
        <v>37</v>
      </c>
      <c r="J4912">
        <f>ABS((I4912-EDA!$A$15)/EDA!$B$15)</f>
        <v>0.35143633752697023</v>
      </c>
      <c r="K4912" t="str">
        <f t="shared" si="76"/>
        <v>No</v>
      </c>
      <c r="L4912">
        <f>ABS((C4912-EDA!$F$15)/EDA!$G$15)</f>
        <v>0.37007590774181415</v>
      </c>
      <c r="M4912" t="str">
        <f>IF(moras[[#This Row],[Z-Score Salario]]&gt;1.96, "Sí", "No")</f>
        <v>No</v>
      </c>
      <c r="N4912" s="14">
        <f>IF(ISBLANK(moras[[#This Row],[SALARIO]]), EDA!$M$8, moras[[#This Row],[SALARIO]])</f>
        <v>335206</v>
      </c>
      <c r="O4912" s="14">
        <f xml:space="preserve"> IF(ISBLANK(moras[[#This Row],[EDAD]]), EDA!$E$8, moras[[#This Row],[EDAD]])</f>
        <v>37</v>
      </c>
      <c r="P4912" s="14" t="str">
        <f>IF(
    OR(ISBLANK(moras[[#This Row],[TIPO_ASEGURAMIENTO]]), moras[[#This Row],[TIPO_ASEGURAMIENTO]]=""),
    EDA!$A$32,
    moras[[#This Row],[TIPO_ASEGURAMIENTO]]
)</f>
        <v>ASALARIADO</v>
      </c>
    </row>
    <row r="4913" spans="1:16" x14ac:dyDescent="0.3">
      <c r="A4913">
        <v>4912</v>
      </c>
      <c r="B4913" t="s">
        <v>9</v>
      </c>
      <c r="C4913">
        <v>328196</v>
      </c>
      <c r="D4913" t="s">
        <v>18</v>
      </c>
      <c r="E4913" t="s">
        <v>16</v>
      </c>
      <c r="F4913" t="s">
        <v>12</v>
      </c>
      <c r="G4913" t="s">
        <v>12</v>
      </c>
      <c r="H4913" t="s">
        <v>12</v>
      </c>
      <c r="I4913">
        <v>37</v>
      </c>
      <c r="J4913">
        <f>ABS((I4913-EDA!$A$15)/EDA!$B$15)</f>
        <v>0.35143633752697023</v>
      </c>
      <c r="K4913" t="str">
        <f t="shared" si="76"/>
        <v>No</v>
      </c>
      <c r="L4913">
        <f>ABS((C4913-EDA!$F$15)/EDA!$G$15)</f>
        <v>0.37019255909025867</v>
      </c>
      <c r="M4913" t="str">
        <f>IF(moras[[#This Row],[Z-Score Salario]]&gt;1.96, "Sí", "No")</f>
        <v>No</v>
      </c>
      <c r="N4913" s="14">
        <f>IF(ISBLANK(moras[[#This Row],[SALARIO]]), EDA!$M$8, moras[[#This Row],[SALARIO]])</f>
        <v>328196</v>
      </c>
      <c r="O4913" s="14">
        <f xml:space="preserve"> IF(ISBLANK(moras[[#This Row],[EDAD]]), EDA!$E$8, moras[[#This Row],[EDAD]])</f>
        <v>37</v>
      </c>
      <c r="P4913" s="14" t="str">
        <f>IF(
    OR(ISBLANK(moras[[#This Row],[TIPO_ASEGURAMIENTO]]), moras[[#This Row],[TIPO_ASEGURAMIENTO]]=""),
    EDA!$A$32,
    moras[[#This Row],[TIPO_ASEGURAMIENTO]]
)</f>
        <v>TRABAJADOR INDEPENDIENTE</v>
      </c>
    </row>
    <row r="4914" spans="1:16" x14ac:dyDescent="0.3">
      <c r="A4914">
        <v>4913</v>
      </c>
      <c r="B4914" t="s">
        <v>15</v>
      </c>
      <c r="C4914">
        <v>1354854</v>
      </c>
      <c r="D4914" t="s">
        <v>10</v>
      </c>
      <c r="E4914" t="s">
        <v>11</v>
      </c>
      <c r="F4914" t="s">
        <v>12</v>
      </c>
      <c r="G4914" t="s">
        <v>13</v>
      </c>
      <c r="H4914" t="s">
        <v>12</v>
      </c>
      <c r="I4914">
        <v>42</v>
      </c>
      <c r="J4914">
        <f>ABS((I4914-EDA!$A$15)/EDA!$B$15)</f>
        <v>1.4403128587172659E-3</v>
      </c>
      <c r="K4914" t="str">
        <f t="shared" si="76"/>
        <v>No</v>
      </c>
      <c r="L4914">
        <f>ABS((C4914-EDA!$F$15)/EDA!$G$15)</f>
        <v>0.35310824523985412</v>
      </c>
      <c r="M4914" t="str">
        <f>IF(moras[[#This Row],[Z-Score Salario]]&gt;1.96, "Sí", "No")</f>
        <v>No</v>
      </c>
      <c r="N4914" s="14">
        <f>IF(ISBLANK(moras[[#This Row],[SALARIO]]), EDA!$M$8, moras[[#This Row],[SALARIO]])</f>
        <v>1354854</v>
      </c>
      <c r="O4914" s="14">
        <f xml:space="preserve"> IF(ISBLANK(moras[[#This Row],[EDAD]]), EDA!$E$8, moras[[#This Row],[EDAD]])</f>
        <v>42</v>
      </c>
      <c r="P4914" s="14" t="str">
        <f>IF(
    OR(ISBLANK(moras[[#This Row],[TIPO_ASEGURAMIENTO]]), moras[[#This Row],[TIPO_ASEGURAMIENTO]]=""),
    EDA!$A$32,
    moras[[#This Row],[TIPO_ASEGURAMIENTO]]
)</f>
        <v>ASALARIADO</v>
      </c>
    </row>
    <row r="4915" spans="1:16" x14ac:dyDescent="0.3">
      <c r="A4915">
        <v>4914</v>
      </c>
      <c r="B4915" t="s">
        <v>15</v>
      </c>
      <c r="C4915">
        <v>202147157</v>
      </c>
      <c r="D4915" t="s">
        <v>10</v>
      </c>
      <c r="E4915" t="s">
        <v>11</v>
      </c>
      <c r="F4915" t="s">
        <v>12</v>
      </c>
      <c r="G4915" t="s">
        <v>13</v>
      </c>
      <c r="H4915" t="s">
        <v>13</v>
      </c>
      <c r="I4915">
        <v>38</v>
      </c>
      <c r="J4915">
        <f>ABS((I4915-EDA!$A$15)/EDA!$B$15)</f>
        <v>0.28086100744983278</v>
      </c>
      <c r="K4915" t="str">
        <f t="shared" si="76"/>
        <v>No</v>
      </c>
      <c r="L4915">
        <f>ABS((C4915-EDA!$F$15)/EDA!$G$15)</f>
        <v>2.9882174184159327</v>
      </c>
      <c r="M4915" t="str">
        <f>IF(moras[[#This Row],[Z-Score Salario]]&gt;1.96, "Sí", "No")</f>
        <v>Sí</v>
      </c>
      <c r="N4915" s="14">
        <f>IF(ISBLANK(moras[[#This Row],[SALARIO]]), EDA!$M$8, moras[[#This Row],[SALARIO]])</f>
        <v>202147157</v>
      </c>
      <c r="O4915" s="14">
        <f xml:space="preserve"> IF(ISBLANK(moras[[#This Row],[EDAD]]), EDA!$E$8, moras[[#This Row],[EDAD]])</f>
        <v>38</v>
      </c>
      <c r="P4915" s="14" t="str">
        <f>IF(
    OR(ISBLANK(moras[[#This Row],[TIPO_ASEGURAMIENTO]]), moras[[#This Row],[TIPO_ASEGURAMIENTO]]=""),
    EDA!$A$32,
    moras[[#This Row],[TIPO_ASEGURAMIENTO]]
)</f>
        <v>ASALARIADO</v>
      </c>
    </row>
    <row r="4916" spans="1:16" x14ac:dyDescent="0.3">
      <c r="A4916">
        <v>4915</v>
      </c>
      <c r="B4916" t="s">
        <v>9</v>
      </c>
      <c r="C4916">
        <v>275336506</v>
      </c>
      <c r="D4916" t="s">
        <v>10</v>
      </c>
      <c r="E4916" t="s">
        <v>11</v>
      </c>
      <c r="F4916" t="s">
        <v>12</v>
      </c>
      <c r="G4916" t="s">
        <v>13</v>
      </c>
      <c r="H4916" t="s">
        <v>13</v>
      </c>
      <c r="I4916">
        <v>27</v>
      </c>
      <c r="J4916">
        <f>ABS((I4916-EDA!$A$15)/EDA!$B$15)</f>
        <v>1.0571896382983452</v>
      </c>
      <c r="K4916" t="str">
        <f t="shared" si="76"/>
        <v>No</v>
      </c>
      <c r="L4916">
        <f>ABS((C4916-EDA!$F$15)/EDA!$G$15)</f>
        <v>4.2061398510300956</v>
      </c>
      <c r="M4916" t="str">
        <f>IF(moras[[#This Row],[Z-Score Salario]]&gt;1.96, "Sí", "No")</f>
        <v>Sí</v>
      </c>
      <c r="N4916" s="14">
        <f>IF(ISBLANK(moras[[#This Row],[SALARIO]]), EDA!$M$8, moras[[#This Row],[SALARIO]])</f>
        <v>275336506</v>
      </c>
      <c r="O4916" s="14">
        <f xml:space="preserve"> IF(ISBLANK(moras[[#This Row],[EDAD]]), EDA!$E$8, moras[[#This Row],[EDAD]])</f>
        <v>27</v>
      </c>
      <c r="P4916" s="14" t="str">
        <f>IF(
    OR(ISBLANK(moras[[#This Row],[TIPO_ASEGURAMIENTO]]), moras[[#This Row],[TIPO_ASEGURAMIENTO]]=""),
    EDA!$A$32,
    moras[[#This Row],[TIPO_ASEGURAMIENTO]]
)</f>
        <v>ASALARIADO</v>
      </c>
    </row>
    <row r="4917" spans="1:16" x14ac:dyDescent="0.3">
      <c r="A4917">
        <v>4916</v>
      </c>
      <c r="B4917" t="s">
        <v>9</v>
      </c>
      <c r="C4917">
        <v>242000</v>
      </c>
      <c r="D4917" t="s">
        <v>10</v>
      </c>
      <c r="E4917" t="s">
        <v>16</v>
      </c>
      <c r="F4917" t="s">
        <v>12</v>
      </c>
      <c r="G4917" t="s">
        <v>13</v>
      </c>
      <c r="H4917" t="s">
        <v>13</v>
      </c>
      <c r="I4917">
        <v>22</v>
      </c>
      <c r="J4917">
        <f>ABS((I4917-EDA!$A$15)/EDA!$B$15)</f>
        <v>1.4100662886840327</v>
      </c>
      <c r="K4917" t="str">
        <f t="shared" si="76"/>
        <v>No</v>
      </c>
      <c r="L4917">
        <f>ABS((C4917-EDA!$F$15)/EDA!$G$15)</f>
        <v>0.37162692137706638</v>
      </c>
      <c r="M4917" t="str">
        <f>IF(moras[[#This Row],[Z-Score Salario]]&gt;1.96, "Sí", "No")</f>
        <v>No</v>
      </c>
      <c r="N4917" s="14">
        <f>IF(ISBLANK(moras[[#This Row],[SALARIO]]), EDA!$M$8, moras[[#This Row],[SALARIO]])</f>
        <v>242000</v>
      </c>
      <c r="O4917" s="14">
        <f xml:space="preserve"> IF(ISBLANK(moras[[#This Row],[EDAD]]), EDA!$E$8, moras[[#This Row],[EDAD]])</f>
        <v>22</v>
      </c>
      <c r="P4917" s="14" t="str">
        <f>IF(
    OR(ISBLANK(moras[[#This Row],[TIPO_ASEGURAMIENTO]]), moras[[#This Row],[TIPO_ASEGURAMIENTO]]=""),
    EDA!$A$32,
    moras[[#This Row],[TIPO_ASEGURAMIENTO]]
)</f>
        <v>ASALARIADO</v>
      </c>
    </row>
    <row r="4918" spans="1:16" x14ac:dyDescent="0.3">
      <c r="A4918">
        <v>4917</v>
      </c>
      <c r="B4918" t="s">
        <v>15</v>
      </c>
      <c r="C4918">
        <v>278030</v>
      </c>
      <c r="D4918" t="s">
        <v>17</v>
      </c>
      <c r="E4918" t="s">
        <v>16</v>
      </c>
      <c r="F4918" t="s">
        <v>12</v>
      </c>
      <c r="G4918" t="s">
        <v>13</v>
      </c>
      <c r="H4918" t="s">
        <v>13</v>
      </c>
      <c r="I4918">
        <v>60</v>
      </c>
      <c r="J4918">
        <f>ABS((I4918-EDA!$A$15)/EDA!$B$15)</f>
        <v>1.2717962542471923</v>
      </c>
      <c r="K4918" t="str">
        <f t="shared" si="76"/>
        <v>No</v>
      </c>
      <c r="L4918">
        <f>ABS((C4918-EDA!$F$15)/EDA!$G$15)</f>
        <v>0.37102735674304993</v>
      </c>
      <c r="M4918" t="str">
        <f>IF(moras[[#This Row],[Z-Score Salario]]&gt;1.96, "Sí", "No")</f>
        <v>No</v>
      </c>
      <c r="N4918" s="14">
        <f>IF(ISBLANK(moras[[#This Row],[SALARIO]]), EDA!$M$8, moras[[#This Row],[SALARIO]])</f>
        <v>278030</v>
      </c>
      <c r="O4918" s="14">
        <f xml:space="preserve"> IF(ISBLANK(moras[[#This Row],[EDAD]]), EDA!$E$8, moras[[#This Row],[EDAD]])</f>
        <v>60</v>
      </c>
      <c r="P4918" s="14" t="str">
        <f>IF(
    OR(ISBLANK(moras[[#This Row],[TIPO_ASEGURAMIENTO]]), moras[[#This Row],[TIPO_ASEGURAMIENTO]]=""),
    EDA!$A$32,
    moras[[#This Row],[TIPO_ASEGURAMIENTO]]
)</f>
        <v>ASEGURADO VOLUNTARIO</v>
      </c>
    </row>
    <row r="4919" spans="1:16" x14ac:dyDescent="0.3">
      <c r="A4919">
        <v>4918</v>
      </c>
      <c r="B4919" t="s">
        <v>9</v>
      </c>
      <c r="C4919">
        <v>3706816</v>
      </c>
      <c r="D4919" t="s">
        <v>10</v>
      </c>
      <c r="E4919" t="s">
        <v>16</v>
      </c>
      <c r="F4919" t="s">
        <v>12</v>
      </c>
      <c r="G4919" t="s">
        <v>13</v>
      </c>
      <c r="H4919" t="s">
        <v>13</v>
      </c>
      <c r="I4919">
        <v>28</v>
      </c>
      <c r="J4919">
        <f>ABS((I4919-EDA!$A$15)/EDA!$B$15)</f>
        <v>0.98661430822120777</v>
      </c>
      <c r="K4919" t="str">
        <f t="shared" si="76"/>
        <v>No</v>
      </c>
      <c r="L4919">
        <f>ABS((C4919-EDA!$F$15)/EDA!$G$15)</f>
        <v>0.31396993728119099</v>
      </c>
      <c r="M4919" t="str">
        <f>IF(moras[[#This Row],[Z-Score Salario]]&gt;1.96, "Sí", "No")</f>
        <v>No</v>
      </c>
      <c r="N4919" s="14">
        <f>IF(ISBLANK(moras[[#This Row],[SALARIO]]), EDA!$M$8, moras[[#This Row],[SALARIO]])</f>
        <v>3706816</v>
      </c>
      <c r="O4919" s="14">
        <f xml:space="preserve"> IF(ISBLANK(moras[[#This Row],[EDAD]]), EDA!$E$8, moras[[#This Row],[EDAD]])</f>
        <v>28</v>
      </c>
      <c r="P4919" s="14" t="str">
        <f>IF(
    OR(ISBLANK(moras[[#This Row],[TIPO_ASEGURAMIENTO]]), moras[[#This Row],[TIPO_ASEGURAMIENTO]]=""),
    EDA!$A$32,
    moras[[#This Row],[TIPO_ASEGURAMIENTO]]
)</f>
        <v>ASALARIADO</v>
      </c>
    </row>
    <row r="4920" spans="1:16" x14ac:dyDescent="0.3">
      <c r="A4920">
        <v>4919</v>
      </c>
      <c r="B4920" t="s">
        <v>9</v>
      </c>
      <c r="C4920">
        <v>195150</v>
      </c>
      <c r="D4920" t="s">
        <v>10</v>
      </c>
      <c r="E4920" t="s">
        <v>16</v>
      </c>
      <c r="F4920" t="s">
        <v>12</v>
      </c>
      <c r="G4920" t="s">
        <v>13</v>
      </c>
      <c r="H4920" t="s">
        <v>13</v>
      </c>
      <c r="I4920">
        <v>36</v>
      </c>
      <c r="J4920">
        <f>ABS((I4920-EDA!$A$15)/EDA!$B$15)</f>
        <v>0.42201166760410774</v>
      </c>
      <c r="K4920" t="str">
        <f t="shared" si="76"/>
        <v>No</v>
      </c>
      <c r="L4920">
        <f>ABS((C4920-EDA!$F$15)/EDA!$G$15)</f>
        <v>0.3724065384490528</v>
      </c>
      <c r="M4920" t="str">
        <f>IF(moras[[#This Row],[Z-Score Salario]]&gt;1.96, "Sí", "No")</f>
        <v>No</v>
      </c>
      <c r="N4920" s="14">
        <f>IF(ISBLANK(moras[[#This Row],[SALARIO]]), EDA!$M$8, moras[[#This Row],[SALARIO]])</f>
        <v>195150</v>
      </c>
      <c r="O4920" s="14">
        <f xml:space="preserve"> IF(ISBLANK(moras[[#This Row],[EDAD]]), EDA!$E$8, moras[[#This Row],[EDAD]])</f>
        <v>36</v>
      </c>
      <c r="P4920" s="14" t="str">
        <f>IF(
    OR(ISBLANK(moras[[#This Row],[TIPO_ASEGURAMIENTO]]), moras[[#This Row],[TIPO_ASEGURAMIENTO]]=""),
    EDA!$A$32,
    moras[[#This Row],[TIPO_ASEGURAMIENTO]]
)</f>
        <v>ASALARIADO</v>
      </c>
    </row>
    <row r="4921" spans="1:16" x14ac:dyDescent="0.3">
      <c r="A4921">
        <v>4920</v>
      </c>
      <c r="B4921" t="s">
        <v>9</v>
      </c>
      <c r="C4921">
        <v>404463</v>
      </c>
      <c r="D4921" t="s">
        <v>18</v>
      </c>
      <c r="E4921" t="s">
        <v>16</v>
      </c>
      <c r="F4921" t="s">
        <v>12</v>
      </c>
      <c r="G4921" t="s">
        <v>13</v>
      </c>
      <c r="H4921" t="s">
        <v>13</v>
      </c>
      <c r="I4921">
        <v>43</v>
      </c>
      <c r="J4921">
        <f>ABS((I4921-EDA!$A$15)/EDA!$B$15)</f>
        <v>7.2015642935854773E-2</v>
      </c>
      <c r="K4921" t="str">
        <f t="shared" si="76"/>
        <v>No</v>
      </c>
      <c r="L4921">
        <f>ABS((C4921-EDA!$F$15)/EDA!$G$15)</f>
        <v>0.36892342237245312</v>
      </c>
      <c r="M4921" t="str">
        <f>IF(moras[[#This Row],[Z-Score Salario]]&gt;1.96, "Sí", "No")</f>
        <v>No</v>
      </c>
      <c r="N4921" s="14">
        <f>IF(ISBLANK(moras[[#This Row],[SALARIO]]), EDA!$M$8, moras[[#This Row],[SALARIO]])</f>
        <v>404463</v>
      </c>
      <c r="O4921" s="14">
        <f xml:space="preserve"> IF(ISBLANK(moras[[#This Row],[EDAD]]), EDA!$E$8, moras[[#This Row],[EDAD]])</f>
        <v>43</v>
      </c>
      <c r="P4921" s="14" t="str">
        <f>IF(
    OR(ISBLANK(moras[[#This Row],[TIPO_ASEGURAMIENTO]]), moras[[#This Row],[TIPO_ASEGURAMIENTO]]=""),
    EDA!$A$32,
    moras[[#This Row],[TIPO_ASEGURAMIENTO]]
)</f>
        <v>TRABAJADOR INDEPENDIENTE</v>
      </c>
    </row>
    <row r="4922" spans="1:16" x14ac:dyDescent="0.3">
      <c r="A4922">
        <v>4921</v>
      </c>
      <c r="B4922" t="s">
        <v>9</v>
      </c>
      <c r="C4922">
        <v>58134926</v>
      </c>
      <c r="D4922" t="s">
        <v>10</v>
      </c>
      <c r="E4922" t="s">
        <v>16</v>
      </c>
      <c r="F4922" t="s">
        <v>12</v>
      </c>
      <c r="G4922" t="s">
        <v>13</v>
      </c>
      <c r="H4922" t="s">
        <v>13</v>
      </c>
      <c r="I4922">
        <v>46</v>
      </c>
      <c r="J4922">
        <f>ABS((I4922-EDA!$A$15)/EDA!$B$15)</f>
        <v>0.2837416331672673</v>
      </c>
      <c r="K4922" t="str">
        <f t="shared" si="76"/>
        <v>No</v>
      </c>
      <c r="L4922">
        <f>ABS((C4922-EDA!$F$15)/EDA!$G$15)</f>
        <v>0.59175223458552728</v>
      </c>
      <c r="M4922" t="str">
        <f>IF(moras[[#This Row],[Z-Score Salario]]&gt;1.96, "Sí", "No")</f>
        <v>No</v>
      </c>
      <c r="N4922" s="14">
        <f>IF(ISBLANK(moras[[#This Row],[SALARIO]]), EDA!$M$8, moras[[#This Row],[SALARIO]])</f>
        <v>58134926</v>
      </c>
      <c r="O4922" s="14">
        <f xml:space="preserve"> IF(ISBLANK(moras[[#This Row],[EDAD]]), EDA!$E$8, moras[[#This Row],[EDAD]])</f>
        <v>46</v>
      </c>
      <c r="P4922" s="14" t="str">
        <f>IF(
    OR(ISBLANK(moras[[#This Row],[TIPO_ASEGURAMIENTO]]), moras[[#This Row],[TIPO_ASEGURAMIENTO]]=""),
    EDA!$A$32,
    moras[[#This Row],[TIPO_ASEGURAMIENTO]]
)</f>
        <v>ASALARIADO</v>
      </c>
    </row>
    <row r="4923" spans="1:16" x14ac:dyDescent="0.3">
      <c r="A4923">
        <v>4922</v>
      </c>
      <c r="B4923" t="s">
        <v>9</v>
      </c>
      <c r="C4923">
        <v>903746</v>
      </c>
      <c r="D4923" t="s">
        <v>10</v>
      </c>
      <c r="E4923" t="s">
        <v>16</v>
      </c>
      <c r="F4923" t="s">
        <v>12</v>
      </c>
      <c r="G4923" t="s">
        <v>13</v>
      </c>
      <c r="H4923" t="s">
        <v>13</v>
      </c>
      <c r="I4923">
        <v>32</v>
      </c>
      <c r="J4923">
        <f>ABS((I4923-EDA!$A$15)/EDA!$B$15)</f>
        <v>0.70431298791265773</v>
      </c>
      <c r="K4923" t="str">
        <f t="shared" si="76"/>
        <v>No</v>
      </c>
      <c r="L4923">
        <f>ABS((C4923-EDA!$F$15)/EDA!$G$15)</f>
        <v>0.36061500080249353</v>
      </c>
      <c r="M4923" t="str">
        <f>IF(moras[[#This Row],[Z-Score Salario]]&gt;1.96, "Sí", "No")</f>
        <v>No</v>
      </c>
      <c r="N4923" s="14">
        <f>IF(ISBLANK(moras[[#This Row],[SALARIO]]), EDA!$M$8, moras[[#This Row],[SALARIO]])</f>
        <v>903746</v>
      </c>
      <c r="O4923" s="14">
        <f xml:space="preserve"> IF(ISBLANK(moras[[#This Row],[EDAD]]), EDA!$E$8, moras[[#This Row],[EDAD]])</f>
        <v>32</v>
      </c>
      <c r="P4923" s="14" t="str">
        <f>IF(
    OR(ISBLANK(moras[[#This Row],[TIPO_ASEGURAMIENTO]]), moras[[#This Row],[TIPO_ASEGURAMIENTO]]=""),
    EDA!$A$32,
    moras[[#This Row],[TIPO_ASEGURAMIENTO]]
)</f>
        <v>ASALARIADO</v>
      </c>
    </row>
    <row r="4924" spans="1:16" x14ac:dyDescent="0.3">
      <c r="A4924">
        <v>4923</v>
      </c>
      <c r="B4924" t="s">
        <v>9</v>
      </c>
      <c r="C4924">
        <v>278030</v>
      </c>
      <c r="D4924" t="s">
        <v>19</v>
      </c>
      <c r="E4924" t="s">
        <v>16</v>
      </c>
      <c r="F4924" t="s">
        <v>12</v>
      </c>
      <c r="G4924" t="s">
        <v>13</v>
      </c>
      <c r="H4924" t="s">
        <v>13</v>
      </c>
      <c r="I4924">
        <v>69</v>
      </c>
      <c r="J4924">
        <f>ABS((I4924-EDA!$A$15)/EDA!$B$15)</f>
        <v>1.9069742249414299</v>
      </c>
      <c r="K4924" t="str">
        <f t="shared" si="76"/>
        <v>No</v>
      </c>
      <c r="L4924">
        <f>ABS((C4924-EDA!$F$15)/EDA!$G$15)</f>
        <v>0.37102735674304993</v>
      </c>
      <c r="M4924" t="str">
        <f>IF(moras[[#This Row],[Z-Score Salario]]&gt;1.96, "Sí", "No")</f>
        <v>No</v>
      </c>
      <c r="N4924" s="14">
        <f>IF(ISBLANK(moras[[#This Row],[SALARIO]]), EDA!$M$8, moras[[#This Row],[SALARIO]])</f>
        <v>278030</v>
      </c>
      <c r="O4924" s="14">
        <f xml:space="preserve"> IF(ISBLANK(moras[[#This Row],[EDAD]]), EDA!$E$8, moras[[#This Row],[EDAD]])</f>
        <v>69</v>
      </c>
      <c r="P4924" s="14" t="str">
        <f>IF(
    OR(ISBLANK(moras[[#This Row],[TIPO_ASEGURAMIENTO]]), moras[[#This Row],[TIPO_ASEGURAMIENTO]]=""),
    EDA!$A$32,
    moras[[#This Row],[TIPO_ASEGURAMIENTO]]
)</f>
        <v>CONVENIOS ESPECIALES DE TRABAJADORES INDEPENDIENTES</v>
      </c>
    </row>
    <row r="4925" spans="1:16" x14ac:dyDescent="0.3">
      <c r="A4925">
        <v>4924</v>
      </c>
      <c r="B4925" t="s">
        <v>15</v>
      </c>
      <c r="C4925">
        <v>25000</v>
      </c>
      <c r="D4925" t="s">
        <v>10</v>
      </c>
      <c r="E4925" t="s">
        <v>16</v>
      </c>
      <c r="F4925" t="s">
        <v>12</v>
      </c>
      <c r="G4925" t="s">
        <v>13</v>
      </c>
      <c r="H4925" t="s">
        <v>13</v>
      </c>
      <c r="I4925">
        <v>49</v>
      </c>
      <c r="J4925">
        <f>ABS((I4925-EDA!$A$15)/EDA!$B$15)</f>
        <v>0.49546762339867978</v>
      </c>
      <c r="K4925" t="str">
        <f t="shared" si="76"/>
        <v>No</v>
      </c>
      <c r="L4925">
        <f>ABS((C4925-EDA!$F$15)/EDA!$G$15)</f>
        <v>0.37523795456001319</v>
      </c>
      <c r="M4925" t="str">
        <f>IF(moras[[#This Row],[Z-Score Salario]]&gt;1.96, "Sí", "No")</f>
        <v>No</v>
      </c>
      <c r="N4925" s="14">
        <f>IF(ISBLANK(moras[[#This Row],[SALARIO]]), EDA!$M$8, moras[[#This Row],[SALARIO]])</f>
        <v>25000</v>
      </c>
      <c r="O4925" s="14">
        <f xml:space="preserve"> IF(ISBLANK(moras[[#This Row],[EDAD]]), EDA!$E$8, moras[[#This Row],[EDAD]])</f>
        <v>49</v>
      </c>
      <c r="P4925" s="14" t="str">
        <f>IF(
    OR(ISBLANK(moras[[#This Row],[TIPO_ASEGURAMIENTO]]), moras[[#This Row],[TIPO_ASEGURAMIENTO]]=""),
    EDA!$A$32,
    moras[[#This Row],[TIPO_ASEGURAMIENTO]]
)</f>
        <v>ASALARIADO</v>
      </c>
    </row>
    <row r="4926" spans="1:16" x14ac:dyDescent="0.3">
      <c r="A4926">
        <v>4925</v>
      </c>
      <c r="B4926" t="s">
        <v>9</v>
      </c>
      <c r="C4926">
        <v>1558990</v>
      </c>
      <c r="D4926" t="s">
        <v>10</v>
      </c>
      <c r="E4926" t="s">
        <v>11</v>
      </c>
      <c r="F4926" t="s">
        <v>12</v>
      </c>
      <c r="G4926" t="s">
        <v>13</v>
      </c>
      <c r="H4926" t="s">
        <v>13</v>
      </c>
      <c r="I4926">
        <v>43</v>
      </c>
      <c r="J4926">
        <f>ABS((I4926-EDA!$A$15)/EDA!$B$15)</f>
        <v>7.2015642935854773E-2</v>
      </c>
      <c r="K4926" t="str">
        <f t="shared" si="76"/>
        <v>No</v>
      </c>
      <c r="L4926">
        <f>ABS((C4926-EDA!$F$15)/EDA!$G$15)</f>
        <v>0.34971127809776181</v>
      </c>
      <c r="M4926" t="str">
        <f>IF(moras[[#This Row],[Z-Score Salario]]&gt;1.96, "Sí", "No")</f>
        <v>No</v>
      </c>
      <c r="N4926" s="14">
        <f>IF(ISBLANK(moras[[#This Row],[SALARIO]]), EDA!$M$8, moras[[#This Row],[SALARIO]])</f>
        <v>1558990</v>
      </c>
      <c r="O4926" s="14">
        <f xml:space="preserve"> IF(ISBLANK(moras[[#This Row],[EDAD]]), EDA!$E$8, moras[[#This Row],[EDAD]])</f>
        <v>43</v>
      </c>
      <c r="P4926" s="14" t="str">
        <f>IF(
    OR(ISBLANK(moras[[#This Row],[TIPO_ASEGURAMIENTO]]), moras[[#This Row],[TIPO_ASEGURAMIENTO]]=""),
    EDA!$A$32,
    moras[[#This Row],[TIPO_ASEGURAMIENTO]]
)</f>
        <v>ASALARIADO</v>
      </c>
    </row>
    <row r="4927" spans="1:16" x14ac:dyDescent="0.3">
      <c r="A4927">
        <v>4926</v>
      </c>
      <c r="B4927" t="s">
        <v>9</v>
      </c>
      <c r="C4927">
        <v>117743589</v>
      </c>
      <c r="D4927" t="s">
        <v>10</v>
      </c>
      <c r="E4927" t="s">
        <v>16</v>
      </c>
      <c r="F4927" t="s">
        <v>12</v>
      </c>
      <c r="G4927" t="s">
        <v>13</v>
      </c>
      <c r="H4927" t="s">
        <v>13</v>
      </c>
      <c r="I4927">
        <v>28</v>
      </c>
      <c r="J4927">
        <f>ABS((I4927-EDA!$A$15)/EDA!$B$15)</f>
        <v>0.98661430822120777</v>
      </c>
      <c r="K4927" t="str">
        <f t="shared" si="76"/>
        <v>No</v>
      </c>
      <c r="L4927">
        <f>ABS((C4927-EDA!$F$15)/EDA!$G$15)</f>
        <v>1.5836824653877963</v>
      </c>
      <c r="M4927" t="str">
        <f>IF(moras[[#This Row],[Z-Score Salario]]&gt;1.96, "Sí", "No")</f>
        <v>No</v>
      </c>
      <c r="N4927" s="14">
        <f>IF(ISBLANK(moras[[#This Row],[SALARIO]]), EDA!$M$8, moras[[#This Row],[SALARIO]])</f>
        <v>117743589</v>
      </c>
      <c r="O4927" s="14">
        <f xml:space="preserve"> IF(ISBLANK(moras[[#This Row],[EDAD]]), EDA!$E$8, moras[[#This Row],[EDAD]])</f>
        <v>28</v>
      </c>
      <c r="P4927" s="14" t="str">
        <f>IF(
    OR(ISBLANK(moras[[#This Row],[TIPO_ASEGURAMIENTO]]), moras[[#This Row],[TIPO_ASEGURAMIENTO]]=""),
    EDA!$A$32,
    moras[[#This Row],[TIPO_ASEGURAMIENTO]]
)</f>
        <v>ASALARIADO</v>
      </c>
    </row>
    <row r="4928" spans="1:16" x14ac:dyDescent="0.3">
      <c r="A4928">
        <v>4927</v>
      </c>
      <c r="B4928" t="s">
        <v>15</v>
      </c>
      <c r="C4928">
        <v>19976073</v>
      </c>
      <c r="D4928" t="s">
        <v>10</v>
      </c>
      <c r="E4928" t="s">
        <v>16</v>
      </c>
      <c r="F4928" t="s">
        <v>12</v>
      </c>
      <c r="G4928" t="s">
        <v>13</v>
      </c>
      <c r="H4928" t="s">
        <v>13</v>
      </c>
      <c r="I4928">
        <v>46</v>
      </c>
      <c r="J4928">
        <f>ABS((I4928-EDA!$A$15)/EDA!$B$15)</f>
        <v>0.2837416331672673</v>
      </c>
      <c r="K4928" t="str">
        <f t="shared" si="76"/>
        <v>No</v>
      </c>
      <c r="L4928">
        <f>ABS((C4928-EDA!$F$15)/EDA!$G$15)</f>
        <v>4.3238016134235703E-2</v>
      </c>
      <c r="M4928" t="str">
        <f>IF(moras[[#This Row],[Z-Score Salario]]&gt;1.96, "Sí", "No")</f>
        <v>No</v>
      </c>
      <c r="N4928" s="14">
        <f>IF(ISBLANK(moras[[#This Row],[SALARIO]]), EDA!$M$8, moras[[#This Row],[SALARIO]])</f>
        <v>19976073</v>
      </c>
      <c r="O4928" s="14">
        <f xml:space="preserve"> IF(ISBLANK(moras[[#This Row],[EDAD]]), EDA!$E$8, moras[[#This Row],[EDAD]])</f>
        <v>46</v>
      </c>
      <c r="P4928" s="14" t="str">
        <f>IF(
    OR(ISBLANK(moras[[#This Row],[TIPO_ASEGURAMIENTO]]), moras[[#This Row],[TIPO_ASEGURAMIENTO]]=""),
    EDA!$A$32,
    moras[[#This Row],[TIPO_ASEGURAMIENTO]]
)</f>
        <v>ASALARIADO</v>
      </c>
    </row>
    <row r="4929" spans="1:16" x14ac:dyDescent="0.3">
      <c r="A4929">
        <v>4928</v>
      </c>
      <c r="B4929" t="s">
        <v>9</v>
      </c>
      <c r="C4929">
        <v>827454</v>
      </c>
      <c r="D4929" t="s">
        <v>10</v>
      </c>
      <c r="E4929" t="s">
        <v>16</v>
      </c>
      <c r="F4929" t="s">
        <v>12</v>
      </c>
      <c r="G4929" t="s">
        <v>13</v>
      </c>
      <c r="H4929" t="s">
        <v>13</v>
      </c>
      <c r="I4929">
        <v>22</v>
      </c>
      <c r="J4929">
        <f>ABS((I4929-EDA!$A$15)/EDA!$B$15)</f>
        <v>1.4100662886840327</v>
      </c>
      <c r="K4929" t="str">
        <f t="shared" si="76"/>
        <v>No</v>
      </c>
      <c r="L4929">
        <f>ABS((C4929-EDA!$F$15)/EDA!$G$15)</f>
        <v>0.36188455353794691</v>
      </c>
      <c r="M4929" t="str">
        <f>IF(moras[[#This Row],[Z-Score Salario]]&gt;1.96, "Sí", "No")</f>
        <v>No</v>
      </c>
      <c r="N4929" s="14">
        <f>IF(ISBLANK(moras[[#This Row],[SALARIO]]), EDA!$M$8, moras[[#This Row],[SALARIO]])</f>
        <v>827454</v>
      </c>
      <c r="O4929" s="14">
        <f xml:space="preserve"> IF(ISBLANK(moras[[#This Row],[EDAD]]), EDA!$E$8, moras[[#This Row],[EDAD]])</f>
        <v>22</v>
      </c>
      <c r="P4929" s="14" t="str">
        <f>IF(
    OR(ISBLANK(moras[[#This Row],[TIPO_ASEGURAMIENTO]]), moras[[#This Row],[TIPO_ASEGURAMIENTO]]=""),
    EDA!$A$32,
    moras[[#This Row],[TIPO_ASEGURAMIENTO]]
)</f>
        <v>ASALARIADO</v>
      </c>
    </row>
    <row r="4930" spans="1:16" x14ac:dyDescent="0.3">
      <c r="A4930">
        <v>4929</v>
      </c>
      <c r="B4930" t="s">
        <v>9</v>
      </c>
      <c r="C4930">
        <v>297045</v>
      </c>
      <c r="D4930" t="s">
        <v>17</v>
      </c>
      <c r="E4930" t="s">
        <v>16</v>
      </c>
      <c r="F4930" t="s">
        <v>12</v>
      </c>
      <c r="G4930" t="s">
        <v>13</v>
      </c>
      <c r="H4930" t="s">
        <v>13</v>
      </c>
      <c r="I4930">
        <v>59</v>
      </c>
      <c r="J4930">
        <f>ABS((I4930-EDA!$A$15)/EDA!$B$15)</f>
        <v>1.2012209241700549</v>
      </c>
      <c r="K4930" t="str">
        <f t="shared" ref="K4930:K4993" si="77">IF(J4930 &gt;  1.96, "Sí","No")</f>
        <v>No</v>
      </c>
      <c r="L4930">
        <f>ABS((C4930-EDA!$F$15)/EDA!$G$15)</f>
        <v>0.37071093372012948</v>
      </c>
      <c r="M4930" t="str">
        <f>IF(moras[[#This Row],[Z-Score Salario]]&gt;1.96, "Sí", "No")</f>
        <v>No</v>
      </c>
      <c r="N4930" s="14">
        <f>IF(ISBLANK(moras[[#This Row],[SALARIO]]), EDA!$M$8, moras[[#This Row],[SALARIO]])</f>
        <v>297045</v>
      </c>
      <c r="O4930" s="14">
        <f xml:space="preserve"> IF(ISBLANK(moras[[#This Row],[EDAD]]), EDA!$E$8, moras[[#This Row],[EDAD]])</f>
        <v>59</v>
      </c>
      <c r="P4930" s="14" t="str">
        <f>IF(
    OR(ISBLANK(moras[[#This Row],[TIPO_ASEGURAMIENTO]]), moras[[#This Row],[TIPO_ASEGURAMIENTO]]=""),
    EDA!$A$32,
    moras[[#This Row],[TIPO_ASEGURAMIENTO]]
)</f>
        <v>ASEGURADO VOLUNTARIO</v>
      </c>
    </row>
    <row r="4931" spans="1:16" x14ac:dyDescent="0.3">
      <c r="A4931">
        <v>4930</v>
      </c>
      <c r="B4931" t="s">
        <v>9</v>
      </c>
      <c r="C4931">
        <v>8427925</v>
      </c>
      <c r="D4931" t="s">
        <v>10</v>
      </c>
      <c r="E4931" t="s">
        <v>11</v>
      </c>
      <c r="F4931" t="s">
        <v>12</v>
      </c>
      <c r="G4931" t="s">
        <v>13</v>
      </c>
      <c r="H4931" t="s">
        <v>13</v>
      </c>
      <c r="I4931">
        <v>33</v>
      </c>
      <c r="J4931">
        <f>ABS((I4931-EDA!$A$15)/EDA!$B$15)</f>
        <v>0.63373765783552027</v>
      </c>
      <c r="K4931" t="str">
        <f t="shared" si="77"/>
        <v>No</v>
      </c>
      <c r="L4931">
        <f>ABS((C4931-EDA!$F$15)/EDA!$G$15)</f>
        <v>0.23540735083276371</v>
      </c>
      <c r="M4931" t="str">
        <f>IF(moras[[#This Row],[Z-Score Salario]]&gt;1.96, "Sí", "No")</f>
        <v>No</v>
      </c>
      <c r="N4931" s="14">
        <f>IF(ISBLANK(moras[[#This Row],[SALARIO]]), EDA!$M$8, moras[[#This Row],[SALARIO]])</f>
        <v>8427925</v>
      </c>
      <c r="O4931" s="14">
        <f xml:space="preserve"> IF(ISBLANK(moras[[#This Row],[EDAD]]), EDA!$E$8, moras[[#This Row],[EDAD]])</f>
        <v>33</v>
      </c>
      <c r="P4931" s="14" t="str">
        <f>IF(
    OR(ISBLANK(moras[[#This Row],[TIPO_ASEGURAMIENTO]]), moras[[#This Row],[TIPO_ASEGURAMIENTO]]=""),
    EDA!$A$32,
    moras[[#This Row],[TIPO_ASEGURAMIENTO]]
)</f>
        <v>ASALARIADO</v>
      </c>
    </row>
    <row r="4932" spans="1:16" x14ac:dyDescent="0.3">
      <c r="A4932">
        <v>4931</v>
      </c>
      <c r="B4932" t="s">
        <v>15</v>
      </c>
      <c r="C4932">
        <v>297046</v>
      </c>
      <c r="D4932" t="s">
        <v>17</v>
      </c>
      <c r="E4932" t="s">
        <v>16</v>
      </c>
      <c r="F4932" t="s">
        <v>12</v>
      </c>
      <c r="G4932" t="s">
        <v>12</v>
      </c>
      <c r="H4932" t="s">
        <v>13</v>
      </c>
      <c r="I4932">
        <v>33</v>
      </c>
      <c r="J4932">
        <f>ABS((I4932-EDA!$A$15)/EDA!$B$15)</f>
        <v>0.63373765783552027</v>
      </c>
      <c r="K4932" t="str">
        <f t="shared" si="77"/>
        <v>No</v>
      </c>
      <c r="L4932">
        <f>ABS((C4932-EDA!$F$15)/EDA!$G$15)</f>
        <v>0.37071091707942361</v>
      </c>
      <c r="M4932" t="str">
        <f>IF(moras[[#This Row],[Z-Score Salario]]&gt;1.96, "Sí", "No")</f>
        <v>No</v>
      </c>
      <c r="N4932" s="14">
        <f>IF(ISBLANK(moras[[#This Row],[SALARIO]]), EDA!$M$8, moras[[#This Row],[SALARIO]])</f>
        <v>297046</v>
      </c>
      <c r="O4932" s="14">
        <f xml:space="preserve"> IF(ISBLANK(moras[[#This Row],[EDAD]]), EDA!$E$8, moras[[#This Row],[EDAD]])</f>
        <v>33</v>
      </c>
      <c r="P4932" s="14" t="str">
        <f>IF(
    OR(ISBLANK(moras[[#This Row],[TIPO_ASEGURAMIENTO]]), moras[[#This Row],[TIPO_ASEGURAMIENTO]]=""),
    EDA!$A$32,
    moras[[#This Row],[TIPO_ASEGURAMIENTO]]
)</f>
        <v>ASEGURADO VOLUNTARIO</v>
      </c>
    </row>
    <row r="4933" spans="1:16" x14ac:dyDescent="0.3">
      <c r="A4933">
        <v>4932</v>
      </c>
      <c r="B4933" t="s">
        <v>9</v>
      </c>
      <c r="C4933">
        <v>26899086</v>
      </c>
      <c r="D4933" t="s">
        <v>10</v>
      </c>
      <c r="E4933" t="s">
        <v>16</v>
      </c>
      <c r="F4933" t="s">
        <v>12</v>
      </c>
      <c r="G4933" t="s">
        <v>13</v>
      </c>
      <c r="H4933" t="s">
        <v>13</v>
      </c>
      <c r="I4933">
        <v>26</v>
      </c>
      <c r="J4933">
        <f>ABS((I4933-EDA!$A$15)/EDA!$B$15)</f>
        <v>1.1277649683754829</v>
      </c>
      <c r="K4933" t="str">
        <f t="shared" si="77"/>
        <v>No</v>
      </c>
      <c r="L4933">
        <f>ABS((C4933-EDA!$F$15)/EDA!$G$15)</f>
        <v>7.196580722508221E-2</v>
      </c>
      <c r="M4933" t="str">
        <f>IF(moras[[#This Row],[Z-Score Salario]]&gt;1.96, "Sí", "No")</f>
        <v>No</v>
      </c>
      <c r="N4933" s="14">
        <f>IF(ISBLANK(moras[[#This Row],[SALARIO]]), EDA!$M$8, moras[[#This Row],[SALARIO]])</f>
        <v>26899086</v>
      </c>
      <c r="O4933" s="14">
        <f xml:space="preserve"> IF(ISBLANK(moras[[#This Row],[EDAD]]), EDA!$E$8, moras[[#This Row],[EDAD]])</f>
        <v>26</v>
      </c>
      <c r="P4933" s="14" t="str">
        <f>IF(
    OR(ISBLANK(moras[[#This Row],[TIPO_ASEGURAMIENTO]]), moras[[#This Row],[TIPO_ASEGURAMIENTO]]=""),
    EDA!$A$32,
    moras[[#This Row],[TIPO_ASEGURAMIENTO]]
)</f>
        <v>ASALARIADO</v>
      </c>
    </row>
    <row r="4934" spans="1:16" x14ac:dyDescent="0.3">
      <c r="A4934">
        <v>4933</v>
      </c>
      <c r="B4934" t="s">
        <v>15</v>
      </c>
      <c r="C4934">
        <v>953508</v>
      </c>
      <c r="D4934" t="s">
        <v>14</v>
      </c>
      <c r="E4934" t="s">
        <v>11</v>
      </c>
      <c r="F4934" t="s">
        <v>12</v>
      </c>
      <c r="G4934" t="s">
        <v>13</v>
      </c>
      <c r="H4934" t="s">
        <v>13</v>
      </c>
      <c r="I4934">
        <v>70</v>
      </c>
      <c r="J4934">
        <f>ABS((I4934-EDA!$A$15)/EDA!$B$15)</f>
        <v>1.9775495550185673</v>
      </c>
      <c r="K4934" t="str">
        <f t="shared" si="77"/>
        <v>Sí</v>
      </c>
      <c r="L4934">
        <f>ABS((C4934-EDA!$F$15)/EDA!$G$15)</f>
        <v>0.35978692599489082</v>
      </c>
      <c r="M4934" t="str">
        <f>IF(moras[[#This Row],[Z-Score Salario]]&gt;1.96, "Sí", "No")</f>
        <v>No</v>
      </c>
      <c r="N4934" s="14">
        <f>IF(ISBLANK(moras[[#This Row],[SALARIO]]), EDA!$M$8, moras[[#This Row],[SALARIO]])</f>
        <v>953508</v>
      </c>
      <c r="O4934" s="14">
        <f xml:space="preserve"> IF(ISBLANK(moras[[#This Row],[EDAD]]), EDA!$E$8, moras[[#This Row],[EDAD]])</f>
        <v>70</v>
      </c>
      <c r="P4934" s="14" t="str">
        <f>IF(
    OR(ISBLANK(moras[[#This Row],[TIPO_ASEGURAMIENTO]]), moras[[#This Row],[TIPO_ASEGURAMIENTO]]=""),
    EDA!$A$32,
    moras[[#This Row],[TIPO_ASEGURAMIENTO]]
)</f>
        <v>PENSIONADOS EN SU PROPIO SISTEMA</v>
      </c>
    </row>
    <row r="4935" spans="1:16" x14ac:dyDescent="0.3">
      <c r="A4935">
        <v>4934</v>
      </c>
      <c r="B4935" t="s">
        <v>15</v>
      </c>
      <c r="C4935">
        <v>292120</v>
      </c>
      <c r="D4935" t="s">
        <v>10</v>
      </c>
      <c r="E4935" t="s">
        <v>16</v>
      </c>
      <c r="F4935" t="s">
        <v>12</v>
      </c>
      <c r="G4935" t="s">
        <v>13</v>
      </c>
      <c r="H4935" t="s">
        <v>13</v>
      </c>
      <c r="I4935">
        <v>26</v>
      </c>
      <c r="J4935">
        <f>ABS((I4935-EDA!$A$15)/EDA!$B$15)</f>
        <v>1.1277649683754829</v>
      </c>
      <c r="K4935" t="str">
        <f t="shared" si="77"/>
        <v>No</v>
      </c>
      <c r="L4935">
        <f>ABS((C4935-EDA!$F$15)/EDA!$G$15)</f>
        <v>0.37079288919674708</v>
      </c>
      <c r="M4935" t="str">
        <f>IF(moras[[#This Row],[Z-Score Salario]]&gt;1.96, "Sí", "No")</f>
        <v>No</v>
      </c>
      <c r="N4935" s="14">
        <f>IF(ISBLANK(moras[[#This Row],[SALARIO]]), EDA!$M$8, moras[[#This Row],[SALARIO]])</f>
        <v>292120</v>
      </c>
      <c r="O4935" s="14">
        <f xml:space="preserve"> IF(ISBLANK(moras[[#This Row],[EDAD]]), EDA!$E$8, moras[[#This Row],[EDAD]])</f>
        <v>26</v>
      </c>
      <c r="P4935" s="14" t="str">
        <f>IF(
    OR(ISBLANK(moras[[#This Row],[TIPO_ASEGURAMIENTO]]), moras[[#This Row],[TIPO_ASEGURAMIENTO]]=""),
    EDA!$A$32,
    moras[[#This Row],[TIPO_ASEGURAMIENTO]]
)</f>
        <v>ASALARIADO</v>
      </c>
    </row>
    <row r="4936" spans="1:16" x14ac:dyDescent="0.3">
      <c r="A4936">
        <v>4935</v>
      </c>
      <c r="B4936" t="s">
        <v>15</v>
      </c>
      <c r="C4936">
        <v>241756034</v>
      </c>
      <c r="D4936" t="s">
        <v>10</v>
      </c>
      <c r="E4936" t="s">
        <v>11</v>
      </c>
      <c r="F4936" t="s">
        <v>12</v>
      </c>
      <c r="G4936" t="s">
        <v>13</v>
      </c>
      <c r="H4936" t="s">
        <v>13</v>
      </c>
      <c r="I4936">
        <v>53</v>
      </c>
      <c r="J4936">
        <f>ABS((I4936-EDA!$A$15)/EDA!$B$15)</f>
        <v>0.77776894370722982</v>
      </c>
      <c r="K4936" t="str">
        <f t="shared" si="77"/>
        <v>No</v>
      </c>
      <c r="L4936">
        <f>ABS((C4936-EDA!$F$15)/EDA!$G$15)</f>
        <v>3.6473370920853236</v>
      </c>
      <c r="M4936" t="str">
        <f>IF(moras[[#This Row],[Z-Score Salario]]&gt;1.96, "Sí", "No")</f>
        <v>Sí</v>
      </c>
      <c r="N4936" s="14">
        <f>IF(ISBLANK(moras[[#This Row],[SALARIO]]), EDA!$M$8, moras[[#This Row],[SALARIO]])</f>
        <v>241756034</v>
      </c>
      <c r="O4936" s="14">
        <f xml:space="preserve"> IF(ISBLANK(moras[[#This Row],[EDAD]]), EDA!$E$8, moras[[#This Row],[EDAD]])</f>
        <v>53</v>
      </c>
      <c r="P4936" s="14" t="str">
        <f>IF(
    OR(ISBLANK(moras[[#This Row],[TIPO_ASEGURAMIENTO]]), moras[[#This Row],[TIPO_ASEGURAMIENTO]]=""),
    EDA!$A$32,
    moras[[#This Row],[TIPO_ASEGURAMIENTO]]
)</f>
        <v>ASALARIADO</v>
      </c>
    </row>
    <row r="4937" spans="1:16" x14ac:dyDescent="0.3">
      <c r="A4937">
        <v>4936</v>
      </c>
      <c r="B4937" t="s">
        <v>15</v>
      </c>
      <c r="C4937">
        <v>5000</v>
      </c>
      <c r="D4937" t="s">
        <v>10</v>
      </c>
      <c r="E4937" t="s">
        <v>16</v>
      </c>
      <c r="F4937" t="s">
        <v>12</v>
      </c>
      <c r="G4937" t="s">
        <v>13</v>
      </c>
      <c r="H4937" t="s">
        <v>13</v>
      </c>
      <c r="I4937">
        <v>39</v>
      </c>
      <c r="J4937">
        <f>ABS((I4937-EDA!$A$15)/EDA!$B$15)</f>
        <v>0.21028567737269524</v>
      </c>
      <c r="K4937" t="str">
        <f t="shared" si="77"/>
        <v>No</v>
      </c>
      <c r="L4937">
        <f>ABS((C4937-EDA!$F$15)/EDA!$G$15)</f>
        <v>0.37557076867825712</v>
      </c>
      <c r="M4937" t="str">
        <f>IF(moras[[#This Row],[Z-Score Salario]]&gt;1.96, "Sí", "No")</f>
        <v>No</v>
      </c>
      <c r="N4937" s="14">
        <f>IF(ISBLANK(moras[[#This Row],[SALARIO]]), EDA!$M$8, moras[[#This Row],[SALARIO]])</f>
        <v>5000</v>
      </c>
      <c r="O4937" s="14">
        <f xml:space="preserve"> IF(ISBLANK(moras[[#This Row],[EDAD]]), EDA!$E$8, moras[[#This Row],[EDAD]])</f>
        <v>39</v>
      </c>
      <c r="P4937" s="14" t="str">
        <f>IF(
    OR(ISBLANK(moras[[#This Row],[TIPO_ASEGURAMIENTO]]), moras[[#This Row],[TIPO_ASEGURAMIENTO]]=""),
    EDA!$A$32,
    moras[[#This Row],[TIPO_ASEGURAMIENTO]]
)</f>
        <v>ASALARIADO</v>
      </c>
    </row>
    <row r="4938" spans="1:16" x14ac:dyDescent="0.3">
      <c r="A4938">
        <v>4937</v>
      </c>
      <c r="B4938" t="s">
        <v>9</v>
      </c>
      <c r="C4938">
        <v>63160625</v>
      </c>
      <c r="D4938" t="s">
        <v>10</v>
      </c>
      <c r="E4938" t="s">
        <v>16</v>
      </c>
      <c r="F4938" t="s">
        <v>12</v>
      </c>
      <c r="G4938" t="s">
        <v>12</v>
      </c>
      <c r="H4938" t="s">
        <v>13</v>
      </c>
      <c r="I4938">
        <v>20</v>
      </c>
      <c r="J4938">
        <f>ABS((I4938-EDA!$A$15)/EDA!$B$15)</f>
        <v>1.5512169488383079</v>
      </c>
      <c r="K4938" t="str">
        <f t="shared" si="77"/>
        <v>No</v>
      </c>
      <c r="L4938">
        <f>ABS((C4938-EDA!$F$15)/EDA!$G$15)</f>
        <v>0.67538341364775067</v>
      </c>
      <c r="M4938" t="str">
        <f>IF(moras[[#This Row],[Z-Score Salario]]&gt;1.96, "Sí", "No")</f>
        <v>No</v>
      </c>
      <c r="N4938" s="14">
        <f>IF(ISBLANK(moras[[#This Row],[SALARIO]]), EDA!$M$8, moras[[#This Row],[SALARIO]])</f>
        <v>63160625</v>
      </c>
      <c r="O4938" s="14">
        <f xml:space="preserve"> IF(ISBLANK(moras[[#This Row],[EDAD]]), EDA!$E$8, moras[[#This Row],[EDAD]])</f>
        <v>20</v>
      </c>
      <c r="P4938" s="14" t="str">
        <f>IF(
    OR(ISBLANK(moras[[#This Row],[TIPO_ASEGURAMIENTO]]), moras[[#This Row],[TIPO_ASEGURAMIENTO]]=""),
    EDA!$A$32,
    moras[[#This Row],[TIPO_ASEGURAMIENTO]]
)</f>
        <v>ASALARIADO</v>
      </c>
    </row>
    <row r="4939" spans="1:16" x14ac:dyDescent="0.3">
      <c r="A4939">
        <v>4938</v>
      </c>
      <c r="B4939" t="s">
        <v>9</v>
      </c>
      <c r="C4939">
        <v>299441</v>
      </c>
      <c r="D4939" t="s">
        <v>18</v>
      </c>
      <c r="E4939" t="s">
        <v>16</v>
      </c>
      <c r="F4939" t="s">
        <v>12</v>
      </c>
      <c r="G4939" t="s">
        <v>13</v>
      </c>
      <c r="H4939" t="s">
        <v>13</v>
      </c>
      <c r="I4939">
        <v>31</v>
      </c>
      <c r="J4939">
        <f>ABS((I4939-EDA!$A$15)/EDA!$B$15)</f>
        <v>0.77488831798979529</v>
      </c>
      <c r="K4939" t="str">
        <f t="shared" si="77"/>
        <v>No</v>
      </c>
      <c r="L4939">
        <f>ABS((C4939-EDA!$F$15)/EDA!$G$15)</f>
        <v>0.37067106258876387</v>
      </c>
      <c r="M4939" t="str">
        <f>IF(moras[[#This Row],[Z-Score Salario]]&gt;1.96, "Sí", "No")</f>
        <v>No</v>
      </c>
      <c r="N4939" s="14">
        <f>IF(ISBLANK(moras[[#This Row],[SALARIO]]), EDA!$M$8, moras[[#This Row],[SALARIO]])</f>
        <v>299441</v>
      </c>
      <c r="O4939" s="14">
        <f xml:space="preserve"> IF(ISBLANK(moras[[#This Row],[EDAD]]), EDA!$E$8, moras[[#This Row],[EDAD]])</f>
        <v>31</v>
      </c>
      <c r="P4939" s="14" t="str">
        <f>IF(
    OR(ISBLANK(moras[[#This Row],[TIPO_ASEGURAMIENTO]]), moras[[#This Row],[TIPO_ASEGURAMIENTO]]=""),
    EDA!$A$32,
    moras[[#This Row],[TIPO_ASEGURAMIENTO]]
)</f>
        <v>TRABAJADOR INDEPENDIENTE</v>
      </c>
    </row>
    <row r="4940" spans="1:16" x14ac:dyDescent="0.3">
      <c r="A4940">
        <v>4939</v>
      </c>
      <c r="B4940" t="s">
        <v>15</v>
      </c>
      <c r="C4940">
        <v>233740</v>
      </c>
      <c r="D4940" t="s">
        <v>10</v>
      </c>
      <c r="E4940" t="s">
        <v>16</v>
      </c>
      <c r="F4940" t="s">
        <v>12</v>
      </c>
      <c r="G4940" t="s">
        <v>13</v>
      </c>
      <c r="H4940" t="s">
        <v>13</v>
      </c>
      <c r="I4940">
        <v>18</v>
      </c>
      <c r="J4940">
        <f>ABS((I4940-EDA!$A$15)/EDA!$B$15)</f>
        <v>1.6923676089925828</v>
      </c>
      <c r="K4940" t="str">
        <f t="shared" si="77"/>
        <v>No</v>
      </c>
      <c r="L4940">
        <f>ABS((C4940-EDA!$F$15)/EDA!$G$15)</f>
        <v>0.37176437360790116</v>
      </c>
      <c r="M4940" t="str">
        <f>IF(moras[[#This Row],[Z-Score Salario]]&gt;1.96, "Sí", "No")</f>
        <v>No</v>
      </c>
      <c r="N4940" s="14">
        <f>IF(ISBLANK(moras[[#This Row],[SALARIO]]), EDA!$M$8, moras[[#This Row],[SALARIO]])</f>
        <v>233740</v>
      </c>
      <c r="O4940" s="14">
        <f xml:space="preserve"> IF(ISBLANK(moras[[#This Row],[EDAD]]), EDA!$E$8, moras[[#This Row],[EDAD]])</f>
        <v>18</v>
      </c>
      <c r="P4940" s="14" t="str">
        <f>IF(
    OR(ISBLANK(moras[[#This Row],[TIPO_ASEGURAMIENTO]]), moras[[#This Row],[TIPO_ASEGURAMIENTO]]=""),
    EDA!$A$32,
    moras[[#This Row],[TIPO_ASEGURAMIENTO]]
)</f>
        <v>ASALARIADO</v>
      </c>
    </row>
    <row r="4941" spans="1:16" x14ac:dyDescent="0.3">
      <c r="A4941">
        <v>4940</v>
      </c>
      <c r="B4941" t="s">
        <v>9</v>
      </c>
      <c r="C4941">
        <v>297046</v>
      </c>
      <c r="D4941" t="s">
        <v>17</v>
      </c>
      <c r="E4941" t="s">
        <v>16</v>
      </c>
      <c r="F4941" t="s">
        <v>12</v>
      </c>
      <c r="G4941" t="s">
        <v>13</v>
      </c>
      <c r="H4941" t="s">
        <v>13</v>
      </c>
      <c r="I4941">
        <v>40</v>
      </c>
      <c r="J4941">
        <f>ABS((I4941-EDA!$A$15)/EDA!$B$15)</f>
        <v>0.13971034729555773</v>
      </c>
      <c r="K4941" t="str">
        <f t="shared" si="77"/>
        <v>No</v>
      </c>
      <c r="L4941">
        <f>ABS((C4941-EDA!$F$15)/EDA!$G$15)</f>
        <v>0.37071091707942361</v>
      </c>
      <c r="M4941" t="str">
        <f>IF(moras[[#This Row],[Z-Score Salario]]&gt;1.96, "Sí", "No")</f>
        <v>No</v>
      </c>
      <c r="N4941" s="14">
        <f>IF(ISBLANK(moras[[#This Row],[SALARIO]]), EDA!$M$8, moras[[#This Row],[SALARIO]])</f>
        <v>297046</v>
      </c>
      <c r="O4941" s="14">
        <f xml:space="preserve"> IF(ISBLANK(moras[[#This Row],[EDAD]]), EDA!$E$8, moras[[#This Row],[EDAD]])</f>
        <v>40</v>
      </c>
      <c r="P4941" s="14" t="str">
        <f>IF(
    OR(ISBLANK(moras[[#This Row],[TIPO_ASEGURAMIENTO]]), moras[[#This Row],[TIPO_ASEGURAMIENTO]]=""),
    EDA!$A$32,
    moras[[#This Row],[TIPO_ASEGURAMIENTO]]
)</f>
        <v>ASEGURADO VOLUNTARIO</v>
      </c>
    </row>
    <row r="4942" spans="1:16" x14ac:dyDescent="0.3">
      <c r="A4942">
        <v>4941</v>
      </c>
      <c r="B4942" t="s">
        <v>15</v>
      </c>
      <c r="C4942">
        <v>278030</v>
      </c>
      <c r="D4942" t="s">
        <v>17</v>
      </c>
      <c r="E4942" t="s">
        <v>16</v>
      </c>
      <c r="F4942" t="s">
        <v>12</v>
      </c>
      <c r="G4942" t="s">
        <v>13</v>
      </c>
      <c r="H4942" t="s">
        <v>13</v>
      </c>
      <c r="I4942">
        <v>50</v>
      </c>
      <c r="J4942">
        <f>ABS((I4942-EDA!$A$15)/EDA!$B$15)</f>
        <v>0.56604295347581735</v>
      </c>
      <c r="K4942" t="str">
        <f t="shared" si="77"/>
        <v>No</v>
      </c>
      <c r="L4942">
        <f>ABS((C4942-EDA!$F$15)/EDA!$G$15)</f>
        <v>0.37102735674304993</v>
      </c>
      <c r="M4942" t="str">
        <f>IF(moras[[#This Row],[Z-Score Salario]]&gt;1.96, "Sí", "No")</f>
        <v>No</v>
      </c>
      <c r="N4942" s="14">
        <f>IF(ISBLANK(moras[[#This Row],[SALARIO]]), EDA!$M$8, moras[[#This Row],[SALARIO]])</f>
        <v>278030</v>
      </c>
      <c r="O4942" s="14">
        <f xml:space="preserve"> IF(ISBLANK(moras[[#This Row],[EDAD]]), EDA!$E$8, moras[[#This Row],[EDAD]])</f>
        <v>50</v>
      </c>
      <c r="P4942" s="14" t="str">
        <f>IF(
    OR(ISBLANK(moras[[#This Row],[TIPO_ASEGURAMIENTO]]), moras[[#This Row],[TIPO_ASEGURAMIENTO]]=""),
    EDA!$A$32,
    moras[[#This Row],[TIPO_ASEGURAMIENTO]]
)</f>
        <v>ASEGURADO VOLUNTARIO</v>
      </c>
    </row>
    <row r="4943" spans="1:16" x14ac:dyDescent="0.3">
      <c r="A4943">
        <v>4942</v>
      </c>
      <c r="B4943" t="s">
        <v>9</v>
      </c>
      <c r="C4943">
        <v>36703416</v>
      </c>
      <c r="D4943" t="s">
        <v>10</v>
      </c>
      <c r="E4943" t="s">
        <v>16</v>
      </c>
      <c r="F4943" t="s">
        <v>12</v>
      </c>
      <c r="G4943" t="s">
        <v>13</v>
      </c>
      <c r="H4943" t="s">
        <v>13</v>
      </c>
      <c r="I4943">
        <v>42</v>
      </c>
      <c r="J4943">
        <f>ABS((I4943-EDA!$A$15)/EDA!$B$15)</f>
        <v>1.4403128587172659E-3</v>
      </c>
      <c r="K4943" t="str">
        <f t="shared" si="77"/>
        <v>No</v>
      </c>
      <c r="L4943">
        <f>ABS((C4943-EDA!$F$15)/EDA!$G$15)</f>
        <v>0.23511677942121437</v>
      </c>
      <c r="M4943" t="str">
        <f>IF(moras[[#This Row],[Z-Score Salario]]&gt;1.96, "Sí", "No")</f>
        <v>No</v>
      </c>
      <c r="N4943" s="14">
        <f>IF(ISBLANK(moras[[#This Row],[SALARIO]]), EDA!$M$8, moras[[#This Row],[SALARIO]])</f>
        <v>36703416</v>
      </c>
      <c r="O4943" s="14">
        <f xml:space="preserve"> IF(ISBLANK(moras[[#This Row],[EDAD]]), EDA!$E$8, moras[[#This Row],[EDAD]])</f>
        <v>42</v>
      </c>
      <c r="P4943" s="14" t="str">
        <f>IF(
    OR(ISBLANK(moras[[#This Row],[TIPO_ASEGURAMIENTO]]), moras[[#This Row],[TIPO_ASEGURAMIENTO]]=""),
    EDA!$A$32,
    moras[[#This Row],[TIPO_ASEGURAMIENTO]]
)</f>
        <v>ASALARIADO</v>
      </c>
    </row>
    <row r="4944" spans="1:16" x14ac:dyDescent="0.3">
      <c r="A4944">
        <v>4943</v>
      </c>
      <c r="B4944" t="s">
        <v>9</v>
      </c>
      <c r="C4944">
        <v>35005088</v>
      </c>
      <c r="D4944" t="s">
        <v>10</v>
      </c>
      <c r="E4944" t="s">
        <v>16</v>
      </c>
      <c r="F4944" t="s">
        <v>12</v>
      </c>
      <c r="G4944" t="s">
        <v>13</v>
      </c>
      <c r="H4944" t="s">
        <v>13</v>
      </c>
      <c r="I4944">
        <v>26</v>
      </c>
      <c r="J4944">
        <f>ABS((I4944-EDA!$A$15)/EDA!$B$15)</f>
        <v>1.1277649683754829</v>
      </c>
      <c r="K4944" t="str">
        <f t="shared" si="77"/>
        <v>No</v>
      </c>
      <c r="L4944">
        <f>ABS((C4944-EDA!$F$15)/EDA!$G$15)</f>
        <v>0.20685540263076435</v>
      </c>
      <c r="M4944" t="str">
        <f>IF(moras[[#This Row],[Z-Score Salario]]&gt;1.96, "Sí", "No")</f>
        <v>No</v>
      </c>
      <c r="N4944" s="14">
        <f>IF(ISBLANK(moras[[#This Row],[SALARIO]]), EDA!$M$8, moras[[#This Row],[SALARIO]])</f>
        <v>35005088</v>
      </c>
      <c r="O4944" s="14">
        <f xml:space="preserve"> IF(ISBLANK(moras[[#This Row],[EDAD]]), EDA!$E$8, moras[[#This Row],[EDAD]])</f>
        <v>26</v>
      </c>
      <c r="P4944" s="14" t="str">
        <f>IF(
    OR(ISBLANK(moras[[#This Row],[TIPO_ASEGURAMIENTO]]), moras[[#This Row],[TIPO_ASEGURAMIENTO]]=""),
    EDA!$A$32,
    moras[[#This Row],[TIPO_ASEGURAMIENTO]]
)</f>
        <v>ASALARIADO</v>
      </c>
    </row>
    <row r="4945" spans="1:16" x14ac:dyDescent="0.3">
      <c r="A4945">
        <v>4944</v>
      </c>
      <c r="B4945" t="s">
        <v>9</v>
      </c>
      <c r="C4945">
        <v>1225741</v>
      </c>
      <c r="D4945" t="s">
        <v>10</v>
      </c>
      <c r="E4945" t="s">
        <v>16</v>
      </c>
      <c r="F4945" t="s">
        <v>12</v>
      </c>
      <c r="G4945" t="s">
        <v>13</v>
      </c>
      <c r="H4945" t="s">
        <v>13</v>
      </c>
      <c r="I4945">
        <v>57</v>
      </c>
      <c r="J4945">
        <f>ABS((I4945-EDA!$A$15)/EDA!$B$15)</f>
        <v>1.0600702640157798</v>
      </c>
      <c r="K4945" t="str">
        <f t="shared" si="77"/>
        <v>No</v>
      </c>
      <c r="L4945">
        <f>ABS((C4945-EDA!$F$15)/EDA!$G$15)</f>
        <v>0.35525677670229561</v>
      </c>
      <c r="M4945" t="str">
        <f>IF(moras[[#This Row],[Z-Score Salario]]&gt;1.96, "Sí", "No")</f>
        <v>No</v>
      </c>
      <c r="N4945" s="14">
        <f>IF(ISBLANK(moras[[#This Row],[SALARIO]]), EDA!$M$8, moras[[#This Row],[SALARIO]])</f>
        <v>1225741</v>
      </c>
      <c r="O4945" s="14">
        <f xml:space="preserve"> IF(ISBLANK(moras[[#This Row],[EDAD]]), EDA!$E$8, moras[[#This Row],[EDAD]])</f>
        <v>57</v>
      </c>
      <c r="P4945" s="14" t="str">
        <f>IF(
    OR(ISBLANK(moras[[#This Row],[TIPO_ASEGURAMIENTO]]), moras[[#This Row],[TIPO_ASEGURAMIENTO]]=""),
    EDA!$A$32,
    moras[[#This Row],[TIPO_ASEGURAMIENTO]]
)</f>
        <v>ASALARIADO</v>
      </c>
    </row>
    <row r="4946" spans="1:16" x14ac:dyDescent="0.3">
      <c r="A4946">
        <v>4945</v>
      </c>
      <c r="B4946" t="s">
        <v>15</v>
      </c>
      <c r="C4946">
        <v>297045</v>
      </c>
      <c r="D4946" t="s">
        <v>17</v>
      </c>
      <c r="E4946" t="s">
        <v>16</v>
      </c>
      <c r="F4946" t="s">
        <v>12</v>
      </c>
      <c r="G4946" t="s">
        <v>13</v>
      </c>
      <c r="H4946" t="s">
        <v>13</v>
      </c>
      <c r="I4946">
        <v>35</v>
      </c>
      <c r="J4946">
        <f>ABS((I4946-EDA!$A$15)/EDA!$B$15)</f>
        <v>0.49258699768124525</v>
      </c>
      <c r="K4946" t="str">
        <f t="shared" si="77"/>
        <v>No</v>
      </c>
      <c r="L4946">
        <f>ABS((C4946-EDA!$F$15)/EDA!$G$15)</f>
        <v>0.37071093372012948</v>
      </c>
      <c r="M4946" t="str">
        <f>IF(moras[[#This Row],[Z-Score Salario]]&gt;1.96, "Sí", "No")</f>
        <v>No</v>
      </c>
      <c r="N4946" s="14">
        <f>IF(ISBLANK(moras[[#This Row],[SALARIO]]), EDA!$M$8, moras[[#This Row],[SALARIO]])</f>
        <v>297045</v>
      </c>
      <c r="O4946" s="14">
        <f xml:space="preserve"> IF(ISBLANK(moras[[#This Row],[EDAD]]), EDA!$E$8, moras[[#This Row],[EDAD]])</f>
        <v>35</v>
      </c>
      <c r="P4946" s="14" t="str">
        <f>IF(
    OR(ISBLANK(moras[[#This Row],[TIPO_ASEGURAMIENTO]]), moras[[#This Row],[TIPO_ASEGURAMIENTO]]=""),
    EDA!$A$32,
    moras[[#This Row],[TIPO_ASEGURAMIENTO]]
)</f>
        <v>ASEGURADO VOLUNTARIO</v>
      </c>
    </row>
    <row r="4947" spans="1:16" x14ac:dyDescent="0.3">
      <c r="A4947">
        <v>4946</v>
      </c>
      <c r="B4947" t="s">
        <v>9</v>
      </c>
      <c r="C4947">
        <v>278030</v>
      </c>
      <c r="D4947" t="s">
        <v>19</v>
      </c>
      <c r="E4947" t="s">
        <v>16</v>
      </c>
      <c r="F4947" t="s">
        <v>12</v>
      </c>
      <c r="G4947" t="s">
        <v>13</v>
      </c>
      <c r="H4947" t="s">
        <v>13</v>
      </c>
      <c r="I4947">
        <v>37</v>
      </c>
      <c r="J4947">
        <f>ABS((I4947-EDA!$A$15)/EDA!$B$15)</f>
        <v>0.35143633752697023</v>
      </c>
      <c r="K4947" t="str">
        <f t="shared" si="77"/>
        <v>No</v>
      </c>
      <c r="L4947">
        <f>ABS((C4947-EDA!$F$15)/EDA!$G$15)</f>
        <v>0.37102735674304993</v>
      </c>
      <c r="M4947" t="str">
        <f>IF(moras[[#This Row],[Z-Score Salario]]&gt;1.96, "Sí", "No")</f>
        <v>No</v>
      </c>
      <c r="N4947" s="14">
        <f>IF(ISBLANK(moras[[#This Row],[SALARIO]]), EDA!$M$8, moras[[#This Row],[SALARIO]])</f>
        <v>278030</v>
      </c>
      <c r="O4947" s="14">
        <f xml:space="preserve"> IF(ISBLANK(moras[[#This Row],[EDAD]]), EDA!$E$8, moras[[#This Row],[EDAD]])</f>
        <v>37</v>
      </c>
      <c r="P4947" s="14" t="str">
        <f>IF(
    OR(ISBLANK(moras[[#This Row],[TIPO_ASEGURAMIENTO]]), moras[[#This Row],[TIPO_ASEGURAMIENTO]]=""),
    EDA!$A$32,
    moras[[#This Row],[TIPO_ASEGURAMIENTO]]
)</f>
        <v>CONVENIOS ESPECIALES DE TRABAJADORES INDEPENDIENTES</v>
      </c>
    </row>
    <row r="4948" spans="1:16" x14ac:dyDescent="0.3">
      <c r="A4948">
        <v>4947</v>
      </c>
      <c r="B4948" t="s">
        <v>15</v>
      </c>
      <c r="C4948">
        <v>1158417</v>
      </c>
      <c r="D4948" t="s">
        <v>10</v>
      </c>
      <c r="E4948" t="s">
        <v>11</v>
      </c>
      <c r="F4948" t="s">
        <v>12</v>
      </c>
      <c r="G4948" t="s">
        <v>13</v>
      </c>
      <c r="H4948" t="s">
        <v>13</v>
      </c>
      <c r="I4948">
        <v>39</v>
      </c>
      <c r="J4948">
        <f>ABS((I4948-EDA!$A$15)/EDA!$B$15)</f>
        <v>0.21028567737269524</v>
      </c>
      <c r="K4948" t="str">
        <f t="shared" si="77"/>
        <v>No</v>
      </c>
      <c r="L4948">
        <f>ABS((C4948-EDA!$F$15)/EDA!$G$15)</f>
        <v>0.35637709558712838</v>
      </c>
      <c r="M4948" t="str">
        <f>IF(moras[[#This Row],[Z-Score Salario]]&gt;1.96, "Sí", "No")</f>
        <v>No</v>
      </c>
      <c r="N4948" s="14">
        <f>IF(ISBLANK(moras[[#This Row],[SALARIO]]), EDA!$M$8, moras[[#This Row],[SALARIO]])</f>
        <v>1158417</v>
      </c>
      <c r="O4948" s="14">
        <f xml:space="preserve"> IF(ISBLANK(moras[[#This Row],[EDAD]]), EDA!$E$8, moras[[#This Row],[EDAD]])</f>
        <v>39</v>
      </c>
      <c r="P4948" s="14" t="str">
        <f>IF(
    OR(ISBLANK(moras[[#This Row],[TIPO_ASEGURAMIENTO]]), moras[[#This Row],[TIPO_ASEGURAMIENTO]]=""),
    EDA!$A$32,
    moras[[#This Row],[TIPO_ASEGURAMIENTO]]
)</f>
        <v>ASALARIADO</v>
      </c>
    </row>
    <row r="4949" spans="1:16" x14ac:dyDescent="0.3">
      <c r="A4949">
        <v>4948</v>
      </c>
      <c r="B4949" t="s">
        <v>15</v>
      </c>
      <c r="C4949">
        <v>297046</v>
      </c>
      <c r="D4949" t="s">
        <v>17</v>
      </c>
      <c r="E4949" t="s">
        <v>16</v>
      </c>
      <c r="F4949" t="s">
        <v>12</v>
      </c>
      <c r="G4949" t="s">
        <v>13</v>
      </c>
      <c r="H4949" t="s">
        <v>13</v>
      </c>
      <c r="I4949">
        <v>24</v>
      </c>
      <c r="J4949">
        <f>ABS((I4949-EDA!$A$15)/EDA!$B$15)</f>
        <v>1.2689156285297578</v>
      </c>
      <c r="K4949" t="str">
        <f t="shared" si="77"/>
        <v>No</v>
      </c>
      <c r="L4949">
        <f>ABS((C4949-EDA!$F$15)/EDA!$G$15)</f>
        <v>0.37071091707942361</v>
      </c>
      <c r="M4949" t="str">
        <f>IF(moras[[#This Row],[Z-Score Salario]]&gt;1.96, "Sí", "No")</f>
        <v>No</v>
      </c>
      <c r="N4949" s="14">
        <f>IF(ISBLANK(moras[[#This Row],[SALARIO]]), EDA!$M$8, moras[[#This Row],[SALARIO]])</f>
        <v>297046</v>
      </c>
      <c r="O4949" s="14">
        <f xml:space="preserve"> IF(ISBLANK(moras[[#This Row],[EDAD]]), EDA!$E$8, moras[[#This Row],[EDAD]])</f>
        <v>24</v>
      </c>
      <c r="P4949" s="14" t="str">
        <f>IF(
    OR(ISBLANK(moras[[#This Row],[TIPO_ASEGURAMIENTO]]), moras[[#This Row],[TIPO_ASEGURAMIENTO]]=""),
    EDA!$A$32,
    moras[[#This Row],[TIPO_ASEGURAMIENTO]]
)</f>
        <v>ASEGURADO VOLUNTARIO</v>
      </c>
    </row>
    <row r="4950" spans="1:16" x14ac:dyDescent="0.3">
      <c r="A4950">
        <v>4949</v>
      </c>
      <c r="B4950" t="s">
        <v>9</v>
      </c>
      <c r="C4950">
        <v>1376386</v>
      </c>
      <c r="D4950" t="s">
        <v>14</v>
      </c>
      <c r="E4950" t="s">
        <v>11</v>
      </c>
      <c r="F4950" t="s">
        <v>12</v>
      </c>
      <c r="G4950" t="s">
        <v>13</v>
      </c>
      <c r="H4950" t="s">
        <v>13</v>
      </c>
      <c r="I4950">
        <v>67</v>
      </c>
      <c r="J4950">
        <f>ABS((I4950-EDA!$A$15)/EDA!$B$15)</f>
        <v>1.765823564787155</v>
      </c>
      <c r="K4950" t="str">
        <f t="shared" si="77"/>
        <v>No</v>
      </c>
      <c r="L4950">
        <f>ABS((C4950-EDA!$F$15)/EDA!$G$15)</f>
        <v>0.35274993756015266</v>
      </c>
      <c r="M4950" t="str">
        <f>IF(moras[[#This Row],[Z-Score Salario]]&gt;1.96, "Sí", "No")</f>
        <v>No</v>
      </c>
      <c r="N4950" s="14">
        <f>IF(ISBLANK(moras[[#This Row],[SALARIO]]), EDA!$M$8, moras[[#This Row],[SALARIO]])</f>
        <v>1376386</v>
      </c>
      <c r="O4950" s="14">
        <f xml:space="preserve"> IF(ISBLANK(moras[[#This Row],[EDAD]]), EDA!$E$8, moras[[#This Row],[EDAD]])</f>
        <v>67</v>
      </c>
      <c r="P4950" s="14" t="str">
        <f>IF(
    OR(ISBLANK(moras[[#This Row],[TIPO_ASEGURAMIENTO]]), moras[[#This Row],[TIPO_ASEGURAMIENTO]]=""),
    EDA!$A$32,
    moras[[#This Row],[TIPO_ASEGURAMIENTO]]
)</f>
        <v>PENSIONADOS EN SU PROPIO SISTEMA</v>
      </c>
    </row>
    <row r="4951" spans="1:16" x14ac:dyDescent="0.3">
      <c r="A4951">
        <v>4950</v>
      </c>
      <c r="B4951" t="s">
        <v>9</v>
      </c>
      <c r="C4951">
        <v>4206651</v>
      </c>
      <c r="D4951" t="s">
        <v>10</v>
      </c>
      <c r="E4951" t="s">
        <v>11</v>
      </c>
      <c r="F4951" t="s">
        <v>12</v>
      </c>
      <c r="G4951" t="s">
        <v>13</v>
      </c>
      <c r="H4951" t="s">
        <v>13</v>
      </c>
      <c r="I4951">
        <v>69</v>
      </c>
      <c r="J4951">
        <f>ABS((I4951-EDA!$A$15)/EDA!$B$15)</f>
        <v>1.9069742249414299</v>
      </c>
      <c r="K4951" t="str">
        <f t="shared" si="77"/>
        <v>No</v>
      </c>
      <c r="L4951">
        <f>ABS((C4951-EDA!$F$15)/EDA!$G$15)</f>
        <v>0.30565233004156794</v>
      </c>
      <c r="M4951" t="str">
        <f>IF(moras[[#This Row],[Z-Score Salario]]&gt;1.96, "Sí", "No")</f>
        <v>No</v>
      </c>
      <c r="N4951" s="14">
        <f>IF(ISBLANK(moras[[#This Row],[SALARIO]]), EDA!$M$8, moras[[#This Row],[SALARIO]])</f>
        <v>4206651</v>
      </c>
      <c r="O4951" s="14">
        <f xml:space="preserve"> IF(ISBLANK(moras[[#This Row],[EDAD]]), EDA!$E$8, moras[[#This Row],[EDAD]])</f>
        <v>69</v>
      </c>
      <c r="P4951" s="14" t="str">
        <f>IF(
    OR(ISBLANK(moras[[#This Row],[TIPO_ASEGURAMIENTO]]), moras[[#This Row],[TIPO_ASEGURAMIENTO]]=""),
    EDA!$A$32,
    moras[[#This Row],[TIPO_ASEGURAMIENTO]]
)</f>
        <v>ASALARIADO</v>
      </c>
    </row>
    <row r="4952" spans="1:16" x14ac:dyDescent="0.3">
      <c r="A4952">
        <v>4951</v>
      </c>
      <c r="B4952" t="s">
        <v>9</v>
      </c>
      <c r="C4952">
        <v>545415</v>
      </c>
      <c r="D4952" t="s">
        <v>10</v>
      </c>
      <c r="E4952" t="s">
        <v>16</v>
      </c>
      <c r="F4952" t="s">
        <v>12</v>
      </c>
      <c r="G4952" t="s">
        <v>13</v>
      </c>
      <c r="H4952" t="s">
        <v>13</v>
      </c>
      <c r="I4952">
        <v>20</v>
      </c>
      <c r="J4952">
        <f>ABS((I4952-EDA!$A$15)/EDA!$B$15)</f>
        <v>1.5512169488383079</v>
      </c>
      <c r="K4952" t="str">
        <f t="shared" si="77"/>
        <v>No</v>
      </c>
      <c r="L4952">
        <f>ABS((C4952-EDA!$F$15)/EDA!$G$15)</f>
        <v>0.36657788159271709</v>
      </c>
      <c r="M4952" t="str">
        <f>IF(moras[[#This Row],[Z-Score Salario]]&gt;1.96, "Sí", "No")</f>
        <v>No</v>
      </c>
      <c r="N4952" s="14">
        <f>IF(ISBLANK(moras[[#This Row],[SALARIO]]), EDA!$M$8, moras[[#This Row],[SALARIO]])</f>
        <v>545415</v>
      </c>
      <c r="O4952" s="14">
        <f xml:space="preserve"> IF(ISBLANK(moras[[#This Row],[EDAD]]), EDA!$E$8, moras[[#This Row],[EDAD]])</f>
        <v>20</v>
      </c>
      <c r="P4952" s="14" t="str">
        <f>IF(
    OR(ISBLANK(moras[[#This Row],[TIPO_ASEGURAMIENTO]]), moras[[#This Row],[TIPO_ASEGURAMIENTO]]=""),
    EDA!$A$32,
    moras[[#This Row],[TIPO_ASEGURAMIENTO]]
)</f>
        <v>ASALARIADO</v>
      </c>
    </row>
    <row r="4953" spans="1:16" x14ac:dyDescent="0.3">
      <c r="A4953">
        <v>4952</v>
      </c>
      <c r="B4953" t="s">
        <v>15</v>
      </c>
      <c r="C4953">
        <v>330000</v>
      </c>
      <c r="D4953" t="s">
        <v>10</v>
      </c>
      <c r="E4953" t="s">
        <v>16</v>
      </c>
      <c r="F4953" t="s">
        <v>12</v>
      </c>
      <c r="G4953" t="s">
        <v>13</v>
      </c>
      <c r="H4953" t="s">
        <v>13</v>
      </c>
      <c r="I4953">
        <v>25</v>
      </c>
      <c r="J4953">
        <f>ABS((I4953-EDA!$A$15)/EDA!$B$15)</f>
        <v>1.1983402984526204</v>
      </c>
      <c r="K4953" t="str">
        <f t="shared" si="77"/>
        <v>No</v>
      </c>
      <c r="L4953">
        <f>ABS((C4953-EDA!$F$15)/EDA!$G$15)</f>
        <v>0.37016253925679304</v>
      </c>
      <c r="M4953" t="str">
        <f>IF(moras[[#This Row],[Z-Score Salario]]&gt;1.96, "Sí", "No")</f>
        <v>No</v>
      </c>
      <c r="N4953" s="14">
        <f>IF(ISBLANK(moras[[#This Row],[SALARIO]]), EDA!$M$8, moras[[#This Row],[SALARIO]])</f>
        <v>330000</v>
      </c>
      <c r="O4953" s="14">
        <f xml:space="preserve"> IF(ISBLANK(moras[[#This Row],[EDAD]]), EDA!$E$8, moras[[#This Row],[EDAD]])</f>
        <v>25</v>
      </c>
      <c r="P4953" s="14" t="str">
        <f>IF(
    OR(ISBLANK(moras[[#This Row],[TIPO_ASEGURAMIENTO]]), moras[[#This Row],[TIPO_ASEGURAMIENTO]]=""),
    EDA!$A$32,
    moras[[#This Row],[TIPO_ASEGURAMIENTO]]
)</f>
        <v>ASALARIADO</v>
      </c>
    </row>
    <row r="4954" spans="1:16" x14ac:dyDescent="0.3">
      <c r="A4954">
        <v>4953</v>
      </c>
      <c r="B4954" t="s">
        <v>9</v>
      </c>
      <c r="C4954">
        <v>297046</v>
      </c>
      <c r="D4954" t="s">
        <v>17</v>
      </c>
      <c r="E4954" t="s">
        <v>16</v>
      </c>
      <c r="F4954" t="s">
        <v>12</v>
      </c>
      <c r="G4954" t="s">
        <v>13</v>
      </c>
      <c r="H4954" t="s">
        <v>13</v>
      </c>
      <c r="I4954">
        <v>62</v>
      </c>
      <c r="J4954">
        <f>ABS((I4954-EDA!$A$15)/EDA!$B$15)</f>
        <v>1.4129469144014672</v>
      </c>
      <c r="K4954" t="str">
        <f t="shared" si="77"/>
        <v>No</v>
      </c>
      <c r="L4954">
        <f>ABS((C4954-EDA!$F$15)/EDA!$G$15)</f>
        <v>0.37071091707942361</v>
      </c>
      <c r="M4954" t="str">
        <f>IF(moras[[#This Row],[Z-Score Salario]]&gt;1.96, "Sí", "No")</f>
        <v>No</v>
      </c>
      <c r="N4954" s="14">
        <f>IF(ISBLANK(moras[[#This Row],[SALARIO]]), EDA!$M$8, moras[[#This Row],[SALARIO]])</f>
        <v>297046</v>
      </c>
      <c r="O4954" s="14">
        <f xml:space="preserve"> IF(ISBLANK(moras[[#This Row],[EDAD]]), EDA!$E$8, moras[[#This Row],[EDAD]])</f>
        <v>62</v>
      </c>
      <c r="P4954" s="14" t="str">
        <f>IF(
    OR(ISBLANK(moras[[#This Row],[TIPO_ASEGURAMIENTO]]), moras[[#This Row],[TIPO_ASEGURAMIENTO]]=""),
    EDA!$A$32,
    moras[[#This Row],[TIPO_ASEGURAMIENTO]]
)</f>
        <v>ASEGURADO VOLUNTARIO</v>
      </c>
    </row>
    <row r="4955" spans="1:16" x14ac:dyDescent="0.3">
      <c r="A4955">
        <v>4954</v>
      </c>
      <c r="B4955" t="s">
        <v>9</v>
      </c>
      <c r="C4955">
        <v>47925204</v>
      </c>
      <c r="D4955" t="s">
        <v>10</v>
      </c>
      <c r="E4955" t="s">
        <v>16</v>
      </c>
      <c r="F4955" t="s">
        <v>12</v>
      </c>
      <c r="G4955" t="s">
        <v>13</v>
      </c>
      <c r="H4955" t="s">
        <v>13</v>
      </c>
      <c r="I4955">
        <v>25</v>
      </c>
      <c r="J4955">
        <f>ABS((I4955-EDA!$A$15)/EDA!$B$15)</f>
        <v>1.1983402984526204</v>
      </c>
      <c r="K4955" t="str">
        <f t="shared" si="77"/>
        <v>No</v>
      </c>
      <c r="L4955">
        <f>ABS((C4955-EDA!$F$15)/EDA!$G$15)</f>
        <v>0.4218552533382377</v>
      </c>
      <c r="M4955" t="str">
        <f>IF(moras[[#This Row],[Z-Score Salario]]&gt;1.96, "Sí", "No")</f>
        <v>No</v>
      </c>
      <c r="N4955" s="14">
        <f>IF(ISBLANK(moras[[#This Row],[SALARIO]]), EDA!$M$8, moras[[#This Row],[SALARIO]])</f>
        <v>47925204</v>
      </c>
      <c r="O4955" s="14">
        <f xml:space="preserve"> IF(ISBLANK(moras[[#This Row],[EDAD]]), EDA!$E$8, moras[[#This Row],[EDAD]])</f>
        <v>25</v>
      </c>
      <c r="P4955" s="14" t="str">
        <f>IF(
    OR(ISBLANK(moras[[#This Row],[TIPO_ASEGURAMIENTO]]), moras[[#This Row],[TIPO_ASEGURAMIENTO]]=""),
    EDA!$A$32,
    moras[[#This Row],[TIPO_ASEGURAMIENTO]]
)</f>
        <v>ASALARIADO</v>
      </c>
    </row>
    <row r="4956" spans="1:16" x14ac:dyDescent="0.3">
      <c r="A4956">
        <v>4955</v>
      </c>
      <c r="B4956" t="s">
        <v>15</v>
      </c>
      <c r="C4956">
        <v>371690</v>
      </c>
      <c r="D4956" t="s">
        <v>10</v>
      </c>
      <c r="E4956" t="s">
        <v>16</v>
      </c>
      <c r="F4956" t="s">
        <v>12</v>
      </c>
      <c r="G4956" t="s">
        <v>13</v>
      </c>
      <c r="H4956" t="s">
        <v>13</v>
      </c>
      <c r="I4956">
        <v>48</v>
      </c>
      <c r="J4956">
        <f>ABS((I4956-EDA!$A$15)/EDA!$B$15)</f>
        <v>0.42489229332154227</v>
      </c>
      <c r="K4956" t="str">
        <f t="shared" si="77"/>
        <v>No</v>
      </c>
      <c r="L4956">
        <f>ABS((C4956-EDA!$F$15)/EDA!$G$15)</f>
        <v>0.36946878822731355</v>
      </c>
      <c r="M4956" t="str">
        <f>IF(moras[[#This Row],[Z-Score Salario]]&gt;1.96, "Sí", "No")</f>
        <v>No</v>
      </c>
      <c r="N4956" s="14">
        <f>IF(ISBLANK(moras[[#This Row],[SALARIO]]), EDA!$M$8, moras[[#This Row],[SALARIO]])</f>
        <v>371690</v>
      </c>
      <c r="O4956" s="14">
        <f xml:space="preserve"> IF(ISBLANK(moras[[#This Row],[EDAD]]), EDA!$E$8, moras[[#This Row],[EDAD]])</f>
        <v>48</v>
      </c>
      <c r="P4956" s="14" t="str">
        <f>IF(
    OR(ISBLANK(moras[[#This Row],[TIPO_ASEGURAMIENTO]]), moras[[#This Row],[TIPO_ASEGURAMIENTO]]=""),
    EDA!$A$32,
    moras[[#This Row],[TIPO_ASEGURAMIENTO]]
)</f>
        <v>ASALARIADO</v>
      </c>
    </row>
    <row r="4957" spans="1:16" x14ac:dyDescent="0.3">
      <c r="A4957">
        <v>4956</v>
      </c>
      <c r="B4957" t="s">
        <v>15</v>
      </c>
      <c r="C4957">
        <v>1200000</v>
      </c>
      <c r="D4957" t="s">
        <v>10</v>
      </c>
      <c r="E4957" t="s">
        <v>16</v>
      </c>
      <c r="F4957" t="s">
        <v>12</v>
      </c>
      <c r="G4957" t="s">
        <v>12</v>
      </c>
      <c r="H4957" t="s">
        <v>13</v>
      </c>
      <c r="I4957">
        <v>78</v>
      </c>
      <c r="J4957">
        <f>ABS((I4957-EDA!$A$15)/EDA!$B$15)</f>
        <v>2.5421521956356674</v>
      </c>
      <c r="K4957" t="str">
        <f t="shared" si="77"/>
        <v>Sí</v>
      </c>
      <c r="L4957">
        <f>ABS((C4957-EDA!$F$15)/EDA!$G$15)</f>
        <v>0.35568512511318151</v>
      </c>
      <c r="M4957" t="str">
        <f>IF(moras[[#This Row],[Z-Score Salario]]&gt;1.96, "Sí", "No")</f>
        <v>No</v>
      </c>
      <c r="N4957" s="14">
        <f>IF(ISBLANK(moras[[#This Row],[SALARIO]]), EDA!$M$8, moras[[#This Row],[SALARIO]])</f>
        <v>1200000</v>
      </c>
      <c r="O4957" s="14">
        <f xml:space="preserve"> IF(ISBLANK(moras[[#This Row],[EDAD]]), EDA!$E$8, moras[[#This Row],[EDAD]])</f>
        <v>78</v>
      </c>
      <c r="P4957" s="14" t="str">
        <f>IF(
    OR(ISBLANK(moras[[#This Row],[TIPO_ASEGURAMIENTO]]), moras[[#This Row],[TIPO_ASEGURAMIENTO]]=""),
    EDA!$A$32,
    moras[[#This Row],[TIPO_ASEGURAMIENTO]]
)</f>
        <v>ASALARIADO</v>
      </c>
    </row>
    <row r="4958" spans="1:16" x14ac:dyDescent="0.3">
      <c r="A4958">
        <v>4957</v>
      </c>
      <c r="B4958" t="s">
        <v>9</v>
      </c>
      <c r="C4958">
        <v>42896015</v>
      </c>
      <c r="D4958" t="s">
        <v>10</v>
      </c>
      <c r="E4958" t="s">
        <v>16</v>
      </c>
      <c r="F4958" t="s">
        <v>12</v>
      </c>
      <c r="G4958" t="s">
        <v>13</v>
      </c>
      <c r="H4958" t="s">
        <v>13</v>
      </c>
      <c r="I4958">
        <v>41</v>
      </c>
      <c r="J4958">
        <f>ABS((I4958-EDA!$A$15)/EDA!$B$15)</f>
        <v>6.9135017218420233E-2</v>
      </c>
      <c r="K4958" t="str">
        <f t="shared" si="77"/>
        <v>No</v>
      </c>
      <c r="L4958">
        <f>ABS((C4958-EDA!$F$15)/EDA!$G$15)</f>
        <v>0.33816599821238069</v>
      </c>
      <c r="M4958" t="str">
        <f>IF(moras[[#This Row],[Z-Score Salario]]&gt;1.96, "Sí", "No")</f>
        <v>No</v>
      </c>
      <c r="N4958" s="14">
        <f>IF(ISBLANK(moras[[#This Row],[SALARIO]]), EDA!$M$8, moras[[#This Row],[SALARIO]])</f>
        <v>42896015</v>
      </c>
      <c r="O4958" s="14">
        <f xml:space="preserve"> IF(ISBLANK(moras[[#This Row],[EDAD]]), EDA!$E$8, moras[[#This Row],[EDAD]])</f>
        <v>41</v>
      </c>
      <c r="P4958" s="14" t="str">
        <f>IF(
    OR(ISBLANK(moras[[#This Row],[TIPO_ASEGURAMIENTO]]), moras[[#This Row],[TIPO_ASEGURAMIENTO]]=""),
    EDA!$A$32,
    moras[[#This Row],[TIPO_ASEGURAMIENTO]]
)</f>
        <v>ASALARIADO</v>
      </c>
    </row>
    <row r="4959" spans="1:16" x14ac:dyDescent="0.3">
      <c r="A4959">
        <v>4958</v>
      </c>
      <c r="B4959" t="s">
        <v>9</v>
      </c>
      <c r="C4959">
        <v>290000</v>
      </c>
      <c r="D4959" t="s">
        <v>10</v>
      </c>
      <c r="E4959" t="s">
        <v>16</v>
      </c>
      <c r="F4959" t="s">
        <v>12</v>
      </c>
      <c r="G4959" t="s">
        <v>12</v>
      </c>
      <c r="H4959" t="s">
        <v>13</v>
      </c>
      <c r="I4959">
        <v>37</v>
      </c>
      <c r="J4959">
        <f>ABS((I4959-EDA!$A$15)/EDA!$B$15)</f>
        <v>0.35143633752697023</v>
      </c>
      <c r="K4959" t="str">
        <f t="shared" si="77"/>
        <v>No</v>
      </c>
      <c r="L4959">
        <f>ABS((C4959-EDA!$F$15)/EDA!$G$15)</f>
        <v>0.3708281674932809</v>
      </c>
      <c r="M4959" t="str">
        <f>IF(moras[[#This Row],[Z-Score Salario]]&gt;1.96, "Sí", "No")</f>
        <v>No</v>
      </c>
      <c r="N4959" s="14">
        <f>IF(ISBLANK(moras[[#This Row],[SALARIO]]), EDA!$M$8, moras[[#This Row],[SALARIO]])</f>
        <v>290000</v>
      </c>
      <c r="O4959" s="14">
        <f xml:space="preserve"> IF(ISBLANK(moras[[#This Row],[EDAD]]), EDA!$E$8, moras[[#This Row],[EDAD]])</f>
        <v>37</v>
      </c>
      <c r="P4959" s="14" t="str">
        <f>IF(
    OR(ISBLANK(moras[[#This Row],[TIPO_ASEGURAMIENTO]]), moras[[#This Row],[TIPO_ASEGURAMIENTO]]=""),
    EDA!$A$32,
    moras[[#This Row],[TIPO_ASEGURAMIENTO]]
)</f>
        <v>ASALARIADO</v>
      </c>
    </row>
    <row r="4960" spans="1:16" x14ac:dyDescent="0.3">
      <c r="A4960">
        <v>4959</v>
      </c>
      <c r="B4960" t="s">
        <v>9</v>
      </c>
      <c r="C4960">
        <v>54361226</v>
      </c>
      <c r="D4960" t="s">
        <v>10</v>
      </c>
      <c r="E4960" t="s">
        <v>11</v>
      </c>
      <c r="F4960" t="s">
        <v>12</v>
      </c>
      <c r="G4960" t="s">
        <v>13</v>
      </c>
      <c r="H4960" t="s">
        <v>13</v>
      </c>
      <c r="I4960">
        <v>39</v>
      </c>
      <c r="J4960">
        <f>ABS((I4960-EDA!$A$15)/EDA!$B$15)</f>
        <v>0.21028567737269524</v>
      </c>
      <c r="K4960" t="str">
        <f t="shared" si="77"/>
        <v>No</v>
      </c>
      <c r="L4960">
        <f>ABS((C4960-EDA!$F$15)/EDA!$G$15)</f>
        <v>0.52895520268466878</v>
      </c>
      <c r="M4960" t="str">
        <f>IF(moras[[#This Row],[Z-Score Salario]]&gt;1.96, "Sí", "No")</f>
        <v>No</v>
      </c>
      <c r="N4960" s="14">
        <f>IF(ISBLANK(moras[[#This Row],[SALARIO]]), EDA!$M$8, moras[[#This Row],[SALARIO]])</f>
        <v>54361226</v>
      </c>
      <c r="O4960" s="14">
        <f xml:space="preserve"> IF(ISBLANK(moras[[#This Row],[EDAD]]), EDA!$E$8, moras[[#This Row],[EDAD]])</f>
        <v>39</v>
      </c>
      <c r="P4960" s="14" t="str">
        <f>IF(
    OR(ISBLANK(moras[[#This Row],[TIPO_ASEGURAMIENTO]]), moras[[#This Row],[TIPO_ASEGURAMIENTO]]=""),
    EDA!$A$32,
    moras[[#This Row],[TIPO_ASEGURAMIENTO]]
)</f>
        <v>ASALARIADO</v>
      </c>
    </row>
    <row r="4961" spans="1:16" x14ac:dyDescent="0.3">
      <c r="A4961">
        <v>4960</v>
      </c>
      <c r="B4961" t="s">
        <v>9</v>
      </c>
      <c r="C4961">
        <v>149130</v>
      </c>
      <c r="D4961" t="s">
        <v>10</v>
      </c>
      <c r="E4961" t="s">
        <v>16</v>
      </c>
      <c r="F4961" t="s">
        <v>12</v>
      </c>
      <c r="G4961" t="s">
        <v>12</v>
      </c>
      <c r="H4961" t="s">
        <v>12</v>
      </c>
      <c r="I4961">
        <v>29</v>
      </c>
      <c r="J4961">
        <f>ABS((I4961-EDA!$A$15)/EDA!$B$15)</f>
        <v>0.91603897814407031</v>
      </c>
      <c r="K4961" t="str">
        <f t="shared" si="77"/>
        <v>No</v>
      </c>
      <c r="L4961">
        <f>ABS((C4961-EDA!$F$15)/EDA!$G$15)</f>
        <v>0.37317234373513214</v>
      </c>
      <c r="M4961" t="str">
        <f>IF(moras[[#This Row],[Z-Score Salario]]&gt;1.96, "Sí", "No")</f>
        <v>No</v>
      </c>
      <c r="N4961" s="14">
        <f>IF(ISBLANK(moras[[#This Row],[SALARIO]]), EDA!$M$8, moras[[#This Row],[SALARIO]])</f>
        <v>149130</v>
      </c>
      <c r="O4961" s="14">
        <f xml:space="preserve"> IF(ISBLANK(moras[[#This Row],[EDAD]]), EDA!$E$8, moras[[#This Row],[EDAD]])</f>
        <v>29</v>
      </c>
      <c r="P4961" s="14" t="str">
        <f>IF(
    OR(ISBLANK(moras[[#This Row],[TIPO_ASEGURAMIENTO]]), moras[[#This Row],[TIPO_ASEGURAMIENTO]]=""),
    EDA!$A$32,
    moras[[#This Row],[TIPO_ASEGURAMIENTO]]
)</f>
        <v>ASALARIADO</v>
      </c>
    </row>
    <row r="4962" spans="1:16" x14ac:dyDescent="0.3">
      <c r="A4962">
        <v>4961</v>
      </c>
      <c r="B4962" t="s">
        <v>9</v>
      </c>
      <c r="C4962">
        <v>347603</v>
      </c>
      <c r="D4962" t="s">
        <v>18</v>
      </c>
      <c r="E4962" t="s">
        <v>16</v>
      </c>
      <c r="F4962" t="s">
        <v>12</v>
      </c>
      <c r="G4962" t="s">
        <v>13</v>
      </c>
      <c r="H4962" t="s">
        <v>12</v>
      </c>
      <c r="I4962">
        <v>46</v>
      </c>
      <c r="J4962">
        <f>ABS((I4962-EDA!$A$15)/EDA!$B$15)</f>
        <v>0.2837416331672673</v>
      </c>
      <c r="K4962" t="str">
        <f t="shared" si="77"/>
        <v>No</v>
      </c>
      <c r="L4962">
        <f>ABS((C4962-EDA!$F$15)/EDA!$G$15)</f>
        <v>0.36986961291062065</v>
      </c>
      <c r="M4962" t="str">
        <f>IF(moras[[#This Row],[Z-Score Salario]]&gt;1.96, "Sí", "No")</f>
        <v>No</v>
      </c>
      <c r="N4962" s="14">
        <f>IF(ISBLANK(moras[[#This Row],[SALARIO]]), EDA!$M$8, moras[[#This Row],[SALARIO]])</f>
        <v>347603</v>
      </c>
      <c r="O4962" s="14">
        <f xml:space="preserve"> IF(ISBLANK(moras[[#This Row],[EDAD]]), EDA!$E$8, moras[[#This Row],[EDAD]])</f>
        <v>46</v>
      </c>
      <c r="P4962" s="14" t="str">
        <f>IF(
    OR(ISBLANK(moras[[#This Row],[TIPO_ASEGURAMIENTO]]), moras[[#This Row],[TIPO_ASEGURAMIENTO]]=""),
    EDA!$A$32,
    moras[[#This Row],[TIPO_ASEGURAMIENTO]]
)</f>
        <v>TRABAJADOR INDEPENDIENTE</v>
      </c>
    </row>
    <row r="4963" spans="1:16" x14ac:dyDescent="0.3">
      <c r="A4963">
        <v>4962</v>
      </c>
      <c r="B4963" t="s">
        <v>9</v>
      </c>
      <c r="C4963">
        <v>121165063</v>
      </c>
      <c r="D4963" t="s">
        <v>10</v>
      </c>
      <c r="E4963" t="s">
        <v>16</v>
      </c>
      <c r="F4963" t="s">
        <v>12</v>
      </c>
      <c r="G4963" t="s">
        <v>13</v>
      </c>
      <c r="H4963" t="s">
        <v>13</v>
      </c>
      <c r="I4963">
        <v>61</v>
      </c>
      <c r="J4963">
        <f>ABS((I4963-EDA!$A$15)/EDA!$B$15)</f>
        <v>1.3423715843243298</v>
      </c>
      <c r="K4963" t="str">
        <f t="shared" si="77"/>
        <v>No</v>
      </c>
      <c r="L4963">
        <f>ABS((C4963-EDA!$F$15)/EDA!$G$15)</f>
        <v>1.6406182080080252</v>
      </c>
      <c r="M4963" t="str">
        <f>IF(moras[[#This Row],[Z-Score Salario]]&gt;1.96, "Sí", "No")</f>
        <v>No</v>
      </c>
      <c r="N4963" s="14">
        <f>IF(ISBLANK(moras[[#This Row],[SALARIO]]), EDA!$M$8, moras[[#This Row],[SALARIO]])</f>
        <v>121165063</v>
      </c>
      <c r="O4963" s="14">
        <f xml:space="preserve"> IF(ISBLANK(moras[[#This Row],[EDAD]]), EDA!$E$8, moras[[#This Row],[EDAD]])</f>
        <v>61</v>
      </c>
      <c r="P4963" s="14" t="str">
        <f>IF(
    OR(ISBLANK(moras[[#This Row],[TIPO_ASEGURAMIENTO]]), moras[[#This Row],[TIPO_ASEGURAMIENTO]]=""),
    EDA!$A$32,
    moras[[#This Row],[TIPO_ASEGURAMIENTO]]
)</f>
        <v>ASALARIADO</v>
      </c>
    </row>
    <row r="4964" spans="1:16" x14ac:dyDescent="0.3">
      <c r="A4964">
        <v>4963</v>
      </c>
      <c r="B4964" t="s">
        <v>15</v>
      </c>
      <c r="C4964">
        <v>714152</v>
      </c>
      <c r="D4964" t="s">
        <v>10</v>
      </c>
      <c r="E4964" t="s">
        <v>16</v>
      </c>
      <c r="F4964" t="s">
        <v>12</v>
      </c>
      <c r="G4964" t="s">
        <v>13</v>
      </c>
      <c r="H4964" t="s">
        <v>13</v>
      </c>
      <c r="I4964">
        <v>31</v>
      </c>
      <c r="J4964">
        <f>ABS((I4964-EDA!$A$15)/EDA!$B$15)</f>
        <v>0.77488831798979529</v>
      </c>
      <c r="K4964" t="str">
        <f t="shared" si="77"/>
        <v>No</v>
      </c>
      <c r="L4964">
        <f>ABS((C4964-EDA!$F$15)/EDA!$G$15)</f>
        <v>0.36376997879921069</v>
      </c>
      <c r="M4964" t="str">
        <f>IF(moras[[#This Row],[Z-Score Salario]]&gt;1.96, "Sí", "No")</f>
        <v>No</v>
      </c>
      <c r="N4964" s="14">
        <f>IF(ISBLANK(moras[[#This Row],[SALARIO]]), EDA!$M$8, moras[[#This Row],[SALARIO]])</f>
        <v>714152</v>
      </c>
      <c r="O4964" s="14">
        <f xml:space="preserve"> IF(ISBLANK(moras[[#This Row],[EDAD]]), EDA!$E$8, moras[[#This Row],[EDAD]])</f>
        <v>31</v>
      </c>
      <c r="P4964" s="14" t="str">
        <f>IF(
    OR(ISBLANK(moras[[#This Row],[TIPO_ASEGURAMIENTO]]), moras[[#This Row],[TIPO_ASEGURAMIENTO]]=""),
    EDA!$A$32,
    moras[[#This Row],[TIPO_ASEGURAMIENTO]]
)</f>
        <v>ASALARIADO</v>
      </c>
    </row>
    <row r="4965" spans="1:16" x14ac:dyDescent="0.3">
      <c r="A4965">
        <v>4964</v>
      </c>
      <c r="B4965" t="s">
        <v>9</v>
      </c>
      <c r="C4965">
        <v>298000</v>
      </c>
      <c r="D4965" t="s">
        <v>17</v>
      </c>
      <c r="E4965" t="s">
        <v>16</v>
      </c>
      <c r="F4965" t="s">
        <v>12</v>
      </c>
      <c r="G4965" t="s">
        <v>12</v>
      </c>
      <c r="H4965" t="s">
        <v>13</v>
      </c>
      <c r="I4965">
        <v>31</v>
      </c>
      <c r="J4965">
        <f>ABS((I4965-EDA!$A$15)/EDA!$B$15)</f>
        <v>0.77488831798979529</v>
      </c>
      <c r="K4965" t="str">
        <f t="shared" si="77"/>
        <v>No</v>
      </c>
      <c r="L4965">
        <f>ABS((C4965-EDA!$F$15)/EDA!$G$15)</f>
        <v>0.37069504184598334</v>
      </c>
      <c r="M4965" t="str">
        <f>IF(moras[[#This Row],[Z-Score Salario]]&gt;1.96, "Sí", "No")</f>
        <v>No</v>
      </c>
      <c r="N4965" s="14">
        <f>IF(ISBLANK(moras[[#This Row],[SALARIO]]), EDA!$M$8, moras[[#This Row],[SALARIO]])</f>
        <v>298000</v>
      </c>
      <c r="O4965" s="14">
        <f xml:space="preserve"> IF(ISBLANK(moras[[#This Row],[EDAD]]), EDA!$E$8, moras[[#This Row],[EDAD]])</f>
        <v>31</v>
      </c>
      <c r="P4965" s="14" t="str">
        <f>IF(
    OR(ISBLANK(moras[[#This Row],[TIPO_ASEGURAMIENTO]]), moras[[#This Row],[TIPO_ASEGURAMIENTO]]=""),
    EDA!$A$32,
    moras[[#This Row],[TIPO_ASEGURAMIENTO]]
)</f>
        <v>ASEGURADO VOLUNTARIO</v>
      </c>
    </row>
    <row r="4966" spans="1:16" x14ac:dyDescent="0.3">
      <c r="A4966">
        <v>4965</v>
      </c>
      <c r="B4966" t="s">
        <v>15</v>
      </c>
      <c r="C4966">
        <v>349768</v>
      </c>
      <c r="D4966" t="s">
        <v>10</v>
      </c>
      <c r="E4966" t="s">
        <v>11</v>
      </c>
      <c r="F4966" t="s">
        <v>12</v>
      </c>
      <c r="G4966" t="s">
        <v>13</v>
      </c>
      <c r="H4966" t="s">
        <v>12</v>
      </c>
      <c r="I4966">
        <v>55</v>
      </c>
      <c r="J4966">
        <f>ABS((I4966-EDA!$A$15)/EDA!$B$15)</f>
        <v>0.91891960386150484</v>
      </c>
      <c r="K4966" t="str">
        <f t="shared" si="77"/>
        <v>No</v>
      </c>
      <c r="L4966">
        <f>ABS((C4966-EDA!$F$15)/EDA!$G$15)</f>
        <v>0.36983358578232073</v>
      </c>
      <c r="M4966" t="str">
        <f>IF(moras[[#This Row],[Z-Score Salario]]&gt;1.96, "Sí", "No")</f>
        <v>No</v>
      </c>
      <c r="N4966" s="14">
        <f>IF(ISBLANK(moras[[#This Row],[SALARIO]]), EDA!$M$8, moras[[#This Row],[SALARIO]])</f>
        <v>349768</v>
      </c>
      <c r="O4966" s="14">
        <f xml:space="preserve"> IF(ISBLANK(moras[[#This Row],[EDAD]]), EDA!$E$8, moras[[#This Row],[EDAD]])</f>
        <v>55</v>
      </c>
      <c r="P4966" s="14" t="str">
        <f>IF(
    OR(ISBLANK(moras[[#This Row],[TIPO_ASEGURAMIENTO]]), moras[[#This Row],[TIPO_ASEGURAMIENTO]]=""),
    EDA!$A$32,
    moras[[#This Row],[TIPO_ASEGURAMIENTO]]
)</f>
        <v>ASALARIADO</v>
      </c>
    </row>
    <row r="4967" spans="1:16" x14ac:dyDescent="0.3">
      <c r="A4967">
        <v>4966</v>
      </c>
      <c r="B4967" t="s">
        <v>15</v>
      </c>
      <c r="C4967">
        <v>297046</v>
      </c>
      <c r="D4967" t="s">
        <v>17</v>
      </c>
      <c r="E4967" t="s">
        <v>16</v>
      </c>
      <c r="F4967" t="s">
        <v>13</v>
      </c>
      <c r="G4967" t="s">
        <v>13</v>
      </c>
      <c r="H4967" t="s">
        <v>13</v>
      </c>
      <c r="I4967">
        <v>43</v>
      </c>
      <c r="J4967">
        <f>ABS((I4967-EDA!$A$15)/EDA!$B$15)</f>
        <v>7.2015642935854773E-2</v>
      </c>
      <c r="K4967" t="str">
        <f t="shared" si="77"/>
        <v>No</v>
      </c>
      <c r="L4967">
        <f>ABS((C4967-EDA!$F$15)/EDA!$G$15)</f>
        <v>0.37071091707942361</v>
      </c>
      <c r="M4967" t="str">
        <f>IF(moras[[#This Row],[Z-Score Salario]]&gt;1.96, "Sí", "No")</f>
        <v>No</v>
      </c>
      <c r="N4967" s="14">
        <f>IF(ISBLANK(moras[[#This Row],[SALARIO]]), EDA!$M$8, moras[[#This Row],[SALARIO]])</f>
        <v>297046</v>
      </c>
      <c r="O4967" s="14">
        <f xml:space="preserve"> IF(ISBLANK(moras[[#This Row],[EDAD]]), EDA!$E$8, moras[[#This Row],[EDAD]])</f>
        <v>43</v>
      </c>
      <c r="P4967" s="14" t="str">
        <f>IF(
    OR(ISBLANK(moras[[#This Row],[TIPO_ASEGURAMIENTO]]), moras[[#This Row],[TIPO_ASEGURAMIENTO]]=""),
    EDA!$A$32,
    moras[[#This Row],[TIPO_ASEGURAMIENTO]]
)</f>
        <v>ASEGURADO VOLUNTARIO</v>
      </c>
    </row>
    <row r="4968" spans="1:16" x14ac:dyDescent="0.3">
      <c r="A4968">
        <v>4967</v>
      </c>
      <c r="B4968" t="s">
        <v>9</v>
      </c>
      <c r="C4968">
        <v>42892814</v>
      </c>
      <c r="D4968" t="s">
        <v>10</v>
      </c>
      <c r="E4968" t="s">
        <v>16</v>
      </c>
      <c r="F4968" t="s">
        <v>12</v>
      </c>
      <c r="G4968" t="s">
        <v>13</v>
      </c>
      <c r="H4968" t="s">
        <v>13</v>
      </c>
      <c r="I4968">
        <v>36</v>
      </c>
      <c r="J4968">
        <f>ABS((I4968-EDA!$A$15)/EDA!$B$15)</f>
        <v>0.42201166760410774</v>
      </c>
      <c r="K4968" t="str">
        <f t="shared" si="77"/>
        <v>No</v>
      </c>
      <c r="L4968">
        <f>ABS((C4968-EDA!$F$15)/EDA!$G$15)</f>
        <v>0.33811273131275577</v>
      </c>
      <c r="M4968" t="str">
        <f>IF(moras[[#This Row],[Z-Score Salario]]&gt;1.96, "Sí", "No")</f>
        <v>No</v>
      </c>
      <c r="N4968" s="14">
        <f>IF(ISBLANK(moras[[#This Row],[SALARIO]]), EDA!$M$8, moras[[#This Row],[SALARIO]])</f>
        <v>42892814</v>
      </c>
      <c r="O4968" s="14">
        <f xml:space="preserve"> IF(ISBLANK(moras[[#This Row],[EDAD]]), EDA!$E$8, moras[[#This Row],[EDAD]])</f>
        <v>36</v>
      </c>
      <c r="P4968" s="14" t="str">
        <f>IF(
    OR(ISBLANK(moras[[#This Row],[TIPO_ASEGURAMIENTO]]), moras[[#This Row],[TIPO_ASEGURAMIENTO]]=""),
    EDA!$A$32,
    moras[[#This Row],[TIPO_ASEGURAMIENTO]]
)</f>
        <v>ASALARIADO</v>
      </c>
    </row>
    <row r="4969" spans="1:16" x14ac:dyDescent="0.3">
      <c r="A4969">
        <v>4968</v>
      </c>
      <c r="B4969" t="s">
        <v>15</v>
      </c>
      <c r="C4969">
        <v>44693837</v>
      </c>
      <c r="D4969" t="s">
        <v>10</v>
      </c>
      <c r="E4969" t="s">
        <v>16</v>
      </c>
      <c r="F4969" t="s">
        <v>12</v>
      </c>
      <c r="G4969" t="s">
        <v>13</v>
      </c>
      <c r="H4969" t="s">
        <v>12</v>
      </c>
      <c r="I4969">
        <v>30</v>
      </c>
      <c r="J4969">
        <f>ABS((I4969-EDA!$A$15)/EDA!$B$15)</f>
        <v>0.84546364806693275</v>
      </c>
      <c r="K4969" t="str">
        <f t="shared" si="77"/>
        <v>No</v>
      </c>
      <c r="L4969">
        <f>ABS((C4969-EDA!$F$15)/EDA!$G$15)</f>
        <v>0.36808302539685883</v>
      </c>
      <c r="M4969" t="str">
        <f>IF(moras[[#This Row],[Z-Score Salario]]&gt;1.96, "Sí", "No")</f>
        <v>No</v>
      </c>
      <c r="N4969" s="14">
        <f>IF(ISBLANK(moras[[#This Row],[SALARIO]]), EDA!$M$8, moras[[#This Row],[SALARIO]])</f>
        <v>44693837</v>
      </c>
      <c r="O4969" s="14">
        <f xml:space="preserve"> IF(ISBLANK(moras[[#This Row],[EDAD]]), EDA!$E$8, moras[[#This Row],[EDAD]])</f>
        <v>30</v>
      </c>
      <c r="P4969" s="14" t="str">
        <f>IF(
    OR(ISBLANK(moras[[#This Row],[TIPO_ASEGURAMIENTO]]), moras[[#This Row],[TIPO_ASEGURAMIENTO]]=""),
    EDA!$A$32,
    moras[[#This Row],[TIPO_ASEGURAMIENTO]]
)</f>
        <v>ASALARIADO</v>
      </c>
    </row>
    <row r="4970" spans="1:16" x14ac:dyDescent="0.3">
      <c r="A4970">
        <v>4969</v>
      </c>
      <c r="B4970" t="s">
        <v>15</v>
      </c>
      <c r="C4970">
        <v>96846727</v>
      </c>
      <c r="D4970" t="s">
        <v>10</v>
      </c>
      <c r="E4970" t="s">
        <v>16</v>
      </c>
      <c r="F4970" t="s">
        <v>12</v>
      </c>
      <c r="G4970" t="s">
        <v>13</v>
      </c>
      <c r="H4970" t="s">
        <v>13</v>
      </c>
      <c r="I4970">
        <v>33</v>
      </c>
      <c r="J4970">
        <f>ABS((I4970-EDA!$A$15)/EDA!$B$15)</f>
        <v>0.63373765783552027</v>
      </c>
      <c r="K4970" t="str">
        <f t="shared" si="77"/>
        <v>No</v>
      </c>
      <c r="L4970">
        <f>ABS((C4970-EDA!$F$15)/EDA!$G$15)</f>
        <v>1.2359439303580277</v>
      </c>
      <c r="M4970" t="str">
        <f>IF(moras[[#This Row],[Z-Score Salario]]&gt;1.96, "Sí", "No")</f>
        <v>No</v>
      </c>
      <c r="N4970" s="14">
        <f>IF(ISBLANK(moras[[#This Row],[SALARIO]]), EDA!$M$8, moras[[#This Row],[SALARIO]])</f>
        <v>96846727</v>
      </c>
      <c r="O4970" s="14">
        <f xml:space="preserve"> IF(ISBLANK(moras[[#This Row],[EDAD]]), EDA!$E$8, moras[[#This Row],[EDAD]])</f>
        <v>33</v>
      </c>
      <c r="P4970" s="14" t="str">
        <f>IF(
    OR(ISBLANK(moras[[#This Row],[TIPO_ASEGURAMIENTO]]), moras[[#This Row],[TIPO_ASEGURAMIENTO]]=""),
    EDA!$A$32,
    moras[[#This Row],[TIPO_ASEGURAMIENTO]]
)</f>
        <v>ASALARIADO</v>
      </c>
    </row>
    <row r="4971" spans="1:16" x14ac:dyDescent="0.3">
      <c r="A4971">
        <v>4970</v>
      </c>
      <c r="B4971" t="s">
        <v>15</v>
      </c>
      <c r="C4971">
        <v>302470</v>
      </c>
      <c r="D4971" t="s">
        <v>18</v>
      </c>
      <c r="E4971" t="s">
        <v>16</v>
      </c>
      <c r="F4971" t="s">
        <v>12</v>
      </c>
      <c r="G4971" t="s">
        <v>13</v>
      </c>
      <c r="H4971" t="s">
        <v>13</v>
      </c>
      <c r="I4971">
        <v>23</v>
      </c>
      <c r="J4971">
        <f>ABS((I4971-EDA!$A$15)/EDA!$B$15)</f>
        <v>1.3394909586068953</v>
      </c>
      <c r="K4971" t="str">
        <f t="shared" si="77"/>
        <v>No</v>
      </c>
      <c r="L4971">
        <f>ABS((C4971-EDA!$F$15)/EDA!$G$15)</f>
        <v>0.37062065789055582</v>
      </c>
      <c r="M4971" t="str">
        <f>IF(moras[[#This Row],[Z-Score Salario]]&gt;1.96, "Sí", "No")</f>
        <v>No</v>
      </c>
      <c r="N4971" s="14">
        <f>IF(ISBLANK(moras[[#This Row],[SALARIO]]), EDA!$M$8, moras[[#This Row],[SALARIO]])</f>
        <v>302470</v>
      </c>
      <c r="O4971" s="14">
        <f xml:space="preserve"> IF(ISBLANK(moras[[#This Row],[EDAD]]), EDA!$E$8, moras[[#This Row],[EDAD]])</f>
        <v>23</v>
      </c>
      <c r="P4971" s="14" t="str">
        <f>IF(
    OR(ISBLANK(moras[[#This Row],[TIPO_ASEGURAMIENTO]]), moras[[#This Row],[TIPO_ASEGURAMIENTO]]=""),
    EDA!$A$32,
    moras[[#This Row],[TIPO_ASEGURAMIENTO]]
)</f>
        <v>TRABAJADOR INDEPENDIENTE</v>
      </c>
    </row>
    <row r="4972" spans="1:16" x14ac:dyDescent="0.3">
      <c r="A4972">
        <v>4971</v>
      </c>
      <c r="B4972" t="s">
        <v>9</v>
      </c>
      <c r="C4972">
        <v>74205313</v>
      </c>
      <c r="D4972" t="s">
        <v>10</v>
      </c>
      <c r="E4972" t="s">
        <v>11</v>
      </c>
      <c r="F4972" t="s">
        <v>12</v>
      </c>
      <c r="G4972" t="s">
        <v>13</v>
      </c>
      <c r="H4972" t="s">
        <v>13</v>
      </c>
      <c r="I4972">
        <v>39</v>
      </c>
      <c r="J4972">
        <f>ABS((I4972-EDA!$A$15)/EDA!$B$15)</f>
        <v>0.21028567737269524</v>
      </c>
      <c r="K4972" t="str">
        <f t="shared" si="77"/>
        <v>No</v>
      </c>
      <c r="L4972">
        <f>ABS((C4972-EDA!$F$15)/EDA!$G$15)</f>
        <v>0.85917481854772393</v>
      </c>
      <c r="M4972" t="str">
        <f>IF(moras[[#This Row],[Z-Score Salario]]&gt;1.96, "Sí", "No")</f>
        <v>No</v>
      </c>
      <c r="N4972" s="14">
        <f>IF(ISBLANK(moras[[#This Row],[SALARIO]]), EDA!$M$8, moras[[#This Row],[SALARIO]])</f>
        <v>74205313</v>
      </c>
      <c r="O4972" s="14">
        <f xml:space="preserve"> IF(ISBLANK(moras[[#This Row],[EDAD]]), EDA!$E$8, moras[[#This Row],[EDAD]])</f>
        <v>39</v>
      </c>
      <c r="P4972" s="14" t="str">
        <f>IF(
    OR(ISBLANK(moras[[#This Row],[TIPO_ASEGURAMIENTO]]), moras[[#This Row],[TIPO_ASEGURAMIENTO]]=""),
    EDA!$A$32,
    moras[[#This Row],[TIPO_ASEGURAMIENTO]]
)</f>
        <v>ASALARIADO</v>
      </c>
    </row>
    <row r="4973" spans="1:16" x14ac:dyDescent="0.3">
      <c r="A4973">
        <v>4972</v>
      </c>
      <c r="B4973" t="s">
        <v>9</v>
      </c>
      <c r="C4973">
        <v>44240266</v>
      </c>
      <c r="D4973" t="s">
        <v>10</v>
      </c>
      <c r="E4973" t="s">
        <v>16</v>
      </c>
      <c r="F4973" t="s">
        <v>12</v>
      </c>
      <c r="G4973" t="s">
        <v>13</v>
      </c>
      <c r="H4973" t="s">
        <v>13</v>
      </c>
      <c r="I4973">
        <v>33</v>
      </c>
      <c r="J4973">
        <f>ABS((I4973-EDA!$A$15)/EDA!$B$15)</f>
        <v>0.63373765783552027</v>
      </c>
      <c r="K4973" t="str">
        <f t="shared" si="77"/>
        <v>No</v>
      </c>
      <c r="L4973">
        <f>ABS((C4973-EDA!$F$15)/EDA!$G$15)</f>
        <v>0.36053528377555766</v>
      </c>
      <c r="M4973" t="str">
        <f>IF(moras[[#This Row],[Z-Score Salario]]&gt;1.96, "Sí", "No")</f>
        <v>No</v>
      </c>
      <c r="N4973" s="14">
        <f>IF(ISBLANK(moras[[#This Row],[SALARIO]]), EDA!$M$8, moras[[#This Row],[SALARIO]])</f>
        <v>44240266</v>
      </c>
      <c r="O4973" s="14">
        <f xml:space="preserve"> IF(ISBLANK(moras[[#This Row],[EDAD]]), EDA!$E$8, moras[[#This Row],[EDAD]])</f>
        <v>33</v>
      </c>
      <c r="P4973" s="14" t="str">
        <f>IF(
    OR(ISBLANK(moras[[#This Row],[TIPO_ASEGURAMIENTO]]), moras[[#This Row],[TIPO_ASEGURAMIENTO]]=""),
    EDA!$A$32,
    moras[[#This Row],[TIPO_ASEGURAMIENTO]]
)</f>
        <v>ASALARIADO</v>
      </c>
    </row>
    <row r="4974" spans="1:16" x14ac:dyDescent="0.3">
      <c r="A4974">
        <v>4973</v>
      </c>
      <c r="B4974" t="s">
        <v>9</v>
      </c>
      <c r="C4974">
        <v>91149456</v>
      </c>
      <c r="D4974" t="s">
        <v>10</v>
      </c>
      <c r="E4974" t="s">
        <v>16</v>
      </c>
      <c r="F4974" t="s">
        <v>12</v>
      </c>
      <c r="G4974" t="s">
        <v>13</v>
      </c>
      <c r="H4974" t="s">
        <v>13</v>
      </c>
      <c r="I4974">
        <v>41</v>
      </c>
      <c r="J4974">
        <f>ABS((I4974-EDA!$A$15)/EDA!$B$15)</f>
        <v>6.9135017218420233E-2</v>
      </c>
      <c r="K4974" t="str">
        <f t="shared" si="77"/>
        <v>No</v>
      </c>
      <c r="L4974">
        <f>ABS((C4974-EDA!$F$15)/EDA!$G$15)</f>
        <v>1.1411373191449383</v>
      </c>
      <c r="M4974" t="str">
        <f>IF(moras[[#This Row],[Z-Score Salario]]&gt;1.96, "Sí", "No")</f>
        <v>No</v>
      </c>
      <c r="N4974" s="14">
        <f>IF(ISBLANK(moras[[#This Row],[SALARIO]]), EDA!$M$8, moras[[#This Row],[SALARIO]])</f>
        <v>91149456</v>
      </c>
      <c r="O4974" s="14">
        <f xml:space="preserve"> IF(ISBLANK(moras[[#This Row],[EDAD]]), EDA!$E$8, moras[[#This Row],[EDAD]])</f>
        <v>41</v>
      </c>
      <c r="P4974" s="14" t="str">
        <f>IF(
    OR(ISBLANK(moras[[#This Row],[TIPO_ASEGURAMIENTO]]), moras[[#This Row],[TIPO_ASEGURAMIENTO]]=""),
    EDA!$A$32,
    moras[[#This Row],[TIPO_ASEGURAMIENTO]]
)</f>
        <v>ASALARIADO</v>
      </c>
    </row>
    <row r="4975" spans="1:16" x14ac:dyDescent="0.3">
      <c r="A4975">
        <v>4974</v>
      </c>
      <c r="B4975" t="s">
        <v>15</v>
      </c>
      <c r="C4975">
        <v>1000000</v>
      </c>
      <c r="D4975" t="s">
        <v>10</v>
      </c>
      <c r="E4975" t="s">
        <v>16</v>
      </c>
      <c r="F4975" t="s">
        <v>12</v>
      </c>
      <c r="G4975" t="s">
        <v>13</v>
      </c>
      <c r="H4975" t="s">
        <v>13</v>
      </c>
      <c r="I4975">
        <v>37</v>
      </c>
      <c r="J4975">
        <f>ABS((I4975-EDA!$A$15)/EDA!$B$15)</f>
        <v>0.35143633752697023</v>
      </c>
      <c r="K4975" t="str">
        <f t="shared" si="77"/>
        <v>No</v>
      </c>
      <c r="L4975">
        <f>ABS((C4975-EDA!$F$15)/EDA!$G$15)</f>
        <v>0.35901326629562091</v>
      </c>
      <c r="M4975" t="str">
        <f>IF(moras[[#This Row],[Z-Score Salario]]&gt;1.96, "Sí", "No")</f>
        <v>No</v>
      </c>
      <c r="N4975" s="14">
        <f>IF(ISBLANK(moras[[#This Row],[SALARIO]]), EDA!$M$8, moras[[#This Row],[SALARIO]])</f>
        <v>1000000</v>
      </c>
      <c r="O4975" s="14">
        <f xml:space="preserve"> IF(ISBLANK(moras[[#This Row],[EDAD]]), EDA!$E$8, moras[[#This Row],[EDAD]])</f>
        <v>37</v>
      </c>
      <c r="P4975" s="14" t="str">
        <f>IF(
    OR(ISBLANK(moras[[#This Row],[TIPO_ASEGURAMIENTO]]), moras[[#This Row],[TIPO_ASEGURAMIENTO]]=""),
    EDA!$A$32,
    moras[[#This Row],[TIPO_ASEGURAMIENTO]]
)</f>
        <v>ASALARIADO</v>
      </c>
    </row>
    <row r="4976" spans="1:16" x14ac:dyDescent="0.3">
      <c r="A4976">
        <v>4975</v>
      </c>
      <c r="B4976" t="s">
        <v>15</v>
      </c>
      <c r="C4976">
        <v>415284</v>
      </c>
      <c r="D4976" t="s">
        <v>14</v>
      </c>
      <c r="E4976" t="s">
        <v>11</v>
      </c>
      <c r="F4976" t="s">
        <v>12</v>
      </c>
      <c r="G4976" t="s">
        <v>13</v>
      </c>
      <c r="H4976" t="s">
        <v>13</v>
      </c>
      <c r="I4976">
        <v>66</v>
      </c>
      <c r="J4976">
        <f>ABS((I4976-EDA!$A$15)/EDA!$B$15)</f>
        <v>1.6952482347100173</v>
      </c>
      <c r="K4976" t="str">
        <f t="shared" si="77"/>
        <v>No</v>
      </c>
      <c r="L4976">
        <f>ABS((C4976-EDA!$F$15)/EDA!$G$15)</f>
        <v>0.36874335329377722</v>
      </c>
      <c r="M4976" t="str">
        <f>IF(moras[[#This Row],[Z-Score Salario]]&gt;1.96, "Sí", "No")</f>
        <v>No</v>
      </c>
      <c r="N4976" s="14">
        <f>IF(ISBLANK(moras[[#This Row],[SALARIO]]), EDA!$M$8, moras[[#This Row],[SALARIO]])</f>
        <v>415284</v>
      </c>
      <c r="O4976" s="14">
        <f xml:space="preserve"> IF(ISBLANK(moras[[#This Row],[EDAD]]), EDA!$E$8, moras[[#This Row],[EDAD]])</f>
        <v>66</v>
      </c>
      <c r="P4976" s="14" t="str">
        <f>IF(
    OR(ISBLANK(moras[[#This Row],[TIPO_ASEGURAMIENTO]]), moras[[#This Row],[TIPO_ASEGURAMIENTO]]=""),
    EDA!$A$32,
    moras[[#This Row],[TIPO_ASEGURAMIENTO]]
)</f>
        <v>PENSIONADOS EN SU PROPIO SISTEMA</v>
      </c>
    </row>
    <row r="4977" spans="1:16" x14ac:dyDescent="0.3">
      <c r="A4977">
        <v>4976</v>
      </c>
      <c r="B4977" t="s">
        <v>9</v>
      </c>
      <c r="C4977">
        <v>278030</v>
      </c>
      <c r="D4977" t="s">
        <v>18</v>
      </c>
      <c r="E4977" t="s">
        <v>16</v>
      </c>
      <c r="F4977" t="s">
        <v>12</v>
      </c>
      <c r="G4977" t="s">
        <v>13</v>
      </c>
      <c r="H4977" t="s">
        <v>12</v>
      </c>
      <c r="I4977">
        <v>25</v>
      </c>
      <c r="J4977">
        <f>ABS((I4977-EDA!$A$15)/EDA!$B$15)</f>
        <v>1.1983402984526204</v>
      </c>
      <c r="K4977" t="str">
        <f t="shared" si="77"/>
        <v>No</v>
      </c>
      <c r="L4977">
        <f>ABS((C4977-EDA!$F$15)/EDA!$G$15)</f>
        <v>0.37102735674304993</v>
      </c>
      <c r="M4977" t="str">
        <f>IF(moras[[#This Row],[Z-Score Salario]]&gt;1.96, "Sí", "No")</f>
        <v>No</v>
      </c>
      <c r="N4977" s="14">
        <f>IF(ISBLANK(moras[[#This Row],[SALARIO]]), EDA!$M$8, moras[[#This Row],[SALARIO]])</f>
        <v>278030</v>
      </c>
      <c r="O4977" s="14">
        <f xml:space="preserve"> IF(ISBLANK(moras[[#This Row],[EDAD]]), EDA!$E$8, moras[[#This Row],[EDAD]])</f>
        <v>25</v>
      </c>
      <c r="P4977" s="14" t="str">
        <f>IF(
    OR(ISBLANK(moras[[#This Row],[TIPO_ASEGURAMIENTO]]), moras[[#This Row],[TIPO_ASEGURAMIENTO]]=""),
    EDA!$A$32,
    moras[[#This Row],[TIPO_ASEGURAMIENTO]]
)</f>
        <v>TRABAJADOR INDEPENDIENTE</v>
      </c>
    </row>
    <row r="4978" spans="1:16" x14ac:dyDescent="0.3">
      <c r="A4978">
        <v>4977</v>
      </c>
      <c r="B4978" t="s">
        <v>9</v>
      </c>
      <c r="C4978">
        <v>34651897</v>
      </c>
      <c r="D4978" t="s">
        <v>10</v>
      </c>
      <c r="E4978" t="s">
        <v>16</v>
      </c>
      <c r="F4978" t="s">
        <v>12</v>
      </c>
      <c r="G4978" t="s">
        <v>13</v>
      </c>
      <c r="H4978" t="s">
        <v>13</v>
      </c>
      <c r="I4978">
        <v>22</v>
      </c>
      <c r="J4978">
        <f>ABS((I4978-EDA!$A$15)/EDA!$B$15)</f>
        <v>1.4100662886840327</v>
      </c>
      <c r="K4978" t="str">
        <f t="shared" si="77"/>
        <v>No</v>
      </c>
      <c r="L4978">
        <f>ABS((C4978-EDA!$F$15)/EDA!$G$15)</f>
        <v>0.20097805506892952</v>
      </c>
      <c r="M4978" t="str">
        <f>IF(moras[[#This Row],[Z-Score Salario]]&gt;1.96, "Sí", "No")</f>
        <v>No</v>
      </c>
      <c r="N4978" s="14">
        <f>IF(ISBLANK(moras[[#This Row],[SALARIO]]), EDA!$M$8, moras[[#This Row],[SALARIO]])</f>
        <v>34651897</v>
      </c>
      <c r="O4978" s="14">
        <f xml:space="preserve"> IF(ISBLANK(moras[[#This Row],[EDAD]]), EDA!$E$8, moras[[#This Row],[EDAD]])</f>
        <v>22</v>
      </c>
      <c r="P4978" s="14" t="str">
        <f>IF(
    OR(ISBLANK(moras[[#This Row],[TIPO_ASEGURAMIENTO]]), moras[[#This Row],[TIPO_ASEGURAMIENTO]]=""),
    EDA!$A$32,
    moras[[#This Row],[TIPO_ASEGURAMIENTO]]
)</f>
        <v>ASALARIADO</v>
      </c>
    </row>
    <row r="4979" spans="1:16" x14ac:dyDescent="0.3">
      <c r="A4979">
        <v>4978</v>
      </c>
      <c r="B4979" t="s">
        <v>15</v>
      </c>
      <c r="C4979">
        <v>126175988</v>
      </c>
      <c r="D4979" t="s">
        <v>10</v>
      </c>
      <c r="E4979" t="s">
        <v>11</v>
      </c>
      <c r="F4979" t="s">
        <v>12</v>
      </c>
      <c r="G4979" t="s">
        <v>13</v>
      </c>
      <c r="H4979" t="s">
        <v>13</v>
      </c>
      <c r="I4979">
        <v>35</v>
      </c>
      <c r="J4979">
        <f>ABS((I4979-EDA!$A$15)/EDA!$B$15)</f>
        <v>0.49258699768124525</v>
      </c>
      <c r="K4979" t="str">
        <f t="shared" si="77"/>
        <v>No</v>
      </c>
      <c r="L4979">
        <f>ABS((C4979-EDA!$F$15)/EDA!$G$15)</f>
        <v>1.7240035372811018</v>
      </c>
      <c r="M4979" t="str">
        <f>IF(moras[[#This Row],[Z-Score Salario]]&gt;1.96, "Sí", "No")</f>
        <v>No</v>
      </c>
      <c r="N4979" s="14">
        <f>IF(ISBLANK(moras[[#This Row],[SALARIO]]), EDA!$M$8, moras[[#This Row],[SALARIO]])</f>
        <v>126175988</v>
      </c>
      <c r="O4979" s="14">
        <f xml:space="preserve"> IF(ISBLANK(moras[[#This Row],[EDAD]]), EDA!$E$8, moras[[#This Row],[EDAD]])</f>
        <v>35</v>
      </c>
      <c r="P4979" s="14" t="str">
        <f>IF(
    OR(ISBLANK(moras[[#This Row],[TIPO_ASEGURAMIENTO]]), moras[[#This Row],[TIPO_ASEGURAMIENTO]]=""),
    EDA!$A$32,
    moras[[#This Row],[TIPO_ASEGURAMIENTO]]
)</f>
        <v>ASALARIADO</v>
      </c>
    </row>
    <row r="4980" spans="1:16" x14ac:dyDescent="0.3">
      <c r="A4980">
        <v>4979</v>
      </c>
      <c r="B4980" t="s">
        <v>9</v>
      </c>
      <c r="C4980">
        <v>88932028</v>
      </c>
      <c r="D4980" t="s">
        <v>21</v>
      </c>
      <c r="E4980" t="s">
        <v>16</v>
      </c>
      <c r="F4980" t="s">
        <v>12</v>
      </c>
      <c r="G4980" t="s">
        <v>13</v>
      </c>
      <c r="H4980" t="s">
        <v>13</v>
      </c>
      <c r="I4980">
        <v>59</v>
      </c>
      <c r="J4980">
        <f>ABS((I4980-EDA!$A$15)/EDA!$B$15)</f>
        <v>1.2012209241700549</v>
      </c>
      <c r="K4980" t="str">
        <f t="shared" si="77"/>
        <v>No</v>
      </c>
      <c r="L4980">
        <f>ABS((C4980-EDA!$F$15)/EDA!$G$15)</f>
        <v>1.1042377519154667</v>
      </c>
      <c r="M4980" t="str">
        <f>IF(moras[[#This Row],[Z-Score Salario]]&gt;1.96, "Sí", "No")</f>
        <v>No</v>
      </c>
      <c r="N4980" s="14">
        <f>IF(ISBLANK(moras[[#This Row],[SALARIO]]), EDA!$M$8, moras[[#This Row],[SALARIO]])</f>
        <v>88932028</v>
      </c>
      <c r="O4980" s="14">
        <f xml:space="preserve"> IF(ISBLANK(moras[[#This Row],[EDAD]]), EDA!$E$8, moras[[#This Row],[EDAD]])</f>
        <v>59</v>
      </c>
      <c r="P4980" s="14" t="str">
        <f>IF(
    OR(ISBLANK(moras[[#This Row],[TIPO_ASEGURAMIENTO]]), moras[[#This Row],[TIPO_ASEGURAMIENTO]]=""),
    EDA!$A$32,
    moras[[#This Row],[TIPO_ASEGURAMIENTO]]
)</f>
        <v>CONVENIOS ESPECIALES DE ASEGURADOS VOLUNTARIOS</v>
      </c>
    </row>
    <row r="4981" spans="1:16" x14ac:dyDescent="0.3">
      <c r="A4981">
        <v>4980</v>
      </c>
      <c r="B4981" t="s">
        <v>9</v>
      </c>
      <c r="C4981">
        <v>297046</v>
      </c>
      <c r="D4981" t="s">
        <v>18</v>
      </c>
      <c r="E4981" t="s">
        <v>16</v>
      </c>
      <c r="F4981" t="s">
        <v>12</v>
      </c>
      <c r="G4981" t="s">
        <v>12</v>
      </c>
      <c r="H4981" t="s">
        <v>12</v>
      </c>
      <c r="I4981">
        <v>36</v>
      </c>
      <c r="J4981">
        <f>ABS((I4981-EDA!$A$15)/EDA!$B$15)</f>
        <v>0.42201166760410774</v>
      </c>
      <c r="K4981" t="str">
        <f t="shared" si="77"/>
        <v>No</v>
      </c>
      <c r="L4981">
        <f>ABS((C4981-EDA!$F$15)/EDA!$G$15)</f>
        <v>0.37071091707942361</v>
      </c>
      <c r="M4981" t="str">
        <f>IF(moras[[#This Row],[Z-Score Salario]]&gt;1.96, "Sí", "No")</f>
        <v>No</v>
      </c>
      <c r="N4981" s="14">
        <f>IF(ISBLANK(moras[[#This Row],[SALARIO]]), EDA!$M$8, moras[[#This Row],[SALARIO]])</f>
        <v>297046</v>
      </c>
      <c r="O4981" s="14">
        <f xml:space="preserve"> IF(ISBLANK(moras[[#This Row],[EDAD]]), EDA!$E$8, moras[[#This Row],[EDAD]])</f>
        <v>36</v>
      </c>
      <c r="P4981" s="14" t="str">
        <f>IF(
    OR(ISBLANK(moras[[#This Row],[TIPO_ASEGURAMIENTO]]), moras[[#This Row],[TIPO_ASEGURAMIENTO]]=""),
    EDA!$A$32,
    moras[[#This Row],[TIPO_ASEGURAMIENTO]]
)</f>
        <v>TRABAJADOR INDEPENDIENTE</v>
      </c>
    </row>
    <row r="4982" spans="1:16" x14ac:dyDescent="0.3">
      <c r="A4982">
        <v>4981</v>
      </c>
      <c r="B4982" t="s">
        <v>9</v>
      </c>
      <c r="C4982">
        <v>385702</v>
      </c>
      <c r="D4982" t="s">
        <v>18</v>
      </c>
      <c r="E4982" t="s">
        <v>16</v>
      </c>
      <c r="F4982" t="s">
        <v>12</v>
      </c>
      <c r="G4982" t="s">
        <v>13</v>
      </c>
      <c r="H4982" t="s">
        <v>12</v>
      </c>
      <c r="I4982">
        <v>39</v>
      </c>
      <c r="J4982">
        <f>ABS((I4982-EDA!$A$15)/EDA!$B$15)</f>
        <v>0.21028567737269524</v>
      </c>
      <c r="K4982" t="str">
        <f t="shared" si="77"/>
        <v>No</v>
      </c>
      <c r="L4982">
        <f>ABS((C4982-EDA!$F$15)/EDA!$G$15)</f>
        <v>0.36923561865607185</v>
      </c>
      <c r="M4982" t="str">
        <f>IF(moras[[#This Row],[Z-Score Salario]]&gt;1.96, "Sí", "No")</f>
        <v>No</v>
      </c>
      <c r="N4982" s="14">
        <f>IF(ISBLANK(moras[[#This Row],[SALARIO]]), EDA!$M$8, moras[[#This Row],[SALARIO]])</f>
        <v>385702</v>
      </c>
      <c r="O4982" s="14">
        <f xml:space="preserve"> IF(ISBLANK(moras[[#This Row],[EDAD]]), EDA!$E$8, moras[[#This Row],[EDAD]])</f>
        <v>39</v>
      </c>
      <c r="P4982" s="14" t="str">
        <f>IF(
    OR(ISBLANK(moras[[#This Row],[TIPO_ASEGURAMIENTO]]), moras[[#This Row],[TIPO_ASEGURAMIENTO]]=""),
    EDA!$A$32,
    moras[[#This Row],[TIPO_ASEGURAMIENTO]]
)</f>
        <v>TRABAJADOR INDEPENDIENTE</v>
      </c>
    </row>
    <row r="4983" spans="1:16" x14ac:dyDescent="0.3">
      <c r="A4983">
        <v>4982</v>
      </c>
      <c r="B4983" t="s">
        <v>9</v>
      </c>
      <c r="C4983">
        <v>299647</v>
      </c>
      <c r="D4983" t="s">
        <v>17</v>
      </c>
      <c r="E4983" t="s">
        <v>16</v>
      </c>
      <c r="F4983" t="s">
        <v>12</v>
      </c>
      <c r="G4983" t="s">
        <v>13</v>
      </c>
      <c r="H4983" t="s">
        <v>13</v>
      </c>
      <c r="I4983">
        <v>67</v>
      </c>
      <c r="J4983">
        <f>ABS((I4983-EDA!$A$15)/EDA!$B$15)</f>
        <v>1.765823564787155</v>
      </c>
      <c r="K4983" t="str">
        <f t="shared" si="77"/>
        <v>No</v>
      </c>
      <c r="L4983">
        <f>ABS((C4983-EDA!$F$15)/EDA!$G$15)</f>
        <v>0.37066763460334595</v>
      </c>
      <c r="M4983" t="str">
        <f>IF(moras[[#This Row],[Z-Score Salario]]&gt;1.96, "Sí", "No")</f>
        <v>No</v>
      </c>
      <c r="N4983" s="14">
        <f>IF(ISBLANK(moras[[#This Row],[SALARIO]]), EDA!$M$8, moras[[#This Row],[SALARIO]])</f>
        <v>299647</v>
      </c>
      <c r="O4983" s="14">
        <f xml:space="preserve"> IF(ISBLANK(moras[[#This Row],[EDAD]]), EDA!$E$8, moras[[#This Row],[EDAD]])</f>
        <v>67</v>
      </c>
      <c r="P4983" s="14" t="str">
        <f>IF(
    OR(ISBLANK(moras[[#This Row],[TIPO_ASEGURAMIENTO]]), moras[[#This Row],[TIPO_ASEGURAMIENTO]]=""),
    EDA!$A$32,
    moras[[#This Row],[TIPO_ASEGURAMIENTO]]
)</f>
        <v>ASEGURADO VOLUNTARIO</v>
      </c>
    </row>
    <row r="4984" spans="1:16" x14ac:dyDescent="0.3">
      <c r="A4984">
        <v>4983</v>
      </c>
      <c r="B4984" t="s">
        <v>15</v>
      </c>
      <c r="C4984">
        <v>32434528</v>
      </c>
      <c r="D4984" t="s">
        <v>10</v>
      </c>
      <c r="E4984" t="s">
        <v>16</v>
      </c>
      <c r="F4984" t="s">
        <v>12</v>
      </c>
      <c r="G4984" t="s">
        <v>13</v>
      </c>
      <c r="H4984" t="s">
        <v>13</v>
      </c>
      <c r="I4984">
        <v>38</v>
      </c>
      <c r="J4984">
        <f>ABS((I4984-EDA!$A$15)/EDA!$B$15)</f>
        <v>0.28086100744983278</v>
      </c>
      <c r="K4984" t="str">
        <f t="shared" si="77"/>
        <v>No</v>
      </c>
      <c r="L4984">
        <f>ABS((C4984-EDA!$F$15)/EDA!$G$15)</f>
        <v>0.16407946964110678</v>
      </c>
      <c r="M4984" t="str">
        <f>IF(moras[[#This Row],[Z-Score Salario]]&gt;1.96, "Sí", "No")</f>
        <v>No</v>
      </c>
      <c r="N4984" s="14">
        <f>IF(ISBLANK(moras[[#This Row],[SALARIO]]), EDA!$M$8, moras[[#This Row],[SALARIO]])</f>
        <v>32434528</v>
      </c>
      <c r="O4984" s="14">
        <f xml:space="preserve"> IF(ISBLANK(moras[[#This Row],[EDAD]]), EDA!$E$8, moras[[#This Row],[EDAD]])</f>
        <v>38</v>
      </c>
      <c r="P4984" s="14" t="str">
        <f>IF(
    OR(ISBLANK(moras[[#This Row],[TIPO_ASEGURAMIENTO]]), moras[[#This Row],[TIPO_ASEGURAMIENTO]]=""),
    EDA!$A$32,
    moras[[#This Row],[TIPO_ASEGURAMIENTO]]
)</f>
        <v>ASALARIADO</v>
      </c>
    </row>
    <row r="4985" spans="1:16" x14ac:dyDescent="0.3">
      <c r="A4985">
        <v>4984</v>
      </c>
      <c r="B4985" t="s">
        <v>9</v>
      </c>
      <c r="C4985">
        <v>331181</v>
      </c>
      <c r="D4985" t="s">
        <v>18</v>
      </c>
      <c r="E4985" t="s">
        <v>16</v>
      </c>
      <c r="F4985" t="s">
        <v>12</v>
      </c>
      <c r="G4985" t="s">
        <v>12</v>
      </c>
      <c r="H4985" t="s">
        <v>12</v>
      </c>
      <c r="I4985">
        <v>55</v>
      </c>
      <c r="J4985">
        <f>ABS((I4985-EDA!$A$15)/EDA!$B$15)</f>
        <v>0.91891960386150484</v>
      </c>
      <c r="K4985" t="str">
        <f t="shared" si="77"/>
        <v>No</v>
      </c>
      <c r="L4985">
        <f>ABS((C4985-EDA!$F$15)/EDA!$G$15)</f>
        <v>0.37014288658311073</v>
      </c>
      <c r="M4985" t="str">
        <f>IF(moras[[#This Row],[Z-Score Salario]]&gt;1.96, "Sí", "No")</f>
        <v>No</v>
      </c>
      <c r="N4985" s="14">
        <f>IF(ISBLANK(moras[[#This Row],[SALARIO]]), EDA!$M$8, moras[[#This Row],[SALARIO]])</f>
        <v>331181</v>
      </c>
      <c r="O4985" s="14">
        <f xml:space="preserve"> IF(ISBLANK(moras[[#This Row],[EDAD]]), EDA!$E$8, moras[[#This Row],[EDAD]])</f>
        <v>55</v>
      </c>
      <c r="P4985" s="14" t="str">
        <f>IF(
    OR(ISBLANK(moras[[#This Row],[TIPO_ASEGURAMIENTO]]), moras[[#This Row],[TIPO_ASEGURAMIENTO]]=""),
    EDA!$A$32,
    moras[[#This Row],[TIPO_ASEGURAMIENTO]]
)</f>
        <v>TRABAJADOR INDEPENDIENTE</v>
      </c>
    </row>
    <row r="4986" spans="1:16" x14ac:dyDescent="0.3">
      <c r="A4986">
        <v>4985</v>
      </c>
      <c r="B4986" t="s">
        <v>15</v>
      </c>
      <c r="C4986">
        <v>376777</v>
      </c>
      <c r="D4986" t="s">
        <v>10</v>
      </c>
      <c r="E4986" t="s">
        <v>16</v>
      </c>
      <c r="F4986" t="s">
        <v>12</v>
      </c>
      <c r="G4986" t="s">
        <v>13</v>
      </c>
      <c r="H4986" t="s">
        <v>12</v>
      </c>
      <c r="I4986">
        <v>33</v>
      </c>
      <c r="J4986">
        <f>ABS((I4986-EDA!$A$15)/EDA!$B$15)</f>
        <v>0.63373765783552027</v>
      </c>
      <c r="K4986" t="str">
        <f t="shared" si="77"/>
        <v>No</v>
      </c>
      <c r="L4986">
        <f>ABS((C4986-EDA!$F$15)/EDA!$G$15)</f>
        <v>0.3693841369563382</v>
      </c>
      <c r="M4986" t="str">
        <f>IF(moras[[#This Row],[Z-Score Salario]]&gt;1.96, "Sí", "No")</f>
        <v>No</v>
      </c>
      <c r="N4986" s="14">
        <f>IF(ISBLANK(moras[[#This Row],[SALARIO]]), EDA!$M$8, moras[[#This Row],[SALARIO]])</f>
        <v>376777</v>
      </c>
      <c r="O4986" s="14">
        <f xml:space="preserve"> IF(ISBLANK(moras[[#This Row],[EDAD]]), EDA!$E$8, moras[[#This Row],[EDAD]])</f>
        <v>33</v>
      </c>
      <c r="P4986" s="14" t="str">
        <f>IF(
    OR(ISBLANK(moras[[#This Row],[TIPO_ASEGURAMIENTO]]), moras[[#This Row],[TIPO_ASEGURAMIENTO]]=""),
    EDA!$A$32,
    moras[[#This Row],[TIPO_ASEGURAMIENTO]]
)</f>
        <v>ASALARIADO</v>
      </c>
    </row>
    <row r="4987" spans="1:16" x14ac:dyDescent="0.3">
      <c r="A4987">
        <v>4986</v>
      </c>
      <c r="B4987" t="s">
        <v>15</v>
      </c>
      <c r="C4987">
        <v>356455</v>
      </c>
      <c r="D4987" t="s">
        <v>18</v>
      </c>
      <c r="E4987" t="s">
        <v>16</v>
      </c>
      <c r="F4987" t="s">
        <v>12</v>
      </c>
      <c r="G4987" t="s">
        <v>13</v>
      </c>
      <c r="H4987" t="s">
        <v>13</v>
      </c>
      <c r="I4987">
        <v>63</v>
      </c>
      <c r="J4987">
        <f>ABS((I4987-EDA!$A$15)/EDA!$B$15)</f>
        <v>1.4835222444786049</v>
      </c>
      <c r="K4987" t="str">
        <f t="shared" si="77"/>
        <v>No</v>
      </c>
      <c r="L4987">
        <f>ABS((C4987-EDA!$F$15)/EDA!$G$15)</f>
        <v>0.36972230938188588</v>
      </c>
      <c r="M4987" t="str">
        <f>IF(moras[[#This Row],[Z-Score Salario]]&gt;1.96, "Sí", "No")</f>
        <v>No</v>
      </c>
      <c r="N4987" s="14">
        <f>IF(ISBLANK(moras[[#This Row],[SALARIO]]), EDA!$M$8, moras[[#This Row],[SALARIO]])</f>
        <v>356455</v>
      </c>
      <c r="O4987" s="14">
        <f xml:space="preserve"> IF(ISBLANK(moras[[#This Row],[EDAD]]), EDA!$E$8, moras[[#This Row],[EDAD]])</f>
        <v>63</v>
      </c>
      <c r="P4987" s="14" t="str">
        <f>IF(
    OR(ISBLANK(moras[[#This Row],[TIPO_ASEGURAMIENTO]]), moras[[#This Row],[TIPO_ASEGURAMIENTO]]=""),
    EDA!$A$32,
    moras[[#This Row],[TIPO_ASEGURAMIENTO]]
)</f>
        <v>TRABAJADOR INDEPENDIENTE</v>
      </c>
    </row>
    <row r="4988" spans="1:16" x14ac:dyDescent="0.3">
      <c r="A4988">
        <v>4987</v>
      </c>
      <c r="B4988" t="s">
        <v>9</v>
      </c>
      <c r="C4988">
        <v>191279711</v>
      </c>
      <c r="D4988" t="s">
        <v>10</v>
      </c>
      <c r="E4988" t="s">
        <v>16</v>
      </c>
      <c r="F4988" t="s">
        <v>12</v>
      </c>
      <c r="G4988" t="s">
        <v>13</v>
      </c>
      <c r="H4988" t="s">
        <v>13</v>
      </c>
      <c r="I4988">
        <v>49</v>
      </c>
      <c r="J4988">
        <f>ABS((I4988-EDA!$A$15)/EDA!$B$15)</f>
        <v>0.49546762339867978</v>
      </c>
      <c r="K4988" t="str">
        <f t="shared" si="77"/>
        <v>No</v>
      </c>
      <c r="L4988">
        <f>ABS((C4988-EDA!$F$15)/EDA!$G$15)</f>
        <v>2.8073754455132494</v>
      </c>
      <c r="M4988" t="str">
        <f>IF(moras[[#This Row],[Z-Score Salario]]&gt;1.96, "Sí", "No")</f>
        <v>Sí</v>
      </c>
      <c r="N4988" s="14">
        <f>IF(ISBLANK(moras[[#This Row],[SALARIO]]), EDA!$M$8, moras[[#This Row],[SALARIO]])</f>
        <v>191279711</v>
      </c>
      <c r="O4988" s="14">
        <f xml:space="preserve"> IF(ISBLANK(moras[[#This Row],[EDAD]]), EDA!$E$8, moras[[#This Row],[EDAD]])</f>
        <v>49</v>
      </c>
      <c r="P4988" s="14" t="str">
        <f>IF(
    OR(ISBLANK(moras[[#This Row],[TIPO_ASEGURAMIENTO]]), moras[[#This Row],[TIPO_ASEGURAMIENTO]]=""),
    EDA!$A$32,
    moras[[#This Row],[TIPO_ASEGURAMIENTO]]
)</f>
        <v>ASALARIADO</v>
      </c>
    </row>
    <row r="4989" spans="1:16" x14ac:dyDescent="0.3">
      <c r="A4989">
        <v>4988</v>
      </c>
      <c r="B4989" t="s">
        <v>15</v>
      </c>
      <c r="C4989">
        <v>1709530</v>
      </c>
      <c r="D4989" t="s">
        <v>10</v>
      </c>
      <c r="E4989" t="s">
        <v>11</v>
      </c>
      <c r="F4989" t="s">
        <v>12</v>
      </c>
      <c r="G4989" t="s">
        <v>13</v>
      </c>
      <c r="H4989" t="s">
        <v>12</v>
      </c>
      <c r="I4989">
        <v>44</v>
      </c>
      <c r="J4989">
        <f>ABS((I4989-EDA!$A$15)/EDA!$B$15)</f>
        <v>0.14259097301299228</v>
      </c>
      <c r="K4989" t="str">
        <f t="shared" si="77"/>
        <v>No</v>
      </c>
      <c r="L4989">
        <f>ABS((C4989-EDA!$F$15)/EDA!$G$15)</f>
        <v>0.34720618622973964</v>
      </c>
      <c r="M4989" t="str">
        <f>IF(moras[[#This Row],[Z-Score Salario]]&gt;1.96, "Sí", "No")</f>
        <v>No</v>
      </c>
      <c r="N4989" s="14">
        <f>IF(ISBLANK(moras[[#This Row],[SALARIO]]), EDA!$M$8, moras[[#This Row],[SALARIO]])</f>
        <v>1709530</v>
      </c>
      <c r="O4989" s="14">
        <f xml:space="preserve"> IF(ISBLANK(moras[[#This Row],[EDAD]]), EDA!$E$8, moras[[#This Row],[EDAD]])</f>
        <v>44</v>
      </c>
      <c r="P4989" s="14" t="str">
        <f>IF(
    OR(ISBLANK(moras[[#This Row],[TIPO_ASEGURAMIENTO]]), moras[[#This Row],[TIPO_ASEGURAMIENTO]]=""),
    EDA!$A$32,
    moras[[#This Row],[TIPO_ASEGURAMIENTO]]
)</f>
        <v>ASALARIADO</v>
      </c>
    </row>
    <row r="4990" spans="1:16" x14ac:dyDescent="0.3">
      <c r="A4990">
        <v>4989</v>
      </c>
      <c r="B4990" t="s">
        <v>9</v>
      </c>
      <c r="C4990">
        <v>88241774</v>
      </c>
      <c r="D4990" t="s">
        <v>10</v>
      </c>
      <c r="E4990" t="s">
        <v>16</v>
      </c>
      <c r="F4990" t="s">
        <v>12</v>
      </c>
      <c r="G4990" t="s">
        <v>13</v>
      </c>
      <c r="H4990" t="s">
        <v>13</v>
      </c>
      <c r="I4990">
        <v>38</v>
      </c>
      <c r="J4990">
        <f>ABS((I4990-EDA!$A$15)/EDA!$B$15)</f>
        <v>0.28086100744983278</v>
      </c>
      <c r="K4990" t="str">
        <f t="shared" si="77"/>
        <v>No</v>
      </c>
      <c r="L4990">
        <f>ABS((C4990-EDA!$F$15)/EDA!$G$15)</f>
        <v>1.0927514380967491</v>
      </c>
      <c r="M4990" t="str">
        <f>IF(moras[[#This Row],[Z-Score Salario]]&gt;1.96, "Sí", "No")</f>
        <v>No</v>
      </c>
      <c r="N4990" s="14">
        <f>IF(ISBLANK(moras[[#This Row],[SALARIO]]), EDA!$M$8, moras[[#This Row],[SALARIO]])</f>
        <v>88241774</v>
      </c>
      <c r="O4990" s="14">
        <f xml:space="preserve"> IF(ISBLANK(moras[[#This Row],[EDAD]]), EDA!$E$8, moras[[#This Row],[EDAD]])</f>
        <v>38</v>
      </c>
      <c r="P4990" s="14" t="str">
        <f>IF(
    OR(ISBLANK(moras[[#This Row],[TIPO_ASEGURAMIENTO]]), moras[[#This Row],[TIPO_ASEGURAMIENTO]]=""),
    EDA!$A$32,
    moras[[#This Row],[TIPO_ASEGURAMIENTO]]
)</f>
        <v>ASALARIADO</v>
      </c>
    </row>
    <row r="4991" spans="1:16" x14ac:dyDescent="0.3">
      <c r="A4991">
        <v>4990</v>
      </c>
      <c r="B4991" t="s">
        <v>15</v>
      </c>
      <c r="C4991">
        <v>4388896</v>
      </c>
      <c r="D4991" t="s">
        <v>10</v>
      </c>
      <c r="E4991" t="s">
        <v>16</v>
      </c>
      <c r="F4991" t="s">
        <v>12</v>
      </c>
      <c r="G4991" t="s">
        <v>13</v>
      </c>
      <c r="H4991" t="s">
        <v>13</v>
      </c>
      <c r="I4991">
        <v>31</v>
      </c>
      <c r="J4991">
        <f>ABS((I4991-EDA!$A$15)/EDA!$B$15)</f>
        <v>0.77488831798979529</v>
      </c>
      <c r="K4991" t="str">
        <f t="shared" si="77"/>
        <v>No</v>
      </c>
      <c r="L4991">
        <f>ABS((C4991-EDA!$F$15)/EDA!$G$15)</f>
        <v>0.30261964459259955</v>
      </c>
      <c r="M4991" t="str">
        <f>IF(moras[[#This Row],[Z-Score Salario]]&gt;1.96, "Sí", "No")</f>
        <v>No</v>
      </c>
      <c r="N4991" s="14">
        <f>IF(ISBLANK(moras[[#This Row],[SALARIO]]), EDA!$M$8, moras[[#This Row],[SALARIO]])</f>
        <v>4388896</v>
      </c>
      <c r="O4991" s="14">
        <f xml:space="preserve"> IF(ISBLANK(moras[[#This Row],[EDAD]]), EDA!$E$8, moras[[#This Row],[EDAD]])</f>
        <v>31</v>
      </c>
      <c r="P4991" s="14" t="str">
        <f>IF(
    OR(ISBLANK(moras[[#This Row],[TIPO_ASEGURAMIENTO]]), moras[[#This Row],[TIPO_ASEGURAMIENTO]]=""),
    EDA!$A$32,
    moras[[#This Row],[TIPO_ASEGURAMIENTO]]
)</f>
        <v>ASALARIADO</v>
      </c>
    </row>
    <row r="4992" spans="1:16" x14ac:dyDescent="0.3">
      <c r="A4992">
        <v>4991</v>
      </c>
      <c r="B4992" t="s">
        <v>15</v>
      </c>
      <c r="C4992">
        <v>33586017</v>
      </c>
      <c r="D4992" t="s">
        <v>10</v>
      </c>
      <c r="E4992" t="s">
        <v>11</v>
      </c>
      <c r="F4992" t="s">
        <v>12</v>
      </c>
      <c r="G4992" t="s">
        <v>13</v>
      </c>
      <c r="H4992" t="s">
        <v>13</v>
      </c>
      <c r="I4992">
        <v>35</v>
      </c>
      <c r="J4992">
        <f>ABS((I4992-EDA!$A$15)/EDA!$B$15)</f>
        <v>0.49258699768124525</v>
      </c>
      <c r="K4992" t="str">
        <f t="shared" si="77"/>
        <v>No</v>
      </c>
      <c r="L4992">
        <f>ABS((C4992-EDA!$F$15)/EDA!$G$15)</f>
        <v>0.18324105945123678</v>
      </c>
      <c r="M4992" t="str">
        <f>IF(moras[[#This Row],[Z-Score Salario]]&gt;1.96, "Sí", "No")</f>
        <v>No</v>
      </c>
      <c r="N4992" s="14">
        <f>IF(ISBLANK(moras[[#This Row],[SALARIO]]), EDA!$M$8, moras[[#This Row],[SALARIO]])</f>
        <v>33586017</v>
      </c>
      <c r="O4992" s="14">
        <f xml:space="preserve"> IF(ISBLANK(moras[[#This Row],[EDAD]]), EDA!$E$8, moras[[#This Row],[EDAD]])</f>
        <v>35</v>
      </c>
      <c r="P4992" s="14" t="str">
        <f>IF(
    OR(ISBLANK(moras[[#This Row],[TIPO_ASEGURAMIENTO]]), moras[[#This Row],[TIPO_ASEGURAMIENTO]]=""),
    EDA!$A$32,
    moras[[#This Row],[TIPO_ASEGURAMIENTO]]
)</f>
        <v>ASALARIADO</v>
      </c>
    </row>
    <row r="4993" spans="1:16" x14ac:dyDescent="0.3">
      <c r="A4993">
        <v>4992</v>
      </c>
      <c r="B4993" t="s">
        <v>9</v>
      </c>
      <c r="C4993">
        <v>501500</v>
      </c>
      <c r="D4993" t="s">
        <v>10</v>
      </c>
      <c r="E4993" t="s">
        <v>16</v>
      </c>
      <c r="F4993" t="s">
        <v>12</v>
      </c>
      <c r="G4993" t="s">
        <v>13</v>
      </c>
      <c r="H4993" t="s">
        <v>13</v>
      </c>
      <c r="I4993">
        <v>29</v>
      </c>
      <c r="J4993">
        <f>ABS((I4993-EDA!$A$15)/EDA!$B$15)</f>
        <v>0.91603897814407031</v>
      </c>
      <c r="K4993" t="str">
        <f t="shared" si="77"/>
        <v>No</v>
      </c>
      <c r="L4993">
        <f>ABS((C4993-EDA!$F$15)/EDA!$G$15)</f>
        <v>0.36730865819285125</v>
      </c>
      <c r="M4993" t="str">
        <f>IF(moras[[#This Row],[Z-Score Salario]]&gt;1.96, "Sí", "No")</f>
        <v>No</v>
      </c>
      <c r="N4993" s="14">
        <f>IF(ISBLANK(moras[[#This Row],[SALARIO]]), EDA!$M$8, moras[[#This Row],[SALARIO]])</f>
        <v>501500</v>
      </c>
      <c r="O4993" s="14">
        <f xml:space="preserve"> IF(ISBLANK(moras[[#This Row],[EDAD]]), EDA!$E$8, moras[[#This Row],[EDAD]])</f>
        <v>29</v>
      </c>
      <c r="P4993" s="14" t="str">
        <f>IF(
    OR(ISBLANK(moras[[#This Row],[TIPO_ASEGURAMIENTO]]), moras[[#This Row],[TIPO_ASEGURAMIENTO]]=""),
    EDA!$A$32,
    moras[[#This Row],[TIPO_ASEGURAMIENTO]]
)</f>
        <v>ASALARIADO</v>
      </c>
    </row>
    <row r="4994" spans="1:16" x14ac:dyDescent="0.3">
      <c r="A4994">
        <v>4993</v>
      </c>
      <c r="B4994" t="s">
        <v>15</v>
      </c>
      <c r="C4994">
        <v>354835</v>
      </c>
      <c r="D4994" t="s">
        <v>10</v>
      </c>
      <c r="E4994" t="s">
        <v>16</v>
      </c>
      <c r="F4994" t="s">
        <v>12</v>
      </c>
      <c r="G4994" t="s">
        <v>13</v>
      </c>
      <c r="H4994" t="s">
        <v>12</v>
      </c>
      <c r="I4994">
        <v>26</v>
      </c>
      <c r="J4994">
        <f>ABS((I4994-EDA!$A$15)/EDA!$B$15)</f>
        <v>1.1277649683754829</v>
      </c>
      <c r="K4994" t="str">
        <f t="shared" ref="K4994:K5057" si="78">IF(J4994 &gt;  1.96, "Sí","No")</f>
        <v>No</v>
      </c>
      <c r="L4994">
        <f>ABS((C4994-EDA!$F$15)/EDA!$G$15)</f>
        <v>0.36974926732546359</v>
      </c>
      <c r="M4994" t="str">
        <f>IF(moras[[#This Row],[Z-Score Salario]]&gt;1.96, "Sí", "No")</f>
        <v>No</v>
      </c>
      <c r="N4994" s="14">
        <f>IF(ISBLANK(moras[[#This Row],[SALARIO]]), EDA!$M$8, moras[[#This Row],[SALARIO]])</f>
        <v>354835</v>
      </c>
      <c r="O4994" s="14">
        <f xml:space="preserve"> IF(ISBLANK(moras[[#This Row],[EDAD]]), EDA!$E$8, moras[[#This Row],[EDAD]])</f>
        <v>26</v>
      </c>
      <c r="P4994" s="14" t="str">
        <f>IF(
    OR(ISBLANK(moras[[#This Row],[TIPO_ASEGURAMIENTO]]), moras[[#This Row],[TIPO_ASEGURAMIENTO]]=""),
    EDA!$A$32,
    moras[[#This Row],[TIPO_ASEGURAMIENTO]]
)</f>
        <v>ASALARIADO</v>
      </c>
    </row>
    <row r="4995" spans="1:16" x14ac:dyDescent="0.3">
      <c r="A4995">
        <v>4994</v>
      </c>
      <c r="B4995" t="s">
        <v>9</v>
      </c>
      <c r="C4995">
        <v>50104018</v>
      </c>
      <c r="D4995" t="s">
        <v>10</v>
      </c>
      <c r="E4995" t="s">
        <v>16</v>
      </c>
      <c r="F4995" t="s">
        <v>12</v>
      </c>
      <c r="G4995" t="s">
        <v>13</v>
      </c>
      <c r="H4995" t="s">
        <v>13</v>
      </c>
      <c r="I4995">
        <v>57</v>
      </c>
      <c r="J4995">
        <f>ABS((I4995-EDA!$A$15)/EDA!$B$15)</f>
        <v>1.0600702640157798</v>
      </c>
      <c r="K4995" t="str">
        <f t="shared" si="78"/>
        <v>No</v>
      </c>
      <c r="L4995">
        <f>ABS((C4995-EDA!$F$15)/EDA!$G$15)</f>
        <v>0.45811225634961567</v>
      </c>
      <c r="M4995" t="str">
        <f>IF(moras[[#This Row],[Z-Score Salario]]&gt;1.96, "Sí", "No")</f>
        <v>No</v>
      </c>
      <c r="N4995" s="14">
        <f>IF(ISBLANK(moras[[#This Row],[SALARIO]]), EDA!$M$8, moras[[#This Row],[SALARIO]])</f>
        <v>50104018</v>
      </c>
      <c r="O4995" s="14">
        <f xml:space="preserve"> IF(ISBLANK(moras[[#This Row],[EDAD]]), EDA!$E$8, moras[[#This Row],[EDAD]])</f>
        <v>57</v>
      </c>
      <c r="P4995" s="14" t="str">
        <f>IF(
    OR(ISBLANK(moras[[#This Row],[TIPO_ASEGURAMIENTO]]), moras[[#This Row],[TIPO_ASEGURAMIENTO]]=""),
    EDA!$A$32,
    moras[[#This Row],[TIPO_ASEGURAMIENTO]]
)</f>
        <v>ASALARIADO</v>
      </c>
    </row>
    <row r="4996" spans="1:16" x14ac:dyDescent="0.3">
      <c r="A4996">
        <v>4995</v>
      </c>
      <c r="B4996" t="s">
        <v>15</v>
      </c>
      <c r="C4996">
        <v>95836736</v>
      </c>
      <c r="D4996" t="s">
        <v>10</v>
      </c>
      <c r="E4996" t="s">
        <v>11</v>
      </c>
      <c r="F4996" t="s">
        <v>12</v>
      </c>
      <c r="G4996" t="s">
        <v>13</v>
      </c>
      <c r="H4996" t="s">
        <v>13</v>
      </c>
      <c r="I4996">
        <v>38</v>
      </c>
      <c r="J4996">
        <f>ABS((I4996-EDA!$A$15)/EDA!$B$15)</f>
        <v>0.28086100744983278</v>
      </c>
      <c r="K4996" t="str">
        <f t="shared" si="78"/>
        <v>No</v>
      </c>
      <c r="L4996">
        <f>ABS((C4996-EDA!$F$15)/EDA!$G$15)</f>
        <v>1.2191369671530619</v>
      </c>
      <c r="M4996" t="str">
        <f>IF(moras[[#This Row],[Z-Score Salario]]&gt;1.96, "Sí", "No")</f>
        <v>No</v>
      </c>
      <c r="N4996" s="14">
        <f>IF(ISBLANK(moras[[#This Row],[SALARIO]]), EDA!$M$8, moras[[#This Row],[SALARIO]])</f>
        <v>95836736</v>
      </c>
      <c r="O4996" s="14">
        <f xml:space="preserve"> IF(ISBLANK(moras[[#This Row],[EDAD]]), EDA!$E$8, moras[[#This Row],[EDAD]])</f>
        <v>38</v>
      </c>
      <c r="P4996" s="14" t="str">
        <f>IF(
    OR(ISBLANK(moras[[#This Row],[TIPO_ASEGURAMIENTO]]), moras[[#This Row],[TIPO_ASEGURAMIENTO]]=""),
    EDA!$A$32,
    moras[[#This Row],[TIPO_ASEGURAMIENTO]]
)</f>
        <v>ASALARIADO</v>
      </c>
    </row>
    <row r="4997" spans="1:16" x14ac:dyDescent="0.3">
      <c r="A4997">
        <v>4996</v>
      </c>
      <c r="B4997" t="s">
        <v>15</v>
      </c>
      <c r="C4997">
        <v>407579</v>
      </c>
      <c r="D4997" t="s">
        <v>10</v>
      </c>
      <c r="E4997" t="s">
        <v>11</v>
      </c>
      <c r="F4997" t="s">
        <v>12</v>
      </c>
      <c r="G4997" t="s">
        <v>13</v>
      </c>
      <c r="H4997" t="s">
        <v>13</v>
      </c>
      <c r="I4997">
        <v>43</v>
      </c>
      <c r="J4997">
        <f>ABS((I4997-EDA!$A$15)/EDA!$B$15)</f>
        <v>7.2015642935854773E-2</v>
      </c>
      <c r="K4997" t="str">
        <f t="shared" si="78"/>
        <v>No</v>
      </c>
      <c r="L4997">
        <f>ABS((C4997-EDA!$F$15)/EDA!$G$15)</f>
        <v>0.36887156993283071</v>
      </c>
      <c r="M4997" t="str">
        <f>IF(moras[[#This Row],[Z-Score Salario]]&gt;1.96, "Sí", "No")</f>
        <v>No</v>
      </c>
      <c r="N4997" s="14">
        <f>IF(ISBLANK(moras[[#This Row],[SALARIO]]), EDA!$M$8, moras[[#This Row],[SALARIO]])</f>
        <v>407579</v>
      </c>
      <c r="O4997" s="14">
        <f xml:space="preserve"> IF(ISBLANK(moras[[#This Row],[EDAD]]), EDA!$E$8, moras[[#This Row],[EDAD]])</f>
        <v>43</v>
      </c>
      <c r="P4997" s="14" t="str">
        <f>IF(
    OR(ISBLANK(moras[[#This Row],[TIPO_ASEGURAMIENTO]]), moras[[#This Row],[TIPO_ASEGURAMIENTO]]=""),
    EDA!$A$32,
    moras[[#This Row],[TIPO_ASEGURAMIENTO]]
)</f>
        <v>ASALARIADO</v>
      </c>
    </row>
    <row r="4998" spans="1:16" x14ac:dyDescent="0.3">
      <c r="A4998">
        <v>4997</v>
      </c>
      <c r="B4998" t="s">
        <v>15</v>
      </c>
      <c r="C4998">
        <v>400000</v>
      </c>
      <c r="D4998" t="s">
        <v>10</v>
      </c>
      <c r="E4998" t="s">
        <v>16</v>
      </c>
      <c r="F4998" t="s">
        <v>12</v>
      </c>
      <c r="G4998" t="s">
        <v>13</v>
      </c>
      <c r="H4998" t="s">
        <v>13</v>
      </c>
      <c r="I4998">
        <v>62</v>
      </c>
      <c r="J4998">
        <f>ABS((I4998-EDA!$A$15)/EDA!$B$15)</f>
        <v>1.4129469144014672</v>
      </c>
      <c r="K4998" t="str">
        <f t="shared" si="78"/>
        <v>No</v>
      </c>
      <c r="L4998">
        <f>ABS((C4998-EDA!$F$15)/EDA!$G$15)</f>
        <v>0.36899768984293924</v>
      </c>
      <c r="M4998" t="str">
        <f>IF(moras[[#This Row],[Z-Score Salario]]&gt;1.96, "Sí", "No")</f>
        <v>No</v>
      </c>
      <c r="N4998" s="14">
        <f>IF(ISBLANK(moras[[#This Row],[SALARIO]]), EDA!$M$8, moras[[#This Row],[SALARIO]])</f>
        <v>400000</v>
      </c>
      <c r="O4998" s="14">
        <f xml:space="preserve"> IF(ISBLANK(moras[[#This Row],[EDAD]]), EDA!$E$8, moras[[#This Row],[EDAD]])</f>
        <v>62</v>
      </c>
      <c r="P4998" s="14" t="str">
        <f>IF(
    OR(ISBLANK(moras[[#This Row],[TIPO_ASEGURAMIENTO]]), moras[[#This Row],[TIPO_ASEGURAMIENTO]]=""),
    EDA!$A$32,
    moras[[#This Row],[TIPO_ASEGURAMIENTO]]
)</f>
        <v>ASALARIADO</v>
      </c>
    </row>
    <row r="4999" spans="1:16" x14ac:dyDescent="0.3">
      <c r="A4999">
        <v>4998</v>
      </c>
      <c r="B4999" t="s">
        <v>15</v>
      </c>
      <c r="C4999">
        <v>1367154</v>
      </c>
      <c r="D4999" t="s">
        <v>10</v>
      </c>
      <c r="E4999" t="s">
        <v>11</v>
      </c>
      <c r="F4999" t="s">
        <v>12</v>
      </c>
      <c r="G4999" t="s">
        <v>13</v>
      </c>
      <c r="H4999" t="s">
        <v>12</v>
      </c>
      <c r="I4999">
        <v>56</v>
      </c>
      <c r="J4999">
        <f>ABS((I4999-EDA!$A$15)/EDA!$B$15)</f>
        <v>0.9894949339386423</v>
      </c>
      <c r="K4999" t="str">
        <f t="shared" si="78"/>
        <v>No</v>
      </c>
      <c r="L4999">
        <f>ABS((C4999-EDA!$F$15)/EDA!$G$15)</f>
        <v>0.35290356455713406</v>
      </c>
      <c r="M4999" t="str">
        <f>IF(moras[[#This Row],[Z-Score Salario]]&gt;1.96, "Sí", "No")</f>
        <v>No</v>
      </c>
      <c r="N4999" s="14">
        <f>IF(ISBLANK(moras[[#This Row],[SALARIO]]), EDA!$M$8, moras[[#This Row],[SALARIO]])</f>
        <v>1367154</v>
      </c>
      <c r="O4999" s="14">
        <f xml:space="preserve"> IF(ISBLANK(moras[[#This Row],[EDAD]]), EDA!$E$8, moras[[#This Row],[EDAD]])</f>
        <v>56</v>
      </c>
      <c r="P4999" s="14" t="str">
        <f>IF(
    OR(ISBLANK(moras[[#This Row],[TIPO_ASEGURAMIENTO]]), moras[[#This Row],[TIPO_ASEGURAMIENTO]]=""),
    EDA!$A$32,
    moras[[#This Row],[TIPO_ASEGURAMIENTO]]
)</f>
        <v>ASALARIADO</v>
      </c>
    </row>
    <row r="5000" spans="1:16" x14ac:dyDescent="0.3">
      <c r="A5000">
        <v>4999</v>
      </c>
      <c r="B5000" t="s">
        <v>9</v>
      </c>
      <c r="C5000">
        <v>18983328</v>
      </c>
      <c r="D5000" t="s">
        <v>10</v>
      </c>
      <c r="E5000" t="s">
        <v>16</v>
      </c>
      <c r="F5000" t="s">
        <v>12</v>
      </c>
      <c r="G5000" t="s">
        <v>12</v>
      </c>
      <c r="H5000" t="s">
        <v>13</v>
      </c>
      <c r="I5000">
        <v>42</v>
      </c>
      <c r="J5000">
        <f>ABS((I5000-EDA!$A$15)/EDA!$B$15)</f>
        <v>1.4403128587172659E-3</v>
      </c>
      <c r="K5000" t="str">
        <f t="shared" si="78"/>
        <v>No</v>
      </c>
      <c r="L5000">
        <f>ABS((C5000-EDA!$F$15)/EDA!$G$15)</f>
        <v>5.9757993725039892E-2</v>
      </c>
      <c r="M5000" t="str">
        <f>IF(moras[[#This Row],[Z-Score Salario]]&gt;1.96, "Sí", "No")</f>
        <v>No</v>
      </c>
      <c r="N5000" s="14">
        <f>IF(ISBLANK(moras[[#This Row],[SALARIO]]), EDA!$M$8, moras[[#This Row],[SALARIO]])</f>
        <v>18983328</v>
      </c>
      <c r="O5000" s="14">
        <f xml:space="preserve"> IF(ISBLANK(moras[[#This Row],[EDAD]]), EDA!$E$8, moras[[#This Row],[EDAD]])</f>
        <v>42</v>
      </c>
      <c r="P5000" s="14" t="str">
        <f>IF(
    OR(ISBLANK(moras[[#This Row],[TIPO_ASEGURAMIENTO]]), moras[[#This Row],[TIPO_ASEGURAMIENTO]]=""),
    EDA!$A$32,
    moras[[#This Row],[TIPO_ASEGURAMIENTO]]
)</f>
        <v>ASALARIADO</v>
      </c>
    </row>
    <row r="5001" spans="1:16" x14ac:dyDescent="0.3">
      <c r="A5001">
        <v>5000</v>
      </c>
      <c r="B5001" t="s">
        <v>9</v>
      </c>
      <c r="C5001">
        <v>48907833</v>
      </c>
      <c r="D5001" t="s">
        <v>10</v>
      </c>
      <c r="E5001" t="s">
        <v>16</v>
      </c>
      <c r="F5001" t="s">
        <v>12</v>
      </c>
      <c r="G5001" t="s">
        <v>13</v>
      </c>
      <c r="H5001" t="s">
        <v>13</v>
      </c>
      <c r="I5001">
        <v>41</v>
      </c>
      <c r="J5001">
        <f>ABS((I5001-EDA!$A$15)/EDA!$B$15)</f>
        <v>6.9135017218420233E-2</v>
      </c>
      <c r="K5001" t="str">
        <f t="shared" si="78"/>
        <v>No</v>
      </c>
      <c r="L5001">
        <f>ABS((C5001-EDA!$F$15)/EDA!$G$15)</f>
        <v>0.4382068935480341</v>
      </c>
      <c r="M5001" t="str">
        <f>IF(moras[[#This Row],[Z-Score Salario]]&gt;1.96, "Sí", "No")</f>
        <v>No</v>
      </c>
      <c r="N5001" s="14">
        <f>IF(ISBLANK(moras[[#This Row],[SALARIO]]), EDA!$M$8, moras[[#This Row],[SALARIO]])</f>
        <v>48907833</v>
      </c>
      <c r="O5001" s="14">
        <f xml:space="preserve"> IF(ISBLANK(moras[[#This Row],[EDAD]]), EDA!$E$8, moras[[#This Row],[EDAD]])</f>
        <v>41</v>
      </c>
      <c r="P5001" s="14" t="str">
        <f>IF(
    OR(ISBLANK(moras[[#This Row],[TIPO_ASEGURAMIENTO]]), moras[[#This Row],[TIPO_ASEGURAMIENTO]]=""),
    EDA!$A$32,
    moras[[#This Row],[TIPO_ASEGURAMIENTO]]
)</f>
        <v>ASALARIADO</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443A3-6D55-46E2-BE7C-FE44A2FCBF07}">
  <dimension ref="A1:N102"/>
  <sheetViews>
    <sheetView tabSelected="1" topLeftCell="A48" zoomScale="85" zoomScaleNormal="85" workbookViewId="0">
      <selection activeCell="I58" sqref="I58"/>
    </sheetView>
  </sheetViews>
  <sheetFormatPr defaultRowHeight="14.4" x14ac:dyDescent="0.3"/>
  <cols>
    <col min="1" max="1" width="12.88671875" customWidth="1"/>
    <col min="2" max="2" width="17.21875" customWidth="1"/>
    <col min="3" max="3" width="19.109375" customWidth="1"/>
    <col min="4" max="4" width="52.6640625" bestFit="1" customWidth="1"/>
    <col min="5" max="5" width="15.6640625" bestFit="1" customWidth="1"/>
    <col min="6" max="6" width="15.5546875" bestFit="1" customWidth="1"/>
    <col min="7" max="7" width="10.5546875" bestFit="1" customWidth="1"/>
    <col min="10" max="10" width="11" bestFit="1" customWidth="1"/>
    <col min="14" max="14" width="11" bestFit="1" customWidth="1"/>
  </cols>
  <sheetData>
    <row r="1" spans="1:14" x14ac:dyDescent="0.3">
      <c r="A1" t="s">
        <v>22</v>
      </c>
    </row>
    <row r="2" spans="1:14" x14ac:dyDescent="0.3">
      <c r="A2" t="s">
        <v>23</v>
      </c>
    </row>
    <row r="3" spans="1:14" x14ac:dyDescent="0.3">
      <c r="A3" s="7" t="s">
        <v>33</v>
      </c>
    </row>
    <row r="4" spans="1:14" x14ac:dyDescent="0.3">
      <c r="A4" t="s">
        <v>24</v>
      </c>
    </row>
    <row r="6" spans="1:14" ht="15" thickBot="1" x14ac:dyDescent="0.35">
      <c r="A6" s="8" t="s">
        <v>30</v>
      </c>
      <c r="B6" s="8"/>
      <c r="C6" s="8"/>
      <c r="D6" s="8"/>
      <c r="E6" s="8"/>
      <c r="F6" s="8"/>
      <c r="I6" s="13" t="s">
        <v>32</v>
      </c>
      <c r="J6" s="13"/>
      <c r="K6" s="13"/>
      <c r="L6" s="13"/>
      <c r="M6" s="13"/>
      <c r="N6" s="13"/>
    </row>
    <row r="7" spans="1:14" x14ac:dyDescent="0.3">
      <c r="A7" s="1" t="s">
        <v>29</v>
      </c>
      <c r="B7" s="2" t="s">
        <v>25</v>
      </c>
      <c r="C7" s="2" t="s">
        <v>26</v>
      </c>
      <c r="D7" s="2" t="s">
        <v>31</v>
      </c>
      <c r="E7" s="2" t="s">
        <v>27</v>
      </c>
      <c r="F7" s="3" t="s">
        <v>28</v>
      </c>
      <c r="I7" s="1" t="s">
        <v>29</v>
      </c>
      <c r="J7" s="2" t="s">
        <v>25</v>
      </c>
      <c r="K7" s="2" t="s">
        <v>26</v>
      </c>
      <c r="L7" s="2" t="s">
        <v>31</v>
      </c>
      <c r="M7" s="2" t="s">
        <v>27</v>
      </c>
      <c r="N7" s="3" t="s">
        <v>28</v>
      </c>
    </row>
    <row r="8" spans="1:14" ht="15" thickBot="1" x14ac:dyDescent="0.35">
      <c r="A8" s="4">
        <f>MIN(moras!I2:I50)</f>
        <v>18</v>
      </c>
      <c r="B8" s="5">
        <f>MAX(moras!I2:I50)</f>
        <v>77</v>
      </c>
      <c r="C8" s="5">
        <f>_xlfn.QUARTILE.INC(moras!I2:I50,1)</f>
        <v>36</v>
      </c>
      <c r="D8" s="5">
        <f>_xlfn.QUARTILE.INC(moras!I2:I50,)</f>
        <v>18</v>
      </c>
      <c r="E8" s="5">
        <f>MEDIAN(moras!I2:I50)</f>
        <v>41</v>
      </c>
      <c r="F8" s="6">
        <f>AVERAGE(moras!I2:I50)</f>
        <v>41.979591836734691</v>
      </c>
      <c r="I8" s="4">
        <f>MIN(moras[SALARIO])</f>
        <v>10</v>
      </c>
      <c r="J8" s="5">
        <f>MAX(moras[SALARIO])</f>
        <v>1158018598</v>
      </c>
      <c r="K8" s="5">
        <f>_xlfn.QUARTILE.INC(moras[SALARIO],1)</f>
        <v>310124</v>
      </c>
      <c r="L8" s="5">
        <f>_xlfn.QUARTILE.INC(moras[SALARIO],3)</f>
        <v>23260977</v>
      </c>
      <c r="M8" s="5">
        <f>MEDIAN(moras[SALARIO])</f>
        <v>639148</v>
      </c>
      <c r="N8" s="6">
        <f>AVERAGE(moras[SALARIO])</f>
        <v>22574401.241745047</v>
      </c>
    </row>
    <row r="10" spans="1:14" x14ac:dyDescent="0.3">
      <c r="A10" s="7" t="s">
        <v>34</v>
      </c>
    </row>
    <row r="11" spans="1:14" x14ac:dyDescent="0.3">
      <c r="A11" t="s">
        <v>35</v>
      </c>
    </row>
    <row r="12" spans="1:14" x14ac:dyDescent="0.3">
      <c r="A12" t="s">
        <v>36</v>
      </c>
    </row>
    <row r="13" spans="1:14" ht="15" thickBot="1" x14ac:dyDescent="0.35">
      <c r="A13" s="9" t="s">
        <v>43</v>
      </c>
      <c r="B13" s="9"/>
      <c r="C13" s="9"/>
      <c r="F13" s="9" t="s">
        <v>42</v>
      </c>
      <c r="G13" s="9"/>
      <c r="H13" s="9"/>
    </row>
    <row r="14" spans="1:14" x14ac:dyDescent="0.3">
      <c r="A14" t="s">
        <v>28</v>
      </c>
      <c r="B14" t="s">
        <v>37</v>
      </c>
      <c r="F14" t="s">
        <v>44</v>
      </c>
      <c r="G14" t="s">
        <v>37</v>
      </c>
    </row>
    <row r="15" spans="1:14" x14ac:dyDescent="0.3">
      <c r="A15">
        <f>$F$8</f>
        <v>41.979591836734691</v>
      </c>
      <c r="B15">
        <f>(VAR(moras[EDAD]))^(1/2)</f>
        <v>14.169257145620415</v>
      </c>
      <c r="F15">
        <f>N8</f>
        <v>22574401.241745047</v>
      </c>
      <c r="G15">
        <f>(_xlfn.VAR.P(moras[SALARIO])^(1/2))</f>
        <v>60093604.518725835</v>
      </c>
    </row>
    <row r="18" spans="1:9" x14ac:dyDescent="0.3">
      <c r="A18" s="7" t="s">
        <v>45</v>
      </c>
    </row>
    <row r="19" spans="1:9" ht="15" thickBot="1" x14ac:dyDescent="0.35">
      <c r="A19" s="8" t="s">
        <v>46</v>
      </c>
      <c r="B19" s="8"/>
      <c r="C19" s="8"/>
      <c r="D19" s="8"/>
      <c r="E19" s="8"/>
      <c r="F19" s="8"/>
      <c r="G19" s="8"/>
      <c r="H19" s="8"/>
      <c r="I19" s="8"/>
    </row>
    <row r="20" spans="1:9" x14ac:dyDescent="0.3">
      <c r="A20" s="1" t="s">
        <v>47</v>
      </c>
      <c r="B20" s="2" t="s">
        <v>48</v>
      </c>
      <c r="C20" s="2" t="s">
        <v>49</v>
      </c>
      <c r="D20" s="2" t="s">
        <v>53</v>
      </c>
      <c r="E20" s="2" t="s">
        <v>50</v>
      </c>
      <c r="F20" s="2" t="s">
        <v>51</v>
      </c>
      <c r="G20" s="2" t="s">
        <v>52</v>
      </c>
      <c r="H20" s="2" t="s">
        <v>54</v>
      </c>
      <c r="I20" s="3" t="s">
        <v>55</v>
      </c>
    </row>
    <row r="21" spans="1:9" ht="15" thickBot="1" x14ac:dyDescent="0.35">
      <c r="A21" s="10">
        <f>COUNTBLANK(moras[IDENTIFICACION])/COUNTA(moras[IDENTIFICACION]) * 100</f>
        <v>0</v>
      </c>
      <c r="B21" s="11">
        <f>COUNTBLANK(moras[SEXO])/COUNTA(moras[SEXO],ISNA(_xleta.T)) * 100</f>
        <v>0</v>
      </c>
      <c r="C21" s="12">
        <f>COUNTBLANK(moras[SALARIO])/COUNT(moras[SALARIO]) * 100</f>
        <v>6.0036021612967783E-2</v>
      </c>
      <c r="D21" s="12">
        <f>COUNTBLANK(moras[TIPO_ASEGURAMIENTO])/COUNTA(moras[TIPO_ASEGURAMIENTO]) * 100</f>
        <v>0.04</v>
      </c>
      <c r="E21" s="11">
        <f>COUNTBLANK(moras[SECTOR])/COUNTA(moras[]) * 100</f>
        <v>0</v>
      </c>
      <c r="F21" s="11">
        <f>COUNTBLANK(moras[INDICADOR_ACTIVO])/COUNTA(moras[INDICADOR_ACTIVO]) * 100</f>
        <v>0</v>
      </c>
      <c r="G21" s="11">
        <f>COUNTBLANK(moras[INDICADOR.EXTRANJERO])/COUNTA(moras[INDICADOR.EXTRANJERO]) * 100</f>
        <v>0</v>
      </c>
      <c r="H21" s="11">
        <f>COUNTBLANK(moras[INDICADOR_MOROSO])/COUNTA(moras[INDICADOR_MOROSO]) * 100</f>
        <v>0</v>
      </c>
      <c r="I21" s="6">
        <f>COUNTBLANK(moras[EDAD])/COUNTA(moras[EDAD]) * 100</f>
        <v>6.0036021612967783E-2</v>
      </c>
    </row>
    <row r="24" spans="1:9" x14ac:dyDescent="0.3">
      <c r="A24" s="7" t="s">
        <v>56</v>
      </c>
    </row>
    <row r="25" spans="1:9" x14ac:dyDescent="0.3">
      <c r="A25" t="s">
        <v>57</v>
      </c>
    </row>
    <row r="27" spans="1:9" x14ac:dyDescent="0.3">
      <c r="A27" t="s">
        <v>59</v>
      </c>
    </row>
    <row r="28" spans="1:9" x14ac:dyDescent="0.3">
      <c r="A28" s="7" t="s">
        <v>58</v>
      </c>
    </row>
    <row r="29" spans="1:9" x14ac:dyDescent="0.3">
      <c r="A29" s="7" t="s">
        <v>60</v>
      </c>
    </row>
    <row r="30" spans="1:9" x14ac:dyDescent="0.3">
      <c r="A30" t="s">
        <v>73</v>
      </c>
    </row>
    <row r="31" spans="1:9" x14ac:dyDescent="0.3">
      <c r="A31" t="s">
        <v>63</v>
      </c>
      <c r="B31" t="s">
        <v>64</v>
      </c>
    </row>
    <row r="32" spans="1:9" x14ac:dyDescent="0.3">
      <c r="A32" t="str">
        <f xml:space="preserve"> D36</f>
        <v>ASALARIADO</v>
      </c>
      <c r="B32" t="str">
        <f>D36</f>
        <v>ASALARIADO</v>
      </c>
      <c r="D32" t="s">
        <v>69</v>
      </c>
    </row>
    <row r="33" spans="1:8" x14ac:dyDescent="0.3">
      <c r="D33" s="15" t="s">
        <v>67</v>
      </c>
      <c r="E33" s="15" t="s">
        <v>68</v>
      </c>
    </row>
    <row r="34" spans="1:8" x14ac:dyDescent="0.3">
      <c r="D34" s="15" t="s">
        <v>65</v>
      </c>
      <c r="E34" t="s">
        <v>16</v>
      </c>
      <c r="F34" t="s">
        <v>11</v>
      </c>
      <c r="G34" t="s">
        <v>66</v>
      </c>
    </row>
    <row r="35" spans="1:8" x14ac:dyDescent="0.3">
      <c r="D35" s="16"/>
      <c r="E35" s="14">
        <v>1</v>
      </c>
      <c r="F35" s="14">
        <v>1</v>
      </c>
      <c r="G35" s="14">
        <v>2</v>
      </c>
      <c r="H35" t="s">
        <v>70</v>
      </c>
    </row>
    <row r="36" spans="1:8" x14ac:dyDescent="0.3">
      <c r="D36" s="16" t="s">
        <v>10</v>
      </c>
      <c r="E36" s="14">
        <v>2581</v>
      </c>
      <c r="F36" s="14">
        <v>881</v>
      </c>
      <c r="G36" s="14">
        <v>3462</v>
      </c>
      <c r="H36" t="s">
        <v>71</v>
      </c>
    </row>
    <row r="37" spans="1:8" x14ac:dyDescent="0.3">
      <c r="D37" s="16" t="s">
        <v>17</v>
      </c>
      <c r="E37" s="14">
        <v>436</v>
      </c>
      <c r="F37" s="14"/>
      <c r="G37" s="14">
        <v>436</v>
      </c>
    </row>
    <row r="38" spans="1:8" x14ac:dyDescent="0.3">
      <c r="D38" s="16" t="s">
        <v>21</v>
      </c>
      <c r="E38" s="14">
        <v>31</v>
      </c>
      <c r="F38" s="14"/>
      <c r="G38" s="14">
        <v>31</v>
      </c>
    </row>
    <row r="39" spans="1:8" x14ac:dyDescent="0.3">
      <c r="D39" s="16" t="s">
        <v>19</v>
      </c>
      <c r="E39" s="14">
        <v>157</v>
      </c>
      <c r="F39" s="14"/>
      <c r="G39" s="14">
        <v>157</v>
      </c>
    </row>
    <row r="40" spans="1:8" x14ac:dyDescent="0.3">
      <c r="D40" s="16" t="s">
        <v>14</v>
      </c>
      <c r="E40" s="14"/>
      <c r="F40" s="14">
        <v>212</v>
      </c>
      <c r="G40" s="14">
        <v>212</v>
      </c>
    </row>
    <row r="41" spans="1:8" x14ac:dyDescent="0.3">
      <c r="D41" s="16" t="s">
        <v>18</v>
      </c>
      <c r="E41" s="14">
        <v>700</v>
      </c>
      <c r="F41" s="14"/>
      <c r="G41" s="14">
        <v>700</v>
      </c>
    </row>
    <row r="42" spans="1:8" x14ac:dyDescent="0.3">
      <c r="D42" s="16" t="s">
        <v>66</v>
      </c>
      <c r="E42" s="14">
        <v>3906</v>
      </c>
      <c r="F42" s="14">
        <v>1094</v>
      </c>
      <c r="G42" s="14">
        <v>5000</v>
      </c>
    </row>
    <row r="46" spans="1:8" x14ac:dyDescent="0.3">
      <c r="A46" s="7" t="s">
        <v>74</v>
      </c>
    </row>
    <row r="47" spans="1:8" x14ac:dyDescent="0.3">
      <c r="A47" t="s">
        <v>76</v>
      </c>
    </row>
    <row r="49" spans="1:4" x14ac:dyDescent="0.3">
      <c r="A49" s="15" t="s">
        <v>75</v>
      </c>
      <c r="B49" s="15" t="s">
        <v>68</v>
      </c>
    </row>
    <row r="50" spans="1:4" x14ac:dyDescent="0.3">
      <c r="A50" s="15" t="s">
        <v>65</v>
      </c>
      <c r="B50" t="s">
        <v>16</v>
      </c>
      <c r="C50" t="s">
        <v>11</v>
      </c>
      <c r="D50" t="s">
        <v>66</v>
      </c>
    </row>
    <row r="51" spans="1:4" x14ac:dyDescent="0.3">
      <c r="A51" s="16" t="s">
        <v>10</v>
      </c>
      <c r="B51" s="14">
        <v>2582</v>
      </c>
      <c r="C51" s="14">
        <v>882</v>
      </c>
      <c r="D51" s="14">
        <v>3464</v>
      </c>
    </row>
    <row r="52" spans="1:4" x14ac:dyDescent="0.3">
      <c r="A52" s="16" t="s">
        <v>17</v>
      </c>
      <c r="B52" s="14">
        <v>436</v>
      </c>
      <c r="C52" s="14"/>
      <c r="D52" s="14">
        <v>436</v>
      </c>
    </row>
    <row r="53" spans="1:4" x14ac:dyDescent="0.3">
      <c r="A53" s="16" t="s">
        <v>21</v>
      </c>
      <c r="B53" s="14">
        <v>31</v>
      </c>
      <c r="C53" s="14"/>
      <c r="D53" s="14">
        <v>31</v>
      </c>
    </row>
    <row r="54" spans="1:4" x14ac:dyDescent="0.3">
      <c r="A54" s="16" t="s">
        <v>19</v>
      </c>
      <c r="B54" s="14">
        <v>157</v>
      </c>
      <c r="C54" s="14"/>
      <c r="D54" s="14">
        <v>157</v>
      </c>
    </row>
    <row r="55" spans="1:4" x14ac:dyDescent="0.3">
      <c r="A55" s="16" t="s">
        <v>14</v>
      </c>
      <c r="B55" s="14"/>
      <c r="C55" s="14">
        <v>212</v>
      </c>
      <c r="D55" s="14">
        <v>212</v>
      </c>
    </row>
    <row r="56" spans="1:4" x14ac:dyDescent="0.3">
      <c r="A56" s="16" t="s">
        <v>18</v>
      </c>
      <c r="B56" s="14">
        <v>700</v>
      </c>
      <c r="C56" s="14"/>
      <c r="D56" s="14">
        <v>700</v>
      </c>
    </row>
    <row r="57" spans="1:4" x14ac:dyDescent="0.3">
      <c r="A57" s="16" t="s">
        <v>66</v>
      </c>
      <c r="B57" s="14">
        <v>3906</v>
      </c>
      <c r="C57" s="14">
        <v>1094</v>
      </c>
      <c r="D57" s="14">
        <v>5000</v>
      </c>
    </row>
    <row r="59" spans="1:4" x14ac:dyDescent="0.3">
      <c r="A59" t="s">
        <v>65</v>
      </c>
      <c r="B59" t="s">
        <v>16</v>
      </c>
      <c r="C59" t="s">
        <v>11</v>
      </c>
      <c r="D59" t="s">
        <v>66</v>
      </c>
    </row>
    <row r="60" spans="1:4" x14ac:dyDescent="0.3">
      <c r="A60" t="s">
        <v>10</v>
      </c>
      <c r="B60">
        <v>2582</v>
      </c>
      <c r="C60">
        <v>882</v>
      </c>
      <c r="D60">
        <v>3464</v>
      </c>
    </row>
    <row r="61" spans="1:4" x14ac:dyDescent="0.3">
      <c r="A61" t="s">
        <v>17</v>
      </c>
      <c r="B61">
        <v>436</v>
      </c>
      <c r="D61">
        <v>436</v>
      </c>
    </row>
    <row r="62" spans="1:4" x14ac:dyDescent="0.3">
      <c r="A62" t="s">
        <v>21</v>
      </c>
      <c r="B62">
        <v>31</v>
      </c>
      <c r="D62">
        <v>31</v>
      </c>
    </row>
    <row r="63" spans="1:4" x14ac:dyDescent="0.3">
      <c r="A63" t="s">
        <v>19</v>
      </c>
      <c r="B63">
        <v>157</v>
      </c>
      <c r="D63">
        <v>157</v>
      </c>
    </row>
    <row r="64" spans="1:4" x14ac:dyDescent="0.3">
      <c r="A64" t="s">
        <v>14</v>
      </c>
      <c r="C64">
        <v>212</v>
      </c>
      <c r="D64">
        <v>212</v>
      </c>
    </row>
    <row r="65" spans="1:4" x14ac:dyDescent="0.3">
      <c r="A65" t="s">
        <v>18</v>
      </c>
      <c r="B65">
        <v>700</v>
      </c>
      <c r="D65">
        <v>700</v>
      </c>
    </row>
    <row r="102" spans="1:1" x14ac:dyDescent="0.3">
      <c r="A102" s="7"/>
    </row>
  </sheetData>
  <mergeCells count="3">
    <mergeCell ref="A6:F6"/>
    <mergeCell ref="I6:N6"/>
    <mergeCell ref="A19:I19"/>
  </mergeCells>
  <phoneticPr fontId="2" type="noConversion"/>
  <pageMargins left="0.7" right="0.7" top="0.75" bottom="0.75" header="0.3" footer="0.3"/>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E87330E-1580-4A1F-83D3-4D5F3481B0F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moras</vt:lpstr>
      <vt:lpstr>EDA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GUTIERREZ PADUA</dc:creator>
  <cp:lastModifiedBy>BENJAMIN GUTIERREZ PADUA</cp:lastModifiedBy>
  <dcterms:created xsi:type="dcterms:W3CDTF">2025-11-30T02:32:11Z</dcterms:created>
  <dcterms:modified xsi:type="dcterms:W3CDTF">2025-11-30T18:33:32Z</dcterms:modified>
</cp:coreProperties>
</file>